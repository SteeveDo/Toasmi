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0"/>
  </bookViews>
  <sheets>
    <sheet r:id="rId1" sheetId="1" name="BILAN GENERAL"/>
    <sheet r:id="rId2" sheetId="2" name="JANVIER"/>
    <sheet r:id="rId3" sheetId="3" name="FEVRIER"/>
    <sheet r:id="rId4" sheetId="4" name="MAR"/>
    <sheet r:id="rId5" sheetId="5" name="APRIL"/>
    <sheet r:id="rId6" sheetId="6" name="MAY"/>
    <sheet r:id="rId7" sheetId="7" name="JUIN"/>
    <sheet r:id="rId8" sheetId="8" name="JUILLET"/>
    <sheet r:id="rId9" sheetId="9" name="AOUT"/>
    <sheet r:id="rId10" sheetId="10" name="SEPTEMBRE"/>
    <sheet r:id="rId11" sheetId="11" name="October"/>
    <sheet r:id="rId12" sheetId="12" name="Novembre"/>
    <sheet r:id="rId13" sheetId="13" name="Decembre"/>
    <sheet r:id="rId14" sheetId="14" name="ETAT CAMAIR CO"/>
    <sheet r:id="rId15" sheetId="15" name="DAF BANGE BANK"/>
    <sheet r:id="rId16" sheetId="16" name="Feuil1"/>
    <sheet r:id="rId17" sheetId="17" name="Feuil2"/>
    <sheet r:id="rId18" sheetId="18" name="Feuil3"/>
    <sheet r:id="rId19" sheetId="19" name="Feuil4"/>
  </sheets>
  <definedNames>
    <definedName name="_xlnm._FilterDatabase" localSheetId="8">AOUT!$A$1:$V$143</definedName>
    <definedName name="_xlnm._FilterDatabase" localSheetId="4">APRIL!$A$1:$AF$159</definedName>
    <definedName name="_xlnm._FilterDatabase" localSheetId="12">Decembre!$A$1:$T$109</definedName>
    <definedName name="_xlnm._FilterDatabase" localSheetId="13">'ETAT CAMAIR CO'!$A$1:$O$50</definedName>
    <definedName name="_xlnm._FilterDatabase" localSheetId="18">Feuil4!$A$2:$T$28</definedName>
    <definedName name="_xlnm._FilterDatabase" localSheetId="2">FEVRIER!$A$1:$Y$129</definedName>
    <definedName name="_xlnm._FilterDatabase" localSheetId="1">JANVIER!$A$1:$Y$128</definedName>
    <definedName name="_xlnm._FilterDatabase" localSheetId="7">JUILLET!$A$1:$V$198</definedName>
    <definedName name="_xlnm._FilterDatabase" localSheetId="6">JUIN!$A$1:$Z$162</definedName>
    <definedName name="_xlnm._FilterDatabase" localSheetId="3">MAR!$A$1:$AD$105</definedName>
    <definedName name="_xlnm._FilterDatabase" localSheetId="5">MAY!$A$1:$AI$149</definedName>
    <definedName name="_xlnm._FilterDatabase" localSheetId="11">Novembre!$A$1:$X$991</definedName>
    <definedName name="_xlnm._FilterDatabase" localSheetId="10">October!$A$1:$W$149</definedName>
    <definedName name="_xlnm._FilterDatabase" localSheetId="9">SEPTEMBRE!$A$1:$V$132</definedName>
  </definedNames>
  <calcPr fullCalcOnLoad="1"/>
</workbook>
</file>

<file path=xl/sharedStrings.xml><?xml version="1.0" encoding="utf-8"?>
<sst xmlns="http://schemas.openxmlformats.org/spreadsheetml/2006/main" count="17616" uniqueCount="6181">
  <si>
    <t>RAPPORT BILLETS EMIS PARTICULIERS : SEMAINE DU 08DEC AU 14 DEC</t>
  </si>
  <si>
    <t>DATE</t>
  </si>
  <si>
    <t xml:space="preserve">TRAVEL DATE </t>
  </si>
  <si>
    <t>CIES</t>
  </si>
  <si>
    <t>PARCOURS</t>
  </si>
  <si>
    <t>N FACTURE</t>
  </si>
  <si>
    <t>ENTREPRISE</t>
  </si>
  <si>
    <t>NOMS/PRENOMS</t>
  </si>
  <si>
    <t>APPORTEUR</t>
  </si>
  <si>
    <t xml:space="preserve">TARIF HT </t>
  </si>
  <si>
    <t>TC</t>
  </si>
  <si>
    <t>TM</t>
  </si>
  <si>
    <t>FS</t>
  </si>
  <si>
    <t xml:space="preserve">LIEU  ACHAT </t>
  </si>
  <si>
    <t xml:space="preserve">NUMERO DU BILLET </t>
  </si>
  <si>
    <t>NBRE SGTS</t>
  </si>
  <si>
    <t>AVANCE 01</t>
  </si>
  <si>
    <t>AVANCE 02</t>
  </si>
  <si>
    <t>RESTE</t>
  </si>
  <si>
    <t>DELAIS</t>
  </si>
  <si>
    <t>OBS</t>
  </si>
  <si>
    <t>09DEC-10DEC</t>
  </si>
  <si>
    <t>J7</t>
  </si>
  <si>
    <t>DLA-LBV-DLA</t>
  </si>
  <si>
    <t>HORUS</t>
  </si>
  <si>
    <t xml:space="preserve">ONANA CYRILLE BERTRAND MR </t>
  </si>
  <si>
    <t>DG</t>
  </si>
  <si>
    <t>AFRIJET</t>
  </si>
  <si>
    <t>ETKT 27726931183</t>
  </si>
  <si>
    <t>09DEC-13DEC</t>
  </si>
  <si>
    <t>NEO INDUSTRY</t>
  </si>
  <si>
    <t>BOGNI NGUEYA MR</t>
  </si>
  <si>
    <t>ETKT 27726934743</t>
  </si>
  <si>
    <t>EX</t>
  </si>
  <si>
    <t>DLA-DXB</t>
  </si>
  <si>
    <t>AKOA MBALLA/EDMOND MODESTE CHRISTIAN MR</t>
  </si>
  <si>
    <t>SATGURU</t>
  </si>
  <si>
    <t>DEMADE VISA DUBAI</t>
  </si>
  <si>
    <t>14DEC-15DEC</t>
  </si>
  <si>
    <t>QR</t>
  </si>
  <si>
    <t>CDG-AUH</t>
  </si>
  <si>
    <t>MR NGATCHOU</t>
  </si>
  <si>
    <t>OUBELLA/ABDESLAM MR</t>
  </si>
  <si>
    <t>BB</t>
  </si>
  <si>
    <t>ETKT 1575528882340</t>
  </si>
  <si>
    <t>22DEC-16JAN</t>
  </si>
  <si>
    <t>AF</t>
  </si>
  <si>
    <t>DLA-NTE-DLA</t>
  </si>
  <si>
    <t>ADSNET</t>
  </si>
  <si>
    <t>KENFACK GUEFO EPSE JIOTSA/EDWIGE MRS</t>
  </si>
  <si>
    <t>GOLITE</t>
  </si>
  <si>
    <t>ETKT 0573006472706</t>
  </si>
  <si>
    <t>10DEC-16DEC</t>
  </si>
  <si>
    <t>SN</t>
  </si>
  <si>
    <t>DLA-CDG-DLA</t>
  </si>
  <si>
    <t>MME MESMYNE</t>
  </si>
  <si>
    <t>MESMYNE FOTSO EPOUSE TCHATCHOU/CHRISTIANE</t>
  </si>
  <si>
    <t>STEPHANE</t>
  </si>
  <si>
    <t>ETKT 0823006472705</t>
  </si>
  <si>
    <t>ETKT 0821847111155</t>
  </si>
  <si>
    <t>BAGAGE SUPPL</t>
  </si>
  <si>
    <t>15DEC-18DEC</t>
  </si>
  <si>
    <t>EK</t>
  </si>
  <si>
    <t>CDG-DXB-CDG</t>
  </si>
  <si>
    <t>WAKANOW</t>
  </si>
  <si>
    <t>ETKT 1765064067285</t>
  </si>
  <si>
    <t>HF</t>
  </si>
  <si>
    <t>DLA-ABJ</t>
  </si>
  <si>
    <t>CAROLINE RESTAURANT 2RIVERS</t>
  </si>
  <si>
    <t>ETOO MAKON EP BIAGA/MADELEINE</t>
  </si>
  <si>
    <t>ETKT 4833006465489</t>
  </si>
  <si>
    <t>12DEC-08JAN</t>
  </si>
  <si>
    <t>ET</t>
  </si>
  <si>
    <t>FIH-DLA-FIH</t>
  </si>
  <si>
    <t>MME NANA AGNES</t>
  </si>
  <si>
    <t>NJANJA NANA/ELIANE DAVINA MS</t>
  </si>
  <si>
    <t>MME HEUNA</t>
  </si>
  <si>
    <t>GOLITE/AMADEUS</t>
  </si>
  <si>
    <t>ETKT 0715528882379</t>
  </si>
  <si>
    <t>10DEC-13DEC</t>
  </si>
  <si>
    <t>ETKT 27726953402</t>
  </si>
  <si>
    <t>12DEC</t>
  </si>
  <si>
    <t>QC</t>
  </si>
  <si>
    <t>DLA-NSI-DLA</t>
  </si>
  <si>
    <t>CANAL+</t>
  </si>
  <si>
    <t>NGO NONDJOCK/DAMARIS PATIENCE MRS</t>
  </si>
  <si>
    <t>KIU</t>
  </si>
  <si>
    <t>ETKT 0400300041832</t>
  </si>
  <si>
    <t>10JAN-20JAN</t>
  </si>
  <si>
    <t>NSI-MAD-NSI</t>
  </si>
  <si>
    <t>MR DJOUAKA</t>
  </si>
  <si>
    <t>DJOUAKA/ALAIN ROGER MR</t>
  </si>
  <si>
    <t>ETKT 0823006465488</t>
  </si>
  <si>
    <t>NSI-MAD-DLA</t>
  </si>
  <si>
    <t>KIFACK BOUKENG EP DJOUAKA/FLORENCE MRS</t>
  </si>
  <si>
    <t>ETKT 0823006465487</t>
  </si>
  <si>
    <t>11DEC-13DEC</t>
  </si>
  <si>
    <t>MME PANGETNA</t>
  </si>
  <si>
    <t>PANGETNA/JOSEPHINE MRS</t>
  </si>
  <si>
    <t>ETKT 0575528882459</t>
  </si>
  <si>
    <t>24DEC-29DEC</t>
  </si>
  <si>
    <t>BRU-DLA-BRU</t>
  </si>
  <si>
    <t>MR HOT</t>
  </si>
  <si>
    <t xml:space="preserve">ETOGO ASSE/FREDERIQUE ESTELLE MRS </t>
  </si>
  <si>
    <t>ETKT 0825528884546</t>
  </si>
  <si>
    <t>21DEC-26DEC</t>
  </si>
  <si>
    <t>AT</t>
  </si>
  <si>
    <t>DLA-CMN-DLA</t>
  </si>
  <si>
    <t>BIBOUM/EVANGELINE EMILIENNE MRS</t>
  </si>
  <si>
    <t>ETKT 1475528882468</t>
  </si>
  <si>
    <t>14DEC-16DEC</t>
  </si>
  <si>
    <t>KP</t>
  </si>
  <si>
    <t>DLA-NDJ-DLA</t>
  </si>
  <si>
    <t>TABITAH/HUGUES YANNICK MR</t>
  </si>
  <si>
    <t>ETKT 0323006472708</t>
  </si>
  <si>
    <t>DJOMMO/LIN VALERE MR</t>
  </si>
  <si>
    <t>ETKT 0323006472707</t>
  </si>
  <si>
    <t>27DEC-12JAN</t>
  </si>
  <si>
    <t>DLA-YUL-DLA</t>
  </si>
  <si>
    <t>MME TIOMELA TIAYO</t>
  </si>
  <si>
    <t>TIOMELA TIAYO EPSE METENBOU/BEATRICE MRS</t>
  </si>
  <si>
    <t>ETKT 0575528885305</t>
  </si>
  <si>
    <t>21DEC-04JAN</t>
  </si>
  <si>
    <t>TK</t>
  </si>
  <si>
    <t>STR-DLA-STR</t>
  </si>
  <si>
    <t xml:space="preserve">MME YOGUE </t>
  </si>
  <si>
    <t>YOGUE FOTSO EPSE FOTSING/RACHEL MRS</t>
  </si>
  <si>
    <t>MR STEPHANE</t>
  </si>
  <si>
    <t>ETKT 2353006465494/4</t>
  </si>
  <si>
    <t>12DEC-11JAN</t>
  </si>
  <si>
    <t>NSI-YUL-NSI</t>
  </si>
  <si>
    <t xml:space="preserve">TIANI/STEPHANE MR </t>
  </si>
  <si>
    <t>ETKT 0573006465495</t>
  </si>
  <si>
    <t>18DEC</t>
  </si>
  <si>
    <t>BRU-DLA</t>
  </si>
  <si>
    <t>LA SAAR</t>
  </si>
  <si>
    <t>MRS GAELLE OLIVIA WOKAM KWOKAM</t>
  </si>
  <si>
    <t>NDC</t>
  </si>
  <si>
    <t>ETKT 0821806317744</t>
  </si>
  <si>
    <t>15DEC</t>
  </si>
  <si>
    <t>MAD-NSI</t>
  </si>
  <si>
    <t>DAF BANGE BANK</t>
  </si>
  <si>
    <t>NVE MODJO/JUSTINO NGUERE MR</t>
  </si>
  <si>
    <t>ETKT 0713006465496</t>
  </si>
  <si>
    <t>DLA-BZV</t>
  </si>
  <si>
    <t>TAMBA ZAPO/PAUL ZEPHYRYN</t>
  </si>
  <si>
    <t>ETKT 0403023386906</t>
  </si>
  <si>
    <t>MR NGAKO</t>
  </si>
  <si>
    <t>FEPPA NANA/LYDIE GWENAELLE MRS</t>
  </si>
  <si>
    <t>ETKT 0573006465497</t>
  </si>
  <si>
    <t>DLA-YEG</t>
  </si>
  <si>
    <t>00426/05/2025</t>
  </si>
  <si>
    <t>MRS SOME</t>
  </si>
  <si>
    <t xml:space="preserve">BILLA OLIVIER BIKWANYE </t>
  </si>
  <si>
    <t>B2B</t>
  </si>
  <si>
    <t>ETKT 0712152469038</t>
  </si>
  <si>
    <t>DLA-JNB-DLA</t>
  </si>
  <si>
    <t>00424/05/2025</t>
  </si>
  <si>
    <t>BEKO CAPITAL</t>
  </si>
  <si>
    <t>NKWAMOU FLORENCE BAKENGBON</t>
  </si>
  <si>
    <t>ETKT 0712152472530</t>
  </si>
  <si>
    <t>LFW-IAD</t>
  </si>
  <si>
    <t>PIVOTAL</t>
  </si>
  <si>
    <t>ACOUETEY  KANGNI DIDIER</t>
  </si>
  <si>
    <t>ETKT 071215266049</t>
  </si>
  <si>
    <t>APPRO</t>
  </si>
  <si>
    <t>DLA-ABJ-DLA</t>
  </si>
  <si>
    <t>00392/05/2025</t>
  </si>
  <si>
    <t>MRS MANEKEUNG</t>
  </si>
  <si>
    <t>MANEKEUNG EPSE YOUMBI CHARLOTTE</t>
  </si>
  <si>
    <t>MRS HEUNA</t>
  </si>
  <si>
    <t>ETKT 0329588273785</t>
  </si>
  <si>
    <t>ABJ-DLA-ABJ</t>
  </si>
  <si>
    <t>00387/05/2025</t>
  </si>
  <si>
    <t>MR ONANA</t>
  </si>
  <si>
    <t xml:space="preserve">NNOMO MEZUI/CHERILLE OLIVIA MRS </t>
  </si>
  <si>
    <t>ETKT 4839588273786</t>
  </si>
  <si>
    <t>02/05/22025</t>
  </si>
  <si>
    <t>YUL-DLA-YU</t>
  </si>
  <si>
    <t>00394/05/2025</t>
  </si>
  <si>
    <t xml:space="preserve">MRS FRANCA </t>
  </si>
  <si>
    <t xml:space="preserve">FOTSO THERESE ODILE </t>
  </si>
  <si>
    <t>ETKT 0579588273787</t>
  </si>
  <si>
    <t>CDG-NKC-CDG</t>
  </si>
  <si>
    <t>00395/05/2025</t>
  </si>
  <si>
    <t xml:space="preserve">PIVOTAL </t>
  </si>
  <si>
    <t>LEAUTIER/ANN FRANCES MRS</t>
  </si>
  <si>
    <t>AMADEUS</t>
  </si>
  <si>
    <t>ETKT 057 6376931402</t>
  </si>
  <si>
    <t>DLA-BGF-DLA</t>
  </si>
  <si>
    <t>00398/05/2025</t>
  </si>
  <si>
    <t>BOUJEKE TCHEKOULONG/WILLIAM MR</t>
  </si>
  <si>
    <t>ETKT 0329588273788</t>
  </si>
  <si>
    <t>00401/02/2025</t>
  </si>
  <si>
    <t>HARVEST</t>
  </si>
  <si>
    <t>DIVOUX/JEAN MARC</t>
  </si>
  <si>
    <t>ETKT 0579588273789</t>
  </si>
  <si>
    <t>JFK-DXB-JFK</t>
  </si>
  <si>
    <t>00400/05/2025</t>
  </si>
  <si>
    <t>TENGA/FABRICE</t>
  </si>
  <si>
    <t>ETKT 0579588273791</t>
  </si>
  <si>
    <t>00399/05/2025</t>
  </si>
  <si>
    <t>TAMBA ZAPO/PAUL ZEPHYRIN</t>
  </si>
  <si>
    <t>ETKT 4839588273790</t>
  </si>
  <si>
    <t>DLA-CDG-MRS-CDG-DLA</t>
  </si>
  <si>
    <t>00404/05/2025</t>
  </si>
  <si>
    <t>MBIATCHOU/LIONEL</t>
  </si>
  <si>
    <t>ETKT 0579588273792</t>
  </si>
  <si>
    <t>00403/05/2025</t>
  </si>
  <si>
    <t>MR NGUETSE</t>
  </si>
  <si>
    <t>NGUETSE YMELE/MATHIAS</t>
  </si>
  <si>
    <t>ETKT 0579588273793</t>
  </si>
  <si>
    <t>NSI-NDJ-NSI</t>
  </si>
  <si>
    <t>00411/05/2025</t>
  </si>
  <si>
    <t>MFOULA/JULIENNE</t>
  </si>
  <si>
    <t>ETKT 0329588273794</t>
  </si>
  <si>
    <t>NSI-NDJ-DLA</t>
  </si>
  <si>
    <t>00410/05/2025</t>
  </si>
  <si>
    <t>TCHAMKO EPSE MBU</t>
  </si>
  <si>
    <t>ETKT 0329588273795</t>
  </si>
  <si>
    <t>00409/05/2025</t>
  </si>
  <si>
    <t>MBALLA NKOA/STEV</t>
  </si>
  <si>
    <t>ETKT 0329588273796</t>
  </si>
  <si>
    <t>00408/05/2025</t>
  </si>
  <si>
    <t>NTUMBA NDAYA EPS</t>
  </si>
  <si>
    <t>ETKT 0579588273797</t>
  </si>
  <si>
    <t>ABJ-CDG-ABJ</t>
  </si>
  <si>
    <t>00407/05/2025</t>
  </si>
  <si>
    <t>.LOHOUES/YEDMELY EMMANUELLA JESUS MRS</t>
  </si>
  <si>
    <t>ETKT 0576376934867</t>
  </si>
  <si>
    <t>GALILEO</t>
  </si>
  <si>
    <t>FICTIF</t>
  </si>
  <si>
    <t>DLA-MAD-DLA</t>
  </si>
  <si>
    <t xml:space="preserve">DJOUAKA/ALAIN ROGER MR </t>
  </si>
  <si>
    <t>ETKT 0829049042874</t>
  </si>
  <si>
    <t>KIFACK BOUKENG EP DJOUAKA/FLORENCE</t>
  </si>
  <si>
    <t>ETKT 0829049042875</t>
  </si>
  <si>
    <t>ABJ-LHR</t>
  </si>
  <si>
    <t>APHING KOUASSI/LYNDA MRS</t>
  </si>
  <si>
    <t>ETKT  0829049042876</t>
  </si>
  <si>
    <t>SN08MAY-12MAY</t>
  </si>
  <si>
    <t>FIH-BRU-FIH</t>
  </si>
  <si>
    <t>MRS ELANGA</t>
  </si>
  <si>
    <t xml:space="preserve">NJONGUO TIALEFACK/JULIUS </t>
  </si>
  <si>
    <t>ETKT 0829049042877</t>
  </si>
  <si>
    <t>EKOUTI BENOIT THIERRY</t>
  </si>
  <si>
    <t xml:space="preserve">AMADEUS </t>
  </si>
  <si>
    <t>ETKT 4836376935105</t>
  </si>
  <si>
    <t>CDG-ABJ-CDG</t>
  </si>
  <si>
    <t>00421/05/2025</t>
  </si>
  <si>
    <t>ETKT 0576376935746</t>
  </si>
  <si>
    <t>EXCHANGE</t>
  </si>
  <si>
    <t>MS</t>
  </si>
  <si>
    <t>DLA-CMN</t>
  </si>
  <si>
    <t>00422/05/2025</t>
  </si>
  <si>
    <t>MR TAPA</t>
  </si>
  <si>
    <t>TAPA GAEL SYLVESTRE</t>
  </si>
  <si>
    <t>ETKT 0776376935741</t>
  </si>
  <si>
    <t>DLA-BKO</t>
  </si>
  <si>
    <t>00425/05/2025</t>
  </si>
  <si>
    <t>MRS LAGMAGO</t>
  </si>
  <si>
    <t>LAGMAGO TOUOYEM, MARINA MRS</t>
  </si>
  <si>
    <t>MME GLADYS</t>
  </si>
  <si>
    <t>ETKT 0329588273799</t>
  </si>
  <si>
    <t>CDG-DLA</t>
  </si>
  <si>
    <t>00429/05/2025</t>
  </si>
  <si>
    <t>NEO INDUSTRIE</t>
  </si>
  <si>
    <t>YOMENI TSAFACK/MADELEINE ALVINE</t>
  </si>
  <si>
    <t xml:space="preserve">ETKT 0579588273798 </t>
  </si>
  <si>
    <t>DLA-NIM</t>
  </si>
  <si>
    <t>00430/05/2025</t>
  </si>
  <si>
    <t>CABTE</t>
  </si>
  <si>
    <t xml:space="preserve">ABDOULAYE ALIO/MAHAMAN LAWAN MR </t>
  </si>
  <si>
    <t>ETKT 0329588273803</t>
  </si>
  <si>
    <t>00431/05/2025</t>
  </si>
  <si>
    <t xml:space="preserve">NZETE/MARTIN LUTHER  KING </t>
  </si>
  <si>
    <t>ETKT 0579588273800</t>
  </si>
  <si>
    <t>00432/05/2025</t>
  </si>
  <si>
    <t>MRS JIOTSA</t>
  </si>
  <si>
    <t>KENFACK GUEFO EP JIOTSA EDWIGE</t>
  </si>
  <si>
    <t xml:space="preserve">GOLITE </t>
  </si>
  <si>
    <t>ETKT 0579588273801</t>
  </si>
  <si>
    <t>CDG-DLA-CDG</t>
  </si>
  <si>
    <t>00433/05/2025</t>
  </si>
  <si>
    <t>PREMIUM</t>
  </si>
  <si>
    <t>ALEX PATRICK SERGE NJAPOUM</t>
  </si>
  <si>
    <t>ETKT 0829049042878</t>
  </si>
  <si>
    <t>00434/05/2025</t>
  </si>
  <si>
    <t xml:space="preserve">NGANI/THEANA JEANNE ELEANE </t>
  </si>
  <si>
    <t>ETKT 4839588273804</t>
  </si>
  <si>
    <t>AH</t>
  </si>
  <si>
    <t>ALG-DLA-ALG</t>
  </si>
  <si>
    <t>KALFRELEC</t>
  </si>
  <si>
    <t>CHETTI YOUNES</t>
  </si>
  <si>
    <t>ETKT 1249588273805</t>
  </si>
  <si>
    <t>DLA-BRU-DLA</t>
  </si>
  <si>
    <t>PATRICK YVES NGUEGUIM (ADT)</t>
  </si>
  <si>
    <t>ETKT 0829049042879</t>
  </si>
  <si>
    <t>FRA-DLA</t>
  </si>
  <si>
    <t xml:space="preserve">YOMENI TSAFACK MADELEINE ALVINE </t>
  </si>
  <si>
    <t>ETKT 0579588273806</t>
  </si>
  <si>
    <t>RWKING</t>
  </si>
  <si>
    <t>AZEMKOUO/ALAIN</t>
  </si>
  <si>
    <t xml:space="preserve">ETKT 0719588273807 </t>
  </si>
  <si>
    <t>DJEUTCHEU NANA/CLAUDE MR</t>
  </si>
  <si>
    <t>ETKT 0329588273813</t>
  </si>
  <si>
    <t>NSI-ABJ-NSI</t>
  </si>
  <si>
    <t>MFOULA/JULIENNE SYLVIE MRS</t>
  </si>
  <si>
    <t>ETKT 4839588273812</t>
  </si>
  <si>
    <t xml:space="preserve"> DLA-STR-DLA </t>
  </si>
  <si>
    <t xml:space="preserve">MRS CHRISTINE </t>
  </si>
  <si>
    <t>MBIAKOP PETKEU/TRACY LYNA</t>
  </si>
  <si>
    <t>ETKT 0579588273811</t>
  </si>
  <si>
    <t>DLA-CDG</t>
  </si>
  <si>
    <t>MRS JESTSA</t>
  </si>
  <si>
    <t>JEATSA GAPDO EPSE NGALEU/CARINE MRS</t>
  </si>
  <si>
    <t>ETKT 1479588273808</t>
  </si>
  <si>
    <t xml:space="preserve"> NGALEU JEATSA/KYLIAN CHRISTOPHE</t>
  </si>
  <si>
    <t>ETKT 1479588273809</t>
  </si>
  <si>
    <t>DXB-CDG</t>
  </si>
  <si>
    <t>NGATCHOU</t>
  </si>
  <si>
    <t>MBIA BATSI/SIMONE LAURE</t>
  </si>
  <si>
    <t>ETKT 0579588273810</t>
  </si>
  <si>
    <t>NOVA-PLAST SARL</t>
  </si>
  <si>
    <t>KENGMO TSOBZE ALEXIS</t>
  </si>
  <si>
    <t>ETKT 0719588273814</t>
  </si>
  <si>
    <t>DLA-ADD-DLA</t>
  </si>
  <si>
    <t>SAAR</t>
  </si>
  <si>
    <t>KAGOU GEORGES LEOPOLD</t>
  </si>
  <si>
    <t>ETKT 0719588273817</t>
  </si>
  <si>
    <t xml:space="preserve">NGUETSE YMELE MATHIAS </t>
  </si>
  <si>
    <t>ETKT 0579588273816</t>
  </si>
  <si>
    <t>MR ADJAHOUNG FRANCOIS</t>
  </si>
  <si>
    <t>NGO YON ADJAHOUNG MERVIELLE</t>
  </si>
  <si>
    <t>ETKT 4839588273819</t>
  </si>
  <si>
    <t>ETKT 4839588273818</t>
  </si>
  <si>
    <t>.</t>
  </si>
  <si>
    <t>VISA ABIDJAN</t>
  </si>
  <si>
    <t>IAD.LFW.ABJ-CDG-IAD</t>
  </si>
  <si>
    <t>ETKT 0579288273825</t>
  </si>
  <si>
    <t>DXB-NKC</t>
  </si>
  <si>
    <t>TAH SIDI</t>
  </si>
  <si>
    <t>ETKT 0576376943536</t>
  </si>
  <si>
    <t>REFUND</t>
  </si>
  <si>
    <t>ISTAMA</t>
  </si>
  <si>
    <t>THIAM IBRA</t>
  </si>
  <si>
    <t>ETKT 1479588273824</t>
  </si>
  <si>
    <t>SV</t>
  </si>
  <si>
    <t>RUH-DXB</t>
  </si>
  <si>
    <t>ETKT 0656075684331</t>
  </si>
  <si>
    <t>ZYR-NKC</t>
  </si>
  <si>
    <t>HOT JUNIOR THIERRY</t>
  </si>
  <si>
    <t>ETKT 0579588273822</t>
  </si>
  <si>
    <t>ETKT 0719588273823</t>
  </si>
  <si>
    <t>LHR-ABJ-LHR</t>
  </si>
  <si>
    <t>APHING KOUASSI LINDA</t>
  </si>
  <si>
    <t>ETKT 0826376943547</t>
  </si>
  <si>
    <t>MR ROMARIC</t>
  </si>
  <si>
    <t>ELIANE ELLA KAMDEM KOUAM EP SIANI</t>
  </si>
  <si>
    <t>ETKT 0829049042880</t>
  </si>
  <si>
    <t xml:space="preserve">ROMARIC TCHAPPI </t>
  </si>
  <si>
    <t>ETKT 0829049042881</t>
  </si>
  <si>
    <t>MR MBOUGUE</t>
  </si>
  <si>
    <t xml:space="preserve">MBOUGUE NGUETSOP IVE DESIRE </t>
  </si>
  <si>
    <t>ETKT 1479588273826</t>
  </si>
  <si>
    <t>DLA-YUL</t>
  </si>
  <si>
    <t>MBOUGUE DESIRE FILS</t>
  </si>
  <si>
    <t>ETKT 1479588273827</t>
  </si>
  <si>
    <t>IAD-CDG-LFW</t>
  </si>
  <si>
    <t xml:space="preserve">ACOUETEY KANGNI DIDIER </t>
  </si>
  <si>
    <t>ETKT 0579588273820</t>
  </si>
  <si>
    <t>BRU-DLA.DSS-BRU</t>
  </si>
  <si>
    <t>ETKT 0829049042882</t>
  </si>
  <si>
    <t>DLA-DSS</t>
  </si>
  <si>
    <t>ETKT 4839588273833</t>
  </si>
  <si>
    <t>NSI-CDG-NSI</t>
  </si>
  <si>
    <t>KAMGANG INGRID FABIOLA</t>
  </si>
  <si>
    <t>ETKT 0579588273834</t>
  </si>
  <si>
    <t>MR ADJAHOUNG</t>
  </si>
  <si>
    <t xml:space="preserve">NGO YON EPSE ADJAHOUNG MERVEILLE </t>
  </si>
  <si>
    <t>ETKT 483 9588273832</t>
  </si>
  <si>
    <t xml:space="preserve">TILA TILA/STEPHANE MR </t>
  </si>
  <si>
    <t>ETKT 4839588273839</t>
  </si>
  <si>
    <t xml:space="preserve">YOUBISSI TOWO EP ZEINSE F/JUSTINE DI </t>
  </si>
  <si>
    <t>ETKT 4839588273838</t>
  </si>
  <si>
    <t xml:space="preserve">FIDIECK A BIDIAS/MATHIAS EMILE </t>
  </si>
  <si>
    <t>ETKT 0329588273837</t>
  </si>
  <si>
    <t xml:space="preserve">AVOUZOA MINKOULOU/GRACE AGNES MRS </t>
  </si>
  <si>
    <t>ETKT 0329588273836</t>
  </si>
  <si>
    <t xml:space="preserve">TAMBA ZAPO/PAUL ZEPHYRIN MR </t>
  </si>
  <si>
    <t>ETKT 071 9588273840</t>
  </si>
  <si>
    <t>BEKO</t>
  </si>
  <si>
    <t>NJAMFA/TIARA MARIE SHILLEH</t>
  </si>
  <si>
    <t>ETKT 0719588273840</t>
  </si>
  <si>
    <t xml:space="preserve">KAMSU KODIE/YVES BERTRAND MR </t>
  </si>
  <si>
    <t>ETKT 4839588273842</t>
  </si>
  <si>
    <t>ETKT 0719588273844</t>
  </si>
  <si>
    <t>ETKT 483 9588273841</t>
  </si>
  <si>
    <t>BGF-DLA</t>
  </si>
  <si>
    <t>MR BOUJEKE WILLIAM</t>
  </si>
  <si>
    <t>ETKT 032 9588273843</t>
  </si>
  <si>
    <t>VOIDER MAIS CANAL+ VA PAYER CELA COMME ECHANGE</t>
  </si>
  <si>
    <t>DSS-DLA</t>
  </si>
  <si>
    <t>MR TCHEWA</t>
  </si>
  <si>
    <t xml:space="preserve">TCHEWA FRANTZ JORDAN </t>
  </si>
  <si>
    <t xml:space="preserve">ETKT 032 9588273845 </t>
  </si>
  <si>
    <t>ADD-NSI</t>
  </si>
  <si>
    <t xml:space="preserve">KAGOU/GEORGES LEOPOLD MR </t>
  </si>
  <si>
    <t>ETKT 071 9588273846</t>
  </si>
  <si>
    <t>KAMGANG/INGRID FABIOLA</t>
  </si>
  <si>
    <t>ETKT 057 9588273847</t>
  </si>
  <si>
    <t xml:space="preserve">DJOMMO/LIN VALERE MR </t>
  </si>
  <si>
    <t>ETKT 032 9588273848</t>
  </si>
  <si>
    <t xml:space="preserve">DJEUTCHEU NANA/CLAUDE MR </t>
  </si>
  <si>
    <t>ETKT 032 9588273849</t>
  </si>
  <si>
    <t>ABJ-DLA</t>
  </si>
  <si>
    <t>ETKT 483 9588273850</t>
  </si>
  <si>
    <t>DLA-DFW-DLA</t>
  </si>
  <si>
    <t>MR KAGOU</t>
  </si>
  <si>
    <t>MEDJO MEVAA EP TSITSOL/NAOMIE MIRABELLE RS</t>
  </si>
  <si>
    <t>ETKT 057 9588273851</t>
  </si>
  <si>
    <t>TSITSOL/SHARONNE LOREEN(CHD/02OCT14)</t>
  </si>
  <si>
    <t>ETKT 057 9588273852</t>
  </si>
  <si>
    <t xml:space="preserve">ETEKI/YEN EVA ROLANDE MRS </t>
  </si>
  <si>
    <t>ETKT 032 9588273853</t>
  </si>
  <si>
    <t xml:space="preserve">DIATTA/SIRA MRS </t>
  </si>
  <si>
    <t>ETKT 032 9588273854</t>
  </si>
  <si>
    <t xml:space="preserve">KOUMBA NDONGO/LYSE ESTHER MRS </t>
  </si>
  <si>
    <t>ETKT 032 9588273855</t>
  </si>
  <si>
    <t>DLA-DSS-DLA</t>
  </si>
  <si>
    <t>MRS GAHANE</t>
  </si>
  <si>
    <t>GAHANE FACHEUX EPSE NJAPOUM/LILIANE CAROLE MRS</t>
  </si>
  <si>
    <t>ETKT 032 6376948113</t>
  </si>
  <si>
    <t>MAHAZA</t>
  </si>
  <si>
    <t xml:space="preserve">TCHATCHOUA/SUZANNE LINDA MRS </t>
  </si>
  <si>
    <t>ETKT 057 9588273856</t>
  </si>
  <si>
    <t>MRS YANNICK SANDRINE TONDJA NDAFEUT EP NKWENKEU FONDJA (ADT)</t>
  </si>
  <si>
    <t>ETKT 0829049042884</t>
  </si>
  <si>
    <t>ABJ-BRU</t>
  </si>
  <si>
    <t>HOT/JUNIOR THIERRY MR</t>
  </si>
  <si>
    <t>ETKT 082 6376949596</t>
  </si>
  <si>
    <t>NSI-YUL</t>
  </si>
  <si>
    <t>MR YELI</t>
  </si>
  <si>
    <t>YELI BOGNING/NELSON WILFREDE MR</t>
  </si>
  <si>
    <t>ETKT 147 6376950176</t>
  </si>
  <si>
    <t>NSI-IST-NSI</t>
  </si>
  <si>
    <t xml:space="preserve">BELIBY/MFOUMOU LYSETTE ESTHER MRS </t>
  </si>
  <si>
    <t>ETKT 235 9588273857</t>
  </si>
  <si>
    <t>DLA-DXB-DLA</t>
  </si>
  <si>
    <t>ELECT INGINEERING</t>
  </si>
  <si>
    <t xml:space="preserve">KAMGA/STEPHANE MR </t>
  </si>
  <si>
    <t>ETKT 077 9588273858</t>
  </si>
  <si>
    <t>BESTWAY</t>
  </si>
  <si>
    <t xml:space="preserve">FEPPA NANA/LYDIE GWENAELLE MRS </t>
  </si>
  <si>
    <t>ETKT 483 9588273859</t>
  </si>
  <si>
    <t>DLA-DEL-DLA</t>
  </si>
  <si>
    <t>MR LOUBAFO</t>
  </si>
  <si>
    <t xml:space="preserve">LOUBAFO KENFACK/CEDRICK BRUNEL MR </t>
  </si>
  <si>
    <t>ETKT 071 9588273860</t>
  </si>
  <si>
    <t>OV</t>
  </si>
  <si>
    <t>MARGE</t>
  </si>
  <si>
    <t>04JAN.</t>
  </si>
  <si>
    <t xml:space="preserve">BSG -DLA </t>
  </si>
  <si>
    <t xml:space="preserve">DAF BANGE BANK </t>
  </si>
  <si>
    <t>NVE MODJO JUSTINO  NGUERE</t>
  </si>
  <si>
    <t>ETKT 27722420665</t>
  </si>
  <si>
    <t>19JAN.</t>
  </si>
  <si>
    <t>+237 6 98 40 54 70</t>
  </si>
  <si>
    <t>MOHAMADOU AISSA</t>
  </si>
  <si>
    <t>ETKT 27722420681</t>
  </si>
  <si>
    <t>+237 6 98 40 54 71</t>
  </si>
  <si>
    <t>05JAN.</t>
  </si>
  <si>
    <t>DLA-NSI</t>
  </si>
  <si>
    <t>ETKT 0400300037010</t>
  </si>
  <si>
    <t>+237 6 98 40 54 72</t>
  </si>
  <si>
    <t>C8</t>
  </si>
  <si>
    <t>26JAN-29JAN</t>
  </si>
  <si>
    <t>DLA-SSG-DLA</t>
  </si>
  <si>
    <t>BIYANG OBIANG ELSA ANTONIA</t>
  </si>
  <si>
    <t>ETKT   49850000310507</t>
  </si>
  <si>
    <t>NVE BIYANG CELEDONIO</t>
  </si>
  <si>
    <t>ETKT 49850
000310508</t>
  </si>
  <si>
    <t xml:space="preserve">ADIDJA TALATOU </t>
  </si>
  <si>
    <t>ETKT 49850000310899</t>
  </si>
  <si>
    <t>31JAN.</t>
  </si>
  <si>
    <t>SSG-DLA</t>
  </si>
  <si>
    <t>ETKT 49850000312295</t>
  </si>
  <si>
    <t>ETKT 49850000312293</t>
  </si>
  <si>
    <t>09FEB-12FEB</t>
  </si>
  <si>
    <t>DLA-SSG-DA</t>
  </si>
  <si>
    <t>ETKT 49850000314163</t>
  </si>
  <si>
    <t xml:space="preserve">NGUE ANNE GUILAINE </t>
  </si>
  <si>
    <t>ETKT 49850000314164</t>
  </si>
  <si>
    <t>07FEB-</t>
  </si>
  <si>
    <t>MVONDO ASSAM BONAVENTURE</t>
  </si>
  <si>
    <t>ETKT 27722846733</t>
  </si>
  <si>
    <t>12FEB-</t>
  </si>
  <si>
    <t>ETKT  0400300037027</t>
  </si>
  <si>
    <t>14FEB-</t>
  </si>
  <si>
    <t>ETKT 49850000316894</t>
  </si>
  <si>
    <t>14FEB-16FEB</t>
  </si>
  <si>
    <t>ETKT 49850000316893</t>
  </si>
  <si>
    <t xml:space="preserve">POINT FINANCIER DU DAF BANGE BANK </t>
  </si>
  <si>
    <t>DATE 
EMISSION</t>
  </si>
  <si>
    <t>CIE</t>
  </si>
  <si>
    <t>TRAJET</t>
  </si>
  <si>
    <t>NOM ET PRENOM</t>
  </si>
  <si>
    <t xml:space="preserve">MONTANT </t>
  </si>
  <si>
    <t>DLA-SSG</t>
  </si>
  <si>
    <t>HABIB , MOHAMADOU</t>
  </si>
  <si>
    <t>15/03/2025</t>
  </si>
  <si>
    <t>AVANCE</t>
  </si>
  <si>
    <t>28/03/2025</t>
  </si>
  <si>
    <t xml:space="preserve">TOTAL </t>
  </si>
  <si>
    <t>RETE</t>
  </si>
  <si>
    <t>SUIVI DE SOLDE   CAMAIR CO TOASMI 2025</t>
  </si>
  <si>
    <t xml:space="preserve">APPORTEUR </t>
  </si>
  <si>
    <t>DEPOSIT</t>
  </si>
  <si>
    <t>ECART</t>
  </si>
  <si>
    <t xml:space="preserve">PREVISION </t>
  </si>
  <si>
    <t>REEL</t>
  </si>
  <si>
    <t>00004/01/2025</t>
  </si>
  <si>
    <t>NVE MODJO JUSTINO NGUERE</t>
  </si>
  <si>
    <t>60 170</t>
  </si>
  <si>
    <t>20JAN-23JAN</t>
  </si>
  <si>
    <t>DLA-NGE-DLA</t>
  </si>
  <si>
    <t>00010/01/2025</t>
  </si>
  <si>
    <t>NA IMMA AMADOU HAMIDOU</t>
  </si>
  <si>
    <t>131 640</t>
  </si>
  <si>
    <t>ETKT 0400300037011</t>
  </si>
  <si>
    <t>14/01/2025</t>
  </si>
  <si>
    <t>16JAN.</t>
  </si>
  <si>
    <t>00018/01/2025</t>
  </si>
  <si>
    <t>ATLANTIQUE</t>
  </si>
  <si>
    <t>RAOUL CHARLEMAGNE RAYMOND YAPO</t>
  </si>
  <si>
    <t>106 740</t>
  </si>
  <si>
    <t>KUI</t>
  </si>
  <si>
    <t>ETKT 0400300037012</t>
  </si>
  <si>
    <t>15/01/2025</t>
  </si>
  <si>
    <t>26JAN-31JAN</t>
  </si>
  <si>
    <t>00019/01/2025</t>
  </si>
  <si>
    <t>YEMELONG YEMETA CAROLE VIRGINIE</t>
  </si>
  <si>
    <t>483 305</t>
  </si>
  <si>
    <t>ETKT 040030007013</t>
  </si>
  <si>
    <t>20/01/2025</t>
  </si>
  <si>
    <t>21JAN-22JAN</t>
  </si>
  <si>
    <t>NSI-DLA-NSI</t>
  </si>
  <si>
    <t>00040/01/2025</t>
  </si>
  <si>
    <t>BANGE BANK</t>
  </si>
  <si>
    <t>146 140</t>
  </si>
  <si>
    <t>ETKT 0400300037014</t>
  </si>
  <si>
    <t>21/01/2025</t>
  </si>
  <si>
    <t>DLA-GOU-DLA</t>
  </si>
  <si>
    <t>00044/01/2025</t>
  </si>
  <si>
    <t>TERRAFOUNDATION</t>
  </si>
  <si>
    <t>SOBGO NGOUAJIO TSOBLEFACK</t>
  </si>
  <si>
    <t>177 040</t>
  </si>
  <si>
    <t>ETKT 0400300037015</t>
  </si>
  <si>
    <t>27JAN-27JAN</t>
  </si>
  <si>
    <t>00046/01/2025</t>
  </si>
  <si>
    <t>ELANGA SOPPI EPSE EBOA GISELE</t>
  </si>
  <si>
    <t>86 540</t>
  </si>
  <si>
    <t>ETKT 0400300037016</t>
  </si>
  <si>
    <t>24/01/2025</t>
  </si>
  <si>
    <t>00064/01/2025</t>
  </si>
  <si>
    <t>GNABE KOUKOU MAWOUSSE</t>
  </si>
  <si>
    <t>94 340</t>
  </si>
  <si>
    <t>ETKT 0400300037017</t>
  </si>
  <si>
    <t>YOUATOU PENE FABRICE</t>
  </si>
  <si>
    <t>ETKT 0400300037018</t>
  </si>
  <si>
    <t>31/01/2025</t>
  </si>
  <si>
    <t>02FEB-08FEB</t>
  </si>
  <si>
    <t>00093/01/2025</t>
  </si>
  <si>
    <t>BOUJEKE TCHEKOULONG WILLIAM</t>
  </si>
  <si>
    <t>ETKT 0400300037019</t>
  </si>
  <si>
    <t>02FEB.</t>
  </si>
  <si>
    <t>DLA-BFX</t>
  </si>
  <si>
    <t>00092/01/2025</t>
  </si>
  <si>
    <t>MAKOUGAM BRIGITTE</t>
  </si>
  <si>
    <t>49 150</t>
  </si>
  <si>
    <t>ETKT 0400300037020</t>
  </si>
  <si>
    <t>06FEB-09FEB</t>
  </si>
  <si>
    <t>86 500</t>
  </si>
  <si>
    <t>ETKT 0400300037021</t>
  </si>
  <si>
    <t>04FEB-11FEB</t>
  </si>
  <si>
    <t>DLA-BZV-DLA</t>
  </si>
  <si>
    <t>00103/02/2025</t>
  </si>
  <si>
    <t>MR SOLLE</t>
  </si>
  <si>
    <t>SOLLE GEREMIE</t>
  </si>
  <si>
    <t>420 314</t>
  </si>
  <si>
    <t>ETKT 0400300037023</t>
  </si>
  <si>
    <t>11FEB-15FEB</t>
  </si>
  <si>
    <t>00111/002/2025</t>
  </si>
  <si>
    <t>KUTCHE TAMGHE CHEVALIER DE DIEU</t>
  </si>
  <si>
    <t>288 155</t>
  </si>
  <si>
    <t>ETKT 0400300037024</t>
  </si>
  <si>
    <t>11FEB-14FEB</t>
  </si>
  <si>
    <t>00111/02/2025</t>
  </si>
  <si>
    <t>NJANTA EBENEZER</t>
  </si>
  <si>
    <t>275 955</t>
  </si>
  <si>
    <t>ETKT 0400300037022</t>
  </si>
  <si>
    <t>YOUAGANG GOUGUEU HARRIS STEPHANE</t>
  </si>
  <si>
    <t>306 055</t>
  </si>
  <si>
    <t>ETKT 0400200515158</t>
  </si>
  <si>
    <t>00118/02/2025</t>
  </si>
  <si>
    <t>FOKOUA KUMO ROMEO ARISTIDE</t>
  </si>
  <si>
    <t>55 670</t>
  </si>
  <si>
    <t>ETKT 0400300037025</t>
  </si>
  <si>
    <t>00120/02/2025</t>
  </si>
  <si>
    <t>99 770</t>
  </si>
  <si>
    <t>ETKT 0400300037026</t>
  </si>
  <si>
    <t>00135/02/2025</t>
  </si>
  <si>
    <t>41 870</t>
  </si>
  <si>
    <t>ETKT 0400300037027</t>
  </si>
  <si>
    <t>14/02/2025</t>
  </si>
  <si>
    <t>18FEB-18FEB</t>
  </si>
  <si>
    <t>00148/02/2025</t>
  </si>
  <si>
    <t>APCAR</t>
  </si>
  <si>
    <t>MEDJO MEVA A EPSE NAOMIE MIRABELLE</t>
  </si>
  <si>
    <t>81 540</t>
  </si>
  <si>
    <t>ETKT 0400300037031</t>
  </si>
  <si>
    <t>MATUENO LAURE NICAISE</t>
  </si>
  <si>
    <t>ETKT 0400300037030</t>
  </si>
  <si>
    <t>20FEB-</t>
  </si>
  <si>
    <t>NSI-DLA</t>
  </si>
  <si>
    <t>00156/02/2025</t>
  </si>
  <si>
    <t>PUNTURELLO SEBASTIEN</t>
  </si>
  <si>
    <t>55 170</t>
  </si>
  <si>
    <t>ETKT 040030003729</t>
  </si>
  <si>
    <t>TAMBA ZAPO PAUL ZEPHYRIN</t>
  </si>
  <si>
    <t>ETKT 040030003728</t>
  </si>
  <si>
    <t>17/02/2025</t>
  </si>
  <si>
    <t>18FEB-</t>
  </si>
  <si>
    <t>00151/02/2025</t>
  </si>
  <si>
    <t>TOASMI ASSURANCE</t>
  </si>
  <si>
    <t>DJAPOM NANA JOB STEPHANE</t>
  </si>
  <si>
    <t>ETKT 0400300037032</t>
  </si>
  <si>
    <t>18/02/2025</t>
  </si>
  <si>
    <t>19FEB-19FEB</t>
  </si>
  <si>
    <t>00158/02/2025</t>
  </si>
  <si>
    <t>BANGE BANK PERSO</t>
  </si>
  <si>
    <t>109 540</t>
  </si>
  <si>
    <t>ETKT 0400300037033</t>
  </si>
  <si>
    <t>20/02/2025</t>
  </si>
  <si>
    <t>00167/02/2025</t>
  </si>
  <si>
    <t>BIWOLE BIWOLE EDWIGE YOLANDE</t>
  </si>
  <si>
    <t>ETKT 0400300037034</t>
  </si>
  <si>
    <t>23FEB-</t>
  </si>
  <si>
    <t>00165/02/2025</t>
  </si>
  <si>
    <t>EMBOLO OYONO NINA SUZANNE</t>
  </si>
  <si>
    <t>44 170</t>
  </si>
  <si>
    <t>ETKT 0400300037035</t>
  </si>
  <si>
    <t>21/02/2025</t>
  </si>
  <si>
    <t>24FEB-02MAR</t>
  </si>
  <si>
    <t>DLA-NGE.GOU-DLA</t>
  </si>
  <si>
    <t>00173/02/2025</t>
  </si>
  <si>
    <t>TEKOBOU YMELE SIMON</t>
  </si>
  <si>
    <t>170 740</t>
  </si>
  <si>
    <t>ETKT 0400300037036</t>
  </si>
  <si>
    <t>06MAR-09MAR</t>
  </si>
  <si>
    <t>JOSE MANUEL ESONO EDJANG</t>
  </si>
  <si>
    <t>57 940</t>
  </si>
  <si>
    <t>ETKT 040030003737</t>
  </si>
  <si>
    <t>25/02/2025</t>
  </si>
  <si>
    <t>01MAR.</t>
  </si>
  <si>
    <t>MR TANKOU</t>
  </si>
  <si>
    <t>MBENG BOUM JOSEPH JOSLAIN</t>
  </si>
  <si>
    <t>121 300</t>
  </si>
  <si>
    <t>ETKT 0400300037043</t>
  </si>
  <si>
    <t>ESSAMA ENO BELINGE EP BELL N LAWRENCE</t>
  </si>
  <si>
    <t>ETKT 0400300037042</t>
  </si>
  <si>
    <t>EFFALA DIEUDONNE DESIRE</t>
  </si>
  <si>
    <t>ETKT 0400300037044</t>
  </si>
  <si>
    <t>26/02/2025</t>
  </si>
  <si>
    <t>27FEB.</t>
  </si>
  <si>
    <t>NTSAMA GUY BERTRAND</t>
  </si>
  <si>
    <t>66 870</t>
  </si>
  <si>
    <t>ETKT 0400300037045</t>
  </si>
  <si>
    <t>03MAR.</t>
  </si>
  <si>
    <t>JUSTINO NGUERE, NVE MODJO</t>
  </si>
  <si>
    <t>ETKT 0400300037046</t>
  </si>
  <si>
    <t>HABIB , MOHAMADOU</t>
  </si>
  <si>
    <t>ETKT 0400300037047</t>
  </si>
  <si>
    <t>KQ</t>
  </si>
  <si>
    <t>DLA-KGL</t>
  </si>
  <si>
    <t>10MAR.</t>
  </si>
  <si>
    <t>MRS KOUMOUSSOM</t>
  </si>
  <si>
    <t>KOUMOUSSOM NDJOCK MARIE ROSE</t>
  </si>
  <si>
    <t>MR ROMEO</t>
  </si>
  <si>
    <t>234 620</t>
  </si>
  <si>
    <t>ETKT 7069588273694</t>
  </si>
  <si>
    <t>DLA-BFX-DLA</t>
  </si>
  <si>
    <t>07MAR-09MAR</t>
  </si>
  <si>
    <t>MR NGUIMEYA</t>
  </si>
  <si>
    <t>NGUIMEYA NGUEFAH PEPIN CHARLES</t>
  </si>
  <si>
    <t>50 240</t>
  </si>
  <si>
    <t>ETKT 0400300037048</t>
  </si>
  <si>
    <t>16/03/2025</t>
  </si>
  <si>
    <t>16MAR-17MAR</t>
  </si>
  <si>
    <t>NGANKAM NIEGUIE FABIO</t>
  </si>
  <si>
    <t>106 340</t>
  </si>
  <si>
    <t>ETKT 0400300037052</t>
  </si>
  <si>
    <t>17/03/2025</t>
  </si>
  <si>
    <t>DLA-COO</t>
  </si>
  <si>
    <t>24MAR.</t>
  </si>
  <si>
    <t>MR MOH</t>
  </si>
  <si>
    <t>MOH NGANNOU RAPHAEL</t>
  </si>
  <si>
    <t>171 120</t>
  </si>
  <si>
    <t>ETKT 0400300037053</t>
  </si>
  <si>
    <t>19-mars-25</t>
  </si>
  <si>
    <t>10APR-17APR</t>
  </si>
  <si>
    <t>MR MAMO</t>
  </si>
  <si>
    <t>MAMO KADJE LUC</t>
  </si>
  <si>
    <t>MME NOMENY</t>
  </si>
  <si>
    <t>124,64</t>
  </si>
  <si>
    <t>ETKT 0400300037055</t>
  </si>
  <si>
    <t>20-mars-25</t>
  </si>
  <si>
    <t>BFX-DLA-BFX</t>
  </si>
  <si>
    <t>21MAR-26MAR</t>
  </si>
  <si>
    <t>TATA PASCALINE</t>
  </si>
  <si>
    <t>NINWOUO MAKOUTCHOUAN EPSE NKENFACK ZEBAZE SYLVIE PASCALINE</t>
  </si>
  <si>
    <t>ETKT 0400300037056</t>
  </si>
  <si>
    <t>22-mars-25</t>
  </si>
  <si>
    <t>24MAR-24MAR</t>
  </si>
  <si>
    <t>MEDJOMEVA A EPSE TSITSOL NAOMIE MIRABELLE</t>
  </si>
  <si>
    <t>89,34</t>
  </si>
  <si>
    <t>ETKT 0400300037057</t>
  </si>
  <si>
    <t>07MAY-12MAY</t>
  </si>
  <si>
    <t>HILAIRE DE ZEPIRO</t>
  </si>
  <si>
    <t>KANA/VICTOR</t>
  </si>
  <si>
    <t>143,54</t>
  </si>
  <si>
    <t>ETKT 0400300037058</t>
  </si>
  <si>
    <t>OUAMBA TSAGUE/NADIA</t>
  </si>
  <si>
    <t>ETKT 0400300037059</t>
  </si>
  <si>
    <t>KEMENA NGUEKEU/HERVE</t>
  </si>
  <si>
    <t>ETKT 0400300037060</t>
  </si>
  <si>
    <t>ZAMBOU/PIERRE</t>
  </si>
  <si>
    <t>150,64</t>
  </si>
  <si>
    <t>ETKT 0400300037061</t>
  </si>
  <si>
    <t>ZEBAZE DONFACK/PAULIN MARTIAL</t>
  </si>
  <si>
    <t>ETKT 0400300037062</t>
  </si>
  <si>
    <t>NTSAFACK/CLEMENT DANIEL</t>
  </si>
  <si>
    <t>ETKT 0400300037063</t>
  </si>
  <si>
    <t>TOTAL</t>
  </si>
  <si>
    <t>14 935 132</t>
  </si>
  <si>
    <t>44 850</t>
  </si>
  <si>
    <t>239 777</t>
  </si>
  <si>
    <t>15 273</t>
  </si>
  <si>
    <t>1 522</t>
  </si>
  <si>
    <t>47 787 842</t>
  </si>
  <si>
    <t>#REF!</t>
  </si>
  <si>
    <t>03DEC-21DEC</t>
  </si>
  <si>
    <t>DLA-CAN-DLA</t>
  </si>
  <si>
    <t>01124/12/25</t>
  </si>
  <si>
    <t xml:space="preserve">KEMENI/NICOLAS MR </t>
  </si>
  <si>
    <t>ETKT 0713006465469</t>
  </si>
  <si>
    <t>03DEC</t>
  </si>
  <si>
    <t>MAD-BRU</t>
  </si>
  <si>
    <t>01128/12/25</t>
  </si>
  <si>
    <t>ETKT 08223511998689</t>
  </si>
  <si>
    <t>05JAN-13JAN</t>
  </si>
  <si>
    <t>01125/12/25</t>
  </si>
  <si>
    <t>MME ELANGA</t>
  </si>
  <si>
    <t>ELANGA SOPPI EPSE EBOA/GISELE MRS</t>
  </si>
  <si>
    <t>ETKT 0573006465466</t>
  </si>
  <si>
    <t>02DEC-05DEC</t>
  </si>
  <si>
    <t>NSI-LBV-NSI</t>
  </si>
  <si>
    <t>01129/12/25</t>
  </si>
  <si>
    <t>MR BOUTANG</t>
  </si>
  <si>
    <t>ESSEKA/MARLENE DENISE MS</t>
  </si>
  <si>
    <t>(725455-638455=87000)</t>
  </si>
  <si>
    <t>ETKT 0713006465468</t>
  </si>
  <si>
    <t>REFUND 22/12/25</t>
  </si>
  <si>
    <t>DJOUKEN/GUY MR</t>
  </si>
  <si>
    <t>ETKT 0713006465467</t>
  </si>
  <si>
    <t>11DEC-15DEC</t>
  </si>
  <si>
    <t>01126/12/25</t>
  </si>
  <si>
    <t>ETKT 4833006472702</t>
  </si>
  <si>
    <t>19DEC-27DEC</t>
  </si>
  <si>
    <t>JFK-IST-JFK</t>
  </si>
  <si>
    <t>01131/12/25</t>
  </si>
  <si>
    <t>AFS</t>
  </si>
  <si>
    <t>ZEBAZE KENFACK/JONATHAN IDARVMSTR</t>
  </si>
  <si>
    <t>ETKT 0575528877111</t>
  </si>
  <si>
    <t>01132/12/25</t>
  </si>
  <si>
    <t>ETKT 0823511998689</t>
  </si>
  <si>
    <t>DLA-DUS</t>
  </si>
  <si>
    <t>01130/12/25</t>
  </si>
  <si>
    <t>ABBE THOMAS</t>
  </si>
  <si>
    <t>BIGOMBE ANDOUAND/LORIANE REBECCA</t>
  </si>
  <si>
    <t>ETKT 2353006472703</t>
  </si>
  <si>
    <t>01161/12/25</t>
  </si>
  <si>
    <t>SOUB GOUNOUO EP NYOKON SECKE A BESSONG/CHRISTELLE AUDREY</t>
  </si>
  <si>
    <t>ETKT 0403023385740</t>
  </si>
  <si>
    <t>04DEC</t>
  </si>
  <si>
    <t>CDG-DXB</t>
  </si>
  <si>
    <t>01134/12/25</t>
  </si>
  <si>
    <t>ETKT 1762986697585</t>
  </si>
  <si>
    <t>07DEC</t>
  </si>
  <si>
    <t>DLA-LIN</t>
  </si>
  <si>
    <t>01135/12/25</t>
  </si>
  <si>
    <t>MME TEKEU ALINE</t>
  </si>
  <si>
    <t>NGALEU TCHAMKO/MARIE MICHEL MRS</t>
  </si>
  <si>
    <t>ETKT 0823006465470</t>
  </si>
  <si>
    <t>08DEC-24JAN</t>
  </si>
  <si>
    <t>DLA-COO-DLA</t>
  </si>
  <si>
    <t>01133/12/25</t>
  </si>
  <si>
    <t>MRS NGAGOUE</t>
  </si>
  <si>
    <t>NGAGOUE EPSE NGALEU/EVELYNE CLARISTE</t>
  </si>
  <si>
    <t>ETKT 0403023385962</t>
  </si>
  <si>
    <t>15DEC-04JAN</t>
  </si>
  <si>
    <t>01136/12/25</t>
  </si>
  <si>
    <t>MR SERGE ALEX P NJAPOUM</t>
  </si>
  <si>
    <t>ETKT 0823511998691</t>
  </si>
  <si>
    <t>LBV-LYS</t>
  </si>
  <si>
    <t>01138/12/25</t>
  </si>
  <si>
    <t>FRANCA</t>
  </si>
  <si>
    <t>ETCHIFANG MENDOME/DAPHNE AURORE</t>
  </si>
  <si>
    <t>ETKT 0572347293422</t>
  </si>
  <si>
    <t>05DEC-08DEC</t>
  </si>
  <si>
    <t>01139/12/25</t>
  </si>
  <si>
    <t>MISSOUMA MVOGO/LILIANE</t>
  </si>
  <si>
    <t>ETKT 0403023385979</t>
  </si>
  <si>
    <t>06DEC-04JAN</t>
  </si>
  <si>
    <t>01137/12/25</t>
  </si>
  <si>
    <t>MRS GAELLE OLIVIA</t>
  </si>
  <si>
    <t>ETKT 0823511998683</t>
  </si>
  <si>
    <t>2 BAGAGES SUPPL</t>
  </si>
  <si>
    <t>09DEC-15DEC</t>
  </si>
  <si>
    <t>NSI-CDG-LHR-NSI</t>
  </si>
  <si>
    <t>01140/12/25</t>
  </si>
  <si>
    <t>ETKT 0713006465478-479</t>
  </si>
  <si>
    <t>10DEC</t>
  </si>
  <si>
    <t>DLA-LHR</t>
  </si>
  <si>
    <t>01141/12/25</t>
  </si>
  <si>
    <t>PÈRE HENRI</t>
  </si>
  <si>
    <t xml:space="preserve">MEDJO MVOMO/HENRI MR </t>
  </si>
  <si>
    <t>ETKT 2353006472704</t>
  </si>
  <si>
    <t>09DEC-11DEC</t>
  </si>
  <si>
    <t>01147/12/25</t>
  </si>
  <si>
    <t>WAMBO/JEAN PAUL</t>
  </si>
  <si>
    <t>ETKT 0403023386235</t>
  </si>
  <si>
    <t>01146/12/25</t>
  </si>
  <si>
    <t>LOMATE PROVENDERIE</t>
  </si>
  <si>
    <t>TIMBHE/MARGUERITE</t>
  </si>
  <si>
    <t>ETKT 0403023386231</t>
  </si>
  <si>
    <t>16DEC-22DEC</t>
  </si>
  <si>
    <t>01148/12/25</t>
  </si>
  <si>
    <t>ETKT 0713006465480</t>
  </si>
  <si>
    <t xml:space="preserve">DEFO/STEPHANE MR </t>
  </si>
  <si>
    <t>ETKT 0713006465481</t>
  </si>
  <si>
    <t>09DEC-14DEC</t>
  </si>
  <si>
    <t>01202/12/25</t>
  </si>
  <si>
    <t>GNABA/KOKOU MAWOUSSE MR</t>
  </si>
  <si>
    <t>ETKT 0325528881003</t>
  </si>
  <si>
    <t>30JAN-07FEB</t>
  </si>
  <si>
    <t>01145/12/25</t>
  </si>
  <si>
    <t>THEOPHILE FOTADZONG TCHIO MR</t>
  </si>
  <si>
    <t>ETKT 0823511998692</t>
  </si>
  <si>
    <t>01144/12/25</t>
  </si>
  <si>
    <t>ETKT 1575528877308</t>
  </si>
  <si>
    <t>01142/12/25</t>
  </si>
  <si>
    <t>ETKT 27726908695</t>
  </si>
  <si>
    <t>08DEC-13DEC</t>
  </si>
  <si>
    <t>01149/12/25</t>
  </si>
  <si>
    <t>FOTADZONG TCHIO/THEOPHILE</t>
  </si>
  <si>
    <t>ETKT 0323006465482</t>
  </si>
  <si>
    <t>DXB-NSI</t>
  </si>
  <si>
    <t>01143/12/25</t>
  </si>
  <si>
    <t>ETKT 0713006465483</t>
  </si>
  <si>
    <t>01150/12/25</t>
  </si>
  <si>
    <t>01151/12/25</t>
  </si>
  <si>
    <t>DLA NGE DLA</t>
  </si>
  <si>
    <t>ETKT 040 3023386460</t>
  </si>
  <si>
    <t>01152/12/25</t>
  </si>
  <si>
    <t>01156/12/25</t>
  </si>
  <si>
    <t>01154/12/25</t>
  </si>
  <si>
    <t>01155/12/25</t>
  </si>
  <si>
    <t>01153/12/25</t>
  </si>
  <si>
    <t>01160/12/25</t>
  </si>
  <si>
    <t>01158/12/25</t>
  </si>
  <si>
    <t>01159/12/25</t>
  </si>
  <si>
    <t>01203/12/25</t>
  </si>
  <si>
    <t>01157/12/25</t>
  </si>
  <si>
    <t>01163/12/25</t>
  </si>
  <si>
    <t>01162/12/25</t>
  </si>
  <si>
    <t>01164/12/25</t>
  </si>
  <si>
    <t>01204/12/25</t>
  </si>
  <si>
    <t>01165/12/25</t>
  </si>
  <si>
    <t>01167/12/25</t>
  </si>
  <si>
    <t>01166/12/25</t>
  </si>
  <si>
    <t>01170/12/25</t>
  </si>
  <si>
    <t>01169/12/25</t>
  </si>
  <si>
    <t>01168/12/25</t>
  </si>
  <si>
    <t>MR TAMBA</t>
  </si>
  <si>
    <t>01171/12/25</t>
  </si>
  <si>
    <t>16DEC</t>
  </si>
  <si>
    <t>WB</t>
  </si>
  <si>
    <t>LHR-DLA</t>
  </si>
  <si>
    <t>01172/12/25</t>
  </si>
  <si>
    <t>KANA KEMGANG/PATRICE JYMMY MR</t>
  </si>
  <si>
    <t>ETKT 4592952144677</t>
  </si>
  <si>
    <t>XBAGS 23KGS + 32KGS</t>
  </si>
  <si>
    <t>17DEC-19DEC</t>
  </si>
  <si>
    <t>DLA-MVR-DLA</t>
  </si>
  <si>
    <t>01174/12/25</t>
  </si>
  <si>
    <t>TAGNE HILAIRE</t>
  </si>
  <si>
    <t>TIMBHE/MARGUERITE MRS</t>
  </si>
  <si>
    <t>ETKT 0400300041833</t>
  </si>
  <si>
    <t>19DEC - 08JAN</t>
  </si>
  <si>
    <t>DLA-TUN-DLA</t>
  </si>
  <si>
    <t>01173/12/25</t>
  </si>
  <si>
    <t>BELGACEM/ALI MR</t>
  </si>
  <si>
    <t>ETKT 2353006472709</t>
  </si>
  <si>
    <t>26DEC-30DEC</t>
  </si>
  <si>
    <t>OUA-DLA-OUA</t>
  </si>
  <si>
    <t>01178/12/25</t>
  </si>
  <si>
    <t>BARY/LASSANA MR</t>
  </si>
  <si>
    <t>ETKT 0323006472710</t>
  </si>
  <si>
    <t>04JAN-21JAN</t>
  </si>
  <si>
    <t>01179/12/25</t>
  </si>
  <si>
    <t>AHANDA ETOUNDI/SYLVAIN BERTRAND MR</t>
  </si>
  <si>
    <t>ETKT 0575528886984</t>
  </si>
  <si>
    <t>01184/12/25</t>
  </si>
  <si>
    <t>DABILOUGOU/ALAIN MR</t>
  </si>
  <si>
    <t>ETKT 0323006472711</t>
  </si>
  <si>
    <t>23DEC</t>
  </si>
  <si>
    <t>01182/12/25</t>
  </si>
  <si>
    <t>AURELIE GUIFO</t>
  </si>
  <si>
    <t xml:space="preserve"> GUIFO/AURELIE MRS</t>
  </si>
  <si>
    <t>XBAG 23KGS</t>
  </si>
  <si>
    <t>17DEC</t>
  </si>
  <si>
    <t>BLQ-NSI</t>
  </si>
  <si>
    <t>01183/12/25</t>
  </si>
  <si>
    <t>KUEDA HARMAND</t>
  </si>
  <si>
    <t>KUEDA/ HARMAND BERTRAND MR</t>
  </si>
  <si>
    <t>ETKT 1475528887838</t>
  </si>
  <si>
    <t>20DEC-27DEC</t>
  </si>
  <si>
    <t>01175/12/25</t>
  </si>
  <si>
    <t>KAMGA STEPHANE</t>
  </si>
  <si>
    <t>NEUGANG YIMGANG/MICHAELLE LIONELLE</t>
  </si>
  <si>
    <t>ETKT 2353006472712</t>
  </si>
  <si>
    <t>SURCLASSEMENT</t>
  </si>
  <si>
    <t>WANCHE KAMGA/POUESSI KAYLA CHD</t>
  </si>
  <si>
    <t>ETKT 2373006472713</t>
  </si>
  <si>
    <t>YIMGANG KAMGA/ZINGA INF</t>
  </si>
  <si>
    <t>ETKT 2353006472714</t>
  </si>
  <si>
    <t>18DEC-22DEC</t>
  </si>
  <si>
    <t>01181/12/25</t>
  </si>
  <si>
    <t>ETKT 0713006465504</t>
  </si>
  <si>
    <t>20DEC-03JAN</t>
  </si>
  <si>
    <t>CMN-AUH-CMN</t>
  </si>
  <si>
    <t>01180/12/25</t>
  </si>
  <si>
    <t>MARIKH EP OUBELLA/NAWAL MRS</t>
  </si>
  <si>
    <t>ETKT 1575528882697</t>
  </si>
  <si>
    <t>03FEV-06FEV</t>
  </si>
  <si>
    <t>TROUBILLE</t>
  </si>
  <si>
    <t>01177/12/2025</t>
  </si>
  <si>
    <t>AFG ASSURANCES</t>
  </si>
  <si>
    <t>CONCIERGERIE</t>
  </si>
  <si>
    <t>31JAN-06FEV</t>
  </si>
  <si>
    <t>France</t>
  </si>
  <si>
    <t>01176/12/2025</t>
  </si>
  <si>
    <t>HEBERGEMENT</t>
  </si>
  <si>
    <t>19DEC</t>
  </si>
  <si>
    <t>DLA MAD DLA</t>
  </si>
  <si>
    <t>DR GUIADEM</t>
  </si>
  <si>
    <t>DR GUIADEM ET FAMILLE</t>
  </si>
  <si>
    <t>LGM</t>
  </si>
  <si>
    <t>02JAN-06JAN</t>
  </si>
  <si>
    <t>DLA LFW DLA</t>
  </si>
  <si>
    <t>C+</t>
  </si>
  <si>
    <t xml:space="preserve">ETKT 0323006 472715  </t>
  </si>
  <si>
    <t>21DEC-24DEC</t>
  </si>
  <si>
    <t>DLA NDJ DLA</t>
  </si>
  <si>
    <t>01191/12/25</t>
  </si>
  <si>
    <t>BAHANACK/JAMES ERIC</t>
  </si>
  <si>
    <t xml:space="preserve">ETKT 0323006 472718 </t>
  </si>
  <si>
    <t>TEMATIO/STEPHEN YVES ANTOINE</t>
  </si>
  <si>
    <t>ETKT 0323006 472716</t>
  </si>
  <si>
    <t>BILOA ESSIMI/JEAN ARISTIDE MR</t>
  </si>
  <si>
    <t>ETKT 0323006 472717</t>
  </si>
  <si>
    <t>26DEC-03JAN</t>
  </si>
  <si>
    <t>CMN AUH CMN</t>
  </si>
  <si>
    <t>01190/12/25</t>
  </si>
  <si>
    <t>ETKT 1575528882764</t>
  </si>
  <si>
    <t>22DEC-03JAN</t>
  </si>
  <si>
    <t>ABJ NSI ABJ</t>
  </si>
  <si>
    <t>01189/12/25</t>
  </si>
  <si>
    <t>KAPAWA/GUY MERLIN MR</t>
  </si>
  <si>
    <t xml:space="preserve">ETKT 0323006 472720 </t>
  </si>
  <si>
    <t>24DEC-21JAN</t>
  </si>
  <si>
    <t>DLA CMN DLA</t>
  </si>
  <si>
    <t>01188/12/25</t>
  </si>
  <si>
    <t>MOUNTAIN</t>
  </si>
  <si>
    <t>YAHO TANKEU/YANNICK MR</t>
  </si>
  <si>
    <t>ETKT 1473006465509</t>
  </si>
  <si>
    <t>25DEC-10JAN</t>
  </si>
  <si>
    <t>01187/12/25</t>
  </si>
  <si>
    <t>OUSMANE/SALI MR</t>
  </si>
  <si>
    <t>ETKT 1473006465510</t>
  </si>
  <si>
    <t>25DEC-21JAN</t>
  </si>
  <si>
    <t>01186/12/25</t>
  </si>
  <si>
    <t>ABONDO/LOUIS CONSTANTIN MR</t>
  </si>
  <si>
    <t>ETKT 1473006456611</t>
  </si>
  <si>
    <t>25DEC-05JAN</t>
  </si>
  <si>
    <t>01185/12/25</t>
  </si>
  <si>
    <t>DJAFAROU BAKARY/AMADOU</t>
  </si>
  <si>
    <t>ETKT 1472425885251</t>
  </si>
  <si>
    <t>MEFIRE/AMADOU MR</t>
  </si>
  <si>
    <t>NIBOU KAKEU/PAUL MR</t>
  </si>
  <si>
    <t>ETKT 1472425885255</t>
  </si>
  <si>
    <t>FOUEZEM TSAGMO/SERGE MR</t>
  </si>
  <si>
    <t>ETKT 1472425885252</t>
  </si>
  <si>
    <t>SEGNOU/ANDRE BASILE MR</t>
  </si>
  <si>
    <t>ETKT 1472425885256</t>
  </si>
  <si>
    <t>MOCHE NOUKAGUE EPSE OUAMBO/DENISE MRS</t>
  </si>
  <si>
    <t>ETKT 1472425885254</t>
  </si>
  <si>
    <t>BITA BELINGA/CHRISTIAN MR</t>
  </si>
  <si>
    <t>ETKT 1472425885250</t>
  </si>
  <si>
    <t>TAKOU/SERGES BERTIN MR</t>
  </si>
  <si>
    <t>ETKT 1472425885259</t>
  </si>
  <si>
    <t>SOPPO ETONDE/GUILLAUME JESUE MR</t>
  </si>
  <si>
    <t>ETKT 1472425885258</t>
  </si>
  <si>
    <t>SILINOU/SAMUEL ADOLPHE MR</t>
  </si>
  <si>
    <t>ETKT 1472425885257</t>
  </si>
  <si>
    <t>23DEC-08JAN</t>
  </si>
  <si>
    <t>NSI CKY NSI</t>
  </si>
  <si>
    <t>01193/12/25</t>
  </si>
  <si>
    <t>MANGA ZAMBO/JOACHIM YANNICK MR</t>
  </si>
  <si>
    <t>ETKT 0713006472721</t>
  </si>
  <si>
    <t>23DEC-03JAN</t>
  </si>
  <si>
    <t>01199/12/25</t>
  </si>
  <si>
    <t xml:space="preserve">ETKT 0323006472723  </t>
  </si>
  <si>
    <t>22DEC</t>
  </si>
  <si>
    <t>GVA RAK</t>
  </si>
  <si>
    <t>01195/12/25</t>
  </si>
  <si>
    <t>TCHINDA MARCEL</t>
  </si>
  <si>
    <t>TCHINDA NGOKO MARCEL MR</t>
  </si>
  <si>
    <t>ETKT 0573006472722</t>
  </si>
  <si>
    <t>02FEB-10FEB</t>
  </si>
  <si>
    <t>CDG DLA CDG</t>
  </si>
  <si>
    <t>01198/12/25</t>
  </si>
  <si>
    <t>VAREILLE EPSE RUPNIK/PASCALE MRS</t>
  </si>
  <si>
    <t>ETKT 0823511998695</t>
  </si>
  <si>
    <t>PREVOT EPSE TIBAYRENC/MARIE CHANTAL JEANNE MRS</t>
  </si>
  <si>
    <t>ETKT 0823511998694</t>
  </si>
  <si>
    <t>DLA CDG</t>
  </si>
  <si>
    <t>01197/12/25</t>
  </si>
  <si>
    <t>NJAPOUM /SERGE ALEX P MR</t>
  </si>
  <si>
    <t>ETKT 082 1806317750</t>
  </si>
  <si>
    <t>25DEC-16JAN</t>
  </si>
  <si>
    <t>01194/12/25</t>
  </si>
  <si>
    <t>WILLIAMS</t>
  </si>
  <si>
    <t>NGOUAYOU NDASSI/MOREL MR</t>
  </si>
  <si>
    <t>ETKT 1475528891391</t>
  </si>
  <si>
    <t>DXB NSI</t>
  </si>
  <si>
    <t>01196/12/25</t>
  </si>
  <si>
    <t>WANG/HUBERT MR</t>
  </si>
  <si>
    <t>ETKT 032 5528889328</t>
  </si>
  <si>
    <t>02JAN-05JAN</t>
  </si>
  <si>
    <t>D-0044</t>
  </si>
  <si>
    <t>ETKT  0323006472726</t>
  </si>
  <si>
    <t>24DEC-25DEC</t>
  </si>
  <si>
    <t>DLA NSI DLA</t>
  </si>
  <si>
    <t>01192/12/25</t>
  </si>
  <si>
    <t>SOCAFER</t>
  </si>
  <si>
    <t>TANKEU/CEDRIC OLIVIER MR</t>
  </si>
  <si>
    <t>ETKT 0403023387503</t>
  </si>
  <si>
    <t>DLA DXB DLA</t>
  </si>
  <si>
    <t>01206/12/25</t>
  </si>
  <si>
    <t>BINTOU/NGOUA/PITAP/TOUOHOU</t>
  </si>
  <si>
    <t>04 VISAS DUBAI</t>
  </si>
  <si>
    <t>25DEC</t>
  </si>
  <si>
    <t>NSI BLQ</t>
  </si>
  <si>
    <t>01200/12/25</t>
  </si>
  <si>
    <t>KUEDA/HARMAND BERTRAND MR</t>
  </si>
  <si>
    <t>ETKT 1473006465520</t>
  </si>
  <si>
    <t>17AUG-30AUG</t>
  </si>
  <si>
    <t>DLA BRU DLA</t>
  </si>
  <si>
    <t>01207/12/25</t>
  </si>
  <si>
    <t>GUIFO MAFFO</t>
  </si>
  <si>
    <t>JADE ALEXANDRA GUIFO MAFFO</t>
  </si>
  <si>
    <t>ETKT 0822301805451</t>
  </si>
  <si>
    <t>27DEC-04JAN</t>
  </si>
  <si>
    <t>01208/12/25</t>
  </si>
  <si>
    <t>SANDRINE LINDA</t>
  </si>
  <si>
    <t>NDIKINTUM/LAEL YANGA MRS</t>
  </si>
  <si>
    <t>ETKT 0573006465524</t>
  </si>
  <si>
    <t>26DEC-29DEC</t>
  </si>
  <si>
    <t>DLA RAK DLA</t>
  </si>
  <si>
    <t>ELANGA SOPPI EBOA</t>
  </si>
  <si>
    <t>27DEC-08JAN</t>
  </si>
  <si>
    <t>01214/12/25</t>
  </si>
  <si>
    <t>BINTOU POUENGUE/SOUMAI MRS</t>
  </si>
  <si>
    <t>ETKT 235 3006465536</t>
  </si>
  <si>
    <t>01213/12/25</t>
  </si>
  <si>
    <t>NGOUA NSEME NLOKA/ALFRED RENE PRINCE MR</t>
  </si>
  <si>
    <t>ETKT 235 3006465533</t>
  </si>
  <si>
    <t>27DEC-DLA</t>
  </si>
  <si>
    <t>TOUOHOU KEZEMBOU/YVETTE MRS</t>
  </si>
  <si>
    <t>ETKT 2353006465534</t>
  </si>
  <si>
    <t>27 DEC-DLA</t>
  </si>
  <si>
    <t>PITAT NZAPA/NAELLE MRS</t>
  </si>
  <si>
    <t>ETKT 235 3006465535</t>
  </si>
  <si>
    <t>11JAN-17JAN</t>
  </si>
  <si>
    <t>ABJ DLA ABJ</t>
  </si>
  <si>
    <t>01212/12/25</t>
  </si>
  <si>
    <t>Me MBIDA MARIE LOUISE</t>
  </si>
  <si>
    <t>KOUADIO/RAUL MAMBO MR</t>
  </si>
  <si>
    <t>ETKT 4833006472727</t>
  </si>
  <si>
    <t>30DEC-02JAN</t>
  </si>
  <si>
    <t>NSI DLA NSI</t>
  </si>
  <si>
    <t>01211/12/25</t>
  </si>
  <si>
    <t>DJOUAKA</t>
  </si>
  <si>
    <t>ETKT 040 3023387527</t>
  </si>
  <si>
    <t>CMN DLA</t>
  </si>
  <si>
    <t>01209/12/25</t>
  </si>
  <si>
    <t>ETKT 1475528889423</t>
  </si>
  <si>
    <t>28DEC-28NOV</t>
  </si>
  <si>
    <t>BLR DLA BLR</t>
  </si>
  <si>
    <t>01210/12/25</t>
  </si>
  <si>
    <t>DR TCHIDJO</t>
  </si>
  <si>
    <t>SANKAR/RANJITH KUMAR MR</t>
  </si>
  <si>
    <t>ETKT 0573006472728</t>
  </si>
  <si>
    <t>27DEC-03JAN</t>
  </si>
  <si>
    <t>CDG RAK CDG</t>
  </si>
  <si>
    <t>01218/12/25</t>
  </si>
  <si>
    <t>ETKT 1473006472729</t>
  </si>
  <si>
    <t>27DEC-30DEC</t>
  </si>
  <si>
    <t>01217/12/25</t>
  </si>
  <si>
    <t>NGANDO/ARMAND MR</t>
  </si>
  <si>
    <t>ETKT 1473006472730</t>
  </si>
  <si>
    <t>01215/12/25</t>
  </si>
  <si>
    <t>DJAMEN OLOMO/ROLAND MR</t>
  </si>
  <si>
    <t>ETKT 1473006472731</t>
  </si>
  <si>
    <t>01216/12/25</t>
  </si>
  <si>
    <t>MEKONTCHOU TCHAFA/WILLIAM BRICE MR</t>
  </si>
  <si>
    <t>ETKT 1473006425546</t>
  </si>
  <si>
    <t>29DEC-22NOV</t>
  </si>
  <si>
    <t>01219/12/25</t>
  </si>
  <si>
    <t>ETKT 0713006472732</t>
  </si>
  <si>
    <t>28DEC-29DEC</t>
  </si>
  <si>
    <t>01220/12/25</t>
  </si>
  <si>
    <t>MR ONANA PERSO</t>
  </si>
  <si>
    <t>ENAMA EPSE ONANA/MARIE LAURE MRS</t>
  </si>
  <si>
    <t>ETKT 0403023387536</t>
  </si>
  <si>
    <t>30DEC</t>
  </si>
  <si>
    <t>01222/12/25</t>
  </si>
  <si>
    <t>ETKT 0403023387538</t>
  </si>
  <si>
    <t>01221/12/25</t>
  </si>
  <si>
    <t>ETKT 0403023387537</t>
  </si>
  <si>
    <t>08jan-16jan</t>
  </si>
  <si>
    <t>NSI CMN NSI</t>
  </si>
  <si>
    <t>01227/12/25</t>
  </si>
  <si>
    <t>TEZANOU SYLVIE</t>
  </si>
  <si>
    <t>MVONDO MBIAM/PRINCE JUNIOR MR</t>
  </si>
  <si>
    <t>ETKT 1475528894253</t>
  </si>
  <si>
    <t>RAK DLA</t>
  </si>
  <si>
    <t>01226/12/25</t>
  </si>
  <si>
    <t>SAFARI LOGISTICS</t>
  </si>
  <si>
    <t>TCHATCHOUA/SUZANNE LINDA MRS</t>
  </si>
  <si>
    <t>ETKT 1475528894254</t>
  </si>
  <si>
    <t>31DEC-22NOV</t>
  </si>
  <si>
    <t>01225/12/25</t>
  </si>
  <si>
    <t>ETKT 0713006472733</t>
  </si>
  <si>
    <t>30DEC-30JAN</t>
  </si>
  <si>
    <t>DLA BGF DLA</t>
  </si>
  <si>
    <t>01224/12/25</t>
  </si>
  <si>
    <t>CITIZEN OIL</t>
  </si>
  <si>
    <t>TAPIEMENE NOTSAWO/ALOYS MARCELIN MR</t>
  </si>
  <si>
    <t>ETKT 4593006472734</t>
  </si>
  <si>
    <t>31DEC-02JAN</t>
  </si>
  <si>
    <t>01223/12/25</t>
  </si>
  <si>
    <t>ETKT 0403023387527</t>
  </si>
  <si>
    <t>31DEC-20JAN</t>
  </si>
  <si>
    <t>01230/12/25</t>
  </si>
  <si>
    <t>MR WILLIAMS</t>
  </si>
  <si>
    <t>NDZIE /CLEMENT MR</t>
  </si>
  <si>
    <t>ETKT 1475528894590</t>
  </si>
  <si>
    <t>31DEC-14JAN</t>
  </si>
  <si>
    <t>MOMHA/ISAAC MR</t>
  </si>
  <si>
    <t>ETKT 1475528894589</t>
  </si>
  <si>
    <t>31DEC</t>
  </si>
  <si>
    <t>DLA NSI</t>
  </si>
  <si>
    <t>01228/12/25</t>
  </si>
  <si>
    <t>DZOU ONANA/MARC CLAUDE MICHEL</t>
  </si>
  <si>
    <t>ETKT 0403023387861</t>
  </si>
  <si>
    <t>01229/12/25</t>
  </si>
  <si>
    <t>NGO TONYE/SANDRINE</t>
  </si>
  <si>
    <t>CPTE</t>
  </si>
  <si>
    <t>ETKT  0400300041834</t>
  </si>
  <si>
    <t>BRU DLA</t>
  </si>
  <si>
    <t>LIONEL GUIFO TAGNE</t>
  </si>
  <si>
    <t>ETKT 0822303391424</t>
  </si>
  <si>
    <t>EXCH</t>
  </si>
  <si>
    <r>
      <t>GUIFO KAIS/BENJAMIN/AURELIE</t>
    </r>
    <r>
      <rPr>
        <b/>
        <sz val="11"/>
        <color rgb="FF000000"/>
        <rFont val="Calibri"/>
        <family val="2"/>
        <scheme val="minor"/>
      </rPr>
      <t xml:space="preserve">   X3</t>
    </r>
  </si>
  <si>
    <t>ETKT 0822952147272</t>
  </si>
  <si>
    <t>03 SIEGES PAYANT</t>
  </si>
  <si>
    <t>TOTAL=</t>
  </si>
  <si>
    <t>TRAVEL DATE</t>
  </si>
  <si>
    <t xml:space="preserve">ENTREPRISES </t>
  </si>
  <si>
    <t>HT</t>
  </si>
  <si>
    <t>LIEU D ACHAT</t>
  </si>
  <si>
    <t>NUMERO DU BILLET</t>
  </si>
  <si>
    <t>AVANCE 1</t>
  </si>
  <si>
    <t>AVANCE 2</t>
  </si>
  <si>
    <t>AVANCE 3</t>
  </si>
  <si>
    <t>03NOV-09NOV</t>
  </si>
  <si>
    <t>01021/10/25</t>
  </si>
  <si>
    <t>MR FOKOUA</t>
  </si>
  <si>
    <t>FOKOUA KUMO/ROMEO ARISTIDE MR</t>
  </si>
  <si>
    <t>ETKT 0403023383376</t>
  </si>
  <si>
    <t>EX /PERTE</t>
  </si>
  <si>
    <t>02NOV-01DEC</t>
  </si>
  <si>
    <t>01023/11/25</t>
  </si>
  <si>
    <t>ZOCK A MBAMBA/LOUIS RENE MR</t>
  </si>
  <si>
    <t>ETKT 2353006472640</t>
  </si>
  <si>
    <t>NDIANG A BIDIAS EP ZOCK A MBAMBA/MARTINE AIMEE</t>
  </si>
  <si>
    <t>ETKT 2353006472641</t>
  </si>
  <si>
    <t>DLA-JKT</t>
  </si>
  <si>
    <t>01025/11/25</t>
  </si>
  <si>
    <t>MR KOUAKEP</t>
  </si>
  <si>
    <t>KOUAKEP TANKEU/KELVIN DUVAL MR</t>
  </si>
  <si>
    <t>MR CHARLES</t>
  </si>
  <si>
    <t>ETKT 0713006472643</t>
  </si>
  <si>
    <t>MR FODZEU</t>
  </si>
  <si>
    <t>FODZEU FOKOK/MARIUS PULCHARD MR</t>
  </si>
  <si>
    <t>ETKT 0713006472642</t>
  </si>
  <si>
    <t>02NOV-07NOV</t>
  </si>
  <si>
    <t>CDG-PVG-CDG</t>
  </si>
  <si>
    <t>01024/11/25</t>
  </si>
  <si>
    <t>ETKT 0573006465395</t>
  </si>
  <si>
    <t>06NOV-10NOV</t>
  </si>
  <si>
    <t>01026/11/25</t>
  </si>
  <si>
    <t>SONGBE/LYDVINE FALONNE MRS</t>
  </si>
  <si>
    <t>ETKT 4832952138414</t>
  </si>
  <si>
    <t>04NOV-27MAR</t>
  </si>
  <si>
    <t>TUN-DLA-TUN</t>
  </si>
  <si>
    <t>01027/11/25</t>
  </si>
  <si>
    <t xml:space="preserve"> KALFRELEC </t>
  </si>
  <si>
    <t>BEN CHEIKH/ANIS MR</t>
  </si>
  <si>
    <t>ETKT 1473006465397</t>
  </si>
  <si>
    <t xml:space="preserve">MS </t>
  </si>
  <si>
    <t>07NOV-17NOV</t>
  </si>
  <si>
    <t>01028/11/25 01057/11/25</t>
  </si>
  <si>
    <t>MRS KEMBOU</t>
  </si>
  <si>
    <t>KEMBOU/SOLANGE MRS</t>
  </si>
  <si>
    <t>1074920-1044920=3000</t>
  </si>
  <si>
    <t>ETKT 0773006465398</t>
  </si>
  <si>
    <t>PERTE / REFUND 06/11/2025</t>
  </si>
  <si>
    <t>25NOV-28NOV</t>
  </si>
  <si>
    <t>01031/11/25</t>
  </si>
  <si>
    <t>ETKT 0323006472651</t>
  </si>
  <si>
    <t>14NOV-26NOV</t>
  </si>
  <si>
    <t>01030/11/25</t>
  </si>
  <si>
    <t>MR TATSINDA</t>
  </si>
  <si>
    <t>TATSINDA/VINCENT MR</t>
  </si>
  <si>
    <t>LUCIEN</t>
  </si>
  <si>
    <t>ETKT 0773006465400</t>
  </si>
  <si>
    <t>12NOV-11DEC</t>
  </si>
  <si>
    <t>DLA-LOS-DLA</t>
  </si>
  <si>
    <t>01029/11/25</t>
  </si>
  <si>
    <t xml:space="preserve">KALFRELEC </t>
  </si>
  <si>
    <t>ABEDIYI/GBENGA ADELAJA MR</t>
  </si>
  <si>
    <t>ETKT 4833006472650</t>
  </si>
  <si>
    <t>11NOV-14NOV</t>
  </si>
  <si>
    <t>DLA-LFW-DLA</t>
  </si>
  <si>
    <t>01032/11/25</t>
  </si>
  <si>
    <t>ATANGANA OWONA/JOEL MARTIN MR</t>
  </si>
  <si>
    <t>ETKT 0323006472654</t>
  </si>
  <si>
    <t>FOUEMATIO/CHRISTELLE MRS</t>
  </si>
  <si>
    <t>ETKT 0323006472655</t>
  </si>
  <si>
    <t>ETKT 0323006472657</t>
  </si>
  <si>
    <t>NGALLE/JACKIE PATIENCE BESSY MRS</t>
  </si>
  <si>
    <t>ETKT 0323006472656</t>
  </si>
  <si>
    <t>17NOV-20NOV</t>
  </si>
  <si>
    <t>DLA-DME</t>
  </si>
  <si>
    <t>01033/11/25</t>
  </si>
  <si>
    <t>MR NGOKOKI</t>
  </si>
  <si>
    <t>JOAN IVAN/NGOKOBI NDOCKO MR</t>
  </si>
  <si>
    <t xml:space="preserve">DG  </t>
  </si>
  <si>
    <t>ETKT 0712156393815</t>
  </si>
  <si>
    <t>10NOV-21NOV</t>
  </si>
  <si>
    <t>DLA-SIN-DLA</t>
  </si>
  <si>
    <t>01042/11/25</t>
  </si>
  <si>
    <t>MRS TOUOHOU</t>
  </si>
  <si>
    <t>ETKT 0713006472658</t>
  </si>
  <si>
    <t>01041/11/25</t>
  </si>
  <si>
    <t>MRS BINTOU</t>
  </si>
  <si>
    <t>ETKT 0713006472659</t>
  </si>
  <si>
    <t>01040/11/25</t>
  </si>
  <si>
    <t>MRS BAHOKEN</t>
  </si>
  <si>
    <t>BAHOKEN ONGBLOUECK/CECILE BLANCHE MRS</t>
  </si>
  <si>
    <t>ETKT 0713006472660</t>
  </si>
  <si>
    <t>01036/11/2025</t>
  </si>
  <si>
    <t>CYRILLE BERTREND/ONANA MR</t>
  </si>
  <si>
    <t>ETKT 0823511998687</t>
  </si>
  <si>
    <t>07NOV-08NOV</t>
  </si>
  <si>
    <t>01043/11/25</t>
  </si>
  <si>
    <t xml:space="preserve">MISSOUMA MVOGO/LILIANE </t>
  </si>
  <si>
    <t>ETKT 04030023383593</t>
  </si>
  <si>
    <t>15NOV-23NOV</t>
  </si>
  <si>
    <t>01044/11/25</t>
  </si>
  <si>
    <t>MRS THOUANI</t>
  </si>
  <si>
    <t>TOUANI WENO/OLIVIA PRISCILLA MRS</t>
  </si>
  <si>
    <t>ETKT 0713006472661</t>
  </si>
  <si>
    <t>PVG-CDG</t>
  </si>
  <si>
    <t>01045/11/25</t>
  </si>
  <si>
    <t>ETKT 0573006465428</t>
  </si>
  <si>
    <t>26DEC-05JAN</t>
  </si>
  <si>
    <t>01035/11/25</t>
  </si>
  <si>
    <t>MME MACHE</t>
  </si>
  <si>
    <t>MEWOUE EPSE MACHE/SYLVIE SOLANGE MRS</t>
  </si>
  <si>
    <t>ETKT 0572952144669</t>
  </si>
  <si>
    <t>MACHE/JOSEPHA MARTHE KELLY MS</t>
  </si>
  <si>
    <t>ETKT 0572952144670</t>
  </si>
  <si>
    <t>07NOV-12NOV</t>
  </si>
  <si>
    <t>01038/11/25</t>
  </si>
  <si>
    <t>DEFO/STEPHANE MR</t>
  </si>
  <si>
    <t>ETKT 0712952138595</t>
  </si>
  <si>
    <t>BAHANACK/JAMES ERIC MR</t>
  </si>
  <si>
    <t>ETKT 0712952144792</t>
  </si>
  <si>
    <t xml:space="preserve">ET </t>
  </si>
  <si>
    <t>TEMATIO/STEPHANE YVES ANTOINE MR</t>
  </si>
  <si>
    <t>ETKT 0712952138596</t>
  </si>
  <si>
    <t>01037/11/25</t>
  </si>
  <si>
    <t>MR STEPHEN YVES ANTOINE TEMATIO</t>
  </si>
  <si>
    <t>VISA DUBAI</t>
  </si>
  <si>
    <t>MR JAMES ERIC BAHANACK</t>
  </si>
  <si>
    <t>MR STEPHANE DEFO</t>
  </si>
  <si>
    <t>MME NSOME</t>
  </si>
  <si>
    <t>12NOV-15NOV</t>
  </si>
  <si>
    <t>ETKT 0322952144806</t>
  </si>
  <si>
    <t>15NOV-21NOV</t>
  </si>
  <si>
    <t>ETEKI/YEN EVA ROLANDE MRS</t>
  </si>
  <si>
    <t>ETKT 0322952144803</t>
  </si>
  <si>
    <t>01046/11/25</t>
  </si>
  <si>
    <t>ETKT 0403023383816</t>
  </si>
  <si>
    <t>10NOV-30NOV</t>
  </si>
  <si>
    <t>ABJ-NSI-ABJ</t>
  </si>
  <si>
    <t>01047/11/25</t>
  </si>
  <si>
    <t>MR DJAMEN OLOMO</t>
  </si>
  <si>
    <t>ETKT 4833006465434</t>
  </si>
  <si>
    <t>01DEC-03DEC</t>
  </si>
  <si>
    <t>01048/11/25</t>
  </si>
  <si>
    <t>ETKT 4833006465435</t>
  </si>
  <si>
    <t>12NOV-10MAR</t>
  </si>
  <si>
    <t>YQB-DLA-YQB</t>
  </si>
  <si>
    <t>01058/11/25</t>
  </si>
  <si>
    <t>NGANI NOUDEM/FRANCINE MRS</t>
  </si>
  <si>
    <t>ETKT 0822952145110-11</t>
  </si>
  <si>
    <t>01059/11/25</t>
  </si>
  <si>
    <t>ETKT 0403023383837</t>
  </si>
  <si>
    <t>DLA-LOS</t>
  </si>
  <si>
    <t>01060/11/25</t>
  </si>
  <si>
    <t>ETKT 4833006472664</t>
  </si>
  <si>
    <t>13NOV-21NOV</t>
  </si>
  <si>
    <t>LBV-DLA-LBV</t>
  </si>
  <si>
    <t>01061/11/25</t>
  </si>
  <si>
    <t>ETCHIFANG MENDOME DAPHNE AURORE MRS</t>
  </si>
  <si>
    <t>ETKT 27726568989</t>
  </si>
  <si>
    <t>MISS.NZAME MARTHA JACQUELINE JOSIANE</t>
  </si>
  <si>
    <t>ETKT 27726569011</t>
  </si>
  <si>
    <t>16NOV-20NOV</t>
  </si>
  <si>
    <t>01054/11/25</t>
  </si>
  <si>
    <t>ETKT 4833006472666</t>
  </si>
  <si>
    <t>01062/11/25</t>
  </si>
  <si>
    <t>MME NGO BASOP</t>
  </si>
  <si>
    <t>NGOH BASOP EPOUSE MBAMBATH/DANIENELE V</t>
  </si>
  <si>
    <t>ETKT 4833006472665</t>
  </si>
  <si>
    <t>01065/11/25</t>
  </si>
  <si>
    <t>SERAPHIN OLIVIER MR</t>
  </si>
  <si>
    <t>EVISA-SNEDAI</t>
  </si>
  <si>
    <t xml:space="preserve">VISA COTE D IVOIRE </t>
  </si>
  <si>
    <t>BLAIRIO GIOCOMONI MR</t>
  </si>
  <si>
    <t>ARIELLE AUDREY MRS</t>
  </si>
  <si>
    <t>OLIVIA BIBIANA MRS</t>
  </si>
  <si>
    <t>17NOV-16DEC</t>
  </si>
  <si>
    <t>01064/11/25</t>
  </si>
  <si>
    <t>ETKT 0823511998688</t>
  </si>
  <si>
    <t>14NOV-16NOV</t>
  </si>
  <si>
    <t>DLA-LBV-*DLA</t>
  </si>
  <si>
    <t>01063/11/25</t>
  </si>
  <si>
    <t>MEKUATE FLAURIDE LAURE MRS</t>
  </si>
  <si>
    <t>ETKT 27726585384</t>
  </si>
  <si>
    <t>BOUNANG POEME LIONEL FRANKY MR</t>
  </si>
  <si>
    <t>NTOUMBA MINSONGUI SIMEON JOEL MR</t>
  </si>
  <si>
    <t>0014/11/2025</t>
  </si>
  <si>
    <t>CONCIERGERIE HIERARCHIE C+</t>
  </si>
  <si>
    <t>16NOV-21NOV</t>
  </si>
  <si>
    <t>01067/11/25</t>
  </si>
  <si>
    <t>YETGANG KENGNE/BLAIRO GIACOMONI</t>
  </si>
  <si>
    <t>ETKT 4833006472668</t>
  </si>
  <si>
    <t>01068/11/25</t>
  </si>
  <si>
    <t xml:space="preserve"> DZOU/SERAPHIN OLIVIER</t>
  </si>
  <si>
    <t>ETKT 4833006472669</t>
  </si>
  <si>
    <t>01068/11/2025</t>
  </si>
  <si>
    <t xml:space="preserve">KAMENI LEUGUEU/ARIELLE AUDREY </t>
  </si>
  <si>
    <t xml:space="preserve">ETKT 4833006472670 </t>
  </si>
  <si>
    <t>01066/11/2025</t>
  </si>
  <si>
    <t xml:space="preserve">TIANI VESSAH/OLIVIA BIBIANA TCHANGAIN </t>
  </si>
  <si>
    <t xml:space="preserve">ETKT 4833006472671 </t>
  </si>
  <si>
    <t>22NOV-03DEC</t>
  </si>
  <si>
    <t>01071/11/25</t>
  </si>
  <si>
    <t>MR KETCHA MANGWI</t>
  </si>
  <si>
    <t xml:space="preserve">KETCHA MANGWI EPSE TESSA/GHISLAINE MRS </t>
  </si>
  <si>
    <t xml:space="preserve">ETKT 0713006472667 </t>
  </si>
  <si>
    <t>21NOV-25NOV</t>
  </si>
  <si>
    <t>01070/11/25</t>
  </si>
  <si>
    <t>MR MANGOUA</t>
  </si>
  <si>
    <t xml:space="preserve">MANGOUA/FERDINAND MR </t>
  </si>
  <si>
    <t xml:space="preserve">ETKT 0823006465444 </t>
  </si>
  <si>
    <t xml:space="preserve">DJOUEYEP NGANKEM EPSE MANGOUA/LAURENCE </t>
  </si>
  <si>
    <t xml:space="preserve">ETKT 0823006465445 </t>
  </si>
  <si>
    <t>21NOV-16DEC</t>
  </si>
  <si>
    <t>DLA-ORY-DLA</t>
  </si>
  <si>
    <t>01069/11/25</t>
  </si>
  <si>
    <t>MR TEKAM</t>
  </si>
  <si>
    <t>TEKAM NJOPNANG/HUGES YANICK MR</t>
  </si>
  <si>
    <t>ETKT 1242952145302</t>
  </si>
  <si>
    <t>23NOV-26NOV</t>
  </si>
  <si>
    <t>01053/11/25</t>
  </si>
  <si>
    <t>ELANGA SOPPI EPSE EBOA/GISELLE MRS</t>
  </si>
  <si>
    <t>ETKT 0322952149673</t>
  </si>
  <si>
    <t>20NOV-01DEC</t>
  </si>
  <si>
    <t>NSI-ABJ-DLA</t>
  </si>
  <si>
    <t>01074/11/25</t>
  </si>
  <si>
    <t>KAGOU/GEORGE LEOPOLD MR</t>
  </si>
  <si>
    <t>ETKT 4833006472680</t>
  </si>
  <si>
    <t>01075/11/25</t>
  </si>
  <si>
    <t>SIEGE</t>
  </si>
  <si>
    <t>18NOV-21NOV</t>
  </si>
  <si>
    <t>01072/11/25</t>
  </si>
  <si>
    <t>KALABAK/JEAN CALVIN MR</t>
  </si>
  <si>
    <t>ETKT 4593006472679</t>
  </si>
  <si>
    <t>18NOV-19DEC</t>
  </si>
  <si>
    <t>DLA-BLR-DLA</t>
  </si>
  <si>
    <t>01073/11/25</t>
  </si>
  <si>
    <t>ACHALE/RODERICK ESSOH MR</t>
  </si>
  <si>
    <t>ETKT 0713006472678</t>
  </si>
  <si>
    <t>18NOV-22NOV</t>
  </si>
  <si>
    <t>NSI-DXB-NSI</t>
  </si>
  <si>
    <t>01076/11/25</t>
  </si>
  <si>
    <t>LYNZE/ENGELINE MAGLOIRE MRS</t>
  </si>
  <si>
    <t>ETKT 0713006472676</t>
  </si>
  <si>
    <t>BIYEGUE II/CHRISTIAN SERGE MINKOUMOU</t>
  </si>
  <si>
    <t>ETKT 0713006472677</t>
  </si>
  <si>
    <t>ABJ-NSI</t>
  </si>
  <si>
    <t>01080/11/25</t>
  </si>
  <si>
    <t>ETKT 4833006472681</t>
  </si>
  <si>
    <t>01DEC-16DEC</t>
  </si>
  <si>
    <t>01079/11/25</t>
  </si>
  <si>
    <t>MR KANA</t>
  </si>
  <si>
    <t>KANA KEMGANG/PATRICE JIMMY MR</t>
  </si>
  <si>
    <t>01078/11/25</t>
  </si>
  <si>
    <t>MME TESSA</t>
  </si>
  <si>
    <t>FRAIS VISA DUBAI</t>
  </si>
  <si>
    <t>23NOV-23NOV</t>
  </si>
  <si>
    <t>01077/11/25</t>
  </si>
  <si>
    <t>MR GUIFO</t>
  </si>
  <si>
    <t>GUIFO/STEPHANE PROSPER FOSSI</t>
  </si>
  <si>
    <t>ETKT 0403023384197</t>
  </si>
  <si>
    <t>01081/11/2025</t>
  </si>
  <si>
    <t>MME BRIGITTE</t>
  </si>
  <si>
    <t>SOUB GOUNOUO EP NYOKON SECKE A BESSONG/CHRITELLE AUDREY</t>
  </si>
  <si>
    <t>ETKT 0403023384667</t>
  </si>
  <si>
    <t>01082/11/25</t>
  </si>
  <si>
    <t>AMS</t>
  </si>
  <si>
    <t>MEDJO MEVA A EP TSITSOL/NAOMIE MIRABELLE</t>
  </si>
  <si>
    <t>ETKT 0573006472682</t>
  </si>
  <si>
    <t>TSITSOL/SHARONNE LOREEN</t>
  </si>
  <si>
    <t>ETKT 0573006472683</t>
  </si>
  <si>
    <t>26NOV-22JAN</t>
  </si>
  <si>
    <t>DLA-LED-DLA</t>
  </si>
  <si>
    <t>01086/11/25</t>
  </si>
  <si>
    <t>MME TETSAFOUET</t>
  </si>
  <si>
    <t>TETSAFOUET MEDIEU/RAISSA VANELLE MRS</t>
  </si>
  <si>
    <t>ETKT 2353006465446</t>
  </si>
  <si>
    <t>21NOV-28MAY</t>
  </si>
  <si>
    <t>01084/11/25</t>
  </si>
  <si>
    <t>ABBASSI/RAOUF MR</t>
  </si>
  <si>
    <t>733 200</t>
  </si>
  <si>
    <t>ETKT 1473006472684</t>
  </si>
  <si>
    <t>01083/11/25</t>
  </si>
  <si>
    <t>ETKT 4832402203773</t>
  </si>
  <si>
    <t>09DEC-16DEC</t>
  </si>
  <si>
    <t>01085/11/25</t>
  </si>
  <si>
    <t>MAMO KADJIE/LUC MR</t>
  </si>
  <si>
    <t>ETKT 0403023384675</t>
  </si>
  <si>
    <t>21NOV-26MAY</t>
  </si>
  <si>
    <t>01089/11/25</t>
  </si>
  <si>
    <t>GUEDIMA/SADIK MR</t>
  </si>
  <si>
    <t>ETKT 1473006472691</t>
  </si>
  <si>
    <t>15DEC-18JAN</t>
  </si>
  <si>
    <t>DLA-TUN-CAI-DLA</t>
  </si>
  <si>
    <t>ETKT 147 3006 472693-694</t>
  </si>
  <si>
    <t>18FEB-05MAR</t>
  </si>
  <si>
    <t>01087/11/25</t>
  </si>
  <si>
    <t>198 900</t>
  </si>
  <si>
    <t>ETKT 0573006472685</t>
  </si>
  <si>
    <t>ETKT 0573006472686</t>
  </si>
  <si>
    <t>09DEC</t>
  </si>
  <si>
    <t>FIH-LFW-DLA</t>
  </si>
  <si>
    <t>01088/11/25</t>
  </si>
  <si>
    <t>TAMBA ZAPO/PAUL ZEPHYRIN MR</t>
  </si>
  <si>
    <t>ETKT 0322101799591</t>
  </si>
  <si>
    <t>DLA-RAK-DLA</t>
  </si>
  <si>
    <t>01101/11/25</t>
  </si>
  <si>
    <t>GOLTE/AMADEUS</t>
  </si>
  <si>
    <t>ETKT 1475528873546</t>
  </si>
  <si>
    <t>18DEC-19DC</t>
  </si>
  <si>
    <t>01095/11/25</t>
  </si>
  <si>
    <t>MR SONE</t>
  </si>
  <si>
    <t>SONE EKOLO/XAVIER MR</t>
  </si>
  <si>
    <t>ETKT 4595528874274</t>
  </si>
  <si>
    <t>01094/11/25</t>
  </si>
  <si>
    <t>ETKT 1472425110947</t>
  </si>
  <si>
    <t>06JAN-12JAN</t>
  </si>
  <si>
    <t>01093/11/25</t>
  </si>
  <si>
    <t>ETKT 0713006472695</t>
  </si>
  <si>
    <t>22JUN-23JUN</t>
  </si>
  <si>
    <t>DLA-BQC</t>
  </si>
  <si>
    <t>01097/11/25</t>
  </si>
  <si>
    <t>MME NGANI MIRELLE</t>
  </si>
  <si>
    <t>FANCHEY/JOAKIM NOUDEM</t>
  </si>
  <si>
    <t>ETKT 0573006472696</t>
  </si>
  <si>
    <t>FANCHEY/JULES NOUDEM</t>
  </si>
  <si>
    <t>ETKT 0573006472697</t>
  </si>
  <si>
    <t>01096/11/25</t>
  </si>
  <si>
    <t>MARTHA BA EVINA/THAISSA MRS</t>
  </si>
  <si>
    <t>ETKT 0572341826960</t>
  </si>
  <si>
    <t>/PERTE</t>
  </si>
  <si>
    <t>23NOV-07DEC</t>
  </si>
  <si>
    <t>01098/11/25</t>
  </si>
  <si>
    <t>NGAKO KETCHANGA/CEDRIC MATHIEU</t>
  </si>
  <si>
    <t>ETKT 0575528871989</t>
  </si>
  <si>
    <t>10 feb 2026</t>
  </si>
  <si>
    <t>01099/11/25</t>
  </si>
  <si>
    <t>NOUTCHOUGOUIN MAGNE EPSE GUIFO/ODETTE MRS</t>
  </si>
  <si>
    <t>ETKT 0822303390534</t>
  </si>
  <si>
    <t>20DEC-14JAN</t>
  </si>
  <si>
    <t>YUL-DLA-YUL</t>
  </si>
  <si>
    <t>01100/11/25</t>
  </si>
  <si>
    <t>NJOUME FELIX</t>
  </si>
  <si>
    <t>NJOUME/FELIXIA MARCELLE MS</t>
  </si>
  <si>
    <t>ETKT 0575528875252</t>
  </si>
  <si>
    <t>16DEC-10JAN</t>
  </si>
  <si>
    <t>MAN-DLA-MAN</t>
  </si>
  <si>
    <t>NJOUME/DIVINE KORETTA MS</t>
  </si>
  <si>
    <t>ETKT 0825528875259</t>
  </si>
  <si>
    <t>01205/12/25</t>
  </si>
  <si>
    <t>NGO NONJOCK/DAMARIS PATIENCE</t>
  </si>
  <si>
    <t>ETKT 0403023385024</t>
  </si>
  <si>
    <t>IB</t>
  </si>
  <si>
    <t>01DEC</t>
  </si>
  <si>
    <t>PNA-MAD</t>
  </si>
  <si>
    <t>01107/11/25</t>
  </si>
  <si>
    <t>ETKT 1255073552582</t>
  </si>
  <si>
    <t>ETKT 1255073552583</t>
  </si>
  <si>
    <t>ABJ-CMN</t>
  </si>
  <si>
    <t>01108/11/25</t>
  </si>
  <si>
    <t>ETKT 1475528875513</t>
  </si>
  <si>
    <t>01109/11/25</t>
  </si>
  <si>
    <t xml:space="preserve">KWEMO </t>
  </si>
  <si>
    <t>KWEMO/ANGELLE BRIGITTE</t>
  </si>
  <si>
    <t>ETKT 0403023385035</t>
  </si>
  <si>
    <t>01DEC-11DEC</t>
  </si>
  <si>
    <t>01105/11/25</t>
  </si>
  <si>
    <t>NEPTURNE</t>
  </si>
  <si>
    <t>NGO BIKOK EPSE HAGBE/MADELEINE MARIE MRS</t>
  </si>
  <si>
    <t>ETKT 0323006472701</t>
  </si>
  <si>
    <t>MBALLA EPSE AMOUGOU /GISELE MRS</t>
  </si>
  <si>
    <t>ETKT 0323006472700</t>
  </si>
  <si>
    <t>BIKOK/MARIE CATHERINE MRS</t>
  </si>
  <si>
    <t>ETKT 0323006472698</t>
  </si>
  <si>
    <t>MME EYOK</t>
  </si>
  <si>
    <t>EYOK EPSE MISSINGA/LYDIE NATHALIE MRS</t>
  </si>
  <si>
    <t>ETKT 0323006472699</t>
  </si>
  <si>
    <t>27nov-dec</t>
  </si>
  <si>
    <t>NSI DXB NSI</t>
  </si>
  <si>
    <t>01113/11/25</t>
  </si>
  <si>
    <t>ONANA</t>
  </si>
  <si>
    <t>BELIBY MFOUMOU / LYSETTE ESTHER MRS</t>
  </si>
  <si>
    <t>2 098 800</t>
  </si>
  <si>
    <t>1 921 720</t>
  </si>
  <si>
    <t>ETKT 0713006465450</t>
  </si>
  <si>
    <t>05DEC-31JAN</t>
  </si>
  <si>
    <t>DLA MRS DLA</t>
  </si>
  <si>
    <t>01111/11/25</t>
  </si>
  <si>
    <t>EYOUM LINDA</t>
  </si>
  <si>
    <t>TSAKEM EPSE TIOFACK/ANGELINE CLAUDINE</t>
  </si>
  <si>
    <t>699 800</t>
  </si>
  <si>
    <t>629 720</t>
  </si>
  <si>
    <t>ETKT 0823006465451</t>
  </si>
  <si>
    <t>MAD BRU</t>
  </si>
  <si>
    <t>01112/11/25</t>
  </si>
  <si>
    <t>WOKAM KWOKAM/GAELLE OLIVIA</t>
  </si>
  <si>
    <t>483 500</t>
  </si>
  <si>
    <t>444 160</t>
  </si>
  <si>
    <t>ETKT 1255511730498</t>
  </si>
  <si>
    <t>05MAY-12MAY</t>
  </si>
  <si>
    <t>DLA PAR DLA</t>
  </si>
  <si>
    <t>01110/11/25</t>
  </si>
  <si>
    <t>NOUTCHOGOUIN MAGNE EPSE GUIFO/ODETTE MRS</t>
  </si>
  <si>
    <t>189 700</t>
  </si>
  <si>
    <t>144 700</t>
  </si>
  <si>
    <t>45 000</t>
  </si>
  <si>
    <t>ETKT 0822303390582</t>
  </si>
  <si>
    <t>18DEC-17JAN</t>
  </si>
  <si>
    <t>EWR-DLA-EWR</t>
  </si>
  <si>
    <t>01116/11/25</t>
  </si>
  <si>
    <t>ZEBAZE/PIERRE ROGER MR</t>
  </si>
  <si>
    <t>ETKT 2355528877504</t>
  </si>
  <si>
    <t>01115/11/25</t>
  </si>
  <si>
    <t>ETKT 1475528877401</t>
  </si>
  <si>
    <t>30NOV-08JAN</t>
  </si>
  <si>
    <t>CDG-NSI-CDG</t>
  </si>
  <si>
    <t>01114/11/25</t>
  </si>
  <si>
    <t xml:space="preserve">MME TESSA </t>
  </si>
  <si>
    <t>TESSA LEM/ANAELLE JACQUELINE MS</t>
  </si>
  <si>
    <t>ETKT 0575528876876</t>
  </si>
  <si>
    <t>27NOV-29NOV</t>
  </si>
  <si>
    <t>01117/11/25</t>
  </si>
  <si>
    <t>NGATCHOU MR</t>
  </si>
  <si>
    <t>SACKO/DJIBRIL MR</t>
  </si>
  <si>
    <t>ETKT 1762997364633</t>
  </si>
  <si>
    <t>01106/11/25</t>
  </si>
  <si>
    <t>30NOV-07DEC</t>
  </si>
  <si>
    <t>01119/11/25</t>
  </si>
  <si>
    <t>ETKT 0325528876960</t>
  </si>
  <si>
    <t>19DEC-05JAN</t>
  </si>
  <si>
    <t>01118/11/25</t>
  </si>
  <si>
    <t>MR TCHATCHUE</t>
  </si>
  <si>
    <t>ASSOUN / ERIC MR</t>
  </si>
  <si>
    <t>ETKT 0325528878025</t>
  </si>
  <si>
    <t>18DEC-27DEC</t>
  </si>
  <si>
    <t>01120/11/25</t>
  </si>
  <si>
    <t>ZEBAZE/MIREILLE DONCHI MRS</t>
  </si>
  <si>
    <t>ETKT 0575528876942</t>
  </si>
  <si>
    <t>ZEBAZE KENFACK/JONATHAN IDAR MSTR</t>
  </si>
  <si>
    <t>ETKT 0575528876938</t>
  </si>
  <si>
    <t>ZEBAZE/LARRY TAKOUZIM MR</t>
  </si>
  <si>
    <t>ETKT 0575528876941</t>
  </si>
  <si>
    <t>ZEBAZE/KYLE MEMDEM MSTR</t>
  </si>
  <si>
    <t>ETKT 0575528876940</t>
  </si>
  <si>
    <t>ZEBAZE/CHELSEA DONCHI MS</t>
  </si>
  <si>
    <t>ETKT 0575528876939</t>
  </si>
  <si>
    <t>03DEC-27DEC</t>
  </si>
  <si>
    <t>DLA-CAN-CDG-DLA</t>
  </si>
  <si>
    <t>01122/11/25</t>
  </si>
  <si>
    <t>LEKEUME MBOULA/KEVIN BASILE MR</t>
  </si>
  <si>
    <t>ETKT 0713006465458-459</t>
  </si>
  <si>
    <t>02DEC-07DEC</t>
  </si>
  <si>
    <t>AUH-CDG-AUH</t>
  </si>
  <si>
    <t>01121/11/25</t>
  </si>
  <si>
    <t>OUBELLA/ABDESLAM</t>
  </si>
  <si>
    <t>ETKT 1575528876989</t>
  </si>
  <si>
    <t>01123/11/25</t>
  </si>
  <si>
    <t>KEMENI/NICOLAS MR</t>
  </si>
  <si>
    <t>ETKT 0713006465460/4</t>
  </si>
  <si>
    <t>AVANCE 03</t>
  </si>
  <si>
    <t>RGLT</t>
  </si>
  <si>
    <t>SOLDE</t>
  </si>
  <si>
    <t>DATE RGLT</t>
  </si>
  <si>
    <t>MODE RGLT</t>
  </si>
  <si>
    <t>OBSERVATION</t>
  </si>
  <si>
    <t>05OCT-08OCT</t>
  </si>
  <si>
    <t>00940/10/2025</t>
  </si>
  <si>
    <t xml:space="preserve">BUNANG POUEME/LIONEL FRANKY MR </t>
  </si>
  <si>
    <t>ETKT 323006472578</t>
  </si>
  <si>
    <t>28OCT-12FEB</t>
  </si>
  <si>
    <t>00939/10/2025</t>
  </si>
  <si>
    <t>CABINET DENTAIRE G2</t>
  </si>
  <si>
    <t>GAMGNE GUIADEM/CATHERINE MARCELLE</t>
  </si>
  <si>
    <t>ETTK 0823511998682</t>
  </si>
  <si>
    <t>26DEC-12DEC</t>
  </si>
  <si>
    <t>00938/10/2025</t>
  </si>
  <si>
    <t>ETKT 1472952122529</t>
  </si>
  <si>
    <t>03OCT-04OCT</t>
  </si>
  <si>
    <t>00937/10/2025</t>
  </si>
  <si>
    <t>MR ROMEO ARISTIDE/FOKOUA KUMO</t>
  </si>
  <si>
    <t>ETKT 0400300041828</t>
  </si>
  <si>
    <t>03OCT-27OCT</t>
  </si>
  <si>
    <t>00936/10/2025</t>
  </si>
  <si>
    <t xml:space="preserve">NGUETSE YMELE/MATHIAS MR </t>
  </si>
  <si>
    <t>EMD 0571847111152</t>
  </si>
  <si>
    <t>BAG SUPP</t>
  </si>
  <si>
    <t>KP/HF</t>
  </si>
  <si>
    <t>03OCT-05OCT</t>
  </si>
  <si>
    <t>00941/10/2025</t>
  </si>
  <si>
    <t>ETKT 0323006472575/4833006472576</t>
  </si>
  <si>
    <t>17OCT-02NOV</t>
  </si>
  <si>
    <t>NSI-CDG-YQB-NSI</t>
  </si>
  <si>
    <t>EBOKO/GEORGES MR</t>
  </si>
  <si>
    <t>ETKT 0822952122356</t>
  </si>
  <si>
    <t xml:space="preserve">BELINGA ZANG/DANIEL CHRISTIAN MR
</t>
  </si>
  <si>
    <t>ETKT 0822952122354</t>
  </si>
  <si>
    <t>ISHAGA/DAOUDA MR</t>
  </si>
  <si>
    <t>ETKT 0822952122358</t>
  </si>
  <si>
    <t>LAH KOUOTOU/VALENTIN MR</t>
  </si>
  <si>
    <t>ETKT 0822952122360</t>
  </si>
  <si>
    <t>MASSOMA/PANDONG MR</t>
  </si>
  <si>
    <t>ETKT 0822952122362</t>
  </si>
  <si>
    <t>MENANGA/LISETTE MRS</t>
  </si>
  <si>
    <t>ETKT 0822952122364</t>
  </si>
  <si>
    <t>NANKEP/PIERRE LOTIS MR</t>
  </si>
  <si>
    <t>ETKT 0822952122366</t>
  </si>
  <si>
    <t>NGONO EPSE EDZOA/BERNADETTE MARLYSE MRS</t>
  </si>
  <si>
    <t>ETKT 0822952122368</t>
  </si>
  <si>
    <t>NNA OSSAMA/ETIENNE MR   8.NZOGANG/PATRICK MR</t>
  </si>
  <si>
    <t>ETKT 0822952122370</t>
  </si>
  <si>
    <t>NZOGANG/PATRICK MR</t>
  </si>
  <si>
    <t>ETKT 0822952122372</t>
  </si>
  <si>
    <t>04OCT-06OCT</t>
  </si>
  <si>
    <t>00943/10/2025</t>
  </si>
  <si>
    <t xml:space="preserve">OWONA AMBANI/JOSEPHINE REGINE MRS </t>
  </si>
  <si>
    <t>ETKT 0573006472585</t>
  </si>
  <si>
    <t>CAISSE</t>
  </si>
  <si>
    <t>00944/10/2025</t>
  </si>
  <si>
    <t>MME NDONGMO</t>
  </si>
  <si>
    <t>ANGELE BERLINE MRS NDONGMO NGANA EPSE KANA</t>
  </si>
  <si>
    <t>ETKT 08235111998683</t>
  </si>
  <si>
    <t>06/10/2025 21/10/2025</t>
  </si>
  <si>
    <t>OM             CM</t>
  </si>
  <si>
    <t>00945/10/2025</t>
  </si>
  <si>
    <t>ETKT 0400200600488</t>
  </si>
  <si>
    <t>05OCT-11OCT</t>
  </si>
  <si>
    <t>00942/10/2025</t>
  </si>
  <si>
    <t>ETKT 0573006472582</t>
  </si>
  <si>
    <t>12OCT-20OCT</t>
  </si>
  <si>
    <t>LBV-CDG-LBV</t>
  </si>
  <si>
    <t xml:space="preserve">OVONO NGOUA/THERESA HELENA MRS </t>
  </si>
  <si>
    <t>ETKT 0573006472583</t>
  </si>
  <si>
    <t>08OCT-23OCT</t>
  </si>
  <si>
    <t>NSI-BRU-NSI</t>
  </si>
  <si>
    <t>00948/10/2025</t>
  </si>
  <si>
    <t>RAF</t>
  </si>
  <si>
    <t>ETOUNDI BIYIDI/SIMON PIERRE MR</t>
  </si>
  <si>
    <t>ETKT 2352952122895</t>
  </si>
  <si>
    <t>14OCT-19OCT</t>
  </si>
  <si>
    <t>00947/10/2025</t>
  </si>
  <si>
    <t>AFB</t>
  </si>
  <si>
    <t xml:space="preserve">FOTADZONG TCHIO/THEOPHILE MR </t>
  </si>
  <si>
    <t>ETKT 0323006472580</t>
  </si>
  <si>
    <t>24OCT-22NOV</t>
  </si>
  <si>
    <t>NDOUTOU BEDINE</t>
  </si>
  <si>
    <t>NDOUTOU BEDINE EPSE BENDOUKELEKI/EUGENIE</t>
  </si>
  <si>
    <t>ETKT 4592952122927</t>
  </si>
  <si>
    <t>00946/10/2025</t>
  </si>
  <si>
    <t>ELECT ENGENERING</t>
  </si>
  <si>
    <t>ETKT 4833006472581</t>
  </si>
  <si>
    <t>09OCT-13OCT</t>
  </si>
  <si>
    <t>DLA-OUA-DLA</t>
  </si>
  <si>
    <t>00949/10/2025</t>
  </si>
  <si>
    <t xml:space="preserve">BATTA/FERDINAND ARSENE JOEL MR </t>
  </si>
  <si>
    <t>ETKT 4833006472586</t>
  </si>
  <si>
    <t>NGOKOBI NDOCKO/JOAN IVAN</t>
  </si>
  <si>
    <t>ETHIOPIAN</t>
  </si>
  <si>
    <t>ETKT 0712155738374</t>
  </si>
  <si>
    <t>05OCT-20DEC</t>
  </si>
  <si>
    <t>01056/11/25</t>
  </si>
  <si>
    <t>TESSA LONZI/YANIS EMMANUEL</t>
  </si>
  <si>
    <t>1010820-945820=65000</t>
  </si>
  <si>
    <t>ETKT 07121565746398</t>
  </si>
  <si>
    <t xml:space="preserve"> REFUND 06/11/2025</t>
  </si>
  <si>
    <t>CMN-DLA</t>
  </si>
  <si>
    <t xml:space="preserve">HOT/JUNIOR THIERRY MR </t>
  </si>
  <si>
    <t>ETKT 1473006472587</t>
  </si>
  <si>
    <t>00952/11/2025</t>
  </si>
  <si>
    <t>ETKT 7062952124404</t>
  </si>
  <si>
    <t>MR DJAMEN</t>
  </si>
  <si>
    <t>ETKT 0400300041829</t>
  </si>
  <si>
    <t>10OCT-16OCT</t>
  </si>
  <si>
    <t>00954/10/2025</t>
  </si>
  <si>
    <t>MR MBOUNGENG</t>
  </si>
  <si>
    <t xml:space="preserve">MBOUNGUENG DINKOU/CHATRICK JOVIL MR </t>
  </si>
  <si>
    <t>ETKT 4833006472589</t>
  </si>
  <si>
    <t>REFUND 09/11/25</t>
  </si>
  <si>
    <t>05NOV-20NOV</t>
  </si>
  <si>
    <t>00956/11/2025</t>
  </si>
  <si>
    <t>MIRABEL TRAVEL</t>
  </si>
  <si>
    <t>TADJEU NDIE/MERLIN MR</t>
  </si>
  <si>
    <t>MIRABEL</t>
  </si>
  <si>
    <t>ETKT 2353006472591</t>
  </si>
  <si>
    <t>FOPA/DAVID NGU MR</t>
  </si>
  <si>
    <t>CDG-NSI</t>
  </si>
  <si>
    <t>00957/11/2025</t>
  </si>
  <si>
    <t xml:space="preserve">NANPO ABANDA BOSSOMO/BLANCHE ULRICH </t>
  </si>
  <si>
    <t>ETKT 0573006472590</t>
  </si>
  <si>
    <t>17OCT-25OCT</t>
  </si>
  <si>
    <t>DLA-DAR-DLA</t>
  </si>
  <si>
    <t>01039/11/2025</t>
  </si>
  <si>
    <t>PREMIUM INSURANCE BROKERS</t>
  </si>
  <si>
    <t>NGANI MEIGNIDON DIFFO/MIRELLE NICAISE ELISE MRS</t>
  </si>
  <si>
    <t>ETKT 0712952126762</t>
  </si>
  <si>
    <t>SURCLASSEMEN</t>
  </si>
  <si>
    <t>10OCT-30MAR</t>
  </si>
  <si>
    <t>00965/11/2025</t>
  </si>
  <si>
    <t>MR TCHACHUE</t>
  </si>
  <si>
    <t xml:space="preserve">AL HABRE KABALAN EPSE TCHACHUE/CYREMA MRS </t>
  </si>
  <si>
    <t>ETKT 0573006472595</t>
  </si>
  <si>
    <t>IAD-DXB</t>
  </si>
  <si>
    <t>00967/11/2025</t>
  </si>
  <si>
    <t>ONANA CYRILLE BERTRAND MR</t>
  </si>
  <si>
    <t>ETKT 1762997361519</t>
  </si>
  <si>
    <t>18OCT-28OCT</t>
  </si>
  <si>
    <t>00966/11/2025</t>
  </si>
  <si>
    <t>MR EKANGO</t>
  </si>
  <si>
    <t>TCHAPTCHET JITEU EPSE KANGO LAURE</t>
  </si>
  <si>
    <t xml:space="preserve">ETKT 0713006472594 </t>
  </si>
  <si>
    <t>EKANGO KOPA NINO MR</t>
  </si>
  <si>
    <t xml:space="preserve">ETKT 0713006472593 </t>
  </si>
  <si>
    <t>00964/11/2025</t>
  </si>
  <si>
    <t>KENAN KAMGANG KAMMOGNE CHD</t>
  </si>
  <si>
    <t>ETKT 0823511998684</t>
  </si>
  <si>
    <t>20OCT-26OCT</t>
  </si>
  <si>
    <t>DLA-MAD-CDG-DLA</t>
  </si>
  <si>
    <t>0001/11/2025</t>
  </si>
  <si>
    <t>ENAMA EPSE ONANA/MARIE LAURE</t>
  </si>
  <si>
    <t>ETKT 0573006472597</t>
  </si>
  <si>
    <t>00322/11/2025</t>
  </si>
  <si>
    <t>ETKT 0573006472598</t>
  </si>
  <si>
    <t>14/102025</t>
  </si>
  <si>
    <t>SN/IB</t>
  </si>
  <si>
    <t>01NOV-01DEC</t>
  </si>
  <si>
    <t>DLA-MAD-PNA-DLA</t>
  </si>
  <si>
    <t>ETKT 1255073248428</t>
  </si>
  <si>
    <t>6404/11/2025</t>
  </si>
  <si>
    <t>NDIANG A BIDIAS EPSE ZOCK A MBAMBA/MARTINE AIME MRS</t>
  </si>
  <si>
    <t>ETKT 1255073248427</t>
  </si>
  <si>
    <t>02NOV-30NOV</t>
  </si>
  <si>
    <t>MAD-PNA-MAD</t>
  </si>
  <si>
    <t>00970/10/2025</t>
  </si>
  <si>
    <t>LA SAARL</t>
  </si>
  <si>
    <t>23OCT-06NOV</t>
  </si>
  <si>
    <t>DLA-CAS-DLA</t>
  </si>
  <si>
    <t>040000/11/2025</t>
  </si>
  <si>
    <t>MIRABELLE TRAVEL</t>
  </si>
  <si>
    <t>NTONE/MADISON INFANT</t>
  </si>
  <si>
    <t>ETKT 1473006472602</t>
  </si>
  <si>
    <t>00984/11/2025</t>
  </si>
  <si>
    <t>MANDAH EPSE TCHANI/DAISSA MRS</t>
  </si>
  <si>
    <t>ETKT 1473006472601</t>
  </si>
  <si>
    <t>16OCT-16OCT</t>
  </si>
  <si>
    <t>60511/11/2025</t>
  </si>
  <si>
    <t>HARVEST AM</t>
  </si>
  <si>
    <t>LIONEL FRANKY/BUNANG POEME MR</t>
  </si>
  <si>
    <t>ETKT 0400300041831</t>
  </si>
  <si>
    <t>16OCT-18OCT</t>
  </si>
  <si>
    <t>60500/11/2025</t>
  </si>
  <si>
    <t>MR CYILLE JUNIOR/DONGMO KENMOGNE</t>
  </si>
  <si>
    <t>ETKT 0400300041830</t>
  </si>
  <si>
    <t>00500/11/2025</t>
  </si>
  <si>
    <t>MME ALOUGOU</t>
  </si>
  <si>
    <t>ALOUGOU ETENDE/GENEVIEVE CARINE MRS</t>
  </si>
  <si>
    <t>ETKT 4832952130562</t>
  </si>
  <si>
    <t>16OCT-19OCT</t>
  </si>
  <si>
    <t>DLA-ACC-DLA</t>
  </si>
  <si>
    <t>00975/10/2025</t>
  </si>
  <si>
    <t>JIOFACK KITIO/GUILLAUME MR</t>
  </si>
  <si>
    <t>ETKT 0323006472603</t>
  </si>
  <si>
    <t>05NOV-06NOV</t>
  </si>
  <si>
    <t>80544/11/2025</t>
  </si>
  <si>
    <t>MME NGANI</t>
  </si>
  <si>
    <t>ETKT 0572952130569</t>
  </si>
  <si>
    <t>17NOV-28NOV</t>
  </si>
  <si>
    <t>DLA-MIL-CDG-DLA</t>
  </si>
  <si>
    <t>00986/11/2025</t>
  </si>
  <si>
    <t>MR DJAPOM NANA</t>
  </si>
  <si>
    <t>DJAPOM NANA/JOB STEPHANE MR</t>
  </si>
  <si>
    <t>ETKT 2353006472604-605</t>
  </si>
  <si>
    <t>11NOV-16NOV</t>
  </si>
  <si>
    <t>DLA-KGL-DLA</t>
  </si>
  <si>
    <t>00985/11/2025</t>
  </si>
  <si>
    <t>MME NSOM EPSE EKOKA/CHARLOTTE MARIE</t>
  </si>
  <si>
    <t>MME EPSE EKOKA/CHARLOTTE MARIE</t>
  </si>
  <si>
    <t>ETKT 4593006472606</t>
  </si>
  <si>
    <t>00600/11/2025</t>
  </si>
  <si>
    <t>EMD 0571847111153</t>
  </si>
  <si>
    <t>19JAN-31JAN</t>
  </si>
  <si>
    <t>00700/11/2025</t>
  </si>
  <si>
    <t>BERNARD/YVES ALAIN ALEXIS MR</t>
  </si>
  <si>
    <t>ETKT 0573006472607</t>
  </si>
  <si>
    <t>13DEC-21DEC</t>
  </si>
  <si>
    <t>POKASSA/CHOUAIBOU MR</t>
  </si>
  <si>
    <t>ETKT 0573006472608</t>
  </si>
  <si>
    <t>080000/11/2025</t>
  </si>
  <si>
    <t>MR GUIMEYA</t>
  </si>
  <si>
    <t>MR GREGOIRE/JIOGUE</t>
  </si>
  <si>
    <t>ETKT 0400200603587</t>
  </si>
  <si>
    <t>20DEC-07JAN</t>
  </si>
  <si>
    <t>MUC-DLA-MUC</t>
  </si>
  <si>
    <t>80888/11/2025</t>
  </si>
  <si>
    <t>ELSNER/JOHANN MR</t>
  </si>
  <si>
    <t>ETKT 2353006472611</t>
  </si>
  <si>
    <t>00800/11/2025</t>
  </si>
  <si>
    <t>ETKT 2353006465382</t>
  </si>
  <si>
    <t>19OCT-31OCT</t>
  </si>
  <si>
    <t>0008/11/2025</t>
  </si>
  <si>
    <t>ETKT 0323006472612</t>
  </si>
  <si>
    <t>19OCT-27OCT</t>
  </si>
  <si>
    <t>NANA EMERENCIEN/IVAN FORTUNE MR</t>
  </si>
  <si>
    <t>ETKT 0712952133207</t>
  </si>
  <si>
    <t>21OCT-27OCT</t>
  </si>
  <si>
    <t>NSI-CKY-NSI</t>
  </si>
  <si>
    <t>MANGA ZAMBO</t>
  </si>
  <si>
    <t>ETKT 0712952133208</t>
  </si>
  <si>
    <t>4808/11/2025</t>
  </si>
  <si>
    <t>ETKT 0713006472613</t>
  </si>
  <si>
    <t>09NOV-10DEC</t>
  </si>
  <si>
    <t>LYS-LBV-LYS</t>
  </si>
  <si>
    <t>00833/11/2025</t>
  </si>
  <si>
    <t>ETKT 0573006472614</t>
  </si>
  <si>
    <t>28OCT-19NOV</t>
  </si>
  <si>
    <t>MAFFO/ALINE PRUDENCE</t>
  </si>
  <si>
    <t>ETKT 0773006472610</t>
  </si>
  <si>
    <t>TIOGNOU SEGINE /PIERRE MR</t>
  </si>
  <si>
    <t>ETKT 0773006472609</t>
  </si>
  <si>
    <t>23OCT-29OCT</t>
  </si>
  <si>
    <t>DLA GVA DLA</t>
  </si>
  <si>
    <t>WAFO JEAN PAUL</t>
  </si>
  <si>
    <t>WAFO/JEAN PAUL MR</t>
  </si>
  <si>
    <t>ETKT 0822952133749</t>
  </si>
  <si>
    <t>10DEC-15DEC</t>
  </si>
  <si>
    <t>DLA-FIH-DLA</t>
  </si>
  <si>
    <t>01051/10/2025</t>
  </si>
  <si>
    <t>MME KANA ELONG</t>
  </si>
  <si>
    <t>ELONG NTSAMA EPSE KANA/NATHALIE MRS</t>
  </si>
  <si>
    <t>ETKT 0713006472615</t>
  </si>
  <si>
    <t>00099/11/2025</t>
  </si>
  <si>
    <t>MR TSOBZE</t>
  </si>
  <si>
    <t>KENGMO TSOBZE/ALEXIS HUBERT MR</t>
  </si>
  <si>
    <t>05NOV-10NOV</t>
  </si>
  <si>
    <t>LOS-BKK-LOS</t>
  </si>
  <si>
    <t>9000/11/2025</t>
  </si>
  <si>
    <t>AKINTOMIDE/CECILIA OLUBUKOLA</t>
  </si>
  <si>
    <t>ETKT 0712156074043</t>
  </si>
  <si>
    <t>17OCT-08NOV</t>
  </si>
  <si>
    <t>00100/11/2025</t>
  </si>
  <si>
    <t>ETKT 0822952134240-41</t>
  </si>
  <si>
    <t>18NOV-24NOV</t>
  </si>
  <si>
    <t>NSI-LWF-NSI</t>
  </si>
  <si>
    <t>MR MFOULA</t>
  </si>
  <si>
    <t>DANG EPSE MFOULA/LEONIE SOLANGE MRS</t>
  </si>
  <si>
    <t>ETKT 0323006472618</t>
  </si>
  <si>
    <t>MFOULA MFOULA/DIDIER DESIRE</t>
  </si>
  <si>
    <t>ETKT 0323006472617</t>
  </si>
  <si>
    <t>28OCT-30OCT</t>
  </si>
  <si>
    <t>DLA-LWF-DLA</t>
  </si>
  <si>
    <t>0979/10/2025</t>
  </si>
  <si>
    <t>ETKT 0323006472616</t>
  </si>
  <si>
    <t>17OCT-30OCT</t>
  </si>
  <si>
    <t>NSI-YQB-NSI</t>
  </si>
  <si>
    <t>MR NANKEP</t>
  </si>
  <si>
    <t>ETKT 0822952134265</t>
  </si>
  <si>
    <t>MR ISHAGA</t>
  </si>
  <si>
    <t>ETKT 0822952134261</t>
  </si>
  <si>
    <t>31OCT-02NOV</t>
  </si>
  <si>
    <t>80266/11/2025</t>
  </si>
  <si>
    <t>BIBOUM/EMILIENNE EVANGELINE MRS</t>
  </si>
  <si>
    <t>ETKT 0322952134556</t>
  </si>
  <si>
    <t>8802/11/2025</t>
  </si>
  <si>
    <t>MR TABITAH</t>
  </si>
  <si>
    <t>TA BI TAH/HUGUES YANNICK MR</t>
  </si>
  <si>
    <t>ETKT 0573006472620</t>
  </si>
  <si>
    <t>5002/11/2025</t>
  </si>
  <si>
    <t>TA BI TAH/MAYDEN BETSALEL</t>
  </si>
  <si>
    <t>ETKT 0573006472621</t>
  </si>
  <si>
    <t>TA LOU/KETSIA ABIGAIL</t>
  </si>
  <si>
    <t>ETKT 0573006472622</t>
  </si>
  <si>
    <t>00466/11/2025</t>
  </si>
  <si>
    <t>MRS YOLANDE</t>
  </si>
  <si>
    <t>MBODO/ELISABETH YOLANDE MRS</t>
  </si>
  <si>
    <t>ETKT 0573006427280</t>
  </si>
  <si>
    <t>30OCT-02NOV</t>
  </si>
  <si>
    <t>1804/11/2025</t>
  </si>
  <si>
    <t>MR NGOH</t>
  </si>
  <si>
    <t>NGOH BEBEY MAUCLAIR EP MARTEL/DORETTE BIBIANE</t>
  </si>
  <si>
    <t>ETKT 0573006472624</t>
  </si>
  <si>
    <t>28OCT-02NOV</t>
  </si>
  <si>
    <t>60488/11/2025</t>
  </si>
  <si>
    <t>ETKT 0403023383157</t>
  </si>
  <si>
    <t>17OCT-04NOV</t>
  </si>
  <si>
    <t>NNA OSSAMA/ETIENNE MR</t>
  </si>
  <si>
    <t>ETKT 0822952137114</t>
  </si>
  <si>
    <t>29OCT-02NOV</t>
  </si>
  <si>
    <t>065050/11/2025</t>
  </si>
  <si>
    <t>ETKT 0403023383175</t>
  </si>
  <si>
    <t>80633/11/2025</t>
  </si>
  <si>
    <t>GOLTE</t>
  </si>
  <si>
    <t>ETKT 2353006472628</t>
  </si>
  <si>
    <t>80644/11/2025</t>
  </si>
  <si>
    <t>YIMGANG KAMGA/ZINGA-infant</t>
  </si>
  <si>
    <t>ETKT 2353006472627</t>
  </si>
  <si>
    <t>80600/11/2025</t>
  </si>
  <si>
    <t>ETKT 2353006472625</t>
  </si>
  <si>
    <t>6206/11/2025</t>
  </si>
  <si>
    <t>WANCHE KAMGA/POUESSI KAYLA</t>
  </si>
  <si>
    <t>ETKT 2053006472626</t>
  </si>
  <si>
    <t>SSG-LBV</t>
  </si>
  <si>
    <t>BIYANG OBIANG/ELSA ANTONIA MRS</t>
  </si>
  <si>
    <t>ETKT 27726325997</t>
  </si>
  <si>
    <t>LBV-NSI</t>
  </si>
  <si>
    <t>ETKT 0712156186149</t>
  </si>
  <si>
    <t>21OCT-31OCT</t>
  </si>
  <si>
    <t>CKY-ADD-NSI</t>
  </si>
  <si>
    <t>MR ZAMBO</t>
  </si>
  <si>
    <t>MANGA ZAMBO/JOACHIM YANNICK</t>
  </si>
  <si>
    <t>ETKT 0712952137127</t>
  </si>
  <si>
    <t>23DEC-10JAN</t>
  </si>
  <si>
    <t>00733/11/2025</t>
  </si>
  <si>
    <t>MR AUBIN</t>
  </si>
  <si>
    <t>NOUMEGNE NANKAM/AUBIN DORIS MR</t>
  </si>
  <si>
    <t>ETKT 0823006472629</t>
  </si>
  <si>
    <t>00722/11/2025</t>
  </si>
  <si>
    <t>TCHOUPO DJOUONANG/GILLES JOACHIM</t>
  </si>
  <si>
    <t>ETKT 0823006472630</t>
  </si>
  <si>
    <t>13NOV-16NOV</t>
  </si>
  <si>
    <t>0007/11/2025</t>
  </si>
  <si>
    <t>TANG/CURINUS CHI MR</t>
  </si>
  <si>
    <t>ETKT 2770051865489</t>
  </si>
  <si>
    <t>NZIFACK/DENIS MR</t>
  </si>
  <si>
    <t>ETKT 2770051865490</t>
  </si>
  <si>
    <t>POWOH/INNOCENT YE SENEH MR</t>
  </si>
  <si>
    <t>ETKT 2770051865492</t>
  </si>
  <si>
    <t>ETKT 2770051865491</t>
  </si>
  <si>
    <t>NTOUMBA MINSONGUI/SIMEON JOEL MR</t>
  </si>
  <si>
    <t>ETKT 2770051865494</t>
  </si>
  <si>
    <t>MEKUATE/FLAURIDE LAURE MRS</t>
  </si>
  <si>
    <t>ETKT 2770051865493</t>
  </si>
  <si>
    <t>12NOV-04JAN</t>
  </si>
  <si>
    <t>00900/11/2025</t>
  </si>
  <si>
    <t>MME SOH MBIAKOP</t>
  </si>
  <si>
    <t>SOH KOUDJOU EPSE MBIAKOP/CHRISTNE FELICITE MRS</t>
  </si>
  <si>
    <t>ETKT 0573006472631</t>
  </si>
  <si>
    <t>11NOV-25NOV</t>
  </si>
  <si>
    <t>80044/11/2025</t>
  </si>
  <si>
    <t>MRS JEANNE</t>
  </si>
  <si>
    <t>JEANNE CLAIRE/SIMO KAMDEM</t>
  </si>
  <si>
    <t>ETKT 0823511998686</t>
  </si>
  <si>
    <t>10NOV-07DEC</t>
  </si>
  <si>
    <t>DLA-ATH-DLA</t>
  </si>
  <si>
    <t>80099/11/2025</t>
  </si>
  <si>
    <t>MME EUPHRASIE</t>
  </si>
  <si>
    <t>NZEUTCHO DJIEMO EPSE NKOUMNGO/EUPHRASIE MRS</t>
  </si>
  <si>
    <t>ETKT 2353006472637</t>
  </si>
  <si>
    <t>17NOV-26NOV</t>
  </si>
  <si>
    <t>00000/11/2025</t>
  </si>
  <si>
    <t>DREYFUSS/XAVIER DAVID MR</t>
  </si>
  <si>
    <t>ETKT 0573006472636</t>
  </si>
  <si>
    <t>FABBRI/FILIPPO MR</t>
  </si>
  <si>
    <t>ETKT 0573006472635</t>
  </si>
  <si>
    <t>00055/11/2025</t>
  </si>
  <si>
    <t>TANKWA NJIYEP/ZAVIER BLONDEL</t>
  </si>
  <si>
    <t>ETKT 0403023383353</t>
  </si>
  <si>
    <t>11NOV-04DEC</t>
  </si>
  <si>
    <t>017878/11/2025</t>
  </si>
  <si>
    <t>FOTSO/ALEXIS MR</t>
  </si>
  <si>
    <t>ETKT 0773006472639</t>
  </si>
  <si>
    <t>MBOUGONG TANEFO/CHRIST ANY MR</t>
  </si>
  <si>
    <t>ETKT 0773006472638</t>
  </si>
  <si>
    <t>ETKT 0403023383361</t>
  </si>
  <si>
    <t>EX/PERTE</t>
  </si>
  <si>
    <t>03NOV-O4NOV</t>
  </si>
  <si>
    <t>00122/11/2025</t>
  </si>
  <si>
    <t>CABINET ORG</t>
  </si>
  <si>
    <t>TOUKAM KEPOMO/EMILE ROGER MR</t>
  </si>
  <si>
    <t>MR WAFO</t>
  </si>
  <si>
    <t>ETKT 0403023383366</t>
  </si>
  <si>
    <t>03NOV-04NOV</t>
  </si>
  <si>
    <t>01022/10/25</t>
  </si>
  <si>
    <t>WAFO/JEAN PAUL</t>
  </si>
  <si>
    <t>ETKT 0403023383365</t>
  </si>
  <si>
    <t>LBV-DLA</t>
  </si>
  <si>
    <t>00837/09/25</t>
  </si>
  <si>
    <t>ONANA/CYRILLE BERTRAND</t>
  </si>
  <si>
    <t>ETKT 27725563489</t>
  </si>
  <si>
    <t xml:space="preserve">NGANI MEIGNIDON DIFFO/MIRELLE NICAISE ELISE </t>
  </si>
  <si>
    <t>DLA-LBV</t>
  </si>
  <si>
    <t>00838/09/25</t>
  </si>
  <si>
    <t>ETKT 4593006427247</t>
  </si>
  <si>
    <t>ETKT 4593006427248</t>
  </si>
  <si>
    <t>00840/09/25</t>
  </si>
  <si>
    <t>LEKEMO NGANTSI/LYNN YOHANNA</t>
  </si>
  <si>
    <t>ETKT 0573006427246</t>
  </si>
  <si>
    <t>08OCT-20OCT</t>
  </si>
  <si>
    <t>00982/09/25</t>
  </si>
  <si>
    <t>M. TA BI TAH</t>
  </si>
  <si>
    <t>TA BI TAH/HUGUES</t>
  </si>
  <si>
    <t>ETKT 4833006427242</t>
  </si>
  <si>
    <t>ETKT 4833006427243</t>
  </si>
  <si>
    <t>00841/09/25</t>
  </si>
  <si>
    <t>TAFONKEM NANKEU/MAURINE JOYCE</t>
  </si>
  <si>
    <t>ETKT 0573006427245</t>
  </si>
  <si>
    <t>13SEP-24SEP</t>
  </si>
  <si>
    <t>FIH-CDG-FIH</t>
  </si>
  <si>
    <t>00960/09/25</t>
  </si>
  <si>
    <t>ETKT 0573006427244</t>
  </si>
  <si>
    <t>MR EBELA</t>
  </si>
  <si>
    <t>MIMBOE EBELA/WENDY MAEVA MS</t>
  </si>
  <si>
    <t>GOLITE/AMA</t>
  </si>
  <si>
    <t>ETKT 1472952102505</t>
  </si>
  <si>
    <t>23/10/2025 24/10/2025</t>
  </si>
  <si>
    <t>CODE MARCHAND</t>
  </si>
  <si>
    <t>00842/09/25</t>
  </si>
  <si>
    <t>ETKT 0712155036904</t>
  </si>
  <si>
    <t>03SEP-19SEP</t>
  </si>
  <si>
    <t>00843/09/25</t>
  </si>
  <si>
    <t>M NGATCHOU</t>
  </si>
  <si>
    <t>NJANTOU TEKEU/ANSELME RAOUL</t>
  </si>
  <si>
    <t>ETKT 0572952104042</t>
  </si>
  <si>
    <t>00844/09/25</t>
  </si>
  <si>
    <t>NTSAGUIM KENJIO JEYRY</t>
  </si>
  <si>
    <t>ETKT 1472425110319</t>
  </si>
  <si>
    <t>06SEP-20SEP</t>
  </si>
  <si>
    <t>ETKT 0573006427249</t>
  </si>
  <si>
    <t>14SEP-20SEP</t>
  </si>
  <si>
    <t>00845/09/25</t>
  </si>
  <si>
    <t>NEO-INDUSTRY</t>
  </si>
  <si>
    <t>GASSO FOURI/CHARLES MR</t>
  </si>
  <si>
    <t>ETKT 4833006427260</t>
  </si>
  <si>
    <t>V/R</t>
  </si>
  <si>
    <t>KAKGAM TIAKO/CHARLY AUBIN</t>
  </si>
  <si>
    <t>ETKT 4833006427261</t>
  </si>
  <si>
    <t>OBAMA NDONG/ESTHER MRS</t>
  </si>
  <si>
    <t>ETKT 4833006427256</t>
  </si>
  <si>
    <t>ELONE MOUALAM/ALAIN DALAIN MR</t>
  </si>
  <si>
    <t>ETKT 4833006427257</t>
  </si>
  <si>
    <t>ELOMO DADJEU/MARIE CHRISTELLE</t>
  </si>
  <si>
    <t>ETKT 4833006427258</t>
  </si>
  <si>
    <t>KAMMEGNE TAYOU/ARMAND JOEL</t>
  </si>
  <si>
    <t>ETKT 4833006427259</t>
  </si>
  <si>
    <t>07SEP-13SEP</t>
  </si>
  <si>
    <t>TONLEU TONNANG/PIERRE ROSTAND</t>
  </si>
  <si>
    <t>ETKT 4833006427254</t>
  </si>
  <si>
    <t>DIMO/STEPHANE MR</t>
  </si>
  <si>
    <t>ETKT 4833006427255</t>
  </si>
  <si>
    <t>MAGUEU METCHEHE/PAUL GABRIELLE MRS</t>
  </si>
  <si>
    <t>ETKT 4833006427253</t>
  </si>
  <si>
    <t>NTOGUE MANYAMA/ZACHEE DESIRE MR</t>
  </si>
  <si>
    <t>ETKT 4833006427250</t>
  </si>
  <si>
    <t>NGA AYIBODO GERMAIN/MR</t>
  </si>
  <si>
    <t>ETKT 4833006427251</t>
  </si>
  <si>
    <t>JABEA EWANE JULES KEVIN/MR</t>
  </si>
  <si>
    <t>ETKT 4833006427252</t>
  </si>
  <si>
    <t>16SEP-15OCT</t>
  </si>
  <si>
    <t>00847/09/25</t>
  </si>
  <si>
    <t>SANI TCHIELONG/YANN BRICE</t>
  </si>
  <si>
    <t>ETKT  0573006427262</t>
  </si>
  <si>
    <t>04SEP-05SEP</t>
  </si>
  <si>
    <t>00848/09/25</t>
  </si>
  <si>
    <t>KAGOU/GEORGES LEOPOLD</t>
  </si>
  <si>
    <t>ETKT 1253005305341</t>
  </si>
  <si>
    <t>16SEP-19OCT</t>
  </si>
  <si>
    <t>00849/09/25</t>
  </si>
  <si>
    <t>TCHACHUE/PATRICE MR</t>
  </si>
  <si>
    <t>ETKT 0573006427263</t>
  </si>
  <si>
    <t>00850/09/25</t>
  </si>
  <si>
    <t>CABINET WAFO PAUL</t>
  </si>
  <si>
    <t>WAFO KAMDOM/BEREKA YVANA</t>
  </si>
  <si>
    <t>AMA/GOLITE</t>
  </si>
  <si>
    <t>ETKT 0572952104727</t>
  </si>
  <si>
    <t>ABJ-DXB-NBO</t>
  </si>
  <si>
    <t>00851/09/25</t>
  </si>
  <si>
    <t>KABERUKA/DONALD MR</t>
  </si>
  <si>
    <t>ETKT 1763516031734</t>
  </si>
  <si>
    <t>05SEP-07SEP</t>
  </si>
  <si>
    <t>00929/09/25</t>
  </si>
  <si>
    <t>NDJE HEMLE KOMOL/JEANNETTE</t>
  </si>
  <si>
    <t>ETKT 0400300041820</t>
  </si>
  <si>
    <t>24SEP-28SEP</t>
  </si>
  <si>
    <t>MR TCHIDJO</t>
  </si>
  <si>
    <t xml:space="preserve">TCHIDJO KENMEGNIE/MAGLOIRE MR </t>
  </si>
  <si>
    <t>SNEDAI,COM</t>
  </si>
  <si>
    <t>VISA COTE D IVOIRE</t>
  </si>
  <si>
    <t>MR TCHOUAFFE</t>
  </si>
  <si>
    <t xml:space="preserve">TCHOUAFFE KAMDOUM MAFOTSING/LILIANE C </t>
  </si>
  <si>
    <t>MAD-NCE</t>
  </si>
  <si>
    <t>00852/09/25</t>
  </si>
  <si>
    <t>ETKT 1253005305382</t>
  </si>
  <si>
    <t>01049/09/25</t>
  </si>
  <si>
    <t>YOUATOU PENE/BERTIN FABRICE</t>
  </si>
  <si>
    <t>ETKT 0403023380130</t>
  </si>
  <si>
    <t>00853/09/25</t>
  </si>
  <si>
    <t>ETKT 0573006427267</t>
  </si>
  <si>
    <t>05SEP-06SEP</t>
  </si>
  <si>
    <t>00854/09/25</t>
  </si>
  <si>
    <t>FOKOUA KUMO/ROMEO ARISTIDE</t>
  </si>
  <si>
    <t>ETKT 0400300041821</t>
  </si>
  <si>
    <t>00855/09/25</t>
  </si>
  <si>
    <t>MAKOLA/TAMBA</t>
  </si>
  <si>
    <t>MAKOLA KUSAKININA/TESSY SEVERIN</t>
  </si>
  <si>
    <t>ETKT 071300642766</t>
  </si>
  <si>
    <t>MAKOLA NGUADI TANDIA/DIEU MERCI</t>
  </si>
  <si>
    <t>ETKT 071300642764</t>
  </si>
  <si>
    <t>MIANDA MALANGU/BRIGITTE</t>
  </si>
  <si>
    <t>ETKT 071300642765</t>
  </si>
  <si>
    <t>22SEP-21NOV</t>
  </si>
  <si>
    <t>DLA-IST-DLA</t>
  </si>
  <si>
    <t>00856/09/25</t>
  </si>
  <si>
    <t>NGO SONG/ANNE MRS</t>
  </si>
  <si>
    <t>DARELLE</t>
  </si>
  <si>
    <t>ETKT 2353006427268</t>
  </si>
  <si>
    <t>00857/09/25</t>
  </si>
  <si>
    <t>NVE MODJO/JUSTINO NGUERE</t>
  </si>
  <si>
    <t>ETKT 49850000375710</t>
  </si>
  <si>
    <t>00858/09/25</t>
  </si>
  <si>
    <t>ROLY CLAVER BELLA</t>
  </si>
  <si>
    <t>ETKT 49850000375708</t>
  </si>
  <si>
    <t>25SEP-01OCT</t>
  </si>
  <si>
    <t>DLA-ROB-DLA</t>
  </si>
  <si>
    <t>00859/09/25</t>
  </si>
  <si>
    <t>ELECT ENGENEERING</t>
  </si>
  <si>
    <t>KAMGA/STEPHANE MR</t>
  </si>
  <si>
    <t>ETKT 032300642769</t>
  </si>
  <si>
    <t>BANQUE</t>
  </si>
  <si>
    <t>CHQ 8030981</t>
  </si>
  <si>
    <t>00860/09/25</t>
  </si>
  <si>
    <t>ETKT 27725664532</t>
  </si>
  <si>
    <t>01OCT-10NOV</t>
  </si>
  <si>
    <t>00861/09/25</t>
  </si>
  <si>
    <t>NYA/ERIC CHRISTIAN MR</t>
  </si>
  <si>
    <t>ETKT 2352952108158</t>
  </si>
  <si>
    <t>00862/09/25</t>
  </si>
  <si>
    <t>DONTSOP NAOUSSY/LOIQUE WINNIE</t>
  </si>
  <si>
    <t>ETKT 0572952108144</t>
  </si>
  <si>
    <t>16DEC-03JAN</t>
  </si>
  <si>
    <t>00863/09/25</t>
  </si>
  <si>
    <t>AMS INSURANCE</t>
  </si>
  <si>
    <t xml:space="preserve">MEDJO MEVA A EP TSITSOL/NAOMIE MIRABELLE </t>
  </si>
  <si>
    <t>ETKT 0573006427270</t>
  </si>
  <si>
    <t xml:space="preserve">TSITSOL/SHARONNE LOREEN*02OCT14 </t>
  </si>
  <si>
    <t>ETKT 0573006427271</t>
  </si>
  <si>
    <t>14SEP-21SEP</t>
  </si>
  <si>
    <t>00928/09/25</t>
  </si>
  <si>
    <t xml:space="preserve">TJOUEN NYEMB/MAURICE FLORENTIN </t>
  </si>
  <si>
    <t>ETKT 0323006427272</t>
  </si>
  <si>
    <t xml:space="preserve">SEKEM SIMO/FABRICE DIMITRI MR </t>
  </si>
  <si>
    <t>ETKT 0323006427273</t>
  </si>
  <si>
    <t>00864/09/25</t>
  </si>
  <si>
    <t xml:space="preserve">TCHAMENI/REINE LOIC </t>
  </si>
  <si>
    <t>ETKT 0713006427274</t>
  </si>
  <si>
    <t>ETKT 0712155239964</t>
  </si>
  <si>
    <t>12SEP-14SEP</t>
  </si>
  <si>
    <t>00876/09/25</t>
  </si>
  <si>
    <t>M DJEUTCHEU</t>
  </si>
  <si>
    <t>BILOA/ELISABETH LEILA MRS</t>
  </si>
  <si>
    <t>ETKT 0403023380483</t>
  </si>
  <si>
    <t>00983/09/25</t>
  </si>
  <si>
    <t>ETKT 0403023380484</t>
  </si>
  <si>
    <t>DLA-FRA</t>
  </si>
  <si>
    <t>00877/09/25</t>
  </si>
  <si>
    <t>GREG FRANCIS PAOLO MOUTLEN</t>
  </si>
  <si>
    <t>ETKT 0823511998679</t>
  </si>
  <si>
    <t>00980/09/25</t>
  </si>
  <si>
    <t xml:space="preserve">BADJE KANGA/SAMUEL FRANTZ GHISLAIN </t>
  </si>
  <si>
    <t>ETKT 0323006427275</t>
  </si>
  <si>
    <t>00875/09/25</t>
  </si>
  <si>
    <t xml:space="preserve">WOUEMBONOU TEBIWA/NAOMIE MEGANE </t>
  </si>
  <si>
    <t>ETKT 0573006427277</t>
  </si>
  <si>
    <t>13SEP-14SEP</t>
  </si>
  <si>
    <t>ETKT 0403023380489</t>
  </si>
  <si>
    <t>15SEP-20SEP</t>
  </si>
  <si>
    <t>CDG-NDJ-CDG</t>
  </si>
  <si>
    <t>00881/09/25</t>
  </si>
  <si>
    <t xml:space="preserve">MANGA BIENG/ERIC MR </t>
  </si>
  <si>
    <t>ETKT 0573006427278</t>
  </si>
  <si>
    <t>00882/09/25</t>
  </si>
  <si>
    <t>ETKT 0571847111150</t>
  </si>
  <si>
    <t>03NOV-10DEC</t>
  </si>
  <si>
    <t>00878/09/25</t>
  </si>
  <si>
    <t>MME FRANCA</t>
  </si>
  <si>
    <t xml:space="preserve">ETCHIFANG MENDOME/DAPHNE AURORE </t>
  </si>
  <si>
    <t>ETKT 0573006427279</t>
  </si>
  <si>
    <t>07OCT-25OCT</t>
  </si>
  <si>
    <t>00880/09/25</t>
  </si>
  <si>
    <t xml:space="preserve">MBODO/ELISABETH YOLANDE MRS </t>
  </si>
  <si>
    <t>22SEP-06AUG26</t>
  </si>
  <si>
    <t>DLA-DME-DLA</t>
  </si>
  <si>
    <t>00879/09/25</t>
  </si>
  <si>
    <t xml:space="preserve">BABMI/DANIEL MR </t>
  </si>
  <si>
    <t>ETKT 0713006427281</t>
  </si>
  <si>
    <t>00967/09/25</t>
  </si>
  <si>
    <t xml:space="preserve">BIBOUM/EMILIENNE EVANGELINE MRS </t>
  </si>
  <si>
    <t>1370800-1289020+81780</t>
  </si>
  <si>
    <t>ETKT 4833006427283</t>
  </si>
  <si>
    <t>REFUND 29/09/2025</t>
  </si>
  <si>
    <t>00883/09/25</t>
  </si>
  <si>
    <t xml:space="preserve">DEUCHEU TIEGUE TEZE/HAROLD </t>
  </si>
  <si>
    <t>ETKT 2353006427282</t>
  </si>
  <si>
    <t>15/09/2025 03/10/2025</t>
  </si>
  <si>
    <t>20SEP-04OCT</t>
  </si>
  <si>
    <t>00866/09/25</t>
  </si>
  <si>
    <t xml:space="preserve">TAGNE NGUEBIAPSSI/FAREL LAVOISIN </t>
  </si>
  <si>
    <t>ETKT 0323006427284</t>
  </si>
  <si>
    <t>20SEP-01OCT</t>
  </si>
  <si>
    <t xml:space="preserve">CHOUPE TAGNE/ADONIA MRS </t>
  </si>
  <si>
    <t>ETKT 0323006427285</t>
  </si>
  <si>
    <t>00885/09/25</t>
  </si>
  <si>
    <t>PREMIUM FINANCE</t>
  </si>
  <si>
    <t>ETKT 0712952111798</t>
  </si>
  <si>
    <t>25SEP-28SEP</t>
  </si>
  <si>
    <t>00884/09/25</t>
  </si>
  <si>
    <t>NDONGMO NGANA EPSE KANA/ANGELE BERLINE MRS</t>
  </si>
  <si>
    <t>ETKT 4832952112010</t>
  </si>
  <si>
    <t>15/09/2025 16/09/2025 22/09/2025</t>
  </si>
  <si>
    <t>OM</t>
  </si>
  <si>
    <t>06OCT-10OCT</t>
  </si>
  <si>
    <t>00890/09/25</t>
  </si>
  <si>
    <t xml:space="preserve">GATSI SOBZE/KRISTELLE BERNADETTE </t>
  </si>
  <si>
    <t>ETKT 0712155349743</t>
  </si>
  <si>
    <t>27SEP-13OCT</t>
  </si>
  <si>
    <t>DSS-CDG-ORY-DSS</t>
  </si>
  <si>
    <t>00889/09/25</t>
  </si>
  <si>
    <t>ETKT 1472952112241</t>
  </si>
  <si>
    <t>DXB-NDJ</t>
  </si>
  <si>
    <t>00887/09/25</t>
  </si>
  <si>
    <t>M NGAKO</t>
  </si>
  <si>
    <t xml:space="preserve">NGAKO KETCHANGA/CEDRIC MATHIEU MR </t>
  </si>
  <si>
    <t>ETKT 0712952110907</t>
  </si>
  <si>
    <t>NDJ-DLA</t>
  </si>
  <si>
    <t>00888/09/25</t>
  </si>
  <si>
    <t>ETKT 0323006427287</t>
  </si>
  <si>
    <t>00886-00908/10/25</t>
  </si>
  <si>
    <t xml:space="preserve">ABA NKASSE METAGO/YASMINE </t>
  </si>
  <si>
    <t>472900-410820=62080</t>
  </si>
  <si>
    <t>ETKT 4833006427288</t>
  </si>
  <si>
    <t>BILLET REFUNDED 19/09/2025</t>
  </si>
  <si>
    <t>27SEP-05OCT</t>
  </si>
  <si>
    <t>M. ONANA</t>
  </si>
  <si>
    <t xml:space="preserve">YAO/MARYSE CARMEN MRS </t>
  </si>
  <si>
    <t>ETKT 0573006427291</t>
  </si>
  <si>
    <t>00897/09/25</t>
  </si>
  <si>
    <t>MME CALINE PROCURE</t>
  </si>
  <si>
    <t xml:space="preserve">KAMSU MOPONG/MICHELLE NADEGE </t>
  </si>
  <si>
    <t>ETKT 4593006427292</t>
  </si>
  <si>
    <t>00900/09/25</t>
  </si>
  <si>
    <t>ETKT 0573006427293</t>
  </si>
  <si>
    <t>00899/09/25</t>
  </si>
  <si>
    <t>VISA EXPRESS ABIDJAN</t>
  </si>
  <si>
    <t>19SEP-25SEP</t>
  </si>
  <si>
    <t>DLA-BEY-DLA</t>
  </si>
  <si>
    <t>M TCHACHUE</t>
  </si>
  <si>
    <t xml:space="preserve">NGUH/WILFRED MR </t>
  </si>
  <si>
    <t>ETKT 0713006427294</t>
  </si>
  <si>
    <t>28SEP-06OCT</t>
  </si>
  <si>
    <t>00898/09/25</t>
  </si>
  <si>
    <t>SAFARI LOGISTIC</t>
  </si>
  <si>
    <t>ETKT 0573006427297</t>
  </si>
  <si>
    <t>00896/09/25</t>
  </si>
  <si>
    <t xml:space="preserve">FOMUKOM/LEONARD FORIBEN MR </t>
  </si>
  <si>
    <t>ETKT  0713006472550</t>
  </si>
  <si>
    <t>00895/09/25</t>
  </si>
  <si>
    <t xml:space="preserve">NGOUANAT TCHINDA/BORIS MARTIAL MR </t>
  </si>
  <si>
    <t>LHR-ABJ</t>
  </si>
  <si>
    <t>00894/09/25</t>
  </si>
  <si>
    <t>ETKT 0823511998680</t>
  </si>
  <si>
    <t>00893/10/25</t>
  </si>
  <si>
    <t>ETKT 4833006472551</t>
  </si>
  <si>
    <t>24SEP-27SEP</t>
  </si>
  <si>
    <t>00904/10/25</t>
  </si>
  <si>
    <t>ETKT 4833006465315</t>
  </si>
  <si>
    <t>20SEP-25SEP</t>
  </si>
  <si>
    <t>00907/10/25</t>
  </si>
  <si>
    <t>ETKT 0713006472553</t>
  </si>
  <si>
    <t>ETKT 0713006472552</t>
  </si>
  <si>
    <t>ETKT 0713006472554</t>
  </si>
  <si>
    <t>00906/10/25</t>
  </si>
  <si>
    <t>ETKT 4832402155867</t>
  </si>
  <si>
    <t>00905/10/25</t>
  </si>
  <si>
    <t>ETKT 4593006472555</t>
  </si>
  <si>
    <t>RESA D HOTEL</t>
  </si>
  <si>
    <t>25SEP-30SEP</t>
  </si>
  <si>
    <t>00910/10/25</t>
  </si>
  <si>
    <t>ETKT 2352952111137</t>
  </si>
  <si>
    <t>21SEP-15OCT</t>
  </si>
  <si>
    <t>00909/10/25</t>
  </si>
  <si>
    <t>ETKT 0572341826616</t>
  </si>
  <si>
    <t>18/09/2025 25/09/2025</t>
  </si>
  <si>
    <t>29SEP-02OCT</t>
  </si>
  <si>
    <t>DLA-CKY-DLA</t>
  </si>
  <si>
    <t>00911/10/25</t>
  </si>
  <si>
    <t xml:space="preserve">NJAMFA/TIARA MARIE SHILLEH </t>
  </si>
  <si>
    <t>ETKT 0323006472559</t>
  </si>
  <si>
    <t xml:space="preserve">MBIIM/CHRISTINE FRANCOISE ESTHER </t>
  </si>
  <si>
    <t>ETKT 0323006472558</t>
  </si>
  <si>
    <t>DLA-BRU</t>
  </si>
  <si>
    <t>00912/10/25</t>
  </si>
  <si>
    <t>TEZANOU/THERESA LYVIA</t>
  </si>
  <si>
    <t>ETKT 0821806317743</t>
  </si>
  <si>
    <t>25SEP-05OCT</t>
  </si>
  <si>
    <t>DXB-SHA-DXB</t>
  </si>
  <si>
    <t>00913/10/25</t>
  </si>
  <si>
    <t>LOHOUES/YEDMELY EMMANUELLA JESUS</t>
  </si>
  <si>
    <t>ETKT 1763516036844</t>
  </si>
  <si>
    <t>25SEP-08OCT</t>
  </si>
  <si>
    <t>ETKT 1763081005704</t>
  </si>
  <si>
    <t>YYZ-NSI</t>
  </si>
  <si>
    <t>00916/10/25</t>
  </si>
  <si>
    <t xml:space="preserve">ZE EPSE DJUMMO/MARTHE GERTRUDE MRS </t>
  </si>
  <si>
    <t>ETKT 0713006472560</t>
  </si>
  <si>
    <t>25SEP-27SEP</t>
  </si>
  <si>
    <t>DLA-NGE-GOU-DLA</t>
  </si>
  <si>
    <t>00914/10/2025</t>
  </si>
  <si>
    <t>WATCHUENG/JULIUS MARTIAL MR</t>
  </si>
  <si>
    <t>ETKT 0400300041823</t>
  </si>
  <si>
    <t>00915/10/25</t>
  </si>
  <si>
    <t>ETKT 2352952118606</t>
  </si>
  <si>
    <t>06AUG</t>
  </si>
  <si>
    <t>DME-DLA</t>
  </si>
  <si>
    <t>00918/10/25</t>
  </si>
  <si>
    <t>RFND</t>
  </si>
  <si>
    <t>00917/10/25</t>
  </si>
  <si>
    <t>DJOFANG/DARLY AYMAR</t>
  </si>
  <si>
    <t>ETKT 0400300041824</t>
  </si>
  <si>
    <t>11OCT-13JAN</t>
  </si>
  <si>
    <t>00921/10/25</t>
  </si>
  <si>
    <t xml:space="preserve">MAMAN ALINE </t>
  </si>
  <si>
    <t xml:space="preserve">KENFACK TEKEU/SHEYLA ANTONELA MRS </t>
  </si>
  <si>
    <t>MAMAN ALINE</t>
  </si>
  <si>
    <t>ETKT 0573006472563</t>
  </si>
  <si>
    <t>11OCT-16OCT</t>
  </si>
  <si>
    <t>00920/10/25</t>
  </si>
  <si>
    <t>NYA/MARTIN MR</t>
  </si>
  <si>
    <t>ETKT 0400300041825</t>
  </si>
  <si>
    <t xml:space="preserve">FAYE/SEBASTIEN GERARD EMILE MR </t>
  </si>
  <si>
    <t>ETKT 0573006472565</t>
  </si>
  <si>
    <t>28SEP-02OCT</t>
  </si>
  <si>
    <t>00919/10/25</t>
  </si>
  <si>
    <t xml:space="preserve">FOKA/ALAIN MR </t>
  </si>
  <si>
    <t>ETKT 0573006472564</t>
  </si>
  <si>
    <t>29/09/2025 02/10/2025 03/10/2025</t>
  </si>
  <si>
    <t>CAISSE      OM</t>
  </si>
  <si>
    <t>20OCT-10NOV</t>
  </si>
  <si>
    <t>DLA-YQM-DLA</t>
  </si>
  <si>
    <t>00903/10/25</t>
  </si>
  <si>
    <t>NOVAPLAST SARL</t>
  </si>
  <si>
    <t xml:space="preserve">KENGMO TSOBZE/ALEXIS HUBERT MR </t>
  </si>
  <si>
    <t>ETKT 0823006472566</t>
  </si>
  <si>
    <t>CHQ 6869230</t>
  </si>
  <si>
    <t>01OCT-08OCT</t>
  </si>
  <si>
    <t>00902/10/25</t>
  </si>
  <si>
    <t xml:space="preserve">NZAMESSHA NDZE EPSE YOMI/CHIMENE MRS </t>
  </si>
  <si>
    <t>ETKT 0712155601638</t>
  </si>
  <si>
    <t>SIN-NSI</t>
  </si>
  <si>
    <t>00923/10/25</t>
  </si>
  <si>
    <t>ETKT 2352952118291</t>
  </si>
  <si>
    <t>00925/10/25</t>
  </si>
  <si>
    <t>ETKT 0712155625783</t>
  </si>
  <si>
    <t>02OCT-04OCT</t>
  </si>
  <si>
    <t>00924/10/25</t>
  </si>
  <si>
    <t xml:space="preserve">JIOFACK KITIO/GUILLAUME MR </t>
  </si>
  <si>
    <t>1222900-1162220=60680</t>
  </si>
  <si>
    <t>ETKT 0323006472569</t>
  </si>
  <si>
    <t>REFUND 14/10/2025</t>
  </si>
  <si>
    <t>00961/10/25</t>
  </si>
  <si>
    <t xml:space="preserve">MRS GUIFO </t>
  </si>
  <si>
    <t xml:space="preserve">MRS ODETTE NOUTCHOUGOUIN MAGNE EPSE GUIFO </t>
  </si>
  <si>
    <t>SN BRUSSELS</t>
  </si>
  <si>
    <t>ETKT 0822302826453</t>
  </si>
  <si>
    <t>03FEB-12FEB</t>
  </si>
  <si>
    <t>ETKT 0822302826454</t>
  </si>
  <si>
    <t>30SEP-08NOV</t>
  </si>
  <si>
    <t>00958/10/25</t>
  </si>
  <si>
    <t xml:space="preserve">NJANTOU TEKEU/ANSELME RAOUL MR </t>
  </si>
  <si>
    <t>ETKT 0573006472570</t>
  </si>
  <si>
    <t>ETTK 0822302120143</t>
  </si>
  <si>
    <t>00959/10/25</t>
  </si>
  <si>
    <t>ETTK 0822302826453</t>
  </si>
  <si>
    <t>01OCT-03OCT</t>
  </si>
  <si>
    <t>00931/10/25</t>
  </si>
  <si>
    <t>MRS JOSEPHINE REGINE/OWONA AMBANI</t>
  </si>
  <si>
    <t>ETKT 0400300041826</t>
  </si>
  <si>
    <t>00932/10/25</t>
  </si>
  <si>
    <t>ETKT 0713006465335</t>
  </si>
  <si>
    <t>24OCT-17NOV</t>
  </si>
  <si>
    <t>DLA-CAN-CAN</t>
  </si>
  <si>
    <t>00933/10/25</t>
  </si>
  <si>
    <t>SIKALIE NGUESSIE/THIERRY MR</t>
  </si>
  <si>
    <t>CHARLES</t>
  </si>
  <si>
    <t xml:space="preserve">ETKT 0773006472573 </t>
  </si>
  <si>
    <t>MAAKOUM YOUGNE/ADRIENNE DORICE MRS</t>
  </si>
  <si>
    <t>05OCT-10OCT</t>
  </si>
  <si>
    <t>00934/10/25</t>
  </si>
  <si>
    <t>AHANDA ETOUNDI/SYLVAIN BERTRAND</t>
  </si>
  <si>
    <t>ETKT 0713006472571</t>
  </si>
  <si>
    <t>02OCT-03OCT</t>
  </si>
  <si>
    <t>ROB-ABJ-DLA</t>
  </si>
  <si>
    <t>00935/10/25</t>
  </si>
  <si>
    <t>ETKT 4833006472572</t>
  </si>
  <si>
    <t>06OCT-12OCT</t>
  </si>
  <si>
    <t>00747/08/2025</t>
  </si>
  <si>
    <t xml:space="preserve">AGEORGES/HELENE FRANCOISE DANIELE </t>
  </si>
  <si>
    <t>ETKT 057 3006427176</t>
  </si>
  <si>
    <t>CHQ 9896474</t>
  </si>
  <si>
    <t>28AUG</t>
  </si>
  <si>
    <t>00744/08/2025</t>
  </si>
  <si>
    <t>ETKT 0322986879758</t>
  </si>
  <si>
    <t>00745/08/2025</t>
  </si>
  <si>
    <t>BIKOUE BA/KARIMA MS</t>
  </si>
  <si>
    <t>ETKT 0322986879759</t>
  </si>
  <si>
    <t>04/08/2025 20/08/2025</t>
  </si>
  <si>
    <t>03AUG</t>
  </si>
  <si>
    <t>00746/08/2025</t>
  </si>
  <si>
    <t>ETKT 057 3006427174</t>
  </si>
  <si>
    <t>02AUG</t>
  </si>
  <si>
    <t>ORY-DLA</t>
  </si>
  <si>
    <t>00743/08/2025</t>
  </si>
  <si>
    <t>ETKT 147 3006427175</t>
  </si>
  <si>
    <t>01/08/2025 04/08/2025</t>
  </si>
  <si>
    <t>31AUG</t>
  </si>
  <si>
    <t>DLA-FIH</t>
  </si>
  <si>
    <t>00748/08/2025</t>
  </si>
  <si>
    <t>TAMBA NDAYA/WINNER ELIAN</t>
  </si>
  <si>
    <t>ETKT 032 3006427173</t>
  </si>
  <si>
    <t>09AUG-18AUG</t>
  </si>
  <si>
    <t>BGF-DLA-BGF</t>
  </si>
  <si>
    <t>MR TCHILADO</t>
  </si>
  <si>
    <t>TCHILADO TEMKEN/THIBAUT MR</t>
  </si>
  <si>
    <t>ETKT 0323006427177</t>
  </si>
  <si>
    <t>13 AUG-26 AUG</t>
  </si>
  <si>
    <t>00749/08/2025</t>
  </si>
  <si>
    <t>MR TALLA</t>
  </si>
  <si>
    <t>FATCHEU/OCTAVIE MRS</t>
  </si>
  <si>
    <t>ETKT 0322986879777</t>
  </si>
  <si>
    <t>TALLA/PHILEMON MR</t>
  </si>
  <si>
    <t>ETKT 0322986879778</t>
  </si>
  <si>
    <t>26 AUG</t>
  </si>
  <si>
    <t>CDG-BRU</t>
  </si>
  <si>
    <t>00752/08/2025</t>
  </si>
  <si>
    <t>MME NDONGUE</t>
  </si>
  <si>
    <t>NDONGUE EPSE ESSO/MRS</t>
  </si>
  <si>
    <t>ETKT 0822986880343</t>
  </si>
  <si>
    <t>05 AUG-09 AUG</t>
  </si>
  <si>
    <t>00751/08/2025</t>
  </si>
  <si>
    <t>ONDOA CHRISTELLE/ MARCELINE MRS</t>
  </si>
  <si>
    <t>M STEPHANE</t>
  </si>
  <si>
    <t>ETKT 0713006427178</t>
  </si>
  <si>
    <t>06 AUG-02 SEP</t>
  </si>
  <si>
    <t>00753/08/2025</t>
  </si>
  <si>
    <t>TEZANOU JOGUE EP TEKEU/ALINE</t>
  </si>
  <si>
    <t>ETKT 4593006427179</t>
  </si>
  <si>
    <t>07 AUG</t>
  </si>
  <si>
    <t>ETKT 0323006427180</t>
  </si>
  <si>
    <t>06 AUG-09 AUG</t>
  </si>
  <si>
    <t>00755/08/2025</t>
  </si>
  <si>
    <t>ETKT 0713006427181</t>
  </si>
  <si>
    <t>16 AUG-12 SEP</t>
  </si>
  <si>
    <t>00754/08/2025</t>
  </si>
  <si>
    <t>MRS PIERRETTE</t>
  </si>
  <si>
    <t>SIMO EPSE KENGNE/ PIERRETTE MRS</t>
  </si>
  <si>
    <t>ROMEO</t>
  </si>
  <si>
    <t>ETKT 1473006427182</t>
  </si>
  <si>
    <t>07 SEP-21 SEP</t>
  </si>
  <si>
    <t>00702/08/2025</t>
  </si>
  <si>
    <t>MR DJOFANG</t>
  </si>
  <si>
    <t>DJOFANG/DARLY AYMAR MR</t>
  </si>
  <si>
    <t>ETKT 2353006427183</t>
  </si>
  <si>
    <t>17 AUG-20 DEC</t>
  </si>
  <si>
    <t>CDG-IAD-CDG</t>
  </si>
  <si>
    <t>00757/08/2025</t>
  </si>
  <si>
    <t>MS JANELLE</t>
  </si>
  <si>
    <t>FOUPZING/ZARA JANELLE MS</t>
  </si>
  <si>
    <t>ETKT 0572986881689</t>
  </si>
  <si>
    <t>08 AUG- 13 AUG</t>
  </si>
  <si>
    <t>00756/08/2025</t>
  </si>
  <si>
    <t>MRS FRANCA</t>
  </si>
  <si>
    <t>TAKAM/DAVID DIDIER DE YOUMESSI</t>
  </si>
  <si>
    <t>ETKT 0713006427184</t>
  </si>
  <si>
    <t>00760/08/2025</t>
  </si>
  <si>
    <t>GAPPE FOTSO/ PASCAL DAMIEN MR</t>
  </si>
  <si>
    <t>ETKT 0713006427189</t>
  </si>
  <si>
    <t>10 AUG - 13 AUG</t>
  </si>
  <si>
    <t>00741/08/2025</t>
  </si>
  <si>
    <t>JUSTINO NGUERE NVE MODJO</t>
  </si>
  <si>
    <t>ETKT 49850000366821</t>
  </si>
  <si>
    <t>07 AUG- 19 AUG</t>
  </si>
  <si>
    <t>00759/08/2025</t>
  </si>
  <si>
    <t>KAMGAING/INGRID FABIOLA MRS</t>
  </si>
  <si>
    <t>ETKT 0573006427188</t>
  </si>
  <si>
    <t>17/09/2025 16/10/2025</t>
  </si>
  <si>
    <t>9 AUG - 13 AUG</t>
  </si>
  <si>
    <t>NSI-GOU-DLA</t>
  </si>
  <si>
    <t>00761/08/2025</t>
  </si>
  <si>
    <t xml:space="preserve">MR HANS/STEPHANE DISSAKE </t>
  </si>
  <si>
    <t>ETKT 0400300041816</t>
  </si>
  <si>
    <t>MR LEON/TIENTCHEU TASSI</t>
  </si>
  <si>
    <t>ETKT 0400300041815</t>
  </si>
  <si>
    <t>27 AUG- 27AUG</t>
  </si>
  <si>
    <t>DLA-ADD-DXB</t>
  </si>
  <si>
    <t>00758/08/2025</t>
  </si>
  <si>
    <t>MIRABELLE TRAVEL AGENCE</t>
  </si>
  <si>
    <t>NGUETSOP DONFACK/ JORDAN JOEL MR</t>
  </si>
  <si>
    <t>ETKT 0713006427185</t>
  </si>
  <si>
    <t>12AUG-03SEP</t>
  </si>
  <si>
    <t>00762/08/2025</t>
  </si>
  <si>
    <t>MR DJAPOM</t>
  </si>
  <si>
    <t xml:space="preserve">DJAPOM NANA/JOB STEPHANE MR </t>
  </si>
  <si>
    <t>ETKT  077 2986882569</t>
  </si>
  <si>
    <t>16 DEC -07 JAN</t>
  </si>
  <si>
    <t>00767/08/2025</t>
  </si>
  <si>
    <t>ELSNER/CHRISTOPH MR</t>
  </si>
  <si>
    <t>GOLITE/BLUEBERY</t>
  </si>
  <si>
    <t>ETKT 2353006415482</t>
  </si>
  <si>
    <t>00765/08/2025</t>
  </si>
  <si>
    <t>ETKT 057 3006427193</t>
  </si>
  <si>
    <t>20AUG,</t>
  </si>
  <si>
    <t xml:space="preserve">DLA-DSS </t>
  </si>
  <si>
    <t>00763/08/2025</t>
  </si>
  <si>
    <t>KENFACK/LENA EMILIE MS</t>
  </si>
  <si>
    <t xml:space="preserve">ETKT 483 2402155441 </t>
  </si>
  <si>
    <t>AF
AC</t>
  </si>
  <si>
    <t>12AUG-15AUG-18AUG</t>
  </si>
  <si>
    <t>CDG-YUL-LAX-CDG</t>
  </si>
  <si>
    <t>00766/08/2025</t>
  </si>
  <si>
    <t>MILOUDI/KENZA MRS</t>
  </si>
  <si>
    <t>ETKT  057 2986883090 
ETKT 014 3514341392</t>
  </si>
  <si>
    <t>ONANA/CYRILLE BERTRAND MR</t>
  </si>
  <si>
    <t xml:space="preserve">ETKT  057 2986883086 
ETKT 014 3514341391 </t>
  </si>
  <si>
    <t xml:space="preserve">KP </t>
  </si>
  <si>
    <t>NSI-DXB-DLA</t>
  </si>
  <si>
    <t>00768/08/2025</t>
  </si>
  <si>
    <t>ONDOUA EBANGA/ SALOMON ROI MR</t>
  </si>
  <si>
    <t>ETKT 0713006427190</t>
  </si>
  <si>
    <t>09SEP,</t>
  </si>
  <si>
    <t>DSS-PNR</t>
  </si>
  <si>
    <t>00764/08/2025</t>
  </si>
  <si>
    <t>DOC JOREL</t>
  </si>
  <si>
    <t>PEKA BAKALA/EMILE LE ROI MR</t>
  </si>
  <si>
    <t>ETKT 4833006427192</t>
  </si>
  <si>
    <t>11OCT.</t>
  </si>
  <si>
    <t>00769/08/2025</t>
  </si>
  <si>
    <t>AGEORGES/HELENE FRANCOISE DANIELE  MRS</t>
  </si>
  <si>
    <t>ETKT 147 3006427194</t>
  </si>
  <si>
    <t>28SEP-22OCT</t>
  </si>
  <si>
    <t>00770/08/2025</t>
  </si>
  <si>
    <t>CABINET DENTAIRE</t>
  </si>
  <si>
    <t>CATHERINE MARCELLE GAMGNE GUIADEM (ADT)</t>
  </si>
  <si>
    <t>ETKT 0823511998672</t>
  </si>
  <si>
    <t>20AUG.</t>
  </si>
  <si>
    <t>00771/08/2025</t>
  </si>
  <si>
    <t>ETKT 057 2986883820</t>
  </si>
  <si>
    <t>21AUG-01SEP</t>
  </si>
  <si>
    <t>DLA-HRE-DLA</t>
  </si>
  <si>
    <t>00772/08/2025</t>
  </si>
  <si>
    <t>KAMEGNI TCHOUTOU/PHILOLA MRS</t>
  </si>
  <si>
    <t>ETKT 0713006427196</t>
  </si>
  <si>
    <t xml:space="preserve">MAKOU WOHIHO/JESSICA RICELLE MRS </t>
  </si>
  <si>
    <t>ETKT 0713006427195</t>
  </si>
  <si>
    <t>14/08/2025 22/08/2025</t>
  </si>
  <si>
    <t>22AUG-05SEP</t>
  </si>
  <si>
    <t xml:space="preserve">MAITRE DOUMBE </t>
  </si>
  <si>
    <t>DOUMBE TOUTOU/JEANNETTE JESSICA VENESSA</t>
  </si>
  <si>
    <t>ETKT 4593006427199</t>
  </si>
  <si>
    <t>CHQ 8075187</t>
  </si>
  <si>
    <t xml:space="preserve">DOUMBE/JEANNETTE MRS </t>
  </si>
  <si>
    <t>ETKT 4593006427198</t>
  </si>
  <si>
    <t>14AUG,</t>
  </si>
  <si>
    <t>ETKT 071 3006427197</t>
  </si>
  <si>
    <t>28AUG,</t>
  </si>
  <si>
    <t>MR NGALEU</t>
  </si>
  <si>
    <t>NGALEU NGALEU/FREDERIC PATRICK MR</t>
  </si>
  <si>
    <t xml:space="preserve">ETKT 147 2986886406 </t>
  </si>
  <si>
    <t>15AUG,</t>
  </si>
  <si>
    <t xml:space="preserve">ETKT 49850
000368732
</t>
  </si>
  <si>
    <t>14AUG-22DEC</t>
  </si>
  <si>
    <t>DLA-MUC-DLA</t>
  </si>
  <si>
    <t>SANDNER/WOLFGANG JOSEF MR</t>
  </si>
  <si>
    <t>ETKT 0572986887123</t>
  </si>
  <si>
    <t>05JAN,</t>
  </si>
  <si>
    <t xml:space="preserve">DLA-MUC </t>
  </si>
  <si>
    <t>ETKT 0823511998673</t>
  </si>
  <si>
    <t>18AUG-26AUG</t>
  </si>
  <si>
    <t xml:space="preserve">BINTOU POUENGUE/SOUMAI MRS </t>
  </si>
  <si>
    <t>TOTAL REFUND</t>
  </si>
  <si>
    <t xml:space="preserve">DEMGNE TEGUEM/DONA MAEVA MRS </t>
  </si>
  <si>
    <t>21AUG-06SEP</t>
  </si>
  <si>
    <t xml:space="preserve">DJEUGAP EPSE NTSAGUIM/FERNANDE ALIENCE </t>
  </si>
  <si>
    <t>ETKT 071 3006427200</t>
  </si>
  <si>
    <t>CHQ 9858848</t>
  </si>
  <si>
    <t>17AUG.</t>
  </si>
  <si>
    <t>DLA-NSI.</t>
  </si>
  <si>
    <t>MR ALAIN ROGER/DJOUAKA</t>
  </si>
  <si>
    <t>ETKT 0400300041818</t>
  </si>
  <si>
    <t>NTSAGUIM TEMFACK/BRANDY LOICA</t>
  </si>
  <si>
    <t>ETKT 071 3006427201</t>
  </si>
  <si>
    <t>NTSAGUIM/LESLY MARTINE</t>
  </si>
  <si>
    <t>ETKT 071 3006427203</t>
  </si>
  <si>
    <t>NTSAGUIM/SOPHY GLORIA</t>
  </si>
  <si>
    <t>ETKT 071 3006427202</t>
  </si>
  <si>
    <t>15AUG.</t>
  </si>
  <si>
    <t>YUL-CDG</t>
  </si>
  <si>
    <t>ETKT 057 2342482957</t>
  </si>
  <si>
    <t>EMD 0574227076453</t>
  </si>
  <si>
    <t>AVOIR MR ONANA A AF France BONANDJO</t>
  </si>
  <si>
    <t>AC</t>
  </si>
  <si>
    <t xml:space="preserve">20OCT. </t>
  </si>
  <si>
    <t>YUL-LAX.</t>
  </si>
  <si>
    <t>AMADEUS/BLUEBERRY</t>
  </si>
  <si>
    <t>ETKT 014 3514343245</t>
  </si>
  <si>
    <t>17AUG-07SEP</t>
  </si>
  <si>
    <t>SSG-DLA-SSG</t>
  </si>
  <si>
    <t>NVE MODJO, ALINA MARCIANA AVIRI</t>
  </si>
  <si>
    <t>ETKT 49850000369476</t>
  </si>
  <si>
    <t>17AUG,</t>
  </si>
  <si>
    <t>ETKT 49850000369467</t>
  </si>
  <si>
    <t>OLO AVIRI, AGAPITO JUSTINO EDJANG</t>
  </si>
  <si>
    <t>ETKT 49850000369477</t>
  </si>
  <si>
    <t>OLO AVIRI, CECILIA NZANAN</t>
  </si>
  <si>
    <t>ETKT 49850000369479</t>
  </si>
  <si>
    <t>OLO AVIRI, DIGNA MODJO</t>
  </si>
  <si>
    <t>ETKT 49850000369478</t>
  </si>
  <si>
    <t>18AUG.</t>
  </si>
  <si>
    <t>CDG-DLA.</t>
  </si>
  <si>
    <t>ETKT 057 2986888081</t>
  </si>
  <si>
    <t>26AUG</t>
  </si>
  <si>
    <t>YMELE</t>
  </si>
  <si>
    <t xml:space="preserve">YMELE NGUETSE/YSA VAELLE MS </t>
  </si>
  <si>
    <t xml:space="preserve">ETKT 057 3006427206 </t>
  </si>
  <si>
    <t>MRS GUIFO</t>
  </si>
  <si>
    <t>KAIS PHILIPPE GUIFO TAGNE (CHD)</t>
  </si>
  <si>
    <t>ETKT 0821806317740</t>
  </si>
  <si>
    <t>MRS CALINE KOUAM</t>
  </si>
  <si>
    <t xml:space="preserve">TCHOUPO MOYO/GILLES MR </t>
  </si>
  <si>
    <t>ETKT 459 3006427207</t>
  </si>
  <si>
    <t>14SEP,</t>
  </si>
  <si>
    <t>MR BABOU HARVEST</t>
  </si>
  <si>
    <t>BABOU ALAIN THIERRY</t>
  </si>
  <si>
    <t>ETKT 0821806317741</t>
  </si>
  <si>
    <t>19AUG-27AUG</t>
  </si>
  <si>
    <t>ETKT 071 3006427209</t>
  </si>
  <si>
    <t xml:space="preserve">ETKT 071 3006427210 </t>
  </si>
  <si>
    <t>CAISSE         OM</t>
  </si>
  <si>
    <t>19AUG-24AUG</t>
  </si>
  <si>
    <t xml:space="preserve">EHAK ENDEKSOBO/FRANCK LOIC MR </t>
  </si>
  <si>
    <t>ETKT 032 3006427211</t>
  </si>
  <si>
    <t>ETKT 071 3006427212</t>
  </si>
  <si>
    <t>23 AUG- 20 SEP</t>
  </si>
  <si>
    <t>DSS-DLA-DSS</t>
  </si>
  <si>
    <t>ASSOUN/ NOAM RENE SAMB (ENFANT)</t>
  </si>
  <si>
    <t>ETKT 4833006427217</t>
  </si>
  <si>
    <t>24 AUG- 20 SEP</t>
  </si>
  <si>
    <t>ASSOUN/NAELLE SAFLETOU SAMB (JEUNE ENFANT)</t>
  </si>
  <si>
    <t>ETKT 4833006427215</t>
  </si>
  <si>
    <t>30 AUG - 02 SEP</t>
  </si>
  <si>
    <t>BANSE/SMAEL ADOU MR</t>
  </si>
  <si>
    <t>ETKT 0573006427218</t>
  </si>
  <si>
    <t>01SEP,</t>
  </si>
  <si>
    <t>LYS-DLA</t>
  </si>
  <si>
    <t>MRS MEGNAM</t>
  </si>
  <si>
    <t>FATIMATOU MEGNAM POUMIE (ADT)</t>
  </si>
  <si>
    <t>ETKT  0821806317742</t>
  </si>
  <si>
    <t>03 SEP- 05 SEP</t>
  </si>
  <si>
    <t>ABJ- DXB- NBO</t>
  </si>
  <si>
    <t>ETKT 176 3516027878</t>
  </si>
  <si>
    <t>NDOLA KANYERE/YACINE MRS</t>
  </si>
  <si>
    <t>ETKT 176 3516027879</t>
  </si>
  <si>
    <t>22 AUG- 20 SEP</t>
  </si>
  <si>
    <t>SECK/ AMADOU PAUL (ENFANT)</t>
  </si>
  <si>
    <t>ETKT 4833006427214</t>
  </si>
  <si>
    <t>22/08/2025 25/08/2025</t>
  </si>
  <si>
    <t>08 OCT-19 OCT</t>
  </si>
  <si>
    <t>ETKT 4833006427220</t>
  </si>
  <si>
    <t>09 SEP-20 SEP</t>
  </si>
  <si>
    <t>ETKT 0573006427219</t>
  </si>
  <si>
    <t>TA LOU/KETSIA ABIGAIL(ENFANT)</t>
  </si>
  <si>
    <t>ETKT 4833006427221</t>
  </si>
  <si>
    <t>20 AUG- 20 SEP</t>
  </si>
  <si>
    <t>THIAM/ADJA OUMOU KALTHOUM MRS</t>
  </si>
  <si>
    <t>ETKT 4833006427216</t>
  </si>
  <si>
    <t>21 AUG- 20 SEP</t>
  </si>
  <si>
    <t>YOUM/ADJA FATOU</t>
  </si>
  <si>
    <t>ETKT 4833006427213</t>
  </si>
  <si>
    <t>21AUG,</t>
  </si>
  <si>
    <t>MRS BONGONGUI</t>
  </si>
  <si>
    <t>.BONGONGUI MBAPPE EPSE NTONE/SUZANNE MRS</t>
  </si>
  <si>
    <t>VOIDER</t>
  </si>
  <si>
    <t>XBAG</t>
  </si>
  <si>
    <t>BALLONG/MITA ABA WEN MIMA MR</t>
  </si>
  <si>
    <t>ETKT 0822986885158</t>
  </si>
  <si>
    <t>22 AUG-31 AUG</t>
  </si>
  <si>
    <t>M &amp; L CONSULTING</t>
  </si>
  <si>
    <t>C.EFETI MONKA ENDELEY EPSE WATAT</t>
  </si>
  <si>
    <t>ETKT 49850000371062</t>
  </si>
  <si>
    <t>v/r</t>
  </si>
  <si>
    <t>21 AUG</t>
  </si>
  <si>
    <t>CEDRIC MATHIEU/NGAKO KETCHANGA MR</t>
  </si>
  <si>
    <t>ETKT 23522396667</t>
  </si>
  <si>
    <t>HC</t>
  </si>
  <si>
    <t>DSS-ABJ-DSS</t>
  </si>
  <si>
    <t>CISSE/ABDOULAYE MR</t>
  </si>
  <si>
    <t>ETKT 4902986890738</t>
  </si>
  <si>
    <t>29 AUG -02 SEP</t>
  </si>
  <si>
    <t>NKC-ABJ-NKC</t>
  </si>
  <si>
    <t>DIA/EL HADJ IBRAHIMA MR</t>
  </si>
  <si>
    <t>ETKT 0322986890746</t>
  </si>
  <si>
    <t>30AUG-02SEP</t>
  </si>
  <si>
    <t>DOUBANGAR FELICITE</t>
  </si>
  <si>
    <t>ETKT 0823006415500</t>
  </si>
  <si>
    <t>EKOUTI/BENOIT THIERRY MR</t>
  </si>
  <si>
    <t>ETKT 0322986890739</t>
  </si>
  <si>
    <t>30 AUG -04 SEP</t>
  </si>
  <si>
    <t>ETKT 0322986890744</t>
  </si>
  <si>
    <t>30 AUG -02 SEP</t>
  </si>
  <si>
    <t>FIDIECK A BIDIAS/MATHIAS EMILE MR</t>
  </si>
  <si>
    <t>ETKT 0322986890740</t>
  </si>
  <si>
    <t>05SEP,</t>
  </si>
  <si>
    <t>NBO-KGL</t>
  </si>
  <si>
    <t>ETKT 7063006415496</t>
  </si>
  <si>
    <t>NC-ABJ-NC</t>
  </si>
  <si>
    <t>LAFARGE/MATHILDE MR</t>
  </si>
  <si>
    <t>ETKT 0822986885157</t>
  </si>
  <si>
    <t>30 AUG- 02 SEP</t>
  </si>
  <si>
    <t>ETKT 0573006415494</t>
  </si>
  <si>
    <t>ABV-ABJ-ABV</t>
  </si>
  <si>
    <t>MOGHALU/CHINEDU MR</t>
  </si>
  <si>
    <t>ETKT 0323006415497</t>
  </si>
  <si>
    <t>30 AUG- 03 SEP</t>
  </si>
  <si>
    <t>MR ABOUBAKAR SEIDIK/ELHADJ MAMADOU ABBA</t>
  </si>
  <si>
    <t>ETKT 0823511998678</t>
  </si>
  <si>
    <t>ETKT 7063006415495</t>
  </si>
  <si>
    <t>30 AUG - 03 SEP</t>
  </si>
  <si>
    <t>NEMALE/CONSTANT JUNIOR MR</t>
  </si>
  <si>
    <t>ETKT 0822986890742</t>
  </si>
  <si>
    <t>MRS KOUOTOU</t>
  </si>
  <si>
    <t>OUSMANOU KOUOTOU</t>
  </si>
  <si>
    <t>ETKT 0823511998677</t>
  </si>
  <si>
    <t>18/08/2025 19/08/2025</t>
  </si>
  <si>
    <t>SA</t>
  </si>
  <si>
    <t>ACC-ABJ-ACC</t>
  </si>
  <si>
    <t>SAKYI ADDO/KWAKU ADDO MR</t>
  </si>
  <si>
    <t>GOLITE/SATGURU</t>
  </si>
  <si>
    <t>ETKT 0833006477253</t>
  </si>
  <si>
    <t>SONNANG/CLOVIS NDONGLA</t>
  </si>
  <si>
    <t>ETKT 49850000371061</t>
  </si>
  <si>
    <t>24 AUG</t>
  </si>
  <si>
    <t>MR TSADJIO</t>
  </si>
  <si>
    <t>TSADJIO FEUDJIO/CHRISTIAN DUNESSE</t>
  </si>
  <si>
    <t>ETKT 0572986885185</t>
  </si>
  <si>
    <t>WADE/ADAMA MR</t>
  </si>
  <si>
    <t>ETKT 4832986890741</t>
  </si>
  <si>
    <t>22 AUG</t>
  </si>
  <si>
    <t>YANICK PLACIDE/NDIKUM</t>
  </si>
  <si>
    <t>ETKT 49850000371065</t>
  </si>
  <si>
    <t>25 AUG</t>
  </si>
  <si>
    <t>YANICK PLACIDE/NDIKUM MR</t>
  </si>
  <si>
    <t>ETKT 2770050199227</t>
  </si>
  <si>
    <t>27 AUG</t>
  </si>
  <si>
    <t>BELIBY/MFOUMOU LYSETTE ESTHER MRS</t>
  </si>
  <si>
    <t>ETKT 0573006427223</t>
  </si>
  <si>
    <t>21 AUG-06 OCT</t>
  </si>
  <si>
    <t>DME-DLA-DME</t>
  </si>
  <si>
    <t>ETKT 0712154756816</t>
  </si>
  <si>
    <t>11 NOV-17NOV</t>
  </si>
  <si>
    <t>MR NSOM</t>
  </si>
  <si>
    <t>NSOM EPSE EKOKA/CHARLOTTE MARIE C</t>
  </si>
  <si>
    <t>ETKT 4593006427222</t>
  </si>
  <si>
    <t>CHQ 2086886</t>
  </si>
  <si>
    <t>29AUG-05SEP</t>
  </si>
  <si>
    <t>JFK-ABJ-JFK</t>
  </si>
  <si>
    <t>BELLO BOUBACAR ABDOUL SALAM</t>
  </si>
  <si>
    <t>ETKT 1472986885313</t>
  </si>
  <si>
    <t>23AUG-25AUG</t>
  </si>
  <si>
    <t>NDJ-NSI-NDJ</t>
  </si>
  <si>
    <t xml:space="preserve">DJIKOLOUM/GUESSIMBAYE AIME MR </t>
  </si>
  <si>
    <t>ETKT 032-3006415505</t>
  </si>
  <si>
    <t xml:space="preserve">GAMGNE GUIADEM/CATHERINE MARCELLE </t>
  </si>
  <si>
    <t>ETKT 082 3006427225</t>
  </si>
  <si>
    <t>30AUG,</t>
  </si>
  <si>
    <t>DLA-BES</t>
  </si>
  <si>
    <t>MR GANNO</t>
  </si>
  <si>
    <t>GANNO NGUEFACK/MAYEUL</t>
  </si>
  <si>
    <t>MS LAURE</t>
  </si>
  <si>
    <t>ETKT 057-2986885316</t>
  </si>
  <si>
    <t xml:space="preserve">GANNO TONLEFACK/MIKAEL </t>
  </si>
  <si>
    <t>ETKT 057-3006415504</t>
  </si>
  <si>
    <t>27/08/2025 03/10/2025</t>
  </si>
  <si>
    <t>KAMGANG KAMMOGNE/KENAN</t>
  </si>
  <si>
    <t>ETKT 082 3006427226</t>
  </si>
  <si>
    <t>REFUND INTEGRAL (365 600-74 000= 291 600)</t>
  </si>
  <si>
    <t>29AUG,</t>
  </si>
  <si>
    <t>DFW-DLA</t>
  </si>
  <si>
    <t>ETKT 057 1847111148</t>
  </si>
  <si>
    <t>22AUG-25AUG</t>
  </si>
  <si>
    <t xml:space="preserve">NJANTOU TEKEU/ANSELME RAOUL </t>
  </si>
  <si>
    <t>ETKT 057 3006427227</t>
  </si>
  <si>
    <t>MR TANKEU</t>
  </si>
  <si>
    <t xml:space="preserve">TANKEU NSOTANG/FRED WILLY </t>
  </si>
  <si>
    <t>MS DARELLE</t>
  </si>
  <si>
    <t>ETKT 147 3006427224</t>
  </si>
  <si>
    <t>25AUG-28AUG</t>
  </si>
  <si>
    <t>MRS-NSI,DLA-MRS</t>
  </si>
  <si>
    <t>MR NOUGANG</t>
  </si>
  <si>
    <t>NOUGANG/MOTCHOFFO ELIE EMMANUEL MR</t>
  </si>
  <si>
    <t>ETKT 147 2986893487-88</t>
  </si>
  <si>
    <t>29AUG-31AUG</t>
  </si>
  <si>
    <t xml:space="preserve">KIFACK BOUKENG EP DJOUAKA/FLORENCE MRS </t>
  </si>
  <si>
    <t>ETKT 0400300041819</t>
  </si>
  <si>
    <t>08OCT-18JAN</t>
  </si>
  <si>
    <t>DLA-TRS-DLA</t>
  </si>
  <si>
    <t>MRS DJOUMESSI</t>
  </si>
  <si>
    <t xml:space="preserve">MAWOUABA EPSE DJOUMESSI/JOSEPHINE </t>
  </si>
  <si>
    <t>ETKT 0712154866089</t>
  </si>
  <si>
    <t>02SEP,</t>
  </si>
  <si>
    <t xml:space="preserve">DME-DLA </t>
  </si>
  <si>
    <t>MR SIMO</t>
  </si>
  <si>
    <t>SIMO FODJO/ROBERTE CASSANDRA MRS</t>
  </si>
  <si>
    <t xml:space="preserve">ETKT </t>
  </si>
  <si>
    <t>29AUG-10JAN</t>
  </si>
  <si>
    <t>CDG-DAL-CDG</t>
  </si>
  <si>
    <t>ETKT 057 3006427229</t>
  </si>
  <si>
    <t>27/08/2025 19/09/2025</t>
  </si>
  <si>
    <t>POLYCLINIC DE POITIER SARL</t>
  </si>
  <si>
    <t>TIOMELA TIYAO EPOUSE METEMBOU/BEATRICE MRS</t>
  </si>
  <si>
    <t>ETKT 057 2986894297</t>
  </si>
  <si>
    <t>25SEP,</t>
  </si>
  <si>
    <t>MRS SANDRINE DJUMMO JIOTSA</t>
  </si>
  <si>
    <t>ZE EPSE DJUMMO/MARTHE GERTRUDE MRS</t>
  </si>
  <si>
    <t>ETKT 071 3006427228</t>
  </si>
  <si>
    <t>05SEP-08SEP-16SEP</t>
  </si>
  <si>
    <t>DLA-HRG-CAI-DLA</t>
  </si>
  <si>
    <t>MR GAITAN</t>
  </si>
  <si>
    <t xml:space="preserve">KAPTUE KAPTUE/GAITAN MR </t>
  </si>
  <si>
    <t xml:space="preserve">ETKT 077 3006427230  </t>
  </si>
  <si>
    <t>07SEP-20SEP</t>
  </si>
  <si>
    <t xml:space="preserve">SOUB GOUNOUO/CHRISTELLE AUDREY </t>
  </si>
  <si>
    <t>ETKT 057 3006427231</t>
  </si>
  <si>
    <t>01SEP-18SEP</t>
  </si>
  <si>
    <t>DLA-CDG-NSI</t>
  </si>
  <si>
    <t>KAGOU GEORGES LEOPOLD MR</t>
  </si>
  <si>
    <t>ETKT 235 3006427236</t>
  </si>
  <si>
    <t>ETKT 483 3006427235</t>
  </si>
  <si>
    <t>CHQ 6717817</t>
  </si>
  <si>
    <t>OUA-ABJ-OUA</t>
  </si>
  <si>
    <t xml:space="preserve">YAMONGBE MORIN MR </t>
  </si>
  <si>
    <t>ETKT 483 3006427234</t>
  </si>
  <si>
    <t>10SEP-26SEP</t>
  </si>
  <si>
    <t>LFW-CKY-LFW</t>
  </si>
  <si>
    <t>MRS BEBE</t>
  </si>
  <si>
    <t>BEBE/ROSE ERNESTINE MRS</t>
  </si>
  <si>
    <t>ETKT 483 2952101302</t>
  </si>
  <si>
    <t>19DEC-04JAN</t>
  </si>
  <si>
    <t>DLA-ZRH-DLA</t>
  </si>
  <si>
    <t>01127/11/25</t>
  </si>
  <si>
    <t>MRS DIKOSSO</t>
  </si>
  <si>
    <t xml:space="preserve">DIKOSSO EBOKOLO EP WASSEU/SYBILE R </t>
  </si>
  <si>
    <t>(1185820-1125820=60000)</t>
  </si>
  <si>
    <t>ETKT 082 3006427239</t>
  </si>
  <si>
    <t>REFUND 01/11/2025</t>
  </si>
  <si>
    <t>29/08/2025 03/10/2025</t>
  </si>
  <si>
    <t xml:space="preserve">DLA-DUS </t>
  </si>
  <si>
    <t xml:space="preserve">MR DJIDJOU </t>
  </si>
  <si>
    <t>DJIDJOU NTCHAGOU/FABRICE VAL MR</t>
  </si>
  <si>
    <t>ETKT 235 2952101326</t>
  </si>
  <si>
    <t>31AUG-06SEP</t>
  </si>
  <si>
    <t xml:space="preserve">ENAMA EPSE ONANA/MARIE LAURE MRS </t>
  </si>
  <si>
    <t>ETKT  057 3006427241</t>
  </si>
  <si>
    <t>22OCT-30OCT</t>
  </si>
  <si>
    <t>DLA-ZNZ-NSI</t>
  </si>
  <si>
    <t>MRS KAYO</t>
  </si>
  <si>
    <t xml:space="preserve">KAYO NGUETCHOUANG EP MANGOUKA/SANDRINE </t>
  </si>
  <si>
    <t>MRS NGANI</t>
  </si>
  <si>
    <t xml:space="preserve">ETKT 483 3006427237 </t>
  </si>
  <si>
    <t>ETKT 483 3006427238</t>
  </si>
  <si>
    <t>04SEP,</t>
  </si>
  <si>
    <t>PARENT ETUDIAT</t>
  </si>
  <si>
    <t xml:space="preserve"> KAMMEGNE KENMOGNE/BILL AUREOL MR</t>
  </si>
  <si>
    <t>ETKT 057 2952102093</t>
  </si>
  <si>
    <t>DJOMEGNE KENMOGNE/BEN HONIL MR</t>
  </si>
  <si>
    <t>ETKT 057 2952102092</t>
  </si>
  <si>
    <t>DLA-ZNZ-DLA</t>
  </si>
  <si>
    <t>TOASMI VOYAGE</t>
  </si>
  <si>
    <t>TEZANOU KAFACK EP AZEMKOUO/GEORGETTE MRS</t>
  </si>
  <si>
    <t>ETKT 0712952102257</t>
  </si>
  <si>
    <t>01JUN-07JUL</t>
  </si>
  <si>
    <t>00635/07/2025</t>
  </si>
  <si>
    <t>ENAMA EPSE ONANA , MARIE LAURE</t>
  </si>
  <si>
    <t>ETKT 0572320681394</t>
  </si>
  <si>
    <t>CONSIEGERIE</t>
  </si>
  <si>
    <t>00631/07/2025</t>
  </si>
  <si>
    <t>MR XAVIER YANNICK SONE EKOLO (ADT)</t>
  </si>
  <si>
    <t>ETKT 0823511998654</t>
  </si>
  <si>
    <t>01AUG-09AUG</t>
  </si>
  <si>
    <t>00632/07/2025</t>
  </si>
  <si>
    <t xml:space="preserve">AKOA MBALLA EDMOND MODESTE CHRSITIAN </t>
  </si>
  <si>
    <t>DEMANDE DE VISA</t>
  </si>
  <si>
    <t>VISA</t>
  </si>
  <si>
    <t>20JUL,</t>
  </si>
  <si>
    <t>CDG-DLA,</t>
  </si>
  <si>
    <t>00633/07/2025</t>
  </si>
  <si>
    <t>MR FILIPPO FABBRI (ADT)</t>
  </si>
  <si>
    <t>BAGAGE SUPPLEMENTAIRE</t>
  </si>
  <si>
    <t>MR XAVIER DAVID DREYFUSS (ADT)</t>
  </si>
  <si>
    <t>07JUL-03AUG</t>
  </si>
  <si>
    <t>00634/07/2025</t>
  </si>
  <si>
    <t>MR SAMA</t>
  </si>
  <si>
    <t>MBANG EPSE SAMA NJOUME/VIRGINIE SORELLE MRS</t>
  </si>
  <si>
    <t xml:space="preserve">ETKT 147 2986858802 </t>
  </si>
  <si>
    <t>SAMA NJOUME/SANYA KRYSTAL MS</t>
  </si>
  <si>
    <t>ETKT 147 2986858803</t>
  </si>
  <si>
    <t>02/07/2025 26/09/2025</t>
  </si>
  <si>
    <t>CAISSE BANQUE</t>
  </si>
  <si>
    <t>CHQ 0000007</t>
  </si>
  <si>
    <t>SAMA NJOUME/SASHA MALAIKA MS</t>
  </si>
  <si>
    <t xml:space="preserve">ETKT 147 2986858804 </t>
  </si>
  <si>
    <t>09JUL-24JUL</t>
  </si>
  <si>
    <t>00636/07/2025</t>
  </si>
  <si>
    <t>ELECT ENGINEERING</t>
  </si>
  <si>
    <t>ETKT 2353006427094</t>
  </si>
  <si>
    <t>CHQ 8040591</t>
  </si>
  <si>
    <t>EJ</t>
  </si>
  <si>
    <t>04JUL,</t>
  </si>
  <si>
    <t>BZV-DLA</t>
  </si>
  <si>
    <t>00638/07/2025</t>
  </si>
  <si>
    <t>MR. DJAMEN OLOMO ROLAND</t>
  </si>
  <si>
    <t>ETKT 0002415170103</t>
  </si>
  <si>
    <t>MRS. EBELA NYANGONO DANA PRIYANKA</t>
  </si>
  <si>
    <t>ETKT 0002415170104</t>
  </si>
  <si>
    <t>00639/07/2025</t>
  </si>
  <si>
    <t>ETKT 147 2986860397</t>
  </si>
  <si>
    <t>ETKT 147 2986860398</t>
  </si>
  <si>
    <t xml:space="preserve">ETKT 147 2986860399 </t>
  </si>
  <si>
    <t>09AUG-17AUG</t>
  </si>
  <si>
    <t>NSI-ZNZ-NSI</t>
  </si>
  <si>
    <t>00642/07/2025</t>
  </si>
  <si>
    <t>DOC ARMELLE</t>
  </si>
  <si>
    <t xml:space="preserve">METCHOP NGUEJEU/ARMELE MRS </t>
  </si>
  <si>
    <t>ETKT 071 3006427096</t>
  </si>
  <si>
    <t>11JUL,</t>
  </si>
  <si>
    <t>00641/07/2025</t>
  </si>
  <si>
    <t>ENAMA EPSE ONANA MARIE LAURE</t>
  </si>
  <si>
    <t xml:space="preserve">DG </t>
  </si>
  <si>
    <t>GOLITE/BLUEBERRY</t>
  </si>
  <si>
    <t>ETKT 0573006415428</t>
  </si>
  <si>
    <t>10JUL-09SEP</t>
  </si>
  <si>
    <t>00643/07/2025</t>
  </si>
  <si>
    <t>MRS LENGUE</t>
  </si>
  <si>
    <t>LENGUE ENGOME/CHLOE MAIWENN MS</t>
  </si>
  <si>
    <t>HEUNA MRS</t>
  </si>
  <si>
    <t>ETKT 147298660614</t>
  </si>
  <si>
    <t>13/06/2025 04/07/2025</t>
  </si>
  <si>
    <t>SN,TP</t>
  </si>
  <si>
    <t>16JUL-20JULBRU-LIS-BRU</t>
  </si>
  <si>
    <t>00644/07/2025</t>
  </si>
  <si>
    <t>BLUEBERRY</t>
  </si>
  <si>
    <t>ETKT 0822986861210</t>
  </si>
  <si>
    <t>23JUL-17SEP</t>
  </si>
  <si>
    <t>00645/07/2025</t>
  </si>
  <si>
    <t xml:space="preserve">GAMGNE GUIADEM/CATHERINE MARCELLE MRS </t>
  </si>
  <si>
    <t>ETKT 0823511998655</t>
  </si>
  <si>
    <t>25AUG-06SEP</t>
  </si>
  <si>
    <t>DLA-MAN-DLA</t>
  </si>
  <si>
    <t>00646/07/2025</t>
  </si>
  <si>
    <t>MR FOLEFACK</t>
  </si>
  <si>
    <t xml:space="preserve">FOLEFACK NANDA/GABIN MR </t>
  </si>
  <si>
    <t>ETKT 071 3006427100</t>
  </si>
  <si>
    <t>CHQ 0183454</t>
  </si>
  <si>
    <t>10JUL.</t>
  </si>
  <si>
    <t>SSG-NSI</t>
  </si>
  <si>
    <t>00649/07/2025</t>
  </si>
  <si>
    <t>OBIANG ESIDANG/EMERENCIANA MANGUE</t>
  </si>
  <si>
    <t>ETKT 032 3006427108</t>
  </si>
  <si>
    <t>01/08/2025 12/08/2025</t>
  </si>
  <si>
    <t>OM        CAISSE</t>
  </si>
  <si>
    <t>27JUN-07JUL</t>
  </si>
  <si>
    <t>00653/07/2025</t>
  </si>
  <si>
    <t>ONANA CYRILLE BERTRAND</t>
  </si>
  <si>
    <t>CONSIEGERIE RETOUR</t>
  </si>
  <si>
    <t>09JUL-21DEC</t>
  </si>
  <si>
    <t>DAM-DLA-DAM</t>
  </si>
  <si>
    <t>00648/07/2025</t>
  </si>
  <si>
    <t>HASSAN KASSIES</t>
  </si>
  <si>
    <t xml:space="preserve">ETKT -0712986861279  </t>
  </si>
  <si>
    <t>18JUL-03AUG</t>
  </si>
  <si>
    <t>00637/07/2025</t>
  </si>
  <si>
    <t>MR KUSAKININA</t>
  </si>
  <si>
    <t xml:space="preserve">KUSAKININA/ALAIN MAKOLA MR </t>
  </si>
  <si>
    <t xml:space="preserve">ETKT 071 3006427106 </t>
  </si>
  <si>
    <t>18JUL-28AUG</t>
  </si>
  <si>
    <t xml:space="preserve">MAKOLA/KUSAKININA </t>
  </si>
  <si>
    <t>ETKT 071 3006427103</t>
  </si>
  <si>
    <t>MAKOLA/NGUADI TANDIA</t>
  </si>
  <si>
    <t>ETKT 071 3006427101</t>
  </si>
  <si>
    <t>MIANDA/MALANGU MRS</t>
  </si>
  <si>
    <t>ETKT 071 3006427102</t>
  </si>
  <si>
    <t>LX</t>
  </si>
  <si>
    <t>10JUL-28JUL</t>
  </si>
  <si>
    <t>YUL-GVA-YUL</t>
  </si>
  <si>
    <t>00647/07/2025</t>
  </si>
  <si>
    <t>TCHANKOU,OLIVIER MR</t>
  </si>
  <si>
    <t>ETKT 724 6075995713</t>
  </si>
  <si>
    <t>CAISSE        OM</t>
  </si>
  <si>
    <t>10JUL-15JUL-18JUL</t>
  </si>
  <si>
    <t>DLA-ABJ-DSS-DLA</t>
  </si>
  <si>
    <t>00650/07/2025</t>
  </si>
  <si>
    <t>ETKT 483 3006427107</t>
  </si>
  <si>
    <t>CHQ 8009001</t>
  </si>
  <si>
    <t>09AUG-16AUG</t>
  </si>
  <si>
    <t>CDG-ZNZ-CDG</t>
  </si>
  <si>
    <t>00651/07/2025</t>
  </si>
  <si>
    <t xml:space="preserve">MOMO METCHOP/GYREL MR </t>
  </si>
  <si>
    <t xml:space="preserve">ETKT 057 3006427104 </t>
  </si>
  <si>
    <t>09JUL.</t>
  </si>
  <si>
    <t>00656/07/2025</t>
  </si>
  <si>
    <t>ETKT 4985000356852</t>
  </si>
  <si>
    <t>ETKT 27724750173</t>
  </si>
  <si>
    <t>11JUL.</t>
  </si>
  <si>
    <t>14JUL-16JUL</t>
  </si>
  <si>
    <t>00661/07/2025</t>
  </si>
  <si>
    <t>DLA-DXB,</t>
  </si>
  <si>
    <t>00658/07/2025</t>
  </si>
  <si>
    <t xml:space="preserve">LOUMLIYA/ERNEST MR </t>
  </si>
  <si>
    <t xml:space="preserve">ETKT  124 3006 427111  </t>
  </si>
  <si>
    <t>08SEP-11SEP</t>
  </si>
  <si>
    <t>00655/07/2025</t>
  </si>
  <si>
    <t>ETKT 0823511998656</t>
  </si>
  <si>
    <t>08SEP,</t>
  </si>
  <si>
    <t>DLA-MAD,</t>
  </si>
  <si>
    <t>ETKT 0823511998657</t>
  </si>
  <si>
    <t>1SEP-04OCT</t>
  </si>
  <si>
    <t>MAD-CDG-NSI</t>
  </si>
  <si>
    <t>ETKT 0573006427110</t>
  </si>
  <si>
    <t>08/07/2025 21/07/2025</t>
  </si>
  <si>
    <t>27JUL,</t>
  </si>
  <si>
    <t>NSI-DUS</t>
  </si>
  <si>
    <t>00657/07/2025</t>
  </si>
  <si>
    <t>MR DJOUTSOP</t>
  </si>
  <si>
    <t>DJOUTSOP KOUAN BRIYEL</t>
  </si>
  <si>
    <t>ETKT 0713006427109</t>
  </si>
  <si>
    <t>09JJUL-13JUL</t>
  </si>
  <si>
    <t>00660/07/2025</t>
  </si>
  <si>
    <t>SYLLA/WOROKHYA MRS</t>
  </si>
  <si>
    <t xml:space="preserve">ETKT  0572986861350        </t>
  </si>
  <si>
    <t>05AUG</t>
  </si>
  <si>
    <t>NSI-BDL</t>
  </si>
  <si>
    <t>00659/07/2025</t>
  </si>
  <si>
    <t>MRS KENNE</t>
  </si>
  <si>
    <t>NIMA, FRANCIS MR</t>
  </si>
  <si>
    <t>ETKT 1473006427112</t>
  </si>
  <si>
    <t>16JUL-16AUG</t>
  </si>
  <si>
    <t>00640/07/2025</t>
  </si>
  <si>
    <t>PHARMACIE DE DOUALA</t>
  </si>
  <si>
    <t>DIOP IBRAHIMA MR</t>
  </si>
  <si>
    <t>ETKT 4832986863624</t>
  </si>
  <si>
    <t>11JUL-27JUL</t>
  </si>
  <si>
    <t>KAMGA TUETE EPSE KAMGNIA/NADINE MRS</t>
  </si>
  <si>
    <t>ETKT 057 2986864146</t>
  </si>
  <si>
    <t>08AUG-23AUG</t>
  </si>
  <si>
    <t>CAMARA/KHADIDIATOU MRS</t>
  </si>
  <si>
    <t>ETKT 483 2986864274</t>
  </si>
  <si>
    <t>DIATTA/SIRA MS</t>
  </si>
  <si>
    <t>ETKT 483 2986864275</t>
  </si>
  <si>
    <t>FAM/MAME SIRA KEITA(CHD/25NOV13)</t>
  </si>
  <si>
    <t>ETKT 483 2986864276</t>
  </si>
  <si>
    <t>14JUL,</t>
  </si>
  <si>
    <t>DLA-GOU</t>
  </si>
  <si>
    <t>MR MARCEL AIME/NYEMECK EYONG</t>
  </si>
  <si>
    <t>ETKT  0400300037095</t>
  </si>
  <si>
    <t>13JUL-16JUL</t>
  </si>
  <si>
    <t>TIENTCHEU TASSI, LEON MR</t>
  </si>
  <si>
    <t>ETKT 0323006427116</t>
  </si>
  <si>
    <t>17JUL-13AUG</t>
  </si>
  <si>
    <t>BIDJONI ONANA/OLIVIA MARIE CHLOE(CHD/09NOV15)</t>
  </si>
  <si>
    <t>ETKT 057 3006427117</t>
  </si>
  <si>
    <t>DZOU ONANA/MARC CLAUDE MICHEL MSTR</t>
  </si>
  <si>
    <t>ETKT 057 3006427119</t>
  </si>
  <si>
    <t>13AUG,</t>
  </si>
  <si>
    <t xml:space="preserve">ETKT 0573006415433 </t>
  </si>
  <si>
    <t>NGAH ONANA/ISIS MANUELLA(CHD/21DEC18)</t>
  </si>
  <si>
    <t>ETKT 057 3006427118</t>
  </si>
  <si>
    <t>10SEP-27SEP</t>
  </si>
  <si>
    <t>MR CHRISTIAN</t>
  </si>
  <si>
    <t>ETKT 0823511998658</t>
  </si>
  <si>
    <t>14JUL-30JUL</t>
  </si>
  <si>
    <t xml:space="preserve">BIYAG/ANTOINE ARMAND MR </t>
  </si>
  <si>
    <t>ETKT 057 3006427120</t>
  </si>
  <si>
    <t>17/07/2025 27/08/2025</t>
  </si>
  <si>
    <t>30JUL-04AUG</t>
  </si>
  <si>
    <t>SAFARI</t>
  </si>
  <si>
    <t>ETKT 071 3006427113</t>
  </si>
  <si>
    <t>04AUG-24AUG</t>
  </si>
  <si>
    <t>EBELA MVONDO/DESIRE PARFAIT MR</t>
  </si>
  <si>
    <t>ETKT 0712153854461</t>
  </si>
  <si>
    <t>17/07/2025 01/09/2025 23/10/2025</t>
  </si>
  <si>
    <t>17JUL.</t>
  </si>
  <si>
    <t>TONDJA NDAFEUT EP NKWENKEU FONDJA YANNICK</t>
  </si>
  <si>
    <t>ETKT 0822301790628</t>
  </si>
  <si>
    <t>17JUL-06AUG</t>
  </si>
  <si>
    <t>MR MACHE</t>
  </si>
  <si>
    <t xml:space="preserve">KOUYA/JACQUELINE MRS </t>
  </si>
  <si>
    <t>ETKT 0713006427121</t>
  </si>
  <si>
    <t>14AUG-15SEP</t>
  </si>
  <si>
    <t>DLA-LYS-DLA</t>
  </si>
  <si>
    <t>ETKT 0823511998660</t>
  </si>
  <si>
    <t>14AUG-23DEC</t>
  </si>
  <si>
    <t>NELSON IDRISSOU VICTORY ESSISSIMA (ADT)</t>
  </si>
  <si>
    <t>ETKT 0823511998659</t>
  </si>
  <si>
    <t>16JUL.</t>
  </si>
  <si>
    <t>ABJ-LFW</t>
  </si>
  <si>
    <t>ETKT 0322986866886</t>
  </si>
  <si>
    <t>07AUG-10OCT</t>
  </si>
  <si>
    <t>AZEMKOUO NDONTSOP/ASHLEY MS</t>
  </si>
  <si>
    <t>ETKT 483 2986868071</t>
  </si>
  <si>
    <t>17JUL-27JUL</t>
  </si>
  <si>
    <t xml:space="preserve">ONANA/CYRILLE BERTRAND MR </t>
  </si>
  <si>
    <t>ETKT 0573006415438</t>
  </si>
  <si>
    <t>18/07/2025 26/08/2025</t>
  </si>
  <si>
    <t>02JAN-01JUL</t>
  </si>
  <si>
    <t>ETKT 0823511998661</t>
  </si>
  <si>
    <t>11/07/2025 14/07/2025</t>
  </si>
  <si>
    <t xml:space="preserve">L6 </t>
  </si>
  <si>
    <t>19JUL.</t>
  </si>
  <si>
    <t xml:space="preserve">NKC-ABJ </t>
  </si>
  <si>
    <t>ACOUETEY KANGNI/DIDIER MR</t>
  </si>
  <si>
    <t>BLUEBERY</t>
  </si>
  <si>
    <t>ETKT 1696076069408</t>
  </si>
  <si>
    <t>L6
HF</t>
  </si>
  <si>
    <t>19JUL,
19JUL,</t>
  </si>
  <si>
    <t>NKC-ABJ
ABJ-DLA</t>
  </si>
  <si>
    <t>BLUEBERRY
AMADEUS</t>
  </si>
  <si>
    <t>ETKT 1696076069387
ETKT 4832986868205</t>
  </si>
  <si>
    <t>31JUL-04AUG</t>
  </si>
  <si>
    <t>05SEP-26SEP</t>
  </si>
  <si>
    <t>DOC WILFRIED</t>
  </si>
  <si>
    <t xml:space="preserve">NGUETCHUENG GUEMNING/WILFRIED MR </t>
  </si>
  <si>
    <t xml:space="preserve">ETKT 483 3006427127 </t>
  </si>
  <si>
    <t>05AUG-15AUG</t>
  </si>
  <si>
    <t>MR MANGUELE</t>
  </si>
  <si>
    <t xml:space="preserve">MANGUELE MA MBOK/JEAN JUNIOR MR </t>
  </si>
  <si>
    <t>ETKT 071 3006427123</t>
  </si>
  <si>
    <t>MBOK MANGUELE/ETHAN ALEXANDRE</t>
  </si>
  <si>
    <t>ETKT 071 3006427126</t>
  </si>
  <si>
    <t>NYETAM YE MAYAM EPSE MANGUELE/CARINE A</t>
  </si>
  <si>
    <t>ETKT 071 3006427124</t>
  </si>
  <si>
    <t xml:space="preserve">ZOGO YE MAYAM/VANESSA </t>
  </si>
  <si>
    <t>ETKT 071 3006427125</t>
  </si>
  <si>
    <t xml:space="preserve">ETKT 057 2986864146 </t>
  </si>
  <si>
    <t>ACHAT BAGAGE SUPPLEMENTAIRE</t>
  </si>
  <si>
    <t>23JUL-30JUL</t>
  </si>
  <si>
    <t xml:space="preserve">TCHACHUE/PATRICE MR </t>
  </si>
  <si>
    <t>ETKT 057 3006427128</t>
  </si>
  <si>
    <t>16/07/2025 01/08/2025</t>
  </si>
  <si>
    <t>10AUG</t>
  </si>
  <si>
    <t>BOM-DLA</t>
  </si>
  <si>
    <t>MRS TIEKOUE</t>
  </si>
  <si>
    <t>TIEKOUE EPSE WOAPPI/VERONIQUE MRS</t>
  </si>
  <si>
    <t>ETKT 0712986865974</t>
  </si>
  <si>
    <t>20JUL-25JUL</t>
  </si>
  <si>
    <t xml:space="preserve">KAMDJIO TIEDJOP/ROMUALD WILLY MR </t>
  </si>
  <si>
    <t>ETKT 032 3006427130</t>
  </si>
  <si>
    <t>ANNULATION VISA DUBAI</t>
  </si>
  <si>
    <t>MBOUGUE NGUETSOP IVE DESIRE</t>
  </si>
  <si>
    <t>ETKT 1474401388820</t>
  </si>
  <si>
    <t>ACHAT BAGAGE SUPPLEMENTAIRE 23KG</t>
  </si>
  <si>
    <t>24JUL-14SEP</t>
  </si>
  <si>
    <t xml:space="preserve">TCHOKOUASSI HALDET EPSE NGASSOM/JULIENNE </t>
  </si>
  <si>
    <t>ETKT 057 3006427129</t>
  </si>
  <si>
    <t>20JUL-23JUL</t>
  </si>
  <si>
    <t>MR EKOLO TSITSI CLEMENT JANVIER</t>
  </si>
  <si>
    <t>ETKT 49850000360285</t>
  </si>
  <si>
    <t>SEKEM SIMO/FABRICE DIMITRI MR</t>
  </si>
  <si>
    <t>ETKT 032 3006427138</t>
  </si>
  <si>
    <t>27JUL-25SEP</t>
  </si>
  <si>
    <t xml:space="preserve">MAKOUGANG/BRIGITTE MRS </t>
  </si>
  <si>
    <t>ETKT 071 3006427136</t>
  </si>
  <si>
    <t>01AUG-07SEP</t>
  </si>
  <si>
    <t>MUC-NSI,DLA-MUC</t>
  </si>
  <si>
    <t>MR ELVIS BERTRANDD KAMGANG (ADT)</t>
  </si>
  <si>
    <t>ETKT 0823511998662-663</t>
  </si>
  <si>
    <t>03AUG-13AUG</t>
  </si>
  <si>
    <t xml:space="preserve">SANDNER/WOLFGANG JOSEF MR </t>
  </si>
  <si>
    <t>ETKT 0823511998664</t>
  </si>
  <si>
    <t>19JUL-03AUG</t>
  </si>
  <si>
    <t>CDG-NCE-CDG</t>
  </si>
  <si>
    <t>ETKT 057 3006427135</t>
  </si>
  <si>
    <t>ETKT 057 3006427134</t>
  </si>
  <si>
    <t>ETKT 057 3006427132</t>
  </si>
  <si>
    <t>ETKT 057 3006427133</t>
  </si>
  <si>
    <t>19JUL-20JUL</t>
  </si>
  <si>
    <t>ETKT 057 3006427131</t>
  </si>
  <si>
    <t>21JUL-31JUL</t>
  </si>
  <si>
    <t>MR DJAPOM STEPHANE</t>
  </si>
  <si>
    <t xml:space="preserve">NDIKO EPSE DJAPOM NANA/HILDE G </t>
  </si>
  <si>
    <t>MME STEPHANE</t>
  </si>
  <si>
    <t>ETKT 4833006415441</t>
  </si>
  <si>
    <t>27JUL-25AUG</t>
  </si>
  <si>
    <t>MRS BRIGITTE CANAL+</t>
  </si>
  <si>
    <t>TEYOU/MODESTE BRUNO MRS</t>
  </si>
  <si>
    <t xml:space="preserve">ETKT 071 3006427137 </t>
  </si>
  <si>
    <t>29JUL-19AUG</t>
  </si>
  <si>
    <t>MRS-DLA-MRS</t>
  </si>
  <si>
    <t>MRS TCHILADO</t>
  </si>
  <si>
    <t xml:space="preserve">TCHILADO/JOSEPHE BEENIE MRS </t>
  </si>
  <si>
    <t>ETKT 0823006415440</t>
  </si>
  <si>
    <t xml:space="preserve"> CAISSE</t>
  </si>
  <si>
    <t>08AUG-04SEP</t>
  </si>
  <si>
    <t>ETKT 2353006415464</t>
  </si>
  <si>
    <t>PANDERA/CHRISTIAN MIHAI</t>
  </si>
  <si>
    <t>ETKT 2353006415462</t>
  </si>
  <si>
    <t xml:space="preserve">PANDERA/MIHAI </t>
  </si>
  <si>
    <t>ETKT 2353006415463</t>
  </si>
  <si>
    <t>21JUL-24JUL</t>
  </si>
  <si>
    <t>POWOH INNOCENT YE-SENEH</t>
  </si>
  <si>
    <t>ETKT 2770049294063</t>
  </si>
  <si>
    <t xml:space="preserve"> DIPOKO NDOUMBE FRANCOISE DESIREE</t>
  </si>
  <si>
    <t>22JUL-24JUL</t>
  </si>
  <si>
    <t>CDG-JTR-CDG</t>
  </si>
  <si>
    <t>ETKT 057 2986866234</t>
  </si>
  <si>
    <t>NADINE KAMGA TUETE EPSE KAMGNA</t>
  </si>
  <si>
    <t xml:space="preserve">ETKT 057 2986866235      </t>
  </si>
  <si>
    <t>02AUG-21AUG</t>
  </si>
  <si>
    <t xml:space="preserve">NYAKE AKASSE EPSE IKANDO TOUM/MARIETTE </t>
  </si>
  <si>
    <t>ETKT 147 3006427144</t>
  </si>
  <si>
    <t>22JUL-03AUG</t>
  </si>
  <si>
    <t xml:space="preserve">MRS ESSO </t>
  </si>
  <si>
    <t>NGO BAYANAK EP KONGUE ESSO/BERNADETTE</t>
  </si>
  <si>
    <t>ETKT 4832402109812</t>
  </si>
  <si>
    <t>KONGUE ESSO ALEXIA MAUREEN</t>
  </si>
  <si>
    <t>ETKT 4832402109811</t>
  </si>
  <si>
    <t>25JUL,</t>
  </si>
  <si>
    <t>DLA-IAD</t>
  </si>
  <si>
    <t>DINA LA COIFFEUSE</t>
  </si>
  <si>
    <t xml:space="preserve">TCHATCHOUANG BOUMDA/MOREL </t>
  </si>
  <si>
    <t xml:space="preserve">EKT 071 3006427141 </t>
  </si>
  <si>
    <t>15AUG-28AUG</t>
  </si>
  <si>
    <t>ISOYONGO LOFETE/OSEE</t>
  </si>
  <si>
    <t xml:space="preserve">ETKT 483 3006427139 </t>
  </si>
  <si>
    <t>TAMBA NDAHULI/DADA MRS</t>
  </si>
  <si>
    <t>ETKT 483 3006427140</t>
  </si>
  <si>
    <t>27JUL-15SEP</t>
  </si>
  <si>
    <t>ABJ-LHR-ABJ</t>
  </si>
  <si>
    <t>ETKT 0823511998665</t>
  </si>
  <si>
    <t>00698/10/2025</t>
  </si>
  <si>
    <t>MRS LYNDA APHING KOUASSI (ADT)</t>
  </si>
  <si>
    <t>28AUG-31AUG</t>
  </si>
  <si>
    <t>GOU-DLA-GOU</t>
  </si>
  <si>
    <t>GWODOG/ALAIN PATRICK MR</t>
  </si>
  <si>
    <t>ETKT 0400300037096</t>
  </si>
  <si>
    <t xml:space="preserve">TIJE/MELODIE MRS </t>
  </si>
  <si>
    <t>ETKT 0400300037097</t>
  </si>
  <si>
    <t xml:space="preserve">NINTEDEM/CARLOS MR </t>
  </si>
  <si>
    <t>ETKT 0400300037098</t>
  </si>
  <si>
    <t>NAFISSATOU/KONATE MRS</t>
  </si>
  <si>
    <t>ETKT 0400300037099</t>
  </si>
  <si>
    <t xml:space="preserve">BOBGA/PAUL MR </t>
  </si>
  <si>
    <t>ETKT  0400300037100</t>
  </si>
  <si>
    <t>28AUG-30AUG</t>
  </si>
  <si>
    <t>MVR-DLA-MVR</t>
  </si>
  <si>
    <t>MR ABBA/MOUSSA</t>
  </si>
  <si>
    <t>ETKT 0400300041801</t>
  </si>
  <si>
    <t>21AUG-30AUG</t>
  </si>
  <si>
    <t>TEZANOU KAFACK EPSE AZEMKOUO/GEORGETTE</t>
  </si>
  <si>
    <t xml:space="preserve">ETKT 483 3006427142 </t>
  </si>
  <si>
    <t>23JUL,</t>
  </si>
  <si>
    <t>ETKT 057 3006 415465</t>
  </si>
  <si>
    <t xml:space="preserve">AKOA MBALLA/EDMOND MODESTE CHRISTIAN </t>
  </si>
  <si>
    <t xml:space="preserve">ETKT 071 3006427143 </t>
  </si>
  <si>
    <t>28JUL-02AUG</t>
  </si>
  <si>
    <t>DLA-GOU,MVR-DLA</t>
  </si>
  <si>
    <t>MBALLA/REMY II SAMUEL GODWILL MR</t>
  </si>
  <si>
    <t>ETKT 0400200581005</t>
  </si>
  <si>
    <t>30AUG-21SEP</t>
  </si>
  <si>
    <t xml:space="preserve"> KAMGAING/MARC</t>
  </si>
  <si>
    <t>ETKT 057 3006427145</t>
  </si>
  <si>
    <t>24JUL-10AUG</t>
  </si>
  <si>
    <t>.ONANA/CYRILLE BERTRAND MR</t>
  </si>
  <si>
    <t>ETKT 0572986874242</t>
  </si>
  <si>
    <t>02AUG-11AUG</t>
  </si>
  <si>
    <t>MR DASHACO</t>
  </si>
  <si>
    <t>ALOYSIA ARROH NALENGA/DASHACO MS</t>
  </si>
  <si>
    <t>ETKT 0572986874235</t>
  </si>
  <si>
    <t>GWEN LAPA EPSE DASHACO/LILIANE MRS</t>
  </si>
  <si>
    <t>ETKT 0572986874236</t>
  </si>
  <si>
    <t>BONY DASHACO/ABAYO(CHD/19MAY15)</t>
  </si>
  <si>
    <t>ETKT 0572986874237</t>
  </si>
  <si>
    <t>DASHACO/IVANKA CHLOE NTSACOM OJANKA(CHD/12FEB19)</t>
  </si>
  <si>
    <t>ETKT 0572986874238</t>
  </si>
  <si>
    <t>DASHACO/JASON PRIESTLEY ENANGUE(CHD/13SEP16)</t>
  </si>
  <si>
    <t>ETKT 0572986874239</t>
  </si>
  <si>
    <t>24JUL-04AUG</t>
  </si>
  <si>
    <t>ETKT 057 3006427146</t>
  </si>
  <si>
    <t>26OCT-02NOV</t>
  </si>
  <si>
    <t>NOUTCHOGOUIM MAGNE EP GUIFO/ODETTE</t>
  </si>
  <si>
    <t>ETKT 0822302120143</t>
  </si>
  <si>
    <t>29SEP,</t>
  </si>
  <si>
    <t xml:space="preserve">BRU-DLA </t>
  </si>
  <si>
    <t>ETKT 0823511998652</t>
  </si>
  <si>
    <t>06SEP,</t>
  </si>
  <si>
    <t xml:space="preserve">GUIFO STEPHANE PROSPER F </t>
  </si>
  <si>
    <t>ETKT 0822302120141</t>
  </si>
  <si>
    <t>ETKT 0822986872180</t>
  </si>
  <si>
    <t>FADIMATOU/PATOU MRS</t>
  </si>
  <si>
    <t>ETKT 0400300041802</t>
  </si>
  <si>
    <t>MAHAMAT/AHMAT MR</t>
  </si>
  <si>
    <t>ETKT 0400300041803</t>
  </si>
  <si>
    <t>AISSATOU/MRS</t>
  </si>
  <si>
    <t>ETKT 0400300041805</t>
  </si>
  <si>
    <t>DJEUMENI/PATRICIA MRS</t>
  </si>
  <si>
    <t>ETKT 0400300041804</t>
  </si>
  <si>
    <t>27AUG-31AUG</t>
  </si>
  <si>
    <t>DEFFO/GREGOIRE MR</t>
  </si>
  <si>
    <t>ETKT 0400300041806</t>
  </si>
  <si>
    <t>MOUUSIMA/YVES MR</t>
  </si>
  <si>
    <t>ETKT 0400300041807</t>
  </si>
  <si>
    <t>NDEG/MARIEN MR</t>
  </si>
  <si>
    <t>ETKT 0400300041808</t>
  </si>
  <si>
    <t>BIKAI/MARIE MRS</t>
  </si>
  <si>
    <t>ETKT 0400300041809</t>
  </si>
  <si>
    <t>KAMDEM KONMOGNE/MR</t>
  </si>
  <si>
    <t>ETKT 0400300041810</t>
  </si>
  <si>
    <t>MBUGUA NEE TCHAMKO/MR</t>
  </si>
  <si>
    <t>ETKT 0400300041811</t>
  </si>
  <si>
    <t>TCHOUNGOUANG/WEBEDJO MR</t>
  </si>
  <si>
    <t>ETKT 0400300041812</t>
  </si>
  <si>
    <t>NOUPEYOU/VARENE MR</t>
  </si>
  <si>
    <t>ETKT 0400300041813</t>
  </si>
  <si>
    <t>29JUL,</t>
  </si>
  <si>
    <t>SYLVAIN BERTRAND AHANDA ETOUNDI</t>
  </si>
  <si>
    <t>ETKT 0572320681403</t>
  </si>
  <si>
    <t>25AUG-29AUG</t>
  </si>
  <si>
    <t>CDG-BCN-CDG</t>
  </si>
  <si>
    <t>ETKT 057 3006427147</t>
  </si>
  <si>
    <t>14AUG-24AUG</t>
  </si>
  <si>
    <t>BRU-DLA,ABJ-BRU</t>
  </si>
  <si>
    <t>ETOGO ASSE/FREDERIQUE ESTELLE MRS</t>
  </si>
  <si>
    <t>24AUG</t>
  </si>
  <si>
    <t>00712/10/2025</t>
  </si>
  <si>
    <t>PIVOLATE</t>
  </si>
  <si>
    <t>MRS FREDERIQUE ESTELLE ETOGO ASSE (ADT)</t>
  </si>
  <si>
    <t>ETKT 0823511998666</t>
  </si>
  <si>
    <t>26JUL-29JUL</t>
  </si>
  <si>
    <t>KASSI ARTHUR</t>
  </si>
  <si>
    <t>ETKT 0573006427148</t>
  </si>
  <si>
    <t>07AUG,</t>
  </si>
  <si>
    <t>MR NDOUMBE</t>
  </si>
  <si>
    <t>FRIEDA NDOUMBE (ADT)</t>
  </si>
  <si>
    <t>ETKT 0823511998668</t>
  </si>
  <si>
    <t>14AUG-23AUG</t>
  </si>
  <si>
    <t>ETKT 0821806317737</t>
  </si>
  <si>
    <t>BRU-DLA-ABJ-BRU</t>
  </si>
  <si>
    <t>00716/10/2025</t>
  </si>
  <si>
    <t>ETKT 0823511998667</t>
  </si>
  <si>
    <t>30JUL,</t>
  </si>
  <si>
    <t>MRS FRANCKA</t>
  </si>
  <si>
    <t>DAVID DIDIER DE YOUMESSI TAKAM</t>
  </si>
  <si>
    <t>ETKT 0572341079247</t>
  </si>
  <si>
    <t>MRS MACHE</t>
  </si>
  <si>
    <t xml:space="preserve">MEWOUE EPOUSE MACHE/SYLVIE SOLANGE </t>
  </si>
  <si>
    <t>ETKT 071 3006427149</t>
  </si>
  <si>
    <t xml:space="preserve">MACHE/JOSEPHA MARTHE KELLY </t>
  </si>
  <si>
    <t>ETKT 071 3006427150</t>
  </si>
  <si>
    <t>KOUYA/JACQUELINE MRS</t>
  </si>
  <si>
    <t>ETKT 071 3006427151</t>
  </si>
  <si>
    <t>31JUL-21AUG</t>
  </si>
  <si>
    <t>MRS METEMBOU</t>
  </si>
  <si>
    <t>ETKT 0572986875934</t>
  </si>
  <si>
    <t>28JUL-25SEP</t>
  </si>
  <si>
    <t>MRS BRIGITTE CANAL +</t>
  </si>
  <si>
    <t>ETKT 071 3006427152</t>
  </si>
  <si>
    <t>28JUL-25AUG</t>
  </si>
  <si>
    <t xml:space="preserve">ETKT 071 3006427153 </t>
  </si>
  <si>
    <t>cAISSE</t>
  </si>
  <si>
    <t>11JAN-19JAN</t>
  </si>
  <si>
    <t xml:space="preserve">HELBERT/ANNE LAURE ELISABETH </t>
  </si>
  <si>
    <t>ETKT 0823511998670</t>
  </si>
  <si>
    <t xml:space="preserve">ANDRIEUX/MICHEL JEAN VINCENT </t>
  </si>
  <si>
    <t>ETKT 0823511998669</t>
  </si>
  <si>
    <t>11SEP,</t>
  </si>
  <si>
    <t>NSI-CDG</t>
  </si>
  <si>
    <t>HEUNA NJEUMI ,SUSY ANNE LUCIE MRS</t>
  </si>
  <si>
    <t xml:space="preserve">ETKT 147 2986876423 </t>
  </si>
  <si>
    <t>29OCT,</t>
  </si>
  <si>
    <t>BCN-CDG</t>
  </si>
  <si>
    <t>ETKT 0573006427157</t>
  </si>
  <si>
    <t>05AUG,</t>
  </si>
  <si>
    <t>ETKT  057 1847111142</t>
  </si>
  <si>
    <t>19AUG,</t>
  </si>
  <si>
    <t xml:space="preserve">DLA-ABJ </t>
  </si>
  <si>
    <t>ETKT 483 3006427154</t>
  </si>
  <si>
    <t>ETKT 483 3006427155</t>
  </si>
  <si>
    <t>MME DJUIMO</t>
  </si>
  <si>
    <t>clients  djuimo debana</t>
  </si>
  <si>
    <t>VISA ZANZIBAR</t>
  </si>
  <si>
    <t xml:space="preserve">clients Tchatchoua </t>
  </si>
  <si>
    <t>ASSURANCE VISA ZANZIBAR</t>
  </si>
  <si>
    <t>08AUG,</t>
  </si>
  <si>
    <t>ETKT 483 2986877177</t>
  </si>
  <si>
    <t>01AUG-10AUG</t>
  </si>
  <si>
    <t>ETKT 0573006427158</t>
  </si>
  <si>
    <t>29JUL-02AUG</t>
  </si>
  <si>
    <t>CDG-AYT-CDG</t>
  </si>
  <si>
    <r>
      <t>BRIDGET MONTHE NJENKU/MRS</t>
    </r>
    <r>
      <rPr>
        <sz val="11"/>
        <color rgb="FF1d2228"/>
        <rFont val="Courier New"/>
        <family val="2"/>
      </rPr>
      <t xml:space="preserve"> </t>
    </r>
  </si>
  <si>
    <t xml:space="preserve">ETKT 235 6076178864 </t>
  </si>
  <si>
    <t>WIRDZEYI/ETIEN MR</t>
  </si>
  <si>
    <t>ETKT 0400300041814</t>
  </si>
  <si>
    <t>1ER BAGAGE SUPPLEMENTAIRE</t>
  </si>
  <si>
    <t>04OCT-10OCT</t>
  </si>
  <si>
    <t>MRS STALINE</t>
  </si>
  <si>
    <t>MAKAMTA TABEU/STALINE</t>
  </si>
  <si>
    <t>ETKT 0823511998671</t>
  </si>
  <si>
    <t>24AUG,</t>
  </si>
  <si>
    <t xml:space="preserve">NTUMBA NDAYA EPSE TAMBA/MITA MIMI MRS </t>
  </si>
  <si>
    <t>ETKT 032 3006427161</t>
  </si>
  <si>
    <t>ETKT 032 3006427162</t>
  </si>
  <si>
    <t>TAMBA ZAPO/YOHANN PAUL*08JUN13</t>
  </si>
  <si>
    <t>ETKT 032 3006427163</t>
  </si>
  <si>
    <t>31AUG-30NOV</t>
  </si>
  <si>
    <t>ETKT 032 3006427164</t>
  </si>
  <si>
    <t>01AUG,</t>
  </si>
  <si>
    <t>KUSAKININA</t>
  </si>
  <si>
    <t>KUSAKININA/ALAIN MAKOLA MR</t>
  </si>
  <si>
    <t xml:space="preserve">ETKT 071 3006427159 </t>
  </si>
  <si>
    <t>03AUG,</t>
  </si>
  <si>
    <t>ZNZ-DLA</t>
  </si>
  <si>
    <t>DJUIMO DEBANA EPSE TEFOIT EMILIE SANDRINE MRS</t>
  </si>
  <si>
    <t>ETKT 0713006427168</t>
  </si>
  <si>
    <t>21DEC-05JAN</t>
  </si>
  <si>
    <t>MR STEVE PATRICK</t>
  </si>
  <si>
    <t xml:space="preserve">LEWE YETENDJE/FRANCK THOMAS NGASSAM </t>
  </si>
  <si>
    <t>ETKT 124 3006427165</t>
  </si>
  <si>
    <t xml:space="preserve">DLA-CDG </t>
  </si>
  <si>
    <t>MRS GLADYS</t>
  </si>
  <si>
    <t xml:space="preserve">LEUWAT/NEH NOUKEU JESSIKA </t>
  </si>
  <si>
    <t>ETKT 082 3006427160</t>
  </si>
  <si>
    <t>18AUG</t>
  </si>
  <si>
    <t>GUIFO AURELIE MRS</t>
  </si>
  <si>
    <t>ETKT 0824559466568</t>
  </si>
  <si>
    <t>BAG SUP</t>
  </si>
  <si>
    <t>GUIFO TAGNE KAIS PHILIPPE MR</t>
  </si>
  <si>
    <t>2ND  BAGAGE SUPPLEMENTAIRE</t>
  </si>
  <si>
    <t>TCHATCHOUANG SUZANNE LINDA MRS</t>
  </si>
  <si>
    <t>AVANCE 04</t>
  </si>
  <si>
    <t>MODE REGLT</t>
  </si>
  <si>
    <t>26JUN-13AUG</t>
  </si>
  <si>
    <t>00522/06/2025</t>
  </si>
  <si>
    <t>ETKT 057 9588273861</t>
  </si>
  <si>
    <t>12JUN-16JUN</t>
  </si>
  <si>
    <t>00521/06/2025</t>
  </si>
  <si>
    <t>APHING KOUASSI/LYNDA</t>
  </si>
  <si>
    <t>ETKT 483 6376951395</t>
  </si>
  <si>
    <t>03JUL-31JUL</t>
  </si>
  <si>
    <t>DLA-LHR-DLA</t>
  </si>
  <si>
    <t>00523/06/2025</t>
  </si>
  <si>
    <t>MR NJOUME</t>
  </si>
  <si>
    <t xml:space="preserve"> JOCKY KINGUE EPSE NJOUME/EMMA ROSY</t>
  </si>
  <si>
    <t>ETKT 0829049042885</t>
  </si>
  <si>
    <t>03/06/2025 17/07/2025</t>
  </si>
  <si>
    <t>NJOUME/GRACE VICTORIA MS</t>
  </si>
  <si>
    <t>ETKT 0829049042886</t>
  </si>
  <si>
    <t>08SEP-23SEP</t>
  </si>
  <si>
    <t>00524/06/2025</t>
  </si>
  <si>
    <t>MRS TEZANOU</t>
  </si>
  <si>
    <t>THERESA LYVIA TEZANOU M (ADT)</t>
  </si>
  <si>
    <t>ETKT 0829049042888</t>
  </si>
  <si>
    <t>03JUN,</t>
  </si>
  <si>
    <t>NSI-LBV</t>
  </si>
  <si>
    <t>00511/06/2025</t>
  </si>
  <si>
    <t>EMRALD SECURITIES SERVICES BOURSE</t>
  </si>
  <si>
    <t>.NDOM NDJOCK/ALEXIS MR</t>
  </si>
  <si>
    <t xml:space="preserve">ETKT 0719588273862 </t>
  </si>
  <si>
    <t>03JUN-18JUN</t>
  </si>
  <si>
    <t xml:space="preserve">DLA-TUN-DLA </t>
  </si>
  <si>
    <t>00525/06/2025</t>
  </si>
  <si>
    <t>ETKT 147 6376952232</t>
  </si>
  <si>
    <t>00531/06/2025</t>
  </si>
  <si>
    <t>ETKT 27724277666</t>
  </si>
  <si>
    <t>OBIANG NCHAMA JOSÉ MIGUEL</t>
  </si>
  <si>
    <t>GUY BERTRAND NTSAMA</t>
  </si>
  <si>
    <t>05JUN-30JUN</t>
  </si>
  <si>
    <t>TLS-NSI-CDG</t>
  </si>
  <si>
    <t>00533/06/2025</t>
  </si>
  <si>
    <t xml:space="preserve">MVENE SENGUE/PAULINE LAETITIA MRS </t>
  </si>
  <si>
    <t>ETKT 0579588273863</t>
  </si>
  <si>
    <t>04JUN-14JUN</t>
  </si>
  <si>
    <t>ABJ-BGF-ABJ</t>
  </si>
  <si>
    <t>00532/06/2025</t>
  </si>
  <si>
    <t>EVINA ABOULA/YANNICK SATURNIN MR</t>
  </si>
  <si>
    <t>ETKT 0329588273864</t>
  </si>
  <si>
    <t>10JUN-11JUN</t>
  </si>
  <si>
    <t>00535/06/2025</t>
  </si>
  <si>
    <t>ETKT  27724307088</t>
  </si>
  <si>
    <t>CHQ 9896459</t>
  </si>
  <si>
    <t>16JUN-13JUL</t>
  </si>
  <si>
    <t>00536/06/2025</t>
  </si>
  <si>
    <t>MRS SUZANNE</t>
  </si>
  <si>
    <t>DJOUGUI EPOUSE NGUENEWOU/JULIENNE</t>
  </si>
  <si>
    <t>ETKT 0829049042889</t>
  </si>
  <si>
    <t>09/06/2025 11/06/2025 23/06/2025 07/10/2025</t>
  </si>
  <si>
    <t>07JUN,</t>
  </si>
  <si>
    <t>00534/06/2025</t>
  </si>
  <si>
    <t>BOUJEKE TCHEKOULONG/WILLIAM</t>
  </si>
  <si>
    <t xml:space="preserve">ETKT 032 9588273865 </t>
  </si>
  <si>
    <t>18JUN-23JUN-25JUN</t>
  </si>
  <si>
    <t>DLA-CPT-JNB-DLA</t>
  </si>
  <si>
    <t>MRS DJUIMO</t>
  </si>
  <si>
    <t>DJUIMO DEBANA/EMILIE SANDRINE EP TEFOIT</t>
  </si>
  <si>
    <t>ETKT 0719588273867</t>
  </si>
  <si>
    <t xml:space="preserve">VOIDER </t>
  </si>
  <si>
    <t>09JUN-11JUN</t>
  </si>
  <si>
    <t>00537/06/2025</t>
  </si>
  <si>
    <t xml:space="preserve">TALLA DJEMMO/ROMUALD MR </t>
  </si>
  <si>
    <t>ETKT 483 9588273869</t>
  </si>
  <si>
    <t>KAMGAING KAMDEM/GUY JANVIER MR</t>
  </si>
  <si>
    <t>ETKT 483 9588273870</t>
  </si>
  <si>
    <t>21JUN-07JUL</t>
  </si>
  <si>
    <t>DLA-ZRH,CDG-DLA</t>
  </si>
  <si>
    <t>00529/06/2025</t>
  </si>
  <si>
    <t xml:space="preserve">BOOG/SAMUEL DIEUDONNE </t>
  </si>
  <si>
    <t>ETKT 0573006415324</t>
  </si>
  <si>
    <t>CHQ6417231</t>
  </si>
  <si>
    <t xml:space="preserve">BOUNKEU/CHANTAL </t>
  </si>
  <si>
    <t>ETKT 0573006415325</t>
  </si>
  <si>
    <t>CHQ6417232</t>
  </si>
  <si>
    <t>00529/06/2026</t>
  </si>
  <si>
    <t>NOUTCHA TCHOMBA/SERGE BRUNO MICHEL</t>
  </si>
  <si>
    <t>ETKT 0573006415326</t>
  </si>
  <si>
    <t>10/06/2025 11/08/2025</t>
  </si>
  <si>
    <t>CHQ6417232 V/R</t>
  </si>
  <si>
    <t xml:space="preserve">NEOSSI/EMMANUEL </t>
  </si>
  <si>
    <t>ETKT 0573006415327</t>
  </si>
  <si>
    <t>16JUN-18JUN</t>
  </si>
  <si>
    <t>DLA-ABJ-DSS</t>
  </si>
  <si>
    <t>00539/06/2025</t>
  </si>
  <si>
    <t>ETKT 483 9588273873</t>
  </si>
  <si>
    <t>09JUN-20JUN</t>
  </si>
  <si>
    <t>00538/06/2025</t>
  </si>
  <si>
    <t>EMD 164000</t>
  </si>
  <si>
    <t>ETKT 0829049042890</t>
  </si>
  <si>
    <t>14JUL-26AUG</t>
  </si>
  <si>
    <t>00540/06/2025</t>
  </si>
  <si>
    <t>MRS NJIKEU</t>
  </si>
  <si>
    <t>.FEUNKEU BEUNKEU EPSE NJIKEU/YVETTE GEORGETTE MRS</t>
  </si>
  <si>
    <t>ETKT 459 6376948837</t>
  </si>
  <si>
    <t>NJIKEU/CLAUDE MR</t>
  </si>
  <si>
    <t>ETKT 459 6376948836</t>
  </si>
  <si>
    <t>08JUN.</t>
  </si>
  <si>
    <t>00541/06/2025</t>
  </si>
  <si>
    <t xml:space="preserve">ATANGANA OYEBE/GABRIEL SERGE </t>
  </si>
  <si>
    <t>ETKT 22724323139</t>
  </si>
  <si>
    <t>06JUN-22JUN</t>
  </si>
  <si>
    <t>DLA-SZX-DLA</t>
  </si>
  <si>
    <t>00542/06/2025</t>
  </si>
  <si>
    <t xml:space="preserve">AFS </t>
  </si>
  <si>
    <t>MAGOUDAYA/DAVID MR</t>
  </si>
  <si>
    <t>ETKT 0712153064004</t>
  </si>
  <si>
    <t>MOTTO DIN DIKA EPSE NGAMBY/STEPHANIE FAL LONE MRS</t>
  </si>
  <si>
    <t>ETKT 0712153064002</t>
  </si>
  <si>
    <t>02JUL-13AUG</t>
  </si>
  <si>
    <t>00544/06/2025</t>
  </si>
  <si>
    <t>YOHANN PAUL TAMBA ZAPO (YTH)</t>
  </si>
  <si>
    <t>ETKT 0829049042893</t>
  </si>
  <si>
    <t>WINNER ELIAN TAMBA NDAYA (YTH)</t>
  </si>
  <si>
    <t xml:space="preserve">ETKT 0829049042891 </t>
  </si>
  <si>
    <t>MRS MITA MIMI NTUMBA NDAYA EPSE TAMBA (ADT)</t>
  </si>
  <si>
    <t xml:space="preserve">ETKT 0829049042892 </t>
  </si>
  <si>
    <t>VOIDEER</t>
  </si>
  <si>
    <t>10JUN-13JUN</t>
  </si>
  <si>
    <t>DLA-DTW-DLA</t>
  </si>
  <si>
    <t>00543/06/2025</t>
  </si>
  <si>
    <t>ETKT 235 9588273875</t>
  </si>
  <si>
    <t>IPE ISUANCE</t>
  </si>
  <si>
    <t>00545/06/2025</t>
  </si>
  <si>
    <t>MR OUSMAN</t>
  </si>
  <si>
    <t>OUSMAN/KEVIN BABILA</t>
  </si>
  <si>
    <t>ETKT 483 9588273876</t>
  </si>
  <si>
    <t>2,398,220</t>
  </si>
  <si>
    <t>11JUN-16JUN</t>
  </si>
  <si>
    <t>00546/06/2025</t>
  </si>
  <si>
    <t xml:space="preserve">ETKT 483 6376951395 </t>
  </si>
  <si>
    <t>10JUN-14JUN</t>
  </si>
  <si>
    <t>00530/06/2025</t>
  </si>
  <si>
    <t xml:space="preserve">NGAHANG FONGANG/JAURES LEOVANNI </t>
  </si>
  <si>
    <t>ETKT 483 9588273878</t>
  </si>
  <si>
    <t>CHQ 6417232</t>
  </si>
  <si>
    <t>BEUTKA NGNOUNEWOU/SERGES BERTRAND</t>
  </si>
  <si>
    <t>ETKT 483 9588273879</t>
  </si>
  <si>
    <t>12JUN.</t>
  </si>
  <si>
    <t>COO-DLA</t>
  </si>
  <si>
    <t>00547/06/2025</t>
  </si>
  <si>
    <t>FEPPA NANA/LYDIE GWENAELLE</t>
  </si>
  <si>
    <t xml:space="preserve">ETKT 032 9588273877 </t>
  </si>
  <si>
    <t>12JUN-15JUN</t>
  </si>
  <si>
    <t>00548/06/2025</t>
  </si>
  <si>
    <t>CANAL +</t>
  </si>
  <si>
    <t>ETKT 032 9588273877</t>
  </si>
  <si>
    <t>00549/06/2025</t>
  </si>
  <si>
    <t>MR NGUEMDZI</t>
  </si>
  <si>
    <t xml:space="preserve">NGUEMDZI TSOPKENG/GASTON LAURICE </t>
  </si>
  <si>
    <t>ETKT 057 9588273881</t>
  </si>
  <si>
    <t>07/07/2025 22/07/2025</t>
  </si>
  <si>
    <t>25JUN-12AUG</t>
  </si>
  <si>
    <t>00550/06/2025</t>
  </si>
  <si>
    <t>MRS MANDENG</t>
  </si>
  <si>
    <t>MANDENG/THERESE PATRICIA MRS</t>
  </si>
  <si>
    <t xml:space="preserve">ETKT 459 6376957309 </t>
  </si>
  <si>
    <t>LOURDES DIVINA G/MANDENG B(CHD/30JUN15)</t>
  </si>
  <si>
    <t>ETKT 459 6376957308</t>
  </si>
  <si>
    <t>CHRIS KYLLIAN MICHEL/MANDENG(CHD/16JUL18)</t>
  </si>
  <si>
    <t xml:space="preserve">ETKT 459 6376957307 </t>
  </si>
  <si>
    <t>12JUN-06JUL</t>
  </si>
  <si>
    <t>00552/06/2025</t>
  </si>
  <si>
    <t>MR TESSA</t>
  </si>
  <si>
    <t xml:space="preserve">TESSA/SIMON JEAN EMMANUEL MR </t>
  </si>
  <si>
    <t xml:space="preserve">ETKT 057 9588273882 </t>
  </si>
  <si>
    <t>18/09/2025 24/09/2025</t>
  </si>
  <si>
    <t>L6</t>
  </si>
  <si>
    <t>18JUN,</t>
  </si>
  <si>
    <t>DSS-NKC</t>
  </si>
  <si>
    <t>00551/06/2025</t>
  </si>
  <si>
    <t xml:space="preserve">ETKT  495 2871429707 </t>
  </si>
  <si>
    <t>20JUN,</t>
  </si>
  <si>
    <t>NKC-ZYR</t>
  </si>
  <si>
    <t>00553/06/2025</t>
  </si>
  <si>
    <t>ETKT 057 6376957496</t>
  </si>
  <si>
    <t>12JUN-18JUN</t>
  </si>
  <si>
    <t>00554/06/2025</t>
  </si>
  <si>
    <t>ETKT 057 9588273883</t>
  </si>
  <si>
    <t>15JUN-22JUN</t>
  </si>
  <si>
    <t>00604/06/2025</t>
  </si>
  <si>
    <t>MARIE LAURE ENAMA</t>
  </si>
  <si>
    <t>ETKT 057 230 091 690 0</t>
  </si>
  <si>
    <t>04/07/2025 18/07/2025</t>
  </si>
  <si>
    <t>15AUG-20DEC</t>
  </si>
  <si>
    <t>00561/06/2025</t>
  </si>
  <si>
    <t>FOUOZING/ZARA JANELLE MS</t>
  </si>
  <si>
    <t>ETKT 057 6376958961</t>
  </si>
  <si>
    <t>01JUL-14JUL</t>
  </si>
  <si>
    <t>DLA-EWR-DLA</t>
  </si>
  <si>
    <t>00560/06/2025</t>
  </si>
  <si>
    <t>DJOUKENG/CLEMENT GAIMA MR</t>
  </si>
  <si>
    <t>ETKT 0712153199138</t>
  </si>
  <si>
    <t>09JUL-19AUG</t>
  </si>
  <si>
    <t>00559/06/2025</t>
  </si>
  <si>
    <t xml:space="preserve">ETKT 077 2986846014 </t>
  </si>
  <si>
    <t>17JUN-18JUN</t>
  </si>
  <si>
    <t>00558/06/2025</t>
  </si>
  <si>
    <t>ETKT 0400300037088</t>
  </si>
  <si>
    <t>12JUN-19JUN-01JUL</t>
  </si>
  <si>
    <t>NSI-MRS-CDG-NSI</t>
  </si>
  <si>
    <t>00557/06/2025</t>
  </si>
  <si>
    <t xml:space="preserve">MOUSSI/FRANCK JUNIOR MR </t>
  </si>
  <si>
    <t xml:space="preserve">ETKT 057 9588273885 </t>
  </si>
  <si>
    <t>13JUN-10SEP</t>
  </si>
  <si>
    <t>00556/06/2025</t>
  </si>
  <si>
    <t xml:space="preserve">ABENG MBARGA/MARIANE OLIVIA MRS </t>
  </si>
  <si>
    <t>GOLITR</t>
  </si>
  <si>
    <t xml:space="preserve">ETKT 057 9588273884 </t>
  </si>
  <si>
    <t>19JUN-30JUN</t>
  </si>
  <si>
    <t>00555/06/2025</t>
  </si>
  <si>
    <t>MRS ESSO</t>
  </si>
  <si>
    <t xml:space="preserve">NGO BAYANAK EP KONGUE ESSO/BERNADETTE MARINA </t>
  </si>
  <si>
    <t>ETKT 0829049042894</t>
  </si>
  <si>
    <t>13JUN-20JUN</t>
  </si>
  <si>
    <t>00564/06/2025</t>
  </si>
  <si>
    <t>ETKT 057 9588273886</t>
  </si>
  <si>
    <t>15JUN-18JUN</t>
  </si>
  <si>
    <t xml:space="preserve">SYLLA/WOROKHYA MRS </t>
  </si>
  <si>
    <t>ETKT 057 9588273887</t>
  </si>
  <si>
    <t>13/06/2025 25/06/2025</t>
  </si>
  <si>
    <t>22AUG.</t>
  </si>
  <si>
    <t>00563/06/2025</t>
  </si>
  <si>
    <t>ETUDIANT IUC</t>
  </si>
  <si>
    <t xml:space="preserve">DJOUAKA DJOUTSOP/BRIAN WESLEY </t>
  </si>
  <si>
    <t xml:space="preserve">ETKT 0829049042895 </t>
  </si>
  <si>
    <t>19JUN-07JUL</t>
  </si>
  <si>
    <t>00562/06/2025</t>
  </si>
  <si>
    <t xml:space="preserve">KAMGAING TAASSI/MARC ETIENNE MR </t>
  </si>
  <si>
    <t xml:space="preserve">ETKT 0829049042896 </t>
  </si>
  <si>
    <t>20JUN-29AUG</t>
  </si>
  <si>
    <t>NSI-YYZ-NSI</t>
  </si>
  <si>
    <t>00565/06/2025</t>
  </si>
  <si>
    <t>MRS DJUMMO</t>
  </si>
  <si>
    <t xml:space="preserve">ETKT 071 9588273888  </t>
  </si>
  <si>
    <t>20JUN.</t>
  </si>
  <si>
    <t>00566/06/2025</t>
  </si>
  <si>
    <t>ETKT 032 9588273889</t>
  </si>
  <si>
    <t>17JUN-22JUN</t>
  </si>
  <si>
    <t>00567/06/2025</t>
  </si>
  <si>
    <t>MME MBAMBATH</t>
  </si>
  <si>
    <t xml:space="preserve">NGO BASOP EPSE MBAMBATH/DANIELE VALERIE MRS </t>
  </si>
  <si>
    <t>ETKT 0572986848496</t>
  </si>
  <si>
    <t>16/06/2025 17/07/2025 23/09/2025</t>
  </si>
  <si>
    <t>27JUL-30AUG</t>
  </si>
  <si>
    <t>00569/06/2025</t>
  </si>
  <si>
    <t>MRS JEANNE CLAIRE SIMO KAMDEM (ADT)</t>
  </si>
  <si>
    <t>ETKT 0829049042897</t>
  </si>
  <si>
    <t>12JUL-17AUG</t>
  </si>
  <si>
    <t>00570/06/2025</t>
  </si>
  <si>
    <t xml:space="preserve">GNABA/KOKOU MAWOUSSE MR </t>
  </si>
  <si>
    <t>ETKT 032 9588273894</t>
  </si>
  <si>
    <t>12JUL-23AUG</t>
  </si>
  <si>
    <t>YOKOR EPSE GNABA/KOSSIWAVI</t>
  </si>
  <si>
    <t>ETKT 032 9588273890</t>
  </si>
  <si>
    <t xml:space="preserve">GNABA/KODJO GODWIN </t>
  </si>
  <si>
    <t>ETKT 032 9588273891</t>
  </si>
  <si>
    <t>GNABA/KOKOU BLESSING*P-C11</t>
  </si>
  <si>
    <t>ETKT 032 9588273892</t>
  </si>
  <si>
    <t>GNABA/GRACE EMMANUELLE*P-C07</t>
  </si>
  <si>
    <t>ETKT 032 9588273893</t>
  </si>
  <si>
    <t>20JUN-10SEP</t>
  </si>
  <si>
    <t>ABJ-DXB-ABJ</t>
  </si>
  <si>
    <t>00568/06/2025</t>
  </si>
  <si>
    <t>LOHOUES YEMELY EMMANUELLE JESUS</t>
  </si>
  <si>
    <t>ETKT 1763089630724</t>
  </si>
  <si>
    <t>25/06/2025 10/07/2025</t>
  </si>
  <si>
    <t>22JUN-26JUN</t>
  </si>
  <si>
    <t>00572/06/2025</t>
  </si>
  <si>
    <t xml:space="preserve">OBIANG NCHAMA/JOSE MIGUEL MR </t>
  </si>
  <si>
    <t>ETKT 032 9588273895</t>
  </si>
  <si>
    <t xml:space="preserve">NTSAMA/GUY BERTRAND MR  </t>
  </si>
  <si>
    <t>ETKT 032 9588273896</t>
  </si>
  <si>
    <t>22JUN-29JUN</t>
  </si>
  <si>
    <t>00571/06/2025</t>
  </si>
  <si>
    <t xml:space="preserve">EMENE ALOSSA/ELISABETH CONCORDE </t>
  </si>
  <si>
    <t>ETKT 459 9588273897</t>
  </si>
  <si>
    <t xml:space="preserve">BETBIA DJONOU/ROLANDE MRS </t>
  </si>
  <si>
    <t>ETKT 459 9588273898</t>
  </si>
  <si>
    <t>24JUN-27JUN</t>
  </si>
  <si>
    <t>00574/06/2025</t>
  </si>
  <si>
    <t xml:space="preserve">BEUMO JAZE/BRICE PATRICK MR </t>
  </si>
  <si>
    <t>ETKT 483 3006427050</t>
  </si>
  <si>
    <t>00574/06/2026</t>
  </si>
  <si>
    <t xml:space="preserve">NJAMFA/TIARA MARIE SHILLEH MRS </t>
  </si>
  <si>
    <t xml:space="preserve">ETKT 483 3006427051 </t>
  </si>
  <si>
    <t>00574/06/2027</t>
  </si>
  <si>
    <t xml:space="preserve">DJANGO KOUAM/RITHA ELISE MAGUY MRS </t>
  </si>
  <si>
    <t>ETKT 483 3006427052</t>
  </si>
  <si>
    <t>22JUN-24JUN</t>
  </si>
  <si>
    <t>00573/06/2025</t>
  </si>
  <si>
    <t>ETKT 483 3006427053</t>
  </si>
  <si>
    <t>NTSAMA/GUY BERTRAND MR</t>
  </si>
  <si>
    <t>ETKT 483 3006427054</t>
  </si>
  <si>
    <t>20JUN-13JULDLA-BKK-DLA</t>
  </si>
  <si>
    <t>00575/06/2025</t>
  </si>
  <si>
    <t>HENRI WILLIAM/ATINE KEEMOUM MR</t>
  </si>
  <si>
    <t>ETKT 071 2986850859</t>
  </si>
  <si>
    <t>CZ</t>
  </si>
  <si>
    <t>21JUN-12JUL</t>
  </si>
  <si>
    <t>BKK-SZX-BKK</t>
  </si>
  <si>
    <t xml:space="preserve">ETKT 784 6075894477 </t>
  </si>
  <si>
    <t>SENGUIM FAI AYUNI/EPSE CHE FUH MRS</t>
  </si>
  <si>
    <t>ETKT 071 2986850860</t>
  </si>
  <si>
    <t>ETKT 784 6075894478</t>
  </si>
  <si>
    <t>21JUN-28JUN</t>
  </si>
  <si>
    <t>00577/06/2025</t>
  </si>
  <si>
    <t xml:space="preserve">ETKT 483 3006427055 </t>
  </si>
  <si>
    <t>18JUL-13AUG</t>
  </si>
  <si>
    <t>00578/06/2025</t>
  </si>
  <si>
    <t>MR TAMBA ZAPO/PAUL ZEPHYRIN</t>
  </si>
  <si>
    <t>ETKT 057 3006427056</t>
  </si>
  <si>
    <t>21JUN-05JUL</t>
  </si>
  <si>
    <t>00576/06/2025</t>
  </si>
  <si>
    <t>22JUN.</t>
  </si>
  <si>
    <t>PNR-DLA.</t>
  </si>
  <si>
    <t>00579/06/2025</t>
  </si>
  <si>
    <t xml:space="preserve">MADECA/ELVINA NATALIA BRAS </t>
  </si>
  <si>
    <t>ETKT 483 3006427057</t>
  </si>
  <si>
    <t>24JUN.</t>
  </si>
  <si>
    <t>DLA-PNR.</t>
  </si>
  <si>
    <t>ETKT 483 3006427058</t>
  </si>
  <si>
    <t>26JUN-22SEP</t>
  </si>
  <si>
    <t>00580/06/2025</t>
  </si>
  <si>
    <t xml:space="preserve">NGANI NOUDEM/FRANCINE MRS </t>
  </si>
  <si>
    <t>ETKT 057 3006427059</t>
  </si>
  <si>
    <t xml:space="preserve">FANCHEY/JULES NOUDEM*P-C11 DOB20MAY14 </t>
  </si>
  <si>
    <t>ETKT 057 3006427061</t>
  </si>
  <si>
    <t>30/06/2025 22/07/2025</t>
  </si>
  <si>
    <t xml:space="preserve">FANCHEY/JOAKIM NOUDEM*P-C11 DOB20MAY14 </t>
  </si>
  <si>
    <t>ETKT 057 3006427063</t>
  </si>
  <si>
    <t>22/07/2025 12/09/2025</t>
  </si>
  <si>
    <t>27JUN-23AUG</t>
  </si>
  <si>
    <t>00581/06/2025</t>
  </si>
  <si>
    <t>ETKT 057 3006427065</t>
  </si>
  <si>
    <t>23JUN.</t>
  </si>
  <si>
    <t>MR ESSENE</t>
  </si>
  <si>
    <t xml:space="preserve">MR ASSENE ENDOUGOU/JOSEPH MARTIAL </t>
  </si>
  <si>
    <t>ETKT 0400300037090</t>
  </si>
  <si>
    <t>30JUN-01SEP</t>
  </si>
  <si>
    <t>00584/06/2025</t>
  </si>
  <si>
    <t>MRS TESSA</t>
  </si>
  <si>
    <t>TESSA LONZI/YANIS EMMANUEL MR</t>
  </si>
  <si>
    <t>ETKT 0712153432516</t>
  </si>
  <si>
    <t>23/06/2025 30/06/2025 09/07/2025</t>
  </si>
  <si>
    <t>CHQ 8465721</t>
  </si>
  <si>
    <t>24JUN-28JUN</t>
  </si>
  <si>
    <t>00586/06/2025</t>
  </si>
  <si>
    <t>M. NGATCHOU</t>
  </si>
  <si>
    <t>MEKONTCHOU TCHAFA/WILLIAM MR</t>
  </si>
  <si>
    <t>ETKT 057 3006427066</t>
  </si>
  <si>
    <t>26JUN-30JUN</t>
  </si>
  <si>
    <t>00585/06/2025</t>
  </si>
  <si>
    <t>MRS FRANCA DE SOSSO</t>
  </si>
  <si>
    <t xml:space="preserve">TAKAM/DAVID DIDIER DE YOUMESSI MR </t>
  </si>
  <si>
    <t>ETKT 071 3006427067</t>
  </si>
  <si>
    <t>04JUL.</t>
  </si>
  <si>
    <t>00583/06/2025</t>
  </si>
  <si>
    <t>MA DE MBOPPI</t>
  </si>
  <si>
    <t xml:space="preserve">TCHEWA/FRANTZ JORDAN*05MAY02 </t>
  </si>
  <si>
    <t>ETKT 032 3006427068</t>
  </si>
  <si>
    <t>25MAY-28MAY</t>
  </si>
  <si>
    <t>00582/06/2025</t>
  </si>
  <si>
    <t>PIERRE GUILLAUME  JOSEPH LE PAPE</t>
  </si>
  <si>
    <t>ETKT 057 2236278552</t>
  </si>
  <si>
    <t>08JUL-25AUG</t>
  </si>
  <si>
    <t>00590/06/2025</t>
  </si>
  <si>
    <t>MME FRANCOISE</t>
  </si>
  <si>
    <t xml:space="preserve">NANFAH DJOKUNG/SERGE POCOM MR </t>
  </si>
  <si>
    <t>ETKT 032 3006427069</t>
  </si>
  <si>
    <t>REFUND/2</t>
  </si>
  <si>
    <t xml:space="preserve">FOTSING MAZANG/MENSI*P-C10 DOB08SEP15 </t>
  </si>
  <si>
    <t>ETKT 032 3006427070</t>
  </si>
  <si>
    <t>SIEWE NITCHEU KAGHO/ELISABETH ANNAYA*P-C10 DOB01OCT15</t>
  </si>
  <si>
    <t>ETKT 032 3006427071</t>
  </si>
  <si>
    <t>25JUN-29JUN</t>
  </si>
  <si>
    <t>00588/06/2025</t>
  </si>
  <si>
    <t>Mr NGATCHOU</t>
  </si>
  <si>
    <t xml:space="preserve">OWONA/JOHANN GREGORY MR </t>
  </si>
  <si>
    <r>
      <t xml:space="preserve">ETKT </t>
    </r>
    <r>
      <rPr>
        <b/>
        <sz val="11"/>
        <color rgb="FF000000"/>
        <rFont val="Calibri"/>
        <family val="2"/>
        <scheme val="minor"/>
      </rPr>
      <t xml:space="preserve">0573006427072            </t>
    </r>
  </si>
  <si>
    <t>25JUN.</t>
  </si>
  <si>
    <t>DLA-PNR</t>
  </si>
  <si>
    <t>00587/06/2025</t>
  </si>
  <si>
    <t xml:space="preserve">MADECA/ELVINA NATALIA BRAS  </t>
  </si>
  <si>
    <r>
      <t>ETKT 483</t>
    </r>
    <r>
      <rPr>
        <b/>
        <sz val="11"/>
        <color rgb="FF000000"/>
        <rFont val="Calibri"/>
        <family val="2"/>
        <scheme val="minor"/>
      </rPr>
      <t xml:space="preserve"> 3006427073</t>
    </r>
    <r>
      <rPr>
        <sz val="11"/>
        <color rgb="FF000000"/>
        <rFont val="Calibri"/>
        <family val="2"/>
        <scheme val="minor"/>
      </rPr>
      <t/>
    </r>
  </si>
  <si>
    <t>26JUN-27JUN</t>
  </si>
  <si>
    <t>00589/06/2025</t>
  </si>
  <si>
    <t>MR ROMEO FONKOUA</t>
  </si>
  <si>
    <t>ETKT 0400300037091</t>
  </si>
  <si>
    <t>26JUN-28JUN</t>
  </si>
  <si>
    <t>00594/06/2025</t>
  </si>
  <si>
    <t>MR ROGER/NONO</t>
  </si>
  <si>
    <t>ETKT  0400300037092</t>
  </si>
  <si>
    <t>10JUL-16JUL</t>
  </si>
  <si>
    <t>00593/06/2025</t>
  </si>
  <si>
    <t>MR LUC/MAMO KADJIE</t>
  </si>
  <si>
    <t>ETKT  0400300037093</t>
  </si>
  <si>
    <t>09JUL-16JUL</t>
  </si>
  <si>
    <t>NSI-GOU-NSI</t>
  </si>
  <si>
    <t>00595/06/2025</t>
  </si>
  <si>
    <t>MR DONFACK</t>
  </si>
  <si>
    <t>MR FRANCOIS/DONFACK</t>
  </si>
  <si>
    <t>ETKT 0400200569123</t>
  </si>
  <si>
    <t xml:space="preserve">ABJ-DLA </t>
  </si>
  <si>
    <t>00597/06/2025</t>
  </si>
  <si>
    <t>ETKT 483 3006427074</t>
  </si>
  <si>
    <t>01/EXCHANGE/EMIS</t>
  </si>
  <si>
    <t>00596/06/2025</t>
  </si>
  <si>
    <t>ETKT 071 3006427075</t>
  </si>
  <si>
    <t>ETKT 071 3006427076</t>
  </si>
  <si>
    <t>27JUN.</t>
  </si>
  <si>
    <t>00601/06/2025</t>
  </si>
  <si>
    <t>ETKT 49850000353157</t>
  </si>
  <si>
    <t>OBIANG NCHAMA/JOSE MIGUEL MR</t>
  </si>
  <si>
    <t>ref 486/05/25</t>
  </si>
  <si>
    <t>ETKT 49850000353159</t>
  </si>
  <si>
    <t>00600/06/2025</t>
  </si>
  <si>
    <t>ETKT 49850000353160</t>
  </si>
  <si>
    <t>00602/06/2025</t>
  </si>
  <si>
    <t>DAF PERSO</t>
  </si>
  <si>
    <t>ANNE GUYLAINE NGUE/MRS</t>
  </si>
  <si>
    <t>ETKT 49850000353158</t>
  </si>
  <si>
    <t>01JUL.</t>
  </si>
  <si>
    <t>00605/06/2025</t>
  </si>
  <si>
    <t>ETKT 032 3006427078</t>
  </si>
  <si>
    <t>ETKT 032 3006427079</t>
  </si>
  <si>
    <t>26JUN.</t>
  </si>
  <si>
    <t>00609/06/2025</t>
  </si>
  <si>
    <t xml:space="preserve">ETKT 082 2986855573 </t>
  </si>
  <si>
    <t>EXHANGE</t>
  </si>
  <si>
    <t>27JUL-19AUG</t>
  </si>
  <si>
    <t>00608/06/2025</t>
  </si>
  <si>
    <t>MRS DANG</t>
  </si>
  <si>
    <t xml:space="preserve">DANG/ANDREA RAPHAELLE </t>
  </si>
  <si>
    <t>ETKT 032 3006427077</t>
  </si>
  <si>
    <t>29JUN.</t>
  </si>
  <si>
    <t>00599/06/2025</t>
  </si>
  <si>
    <t xml:space="preserve">MEKONTCHOU TCHAFA/WILLIAM MR  </t>
  </si>
  <si>
    <t>ETKT 057 3006427080</t>
  </si>
  <si>
    <t>00607/06/2025</t>
  </si>
  <si>
    <t>ETKT 49850000353381</t>
  </si>
  <si>
    <t>00606/06/2025</t>
  </si>
  <si>
    <t>ETKT 27724590040</t>
  </si>
  <si>
    <t>00598/06/2025</t>
  </si>
  <si>
    <t>.ELANGA SOPPI EPSE EBOA/GISELE MRS</t>
  </si>
  <si>
    <t xml:space="preserve">ETKT  147 2986855703 </t>
  </si>
  <si>
    <t>31JUL-23AUG</t>
  </si>
  <si>
    <t>00603/06/2025</t>
  </si>
  <si>
    <t>ETKT 0823006427081</t>
  </si>
  <si>
    <t>30/06/2025 30/07/2025</t>
  </si>
  <si>
    <t>01JUL-02JUL</t>
  </si>
  <si>
    <t>ETKT 0400300037094</t>
  </si>
  <si>
    <t>00611/06/2025</t>
  </si>
  <si>
    <t>MRS MOTUE</t>
  </si>
  <si>
    <t>MOTUE KENFACK/THEODULE NOELLE MS</t>
  </si>
  <si>
    <t>ETKT 057 2339523199</t>
  </si>
  <si>
    <t>04AUG,</t>
  </si>
  <si>
    <t>00612/06/2025</t>
  </si>
  <si>
    <t>KENFACK /LENA EMILIE MS</t>
  </si>
  <si>
    <t>ETKT 057 2339523200</t>
  </si>
  <si>
    <t>07JUL-27JUL</t>
  </si>
  <si>
    <t>DLA-GVA-DLA</t>
  </si>
  <si>
    <t>00610/06/2025</t>
  </si>
  <si>
    <t>MRS TSOBGNY</t>
  </si>
  <si>
    <t xml:space="preserve">NDJOCK EPSE TSOBGNY METANGMO/ALIX E </t>
  </si>
  <si>
    <t>ETKT 071 3006427083</t>
  </si>
  <si>
    <t>TSOBGNY METANGMO MELACHEO/NAELLE ELIANE</t>
  </si>
  <si>
    <t>ETKT 071 3006427084</t>
  </si>
  <si>
    <t>TSOBGNY METANGMO NDJOCK/NELL HENRI</t>
  </si>
  <si>
    <t>ETKT 071 3006427085</t>
  </si>
  <si>
    <t>TSOBGNY METANGMO NDJOCK/URIEL</t>
  </si>
  <si>
    <t>ETKT 071 3006427086</t>
  </si>
  <si>
    <t>30JUN.</t>
  </si>
  <si>
    <t>00614/06/2025</t>
  </si>
  <si>
    <t>MR KAMTE</t>
  </si>
  <si>
    <t>KAMTE/FABRICE LOIC MR</t>
  </si>
  <si>
    <t>ETKT 071 2986857210</t>
  </si>
  <si>
    <t>006115/06/2025</t>
  </si>
  <si>
    <t>MR KUEDA</t>
  </si>
  <si>
    <t xml:space="preserve">ETKT 057 2333238314 </t>
  </si>
  <si>
    <t>22NOV-26DEC</t>
  </si>
  <si>
    <t>00616/06/2025</t>
  </si>
  <si>
    <t>Mme TIONANG</t>
  </si>
  <si>
    <t>SALOMENE KANA EPSE TIONANG (ADT)</t>
  </si>
  <si>
    <t>ETKT 0829049042898</t>
  </si>
  <si>
    <t>00618/06/2025</t>
  </si>
  <si>
    <t>KAMGAING/MARC MR</t>
  </si>
  <si>
    <t>ETKT 057 3006427087</t>
  </si>
  <si>
    <t>23JUL-24AUG</t>
  </si>
  <si>
    <t>00617/06/2025</t>
  </si>
  <si>
    <t>ETKT 057 3006427088</t>
  </si>
  <si>
    <t>29JUN-28AUG</t>
  </si>
  <si>
    <t xml:space="preserve">BOUJEKE TCHEKOULONG/WILLIAM MR </t>
  </si>
  <si>
    <t>ETKT 032 3006427089</t>
  </si>
  <si>
    <t>00619/06/2025</t>
  </si>
  <si>
    <t>ETKT 057 3006427090</t>
  </si>
  <si>
    <t>00613/06/2025</t>
  </si>
  <si>
    <t>REFUND EMD 7 001</t>
  </si>
  <si>
    <t>ETKT 057 3006427091</t>
  </si>
  <si>
    <t>04JUL-22JUL</t>
  </si>
  <si>
    <t>00621/06/2025</t>
  </si>
  <si>
    <t xml:space="preserve">AL HABRE KABALAN EP TCHACHUE/CYREMA </t>
  </si>
  <si>
    <t>ETKT 057 2986857246</t>
  </si>
  <si>
    <t>30/06/2025 10/07/2025 16/07/2025</t>
  </si>
  <si>
    <t>00620/06/2025</t>
  </si>
  <si>
    <t>ETKT 0823511998650</t>
  </si>
  <si>
    <t>ETKT 0829049042899</t>
  </si>
  <si>
    <t>30JUN-25JUL</t>
  </si>
  <si>
    <t>00622/06/2025</t>
  </si>
  <si>
    <t>MRS ODETTE NOUTCHOUGOUIN MAGNE EPSE GUIFO (ADT)</t>
  </si>
  <si>
    <t>ETKT 0823511998651</t>
  </si>
  <si>
    <t>00626/06/2025</t>
  </si>
  <si>
    <t>00625/06/2025</t>
  </si>
  <si>
    <t>GUIFO/STEPHANE PROSPER F MR</t>
  </si>
  <si>
    <t>ETKT 082 2986857465</t>
  </si>
  <si>
    <t>00627/06/2025</t>
  </si>
  <si>
    <t>MRS FRANCAOISE</t>
  </si>
  <si>
    <t>ETKT 032 3006427092</t>
  </si>
  <si>
    <t xml:space="preserve">SIEWE NITCHEU KAGHO/ELISABETH ANNAYA*P-C10 DOB01OCT15 </t>
  </si>
  <si>
    <t>ETKT 032 3006427093</t>
  </si>
  <si>
    <t>00628/06/2025</t>
  </si>
  <si>
    <t>03JUL-14AUG</t>
  </si>
  <si>
    <t>DXB-DLA-DXB</t>
  </si>
  <si>
    <t>00630/06/2025</t>
  </si>
  <si>
    <t>MRS MOYO</t>
  </si>
  <si>
    <t>MOYO SHU/CHRISTELLE CARINE MRS</t>
  </si>
  <si>
    <t>ETKT 071 2986858111</t>
  </si>
  <si>
    <t>01AUG-18AUG</t>
  </si>
  <si>
    <t>CDG-DLA-CDDG</t>
  </si>
  <si>
    <t>00629/06/2025</t>
  </si>
  <si>
    <t>MR ALAIN THIERRY BABOU (ADT)</t>
  </si>
  <si>
    <t>ETKT 0823511998653</t>
  </si>
  <si>
    <t>01JUL,</t>
  </si>
  <si>
    <t>00623/06/2025</t>
  </si>
  <si>
    <t>ETKT 2770048786962</t>
  </si>
  <si>
    <t>MR. NJIYA KAPNANG BORIS HERMANN</t>
  </si>
  <si>
    <t>ETKT 27724639586</t>
  </si>
  <si>
    <t>ETKT 2770048787467</t>
  </si>
  <si>
    <t>01JUL-07JUL</t>
  </si>
  <si>
    <t>00624/06/2025</t>
  </si>
  <si>
    <t>ETKT 0573006415424</t>
  </si>
  <si>
    <t>COM, HF (6% )</t>
  </si>
  <si>
    <t>COM, MS (7% )</t>
  </si>
  <si>
    <t>COM, KP (6% )</t>
  </si>
  <si>
    <t>COM, ET (3/4%)</t>
  </si>
  <si>
    <t>29MAY-09JUN</t>
  </si>
  <si>
    <t>02MAY-21JUN</t>
  </si>
  <si>
    <t>DXB-CDG-DXB</t>
  </si>
  <si>
    <t>00393/05/2025</t>
  </si>
  <si>
    <t>FOKOM FOTSO/JULES BORIS</t>
  </si>
  <si>
    <t xml:space="preserve">ETKT 1763556329916 </t>
  </si>
  <si>
    <t>05/05/2025  09/05/2025</t>
  </si>
  <si>
    <t>09MAY.</t>
  </si>
  <si>
    <t>02MAY-03MAY</t>
  </si>
  <si>
    <t>02MAY-16MAY</t>
  </si>
  <si>
    <t>08MAY-11MAY</t>
  </si>
  <si>
    <t>00396/05/2025</t>
  </si>
  <si>
    <t xml:space="preserve"> MARIAME RAISSA, MFOUTE PEPOUORE</t>
  </si>
  <si>
    <t>ETKT 0400300037076</t>
  </si>
  <si>
    <t>04MAY-07MAY</t>
  </si>
  <si>
    <t>04MAY-09MAY</t>
  </si>
  <si>
    <t>00397/05/2025</t>
  </si>
  <si>
    <t>NGANI MEIGNIDON DIFFO MIRELLE NICAISE ELISE</t>
  </si>
  <si>
    <t>ETKT 2770047170619</t>
  </si>
  <si>
    <t>04MAY-05AUG</t>
  </si>
  <si>
    <t>24MAY-28MAY</t>
  </si>
  <si>
    <t>13MAY-17MAY</t>
  </si>
  <si>
    <t>00390/05/2025</t>
  </si>
  <si>
    <t>TCHATCHOUA SUZANNE LINDA</t>
  </si>
  <si>
    <t>RESERVATION HOTEL</t>
  </si>
  <si>
    <t>CHQ 1399555</t>
  </si>
  <si>
    <t>10JUN-14JUN-19JUN-22JUN</t>
  </si>
  <si>
    <t>17MAY-05JUN</t>
  </si>
  <si>
    <t>07MAY.</t>
  </si>
  <si>
    <t>00402/05/2025</t>
  </si>
  <si>
    <t>OBIANG AYANG JOSE MANUEL BILE</t>
  </si>
  <si>
    <t>ETKT 27723938326</t>
  </si>
  <si>
    <t>23MAY-31MAY</t>
  </si>
  <si>
    <t>23MAY-06JUN</t>
  </si>
  <si>
    <t>10MAY-18MAY</t>
  </si>
  <si>
    <t>04JUN-11JUN</t>
  </si>
  <si>
    <t>11MAY-18MAY</t>
  </si>
  <si>
    <t>23/05/2025 13/06/2025</t>
  </si>
  <si>
    <t>11MAY.</t>
  </si>
  <si>
    <t>DLA-NGE</t>
  </si>
  <si>
    <t>00406/05/2025</t>
  </si>
  <si>
    <t>MRS TSOPFACK</t>
  </si>
  <si>
    <t>MARIE MARTINE/TSOPFACK ZEFACK</t>
  </si>
  <si>
    <t>MR LUCIEN</t>
  </si>
  <si>
    <t>ETKT  0400300037077</t>
  </si>
  <si>
    <t>08MAY-08MAY</t>
  </si>
  <si>
    <t>00405/05/2025</t>
  </si>
  <si>
    <t>MR KEMGAM</t>
  </si>
  <si>
    <t>LEONARD/KEMGAN NGUETCHOM</t>
  </si>
  <si>
    <t>ETKT 0400300037078</t>
  </si>
  <si>
    <t>00420/05/2025</t>
  </si>
  <si>
    <t>06JUN-14JUN</t>
  </si>
  <si>
    <t>00418/05/2025</t>
  </si>
  <si>
    <t>07/05/2025 27/05/2025</t>
  </si>
  <si>
    <t>00419/05/2025</t>
  </si>
  <si>
    <t>13MAY.</t>
  </si>
  <si>
    <t>00415/05/2025</t>
  </si>
  <si>
    <t>08MAY-12MAY</t>
  </si>
  <si>
    <t>00417/05/2025</t>
  </si>
  <si>
    <t xml:space="preserve">14MAY-24MAY </t>
  </si>
  <si>
    <t>00412/05/2025</t>
  </si>
  <si>
    <t>AMADEUS/BLEUBERRY</t>
  </si>
  <si>
    <t>ETKT 0576376932795</t>
  </si>
  <si>
    <t>31MAY.</t>
  </si>
  <si>
    <t>ABJ-ZHR</t>
  </si>
  <si>
    <t>00413/05/2025</t>
  </si>
  <si>
    <t>ETKT 0576376932897</t>
  </si>
  <si>
    <t>14MAY.</t>
  </si>
  <si>
    <t>00414/05/2025</t>
  </si>
  <si>
    <t>TAH/SIDI</t>
  </si>
  <si>
    <t>ETKT 0576376932886</t>
  </si>
  <si>
    <t>27MAY-31MAY</t>
  </si>
  <si>
    <t>00416/05/2025</t>
  </si>
  <si>
    <t>10MAY-14MAY</t>
  </si>
  <si>
    <t>20MAY.</t>
  </si>
  <si>
    <t>09/05/2025 12/05/2025</t>
  </si>
  <si>
    <t>23MAY.</t>
  </si>
  <si>
    <t>13JUN.</t>
  </si>
  <si>
    <t>19MAI</t>
  </si>
  <si>
    <t>EMD 1400</t>
  </si>
  <si>
    <t>19MAY-31MAY</t>
  </si>
  <si>
    <t>26MAY.</t>
  </si>
  <si>
    <t>CHQ 9858407</t>
  </si>
  <si>
    <t>22MAY-29MAY</t>
  </si>
  <si>
    <t>08/05/2025 09/05/2025</t>
  </si>
  <si>
    <t>04JUN-14JUL</t>
  </si>
  <si>
    <t>09/05/2025 16/05/2025 03/06/2025 16/07/2025</t>
  </si>
  <si>
    <t>16MAY-21MAY</t>
  </si>
  <si>
    <t>00423/05/2025</t>
  </si>
  <si>
    <t>DOC ANGE</t>
  </si>
  <si>
    <t xml:space="preserve">YMELE/JEAN PIERRE MR </t>
  </si>
  <si>
    <t xml:space="preserve">ETKT  0329588 261588 </t>
  </si>
  <si>
    <t>24MAY-15JUN</t>
  </si>
  <si>
    <t xml:space="preserve"> 3 033 224</t>
  </si>
  <si>
    <t>13MAY-19MAY</t>
  </si>
  <si>
    <t>00436/05/2025</t>
  </si>
  <si>
    <t xml:space="preserve"> </t>
  </si>
  <si>
    <t>07JUN-29JUN</t>
  </si>
  <si>
    <t>00437/05/2025</t>
  </si>
  <si>
    <t>17MAY.</t>
  </si>
  <si>
    <t>00438/05/2025</t>
  </si>
  <si>
    <t>17MAY – 02JUN</t>
  </si>
  <si>
    <t>00428/05/2025</t>
  </si>
  <si>
    <t>MEDJO MEVA A EP TSITSOL NAOMIE MIRABELLE</t>
  </si>
  <si>
    <t xml:space="preserve">ETKT  0579588 261592 </t>
  </si>
  <si>
    <t>17 MAY – 21 MAY</t>
  </si>
  <si>
    <t>BGF – DLA-BGF</t>
  </si>
  <si>
    <t>00440/05/2025</t>
  </si>
  <si>
    <t xml:space="preserve"> MR KAPE</t>
  </si>
  <si>
    <t>KOUREICHY MAXIMUS M</t>
  </si>
  <si>
    <t>ETKT 0329588 261591</t>
  </si>
  <si>
    <t>26 MAY-03JUN</t>
  </si>
  <si>
    <t xml:space="preserve">DLA-CDG-DLA </t>
  </si>
  <si>
    <t>00439/05/2025</t>
  </si>
  <si>
    <t>ETKT 0572337848255</t>
  </si>
  <si>
    <t>16JUN-06JUL</t>
  </si>
  <si>
    <t>00435/05/2025</t>
  </si>
  <si>
    <t>NJALL BIKOK JULES ALAIN</t>
  </si>
  <si>
    <t>KAMGAING TAASSI MARC ETIENNE</t>
  </si>
  <si>
    <t>17MAY-21MAY</t>
  </si>
  <si>
    <t>00442/05/2025</t>
  </si>
  <si>
    <t>01JUN-07JUN</t>
  </si>
  <si>
    <t>00443/05/2025</t>
  </si>
  <si>
    <t>24MAY-27SEP</t>
  </si>
  <si>
    <t>00444/05/2025</t>
  </si>
  <si>
    <t xml:space="preserve">15MAY-15MAY </t>
  </si>
  <si>
    <t>00441/05/2025</t>
  </si>
  <si>
    <t>FOKOUA ROMEO</t>
  </si>
  <si>
    <t>FOKOUA KUMO ROMEO ARITIDE</t>
  </si>
  <si>
    <t>ETKT 0400300037079</t>
  </si>
  <si>
    <t>00445/05/2025</t>
  </si>
  <si>
    <t>15MAY.</t>
  </si>
  <si>
    <t>00446/05/2025</t>
  </si>
  <si>
    <t xml:space="preserve">ENGOUBOU YABIT/MARIE THERESE MRS </t>
  </si>
  <si>
    <t>ETKT 0719588261593</t>
  </si>
  <si>
    <t>00447/05/2025</t>
  </si>
  <si>
    <t>00448/05/2025</t>
  </si>
  <si>
    <t>MARC ETIENNE KAMGAING TAASSI</t>
  </si>
  <si>
    <t>ETKT 0400300037054</t>
  </si>
  <si>
    <t>28MAY-08MAY</t>
  </si>
  <si>
    <t>00449/05/2025</t>
  </si>
  <si>
    <t>CHQ639852</t>
  </si>
  <si>
    <t>18MAY-20MAY</t>
  </si>
  <si>
    <t>00450/05/2025</t>
  </si>
  <si>
    <t>MR CHARLES WONG</t>
  </si>
  <si>
    <t xml:space="preserve">MR C EFETI MOKA ENDELEY EP WATAT </t>
  </si>
  <si>
    <t>ETKT 0400300037080</t>
  </si>
  <si>
    <t>00452/05/2025</t>
  </si>
  <si>
    <t>CHQ 8054959</t>
  </si>
  <si>
    <t>23MAY-10JUN</t>
  </si>
  <si>
    <t>00451/05/2025</t>
  </si>
  <si>
    <t>MVR-DLA</t>
  </si>
  <si>
    <t>00453/05/2025</t>
  </si>
  <si>
    <t>MRS ZEBAZE</t>
  </si>
  <si>
    <t>ZEBAZE DONGO GUILAINE</t>
  </si>
  <si>
    <t>MR   LUCIEN</t>
  </si>
  <si>
    <t>ETKT 0400300037081</t>
  </si>
  <si>
    <t>21MAY-27MAY</t>
  </si>
  <si>
    <t>00454/05/2025</t>
  </si>
  <si>
    <t>19MAY.</t>
  </si>
  <si>
    <t>00457/05/2025</t>
  </si>
  <si>
    <t>ETKT 27724085358</t>
  </si>
  <si>
    <t>00456/05/2025</t>
  </si>
  <si>
    <t>21MAY-23MAY-03JUN-05JUN</t>
  </si>
  <si>
    <t>00455/05/2025</t>
  </si>
  <si>
    <t>21MAY.</t>
  </si>
  <si>
    <t>00460/05/2025</t>
  </si>
  <si>
    <t>14AUG.</t>
  </si>
  <si>
    <t>00459/05/2025</t>
  </si>
  <si>
    <t>DXB-BRU</t>
  </si>
  <si>
    <t>00463/05/2025</t>
  </si>
  <si>
    <t>ETKT 17628850422540</t>
  </si>
  <si>
    <t>00464/05/2025</t>
  </si>
  <si>
    <t>00458/05/2025</t>
  </si>
  <si>
    <t>CHQ 8054957</t>
  </si>
  <si>
    <t>25MAY-01JUN</t>
  </si>
  <si>
    <t>00469/05/2025</t>
  </si>
  <si>
    <t>08AUG-28AUG</t>
  </si>
  <si>
    <t>00468/05/2025</t>
  </si>
  <si>
    <t>17JUL-15AUG</t>
  </si>
  <si>
    <t>00467/05/2025</t>
  </si>
  <si>
    <t>00466/05/2025</t>
  </si>
  <si>
    <t>21/05/2025 28/05/2025</t>
  </si>
  <si>
    <t>21MAY-24MAY</t>
  </si>
  <si>
    <t>22MAY-24MAY</t>
  </si>
  <si>
    <t>SSG-LBV-DLA</t>
  </si>
  <si>
    <t>00475/05/2025</t>
  </si>
  <si>
    <t>ETKT 27724126443</t>
  </si>
  <si>
    <t>10JUN-20JUN</t>
  </si>
  <si>
    <t>00474/05/2025</t>
  </si>
  <si>
    <t>17JUN.</t>
  </si>
  <si>
    <t>00473/05/2025</t>
  </si>
  <si>
    <t>26MAY-07JUN</t>
  </si>
  <si>
    <t>00472/05/2025</t>
  </si>
  <si>
    <t>23/05/2025 02/06/2025</t>
  </si>
  <si>
    <t>22MAY-23MAY</t>
  </si>
  <si>
    <t>00487/05/2025</t>
  </si>
  <si>
    <t>BIDJONI MARIE</t>
  </si>
  <si>
    <t>ETKT 0400200547968</t>
  </si>
  <si>
    <t>ERREUR SUR LE TRAJET</t>
  </si>
  <si>
    <t>23MAY-23MAY</t>
  </si>
  <si>
    <t>00471/05/2025</t>
  </si>
  <si>
    <t>ETKT 0400300037082</t>
  </si>
  <si>
    <t>23MAY-27MAY</t>
  </si>
  <si>
    <t>00470/05/2025</t>
  </si>
  <si>
    <t>25MAY-29MAY</t>
  </si>
  <si>
    <t>00478/05/2025</t>
  </si>
  <si>
    <t>00481/05/2025</t>
  </si>
  <si>
    <t>00482/05/2025</t>
  </si>
  <si>
    <t>31MAY-06JUN</t>
  </si>
  <si>
    <t>00480/05/2025</t>
  </si>
  <si>
    <t>31MAY-04JUN</t>
  </si>
  <si>
    <t>00479/05/2025</t>
  </si>
  <si>
    <t>00476/05/2025</t>
  </si>
  <si>
    <t>25MAY</t>
  </si>
  <si>
    <t>00477/05/2025</t>
  </si>
  <si>
    <t>ONDOA/CHRISTELLE MARCELINE MRS</t>
  </si>
  <si>
    <t>ETKT 0712152768124</t>
  </si>
  <si>
    <t>08JUN-15JUN</t>
  </si>
  <si>
    <t>00484/05/2025</t>
  </si>
  <si>
    <t>INEXA</t>
  </si>
  <si>
    <t>00485/05/2025</t>
  </si>
  <si>
    <t>MRS. ESONO OYANA ANGELICA MONAYONG</t>
  </si>
  <si>
    <t>ETKT  27724155203</t>
  </si>
  <si>
    <t>28MAY.</t>
  </si>
  <si>
    <t>00486/05/2025</t>
  </si>
  <si>
    <t>ETKT 49850000343615</t>
  </si>
  <si>
    <t>EXCHANGE DE NOM</t>
  </si>
  <si>
    <t>00483/05/2025</t>
  </si>
  <si>
    <t>29MAY.</t>
  </si>
  <si>
    <t>02JUN.</t>
  </si>
  <si>
    <t>27MAY.</t>
  </si>
  <si>
    <t>0492/05/2025</t>
  </si>
  <si>
    <t>ETKT 0712152808425</t>
  </si>
  <si>
    <t>06JUN.</t>
  </si>
  <si>
    <t>00493/05/2025</t>
  </si>
  <si>
    <t>ETKT 0579588261642</t>
  </si>
  <si>
    <t>CHQ 8811174</t>
  </si>
  <si>
    <t>16JUN-22JUN</t>
  </si>
  <si>
    <t>00498/05/2025</t>
  </si>
  <si>
    <t>ACOUETEY / KANGNI DIDIER</t>
  </si>
  <si>
    <t>ETKT 1762885042283</t>
  </si>
  <si>
    <t>00495/05/2025</t>
  </si>
  <si>
    <t>OBIANG NCHAMA JOSE MIGUEL MR</t>
  </si>
  <si>
    <t>ETKT 27724178090</t>
  </si>
  <si>
    <t>00494/05/2025</t>
  </si>
  <si>
    <t>00497/05/2025</t>
  </si>
  <si>
    <t>00499/05/2025</t>
  </si>
  <si>
    <t>CHQ 8054958</t>
  </si>
  <si>
    <t>00502/05/2025</t>
  </si>
  <si>
    <t>JOSE MANUEL/ESONO EDJANG MR</t>
  </si>
  <si>
    <t>ETKT 0400300037083</t>
  </si>
  <si>
    <t>29JUN-01AUG</t>
  </si>
  <si>
    <t>00501/05/2025</t>
  </si>
  <si>
    <t>28MAY</t>
  </si>
  <si>
    <t>00500/05/2025</t>
  </si>
  <si>
    <t xml:space="preserve">ONDOA/CHRISTELLE MARCELINE MRS </t>
  </si>
  <si>
    <t>ME STEPHANE</t>
  </si>
  <si>
    <t>28MAY-31MAY</t>
  </si>
  <si>
    <t>00504/05/2025</t>
  </si>
  <si>
    <t>MRS LYSETTE ESTHER/BELIBY MFOUMOU</t>
  </si>
  <si>
    <t>ETKT  0400300037084</t>
  </si>
  <si>
    <t>00503/05/2025</t>
  </si>
  <si>
    <t>00505/05/2025</t>
  </si>
  <si>
    <t>00506/05/2025</t>
  </si>
  <si>
    <t>13JUL-29AUG</t>
  </si>
  <si>
    <t>00507/05/2025</t>
  </si>
  <si>
    <t>11/07/2025 01/09/2025</t>
  </si>
  <si>
    <t>CHQ 8828555 CHQ8828573</t>
  </si>
  <si>
    <t>00508/05/2025</t>
  </si>
  <si>
    <t>00509/05/2025</t>
  </si>
  <si>
    <t>00510/05/2025</t>
  </si>
  <si>
    <t>01JUN-04JUN</t>
  </si>
  <si>
    <t>00489/05/2025</t>
  </si>
  <si>
    <t>ETKT  0400300037085</t>
  </si>
  <si>
    <t>00488/05/2025</t>
  </si>
  <si>
    <t>NA IMMA AMADOU/HAMIDOU MRS</t>
  </si>
  <si>
    <t>ETKT  0400300037086</t>
  </si>
  <si>
    <t>30MAY-06JUN</t>
  </si>
  <si>
    <t>MRS LYDIE GWENAELLE/FEPPA NANA</t>
  </si>
  <si>
    <t>ETKT  0400300037087</t>
  </si>
  <si>
    <t>02JUN-08JUN</t>
  </si>
  <si>
    <t>00490/05/2025</t>
  </si>
  <si>
    <t>20JUN-01JUL</t>
  </si>
  <si>
    <t>00491/05/2025</t>
  </si>
  <si>
    <t>29MAY-02JUL</t>
  </si>
  <si>
    <t>00514/05/2025</t>
  </si>
  <si>
    <t>30MAY.</t>
  </si>
  <si>
    <t>00513/05/2025</t>
  </si>
  <si>
    <t>05JUN.</t>
  </si>
  <si>
    <t>00512/05/2025</t>
  </si>
  <si>
    <t>00515/05/2025</t>
  </si>
  <si>
    <t>03JUN-17JUN</t>
  </si>
  <si>
    <t>00516/05/2025</t>
  </si>
  <si>
    <t>CHQ 8040578</t>
  </si>
  <si>
    <t>00519/05/2025</t>
  </si>
  <si>
    <t>M JUSTINO NGUERE NVE MODJO</t>
  </si>
  <si>
    <t>ETKT 27724246243</t>
  </si>
  <si>
    <t>JOSÉ MIGUEL OBIANG NCHAMA</t>
  </si>
  <si>
    <t xml:space="preserve">GUY BERTRAND NTSAMA </t>
  </si>
  <si>
    <t>02JUN-25JUN</t>
  </si>
  <si>
    <t>00517/05/2025</t>
  </si>
  <si>
    <t>00518/05/2025</t>
  </si>
  <si>
    <t>00520/05/2025</t>
  </si>
  <si>
    <t>ETKT 057 2337848820</t>
  </si>
  <si>
    <t>DATE REGLT</t>
  </si>
  <si>
    <t>MODE  RGLT</t>
  </si>
  <si>
    <t>TMG</t>
  </si>
  <si>
    <t>OV GOLITE</t>
  </si>
  <si>
    <t>VU</t>
  </si>
  <si>
    <t>DATE/HEUR</t>
  </si>
  <si>
    <t>01APR.</t>
  </si>
  <si>
    <t>00287/04/2025</t>
  </si>
  <si>
    <t>HUGUES YANNICK, TA BI TAH</t>
  </si>
  <si>
    <t>ETKT 0400300037068</t>
  </si>
  <si>
    <t>03APR-04APR</t>
  </si>
  <si>
    <t>00285/04/2025</t>
  </si>
  <si>
    <t>DEBOMBO MARTIAL JUNIOR</t>
  </si>
  <si>
    <t>ETKT 0400200535091</t>
  </si>
  <si>
    <t>DLA-BGF</t>
  </si>
  <si>
    <t xml:space="preserve">04APR. </t>
  </si>
  <si>
    <t>00286/04/2025</t>
  </si>
  <si>
    <t>ETKT 4599588273727</t>
  </si>
  <si>
    <t>05APR-12APR</t>
  </si>
  <si>
    <t>00290/04/2025</t>
  </si>
  <si>
    <t>KAMDEM KONMOGNE NASSER</t>
  </si>
  <si>
    <t>ETKT 0579588273728</t>
  </si>
  <si>
    <t>BRU-OUA-BRU</t>
  </si>
  <si>
    <t>17DEC-30DEC</t>
  </si>
  <si>
    <t>00289/04/2025</t>
  </si>
  <si>
    <t>SMC</t>
  </si>
  <si>
    <t>BARRY YACINE RAISSA</t>
  </si>
  <si>
    <t>ETKT 0829049042850</t>
  </si>
  <si>
    <t>BRU-ABJ-BRU</t>
  </si>
  <si>
    <t xml:space="preserve">EN ATTENTE DE SURCLASSEMENT PAR SN BRUSSEL </t>
  </si>
  <si>
    <t>HOT TIERRRY JUNIOR</t>
  </si>
  <si>
    <t xml:space="preserve">ETKT 0822301014206 </t>
  </si>
  <si>
    <t>DLA-BQC-DLA</t>
  </si>
  <si>
    <t>07APR-21APR</t>
  </si>
  <si>
    <t>00277/04/2025</t>
  </si>
  <si>
    <t>HOD INVESTMENT</t>
  </si>
  <si>
    <t>NGANI MEIGNIDON DIFFO, MIRELLE NICAISE ELIS</t>
  </si>
  <si>
    <t>ETKT 0579588273729-730</t>
  </si>
  <si>
    <t>DLA-DBX</t>
  </si>
  <si>
    <t>22APR.</t>
  </si>
  <si>
    <t>00291/04/2025</t>
  </si>
  <si>
    <t>MRS MAFFO</t>
  </si>
  <si>
    <t>MAFFO NDE TATSING, GERMAINE</t>
  </si>
  <si>
    <t xml:space="preserve">MR LUCIEN </t>
  </si>
  <si>
    <t>ETKT 7069588273731</t>
  </si>
  <si>
    <t>03APR.</t>
  </si>
  <si>
    <t>00292/04/2025</t>
  </si>
  <si>
    <t xml:space="preserve">EKIRI MBANG MIGUEL JESUS </t>
  </si>
  <si>
    <t>ETKT 0400200533681</t>
  </si>
  <si>
    <t xml:space="preserve">GARRIGA OBIANG TEODORO ALBERTO  </t>
  </si>
  <si>
    <t>ETKT 0400200533682</t>
  </si>
  <si>
    <t>TNUG OBONO JACINTO NGUEMA</t>
  </si>
  <si>
    <t>ETKT 0400200533683</t>
  </si>
  <si>
    <t>06JUL-11JUL</t>
  </si>
  <si>
    <t>00294/04/2025</t>
  </si>
  <si>
    <t>GUIFO AURELIE NICOLE</t>
  </si>
  <si>
    <t>ETKT 0329588273732</t>
  </si>
  <si>
    <t xml:space="preserve">       CAISSE</t>
  </si>
  <si>
    <t>DLA-CPT-DLA</t>
  </si>
  <si>
    <t>06APR-10APR</t>
  </si>
  <si>
    <t>00293/04/2025</t>
  </si>
  <si>
    <t>MR DONGHO</t>
  </si>
  <si>
    <t xml:space="preserve">DONGHO DONGMO, THIERRY </t>
  </si>
  <si>
    <t>ETKT 706 6376915934</t>
  </si>
  <si>
    <t>JNB-CPT-JNB</t>
  </si>
  <si>
    <t>07APR-10APR</t>
  </si>
  <si>
    <t xml:space="preserve">ETKT 0836376915807 </t>
  </si>
  <si>
    <t>DLA-ABJ-NSI</t>
  </si>
  <si>
    <t>10MAY-13MAY</t>
  </si>
  <si>
    <t>00295/04/2025</t>
  </si>
  <si>
    <t xml:space="preserve">KAMGAING TAASSI MARC ETIENNE </t>
  </si>
  <si>
    <t xml:space="preserve">ETKT 0329588273733            </t>
  </si>
  <si>
    <t>JL</t>
  </si>
  <si>
    <t>LHR-HND</t>
  </si>
  <si>
    <t>16APR.</t>
  </si>
  <si>
    <t>00279/04/2025</t>
  </si>
  <si>
    <t>PIVOTAL AFRICA NETWORK</t>
  </si>
  <si>
    <t>HOT THIERRY JUNIOR</t>
  </si>
  <si>
    <t>ETKT 1692820683897</t>
  </si>
  <si>
    <t>DEL-IAD-ABJ</t>
  </si>
  <si>
    <t>23APR-27APR</t>
  </si>
  <si>
    <t>00283/04/2025</t>
  </si>
  <si>
    <t>ETKT 0576376915564</t>
  </si>
  <si>
    <t>08MAY.</t>
  </si>
  <si>
    <t>00284/04/2025</t>
  </si>
  <si>
    <t>690900-620920=69980</t>
  </si>
  <si>
    <t xml:space="preserve">ETKT 0716376915537
</t>
  </si>
  <si>
    <t>COO-ABJ</t>
  </si>
  <si>
    <t>10MAY.</t>
  </si>
  <si>
    <t>938700-843700=95000</t>
  </si>
  <si>
    <t>ETKT 4836376915538</t>
  </si>
  <si>
    <t>ABJ-CDG</t>
  </si>
  <si>
    <t>14APR.</t>
  </si>
  <si>
    <t>00278/04/2025</t>
  </si>
  <si>
    <t>ETKT 0576376915531</t>
  </si>
  <si>
    <t>HND-CDG-NKC</t>
  </si>
  <si>
    <t>20APR.</t>
  </si>
  <si>
    <t>00282/04/2025</t>
  </si>
  <si>
    <t>3551900-3461900=90000</t>
  </si>
  <si>
    <t>ETKT 0576776915528</t>
  </si>
  <si>
    <t>00281/04/2025</t>
  </si>
  <si>
    <t>ETKT 1692820683885</t>
  </si>
  <si>
    <t>HND-CDG-ZYR</t>
  </si>
  <si>
    <t>00280/04/2025</t>
  </si>
  <si>
    <t>ETKT 0576376915529</t>
  </si>
  <si>
    <t>10APR-01MAY</t>
  </si>
  <si>
    <t>00299/04/2025</t>
  </si>
  <si>
    <t>NGC</t>
  </si>
  <si>
    <t>ANTHONIA MESEH EPSE MBAKOP/XXX MRS</t>
  </si>
  <si>
    <t>ETKT 0712151802925</t>
  </si>
  <si>
    <t>21/04/2025 23/04/2025</t>
  </si>
  <si>
    <t>08JUL-22AUG</t>
  </si>
  <si>
    <t>00298/04/2025</t>
  </si>
  <si>
    <t>MR HILAIRE</t>
  </si>
  <si>
    <t>VOUFFO TOUTSOP EP TAKOUEZIM, JOSEPHINE</t>
  </si>
  <si>
    <t>ETKT 1479588273736</t>
  </si>
  <si>
    <t>DLA-HAJ</t>
  </si>
  <si>
    <t>10APR.</t>
  </si>
  <si>
    <t>00296/04/2025</t>
  </si>
  <si>
    <t>MR LOUIS</t>
  </si>
  <si>
    <t xml:space="preserve">DJOMY TCHOUABIA/FLORIS JOSY MRS </t>
  </si>
  <si>
    <t>ETKT 2359588273735</t>
  </si>
  <si>
    <t>10APR-09MAY</t>
  </si>
  <si>
    <t>00297/04/2025</t>
  </si>
  <si>
    <t>MR TCHATUE</t>
  </si>
  <si>
    <t xml:space="preserve"> SONE EKOLO, XAVIER YANNICK BENJAMIN</t>
  </si>
  <si>
    <t xml:space="preserve">ETKT 0579588273734            </t>
  </si>
  <si>
    <t>OM    CAISSE</t>
  </si>
  <si>
    <t>16APR-09MAY</t>
  </si>
  <si>
    <t>00303/04/2025</t>
  </si>
  <si>
    <t>ETKT 0579588273739</t>
  </si>
  <si>
    <t>10042025T0840</t>
  </si>
  <si>
    <t>20APR-05JUL</t>
  </si>
  <si>
    <t>00300/04/2025</t>
  </si>
  <si>
    <t>MRS MOKAM</t>
  </si>
  <si>
    <t>MOKAM EPSE KAMGA, MARIE GISELE MRS</t>
  </si>
  <si>
    <t xml:space="preserve">ETKT 0579588273737                            </t>
  </si>
  <si>
    <t>13APR-18APR</t>
  </si>
  <si>
    <t>00301/04/2025</t>
  </si>
  <si>
    <t>ETOUNDI BIYIDI, SIMON PIERRE</t>
  </si>
  <si>
    <t>ETKT 0579588273738</t>
  </si>
  <si>
    <t>15APR-21APR</t>
  </si>
  <si>
    <t>00302/04/2025</t>
  </si>
  <si>
    <t>OZIOKO/PASCHAL EMEKA</t>
  </si>
  <si>
    <t>ETKT 0712151831577</t>
  </si>
  <si>
    <t>10APR-13APR</t>
  </si>
  <si>
    <t>00304/04/2025</t>
  </si>
  <si>
    <t>KAGOU</t>
  </si>
  <si>
    <t>ETKT 0716376917938</t>
  </si>
  <si>
    <t>00305/04/2025</t>
  </si>
  <si>
    <t xml:space="preserve">DJUIKOUO  JOSEPHINE </t>
  </si>
  <si>
    <t>ETKT 0716376917936</t>
  </si>
  <si>
    <t>14APR-03MAY</t>
  </si>
  <si>
    <t>00308/04/2025</t>
  </si>
  <si>
    <t>MME CHIMENE</t>
  </si>
  <si>
    <t>MARTIAL TCHOUALA NDZE</t>
  </si>
  <si>
    <t>ETKT 0712151861118</t>
  </si>
  <si>
    <t>CHIMENE NZAMESSHA NDZE EPSE YOMI</t>
  </si>
  <si>
    <t>ETKT 0712151861120</t>
  </si>
  <si>
    <t>00308/2025</t>
  </si>
  <si>
    <t>JEAN JACQUES TALONPA NZOULEWA</t>
  </si>
  <si>
    <t>ETKT 0712151861121</t>
  </si>
  <si>
    <t>CDG-JFK-CDG</t>
  </si>
  <si>
    <t>21APR-26APR</t>
  </si>
  <si>
    <t>00307/04/2025</t>
  </si>
  <si>
    <t>MARC KAMGAING</t>
  </si>
  <si>
    <t>ETKT 0572334342393</t>
  </si>
  <si>
    <t>MAYLEE KAMGAING</t>
  </si>
  <si>
    <t>ETKT 0572334342392</t>
  </si>
  <si>
    <t>MAYANE KAMGAING</t>
  </si>
  <si>
    <t>ETKT 0572334342391</t>
  </si>
  <si>
    <t>DLA-ABJ–DSS–DLA</t>
  </si>
  <si>
    <t>13APR–18APR–20APR</t>
  </si>
  <si>
    <t>00306/04/2025</t>
  </si>
  <si>
    <t>BOOG/SAMUEL DIEUDONNE</t>
  </si>
  <si>
    <t xml:space="preserve">ETKT 4839588273740            </t>
  </si>
  <si>
    <t>BOUNKEU/CHANTAL</t>
  </si>
  <si>
    <t xml:space="preserve">ETKT 4839588273741            </t>
  </si>
  <si>
    <t>CDG  – DLA – CDG</t>
  </si>
  <si>
    <t>14 APR – 25 MAY</t>
  </si>
  <si>
    <t>00309/04/2025</t>
  </si>
  <si>
    <t>MAURICE GILBERT NANFAH TADOUGA</t>
  </si>
  <si>
    <t>ETKT 0572334342412</t>
  </si>
  <si>
    <t>10/04/2025  14/04/2025</t>
  </si>
  <si>
    <t>11042025T0610</t>
  </si>
  <si>
    <t>TAMBA</t>
  </si>
  <si>
    <t xml:space="preserve">ETKT 4839588273743            </t>
  </si>
  <si>
    <t>DLA-NCE.CDG-DLA</t>
  </si>
  <si>
    <t>03JUN-31AUG</t>
  </si>
  <si>
    <t>00310/04/2025</t>
  </si>
  <si>
    <t>AGV GODWIN TRAVEL</t>
  </si>
  <si>
    <t>.NDONGUE EPSE ESSO</t>
  </si>
  <si>
    <t xml:space="preserve">MME HEUNA </t>
  </si>
  <si>
    <t>ETKT 082 6376919343-4</t>
  </si>
  <si>
    <t>26APR-03MAY</t>
  </si>
  <si>
    <t>00311/04/2025</t>
  </si>
  <si>
    <t>YOKOR EPSE GNABA, KOSSIWAVI</t>
  </si>
  <si>
    <t xml:space="preserve">ETKT 0329588273742            </t>
  </si>
  <si>
    <t>11042025T1503</t>
  </si>
  <si>
    <t>00312/04/2025</t>
  </si>
  <si>
    <t xml:space="preserve">TONDJA NDAFEUT/YANNICK SANDRINE </t>
  </si>
  <si>
    <t>ETKT 4839588273744</t>
  </si>
  <si>
    <t>12042025T0620</t>
  </si>
  <si>
    <t>03JUL-27SEP</t>
  </si>
  <si>
    <t>00313/04/2025</t>
  </si>
  <si>
    <t>MME MOMO</t>
  </si>
  <si>
    <t xml:space="preserve">MOMO EPSE NOUNI TAMEZE JEANNE </t>
  </si>
  <si>
    <t>MME LAURE</t>
  </si>
  <si>
    <t>ETKT 0829049042851</t>
  </si>
  <si>
    <t>12042025T2104</t>
  </si>
  <si>
    <t>EY</t>
  </si>
  <si>
    <t>NRT-RUH</t>
  </si>
  <si>
    <t>19APR.</t>
  </si>
  <si>
    <t>00314/04/2025</t>
  </si>
  <si>
    <t>ETKT 6076075460877</t>
  </si>
  <si>
    <t>15APR-17APR</t>
  </si>
  <si>
    <t>00317/04/2025</t>
  </si>
  <si>
    <t>ESONO OYANA/ANGELICA MONAYONG MRS</t>
  </si>
  <si>
    <t>ETKT 0329588273745</t>
  </si>
  <si>
    <t>14042025T0808</t>
  </si>
  <si>
    <t>NSI-YOW</t>
  </si>
  <si>
    <t>04JUN.</t>
  </si>
  <si>
    <t>00316/04/2025</t>
  </si>
  <si>
    <t>MR FESSI</t>
  </si>
  <si>
    <t>FESSI  FRANCIS ROMEO</t>
  </si>
  <si>
    <t>ETKT 0826376921089</t>
  </si>
  <si>
    <t>FESSI BISSA / AMANDA HILARY</t>
  </si>
  <si>
    <t>ETKT 0826376921090</t>
  </si>
  <si>
    <t>14042025T1915</t>
  </si>
  <si>
    <t>15APR.</t>
  </si>
  <si>
    <t>00318/04/2025</t>
  </si>
  <si>
    <t>MR BONAVENTURE/MVONDO ASSAM</t>
  </si>
  <si>
    <t>ETKT 0719588273746</t>
  </si>
  <si>
    <t>00319/04/2025</t>
  </si>
  <si>
    <t>ESSISSIMA, PASCAL HERVE MR</t>
  </si>
  <si>
    <t xml:space="preserve">ETKT 0719588273747            </t>
  </si>
  <si>
    <t>00320/04/2025</t>
  </si>
  <si>
    <t>ETKT 0400300037070</t>
  </si>
  <si>
    <t>OBIANG NCHAMA, JOSE MIGUEL MR</t>
  </si>
  <si>
    <t>ETKT 0400300037071</t>
  </si>
  <si>
    <t>NOT USE</t>
  </si>
  <si>
    <t>HND-ABJ</t>
  </si>
  <si>
    <t>00315/04/2025</t>
  </si>
  <si>
    <t>ETKT 0576376918170</t>
  </si>
  <si>
    <t>22APR-25APR</t>
  </si>
  <si>
    <t xml:space="preserve">AFG </t>
  </si>
  <si>
    <t xml:space="preserve">ETKT 4599588273748            </t>
  </si>
  <si>
    <t>CHQ 2342423</t>
  </si>
  <si>
    <t>15042025T1122</t>
  </si>
  <si>
    <t>00324/04/2025</t>
  </si>
  <si>
    <t xml:space="preserve">ESSISSIMA/PASCAL HERVE MR </t>
  </si>
  <si>
    <t>ETKT 0329588273749</t>
  </si>
  <si>
    <t xml:space="preserve">                                                                      </t>
  </si>
  <si>
    <t>21APR.</t>
  </si>
  <si>
    <t>2077800-1957600=120200</t>
  </si>
  <si>
    <t>ETKT 0829049042852</t>
  </si>
  <si>
    <t>MME GUIFO</t>
  </si>
  <si>
    <t>GUIFO TAGNE/KAIS PHILIPPE</t>
  </si>
  <si>
    <t>ETKT 0829049042853</t>
  </si>
  <si>
    <t>30/04/2025 22/05/2025</t>
  </si>
  <si>
    <t>22JUL.</t>
  </si>
  <si>
    <t>ETKT 0719588261538</t>
  </si>
  <si>
    <t>00326/04/2025</t>
  </si>
  <si>
    <t xml:space="preserve">MR TAPA </t>
  </si>
  <si>
    <t xml:space="preserve">ETKT 1479588273750            </t>
  </si>
  <si>
    <t>DLA-YQM</t>
  </si>
  <si>
    <t>00321/04/2025</t>
  </si>
  <si>
    <t>MRS DIAYO</t>
  </si>
  <si>
    <t>DIAYO MASSAH STEPHANE LAURE</t>
  </si>
  <si>
    <t>ETKT 0829049042854</t>
  </si>
  <si>
    <t>MICHELLE  JOSEPHINE GATSI KENZA</t>
  </si>
  <si>
    <t>ETKT 0829049042857</t>
  </si>
  <si>
    <t>MARIE KARELLE GATSI</t>
  </si>
  <si>
    <t>ETKT 0829049042855</t>
  </si>
  <si>
    <t>CLOE GATSI DIAYO</t>
  </si>
  <si>
    <t>ETKT 0829049042856</t>
  </si>
  <si>
    <t>17APR-26APR</t>
  </si>
  <si>
    <t>ETKT 0576376922046</t>
  </si>
  <si>
    <t>25/04/2025 23/05/2025</t>
  </si>
  <si>
    <t>17APR.</t>
  </si>
  <si>
    <t>MVONDO ASSAM/BONAVENTURE</t>
  </si>
  <si>
    <t xml:space="preserve">ETKT 0329588273751            </t>
  </si>
  <si>
    <t>NTSAMA/GUY BERTRAND</t>
  </si>
  <si>
    <t>ETKT 0719588 261546</t>
  </si>
  <si>
    <t>OBIANG NCHAMA/JOSE MIGUEL</t>
  </si>
  <si>
    <t>ETKT 0719588 261547</t>
  </si>
  <si>
    <t>23APR-23MAY</t>
  </si>
  <si>
    <t>SONE EKOLO XAVIER BENJAMIN</t>
  </si>
  <si>
    <t>ETKT 0579588273752</t>
  </si>
  <si>
    <t>00331/04/2025</t>
  </si>
  <si>
    <t xml:space="preserve">ETKT 0329588273752            </t>
  </si>
  <si>
    <t>DSS-ABJ</t>
  </si>
  <si>
    <t xml:space="preserve">ETKT 4839588273754            </t>
  </si>
  <si>
    <t>17042025T1325</t>
  </si>
  <si>
    <t>NEOSSI/EMMANUEL</t>
  </si>
  <si>
    <t xml:space="preserve">ETKT 0579588273755            </t>
  </si>
  <si>
    <t>MOUNCHILI/IDRISS</t>
  </si>
  <si>
    <t>ETKT 0579588273756</t>
  </si>
  <si>
    <t>DLA-MXP.STR-DLA</t>
  </si>
  <si>
    <t>04MAY-13MAY</t>
  </si>
  <si>
    <t xml:space="preserve">YOMENI TSAFACK, MADELEINE ALVINE </t>
  </si>
  <si>
    <t>ETKT 0579588273757-58</t>
  </si>
  <si>
    <t>ETKT 0579588273759</t>
  </si>
  <si>
    <t>ETKT 0579588273760</t>
  </si>
  <si>
    <t>29MAY-14JUN</t>
  </si>
  <si>
    <t>JEANNE CLAIRE SIMO KAMDEM (ADT</t>
  </si>
  <si>
    <t xml:space="preserve">ETKT 0829049042864 </t>
  </si>
  <si>
    <t>10JUL-22JUL</t>
  </si>
  <si>
    <t>SOLANGE CORINE KAMDEM EPSE KENMOGNIE</t>
  </si>
  <si>
    <t>ETKT 0829049042863</t>
  </si>
  <si>
    <t>22/04/2025 29/04/2025 08/05/2025</t>
  </si>
  <si>
    <t>22JUL-28AUG</t>
  </si>
  <si>
    <t>OLWEN KAYDEN SIANI TCHAMANDE</t>
  </si>
  <si>
    <t>ETKT 0829049042862</t>
  </si>
  <si>
    <t>SIANI TCHAMANDE MARLONN KEVAN</t>
  </si>
  <si>
    <t>ETKT 0829049042858</t>
  </si>
  <si>
    <t>ELWAN MITCHELL SIANI TCHAMANDE</t>
  </si>
  <si>
    <t>ETKT 0829049042861</t>
  </si>
  <si>
    <t>05AUG-28AUG</t>
  </si>
  <si>
    <t>ALIONKA ZAFIRA GUIAKAM KENMOGNIE</t>
  </si>
  <si>
    <t>ETKT 0829049042859</t>
  </si>
  <si>
    <t>JANNELLA STACY DJIEGOUE SIANI TCHAMANDE</t>
  </si>
  <si>
    <t>ETKT 0829049042860</t>
  </si>
  <si>
    <t>ABJ-ZYR</t>
  </si>
  <si>
    <t>-</t>
  </si>
  <si>
    <t xml:space="preserve">ETKT 0576376923585 </t>
  </si>
  <si>
    <t>ABJ-IAD</t>
  </si>
  <si>
    <t>00345/04/2025</t>
  </si>
  <si>
    <t xml:space="preserve">ETKT 0576376923596 </t>
  </si>
  <si>
    <t>19APR-30APR</t>
  </si>
  <si>
    <t>ETKT 0329588273761</t>
  </si>
  <si>
    <t>CHQ 8454458</t>
  </si>
  <si>
    <t>00342/04/2025</t>
  </si>
  <si>
    <t>ETKT 49850000334048</t>
  </si>
  <si>
    <t xml:space="preserve"> USE</t>
  </si>
  <si>
    <t>ETKT 49850000334049</t>
  </si>
  <si>
    <t>NO USE</t>
  </si>
  <si>
    <t>00132/02/2025</t>
  </si>
  <si>
    <t>ETKT 27723735413</t>
  </si>
  <si>
    <t>21042025T1146</t>
  </si>
  <si>
    <t>HOT  THIERRY JUNIOR</t>
  </si>
  <si>
    <t>ETKT 0576376923611</t>
  </si>
  <si>
    <t>ETKT 0329588273762</t>
  </si>
  <si>
    <t>22APR-22MAY</t>
  </si>
  <si>
    <t>MR MAFFO</t>
  </si>
  <si>
    <t>MAFFO NDE TATSIN</t>
  </si>
  <si>
    <t>ETKT 7069588273763</t>
  </si>
  <si>
    <t>28MAY-14JUN</t>
  </si>
  <si>
    <t>00348/04/2025</t>
  </si>
  <si>
    <t>ETKT 0829049042865</t>
  </si>
  <si>
    <t>SG-NSI</t>
  </si>
  <si>
    <t>00347/04/2025</t>
  </si>
  <si>
    <t>OBIANG NCHAMA/JOSE MICHEL</t>
  </si>
  <si>
    <t>ETKT 0329588273764</t>
  </si>
  <si>
    <t>ETKT 0329588273765</t>
  </si>
  <si>
    <t>00346/04/2025</t>
  </si>
  <si>
    <t>ESSISSIMA/PASCAL HERVE</t>
  </si>
  <si>
    <t>ETKT 0329588273766</t>
  </si>
  <si>
    <t>04MAY-18MAY</t>
  </si>
  <si>
    <t>NGAHANG FONGANG/JAURES LEOVANN</t>
  </si>
  <si>
    <t>ETKT 0579588273767</t>
  </si>
  <si>
    <t>22APR-24APR</t>
  </si>
  <si>
    <t>LYSETTE ESTHER/BELIBY MFOUMOU</t>
  </si>
  <si>
    <t>ETKT 0400300037072</t>
  </si>
  <si>
    <t>21042025T1942</t>
  </si>
  <si>
    <t>22APR-29APR</t>
  </si>
  <si>
    <t>MRS LILIANE</t>
  </si>
  <si>
    <t>MISSOUMA NVOGO/LILIANE</t>
  </si>
  <si>
    <t>ETKT 4839588273768</t>
  </si>
  <si>
    <t>21042025T2343</t>
  </si>
  <si>
    <t>RU</t>
  </si>
  <si>
    <t>03 PERSONNES</t>
  </si>
  <si>
    <t>RESA</t>
  </si>
  <si>
    <t>11MAY-14MAY</t>
  </si>
  <si>
    <t>00358/04/2025</t>
  </si>
  <si>
    <t>LEAUTIER/ANN FRANCES</t>
  </si>
  <si>
    <t>AVOIR 55000</t>
  </si>
  <si>
    <t>ETKT 0576376926818</t>
  </si>
  <si>
    <t>EX/25APR</t>
  </si>
  <si>
    <t>23APR.</t>
  </si>
  <si>
    <t>ETKT 0829049042866</t>
  </si>
  <si>
    <t>00344/04/2025</t>
  </si>
  <si>
    <t>4388600-4131700=256 900</t>
  </si>
  <si>
    <t>DLA-MXP</t>
  </si>
  <si>
    <t>04MAY.</t>
  </si>
  <si>
    <t>ETKT 579588273769</t>
  </si>
  <si>
    <t>ETKT 0579588273770</t>
  </si>
  <si>
    <t>23APR-01MAY</t>
  </si>
  <si>
    <t>00351/04/2025</t>
  </si>
  <si>
    <t xml:space="preserve">TCHACHUE PATRICE </t>
  </si>
  <si>
    <t xml:space="preserve">AF </t>
  </si>
  <si>
    <t>ETKT 0572336278466</t>
  </si>
  <si>
    <t>22/04/2025 09/05/2025 03/06/2025 04/06/2025</t>
  </si>
  <si>
    <t>23 APAR.</t>
  </si>
  <si>
    <t>00352/04/2025</t>
  </si>
  <si>
    <t>JOSE MANUEL BILE OBIANG AYANG</t>
  </si>
  <si>
    <t>ETKT 49850000334682</t>
  </si>
  <si>
    <t>12JUN-19JUN</t>
  </si>
  <si>
    <t>KAMDOM NOUEMEUJIA</t>
  </si>
  <si>
    <t>ETKT 0579588273771</t>
  </si>
  <si>
    <t>00368/04/2025</t>
  </si>
  <si>
    <t>ETKT 2770047143315</t>
  </si>
  <si>
    <t>29APR-07MAY</t>
  </si>
  <si>
    <t>00366/04/2025</t>
  </si>
  <si>
    <t>TADJUIDJE/JACQUES MR</t>
  </si>
  <si>
    <t xml:space="preserve">ETKT 0712152141716 </t>
  </si>
  <si>
    <t>NGOUENET/ROMEO MR</t>
  </si>
  <si>
    <t xml:space="preserve">ETKT 0712152141816 </t>
  </si>
  <si>
    <t>25APR.</t>
  </si>
  <si>
    <t>00365/04/2025</t>
  </si>
  <si>
    <t>TAYOU FEUWO/LUDOVIC FRANK MR</t>
  </si>
  <si>
    <t xml:space="preserve">ETKT 0712152133576 </t>
  </si>
  <si>
    <t>NSI-CAN</t>
  </si>
  <si>
    <t>00367/04/2025</t>
  </si>
  <si>
    <t xml:space="preserve">NGAKO GABRIEL CONSTANT </t>
  </si>
  <si>
    <t>ETKT 0712152151679</t>
  </si>
  <si>
    <t>19MAY-29MAY</t>
  </si>
  <si>
    <t>00364/04/2025</t>
  </si>
  <si>
    <t>MRS NJIA</t>
  </si>
  <si>
    <t>NJIA EP DRAULT/LAURE BEATRICE MRS</t>
  </si>
  <si>
    <t>BLUEBERRY/AMADEUS</t>
  </si>
  <si>
    <t>ETKT 4596376923954</t>
  </si>
  <si>
    <t>00363/04/2025</t>
  </si>
  <si>
    <t xml:space="preserve"> NGANI MEIGNIDON DIFFO MIRELLE NICAISE ELISE</t>
  </si>
  <si>
    <t>ETKT 27723809188</t>
  </si>
  <si>
    <t>24 april 2025</t>
  </si>
  <si>
    <t>25APR-27APR</t>
  </si>
  <si>
    <t>NNOMO MEZUI/CHERILLE OLIVIA MRS</t>
  </si>
  <si>
    <t>ETKT 4839588273772</t>
  </si>
  <si>
    <t>00356/04/2025</t>
  </si>
  <si>
    <t>4442600-4168900=273 700</t>
  </si>
  <si>
    <t>ETKT 0576376926819</t>
  </si>
  <si>
    <t>full refund</t>
  </si>
  <si>
    <t>DLA-MXP.CDG-DLA</t>
  </si>
  <si>
    <t>00337/04/2025</t>
  </si>
  <si>
    <t xml:space="preserve"> BEUTKA NGNOUNEWOU, SERGES BERTRAND</t>
  </si>
  <si>
    <t xml:space="preserve">ETKT 0579588261562 </t>
  </si>
  <si>
    <t xml:space="preserve"> V/R</t>
  </si>
  <si>
    <t>YYZ-DLA-YYZ</t>
  </si>
  <si>
    <t>00355/04/2025</t>
  </si>
  <si>
    <t xml:space="preserve">KOFFI/KOBENAN GERARD MR </t>
  </si>
  <si>
    <t>ETKT 0579588261565</t>
  </si>
  <si>
    <t>14MAY-19MAY</t>
  </si>
  <si>
    <t>00362/04/2025</t>
  </si>
  <si>
    <t>MRS SONE</t>
  </si>
  <si>
    <t xml:space="preserve">TONYE NYOGOL EP SONE EKOLO/MARTY GWENDOLINE </t>
  </si>
  <si>
    <t>ETKT 0579588261566</t>
  </si>
  <si>
    <t>13/05/2025 01/06/2025 09/06/2025</t>
  </si>
  <si>
    <t xml:space="preserve">SONE EKOLO/ADNA ALLEVNA MULEMA*15MAR24 </t>
  </si>
  <si>
    <t>ETKT 0579588261567</t>
  </si>
  <si>
    <t>06MAY-09MAY</t>
  </si>
  <si>
    <t>00360/04/2025</t>
  </si>
  <si>
    <t>Fouematio Christele</t>
  </si>
  <si>
    <t>ETKT 0400300037073</t>
  </si>
  <si>
    <t>DLA-LHR.LGW-DLA</t>
  </si>
  <si>
    <t>00359/04/2025</t>
  </si>
  <si>
    <t>MRS DIFFO</t>
  </si>
  <si>
    <t>.DIFFO/MARIE NESTOR MRS</t>
  </si>
  <si>
    <t>ETKT 2356376929732</t>
  </si>
  <si>
    <t>30APR-01MAY</t>
  </si>
  <si>
    <t>00361/04/2025</t>
  </si>
  <si>
    <t>ETKT 4839588273774</t>
  </si>
  <si>
    <t>04MAY-19MAY</t>
  </si>
  <si>
    <t>00369/04/2025</t>
  </si>
  <si>
    <t>00370/04/2025</t>
  </si>
  <si>
    <t>01MAY-02MAY</t>
  </si>
  <si>
    <t>00372/04/2025</t>
  </si>
  <si>
    <t>HABIBA DANIELLE  ZIIDIANG EPSE KENGNE</t>
  </si>
  <si>
    <t>ETKT 0400300037075</t>
  </si>
  <si>
    <t>01MAY-03MAY</t>
  </si>
  <si>
    <t>00371/04/2025</t>
  </si>
  <si>
    <t>HAMIDOU  NA IMMA AMADOU</t>
  </si>
  <si>
    <t>ETKT 0400300037074</t>
  </si>
  <si>
    <t>18JUN-08JUL</t>
  </si>
  <si>
    <t>00376/04/2025</t>
  </si>
  <si>
    <t>MRS TCHOUMBA</t>
  </si>
  <si>
    <t>TCHOUMBA EPSE NGANTCHUI/BERTINE</t>
  </si>
  <si>
    <t>MRSHEUNA</t>
  </si>
  <si>
    <t>29/04/2025 07/05/2025</t>
  </si>
  <si>
    <t>07MAY-20MAY</t>
  </si>
  <si>
    <t>00373/04/2025</t>
  </si>
  <si>
    <t>MR KAFFE</t>
  </si>
  <si>
    <t>KAFFE NGUESSE/THIERRY JAURES</t>
  </si>
  <si>
    <t>ETKT 1249588273779</t>
  </si>
  <si>
    <t xml:space="preserve">OM  </t>
  </si>
  <si>
    <t>14JUL-09AUG</t>
  </si>
  <si>
    <t>00383/04/2025</t>
  </si>
  <si>
    <t xml:space="preserve">TA BI TAH HUGUES </t>
  </si>
  <si>
    <t>ETKT 4839588273776</t>
  </si>
  <si>
    <t>TA BI TAH MAYDEN</t>
  </si>
  <si>
    <t>ETKT 4839588273777</t>
  </si>
  <si>
    <t>TA LOU KETSIA</t>
  </si>
  <si>
    <t>ETKT 4839588273778</t>
  </si>
  <si>
    <t>01MAY.</t>
  </si>
  <si>
    <t>00375/04/2025</t>
  </si>
  <si>
    <t xml:space="preserve">KAGOU/GEORGES LEOPOLD </t>
  </si>
  <si>
    <t>ETKT 0329588273781</t>
  </si>
  <si>
    <t>CHQ 8454459</t>
  </si>
  <si>
    <t>CDG-LBV-CDG</t>
  </si>
  <si>
    <t>00374/04/2025</t>
  </si>
  <si>
    <t xml:space="preserve"> SYLLA/WOROKHYA</t>
  </si>
  <si>
    <t>ETKT 0579588273782</t>
  </si>
  <si>
    <t>28MAI-03JUN</t>
  </si>
  <si>
    <t>GISELE ELANGA SOPPI EPSE EBOA (ADT)</t>
  </si>
  <si>
    <t>ETKT 0829049042867</t>
  </si>
  <si>
    <t>03JUN.</t>
  </si>
  <si>
    <t>EMD</t>
  </si>
  <si>
    <t>00384/04/2025</t>
  </si>
  <si>
    <t xml:space="preserve">MR TA BI TAH </t>
  </si>
  <si>
    <t>BI TAH MAYDEN BETSLEL TA (CHD)</t>
  </si>
  <si>
    <t>ETKT 	0829049042868</t>
  </si>
  <si>
    <t>KETSIA ABIGAIL TA LOU (CHD)</t>
  </si>
  <si>
    <t>ETKT  0829049042870</t>
  </si>
  <si>
    <t>HUGUES YANNICK MR TA BI TAH (ADT)</t>
  </si>
  <si>
    <t>ETKT  0829049042869</t>
  </si>
  <si>
    <t>26MAY-08JUN</t>
  </si>
  <si>
    <t>00377/04/2025</t>
  </si>
  <si>
    <t>SAFARI LOGISTIQUE</t>
  </si>
  <si>
    <t>KWEBOU TCHOUPE/KATHYA IVANNA</t>
  </si>
  <si>
    <t>ETKT 	0829049042871</t>
  </si>
  <si>
    <t>CHQ0000141</t>
  </si>
  <si>
    <t xml:space="preserve">DIBOUNDJE DIBOUNDJE/YVES </t>
  </si>
  <si>
    <t>ETKT 	0829049042872</t>
  </si>
  <si>
    <t>ONANA FILS/ALIAN GERARD</t>
  </si>
  <si>
    <t>ETKT 	0829049042873</t>
  </si>
  <si>
    <t>26/06/2025 11/07/2025</t>
  </si>
  <si>
    <t>CHQ0000141 CHQ1399555</t>
  </si>
  <si>
    <t>05MAY.</t>
  </si>
  <si>
    <t>00382/04/2025</t>
  </si>
  <si>
    <t>MR LENTEU</t>
  </si>
  <si>
    <t>LENTEU GIULIA ASHLEY</t>
  </si>
  <si>
    <t>ETKT 0579588273783</t>
  </si>
  <si>
    <t>25MAY-31MAY</t>
  </si>
  <si>
    <t>00380/04/20025</t>
  </si>
  <si>
    <t>SAKYI ADDO  KWAKY ADDO</t>
  </si>
  <si>
    <t>ETKT 4836376930294</t>
  </si>
  <si>
    <t>00379/04/2025</t>
  </si>
  <si>
    <t>MOGHALU CHINEDU</t>
  </si>
  <si>
    <t>ETKT 0326376930295</t>
  </si>
  <si>
    <t>00378/04/2025</t>
  </si>
  <si>
    <t>BANSE SMAEL ADOU</t>
  </si>
  <si>
    <t>ETKT 0576376930406</t>
  </si>
  <si>
    <t>18MAY.</t>
  </si>
  <si>
    <t>00381/04/2025</t>
  </si>
  <si>
    <t>TCHATCHUE PATRICE</t>
  </si>
  <si>
    <t>ETKT 0572336278771</t>
  </si>
  <si>
    <t>05MAY-09MAY</t>
  </si>
  <si>
    <t>0038/04/2025</t>
  </si>
  <si>
    <t>MEKUATE/FLAURIDE LAURE</t>
  </si>
  <si>
    <t>ETKT 27723869934</t>
  </si>
  <si>
    <t>DATE RGL</t>
  </si>
  <si>
    <t xml:space="preserve">VR GOLITE </t>
  </si>
  <si>
    <t>VR CAMAIR CO</t>
  </si>
  <si>
    <t>CAMAIR CO</t>
  </si>
  <si>
    <t>VR B2B</t>
  </si>
  <si>
    <t>02MAR-12MAR</t>
  </si>
  <si>
    <t>00198/03/2025</t>
  </si>
  <si>
    <t xml:space="preserve">MRS NJOFIN </t>
  </si>
  <si>
    <t xml:space="preserve">NJOFIN EPSE KAMGA FLORE </t>
  </si>
  <si>
    <t>ETKT 0719588273688 - 689</t>
  </si>
  <si>
    <t>NDJ-DLA-NDJ</t>
  </si>
  <si>
    <t>05MAR-08MAR</t>
  </si>
  <si>
    <t>00199/03/2025</t>
  </si>
  <si>
    <t>DJIKOLOUM GUESSIMBAYE AIME</t>
  </si>
  <si>
    <t xml:space="preserve">ETKT 0329588273690 </t>
  </si>
  <si>
    <t>CHQ 2988599</t>
  </si>
  <si>
    <t>LFW-DLA</t>
  </si>
  <si>
    <t>02MAR.</t>
  </si>
  <si>
    <t>00200/03/2025</t>
  </si>
  <si>
    <t>ETKT 0329588273691</t>
  </si>
  <si>
    <t>CHQ 8619291</t>
  </si>
  <si>
    <t>NSI-BLQ-NSI</t>
  </si>
  <si>
    <t>02MAR-03MAY</t>
  </si>
  <si>
    <t>00202/03/2025</t>
  </si>
  <si>
    <t>KUEDA HARMAND BERTRAND</t>
  </si>
  <si>
    <t>ETKT 0572333237561</t>
  </si>
  <si>
    <t>00204/03/2025</t>
  </si>
  <si>
    <t xml:space="preserve">ABDEL RAZIK MAHAMAT IDRISS  </t>
  </si>
  <si>
    <t xml:space="preserve">ETKT 0329588273692 </t>
  </si>
  <si>
    <t xml:space="preserve">HF </t>
  </si>
  <si>
    <t>05MAR-07MAR</t>
  </si>
  <si>
    <t>00205/03/2025</t>
  </si>
  <si>
    <t>ETKT 4839588273693</t>
  </si>
  <si>
    <t>CHQ 8619290</t>
  </si>
  <si>
    <t>00203/03/2025</t>
  </si>
  <si>
    <t>ETKT  0400300037046</t>
  </si>
  <si>
    <t xml:space="preserve">HABIB , MOHAMADOU </t>
  </si>
  <si>
    <t>ETKT  0400300037047</t>
  </si>
  <si>
    <t>00207/03/2025</t>
  </si>
  <si>
    <t>05MAR-09MAR</t>
  </si>
  <si>
    <t>00208/03/2025</t>
  </si>
  <si>
    <t xml:space="preserve">BANGE BANK </t>
  </si>
  <si>
    <t xml:space="preserve">ESONO EDJANG JOSE MANUEL </t>
  </si>
  <si>
    <t>ETKT 0400200522600</t>
  </si>
  <si>
    <t>00209/03/2025</t>
  </si>
  <si>
    <t>NGUIMEYA NGUEFAH  PEPIN CHARLES</t>
  </si>
  <si>
    <t>DLA-CAN</t>
  </si>
  <si>
    <t>06MAR.</t>
  </si>
  <si>
    <t>00210/03/2025</t>
  </si>
  <si>
    <t>MR IGWEMEZIE</t>
  </si>
  <si>
    <t>IGWEZIE ELVIS IKECHUKWU</t>
  </si>
  <si>
    <t>ETKT 0719588273695</t>
  </si>
  <si>
    <t>MME LEUGA</t>
  </si>
  <si>
    <t>EMILIENNE LEUGA EPSE KEUYAKANG</t>
  </si>
  <si>
    <t>ETKT 0400300037049</t>
  </si>
  <si>
    <t>12MAR-19MAR</t>
  </si>
  <si>
    <t>00211/03/2025</t>
  </si>
  <si>
    <t>NGALLE MIANO MAY DAPHNE</t>
  </si>
  <si>
    <t>ETKT 49850000322941</t>
  </si>
  <si>
    <t>16MAR-20MAR</t>
  </si>
  <si>
    <t>AFG- ASSURANCE</t>
  </si>
  <si>
    <t>FOTADZONG TCHIO THEOPHILE</t>
  </si>
  <si>
    <t xml:space="preserve">ETKT 0719588273696 </t>
  </si>
  <si>
    <t>00212/03/2025</t>
  </si>
  <si>
    <t>ETKT 0329588273697</t>
  </si>
  <si>
    <t>CHQ2342423</t>
  </si>
  <si>
    <t>11MAR.</t>
  </si>
  <si>
    <t>00237/03/2025</t>
  </si>
  <si>
    <t xml:space="preserve">MR TOGNIA </t>
  </si>
  <si>
    <t>TOGNIA BERTRAND</t>
  </si>
  <si>
    <t>ETKT 0400300037051</t>
  </si>
  <si>
    <t>10MARS.</t>
  </si>
  <si>
    <t>14MAR-25MAR</t>
  </si>
  <si>
    <t>00214/03/2025</t>
  </si>
  <si>
    <t>LOHOUES YEMELY EMMANUELLA JESUS</t>
  </si>
  <si>
    <t>ETKT 0713578260355</t>
  </si>
  <si>
    <t>14/03/2025 22/04/205</t>
  </si>
  <si>
    <t>CDG-IAH-CDG</t>
  </si>
  <si>
    <t>15MAR-24MAR</t>
  </si>
  <si>
    <t>00215/03/2025</t>
  </si>
  <si>
    <t>ETKT 0713578260356</t>
  </si>
  <si>
    <t>22/04/2025 25/04/2025</t>
  </si>
  <si>
    <t>DLA-SSG.</t>
  </si>
  <si>
    <t>12MAR.</t>
  </si>
  <si>
    <t>00216/03/2025</t>
  </si>
  <si>
    <t xml:space="preserve">OBIANG NCHAMA JOSE MICHEL </t>
  </si>
  <si>
    <t>ETKT 49850000323756</t>
  </si>
  <si>
    <t>12MAR-16MAR</t>
  </si>
  <si>
    <t>00217/03/2025</t>
  </si>
  <si>
    <t>ETKT 49850000322941.324029</t>
  </si>
  <si>
    <t>17MAR-19MAR</t>
  </si>
  <si>
    <t>00218/03/2025</t>
  </si>
  <si>
    <t xml:space="preserve">ESONO OYANA ANGELICA MONAYONG </t>
  </si>
  <si>
    <t>ETKT 0329588273698</t>
  </si>
  <si>
    <t>DLA-ABJ.</t>
  </si>
  <si>
    <t>13APR.</t>
  </si>
  <si>
    <t>00219/03/2025</t>
  </si>
  <si>
    <t xml:space="preserve">HOT JUNIOR THIERRY </t>
  </si>
  <si>
    <t>ETKT 4839588273699</t>
  </si>
  <si>
    <t xml:space="preserve">DLA-BCN.MAD-DLA </t>
  </si>
  <si>
    <t>03APR-11APR</t>
  </si>
  <si>
    <t>00213/03/2025</t>
  </si>
  <si>
    <t>DOUAKA ROGER ALAIN</t>
  </si>
  <si>
    <t>ETKT 0829049042136-137</t>
  </si>
  <si>
    <t>CHQ 8815107</t>
  </si>
  <si>
    <t>KIFACK BOUKENG EPSE DJOUAKA FLORENCE</t>
  </si>
  <si>
    <t>ETKT 0829049042138-139</t>
  </si>
  <si>
    <t>11MAY-17MAY</t>
  </si>
  <si>
    <t>00220/03/2025</t>
  </si>
  <si>
    <t xml:space="preserve">ZIIDANG HABIBA DANIELLE </t>
  </si>
  <si>
    <t>ETKT 0329588273700</t>
  </si>
  <si>
    <t>11MAY-21MAY</t>
  </si>
  <si>
    <t>00221/03/2025</t>
  </si>
  <si>
    <t xml:space="preserve">NA IMMA AMMADOU  HAMIDOU </t>
  </si>
  <si>
    <t>ETKT 0329588273701</t>
  </si>
  <si>
    <t>03APR-10APR</t>
  </si>
  <si>
    <t>ETKT 0829049042140-141</t>
  </si>
  <si>
    <t>ETKT 0829049042142-143</t>
  </si>
  <si>
    <t>13APR-08MAY</t>
  </si>
  <si>
    <t>00223/03/2025</t>
  </si>
  <si>
    <t>DIBOUSSI MARIE ANGELE</t>
  </si>
  <si>
    <t>ETKT 0829049042144</t>
  </si>
  <si>
    <t>14MAR.</t>
  </si>
  <si>
    <t>00224/03/2025</t>
  </si>
  <si>
    <t>ETKT 1479588273702</t>
  </si>
  <si>
    <t>21MARS</t>
  </si>
  <si>
    <t>24MAR-05APR</t>
  </si>
  <si>
    <t>00225/03/2025</t>
  </si>
  <si>
    <t>MRS  BIKONG</t>
  </si>
  <si>
    <t>SIMEU BEATRICE</t>
  </si>
  <si>
    <t>ETKT 0712151317279</t>
  </si>
  <si>
    <t>00227/03/2025</t>
  </si>
  <si>
    <t>TCHATCHOUA SUZANNE  LINDA</t>
  </si>
  <si>
    <t>ETKT 0713578262958</t>
  </si>
  <si>
    <t xml:space="preserve">CHQ0000116 </t>
  </si>
  <si>
    <t>TINA ONGOLO CLAIRE FLORA</t>
  </si>
  <si>
    <t>ETKT 0712151317280</t>
  </si>
  <si>
    <t>CHQ0000127</t>
  </si>
  <si>
    <t>YAMGOUE DEBANA CHRISTELLE  YOLANDE</t>
  </si>
  <si>
    <t>ETKT 0712151317281</t>
  </si>
  <si>
    <t>JNB-CPT</t>
  </si>
  <si>
    <t>00228/03/2025</t>
  </si>
  <si>
    <t>ETKT 0833576107301</t>
  </si>
  <si>
    <t>NGANI MEIGNIDON DIFFO MIRELLE NICAISE</t>
  </si>
  <si>
    <t>ETKT 0833576107302</t>
  </si>
  <si>
    <t>16MAR.</t>
  </si>
  <si>
    <t>00229/03/2025</t>
  </si>
  <si>
    <t>ETKT 49850000325117</t>
  </si>
  <si>
    <t>DLA-CDG.BOD-LYS-DLA</t>
  </si>
  <si>
    <t>05JUN-14JUN-19JUN</t>
  </si>
  <si>
    <t>00230/03/2025</t>
  </si>
  <si>
    <t>TA BI TAH HUGUES  YANNICK</t>
  </si>
  <si>
    <t>ETKT 0579588273703</t>
  </si>
  <si>
    <t>CDG-JNB- CDG</t>
  </si>
  <si>
    <t>23MAR-27MAR</t>
  </si>
  <si>
    <t>00231/03/2025</t>
  </si>
  <si>
    <t>ETKT 0579588273705</t>
  </si>
  <si>
    <t>21MAR-27MAR</t>
  </si>
  <si>
    <t>ETKT 0712151334071</t>
  </si>
  <si>
    <t>00233/03/2025</t>
  </si>
  <si>
    <t>18MAR.</t>
  </si>
  <si>
    <t>00235/03/2025</t>
  </si>
  <si>
    <t>ETKT 0329588273707</t>
  </si>
  <si>
    <t>DLA-LBV-NSI</t>
  </si>
  <si>
    <t>00234/03/2025</t>
  </si>
  <si>
    <t>ETKT 2772333759</t>
  </si>
  <si>
    <t xml:space="preserve">DLA-COO </t>
  </si>
  <si>
    <t>00236/03/2025</t>
  </si>
  <si>
    <t>1 643 043</t>
  </si>
  <si>
    <t>18MAR-25APR</t>
  </si>
  <si>
    <t>00258/03/2025</t>
  </si>
  <si>
    <t xml:space="preserve">KAMGAING TAASSI  MARC ETIENNE </t>
  </si>
  <si>
    <t>GAMGEM GUIADEM CATHERINE</t>
  </si>
  <si>
    <t>VISA COTONOU</t>
  </si>
  <si>
    <t>CMN-DLA-CMN</t>
  </si>
  <si>
    <t>20MAR-03MAI</t>
  </si>
  <si>
    <t>NICORA/GUY CARLO</t>
  </si>
  <si>
    <t>ETKT 1479588273708</t>
  </si>
  <si>
    <t>00240/03/2025</t>
  </si>
  <si>
    <t>ETKT 0713578264050</t>
  </si>
  <si>
    <t>13/05/2025 26/06/2025</t>
  </si>
  <si>
    <t>CHQ0000127 CHQ0000141</t>
  </si>
  <si>
    <t>00241/03/2025</t>
  </si>
  <si>
    <t>ETKT 0712151417587</t>
  </si>
  <si>
    <t>ETKT 0712151418215</t>
  </si>
  <si>
    <t>ETKT 0712151418152</t>
  </si>
  <si>
    <t>00239/03/2025</t>
  </si>
  <si>
    <t>04MAI-28JUL</t>
  </si>
  <si>
    <t>00238/03/2025</t>
  </si>
  <si>
    <t>PARENT IUC MR NEABO</t>
  </si>
  <si>
    <t>MOGUO KUATE EPSE NEABO MARLYSE</t>
  </si>
  <si>
    <t>ETKT 0829049042145</t>
  </si>
  <si>
    <t>25MAR.</t>
  </si>
  <si>
    <t>00244/03/2025</t>
  </si>
  <si>
    <t>NGAKO KETCHANGA CEDRIC MATHIEU</t>
  </si>
  <si>
    <t>ETKT 0712151435594</t>
  </si>
  <si>
    <t>13/09/2025 14/09/2025 15/09/2025</t>
  </si>
  <si>
    <t xml:space="preserve">21MAR-26MAR </t>
  </si>
  <si>
    <t>00242/03/2025</t>
  </si>
  <si>
    <t>NINWOUO MAKOUTCHOUAN EPSE  NKENFACK ZEBAZE SYLVIE PASCALINE</t>
  </si>
  <si>
    <t xml:space="preserve">SN </t>
  </si>
  <si>
    <t>11JAN-18JAN</t>
  </si>
  <si>
    <t>00243/03/2025</t>
  </si>
  <si>
    <t>CHRISTOPHE MICHEL LUC BRETON</t>
  </si>
  <si>
    <t xml:space="preserve">NDC </t>
  </si>
  <si>
    <t>ETKT 0829049042147</t>
  </si>
  <si>
    <t>TP</t>
  </si>
  <si>
    <t>BRU-RAI-BRU</t>
  </si>
  <si>
    <t>21MAR-25MAR</t>
  </si>
  <si>
    <t>00245/03/2025</t>
  </si>
  <si>
    <t>REFUND : AVT 155700-1457000=100000</t>
  </si>
  <si>
    <t>ETKT 0473557685696</t>
  </si>
  <si>
    <t>NSI-CPT-NSI</t>
  </si>
  <si>
    <t>00246/03/2025</t>
  </si>
  <si>
    <t>BELIBY MFOUMOU LYSETTE ESTHER</t>
  </si>
  <si>
    <t>ETKT 0713578264566
ETKT 0833578263203</t>
  </si>
  <si>
    <t>22MAR.</t>
  </si>
  <si>
    <t>00247/03/2025</t>
  </si>
  <si>
    <t>TIANI VESSAH OLIVIA BIBIANA TCHANGAIN</t>
  </si>
  <si>
    <t>ETKT 0572333237640</t>
  </si>
  <si>
    <t>01APR-08APR</t>
  </si>
  <si>
    <t>00249/03/2025</t>
  </si>
  <si>
    <t>ETKT 0719588273711</t>
  </si>
  <si>
    <t xml:space="preserve">BOLANGA MOUDO JACQUELINE </t>
  </si>
  <si>
    <t>ETKT 0719588273710</t>
  </si>
  <si>
    <t xml:space="preserve">EBOA ELANGA YANN ARTHUR </t>
  </si>
  <si>
    <t>ETKT 0719588273712</t>
  </si>
  <si>
    <t>EBOA MATHEO WILFRIED</t>
  </si>
  <si>
    <t>ETKT 0719588273713</t>
  </si>
  <si>
    <t>01MAR-14APR</t>
  </si>
  <si>
    <t>00250/03/2025</t>
  </si>
  <si>
    <t>MR TATIEZEU</t>
  </si>
  <si>
    <t>TATIEZEU GUEDIA BRUNO</t>
  </si>
  <si>
    <t>ETKT 0719588273714</t>
  </si>
  <si>
    <t>TSAFACK EPSE TATIEZEU ANNE CHANTAL</t>
  </si>
  <si>
    <t>ETKT 0719588273715</t>
  </si>
  <si>
    <t>00248/03/2025</t>
  </si>
  <si>
    <t>BILLET ENCORE OUVERT VALIDE 3 MOIS</t>
  </si>
  <si>
    <t>CHQ8815128</t>
  </si>
  <si>
    <t>00251/03/2025</t>
  </si>
  <si>
    <t>ZEBAZE DE ZEPIRO</t>
  </si>
  <si>
    <t xml:space="preserve"> KEMENA NGUEKEU/HERVE </t>
  </si>
  <si>
    <t xml:space="preserve">ZEBAZE DONFACK/PAULIN MARTIAL </t>
  </si>
  <si>
    <t xml:space="preserve">DLA-ABJ-NSI </t>
  </si>
  <si>
    <t>11MAY-13MAY</t>
  </si>
  <si>
    <t>00255/03/2025</t>
  </si>
  <si>
    <t>ETKT 0329588273717</t>
  </si>
  <si>
    <t>02APR-12APR</t>
  </si>
  <si>
    <t>00254/03/2025</t>
  </si>
  <si>
    <t>BIYAG ANTOINE ARMAND</t>
  </si>
  <si>
    <t>ETKT 0579588273716</t>
  </si>
  <si>
    <t>CPT-JNB</t>
  </si>
  <si>
    <t>27MAR.</t>
  </si>
  <si>
    <t>00252/03/2025</t>
  </si>
  <si>
    <t>ETKT 0833576108216</t>
  </si>
  <si>
    <t>00253/03/2025</t>
  </si>
  <si>
    <t>ETKT 0833578265427</t>
  </si>
  <si>
    <t>00256/03/2025</t>
  </si>
  <si>
    <t>ETKT 08230389682286</t>
  </si>
  <si>
    <t>SN-TP</t>
  </si>
  <si>
    <t>BRU-OPO-LIS-BRU</t>
  </si>
  <si>
    <t>15JUL-17JUL-20JUL</t>
  </si>
  <si>
    <t>00257/03/2025</t>
  </si>
  <si>
    <t>ETKT 0823578264993</t>
  </si>
  <si>
    <t>05APR-27APR</t>
  </si>
  <si>
    <t>00261/03/2025</t>
  </si>
  <si>
    <t>DJOFANG DARLY AYMAR</t>
  </si>
  <si>
    <t>ETKT 2359588273718</t>
  </si>
  <si>
    <t>28MAR-28MAR</t>
  </si>
  <si>
    <t>00263/03/2025</t>
  </si>
  <si>
    <t>MAKOUGANG BRIGITTE</t>
  </si>
  <si>
    <t>ETKT 0400300037066</t>
  </si>
  <si>
    <t>29MAR.</t>
  </si>
  <si>
    <t>00264/03/2025</t>
  </si>
  <si>
    <t>IST-NSI</t>
  </si>
  <si>
    <t>30MAR.</t>
  </si>
  <si>
    <t>00270/03/2025</t>
  </si>
  <si>
    <t>OWONO MESSI GUSTAVE MARIE</t>
  </si>
  <si>
    <t>ETKT 2359588261510</t>
  </si>
  <si>
    <t>SN-UA</t>
  </si>
  <si>
    <t>MEM-DLA</t>
  </si>
  <si>
    <t>05APR.</t>
  </si>
  <si>
    <t>00265/03/2025</t>
  </si>
  <si>
    <t>CAPTE</t>
  </si>
  <si>
    <t>DJEUGAP EPSE NTSAGUIM FERNANDE ALIENCE</t>
  </si>
  <si>
    <t>ETKT 0829588273720</t>
  </si>
  <si>
    <t xml:space="preserve">DLA-ABJ-DLA </t>
  </si>
  <si>
    <t>03APR-08APR</t>
  </si>
  <si>
    <t>00268/03/2025</t>
  </si>
  <si>
    <t>NGO BAYANAK EP ESSO BERNADETTE MARINA</t>
  </si>
  <si>
    <t>ETKT 4839588273721</t>
  </si>
  <si>
    <t xml:space="preserve">AVANCE </t>
  </si>
  <si>
    <t>00269/03/2025</t>
  </si>
  <si>
    <t>MOUSSA ABBA</t>
  </si>
  <si>
    <t>ETKT 0579588273722</t>
  </si>
  <si>
    <t>MRV-DLA-MRV</t>
  </si>
  <si>
    <t>03APR-14APR</t>
  </si>
  <si>
    <t>ETKT 0400300037064</t>
  </si>
  <si>
    <t>00266/03/2025</t>
  </si>
  <si>
    <t xml:space="preserve">ETOGO ASSE FREDERIQUE ESTELLE </t>
  </si>
  <si>
    <t>ETKT 0829049042148</t>
  </si>
  <si>
    <t>21APR-24APR</t>
  </si>
  <si>
    <t>00267/03/2025</t>
  </si>
  <si>
    <t>BABISSAGANA EMMANUEL NOEL</t>
  </si>
  <si>
    <t>ETKT 0829049042149</t>
  </si>
  <si>
    <t>00272/03/2025</t>
  </si>
  <si>
    <t>ETKT 4599588261513</t>
  </si>
  <si>
    <t>NSI-BGF</t>
  </si>
  <si>
    <t>04MAR.</t>
  </si>
  <si>
    <t>00274/03/2025-00288/04/2025</t>
  </si>
  <si>
    <t>REFUND 472980-304980=168000</t>
  </si>
  <si>
    <t>ETKT 0329588261512</t>
  </si>
  <si>
    <t>LFW-LBV</t>
  </si>
  <si>
    <t>02APR.</t>
  </si>
  <si>
    <t>00274/03/2025</t>
  </si>
  <si>
    <t>ALBACHIR ABDEL AZIZ MAHAMAT</t>
  </si>
  <si>
    <t>ETKT 0329588261514</t>
  </si>
  <si>
    <t>NSI-NDJ</t>
  </si>
  <si>
    <t>04APR.</t>
  </si>
  <si>
    <t>ETKT 0329588261515</t>
  </si>
  <si>
    <t>00275/03/2025</t>
  </si>
  <si>
    <t>ETKT 2770046551229</t>
  </si>
  <si>
    <t xml:space="preserve">DLA-NSI </t>
  </si>
  <si>
    <t>00273/03/2025</t>
  </si>
  <si>
    <t>REFUND INTEGRALLE (70980-41870 =29110</t>
  </si>
  <si>
    <t>ETKT 0400300037067</t>
  </si>
  <si>
    <t>IAD-DLA</t>
  </si>
  <si>
    <t>00271/03/2025</t>
  </si>
  <si>
    <t>SIMO ELISE</t>
  </si>
  <si>
    <t>ETKT 0712151610310</t>
  </si>
  <si>
    <t>3 PERSONNES</t>
  </si>
  <si>
    <t xml:space="preserve">CONSIEGERIE </t>
  </si>
  <si>
    <t>ELANGA</t>
  </si>
  <si>
    <t>BRU-HAV-BRU</t>
  </si>
  <si>
    <t>26MAR-01APR</t>
  </si>
  <si>
    <t>ETKT 0579588273709</t>
  </si>
  <si>
    <t>TARIF HT</t>
  </si>
  <si>
    <t>LIEU ACHAT</t>
  </si>
  <si>
    <t>04FEB-06FEB</t>
  </si>
  <si>
    <t>00096/02/2025</t>
  </si>
  <si>
    <t>OBIANG NCHAMA JOSE MIGUEL</t>
  </si>
  <si>
    <t>217 094</t>
  </si>
  <si>
    <t>120 800</t>
  </si>
  <si>
    <t>ETKT 27722785148</t>
  </si>
  <si>
    <t>06FEB.</t>
  </si>
  <si>
    <t>00097/02/2025</t>
  </si>
  <si>
    <t>EKOLO TSITSI CLEMENT JANVIER</t>
  </si>
  <si>
    <t>108 284</t>
  </si>
  <si>
    <t>75 800</t>
  </si>
  <si>
    <t>ETKT 27722785114</t>
  </si>
  <si>
    <t>00102/2/2025</t>
  </si>
  <si>
    <t>104 970</t>
  </si>
  <si>
    <t>80 000</t>
  </si>
  <si>
    <t>ETKT 49850000313098</t>
  </si>
  <si>
    <t>02FEB-04FEB</t>
  </si>
  <si>
    <t>NSI-SSG-NSI</t>
  </si>
  <si>
    <t>00095/02/2025</t>
  </si>
  <si>
    <t xml:space="preserve">180 000 </t>
  </si>
  <si>
    <t>ETKT 0325827796917</t>
  </si>
  <si>
    <t>00098/02/2025</t>
  </si>
  <si>
    <t>KEM NOUMEDEM EPOUSE AZEMKOUO FRANCOISE</t>
  </si>
  <si>
    <t>71 000</t>
  </si>
  <si>
    <t>28 900</t>
  </si>
  <si>
    <t>ETKT 4835827796920</t>
  </si>
  <si>
    <t>026/02/2025</t>
  </si>
  <si>
    <t>20FEB-23FEB</t>
  </si>
  <si>
    <t>00100/02/2025</t>
  </si>
  <si>
    <t>199 000</t>
  </si>
  <si>
    <t>ETKT 1475827796918</t>
  </si>
  <si>
    <t>CHQ 2342450</t>
  </si>
  <si>
    <t>MAGOUDJOU EPOUSE AZEMKOUO SUZANNE</t>
  </si>
  <si>
    <t>ETKT 4835827796919</t>
  </si>
  <si>
    <t>00101/02/2025</t>
  </si>
  <si>
    <t>ETKT 0572324013110</t>
  </si>
  <si>
    <t>PAR BLUEBERRY</t>
  </si>
  <si>
    <t>00099/02/2025</t>
  </si>
  <si>
    <t>ETKT 0572306439161</t>
  </si>
  <si>
    <t>03FEB-13FEB</t>
  </si>
  <si>
    <t>000104/02/2025</t>
  </si>
  <si>
    <t>210 000</t>
  </si>
  <si>
    <t>40 000</t>
  </si>
  <si>
    <t>145 486</t>
  </si>
  <si>
    <t>030/01/2025</t>
  </si>
  <si>
    <t>00105/02/2025</t>
  </si>
  <si>
    <t>ESONO OYANA ANGELICA MONAYONG</t>
  </si>
  <si>
    <t>386 600</t>
  </si>
  <si>
    <t>43 350</t>
  </si>
  <si>
    <t>ETKT 277228074439</t>
  </si>
  <si>
    <t>58 795</t>
  </si>
  <si>
    <t>220 845</t>
  </si>
  <si>
    <t>23 945</t>
  </si>
  <si>
    <t>0108/02/2024</t>
  </si>
  <si>
    <t>08FEB-09FEB</t>
  </si>
  <si>
    <t>BEAUVILLE</t>
  </si>
  <si>
    <t>00109/02/2025</t>
  </si>
  <si>
    <t>FR</t>
  </si>
  <si>
    <t>REF 4890315659</t>
  </si>
  <si>
    <t>40 895</t>
  </si>
  <si>
    <t>00106/20/2025</t>
  </si>
  <si>
    <t>153 600</t>
  </si>
  <si>
    <t>05FEB-08FEB</t>
  </si>
  <si>
    <t>0107/02/2025</t>
  </si>
  <si>
    <t>957 600</t>
  </si>
  <si>
    <t>1 299 799</t>
  </si>
  <si>
    <t>158 156</t>
  </si>
  <si>
    <t>ETKT 0325827796921</t>
  </si>
  <si>
    <t>00107/02/2025</t>
  </si>
  <si>
    <t>298 000</t>
  </si>
  <si>
    <t>552 775</t>
  </si>
  <si>
    <t>98 180</t>
  </si>
  <si>
    <t>ETKT 0325827796923</t>
  </si>
  <si>
    <t>ETKT 0325827796922</t>
  </si>
  <si>
    <t>00112/02/2025</t>
  </si>
  <si>
    <t>138 870</t>
  </si>
  <si>
    <t>010/03/2025</t>
  </si>
  <si>
    <t>NGUE ANNE GUILAINE</t>
  </si>
  <si>
    <t>19FEB-23FEB-26FEB</t>
  </si>
  <si>
    <t>DLA-DXB-RAK.CMN-LFW</t>
  </si>
  <si>
    <t>00113/02/2025</t>
  </si>
  <si>
    <t>1 384 600</t>
  </si>
  <si>
    <t>ETKT 1475827796925-926</t>
  </si>
  <si>
    <t>CHQ 8230438</t>
  </si>
  <si>
    <t>20FEB-27FEB</t>
  </si>
  <si>
    <t>00114/02/2025</t>
  </si>
  <si>
    <t>ETKT 1475827796924</t>
  </si>
  <si>
    <t>23FEB-27FEB</t>
  </si>
  <si>
    <t>00110/02/2025</t>
  </si>
  <si>
    <t>ASPROM</t>
  </si>
  <si>
    <t>AWATIO TCHINDA ALECE FRACIOLI</t>
  </si>
  <si>
    <t>ETKT 235582779697</t>
  </si>
  <si>
    <t>CHEQUE</t>
  </si>
  <si>
    <t>00117/02/2025</t>
  </si>
  <si>
    <t>07FEB-16FEB</t>
  </si>
  <si>
    <t>00115/02/2025</t>
  </si>
  <si>
    <t>MARAMA MANUACHE MARIO LORENZO</t>
  </si>
  <si>
    <t>220 770</t>
  </si>
  <si>
    <t>ETKT 49850000314552</t>
  </si>
  <si>
    <t>05MAR-11MAR</t>
  </si>
  <si>
    <t>00116/02/2025</t>
  </si>
  <si>
    <t>782 100</t>
  </si>
  <si>
    <t>ETKT 0829049042127</t>
  </si>
  <si>
    <t>19 370</t>
  </si>
  <si>
    <t>15FEB-</t>
  </si>
  <si>
    <t>DXB-DLA</t>
  </si>
  <si>
    <t>00119/02/2025</t>
  </si>
  <si>
    <t>WAFO MAURICE</t>
  </si>
  <si>
    <t>ETKT 0715827796928</t>
  </si>
  <si>
    <t>006/02/2025</t>
  </si>
  <si>
    <t>26 370</t>
  </si>
  <si>
    <t>00121/002/2025</t>
  </si>
  <si>
    <t>MR KENMOGNE</t>
  </si>
  <si>
    <t>KENMOGNE ALAIN MODESTE</t>
  </si>
  <si>
    <t>152 000</t>
  </si>
  <si>
    <t>ETKT 0715827796929</t>
  </si>
  <si>
    <t>007/02/2025</t>
  </si>
  <si>
    <t>00121/02/2025</t>
  </si>
  <si>
    <t>APALA ATONGO EPSE KENMOGNE GRACE</t>
  </si>
  <si>
    <t>ETKT 0715827796930</t>
  </si>
  <si>
    <t>03MAR-06MAR</t>
  </si>
  <si>
    <t>00122/02/2025</t>
  </si>
  <si>
    <t>KAMGAING MARC ETIENNE</t>
  </si>
  <si>
    <t>262 673</t>
  </si>
  <si>
    <t>ETKT 27722860831</t>
  </si>
  <si>
    <t>26FEB-28FEB</t>
  </si>
  <si>
    <t>00123/02/2025</t>
  </si>
  <si>
    <t>YE SENEH POWOH INNOCENT</t>
  </si>
  <si>
    <t>48 978</t>
  </si>
  <si>
    <t>ETKT 27722860417</t>
  </si>
  <si>
    <t>00124/02/2025</t>
  </si>
  <si>
    <t>BUNANG POUEME LIONEL FRANKY</t>
  </si>
  <si>
    <t>09FEB-11FEB</t>
  </si>
  <si>
    <t>SSG-COO-NSI</t>
  </si>
  <si>
    <t>00125/02/2025</t>
  </si>
  <si>
    <t>270 000</t>
  </si>
  <si>
    <t>ETKT 0325827796931</t>
  </si>
  <si>
    <t>16MAR-15APR</t>
  </si>
  <si>
    <t>00127/02/2025</t>
  </si>
  <si>
    <t>MR POKASSA ISTAMA</t>
  </si>
  <si>
    <t>CHOUAIBOU POKASSA</t>
  </si>
  <si>
    <t>ETKT 0829049042128</t>
  </si>
  <si>
    <t>09FEB-10FEB</t>
  </si>
  <si>
    <t>00129/02/2025</t>
  </si>
  <si>
    <t>86 100</t>
  </si>
  <si>
    <t>ETKT 4835827796932</t>
  </si>
  <si>
    <t>27FEB-03MAR</t>
  </si>
  <si>
    <t>00130/02/2025</t>
  </si>
  <si>
    <t>GAMGNE GUIADEM CATHERINE MARCELLE</t>
  </si>
  <si>
    <t>103 700</t>
  </si>
  <si>
    <t>ETKT 0325827796934</t>
  </si>
  <si>
    <t>09FEB-</t>
  </si>
  <si>
    <t>KGL-DLA</t>
  </si>
  <si>
    <t>00131/02/2025</t>
  </si>
  <si>
    <t>MR TEFOUELE</t>
  </si>
  <si>
    <t>TEFOUELO NECDEM PERIAT NEIL</t>
  </si>
  <si>
    <t>192 200</t>
  </si>
  <si>
    <t>ETKT 0715827796935</t>
  </si>
  <si>
    <t>011/02/2025</t>
  </si>
  <si>
    <t>MR BAYANG</t>
  </si>
  <si>
    <t>BAYANG JOB</t>
  </si>
  <si>
    <t>ETKT 0715827796937</t>
  </si>
  <si>
    <t>012/02/2025</t>
  </si>
  <si>
    <t>NH</t>
  </si>
  <si>
    <t>28JUN-12JUL</t>
  </si>
  <si>
    <t>BRU-NRT-BRU</t>
  </si>
  <si>
    <t>00133/02/2025</t>
  </si>
  <si>
    <t>HOT SAMORI NGANDE</t>
  </si>
  <si>
    <t>ETKT 2050675025979</t>
  </si>
  <si>
    <t>CHQ 8465699</t>
  </si>
  <si>
    <t>ETKT 2050675025978</t>
  </si>
  <si>
    <t>ETOGO ASSE FREDERIQUE ESTELLE</t>
  </si>
  <si>
    <t>ETKT 2050675025977</t>
  </si>
  <si>
    <t>08MAR-08APR</t>
  </si>
  <si>
    <t>00134/02/2025</t>
  </si>
  <si>
    <t>MR MENOUGA</t>
  </si>
  <si>
    <t>MENOUNGA NOMO JEAN GUIDEL</t>
  </si>
  <si>
    <t>162 900</t>
  </si>
  <si>
    <t>ETKT 2355827796939</t>
  </si>
  <si>
    <t>19/02/2025 04/03/2025</t>
  </si>
  <si>
    <t>OM       CAISSE</t>
  </si>
  <si>
    <t>16 970</t>
  </si>
  <si>
    <t>27FEB-01MAR</t>
  </si>
  <si>
    <t>00138/02/2025</t>
  </si>
  <si>
    <t>ETKT 27722923059</t>
  </si>
  <si>
    <t>00137/02/2025</t>
  </si>
  <si>
    <t>21FEB-29APR</t>
  </si>
  <si>
    <t>00139/02/2025</t>
  </si>
  <si>
    <t>MRS EYOUM</t>
  </si>
  <si>
    <t>DONGMO TEFACK EP EYOUM LINDA</t>
  </si>
  <si>
    <t>ETKT 0572306439210</t>
  </si>
  <si>
    <t>27/02/2025 05/03/2025 19/03/2025 13/05/2025</t>
  </si>
  <si>
    <t>216 960</t>
  </si>
  <si>
    <t>03MAY-</t>
  </si>
  <si>
    <t>00136/02/2025</t>
  </si>
  <si>
    <t>APLPHING KOUASSI LYNDA</t>
  </si>
  <si>
    <t>ETKT 0575827796941</t>
  </si>
  <si>
    <t>16FEB-27FEB</t>
  </si>
  <si>
    <t>DLA-MEX.CDG-DLA</t>
  </si>
  <si>
    <t>00140/02/2025</t>
  </si>
  <si>
    <t>ENAMA MARIE LAURE</t>
  </si>
  <si>
    <t>ETKT 0572306439211</t>
  </si>
  <si>
    <t>13MAR-20MAR</t>
  </si>
  <si>
    <t>00141/02/2025</t>
  </si>
  <si>
    <t>MR KAMGA</t>
  </si>
  <si>
    <t>KAMGA TCHOUAFA EPSE TCHALEU ROLANDE</t>
  </si>
  <si>
    <t>ETKT 4833578246895</t>
  </si>
  <si>
    <t>13MAR-16MAR</t>
  </si>
  <si>
    <t>00142/02/2025</t>
  </si>
  <si>
    <t>MR TCHALEU</t>
  </si>
  <si>
    <t>TCHALEU NGALEMO GILBERT</t>
  </si>
  <si>
    <t>ETKT 4833578246894</t>
  </si>
  <si>
    <t>00143/02/2025</t>
  </si>
  <si>
    <t>00144/02/2025</t>
  </si>
  <si>
    <t>190 000</t>
  </si>
  <si>
    <t>10/03/2025 28/03/2025</t>
  </si>
  <si>
    <t>20FEB-24FEB</t>
  </si>
  <si>
    <t>00145/02/2025</t>
  </si>
  <si>
    <t>SIMO KAMDEM JEANNE CLAIRE</t>
  </si>
  <si>
    <t>1 143 400</t>
  </si>
  <si>
    <t>ETKT 0715827796942</t>
  </si>
  <si>
    <t>27FEB-02MAR</t>
  </si>
  <si>
    <t>00146/02/2025</t>
  </si>
  <si>
    <t>ELECT INGENIERIE</t>
  </si>
  <si>
    <t>119 400</t>
  </si>
  <si>
    <t>ETKT 0325827796943</t>
  </si>
  <si>
    <t>CHQ8040578</t>
  </si>
  <si>
    <t>33 640</t>
  </si>
  <si>
    <t>19 170</t>
  </si>
  <si>
    <t>CHQ 8135107</t>
  </si>
  <si>
    <t>28FEB-13MAR</t>
  </si>
  <si>
    <t>00147/02/2025</t>
  </si>
  <si>
    <t>132 300</t>
  </si>
  <si>
    <t>ETKT 1245827796944-945</t>
  </si>
  <si>
    <t>17FEB-23FEB</t>
  </si>
  <si>
    <t>CDG-DLA.NSI-CDG</t>
  </si>
  <si>
    <t>00149/02/2025</t>
  </si>
  <si>
    <t>4 859 400</t>
  </si>
  <si>
    <t>ETKT 0575827796946</t>
  </si>
  <si>
    <t>19FEB-</t>
  </si>
  <si>
    <t>00152/02/2025</t>
  </si>
  <si>
    <t>129 900</t>
  </si>
  <si>
    <t>ETKT 49850000317788</t>
  </si>
  <si>
    <t>00153/02/2025</t>
  </si>
  <si>
    <t>ETKT 48950000316893</t>
  </si>
  <si>
    <t>14APR-24APR</t>
  </si>
  <si>
    <t>00154/02/2025</t>
  </si>
  <si>
    <t>MS NFANDA</t>
  </si>
  <si>
    <t>MS NFANDA CHERYL ORLANE</t>
  </si>
  <si>
    <t>141 100</t>
  </si>
  <si>
    <t>ETKT 2355827796947</t>
  </si>
  <si>
    <t>18FEB-26FEB</t>
  </si>
  <si>
    <t>00155/002/2025</t>
  </si>
  <si>
    <t>BOUKHEZZAR ABDELAZIZ</t>
  </si>
  <si>
    <t>122 900</t>
  </si>
  <si>
    <t>ETKT 1245827796948</t>
  </si>
  <si>
    <t>00150/02/2025</t>
  </si>
  <si>
    <t>TEZANOU KAFACK EPSE AZEMKOUO GEORGETTE</t>
  </si>
  <si>
    <t>ETKT 0824558574471</t>
  </si>
  <si>
    <t>00159/02/2025</t>
  </si>
  <si>
    <t>MASSOMA FRANCIA EDWINE ARNAULD</t>
  </si>
  <si>
    <t>361 600</t>
  </si>
  <si>
    <t>ETKT 0715827796949</t>
  </si>
  <si>
    <t>19FEB-23FEB</t>
  </si>
  <si>
    <t>00157/02/2025</t>
  </si>
  <si>
    <t>SELATSA KEALACK REINE AUDREY</t>
  </si>
  <si>
    <t>188 820</t>
  </si>
  <si>
    <t>ETKT 277004562099</t>
  </si>
  <si>
    <t>38 140</t>
  </si>
  <si>
    <t>21/02/2025 26/03/2025</t>
  </si>
  <si>
    <t>CAISSE      V/R  BB</t>
  </si>
  <si>
    <t>DOUBLE PAIEMENT</t>
  </si>
  <si>
    <t>23MAR-29MAR</t>
  </si>
  <si>
    <t>00163/02/2025</t>
  </si>
  <si>
    <t>FABBRI FILIPPO</t>
  </si>
  <si>
    <t>328 700</t>
  </si>
  <si>
    <t>ETKT 0829049042130</t>
  </si>
  <si>
    <t>DREYFUSS XAVIER DAVID</t>
  </si>
  <si>
    <t>328 701</t>
  </si>
  <si>
    <t>ETKT 0829049042129</t>
  </si>
  <si>
    <t>21FEB-</t>
  </si>
  <si>
    <t>00161/02/2025</t>
  </si>
  <si>
    <t>19FEB-21FEB</t>
  </si>
  <si>
    <t>00160/02/2025</t>
  </si>
  <si>
    <t>ILLIASSOU MOHAMADOU ABDEL AZIZ</t>
  </si>
  <si>
    <t>164 744</t>
  </si>
  <si>
    <t>306 000</t>
  </si>
  <si>
    <t>136 950</t>
  </si>
  <si>
    <t>ETKT 27723005235</t>
  </si>
  <si>
    <t>17MAR-03ARP</t>
  </si>
  <si>
    <t>MRS NJIA EP DRAULT</t>
  </si>
  <si>
    <t>NJIA EP DRAULT LAURE BEATRICE</t>
  </si>
  <si>
    <t>150 000</t>
  </si>
  <si>
    <t>431 220</t>
  </si>
  <si>
    <t>36 780</t>
  </si>
  <si>
    <t>ETKT 4599588273650</t>
  </si>
  <si>
    <t>20 130</t>
  </si>
  <si>
    <t>19MAR-23MAR</t>
  </si>
  <si>
    <t>BRU-NSI-BRU</t>
  </si>
  <si>
    <t>00168/02/2025</t>
  </si>
  <si>
    <t>372 600</t>
  </si>
  <si>
    <t>593 020</t>
  </si>
  <si>
    <t>77 930</t>
  </si>
  <si>
    <t>ETKT 0829049042131</t>
  </si>
  <si>
    <t>04MAR-06MAR</t>
  </si>
  <si>
    <t>00169/02/2025</t>
  </si>
  <si>
    <t>30 000</t>
  </si>
  <si>
    <t>20 000</t>
  </si>
  <si>
    <t>ETKT 2772302434</t>
  </si>
  <si>
    <t>22FEB-25FEB</t>
  </si>
  <si>
    <t>00164/02/2025</t>
  </si>
  <si>
    <t>MONSUY NFONO MARIANO MONSUY</t>
  </si>
  <si>
    <t>188 664</t>
  </si>
  <si>
    <t>465 100</t>
  </si>
  <si>
    <t>55 850</t>
  </si>
  <si>
    <t>ETKT 27723026956</t>
  </si>
  <si>
    <t>17 370</t>
  </si>
  <si>
    <t>22 330</t>
  </si>
  <si>
    <t>23FEB.</t>
  </si>
  <si>
    <t>IAD-CDG</t>
  </si>
  <si>
    <t>00166/02/2025</t>
  </si>
  <si>
    <t>ENAMA EPSE ONANA, MARIE LAURE</t>
  </si>
  <si>
    <t>4 498 100</t>
  </si>
  <si>
    <t>5 178 500</t>
  </si>
  <si>
    <t>192 800</t>
  </si>
  <si>
    <t>ETKT 0579588273651</t>
  </si>
  <si>
    <t>70 640</t>
  </si>
  <si>
    <t>30 160</t>
  </si>
  <si>
    <t>22FEB-26FEB</t>
  </si>
  <si>
    <t>00174/02/2025</t>
  </si>
  <si>
    <t>528 800</t>
  </si>
  <si>
    <t>777 120</t>
  </si>
  <si>
    <t>50 000</t>
  </si>
  <si>
    <t>ETKT 1479588273652</t>
  </si>
  <si>
    <t>CHQ 6217354</t>
  </si>
  <si>
    <t>DLA-BSG</t>
  </si>
  <si>
    <t>00172/02/2025</t>
  </si>
  <si>
    <t>274 250</t>
  </si>
  <si>
    <t>100 700</t>
  </si>
  <si>
    <t>ETKT 27723037661</t>
  </si>
  <si>
    <t>NVE BIYANG CELENDONIO</t>
  </si>
  <si>
    <t>16APR-16MAY</t>
  </si>
  <si>
    <t>DLA-IAD-DLA</t>
  </si>
  <si>
    <t>00175/02/2025</t>
  </si>
  <si>
    <t>MRS NGUENKAM</t>
  </si>
  <si>
    <t>NGUENKAM EPSE TCHOUAGA MARIE LOUISE</t>
  </si>
  <si>
    <t>683 120</t>
  </si>
  <si>
    <t>16 980</t>
  </si>
  <si>
    <t>ETKT 2353578250737</t>
  </si>
  <si>
    <t>00171/02/2025</t>
  </si>
  <si>
    <t>ABDEL AZIZ ILIASSOU MOHAMADOU</t>
  </si>
  <si>
    <t>ETKT 27723037208</t>
  </si>
  <si>
    <t>48 010</t>
  </si>
  <si>
    <t>NSI-SSG</t>
  </si>
  <si>
    <t>00176/02/2025</t>
  </si>
  <si>
    <t>303 300</t>
  </si>
  <si>
    <t>521 055</t>
  </si>
  <si>
    <t>77 895</t>
  </si>
  <si>
    <t>ETKT 0719588273654</t>
  </si>
  <si>
    <t>30 400</t>
  </si>
  <si>
    <t>67 400</t>
  </si>
  <si>
    <t>31 550</t>
  </si>
  <si>
    <t>ETKT 0719588273655</t>
  </si>
  <si>
    <t>25FEB.</t>
  </si>
  <si>
    <t>RAK-DLA</t>
  </si>
  <si>
    <t>00179/02/2025</t>
  </si>
  <si>
    <t>198 000</t>
  </si>
  <si>
    <t>ETKT 1479588273653</t>
  </si>
  <si>
    <t>24MAR-06APR</t>
  </si>
  <si>
    <t>00180/02/2025</t>
  </si>
  <si>
    <t>438 820</t>
  </si>
  <si>
    <t>70 080</t>
  </si>
  <si>
    <t>ETKT 0719588273658</t>
  </si>
  <si>
    <t>152 001</t>
  </si>
  <si>
    <t>ETKT 0719588273659</t>
  </si>
  <si>
    <t>15MAY-30MAY</t>
  </si>
  <si>
    <t>00181/02/2025</t>
  </si>
  <si>
    <t>261 820</t>
  </si>
  <si>
    <t>537 120</t>
  </si>
  <si>
    <t>53 830</t>
  </si>
  <si>
    <t>ETKT 0829049042132</t>
  </si>
  <si>
    <t>25FEB-07MAR</t>
  </si>
  <si>
    <t>DLA-BFG-DLA</t>
  </si>
  <si>
    <t>127 700</t>
  </si>
  <si>
    <t>366 255</t>
  </si>
  <si>
    <t>60 645</t>
  </si>
  <si>
    <t>ETKT 4599588273663</t>
  </si>
  <si>
    <t>02MAR-08MAR</t>
  </si>
  <si>
    <t>BLQ-DLA-BLQ</t>
  </si>
  <si>
    <t>FONTI LUCA</t>
  </si>
  <si>
    <t>1 162 400</t>
  </si>
  <si>
    <t>1 674 920</t>
  </si>
  <si>
    <t>56 030</t>
  </si>
  <si>
    <t>ETKT 2359588273660</t>
  </si>
  <si>
    <t>01MAR-12MAR</t>
  </si>
  <si>
    <t>DLA-LGW.CDG-DLA</t>
  </si>
  <si>
    <t>MR NJIFON</t>
  </si>
  <si>
    <t>NJIFON EPSE KAMGA</t>
  </si>
  <si>
    <t>98 600</t>
  </si>
  <si>
    <t>435 820</t>
  </si>
  <si>
    <t>34 980</t>
  </si>
  <si>
    <t>ETKT 0719588273661-662</t>
  </si>
  <si>
    <t>02MAR-06MAR</t>
  </si>
  <si>
    <t>SFAI CENTRAL AFRICA</t>
  </si>
  <si>
    <t>126 640</t>
  </si>
  <si>
    <t>10 310</t>
  </si>
  <si>
    <t>GOLIE</t>
  </si>
  <si>
    <t>ETKT 040030003739</t>
  </si>
  <si>
    <t>NANTCHOUANG FOTSO IVANS LOIC</t>
  </si>
  <si>
    <t>MX</t>
  </si>
  <si>
    <t>17FEB-19FEB</t>
  </si>
  <si>
    <t>MEXICO</t>
  </si>
  <si>
    <t>00186/02/2025</t>
  </si>
  <si>
    <t>459 200</t>
  </si>
  <si>
    <t>59 100</t>
  </si>
  <si>
    <t>REF 72061336931160</t>
  </si>
  <si>
    <t>00187/02/2025</t>
  </si>
  <si>
    <t>- 178 200</t>
  </si>
  <si>
    <t>26FEB.</t>
  </si>
  <si>
    <t>87 400</t>
  </si>
  <si>
    <t>260 455</t>
  </si>
  <si>
    <t>189 495</t>
  </si>
  <si>
    <t>ETKT 0329588273679</t>
  </si>
  <si>
    <t>SANDJON TCHAMBA GUY JEAN CLAUDE</t>
  </si>
  <si>
    <t>ETKT 0329588273678</t>
  </si>
  <si>
    <t>ETKT 0329588273677</t>
  </si>
  <si>
    <t>ETKT 0329588273676</t>
  </si>
  <si>
    <t>97 600</t>
  </si>
  <si>
    <t>28FEB.</t>
  </si>
  <si>
    <t>255 700</t>
  </si>
  <si>
    <t>43 250</t>
  </si>
  <si>
    <t>ETKT 4599588273681</t>
  </si>
  <si>
    <t>188/02/2025</t>
  </si>
  <si>
    <t>30 080</t>
  </si>
  <si>
    <t>00189/02/2025</t>
  </si>
  <si>
    <t>165 700</t>
  </si>
  <si>
    <t>306 155</t>
  </si>
  <si>
    <t>50 795</t>
  </si>
  <si>
    <t>ETKT 0719588273680</t>
  </si>
  <si>
    <t>07MAR.</t>
  </si>
  <si>
    <t>00190/02/2025</t>
  </si>
  <si>
    <t>ETKT 27723095675</t>
  </si>
  <si>
    <t>17JUL-21AUG</t>
  </si>
  <si>
    <t>MR EKWALLA</t>
  </si>
  <si>
    <t>EKWALLA EPSE EPEE MARTHE REINE</t>
  </si>
  <si>
    <t>116 500</t>
  </si>
  <si>
    <t>468 120</t>
  </si>
  <si>
    <t>31 980</t>
  </si>
  <si>
    <t>ETKT 1479588273682-683</t>
  </si>
  <si>
    <t>DLA-LFW</t>
  </si>
  <si>
    <t>256 600</t>
  </si>
  <si>
    <t>ETKT 0329588273684</t>
  </si>
  <si>
    <t>485020-415020=70000</t>
  </si>
  <si>
    <t>COM 15396</t>
  </si>
  <si>
    <t>06MAR-17APR</t>
  </si>
  <si>
    <t>MRS YOLANDE COTCO</t>
  </si>
  <si>
    <t>DIEUHOU DIEUNANG RANDY</t>
  </si>
  <si>
    <t>122 700</t>
  </si>
  <si>
    <t>417 020</t>
  </si>
  <si>
    <t>128 930</t>
  </si>
  <si>
    <t>ETKT 0719588273685</t>
  </si>
  <si>
    <t>250 000</t>
  </si>
  <si>
    <t>28/02/2025 08/05/2025 25/06/2025</t>
  </si>
  <si>
    <t>30-mars</t>
  </si>
  <si>
    <t>13SEP-21SEP</t>
  </si>
  <si>
    <t>DJEMAL KHALIFA</t>
  </si>
  <si>
    <t>152 200</t>
  </si>
  <si>
    <t>414 020</t>
  </si>
  <si>
    <t>71 880</t>
  </si>
  <si>
    <t>ETKT 0829049042133</t>
  </si>
  <si>
    <t>FEIZ AMIR ALI</t>
  </si>
  <si>
    <t>ETKT 0829049042134</t>
  </si>
  <si>
    <t>POLONIECKI JOSE GABRIEL</t>
  </si>
  <si>
    <t>ETKT 0829049042135</t>
  </si>
  <si>
    <t>- 1 000 000</t>
  </si>
  <si>
    <t>ETKT 0572306439199</t>
  </si>
  <si>
    <t>PARBLUEBERRY</t>
  </si>
  <si>
    <t>07MAR-11MAR</t>
  </si>
  <si>
    <t>00197/02/2025</t>
  </si>
  <si>
    <t>MRS LEUGA</t>
  </si>
  <si>
    <t>LEUGA EPSE KEUYAKANG EMILIENNE</t>
  </si>
  <si>
    <t>468 720</t>
  </si>
  <si>
    <t>11 280</t>
  </si>
  <si>
    <t>ETKT 2353578255106</t>
  </si>
  <si>
    <t>MR NTAMACK</t>
  </si>
  <si>
    <t>SEGNOU NGWEKEM SHANYS DARLAD</t>
  </si>
  <si>
    <t>652 900</t>
  </si>
  <si>
    <t>853 520</t>
  </si>
  <si>
    <t>41 430</t>
  </si>
  <si>
    <t>ETKT 0719588273686</t>
  </si>
  <si>
    <t>07MAR-13MAR</t>
  </si>
  <si>
    <t>NKENDA KINGUDI PATOU</t>
  </si>
  <si>
    <t>145 600</t>
  </si>
  <si>
    <t>392 305</t>
  </si>
  <si>
    <t>76 595</t>
  </si>
  <si>
    <t>ETKT 0329588273687</t>
  </si>
  <si>
    <t>17FEB-02MAR</t>
  </si>
  <si>
    <t>00008/01/2025</t>
  </si>
  <si>
    <t>KENFACK GUEFO EPSE JIOTSA EDWIGE</t>
  </si>
  <si>
    <t>ETKT 0575827796850</t>
  </si>
  <si>
    <t>03FEB-09FEB</t>
  </si>
  <si>
    <t>00051/01/2025</t>
  </si>
  <si>
    <t>ETKT 0829049042116</t>
  </si>
  <si>
    <t>00057/01/2025</t>
  </si>
  <si>
    <t>VISA MAROC</t>
  </si>
  <si>
    <t>00080/01/2025</t>
  </si>
  <si>
    <t>HERGEMENT</t>
  </si>
  <si>
    <t>20JAN.</t>
  </si>
  <si>
    <t>00037/01/2025</t>
  </si>
  <si>
    <t>ETKT 27722616419</t>
  </si>
  <si>
    <t>00053/01/2025</t>
  </si>
  <si>
    <t>00081/01/2025</t>
  </si>
  <si>
    <t>00060/01/2025</t>
  </si>
  <si>
    <t>31JAN-05FEB</t>
  </si>
  <si>
    <t>00065/01/2025</t>
  </si>
  <si>
    <t>ETKT 0829049042122</t>
  </si>
  <si>
    <t>00071/01/2025</t>
  </si>
  <si>
    <t>ETKT 0823038968286</t>
  </si>
  <si>
    <t>23JAN.</t>
  </si>
  <si>
    <t>NIM-DLA</t>
  </si>
  <si>
    <t>00012/01/2025</t>
  </si>
  <si>
    <t>ABDOULAYE ALIO MAHAMAN LAWAN</t>
  </si>
  <si>
    <t>ETKT 032587796855</t>
  </si>
  <si>
    <t>CHQ 8484219</t>
  </si>
  <si>
    <t>18MAR-02APR</t>
  </si>
  <si>
    <t>DLA-MEM-DLA</t>
  </si>
  <si>
    <t>00025/01/2025</t>
  </si>
  <si>
    <t xml:space="preserve">DJEUGAP EPSE NTSAGUIM FERNANDE ALIENCE </t>
  </si>
  <si>
    <t>ETKT 0825827796871-872</t>
  </si>
  <si>
    <t>CHQ 3023335</t>
  </si>
  <si>
    <t xml:space="preserve">NA IMMA AMADOU HAMIDOU </t>
  </si>
  <si>
    <t>14JAN-04FEB</t>
  </si>
  <si>
    <t>00014/01/2025</t>
  </si>
  <si>
    <t>ETKT 4595827796857</t>
  </si>
  <si>
    <t>09FEB-15FEB</t>
  </si>
  <si>
    <t>00055/01/2025</t>
  </si>
  <si>
    <t>YOUBISSI TOWO EPSE ZEINSE F  JUSTINE DIANE</t>
  </si>
  <si>
    <t>ETKT 0325827796893</t>
  </si>
  <si>
    <t xml:space="preserve">GNABE KOUKOU  MAWOUSSE </t>
  </si>
  <si>
    <t>ETKT 4595827796913</t>
  </si>
  <si>
    <t xml:space="preserve">MAKOUGAM BRIGITTE </t>
  </si>
  <si>
    <t>ETKT  0400300037020</t>
  </si>
  <si>
    <t>ETKT  0400300037021</t>
  </si>
  <si>
    <t>00068/01/20250</t>
  </si>
  <si>
    <t>00083/01/2025</t>
  </si>
  <si>
    <t>13FEB-02MAR</t>
  </si>
  <si>
    <t>00063/01/2025</t>
  </si>
  <si>
    <t xml:space="preserve">KAMGAING MARC </t>
  </si>
  <si>
    <t>ETKT 0572306439131</t>
  </si>
  <si>
    <t>07FEB-10FEB</t>
  </si>
  <si>
    <t>00082/01/2025</t>
  </si>
  <si>
    <t>ETKT 1762113933918</t>
  </si>
  <si>
    <t>07FEV-10FEB</t>
  </si>
  <si>
    <t>00085/01/2025</t>
  </si>
  <si>
    <t xml:space="preserve">WAFO MAURICE </t>
  </si>
  <si>
    <t>GOLLITE</t>
  </si>
  <si>
    <t>ETKT 0715827796914</t>
  </si>
  <si>
    <t>20JAN-05MAR</t>
  </si>
  <si>
    <t>00023/01/2025</t>
  </si>
  <si>
    <t xml:space="preserve">NICORA GUY CARLO ALPHONSE </t>
  </si>
  <si>
    <t>ETKT 0145827796875</t>
  </si>
  <si>
    <t>28JAN-31JAN</t>
  </si>
  <si>
    <t>00070/01/2025</t>
  </si>
  <si>
    <t>KETCH</t>
  </si>
  <si>
    <t xml:space="preserve">BETCHEM  NARCISSE </t>
  </si>
  <si>
    <t>ETKT 4835827796897</t>
  </si>
  <si>
    <t xml:space="preserve"> NGOUEN, EMMANUEL</t>
  </si>
  <si>
    <t>ETKT 4835827796898</t>
  </si>
  <si>
    <t>29JAN-31JAN</t>
  </si>
  <si>
    <t>ETKT 4835827796900</t>
  </si>
  <si>
    <t>ETKT 4835827796901</t>
  </si>
  <si>
    <t>00020/01/2025</t>
  </si>
  <si>
    <t>KUEDA</t>
  </si>
  <si>
    <t>ETKT 2355827796866</t>
  </si>
  <si>
    <t>20JAN-05FEB</t>
  </si>
  <si>
    <t>00009/01/2025</t>
  </si>
  <si>
    <t>Mme AZEMO</t>
  </si>
  <si>
    <t xml:space="preserve">DONFACK EPSE AZEMO CHANTALE </t>
  </si>
  <si>
    <t>ETKT 0715827796849</t>
  </si>
  <si>
    <t>15JAN.</t>
  </si>
  <si>
    <t>20FEB-07MAR</t>
  </si>
  <si>
    <t>00084/01/2025</t>
  </si>
  <si>
    <t>MR  TCHOUMBA</t>
  </si>
  <si>
    <t xml:space="preserve">TCHOUMBA EPSE NGANTCHUI BERLINE </t>
  </si>
  <si>
    <t>ETKT 2355827796909</t>
  </si>
  <si>
    <t>27JAN.</t>
  </si>
  <si>
    <t>00047/01/2025</t>
  </si>
  <si>
    <t>MR AZEMKOUO</t>
  </si>
  <si>
    <t>AZEMKOUO MARTIN</t>
  </si>
  <si>
    <t>ETKT 4835827796889</t>
  </si>
  <si>
    <t>CHQ</t>
  </si>
  <si>
    <t>04FEB.</t>
  </si>
  <si>
    <t>ETKT 4835827796890</t>
  </si>
  <si>
    <t>NSI-LHR</t>
  </si>
  <si>
    <t>00007/01/2025</t>
  </si>
  <si>
    <t>MR BELINGA</t>
  </si>
  <si>
    <t>BELINGA EBAH  ARIANE EMERAUDE DAPHNEE</t>
  </si>
  <si>
    <t>ETKT 1475827796848</t>
  </si>
  <si>
    <t>245 805</t>
  </si>
  <si>
    <t>16FEV-23FEB</t>
  </si>
  <si>
    <t>00019A/01/2025</t>
  </si>
  <si>
    <t>00062/01/2025</t>
  </si>
  <si>
    <t>MR IBOUMBOU</t>
  </si>
  <si>
    <t>IBOUMBOU RAOUL RODOLPHE</t>
  </si>
  <si>
    <t>ETKT 4835827796895</t>
  </si>
  <si>
    <t>28JAN-30JAN</t>
  </si>
  <si>
    <t>01232/01/2025</t>
  </si>
  <si>
    <t>ETKT 0325827796869</t>
  </si>
  <si>
    <t>1232/01/2025</t>
  </si>
  <si>
    <t>ETKT 0325827796868</t>
  </si>
  <si>
    <t>13JAN.</t>
  </si>
  <si>
    <t>DLA-BRE</t>
  </si>
  <si>
    <t>00011/01/2025</t>
  </si>
  <si>
    <t>MR KOAGNE</t>
  </si>
  <si>
    <t xml:space="preserve">KOAGNE TCHOUABEH ANGE VANELLE </t>
  </si>
  <si>
    <t>ETKT 2355827796851</t>
  </si>
  <si>
    <t>03FEB-20FEB</t>
  </si>
  <si>
    <t>00027/01/2025</t>
  </si>
  <si>
    <t>MR KONDA</t>
  </si>
  <si>
    <t>KONDA BOUJEKA PATRICK STEVE</t>
  </si>
  <si>
    <t>ETKT 1245827796870</t>
  </si>
  <si>
    <t>05JAN-02SEP</t>
  </si>
  <si>
    <t>00001/01/2025</t>
  </si>
  <si>
    <t xml:space="preserve">MR LENTEU </t>
  </si>
  <si>
    <t>ETKT 0575827796844</t>
  </si>
  <si>
    <t>18JAN.</t>
  </si>
  <si>
    <t>22JAN-27JAN</t>
  </si>
  <si>
    <t>TUN-NSI-TUN</t>
  </si>
  <si>
    <t>00033/01/2025</t>
  </si>
  <si>
    <t>MR MASMOUDI</t>
  </si>
  <si>
    <t>MASMOUDI TAIEB</t>
  </si>
  <si>
    <t>ETKT 1475827796878</t>
  </si>
  <si>
    <t>13JAN-20JAN</t>
  </si>
  <si>
    <t>00016/01/2025</t>
  </si>
  <si>
    <t>MR MASSOMA PERSO BANGE BANK</t>
  </si>
  <si>
    <t>EDO DIMOUNGUE DAROUCHKA ORPHELIA</t>
  </si>
  <si>
    <t>ETKT 4595827796860</t>
  </si>
  <si>
    <t>13JAN-13FEB</t>
  </si>
  <si>
    <t>NZINGGOULA EPSE MASSOMA DENISE FERNANDE</t>
  </si>
  <si>
    <t>ETKT 4595827796861</t>
  </si>
  <si>
    <t>03FEB.</t>
  </si>
  <si>
    <t xml:space="preserve">NSI-CDG </t>
  </si>
  <si>
    <t>00061/01/2025</t>
  </si>
  <si>
    <t xml:space="preserve">MR NGOTTA </t>
  </si>
  <si>
    <t xml:space="preserve">NGOTTA MBANG  FRANCIS ANDY </t>
  </si>
  <si>
    <t>ETKT 0715827796894</t>
  </si>
  <si>
    <t>04JAN-28FEB</t>
  </si>
  <si>
    <t>00003/01/2025</t>
  </si>
  <si>
    <t xml:space="preserve">TIANI VESSAH OLIVIA BIBIANA TCHANGAIN </t>
  </si>
  <si>
    <t>ETKT 0572306439023</t>
  </si>
  <si>
    <t>+237 6 93 00 52 59</t>
  </si>
  <si>
    <t>25JAN.</t>
  </si>
  <si>
    <t>00054/01/2025</t>
  </si>
  <si>
    <t>NNANGA BEKONO</t>
  </si>
  <si>
    <t>ETKT 0400200505780</t>
  </si>
  <si>
    <t xml:space="preserve">08JAN. </t>
  </si>
  <si>
    <t>00002/01/2025</t>
  </si>
  <si>
    <t xml:space="preserve">MR OUSMAN </t>
  </si>
  <si>
    <t xml:space="preserve">OUSMAN BABILA KEVIN </t>
  </si>
  <si>
    <t>ETKT 0575827796845</t>
  </si>
  <si>
    <t>+237 52071351</t>
  </si>
  <si>
    <t>00087/01/2025</t>
  </si>
  <si>
    <t xml:space="preserve">SOLLE GEREMIE </t>
  </si>
  <si>
    <t xml:space="preserve">MM HEUNA </t>
  </si>
  <si>
    <t>ETKT 4595827796910</t>
  </si>
  <si>
    <t>01FEB-01JUL</t>
  </si>
  <si>
    <t>00067/01/2025</t>
  </si>
  <si>
    <t>SONE EKOLO XAVIER YANNICK</t>
  </si>
  <si>
    <t>ETKT 0829049042123</t>
  </si>
  <si>
    <t>16/01/2025  28/01/2025 28/02/2025</t>
  </si>
  <si>
    <t>SONE EKOLO WELISANE XAVIER</t>
  </si>
  <si>
    <t>ETKT 0829049042124</t>
  </si>
  <si>
    <t>SONE EKOLO MALEA JULIENNE</t>
  </si>
  <si>
    <t>ETKT 0829049042125</t>
  </si>
  <si>
    <t>10JAN.</t>
  </si>
  <si>
    <t>NSI-MGQ</t>
  </si>
  <si>
    <t>00006/01/2025</t>
  </si>
  <si>
    <t>MR TEGUIMDJE</t>
  </si>
  <si>
    <t>TEGUIMDJE MBONDI EPSE KENNE CHRIS</t>
  </si>
  <si>
    <t>ETKT 0712149956593</t>
  </si>
  <si>
    <t>06FEB-26FEB</t>
  </si>
  <si>
    <t>DLA-PARDLA</t>
  </si>
  <si>
    <t>00021/01/2025</t>
  </si>
  <si>
    <t>MR TEUFACK</t>
  </si>
  <si>
    <t>TEUFACK PASCAL</t>
  </si>
  <si>
    <t>ETKT 0575827796865</t>
  </si>
  <si>
    <t>17/01/2025 30/01/2025</t>
  </si>
  <si>
    <t>08FEB-14FEB</t>
  </si>
  <si>
    <t>00030/01/2025</t>
  </si>
  <si>
    <t>MRS AFIAVI</t>
  </si>
  <si>
    <t>DALMEIDA EPSE MINYEBELE AFIAVI</t>
  </si>
  <si>
    <t>ETKT 0715827796876</t>
  </si>
  <si>
    <t>23JAN-26JAN</t>
  </si>
  <si>
    <t>00041/01/2025</t>
  </si>
  <si>
    <t>MRS AMBASSA</t>
  </si>
  <si>
    <t>AMBASSA NNOMO ADELAIDE</t>
  </si>
  <si>
    <t>ETKT 4833578235372</t>
  </si>
  <si>
    <t>14FEB-17FEB</t>
  </si>
  <si>
    <t>MRS ANGELE</t>
  </si>
  <si>
    <t>ANGELE BERLINE NDONGMO NGANA EPSE KANA</t>
  </si>
  <si>
    <t>ETKT 0829049042117</t>
  </si>
  <si>
    <t>25FEB-12MAR</t>
  </si>
  <si>
    <t>00035/01/2025</t>
  </si>
  <si>
    <t>MRS AZEMO</t>
  </si>
  <si>
    <t>DONFACK EPSE AZEMO  CHANTALE</t>
  </si>
  <si>
    <t>ETKT 0715827796880</t>
  </si>
  <si>
    <t>00043/01/2025</t>
  </si>
  <si>
    <t xml:space="preserve">BEBE ERNESTINE </t>
  </si>
  <si>
    <t>ETKT 4833578235373</t>
  </si>
  <si>
    <t>00034/01/2025</t>
  </si>
  <si>
    <t>ETKT 0821806317723</t>
  </si>
  <si>
    <t>05APR-13APR</t>
  </si>
  <si>
    <t>00036/01/2025</t>
  </si>
  <si>
    <t>ETKT 0715827796886</t>
  </si>
  <si>
    <t>ETKT 0715827796885</t>
  </si>
  <si>
    <t>ETKT 0715827796883</t>
  </si>
  <si>
    <t>ETKT 0715827796884</t>
  </si>
  <si>
    <t>00059/01/2025</t>
  </si>
  <si>
    <t xml:space="preserve">MRS ELANGA </t>
  </si>
  <si>
    <t>00026/01/2025</t>
  </si>
  <si>
    <t xml:space="preserve">MRS EUPHRASIE </t>
  </si>
  <si>
    <t>NZEUTCHO DJIEDOM EPSE NKOUMNGOCK EUPHASIE</t>
  </si>
  <si>
    <t>ETKT 27722585553</t>
  </si>
  <si>
    <t>08FEB-21FEB</t>
  </si>
  <si>
    <t>00049/01/2025</t>
  </si>
  <si>
    <t>EYOUM CAMELIA MYLANE</t>
  </si>
  <si>
    <t>ETKT 0829049042120</t>
  </si>
  <si>
    <t>31/01/2025 12/02/2025</t>
  </si>
  <si>
    <t>12JAN-20JAN</t>
  </si>
  <si>
    <t>00015/01/2025</t>
  </si>
  <si>
    <t>FRANCA SOSSO DIKOUME EMILIE AURORE</t>
  </si>
  <si>
    <t>ETKT 0715827796856</t>
  </si>
  <si>
    <t>PERTE</t>
  </si>
  <si>
    <t>VISA N EST ¨PAS SRTI</t>
  </si>
  <si>
    <t>14JAN-20JAN</t>
  </si>
  <si>
    <t>00017/01/2025</t>
  </si>
  <si>
    <t>BINTOU POUENGUE SOUMAI</t>
  </si>
  <si>
    <t>ETKT 0715827796862</t>
  </si>
  <si>
    <t>00032/01/2025</t>
  </si>
  <si>
    <t>ETKT 0715827796881</t>
  </si>
  <si>
    <t>00038/01/2025</t>
  </si>
  <si>
    <t>ETKT 0715827796882</t>
  </si>
  <si>
    <t>16FEB.</t>
  </si>
  <si>
    <t>00072/01/2025</t>
  </si>
  <si>
    <t xml:space="preserve">MRS JIOTSA </t>
  </si>
  <si>
    <t>FOLEFACK BRUNO</t>
  </si>
  <si>
    <t>ETKT 4835827796899</t>
  </si>
  <si>
    <t>23JAN-02FEB</t>
  </si>
  <si>
    <t>00042/01/2025</t>
  </si>
  <si>
    <t>MRS MAMBOU</t>
  </si>
  <si>
    <t>MAMBOU ELISE</t>
  </si>
  <si>
    <t>ETKT 4833578235371</t>
  </si>
  <si>
    <t>13FEB-17FEB</t>
  </si>
  <si>
    <t>00056/01/2025</t>
  </si>
  <si>
    <t>MRS NDONGMO</t>
  </si>
  <si>
    <t>NDONGMO NGANA EPSE NGANA ANGELE BERLINE</t>
  </si>
  <si>
    <t>ETKT 0829049042121</t>
  </si>
  <si>
    <t>23/01/2025 24/01/2025</t>
  </si>
  <si>
    <t>19APR-27APR-19MAY</t>
  </si>
  <si>
    <t>NSI-CDG-YUL-NSI</t>
  </si>
  <si>
    <t>00050/01/2025</t>
  </si>
  <si>
    <t>MRS NKONGO</t>
  </si>
  <si>
    <t>NKONGO NTOUBA SAMUEL</t>
  </si>
  <si>
    <t>ETKT 0823578236725-26</t>
  </si>
  <si>
    <t>26JAN-08FEB</t>
  </si>
  <si>
    <t>00029/01/2025</t>
  </si>
  <si>
    <t>MRS STEPHANIE</t>
  </si>
  <si>
    <t>DIAYO MASSAH STEPHANIE LAURE</t>
  </si>
  <si>
    <t>ETKT 0573578233305</t>
  </si>
  <si>
    <t>23JAN-05FEB</t>
  </si>
  <si>
    <t>00028/01/2025</t>
  </si>
  <si>
    <t xml:space="preserve">MRS SUZANNE </t>
  </si>
  <si>
    <t xml:space="preserve">WENDJA SUZANNE </t>
  </si>
  <si>
    <t>ETKT 1475827796879</t>
  </si>
  <si>
    <t>20/01/2025 24/01/2025</t>
  </si>
  <si>
    <t>OM            CAISSE</t>
  </si>
  <si>
    <t>11FEB.</t>
  </si>
  <si>
    <t>00090/01/2025</t>
  </si>
  <si>
    <t>ETKT 1475827796915</t>
  </si>
  <si>
    <t xml:space="preserve">TK </t>
  </si>
  <si>
    <t xml:space="preserve">25FEB-06MAR </t>
  </si>
  <si>
    <t>00045/01/2025</t>
  </si>
  <si>
    <t>MRS TCHETGNA</t>
  </si>
  <si>
    <t>TCHETGNA MICHELINE</t>
  </si>
  <si>
    <t>ETKT 2355827796888</t>
  </si>
  <si>
    <t>19JAN-30JAN</t>
  </si>
  <si>
    <t>00022/01/2025</t>
  </si>
  <si>
    <t>MRS TEIFOUET</t>
  </si>
  <si>
    <t>TEIFOUET HELENE</t>
  </si>
  <si>
    <t xml:space="preserve"> ETKT 0715827796864</t>
  </si>
  <si>
    <t>02FEB-09FEB</t>
  </si>
  <si>
    <t>00077/01/2025</t>
  </si>
  <si>
    <t xml:space="preserve"> KEMMOE TAKAMGANG /JOSEPH MR </t>
  </si>
  <si>
    <t>ETKT 4835827796905</t>
  </si>
  <si>
    <t>chq 6277125</t>
  </si>
  <si>
    <t>00078/01/2025</t>
  </si>
  <si>
    <t xml:space="preserve"> BEUTKA NGNOUNEWOU/SERGES BERTRAND MR </t>
  </si>
  <si>
    <t>ETKT 4835827796906</t>
  </si>
  <si>
    <t>00079/01/2025</t>
  </si>
  <si>
    <t>NGAHANG FONGANG/JAURES LEOVANNI MR</t>
  </si>
  <si>
    <t>ETKT 4835827796907</t>
  </si>
  <si>
    <t>17APR-27APR</t>
  </si>
  <si>
    <t>FLW-CDG-LFW</t>
  </si>
  <si>
    <t>00039/01/2025</t>
  </si>
  <si>
    <t>RAF 24</t>
  </si>
  <si>
    <t>YHAYE JENNIFER OULOASSIA</t>
  </si>
  <si>
    <t>ETKT 0575827796887</t>
  </si>
  <si>
    <t>27JAN-01FEB</t>
  </si>
  <si>
    <t>00024/01/2025</t>
  </si>
  <si>
    <t>ETKT 4835827796874</t>
  </si>
  <si>
    <t>ETKT 4835827796873</t>
  </si>
  <si>
    <t>17/01/2025    21/01/2025</t>
  </si>
  <si>
    <t>01233/01/2025</t>
  </si>
  <si>
    <t>ETKT 0325827796867</t>
  </si>
  <si>
    <t>00031/01/2025</t>
  </si>
  <si>
    <t>ETKT 0715827796877</t>
  </si>
  <si>
    <t>CHQ 8858614</t>
  </si>
  <si>
    <t>24JAN-26JAN</t>
  </si>
  <si>
    <t>00048/01/2025</t>
  </si>
  <si>
    <t>CHQ 8858613</t>
  </si>
  <si>
    <t>24/012025</t>
  </si>
  <si>
    <t>00058/01/2025</t>
  </si>
  <si>
    <t>CHQ 8619295</t>
  </si>
  <si>
    <t>30JAN-02FEB</t>
  </si>
  <si>
    <t>LFW-ROB-DLA</t>
  </si>
  <si>
    <t>00074/01/2025</t>
  </si>
  <si>
    <t>ETKT 0325827796902</t>
  </si>
  <si>
    <t>CHQ 8230436</t>
  </si>
  <si>
    <t xml:space="preserve">31JAN-02FEB </t>
  </si>
  <si>
    <t>00089/01/2025</t>
  </si>
  <si>
    <t>FONKOUA  KUMO ROMEO ARISTIDE</t>
  </si>
  <si>
    <t>ETKT 49850000312398</t>
  </si>
  <si>
    <t>CHQ 8256818</t>
  </si>
  <si>
    <t>ROB-DLA</t>
  </si>
  <si>
    <t>00088/01/2025</t>
  </si>
  <si>
    <t>ETKT 0325827796912</t>
  </si>
  <si>
    <t>CHQ 8230435</t>
  </si>
  <si>
    <t>01FEB.</t>
  </si>
  <si>
    <t>00094/01/2025</t>
  </si>
  <si>
    <t>ETKT 0325827796916</t>
  </si>
  <si>
    <t>CHQ 8230437</t>
  </si>
  <si>
    <t>00075/01/2025</t>
  </si>
  <si>
    <t>DIMO NGUENANG BORIS DAMIEN</t>
  </si>
  <si>
    <t>ETKT 4835827793903</t>
  </si>
  <si>
    <t>15/05/2025 24/06/2025</t>
  </si>
  <si>
    <t>06JAN.</t>
  </si>
  <si>
    <t>ZYR-FIH</t>
  </si>
  <si>
    <t>00005/01/2025</t>
  </si>
  <si>
    <t>ETKT 0573578227066</t>
  </si>
  <si>
    <t>FIH-LFW</t>
  </si>
  <si>
    <t>ETKT 0325827796847</t>
  </si>
  <si>
    <t>12JAN.</t>
  </si>
  <si>
    <t>LFW-DSS</t>
  </si>
  <si>
    <t>ETKT 0325827796846</t>
  </si>
  <si>
    <t>ETKT 4903578227067</t>
  </si>
  <si>
    <t>14JAN-15JAN</t>
  </si>
  <si>
    <t>NKC- DSS-ABJ</t>
  </si>
  <si>
    <t>ETKT 4903578227069</t>
  </si>
  <si>
    <t>11JAN.</t>
  </si>
  <si>
    <t>00013/01/2025</t>
  </si>
  <si>
    <t>ETKT 0325827796854</t>
  </si>
  <si>
    <t>14JAN.</t>
  </si>
  <si>
    <t>ETKT 0325827796852</t>
  </si>
  <si>
    <t>ETKT 4903578229741</t>
  </si>
  <si>
    <t>15JAN-16JAN</t>
  </si>
  <si>
    <t>ETKT 4903578229744</t>
  </si>
  <si>
    <t>25MAR-04JUN</t>
  </si>
  <si>
    <t>00052/01/2025</t>
  </si>
  <si>
    <t>ETKT 0829049042119</t>
  </si>
  <si>
    <t>29MAR-05APR</t>
  </si>
  <si>
    <t>ZYR-HAV-ZYR</t>
  </si>
  <si>
    <t>00066/01/2025</t>
  </si>
  <si>
    <t xml:space="preserve">ETKT 0575827796896            </t>
  </si>
  <si>
    <t>CHQ 8465700</t>
  </si>
  <si>
    <t>12FEB-18FEB</t>
  </si>
  <si>
    <t>00076/01/2025</t>
  </si>
  <si>
    <t>SOFIPAC</t>
  </si>
  <si>
    <t>TCHOKOUANI KAMON EPSE NJIMGOU LEATITIA</t>
  </si>
  <si>
    <t>EKTK 4595827796904</t>
  </si>
  <si>
    <t>28/01/2025 21/05/2025</t>
  </si>
  <si>
    <t xml:space="preserve">DLA-GOU-DLA </t>
  </si>
  <si>
    <t xml:space="preserve">TERRAFOUNDATION </t>
  </si>
  <si>
    <t xml:space="preserve">SOBGO NGOUAJIO TSOBLEFACK </t>
  </si>
  <si>
    <t>10FEB-18FEB</t>
  </si>
  <si>
    <t>DLA-CDG.BRU-DLA</t>
  </si>
  <si>
    <t>00073/01/2025</t>
  </si>
  <si>
    <t>TEZANOU KAFACK EPSE  AZEMKOUO GEORGETTE</t>
  </si>
  <si>
    <t>ETKT 0829049042126</t>
  </si>
  <si>
    <t xml:space="preserve">BILAN GENERAL DE TABLEAU MARGE BENEFICIAIRE </t>
  </si>
  <si>
    <t>PROJECTED 2025</t>
  </si>
  <si>
    <t>JANV</t>
  </si>
  <si>
    <t>FEV</t>
  </si>
  <si>
    <t>MARS</t>
  </si>
  <si>
    <t>AVRIL</t>
  </si>
  <si>
    <t>MAI</t>
  </si>
  <si>
    <t>JUIN</t>
  </si>
  <si>
    <t>JUIL</t>
  </si>
  <si>
    <t>AOUT</t>
  </si>
  <si>
    <t>SEPT</t>
  </si>
  <si>
    <t>OCT</t>
  </si>
  <si>
    <t>NOV</t>
  </si>
  <si>
    <t>DEC</t>
  </si>
  <si>
    <r>
      <t/>
    </r>
    <r>
      <rPr>
        <sz val="11"/>
        <color rgb="FF000000"/>
        <rFont val="Calibri"/>
        <family val="2"/>
        <scheme val="minor"/>
      </rPr>
      <t xml:space="preserve">left </t>
    </r>
    <r>
      <rPr>
        <sz val="11"/>
        <color rgb="FFff0000"/>
        <rFont val="Calibri"/>
        <family val="2"/>
        <scheme val="minor"/>
      </rPr>
      <t>13,816,262</t>
    </r>
    <r>
      <rPr>
        <sz val="11"/>
        <color rgb="FF000000"/>
        <rFont val="Calibri"/>
        <family val="2"/>
        <scheme val="minor"/>
      </rPr>
      <t xml:space="preserve"> to BEP with 2019 MARGE DE BENEFICIAIRE </t>
    </r>
  </si>
  <si>
    <r>
      <t/>
    </r>
    <r>
      <rPr>
        <sz val="11"/>
        <color rgb="FF000000"/>
        <rFont val="Calibri"/>
        <family val="2"/>
        <scheme val="minor"/>
      </rPr>
      <t>left</t>
    </r>
    <r>
      <rPr>
        <sz val="11"/>
        <color rgb="FFff0000"/>
        <rFont val="Calibri"/>
        <family val="2"/>
        <scheme val="minor"/>
      </rPr>
      <t xml:space="preserve"> 990,340</t>
    </r>
    <r>
      <rPr>
        <sz val="11"/>
        <color rgb="FF000000"/>
        <rFont val="Calibri"/>
        <family val="2"/>
        <scheme val="minor"/>
      </rPr>
      <t xml:space="preserve"> to BEP with 2020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</si>
</sst>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0">
    <numFmt numFmtId="164" formatCode="d mmm yyyy"/>
    <numFmt numFmtId="165" formatCode="mm-dd-yyyy"/>
    <numFmt numFmtId="166" formatCode="dd/mm/yyyy"/>
    <numFmt numFmtId="167" formatCode="dd/mm/yy"/>
    <numFmt numFmtId="168" formatCode="dd mmm yyyy"/>
    <numFmt numFmtId="169" formatCode="dmmmm"/>
    <numFmt numFmtId="170" formatCode="dmmm yyyy"/>
    <numFmt numFmtId="171" formatCode="dmmm"/>
    <numFmt numFmtId="172" formatCode="d-mmm-yyyy"/>
    <numFmt numFmtId="173" formatCode="dd/mm/yy;@"/>
  </numFmts>
  <fonts count="5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Arial"/>
      <family val="2"/>
    </font>
    <font>
      <sz val="9"/>
      <color rgb="FF333333"/>
      <name val="Arial"/>
      <family val="2"/>
    </font>
    <font>
      <sz val="10"/>
      <color rgb="FF1d2228"/>
      <name val="Arial Unicode MS"/>
      <family val="2"/>
    </font>
    <font>
      <sz val="8"/>
      <color rgb="FF1d2228"/>
      <name val="Arial"/>
      <family val="2"/>
    </font>
    <font>
      <sz val="11"/>
      <color rgb="FFff0000"/>
      <name val="Calibri"/>
      <family val="2"/>
    </font>
    <font>
      <b/>
      <sz val="26"/>
      <color rgb="FF000000"/>
      <name val="Calibri"/>
      <family val="2"/>
    </font>
    <font>
      <sz val="9"/>
      <color rgb="FF222222"/>
      <name val="&quot;Arial Unicode MS&quot;"/>
      <family val="2"/>
    </font>
    <font>
      <b/>
      <sz val="8"/>
      <color rgb="FF222222"/>
      <name val="Arial"/>
      <family val="2"/>
    </font>
    <font>
      <b/>
      <sz val="9"/>
      <color rgb="FF222222"/>
      <name val="&quot;Arial Unicode MS&quot;"/>
      <family val="2"/>
    </font>
    <font>
      <sz val="11"/>
      <color rgb="FF222222"/>
      <name val="Calibri"/>
      <family val="2"/>
    </font>
    <font>
      <sz val="12"/>
      <color rgb="FF000000"/>
      <name val="Calibri"/>
      <family val="2"/>
    </font>
    <font>
      <sz val="11"/>
      <color rgb="FF1d2228"/>
      <name val="Arial Unicode MS"/>
      <family val="2"/>
    </font>
    <font>
      <sz val="11"/>
      <color rgb="FF1d2228"/>
      <name val="Calibri"/>
      <family val="2"/>
    </font>
    <font>
      <sz val="10"/>
      <color rgb="FF000000"/>
      <name val="Calibri"/>
      <family val="2"/>
    </font>
    <font>
      <sz val="9"/>
      <color rgb="FF1d2228"/>
      <name val="Calibri"/>
      <family val="2"/>
    </font>
    <font>
      <sz val="10"/>
      <color rgb="FF1d2228"/>
      <name val="Calibri"/>
      <family val="2"/>
    </font>
    <font>
      <sz val="12"/>
      <color rgb="FF1d2228"/>
      <name val="Calibri"/>
      <family val="2"/>
    </font>
    <font>
      <i/>
      <sz val="11"/>
      <color rgb="FF000000"/>
      <name val="Calibri"/>
      <family val="2"/>
    </font>
    <font>
      <sz val="12"/>
      <color rgb="FF222222"/>
      <name val="Calibri"/>
      <family val="2"/>
    </font>
    <font>
      <sz val="9"/>
      <color rgb="FF1d2228"/>
      <name val="Arial"/>
      <family val="2"/>
    </font>
    <font>
      <sz val="11"/>
      <color rgb="FF1d2228"/>
      <name val="Courier New"/>
      <family val="2"/>
    </font>
    <font>
      <sz val="11"/>
      <color rgb="FF000000"/>
      <name val="Courier New"/>
      <family val="2"/>
    </font>
    <font>
      <sz val="11"/>
      <color rgb="FF000000"/>
      <name val="Times New Roman"/>
      <family val="2"/>
    </font>
    <font>
      <sz val="10"/>
      <color rgb="FF333333"/>
      <name val="Pg-3ff1"/>
      <family val="2"/>
    </font>
    <font>
      <sz val="10"/>
      <color rgb="FF333333"/>
      <name val="AktivGrotesk-Medium"/>
      <family val="2"/>
    </font>
    <font>
      <sz val="12"/>
      <color rgb="FF1f1f1f"/>
      <name val="Calibri"/>
      <family val="2"/>
    </font>
    <font>
      <sz val="10"/>
      <color rgb="FF000000"/>
      <name val="Arial"/>
      <family val="2"/>
    </font>
    <font>
      <b/>
      <sz val="11"/>
      <color rgb="FF007d05"/>
      <name val="Arial"/>
      <family val="2"/>
    </font>
    <font>
      <sz val="10"/>
      <color rgb="FF007d05"/>
      <name val="Arial"/>
      <family val="2"/>
    </font>
    <font>
      <sz val="9"/>
      <color rgb="FF000000"/>
      <name val="Microsoft Sans Serif"/>
      <family val="2"/>
    </font>
    <font>
      <b/>
      <sz val="12"/>
      <color rgb="FF222222"/>
      <name val="Arial"/>
      <family val="2"/>
    </font>
    <font>
      <b/>
      <sz val="13"/>
      <color rgb="FF000000"/>
      <name val="Calibri"/>
      <family val="2"/>
    </font>
    <font>
      <sz val="11"/>
      <color rgb="FF333333"/>
      <name val="Arial"/>
      <family val="2"/>
    </font>
    <font>
      <sz val="12"/>
      <color rgb="FF333333"/>
      <name val="AktivGrotesk-Medium"/>
      <family val="2"/>
    </font>
    <font>
      <sz val="18"/>
      <color rgb="FF333333"/>
      <name val="Arial"/>
      <family val="2"/>
    </font>
    <font>
      <sz val="11"/>
      <color rgb="FF212529"/>
      <name val="&quot;Nunito Sans&quot;"/>
      <family val="2"/>
    </font>
    <font>
      <sz val="9"/>
      <color rgb="FF000000"/>
      <name val="Arial"/>
      <family val="2"/>
    </font>
    <font>
      <sz val="9"/>
      <color rgb="FF3e5162"/>
      <name val="Arial"/>
      <family val="2"/>
    </font>
    <font>
      <sz val="12"/>
      <color rgb="FF222222"/>
      <name val="Poppins"/>
      <family val="2"/>
    </font>
    <font>
      <b/>
      <sz val="11"/>
      <color rgb="FF007d05"/>
      <name val="Poppins"/>
      <family val="2"/>
    </font>
    <font>
      <sz val="9"/>
      <color rgb="FFffffff"/>
      <name val="Arial"/>
      <family val="2"/>
    </font>
    <font>
      <sz val="9"/>
      <color rgb="FF222222"/>
      <name val="Arimo"/>
      <family val="2"/>
    </font>
    <font>
      <b/>
      <sz val="9"/>
      <color rgb="FF222222"/>
      <name val="Arimo"/>
      <family val="2"/>
    </font>
    <font>
      <sz val="11"/>
      <color rgb="FF202124"/>
      <name val="Calibri"/>
      <family val="2"/>
    </font>
    <font>
      <sz val="11"/>
      <color rgb="FF202124"/>
      <name val="Arial"/>
      <family val="2"/>
    </font>
    <font>
      <sz val="11"/>
      <color rgb="FFffffff"/>
      <name val="Calibri"/>
      <family val="2"/>
    </font>
    <font>
      <sz val="9"/>
      <color rgb="FF000000"/>
      <name val="Calibri"/>
      <family val="2"/>
    </font>
    <font>
      <b/>
      <sz val="11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c000"/>
      </patternFill>
    </fill>
    <fill>
      <patternFill patternType="solid">
        <fgColor rgb="FF7f7f7f"/>
      </patternFill>
    </fill>
    <fill>
      <patternFill patternType="solid">
        <fgColor rgb="FFffff00"/>
      </patternFill>
    </fill>
    <fill>
      <patternFill patternType="solid">
        <fgColor rgb="FFb7e1cd"/>
      </patternFill>
    </fill>
    <fill>
      <patternFill patternType="solid">
        <fgColor rgb="FF5b9bd5"/>
      </patternFill>
    </fill>
    <fill>
      <patternFill patternType="solid">
        <fgColor rgb="FFff5050"/>
      </patternFill>
    </fill>
    <fill>
      <patternFill patternType="solid">
        <fgColor rgb="FF9dc3e6"/>
      </patternFill>
    </fill>
    <fill>
      <patternFill patternType="solid">
        <fgColor rgb="FFf8cbad"/>
      </patternFill>
    </fill>
    <fill>
      <patternFill patternType="solid">
        <fgColor rgb="FFbfbfbf"/>
      </patternFill>
    </fill>
    <fill>
      <patternFill patternType="solid">
        <fgColor rgb="FF92d050"/>
      </patternFill>
    </fill>
    <fill>
      <patternFill patternType="solid">
        <fgColor rgb="FFd9d9d9"/>
      </patternFill>
    </fill>
    <fill>
      <patternFill patternType="solid">
        <fgColor rgb="FFed7d31"/>
      </patternFill>
    </fill>
    <fill>
      <patternFill patternType="solid">
        <fgColor rgb="FFa5a5a5"/>
      </patternFill>
    </fill>
    <fill>
      <patternFill patternType="solid">
        <fgColor rgb="FF00ff00"/>
      </patternFill>
    </fill>
    <fill>
      <patternFill patternType="solid">
        <fgColor rgb="FFefefef"/>
      </patternFill>
    </fill>
    <fill>
      <patternFill patternType="solid">
        <fgColor rgb="FF6f6f6f"/>
      </patternFill>
    </fill>
    <fill>
      <patternFill patternType="solid">
        <fgColor rgb="FFff99cc"/>
      </patternFill>
    </fill>
    <fill>
      <patternFill patternType="solid">
        <fgColor rgb="FFa9d08e"/>
      </patternFill>
    </fill>
    <fill>
      <patternFill patternType="solid">
        <fgColor rgb="FFc55a11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dcdcdc"/>
      </left>
      <right style="medium">
        <color rgb="FFdcdcdc"/>
      </right>
      <top style="medium">
        <color rgb="FFdcdcdc"/>
      </top>
      <bottom style="thin">
        <color rgb="FFc6c6c6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medium">
        <color rgb="FF828282"/>
      </left>
      <right style="thin">
        <color rgb="FFc6c6c6"/>
      </right>
      <top style="medium">
        <color rgb="FF828282"/>
      </top>
      <bottom style="medium">
        <color rgb="FF828282"/>
      </bottom>
      <diagonal/>
    </border>
    <border>
      <left style="thin">
        <color rgb="FFc6c6c6"/>
      </left>
      <right style="medium">
        <color rgb="FF828282"/>
      </right>
      <top style="medium">
        <color rgb="FF828282"/>
      </top>
      <bottom style="medium">
        <color rgb="FF828282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2">
    <xf xfId="0" numFmtId="0" borderId="0" fontId="0" fillId="0"/>
    <xf xfId="0" numFmtId="14" applyNumberFormat="1" borderId="1" applyBorder="1" fontId="1" applyFont="1" fillId="0" applyAlignment="1">
      <alignment horizontal="left"/>
    </xf>
    <xf xfId="0" numFmtId="1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14" applyNumberFormat="1" borderId="2" applyBorder="1" fontId="3" applyFont="1" fillId="0" applyAlignment="1">
      <alignment horizontal="left"/>
    </xf>
    <xf xfId="0" numFmtId="1" applyNumberFormat="1" borderId="2" applyBorder="1" fontId="3" applyFont="1" fillId="2" applyFill="1" applyAlignment="1">
      <alignment horizontal="left"/>
    </xf>
    <xf xfId="0" numFmtId="0" borderId="2" applyBorder="1" fontId="3" applyFont="1" fillId="0" applyAlignment="1">
      <alignment horizontal="left"/>
    </xf>
    <xf xfId="0" numFmtId="0" borderId="2" applyBorder="1" fontId="3" applyFont="1" fillId="0" applyAlignment="1">
      <alignment horizontal="center"/>
    </xf>
    <xf xfId="0" numFmtId="3" applyNumberFormat="1" borderId="2" applyBorder="1" fontId="3" applyFont="1" fillId="0" applyAlignment="1">
      <alignment horizontal="center"/>
    </xf>
    <xf xfId="0" numFmtId="14" applyNumberFormat="1" borderId="2" applyBorder="1" fontId="1" applyFont="1" fillId="0" applyAlignment="1">
      <alignment horizontal="left"/>
    </xf>
    <xf xfId="0" numFmtId="1" applyNumberFormat="1" borderId="2" applyBorder="1" fontId="1" applyFont="1" fillId="2" applyFill="1" applyAlignment="1">
      <alignment horizontal="left"/>
    </xf>
    <xf xfId="0" numFmtId="0" borderId="2" applyBorder="1" fontId="1" applyFont="1" fillId="0" applyAlignment="1">
      <alignment horizontal="left"/>
    </xf>
    <xf xfId="0" numFmtId="0" borderId="2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right"/>
    </xf>
    <xf xfId="0" numFmtId="16" applyNumberFormat="1" borderId="2" applyBorder="1" fontId="1" applyFont="1" fillId="0" applyAlignment="1">
      <alignment horizontal="left"/>
    </xf>
    <xf xfId="0" numFmtId="164" applyNumberFormat="1" borderId="2" applyBorder="1" fontId="1" applyFont="1" fillId="2" applyFill="1" applyAlignment="1">
      <alignment horizontal="left"/>
    </xf>
    <xf xfId="0" numFmtId="14" applyNumberFormat="1" borderId="0" fontId="0" fillId="0" applyAlignment="1">
      <alignment horizontal="left"/>
    </xf>
    <xf xfId="0" numFmtId="1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14" applyNumberFormat="1" borderId="2" applyBorder="1" fontId="4" applyFont="1" fillId="0" applyAlignment="1">
      <alignment horizontal="left"/>
    </xf>
    <xf xfId="0" numFmtId="0" borderId="2" applyBorder="1" fontId="4" applyFont="1" fillId="0" applyAlignment="1">
      <alignment horizontal="left"/>
    </xf>
    <xf xfId="0" numFmtId="3" applyNumberFormat="1" borderId="2" applyBorder="1" fontId="4" applyFont="1" fillId="0" applyAlignment="1">
      <alignment horizontal="left"/>
    </xf>
    <xf xfId="0" numFmtId="3" applyNumberFormat="1" borderId="3" applyBorder="1" fontId="1" applyFont="1" fillId="3" applyFill="1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2" applyBorder="1" fontId="1" applyFont="1" fillId="2" applyFill="1" applyAlignment="1">
      <alignment horizontal="left"/>
    </xf>
    <xf xfId="0" numFmtId="0" borderId="4" applyBorder="1" fontId="1" applyFont="1" fillId="0" applyAlignment="1">
      <alignment horizontal="left"/>
    </xf>
    <xf xfId="0" numFmtId="3" applyNumberFormat="1" borderId="3" applyBorder="1" fontId="1" applyFont="1" fillId="3" applyFill="1" applyAlignment="1">
      <alignment horizontal="right"/>
    </xf>
    <xf xfId="0" numFmtId="0" borderId="1" applyBorder="1" fontId="5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4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5" applyBorder="1" fontId="4" applyFont="1" fillId="3" applyFill="1" applyAlignment="1">
      <alignment horizontal="left"/>
    </xf>
    <xf xfId="0" numFmtId="3" applyNumberFormat="1" borderId="6" applyBorder="1" fontId="4" applyFont="1" fillId="0" applyAlignment="1">
      <alignment horizontal="left"/>
    </xf>
    <xf xfId="0" numFmtId="3" applyNumberFormat="1" borderId="4" applyBorder="1" fontId="1" applyFont="1" fillId="0" applyAlignment="1">
      <alignment horizontal="right"/>
    </xf>
    <xf xfId="0" numFmtId="3" applyNumberFormat="1" borderId="4" applyBorder="1" fontId="1" applyFont="1" fillId="0" applyAlignment="1">
      <alignment horizontal="left"/>
    </xf>
    <xf xfId="0" numFmtId="14" applyNumberFormat="1" borderId="2" applyBorder="1" fontId="1" applyFont="1" fillId="4" applyFill="1" applyAlignment="1">
      <alignment horizontal="left"/>
    </xf>
    <xf xfId="0" numFmtId="0" borderId="2" applyBorder="1" fontId="1" applyFont="1" fillId="4" applyFill="1" applyAlignment="1">
      <alignment horizontal="left"/>
    </xf>
    <xf xfId="0" numFmtId="3" applyNumberFormat="1" borderId="2" applyBorder="1" fontId="1" applyFont="1" fillId="4" applyFill="1" applyAlignment="1">
      <alignment horizontal="right"/>
    </xf>
    <xf xfId="0" numFmtId="0" borderId="7" applyBorder="1" fontId="1" applyFont="1" fillId="4" applyFill="1" applyAlignment="1">
      <alignment horizontal="left"/>
    </xf>
    <xf xfId="0" numFmtId="3" applyNumberFormat="1" borderId="7" applyBorder="1" fontId="1" applyFont="1" fillId="4" applyFill="1" applyAlignment="1">
      <alignment horizontal="left"/>
    </xf>
    <xf xfId="0" numFmtId="0" borderId="4" applyBorder="1" fontId="1" applyFont="1" fillId="0" applyAlignment="1">
      <alignment horizontal="left" wrapText="1"/>
    </xf>
    <xf xfId="0" numFmtId="0" borderId="8" applyBorder="1" fontId="1" applyFont="1" fillId="2" applyFill="1" applyAlignment="1">
      <alignment horizontal="left" wrapText="1"/>
    </xf>
    <xf xfId="0" numFmtId="3" applyNumberFormat="1" borderId="3" applyBorder="1" fontId="6" applyFont="1" fillId="2" applyFill="1" applyAlignment="1">
      <alignment horizontal="right" wrapText="1"/>
    </xf>
    <xf xfId="0" numFmtId="14" applyNumberFormat="1" borderId="2" applyBorder="1" fontId="1" applyFont="1" fillId="3" applyFill="1" applyAlignment="1">
      <alignment horizontal="left"/>
    </xf>
    <xf xfId="0" numFmtId="0" borderId="2" applyBorder="1" fontId="1" applyFont="1" fillId="3" applyFill="1" applyAlignment="1">
      <alignment horizontal="left"/>
    </xf>
    <xf xfId="0" numFmtId="3" applyNumberFormat="1" borderId="2" applyBorder="1" fontId="1" applyFont="1" fillId="3" applyFill="1" applyAlignment="1">
      <alignment horizontal="right"/>
    </xf>
    <xf xfId="0" numFmtId="0" borderId="3" applyBorder="1" fontId="5" applyFont="1" fillId="3" applyFill="1" applyAlignment="1">
      <alignment horizontal="left"/>
    </xf>
    <xf xfId="0" numFmtId="3" applyNumberFormat="1" borderId="7" applyBorder="1" fontId="1" applyFont="1" fillId="3" applyFill="1" applyAlignment="1">
      <alignment horizontal="left"/>
    </xf>
    <xf xfId="0" numFmtId="14" applyNumberFormat="1" borderId="2" applyBorder="1" fontId="1" applyFont="1" fillId="5" applyFill="1" applyAlignment="1">
      <alignment horizontal="left"/>
    </xf>
    <xf xfId="0" numFmtId="0" borderId="2" applyBorder="1" fontId="1" applyFont="1" fillId="5" applyFill="1" applyAlignment="1">
      <alignment horizontal="left"/>
    </xf>
    <xf xfId="0" numFmtId="3" applyNumberFormat="1" borderId="2" applyBorder="1" fontId="1" applyFont="1" fillId="5" applyFill="1" applyAlignment="1">
      <alignment horizontal="right"/>
    </xf>
    <xf xfId="0" numFmtId="0" borderId="3" applyBorder="1" fontId="5" applyFont="1" fillId="5" applyFill="1" applyAlignment="1">
      <alignment horizontal="left"/>
    </xf>
    <xf xfId="0" numFmtId="3" applyNumberFormat="1" borderId="7" applyBorder="1" fontId="1" applyFont="1" fillId="5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1" applyBorder="1" fontId="7" applyFont="1" fillId="0" applyAlignment="1">
      <alignment horizontal="left"/>
    </xf>
    <xf xfId="0" numFmtId="0" borderId="1" applyBorder="1" fontId="8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3" applyNumberFormat="1" borderId="2" applyBorder="1" fontId="4" applyFont="1" fillId="0" applyAlignment="1">
      <alignment horizontal="right"/>
    </xf>
    <xf xfId="0" numFmtId="3" applyNumberFormat="1" borderId="2" applyBorder="1" fontId="1" applyFont="1" fillId="0" applyAlignment="1">
      <alignment horizontal="left"/>
    </xf>
    <xf xfId="0" numFmtId="14" applyNumberFormat="1" borderId="0" fontId="0" fillId="0" applyAlignment="1">
      <alignment horizontal="right"/>
    </xf>
    <xf xfId="0" numFmtId="0" borderId="0" fontId="0" fillId="0" applyAlignment="1">
      <alignment horizontal="right"/>
    </xf>
    <xf xfId="0" numFmtId="3" applyNumberFormat="1" borderId="2" applyBorder="1" fontId="9" applyFont="1" fillId="2" applyFill="1" applyAlignment="1">
      <alignment horizontal="right"/>
    </xf>
    <xf xfId="0" numFmtId="3" applyNumberFormat="1" borderId="2" applyBorder="1" fontId="1" applyFont="1" fillId="2" applyFill="1" applyAlignment="1">
      <alignment horizontal="right"/>
    </xf>
    <xf xfId="0" numFmtId="0" borderId="2" applyBorder="1" fontId="1" applyFont="1" fillId="0" applyAlignment="1">
      <alignment horizontal="left" wrapText="1"/>
    </xf>
    <xf xfId="0" numFmtId="14" applyNumberFormat="1" borderId="9" applyBorder="1" fontId="10" applyFont="1" fillId="0" applyAlignment="1">
      <alignment horizontal="center"/>
    </xf>
    <xf xfId="0" numFmtId="0" borderId="9" applyBorder="1" fontId="1" applyFont="1" fillId="0" applyAlignment="1">
      <alignment horizontal="left"/>
    </xf>
    <xf xfId="0" numFmtId="3" applyNumberFormat="1" borderId="9" applyBorder="1" fontId="1" applyFont="1" fillId="0" applyAlignment="1">
      <alignment horizontal="left"/>
    </xf>
    <xf xfId="0" numFmtId="14" applyNumberFormat="1" borderId="2" applyBorder="1" fontId="4" applyFont="1" fillId="0" applyAlignment="1">
      <alignment horizontal="center" wrapText="1"/>
    </xf>
    <xf xfId="0" numFmtId="0" borderId="2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center"/>
    </xf>
    <xf xfId="0" numFmtId="14" applyNumberFormat="1" borderId="2" applyBorder="1" fontId="2" applyFont="1" fillId="0" applyAlignment="1">
      <alignment horizontal="center"/>
    </xf>
    <xf xfId="0" numFmtId="0" borderId="4" applyBorder="1" fontId="2" applyFont="1" fillId="0" applyAlignment="1">
      <alignment horizontal="center"/>
    </xf>
    <xf xfId="0" numFmtId="0" borderId="10" applyBorder="1" fontId="1" applyFont="1" fillId="0" applyAlignment="1">
      <alignment horizontal="left"/>
    </xf>
    <xf xfId="0" numFmtId="0" borderId="11" applyBorder="1" fontId="1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14" applyNumberFormat="1" borderId="4" applyBorder="1" fontId="2" applyFont="1" fillId="0" applyAlignment="1">
      <alignment horizontal="center"/>
    </xf>
    <xf xfId="0" numFmtId="14" applyNumberFormat="1" borderId="4" applyBorder="1" fontId="1" applyFont="1" fillId="0" applyAlignment="1">
      <alignment horizontal="left"/>
    </xf>
    <xf xfId="0" numFmtId="165" applyNumberFormat="1" borderId="1" applyBorder="1" fontId="4" applyFont="1" fillId="0" applyAlignment="1">
      <alignment horizontal="left"/>
    </xf>
    <xf xfId="0" numFmtId="7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center"/>
    </xf>
    <xf xfId="0" numFmtId="165" applyNumberFormat="1" borderId="2" applyBorder="1" fontId="4" applyFont="1" fillId="0" applyAlignment="1">
      <alignment horizontal="left"/>
    </xf>
    <xf xfId="0" numFmtId="0" borderId="2" applyBorder="1" fontId="4" applyFont="1" fillId="0" applyAlignment="1">
      <alignment horizontal="center"/>
    </xf>
    <xf xfId="0" numFmtId="0" borderId="2" applyBorder="1" fontId="4" applyFont="1" fillId="2" applyFill="1" applyAlignment="1">
      <alignment horizontal="center"/>
    </xf>
    <xf xfId="0" numFmtId="3" applyNumberFormat="1" borderId="2" applyBorder="1" fontId="4" applyFont="1" fillId="0" applyAlignment="1">
      <alignment horizontal="center"/>
    </xf>
    <xf xfId="0" numFmtId="7" applyNumberFormat="1" borderId="2" applyBorder="1" fontId="4" applyFont="1" fillId="0" applyAlignment="1">
      <alignment horizontal="center"/>
    </xf>
    <xf xfId="0" numFmtId="4" applyNumberFormat="1" borderId="2" applyBorder="1" fontId="4" applyFont="1" fillId="0" applyAlignment="1">
      <alignment horizontal="center"/>
    </xf>
    <xf xfId="0" numFmtId="165" applyNumberFormat="1" borderId="2" applyBorder="1" fontId="1" applyFont="1" fillId="0" applyAlignment="1">
      <alignment horizontal="left"/>
    </xf>
    <xf xfId="0" numFmtId="3" applyNumberFormat="1" borderId="11" applyBorder="1" fontId="1" applyFont="1" fillId="0" applyAlignment="1">
      <alignment horizontal="left"/>
    </xf>
    <xf xfId="0" numFmtId="7" applyNumberFormat="1" borderId="11" applyBorder="1" fontId="1" applyFont="1" fillId="0" applyAlignment="1">
      <alignment horizontal="right"/>
    </xf>
    <xf xfId="0" numFmtId="4" applyNumberFormat="1" borderId="11" applyBorder="1" fontId="1" applyFont="1" fillId="0" applyAlignment="1">
      <alignment horizontal="right"/>
    </xf>
    <xf xfId="0" numFmtId="165" applyNumberFormat="1" borderId="12" applyBorder="1" fontId="1" applyFont="1" fillId="0" applyAlignment="1">
      <alignment horizontal="left"/>
    </xf>
    <xf xfId="0" numFmtId="0" borderId="13" applyBorder="1" fontId="1" applyFont="1" fillId="0" applyAlignment="1">
      <alignment horizontal="left"/>
    </xf>
    <xf xfId="0" numFmtId="3" applyNumberFormat="1" borderId="13" applyBorder="1" fontId="1" applyFont="1" fillId="0" applyAlignment="1">
      <alignment horizontal="left"/>
    </xf>
    <xf xfId="0" numFmtId="7" applyNumberFormat="1" borderId="13" applyBorder="1" fontId="1" applyFont="1" fillId="0" applyAlignment="1">
      <alignment horizontal="right"/>
    </xf>
    <xf xfId="0" numFmtId="7" applyNumberFormat="1" borderId="13" applyBorder="1" fontId="11" applyFont="1" fillId="0" applyAlignment="1">
      <alignment horizontal="right"/>
    </xf>
    <xf xfId="0" numFmtId="7" applyNumberFormat="1" borderId="14" applyBorder="1" fontId="1" applyFont="1" fillId="2" applyFill="1" applyAlignment="1">
      <alignment horizontal="right"/>
    </xf>
    <xf xfId="0" numFmtId="0" borderId="13" applyBorder="1" fontId="1" applyFont="1" fillId="0" applyAlignment="1">
      <alignment horizontal="right"/>
    </xf>
    <xf xfId="0" numFmtId="0" borderId="1" applyBorder="1" fontId="12" applyFont="1" fillId="0" applyAlignment="1">
      <alignment horizontal="right"/>
    </xf>
    <xf xfId="0" numFmtId="0" borderId="1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0" borderId="12" applyBorder="1" fontId="1" applyFont="1" fillId="0" applyAlignment="1">
      <alignment horizontal="left"/>
    </xf>
    <xf xfId="0" numFmtId="165" applyNumberFormat="1" borderId="15" applyBorder="1" fontId="1" applyFont="1" fillId="6" applyFill="1" applyAlignment="1">
      <alignment horizontal="left"/>
    </xf>
    <xf xfId="0" numFmtId="165" applyNumberFormat="1" borderId="15" applyBorder="1" fontId="1" applyFont="1" fillId="6" applyFill="1" applyAlignment="1">
      <alignment horizontal="left" wrapText="1"/>
    </xf>
    <xf xfId="0" numFmtId="4" applyNumberFormat="1" borderId="1" applyBorder="1" fontId="1" applyFont="1" fillId="0" applyAlignment="1">
      <alignment horizontal="right"/>
    </xf>
    <xf xfId="0" numFmtId="7" applyNumberFormat="1" borderId="11" applyBorder="1" fontId="1" applyFont="1" fillId="0" applyAlignment="1">
      <alignment horizontal="left"/>
    </xf>
    <xf xfId="0" numFmtId="4" applyNumberFormat="1" borderId="13" applyBorder="1" fontId="1" applyFont="1" fillId="0" applyAlignment="1">
      <alignment horizontal="right"/>
    </xf>
    <xf xfId="0" numFmtId="3" applyNumberFormat="1" borderId="13" applyBorder="1" fontId="1" applyFont="1" fillId="0" applyAlignment="1">
      <alignment horizontal="right"/>
    </xf>
    <xf xfId="0" numFmtId="165" applyNumberFormat="1" borderId="4" applyBorder="1" fontId="1" applyFont="1" fillId="0" applyAlignment="1">
      <alignment horizontal="left"/>
    </xf>
    <xf xfId="0" numFmtId="3" applyNumberFormat="1" borderId="10" applyBorder="1" fontId="1" applyFont="1" fillId="0" applyAlignment="1">
      <alignment horizontal="left"/>
    </xf>
    <xf xfId="0" numFmtId="165" applyNumberFormat="1" borderId="1" applyBorder="1" fontId="1" applyFont="1" fillId="0" applyAlignment="1">
      <alignment horizontal="left"/>
    </xf>
    <xf xfId="0" numFmtId="0" borderId="1" applyBorder="1" fontId="9" applyFont="1" fillId="0" applyAlignment="1">
      <alignment horizontal="left"/>
    </xf>
    <xf xfId="0" numFmtId="3" applyNumberFormat="1" borderId="1" applyBorder="1" fontId="11" applyFont="1" fillId="0" applyAlignment="1">
      <alignment horizontal="left"/>
    </xf>
    <xf xfId="0" numFmtId="0" borderId="1" applyBorder="1" fontId="11" applyFont="1" fillId="0" applyAlignment="1">
      <alignment horizontal="left"/>
    </xf>
    <xf xfId="0" numFmtId="4" applyNumberFormat="1" borderId="1" applyBorder="1" fontId="11" applyFont="1" fillId="0" applyAlignment="1">
      <alignment horizontal="right"/>
    </xf>
    <xf xfId="0" numFmtId="3" applyNumberFormat="1" borderId="1" applyBorder="1" fontId="13" applyFont="1" fillId="0" applyAlignment="1">
      <alignment horizontal="left"/>
    </xf>
    <xf xfId="0" numFmtId="0" borderId="1" applyBorder="1" fontId="13" applyFont="1" fillId="0" applyAlignment="1">
      <alignment horizontal="left"/>
    </xf>
    <xf xfId="0" numFmtId="0" borderId="1" applyBorder="1" fontId="9" applyFont="1" fillId="0" applyAlignment="1">
      <alignment horizontal="center"/>
    </xf>
    <xf xfId="0" numFmtId="7" applyNumberFormat="1" borderId="1" applyBorder="1" fontId="9" applyFont="1" fillId="0" applyAlignment="1">
      <alignment horizontal="right"/>
    </xf>
    <xf xfId="0" numFmtId="3" applyNumberFormat="1" borderId="1" applyBorder="1" fontId="9" applyFont="1" fillId="0" applyAlignment="1">
      <alignment horizontal="left"/>
    </xf>
    <xf xfId="0" numFmtId="4" applyNumberFormat="1" borderId="1" applyBorder="1" fontId="9" applyFont="1" fillId="0" applyAlignment="1">
      <alignment horizontal="right"/>
    </xf>
    <xf xfId="0" numFmtId="4" applyNumberFormat="1" borderId="1" applyBorder="1" fontId="9" applyFont="1" fillId="0" applyAlignment="1">
      <alignment horizontal="center"/>
    </xf>
    <xf xfId="0" numFmtId="165" applyNumberFormat="1" borderId="0" fontId="0" fillId="0" applyAlignment="1">
      <alignment horizontal="left"/>
    </xf>
    <xf xfId="0" numFmtId="7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1" applyNumberFormat="1" borderId="2" applyBorder="1" fontId="1" applyFont="1" fillId="5" applyFill="1" applyAlignment="1">
      <alignment horizontal="left"/>
    </xf>
    <xf xfId="0" numFmtId="0" borderId="2" applyBorder="1" fontId="1" applyFont="1" fillId="5" applyFill="1" applyAlignment="1">
      <alignment horizontal="center"/>
    </xf>
    <xf xfId="0" numFmtId="3" applyNumberFormat="1" borderId="2" applyBorder="1" fontId="1" applyFont="1" fillId="5" applyFill="1" applyAlignment="1">
      <alignment horizontal="center"/>
    </xf>
    <xf xfId="0" numFmtId="16" applyNumberFormat="1" borderId="2" applyBorder="1" fontId="1" applyFont="1" fillId="5" applyFill="1" applyAlignment="1">
      <alignment horizontal="left"/>
    </xf>
    <xf xfId="0" numFmtId="0" borderId="2" applyBorder="1" fontId="9" applyFont="1" fillId="0" applyAlignment="1">
      <alignment horizontal="left"/>
    </xf>
    <xf xfId="0" numFmtId="14" applyNumberFormat="1" borderId="2" applyBorder="1" fontId="1" applyFont="1" fillId="7" applyFill="1" applyAlignment="1">
      <alignment horizontal="left"/>
    </xf>
    <xf xfId="0" numFmtId="1" applyNumberFormat="1" borderId="2" applyBorder="1" fontId="1" applyFont="1" fillId="7" applyFill="1" applyAlignment="1">
      <alignment horizontal="left"/>
    </xf>
    <xf xfId="0" numFmtId="0" borderId="2" applyBorder="1" fontId="1" applyFont="1" fillId="7" applyFill="1" applyAlignment="1">
      <alignment horizontal="left"/>
    </xf>
    <xf xfId="0" numFmtId="0" borderId="2" applyBorder="1" fontId="1" applyFont="1" fillId="7" applyFill="1" applyAlignment="1">
      <alignment horizontal="center"/>
    </xf>
    <xf xfId="0" numFmtId="3" applyNumberFormat="1" borderId="2" applyBorder="1" fontId="1" applyFont="1" fillId="7" applyFill="1" applyAlignment="1">
      <alignment horizontal="center"/>
    </xf>
    <xf xfId="0" numFmtId="0" borderId="2" applyBorder="1" fontId="14" applyFont="1" fillId="0" applyAlignment="1">
      <alignment horizontal="center"/>
    </xf>
    <xf xfId="0" numFmtId="3" applyNumberFormat="1" borderId="2" applyBorder="1" fontId="14" applyFont="1" fillId="0" applyAlignment="1">
      <alignment horizontal="center"/>
    </xf>
    <xf xfId="0" numFmtId="164" applyNumberFormat="1" borderId="2" applyBorder="1" fontId="1" applyFont="1" fillId="7" applyFill="1" applyAlignment="1">
      <alignment horizontal="left"/>
    </xf>
    <xf xfId="0" numFmtId="14" applyNumberFormat="1" borderId="16" applyBorder="1" fontId="1" applyFont="1" fillId="0" applyAlignment="1">
      <alignment horizontal="left"/>
    </xf>
    <xf xfId="0" numFmtId="1" applyNumberFormat="1" borderId="17" applyBorder="1" fontId="1" applyFont="1" fillId="2" applyFill="1" applyAlignment="1">
      <alignment horizontal="left"/>
    </xf>
    <xf xfId="0" numFmtId="0" borderId="16" applyBorder="1" fontId="1" applyFont="1" fillId="0" applyAlignment="1">
      <alignment horizontal="left"/>
    </xf>
    <xf xfId="0" numFmtId="0" borderId="16" applyBorder="1" fontId="1" applyFont="1" fillId="0" applyAlignment="1">
      <alignment horizontal="center"/>
    </xf>
    <xf xfId="0" numFmtId="3" applyNumberFormat="1" borderId="16" applyBorder="1" fontId="1" applyFont="1" fillId="0" applyAlignment="1">
      <alignment horizontal="center"/>
    </xf>
    <xf xfId="0" numFmtId="164" applyNumberFormat="1" borderId="3" applyBorder="1" fontId="1" applyFont="1" fillId="2" applyFill="1" applyAlignment="1">
      <alignment horizontal="left"/>
    </xf>
    <xf xfId="0" numFmtId="3" applyNumberFormat="1" borderId="12" applyBorder="1" fontId="1" applyFont="1" fillId="0" applyAlignment="1">
      <alignment horizontal="center"/>
    </xf>
    <xf xfId="0" numFmtId="1" applyNumberFormat="1" borderId="2" applyBorder="1" fontId="4" applyFont="1" fillId="0" applyAlignment="1">
      <alignment horizontal="left"/>
    </xf>
    <xf xfId="0" numFmtId="14" applyNumberFormat="1" borderId="2" applyBorder="1" fontId="1" applyFont="1" fillId="8" applyFill="1" applyAlignment="1">
      <alignment horizontal="left"/>
    </xf>
    <xf xfId="0" numFmtId="0" borderId="2" applyBorder="1" fontId="1" applyFont="1" fillId="8" applyFill="1" applyAlignment="1">
      <alignment horizontal="center"/>
    </xf>
    <xf xfId="0" numFmtId="1" applyNumberFormat="1" borderId="2" applyBorder="1" fontId="1" applyFont="1" fillId="8" applyFill="1" applyAlignment="1">
      <alignment horizontal="left"/>
    </xf>
    <xf xfId="0" numFmtId="0" borderId="2" applyBorder="1" fontId="1" applyFont="1" fillId="8" applyFill="1" applyAlignment="1">
      <alignment horizontal="left"/>
    </xf>
    <xf xfId="0" numFmtId="3" applyNumberFormat="1" borderId="2" applyBorder="1" fontId="1" applyFont="1" fillId="8" applyFill="1" applyAlignment="1">
      <alignment horizontal="right"/>
    </xf>
    <xf xfId="0" numFmtId="3" applyNumberFormat="1" borderId="2" applyBorder="1" fontId="1" applyFont="1" fillId="8" applyFill="1" applyAlignment="1">
      <alignment horizontal="center"/>
    </xf>
    <xf xfId="0" numFmtId="14" applyNumberFormat="1" borderId="2" applyBorder="1" fontId="1" applyFont="1" fillId="8" applyFill="1" applyAlignment="1">
      <alignment horizontal="left" wrapText="1"/>
    </xf>
    <xf xfId="0" numFmtId="4" applyNumberFormat="1" borderId="2" applyBorder="1" fontId="1" applyFont="1" fillId="8" applyFill="1" applyAlignment="1">
      <alignment horizontal="right"/>
    </xf>
    <xf xfId="0" numFmtId="1" applyNumberFormat="1" borderId="2" applyBorder="1" fontId="1" applyFont="1" fillId="0" applyAlignment="1">
      <alignment horizontal="left"/>
    </xf>
    <xf xfId="0" numFmtId="164" applyNumberFormat="1" borderId="2" applyBorder="1" fontId="1" applyFont="1" fillId="0" applyAlignment="1">
      <alignment horizontal="left"/>
    </xf>
    <xf xfId="0" numFmtId="14" applyNumberFormat="1" borderId="2" applyBorder="1" fontId="1" applyFont="1" fillId="2" applyFill="1" applyAlignment="1">
      <alignment horizontal="left"/>
    </xf>
    <xf xfId="0" numFmtId="3" applyNumberFormat="1" borderId="2" applyBorder="1" fontId="1" applyFont="1" fillId="2" applyFill="1" applyAlignment="1">
      <alignment horizontal="center"/>
    </xf>
    <xf xfId="0" numFmtId="164" applyNumberFormat="1" borderId="2" applyBorder="1" fontId="1" applyFont="1" fillId="8" applyFill="1" applyAlignment="1">
      <alignment horizontal="left"/>
    </xf>
    <xf xfId="0" numFmtId="1" applyNumberFormat="1" borderId="4" applyBorder="1" fontId="1" applyFont="1" fillId="0" applyAlignment="1">
      <alignment horizontal="left"/>
    </xf>
    <xf xfId="0" numFmtId="1" applyNumberFormat="1" borderId="18" applyBorder="1" fontId="1" applyFont="1" fillId="0" applyAlignment="1">
      <alignment horizontal="left"/>
    </xf>
    <xf xfId="0" numFmtId="164" applyNumberFormat="1" borderId="18" applyBorder="1" fontId="1" applyFont="1" fillId="0" applyAlignment="1">
      <alignment horizontal="left"/>
    </xf>
    <xf xfId="0" numFmtId="3" applyNumberFormat="1" borderId="18" applyBorder="1" fontId="1" applyFont="1" fillId="0" applyAlignment="1">
      <alignment horizontal="center"/>
    </xf>
    <xf xfId="0" numFmtId="3" applyNumberFormat="1" borderId="0" fontId="0" fillId="0" applyAlignment="1">
      <alignment horizontal="left"/>
    </xf>
    <xf xfId="0" numFmtId="14" applyNumberFormat="1" borderId="2" applyBorder="1" fontId="4" applyFont="1" fillId="0" applyAlignment="1">
      <alignment horizontal="center"/>
    </xf>
    <xf xfId="0" numFmtId="1" applyNumberFormat="1" borderId="2" applyBorder="1" fontId="4" applyFont="1" fillId="0" applyAlignment="1">
      <alignment horizontal="center"/>
    </xf>
    <xf xfId="0" numFmtId="14" applyNumberFormat="1" borderId="2" applyBorder="1" fontId="15" applyFont="1" fillId="0" applyAlignment="1">
      <alignment horizontal="center"/>
    </xf>
    <xf xfId="0" numFmtId="4" applyNumberFormat="1" borderId="2" applyBorder="1" fontId="1" applyFont="1" fillId="0" applyAlignment="1">
      <alignment horizontal="right"/>
    </xf>
    <xf xfId="0" numFmtId="14" applyNumberFormat="1" borderId="2" applyBorder="1" fontId="1" applyFont="1" fillId="0" applyAlignment="1">
      <alignment horizontal="left" wrapText="1"/>
    </xf>
    <xf xfId="0" numFmtId="3" applyNumberFormat="1" borderId="2" applyBorder="1" fontId="1" applyFont="1" fillId="7" applyFill="1" applyAlignment="1">
      <alignment horizontal="right"/>
    </xf>
    <xf xfId="0" numFmtId="14" applyNumberFormat="1" borderId="2" applyBorder="1" fontId="1" applyFont="1" fillId="7" applyFill="1" applyAlignment="1">
      <alignment horizontal="left" wrapText="1"/>
    </xf>
    <xf xfId="0" numFmtId="4" applyNumberFormat="1" borderId="2" applyBorder="1" fontId="1" applyFont="1" fillId="7" applyFill="1" applyAlignment="1">
      <alignment horizontal="right"/>
    </xf>
    <xf xfId="0" numFmtId="0" borderId="2" applyBorder="1" fontId="1" applyFont="1" fillId="7" applyFill="1" applyAlignment="1">
      <alignment horizontal="center" wrapText="1"/>
    </xf>
    <xf xfId="0" numFmtId="3" applyNumberFormat="1" borderId="2" applyBorder="1" fontId="1" applyFont="1" fillId="5" applyFill="1" applyAlignment="1">
      <alignment horizontal="left"/>
    </xf>
    <xf xfId="0" numFmtId="4" applyNumberFormat="1" borderId="2" applyBorder="1" fontId="1" applyFont="1" fillId="5" applyFill="1" applyAlignment="1">
      <alignment horizontal="right"/>
    </xf>
    <xf xfId="0" numFmtId="4" applyNumberFormat="1" borderId="2" applyBorder="1" fontId="1" applyFont="1" fillId="7" applyFill="1" applyAlignment="1">
      <alignment horizontal="center"/>
    </xf>
    <xf xfId="0" numFmtId="3" applyNumberFormat="1" borderId="2" applyBorder="1" fontId="3" applyFont="1" fillId="7" applyFill="1" applyAlignment="1">
      <alignment horizontal="left"/>
    </xf>
    <xf xfId="0" numFmtId="3" applyNumberFormat="1" borderId="2" applyBorder="1" fontId="1" applyFont="1" fillId="9" applyFill="1" applyAlignment="1">
      <alignment horizontal="right"/>
    </xf>
    <xf xfId="0" numFmtId="0" borderId="2" applyBorder="1" fontId="1" applyFont="1" fillId="0" applyAlignment="1">
      <alignment horizontal="center" wrapText="1"/>
    </xf>
    <xf xfId="0" numFmtId="0" borderId="2" applyBorder="1" fontId="1" applyFont="1" fillId="7" applyFill="1" applyAlignment="1">
      <alignment horizontal="left" wrapText="1"/>
    </xf>
    <xf xfId="0" numFmtId="4" applyNumberFormat="1" borderId="2" applyBorder="1" fontId="1" applyFont="1" fillId="0" applyAlignment="1">
      <alignment horizontal="center"/>
    </xf>
    <xf xfId="0" numFmtId="3" applyNumberFormat="1" borderId="2" applyBorder="1" fontId="3" applyFont="1" fillId="0" applyAlignment="1">
      <alignment horizontal="left"/>
    </xf>
    <xf xfId="0" numFmtId="0" borderId="2" applyBorder="1" fontId="1" applyFont="1" fillId="2" applyFill="1" applyAlignment="1">
      <alignment horizontal="center"/>
    </xf>
    <xf xfId="0" numFmtId="4" applyNumberFormat="1" borderId="2" applyBorder="1" fontId="1" applyFont="1" fillId="0" applyAlignment="1">
      <alignment horizontal="right" wrapText="1"/>
    </xf>
    <xf xfId="0" numFmtId="3" applyNumberFormat="1" borderId="2" applyBorder="1" fontId="1" applyFont="1" fillId="0" applyAlignment="1">
      <alignment horizontal="center" vertical="top"/>
    </xf>
    <xf xfId="0" numFmtId="3" applyNumberFormat="1" borderId="2" applyBorder="1" fontId="1" applyFont="1" fillId="0" applyAlignment="1">
      <alignment horizontal="right" vertical="top"/>
    </xf>
    <xf xfId="0" numFmtId="14" applyNumberFormat="1" borderId="2" applyBorder="1" fontId="1" applyFont="1" fillId="0" applyAlignment="1">
      <alignment horizontal="center" vertical="top"/>
    </xf>
    <xf xfId="0" numFmtId="4" applyNumberFormat="1" borderId="2" applyBorder="1" fontId="1" applyFont="1" fillId="0" applyAlignment="1">
      <alignment horizontal="center" vertical="top"/>
    </xf>
    <xf xfId="0" numFmtId="14" applyNumberFormat="1" borderId="2" applyBorder="1" fontId="1" applyFont="1" fillId="0" applyAlignment="1">
      <alignment horizontal="center"/>
    </xf>
    <xf xfId="0" numFmtId="14" applyNumberFormat="1" borderId="4" applyBorder="1" fontId="3" applyFont="1" fillId="0" applyAlignment="1">
      <alignment horizontal="center"/>
    </xf>
    <xf xfId="0" numFmtId="0" borderId="10" applyBorder="1" fontId="3" applyFont="1" fillId="0" applyAlignment="1">
      <alignment horizontal="center"/>
    </xf>
    <xf xfId="0" numFmtId="1" applyNumberFormat="1" borderId="10" applyBorder="1" fontId="3" applyFont="1" fillId="0" applyAlignment="1">
      <alignment horizontal="center"/>
    </xf>
    <xf xfId="0" numFmtId="0" borderId="11" applyBorder="1" fontId="3" applyFont="1" fillId="0" applyAlignment="1">
      <alignment horizontal="center"/>
    </xf>
    <xf xfId="0" numFmtId="3" applyNumberFormat="1" borderId="2" applyBorder="1" fontId="3" applyFont="1" fillId="0" applyAlignment="1">
      <alignment horizontal="right"/>
    </xf>
    <xf xfId="0" numFmtId="4" applyNumberFormat="1" borderId="2" applyBorder="1" fontId="3" applyFont="1" fillId="0" applyAlignment="1">
      <alignment horizontal="right"/>
    </xf>
    <xf xfId="0" numFmtId="14" applyNumberFormat="1" borderId="0" fontId="0" fillId="0" applyAlignment="1">
      <alignment horizontal="center"/>
    </xf>
    <xf xfId="0" numFmtId="1" applyNumberFormat="1" borderId="0" fontId="0" fillId="0" applyAlignment="1">
      <alignment horizontal="center"/>
    </xf>
    <xf xfId="0" numFmtId="16" applyNumberFormat="1" borderId="2" applyBorder="1" fontId="1" applyFont="1" fillId="2" applyFill="1" applyAlignment="1">
      <alignment horizontal="left"/>
    </xf>
    <xf xfId="0" numFmtId="14" applyNumberFormat="1" borderId="2" applyBorder="1" fontId="1" applyFont="1" fillId="10" applyFill="1" applyAlignment="1">
      <alignment horizontal="left"/>
    </xf>
    <xf xfId="0" numFmtId="0" borderId="2" applyBorder="1" fontId="1" applyFont="1" fillId="10" applyFill="1" applyAlignment="1">
      <alignment horizontal="center"/>
    </xf>
    <xf xfId="0" numFmtId="16" applyNumberFormat="1" borderId="2" applyBorder="1" fontId="1" applyFont="1" fillId="10" applyFill="1" applyAlignment="1">
      <alignment horizontal="left"/>
    </xf>
    <xf xfId="0" numFmtId="0" borderId="2" applyBorder="1" fontId="1" applyFont="1" fillId="10" applyFill="1" applyAlignment="1">
      <alignment horizontal="left"/>
    </xf>
    <xf xfId="0" numFmtId="3" applyNumberFormat="1" borderId="2" applyBorder="1" fontId="1" applyFont="1" fillId="10" applyFill="1" applyAlignment="1">
      <alignment horizontal="right"/>
    </xf>
    <xf xfId="0" numFmtId="3" applyNumberFormat="1" borderId="2" applyBorder="1" fontId="1" applyFont="1" fillId="10" applyFill="1" applyAlignment="1">
      <alignment horizontal="center"/>
    </xf>
    <xf xfId="0" numFmtId="3" applyNumberFormat="1" borderId="2" applyBorder="1" fontId="1" applyFont="1" fillId="10" applyFill="1" applyAlignment="1">
      <alignment horizontal="left"/>
    </xf>
    <xf xfId="0" numFmtId="3" applyNumberFormat="1" borderId="2" applyBorder="1" fontId="1" applyFont="1" fillId="11" applyFill="1" applyAlignment="1">
      <alignment horizontal="left"/>
    </xf>
    <xf xfId="0" numFmtId="14" applyNumberFormat="1" borderId="2" applyBorder="1" fontId="1" applyFont="1" fillId="11" applyFill="1" applyAlignment="1">
      <alignment horizontal="left"/>
    </xf>
    <xf xfId="0" numFmtId="0" borderId="2" applyBorder="1" fontId="1" applyFont="1" fillId="11" applyFill="1" applyAlignment="1">
      <alignment horizontal="left"/>
    </xf>
    <xf xfId="0" numFmtId="166" applyNumberFormat="1" borderId="2" applyBorder="1" fontId="1" applyFont="1" fillId="0" applyAlignment="1">
      <alignment horizontal="left"/>
    </xf>
    <xf xfId="0" numFmtId="3" applyNumberFormat="1" borderId="2" applyBorder="1" fontId="4" applyFont="1" fillId="2" applyFill="1" applyAlignment="1">
      <alignment horizontal="center"/>
    </xf>
    <xf xfId="0" numFmtId="3" applyNumberFormat="1" borderId="2" applyBorder="1" fontId="1" applyFont="1" fillId="2" applyFill="1" applyAlignment="1">
      <alignment horizontal="left"/>
    </xf>
    <xf xfId="0" numFmtId="0" borderId="18" applyBorder="1" fontId="1" applyFont="1" fillId="0" applyAlignment="1">
      <alignment horizontal="left"/>
    </xf>
    <xf xfId="0" numFmtId="3" applyNumberFormat="1" borderId="18" applyBorder="1" fontId="1" applyFont="1" fillId="0" applyAlignment="1">
      <alignment horizontal="right"/>
    </xf>
    <xf xfId="0" numFmtId="0" borderId="2" applyBorder="1" fontId="14" applyFont="1" fillId="0" applyAlignment="1">
      <alignment horizontal="left" wrapText="1"/>
    </xf>
    <xf xfId="0" numFmtId="14" applyNumberFormat="1" borderId="2" applyBorder="1" fontId="1" applyFont="1" fillId="12" applyFill="1" applyAlignment="1">
      <alignment horizontal="left"/>
    </xf>
    <xf xfId="0" numFmtId="0" borderId="2" applyBorder="1" fontId="1" applyFont="1" fillId="12" applyFill="1" applyAlignment="1">
      <alignment horizontal="left"/>
    </xf>
    <xf xfId="0" numFmtId="3" applyNumberFormat="1" borderId="2" applyBorder="1" fontId="1" applyFont="1" fillId="12" applyFill="1" applyAlignment="1">
      <alignment horizontal="left"/>
    </xf>
    <xf xfId="0" numFmtId="3" applyNumberFormat="1" borderId="2" applyBorder="1" fontId="1" applyFont="1" fillId="12" applyFill="1" applyAlignment="1">
      <alignment horizontal="right"/>
    </xf>
    <xf xfId="0" numFmtId="3" applyNumberFormat="1" borderId="2" applyBorder="1" fontId="1" applyFont="1" fillId="11" applyFill="1" applyAlignment="1">
      <alignment horizontal="right"/>
    </xf>
    <xf xfId="0" numFmtId="14" applyNumberFormat="1" borderId="2" applyBorder="1" fontId="1" applyFont="1" fillId="5" applyFill="1" applyAlignment="1">
      <alignment horizontal="left" wrapText="1"/>
    </xf>
    <xf xfId="0" numFmtId="0" borderId="1" applyBorder="1" fontId="16" applyFont="1" fillId="0" applyAlignment="1">
      <alignment horizontal="left"/>
    </xf>
    <xf xfId="0" numFmtId="0" borderId="3" applyBorder="1" fontId="15" applyFont="1" fillId="2" applyFill="1" applyAlignment="1">
      <alignment horizontal="left"/>
    </xf>
    <xf xfId="0" numFmtId="14" applyNumberFormat="1" borderId="1" applyBorder="1" fontId="15" applyFont="1" fillId="0" applyAlignment="1">
      <alignment horizontal="left"/>
    </xf>
    <xf xfId="0" numFmtId="0" borderId="1" applyBorder="1" fontId="15" applyFont="1" fillId="0" applyAlignment="1">
      <alignment horizontal="left"/>
    </xf>
    <xf xfId="0" numFmtId="0" borderId="2" applyBorder="1" fontId="17" applyFont="1" fillId="0" applyAlignment="1">
      <alignment horizontal="left"/>
    </xf>
    <xf xfId="0" numFmtId="0" borderId="2" applyBorder="1" fontId="18" applyFont="1" fillId="2" applyFill="1" applyAlignment="1">
      <alignment horizontal="left"/>
    </xf>
    <xf xfId="0" numFmtId="3" applyNumberFormat="1" borderId="2" applyBorder="1" fontId="19" applyFont="1" fillId="2" applyFill="1" applyAlignment="1">
      <alignment horizontal="right"/>
    </xf>
    <xf xfId="0" numFmtId="3" applyNumberFormat="1" borderId="2" applyBorder="1" fontId="19" applyFont="1" fillId="2" applyFill="1" applyAlignment="1">
      <alignment horizontal="right" wrapText="1"/>
    </xf>
    <xf xfId="0" numFmtId="3" applyNumberFormat="1" borderId="2" applyBorder="1" fontId="19" applyFont="1" fillId="0" applyAlignment="1">
      <alignment horizontal="right"/>
    </xf>
    <xf xfId="0" numFmtId="3" applyNumberFormat="1" borderId="2" applyBorder="1" fontId="17" applyFont="1" fillId="0" applyAlignment="1">
      <alignment horizontal="right"/>
    </xf>
    <xf xfId="0" numFmtId="14" applyNumberFormat="1" borderId="2" applyBorder="1" fontId="1" applyFont="1" fillId="0" applyAlignment="1">
      <alignment horizontal="center" wrapText="1"/>
    </xf>
    <xf xfId="0" numFmtId="3" applyNumberFormat="1" borderId="2" applyBorder="1" fontId="1" applyFont="1" fillId="0" applyAlignment="1">
      <alignment horizontal="left" wrapText="1"/>
    </xf>
    <xf xfId="0" numFmtId="0" borderId="2" applyBorder="1" fontId="20" applyFont="1" fillId="0" applyAlignment="1">
      <alignment horizontal="left"/>
    </xf>
    <xf xfId="0" numFmtId="3" applyNumberFormat="1" borderId="2" applyBorder="1" fontId="21" applyFont="1" fillId="0" applyAlignment="1">
      <alignment horizontal="right"/>
    </xf>
    <xf xfId="0" numFmtId="3" applyNumberFormat="1" borderId="2" applyBorder="1" fontId="22" applyFont="1" fillId="0" applyAlignment="1">
      <alignment horizontal="left"/>
    </xf>
    <xf xfId="0" numFmtId="14" applyNumberFormat="1" borderId="2" applyBorder="1" fontId="1" applyFont="1" fillId="9" applyFill="1" applyAlignment="1">
      <alignment horizontal="left"/>
    </xf>
    <xf xfId="0" numFmtId="3" applyNumberFormat="1" borderId="2" applyBorder="1" fontId="1" applyFont="1" fillId="9" applyFill="1" applyAlignment="1">
      <alignment horizontal="left"/>
    </xf>
    <xf xfId="0" numFmtId="0" borderId="2" applyBorder="1" fontId="1" applyFont="1" fillId="9" applyFill="1" applyAlignment="1">
      <alignment horizontal="left"/>
    </xf>
    <xf xfId="0" numFmtId="3" applyNumberFormat="1" borderId="2" applyBorder="1" fontId="1" applyFont="1" fillId="0" applyAlignment="1">
      <alignment horizontal="right" wrapText="1"/>
    </xf>
    <xf xfId="0" numFmtId="0" borderId="2" applyBorder="1" fontId="23" applyFont="1" fillId="0" applyAlignment="1">
      <alignment horizontal="left" wrapText="1"/>
    </xf>
    <xf xfId="0" numFmtId="3" applyNumberFormat="1" borderId="2" applyBorder="1" fontId="1" applyFont="1" fillId="7" applyFill="1" applyAlignment="1">
      <alignment horizontal="left"/>
    </xf>
    <xf xfId="0" numFmtId="0" borderId="7" applyBorder="1" fontId="1" applyFont="1" fillId="2" applyFill="1" applyAlignment="1">
      <alignment horizontal="left"/>
    </xf>
    <xf xfId="0" numFmtId="3" applyNumberFormat="1" borderId="2" applyBorder="1" fontId="24" applyFont="1" fillId="0" applyAlignment="1">
      <alignment horizontal="right"/>
    </xf>
    <xf xfId="0" numFmtId="3" applyNumberFormat="1" borderId="16" applyBorder="1" fontId="1" applyFont="1" fillId="0" applyAlignment="1">
      <alignment horizontal="left"/>
    </xf>
    <xf xfId="0" numFmtId="0" borderId="19" applyBorder="1" fontId="1" applyFont="1" fillId="0" applyAlignment="1">
      <alignment horizontal="left"/>
    </xf>
    <xf xfId="0" numFmtId="0" borderId="17" applyBorder="1" fontId="1" applyFont="1" fillId="2" applyFill="1" applyAlignment="1">
      <alignment horizontal="left"/>
    </xf>
    <xf xfId="0" numFmtId="0" borderId="20" applyBorder="1" fontId="1" applyFont="1" fillId="2" applyFill="1" applyAlignment="1">
      <alignment horizontal="left"/>
    </xf>
    <xf xfId="0" numFmtId="3" applyNumberFormat="1" borderId="16" applyBorder="1" fontId="24" applyFont="1" fillId="0" applyAlignment="1">
      <alignment horizontal="right"/>
    </xf>
    <xf xfId="0" numFmtId="3" applyNumberFormat="1" borderId="16" applyBorder="1" fontId="1" applyFont="1" fillId="0" applyAlignment="1">
      <alignment horizontal="right"/>
    </xf>
    <xf xfId="0" numFmtId="0" borderId="2" applyBorder="1" fontId="25" applyFont="1" fillId="0" applyAlignment="1">
      <alignment horizontal="left"/>
    </xf>
    <xf xfId="0" numFmtId="0" borderId="2" applyBorder="1" fontId="26" applyFont="1" fillId="0" applyAlignment="1">
      <alignment horizontal="left"/>
    </xf>
    <xf xfId="0" numFmtId="3" applyNumberFormat="1" borderId="2" applyBorder="1" fontId="27" applyFont="1" fillId="0" applyAlignment="1">
      <alignment horizontal="right"/>
    </xf>
    <xf xfId="0" numFmtId="0" borderId="1" applyBorder="1" fontId="17" applyFont="1" fillId="0" applyAlignment="1">
      <alignment horizontal="left"/>
    </xf>
    <xf xfId="0" numFmtId="14" applyNumberFormat="1" borderId="2" applyBorder="1" fontId="1" applyFont="1" fillId="13" applyFill="1" applyAlignment="1">
      <alignment horizontal="left"/>
    </xf>
    <xf xfId="0" numFmtId="0" borderId="2" applyBorder="1" fontId="1" applyFont="1" fillId="13" applyFill="1" applyAlignment="1">
      <alignment horizontal="left"/>
    </xf>
    <xf xfId="0" numFmtId="3" applyNumberFormat="1" borderId="2" applyBorder="1" fontId="1" applyFont="1" fillId="13" applyFill="1" applyAlignment="1">
      <alignment horizontal="right"/>
    </xf>
    <xf xfId="0" numFmtId="3" applyNumberFormat="1" borderId="2" applyBorder="1" fontId="1" applyFont="1" fillId="13" applyFill="1" applyAlignment="1">
      <alignment horizontal="left"/>
    </xf>
    <xf xfId="0" numFmtId="3" applyNumberFormat="1" borderId="2" applyBorder="1" fontId="28" applyFont="1" fillId="0" applyAlignment="1">
      <alignment horizontal="right"/>
    </xf>
    <xf xfId="0" numFmtId="3" applyNumberFormat="1" borderId="1" applyBorder="1" fontId="6" applyFont="1" fillId="0" applyAlignment="1">
      <alignment horizontal="right"/>
    </xf>
    <xf xfId="0" numFmtId="3" applyNumberFormat="1" borderId="2" applyBorder="1" fontId="6" applyFont="1" fillId="0" applyAlignment="1">
      <alignment horizontal="right"/>
    </xf>
    <xf xfId="0" numFmtId="3" applyNumberFormat="1" borderId="7" applyBorder="1" fontId="1" applyFont="1" fillId="13" applyFill="1" applyAlignment="1">
      <alignment horizontal="right"/>
    </xf>
    <xf xfId="0" numFmtId="0" borderId="1" applyBorder="1" fontId="29" applyFont="1" fillId="0" applyAlignment="1">
      <alignment horizontal="left"/>
    </xf>
    <xf xfId="0" numFmtId="3" applyNumberFormat="1" borderId="1" applyBorder="1" fontId="24" applyFont="1" fillId="0" applyAlignment="1">
      <alignment horizontal="right"/>
    </xf>
    <xf xfId="0" numFmtId="3" applyNumberFormat="1" borderId="21" applyBorder="1" fontId="24" applyFont="1" fillId="2" applyFill="1" applyAlignment="1">
      <alignment horizontal="right" wrapText="1"/>
    </xf>
    <xf xfId="0" numFmtId="3" applyNumberFormat="1" borderId="22" applyBorder="1" fontId="24" applyFont="1" fillId="2" applyFill="1" applyAlignment="1">
      <alignment horizontal="right" wrapText="1"/>
    </xf>
    <xf xfId="0" numFmtId="3" applyNumberFormat="1" borderId="16" applyBorder="1" fontId="1" applyFont="1" fillId="0" applyAlignment="1">
      <alignment horizontal="right" vertical="top"/>
    </xf>
    <xf xfId="0" numFmtId="3" applyNumberFormat="1" borderId="12" applyBorder="1" fontId="1" applyFont="1" fillId="0" applyAlignment="1">
      <alignment horizontal="right"/>
    </xf>
    <xf xfId="0" numFmtId="3" applyNumberFormat="1" borderId="1" applyBorder="1" fontId="27" applyFont="1" fillId="0" applyAlignment="1">
      <alignment horizontal="right" wrapText="1"/>
    </xf>
    <xf xfId="0" numFmtId="14" applyNumberFormat="1" borderId="2" applyBorder="1" fontId="1" applyFont="1" fillId="14" applyFill="1" applyAlignment="1">
      <alignment horizontal="left"/>
    </xf>
    <xf xfId="0" numFmtId="0" borderId="2" applyBorder="1" fontId="1" applyFont="1" fillId="14" applyFill="1" applyAlignment="1">
      <alignment horizontal="left"/>
    </xf>
    <xf xfId="0" numFmtId="3" applyNumberFormat="1" borderId="2" applyBorder="1" fontId="1" applyFont="1" fillId="14" applyFill="1" applyAlignment="1">
      <alignment horizontal="right"/>
    </xf>
    <xf xfId="0" numFmtId="3" applyNumberFormat="1" borderId="2" applyBorder="1" fontId="1" applyFont="1" fillId="14" applyFill="1" applyAlignment="1">
      <alignment horizontal="left"/>
    </xf>
    <xf xfId="0" numFmtId="0" borderId="2" applyBorder="1" fontId="30" applyFont="1" fillId="0" applyAlignment="1">
      <alignment horizontal="left"/>
    </xf>
    <xf xfId="0" numFmtId="3" applyNumberFormat="1" borderId="2" applyBorder="1" fontId="15" applyFont="1" fillId="2" applyFill="1" applyAlignment="1">
      <alignment horizontal="right" wrapText="1"/>
    </xf>
    <xf xfId="0" numFmtId="3" applyNumberFormat="1" borderId="2" applyBorder="1" fontId="15" applyFont="1" fillId="2" applyFill="1" applyAlignment="1">
      <alignment horizontal="right"/>
    </xf>
    <xf xfId="0" numFmtId="3" applyNumberFormat="1" borderId="3" applyBorder="1" fontId="1" applyFont="1" fillId="2" applyFill="1" applyAlignment="1">
      <alignment horizontal="left"/>
    </xf>
    <xf xfId="0" numFmtId="14" applyNumberFormat="1" borderId="2" applyBorder="1" fontId="1" applyFont="1" fillId="2" applyFill="1" applyAlignment="1">
      <alignment horizontal="left" wrapText="1"/>
    </xf>
    <xf xfId="0" numFmtId="0" borderId="2" applyBorder="1" fontId="31" applyFont="1" fillId="2" applyFill="1" applyAlignment="1">
      <alignment horizontal="left"/>
    </xf>
    <xf xfId="0" numFmtId="3" applyNumberFormat="1" borderId="2" applyBorder="1" fontId="24" applyFont="1" fillId="2" applyFill="1" applyAlignment="1">
      <alignment horizontal="right"/>
    </xf>
    <xf xfId="0" numFmtId="0" borderId="2" applyBorder="1" fontId="8" applyFont="1" fillId="2" applyFill="1" applyAlignment="1">
      <alignment horizontal="left"/>
    </xf>
    <xf xfId="0" numFmtId="3" applyNumberFormat="1" borderId="2" applyBorder="1" fontId="24" applyFont="1" fillId="2" applyFill="1" applyAlignment="1">
      <alignment horizontal="left"/>
    </xf>
    <xf xfId="0" numFmtId="0" borderId="2" applyBorder="1" fontId="7" applyFont="1" fillId="2" applyFill="1" applyAlignment="1">
      <alignment horizontal="left"/>
    </xf>
    <xf xfId="0" numFmtId="0" borderId="2" applyBorder="1" fontId="3" applyFont="1" fillId="2" applyFill="1" applyAlignment="1">
      <alignment horizontal="left"/>
    </xf>
    <xf xfId="0" numFmtId="0" borderId="2" applyBorder="1" fontId="8" applyFont="1" fillId="0" applyAlignment="1">
      <alignment horizontal="left"/>
    </xf>
    <xf xfId="0" numFmtId="14" applyNumberFormat="1" borderId="1" applyBorder="1" fontId="3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167" applyNumberFormat="1" borderId="2" applyBorder="1" fontId="1" applyFont="1" fillId="0" applyAlignment="1">
      <alignment horizontal="left"/>
    </xf>
    <xf xfId="0" numFmtId="1" applyNumberFormat="1" borderId="2" applyBorder="1" fontId="1" applyFont="1" fillId="0" applyAlignment="1">
      <alignment horizontal="left" wrapText="1"/>
    </xf>
    <xf xfId="0" numFmtId="3" applyNumberFormat="1" borderId="1" applyBorder="1" fontId="32" applyFont="1" fillId="0" applyAlignment="1">
      <alignment horizontal="left" wrapText="1"/>
    </xf>
    <xf xfId="0" numFmtId="3" applyNumberFormat="1" borderId="1" applyBorder="1" fontId="33" applyFont="1" fillId="0" applyAlignment="1">
      <alignment horizontal="left" wrapText="1"/>
    </xf>
    <xf xfId="0" numFmtId="3" applyNumberFormat="1" borderId="2" applyBorder="1" fontId="1" applyFont="1" fillId="4" applyFill="1" applyAlignment="1">
      <alignment horizontal="left"/>
    </xf>
    <xf xfId="0" numFmtId="3" applyNumberFormat="1" borderId="3" applyBorder="1" fontId="6" applyFont="1" fillId="2" applyFill="1" applyAlignment="1">
      <alignment horizontal="left" wrapText="1"/>
    </xf>
    <xf xfId="0" numFmtId="3" applyNumberFormat="1" borderId="2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167" applyNumberFormat="1" borderId="2" applyBorder="1" fontId="1" applyFont="1" fillId="3" applyFill="1" applyAlignment="1">
      <alignment horizontal="left"/>
    </xf>
    <xf xfId="0" numFmtId="0" borderId="2" applyBorder="1" fontId="1" applyFont="1" fillId="3" applyFill="1" applyAlignment="1">
      <alignment horizontal="left" wrapText="1"/>
    </xf>
    <xf xfId="0" numFmtId="1" applyNumberFormat="1" borderId="2" applyBorder="1" fontId="1" applyFont="1" fillId="3" applyFill="1" applyAlignment="1">
      <alignment horizontal="left"/>
    </xf>
    <xf xfId="0" numFmtId="1" applyNumberFormat="1" borderId="16" applyBorder="1" fontId="1" applyFont="1" fillId="0" applyAlignment="1">
      <alignment horizontal="right" vertical="top"/>
    </xf>
    <xf xfId="0" numFmtId="1" applyNumberFormat="1" borderId="18" applyBorder="1" fontId="1" applyFont="1" fillId="0" applyAlignment="1">
      <alignment horizontal="right"/>
    </xf>
    <xf xfId="0" numFmtId="1" applyNumberFormat="1" borderId="12" applyBorder="1" fontId="1" applyFont="1" fillId="0" applyAlignment="1">
      <alignment horizontal="right"/>
    </xf>
    <xf xfId="0" numFmtId="0" borderId="23" applyBorder="1" fontId="1" applyFont="1" fillId="0" applyAlignment="1">
      <alignment horizontal="left"/>
    </xf>
    <xf xfId="0" numFmtId="0" borderId="1" applyBorder="1" fontId="34" applyFont="1" fillId="0" applyAlignment="1">
      <alignment horizontal="left"/>
    </xf>
    <xf xfId="0" numFmtId="3" applyNumberFormat="1" borderId="7" applyBorder="1" fontId="1" applyFont="1" fillId="2" applyFill="1" applyAlignment="1">
      <alignment horizontal="left"/>
    </xf>
    <xf xfId="0" numFmtId="0" borderId="1" applyBorder="1" fontId="35" applyFont="1" fillId="0" applyAlignment="1">
      <alignment horizontal="left" wrapText="1"/>
    </xf>
    <xf xfId="0" numFmtId="0" borderId="1" applyBorder="1" fontId="14" applyFont="1" fillId="0" applyAlignment="1">
      <alignment horizontal="left" wrapText="1"/>
    </xf>
    <xf xfId="0" numFmtId="14" applyNumberFormat="1" borderId="4" applyBorder="1" fontId="1" applyFont="1" fillId="0" applyAlignment="1">
      <alignment horizontal="center"/>
    </xf>
    <xf xfId="0" numFmtId="0" borderId="11" applyBorder="1" fontId="1" applyFont="1" fillId="0" applyAlignment="1">
      <alignment horizontal="center"/>
    </xf>
    <xf xfId="0" numFmtId="3" applyNumberFormat="1" borderId="2" applyBorder="1" fontId="9" applyFont="1" fillId="0" applyAlignment="1">
      <alignment horizontal="right"/>
    </xf>
    <xf xfId="0" numFmtId="1" applyNumberFormat="1" borderId="2" applyBorder="1" fontId="15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3" applyNumberFormat="1" borderId="1" applyBorder="1" fontId="36" applyFont="1" fillId="0" applyAlignment="1">
      <alignment horizontal="left"/>
    </xf>
    <xf xfId="0" numFmtId="168" applyNumberFormat="1" borderId="2" applyBorder="1" fontId="15" applyFont="1" fillId="0" applyAlignment="1">
      <alignment horizontal="left"/>
    </xf>
    <xf xfId="0" numFmtId="0" borderId="2" applyBorder="1" fontId="15" applyFont="1" fillId="0" applyAlignment="1">
      <alignment horizontal="left"/>
    </xf>
    <xf xfId="0" numFmtId="3" applyNumberFormat="1" borderId="2" applyBorder="1" fontId="15" applyFont="1" fillId="0" applyAlignment="1">
      <alignment horizontal="right"/>
    </xf>
    <xf xfId="0" numFmtId="3" applyNumberFormat="1" borderId="2" applyBorder="1" fontId="15" applyFont="1" fillId="0" applyAlignment="1">
      <alignment horizontal="left"/>
    </xf>
    <xf xfId="0" numFmtId="167" applyNumberFormat="1" borderId="2" applyBorder="1" fontId="15" applyFont="1" fillId="0" applyAlignment="1">
      <alignment horizontal="left"/>
    </xf>
    <xf xfId="0" numFmtId="168" applyNumberFormat="1" borderId="2" applyBorder="1" fontId="15" applyFont="1" fillId="2" applyFill="1" applyAlignment="1">
      <alignment horizontal="left"/>
    </xf>
    <xf xfId="0" numFmtId="0" borderId="2" applyBorder="1" fontId="15" applyFont="1" fillId="2" applyFill="1" applyAlignment="1">
      <alignment horizontal="left"/>
    </xf>
    <xf xfId="0" numFmtId="3" applyNumberFormat="1" borderId="2" applyBorder="1" fontId="15" applyFont="1" fillId="2" applyFill="1" applyAlignment="1">
      <alignment horizontal="left"/>
    </xf>
    <xf xfId="0" numFmtId="3" applyNumberFormat="1" borderId="3" applyBorder="1" fontId="37" applyFont="1" fillId="2" applyFill="1" applyAlignment="1">
      <alignment horizontal="right"/>
    </xf>
    <xf xfId="0" numFmtId="3" applyNumberFormat="1" borderId="3" applyBorder="1" fontId="29" applyFont="1" fillId="2" applyFill="1" applyAlignment="1">
      <alignment horizontal="right"/>
    </xf>
    <xf xfId="0" numFmtId="0" borderId="2" applyBorder="1" fontId="15" applyFont="1" fillId="5" applyFill="1" applyAlignment="1">
      <alignment horizontal="left"/>
    </xf>
    <xf xfId="0" numFmtId="3" applyNumberFormat="1" borderId="16" applyBorder="1" fontId="15" applyFont="1" fillId="0" applyAlignment="1">
      <alignment horizontal="center" vertical="top"/>
    </xf>
    <xf xfId="0" numFmtId="167" applyNumberFormat="1" borderId="16" applyBorder="1" fontId="15" applyFont="1" fillId="0" applyAlignment="1">
      <alignment horizontal="center" vertical="top"/>
    </xf>
    <xf xfId="0" numFmtId="0" borderId="16" applyBorder="1" fontId="15" applyFont="1" fillId="0" applyAlignment="1">
      <alignment horizontal="center" vertical="top"/>
    </xf>
    <xf xfId="0" numFmtId="3" applyNumberFormat="1" borderId="18" applyBorder="1" fontId="15" applyFont="1" fillId="0" applyAlignment="1">
      <alignment horizontal="center"/>
    </xf>
    <xf xfId="0" numFmtId="167" applyNumberFormat="1" borderId="18" applyBorder="1" fontId="15" applyFont="1" fillId="0" applyAlignment="1">
      <alignment horizontal="center"/>
    </xf>
    <xf xfId="0" numFmtId="0" borderId="18" applyBorder="1" fontId="15" applyFont="1" fillId="0" applyAlignment="1">
      <alignment horizontal="center"/>
    </xf>
    <xf xfId="0" numFmtId="3" applyNumberFormat="1" borderId="12" applyBorder="1" fontId="15" applyFont="1" fillId="0" applyAlignment="1">
      <alignment horizontal="center"/>
    </xf>
    <xf xfId="0" numFmtId="167" applyNumberFormat="1" borderId="12" applyBorder="1" fontId="15" applyFont="1" fillId="0" applyAlignment="1">
      <alignment horizontal="center"/>
    </xf>
    <xf xfId="0" numFmtId="0" borderId="12" applyBorder="1" fontId="15" applyFont="1" fillId="0" applyAlignment="1">
      <alignment horizontal="center"/>
    </xf>
    <xf xfId="0" numFmtId="169" applyNumberFormat="1" borderId="2" applyBorder="1" fontId="15" applyFont="1" fillId="0" applyAlignment="1">
      <alignment horizontal="left"/>
    </xf>
    <xf xfId="0" numFmtId="3" applyNumberFormat="1" borderId="16" applyBorder="1" fontId="15" applyFont="1" fillId="0" applyAlignment="1">
      <alignment horizontal="left"/>
    </xf>
    <xf xfId="0" numFmtId="167" applyNumberFormat="1" borderId="16" applyBorder="1" fontId="15" applyFont="1" fillId="0" applyAlignment="1">
      <alignment horizontal="right" vertical="top"/>
    </xf>
    <xf xfId="0" numFmtId="0" borderId="16" applyBorder="1" fontId="15" applyFont="1" fillId="0" applyAlignment="1">
      <alignment horizontal="right" vertical="top"/>
    </xf>
    <xf xfId="0" numFmtId="3" applyNumberFormat="1" borderId="12" applyBorder="1" fontId="15" applyFont="1" fillId="0" applyAlignment="1">
      <alignment horizontal="left"/>
    </xf>
    <xf xfId="0" numFmtId="167" applyNumberFormat="1" borderId="12" applyBorder="1" fontId="15" applyFont="1" fillId="0" applyAlignment="1">
      <alignment horizontal="right"/>
    </xf>
    <xf xfId="0" numFmtId="0" borderId="12" applyBorder="1" fontId="15" applyFont="1" fillId="0" applyAlignment="1">
      <alignment horizontal="right"/>
    </xf>
    <xf xfId="0" numFmtId="3" applyNumberFormat="1" borderId="3" applyBorder="1" fontId="1" applyFont="1" fillId="12" applyFill="1" applyAlignment="1">
      <alignment horizontal="right"/>
    </xf>
    <xf xfId="0" numFmtId="168" applyNumberFormat="1" borderId="2" applyBorder="1" fontId="15" applyFont="1" fillId="5" applyFill="1" applyAlignment="1">
      <alignment horizontal="left"/>
    </xf>
    <xf xfId="0" numFmtId="3" applyNumberFormat="1" borderId="2" applyBorder="1" fontId="15" applyFont="1" fillId="5" applyFill="1" applyAlignment="1">
      <alignment horizontal="right"/>
    </xf>
    <xf xfId="0" numFmtId="3" applyNumberFormat="1" borderId="2" applyBorder="1" fontId="15" applyFont="1" fillId="5" applyFill="1" applyAlignment="1">
      <alignment horizontal="left"/>
    </xf>
    <xf xfId="0" numFmtId="1" applyNumberFormat="1" borderId="16" applyBorder="1" fontId="15" applyFont="1" fillId="0" applyAlignment="1">
      <alignment horizontal="left" wrapText="1"/>
    </xf>
    <xf xfId="0" numFmtId="0" borderId="16" applyBorder="1" fontId="15" applyFont="1" fillId="0" applyAlignment="1">
      <alignment horizontal="left"/>
    </xf>
    <xf xfId="0" numFmtId="20" applyNumberFormat="1" borderId="16" applyBorder="1" fontId="15" applyFont="1" fillId="0" applyAlignment="1">
      <alignment horizontal="left"/>
    </xf>
    <xf xfId="0" numFmtId="3" applyNumberFormat="1" borderId="24" applyBorder="1" fontId="15" applyFont="1" fillId="0" applyAlignment="1">
      <alignment horizontal="right"/>
    </xf>
    <xf xfId="0" numFmtId="3" applyNumberFormat="1" borderId="11" applyBorder="1" fontId="15" applyFont="1" fillId="0" applyAlignment="1">
      <alignment horizontal="left"/>
    </xf>
    <xf xfId="0" numFmtId="3" applyNumberFormat="1" borderId="4" applyBorder="1" fontId="15" applyFont="1" fillId="0" applyAlignment="1">
      <alignment horizontal="right"/>
    </xf>
    <xf xfId="0" numFmtId="20" applyNumberFormat="1" borderId="2" applyBorder="1" fontId="15" applyFont="1" fillId="0" applyAlignment="1">
      <alignment horizontal="left"/>
    </xf>
    <xf xfId="0" numFmtId="167" applyNumberFormat="1" borderId="13" applyBorder="1" fontId="15" applyFont="1" fillId="0" applyAlignment="1">
      <alignment horizontal="left"/>
    </xf>
    <xf xfId="0" numFmtId="0" borderId="12" applyBorder="1" fontId="15" applyFont="1" fillId="0" applyAlignment="1">
      <alignment horizontal="left"/>
    </xf>
    <xf xfId="0" numFmtId="20" applyNumberFormat="1" borderId="16" applyBorder="1" fontId="15" applyFont="1" fillId="0" applyAlignment="1">
      <alignment horizontal="center" vertical="top"/>
    </xf>
    <xf xfId="0" numFmtId="0" borderId="16" applyBorder="1" fontId="15" applyFont="1" fillId="0" applyAlignment="1">
      <alignment horizontal="right" vertical="top" wrapText="1"/>
    </xf>
    <xf xfId="0" numFmtId="20" applyNumberFormat="1" borderId="12" applyBorder="1" fontId="15" applyFont="1" fillId="0" applyAlignment="1">
      <alignment horizontal="center"/>
    </xf>
    <xf xfId="0" numFmtId="0" borderId="12" applyBorder="1" fontId="15" applyFont="1" fillId="0" applyAlignment="1">
      <alignment horizontal="right" wrapText="1"/>
    </xf>
    <xf xfId="0" numFmtId="164" applyNumberFormat="1" borderId="2" applyBorder="1" fontId="15" applyFont="1" fillId="0" applyAlignment="1">
      <alignment horizontal="left"/>
    </xf>
    <xf xfId="0" numFmtId="1" applyNumberFormat="1" borderId="2" applyBorder="1" fontId="15" applyFont="1" fillId="0" applyAlignment="1">
      <alignment horizontal="left" wrapText="1"/>
    </xf>
    <xf xfId="0" numFmtId="164" applyNumberFormat="1" borderId="2" applyBorder="1" fontId="15" applyFont="1" fillId="15" applyFill="1" applyAlignment="1">
      <alignment horizontal="left"/>
    </xf>
    <xf xfId="0" numFmtId="0" borderId="2" applyBorder="1" fontId="15" applyFont="1" fillId="15" applyFill="1" applyAlignment="1">
      <alignment horizontal="left"/>
    </xf>
    <xf xfId="0" numFmtId="3" applyNumberFormat="1" borderId="2" applyBorder="1" fontId="15" applyFont="1" fillId="15" applyFill="1" applyAlignment="1">
      <alignment horizontal="left"/>
    </xf>
    <xf xfId="0" numFmtId="3" applyNumberFormat="1" borderId="2" applyBorder="1" fontId="15" applyFont="1" fillId="15" applyFill="1" applyAlignment="1">
      <alignment horizontal="right"/>
    </xf>
    <xf xfId="0" numFmtId="3" applyNumberFormat="1" borderId="2" applyBorder="1" fontId="1" applyFont="1" fillId="15" applyFill="1" applyAlignment="1">
      <alignment horizontal="right"/>
    </xf>
    <xf xfId="0" numFmtId="3" applyNumberFormat="1" borderId="3" applyBorder="1" fontId="1" applyFont="1" fillId="15" applyFill="1" applyAlignment="1">
      <alignment horizontal="right"/>
    </xf>
    <xf xfId="0" numFmtId="0" borderId="3" applyBorder="1" fontId="17" applyFont="1" fillId="2" applyFill="1" applyAlignment="1">
      <alignment horizontal="left"/>
    </xf>
    <xf xfId="0" numFmtId="170" applyNumberFormat="1" borderId="2" applyBorder="1" fontId="15" applyFont="1" fillId="0" applyAlignment="1">
      <alignment horizontal="left"/>
    </xf>
    <xf xfId="0" numFmtId="0" borderId="2" applyBorder="1" fontId="31" applyFont="1" fillId="0" applyAlignment="1">
      <alignment horizontal="left"/>
    </xf>
    <xf xfId="0" numFmtId="3" applyNumberFormat="1" borderId="3" applyBorder="1" fontId="38" applyFont="1" fillId="2" applyFill="1" applyAlignment="1">
      <alignment horizontal="right"/>
    </xf>
    <xf xfId="0" numFmtId="164" applyNumberFormat="1" borderId="2" applyBorder="1" fontId="15" applyFont="1" fillId="11" applyFill="1" applyAlignment="1">
      <alignment horizontal="left"/>
    </xf>
    <xf xfId="0" numFmtId="0" borderId="2" applyBorder="1" fontId="15" applyFont="1" fillId="11" applyFill="1" applyAlignment="1">
      <alignment horizontal="left"/>
    </xf>
    <xf xfId="0" numFmtId="3" applyNumberFormat="1" borderId="2" applyBorder="1" fontId="15" applyFont="1" fillId="11" applyFill="1" applyAlignment="1">
      <alignment horizontal="left"/>
    </xf>
    <xf xfId="0" numFmtId="3" applyNumberFormat="1" borderId="2" applyBorder="1" fontId="15" applyFont="1" fillId="11" applyFill="1" applyAlignment="1">
      <alignment horizontal="right"/>
    </xf>
    <xf xfId="0" numFmtId="167" applyNumberFormat="1" borderId="2" applyBorder="1" fontId="15" applyFont="1" fillId="11" applyFill="1" applyAlignment="1">
      <alignment horizontal="left"/>
    </xf>
    <xf xfId="0" numFmtId="3" applyNumberFormat="1" borderId="3" applyBorder="1" fontId="1" applyFont="1" fillId="11" applyFill="1" applyAlignment="1">
      <alignment horizontal="right"/>
    </xf>
    <xf xfId="0" numFmtId="3" applyNumberFormat="1" borderId="3" applyBorder="1" fontId="39" applyFont="1" fillId="11" applyFill="1" applyAlignment="1">
      <alignment horizontal="left"/>
    </xf>
    <xf xfId="0" numFmtId="3" applyNumberFormat="1" borderId="3" applyBorder="1" fontId="1" applyFont="1" fillId="11" applyFill="1" applyAlignment="1">
      <alignment horizontal="left"/>
    </xf>
    <xf xfId="0" numFmtId="0" borderId="3" applyBorder="1" fontId="1" applyFont="1" fillId="11" applyFill="1" applyAlignment="1">
      <alignment horizontal="left"/>
    </xf>
    <xf xfId="0" numFmtId="3" applyNumberFormat="1" borderId="3" applyBorder="1" fontId="39" applyFont="1" fillId="2" applyFill="1" applyAlignment="1">
      <alignment horizontal="left"/>
    </xf>
    <xf xfId="0" numFmtId="3" applyNumberFormat="1" borderId="12" applyBorder="1" fontId="15" applyFont="1" fillId="0" applyAlignment="1">
      <alignment horizontal="right"/>
    </xf>
    <xf xfId="0" numFmtId="164" applyNumberFormat="1" borderId="2" applyBorder="1" fontId="15" applyFont="1" fillId="16" applyFill="1" applyAlignment="1">
      <alignment horizontal="left"/>
    </xf>
    <xf xfId="0" numFmtId="0" borderId="2" applyBorder="1" fontId="15" applyFont="1" fillId="16" applyFill="1" applyAlignment="1">
      <alignment horizontal="left"/>
    </xf>
    <xf xfId="0" numFmtId="0" borderId="3" applyBorder="1" fontId="1" applyFont="1" fillId="16" applyFill="1" applyAlignment="1">
      <alignment horizontal="left"/>
    </xf>
    <xf xfId="0" numFmtId="3" applyNumberFormat="1" borderId="2" applyBorder="1" fontId="15" applyFont="1" fillId="16" applyFill="1" applyAlignment="1">
      <alignment horizontal="right"/>
    </xf>
    <xf xfId="0" numFmtId="3" applyNumberFormat="1" borderId="2" applyBorder="1" fontId="1" applyFont="1" fillId="16" applyFill="1" applyAlignment="1">
      <alignment horizontal="right"/>
    </xf>
    <xf xfId="0" numFmtId="3" applyNumberFormat="1" borderId="2" applyBorder="1" fontId="15" applyFont="1" fillId="16" applyFill="1" applyAlignment="1">
      <alignment horizontal="left"/>
    </xf>
    <xf xfId="0" numFmtId="3" applyNumberFormat="1" borderId="3" applyBorder="1" fontId="40" applyFont="1" fillId="2" applyFill="1" applyAlignment="1">
      <alignment horizontal="right"/>
    </xf>
    <xf xfId="0" numFmtId="3" applyNumberFormat="1" borderId="3" applyBorder="1" fontId="1" applyFont="1" fillId="12" applyFill="1" applyAlignment="1">
      <alignment horizontal="left"/>
    </xf>
    <xf xfId="0" numFmtId="164" applyNumberFormat="1" borderId="2" applyBorder="1" fontId="15" applyFont="1" fillId="5" applyFill="1" applyAlignment="1">
      <alignment horizontal="left"/>
    </xf>
    <xf xfId="0" numFmtId="3" applyNumberFormat="1" borderId="3" applyBorder="1" fontId="41" applyFont="1" fillId="2" applyFill="1" applyAlignment="1">
      <alignment horizontal="right"/>
    </xf>
    <xf xfId="0" numFmtId="3" applyNumberFormat="1" borderId="3" applyBorder="1" fontId="5" applyFont="1" fillId="2" applyFill="1" applyAlignment="1">
      <alignment horizontal="right"/>
    </xf>
    <xf xfId="0" numFmtId="3" applyNumberFormat="1" borderId="16" applyBorder="1" fontId="15" applyFont="1" fillId="0" applyAlignment="1">
      <alignment horizontal="right" vertical="top"/>
    </xf>
    <xf xfId="0" numFmtId="3" applyNumberFormat="1" borderId="16" applyBorder="1" fontId="15" applyFont="1" fillId="0" applyAlignment="1">
      <alignment horizontal="right"/>
    </xf>
    <xf xfId="0" numFmtId="3" applyNumberFormat="1" borderId="18" applyBorder="1" fontId="15" applyFont="1" fillId="0" applyAlignment="1">
      <alignment horizontal="right"/>
    </xf>
    <xf xfId="0" numFmtId="167" applyNumberFormat="1" borderId="18" applyBorder="1" fontId="15" applyFont="1" fillId="0" applyAlignment="1">
      <alignment horizontal="right"/>
    </xf>
    <xf xfId="0" numFmtId="0" borderId="18" applyBorder="1" fontId="15" applyFont="1" fillId="0" applyAlignment="1">
      <alignment horizontal="right"/>
    </xf>
    <xf xfId="0" numFmtId="0" borderId="2" applyBorder="1" fontId="15" applyFont="1" fillId="0" applyAlignment="1">
      <alignment horizontal="right"/>
    </xf>
    <xf xfId="0" numFmtId="164" applyNumberFormat="1" borderId="2" applyBorder="1" fontId="15" applyFont="1" fillId="2" applyFill="1" applyAlignment="1">
      <alignment horizontal="left"/>
    </xf>
    <xf xfId="0" numFmtId="3" applyNumberFormat="1" borderId="3" applyBorder="1" fontId="1" applyFont="1" fillId="2" applyFill="1" applyAlignment="1">
      <alignment horizontal="right"/>
    </xf>
    <xf xfId="0" numFmtId="0" borderId="2" applyBorder="1" fontId="1" applyFont="1" fillId="15" applyFill="1" applyAlignment="1">
      <alignment horizontal="left"/>
    </xf>
    <xf xfId="0" numFmtId="3" applyNumberFormat="1" borderId="2" applyBorder="1" fontId="6" applyFont="1" fillId="15" applyFill="1" applyAlignment="1">
      <alignment horizontal="right"/>
    </xf>
    <xf xfId="0" numFmtId="3" applyNumberFormat="1" borderId="2" applyBorder="1" fontId="37" applyFont="1" fillId="15" applyFill="1" applyAlignment="1">
      <alignment horizontal="right"/>
    </xf>
    <xf xfId="0" numFmtId="3" applyNumberFormat="1" borderId="2" applyBorder="1" fontId="6" applyFont="1" fillId="15" applyFill="1" applyAlignment="1">
      <alignment horizontal="left"/>
    </xf>
    <xf xfId="0" numFmtId="3" applyNumberFormat="1" borderId="2" applyBorder="1" fontId="6" applyFont="1" fillId="2" applyFill="1" applyAlignment="1">
      <alignment horizontal="right"/>
    </xf>
    <xf xfId="0" numFmtId="3" applyNumberFormat="1" borderId="2" applyBorder="1" fontId="37" applyFont="1" fillId="17" applyFill="1" applyAlignment="1">
      <alignment horizontal="right"/>
    </xf>
    <xf xfId="0" numFmtId="3" applyNumberFormat="1" borderId="16" applyBorder="1" fontId="15" applyFont="1" fillId="0" applyAlignment="1">
      <alignment horizontal="center"/>
    </xf>
    <xf xfId="0" numFmtId="1" applyNumberFormat="1" borderId="16" applyBorder="1" fontId="15" applyFont="1" fillId="0" applyAlignment="1">
      <alignment horizontal="right" vertical="top" wrapText="1"/>
    </xf>
    <xf xfId="0" numFmtId="171" applyNumberFormat="1" borderId="16" applyBorder="1" fontId="15" applyFont="1" fillId="0" applyAlignment="1">
      <alignment horizontal="center" vertical="top"/>
    </xf>
    <xf xfId="0" numFmtId="3" applyNumberFormat="1" borderId="2" applyBorder="1" fontId="37" applyFont="1" fillId="2" applyFill="1" applyAlignment="1">
      <alignment horizontal="right"/>
    </xf>
    <xf xfId="0" numFmtId="167" applyNumberFormat="1" borderId="18" applyBorder="1" fontId="15" applyFont="1" fillId="0" applyAlignment="1">
      <alignment horizontal="right" wrapText="1"/>
    </xf>
    <xf xfId="0" numFmtId="171" applyNumberFormat="1" borderId="18" applyBorder="1" fontId="15" applyFont="1" fillId="0" applyAlignment="1">
      <alignment horizontal="center"/>
    </xf>
    <xf xfId="0" numFmtId="0" borderId="2" applyBorder="1" fontId="42" applyFont="1" fillId="2" applyFill="1" applyAlignment="1">
      <alignment horizontal="left"/>
    </xf>
    <xf xfId="0" numFmtId="167" applyNumberFormat="1" borderId="12" applyBorder="1" fontId="15" applyFont="1" fillId="0" applyAlignment="1">
      <alignment horizontal="right" wrapText="1"/>
    </xf>
    <xf xfId="0" numFmtId="171" applyNumberFormat="1" borderId="12" applyBorder="1" fontId="15" applyFont="1" fillId="0" applyAlignment="1">
      <alignment horizontal="center"/>
    </xf>
    <xf xfId="0" numFmtId="3" applyNumberFormat="1" borderId="2" applyBorder="1" fontId="6" applyFont="1" fillId="2" applyFill="1" applyAlignment="1">
      <alignment horizontal="left"/>
    </xf>
    <xf xfId="0" numFmtId="167" applyNumberFormat="1" borderId="2" applyBorder="1" fontId="15" applyFont="1" fillId="5" applyFill="1" applyAlignment="1">
      <alignment horizontal="left"/>
    </xf>
    <xf xfId="0" numFmtId="3" applyNumberFormat="1" borderId="3" applyBorder="1" fontId="1" applyFont="1" fillId="5" applyFill="1" applyAlignment="1">
      <alignment horizontal="right"/>
    </xf>
    <xf xfId="0" numFmtId="3" applyNumberFormat="1" borderId="3" applyBorder="1" fontId="1" applyFont="1" fillId="5" applyFill="1" applyAlignment="1">
      <alignment horizontal="left"/>
    </xf>
    <xf xfId="0" numFmtId="3" applyNumberFormat="1" borderId="11" applyBorder="1" fontId="15" applyFont="1" fillId="0" applyAlignment="1">
      <alignment horizontal="right"/>
    </xf>
    <xf xfId="0" numFmtId="0" borderId="15" applyBorder="1" fontId="15" applyFont="1" fillId="15" applyFill="1" applyAlignment="1">
      <alignment horizontal="left"/>
    </xf>
    <xf xfId="0" numFmtId="3" applyNumberFormat="1" borderId="14" applyBorder="1" fontId="15" applyFont="1" fillId="15" applyFill="1" applyAlignment="1">
      <alignment horizontal="left"/>
    </xf>
    <xf xfId="0" numFmtId="3" applyNumberFormat="1" borderId="13" applyBorder="1" fontId="15" applyFont="1" fillId="0" applyAlignment="1">
      <alignment horizontal="left"/>
    </xf>
    <xf xfId="0" numFmtId="3" applyNumberFormat="1" borderId="13" applyBorder="1" fontId="15" applyFont="1" fillId="0" applyAlignment="1">
      <alignment horizontal="right"/>
    </xf>
    <xf xfId="0" numFmtId="0" borderId="2" applyBorder="1" fontId="43" applyFont="1" fillId="2" applyFill="1" applyAlignment="1">
      <alignment horizontal="left"/>
    </xf>
    <xf xfId="0" numFmtId="3" applyNumberFormat="1" borderId="2" applyBorder="1" fontId="44" applyFont="1" fillId="2" applyFill="1" applyAlignment="1">
      <alignment horizontal="right"/>
    </xf>
    <xf xfId="0" numFmtId="171" applyNumberFormat="1" borderId="2" applyBorder="1" fontId="15" applyFont="1" fillId="0" applyAlignment="1">
      <alignment horizontal="left"/>
    </xf>
    <xf xfId="0" numFmtId="3" applyNumberFormat="1" borderId="3" applyBorder="1" fontId="6" applyFont="1" fillId="2" applyFill="1" applyAlignment="1">
      <alignment horizontal="right"/>
    </xf>
    <xf xfId="0" numFmtId="0" borderId="3" applyBorder="1" fontId="1" applyFont="1" fillId="5" applyFill="1" applyAlignment="1">
      <alignment horizontal="left"/>
    </xf>
    <xf xfId="0" numFmtId="164" applyNumberFormat="1" borderId="17" applyBorder="1" fontId="15" applyFont="1" fillId="2" applyFill="1" applyAlignment="1">
      <alignment horizontal="left"/>
    </xf>
    <xf xfId="0" numFmtId="0" borderId="17" applyBorder="1" fontId="15" applyFont="1" fillId="2" applyFill="1" applyAlignment="1">
      <alignment horizontal="left"/>
    </xf>
    <xf xfId="0" numFmtId="3" applyNumberFormat="1" borderId="17" applyBorder="1" fontId="15" applyFont="1" fillId="2" applyFill="1" applyAlignment="1">
      <alignment horizontal="left"/>
    </xf>
    <xf xfId="0" numFmtId="3" applyNumberFormat="1" borderId="17" applyBorder="1" fontId="15" applyFont="1" fillId="2" applyFill="1" applyAlignment="1">
      <alignment horizontal="right"/>
    </xf>
    <xf xfId="0" numFmtId="3" applyNumberFormat="1" borderId="17" applyBorder="1" fontId="1" applyFont="1" fillId="2" applyFill="1" applyAlignment="1">
      <alignment horizontal="right"/>
    </xf>
    <xf xfId="0" numFmtId="164" applyNumberFormat="1" borderId="15" applyBorder="1" fontId="15" applyFont="1" fillId="2" applyFill="1" applyAlignment="1">
      <alignment horizontal="left"/>
    </xf>
    <xf xfId="0" numFmtId="3" applyNumberFormat="1" borderId="15" applyBorder="1" fontId="15" applyFont="1" fillId="2" applyFill="1" applyAlignment="1">
      <alignment horizontal="right"/>
    </xf>
    <xf xfId="0" numFmtId="164" applyNumberFormat="1" borderId="3" applyBorder="1" fontId="15" applyFont="1" fillId="2" applyFill="1" applyAlignment="1">
      <alignment horizontal="left"/>
    </xf>
    <xf xfId="0" numFmtId="3" applyNumberFormat="1" borderId="1" applyBorder="1" fontId="15" applyFont="1" fillId="0" applyAlignment="1">
      <alignment horizontal="left"/>
    </xf>
    <xf xfId="0" numFmtId="3" applyNumberFormat="1" borderId="1" applyBorder="1" fontId="15" applyFont="1" fillId="0" applyAlignment="1">
      <alignment horizontal="right"/>
    </xf>
    <xf xfId="0" numFmtId="3" applyNumberFormat="1" borderId="3" applyBorder="1" fontId="15" applyFont="1" fillId="2" applyFill="1" applyAlignment="1">
      <alignment horizontal="right"/>
    </xf>
    <xf xfId="0" numFmtId="15" applyNumberFormat="1" borderId="25" applyBorder="1" fontId="15" applyFont="1" fillId="0" applyAlignment="1">
      <alignment horizontal="left" wrapText="1"/>
    </xf>
    <xf xfId="0" numFmtId="0" borderId="26" applyBorder="1" fontId="15" applyFont="1" fillId="0" applyAlignment="1">
      <alignment horizontal="left" wrapText="1"/>
    </xf>
    <xf xfId="0" numFmtId="0" borderId="27" applyBorder="1" fontId="1" applyFont="1" fillId="0" applyAlignment="1">
      <alignment horizontal="left" wrapText="1"/>
    </xf>
    <xf xfId="0" numFmtId="3" applyNumberFormat="1" borderId="26" applyBorder="1" fontId="15" applyFont="1" fillId="0" applyAlignment="1">
      <alignment horizontal="right" wrapText="1"/>
    </xf>
    <xf xfId="0" numFmtId="3" applyNumberFormat="1" borderId="26" applyBorder="1" fontId="1" applyFont="1" fillId="0" applyAlignment="1">
      <alignment horizontal="right" wrapText="1"/>
    </xf>
    <xf xfId="0" numFmtId="3" applyNumberFormat="1" borderId="26" applyBorder="1" fontId="15" applyFont="1" fillId="2" applyFill="1" applyAlignment="1">
      <alignment horizontal="right" wrapText="1"/>
    </xf>
    <xf xfId="0" numFmtId="3" applyNumberFormat="1" borderId="1" applyBorder="1" fontId="15" applyFont="1" fillId="0" applyAlignment="1">
      <alignment horizontal="right" wrapText="1"/>
    </xf>
    <xf xfId="0" numFmtId="1" applyNumberFormat="1" borderId="2" applyBorder="1" fontId="15" applyFont="1" fillId="7" applyFill="1" applyAlignment="1">
      <alignment horizontal="left"/>
    </xf>
    <xf xfId="0" numFmtId="0" borderId="2" applyBorder="1" fontId="15" applyFont="1" fillId="7" applyFill="1" applyAlignment="1">
      <alignment horizontal="left"/>
    </xf>
    <xf xfId="0" numFmtId="0" borderId="3" applyBorder="1" fontId="15" applyFont="1" fillId="7" applyFill="1" applyAlignment="1">
      <alignment horizontal="left"/>
    </xf>
    <xf xfId="0" numFmtId="3" applyNumberFormat="1" borderId="2" applyBorder="1" fontId="15" applyFont="1" fillId="7" applyFill="1" applyAlignment="1">
      <alignment horizontal="right"/>
    </xf>
    <xf xfId="0" numFmtId="3" applyNumberFormat="1" borderId="3" applyBorder="1" fontId="15" applyFont="1" fillId="7" applyFill="1" applyAlignment="1">
      <alignment horizontal="right"/>
    </xf>
    <xf xfId="0" numFmtId="3" applyNumberFormat="1" borderId="2" applyBorder="1" fontId="15" applyFont="1" fillId="7" applyFill="1" applyAlignment="1">
      <alignment horizontal="left"/>
    </xf>
    <xf xfId="0" numFmtId="167" applyNumberFormat="1" borderId="2" applyBorder="1" fontId="15" applyFont="1" fillId="7" applyFill="1" applyAlignment="1">
      <alignment horizontal="left"/>
    </xf>
    <xf xfId="0" numFmtId="3" applyNumberFormat="1" borderId="3" applyBorder="1" fontId="1" applyFont="1" fillId="7" applyFill="1" applyAlignment="1">
      <alignment horizontal="right"/>
    </xf>
    <xf xfId="0" numFmtId="3" applyNumberFormat="1" borderId="3" applyBorder="1" fontId="1" applyFont="1" fillId="7" applyFill="1" applyAlignment="1">
      <alignment horizontal="left"/>
    </xf>
    <xf xfId="0" numFmtId="3" applyNumberFormat="1" borderId="17" applyBorder="1" fontId="15" applyFont="1" fillId="2" applyFill="1" applyAlignment="1">
      <alignment horizontal="right" vertical="top"/>
    </xf>
    <xf xfId="0" numFmtId="1" applyNumberFormat="1" borderId="16" applyBorder="1" fontId="15" applyFont="1" fillId="0" applyAlignment="1">
      <alignment horizontal="center" vertical="top" wrapText="1"/>
    </xf>
    <xf xfId="0" numFmtId="167" applyNumberFormat="1" borderId="12" applyBorder="1" fontId="15" applyFont="1" fillId="0" applyAlignment="1">
      <alignment horizontal="center" wrapText="1"/>
    </xf>
    <xf xfId="0" numFmtId="0" borderId="13" applyBorder="1" fontId="15" applyFont="1" fillId="0" applyAlignment="1">
      <alignment horizontal="left"/>
    </xf>
    <xf xfId="0" numFmtId="0" borderId="16" applyBorder="1" fontId="15" applyFont="1" fillId="0" applyAlignment="1">
      <alignment horizontal="left" vertical="top"/>
    </xf>
    <xf xfId="0" numFmtId="1" applyNumberFormat="1" borderId="2" applyBorder="1" fontId="15" applyFont="1" fillId="0" applyAlignment="1">
      <alignment horizontal="center" wrapText="1"/>
    </xf>
    <xf xfId="0" numFmtId="0" borderId="3" applyBorder="1" fontId="45" applyFont="1" fillId="18" applyFill="1" applyAlignment="1">
      <alignment horizontal="left"/>
    </xf>
    <xf xfId="0" numFmtId="0" borderId="18" applyBorder="1" fontId="15" applyFont="1" fillId="0" applyAlignment="1">
      <alignment horizontal="left"/>
    </xf>
    <xf xfId="0" numFmtId="167" applyNumberFormat="1" borderId="11" applyBorder="1" fontId="15" applyFont="1" fillId="0" applyAlignment="1">
      <alignment horizontal="left"/>
    </xf>
    <xf xfId="0" numFmtId="1" applyNumberFormat="1" borderId="11" applyBorder="1" fontId="15" applyFont="1" fillId="0" applyAlignment="1">
      <alignment horizontal="left" wrapText="1"/>
    </xf>
    <xf xfId="0" numFmtId="164" applyNumberFormat="1" borderId="4" applyBorder="1" fontId="15" applyFont="1" fillId="0" applyAlignment="1">
      <alignment horizontal="left"/>
    </xf>
    <xf xfId="0" numFmtId="167" applyNumberFormat="1" borderId="19" applyBorder="1" fontId="15" applyFont="1" fillId="0" applyAlignment="1">
      <alignment horizontal="left"/>
    </xf>
    <xf xfId="0" numFmtId="0" borderId="16" applyBorder="1" fontId="15" applyFont="1" fillId="0" applyAlignment="1">
      <alignment horizontal="right"/>
    </xf>
    <xf xfId="0" numFmtId="164" applyNumberFormat="1" borderId="1" applyBorder="1" fontId="15" applyFont="1" fillId="0" applyAlignment="1">
      <alignment horizontal="left"/>
    </xf>
    <xf xfId="0" numFmtId="167" applyNumberFormat="1" borderId="12" applyBorder="1" fontId="15" applyFont="1" fillId="0" applyAlignment="1">
      <alignment horizontal="left"/>
    </xf>
    <xf xfId="0" numFmtId="3" applyNumberFormat="1" borderId="28" applyBorder="1" fontId="1" applyFont="1" fillId="0" applyAlignment="1">
      <alignment horizontal="right"/>
    </xf>
    <xf xfId="0" numFmtId="167" applyNumberFormat="1" borderId="1" applyBorder="1" fontId="1" applyFont="1" fillId="0" applyAlignment="1">
      <alignment horizontal="left"/>
    </xf>
    <xf xfId="0" numFmtId="1" applyNumberFormat="1" borderId="0" fontId="0" fillId="0" applyAlignment="1">
      <alignment horizontal="right"/>
    </xf>
    <xf xfId="0" numFmtId="172" applyNumberFormat="1" borderId="2" applyBorder="1" fontId="1" applyFont="1" fillId="0" applyAlignment="1">
      <alignment horizontal="left"/>
    </xf>
    <xf xfId="0" numFmtId="0" borderId="2" applyBorder="1" fontId="46" applyFont="1" fillId="0" applyAlignment="1">
      <alignment horizontal="left"/>
    </xf>
    <xf xfId="0" numFmtId="0" borderId="2" applyBorder="1" fontId="47" applyFont="1" fillId="0" applyAlignment="1">
      <alignment horizontal="left"/>
    </xf>
    <xf xfId="0" numFmtId="0" borderId="2" applyBorder="1" fontId="14" applyFont="1" fillId="2" applyFill="1" applyAlignment="1">
      <alignment horizontal="left"/>
    </xf>
    <xf xfId="0" numFmtId="172" applyNumberFormat="1" borderId="2" applyBorder="1" fontId="1" applyFont="1" fillId="5" applyFill="1" applyAlignment="1">
      <alignment horizontal="left"/>
    </xf>
    <xf xfId="0" numFmtId="167" applyNumberFormat="1" borderId="2" applyBorder="1" fontId="1" applyFont="1" fillId="5" applyFill="1" applyAlignment="1">
      <alignment horizontal="left"/>
    </xf>
    <xf xfId="0" numFmtId="167" applyNumberFormat="1" borderId="2" applyBorder="1" fontId="1" applyFont="1" fillId="0" applyAlignment="1">
      <alignment horizontal="left" wrapText="1"/>
    </xf>
    <xf xfId="0" numFmtId="3" applyNumberFormat="1" borderId="2" applyBorder="1" fontId="46" applyFont="1" fillId="0" applyAlignment="1">
      <alignment horizontal="right"/>
    </xf>
    <xf xfId="0" numFmtId="0" borderId="2" applyBorder="1" fontId="1" applyFont="1" fillId="5" applyFill="1" applyAlignment="1">
      <alignment horizontal="left" wrapText="1"/>
    </xf>
    <xf xfId="0" numFmtId="0" borderId="29" applyBorder="1" fontId="1" applyFont="1" fillId="5" applyFill="1" applyAlignment="1">
      <alignment horizontal="left"/>
    </xf>
    <xf xfId="0" numFmtId="172" applyNumberFormat="1" borderId="2" applyBorder="1" fontId="1" applyFont="1" fillId="16" applyFill="1" applyAlignment="1">
      <alignment horizontal="left"/>
    </xf>
    <xf xfId="0" numFmtId="0" borderId="2" applyBorder="1" fontId="1" applyFont="1" fillId="16" applyFill="1" applyAlignment="1">
      <alignment horizontal="left"/>
    </xf>
    <xf xfId="0" numFmtId="3" applyNumberFormat="1" borderId="2" applyBorder="1" fontId="1" applyFont="1" fillId="16" applyFill="1" applyAlignment="1">
      <alignment horizontal="left"/>
    </xf>
    <xf xfId="0" numFmtId="167" applyNumberFormat="1" borderId="2" applyBorder="1" fontId="1" applyFont="1" fillId="16" applyFill="1" applyAlignment="1">
      <alignment horizontal="left"/>
    </xf>
    <xf xfId="0" numFmtId="0" borderId="14" applyBorder="1" fontId="1" applyFont="1" fillId="16" applyFill="1" applyAlignment="1">
      <alignment horizontal="left"/>
    </xf>
    <xf xfId="0" numFmtId="3" applyNumberFormat="1" borderId="14" applyBorder="1" fontId="1" applyFont="1" fillId="16" applyFill="1" applyAlignment="1">
      <alignment horizontal="left"/>
    </xf>
    <xf xfId="0" numFmtId="3" applyNumberFormat="1" borderId="16" applyBorder="1" fontId="1" applyFont="1" fillId="0" applyAlignment="1">
      <alignment horizontal="center" vertical="top"/>
    </xf>
    <xf xfId="0" numFmtId="0" borderId="16" applyBorder="1" fontId="1" applyFont="1" fillId="0" applyAlignment="1">
      <alignment horizontal="center" vertical="top"/>
    </xf>
    <xf xfId="0" numFmtId="167" applyNumberFormat="1" borderId="16" applyBorder="1" fontId="1" applyFont="1" fillId="0" applyAlignment="1">
      <alignment horizontal="center" vertical="top"/>
    </xf>
    <xf xfId="0" numFmtId="0" borderId="18" applyBorder="1" fontId="1" applyFont="1" fillId="0" applyAlignment="1">
      <alignment horizontal="center"/>
    </xf>
    <xf xfId="0" numFmtId="167" applyNumberFormat="1" borderId="18" applyBorder="1" fontId="1" applyFont="1" fillId="0" applyAlignment="1">
      <alignment horizontal="center"/>
    </xf>
    <xf xfId="0" numFmtId="0" borderId="12" applyBorder="1" fontId="1" applyFont="1" fillId="0" applyAlignment="1">
      <alignment horizontal="center"/>
    </xf>
    <xf xfId="0" numFmtId="167" applyNumberFormat="1" borderId="12" applyBorder="1" fontId="1" applyFont="1" fillId="0" applyAlignment="1">
      <alignment horizontal="center"/>
    </xf>
    <xf xfId="0" numFmtId="1" applyNumberFormat="1" borderId="2" applyBorder="1" fontId="1" applyFont="1" fillId="0" applyAlignment="1">
      <alignment horizontal="center"/>
    </xf>
    <xf xfId="0" numFmtId="172" applyNumberFormat="1" borderId="1" applyBorder="1" fontId="1" applyFont="1" fillId="0" applyAlignment="1">
      <alignment horizontal="left"/>
    </xf>
    <xf xfId="0" numFmtId="0" borderId="1" applyBorder="1" fontId="46" applyFont="1" fillId="0" applyAlignment="1">
      <alignment horizontal="left"/>
    </xf>
    <xf xfId="0" numFmtId="3" applyNumberFormat="1" borderId="1" applyBorder="1" fontId="46" applyFont="1" fillId="0" applyAlignment="1">
      <alignment horizontal="left"/>
    </xf>
    <xf xfId="0" numFmtId="0" borderId="1" applyBorder="1" fontId="47" applyFont="1" fillId="0" applyAlignment="1">
      <alignment horizontal="left"/>
    </xf>
    <xf xfId="0" numFmtId="3" applyNumberFormat="1" borderId="1" applyBorder="1" fontId="9" applyFont="1" fillId="0" applyAlignment="1">
      <alignment horizontal="right"/>
    </xf>
    <xf xfId="0" numFmtId="0" borderId="11" applyBorder="1" fontId="4" applyFont="1" fillId="0" applyAlignment="1">
      <alignment horizontal="left"/>
    </xf>
    <xf xfId="0" numFmtId="0" borderId="29" applyBorder="1" fontId="4" applyFont="1" fillId="2" applyFill="1" applyAlignment="1">
      <alignment horizontal="left"/>
    </xf>
    <xf xfId="0" numFmtId="3" applyNumberFormat="1" borderId="11" applyBorder="1" fontId="4" applyFont="1" fillId="0" applyAlignment="1">
      <alignment horizontal="right"/>
    </xf>
    <xf xfId="0" numFmtId="3" applyNumberFormat="1" borderId="11" applyBorder="1" fontId="4" applyFont="1" fillId="0" applyAlignment="1">
      <alignment horizontal="left"/>
    </xf>
    <xf xfId="0" numFmtId="1" applyNumberFormat="1" borderId="11" applyBorder="1" fontId="4" applyFont="1" fillId="0" applyAlignment="1">
      <alignment horizontal="left"/>
    </xf>
    <xf xfId="0" numFmtId="172" applyNumberFormat="1" borderId="15" applyBorder="1" fontId="1" applyFont="1" fillId="5" applyFill="1" applyAlignment="1">
      <alignment horizontal="right"/>
    </xf>
    <xf xfId="0" numFmtId="0" borderId="14" applyBorder="1" fontId="1" applyFont="1" fillId="5" applyFill="1" applyAlignment="1">
      <alignment horizontal="left"/>
    </xf>
    <xf xfId="0" numFmtId="3" applyNumberFormat="1" borderId="14" applyBorder="1" fontId="1" applyFont="1" fillId="5" applyFill="1" applyAlignment="1">
      <alignment horizontal="right"/>
    </xf>
    <xf xfId="0" numFmtId="3" applyNumberFormat="1" borderId="14" applyBorder="1" fontId="1" applyFont="1" fillId="5" applyFill="1" applyAlignment="1">
      <alignment horizontal="left"/>
    </xf>
    <xf xfId="0" numFmtId="167" applyNumberFormat="1" borderId="14" applyBorder="1" fontId="1" applyFont="1" fillId="5" applyFill="1" applyAlignment="1">
      <alignment horizontal="left"/>
    </xf>
    <xf xfId="0" numFmtId="172" applyNumberFormat="1" borderId="15" applyBorder="1" fontId="1" applyFont="1" fillId="12" applyFill="1" applyAlignment="1">
      <alignment horizontal="right"/>
    </xf>
    <xf xfId="0" numFmtId="0" borderId="14" applyBorder="1" fontId="1" applyFont="1" fillId="12" applyFill="1" applyAlignment="1">
      <alignment horizontal="left"/>
    </xf>
    <xf xfId="0" numFmtId="3" applyNumberFormat="1" borderId="14" applyBorder="1" fontId="1" applyFont="1" fillId="12" applyFill="1" applyAlignment="1">
      <alignment horizontal="right"/>
    </xf>
    <xf xfId="0" numFmtId="3" applyNumberFormat="1" borderId="14" applyBorder="1" fontId="1" applyFont="1" fillId="12" applyFill="1" applyAlignment="1">
      <alignment horizontal="left"/>
    </xf>
    <xf xfId="0" numFmtId="167" applyNumberFormat="1" borderId="14" applyBorder="1" fontId="1" applyFont="1" fillId="12" applyFill="1" applyAlignment="1">
      <alignment horizontal="left"/>
    </xf>
    <xf xfId="0" numFmtId="172" applyNumberFormat="1" borderId="15" applyBorder="1" fontId="1" applyFont="1" fillId="2" applyFill="1" applyAlignment="1">
      <alignment horizontal="right"/>
    </xf>
    <xf xfId="0" numFmtId="3" applyNumberFormat="1" borderId="14" applyBorder="1" fontId="1" applyFont="1" fillId="2" applyFill="1" applyAlignment="1">
      <alignment horizontal="right"/>
    </xf>
    <xf xfId="0" numFmtId="172" applyNumberFormat="1" borderId="15" applyBorder="1" fontId="1" applyFont="1" fillId="19" applyFill="1" applyAlignment="1">
      <alignment horizontal="right"/>
    </xf>
    <xf xfId="0" numFmtId="0" borderId="14" applyBorder="1" fontId="1" applyFont="1" fillId="19" applyFill="1" applyAlignment="1">
      <alignment horizontal="left"/>
    </xf>
    <xf xfId="0" numFmtId="3" applyNumberFormat="1" borderId="14" applyBorder="1" fontId="1" applyFont="1" fillId="19" applyFill="1" applyAlignment="1">
      <alignment horizontal="right"/>
    </xf>
    <xf xfId="0" numFmtId="3" applyNumberFormat="1" borderId="14" applyBorder="1" fontId="1" applyFont="1" fillId="19" applyFill="1" applyAlignment="1">
      <alignment horizontal="left"/>
    </xf>
    <xf xfId="0" numFmtId="167" applyNumberFormat="1" borderId="14" applyBorder="1" fontId="1" applyFont="1" fillId="19" applyFill="1" applyAlignment="1">
      <alignment horizontal="left"/>
    </xf>
    <xf xfId="0" numFmtId="172" applyNumberFormat="1" borderId="12" applyBorder="1" fontId="1" applyFont="1" fillId="0" applyAlignment="1">
      <alignment horizontal="right"/>
    </xf>
    <xf xfId="0" numFmtId="167" applyNumberFormat="1" borderId="13" applyBorder="1" fontId="1" applyFont="1" fillId="0" applyAlignment="1">
      <alignment horizontal="left"/>
    </xf>
    <xf xfId="0" numFmtId="172" applyNumberFormat="1" borderId="2" applyBorder="1" fontId="1" applyFont="1" fillId="0" applyAlignment="1">
      <alignment horizontal="right"/>
    </xf>
    <xf xfId="0" numFmtId="3" applyNumberFormat="1" borderId="13" applyBorder="1" fontId="12" applyFont="1" fillId="0" applyAlignment="1">
      <alignment horizontal="right"/>
    </xf>
    <xf xfId="0" numFmtId="172" applyNumberFormat="1" borderId="15" applyBorder="1" fontId="1" applyFont="1" fillId="2" applyFill="1" applyAlignment="1">
      <alignment horizontal="left"/>
    </xf>
    <xf xfId="0" numFmtId="3" applyNumberFormat="1" borderId="11" applyBorder="1" fontId="1" applyFont="1" fillId="0" applyAlignment="1">
      <alignment horizontal="right"/>
    </xf>
    <xf xfId="0" numFmtId="172" applyNumberFormat="1" borderId="15" applyBorder="1" fontId="1" applyFont="1" fillId="20" applyFill="1" applyAlignment="1">
      <alignment horizontal="right"/>
    </xf>
    <xf xfId="0" numFmtId="0" borderId="14" applyBorder="1" fontId="1" applyFont="1" fillId="20" applyFill="1" applyAlignment="1">
      <alignment horizontal="left"/>
    </xf>
    <xf xfId="0" numFmtId="3" applyNumberFormat="1" borderId="3" applyBorder="1" fontId="1" applyFont="1" fillId="20" applyFill="1" applyAlignment="1">
      <alignment horizontal="right"/>
    </xf>
    <xf xfId="0" numFmtId="3" applyNumberFormat="1" borderId="14" applyBorder="1" fontId="1" applyFont="1" fillId="20" applyFill="1" applyAlignment="1">
      <alignment horizontal="right"/>
    </xf>
    <xf xfId="0" numFmtId="3" applyNumberFormat="1" borderId="14" applyBorder="1" fontId="1" applyFont="1" fillId="20" applyFill="1" applyAlignment="1">
      <alignment horizontal="left"/>
    </xf>
    <xf xfId="0" numFmtId="167" applyNumberFormat="1" borderId="14" applyBorder="1" fontId="1" applyFont="1" fillId="20" applyFill="1" applyAlignment="1">
      <alignment horizontal="left"/>
    </xf>
    <xf xfId="0" numFmtId="3" applyNumberFormat="1" borderId="17" applyBorder="1" fontId="1" applyFont="1" fillId="2" applyFill="1" applyAlignment="1">
      <alignment horizontal="right" vertical="top"/>
    </xf>
    <xf xfId="0" numFmtId="3" applyNumberFormat="1" borderId="5" applyBorder="1" fontId="1" applyFont="1" fillId="2" applyFill="1" applyAlignment="1">
      <alignment horizontal="right"/>
    </xf>
    <xf xfId="0" numFmtId="172" applyNumberFormat="1" borderId="2" applyBorder="1" fontId="1" applyFont="1" fillId="2" applyFill="1" applyAlignment="1">
      <alignment horizontal="right"/>
    </xf>
    <xf xfId="0" numFmtId="3" applyNumberFormat="1" borderId="15" applyBorder="1" fontId="1" applyFont="1" fillId="2" applyFill="1" applyAlignment="1">
      <alignment horizontal="right"/>
    </xf>
    <xf xfId="0" numFmtId="0" borderId="16" applyBorder="1" fontId="1" applyFont="1" fillId="0" applyAlignment="1">
      <alignment horizontal="left" vertical="top"/>
    </xf>
    <xf xfId="0" numFmtId="167" applyNumberFormat="1" borderId="12" applyBorder="1" fontId="1" applyFont="1" fillId="0" applyAlignment="1">
      <alignment horizontal="right"/>
    </xf>
    <xf xfId="0" numFmtId="3" applyNumberFormat="1" borderId="12" applyBorder="1" fontId="1" applyFont="1" fillId="0" applyAlignment="1">
      <alignment horizontal="left"/>
    </xf>
    <xf xfId="0" numFmtId="172" applyNumberFormat="1" borderId="15" applyBorder="1" fontId="1" applyFont="1" fillId="5" applyFill="1" applyAlignment="1">
      <alignment horizontal="left"/>
    </xf>
    <xf xfId="0" numFmtId="0" borderId="14" applyBorder="1" fontId="1" applyFont="1" fillId="2" applyFill="1" applyAlignment="1">
      <alignment horizontal="left"/>
    </xf>
    <xf xfId="0" numFmtId="1" applyNumberFormat="1" borderId="14" applyBorder="1" fontId="1" applyFont="1" fillId="2" applyFill="1" applyAlignment="1">
      <alignment horizontal="left"/>
    </xf>
    <xf xfId="0" numFmtId="3" applyNumberFormat="1" borderId="14" applyBorder="1" fontId="1" applyFont="1" fillId="2" applyFill="1" applyAlignment="1">
      <alignment horizontal="left"/>
    </xf>
    <xf xfId="0" numFmtId="1" applyNumberFormat="1" borderId="13" applyBorder="1" fontId="1" applyFont="1" fillId="0" applyAlignment="1">
      <alignment horizontal="left"/>
    </xf>
    <xf xfId="0" numFmtId="1" applyNumberFormat="1" borderId="13" applyBorder="1" fontId="1" applyFont="1" fillId="0" applyAlignment="1">
      <alignment horizontal="left" wrapText="1"/>
    </xf>
    <xf xfId="0" numFmtId="0" borderId="13" applyBorder="1" fontId="1" applyFont="1" fillId="0" applyAlignment="1">
      <alignment horizontal="left" wrapText="1"/>
    </xf>
    <xf xfId="0" numFmtId="1" applyNumberFormat="1" borderId="13" applyBorder="1" fontId="1" applyFont="1" fillId="0" applyAlignment="1">
      <alignment horizontal="right"/>
    </xf>
    <xf xfId="0" numFmtId="3" applyNumberFormat="1" borderId="17" applyBorder="1" fontId="1" applyFont="1" fillId="2" applyFill="1" applyAlignment="1">
      <alignment horizontal="center" vertical="top"/>
    </xf>
    <xf xfId="0" numFmtId="3" applyNumberFormat="1" borderId="15" applyBorder="1" fontId="1" applyFont="1" fillId="2" applyFill="1" applyAlignment="1">
      <alignment horizontal="center"/>
    </xf>
    <xf xfId="0" numFmtId="167" applyNumberFormat="1" borderId="13" applyBorder="1" fontId="1" applyFont="1" fillId="0" applyAlignment="1">
      <alignment horizontal="right"/>
    </xf>
    <xf xfId="0" numFmtId="1" applyNumberFormat="1" borderId="2" applyBorder="1" fontId="1" applyFont="1" fillId="0" applyAlignment="1">
      <alignment horizontal="right" wrapText="1"/>
    </xf>
    <xf xfId="0" numFmtId="3" applyNumberFormat="1" borderId="13" applyBorder="1" fontId="1" applyFont="1" fillId="0" applyAlignment="1">
      <alignment horizontal="center"/>
    </xf>
    <xf xfId="0" numFmtId="167" applyNumberFormat="1" borderId="13" applyBorder="1" fontId="1" applyFont="1" fillId="0" applyAlignment="1">
      <alignment horizontal="left" wrapText="1"/>
    </xf>
    <xf xfId="0" numFmtId="167" applyNumberFormat="1" borderId="2" applyBorder="1" fontId="1" applyFont="1" fillId="0" applyAlignment="1">
      <alignment horizontal="right"/>
    </xf>
    <xf xfId="0" numFmtId="172" applyNumberFormat="1" borderId="15" applyBorder="1" fontId="1" applyFont="1" fillId="21" applyFill="1" applyAlignment="1">
      <alignment horizontal="right"/>
    </xf>
    <xf xfId="0" numFmtId="0" borderId="14" applyBorder="1" fontId="1" applyFont="1" fillId="21" applyFill="1" applyAlignment="1">
      <alignment horizontal="left"/>
    </xf>
    <xf xfId="0" numFmtId="3" applyNumberFormat="1" borderId="14" applyBorder="1" fontId="1" applyFont="1" fillId="21" applyFill="1" applyAlignment="1">
      <alignment horizontal="right"/>
    </xf>
    <xf xfId="0" numFmtId="3" applyNumberFormat="1" borderId="14" applyBorder="1" fontId="1" applyFont="1" fillId="21" applyFill="1" applyAlignment="1">
      <alignment horizontal="left"/>
    </xf>
    <xf xfId="0" numFmtId="1" applyNumberFormat="1" borderId="14" applyBorder="1" fontId="1" applyFont="1" fillId="21" applyFill="1" applyAlignment="1">
      <alignment horizontal="left" wrapText="1"/>
    </xf>
    <xf xfId="0" numFmtId="0" borderId="14" applyBorder="1" fontId="1" applyFont="1" fillId="21" applyFill="1" applyAlignment="1">
      <alignment horizontal="left" wrapText="1"/>
    </xf>
    <xf xfId="0" numFmtId="167" applyNumberFormat="1" borderId="16" applyBorder="1" fontId="1" applyFont="1" fillId="0" applyAlignment="1">
      <alignment horizontal="right" vertical="top"/>
    </xf>
    <xf xfId="0" numFmtId="3" applyNumberFormat="1" borderId="23" applyBorder="1" fontId="1" applyFont="1" fillId="0" applyAlignment="1">
      <alignment horizontal="right"/>
    </xf>
    <xf xfId="0" numFmtId="0" borderId="6" applyBorder="1" fontId="1" applyFont="1" fillId="0" applyAlignment="1">
      <alignment horizontal="left"/>
    </xf>
    <xf xfId="0" numFmtId="172" applyNumberFormat="1" borderId="12" applyBorder="1" fontId="1" applyFont="1" fillId="0" applyAlignment="1">
      <alignment horizontal="left"/>
    </xf>
    <xf xfId="0" numFmtId="20" applyNumberFormat="1" borderId="1" applyBorder="1" fontId="1" applyFont="1" fillId="0" applyAlignment="1">
      <alignment horizontal="left"/>
    </xf>
    <xf xfId="0" numFmtId="3" applyNumberFormat="1" borderId="18" applyBorder="1" fontId="4" applyFont="1" fillId="0" applyAlignment="1">
      <alignment horizontal="right"/>
    </xf>
    <xf xfId="0" numFmtId="0" borderId="16" applyBorder="1" fontId="1" applyFont="1" fillId="0" applyAlignment="1">
      <alignment horizontal="right" vertical="top"/>
    </xf>
    <xf xfId="0" numFmtId="167" applyNumberFormat="1" borderId="18" applyBorder="1" fontId="1" applyFont="1" fillId="0" applyAlignment="1">
      <alignment horizontal="right"/>
    </xf>
    <xf xfId="0" numFmtId="0" borderId="2" applyBorder="1" fontId="48" applyFont="1" fillId="0" applyAlignment="1">
      <alignment horizontal="left"/>
    </xf>
    <xf xfId="0" numFmtId="173" applyNumberFormat="1" borderId="2" applyBorder="1" fontId="1" applyFont="1" fillId="0" applyAlignment="1">
      <alignment horizontal="left" wrapText="1"/>
    </xf>
    <xf xfId="0" numFmtId="1" applyNumberFormat="1" borderId="16" applyBorder="1" fontId="1" applyFont="1" fillId="0" applyAlignment="1">
      <alignment horizontal="right" vertical="top" wrapText="1"/>
    </xf>
    <xf xfId="0" numFmtId="167" applyNumberFormat="1" borderId="18" applyBorder="1" fontId="1" applyFont="1" fillId="0" applyAlignment="1">
      <alignment horizontal="right" wrapText="1"/>
    </xf>
    <xf xfId="0" numFmtId="0" borderId="2" applyBorder="1" fontId="49" applyFont="1" fillId="0" applyAlignment="1">
      <alignment horizontal="left"/>
    </xf>
    <xf xfId="0" numFmtId="167" applyNumberFormat="1" borderId="12" applyBorder="1" fontId="1" applyFont="1" fillId="0" applyAlignment="1">
      <alignment horizontal="right" wrapText="1"/>
    </xf>
    <xf xfId="0" numFmtId="0" borderId="2" applyBorder="1" fontId="50" applyFont="1" fillId="5" applyFill="1" applyAlignment="1">
      <alignment horizontal="left"/>
    </xf>
    <xf xfId="0" numFmtId="172" applyNumberFormat="1" borderId="2" applyBorder="1" fontId="1" applyFont="1" fillId="19" applyFill="1" applyAlignment="1">
      <alignment horizontal="left"/>
    </xf>
    <xf xfId="0" numFmtId="0" borderId="2" applyBorder="1" fontId="1" applyFont="1" fillId="19" applyFill="1" applyAlignment="1">
      <alignment horizontal="left"/>
    </xf>
    <xf xfId="0" numFmtId="3" applyNumberFormat="1" borderId="2" applyBorder="1" fontId="1" applyFont="1" fillId="19" applyFill="1" applyAlignment="1">
      <alignment horizontal="right"/>
    </xf>
    <xf xfId="0" numFmtId="3" applyNumberFormat="1" borderId="2" applyBorder="1" fontId="1" applyFont="1" fillId="19" applyFill="1" applyAlignment="1">
      <alignment horizontal="left"/>
    </xf>
    <xf xfId="0" numFmtId="167" applyNumberFormat="1" borderId="2" applyBorder="1" fontId="1" applyFont="1" fillId="19" applyFill="1" applyAlignment="1">
      <alignment horizontal="left"/>
    </xf>
    <xf xfId="0" numFmtId="1" applyNumberFormat="1" borderId="2" applyBorder="1" fontId="1" applyFont="1" fillId="19" applyFill="1" applyAlignment="1">
      <alignment horizontal="left"/>
    </xf>
    <xf xfId="0" numFmtId="3" applyNumberFormat="1" borderId="3" applyBorder="1" fontId="1" applyFont="1" fillId="19" applyFill="1" applyAlignment="1">
      <alignment horizontal="left"/>
    </xf>
    <xf xfId="0" numFmtId="0" borderId="1" applyBorder="1" fontId="48" applyFont="1" fillId="0" applyAlignment="1">
      <alignment horizontal="left"/>
    </xf>
    <xf xfId="0" numFmtId="16" applyNumberFormat="1" borderId="1" applyBorder="1" fontId="1" applyFont="1" fillId="0" applyAlignment="1">
      <alignment horizontal="left"/>
    </xf>
    <xf xfId="0" numFmtId="3" applyNumberFormat="1" borderId="2" applyBorder="1" fontId="51" applyFont="1" fillId="0" applyAlignment="1">
      <alignment horizontal="right"/>
    </xf>
    <xf xfId="0" numFmtId="1" applyNumberFormat="1" borderId="4" applyBorder="1" fontId="1" applyFont="1" fillId="0" applyAlignment="1">
      <alignment horizontal="center"/>
    </xf>
    <xf xfId="0" numFmtId="0" borderId="6" applyBorder="1" fontId="1" applyFont="1" fillId="0" applyAlignment="1">
      <alignment horizontal="center"/>
    </xf>
    <xf xfId="0" numFmtId="3" applyNumberFormat="1" borderId="2" applyBorder="1" fontId="52" applyFont="1" fillId="0" applyAlignment="1">
      <alignment horizontal="right"/>
    </xf>
    <xf xfId="0" numFmtId="0" borderId="2" applyBorder="1" fontId="52" applyFont="1" fillId="0" applyAlignment="1">
      <alignment horizontal="left"/>
    </xf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right" wrapText="1"/>
    </xf>
    <xf xfId="0" numFmtId="3" applyNumberFormat="1" borderId="1" applyBorder="1" fontId="1" applyFont="1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sharedStrings.xml" Type="http://schemas.openxmlformats.org/officeDocument/2006/relationships/sharedStrings" Id="rId20"/><Relationship Target="styles.xml" Type="http://schemas.openxmlformats.org/officeDocument/2006/relationships/styles" Id="rId21"/><Relationship Target="theme/theme1.xml" Type="http://schemas.openxmlformats.org/officeDocument/2006/relationships/theme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00"/>
  <sheetViews>
    <sheetView workbookViewId="0"/>
  </sheetViews>
  <sheetFormatPr defaultRowHeight="15" x14ac:dyDescent="0.25"/>
  <cols>
    <col min="1" max="1" style="36" width="11.005" customWidth="1" bestFit="1"/>
    <col min="2" max="2" style="37" width="11.43357142857143" customWidth="1" bestFit="1"/>
    <col min="3" max="3" style="37" width="11.43357142857143" customWidth="1" bestFit="1"/>
    <col min="4" max="4" style="37" width="9.862142857142858" customWidth="1" bestFit="1"/>
    <col min="5" max="5" style="37" width="11.43357142857143" customWidth="1" bestFit="1"/>
    <col min="6" max="6" style="37" width="11.43357142857143" customWidth="1" bestFit="1"/>
    <col min="7" max="7" style="37" width="11.43357142857143" customWidth="1" bestFit="1"/>
    <col min="8" max="8" style="36" width="22.433571428571426" customWidth="1" bestFit="1"/>
  </cols>
  <sheetData>
    <row x14ac:dyDescent="0.25" r="1" customHeight="1" ht="18.75">
      <c r="A1" s="595" t="s">
        <v>6165</v>
      </c>
      <c r="B1" s="29"/>
      <c r="C1" s="29"/>
      <c r="D1" s="29"/>
      <c r="E1" s="29"/>
      <c r="F1" s="29"/>
      <c r="G1" s="29"/>
      <c r="H1" s="34"/>
    </row>
    <row x14ac:dyDescent="0.25" r="2" customHeight="1" ht="18.75">
      <c r="A2" s="14"/>
      <c r="B2" s="17">
        <v>2019</v>
      </c>
      <c r="C2" s="200">
        <v>2020</v>
      </c>
      <c r="D2" s="17">
        <v>2021</v>
      </c>
      <c r="E2" s="17">
        <v>2022</v>
      </c>
      <c r="F2" s="17">
        <v>2023</v>
      </c>
      <c r="G2" s="219">
        <v>2024</v>
      </c>
      <c r="H2" s="3" t="s">
        <v>6166</v>
      </c>
    </row>
    <row x14ac:dyDescent="0.25" r="3" customHeight="1" ht="18.75">
      <c r="A3" s="14" t="s">
        <v>6167</v>
      </c>
      <c r="B3" s="17">
        <v>4054748</v>
      </c>
      <c r="C3" s="17">
        <v>2708658</v>
      </c>
      <c r="D3" s="17">
        <v>2016935</v>
      </c>
      <c r="E3" s="17">
        <v>2670520</v>
      </c>
      <c r="F3" s="17">
        <v>8001529</v>
      </c>
      <c r="G3" s="29"/>
      <c r="H3" s="34"/>
    </row>
    <row x14ac:dyDescent="0.25" r="4" customHeight="1" ht="18.75">
      <c r="A4" s="14" t="s">
        <v>6168</v>
      </c>
      <c r="B4" s="17">
        <v>2506986</v>
      </c>
      <c r="C4" s="17">
        <v>3722151</v>
      </c>
      <c r="D4" s="17">
        <v>1172280</v>
      </c>
      <c r="E4" s="17">
        <v>2550569</v>
      </c>
      <c r="F4" s="17">
        <v>8899888</v>
      </c>
      <c r="G4" s="29"/>
      <c r="H4" s="34"/>
    </row>
    <row x14ac:dyDescent="0.25" r="5" customHeight="1" ht="18.75">
      <c r="A5" s="14" t="s">
        <v>6169</v>
      </c>
      <c r="B5" s="17">
        <v>3088124</v>
      </c>
      <c r="C5" s="17">
        <v>2227332</v>
      </c>
      <c r="D5" s="17">
        <v>1461243</v>
      </c>
      <c r="E5" s="17">
        <v>5112299</v>
      </c>
      <c r="F5" s="17">
        <v>7286920</v>
      </c>
      <c r="G5" s="29"/>
      <c r="H5" s="34"/>
    </row>
    <row x14ac:dyDescent="0.25" r="6" customHeight="1" ht="18.75">
      <c r="A6" s="14" t="s">
        <v>6170</v>
      </c>
      <c r="B6" s="17">
        <v>3765436</v>
      </c>
      <c r="C6" s="65"/>
      <c r="D6" s="17">
        <v>1964055</v>
      </c>
      <c r="E6" s="17">
        <v>3749790</v>
      </c>
      <c r="F6" s="314">
        <v>6165018</v>
      </c>
      <c r="G6" s="29"/>
      <c r="H6" s="34"/>
    </row>
    <row x14ac:dyDescent="0.25" r="7" customHeight="1" ht="18.75">
      <c r="A7" s="14" t="s">
        <v>6171</v>
      </c>
      <c r="B7" s="17">
        <v>4087698</v>
      </c>
      <c r="C7" s="65"/>
      <c r="D7" s="17">
        <v>1421985</v>
      </c>
      <c r="E7" s="17">
        <v>8134015</v>
      </c>
      <c r="F7" s="17">
        <v>10221695</v>
      </c>
      <c r="G7" s="29"/>
      <c r="H7" s="34"/>
    </row>
    <row x14ac:dyDescent="0.25" r="8" customHeight="1" ht="18.75">
      <c r="A8" s="14" t="s">
        <v>6172</v>
      </c>
      <c r="B8" s="17">
        <v>2847899</v>
      </c>
      <c r="C8" s="65"/>
      <c r="D8" s="17">
        <v>2235817</v>
      </c>
      <c r="E8" s="17">
        <v>6914727</v>
      </c>
      <c r="F8" s="17">
        <v>11631907</v>
      </c>
      <c r="G8" s="29"/>
      <c r="H8" s="34"/>
    </row>
    <row x14ac:dyDescent="0.25" r="9" customHeight="1" ht="18.75">
      <c r="A9" s="14" t="s">
        <v>6173</v>
      </c>
      <c r="B9" s="17">
        <v>2562496</v>
      </c>
      <c r="C9" s="65"/>
      <c r="D9" s="17">
        <v>2392760</v>
      </c>
      <c r="E9" s="17">
        <v>8444336</v>
      </c>
      <c r="F9" s="17">
        <v>10756417</v>
      </c>
      <c r="G9" s="29"/>
      <c r="H9" s="34"/>
    </row>
    <row x14ac:dyDescent="0.25" r="10" customHeight="1" ht="18.75">
      <c r="A10" s="14" t="s">
        <v>6174</v>
      </c>
      <c r="B10" s="17">
        <v>3038847</v>
      </c>
      <c r="C10" s="17">
        <v>1087250</v>
      </c>
      <c r="D10" s="314">
        <v>4431247</v>
      </c>
      <c r="E10" s="17">
        <v>8414693</v>
      </c>
      <c r="F10" s="17">
        <v>10365520</v>
      </c>
      <c r="G10" s="29"/>
      <c r="H10" s="34"/>
    </row>
    <row x14ac:dyDescent="0.25" r="11" customHeight="1" ht="18.75">
      <c r="A11" s="14" t="s">
        <v>6175</v>
      </c>
      <c r="B11" s="17">
        <v>3738723</v>
      </c>
      <c r="C11" s="17">
        <v>709370</v>
      </c>
      <c r="D11" s="596">
        <v>2952131</v>
      </c>
      <c r="E11" s="17">
        <v>12182359</v>
      </c>
      <c r="F11" s="17">
        <v>10640419</v>
      </c>
      <c r="G11" s="29"/>
      <c r="H11" s="34"/>
    </row>
    <row x14ac:dyDescent="0.25" r="12" customHeight="1" ht="18.75">
      <c r="A12" s="14" t="s">
        <v>6176</v>
      </c>
      <c r="B12" s="17">
        <v>5144842</v>
      </c>
      <c r="C12" s="17">
        <v>988155</v>
      </c>
      <c r="D12" s="17">
        <v>2545712</v>
      </c>
      <c r="E12" s="17">
        <v>10620735</v>
      </c>
      <c r="F12" s="17">
        <v>17199623</v>
      </c>
      <c r="G12" s="29"/>
      <c r="H12" s="34"/>
    </row>
    <row x14ac:dyDescent="0.25" r="13" customHeight="1" ht="18.75">
      <c r="A13" s="14" t="s">
        <v>6177</v>
      </c>
      <c r="B13" s="17">
        <v>2456022</v>
      </c>
      <c r="C13" s="17">
        <v>1097157</v>
      </c>
      <c r="D13" s="17">
        <v>3959852</v>
      </c>
      <c r="E13" s="17">
        <v>7686701</v>
      </c>
      <c r="F13" s="17">
        <v>13774945</v>
      </c>
      <c r="G13" s="29"/>
      <c r="H13" s="34"/>
    </row>
    <row x14ac:dyDescent="0.25" r="14" customHeight="1" ht="18.75">
      <c r="A14" s="14" t="s">
        <v>6178</v>
      </c>
      <c r="B14" s="17">
        <v>3078458</v>
      </c>
      <c r="C14" s="17">
        <v>1115342</v>
      </c>
      <c r="D14" s="17">
        <v>3099835</v>
      </c>
      <c r="E14" s="17">
        <v>3483357</v>
      </c>
      <c r="F14" s="17">
        <v>9705932</v>
      </c>
      <c r="G14" s="29"/>
      <c r="H14" s="34"/>
    </row>
    <row x14ac:dyDescent="0.25" r="15" customHeight="1" ht="18.75">
      <c r="A15" s="597" t="s">
        <v>743</v>
      </c>
      <c r="B15" s="596">
        <f>SUM(B3:B14)</f>
      </c>
      <c r="C15" s="596">
        <f>SUM(C3:C14)</f>
      </c>
      <c r="D15" s="596">
        <f>SUM(D3:D14)</f>
      </c>
      <c r="E15" s="314">
        <f>SUM(E3:E14)</f>
      </c>
      <c r="F15" s="17">
        <f>SUM(F3:F14)</f>
      </c>
      <c r="G15" s="29"/>
      <c r="H15" s="34"/>
    </row>
    <row x14ac:dyDescent="0.25" r="16" customHeight="1" ht="18.75">
      <c r="A16" s="34"/>
      <c r="B16" s="29"/>
      <c r="C16" s="29"/>
      <c r="D16" s="29"/>
      <c r="E16" s="29"/>
      <c r="F16" s="29"/>
      <c r="G16" s="29"/>
      <c r="H16" s="34"/>
    </row>
    <row x14ac:dyDescent="0.25" r="17" customHeight="1" ht="18.75" customFormat="1" s="598">
      <c r="A17" s="599" t="s">
        <v>6179</v>
      </c>
      <c r="B17" s="600"/>
      <c r="C17" s="601" t="s">
        <v>6180</v>
      </c>
      <c r="D17" s="600"/>
      <c r="E17" s="600"/>
      <c r="F17" s="600"/>
      <c r="G17" s="600"/>
      <c r="H17" s="599"/>
    </row>
    <row x14ac:dyDescent="0.25" r="18" customHeight="1" ht="18.75">
      <c r="A18" s="34"/>
      <c r="B18" s="29"/>
      <c r="C18" s="29"/>
      <c r="D18" s="29"/>
      <c r="E18" s="29"/>
      <c r="F18" s="29"/>
      <c r="G18" s="29"/>
      <c r="H18" s="34"/>
    </row>
    <row x14ac:dyDescent="0.25" r="19" customHeight="1" ht="18.75">
      <c r="A19" s="34"/>
      <c r="B19" s="29"/>
      <c r="C19" s="29"/>
      <c r="D19" s="29"/>
      <c r="E19" s="29"/>
      <c r="F19" s="29"/>
      <c r="G19" s="29"/>
      <c r="H19" s="34"/>
    </row>
    <row x14ac:dyDescent="0.25" r="20" customHeight="1" ht="18.75">
      <c r="A20" s="34"/>
      <c r="B20" s="29"/>
      <c r="C20" s="29"/>
      <c r="D20" s="29"/>
      <c r="E20" s="29"/>
      <c r="F20" s="29"/>
      <c r="G20" s="29"/>
      <c r="H20" s="34"/>
    </row>
    <row x14ac:dyDescent="0.25" r="21" customHeight="1" ht="15.75">
      <c r="A21" s="34"/>
      <c r="B21" s="29"/>
      <c r="C21" s="29"/>
      <c r="D21" s="29"/>
      <c r="E21" s="29"/>
      <c r="F21" s="29"/>
      <c r="G21" s="29"/>
      <c r="H21" s="34"/>
    </row>
    <row x14ac:dyDescent="0.25" r="22" customHeight="1" ht="15.75">
      <c r="A22" s="34"/>
      <c r="B22" s="29"/>
      <c r="C22" s="29"/>
      <c r="D22" s="29"/>
      <c r="E22" s="29"/>
      <c r="F22" s="29"/>
      <c r="G22" s="29"/>
      <c r="H22" s="34"/>
    </row>
    <row x14ac:dyDescent="0.25" r="23" customHeight="1" ht="15.75">
      <c r="A23" s="34"/>
      <c r="B23" s="29"/>
      <c r="C23" s="29"/>
      <c r="D23" s="29"/>
      <c r="E23" s="29"/>
      <c r="F23" s="29"/>
      <c r="G23" s="29"/>
      <c r="H23" s="34"/>
    </row>
    <row x14ac:dyDescent="0.25" r="24" customHeight="1" ht="15.75">
      <c r="A24" s="34"/>
      <c r="B24" s="29"/>
      <c r="C24" s="29"/>
      <c r="D24" s="29"/>
      <c r="E24" s="29"/>
      <c r="F24" s="29"/>
      <c r="G24" s="29"/>
      <c r="H24" s="34"/>
    </row>
    <row x14ac:dyDescent="0.25" r="25" customHeight="1" ht="15.75">
      <c r="A25" s="34"/>
      <c r="B25" s="29"/>
      <c r="C25" s="29"/>
      <c r="D25" s="29"/>
      <c r="E25" s="29"/>
      <c r="F25" s="29"/>
      <c r="G25" s="29"/>
      <c r="H25" s="34"/>
    </row>
    <row x14ac:dyDescent="0.25" r="26" customHeight="1" ht="15.75">
      <c r="A26" s="34"/>
      <c r="B26" s="29"/>
      <c r="C26" s="29"/>
      <c r="D26" s="29"/>
      <c r="E26" s="29"/>
      <c r="F26" s="29"/>
      <c r="G26" s="29"/>
      <c r="H26" s="34"/>
    </row>
    <row x14ac:dyDescent="0.25" r="27" customHeight="1" ht="15.75">
      <c r="A27" s="34"/>
      <c r="B27" s="29"/>
      <c r="C27" s="29"/>
      <c r="D27" s="29"/>
      <c r="E27" s="29"/>
      <c r="F27" s="29"/>
      <c r="G27" s="29"/>
      <c r="H27" s="34"/>
    </row>
    <row x14ac:dyDescent="0.25" r="28" customHeight="1" ht="15.75">
      <c r="A28" s="34"/>
      <c r="B28" s="29"/>
      <c r="C28" s="29"/>
      <c r="D28" s="29"/>
      <c r="E28" s="29"/>
      <c r="F28" s="29"/>
      <c r="G28" s="29"/>
      <c r="H28" s="34"/>
    </row>
    <row x14ac:dyDescent="0.25" r="29" customHeight="1" ht="15.75">
      <c r="A29" s="34"/>
      <c r="B29" s="29"/>
      <c r="C29" s="29"/>
      <c r="D29" s="29"/>
      <c r="E29" s="29"/>
      <c r="F29" s="29"/>
      <c r="G29" s="29"/>
      <c r="H29" s="34"/>
    </row>
    <row x14ac:dyDescent="0.25" r="30" customHeight="1" ht="15.75">
      <c r="A30" s="34"/>
      <c r="B30" s="29"/>
      <c r="C30" s="29"/>
      <c r="D30" s="29"/>
      <c r="E30" s="29"/>
      <c r="F30" s="29"/>
      <c r="G30" s="29"/>
      <c r="H30" s="34"/>
    </row>
    <row x14ac:dyDescent="0.25" r="31" customHeight="1" ht="15.75">
      <c r="A31" s="34"/>
      <c r="B31" s="29"/>
      <c r="C31" s="29"/>
      <c r="D31" s="29"/>
      <c r="E31" s="29"/>
      <c r="F31" s="29"/>
      <c r="G31" s="29"/>
      <c r="H31" s="34"/>
    </row>
    <row x14ac:dyDescent="0.25" r="32" customHeight="1" ht="15.75">
      <c r="A32" s="34"/>
      <c r="B32" s="29"/>
      <c r="C32" s="29"/>
      <c r="D32" s="29"/>
      <c r="E32" s="29"/>
      <c r="F32" s="29"/>
      <c r="G32" s="29"/>
      <c r="H32" s="34"/>
    </row>
    <row x14ac:dyDescent="0.25" r="33" customHeight="1" ht="15.75">
      <c r="A33" s="34"/>
      <c r="B33" s="29"/>
      <c r="C33" s="29"/>
      <c r="D33" s="29"/>
      <c r="E33" s="29"/>
      <c r="F33" s="29"/>
      <c r="G33" s="29"/>
      <c r="H33" s="34"/>
    </row>
    <row x14ac:dyDescent="0.25" r="34" customHeight="1" ht="15.75">
      <c r="A34" s="34"/>
      <c r="B34" s="29"/>
      <c r="C34" s="29"/>
      <c r="D34" s="29"/>
      <c r="E34" s="29"/>
      <c r="F34" s="29"/>
      <c r="G34" s="29"/>
      <c r="H34" s="34"/>
    </row>
    <row x14ac:dyDescent="0.25" r="35" customHeight="1" ht="15.75">
      <c r="A35" s="34"/>
      <c r="B35" s="29"/>
      <c r="C35" s="29"/>
      <c r="D35" s="29"/>
      <c r="E35" s="29"/>
      <c r="F35" s="29"/>
      <c r="G35" s="29"/>
      <c r="H35" s="34"/>
    </row>
    <row x14ac:dyDescent="0.25" r="36" customHeight="1" ht="15.75">
      <c r="A36" s="34"/>
      <c r="B36" s="29"/>
      <c r="C36" s="29"/>
      <c r="D36" s="29"/>
      <c r="E36" s="29"/>
      <c r="F36" s="29"/>
      <c r="G36" s="29"/>
      <c r="H36" s="34"/>
    </row>
    <row x14ac:dyDescent="0.25" r="37" customHeight="1" ht="15.75">
      <c r="A37" s="34"/>
      <c r="B37" s="29"/>
      <c r="C37" s="29"/>
      <c r="D37" s="29"/>
      <c r="E37" s="29"/>
      <c r="F37" s="29"/>
      <c r="G37" s="29"/>
      <c r="H37" s="34"/>
    </row>
    <row x14ac:dyDescent="0.25" r="38" customHeight="1" ht="15.75">
      <c r="A38" s="34"/>
      <c r="B38" s="29"/>
      <c r="C38" s="29"/>
      <c r="D38" s="29"/>
      <c r="E38" s="29"/>
      <c r="F38" s="29"/>
      <c r="G38" s="29"/>
      <c r="H38" s="34"/>
    </row>
    <row x14ac:dyDescent="0.25" r="39" customHeight="1" ht="15.75">
      <c r="A39" s="34"/>
      <c r="B39" s="29"/>
      <c r="C39" s="29"/>
      <c r="D39" s="29"/>
      <c r="E39" s="29"/>
      <c r="F39" s="29"/>
      <c r="G39" s="29"/>
      <c r="H39" s="34"/>
    </row>
    <row x14ac:dyDescent="0.25" r="40" customHeight="1" ht="15.75">
      <c r="A40" s="34"/>
      <c r="B40" s="29"/>
      <c r="C40" s="29"/>
      <c r="D40" s="29"/>
      <c r="E40" s="29"/>
      <c r="F40" s="29"/>
      <c r="G40" s="29"/>
      <c r="H40" s="34"/>
    </row>
    <row x14ac:dyDescent="0.25" r="41" customHeight="1" ht="15.75">
      <c r="A41" s="34"/>
      <c r="B41" s="29"/>
      <c r="C41" s="29"/>
      <c r="D41" s="29"/>
      <c r="E41" s="29"/>
      <c r="F41" s="29"/>
      <c r="G41" s="29"/>
      <c r="H41" s="34"/>
    </row>
    <row x14ac:dyDescent="0.25" r="42" customHeight="1" ht="15.75">
      <c r="A42" s="34"/>
      <c r="B42" s="29"/>
      <c r="C42" s="29"/>
      <c r="D42" s="29"/>
      <c r="E42" s="29"/>
      <c r="F42" s="29"/>
      <c r="G42" s="29"/>
      <c r="H42" s="34"/>
    </row>
    <row x14ac:dyDescent="0.25" r="43" customHeight="1" ht="15.75">
      <c r="A43" s="34"/>
      <c r="B43" s="29"/>
      <c r="C43" s="29"/>
      <c r="D43" s="29"/>
      <c r="E43" s="29"/>
      <c r="F43" s="29"/>
      <c r="G43" s="29"/>
      <c r="H43" s="34"/>
    </row>
    <row x14ac:dyDescent="0.25" r="44" customHeight="1" ht="15.75">
      <c r="A44" s="34"/>
      <c r="B44" s="29"/>
      <c r="C44" s="29"/>
      <c r="D44" s="29"/>
      <c r="E44" s="29"/>
      <c r="F44" s="29"/>
      <c r="G44" s="29"/>
      <c r="H44" s="34"/>
    </row>
    <row x14ac:dyDescent="0.25" r="45" customHeight="1" ht="15.75">
      <c r="A45" s="34"/>
      <c r="B45" s="29"/>
      <c r="C45" s="29"/>
      <c r="D45" s="29"/>
      <c r="E45" s="29"/>
      <c r="F45" s="29"/>
      <c r="G45" s="29"/>
      <c r="H45" s="34"/>
    </row>
    <row x14ac:dyDescent="0.25" r="46" customHeight="1" ht="15.75">
      <c r="A46" s="34"/>
      <c r="B46" s="29"/>
      <c r="C46" s="29"/>
      <c r="D46" s="29"/>
      <c r="E46" s="29"/>
      <c r="F46" s="29"/>
      <c r="G46" s="29"/>
      <c r="H46" s="34"/>
    </row>
    <row x14ac:dyDescent="0.25" r="47" customHeight="1" ht="15.75">
      <c r="A47" s="34"/>
      <c r="B47" s="29"/>
      <c r="C47" s="29"/>
      <c r="D47" s="29"/>
      <c r="E47" s="29"/>
      <c r="F47" s="29"/>
      <c r="G47" s="29"/>
      <c r="H47" s="34"/>
    </row>
    <row x14ac:dyDescent="0.25" r="48" customHeight="1" ht="15.75">
      <c r="A48" s="34"/>
      <c r="B48" s="29"/>
      <c r="C48" s="29"/>
      <c r="D48" s="29"/>
      <c r="E48" s="29"/>
      <c r="F48" s="29"/>
      <c r="G48" s="29"/>
      <c r="H48" s="34"/>
    </row>
    <row x14ac:dyDescent="0.25" r="49" customHeight="1" ht="15.75">
      <c r="A49" s="34"/>
      <c r="B49" s="29"/>
      <c r="C49" s="29"/>
      <c r="D49" s="29"/>
      <c r="E49" s="29"/>
      <c r="F49" s="29"/>
      <c r="G49" s="29"/>
      <c r="H49" s="34"/>
    </row>
    <row x14ac:dyDescent="0.25" r="50" customHeight="1" ht="15.75">
      <c r="A50" s="34"/>
      <c r="B50" s="29"/>
      <c r="C50" s="29"/>
      <c r="D50" s="29"/>
      <c r="E50" s="29"/>
      <c r="F50" s="29"/>
      <c r="G50" s="29"/>
      <c r="H50" s="34"/>
    </row>
    <row x14ac:dyDescent="0.25" r="51" customHeight="1" ht="15.75">
      <c r="A51" s="34"/>
      <c r="B51" s="29"/>
      <c r="C51" s="29"/>
      <c r="D51" s="29"/>
      <c r="E51" s="29"/>
      <c r="F51" s="29"/>
      <c r="G51" s="29"/>
      <c r="H51" s="34"/>
    </row>
    <row x14ac:dyDescent="0.25" r="52" customHeight="1" ht="15.75">
      <c r="A52" s="34"/>
      <c r="B52" s="29"/>
      <c r="C52" s="29"/>
      <c r="D52" s="29"/>
      <c r="E52" s="29"/>
      <c r="F52" s="29"/>
      <c r="G52" s="29"/>
      <c r="H52" s="34"/>
    </row>
    <row x14ac:dyDescent="0.25" r="53" customHeight="1" ht="15.75">
      <c r="A53" s="34"/>
      <c r="B53" s="29"/>
      <c r="C53" s="29"/>
      <c r="D53" s="29"/>
      <c r="E53" s="29"/>
      <c r="F53" s="29"/>
      <c r="G53" s="29"/>
      <c r="H53" s="34"/>
    </row>
    <row x14ac:dyDescent="0.25" r="54" customHeight="1" ht="15.75">
      <c r="A54" s="34"/>
      <c r="B54" s="29"/>
      <c r="C54" s="29"/>
      <c r="D54" s="29"/>
      <c r="E54" s="29"/>
      <c r="F54" s="29"/>
      <c r="G54" s="29"/>
      <c r="H54" s="34"/>
    </row>
    <row x14ac:dyDescent="0.25" r="55" customHeight="1" ht="15.75">
      <c r="A55" s="34"/>
      <c r="B55" s="29"/>
      <c r="C55" s="29"/>
      <c r="D55" s="29"/>
      <c r="E55" s="29"/>
      <c r="F55" s="29"/>
      <c r="G55" s="29"/>
      <c r="H55" s="34"/>
    </row>
    <row x14ac:dyDescent="0.25" r="56" customHeight="1" ht="15.75">
      <c r="A56" s="34"/>
      <c r="B56" s="29"/>
      <c r="C56" s="29"/>
      <c r="D56" s="29"/>
      <c r="E56" s="29"/>
      <c r="F56" s="29"/>
      <c r="G56" s="29"/>
      <c r="H56" s="34"/>
    </row>
    <row x14ac:dyDescent="0.25" r="57" customHeight="1" ht="15.75">
      <c r="A57" s="34"/>
      <c r="B57" s="29"/>
      <c r="C57" s="29"/>
      <c r="D57" s="29"/>
      <c r="E57" s="29"/>
      <c r="F57" s="29"/>
      <c r="G57" s="29"/>
      <c r="H57" s="34"/>
    </row>
    <row x14ac:dyDescent="0.25" r="58" customHeight="1" ht="15.75">
      <c r="A58" s="34"/>
      <c r="B58" s="29"/>
      <c r="C58" s="29"/>
      <c r="D58" s="29"/>
      <c r="E58" s="29"/>
      <c r="F58" s="29"/>
      <c r="G58" s="29"/>
      <c r="H58" s="34"/>
    </row>
    <row x14ac:dyDescent="0.25" r="59" customHeight="1" ht="15.75">
      <c r="A59" s="34"/>
      <c r="B59" s="29"/>
      <c r="C59" s="29"/>
      <c r="D59" s="29"/>
      <c r="E59" s="29"/>
      <c r="F59" s="29"/>
      <c r="G59" s="29"/>
      <c r="H59" s="34"/>
    </row>
    <row x14ac:dyDescent="0.25" r="60" customHeight="1" ht="15.75">
      <c r="A60" s="34"/>
      <c r="B60" s="29"/>
      <c r="C60" s="29"/>
      <c r="D60" s="29"/>
      <c r="E60" s="29"/>
      <c r="F60" s="29"/>
      <c r="G60" s="29"/>
      <c r="H60" s="34"/>
    </row>
    <row x14ac:dyDescent="0.25" r="61" customHeight="1" ht="15.75">
      <c r="A61" s="34"/>
      <c r="B61" s="29"/>
      <c r="C61" s="29"/>
      <c r="D61" s="29"/>
      <c r="E61" s="29"/>
      <c r="F61" s="29"/>
      <c r="G61" s="29"/>
      <c r="H61" s="34"/>
    </row>
    <row x14ac:dyDescent="0.25" r="62" customHeight="1" ht="15.75">
      <c r="A62" s="34"/>
      <c r="B62" s="29"/>
      <c r="C62" s="29"/>
      <c r="D62" s="29"/>
      <c r="E62" s="29"/>
      <c r="F62" s="29"/>
      <c r="G62" s="29"/>
      <c r="H62" s="34"/>
    </row>
    <row x14ac:dyDescent="0.25" r="63" customHeight="1" ht="15.75">
      <c r="A63" s="34"/>
      <c r="B63" s="29"/>
      <c r="C63" s="29"/>
      <c r="D63" s="29"/>
      <c r="E63" s="29"/>
      <c r="F63" s="29"/>
      <c r="G63" s="29"/>
      <c r="H63" s="34"/>
    </row>
    <row x14ac:dyDescent="0.25" r="64" customHeight="1" ht="15.75">
      <c r="A64" s="34"/>
      <c r="B64" s="29"/>
      <c r="C64" s="29"/>
      <c r="D64" s="29"/>
      <c r="E64" s="29"/>
      <c r="F64" s="29"/>
      <c r="G64" s="29"/>
      <c r="H64" s="34"/>
    </row>
    <row x14ac:dyDescent="0.25" r="65" customHeight="1" ht="15.75">
      <c r="A65" s="34"/>
      <c r="B65" s="29"/>
      <c r="C65" s="29"/>
      <c r="D65" s="29"/>
      <c r="E65" s="29"/>
      <c r="F65" s="29"/>
      <c r="G65" s="29"/>
      <c r="H65" s="34"/>
    </row>
    <row x14ac:dyDescent="0.25" r="66" customHeight="1" ht="15.75">
      <c r="A66" s="34"/>
      <c r="B66" s="29"/>
      <c r="C66" s="29"/>
      <c r="D66" s="29"/>
      <c r="E66" s="29"/>
      <c r="F66" s="29"/>
      <c r="G66" s="29"/>
      <c r="H66" s="34"/>
    </row>
    <row x14ac:dyDescent="0.25" r="67" customHeight="1" ht="15.75">
      <c r="A67" s="34"/>
      <c r="B67" s="29"/>
      <c r="C67" s="29"/>
      <c r="D67" s="29"/>
      <c r="E67" s="29"/>
      <c r="F67" s="29"/>
      <c r="G67" s="29"/>
      <c r="H67" s="34"/>
    </row>
    <row x14ac:dyDescent="0.25" r="68" customHeight="1" ht="15.75">
      <c r="A68" s="34"/>
      <c r="B68" s="29"/>
      <c r="C68" s="29"/>
      <c r="D68" s="29"/>
      <c r="E68" s="29"/>
      <c r="F68" s="29"/>
      <c r="G68" s="29"/>
      <c r="H68" s="34"/>
    </row>
    <row x14ac:dyDescent="0.25" r="69" customHeight="1" ht="15.75">
      <c r="A69" s="34"/>
      <c r="B69" s="29"/>
      <c r="C69" s="29"/>
      <c r="D69" s="29"/>
      <c r="E69" s="29"/>
      <c r="F69" s="29"/>
      <c r="G69" s="29"/>
      <c r="H69" s="34"/>
    </row>
    <row x14ac:dyDescent="0.25" r="70" customHeight="1" ht="15.75">
      <c r="A70" s="34"/>
      <c r="B70" s="29"/>
      <c r="C70" s="29"/>
      <c r="D70" s="29"/>
      <c r="E70" s="29"/>
      <c r="F70" s="29"/>
      <c r="G70" s="29"/>
      <c r="H70" s="34"/>
    </row>
    <row x14ac:dyDescent="0.25" r="71" customHeight="1" ht="15.75">
      <c r="A71" s="34"/>
      <c r="B71" s="29"/>
      <c r="C71" s="29"/>
      <c r="D71" s="29"/>
      <c r="E71" s="29"/>
      <c r="F71" s="29"/>
      <c r="G71" s="29"/>
      <c r="H71" s="34"/>
    </row>
    <row x14ac:dyDescent="0.25" r="72" customHeight="1" ht="15.75">
      <c r="A72" s="34"/>
      <c r="B72" s="29"/>
      <c r="C72" s="29"/>
      <c r="D72" s="29"/>
      <c r="E72" s="29"/>
      <c r="F72" s="29"/>
      <c r="G72" s="29"/>
      <c r="H72" s="34"/>
    </row>
    <row x14ac:dyDescent="0.25" r="73" customHeight="1" ht="15.75">
      <c r="A73" s="34"/>
      <c r="B73" s="29"/>
      <c r="C73" s="29"/>
      <c r="D73" s="29"/>
      <c r="E73" s="29"/>
      <c r="F73" s="29"/>
      <c r="G73" s="29"/>
      <c r="H73" s="34"/>
    </row>
    <row x14ac:dyDescent="0.25" r="74" customHeight="1" ht="15.75">
      <c r="A74" s="34"/>
      <c r="B74" s="29"/>
      <c r="C74" s="29"/>
      <c r="D74" s="29"/>
      <c r="E74" s="29"/>
      <c r="F74" s="29"/>
      <c r="G74" s="29"/>
      <c r="H74" s="34"/>
    </row>
    <row x14ac:dyDescent="0.25" r="75" customHeight="1" ht="15.75">
      <c r="A75" s="34"/>
      <c r="B75" s="29"/>
      <c r="C75" s="29"/>
      <c r="D75" s="29"/>
      <c r="E75" s="29"/>
      <c r="F75" s="29"/>
      <c r="G75" s="29"/>
      <c r="H75" s="34"/>
    </row>
    <row x14ac:dyDescent="0.25" r="76" customHeight="1" ht="15.75">
      <c r="A76" s="34"/>
      <c r="B76" s="29"/>
      <c r="C76" s="29"/>
      <c r="D76" s="29"/>
      <c r="E76" s="29"/>
      <c r="F76" s="29"/>
      <c r="G76" s="29"/>
      <c r="H76" s="34"/>
    </row>
    <row x14ac:dyDescent="0.25" r="77" customHeight="1" ht="15.75">
      <c r="A77" s="34"/>
      <c r="B77" s="29"/>
      <c r="C77" s="29"/>
      <c r="D77" s="29"/>
      <c r="E77" s="29"/>
      <c r="F77" s="29"/>
      <c r="G77" s="29"/>
      <c r="H77" s="34"/>
    </row>
    <row x14ac:dyDescent="0.25" r="78" customHeight="1" ht="15.75">
      <c r="A78" s="34"/>
      <c r="B78" s="29"/>
      <c r="C78" s="29"/>
      <c r="D78" s="29"/>
      <c r="E78" s="29"/>
      <c r="F78" s="29"/>
      <c r="G78" s="29"/>
      <c r="H78" s="34"/>
    </row>
    <row x14ac:dyDescent="0.25" r="79" customHeight="1" ht="15.75">
      <c r="A79" s="34"/>
      <c r="B79" s="29"/>
      <c r="C79" s="29"/>
      <c r="D79" s="29"/>
      <c r="E79" s="29"/>
      <c r="F79" s="29"/>
      <c r="G79" s="29"/>
      <c r="H79" s="34"/>
    </row>
    <row x14ac:dyDescent="0.25" r="80" customHeight="1" ht="15.75">
      <c r="A80" s="34"/>
      <c r="B80" s="29"/>
      <c r="C80" s="29"/>
      <c r="D80" s="29"/>
      <c r="E80" s="29"/>
      <c r="F80" s="29"/>
      <c r="G80" s="29"/>
      <c r="H80" s="34"/>
    </row>
    <row x14ac:dyDescent="0.25" r="81" customHeight="1" ht="15.75">
      <c r="A81" s="34"/>
      <c r="B81" s="29"/>
      <c r="C81" s="29"/>
      <c r="D81" s="29"/>
      <c r="E81" s="29"/>
      <c r="F81" s="29"/>
      <c r="G81" s="29"/>
      <c r="H81" s="34"/>
    </row>
    <row x14ac:dyDescent="0.25" r="82" customHeight="1" ht="15.75">
      <c r="A82" s="34"/>
      <c r="B82" s="29"/>
      <c r="C82" s="29"/>
      <c r="D82" s="29"/>
      <c r="E82" s="29"/>
      <c r="F82" s="29"/>
      <c r="G82" s="29"/>
      <c r="H82" s="34"/>
    </row>
    <row x14ac:dyDescent="0.25" r="83" customHeight="1" ht="15.75">
      <c r="A83" s="34"/>
      <c r="B83" s="29"/>
      <c r="C83" s="29"/>
      <c r="D83" s="29"/>
      <c r="E83" s="29"/>
      <c r="F83" s="29"/>
      <c r="G83" s="29"/>
      <c r="H83" s="34"/>
    </row>
    <row x14ac:dyDescent="0.25" r="84" customHeight="1" ht="15.75">
      <c r="A84" s="34"/>
      <c r="B84" s="29"/>
      <c r="C84" s="29"/>
      <c r="D84" s="29"/>
      <c r="E84" s="29"/>
      <c r="F84" s="29"/>
      <c r="G84" s="29"/>
      <c r="H84" s="34"/>
    </row>
    <row x14ac:dyDescent="0.25" r="85" customHeight="1" ht="15.75">
      <c r="A85" s="34"/>
      <c r="B85" s="29"/>
      <c r="C85" s="29"/>
      <c r="D85" s="29"/>
      <c r="E85" s="29"/>
      <c r="F85" s="29"/>
      <c r="G85" s="29"/>
      <c r="H85" s="34"/>
    </row>
    <row x14ac:dyDescent="0.25" r="86" customHeight="1" ht="15.75">
      <c r="A86" s="34"/>
      <c r="B86" s="29"/>
      <c r="C86" s="29"/>
      <c r="D86" s="29"/>
      <c r="E86" s="29"/>
      <c r="F86" s="29"/>
      <c r="G86" s="29"/>
      <c r="H86" s="34"/>
    </row>
    <row x14ac:dyDescent="0.25" r="87" customHeight="1" ht="15.75">
      <c r="A87" s="34"/>
      <c r="B87" s="29"/>
      <c r="C87" s="29"/>
      <c r="D87" s="29"/>
      <c r="E87" s="29"/>
      <c r="F87" s="29"/>
      <c r="G87" s="29"/>
      <c r="H87" s="34"/>
    </row>
    <row x14ac:dyDescent="0.25" r="88" customHeight="1" ht="15.75">
      <c r="A88" s="34"/>
      <c r="B88" s="29"/>
      <c r="C88" s="29"/>
      <c r="D88" s="29"/>
      <c r="E88" s="29"/>
      <c r="F88" s="29"/>
      <c r="G88" s="29"/>
      <c r="H88" s="34"/>
    </row>
    <row x14ac:dyDescent="0.25" r="89" customHeight="1" ht="15.75">
      <c r="A89" s="34"/>
      <c r="B89" s="29"/>
      <c r="C89" s="29"/>
      <c r="D89" s="29"/>
      <c r="E89" s="29"/>
      <c r="F89" s="29"/>
      <c r="G89" s="29"/>
      <c r="H89" s="34"/>
    </row>
    <row x14ac:dyDescent="0.25" r="90" customHeight="1" ht="15.75">
      <c r="A90" s="34"/>
      <c r="B90" s="29"/>
      <c r="C90" s="29"/>
      <c r="D90" s="29"/>
      <c r="E90" s="29"/>
      <c r="F90" s="29"/>
      <c r="G90" s="29"/>
      <c r="H90" s="34"/>
    </row>
    <row x14ac:dyDescent="0.25" r="91" customHeight="1" ht="15.75">
      <c r="A91" s="34"/>
      <c r="B91" s="29"/>
      <c r="C91" s="29"/>
      <c r="D91" s="29"/>
      <c r="E91" s="29"/>
      <c r="F91" s="29"/>
      <c r="G91" s="29"/>
      <c r="H91" s="34"/>
    </row>
    <row x14ac:dyDescent="0.25" r="92" customHeight="1" ht="15.75">
      <c r="A92" s="34"/>
      <c r="B92" s="29"/>
      <c r="C92" s="29"/>
      <c r="D92" s="29"/>
      <c r="E92" s="29"/>
      <c r="F92" s="29"/>
      <c r="G92" s="29"/>
      <c r="H92" s="34"/>
    </row>
    <row x14ac:dyDescent="0.25" r="93" customHeight="1" ht="15.75">
      <c r="A93" s="34"/>
      <c r="B93" s="29"/>
      <c r="C93" s="29"/>
      <c r="D93" s="29"/>
      <c r="E93" s="29"/>
      <c r="F93" s="29"/>
      <c r="G93" s="29"/>
      <c r="H93" s="34"/>
    </row>
    <row x14ac:dyDescent="0.25" r="94" customHeight="1" ht="15.75">
      <c r="A94" s="34"/>
      <c r="B94" s="29"/>
      <c r="C94" s="29"/>
      <c r="D94" s="29"/>
      <c r="E94" s="29"/>
      <c r="F94" s="29"/>
      <c r="G94" s="29"/>
      <c r="H94" s="34"/>
    </row>
    <row x14ac:dyDescent="0.25" r="95" customHeight="1" ht="15.75">
      <c r="A95" s="34"/>
      <c r="B95" s="29"/>
      <c r="C95" s="29"/>
      <c r="D95" s="29"/>
      <c r="E95" s="29"/>
      <c r="F95" s="29"/>
      <c r="G95" s="29"/>
      <c r="H95" s="34"/>
    </row>
    <row x14ac:dyDescent="0.25" r="96" customHeight="1" ht="15.75">
      <c r="A96" s="34"/>
      <c r="B96" s="29"/>
      <c r="C96" s="29"/>
      <c r="D96" s="29"/>
      <c r="E96" s="29"/>
      <c r="F96" s="29"/>
      <c r="G96" s="29"/>
      <c r="H96" s="34"/>
    </row>
    <row x14ac:dyDescent="0.25" r="97" customHeight="1" ht="15.75">
      <c r="A97" s="34"/>
      <c r="B97" s="29"/>
      <c r="C97" s="29"/>
      <c r="D97" s="29"/>
      <c r="E97" s="29"/>
      <c r="F97" s="29"/>
      <c r="G97" s="29"/>
      <c r="H97" s="34"/>
    </row>
    <row x14ac:dyDescent="0.25" r="98" customHeight="1" ht="15.75">
      <c r="A98" s="34"/>
      <c r="B98" s="29"/>
      <c r="C98" s="29"/>
      <c r="D98" s="29"/>
      <c r="E98" s="29"/>
      <c r="F98" s="29"/>
      <c r="G98" s="29"/>
      <c r="H98" s="34"/>
    </row>
    <row x14ac:dyDescent="0.25" r="99" customHeight="1" ht="15.75">
      <c r="A99" s="34"/>
      <c r="B99" s="29"/>
      <c r="C99" s="29"/>
      <c r="D99" s="29"/>
      <c r="E99" s="29"/>
      <c r="F99" s="29"/>
      <c r="G99" s="29"/>
      <c r="H99" s="34"/>
    </row>
    <row x14ac:dyDescent="0.25" r="100" customHeight="1" ht="15.75">
      <c r="A100" s="34"/>
      <c r="B100" s="29"/>
      <c r="C100" s="29"/>
      <c r="D100" s="29"/>
      <c r="E100" s="29"/>
      <c r="F100" s="29"/>
      <c r="G100" s="29"/>
      <c r="H100" s="34"/>
    </row>
    <row x14ac:dyDescent="0.25" r="101" customHeight="1" ht="15.75">
      <c r="A101" s="34"/>
      <c r="B101" s="29"/>
      <c r="C101" s="29"/>
      <c r="D101" s="29"/>
      <c r="E101" s="29"/>
      <c r="F101" s="29"/>
      <c r="G101" s="29"/>
      <c r="H101" s="34"/>
    </row>
    <row x14ac:dyDescent="0.25" r="102" customHeight="1" ht="15.75">
      <c r="A102" s="34"/>
      <c r="B102" s="29"/>
      <c r="C102" s="29"/>
      <c r="D102" s="29"/>
      <c r="E102" s="29"/>
      <c r="F102" s="29"/>
      <c r="G102" s="29"/>
      <c r="H102" s="34"/>
    </row>
    <row x14ac:dyDescent="0.25" r="103" customHeight="1" ht="15.75">
      <c r="A103" s="34"/>
      <c r="B103" s="29"/>
      <c r="C103" s="29"/>
      <c r="D103" s="29"/>
      <c r="E103" s="29"/>
      <c r="F103" s="29"/>
      <c r="G103" s="29"/>
      <c r="H103" s="34"/>
    </row>
    <row x14ac:dyDescent="0.25" r="104" customHeight="1" ht="15.75">
      <c r="A104" s="34"/>
      <c r="B104" s="29"/>
      <c r="C104" s="29"/>
      <c r="D104" s="29"/>
      <c r="E104" s="29"/>
      <c r="F104" s="29"/>
      <c r="G104" s="29"/>
      <c r="H104" s="34"/>
    </row>
    <row x14ac:dyDescent="0.25" r="105" customHeight="1" ht="15.75">
      <c r="A105" s="34"/>
      <c r="B105" s="29"/>
      <c r="C105" s="29"/>
      <c r="D105" s="29"/>
      <c r="E105" s="29"/>
      <c r="F105" s="29"/>
      <c r="G105" s="29"/>
      <c r="H105" s="34"/>
    </row>
    <row x14ac:dyDescent="0.25" r="106" customHeight="1" ht="15.75">
      <c r="A106" s="34"/>
      <c r="B106" s="29"/>
      <c r="C106" s="29"/>
      <c r="D106" s="29"/>
      <c r="E106" s="29"/>
      <c r="F106" s="29"/>
      <c r="G106" s="29"/>
      <c r="H106" s="34"/>
    </row>
    <row x14ac:dyDescent="0.25" r="107" customHeight="1" ht="15.75">
      <c r="A107" s="34"/>
      <c r="B107" s="29"/>
      <c r="C107" s="29"/>
      <c r="D107" s="29"/>
      <c r="E107" s="29"/>
      <c r="F107" s="29"/>
      <c r="G107" s="29"/>
      <c r="H107" s="34"/>
    </row>
    <row x14ac:dyDescent="0.25" r="108" customHeight="1" ht="15.75">
      <c r="A108" s="34"/>
      <c r="B108" s="29"/>
      <c r="C108" s="29"/>
      <c r="D108" s="29"/>
      <c r="E108" s="29"/>
      <c r="F108" s="29"/>
      <c r="G108" s="29"/>
      <c r="H108" s="34"/>
    </row>
    <row x14ac:dyDescent="0.25" r="109" customHeight="1" ht="15.75">
      <c r="A109" s="34"/>
      <c r="B109" s="29"/>
      <c r="C109" s="29"/>
      <c r="D109" s="29"/>
      <c r="E109" s="29"/>
      <c r="F109" s="29"/>
      <c r="G109" s="29"/>
      <c r="H109" s="34"/>
    </row>
    <row x14ac:dyDescent="0.25" r="110" customHeight="1" ht="15.75">
      <c r="A110" s="34"/>
      <c r="B110" s="29"/>
      <c r="C110" s="29"/>
      <c r="D110" s="29"/>
      <c r="E110" s="29"/>
      <c r="F110" s="29"/>
      <c r="G110" s="29"/>
      <c r="H110" s="34"/>
    </row>
    <row x14ac:dyDescent="0.25" r="111" customHeight="1" ht="15.75">
      <c r="A111" s="34"/>
      <c r="B111" s="29"/>
      <c r="C111" s="29"/>
      <c r="D111" s="29"/>
      <c r="E111" s="29"/>
      <c r="F111" s="29"/>
      <c r="G111" s="29"/>
      <c r="H111" s="34"/>
    </row>
    <row x14ac:dyDescent="0.25" r="112" customHeight="1" ht="15.75">
      <c r="A112" s="34"/>
      <c r="B112" s="29"/>
      <c r="C112" s="29"/>
      <c r="D112" s="29"/>
      <c r="E112" s="29"/>
      <c r="F112" s="29"/>
      <c r="G112" s="29"/>
      <c r="H112" s="34"/>
    </row>
    <row x14ac:dyDescent="0.25" r="113" customHeight="1" ht="15.75">
      <c r="A113" s="34"/>
      <c r="B113" s="29"/>
      <c r="C113" s="29"/>
      <c r="D113" s="29"/>
      <c r="E113" s="29"/>
      <c r="F113" s="29"/>
      <c r="G113" s="29"/>
      <c r="H113" s="34"/>
    </row>
    <row x14ac:dyDescent="0.25" r="114" customHeight="1" ht="15.75">
      <c r="A114" s="34"/>
      <c r="B114" s="29"/>
      <c r="C114" s="29"/>
      <c r="D114" s="29"/>
      <c r="E114" s="29"/>
      <c r="F114" s="29"/>
      <c r="G114" s="29"/>
      <c r="H114" s="34"/>
    </row>
    <row x14ac:dyDescent="0.25" r="115" customHeight="1" ht="15.75">
      <c r="A115" s="34"/>
      <c r="B115" s="29"/>
      <c r="C115" s="29"/>
      <c r="D115" s="29"/>
      <c r="E115" s="29"/>
      <c r="F115" s="29"/>
      <c r="G115" s="29"/>
      <c r="H115" s="34"/>
    </row>
    <row x14ac:dyDescent="0.25" r="116" customHeight="1" ht="15.75">
      <c r="A116" s="34"/>
      <c r="B116" s="29"/>
      <c r="C116" s="29"/>
      <c r="D116" s="29"/>
      <c r="E116" s="29"/>
      <c r="F116" s="29"/>
      <c r="G116" s="29"/>
      <c r="H116" s="34"/>
    </row>
    <row x14ac:dyDescent="0.25" r="117" customHeight="1" ht="15.75">
      <c r="A117" s="34"/>
      <c r="B117" s="29"/>
      <c r="C117" s="29"/>
      <c r="D117" s="29"/>
      <c r="E117" s="29"/>
      <c r="F117" s="29"/>
      <c r="G117" s="29"/>
      <c r="H117" s="34"/>
    </row>
    <row x14ac:dyDescent="0.25" r="118" customHeight="1" ht="15.75">
      <c r="A118" s="34"/>
      <c r="B118" s="29"/>
      <c r="C118" s="29"/>
      <c r="D118" s="29"/>
      <c r="E118" s="29"/>
      <c r="F118" s="29"/>
      <c r="G118" s="29"/>
      <c r="H118" s="34"/>
    </row>
    <row x14ac:dyDescent="0.25" r="119" customHeight="1" ht="15.75">
      <c r="A119" s="34"/>
      <c r="B119" s="29"/>
      <c r="C119" s="29"/>
      <c r="D119" s="29"/>
      <c r="E119" s="29"/>
      <c r="F119" s="29"/>
      <c r="G119" s="29"/>
      <c r="H119" s="34"/>
    </row>
    <row x14ac:dyDescent="0.25" r="120" customHeight="1" ht="15.75">
      <c r="A120" s="34"/>
      <c r="B120" s="29"/>
      <c r="C120" s="29"/>
      <c r="D120" s="29"/>
      <c r="E120" s="29"/>
      <c r="F120" s="29"/>
      <c r="G120" s="29"/>
      <c r="H120" s="34"/>
    </row>
    <row x14ac:dyDescent="0.25" r="121" customHeight="1" ht="15.75">
      <c r="A121" s="34"/>
      <c r="B121" s="29"/>
      <c r="C121" s="29"/>
      <c r="D121" s="29"/>
      <c r="E121" s="29"/>
      <c r="F121" s="29"/>
      <c r="G121" s="29"/>
      <c r="H121" s="34"/>
    </row>
    <row x14ac:dyDescent="0.25" r="122" customHeight="1" ht="15.75">
      <c r="A122" s="34"/>
      <c r="B122" s="29"/>
      <c r="C122" s="29"/>
      <c r="D122" s="29"/>
      <c r="E122" s="29"/>
      <c r="F122" s="29"/>
      <c r="G122" s="29"/>
      <c r="H122" s="34"/>
    </row>
    <row x14ac:dyDescent="0.25" r="123" customHeight="1" ht="15.75">
      <c r="A123" s="34"/>
      <c r="B123" s="29"/>
      <c r="C123" s="29"/>
      <c r="D123" s="29"/>
      <c r="E123" s="29"/>
      <c r="F123" s="29"/>
      <c r="G123" s="29"/>
      <c r="H123" s="34"/>
    </row>
    <row x14ac:dyDescent="0.25" r="124" customHeight="1" ht="15.75">
      <c r="A124" s="34"/>
      <c r="B124" s="29"/>
      <c r="C124" s="29"/>
      <c r="D124" s="29"/>
      <c r="E124" s="29"/>
      <c r="F124" s="29"/>
      <c r="G124" s="29"/>
      <c r="H124" s="34"/>
    </row>
    <row x14ac:dyDescent="0.25" r="125" customHeight="1" ht="15.75">
      <c r="A125" s="34"/>
      <c r="B125" s="29"/>
      <c r="C125" s="29"/>
      <c r="D125" s="29"/>
      <c r="E125" s="29"/>
      <c r="F125" s="29"/>
      <c r="G125" s="29"/>
      <c r="H125" s="34"/>
    </row>
    <row x14ac:dyDescent="0.25" r="126" customHeight="1" ht="15.75">
      <c r="A126" s="34"/>
      <c r="B126" s="29"/>
      <c r="C126" s="29"/>
      <c r="D126" s="29"/>
      <c r="E126" s="29"/>
      <c r="F126" s="29"/>
      <c r="G126" s="29"/>
      <c r="H126" s="34"/>
    </row>
    <row x14ac:dyDescent="0.25" r="127" customHeight="1" ht="15.75">
      <c r="A127" s="34"/>
      <c r="B127" s="29"/>
      <c r="C127" s="29"/>
      <c r="D127" s="29"/>
      <c r="E127" s="29"/>
      <c r="F127" s="29"/>
      <c r="G127" s="29"/>
      <c r="H127" s="34"/>
    </row>
    <row x14ac:dyDescent="0.25" r="128" customHeight="1" ht="15.75">
      <c r="A128" s="34"/>
      <c r="B128" s="29"/>
      <c r="C128" s="29"/>
      <c r="D128" s="29"/>
      <c r="E128" s="29"/>
      <c r="F128" s="29"/>
      <c r="G128" s="29"/>
      <c r="H128" s="34"/>
    </row>
    <row x14ac:dyDescent="0.25" r="129" customHeight="1" ht="15.75">
      <c r="A129" s="34"/>
      <c r="B129" s="29"/>
      <c r="C129" s="29"/>
      <c r="D129" s="29"/>
      <c r="E129" s="29"/>
      <c r="F129" s="29"/>
      <c r="G129" s="29"/>
      <c r="H129" s="34"/>
    </row>
    <row x14ac:dyDescent="0.25" r="130" customHeight="1" ht="15.75">
      <c r="A130" s="34"/>
      <c r="B130" s="29"/>
      <c r="C130" s="29"/>
      <c r="D130" s="29"/>
      <c r="E130" s="29"/>
      <c r="F130" s="29"/>
      <c r="G130" s="29"/>
      <c r="H130" s="34"/>
    </row>
    <row x14ac:dyDescent="0.25" r="131" customHeight="1" ht="15.75">
      <c r="A131" s="34"/>
      <c r="B131" s="29"/>
      <c r="C131" s="29"/>
      <c r="D131" s="29"/>
      <c r="E131" s="29"/>
      <c r="F131" s="29"/>
      <c r="G131" s="29"/>
      <c r="H131" s="34"/>
    </row>
    <row x14ac:dyDescent="0.25" r="132" customHeight="1" ht="15.75">
      <c r="A132" s="34"/>
      <c r="B132" s="29"/>
      <c r="C132" s="29"/>
      <c r="D132" s="29"/>
      <c r="E132" s="29"/>
      <c r="F132" s="29"/>
      <c r="G132" s="29"/>
      <c r="H132" s="34"/>
    </row>
    <row x14ac:dyDescent="0.25" r="133" customHeight="1" ht="15.75">
      <c r="A133" s="34"/>
      <c r="B133" s="29"/>
      <c r="C133" s="29"/>
      <c r="D133" s="29"/>
      <c r="E133" s="29"/>
      <c r="F133" s="29"/>
      <c r="G133" s="29"/>
      <c r="H133" s="34"/>
    </row>
    <row x14ac:dyDescent="0.25" r="134" customHeight="1" ht="15.75">
      <c r="A134" s="34"/>
      <c r="B134" s="29"/>
      <c r="C134" s="29"/>
      <c r="D134" s="29"/>
      <c r="E134" s="29"/>
      <c r="F134" s="29"/>
      <c r="G134" s="29"/>
      <c r="H134" s="34"/>
    </row>
    <row x14ac:dyDescent="0.25" r="135" customHeight="1" ht="15.75">
      <c r="A135" s="34"/>
      <c r="B135" s="29"/>
      <c r="C135" s="29"/>
      <c r="D135" s="29"/>
      <c r="E135" s="29"/>
      <c r="F135" s="29"/>
      <c r="G135" s="29"/>
      <c r="H135" s="34"/>
    </row>
    <row x14ac:dyDescent="0.25" r="136" customHeight="1" ht="15.75">
      <c r="A136" s="34"/>
      <c r="B136" s="29"/>
      <c r="C136" s="29"/>
      <c r="D136" s="29"/>
      <c r="E136" s="29"/>
      <c r="F136" s="29"/>
      <c r="G136" s="29"/>
      <c r="H136" s="34"/>
    </row>
    <row x14ac:dyDescent="0.25" r="137" customHeight="1" ht="15.75">
      <c r="A137" s="34"/>
      <c r="B137" s="29"/>
      <c r="C137" s="29"/>
      <c r="D137" s="29"/>
      <c r="E137" s="29"/>
      <c r="F137" s="29"/>
      <c r="G137" s="29"/>
      <c r="H137" s="34"/>
    </row>
    <row x14ac:dyDescent="0.25" r="138" customHeight="1" ht="15.75">
      <c r="A138" s="34"/>
      <c r="B138" s="29"/>
      <c r="C138" s="29"/>
      <c r="D138" s="29"/>
      <c r="E138" s="29"/>
      <c r="F138" s="29"/>
      <c r="G138" s="29"/>
      <c r="H138" s="34"/>
    </row>
    <row x14ac:dyDescent="0.25" r="139" customHeight="1" ht="15.75">
      <c r="A139" s="34"/>
      <c r="B139" s="29"/>
      <c r="C139" s="29"/>
      <c r="D139" s="29"/>
      <c r="E139" s="29"/>
      <c r="F139" s="29"/>
      <c r="G139" s="29"/>
      <c r="H139" s="34"/>
    </row>
    <row x14ac:dyDescent="0.25" r="140" customHeight="1" ht="15.75">
      <c r="A140" s="34"/>
      <c r="B140" s="29"/>
      <c r="C140" s="29"/>
      <c r="D140" s="29"/>
      <c r="E140" s="29"/>
      <c r="F140" s="29"/>
      <c r="G140" s="29"/>
      <c r="H140" s="34"/>
    </row>
    <row x14ac:dyDescent="0.25" r="141" customHeight="1" ht="15.75">
      <c r="A141" s="34"/>
      <c r="B141" s="29"/>
      <c r="C141" s="29"/>
      <c r="D141" s="29"/>
      <c r="E141" s="29"/>
      <c r="F141" s="29"/>
      <c r="G141" s="29"/>
      <c r="H141" s="34"/>
    </row>
    <row x14ac:dyDescent="0.25" r="142" customHeight="1" ht="15.75">
      <c r="A142" s="34"/>
      <c r="B142" s="29"/>
      <c r="C142" s="29"/>
      <c r="D142" s="29"/>
      <c r="E142" s="29"/>
      <c r="F142" s="29"/>
      <c r="G142" s="29"/>
      <c r="H142" s="34"/>
    </row>
    <row x14ac:dyDescent="0.25" r="143" customHeight="1" ht="15.75">
      <c r="A143" s="34"/>
      <c r="B143" s="29"/>
      <c r="C143" s="29"/>
      <c r="D143" s="29"/>
      <c r="E143" s="29"/>
      <c r="F143" s="29"/>
      <c r="G143" s="29"/>
      <c r="H143" s="34"/>
    </row>
    <row x14ac:dyDescent="0.25" r="144" customHeight="1" ht="15.75">
      <c r="A144" s="34"/>
      <c r="B144" s="29"/>
      <c r="C144" s="29"/>
      <c r="D144" s="29"/>
      <c r="E144" s="29"/>
      <c r="F144" s="29"/>
      <c r="G144" s="29"/>
      <c r="H144" s="34"/>
    </row>
    <row x14ac:dyDescent="0.25" r="145" customHeight="1" ht="15.75">
      <c r="A145" s="34"/>
      <c r="B145" s="29"/>
      <c r="C145" s="29"/>
      <c r="D145" s="29"/>
      <c r="E145" s="29"/>
      <c r="F145" s="29"/>
      <c r="G145" s="29"/>
      <c r="H145" s="34"/>
    </row>
    <row x14ac:dyDescent="0.25" r="146" customHeight="1" ht="15.75">
      <c r="A146" s="34"/>
      <c r="B146" s="29"/>
      <c r="C146" s="29"/>
      <c r="D146" s="29"/>
      <c r="E146" s="29"/>
      <c r="F146" s="29"/>
      <c r="G146" s="29"/>
      <c r="H146" s="34"/>
    </row>
    <row x14ac:dyDescent="0.25" r="147" customHeight="1" ht="15.75">
      <c r="A147" s="34"/>
      <c r="B147" s="29"/>
      <c r="C147" s="29"/>
      <c r="D147" s="29"/>
      <c r="E147" s="29"/>
      <c r="F147" s="29"/>
      <c r="G147" s="29"/>
      <c r="H147" s="34"/>
    </row>
    <row x14ac:dyDescent="0.25" r="148" customHeight="1" ht="15.75">
      <c r="A148" s="34"/>
      <c r="B148" s="29"/>
      <c r="C148" s="29"/>
      <c r="D148" s="29"/>
      <c r="E148" s="29"/>
      <c r="F148" s="29"/>
      <c r="G148" s="29"/>
      <c r="H148" s="34"/>
    </row>
    <row x14ac:dyDescent="0.25" r="149" customHeight="1" ht="15.75">
      <c r="A149" s="34"/>
      <c r="B149" s="29"/>
      <c r="C149" s="29"/>
      <c r="D149" s="29"/>
      <c r="E149" s="29"/>
      <c r="F149" s="29"/>
      <c r="G149" s="29"/>
      <c r="H149" s="34"/>
    </row>
    <row x14ac:dyDescent="0.25" r="150" customHeight="1" ht="15.75">
      <c r="A150" s="34"/>
      <c r="B150" s="29"/>
      <c r="C150" s="29"/>
      <c r="D150" s="29"/>
      <c r="E150" s="29"/>
      <c r="F150" s="29"/>
      <c r="G150" s="29"/>
      <c r="H150" s="34"/>
    </row>
    <row x14ac:dyDescent="0.25" r="151" customHeight="1" ht="15.75">
      <c r="A151" s="34"/>
      <c r="B151" s="29"/>
      <c r="C151" s="29"/>
      <c r="D151" s="29"/>
      <c r="E151" s="29"/>
      <c r="F151" s="29"/>
      <c r="G151" s="29"/>
      <c r="H151" s="34"/>
    </row>
    <row x14ac:dyDescent="0.25" r="152" customHeight="1" ht="15.75">
      <c r="A152" s="34"/>
      <c r="B152" s="29"/>
      <c r="C152" s="29"/>
      <c r="D152" s="29"/>
      <c r="E152" s="29"/>
      <c r="F152" s="29"/>
      <c r="G152" s="29"/>
      <c r="H152" s="34"/>
    </row>
    <row x14ac:dyDescent="0.25" r="153" customHeight="1" ht="15.75">
      <c r="A153" s="34"/>
      <c r="B153" s="29"/>
      <c r="C153" s="29"/>
      <c r="D153" s="29"/>
      <c r="E153" s="29"/>
      <c r="F153" s="29"/>
      <c r="G153" s="29"/>
      <c r="H153" s="34"/>
    </row>
    <row x14ac:dyDescent="0.25" r="154" customHeight="1" ht="15.75">
      <c r="A154" s="34"/>
      <c r="B154" s="29"/>
      <c r="C154" s="29"/>
      <c r="D154" s="29"/>
      <c r="E154" s="29"/>
      <c r="F154" s="29"/>
      <c r="G154" s="29"/>
      <c r="H154" s="34"/>
    </row>
    <row x14ac:dyDescent="0.25" r="155" customHeight="1" ht="15.75">
      <c r="A155" s="34"/>
      <c r="B155" s="29"/>
      <c r="C155" s="29"/>
      <c r="D155" s="29"/>
      <c r="E155" s="29"/>
      <c r="F155" s="29"/>
      <c r="G155" s="29"/>
      <c r="H155" s="34"/>
    </row>
    <row x14ac:dyDescent="0.25" r="156" customHeight="1" ht="15.75">
      <c r="A156" s="34"/>
      <c r="B156" s="29"/>
      <c r="C156" s="29"/>
      <c r="D156" s="29"/>
      <c r="E156" s="29"/>
      <c r="F156" s="29"/>
      <c r="G156" s="29"/>
      <c r="H156" s="34"/>
    </row>
    <row x14ac:dyDescent="0.25" r="157" customHeight="1" ht="15.75">
      <c r="A157" s="34"/>
      <c r="B157" s="29"/>
      <c r="C157" s="29"/>
      <c r="D157" s="29"/>
      <c r="E157" s="29"/>
      <c r="F157" s="29"/>
      <c r="G157" s="29"/>
      <c r="H157" s="34"/>
    </row>
    <row x14ac:dyDescent="0.25" r="158" customHeight="1" ht="15.75">
      <c r="A158" s="34"/>
      <c r="B158" s="29"/>
      <c r="C158" s="29"/>
      <c r="D158" s="29"/>
      <c r="E158" s="29"/>
      <c r="F158" s="29"/>
      <c r="G158" s="29"/>
      <c r="H158" s="34"/>
    </row>
    <row x14ac:dyDescent="0.25" r="159" customHeight="1" ht="15.75">
      <c r="A159" s="34"/>
      <c r="B159" s="29"/>
      <c r="C159" s="29"/>
      <c r="D159" s="29"/>
      <c r="E159" s="29"/>
      <c r="F159" s="29"/>
      <c r="G159" s="29"/>
      <c r="H159" s="34"/>
    </row>
    <row x14ac:dyDescent="0.25" r="160" customHeight="1" ht="15.75">
      <c r="A160" s="34"/>
      <c r="B160" s="29"/>
      <c r="C160" s="29"/>
      <c r="D160" s="29"/>
      <c r="E160" s="29"/>
      <c r="F160" s="29"/>
      <c r="G160" s="29"/>
      <c r="H160" s="34"/>
    </row>
    <row x14ac:dyDescent="0.25" r="161" customHeight="1" ht="15.75">
      <c r="A161" s="34"/>
      <c r="B161" s="29"/>
      <c r="C161" s="29"/>
      <c r="D161" s="29"/>
      <c r="E161" s="29"/>
      <c r="F161" s="29"/>
      <c r="G161" s="29"/>
      <c r="H161" s="34"/>
    </row>
    <row x14ac:dyDescent="0.25" r="162" customHeight="1" ht="15.75">
      <c r="A162" s="34"/>
      <c r="B162" s="29"/>
      <c r="C162" s="29"/>
      <c r="D162" s="29"/>
      <c r="E162" s="29"/>
      <c r="F162" s="29"/>
      <c r="G162" s="29"/>
      <c r="H162" s="34"/>
    </row>
    <row x14ac:dyDescent="0.25" r="163" customHeight="1" ht="15.75">
      <c r="A163" s="34"/>
      <c r="B163" s="29"/>
      <c r="C163" s="29"/>
      <c r="D163" s="29"/>
      <c r="E163" s="29"/>
      <c r="F163" s="29"/>
      <c r="G163" s="29"/>
      <c r="H163" s="34"/>
    </row>
    <row x14ac:dyDescent="0.25" r="164" customHeight="1" ht="15.75">
      <c r="A164" s="34"/>
      <c r="B164" s="29"/>
      <c r="C164" s="29"/>
      <c r="D164" s="29"/>
      <c r="E164" s="29"/>
      <c r="F164" s="29"/>
      <c r="G164" s="29"/>
      <c r="H164" s="34"/>
    </row>
    <row x14ac:dyDescent="0.25" r="165" customHeight="1" ht="15.75">
      <c r="A165" s="34"/>
      <c r="B165" s="29"/>
      <c r="C165" s="29"/>
      <c r="D165" s="29"/>
      <c r="E165" s="29"/>
      <c r="F165" s="29"/>
      <c r="G165" s="29"/>
      <c r="H165" s="34"/>
    </row>
    <row x14ac:dyDescent="0.25" r="166" customHeight="1" ht="15.75">
      <c r="A166" s="34"/>
      <c r="B166" s="29"/>
      <c r="C166" s="29"/>
      <c r="D166" s="29"/>
      <c r="E166" s="29"/>
      <c r="F166" s="29"/>
      <c r="G166" s="29"/>
      <c r="H166" s="34"/>
    </row>
    <row x14ac:dyDescent="0.25" r="167" customHeight="1" ht="15.75">
      <c r="A167" s="34"/>
      <c r="B167" s="29"/>
      <c r="C167" s="29"/>
      <c r="D167" s="29"/>
      <c r="E167" s="29"/>
      <c r="F167" s="29"/>
      <c r="G167" s="29"/>
      <c r="H167" s="34"/>
    </row>
    <row x14ac:dyDescent="0.25" r="168" customHeight="1" ht="15.75">
      <c r="A168" s="34"/>
      <c r="B168" s="29"/>
      <c r="C168" s="29"/>
      <c r="D168" s="29"/>
      <c r="E168" s="29"/>
      <c r="F168" s="29"/>
      <c r="G168" s="29"/>
      <c r="H168" s="34"/>
    </row>
    <row x14ac:dyDescent="0.25" r="169" customHeight="1" ht="15.75">
      <c r="A169" s="34"/>
      <c r="B169" s="29"/>
      <c r="C169" s="29"/>
      <c r="D169" s="29"/>
      <c r="E169" s="29"/>
      <c r="F169" s="29"/>
      <c r="G169" s="29"/>
      <c r="H169" s="34"/>
    </row>
    <row x14ac:dyDescent="0.25" r="170" customHeight="1" ht="15.75">
      <c r="A170" s="34"/>
      <c r="B170" s="29"/>
      <c r="C170" s="29"/>
      <c r="D170" s="29"/>
      <c r="E170" s="29"/>
      <c r="F170" s="29"/>
      <c r="G170" s="29"/>
      <c r="H170" s="34"/>
    </row>
    <row x14ac:dyDescent="0.25" r="171" customHeight="1" ht="15.75">
      <c r="A171" s="34"/>
      <c r="B171" s="29"/>
      <c r="C171" s="29"/>
      <c r="D171" s="29"/>
      <c r="E171" s="29"/>
      <c r="F171" s="29"/>
      <c r="G171" s="29"/>
      <c r="H171" s="34"/>
    </row>
    <row x14ac:dyDescent="0.25" r="172" customHeight="1" ht="15.75">
      <c r="A172" s="34"/>
      <c r="B172" s="29"/>
      <c r="C172" s="29"/>
      <c r="D172" s="29"/>
      <c r="E172" s="29"/>
      <c r="F172" s="29"/>
      <c r="G172" s="29"/>
      <c r="H172" s="34"/>
    </row>
    <row x14ac:dyDescent="0.25" r="173" customHeight="1" ht="15.75">
      <c r="A173" s="34"/>
      <c r="B173" s="29"/>
      <c r="C173" s="29"/>
      <c r="D173" s="29"/>
      <c r="E173" s="29"/>
      <c r="F173" s="29"/>
      <c r="G173" s="29"/>
      <c r="H173" s="34"/>
    </row>
    <row x14ac:dyDescent="0.25" r="174" customHeight="1" ht="15.75">
      <c r="A174" s="34"/>
      <c r="B174" s="29"/>
      <c r="C174" s="29"/>
      <c r="D174" s="29"/>
      <c r="E174" s="29"/>
      <c r="F174" s="29"/>
      <c r="G174" s="29"/>
      <c r="H174" s="34"/>
    </row>
    <row x14ac:dyDescent="0.25" r="175" customHeight="1" ht="15.75">
      <c r="A175" s="34"/>
      <c r="B175" s="29"/>
      <c r="C175" s="29"/>
      <c r="D175" s="29"/>
      <c r="E175" s="29"/>
      <c r="F175" s="29"/>
      <c r="G175" s="29"/>
      <c r="H175" s="34"/>
    </row>
    <row x14ac:dyDescent="0.25" r="176" customHeight="1" ht="15.75">
      <c r="A176" s="34"/>
      <c r="B176" s="29"/>
      <c r="C176" s="29"/>
      <c r="D176" s="29"/>
      <c r="E176" s="29"/>
      <c r="F176" s="29"/>
      <c r="G176" s="29"/>
      <c r="H176" s="34"/>
    </row>
    <row x14ac:dyDescent="0.25" r="177" customHeight="1" ht="15.75">
      <c r="A177" s="34"/>
      <c r="B177" s="29"/>
      <c r="C177" s="29"/>
      <c r="D177" s="29"/>
      <c r="E177" s="29"/>
      <c r="F177" s="29"/>
      <c r="G177" s="29"/>
      <c r="H177" s="34"/>
    </row>
    <row x14ac:dyDescent="0.25" r="178" customHeight="1" ht="15.75">
      <c r="A178" s="34"/>
      <c r="B178" s="29"/>
      <c r="C178" s="29"/>
      <c r="D178" s="29"/>
      <c r="E178" s="29"/>
      <c r="F178" s="29"/>
      <c r="G178" s="29"/>
      <c r="H178" s="34"/>
    </row>
    <row x14ac:dyDescent="0.25" r="179" customHeight="1" ht="15.75">
      <c r="A179" s="34"/>
      <c r="B179" s="29"/>
      <c r="C179" s="29"/>
      <c r="D179" s="29"/>
      <c r="E179" s="29"/>
      <c r="F179" s="29"/>
      <c r="G179" s="29"/>
      <c r="H179" s="34"/>
    </row>
    <row x14ac:dyDescent="0.25" r="180" customHeight="1" ht="15.75">
      <c r="A180" s="34"/>
      <c r="B180" s="29"/>
      <c r="C180" s="29"/>
      <c r="D180" s="29"/>
      <c r="E180" s="29"/>
      <c r="F180" s="29"/>
      <c r="G180" s="29"/>
      <c r="H180" s="34"/>
    </row>
    <row x14ac:dyDescent="0.25" r="181" customHeight="1" ht="15.75">
      <c r="A181" s="34"/>
      <c r="B181" s="29"/>
      <c r="C181" s="29"/>
      <c r="D181" s="29"/>
      <c r="E181" s="29"/>
      <c r="F181" s="29"/>
      <c r="G181" s="29"/>
      <c r="H181" s="34"/>
    </row>
    <row x14ac:dyDescent="0.25" r="182" customHeight="1" ht="15.75">
      <c r="A182" s="34"/>
      <c r="B182" s="29"/>
      <c r="C182" s="29"/>
      <c r="D182" s="29"/>
      <c r="E182" s="29"/>
      <c r="F182" s="29"/>
      <c r="G182" s="29"/>
      <c r="H182" s="34"/>
    </row>
    <row x14ac:dyDescent="0.25" r="183" customHeight="1" ht="15.75">
      <c r="A183" s="34"/>
      <c r="B183" s="29"/>
      <c r="C183" s="29"/>
      <c r="D183" s="29"/>
      <c r="E183" s="29"/>
      <c r="F183" s="29"/>
      <c r="G183" s="29"/>
      <c r="H183" s="34"/>
    </row>
    <row x14ac:dyDescent="0.25" r="184" customHeight="1" ht="15.75">
      <c r="A184" s="34"/>
      <c r="B184" s="29"/>
      <c r="C184" s="29"/>
      <c r="D184" s="29"/>
      <c r="E184" s="29"/>
      <c r="F184" s="29"/>
      <c r="G184" s="29"/>
      <c r="H184" s="34"/>
    </row>
    <row x14ac:dyDescent="0.25" r="185" customHeight="1" ht="15.75">
      <c r="A185" s="34"/>
      <c r="B185" s="29"/>
      <c r="C185" s="29"/>
      <c r="D185" s="29"/>
      <c r="E185" s="29"/>
      <c r="F185" s="29"/>
      <c r="G185" s="29"/>
      <c r="H185" s="34"/>
    </row>
    <row x14ac:dyDescent="0.25" r="186" customHeight="1" ht="15.75">
      <c r="A186" s="34"/>
      <c r="B186" s="29"/>
      <c r="C186" s="29"/>
      <c r="D186" s="29"/>
      <c r="E186" s="29"/>
      <c r="F186" s="29"/>
      <c r="G186" s="29"/>
      <c r="H186" s="34"/>
    </row>
    <row x14ac:dyDescent="0.25" r="187" customHeight="1" ht="15.75">
      <c r="A187" s="34"/>
      <c r="B187" s="29"/>
      <c r="C187" s="29"/>
      <c r="D187" s="29"/>
      <c r="E187" s="29"/>
      <c r="F187" s="29"/>
      <c r="G187" s="29"/>
      <c r="H187" s="34"/>
    </row>
    <row x14ac:dyDescent="0.25" r="188" customHeight="1" ht="15.75">
      <c r="A188" s="34"/>
      <c r="B188" s="29"/>
      <c r="C188" s="29"/>
      <c r="D188" s="29"/>
      <c r="E188" s="29"/>
      <c r="F188" s="29"/>
      <c r="G188" s="29"/>
      <c r="H188" s="34"/>
    </row>
    <row x14ac:dyDescent="0.25" r="189" customHeight="1" ht="15.75">
      <c r="A189" s="34"/>
      <c r="B189" s="29"/>
      <c r="C189" s="29"/>
      <c r="D189" s="29"/>
      <c r="E189" s="29"/>
      <c r="F189" s="29"/>
      <c r="G189" s="29"/>
      <c r="H189" s="34"/>
    </row>
    <row x14ac:dyDescent="0.25" r="190" customHeight="1" ht="15.75">
      <c r="A190" s="34"/>
      <c r="B190" s="29"/>
      <c r="C190" s="29"/>
      <c r="D190" s="29"/>
      <c r="E190" s="29"/>
      <c r="F190" s="29"/>
      <c r="G190" s="29"/>
      <c r="H190" s="34"/>
    </row>
    <row x14ac:dyDescent="0.25" r="191" customHeight="1" ht="15.75">
      <c r="A191" s="34"/>
      <c r="B191" s="29"/>
      <c r="C191" s="29"/>
      <c r="D191" s="29"/>
      <c r="E191" s="29"/>
      <c r="F191" s="29"/>
      <c r="G191" s="29"/>
      <c r="H191" s="34"/>
    </row>
    <row x14ac:dyDescent="0.25" r="192" customHeight="1" ht="15.75">
      <c r="A192" s="34"/>
      <c r="B192" s="29"/>
      <c r="C192" s="29"/>
      <c r="D192" s="29"/>
      <c r="E192" s="29"/>
      <c r="F192" s="29"/>
      <c r="G192" s="29"/>
      <c r="H192" s="34"/>
    </row>
    <row x14ac:dyDescent="0.25" r="193" customHeight="1" ht="15.75">
      <c r="A193" s="34"/>
      <c r="B193" s="29"/>
      <c r="C193" s="29"/>
      <c r="D193" s="29"/>
      <c r="E193" s="29"/>
      <c r="F193" s="29"/>
      <c r="G193" s="29"/>
      <c r="H193" s="34"/>
    </row>
    <row x14ac:dyDescent="0.25" r="194" customHeight="1" ht="15.75">
      <c r="A194" s="34"/>
      <c r="B194" s="29"/>
      <c r="C194" s="29"/>
      <c r="D194" s="29"/>
      <c r="E194" s="29"/>
      <c r="F194" s="29"/>
      <c r="G194" s="29"/>
      <c r="H194" s="34"/>
    </row>
    <row x14ac:dyDescent="0.25" r="195" customHeight="1" ht="15.75">
      <c r="A195" s="34"/>
      <c r="B195" s="29"/>
      <c r="C195" s="29"/>
      <c r="D195" s="29"/>
      <c r="E195" s="29"/>
      <c r="F195" s="29"/>
      <c r="G195" s="29"/>
      <c r="H195" s="34"/>
    </row>
    <row x14ac:dyDescent="0.25" r="196" customHeight="1" ht="15.75">
      <c r="A196" s="34"/>
      <c r="B196" s="29"/>
      <c r="C196" s="29"/>
      <c r="D196" s="29"/>
      <c r="E196" s="29"/>
      <c r="F196" s="29"/>
      <c r="G196" s="29"/>
      <c r="H196" s="34"/>
    </row>
    <row x14ac:dyDescent="0.25" r="197" customHeight="1" ht="15.75">
      <c r="A197" s="34"/>
      <c r="B197" s="29"/>
      <c r="C197" s="29"/>
      <c r="D197" s="29"/>
      <c r="E197" s="29"/>
      <c r="F197" s="29"/>
      <c r="G197" s="29"/>
      <c r="H197" s="34"/>
    </row>
    <row x14ac:dyDescent="0.25" r="198" customHeight="1" ht="15.75">
      <c r="A198" s="34"/>
      <c r="B198" s="29"/>
      <c r="C198" s="29"/>
      <c r="D198" s="29"/>
      <c r="E198" s="29"/>
      <c r="F198" s="29"/>
      <c r="G198" s="29"/>
      <c r="H198" s="34"/>
    </row>
    <row x14ac:dyDescent="0.25" r="199" customHeight="1" ht="15.75">
      <c r="A199" s="34"/>
      <c r="B199" s="29"/>
      <c r="C199" s="29"/>
      <c r="D199" s="29"/>
      <c r="E199" s="29"/>
      <c r="F199" s="29"/>
      <c r="G199" s="29"/>
      <c r="H199" s="34"/>
    </row>
    <row x14ac:dyDescent="0.25" r="200" customHeight="1" ht="15.75">
      <c r="A200" s="34"/>
      <c r="B200" s="29"/>
      <c r="C200" s="29"/>
      <c r="D200" s="29"/>
      <c r="E200" s="29"/>
      <c r="F200" s="29"/>
      <c r="G200" s="29"/>
      <c r="H200" s="34"/>
    </row>
    <row x14ac:dyDescent="0.25" r="201" customHeight="1" ht="15.75">
      <c r="A201" s="34"/>
      <c r="B201" s="29"/>
      <c r="C201" s="29"/>
      <c r="D201" s="29"/>
      <c r="E201" s="29"/>
      <c r="F201" s="29"/>
      <c r="G201" s="29"/>
      <c r="H201" s="34"/>
    </row>
    <row x14ac:dyDescent="0.25" r="202" customHeight="1" ht="15.75">
      <c r="A202" s="34"/>
      <c r="B202" s="29"/>
      <c r="C202" s="29"/>
      <c r="D202" s="29"/>
      <c r="E202" s="29"/>
      <c r="F202" s="29"/>
      <c r="G202" s="29"/>
      <c r="H202" s="34"/>
    </row>
    <row x14ac:dyDescent="0.25" r="203" customHeight="1" ht="15.75">
      <c r="A203" s="34"/>
      <c r="B203" s="29"/>
      <c r="C203" s="29"/>
      <c r="D203" s="29"/>
      <c r="E203" s="29"/>
      <c r="F203" s="29"/>
      <c r="G203" s="29"/>
      <c r="H203" s="34"/>
    </row>
    <row x14ac:dyDescent="0.25" r="204" customHeight="1" ht="15.75">
      <c r="A204" s="34"/>
      <c r="B204" s="29"/>
      <c r="C204" s="29"/>
      <c r="D204" s="29"/>
      <c r="E204" s="29"/>
      <c r="F204" s="29"/>
      <c r="G204" s="29"/>
      <c r="H204" s="34"/>
    </row>
    <row x14ac:dyDescent="0.25" r="205" customHeight="1" ht="15.75">
      <c r="A205" s="34"/>
      <c r="B205" s="29"/>
      <c r="C205" s="29"/>
      <c r="D205" s="29"/>
      <c r="E205" s="29"/>
      <c r="F205" s="29"/>
      <c r="G205" s="29"/>
      <c r="H205" s="34"/>
    </row>
    <row x14ac:dyDescent="0.25" r="206" customHeight="1" ht="15.75">
      <c r="A206" s="34"/>
      <c r="B206" s="29"/>
      <c r="C206" s="29"/>
      <c r="D206" s="29"/>
      <c r="E206" s="29"/>
      <c r="F206" s="29"/>
      <c r="G206" s="29"/>
      <c r="H206" s="34"/>
    </row>
    <row x14ac:dyDescent="0.25" r="207" customHeight="1" ht="15.75">
      <c r="A207" s="34"/>
      <c r="B207" s="29"/>
      <c r="C207" s="29"/>
      <c r="D207" s="29"/>
      <c r="E207" s="29"/>
      <c r="F207" s="29"/>
      <c r="G207" s="29"/>
      <c r="H207" s="34"/>
    </row>
    <row x14ac:dyDescent="0.25" r="208" customHeight="1" ht="15.75">
      <c r="A208" s="34"/>
      <c r="B208" s="29"/>
      <c r="C208" s="29"/>
      <c r="D208" s="29"/>
      <c r="E208" s="29"/>
      <c r="F208" s="29"/>
      <c r="G208" s="29"/>
      <c r="H208" s="34"/>
    </row>
    <row x14ac:dyDescent="0.25" r="209" customHeight="1" ht="15.75">
      <c r="A209" s="34"/>
      <c r="B209" s="29"/>
      <c r="C209" s="29"/>
      <c r="D209" s="29"/>
      <c r="E209" s="29"/>
      <c r="F209" s="29"/>
      <c r="G209" s="29"/>
      <c r="H209" s="34"/>
    </row>
    <row x14ac:dyDescent="0.25" r="210" customHeight="1" ht="15.75">
      <c r="A210" s="34"/>
      <c r="B210" s="29"/>
      <c r="C210" s="29"/>
      <c r="D210" s="29"/>
      <c r="E210" s="29"/>
      <c r="F210" s="29"/>
      <c r="G210" s="29"/>
      <c r="H210" s="34"/>
    </row>
    <row x14ac:dyDescent="0.25" r="211" customHeight="1" ht="15.75">
      <c r="A211" s="34"/>
      <c r="B211" s="29"/>
      <c r="C211" s="29"/>
      <c r="D211" s="29"/>
      <c r="E211" s="29"/>
      <c r="F211" s="29"/>
      <c r="G211" s="29"/>
      <c r="H211" s="34"/>
    </row>
    <row x14ac:dyDescent="0.25" r="212" customHeight="1" ht="15.75">
      <c r="A212" s="34"/>
      <c r="B212" s="29"/>
      <c r="C212" s="29"/>
      <c r="D212" s="29"/>
      <c r="E212" s="29"/>
      <c r="F212" s="29"/>
      <c r="G212" s="29"/>
      <c r="H212" s="34"/>
    </row>
    <row x14ac:dyDescent="0.25" r="213" customHeight="1" ht="15.75">
      <c r="A213" s="34"/>
      <c r="B213" s="29"/>
      <c r="C213" s="29"/>
      <c r="D213" s="29"/>
      <c r="E213" s="29"/>
      <c r="F213" s="29"/>
      <c r="G213" s="29"/>
      <c r="H213" s="34"/>
    </row>
    <row x14ac:dyDescent="0.25" r="214" customHeight="1" ht="15.75">
      <c r="A214" s="34"/>
      <c r="B214" s="29"/>
      <c r="C214" s="29"/>
      <c r="D214" s="29"/>
      <c r="E214" s="29"/>
      <c r="F214" s="29"/>
      <c r="G214" s="29"/>
      <c r="H214" s="34"/>
    </row>
    <row x14ac:dyDescent="0.25" r="215" customHeight="1" ht="15.75">
      <c r="A215" s="34"/>
      <c r="B215" s="29"/>
      <c r="C215" s="29"/>
      <c r="D215" s="29"/>
      <c r="E215" s="29"/>
      <c r="F215" s="29"/>
      <c r="G215" s="29"/>
      <c r="H215" s="34"/>
    </row>
    <row x14ac:dyDescent="0.25" r="216" customHeight="1" ht="15.75">
      <c r="A216" s="34"/>
      <c r="B216" s="29"/>
      <c r="C216" s="29"/>
      <c r="D216" s="29"/>
      <c r="E216" s="29"/>
      <c r="F216" s="29"/>
      <c r="G216" s="29"/>
      <c r="H216" s="34"/>
    </row>
    <row x14ac:dyDescent="0.25" r="217" customHeight="1" ht="15.75">
      <c r="A217" s="34"/>
      <c r="B217" s="29"/>
      <c r="C217" s="29"/>
      <c r="D217" s="29"/>
      <c r="E217" s="29"/>
      <c r="F217" s="29"/>
      <c r="G217" s="29"/>
      <c r="H217" s="34"/>
    </row>
    <row x14ac:dyDescent="0.25" r="218" customHeight="1" ht="15.75">
      <c r="A218" s="34"/>
      <c r="B218" s="29"/>
      <c r="C218" s="29"/>
      <c r="D218" s="29"/>
      <c r="E218" s="29"/>
      <c r="F218" s="29"/>
      <c r="G218" s="29"/>
      <c r="H218" s="34"/>
    </row>
    <row x14ac:dyDescent="0.25" r="219" customHeight="1" ht="15.75">
      <c r="A219" s="34"/>
      <c r="B219" s="29"/>
      <c r="C219" s="29"/>
      <c r="D219" s="29"/>
      <c r="E219" s="29"/>
      <c r="F219" s="29"/>
      <c r="G219" s="29"/>
      <c r="H219" s="34"/>
    </row>
    <row x14ac:dyDescent="0.25" r="220" customHeight="1" ht="15.75">
      <c r="A220" s="34"/>
      <c r="B220" s="29"/>
      <c r="C220" s="29"/>
      <c r="D220" s="29"/>
      <c r="E220" s="29"/>
      <c r="F220" s="29"/>
      <c r="G220" s="29"/>
      <c r="H220" s="34"/>
    </row>
    <row x14ac:dyDescent="0.25" r="221" customHeight="1" ht="15.75">
      <c r="A221" s="34"/>
      <c r="B221" s="29"/>
      <c r="C221" s="29"/>
      <c r="D221" s="29"/>
      <c r="E221" s="29"/>
      <c r="F221" s="29"/>
      <c r="G221" s="29"/>
      <c r="H221" s="34"/>
    </row>
    <row x14ac:dyDescent="0.25" r="222" customHeight="1" ht="15.75">
      <c r="A222" s="34"/>
      <c r="B222" s="29"/>
      <c r="C222" s="29"/>
      <c r="D222" s="29"/>
      <c r="E222" s="29"/>
      <c r="F222" s="29"/>
      <c r="G222" s="29"/>
      <c r="H222" s="34"/>
    </row>
    <row x14ac:dyDescent="0.25" r="223" customHeight="1" ht="15.75">
      <c r="A223" s="34"/>
      <c r="B223" s="29"/>
      <c r="C223" s="29"/>
      <c r="D223" s="29"/>
      <c r="E223" s="29"/>
      <c r="F223" s="29"/>
      <c r="G223" s="29"/>
      <c r="H223" s="34"/>
    </row>
    <row x14ac:dyDescent="0.25" r="224" customHeight="1" ht="15.75">
      <c r="A224" s="34"/>
      <c r="B224" s="29"/>
      <c r="C224" s="29"/>
      <c r="D224" s="29"/>
      <c r="E224" s="29"/>
      <c r="F224" s="29"/>
      <c r="G224" s="29"/>
      <c r="H224" s="34"/>
    </row>
    <row x14ac:dyDescent="0.25" r="225" customHeight="1" ht="15.75">
      <c r="A225" s="34"/>
      <c r="B225" s="29"/>
      <c r="C225" s="29"/>
      <c r="D225" s="29"/>
      <c r="E225" s="29"/>
      <c r="F225" s="29"/>
      <c r="G225" s="29"/>
      <c r="H225" s="34"/>
    </row>
    <row x14ac:dyDescent="0.25" r="226" customHeight="1" ht="15.75">
      <c r="A226" s="34"/>
      <c r="B226" s="29"/>
      <c r="C226" s="29"/>
      <c r="D226" s="29"/>
      <c r="E226" s="29"/>
      <c r="F226" s="29"/>
      <c r="G226" s="29"/>
      <c r="H226" s="34"/>
    </row>
    <row x14ac:dyDescent="0.25" r="227" customHeight="1" ht="15.75">
      <c r="A227" s="34"/>
      <c r="B227" s="29"/>
      <c r="C227" s="29"/>
      <c r="D227" s="29"/>
      <c r="E227" s="29"/>
      <c r="F227" s="29"/>
      <c r="G227" s="29"/>
      <c r="H227" s="34"/>
    </row>
    <row x14ac:dyDescent="0.25" r="228" customHeight="1" ht="15.75">
      <c r="A228" s="34"/>
      <c r="B228" s="29"/>
      <c r="C228" s="29"/>
      <c r="D228" s="29"/>
      <c r="E228" s="29"/>
      <c r="F228" s="29"/>
      <c r="G228" s="29"/>
      <c r="H228" s="34"/>
    </row>
    <row x14ac:dyDescent="0.25" r="229" customHeight="1" ht="15.75">
      <c r="A229" s="34"/>
      <c r="B229" s="29"/>
      <c r="C229" s="29"/>
      <c r="D229" s="29"/>
      <c r="E229" s="29"/>
      <c r="F229" s="29"/>
      <c r="G229" s="29"/>
      <c r="H229" s="34"/>
    </row>
    <row x14ac:dyDescent="0.25" r="230" customHeight="1" ht="15.75">
      <c r="A230" s="34"/>
      <c r="B230" s="29"/>
      <c r="C230" s="29"/>
      <c r="D230" s="29"/>
      <c r="E230" s="29"/>
      <c r="F230" s="29"/>
      <c r="G230" s="29"/>
      <c r="H230" s="34"/>
    </row>
    <row x14ac:dyDescent="0.25" r="231" customHeight="1" ht="15.75">
      <c r="A231" s="34"/>
      <c r="B231" s="29"/>
      <c r="C231" s="29"/>
      <c r="D231" s="29"/>
      <c r="E231" s="29"/>
      <c r="F231" s="29"/>
      <c r="G231" s="29"/>
      <c r="H231" s="34"/>
    </row>
    <row x14ac:dyDescent="0.25" r="232" customHeight="1" ht="15.75">
      <c r="A232" s="34"/>
      <c r="B232" s="29"/>
      <c r="C232" s="29"/>
      <c r="D232" s="29"/>
      <c r="E232" s="29"/>
      <c r="F232" s="29"/>
      <c r="G232" s="29"/>
      <c r="H232" s="34"/>
    </row>
    <row x14ac:dyDescent="0.25" r="233" customHeight="1" ht="15.75">
      <c r="A233" s="34"/>
      <c r="B233" s="29"/>
      <c r="C233" s="29"/>
      <c r="D233" s="29"/>
      <c r="E233" s="29"/>
      <c r="F233" s="29"/>
      <c r="G233" s="29"/>
      <c r="H233" s="34"/>
    </row>
    <row x14ac:dyDescent="0.25" r="234" customHeight="1" ht="15.75">
      <c r="A234" s="34"/>
      <c r="B234" s="29"/>
      <c r="C234" s="29"/>
      <c r="D234" s="29"/>
      <c r="E234" s="29"/>
      <c r="F234" s="29"/>
      <c r="G234" s="29"/>
      <c r="H234" s="34"/>
    </row>
    <row x14ac:dyDescent="0.25" r="235" customHeight="1" ht="15.75">
      <c r="A235" s="34"/>
      <c r="B235" s="29"/>
      <c r="C235" s="29"/>
      <c r="D235" s="29"/>
      <c r="E235" s="29"/>
      <c r="F235" s="29"/>
      <c r="G235" s="29"/>
      <c r="H235" s="34"/>
    </row>
    <row x14ac:dyDescent="0.25" r="236" customHeight="1" ht="15.75">
      <c r="A236" s="34"/>
      <c r="B236" s="29"/>
      <c r="C236" s="29"/>
      <c r="D236" s="29"/>
      <c r="E236" s="29"/>
      <c r="F236" s="29"/>
      <c r="G236" s="29"/>
      <c r="H236" s="34"/>
    </row>
    <row x14ac:dyDescent="0.25" r="237" customHeight="1" ht="15.75">
      <c r="A237" s="34"/>
      <c r="B237" s="29"/>
      <c r="C237" s="29"/>
      <c r="D237" s="29"/>
      <c r="E237" s="29"/>
      <c r="F237" s="29"/>
      <c r="G237" s="29"/>
      <c r="H237" s="34"/>
    </row>
    <row x14ac:dyDescent="0.25" r="238" customHeight="1" ht="15.75">
      <c r="A238" s="34"/>
      <c r="B238" s="29"/>
      <c r="C238" s="29"/>
      <c r="D238" s="29"/>
      <c r="E238" s="29"/>
      <c r="F238" s="29"/>
      <c r="G238" s="29"/>
      <c r="H238" s="34"/>
    </row>
    <row x14ac:dyDescent="0.25" r="239" customHeight="1" ht="15.75">
      <c r="A239" s="34"/>
      <c r="B239" s="29"/>
      <c r="C239" s="29"/>
      <c r="D239" s="29"/>
      <c r="E239" s="29"/>
      <c r="F239" s="29"/>
      <c r="G239" s="29"/>
      <c r="H239" s="34"/>
    </row>
    <row x14ac:dyDescent="0.25" r="240" customHeight="1" ht="15.75">
      <c r="A240" s="34"/>
      <c r="B240" s="29"/>
      <c r="C240" s="29"/>
      <c r="D240" s="29"/>
      <c r="E240" s="29"/>
      <c r="F240" s="29"/>
      <c r="G240" s="29"/>
      <c r="H240" s="34"/>
    </row>
    <row x14ac:dyDescent="0.25" r="241" customHeight="1" ht="15.75">
      <c r="A241" s="34"/>
      <c r="B241" s="29"/>
      <c r="C241" s="29"/>
      <c r="D241" s="29"/>
      <c r="E241" s="29"/>
      <c r="F241" s="29"/>
      <c r="G241" s="29"/>
      <c r="H241" s="34"/>
    </row>
    <row x14ac:dyDescent="0.25" r="242" customHeight="1" ht="15.75">
      <c r="A242" s="34"/>
      <c r="B242" s="29"/>
      <c r="C242" s="29"/>
      <c r="D242" s="29"/>
      <c r="E242" s="29"/>
      <c r="F242" s="29"/>
      <c r="G242" s="29"/>
      <c r="H242" s="34"/>
    </row>
    <row x14ac:dyDescent="0.25" r="243" customHeight="1" ht="15.75">
      <c r="A243" s="34"/>
      <c r="B243" s="29"/>
      <c r="C243" s="29"/>
      <c r="D243" s="29"/>
      <c r="E243" s="29"/>
      <c r="F243" s="29"/>
      <c r="G243" s="29"/>
      <c r="H243" s="34"/>
    </row>
    <row x14ac:dyDescent="0.25" r="244" customHeight="1" ht="15.75">
      <c r="A244" s="34"/>
      <c r="B244" s="29"/>
      <c r="C244" s="29"/>
      <c r="D244" s="29"/>
      <c r="E244" s="29"/>
      <c r="F244" s="29"/>
      <c r="G244" s="29"/>
      <c r="H244" s="34"/>
    </row>
    <row x14ac:dyDescent="0.25" r="245" customHeight="1" ht="15.75">
      <c r="A245" s="34"/>
      <c r="B245" s="29"/>
      <c r="C245" s="29"/>
      <c r="D245" s="29"/>
      <c r="E245" s="29"/>
      <c r="F245" s="29"/>
      <c r="G245" s="29"/>
      <c r="H245" s="34"/>
    </row>
    <row x14ac:dyDescent="0.25" r="246" customHeight="1" ht="15.75">
      <c r="A246" s="34"/>
      <c r="B246" s="29"/>
      <c r="C246" s="29"/>
      <c r="D246" s="29"/>
      <c r="E246" s="29"/>
      <c r="F246" s="29"/>
      <c r="G246" s="29"/>
      <c r="H246" s="34"/>
    </row>
    <row x14ac:dyDescent="0.25" r="247" customHeight="1" ht="15.75">
      <c r="A247" s="34"/>
      <c r="B247" s="29"/>
      <c r="C247" s="29"/>
      <c r="D247" s="29"/>
      <c r="E247" s="29"/>
      <c r="F247" s="29"/>
      <c r="G247" s="29"/>
      <c r="H247" s="34"/>
    </row>
    <row x14ac:dyDescent="0.25" r="248" customHeight="1" ht="15.75">
      <c r="A248" s="34"/>
      <c r="B248" s="29"/>
      <c r="C248" s="29"/>
      <c r="D248" s="29"/>
      <c r="E248" s="29"/>
      <c r="F248" s="29"/>
      <c r="G248" s="29"/>
      <c r="H248" s="34"/>
    </row>
    <row x14ac:dyDescent="0.25" r="249" customHeight="1" ht="15.75">
      <c r="A249" s="34"/>
      <c r="B249" s="29"/>
      <c r="C249" s="29"/>
      <c r="D249" s="29"/>
      <c r="E249" s="29"/>
      <c r="F249" s="29"/>
      <c r="G249" s="29"/>
      <c r="H249" s="34"/>
    </row>
    <row x14ac:dyDescent="0.25" r="250" customHeight="1" ht="15.75">
      <c r="A250" s="34"/>
      <c r="B250" s="29"/>
      <c r="C250" s="29"/>
      <c r="D250" s="29"/>
      <c r="E250" s="29"/>
      <c r="F250" s="29"/>
      <c r="G250" s="29"/>
      <c r="H250" s="34"/>
    </row>
    <row x14ac:dyDescent="0.25" r="251" customHeight="1" ht="15.75">
      <c r="A251" s="34"/>
      <c r="B251" s="29"/>
      <c r="C251" s="29"/>
      <c r="D251" s="29"/>
      <c r="E251" s="29"/>
      <c r="F251" s="29"/>
      <c r="G251" s="29"/>
      <c r="H251" s="34"/>
    </row>
    <row x14ac:dyDescent="0.25" r="252" customHeight="1" ht="15.75">
      <c r="A252" s="34"/>
      <c r="B252" s="29"/>
      <c r="C252" s="29"/>
      <c r="D252" s="29"/>
      <c r="E252" s="29"/>
      <c r="F252" s="29"/>
      <c r="G252" s="29"/>
      <c r="H252" s="34"/>
    </row>
    <row x14ac:dyDescent="0.25" r="253" customHeight="1" ht="15.75">
      <c r="A253" s="34"/>
      <c r="B253" s="29"/>
      <c r="C253" s="29"/>
      <c r="D253" s="29"/>
      <c r="E253" s="29"/>
      <c r="F253" s="29"/>
      <c r="G253" s="29"/>
      <c r="H253" s="34"/>
    </row>
    <row x14ac:dyDescent="0.25" r="254" customHeight="1" ht="15.75">
      <c r="A254" s="34"/>
      <c r="B254" s="29"/>
      <c r="C254" s="29"/>
      <c r="D254" s="29"/>
      <c r="E254" s="29"/>
      <c r="F254" s="29"/>
      <c r="G254" s="29"/>
      <c r="H254" s="34"/>
    </row>
    <row x14ac:dyDescent="0.25" r="255" customHeight="1" ht="15.75">
      <c r="A255" s="34"/>
      <c r="B255" s="29"/>
      <c r="C255" s="29"/>
      <c r="D255" s="29"/>
      <c r="E255" s="29"/>
      <c r="F255" s="29"/>
      <c r="G255" s="29"/>
      <c r="H255" s="34"/>
    </row>
    <row x14ac:dyDescent="0.25" r="256" customHeight="1" ht="15.75">
      <c r="A256" s="34"/>
      <c r="B256" s="29"/>
      <c r="C256" s="29"/>
      <c r="D256" s="29"/>
      <c r="E256" s="29"/>
      <c r="F256" s="29"/>
      <c r="G256" s="29"/>
      <c r="H256" s="34"/>
    </row>
    <row x14ac:dyDescent="0.25" r="257" customHeight="1" ht="15.75">
      <c r="A257" s="34"/>
      <c r="B257" s="29"/>
      <c r="C257" s="29"/>
      <c r="D257" s="29"/>
      <c r="E257" s="29"/>
      <c r="F257" s="29"/>
      <c r="G257" s="29"/>
      <c r="H257" s="34"/>
    </row>
    <row x14ac:dyDescent="0.25" r="258" customHeight="1" ht="15.75">
      <c r="A258" s="34"/>
      <c r="B258" s="29"/>
      <c r="C258" s="29"/>
      <c r="D258" s="29"/>
      <c r="E258" s="29"/>
      <c r="F258" s="29"/>
      <c r="G258" s="29"/>
      <c r="H258" s="34"/>
    </row>
    <row x14ac:dyDescent="0.25" r="259" customHeight="1" ht="15.75">
      <c r="A259" s="34"/>
      <c r="B259" s="29"/>
      <c r="C259" s="29"/>
      <c r="D259" s="29"/>
      <c r="E259" s="29"/>
      <c r="F259" s="29"/>
      <c r="G259" s="29"/>
      <c r="H259" s="34"/>
    </row>
    <row x14ac:dyDescent="0.25" r="260" customHeight="1" ht="15.75">
      <c r="A260" s="34"/>
      <c r="B260" s="29"/>
      <c r="C260" s="29"/>
      <c r="D260" s="29"/>
      <c r="E260" s="29"/>
      <c r="F260" s="29"/>
      <c r="G260" s="29"/>
      <c r="H260" s="34"/>
    </row>
    <row x14ac:dyDescent="0.25" r="261" customHeight="1" ht="15.75">
      <c r="A261" s="34"/>
      <c r="B261" s="29"/>
      <c r="C261" s="29"/>
      <c r="D261" s="29"/>
      <c r="E261" s="29"/>
      <c r="F261" s="29"/>
      <c r="G261" s="29"/>
      <c r="H261" s="34"/>
    </row>
    <row x14ac:dyDescent="0.25" r="262" customHeight="1" ht="15.75">
      <c r="A262" s="34"/>
      <c r="B262" s="29"/>
      <c r="C262" s="29"/>
      <c r="D262" s="29"/>
      <c r="E262" s="29"/>
      <c r="F262" s="29"/>
      <c r="G262" s="29"/>
      <c r="H262" s="34"/>
    </row>
    <row x14ac:dyDescent="0.25" r="263" customHeight="1" ht="15.75">
      <c r="A263" s="34"/>
      <c r="B263" s="29"/>
      <c r="C263" s="29"/>
      <c r="D263" s="29"/>
      <c r="E263" s="29"/>
      <c r="F263" s="29"/>
      <c r="G263" s="29"/>
      <c r="H263" s="34"/>
    </row>
    <row x14ac:dyDescent="0.25" r="264" customHeight="1" ht="15.75">
      <c r="A264" s="34"/>
      <c r="B264" s="29"/>
      <c r="C264" s="29"/>
      <c r="D264" s="29"/>
      <c r="E264" s="29"/>
      <c r="F264" s="29"/>
      <c r="G264" s="29"/>
      <c r="H264" s="34"/>
    </row>
    <row x14ac:dyDescent="0.25" r="265" customHeight="1" ht="15.75">
      <c r="A265" s="34"/>
      <c r="B265" s="29"/>
      <c r="C265" s="29"/>
      <c r="D265" s="29"/>
      <c r="E265" s="29"/>
      <c r="F265" s="29"/>
      <c r="G265" s="29"/>
      <c r="H265" s="34"/>
    </row>
    <row x14ac:dyDescent="0.25" r="266" customHeight="1" ht="15.75">
      <c r="A266" s="34"/>
      <c r="B266" s="29"/>
      <c r="C266" s="29"/>
      <c r="D266" s="29"/>
      <c r="E266" s="29"/>
      <c r="F266" s="29"/>
      <c r="G266" s="29"/>
      <c r="H266" s="34"/>
    </row>
    <row x14ac:dyDescent="0.25" r="267" customHeight="1" ht="15.75">
      <c r="A267" s="34"/>
      <c r="B267" s="29"/>
      <c r="C267" s="29"/>
      <c r="D267" s="29"/>
      <c r="E267" s="29"/>
      <c r="F267" s="29"/>
      <c r="G267" s="29"/>
      <c r="H267" s="34"/>
    </row>
    <row x14ac:dyDescent="0.25" r="268" customHeight="1" ht="15.75">
      <c r="A268" s="34"/>
      <c r="B268" s="29"/>
      <c r="C268" s="29"/>
      <c r="D268" s="29"/>
      <c r="E268" s="29"/>
      <c r="F268" s="29"/>
      <c r="G268" s="29"/>
      <c r="H268" s="34"/>
    </row>
    <row x14ac:dyDescent="0.25" r="269" customHeight="1" ht="15.75">
      <c r="A269" s="34"/>
      <c r="B269" s="29"/>
      <c r="C269" s="29"/>
      <c r="D269" s="29"/>
      <c r="E269" s="29"/>
      <c r="F269" s="29"/>
      <c r="G269" s="29"/>
      <c r="H269" s="34"/>
    </row>
    <row x14ac:dyDescent="0.25" r="270" customHeight="1" ht="15.75">
      <c r="A270" s="34"/>
      <c r="B270" s="29"/>
      <c r="C270" s="29"/>
      <c r="D270" s="29"/>
      <c r="E270" s="29"/>
      <c r="F270" s="29"/>
      <c r="G270" s="29"/>
      <c r="H270" s="34"/>
    </row>
    <row x14ac:dyDescent="0.25" r="271" customHeight="1" ht="15.75">
      <c r="A271" s="34"/>
      <c r="B271" s="29"/>
      <c r="C271" s="29"/>
      <c r="D271" s="29"/>
      <c r="E271" s="29"/>
      <c r="F271" s="29"/>
      <c r="G271" s="29"/>
      <c r="H271" s="34"/>
    </row>
    <row x14ac:dyDescent="0.25" r="272" customHeight="1" ht="15.75">
      <c r="A272" s="34"/>
      <c r="B272" s="29"/>
      <c r="C272" s="29"/>
      <c r="D272" s="29"/>
      <c r="E272" s="29"/>
      <c r="F272" s="29"/>
      <c r="G272" s="29"/>
      <c r="H272" s="34"/>
    </row>
    <row x14ac:dyDescent="0.25" r="273" customHeight="1" ht="15.75">
      <c r="A273" s="34"/>
      <c r="B273" s="29"/>
      <c r="C273" s="29"/>
      <c r="D273" s="29"/>
      <c r="E273" s="29"/>
      <c r="F273" s="29"/>
      <c r="G273" s="29"/>
      <c r="H273" s="34"/>
    </row>
    <row x14ac:dyDescent="0.25" r="274" customHeight="1" ht="15.75">
      <c r="A274" s="34"/>
      <c r="B274" s="29"/>
      <c r="C274" s="29"/>
      <c r="D274" s="29"/>
      <c r="E274" s="29"/>
      <c r="F274" s="29"/>
      <c r="G274" s="29"/>
      <c r="H274" s="34"/>
    </row>
    <row x14ac:dyDescent="0.25" r="275" customHeight="1" ht="15.75">
      <c r="A275" s="34"/>
      <c r="B275" s="29"/>
      <c r="C275" s="29"/>
      <c r="D275" s="29"/>
      <c r="E275" s="29"/>
      <c r="F275" s="29"/>
      <c r="G275" s="29"/>
      <c r="H275" s="34"/>
    </row>
    <row x14ac:dyDescent="0.25" r="276" customHeight="1" ht="15.75">
      <c r="A276" s="34"/>
      <c r="B276" s="29"/>
      <c r="C276" s="29"/>
      <c r="D276" s="29"/>
      <c r="E276" s="29"/>
      <c r="F276" s="29"/>
      <c r="G276" s="29"/>
      <c r="H276" s="34"/>
    </row>
    <row x14ac:dyDescent="0.25" r="277" customHeight="1" ht="15.75">
      <c r="A277" s="34"/>
      <c r="B277" s="29"/>
      <c r="C277" s="29"/>
      <c r="D277" s="29"/>
      <c r="E277" s="29"/>
      <c r="F277" s="29"/>
      <c r="G277" s="29"/>
      <c r="H277" s="34"/>
    </row>
    <row x14ac:dyDescent="0.25" r="278" customHeight="1" ht="15.75">
      <c r="A278" s="34"/>
      <c r="B278" s="29"/>
      <c r="C278" s="29"/>
      <c r="D278" s="29"/>
      <c r="E278" s="29"/>
      <c r="F278" s="29"/>
      <c r="G278" s="29"/>
      <c r="H278" s="34"/>
    </row>
    <row x14ac:dyDescent="0.25" r="279" customHeight="1" ht="15.75">
      <c r="A279" s="34"/>
      <c r="B279" s="29"/>
      <c r="C279" s="29"/>
      <c r="D279" s="29"/>
      <c r="E279" s="29"/>
      <c r="F279" s="29"/>
      <c r="G279" s="29"/>
      <c r="H279" s="34"/>
    </row>
    <row x14ac:dyDescent="0.25" r="280" customHeight="1" ht="15.75">
      <c r="A280" s="34"/>
      <c r="B280" s="29"/>
      <c r="C280" s="29"/>
      <c r="D280" s="29"/>
      <c r="E280" s="29"/>
      <c r="F280" s="29"/>
      <c r="G280" s="29"/>
      <c r="H280" s="34"/>
    </row>
    <row x14ac:dyDescent="0.25" r="281" customHeight="1" ht="15.75">
      <c r="A281" s="34"/>
      <c r="B281" s="29"/>
      <c r="C281" s="29"/>
      <c r="D281" s="29"/>
      <c r="E281" s="29"/>
      <c r="F281" s="29"/>
      <c r="G281" s="29"/>
      <c r="H281" s="34"/>
    </row>
    <row x14ac:dyDescent="0.25" r="282" customHeight="1" ht="15.75">
      <c r="A282" s="34"/>
      <c r="B282" s="29"/>
      <c r="C282" s="29"/>
      <c r="D282" s="29"/>
      <c r="E282" s="29"/>
      <c r="F282" s="29"/>
      <c r="G282" s="29"/>
      <c r="H282" s="34"/>
    </row>
    <row x14ac:dyDescent="0.25" r="283" customHeight="1" ht="15.75">
      <c r="A283" s="34"/>
      <c r="B283" s="29"/>
      <c r="C283" s="29"/>
      <c r="D283" s="29"/>
      <c r="E283" s="29"/>
      <c r="F283" s="29"/>
      <c r="G283" s="29"/>
      <c r="H283" s="34"/>
    </row>
    <row x14ac:dyDescent="0.25" r="284" customHeight="1" ht="15.75">
      <c r="A284" s="34"/>
      <c r="B284" s="29"/>
      <c r="C284" s="29"/>
      <c r="D284" s="29"/>
      <c r="E284" s="29"/>
      <c r="F284" s="29"/>
      <c r="G284" s="29"/>
      <c r="H284" s="34"/>
    </row>
    <row x14ac:dyDescent="0.25" r="285" customHeight="1" ht="15.75">
      <c r="A285" s="34"/>
      <c r="B285" s="29"/>
      <c r="C285" s="29"/>
      <c r="D285" s="29"/>
      <c r="E285" s="29"/>
      <c r="F285" s="29"/>
      <c r="G285" s="29"/>
      <c r="H285" s="34"/>
    </row>
    <row x14ac:dyDescent="0.25" r="286" customHeight="1" ht="15.75">
      <c r="A286" s="34"/>
      <c r="B286" s="29"/>
      <c r="C286" s="29"/>
      <c r="D286" s="29"/>
      <c r="E286" s="29"/>
      <c r="F286" s="29"/>
      <c r="G286" s="29"/>
      <c r="H286" s="34"/>
    </row>
    <row x14ac:dyDescent="0.25" r="287" customHeight="1" ht="15.75">
      <c r="A287" s="34"/>
      <c r="B287" s="29"/>
      <c r="C287" s="29"/>
      <c r="D287" s="29"/>
      <c r="E287" s="29"/>
      <c r="F287" s="29"/>
      <c r="G287" s="29"/>
      <c r="H287" s="34"/>
    </row>
    <row x14ac:dyDescent="0.25" r="288" customHeight="1" ht="15.75">
      <c r="A288" s="34"/>
      <c r="B288" s="29"/>
      <c r="C288" s="29"/>
      <c r="D288" s="29"/>
      <c r="E288" s="29"/>
      <c r="F288" s="29"/>
      <c r="G288" s="29"/>
      <c r="H288" s="34"/>
    </row>
    <row x14ac:dyDescent="0.25" r="289" customHeight="1" ht="15.75">
      <c r="A289" s="34"/>
      <c r="B289" s="29"/>
      <c r="C289" s="29"/>
      <c r="D289" s="29"/>
      <c r="E289" s="29"/>
      <c r="F289" s="29"/>
      <c r="G289" s="29"/>
      <c r="H289" s="34"/>
    </row>
    <row x14ac:dyDescent="0.25" r="290" customHeight="1" ht="15.75">
      <c r="A290" s="34"/>
      <c r="B290" s="29"/>
      <c r="C290" s="29"/>
      <c r="D290" s="29"/>
      <c r="E290" s="29"/>
      <c r="F290" s="29"/>
      <c r="G290" s="29"/>
      <c r="H290" s="34"/>
    </row>
    <row x14ac:dyDescent="0.25" r="291" customHeight="1" ht="15.75">
      <c r="A291" s="34"/>
      <c r="B291" s="29"/>
      <c r="C291" s="29"/>
      <c r="D291" s="29"/>
      <c r="E291" s="29"/>
      <c r="F291" s="29"/>
      <c r="G291" s="29"/>
      <c r="H291" s="34"/>
    </row>
    <row x14ac:dyDescent="0.25" r="292" customHeight="1" ht="15.75">
      <c r="A292" s="34"/>
      <c r="B292" s="29"/>
      <c r="C292" s="29"/>
      <c r="D292" s="29"/>
      <c r="E292" s="29"/>
      <c r="F292" s="29"/>
      <c r="G292" s="29"/>
      <c r="H292" s="34"/>
    </row>
    <row x14ac:dyDescent="0.25" r="293" customHeight="1" ht="15.75">
      <c r="A293" s="34"/>
      <c r="B293" s="29"/>
      <c r="C293" s="29"/>
      <c r="D293" s="29"/>
      <c r="E293" s="29"/>
      <c r="F293" s="29"/>
      <c r="G293" s="29"/>
      <c r="H293" s="34"/>
    </row>
    <row x14ac:dyDescent="0.25" r="294" customHeight="1" ht="15.75">
      <c r="A294" s="34"/>
      <c r="B294" s="29"/>
      <c r="C294" s="29"/>
      <c r="D294" s="29"/>
      <c r="E294" s="29"/>
      <c r="F294" s="29"/>
      <c r="G294" s="29"/>
      <c r="H294" s="34"/>
    </row>
    <row x14ac:dyDescent="0.25" r="295" customHeight="1" ht="15.75">
      <c r="A295" s="34"/>
      <c r="B295" s="29"/>
      <c r="C295" s="29"/>
      <c r="D295" s="29"/>
      <c r="E295" s="29"/>
      <c r="F295" s="29"/>
      <c r="G295" s="29"/>
      <c r="H295" s="34"/>
    </row>
    <row x14ac:dyDescent="0.25" r="296" customHeight="1" ht="15.75">
      <c r="A296" s="34"/>
      <c r="B296" s="29"/>
      <c r="C296" s="29"/>
      <c r="D296" s="29"/>
      <c r="E296" s="29"/>
      <c r="F296" s="29"/>
      <c r="G296" s="29"/>
      <c r="H296" s="34"/>
    </row>
    <row x14ac:dyDescent="0.25" r="297" customHeight="1" ht="15.75">
      <c r="A297" s="34"/>
      <c r="B297" s="29"/>
      <c r="C297" s="29"/>
      <c r="D297" s="29"/>
      <c r="E297" s="29"/>
      <c r="F297" s="29"/>
      <c r="G297" s="29"/>
      <c r="H297" s="34"/>
    </row>
    <row x14ac:dyDescent="0.25" r="298" customHeight="1" ht="15.75">
      <c r="A298" s="34"/>
      <c r="B298" s="29"/>
      <c r="C298" s="29"/>
      <c r="D298" s="29"/>
      <c r="E298" s="29"/>
      <c r="F298" s="29"/>
      <c r="G298" s="29"/>
      <c r="H298" s="34"/>
    </row>
    <row x14ac:dyDescent="0.25" r="299" customHeight="1" ht="15.75">
      <c r="A299" s="34"/>
      <c r="B299" s="29"/>
      <c r="C299" s="29"/>
      <c r="D299" s="29"/>
      <c r="E299" s="29"/>
      <c r="F299" s="29"/>
      <c r="G299" s="29"/>
      <c r="H299" s="34"/>
    </row>
    <row x14ac:dyDescent="0.25" r="300" customHeight="1" ht="15.75">
      <c r="A300" s="34"/>
      <c r="B300" s="29"/>
      <c r="C300" s="29"/>
      <c r="D300" s="29"/>
      <c r="E300" s="29"/>
      <c r="F300" s="29"/>
      <c r="G300" s="29"/>
      <c r="H300" s="34"/>
    </row>
    <row x14ac:dyDescent="0.25" r="301" customHeight="1" ht="15.75">
      <c r="A301" s="34"/>
      <c r="B301" s="29"/>
      <c r="C301" s="29"/>
      <c r="D301" s="29"/>
      <c r="E301" s="29"/>
      <c r="F301" s="29"/>
      <c r="G301" s="29"/>
      <c r="H301" s="34"/>
    </row>
    <row x14ac:dyDescent="0.25" r="302" customHeight="1" ht="15.75">
      <c r="A302" s="34"/>
      <c r="B302" s="29"/>
      <c r="C302" s="29"/>
      <c r="D302" s="29"/>
      <c r="E302" s="29"/>
      <c r="F302" s="29"/>
      <c r="G302" s="29"/>
      <c r="H302" s="34"/>
    </row>
    <row x14ac:dyDescent="0.25" r="303" customHeight="1" ht="15.75">
      <c r="A303" s="34"/>
      <c r="B303" s="29"/>
      <c r="C303" s="29"/>
      <c r="D303" s="29"/>
      <c r="E303" s="29"/>
      <c r="F303" s="29"/>
      <c r="G303" s="29"/>
      <c r="H303" s="34"/>
    </row>
    <row x14ac:dyDescent="0.25" r="304" customHeight="1" ht="15.75">
      <c r="A304" s="34"/>
      <c r="B304" s="29"/>
      <c r="C304" s="29"/>
      <c r="D304" s="29"/>
      <c r="E304" s="29"/>
      <c r="F304" s="29"/>
      <c r="G304" s="29"/>
      <c r="H304" s="34"/>
    </row>
    <row x14ac:dyDescent="0.25" r="305" customHeight="1" ht="15.75">
      <c r="A305" s="34"/>
      <c r="B305" s="29"/>
      <c r="C305" s="29"/>
      <c r="D305" s="29"/>
      <c r="E305" s="29"/>
      <c r="F305" s="29"/>
      <c r="G305" s="29"/>
      <c r="H305" s="34"/>
    </row>
    <row x14ac:dyDescent="0.25" r="306" customHeight="1" ht="15.75">
      <c r="A306" s="34"/>
      <c r="B306" s="29"/>
      <c r="C306" s="29"/>
      <c r="D306" s="29"/>
      <c r="E306" s="29"/>
      <c r="F306" s="29"/>
      <c r="G306" s="29"/>
      <c r="H306" s="34"/>
    </row>
    <row x14ac:dyDescent="0.25" r="307" customHeight="1" ht="15.75">
      <c r="A307" s="34"/>
      <c r="B307" s="29"/>
      <c r="C307" s="29"/>
      <c r="D307" s="29"/>
      <c r="E307" s="29"/>
      <c r="F307" s="29"/>
      <c r="G307" s="29"/>
      <c r="H307" s="34"/>
    </row>
    <row x14ac:dyDescent="0.25" r="308" customHeight="1" ht="15.75">
      <c r="A308" s="34"/>
      <c r="B308" s="29"/>
      <c r="C308" s="29"/>
      <c r="D308" s="29"/>
      <c r="E308" s="29"/>
      <c r="F308" s="29"/>
      <c r="G308" s="29"/>
      <c r="H308" s="34"/>
    </row>
    <row x14ac:dyDescent="0.25" r="309" customHeight="1" ht="15.75">
      <c r="A309" s="34"/>
      <c r="B309" s="29"/>
      <c r="C309" s="29"/>
      <c r="D309" s="29"/>
      <c r="E309" s="29"/>
      <c r="F309" s="29"/>
      <c r="G309" s="29"/>
      <c r="H309" s="34"/>
    </row>
    <row x14ac:dyDescent="0.25" r="310" customHeight="1" ht="15.75">
      <c r="A310" s="34"/>
      <c r="B310" s="29"/>
      <c r="C310" s="29"/>
      <c r="D310" s="29"/>
      <c r="E310" s="29"/>
      <c r="F310" s="29"/>
      <c r="G310" s="29"/>
      <c r="H310" s="34"/>
    </row>
    <row x14ac:dyDescent="0.25" r="311" customHeight="1" ht="15.75">
      <c r="A311" s="34"/>
      <c r="B311" s="29"/>
      <c r="C311" s="29"/>
      <c r="D311" s="29"/>
      <c r="E311" s="29"/>
      <c r="F311" s="29"/>
      <c r="G311" s="29"/>
      <c r="H311" s="34"/>
    </row>
    <row x14ac:dyDescent="0.25" r="312" customHeight="1" ht="15.75">
      <c r="A312" s="34"/>
      <c r="B312" s="29"/>
      <c r="C312" s="29"/>
      <c r="D312" s="29"/>
      <c r="E312" s="29"/>
      <c r="F312" s="29"/>
      <c r="G312" s="29"/>
      <c r="H312" s="34"/>
    </row>
    <row x14ac:dyDescent="0.25" r="313" customHeight="1" ht="15.75">
      <c r="A313" s="34"/>
      <c r="B313" s="29"/>
      <c r="C313" s="29"/>
      <c r="D313" s="29"/>
      <c r="E313" s="29"/>
      <c r="F313" s="29"/>
      <c r="G313" s="29"/>
      <c r="H313" s="34"/>
    </row>
    <row x14ac:dyDescent="0.25" r="314" customHeight="1" ht="15.75">
      <c r="A314" s="34"/>
      <c r="B314" s="29"/>
      <c r="C314" s="29"/>
      <c r="D314" s="29"/>
      <c r="E314" s="29"/>
      <c r="F314" s="29"/>
      <c r="G314" s="29"/>
      <c r="H314" s="34"/>
    </row>
    <row x14ac:dyDescent="0.25" r="315" customHeight="1" ht="15.75">
      <c r="A315" s="34"/>
      <c r="B315" s="29"/>
      <c r="C315" s="29"/>
      <c r="D315" s="29"/>
      <c r="E315" s="29"/>
      <c r="F315" s="29"/>
      <c r="G315" s="29"/>
      <c r="H315" s="34"/>
    </row>
    <row x14ac:dyDescent="0.25" r="316" customHeight="1" ht="15.75">
      <c r="A316" s="34"/>
      <c r="B316" s="29"/>
      <c r="C316" s="29"/>
      <c r="D316" s="29"/>
      <c r="E316" s="29"/>
      <c r="F316" s="29"/>
      <c r="G316" s="29"/>
      <c r="H316" s="34"/>
    </row>
    <row x14ac:dyDescent="0.25" r="317" customHeight="1" ht="15.75">
      <c r="A317" s="34"/>
      <c r="B317" s="29"/>
      <c r="C317" s="29"/>
      <c r="D317" s="29"/>
      <c r="E317" s="29"/>
      <c r="F317" s="29"/>
      <c r="G317" s="29"/>
      <c r="H317" s="34"/>
    </row>
    <row x14ac:dyDescent="0.25" r="318" customHeight="1" ht="15.75">
      <c r="A318" s="34"/>
      <c r="B318" s="29"/>
      <c r="C318" s="29"/>
      <c r="D318" s="29"/>
      <c r="E318" s="29"/>
      <c r="F318" s="29"/>
      <c r="G318" s="29"/>
      <c r="H318" s="34"/>
    </row>
    <row x14ac:dyDescent="0.25" r="319" customHeight="1" ht="15.75">
      <c r="A319" s="34"/>
      <c r="B319" s="29"/>
      <c r="C319" s="29"/>
      <c r="D319" s="29"/>
      <c r="E319" s="29"/>
      <c r="F319" s="29"/>
      <c r="G319" s="29"/>
      <c r="H319" s="34"/>
    </row>
    <row x14ac:dyDescent="0.25" r="320" customHeight="1" ht="15.75">
      <c r="A320" s="34"/>
      <c r="B320" s="29"/>
      <c r="C320" s="29"/>
      <c r="D320" s="29"/>
      <c r="E320" s="29"/>
      <c r="F320" s="29"/>
      <c r="G320" s="29"/>
      <c r="H320" s="34"/>
    </row>
    <row x14ac:dyDescent="0.25" r="321" customHeight="1" ht="15.75">
      <c r="A321" s="34"/>
      <c r="B321" s="29"/>
      <c r="C321" s="29"/>
      <c r="D321" s="29"/>
      <c r="E321" s="29"/>
      <c r="F321" s="29"/>
      <c r="G321" s="29"/>
      <c r="H321" s="34"/>
    </row>
    <row x14ac:dyDescent="0.25" r="322" customHeight="1" ht="15.75">
      <c r="A322" s="34"/>
      <c r="B322" s="29"/>
      <c r="C322" s="29"/>
      <c r="D322" s="29"/>
      <c r="E322" s="29"/>
      <c r="F322" s="29"/>
      <c r="G322" s="29"/>
      <c r="H322" s="34"/>
    </row>
    <row x14ac:dyDescent="0.25" r="323" customHeight="1" ht="15.75">
      <c r="A323" s="34"/>
      <c r="B323" s="29"/>
      <c r="C323" s="29"/>
      <c r="D323" s="29"/>
      <c r="E323" s="29"/>
      <c r="F323" s="29"/>
      <c r="G323" s="29"/>
      <c r="H323" s="34"/>
    </row>
    <row x14ac:dyDescent="0.25" r="324" customHeight="1" ht="15.75">
      <c r="A324" s="34"/>
      <c r="B324" s="29"/>
      <c r="C324" s="29"/>
      <c r="D324" s="29"/>
      <c r="E324" s="29"/>
      <c r="F324" s="29"/>
      <c r="G324" s="29"/>
      <c r="H324" s="34"/>
    </row>
    <row x14ac:dyDescent="0.25" r="325" customHeight="1" ht="15.75">
      <c r="A325" s="34"/>
      <c r="B325" s="29"/>
      <c r="C325" s="29"/>
      <c r="D325" s="29"/>
      <c r="E325" s="29"/>
      <c r="F325" s="29"/>
      <c r="G325" s="29"/>
      <c r="H325" s="34"/>
    </row>
    <row x14ac:dyDescent="0.25" r="326" customHeight="1" ht="15.75">
      <c r="A326" s="34"/>
      <c r="B326" s="29"/>
      <c r="C326" s="29"/>
      <c r="D326" s="29"/>
      <c r="E326" s="29"/>
      <c r="F326" s="29"/>
      <c r="G326" s="29"/>
      <c r="H326" s="34"/>
    </row>
    <row x14ac:dyDescent="0.25" r="327" customHeight="1" ht="15.75">
      <c r="A327" s="34"/>
      <c r="B327" s="29"/>
      <c r="C327" s="29"/>
      <c r="D327" s="29"/>
      <c r="E327" s="29"/>
      <c r="F327" s="29"/>
      <c r="G327" s="29"/>
      <c r="H327" s="34"/>
    </row>
    <row x14ac:dyDescent="0.25" r="328" customHeight="1" ht="15.75">
      <c r="A328" s="34"/>
      <c r="B328" s="29"/>
      <c r="C328" s="29"/>
      <c r="D328" s="29"/>
      <c r="E328" s="29"/>
      <c r="F328" s="29"/>
      <c r="G328" s="29"/>
      <c r="H328" s="34"/>
    </row>
    <row x14ac:dyDescent="0.25" r="329" customHeight="1" ht="15.75">
      <c r="A329" s="34"/>
      <c r="B329" s="29"/>
      <c r="C329" s="29"/>
      <c r="D329" s="29"/>
      <c r="E329" s="29"/>
      <c r="F329" s="29"/>
      <c r="G329" s="29"/>
      <c r="H329" s="34"/>
    </row>
    <row x14ac:dyDescent="0.25" r="330" customHeight="1" ht="15.75">
      <c r="A330" s="34"/>
      <c r="B330" s="29"/>
      <c r="C330" s="29"/>
      <c r="D330" s="29"/>
      <c r="E330" s="29"/>
      <c r="F330" s="29"/>
      <c r="G330" s="29"/>
      <c r="H330" s="34"/>
    </row>
    <row x14ac:dyDescent="0.25" r="331" customHeight="1" ht="15.75">
      <c r="A331" s="34"/>
      <c r="B331" s="29"/>
      <c r="C331" s="29"/>
      <c r="D331" s="29"/>
      <c r="E331" s="29"/>
      <c r="F331" s="29"/>
      <c r="G331" s="29"/>
      <c r="H331" s="34"/>
    </row>
    <row x14ac:dyDescent="0.25" r="332" customHeight="1" ht="15.75">
      <c r="A332" s="34"/>
      <c r="B332" s="29"/>
      <c r="C332" s="29"/>
      <c r="D332" s="29"/>
      <c r="E332" s="29"/>
      <c r="F332" s="29"/>
      <c r="G332" s="29"/>
      <c r="H332" s="34"/>
    </row>
    <row x14ac:dyDescent="0.25" r="333" customHeight="1" ht="15.75">
      <c r="A333" s="34"/>
      <c r="B333" s="29"/>
      <c r="C333" s="29"/>
      <c r="D333" s="29"/>
      <c r="E333" s="29"/>
      <c r="F333" s="29"/>
      <c r="G333" s="29"/>
      <c r="H333" s="34"/>
    </row>
    <row x14ac:dyDescent="0.25" r="334" customHeight="1" ht="15.75">
      <c r="A334" s="34"/>
      <c r="B334" s="29"/>
      <c r="C334" s="29"/>
      <c r="D334" s="29"/>
      <c r="E334" s="29"/>
      <c r="F334" s="29"/>
      <c r="G334" s="29"/>
      <c r="H334" s="34"/>
    </row>
    <row x14ac:dyDescent="0.25" r="335" customHeight="1" ht="15.75">
      <c r="A335" s="34"/>
      <c r="B335" s="29"/>
      <c r="C335" s="29"/>
      <c r="D335" s="29"/>
      <c r="E335" s="29"/>
      <c r="F335" s="29"/>
      <c r="G335" s="29"/>
      <c r="H335" s="34"/>
    </row>
    <row x14ac:dyDescent="0.25" r="336" customHeight="1" ht="15.75">
      <c r="A336" s="34"/>
      <c r="B336" s="29"/>
      <c r="C336" s="29"/>
      <c r="D336" s="29"/>
      <c r="E336" s="29"/>
      <c r="F336" s="29"/>
      <c r="G336" s="29"/>
      <c r="H336" s="34"/>
    </row>
    <row x14ac:dyDescent="0.25" r="337" customHeight="1" ht="15.75">
      <c r="A337" s="34"/>
      <c r="B337" s="29"/>
      <c r="C337" s="29"/>
      <c r="D337" s="29"/>
      <c r="E337" s="29"/>
      <c r="F337" s="29"/>
      <c r="G337" s="29"/>
      <c r="H337" s="34"/>
    </row>
    <row x14ac:dyDescent="0.25" r="338" customHeight="1" ht="15.75">
      <c r="A338" s="34"/>
      <c r="B338" s="29"/>
      <c r="C338" s="29"/>
      <c r="D338" s="29"/>
      <c r="E338" s="29"/>
      <c r="F338" s="29"/>
      <c r="G338" s="29"/>
      <c r="H338" s="34"/>
    </row>
    <row x14ac:dyDescent="0.25" r="339" customHeight="1" ht="15.75">
      <c r="A339" s="34"/>
      <c r="B339" s="29"/>
      <c r="C339" s="29"/>
      <c r="D339" s="29"/>
      <c r="E339" s="29"/>
      <c r="F339" s="29"/>
      <c r="G339" s="29"/>
      <c r="H339" s="34"/>
    </row>
    <row x14ac:dyDescent="0.25" r="340" customHeight="1" ht="15.75">
      <c r="A340" s="34"/>
      <c r="B340" s="29"/>
      <c r="C340" s="29"/>
      <c r="D340" s="29"/>
      <c r="E340" s="29"/>
      <c r="F340" s="29"/>
      <c r="G340" s="29"/>
      <c r="H340" s="34"/>
    </row>
    <row x14ac:dyDescent="0.25" r="341" customHeight="1" ht="15.75">
      <c r="A341" s="34"/>
      <c r="B341" s="29"/>
      <c r="C341" s="29"/>
      <c r="D341" s="29"/>
      <c r="E341" s="29"/>
      <c r="F341" s="29"/>
      <c r="G341" s="29"/>
      <c r="H341" s="34"/>
    </row>
    <row x14ac:dyDescent="0.25" r="342" customHeight="1" ht="15.75">
      <c r="A342" s="34"/>
      <c r="B342" s="29"/>
      <c r="C342" s="29"/>
      <c r="D342" s="29"/>
      <c r="E342" s="29"/>
      <c r="F342" s="29"/>
      <c r="G342" s="29"/>
      <c r="H342" s="34"/>
    </row>
    <row x14ac:dyDescent="0.25" r="343" customHeight="1" ht="15.75">
      <c r="A343" s="34"/>
      <c r="B343" s="29"/>
      <c r="C343" s="29"/>
      <c r="D343" s="29"/>
      <c r="E343" s="29"/>
      <c r="F343" s="29"/>
      <c r="G343" s="29"/>
      <c r="H343" s="34"/>
    </row>
    <row x14ac:dyDescent="0.25" r="344" customHeight="1" ht="15.75">
      <c r="A344" s="34"/>
      <c r="B344" s="29"/>
      <c r="C344" s="29"/>
      <c r="D344" s="29"/>
      <c r="E344" s="29"/>
      <c r="F344" s="29"/>
      <c r="G344" s="29"/>
      <c r="H344" s="34"/>
    </row>
    <row x14ac:dyDescent="0.25" r="345" customHeight="1" ht="15.75">
      <c r="A345" s="34"/>
      <c r="B345" s="29"/>
      <c r="C345" s="29"/>
      <c r="D345" s="29"/>
      <c r="E345" s="29"/>
      <c r="F345" s="29"/>
      <c r="G345" s="29"/>
      <c r="H345" s="34"/>
    </row>
    <row x14ac:dyDescent="0.25" r="346" customHeight="1" ht="15.75">
      <c r="A346" s="34"/>
      <c r="B346" s="29"/>
      <c r="C346" s="29"/>
      <c r="D346" s="29"/>
      <c r="E346" s="29"/>
      <c r="F346" s="29"/>
      <c r="G346" s="29"/>
      <c r="H346" s="34"/>
    </row>
    <row x14ac:dyDescent="0.25" r="347" customHeight="1" ht="15.75">
      <c r="A347" s="34"/>
      <c r="B347" s="29"/>
      <c r="C347" s="29"/>
      <c r="D347" s="29"/>
      <c r="E347" s="29"/>
      <c r="F347" s="29"/>
      <c r="G347" s="29"/>
      <c r="H347" s="34"/>
    </row>
    <row x14ac:dyDescent="0.25" r="348" customHeight="1" ht="15.75">
      <c r="A348" s="34"/>
      <c r="B348" s="29"/>
      <c r="C348" s="29"/>
      <c r="D348" s="29"/>
      <c r="E348" s="29"/>
      <c r="F348" s="29"/>
      <c r="G348" s="29"/>
      <c r="H348" s="34"/>
    </row>
    <row x14ac:dyDescent="0.25" r="349" customHeight="1" ht="15.75">
      <c r="A349" s="34"/>
      <c r="B349" s="29"/>
      <c r="C349" s="29"/>
      <c r="D349" s="29"/>
      <c r="E349" s="29"/>
      <c r="F349" s="29"/>
      <c r="G349" s="29"/>
      <c r="H349" s="34"/>
    </row>
    <row x14ac:dyDescent="0.25" r="350" customHeight="1" ht="15.75">
      <c r="A350" s="34"/>
      <c r="B350" s="29"/>
      <c r="C350" s="29"/>
      <c r="D350" s="29"/>
      <c r="E350" s="29"/>
      <c r="F350" s="29"/>
      <c r="G350" s="29"/>
      <c r="H350" s="34"/>
    </row>
    <row x14ac:dyDescent="0.25" r="351" customHeight="1" ht="15.75">
      <c r="A351" s="34"/>
      <c r="B351" s="29"/>
      <c r="C351" s="29"/>
      <c r="D351" s="29"/>
      <c r="E351" s="29"/>
      <c r="F351" s="29"/>
      <c r="G351" s="29"/>
      <c r="H351" s="34"/>
    </row>
    <row x14ac:dyDescent="0.25" r="352" customHeight="1" ht="15.75">
      <c r="A352" s="34"/>
      <c r="B352" s="29"/>
      <c r="C352" s="29"/>
      <c r="D352" s="29"/>
      <c r="E352" s="29"/>
      <c r="F352" s="29"/>
      <c r="G352" s="29"/>
      <c r="H352" s="34"/>
    </row>
    <row x14ac:dyDescent="0.25" r="353" customHeight="1" ht="15.75">
      <c r="A353" s="34"/>
      <c r="B353" s="29"/>
      <c r="C353" s="29"/>
      <c r="D353" s="29"/>
      <c r="E353" s="29"/>
      <c r="F353" s="29"/>
      <c r="G353" s="29"/>
      <c r="H353" s="34"/>
    </row>
    <row x14ac:dyDescent="0.25" r="354" customHeight="1" ht="15.75">
      <c r="A354" s="34"/>
      <c r="B354" s="29"/>
      <c r="C354" s="29"/>
      <c r="D354" s="29"/>
      <c r="E354" s="29"/>
      <c r="F354" s="29"/>
      <c r="G354" s="29"/>
      <c r="H354" s="34"/>
    </row>
    <row x14ac:dyDescent="0.25" r="355" customHeight="1" ht="15.75">
      <c r="A355" s="34"/>
      <c r="B355" s="29"/>
      <c r="C355" s="29"/>
      <c r="D355" s="29"/>
      <c r="E355" s="29"/>
      <c r="F355" s="29"/>
      <c r="G355" s="29"/>
      <c r="H355" s="34"/>
    </row>
    <row x14ac:dyDescent="0.25" r="356" customHeight="1" ht="15.75">
      <c r="A356" s="34"/>
      <c r="B356" s="29"/>
      <c r="C356" s="29"/>
      <c r="D356" s="29"/>
      <c r="E356" s="29"/>
      <c r="F356" s="29"/>
      <c r="G356" s="29"/>
      <c r="H356" s="34"/>
    </row>
    <row x14ac:dyDescent="0.25" r="357" customHeight="1" ht="15.75">
      <c r="A357" s="34"/>
      <c r="B357" s="29"/>
      <c r="C357" s="29"/>
      <c r="D357" s="29"/>
      <c r="E357" s="29"/>
      <c r="F357" s="29"/>
      <c r="G357" s="29"/>
      <c r="H357" s="34"/>
    </row>
    <row x14ac:dyDescent="0.25" r="358" customHeight="1" ht="15.75">
      <c r="A358" s="34"/>
      <c r="B358" s="29"/>
      <c r="C358" s="29"/>
      <c r="D358" s="29"/>
      <c r="E358" s="29"/>
      <c r="F358" s="29"/>
      <c r="G358" s="29"/>
      <c r="H358" s="34"/>
    </row>
    <row x14ac:dyDescent="0.25" r="359" customHeight="1" ht="15.75">
      <c r="A359" s="34"/>
      <c r="B359" s="29"/>
      <c r="C359" s="29"/>
      <c r="D359" s="29"/>
      <c r="E359" s="29"/>
      <c r="F359" s="29"/>
      <c r="G359" s="29"/>
      <c r="H359" s="34"/>
    </row>
    <row x14ac:dyDescent="0.25" r="360" customHeight="1" ht="15.75">
      <c r="A360" s="34"/>
      <c r="B360" s="29"/>
      <c r="C360" s="29"/>
      <c r="D360" s="29"/>
      <c r="E360" s="29"/>
      <c r="F360" s="29"/>
      <c r="G360" s="29"/>
      <c r="H360" s="34"/>
    </row>
    <row x14ac:dyDescent="0.25" r="361" customHeight="1" ht="15.75">
      <c r="A361" s="34"/>
      <c r="B361" s="29"/>
      <c r="C361" s="29"/>
      <c r="D361" s="29"/>
      <c r="E361" s="29"/>
      <c r="F361" s="29"/>
      <c r="G361" s="29"/>
      <c r="H361" s="34"/>
    </row>
    <row x14ac:dyDescent="0.25" r="362" customHeight="1" ht="15.75">
      <c r="A362" s="34"/>
      <c r="B362" s="29"/>
      <c r="C362" s="29"/>
      <c r="D362" s="29"/>
      <c r="E362" s="29"/>
      <c r="F362" s="29"/>
      <c r="G362" s="29"/>
      <c r="H362" s="34"/>
    </row>
    <row x14ac:dyDescent="0.25" r="363" customHeight="1" ht="15.75">
      <c r="A363" s="34"/>
      <c r="B363" s="29"/>
      <c r="C363" s="29"/>
      <c r="D363" s="29"/>
      <c r="E363" s="29"/>
      <c r="F363" s="29"/>
      <c r="G363" s="29"/>
      <c r="H363" s="34"/>
    </row>
    <row x14ac:dyDescent="0.25" r="364" customHeight="1" ht="15.75">
      <c r="A364" s="34"/>
      <c r="B364" s="29"/>
      <c r="C364" s="29"/>
      <c r="D364" s="29"/>
      <c r="E364" s="29"/>
      <c r="F364" s="29"/>
      <c r="G364" s="29"/>
      <c r="H364" s="34"/>
    </row>
    <row x14ac:dyDescent="0.25" r="365" customHeight="1" ht="15.75">
      <c r="A365" s="34"/>
      <c r="B365" s="29"/>
      <c r="C365" s="29"/>
      <c r="D365" s="29"/>
      <c r="E365" s="29"/>
      <c r="F365" s="29"/>
      <c r="G365" s="29"/>
      <c r="H365" s="34"/>
    </row>
    <row x14ac:dyDescent="0.25" r="366" customHeight="1" ht="15.75">
      <c r="A366" s="34"/>
      <c r="B366" s="29"/>
      <c r="C366" s="29"/>
      <c r="D366" s="29"/>
      <c r="E366" s="29"/>
      <c r="F366" s="29"/>
      <c r="G366" s="29"/>
      <c r="H366" s="34"/>
    </row>
    <row x14ac:dyDescent="0.25" r="367" customHeight="1" ht="15.75">
      <c r="A367" s="34"/>
      <c r="B367" s="29"/>
      <c r="C367" s="29"/>
      <c r="D367" s="29"/>
      <c r="E367" s="29"/>
      <c r="F367" s="29"/>
      <c r="G367" s="29"/>
      <c r="H367" s="34"/>
    </row>
    <row x14ac:dyDescent="0.25" r="368" customHeight="1" ht="15.75">
      <c r="A368" s="34"/>
      <c r="B368" s="29"/>
      <c r="C368" s="29"/>
      <c r="D368" s="29"/>
      <c r="E368" s="29"/>
      <c r="F368" s="29"/>
      <c r="G368" s="29"/>
      <c r="H368" s="34"/>
    </row>
    <row x14ac:dyDescent="0.25" r="369" customHeight="1" ht="15.75">
      <c r="A369" s="34"/>
      <c r="B369" s="29"/>
      <c r="C369" s="29"/>
      <c r="D369" s="29"/>
      <c r="E369" s="29"/>
      <c r="F369" s="29"/>
      <c r="G369" s="29"/>
      <c r="H369" s="34"/>
    </row>
    <row x14ac:dyDescent="0.25" r="370" customHeight="1" ht="15.75">
      <c r="A370" s="34"/>
      <c r="B370" s="29"/>
      <c r="C370" s="29"/>
      <c r="D370" s="29"/>
      <c r="E370" s="29"/>
      <c r="F370" s="29"/>
      <c r="G370" s="29"/>
      <c r="H370" s="34"/>
    </row>
    <row x14ac:dyDescent="0.25" r="371" customHeight="1" ht="15.75">
      <c r="A371" s="34"/>
      <c r="B371" s="29"/>
      <c r="C371" s="29"/>
      <c r="D371" s="29"/>
      <c r="E371" s="29"/>
      <c r="F371" s="29"/>
      <c r="G371" s="29"/>
      <c r="H371" s="34"/>
    </row>
    <row x14ac:dyDescent="0.25" r="372" customHeight="1" ht="15.75">
      <c r="A372" s="34"/>
      <c r="B372" s="29"/>
      <c r="C372" s="29"/>
      <c r="D372" s="29"/>
      <c r="E372" s="29"/>
      <c r="F372" s="29"/>
      <c r="G372" s="29"/>
      <c r="H372" s="34"/>
    </row>
    <row x14ac:dyDescent="0.25" r="373" customHeight="1" ht="15.75">
      <c r="A373" s="34"/>
      <c r="B373" s="29"/>
      <c r="C373" s="29"/>
      <c r="D373" s="29"/>
      <c r="E373" s="29"/>
      <c r="F373" s="29"/>
      <c r="G373" s="29"/>
      <c r="H373" s="34"/>
    </row>
    <row x14ac:dyDescent="0.25" r="374" customHeight="1" ht="15.75">
      <c r="A374" s="34"/>
      <c r="B374" s="29"/>
      <c r="C374" s="29"/>
      <c r="D374" s="29"/>
      <c r="E374" s="29"/>
      <c r="F374" s="29"/>
      <c r="G374" s="29"/>
      <c r="H374" s="34"/>
    </row>
    <row x14ac:dyDescent="0.25" r="375" customHeight="1" ht="15.75">
      <c r="A375" s="34"/>
      <c r="B375" s="29"/>
      <c r="C375" s="29"/>
      <c r="D375" s="29"/>
      <c r="E375" s="29"/>
      <c r="F375" s="29"/>
      <c r="G375" s="29"/>
      <c r="H375" s="34"/>
    </row>
    <row x14ac:dyDescent="0.25" r="376" customHeight="1" ht="15.75">
      <c r="A376" s="34"/>
      <c r="B376" s="29"/>
      <c r="C376" s="29"/>
      <c r="D376" s="29"/>
      <c r="E376" s="29"/>
      <c r="F376" s="29"/>
      <c r="G376" s="29"/>
      <c r="H376" s="34"/>
    </row>
    <row x14ac:dyDescent="0.25" r="377" customHeight="1" ht="15.75">
      <c r="A377" s="34"/>
      <c r="B377" s="29"/>
      <c r="C377" s="29"/>
      <c r="D377" s="29"/>
      <c r="E377" s="29"/>
      <c r="F377" s="29"/>
      <c r="G377" s="29"/>
      <c r="H377" s="34"/>
    </row>
    <row x14ac:dyDescent="0.25" r="378" customHeight="1" ht="15.75">
      <c r="A378" s="34"/>
      <c r="B378" s="29"/>
      <c r="C378" s="29"/>
      <c r="D378" s="29"/>
      <c r="E378" s="29"/>
      <c r="F378" s="29"/>
      <c r="G378" s="29"/>
      <c r="H378" s="34"/>
    </row>
    <row x14ac:dyDescent="0.25" r="379" customHeight="1" ht="15.75">
      <c r="A379" s="34"/>
      <c r="B379" s="29"/>
      <c r="C379" s="29"/>
      <c r="D379" s="29"/>
      <c r="E379" s="29"/>
      <c r="F379" s="29"/>
      <c r="G379" s="29"/>
      <c r="H379" s="34"/>
    </row>
    <row x14ac:dyDescent="0.25" r="380" customHeight="1" ht="15.75">
      <c r="A380" s="34"/>
      <c r="B380" s="29"/>
      <c r="C380" s="29"/>
      <c r="D380" s="29"/>
      <c r="E380" s="29"/>
      <c r="F380" s="29"/>
      <c r="G380" s="29"/>
      <c r="H380" s="34"/>
    </row>
    <row x14ac:dyDescent="0.25" r="381" customHeight="1" ht="15.75">
      <c r="A381" s="34"/>
      <c r="B381" s="29"/>
      <c r="C381" s="29"/>
      <c r="D381" s="29"/>
      <c r="E381" s="29"/>
      <c r="F381" s="29"/>
      <c r="G381" s="29"/>
      <c r="H381" s="34"/>
    </row>
    <row x14ac:dyDescent="0.25" r="382" customHeight="1" ht="15.75">
      <c r="A382" s="34"/>
      <c r="B382" s="29"/>
      <c r="C382" s="29"/>
      <c r="D382" s="29"/>
      <c r="E382" s="29"/>
      <c r="F382" s="29"/>
      <c r="G382" s="29"/>
      <c r="H382" s="34"/>
    </row>
    <row x14ac:dyDescent="0.25" r="383" customHeight="1" ht="15.75">
      <c r="A383" s="34"/>
      <c r="B383" s="29"/>
      <c r="C383" s="29"/>
      <c r="D383" s="29"/>
      <c r="E383" s="29"/>
      <c r="F383" s="29"/>
      <c r="G383" s="29"/>
      <c r="H383" s="34"/>
    </row>
    <row x14ac:dyDescent="0.25" r="384" customHeight="1" ht="15.75">
      <c r="A384" s="34"/>
      <c r="B384" s="29"/>
      <c r="C384" s="29"/>
      <c r="D384" s="29"/>
      <c r="E384" s="29"/>
      <c r="F384" s="29"/>
      <c r="G384" s="29"/>
      <c r="H384" s="34"/>
    </row>
    <row x14ac:dyDescent="0.25" r="385" customHeight="1" ht="15.75">
      <c r="A385" s="34"/>
      <c r="B385" s="29"/>
      <c r="C385" s="29"/>
      <c r="D385" s="29"/>
      <c r="E385" s="29"/>
      <c r="F385" s="29"/>
      <c r="G385" s="29"/>
      <c r="H385" s="34"/>
    </row>
    <row x14ac:dyDescent="0.25" r="386" customHeight="1" ht="15.75">
      <c r="A386" s="34"/>
      <c r="B386" s="29"/>
      <c r="C386" s="29"/>
      <c r="D386" s="29"/>
      <c r="E386" s="29"/>
      <c r="F386" s="29"/>
      <c r="G386" s="29"/>
      <c r="H386" s="34"/>
    </row>
    <row x14ac:dyDescent="0.25" r="387" customHeight="1" ht="15.75">
      <c r="A387" s="34"/>
      <c r="B387" s="29"/>
      <c r="C387" s="29"/>
      <c r="D387" s="29"/>
      <c r="E387" s="29"/>
      <c r="F387" s="29"/>
      <c r="G387" s="29"/>
      <c r="H387" s="34"/>
    </row>
    <row x14ac:dyDescent="0.25" r="388" customHeight="1" ht="15.75">
      <c r="A388" s="34"/>
      <c r="B388" s="29"/>
      <c r="C388" s="29"/>
      <c r="D388" s="29"/>
      <c r="E388" s="29"/>
      <c r="F388" s="29"/>
      <c r="G388" s="29"/>
      <c r="H388" s="34"/>
    </row>
    <row x14ac:dyDescent="0.25" r="389" customHeight="1" ht="15.75">
      <c r="A389" s="34"/>
      <c r="B389" s="29"/>
      <c r="C389" s="29"/>
      <c r="D389" s="29"/>
      <c r="E389" s="29"/>
      <c r="F389" s="29"/>
      <c r="G389" s="29"/>
      <c r="H389" s="34"/>
    </row>
    <row x14ac:dyDescent="0.25" r="390" customHeight="1" ht="15.75">
      <c r="A390" s="34"/>
      <c r="B390" s="29"/>
      <c r="C390" s="29"/>
      <c r="D390" s="29"/>
      <c r="E390" s="29"/>
      <c r="F390" s="29"/>
      <c r="G390" s="29"/>
      <c r="H390" s="34"/>
    </row>
    <row x14ac:dyDescent="0.25" r="391" customHeight="1" ht="15.75">
      <c r="A391" s="34"/>
      <c r="B391" s="29"/>
      <c r="C391" s="29"/>
      <c r="D391" s="29"/>
      <c r="E391" s="29"/>
      <c r="F391" s="29"/>
      <c r="G391" s="29"/>
      <c r="H391" s="34"/>
    </row>
    <row x14ac:dyDescent="0.25" r="392" customHeight="1" ht="15.75">
      <c r="A392" s="34"/>
      <c r="B392" s="29"/>
      <c r="C392" s="29"/>
      <c r="D392" s="29"/>
      <c r="E392" s="29"/>
      <c r="F392" s="29"/>
      <c r="G392" s="29"/>
      <c r="H392" s="34"/>
    </row>
    <row x14ac:dyDescent="0.25" r="393" customHeight="1" ht="15.75">
      <c r="A393" s="34"/>
      <c r="B393" s="29"/>
      <c r="C393" s="29"/>
      <c r="D393" s="29"/>
      <c r="E393" s="29"/>
      <c r="F393" s="29"/>
      <c r="G393" s="29"/>
      <c r="H393" s="34"/>
    </row>
    <row x14ac:dyDescent="0.25" r="394" customHeight="1" ht="15.75">
      <c r="A394" s="34"/>
      <c r="B394" s="29"/>
      <c r="C394" s="29"/>
      <c r="D394" s="29"/>
      <c r="E394" s="29"/>
      <c r="F394" s="29"/>
      <c r="G394" s="29"/>
      <c r="H394" s="34"/>
    </row>
    <row x14ac:dyDescent="0.25" r="395" customHeight="1" ht="15.75">
      <c r="A395" s="34"/>
      <c r="B395" s="29"/>
      <c r="C395" s="29"/>
      <c r="D395" s="29"/>
      <c r="E395" s="29"/>
      <c r="F395" s="29"/>
      <c r="G395" s="29"/>
      <c r="H395" s="34"/>
    </row>
    <row x14ac:dyDescent="0.25" r="396" customHeight="1" ht="15.75">
      <c r="A396" s="34"/>
      <c r="B396" s="29"/>
      <c r="C396" s="29"/>
      <c r="D396" s="29"/>
      <c r="E396" s="29"/>
      <c r="F396" s="29"/>
      <c r="G396" s="29"/>
      <c r="H396" s="34"/>
    </row>
    <row x14ac:dyDescent="0.25" r="397" customHeight="1" ht="15.75">
      <c r="A397" s="34"/>
      <c r="B397" s="29"/>
      <c r="C397" s="29"/>
      <c r="D397" s="29"/>
      <c r="E397" s="29"/>
      <c r="F397" s="29"/>
      <c r="G397" s="29"/>
      <c r="H397" s="34"/>
    </row>
    <row x14ac:dyDescent="0.25" r="398" customHeight="1" ht="15.75">
      <c r="A398" s="34"/>
      <c r="B398" s="29"/>
      <c r="C398" s="29"/>
      <c r="D398" s="29"/>
      <c r="E398" s="29"/>
      <c r="F398" s="29"/>
      <c r="G398" s="29"/>
      <c r="H398" s="34"/>
    </row>
    <row x14ac:dyDescent="0.25" r="399" customHeight="1" ht="15.75">
      <c r="A399" s="34"/>
      <c r="B399" s="29"/>
      <c r="C399" s="29"/>
      <c r="D399" s="29"/>
      <c r="E399" s="29"/>
      <c r="F399" s="29"/>
      <c r="G399" s="29"/>
      <c r="H399" s="34"/>
    </row>
    <row x14ac:dyDescent="0.25" r="400" customHeight="1" ht="15.75">
      <c r="A400" s="34"/>
      <c r="B400" s="29"/>
      <c r="C400" s="29"/>
      <c r="D400" s="29"/>
      <c r="E400" s="29"/>
      <c r="F400" s="29"/>
      <c r="G400" s="29"/>
      <c r="H400" s="34"/>
    </row>
    <row x14ac:dyDescent="0.25" r="401" customHeight="1" ht="15.75">
      <c r="A401" s="34"/>
      <c r="B401" s="29"/>
      <c r="C401" s="29"/>
      <c r="D401" s="29"/>
      <c r="E401" s="29"/>
      <c r="F401" s="29"/>
      <c r="G401" s="29"/>
      <c r="H401" s="34"/>
    </row>
    <row x14ac:dyDescent="0.25" r="402" customHeight="1" ht="15.75">
      <c r="A402" s="34"/>
      <c r="B402" s="29"/>
      <c r="C402" s="29"/>
      <c r="D402" s="29"/>
      <c r="E402" s="29"/>
      <c r="F402" s="29"/>
      <c r="G402" s="29"/>
      <c r="H402" s="34"/>
    </row>
    <row x14ac:dyDescent="0.25" r="403" customHeight="1" ht="15.75">
      <c r="A403" s="34"/>
      <c r="B403" s="29"/>
      <c r="C403" s="29"/>
      <c r="D403" s="29"/>
      <c r="E403" s="29"/>
      <c r="F403" s="29"/>
      <c r="G403" s="29"/>
      <c r="H403" s="34"/>
    </row>
    <row x14ac:dyDescent="0.25" r="404" customHeight="1" ht="15.75">
      <c r="A404" s="34"/>
      <c r="B404" s="29"/>
      <c r="C404" s="29"/>
      <c r="D404" s="29"/>
      <c r="E404" s="29"/>
      <c r="F404" s="29"/>
      <c r="G404" s="29"/>
      <c r="H404" s="34"/>
    </row>
    <row x14ac:dyDescent="0.25" r="405" customHeight="1" ht="15.75">
      <c r="A405" s="34"/>
      <c r="B405" s="29"/>
      <c r="C405" s="29"/>
      <c r="D405" s="29"/>
      <c r="E405" s="29"/>
      <c r="F405" s="29"/>
      <c r="G405" s="29"/>
      <c r="H405" s="34"/>
    </row>
    <row x14ac:dyDescent="0.25" r="406" customHeight="1" ht="15.75">
      <c r="A406" s="34"/>
      <c r="B406" s="29"/>
      <c r="C406" s="29"/>
      <c r="D406" s="29"/>
      <c r="E406" s="29"/>
      <c r="F406" s="29"/>
      <c r="G406" s="29"/>
      <c r="H406" s="34"/>
    </row>
    <row x14ac:dyDescent="0.25" r="407" customHeight="1" ht="15.75">
      <c r="A407" s="34"/>
      <c r="B407" s="29"/>
      <c r="C407" s="29"/>
      <c r="D407" s="29"/>
      <c r="E407" s="29"/>
      <c r="F407" s="29"/>
      <c r="G407" s="29"/>
      <c r="H407" s="34"/>
    </row>
    <row x14ac:dyDescent="0.25" r="408" customHeight="1" ht="15.75">
      <c r="A408" s="34"/>
      <c r="B408" s="29"/>
      <c r="C408" s="29"/>
      <c r="D408" s="29"/>
      <c r="E408" s="29"/>
      <c r="F408" s="29"/>
      <c r="G408" s="29"/>
      <c r="H408" s="34"/>
    </row>
    <row x14ac:dyDescent="0.25" r="409" customHeight="1" ht="15.75">
      <c r="A409" s="34"/>
      <c r="B409" s="29"/>
      <c r="C409" s="29"/>
      <c r="D409" s="29"/>
      <c r="E409" s="29"/>
      <c r="F409" s="29"/>
      <c r="G409" s="29"/>
      <c r="H409" s="34"/>
    </row>
    <row x14ac:dyDescent="0.25" r="410" customHeight="1" ht="15.75">
      <c r="A410" s="34"/>
      <c r="B410" s="29"/>
      <c r="C410" s="29"/>
      <c r="D410" s="29"/>
      <c r="E410" s="29"/>
      <c r="F410" s="29"/>
      <c r="G410" s="29"/>
      <c r="H410" s="34"/>
    </row>
    <row x14ac:dyDescent="0.25" r="411" customHeight="1" ht="15.75">
      <c r="A411" s="34"/>
      <c r="B411" s="29"/>
      <c r="C411" s="29"/>
      <c r="D411" s="29"/>
      <c r="E411" s="29"/>
      <c r="F411" s="29"/>
      <c r="G411" s="29"/>
      <c r="H411" s="34"/>
    </row>
    <row x14ac:dyDescent="0.25" r="412" customHeight="1" ht="15.75">
      <c r="A412" s="34"/>
      <c r="B412" s="29"/>
      <c r="C412" s="29"/>
      <c r="D412" s="29"/>
      <c r="E412" s="29"/>
      <c r="F412" s="29"/>
      <c r="G412" s="29"/>
      <c r="H412" s="34"/>
    </row>
    <row x14ac:dyDescent="0.25" r="413" customHeight="1" ht="15.75">
      <c r="A413" s="34"/>
      <c r="B413" s="29"/>
      <c r="C413" s="29"/>
      <c r="D413" s="29"/>
      <c r="E413" s="29"/>
      <c r="F413" s="29"/>
      <c r="G413" s="29"/>
      <c r="H413" s="34"/>
    </row>
    <row x14ac:dyDescent="0.25" r="414" customHeight="1" ht="15.75">
      <c r="A414" s="34"/>
      <c r="B414" s="29"/>
      <c r="C414" s="29"/>
      <c r="D414" s="29"/>
      <c r="E414" s="29"/>
      <c r="F414" s="29"/>
      <c r="G414" s="29"/>
      <c r="H414" s="34"/>
    </row>
    <row x14ac:dyDescent="0.25" r="415" customHeight="1" ht="15.75">
      <c r="A415" s="34"/>
      <c r="B415" s="29"/>
      <c r="C415" s="29"/>
      <c r="D415" s="29"/>
      <c r="E415" s="29"/>
      <c r="F415" s="29"/>
      <c r="G415" s="29"/>
      <c r="H415" s="34"/>
    </row>
    <row x14ac:dyDescent="0.25" r="416" customHeight="1" ht="15.75">
      <c r="A416" s="34"/>
      <c r="B416" s="29"/>
      <c r="C416" s="29"/>
      <c r="D416" s="29"/>
      <c r="E416" s="29"/>
      <c r="F416" s="29"/>
      <c r="G416" s="29"/>
      <c r="H416" s="34"/>
    </row>
    <row x14ac:dyDescent="0.25" r="417" customHeight="1" ht="15.75">
      <c r="A417" s="34"/>
      <c r="B417" s="29"/>
      <c r="C417" s="29"/>
      <c r="D417" s="29"/>
      <c r="E417" s="29"/>
      <c r="F417" s="29"/>
      <c r="G417" s="29"/>
      <c r="H417" s="34"/>
    </row>
    <row x14ac:dyDescent="0.25" r="418" customHeight="1" ht="15.75">
      <c r="A418" s="34"/>
      <c r="B418" s="29"/>
      <c r="C418" s="29"/>
      <c r="D418" s="29"/>
      <c r="E418" s="29"/>
      <c r="F418" s="29"/>
      <c r="G418" s="29"/>
      <c r="H418" s="34"/>
    </row>
    <row x14ac:dyDescent="0.25" r="419" customHeight="1" ht="15.75">
      <c r="A419" s="34"/>
      <c r="B419" s="29"/>
      <c r="C419" s="29"/>
      <c r="D419" s="29"/>
      <c r="E419" s="29"/>
      <c r="F419" s="29"/>
      <c r="G419" s="29"/>
      <c r="H419" s="34"/>
    </row>
    <row x14ac:dyDescent="0.25" r="420" customHeight="1" ht="15.75">
      <c r="A420" s="34"/>
      <c r="B420" s="29"/>
      <c r="C420" s="29"/>
      <c r="D420" s="29"/>
      <c r="E420" s="29"/>
      <c r="F420" s="29"/>
      <c r="G420" s="29"/>
      <c r="H420" s="34"/>
    </row>
    <row x14ac:dyDescent="0.25" r="421" customHeight="1" ht="15.75">
      <c r="A421" s="34"/>
      <c r="B421" s="29"/>
      <c r="C421" s="29"/>
      <c r="D421" s="29"/>
      <c r="E421" s="29"/>
      <c r="F421" s="29"/>
      <c r="G421" s="29"/>
      <c r="H421" s="34"/>
    </row>
    <row x14ac:dyDescent="0.25" r="422" customHeight="1" ht="15.75">
      <c r="A422" s="34"/>
      <c r="B422" s="29"/>
      <c r="C422" s="29"/>
      <c r="D422" s="29"/>
      <c r="E422" s="29"/>
      <c r="F422" s="29"/>
      <c r="G422" s="29"/>
      <c r="H422" s="34"/>
    </row>
    <row x14ac:dyDescent="0.25" r="423" customHeight="1" ht="15.75">
      <c r="A423" s="34"/>
      <c r="B423" s="29"/>
      <c r="C423" s="29"/>
      <c r="D423" s="29"/>
      <c r="E423" s="29"/>
      <c r="F423" s="29"/>
      <c r="G423" s="29"/>
      <c r="H423" s="34"/>
    </row>
    <row x14ac:dyDescent="0.25" r="424" customHeight="1" ht="15.75">
      <c r="A424" s="34"/>
      <c r="B424" s="29"/>
      <c r="C424" s="29"/>
      <c r="D424" s="29"/>
      <c r="E424" s="29"/>
      <c r="F424" s="29"/>
      <c r="G424" s="29"/>
      <c r="H424" s="34"/>
    </row>
    <row x14ac:dyDescent="0.25" r="425" customHeight="1" ht="15.75">
      <c r="A425" s="34"/>
      <c r="B425" s="29"/>
      <c r="C425" s="29"/>
      <c r="D425" s="29"/>
      <c r="E425" s="29"/>
      <c r="F425" s="29"/>
      <c r="G425" s="29"/>
      <c r="H425" s="34"/>
    </row>
    <row x14ac:dyDescent="0.25" r="426" customHeight="1" ht="15.75">
      <c r="A426" s="34"/>
      <c r="B426" s="29"/>
      <c r="C426" s="29"/>
      <c r="D426" s="29"/>
      <c r="E426" s="29"/>
      <c r="F426" s="29"/>
      <c r="G426" s="29"/>
      <c r="H426" s="34"/>
    </row>
    <row x14ac:dyDescent="0.25" r="427" customHeight="1" ht="15.75">
      <c r="A427" s="34"/>
      <c r="B427" s="29"/>
      <c r="C427" s="29"/>
      <c r="D427" s="29"/>
      <c r="E427" s="29"/>
      <c r="F427" s="29"/>
      <c r="G427" s="29"/>
      <c r="H427" s="34"/>
    </row>
    <row x14ac:dyDescent="0.25" r="428" customHeight="1" ht="15.75">
      <c r="A428" s="34"/>
      <c r="B428" s="29"/>
      <c r="C428" s="29"/>
      <c r="D428" s="29"/>
      <c r="E428" s="29"/>
      <c r="F428" s="29"/>
      <c r="G428" s="29"/>
      <c r="H428" s="34"/>
    </row>
    <row x14ac:dyDescent="0.25" r="429" customHeight="1" ht="15.75">
      <c r="A429" s="34"/>
      <c r="B429" s="29"/>
      <c r="C429" s="29"/>
      <c r="D429" s="29"/>
      <c r="E429" s="29"/>
      <c r="F429" s="29"/>
      <c r="G429" s="29"/>
      <c r="H429" s="34"/>
    </row>
    <row x14ac:dyDescent="0.25" r="430" customHeight="1" ht="15.75">
      <c r="A430" s="34"/>
      <c r="B430" s="29"/>
      <c r="C430" s="29"/>
      <c r="D430" s="29"/>
      <c r="E430" s="29"/>
      <c r="F430" s="29"/>
      <c r="G430" s="29"/>
      <c r="H430" s="34"/>
    </row>
    <row x14ac:dyDescent="0.25" r="431" customHeight="1" ht="15.75">
      <c r="A431" s="34"/>
      <c r="B431" s="29"/>
      <c r="C431" s="29"/>
      <c r="D431" s="29"/>
      <c r="E431" s="29"/>
      <c r="F431" s="29"/>
      <c r="G431" s="29"/>
      <c r="H431" s="34"/>
    </row>
    <row x14ac:dyDescent="0.25" r="432" customHeight="1" ht="15.75">
      <c r="A432" s="34"/>
      <c r="B432" s="29"/>
      <c r="C432" s="29"/>
      <c r="D432" s="29"/>
      <c r="E432" s="29"/>
      <c r="F432" s="29"/>
      <c r="G432" s="29"/>
      <c r="H432" s="34"/>
    </row>
    <row x14ac:dyDescent="0.25" r="433" customHeight="1" ht="15.75">
      <c r="A433" s="34"/>
      <c r="B433" s="29"/>
      <c r="C433" s="29"/>
      <c r="D433" s="29"/>
      <c r="E433" s="29"/>
      <c r="F433" s="29"/>
      <c r="G433" s="29"/>
      <c r="H433" s="34"/>
    </row>
    <row x14ac:dyDescent="0.25" r="434" customHeight="1" ht="15.75">
      <c r="A434" s="34"/>
      <c r="B434" s="29"/>
      <c r="C434" s="29"/>
      <c r="D434" s="29"/>
      <c r="E434" s="29"/>
      <c r="F434" s="29"/>
      <c r="G434" s="29"/>
      <c r="H434" s="34"/>
    </row>
    <row x14ac:dyDescent="0.25" r="435" customHeight="1" ht="15.75">
      <c r="A435" s="34"/>
      <c r="B435" s="29"/>
      <c r="C435" s="29"/>
      <c r="D435" s="29"/>
      <c r="E435" s="29"/>
      <c r="F435" s="29"/>
      <c r="G435" s="29"/>
      <c r="H435" s="34"/>
    </row>
    <row x14ac:dyDescent="0.25" r="436" customHeight="1" ht="15.75">
      <c r="A436" s="34"/>
      <c r="B436" s="29"/>
      <c r="C436" s="29"/>
      <c r="D436" s="29"/>
      <c r="E436" s="29"/>
      <c r="F436" s="29"/>
      <c r="G436" s="29"/>
      <c r="H436" s="34"/>
    </row>
    <row x14ac:dyDescent="0.25" r="437" customHeight="1" ht="15.75">
      <c r="A437" s="34"/>
      <c r="B437" s="29"/>
      <c r="C437" s="29"/>
      <c r="D437" s="29"/>
      <c r="E437" s="29"/>
      <c r="F437" s="29"/>
      <c r="G437" s="29"/>
      <c r="H437" s="34"/>
    </row>
    <row x14ac:dyDescent="0.25" r="438" customHeight="1" ht="15.75">
      <c r="A438" s="34"/>
      <c r="B438" s="29"/>
      <c r="C438" s="29"/>
      <c r="D438" s="29"/>
      <c r="E438" s="29"/>
      <c r="F438" s="29"/>
      <c r="G438" s="29"/>
      <c r="H438" s="34"/>
    </row>
    <row x14ac:dyDescent="0.25" r="439" customHeight="1" ht="15.75">
      <c r="A439" s="34"/>
      <c r="B439" s="29"/>
      <c r="C439" s="29"/>
      <c r="D439" s="29"/>
      <c r="E439" s="29"/>
      <c r="F439" s="29"/>
      <c r="G439" s="29"/>
      <c r="H439" s="34"/>
    </row>
    <row x14ac:dyDescent="0.25" r="440" customHeight="1" ht="15.75">
      <c r="A440" s="34"/>
      <c r="B440" s="29"/>
      <c r="C440" s="29"/>
      <c r="D440" s="29"/>
      <c r="E440" s="29"/>
      <c r="F440" s="29"/>
      <c r="G440" s="29"/>
      <c r="H440" s="34"/>
    </row>
    <row x14ac:dyDescent="0.25" r="441" customHeight="1" ht="15.75">
      <c r="A441" s="34"/>
      <c r="B441" s="29"/>
      <c r="C441" s="29"/>
      <c r="D441" s="29"/>
      <c r="E441" s="29"/>
      <c r="F441" s="29"/>
      <c r="G441" s="29"/>
      <c r="H441" s="34"/>
    </row>
    <row x14ac:dyDescent="0.25" r="442" customHeight="1" ht="15.75">
      <c r="A442" s="34"/>
      <c r="B442" s="29"/>
      <c r="C442" s="29"/>
      <c r="D442" s="29"/>
      <c r="E442" s="29"/>
      <c r="F442" s="29"/>
      <c r="G442" s="29"/>
      <c r="H442" s="34"/>
    </row>
    <row x14ac:dyDescent="0.25" r="443" customHeight="1" ht="15.75">
      <c r="A443" s="34"/>
      <c r="B443" s="29"/>
      <c r="C443" s="29"/>
      <c r="D443" s="29"/>
      <c r="E443" s="29"/>
      <c r="F443" s="29"/>
      <c r="G443" s="29"/>
      <c r="H443" s="34"/>
    </row>
    <row x14ac:dyDescent="0.25" r="444" customHeight="1" ht="15.75">
      <c r="A444" s="34"/>
      <c r="B444" s="29"/>
      <c r="C444" s="29"/>
      <c r="D444" s="29"/>
      <c r="E444" s="29"/>
      <c r="F444" s="29"/>
      <c r="G444" s="29"/>
      <c r="H444" s="34"/>
    </row>
    <row x14ac:dyDescent="0.25" r="445" customHeight="1" ht="15.75">
      <c r="A445" s="34"/>
      <c r="B445" s="29"/>
      <c r="C445" s="29"/>
      <c r="D445" s="29"/>
      <c r="E445" s="29"/>
      <c r="F445" s="29"/>
      <c r="G445" s="29"/>
      <c r="H445" s="34"/>
    </row>
    <row x14ac:dyDescent="0.25" r="446" customHeight="1" ht="15.75">
      <c r="A446" s="34"/>
      <c r="B446" s="29"/>
      <c r="C446" s="29"/>
      <c r="D446" s="29"/>
      <c r="E446" s="29"/>
      <c r="F446" s="29"/>
      <c r="G446" s="29"/>
      <c r="H446" s="34"/>
    </row>
    <row x14ac:dyDescent="0.25" r="447" customHeight="1" ht="15.75">
      <c r="A447" s="34"/>
      <c r="B447" s="29"/>
      <c r="C447" s="29"/>
      <c r="D447" s="29"/>
      <c r="E447" s="29"/>
      <c r="F447" s="29"/>
      <c r="G447" s="29"/>
      <c r="H447" s="34"/>
    </row>
    <row x14ac:dyDescent="0.25" r="448" customHeight="1" ht="15.75">
      <c r="A448" s="34"/>
      <c r="B448" s="29"/>
      <c r="C448" s="29"/>
      <c r="D448" s="29"/>
      <c r="E448" s="29"/>
      <c r="F448" s="29"/>
      <c r="G448" s="29"/>
      <c r="H448" s="34"/>
    </row>
    <row x14ac:dyDescent="0.25" r="449" customHeight="1" ht="15.75">
      <c r="A449" s="34"/>
      <c r="B449" s="29"/>
      <c r="C449" s="29"/>
      <c r="D449" s="29"/>
      <c r="E449" s="29"/>
      <c r="F449" s="29"/>
      <c r="G449" s="29"/>
      <c r="H449" s="34"/>
    </row>
    <row x14ac:dyDescent="0.25" r="450" customHeight="1" ht="15.75">
      <c r="A450" s="34"/>
      <c r="B450" s="29"/>
      <c r="C450" s="29"/>
      <c r="D450" s="29"/>
      <c r="E450" s="29"/>
      <c r="F450" s="29"/>
      <c r="G450" s="29"/>
      <c r="H450" s="34"/>
    </row>
    <row x14ac:dyDescent="0.25" r="451" customHeight="1" ht="15.75">
      <c r="A451" s="34"/>
      <c r="B451" s="29"/>
      <c r="C451" s="29"/>
      <c r="D451" s="29"/>
      <c r="E451" s="29"/>
      <c r="F451" s="29"/>
      <c r="G451" s="29"/>
      <c r="H451" s="34"/>
    </row>
    <row x14ac:dyDescent="0.25" r="452" customHeight="1" ht="15.75">
      <c r="A452" s="34"/>
      <c r="B452" s="29"/>
      <c r="C452" s="29"/>
      <c r="D452" s="29"/>
      <c r="E452" s="29"/>
      <c r="F452" s="29"/>
      <c r="G452" s="29"/>
      <c r="H452" s="34"/>
    </row>
    <row x14ac:dyDescent="0.25" r="453" customHeight="1" ht="15.75">
      <c r="A453" s="34"/>
      <c r="B453" s="29"/>
      <c r="C453" s="29"/>
      <c r="D453" s="29"/>
      <c r="E453" s="29"/>
      <c r="F453" s="29"/>
      <c r="G453" s="29"/>
      <c r="H453" s="34"/>
    </row>
    <row x14ac:dyDescent="0.25" r="454" customHeight="1" ht="15.75">
      <c r="A454" s="34"/>
      <c r="B454" s="29"/>
      <c r="C454" s="29"/>
      <c r="D454" s="29"/>
      <c r="E454" s="29"/>
      <c r="F454" s="29"/>
      <c r="G454" s="29"/>
      <c r="H454" s="34"/>
    </row>
    <row x14ac:dyDescent="0.25" r="455" customHeight="1" ht="15.75">
      <c r="A455" s="34"/>
      <c r="B455" s="29"/>
      <c r="C455" s="29"/>
      <c r="D455" s="29"/>
      <c r="E455" s="29"/>
      <c r="F455" s="29"/>
      <c r="G455" s="29"/>
      <c r="H455" s="34"/>
    </row>
    <row x14ac:dyDescent="0.25" r="456" customHeight="1" ht="15.75">
      <c r="A456" s="34"/>
      <c r="B456" s="29"/>
      <c r="C456" s="29"/>
      <c r="D456" s="29"/>
      <c r="E456" s="29"/>
      <c r="F456" s="29"/>
      <c r="G456" s="29"/>
      <c r="H456" s="34"/>
    </row>
    <row x14ac:dyDescent="0.25" r="457" customHeight="1" ht="15.75">
      <c r="A457" s="34"/>
      <c r="B457" s="29"/>
      <c r="C457" s="29"/>
      <c r="D457" s="29"/>
      <c r="E457" s="29"/>
      <c r="F457" s="29"/>
      <c r="G457" s="29"/>
      <c r="H457" s="34"/>
    </row>
    <row x14ac:dyDescent="0.25" r="458" customHeight="1" ht="15.75">
      <c r="A458" s="34"/>
      <c r="B458" s="29"/>
      <c r="C458" s="29"/>
      <c r="D458" s="29"/>
      <c r="E458" s="29"/>
      <c r="F458" s="29"/>
      <c r="G458" s="29"/>
      <c r="H458" s="34"/>
    </row>
    <row x14ac:dyDescent="0.25" r="459" customHeight="1" ht="15.75">
      <c r="A459" s="34"/>
      <c r="B459" s="29"/>
      <c r="C459" s="29"/>
      <c r="D459" s="29"/>
      <c r="E459" s="29"/>
      <c r="F459" s="29"/>
      <c r="G459" s="29"/>
      <c r="H459" s="34"/>
    </row>
    <row x14ac:dyDescent="0.25" r="460" customHeight="1" ht="15.75">
      <c r="A460" s="34"/>
      <c r="B460" s="29"/>
      <c r="C460" s="29"/>
      <c r="D460" s="29"/>
      <c r="E460" s="29"/>
      <c r="F460" s="29"/>
      <c r="G460" s="29"/>
      <c r="H460" s="34"/>
    </row>
    <row x14ac:dyDescent="0.25" r="461" customHeight="1" ht="15.75">
      <c r="A461" s="34"/>
      <c r="B461" s="29"/>
      <c r="C461" s="29"/>
      <c r="D461" s="29"/>
      <c r="E461" s="29"/>
      <c r="F461" s="29"/>
      <c r="G461" s="29"/>
      <c r="H461" s="34"/>
    </row>
    <row x14ac:dyDescent="0.25" r="462" customHeight="1" ht="15.75">
      <c r="A462" s="34"/>
      <c r="B462" s="29"/>
      <c r="C462" s="29"/>
      <c r="D462" s="29"/>
      <c r="E462" s="29"/>
      <c r="F462" s="29"/>
      <c r="G462" s="29"/>
      <c r="H462" s="34"/>
    </row>
    <row x14ac:dyDescent="0.25" r="463" customHeight="1" ht="15.75">
      <c r="A463" s="34"/>
      <c r="B463" s="29"/>
      <c r="C463" s="29"/>
      <c r="D463" s="29"/>
      <c r="E463" s="29"/>
      <c r="F463" s="29"/>
      <c r="G463" s="29"/>
      <c r="H463" s="34"/>
    </row>
    <row x14ac:dyDescent="0.25" r="464" customHeight="1" ht="15.75">
      <c r="A464" s="34"/>
      <c r="B464" s="29"/>
      <c r="C464" s="29"/>
      <c r="D464" s="29"/>
      <c r="E464" s="29"/>
      <c r="F464" s="29"/>
      <c r="G464" s="29"/>
      <c r="H464" s="34"/>
    </row>
    <row x14ac:dyDescent="0.25" r="465" customHeight="1" ht="15.75">
      <c r="A465" s="34"/>
      <c r="B465" s="29"/>
      <c r="C465" s="29"/>
      <c r="D465" s="29"/>
      <c r="E465" s="29"/>
      <c r="F465" s="29"/>
      <c r="G465" s="29"/>
      <c r="H465" s="34"/>
    </row>
    <row x14ac:dyDescent="0.25" r="466" customHeight="1" ht="15.75">
      <c r="A466" s="34"/>
      <c r="B466" s="29"/>
      <c r="C466" s="29"/>
      <c r="D466" s="29"/>
      <c r="E466" s="29"/>
      <c r="F466" s="29"/>
      <c r="G466" s="29"/>
      <c r="H466" s="34"/>
    </row>
    <row x14ac:dyDescent="0.25" r="467" customHeight="1" ht="15.75">
      <c r="A467" s="34"/>
      <c r="B467" s="29"/>
      <c r="C467" s="29"/>
      <c r="D467" s="29"/>
      <c r="E467" s="29"/>
      <c r="F467" s="29"/>
      <c r="G467" s="29"/>
      <c r="H467" s="34"/>
    </row>
    <row x14ac:dyDescent="0.25" r="468" customHeight="1" ht="15.75">
      <c r="A468" s="34"/>
      <c r="B468" s="29"/>
      <c r="C468" s="29"/>
      <c r="D468" s="29"/>
      <c r="E468" s="29"/>
      <c r="F468" s="29"/>
      <c r="G468" s="29"/>
      <c r="H468" s="34"/>
    </row>
    <row x14ac:dyDescent="0.25" r="469" customHeight="1" ht="15.75">
      <c r="A469" s="34"/>
      <c r="B469" s="29"/>
      <c r="C469" s="29"/>
      <c r="D469" s="29"/>
      <c r="E469" s="29"/>
      <c r="F469" s="29"/>
      <c r="G469" s="29"/>
      <c r="H469" s="34"/>
    </row>
    <row x14ac:dyDescent="0.25" r="470" customHeight="1" ht="15.75">
      <c r="A470" s="34"/>
      <c r="B470" s="29"/>
      <c r="C470" s="29"/>
      <c r="D470" s="29"/>
      <c r="E470" s="29"/>
      <c r="F470" s="29"/>
      <c r="G470" s="29"/>
      <c r="H470" s="34"/>
    </row>
    <row x14ac:dyDescent="0.25" r="471" customHeight="1" ht="15.75">
      <c r="A471" s="34"/>
      <c r="B471" s="29"/>
      <c r="C471" s="29"/>
      <c r="D471" s="29"/>
      <c r="E471" s="29"/>
      <c r="F471" s="29"/>
      <c r="G471" s="29"/>
      <c r="H471" s="34"/>
    </row>
    <row x14ac:dyDescent="0.25" r="472" customHeight="1" ht="15.75">
      <c r="A472" s="34"/>
      <c r="B472" s="29"/>
      <c r="C472" s="29"/>
      <c r="D472" s="29"/>
      <c r="E472" s="29"/>
      <c r="F472" s="29"/>
      <c r="G472" s="29"/>
      <c r="H472" s="34"/>
    </row>
    <row x14ac:dyDescent="0.25" r="473" customHeight="1" ht="15.75">
      <c r="A473" s="34"/>
      <c r="B473" s="29"/>
      <c r="C473" s="29"/>
      <c r="D473" s="29"/>
      <c r="E473" s="29"/>
      <c r="F473" s="29"/>
      <c r="G473" s="29"/>
      <c r="H473" s="34"/>
    </row>
    <row x14ac:dyDescent="0.25" r="474" customHeight="1" ht="15.75">
      <c r="A474" s="34"/>
      <c r="B474" s="29"/>
      <c r="C474" s="29"/>
      <c r="D474" s="29"/>
      <c r="E474" s="29"/>
      <c r="F474" s="29"/>
      <c r="G474" s="29"/>
      <c r="H474" s="34"/>
    </row>
    <row x14ac:dyDescent="0.25" r="475" customHeight="1" ht="15.75">
      <c r="A475" s="34"/>
      <c r="B475" s="29"/>
      <c r="C475" s="29"/>
      <c r="D475" s="29"/>
      <c r="E475" s="29"/>
      <c r="F475" s="29"/>
      <c r="G475" s="29"/>
      <c r="H475" s="34"/>
    </row>
    <row x14ac:dyDescent="0.25" r="476" customHeight="1" ht="15.75">
      <c r="A476" s="34"/>
      <c r="B476" s="29"/>
      <c r="C476" s="29"/>
      <c r="D476" s="29"/>
      <c r="E476" s="29"/>
      <c r="F476" s="29"/>
      <c r="G476" s="29"/>
      <c r="H476" s="34"/>
    </row>
    <row x14ac:dyDescent="0.25" r="477" customHeight="1" ht="15.75">
      <c r="A477" s="34"/>
      <c r="B477" s="29"/>
      <c r="C477" s="29"/>
      <c r="D477" s="29"/>
      <c r="E477" s="29"/>
      <c r="F477" s="29"/>
      <c r="G477" s="29"/>
      <c r="H477" s="34"/>
    </row>
    <row x14ac:dyDescent="0.25" r="478" customHeight="1" ht="15.75">
      <c r="A478" s="34"/>
      <c r="B478" s="29"/>
      <c r="C478" s="29"/>
      <c r="D478" s="29"/>
      <c r="E478" s="29"/>
      <c r="F478" s="29"/>
      <c r="G478" s="29"/>
      <c r="H478" s="34"/>
    </row>
    <row x14ac:dyDescent="0.25" r="479" customHeight="1" ht="15.75">
      <c r="A479" s="34"/>
      <c r="B479" s="29"/>
      <c r="C479" s="29"/>
      <c r="D479" s="29"/>
      <c r="E479" s="29"/>
      <c r="F479" s="29"/>
      <c r="G479" s="29"/>
      <c r="H479" s="34"/>
    </row>
    <row x14ac:dyDescent="0.25" r="480" customHeight="1" ht="15.75">
      <c r="A480" s="34"/>
      <c r="B480" s="29"/>
      <c r="C480" s="29"/>
      <c r="D480" s="29"/>
      <c r="E480" s="29"/>
      <c r="F480" s="29"/>
      <c r="G480" s="29"/>
      <c r="H480" s="34"/>
    </row>
    <row x14ac:dyDescent="0.25" r="481" customHeight="1" ht="15.75">
      <c r="A481" s="34"/>
      <c r="B481" s="29"/>
      <c r="C481" s="29"/>
      <c r="D481" s="29"/>
      <c r="E481" s="29"/>
      <c r="F481" s="29"/>
      <c r="G481" s="29"/>
      <c r="H481" s="34"/>
    </row>
    <row x14ac:dyDescent="0.25" r="482" customHeight="1" ht="15.75">
      <c r="A482" s="34"/>
      <c r="B482" s="29"/>
      <c r="C482" s="29"/>
      <c r="D482" s="29"/>
      <c r="E482" s="29"/>
      <c r="F482" s="29"/>
      <c r="G482" s="29"/>
      <c r="H482" s="34"/>
    </row>
    <row x14ac:dyDescent="0.25" r="483" customHeight="1" ht="15.75">
      <c r="A483" s="34"/>
      <c r="B483" s="29"/>
      <c r="C483" s="29"/>
      <c r="D483" s="29"/>
      <c r="E483" s="29"/>
      <c r="F483" s="29"/>
      <c r="G483" s="29"/>
      <c r="H483" s="34"/>
    </row>
    <row x14ac:dyDescent="0.25" r="484" customHeight="1" ht="15.75">
      <c r="A484" s="34"/>
      <c r="B484" s="29"/>
      <c r="C484" s="29"/>
      <c r="D484" s="29"/>
      <c r="E484" s="29"/>
      <c r="F484" s="29"/>
      <c r="G484" s="29"/>
      <c r="H484" s="34"/>
    </row>
    <row x14ac:dyDescent="0.25" r="485" customHeight="1" ht="15.75">
      <c r="A485" s="34"/>
      <c r="B485" s="29"/>
      <c r="C485" s="29"/>
      <c r="D485" s="29"/>
      <c r="E485" s="29"/>
      <c r="F485" s="29"/>
      <c r="G485" s="29"/>
      <c r="H485" s="34"/>
    </row>
    <row x14ac:dyDescent="0.25" r="486" customHeight="1" ht="15.75">
      <c r="A486" s="34"/>
      <c r="B486" s="29"/>
      <c r="C486" s="29"/>
      <c r="D486" s="29"/>
      <c r="E486" s="29"/>
      <c r="F486" s="29"/>
      <c r="G486" s="29"/>
      <c r="H486" s="34"/>
    </row>
    <row x14ac:dyDescent="0.25" r="487" customHeight="1" ht="15.75">
      <c r="A487" s="34"/>
      <c r="B487" s="29"/>
      <c r="C487" s="29"/>
      <c r="D487" s="29"/>
      <c r="E487" s="29"/>
      <c r="F487" s="29"/>
      <c r="G487" s="29"/>
      <c r="H487" s="34"/>
    </row>
    <row x14ac:dyDescent="0.25" r="488" customHeight="1" ht="15.75">
      <c r="A488" s="34"/>
      <c r="B488" s="29"/>
      <c r="C488" s="29"/>
      <c r="D488" s="29"/>
      <c r="E488" s="29"/>
      <c r="F488" s="29"/>
      <c r="G488" s="29"/>
      <c r="H488" s="34"/>
    </row>
    <row x14ac:dyDescent="0.25" r="489" customHeight="1" ht="15.75">
      <c r="A489" s="34"/>
      <c r="B489" s="29"/>
      <c r="C489" s="29"/>
      <c r="D489" s="29"/>
      <c r="E489" s="29"/>
      <c r="F489" s="29"/>
      <c r="G489" s="29"/>
      <c r="H489" s="34"/>
    </row>
    <row x14ac:dyDescent="0.25" r="490" customHeight="1" ht="15.75">
      <c r="A490" s="34"/>
      <c r="B490" s="29"/>
      <c r="C490" s="29"/>
      <c r="D490" s="29"/>
      <c r="E490" s="29"/>
      <c r="F490" s="29"/>
      <c r="G490" s="29"/>
      <c r="H490" s="34"/>
    </row>
    <row x14ac:dyDescent="0.25" r="491" customHeight="1" ht="15.75">
      <c r="A491" s="34"/>
      <c r="B491" s="29"/>
      <c r="C491" s="29"/>
      <c r="D491" s="29"/>
      <c r="E491" s="29"/>
      <c r="F491" s="29"/>
      <c r="G491" s="29"/>
      <c r="H491" s="34"/>
    </row>
    <row x14ac:dyDescent="0.25" r="492" customHeight="1" ht="15.75">
      <c r="A492" s="34"/>
      <c r="B492" s="29"/>
      <c r="C492" s="29"/>
      <c r="D492" s="29"/>
      <c r="E492" s="29"/>
      <c r="F492" s="29"/>
      <c r="G492" s="29"/>
      <c r="H492" s="34"/>
    </row>
    <row x14ac:dyDescent="0.25" r="493" customHeight="1" ht="15.75">
      <c r="A493" s="34"/>
      <c r="B493" s="29"/>
      <c r="C493" s="29"/>
      <c r="D493" s="29"/>
      <c r="E493" s="29"/>
      <c r="F493" s="29"/>
      <c r="G493" s="29"/>
      <c r="H493" s="34"/>
    </row>
    <row x14ac:dyDescent="0.25" r="494" customHeight="1" ht="15.75">
      <c r="A494" s="34"/>
      <c r="B494" s="29"/>
      <c r="C494" s="29"/>
      <c r="D494" s="29"/>
      <c r="E494" s="29"/>
      <c r="F494" s="29"/>
      <c r="G494" s="29"/>
      <c r="H494" s="34"/>
    </row>
    <row x14ac:dyDescent="0.25" r="495" customHeight="1" ht="15.75">
      <c r="A495" s="34"/>
      <c r="B495" s="29"/>
      <c r="C495" s="29"/>
      <c r="D495" s="29"/>
      <c r="E495" s="29"/>
      <c r="F495" s="29"/>
      <c r="G495" s="29"/>
      <c r="H495" s="34"/>
    </row>
    <row x14ac:dyDescent="0.25" r="496" customHeight="1" ht="15.75">
      <c r="A496" s="34"/>
      <c r="B496" s="29"/>
      <c r="C496" s="29"/>
      <c r="D496" s="29"/>
      <c r="E496" s="29"/>
      <c r="F496" s="29"/>
      <c r="G496" s="29"/>
      <c r="H496" s="34"/>
    </row>
    <row x14ac:dyDescent="0.25" r="497" customHeight="1" ht="15.75">
      <c r="A497" s="34"/>
      <c r="B497" s="29"/>
      <c r="C497" s="29"/>
      <c r="D497" s="29"/>
      <c r="E497" s="29"/>
      <c r="F497" s="29"/>
      <c r="G497" s="29"/>
      <c r="H497" s="34"/>
    </row>
    <row x14ac:dyDescent="0.25" r="498" customHeight="1" ht="15.75">
      <c r="A498" s="34"/>
      <c r="B498" s="29"/>
      <c r="C498" s="29"/>
      <c r="D498" s="29"/>
      <c r="E498" s="29"/>
      <c r="F498" s="29"/>
      <c r="G498" s="29"/>
      <c r="H498" s="34"/>
    </row>
    <row x14ac:dyDescent="0.25" r="499" customHeight="1" ht="15.75">
      <c r="A499" s="34"/>
      <c r="B499" s="29"/>
      <c r="C499" s="29"/>
      <c r="D499" s="29"/>
      <c r="E499" s="29"/>
      <c r="F499" s="29"/>
      <c r="G499" s="29"/>
      <c r="H499" s="34"/>
    </row>
    <row x14ac:dyDescent="0.25" r="500" customHeight="1" ht="15.75">
      <c r="A500" s="34"/>
      <c r="B500" s="29"/>
      <c r="C500" s="29"/>
      <c r="D500" s="29"/>
      <c r="E500" s="29"/>
      <c r="F500" s="29"/>
      <c r="G500" s="29"/>
      <c r="H500" s="34"/>
    </row>
    <row x14ac:dyDescent="0.25" r="501" customHeight="1" ht="15.75">
      <c r="A501" s="34"/>
      <c r="B501" s="29"/>
      <c r="C501" s="29"/>
      <c r="D501" s="29"/>
      <c r="E501" s="29"/>
      <c r="F501" s="29"/>
      <c r="G501" s="29"/>
      <c r="H501" s="34"/>
    </row>
    <row x14ac:dyDescent="0.25" r="502" customHeight="1" ht="15.75">
      <c r="A502" s="34"/>
      <c r="B502" s="29"/>
      <c r="C502" s="29"/>
      <c r="D502" s="29"/>
      <c r="E502" s="29"/>
      <c r="F502" s="29"/>
      <c r="G502" s="29"/>
      <c r="H502" s="34"/>
    </row>
    <row x14ac:dyDescent="0.25" r="503" customHeight="1" ht="15.75">
      <c r="A503" s="34"/>
      <c r="B503" s="29"/>
      <c r="C503" s="29"/>
      <c r="D503" s="29"/>
      <c r="E503" s="29"/>
      <c r="F503" s="29"/>
      <c r="G503" s="29"/>
      <c r="H503" s="34"/>
    </row>
    <row x14ac:dyDescent="0.25" r="504" customHeight="1" ht="15.75">
      <c r="A504" s="34"/>
      <c r="B504" s="29"/>
      <c r="C504" s="29"/>
      <c r="D504" s="29"/>
      <c r="E504" s="29"/>
      <c r="F504" s="29"/>
      <c r="G504" s="29"/>
      <c r="H504" s="34"/>
    </row>
    <row x14ac:dyDescent="0.25" r="505" customHeight="1" ht="15.75">
      <c r="A505" s="34"/>
      <c r="B505" s="29"/>
      <c r="C505" s="29"/>
      <c r="D505" s="29"/>
      <c r="E505" s="29"/>
      <c r="F505" s="29"/>
      <c r="G505" s="29"/>
      <c r="H505" s="34"/>
    </row>
    <row x14ac:dyDescent="0.25" r="506" customHeight="1" ht="15.75">
      <c r="A506" s="34"/>
      <c r="B506" s="29"/>
      <c r="C506" s="29"/>
      <c r="D506" s="29"/>
      <c r="E506" s="29"/>
      <c r="F506" s="29"/>
      <c r="G506" s="29"/>
      <c r="H506" s="34"/>
    </row>
    <row x14ac:dyDescent="0.25" r="507" customHeight="1" ht="15.75">
      <c r="A507" s="34"/>
      <c r="B507" s="29"/>
      <c r="C507" s="29"/>
      <c r="D507" s="29"/>
      <c r="E507" s="29"/>
      <c r="F507" s="29"/>
      <c r="G507" s="29"/>
      <c r="H507" s="34"/>
    </row>
    <row x14ac:dyDescent="0.25" r="508" customHeight="1" ht="15.75">
      <c r="A508" s="34"/>
      <c r="B508" s="29"/>
      <c r="C508" s="29"/>
      <c r="D508" s="29"/>
      <c r="E508" s="29"/>
      <c r="F508" s="29"/>
      <c r="G508" s="29"/>
      <c r="H508" s="34"/>
    </row>
    <row x14ac:dyDescent="0.25" r="509" customHeight="1" ht="15.75">
      <c r="A509" s="34"/>
      <c r="B509" s="29"/>
      <c r="C509" s="29"/>
      <c r="D509" s="29"/>
      <c r="E509" s="29"/>
      <c r="F509" s="29"/>
      <c r="G509" s="29"/>
      <c r="H509" s="34"/>
    </row>
    <row x14ac:dyDescent="0.25" r="510" customHeight="1" ht="15.75">
      <c r="A510" s="34"/>
      <c r="B510" s="29"/>
      <c r="C510" s="29"/>
      <c r="D510" s="29"/>
      <c r="E510" s="29"/>
      <c r="F510" s="29"/>
      <c r="G510" s="29"/>
      <c r="H510" s="34"/>
    </row>
    <row x14ac:dyDescent="0.25" r="511" customHeight="1" ht="15.75">
      <c r="A511" s="34"/>
      <c r="B511" s="29"/>
      <c r="C511" s="29"/>
      <c r="D511" s="29"/>
      <c r="E511" s="29"/>
      <c r="F511" s="29"/>
      <c r="G511" s="29"/>
      <c r="H511" s="34"/>
    </row>
    <row x14ac:dyDescent="0.25" r="512" customHeight="1" ht="15.75">
      <c r="A512" s="34"/>
      <c r="B512" s="29"/>
      <c r="C512" s="29"/>
      <c r="D512" s="29"/>
      <c r="E512" s="29"/>
      <c r="F512" s="29"/>
      <c r="G512" s="29"/>
      <c r="H512" s="34"/>
    </row>
    <row x14ac:dyDescent="0.25" r="513" customHeight="1" ht="15.75">
      <c r="A513" s="34"/>
      <c r="B513" s="29"/>
      <c r="C513" s="29"/>
      <c r="D513" s="29"/>
      <c r="E513" s="29"/>
      <c r="F513" s="29"/>
      <c r="G513" s="29"/>
      <c r="H513" s="34"/>
    </row>
    <row x14ac:dyDescent="0.25" r="514" customHeight="1" ht="15.75">
      <c r="A514" s="34"/>
      <c r="B514" s="29"/>
      <c r="C514" s="29"/>
      <c r="D514" s="29"/>
      <c r="E514" s="29"/>
      <c r="F514" s="29"/>
      <c r="G514" s="29"/>
      <c r="H514" s="34"/>
    </row>
    <row x14ac:dyDescent="0.25" r="515" customHeight="1" ht="15.75">
      <c r="A515" s="34"/>
      <c r="B515" s="29"/>
      <c r="C515" s="29"/>
      <c r="D515" s="29"/>
      <c r="E515" s="29"/>
      <c r="F515" s="29"/>
      <c r="G515" s="29"/>
      <c r="H515" s="34"/>
    </row>
    <row x14ac:dyDescent="0.25" r="516" customHeight="1" ht="15.75">
      <c r="A516" s="34"/>
      <c r="B516" s="29"/>
      <c r="C516" s="29"/>
      <c r="D516" s="29"/>
      <c r="E516" s="29"/>
      <c r="F516" s="29"/>
      <c r="G516" s="29"/>
      <c r="H516" s="34"/>
    </row>
    <row x14ac:dyDescent="0.25" r="517" customHeight="1" ht="15.75">
      <c r="A517" s="34"/>
      <c r="B517" s="29"/>
      <c r="C517" s="29"/>
      <c r="D517" s="29"/>
      <c r="E517" s="29"/>
      <c r="F517" s="29"/>
      <c r="G517" s="29"/>
      <c r="H517" s="34"/>
    </row>
    <row x14ac:dyDescent="0.25" r="518" customHeight="1" ht="15.75">
      <c r="A518" s="34"/>
      <c r="B518" s="29"/>
      <c r="C518" s="29"/>
      <c r="D518" s="29"/>
      <c r="E518" s="29"/>
      <c r="F518" s="29"/>
      <c r="G518" s="29"/>
      <c r="H518" s="34"/>
    </row>
    <row x14ac:dyDescent="0.25" r="519" customHeight="1" ht="15.75">
      <c r="A519" s="34"/>
      <c r="B519" s="29"/>
      <c r="C519" s="29"/>
      <c r="D519" s="29"/>
      <c r="E519" s="29"/>
      <c r="F519" s="29"/>
      <c r="G519" s="29"/>
      <c r="H519" s="34"/>
    </row>
    <row x14ac:dyDescent="0.25" r="520" customHeight="1" ht="15.75">
      <c r="A520" s="34"/>
      <c r="B520" s="29"/>
      <c r="C520" s="29"/>
      <c r="D520" s="29"/>
      <c r="E520" s="29"/>
      <c r="F520" s="29"/>
      <c r="G520" s="29"/>
      <c r="H520" s="34"/>
    </row>
    <row x14ac:dyDescent="0.25" r="521" customHeight="1" ht="15.75">
      <c r="A521" s="34"/>
      <c r="B521" s="29"/>
      <c r="C521" s="29"/>
      <c r="D521" s="29"/>
      <c r="E521" s="29"/>
      <c r="F521" s="29"/>
      <c r="G521" s="29"/>
      <c r="H521" s="34"/>
    </row>
    <row x14ac:dyDescent="0.25" r="522" customHeight="1" ht="15.75">
      <c r="A522" s="34"/>
      <c r="B522" s="29"/>
      <c r="C522" s="29"/>
      <c r="D522" s="29"/>
      <c r="E522" s="29"/>
      <c r="F522" s="29"/>
      <c r="G522" s="29"/>
      <c r="H522" s="34"/>
    </row>
    <row x14ac:dyDescent="0.25" r="523" customHeight="1" ht="15.75">
      <c r="A523" s="34"/>
      <c r="B523" s="29"/>
      <c r="C523" s="29"/>
      <c r="D523" s="29"/>
      <c r="E523" s="29"/>
      <c r="F523" s="29"/>
      <c r="G523" s="29"/>
      <c r="H523" s="34"/>
    </row>
    <row x14ac:dyDescent="0.25" r="524" customHeight="1" ht="15.75">
      <c r="A524" s="34"/>
      <c r="B524" s="29"/>
      <c r="C524" s="29"/>
      <c r="D524" s="29"/>
      <c r="E524" s="29"/>
      <c r="F524" s="29"/>
      <c r="G524" s="29"/>
      <c r="H524" s="34"/>
    </row>
    <row x14ac:dyDescent="0.25" r="525" customHeight="1" ht="15.75">
      <c r="A525" s="34"/>
      <c r="B525" s="29"/>
      <c r="C525" s="29"/>
      <c r="D525" s="29"/>
      <c r="E525" s="29"/>
      <c r="F525" s="29"/>
      <c r="G525" s="29"/>
      <c r="H525" s="34"/>
    </row>
    <row x14ac:dyDescent="0.25" r="526" customHeight="1" ht="15.75">
      <c r="A526" s="34"/>
      <c r="B526" s="29"/>
      <c r="C526" s="29"/>
      <c r="D526" s="29"/>
      <c r="E526" s="29"/>
      <c r="F526" s="29"/>
      <c r="G526" s="29"/>
      <c r="H526" s="34"/>
    </row>
    <row x14ac:dyDescent="0.25" r="527" customHeight="1" ht="15.75">
      <c r="A527" s="34"/>
      <c r="B527" s="29"/>
      <c r="C527" s="29"/>
      <c r="D527" s="29"/>
      <c r="E527" s="29"/>
      <c r="F527" s="29"/>
      <c r="G527" s="29"/>
      <c r="H527" s="34"/>
    </row>
    <row x14ac:dyDescent="0.25" r="528" customHeight="1" ht="15.75">
      <c r="A528" s="34"/>
      <c r="B528" s="29"/>
      <c r="C528" s="29"/>
      <c r="D528" s="29"/>
      <c r="E528" s="29"/>
      <c r="F528" s="29"/>
      <c r="G528" s="29"/>
      <c r="H528" s="34"/>
    </row>
    <row x14ac:dyDescent="0.25" r="529" customHeight="1" ht="15.75">
      <c r="A529" s="34"/>
      <c r="B529" s="29"/>
      <c r="C529" s="29"/>
      <c r="D529" s="29"/>
      <c r="E529" s="29"/>
      <c r="F529" s="29"/>
      <c r="G529" s="29"/>
      <c r="H529" s="34"/>
    </row>
    <row x14ac:dyDescent="0.25" r="530" customHeight="1" ht="15.75">
      <c r="A530" s="34"/>
      <c r="B530" s="29"/>
      <c r="C530" s="29"/>
      <c r="D530" s="29"/>
      <c r="E530" s="29"/>
      <c r="F530" s="29"/>
      <c r="G530" s="29"/>
      <c r="H530" s="34"/>
    </row>
    <row x14ac:dyDescent="0.25" r="531" customHeight="1" ht="15.75">
      <c r="A531" s="34"/>
      <c r="B531" s="29"/>
      <c r="C531" s="29"/>
      <c r="D531" s="29"/>
      <c r="E531" s="29"/>
      <c r="F531" s="29"/>
      <c r="G531" s="29"/>
      <c r="H531" s="34"/>
    </row>
    <row x14ac:dyDescent="0.25" r="532" customHeight="1" ht="15.75">
      <c r="A532" s="34"/>
      <c r="B532" s="29"/>
      <c r="C532" s="29"/>
      <c r="D532" s="29"/>
      <c r="E532" s="29"/>
      <c r="F532" s="29"/>
      <c r="G532" s="29"/>
      <c r="H532" s="34"/>
    </row>
    <row x14ac:dyDescent="0.25" r="533" customHeight="1" ht="15.75">
      <c r="A533" s="34"/>
      <c r="B533" s="29"/>
      <c r="C533" s="29"/>
      <c r="D533" s="29"/>
      <c r="E533" s="29"/>
      <c r="F533" s="29"/>
      <c r="G533" s="29"/>
      <c r="H533" s="34"/>
    </row>
    <row x14ac:dyDescent="0.25" r="534" customHeight="1" ht="15.75">
      <c r="A534" s="34"/>
      <c r="B534" s="29"/>
      <c r="C534" s="29"/>
      <c r="D534" s="29"/>
      <c r="E534" s="29"/>
      <c r="F534" s="29"/>
      <c r="G534" s="29"/>
      <c r="H534" s="34"/>
    </row>
    <row x14ac:dyDescent="0.25" r="535" customHeight="1" ht="15.75">
      <c r="A535" s="34"/>
      <c r="B535" s="29"/>
      <c r="C535" s="29"/>
      <c r="D535" s="29"/>
      <c r="E535" s="29"/>
      <c r="F535" s="29"/>
      <c r="G535" s="29"/>
      <c r="H535" s="34"/>
    </row>
    <row x14ac:dyDescent="0.25" r="536" customHeight="1" ht="15.75">
      <c r="A536" s="34"/>
      <c r="B536" s="29"/>
      <c r="C536" s="29"/>
      <c r="D536" s="29"/>
      <c r="E536" s="29"/>
      <c r="F536" s="29"/>
      <c r="G536" s="29"/>
      <c r="H536" s="34"/>
    </row>
    <row x14ac:dyDescent="0.25" r="537" customHeight="1" ht="15.75">
      <c r="A537" s="34"/>
      <c r="B537" s="29"/>
      <c r="C537" s="29"/>
      <c r="D537" s="29"/>
      <c r="E537" s="29"/>
      <c r="F537" s="29"/>
      <c r="G537" s="29"/>
      <c r="H537" s="34"/>
    </row>
    <row x14ac:dyDescent="0.25" r="538" customHeight="1" ht="15.75">
      <c r="A538" s="34"/>
      <c r="B538" s="29"/>
      <c r="C538" s="29"/>
      <c r="D538" s="29"/>
      <c r="E538" s="29"/>
      <c r="F538" s="29"/>
      <c r="G538" s="29"/>
      <c r="H538" s="34"/>
    </row>
    <row x14ac:dyDescent="0.25" r="539" customHeight="1" ht="15.75">
      <c r="A539" s="34"/>
      <c r="B539" s="29"/>
      <c r="C539" s="29"/>
      <c r="D539" s="29"/>
      <c r="E539" s="29"/>
      <c r="F539" s="29"/>
      <c r="G539" s="29"/>
      <c r="H539" s="34"/>
    </row>
    <row x14ac:dyDescent="0.25" r="540" customHeight="1" ht="15.75">
      <c r="A540" s="34"/>
      <c r="B540" s="29"/>
      <c r="C540" s="29"/>
      <c r="D540" s="29"/>
      <c r="E540" s="29"/>
      <c r="F540" s="29"/>
      <c r="G540" s="29"/>
      <c r="H540" s="34"/>
    </row>
    <row x14ac:dyDescent="0.25" r="541" customHeight="1" ht="15.75">
      <c r="A541" s="34"/>
      <c r="B541" s="29"/>
      <c r="C541" s="29"/>
      <c r="D541" s="29"/>
      <c r="E541" s="29"/>
      <c r="F541" s="29"/>
      <c r="G541" s="29"/>
      <c r="H541" s="34"/>
    </row>
    <row x14ac:dyDescent="0.25" r="542" customHeight="1" ht="15.75">
      <c r="A542" s="34"/>
      <c r="B542" s="29"/>
      <c r="C542" s="29"/>
      <c r="D542" s="29"/>
      <c r="E542" s="29"/>
      <c r="F542" s="29"/>
      <c r="G542" s="29"/>
      <c r="H542" s="34"/>
    </row>
    <row x14ac:dyDescent="0.25" r="543" customHeight="1" ht="15.75">
      <c r="A543" s="34"/>
      <c r="B543" s="29"/>
      <c r="C543" s="29"/>
      <c r="D543" s="29"/>
      <c r="E543" s="29"/>
      <c r="F543" s="29"/>
      <c r="G543" s="29"/>
      <c r="H543" s="34"/>
    </row>
    <row x14ac:dyDescent="0.25" r="544" customHeight="1" ht="15.75">
      <c r="A544" s="34"/>
      <c r="B544" s="29"/>
      <c r="C544" s="29"/>
      <c r="D544" s="29"/>
      <c r="E544" s="29"/>
      <c r="F544" s="29"/>
      <c r="G544" s="29"/>
      <c r="H544" s="34"/>
    </row>
    <row x14ac:dyDescent="0.25" r="545" customHeight="1" ht="15.75">
      <c r="A545" s="34"/>
      <c r="B545" s="29"/>
      <c r="C545" s="29"/>
      <c r="D545" s="29"/>
      <c r="E545" s="29"/>
      <c r="F545" s="29"/>
      <c r="G545" s="29"/>
      <c r="H545" s="34"/>
    </row>
    <row x14ac:dyDescent="0.25" r="546" customHeight="1" ht="15.75">
      <c r="A546" s="34"/>
      <c r="B546" s="29"/>
      <c r="C546" s="29"/>
      <c r="D546" s="29"/>
      <c r="E546" s="29"/>
      <c r="F546" s="29"/>
      <c r="G546" s="29"/>
      <c r="H546" s="34"/>
    </row>
    <row x14ac:dyDescent="0.25" r="547" customHeight="1" ht="15.75">
      <c r="A547" s="34"/>
      <c r="B547" s="29"/>
      <c r="C547" s="29"/>
      <c r="D547" s="29"/>
      <c r="E547" s="29"/>
      <c r="F547" s="29"/>
      <c r="G547" s="29"/>
      <c r="H547" s="34"/>
    </row>
    <row x14ac:dyDescent="0.25" r="548" customHeight="1" ht="15.75">
      <c r="A548" s="34"/>
      <c r="B548" s="29"/>
      <c r="C548" s="29"/>
      <c r="D548" s="29"/>
      <c r="E548" s="29"/>
      <c r="F548" s="29"/>
      <c r="G548" s="29"/>
      <c r="H548" s="34"/>
    </row>
    <row x14ac:dyDescent="0.25" r="549" customHeight="1" ht="15.75">
      <c r="A549" s="34"/>
      <c r="B549" s="29"/>
      <c r="C549" s="29"/>
      <c r="D549" s="29"/>
      <c r="E549" s="29"/>
      <c r="F549" s="29"/>
      <c r="G549" s="29"/>
      <c r="H549" s="34"/>
    </row>
    <row x14ac:dyDescent="0.25" r="550" customHeight="1" ht="15.75">
      <c r="A550" s="34"/>
      <c r="B550" s="29"/>
      <c r="C550" s="29"/>
      <c r="D550" s="29"/>
      <c r="E550" s="29"/>
      <c r="F550" s="29"/>
      <c r="G550" s="29"/>
      <c r="H550" s="34"/>
    </row>
    <row x14ac:dyDescent="0.25" r="551" customHeight="1" ht="15.75">
      <c r="A551" s="34"/>
      <c r="B551" s="29"/>
      <c r="C551" s="29"/>
      <c r="D551" s="29"/>
      <c r="E551" s="29"/>
      <c r="F551" s="29"/>
      <c r="G551" s="29"/>
      <c r="H551" s="34"/>
    </row>
    <row x14ac:dyDescent="0.25" r="552" customHeight="1" ht="15.75">
      <c r="A552" s="34"/>
      <c r="B552" s="29"/>
      <c r="C552" s="29"/>
      <c r="D552" s="29"/>
      <c r="E552" s="29"/>
      <c r="F552" s="29"/>
      <c r="G552" s="29"/>
      <c r="H552" s="34"/>
    </row>
    <row x14ac:dyDescent="0.25" r="553" customHeight="1" ht="15.75">
      <c r="A553" s="34"/>
      <c r="B553" s="29"/>
      <c r="C553" s="29"/>
      <c r="D553" s="29"/>
      <c r="E553" s="29"/>
      <c r="F553" s="29"/>
      <c r="G553" s="29"/>
      <c r="H553" s="34"/>
    </row>
    <row x14ac:dyDescent="0.25" r="554" customHeight="1" ht="15.75">
      <c r="A554" s="34"/>
      <c r="B554" s="29"/>
      <c r="C554" s="29"/>
      <c r="D554" s="29"/>
      <c r="E554" s="29"/>
      <c r="F554" s="29"/>
      <c r="G554" s="29"/>
      <c r="H554" s="34"/>
    </row>
    <row x14ac:dyDescent="0.25" r="555" customHeight="1" ht="15.75">
      <c r="A555" s="34"/>
      <c r="B555" s="29"/>
      <c r="C555" s="29"/>
      <c r="D555" s="29"/>
      <c r="E555" s="29"/>
      <c r="F555" s="29"/>
      <c r="G555" s="29"/>
      <c r="H555" s="34"/>
    </row>
    <row x14ac:dyDescent="0.25" r="556" customHeight="1" ht="15.75">
      <c r="A556" s="34"/>
      <c r="B556" s="29"/>
      <c r="C556" s="29"/>
      <c r="D556" s="29"/>
      <c r="E556" s="29"/>
      <c r="F556" s="29"/>
      <c r="G556" s="29"/>
      <c r="H556" s="34"/>
    </row>
    <row x14ac:dyDescent="0.25" r="557" customHeight="1" ht="15.75">
      <c r="A557" s="34"/>
      <c r="B557" s="29"/>
      <c r="C557" s="29"/>
      <c r="D557" s="29"/>
      <c r="E557" s="29"/>
      <c r="F557" s="29"/>
      <c r="G557" s="29"/>
      <c r="H557" s="34"/>
    </row>
    <row x14ac:dyDescent="0.25" r="558" customHeight="1" ht="15.75">
      <c r="A558" s="34"/>
      <c r="B558" s="29"/>
      <c r="C558" s="29"/>
      <c r="D558" s="29"/>
      <c r="E558" s="29"/>
      <c r="F558" s="29"/>
      <c r="G558" s="29"/>
      <c r="H558" s="34"/>
    </row>
    <row x14ac:dyDescent="0.25" r="559" customHeight="1" ht="15.75">
      <c r="A559" s="34"/>
      <c r="B559" s="29"/>
      <c r="C559" s="29"/>
      <c r="D559" s="29"/>
      <c r="E559" s="29"/>
      <c r="F559" s="29"/>
      <c r="G559" s="29"/>
      <c r="H559" s="34"/>
    </row>
    <row x14ac:dyDescent="0.25" r="560" customHeight="1" ht="15.75">
      <c r="A560" s="34"/>
      <c r="B560" s="29"/>
      <c r="C560" s="29"/>
      <c r="D560" s="29"/>
      <c r="E560" s="29"/>
      <c r="F560" s="29"/>
      <c r="G560" s="29"/>
      <c r="H560" s="34"/>
    </row>
    <row x14ac:dyDescent="0.25" r="561" customHeight="1" ht="15.75">
      <c r="A561" s="34"/>
      <c r="B561" s="29"/>
      <c r="C561" s="29"/>
      <c r="D561" s="29"/>
      <c r="E561" s="29"/>
      <c r="F561" s="29"/>
      <c r="G561" s="29"/>
      <c r="H561" s="34"/>
    </row>
    <row x14ac:dyDescent="0.25" r="562" customHeight="1" ht="15.75">
      <c r="A562" s="34"/>
      <c r="B562" s="29"/>
      <c r="C562" s="29"/>
      <c r="D562" s="29"/>
      <c r="E562" s="29"/>
      <c r="F562" s="29"/>
      <c r="G562" s="29"/>
      <c r="H562" s="34"/>
    </row>
    <row x14ac:dyDescent="0.25" r="563" customHeight="1" ht="15.75">
      <c r="A563" s="34"/>
      <c r="B563" s="29"/>
      <c r="C563" s="29"/>
      <c r="D563" s="29"/>
      <c r="E563" s="29"/>
      <c r="F563" s="29"/>
      <c r="G563" s="29"/>
      <c r="H563" s="34"/>
    </row>
    <row x14ac:dyDescent="0.25" r="564" customHeight="1" ht="15.75">
      <c r="A564" s="34"/>
      <c r="B564" s="29"/>
      <c r="C564" s="29"/>
      <c r="D564" s="29"/>
      <c r="E564" s="29"/>
      <c r="F564" s="29"/>
      <c r="G564" s="29"/>
      <c r="H564" s="34"/>
    </row>
    <row x14ac:dyDescent="0.25" r="565" customHeight="1" ht="15.75">
      <c r="A565" s="34"/>
      <c r="B565" s="29"/>
      <c r="C565" s="29"/>
      <c r="D565" s="29"/>
      <c r="E565" s="29"/>
      <c r="F565" s="29"/>
      <c r="G565" s="29"/>
      <c r="H565" s="34"/>
    </row>
    <row x14ac:dyDescent="0.25" r="566" customHeight="1" ht="15.75">
      <c r="A566" s="34"/>
      <c r="B566" s="29"/>
      <c r="C566" s="29"/>
      <c r="D566" s="29"/>
      <c r="E566" s="29"/>
      <c r="F566" s="29"/>
      <c r="G566" s="29"/>
      <c r="H566" s="34"/>
    </row>
    <row x14ac:dyDescent="0.25" r="567" customHeight="1" ht="15.75">
      <c r="A567" s="34"/>
      <c r="B567" s="29"/>
      <c r="C567" s="29"/>
      <c r="D567" s="29"/>
      <c r="E567" s="29"/>
      <c r="F567" s="29"/>
      <c r="G567" s="29"/>
      <c r="H567" s="34"/>
    </row>
    <row x14ac:dyDescent="0.25" r="568" customHeight="1" ht="15.75">
      <c r="A568" s="34"/>
      <c r="B568" s="29"/>
      <c r="C568" s="29"/>
      <c r="D568" s="29"/>
      <c r="E568" s="29"/>
      <c r="F568" s="29"/>
      <c r="G568" s="29"/>
      <c r="H568" s="34"/>
    </row>
    <row x14ac:dyDescent="0.25" r="569" customHeight="1" ht="15.75">
      <c r="A569" s="34"/>
      <c r="B569" s="29"/>
      <c r="C569" s="29"/>
      <c r="D569" s="29"/>
      <c r="E569" s="29"/>
      <c r="F569" s="29"/>
      <c r="G569" s="29"/>
      <c r="H569" s="34"/>
    </row>
    <row x14ac:dyDescent="0.25" r="570" customHeight="1" ht="15.75">
      <c r="A570" s="34"/>
      <c r="B570" s="29"/>
      <c r="C570" s="29"/>
      <c r="D570" s="29"/>
      <c r="E570" s="29"/>
      <c r="F570" s="29"/>
      <c r="G570" s="29"/>
      <c r="H570" s="34"/>
    </row>
    <row x14ac:dyDescent="0.25" r="571" customHeight="1" ht="15.75">
      <c r="A571" s="34"/>
      <c r="B571" s="29"/>
      <c r="C571" s="29"/>
      <c r="D571" s="29"/>
      <c r="E571" s="29"/>
      <c r="F571" s="29"/>
      <c r="G571" s="29"/>
      <c r="H571" s="34"/>
    </row>
    <row x14ac:dyDescent="0.25" r="572" customHeight="1" ht="15.75">
      <c r="A572" s="34"/>
      <c r="B572" s="29"/>
      <c r="C572" s="29"/>
      <c r="D572" s="29"/>
      <c r="E572" s="29"/>
      <c r="F572" s="29"/>
      <c r="G572" s="29"/>
      <c r="H572" s="34"/>
    </row>
    <row x14ac:dyDescent="0.25" r="573" customHeight="1" ht="15.75">
      <c r="A573" s="34"/>
      <c r="B573" s="29"/>
      <c r="C573" s="29"/>
      <c r="D573" s="29"/>
      <c r="E573" s="29"/>
      <c r="F573" s="29"/>
      <c r="G573" s="29"/>
      <c r="H573" s="34"/>
    </row>
    <row x14ac:dyDescent="0.25" r="574" customHeight="1" ht="15.75">
      <c r="A574" s="34"/>
      <c r="B574" s="29"/>
      <c r="C574" s="29"/>
      <c r="D574" s="29"/>
      <c r="E574" s="29"/>
      <c r="F574" s="29"/>
      <c r="G574" s="29"/>
      <c r="H574" s="34"/>
    </row>
    <row x14ac:dyDescent="0.25" r="575" customHeight="1" ht="15.75">
      <c r="A575" s="34"/>
      <c r="B575" s="29"/>
      <c r="C575" s="29"/>
      <c r="D575" s="29"/>
      <c r="E575" s="29"/>
      <c r="F575" s="29"/>
      <c r="G575" s="29"/>
      <c r="H575" s="34"/>
    </row>
    <row x14ac:dyDescent="0.25" r="576" customHeight="1" ht="15.75">
      <c r="A576" s="34"/>
      <c r="B576" s="29"/>
      <c r="C576" s="29"/>
      <c r="D576" s="29"/>
      <c r="E576" s="29"/>
      <c r="F576" s="29"/>
      <c r="G576" s="29"/>
      <c r="H576" s="34"/>
    </row>
    <row x14ac:dyDescent="0.25" r="577" customHeight="1" ht="15.75">
      <c r="A577" s="34"/>
      <c r="B577" s="29"/>
      <c r="C577" s="29"/>
      <c r="D577" s="29"/>
      <c r="E577" s="29"/>
      <c r="F577" s="29"/>
      <c r="G577" s="29"/>
      <c r="H577" s="34"/>
    </row>
    <row x14ac:dyDescent="0.25" r="578" customHeight="1" ht="15.75">
      <c r="A578" s="34"/>
      <c r="B578" s="29"/>
      <c r="C578" s="29"/>
      <c r="D578" s="29"/>
      <c r="E578" s="29"/>
      <c r="F578" s="29"/>
      <c r="G578" s="29"/>
      <c r="H578" s="34"/>
    </row>
    <row x14ac:dyDescent="0.25" r="579" customHeight="1" ht="15.75">
      <c r="A579" s="34"/>
      <c r="B579" s="29"/>
      <c r="C579" s="29"/>
      <c r="D579" s="29"/>
      <c r="E579" s="29"/>
      <c r="F579" s="29"/>
      <c r="G579" s="29"/>
      <c r="H579" s="34"/>
    </row>
    <row x14ac:dyDescent="0.25" r="580" customHeight="1" ht="15.75">
      <c r="A580" s="34"/>
      <c r="B580" s="29"/>
      <c r="C580" s="29"/>
      <c r="D580" s="29"/>
      <c r="E580" s="29"/>
      <c r="F580" s="29"/>
      <c r="G580" s="29"/>
      <c r="H580" s="34"/>
    </row>
    <row x14ac:dyDescent="0.25" r="581" customHeight="1" ht="15.75">
      <c r="A581" s="34"/>
      <c r="B581" s="29"/>
      <c r="C581" s="29"/>
      <c r="D581" s="29"/>
      <c r="E581" s="29"/>
      <c r="F581" s="29"/>
      <c r="G581" s="29"/>
      <c r="H581" s="34"/>
    </row>
    <row x14ac:dyDescent="0.25" r="582" customHeight="1" ht="15.75">
      <c r="A582" s="34"/>
      <c r="B582" s="29"/>
      <c r="C582" s="29"/>
      <c r="D582" s="29"/>
      <c r="E582" s="29"/>
      <c r="F582" s="29"/>
      <c r="G582" s="29"/>
      <c r="H582" s="34"/>
    </row>
    <row x14ac:dyDescent="0.25" r="583" customHeight="1" ht="15.75">
      <c r="A583" s="34"/>
      <c r="B583" s="29"/>
      <c r="C583" s="29"/>
      <c r="D583" s="29"/>
      <c r="E583" s="29"/>
      <c r="F583" s="29"/>
      <c r="G583" s="29"/>
      <c r="H583" s="34"/>
    </row>
    <row x14ac:dyDescent="0.25" r="584" customHeight="1" ht="15.75">
      <c r="A584" s="34"/>
      <c r="B584" s="29"/>
      <c r="C584" s="29"/>
      <c r="D584" s="29"/>
      <c r="E584" s="29"/>
      <c r="F584" s="29"/>
      <c r="G584" s="29"/>
      <c r="H584" s="34"/>
    </row>
    <row x14ac:dyDescent="0.25" r="585" customHeight="1" ht="15.75">
      <c r="A585" s="34"/>
      <c r="B585" s="29"/>
      <c r="C585" s="29"/>
      <c r="D585" s="29"/>
      <c r="E585" s="29"/>
      <c r="F585" s="29"/>
      <c r="G585" s="29"/>
      <c r="H585" s="34"/>
    </row>
    <row x14ac:dyDescent="0.25" r="586" customHeight="1" ht="15.75">
      <c r="A586" s="34"/>
      <c r="B586" s="29"/>
      <c r="C586" s="29"/>
      <c r="D586" s="29"/>
      <c r="E586" s="29"/>
      <c r="F586" s="29"/>
      <c r="G586" s="29"/>
      <c r="H586" s="34"/>
    </row>
    <row x14ac:dyDescent="0.25" r="587" customHeight="1" ht="15.75">
      <c r="A587" s="34"/>
      <c r="B587" s="29"/>
      <c r="C587" s="29"/>
      <c r="D587" s="29"/>
      <c r="E587" s="29"/>
      <c r="F587" s="29"/>
      <c r="G587" s="29"/>
      <c r="H587" s="34"/>
    </row>
    <row x14ac:dyDescent="0.25" r="588" customHeight="1" ht="15.75">
      <c r="A588" s="34"/>
      <c r="B588" s="29"/>
      <c r="C588" s="29"/>
      <c r="D588" s="29"/>
      <c r="E588" s="29"/>
      <c r="F588" s="29"/>
      <c r="G588" s="29"/>
      <c r="H588" s="34"/>
    </row>
    <row x14ac:dyDescent="0.25" r="589" customHeight="1" ht="15.75">
      <c r="A589" s="34"/>
      <c r="B589" s="29"/>
      <c r="C589" s="29"/>
      <c r="D589" s="29"/>
      <c r="E589" s="29"/>
      <c r="F589" s="29"/>
      <c r="G589" s="29"/>
      <c r="H589" s="34"/>
    </row>
    <row x14ac:dyDescent="0.25" r="590" customHeight="1" ht="15.75">
      <c r="A590" s="34"/>
      <c r="B590" s="29"/>
      <c r="C590" s="29"/>
      <c r="D590" s="29"/>
      <c r="E590" s="29"/>
      <c r="F590" s="29"/>
      <c r="G590" s="29"/>
      <c r="H590" s="34"/>
    </row>
    <row x14ac:dyDescent="0.25" r="591" customHeight="1" ht="15.75">
      <c r="A591" s="34"/>
      <c r="B591" s="29"/>
      <c r="C591" s="29"/>
      <c r="D591" s="29"/>
      <c r="E591" s="29"/>
      <c r="F591" s="29"/>
      <c r="G591" s="29"/>
      <c r="H591" s="34"/>
    </row>
    <row x14ac:dyDescent="0.25" r="592" customHeight="1" ht="15.75">
      <c r="A592" s="34"/>
      <c r="B592" s="29"/>
      <c r="C592" s="29"/>
      <c r="D592" s="29"/>
      <c r="E592" s="29"/>
      <c r="F592" s="29"/>
      <c r="G592" s="29"/>
      <c r="H592" s="34"/>
    </row>
    <row x14ac:dyDescent="0.25" r="593" customHeight="1" ht="15.75">
      <c r="A593" s="34"/>
      <c r="B593" s="29"/>
      <c r="C593" s="29"/>
      <c r="D593" s="29"/>
      <c r="E593" s="29"/>
      <c r="F593" s="29"/>
      <c r="G593" s="29"/>
      <c r="H593" s="34"/>
    </row>
    <row x14ac:dyDescent="0.25" r="594" customHeight="1" ht="15.75">
      <c r="A594" s="34"/>
      <c r="B594" s="29"/>
      <c r="C594" s="29"/>
      <c r="D594" s="29"/>
      <c r="E594" s="29"/>
      <c r="F594" s="29"/>
      <c r="G594" s="29"/>
      <c r="H594" s="34"/>
    </row>
    <row x14ac:dyDescent="0.25" r="595" customHeight="1" ht="15.75">
      <c r="A595" s="34"/>
      <c r="B595" s="29"/>
      <c r="C595" s="29"/>
      <c r="D595" s="29"/>
      <c r="E595" s="29"/>
      <c r="F595" s="29"/>
      <c r="G595" s="29"/>
      <c r="H595" s="34"/>
    </row>
    <row x14ac:dyDescent="0.25" r="596" customHeight="1" ht="15.75">
      <c r="A596" s="34"/>
      <c r="B596" s="29"/>
      <c r="C596" s="29"/>
      <c r="D596" s="29"/>
      <c r="E596" s="29"/>
      <c r="F596" s="29"/>
      <c r="G596" s="29"/>
      <c r="H596" s="34"/>
    </row>
    <row x14ac:dyDescent="0.25" r="597" customHeight="1" ht="15.75">
      <c r="A597" s="34"/>
      <c r="B597" s="29"/>
      <c r="C597" s="29"/>
      <c r="D597" s="29"/>
      <c r="E597" s="29"/>
      <c r="F597" s="29"/>
      <c r="G597" s="29"/>
      <c r="H597" s="34"/>
    </row>
    <row x14ac:dyDescent="0.25" r="598" customHeight="1" ht="15.75">
      <c r="A598" s="34"/>
      <c r="B598" s="29"/>
      <c r="C598" s="29"/>
      <c r="D598" s="29"/>
      <c r="E598" s="29"/>
      <c r="F598" s="29"/>
      <c r="G598" s="29"/>
      <c r="H598" s="34"/>
    </row>
    <row x14ac:dyDescent="0.25" r="599" customHeight="1" ht="15.75">
      <c r="A599" s="34"/>
      <c r="B599" s="29"/>
      <c r="C599" s="29"/>
      <c r="D599" s="29"/>
      <c r="E599" s="29"/>
      <c r="F599" s="29"/>
      <c r="G599" s="29"/>
      <c r="H599" s="34"/>
    </row>
    <row x14ac:dyDescent="0.25" r="600" customHeight="1" ht="15.75">
      <c r="A600" s="34"/>
      <c r="B600" s="29"/>
      <c r="C600" s="29"/>
      <c r="D600" s="29"/>
      <c r="E600" s="29"/>
      <c r="F600" s="29"/>
      <c r="G600" s="29"/>
      <c r="H600" s="34"/>
    </row>
    <row x14ac:dyDescent="0.25" r="601" customHeight="1" ht="15.75">
      <c r="A601" s="34"/>
      <c r="B601" s="29"/>
      <c r="C601" s="29"/>
      <c r="D601" s="29"/>
      <c r="E601" s="29"/>
      <c r="F601" s="29"/>
      <c r="G601" s="29"/>
      <c r="H601" s="34"/>
    </row>
    <row x14ac:dyDescent="0.25" r="602" customHeight="1" ht="15.75">
      <c r="A602" s="34"/>
      <c r="B602" s="29"/>
      <c r="C602" s="29"/>
      <c r="D602" s="29"/>
      <c r="E602" s="29"/>
      <c r="F602" s="29"/>
      <c r="G602" s="29"/>
      <c r="H602" s="34"/>
    </row>
    <row x14ac:dyDescent="0.25" r="603" customHeight="1" ht="15.75">
      <c r="A603" s="34"/>
      <c r="B603" s="29"/>
      <c r="C603" s="29"/>
      <c r="D603" s="29"/>
      <c r="E603" s="29"/>
      <c r="F603" s="29"/>
      <c r="G603" s="29"/>
      <c r="H603" s="34"/>
    </row>
    <row x14ac:dyDescent="0.25" r="604" customHeight="1" ht="15.75">
      <c r="A604" s="34"/>
      <c r="B604" s="29"/>
      <c r="C604" s="29"/>
      <c r="D604" s="29"/>
      <c r="E604" s="29"/>
      <c r="F604" s="29"/>
      <c r="G604" s="29"/>
      <c r="H604" s="34"/>
    </row>
    <row x14ac:dyDescent="0.25" r="605" customHeight="1" ht="15.75">
      <c r="A605" s="34"/>
      <c r="B605" s="29"/>
      <c r="C605" s="29"/>
      <c r="D605" s="29"/>
      <c r="E605" s="29"/>
      <c r="F605" s="29"/>
      <c r="G605" s="29"/>
      <c r="H605" s="34"/>
    </row>
    <row x14ac:dyDescent="0.25" r="606" customHeight="1" ht="15.75">
      <c r="A606" s="34"/>
      <c r="B606" s="29"/>
      <c r="C606" s="29"/>
      <c r="D606" s="29"/>
      <c r="E606" s="29"/>
      <c r="F606" s="29"/>
      <c r="G606" s="29"/>
      <c r="H606" s="34"/>
    </row>
    <row x14ac:dyDescent="0.25" r="607" customHeight="1" ht="15.75">
      <c r="A607" s="34"/>
      <c r="B607" s="29"/>
      <c r="C607" s="29"/>
      <c r="D607" s="29"/>
      <c r="E607" s="29"/>
      <c r="F607" s="29"/>
      <c r="G607" s="29"/>
      <c r="H607" s="34"/>
    </row>
    <row x14ac:dyDescent="0.25" r="608" customHeight="1" ht="15.75">
      <c r="A608" s="34"/>
      <c r="B608" s="29"/>
      <c r="C608" s="29"/>
      <c r="D608" s="29"/>
      <c r="E608" s="29"/>
      <c r="F608" s="29"/>
      <c r="G608" s="29"/>
      <c r="H608" s="34"/>
    </row>
    <row x14ac:dyDescent="0.25" r="609" customHeight="1" ht="15.75">
      <c r="A609" s="34"/>
      <c r="B609" s="29"/>
      <c r="C609" s="29"/>
      <c r="D609" s="29"/>
      <c r="E609" s="29"/>
      <c r="F609" s="29"/>
      <c r="G609" s="29"/>
      <c r="H609" s="34"/>
    </row>
    <row x14ac:dyDescent="0.25" r="610" customHeight="1" ht="15.75">
      <c r="A610" s="34"/>
      <c r="B610" s="29"/>
      <c r="C610" s="29"/>
      <c r="D610" s="29"/>
      <c r="E610" s="29"/>
      <c r="F610" s="29"/>
      <c r="G610" s="29"/>
      <c r="H610" s="34"/>
    </row>
    <row x14ac:dyDescent="0.25" r="611" customHeight="1" ht="15.75">
      <c r="A611" s="34"/>
      <c r="B611" s="29"/>
      <c r="C611" s="29"/>
      <c r="D611" s="29"/>
      <c r="E611" s="29"/>
      <c r="F611" s="29"/>
      <c r="G611" s="29"/>
      <c r="H611" s="34"/>
    </row>
    <row x14ac:dyDescent="0.25" r="612" customHeight="1" ht="15.75">
      <c r="A612" s="34"/>
      <c r="B612" s="29"/>
      <c r="C612" s="29"/>
      <c r="D612" s="29"/>
      <c r="E612" s="29"/>
      <c r="F612" s="29"/>
      <c r="G612" s="29"/>
      <c r="H612" s="34"/>
    </row>
    <row x14ac:dyDescent="0.25" r="613" customHeight="1" ht="15.75">
      <c r="A613" s="34"/>
      <c r="B613" s="29"/>
      <c r="C613" s="29"/>
      <c r="D613" s="29"/>
      <c r="E613" s="29"/>
      <c r="F613" s="29"/>
      <c r="G613" s="29"/>
      <c r="H613" s="34"/>
    </row>
    <row x14ac:dyDescent="0.25" r="614" customHeight="1" ht="15.75">
      <c r="A614" s="34"/>
      <c r="B614" s="29"/>
      <c r="C614" s="29"/>
      <c r="D614" s="29"/>
      <c r="E614" s="29"/>
      <c r="F614" s="29"/>
      <c r="G614" s="29"/>
      <c r="H614" s="34"/>
    </row>
    <row x14ac:dyDescent="0.25" r="615" customHeight="1" ht="15.75">
      <c r="A615" s="34"/>
      <c r="B615" s="29"/>
      <c r="C615" s="29"/>
      <c r="D615" s="29"/>
      <c r="E615" s="29"/>
      <c r="F615" s="29"/>
      <c r="G615" s="29"/>
      <c r="H615" s="34"/>
    </row>
    <row x14ac:dyDescent="0.25" r="616" customHeight="1" ht="15.75">
      <c r="A616" s="34"/>
      <c r="B616" s="29"/>
      <c r="C616" s="29"/>
      <c r="D616" s="29"/>
      <c r="E616" s="29"/>
      <c r="F616" s="29"/>
      <c r="G616" s="29"/>
      <c r="H616" s="34"/>
    </row>
    <row x14ac:dyDescent="0.25" r="617" customHeight="1" ht="15.75">
      <c r="A617" s="34"/>
      <c r="B617" s="29"/>
      <c r="C617" s="29"/>
      <c r="D617" s="29"/>
      <c r="E617" s="29"/>
      <c r="F617" s="29"/>
      <c r="G617" s="29"/>
      <c r="H617" s="34"/>
    </row>
    <row x14ac:dyDescent="0.25" r="618" customHeight="1" ht="15.75">
      <c r="A618" s="34"/>
      <c r="B618" s="29"/>
      <c r="C618" s="29"/>
      <c r="D618" s="29"/>
      <c r="E618" s="29"/>
      <c r="F618" s="29"/>
      <c r="G618" s="29"/>
      <c r="H618" s="34"/>
    </row>
    <row x14ac:dyDescent="0.25" r="619" customHeight="1" ht="15.75">
      <c r="A619" s="34"/>
      <c r="B619" s="29"/>
      <c r="C619" s="29"/>
      <c r="D619" s="29"/>
      <c r="E619" s="29"/>
      <c r="F619" s="29"/>
      <c r="G619" s="29"/>
      <c r="H619" s="34"/>
    </row>
    <row x14ac:dyDescent="0.25" r="620" customHeight="1" ht="15.75">
      <c r="A620" s="34"/>
      <c r="B620" s="29"/>
      <c r="C620" s="29"/>
      <c r="D620" s="29"/>
      <c r="E620" s="29"/>
      <c r="F620" s="29"/>
      <c r="G620" s="29"/>
      <c r="H620" s="34"/>
    </row>
    <row x14ac:dyDescent="0.25" r="621" customHeight="1" ht="15.75">
      <c r="A621" s="34"/>
      <c r="B621" s="29"/>
      <c r="C621" s="29"/>
      <c r="D621" s="29"/>
      <c r="E621" s="29"/>
      <c r="F621" s="29"/>
      <c r="G621" s="29"/>
      <c r="H621" s="34"/>
    </row>
    <row x14ac:dyDescent="0.25" r="622" customHeight="1" ht="15.75">
      <c r="A622" s="34"/>
      <c r="B622" s="29"/>
      <c r="C622" s="29"/>
      <c r="D622" s="29"/>
      <c r="E622" s="29"/>
      <c r="F622" s="29"/>
      <c r="G622" s="29"/>
      <c r="H622" s="34"/>
    </row>
    <row x14ac:dyDescent="0.25" r="623" customHeight="1" ht="15.75">
      <c r="A623" s="34"/>
      <c r="B623" s="29"/>
      <c r="C623" s="29"/>
      <c r="D623" s="29"/>
      <c r="E623" s="29"/>
      <c r="F623" s="29"/>
      <c r="G623" s="29"/>
      <c r="H623" s="34"/>
    </row>
    <row x14ac:dyDescent="0.25" r="624" customHeight="1" ht="15.75">
      <c r="A624" s="34"/>
      <c r="B624" s="29"/>
      <c r="C624" s="29"/>
      <c r="D624" s="29"/>
      <c r="E624" s="29"/>
      <c r="F624" s="29"/>
      <c r="G624" s="29"/>
      <c r="H624" s="34"/>
    </row>
    <row x14ac:dyDescent="0.25" r="625" customHeight="1" ht="15.75">
      <c r="A625" s="34"/>
      <c r="B625" s="29"/>
      <c r="C625" s="29"/>
      <c r="D625" s="29"/>
      <c r="E625" s="29"/>
      <c r="F625" s="29"/>
      <c r="G625" s="29"/>
      <c r="H625" s="34"/>
    </row>
    <row x14ac:dyDescent="0.25" r="626" customHeight="1" ht="15.75">
      <c r="A626" s="34"/>
      <c r="B626" s="29"/>
      <c r="C626" s="29"/>
      <c r="D626" s="29"/>
      <c r="E626" s="29"/>
      <c r="F626" s="29"/>
      <c r="G626" s="29"/>
      <c r="H626" s="34"/>
    </row>
    <row x14ac:dyDescent="0.25" r="627" customHeight="1" ht="15.75">
      <c r="A627" s="34"/>
      <c r="B627" s="29"/>
      <c r="C627" s="29"/>
      <c r="D627" s="29"/>
      <c r="E627" s="29"/>
      <c r="F627" s="29"/>
      <c r="G627" s="29"/>
      <c r="H627" s="34"/>
    </row>
    <row x14ac:dyDescent="0.25" r="628" customHeight="1" ht="15.75">
      <c r="A628" s="34"/>
      <c r="B628" s="29"/>
      <c r="C628" s="29"/>
      <c r="D628" s="29"/>
      <c r="E628" s="29"/>
      <c r="F628" s="29"/>
      <c r="G628" s="29"/>
      <c r="H628" s="34"/>
    </row>
    <row x14ac:dyDescent="0.25" r="629" customHeight="1" ht="15.75">
      <c r="A629" s="34"/>
      <c r="B629" s="29"/>
      <c r="C629" s="29"/>
      <c r="D629" s="29"/>
      <c r="E629" s="29"/>
      <c r="F629" s="29"/>
      <c r="G629" s="29"/>
      <c r="H629" s="34"/>
    </row>
    <row x14ac:dyDescent="0.25" r="630" customHeight="1" ht="15.75">
      <c r="A630" s="34"/>
      <c r="B630" s="29"/>
      <c r="C630" s="29"/>
      <c r="D630" s="29"/>
      <c r="E630" s="29"/>
      <c r="F630" s="29"/>
      <c r="G630" s="29"/>
      <c r="H630" s="34"/>
    </row>
    <row x14ac:dyDescent="0.25" r="631" customHeight="1" ht="15.75">
      <c r="A631" s="34"/>
      <c r="B631" s="29"/>
      <c r="C631" s="29"/>
      <c r="D631" s="29"/>
      <c r="E631" s="29"/>
      <c r="F631" s="29"/>
      <c r="G631" s="29"/>
      <c r="H631" s="34"/>
    </row>
    <row x14ac:dyDescent="0.25" r="632" customHeight="1" ht="15.75">
      <c r="A632" s="34"/>
      <c r="B632" s="29"/>
      <c r="C632" s="29"/>
      <c r="D632" s="29"/>
      <c r="E632" s="29"/>
      <c r="F632" s="29"/>
      <c r="G632" s="29"/>
      <c r="H632" s="34"/>
    </row>
    <row x14ac:dyDescent="0.25" r="633" customHeight="1" ht="15.75">
      <c r="A633" s="34"/>
      <c r="B633" s="29"/>
      <c r="C633" s="29"/>
      <c r="D633" s="29"/>
      <c r="E633" s="29"/>
      <c r="F633" s="29"/>
      <c r="G633" s="29"/>
      <c r="H633" s="34"/>
    </row>
    <row x14ac:dyDescent="0.25" r="634" customHeight="1" ht="15.75">
      <c r="A634" s="34"/>
      <c r="B634" s="29"/>
      <c r="C634" s="29"/>
      <c r="D634" s="29"/>
      <c r="E634" s="29"/>
      <c r="F634" s="29"/>
      <c r="G634" s="29"/>
      <c r="H634" s="34"/>
    </row>
    <row x14ac:dyDescent="0.25" r="635" customHeight="1" ht="15.75">
      <c r="A635" s="34"/>
      <c r="B635" s="29"/>
      <c r="C635" s="29"/>
      <c r="D635" s="29"/>
      <c r="E635" s="29"/>
      <c r="F635" s="29"/>
      <c r="G635" s="29"/>
      <c r="H635" s="34"/>
    </row>
    <row x14ac:dyDescent="0.25" r="636" customHeight="1" ht="15.75">
      <c r="A636" s="34"/>
      <c r="B636" s="29"/>
      <c r="C636" s="29"/>
      <c r="D636" s="29"/>
      <c r="E636" s="29"/>
      <c r="F636" s="29"/>
      <c r="G636" s="29"/>
      <c r="H636" s="34"/>
    </row>
    <row x14ac:dyDescent="0.25" r="637" customHeight="1" ht="15.75">
      <c r="A637" s="34"/>
      <c r="B637" s="29"/>
      <c r="C637" s="29"/>
      <c r="D637" s="29"/>
      <c r="E637" s="29"/>
      <c r="F637" s="29"/>
      <c r="G637" s="29"/>
      <c r="H637" s="34"/>
    </row>
    <row x14ac:dyDescent="0.25" r="638" customHeight="1" ht="15.75">
      <c r="A638" s="34"/>
      <c r="B638" s="29"/>
      <c r="C638" s="29"/>
      <c r="D638" s="29"/>
      <c r="E638" s="29"/>
      <c r="F638" s="29"/>
      <c r="G638" s="29"/>
      <c r="H638" s="34"/>
    </row>
    <row x14ac:dyDescent="0.25" r="639" customHeight="1" ht="15.75">
      <c r="A639" s="34"/>
      <c r="B639" s="29"/>
      <c r="C639" s="29"/>
      <c r="D639" s="29"/>
      <c r="E639" s="29"/>
      <c r="F639" s="29"/>
      <c r="G639" s="29"/>
      <c r="H639" s="34"/>
    </row>
    <row x14ac:dyDescent="0.25" r="640" customHeight="1" ht="15.75">
      <c r="A640" s="34"/>
      <c r="B640" s="29"/>
      <c r="C640" s="29"/>
      <c r="D640" s="29"/>
      <c r="E640" s="29"/>
      <c r="F640" s="29"/>
      <c r="G640" s="29"/>
      <c r="H640" s="34"/>
    </row>
    <row x14ac:dyDescent="0.25" r="641" customHeight="1" ht="15.75">
      <c r="A641" s="34"/>
      <c r="B641" s="29"/>
      <c r="C641" s="29"/>
      <c r="D641" s="29"/>
      <c r="E641" s="29"/>
      <c r="F641" s="29"/>
      <c r="G641" s="29"/>
      <c r="H641" s="34"/>
    </row>
    <row x14ac:dyDescent="0.25" r="642" customHeight="1" ht="15.75">
      <c r="A642" s="34"/>
      <c r="B642" s="29"/>
      <c r="C642" s="29"/>
      <c r="D642" s="29"/>
      <c r="E642" s="29"/>
      <c r="F642" s="29"/>
      <c r="G642" s="29"/>
      <c r="H642" s="34"/>
    </row>
    <row x14ac:dyDescent="0.25" r="643" customHeight="1" ht="15.75">
      <c r="A643" s="34"/>
      <c r="B643" s="29"/>
      <c r="C643" s="29"/>
      <c r="D643" s="29"/>
      <c r="E643" s="29"/>
      <c r="F643" s="29"/>
      <c r="G643" s="29"/>
      <c r="H643" s="34"/>
    </row>
    <row x14ac:dyDescent="0.25" r="644" customHeight="1" ht="15.75">
      <c r="A644" s="34"/>
      <c r="B644" s="29"/>
      <c r="C644" s="29"/>
      <c r="D644" s="29"/>
      <c r="E644" s="29"/>
      <c r="F644" s="29"/>
      <c r="G644" s="29"/>
      <c r="H644" s="34"/>
    </row>
    <row x14ac:dyDescent="0.25" r="645" customHeight="1" ht="15.75">
      <c r="A645" s="34"/>
      <c r="B645" s="29"/>
      <c r="C645" s="29"/>
      <c r="D645" s="29"/>
      <c r="E645" s="29"/>
      <c r="F645" s="29"/>
      <c r="G645" s="29"/>
      <c r="H645" s="34"/>
    </row>
    <row x14ac:dyDescent="0.25" r="646" customHeight="1" ht="15.75">
      <c r="A646" s="34"/>
      <c r="B646" s="29"/>
      <c r="C646" s="29"/>
      <c r="D646" s="29"/>
      <c r="E646" s="29"/>
      <c r="F646" s="29"/>
      <c r="G646" s="29"/>
      <c r="H646" s="34"/>
    </row>
    <row x14ac:dyDescent="0.25" r="647" customHeight="1" ht="15.75">
      <c r="A647" s="34"/>
      <c r="B647" s="29"/>
      <c r="C647" s="29"/>
      <c r="D647" s="29"/>
      <c r="E647" s="29"/>
      <c r="F647" s="29"/>
      <c r="G647" s="29"/>
      <c r="H647" s="34"/>
    </row>
    <row x14ac:dyDescent="0.25" r="648" customHeight="1" ht="15.75">
      <c r="A648" s="34"/>
      <c r="B648" s="29"/>
      <c r="C648" s="29"/>
      <c r="D648" s="29"/>
      <c r="E648" s="29"/>
      <c r="F648" s="29"/>
      <c r="G648" s="29"/>
      <c r="H648" s="34"/>
    </row>
    <row x14ac:dyDescent="0.25" r="649" customHeight="1" ht="15.75">
      <c r="A649" s="34"/>
      <c r="B649" s="29"/>
      <c r="C649" s="29"/>
      <c r="D649" s="29"/>
      <c r="E649" s="29"/>
      <c r="F649" s="29"/>
      <c r="G649" s="29"/>
      <c r="H649" s="34"/>
    </row>
    <row x14ac:dyDescent="0.25" r="650" customHeight="1" ht="15.75">
      <c r="A650" s="34"/>
      <c r="B650" s="29"/>
      <c r="C650" s="29"/>
      <c r="D650" s="29"/>
      <c r="E650" s="29"/>
      <c r="F650" s="29"/>
      <c r="G650" s="29"/>
      <c r="H650" s="34"/>
    </row>
    <row x14ac:dyDescent="0.25" r="651" customHeight="1" ht="15.75">
      <c r="A651" s="34"/>
      <c r="B651" s="29"/>
      <c r="C651" s="29"/>
      <c r="D651" s="29"/>
      <c r="E651" s="29"/>
      <c r="F651" s="29"/>
      <c r="G651" s="29"/>
      <c r="H651" s="34"/>
    </row>
    <row x14ac:dyDescent="0.25" r="652" customHeight="1" ht="15.75">
      <c r="A652" s="34"/>
      <c r="B652" s="29"/>
      <c r="C652" s="29"/>
      <c r="D652" s="29"/>
      <c r="E652" s="29"/>
      <c r="F652" s="29"/>
      <c r="G652" s="29"/>
      <c r="H652" s="34"/>
    </row>
    <row x14ac:dyDescent="0.25" r="653" customHeight="1" ht="15.75">
      <c r="A653" s="34"/>
      <c r="B653" s="29"/>
      <c r="C653" s="29"/>
      <c r="D653" s="29"/>
      <c r="E653" s="29"/>
      <c r="F653" s="29"/>
      <c r="G653" s="29"/>
      <c r="H653" s="34"/>
    </row>
    <row x14ac:dyDescent="0.25" r="654" customHeight="1" ht="15.75">
      <c r="A654" s="34"/>
      <c r="B654" s="29"/>
      <c r="C654" s="29"/>
      <c r="D654" s="29"/>
      <c r="E654" s="29"/>
      <c r="F654" s="29"/>
      <c r="G654" s="29"/>
      <c r="H654" s="34"/>
    </row>
    <row x14ac:dyDescent="0.25" r="655" customHeight="1" ht="15.75">
      <c r="A655" s="34"/>
      <c r="B655" s="29"/>
      <c r="C655" s="29"/>
      <c r="D655" s="29"/>
      <c r="E655" s="29"/>
      <c r="F655" s="29"/>
      <c r="G655" s="29"/>
      <c r="H655" s="34"/>
    </row>
    <row x14ac:dyDescent="0.25" r="656" customHeight="1" ht="15.75">
      <c r="A656" s="34"/>
      <c r="B656" s="29"/>
      <c r="C656" s="29"/>
      <c r="D656" s="29"/>
      <c r="E656" s="29"/>
      <c r="F656" s="29"/>
      <c r="G656" s="29"/>
      <c r="H656" s="34"/>
    </row>
    <row x14ac:dyDescent="0.25" r="657" customHeight="1" ht="15.75">
      <c r="A657" s="34"/>
      <c r="B657" s="29"/>
      <c r="C657" s="29"/>
      <c r="D657" s="29"/>
      <c r="E657" s="29"/>
      <c r="F657" s="29"/>
      <c r="G657" s="29"/>
      <c r="H657" s="34"/>
    </row>
    <row x14ac:dyDescent="0.25" r="658" customHeight="1" ht="15.75">
      <c r="A658" s="34"/>
      <c r="B658" s="29"/>
      <c r="C658" s="29"/>
      <c r="D658" s="29"/>
      <c r="E658" s="29"/>
      <c r="F658" s="29"/>
      <c r="G658" s="29"/>
      <c r="H658" s="34"/>
    </row>
    <row x14ac:dyDescent="0.25" r="659" customHeight="1" ht="15.75">
      <c r="A659" s="34"/>
      <c r="B659" s="29"/>
      <c r="C659" s="29"/>
      <c r="D659" s="29"/>
      <c r="E659" s="29"/>
      <c r="F659" s="29"/>
      <c r="G659" s="29"/>
      <c r="H659" s="34"/>
    </row>
    <row x14ac:dyDescent="0.25" r="660" customHeight="1" ht="15.75">
      <c r="A660" s="34"/>
      <c r="B660" s="29"/>
      <c r="C660" s="29"/>
      <c r="D660" s="29"/>
      <c r="E660" s="29"/>
      <c r="F660" s="29"/>
      <c r="G660" s="29"/>
      <c r="H660" s="34"/>
    </row>
    <row x14ac:dyDescent="0.25" r="661" customHeight="1" ht="15.75">
      <c r="A661" s="34"/>
      <c r="B661" s="29"/>
      <c r="C661" s="29"/>
      <c r="D661" s="29"/>
      <c r="E661" s="29"/>
      <c r="F661" s="29"/>
      <c r="G661" s="29"/>
      <c r="H661" s="34"/>
    </row>
    <row x14ac:dyDescent="0.25" r="662" customHeight="1" ht="15.75">
      <c r="A662" s="34"/>
      <c r="B662" s="29"/>
      <c r="C662" s="29"/>
      <c r="D662" s="29"/>
      <c r="E662" s="29"/>
      <c r="F662" s="29"/>
      <c r="G662" s="29"/>
      <c r="H662" s="34"/>
    </row>
    <row x14ac:dyDescent="0.25" r="663" customHeight="1" ht="15.75">
      <c r="A663" s="34"/>
      <c r="B663" s="29"/>
      <c r="C663" s="29"/>
      <c r="D663" s="29"/>
      <c r="E663" s="29"/>
      <c r="F663" s="29"/>
      <c r="G663" s="29"/>
      <c r="H663" s="34"/>
    </row>
    <row x14ac:dyDescent="0.25" r="664" customHeight="1" ht="15.75">
      <c r="A664" s="34"/>
      <c r="B664" s="29"/>
      <c r="C664" s="29"/>
      <c r="D664" s="29"/>
      <c r="E664" s="29"/>
      <c r="F664" s="29"/>
      <c r="G664" s="29"/>
      <c r="H664" s="34"/>
    </row>
    <row x14ac:dyDescent="0.25" r="665" customHeight="1" ht="15.75">
      <c r="A665" s="34"/>
      <c r="B665" s="29"/>
      <c r="C665" s="29"/>
      <c r="D665" s="29"/>
      <c r="E665" s="29"/>
      <c r="F665" s="29"/>
      <c r="G665" s="29"/>
      <c r="H665" s="34"/>
    </row>
    <row x14ac:dyDescent="0.25" r="666" customHeight="1" ht="15.75">
      <c r="A666" s="34"/>
      <c r="B666" s="29"/>
      <c r="C666" s="29"/>
      <c r="D666" s="29"/>
      <c r="E666" s="29"/>
      <c r="F666" s="29"/>
      <c r="G666" s="29"/>
      <c r="H666" s="34"/>
    </row>
    <row x14ac:dyDescent="0.25" r="667" customHeight="1" ht="15.75">
      <c r="A667" s="34"/>
      <c r="B667" s="29"/>
      <c r="C667" s="29"/>
      <c r="D667" s="29"/>
      <c r="E667" s="29"/>
      <c r="F667" s="29"/>
      <c r="G667" s="29"/>
      <c r="H667" s="34"/>
    </row>
    <row x14ac:dyDescent="0.25" r="668" customHeight="1" ht="15.75">
      <c r="A668" s="34"/>
      <c r="B668" s="29"/>
      <c r="C668" s="29"/>
      <c r="D668" s="29"/>
      <c r="E668" s="29"/>
      <c r="F668" s="29"/>
      <c r="G668" s="29"/>
      <c r="H668" s="34"/>
    </row>
    <row x14ac:dyDescent="0.25" r="669" customHeight="1" ht="15.75">
      <c r="A669" s="34"/>
      <c r="B669" s="29"/>
      <c r="C669" s="29"/>
      <c r="D669" s="29"/>
      <c r="E669" s="29"/>
      <c r="F669" s="29"/>
      <c r="G669" s="29"/>
      <c r="H669" s="34"/>
    </row>
    <row x14ac:dyDescent="0.25" r="670" customHeight="1" ht="15.75">
      <c r="A670" s="34"/>
      <c r="B670" s="29"/>
      <c r="C670" s="29"/>
      <c r="D670" s="29"/>
      <c r="E670" s="29"/>
      <c r="F670" s="29"/>
      <c r="G670" s="29"/>
      <c r="H670" s="34"/>
    </row>
    <row x14ac:dyDescent="0.25" r="671" customHeight="1" ht="15.75">
      <c r="A671" s="34"/>
      <c r="B671" s="29"/>
      <c r="C671" s="29"/>
      <c r="D671" s="29"/>
      <c r="E671" s="29"/>
      <c r="F671" s="29"/>
      <c r="G671" s="29"/>
      <c r="H671" s="34"/>
    </row>
    <row x14ac:dyDescent="0.25" r="672" customHeight="1" ht="15.75">
      <c r="A672" s="34"/>
      <c r="B672" s="29"/>
      <c r="C672" s="29"/>
      <c r="D672" s="29"/>
      <c r="E672" s="29"/>
      <c r="F672" s="29"/>
      <c r="G672" s="29"/>
      <c r="H672" s="34"/>
    </row>
    <row x14ac:dyDescent="0.25" r="673" customHeight="1" ht="15.75">
      <c r="A673" s="34"/>
      <c r="B673" s="29"/>
      <c r="C673" s="29"/>
      <c r="D673" s="29"/>
      <c r="E673" s="29"/>
      <c r="F673" s="29"/>
      <c r="G673" s="29"/>
      <c r="H673" s="34"/>
    </row>
    <row x14ac:dyDescent="0.25" r="674" customHeight="1" ht="15.75">
      <c r="A674" s="34"/>
      <c r="B674" s="29"/>
      <c r="C674" s="29"/>
      <c r="D674" s="29"/>
      <c r="E674" s="29"/>
      <c r="F674" s="29"/>
      <c r="G674" s="29"/>
      <c r="H674" s="34"/>
    </row>
    <row x14ac:dyDescent="0.25" r="675" customHeight="1" ht="15.75">
      <c r="A675" s="34"/>
      <c r="B675" s="29"/>
      <c r="C675" s="29"/>
      <c r="D675" s="29"/>
      <c r="E675" s="29"/>
      <c r="F675" s="29"/>
      <c r="G675" s="29"/>
      <c r="H675" s="34"/>
    </row>
    <row x14ac:dyDescent="0.25" r="676" customHeight="1" ht="15.75">
      <c r="A676" s="34"/>
      <c r="B676" s="29"/>
      <c r="C676" s="29"/>
      <c r="D676" s="29"/>
      <c r="E676" s="29"/>
      <c r="F676" s="29"/>
      <c r="G676" s="29"/>
      <c r="H676" s="34"/>
    </row>
    <row x14ac:dyDescent="0.25" r="677" customHeight="1" ht="15.75">
      <c r="A677" s="34"/>
      <c r="B677" s="29"/>
      <c r="C677" s="29"/>
      <c r="D677" s="29"/>
      <c r="E677" s="29"/>
      <c r="F677" s="29"/>
      <c r="G677" s="29"/>
      <c r="H677" s="34"/>
    </row>
    <row x14ac:dyDescent="0.25" r="678" customHeight="1" ht="15.75">
      <c r="A678" s="34"/>
      <c r="B678" s="29"/>
      <c r="C678" s="29"/>
      <c r="D678" s="29"/>
      <c r="E678" s="29"/>
      <c r="F678" s="29"/>
      <c r="G678" s="29"/>
      <c r="H678" s="34"/>
    </row>
    <row x14ac:dyDescent="0.25" r="679" customHeight="1" ht="15.75">
      <c r="A679" s="34"/>
      <c r="B679" s="29"/>
      <c r="C679" s="29"/>
      <c r="D679" s="29"/>
      <c r="E679" s="29"/>
      <c r="F679" s="29"/>
      <c r="G679" s="29"/>
      <c r="H679" s="34"/>
    </row>
    <row x14ac:dyDescent="0.25" r="680" customHeight="1" ht="15.75">
      <c r="A680" s="34"/>
      <c r="B680" s="29"/>
      <c r="C680" s="29"/>
      <c r="D680" s="29"/>
      <c r="E680" s="29"/>
      <c r="F680" s="29"/>
      <c r="G680" s="29"/>
      <c r="H680" s="34"/>
    </row>
    <row x14ac:dyDescent="0.25" r="681" customHeight="1" ht="15.75">
      <c r="A681" s="34"/>
      <c r="B681" s="29"/>
      <c r="C681" s="29"/>
      <c r="D681" s="29"/>
      <c r="E681" s="29"/>
      <c r="F681" s="29"/>
      <c r="G681" s="29"/>
      <c r="H681" s="34"/>
    </row>
    <row x14ac:dyDescent="0.25" r="682" customHeight="1" ht="15.75">
      <c r="A682" s="34"/>
      <c r="B682" s="29"/>
      <c r="C682" s="29"/>
      <c r="D682" s="29"/>
      <c r="E682" s="29"/>
      <c r="F682" s="29"/>
      <c r="G682" s="29"/>
      <c r="H682" s="34"/>
    </row>
    <row x14ac:dyDescent="0.25" r="683" customHeight="1" ht="15.75">
      <c r="A683" s="34"/>
      <c r="B683" s="29"/>
      <c r="C683" s="29"/>
      <c r="D683" s="29"/>
      <c r="E683" s="29"/>
      <c r="F683" s="29"/>
      <c r="G683" s="29"/>
      <c r="H683" s="34"/>
    </row>
    <row x14ac:dyDescent="0.25" r="684" customHeight="1" ht="15.75">
      <c r="A684" s="34"/>
      <c r="B684" s="29"/>
      <c r="C684" s="29"/>
      <c r="D684" s="29"/>
      <c r="E684" s="29"/>
      <c r="F684" s="29"/>
      <c r="G684" s="29"/>
      <c r="H684" s="34"/>
    </row>
    <row x14ac:dyDescent="0.25" r="685" customHeight="1" ht="15.75">
      <c r="A685" s="34"/>
      <c r="B685" s="29"/>
      <c r="C685" s="29"/>
      <c r="D685" s="29"/>
      <c r="E685" s="29"/>
      <c r="F685" s="29"/>
      <c r="G685" s="29"/>
      <c r="H685" s="34"/>
    </row>
    <row x14ac:dyDescent="0.25" r="686" customHeight="1" ht="15.75">
      <c r="A686" s="34"/>
      <c r="B686" s="29"/>
      <c r="C686" s="29"/>
      <c r="D686" s="29"/>
      <c r="E686" s="29"/>
      <c r="F686" s="29"/>
      <c r="G686" s="29"/>
      <c r="H686" s="34"/>
    </row>
    <row x14ac:dyDescent="0.25" r="687" customHeight="1" ht="15.75">
      <c r="A687" s="34"/>
      <c r="B687" s="29"/>
      <c r="C687" s="29"/>
      <c r="D687" s="29"/>
      <c r="E687" s="29"/>
      <c r="F687" s="29"/>
      <c r="G687" s="29"/>
      <c r="H687" s="34"/>
    </row>
    <row x14ac:dyDescent="0.25" r="688" customHeight="1" ht="15.75">
      <c r="A688" s="34"/>
      <c r="B688" s="29"/>
      <c r="C688" s="29"/>
      <c r="D688" s="29"/>
      <c r="E688" s="29"/>
      <c r="F688" s="29"/>
      <c r="G688" s="29"/>
      <c r="H688" s="34"/>
    </row>
    <row x14ac:dyDescent="0.25" r="689" customHeight="1" ht="15.75">
      <c r="A689" s="34"/>
      <c r="B689" s="29"/>
      <c r="C689" s="29"/>
      <c r="D689" s="29"/>
      <c r="E689" s="29"/>
      <c r="F689" s="29"/>
      <c r="G689" s="29"/>
      <c r="H689" s="34"/>
    </row>
    <row x14ac:dyDescent="0.25" r="690" customHeight="1" ht="15.75">
      <c r="A690" s="34"/>
      <c r="B690" s="29"/>
      <c r="C690" s="29"/>
      <c r="D690" s="29"/>
      <c r="E690" s="29"/>
      <c r="F690" s="29"/>
      <c r="G690" s="29"/>
      <c r="H690" s="34"/>
    </row>
    <row x14ac:dyDescent="0.25" r="691" customHeight="1" ht="15.75">
      <c r="A691" s="34"/>
      <c r="B691" s="29"/>
      <c r="C691" s="29"/>
      <c r="D691" s="29"/>
      <c r="E691" s="29"/>
      <c r="F691" s="29"/>
      <c r="G691" s="29"/>
      <c r="H691" s="34"/>
    </row>
    <row x14ac:dyDescent="0.25" r="692" customHeight="1" ht="15.75">
      <c r="A692" s="34"/>
      <c r="B692" s="29"/>
      <c r="C692" s="29"/>
      <c r="D692" s="29"/>
      <c r="E692" s="29"/>
      <c r="F692" s="29"/>
      <c r="G692" s="29"/>
      <c r="H692" s="34"/>
    </row>
    <row x14ac:dyDescent="0.25" r="693" customHeight="1" ht="15.75">
      <c r="A693" s="34"/>
      <c r="B693" s="29"/>
      <c r="C693" s="29"/>
      <c r="D693" s="29"/>
      <c r="E693" s="29"/>
      <c r="F693" s="29"/>
      <c r="G693" s="29"/>
      <c r="H693" s="34"/>
    </row>
    <row x14ac:dyDescent="0.25" r="694" customHeight="1" ht="15.75">
      <c r="A694" s="34"/>
      <c r="B694" s="29"/>
      <c r="C694" s="29"/>
      <c r="D694" s="29"/>
      <c r="E694" s="29"/>
      <c r="F694" s="29"/>
      <c r="G694" s="29"/>
      <c r="H694" s="34"/>
    </row>
    <row x14ac:dyDescent="0.25" r="695" customHeight="1" ht="15.75">
      <c r="A695" s="34"/>
      <c r="B695" s="29"/>
      <c r="C695" s="29"/>
      <c r="D695" s="29"/>
      <c r="E695" s="29"/>
      <c r="F695" s="29"/>
      <c r="G695" s="29"/>
      <c r="H695" s="34"/>
    </row>
    <row x14ac:dyDescent="0.25" r="696" customHeight="1" ht="15.75">
      <c r="A696" s="34"/>
      <c r="B696" s="29"/>
      <c r="C696" s="29"/>
      <c r="D696" s="29"/>
      <c r="E696" s="29"/>
      <c r="F696" s="29"/>
      <c r="G696" s="29"/>
      <c r="H696" s="34"/>
    </row>
    <row x14ac:dyDescent="0.25" r="697" customHeight="1" ht="15.75">
      <c r="A697" s="34"/>
      <c r="B697" s="29"/>
      <c r="C697" s="29"/>
      <c r="D697" s="29"/>
      <c r="E697" s="29"/>
      <c r="F697" s="29"/>
      <c r="G697" s="29"/>
      <c r="H697" s="34"/>
    </row>
    <row x14ac:dyDescent="0.25" r="698" customHeight="1" ht="15.75">
      <c r="A698" s="34"/>
      <c r="B698" s="29"/>
      <c r="C698" s="29"/>
      <c r="D698" s="29"/>
      <c r="E698" s="29"/>
      <c r="F698" s="29"/>
      <c r="G698" s="29"/>
      <c r="H698" s="34"/>
    </row>
    <row x14ac:dyDescent="0.25" r="699" customHeight="1" ht="15.75">
      <c r="A699" s="34"/>
      <c r="B699" s="29"/>
      <c r="C699" s="29"/>
      <c r="D699" s="29"/>
      <c r="E699" s="29"/>
      <c r="F699" s="29"/>
      <c r="G699" s="29"/>
      <c r="H699" s="34"/>
    </row>
    <row x14ac:dyDescent="0.25" r="700" customHeight="1" ht="15.75">
      <c r="A700" s="34"/>
      <c r="B700" s="29"/>
      <c r="C700" s="29"/>
      <c r="D700" s="29"/>
      <c r="E700" s="29"/>
      <c r="F700" s="29"/>
      <c r="G700" s="29"/>
      <c r="H700" s="34"/>
    </row>
    <row x14ac:dyDescent="0.25" r="701" customHeight="1" ht="15.75">
      <c r="A701" s="34"/>
      <c r="B701" s="29"/>
      <c r="C701" s="29"/>
      <c r="D701" s="29"/>
      <c r="E701" s="29"/>
      <c r="F701" s="29"/>
      <c r="G701" s="29"/>
      <c r="H701" s="34"/>
    </row>
    <row x14ac:dyDescent="0.25" r="702" customHeight="1" ht="15.75">
      <c r="A702" s="34"/>
      <c r="B702" s="29"/>
      <c r="C702" s="29"/>
      <c r="D702" s="29"/>
      <c r="E702" s="29"/>
      <c r="F702" s="29"/>
      <c r="G702" s="29"/>
      <c r="H702" s="34"/>
    </row>
    <row x14ac:dyDescent="0.25" r="703" customHeight="1" ht="15.75">
      <c r="A703" s="34"/>
      <c r="B703" s="29"/>
      <c r="C703" s="29"/>
      <c r="D703" s="29"/>
      <c r="E703" s="29"/>
      <c r="F703" s="29"/>
      <c r="G703" s="29"/>
      <c r="H703" s="34"/>
    </row>
    <row x14ac:dyDescent="0.25" r="704" customHeight="1" ht="15.75">
      <c r="A704" s="34"/>
      <c r="B704" s="29"/>
      <c r="C704" s="29"/>
      <c r="D704" s="29"/>
      <c r="E704" s="29"/>
      <c r="F704" s="29"/>
      <c r="G704" s="29"/>
      <c r="H704" s="34"/>
    </row>
    <row x14ac:dyDescent="0.25" r="705" customHeight="1" ht="15.75">
      <c r="A705" s="34"/>
      <c r="B705" s="29"/>
      <c r="C705" s="29"/>
      <c r="D705" s="29"/>
      <c r="E705" s="29"/>
      <c r="F705" s="29"/>
      <c r="G705" s="29"/>
      <c r="H705" s="34"/>
    </row>
    <row x14ac:dyDescent="0.25" r="706" customHeight="1" ht="15.75">
      <c r="A706" s="34"/>
      <c r="B706" s="29"/>
      <c r="C706" s="29"/>
      <c r="D706" s="29"/>
      <c r="E706" s="29"/>
      <c r="F706" s="29"/>
      <c r="G706" s="29"/>
      <c r="H706" s="34"/>
    </row>
    <row x14ac:dyDescent="0.25" r="707" customHeight="1" ht="15.75">
      <c r="A707" s="34"/>
      <c r="B707" s="29"/>
      <c r="C707" s="29"/>
      <c r="D707" s="29"/>
      <c r="E707" s="29"/>
      <c r="F707" s="29"/>
      <c r="G707" s="29"/>
      <c r="H707" s="34"/>
    </row>
    <row x14ac:dyDescent="0.25" r="708" customHeight="1" ht="15.75">
      <c r="A708" s="34"/>
      <c r="B708" s="29"/>
      <c r="C708" s="29"/>
      <c r="D708" s="29"/>
      <c r="E708" s="29"/>
      <c r="F708" s="29"/>
      <c r="G708" s="29"/>
      <c r="H708" s="34"/>
    </row>
    <row x14ac:dyDescent="0.25" r="709" customHeight="1" ht="15.75">
      <c r="A709" s="34"/>
      <c r="B709" s="29"/>
      <c r="C709" s="29"/>
      <c r="D709" s="29"/>
      <c r="E709" s="29"/>
      <c r="F709" s="29"/>
      <c r="G709" s="29"/>
      <c r="H709" s="34"/>
    </row>
    <row x14ac:dyDescent="0.25" r="710" customHeight="1" ht="15.75">
      <c r="A710" s="34"/>
      <c r="B710" s="29"/>
      <c r="C710" s="29"/>
      <c r="D710" s="29"/>
      <c r="E710" s="29"/>
      <c r="F710" s="29"/>
      <c r="G710" s="29"/>
      <c r="H710" s="34"/>
    </row>
    <row x14ac:dyDescent="0.25" r="711" customHeight="1" ht="15.75">
      <c r="A711" s="34"/>
      <c r="B711" s="29"/>
      <c r="C711" s="29"/>
      <c r="D711" s="29"/>
      <c r="E711" s="29"/>
      <c r="F711" s="29"/>
      <c r="G711" s="29"/>
      <c r="H711" s="34"/>
    </row>
    <row x14ac:dyDescent="0.25" r="712" customHeight="1" ht="15.75">
      <c r="A712" s="34"/>
      <c r="B712" s="29"/>
      <c r="C712" s="29"/>
      <c r="D712" s="29"/>
      <c r="E712" s="29"/>
      <c r="F712" s="29"/>
      <c r="G712" s="29"/>
      <c r="H712" s="34"/>
    </row>
    <row x14ac:dyDescent="0.25" r="713" customHeight="1" ht="15.75">
      <c r="A713" s="34"/>
      <c r="B713" s="29"/>
      <c r="C713" s="29"/>
      <c r="D713" s="29"/>
      <c r="E713" s="29"/>
      <c r="F713" s="29"/>
      <c r="G713" s="29"/>
      <c r="H713" s="34"/>
    </row>
    <row x14ac:dyDescent="0.25" r="714" customHeight="1" ht="15.75">
      <c r="A714" s="34"/>
      <c r="B714" s="29"/>
      <c r="C714" s="29"/>
      <c r="D714" s="29"/>
      <c r="E714" s="29"/>
      <c r="F714" s="29"/>
      <c r="G714" s="29"/>
      <c r="H714" s="34"/>
    </row>
    <row x14ac:dyDescent="0.25" r="715" customHeight="1" ht="15.75">
      <c r="A715" s="34"/>
      <c r="B715" s="29"/>
      <c r="C715" s="29"/>
      <c r="D715" s="29"/>
      <c r="E715" s="29"/>
      <c r="F715" s="29"/>
      <c r="G715" s="29"/>
      <c r="H715" s="34"/>
    </row>
    <row x14ac:dyDescent="0.25" r="716" customHeight="1" ht="15.75">
      <c r="A716" s="34"/>
      <c r="B716" s="29"/>
      <c r="C716" s="29"/>
      <c r="D716" s="29"/>
      <c r="E716" s="29"/>
      <c r="F716" s="29"/>
      <c r="G716" s="29"/>
      <c r="H716" s="34"/>
    </row>
    <row x14ac:dyDescent="0.25" r="717" customHeight="1" ht="15.75">
      <c r="A717" s="34"/>
      <c r="B717" s="29"/>
      <c r="C717" s="29"/>
      <c r="D717" s="29"/>
      <c r="E717" s="29"/>
      <c r="F717" s="29"/>
      <c r="G717" s="29"/>
      <c r="H717" s="34"/>
    </row>
    <row x14ac:dyDescent="0.25" r="718" customHeight="1" ht="15.75">
      <c r="A718" s="34"/>
      <c r="B718" s="29"/>
      <c r="C718" s="29"/>
      <c r="D718" s="29"/>
      <c r="E718" s="29"/>
      <c r="F718" s="29"/>
      <c r="G718" s="29"/>
      <c r="H718" s="34"/>
    </row>
    <row x14ac:dyDescent="0.25" r="719" customHeight="1" ht="15.75">
      <c r="A719" s="34"/>
      <c r="B719" s="29"/>
      <c r="C719" s="29"/>
      <c r="D719" s="29"/>
      <c r="E719" s="29"/>
      <c r="F719" s="29"/>
      <c r="G719" s="29"/>
      <c r="H719" s="34"/>
    </row>
    <row x14ac:dyDescent="0.25" r="720" customHeight="1" ht="15.75">
      <c r="A720" s="34"/>
      <c r="B720" s="29"/>
      <c r="C720" s="29"/>
      <c r="D720" s="29"/>
      <c r="E720" s="29"/>
      <c r="F720" s="29"/>
      <c r="G720" s="29"/>
      <c r="H720" s="34"/>
    </row>
    <row x14ac:dyDescent="0.25" r="721" customHeight="1" ht="15.75">
      <c r="A721" s="34"/>
      <c r="B721" s="29"/>
      <c r="C721" s="29"/>
      <c r="D721" s="29"/>
      <c r="E721" s="29"/>
      <c r="F721" s="29"/>
      <c r="G721" s="29"/>
      <c r="H721" s="34"/>
    </row>
    <row x14ac:dyDescent="0.25" r="722" customHeight="1" ht="15.75">
      <c r="A722" s="34"/>
      <c r="B722" s="29"/>
      <c r="C722" s="29"/>
      <c r="D722" s="29"/>
      <c r="E722" s="29"/>
      <c r="F722" s="29"/>
      <c r="G722" s="29"/>
      <c r="H722" s="34"/>
    </row>
    <row x14ac:dyDescent="0.25" r="723" customHeight="1" ht="15.75">
      <c r="A723" s="34"/>
      <c r="B723" s="29"/>
      <c r="C723" s="29"/>
      <c r="D723" s="29"/>
      <c r="E723" s="29"/>
      <c r="F723" s="29"/>
      <c r="G723" s="29"/>
      <c r="H723" s="34"/>
    </row>
    <row x14ac:dyDescent="0.25" r="724" customHeight="1" ht="15.75">
      <c r="A724" s="34"/>
      <c r="B724" s="29"/>
      <c r="C724" s="29"/>
      <c r="D724" s="29"/>
      <c r="E724" s="29"/>
      <c r="F724" s="29"/>
      <c r="G724" s="29"/>
      <c r="H724" s="34"/>
    </row>
    <row x14ac:dyDescent="0.25" r="725" customHeight="1" ht="15.75">
      <c r="A725" s="34"/>
      <c r="B725" s="29"/>
      <c r="C725" s="29"/>
      <c r="D725" s="29"/>
      <c r="E725" s="29"/>
      <c r="F725" s="29"/>
      <c r="G725" s="29"/>
      <c r="H725" s="34"/>
    </row>
    <row x14ac:dyDescent="0.25" r="726" customHeight="1" ht="15.75">
      <c r="A726" s="34"/>
      <c r="B726" s="29"/>
      <c r="C726" s="29"/>
      <c r="D726" s="29"/>
      <c r="E726" s="29"/>
      <c r="F726" s="29"/>
      <c r="G726" s="29"/>
      <c r="H726" s="34"/>
    </row>
    <row x14ac:dyDescent="0.25" r="727" customHeight="1" ht="15.75">
      <c r="A727" s="34"/>
      <c r="B727" s="29"/>
      <c r="C727" s="29"/>
      <c r="D727" s="29"/>
      <c r="E727" s="29"/>
      <c r="F727" s="29"/>
      <c r="G727" s="29"/>
      <c r="H727" s="34"/>
    </row>
    <row x14ac:dyDescent="0.25" r="728" customHeight="1" ht="15.75">
      <c r="A728" s="34"/>
      <c r="B728" s="29"/>
      <c r="C728" s="29"/>
      <c r="D728" s="29"/>
      <c r="E728" s="29"/>
      <c r="F728" s="29"/>
      <c r="G728" s="29"/>
      <c r="H728" s="34"/>
    </row>
    <row x14ac:dyDescent="0.25" r="729" customHeight="1" ht="15.75">
      <c r="A729" s="34"/>
      <c r="B729" s="29"/>
      <c r="C729" s="29"/>
      <c r="D729" s="29"/>
      <c r="E729" s="29"/>
      <c r="F729" s="29"/>
      <c r="G729" s="29"/>
      <c r="H729" s="34"/>
    </row>
    <row x14ac:dyDescent="0.25" r="730" customHeight="1" ht="15.75">
      <c r="A730" s="34"/>
      <c r="B730" s="29"/>
      <c r="C730" s="29"/>
      <c r="D730" s="29"/>
      <c r="E730" s="29"/>
      <c r="F730" s="29"/>
      <c r="G730" s="29"/>
      <c r="H730" s="34"/>
    </row>
    <row x14ac:dyDescent="0.25" r="731" customHeight="1" ht="15.75">
      <c r="A731" s="34"/>
      <c r="B731" s="29"/>
      <c r="C731" s="29"/>
      <c r="D731" s="29"/>
      <c r="E731" s="29"/>
      <c r="F731" s="29"/>
      <c r="G731" s="29"/>
      <c r="H731" s="34"/>
    </row>
    <row x14ac:dyDescent="0.25" r="732" customHeight="1" ht="15.75">
      <c r="A732" s="34"/>
      <c r="B732" s="29"/>
      <c r="C732" s="29"/>
      <c r="D732" s="29"/>
      <c r="E732" s="29"/>
      <c r="F732" s="29"/>
      <c r="G732" s="29"/>
      <c r="H732" s="34"/>
    </row>
    <row x14ac:dyDescent="0.25" r="733" customHeight="1" ht="15.75">
      <c r="A733" s="34"/>
      <c r="B733" s="29"/>
      <c r="C733" s="29"/>
      <c r="D733" s="29"/>
      <c r="E733" s="29"/>
      <c r="F733" s="29"/>
      <c r="G733" s="29"/>
      <c r="H733" s="34"/>
    </row>
    <row x14ac:dyDescent="0.25" r="734" customHeight="1" ht="15.75">
      <c r="A734" s="34"/>
      <c r="B734" s="29"/>
      <c r="C734" s="29"/>
      <c r="D734" s="29"/>
      <c r="E734" s="29"/>
      <c r="F734" s="29"/>
      <c r="G734" s="29"/>
      <c r="H734" s="34"/>
    </row>
    <row x14ac:dyDescent="0.25" r="735" customHeight="1" ht="15.75">
      <c r="A735" s="34"/>
      <c r="B735" s="29"/>
      <c r="C735" s="29"/>
      <c r="D735" s="29"/>
      <c r="E735" s="29"/>
      <c r="F735" s="29"/>
      <c r="G735" s="29"/>
      <c r="H735" s="34"/>
    </row>
    <row x14ac:dyDescent="0.25" r="736" customHeight="1" ht="15.75">
      <c r="A736" s="34"/>
      <c r="B736" s="29"/>
      <c r="C736" s="29"/>
      <c r="D736" s="29"/>
      <c r="E736" s="29"/>
      <c r="F736" s="29"/>
      <c r="G736" s="29"/>
      <c r="H736" s="34"/>
    </row>
    <row x14ac:dyDescent="0.25" r="737" customHeight="1" ht="15.75">
      <c r="A737" s="34"/>
      <c r="B737" s="29"/>
      <c r="C737" s="29"/>
      <c r="D737" s="29"/>
      <c r="E737" s="29"/>
      <c r="F737" s="29"/>
      <c r="G737" s="29"/>
      <c r="H737" s="34"/>
    </row>
    <row x14ac:dyDescent="0.25" r="738" customHeight="1" ht="15.75">
      <c r="A738" s="34"/>
      <c r="B738" s="29"/>
      <c r="C738" s="29"/>
      <c r="D738" s="29"/>
      <c r="E738" s="29"/>
      <c r="F738" s="29"/>
      <c r="G738" s="29"/>
      <c r="H738" s="34"/>
    </row>
    <row x14ac:dyDescent="0.25" r="739" customHeight="1" ht="15.75">
      <c r="A739" s="34"/>
      <c r="B739" s="29"/>
      <c r="C739" s="29"/>
      <c r="D739" s="29"/>
      <c r="E739" s="29"/>
      <c r="F739" s="29"/>
      <c r="G739" s="29"/>
      <c r="H739" s="34"/>
    </row>
    <row x14ac:dyDescent="0.25" r="740" customHeight="1" ht="15.75">
      <c r="A740" s="34"/>
      <c r="B740" s="29"/>
      <c r="C740" s="29"/>
      <c r="D740" s="29"/>
      <c r="E740" s="29"/>
      <c r="F740" s="29"/>
      <c r="G740" s="29"/>
      <c r="H740" s="34"/>
    </row>
    <row x14ac:dyDescent="0.25" r="741" customHeight="1" ht="15.75">
      <c r="A741" s="34"/>
      <c r="B741" s="29"/>
      <c r="C741" s="29"/>
      <c r="D741" s="29"/>
      <c r="E741" s="29"/>
      <c r="F741" s="29"/>
      <c r="G741" s="29"/>
      <c r="H741" s="34"/>
    </row>
    <row x14ac:dyDescent="0.25" r="742" customHeight="1" ht="15.75">
      <c r="A742" s="34"/>
      <c r="B742" s="29"/>
      <c r="C742" s="29"/>
      <c r="D742" s="29"/>
      <c r="E742" s="29"/>
      <c r="F742" s="29"/>
      <c r="G742" s="29"/>
      <c r="H742" s="34"/>
    </row>
    <row x14ac:dyDescent="0.25" r="743" customHeight="1" ht="15.75">
      <c r="A743" s="34"/>
      <c r="B743" s="29"/>
      <c r="C743" s="29"/>
      <c r="D743" s="29"/>
      <c r="E743" s="29"/>
      <c r="F743" s="29"/>
      <c r="G743" s="29"/>
      <c r="H743" s="34"/>
    </row>
    <row x14ac:dyDescent="0.25" r="744" customHeight="1" ht="15.75">
      <c r="A744" s="34"/>
      <c r="B744" s="29"/>
      <c r="C744" s="29"/>
      <c r="D744" s="29"/>
      <c r="E744" s="29"/>
      <c r="F744" s="29"/>
      <c r="G744" s="29"/>
      <c r="H744" s="34"/>
    </row>
    <row x14ac:dyDescent="0.25" r="745" customHeight="1" ht="15.75">
      <c r="A745" s="34"/>
      <c r="B745" s="29"/>
      <c r="C745" s="29"/>
      <c r="D745" s="29"/>
      <c r="E745" s="29"/>
      <c r="F745" s="29"/>
      <c r="G745" s="29"/>
      <c r="H745" s="34"/>
    </row>
    <row x14ac:dyDescent="0.25" r="746" customHeight="1" ht="15.75">
      <c r="A746" s="34"/>
      <c r="B746" s="29"/>
      <c r="C746" s="29"/>
      <c r="D746" s="29"/>
      <c r="E746" s="29"/>
      <c r="F746" s="29"/>
      <c r="G746" s="29"/>
      <c r="H746" s="34"/>
    </row>
    <row x14ac:dyDescent="0.25" r="747" customHeight="1" ht="15.75">
      <c r="A747" s="34"/>
      <c r="B747" s="29"/>
      <c r="C747" s="29"/>
      <c r="D747" s="29"/>
      <c r="E747" s="29"/>
      <c r="F747" s="29"/>
      <c r="G747" s="29"/>
      <c r="H747" s="34"/>
    </row>
    <row x14ac:dyDescent="0.25" r="748" customHeight="1" ht="15.75">
      <c r="A748" s="34"/>
      <c r="B748" s="29"/>
      <c r="C748" s="29"/>
      <c r="D748" s="29"/>
      <c r="E748" s="29"/>
      <c r="F748" s="29"/>
      <c r="G748" s="29"/>
      <c r="H748" s="34"/>
    </row>
    <row x14ac:dyDescent="0.25" r="749" customHeight="1" ht="15.75">
      <c r="A749" s="34"/>
      <c r="B749" s="29"/>
      <c r="C749" s="29"/>
      <c r="D749" s="29"/>
      <c r="E749" s="29"/>
      <c r="F749" s="29"/>
      <c r="G749" s="29"/>
      <c r="H749" s="34"/>
    </row>
    <row x14ac:dyDescent="0.25" r="750" customHeight="1" ht="15.75">
      <c r="A750" s="34"/>
      <c r="B750" s="29"/>
      <c r="C750" s="29"/>
      <c r="D750" s="29"/>
      <c r="E750" s="29"/>
      <c r="F750" s="29"/>
      <c r="G750" s="29"/>
      <c r="H750" s="34"/>
    </row>
    <row x14ac:dyDescent="0.25" r="751" customHeight="1" ht="15.75">
      <c r="A751" s="34"/>
      <c r="B751" s="29"/>
      <c r="C751" s="29"/>
      <c r="D751" s="29"/>
      <c r="E751" s="29"/>
      <c r="F751" s="29"/>
      <c r="G751" s="29"/>
      <c r="H751" s="34"/>
    </row>
    <row x14ac:dyDescent="0.25" r="752" customHeight="1" ht="15.75">
      <c r="A752" s="34"/>
      <c r="B752" s="29"/>
      <c r="C752" s="29"/>
      <c r="D752" s="29"/>
      <c r="E752" s="29"/>
      <c r="F752" s="29"/>
      <c r="G752" s="29"/>
      <c r="H752" s="34"/>
    </row>
    <row x14ac:dyDescent="0.25" r="753" customHeight="1" ht="15.75">
      <c r="A753" s="34"/>
      <c r="B753" s="29"/>
      <c r="C753" s="29"/>
      <c r="D753" s="29"/>
      <c r="E753" s="29"/>
      <c r="F753" s="29"/>
      <c r="G753" s="29"/>
      <c r="H753" s="34"/>
    </row>
    <row x14ac:dyDescent="0.25" r="754" customHeight="1" ht="15.75">
      <c r="A754" s="34"/>
      <c r="B754" s="29"/>
      <c r="C754" s="29"/>
      <c r="D754" s="29"/>
      <c r="E754" s="29"/>
      <c r="F754" s="29"/>
      <c r="G754" s="29"/>
      <c r="H754" s="34"/>
    </row>
    <row x14ac:dyDescent="0.25" r="755" customHeight="1" ht="15.75">
      <c r="A755" s="34"/>
      <c r="B755" s="29"/>
      <c r="C755" s="29"/>
      <c r="D755" s="29"/>
      <c r="E755" s="29"/>
      <c r="F755" s="29"/>
      <c r="G755" s="29"/>
      <c r="H755" s="34"/>
    </row>
    <row x14ac:dyDescent="0.25" r="756" customHeight="1" ht="15.75">
      <c r="A756" s="34"/>
      <c r="B756" s="29"/>
      <c r="C756" s="29"/>
      <c r="D756" s="29"/>
      <c r="E756" s="29"/>
      <c r="F756" s="29"/>
      <c r="G756" s="29"/>
      <c r="H756" s="34"/>
    </row>
    <row x14ac:dyDescent="0.25" r="757" customHeight="1" ht="15.75">
      <c r="A757" s="34"/>
      <c r="B757" s="29"/>
      <c r="C757" s="29"/>
      <c r="D757" s="29"/>
      <c r="E757" s="29"/>
      <c r="F757" s="29"/>
      <c r="G757" s="29"/>
      <c r="H757" s="34"/>
    </row>
    <row x14ac:dyDescent="0.25" r="758" customHeight="1" ht="15.75">
      <c r="A758" s="34"/>
      <c r="B758" s="29"/>
      <c r="C758" s="29"/>
      <c r="D758" s="29"/>
      <c r="E758" s="29"/>
      <c r="F758" s="29"/>
      <c r="G758" s="29"/>
      <c r="H758" s="34"/>
    </row>
    <row x14ac:dyDescent="0.25" r="759" customHeight="1" ht="15.75">
      <c r="A759" s="34"/>
      <c r="B759" s="29"/>
      <c r="C759" s="29"/>
      <c r="D759" s="29"/>
      <c r="E759" s="29"/>
      <c r="F759" s="29"/>
      <c r="G759" s="29"/>
      <c r="H759" s="34"/>
    </row>
    <row x14ac:dyDescent="0.25" r="760" customHeight="1" ht="15.75">
      <c r="A760" s="34"/>
      <c r="B760" s="29"/>
      <c r="C760" s="29"/>
      <c r="D760" s="29"/>
      <c r="E760" s="29"/>
      <c r="F760" s="29"/>
      <c r="G760" s="29"/>
      <c r="H760" s="34"/>
    </row>
    <row x14ac:dyDescent="0.25" r="761" customHeight="1" ht="15.75">
      <c r="A761" s="34"/>
      <c r="B761" s="29"/>
      <c r="C761" s="29"/>
      <c r="D761" s="29"/>
      <c r="E761" s="29"/>
      <c r="F761" s="29"/>
      <c r="G761" s="29"/>
      <c r="H761" s="34"/>
    </row>
    <row x14ac:dyDescent="0.25" r="762" customHeight="1" ht="15.75">
      <c r="A762" s="34"/>
      <c r="B762" s="29"/>
      <c r="C762" s="29"/>
      <c r="D762" s="29"/>
      <c r="E762" s="29"/>
      <c r="F762" s="29"/>
      <c r="G762" s="29"/>
      <c r="H762" s="34"/>
    </row>
    <row x14ac:dyDescent="0.25" r="763" customHeight="1" ht="15.75">
      <c r="A763" s="34"/>
      <c r="B763" s="29"/>
      <c r="C763" s="29"/>
      <c r="D763" s="29"/>
      <c r="E763" s="29"/>
      <c r="F763" s="29"/>
      <c r="G763" s="29"/>
      <c r="H763" s="34"/>
    </row>
    <row x14ac:dyDescent="0.25" r="764" customHeight="1" ht="15.75">
      <c r="A764" s="34"/>
      <c r="B764" s="29"/>
      <c r="C764" s="29"/>
      <c r="D764" s="29"/>
      <c r="E764" s="29"/>
      <c r="F764" s="29"/>
      <c r="G764" s="29"/>
      <c r="H764" s="34"/>
    </row>
    <row x14ac:dyDescent="0.25" r="765" customHeight="1" ht="15.75">
      <c r="A765" s="34"/>
      <c r="B765" s="29"/>
      <c r="C765" s="29"/>
      <c r="D765" s="29"/>
      <c r="E765" s="29"/>
      <c r="F765" s="29"/>
      <c r="G765" s="29"/>
      <c r="H765" s="34"/>
    </row>
    <row x14ac:dyDescent="0.25" r="766" customHeight="1" ht="15.75">
      <c r="A766" s="34"/>
      <c r="B766" s="29"/>
      <c r="C766" s="29"/>
      <c r="D766" s="29"/>
      <c r="E766" s="29"/>
      <c r="F766" s="29"/>
      <c r="G766" s="29"/>
      <c r="H766" s="34"/>
    </row>
    <row x14ac:dyDescent="0.25" r="767" customHeight="1" ht="15.75">
      <c r="A767" s="34"/>
      <c r="B767" s="29"/>
      <c r="C767" s="29"/>
      <c r="D767" s="29"/>
      <c r="E767" s="29"/>
      <c r="F767" s="29"/>
      <c r="G767" s="29"/>
      <c r="H767" s="34"/>
    </row>
    <row x14ac:dyDescent="0.25" r="768" customHeight="1" ht="15.75">
      <c r="A768" s="34"/>
      <c r="B768" s="29"/>
      <c r="C768" s="29"/>
      <c r="D768" s="29"/>
      <c r="E768" s="29"/>
      <c r="F768" s="29"/>
      <c r="G768" s="29"/>
      <c r="H768" s="34"/>
    </row>
    <row x14ac:dyDescent="0.25" r="769" customHeight="1" ht="15.75">
      <c r="A769" s="34"/>
      <c r="B769" s="29"/>
      <c r="C769" s="29"/>
      <c r="D769" s="29"/>
      <c r="E769" s="29"/>
      <c r="F769" s="29"/>
      <c r="G769" s="29"/>
      <c r="H769" s="34"/>
    </row>
    <row x14ac:dyDescent="0.25" r="770" customHeight="1" ht="15.75">
      <c r="A770" s="34"/>
      <c r="B770" s="29"/>
      <c r="C770" s="29"/>
      <c r="D770" s="29"/>
      <c r="E770" s="29"/>
      <c r="F770" s="29"/>
      <c r="G770" s="29"/>
      <c r="H770" s="34"/>
    </row>
    <row x14ac:dyDescent="0.25" r="771" customHeight="1" ht="15.75">
      <c r="A771" s="34"/>
      <c r="B771" s="29"/>
      <c r="C771" s="29"/>
      <c r="D771" s="29"/>
      <c r="E771" s="29"/>
      <c r="F771" s="29"/>
      <c r="G771" s="29"/>
      <c r="H771" s="34"/>
    </row>
    <row x14ac:dyDescent="0.25" r="772" customHeight="1" ht="15.75">
      <c r="A772" s="34"/>
      <c r="B772" s="29"/>
      <c r="C772" s="29"/>
      <c r="D772" s="29"/>
      <c r="E772" s="29"/>
      <c r="F772" s="29"/>
      <c r="G772" s="29"/>
      <c r="H772" s="34"/>
    </row>
    <row x14ac:dyDescent="0.25" r="773" customHeight="1" ht="15.75">
      <c r="A773" s="34"/>
      <c r="B773" s="29"/>
      <c r="C773" s="29"/>
      <c r="D773" s="29"/>
      <c r="E773" s="29"/>
      <c r="F773" s="29"/>
      <c r="G773" s="29"/>
      <c r="H773" s="34"/>
    </row>
    <row x14ac:dyDescent="0.25" r="774" customHeight="1" ht="15.75">
      <c r="A774" s="34"/>
      <c r="B774" s="29"/>
      <c r="C774" s="29"/>
      <c r="D774" s="29"/>
      <c r="E774" s="29"/>
      <c r="F774" s="29"/>
      <c r="G774" s="29"/>
      <c r="H774" s="34"/>
    </row>
    <row x14ac:dyDescent="0.25" r="775" customHeight="1" ht="15.75">
      <c r="A775" s="34"/>
      <c r="B775" s="29"/>
      <c r="C775" s="29"/>
      <c r="D775" s="29"/>
      <c r="E775" s="29"/>
      <c r="F775" s="29"/>
      <c r="G775" s="29"/>
      <c r="H775" s="34"/>
    </row>
    <row x14ac:dyDescent="0.25" r="776" customHeight="1" ht="15.75">
      <c r="A776" s="34"/>
      <c r="B776" s="29"/>
      <c r="C776" s="29"/>
      <c r="D776" s="29"/>
      <c r="E776" s="29"/>
      <c r="F776" s="29"/>
      <c r="G776" s="29"/>
      <c r="H776" s="34"/>
    </row>
    <row x14ac:dyDescent="0.25" r="777" customHeight="1" ht="15.75">
      <c r="A777" s="34"/>
      <c r="B777" s="29"/>
      <c r="C777" s="29"/>
      <c r="D777" s="29"/>
      <c r="E777" s="29"/>
      <c r="F777" s="29"/>
      <c r="G777" s="29"/>
      <c r="H777" s="34"/>
    </row>
    <row x14ac:dyDescent="0.25" r="778" customHeight="1" ht="15.75">
      <c r="A778" s="34"/>
      <c r="B778" s="29"/>
      <c r="C778" s="29"/>
      <c r="D778" s="29"/>
      <c r="E778" s="29"/>
      <c r="F778" s="29"/>
      <c r="G778" s="29"/>
      <c r="H778" s="34"/>
    </row>
    <row x14ac:dyDescent="0.25" r="779" customHeight="1" ht="15.75">
      <c r="A779" s="34"/>
      <c r="B779" s="29"/>
      <c r="C779" s="29"/>
      <c r="D779" s="29"/>
      <c r="E779" s="29"/>
      <c r="F779" s="29"/>
      <c r="G779" s="29"/>
      <c r="H779" s="34"/>
    </row>
    <row x14ac:dyDescent="0.25" r="780" customHeight="1" ht="15.75">
      <c r="A780" s="34"/>
      <c r="B780" s="29"/>
      <c r="C780" s="29"/>
      <c r="D780" s="29"/>
      <c r="E780" s="29"/>
      <c r="F780" s="29"/>
      <c r="G780" s="29"/>
      <c r="H780" s="34"/>
    </row>
    <row x14ac:dyDescent="0.25" r="781" customHeight="1" ht="15.75">
      <c r="A781" s="34"/>
      <c r="B781" s="29"/>
      <c r="C781" s="29"/>
      <c r="D781" s="29"/>
      <c r="E781" s="29"/>
      <c r="F781" s="29"/>
      <c r="G781" s="29"/>
      <c r="H781" s="34"/>
    </row>
    <row x14ac:dyDescent="0.25" r="782" customHeight="1" ht="15.75">
      <c r="A782" s="34"/>
      <c r="B782" s="29"/>
      <c r="C782" s="29"/>
      <c r="D782" s="29"/>
      <c r="E782" s="29"/>
      <c r="F782" s="29"/>
      <c r="G782" s="29"/>
      <c r="H782" s="34"/>
    </row>
    <row x14ac:dyDescent="0.25" r="783" customHeight="1" ht="15.75">
      <c r="A783" s="34"/>
      <c r="B783" s="29"/>
      <c r="C783" s="29"/>
      <c r="D783" s="29"/>
      <c r="E783" s="29"/>
      <c r="F783" s="29"/>
      <c r="G783" s="29"/>
      <c r="H783" s="34"/>
    </row>
    <row x14ac:dyDescent="0.25" r="784" customHeight="1" ht="15.75">
      <c r="A784" s="34"/>
      <c r="B784" s="29"/>
      <c r="C784" s="29"/>
      <c r="D784" s="29"/>
      <c r="E784" s="29"/>
      <c r="F784" s="29"/>
      <c r="G784" s="29"/>
      <c r="H784" s="34"/>
    </row>
    <row x14ac:dyDescent="0.25" r="785" customHeight="1" ht="15.75">
      <c r="A785" s="34"/>
      <c r="B785" s="29"/>
      <c r="C785" s="29"/>
      <c r="D785" s="29"/>
      <c r="E785" s="29"/>
      <c r="F785" s="29"/>
      <c r="G785" s="29"/>
      <c r="H785" s="34"/>
    </row>
    <row x14ac:dyDescent="0.25" r="786" customHeight="1" ht="15.75">
      <c r="A786" s="34"/>
      <c r="B786" s="29"/>
      <c r="C786" s="29"/>
      <c r="D786" s="29"/>
      <c r="E786" s="29"/>
      <c r="F786" s="29"/>
      <c r="G786" s="29"/>
      <c r="H786" s="34"/>
    </row>
    <row x14ac:dyDescent="0.25" r="787" customHeight="1" ht="15.75">
      <c r="A787" s="34"/>
      <c r="B787" s="29"/>
      <c r="C787" s="29"/>
      <c r="D787" s="29"/>
      <c r="E787" s="29"/>
      <c r="F787" s="29"/>
      <c r="G787" s="29"/>
      <c r="H787" s="34"/>
    </row>
    <row x14ac:dyDescent="0.25" r="788" customHeight="1" ht="15.75">
      <c r="A788" s="34"/>
      <c r="B788" s="29"/>
      <c r="C788" s="29"/>
      <c r="D788" s="29"/>
      <c r="E788" s="29"/>
      <c r="F788" s="29"/>
      <c r="G788" s="29"/>
      <c r="H788" s="34"/>
    </row>
    <row x14ac:dyDescent="0.25" r="789" customHeight="1" ht="15.75">
      <c r="A789" s="34"/>
      <c r="B789" s="29"/>
      <c r="C789" s="29"/>
      <c r="D789" s="29"/>
      <c r="E789" s="29"/>
      <c r="F789" s="29"/>
      <c r="G789" s="29"/>
      <c r="H789" s="34"/>
    </row>
    <row x14ac:dyDescent="0.25" r="790" customHeight="1" ht="15.75">
      <c r="A790" s="34"/>
      <c r="B790" s="29"/>
      <c r="C790" s="29"/>
      <c r="D790" s="29"/>
      <c r="E790" s="29"/>
      <c r="F790" s="29"/>
      <c r="G790" s="29"/>
      <c r="H790" s="34"/>
    </row>
    <row x14ac:dyDescent="0.25" r="791" customHeight="1" ht="15.75">
      <c r="A791" s="34"/>
      <c r="B791" s="29"/>
      <c r="C791" s="29"/>
      <c r="D791" s="29"/>
      <c r="E791" s="29"/>
      <c r="F791" s="29"/>
      <c r="G791" s="29"/>
      <c r="H791" s="34"/>
    </row>
    <row x14ac:dyDescent="0.25" r="792" customHeight="1" ht="15.75">
      <c r="A792" s="34"/>
      <c r="B792" s="29"/>
      <c r="C792" s="29"/>
      <c r="D792" s="29"/>
      <c r="E792" s="29"/>
      <c r="F792" s="29"/>
      <c r="G792" s="29"/>
      <c r="H792" s="34"/>
    </row>
    <row x14ac:dyDescent="0.25" r="793" customHeight="1" ht="15.75">
      <c r="A793" s="34"/>
      <c r="B793" s="29"/>
      <c r="C793" s="29"/>
      <c r="D793" s="29"/>
      <c r="E793" s="29"/>
      <c r="F793" s="29"/>
      <c r="G793" s="29"/>
      <c r="H793" s="34"/>
    </row>
    <row x14ac:dyDescent="0.25" r="794" customHeight="1" ht="15.75">
      <c r="A794" s="34"/>
      <c r="B794" s="29"/>
      <c r="C794" s="29"/>
      <c r="D794" s="29"/>
      <c r="E794" s="29"/>
      <c r="F794" s="29"/>
      <c r="G794" s="29"/>
      <c r="H794" s="34"/>
    </row>
    <row x14ac:dyDescent="0.25" r="795" customHeight="1" ht="15.75">
      <c r="A795" s="34"/>
      <c r="B795" s="29"/>
      <c r="C795" s="29"/>
      <c r="D795" s="29"/>
      <c r="E795" s="29"/>
      <c r="F795" s="29"/>
      <c r="G795" s="29"/>
      <c r="H795" s="34"/>
    </row>
    <row x14ac:dyDescent="0.25" r="796" customHeight="1" ht="15.75">
      <c r="A796" s="34"/>
      <c r="B796" s="29"/>
      <c r="C796" s="29"/>
      <c r="D796" s="29"/>
      <c r="E796" s="29"/>
      <c r="F796" s="29"/>
      <c r="G796" s="29"/>
      <c r="H796" s="34"/>
    </row>
    <row x14ac:dyDescent="0.25" r="797" customHeight="1" ht="15.75">
      <c r="A797" s="34"/>
      <c r="B797" s="29"/>
      <c r="C797" s="29"/>
      <c r="D797" s="29"/>
      <c r="E797" s="29"/>
      <c r="F797" s="29"/>
      <c r="G797" s="29"/>
      <c r="H797" s="34"/>
    </row>
    <row x14ac:dyDescent="0.25" r="798" customHeight="1" ht="15.75">
      <c r="A798" s="34"/>
      <c r="B798" s="29"/>
      <c r="C798" s="29"/>
      <c r="D798" s="29"/>
      <c r="E798" s="29"/>
      <c r="F798" s="29"/>
      <c r="G798" s="29"/>
      <c r="H798" s="34"/>
    </row>
    <row x14ac:dyDescent="0.25" r="799" customHeight="1" ht="15.75">
      <c r="A799" s="34"/>
      <c r="B799" s="29"/>
      <c r="C799" s="29"/>
      <c r="D799" s="29"/>
      <c r="E799" s="29"/>
      <c r="F799" s="29"/>
      <c r="G799" s="29"/>
      <c r="H799" s="34"/>
    </row>
    <row x14ac:dyDescent="0.25" r="800" customHeight="1" ht="15.75">
      <c r="A800" s="34"/>
      <c r="B800" s="29"/>
      <c r="C800" s="29"/>
      <c r="D800" s="29"/>
      <c r="E800" s="29"/>
      <c r="F800" s="29"/>
      <c r="G800" s="29"/>
      <c r="H800" s="34"/>
    </row>
    <row x14ac:dyDescent="0.25" r="801" customHeight="1" ht="15.75">
      <c r="A801" s="34"/>
      <c r="B801" s="29"/>
      <c r="C801" s="29"/>
      <c r="D801" s="29"/>
      <c r="E801" s="29"/>
      <c r="F801" s="29"/>
      <c r="G801" s="29"/>
      <c r="H801" s="34"/>
    </row>
    <row x14ac:dyDescent="0.25" r="802" customHeight="1" ht="15.75">
      <c r="A802" s="34"/>
      <c r="B802" s="29"/>
      <c r="C802" s="29"/>
      <c r="D802" s="29"/>
      <c r="E802" s="29"/>
      <c r="F802" s="29"/>
      <c r="G802" s="29"/>
      <c r="H802" s="34"/>
    </row>
    <row x14ac:dyDescent="0.25" r="803" customHeight="1" ht="15.75">
      <c r="A803" s="34"/>
      <c r="B803" s="29"/>
      <c r="C803" s="29"/>
      <c r="D803" s="29"/>
      <c r="E803" s="29"/>
      <c r="F803" s="29"/>
      <c r="G803" s="29"/>
      <c r="H803" s="34"/>
    </row>
    <row x14ac:dyDescent="0.25" r="804" customHeight="1" ht="15.75">
      <c r="A804" s="34"/>
      <c r="B804" s="29"/>
      <c r="C804" s="29"/>
      <c r="D804" s="29"/>
      <c r="E804" s="29"/>
      <c r="F804" s="29"/>
      <c r="G804" s="29"/>
      <c r="H804" s="34"/>
    </row>
    <row x14ac:dyDescent="0.25" r="805" customHeight="1" ht="15.75">
      <c r="A805" s="34"/>
      <c r="B805" s="29"/>
      <c r="C805" s="29"/>
      <c r="D805" s="29"/>
      <c r="E805" s="29"/>
      <c r="F805" s="29"/>
      <c r="G805" s="29"/>
      <c r="H805" s="34"/>
    </row>
    <row x14ac:dyDescent="0.25" r="806" customHeight="1" ht="15.75">
      <c r="A806" s="34"/>
      <c r="B806" s="29"/>
      <c r="C806" s="29"/>
      <c r="D806" s="29"/>
      <c r="E806" s="29"/>
      <c r="F806" s="29"/>
      <c r="G806" s="29"/>
      <c r="H806" s="34"/>
    </row>
    <row x14ac:dyDescent="0.25" r="807" customHeight="1" ht="15.75">
      <c r="A807" s="34"/>
      <c r="B807" s="29"/>
      <c r="C807" s="29"/>
      <c r="D807" s="29"/>
      <c r="E807" s="29"/>
      <c r="F807" s="29"/>
      <c r="G807" s="29"/>
      <c r="H807" s="34"/>
    </row>
    <row x14ac:dyDescent="0.25" r="808" customHeight="1" ht="15.75">
      <c r="A808" s="34"/>
      <c r="B808" s="29"/>
      <c r="C808" s="29"/>
      <c r="D808" s="29"/>
      <c r="E808" s="29"/>
      <c r="F808" s="29"/>
      <c r="G808" s="29"/>
      <c r="H808" s="34"/>
    </row>
    <row x14ac:dyDescent="0.25" r="809" customHeight="1" ht="15.75">
      <c r="A809" s="34"/>
      <c r="B809" s="29"/>
      <c r="C809" s="29"/>
      <c r="D809" s="29"/>
      <c r="E809" s="29"/>
      <c r="F809" s="29"/>
      <c r="G809" s="29"/>
      <c r="H809" s="34"/>
    </row>
    <row x14ac:dyDescent="0.25" r="810" customHeight="1" ht="15.75">
      <c r="A810" s="34"/>
      <c r="B810" s="29"/>
      <c r="C810" s="29"/>
      <c r="D810" s="29"/>
      <c r="E810" s="29"/>
      <c r="F810" s="29"/>
      <c r="G810" s="29"/>
      <c r="H810" s="34"/>
    </row>
    <row x14ac:dyDescent="0.25" r="811" customHeight="1" ht="15.75">
      <c r="A811" s="34"/>
      <c r="B811" s="29"/>
      <c r="C811" s="29"/>
      <c r="D811" s="29"/>
      <c r="E811" s="29"/>
      <c r="F811" s="29"/>
      <c r="G811" s="29"/>
      <c r="H811" s="34"/>
    </row>
    <row x14ac:dyDescent="0.25" r="812" customHeight="1" ht="15.75">
      <c r="A812" s="34"/>
      <c r="B812" s="29"/>
      <c r="C812" s="29"/>
      <c r="D812" s="29"/>
      <c r="E812" s="29"/>
      <c r="F812" s="29"/>
      <c r="G812" s="29"/>
      <c r="H812" s="34"/>
    </row>
    <row x14ac:dyDescent="0.25" r="813" customHeight="1" ht="15.75">
      <c r="A813" s="34"/>
      <c r="B813" s="29"/>
      <c r="C813" s="29"/>
      <c r="D813" s="29"/>
      <c r="E813" s="29"/>
      <c r="F813" s="29"/>
      <c r="G813" s="29"/>
      <c r="H813" s="34"/>
    </row>
    <row x14ac:dyDescent="0.25" r="814" customHeight="1" ht="15.75">
      <c r="A814" s="34"/>
      <c r="B814" s="29"/>
      <c r="C814" s="29"/>
      <c r="D814" s="29"/>
      <c r="E814" s="29"/>
      <c r="F814" s="29"/>
      <c r="G814" s="29"/>
      <c r="H814" s="34"/>
    </row>
    <row x14ac:dyDescent="0.25" r="815" customHeight="1" ht="15.75">
      <c r="A815" s="34"/>
      <c r="B815" s="29"/>
      <c r="C815" s="29"/>
      <c r="D815" s="29"/>
      <c r="E815" s="29"/>
      <c r="F815" s="29"/>
      <c r="G815" s="29"/>
      <c r="H815" s="34"/>
    </row>
    <row x14ac:dyDescent="0.25" r="816" customHeight="1" ht="15.75">
      <c r="A816" s="34"/>
      <c r="B816" s="29"/>
      <c r="C816" s="29"/>
      <c r="D816" s="29"/>
      <c r="E816" s="29"/>
      <c r="F816" s="29"/>
      <c r="G816" s="29"/>
      <c r="H816" s="34"/>
    </row>
    <row x14ac:dyDescent="0.25" r="817" customHeight="1" ht="15.75">
      <c r="A817" s="34"/>
      <c r="B817" s="29"/>
      <c r="C817" s="29"/>
      <c r="D817" s="29"/>
      <c r="E817" s="29"/>
      <c r="F817" s="29"/>
      <c r="G817" s="29"/>
      <c r="H817" s="34"/>
    </row>
    <row x14ac:dyDescent="0.25" r="818" customHeight="1" ht="15.75">
      <c r="A818" s="34"/>
      <c r="B818" s="29"/>
      <c r="C818" s="29"/>
      <c r="D818" s="29"/>
      <c r="E818" s="29"/>
      <c r="F818" s="29"/>
      <c r="G818" s="29"/>
      <c r="H818" s="34"/>
    </row>
    <row x14ac:dyDescent="0.25" r="819" customHeight="1" ht="15.75">
      <c r="A819" s="34"/>
      <c r="B819" s="29"/>
      <c r="C819" s="29"/>
      <c r="D819" s="29"/>
      <c r="E819" s="29"/>
      <c r="F819" s="29"/>
      <c r="G819" s="29"/>
      <c r="H819" s="34"/>
    </row>
    <row x14ac:dyDescent="0.25" r="820" customHeight="1" ht="15.75">
      <c r="A820" s="34"/>
      <c r="B820" s="29"/>
      <c r="C820" s="29"/>
      <c r="D820" s="29"/>
      <c r="E820" s="29"/>
      <c r="F820" s="29"/>
      <c r="G820" s="29"/>
      <c r="H820" s="34"/>
    </row>
    <row x14ac:dyDescent="0.25" r="821" customHeight="1" ht="15.75">
      <c r="A821" s="34"/>
      <c r="B821" s="29"/>
      <c r="C821" s="29"/>
      <c r="D821" s="29"/>
      <c r="E821" s="29"/>
      <c r="F821" s="29"/>
      <c r="G821" s="29"/>
      <c r="H821" s="34"/>
    </row>
    <row x14ac:dyDescent="0.25" r="822" customHeight="1" ht="15.75">
      <c r="A822" s="34"/>
      <c r="B822" s="29"/>
      <c r="C822" s="29"/>
      <c r="D822" s="29"/>
      <c r="E822" s="29"/>
      <c r="F822" s="29"/>
      <c r="G822" s="29"/>
      <c r="H822" s="34"/>
    </row>
    <row x14ac:dyDescent="0.25" r="823" customHeight="1" ht="15.75">
      <c r="A823" s="34"/>
      <c r="B823" s="29"/>
      <c r="C823" s="29"/>
      <c r="D823" s="29"/>
      <c r="E823" s="29"/>
      <c r="F823" s="29"/>
      <c r="G823" s="29"/>
      <c r="H823" s="34"/>
    </row>
    <row x14ac:dyDescent="0.25" r="824" customHeight="1" ht="15.75">
      <c r="A824" s="34"/>
      <c r="B824" s="29"/>
      <c r="C824" s="29"/>
      <c r="D824" s="29"/>
      <c r="E824" s="29"/>
      <c r="F824" s="29"/>
      <c r="G824" s="29"/>
      <c r="H824" s="34"/>
    </row>
    <row x14ac:dyDescent="0.25" r="825" customHeight="1" ht="15.75">
      <c r="A825" s="34"/>
      <c r="B825" s="29"/>
      <c r="C825" s="29"/>
      <c r="D825" s="29"/>
      <c r="E825" s="29"/>
      <c r="F825" s="29"/>
      <c r="G825" s="29"/>
      <c r="H825" s="34"/>
    </row>
    <row x14ac:dyDescent="0.25" r="826" customHeight="1" ht="15.75">
      <c r="A826" s="34"/>
      <c r="B826" s="29"/>
      <c r="C826" s="29"/>
      <c r="D826" s="29"/>
      <c r="E826" s="29"/>
      <c r="F826" s="29"/>
      <c r="G826" s="29"/>
      <c r="H826" s="34"/>
    </row>
    <row x14ac:dyDescent="0.25" r="827" customHeight="1" ht="15.75">
      <c r="A827" s="34"/>
      <c r="B827" s="29"/>
      <c r="C827" s="29"/>
      <c r="D827" s="29"/>
      <c r="E827" s="29"/>
      <c r="F827" s="29"/>
      <c r="G827" s="29"/>
      <c r="H827" s="34"/>
    </row>
    <row x14ac:dyDescent="0.25" r="828" customHeight="1" ht="15.75">
      <c r="A828" s="34"/>
      <c r="B828" s="29"/>
      <c r="C828" s="29"/>
      <c r="D828" s="29"/>
      <c r="E828" s="29"/>
      <c r="F828" s="29"/>
      <c r="G828" s="29"/>
      <c r="H828" s="34"/>
    </row>
    <row x14ac:dyDescent="0.25" r="829" customHeight="1" ht="15.75">
      <c r="A829" s="34"/>
      <c r="B829" s="29"/>
      <c r="C829" s="29"/>
      <c r="D829" s="29"/>
      <c r="E829" s="29"/>
      <c r="F829" s="29"/>
      <c r="G829" s="29"/>
      <c r="H829" s="34"/>
    </row>
    <row x14ac:dyDescent="0.25" r="830" customHeight="1" ht="15.75">
      <c r="A830" s="34"/>
      <c r="B830" s="29"/>
      <c r="C830" s="29"/>
      <c r="D830" s="29"/>
      <c r="E830" s="29"/>
      <c r="F830" s="29"/>
      <c r="G830" s="29"/>
      <c r="H830" s="34"/>
    </row>
    <row x14ac:dyDescent="0.25" r="831" customHeight="1" ht="15.75">
      <c r="A831" s="34"/>
      <c r="B831" s="29"/>
      <c r="C831" s="29"/>
      <c r="D831" s="29"/>
      <c r="E831" s="29"/>
      <c r="F831" s="29"/>
      <c r="G831" s="29"/>
      <c r="H831" s="34"/>
    </row>
    <row x14ac:dyDescent="0.25" r="832" customHeight="1" ht="15.75">
      <c r="A832" s="34"/>
      <c r="B832" s="29"/>
      <c r="C832" s="29"/>
      <c r="D832" s="29"/>
      <c r="E832" s="29"/>
      <c r="F832" s="29"/>
      <c r="G832" s="29"/>
      <c r="H832" s="34"/>
    </row>
    <row x14ac:dyDescent="0.25" r="833" customHeight="1" ht="15.75">
      <c r="A833" s="34"/>
      <c r="B833" s="29"/>
      <c r="C833" s="29"/>
      <c r="D833" s="29"/>
      <c r="E833" s="29"/>
      <c r="F833" s="29"/>
      <c r="G833" s="29"/>
      <c r="H833" s="34"/>
    </row>
    <row x14ac:dyDescent="0.25" r="834" customHeight="1" ht="15.75">
      <c r="A834" s="34"/>
      <c r="B834" s="29"/>
      <c r="C834" s="29"/>
      <c r="D834" s="29"/>
      <c r="E834" s="29"/>
      <c r="F834" s="29"/>
      <c r="G834" s="29"/>
      <c r="H834" s="34"/>
    </row>
    <row x14ac:dyDescent="0.25" r="835" customHeight="1" ht="15.75">
      <c r="A835" s="34"/>
      <c r="B835" s="29"/>
      <c r="C835" s="29"/>
      <c r="D835" s="29"/>
      <c r="E835" s="29"/>
      <c r="F835" s="29"/>
      <c r="G835" s="29"/>
      <c r="H835" s="34"/>
    </row>
    <row x14ac:dyDescent="0.25" r="836" customHeight="1" ht="15.75">
      <c r="A836" s="34"/>
      <c r="B836" s="29"/>
      <c r="C836" s="29"/>
      <c r="D836" s="29"/>
      <c r="E836" s="29"/>
      <c r="F836" s="29"/>
      <c r="G836" s="29"/>
      <c r="H836" s="34"/>
    </row>
    <row x14ac:dyDescent="0.25" r="837" customHeight="1" ht="15.75">
      <c r="A837" s="34"/>
      <c r="B837" s="29"/>
      <c r="C837" s="29"/>
      <c r="D837" s="29"/>
      <c r="E837" s="29"/>
      <c r="F837" s="29"/>
      <c r="G837" s="29"/>
      <c r="H837" s="34"/>
    </row>
    <row x14ac:dyDescent="0.25" r="838" customHeight="1" ht="15.75">
      <c r="A838" s="34"/>
      <c r="B838" s="29"/>
      <c r="C838" s="29"/>
      <c r="D838" s="29"/>
      <c r="E838" s="29"/>
      <c r="F838" s="29"/>
      <c r="G838" s="29"/>
      <c r="H838" s="34"/>
    </row>
    <row x14ac:dyDescent="0.25" r="839" customHeight="1" ht="15.75">
      <c r="A839" s="34"/>
      <c r="B839" s="29"/>
      <c r="C839" s="29"/>
      <c r="D839" s="29"/>
      <c r="E839" s="29"/>
      <c r="F839" s="29"/>
      <c r="G839" s="29"/>
      <c r="H839" s="34"/>
    </row>
    <row x14ac:dyDescent="0.25" r="840" customHeight="1" ht="15.75">
      <c r="A840" s="34"/>
      <c r="B840" s="29"/>
      <c r="C840" s="29"/>
      <c r="D840" s="29"/>
      <c r="E840" s="29"/>
      <c r="F840" s="29"/>
      <c r="G840" s="29"/>
      <c r="H840" s="34"/>
    </row>
    <row x14ac:dyDescent="0.25" r="841" customHeight="1" ht="15.75">
      <c r="A841" s="34"/>
      <c r="B841" s="29"/>
      <c r="C841" s="29"/>
      <c r="D841" s="29"/>
      <c r="E841" s="29"/>
      <c r="F841" s="29"/>
      <c r="G841" s="29"/>
      <c r="H841" s="34"/>
    </row>
    <row x14ac:dyDescent="0.25" r="842" customHeight="1" ht="15.75">
      <c r="A842" s="34"/>
      <c r="B842" s="29"/>
      <c r="C842" s="29"/>
      <c r="D842" s="29"/>
      <c r="E842" s="29"/>
      <c r="F842" s="29"/>
      <c r="G842" s="29"/>
      <c r="H842" s="34"/>
    </row>
    <row x14ac:dyDescent="0.25" r="843" customHeight="1" ht="15.75">
      <c r="A843" s="34"/>
      <c r="B843" s="29"/>
      <c r="C843" s="29"/>
      <c r="D843" s="29"/>
      <c r="E843" s="29"/>
      <c r="F843" s="29"/>
      <c r="G843" s="29"/>
      <c r="H843" s="34"/>
    </row>
    <row x14ac:dyDescent="0.25" r="844" customHeight="1" ht="15.75">
      <c r="A844" s="34"/>
      <c r="B844" s="29"/>
      <c r="C844" s="29"/>
      <c r="D844" s="29"/>
      <c r="E844" s="29"/>
      <c r="F844" s="29"/>
      <c r="G844" s="29"/>
      <c r="H844" s="34"/>
    </row>
    <row x14ac:dyDescent="0.25" r="845" customHeight="1" ht="15.75">
      <c r="A845" s="34"/>
      <c r="B845" s="29"/>
      <c r="C845" s="29"/>
      <c r="D845" s="29"/>
      <c r="E845" s="29"/>
      <c r="F845" s="29"/>
      <c r="G845" s="29"/>
      <c r="H845" s="34"/>
    </row>
    <row x14ac:dyDescent="0.25" r="846" customHeight="1" ht="15.75">
      <c r="A846" s="34"/>
      <c r="B846" s="29"/>
      <c r="C846" s="29"/>
      <c r="D846" s="29"/>
      <c r="E846" s="29"/>
      <c r="F846" s="29"/>
      <c r="G846" s="29"/>
      <c r="H846" s="34"/>
    </row>
    <row x14ac:dyDescent="0.25" r="847" customHeight="1" ht="15.75">
      <c r="A847" s="34"/>
      <c r="B847" s="29"/>
      <c r="C847" s="29"/>
      <c r="D847" s="29"/>
      <c r="E847" s="29"/>
      <c r="F847" s="29"/>
      <c r="G847" s="29"/>
      <c r="H847" s="34"/>
    </row>
    <row x14ac:dyDescent="0.25" r="848" customHeight="1" ht="15.75">
      <c r="A848" s="34"/>
      <c r="B848" s="29"/>
      <c r="C848" s="29"/>
      <c r="D848" s="29"/>
      <c r="E848" s="29"/>
      <c r="F848" s="29"/>
      <c r="G848" s="29"/>
      <c r="H848" s="34"/>
    </row>
    <row x14ac:dyDescent="0.25" r="849" customHeight="1" ht="15.75">
      <c r="A849" s="34"/>
      <c r="B849" s="29"/>
      <c r="C849" s="29"/>
      <c r="D849" s="29"/>
      <c r="E849" s="29"/>
      <c r="F849" s="29"/>
      <c r="G849" s="29"/>
      <c r="H849" s="34"/>
    </row>
    <row x14ac:dyDescent="0.25" r="850" customHeight="1" ht="15.75">
      <c r="A850" s="34"/>
      <c r="B850" s="29"/>
      <c r="C850" s="29"/>
      <c r="D850" s="29"/>
      <c r="E850" s="29"/>
      <c r="F850" s="29"/>
      <c r="G850" s="29"/>
      <c r="H850" s="34"/>
    </row>
    <row x14ac:dyDescent="0.25" r="851" customHeight="1" ht="15.75">
      <c r="A851" s="34"/>
      <c r="B851" s="29"/>
      <c r="C851" s="29"/>
      <c r="D851" s="29"/>
      <c r="E851" s="29"/>
      <c r="F851" s="29"/>
      <c r="G851" s="29"/>
      <c r="H851" s="34"/>
    </row>
    <row x14ac:dyDescent="0.25" r="852" customHeight="1" ht="15.75">
      <c r="A852" s="34"/>
      <c r="B852" s="29"/>
      <c r="C852" s="29"/>
      <c r="D852" s="29"/>
      <c r="E852" s="29"/>
      <c r="F852" s="29"/>
      <c r="G852" s="29"/>
      <c r="H852" s="34"/>
    </row>
    <row x14ac:dyDescent="0.25" r="853" customHeight="1" ht="15.75">
      <c r="A853" s="34"/>
      <c r="B853" s="29"/>
      <c r="C853" s="29"/>
      <c r="D853" s="29"/>
      <c r="E853" s="29"/>
      <c r="F853" s="29"/>
      <c r="G853" s="29"/>
      <c r="H853" s="34"/>
    </row>
    <row x14ac:dyDescent="0.25" r="854" customHeight="1" ht="15.75">
      <c r="A854" s="34"/>
      <c r="B854" s="29"/>
      <c r="C854" s="29"/>
      <c r="D854" s="29"/>
      <c r="E854" s="29"/>
      <c r="F854" s="29"/>
      <c r="G854" s="29"/>
      <c r="H854" s="34"/>
    </row>
    <row x14ac:dyDescent="0.25" r="855" customHeight="1" ht="15.75">
      <c r="A855" s="34"/>
      <c r="B855" s="29"/>
      <c r="C855" s="29"/>
      <c r="D855" s="29"/>
      <c r="E855" s="29"/>
      <c r="F855" s="29"/>
      <c r="G855" s="29"/>
      <c r="H855" s="34"/>
    </row>
    <row x14ac:dyDescent="0.25" r="856" customHeight="1" ht="15.75">
      <c r="A856" s="34"/>
      <c r="B856" s="29"/>
      <c r="C856" s="29"/>
      <c r="D856" s="29"/>
      <c r="E856" s="29"/>
      <c r="F856" s="29"/>
      <c r="G856" s="29"/>
      <c r="H856" s="34"/>
    </row>
    <row x14ac:dyDescent="0.25" r="857" customHeight="1" ht="15.75">
      <c r="A857" s="34"/>
      <c r="B857" s="29"/>
      <c r="C857" s="29"/>
      <c r="D857" s="29"/>
      <c r="E857" s="29"/>
      <c r="F857" s="29"/>
      <c r="G857" s="29"/>
      <c r="H857" s="34"/>
    </row>
    <row x14ac:dyDescent="0.25" r="858" customHeight="1" ht="15.75">
      <c r="A858" s="34"/>
      <c r="B858" s="29"/>
      <c r="C858" s="29"/>
      <c r="D858" s="29"/>
      <c r="E858" s="29"/>
      <c r="F858" s="29"/>
      <c r="G858" s="29"/>
      <c r="H858" s="34"/>
    </row>
    <row x14ac:dyDescent="0.25" r="859" customHeight="1" ht="15.75">
      <c r="A859" s="34"/>
      <c r="B859" s="29"/>
      <c r="C859" s="29"/>
      <c r="D859" s="29"/>
      <c r="E859" s="29"/>
      <c r="F859" s="29"/>
      <c r="G859" s="29"/>
      <c r="H859" s="34"/>
    </row>
    <row x14ac:dyDescent="0.25" r="860" customHeight="1" ht="15.75">
      <c r="A860" s="34"/>
      <c r="B860" s="29"/>
      <c r="C860" s="29"/>
      <c r="D860" s="29"/>
      <c r="E860" s="29"/>
      <c r="F860" s="29"/>
      <c r="G860" s="29"/>
      <c r="H860" s="34"/>
    </row>
    <row x14ac:dyDescent="0.25" r="861" customHeight="1" ht="15.75">
      <c r="A861" s="34"/>
      <c r="B861" s="29"/>
      <c r="C861" s="29"/>
      <c r="D861" s="29"/>
      <c r="E861" s="29"/>
      <c r="F861" s="29"/>
      <c r="G861" s="29"/>
      <c r="H861" s="34"/>
    </row>
    <row x14ac:dyDescent="0.25" r="862" customHeight="1" ht="15.75">
      <c r="A862" s="34"/>
      <c r="B862" s="29"/>
      <c r="C862" s="29"/>
      <c r="D862" s="29"/>
      <c r="E862" s="29"/>
      <c r="F862" s="29"/>
      <c r="G862" s="29"/>
      <c r="H862" s="34"/>
    </row>
    <row x14ac:dyDescent="0.25" r="863" customHeight="1" ht="15.75">
      <c r="A863" s="34"/>
      <c r="B863" s="29"/>
      <c r="C863" s="29"/>
      <c r="D863" s="29"/>
      <c r="E863" s="29"/>
      <c r="F863" s="29"/>
      <c r="G863" s="29"/>
      <c r="H863" s="34"/>
    </row>
    <row x14ac:dyDescent="0.25" r="864" customHeight="1" ht="15.75">
      <c r="A864" s="34"/>
      <c r="B864" s="29"/>
      <c r="C864" s="29"/>
      <c r="D864" s="29"/>
      <c r="E864" s="29"/>
      <c r="F864" s="29"/>
      <c r="G864" s="29"/>
      <c r="H864" s="34"/>
    </row>
    <row x14ac:dyDescent="0.25" r="865" customHeight="1" ht="15.75">
      <c r="A865" s="34"/>
      <c r="B865" s="29"/>
      <c r="C865" s="29"/>
      <c r="D865" s="29"/>
      <c r="E865" s="29"/>
      <c r="F865" s="29"/>
      <c r="G865" s="29"/>
      <c r="H865" s="34"/>
    </row>
    <row x14ac:dyDescent="0.25" r="866" customHeight="1" ht="15.75">
      <c r="A866" s="34"/>
      <c r="B866" s="29"/>
      <c r="C866" s="29"/>
      <c r="D866" s="29"/>
      <c r="E866" s="29"/>
      <c r="F866" s="29"/>
      <c r="G866" s="29"/>
      <c r="H866" s="34"/>
    </row>
    <row x14ac:dyDescent="0.25" r="867" customHeight="1" ht="15.75">
      <c r="A867" s="34"/>
      <c r="B867" s="29"/>
      <c r="C867" s="29"/>
      <c r="D867" s="29"/>
      <c r="E867" s="29"/>
      <c r="F867" s="29"/>
      <c r="G867" s="29"/>
      <c r="H867" s="34"/>
    </row>
    <row x14ac:dyDescent="0.25" r="868" customHeight="1" ht="15.75">
      <c r="A868" s="34"/>
      <c r="B868" s="29"/>
      <c r="C868" s="29"/>
      <c r="D868" s="29"/>
      <c r="E868" s="29"/>
      <c r="F868" s="29"/>
      <c r="G868" s="29"/>
      <c r="H868" s="34"/>
    </row>
    <row x14ac:dyDescent="0.25" r="869" customHeight="1" ht="15.75">
      <c r="A869" s="34"/>
      <c r="B869" s="29"/>
      <c r="C869" s="29"/>
      <c r="D869" s="29"/>
      <c r="E869" s="29"/>
      <c r="F869" s="29"/>
      <c r="G869" s="29"/>
      <c r="H869" s="34"/>
    </row>
    <row x14ac:dyDescent="0.25" r="870" customHeight="1" ht="15.75">
      <c r="A870" s="34"/>
      <c r="B870" s="29"/>
      <c r="C870" s="29"/>
      <c r="D870" s="29"/>
      <c r="E870" s="29"/>
      <c r="F870" s="29"/>
      <c r="G870" s="29"/>
      <c r="H870" s="34"/>
    </row>
    <row x14ac:dyDescent="0.25" r="871" customHeight="1" ht="15.75">
      <c r="A871" s="34"/>
      <c r="B871" s="29"/>
      <c r="C871" s="29"/>
      <c r="D871" s="29"/>
      <c r="E871" s="29"/>
      <c r="F871" s="29"/>
      <c r="G871" s="29"/>
      <c r="H871" s="34"/>
    </row>
    <row x14ac:dyDescent="0.25" r="872" customHeight="1" ht="15.75">
      <c r="A872" s="34"/>
      <c r="B872" s="29"/>
      <c r="C872" s="29"/>
      <c r="D872" s="29"/>
      <c r="E872" s="29"/>
      <c r="F872" s="29"/>
      <c r="G872" s="29"/>
      <c r="H872" s="34"/>
    </row>
    <row x14ac:dyDescent="0.25" r="873" customHeight="1" ht="15.75">
      <c r="A873" s="34"/>
      <c r="B873" s="29"/>
      <c r="C873" s="29"/>
      <c r="D873" s="29"/>
      <c r="E873" s="29"/>
      <c r="F873" s="29"/>
      <c r="G873" s="29"/>
      <c r="H873" s="34"/>
    </row>
    <row x14ac:dyDescent="0.25" r="874" customHeight="1" ht="15.75">
      <c r="A874" s="34"/>
      <c r="B874" s="29"/>
      <c r="C874" s="29"/>
      <c r="D874" s="29"/>
      <c r="E874" s="29"/>
      <c r="F874" s="29"/>
      <c r="G874" s="29"/>
      <c r="H874" s="34"/>
    </row>
    <row x14ac:dyDescent="0.25" r="875" customHeight="1" ht="15.75">
      <c r="A875" s="34"/>
      <c r="B875" s="29"/>
      <c r="C875" s="29"/>
      <c r="D875" s="29"/>
      <c r="E875" s="29"/>
      <c r="F875" s="29"/>
      <c r="G875" s="29"/>
      <c r="H875" s="34"/>
    </row>
    <row x14ac:dyDescent="0.25" r="876" customHeight="1" ht="15.75">
      <c r="A876" s="34"/>
      <c r="B876" s="29"/>
      <c r="C876" s="29"/>
      <c r="D876" s="29"/>
      <c r="E876" s="29"/>
      <c r="F876" s="29"/>
      <c r="G876" s="29"/>
      <c r="H876" s="34"/>
    </row>
    <row x14ac:dyDescent="0.25" r="877" customHeight="1" ht="15.75">
      <c r="A877" s="34"/>
      <c r="B877" s="29"/>
      <c r="C877" s="29"/>
      <c r="D877" s="29"/>
      <c r="E877" s="29"/>
      <c r="F877" s="29"/>
      <c r="G877" s="29"/>
      <c r="H877" s="34"/>
    </row>
    <row x14ac:dyDescent="0.25" r="878" customHeight="1" ht="15.75">
      <c r="A878" s="34"/>
      <c r="B878" s="29"/>
      <c r="C878" s="29"/>
      <c r="D878" s="29"/>
      <c r="E878" s="29"/>
      <c r="F878" s="29"/>
      <c r="G878" s="29"/>
      <c r="H878" s="34"/>
    </row>
    <row x14ac:dyDescent="0.25" r="879" customHeight="1" ht="15.75">
      <c r="A879" s="34"/>
      <c r="B879" s="29"/>
      <c r="C879" s="29"/>
      <c r="D879" s="29"/>
      <c r="E879" s="29"/>
      <c r="F879" s="29"/>
      <c r="G879" s="29"/>
      <c r="H879" s="34"/>
    </row>
    <row x14ac:dyDescent="0.25" r="880" customHeight="1" ht="15.75">
      <c r="A880" s="34"/>
      <c r="B880" s="29"/>
      <c r="C880" s="29"/>
      <c r="D880" s="29"/>
      <c r="E880" s="29"/>
      <c r="F880" s="29"/>
      <c r="G880" s="29"/>
      <c r="H880" s="34"/>
    </row>
    <row x14ac:dyDescent="0.25" r="881" customHeight="1" ht="15.75">
      <c r="A881" s="34"/>
      <c r="B881" s="29"/>
      <c r="C881" s="29"/>
      <c r="D881" s="29"/>
      <c r="E881" s="29"/>
      <c r="F881" s="29"/>
      <c r="G881" s="29"/>
      <c r="H881" s="34"/>
    </row>
    <row x14ac:dyDescent="0.25" r="882" customHeight="1" ht="15.75">
      <c r="A882" s="34"/>
      <c r="B882" s="29"/>
      <c r="C882" s="29"/>
      <c r="D882" s="29"/>
      <c r="E882" s="29"/>
      <c r="F882" s="29"/>
      <c r="G882" s="29"/>
      <c r="H882" s="34"/>
    </row>
    <row x14ac:dyDescent="0.25" r="883" customHeight="1" ht="15.75">
      <c r="A883" s="34"/>
      <c r="B883" s="29"/>
      <c r="C883" s="29"/>
      <c r="D883" s="29"/>
      <c r="E883" s="29"/>
      <c r="F883" s="29"/>
      <c r="G883" s="29"/>
      <c r="H883" s="34"/>
    </row>
    <row x14ac:dyDescent="0.25" r="884" customHeight="1" ht="15.75">
      <c r="A884" s="34"/>
      <c r="B884" s="29"/>
      <c r="C884" s="29"/>
      <c r="D884" s="29"/>
      <c r="E884" s="29"/>
      <c r="F884" s="29"/>
      <c r="G884" s="29"/>
      <c r="H884" s="34"/>
    </row>
    <row x14ac:dyDescent="0.25" r="885" customHeight="1" ht="15.75">
      <c r="A885" s="34"/>
      <c r="B885" s="29"/>
      <c r="C885" s="29"/>
      <c r="D885" s="29"/>
      <c r="E885" s="29"/>
      <c r="F885" s="29"/>
      <c r="G885" s="29"/>
      <c r="H885" s="34"/>
    </row>
    <row x14ac:dyDescent="0.25" r="886" customHeight="1" ht="15.75">
      <c r="A886" s="34"/>
      <c r="B886" s="29"/>
      <c r="C886" s="29"/>
      <c r="D886" s="29"/>
      <c r="E886" s="29"/>
      <c r="F886" s="29"/>
      <c r="G886" s="29"/>
      <c r="H886" s="34"/>
    </row>
    <row x14ac:dyDescent="0.25" r="887" customHeight="1" ht="15.75">
      <c r="A887" s="34"/>
      <c r="B887" s="29"/>
      <c r="C887" s="29"/>
      <c r="D887" s="29"/>
      <c r="E887" s="29"/>
      <c r="F887" s="29"/>
      <c r="G887" s="29"/>
      <c r="H887" s="34"/>
    </row>
    <row x14ac:dyDescent="0.25" r="888" customHeight="1" ht="15.75">
      <c r="A888" s="34"/>
      <c r="B888" s="29"/>
      <c r="C888" s="29"/>
      <c r="D888" s="29"/>
      <c r="E888" s="29"/>
      <c r="F888" s="29"/>
      <c r="G888" s="29"/>
      <c r="H888" s="34"/>
    </row>
    <row x14ac:dyDescent="0.25" r="889" customHeight="1" ht="15.75">
      <c r="A889" s="34"/>
      <c r="B889" s="29"/>
      <c r="C889" s="29"/>
      <c r="D889" s="29"/>
      <c r="E889" s="29"/>
      <c r="F889" s="29"/>
      <c r="G889" s="29"/>
      <c r="H889" s="34"/>
    </row>
    <row x14ac:dyDescent="0.25" r="890" customHeight="1" ht="15.75">
      <c r="A890" s="34"/>
      <c r="B890" s="29"/>
      <c r="C890" s="29"/>
      <c r="D890" s="29"/>
      <c r="E890" s="29"/>
      <c r="F890" s="29"/>
      <c r="G890" s="29"/>
      <c r="H890" s="34"/>
    </row>
    <row x14ac:dyDescent="0.25" r="891" customHeight="1" ht="15.75">
      <c r="A891" s="34"/>
      <c r="B891" s="29"/>
      <c r="C891" s="29"/>
      <c r="D891" s="29"/>
      <c r="E891" s="29"/>
      <c r="F891" s="29"/>
      <c r="G891" s="29"/>
      <c r="H891" s="34"/>
    </row>
    <row x14ac:dyDescent="0.25" r="892" customHeight="1" ht="15.75">
      <c r="A892" s="34"/>
      <c r="B892" s="29"/>
      <c r="C892" s="29"/>
      <c r="D892" s="29"/>
      <c r="E892" s="29"/>
      <c r="F892" s="29"/>
      <c r="G892" s="29"/>
      <c r="H892" s="34"/>
    </row>
    <row x14ac:dyDescent="0.25" r="893" customHeight="1" ht="15.75">
      <c r="A893" s="34"/>
      <c r="B893" s="29"/>
      <c r="C893" s="29"/>
      <c r="D893" s="29"/>
      <c r="E893" s="29"/>
      <c r="F893" s="29"/>
      <c r="G893" s="29"/>
      <c r="H893" s="34"/>
    </row>
    <row x14ac:dyDescent="0.25" r="894" customHeight="1" ht="15.75">
      <c r="A894" s="34"/>
      <c r="B894" s="29"/>
      <c r="C894" s="29"/>
      <c r="D894" s="29"/>
      <c r="E894" s="29"/>
      <c r="F894" s="29"/>
      <c r="G894" s="29"/>
      <c r="H894" s="34"/>
    </row>
    <row x14ac:dyDescent="0.25" r="895" customHeight="1" ht="15.75">
      <c r="A895" s="34"/>
      <c r="B895" s="29"/>
      <c r="C895" s="29"/>
      <c r="D895" s="29"/>
      <c r="E895" s="29"/>
      <c r="F895" s="29"/>
      <c r="G895" s="29"/>
      <c r="H895" s="34"/>
    </row>
    <row x14ac:dyDescent="0.25" r="896" customHeight="1" ht="15.75">
      <c r="A896" s="34"/>
      <c r="B896" s="29"/>
      <c r="C896" s="29"/>
      <c r="D896" s="29"/>
      <c r="E896" s="29"/>
      <c r="F896" s="29"/>
      <c r="G896" s="29"/>
      <c r="H896" s="34"/>
    </row>
    <row x14ac:dyDescent="0.25" r="897" customHeight="1" ht="15.75">
      <c r="A897" s="34"/>
      <c r="B897" s="29"/>
      <c r="C897" s="29"/>
      <c r="D897" s="29"/>
      <c r="E897" s="29"/>
      <c r="F897" s="29"/>
      <c r="G897" s="29"/>
      <c r="H897" s="34"/>
    </row>
    <row x14ac:dyDescent="0.25" r="898" customHeight="1" ht="15.75">
      <c r="A898" s="34"/>
      <c r="B898" s="29"/>
      <c r="C898" s="29"/>
      <c r="D898" s="29"/>
      <c r="E898" s="29"/>
      <c r="F898" s="29"/>
      <c r="G898" s="29"/>
      <c r="H898" s="34"/>
    </row>
    <row x14ac:dyDescent="0.25" r="899" customHeight="1" ht="15.75">
      <c r="A899" s="34"/>
      <c r="B899" s="29"/>
      <c r="C899" s="29"/>
      <c r="D899" s="29"/>
      <c r="E899" s="29"/>
      <c r="F899" s="29"/>
      <c r="G899" s="29"/>
      <c r="H899" s="34"/>
    </row>
    <row x14ac:dyDescent="0.25" r="900" customHeight="1" ht="15.75">
      <c r="A900" s="34"/>
      <c r="B900" s="29"/>
      <c r="C900" s="29"/>
      <c r="D900" s="29"/>
      <c r="E900" s="29"/>
      <c r="F900" s="29"/>
      <c r="G900" s="29"/>
      <c r="H900" s="34"/>
    </row>
    <row x14ac:dyDescent="0.25" r="901" customHeight="1" ht="15.75">
      <c r="A901" s="34"/>
      <c r="B901" s="29"/>
      <c r="C901" s="29"/>
      <c r="D901" s="29"/>
      <c r="E901" s="29"/>
      <c r="F901" s="29"/>
      <c r="G901" s="29"/>
      <c r="H901" s="34"/>
    </row>
    <row x14ac:dyDescent="0.25" r="902" customHeight="1" ht="15.75">
      <c r="A902" s="34"/>
      <c r="B902" s="29"/>
      <c r="C902" s="29"/>
      <c r="D902" s="29"/>
      <c r="E902" s="29"/>
      <c r="F902" s="29"/>
      <c r="G902" s="29"/>
      <c r="H902" s="34"/>
    </row>
    <row x14ac:dyDescent="0.25" r="903" customHeight="1" ht="15.75">
      <c r="A903" s="34"/>
      <c r="B903" s="29"/>
      <c r="C903" s="29"/>
      <c r="D903" s="29"/>
      <c r="E903" s="29"/>
      <c r="F903" s="29"/>
      <c r="G903" s="29"/>
      <c r="H903" s="34"/>
    </row>
    <row x14ac:dyDescent="0.25" r="904" customHeight="1" ht="15.75">
      <c r="A904" s="34"/>
      <c r="B904" s="29"/>
      <c r="C904" s="29"/>
      <c r="D904" s="29"/>
      <c r="E904" s="29"/>
      <c r="F904" s="29"/>
      <c r="G904" s="29"/>
      <c r="H904" s="34"/>
    </row>
    <row x14ac:dyDescent="0.25" r="905" customHeight="1" ht="15.75">
      <c r="A905" s="34"/>
      <c r="B905" s="29"/>
      <c r="C905" s="29"/>
      <c r="D905" s="29"/>
      <c r="E905" s="29"/>
      <c r="F905" s="29"/>
      <c r="G905" s="29"/>
      <c r="H905" s="34"/>
    </row>
    <row x14ac:dyDescent="0.25" r="906" customHeight="1" ht="15.75">
      <c r="A906" s="34"/>
      <c r="B906" s="29"/>
      <c r="C906" s="29"/>
      <c r="D906" s="29"/>
      <c r="E906" s="29"/>
      <c r="F906" s="29"/>
      <c r="G906" s="29"/>
      <c r="H906" s="34"/>
    </row>
    <row x14ac:dyDescent="0.25" r="907" customHeight="1" ht="15.75">
      <c r="A907" s="34"/>
      <c r="B907" s="29"/>
      <c r="C907" s="29"/>
      <c r="D907" s="29"/>
      <c r="E907" s="29"/>
      <c r="F907" s="29"/>
      <c r="G907" s="29"/>
      <c r="H907" s="34"/>
    </row>
    <row x14ac:dyDescent="0.25" r="908" customHeight="1" ht="15.75">
      <c r="A908" s="34"/>
      <c r="B908" s="29"/>
      <c r="C908" s="29"/>
      <c r="D908" s="29"/>
      <c r="E908" s="29"/>
      <c r="F908" s="29"/>
      <c r="G908" s="29"/>
      <c r="H908" s="34"/>
    </row>
    <row x14ac:dyDescent="0.25" r="909" customHeight="1" ht="15.75">
      <c r="A909" s="34"/>
      <c r="B909" s="29"/>
      <c r="C909" s="29"/>
      <c r="D909" s="29"/>
      <c r="E909" s="29"/>
      <c r="F909" s="29"/>
      <c r="G909" s="29"/>
      <c r="H909" s="34"/>
    </row>
    <row x14ac:dyDescent="0.25" r="910" customHeight="1" ht="15.75">
      <c r="A910" s="34"/>
      <c r="B910" s="29"/>
      <c r="C910" s="29"/>
      <c r="D910" s="29"/>
      <c r="E910" s="29"/>
      <c r="F910" s="29"/>
      <c r="G910" s="29"/>
      <c r="H910" s="34"/>
    </row>
    <row x14ac:dyDescent="0.25" r="911" customHeight="1" ht="15.75">
      <c r="A911" s="34"/>
      <c r="B911" s="29"/>
      <c r="C911" s="29"/>
      <c r="D911" s="29"/>
      <c r="E911" s="29"/>
      <c r="F911" s="29"/>
      <c r="G911" s="29"/>
      <c r="H911" s="34"/>
    </row>
    <row x14ac:dyDescent="0.25" r="912" customHeight="1" ht="15.75">
      <c r="A912" s="34"/>
      <c r="B912" s="29"/>
      <c r="C912" s="29"/>
      <c r="D912" s="29"/>
      <c r="E912" s="29"/>
      <c r="F912" s="29"/>
      <c r="G912" s="29"/>
      <c r="H912" s="34"/>
    </row>
    <row x14ac:dyDescent="0.25" r="913" customHeight="1" ht="15.75">
      <c r="A913" s="34"/>
      <c r="B913" s="29"/>
      <c r="C913" s="29"/>
      <c r="D913" s="29"/>
      <c r="E913" s="29"/>
      <c r="F913" s="29"/>
      <c r="G913" s="29"/>
      <c r="H913" s="34"/>
    </row>
    <row x14ac:dyDescent="0.25" r="914" customHeight="1" ht="15.75">
      <c r="A914" s="34"/>
      <c r="B914" s="29"/>
      <c r="C914" s="29"/>
      <c r="D914" s="29"/>
      <c r="E914" s="29"/>
      <c r="F914" s="29"/>
      <c r="G914" s="29"/>
      <c r="H914" s="34"/>
    </row>
    <row x14ac:dyDescent="0.25" r="915" customHeight="1" ht="15.75">
      <c r="A915" s="34"/>
      <c r="B915" s="29"/>
      <c r="C915" s="29"/>
      <c r="D915" s="29"/>
      <c r="E915" s="29"/>
      <c r="F915" s="29"/>
      <c r="G915" s="29"/>
      <c r="H915" s="34"/>
    </row>
    <row x14ac:dyDescent="0.25" r="916" customHeight="1" ht="15.75">
      <c r="A916" s="34"/>
      <c r="B916" s="29"/>
      <c r="C916" s="29"/>
      <c r="D916" s="29"/>
      <c r="E916" s="29"/>
      <c r="F916" s="29"/>
      <c r="G916" s="29"/>
      <c r="H916" s="34"/>
    </row>
    <row x14ac:dyDescent="0.25" r="917" customHeight="1" ht="15.75">
      <c r="A917" s="34"/>
      <c r="B917" s="29"/>
      <c r="C917" s="29"/>
      <c r="D917" s="29"/>
      <c r="E917" s="29"/>
      <c r="F917" s="29"/>
      <c r="G917" s="29"/>
      <c r="H917" s="34"/>
    </row>
    <row x14ac:dyDescent="0.25" r="918" customHeight="1" ht="15.75">
      <c r="A918" s="34"/>
      <c r="B918" s="29"/>
      <c r="C918" s="29"/>
      <c r="D918" s="29"/>
      <c r="E918" s="29"/>
      <c r="F918" s="29"/>
      <c r="G918" s="29"/>
      <c r="H918" s="34"/>
    </row>
    <row x14ac:dyDescent="0.25" r="919" customHeight="1" ht="15.75">
      <c r="A919" s="34"/>
      <c r="B919" s="29"/>
      <c r="C919" s="29"/>
      <c r="D919" s="29"/>
      <c r="E919" s="29"/>
      <c r="F919" s="29"/>
      <c r="G919" s="29"/>
      <c r="H919" s="34"/>
    </row>
    <row x14ac:dyDescent="0.25" r="920" customHeight="1" ht="15.75">
      <c r="A920" s="34"/>
      <c r="B920" s="29"/>
      <c r="C920" s="29"/>
      <c r="D920" s="29"/>
      <c r="E920" s="29"/>
      <c r="F920" s="29"/>
      <c r="G920" s="29"/>
      <c r="H920" s="34"/>
    </row>
    <row x14ac:dyDescent="0.25" r="921" customHeight="1" ht="15.75">
      <c r="A921" s="34"/>
      <c r="B921" s="29"/>
      <c r="C921" s="29"/>
      <c r="D921" s="29"/>
      <c r="E921" s="29"/>
      <c r="F921" s="29"/>
      <c r="G921" s="29"/>
      <c r="H921" s="34"/>
    </row>
    <row x14ac:dyDescent="0.25" r="922" customHeight="1" ht="15.75">
      <c r="A922" s="34"/>
      <c r="B922" s="29"/>
      <c r="C922" s="29"/>
      <c r="D922" s="29"/>
      <c r="E922" s="29"/>
      <c r="F922" s="29"/>
      <c r="G922" s="29"/>
      <c r="H922" s="34"/>
    </row>
    <row x14ac:dyDescent="0.25" r="923" customHeight="1" ht="15.75">
      <c r="A923" s="34"/>
      <c r="B923" s="29"/>
      <c r="C923" s="29"/>
      <c r="D923" s="29"/>
      <c r="E923" s="29"/>
      <c r="F923" s="29"/>
      <c r="G923" s="29"/>
      <c r="H923" s="34"/>
    </row>
    <row x14ac:dyDescent="0.25" r="924" customHeight="1" ht="15.75">
      <c r="A924" s="34"/>
      <c r="B924" s="29"/>
      <c r="C924" s="29"/>
      <c r="D924" s="29"/>
      <c r="E924" s="29"/>
      <c r="F924" s="29"/>
      <c r="G924" s="29"/>
      <c r="H924" s="34"/>
    </row>
    <row x14ac:dyDescent="0.25" r="925" customHeight="1" ht="15.75">
      <c r="A925" s="34"/>
      <c r="B925" s="29"/>
      <c r="C925" s="29"/>
      <c r="D925" s="29"/>
      <c r="E925" s="29"/>
      <c r="F925" s="29"/>
      <c r="G925" s="29"/>
      <c r="H925" s="34"/>
    </row>
    <row x14ac:dyDescent="0.25" r="926" customHeight="1" ht="15.75">
      <c r="A926" s="34"/>
      <c r="B926" s="29"/>
      <c r="C926" s="29"/>
      <c r="D926" s="29"/>
      <c r="E926" s="29"/>
      <c r="F926" s="29"/>
      <c r="G926" s="29"/>
      <c r="H926" s="34"/>
    </row>
    <row x14ac:dyDescent="0.25" r="927" customHeight="1" ht="15.75">
      <c r="A927" s="34"/>
      <c r="B927" s="29"/>
      <c r="C927" s="29"/>
      <c r="D927" s="29"/>
      <c r="E927" s="29"/>
      <c r="F927" s="29"/>
      <c r="G927" s="29"/>
      <c r="H927" s="34"/>
    </row>
    <row x14ac:dyDescent="0.25" r="928" customHeight="1" ht="15.75">
      <c r="A928" s="34"/>
      <c r="B928" s="29"/>
      <c r="C928" s="29"/>
      <c r="D928" s="29"/>
      <c r="E928" s="29"/>
      <c r="F928" s="29"/>
      <c r="G928" s="29"/>
      <c r="H928" s="34"/>
    </row>
    <row x14ac:dyDescent="0.25" r="929" customHeight="1" ht="15.75">
      <c r="A929" s="34"/>
      <c r="B929" s="29"/>
      <c r="C929" s="29"/>
      <c r="D929" s="29"/>
      <c r="E929" s="29"/>
      <c r="F929" s="29"/>
      <c r="G929" s="29"/>
      <c r="H929" s="34"/>
    </row>
    <row x14ac:dyDescent="0.25" r="930" customHeight="1" ht="15.75">
      <c r="A930" s="34"/>
      <c r="B930" s="29"/>
      <c r="C930" s="29"/>
      <c r="D930" s="29"/>
      <c r="E930" s="29"/>
      <c r="F930" s="29"/>
      <c r="G930" s="29"/>
      <c r="H930" s="34"/>
    </row>
    <row x14ac:dyDescent="0.25" r="931" customHeight="1" ht="15.75">
      <c r="A931" s="34"/>
      <c r="B931" s="29"/>
      <c r="C931" s="29"/>
      <c r="D931" s="29"/>
      <c r="E931" s="29"/>
      <c r="F931" s="29"/>
      <c r="G931" s="29"/>
      <c r="H931" s="34"/>
    </row>
    <row x14ac:dyDescent="0.25" r="932" customHeight="1" ht="15.75">
      <c r="A932" s="34"/>
      <c r="B932" s="29"/>
      <c r="C932" s="29"/>
      <c r="D932" s="29"/>
      <c r="E932" s="29"/>
      <c r="F932" s="29"/>
      <c r="G932" s="29"/>
      <c r="H932" s="34"/>
    </row>
    <row x14ac:dyDescent="0.25" r="933" customHeight="1" ht="15.75">
      <c r="A933" s="34"/>
      <c r="B933" s="29"/>
      <c r="C933" s="29"/>
      <c r="D933" s="29"/>
      <c r="E933" s="29"/>
      <c r="F933" s="29"/>
      <c r="G933" s="29"/>
      <c r="H933" s="34"/>
    </row>
    <row x14ac:dyDescent="0.25" r="934" customHeight="1" ht="15.75">
      <c r="A934" s="34"/>
      <c r="B934" s="29"/>
      <c r="C934" s="29"/>
      <c r="D934" s="29"/>
      <c r="E934" s="29"/>
      <c r="F934" s="29"/>
      <c r="G934" s="29"/>
      <c r="H934" s="34"/>
    </row>
    <row x14ac:dyDescent="0.25" r="935" customHeight="1" ht="15.75">
      <c r="A935" s="34"/>
      <c r="B935" s="29"/>
      <c r="C935" s="29"/>
      <c r="D935" s="29"/>
      <c r="E935" s="29"/>
      <c r="F935" s="29"/>
      <c r="G935" s="29"/>
      <c r="H935" s="34"/>
    </row>
    <row x14ac:dyDescent="0.25" r="936" customHeight="1" ht="15.75">
      <c r="A936" s="34"/>
      <c r="B936" s="29"/>
      <c r="C936" s="29"/>
      <c r="D936" s="29"/>
      <c r="E936" s="29"/>
      <c r="F936" s="29"/>
      <c r="G936" s="29"/>
      <c r="H936" s="34"/>
    </row>
    <row x14ac:dyDescent="0.25" r="937" customHeight="1" ht="15.75">
      <c r="A937" s="34"/>
      <c r="B937" s="29"/>
      <c r="C937" s="29"/>
      <c r="D937" s="29"/>
      <c r="E937" s="29"/>
      <c r="F937" s="29"/>
      <c r="G937" s="29"/>
      <c r="H937" s="34"/>
    </row>
    <row x14ac:dyDescent="0.25" r="938" customHeight="1" ht="15.75">
      <c r="A938" s="34"/>
      <c r="B938" s="29"/>
      <c r="C938" s="29"/>
      <c r="D938" s="29"/>
      <c r="E938" s="29"/>
      <c r="F938" s="29"/>
      <c r="G938" s="29"/>
      <c r="H938" s="34"/>
    </row>
    <row x14ac:dyDescent="0.25" r="939" customHeight="1" ht="15.75">
      <c r="A939" s="34"/>
      <c r="B939" s="29"/>
      <c r="C939" s="29"/>
      <c r="D939" s="29"/>
      <c r="E939" s="29"/>
      <c r="F939" s="29"/>
      <c r="G939" s="29"/>
      <c r="H939" s="34"/>
    </row>
    <row x14ac:dyDescent="0.25" r="940" customHeight="1" ht="15.75">
      <c r="A940" s="34"/>
      <c r="B940" s="29"/>
      <c r="C940" s="29"/>
      <c r="D940" s="29"/>
      <c r="E940" s="29"/>
      <c r="F940" s="29"/>
      <c r="G940" s="29"/>
      <c r="H940" s="34"/>
    </row>
    <row x14ac:dyDescent="0.25" r="941" customHeight="1" ht="15.75">
      <c r="A941" s="34"/>
      <c r="B941" s="29"/>
      <c r="C941" s="29"/>
      <c r="D941" s="29"/>
      <c r="E941" s="29"/>
      <c r="F941" s="29"/>
      <c r="G941" s="29"/>
      <c r="H941" s="34"/>
    </row>
    <row x14ac:dyDescent="0.25" r="942" customHeight="1" ht="15.75">
      <c r="A942" s="34"/>
      <c r="B942" s="29"/>
      <c r="C942" s="29"/>
      <c r="D942" s="29"/>
      <c r="E942" s="29"/>
      <c r="F942" s="29"/>
      <c r="G942" s="29"/>
      <c r="H942" s="34"/>
    </row>
    <row x14ac:dyDescent="0.25" r="943" customHeight="1" ht="15.75">
      <c r="A943" s="34"/>
      <c r="B943" s="29"/>
      <c r="C943" s="29"/>
      <c r="D943" s="29"/>
      <c r="E943" s="29"/>
      <c r="F943" s="29"/>
      <c r="G943" s="29"/>
      <c r="H943" s="34"/>
    </row>
    <row x14ac:dyDescent="0.25" r="944" customHeight="1" ht="15.75">
      <c r="A944" s="34"/>
      <c r="B944" s="29"/>
      <c r="C944" s="29"/>
      <c r="D944" s="29"/>
      <c r="E944" s="29"/>
      <c r="F944" s="29"/>
      <c r="G944" s="29"/>
      <c r="H944" s="34"/>
    </row>
    <row x14ac:dyDescent="0.25" r="945" customHeight="1" ht="15.75">
      <c r="A945" s="34"/>
      <c r="B945" s="29"/>
      <c r="C945" s="29"/>
      <c r="D945" s="29"/>
      <c r="E945" s="29"/>
      <c r="F945" s="29"/>
      <c r="G945" s="29"/>
      <c r="H945" s="34"/>
    </row>
    <row x14ac:dyDescent="0.25" r="946" customHeight="1" ht="15.75">
      <c r="A946" s="34"/>
      <c r="B946" s="29"/>
      <c r="C946" s="29"/>
      <c r="D946" s="29"/>
      <c r="E946" s="29"/>
      <c r="F946" s="29"/>
      <c r="G946" s="29"/>
      <c r="H946" s="34"/>
    </row>
    <row x14ac:dyDescent="0.25" r="947" customHeight="1" ht="15.75">
      <c r="A947" s="34"/>
      <c r="B947" s="29"/>
      <c r="C947" s="29"/>
      <c r="D947" s="29"/>
      <c r="E947" s="29"/>
      <c r="F947" s="29"/>
      <c r="G947" s="29"/>
      <c r="H947" s="34"/>
    </row>
    <row x14ac:dyDescent="0.25" r="948" customHeight="1" ht="15.75">
      <c r="A948" s="34"/>
      <c r="B948" s="29"/>
      <c r="C948" s="29"/>
      <c r="D948" s="29"/>
      <c r="E948" s="29"/>
      <c r="F948" s="29"/>
      <c r="G948" s="29"/>
      <c r="H948" s="34"/>
    </row>
    <row x14ac:dyDescent="0.25" r="949" customHeight="1" ht="15.75">
      <c r="A949" s="34"/>
      <c r="B949" s="29"/>
      <c r="C949" s="29"/>
      <c r="D949" s="29"/>
      <c r="E949" s="29"/>
      <c r="F949" s="29"/>
      <c r="G949" s="29"/>
      <c r="H949" s="34"/>
    </row>
    <row x14ac:dyDescent="0.25" r="950" customHeight="1" ht="15.75">
      <c r="A950" s="34"/>
      <c r="B950" s="29"/>
      <c r="C950" s="29"/>
      <c r="D950" s="29"/>
      <c r="E950" s="29"/>
      <c r="F950" s="29"/>
      <c r="G950" s="29"/>
      <c r="H950" s="34"/>
    </row>
    <row x14ac:dyDescent="0.25" r="951" customHeight="1" ht="15.75">
      <c r="A951" s="34"/>
      <c r="B951" s="29"/>
      <c r="C951" s="29"/>
      <c r="D951" s="29"/>
      <c r="E951" s="29"/>
      <c r="F951" s="29"/>
      <c r="G951" s="29"/>
      <c r="H951" s="34"/>
    </row>
    <row x14ac:dyDescent="0.25" r="952" customHeight="1" ht="15.75">
      <c r="A952" s="34"/>
      <c r="B952" s="29"/>
      <c r="C952" s="29"/>
      <c r="D952" s="29"/>
      <c r="E952" s="29"/>
      <c r="F952" s="29"/>
      <c r="G952" s="29"/>
      <c r="H952" s="34"/>
    </row>
    <row x14ac:dyDescent="0.25" r="953" customHeight="1" ht="15.75">
      <c r="A953" s="34"/>
      <c r="B953" s="29"/>
      <c r="C953" s="29"/>
      <c r="D953" s="29"/>
      <c r="E953" s="29"/>
      <c r="F953" s="29"/>
      <c r="G953" s="29"/>
      <c r="H953" s="34"/>
    </row>
    <row x14ac:dyDescent="0.25" r="954" customHeight="1" ht="15.75">
      <c r="A954" s="34"/>
      <c r="B954" s="29"/>
      <c r="C954" s="29"/>
      <c r="D954" s="29"/>
      <c r="E954" s="29"/>
      <c r="F954" s="29"/>
      <c r="G954" s="29"/>
      <c r="H954" s="34"/>
    </row>
    <row x14ac:dyDescent="0.25" r="955" customHeight="1" ht="15.75">
      <c r="A955" s="34"/>
      <c r="B955" s="29"/>
      <c r="C955" s="29"/>
      <c r="D955" s="29"/>
      <c r="E955" s="29"/>
      <c r="F955" s="29"/>
      <c r="G955" s="29"/>
      <c r="H955" s="34"/>
    </row>
    <row x14ac:dyDescent="0.25" r="956" customHeight="1" ht="15.75">
      <c r="A956" s="34"/>
      <c r="B956" s="29"/>
      <c r="C956" s="29"/>
      <c r="D956" s="29"/>
      <c r="E956" s="29"/>
      <c r="F956" s="29"/>
      <c r="G956" s="29"/>
      <c r="H956" s="34"/>
    </row>
    <row x14ac:dyDescent="0.25" r="957" customHeight="1" ht="15.75">
      <c r="A957" s="34"/>
      <c r="B957" s="29"/>
      <c r="C957" s="29"/>
      <c r="D957" s="29"/>
      <c r="E957" s="29"/>
      <c r="F957" s="29"/>
      <c r="G957" s="29"/>
      <c r="H957" s="34"/>
    </row>
    <row x14ac:dyDescent="0.25" r="958" customHeight="1" ht="15.75">
      <c r="A958" s="34"/>
      <c r="B958" s="29"/>
      <c r="C958" s="29"/>
      <c r="D958" s="29"/>
      <c r="E958" s="29"/>
      <c r="F958" s="29"/>
      <c r="G958" s="29"/>
      <c r="H958" s="34"/>
    </row>
    <row x14ac:dyDescent="0.25" r="959" customHeight="1" ht="15.75">
      <c r="A959" s="34"/>
      <c r="B959" s="29"/>
      <c r="C959" s="29"/>
      <c r="D959" s="29"/>
      <c r="E959" s="29"/>
      <c r="F959" s="29"/>
      <c r="G959" s="29"/>
      <c r="H959" s="34"/>
    </row>
    <row x14ac:dyDescent="0.25" r="960" customHeight="1" ht="15.75">
      <c r="A960" s="34"/>
      <c r="B960" s="29"/>
      <c r="C960" s="29"/>
      <c r="D960" s="29"/>
      <c r="E960" s="29"/>
      <c r="F960" s="29"/>
      <c r="G960" s="29"/>
      <c r="H960" s="34"/>
    </row>
    <row x14ac:dyDescent="0.25" r="961" customHeight="1" ht="15.75">
      <c r="A961" s="34"/>
      <c r="B961" s="29"/>
      <c r="C961" s="29"/>
      <c r="D961" s="29"/>
      <c r="E961" s="29"/>
      <c r="F961" s="29"/>
      <c r="G961" s="29"/>
      <c r="H961" s="34"/>
    </row>
    <row x14ac:dyDescent="0.25" r="962" customHeight="1" ht="15.75">
      <c r="A962" s="34"/>
      <c r="B962" s="29"/>
      <c r="C962" s="29"/>
      <c r="D962" s="29"/>
      <c r="E962" s="29"/>
      <c r="F962" s="29"/>
      <c r="G962" s="29"/>
      <c r="H962" s="34"/>
    </row>
    <row x14ac:dyDescent="0.25" r="963" customHeight="1" ht="15.75">
      <c r="A963" s="34"/>
      <c r="B963" s="29"/>
      <c r="C963" s="29"/>
      <c r="D963" s="29"/>
      <c r="E963" s="29"/>
      <c r="F963" s="29"/>
      <c r="G963" s="29"/>
      <c r="H963" s="34"/>
    </row>
    <row x14ac:dyDescent="0.25" r="964" customHeight="1" ht="15.75">
      <c r="A964" s="34"/>
      <c r="B964" s="29"/>
      <c r="C964" s="29"/>
      <c r="D964" s="29"/>
      <c r="E964" s="29"/>
      <c r="F964" s="29"/>
      <c r="G964" s="29"/>
      <c r="H964" s="34"/>
    </row>
    <row x14ac:dyDescent="0.25" r="965" customHeight="1" ht="15.75">
      <c r="A965" s="34"/>
      <c r="B965" s="29"/>
      <c r="C965" s="29"/>
      <c r="D965" s="29"/>
      <c r="E965" s="29"/>
      <c r="F965" s="29"/>
      <c r="G965" s="29"/>
      <c r="H965" s="34"/>
    </row>
    <row x14ac:dyDescent="0.25" r="966" customHeight="1" ht="15.75">
      <c r="A966" s="34"/>
      <c r="B966" s="29"/>
      <c r="C966" s="29"/>
      <c r="D966" s="29"/>
      <c r="E966" s="29"/>
      <c r="F966" s="29"/>
      <c r="G966" s="29"/>
      <c r="H966" s="34"/>
    </row>
    <row x14ac:dyDescent="0.25" r="967" customHeight="1" ht="15.75">
      <c r="A967" s="34"/>
      <c r="B967" s="29"/>
      <c r="C967" s="29"/>
      <c r="D967" s="29"/>
      <c r="E967" s="29"/>
      <c r="F967" s="29"/>
      <c r="G967" s="29"/>
      <c r="H967" s="34"/>
    </row>
    <row x14ac:dyDescent="0.25" r="968" customHeight="1" ht="15.75">
      <c r="A968" s="34"/>
      <c r="B968" s="29"/>
      <c r="C968" s="29"/>
      <c r="D968" s="29"/>
      <c r="E968" s="29"/>
      <c r="F968" s="29"/>
      <c r="G968" s="29"/>
      <c r="H968" s="34"/>
    </row>
    <row x14ac:dyDescent="0.25" r="969" customHeight="1" ht="15.75">
      <c r="A969" s="34"/>
      <c r="B969" s="29"/>
      <c r="C969" s="29"/>
      <c r="D969" s="29"/>
      <c r="E969" s="29"/>
      <c r="F969" s="29"/>
      <c r="G969" s="29"/>
      <c r="H969" s="34"/>
    </row>
    <row x14ac:dyDescent="0.25" r="970" customHeight="1" ht="15.75">
      <c r="A970" s="34"/>
      <c r="B970" s="29"/>
      <c r="C970" s="29"/>
      <c r="D970" s="29"/>
      <c r="E970" s="29"/>
      <c r="F970" s="29"/>
      <c r="G970" s="29"/>
      <c r="H970" s="34"/>
    </row>
    <row x14ac:dyDescent="0.25" r="971" customHeight="1" ht="15.75">
      <c r="A971" s="34"/>
      <c r="B971" s="29"/>
      <c r="C971" s="29"/>
      <c r="D971" s="29"/>
      <c r="E971" s="29"/>
      <c r="F971" s="29"/>
      <c r="G971" s="29"/>
      <c r="H971" s="34"/>
    </row>
    <row x14ac:dyDescent="0.25" r="972" customHeight="1" ht="15.75">
      <c r="A972" s="34"/>
      <c r="B972" s="29"/>
      <c r="C972" s="29"/>
      <c r="D972" s="29"/>
      <c r="E972" s="29"/>
      <c r="F972" s="29"/>
      <c r="G972" s="29"/>
      <c r="H972" s="34"/>
    </row>
    <row x14ac:dyDescent="0.25" r="973" customHeight="1" ht="15.75">
      <c r="A973" s="34"/>
      <c r="B973" s="29"/>
      <c r="C973" s="29"/>
      <c r="D973" s="29"/>
      <c r="E973" s="29"/>
      <c r="F973" s="29"/>
      <c r="G973" s="29"/>
      <c r="H973" s="34"/>
    </row>
    <row x14ac:dyDescent="0.25" r="974" customHeight="1" ht="15.75">
      <c r="A974" s="34"/>
      <c r="B974" s="29"/>
      <c r="C974" s="29"/>
      <c r="D974" s="29"/>
      <c r="E974" s="29"/>
      <c r="F974" s="29"/>
      <c r="G974" s="29"/>
      <c r="H974" s="34"/>
    </row>
    <row x14ac:dyDescent="0.25" r="975" customHeight="1" ht="15.75">
      <c r="A975" s="34"/>
      <c r="B975" s="29"/>
      <c r="C975" s="29"/>
      <c r="D975" s="29"/>
      <c r="E975" s="29"/>
      <c r="F975" s="29"/>
      <c r="G975" s="29"/>
      <c r="H975" s="34"/>
    </row>
    <row x14ac:dyDescent="0.25" r="976" customHeight="1" ht="15.75">
      <c r="A976" s="34"/>
      <c r="B976" s="29"/>
      <c r="C976" s="29"/>
      <c r="D976" s="29"/>
      <c r="E976" s="29"/>
      <c r="F976" s="29"/>
      <c r="G976" s="29"/>
      <c r="H976" s="34"/>
    </row>
    <row x14ac:dyDescent="0.25" r="977" customHeight="1" ht="15.75">
      <c r="A977" s="34"/>
      <c r="B977" s="29"/>
      <c r="C977" s="29"/>
      <c r="D977" s="29"/>
      <c r="E977" s="29"/>
      <c r="F977" s="29"/>
      <c r="G977" s="29"/>
      <c r="H977" s="34"/>
    </row>
    <row x14ac:dyDescent="0.25" r="978" customHeight="1" ht="15.75">
      <c r="A978" s="34"/>
      <c r="B978" s="29"/>
      <c r="C978" s="29"/>
      <c r="D978" s="29"/>
      <c r="E978" s="29"/>
      <c r="F978" s="29"/>
      <c r="G978" s="29"/>
      <c r="H978" s="34"/>
    </row>
    <row x14ac:dyDescent="0.25" r="979" customHeight="1" ht="15.75">
      <c r="A979" s="34"/>
      <c r="B979" s="29"/>
      <c r="C979" s="29"/>
      <c r="D979" s="29"/>
      <c r="E979" s="29"/>
      <c r="F979" s="29"/>
      <c r="G979" s="29"/>
      <c r="H979" s="34"/>
    </row>
    <row x14ac:dyDescent="0.25" r="980" customHeight="1" ht="15.75">
      <c r="A980" s="34"/>
      <c r="B980" s="29"/>
      <c r="C980" s="29"/>
      <c r="D980" s="29"/>
      <c r="E980" s="29"/>
      <c r="F980" s="29"/>
      <c r="G980" s="29"/>
      <c r="H980" s="34"/>
    </row>
    <row x14ac:dyDescent="0.25" r="981" customHeight="1" ht="15.75">
      <c r="A981" s="34"/>
      <c r="B981" s="29"/>
      <c r="C981" s="29"/>
      <c r="D981" s="29"/>
      <c r="E981" s="29"/>
      <c r="F981" s="29"/>
      <c r="G981" s="29"/>
      <c r="H981" s="34"/>
    </row>
    <row x14ac:dyDescent="0.25" r="982" customHeight="1" ht="15.75">
      <c r="A982" s="34"/>
      <c r="B982" s="29"/>
      <c r="C982" s="29"/>
      <c r="D982" s="29"/>
      <c r="E982" s="29"/>
      <c r="F982" s="29"/>
      <c r="G982" s="29"/>
      <c r="H982" s="34"/>
    </row>
    <row x14ac:dyDescent="0.25" r="983" customHeight="1" ht="15.75">
      <c r="A983" s="34"/>
      <c r="B983" s="29"/>
      <c r="C983" s="29"/>
      <c r="D983" s="29"/>
      <c r="E983" s="29"/>
      <c r="F983" s="29"/>
      <c r="G983" s="29"/>
      <c r="H983" s="34"/>
    </row>
    <row x14ac:dyDescent="0.25" r="984" customHeight="1" ht="15.75">
      <c r="A984" s="34"/>
      <c r="B984" s="29"/>
      <c r="C984" s="29"/>
      <c r="D984" s="29"/>
      <c r="E984" s="29"/>
      <c r="F984" s="29"/>
      <c r="G984" s="29"/>
      <c r="H984" s="34"/>
    </row>
    <row x14ac:dyDescent="0.25" r="985" customHeight="1" ht="15.75">
      <c r="A985" s="34"/>
      <c r="B985" s="29"/>
      <c r="C985" s="29"/>
      <c r="D985" s="29"/>
      <c r="E985" s="29"/>
      <c r="F985" s="29"/>
      <c r="G985" s="29"/>
      <c r="H985" s="34"/>
    </row>
    <row x14ac:dyDescent="0.25" r="986" customHeight="1" ht="15.75">
      <c r="A986" s="34"/>
      <c r="B986" s="29"/>
      <c r="C986" s="29"/>
      <c r="D986" s="29"/>
      <c r="E986" s="29"/>
      <c r="F986" s="29"/>
      <c r="G986" s="29"/>
      <c r="H986" s="34"/>
    </row>
    <row x14ac:dyDescent="0.25" r="987" customHeight="1" ht="15.75">
      <c r="A987" s="34"/>
      <c r="B987" s="29"/>
      <c r="C987" s="29"/>
      <c r="D987" s="29"/>
      <c r="E987" s="29"/>
      <c r="F987" s="29"/>
      <c r="G987" s="29"/>
      <c r="H987" s="34"/>
    </row>
    <row x14ac:dyDescent="0.25" r="988" customHeight="1" ht="15.75">
      <c r="A988" s="34"/>
      <c r="B988" s="29"/>
      <c r="C988" s="29"/>
      <c r="D988" s="29"/>
      <c r="E988" s="29"/>
      <c r="F988" s="29"/>
      <c r="G988" s="29"/>
      <c r="H988" s="34"/>
    </row>
    <row x14ac:dyDescent="0.25" r="989" customHeight="1" ht="15.75">
      <c r="A989" s="34"/>
      <c r="B989" s="29"/>
      <c r="C989" s="29"/>
      <c r="D989" s="29"/>
      <c r="E989" s="29"/>
      <c r="F989" s="29"/>
      <c r="G989" s="29"/>
      <c r="H989" s="34"/>
    </row>
    <row x14ac:dyDescent="0.25" r="990" customHeight="1" ht="15.75">
      <c r="A990" s="34"/>
      <c r="B990" s="29"/>
      <c r="C990" s="29"/>
      <c r="D990" s="29"/>
      <c r="E990" s="29"/>
      <c r="F990" s="29"/>
      <c r="G990" s="29"/>
      <c r="H990" s="34"/>
    </row>
    <row x14ac:dyDescent="0.25" r="991" customHeight="1" ht="15.75">
      <c r="A991" s="34"/>
      <c r="B991" s="29"/>
      <c r="C991" s="29"/>
      <c r="D991" s="29"/>
      <c r="E991" s="29"/>
      <c r="F991" s="29"/>
      <c r="G991" s="29"/>
      <c r="H991" s="34"/>
    </row>
    <row x14ac:dyDescent="0.25" r="992" customHeight="1" ht="15.75">
      <c r="A992" s="34"/>
      <c r="B992" s="29"/>
      <c r="C992" s="29"/>
      <c r="D992" s="29"/>
      <c r="E992" s="29"/>
      <c r="F992" s="29"/>
      <c r="G992" s="29"/>
      <c r="H992" s="34"/>
    </row>
    <row x14ac:dyDescent="0.25" r="993" customHeight="1" ht="15.75">
      <c r="A993" s="34"/>
      <c r="B993" s="29"/>
      <c r="C993" s="29"/>
      <c r="D993" s="29"/>
      <c r="E993" s="29"/>
      <c r="F993" s="29"/>
      <c r="G993" s="29"/>
      <c r="H993" s="34"/>
    </row>
    <row x14ac:dyDescent="0.25" r="994" customHeight="1" ht="15.75">
      <c r="A994" s="34"/>
      <c r="B994" s="29"/>
      <c r="C994" s="29"/>
      <c r="D994" s="29"/>
      <c r="E994" s="29"/>
      <c r="F994" s="29"/>
      <c r="G994" s="29"/>
      <c r="H994" s="34"/>
    </row>
    <row x14ac:dyDescent="0.25" r="995" customHeight="1" ht="15.75">
      <c r="A995" s="34"/>
      <c r="B995" s="29"/>
      <c r="C995" s="29"/>
      <c r="D995" s="29"/>
      <c r="E995" s="29"/>
      <c r="F995" s="29"/>
      <c r="G995" s="29"/>
      <c r="H995" s="34"/>
    </row>
    <row x14ac:dyDescent="0.25" r="996" customHeight="1" ht="15.75">
      <c r="A996" s="34"/>
      <c r="B996" s="29"/>
      <c r="C996" s="29"/>
      <c r="D996" s="29"/>
      <c r="E996" s="29"/>
      <c r="F996" s="29"/>
      <c r="G996" s="29"/>
      <c r="H996" s="34"/>
    </row>
    <row x14ac:dyDescent="0.25" r="997" customHeight="1" ht="15.75">
      <c r="A997" s="34"/>
      <c r="B997" s="29"/>
      <c r="C997" s="29"/>
      <c r="D997" s="29"/>
      <c r="E997" s="29"/>
      <c r="F997" s="29"/>
      <c r="G997" s="29"/>
      <c r="H997" s="34"/>
    </row>
    <row x14ac:dyDescent="0.25" r="998" customHeight="1" ht="15.75">
      <c r="A998" s="34"/>
      <c r="B998" s="29"/>
      <c r="C998" s="29"/>
      <c r="D998" s="29"/>
      <c r="E998" s="29"/>
      <c r="F998" s="29"/>
      <c r="G998" s="29"/>
      <c r="H998" s="34"/>
    </row>
    <row x14ac:dyDescent="0.25" r="999" customHeight="1" ht="15.75">
      <c r="A999" s="34"/>
      <c r="B999" s="29"/>
      <c r="C999" s="29"/>
      <c r="D999" s="29"/>
      <c r="E999" s="29"/>
      <c r="F999" s="29"/>
      <c r="G999" s="29"/>
      <c r="H999" s="34"/>
    </row>
    <row x14ac:dyDescent="0.25" r="1000" customHeight="1" ht="15.75">
      <c r="A1000" s="34"/>
      <c r="B1000" s="29"/>
      <c r="C1000" s="29"/>
      <c r="D1000" s="29"/>
      <c r="E1000" s="29"/>
      <c r="F1000" s="29"/>
      <c r="G1000" s="29"/>
      <c r="H1000" s="34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979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21" width="13.290714285714287" customWidth="1" bestFit="1"/>
    <col min="2" max="2" style="36" width="4.147857142857143" customWidth="1" bestFit="1"/>
    <col min="3" max="3" style="36" width="12.862142857142858" customWidth="1" bestFit="1"/>
    <col min="4" max="4" style="36" width="14.005" customWidth="1" bestFit="1"/>
    <col min="5" max="5" style="36" width="14.43357142857143" customWidth="1" bestFit="1"/>
    <col min="6" max="6" style="36" width="18.14785714285714" customWidth="1" bestFit="1"/>
    <col min="7" max="7" style="36" width="45.14785714285715" customWidth="1" bestFit="1"/>
    <col min="8" max="8" style="36" width="8.005" customWidth="1" bestFit="1"/>
    <col min="9" max="9" style="37" width="10.005" customWidth="1" bestFit="1"/>
    <col min="10" max="10" style="37" width="10.576428571428572" customWidth="1" bestFit="1"/>
    <col min="11" max="11" style="37" width="10.576428571428572" customWidth="1" bestFit="1"/>
    <col min="12" max="12" style="37" width="9.862142857142858" customWidth="1" bestFit="1"/>
    <col min="13" max="13" style="36" width="5.862142857142857" customWidth="1" bestFit="1"/>
    <col min="14" max="14" style="36" width="3.5764285714285715" customWidth="1" bestFit="1"/>
    <col min="15" max="15" style="37" width="15.147857142857141" customWidth="1" bestFit="1"/>
    <col min="16" max="16" style="37" width="11.43357142857143" customWidth="1" bestFit="1"/>
    <col min="17" max="17" style="37" width="11.43357142857143" customWidth="1" bestFit="1"/>
    <col min="18" max="18" style="37" width="11.43357142857143" customWidth="1" bestFit="1"/>
    <col min="19" max="19" style="37" width="11.43357142857143" customWidth="1" bestFit="1"/>
    <col min="20" max="20" style="21" width="12.290714285714287" customWidth="1" bestFit="1"/>
    <col min="21" max="21" style="67" width="11.43357142857143" customWidth="1" bestFit="1"/>
    <col min="22" max="22" style="21" width="12.43357142857143" customWidth="1" bestFit="1"/>
    <col min="23" max="23" style="37" width="16.576428571428572" customWidth="1" bestFit="1"/>
    <col min="24" max="24" style="21" width="11.43357142857143" customWidth="1" bestFit="1"/>
    <col min="25" max="25" style="37" width="11.43357142857143" customWidth="1" bestFit="1"/>
  </cols>
  <sheetData>
    <row x14ac:dyDescent="0.25" r="1" customHeight="1" ht="19.5">
      <c r="A1" s="152" t="s">
        <v>1</v>
      </c>
      <c r="B1" s="26" t="s">
        <v>3</v>
      </c>
      <c r="C1" s="26" t="s">
        <v>2</v>
      </c>
      <c r="D1" s="26" t="s">
        <v>4</v>
      </c>
      <c r="E1" s="26" t="s">
        <v>5</v>
      </c>
      <c r="F1" s="26" t="s">
        <v>6</v>
      </c>
      <c r="G1" s="26" t="s">
        <v>7</v>
      </c>
      <c r="H1" s="26" t="s">
        <v>8</v>
      </c>
      <c r="I1" s="27" t="s">
        <v>5275</v>
      </c>
      <c r="J1" s="27" t="s">
        <v>10</v>
      </c>
      <c r="K1" s="27" t="s">
        <v>11</v>
      </c>
      <c r="L1" s="27" t="s">
        <v>12</v>
      </c>
      <c r="M1" s="26" t="s">
        <v>13</v>
      </c>
      <c r="N1" s="26" t="s">
        <v>14</v>
      </c>
      <c r="O1" s="27" t="s">
        <v>15</v>
      </c>
      <c r="P1" s="27" t="s">
        <v>16</v>
      </c>
      <c r="Q1" s="27" t="s">
        <v>17</v>
      </c>
      <c r="R1" s="27" t="s">
        <v>1662</v>
      </c>
      <c r="S1" s="27" t="s">
        <v>1663</v>
      </c>
      <c r="T1" s="152" t="s">
        <v>1664</v>
      </c>
      <c r="U1" s="26" t="s">
        <v>1665</v>
      </c>
      <c r="V1" s="152" t="s">
        <v>20</v>
      </c>
      <c r="W1" s="574"/>
      <c r="X1" s="2"/>
      <c r="Y1" s="29"/>
    </row>
    <row x14ac:dyDescent="0.25" r="2" customHeight="1" ht="19.5">
      <c r="A2" s="478">
        <v>45665</v>
      </c>
      <c r="B2" s="14" t="s">
        <v>46</v>
      </c>
      <c r="C2" s="14" t="s">
        <v>5773</v>
      </c>
      <c r="D2" s="14" t="s">
        <v>47</v>
      </c>
      <c r="E2" s="14" t="s">
        <v>5774</v>
      </c>
      <c r="F2" s="14" t="s">
        <v>48</v>
      </c>
      <c r="G2" s="14" t="s">
        <v>5775</v>
      </c>
      <c r="H2" s="14" t="s">
        <v>26</v>
      </c>
      <c r="I2" s="17"/>
      <c r="J2" s="69">
        <v>725950</v>
      </c>
      <c r="K2" s="17">
        <v>660020</v>
      </c>
      <c r="L2" s="17">
        <f>J2-K2</f>
      </c>
      <c r="M2" s="14" t="s">
        <v>50</v>
      </c>
      <c r="N2" s="14" t="s">
        <v>5776</v>
      </c>
      <c r="O2" s="17">
        <v>4</v>
      </c>
      <c r="P2" s="17"/>
      <c r="Q2" s="17"/>
      <c r="R2" s="17">
        <v>725950</v>
      </c>
      <c r="S2" s="17">
        <f>J2-P2-R2</f>
      </c>
      <c r="T2" s="293">
        <v>45763</v>
      </c>
      <c r="U2" s="14" t="s">
        <v>2216</v>
      </c>
      <c r="V2" s="161" t="s">
        <v>4954</v>
      </c>
      <c r="W2" s="29"/>
      <c r="X2" s="2"/>
      <c r="Y2" s="29"/>
    </row>
    <row x14ac:dyDescent="0.25" r="3" customHeight="1" ht="19.5">
      <c r="A3" s="478">
        <v>45671</v>
      </c>
      <c r="B3" s="14" t="s">
        <v>82</v>
      </c>
      <c r="C3" s="14" t="s">
        <v>531</v>
      </c>
      <c r="D3" s="14" t="s">
        <v>83</v>
      </c>
      <c r="E3" s="14" t="s">
        <v>532</v>
      </c>
      <c r="F3" s="14" t="s">
        <v>533</v>
      </c>
      <c r="G3" s="14" t="s">
        <v>534</v>
      </c>
      <c r="H3" s="14" t="s">
        <v>26</v>
      </c>
      <c r="I3" s="17">
        <v>36840</v>
      </c>
      <c r="J3" s="69">
        <v>124940</v>
      </c>
      <c r="K3" s="485">
        <v>106740</v>
      </c>
      <c r="L3" s="17">
        <f>J3-K3</f>
      </c>
      <c r="M3" s="14" t="s">
        <v>536</v>
      </c>
      <c r="N3" s="14" t="s">
        <v>537</v>
      </c>
      <c r="O3" s="65"/>
      <c r="P3" s="17"/>
      <c r="Q3" s="17"/>
      <c r="R3" s="17">
        <v>124940</v>
      </c>
      <c r="S3" s="17">
        <f>J3-P3-R3</f>
      </c>
      <c r="T3" s="293">
        <v>45734</v>
      </c>
      <c r="U3" s="14" t="s">
        <v>2216</v>
      </c>
      <c r="V3" s="161" t="s">
        <v>5308</v>
      </c>
      <c r="W3" s="29"/>
      <c r="X3" s="2"/>
      <c r="Y3" s="29"/>
    </row>
    <row x14ac:dyDescent="0.25" r="4" customHeight="1" ht="19.5">
      <c r="A4" s="478">
        <v>45679</v>
      </c>
      <c r="B4" s="14" t="s">
        <v>53</v>
      </c>
      <c r="C4" s="14" t="s">
        <v>5777</v>
      </c>
      <c r="D4" s="14" t="s">
        <v>54</v>
      </c>
      <c r="E4" s="14" t="s">
        <v>5778</v>
      </c>
      <c r="F4" s="14" t="s">
        <v>533</v>
      </c>
      <c r="G4" s="14" t="s">
        <v>5000</v>
      </c>
      <c r="H4" s="14" t="s">
        <v>26</v>
      </c>
      <c r="I4" s="17"/>
      <c r="J4" s="69">
        <v>2245950</v>
      </c>
      <c r="K4" s="17">
        <v>1925420</v>
      </c>
      <c r="L4" s="17">
        <f>J4-K4</f>
      </c>
      <c r="M4" s="14" t="s">
        <v>137</v>
      </c>
      <c r="N4" s="14" t="s">
        <v>5779</v>
      </c>
      <c r="O4" s="65"/>
      <c r="P4" s="17"/>
      <c r="Q4" s="17"/>
      <c r="R4" s="17">
        <v>2245950</v>
      </c>
      <c r="S4" s="17">
        <f>J4-P4-R4</f>
      </c>
      <c r="T4" s="293">
        <v>45734</v>
      </c>
      <c r="U4" s="14" t="s">
        <v>2216</v>
      </c>
      <c r="V4" s="161" t="s">
        <v>5308</v>
      </c>
      <c r="W4" s="29"/>
      <c r="X4" s="2"/>
      <c r="Y4" s="29"/>
    </row>
    <row x14ac:dyDescent="0.25" r="5" customHeight="1" ht="19.5">
      <c r="A5" s="478">
        <v>45681</v>
      </c>
      <c r="B5" s="14"/>
      <c r="C5" s="14"/>
      <c r="D5" s="14"/>
      <c r="E5" s="14" t="s">
        <v>5780</v>
      </c>
      <c r="F5" s="14" t="s">
        <v>533</v>
      </c>
      <c r="G5" s="14" t="s">
        <v>5000</v>
      </c>
      <c r="H5" s="14" t="s">
        <v>26</v>
      </c>
      <c r="I5" s="17"/>
      <c r="J5" s="69">
        <v>56000</v>
      </c>
      <c r="K5" s="17">
        <v>32000</v>
      </c>
      <c r="L5" s="17">
        <f>J5-K5</f>
      </c>
      <c r="M5" s="14"/>
      <c r="N5" s="14"/>
      <c r="O5" s="65" t="s">
        <v>5781</v>
      </c>
      <c r="P5" s="17"/>
      <c r="Q5" s="17"/>
      <c r="R5" s="17">
        <v>56000</v>
      </c>
      <c r="S5" s="17">
        <f>J5-P5-R5</f>
      </c>
      <c r="T5" s="293">
        <v>45734</v>
      </c>
      <c r="U5" s="14" t="s">
        <v>2216</v>
      </c>
      <c r="V5" s="161" t="s">
        <v>5308</v>
      </c>
      <c r="W5" s="29"/>
      <c r="X5" s="2"/>
      <c r="Y5" s="29"/>
    </row>
    <row x14ac:dyDescent="0.25" r="6" customHeight="1" ht="19.5">
      <c r="A6" s="478">
        <v>45687</v>
      </c>
      <c r="B6" s="14"/>
      <c r="C6" s="14"/>
      <c r="D6" s="14"/>
      <c r="E6" s="14" t="s">
        <v>5782</v>
      </c>
      <c r="F6" s="14" t="s">
        <v>533</v>
      </c>
      <c r="G6" s="14" t="s">
        <v>5000</v>
      </c>
      <c r="H6" s="14"/>
      <c r="I6" s="17"/>
      <c r="J6" s="69">
        <v>946900</v>
      </c>
      <c r="K6" s="17"/>
      <c r="L6" s="17"/>
      <c r="M6" s="14"/>
      <c r="N6" s="14"/>
      <c r="O6" s="65" t="s">
        <v>5783</v>
      </c>
      <c r="P6" s="17"/>
      <c r="Q6" s="17"/>
      <c r="R6" s="17">
        <v>946900</v>
      </c>
      <c r="S6" s="17">
        <f>J6-P6-R6</f>
      </c>
      <c r="T6" s="293">
        <v>45734</v>
      </c>
      <c r="U6" s="14" t="s">
        <v>2216</v>
      </c>
      <c r="V6" s="161" t="s">
        <v>5308</v>
      </c>
      <c r="W6" s="29"/>
      <c r="X6" s="2"/>
      <c r="Y6" s="29"/>
    </row>
    <row x14ac:dyDescent="0.25" r="7" customHeight="1" ht="19.5">
      <c r="A7" s="478">
        <v>45676</v>
      </c>
      <c r="B7" s="14" t="s">
        <v>22</v>
      </c>
      <c r="C7" s="14" t="s">
        <v>5784</v>
      </c>
      <c r="D7" s="14" t="s">
        <v>485</v>
      </c>
      <c r="E7" s="14" t="s">
        <v>5785</v>
      </c>
      <c r="F7" s="14" t="s">
        <v>548</v>
      </c>
      <c r="G7" s="14" t="s">
        <v>5279</v>
      </c>
      <c r="H7" s="14" t="s">
        <v>26</v>
      </c>
      <c r="I7" s="17"/>
      <c r="J7" s="69">
        <v>149950</v>
      </c>
      <c r="K7" s="69">
        <v>118700</v>
      </c>
      <c r="L7" s="17">
        <f>J7-K7</f>
      </c>
      <c r="M7" s="14" t="s">
        <v>22</v>
      </c>
      <c r="N7" s="14" t="s">
        <v>5786</v>
      </c>
      <c r="O7" s="65"/>
      <c r="P7" s="17"/>
      <c r="Q7" s="17"/>
      <c r="R7" s="17">
        <v>148152</v>
      </c>
      <c r="S7" s="17">
        <f>J7-P7-R7</f>
      </c>
      <c r="T7" s="293">
        <v>45695</v>
      </c>
      <c r="U7" s="14" t="s">
        <v>2122</v>
      </c>
      <c r="V7" s="161"/>
      <c r="W7" s="29"/>
      <c r="X7" s="2"/>
      <c r="Y7" s="29"/>
    </row>
    <row x14ac:dyDescent="0.25" r="8" customHeight="1" ht="18">
      <c r="A8" s="478">
        <v>45677</v>
      </c>
      <c r="B8" s="14" t="s">
        <v>82</v>
      </c>
      <c r="C8" s="14" t="s">
        <v>545</v>
      </c>
      <c r="D8" s="14" t="s">
        <v>546</v>
      </c>
      <c r="E8" s="14" t="s">
        <v>547</v>
      </c>
      <c r="F8" s="14" t="s">
        <v>548</v>
      </c>
      <c r="G8" s="14" t="s">
        <v>494</v>
      </c>
      <c r="H8" s="14" t="s">
        <v>26</v>
      </c>
      <c r="I8" s="17"/>
      <c r="J8" s="69">
        <v>165950</v>
      </c>
      <c r="K8" s="69">
        <v>146140</v>
      </c>
      <c r="L8" s="17">
        <f>J8-K8</f>
      </c>
      <c r="M8" s="14" t="s">
        <v>86</v>
      </c>
      <c r="N8" s="14" t="s">
        <v>550</v>
      </c>
      <c r="O8" s="65"/>
      <c r="P8" s="17"/>
      <c r="Q8" s="17"/>
      <c r="R8" s="17">
        <v>164691</v>
      </c>
      <c r="S8" s="17">
        <f>J8-P8-R8</f>
      </c>
      <c r="T8" s="293">
        <v>45695</v>
      </c>
      <c r="U8" s="14" t="s">
        <v>2122</v>
      </c>
      <c r="V8" s="18"/>
      <c r="W8" s="29"/>
      <c r="X8" s="2"/>
      <c r="Y8" s="29"/>
    </row>
    <row x14ac:dyDescent="0.25" r="9" customHeight="1" ht="21.75">
      <c r="A9" s="478">
        <v>45680</v>
      </c>
      <c r="B9" s="14" t="s">
        <v>475</v>
      </c>
      <c r="C9" s="14" t="s">
        <v>476</v>
      </c>
      <c r="D9" s="14" t="s">
        <v>477</v>
      </c>
      <c r="E9" s="14" t="s">
        <v>5787</v>
      </c>
      <c r="F9" s="14" t="s">
        <v>4980</v>
      </c>
      <c r="G9" s="14" t="s">
        <v>478</v>
      </c>
      <c r="H9" s="14" t="s">
        <v>26</v>
      </c>
      <c r="I9" s="17"/>
      <c r="J9" s="69">
        <v>309093</v>
      </c>
      <c r="K9" s="17">
        <v>256093</v>
      </c>
      <c r="L9" s="17">
        <f>J9-K9</f>
      </c>
      <c r="M9" s="14" t="s">
        <v>475</v>
      </c>
      <c r="N9" s="70" t="s">
        <v>479</v>
      </c>
      <c r="O9" s="65"/>
      <c r="P9" s="17"/>
      <c r="Q9" s="17"/>
      <c r="R9" s="17">
        <v>306093</v>
      </c>
      <c r="S9" s="17">
        <f>J9-P9-R9</f>
      </c>
      <c r="T9" s="293">
        <v>45862</v>
      </c>
      <c r="U9" s="14" t="s">
        <v>2122</v>
      </c>
      <c r="V9" s="161"/>
      <c r="W9" s="29"/>
      <c r="X9" s="2"/>
      <c r="Y9" s="29"/>
    </row>
    <row x14ac:dyDescent="0.25" r="10" customHeight="1" ht="19.5">
      <c r="A10" s="478">
        <v>45680</v>
      </c>
      <c r="B10" s="14" t="s">
        <v>475</v>
      </c>
      <c r="C10" s="14" t="s">
        <v>476</v>
      </c>
      <c r="D10" s="14" t="s">
        <v>477</v>
      </c>
      <c r="E10" s="14" t="s">
        <v>5787</v>
      </c>
      <c r="F10" s="14" t="s">
        <v>4980</v>
      </c>
      <c r="G10" s="14" t="s">
        <v>480</v>
      </c>
      <c r="H10" s="14" t="s">
        <v>26</v>
      </c>
      <c r="I10" s="17"/>
      <c r="J10" s="69">
        <v>26857</v>
      </c>
      <c r="K10" s="17">
        <v>16857</v>
      </c>
      <c r="L10" s="17">
        <f>J10-K10</f>
      </c>
      <c r="M10" s="14" t="s">
        <v>475</v>
      </c>
      <c r="N10" s="70" t="s">
        <v>481</v>
      </c>
      <c r="O10" s="65"/>
      <c r="P10" s="17"/>
      <c r="Q10" s="17"/>
      <c r="R10" s="17">
        <v>26857</v>
      </c>
      <c r="S10" s="17">
        <f>J10-P10-R10</f>
      </c>
      <c r="T10" s="293">
        <v>45862</v>
      </c>
      <c r="U10" s="14" t="s">
        <v>2122</v>
      </c>
      <c r="V10" s="161"/>
      <c r="W10" s="29"/>
      <c r="X10" s="2"/>
      <c r="Y10" s="29"/>
    </row>
    <row x14ac:dyDescent="0.25" r="11" customHeight="1" ht="19.5">
      <c r="A11" s="478">
        <v>45686</v>
      </c>
      <c r="B11" s="14" t="s">
        <v>475</v>
      </c>
      <c r="C11" s="14" t="s">
        <v>484</v>
      </c>
      <c r="D11" s="14" t="s">
        <v>485</v>
      </c>
      <c r="E11" s="14" t="s">
        <v>5788</v>
      </c>
      <c r="F11" s="14" t="s">
        <v>4980</v>
      </c>
      <c r="G11" s="14" t="s">
        <v>478</v>
      </c>
      <c r="H11" s="14" t="s">
        <v>26</v>
      </c>
      <c r="I11" s="17"/>
      <c r="J11" s="69">
        <v>73900</v>
      </c>
      <c r="K11" s="17">
        <v>58000</v>
      </c>
      <c r="L11" s="17">
        <f>J11-K11</f>
      </c>
      <c r="M11" s="14" t="s">
        <v>475</v>
      </c>
      <c r="N11" s="14" t="s">
        <v>486</v>
      </c>
      <c r="O11" s="65" t="s">
        <v>251</v>
      </c>
      <c r="P11" s="17"/>
      <c r="Q11" s="17"/>
      <c r="R11" s="17">
        <v>73001</v>
      </c>
      <c r="S11" s="17">
        <f>J11-P11-R11</f>
      </c>
      <c r="T11" s="293">
        <v>45695</v>
      </c>
      <c r="U11" s="14" t="s">
        <v>2122</v>
      </c>
      <c r="V11" s="161"/>
      <c r="W11" s="29"/>
      <c r="X11" s="2"/>
      <c r="Y11" s="29"/>
    </row>
    <row x14ac:dyDescent="0.25" r="12" customHeight="1" ht="19.5">
      <c r="A12" s="478">
        <v>45686</v>
      </c>
      <c r="B12" s="14" t="s">
        <v>475</v>
      </c>
      <c r="C12" s="14" t="s">
        <v>484</v>
      </c>
      <c r="D12" s="14" t="s">
        <v>485</v>
      </c>
      <c r="E12" s="14" t="s">
        <v>5788</v>
      </c>
      <c r="F12" s="14" t="s">
        <v>4980</v>
      </c>
      <c r="G12" s="14" t="s">
        <v>480</v>
      </c>
      <c r="H12" s="14" t="s">
        <v>26</v>
      </c>
      <c r="I12" s="17"/>
      <c r="J12" s="69">
        <v>0</v>
      </c>
      <c r="K12" s="17">
        <v>0</v>
      </c>
      <c r="L12" s="17">
        <f>J12-K12</f>
      </c>
      <c r="M12" s="14" t="s">
        <v>475</v>
      </c>
      <c r="N12" s="14" t="s">
        <v>486</v>
      </c>
      <c r="O12" s="65" t="s">
        <v>251</v>
      </c>
      <c r="P12" s="17"/>
      <c r="Q12" s="17"/>
      <c r="R12" s="17"/>
      <c r="S12" s="17">
        <f>J12-P12-R12</f>
      </c>
      <c r="T12" s="293"/>
      <c r="U12" s="17"/>
      <c r="V12" s="161"/>
      <c r="W12" s="29"/>
      <c r="X12" s="2"/>
      <c r="Y12" s="29"/>
    </row>
    <row x14ac:dyDescent="0.25" r="13" customHeight="1" ht="19.5">
      <c r="A13" s="478">
        <v>45681</v>
      </c>
      <c r="B13" s="14"/>
      <c r="C13" s="14"/>
      <c r="D13" s="14"/>
      <c r="E13" s="14" t="s">
        <v>5789</v>
      </c>
      <c r="F13" s="14" t="s">
        <v>1673</v>
      </c>
      <c r="G13" s="14" t="s">
        <v>5425</v>
      </c>
      <c r="H13" s="14" t="s">
        <v>26</v>
      </c>
      <c r="I13" s="17"/>
      <c r="J13" s="69">
        <v>60000</v>
      </c>
      <c r="K13" s="17">
        <v>46000</v>
      </c>
      <c r="L13" s="17">
        <f>J13-K13</f>
      </c>
      <c r="M13" s="14"/>
      <c r="N13" s="14"/>
      <c r="O13" s="65" t="s">
        <v>2987</v>
      </c>
      <c r="P13" s="17"/>
      <c r="Q13" s="17"/>
      <c r="R13" s="17">
        <v>60000</v>
      </c>
      <c r="S13" s="17">
        <f>J13-P13-Q13-R13</f>
      </c>
      <c r="T13" s="293">
        <v>45676</v>
      </c>
      <c r="U13" s="14" t="s">
        <v>1718</v>
      </c>
      <c r="V13" s="161"/>
      <c r="W13" s="29"/>
      <c r="X13" s="2"/>
      <c r="Y13" s="29"/>
    </row>
    <row x14ac:dyDescent="0.25" r="14" customHeight="1" ht="19.5">
      <c r="A14" s="478">
        <v>45681</v>
      </c>
      <c r="B14" s="14" t="s">
        <v>53</v>
      </c>
      <c r="C14" s="14" t="s">
        <v>5790</v>
      </c>
      <c r="D14" s="14" t="s">
        <v>54</v>
      </c>
      <c r="E14" s="14" t="s">
        <v>5791</v>
      </c>
      <c r="F14" s="14" t="s">
        <v>1673</v>
      </c>
      <c r="G14" s="14" t="s">
        <v>5425</v>
      </c>
      <c r="H14" s="14" t="s">
        <v>26</v>
      </c>
      <c r="I14" s="17"/>
      <c r="J14" s="69">
        <v>2090000</v>
      </c>
      <c r="K14" s="17">
        <v>1925420</v>
      </c>
      <c r="L14" s="17">
        <f>J14-K14</f>
      </c>
      <c r="M14" s="14" t="s">
        <v>137</v>
      </c>
      <c r="N14" s="14" t="s">
        <v>5792</v>
      </c>
      <c r="O14" s="65"/>
      <c r="P14" s="17"/>
      <c r="Q14" s="17"/>
      <c r="R14" s="17">
        <v>2090000</v>
      </c>
      <c r="S14" s="17">
        <f>J14-P14-Q14-R14</f>
      </c>
      <c r="T14" s="293">
        <v>45676</v>
      </c>
      <c r="U14" s="14" t="s">
        <v>1718</v>
      </c>
      <c r="V14" s="161"/>
      <c r="W14" s="29"/>
      <c r="X14" s="2"/>
      <c r="Y14" s="29"/>
    </row>
    <row x14ac:dyDescent="0.25" r="15" customHeight="1" ht="19.5">
      <c r="A15" s="478">
        <v>45684</v>
      </c>
      <c r="B15" s="14" t="s">
        <v>53</v>
      </c>
      <c r="C15" s="14" t="s">
        <v>4668</v>
      </c>
      <c r="D15" s="14" t="s">
        <v>313</v>
      </c>
      <c r="E15" s="14" t="s">
        <v>5793</v>
      </c>
      <c r="F15" s="14" t="s">
        <v>1673</v>
      </c>
      <c r="G15" s="14" t="s">
        <v>5425</v>
      </c>
      <c r="H15" s="14" t="s">
        <v>26</v>
      </c>
      <c r="I15" s="17"/>
      <c r="J15" s="69">
        <v>189000</v>
      </c>
      <c r="K15" s="17">
        <v>164000</v>
      </c>
      <c r="L15" s="17">
        <f>J15-K15</f>
      </c>
      <c r="M15" s="14" t="s">
        <v>53</v>
      </c>
      <c r="N15" s="14" t="s">
        <v>5794</v>
      </c>
      <c r="O15" s="65"/>
      <c r="P15" s="17"/>
      <c r="Q15" s="17"/>
      <c r="R15" s="17">
        <v>189000</v>
      </c>
      <c r="S15" s="17">
        <f>J15-P15-Q15-R15</f>
      </c>
      <c r="T15" s="293">
        <v>45676</v>
      </c>
      <c r="U15" s="14" t="s">
        <v>1718</v>
      </c>
      <c r="V15" s="161"/>
      <c r="W15" s="29"/>
      <c r="X15" s="2"/>
      <c r="Y15" s="29"/>
    </row>
    <row x14ac:dyDescent="0.25" r="16" customHeight="1" ht="19.5">
      <c r="A16" s="478">
        <v>45666</v>
      </c>
      <c r="B16" s="14" t="s">
        <v>111</v>
      </c>
      <c r="C16" s="14" t="s">
        <v>5795</v>
      </c>
      <c r="D16" s="14" t="s">
        <v>5796</v>
      </c>
      <c r="E16" s="14" t="s">
        <v>5797</v>
      </c>
      <c r="F16" s="14" t="s">
        <v>271</v>
      </c>
      <c r="G16" s="14" t="s">
        <v>5798</v>
      </c>
      <c r="H16" s="14" t="s">
        <v>26</v>
      </c>
      <c r="I16" s="17">
        <v>222000</v>
      </c>
      <c r="J16" s="69">
        <v>498600</v>
      </c>
      <c r="K16" s="17">
        <v>445280</v>
      </c>
      <c r="L16" s="17">
        <f>J16-K16</f>
      </c>
      <c r="M16" s="14" t="s">
        <v>50</v>
      </c>
      <c r="N16" s="14" t="s">
        <v>5799</v>
      </c>
      <c r="O16" s="17">
        <v>2</v>
      </c>
      <c r="P16" s="17"/>
      <c r="Q16" s="17"/>
      <c r="R16" s="17">
        <v>498900</v>
      </c>
      <c r="S16" s="17">
        <f>J16-P16-R16</f>
      </c>
      <c r="T16" s="293">
        <v>45667</v>
      </c>
      <c r="U16" s="14" t="s">
        <v>2216</v>
      </c>
      <c r="V16" s="161" t="s">
        <v>5800</v>
      </c>
      <c r="W16" s="29"/>
      <c r="X16" s="2"/>
      <c r="Y16" s="29"/>
    </row>
    <row x14ac:dyDescent="0.25" r="17" customHeight="1" ht="19.5">
      <c r="A17" s="478">
        <v>45673</v>
      </c>
      <c r="B17" s="14" t="s">
        <v>53</v>
      </c>
      <c r="C17" s="14" t="s">
        <v>5801</v>
      </c>
      <c r="D17" s="14" t="s">
        <v>5802</v>
      </c>
      <c r="E17" s="14" t="s">
        <v>5803</v>
      </c>
      <c r="F17" s="14" t="s">
        <v>271</v>
      </c>
      <c r="G17" s="14" t="s">
        <v>5804</v>
      </c>
      <c r="H17" s="14" t="s">
        <v>26</v>
      </c>
      <c r="I17" s="17">
        <v>663800</v>
      </c>
      <c r="J17" s="69">
        <v>1168900</v>
      </c>
      <c r="K17" s="485">
        <v>1049782</v>
      </c>
      <c r="L17" s="17">
        <f>J17-K17</f>
      </c>
      <c r="M17" s="14" t="s">
        <v>50</v>
      </c>
      <c r="N17" s="14" t="s">
        <v>5805</v>
      </c>
      <c r="O17" s="17">
        <v>6</v>
      </c>
      <c r="P17" s="17"/>
      <c r="Q17" s="17"/>
      <c r="R17" s="17">
        <v>1168900</v>
      </c>
      <c r="S17" s="17">
        <f>J17-P17-R17</f>
      </c>
      <c r="T17" s="293">
        <v>45688</v>
      </c>
      <c r="U17" s="14" t="s">
        <v>2216</v>
      </c>
      <c r="V17" s="161" t="s">
        <v>5806</v>
      </c>
      <c r="W17" s="29"/>
      <c r="X17" s="2"/>
      <c r="Y17" s="29"/>
    </row>
    <row x14ac:dyDescent="0.25" r="18" customHeight="1" ht="19.5">
      <c r="A18" s="478">
        <v>45665</v>
      </c>
      <c r="B18" s="14" t="s">
        <v>82</v>
      </c>
      <c r="C18" s="14" t="s">
        <v>524</v>
      </c>
      <c r="D18" s="14" t="s">
        <v>525</v>
      </c>
      <c r="E18" s="14" t="s">
        <v>526</v>
      </c>
      <c r="F18" s="14" t="s">
        <v>84</v>
      </c>
      <c r="G18" s="14" t="s">
        <v>5807</v>
      </c>
      <c r="H18" s="14" t="s">
        <v>26</v>
      </c>
      <c r="I18" s="17">
        <v>59340</v>
      </c>
      <c r="J18" s="69">
        <v>153640</v>
      </c>
      <c r="K18" s="17">
        <v>131640</v>
      </c>
      <c r="L18" s="17">
        <f>J18-K18</f>
      </c>
      <c r="M18" s="14" t="s">
        <v>86</v>
      </c>
      <c r="N18" s="14" t="s">
        <v>529</v>
      </c>
      <c r="O18" s="65"/>
      <c r="P18" s="17"/>
      <c r="Q18" s="17"/>
      <c r="R18" s="17">
        <v>153640</v>
      </c>
      <c r="S18" s="17">
        <f>J18-P18-R18</f>
      </c>
      <c r="T18" s="293">
        <v>45779</v>
      </c>
      <c r="U18" s="14" t="s">
        <v>2122</v>
      </c>
      <c r="V18" s="161"/>
      <c r="W18" s="29"/>
      <c r="X18" s="2"/>
      <c r="Y18" s="29"/>
    </row>
    <row x14ac:dyDescent="0.25" r="19" customHeight="1" ht="19.5">
      <c r="A19" s="478">
        <v>45667</v>
      </c>
      <c r="B19" s="14" t="s">
        <v>72</v>
      </c>
      <c r="C19" s="14" t="s">
        <v>5808</v>
      </c>
      <c r="D19" s="14" t="s">
        <v>189</v>
      </c>
      <c r="E19" s="14" t="s">
        <v>5809</v>
      </c>
      <c r="F19" s="14" t="s">
        <v>84</v>
      </c>
      <c r="G19" s="14" t="s">
        <v>573</v>
      </c>
      <c r="H19" s="14" t="s">
        <v>26</v>
      </c>
      <c r="I19" s="17">
        <v>225100</v>
      </c>
      <c r="J19" s="69">
        <v>523900</v>
      </c>
      <c r="K19" s="17">
        <v>455947</v>
      </c>
      <c r="L19" s="17">
        <f>J19-K19</f>
      </c>
      <c r="M19" s="14" t="s">
        <v>50</v>
      </c>
      <c r="N19" s="14" t="s">
        <v>5810</v>
      </c>
      <c r="O19" s="17">
        <v>2</v>
      </c>
      <c r="P19" s="17"/>
      <c r="Q19" s="17"/>
      <c r="R19" s="17">
        <v>523900</v>
      </c>
      <c r="S19" s="17">
        <f>J19-P19-R19</f>
      </c>
      <c r="T19" s="293">
        <v>45779</v>
      </c>
      <c r="U19" s="14" t="s">
        <v>2122</v>
      </c>
      <c r="V19" s="161"/>
      <c r="W19" s="29"/>
      <c r="X19" s="2"/>
      <c r="Y19" s="29"/>
    </row>
    <row x14ac:dyDescent="0.25" r="20" customHeight="1" ht="19.5">
      <c r="A20" s="478">
        <v>45680</v>
      </c>
      <c r="B20" s="14" t="s">
        <v>53</v>
      </c>
      <c r="C20" s="14" t="s">
        <v>5811</v>
      </c>
      <c r="D20" s="14" t="s">
        <v>429</v>
      </c>
      <c r="E20" s="14" t="s">
        <v>5812</v>
      </c>
      <c r="F20" s="14" t="s">
        <v>84</v>
      </c>
      <c r="G20" s="14" t="s">
        <v>5813</v>
      </c>
      <c r="H20" s="14" t="s">
        <v>26</v>
      </c>
      <c r="I20" s="17"/>
      <c r="J20" s="69">
        <v>681920</v>
      </c>
      <c r="K20" s="17">
        <v>620488</v>
      </c>
      <c r="L20" s="17">
        <f>J20-K20</f>
      </c>
      <c r="M20" s="14" t="s">
        <v>50</v>
      </c>
      <c r="N20" s="14" t="s">
        <v>5814</v>
      </c>
      <c r="O20" s="17">
        <v>4</v>
      </c>
      <c r="P20" s="17"/>
      <c r="Q20" s="17"/>
      <c r="R20" s="17">
        <v>681920</v>
      </c>
      <c r="S20" s="17">
        <f>J20-P20-R20</f>
      </c>
      <c r="T20" s="293">
        <v>45754</v>
      </c>
      <c r="U20" s="14" t="s">
        <v>2122</v>
      </c>
      <c r="V20" s="161"/>
      <c r="W20" s="29"/>
      <c r="X20" s="2"/>
      <c r="Y20" s="29"/>
    </row>
    <row x14ac:dyDescent="0.25" r="21" customHeight="1" ht="19.5">
      <c r="A21" s="478">
        <v>45681</v>
      </c>
      <c r="B21" s="14" t="s">
        <v>82</v>
      </c>
      <c r="C21" s="14" t="s">
        <v>558</v>
      </c>
      <c r="D21" s="14" t="s">
        <v>83</v>
      </c>
      <c r="E21" s="14" t="s">
        <v>564</v>
      </c>
      <c r="F21" s="14" t="s">
        <v>84</v>
      </c>
      <c r="G21" s="14" t="s">
        <v>5815</v>
      </c>
      <c r="H21" s="14" t="s">
        <v>26</v>
      </c>
      <c r="I21" s="17"/>
      <c r="J21" s="69">
        <v>121740</v>
      </c>
      <c r="K21" s="17">
        <v>94340</v>
      </c>
      <c r="L21" s="17">
        <f>J21-K21</f>
      </c>
      <c r="M21" s="14" t="s">
        <v>86</v>
      </c>
      <c r="N21" s="14" t="s">
        <v>567</v>
      </c>
      <c r="O21" s="65"/>
      <c r="P21" s="17"/>
      <c r="Q21" s="17"/>
      <c r="R21" s="17"/>
      <c r="S21" s="17">
        <f>J21-P21-R21</f>
      </c>
      <c r="T21" s="293"/>
      <c r="U21" s="17"/>
      <c r="V21" s="161"/>
      <c r="W21" s="29"/>
      <c r="X21" s="2"/>
      <c r="Y21" s="29"/>
    </row>
    <row x14ac:dyDescent="0.25" r="22" customHeight="1" ht="19.5">
      <c r="A22" s="478">
        <v>45681</v>
      </c>
      <c r="B22" s="14" t="s">
        <v>82</v>
      </c>
      <c r="C22" s="14" t="s">
        <v>558</v>
      </c>
      <c r="D22" s="14" t="s">
        <v>83</v>
      </c>
      <c r="E22" s="14" t="s">
        <v>564</v>
      </c>
      <c r="F22" s="14" t="s">
        <v>84</v>
      </c>
      <c r="G22" s="14" t="s">
        <v>568</v>
      </c>
      <c r="H22" s="14" t="s">
        <v>26</v>
      </c>
      <c r="I22" s="17"/>
      <c r="J22" s="69">
        <v>121740</v>
      </c>
      <c r="K22" s="17">
        <v>94340</v>
      </c>
      <c r="L22" s="17">
        <f>J22-K22</f>
      </c>
      <c r="M22" s="14" t="s">
        <v>86</v>
      </c>
      <c r="N22" s="14" t="s">
        <v>569</v>
      </c>
      <c r="O22" s="65"/>
      <c r="P22" s="17"/>
      <c r="Q22" s="17"/>
      <c r="R22" s="17"/>
      <c r="S22" s="17">
        <f>J22-P22-R22</f>
      </c>
      <c r="T22" s="293"/>
      <c r="U22" s="17"/>
      <c r="V22" s="161"/>
      <c r="W22" s="29"/>
      <c r="X22" s="2"/>
      <c r="Y22" s="29"/>
    </row>
    <row x14ac:dyDescent="0.25" r="23" customHeight="1" ht="19.5">
      <c r="A23" s="478">
        <v>45688</v>
      </c>
      <c r="B23" s="14" t="s">
        <v>897</v>
      </c>
      <c r="C23" s="14" t="s">
        <v>484</v>
      </c>
      <c r="D23" s="14" t="s">
        <v>398</v>
      </c>
      <c r="E23" s="14" t="s">
        <v>572</v>
      </c>
      <c r="F23" s="14" t="s">
        <v>84</v>
      </c>
      <c r="G23" s="14" t="s">
        <v>573</v>
      </c>
      <c r="H23" s="14" t="s">
        <v>26</v>
      </c>
      <c r="I23" s="17"/>
      <c r="J23" s="69">
        <v>111950</v>
      </c>
      <c r="K23" s="17">
        <v>63000</v>
      </c>
      <c r="L23" s="17">
        <f>J23-K23</f>
      </c>
      <c r="M23" s="14" t="s">
        <v>50</v>
      </c>
      <c r="N23" s="14" t="s">
        <v>5816</v>
      </c>
      <c r="O23" s="65" t="s">
        <v>251</v>
      </c>
      <c r="P23" s="17"/>
      <c r="Q23" s="17"/>
      <c r="R23" s="17">
        <v>111950</v>
      </c>
      <c r="S23" s="17">
        <f>J23-P23-R23</f>
      </c>
      <c r="T23" s="293">
        <v>45754</v>
      </c>
      <c r="U23" s="14" t="s">
        <v>2122</v>
      </c>
      <c r="V23" s="161"/>
      <c r="W23" s="29"/>
      <c r="X23" s="2"/>
      <c r="Y23" s="29"/>
    </row>
    <row x14ac:dyDescent="0.25" r="24" customHeight="1" ht="19.5">
      <c r="A24" s="478">
        <v>45688</v>
      </c>
      <c r="B24" s="14" t="s">
        <v>82</v>
      </c>
      <c r="C24" s="14" t="s">
        <v>571</v>
      </c>
      <c r="D24" s="14" t="s">
        <v>83</v>
      </c>
      <c r="E24" s="14" t="s">
        <v>572</v>
      </c>
      <c r="F24" s="14" t="s">
        <v>84</v>
      </c>
      <c r="G24" s="14" t="s">
        <v>573</v>
      </c>
      <c r="H24" s="14" t="s">
        <v>26</v>
      </c>
      <c r="I24" s="17">
        <v>33640</v>
      </c>
      <c r="J24" s="69">
        <v>119540</v>
      </c>
      <c r="K24" s="17">
        <v>86540</v>
      </c>
      <c r="L24" s="17">
        <f>J24-K24</f>
      </c>
      <c r="M24" s="14" t="s">
        <v>86</v>
      </c>
      <c r="N24" s="14" t="s">
        <v>574</v>
      </c>
      <c r="O24" s="65"/>
      <c r="P24" s="17"/>
      <c r="Q24" s="17"/>
      <c r="R24" s="17">
        <v>119540</v>
      </c>
      <c r="S24" s="17">
        <f>J24-P24-R24</f>
      </c>
      <c r="T24" s="293">
        <v>45754</v>
      </c>
      <c r="U24" s="14" t="s">
        <v>2122</v>
      </c>
      <c r="V24" s="161"/>
      <c r="W24" s="107"/>
      <c r="X24" s="2"/>
      <c r="Y24" s="29"/>
    </row>
    <row x14ac:dyDescent="0.25" r="25" customHeight="1" ht="19.5">
      <c r="A25" s="478">
        <v>45688</v>
      </c>
      <c r="B25" s="14" t="s">
        <v>82</v>
      </c>
      <c r="C25" s="14" t="s">
        <v>575</v>
      </c>
      <c r="D25" s="14" t="s">
        <v>576</v>
      </c>
      <c r="E25" s="14" t="s">
        <v>577</v>
      </c>
      <c r="F25" s="14" t="s">
        <v>84</v>
      </c>
      <c r="G25" s="14" t="s">
        <v>5817</v>
      </c>
      <c r="H25" s="14" t="s">
        <v>26</v>
      </c>
      <c r="I25" s="17">
        <v>17370</v>
      </c>
      <c r="J25" s="69">
        <v>71500</v>
      </c>
      <c r="K25" s="17">
        <v>49150</v>
      </c>
      <c r="L25" s="17">
        <f>J25-K25</f>
      </c>
      <c r="M25" s="14" t="s">
        <v>86</v>
      </c>
      <c r="N25" s="14" t="s">
        <v>5818</v>
      </c>
      <c r="O25" s="65"/>
      <c r="P25" s="17"/>
      <c r="Q25" s="17"/>
      <c r="R25" s="17">
        <v>71500</v>
      </c>
      <c r="S25" s="17">
        <f>J25-P25-R25</f>
      </c>
      <c r="T25" s="293">
        <v>45754</v>
      </c>
      <c r="U25" s="14" t="s">
        <v>2122</v>
      </c>
      <c r="V25" s="161"/>
      <c r="W25" s="29"/>
      <c r="X25" s="2"/>
      <c r="Y25" s="29"/>
    </row>
    <row x14ac:dyDescent="0.25" r="26" customHeight="1" ht="19.5">
      <c r="A26" s="478">
        <v>45688</v>
      </c>
      <c r="B26" s="14" t="s">
        <v>82</v>
      </c>
      <c r="C26" s="14" t="s">
        <v>581</v>
      </c>
      <c r="D26" s="14" t="s">
        <v>83</v>
      </c>
      <c r="E26" s="14" t="s">
        <v>577</v>
      </c>
      <c r="F26" s="14" t="s">
        <v>84</v>
      </c>
      <c r="G26" s="14" t="s">
        <v>5817</v>
      </c>
      <c r="H26" s="14" t="s">
        <v>26</v>
      </c>
      <c r="I26" s="17">
        <v>33640</v>
      </c>
      <c r="J26" s="69">
        <v>117900</v>
      </c>
      <c r="K26" s="17">
        <v>86500</v>
      </c>
      <c r="L26" s="17">
        <f>J26-K26</f>
      </c>
      <c r="M26" s="14" t="s">
        <v>86</v>
      </c>
      <c r="N26" s="14" t="s">
        <v>5819</v>
      </c>
      <c r="O26" s="65"/>
      <c r="P26" s="17"/>
      <c r="Q26" s="17"/>
      <c r="R26" s="17">
        <v>117900</v>
      </c>
      <c r="S26" s="17">
        <f>J26-P26-R26</f>
      </c>
      <c r="T26" s="293">
        <v>45754</v>
      </c>
      <c r="U26" s="14" t="s">
        <v>2122</v>
      </c>
      <c r="V26" s="161"/>
      <c r="W26" s="29"/>
      <c r="X26" s="2"/>
      <c r="Y26" s="29"/>
    </row>
    <row x14ac:dyDescent="0.25" r="27" customHeight="1" ht="19.5">
      <c r="A27" s="478">
        <v>45660</v>
      </c>
      <c r="B27" s="14" t="s">
        <v>22</v>
      </c>
      <c r="C27" s="14" t="s">
        <v>461</v>
      </c>
      <c r="D27" s="14" t="s">
        <v>462</v>
      </c>
      <c r="E27" s="14" t="s">
        <v>521</v>
      </c>
      <c r="F27" s="14" t="s">
        <v>463</v>
      </c>
      <c r="G27" s="14" t="s">
        <v>464</v>
      </c>
      <c r="H27" s="14" t="s">
        <v>26</v>
      </c>
      <c r="I27" s="17"/>
      <c r="J27" s="69">
        <v>223900</v>
      </c>
      <c r="K27" s="17">
        <v>173900</v>
      </c>
      <c r="L27" s="17">
        <f>J27-K27</f>
      </c>
      <c r="M27" s="14" t="s">
        <v>22</v>
      </c>
      <c r="N27" s="14" t="s">
        <v>465</v>
      </c>
      <c r="O27" s="65"/>
      <c r="P27" s="17">
        <v>0</v>
      </c>
      <c r="Q27" s="255"/>
      <c r="R27" s="494">
        <v>570870</v>
      </c>
      <c r="S27" s="494">
        <v>0</v>
      </c>
      <c r="T27" s="569">
        <v>45670</v>
      </c>
      <c r="U27" s="575" t="s">
        <v>1718</v>
      </c>
      <c r="V27" s="161" t="s">
        <v>466</v>
      </c>
      <c r="W27" s="107" t="s">
        <v>467</v>
      </c>
      <c r="X27" s="2"/>
      <c r="Y27" s="29"/>
    </row>
    <row x14ac:dyDescent="0.25" r="28" customHeight="1" ht="19.5">
      <c r="A28" s="478">
        <v>45660</v>
      </c>
      <c r="B28" s="14" t="s">
        <v>22</v>
      </c>
      <c r="C28" s="14" t="s">
        <v>461</v>
      </c>
      <c r="D28" s="14" t="s">
        <v>462</v>
      </c>
      <c r="E28" s="14" t="s">
        <v>521</v>
      </c>
      <c r="F28" s="14" t="s">
        <v>463</v>
      </c>
      <c r="G28" s="14" t="s">
        <v>468</v>
      </c>
      <c r="H28" s="14" t="s">
        <v>26</v>
      </c>
      <c r="I28" s="17"/>
      <c r="J28" s="69">
        <v>271800</v>
      </c>
      <c r="K28" s="17">
        <v>231200</v>
      </c>
      <c r="L28" s="17">
        <f>J28-K28</f>
      </c>
      <c r="M28" s="14" t="s">
        <v>22</v>
      </c>
      <c r="N28" s="14" t="s">
        <v>469</v>
      </c>
      <c r="O28" s="65"/>
      <c r="P28" s="17"/>
      <c r="Q28" s="219"/>
      <c r="R28" s="169"/>
      <c r="S28" s="169"/>
      <c r="T28" s="576"/>
      <c r="U28" s="219"/>
      <c r="V28" s="161" t="s">
        <v>466</v>
      </c>
      <c r="W28" s="107" t="s">
        <v>470</v>
      </c>
      <c r="X28" s="2"/>
      <c r="Y28" s="29"/>
    </row>
    <row x14ac:dyDescent="0.25" r="29" customHeight="1" ht="19.5">
      <c r="A29" s="478">
        <v>45660</v>
      </c>
      <c r="B29" s="14" t="s">
        <v>82</v>
      </c>
      <c r="C29" s="14" t="s">
        <v>471</v>
      </c>
      <c r="D29" s="14" t="s">
        <v>472</v>
      </c>
      <c r="E29" s="14" t="s">
        <v>521</v>
      </c>
      <c r="F29" s="14" t="s">
        <v>463</v>
      </c>
      <c r="G29" s="14" t="s">
        <v>464</v>
      </c>
      <c r="H29" s="14" t="s">
        <v>26</v>
      </c>
      <c r="I29" s="17"/>
      <c r="J29" s="69">
        <v>75170</v>
      </c>
      <c r="K29" s="17">
        <v>60170</v>
      </c>
      <c r="L29" s="17">
        <f>J29-K29</f>
      </c>
      <c r="M29" s="14" t="s">
        <v>86</v>
      </c>
      <c r="N29" s="14" t="s">
        <v>473</v>
      </c>
      <c r="O29" s="65"/>
      <c r="P29" s="17"/>
      <c r="Q29" s="273"/>
      <c r="R29" s="151"/>
      <c r="S29" s="151"/>
      <c r="T29" s="546"/>
      <c r="U29" s="273"/>
      <c r="V29" s="161" t="s">
        <v>466</v>
      </c>
      <c r="W29" s="107" t="s">
        <v>474</v>
      </c>
      <c r="X29" s="2"/>
      <c r="Y29" s="29"/>
    </row>
    <row x14ac:dyDescent="0.25" r="30" customHeight="1" ht="19.5">
      <c r="A30" s="478">
        <v>45681</v>
      </c>
      <c r="B30" s="14" t="s">
        <v>475</v>
      </c>
      <c r="C30" s="14" t="s">
        <v>476</v>
      </c>
      <c r="D30" s="14" t="s">
        <v>477</v>
      </c>
      <c r="E30" s="14" t="s">
        <v>5820</v>
      </c>
      <c r="F30" s="14" t="s">
        <v>463</v>
      </c>
      <c r="G30" s="14" t="s">
        <v>482</v>
      </c>
      <c r="H30" s="14" t="s">
        <v>26</v>
      </c>
      <c r="I30" s="17"/>
      <c r="J30" s="69">
        <v>256000</v>
      </c>
      <c r="K30" s="17">
        <v>256000</v>
      </c>
      <c r="L30" s="17">
        <f>J30-K30</f>
      </c>
      <c r="M30" s="14" t="s">
        <v>475</v>
      </c>
      <c r="N30" s="14" t="s">
        <v>483</v>
      </c>
      <c r="O30" s="65"/>
      <c r="P30" s="17"/>
      <c r="Q30" s="17"/>
      <c r="R30" s="17">
        <v>256000</v>
      </c>
      <c r="S30" s="17">
        <f>J30-P30-R30</f>
      </c>
      <c r="T30" s="569">
        <v>45726</v>
      </c>
      <c r="U30" s="575" t="s">
        <v>2307</v>
      </c>
      <c r="V30" s="161"/>
      <c r="W30" s="29"/>
      <c r="X30" s="2"/>
      <c r="Y30" s="29"/>
    </row>
    <row x14ac:dyDescent="0.25" r="31" customHeight="1" ht="19.5">
      <c r="A31" s="478">
        <v>45686</v>
      </c>
      <c r="B31" s="14" t="s">
        <v>475</v>
      </c>
      <c r="C31" s="14" t="s">
        <v>484</v>
      </c>
      <c r="D31" s="14" t="s">
        <v>485</v>
      </c>
      <c r="E31" s="14" t="s">
        <v>5821</v>
      </c>
      <c r="F31" s="14" t="s">
        <v>463</v>
      </c>
      <c r="G31" s="14" t="s">
        <v>482</v>
      </c>
      <c r="H31" s="14" t="s">
        <v>26</v>
      </c>
      <c r="I31" s="17"/>
      <c r="J31" s="69">
        <v>68000</v>
      </c>
      <c r="K31" s="17">
        <v>53000</v>
      </c>
      <c r="L31" s="17">
        <f>J31-K31</f>
      </c>
      <c r="M31" s="14" t="s">
        <v>475</v>
      </c>
      <c r="N31" s="14" t="s">
        <v>487</v>
      </c>
      <c r="O31" s="65" t="s">
        <v>251</v>
      </c>
      <c r="P31" s="17"/>
      <c r="Q31" s="17"/>
      <c r="R31" s="17">
        <v>68000</v>
      </c>
      <c r="S31" s="17">
        <f>J31-P31-R31</f>
      </c>
      <c r="T31" s="546"/>
      <c r="U31" s="273"/>
      <c r="V31" s="161"/>
      <c r="W31" s="29"/>
      <c r="X31" s="2"/>
      <c r="Y31" s="29"/>
    </row>
    <row x14ac:dyDescent="0.25" r="32" customHeight="1" ht="19.5">
      <c r="A32" s="478">
        <v>45681</v>
      </c>
      <c r="B32" s="14" t="s">
        <v>46</v>
      </c>
      <c r="C32" s="14" t="s">
        <v>5822</v>
      </c>
      <c r="D32" s="14" t="s">
        <v>54</v>
      </c>
      <c r="E32" s="14" t="s">
        <v>5823</v>
      </c>
      <c r="F32" s="14" t="s">
        <v>194</v>
      </c>
      <c r="G32" s="14" t="s">
        <v>5824</v>
      </c>
      <c r="H32" s="14" t="s">
        <v>26</v>
      </c>
      <c r="I32" s="17"/>
      <c r="J32" s="69">
        <v>2411900</v>
      </c>
      <c r="K32" s="17">
        <v>2266500</v>
      </c>
      <c r="L32" s="17">
        <f>J32-K32</f>
      </c>
      <c r="M32" s="14" t="s">
        <v>3045</v>
      </c>
      <c r="N32" s="14" t="s">
        <v>5825</v>
      </c>
      <c r="O32" s="65"/>
      <c r="P32" s="17"/>
      <c r="Q32" s="17"/>
      <c r="R32" s="17">
        <v>2411900</v>
      </c>
      <c r="S32" s="17">
        <f>J32-P32-R32</f>
      </c>
      <c r="T32" s="293">
        <v>45702</v>
      </c>
      <c r="U32" s="14" t="s">
        <v>2122</v>
      </c>
      <c r="V32" s="161"/>
      <c r="W32" s="29"/>
      <c r="X32" s="2"/>
      <c r="Y32" s="29"/>
    </row>
    <row x14ac:dyDescent="0.25" r="33" customHeight="1" ht="18.75">
      <c r="A33" s="478">
        <v>45678</v>
      </c>
      <c r="B33" s="14"/>
      <c r="C33" s="14"/>
      <c r="D33" s="14"/>
      <c r="E33" s="14"/>
      <c r="F33" s="14" t="s">
        <v>24</v>
      </c>
      <c r="G33" s="14" t="s">
        <v>3067</v>
      </c>
      <c r="H33" s="14" t="s">
        <v>26</v>
      </c>
      <c r="I33" s="17"/>
      <c r="J33" s="69">
        <v>275000</v>
      </c>
      <c r="K33" s="69">
        <v>200000</v>
      </c>
      <c r="L33" s="17">
        <f>J33-K33</f>
      </c>
      <c r="M33" s="14"/>
      <c r="N33" s="14"/>
      <c r="O33" s="65" t="s">
        <v>2987</v>
      </c>
      <c r="P33" s="17"/>
      <c r="Q33" s="17"/>
      <c r="R33" s="17">
        <v>275000</v>
      </c>
      <c r="S33" s="17">
        <f>J33-P33-R33</f>
      </c>
      <c r="T33" s="293">
        <v>45692</v>
      </c>
      <c r="U33" s="14" t="s">
        <v>2122</v>
      </c>
      <c r="V33" s="161"/>
      <c r="W33" s="29"/>
      <c r="X33" s="2"/>
      <c r="Y33" s="29"/>
    </row>
    <row x14ac:dyDescent="0.25" r="34" customHeight="1" ht="18.75">
      <c r="A34" s="478">
        <v>45686</v>
      </c>
      <c r="B34" s="14" t="s">
        <v>62</v>
      </c>
      <c r="C34" s="14" t="s">
        <v>5826</v>
      </c>
      <c r="D34" s="14" t="s">
        <v>63</v>
      </c>
      <c r="E34" s="14" t="s">
        <v>5827</v>
      </c>
      <c r="F34" s="14" t="s">
        <v>24</v>
      </c>
      <c r="G34" s="14" t="s">
        <v>3067</v>
      </c>
      <c r="H34" s="14" t="s">
        <v>26</v>
      </c>
      <c r="I34" s="17"/>
      <c r="J34" s="69">
        <v>5897900</v>
      </c>
      <c r="K34" s="17">
        <v>5477250</v>
      </c>
      <c r="L34" s="17">
        <f>J34-K34</f>
      </c>
      <c r="M34" s="14" t="s">
        <v>3045</v>
      </c>
      <c r="N34" s="14" t="s">
        <v>5828</v>
      </c>
      <c r="O34" s="65"/>
      <c r="P34" s="17">
        <v>4441025</v>
      </c>
      <c r="Q34" s="17"/>
      <c r="R34" s="17">
        <v>1456875</v>
      </c>
      <c r="S34" s="17">
        <f>J34-P34-R34</f>
      </c>
      <c r="T34" s="484">
        <v>45715</v>
      </c>
      <c r="U34" s="14" t="s">
        <v>2122</v>
      </c>
      <c r="V34" s="161"/>
      <c r="W34" s="29"/>
      <c r="X34" s="2"/>
      <c r="Y34" s="29"/>
    </row>
    <row x14ac:dyDescent="0.25" r="35" customHeight="1" ht="18.75">
      <c r="A35" s="478">
        <v>45688</v>
      </c>
      <c r="B35" s="14" t="s">
        <v>72</v>
      </c>
      <c r="C35" s="14" t="s">
        <v>5829</v>
      </c>
      <c r="D35" s="14" t="s">
        <v>448</v>
      </c>
      <c r="E35" s="14" t="s">
        <v>5830</v>
      </c>
      <c r="F35" s="14" t="s">
        <v>24</v>
      </c>
      <c r="G35" s="14" t="s">
        <v>5831</v>
      </c>
      <c r="H35" s="14" t="s">
        <v>26</v>
      </c>
      <c r="I35" s="17">
        <v>170000</v>
      </c>
      <c r="J35" s="69">
        <v>2488920</v>
      </c>
      <c r="K35" s="17">
        <v>2241020</v>
      </c>
      <c r="L35" s="17">
        <f>J35-K35</f>
      </c>
      <c r="M35" s="14" t="s">
        <v>5832</v>
      </c>
      <c r="N35" s="14" t="s">
        <v>5833</v>
      </c>
      <c r="O35" s="17">
        <v>4</v>
      </c>
      <c r="P35" s="17">
        <v>746580</v>
      </c>
      <c r="Q35" s="17"/>
      <c r="R35" s="17">
        <v>1742340</v>
      </c>
      <c r="S35" s="17">
        <f>J35-P35-R35</f>
      </c>
      <c r="T35" s="484">
        <v>45737</v>
      </c>
      <c r="U35" s="14" t="s">
        <v>2122</v>
      </c>
      <c r="V35" s="161"/>
      <c r="W35" s="29"/>
      <c r="X35" s="2"/>
      <c r="Y35" s="29"/>
    </row>
    <row x14ac:dyDescent="0.25" r="36" customHeight="1" ht="19.5">
      <c r="A36" s="478">
        <v>45673</v>
      </c>
      <c r="B36" s="14" t="s">
        <v>106</v>
      </c>
      <c r="C36" s="14" t="s">
        <v>5834</v>
      </c>
      <c r="D36" s="14" t="s">
        <v>5113</v>
      </c>
      <c r="E36" s="14" t="s">
        <v>5835</v>
      </c>
      <c r="F36" s="14" t="s">
        <v>292</v>
      </c>
      <c r="G36" s="14" t="s">
        <v>5836</v>
      </c>
      <c r="H36" s="14" t="s">
        <v>26</v>
      </c>
      <c r="I36" s="17">
        <v>534500</v>
      </c>
      <c r="J36" s="69">
        <v>857950</v>
      </c>
      <c r="K36" s="485">
        <v>769675</v>
      </c>
      <c r="L36" s="17">
        <f>J36-K36</f>
      </c>
      <c r="M36" s="14" t="s">
        <v>106</v>
      </c>
      <c r="N36" s="14" t="s">
        <v>5837</v>
      </c>
      <c r="O36" s="17">
        <v>2</v>
      </c>
      <c r="P36" s="17"/>
      <c r="Q36" s="17"/>
      <c r="R36" s="17"/>
      <c r="S36" s="17">
        <f>J36-P36-R36</f>
      </c>
      <c r="T36" s="293"/>
      <c r="U36" s="17"/>
      <c r="V36" s="161"/>
      <c r="W36" s="29"/>
      <c r="X36" s="2"/>
      <c r="Y36" s="29"/>
    </row>
    <row x14ac:dyDescent="0.25" r="37" customHeight="1" ht="19.5">
      <c r="A37" s="478">
        <v>45682</v>
      </c>
      <c r="B37" s="14" t="s">
        <v>66</v>
      </c>
      <c r="C37" s="14" t="s">
        <v>5838</v>
      </c>
      <c r="D37" s="14" t="s">
        <v>166</v>
      </c>
      <c r="E37" s="14" t="s">
        <v>5839</v>
      </c>
      <c r="F37" s="14" t="s">
        <v>5840</v>
      </c>
      <c r="G37" s="14" t="s">
        <v>5841</v>
      </c>
      <c r="H37" s="14" t="s">
        <v>26</v>
      </c>
      <c r="I37" s="17">
        <v>140600</v>
      </c>
      <c r="J37" s="17">
        <v>505800</v>
      </c>
      <c r="K37" s="17">
        <v>481684</v>
      </c>
      <c r="L37" s="17">
        <f>J37-K37</f>
      </c>
      <c r="M37" s="14" t="s">
        <v>50</v>
      </c>
      <c r="N37" s="14" t="s">
        <v>5842</v>
      </c>
      <c r="O37" s="17">
        <v>2</v>
      </c>
      <c r="P37" s="494">
        <v>300000</v>
      </c>
      <c r="Q37" s="494"/>
      <c r="R37" s="494">
        <v>831600</v>
      </c>
      <c r="S37" s="494">
        <f>J37+J38+J39+J40-P37-R37</f>
      </c>
      <c r="T37" s="496">
        <v>45692</v>
      </c>
      <c r="U37" s="495" t="s">
        <v>2122</v>
      </c>
      <c r="V37" s="161"/>
      <c r="W37" s="29"/>
      <c r="X37" s="2"/>
      <c r="Y37" s="29"/>
    </row>
    <row x14ac:dyDescent="0.25" r="38" customHeight="1" ht="19.5">
      <c r="A38" s="478">
        <v>45682</v>
      </c>
      <c r="B38" s="14" t="s">
        <v>66</v>
      </c>
      <c r="C38" s="14" t="s">
        <v>5838</v>
      </c>
      <c r="D38" s="14" t="s">
        <v>166</v>
      </c>
      <c r="E38" s="14" t="s">
        <v>5839</v>
      </c>
      <c r="F38" s="14" t="s">
        <v>5840</v>
      </c>
      <c r="G38" s="14" t="s">
        <v>5843</v>
      </c>
      <c r="H38" s="14" t="s">
        <v>26</v>
      </c>
      <c r="I38" s="17">
        <v>140600</v>
      </c>
      <c r="J38" s="17">
        <v>505800</v>
      </c>
      <c r="K38" s="17">
        <v>481684</v>
      </c>
      <c r="L38" s="17">
        <f>J38-K38</f>
      </c>
      <c r="M38" s="14" t="s">
        <v>50</v>
      </c>
      <c r="N38" s="14" t="s">
        <v>5844</v>
      </c>
      <c r="O38" s="17">
        <v>2</v>
      </c>
      <c r="P38" s="169"/>
      <c r="Q38" s="169"/>
      <c r="R38" s="169"/>
      <c r="S38" s="169"/>
      <c r="T38" s="498"/>
      <c r="U38" s="169"/>
      <c r="V38" s="161"/>
      <c r="W38" s="29"/>
      <c r="X38" s="2"/>
      <c r="Y38" s="29"/>
    </row>
    <row x14ac:dyDescent="0.25" r="39" customHeight="1" ht="19.5">
      <c r="A39" s="478">
        <v>45684</v>
      </c>
      <c r="B39" s="14" t="s">
        <v>66</v>
      </c>
      <c r="C39" s="14" t="s">
        <v>5845</v>
      </c>
      <c r="D39" s="14" t="s">
        <v>166</v>
      </c>
      <c r="E39" s="14" t="s">
        <v>5839</v>
      </c>
      <c r="F39" s="14" t="s">
        <v>5840</v>
      </c>
      <c r="G39" s="14" t="s">
        <v>5841</v>
      </c>
      <c r="H39" s="14" t="s">
        <v>26</v>
      </c>
      <c r="I39" s="17"/>
      <c r="J39" s="17">
        <v>60000</v>
      </c>
      <c r="K39" s="17">
        <v>30000</v>
      </c>
      <c r="L39" s="17">
        <f>J39-K39</f>
      </c>
      <c r="M39" s="14" t="s">
        <v>50</v>
      </c>
      <c r="N39" s="14" t="s">
        <v>5846</v>
      </c>
      <c r="O39" s="65" t="s">
        <v>251</v>
      </c>
      <c r="P39" s="169"/>
      <c r="Q39" s="169"/>
      <c r="R39" s="169"/>
      <c r="S39" s="169"/>
      <c r="T39" s="498"/>
      <c r="U39" s="169"/>
      <c r="V39" s="161"/>
      <c r="W39" s="29"/>
      <c r="X39" s="2"/>
      <c r="Y39" s="29"/>
    </row>
    <row x14ac:dyDescent="0.25" r="40" customHeight="1" ht="19.5">
      <c r="A40" s="478">
        <v>45684</v>
      </c>
      <c r="B40" s="14" t="s">
        <v>66</v>
      </c>
      <c r="C40" s="14" t="s">
        <v>5845</v>
      </c>
      <c r="D40" s="14" t="s">
        <v>166</v>
      </c>
      <c r="E40" s="14" t="s">
        <v>5839</v>
      </c>
      <c r="F40" s="14" t="s">
        <v>5840</v>
      </c>
      <c r="G40" s="14" t="s">
        <v>5843</v>
      </c>
      <c r="H40" s="14" t="s">
        <v>26</v>
      </c>
      <c r="I40" s="17"/>
      <c r="J40" s="17">
        <v>60000</v>
      </c>
      <c r="K40" s="17">
        <v>30000</v>
      </c>
      <c r="L40" s="17">
        <f>J40-K40</f>
      </c>
      <c r="M40" s="14" t="s">
        <v>50</v>
      </c>
      <c r="N40" s="14" t="s">
        <v>5847</v>
      </c>
      <c r="O40" s="65" t="s">
        <v>251</v>
      </c>
      <c r="P40" s="151"/>
      <c r="Q40" s="151"/>
      <c r="R40" s="151"/>
      <c r="S40" s="151"/>
      <c r="T40" s="500"/>
      <c r="U40" s="151"/>
      <c r="V40" s="161"/>
      <c r="W40" s="29"/>
      <c r="X40" s="2"/>
      <c r="Y40" s="29"/>
    </row>
    <row x14ac:dyDescent="0.25" r="41" customHeight="1" ht="19.5">
      <c r="A41" s="478">
        <v>45672</v>
      </c>
      <c r="B41" s="14" t="s">
        <v>111</v>
      </c>
      <c r="C41" s="14" t="s">
        <v>531</v>
      </c>
      <c r="D41" s="14" t="s">
        <v>932</v>
      </c>
      <c r="E41" s="14" t="s">
        <v>5848</v>
      </c>
      <c r="F41" s="14" t="s">
        <v>5849</v>
      </c>
      <c r="G41" s="14" t="s">
        <v>4963</v>
      </c>
      <c r="H41" s="14" t="s">
        <v>170</v>
      </c>
      <c r="I41" s="17">
        <v>423300</v>
      </c>
      <c r="J41" s="69">
        <v>113800</v>
      </c>
      <c r="K41" s="485">
        <v>83500</v>
      </c>
      <c r="L41" s="17">
        <f>J41-K41</f>
      </c>
      <c r="M41" s="14" t="s">
        <v>50</v>
      </c>
      <c r="N41" s="14" t="s">
        <v>5850</v>
      </c>
      <c r="O41" s="65" t="s">
        <v>251</v>
      </c>
      <c r="P41" s="17"/>
      <c r="Q41" s="17"/>
      <c r="R41" s="17">
        <v>113800</v>
      </c>
      <c r="S41" s="17">
        <f>J41-P41-R41</f>
      </c>
      <c r="T41" s="293">
        <v>45673</v>
      </c>
      <c r="U41" s="14" t="s">
        <v>1718</v>
      </c>
      <c r="V41" s="161" t="s">
        <v>1663</v>
      </c>
      <c r="W41" s="29"/>
      <c r="X41" s="2"/>
      <c r="Y41" s="29"/>
    </row>
    <row x14ac:dyDescent="0.25" r="42" customHeight="1" ht="19.5">
      <c r="A42" s="478">
        <v>45664</v>
      </c>
      <c r="B42" s="14" t="s">
        <v>72</v>
      </c>
      <c r="C42" s="14" t="s">
        <v>5851</v>
      </c>
      <c r="D42" s="14" t="s">
        <v>455</v>
      </c>
      <c r="E42" s="14" t="s">
        <v>5852</v>
      </c>
      <c r="F42" s="14" t="s">
        <v>5853</v>
      </c>
      <c r="G42" s="14" t="s">
        <v>5854</v>
      </c>
      <c r="H42" s="14" t="s">
        <v>26</v>
      </c>
      <c r="I42" s="17">
        <v>248800</v>
      </c>
      <c r="J42" s="69">
        <v>615820</v>
      </c>
      <c r="K42" s="17">
        <v>578356</v>
      </c>
      <c r="L42" s="17">
        <f>J42-K42</f>
      </c>
      <c r="M42" s="14" t="s">
        <v>50</v>
      </c>
      <c r="N42" s="14" t="s">
        <v>5855</v>
      </c>
      <c r="O42" s="17">
        <v>4</v>
      </c>
      <c r="P42" s="17">
        <v>0</v>
      </c>
      <c r="Q42" s="17"/>
      <c r="R42" s="17">
        <v>615820</v>
      </c>
      <c r="S42" s="17">
        <f>J42-P42-R42</f>
      </c>
      <c r="T42" s="293">
        <v>45664</v>
      </c>
      <c r="U42" s="14" t="s">
        <v>1718</v>
      </c>
      <c r="V42" s="161" t="s">
        <v>5856</v>
      </c>
      <c r="W42" s="29"/>
      <c r="X42" s="2"/>
      <c r="Y42" s="29"/>
    </row>
    <row x14ac:dyDescent="0.25" r="43" customHeight="1" ht="19.5">
      <c r="A43" s="478">
        <v>45686</v>
      </c>
      <c r="B43" s="14" t="s">
        <v>123</v>
      </c>
      <c r="C43" s="14" t="s">
        <v>5857</v>
      </c>
      <c r="D43" s="14" t="s">
        <v>54</v>
      </c>
      <c r="E43" s="14" t="s">
        <v>5858</v>
      </c>
      <c r="F43" s="14" t="s">
        <v>5859</v>
      </c>
      <c r="G43" s="14" t="s">
        <v>5860</v>
      </c>
      <c r="H43" s="14" t="s">
        <v>76</v>
      </c>
      <c r="I43" s="17">
        <v>122300</v>
      </c>
      <c r="J43" s="69">
        <v>526800</v>
      </c>
      <c r="K43" s="17">
        <v>491451</v>
      </c>
      <c r="L43" s="17">
        <f>J43-K43</f>
      </c>
      <c r="M43" s="14" t="s">
        <v>50</v>
      </c>
      <c r="N43" s="14" t="s">
        <v>5861</v>
      </c>
      <c r="O43" s="17">
        <v>4</v>
      </c>
      <c r="P43" s="17"/>
      <c r="Q43" s="17"/>
      <c r="R43" s="17">
        <v>526800</v>
      </c>
      <c r="S43" s="17">
        <f>J43-P43-R43</f>
      </c>
      <c r="T43" s="293">
        <v>45687</v>
      </c>
      <c r="U43" s="14" t="s">
        <v>1718</v>
      </c>
      <c r="V43" s="161"/>
      <c r="W43" s="29"/>
      <c r="X43" s="2"/>
      <c r="Y43" s="29"/>
    </row>
    <row x14ac:dyDescent="0.25" r="44" customHeight="1" ht="19.5">
      <c r="A44" s="478">
        <v>45679</v>
      </c>
      <c r="B44" s="14" t="s">
        <v>66</v>
      </c>
      <c r="C44" s="14" t="s">
        <v>5862</v>
      </c>
      <c r="D44" s="14" t="s">
        <v>373</v>
      </c>
      <c r="E44" s="14" t="s">
        <v>5863</v>
      </c>
      <c r="F44" s="14" t="s">
        <v>5864</v>
      </c>
      <c r="G44" s="14" t="s">
        <v>5865</v>
      </c>
      <c r="H44" s="14" t="s">
        <v>26</v>
      </c>
      <c r="I44" s="17"/>
      <c r="J44" s="69">
        <v>484920</v>
      </c>
      <c r="K44" s="17">
        <v>409452</v>
      </c>
      <c r="L44" s="17">
        <f>J44-K44</f>
      </c>
      <c r="M44" s="14" t="s">
        <v>50</v>
      </c>
      <c r="N44" s="14" t="s">
        <v>5866</v>
      </c>
      <c r="O44" s="17">
        <v>2</v>
      </c>
      <c r="P44" s="17"/>
      <c r="Q44" s="17"/>
      <c r="R44" s="17">
        <v>484920</v>
      </c>
      <c r="S44" s="17">
        <f>J44-Q44-P44-R44</f>
      </c>
      <c r="T44" s="293">
        <v>45681</v>
      </c>
      <c r="U44" s="14" t="s">
        <v>2216</v>
      </c>
      <c r="V44" s="161" t="s">
        <v>5867</v>
      </c>
      <c r="W44" s="29"/>
      <c r="X44" s="2"/>
      <c r="Y44" s="29"/>
    </row>
    <row x14ac:dyDescent="0.25" r="45" customHeight="1" ht="19.5">
      <c r="A45" s="478">
        <v>45679</v>
      </c>
      <c r="B45" s="14" t="s">
        <v>111</v>
      </c>
      <c r="C45" s="14" t="s">
        <v>5868</v>
      </c>
      <c r="D45" s="14" t="s">
        <v>402</v>
      </c>
      <c r="E45" s="14" t="s">
        <v>5863</v>
      </c>
      <c r="F45" s="14" t="s">
        <v>5864</v>
      </c>
      <c r="G45" s="14" t="s">
        <v>5865</v>
      </c>
      <c r="H45" s="14" t="s">
        <v>26</v>
      </c>
      <c r="I45" s="17"/>
      <c r="J45" s="69">
        <v>439920</v>
      </c>
      <c r="K45" s="17">
        <v>320648</v>
      </c>
      <c r="L45" s="17">
        <f>J45-K45</f>
      </c>
      <c r="M45" s="14" t="s">
        <v>50</v>
      </c>
      <c r="N45" s="14" t="s">
        <v>5869</v>
      </c>
      <c r="O45" s="17">
        <v>2</v>
      </c>
      <c r="P45" s="17"/>
      <c r="Q45" s="17"/>
      <c r="R45" s="17">
        <v>439920</v>
      </c>
      <c r="S45" s="17">
        <f>J45-Q45-P45-R45</f>
      </c>
      <c r="T45" s="293">
        <v>45681</v>
      </c>
      <c r="U45" s="14" t="s">
        <v>2216</v>
      </c>
      <c r="V45" s="161" t="s">
        <v>5867</v>
      </c>
      <c r="W45" s="29"/>
      <c r="X45" s="2"/>
      <c r="Y45" s="29"/>
    </row>
    <row x14ac:dyDescent="0.25" r="46" customHeight="1" ht="19.5">
      <c r="A46" s="478">
        <v>45663</v>
      </c>
      <c r="B46" s="14" t="s">
        <v>106</v>
      </c>
      <c r="C46" s="14" t="s">
        <v>5868</v>
      </c>
      <c r="D46" s="14" t="s">
        <v>5870</v>
      </c>
      <c r="E46" s="14" t="s">
        <v>5871</v>
      </c>
      <c r="F46" s="14" t="s">
        <v>5872</v>
      </c>
      <c r="G46" s="14" t="s">
        <v>5873</v>
      </c>
      <c r="H46" s="14" t="s">
        <v>26</v>
      </c>
      <c r="I46" s="17"/>
      <c r="J46" s="69">
        <v>72600</v>
      </c>
      <c r="K46" s="17">
        <v>38218</v>
      </c>
      <c r="L46" s="17">
        <f>J46-K46</f>
      </c>
      <c r="M46" s="14" t="s">
        <v>50</v>
      </c>
      <c r="N46" s="14" t="s">
        <v>5874</v>
      </c>
      <c r="O46" s="65" t="s">
        <v>251</v>
      </c>
      <c r="P46" s="17"/>
      <c r="Q46" s="17"/>
      <c r="R46" s="17">
        <v>72568</v>
      </c>
      <c r="S46" s="17">
        <f>J46-P46-R46</f>
      </c>
      <c r="T46" s="293">
        <v>45663</v>
      </c>
      <c r="U46" s="14" t="s">
        <v>2307</v>
      </c>
      <c r="V46" s="161"/>
      <c r="W46" s="29"/>
      <c r="X46" s="2"/>
      <c r="Y46" s="29"/>
    </row>
    <row x14ac:dyDescent="0.25" r="47" customHeight="1" ht="19.5">
      <c r="A47" s="478">
        <v>45672</v>
      </c>
      <c r="B47" s="14" t="s">
        <v>82</v>
      </c>
      <c r="C47" s="14" t="s">
        <v>539</v>
      </c>
      <c r="D47" s="14" t="s">
        <v>212</v>
      </c>
      <c r="E47" s="14" t="s">
        <v>540</v>
      </c>
      <c r="F47" s="14" t="s">
        <v>4414</v>
      </c>
      <c r="G47" s="14" t="s">
        <v>541</v>
      </c>
      <c r="H47" s="14" t="s">
        <v>26</v>
      </c>
      <c r="I47" s="65" t="s">
        <v>5875</v>
      </c>
      <c r="J47" s="69">
        <v>498905</v>
      </c>
      <c r="K47" s="485">
        <v>483305</v>
      </c>
      <c r="L47" s="17">
        <f>J47-K47</f>
      </c>
      <c r="M47" s="14" t="s">
        <v>536</v>
      </c>
      <c r="N47" s="14" t="s">
        <v>543</v>
      </c>
      <c r="O47" s="65"/>
      <c r="P47" s="17"/>
      <c r="Q47" s="17"/>
      <c r="R47" s="17">
        <v>498905</v>
      </c>
      <c r="S47" s="17">
        <f>J47-P47-R47</f>
      </c>
      <c r="T47" s="293">
        <v>45706</v>
      </c>
      <c r="U47" s="17"/>
      <c r="V47" s="18">
        <v>45687</v>
      </c>
      <c r="W47" s="29"/>
      <c r="X47" s="2"/>
      <c r="Y47" s="29"/>
    </row>
    <row x14ac:dyDescent="0.25" r="48" customHeight="1" ht="19.5">
      <c r="A48" s="478">
        <v>45685</v>
      </c>
      <c r="B48" s="14" t="s">
        <v>82</v>
      </c>
      <c r="C48" s="14" t="s">
        <v>5876</v>
      </c>
      <c r="D48" s="14" t="s">
        <v>212</v>
      </c>
      <c r="E48" s="14" t="s">
        <v>5877</v>
      </c>
      <c r="F48" s="14" t="s">
        <v>102</v>
      </c>
      <c r="G48" s="14" t="s">
        <v>541</v>
      </c>
      <c r="H48" s="14" t="s">
        <v>26</v>
      </c>
      <c r="I48" s="17"/>
      <c r="J48" s="69">
        <v>0</v>
      </c>
      <c r="K48" s="485">
        <v>0</v>
      </c>
      <c r="L48" s="17">
        <f>J48-K48</f>
      </c>
      <c r="M48" s="14" t="s">
        <v>82</v>
      </c>
      <c r="N48" s="14" t="s">
        <v>543</v>
      </c>
      <c r="O48" s="65" t="s">
        <v>251</v>
      </c>
      <c r="P48" s="17"/>
      <c r="Q48" s="17"/>
      <c r="R48" s="17"/>
      <c r="S48" s="17">
        <f>J48-P48-R48</f>
      </c>
      <c r="T48" s="293"/>
      <c r="U48" s="17"/>
      <c r="V48" s="18"/>
      <c r="W48" s="29"/>
      <c r="X48" s="2"/>
      <c r="Y48" s="29"/>
    </row>
    <row x14ac:dyDescent="0.25" r="49" customHeight="1" ht="19.5">
      <c r="A49" s="478">
        <v>42028</v>
      </c>
      <c r="B49" s="14" t="s">
        <v>66</v>
      </c>
      <c r="C49" s="14" t="s">
        <v>5845</v>
      </c>
      <c r="D49" s="14" t="s">
        <v>306</v>
      </c>
      <c r="E49" s="14" t="s">
        <v>5878</v>
      </c>
      <c r="F49" s="14" t="s">
        <v>5879</v>
      </c>
      <c r="G49" s="14" t="s">
        <v>5880</v>
      </c>
      <c r="H49" s="14" t="s">
        <v>688</v>
      </c>
      <c r="I49" s="17">
        <v>138600</v>
      </c>
      <c r="J49" s="69">
        <v>498900</v>
      </c>
      <c r="K49" s="17">
        <v>479804</v>
      </c>
      <c r="L49" s="17">
        <f>J49-K49</f>
      </c>
      <c r="M49" s="14" t="s">
        <v>50</v>
      </c>
      <c r="N49" s="14" t="s">
        <v>5881</v>
      </c>
      <c r="O49" s="17">
        <v>2</v>
      </c>
      <c r="P49" s="17"/>
      <c r="Q49" s="17"/>
      <c r="R49" s="17">
        <v>498900</v>
      </c>
      <c r="S49" s="17">
        <f>J49-P49-R49</f>
      </c>
      <c r="T49" s="293">
        <v>45685</v>
      </c>
      <c r="U49" s="14" t="s">
        <v>1718</v>
      </c>
      <c r="V49" s="161"/>
      <c r="W49" s="29"/>
      <c r="X49" s="2"/>
      <c r="Y49" s="29"/>
    </row>
    <row x14ac:dyDescent="0.25" r="50" customHeight="1" ht="19.5">
      <c r="A50" s="478">
        <v>45672</v>
      </c>
      <c r="B50" s="14" t="s">
        <v>111</v>
      </c>
      <c r="C50" s="14" t="s">
        <v>5882</v>
      </c>
      <c r="D50" s="14" t="s">
        <v>1267</v>
      </c>
      <c r="E50" s="14" t="s">
        <v>5883</v>
      </c>
      <c r="F50" s="14" t="s">
        <v>418</v>
      </c>
      <c r="G50" s="577" t="s">
        <v>5425</v>
      </c>
      <c r="H50" s="577" t="s">
        <v>26</v>
      </c>
      <c r="I50" s="17">
        <v>155400</v>
      </c>
      <c r="J50" s="69">
        <v>89500</v>
      </c>
      <c r="K50" s="485">
        <v>33800</v>
      </c>
      <c r="L50" s="17">
        <f>J50-K50</f>
      </c>
      <c r="M50" s="14" t="s">
        <v>50</v>
      </c>
      <c r="N50" s="14" t="s">
        <v>5884</v>
      </c>
      <c r="O50" s="65" t="s">
        <v>251</v>
      </c>
      <c r="P50" s="17"/>
      <c r="Q50" s="17"/>
      <c r="R50" s="17">
        <v>89500</v>
      </c>
      <c r="S50" s="17">
        <f>J50-P50-R50</f>
      </c>
      <c r="T50" s="293">
        <v>45792</v>
      </c>
      <c r="U50" s="14" t="s">
        <v>1718</v>
      </c>
      <c r="V50" s="18">
        <v>45687</v>
      </c>
      <c r="W50" s="29"/>
      <c r="X50" s="2"/>
      <c r="Y50" s="29"/>
    </row>
    <row x14ac:dyDescent="0.25" r="51" customHeight="1" ht="19.5">
      <c r="A51" s="478">
        <v>45672</v>
      </c>
      <c r="B51" s="14" t="s">
        <v>111</v>
      </c>
      <c r="C51" s="14" t="s">
        <v>5882</v>
      </c>
      <c r="D51" s="14" t="s">
        <v>1267</v>
      </c>
      <c r="E51" s="14" t="s">
        <v>5885</v>
      </c>
      <c r="F51" s="14" t="s">
        <v>418</v>
      </c>
      <c r="G51" s="14" t="s">
        <v>560</v>
      </c>
      <c r="H51" s="14" t="s">
        <v>26</v>
      </c>
      <c r="I51" s="17">
        <v>139700</v>
      </c>
      <c r="J51" s="69">
        <v>89500</v>
      </c>
      <c r="K51" s="485">
        <v>33800</v>
      </c>
      <c r="L51" s="17">
        <f>J51-K51</f>
      </c>
      <c r="M51" s="14" t="s">
        <v>50</v>
      </c>
      <c r="N51" s="14" t="s">
        <v>5886</v>
      </c>
      <c r="O51" s="65" t="s">
        <v>251</v>
      </c>
      <c r="P51" s="17"/>
      <c r="Q51" s="17"/>
      <c r="R51" s="17">
        <v>89500</v>
      </c>
      <c r="S51" s="17">
        <f>J51-P51-R51</f>
      </c>
      <c r="T51" s="293">
        <v>45792</v>
      </c>
      <c r="U51" s="14" t="s">
        <v>1718</v>
      </c>
      <c r="V51" s="18">
        <v>45687</v>
      </c>
      <c r="W51" s="29"/>
      <c r="X51" s="2"/>
      <c r="Y51" s="29"/>
    </row>
    <row x14ac:dyDescent="0.25" r="52" customHeight="1" ht="19.5">
      <c r="A52" s="478">
        <v>45665</v>
      </c>
      <c r="B52" s="14" t="s">
        <v>123</v>
      </c>
      <c r="C52" s="14" t="s">
        <v>5887</v>
      </c>
      <c r="D52" s="14" t="s">
        <v>5888</v>
      </c>
      <c r="E52" s="14" t="s">
        <v>5889</v>
      </c>
      <c r="F52" s="14" t="s">
        <v>5890</v>
      </c>
      <c r="G52" s="14" t="s">
        <v>5891</v>
      </c>
      <c r="H52" s="14" t="s">
        <v>4581</v>
      </c>
      <c r="I52" s="17">
        <v>549300</v>
      </c>
      <c r="J52" s="69">
        <v>805000</v>
      </c>
      <c r="K52" s="17">
        <v>768720</v>
      </c>
      <c r="L52" s="17">
        <f>J52-K52</f>
      </c>
      <c r="M52" s="14" t="s">
        <v>50</v>
      </c>
      <c r="N52" s="14" t="s">
        <v>5892</v>
      </c>
      <c r="O52" s="17">
        <v>2</v>
      </c>
      <c r="P52" s="17"/>
      <c r="Q52" s="17"/>
      <c r="R52" s="17">
        <v>805000</v>
      </c>
      <c r="S52" s="17">
        <f>J52-P52-R52</f>
      </c>
      <c r="T52" s="293">
        <v>45670</v>
      </c>
      <c r="U52" s="14" t="s">
        <v>1718</v>
      </c>
      <c r="V52" s="161"/>
      <c r="W52" s="29"/>
      <c r="X52" s="2"/>
      <c r="Y52" s="29"/>
    </row>
    <row x14ac:dyDescent="0.25" r="53" customHeight="1" ht="19.5">
      <c r="A53" s="478">
        <v>45673</v>
      </c>
      <c r="B53" s="14" t="s">
        <v>290</v>
      </c>
      <c r="C53" s="14" t="s">
        <v>5893</v>
      </c>
      <c r="D53" s="14" t="s">
        <v>54</v>
      </c>
      <c r="E53" s="14" t="s">
        <v>5894</v>
      </c>
      <c r="F53" s="14" t="s">
        <v>5895</v>
      </c>
      <c r="G53" s="14" t="s">
        <v>5896</v>
      </c>
      <c r="H53" s="14" t="s">
        <v>127</v>
      </c>
      <c r="I53" s="17">
        <v>109200</v>
      </c>
      <c r="J53" s="69">
        <v>470000</v>
      </c>
      <c r="K53" s="485">
        <v>399520</v>
      </c>
      <c r="L53" s="17">
        <f>J53-K53</f>
      </c>
      <c r="M53" s="14" t="s">
        <v>50</v>
      </c>
      <c r="N53" s="14" t="s">
        <v>5897</v>
      </c>
      <c r="O53" s="17">
        <v>4</v>
      </c>
      <c r="P53" s="17"/>
      <c r="Q53" s="17"/>
      <c r="R53" s="17">
        <v>470000</v>
      </c>
      <c r="S53" s="17">
        <f>J53-P53-R53</f>
      </c>
      <c r="T53" s="293">
        <v>45671</v>
      </c>
      <c r="U53" s="14" t="s">
        <v>1718</v>
      </c>
      <c r="V53" s="161" t="s">
        <v>1663</v>
      </c>
      <c r="W53" s="29"/>
      <c r="X53" s="2"/>
      <c r="Y53" s="29"/>
    </row>
    <row x14ac:dyDescent="0.25" r="54" customHeight="1" ht="19.5">
      <c r="A54" s="478">
        <v>45659</v>
      </c>
      <c r="B54" s="14" t="s">
        <v>46</v>
      </c>
      <c r="C54" s="14" t="s">
        <v>5898</v>
      </c>
      <c r="D54" s="14" t="s">
        <v>54</v>
      </c>
      <c r="E54" s="14" t="s">
        <v>5899</v>
      </c>
      <c r="F54" s="14" t="s">
        <v>5900</v>
      </c>
      <c r="G54" s="14" t="s">
        <v>4919</v>
      </c>
      <c r="H54" s="14" t="s">
        <v>26</v>
      </c>
      <c r="I54" s="17">
        <v>685500</v>
      </c>
      <c r="J54" s="69">
        <v>1177620</v>
      </c>
      <c r="K54" s="17">
        <v>987420</v>
      </c>
      <c r="L54" s="17">
        <f>J54-K54</f>
      </c>
      <c r="M54" s="14" t="s">
        <v>50</v>
      </c>
      <c r="N54" s="14" t="s">
        <v>5901</v>
      </c>
      <c r="O54" s="17">
        <v>2</v>
      </c>
      <c r="P54" s="17">
        <v>1177500</v>
      </c>
      <c r="Q54" s="17"/>
      <c r="R54" s="17"/>
      <c r="S54" s="17">
        <f>J54-P54-R54</f>
      </c>
      <c r="T54" s="293">
        <v>45672</v>
      </c>
      <c r="U54" s="14" t="s">
        <v>1718</v>
      </c>
      <c r="V54" s="161" t="s">
        <v>5902</v>
      </c>
      <c r="W54" s="29">
        <v>699998337</v>
      </c>
      <c r="X54" s="2"/>
      <c r="Y54" s="29"/>
    </row>
    <row x14ac:dyDescent="0.25" r="55" customHeight="1" ht="19.5">
      <c r="A55" s="478">
        <v>45675</v>
      </c>
      <c r="B55" s="14" t="s">
        <v>106</v>
      </c>
      <c r="C55" s="14" t="s">
        <v>5903</v>
      </c>
      <c r="D55" s="14" t="s">
        <v>5904</v>
      </c>
      <c r="E55" s="14" t="s">
        <v>5905</v>
      </c>
      <c r="F55" s="14" t="s">
        <v>5906</v>
      </c>
      <c r="G55" s="14" t="s">
        <v>5907</v>
      </c>
      <c r="H55" s="14" t="s">
        <v>688</v>
      </c>
      <c r="I55" s="17">
        <v>234500</v>
      </c>
      <c r="J55" s="69">
        <v>568900</v>
      </c>
      <c r="K55" s="17">
        <v>555773</v>
      </c>
      <c r="L55" s="17">
        <f>J55-K55</f>
      </c>
      <c r="M55" s="14" t="s">
        <v>50</v>
      </c>
      <c r="N55" s="14" t="s">
        <v>5908</v>
      </c>
      <c r="O55" s="17">
        <v>4</v>
      </c>
      <c r="P55" s="17"/>
      <c r="Q55" s="17"/>
      <c r="R55" s="17">
        <v>568900</v>
      </c>
      <c r="S55" s="17">
        <v>0</v>
      </c>
      <c r="T55" s="293">
        <v>45678</v>
      </c>
      <c r="U55" s="14" t="s">
        <v>1718</v>
      </c>
      <c r="V55" s="161"/>
      <c r="W55" s="29"/>
      <c r="X55" s="2"/>
      <c r="Y55" s="29"/>
    </row>
    <row x14ac:dyDescent="0.25" r="56" customHeight="1" ht="19.5">
      <c r="A56" s="478">
        <v>45668</v>
      </c>
      <c r="B56" s="14" t="s">
        <v>897</v>
      </c>
      <c r="C56" s="14" t="s">
        <v>5909</v>
      </c>
      <c r="D56" s="14" t="s">
        <v>585</v>
      </c>
      <c r="E56" s="14" t="s">
        <v>5910</v>
      </c>
      <c r="F56" s="14" t="s">
        <v>5911</v>
      </c>
      <c r="G56" s="14" t="s">
        <v>5912</v>
      </c>
      <c r="H56" s="14" t="s">
        <v>26</v>
      </c>
      <c r="I56" s="17">
        <v>73500</v>
      </c>
      <c r="J56" s="69">
        <v>559900</v>
      </c>
      <c r="K56" s="485">
        <v>514737</v>
      </c>
      <c r="L56" s="17">
        <f>J56-K56</f>
      </c>
      <c r="M56" s="14" t="s">
        <v>50</v>
      </c>
      <c r="N56" s="14" t="s">
        <v>5913</v>
      </c>
      <c r="O56" s="17">
        <v>2</v>
      </c>
      <c r="P56" s="17">
        <v>296500</v>
      </c>
      <c r="Q56" s="17"/>
      <c r="R56" s="17"/>
      <c r="S56" s="17">
        <f>J56-P56-R56</f>
      </c>
      <c r="T56" s="293">
        <v>45673</v>
      </c>
      <c r="U56" s="14" t="s">
        <v>1718</v>
      </c>
      <c r="V56" s="18">
        <v>45677</v>
      </c>
      <c r="W56" s="29"/>
      <c r="X56" s="2"/>
      <c r="Y56" s="29"/>
    </row>
    <row x14ac:dyDescent="0.25" r="57" customHeight="1" ht="19.5">
      <c r="A57" s="478">
        <v>45668</v>
      </c>
      <c r="B57" s="14" t="s">
        <v>897</v>
      </c>
      <c r="C57" s="14" t="s">
        <v>5914</v>
      </c>
      <c r="D57" s="14" t="s">
        <v>585</v>
      </c>
      <c r="E57" s="14" t="s">
        <v>5910</v>
      </c>
      <c r="F57" s="14" t="s">
        <v>5911</v>
      </c>
      <c r="G57" s="14" t="s">
        <v>5915</v>
      </c>
      <c r="H57" s="14" t="s">
        <v>26</v>
      </c>
      <c r="I57" s="17">
        <v>73500</v>
      </c>
      <c r="J57" s="69">
        <v>585900</v>
      </c>
      <c r="K57" s="485">
        <v>514737</v>
      </c>
      <c r="L57" s="17">
        <f>J57-K57</f>
      </c>
      <c r="M57" s="14" t="s">
        <v>50</v>
      </c>
      <c r="N57" s="14" t="s">
        <v>5916</v>
      </c>
      <c r="O57" s="17">
        <v>2</v>
      </c>
      <c r="P57" s="17"/>
      <c r="Q57" s="17"/>
      <c r="R57" s="17"/>
      <c r="S57" s="17">
        <f>J57-P57-R57</f>
      </c>
      <c r="T57" s="293"/>
      <c r="U57" s="17"/>
      <c r="V57" s="18">
        <v>45677</v>
      </c>
      <c r="W57" s="29"/>
      <c r="X57" s="2"/>
      <c r="Y57" s="29"/>
    </row>
    <row x14ac:dyDescent="0.25" r="58" customHeight="1" ht="19.5">
      <c r="A58" s="478">
        <v>45681</v>
      </c>
      <c r="B58" s="14" t="s">
        <v>72</v>
      </c>
      <c r="C58" s="14" t="s">
        <v>5917</v>
      </c>
      <c r="D58" s="14" t="s">
        <v>5918</v>
      </c>
      <c r="E58" s="14" t="s">
        <v>5919</v>
      </c>
      <c r="F58" s="14" t="s">
        <v>5920</v>
      </c>
      <c r="G58" s="14" t="s">
        <v>5921</v>
      </c>
      <c r="H58" s="14" t="s">
        <v>26</v>
      </c>
      <c r="I58" s="17">
        <v>138900</v>
      </c>
      <c r="J58" s="69">
        <v>379950</v>
      </c>
      <c r="K58" s="17">
        <v>328753</v>
      </c>
      <c r="L58" s="17">
        <f>J58-K58</f>
      </c>
      <c r="M58" s="14" t="s">
        <v>50</v>
      </c>
      <c r="N58" s="14" t="s">
        <v>5922</v>
      </c>
      <c r="O58" s="17">
        <v>2</v>
      </c>
      <c r="P58" s="17">
        <v>377000</v>
      </c>
      <c r="Q58" s="17"/>
      <c r="R58" s="17"/>
      <c r="S58" s="17">
        <f>J58-P58-R58</f>
      </c>
      <c r="T58" s="293">
        <v>45681</v>
      </c>
      <c r="U58" s="14" t="s">
        <v>2307</v>
      </c>
      <c r="V58" s="161"/>
      <c r="W58" s="29"/>
      <c r="X58" s="2"/>
      <c r="Y58" s="29"/>
    </row>
    <row x14ac:dyDescent="0.25" r="59" customHeight="1" ht="19.5">
      <c r="A59" s="478">
        <v>45659</v>
      </c>
      <c r="B59" s="14" t="s">
        <v>46</v>
      </c>
      <c r="C59" s="14" t="s">
        <v>5923</v>
      </c>
      <c r="D59" s="14" t="s">
        <v>54</v>
      </c>
      <c r="E59" s="14" t="s">
        <v>5924</v>
      </c>
      <c r="F59" s="14" t="s">
        <v>174</v>
      </c>
      <c r="G59" s="14" t="s">
        <v>5925</v>
      </c>
      <c r="H59" s="14" t="s">
        <v>26</v>
      </c>
      <c r="I59" s="17"/>
      <c r="J59" s="69">
        <v>3588900</v>
      </c>
      <c r="K59" s="17">
        <v>2832373</v>
      </c>
      <c r="L59" s="17">
        <f>J59-K59</f>
      </c>
      <c r="M59" s="14" t="s">
        <v>3045</v>
      </c>
      <c r="N59" s="14" t="s">
        <v>5926</v>
      </c>
      <c r="O59" s="17">
        <v>0</v>
      </c>
      <c r="P59" s="17"/>
      <c r="Q59" s="17"/>
      <c r="R59" s="17">
        <v>3588900</v>
      </c>
      <c r="S59" s="17">
        <f>J59-P59-R59</f>
      </c>
      <c r="T59" s="293">
        <v>45727</v>
      </c>
      <c r="U59" s="14" t="s">
        <v>1718</v>
      </c>
      <c r="V59" s="161" t="s">
        <v>5902</v>
      </c>
      <c r="W59" s="107" t="s">
        <v>5927</v>
      </c>
      <c r="X59" s="2"/>
      <c r="Y59" s="29"/>
    </row>
    <row x14ac:dyDescent="0.25" r="60" customHeight="1" ht="19.5">
      <c r="A60" s="478">
        <v>45681</v>
      </c>
      <c r="B60" s="14" t="s">
        <v>82</v>
      </c>
      <c r="C60" s="14" t="s">
        <v>5928</v>
      </c>
      <c r="D60" s="14" t="s">
        <v>472</v>
      </c>
      <c r="E60" s="14" t="s">
        <v>5929</v>
      </c>
      <c r="F60" s="14" t="s">
        <v>174</v>
      </c>
      <c r="G60" s="14" t="s">
        <v>5930</v>
      </c>
      <c r="H60" s="14" t="s">
        <v>26</v>
      </c>
      <c r="I60" s="17"/>
      <c r="J60" s="69">
        <v>29900</v>
      </c>
      <c r="K60" s="17">
        <v>22400</v>
      </c>
      <c r="L60" s="17">
        <f>J60-K60</f>
      </c>
      <c r="M60" s="14" t="s">
        <v>82</v>
      </c>
      <c r="N60" s="14" t="s">
        <v>5931</v>
      </c>
      <c r="O60" s="65" t="s">
        <v>251</v>
      </c>
      <c r="P60" s="17"/>
      <c r="Q60" s="17"/>
      <c r="R60" s="17">
        <v>29900</v>
      </c>
      <c r="S60" s="17">
        <f>J60-P60-R60</f>
      </c>
      <c r="T60" s="293">
        <v>45730</v>
      </c>
      <c r="U60" s="14" t="s">
        <v>1718</v>
      </c>
      <c r="V60" s="161"/>
      <c r="W60" s="29"/>
      <c r="X60" s="2"/>
      <c r="Y60" s="29"/>
    </row>
    <row x14ac:dyDescent="0.25" r="61" customHeight="1" ht="28.5">
      <c r="A61" s="478">
        <v>45659</v>
      </c>
      <c r="B61" s="14" t="s">
        <v>46</v>
      </c>
      <c r="C61" s="14" t="s">
        <v>5932</v>
      </c>
      <c r="D61" s="14" t="s">
        <v>5265</v>
      </c>
      <c r="E61" s="14" t="s">
        <v>5933</v>
      </c>
      <c r="F61" s="14" t="s">
        <v>5934</v>
      </c>
      <c r="G61" s="14" t="s">
        <v>5935</v>
      </c>
      <c r="H61" s="14" t="s">
        <v>262</v>
      </c>
      <c r="I61" s="17">
        <v>276000</v>
      </c>
      <c r="J61" s="69">
        <v>588600</v>
      </c>
      <c r="K61" s="17">
        <v>538600</v>
      </c>
      <c r="L61" s="17">
        <f>J61-K61</f>
      </c>
      <c r="M61" s="14" t="s">
        <v>50</v>
      </c>
      <c r="N61" s="14" t="s">
        <v>5936</v>
      </c>
      <c r="O61" s="17">
        <v>2</v>
      </c>
      <c r="P61" s="17">
        <v>505000</v>
      </c>
      <c r="Q61" s="17"/>
      <c r="R61" s="17">
        <v>83600</v>
      </c>
      <c r="S61" s="17">
        <f>J61-P61-R61</f>
      </c>
      <c r="T61" s="578" t="s">
        <v>4180</v>
      </c>
      <c r="U61" s="14" t="s">
        <v>1718</v>
      </c>
      <c r="V61" s="161"/>
      <c r="W61" s="107" t="s">
        <v>5937</v>
      </c>
      <c r="X61" s="2"/>
      <c r="Y61" s="29"/>
    </row>
    <row x14ac:dyDescent="0.25" r="62" customHeight="1" ht="19.5">
      <c r="A62" s="482">
        <v>45687</v>
      </c>
      <c r="B62" s="56" t="s">
        <v>897</v>
      </c>
      <c r="C62" s="56" t="s">
        <v>2461</v>
      </c>
      <c r="D62" s="56" t="s">
        <v>585</v>
      </c>
      <c r="E62" s="56" t="s">
        <v>5938</v>
      </c>
      <c r="F62" s="56" t="s">
        <v>587</v>
      </c>
      <c r="G62" s="56" t="s">
        <v>5939</v>
      </c>
      <c r="H62" s="56" t="s">
        <v>5940</v>
      </c>
      <c r="I62" s="57">
        <v>0</v>
      </c>
      <c r="J62" s="57">
        <v>0</v>
      </c>
      <c r="K62" s="57">
        <v>0</v>
      </c>
      <c r="L62" s="57">
        <v>0</v>
      </c>
      <c r="M62" s="56" t="s">
        <v>50</v>
      </c>
      <c r="N62" s="56" t="s">
        <v>5941</v>
      </c>
      <c r="O62" s="57">
        <v>2</v>
      </c>
      <c r="P62" s="57"/>
      <c r="Q62" s="57"/>
      <c r="R62" s="57">
        <v>0</v>
      </c>
      <c r="S62" s="57">
        <f>J62-P62-R62</f>
      </c>
      <c r="T62" s="483"/>
      <c r="U62" s="57"/>
      <c r="V62" s="132"/>
      <c r="W62" s="29"/>
      <c r="X62" s="2"/>
      <c r="Y62" s="29"/>
    </row>
    <row x14ac:dyDescent="0.25" r="63" customHeight="1" ht="19.5">
      <c r="A63" s="478">
        <v>45682</v>
      </c>
      <c r="B63" s="14" t="s">
        <v>53</v>
      </c>
      <c r="C63" s="14" t="s">
        <v>5942</v>
      </c>
      <c r="D63" s="14" t="s">
        <v>282</v>
      </c>
      <c r="E63" s="14" t="s">
        <v>5943</v>
      </c>
      <c r="F63" s="14" t="s">
        <v>4513</v>
      </c>
      <c r="G63" s="14" t="s">
        <v>5944</v>
      </c>
      <c r="H63" s="14" t="s">
        <v>26</v>
      </c>
      <c r="I63" s="17"/>
      <c r="J63" s="69">
        <v>497920</v>
      </c>
      <c r="K63" s="17">
        <v>447120</v>
      </c>
      <c r="L63" s="17">
        <f>J63-K63</f>
      </c>
      <c r="M63" s="14" t="s">
        <v>137</v>
      </c>
      <c r="N63" s="14" t="s">
        <v>5945</v>
      </c>
      <c r="O63" s="65"/>
      <c r="P63" s="272">
        <v>350000</v>
      </c>
      <c r="Q63" s="494">
        <v>500000</v>
      </c>
      <c r="R63" s="272">
        <v>548000</v>
      </c>
      <c r="S63" s="494">
        <v>0</v>
      </c>
      <c r="T63" s="579" t="s">
        <v>5946</v>
      </c>
      <c r="U63" s="575" t="s">
        <v>1718</v>
      </c>
      <c r="V63" s="161"/>
      <c r="W63" s="29"/>
      <c r="X63" s="2"/>
      <c r="Y63" s="29"/>
    </row>
    <row x14ac:dyDescent="0.25" r="64" customHeight="1" ht="19.5">
      <c r="A64" s="478">
        <v>45682</v>
      </c>
      <c r="B64" s="14" t="s">
        <v>53</v>
      </c>
      <c r="C64" s="14" t="s">
        <v>5942</v>
      </c>
      <c r="D64" s="14" t="s">
        <v>282</v>
      </c>
      <c r="E64" s="14" t="s">
        <v>5943</v>
      </c>
      <c r="F64" s="14" t="s">
        <v>4513</v>
      </c>
      <c r="G64" s="14" t="s">
        <v>5947</v>
      </c>
      <c r="H64" s="14" t="s">
        <v>26</v>
      </c>
      <c r="I64" s="17"/>
      <c r="J64" s="69">
        <v>449820</v>
      </c>
      <c r="K64" s="17">
        <v>399220</v>
      </c>
      <c r="L64" s="17">
        <f>J64-K64</f>
      </c>
      <c r="M64" s="14" t="s">
        <v>137</v>
      </c>
      <c r="N64" s="14" t="s">
        <v>5948</v>
      </c>
      <c r="O64" s="65"/>
      <c r="P64" s="219"/>
      <c r="Q64" s="169"/>
      <c r="R64" s="219"/>
      <c r="S64" s="169"/>
      <c r="T64" s="580"/>
      <c r="U64" s="219"/>
      <c r="V64" s="161"/>
      <c r="W64" s="29"/>
      <c r="X64" s="2"/>
      <c r="Y64" s="29"/>
    </row>
    <row x14ac:dyDescent="0.25" r="65" customHeight="1" ht="19.5">
      <c r="A65" s="478">
        <v>45682</v>
      </c>
      <c r="B65" s="14" t="s">
        <v>53</v>
      </c>
      <c r="C65" s="14" t="s">
        <v>5942</v>
      </c>
      <c r="D65" s="14" t="s">
        <v>282</v>
      </c>
      <c r="E65" s="14" t="s">
        <v>5943</v>
      </c>
      <c r="F65" s="14" t="s">
        <v>4513</v>
      </c>
      <c r="G65" s="581" t="s">
        <v>5949</v>
      </c>
      <c r="H65" s="14" t="s">
        <v>26</v>
      </c>
      <c r="I65" s="17"/>
      <c r="J65" s="69">
        <v>449820</v>
      </c>
      <c r="K65" s="17">
        <v>399220</v>
      </c>
      <c r="L65" s="17">
        <f>J65-K65</f>
      </c>
      <c r="M65" s="14" t="s">
        <v>137</v>
      </c>
      <c r="N65" s="14" t="s">
        <v>5950</v>
      </c>
      <c r="O65" s="65"/>
      <c r="P65" s="273"/>
      <c r="Q65" s="151"/>
      <c r="R65" s="273"/>
      <c r="S65" s="151"/>
      <c r="T65" s="582"/>
      <c r="U65" s="273"/>
      <c r="V65" s="161"/>
      <c r="W65" s="29"/>
      <c r="X65" s="2"/>
      <c r="Y65" s="29"/>
    </row>
    <row x14ac:dyDescent="0.25" r="66" customHeight="1" ht="19.5">
      <c r="A66" s="478">
        <v>45663</v>
      </c>
      <c r="B66" s="14" t="s">
        <v>72</v>
      </c>
      <c r="C66" s="14" t="s">
        <v>5951</v>
      </c>
      <c r="D66" s="14" t="s">
        <v>5952</v>
      </c>
      <c r="E66" s="14" t="s">
        <v>5953</v>
      </c>
      <c r="F66" s="14" t="s">
        <v>5954</v>
      </c>
      <c r="G66" s="14" t="s">
        <v>5955</v>
      </c>
      <c r="H66" s="14" t="s">
        <v>26</v>
      </c>
      <c r="I66" s="17"/>
      <c r="J66" s="69">
        <v>115400</v>
      </c>
      <c r="K66" s="17">
        <v>95400</v>
      </c>
      <c r="L66" s="17">
        <f>J66-K66</f>
      </c>
      <c r="M66" s="14" t="s">
        <v>72</v>
      </c>
      <c r="N66" s="14" t="s">
        <v>5956</v>
      </c>
      <c r="O66" s="65" t="s">
        <v>251</v>
      </c>
      <c r="P66" s="17"/>
      <c r="Q66" s="17"/>
      <c r="R66" s="17">
        <v>115400</v>
      </c>
      <c r="S66" s="17">
        <f>J66-P66-R66</f>
      </c>
      <c r="T66" s="293"/>
      <c r="U66" s="17"/>
      <c r="V66" s="161"/>
      <c r="W66" s="29"/>
      <c r="X66" s="2"/>
      <c r="Y66" s="29"/>
    </row>
    <row x14ac:dyDescent="0.25" r="67" customHeight="1" ht="29.25">
      <c r="A67" s="478">
        <v>45672</v>
      </c>
      <c r="B67" s="14" t="s">
        <v>46</v>
      </c>
      <c r="C67" s="14" t="s">
        <v>5957</v>
      </c>
      <c r="D67" s="14" t="s">
        <v>5958</v>
      </c>
      <c r="E67" s="14" t="s">
        <v>5959</v>
      </c>
      <c r="F67" s="14" t="s">
        <v>5960</v>
      </c>
      <c r="G67" s="577" t="s">
        <v>5961</v>
      </c>
      <c r="H67" s="14" t="s">
        <v>26</v>
      </c>
      <c r="I67" s="17">
        <v>387200</v>
      </c>
      <c r="J67" s="69">
        <v>850950</v>
      </c>
      <c r="K67" s="485">
        <v>696120</v>
      </c>
      <c r="L67" s="17">
        <f>J67-K67</f>
      </c>
      <c r="M67" s="14" t="s">
        <v>50</v>
      </c>
      <c r="N67" s="14" t="s">
        <v>5962</v>
      </c>
      <c r="O67" s="17">
        <v>2</v>
      </c>
      <c r="P67" s="17">
        <v>500000</v>
      </c>
      <c r="Q67" s="17"/>
      <c r="R67" s="17">
        <v>350950</v>
      </c>
      <c r="S67" s="17">
        <f>J67-P67-R67</f>
      </c>
      <c r="T67" s="294" t="s">
        <v>5963</v>
      </c>
      <c r="U67" s="14" t="s">
        <v>2216</v>
      </c>
      <c r="V67" s="161"/>
      <c r="W67" s="29"/>
      <c r="X67" s="2"/>
      <c r="Y67" s="29"/>
    </row>
    <row x14ac:dyDescent="0.25" r="68" customHeight="1" ht="19.5">
      <c r="A68" s="478">
        <v>45674</v>
      </c>
      <c r="B68" s="14" t="s">
        <v>72</v>
      </c>
      <c r="C68" s="14" t="s">
        <v>5964</v>
      </c>
      <c r="D68" s="14" t="s">
        <v>448</v>
      </c>
      <c r="E68" s="14" t="s">
        <v>5965</v>
      </c>
      <c r="F68" s="14" t="s">
        <v>5966</v>
      </c>
      <c r="G68" s="14" t="s">
        <v>5967</v>
      </c>
      <c r="H68" s="14" t="s">
        <v>26</v>
      </c>
      <c r="I68" s="17">
        <v>157800</v>
      </c>
      <c r="J68" s="69">
        <v>498920</v>
      </c>
      <c r="K68" s="485">
        <v>442786</v>
      </c>
      <c r="L68" s="17">
        <f>J68-K68</f>
      </c>
      <c r="M68" s="14" t="s">
        <v>50</v>
      </c>
      <c r="N68" s="14" t="s">
        <v>5968</v>
      </c>
      <c r="O68" s="65"/>
      <c r="P68" s="17"/>
      <c r="Q68" s="17"/>
      <c r="R68" s="17">
        <v>498920</v>
      </c>
      <c r="S68" s="17">
        <f>J68-P68-R68</f>
      </c>
      <c r="T68" s="293">
        <v>45674</v>
      </c>
      <c r="U68" s="14" t="s">
        <v>1718</v>
      </c>
      <c r="V68" s="161"/>
      <c r="W68" s="29"/>
      <c r="X68" s="2"/>
      <c r="Y68" s="29"/>
    </row>
    <row x14ac:dyDescent="0.25" r="69" customHeight="1" ht="19.5">
      <c r="A69" s="478">
        <v>45677</v>
      </c>
      <c r="B69" s="14" t="s">
        <v>66</v>
      </c>
      <c r="C69" s="14" t="s">
        <v>5969</v>
      </c>
      <c r="D69" s="14" t="s">
        <v>429</v>
      </c>
      <c r="E69" s="14" t="s">
        <v>5970</v>
      </c>
      <c r="F69" s="14" t="s">
        <v>5971</v>
      </c>
      <c r="G69" s="14" t="s">
        <v>5972</v>
      </c>
      <c r="H69" s="14" t="s">
        <v>76</v>
      </c>
      <c r="I69" s="17"/>
      <c r="J69" s="69">
        <v>452000</v>
      </c>
      <c r="K69" s="69">
        <v>421120</v>
      </c>
      <c r="L69" s="17">
        <f>J69-K69</f>
      </c>
      <c r="M69" s="14" t="s">
        <v>187</v>
      </c>
      <c r="N69" s="14" t="s">
        <v>5973</v>
      </c>
      <c r="O69" s="65"/>
      <c r="P69" s="17"/>
      <c r="Q69" s="17"/>
      <c r="R69" s="17">
        <v>452000</v>
      </c>
      <c r="S69" s="17">
        <f>J69-P69-R69</f>
      </c>
      <c r="T69" s="293">
        <v>45678</v>
      </c>
      <c r="U69" s="14" t="s">
        <v>1718</v>
      </c>
      <c r="V69" s="18"/>
      <c r="W69" s="29"/>
      <c r="X69" s="2"/>
      <c r="Y69" s="29"/>
    </row>
    <row x14ac:dyDescent="0.25" r="70" customHeight="1" ht="19.5">
      <c r="A70" s="482">
        <v>45679</v>
      </c>
      <c r="B70" s="56" t="s">
        <v>53</v>
      </c>
      <c r="C70" s="56" t="s">
        <v>5974</v>
      </c>
      <c r="D70" s="56" t="s">
        <v>54</v>
      </c>
      <c r="E70" s="583"/>
      <c r="F70" s="56" t="s">
        <v>5975</v>
      </c>
      <c r="G70" s="56" t="s">
        <v>5976</v>
      </c>
      <c r="H70" s="56" t="s">
        <v>26</v>
      </c>
      <c r="I70" s="57"/>
      <c r="J70" s="57">
        <v>-4803</v>
      </c>
      <c r="K70" s="57">
        <v>4803</v>
      </c>
      <c r="L70" s="57">
        <v>-4803</v>
      </c>
      <c r="M70" s="56" t="s">
        <v>137</v>
      </c>
      <c r="N70" s="56" t="s">
        <v>5977</v>
      </c>
      <c r="O70" s="180"/>
      <c r="P70" s="57">
        <v>-4803</v>
      </c>
      <c r="Q70" s="57"/>
      <c r="R70" s="57"/>
      <c r="S70" s="57">
        <f>J70-P70-R70</f>
      </c>
      <c r="T70" s="483"/>
      <c r="U70" s="57"/>
      <c r="V70" s="55"/>
      <c r="W70" s="29"/>
      <c r="X70" s="2"/>
      <c r="Y70" s="29"/>
    </row>
    <row x14ac:dyDescent="0.25" r="71" customHeight="1" ht="19.5">
      <c r="A71" s="478">
        <v>45675</v>
      </c>
      <c r="B71" s="14" t="s">
        <v>72</v>
      </c>
      <c r="C71" s="14" t="s">
        <v>5978</v>
      </c>
      <c r="D71" s="14" t="s">
        <v>455</v>
      </c>
      <c r="E71" s="14" t="s">
        <v>5979</v>
      </c>
      <c r="F71" s="14" t="s">
        <v>5980</v>
      </c>
      <c r="G71" s="14" t="s">
        <v>5981</v>
      </c>
      <c r="H71" s="14" t="s">
        <v>26</v>
      </c>
      <c r="I71" s="17"/>
      <c r="J71" s="69">
        <v>98500</v>
      </c>
      <c r="K71" s="17">
        <v>71200</v>
      </c>
      <c r="L71" s="17">
        <f>J71-K71</f>
      </c>
      <c r="M71" s="14" t="s">
        <v>50</v>
      </c>
      <c r="N71" s="14" t="s">
        <v>5982</v>
      </c>
      <c r="O71" s="65" t="s">
        <v>251</v>
      </c>
      <c r="P71" s="17">
        <v>0</v>
      </c>
      <c r="Q71" s="17"/>
      <c r="R71" s="17">
        <v>98500</v>
      </c>
      <c r="S71" s="17">
        <f>J71-P71-R71</f>
      </c>
      <c r="T71" s="293">
        <v>45677</v>
      </c>
      <c r="U71" s="14" t="s">
        <v>2307</v>
      </c>
      <c r="V71" s="161"/>
      <c r="W71" s="29"/>
      <c r="X71" s="2"/>
      <c r="Y71" s="29"/>
    </row>
    <row x14ac:dyDescent="0.25" r="72" customHeight="1" ht="19.5">
      <c r="A72" s="478">
        <v>45677</v>
      </c>
      <c r="B72" s="14" t="s">
        <v>66</v>
      </c>
      <c r="C72" s="14" t="s">
        <v>5969</v>
      </c>
      <c r="D72" s="14" t="s">
        <v>429</v>
      </c>
      <c r="E72" s="14" t="s">
        <v>5983</v>
      </c>
      <c r="F72" s="14" t="s">
        <v>2939</v>
      </c>
      <c r="G72" s="14" t="s">
        <v>5984</v>
      </c>
      <c r="H72" s="14" t="s">
        <v>76</v>
      </c>
      <c r="I72" s="17"/>
      <c r="J72" s="69">
        <v>452000</v>
      </c>
      <c r="K72" s="69">
        <v>421120</v>
      </c>
      <c r="L72" s="17">
        <f>J72-K72</f>
      </c>
      <c r="M72" s="14" t="s">
        <v>187</v>
      </c>
      <c r="N72" s="14" t="s">
        <v>5985</v>
      </c>
      <c r="O72" s="65"/>
      <c r="P72" s="17"/>
      <c r="Q72" s="17"/>
      <c r="R72" s="17">
        <v>452000</v>
      </c>
      <c r="S72" s="17">
        <f>J72-P72-R72</f>
      </c>
      <c r="T72" s="293">
        <v>45678</v>
      </c>
      <c r="U72" s="14" t="s">
        <v>1718</v>
      </c>
      <c r="V72" s="18"/>
      <c r="W72" s="29"/>
      <c r="X72" s="2"/>
      <c r="Y72" s="29"/>
    </row>
    <row x14ac:dyDescent="0.25" r="73" customHeight="1" ht="19.5">
      <c r="A73" s="478">
        <v>45675</v>
      </c>
      <c r="B73" s="14" t="s">
        <v>53</v>
      </c>
      <c r="C73" s="14" t="s">
        <v>466</v>
      </c>
      <c r="D73" s="14" t="s">
        <v>264</v>
      </c>
      <c r="E73" s="14" t="s">
        <v>5986</v>
      </c>
      <c r="F73" s="14" t="s">
        <v>242</v>
      </c>
      <c r="G73" s="14" t="s">
        <v>560</v>
      </c>
      <c r="H73" s="14" t="s">
        <v>26</v>
      </c>
      <c r="I73" s="17"/>
      <c r="J73" s="69">
        <v>92300</v>
      </c>
      <c r="K73" s="17">
        <v>78800</v>
      </c>
      <c r="L73" s="17">
        <f>J73-K73</f>
      </c>
      <c r="M73" s="14" t="s">
        <v>137</v>
      </c>
      <c r="N73" s="14" t="s">
        <v>5987</v>
      </c>
      <c r="O73" s="65" t="s">
        <v>4895</v>
      </c>
      <c r="P73" s="17"/>
      <c r="Q73" s="17"/>
      <c r="R73" s="17">
        <v>92300</v>
      </c>
      <c r="S73" s="17">
        <f>J73-P73-R73</f>
      </c>
      <c r="T73" s="293">
        <v>45688</v>
      </c>
      <c r="U73" s="14" t="s">
        <v>1718</v>
      </c>
      <c r="V73" s="161"/>
      <c r="W73" s="29"/>
      <c r="X73" s="2"/>
      <c r="Y73" s="29"/>
    </row>
    <row x14ac:dyDescent="0.25" r="74" customHeight="1" ht="19.5">
      <c r="A74" s="478">
        <v>45676</v>
      </c>
      <c r="B74" s="14" t="s">
        <v>72</v>
      </c>
      <c r="C74" s="14" t="s">
        <v>5988</v>
      </c>
      <c r="D74" s="14" t="s">
        <v>448</v>
      </c>
      <c r="E74" s="14" t="s">
        <v>5989</v>
      </c>
      <c r="F74" s="14" t="s">
        <v>242</v>
      </c>
      <c r="G74" s="14" t="s">
        <v>560</v>
      </c>
      <c r="H74" s="14" t="s">
        <v>26</v>
      </c>
      <c r="I74" s="17">
        <v>157800</v>
      </c>
      <c r="J74" s="69">
        <v>497500</v>
      </c>
      <c r="K74" s="17">
        <v>443686</v>
      </c>
      <c r="L74" s="17">
        <f>J74-K74</f>
      </c>
      <c r="M74" s="14" t="s">
        <v>50</v>
      </c>
      <c r="N74" s="14" t="s">
        <v>5990</v>
      </c>
      <c r="O74" s="17">
        <v>4</v>
      </c>
      <c r="P74" s="17"/>
      <c r="Q74" s="17"/>
      <c r="R74" s="17">
        <v>497500</v>
      </c>
      <c r="S74" s="17">
        <f>J74-P74-R74</f>
      </c>
      <c r="T74" s="293">
        <v>45688</v>
      </c>
      <c r="U74" s="14" t="s">
        <v>1718</v>
      </c>
      <c r="V74" s="161"/>
      <c r="W74" s="29"/>
      <c r="X74" s="2"/>
      <c r="Y74" s="29"/>
    </row>
    <row x14ac:dyDescent="0.25" r="75" customHeight="1" ht="19.5">
      <c r="A75" s="478">
        <v>45676</v>
      </c>
      <c r="B75" s="14" t="s">
        <v>72</v>
      </c>
      <c r="C75" s="14" t="s">
        <v>5988</v>
      </c>
      <c r="D75" s="14" t="s">
        <v>448</v>
      </c>
      <c r="E75" s="14" t="s">
        <v>5989</v>
      </c>
      <c r="F75" s="14" t="s">
        <v>242</v>
      </c>
      <c r="G75" s="14" t="s">
        <v>5162</v>
      </c>
      <c r="H75" s="14" t="s">
        <v>26</v>
      </c>
      <c r="I75" s="17">
        <v>157800</v>
      </c>
      <c r="J75" s="69">
        <v>497500</v>
      </c>
      <c r="K75" s="17">
        <v>443686</v>
      </c>
      <c r="L75" s="17">
        <f>J75-K75</f>
      </c>
      <c r="M75" s="14" t="s">
        <v>50</v>
      </c>
      <c r="N75" s="14" t="s">
        <v>5991</v>
      </c>
      <c r="O75" s="17">
        <v>4</v>
      </c>
      <c r="P75" s="17"/>
      <c r="Q75" s="17"/>
      <c r="R75" s="17">
        <v>497500</v>
      </c>
      <c r="S75" s="17">
        <f>J75-P75-R75</f>
      </c>
      <c r="T75" s="293">
        <v>45688</v>
      </c>
      <c r="U75" s="14" t="s">
        <v>1718</v>
      </c>
      <c r="V75" s="161"/>
      <c r="W75" s="29"/>
      <c r="X75" s="2"/>
      <c r="Y75" s="29"/>
    </row>
    <row x14ac:dyDescent="0.25" r="76" customHeight="1" ht="19.5">
      <c r="A76" s="478">
        <v>45676</v>
      </c>
      <c r="B76" s="14" t="s">
        <v>72</v>
      </c>
      <c r="C76" s="14" t="s">
        <v>5988</v>
      </c>
      <c r="D76" s="14" t="s">
        <v>448</v>
      </c>
      <c r="E76" s="14" t="s">
        <v>5989</v>
      </c>
      <c r="F76" s="14" t="s">
        <v>242</v>
      </c>
      <c r="G76" s="14" t="s">
        <v>5164</v>
      </c>
      <c r="H76" s="14" t="s">
        <v>26</v>
      </c>
      <c r="I76" s="17">
        <v>118400</v>
      </c>
      <c r="J76" s="69">
        <v>468520</v>
      </c>
      <c r="K76" s="69">
        <v>405495</v>
      </c>
      <c r="L76" s="17">
        <f>J76-K76</f>
      </c>
      <c r="M76" s="14" t="s">
        <v>50</v>
      </c>
      <c r="N76" s="14" t="s">
        <v>5992</v>
      </c>
      <c r="O76" s="17">
        <v>4</v>
      </c>
      <c r="P76" s="17"/>
      <c r="Q76" s="17"/>
      <c r="R76" s="17">
        <v>468520</v>
      </c>
      <c r="S76" s="17">
        <f>J76-P76-R76</f>
      </c>
      <c r="T76" s="293">
        <v>45688</v>
      </c>
      <c r="U76" s="14" t="s">
        <v>1718</v>
      </c>
      <c r="V76" s="161"/>
      <c r="W76" s="29"/>
      <c r="X76" s="2"/>
      <c r="Y76" s="29"/>
    </row>
    <row x14ac:dyDescent="0.25" r="77" customHeight="1" ht="19.5">
      <c r="A77" s="478">
        <v>45676</v>
      </c>
      <c r="B77" s="14" t="s">
        <v>72</v>
      </c>
      <c r="C77" s="14" t="s">
        <v>5988</v>
      </c>
      <c r="D77" s="14" t="s">
        <v>448</v>
      </c>
      <c r="E77" s="14" t="s">
        <v>5989</v>
      </c>
      <c r="F77" s="14" t="s">
        <v>242</v>
      </c>
      <c r="G77" s="14" t="s">
        <v>5166</v>
      </c>
      <c r="H77" s="14" t="s">
        <v>26</v>
      </c>
      <c r="I77" s="17">
        <v>118400</v>
      </c>
      <c r="J77" s="69">
        <v>468520</v>
      </c>
      <c r="K77" s="69">
        <v>405495</v>
      </c>
      <c r="L77" s="17">
        <f>J77-K77</f>
      </c>
      <c r="M77" s="14" t="s">
        <v>50</v>
      </c>
      <c r="N77" s="14" t="s">
        <v>5993</v>
      </c>
      <c r="O77" s="17">
        <v>4</v>
      </c>
      <c r="P77" s="17"/>
      <c r="Q77" s="17"/>
      <c r="R77" s="17">
        <v>468520</v>
      </c>
      <c r="S77" s="17">
        <f>J77-P77-R77</f>
      </c>
      <c r="T77" s="293">
        <v>45688</v>
      </c>
      <c r="U77" s="14" t="s">
        <v>1718</v>
      </c>
      <c r="V77" s="161"/>
      <c r="W77" s="29"/>
      <c r="X77" s="2"/>
      <c r="Y77" s="29"/>
    </row>
    <row x14ac:dyDescent="0.25" r="78" customHeight="1" ht="19.5">
      <c r="A78" s="478">
        <v>45681</v>
      </c>
      <c r="B78" s="14"/>
      <c r="C78" s="14"/>
      <c r="D78" s="14"/>
      <c r="E78" s="14" t="s">
        <v>5994</v>
      </c>
      <c r="F78" s="14" t="s">
        <v>242</v>
      </c>
      <c r="G78" s="14" t="s">
        <v>560</v>
      </c>
      <c r="H78" s="14" t="s">
        <v>26</v>
      </c>
      <c r="I78" s="17"/>
      <c r="J78" s="69">
        <v>60000</v>
      </c>
      <c r="K78" s="17">
        <v>46000</v>
      </c>
      <c r="L78" s="17">
        <f>J78-K78</f>
      </c>
      <c r="M78" s="14"/>
      <c r="N78" s="14"/>
      <c r="O78" s="65" t="s">
        <v>2987</v>
      </c>
      <c r="P78" s="17"/>
      <c r="Q78" s="17"/>
      <c r="R78" s="17">
        <v>60000</v>
      </c>
      <c r="S78" s="17">
        <f>J78-P78-R78</f>
      </c>
      <c r="T78" s="293">
        <v>45688</v>
      </c>
      <c r="U78" s="14" t="s">
        <v>1718</v>
      </c>
      <c r="V78" s="161"/>
      <c r="W78" s="29"/>
      <c r="X78" s="2"/>
      <c r="Y78" s="29"/>
    </row>
    <row x14ac:dyDescent="0.25" r="79" customHeight="1" ht="19.5">
      <c r="A79" s="478">
        <v>45678</v>
      </c>
      <c r="B79" s="14" t="s">
        <v>82</v>
      </c>
      <c r="C79" s="14" t="s">
        <v>558</v>
      </c>
      <c r="D79" s="14" t="s">
        <v>83</v>
      </c>
      <c r="E79" s="14" t="s">
        <v>559</v>
      </c>
      <c r="F79" s="14" t="s">
        <v>5995</v>
      </c>
      <c r="G79" s="14" t="s">
        <v>560</v>
      </c>
      <c r="H79" s="14" t="s">
        <v>26</v>
      </c>
      <c r="I79" s="17"/>
      <c r="J79" s="69">
        <v>109950</v>
      </c>
      <c r="K79" s="69">
        <v>86540</v>
      </c>
      <c r="L79" s="17">
        <f>J79-K79</f>
      </c>
      <c r="M79" s="14" t="s">
        <v>86</v>
      </c>
      <c r="N79" s="14" t="s">
        <v>562</v>
      </c>
      <c r="O79" s="65"/>
      <c r="P79" s="17"/>
      <c r="Q79" s="17"/>
      <c r="R79" s="17">
        <v>109950</v>
      </c>
      <c r="S79" s="17">
        <f>J79-P79-R79</f>
      </c>
      <c r="T79" s="293">
        <v>45688</v>
      </c>
      <c r="U79" s="14" t="s">
        <v>1718</v>
      </c>
      <c r="V79" s="161"/>
      <c r="W79" s="29"/>
      <c r="X79" s="2"/>
      <c r="Y79" s="29"/>
    </row>
    <row x14ac:dyDescent="0.25" r="80" customHeight="1" ht="19.5">
      <c r="A80" s="478">
        <v>45673</v>
      </c>
      <c r="B80" s="14" t="s">
        <v>22</v>
      </c>
      <c r="C80" s="14" t="s">
        <v>5790</v>
      </c>
      <c r="D80" s="14" t="s">
        <v>23</v>
      </c>
      <c r="E80" s="14" t="s">
        <v>5996</v>
      </c>
      <c r="F80" s="14" t="s">
        <v>5997</v>
      </c>
      <c r="G80" s="14" t="s">
        <v>5998</v>
      </c>
      <c r="H80" s="14" t="s">
        <v>26</v>
      </c>
      <c r="I80" s="17"/>
      <c r="J80" s="69">
        <v>265950</v>
      </c>
      <c r="K80" s="485">
        <v>239200</v>
      </c>
      <c r="L80" s="17">
        <f>J80-K80</f>
      </c>
      <c r="M80" s="14" t="s">
        <v>22</v>
      </c>
      <c r="N80" s="14" t="s">
        <v>5999</v>
      </c>
      <c r="O80" s="65"/>
      <c r="P80" s="17">
        <v>0</v>
      </c>
      <c r="Q80" s="17"/>
      <c r="R80" s="17">
        <v>266440</v>
      </c>
      <c r="S80" s="17">
        <f>J80-P80-R80</f>
      </c>
      <c r="T80" s="293">
        <v>45673</v>
      </c>
      <c r="U80" s="14" t="s">
        <v>2307</v>
      </c>
      <c r="V80" s="161" t="s">
        <v>1663</v>
      </c>
      <c r="W80" s="29"/>
      <c r="X80" s="2"/>
      <c r="Y80" s="29"/>
    </row>
    <row x14ac:dyDescent="0.25" r="81" customHeight="1" ht="27.75">
      <c r="A81" s="478">
        <v>45679</v>
      </c>
      <c r="B81" s="14" t="s">
        <v>53</v>
      </c>
      <c r="C81" s="14" t="s">
        <v>6000</v>
      </c>
      <c r="D81" s="14" t="s">
        <v>282</v>
      </c>
      <c r="E81" s="14" t="s">
        <v>6001</v>
      </c>
      <c r="F81" s="14" t="s">
        <v>5465</v>
      </c>
      <c r="G81" s="14" t="s">
        <v>6002</v>
      </c>
      <c r="H81" s="14" t="s">
        <v>26</v>
      </c>
      <c r="I81" s="17"/>
      <c r="J81" s="69">
        <v>839950</v>
      </c>
      <c r="K81" s="17">
        <v>719950</v>
      </c>
      <c r="L81" s="17">
        <f>J81-K81</f>
      </c>
      <c r="M81" s="14" t="s">
        <v>137</v>
      </c>
      <c r="N81" s="14" t="s">
        <v>6003</v>
      </c>
      <c r="O81" s="65"/>
      <c r="P81" s="17">
        <v>280000</v>
      </c>
      <c r="Q81" s="17">
        <v>503200</v>
      </c>
      <c r="R81" s="17">
        <v>56750</v>
      </c>
      <c r="S81" s="17">
        <f>J81-P81-Q81-R81</f>
      </c>
      <c r="T81" s="294" t="s">
        <v>6004</v>
      </c>
      <c r="U81" s="14" t="s">
        <v>1718</v>
      </c>
      <c r="V81" s="161" t="s">
        <v>1663</v>
      </c>
      <c r="W81" s="29">
        <v>280000</v>
      </c>
      <c r="X81" s="29">
        <v>503200</v>
      </c>
      <c r="Y81" s="29">
        <v>56712</v>
      </c>
    </row>
    <row x14ac:dyDescent="0.25" r="82" customHeight="1" ht="19.5">
      <c r="A82" s="584">
        <v>45667</v>
      </c>
      <c r="B82" s="585" t="s">
        <v>72</v>
      </c>
      <c r="C82" s="585" t="s">
        <v>6005</v>
      </c>
      <c r="D82" s="585" t="s">
        <v>448</v>
      </c>
      <c r="E82" s="585" t="s">
        <v>6006</v>
      </c>
      <c r="F82" s="585" t="s">
        <v>2567</v>
      </c>
      <c r="G82" s="585" t="s">
        <v>6007</v>
      </c>
      <c r="H82" s="585" t="s">
        <v>26</v>
      </c>
      <c r="I82" s="586"/>
      <c r="J82" s="586">
        <v>-26568</v>
      </c>
      <c r="K82" s="586">
        <v>476168</v>
      </c>
      <c r="L82" s="586">
        <v>-26568</v>
      </c>
      <c r="M82" s="585" t="s">
        <v>50</v>
      </c>
      <c r="N82" s="585" t="s">
        <v>6008</v>
      </c>
      <c r="O82" s="587" t="s">
        <v>6009</v>
      </c>
      <c r="P82" s="586"/>
      <c r="Q82" s="586"/>
      <c r="R82" s="586"/>
      <c r="S82" s="586">
        <f>J82-P82-R82</f>
      </c>
      <c r="T82" s="588"/>
      <c r="U82" s="586"/>
      <c r="V82" s="589" t="s">
        <v>6010</v>
      </c>
      <c r="W82" s="590"/>
      <c r="X82" s="2"/>
      <c r="Y82" s="29"/>
    </row>
    <row x14ac:dyDescent="0.25" r="83" customHeight="1" ht="19.5">
      <c r="A83" s="478">
        <v>45670</v>
      </c>
      <c r="B83" s="14" t="s">
        <v>72</v>
      </c>
      <c r="C83" s="14" t="s">
        <v>6011</v>
      </c>
      <c r="D83" s="14" t="s">
        <v>448</v>
      </c>
      <c r="E83" s="14" t="s">
        <v>6012</v>
      </c>
      <c r="F83" s="14" t="s">
        <v>2567</v>
      </c>
      <c r="G83" s="14" t="s">
        <v>6013</v>
      </c>
      <c r="H83" s="14" t="s">
        <v>26</v>
      </c>
      <c r="I83" s="17">
        <v>338800</v>
      </c>
      <c r="J83" s="69">
        <v>688920</v>
      </c>
      <c r="K83" s="485">
        <v>617956</v>
      </c>
      <c r="L83" s="17">
        <f>J83-K83</f>
      </c>
      <c r="M83" s="14" t="s">
        <v>50</v>
      </c>
      <c r="N83" s="14" t="s">
        <v>6014</v>
      </c>
      <c r="O83" s="17">
        <v>4</v>
      </c>
      <c r="P83" s="17"/>
      <c r="Q83" s="17"/>
      <c r="R83" s="17">
        <v>688920</v>
      </c>
      <c r="S83" s="17">
        <f>J83-P83-R83</f>
      </c>
      <c r="T83" s="293">
        <v>45670</v>
      </c>
      <c r="U83" s="14" t="s">
        <v>1718</v>
      </c>
      <c r="V83" s="161" t="s">
        <v>1663</v>
      </c>
      <c r="W83" s="29"/>
      <c r="X83" s="2"/>
      <c r="Y83" s="29"/>
    </row>
    <row x14ac:dyDescent="0.25" r="84" customHeight="1" ht="19.5">
      <c r="A84" s="478">
        <v>45675</v>
      </c>
      <c r="B84" s="14" t="s">
        <v>72</v>
      </c>
      <c r="C84" s="14" t="s">
        <v>5784</v>
      </c>
      <c r="D84" s="14" t="s">
        <v>5382</v>
      </c>
      <c r="E84" s="14" t="s">
        <v>6015</v>
      </c>
      <c r="F84" s="14" t="s">
        <v>2567</v>
      </c>
      <c r="G84" s="14" t="s">
        <v>6013</v>
      </c>
      <c r="H84" s="14" t="s">
        <v>26</v>
      </c>
      <c r="I84" s="17"/>
      <c r="J84" s="69">
        <v>149950</v>
      </c>
      <c r="K84" s="17">
        <v>110627</v>
      </c>
      <c r="L84" s="17">
        <f>J84-K84</f>
      </c>
      <c r="M84" s="14" t="s">
        <v>50</v>
      </c>
      <c r="N84" s="14" t="s">
        <v>6016</v>
      </c>
      <c r="O84" s="65" t="s">
        <v>251</v>
      </c>
      <c r="P84" s="65" t="s">
        <v>4713</v>
      </c>
      <c r="Q84" s="17"/>
      <c r="R84" s="17">
        <v>149950</v>
      </c>
      <c r="S84" s="17">
        <f>J84-R84</f>
      </c>
      <c r="T84" s="293">
        <v>45667</v>
      </c>
      <c r="U84" s="14" t="s">
        <v>2307</v>
      </c>
      <c r="V84" s="161"/>
      <c r="W84" s="29"/>
      <c r="X84" s="2"/>
      <c r="Y84" s="29"/>
    </row>
    <row x14ac:dyDescent="0.25" r="85" customHeight="1" ht="19.5">
      <c r="A85" s="478">
        <v>45676</v>
      </c>
      <c r="B85" s="14" t="s">
        <v>72</v>
      </c>
      <c r="C85" s="14" t="s">
        <v>5784</v>
      </c>
      <c r="D85" s="14" t="s">
        <v>5382</v>
      </c>
      <c r="E85" s="14" t="s">
        <v>6017</v>
      </c>
      <c r="F85" s="14" t="s">
        <v>2567</v>
      </c>
      <c r="G85" s="14" t="s">
        <v>6013</v>
      </c>
      <c r="H85" s="14" t="s">
        <v>26</v>
      </c>
      <c r="I85" s="17"/>
      <c r="J85" s="69">
        <v>159950</v>
      </c>
      <c r="K85" s="69">
        <v>95700</v>
      </c>
      <c r="L85" s="17">
        <f>J85-K85</f>
      </c>
      <c r="M85" s="14" t="s">
        <v>50</v>
      </c>
      <c r="N85" s="14" t="s">
        <v>6018</v>
      </c>
      <c r="O85" s="65" t="s">
        <v>251</v>
      </c>
      <c r="P85" s="65" t="s">
        <v>4713</v>
      </c>
      <c r="Q85" s="17"/>
      <c r="R85" s="17">
        <v>159950</v>
      </c>
      <c r="S85" s="17">
        <f>J85-R85</f>
      </c>
      <c r="T85" s="293">
        <v>45667</v>
      </c>
      <c r="U85" s="14" t="s">
        <v>2307</v>
      </c>
      <c r="V85" s="161"/>
      <c r="W85" s="29"/>
      <c r="X85" s="2"/>
      <c r="Y85" s="29"/>
    </row>
    <row x14ac:dyDescent="0.25" r="86" customHeight="1" ht="19.5">
      <c r="A86" s="478">
        <v>45684</v>
      </c>
      <c r="B86" s="14" t="s">
        <v>66</v>
      </c>
      <c r="C86" s="14" t="s">
        <v>6019</v>
      </c>
      <c r="D86" s="14" t="s">
        <v>415</v>
      </c>
      <c r="E86" s="14" t="s">
        <v>6020</v>
      </c>
      <c r="F86" s="14" t="s">
        <v>6021</v>
      </c>
      <c r="G86" s="14" t="s">
        <v>6022</v>
      </c>
      <c r="H86" s="14" t="s">
        <v>26</v>
      </c>
      <c r="I86" s="17">
        <v>83000</v>
      </c>
      <c r="J86" s="69">
        <v>259600</v>
      </c>
      <c r="K86" s="17">
        <v>230620</v>
      </c>
      <c r="L86" s="17">
        <f>J86-K86</f>
      </c>
      <c r="M86" s="14" t="s">
        <v>50</v>
      </c>
      <c r="N86" s="14" t="s">
        <v>6023</v>
      </c>
      <c r="O86" s="17">
        <v>1</v>
      </c>
      <c r="P86" s="17"/>
      <c r="Q86" s="17"/>
      <c r="R86" s="17">
        <v>259600</v>
      </c>
      <c r="S86" s="17">
        <f>J86-P86-R86</f>
      </c>
      <c r="T86" s="293">
        <v>45688</v>
      </c>
      <c r="U86" s="14" t="s">
        <v>1718</v>
      </c>
      <c r="V86" s="161"/>
      <c r="W86" s="29"/>
      <c r="X86" s="2"/>
      <c r="Y86" s="29"/>
    </row>
    <row x14ac:dyDescent="0.25" r="87" customHeight="1" ht="19.5">
      <c r="A87" s="478">
        <v>45677</v>
      </c>
      <c r="B87" s="14" t="s">
        <v>66</v>
      </c>
      <c r="C87" s="14" t="s">
        <v>6024</v>
      </c>
      <c r="D87" s="14" t="s">
        <v>429</v>
      </c>
      <c r="E87" s="14" t="s">
        <v>6025</v>
      </c>
      <c r="F87" s="14" t="s">
        <v>6026</v>
      </c>
      <c r="G87" s="14" t="s">
        <v>6027</v>
      </c>
      <c r="H87" s="14" t="s">
        <v>76</v>
      </c>
      <c r="I87" s="17"/>
      <c r="J87" s="69">
        <v>452000</v>
      </c>
      <c r="K87" s="69">
        <v>421120</v>
      </c>
      <c r="L87" s="17">
        <f>J87-K87</f>
      </c>
      <c r="M87" s="14" t="s">
        <v>187</v>
      </c>
      <c r="N87" s="14" t="s">
        <v>6028</v>
      </c>
      <c r="O87" s="65"/>
      <c r="P87" s="17"/>
      <c r="Q87" s="17"/>
      <c r="R87" s="17">
        <v>452000</v>
      </c>
      <c r="S87" s="17">
        <f>J87-P87-R87</f>
      </c>
      <c r="T87" s="293">
        <v>45678</v>
      </c>
      <c r="U87" s="14" t="s">
        <v>1718</v>
      </c>
      <c r="V87" s="18"/>
      <c r="W87" s="29"/>
      <c r="X87" s="2"/>
      <c r="Y87" s="29"/>
    </row>
    <row x14ac:dyDescent="0.25" r="88" customHeight="1" ht="28.5">
      <c r="A88" s="478">
        <v>45680</v>
      </c>
      <c r="B88" s="14" t="s">
        <v>53</v>
      </c>
      <c r="C88" s="14" t="s">
        <v>6029</v>
      </c>
      <c r="D88" s="14" t="s">
        <v>295</v>
      </c>
      <c r="E88" s="14" t="s">
        <v>6030</v>
      </c>
      <c r="F88" s="14" t="s">
        <v>6031</v>
      </c>
      <c r="G88" s="14" t="s">
        <v>6032</v>
      </c>
      <c r="H88" s="14" t="s">
        <v>26</v>
      </c>
      <c r="I88" s="17"/>
      <c r="J88" s="69">
        <v>934800</v>
      </c>
      <c r="K88" s="17">
        <v>899800</v>
      </c>
      <c r="L88" s="17">
        <f>J88-K88</f>
      </c>
      <c r="M88" s="14" t="s">
        <v>137</v>
      </c>
      <c r="N88" s="14" t="s">
        <v>6033</v>
      </c>
      <c r="O88" s="65"/>
      <c r="P88" s="17">
        <v>154800</v>
      </c>
      <c r="Q88" s="17"/>
      <c r="R88" s="17">
        <v>780000</v>
      </c>
      <c r="S88" s="17">
        <f>J88-P88-R88</f>
      </c>
      <c r="T88" s="294" t="s">
        <v>6034</v>
      </c>
      <c r="U88" s="14" t="s">
        <v>1718</v>
      </c>
      <c r="V88" s="161"/>
      <c r="W88" s="29"/>
      <c r="X88" s="2"/>
      <c r="Y88" s="29"/>
    </row>
    <row x14ac:dyDescent="0.25" r="89" customHeight="1" ht="19.5">
      <c r="A89" s="478">
        <v>45679</v>
      </c>
      <c r="B89" s="14" t="s">
        <v>53</v>
      </c>
      <c r="C89" s="14" t="s">
        <v>6035</v>
      </c>
      <c r="D89" s="14" t="s">
        <v>6036</v>
      </c>
      <c r="E89" s="14" t="s">
        <v>6037</v>
      </c>
      <c r="F89" s="14" t="s">
        <v>6038</v>
      </c>
      <c r="G89" s="14" t="s">
        <v>6039</v>
      </c>
      <c r="H89" s="14" t="s">
        <v>76</v>
      </c>
      <c r="I89" s="17"/>
      <c r="J89" s="69">
        <v>869120</v>
      </c>
      <c r="K89" s="17">
        <v>819120</v>
      </c>
      <c r="L89" s="17">
        <f>J89-K89</f>
      </c>
      <c r="M89" s="14" t="s">
        <v>187</v>
      </c>
      <c r="N89" s="14" t="s">
        <v>6040</v>
      </c>
      <c r="O89" s="65"/>
      <c r="P89" s="17"/>
      <c r="Q89" s="17"/>
      <c r="R89" s="17">
        <v>869100</v>
      </c>
      <c r="S89" s="17">
        <f>J89-P89-R89</f>
      </c>
      <c r="T89" s="293">
        <v>45679</v>
      </c>
      <c r="U89" s="14" t="s">
        <v>1718</v>
      </c>
      <c r="V89" s="161"/>
      <c r="W89" s="29"/>
      <c r="X89" s="2"/>
      <c r="Y89" s="29"/>
    </row>
    <row x14ac:dyDescent="0.25" r="90" customHeight="1" ht="19.5">
      <c r="A90" s="478">
        <v>45672</v>
      </c>
      <c r="B90" s="14" t="s">
        <v>46</v>
      </c>
      <c r="C90" s="14" t="s">
        <v>6041</v>
      </c>
      <c r="D90" s="14" t="s">
        <v>118</v>
      </c>
      <c r="E90" s="14" t="s">
        <v>6042</v>
      </c>
      <c r="F90" s="14" t="s">
        <v>6043</v>
      </c>
      <c r="G90" s="14" t="s">
        <v>6044</v>
      </c>
      <c r="H90" s="14" t="s">
        <v>26</v>
      </c>
      <c r="I90" s="17">
        <v>616500</v>
      </c>
      <c r="J90" s="69">
        <v>1129000</v>
      </c>
      <c r="K90" s="485">
        <v>1084720</v>
      </c>
      <c r="L90" s="17">
        <f>J90-K90</f>
      </c>
      <c r="M90" s="14" t="s">
        <v>187</v>
      </c>
      <c r="N90" s="14" t="s">
        <v>6045</v>
      </c>
      <c r="O90" s="65"/>
      <c r="P90" s="17">
        <v>1000000</v>
      </c>
      <c r="Q90" s="17"/>
      <c r="R90" s="17">
        <v>129000</v>
      </c>
      <c r="S90" s="17">
        <f>J90-P90-R90</f>
      </c>
      <c r="T90" s="293">
        <v>45687</v>
      </c>
      <c r="U90" s="14" t="s">
        <v>1718</v>
      </c>
      <c r="V90" s="18"/>
      <c r="W90" s="29"/>
      <c r="X90" s="2"/>
      <c r="Y90" s="29"/>
    </row>
    <row x14ac:dyDescent="0.25" r="91" customHeight="1" ht="27">
      <c r="A91" s="478">
        <v>45675</v>
      </c>
      <c r="B91" s="14" t="s">
        <v>106</v>
      </c>
      <c r="C91" s="14" t="s">
        <v>6046</v>
      </c>
      <c r="D91" s="14" t="s">
        <v>448</v>
      </c>
      <c r="E91" s="14" t="s">
        <v>6047</v>
      </c>
      <c r="F91" s="14" t="s">
        <v>6048</v>
      </c>
      <c r="G91" s="14" t="s">
        <v>6049</v>
      </c>
      <c r="H91" s="14" t="s">
        <v>26</v>
      </c>
      <c r="I91" s="17">
        <v>257700</v>
      </c>
      <c r="J91" s="69">
        <v>650620</v>
      </c>
      <c r="K91" s="485">
        <v>597689</v>
      </c>
      <c r="L91" s="17">
        <f>J91-K91</f>
      </c>
      <c r="M91" s="14" t="s">
        <v>50</v>
      </c>
      <c r="N91" s="14" t="s">
        <v>6050</v>
      </c>
      <c r="O91" s="17">
        <v>4</v>
      </c>
      <c r="P91" s="17">
        <v>246000</v>
      </c>
      <c r="Q91" s="17">
        <v>400000</v>
      </c>
      <c r="R91" s="17">
        <v>4620</v>
      </c>
      <c r="S91" s="17">
        <f>J91-Q91-P91-R91</f>
      </c>
      <c r="T91" s="294" t="s">
        <v>6051</v>
      </c>
      <c r="U91" s="70" t="s">
        <v>6052</v>
      </c>
      <c r="V91" s="161"/>
      <c r="W91" s="29"/>
      <c r="X91" s="2"/>
      <c r="Y91" s="29"/>
    </row>
    <row x14ac:dyDescent="0.25" r="92" customHeight="1" ht="19.5">
      <c r="A92" s="478">
        <v>45688</v>
      </c>
      <c r="B92" s="14" t="s">
        <v>106</v>
      </c>
      <c r="C92" s="14" t="s">
        <v>6053</v>
      </c>
      <c r="D92" s="14" t="s">
        <v>264</v>
      </c>
      <c r="E92" s="14" t="s">
        <v>6054</v>
      </c>
      <c r="F92" s="14" t="s">
        <v>6048</v>
      </c>
      <c r="G92" s="14" t="s">
        <v>6049</v>
      </c>
      <c r="H92" s="14" t="s">
        <v>26</v>
      </c>
      <c r="I92" s="17"/>
      <c r="J92" s="69">
        <v>100950</v>
      </c>
      <c r="K92" s="17">
        <v>70400</v>
      </c>
      <c r="L92" s="17">
        <f>J92-K92</f>
      </c>
      <c r="M92" s="14" t="s">
        <v>50</v>
      </c>
      <c r="N92" s="14" t="s">
        <v>6055</v>
      </c>
      <c r="O92" s="65" t="s">
        <v>251</v>
      </c>
      <c r="P92" s="17"/>
      <c r="Q92" s="17"/>
      <c r="R92" s="17">
        <v>100950</v>
      </c>
      <c r="S92" s="17">
        <v>0</v>
      </c>
      <c r="T92" s="293">
        <v>45688</v>
      </c>
      <c r="U92" s="14" t="s">
        <v>1718</v>
      </c>
      <c r="V92" s="161"/>
      <c r="W92" s="29"/>
      <c r="X92" s="2"/>
      <c r="Y92" s="29"/>
    </row>
    <row x14ac:dyDescent="0.25" r="93" customHeight="1" ht="19.5">
      <c r="A93" s="478">
        <v>45678</v>
      </c>
      <c r="B93" s="14" t="s">
        <v>6056</v>
      </c>
      <c r="C93" s="14" t="s">
        <v>6057</v>
      </c>
      <c r="D93" s="14" t="s">
        <v>282</v>
      </c>
      <c r="E93" s="14" t="s">
        <v>6058</v>
      </c>
      <c r="F93" s="14" t="s">
        <v>6059</v>
      </c>
      <c r="G93" s="14" t="s">
        <v>6060</v>
      </c>
      <c r="H93" s="14" t="s">
        <v>76</v>
      </c>
      <c r="I93" s="17"/>
      <c r="J93" s="69">
        <v>483600</v>
      </c>
      <c r="K93" s="69">
        <v>443620</v>
      </c>
      <c r="L93" s="17">
        <f>J93-K93</f>
      </c>
      <c r="M93" s="14" t="s">
        <v>50</v>
      </c>
      <c r="N93" s="14" t="s">
        <v>6061</v>
      </c>
      <c r="O93" s="17">
        <v>4</v>
      </c>
      <c r="P93" s="17">
        <v>0</v>
      </c>
      <c r="Q93" s="17"/>
      <c r="R93" s="17">
        <v>483600</v>
      </c>
      <c r="S93" s="17">
        <f>J93-P93-R93</f>
      </c>
      <c r="T93" s="293">
        <v>45678</v>
      </c>
      <c r="U93" s="14" t="s">
        <v>1718</v>
      </c>
      <c r="V93" s="161"/>
      <c r="W93" s="29"/>
      <c r="X93" s="2"/>
      <c r="Y93" s="29"/>
    </row>
    <row x14ac:dyDescent="0.25" r="94" customHeight="1" ht="19.5">
      <c r="A94" s="478">
        <v>45672</v>
      </c>
      <c r="B94" s="14" t="s">
        <v>72</v>
      </c>
      <c r="C94" s="14" t="s">
        <v>6062</v>
      </c>
      <c r="D94" s="14" t="s">
        <v>1437</v>
      </c>
      <c r="E94" s="14" t="s">
        <v>6063</v>
      </c>
      <c r="F94" s="14" t="s">
        <v>6064</v>
      </c>
      <c r="G94" s="591" t="s">
        <v>6065</v>
      </c>
      <c r="H94" s="14" t="s">
        <v>26</v>
      </c>
      <c r="I94" s="17">
        <v>411900</v>
      </c>
      <c r="J94" s="403">
        <v>781820</v>
      </c>
      <c r="K94" s="485">
        <v>749863</v>
      </c>
      <c r="L94" s="17">
        <f>J94-K94</f>
      </c>
      <c r="M94" s="14" t="s">
        <v>50</v>
      </c>
      <c r="N94" s="14" t="s">
        <v>6066</v>
      </c>
      <c r="O94" s="29">
        <v>4</v>
      </c>
      <c r="P94" s="17"/>
      <c r="Q94" s="17"/>
      <c r="R94" s="17">
        <v>781820</v>
      </c>
      <c r="S94" s="17">
        <f>J94-P94-R94</f>
      </c>
      <c r="T94" s="293">
        <v>45672</v>
      </c>
      <c r="U94" s="14" t="s">
        <v>1718</v>
      </c>
      <c r="V94" s="161" t="s">
        <v>1663</v>
      </c>
      <c r="W94" s="29"/>
      <c r="X94" s="592">
        <v>45397</v>
      </c>
      <c r="Y94" s="29"/>
    </row>
    <row x14ac:dyDescent="0.25" r="95" customHeight="1" ht="20.25">
      <c r="A95" s="478">
        <v>45685</v>
      </c>
      <c r="B95" s="14" t="s">
        <v>66</v>
      </c>
      <c r="C95" s="14" t="s">
        <v>6067</v>
      </c>
      <c r="D95" s="14" t="s">
        <v>166</v>
      </c>
      <c r="E95" s="14" t="s">
        <v>6068</v>
      </c>
      <c r="F95" s="14" t="s">
        <v>266</v>
      </c>
      <c r="G95" s="14" t="s">
        <v>6069</v>
      </c>
      <c r="H95" s="14" t="s">
        <v>26</v>
      </c>
      <c r="I95" s="17">
        <v>140600</v>
      </c>
      <c r="J95" s="403">
        <v>539820</v>
      </c>
      <c r="K95" s="485">
        <v>481684</v>
      </c>
      <c r="L95" s="17">
        <f>J95-K95</f>
      </c>
      <c r="M95" s="14" t="s">
        <v>50</v>
      </c>
      <c r="N95" s="14" t="s">
        <v>6070</v>
      </c>
      <c r="O95" s="17">
        <v>2</v>
      </c>
      <c r="P95" s="17"/>
      <c r="Q95" s="17"/>
      <c r="R95" s="69">
        <v>539820</v>
      </c>
      <c r="S95" s="17">
        <f>J95-P95-R95</f>
      </c>
      <c r="T95" s="293">
        <v>45692</v>
      </c>
      <c r="U95" s="14" t="s">
        <v>2216</v>
      </c>
      <c r="V95" s="161" t="s">
        <v>6071</v>
      </c>
      <c r="W95" s="29"/>
      <c r="X95" s="2"/>
      <c r="Y95" s="29"/>
    </row>
    <row x14ac:dyDescent="0.25" r="96" customHeight="1" ht="19.5">
      <c r="A96" s="478">
        <v>45685</v>
      </c>
      <c r="B96" s="14" t="s">
        <v>66</v>
      </c>
      <c r="C96" s="14" t="s">
        <v>6067</v>
      </c>
      <c r="D96" s="14" t="s">
        <v>166</v>
      </c>
      <c r="E96" s="14" t="s">
        <v>6072</v>
      </c>
      <c r="F96" s="14" t="s">
        <v>266</v>
      </c>
      <c r="G96" s="3" t="s">
        <v>6073</v>
      </c>
      <c r="H96" s="14" t="s">
        <v>26</v>
      </c>
      <c r="I96" s="17">
        <v>140600</v>
      </c>
      <c r="J96" s="403">
        <v>539820</v>
      </c>
      <c r="K96" s="485">
        <v>481684</v>
      </c>
      <c r="L96" s="17">
        <f>J96-K96</f>
      </c>
      <c r="M96" s="14" t="s">
        <v>50</v>
      </c>
      <c r="N96" s="14" t="s">
        <v>6074</v>
      </c>
      <c r="O96" s="17">
        <v>2</v>
      </c>
      <c r="P96" s="17"/>
      <c r="Q96" s="17"/>
      <c r="R96" s="69">
        <v>539820</v>
      </c>
      <c r="S96" s="17">
        <f>J96-P96-R96</f>
      </c>
      <c r="T96" s="293">
        <v>45692</v>
      </c>
      <c r="U96" s="14" t="s">
        <v>2216</v>
      </c>
      <c r="V96" s="161" t="s">
        <v>6071</v>
      </c>
      <c r="W96" s="29"/>
      <c r="X96" s="2"/>
      <c r="Y96" s="29"/>
    </row>
    <row x14ac:dyDescent="0.25" r="97" customHeight="1" ht="19.5">
      <c r="A97" s="478">
        <v>45685</v>
      </c>
      <c r="B97" s="14" t="s">
        <v>66</v>
      </c>
      <c r="C97" s="14" t="s">
        <v>6067</v>
      </c>
      <c r="D97" s="14" t="s">
        <v>166</v>
      </c>
      <c r="E97" s="14" t="s">
        <v>6075</v>
      </c>
      <c r="F97" s="14" t="s">
        <v>266</v>
      </c>
      <c r="G97" s="14" t="s">
        <v>6076</v>
      </c>
      <c r="H97" s="14" t="s">
        <v>26</v>
      </c>
      <c r="I97" s="17">
        <v>140600</v>
      </c>
      <c r="J97" s="403">
        <v>539820</v>
      </c>
      <c r="K97" s="485">
        <v>481684</v>
      </c>
      <c r="L97" s="17">
        <f>J97-K97</f>
      </c>
      <c r="M97" s="14" t="s">
        <v>50</v>
      </c>
      <c r="N97" s="14" t="s">
        <v>6077</v>
      </c>
      <c r="O97" s="17">
        <v>2</v>
      </c>
      <c r="P97" s="17"/>
      <c r="Q97" s="17"/>
      <c r="R97" s="69">
        <v>539820</v>
      </c>
      <c r="S97" s="17">
        <f>J97-P97-R97</f>
      </c>
      <c r="T97" s="293">
        <v>45692</v>
      </c>
      <c r="U97" s="14" t="s">
        <v>2216</v>
      </c>
      <c r="V97" s="161" t="s">
        <v>6071</v>
      </c>
      <c r="W97" s="29"/>
      <c r="X97" s="2"/>
      <c r="Y97" s="29"/>
    </row>
    <row x14ac:dyDescent="0.25" r="98" customHeight="1" ht="19.5">
      <c r="A98" s="478">
        <v>45677</v>
      </c>
      <c r="B98" s="14" t="s">
        <v>46</v>
      </c>
      <c r="C98" s="14" t="s">
        <v>6078</v>
      </c>
      <c r="D98" s="14" t="s">
        <v>6079</v>
      </c>
      <c r="E98" s="14" t="s">
        <v>6080</v>
      </c>
      <c r="F98" s="14" t="s">
        <v>6081</v>
      </c>
      <c r="G98" s="14" t="s">
        <v>6082</v>
      </c>
      <c r="H98" s="14" t="s">
        <v>26</v>
      </c>
      <c r="I98" s="17">
        <v>321800</v>
      </c>
      <c r="J98" s="69">
        <v>623900</v>
      </c>
      <c r="K98" s="69">
        <v>573900</v>
      </c>
      <c r="L98" s="17">
        <f>J98-K98</f>
      </c>
      <c r="M98" s="14" t="s">
        <v>50</v>
      </c>
      <c r="N98" s="14" t="s">
        <v>6083</v>
      </c>
      <c r="O98" s="17">
        <v>2</v>
      </c>
      <c r="P98" s="17"/>
      <c r="Q98" s="17"/>
      <c r="R98" s="17">
        <v>623900</v>
      </c>
      <c r="S98" s="17">
        <f>J98-P98-R98</f>
      </c>
      <c r="T98" s="293">
        <v>45716</v>
      </c>
      <c r="U98" s="14" t="s">
        <v>1718</v>
      </c>
      <c r="V98" s="161"/>
      <c r="W98" s="29"/>
      <c r="X98" s="2"/>
      <c r="Y98" s="29"/>
    </row>
    <row x14ac:dyDescent="0.25" r="99" customHeight="1" ht="19.5">
      <c r="A99" s="478">
        <v>45673</v>
      </c>
      <c r="B99" s="14" t="s">
        <v>66</v>
      </c>
      <c r="C99" s="14" t="s">
        <v>6084</v>
      </c>
      <c r="D99" s="14" t="s">
        <v>429</v>
      </c>
      <c r="E99" s="14" t="s">
        <v>6085</v>
      </c>
      <c r="F99" s="14" t="s">
        <v>301</v>
      </c>
      <c r="G99" s="14" t="s">
        <v>5299</v>
      </c>
      <c r="H99" s="14" t="s">
        <v>26</v>
      </c>
      <c r="I99" s="17">
        <v>306500</v>
      </c>
      <c r="J99" s="69">
        <v>698620</v>
      </c>
      <c r="K99" s="485">
        <v>678220</v>
      </c>
      <c r="L99" s="17">
        <f>J99-K99</f>
      </c>
      <c r="M99" s="14" t="s">
        <v>50</v>
      </c>
      <c r="N99" s="14" t="s">
        <v>6086</v>
      </c>
      <c r="O99" s="17">
        <v>4</v>
      </c>
      <c r="P99" s="17"/>
      <c r="Q99" s="17"/>
      <c r="R99" s="17">
        <v>698620</v>
      </c>
      <c r="S99" s="17">
        <f>J99-P99-R99</f>
      </c>
      <c r="T99" s="293">
        <v>45684</v>
      </c>
      <c r="U99" s="14" t="s">
        <v>1718</v>
      </c>
      <c r="V99" s="161"/>
      <c r="W99" s="29"/>
      <c r="X99" s="2"/>
      <c r="Y99" s="29"/>
    </row>
    <row x14ac:dyDescent="0.25" r="100" customHeight="1" ht="30">
      <c r="A100" s="478">
        <v>45673</v>
      </c>
      <c r="B100" s="14" t="s">
        <v>66</v>
      </c>
      <c r="C100" s="14" t="s">
        <v>6084</v>
      </c>
      <c r="D100" s="14" t="s">
        <v>429</v>
      </c>
      <c r="E100" s="14" t="s">
        <v>6085</v>
      </c>
      <c r="F100" s="14" t="s">
        <v>301</v>
      </c>
      <c r="G100" s="14" t="s">
        <v>5309</v>
      </c>
      <c r="H100" s="14" t="s">
        <v>26</v>
      </c>
      <c r="I100" s="17">
        <v>306500</v>
      </c>
      <c r="J100" s="69">
        <v>698620</v>
      </c>
      <c r="K100" s="485">
        <v>659830</v>
      </c>
      <c r="L100" s="17">
        <f>J100-K100</f>
      </c>
      <c r="M100" s="14" t="s">
        <v>50</v>
      </c>
      <c r="N100" s="14" t="s">
        <v>6087</v>
      </c>
      <c r="O100" s="17">
        <v>4</v>
      </c>
      <c r="P100" s="17">
        <v>600000</v>
      </c>
      <c r="Q100" s="17"/>
      <c r="R100" s="17">
        <v>98620</v>
      </c>
      <c r="S100" s="17">
        <f>J100-P100-R100</f>
      </c>
      <c r="T100" s="294" t="s">
        <v>6088</v>
      </c>
      <c r="U100" s="14" t="s">
        <v>1718</v>
      </c>
      <c r="V100" s="18">
        <v>45687</v>
      </c>
      <c r="W100" s="29"/>
      <c r="X100" s="2"/>
      <c r="Y100" s="29"/>
    </row>
    <row x14ac:dyDescent="0.25" r="101" customHeight="1" ht="19.5">
      <c r="A101" s="478">
        <v>45672</v>
      </c>
      <c r="B101" s="14" t="s">
        <v>111</v>
      </c>
      <c r="C101" s="14" t="s">
        <v>5882</v>
      </c>
      <c r="D101" s="14" t="s">
        <v>1267</v>
      </c>
      <c r="E101" s="14" t="s">
        <v>6089</v>
      </c>
      <c r="F101" s="14" t="s">
        <v>327</v>
      </c>
      <c r="G101" s="577" t="s">
        <v>328</v>
      </c>
      <c r="H101" s="14" t="s">
        <v>26</v>
      </c>
      <c r="I101" s="17">
        <v>139700</v>
      </c>
      <c r="J101" s="69">
        <v>89500</v>
      </c>
      <c r="K101" s="485">
        <v>33800</v>
      </c>
      <c r="L101" s="17">
        <f>J101-K101</f>
      </c>
      <c r="M101" s="14" t="s">
        <v>50</v>
      </c>
      <c r="N101" s="14" t="s">
        <v>6090</v>
      </c>
      <c r="O101" s="65" t="s">
        <v>251</v>
      </c>
      <c r="P101" s="17"/>
      <c r="Q101" s="17"/>
      <c r="R101" s="17">
        <v>89500</v>
      </c>
      <c r="S101" s="17">
        <f>J101-P101-R101</f>
      </c>
      <c r="T101" s="293">
        <v>45686</v>
      </c>
      <c r="U101" s="14" t="s">
        <v>2216</v>
      </c>
      <c r="V101" s="18"/>
      <c r="W101" s="29"/>
      <c r="X101" s="2"/>
      <c r="Y101" s="29"/>
    </row>
    <row x14ac:dyDescent="0.25" r="102" customHeight="1" ht="19.5">
      <c r="A102" s="478">
        <v>45674</v>
      </c>
      <c r="B102" s="14" t="s">
        <v>72</v>
      </c>
      <c r="C102" s="14" t="s">
        <v>5969</v>
      </c>
      <c r="D102" s="14" t="s">
        <v>448</v>
      </c>
      <c r="E102" s="14" t="s">
        <v>6091</v>
      </c>
      <c r="F102" s="14" t="s">
        <v>327</v>
      </c>
      <c r="G102" s="14" t="s">
        <v>328</v>
      </c>
      <c r="H102" s="14" t="s">
        <v>26</v>
      </c>
      <c r="I102" s="17">
        <v>1700000</v>
      </c>
      <c r="J102" s="69">
        <v>2409720</v>
      </c>
      <c r="K102" s="485">
        <v>2252720</v>
      </c>
      <c r="L102" s="17">
        <f>J102-K102</f>
      </c>
      <c r="M102" s="14" t="s">
        <v>50</v>
      </c>
      <c r="N102" s="14" t="s">
        <v>6092</v>
      </c>
      <c r="O102" s="17">
        <v>4</v>
      </c>
      <c r="P102" s="17"/>
      <c r="Q102" s="17"/>
      <c r="R102" s="17">
        <v>2409720</v>
      </c>
      <c r="S102" s="17">
        <f>J102-P102-R102</f>
      </c>
      <c r="T102" s="293">
        <v>45708</v>
      </c>
      <c r="U102" s="14" t="s">
        <v>2216</v>
      </c>
      <c r="V102" s="161" t="s">
        <v>6093</v>
      </c>
      <c r="W102" s="29"/>
      <c r="X102" s="2"/>
      <c r="Y102" s="29"/>
    </row>
    <row x14ac:dyDescent="0.25" r="103" customHeight="1" ht="19.5">
      <c r="A103" s="478">
        <v>45674</v>
      </c>
      <c r="B103" s="14" t="s">
        <v>72</v>
      </c>
      <c r="C103" s="14" t="s">
        <v>6094</v>
      </c>
      <c r="D103" s="14" t="s">
        <v>448</v>
      </c>
      <c r="E103" s="14" t="s">
        <v>6095</v>
      </c>
      <c r="F103" s="14" t="s">
        <v>327</v>
      </c>
      <c r="G103" s="14" t="s">
        <v>328</v>
      </c>
      <c r="H103" s="14" t="s">
        <v>26</v>
      </c>
      <c r="I103" s="17"/>
      <c r="J103" s="69">
        <v>250000</v>
      </c>
      <c r="K103" s="17">
        <v>200000</v>
      </c>
      <c r="L103" s="17">
        <f>J103-K103</f>
      </c>
      <c r="M103" s="14"/>
      <c r="N103" s="14"/>
      <c r="O103" s="65" t="s">
        <v>2987</v>
      </c>
      <c r="P103" s="17"/>
      <c r="Q103" s="17"/>
      <c r="R103" s="17">
        <v>250000</v>
      </c>
      <c r="S103" s="17">
        <f>J103-P103-R103</f>
      </c>
      <c r="T103" s="293">
        <v>45708</v>
      </c>
      <c r="U103" s="14" t="s">
        <v>2216</v>
      </c>
      <c r="V103" s="161" t="s">
        <v>6096</v>
      </c>
      <c r="W103" s="29"/>
      <c r="X103" s="2"/>
      <c r="Y103" s="29"/>
    </row>
    <row x14ac:dyDescent="0.25" r="104" customHeight="1" ht="19.5">
      <c r="A104" s="161" t="s">
        <v>6097</v>
      </c>
      <c r="B104" s="14"/>
      <c r="C104" s="14"/>
      <c r="D104" s="14"/>
      <c r="E104" s="14" t="s">
        <v>6098</v>
      </c>
      <c r="F104" s="14" t="s">
        <v>327</v>
      </c>
      <c r="G104" s="14" t="s">
        <v>328</v>
      </c>
      <c r="H104" s="14" t="s">
        <v>26</v>
      </c>
      <c r="I104" s="17"/>
      <c r="J104" s="69">
        <v>60000</v>
      </c>
      <c r="K104" s="17">
        <v>46000</v>
      </c>
      <c r="L104" s="17">
        <f>J104-K104</f>
      </c>
      <c r="M104" s="14"/>
      <c r="N104" s="14"/>
      <c r="O104" s="65" t="s">
        <v>2987</v>
      </c>
      <c r="P104" s="17"/>
      <c r="Q104" s="17"/>
      <c r="R104" s="17">
        <v>60000</v>
      </c>
      <c r="S104" s="17">
        <f>J104-P104-R104</f>
      </c>
      <c r="T104" s="293">
        <v>45749</v>
      </c>
      <c r="U104" s="14" t="s">
        <v>2216</v>
      </c>
      <c r="V104" s="161" t="s">
        <v>6099</v>
      </c>
      <c r="W104" s="29"/>
      <c r="X104" s="2"/>
      <c r="Y104" s="29"/>
    </row>
    <row x14ac:dyDescent="0.25" r="105" customHeight="1" ht="19.5">
      <c r="A105" s="478">
        <v>45685</v>
      </c>
      <c r="B105" s="14" t="s">
        <v>111</v>
      </c>
      <c r="C105" s="14" t="s">
        <v>6100</v>
      </c>
      <c r="D105" s="14" t="s">
        <v>6101</v>
      </c>
      <c r="E105" s="14" t="s">
        <v>6102</v>
      </c>
      <c r="F105" s="14" t="s">
        <v>327</v>
      </c>
      <c r="G105" s="14" t="s">
        <v>328</v>
      </c>
      <c r="H105" s="14" t="s">
        <v>26</v>
      </c>
      <c r="I105" s="17">
        <v>455400</v>
      </c>
      <c r="J105" s="69">
        <v>858000</v>
      </c>
      <c r="K105" s="485">
        <v>768076</v>
      </c>
      <c r="L105" s="17">
        <f>J105-K105</f>
      </c>
      <c r="M105" s="14" t="s">
        <v>50</v>
      </c>
      <c r="N105" s="14" t="s">
        <v>6103</v>
      </c>
      <c r="O105" s="17">
        <v>3</v>
      </c>
      <c r="P105" s="17"/>
      <c r="Q105" s="17"/>
      <c r="R105" s="17">
        <v>858000</v>
      </c>
      <c r="S105" s="17">
        <f>J105-P105-R105</f>
      </c>
      <c r="T105" s="293">
        <v>45714</v>
      </c>
      <c r="U105" s="14" t="s">
        <v>2216</v>
      </c>
      <c r="V105" s="161" t="s">
        <v>6104</v>
      </c>
      <c r="W105" s="29"/>
      <c r="X105" s="2"/>
      <c r="Y105" s="29"/>
    </row>
    <row x14ac:dyDescent="0.25" r="106" customHeight="1" ht="19.5">
      <c r="A106" s="478">
        <v>45687</v>
      </c>
      <c r="B106" s="14" t="s">
        <v>475</v>
      </c>
      <c r="C106" s="14" t="s">
        <v>6105</v>
      </c>
      <c r="D106" s="14" t="s">
        <v>477</v>
      </c>
      <c r="E106" s="14" t="s">
        <v>6106</v>
      </c>
      <c r="F106" s="14" t="s">
        <v>327</v>
      </c>
      <c r="G106" s="14" t="s">
        <v>6107</v>
      </c>
      <c r="H106" s="14" t="s">
        <v>26</v>
      </c>
      <c r="I106" s="17">
        <v>159870</v>
      </c>
      <c r="J106" s="69">
        <v>309950</v>
      </c>
      <c r="K106" s="17">
        <v>258000</v>
      </c>
      <c r="L106" s="17">
        <f>J106-K106</f>
      </c>
      <c r="M106" s="14" t="s">
        <v>475</v>
      </c>
      <c r="N106" s="14" t="s">
        <v>6108</v>
      </c>
      <c r="O106" s="65"/>
      <c r="P106" s="17"/>
      <c r="Q106" s="17"/>
      <c r="R106" s="17">
        <v>309950</v>
      </c>
      <c r="S106" s="17">
        <f>J106-P106-R106</f>
      </c>
      <c r="T106" s="293">
        <v>45729</v>
      </c>
      <c r="U106" s="14" t="s">
        <v>2216</v>
      </c>
      <c r="V106" s="161" t="s">
        <v>6109</v>
      </c>
      <c r="W106" s="29"/>
      <c r="X106" s="2"/>
      <c r="Y106" s="29"/>
    </row>
    <row x14ac:dyDescent="0.25" r="107" customHeight="1" ht="19.5">
      <c r="A107" s="478">
        <v>45687</v>
      </c>
      <c r="B107" s="14" t="s">
        <v>111</v>
      </c>
      <c r="C107" s="14" t="s">
        <v>484</v>
      </c>
      <c r="D107" s="14" t="s">
        <v>6110</v>
      </c>
      <c r="E107" s="14" t="s">
        <v>6111</v>
      </c>
      <c r="F107" s="14" t="s">
        <v>327</v>
      </c>
      <c r="G107" s="14" t="s">
        <v>328</v>
      </c>
      <c r="H107" s="14" t="s">
        <v>26</v>
      </c>
      <c r="I107" s="17"/>
      <c r="J107" s="69">
        <v>175000</v>
      </c>
      <c r="K107" s="17">
        <v>28200</v>
      </c>
      <c r="L107" s="17">
        <f>J107-K107</f>
      </c>
      <c r="M107" s="14" t="s">
        <v>50</v>
      </c>
      <c r="N107" s="14" t="s">
        <v>6112</v>
      </c>
      <c r="O107" s="65" t="s">
        <v>251</v>
      </c>
      <c r="P107" s="17"/>
      <c r="Q107" s="17"/>
      <c r="R107" s="17">
        <v>175000</v>
      </c>
      <c r="S107" s="17">
        <f>J107-P107-R107</f>
      </c>
      <c r="T107" s="293">
        <v>45714</v>
      </c>
      <c r="U107" s="14" t="s">
        <v>2216</v>
      </c>
      <c r="V107" s="161" t="s">
        <v>6113</v>
      </c>
      <c r="W107" s="29"/>
      <c r="X107" s="2"/>
      <c r="Y107" s="29"/>
    </row>
    <row x14ac:dyDescent="0.25" r="108" customHeight="1" ht="19.5">
      <c r="A108" s="478">
        <v>45688</v>
      </c>
      <c r="B108" s="14" t="s">
        <v>111</v>
      </c>
      <c r="C108" s="14" t="s">
        <v>6114</v>
      </c>
      <c r="D108" s="14" t="s">
        <v>6110</v>
      </c>
      <c r="E108" s="14" t="s">
        <v>6115</v>
      </c>
      <c r="F108" s="14" t="s">
        <v>327</v>
      </c>
      <c r="G108" s="14" t="s">
        <v>328</v>
      </c>
      <c r="H108" s="14" t="s">
        <v>26</v>
      </c>
      <c r="I108" s="17"/>
      <c r="J108" s="69">
        <v>200000</v>
      </c>
      <c r="K108" s="17">
        <v>70500</v>
      </c>
      <c r="L108" s="17">
        <f>J108-K108</f>
      </c>
      <c r="M108" s="14" t="s">
        <v>280</v>
      </c>
      <c r="N108" s="14" t="s">
        <v>6116</v>
      </c>
      <c r="O108" s="65" t="s">
        <v>251</v>
      </c>
      <c r="P108" s="17"/>
      <c r="Q108" s="17"/>
      <c r="R108" s="17">
        <v>200000</v>
      </c>
      <c r="S108" s="17">
        <f>J108-P108-R108</f>
      </c>
      <c r="T108" s="293">
        <v>45714</v>
      </c>
      <c r="U108" s="14" t="s">
        <v>2216</v>
      </c>
      <c r="V108" s="161" t="s">
        <v>6117</v>
      </c>
      <c r="W108" s="29"/>
      <c r="X108" s="2"/>
      <c r="Y108" s="29"/>
    </row>
    <row x14ac:dyDescent="0.25" r="109" customHeight="1" ht="28.5">
      <c r="A109" s="478">
        <v>45685</v>
      </c>
      <c r="B109" s="14" t="s">
        <v>111</v>
      </c>
      <c r="C109" s="14" t="s">
        <v>6100</v>
      </c>
      <c r="D109" s="14" t="s">
        <v>2211</v>
      </c>
      <c r="E109" s="14" t="s">
        <v>6118</v>
      </c>
      <c r="F109" s="14" t="s">
        <v>4536</v>
      </c>
      <c r="G109" s="14" t="s">
        <v>6119</v>
      </c>
      <c r="H109" s="14" t="s">
        <v>26</v>
      </c>
      <c r="I109" s="17">
        <v>612900</v>
      </c>
      <c r="J109" s="69">
        <v>989920</v>
      </c>
      <c r="K109" s="485">
        <v>903146</v>
      </c>
      <c r="L109" s="17">
        <f>J109-K109</f>
      </c>
      <c r="M109" s="14" t="s">
        <v>50</v>
      </c>
      <c r="N109" s="14" t="s">
        <v>6120</v>
      </c>
      <c r="O109" s="17">
        <v>4</v>
      </c>
      <c r="P109" s="17"/>
      <c r="Q109" s="17"/>
      <c r="R109" s="17">
        <v>989920</v>
      </c>
      <c r="S109" s="17">
        <f>J109-P109-R109</f>
      </c>
      <c r="T109" s="294" t="s">
        <v>6121</v>
      </c>
      <c r="U109" s="14" t="s">
        <v>1718</v>
      </c>
      <c r="V109" s="161"/>
      <c r="W109" s="29"/>
      <c r="X109" s="2"/>
      <c r="Y109" s="29"/>
    </row>
    <row x14ac:dyDescent="0.25" r="110" customHeight="1" ht="19.5">
      <c r="A110" s="478">
        <v>45662</v>
      </c>
      <c r="B110" s="14" t="s">
        <v>46</v>
      </c>
      <c r="C110" s="14" t="s">
        <v>6122</v>
      </c>
      <c r="D110" s="14" t="s">
        <v>6123</v>
      </c>
      <c r="E110" s="14" t="s">
        <v>6124</v>
      </c>
      <c r="F110" s="14" t="s">
        <v>4414</v>
      </c>
      <c r="G110" s="14" t="s">
        <v>4466</v>
      </c>
      <c r="H110" s="14" t="s">
        <v>26</v>
      </c>
      <c r="I110" s="17">
        <v>4155500</v>
      </c>
      <c r="J110" s="69">
        <v>4610600</v>
      </c>
      <c r="K110" s="17">
        <v>4530600</v>
      </c>
      <c r="L110" s="17">
        <f>J110-K110</f>
      </c>
      <c r="M110" s="14" t="s">
        <v>187</v>
      </c>
      <c r="N110" s="14" t="s">
        <v>6125</v>
      </c>
      <c r="O110" s="65"/>
      <c r="P110" s="17"/>
      <c r="Q110" s="17"/>
      <c r="R110" s="17">
        <v>4610600</v>
      </c>
      <c r="S110" s="17">
        <f>J110-P110-R110</f>
      </c>
      <c r="T110" s="293">
        <v>45706</v>
      </c>
      <c r="U110" s="14" t="s">
        <v>2122</v>
      </c>
      <c r="V110" s="161"/>
      <c r="W110" s="29"/>
      <c r="X110" s="2"/>
      <c r="Y110" s="29"/>
    </row>
    <row x14ac:dyDescent="0.25" r="111" customHeight="1" ht="19.5">
      <c r="A111" s="478">
        <v>45662</v>
      </c>
      <c r="B111" s="14" t="s">
        <v>111</v>
      </c>
      <c r="C111" s="14" t="s">
        <v>5951</v>
      </c>
      <c r="D111" s="14" t="s">
        <v>6126</v>
      </c>
      <c r="E111" s="14" t="s">
        <v>6124</v>
      </c>
      <c r="F111" s="14" t="s">
        <v>4414</v>
      </c>
      <c r="G111" s="14" t="s">
        <v>4466</v>
      </c>
      <c r="H111" s="14" t="s">
        <v>26</v>
      </c>
      <c r="I111" s="17"/>
      <c r="J111" s="69">
        <v>1097900</v>
      </c>
      <c r="K111" s="17">
        <v>992928</v>
      </c>
      <c r="L111" s="17">
        <f>J111-K111</f>
      </c>
      <c r="M111" s="14" t="s">
        <v>50</v>
      </c>
      <c r="N111" s="14" t="s">
        <v>6127</v>
      </c>
      <c r="O111" s="17">
        <v>1</v>
      </c>
      <c r="P111" s="17"/>
      <c r="Q111" s="17"/>
      <c r="R111" s="17">
        <v>1097900</v>
      </c>
      <c r="S111" s="17">
        <f>J111-P111-R111</f>
      </c>
      <c r="T111" s="293">
        <v>45706</v>
      </c>
      <c r="U111" s="14" t="s">
        <v>2122</v>
      </c>
      <c r="V111" s="161"/>
      <c r="W111" s="29"/>
      <c r="X111" s="2"/>
      <c r="Y111" s="29"/>
    </row>
    <row x14ac:dyDescent="0.25" r="112" customHeight="1" ht="19.5">
      <c r="A112" s="478">
        <v>45662</v>
      </c>
      <c r="B112" s="14" t="s">
        <v>111</v>
      </c>
      <c r="C112" s="14" t="s">
        <v>6128</v>
      </c>
      <c r="D112" s="14" t="s">
        <v>6129</v>
      </c>
      <c r="E112" s="14" t="s">
        <v>6124</v>
      </c>
      <c r="F112" s="14" t="s">
        <v>4414</v>
      </c>
      <c r="G112" s="14" t="s">
        <v>4466</v>
      </c>
      <c r="H112" s="14" t="s">
        <v>26</v>
      </c>
      <c r="I112" s="17"/>
      <c r="J112" s="69">
        <v>724100</v>
      </c>
      <c r="K112" s="17">
        <v>621646</v>
      </c>
      <c r="L112" s="17">
        <f>J112-K112</f>
      </c>
      <c r="M112" s="14" t="s">
        <v>50</v>
      </c>
      <c r="N112" s="14" t="s">
        <v>6130</v>
      </c>
      <c r="O112" s="593">
        <v>1</v>
      </c>
      <c r="P112" s="17"/>
      <c r="Q112" s="17"/>
      <c r="R112" s="17">
        <v>724100</v>
      </c>
      <c r="S112" s="17">
        <f>J112-P112-R112</f>
      </c>
      <c r="T112" s="293">
        <v>45706</v>
      </c>
      <c r="U112" s="14" t="s">
        <v>2122</v>
      </c>
      <c r="V112" s="161"/>
      <c r="W112" s="29"/>
      <c r="X112" s="2"/>
      <c r="Y112" s="29"/>
    </row>
    <row x14ac:dyDescent="0.25" r="113" customHeight="1" ht="19.5">
      <c r="A113" s="478">
        <v>45662</v>
      </c>
      <c r="B113" s="14" t="s">
        <v>2789</v>
      </c>
      <c r="C113" s="14" t="s">
        <v>6128</v>
      </c>
      <c r="D113" s="14" t="s">
        <v>3708</v>
      </c>
      <c r="E113" s="14" t="s">
        <v>6124</v>
      </c>
      <c r="F113" s="14" t="s">
        <v>4414</v>
      </c>
      <c r="G113" s="14" t="s">
        <v>4466</v>
      </c>
      <c r="H113" s="14" t="s">
        <v>26</v>
      </c>
      <c r="I113" s="17"/>
      <c r="J113" s="69">
        <v>30000</v>
      </c>
      <c r="K113" s="17">
        <v>100</v>
      </c>
      <c r="L113" s="17">
        <f>J113-K113</f>
      </c>
      <c r="M113" s="14" t="s">
        <v>187</v>
      </c>
      <c r="N113" s="70" t="s">
        <v>6131</v>
      </c>
      <c r="O113" s="65" t="s">
        <v>251</v>
      </c>
      <c r="P113" s="17"/>
      <c r="Q113" s="17"/>
      <c r="R113" s="17">
        <v>30000</v>
      </c>
      <c r="S113" s="17">
        <f>J113-P113-R113</f>
      </c>
      <c r="T113" s="293">
        <v>45706</v>
      </c>
      <c r="U113" s="14" t="s">
        <v>2122</v>
      </c>
      <c r="V113" s="161"/>
      <c r="W113" s="29"/>
      <c r="X113" s="2"/>
      <c r="Y113" s="29"/>
    </row>
    <row x14ac:dyDescent="0.25" r="114" customHeight="1" ht="19.5">
      <c r="A114" s="478">
        <v>45662</v>
      </c>
      <c r="B114" s="14" t="s">
        <v>2789</v>
      </c>
      <c r="C114" s="14" t="s">
        <v>6132</v>
      </c>
      <c r="D114" s="14" t="s">
        <v>6133</v>
      </c>
      <c r="E114" s="14" t="s">
        <v>6124</v>
      </c>
      <c r="F114" s="14" t="s">
        <v>4414</v>
      </c>
      <c r="G114" s="14" t="s">
        <v>4466</v>
      </c>
      <c r="H114" s="14" t="s">
        <v>26</v>
      </c>
      <c r="I114" s="17"/>
      <c r="J114" s="69">
        <v>562300</v>
      </c>
      <c r="K114" s="17">
        <v>462300</v>
      </c>
      <c r="L114" s="17">
        <f>J114-K114</f>
      </c>
      <c r="M114" s="14" t="s">
        <v>187</v>
      </c>
      <c r="N114" s="14" t="s">
        <v>6134</v>
      </c>
      <c r="O114" s="65"/>
      <c r="P114" s="17"/>
      <c r="Q114" s="17"/>
      <c r="R114" s="17">
        <v>562300</v>
      </c>
      <c r="S114" s="17">
        <f>J114-P114-R114</f>
      </c>
      <c r="T114" s="293">
        <v>45706</v>
      </c>
      <c r="U114" s="14" t="s">
        <v>2122</v>
      </c>
      <c r="V114" s="18"/>
      <c r="W114" s="29"/>
      <c r="X114" s="2"/>
      <c r="Y114" s="29"/>
    </row>
    <row x14ac:dyDescent="0.25" r="115" customHeight="1" ht="19.5">
      <c r="A115" s="478">
        <v>45666</v>
      </c>
      <c r="B115" s="14" t="s">
        <v>111</v>
      </c>
      <c r="C115" s="14" t="s">
        <v>6135</v>
      </c>
      <c r="D115" s="14" t="s">
        <v>4955</v>
      </c>
      <c r="E115" s="14" t="s">
        <v>6136</v>
      </c>
      <c r="F115" s="14" t="s">
        <v>4414</v>
      </c>
      <c r="G115" s="14" t="s">
        <v>4466</v>
      </c>
      <c r="H115" s="14" t="s">
        <v>26</v>
      </c>
      <c r="I115" s="17">
        <v>687300</v>
      </c>
      <c r="J115" s="69">
        <v>1109900</v>
      </c>
      <c r="K115" s="17">
        <v>747362</v>
      </c>
      <c r="L115" s="17">
        <f>J115-K115</f>
      </c>
      <c r="M115" s="14" t="s">
        <v>50</v>
      </c>
      <c r="N115" s="14" t="s">
        <v>6137</v>
      </c>
      <c r="O115" s="17">
        <v>1</v>
      </c>
      <c r="P115" s="17"/>
      <c r="Q115" s="17"/>
      <c r="R115" s="17">
        <v>1109900</v>
      </c>
      <c r="S115" s="17">
        <f>J115-P115-R115</f>
      </c>
      <c r="T115" s="293">
        <v>45706</v>
      </c>
      <c r="U115" s="14" t="s">
        <v>2122</v>
      </c>
      <c r="V115" s="161"/>
      <c r="W115" s="29"/>
      <c r="X115" s="2"/>
      <c r="Y115" s="29"/>
    </row>
    <row x14ac:dyDescent="0.25" r="116" customHeight="1" ht="19.5">
      <c r="A116" s="478">
        <v>45666</v>
      </c>
      <c r="B116" s="14" t="s">
        <v>111</v>
      </c>
      <c r="C116" s="14" t="s">
        <v>6138</v>
      </c>
      <c r="D116" s="14" t="s">
        <v>373</v>
      </c>
      <c r="E116" s="14" t="s">
        <v>6136</v>
      </c>
      <c r="F116" s="14" t="s">
        <v>4414</v>
      </c>
      <c r="G116" s="14" t="s">
        <v>4466</v>
      </c>
      <c r="H116" s="14" t="s">
        <v>26</v>
      </c>
      <c r="I116" s="17">
        <v>576400</v>
      </c>
      <c r="J116" s="69">
        <v>982220</v>
      </c>
      <c r="K116" s="17">
        <v>867636</v>
      </c>
      <c r="L116" s="17">
        <f>J116-K116</f>
      </c>
      <c r="M116" s="14" t="s">
        <v>50</v>
      </c>
      <c r="N116" s="14" t="s">
        <v>6139</v>
      </c>
      <c r="O116" s="17">
        <v>2</v>
      </c>
      <c r="P116" s="17"/>
      <c r="Q116" s="17"/>
      <c r="R116" s="17">
        <v>982220</v>
      </c>
      <c r="S116" s="17">
        <f>J116-P116-R116</f>
      </c>
      <c r="T116" s="293">
        <v>45706</v>
      </c>
      <c r="U116" s="14" t="s">
        <v>2122</v>
      </c>
      <c r="V116" s="161"/>
      <c r="W116" s="29"/>
      <c r="X116" s="2"/>
      <c r="Y116" s="29"/>
    </row>
    <row x14ac:dyDescent="0.25" r="117" customHeight="1" ht="19.5">
      <c r="A117" s="478">
        <v>45666</v>
      </c>
      <c r="B117" s="14" t="s">
        <v>2789</v>
      </c>
      <c r="C117" s="14" t="s">
        <v>6138</v>
      </c>
      <c r="D117" s="14" t="s">
        <v>3708</v>
      </c>
      <c r="E117" s="14" t="s">
        <v>6136</v>
      </c>
      <c r="F117" s="14" t="s">
        <v>4414</v>
      </c>
      <c r="G117" s="14" t="s">
        <v>4466</v>
      </c>
      <c r="H117" s="14" t="s">
        <v>26</v>
      </c>
      <c r="I117" s="17"/>
      <c r="J117" s="69">
        <v>30000</v>
      </c>
      <c r="K117" s="17">
        <v>0</v>
      </c>
      <c r="L117" s="17">
        <f>J117-K117</f>
      </c>
      <c r="M117" s="14" t="s">
        <v>187</v>
      </c>
      <c r="N117" s="14" t="s">
        <v>6140</v>
      </c>
      <c r="O117" s="65" t="s">
        <v>251</v>
      </c>
      <c r="P117" s="17"/>
      <c r="Q117" s="17"/>
      <c r="R117" s="17">
        <v>30000</v>
      </c>
      <c r="S117" s="17">
        <f>J117-P117-R117</f>
      </c>
      <c r="T117" s="293">
        <v>45706</v>
      </c>
      <c r="U117" s="14" t="s">
        <v>2122</v>
      </c>
      <c r="V117" s="161"/>
      <c r="W117" s="29"/>
      <c r="X117" s="2"/>
      <c r="Y117" s="29"/>
    </row>
    <row x14ac:dyDescent="0.25" r="118" customHeight="1" ht="19.5">
      <c r="A118" s="478">
        <v>45666</v>
      </c>
      <c r="B118" s="14" t="s">
        <v>2789</v>
      </c>
      <c r="C118" s="14" t="s">
        <v>6141</v>
      </c>
      <c r="D118" s="14" t="s">
        <v>6133</v>
      </c>
      <c r="E118" s="14" t="s">
        <v>6136</v>
      </c>
      <c r="F118" s="14" t="s">
        <v>4414</v>
      </c>
      <c r="G118" s="14" t="s">
        <v>4466</v>
      </c>
      <c r="H118" s="14" t="s">
        <v>26</v>
      </c>
      <c r="I118" s="17"/>
      <c r="J118" s="69">
        <v>120000</v>
      </c>
      <c r="K118" s="17">
        <v>90000</v>
      </c>
      <c r="L118" s="17">
        <f>J118-K118</f>
      </c>
      <c r="M118" s="14" t="s">
        <v>187</v>
      </c>
      <c r="N118" s="14" t="s">
        <v>6142</v>
      </c>
      <c r="O118" s="65" t="s">
        <v>251</v>
      </c>
      <c r="P118" s="17"/>
      <c r="Q118" s="17"/>
      <c r="R118" s="17">
        <v>120000</v>
      </c>
      <c r="S118" s="17">
        <f>J118-P118-R118</f>
      </c>
      <c r="T118" s="293">
        <v>45706</v>
      </c>
      <c r="U118" s="14" t="s">
        <v>2122</v>
      </c>
      <c r="V118" s="161"/>
      <c r="W118" s="29"/>
      <c r="X118" s="2"/>
      <c r="Y118" s="29"/>
    </row>
    <row x14ac:dyDescent="0.25" r="119" customHeight="1" ht="19.5">
      <c r="A119" s="478">
        <v>45679</v>
      </c>
      <c r="B119" s="14" t="s">
        <v>53</v>
      </c>
      <c r="C119" s="14" t="s">
        <v>6143</v>
      </c>
      <c r="D119" s="14" t="s">
        <v>4417</v>
      </c>
      <c r="E119" s="14" t="s">
        <v>6144</v>
      </c>
      <c r="F119" s="14" t="s">
        <v>4414</v>
      </c>
      <c r="G119" s="14" t="s">
        <v>4466</v>
      </c>
      <c r="H119" s="14" t="s">
        <v>26</v>
      </c>
      <c r="I119" s="17"/>
      <c r="J119" s="69">
        <v>468800</v>
      </c>
      <c r="K119" s="17">
        <v>424200</v>
      </c>
      <c r="L119" s="17">
        <f>J119-K119</f>
      </c>
      <c r="M119" s="14" t="s">
        <v>137</v>
      </c>
      <c r="N119" s="14" t="s">
        <v>6145</v>
      </c>
      <c r="O119" s="65"/>
      <c r="P119" s="17"/>
      <c r="Q119" s="17"/>
      <c r="R119" s="17">
        <v>468800</v>
      </c>
      <c r="S119" s="17">
        <f>J119-P119-R119</f>
      </c>
      <c r="T119" s="293">
        <v>45716</v>
      </c>
      <c r="U119" s="14" t="s">
        <v>2122</v>
      </c>
      <c r="V119" s="161"/>
      <c r="W119" s="29"/>
      <c r="X119" s="2"/>
      <c r="Y119" s="29"/>
    </row>
    <row x14ac:dyDescent="0.25" r="120" customHeight="1" ht="19.5">
      <c r="A120" s="478">
        <v>45682</v>
      </c>
      <c r="B120" s="14" t="s">
        <v>46</v>
      </c>
      <c r="C120" s="14" t="s">
        <v>6146</v>
      </c>
      <c r="D120" s="14" t="s">
        <v>6147</v>
      </c>
      <c r="E120" s="14" t="s">
        <v>6148</v>
      </c>
      <c r="F120" s="14" t="s">
        <v>4414</v>
      </c>
      <c r="G120" s="14" t="s">
        <v>4466</v>
      </c>
      <c r="H120" s="14" t="s">
        <v>26</v>
      </c>
      <c r="I120" s="17"/>
      <c r="J120" s="69">
        <v>1563900</v>
      </c>
      <c r="K120" s="17">
        <v>1473400</v>
      </c>
      <c r="L120" s="17">
        <f>J120-K120</f>
      </c>
      <c r="M120" s="14" t="s">
        <v>50</v>
      </c>
      <c r="N120" s="14" t="s">
        <v>6149</v>
      </c>
      <c r="O120" s="17">
        <v>4</v>
      </c>
      <c r="P120" s="17"/>
      <c r="Q120" s="17"/>
      <c r="R120" s="17">
        <v>1563900</v>
      </c>
      <c r="S120" s="17">
        <f>J120-P120-R120</f>
      </c>
      <c r="T120" s="293">
        <v>45722</v>
      </c>
      <c r="U120" s="14" t="s">
        <v>2216</v>
      </c>
      <c r="V120" s="161" t="s">
        <v>6150</v>
      </c>
      <c r="W120" s="29"/>
      <c r="X120" s="2"/>
      <c r="Y120" s="29"/>
    </row>
    <row x14ac:dyDescent="0.25" r="121" customHeight="1" ht="28.5">
      <c r="A121" s="478">
        <v>45685</v>
      </c>
      <c r="B121" s="14" t="s">
        <v>66</v>
      </c>
      <c r="C121" s="14" t="s">
        <v>6151</v>
      </c>
      <c r="D121" s="14" t="s">
        <v>54</v>
      </c>
      <c r="E121" s="14" t="s">
        <v>6152</v>
      </c>
      <c r="F121" s="14" t="s">
        <v>6153</v>
      </c>
      <c r="G121" s="14" t="s">
        <v>6154</v>
      </c>
      <c r="H121" s="14" t="s">
        <v>26</v>
      </c>
      <c r="I121" s="17">
        <v>84000</v>
      </c>
      <c r="J121" s="69">
        <v>385720</v>
      </c>
      <c r="K121" s="485">
        <v>343000</v>
      </c>
      <c r="L121" s="17">
        <f>J121-K121</f>
      </c>
      <c r="M121" s="14" t="s">
        <v>280</v>
      </c>
      <c r="N121" s="14" t="s">
        <v>6155</v>
      </c>
      <c r="O121" s="17">
        <v>4</v>
      </c>
      <c r="P121" s="17">
        <v>200000</v>
      </c>
      <c r="Q121" s="17"/>
      <c r="R121" s="17">
        <v>186000</v>
      </c>
      <c r="S121" s="17">
        <f>J121-P121-R121</f>
      </c>
      <c r="T121" s="294" t="s">
        <v>6156</v>
      </c>
      <c r="U121" s="70" t="s">
        <v>6052</v>
      </c>
      <c r="V121" s="161"/>
      <c r="W121" s="29"/>
      <c r="X121" s="2"/>
      <c r="Y121" s="29"/>
    </row>
    <row x14ac:dyDescent="0.25" r="122" customHeight="1" ht="19.5">
      <c r="A122" s="478">
        <v>45678</v>
      </c>
      <c r="B122" s="14" t="s">
        <v>82</v>
      </c>
      <c r="C122" s="14" t="s">
        <v>476</v>
      </c>
      <c r="D122" s="14" t="s">
        <v>6157</v>
      </c>
      <c r="E122" s="14" t="s">
        <v>553</v>
      </c>
      <c r="F122" s="14" t="s">
        <v>6158</v>
      </c>
      <c r="G122" s="14" t="s">
        <v>6159</v>
      </c>
      <c r="H122" s="14" t="s">
        <v>26</v>
      </c>
      <c r="I122" s="17"/>
      <c r="J122" s="69">
        <v>208950</v>
      </c>
      <c r="K122" s="69">
        <v>177040</v>
      </c>
      <c r="L122" s="17">
        <f>J122-K122</f>
      </c>
      <c r="M122" s="14" t="s">
        <v>86</v>
      </c>
      <c r="N122" s="14" t="s">
        <v>557</v>
      </c>
      <c r="O122" s="65"/>
      <c r="P122" s="17"/>
      <c r="Q122" s="17"/>
      <c r="R122" s="17">
        <v>208950</v>
      </c>
      <c r="S122" s="17">
        <f>J122-P122-R122</f>
      </c>
      <c r="T122" s="293">
        <v>45730</v>
      </c>
      <c r="U122" s="14" t="s">
        <v>2216</v>
      </c>
      <c r="V122" s="161" t="s">
        <v>2122</v>
      </c>
      <c r="W122" s="29"/>
      <c r="X122" s="2"/>
      <c r="Y122" s="29"/>
    </row>
    <row x14ac:dyDescent="0.25" r="123" customHeight="1" ht="19.5">
      <c r="A123" s="478">
        <v>45684</v>
      </c>
      <c r="B123" s="14" t="s">
        <v>53</v>
      </c>
      <c r="C123" s="14" t="s">
        <v>6160</v>
      </c>
      <c r="D123" s="14" t="s">
        <v>6161</v>
      </c>
      <c r="E123" s="14" t="s">
        <v>6162</v>
      </c>
      <c r="F123" s="14" t="s">
        <v>2972</v>
      </c>
      <c r="G123" s="14" t="s">
        <v>6163</v>
      </c>
      <c r="H123" s="14" t="s">
        <v>26</v>
      </c>
      <c r="I123" s="17"/>
      <c r="J123" s="69">
        <v>620520</v>
      </c>
      <c r="K123" s="17">
        <v>620520</v>
      </c>
      <c r="L123" s="17">
        <f>J123-K123</f>
      </c>
      <c r="M123" s="14" t="s">
        <v>137</v>
      </c>
      <c r="N123" s="14" t="s">
        <v>6164</v>
      </c>
      <c r="O123" s="65"/>
      <c r="P123" s="17"/>
      <c r="Q123" s="17"/>
      <c r="R123" s="17"/>
      <c r="S123" s="17">
        <f>J123-P123-R123</f>
      </c>
      <c r="T123" s="293"/>
      <c r="U123" s="17"/>
      <c r="V123" s="161"/>
      <c r="W123" s="29"/>
      <c r="X123" s="2"/>
      <c r="Y123" s="29"/>
    </row>
    <row x14ac:dyDescent="0.25" r="124" customHeight="1" ht="19.5">
      <c r="A124" s="478"/>
      <c r="B124" s="14"/>
      <c r="C124" s="14"/>
      <c r="D124" s="14"/>
      <c r="E124" s="14"/>
      <c r="F124" s="14"/>
      <c r="G124" s="14"/>
      <c r="H124" s="14"/>
      <c r="I124" s="17"/>
      <c r="J124" s="69"/>
      <c r="K124" s="17"/>
      <c r="L124" s="17"/>
      <c r="M124" s="14"/>
      <c r="N124" s="14"/>
      <c r="O124" s="65"/>
      <c r="P124" s="17"/>
      <c r="Q124" s="17"/>
      <c r="R124" s="17"/>
      <c r="S124" s="17">
        <f>J124-P124-R124</f>
      </c>
      <c r="T124" s="293"/>
      <c r="U124" s="17"/>
      <c r="V124" s="161"/>
      <c r="W124" s="29"/>
      <c r="X124" s="2"/>
      <c r="Y124" s="29"/>
    </row>
    <row x14ac:dyDescent="0.25" r="125" customHeight="1" ht="19.5">
      <c r="A125" s="478"/>
      <c r="B125" s="14"/>
      <c r="C125" s="14"/>
      <c r="D125" s="14"/>
      <c r="E125" s="14"/>
      <c r="F125" s="14"/>
      <c r="G125" s="14"/>
      <c r="H125" s="14"/>
      <c r="I125" s="17"/>
      <c r="J125" s="69"/>
      <c r="K125" s="17"/>
      <c r="L125" s="17"/>
      <c r="M125" s="14"/>
      <c r="N125" s="14"/>
      <c r="O125" s="65"/>
      <c r="P125" s="17"/>
      <c r="Q125" s="17"/>
      <c r="R125" s="17"/>
      <c r="S125" s="17">
        <f>J125-P125-R125</f>
      </c>
      <c r="T125" s="293"/>
      <c r="U125" s="17"/>
      <c r="V125" s="161"/>
      <c r="W125" s="29"/>
      <c r="X125" s="2"/>
      <c r="Y125" s="29"/>
    </row>
    <row x14ac:dyDescent="0.25" r="126" customHeight="1" ht="19.5">
      <c r="A126" s="478"/>
      <c r="B126" s="14"/>
      <c r="C126" s="14"/>
      <c r="D126" s="14"/>
      <c r="E126" s="14"/>
      <c r="F126" s="14"/>
      <c r="G126" s="14"/>
      <c r="H126" s="14"/>
      <c r="I126" s="17"/>
      <c r="J126" s="69"/>
      <c r="K126" s="17"/>
      <c r="L126" s="17"/>
      <c r="M126" s="14"/>
      <c r="N126" s="14"/>
      <c r="O126" s="65"/>
      <c r="P126" s="17"/>
      <c r="Q126" s="17"/>
      <c r="R126" s="17"/>
      <c r="S126" s="17">
        <f>J126-P126-R126</f>
      </c>
      <c r="T126" s="293"/>
      <c r="U126" s="17"/>
      <c r="V126" s="161"/>
      <c r="W126" s="29"/>
      <c r="X126" s="2"/>
      <c r="Y126" s="29"/>
    </row>
    <row x14ac:dyDescent="0.25" r="127" customHeight="1" ht="19.5">
      <c r="A127" s="478"/>
      <c r="B127" s="14"/>
      <c r="C127" s="14"/>
      <c r="D127" s="14"/>
      <c r="E127" s="14"/>
      <c r="F127" s="14"/>
      <c r="G127" s="14"/>
      <c r="H127" s="14"/>
      <c r="I127" s="17"/>
      <c r="J127" s="69"/>
      <c r="K127" s="17"/>
      <c r="L127" s="17"/>
      <c r="M127" s="14"/>
      <c r="N127" s="14"/>
      <c r="O127" s="65"/>
      <c r="P127" s="17"/>
      <c r="Q127" s="17"/>
      <c r="R127" s="17"/>
      <c r="S127" s="17">
        <f>J127-P127-R127</f>
      </c>
      <c r="T127" s="293"/>
      <c r="U127" s="17"/>
      <c r="V127" s="161"/>
      <c r="W127" s="29"/>
      <c r="X127" s="2" t="s">
        <v>336</v>
      </c>
      <c r="Y127" s="29"/>
    </row>
    <row x14ac:dyDescent="0.25" r="128" customHeight="1" ht="19.5">
      <c r="A128" s="594" t="s">
        <v>743</v>
      </c>
      <c r="B128" s="79"/>
      <c r="C128" s="79"/>
      <c r="D128" s="79"/>
      <c r="E128" s="79"/>
      <c r="F128" s="79"/>
      <c r="G128" s="79"/>
      <c r="H128" s="80"/>
      <c r="I128" s="17">
        <f>SUM(I2:I127)</f>
      </c>
      <c r="J128" s="68">
        <f>SUM(J2:J127)</f>
      </c>
      <c r="K128" s="314">
        <f>SUM(K2:K127)</f>
      </c>
      <c r="L128" s="17">
        <f>J128-K128</f>
      </c>
      <c r="M128" s="14"/>
      <c r="N128" s="14"/>
      <c r="O128" s="17">
        <f>SUM(O2:O127)</f>
      </c>
      <c r="P128" s="17">
        <f>SUM(P2:P127)</f>
      </c>
      <c r="Q128" s="17"/>
      <c r="R128" s="17"/>
      <c r="S128" s="17">
        <f>SUM(S2:S127)</f>
      </c>
      <c r="T128" s="293"/>
      <c r="U128" s="17"/>
      <c r="V128" s="161"/>
      <c r="W128" s="29"/>
      <c r="X128" s="2"/>
      <c r="Y128" s="29"/>
    </row>
    <row x14ac:dyDescent="0.25" r="129" customHeight="1" ht="15.75">
      <c r="A129" s="502"/>
      <c r="B129" s="34"/>
      <c r="C129" s="34"/>
      <c r="D129" s="34"/>
      <c r="E129" s="34"/>
      <c r="F129" s="34"/>
      <c r="G129" s="34"/>
      <c r="H129" s="34"/>
      <c r="I129" s="29"/>
      <c r="J129" s="29"/>
      <c r="K129" s="29"/>
      <c r="L129" s="29"/>
      <c r="M129" s="34"/>
      <c r="N129" s="34"/>
      <c r="O129" s="29"/>
      <c r="P129" s="29"/>
      <c r="Q129" s="29"/>
      <c r="R129" s="29"/>
      <c r="S129" s="29"/>
      <c r="T129" s="476"/>
      <c r="U129" s="29"/>
      <c r="V129" s="2"/>
      <c r="W129" s="29"/>
      <c r="X129" s="2"/>
      <c r="Y129" s="29"/>
    </row>
    <row x14ac:dyDescent="0.25" r="130" customHeight="1" ht="15.75">
      <c r="A130" s="502"/>
      <c r="B130" s="34"/>
      <c r="C130" s="34"/>
      <c r="D130" s="34"/>
      <c r="E130" s="34"/>
      <c r="F130" s="34"/>
      <c r="G130" s="34"/>
      <c r="H130" s="34"/>
      <c r="I130" s="29"/>
      <c r="J130" s="29"/>
      <c r="K130" s="29"/>
      <c r="L130" s="29"/>
      <c r="M130" s="34"/>
      <c r="N130" s="34"/>
      <c r="O130" s="29"/>
      <c r="P130" s="29"/>
      <c r="Q130" s="29"/>
      <c r="R130" s="29"/>
      <c r="S130" s="29"/>
      <c r="T130" s="476"/>
      <c r="U130" s="29"/>
      <c r="V130" s="2"/>
      <c r="W130" s="29"/>
      <c r="X130" s="2"/>
      <c r="Y130" s="29"/>
    </row>
    <row x14ac:dyDescent="0.25" r="131" customHeight="1" ht="15.75">
      <c r="A131" s="502"/>
      <c r="B131" s="34"/>
      <c r="C131" s="34"/>
      <c r="D131" s="34"/>
      <c r="E131" s="34"/>
      <c r="F131" s="34"/>
      <c r="G131" s="34"/>
      <c r="H131" s="34"/>
      <c r="I131" s="29"/>
      <c r="J131" s="29"/>
      <c r="K131" s="29"/>
      <c r="L131" s="29"/>
      <c r="M131" s="34"/>
      <c r="N131" s="34"/>
      <c r="O131" s="29"/>
      <c r="P131" s="29"/>
      <c r="Q131" s="29"/>
      <c r="R131" s="29"/>
      <c r="S131" s="29"/>
      <c r="T131" s="476"/>
      <c r="U131" s="29"/>
      <c r="V131" s="2"/>
      <c r="W131" s="29"/>
      <c r="X131" s="2"/>
      <c r="Y131" s="29"/>
    </row>
    <row x14ac:dyDescent="0.25" r="132" customHeight="1" ht="15.75">
      <c r="A132" s="502"/>
      <c r="B132" s="34"/>
      <c r="C132" s="34"/>
      <c r="D132" s="34"/>
      <c r="E132" s="34"/>
      <c r="F132" s="34"/>
      <c r="G132" s="34"/>
      <c r="H132" s="34"/>
      <c r="I132" s="29"/>
      <c r="J132" s="29"/>
      <c r="K132" s="29"/>
      <c r="L132" s="29"/>
      <c r="M132" s="34"/>
      <c r="N132" s="34"/>
      <c r="O132" s="29"/>
      <c r="P132" s="29"/>
      <c r="Q132" s="29"/>
      <c r="R132" s="29"/>
      <c r="S132" s="29"/>
      <c r="T132" s="476"/>
      <c r="U132" s="29"/>
      <c r="V132" s="2"/>
      <c r="W132" s="29"/>
      <c r="X132" s="2"/>
      <c r="Y132" s="29"/>
    </row>
    <row x14ac:dyDescent="0.25" r="133" customHeight="1" ht="15.75">
      <c r="A133" s="502"/>
      <c r="B133" s="34"/>
      <c r="C133" s="34"/>
      <c r="D133" s="34"/>
      <c r="E133" s="34"/>
      <c r="F133" s="34"/>
      <c r="G133" s="34"/>
      <c r="H133" s="34"/>
      <c r="I133" s="29"/>
      <c r="J133" s="29"/>
      <c r="K133" s="29"/>
      <c r="L133" s="29"/>
      <c r="M133" s="34"/>
      <c r="N133" s="34"/>
      <c r="O133" s="29"/>
      <c r="P133" s="29"/>
      <c r="Q133" s="29"/>
      <c r="R133" s="29"/>
      <c r="S133" s="29"/>
      <c r="T133" s="476"/>
      <c r="U133" s="29"/>
      <c r="V133" s="2"/>
      <c r="W133" s="29"/>
      <c r="X133" s="2"/>
      <c r="Y133" s="29"/>
    </row>
    <row x14ac:dyDescent="0.25" r="134" customHeight="1" ht="15.75">
      <c r="A134" s="502"/>
      <c r="B134" s="34"/>
      <c r="C134" s="34"/>
      <c r="D134" s="34"/>
      <c r="E134" s="34"/>
      <c r="F134" s="34"/>
      <c r="G134" s="34"/>
      <c r="H134" s="34"/>
      <c r="I134" s="29"/>
      <c r="J134" s="29"/>
      <c r="K134" s="29"/>
      <c r="L134" s="29"/>
      <c r="M134" s="34"/>
      <c r="N134" s="34"/>
      <c r="O134" s="29"/>
      <c r="P134" s="29"/>
      <c r="Q134" s="29"/>
      <c r="R134" s="29"/>
      <c r="S134" s="29"/>
      <c r="T134" s="476"/>
      <c r="U134" s="29"/>
      <c r="V134" s="2"/>
      <c r="W134" s="29"/>
      <c r="X134" s="2"/>
      <c r="Y134" s="29"/>
    </row>
    <row x14ac:dyDescent="0.25" r="135" customHeight="1" ht="15.75">
      <c r="A135" s="502"/>
      <c r="B135" s="34"/>
      <c r="C135" s="34"/>
      <c r="D135" s="34"/>
      <c r="E135" s="34"/>
      <c r="F135" s="34"/>
      <c r="G135" s="34"/>
      <c r="H135" s="34"/>
      <c r="I135" s="29"/>
      <c r="J135" s="29"/>
      <c r="K135" s="29"/>
      <c r="L135" s="29"/>
      <c r="M135" s="34"/>
      <c r="N135" s="34"/>
      <c r="O135" s="29"/>
      <c r="P135" s="29"/>
      <c r="Q135" s="107" t="s">
        <v>4180</v>
      </c>
      <c r="R135" s="29"/>
      <c r="S135" s="29"/>
      <c r="T135" s="476"/>
      <c r="U135" s="29"/>
      <c r="V135" s="2"/>
      <c r="W135" s="29"/>
      <c r="X135" s="2"/>
      <c r="Y135" s="29"/>
    </row>
    <row x14ac:dyDescent="0.25" r="136" customHeight="1" ht="15.75">
      <c r="A136" s="502"/>
      <c r="B136" s="34"/>
      <c r="C136" s="34"/>
      <c r="D136" s="34"/>
      <c r="E136" s="34"/>
      <c r="F136" s="34"/>
      <c r="G136" s="34"/>
      <c r="H136" s="34"/>
      <c r="I136" s="29"/>
      <c r="J136" s="29"/>
      <c r="K136" s="29"/>
      <c r="L136" s="29"/>
      <c r="M136" s="34"/>
      <c r="N136" s="34"/>
      <c r="O136" s="29"/>
      <c r="P136" s="29"/>
      <c r="Q136" s="29"/>
      <c r="R136" s="29"/>
      <c r="S136" s="29"/>
      <c r="T136" s="476"/>
      <c r="U136" s="29"/>
      <c r="V136" s="2"/>
      <c r="W136" s="29"/>
      <c r="X136" s="2"/>
      <c r="Y136" s="29"/>
    </row>
    <row x14ac:dyDescent="0.25" r="137" customHeight="1" ht="15.75">
      <c r="A137" s="502"/>
      <c r="B137" s="34"/>
      <c r="C137" s="34"/>
      <c r="D137" s="34"/>
      <c r="E137" s="34"/>
      <c r="F137" s="34"/>
      <c r="G137" s="34"/>
      <c r="H137" s="34"/>
      <c r="I137" s="29"/>
      <c r="J137" s="29"/>
      <c r="K137" s="29"/>
      <c r="L137" s="29"/>
      <c r="M137" s="34"/>
      <c r="N137" s="34"/>
      <c r="O137" s="29"/>
      <c r="P137" s="29"/>
      <c r="Q137" s="29"/>
      <c r="R137" s="29"/>
      <c r="S137" s="29"/>
      <c r="T137" s="476"/>
      <c r="U137" s="29"/>
      <c r="V137" s="2"/>
      <c r="W137" s="29"/>
      <c r="X137" s="2"/>
      <c r="Y137" s="29"/>
    </row>
    <row x14ac:dyDescent="0.25" r="138" customHeight="1" ht="15.75">
      <c r="A138" s="502"/>
      <c r="B138" s="34"/>
      <c r="C138" s="34"/>
      <c r="D138" s="34"/>
      <c r="E138" s="34"/>
      <c r="F138" s="34"/>
      <c r="G138" s="34"/>
      <c r="H138" s="34"/>
      <c r="I138" s="29"/>
      <c r="J138" s="29"/>
      <c r="K138" s="29"/>
      <c r="L138" s="29"/>
      <c r="M138" s="34"/>
      <c r="N138" s="34"/>
      <c r="O138" s="29"/>
      <c r="P138" s="29"/>
      <c r="Q138" s="29"/>
      <c r="R138" s="29"/>
      <c r="S138" s="29"/>
      <c r="T138" s="476"/>
      <c r="U138" s="29"/>
      <c r="V138" s="2"/>
      <c r="W138" s="29"/>
      <c r="X138" s="2"/>
      <c r="Y138" s="29"/>
    </row>
    <row x14ac:dyDescent="0.25" r="139" customHeight="1" ht="15.75">
      <c r="A139" s="502"/>
      <c r="B139" s="34"/>
      <c r="C139" s="34"/>
      <c r="D139" s="34"/>
      <c r="E139" s="34"/>
      <c r="F139" s="34"/>
      <c r="G139" s="34"/>
      <c r="H139" s="34"/>
      <c r="I139" s="29"/>
      <c r="J139" s="29"/>
      <c r="K139" s="29"/>
      <c r="L139" s="29"/>
      <c r="M139" s="34"/>
      <c r="N139" s="34"/>
      <c r="O139" s="29"/>
      <c r="P139" s="29"/>
      <c r="Q139" s="29"/>
      <c r="R139" s="29"/>
      <c r="S139" s="29"/>
      <c r="T139" s="476"/>
      <c r="U139" s="29"/>
      <c r="V139" s="2"/>
      <c r="W139" s="29"/>
      <c r="X139" s="2"/>
      <c r="Y139" s="29"/>
    </row>
    <row x14ac:dyDescent="0.25" r="140" customHeight="1" ht="15.75">
      <c r="A140" s="502"/>
      <c r="B140" s="34"/>
      <c r="C140" s="34"/>
      <c r="D140" s="34"/>
      <c r="E140" s="34"/>
      <c r="F140" s="34"/>
      <c r="G140" s="34"/>
      <c r="H140" s="34"/>
      <c r="I140" s="29"/>
      <c r="J140" s="29"/>
      <c r="K140" s="29"/>
      <c r="L140" s="29"/>
      <c r="M140" s="34"/>
      <c r="N140" s="34"/>
      <c r="O140" s="29"/>
      <c r="P140" s="29"/>
      <c r="Q140" s="29"/>
      <c r="R140" s="29"/>
      <c r="S140" s="29"/>
      <c r="T140" s="476"/>
      <c r="U140" s="29"/>
      <c r="V140" s="2"/>
      <c r="W140" s="29"/>
      <c r="X140" s="2"/>
      <c r="Y140" s="29"/>
    </row>
    <row x14ac:dyDescent="0.25" r="141" customHeight="1" ht="15.75">
      <c r="A141" s="502"/>
      <c r="B141" s="34"/>
      <c r="C141" s="34"/>
      <c r="D141" s="34"/>
      <c r="E141" s="34"/>
      <c r="F141" s="34"/>
      <c r="G141" s="34"/>
      <c r="H141" s="34"/>
      <c r="I141" s="29"/>
      <c r="J141" s="29"/>
      <c r="K141" s="29"/>
      <c r="L141" s="29"/>
      <c r="M141" s="34"/>
      <c r="N141" s="34"/>
      <c r="O141" s="29"/>
      <c r="P141" s="29"/>
      <c r="Q141" s="29"/>
      <c r="R141" s="29"/>
      <c r="S141" s="29"/>
      <c r="T141" s="476"/>
      <c r="U141" s="29"/>
      <c r="V141" s="2"/>
      <c r="W141" s="29"/>
      <c r="X141" s="2"/>
      <c r="Y141" s="29"/>
    </row>
    <row x14ac:dyDescent="0.25" r="142" customHeight="1" ht="15.75">
      <c r="A142" s="502"/>
      <c r="B142" s="34"/>
      <c r="C142" s="34"/>
      <c r="D142" s="34"/>
      <c r="E142" s="34"/>
      <c r="F142" s="34"/>
      <c r="G142" s="34"/>
      <c r="H142" s="34"/>
      <c r="I142" s="29"/>
      <c r="J142" s="29"/>
      <c r="K142" s="29"/>
      <c r="L142" s="29"/>
      <c r="M142" s="34"/>
      <c r="N142" s="34"/>
      <c r="O142" s="29"/>
      <c r="P142" s="29"/>
      <c r="Q142" s="29"/>
      <c r="R142" s="29"/>
      <c r="S142" s="29"/>
      <c r="T142" s="476"/>
      <c r="U142" s="29"/>
      <c r="V142" s="2"/>
      <c r="W142" s="29"/>
      <c r="X142" s="2"/>
      <c r="Y142" s="29"/>
    </row>
    <row x14ac:dyDescent="0.25" r="143" customHeight="1" ht="15.75">
      <c r="A143" s="502"/>
      <c r="B143" s="34"/>
      <c r="C143" s="34"/>
      <c r="D143" s="34"/>
      <c r="E143" s="34"/>
      <c r="F143" s="34"/>
      <c r="G143" s="34"/>
      <c r="H143" s="34"/>
      <c r="I143" s="29"/>
      <c r="J143" s="29"/>
      <c r="K143" s="29"/>
      <c r="L143" s="29"/>
      <c r="M143" s="34"/>
      <c r="N143" s="34"/>
      <c r="O143" s="29"/>
      <c r="P143" s="29"/>
      <c r="Q143" s="29"/>
      <c r="R143" s="29"/>
      <c r="S143" s="29"/>
      <c r="T143" s="476"/>
      <c r="U143" s="29"/>
      <c r="V143" s="2"/>
      <c r="W143" s="29"/>
      <c r="X143" s="2"/>
      <c r="Y143" s="29"/>
    </row>
    <row x14ac:dyDescent="0.25" r="144" customHeight="1" ht="15.75">
      <c r="A144" s="502"/>
      <c r="B144" s="34"/>
      <c r="C144" s="34"/>
      <c r="D144" s="34"/>
      <c r="E144" s="34"/>
      <c r="F144" s="34"/>
      <c r="G144" s="34"/>
      <c r="H144" s="34"/>
      <c r="I144" s="29"/>
      <c r="J144" s="29"/>
      <c r="K144" s="29"/>
      <c r="L144" s="29"/>
      <c r="M144" s="34"/>
      <c r="N144" s="34"/>
      <c r="O144" s="29"/>
      <c r="P144" s="29"/>
      <c r="Q144" s="29"/>
      <c r="R144" s="29"/>
      <c r="S144" s="29"/>
      <c r="T144" s="476"/>
      <c r="U144" s="29"/>
      <c r="V144" s="2"/>
      <c r="W144" s="29"/>
      <c r="X144" s="2"/>
      <c r="Y144" s="29"/>
    </row>
    <row x14ac:dyDescent="0.25" r="145" customHeight="1" ht="15.75">
      <c r="A145" s="502"/>
      <c r="B145" s="34"/>
      <c r="C145" s="34"/>
      <c r="D145" s="34"/>
      <c r="E145" s="34"/>
      <c r="F145" s="34"/>
      <c r="G145" s="34"/>
      <c r="H145" s="34"/>
      <c r="I145" s="29"/>
      <c r="J145" s="29"/>
      <c r="K145" s="29"/>
      <c r="L145" s="29"/>
      <c r="M145" s="34"/>
      <c r="N145" s="34"/>
      <c r="O145" s="29"/>
      <c r="P145" s="29"/>
      <c r="Q145" s="29"/>
      <c r="R145" s="29"/>
      <c r="S145" s="29"/>
      <c r="T145" s="476"/>
      <c r="U145" s="29"/>
      <c r="V145" s="2"/>
      <c r="W145" s="29"/>
      <c r="X145" s="2"/>
      <c r="Y145" s="29"/>
    </row>
    <row x14ac:dyDescent="0.25" r="146" customHeight="1" ht="15.75">
      <c r="A146" s="502"/>
      <c r="B146" s="34"/>
      <c r="C146" s="34"/>
      <c r="D146" s="34"/>
      <c r="E146" s="34"/>
      <c r="F146" s="34"/>
      <c r="G146" s="34"/>
      <c r="H146" s="34"/>
      <c r="I146" s="29"/>
      <c r="J146" s="29"/>
      <c r="K146" s="29"/>
      <c r="L146" s="29"/>
      <c r="M146" s="34"/>
      <c r="N146" s="34"/>
      <c r="O146" s="29"/>
      <c r="P146" s="29"/>
      <c r="Q146" s="29"/>
      <c r="R146" s="29"/>
      <c r="S146" s="29"/>
      <c r="T146" s="476"/>
      <c r="U146" s="29"/>
      <c r="V146" s="2"/>
      <c r="W146" s="29"/>
      <c r="X146" s="2"/>
      <c r="Y146" s="29"/>
    </row>
    <row x14ac:dyDescent="0.25" r="147" customHeight="1" ht="15.75">
      <c r="A147" s="502"/>
      <c r="B147" s="34"/>
      <c r="C147" s="34"/>
      <c r="D147" s="34"/>
      <c r="E147" s="34"/>
      <c r="F147" s="34"/>
      <c r="G147" s="34"/>
      <c r="H147" s="34"/>
      <c r="I147" s="29"/>
      <c r="J147" s="29"/>
      <c r="K147" s="29"/>
      <c r="L147" s="29"/>
      <c r="M147" s="34"/>
      <c r="N147" s="34"/>
      <c r="O147" s="29"/>
      <c r="P147" s="29"/>
      <c r="Q147" s="29"/>
      <c r="R147" s="29"/>
      <c r="S147" s="29"/>
      <c r="T147" s="476"/>
      <c r="U147" s="29"/>
      <c r="V147" s="2"/>
      <c r="W147" s="29"/>
      <c r="X147" s="2"/>
      <c r="Y147" s="29"/>
    </row>
    <row x14ac:dyDescent="0.25" r="148" customHeight="1" ht="15.75">
      <c r="A148" s="502"/>
      <c r="B148" s="34"/>
      <c r="C148" s="34"/>
      <c r="D148" s="34"/>
      <c r="E148" s="34"/>
      <c r="F148" s="34"/>
      <c r="G148" s="34"/>
      <c r="H148" s="34"/>
      <c r="I148" s="29"/>
      <c r="J148" s="29"/>
      <c r="K148" s="29"/>
      <c r="L148" s="29"/>
      <c r="M148" s="34"/>
      <c r="N148" s="34"/>
      <c r="O148" s="29"/>
      <c r="P148" s="29"/>
      <c r="Q148" s="29"/>
      <c r="R148" s="29"/>
      <c r="S148" s="29"/>
      <c r="T148" s="476"/>
      <c r="U148" s="29"/>
      <c r="V148" s="2"/>
      <c r="W148" s="29"/>
      <c r="X148" s="2"/>
      <c r="Y148" s="29"/>
    </row>
    <row x14ac:dyDescent="0.25" r="149" customHeight="1" ht="15.75">
      <c r="A149" s="502"/>
      <c r="B149" s="34"/>
      <c r="C149" s="34"/>
      <c r="D149" s="34"/>
      <c r="E149" s="34"/>
      <c r="F149" s="34"/>
      <c r="G149" s="34"/>
      <c r="H149" s="34"/>
      <c r="I149" s="29"/>
      <c r="J149" s="29"/>
      <c r="K149" s="29"/>
      <c r="L149" s="29"/>
      <c r="M149" s="34"/>
      <c r="N149" s="34"/>
      <c r="O149" s="29"/>
      <c r="P149" s="29"/>
      <c r="Q149" s="29"/>
      <c r="R149" s="29"/>
      <c r="S149" s="29"/>
      <c r="T149" s="476"/>
      <c r="U149" s="29"/>
      <c r="V149" s="2"/>
      <c r="W149" s="29"/>
      <c r="X149" s="2"/>
      <c r="Y149" s="29"/>
    </row>
    <row x14ac:dyDescent="0.25" r="150" customHeight="1" ht="15.75">
      <c r="A150" s="502"/>
      <c r="B150" s="34"/>
      <c r="C150" s="34"/>
      <c r="D150" s="34"/>
      <c r="E150" s="34"/>
      <c r="F150" s="34"/>
      <c r="G150" s="34"/>
      <c r="H150" s="34"/>
      <c r="I150" s="29"/>
      <c r="J150" s="29"/>
      <c r="K150" s="29"/>
      <c r="L150" s="29"/>
      <c r="M150" s="34"/>
      <c r="N150" s="34"/>
      <c r="O150" s="29"/>
      <c r="P150" s="29"/>
      <c r="Q150" s="29"/>
      <c r="R150" s="29"/>
      <c r="S150" s="29"/>
      <c r="T150" s="476"/>
      <c r="U150" s="29"/>
      <c r="V150" s="2"/>
      <c r="W150" s="29"/>
      <c r="X150" s="2"/>
      <c r="Y150" s="29"/>
    </row>
    <row x14ac:dyDescent="0.25" r="151" customHeight="1" ht="15.75">
      <c r="A151" s="502"/>
      <c r="B151" s="34"/>
      <c r="C151" s="34"/>
      <c r="D151" s="34"/>
      <c r="E151" s="34"/>
      <c r="F151" s="34"/>
      <c r="G151" s="34"/>
      <c r="H151" s="34"/>
      <c r="I151" s="29"/>
      <c r="J151" s="29"/>
      <c r="K151" s="29"/>
      <c r="L151" s="29"/>
      <c r="M151" s="34"/>
      <c r="N151" s="34"/>
      <c r="O151" s="29"/>
      <c r="P151" s="29"/>
      <c r="Q151" s="29"/>
      <c r="R151" s="29"/>
      <c r="S151" s="29"/>
      <c r="T151" s="476"/>
      <c r="U151" s="29"/>
      <c r="V151" s="2"/>
      <c r="W151" s="29"/>
      <c r="X151" s="2"/>
      <c r="Y151" s="29"/>
    </row>
    <row x14ac:dyDescent="0.25" r="152" customHeight="1" ht="15.75">
      <c r="A152" s="502"/>
      <c r="B152" s="34"/>
      <c r="C152" s="34"/>
      <c r="D152" s="34"/>
      <c r="E152" s="34"/>
      <c r="F152" s="34"/>
      <c r="G152" s="34"/>
      <c r="H152" s="34"/>
      <c r="I152" s="29"/>
      <c r="J152" s="29"/>
      <c r="K152" s="29"/>
      <c r="L152" s="29"/>
      <c r="M152" s="34"/>
      <c r="N152" s="34"/>
      <c r="O152" s="29"/>
      <c r="P152" s="29"/>
      <c r="Q152" s="29"/>
      <c r="R152" s="29"/>
      <c r="S152" s="29"/>
      <c r="T152" s="476"/>
      <c r="U152" s="29"/>
      <c r="V152" s="2"/>
      <c r="W152" s="29"/>
      <c r="X152" s="2"/>
      <c r="Y152" s="29"/>
    </row>
    <row x14ac:dyDescent="0.25" r="153" customHeight="1" ht="15.75">
      <c r="A153" s="502"/>
      <c r="B153" s="34"/>
      <c r="C153" s="34"/>
      <c r="D153" s="34"/>
      <c r="E153" s="34"/>
      <c r="F153" s="34"/>
      <c r="G153" s="34"/>
      <c r="H153" s="34"/>
      <c r="I153" s="29"/>
      <c r="J153" s="29"/>
      <c r="K153" s="29"/>
      <c r="L153" s="29"/>
      <c r="M153" s="34"/>
      <c r="N153" s="34"/>
      <c r="O153" s="29"/>
      <c r="P153" s="29"/>
      <c r="Q153" s="29"/>
      <c r="R153" s="29"/>
      <c r="S153" s="29"/>
      <c r="T153" s="476"/>
      <c r="U153" s="29"/>
      <c r="V153" s="2"/>
      <c r="W153" s="29"/>
      <c r="X153" s="2"/>
      <c r="Y153" s="29"/>
    </row>
    <row x14ac:dyDescent="0.25" r="154" customHeight="1" ht="15.75">
      <c r="A154" s="502"/>
      <c r="B154" s="34"/>
      <c r="C154" s="34"/>
      <c r="D154" s="34"/>
      <c r="E154" s="34"/>
      <c r="F154" s="34"/>
      <c r="G154" s="34"/>
      <c r="H154" s="34"/>
      <c r="I154" s="29"/>
      <c r="J154" s="29"/>
      <c r="K154" s="29"/>
      <c r="L154" s="29"/>
      <c r="M154" s="34"/>
      <c r="N154" s="34"/>
      <c r="O154" s="29"/>
      <c r="P154" s="29"/>
      <c r="Q154" s="29"/>
      <c r="R154" s="29"/>
      <c r="S154" s="29"/>
      <c r="T154" s="476"/>
      <c r="U154" s="29"/>
      <c r="V154" s="2"/>
      <c r="W154" s="29"/>
      <c r="X154" s="2"/>
      <c r="Y154" s="29"/>
    </row>
    <row x14ac:dyDescent="0.25" r="155" customHeight="1" ht="15.75">
      <c r="A155" s="502"/>
      <c r="B155" s="34"/>
      <c r="C155" s="34"/>
      <c r="D155" s="34"/>
      <c r="E155" s="34"/>
      <c r="F155" s="34"/>
      <c r="G155" s="34"/>
      <c r="H155" s="34"/>
      <c r="I155" s="29"/>
      <c r="J155" s="29"/>
      <c r="K155" s="29"/>
      <c r="L155" s="29"/>
      <c r="M155" s="34"/>
      <c r="N155" s="34"/>
      <c r="O155" s="29"/>
      <c r="P155" s="29"/>
      <c r="Q155" s="29"/>
      <c r="R155" s="29"/>
      <c r="S155" s="29"/>
      <c r="T155" s="476"/>
      <c r="U155" s="29"/>
      <c r="V155" s="2"/>
      <c r="W155" s="29"/>
      <c r="X155" s="2"/>
      <c r="Y155" s="29"/>
    </row>
    <row x14ac:dyDescent="0.25" r="156" customHeight="1" ht="15.75">
      <c r="A156" s="502"/>
      <c r="B156" s="34"/>
      <c r="C156" s="34"/>
      <c r="D156" s="34"/>
      <c r="E156" s="34"/>
      <c r="F156" s="34"/>
      <c r="G156" s="34"/>
      <c r="H156" s="34"/>
      <c r="I156" s="29"/>
      <c r="J156" s="29"/>
      <c r="K156" s="29"/>
      <c r="L156" s="29"/>
      <c r="M156" s="34"/>
      <c r="N156" s="34"/>
      <c r="O156" s="29"/>
      <c r="P156" s="29"/>
      <c r="Q156" s="29"/>
      <c r="R156" s="29"/>
      <c r="S156" s="29"/>
      <c r="T156" s="476"/>
      <c r="U156" s="29"/>
      <c r="V156" s="2"/>
      <c r="W156" s="29"/>
      <c r="X156" s="2"/>
      <c r="Y156" s="29"/>
    </row>
    <row x14ac:dyDescent="0.25" r="157" customHeight="1" ht="15.75">
      <c r="A157" s="502"/>
      <c r="B157" s="34"/>
      <c r="C157" s="34"/>
      <c r="D157" s="34"/>
      <c r="E157" s="34"/>
      <c r="F157" s="34"/>
      <c r="G157" s="34"/>
      <c r="H157" s="34"/>
      <c r="I157" s="29"/>
      <c r="J157" s="29"/>
      <c r="K157" s="29"/>
      <c r="L157" s="29"/>
      <c r="M157" s="34"/>
      <c r="N157" s="34"/>
      <c r="O157" s="29"/>
      <c r="P157" s="29"/>
      <c r="Q157" s="29"/>
      <c r="R157" s="29"/>
      <c r="S157" s="29"/>
      <c r="T157" s="476"/>
      <c r="U157" s="29"/>
      <c r="V157" s="2"/>
      <c r="W157" s="29"/>
      <c r="X157" s="2"/>
      <c r="Y157" s="29"/>
    </row>
    <row x14ac:dyDescent="0.25" r="158" customHeight="1" ht="15.75">
      <c r="A158" s="502"/>
      <c r="B158" s="34"/>
      <c r="C158" s="34"/>
      <c r="D158" s="34"/>
      <c r="E158" s="34"/>
      <c r="F158" s="34"/>
      <c r="G158" s="34"/>
      <c r="H158" s="34"/>
      <c r="I158" s="29"/>
      <c r="J158" s="29"/>
      <c r="K158" s="29"/>
      <c r="L158" s="29"/>
      <c r="M158" s="34"/>
      <c r="N158" s="34"/>
      <c r="O158" s="29"/>
      <c r="P158" s="29"/>
      <c r="Q158" s="29"/>
      <c r="R158" s="29"/>
      <c r="S158" s="29"/>
      <c r="T158" s="476"/>
      <c r="U158" s="29"/>
      <c r="V158" s="2"/>
      <c r="W158" s="29"/>
      <c r="X158" s="2"/>
      <c r="Y158" s="29"/>
    </row>
    <row x14ac:dyDescent="0.25" r="159" customHeight="1" ht="15.75">
      <c r="A159" s="502"/>
      <c r="B159" s="34"/>
      <c r="C159" s="34"/>
      <c r="D159" s="34"/>
      <c r="E159" s="34"/>
      <c r="F159" s="34"/>
      <c r="G159" s="34"/>
      <c r="H159" s="34"/>
      <c r="I159" s="29"/>
      <c r="J159" s="29"/>
      <c r="K159" s="29"/>
      <c r="L159" s="29"/>
      <c r="M159" s="34"/>
      <c r="N159" s="34"/>
      <c r="O159" s="29"/>
      <c r="P159" s="29"/>
      <c r="Q159" s="29"/>
      <c r="R159" s="29"/>
      <c r="S159" s="29"/>
      <c r="T159" s="476"/>
      <c r="U159" s="29"/>
      <c r="V159" s="2"/>
      <c r="W159" s="29"/>
      <c r="X159" s="2"/>
      <c r="Y159" s="29"/>
    </row>
    <row x14ac:dyDescent="0.25" r="160" customHeight="1" ht="15.75">
      <c r="A160" s="502"/>
      <c r="B160" s="34"/>
      <c r="C160" s="34"/>
      <c r="D160" s="34"/>
      <c r="E160" s="34"/>
      <c r="F160" s="34"/>
      <c r="G160" s="34"/>
      <c r="H160" s="34"/>
      <c r="I160" s="29"/>
      <c r="J160" s="29"/>
      <c r="K160" s="29"/>
      <c r="L160" s="29"/>
      <c r="M160" s="34"/>
      <c r="N160" s="34"/>
      <c r="O160" s="29"/>
      <c r="P160" s="29"/>
      <c r="Q160" s="29"/>
      <c r="R160" s="29"/>
      <c r="S160" s="29"/>
      <c r="T160" s="476"/>
      <c r="U160" s="29"/>
      <c r="V160" s="2"/>
      <c r="W160" s="29"/>
      <c r="X160" s="2"/>
      <c r="Y160" s="29"/>
    </row>
    <row x14ac:dyDescent="0.25" r="161" customHeight="1" ht="15.75">
      <c r="A161" s="502"/>
      <c r="B161" s="34"/>
      <c r="C161" s="34"/>
      <c r="D161" s="34"/>
      <c r="E161" s="34"/>
      <c r="F161" s="34"/>
      <c r="G161" s="34"/>
      <c r="H161" s="34"/>
      <c r="I161" s="29"/>
      <c r="J161" s="29"/>
      <c r="K161" s="29"/>
      <c r="L161" s="29"/>
      <c r="M161" s="34"/>
      <c r="N161" s="34"/>
      <c r="O161" s="29"/>
      <c r="P161" s="29"/>
      <c r="Q161" s="29"/>
      <c r="R161" s="29"/>
      <c r="S161" s="29"/>
      <c r="T161" s="476"/>
      <c r="U161" s="29"/>
      <c r="V161" s="2"/>
      <c r="W161" s="29"/>
      <c r="X161" s="2"/>
      <c r="Y161" s="29"/>
    </row>
    <row x14ac:dyDescent="0.25" r="162" customHeight="1" ht="15.75">
      <c r="A162" s="502"/>
      <c r="B162" s="34"/>
      <c r="C162" s="34"/>
      <c r="D162" s="34"/>
      <c r="E162" s="34"/>
      <c r="F162" s="34"/>
      <c r="G162" s="34"/>
      <c r="H162" s="34"/>
      <c r="I162" s="29"/>
      <c r="J162" s="29"/>
      <c r="K162" s="29"/>
      <c r="L162" s="29"/>
      <c r="M162" s="34"/>
      <c r="N162" s="34"/>
      <c r="O162" s="29"/>
      <c r="P162" s="29"/>
      <c r="Q162" s="29"/>
      <c r="R162" s="29"/>
      <c r="S162" s="29"/>
      <c r="T162" s="476"/>
      <c r="U162" s="29"/>
      <c r="V162" s="2"/>
      <c r="W162" s="29"/>
      <c r="X162" s="2"/>
      <c r="Y162" s="29"/>
    </row>
    <row x14ac:dyDescent="0.25" r="163" customHeight="1" ht="15.75">
      <c r="A163" s="502"/>
      <c r="B163" s="34"/>
      <c r="C163" s="34"/>
      <c r="D163" s="34"/>
      <c r="E163" s="34"/>
      <c r="F163" s="34"/>
      <c r="G163" s="34"/>
      <c r="H163" s="34"/>
      <c r="I163" s="29"/>
      <c r="J163" s="29"/>
      <c r="K163" s="29"/>
      <c r="L163" s="29"/>
      <c r="M163" s="34"/>
      <c r="N163" s="34"/>
      <c r="O163" s="29"/>
      <c r="P163" s="29"/>
      <c r="Q163" s="29"/>
      <c r="R163" s="29"/>
      <c r="S163" s="29"/>
      <c r="T163" s="476"/>
      <c r="U163" s="29"/>
      <c r="V163" s="2"/>
      <c r="W163" s="29"/>
      <c r="X163" s="2"/>
      <c r="Y163" s="29"/>
    </row>
    <row x14ac:dyDescent="0.25" r="164" customHeight="1" ht="15.75">
      <c r="A164" s="502"/>
      <c r="B164" s="34"/>
      <c r="C164" s="34"/>
      <c r="D164" s="34"/>
      <c r="E164" s="34"/>
      <c r="F164" s="34"/>
      <c r="G164" s="34"/>
      <c r="H164" s="34"/>
      <c r="I164" s="29"/>
      <c r="J164" s="29"/>
      <c r="K164" s="29"/>
      <c r="L164" s="29"/>
      <c r="M164" s="34"/>
      <c r="N164" s="34"/>
      <c r="O164" s="29"/>
      <c r="P164" s="29"/>
      <c r="Q164" s="29"/>
      <c r="R164" s="29"/>
      <c r="S164" s="29"/>
      <c r="T164" s="476"/>
      <c r="U164" s="29"/>
      <c r="V164" s="2"/>
      <c r="W164" s="29"/>
      <c r="X164" s="2"/>
      <c r="Y164" s="29"/>
    </row>
    <row x14ac:dyDescent="0.25" r="165" customHeight="1" ht="15.75">
      <c r="A165" s="502"/>
      <c r="B165" s="34"/>
      <c r="C165" s="34"/>
      <c r="D165" s="34"/>
      <c r="E165" s="34"/>
      <c r="F165" s="34"/>
      <c r="G165" s="34"/>
      <c r="H165" s="34"/>
      <c r="I165" s="29"/>
      <c r="J165" s="29"/>
      <c r="K165" s="29"/>
      <c r="L165" s="29"/>
      <c r="M165" s="34"/>
      <c r="N165" s="34"/>
      <c r="O165" s="29"/>
      <c r="P165" s="29"/>
      <c r="Q165" s="29"/>
      <c r="R165" s="29"/>
      <c r="S165" s="29"/>
      <c r="T165" s="476"/>
      <c r="U165" s="29"/>
      <c r="V165" s="2"/>
      <c r="W165" s="29"/>
      <c r="X165" s="2"/>
      <c r="Y165" s="29"/>
    </row>
    <row x14ac:dyDescent="0.25" r="166" customHeight="1" ht="15.75">
      <c r="A166" s="502"/>
      <c r="B166" s="34"/>
      <c r="C166" s="34"/>
      <c r="D166" s="34"/>
      <c r="E166" s="34"/>
      <c r="F166" s="34"/>
      <c r="G166" s="34"/>
      <c r="H166" s="34"/>
      <c r="I166" s="29"/>
      <c r="J166" s="29"/>
      <c r="K166" s="29"/>
      <c r="L166" s="29"/>
      <c r="M166" s="34"/>
      <c r="N166" s="34"/>
      <c r="O166" s="29"/>
      <c r="P166" s="29"/>
      <c r="Q166" s="29"/>
      <c r="R166" s="29"/>
      <c r="S166" s="29"/>
      <c r="T166" s="476"/>
      <c r="U166" s="29"/>
      <c r="V166" s="2"/>
      <c r="W166" s="29"/>
      <c r="X166" s="2"/>
      <c r="Y166" s="29"/>
    </row>
    <row x14ac:dyDescent="0.25" r="167" customHeight="1" ht="15.75">
      <c r="A167" s="502"/>
      <c r="B167" s="34"/>
      <c r="C167" s="34"/>
      <c r="D167" s="34"/>
      <c r="E167" s="34"/>
      <c r="F167" s="34"/>
      <c r="G167" s="34"/>
      <c r="H167" s="34"/>
      <c r="I167" s="29"/>
      <c r="J167" s="29"/>
      <c r="K167" s="29"/>
      <c r="L167" s="29"/>
      <c r="M167" s="34"/>
      <c r="N167" s="34"/>
      <c r="O167" s="29"/>
      <c r="P167" s="29"/>
      <c r="Q167" s="29"/>
      <c r="R167" s="29"/>
      <c r="S167" s="29"/>
      <c r="T167" s="476"/>
      <c r="U167" s="29"/>
      <c r="V167" s="2"/>
      <c r="W167" s="29"/>
      <c r="X167" s="2"/>
      <c r="Y167" s="29"/>
    </row>
    <row x14ac:dyDescent="0.25" r="168" customHeight="1" ht="15.75">
      <c r="A168" s="502"/>
      <c r="B168" s="34"/>
      <c r="C168" s="34"/>
      <c r="D168" s="34"/>
      <c r="E168" s="34"/>
      <c r="F168" s="34"/>
      <c r="G168" s="34"/>
      <c r="H168" s="34"/>
      <c r="I168" s="29"/>
      <c r="J168" s="29"/>
      <c r="K168" s="29"/>
      <c r="L168" s="29"/>
      <c r="M168" s="34"/>
      <c r="N168" s="34"/>
      <c r="O168" s="29"/>
      <c r="P168" s="29"/>
      <c r="Q168" s="29"/>
      <c r="R168" s="29"/>
      <c r="S168" s="29"/>
      <c r="T168" s="476"/>
      <c r="U168" s="29"/>
      <c r="V168" s="2"/>
      <c r="W168" s="29"/>
      <c r="X168" s="2"/>
      <c r="Y168" s="29"/>
    </row>
    <row x14ac:dyDescent="0.25" r="169" customHeight="1" ht="15.75">
      <c r="A169" s="502"/>
      <c r="B169" s="34"/>
      <c r="C169" s="34"/>
      <c r="D169" s="34"/>
      <c r="E169" s="34"/>
      <c r="F169" s="34"/>
      <c r="G169" s="34"/>
      <c r="H169" s="34"/>
      <c r="I169" s="29"/>
      <c r="J169" s="29"/>
      <c r="K169" s="29"/>
      <c r="L169" s="29"/>
      <c r="M169" s="34"/>
      <c r="N169" s="34"/>
      <c r="O169" s="29"/>
      <c r="P169" s="29"/>
      <c r="Q169" s="29"/>
      <c r="R169" s="29"/>
      <c r="S169" s="29"/>
      <c r="T169" s="476"/>
      <c r="U169" s="29"/>
      <c r="V169" s="2"/>
      <c r="W169" s="29"/>
      <c r="X169" s="2"/>
      <c r="Y169" s="29"/>
    </row>
    <row x14ac:dyDescent="0.25" r="170" customHeight="1" ht="15.75">
      <c r="A170" s="502"/>
      <c r="B170" s="34"/>
      <c r="C170" s="34"/>
      <c r="D170" s="34"/>
      <c r="E170" s="34"/>
      <c r="F170" s="34"/>
      <c r="G170" s="34"/>
      <c r="H170" s="34"/>
      <c r="I170" s="29"/>
      <c r="J170" s="29"/>
      <c r="K170" s="29"/>
      <c r="L170" s="29"/>
      <c r="M170" s="34"/>
      <c r="N170" s="34"/>
      <c r="O170" s="29"/>
      <c r="P170" s="29"/>
      <c r="Q170" s="29"/>
      <c r="R170" s="29"/>
      <c r="S170" s="29"/>
      <c r="T170" s="476"/>
      <c r="U170" s="29"/>
      <c r="V170" s="2"/>
      <c r="W170" s="29"/>
      <c r="X170" s="2"/>
      <c r="Y170" s="29"/>
    </row>
    <row x14ac:dyDescent="0.25" r="171" customHeight="1" ht="15.75">
      <c r="A171" s="502"/>
      <c r="B171" s="34"/>
      <c r="C171" s="34"/>
      <c r="D171" s="34"/>
      <c r="E171" s="34"/>
      <c r="F171" s="34"/>
      <c r="G171" s="34"/>
      <c r="H171" s="34"/>
      <c r="I171" s="29"/>
      <c r="J171" s="29"/>
      <c r="K171" s="29"/>
      <c r="L171" s="29"/>
      <c r="M171" s="34"/>
      <c r="N171" s="34"/>
      <c r="O171" s="29"/>
      <c r="P171" s="29"/>
      <c r="Q171" s="29"/>
      <c r="R171" s="29"/>
      <c r="S171" s="29"/>
      <c r="T171" s="476"/>
      <c r="U171" s="29"/>
      <c r="V171" s="2"/>
      <c r="W171" s="29"/>
      <c r="X171" s="2"/>
      <c r="Y171" s="29"/>
    </row>
    <row x14ac:dyDescent="0.25" r="172" customHeight="1" ht="15.75">
      <c r="A172" s="502"/>
      <c r="B172" s="34"/>
      <c r="C172" s="34"/>
      <c r="D172" s="34"/>
      <c r="E172" s="34"/>
      <c r="F172" s="34"/>
      <c r="G172" s="34"/>
      <c r="H172" s="34"/>
      <c r="I172" s="29"/>
      <c r="J172" s="29"/>
      <c r="K172" s="29"/>
      <c r="L172" s="29"/>
      <c r="M172" s="34"/>
      <c r="N172" s="34"/>
      <c r="O172" s="29"/>
      <c r="P172" s="29"/>
      <c r="Q172" s="29"/>
      <c r="R172" s="29"/>
      <c r="S172" s="29"/>
      <c r="T172" s="476"/>
      <c r="U172" s="29"/>
      <c r="V172" s="2"/>
      <c r="W172" s="29"/>
      <c r="X172" s="2"/>
      <c r="Y172" s="29"/>
    </row>
    <row x14ac:dyDescent="0.25" r="173" customHeight="1" ht="15.75">
      <c r="A173" s="502"/>
      <c r="B173" s="34"/>
      <c r="C173" s="34"/>
      <c r="D173" s="34"/>
      <c r="E173" s="34"/>
      <c r="F173" s="34"/>
      <c r="G173" s="34"/>
      <c r="H173" s="34"/>
      <c r="I173" s="29"/>
      <c r="J173" s="29"/>
      <c r="K173" s="29"/>
      <c r="L173" s="29"/>
      <c r="M173" s="34"/>
      <c r="N173" s="34"/>
      <c r="O173" s="29"/>
      <c r="P173" s="29"/>
      <c r="Q173" s="29"/>
      <c r="R173" s="29"/>
      <c r="S173" s="29"/>
      <c r="T173" s="476"/>
      <c r="U173" s="29"/>
      <c r="V173" s="2"/>
      <c r="W173" s="29"/>
      <c r="X173" s="2"/>
      <c r="Y173" s="29"/>
    </row>
    <row x14ac:dyDescent="0.25" r="174" customHeight="1" ht="15.75">
      <c r="A174" s="502"/>
      <c r="B174" s="34"/>
      <c r="C174" s="34"/>
      <c r="D174" s="34"/>
      <c r="E174" s="34"/>
      <c r="F174" s="34"/>
      <c r="G174" s="34"/>
      <c r="H174" s="34"/>
      <c r="I174" s="29"/>
      <c r="J174" s="29"/>
      <c r="K174" s="29"/>
      <c r="L174" s="29"/>
      <c r="M174" s="34"/>
      <c r="N174" s="34"/>
      <c r="O174" s="29"/>
      <c r="P174" s="29"/>
      <c r="Q174" s="29"/>
      <c r="R174" s="29"/>
      <c r="S174" s="29"/>
      <c r="T174" s="476"/>
      <c r="U174" s="29"/>
      <c r="V174" s="2"/>
      <c r="W174" s="29"/>
      <c r="X174" s="2"/>
      <c r="Y174" s="29"/>
    </row>
    <row x14ac:dyDescent="0.25" r="175" customHeight="1" ht="15.75">
      <c r="A175" s="502"/>
      <c r="B175" s="34"/>
      <c r="C175" s="34"/>
      <c r="D175" s="34"/>
      <c r="E175" s="34"/>
      <c r="F175" s="34"/>
      <c r="G175" s="34"/>
      <c r="H175" s="34"/>
      <c r="I175" s="29"/>
      <c r="J175" s="29"/>
      <c r="K175" s="29"/>
      <c r="L175" s="29"/>
      <c r="M175" s="34"/>
      <c r="N175" s="34"/>
      <c r="O175" s="29"/>
      <c r="P175" s="29"/>
      <c r="Q175" s="29"/>
      <c r="R175" s="29"/>
      <c r="S175" s="29"/>
      <c r="T175" s="476"/>
      <c r="U175" s="29"/>
      <c r="V175" s="2"/>
      <c r="W175" s="29"/>
      <c r="X175" s="2"/>
      <c r="Y175" s="29"/>
    </row>
    <row x14ac:dyDescent="0.25" r="176" customHeight="1" ht="15.75">
      <c r="A176" s="502"/>
      <c r="B176" s="34"/>
      <c r="C176" s="34"/>
      <c r="D176" s="34"/>
      <c r="E176" s="34"/>
      <c r="F176" s="34"/>
      <c r="G176" s="34"/>
      <c r="H176" s="34"/>
      <c r="I176" s="29"/>
      <c r="J176" s="29"/>
      <c r="K176" s="29"/>
      <c r="L176" s="29"/>
      <c r="M176" s="34"/>
      <c r="N176" s="34"/>
      <c r="O176" s="29"/>
      <c r="P176" s="29"/>
      <c r="Q176" s="29"/>
      <c r="R176" s="29"/>
      <c r="S176" s="29"/>
      <c r="T176" s="476"/>
      <c r="U176" s="29"/>
      <c r="V176" s="2"/>
      <c r="W176" s="29"/>
      <c r="X176" s="2"/>
      <c r="Y176" s="29"/>
    </row>
    <row x14ac:dyDescent="0.25" r="177" customHeight="1" ht="15.75">
      <c r="A177" s="502"/>
      <c r="B177" s="34"/>
      <c r="C177" s="34"/>
      <c r="D177" s="34"/>
      <c r="E177" s="34"/>
      <c r="F177" s="34"/>
      <c r="G177" s="34"/>
      <c r="H177" s="34"/>
      <c r="I177" s="29"/>
      <c r="J177" s="29"/>
      <c r="K177" s="29"/>
      <c r="L177" s="29"/>
      <c r="M177" s="34"/>
      <c r="N177" s="34"/>
      <c r="O177" s="29"/>
      <c r="P177" s="29"/>
      <c r="Q177" s="29"/>
      <c r="R177" s="29"/>
      <c r="S177" s="29"/>
      <c r="T177" s="476"/>
      <c r="U177" s="29"/>
      <c r="V177" s="2"/>
      <c r="W177" s="29"/>
      <c r="X177" s="2"/>
      <c r="Y177" s="29"/>
    </row>
    <row x14ac:dyDescent="0.25" r="178" customHeight="1" ht="15.75">
      <c r="A178" s="502"/>
      <c r="B178" s="34"/>
      <c r="C178" s="34"/>
      <c r="D178" s="34"/>
      <c r="E178" s="34"/>
      <c r="F178" s="34"/>
      <c r="G178" s="34"/>
      <c r="H178" s="34"/>
      <c r="I178" s="29"/>
      <c r="J178" s="29"/>
      <c r="K178" s="29"/>
      <c r="L178" s="29"/>
      <c r="M178" s="34"/>
      <c r="N178" s="34"/>
      <c r="O178" s="29"/>
      <c r="P178" s="29"/>
      <c r="Q178" s="29"/>
      <c r="R178" s="29"/>
      <c r="S178" s="29"/>
      <c r="T178" s="476"/>
      <c r="U178" s="29"/>
      <c r="V178" s="2"/>
      <c r="W178" s="29"/>
      <c r="X178" s="2"/>
      <c r="Y178" s="29"/>
    </row>
    <row x14ac:dyDescent="0.25" r="179" customHeight="1" ht="15.75">
      <c r="A179" s="502"/>
      <c r="B179" s="34"/>
      <c r="C179" s="34"/>
      <c r="D179" s="34"/>
      <c r="E179" s="34"/>
      <c r="F179" s="34"/>
      <c r="G179" s="34"/>
      <c r="H179" s="34"/>
      <c r="I179" s="29"/>
      <c r="J179" s="29"/>
      <c r="K179" s="29"/>
      <c r="L179" s="29"/>
      <c r="M179" s="34"/>
      <c r="N179" s="34"/>
      <c r="O179" s="29"/>
      <c r="P179" s="29"/>
      <c r="Q179" s="29"/>
      <c r="R179" s="29"/>
      <c r="S179" s="29"/>
      <c r="T179" s="476"/>
      <c r="U179" s="29"/>
      <c r="V179" s="2"/>
      <c r="W179" s="29"/>
      <c r="X179" s="2"/>
      <c r="Y179" s="29"/>
    </row>
    <row x14ac:dyDescent="0.25" r="180" customHeight="1" ht="15.75">
      <c r="A180" s="502"/>
      <c r="B180" s="34"/>
      <c r="C180" s="34"/>
      <c r="D180" s="34"/>
      <c r="E180" s="34"/>
      <c r="F180" s="34"/>
      <c r="G180" s="34"/>
      <c r="H180" s="34"/>
      <c r="I180" s="29"/>
      <c r="J180" s="29"/>
      <c r="K180" s="29"/>
      <c r="L180" s="29"/>
      <c r="M180" s="34"/>
      <c r="N180" s="34"/>
      <c r="O180" s="29"/>
      <c r="P180" s="29"/>
      <c r="Q180" s="29"/>
      <c r="R180" s="29"/>
      <c r="S180" s="29"/>
      <c r="T180" s="476"/>
      <c r="U180" s="29"/>
      <c r="V180" s="2"/>
      <c r="W180" s="29"/>
      <c r="X180" s="2"/>
      <c r="Y180" s="29"/>
    </row>
    <row x14ac:dyDescent="0.25" r="181" customHeight="1" ht="15.75">
      <c r="A181" s="502"/>
      <c r="B181" s="34"/>
      <c r="C181" s="34"/>
      <c r="D181" s="34"/>
      <c r="E181" s="34"/>
      <c r="F181" s="34"/>
      <c r="G181" s="34"/>
      <c r="H181" s="34"/>
      <c r="I181" s="29"/>
      <c r="J181" s="29"/>
      <c r="K181" s="29"/>
      <c r="L181" s="29"/>
      <c r="M181" s="34"/>
      <c r="N181" s="34"/>
      <c r="O181" s="29"/>
      <c r="P181" s="29"/>
      <c r="Q181" s="29"/>
      <c r="R181" s="29"/>
      <c r="S181" s="29"/>
      <c r="T181" s="476"/>
      <c r="U181" s="29"/>
      <c r="V181" s="2"/>
      <c r="W181" s="29"/>
      <c r="X181" s="2"/>
      <c r="Y181" s="29"/>
    </row>
    <row x14ac:dyDescent="0.25" r="182" customHeight="1" ht="15.75">
      <c r="A182" s="502"/>
      <c r="B182" s="34"/>
      <c r="C182" s="34"/>
      <c r="D182" s="34"/>
      <c r="E182" s="34"/>
      <c r="F182" s="34"/>
      <c r="G182" s="34"/>
      <c r="H182" s="34"/>
      <c r="I182" s="29"/>
      <c r="J182" s="29"/>
      <c r="K182" s="29"/>
      <c r="L182" s="29"/>
      <c r="M182" s="34"/>
      <c r="N182" s="34"/>
      <c r="O182" s="29"/>
      <c r="P182" s="29"/>
      <c r="Q182" s="29"/>
      <c r="R182" s="29"/>
      <c r="S182" s="29"/>
      <c r="T182" s="476"/>
      <c r="U182" s="29"/>
      <c r="V182" s="2"/>
      <c r="W182" s="29"/>
      <c r="X182" s="2"/>
      <c r="Y182" s="29"/>
    </row>
    <row x14ac:dyDescent="0.25" r="183" customHeight="1" ht="15.75">
      <c r="A183" s="502"/>
      <c r="B183" s="34"/>
      <c r="C183" s="34"/>
      <c r="D183" s="34"/>
      <c r="E183" s="34"/>
      <c r="F183" s="34"/>
      <c r="G183" s="34"/>
      <c r="H183" s="34"/>
      <c r="I183" s="29"/>
      <c r="J183" s="29"/>
      <c r="K183" s="29"/>
      <c r="L183" s="29"/>
      <c r="M183" s="34"/>
      <c r="N183" s="34"/>
      <c r="O183" s="29"/>
      <c r="P183" s="29"/>
      <c r="Q183" s="29"/>
      <c r="R183" s="29"/>
      <c r="S183" s="29"/>
      <c r="T183" s="476"/>
      <c r="U183" s="29"/>
      <c r="V183" s="2"/>
      <c r="W183" s="29"/>
      <c r="X183" s="2"/>
      <c r="Y183" s="29"/>
    </row>
    <row x14ac:dyDescent="0.25" r="184" customHeight="1" ht="15.75">
      <c r="A184" s="502"/>
      <c r="B184" s="34"/>
      <c r="C184" s="34"/>
      <c r="D184" s="34"/>
      <c r="E184" s="34"/>
      <c r="F184" s="34"/>
      <c r="G184" s="34"/>
      <c r="H184" s="34"/>
      <c r="I184" s="29"/>
      <c r="J184" s="29"/>
      <c r="K184" s="29"/>
      <c r="L184" s="29"/>
      <c r="M184" s="34"/>
      <c r="N184" s="34"/>
      <c r="O184" s="29"/>
      <c r="P184" s="29"/>
      <c r="Q184" s="29"/>
      <c r="R184" s="29"/>
      <c r="S184" s="29"/>
      <c r="T184" s="476"/>
      <c r="U184" s="29"/>
      <c r="V184" s="2"/>
      <c r="W184" s="29"/>
      <c r="X184" s="2"/>
      <c r="Y184" s="29"/>
    </row>
    <row x14ac:dyDescent="0.25" r="185" customHeight="1" ht="15.75">
      <c r="A185" s="502"/>
      <c r="B185" s="34"/>
      <c r="C185" s="34"/>
      <c r="D185" s="34"/>
      <c r="E185" s="34"/>
      <c r="F185" s="34"/>
      <c r="G185" s="34"/>
      <c r="H185" s="34"/>
      <c r="I185" s="29"/>
      <c r="J185" s="29"/>
      <c r="K185" s="29"/>
      <c r="L185" s="29"/>
      <c r="M185" s="34"/>
      <c r="N185" s="34"/>
      <c r="O185" s="29"/>
      <c r="P185" s="29"/>
      <c r="Q185" s="29"/>
      <c r="R185" s="29"/>
      <c r="S185" s="29"/>
      <c r="T185" s="476"/>
      <c r="U185" s="29"/>
      <c r="V185" s="2"/>
      <c r="W185" s="29"/>
      <c r="X185" s="2"/>
      <c r="Y185" s="29"/>
    </row>
    <row x14ac:dyDescent="0.25" r="186" customHeight="1" ht="15.75">
      <c r="A186" s="502"/>
      <c r="B186" s="34"/>
      <c r="C186" s="34"/>
      <c r="D186" s="34"/>
      <c r="E186" s="34"/>
      <c r="F186" s="34"/>
      <c r="G186" s="34"/>
      <c r="H186" s="34"/>
      <c r="I186" s="29"/>
      <c r="J186" s="29"/>
      <c r="K186" s="29"/>
      <c r="L186" s="29"/>
      <c r="M186" s="34"/>
      <c r="N186" s="34"/>
      <c r="O186" s="29"/>
      <c r="P186" s="29"/>
      <c r="Q186" s="29"/>
      <c r="R186" s="29"/>
      <c r="S186" s="29"/>
      <c r="T186" s="476"/>
      <c r="U186" s="29"/>
      <c r="V186" s="2"/>
      <c r="W186" s="29"/>
      <c r="X186" s="2"/>
      <c r="Y186" s="29"/>
    </row>
    <row x14ac:dyDescent="0.25" r="187" customHeight="1" ht="15.75">
      <c r="A187" s="502"/>
      <c r="B187" s="34"/>
      <c r="C187" s="34"/>
      <c r="D187" s="34"/>
      <c r="E187" s="34"/>
      <c r="F187" s="34"/>
      <c r="G187" s="34"/>
      <c r="H187" s="34"/>
      <c r="I187" s="29"/>
      <c r="J187" s="29"/>
      <c r="K187" s="29"/>
      <c r="L187" s="29"/>
      <c r="M187" s="34"/>
      <c r="N187" s="34"/>
      <c r="O187" s="29"/>
      <c r="P187" s="29"/>
      <c r="Q187" s="29"/>
      <c r="R187" s="29"/>
      <c r="S187" s="29"/>
      <c r="T187" s="476"/>
      <c r="U187" s="29"/>
      <c r="V187" s="2"/>
      <c r="W187" s="29"/>
      <c r="X187" s="2"/>
      <c r="Y187" s="29"/>
    </row>
    <row x14ac:dyDescent="0.25" r="188" customHeight="1" ht="15.75">
      <c r="A188" s="502"/>
      <c r="B188" s="34"/>
      <c r="C188" s="34"/>
      <c r="D188" s="34"/>
      <c r="E188" s="34"/>
      <c r="F188" s="34"/>
      <c r="G188" s="34"/>
      <c r="H188" s="34"/>
      <c r="I188" s="29"/>
      <c r="J188" s="29"/>
      <c r="K188" s="29"/>
      <c r="L188" s="29"/>
      <c r="M188" s="34"/>
      <c r="N188" s="34"/>
      <c r="O188" s="29"/>
      <c r="P188" s="29"/>
      <c r="Q188" s="29"/>
      <c r="R188" s="29"/>
      <c r="S188" s="29"/>
      <c r="T188" s="476"/>
      <c r="U188" s="29"/>
      <c r="V188" s="2"/>
      <c r="W188" s="29"/>
      <c r="X188" s="2"/>
      <c r="Y188" s="29"/>
    </row>
    <row x14ac:dyDescent="0.25" r="189" customHeight="1" ht="15.75">
      <c r="A189" s="502"/>
      <c r="B189" s="34"/>
      <c r="C189" s="34"/>
      <c r="D189" s="34"/>
      <c r="E189" s="34"/>
      <c r="F189" s="34"/>
      <c r="G189" s="34"/>
      <c r="H189" s="34"/>
      <c r="I189" s="29"/>
      <c r="J189" s="29"/>
      <c r="K189" s="29"/>
      <c r="L189" s="29"/>
      <c r="M189" s="34"/>
      <c r="N189" s="34"/>
      <c r="O189" s="29"/>
      <c r="P189" s="29"/>
      <c r="Q189" s="29"/>
      <c r="R189" s="29"/>
      <c r="S189" s="29"/>
      <c r="T189" s="476"/>
      <c r="U189" s="29"/>
      <c r="V189" s="2"/>
      <c r="W189" s="29"/>
      <c r="X189" s="2"/>
      <c r="Y189" s="29"/>
    </row>
    <row x14ac:dyDescent="0.25" r="190" customHeight="1" ht="15.75">
      <c r="A190" s="502"/>
      <c r="B190" s="34"/>
      <c r="C190" s="34"/>
      <c r="D190" s="34"/>
      <c r="E190" s="34"/>
      <c r="F190" s="34"/>
      <c r="G190" s="34"/>
      <c r="H190" s="34"/>
      <c r="I190" s="29"/>
      <c r="J190" s="29"/>
      <c r="K190" s="29"/>
      <c r="L190" s="29"/>
      <c r="M190" s="34"/>
      <c r="N190" s="34"/>
      <c r="O190" s="29"/>
      <c r="P190" s="29"/>
      <c r="Q190" s="29"/>
      <c r="R190" s="29"/>
      <c r="S190" s="29"/>
      <c r="T190" s="476"/>
      <c r="U190" s="29"/>
      <c r="V190" s="2"/>
      <c r="W190" s="29"/>
      <c r="X190" s="2"/>
      <c r="Y190" s="29"/>
    </row>
    <row x14ac:dyDescent="0.25" r="191" customHeight="1" ht="15.75">
      <c r="A191" s="502"/>
      <c r="B191" s="34"/>
      <c r="C191" s="34"/>
      <c r="D191" s="34"/>
      <c r="E191" s="34"/>
      <c r="F191" s="34"/>
      <c r="G191" s="34"/>
      <c r="H191" s="34"/>
      <c r="I191" s="29"/>
      <c r="J191" s="29"/>
      <c r="K191" s="29"/>
      <c r="L191" s="29"/>
      <c r="M191" s="34"/>
      <c r="N191" s="34"/>
      <c r="O191" s="29"/>
      <c r="P191" s="29"/>
      <c r="Q191" s="29"/>
      <c r="R191" s="29"/>
      <c r="S191" s="29"/>
      <c r="T191" s="476"/>
      <c r="U191" s="29"/>
      <c r="V191" s="2"/>
      <c r="W191" s="29"/>
      <c r="X191" s="2"/>
      <c r="Y191" s="29"/>
    </row>
    <row x14ac:dyDescent="0.25" r="192" customHeight="1" ht="15.75">
      <c r="A192" s="502"/>
      <c r="B192" s="34"/>
      <c r="C192" s="34"/>
      <c r="D192" s="34"/>
      <c r="E192" s="34"/>
      <c r="F192" s="34"/>
      <c r="G192" s="34"/>
      <c r="H192" s="34"/>
      <c r="I192" s="29"/>
      <c r="J192" s="29"/>
      <c r="K192" s="29"/>
      <c r="L192" s="29"/>
      <c r="M192" s="34"/>
      <c r="N192" s="34"/>
      <c r="O192" s="29"/>
      <c r="P192" s="29"/>
      <c r="Q192" s="29"/>
      <c r="R192" s="29"/>
      <c r="S192" s="29"/>
      <c r="T192" s="476"/>
      <c r="U192" s="29"/>
      <c r="V192" s="2"/>
      <c r="W192" s="29"/>
      <c r="X192" s="2"/>
      <c r="Y192" s="29"/>
    </row>
    <row x14ac:dyDescent="0.25" r="193" customHeight="1" ht="15.75">
      <c r="A193" s="502"/>
      <c r="B193" s="34"/>
      <c r="C193" s="34"/>
      <c r="D193" s="34"/>
      <c r="E193" s="34"/>
      <c r="F193" s="34"/>
      <c r="G193" s="34"/>
      <c r="H193" s="34"/>
      <c r="I193" s="29"/>
      <c r="J193" s="29"/>
      <c r="K193" s="29"/>
      <c r="L193" s="29"/>
      <c r="M193" s="34"/>
      <c r="N193" s="34"/>
      <c r="O193" s="29"/>
      <c r="P193" s="29"/>
      <c r="Q193" s="29"/>
      <c r="R193" s="29"/>
      <c r="S193" s="29"/>
      <c r="T193" s="476"/>
      <c r="U193" s="29"/>
      <c r="V193" s="2"/>
      <c r="W193" s="29"/>
      <c r="X193" s="2"/>
      <c r="Y193" s="29"/>
    </row>
    <row x14ac:dyDescent="0.25" r="194" customHeight="1" ht="15.75">
      <c r="A194" s="502"/>
      <c r="B194" s="34"/>
      <c r="C194" s="34"/>
      <c r="D194" s="34"/>
      <c r="E194" s="34"/>
      <c r="F194" s="34"/>
      <c r="G194" s="34"/>
      <c r="H194" s="34"/>
      <c r="I194" s="29"/>
      <c r="J194" s="29"/>
      <c r="K194" s="29"/>
      <c r="L194" s="29"/>
      <c r="M194" s="34"/>
      <c r="N194" s="34"/>
      <c r="O194" s="29"/>
      <c r="P194" s="29"/>
      <c r="Q194" s="29"/>
      <c r="R194" s="29"/>
      <c r="S194" s="29"/>
      <c r="T194" s="476"/>
      <c r="U194" s="29"/>
      <c r="V194" s="2"/>
      <c r="W194" s="29"/>
      <c r="X194" s="2"/>
      <c r="Y194" s="29"/>
    </row>
    <row x14ac:dyDescent="0.25" r="195" customHeight="1" ht="15.75">
      <c r="A195" s="502"/>
      <c r="B195" s="34"/>
      <c r="C195" s="34"/>
      <c r="D195" s="34"/>
      <c r="E195" s="34"/>
      <c r="F195" s="34"/>
      <c r="G195" s="34"/>
      <c r="H195" s="34"/>
      <c r="I195" s="29"/>
      <c r="J195" s="29"/>
      <c r="K195" s="29"/>
      <c r="L195" s="29"/>
      <c r="M195" s="34"/>
      <c r="N195" s="34"/>
      <c r="O195" s="29"/>
      <c r="P195" s="29"/>
      <c r="Q195" s="29"/>
      <c r="R195" s="29"/>
      <c r="S195" s="29"/>
      <c r="T195" s="476"/>
      <c r="U195" s="29"/>
      <c r="V195" s="2"/>
      <c r="W195" s="29"/>
      <c r="X195" s="2"/>
      <c r="Y195" s="29"/>
    </row>
    <row x14ac:dyDescent="0.25" r="196" customHeight="1" ht="15.75">
      <c r="A196" s="502"/>
      <c r="B196" s="34"/>
      <c r="C196" s="34"/>
      <c r="D196" s="34"/>
      <c r="E196" s="34"/>
      <c r="F196" s="34"/>
      <c r="G196" s="34"/>
      <c r="H196" s="34"/>
      <c r="I196" s="29"/>
      <c r="J196" s="29"/>
      <c r="K196" s="29"/>
      <c r="L196" s="29"/>
      <c r="M196" s="34"/>
      <c r="N196" s="34"/>
      <c r="O196" s="29"/>
      <c r="P196" s="29"/>
      <c r="Q196" s="29"/>
      <c r="R196" s="29"/>
      <c r="S196" s="29"/>
      <c r="T196" s="476"/>
      <c r="U196" s="29"/>
      <c r="V196" s="2"/>
      <c r="W196" s="29"/>
      <c r="X196" s="2"/>
      <c r="Y196" s="29"/>
    </row>
    <row x14ac:dyDescent="0.25" r="197" customHeight="1" ht="15.75">
      <c r="A197" s="502"/>
      <c r="B197" s="34"/>
      <c r="C197" s="34"/>
      <c r="D197" s="34"/>
      <c r="E197" s="34"/>
      <c r="F197" s="34"/>
      <c r="G197" s="34"/>
      <c r="H197" s="34"/>
      <c r="I197" s="29"/>
      <c r="J197" s="29"/>
      <c r="K197" s="29"/>
      <c r="L197" s="29"/>
      <c r="M197" s="34"/>
      <c r="N197" s="34"/>
      <c r="O197" s="29"/>
      <c r="P197" s="29"/>
      <c r="Q197" s="29"/>
      <c r="R197" s="29"/>
      <c r="S197" s="29"/>
      <c r="T197" s="476"/>
      <c r="U197" s="29"/>
      <c r="V197" s="2"/>
      <c r="W197" s="29"/>
      <c r="X197" s="2"/>
      <c r="Y197" s="29"/>
    </row>
    <row x14ac:dyDescent="0.25" r="198" customHeight="1" ht="15.75">
      <c r="A198" s="502"/>
      <c r="B198" s="34"/>
      <c r="C198" s="34"/>
      <c r="D198" s="34"/>
      <c r="E198" s="34"/>
      <c r="F198" s="34"/>
      <c r="G198" s="34"/>
      <c r="H198" s="34"/>
      <c r="I198" s="29"/>
      <c r="J198" s="29"/>
      <c r="K198" s="29"/>
      <c r="L198" s="29"/>
      <c r="M198" s="34"/>
      <c r="N198" s="34"/>
      <c r="O198" s="29"/>
      <c r="P198" s="29"/>
      <c r="Q198" s="29"/>
      <c r="R198" s="29"/>
      <c r="S198" s="29"/>
      <c r="T198" s="476"/>
      <c r="U198" s="29"/>
      <c r="V198" s="2"/>
      <c r="W198" s="29"/>
      <c r="X198" s="2"/>
      <c r="Y198" s="29"/>
    </row>
    <row x14ac:dyDescent="0.25" r="199" customHeight="1" ht="15.75">
      <c r="A199" s="502"/>
      <c r="B199" s="34"/>
      <c r="C199" s="34"/>
      <c r="D199" s="34"/>
      <c r="E199" s="34"/>
      <c r="F199" s="34"/>
      <c r="G199" s="34"/>
      <c r="H199" s="34"/>
      <c r="I199" s="29"/>
      <c r="J199" s="29"/>
      <c r="K199" s="29"/>
      <c r="L199" s="29"/>
      <c r="M199" s="34"/>
      <c r="N199" s="34"/>
      <c r="O199" s="29"/>
      <c r="P199" s="29"/>
      <c r="Q199" s="29"/>
      <c r="R199" s="29"/>
      <c r="S199" s="29"/>
      <c r="T199" s="476"/>
      <c r="U199" s="29"/>
      <c r="V199" s="2"/>
      <c r="W199" s="29"/>
      <c r="X199" s="2"/>
      <c r="Y199" s="29"/>
    </row>
    <row x14ac:dyDescent="0.25" r="200" customHeight="1" ht="15.75">
      <c r="A200" s="502"/>
      <c r="B200" s="34"/>
      <c r="C200" s="34"/>
      <c r="D200" s="34"/>
      <c r="E200" s="34"/>
      <c r="F200" s="34"/>
      <c r="G200" s="34"/>
      <c r="H200" s="34"/>
      <c r="I200" s="29"/>
      <c r="J200" s="29"/>
      <c r="K200" s="29"/>
      <c r="L200" s="29"/>
      <c r="M200" s="34"/>
      <c r="N200" s="34"/>
      <c r="O200" s="29"/>
      <c r="P200" s="29"/>
      <c r="Q200" s="29"/>
      <c r="R200" s="29"/>
      <c r="S200" s="29"/>
      <c r="T200" s="476"/>
      <c r="U200" s="29"/>
      <c r="V200" s="2"/>
      <c r="W200" s="29"/>
      <c r="X200" s="2"/>
      <c r="Y200" s="29"/>
    </row>
    <row x14ac:dyDescent="0.25" r="201" customHeight="1" ht="15.75">
      <c r="A201" s="502"/>
      <c r="B201" s="34"/>
      <c r="C201" s="34"/>
      <c r="D201" s="34"/>
      <c r="E201" s="34"/>
      <c r="F201" s="34"/>
      <c r="G201" s="34"/>
      <c r="H201" s="34"/>
      <c r="I201" s="29"/>
      <c r="J201" s="29"/>
      <c r="K201" s="29"/>
      <c r="L201" s="29"/>
      <c r="M201" s="34"/>
      <c r="N201" s="34"/>
      <c r="O201" s="29"/>
      <c r="P201" s="29"/>
      <c r="Q201" s="29"/>
      <c r="R201" s="29"/>
      <c r="S201" s="29"/>
      <c r="T201" s="476"/>
      <c r="U201" s="29"/>
      <c r="V201" s="2"/>
      <c r="W201" s="29"/>
      <c r="X201" s="2"/>
      <c r="Y201" s="29"/>
    </row>
    <row x14ac:dyDescent="0.25" r="202" customHeight="1" ht="15.75">
      <c r="A202" s="502"/>
      <c r="B202" s="34"/>
      <c r="C202" s="34"/>
      <c r="D202" s="34"/>
      <c r="E202" s="34"/>
      <c r="F202" s="34"/>
      <c r="G202" s="34"/>
      <c r="H202" s="34"/>
      <c r="I202" s="29"/>
      <c r="J202" s="29"/>
      <c r="K202" s="29"/>
      <c r="L202" s="29"/>
      <c r="M202" s="34"/>
      <c r="N202" s="34"/>
      <c r="O202" s="29"/>
      <c r="P202" s="29"/>
      <c r="Q202" s="29"/>
      <c r="R202" s="29"/>
      <c r="S202" s="29"/>
      <c r="T202" s="476"/>
      <c r="U202" s="29"/>
      <c r="V202" s="2"/>
      <c r="W202" s="29"/>
      <c r="X202" s="2"/>
      <c r="Y202" s="29"/>
    </row>
    <row x14ac:dyDescent="0.25" r="203" customHeight="1" ht="15.75">
      <c r="A203" s="502"/>
      <c r="B203" s="34"/>
      <c r="C203" s="34"/>
      <c r="D203" s="34"/>
      <c r="E203" s="34"/>
      <c r="F203" s="34"/>
      <c r="G203" s="34"/>
      <c r="H203" s="34"/>
      <c r="I203" s="29"/>
      <c r="J203" s="29"/>
      <c r="K203" s="29"/>
      <c r="L203" s="29"/>
      <c r="M203" s="34"/>
      <c r="N203" s="34"/>
      <c r="O203" s="29"/>
      <c r="P203" s="29"/>
      <c r="Q203" s="29"/>
      <c r="R203" s="29"/>
      <c r="S203" s="29"/>
      <c r="T203" s="476"/>
      <c r="U203" s="29"/>
      <c r="V203" s="2"/>
      <c r="W203" s="29"/>
      <c r="X203" s="2"/>
      <c r="Y203" s="29"/>
    </row>
    <row x14ac:dyDescent="0.25" r="204" customHeight="1" ht="15.75">
      <c r="A204" s="502"/>
      <c r="B204" s="34"/>
      <c r="C204" s="34"/>
      <c r="D204" s="34"/>
      <c r="E204" s="34"/>
      <c r="F204" s="34"/>
      <c r="G204" s="34"/>
      <c r="H204" s="34"/>
      <c r="I204" s="29"/>
      <c r="J204" s="29"/>
      <c r="K204" s="29"/>
      <c r="L204" s="29"/>
      <c r="M204" s="34"/>
      <c r="N204" s="34"/>
      <c r="O204" s="29"/>
      <c r="P204" s="29"/>
      <c r="Q204" s="29"/>
      <c r="R204" s="29"/>
      <c r="S204" s="29"/>
      <c r="T204" s="476"/>
      <c r="U204" s="29"/>
      <c r="V204" s="2"/>
      <c r="W204" s="29"/>
      <c r="X204" s="2"/>
      <c r="Y204" s="29"/>
    </row>
    <row x14ac:dyDescent="0.25" r="205" customHeight="1" ht="15.75">
      <c r="A205" s="502"/>
      <c r="B205" s="34"/>
      <c r="C205" s="34"/>
      <c r="D205" s="34"/>
      <c r="E205" s="34"/>
      <c r="F205" s="34"/>
      <c r="G205" s="34"/>
      <c r="H205" s="34"/>
      <c r="I205" s="29"/>
      <c r="J205" s="29"/>
      <c r="K205" s="29"/>
      <c r="L205" s="29"/>
      <c r="M205" s="34"/>
      <c r="N205" s="34"/>
      <c r="O205" s="29"/>
      <c r="P205" s="29"/>
      <c r="Q205" s="29"/>
      <c r="R205" s="29"/>
      <c r="S205" s="29"/>
      <c r="T205" s="476"/>
      <c r="U205" s="29"/>
      <c r="V205" s="2"/>
      <c r="W205" s="29"/>
      <c r="X205" s="2"/>
      <c r="Y205" s="29"/>
    </row>
    <row x14ac:dyDescent="0.25" r="206" customHeight="1" ht="15.75">
      <c r="A206" s="502"/>
      <c r="B206" s="34"/>
      <c r="C206" s="34"/>
      <c r="D206" s="34"/>
      <c r="E206" s="34"/>
      <c r="F206" s="34"/>
      <c r="G206" s="34"/>
      <c r="H206" s="34"/>
      <c r="I206" s="29"/>
      <c r="J206" s="29"/>
      <c r="K206" s="29"/>
      <c r="L206" s="29"/>
      <c r="M206" s="34"/>
      <c r="N206" s="34"/>
      <c r="O206" s="29"/>
      <c r="P206" s="29"/>
      <c r="Q206" s="29"/>
      <c r="R206" s="29"/>
      <c r="S206" s="29"/>
      <c r="T206" s="476"/>
      <c r="U206" s="29"/>
      <c r="V206" s="2"/>
      <c r="W206" s="29"/>
      <c r="X206" s="2"/>
      <c r="Y206" s="29"/>
    </row>
    <row x14ac:dyDescent="0.25" r="207" customHeight="1" ht="15.75">
      <c r="A207" s="502"/>
      <c r="B207" s="34"/>
      <c r="C207" s="34"/>
      <c r="D207" s="34"/>
      <c r="E207" s="34"/>
      <c r="F207" s="34"/>
      <c r="G207" s="34"/>
      <c r="H207" s="34"/>
      <c r="I207" s="29"/>
      <c r="J207" s="29"/>
      <c r="K207" s="29"/>
      <c r="L207" s="29"/>
      <c r="M207" s="34"/>
      <c r="N207" s="34"/>
      <c r="O207" s="29"/>
      <c r="P207" s="29"/>
      <c r="Q207" s="29"/>
      <c r="R207" s="29"/>
      <c r="S207" s="29"/>
      <c r="T207" s="476"/>
      <c r="U207" s="29"/>
      <c r="V207" s="2"/>
      <c r="W207" s="29"/>
      <c r="X207" s="2"/>
      <c r="Y207" s="29"/>
    </row>
    <row x14ac:dyDescent="0.25" r="208" customHeight="1" ht="15.75">
      <c r="A208" s="502"/>
      <c r="B208" s="34"/>
      <c r="C208" s="34"/>
      <c r="D208" s="34"/>
      <c r="E208" s="34"/>
      <c r="F208" s="34"/>
      <c r="G208" s="34"/>
      <c r="H208" s="34"/>
      <c r="I208" s="29"/>
      <c r="J208" s="29"/>
      <c r="K208" s="29"/>
      <c r="L208" s="29"/>
      <c r="M208" s="34"/>
      <c r="N208" s="34"/>
      <c r="O208" s="29"/>
      <c r="P208" s="29"/>
      <c r="Q208" s="29"/>
      <c r="R208" s="29"/>
      <c r="S208" s="29"/>
      <c r="T208" s="476"/>
      <c r="U208" s="29"/>
      <c r="V208" s="2"/>
      <c r="W208" s="29"/>
      <c r="X208" s="2"/>
      <c r="Y208" s="29"/>
    </row>
    <row x14ac:dyDescent="0.25" r="209" customHeight="1" ht="15.75">
      <c r="A209" s="502"/>
      <c r="B209" s="34"/>
      <c r="C209" s="34"/>
      <c r="D209" s="34"/>
      <c r="E209" s="34"/>
      <c r="F209" s="34"/>
      <c r="G209" s="34"/>
      <c r="H209" s="34"/>
      <c r="I209" s="29"/>
      <c r="J209" s="29"/>
      <c r="K209" s="29"/>
      <c r="L209" s="29"/>
      <c r="M209" s="34"/>
      <c r="N209" s="34"/>
      <c r="O209" s="29"/>
      <c r="P209" s="29"/>
      <c r="Q209" s="29"/>
      <c r="R209" s="29"/>
      <c r="S209" s="29"/>
      <c r="T209" s="476"/>
      <c r="U209" s="29"/>
      <c r="V209" s="2"/>
      <c r="W209" s="29"/>
      <c r="X209" s="2"/>
      <c r="Y209" s="29"/>
    </row>
    <row x14ac:dyDescent="0.25" r="210" customHeight="1" ht="15.75">
      <c r="A210" s="502"/>
      <c r="B210" s="34"/>
      <c r="C210" s="34"/>
      <c r="D210" s="34"/>
      <c r="E210" s="34"/>
      <c r="F210" s="34"/>
      <c r="G210" s="34"/>
      <c r="H210" s="34"/>
      <c r="I210" s="29"/>
      <c r="J210" s="29"/>
      <c r="K210" s="29"/>
      <c r="L210" s="29"/>
      <c r="M210" s="34"/>
      <c r="N210" s="34"/>
      <c r="O210" s="29"/>
      <c r="P210" s="29"/>
      <c r="Q210" s="29"/>
      <c r="R210" s="29"/>
      <c r="S210" s="29"/>
      <c r="T210" s="476"/>
      <c r="U210" s="29"/>
      <c r="V210" s="2"/>
      <c r="W210" s="29"/>
      <c r="X210" s="2"/>
      <c r="Y210" s="29"/>
    </row>
    <row x14ac:dyDescent="0.25" r="211" customHeight="1" ht="15.75">
      <c r="A211" s="502"/>
      <c r="B211" s="34"/>
      <c r="C211" s="34"/>
      <c r="D211" s="34"/>
      <c r="E211" s="34"/>
      <c r="F211" s="34"/>
      <c r="G211" s="34"/>
      <c r="H211" s="34"/>
      <c r="I211" s="29"/>
      <c r="J211" s="29"/>
      <c r="K211" s="29"/>
      <c r="L211" s="29"/>
      <c r="M211" s="34"/>
      <c r="N211" s="34"/>
      <c r="O211" s="29"/>
      <c r="P211" s="29"/>
      <c r="Q211" s="29"/>
      <c r="R211" s="29"/>
      <c r="S211" s="29"/>
      <c r="T211" s="476"/>
      <c r="U211" s="29"/>
      <c r="V211" s="2"/>
      <c r="W211" s="29"/>
      <c r="X211" s="2"/>
      <c r="Y211" s="29"/>
    </row>
    <row x14ac:dyDescent="0.25" r="212" customHeight="1" ht="15.75">
      <c r="A212" s="502"/>
      <c r="B212" s="34"/>
      <c r="C212" s="34"/>
      <c r="D212" s="34"/>
      <c r="E212" s="34"/>
      <c r="F212" s="34"/>
      <c r="G212" s="34"/>
      <c r="H212" s="34"/>
      <c r="I212" s="29"/>
      <c r="J212" s="29"/>
      <c r="K212" s="29"/>
      <c r="L212" s="29"/>
      <c r="M212" s="34"/>
      <c r="N212" s="34"/>
      <c r="O212" s="29"/>
      <c r="P212" s="29"/>
      <c r="Q212" s="29"/>
      <c r="R212" s="29"/>
      <c r="S212" s="29"/>
      <c r="T212" s="476"/>
      <c r="U212" s="29"/>
      <c r="V212" s="2"/>
      <c r="W212" s="29"/>
      <c r="X212" s="2"/>
      <c r="Y212" s="29"/>
    </row>
    <row x14ac:dyDescent="0.25" r="213" customHeight="1" ht="15.75">
      <c r="A213" s="502"/>
      <c r="B213" s="34"/>
      <c r="C213" s="34"/>
      <c r="D213" s="34"/>
      <c r="E213" s="34"/>
      <c r="F213" s="34"/>
      <c r="G213" s="34"/>
      <c r="H213" s="34"/>
      <c r="I213" s="29"/>
      <c r="J213" s="29"/>
      <c r="K213" s="29"/>
      <c r="L213" s="29"/>
      <c r="M213" s="34"/>
      <c r="N213" s="34"/>
      <c r="O213" s="29"/>
      <c r="P213" s="29"/>
      <c r="Q213" s="29"/>
      <c r="R213" s="29"/>
      <c r="S213" s="29"/>
      <c r="T213" s="476"/>
      <c r="U213" s="29"/>
      <c r="V213" s="2"/>
      <c r="W213" s="29"/>
      <c r="X213" s="2"/>
      <c r="Y213" s="29"/>
    </row>
    <row x14ac:dyDescent="0.25" r="214" customHeight="1" ht="15.75">
      <c r="A214" s="502"/>
      <c r="B214" s="34"/>
      <c r="C214" s="34"/>
      <c r="D214" s="34"/>
      <c r="E214" s="34"/>
      <c r="F214" s="34"/>
      <c r="G214" s="34"/>
      <c r="H214" s="34"/>
      <c r="I214" s="29"/>
      <c r="J214" s="29"/>
      <c r="K214" s="29"/>
      <c r="L214" s="29"/>
      <c r="M214" s="34"/>
      <c r="N214" s="34"/>
      <c r="O214" s="29"/>
      <c r="P214" s="29"/>
      <c r="Q214" s="29"/>
      <c r="R214" s="29"/>
      <c r="S214" s="29"/>
      <c r="T214" s="476"/>
      <c r="U214" s="29"/>
      <c r="V214" s="2"/>
      <c r="W214" s="29"/>
      <c r="X214" s="2"/>
      <c r="Y214" s="29"/>
    </row>
    <row x14ac:dyDescent="0.25" r="215" customHeight="1" ht="15.75">
      <c r="A215" s="502"/>
      <c r="B215" s="34"/>
      <c r="C215" s="34"/>
      <c r="D215" s="34"/>
      <c r="E215" s="34"/>
      <c r="F215" s="34"/>
      <c r="G215" s="34"/>
      <c r="H215" s="34"/>
      <c r="I215" s="29"/>
      <c r="J215" s="29"/>
      <c r="K215" s="29"/>
      <c r="L215" s="29"/>
      <c r="M215" s="34"/>
      <c r="N215" s="34"/>
      <c r="O215" s="29"/>
      <c r="P215" s="29"/>
      <c r="Q215" s="29"/>
      <c r="R215" s="29"/>
      <c r="S215" s="29"/>
      <c r="T215" s="476"/>
      <c r="U215" s="29"/>
      <c r="V215" s="2"/>
      <c r="W215" s="29"/>
      <c r="X215" s="2"/>
      <c r="Y215" s="29"/>
    </row>
    <row x14ac:dyDescent="0.25" r="216" customHeight="1" ht="15.75">
      <c r="A216" s="502"/>
      <c r="B216" s="34"/>
      <c r="C216" s="34"/>
      <c r="D216" s="34"/>
      <c r="E216" s="34"/>
      <c r="F216" s="34"/>
      <c r="G216" s="34"/>
      <c r="H216" s="34"/>
      <c r="I216" s="29"/>
      <c r="J216" s="29"/>
      <c r="K216" s="29"/>
      <c r="L216" s="29"/>
      <c r="M216" s="34"/>
      <c r="N216" s="34"/>
      <c r="O216" s="29"/>
      <c r="P216" s="29"/>
      <c r="Q216" s="29"/>
      <c r="R216" s="29"/>
      <c r="S216" s="29"/>
      <c r="T216" s="476"/>
      <c r="U216" s="29"/>
      <c r="V216" s="2"/>
      <c r="W216" s="29"/>
      <c r="X216" s="2"/>
      <c r="Y216" s="29"/>
    </row>
    <row x14ac:dyDescent="0.25" r="217" customHeight="1" ht="15.75">
      <c r="A217" s="502"/>
      <c r="B217" s="34"/>
      <c r="C217" s="34"/>
      <c r="D217" s="34"/>
      <c r="E217" s="34"/>
      <c r="F217" s="34"/>
      <c r="G217" s="34"/>
      <c r="H217" s="34"/>
      <c r="I217" s="29"/>
      <c r="J217" s="29"/>
      <c r="K217" s="29"/>
      <c r="L217" s="29"/>
      <c r="M217" s="34"/>
      <c r="N217" s="34"/>
      <c r="O217" s="29"/>
      <c r="P217" s="29"/>
      <c r="Q217" s="29"/>
      <c r="R217" s="29"/>
      <c r="S217" s="29"/>
      <c r="T217" s="476"/>
      <c r="U217" s="29"/>
      <c r="V217" s="2"/>
      <c r="W217" s="29"/>
      <c r="X217" s="2"/>
      <c r="Y217" s="29"/>
    </row>
    <row x14ac:dyDescent="0.25" r="218" customHeight="1" ht="15.75">
      <c r="A218" s="502"/>
      <c r="B218" s="34"/>
      <c r="C218" s="34"/>
      <c r="D218" s="34"/>
      <c r="E218" s="34"/>
      <c r="F218" s="34"/>
      <c r="G218" s="34"/>
      <c r="H218" s="34"/>
      <c r="I218" s="29"/>
      <c r="J218" s="29"/>
      <c r="K218" s="29"/>
      <c r="L218" s="29"/>
      <c r="M218" s="34"/>
      <c r="N218" s="34"/>
      <c r="O218" s="29"/>
      <c r="P218" s="29"/>
      <c r="Q218" s="29"/>
      <c r="R218" s="29"/>
      <c r="S218" s="29"/>
      <c r="T218" s="476"/>
      <c r="U218" s="29"/>
      <c r="V218" s="2"/>
      <c r="W218" s="29"/>
      <c r="X218" s="2"/>
      <c r="Y218" s="29"/>
    </row>
    <row x14ac:dyDescent="0.25" r="219" customHeight="1" ht="15.75">
      <c r="A219" s="502"/>
      <c r="B219" s="34"/>
      <c r="C219" s="34"/>
      <c r="D219" s="34"/>
      <c r="E219" s="34"/>
      <c r="F219" s="34"/>
      <c r="G219" s="34"/>
      <c r="H219" s="34"/>
      <c r="I219" s="29"/>
      <c r="J219" s="29"/>
      <c r="K219" s="29"/>
      <c r="L219" s="29"/>
      <c r="M219" s="34"/>
      <c r="N219" s="34"/>
      <c r="O219" s="29"/>
      <c r="P219" s="29"/>
      <c r="Q219" s="29"/>
      <c r="R219" s="29"/>
      <c r="S219" s="29"/>
      <c r="T219" s="476"/>
      <c r="U219" s="29"/>
      <c r="V219" s="2"/>
      <c r="W219" s="29"/>
      <c r="X219" s="2"/>
      <c r="Y219" s="29"/>
    </row>
    <row x14ac:dyDescent="0.25" r="220" customHeight="1" ht="15.75">
      <c r="A220" s="502"/>
      <c r="B220" s="34"/>
      <c r="C220" s="34"/>
      <c r="D220" s="34"/>
      <c r="E220" s="34"/>
      <c r="F220" s="34"/>
      <c r="G220" s="34"/>
      <c r="H220" s="34"/>
      <c r="I220" s="29"/>
      <c r="J220" s="29"/>
      <c r="K220" s="29"/>
      <c r="L220" s="29"/>
      <c r="M220" s="34"/>
      <c r="N220" s="34"/>
      <c r="O220" s="29"/>
      <c r="P220" s="29"/>
      <c r="Q220" s="29"/>
      <c r="R220" s="29"/>
      <c r="S220" s="29"/>
      <c r="T220" s="476"/>
      <c r="U220" s="29"/>
      <c r="V220" s="2"/>
      <c r="W220" s="29"/>
      <c r="X220" s="2"/>
      <c r="Y220" s="29"/>
    </row>
    <row x14ac:dyDescent="0.25" r="221" customHeight="1" ht="15.75">
      <c r="A221" s="502"/>
      <c r="B221" s="34"/>
      <c r="C221" s="34"/>
      <c r="D221" s="34"/>
      <c r="E221" s="34"/>
      <c r="F221" s="34"/>
      <c r="G221" s="34"/>
      <c r="H221" s="34"/>
      <c r="I221" s="29"/>
      <c r="J221" s="29"/>
      <c r="K221" s="29"/>
      <c r="L221" s="29"/>
      <c r="M221" s="34"/>
      <c r="N221" s="34"/>
      <c r="O221" s="29"/>
      <c r="P221" s="29"/>
      <c r="Q221" s="29"/>
      <c r="R221" s="29"/>
      <c r="S221" s="29"/>
      <c r="T221" s="476"/>
      <c r="U221" s="29"/>
      <c r="V221" s="2"/>
      <c r="W221" s="29"/>
      <c r="X221" s="2"/>
      <c r="Y221" s="29"/>
    </row>
    <row x14ac:dyDescent="0.25" r="222" customHeight="1" ht="15.75">
      <c r="A222" s="502"/>
      <c r="B222" s="34"/>
      <c r="C222" s="34"/>
      <c r="D222" s="34"/>
      <c r="E222" s="34"/>
      <c r="F222" s="34"/>
      <c r="G222" s="34"/>
      <c r="H222" s="34"/>
      <c r="I222" s="29"/>
      <c r="J222" s="29"/>
      <c r="K222" s="29"/>
      <c r="L222" s="29"/>
      <c r="M222" s="34"/>
      <c r="N222" s="34"/>
      <c r="O222" s="29"/>
      <c r="P222" s="29"/>
      <c r="Q222" s="29"/>
      <c r="R222" s="29"/>
      <c r="S222" s="29"/>
      <c r="T222" s="476"/>
      <c r="U222" s="29"/>
      <c r="V222" s="2"/>
      <c r="W222" s="29"/>
      <c r="X222" s="2"/>
      <c r="Y222" s="29"/>
    </row>
    <row x14ac:dyDescent="0.25" r="223" customHeight="1" ht="15.75">
      <c r="A223" s="502"/>
      <c r="B223" s="34"/>
      <c r="C223" s="34"/>
      <c r="D223" s="34"/>
      <c r="E223" s="34"/>
      <c r="F223" s="34"/>
      <c r="G223" s="34"/>
      <c r="H223" s="34"/>
      <c r="I223" s="29"/>
      <c r="J223" s="29"/>
      <c r="K223" s="29"/>
      <c r="L223" s="29"/>
      <c r="M223" s="34"/>
      <c r="N223" s="34"/>
      <c r="O223" s="29"/>
      <c r="P223" s="29"/>
      <c r="Q223" s="29"/>
      <c r="R223" s="29"/>
      <c r="S223" s="29"/>
      <c r="T223" s="476"/>
      <c r="U223" s="29"/>
      <c r="V223" s="2"/>
      <c r="W223" s="29"/>
      <c r="X223" s="2"/>
      <c r="Y223" s="29"/>
    </row>
    <row x14ac:dyDescent="0.25" r="224" customHeight="1" ht="15.75">
      <c r="A224" s="502"/>
      <c r="B224" s="34"/>
      <c r="C224" s="34"/>
      <c r="D224" s="34"/>
      <c r="E224" s="34"/>
      <c r="F224" s="34"/>
      <c r="G224" s="34"/>
      <c r="H224" s="34"/>
      <c r="I224" s="29"/>
      <c r="J224" s="29"/>
      <c r="K224" s="29"/>
      <c r="L224" s="29"/>
      <c r="M224" s="34"/>
      <c r="N224" s="34"/>
      <c r="O224" s="29"/>
      <c r="P224" s="29"/>
      <c r="Q224" s="29"/>
      <c r="R224" s="29"/>
      <c r="S224" s="29"/>
      <c r="T224" s="476"/>
      <c r="U224" s="29"/>
      <c r="V224" s="2"/>
      <c r="W224" s="29"/>
      <c r="X224" s="2"/>
      <c r="Y224" s="29"/>
    </row>
    <row x14ac:dyDescent="0.25" r="225" customHeight="1" ht="15.75">
      <c r="A225" s="502"/>
      <c r="B225" s="34"/>
      <c r="C225" s="34"/>
      <c r="D225" s="34"/>
      <c r="E225" s="34"/>
      <c r="F225" s="34"/>
      <c r="G225" s="34"/>
      <c r="H225" s="34"/>
      <c r="I225" s="29"/>
      <c r="J225" s="29"/>
      <c r="K225" s="29"/>
      <c r="L225" s="29"/>
      <c r="M225" s="34"/>
      <c r="N225" s="34"/>
      <c r="O225" s="29"/>
      <c r="P225" s="29"/>
      <c r="Q225" s="29"/>
      <c r="R225" s="29"/>
      <c r="S225" s="29"/>
      <c r="T225" s="476"/>
      <c r="U225" s="29"/>
      <c r="V225" s="2"/>
      <c r="W225" s="29"/>
      <c r="X225" s="2"/>
      <c r="Y225" s="29"/>
    </row>
    <row x14ac:dyDescent="0.25" r="226" customHeight="1" ht="15.75">
      <c r="A226" s="502"/>
      <c r="B226" s="34"/>
      <c r="C226" s="34"/>
      <c r="D226" s="34"/>
      <c r="E226" s="34"/>
      <c r="F226" s="34"/>
      <c r="G226" s="34"/>
      <c r="H226" s="34"/>
      <c r="I226" s="29"/>
      <c r="J226" s="29"/>
      <c r="K226" s="29"/>
      <c r="L226" s="29"/>
      <c r="M226" s="34"/>
      <c r="N226" s="34"/>
      <c r="O226" s="29"/>
      <c r="P226" s="29"/>
      <c r="Q226" s="29"/>
      <c r="R226" s="29"/>
      <c r="S226" s="29"/>
      <c r="T226" s="476"/>
      <c r="U226" s="29"/>
      <c r="V226" s="2"/>
      <c r="W226" s="29"/>
      <c r="X226" s="2"/>
      <c r="Y226" s="29"/>
    </row>
    <row x14ac:dyDescent="0.25" r="227" customHeight="1" ht="15.75">
      <c r="A227" s="502"/>
      <c r="B227" s="34"/>
      <c r="C227" s="34"/>
      <c r="D227" s="34"/>
      <c r="E227" s="34"/>
      <c r="F227" s="34"/>
      <c r="G227" s="34"/>
      <c r="H227" s="34"/>
      <c r="I227" s="29"/>
      <c r="J227" s="29"/>
      <c r="K227" s="29"/>
      <c r="L227" s="29"/>
      <c r="M227" s="34"/>
      <c r="N227" s="34"/>
      <c r="O227" s="29"/>
      <c r="P227" s="29"/>
      <c r="Q227" s="29"/>
      <c r="R227" s="29"/>
      <c r="S227" s="29"/>
      <c r="T227" s="476"/>
      <c r="U227" s="29"/>
      <c r="V227" s="2"/>
      <c r="W227" s="29"/>
      <c r="X227" s="2"/>
      <c r="Y227" s="29"/>
    </row>
    <row x14ac:dyDescent="0.25" r="228" customHeight="1" ht="15.75">
      <c r="A228" s="502"/>
      <c r="B228" s="34"/>
      <c r="C228" s="34"/>
      <c r="D228" s="34"/>
      <c r="E228" s="34"/>
      <c r="F228" s="34"/>
      <c r="G228" s="34"/>
      <c r="H228" s="34"/>
      <c r="I228" s="29"/>
      <c r="J228" s="29"/>
      <c r="K228" s="29"/>
      <c r="L228" s="29"/>
      <c r="M228" s="34"/>
      <c r="N228" s="34"/>
      <c r="O228" s="29"/>
      <c r="P228" s="29"/>
      <c r="Q228" s="29"/>
      <c r="R228" s="29"/>
      <c r="S228" s="29"/>
      <c r="T228" s="476"/>
      <c r="U228" s="29"/>
      <c r="V228" s="2"/>
      <c r="W228" s="29"/>
      <c r="X228" s="2"/>
      <c r="Y228" s="29"/>
    </row>
    <row x14ac:dyDescent="0.25" r="229" customHeight="1" ht="15.75">
      <c r="A229" s="502"/>
      <c r="B229" s="34"/>
      <c r="C229" s="34"/>
      <c r="D229" s="34"/>
      <c r="E229" s="34"/>
      <c r="F229" s="34"/>
      <c r="G229" s="34"/>
      <c r="H229" s="34"/>
      <c r="I229" s="29"/>
      <c r="J229" s="29"/>
      <c r="K229" s="29"/>
      <c r="L229" s="29"/>
      <c r="M229" s="34"/>
      <c r="N229" s="34"/>
      <c r="O229" s="29"/>
      <c r="P229" s="29"/>
      <c r="Q229" s="29"/>
      <c r="R229" s="29"/>
      <c r="S229" s="29"/>
      <c r="T229" s="476"/>
      <c r="U229" s="29"/>
      <c r="V229" s="2"/>
      <c r="W229" s="29"/>
      <c r="X229" s="2"/>
      <c r="Y229" s="29"/>
    </row>
    <row x14ac:dyDescent="0.25" r="230" customHeight="1" ht="15.75">
      <c r="A230" s="502"/>
      <c r="B230" s="34"/>
      <c r="C230" s="34"/>
      <c r="D230" s="34"/>
      <c r="E230" s="34"/>
      <c r="F230" s="34"/>
      <c r="G230" s="34"/>
      <c r="H230" s="34"/>
      <c r="I230" s="29"/>
      <c r="J230" s="29"/>
      <c r="K230" s="29"/>
      <c r="L230" s="29"/>
      <c r="M230" s="34"/>
      <c r="N230" s="34"/>
      <c r="O230" s="29"/>
      <c r="P230" s="29"/>
      <c r="Q230" s="29"/>
      <c r="R230" s="29"/>
      <c r="S230" s="29"/>
      <c r="T230" s="476"/>
      <c r="U230" s="29"/>
      <c r="V230" s="2"/>
      <c r="W230" s="29"/>
      <c r="X230" s="2"/>
      <c r="Y230" s="29"/>
    </row>
    <row x14ac:dyDescent="0.25" r="231" customHeight="1" ht="15.75">
      <c r="A231" s="502"/>
      <c r="B231" s="34"/>
      <c r="C231" s="34"/>
      <c r="D231" s="34"/>
      <c r="E231" s="34"/>
      <c r="F231" s="34"/>
      <c r="G231" s="34"/>
      <c r="H231" s="34"/>
      <c r="I231" s="29"/>
      <c r="J231" s="29"/>
      <c r="K231" s="29"/>
      <c r="L231" s="29"/>
      <c r="M231" s="34"/>
      <c r="N231" s="34"/>
      <c r="O231" s="29"/>
      <c r="P231" s="29"/>
      <c r="Q231" s="29"/>
      <c r="R231" s="29"/>
      <c r="S231" s="29"/>
      <c r="T231" s="476"/>
      <c r="U231" s="29"/>
      <c r="V231" s="2"/>
      <c r="W231" s="29"/>
      <c r="X231" s="2"/>
      <c r="Y231" s="29"/>
    </row>
    <row x14ac:dyDescent="0.25" r="232" customHeight="1" ht="15.75">
      <c r="A232" s="502"/>
      <c r="B232" s="34"/>
      <c r="C232" s="34"/>
      <c r="D232" s="34"/>
      <c r="E232" s="34"/>
      <c r="F232" s="34"/>
      <c r="G232" s="34"/>
      <c r="H232" s="34"/>
      <c r="I232" s="29"/>
      <c r="J232" s="29"/>
      <c r="K232" s="29"/>
      <c r="L232" s="29"/>
      <c r="M232" s="34"/>
      <c r="N232" s="34"/>
      <c r="O232" s="29"/>
      <c r="P232" s="29"/>
      <c r="Q232" s="29"/>
      <c r="R232" s="29"/>
      <c r="S232" s="29"/>
      <c r="T232" s="476"/>
      <c r="U232" s="29"/>
      <c r="V232" s="2"/>
      <c r="W232" s="29"/>
      <c r="X232" s="2"/>
      <c r="Y232" s="29"/>
    </row>
    <row x14ac:dyDescent="0.25" r="233" customHeight="1" ht="15.75">
      <c r="A233" s="502"/>
      <c r="B233" s="34"/>
      <c r="C233" s="34"/>
      <c r="D233" s="34"/>
      <c r="E233" s="34"/>
      <c r="F233" s="34"/>
      <c r="G233" s="34"/>
      <c r="H233" s="34"/>
      <c r="I233" s="29"/>
      <c r="J233" s="29"/>
      <c r="K233" s="29"/>
      <c r="L233" s="29"/>
      <c r="M233" s="34"/>
      <c r="N233" s="34"/>
      <c r="O233" s="29"/>
      <c r="P233" s="29"/>
      <c r="Q233" s="29"/>
      <c r="R233" s="29"/>
      <c r="S233" s="29"/>
      <c r="T233" s="476"/>
      <c r="U233" s="29"/>
      <c r="V233" s="2"/>
      <c r="W233" s="29"/>
      <c r="X233" s="2"/>
      <c r="Y233" s="29"/>
    </row>
    <row x14ac:dyDescent="0.25" r="234" customHeight="1" ht="15.75">
      <c r="A234" s="502"/>
      <c r="B234" s="34"/>
      <c r="C234" s="34"/>
      <c r="D234" s="34"/>
      <c r="E234" s="34"/>
      <c r="F234" s="34"/>
      <c r="G234" s="34"/>
      <c r="H234" s="34"/>
      <c r="I234" s="29"/>
      <c r="J234" s="29"/>
      <c r="K234" s="29"/>
      <c r="L234" s="29"/>
      <c r="M234" s="34"/>
      <c r="N234" s="34"/>
      <c r="O234" s="29"/>
      <c r="P234" s="29"/>
      <c r="Q234" s="29"/>
      <c r="R234" s="29"/>
      <c r="S234" s="29"/>
      <c r="T234" s="476"/>
      <c r="U234" s="29"/>
      <c r="V234" s="2"/>
      <c r="W234" s="29"/>
      <c r="X234" s="2"/>
      <c r="Y234" s="29"/>
    </row>
    <row x14ac:dyDescent="0.25" r="235" customHeight="1" ht="15.75">
      <c r="A235" s="502"/>
      <c r="B235" s="34"/>
      <c r="C235" s="34"/>
      <c r="D235" s="34"/>
      <c r="E235" s="34"/>
      <c r="F235" s="34"/>
      <c r="G235" s="34"/>
      <c r="H235" s="34"/>
      <c r="I235" s="29"/>
      <c r="J235" s="29"/>
      <c r="K235" s="29"/>
      <c r="L235" s="29"/>
      <c r="M235" s="34"/>
      <c r="N235" s="34"/>
      <c r="O235" s="29"/>
      <c r="P235" s="29"/>
      <c r="Q235" s="29"/>
      <c r="R235" s="29"/>
      <c r="S235" s="29"/>
      <c r="T235" s="476"/>
      <c r="U235" s="29"/>
      <c r="V235" s="2"/>
      <c r="W235" s="29"/>
      <c r="X235" s="2"/>
      <c r="Y235" s="29"/>
    </row>
    <row x14ac:dyDescent="0.25" r="236" customHeight="1" ht="15.75">
      <c r="A236" s="502"/>
      <c r="B236" s="34"/>
      <c r="C236" s="34"/>
      <c r="D236" s="34"/>
      <c r="E236" s="34"/>
      <c r="F236" s="34"/>
      <c r="G236" s="34"/>
      <c r="H236" s="34"/>
      <c r="I236" s="29"/>
      <c r="J236" s="29"/>
      <c r="K236" s="29"/>
      <c r="L236" s="29"/>
      <c r="M236" s="34"/>
      <c r="N236" s="34"/>
      <c r="O236" s="29"/>
      <c r="P236" s="29"/>
      <c r="Q236" s="29"/>
      <c r="R236" s="29"/>
      <c r="S236" s="29"/>
      <c r="T236" s="476"/>
      <c r="U236" s="29"/>
      <c r="V236" s="2"/>
      <c r="W236" s="29"/>
      <c r="X236" s="2"/>
      <c r="Y236" s="29"/>
    </row>
    <row x14ac:dyDescent="0.25" r="237" customHeight="1" ht="15.75">
      <c r="A237" s="502"/>
      <c r="B237" s="34"/>
      <c r="C237" s="34"/>
      <c r="D237" s="34"/>
      <c r="E237" s="34"/>
      <c r="F237" s="34"/>
      <c r="G237" s="34"/>
      <c r="H237" s="34"/>
      <c r="I237" s="29"/>
      <c r="J237" s="29"/>
      <c r="K237" s="29"/>
      <c r="L237" s="29"/>
      <c r="M237" s="34"/>
      <c r="N237" s="34"/>
      <c r="O237" s="29"/>
      <c r="P237" s="29"/>
      <c r="Q237" s="29"/>
      <c r="R237" s="29"/>
      <c r="S237" s="29"/>
      <c r="T237" s="476"/>
      <c r="U237" s="29"/>
      <c r="V237" s="2"/>
      <c r="W237" s="29"/>
      <c r="X237" s="2"/>
      <c r="Y237" s="29"/>
    </row>
    <row x14ac:dyDescent="0.25" r="238" customHeight="1" ht="15.75">
      <c r="A238" s="502"/>
      <c r="B238" s="34"/>
      <c r="C238" s="34"/>
      <c r="D238" s="34"/>
      <c r="E238" s="34"/>
      <c r="F238" s="34"/>
      <c r="G238" s="34"/>
      <c r="H238" s="34"/>
      <c r="I238" s="29"/>
      <c r="J238" s="29"/>
      <c r="K238" s="29"/>
      <c r="L238" s="29"/>
      <c r="M238" s="34"/>
      <c r="N238" s="34"/>
      <c r="O238" s="29"/>
      <c r="P238" s="29"/>
      <c r="Q238" s="29"/>
      <c r="R238" s="29"/>
      <c r="S238" s="29"/>
      <c r="T238" s="476"/>
      <c r="U238" s="29"/>
      <c r="V238" s="2"/>
      <c r="W238" s="29"/>
      <c r="X238" s="2"/>
      <c r="Y238" s="29"/>
    </row>
    <row x14ac:dyDescent="0.25" r="239" customHeight="1" ht="15.75">
      <c r="A239" s="502"/>
      <c r="B239" s="34"/>
      <c r="C239" s="34"/>
      <c r="D239" s="34"/>
      <c r="E239" s="34"/>
      <c r="F239" s="34"/>
      <c r="G239" s="34"/>
      <c r="H239" s="34"/>
      <c r="I239" s="29"/>
      <c r="J239" s="29"/>
      <c r="K239" s="29"/>
      <c r="L239" s="29"/>
      <c r="M239" s="34"/>
      <c r="N239" s="34"/>
      <c r="O239" s="29"/>
      <c r="P239" s="29"/>
      <c r="Q239" s="29"/>
      <c r="R239" s="29"/>
      <c r="S239" s="29"/>
      <c r="T239" s="476"/>
      <c r="U239" s="29"/>
      <c r="V239" s="2"/>
      <c r="W239" s="29"/>
      <c r="X239" s="2"/>
      <c r="Y239" s="29"/>
    </row>
    <row x14ac:dyDescent="0.25" r="240" customHeight="1" ht="15.75">
      <c r="A240" s="502"/>
      <c r="B240" s="34"/>
      <c r="C240" s="34"/>
      <c r="D240" s="34"/>
      <c r="E240" s="34"/>
      <c r="F240" s="34"/>
      <c r="G240" s="34"/>
      <c r="H240" s="34"/>
      <c r="I240" s="29"/>
      <c r="J240" s="29"/>
      <c r="K240" s="29"/>
      <c r="L240" s="29"/>
      <c r="M240" s="34"/>
      <c r="N240" s="34"/>
      <c r="O240" s="29"/>
      <c r="P240" s="29"/>
      <c r="Q240" s="29"/>
      <c r="R240" s="29"/>
      <c r="S240" s="29"/>
      <c r="T240" s="476"/>
      <c r="U240" s="29"/>
      <c r="V240" s="2"/>
      <c r="W240" s="29"/>
      <c r="X240" s="2"/>
      <c r="Y240" s="29"/>
    </row>
    <row x14ac:dyDescent="0.25" r="241" customHeight="1" ht="15.75">
      <c r="A241" s="502"/>
      <c r="B241" s="34"/>
      <c r="C241" s="34"/>
      <c r="D241" s="34"/>
      <c r="E241" s="34"/>
      <c r="F241" s="34"/>
      <c r="G241" s="34"/>
      <c r="H241" s="34"/>
      <c r="I241" s="29"/>
      <c r="J241" s="29"/>
      <c r="K241" s="29"/>
      <c r="L241" s="29"/>
      <c r="M241" s="34"/>
      <c r="N241" s="34"/>
      <c r="O241" s="29"/>
      <c r="P241" s="29"/>
      <c r="Q241" s="29"/>
      <c r="R241" s="29"/>
      <c r="S241" s="29"/>
      <c r="T241" s="476"/>
      <c r="U241" s="29"/>
      <c r="V241" s="2"/>
      <c r="W241" s="29"/>
      <c r="X241" s="2"/>
      <c r="Y241" s="29"/>
    </row>
    <row x14ac:dyDescent="0.25" r="242" customHeight="1" ht="15.75">
      <c r="A242" s="502"/>
      <c r="B242" s="34"/>
      <c r="C242" s="34"/>
      <c r="D242" s="34"/>
      <c r="E242" s="34"/>
      <c r="F242" s="34"/>
      <c r="G242" s="34"/>
      <c r="H242" s="34"/>
      <c r="I242" s="29"/>
      <c r="J242" s="29"/>
      <c r="K242" s="29"/>
      <c r="L242" s="29"/>
      <c r="M242" s="34"/>
      <c r="N242" s="34"/>
      <c r="O242" s="29"/>
      <c r="P242" s="29"/>
      <c r="Q242" s="29"/>
      <c r="R242" s="29"/>
      <c r="S242" s="29"/>
      <c r="T242" s="476"/>
      <c r="U242" s="29"/>
      <c r="V242" s="2"/>
      <c r="W242" s="29"/>
      <c r="X242" s="2"/>
      <c r="Y242" s="29"/>
    </row>
    <row x14ac:dyDescent="0.25" r="243" customHeight="1" ht="15.75">
      <c r="A243" s="502"/>
      <c r="B243" s="34"/>
      <c r="C243" s="34"/>
      <c r="D243" s="34"/>
      <c r="E243" s="34"/>
      <c r="F243" s="34"/>
      <c r="G243" s="34"/>
      <c r="H243" s="34"/>
      <c r="I243" s="29"/>
      <c r="J243" s="29"/>
      <c r="K243" s="29"/>
      <c r="L243" s="29"/>
      <c r="M243" s="34"/>
      <c r="N243" s="34"/>
      <c r="O243" s="29"/>
      <c r="P243" s="29"/>
      <c r="Q243" s="29"/>
      <c r="R243" s="29"/>
      <c r="S243" s="29"/>
      <c r="T243" s="476"/>
      <c r="U243" s="29"/>
      <c r="V243" s="2"/>
      <c r="W243" s="29"/>
      <c r="X243" s="2"/>
      <c r="Y243" s="29"/>
    </row>
    <row x14ac:dyDescent="0.25" r="244" customHeight="1" ht="15.75">
      <c r="A244" s="502"/>
      <c r="B244" s="34"/>
      <c r="C244" s="34"/>
      <c r="D244" s="34"/>
      <c r="E244" s="34"/>
      <c r="F244" s="34"/>
      <c r="G244" s="34"/>
      <c r="H244" s="34"/>
      <c r="I244" s="29"/>
      <c r="J244" s="29"/>
      <c r="K244" s="29"/>
      <c r="L244" s="29"/>
      <c r="M244" s="34"/>
      <c r="N244" s="34"/>
      <c r="O244" s="29"/>
      <c r="P244" s="29"/>
      <c r="Q244" s="29"/>
      <c r="R244" s="29"/>
      <c r="S244" s="29"/>
      <c r="T244" s="476"/>
      <c r="U244" s="29"/>
      <c r="V244" s="2"/>
      <c r="W244" s="29"/>
      <c r="X244" s="2"/>
      <c r="Y244" s="29"/>
    </row>
    <row x14ac:dyDescent="0.25" r="245" customHeight="1" ht="15.75">
      <c r="A245" s="502"/>
      <c r="B245" s="34"/>
      <c r="C245" s="34"/>
      <c r="D245" s="34"/>
      <c r="E245" s="34"/>
      <c r="F245" s="34"/>
      <c r="G245" s="34"/>
      <c r="H245" s="34"/>
      <c r="I245" s="29"/>
      <c r="J245" s="29"/>
      <c r="K245" s="29"/>
      <c r="L245" s="29"/>
      <c r="M245" s="34"/>
      <c r="N245" s="34"/>
      <c r="O245" s="29"/>
      <c r="P245" s="29"/>
      <c r="Q245" s="29"/>
      <c r="R245" s="29"/>
      <c r="S245" s="29"/>
      <c r="T245" s="476"/>
      <c r="U245" s="29"/>
      <c r="V245" s="2"/>
      <c r="W245" s="29"/>
      <c r="X245" s="2"/>
      <c r="Y245" s="29"/>
    </row>
    <row x14ac:dyDescent="0.25" r="246" customHeight="1" ht="15.75">
      <c r="A246" s="502"/>
      <c r="B246" s="34"/>
      <c r="C246" s="34"/>
      <c r="D246" s="34"/>
      <c r="E246" s="34"/>
      <c r="F246" s="34"/>
      <c r="G246" s="34"/>
      <c r="H246" s="34"/>
      <c r="I246" s="29"/>
      <c r="J246" s="29"/>
      <c r="K246" s="29"/>
      <c r="L246" s="29"/>
      <c r="M246" s="34"/>
      <c r="N246" s="34"/>
      <c r="O246" s="29"/>
      <c r="P246" s="29"/>
      <c r="Q246" s="29"/>
      <c r="R246" s="29"/>
      <c r="S246" s="29"/>
      <c r="T246" s="476"/>
      <c r="U246" s="29"/>
      <c r="V246" s="2"/>
      <c r="W246" s="29"/>
      <c r="X246" s="2"/>
      <c r="Y246" s="29"/>
    </row>
    <row x14ac:dyDescent="0.25" r="247" customHeight="1" ht="15.75">
      <c r="A247" s="502"/>
      <c r="B247" s="34"/>
      <c r="C247" s="34"/>
      <c r="D247" s="34"/>
      <c r="E247" s="34"/>
      <c r="F247" s="34"/>
      <c r="G247" s="34"/>
      <c r="H247" s="34"/>
      <c r="I247" s="29"/>
      <c r="J247" s="29"/>
      <c r="K247" s="29"/>
      <c r="L247" s="29"/>
      <c r="M247" s="34"/>
      <c r="N247" s="34"/>
      <c r="O247" s="29"/>
      <c r="P247" s="29"/>
      <c r="Q247" s="29"/>
      <c r="R247" s="29"/>
      <c r="S247" s="29"/>
      <c r="T247" s="476"/>
      <c r="U247" s="29"/>
      <c r="V247" s="2"/>
      <c r="W247" s="29"/>
      <c r="X247" s="2"/>
      <c r="Y247" s="29"/>
    </row>
    <row x14ac:dyDescent="0.25" r="248" customHeight="1" ht="15.75">
      <c r="A248" s="502"/>
      <c r="B248" s="34"/>
      <c r="C248" s="34"/>
      <c r="D248" s="34"/>
      <c r="E248" s="34"/>
      <c r="F248" s="34"/>
      <c r="G248" s="34"/>
      <c r="H248" s="34"/>
      <c r="I248" s="29"/>
      <c r="J248" s="29"/>
      <c r="K248" s="29"/>
      <c r="L248" s="29"/>
      <c r="M248" s="34"/>
      <c r="N248" s="34"/>
      <c r="O248" s="29"/>
      <c r="P248" s="29"/>
      <c r="Q248" s="29"/>
      <c r="R248" s="29"/>
      <c r="S248" s="29"/>
      <c r="T248" s="476"/>
      <c r="U248" s="29"/>
      <c r="V248" s="2"/>
      <c r="W248" s="29"/>
      <c r="X248" s="2"/>
      <c r="Y248" s="29"/>
    </row>
    <row x14ac:dyDescent="0.25" r="249" customHeight="1" ht="15.75">
      <c r="A249" s="502"/>
      <c r="B249" s="34"/>
      <c r="C249" s="34"/>
      <c r="D249" s="34"/>
      <c r="E249" s="34"/>
      <c r="F249" s="34"/>
      <c r="G249" s="34"/>
      <c r="H249" s="34"/>
      <c r="I249" s="29"/>
      <c r="J249" s="29"/>
      <c r="K249" s="29"/>
      <c r="L249" s="29"/>
      <c r="M249" s="34"/>
      <c r="N249" s="34"/>
      <c r="O249" s="29"/>
      <c r="P249" s="29"/>
      <c r="Q249" s="29"/>
      <c r="R249" s="29"/>
      <c r="S249" s="29"/>
      <c r="T249" s="476"/>
      <c r="U249" s="29"/>
      <c r="V249" s="2"/>
      <c r="W249" s="29"/>
      <c r="X249" s="2"/>
      <c r="Y249" s="29"/>
    </row>
    <row x14ac:dyDescent="0.25" r="250" customHeight="1" ht="15.75">
      <c r="A250" s="502"/>
      <c r="B250" s="34"/>
      <c r="C250" s="34"/>
      <c r="D250" s="34"/>
      <c r="E250" s="34"/>
      <c r="F250" s="34"/>
      <c r="G250" s="34"/>
      <c r="H250" s="34"/>
      <c r="I250" s="29"/>
      <c r="J250" s="29"/>
      <c r="K250" s="29"/>
      <c r="L250" s="29"/>
      <c r="M250" s="34"/>
      <c r="N250" s="34"/>
      <c r="O250" s="29"/>
      <c r="P250" s="29"/>
      <c r="Q250" s="29"/>
      <c r="R250" s="29"/>
      <c r="S250" s="29"/>
      <c r="T250" s="476"/>
      <c r="U250" s="29"/>
      <c r="V250" s="2"/>
      <c r="W250" s="29"/>
      <c r="X250" s="2"/>
      <c r="Y250" s="29"/>
    </row>
    <row x14ac:dyDescent="0.25" r="251" customHeight="1" ht="15.75">
      <c r="A251" s="502"/>
      <c r="B251" s="34"/>
      <c r="C251" s="34"/>
      <c r="D251" s="34"/>
      <c r="E251" s="34"/>
      <c r="F251" s="34"/>
      <c r="G251" s="34"/>
      <c r="H251" s="34"/>
      <c r="I251" s="29"/>
      <c r="J251" s="29"/>
      <c r="K251" s="29"/>
      <c r="L251" s="29"/>
      <c r="M251" s="34"/>
      <c r="N251" s="34"/>
      <c r="O251" s="29"/>
      <c r="P251" s="29"/>
      <c r="Q251" s="29"/>
      <c r="R251" s="29"/>
      <c r="S251" s="29"/>
      <c r="T251" s="476"/>
      <c r="U251" s="29"/>
      <c r="V251" s="2"/>
      <c r="W251" s="29"/>
      <c r="X251" s="2"/>
      <c r="Y251" s="29"/>
    </row>
    <row x14ac:dyDescent="0.25" r="252" customHeight="1" ht="15.75">
      <c r="A252" s="502"/>
      <c r="B252" s="34"/>
      <c r="C252" s="34"/>
      <c r="D252" s="34"/>
      <c r="E252" s="34"/>
      <c r="F252" s="34"/>
      <c r="G252" s="34"/>
      <c r="H252" s="34"/>
      <c r="I252" s="29"/>
      <c r="J252" s="29"/>
      <c r="K252" s="29"/>
      <c r="L252" s="29"/>
      <c r="M252" s="34"/>
      <c r="N252" s="34"/>
      <c r="O252" s="29"/>
      <c r="P252" s="29"/>
      <c r="Q252" s="29"/>
      <c r="R252" s="29"/>
      <c r="S252" s="29"/>
      <c r="T252" s="476"/>
      <c r="U252" s="29"/>
      <c r="V252" s="2"/>
      <c r="W252" s="29"/>
      <c r="X252" s="2"/>
      <c r="Y252" s="29"/>
    </row>
    <row x14ac:dyDescent="0.25" r="253" customHeight="1" ht="15.75">
      <c r="A253" s="502"/>
      <c r="B253" s="34"/>
      <c r="C253" s="34"/>
      <c r="D253" s="34"/>
      <c r="E253" s="34"/>
      <c r="F253" s="34"/>
      <c r="G253" s="34"/>
      <c r="H253" s="34"/>
      <c r="I253" s="29"/>
      <c r="J253" s="29"/>
      <c r="K253" s="29"/>
      <c r="L253" s="29"/>
      <c r="M253" s="34"/>
      <c r="N253" s="34"/>
      <c r="O253" s="29"/>
      <c r="P253" s="29"/>
      <c r="Q253" s="29"/>
      <c r="R253" s="29"/>
      <c r="S253" s="29"/>
      <c r="T253" s="476"/>
      <c r="U253" s="29"/>
      <c r="V253" s="2"/>
      <c r="W253" s="29"/>
      <c r="X253" s="2"/>
      <c r="Y253" s="29"/>
    </row>
    <row x14ac:dyDescent="0.25" r="254" customHeight="1" ht="15.75">
      <c r="A254" s="502"/>
      <c r="B254" s="34"/>
      <c r="C254" s="34"/>
      <c r="D254" s="34"/>
      <c r="E254" s="34"/>
      <c r="F254" s="34"/>
      <c r="G254" s="34"/>
      <c r="H254" s="34"/>
      <c r="I254" s="29"/>
      <c r="J254" s="29"/>
      <c r="K254" s="29"/>
      <c r="L254" s="29"/>
      <c r="M254" s="34"/>
      <c r="N254" s="34"/>
      <c r="O254" s="29"/>
      <c r="P254" s="29"/>
      <c r="Q254" s="29"/>
      <c r="R254" s="29"/>
      <c r="S254" s="29"/>
      <c r="T254" s="476"/>
      <c r="U254" s="29"/>
      <c r="V254" s="2"/>
      <c r="W254" s="29"/>
      <c r="X254" s="2"/>
      <c r="Y254" s="29"/>
    </row>
    <row x14ac:dyDescent="0.25" r="255" customHeight="1" ht="15.75">
      <c r="A255" s="502"/>
      <c r="B255" s="34"/>
      <c r="C255" s="34"/>
      <c r="D255" s="34"/>
      <c r="E255" s="34"/>
      <c r="F255" s="34"/>
      <c r="G255" s="34"/>
      <c r="H255" s="34"/>
      <c r="I255" s="29"/>
      <c r="J255" s="29"/>
      <c r="K255" s="29"/>
      <c r="L255" s="29"/>
      <c r="M255" s="34"/>
      <c r="N255" s="34"/>
      <c r="O255" s="29"/>
      <c r="P255" s="29"/>
      <c r="Q255" s="29"/>
      <c r="R255" s="29"/>
      <c r="S255" s="29"/>
      <c r="T255" s="476"/>
      <c r="U255" s="29"/>
      <c r="V255" s="2"/>
      <c r="W255" s="29"/>
      <c r="X255" s="2"/>
      <c r="Y255" s="29"/>
    </row>
    <row x14ac:dyDescent="0.25" r="256" customHeight="1" ht="15.75">
      <c r="A256" s="502"/>
      <c r="B256" s="34"/>
      <c r="C256" s="34"/>
      <c r="D256" s="34"/>
      <c r="E256" s="34"/>
      <c r="F256" s="34"/>
      <c r="G256" s="34"/>
      <c r="H256" s="34"/>
      <c r="I256" s="29"/>
      <c r="J256" s="29"/>
      <c r="K256" s="29"/>
      <c r="L256" s="29"/>
      <c r="M256" s="34"/>
      <c r="N256" s="34"/>
      <c r="O256" s="29"/>
      <c r="P256" s="29"/>
      <c r="Q256" s="29"/>
      <c r="R256" s="29"/>
      <c r="S256" s="29"/>
      <c r="T256" s="476"/>
      <c r="U256" s="29"/>
      <c r="V256" s="2"/>
      <c r="W256" s="29"/>
      <c r="X256" s="2"/>
      <c r="Y256" s="29"/>
    </row>
    <row x14ac:dyDescent="0.25" r="257" customHeight="1" ht="15.75">
      <c r="A257" s="502"/>
      <c r="B257" s="34"/>
      <c r="C257" s="34"/>
      <c r="D257" s="34"/>
      <c r="E257" s="34"/>
      <c r="F257" s="34"/>
      <c r="G257" s="34"/>
      <c r="H257" s="34"/>
      <c r="I257" s="29"/>
      <c r="J257" s="29"/>
      <c r="K257" s="29"/>
      <c r="L257" s="29"/>
      <c r="M257" s="34"/>
      <c r="N257" s="34"/>
      <c r="O257" s="29"/>
      <c r="P257" s="29"/>
      <c r="Q257" s="29"/>
      <c r="R257" s="29"/>
      <c r="S257" s="29"/>
      <c r="T257" s="476"/>
      <c r="U257" s="29"/>
      <c r="V257" s="2"/>
      <c r="W257" s="29"/>
      <c r="X257" s="2"/>
      <c r="Y257" s="29"/>
    </row>
    <row x14ac:dyDescent="0.25" r="258" customHeight="1" ht="15.75">
      <c r="A258" s="502"/>
      <c r="B258" s="34"/>
      <c r="C258" s="34"/>
      <c r="D258" s="34"/>
      <c r="E258" s="34"/>
      <c r="F258" s="34"/>
      <c r="G258" s="34"/>
      <c r="H258" s="34"/>
      <c r="I258" s="29"/>
      <c r="J258" s="29"/>
      <c r="K258" s="29"/>
      <c r="L258" s="29"/>
      <c r="M258" s="34"/>
      <c r="N258" s="34"/>
      <c r="O258" s="29"/>
      <c r="P258" s="29"/>
      <c r="Q258" s="29"/>
      <c r="R258" s="29"/>
      <c r="S258" s="29"/>
      <c r="T258" s="476"/>
      <c r="U258" s="29"/>
      <c r="V258" s="2"/>
      <c r="W258" s="29"/>
      <c r="X258" s="2"/>
      <c r="Y258" s="29"/>
    </row>
    <row x14ac:dyDescent="0.25" r="259" customHeight="1" ht="15.75">
      <c r="A259" s="502"/>
      <c r="B259" s="34"/>
      <c r="C259" s="34"/>
      <c r="D259" s="34"/>
      <c r="E259" s="34"/>
      <c r="F259" s="34"/>
      <c r="G259" s="34"/>
      <c r="H259" s="34"/>
      <c r="I259" s="29"/>
      <c r="J259" s="29"/>
      <c r="K259" s="29"/>
      <c r="L259" s="29"/>
      <c r="M259" s="34"/>
      <c r="N259" s="34"/>
      <c r="O259" s="29"/>
      <c r="P259" s="29"/>
      <c r="Q259" s="29"/>
      <c r="R259" s="29"/>
      <c r="S259" s="29"/>
      <c r="T259" s="476"/>
      <c r="U259" s="29"/>
      <c r="V259" s="2"/>
      <c r="W259" s="29"/>
      <c r="X259" s="2"/>
      <c r="Y259" s="29"/>
    </row>
    <row x14ac:dyDescent="0.25" r="260" customHeight="1" ht="15.75">
      <c r="A260" s="502"/>
      <c r="B260" s="34"/>
      <c r="C260" s="34"/>
      <c r="D260" s="34"/>
      <c r="E260" s="34"/>
      <c r="F260" s="34"/>
      <c r="G260" s="34"/>
      <c r="H260" s="34"/>
      <c r="I260" s="29"/>
      <c r="J260" s="29"/>
      <c r="K260" s="29"/>
      <c r="L260" s="29"/>
      <c r="M260" s="34"/>
      <c r="N260" s="34"/>
      <c r="O260" s="29"/>
      <c r="P260" s="29"/>
      <c r="Q260" s="29"/>
      <c r="R260" s="29"/>
      <c r="S260" s="29"/>
      <c r="T260" s="476"/>
      <c r="U260" s="29"/>
      <c r="V260" s="2"/>
      <c r="W260" s="29"/>
      <c r="X260" s="2"/>
      <c r="Y260" s="29"/>
    </row>
    <row x14ac:dyDescent="0.25" r="261" customHeight="1" ht="15.75">
      <c r="A261" s="502"/>
      <c r="B261" s="34"/>
      <c r="C261" s="34"/>
      <c r="D261" s="34"/>
      <c r="E261" s="34"/>
      <c r="F261" s="34"/>
      <c r="G261" s="34"/>
      <c r="H261" s="34"/>
      <c r="I261" s="29"/>
      <c r="J261" s="29"/>
      <c r="K261" s="29"/>
      <c r="L261" s="29"/>
      <c r="M261" s="34"/>
      <c r="N261" s="34"/>
      <c r="O261" s="29"/>
      <c r="P261" s="29"/>
      <c r="Q261" s="29"/>
      <c r="R261" s="29"/>
      <c r="S261" s="29"/>
      <c r="T261" s="476"/>
      <c r="U261" s="29"/>
      <c r="V261" s="2"/>
      <c r="W261" s="29"/>
      <c r="X261" s="2"/>
      <c r="Y261" s="29"/>
    </row>
    <row x14ac:dyDescent="0.25" r="262" customHeight="1" ht="15.75">
      <c r="A262" s="502"/>
      <c r="B262" s="34"/>
      <c r="C262" s="34"/>
      <c r="D262" s="34"/>
      <c r="E262" s="34"/>
      <c r="F262" s="34"/>
      <c r="G262" s="34"/>
      <c r="H262" s="34"/>
      <c r="I262" s="29"/>
      <c r="J262" s="29"/>
      <c r="K262" s="29"/>
      <c r="L262" s="29"/>
      <c r="M262" s="34"/>
      <c r="N262" s="34"/>
      <c r="O262" s="29"/>
      <c r="P262" s="29"/>
      <c r="Q262" s="29"/>
      <c r="R262" s="29"/>
      <c r="S262" s="29"/>
      <c r="T262" s="476"/>
      <c r="U262" s="29"/>
      <c r="V262" s="2"/>
      <c r="W262" s="29"/>
      <c r="X262" s="2"/>
      <c r="Y262" s="29"/>
    </row>
    <row x14ac:dyDescent="0.25" r="263" customHeight="1" ht="15.75">
      <c r="A263" s="502"/>
      <c r="B263" s="34"/>
      <c r="C263" s="34"/>
      <c r="D263" s="34"/>
      <c r="E263" s="34"/>
      <c r="F263" s="34"/>
      <c r="G263" s="34"/>
      <c r="H263" s="34"/>
      <c r="I263" s="29"/>
      <c r="J263" s="29"/>
      <c r="K263" s="29"/>
      <c r="L263" s="29"/>
      <c r="M263" s="34"/>
      <c r="N263" s="34"/>
      <c r="O263" s="29"/>
      <c r="P263" s="29"/>
      <c r="Q263" s="29"/>
      <c r="R263" s="29"/>
      <c r="S263" s="29"/>
      <c r="T263" s="476"/>
      <c r="U263" s="29"/>
      <c r="V263" s="2"/>
      <c r="W263" s="29"/>
      <c r="X263" s="2"/>
      <c r="Y263" s="29"/>
    </row>
    <row x14ac:dyDescent="0.25" r="264" customHeight="1" ht="15.75">
      <c r="A264" s="502"/>
      <c r="B264" s="34"/>
      <c r="C264" s="34"/>
      <c r="D264" s="34"/>
      <c r="E264" s="34"/>
      <c r="F264" s="34"/>
      <c r="G264" s="34"/>
      <c r="H264" s="34"/>
      <c r="I264" s="29"/>
      <c r="J264" s="29"/>
      <c r="K264" s="29"/>
      <c r="L264" s="29"/>
      <c r="M264" s="34"/>
      <c r="N264" s="34"/>
      <c r="O264" s="29"/>
      <c r="P264" s="29"/>
      <c r="Q264" s="29"/>
      <c r="R264" s="29"/>
      <c r="S264" s="29"/>
      <c r="T264" s="476"/>
      <c r="U264" s="29"/>
      <c r="V264" s="2"/>
      <c r="W264" s="29"/>
      <c r="X264" s="2"/>
      <c r="Y264" s="29"/>
    </row>
    <row x14ac:dyDescent="0.25" r="265" customHeight="1" ht="15.75">
      <c r="A265" s="502"/>
      <c r="B265" s="34"/>
      <c r="C265" s="34"/>
      <c r="D265" s="34"/>
      <c r="E265" s="34"/>
      <c r="F265" s="34"/>
      <c r="G265" s="34"/>
      <c r="H265" s="34"/>
      <c r="I265" s="29"/>
      <c r="J265" s="29"/>
      <c r="K265" s="29"/>
      <c r="L265" s="29"/>
      <c r="M265" s="34"/>
      <c r="N265" s="34"/>
      <c r="O265" s="29"/>
      <c r="P265" s="29"/>
      <c r="Q265" s="29"/>
      <c r="R265" s="29"/>
      <c r="S265" s="29"/>
      <c r="T265" s="476"/>
      <c r="U265" s="29"/>
      <c r="V265" s="2"/>
      <c r="W265" s="29"/>
      <c r="X265" s="2"/>
      <c r="Y265" s="29"/>
    </row>
    <row x14ac:dyDescent="0.25" r="266" customHeight="1" ht="15.75">
      <c r="A266" s="502"/>
      <c r="B266" s="34"/>
      <c r="C266" s="34"/>
      <c r="D266" s="34"/>
      <c r="E266" s="34"/>
      <c r="F266" s="34"/>
      <c r="G266" s="34"/>
      <c r="H266" s="34"/>
      <c r="I266" s="29"/>
      <c r="J266" s="29"/>
      <c r="K266" s="29"/>
      <c r="L266" s="29"/>
      <c r="M266" s="34"/>
      <c r="N266" s="34"/>
      <c r="O266" s="29"/>
      <c r="P266" s="29"/>
      <c r="Q266" s="29"/>
      <c r="R266" s="29"/>
      <c r="S266" s="29"/>
      <c r="T266" s="476"/>
      <c r="U266" s="29"/>
      <c r="V266" s="2"/>
      <c r="W266" s="29"/>
      <c r="X266" s="2"/>
      <c r="Y266" s="29"/>
    </row>
    <row x14ac:dyDescent="0.25" r="267" customHeight="1" ht="15.75">
      <c r="A267" s="502"/>
      <c r="B267" s="34"/>
      <c r="C267" s="34"/>
      <c r="D267" s="34"/>
      <c r="E267" s="34"/>
      <c r="F267" s="34"/>
      <c r="G267" s="34"/>
      <c r="H267" s="34"/>
      <c r="I267" s="29"/>
      <c r="J267" s="29"/>
      <c r="K267" s="29"/>
      <c r="L267" s="29"/>
      <c r="M267" s="34"/>
      <c r="N267" s="34"/>
      <c r="O267" s="29"/>
      <c r="P267" s="29"/>
      <c r="Q267" s="29"/>
      <c r="R267" s="29"/>
      <c r="S267" s="29"/>
      <c r="T267" s="476"/>
      <c r="U267" s="29"/>
      <c r="V267" s="2"/>
      <c r="W267" s="29"/>
      <c r="X267" s="2"/>
      <c r="Y267" s="29"/>
    </row>
    <row x14ac:dyDescent="0.25" r="268" customHeight="1" ht="15.75">
      <c r="A268" s="502"/>
      <c r="B268" s="34"/>
      <c r="C268" s="34"/>
      <c r="D268" s="34"/>
      <c r="E268" s="34"/>
      <c r="F268" s="34"/>
      <c r="G268" s="34"/>
      <c r="H268" s="34"/>
      <c r="I268" s="29"/>
      <c r="J268" s="29"/>
      <c r="K268" s="29"/>
      <c r="L268" s="29"/>
      <c r="M268" s="34"/>
      <c r="N268" s="34"/>
      <c r="O268" s="29"/>
      <c r="P268" s="29"/>
      <c r="Q268" s="29"/>
      <c r="R268" s="29"/>
      <c r="S268" s="29"/>
      <c r="T268" s="476"/>
      <c r="U268" s="29"/>
      <c r="V268" s="2"/>
      <c r="W268" s="29"/>
      <c r="X268" s="2"/>
      <c r="Y268" s="29"/>
    </row>
    <row x14ac:dyDescent="0.25" r="269" customHeight="1" ht="15.75">
      <c r="A269" s="502"/>
      <c r="B269" s="34"/>
      <c r="C269" s="34"/>
      <c r="D269" s="34"/>
      <c r="E269" s="34"/>
      <c r="F269" s="34"/>
      <c r="G269" s="34"/>
      <c r="H269" s="34"/>
      <c r="I269" s="29"/>
      <c r="J269" s="29"/>
      <c r="K269" s="29"/>
      <c r="L269" s="29"/>
      <c r="M269" s="34"/>
      <c r="N269" s="34"/>
      <c r="O269" s="29"/>
      <c r="P269" s="29"/>
      <c r="Q269" s="29"/>
      <c r="R269" s="29"/>
      <c r="S269" s="29"/>
      <c r="T269" s="476"/>
      <c r="U269" s="29"/>
      <c r="V269" s="2"/>
      <c r="W269" s="29"/>
      <c r="X269" s="2"/>
      <c r="Y269" s="29"/>
    </row>
    <row x14ac:dyDescent="0.25" r="270" customHeight="1" ht="15.75">
      <c r="A270" s="502"/>
      <c r="B270" s="34"/>
      <c r="C270" s="34"/>
      <c r="D270" s="34"/>
      <c r="E270" s="34"/>
      <c r="F270" s="34"/>
      <c r="G270" s="34"/>
      <c r="H270" s="34"/>
      <c r="I270" s="29"/>
      <c r="J270" s="29"/>
      <c r="K270" s="29"/>
      <c r="L270" s="29"/>
      <c r="M270" s="34"/>
      <c r="N270" s="34"/>
      <c r="O270" s="29"/>
      <c r="P270" s="29"/>
      <c r="Q270" s="29"/>
      <c r="R270" s="29"/>
      <c r="S270" s="29"/>
      <c r="T270" s="476"/>
      <c r="U270" s="29"/>
      <c r="V270" s="2"/>
      <c r="W270" s="29"/>
      <c r="X270" s="2"/>
      <c r="Y270" s="29"/>
    </row>
    <row x14ac:dyDescent="0.25" r="271" customHeight="1" ht="15.75">
      <c r="A271" s="502"/>
      <c r="B271" s="34"/>
      <c r="C271" s="34"/>
      <c r="D271" s="34"/>
      <c r="E271" s="34"/>
      <c r="F271" s="34"/>
      <c r="G271" s="34"/>
      <c r="H271" s="34"/>
      <c r="I271" s="29"/>
      <c r="J271" s="29"/>
      <c r="K271" s="29"/>
      <c r="L271" s="29"/>
      <c r="M271" s="34"/>
      <c r="N271" s="34"/>
      <c r="O271" s="29"/>
      <c r="P271" s="29"/>
      <c r="Q271" s="29"/>
      <c r="R271" s="29"/>
      <c r="S271" s="29"/>
      <c r="T271" s="476"/>
      <c r="U271" s="29"/>
      <c r="V271" s="2"/>
      <c r="W271" s="29"/>
      <c r="X271" s="2"/>
      <c r="Y271" s="29"/>
    </row>
    <row x14ac:dyDescent="0.25" r="272" customHeight="1" ht="15.75">
      <c r="A272" s="502"/>
      <c r="B272" s="34"/>
      <c r="C272" s="34"/>
      <c r="D272" s="34"/>
      <c r="E272" s="34"/>
      <c r="F272" s="34"/>
      <c r="G272" s="34"/>
      <c r="H272" s="34"/>
      <c r="I272" s="29"/>
      <c r="J272" s="29"/>
      <c r="K272" s="29"/>
      <c r="L272" s="29"/>
      <c r="M272" s="34"/>
      <c r="N272" s="34"/>
      <c r="O272" s="29"/>
      <c r="P272" s="29"/>
      <c r="Q272" s="29"/>
      <c r="R272" s="29"/>
      <c r="S272" s="29"/>
      <c r="T272" s="476"/>
      <c r="U272" s="29"/>
      <c r="V272" s="2"/>
      <c r="W272" s="29"/>
      <c r="X272" s="2"/>
      <c r="Y272" s="29"/>
    </row>
    <row x14ac:dyDescent="0.25" r="273" customHeight="1" ht="15.75">
      <c r="A273" s="502"/>
      <c r="B273" s="34"/>
      <c r="C273" s="34"/>
      <c r="D273" s="34"/>
      <c r="E273" s="34"/>
      <c r="F273" s="34"/>
      <c r="G273" s="34"/>
      <c r="H273" s="34"/>
      <c r="I273" s="29"/>
      <c r="J273" s="29"/>
      <c r="K273" s="29"/>
      <c r="L273" s="29"/>
      <c r="M273" s="34"/>
      <c r="N273" s="34"/>
      <c r="O273" s="29"/>
      <c r="P273" s="29"/>
      <c r="Q273" s="29"/>
      <c r="R273" s="29"/>
      <c r="S273" s="29"/>
      <c r="T273" s="476"/>
      <c r="U273" s="29"/>
      <c r="V273" s="2"/>
      <c r="W273" s="29"/>
      <c r="X273" s="2"/>
      <c r="Y273" s="29"/>
    </row>
    <row x14ac:dyDescent="0.25" r="274" customHeight="1" ht="15.75">
      <c r="A274" s="502"/>
      <c r="B274" s="34"/>
      <c r="C274" s="34"/>
      <c r="D274" s="34"/>
      <c r="E274" s="34"/>
      <c r="F274" s="34"/>
      <c r="G274" s="34"/>
      <c r="H274" s="34"/>
      <c r="I274" s="29"/>
      <c r="J274" s="29"/>
      <c r="K274" s="29"/>
      <c r="L274" s="29"/>
      <c r="M274" s="34"/>
      <c r="N274" s="34"/>
      <c r="O274" s="29"/>
      <c r="P274" s="29"/>
      <c r="Q274" s="29"/>
      <c r="R274" s="29"/>
      <c r="S274" s="29"/>
      <c r="T274" s="476"/>
      <c r="U274" s="29"/>
      <c r="V274" s="2"/>
      <c r="W274" s="29"/>
      <c r="X274" s="2"/>
      <c r="Y274" s="29"/>
    </row>
    <row x14ac:dyDescent="0.25" r="275" customHeight="1" ht="15.75">
      <c r="A275" s="502"/>
      <c r="B275" s="34"/>
      <c r="C275" s="34"/>
      <c r="D275" s="34"/>
      <c r="E275" s="34"/>
      <c r="F275" s="34"/>
      <c r="G275" s="34"/>
      <c r="H275" s="34"/>
      <c r="I275" s="29"/>
      <c r="J275" s="29"/>
      <c r="K275" s="29"/>
      <c r="L275" s="29"/>
      <c r="M275" s="34"/>
      <c r="N275" s="34"/>
      <c r="O275" s="29"/>
      <c r="P275" s="29"/>
      <c r="Q275" s="29"/>
      <c r="R275" s="29"/>
      <c r="S275" s="29"/>
      <c r="T275" s="476"/>
      <c r="U275" s="29"/>
      <c r="V275" s="2"/>
      <c r="W275" s="29"/>
      <c r="X275" s="2"/>
      <c r="Y275" s="29"/>
    </row>
    <row x14ac:dyDescent="0.25" r="276" customHeight="1" ht="15.75">
      <c r="A276" s="502"/>
      <c r="B276" s="34"/>
      <c r="C276" s="34"/>
      <c r="D276" s="34"/>
      <c r="E276" s="34"/>
      <c r="F276" s="34"/>
      <c r="G276" s="34"/>
      <c r="H276" s="34"/>
      <c r="I276" s="29"/>
      <c r="J276" s="29"/>
      <c r="K276" s="29"/>
      <c r="L276" s="29"/>
      <c r="M276" s="34"/>
      <c r="N276" s="34"/>
      <c r="O276" s="29"/>
      <c r="P276" s="29"/>
      <c r="Q276" s="29"/>
      <c r="R276" s="29"/>
      <c r="S276" s="29"/>
      <c r="T276" s="476"/>
      <c r="U276" s="29"/>
      <c r="V276" s="2"/>
      <c r="W276" s="29"/>
      <c r="X276" s="2"/>
      <c r="Y276" s="29"/>
    </row>
    <row x14ac:dyDescent="0.25" r="277" customHeight="1" ht="15.75">
      <c r="A277" s="502"/>
      <c r="B277" s="34"/>
      <c r="C277" s="34"/>
      <c r="D277" s="34"/>
      <c r="E277" s="34"/>
      <c r="F277" s="34"/>
      <c r="G277" s="34"/>
      <c r="H277" s="34"/>
      <c r="I277" s="29"/>
      <c r="J277" s="29"/>
      <c r="K277" s="29"/>
      <c r="L277" s="29"/>
      <c r="M277" s="34"/>
      <c r="N277" s="34"/>
      <c r="O277" s="29"/>
      <c r="P277" s="29"/>
      <c r="Q277" s="29"/>
      <c r="R277" s="29"/>
      <c r="S277" s="29"/>
      <c r="T277" s="476"/>
      <c r="U277" s="29"/>
      <c r="V277" s="2"/>
      <c r="W277" s="29"/>
      <c r="X277" s="2"/>
      <c r="Y277" s="29"/>
    </row>
    <row x14ac:dyDescent="0.25" r="278" customHeight="1" ht="15.75">
      <c r="A278" s="502"/>
      <c r="B278" s="34"/>
      <c r="C278" s="34"/>
      <c r="D278" s="34"/>
      <c r="E278" s="34"/>
      <c r="F278" s="34"/>
      <c r="G278" s="34"/>
      <c r="H278" s="34"/>
      <c r="I278" s="29"/>
      <c r="J278" s="29"/>
      <c r="K278" s="29"/>
      <c r="L278" s="29"/>
      <c r="M278" s="34"/>
      <c r="N278" s="34"/>
      <c r="O278" s="29"/>
      <c r="P278" s="29"/>
      <c r="Q278" s="29"/>
      <c r="R278" s="29"/>
      <c r="S278" s="29"/>
      <c r="T278" s="476"/>
      <c r="U278" s="29"/>
      <c r="V278" s="2"/>
      <c r="W278" s="29"/>
      <c r="X278" s="2"/>
      <c r="Y278" s="29"/>
    </row>
    <row x14ac:dyDescent="0.25" r="279" customHeight="1" ht="15.75">
      <c r="A279" s="502"/>
      <c r="B279" s="34"/>
      <c r="C279" s="34"/>
      <c r="D279" s="34"/>
      <c r="E279" s="34"/>
      <c r="F279" s="34"/>
      <c r="G279" s="34"/>
      <c r="H279" s="34"/>
      <c r="I279" s="29"/>
      <c r="J279" s="29"/>
      <c r="K279" s="29"/>
      <c r="L279" s="29"/>
      <c r="M279" s="34"/>
      <c r="N279" s="34"/>
      <c r="O279" s="29"/>
      <c r="P279" s="29"/>
      <c r="Q279" s="29"/>
      <c r="R279" s="29"/>
      <c r="S279" s="29"/>
      <c r="T279" s="476"/>
      <c r="U279" s="29"/>
      <c r="V279" s="2"/>
      <c r="W279" s="29"/>
      <c r="X279" s="2"/>
      <c r="Y279" s="29"/>
    </row>
    <row x14ac:dyDescent="0.25" r="280" customHeight="1" ht="15.75">
      <c r="A280" s="502"/>
      <c r="B280" s="34"/>
      <c r="C280" s="34"/>
      <c r="D280" s="34"/>
      <c r="E280" s="34"/>
      <c r="F280" s="34"/>
      <c r="G280" s="34"/>
      <c r="H280" s="34"/>
      <c r="I280" s="29"/>
      <c r="J280" s="29"/>
      <c r="K280" s="29"/>
      <c r="L280" s="29"/>
      <c r="M280" s="34"/>
      <c r="N280" s="34"/>
      <c r="O280" s="29"/>
      <c r="P280" s="29"/>
      <c r="Q280" s="29"/>
      <c r="R280" s="29"/>
      <c r="S280" s="29"/>
      <c r="T280" s="476"/>
      <c r="U280" s="29"/>
      <c r="V280" s="2"/>
      <c r="W280" s="29"/>
      <c r="X280" s="2"/>
      <c r="Y280" s="29"/>
    </row>
    <row x14ac:dyDescent="0.25" r="281" customHeight="1" ht="15.75">
      <c r="A281" s="502"/>
      <c r="B281" s="34"/>
      <c r="C281" s="34"/>
      <c r="D281" s="34"/>
      <c r="E281" s="34"/>
      <c r="F281" s="34"/>
      <c r="G281" s="34"/>
      <c r="H281" s="34"/>
      <c r="I281" s="29"/>
      <c r="J281" s="29"/>
      <c r="K281" s="29"/>
      <c r="L281" s="29"/>
      <c r="M281" s="34"/>
      <c r="N281" s="34"/>
      <c r="O281" s="29"/>
      <c r="P281" s="29"/>
      <c r="Q281" s="29"/>
      <c r="R281" s="29"/>
      <c r="S281" s="29"/>
      <c r="T281" s="476"/>
      <c r="U281" s="29"/>
      <c r="V281" s="2"/>
      <c r="W281" s="29"/>
      <c r="X281" s="2"/>
      <c r="Y281" s="29"/>
    </row>
    <row x14ac:dyDescent="0.25" r="282" customHeight="1" ht="15.75">
      <c r="A282" s="502"/>
      <c r="B282" s="34"/>
      <c r="C282" s="34"/>
      <c r="D282" s="34"/>
      <c r="E282" s="34"/>
      <c r="F282" s="34"/>
      <c r="G282" s="34"/>
      <c r="H282" s="34"/>
      <c r="I282" s="29"/>
      <c r="J282" s="29"/>
      <c r="K282" s="29"/>
      <c r="L282" s="29"/>
      <c r="M282" s="34"/>
      <c r="N282" s="34"/>
      <c r="O282" s="29"/>
      <c r="P282" s="29"/>
      <c r="Q282" s="29"/>
      <c r="R282" s="29"/>
      <c r="S282" s="29"/>
      <c r="T282" s="476"/>
      <c r="U282" s="29"/>
      <c r="V282" s="2"/>
      <c r="W282" s="29"/>
      <c r="X282" s="2"/>
      <c r="Y282" s="29"/>
    </row>
    <row x14ac:dyDescent="0.25" r="283" customHeight="1" ht="15.75">
      <c r="A283" s="502"/>
      <c r="B283" s="34"/>
      <c r="C283" s="34"/>
      <c r="D283" s="34"/>
      <c r="E283" s="34"/>
      <c r="F283" s="34"/>
      <c r="G283" s="34"/>
      <c r="H283" s="34"/>
      <c r="I283" s="29"/>
      <c r="J283" s="29"/>
      <c r="K283" s="29"/>
      <c r="L283" s="29"/>
      <c r="M283" s="34"/>
      <c r="N283" s="34"/>
      <c r="O283" s="29"/>
      <c r="P283" s="29"/>
      <c r="Q283" s="29"/>
      <c r="R283" s="29"/>
      <c r="S283" s="29"/>
      <c r="T283" s="476"/>
      <c r="U283" s="29"/>
      <c r="V283" s="2"/>
      <c r="W283" s="29"/>
      <c r="X283" s="2"/>
      <c r="Y283" s="29"/>
    </row>
    <row x14ac:dyDescent="0.25" r="284" customHeight="1" ht="15.75">
      <c r="A284" s="502"/>
      <c r="B284" s="34"/>
      <c r="C284" s="34"/>
      <c r="D284" s="34"/>
      <c r="E284" s="34"/>
      <c r="F284" s="34"/>
      <c r="G284" s="34"/>
      <c r="H284" s="34"/>
      <c r="I284" s="29"/>
      <c r="J284" s="29"/>
      <c r="K284" s="29"/>
      <c r="L284" s="29"/>
      <c r="M284" s="34"/>
      <c r="N284" s="34"/>
      <c r="O284" s="29"/>
      <c r="P284" s="29"/>
      <c r="Q284" s="29"/>
      <c r="R284" s="29"/>
      <c r="S284" s="29"/>
      <c r="T284" s="476"/>
      <c r="U284" s="29"/>
      <c r="V284" s="2"/>
      <c r="W284" s="29"/>
      <c r="X284" s="2"/>
      <c r="Y284" s="29"/>
    </row>
    <row x14ac:dyDescent="0.25" r="285" customHeight="1" ht="15.75">
      <c r="A285" s="502"/>
      <c r="B285" s="34"/>
      <c r="C285" s="34"/>
      <c r="D285" s="34"/>
      <c r="E285" s="34"/>
      <c r="F285" s="34"/>
      <c r="G285" s="34"/>
      <c r="H285" s="34"/>
      <c r="I285" s="29"/>
      <c r="J285" s="29"/>
      <c r="K285" s="29"/>
      <c r="L285" s="29"/>
      <c r="M285" s="34"/>
      <c r="N285" s="34"/>
      <c r="O285" s="29"/>
      <c r="P285" s="29"/>
      <c r="Q285" s="29"/>
      <c r="R285" s="29"/>
      <c r="S285" s="29"/>
      <c r="T285" s="476"/>
      <c r="U285" s="29"/>
      <c r="V285" s="2"/>
      <c r="W285" s="29"/>
      <c r="X285" s="2"/>
      <c r="Y285" s="29"/>
    </row>
    <row x14ac:dyDescent="0.25" r="286" customHeight="1" ht="15.75">
      <c r="A286" s="502"/>
      <c r="B286" s="34"/>
      <c r="C286" s="34"/>
      <c r="D286" s="34"/>
      <c r="E286" s="34"/>
      <c r="F286" s="34"/>
      <c r="G286" s="34"/>
      <c r="H286" s="34"/>
      <c r="I286" s="29"/>
      <c r="J286" s="29"/>
      <c r="K286" s="29"/>
      <c r="L286" s="29"/>
      <c r="M286" s="34"/>
      <c r="N286" s="34"/>
      <c r="O286" s="29"/>
      <c r="P286" s="29"/>
      <c r="Q286" s="29"/>
      <c r="R286" s="29"/>
      <c r="S286" s="29"/>
      <c r="T286" s="476"/>
      <c r="U286" s="29"/>
      <c r="V286" s="2"/>
      <c r="W286" s="29"/>
      <c r="X286" s="2"/>
      <c r="Y286" s="29"/>
    </row>
    <row x14ac:dyDescent="0.25" r="287" customHeight="1" ht="15.75">
      <c r="A287" s="502"/>
      <c r="B287" s="34"/>
      <c r="C287" s="34"/>
      <c r="D287" s="34"/>
      <c r="E287" s="34"/>
      <c r="F287" s="34"/>
      <c r="G287" s="34"/>
      <c r="H287" s="34"/>
      <c r="I287" s="29"/>
      <c r="J287" s="29"/>
      <c r="K287" s="29"/>
      <c r="L287" s="29"/>
      <c r="M287" s="34"/>
      <c r="N287" s="34"/>
      <c r="O287" s="29"/>
      <c r="P287" s="29"/>
      <c r="Q287" s="29"/>
      <c r="R287" s="29"/>
      <c r="S287" s="29"/>
      <c r="T287" s="476"/>
      <c r="U287" s="29"/>
      <c r="V287" s="2"/>
      <c r="W287" s="29"/>
      <c r="X287" s="2"/>
      <c r="Y287" s="29"/>
    </row>
    <row x14ac:dyDescent="0.25" r="288" customHeight="1" ht="15.75">
      <c r="A288" s="502"/>
      <c r="B288" s="34"/>
      <c r="C288" s="34"/>
      <c r="D288" s="34"/>
      <c r="E288" s="34"/>
      <c r="F288" s="34"/>
      <c r="G288" s="34"/>
      <c r="H288" s="34"/>
      <c r="I288" s="29"/>
      <c r="J288" s="29"/>
      <c r="K288" s="29"/>
      <c r="L288" s="29"/>
      <c r="M288" s="34"/>
      <c r="N288" s="34"/>
      <c r="O288" s="29"/>
      <c r="P288" s="29"/>
      <c r="Q288" s="29"/>
      <c r="R288" s="29"/>
      <c r="S288" s="29"/>
      <c r="T288" s="476"/>
      <c r="U288" s="29"/>
      <c r="V288" s="2"/>
      <c r="W288" s="29"/>
      <c r="X288" s="2"/>
      <c r="Y288" s="29"/>
    </row>
    <row x14ac:dyDescent="0.25" r="289" customHeight="1" ht="15.75">
      <c r="A289" s="502"/>
      <c r="B289" s="34"/>
      <c r="C289" s="34"/>
      <c r="D289" s="34"/>
      <c r="E289" s="34"/>
      <c r="F289" s="34"/>
      <c r="G289" s="34"/>
      <c r="H289" s="34"/>
      <c r="I289" s="29"/>
      <c r="J289" s="29"/>
      <c r="K289" s="29"/>
      <c r="L289" s="29"/>
      <c r="M289" s="34"/>
      <c r="N289" s="34"/>
      <c r="O289" s="29"/>
      <c r="P289" s="29"/>
      <c r="Q289" s="29"/>
      <c r="R289" s="29"/>
      <c r="S289" s="29"/>
      <c r="T289" s="476"/>
      <c r="U289" s="29"/>
      <c r="V289" s="2"/>
      <c r="W289" s="29"/>
      <c r="X289" s="2"/>
      <c r="Y289" s="29"/>
    </row>
    <row x14ac:dyDescent="0.25" r="290" customHeight="1" ht="15.75">
      <c r="A290" s="502"/>
      <c r="B290" s="34"/>
      <c r="C290" s="34"/>
      <c r="D290" s="34"/>
      <c r="E290" s="34"/>
      <c r="F290" s="34"/>
      <c r="G290" s="34"/>
      <c r="H290" s="34"/>
      <c r="I290" s="29"/>
      <c r="J290" s="29"/>
      <c r="K290" s="29"/>
      <c r="L290" s="29"/>
      <c r="M290" s="34"/>
      <c r="N290" s="34"/>
      <c r="O290" s="29"/>
      <c r="P290" s="29"/>
      <c r="Q290" s="29"/>
      <c r="R290" s="29"/>
      <c r="S290" s="29"/>
      <c r="T290" s="476"/>
      <c r="U290" s="29"/>
      <c r="V290" s="2"/>
      <c r="W290" s="29"/>
      <c r="X290" s="2"/>
      <c r="Y290" s="29"/>
    </row>
    <row x14ac:dyDescent="0.25" r="291" customHeight="1" ht="15.75">
      <c r="A291" s="502"/>
      <c r="B291" s="34"/>
      <c r="C291" s="34"/>
      <c r="D291" s="34"/>
      <c r="E291" s="34"/>
      <c r="F291" s="34"/>
      <c r="G291" s="34"/>
      <c r="H291" s="34"/>
      <c r="I291" s="29"/>
      <c r="J291" s="29"/>
      <c r="K291" s="29"/>
      <c r="L291" s="29"/>
      <c r="M291" s="34"/>
      <c r="N291" s="34"/>
      <c r="O291" s="29"/>
      <c r="P291" s="29"/>
      <c r="Q291" s="29"/>
      <c r="R291" s="29"/>
      <c r="S291" s="29"/>
      <c r="T291" s="476"/>
      <c r="U291" s="29"/>
      <c r="V291" s="2"/>
      <c r="W291" s="29"/>
      <c r="X291" s="2"/>
      <c r="Y291" s="29"/>
    </row>
    <row x14ac:dyDescent="0.25" r="292" customHeight="1" ht="15.75">
      <c r="A292" s="502"/>
      <c r="B292" s="34"/>
      <c r="C292" s="34"/>
      <c r="D292" s="34"/>
      <c r="E292" s="34"/>
      <c r="F292" s="34"/>
      <c r="G292" s="34"/>
      <c r="H292" s="34"/>
      <c r="I292" s="29"/>
      <c r="J292" s="29"/>
      <c r="K292" s="29"/>
      <c r="L292" s="29"/>
      <c r="M292" s="34"/>
      <c r="N292" s="34"/>
      <c r="O292" s="29"/>
      <c r="P292" s="29"/>
      <c r="Q292" s="29"/>
      <c r="R292" s="29"/>
      <c r="S292" s="29"/>
      <c r="T292" s="476"/>
      <c r="U292" s="29"/>
      <c r="V292" s="2"/>
      <c r="W292" s="29"/>
      <c r="X292" s="2"/>
      <c r="Y292" s="29"/>
    </row>
    <row x14ac:dyDescent="0.25" r="293" customHeight="1" ht="15.75">
      <c r="A293" s="502"/>
      <c r="B293" s="34"/>
      <c r="C293" s="34"/>
      <c r="D293" s="34"/>
      <c r="E293" s="34"/>
      <c r="F293" s="34"/>
      <c r="G293" s="34"/>
      <c r="H293" s="34"/>
      <c r="I293" s="29"/>
      <c r="J293" s="29"/>
      <c r="K293" s="29"/>
      <c r="L293" s="29"/>
      <c r="M293" s="34"/>
      <c r="N293" s="34"/>
      <c r="O293" s="29"/>
      <c r="P293" s="29"/>
      <c r="Q293" s="29"/>
      <c r="R293" s="29"/>
      <c r="S293" s="29"/>
      <c r="T293" s="476"/>
      <c r="U293" s="29"/>
      <c r="V293" s="2"/>
      <c r="W293" s="29"/>
      <c r="X293" s="2"/>
      <c r="Y293" s="29"/>
    </row>
    <row x14ac:dyDescent="0.25" r="294" customHeight="1" ht="15.75">
      <c r="A294" s="502"/>
      <c r="B294" s="34"/>
      <c r="C294" s="34"/>
      <c r="D294" s="34"/>
      <c r="E294" s="34"/>
      <c r="F294" s="34"/>
      <c r="G294" s="34"/>
      <c r="H294" s="34"/>
      <c r="I294" s="29"/>
      <c r="J294" s="29"/>
      <c r="K294" s="29"/>
      <c r="L294" s="29"/>
      <c r="M294" s="34"/>
      <c r="N294" s="34"/>
      <c r="O294" s="29"/>
      <c r="P294" s="29"/>
      <c r="Q294" s="29"/>
      <c r="R294" s="29"/>
      <c r="S294" s="29"/>
      <c r="T294" s="476"/>
      <c r="U294" s="29"/>
      <c r="V294" s="2"/>
      <c r="W294" s="29"/>
      <c r="X294" s="2"/>
      <c r="Y294" s="29"/>
    </row>
    <row x14ac:dyDescent="0.25" r="295" customHeight="1" ht="15.75">
      <c r="A295" s="502"/>
      <c r="B295" s="34"/>
      <c r="C295" s="34"/>
      <c r="D295" s="34"/>
      <c r="E295" s="34"/>
      <c r="F295" s="34"/>
      <c r="G295" s="34"/>
      <c r="H295" s="34"/>
      <c r="I295" s="29"/>
      <c r="J295" s="29"/>
      <c r="K295" s="29"/>
      <c r="L295" s="29"/>
      <c r="M295" s="34"/>
      <c r="N295" s="34"/>
      <c r="O295" s="29"/>
      <c r="P295" s="29"/>
      <c r="Q295" s="29"/>
      <c r="R295" s="29"/>
      <c r="S295" s="29"/>
      <c r="T295" s="476"/>
      <c r="U295" s="29"/>
      <c r="V295" s="2"/>
      <c r="W295" s="29"/>
      <c r="X295" s="2"/>
      <c r="Y295" s="29"/>
    </row>
    <row x14ac:dyDescent="0.25" r="296" customHeight="1" ht="15.75">
      <c r="A296" s="502"/>
      <c r="B296" s="34"/>
      <c r="C296" s="34"/>
      <c r="D296" s="34"/>
      <c r="E296" s="34"/>
      <c r="F296" s="34"/>
      <c r="G296" s="34"/>
      <c r="H296" s="34"/>
      <c r="I296" s="29"/>
      <c r="J296" s="29"/>
      <c r="K296" s="29"/>
      <c r="L296" s="29"/>
      <c r="M296" s="34"/>
      <c r="N296" s="34"/>
      <c r="O296" s="29"/>
      <c r="P296" s="29"/>
      <c r="Q296" s="29"/>
      <c r="R296" s="29"/>
      <c r="S296" s="29"/>
      <c r="T296" s="476"/>
      <c r="U296" s="29"/>
      <c r="V296" s="2"/>
      <c r="W296" s="29"/>
      <c r="X296" s="2"/>
      <c r="Y296" s="29"/>
    </row>
    <row x14ac:dyDescent="0.25" r="297" customHeight="1" ht="15.75">
      <c r="A297" s="502"/>
      <c r="B297" s="34"/>
      <c r="C297" s="34"/>
      <c r="D297" s="34"/>
      <c r="E297" s="34"/>
      <c r="F297" s="34"/>
      <c r="G297" s="34"/>
      <c r="H297" s="34"/>
      <c r="I297" s="29"/>
      <c r="J297" s="29"/>
      <c r="K297" s="29"/>
      <c r="L297" s="29"/>
      <c r="M297" s="34"/>
      <c r="N297" s="34"/>
      <c r="O297" s="29"/>
      <c r="P297" s="29"/>
      <c r="Q297" s="29"/>
      <c r="R297" s="29"/>
      <c r="S297" s="29"/>
      <c r="T297" s="476"/>
      <c r="U297" s="29"/>
      <c r="V297" s="2"/>
      <c r="W297" s="29"/>
      <c r="X297" s="2"/>
      <c r="Y297" s="29"/>
    </row>
    <row x14ac:dyDescent="0.25" r="298" customHeight="1" ht="15.75">
      <c r="A298" s="502"/>
      <c r="B298" s="34"/>
      <c r="C298" s="34"/>
      <c r="D298" s="34"/>
      <c r="E298" s="34"/>
      <c r="F298" s="34"/>
      <c r="G298" s="34"/>
      <c r="H298" s="34"/>
      <c r="I298" s="29"/>
      <c r="J298" s="29"/>
      <c r="K298" s="29"/>
      <c r="L298" s="29"/>
      <c r="M298" s="34"/>
      <c r="N298" s="34"/>
      <c r="O298" s="29"/>
      <c r="P298" s="29"/>
      <c r="Q298" s="29"/>
      <c r="R298" s="29"/>
      <c r="S298" s="29"/>
      <c r="T298" s="476"/>
      <c r="U298" s="29"/>
      <c r="V298" s="2"/>
      <c r="W298" s="29"/>
      <c r="X298" s="2"/>
      <c r="Y298" s="29"/>
    </row>
    <row x14ac:dyDescent="0.25" r="299" customHeight="1" ht="15.75">
      <c r="A299" s="502"/>
      <c r="B299" s="34"/>
      <c r="C299" s="34"/>
      <c r="D299" s="34"/>
      <c r="E299" s="34"/>
      <c r="F299" s="34"/>
      <c r="G299" s="34"/>
      <c r="H299" s="34"/>
      <c r="I299" s="29"/>
      <c r="J299" s="29"/>
      <c r="K299" s="29"/>
      <c r="L299" s="29"/>
      <c r="M299" s="34"/>
      <c r="N299" s="34"/>
      <c r="O299" s="29"/>
      <c r="P299" s="29"/>
      <c r="Q299" s="29"/>
      <c r="R299" s="29"/>
      <c r="S299" s="29"/>
      <c r="T299" s="476"/>
      <c r="U299" s="29"/>
      <c r="V299" s="2"/>
      <c r="W299" s="29"/>
      <c r="X299" s="2"/>
      <c r="Y299" s="29"/>
    </row>
    <row x14ac:dyDescent="0.25" r="300" customHeight="1" ht="15.75">
      <c r="A300" s="502"/>
      <c r="B300" s="34"/>
      <c r="C300" s="34"/>
      <c r="D300" s="34"/>
      <c r="E300" s="34"/>
      <c r="F300" s="34"/>
      <c r="G300" s="34"/>
      <c r="H300" s="34"/>
      <c r="I300" s="29"/>
      <c r="J300" s="29"/>
      <c r="K300" s="29"/>
      <c r="L300" s="29"/>
      <c r="M300" s="34"/>
      <c r="N300" s="34"/>
      <c r="O300" s="29"/>
      <c r="P300" s="29"/>
      <c r="Q300" s="29"/>
      <c r="R300" s="29"/>
      <c r="S300" s="29"/>
      <c r="T300" s="476"/>
      <c r="U300" s="29"/>
      <c r="V300" s="2"/>
      <c r="W300" s="29"/>
      <c r="X300" s="2"/>
      <c r="Y300" s="29"/>
    </row>
    <row x14ac:dyDescent="0.25" r="301" customHeight="1" ht="15.75">
      <c r="A301" s="502"/>
      <c r="B301" s="34"/>
      <c r="C301" s="34"/>
      <c r="D301" s="34"/>
      <c r="E301" s="34"/>
      <c r="F301" s="34"/>
      <c r="G301" s="34"/>
      <c r="H301" s="34"/>
      <c r="I301" s="29"/>
      <c r="J301" s="29"/>
      <c r="K301" s="29"/>
      <c r="L301" s="29"/>
      <c r="M301" s="34"/>
      <c r="N301" s="34"/>
      <c r="O301" s="29"/>
      <c r="P301" s="29"/>
      <c r="Q301" s="29"/>
      <c r="R301" s="29"/>
      <c r="S301" s="29"/>
      <c r="T301" s="476"/>
      <c r="U301" s="29"/>
      <c r="V301" s="2"/>
      <c r="W301" s="29"/>
      <c r="X301" s="2"/>
      <c r="Y301" s="29"/>
    </row>
    <row x14ac:dyDescent="0.25" r="302" customHeight="1" ht="15.75">
      <c r="A302" s="502"/>
      <c r="B302" s="34"/>
      <c r="C302" s="34"/>
      <c r="D302" s="34"/>
      <c r="E302" s="34"/>
      <c r="F302" s="34"/>
      <c r="G302" s="34"/>
      <c r="H302" s="34"/>
      <c r="I302" s="29"/>
      <c r="J302" s="29"/>
      <c r="K302" s="29"/>
      <c r="L302" s="29"/>
      <c r="M302" s="34"/>
      <c r="N302" s="34"/>
      <c r="O302" s="29"/>
      <c r="P302" s="29"/>
      <c r="Q302" s="29"/>
      <c r="R302" s="29"/>
      <c r="S302" s="29"/>
      <c r="T302" s="476"/>
      <c r="U302" s="29"/>
      <c r="V302" s="2"/>
      <c r="W302" s="29"/>
      <c r="X302" s="2"/>
      <c r="Y302" s="29"/>
    </row>
    <row x14ac:dyDescent="0.25" r="303" customHeight="1" ht="15.75">
      <c r="A303" s="502"/>
      <c r="B303" s="34"/>
      <c r="C303" s="34"/>
      <c r="D303" s="34"/>
      <c r="E303" s="34"/>
      <c r="F303" s="34"/>
      <c r="G303" s="34"/>
      <c r="H303" s="34"/>
      <c r="I303" s="29"/>
      <c r="J303" s="29"/>
      <c r="K303" s="29"/>
      <c r="L303" s="29"/>
      <c r="M303" s="34"/>
      <c r="N303" s="34"/>
      <c r="O303" s="29"/>
      <c r="P303" s="29"/>
      <c r="Q303" s="29"/>
      <c r="R303" s="29"/>
      <c r="S303" s="29"/>
      <c r="T303" s="476"/>
      <c r="U303" s="29"/>
      <c r="V303" s="2"/>
      <c r="W303" s="29"/>
      <c r="X303" s="2"/>
      <c r="Y303" s="29"/>
    </row>
    <row x14ac:dyDescent="0.25" r="304" customHeight="1" ht="15.75">
      <c r="A304" s="502"/>
      <c r="B304" s="34"/>
      <c r="C304" s="34"/>
      <c r="D304" s="34"/>
      <c r="E304" s="34"/>
      <c r="F304" s="34"/>
      <c r="G304" s="34"/>
      <c r="H304" s="34"/>
      <c r="I304" s="29"/>
      <c r="J304" s="29"/>
      <c r="K304" s="29"/>
      <c r="L304" s="29"/>
      <c r="M304" s="34"/>
      <c r="N304" s="34"/>
      <c r="O304" s="29"/>
      <c r="P304" s="29"/>
      <c r="Q304" s="29"/>
      <c r="R304" s="29"/>
      <c r="S304" s="29"/>
      <c r="T304" s="476"/>
      <c r="U304" s="29"/>
      <c r="V304" s="2"/>
      <c r="W304" s="29"/>
      <c r="X304" s="2"/>
      <c r="Y304" s="29"/>
    </row>
    <row x14ac:dyDescent="0.25" r="305" customHeight="1" ht="15.75">
      <c r="A305" s="502"/>
      <c r="B305" s="34"/>
      <c r="C305" s="34"/>
      <c r="D305" s="34"/>
      <c r="E305" s="34"/>
      <c r="F305" s="34"/>
      <c r="G305" s="34"/>
      <c r="H305" s="34"/>
      <c r="I305" s="29"/>
      <c r="J305" s="29"/>
      <c r="K305" s="29"/>
      <c r="L305" s="29"/>
      <c r="M305" s="34"/>
      <c r="N305" s="34"/>
      <c r="O305" s="29"/>
      <c r="P305" s="29"/>
      <c r="Q305" s="29"/>
      <c r="R305" s="29"/>
      <c r="S305" s="29"/>
      <c r="T305" s="476"/>
      <c r="U305" s="29"/>
      <c r="V305" s="2"/>
      <c r="W305" s="29"/>
      <c r="X305" s="2"/>
      <c r="Y305" s="29"/>
    </row>
    <row x14ac:dyDescent="0.25" r="306" customHeight="1" ht="15.75">
      <c r="A306" s="502"/>
      <c r="B306" s="34"/>
      <c r="C306" s="34"/>
      <c r="D306" s="34"/>
      <c r="E306" s="34"/>
      <c r="F306" s="34"/>
      <c r="G306" s="34"/>
      <c r="H306" s="34"/>
      <c r="I306" s="29"/>
      <c r="J306" s="29"/>
      <c r="K306" s="29"/>
      <c r="L306" s="29"/>
      <c r="M306" s="34"/>
      <c r="N306" s="34"/>
      <c r="O306" s="29"/>
      <c r="P306" s="29"/>
      <c r="Q306" s="29"/>
      <c r="R306" s="29"/>
      <c r="S306" s="29"/>
      <c r="T306" s="476"/>
      <c r="U306" s="29"/>
      <c r="V306" s="2"/>
      <c r="W306" s="29"/>
      <c r="X306" s="2"/>
      <c r="Y306" s="29"/>
    </row>
    <row x14ac:dyDescent="0.25" r="307" customHeight="1" ht="15.75">
      <c r="A307" s="502"/>
      <c r="B307" s="34"/>
      <c r="C307" s="34"/>
      <c r="D307" s="34"/>
      <c r="E307" s="34"/>
      <c r="F307" s="34"/>
      <c r="G307" s="34"/>
      <c r="H307" s="34"/>
      <c r="I307" s="29"/>
      <c r="J307" s="29"/>
      <c r="K307" s="29"/>
      <c r="L307" s="29"/>
      <c r="M307" s="34"/>
      <c r="N307" s="34"/>
      <c r="O307" s="29"/>
      <c r="P307" s="29"/>
      <c r="Q307" s="29"/>
      <c r="R307" s="29"/>
      <c r="S307" s="29"/>
      <c r="T307" s="476"/>
      <c r="U307" s="29"/>
      <c r="V307" s="2"/>
      <c r="W307" s="29"/>
      <c r="X307" s="2"/>
      <c r="Y307" s="29"/>
    </row>
    <row x14ac:dyDescent="0.25" r="308" customHeight="1" ht="15.75">
      <c r="A308" s="502"/>
      <c r="B308" s="34"/>
      <c r="C308" s="34"/>
      <c r="D308" s="34"/>
      <c r="E308" s="34"/>
      <c r="F308" s="34"/>
      <c r="G308" s="34"/>
      <c r="H308" s="34"/>
      <c r="I308" s="29"/>
      <c r="J308" s="29"/>
      <c r="K308" s="29"/>
      <c r="L308" s="29"/>
      <c r="M308" s="34"/>
      <c r="N308" s="34"/>
      <c r="O308" s="29"/>
      <c r="P308" s="29"/>
      <c r="Q308" s="29"/>
      <c r="R308" s="29"/>
      <c r="S308" s="29"/>
      <c r="T308" s="476"/>
      <c r="U308" s="29"/>
      <c r="V308" s="2"/>
      <c r="W308" s="29"/>
      <c r="X308" s="2"/>
      <c r="Y308" s="29"/>
    </row>
    <row x14ac:dyDescent="0.25" r="309" customHeight="1" ht="15.75">
      <c r="A309" s="502"/>
      <c r="B309" s="34"/>
      <c r="C309" s="34"/>
      <c r="D309" s="34"/>
      <c r="E309" s="34"/>
      <c r="F309" s="34"/>
      <c r="G309" s="34"/>
      <c r="H309" s="34"/>
      <c r="I309" s="29"/>
      <c r="J309" s="29"/>
      <c r="K309" s="29"/>
      <c r="L309" s="29"/>
      <c r="M309" s="34"/>
      <c r="N309" s="34"/>
      <c r="O309" s="29"/>
      <c r="P309" s="29"/>
      <c r="Q309" s="29"/>
      <c r="R309" s="29"/>
      <c r="S309" s="29"/>
      <c r="T309" s="476"/>
      <c r="U309" s="29"/>
      <c r="V309" s="2"/>
      <c r="W309" s="29"/>
      <c r="X309" s="2"/>
      <c r="Y309" s="29"/>
    </row>
    <row x14ac:dyDescent="0.25" r="310" customHeight="1" ht="15.75">
      <c r="A310" s="502"/>
      <c r="B310" s="34"/>
      <c r="C310" s="34"/>
      <c r="D310" s="34"/>
      <c r="E310" s="34"/>
      <c r="F310" s="34"/>
      <c r="G310" s="34"/>
      <c r="H310" s="34"/>
      <c r="I310" s="29"/>
      <c r="J310" s="29"/>
      <c r="K310" s="29"/>
      <c r="L310" s="29"/>
      <c r="M310" s="34"/>
      <c r="N310" s="34"/>
      <c r="O310" s="29"/>
      <c r="P310" s="29"/>
      <c r="Q310" s="29"/>
      <c r="R310" s="29"/>
      <c r="S310" s="29"/>
      <c r="T310" s="476"/>
      <c r="U310" s="29"/>
      <c r="V310" s="2"/>
      <c r="W310" s="29"/>
      <c r="X310" s="2"/>
      <c r="Y310" s="29"/>
    </row>
    <row x14ac:dyDescent="0.25" r="311" customHeight="1" ht="15.75">
      <c r="A311" s="502"/>
      <c r="B311" s="34"/>
      <c r="C311" s="34"/>
      <c r="D311" s="34"/>
      <c r="E311" s="34"/>
      <c r="F311" s="34"/>
      <c r="G311" s="34"/>
      <c r="H311" s="34"/>
      <c r="I311" s="29"/>
      <c r="J311" s="29"/>
      <c r="K311" s="29"/>
      <c r="L311" s="29"/>
      <c r="M311" s="34"/>
      <c r="N311" s="34"/>
      <c r="O311" s="29"/>
      <c r="P311" s="29"/>
      <c r="Q311" s="29"/>
      <c r="R311" s="29"/>
      <c r="S311" s="29"/>
      <c r="T311" s="476"/>
      <c r="U311" s="29"/>
      <c r="V311" s="2"/>
      <c r="W311" s="29"/>
      <c r="X311" s="2"/>
      <c r="Y311" s="29"/>
    </row>
    <row x14ac:dyDescent="0.25" r="312" customHeight="1" ht="15.75">
      <c r="A312" s="502"/>
      <c r="B312" s="34"/>
      <c r="C312" s="34"/>
      <c r="D312" s="34"/>
      <c r="E312" s="34"/>
      <c r="F312" s="34"/>
      <c r="G312" s="34"/>
      <c r="H312" s="34"/>
      <c r="I312" s="29"/>
      <c r="J312" s="29"/>
      <c r="K312" s="29"/>
      <c r="L312" s="29"/>
      <c r="M312" s="34"/>
      <c r="N312" s="34"/>
      <c r="O312" s="29"/>
      <c r="P312" s="29"/>
      <c r="Q312" s="29"/>
      <c r="R312" s="29"/>
      <c r="S312" s="29"/>
      <c r="T312" s="476"/>
      <c r="U312" s="29"/>
      <c r="V312" s="2"/>
      <c r="W312" s="29"/>
      <c r="X312" s="2"/>
      <c r="Y312" s="29"/>
    </row>
    <row x14ac:dyDescent="0.25" r="313" customHeight="1" ht="15.75">
      <c r="A313" s="502"/>
      <c r="B313" s="34"/>
      <c r="C313" s="34"/>
      <c r="D313" s="34"/>
      <c r="E313" s="34"/>
      <c r="F313" s="34"/>
      <c r="G313" s="34"/>
      <c r="H313" s="34"/>
      <c r="I313" s="29"/>
      <c r="J313" s="29"/>
      <c r="K313" s="29"/>
      <c r="L313" s="29"/>
      <c r="M313" s="34"/>
      <c r="N313" s="34"/>
      <c r="O313" s="29"/>
      <c r="P313" s="29"/>
      <c r="Q313" s="29"/>
      <c r="R313" s="29"/>
      <c r="S313" s="29"/>
      <c r="T313" s="476"/>
      <c r="U313" s="29"/>
      <c r="V313" s="2"/>
      <c r="W313" s="29"/>
      <c r="X313" s="2"/>
      <c r="Y313" s="29"/>
    </row>
    <row x14ac:dyDescent="0.25" r="314" customHeight="1" ht="15.75">
      <c r="A314" s="502"/>
      <c r="B314" s="34"/>
      <c r="C314" s="34"/>
      <c r="D314" s="34"/>
      <c r="E314" s="34"/>
      <c r="F314" s="34"/>
      <c r="G314" s="34"/>
      <c r="H314" s="34"/>
      <c r="I314" s="29"/>
      <c r="J314" s="29"/>
      <c r="K314" s="29"/>
      <c r="L314" s="29"/>
      <c r="M314" s="34"/>
      <c r="N314" s="34"/>
      <c r="O314" s="29"/>
      <c r="P314" s="29"/>
      <c r="Q314" s="29"/>
      <c r="R314" s="29"/>
      <c r="S314" s="29"/>
      <c r="T314" s="476"/>
      <c r="U314" s="29"/>
      <c r="V314" s="2"/>
      <c r="W314" s="29"/>
      <c r="X314" s="2"/>
      <c r="Y314" s="29"/>
    </row>
    <row x14ac:dyDescent="0.25" r="315" customHeight="1" ht="15.75">
      <c r="A315" s="502"/>
      <c r="B315" s="34"/>
      <c r="C315" s="34"/>
      <c r="D315" s="34"/>
      <c r="E315" s="34"/>
      <c r="F315" s="34"/>
      <c r="G315" s="34"/>
      <c r="H315" s="34"/>
      <c r="I315" s="29"/>
      <c r="J315" s="29"/>
      <c r="K315" s="29"/>
      <c r="L315" s="29"/>
      <c r="M315" s="34"/>
      <c r="N315" s="34"/>
      <c r="O315" s="29"/>
      <c r="P315" s="29"/>
      <c r="Q315" s="29"/>
      <c r="R315" s="29"/>
      <c r="S315" s="29"/>
      <c r="T315" s="476"/>
      <c r="U315" s="29"/>
      <c r="V315" s="2"/>
      <c r="W315" s="29"/>
      <c r="X315" s="2"/>
      <c r="Y315" s="29"/>
    </row>
    <row x14ac:dyDescent="0.25" r="316" customHeight="1" ht="15.75">
      <c r="A316" s="502"/>
      <c r="B316" s="34"/>
      <c r="C316" s="34"/>
      <c r="D316" s="34"/>
      <c r="E316" s="34"/>
      <c r="F316" s="34"/>
      <c r="G316" s="34"/>
      <c r="H316" s="34"/>
      <c r="I316" s="29"/>
      <c r="J316" s="29"/>
      <c r="K316" s="29"/>
      <c r="L316" s="29"/>
      <c r="M316" s="34"/>
      <c r="N316" s="34"/>
      <c r="O316" s="29"/>
      <c r="P316" s="29"/>
      <c r="Q316" s="29"/>
      <c r="R316" s="29"/>
      <c r="S316" s="29"/>
      <c r="T316" s="476"/>
      <c r="U316" s="29"/>
      <c r="V316" s="2"/>
      <c r="W316" s="29"/>
      <c r="X316" s="2"/>
      <c r="Y316" s="29"/>
    </row>
    <row x14ac:dyDescent="0.25" r="317" customHeight="1" ht="15.75">
      <c r="A317" s="502"/>
      <c r="B317" s="34"/>
      <c r="C317" s="34"/>
      <c r="D317" s="34"/>
      <c r="E317" s="34"/>
      <c r="F317" s="34"/>
      <c r="G317" s="34"/>
      <c r="H317" s="34"/>
      <c r="I317" s="29"/>
      <c r="J317" s="29"/>
      <c r="K317" s="29"/>
      <c r="L317" s="29"/>
      <c r="M317" s="34"/>
      <c r="N317" s="34"/>
      <c r="O317" s="29"/>
      <c r="P317" s="29"/>
      <c r="Q317" s="29"/>
      <c r="R317" s="29"/>
      <c r="S317" s="29"/>
      <c r="T317" s="476"/>
      <c r="U317" s="29"/>
      <c r="V317" s="2"/>
      <c r="W317" s="29"/>
      <c r="X317" s="2"/>
      <c r="Y317" s="29"/>
    </row>
    <row x14ac:dyDescent="0.25" r="318" customHeight="1" ht="15.75">
      <c r="A318" s="502"/>
      <c r="B318" s="34"/>
      <c r="C318" s="34"/>
      <c r="D318" s="34"/>
      <c r="E318" s="34"/>
      <c r="F318" s="34"/>
      <c r="G318" s="34"/>
      <c r="H318" s="34"/>
      <c r="I318" s="29"/>
      <c r="J318" s="29"/>
      <c r="K318" s="29"/>
      <c r="L318" s="29"/>
      <c r="M318" s="34"/>
      <c r="N318" s="34"/>
      <c r="O318" s="29"/>
      <c r="P318" s="29"/>
      <c r="Q318" s="29"/>
      <c r="R318" s="29"/>
      <c r="S318" s="29"/>
      <c r="T318" s="476"/>
      <c r="U318" s="29"/>
      <c r="V318" s="2"/>
      <c r="W318" s="29"/>
      <c r="X318" s="2"/>
      <c r="Y318" s="29"/>
    </row>
    <row x14ac:dyDescent="0.25" r="319" customHeight="1" ht="15.75">
      <c r="A319" s="502"/>
      <c r="B319" s="34"/>
      <c r="C319" s="34"/>
      <c r="D319" s="34"/>
      <c r="E319" s="34"/>
      <c r="F319" s="34"/>
      <c r="G319" s="34"/>
      <c r="H319" s="34"/>
      <c r="I319" s="29"/>
      <c r="J319" s="29"/>
      <c r="K319" s="29"/>
      <c r="L319" s="29"/>
      <c r="M319" s="34"/>
      <c r="N319" s="34"/>
      <c r="O319" s="29"/>
      <c r="P319" s="29"/>
      <c r="Q319" s="29"/>
      <c r="R319" s="29"/>
      <c r="S319" s="29"/>
      <c r="T319" s="476"/>
      <c r="U319" s="29"/>
      <c r="V319" s="2"/>
      <c r="W319" s="29"/>
      <c r="X319" s="2"/>
      <c r="Y319" s="29"/>
    </row>
    <row x14ac:dyDescent="0.25" r="320" customHeight="1" ht="15.75">
      <c r="A320" s="502"/>
      <c r="B320" s="34"/>
      <c r="C320" s="34"/>
      <c r="D320" s="34"/>
      <c r="E320" s="34"/>
      <c r="F320" s="34"/>
      <c r="G320" s="34"/>
      <c r="H320" s="34"/>
      <c r="I320" s="29"/>
      <c r="J320" s="29"/>
      <c r="K320" s="29"/>
      <c r="L320" s="29"/>
      <c r="M320" s="34"/>
      <c r="N320" s="34"/>
      <c r="O320" s="29"/>
      <c r="P320" s="29"/>
      <c r="Q320" s="29"/>
      <c r="R320" s="29"/>
      <c r="S320" s="29"/>
      <c r="T320" s="476"/>
      <c r="U320" s="29"/>
      <c r="V320" s="2"/>
      <c r="W320" s="29"/>
      <c r="X320" s="2"/>
      <c r="Y320" s="29"/>
    </row>
    <row x14ac:dyDescent="0.25" r="321" customHeight="1" ht="15.75">
      <c r="A321" s="502"/>
      <c r="B321" s="34"/>
      <c r="C321" s="34"/>
      <c r="D321" s="34"/>
      <c r="E321" s="34"/>
      <c r="F321" s="34"/>
      <c r="G321" s="34"/>
      <c r="H321" s="34"/>
      <c r="I321" s="29"/>
      <c r="J321" s="29"/>
      <c r="K321" s="29"/>
      <c r="L321" s="29"/>
      <c r="M321" s="34"/>
      <c r="N321" s="34"/>
      <c r="O321" s="29"/>
      <c r="P321" s="29"/>
      <c r="Q321" s="29"/>
      <c r="R321" s="29"/>
      <c r="S321" s="29"/>
      <c r="T321" s="476"/>
      <c r="U321" s="29"/>
      <c r="V321" s="2"/>
      <c r="W321" s="29"/>
      <c r="X321" s="2"/>
      <c r="Y321" s="29"/>
    </row>
    <row x14ac:dyDescent="0.25" r="322" customHeight="1" ht="15.75">
      <c r="A322" s="502"/>
      <c r="B322" s="34"/>
      <c r="C322" s="34"/>
      <c r="D322" s="34"/>
      <c r="E322" s="34"/>
      <c r="F322" s="34"/>
      <c r="G322" s="34"/>
      <c r="H322" s="34"/>
      <c r="I322" s="29"/>
      <c r="J322" s="29"/>
      <c r="K322" s="29"/>
      <c r="L322" s="29"/>
      <c r="M322" s="34"/>
      <c r="N322" s="34"/>
      <c r="O322" s="29"/>
      <c r="P322" s="29"/>
      <c r="Q322" s="29"/>
      <c r="R322" s="29"/>
      <c r="S322" s="29"/>
      <c r="T322" s="476"/>
      <c r="U322" s="29"/>
      <c r="V322" s="2"/>
      <c r="W322" s="29"/>
      <c r="X322" s="2"/>
      <c r="Y322" s="29"/>
    </row>
    <row x14ac:dyDescent="0.25" r="323" customHeight="1" ht="15.75">
      <c r="A323" s="502"/>
      <c r="B323" s="34"/>
      <c r="C323" s="34"/>
      <c r="D323" s="34"/>
      <c r="E323" s="34"/>
      <c r="F323" s="34"/>
      <c r="G323" s="34"/>
      <c r="H323" s="34"/>
      <c r="I323" s="29"/>
      <c r="J323" s="29"/>
      <c r="K323" s="29"/>
      <c r="L323" s="29"/>
      <c r="M323" s="34"/>
      <c r="N323" s="34"/>
      <c r="O323" s="29"/>
      <c r="P323" s="29"/>
      <c r="Q323" s="29"/>
      <c r="R323" s="29"/>
      <c r="S323" s="29"/>
      <c r="T323" s="476"/>
      <c r="U323" s="29"/>
      <c r="V323" s="2"/>
      <c r="W323" s="29"/>
      <c r="X323" s="2"/>
      <c r="Y323" s="29"/>
    </row>
    <row x14ac:dyDescent="0.25" r="324" customHeight="1" ht="15.75">
      <c r="A324" s="502"/>
      <c r="B324" s="34"/>
      <c r="C324" s="34"/>
      <c r="D324" s="34"/>
      <c r="E324" s="34"/>
      <c r="F324" s="34"/>
      <c r="G324" s="34"/>
      <c r="H324" s="34"/>
      <c r="I324" s="29"/>
      <c r="J324" s="29"/>
      <c r="K324" s="29"/>
      <c r="L324" s="29"/>
      <c r="M324" s="34"/>
      <c r="N324" s="34"/>
      <c r="O324" s="29"/>
      <c r="P324" s="29"/>
      <c r="Q324" s="29"/>
      <c r="R324" s="29"/>
      <c r="S324" s="29"/>
      <c r="T324" s="476"/>
      <c r="U324" s="29"/>
      <c r="V324" s="2"/>
      <c r="W324" s="29"/>
      <c r="X324" s="2"/>
      <c r="Y324" s="29"/>
    </row>
    <row x14ac:dyDescent="0.25" r="325" customHeight="1" ht="15.75">
      <c r="A325" s="502"/>
      <c r="B325" s="34"/>
      <c r="C325" s="34"/>
      <c r="D325" s="34"/>
      <c r="E325" s="34"/>
      <c r="F325" s="34"/>
      <c r="G325" s="34"/>
      <c r="H325" s="34"/>
      <c r="I325" s="29"/>
      <c r="J325" s="29"/>
      <c r="K325" s="29"/>
      <c r="L325" s="29"/>
      <c r="M325" s="34"/>
      <c r="N325" s="34"/>
      <c r="O325" s="29"/>
      <c r="P325" s="29"/>
      <c r="Q325" s="29"/>
      <c r="R325" s="29"/>
      <c r="S325" s="29"/>
      <c r="T325" s="476"/>
      <c r="U325" s="29"/>
      <c r="V325" s="2"/>
      <c r="W325" s="29"/>
      <c r="X325" s="2"/>
      <c r="Y325" s="29"/>
    </row>
    <row x14ac:dyDescent="0.25" r="326" customHeight="1" ht="15.75">
      <c r="A326" s="502"/>
      <c r="B326" s="34"/>
      <c r="C326" s="34"/>
      <c r="D326" s="34"/>
      <c r="E326" s="34"/>
      <c r="F326" s="34"/>
      <c r="G326" s="34"/>
      <c r="H326" s="34"/>
      <c r="I326" s="29"/>
      <c r="J326" s="29"/>
      <c r="K326" s="29"/>
      <c r="L326" s="29"/>
      <c r="M326" s="34"/>
      <c r="N326" s="34"/>
      <c r="O326" s="29"/>
      <c r="P326" s="29"/>
      <c r="Q326" s="29"/>
      <c r="R326" s="29"/>
      <c r="S326" s="29"/>
      <c r="T326" s="476"/>
      <c r="U326" s="29"/>
      <c r="V326" s="2"/>
      <c r="W326" s="29"/>
      <c r="X326" s="2"/>
      <c r="Y326" s="29"/>
    </row>
    <row x14ac:dyDescent="0.25" r="327" customHeight="1" ht="15.75">
      <c r="A327" s="502"/>
      <c r="B327" s="34"/>
      <c r="C327" s="34"/>
      <c r="D327" s="34"/>
      <c r="E327" s="34"/>
      <c r="F327" s="34"/>
      <c r="G327" s="34"/>
      <c r="H327" s="34"/>
      <c r="I327" s="29"/>
      <c r="J327" s="29"/>
      <c r="K327" s="29"/>
      <c r="L327" s="29"/>
      <c r="M327" s="34"/>
      <c r="N327" s="34"/>
      <c r="O327" s="29"/>
      <c r="P327" s="29"/>
      <c r="Q327" s="29"/>
      <c r="R327" s="29"/>
      <c r="S327" s="29"/>
      <c r="T327" s="476"/>
      <c r="U327" s="29"/>
      <c r="V327" s="2"/>
      <c r="W327" s="29"/>
      <c r="X327" s="2"/>
      <c r="Y327" s="29"/>
    </row>
    <row x14ac:dyDescent="0.25" r="328" customHeight="1" ht="15.75">
      <c r="A328" s="502"/>
      <c r="B328" s="34"/>
      <c r="C328" s="34"/>
      <c r="D328" s="34"/>
      <c r="E328" s="34"/>
      <c r="F328" s="34"/>
      <c r="G328" s="34"/>
      <c r="H328" s="34"/>
      <c r="I328" s="29"/>
      <c r="J328" s="29"/>
      <c r="K328" s="29"/>
      <c r="L328" s="29"/>
      <c r="M328" s="34"/>
      <c r="N328" s="34"/>
      <c r="O328" s="29"/>
      <c r="P328" s="29"/>
      <c r="Q328" s="29"/>
      <c r="R328" s="29"/>
      <c r="S328" s="29"/>
      <c r="T328" s="476"/>
      <c r="U328" s="29"/>
      <c r="V328" s="2"/>
      <c r="W328" s="29"/>
      <c r="X328" s="2"/>
      <c r="Y328" s="29"/>
    </row>
    <row x14ac:dyDescent="0.25" r="329" customHeight="1" ht="15.75">
      <c r="A329" s="502"/>
      <c r="B329" s="34"/>
      <c r="C329" s="34"/>
      <c r="D329" s="34"/>
      <c r="E329" s="34"/>
      <c r="F329" s="34"/>
      <c r="G329" s="34"/>
      <c r="H329" s="34"/>
      <c r="I329" s="29"/>
      <c r="J329" s="29"/>
      <c r="K329" s="29"/>
      <c r="L329" s="29"/>
      <c r="M329" s="34"/>
      <c r="N329" s="34"/>
      <c r="O329" s="29"/>
      <c r="P329" s="29"/>
      <c r="Q329" s="29"/>
      <c r="R329" s="29"/>
      <c r="S329" s="29"/>
      <c r="T329" s="476"/>
      <c r="U329" s="29"/>
      <c r="V329" s="2"/>
      <c r="W329" s="29"/>
      <c r="X329" s="2"/>
      <c r="Y329" s="29"/>
    </row>
    <row x14ac:dyDescent="0.25" r="330" customHeight="1" ht="15.75">
      <c r="A330" s="502"/>
      <c r="B330" s="34"/>
      <c r="C330" s="34"/>
      <c r="D330" s="34"/>
      <c r="E330" s="34"/>
      <c r="F330" s="34"/>
      <c r="G330" s="34"/>
      <c r="H330" s="34"/>
      <c r="I330" s="29"/>
      <c r="J330" s="29"/>
      <c r="K330" s="29"/>
      <c r="L330" s="29"/>
      <c r="M330" s="34"/>
      <c r="N330" s="34"/>
      <c r="O330" s="29"/>
      <c r="P330" s="29"/>
      <c r="Q330" s="29"/>
      <c r="R330" s="29"/>
      <c r="S330" s="29"/>
      <c r="T330" s="476"/>
      <c r="U330" s="29"/>
      <c r="V330" s="2"/>
      <c r="W330" s="29"/>
      <c r="X330" s="2"/>
      <c r="Y330" s="29"/>
    </row>
    <row x14ac:dyDescent="0.25" r="331" customHeight="1" ht="15.75">
      <c r="A331" s="502"/>
      <c r="B331" s="34"/>
      <c r="C331" s="34"/>
      <c r="D331" s="34"/>
      <c r="E331" s="34"/>
      <c r="F331" s="34"/>
      <c r="G331" s="34"/>
      <c r="H331" s="34"/>
      <c r="I331" s="29"/>
      <c r="J331" s="29"/>
      <c r="K331" s="29"/>
      <c r="L331" s="29"/>
      <c r="M331" s="34"/>
      <c r="N331" s="34"/>
      <c r="O331" s="29"/>
      <c r="P331" s="29"/>
      <c r="Q331" s="29"/>
      <c r="R331" s="29"/>
      <c r="S331" s="29"/>
      <c r="T331" s="476"/>
      <c r="U331" s="29"/>
      <c r="V331" s="2"/>
      <c r="W331" s="29"/>
      <c r="X331" s="2"/>
      <c r="Y331" s="29"/>
    </row>
    <row x14ac:dyDescent="0.25" r="332" customHeight="1" ht="15.75">
      <c r="A332" s="502"/>
      <c r="B332" s="34"/>
      <c r="C332" s="34"/>
      <c r="D332" s="34"/>
      <c r="E332" s="34"/>
      <c r="F332" s="34"/>
      <c r="G332" s="34"/>
      <c r="H332" s="34"/>
      <c r="I332" s="29"/>
      <c r="J332" s="29"/>
      <c r="K332" s="29"/>
      <c r="L332" s="29"/>
      <c r="M332" s="34"/>
      <c r="N332" s="34"/>
      <c r="O332" s="29"/>
      <c r="P332" s="29"/>
      <c r="Q332" s="29"/>
      <c r="R332" s="29"/>
      <c r="S332" s="29"/>
      <c r="T332" s="476"/>
      <c r="U332" s="29"/>
      <c r="V332" s="2"/>
      <c r="W332" s="29"/>
      <c r="X332" s="2"/>
      <c r="Y332" s="29"/>
    </row>
    <row x14ac:dyDescent="0.25" r="333" customHeight="1" ht="15.75">
      <c r="A333" s="502"/>
      <c r="B333" s="34"/>
      <c r="C333" s="34"/>
      <c r="D333" s="34"/>
      <c r="E333" s="34"/>
      <c r="F333" s="34"/>
      <c r="G333" s="34"/>
      <c r="H333" s="34"/>
      <c r="I333" s="29"/>
      <c r="J333" s="29"/>
      <c r="K333" s="29"/>
      <c r="L333" s="29"/>
      <c r="M333" s="34"/>
      <c r="N333" s="34"/>
      <c r="O333" s="29"/>
      <c r="P333" s="29"/>
      <c r="Q333" s="29"/>
      <c r="R333" s="29"/>
      <c r="S333" s="29"/>
      <c r="T333" s="476"/>
      <c r="U333" s="29"/>
      <c r="V333" s="2"/>
      <c r="W333" s="29"/>
      <c r="X333" s="2"/>
      <c r="Y333" s="29"/>
    </row>
    <row x14ac:dyDescent="0.25" r="334" customHeight="1" ht="15.75">
      <c r="A334" s="502"/>
      <c r="B334" s="34"/>
      <c r="C334" s="34"/>
      <c r="D334" s="34"/>
      <c r="E334" s="34"/>
      <c r="F334" s="34"/>
      <c r="G334" s="34"/>
      <c r="H334" s="34"/>
      <c r="I334" s="29"/>
      <c r="J334" s="29"/>
      <c r="K334" s="29"/>
      <c r="L334" s="29"/>
      <c r="M334" s="34"/>
      <c r="N334" s="34"/>
      <c r="O334" s="29"/>
      <c r="P334" s="29"/>
      <c r="Q334" s="29"/>
      <c r="R334" s="29"/>
      <c r="S334" s="29"/>
      <c r="T334" s="476"/>
      <c r="U334" s="29"/>
      <c r="V334" s="2"/>
      <c r="W334" s="29"/>
      <c r="X334" s="2"/>
      <c r="Y334" s="29"/>
    </row>
    <row x14ac:dyDescent="0.25" r="335" customHeight="1" ht="15.75">
      <c r="A335" s="502"/>
      <c r="B335" s="34"/>
      <c r="C335" s="34"/>
      <c r="D335" s="34"/>
      <c r="E335" s="34"/>
      <c r="F335" s="34"/>
      <c r="G335" s="34"/>
      <c r="H335" s="34"/>
      <c r="I335" s="29"/>
      <c r="J335" s="29"/>
      <c r="K335" s="29"/>
      <c r="L335" s="29"/>
      <c r="M335" s="34"/>
      <c r="N335" s="34"/>
      <c r="O335" s="29"/>
      <c r="P335" s="29"/>
      <c r="Q335" s="29"/>
      <c r="R335" s="29"/>
      <c r="S335" s="29"/>
      <c r="T335" s="476"/>
      <c r="U335" s="29"/>
      <c r="V335" s="2"/>
      <c r="W335" s="29"/>
      <c r="X335" s="2"/>
      <c r="Y335" s="29"/>
    </row>
    <row x14ac:dyDescent="0.25" r="336" customHeight="1" ht="15.75">
      <c r="A336" s="502"/>
      <c r="B336" s="34"/>
      <c r="C336" s="34"/>
      <c r="D336" s="34"/>
      <c r="E336" s="34"/>
      <c r="F336" s="34"/>
      <c r="G336" s="34"/>
      <c r="H336" s="34"/>
      <c r="I336" s="29"/>
      <c r="J336" s="29"/>
      <c r="K336" s="29"/>
      <c r="L336" s="29"/>
      <c r="M336" s="34"/>
      <c r="N336" s="34"/>
      <c r="O336" s="29"/>
      <c r="P336" s="29"/>
      <c r="Q336" s="29"/>
      <c r="R336" s="29"/>
      <c r="S336" s="29"/>
      <c r="T336" s="476"/>
      <c r="U336" s="29"/>
      <c r="V336" s="2"/>
      <c r="W336" s="29"/>
      <c r="X336" s="2"/>
      <c r="Y336" s="29"/>
    </row>
    <row x14ac:dyDescent="0.25" r="337" customHeight="1" ht="15.75">
      <c r="A337" s="502"/>
      <c r="B337" s="34"/>
      <c r="C337" s="34"/>
      <c r="D337" s="34"/>
      <c r="E337" s="34"/>
      <c r="F337" s="34"/>
      <c r="G337" s="34"/>
      <c r="H337" s="34"/>
      <c r="I337" s="29"/>
      <c r="J337" s="29"/>
      <c r="K337" s="29"/>
      <c r="L337" s="29"/>
      <c r="M337" s="34"/>
      <c r="N337" s="34"/>
      <c r="O337" s="29"/>
      <c r="P337" s="29"/>
      <c r="Q337" s="29"/>
      <c r="R337" s="29"/>
      <c r="S337" s="29"/>
      <c r="T337" s="476"/>
      <c r="U337" s="29"/>
      <c r="V337" s="2"/>
      <c r="W337" s="29"/>
      <c r="X337" s="2"/>
      <c r="Y337" s="29"/>
    </row>
    <row x14ac:dyDescent="0.25" r="338" customHeight="1" ht="15.75">
      <c r="A338" s="502"/>
      <c r="B338" s="34"/>
      <c r="C338" s="34"/>
      <c r="D338" s="34"/>
      <c r="E338" s="34"/>
      <c r="F338" s="34"/>
      <c r="G338" s="34"/>
      <c r="H338" s="34"/>
      <c r="I338" s="29"/>
      <c r="J338" s="29"/>
      <c r="K338" s="29"/>
      <c r="L338" s="29"/>
      <c r="M338" s="34"/>
      <c r="N338" s="34"/>
      <c r="O338" s="29"/>
      <c r="P338" s="29"/>
      <c r="Q338" s="29"/>
      <c r="R338" s="29"/>
      <c r="S338" s="29"/>
      <c r="T338" s="476"/>
      <c r="U338" s="29"/>
      <c r="V338" s="2"/>
      <c r="W338" s="29"/>
      <c r="X338" s="2"/>
      <c r="Y338" s="29"/>
    </row>
    <row x14ac:dyDescent="0.25" r="339" customHeight="1" ht="15.75">
      <c r="A339" s="502"/>
      <c r="B339" s="34"/>
      <c r="C339" s="34"/>
      <c r="D339" s="34"/>
      <c r="E339" s="34"/>
      <c r="F339" s="34"/>
      <c r="G339" s="34"/>
      <c r="H339" s="34"/>
      <c r="I339" s="29"/>
      <c r="J339" s="29"/>
      <c r="K339" s="29"/>
      <c r="L339" s="29"/>
      <c r="M339" s="34"/>
      <c r="N339" s="34"/>
      <c r="O339" s="29"/>
      <c r="P339" s="29"/>
      <c r="Q339" s="29"/>
      <c r="R339" s="29"/>
      <c r="S339" s="29"/>
      <c r="T339" s="476"/>
      <c r="U339" s="29"/>
      <c r="V339" s="2"/>
      <c r="W339" s="29"/>
      <c r="X339" s="2"/>
      <c r="Y339" s="29"/>
    </row>
    <row x14ac:dyDescent="0.25" r="340" customHeight="1" ht="15.75">
      <c r="A340" s="502"/>
      <c r="B340" s="34"/>
      <c r="C340" s="34"/>
      <c r="D340" s="34"/>
      <c r="E340" s="34"/>
      <c r="F340" s="34"/>
      <c r="G340" s="34"/>
      <c r="H340" s="34"/>
      <c r="I340" s="29"/>
      <c r="J340" s="29"/>
      <c r="K340" s="29"/>
      <c r="L340" s="29"/>
      <c r="M340" s="34"/>
      <c r="N340" s="34"/>
      <c r="O340" s="29"/>
      <c r="P340" s="29"/>
      <c r="Q340" s="29"/>
      <c r="R340" s="29"/>
      <c r="S340" s="29"/>
      <c r="T340" s="476"/>
      <c r="U340" s="29"/>
      <c r="V340" s="2"/>
      <c r="W340" s="29"/>
      <c r="X340" s="2"/>
      <c r="Y340" s="29"/>
    </row>
    <row x14ac:dyDescent="0.25" r="341" customHeight="1" ht="15.75">
      <c r="A341" s="502"/>
      <c r="B341" s="34"/>
      <c r="C341" s="34"/>
      <c r="D341" s="34"/>
      <c r="E341" s="34"/>
      <c r="F341" s="34"/>
      <c r="G341" s="34"/>
      <c r="H341" s="34"/>
      <c r="I341" s="29"/>
      <c r="J341" s="29"/>
      <c r="K341" s="29"/>
      <c r="L341" s="29"/>
      <c r="M341" s="34"/>
      <c r="N341" s="34"/>
      <c r="O341" s="29"/>
      <c r="P341" s="29"/>
      <c r="Q341" s="29"/>
      <c r="R341" s="29"/>
      <c r="S341" s="29"/>
      <c r="T341" s="476"/>
      <c r="U341" s="29"/>
      <c r="V341" s="2"/>
      <c r="W341" s="29"/>
      <c r="X341" s="2"/>
      <c r="Y341" s="29"/>
    </row>
    <row x14ac:dyDescent="0.25" r="342" customHeight="1" ht="15.75">
      <c r="A342" s="502"/>
      <c r="B342" s="34"/>
      <c r="C342" s="34"/>
      <c r="D342" s="34"/>
      <c r="E342" s="34"/>
      <c r="F342" s="34"/>
      <c r="G342" s="34"/>
      <c r="H342" s="34"/>
      <c r="I342" s="29"/>
      <c r="J342" s="29"/>
      <c r="K342" s="29"/>
      <c r="L342" s="29"/>
      <c r="M342" s="34"/>
      <c r="N342" s="34"/>
      <c r="O342" s="29"/>
      <c r="P342" s="29"/>
      <c r="Q342" s="29"/>
      <c r="R342" s="29"/>
      <c r="S342" s="29"/>
      <c r="T342" s="476"/>
      <c r="U342" s="29"/>
      <c r="V342" s="2"/>
      <c r="W342" s="29"/>
      <c r="X342" s="2"/>
      <c r="Y342" s="29"/>
    </row>
    <row x14ac:dyDescent="0.25" r="343" customHeight="1" ht="15.75">
      <c r="A343" s="502"/>
      <c r="B343" s="34"/>
      <c r="C343" s="34"/>
      <c r="D343" s="34"/>
      <c r="E343" s="34"/>
      <c r="F343" s="34"/>
      <c r="G343" s="34"/>
      <c r="H343" s="34"/>
      <c r="I343" s="29"/>
      <c r="J343" s="29"/>
      <c r="K343" s="29"/>
      <c r="L343" s="29"/>
      <c r="M343" s="34"/>
      <c r="N343" s="34"/>
      <c r="O343" s="29"/>
      <c r="P343" s="29"/>
      <c r="Q343" s="29"/>
      <c r="R343" s="29"/>
      <c r="S343" s="29"/>
      <c r="T343" s="476"/>
      <c r="U343" s="29"/>
      <c r="V343" s="2"/>
      <c r="W343" s="29"/>
      <c r="X343" s="2"/>
      <c r="Y343" s="29"/>
    </row>
    <row x14ac:dyDescent="0.25" r="344" customHeight="1" ht="15.75">
      <c r="A344" s="502"/>
      <c r="B344" s="34"/>
      <c r="C344" s="34"/>
      <c r="D344" s="34"/>
      <c r="E344" s="34"/>
      <c r="F344" s="34"/>
      <c r="G344" s="34"/>
      <c r="H344" s="34"/>
      <c r="I344" s="29"/>
      <c r="J344" s="29"/>
      <c r="K344" s="29"/>
      <c r="L344" s="29"/>
      <c r="M344" s="34"/>
      <c r="N344" s="34"/>
      <c r="O344" s="29"/>
      <c r="P344" s="29"/>
      <c r="Q344" s="29"/>
      <c r="R344" s="29"/>
      <c r="S344" s="29"/>
      <c r="T344" s="476"/>
      <c r="U344" s="29"/>
      <c r="V344" s="2"/>
      <c r="W344" s="29"/>
      <c r="X344" s="2"/>
      <c r="Y344" s="29"/>
    </row>
    <row x14ac:dyDescent="0.25" r="345" customHeight="1" ht="15.75">
      <c r="A345" s="502"/>
      <c r="B345" s="34"/>
      <c r="C345" s="34"/>
      <c r="D345" s="34"/>
      <c r="E345" s="34"/>
      <c r="F345" s="34"/>
      <c r="G345" s="34"/>
      <c r="H345" s="34"/>
      <c r="I345" s="29"/>
      <c r="J345" s="29"/>
      <c r="K345" s="29"/>
      <c r="L345" s="29"/>
      <c r="M345" s="34"/>
      <c r="N345" s="34"/>
      <c r="O345" s="29"/>
      <c r="P345" s="29"/>
      <c r="Q345" s="29"/>
      <c r="R345" s="29"/>
      <c r="S345" s="29"/>
      <c r="T345" s="476"/>
      <c r="U345" s="29"/>
      <c r="V345" s="2"/>
      <c r="W345" s="29"/>
      <c r="X345" s="2"/>
      <c r="Y345" s="29"/>
    </row>
    <row x14ac:dyDescent="0.25" r="346" customHeight="1" ht="15.75">
      <c r="A346" s="502"/>
      <c r="B346" s="34"/>
      <c r="C346" s="34"/>
      <c r="D346" s="34"/>
      <c r="E346" s="34"/>
      <c r="F346" s="34"/>
      <c r="G346" s="34"/>
      <c r="H346" s="34"/>
      <c r="I346" s="29"/>
      <c r="J346" s="29"/>
      <c r="K346" s="29"/>
      <c r="L346" s="29"/>
      <c r="M346" s="34"/>
      <c r="N346" s="34"/>
      <c r="O346" s="29"/>
      <c r="P346" s="29"/>
      <c r="Q346" s="29"/>
      <c r="R346" s="29"/>
      <c r="S346" s="29"/>
      <c r="T346" s="476"/>
      <c r="U346" s="29"/>
      <c r="V346" s="2"/>
      <c r="W346" s="29"/>
      <c r="X346" s="2"/>
      <c r="Y346" s="29"/>
    </row>
    <row x14ac:dyDescent="0.25" r="347" customHeight="1" ht="15.75">
      <c r="A347" s="502"/>
      <c r="B347" s="34"/>
      <c r="C347" s="34"/>
      <c r="D347" s="34"/>
      <c r="E347" s="34"/>
      <c r="F347" s="34"/>
      <c r="G347" s="34"/>
      <c r="H347" s="34"/>
      <c r="I347" s="29"/>
      <c r="J347" s="29"/>
      <c r="K347" s="29"/>
      <c r="L347" s="29"/>
      <c r="M347" s="34"/>
      <c r="N347" s="34"/>
      <c r="O347" s="29"/>
      <c r="P347" s="29"/>
      <c r="Q347" s="29"/>
      <c r="R347" s="29"/>
      <c r="S347" s="29"/>
      <c r="T347" s="476"/>
      <c r="U347" s="29"/>
      <c r="V347" s="2"/>
      <c r="W347" s="29"/>
      <c r="X347" s="2"/>
      <c r="Y347" s="29"/>
    </row>
    <row x14ac:dyDescent="0.25" r="348" customHeight="1" ht="15.75">
      <c r="A348" s="502"/>
      <c r="B348" s="34"/>
      <c r="C348" s="34"/>
      <c r="D348" s="34"/>
      <c r="E348" s="34"/>
      <c r="F348" s="34"/>
      <c r="G348" s="34"/>
      <c r="H348" s="34"/>
      <c r="I348" s="29"/>
      <c r="J348" s="29"/>
      <c r="K348" s="29"/>
      <c r="L348" s="29"/>
      <c r="M348" s="34"/>
      <c r="N348" s="34"/>
      <c r="O348" s="29"/>
      <c r="P348" s="29"/>
      <c r="Q348" s="29"/>
      <c r="R348" s="29"/>
      <c r="S348" s="29"/>
      <c r="T348" s="476"/>
      <c r="U348" s="29"/>
      <c r="V348" s="2"/>
      <c r="W348" s="29"/>
      <c r="X348" s="2"/>
      <c r="Y348" s="29"/>
    </row>
    <row x14ac:dyDescent="0.25" r="349" customHeight="1" ht="15.75">
      <c r="A349" s="502"/>
      <c r="B349" s="34"/>
      <c r="C349" s="34"/>
      <c r="D349" s="34"/>
      <c r="E349" s="34"/>
      <c r="F349" s="34"/>
      <c r="G349" s="34"/>
      <c r="H349" s="34"/>
      <c r="I349" s="29"/>
      <c r="J349" s="29"/>
      <c r="K349" s="29"/>
      <c r="L349" s="29"/>
      <c r="M349" s="34"/>
      <c r="N349" s="34"/>
      <c r="O349" s="29"/>
      <c r="P349" s="29"/>
      <c r="Q349" s="29"/>
      <c r="R349" s="29"/>
      <c r="S349" s="29"/>
      <c r="T349" s="476"/>
      <c r="U349" s="29"/>
      <c r="V349" s="2"/>
      <c r="W349" s="29"/>
      <c r="X349" s="2"/>
      <c r="Y349" s="29"/>
    </row>
    <row x14ac:dyDescent="0.25" r="350" customHeight="1" ht="15.75">
      <c r="A350" s="502"/>
      <c r="B350" s="34"/>
      <c r="C350" s="34"/>
      <c r="D350" s="34"/>
      <c r="E350" s="34"/>
      <c r="F350" s="34"/>
      <c r="G350" s="34"/>
      <c r="H350" s="34"/>
      <c r="I350" s="29"/>
      <c r="J350" s="29"/>
      <c r="K350" s="29"/>
      <c r="L350" s="29"/>
      <c r="M350" s="34"/>
      <c r="N350" s="34"/>
      <c r="O350" s="29"/>
      <c r="P350" s="29"/>
      <c r="Q350" s="29"/>
      <c r="R350" s="29"/>
      <c r="S350" s="29"/>
      <c r="T350" s="476"/>
      <c r="U350" s="29"/>
      <c r="V350" s="2"/>
      <c r="W350" s="29"/>
      <c r="X350" s="2"/>
      <c r="Y350" s="29"/>
    </row>
    <row x14ac:dyDescent="0.25" r="351" customHeight="1" ht="15.75">
      <c r="A351" s="502"/>
      <c r="B351" s="34"/>
      <c r="C351" s="34"/>
      <c r="D351" s="34"/>
      <c r="E351" s="34"/>
      <c r="F351" s="34"/>
      <c r="G351" s="34"/>
      <c r="H351" s="34"/>
      <c r="I351" s="29"/>
      <c r="J351" s="29"/>
      <c r="K351" s="29"/>
      <c r="L351" s="29"/>
      <c r="M351" s="34"/>
      <c r="N351" s="34"/>
      <c r="O351" s="29"/>
      <c r="P351" s="29"/>
      <c r="Q351" s="29"/>
      <c r="R351" s="29"/>
      <c r="S351" s="29"/>
      <c r="T351" s="476"/>
      <c r="U351" s="29"/>
      <c r="V351" s="2"/>
      <c r="W351" s="29"/>
      <c r="X351" s="2"/>
      <c r="Y351" s="29"/>
    </row>
    <row x14ac:dyDescent="0.25" r="352" customHeight="1" ht="15.75">
      <c r="A352" s="502"/>
      <c r="B352" s="34"/>
      <c r="C352" s="34"/>
      <c r="D352" s="34"/>
      <c r="E352" s="34"/>
      <c r="F352" s="34"/>
      <c r="G352" s="34"/>
      <c r="H352" s="34"/>
      <c r="I352" s="29"/>
      <c r="J352" s="29"/>
      <c r="K352" s="29"/>
      <c r="L352" s="29"/>
      <c r="M352" s="34"/>
      <c r="N352" s="34"/>
      <c r="O352" s="29"/>
      <c r="P352" s="29"/>
      <c r="Q352" s="29"/>
      <c r="R352" s="29"/>
      <c r="S352" s="29"/>
      <c r="T352" s="476"/>
      <c r="U352" s="29"/>
      <c r="V352" s="2"/>
      <c r="W352" s="29"/>
      <c r="X352" s="2"/>
      <c r="Y352" s="29"/>
    </row>
    <row x14ac:dyDescent="0.25" r="353" customHeight="1" ht="15.75">
      <c r="A353" s="502"/>
      <c r="B353" s="34"/>
      <c r="C353" s="34"/>
      <c r="D353" s="34"/>
      <c r="E353" s="34"/>
      <c r="F353" s="34"/>
      <c r="G353" s="34"/>
      <c r="H353" s="34"/>
      <c r="I353" s="29"/>
      <c r="J353" s="29"/>
      <c r="K353" s="29"/>
      <c r="L353" s="29"/>
      <c r="M353" s="34"/>
      <c r="N353" s="34"/>
      <c r="O353" s="29"/>
      <c r="P353" s="29"/>
      <c r="Q353" s="29"/>
      <c r="R353" s="29"/>
      <c r="S353" s="29"/>
      <c r="T353" s="476"/>
      <c r="U353" s="29"/>
      <c r="V353" s="2"/>
      <c r="W353" s="29"/>
      <c r="X353" s="2"/>
      <c r="Y353" s="29"/>
    </row>
    <row x14ac:dyDescent="0.25" r="354" customHeight="1" ht="15.75">
      <c r="A354" s="502"/>
      <c r="B354" s="34"/>
      <c r="C354" s="34"/>
      <c r="D354" s="34"/>
      <c r="E354" s="34"/>
      <c r="F354" s="34"/>
      <c r="G354" s="34"/>
      <c r="H354" s="34"/>
      <c r="I354" s="29"/>
      <c r="J354" s="29"/>
      <c r="K354" s="29"/>
      <c r="L354" s="29"/>
      <c r="M354" s="34"/>
      <c r="N354" s="34"/>
      <c r="O354" s="29"/>
      <c r="P354" s="29"/>
      <c r="Q354" s="29"/>
      <c r="R354" s="29"/>
      <c r="S354" s="29"/>
      <c r="T354" s="476"/>
      <c r="U354" s="29"/>
      <c r="V354" s="2"/>
      <c r="W354" s="29"/>
      <c r="X354" s="2"/>
      <c r="Y354" s="29"/>
    </row>
    <row x14ac:dyDescent="0.25" r="355" customHeight="1" ht="15.75">
      <c r="A355" s="502"/>
      <c r="B355" s="34"/>
      <c r="C355" s="34"/>
      <c r="D355" s="34"/>
      <c r="E355" s="34"/>
      <c r="F355" s="34"/>
      <c r="G355" s="34"/>
      <c r="H355" s="34"/>
      <c r="I355" s="29"/>
      <c r="J355" s="29"/>
      <c r="K355" s="29"/>
      <c r="L355" s="29"/>
      <c r="M355" s="34"/>
      <c r="N355" s="34"/>
      <c r="O355" s="29"/>
      <c r="P355" s="29"/>
      <c r="Q355" s="29"/>
      <c r="R355" s="29"/>
      <c r="S355" s="29"/>
      <c r="T355" s="476"/>
      <c r="U355" s="29"/>
      <c r="V355" s="2"/>
      <c r="W355" s="29"/>
      <c r="X355" s="2"/>
      <c r="Y355" s="29"/>
    </row>
    <row x14ac:dyDescent="0.25" r="356" customHeight="1" ht="15.75">
      <c r="A356" s="502"/>
      <c r="B356" s="34"/>
      <c r="C356" s="34"/>
      <c r="D356" s="34"/>
      <c r="E356" s="34"/>
      <c r="F356" s="34"/>
      <c r="G356" s="34"/>
      <c r="H356" s="34"/>
      <c r="I356" s="29"/>
      <c r="J356" s="29"/>
      <c r="K356" s="29"/>
      <c r="L356" s="29"/>
      <c r="M356" s="34"/>
      <c r="N356" s="34"/>
      <c r="O356" s="29"/>
      <c r="P356" s="29"/>
      <c r="Q356" s="29"/>
      <c r="R356" s="29"/>
      <c r="S356" s="29"/>
      <c r="T356" s="476"/>
      <c r="U356" s="29"/>
      <c r="V356" s="2"/>
      <c r="W356" s="29"/>
      <c r="X356" s="2"/>
      <c r="Y356" s="29"/>
    </row>
    <row x14ac:dyDescent="0.25" r="357" customHeight="1" ht="15.75">
      <c r="A357" s="502"/>
      <c r="B357" s="34"/>
      <c r="C357" s="34"/>
      <c r="D357" s="34"/>
      <c r="E357" s="34"/>
      <c r="F357" s="34"/>
      <c r="G357" s="34"/>
      <c r="H357" s="34"/>
      <c r="I357" s="29"/>
      <c r="J357" s="29"/>
      <c r="K357" s="29"/>
      <c r="L357" s="29"/>
      <c r="M357" s="34"/>
      <c r="N357" s="34"/>
      <c r="O357" s="29"/>
      <c r="P357" s="29"/>
      <c r="Q357" s="29"/>
      <c r="R357" s="29"/>
      <c r="S357" s="29"/>
      <c r="T357" s="476"/>
      <c r="U357" s="29"/>
      <c r="V357" s="2"/>
      <c r="W357" s="29"/>
      <c r="X357" s="2"/>
      <c r="Y357" s="29"/>
    </row>
    <row x14ac:dyDescent="0.25" r="358" customHeight="1" ht="15.75">
      <c r="A358" s="502"/>
      <c r="B358" s="34"/>
      <c r="C358" s="34"/>
      <c r="D358" s="34"/>
      <c r="E358" s="34"/>
      <c r="F358" s="34"/>
      <c r="G358" s="34"/>
      <c r="H358" s="34"/>
      <c r="I358" s="29"/>
      <c r="J358" s="29"/>
      <c r="K358" s="29"/>
      <c r="L358" s="29"/>
      <c r="M358" s="34"/>
      <c r="N358" s="34"/>
      <c r="O358" s="29"/>
      <c r="P358" s="29"/>
      <c r="Q358" s="29"/>
      <c r="R358" s="29"/>
      <c r="S358" s="29"/>
      <c r="T358" s="476"/>
      <c r="U358" s="29"/>
      <c r="V358" s="2"/>
      <c r="W358" s="29"/>
      <c r="X358" s="2"/>
      <c r="Y358" s="29"/>
    </row>
    <row x14ac:dyDescent="0.25" r="359" customHeight="1" ht="15.75">
      <c r="A359" s="502"/>
      <c r="B359" s="34"/>
      <c r="C359" s="34"/>
      <c r="D359" s="34"/>
      <c r="E359" s="34"/>
      <c r="F359" s="34"/>
      <c r="G359" s="34"/>
      <c r="H359" s="34"/>
      <c r="I359" s="29"/>
      <c r="J359" s="29"/>
      <c r="K359" s="29"/>
      <c r="L359" s="29"/>
      <c r="M359" s="34"/>
      <c r="N359" s="34"/>
      <c r="O359" s="29"/>
      <c r="P359" s="29"/>
      <c r="Q359" s="29"/>
      <c r="R359" s="29"/>
      <c r="S359" s="29"/>
      <c r="T359" s="476"/>
      <c r="U359" s="29"/>
      <c r="V359" s="2"/>
      <c r="W359" s="29"/>
      <c r="X359" s="2"/>
      <c r="Y359" s="29"/>
    </row>
    <row x14ac:dyDescent="0.25" r="360" customHeight="1" ht="15.75">
      <c r="A360" s="502"/>
      <c r="B360" s="34"/>
      <c r="C360" s="34"/>
      <c r="D360" s="34"/>
      <c r="E360" s="34"/>
      <c r="F360" s="34"/>
      <c r="G360" s="34"/>
      <c r="H360" s="34"/>
      <c r="I360" s="29"/>
      <c r="J360" s="29"/>
      <c r="K360" s="29"/>
      <c r="L360" s="29"/>
      <c r="M360" s="34"/>
      <c r="N360" s="34"/>
      <c r="O360" s="29"/>
      <c r="P360" s="29"/>
      <c r="Q360" s="29"/>
      <c r="R360" s="29"/>
      <c r="S360" s="29"/>
      <c r="T360" s="476"/>
      <c r="U360" s="29"/>
      <c r="V360" s="2"/>
      <c r="W360" s="29"/>
      <c r="X360" s="2"/>
      <c r="Y360" s="29"/>
    </row>
    <row x14ac:dyDescent="0.25" r="361" customHeight="1" ht="15.75">
      <c r="A361" s="502"/>
      <c r="B361" s="34"/>
      <c r="C361" s="34"/>
      <c r="D361" s="34"/>
      <c r="E361" s="34"/>
      <c r="F361" s="34"/>
      <c r="G361" s="34"/>
      <c r="H361" s="34"/>
      <c r="I361" s="29"/>
      <c r="J361" s="29"/>
      <c r="K361" s="29"/>
      <c r="L361" s="29"/>
      <c r="M361" s="34"/>
      <c r="N361" s="34"/>
      <c r="O361" s="29"/>
      <c r="P361" s="29"/>
      <c r="Q361" s="29"/>
      <c r="R361" s="29"/>
      <c r="S361" s="29"/>
      <c r="T361" s="476"/>
      <c r="U361" s="29"/>
      <c r="V361" s="2"/>
      <c r="W361" s="29"/>
      <c r="X361" s="2"/>
      <c r="Y361" s="29"/>
    </row>
    <row x14ac:dyDescent="0.25" r="362" customHeight="1" ht="15.75">
      <c r="A362" s="502"/>
      <c r="B362" s="34"/>
      <c r="C362" s="34"/>
      <c r="D362" s="34"/>
      <c r="E362" s="34"/>
      <c r="F362" s="34"/>
      <c r="G362" s="34"/>
      <c r="H362" s="34"/>
      <c r="I362" s="29"/>
      <c r="J362" s="29"/>
      <c r="K362" s="29"/>
      <c r="L362" s="29"/>
      <c r="M362" s="34"/>
      <c r="N362" s="34"/>
      <c r="O362" s="29"/>
      <c r="P362" s="29"/>
      <c r="Q362" s="29"/>
      <c r="R362" s="29"/>
      <c r="S362" s="29"/>
      <c r="T362" s="476"/>
      <c r="U362" s="29"/>
      <c r="V362" s="2"/>
      <c r="W362" s="29"/>
      <c r="X362" s="2"/>
      <c r="Y362" s="29"/>
    </row>
    <row x14ac:dyDescent="0.25" r="363" customHeight="1" ht="15.75">
      <c r="A363" s="502"/>
      <c r="B363" s="34"/>
      <c r="C363" s="34"/>
      <c r="D363" s="34"/>
      <c r="E363" s="34"/>
      <c r="F363" s="34"/>
      <c r="G363" s="34"/>
      <c r="H363" s="34"/>
      <c r="I363" s="29"/>
      <c r="J363" s="29"/>
      <c r="K363" s="29"/>
      <c r="L363" s="29"/>
      <c r="M363" s="34"/>
      <c r="N363" s="34"/>
      <c r="O363" s="29"/>
      <c r="P363" s="29"/>
      <c r="Q363" s="29"/>
      <c r="R363" s="29"/>
      <c r="S363" s="29"/>
      <c r="T363" s="476"/>
      <c r="U363" s="29"/>
      <c r="V363" s="2"/>
      <c r="W363" s="29"/>
      <c r="X363" s="2"/>
      <c r="Y363" s="29"/>
    </row>
    <row x14ac:dyDescent="0.25" r="364" customHeight="1" ht="15.75">
      <c r="A364" s="502"/>
      <c r="B364" s="34"/>
      <c r="C364" s="34"/>
      <c r="D364" s="34"/>
      <c r="E364" s="34"/>
      <c r="F364" s="34"/>
      <c r="G364" s="34"/>
      <c r="H364" s="34"/>
      <c r="I364" s="29"/>
      <c r="J364" s="29"/>
      <c r="K364" s="29"/>
      <c r="L364" s="29"/>
      <c r="M364" s="34"/>
      <c r="N364" s="34"/>
      <c r="O364" s="29"/>
      <c r="P364" s="29"/>
      <c r="Q364" s="29"/>
      <c r="R364" s="29"/>
      <c r="S364" s="29"/>
      <c r="T364" s="476"/>
      <c r="U364" s="29"/>
      <c r="V364" s="2"/>
      <c r="W364" s="29"/>
      <c r="X364" s="2"/>
      <c r="Y364" s="29"/>
    </row>
    <row x14ac:dyDescent="0.25" r="365" customHeight="1" ht="15.75">
      <c r="A365" s="502"/>
      <c r="B365" s="34"/>
      <c r="C365" s="34"/>
      <c r="D365" s="34"/>
      <c r="E365" s="34"/>
      <c r="F365" s="34"/>
      <c r="G365" s="34"/>
      <c r="H365" s="34"/>
      <c r="I365" s="29"/>
      <c r="J365" s="29"/>
      <c r="K365" s="29"/>
      <c r="L365" s="29"/>
      <c r="M365" s="34"/>
      <c r="N365" s="34"/>
      <c r="O365" s="29"/>
      <c r="P365" s="29"/>
      <c r="Q365" s="29"/>
      <c r="R365" s="29"/>
      <c r="S365" s="29"/>
      <c r="T365" s="476"/>
      <c r="U365" s="29"/>
      <c r="V365" s="2"/>
      <c r="W365" s="29"/>
      <c r="X365" s="2"/>
      <c r="Y365" s="29"/>
    </row>
    <row x14ac:dyDescent="0.25" r="366" customHeight="1" ht="15.75">
      <c r="A366" s="502"/>
      <c r="B366" s="34"/>
      <c r="C366" s="34"/>
      <c r="D366" s="34"/>
      <c r="E366" s="34"/>
      <c r="F366" s="34"/>
      <c r="G366" s="34"/>
      <c r="H366" s="34"/>
      <c r="I366" s="29"/>
      <c r="J366" s="29"/>
      <c r="K366" s="29"/>
      <c r="L366" s="29"/>
      <c r="M366" s="34"/>
      <c r="N366" s="34"/>
      <c r="O366" s="29"/>
      <c r="P366" s="29"/>
      <c r="Q366" s="29"/>
      <c r="R366" s="29"/>
      <c r="S366" s="29"/>
      <c r="T366" s="476"/>
      <c r="U366" s="29"/>
      <c r="V366" s="2"/>
      <c r="W366" s="29"/>
      <c r="X366" s="2"/>
      <c r="Y366" s="29"/>
    </row>
    <row x14ac:dyDescent="0.25" r="367" customHeight="1" ht="15.75">
      <c r="A367" s="502"/>
      <c r="B367" s="34"/>
      <c r="C367" s="34"/>
      <c r="D367" s="34"/>
      <c r="E367" s="34"/>
      <c r="F367" s="34"/>
      <c r="G367" s="34"/>
      <c r="H367" s="34"/>
      <c r="I367" s="29"/>
      <c r="J367" s="29"/>
      <c r="K367" s="29"/>
      <c r="L367" s="29"/>
      <c r="M367" s="34"/>
      <c r="N367" s="34"/>
      <c r="O367" s="29"/>
      <c r="P367" s="29"/>
      <c r="Q367" s="29"/>
      <c r="R367" s="29"/>
      <c r="S367" s="29"/>
      <c r="T367" s="476"/>
      <c r="U367" s="29"/>
      <c r="V367" s="2"/>
      <c r="W367" s="29"/>
      <c r="X367" s="2"/>
      <c r="Y367" s="29"/>
    </row>
    <row x14ac:dyDescent="0.25" r="368" customHeight="1" ht="15.75">
      <c r="A368" s="502"/>
      <c r="B368" s="34"/>
      <c r="C368" s="34"/>
      <c r="D368" s="34"/>
      <c r="E368" s="34"/>
      <c r="F368" s="34"/>
      <c r="G368" s="34"/>
      <c r="H368" s="34"/>
      <c r="I368" s="29"/>
      <c r="J368" s="29"/>
      <c r="K368" s="29"/>
      <c r="L368" s="29"/>
      <c r="M368" s="34"/>
      <c r="N368" s="34"/>
      <c r="O368" s="29"/>
      <c r="P368" s="29"/>
      <c r="Q368" s="29"/>
      <c r="R368" s="29"/>
      <c r="S368" s="29"/>
      <c r="T368" s="476"/>
      <c r="U368" s="29"/>
      <c r="V368" s="2"/>
      <c r="W368" s="29"/>
      <c r="X368" s="2"/>
      <c r="Y368" s="29"/>
    </row>
    <row x14ac:dyDescent="0.25" r="369" customHeight="1" ht="15.75">
      <c r="A369" s="502"/>
      <c r="B369" s="34"/>
      <c r="C369" s="34"/>
      <c r="D369" s="34"/>
      <c r="E369" s="34"/>
      <c r="F369" s="34"/>
      <c r="G369" s="34"/>
      <c r="H369" s="34"/>
      <c r="I369" s="29"/>
      <c r="J369" s="29"/>
      <c r="K369" s="29"/>
      <c r="L369" s="29"/>
      <c r="M369" s="34"/>
      <c r="N369" s="34"/>
      <c r="O369" s="29"/>
      <c r="P369" s="29"/>
      <c r="Q369" s="29"/>
      <c r="R369" s="29"/>
      <c r="S369" s="29"/>
      <c r="T369" s="476"/>
      <c r="U369" s="29"/>
      <c r="V369" s="2"/>
      <c r="W369" s="29"/>
      <c r="X369" s="2"/>
      <c r="Y369" s="29"/>
    </row>
    <row x14ac:dyDescent="0.25" r="370" customHeight="1" ht="15.75">
      <c r="A370" s="502"/>
      <c r="B370" s="34"/>
      <c r="C370" s="34"/>
      <c r="D370" s="34"/>
      <c r="E370" s="34"/>
      <c r="F370" s="34"/>
      <c r="G370" s="34"/>
      <c r="H370" s="34"/>
      <c r="I370" s="29"/>
      <c r="J370" s="29"/>
      <c r="K370" s="29"/>
      <c r="L370" s="29"/>
      <c r="M370" s="34"/>
      <c r="N370" s="34"/>
      <c r="O370" s="29"/>
      <c r="P370" s="29"/>
      <c r="Q370" s="29"/>
      <c r="R370" s="29"/>
      <c r="S370" s="29"/>
      <c r="T370" s="476"/>
      <c r="U370" s="29"/>
      <c r="V370" s="2"/>
      <c r="W370" s="29"/>
      <c r="X370" s="2"/>
      <c r="Y370" s="29"/>
    </row>
    <row x14ac:dyDescent="0.25" r="371" customHeight="1" ht="15.75">
      <c r="A371" s="502"/>
      <c r="B371" s="34"/>
      <c r="C371" s="34"/>
      <c r="D371" s="34"/>
      <c r="E371" s="34"/>
      <c r="F371" s="34"/>
      <c r="G371" s="34"/>
      <c r="H371" s="34"/>
      <c r="I371" s="29"/>
      <c r="J371" s="29"/>
      <c r="K371" s="29"/>
      <c r="L371" s="29"/>
      <c r="M371" s="34"/>
      <c r="N371" s="34"/>
      <c r="O371" s="29"/>
      <c r="P371" s="29"/>
      <c r="Q371" s="29"/>
      <c r="R371" s="29"/>
      <c r="S371" s="29"/>
      <c r="T371" s="476"/>
      <c r="U371" s="29"/>
      <c r="V371" s="2"/>
      <c r="W371" s="29"/>
      <c r="X371" s="2"/>
      <c r="Y371" s="29"/>
    </row>
    <row x14ac:dyDescent="0.25" r="372" customHeight="1" ht="15.75">
      <c r="A372" s="502"/>
      <c r="B372" s="34"/>
      <c r="C372" s="34"/>
      <c r="D372" s="34"/>
      <c r="E372" s="34"/>
      <c r="F372" s="34"/>
      <c r="G372" s="34"/>
      <c r="H372" s="34"/>
      <c r="I372" s="29"/>
      <c r="J372" s="29"/>
      <c r="K372" s="29"/>
      <c r="L372" s="29"/>
      <c r="M372" s="34"/>
      <c r="N372" s="34"/>
      <c r="O372" s="29"/>
      <c r="P372" s="29"/>
      <c r="Q372" s="29"/>
      <c r="R372" s="29"/>
      <c r="S372" s="29"/>
      <c r="T372" s="476"/>
      <c r="U372" s="29"/>
      <c r="V372" s="2"/>
      <c r="W372" s="29"/>
      <c r="X372" s="2"/>
      <c r="Y372" s="29"/>
    </row>
    <row x14ac:dyDescent="0.25" r="373" customHeight="1" ht="15.75">
      <c r="A373" s="502"/>
      <c r="B373" s="34"/>
      <c r="C373" s="34"/>
      <c r="D373" s="34"/>
      <c r="E373" s="34"/>
      <c r="F373" s="34"/>
      <c r="G373" s="34"/>
      <c r="H373" s="34"/>
      <c r="I373" s="29"/>
      <c r="J373" s="29"/>
      <c r="K373" s="29"/>
      <c r="L373" s="29"/>
      <c r="M373" s="34"/>
      <c r="N373" s="34"/>
      <c r="O373" s="29"/>
      <c r="P373" s="29"/>
      <c r="Q373" s="29"/>
      <c r="R373" s="29"/>
      <c r="S373" s="29"/>
      <c r="T373" s="476"/>
      <c r="U373" s="29"/>
      <c r="V373" s="2"/>
      <c r="W373" s="29"/>
      <c r="X373" s="2"/>
      <c r="Y373" s="29"/>
    </row>
    <row x14ac:dyDescent="0.25" r="374" customHeight="1" ht="15.75">
      <c r="A374" s="502"/>
      <c r="B374" s="34"/>
      <c r="C374" s="34"/>
      <c r="D374" s="34"/>
      <c r="E374" s="34"/>
      <c r="F374" s="34"/>
      <c r="G374" s="34"/>
      <c r="H374" s="34"/>
      <c r="I374" s="29"/>
      <c r="J374" s="29"/>
      <c r="K374" s="29"/>
      <c r="L374" s="29"/>
      <c r="M374" s="34"/>
      <c r="N374" s="34"/>
      <c r="O374" s="29"/>
      <c r="P374" s="29"/>
      <c r="Q374" s="29"/>
      <c r="R374" s="29"/>
      <c r="S374" s="29"/>
      <c r="T374" s="476"/>
      <c r="U374" s="29"/>
      <c r="V374" s="2"/>
      <c r="W374" s="29"/>
      <c r="X374" s="2"/>
      <c r="Y374" s="29"/>
    </row>
    <row x14ac:dyDescent="0.25" r="375" customHeight="1" ht="15.75">
      <c r="A375" s="502"/>
      <c r="B375" s="34"/>
      <c r="C375" s="34"/>
      <c r="D375" s="34"/>
      <c r="E375" s="34"/>
      <c r="F375" s="34"/>
      <c r="G375" s="34"/>
      <c r="H375" s="34"/>
      <c r="I375" s="29"/>
      <c r="J375" s="29"/>
      <c r="K375" s="29"/>
      <c r="L375" s="29"/>
      <c r="M375" s="34"/>
      <c r="N375" s="34"/>
      <c r="O375" s="29"/>
      <c r="P375" s="29"/>
      <c r="Q375" s="29"/>
      <c r="R375" s="29"/>
      <c r="S375" s="29"/>
      <c r="T375" s="476"/>
      <c r="U375" s="29"/>
      <c r="V375" s="2"/>
      <c r="W375" s="29"/>
      <c r="X375" s="2"/>
      <c r="Y375" s="29"/>
    </row>
    <row x14ac:dyDescent="0.25" r="376" customHeight="1" ht="15.75">
      <c r="A376" s="502"/>
      <c r="B376" s="34"/>
      <c r="C376" s="34"/>
      <c r="D376" s="34"/>
      <c r="E376" s="34"/>
      <c r="F376" s="34"/>
      <c r="G376" s="34"/>
      <c r="H376" s="34"/>
      <c r="I376" s="29"/>
      <c r="J376" s="29"/>
      <c r="K376" s="29"/>
      <c r="L376" s="29"/>
      <c r="M376" s="34"/>
      <c r="N376" s="34"/>
      <c r="O376" s="29"/>
      <c r="P376" s="29"/>
      <c r="Q376" s="29"/>
      <c r="R376" s="29"/>
      <c r="S376" s="29"/>
      <c r="T376" s="476"/>
      <c r="U376" s="29"/>
      <c r="V376" s="2"/>
      <c r="W376" s="29"/>
      <c r="X376" s="2"/>
      <c r="Y376" s="29"/>
    </row>
    <row x14ac:dyDescent="0.25" r="377" customHeight="1" ht="15.75">
      <c r="A377" s="502"/>
      <c r="B377" s="34"/>
      <c r="C377" s="34"/>
      <c r="D377" s="34"/>
      <c r="E377" s="34"/>
      <c r="F377" s="34"/>
      <c r="G377" s="34"/>
      <c r="H377" s="34"/>
      <c r="I377" s="29"/>
      <c r="J377" s="29"/>
      <c r="K377" s="29"/>
      <c r="L377" s="29"/>
      <c r="M377" s="34"/>
      <c r="N377" s="34"/>
      <c r="O377" s="29"/>
      <c r="P377" s="29"/>
      <c r="Q377" s="29"/>
      <c r="R377" s="29"/>
      <c r="S377" s="29"/>
      <c r="T377" s="476"/>
      <c r="U377" s="29"/>
      <c r="V377" s="2"/>
      <c r="W377" s="29"/>
      <c r="X377" s="2"/>
      <c r="Y377" s="29"/>
    </row>
    <row x14ac:dyDescent="0.25" r="378" customHeight="1" ht="15.75">
      <c r="A378" s="502"/>
      <c r="B378" s="34"/>
      <c r="C378" s="34"/>
      <c r="D378" s="34"/>
      <c r="E378" s="34"/>
      <c r="F378" s="34"/>
      <c r="G378" s="34"/>
      <c r="H378" s="34"/>
      <c r="I378" s="29"/>
      <c r="J378" s="29"/>
      <c r="K378" s="29"/>
      <c r="L378" s="29"/>
      <c r="M378" s="34"/>
      <c r="N378" s="34"/>
      <c r="O378" s="29"/>
      <c r="P378" s="29"/>
      <c r="Q378" s="29"/>
      <c r="R378" s="29"/>
      <c r="S378" s="29"/>
      <c r="T378" s="476"/>
      <c r="U378" s="29"/>
      <c r="V378" s="2"/>
      <c r="W378" s="29"/>
      <c r="X378" s="2"/>
      <c r="Y378" s="29"/>
    </row>
    <row x14ac:dyDescent="0.25" r="379" customHeight="1" ht="15.75">
      <c r="A379" s="502"/>
      <c r="B379" s="34"/>
      <c r="C379" s="34"/>
      <c r="D379" s="34"/>
      <c r="E379" s="34"/>
      <c r="F379" s="34"/>
      <c r="G379" s="34"/>
      <c r="H379" s="34"/>
      <c r="I379" s="29"/>
      <c r="J379" s="29"/>
      <c r="K379" s="29"/>
      <c r="L379" s="29"/>
      <c r="M379" s="34"/>
      <c r="N379" s="34"/>
      <c r="O379" s="29"/>
      <c r="P379" s="29"/>
      <c r="Q379" s="29"/>
      <c r="R379" s="29"/>
      <c r="S379" s="29"/>
      <c r="T379" s="476"/>
      <c r="U379" s="29"/>
      <c r="V379" s="2"/>
      <c r="W379" s="29"/>
      <c r="X379" s="2"/>
      <c r="Y379" s="29"/>
    </row>
    <row x14ac:dyDescent="0.25" r="380" customHeight="1" ht="15.75">
      <c r="A380" s="502"/>
      <c r="B380" s="34"/>
      <c r="C380" s="34"/>
      <c r="D380" s="34"/>
      <c r="E380" s="34"/>
      <c r="F380" s="34"/>
      <c r="G380" s="34"/>
      <c r="H380" s="34"/>
      <c r="I380" s="29"/>
      <c r="J380" s="29"/>
      <c r="K380" s="29"/>
      <c r="L380" s="29"/>
      <c r="M380" s="34"/>
      <c r="N380" s="34"/>
      <c r="O380" s="29"/>
      <c r="P380" s="29"/>
      <c r="Q380" s="29"/>
      <c r="R380" s="29"/>
      <c r="S380" s="29"/>
      <c r="T380" s="476"/>
      <c r="U380" s="29"/>
      <c r="V380" s="2"/>
      <c r="W380" s="29"/>
      <c r="X380" s="2"/>
      <c r="Y380" s="29"/>
    </row>
    <row x14ac:dyDescent="0.25" r="381" customHeight="1" ht="15.75">
      <c r="A381" s="502"/>
      <c r="B381" s="34"/>
      <c r="C381" s="34"/>
      <c r="D381" s="34"/>
      <c r="E381" s="34"/>
      <c r="F381" s="34"/>
      <c r="G381" s="34"/>
      <c r="H381" s="34"/>
      <c r="I381" s="29"/>
      <c r="J381" s="29"/>
      <c r="K381" s="29"/>
      <c r="L381" s="29"/>
      <c r="M381" s="34"/>
      <c r="N381" s="34"/>
      <c r="O381" s="29"/>
      <c r="P381" s="29"/>
      <c r="Q381" s="29"/>
      <c r="R381" s="29"/>
      <c r="S381" s="29"/>
      <c r="T381" s="476"/>
      <c r="U381" s="29"/>
      <c r="V381" s="2"/>
      <c r="W381" s="29"/>
      <c r="X381" s="2"/>
      <c r="Y381" s="29"/>
    </row>
    <row x14ac:dyDescent="0.25" r="382" customHeight="1" ht="15.75">
      <c r="A382" s="502"/>
      <c r="B382" s="34"/>
      <c r="C382" s="34"/>
      <c r="D382" s="34"/>
      <c r="E382" s="34"/>
      <c r="F382" s="34"/>
      <c r="G382" s="34"/>
      <c r="H382" s="34"/>
      <c r="I382" s="29"/>
      <c r="J382" s="29"/>
      <c r="K382" s="29"/>
      <c r="L382" s="29"/>
      <c r="M382" s="34"/>
      <c r="N382" s="34"/>
      <c r="O382" s="29"/>
      <c r="P382" s="29"/>
      <c r="Q382" s="29"/>
      <c r="R382" s="29"/>
      <c r="S382" s="29"/>
      <c r="T382" s="476"/>
      <c r="U382" s="29"/>
      <c r="V382" s="2"/>
      <c r="W382" s="29"/>
      <c r="X382" s="2"/>
      <c r="Y382" s="29"/>
    </row>
    <row x14ac:dyDescent="0.25" r="383" customHeight="1" ht="15.75">
      <c r="A383" s="502"/>
      <c r="B383" s="34"/>
      <c r="C383" s="34"/>
      <c r="D383" s="34"/>
      <c r="E383" s="34"/>
      <c r="F383" s="34"/>
      <c r="G383" s="34"/>
      <c r="H383" s="34"/>
      <c r="I383" s="29"/>
      <c r="J383" s="29"/>
      <c r="K383" s="29"/>
      <c r="L383" s="29"/>
      <c r="M383" s="34"/>
      <c r="N383" s="34"/>
      <c r="O383" s="29"/>
      <c r="P383" s="29"/>
      <c r="Q383" s="29"/>
      <c r="R383" s="29"/>
      <c r="S383" s="29"/>
      <c r="T383" s="476"/>
      <c r="U383" s="29"/>
      <c r="V383" s="2"/>
      <c r="W383" s="29"/>
      <c r="X383" s="2"/>
      <c r="Y383" s="29"/>
    </row>
    <row x14ac:dyDescent="0.25" r="384" customHeight="1" ht="15.75">
      <c r="A384" s="502"/>
      <c r="B384" s="34"/>
      <c r="C384" s="34"/>
      <c r="D384" s="34"/>
      <c r="E384" s="34"/>
      <c r="F384" s="34"/>
      <c r="G384" s="34"/>
      <c r="H384" s="34"/>
      <c r="I384" s="29"/>
      <c r="J384" s="29"/>
      <c r="K384" s="29"/>
      <c r="L384" s="29"/>
      <c r="M384" s="34"/>
      <c r="N384" s="34"/>
      <c r="O384" s="29"/>
      <c r="P384" s="29"/>
      <c r="Q384" s="29"/>
      <c r="R384" s="29"/>
      <c r="S384" s="29"/>
      <c r="T384" s="476"/>
      <c r="U384" s="29"/>
      <c r="V384" s="2"/>
      <c r="W384" s="29"/>
      <c r="X384" s="2"/>
      <c r="Y384" s="29"/>
    </row>
    <row x14ac:dyDescent="0.25" r="385" customHeight="1" ht="15.75">
      <c r="A385" s="502"/>
      <c r="B385" s="34"/>
      <c r="C385" s="34"/>
      <c r="D385" s="34"/>
      <c r="E385" s="34"/>
      <c r="F385" s="34"/>
      <c r="G385" s="34"/>
      <c r="H385" s="34"/>
      <c r="I385" s="29"/>
      <c r="J385" s="29"/>
      <c r="K385" s="29"/>
      <c r="L385" s="29"/>
      <c r="M385" s="34"/>
      <c r="N385" s="34"/>
      <c r="O385" s="29"/>
      <c r="P385" s="29"/>
      <c r="Q385" s="29"/>
      <c r="R385" s="29"/>
      <c r="S385" s="29"/>
      <c r="T385" s="476"/>
      <c r="U385" s="29"/>
      <c r="V385" s="2"/>
      <c r="W385" s="29"/>
      <c r="X385" s="2"/>
      <c r="Y385" s="29"/>
    </row>
    <row x14ac:dyDescent="0.25" r="386" customHeight="1" ht="15.75">
      <c r="A386" s="502"/>
      <c r="B386" s="34"/>
      <c r="C386" s="34"/>
      <c r="D386" s="34"/>
      <c r="E386" s="34"/>
      <c r="F386" s="34"/>
      <c r="G386" s="34"/>
      <c r="H386" s="34"/>
      <c r="I386" s="29"/>
      <c r="J386" s="29"/>
      <c r="K386" s="29"/>
      <c r="L386" s="29"/>
      <c r="M386" s="34"/>
      <c r="N386" s="34"/>
      <c r="O386" s="29"/>
      <c r="P386" s="29"/>
      <c r="Q386" s="29"/>
      <c r="R386" s="29"/>
      <c r="S386" s="29"/>
      <c r="T386" s="476"/>
      <c r="U386" s="29"/>
      <c r="V386" s="2"/>
      <c r="W386" s="29"/>
      <c r="X386" s="2"/>
      <c r="Y386" s="29"/>
    </row>
    <row x14ac:dyDescent="0.25" r="387" customHeight="1" ht="15.75">
      <c r="A387" s="502"/>
      <c r="B387" s="34"/>
      <c r="C387" s="34"/>
      <c r="D387" s="34"/>
      <c r="E387" s="34"/>
      <c r="F387" s="34"/>
      <c r="G387" s="34"/>
      <c r="H387" s="34"/>
      <c r="I387" s="29"/>
      <c r="J387" s="29"/>
      <c r="K387" s="29"/>
      <c r="L387" s="29"/>
      <c r="M387" s="34"/>
      <c r="N387" s="34"/>
      <c r="O387" s="29"/>
      <c r="P387" s="29"/>
      <c r="Q387" s="29"/>
      <c r="R387" s="29"/>
      <c r="S387" s="29"/>
      <c r="T387" s="476"/>
      <c r="U387" s="29"/>
      <c r="V387" s="2"/>
      <c r="W387" s="29"/>
      <c r="X387" s="2"/>
      <c r="Y387" s="29"/>
    </row>
    <row x14ac:dyDescent="0.25" r="388" customHeight="1" ht="15.75">
      <c r="A388" s="502"/>
      <c r="B388" s="34"/>
      <c r="C388" s="34"/>
      <c r="D388" s="34"/>
      <c r="E388" s="34"/>
      <c r="F388" s="34"/>
      <c r="G388" s="34"/>
      <c r="H388" s="34"/>
      <c r="I388" s="29"/>
      <c r="J388" s="29"/>
      <c r="K388" s="29"/>
      <c r="L388" s="29"/>
      <c r="M388" s="34"/>
      <c r="N388" s="34"/>
      <c r="O388" s="29"/>
      <c r="P388" s="29"/>
      <c r="Q388" s="29"/>
      <c r="R388" s="29"/>
      <c r="S388" s="29"/>
      <c r="T388" s="476"/>
      <c r="U388" s="29"/>
      <c r="V388" s="2"/>
      <c r="W388" s="29"/>
      <c r="X388" s="2"/>
      <c r="Y388" s="29"/>
    </row>
    <row x14ac:dyDescent="0.25" r="389" customHeight="1" ht="15.75">
      <c r="A389" s="502"/>
      <c r="B389" s="34"/>
      <c r="C389" s="34"/>
      <c r="D389" s="34"/>
      <c r="E389" s="34"/>
      <c r="F389" s="34"/>
      <c r="G389" s="34"/>
      <c r="H389" s="34"/>
      <c r="I389" s="29"/>
      <c r="J389" s="29"/>
      <c r="K389" s="29"/>
      <c r="L389" s="29"/>
      <c r="M389" s="34"/>
      <c r="N389" s="34"/>
      <c r="O389" s="29"/>
      <c r="P389" s="29"/>
      <c r="Q389" s="29"/>
      <c r="R389" s="29"/>
      <c r="S389" s="29"/>
      <c r="T389" s="476"/>
      <c r="U389" s="29"/>
      <c r="V389" s="2"/>
      <c r="W389" s="29"/>
      <c r="X389" s="2"/>
      <c r="Y389" s="29"/>
    </row>
    <row x14ac:dyDescent="0.25" r="390" customHeight="1" ht="15.75">
      <c r="A390" s="502"/>
      <c r="B390" s="34"/>
      <c r="C390" s="34"/>
      <c r="D390" s="34"/>
      <c r="E390" s="34"/>
      <c r="F390" s="34"/>
      <c r="G390" s="34"/>
      <c r="H390" s="34"/>
      <c r="I390" s="29"/>
      <c r="J390" s="29"/>
      <c r="K390" s="29"/>
      <c r="L390" s="29"/>
      <c r="M390" s="34"/>
      <c r="N390" s="34"/>
      <c r="O390" s="29"/>
      <c r="P390" s="29"/>
      <c r="Q390" s="29"/>
      <c r="R390" s="29"/>
      <c r="S390" s="29"/>
      <c r="T390" s="476"/>
      <c r="U390" s="29"/>
      <c r="V390" s="2"/>
      <c r="W390" s="29"/>
      <c r="X390" s="2"/>
      <c r="Y390" s="29"/>
    </row>
    <row x14ac:dyDescent="0.25" r="391" customHeight="1" ht="15.75">
      <c r="A391" s="502"/>
      <c r="B391" s="34"/>
      <c r="C391" s="34"/>
      <c r="D391" s="34"/>
      <c r="E391" s="34"/>
      <c r="F391" s="34"/>
      <c r="G391" s="34"/>
      <c r="H391" s="34"/>
      <c r="I391" s="29"/>
      <c r="J391" s="29"/>
      <c r="K391" s="29"/>
      <c r="L391" s="29"/>
      <c r="M391" s="34"/>
      <c r="N391" s="34"/>
      <c r="O391" s="29"/>
      <c r="P391" s="29"/>
      <c r="Q391" s="29"/>
      <c r="R391" s="29"/>
      <c r="S391" s="29"/>
      <c r="T391" s="476"/>
      <c r="U391" s="29"/>
      <c r="V391" s="2"/>
      <c r="W391" s="29"/>
      <c r="X391" s="2"/>
      <c r="Y391" s="29"/>
    </row>
    <row x14ac:dyDescent="0.25" r="392" customHeight="1" ht="15.75">
      <c r="A392" s="502"/>
      <c r="B392" s="34"/>
      <c r="C392" s="34"/>
      <c r="D392" s="34"/>
      <c r="E392" s="34"/>
      <c r="F392" s="34"/>
      <c r="G392" s="34"/>
      <c r="H392" s="34"/>
      <c r="I392" s="29"/>
      <c r="J392" s="29"/>
      <c r="K392" s="29"/>
      <c r="L392" s="29"/>
      <c r="M392" s="34"/>
      <c r="N392" s="34"/>
      <c r="O392" s="29"/>
      <c r="P392" s="29"/>
      <c r="Q392" s="29"/>
      <c r="R392" s="29"/>
      <c r="S392" s="29"/>
      <c r="T392" s="476"/>
      <c r="U392" s="29"/>
      <c r="V392" s="2"/>
      <c r="W392" s="29"/>
      <c r="X392" s="2"/>
      <c r="Y392" s="29"/>
    </row>
    <row x14ac:dyDescent="0.25" r="393" customHeight="1" ht="15.75">
      <c r="A393" s="502"/>
      <c r="B393" s="34"/>
      <c r="C393" s="34"/>
      <c r="D393" s="34"/>
      <c r="E393" s="34"/>
      <c r="F393" s="34"/>
      <c r="G393" s="34"/>
      <c r="H393" s="34"/>
      <c r="I393" s="29"/>
      <c r="J393" s="29"/>
      <c r="K393" s="29"/>
      <c r="L393" s="29"/>
      <c r="M393" s="34"/>
      <c r="N393" s="34"/>
      <c r="O393" s="29"/>
      <c r="P393" s="29"/>
      <c r="Q393" s="29"/>
      <c r="R393" s="29"/>
      <c r="S393" s="29"/>
      <c r="T393" s="476"/>
      <c r="U393" s="29"/>
      <c r="V393" s="2"/>
      <c r="W393" s="29"/>
      <c r="X393" s="2"/>
      <c r="Y393" s="29"/>
    </row>
    <row x14ac:dyDescent="0.25" r="394" customHeight="1" ht="15.75">
      <c r="A394" s="502"/>
      <c r="B394" s="34"/>
      <c r="C394" s="34"/>
      <c r="D394" s="34"/>
      <c r="E394" s="34"/>
      <c r="F394" s="34"/>
      <c r="G394" s="34"/>
      <c r="H394" s="34"/>
      <c r="I394" s="29"/>
      <c r="J394" s="29"/>
      <c r="K394" s="29"/>
      <c r="L394" s="29"/>
      <c r="M394" s="34"/>
      <c r="N394" s="34"/>
      <c r="O394" s="29"/>
      <c r="P394" s="29"/>
      <c r="Q394" s="29"/>
      <c r="R394" s="29"/>
      <c r="S394" s="29"/>
      <c r="T394" s="476"/>
      <c r="U394" s="29"/>
      <c r="V394" s="2"/>
      <c r="W394" s="29"/>
      <c r="X394" s="2"/>
      <c r="Y394" s="29"/>
    </row>
    <row x14ac:dyDescent="0.25" r="395" customHeight="1" ht="15.75">
      <c r="A395" s="502"/>
      <c r="B395" s="34"/>
      <c r="C395" s="34"/>
      <c r="D395" s="34"/>
      <c r="E395" s="34"/>
      <c r="F395" s="34"/>
      <c r="G395" s="34"/>
      <c r="H395" s="34"/>
      <c r="I395" s="29"/>
      <c r="J395" s="29"/>
      <c r="K395" s="29"/>
      <c r="L395" s="29"/>
      <c r="M395" s="34"/>
      <c r="N395" s="34"/>
      <c r="O395" s="29"/>
      <c r="P395" s="29"/>
      <c r="Q395" s="29"/>
      <c r="R395" s="29"/>
      <c r="S395" s="29"/>
      <c r="T395" s="476"/>
      <c r="U395" s="29"/>
      <c r="V395" s="2"/>
      <c r="W395" s="29"/>
      <c r="X395" s="2"/>
      <c r="Y395" s="29"/>
    </row>
    <row x14ac:dyDescent="0.25" r="396" customHeight="1" ht="15.75">
      <c r="A396" s="502"/>
      <c r="B396" s="34"/>
      <c r="C396" s="34"/>
      <c r="D396" s="34"/>
      <c r="E396" s="34"/>
      <c r="F396" s="34"/>
      <c r="G396" s="34"/>
      <c r="H396" s="34"/>
      <c r="I396" s="29"/>
      <c r="J396" s="29"/>
      <c r="K396" s="29"/>
      <c r="L396" s="29"/>
      <c r="M396" s="34"/>
      <c r="N396" s="34"/>
      <c r="O396" s="29"/>
      <c r="P396" s="29"/>
      <c r="Q396" s="29"/>
      <c r="R396" s="29"/>
      <c r="S396" s="29"/>
      <c r="T396" s="476"/>
      <c r="U396" s="29"/>
      <c r="V396" s="2"/>
      <c r="W396" s="29"/>
      <c r="X396" s="2"/>
      <c r="Y396" s="29"/>
    </row>
    <row x14ac:dyDescent="0.25" r="397" customHeight="1" ht="15.75">
      <c r="A397" s="502"/>
      <c r="B397" s="34"/>
      <c r="C397" s="34"/>
      <c r="D397" s="34"/>
      <c r="E397" s="34"/>
      <c r="F397" s="34"/>
      <c r="G397" s="34"/>
      <c r="H397" s="34"/>
      <c r="I397" s="29"/>
      <c r="J397" s="29"/>
      <c r="K397" s="29"/>
      <c r="L397" s="29"/>
      <c r="M397" s="34"/>
      <c r="N397" s="34"/>
      <c r="O397" s="29"/>
      <c r="P397" s="29"/>
      <c r="Q397" s="29"/>
      <c r="R397" s="29"/>
      <c r="S397" s="29"/>
      <c r="T397" s="476"/>
      <c r="U397" s="29"/>
      <c r="V397" s="2"/>
      <c r="W397" s="29"/>
      <c r="X397" s="2"/>
      <c r="Y397" s="29"/>
    </row>
    <row x14ac:dyDescent="0.25" r="398" customHeight="1" ht="15.75">
      <c r="A398" s="502"/>
      <c r="B398" s="34"/>
      <c r="C398" s="34"/>
      <c r="D398" s="34"/>
      <c r="E398" s="34"/>
      <c r="F398" s="34"/>
      <c r="G398" s="34"/>
      <c r="H398" s="34"/>
      <c r="I398" s="29"/>
      <c r="J398" s="29"/>
      <c r="K398" s="29"/>
      <c r="L398" s="29"/>
      <c r="M398" s="34"/>
      <c r="N398" s="34"/>
      <c r="O398" s="29"/>
      <c r="P398" s="29"/>
      <c r="Q398" s="29"/>
      <c r="R398" s="29"/>
      <c r="S398" s="29"/>
      <c r="T398" s="476"/>
      <c r="U398" s="29"/>
      <c r="V398" s="2"/>
      <c r="W398" s="29"/>
      <c r="X398" s="2"/>
      <c r="Y398" s="29"/>
    </row>
    <row x14ac:dyDescent="0.25" r="399" customHeight="1" ht="15.75">
      <c r="A399" s="502"/>
      <c r="B399" s="34"/>
      <c r="C399" s="34"/>
      <c r="D399" s="34"/>
      <c r="E399" s="34"/>
      <c r="F399" s="34"/>
      <c r="G399" s="34"/>
      <c r="H399" s="34"/>
      <c r="I399" s="29"/>
      <c r="J399" s="29"/>
      <c r="K399" s="29"/>
      <c r="L399" s="29"/>
      <c r="M399" s="34"/>
      <c r="N399" s="34"/>
      <c r="O399" s="29"/>
      <c r="P399" s="29"/>
      <c r="Q399" s="29"/>
      <c r="R399" s="29"/>
      <c r="S399" s="29"/>
      <c r="T399" s="476"/>
      <c r="U399" s="29"/>
      <c r="V399" s="2"/>
      <c r="W399" s="29"/>
      <c r="X399" s="2"/>
      <c r="Y399" s="29"/>
    </row>
    <row x14ac:dyDescent="0.25" r="400" customHeight="1" ht="15.75">
      <c r="A400" s="502"/>
      <c r="B400" s="34"/>
      <c r="C400" s="34"/>
      <c r="D400" s="34"/>
      <c r="E400" s="34"/>
      <c r="F400" s="34"/>
      <c r="G400" s="34"/>
      <c r="H400" s="34"/>
      <c r="I400" s="29"/>
      <c r="J400" s="29"/>
      <c r="K400" s="29"/>
      <c r="L400" s="29"/>
      <c r="M400" s="34"/>
      <c r="N400" s="34"/>
      <c r="O400" s="29"/>
      <c r="P400" s="29"/>
      <c r="Q400" s="29"/>
      <c r="R400" s="29"/>
      <c r="S400" s="29"/>
      <c r="T400" s="476"/>
      <c r="U400" s="29"/>
      <c r="V400" s="2"/>
      <c r="W400" s="29"/>
      <c r="X400" s="2"/>
      <c r="Y400" s="29"/>
    </row>
    <row x14ac:dyDescent="0.25" r="401" customHeight="1" ht="15.75">
      <c r="A401" s="502"/>
      <c r="B401" s="34"/>
      <c r="C401" s="34"/>
      <c r="D401" s="34"/>
      <c r="E401" s="34"/>
      <c r="F401" s="34"/>
      <c r="G401" s="34"/>
      <c r="H401" s="34"/>
      <c r="I401" s="29"/>
      <c r="J401" s="29"/>
      <c r="K401" s="29"/>
      <c r="L401" s="29"/>
      <c r="M401" s="34"/>
      <c r="N401" s="34"/>
      <c r="O401" s="29"/>
      <c r="P401" s="29"/>
      <c r="Q401" s="29"/>
      <c r="R401" s="29"/>
      <c r="S401" s="29"/>
      <c r="T401" s="476"/>
      <c r="U401" s="29"/>
      <c r="V401" s="2"/>
      <c r="W401" s="29"/>
      <c r="X401" s="2"/>
      <c r="Y401" s="29"/>
    </row>
    <row x14ac:dyDescent="0.25" r="402" customHeight="1" ht="15.75">
      <c r="A402" s="502"/>
      <c r="B402" s="34"/>
      <c r="C402" s="34"/>
      <c r="D402" s="34"/>
      <c r="E402" s="34"/>
      <c r="F402" s="34"/>
      <c r="G402" s="34"/>
      <c r="H402" s="34"/>
      <c r="I402" s="29"/>
      <c r="J402" s="29"/>
      <c r="K402" s="29"/>
      <c r="L402" s="29"/>
      <c r="M402" s="34"/>
      <c r="N402" s="34"/>
      <c r="O402" s="29"/>
      <c r="P402" s="29"/>
      <c r="Q402" s="29"/>
      <c r="R402" s="29"/>
      <c r="S402" s="29"/>
      <c r="T402" s="476"/>
      <c r="U402" s="29"/>
      <c r="V402" s="2"/>
      <c r="W402" s="29"/>
      <c r="X402" s="2"/>
      <c r="Y402" s="29"/>
    </row>
    <row x14ac:dyDescent="0.25" r="403" customHeight="1" ht="15.75">
      <c r="A403" s="502"/>
      <c r="B403" s="34"/>
      <c r="C403" s="34"/>
      <c r="D403" s="34"/>
      <c r="E403" s="34"/>
      <c r="F403" s="34"/>
      <c r="G403" s="34"/>
      <c r="H403" s="34"/>
      <c r="I403" s="29"/>
      <c r="J403" s="29"/>
      <c r="K403" s="29"/>
      <c r="L403" s="29"/>
      <c r="M403" s="34"/>
      <c r="N403" s="34"/>
      <c r="O403" s="29"/>
      <c r="P403" s="29"/>
      <c r="Q403" s="29"/>
      <c r="R403" s="29"/>
      <c r="S403" s="29"/>
      <c r="T403" s="476"/>
      <c r="U403" s="29"/>
      <c r="V403" s="2"/>
      <c r="W403" s="29"/>
      <c r="X403" s="2"/>
      <c r="Y403" s="29"/>
    </row>
    <row x14ac:dyDescent="0.25" r="404" customHeight="1" ht="15.75">
      <c r="A404" s="502"/>
      <c r="B404" s="34"/>
      <c r="C404" s="34"/>
      <c r="D404" s="34"/>
      <c r="E404" s="34"/>
      <c r="F404" s="34"/>
      <c r="G404" s="34"/>
      <c r="H404" s="34"/>
      <c r="I404" s="29"/>
      <c r="J404" s="29"/>
      <c r="K404" s="29"/>
      <c r="L404" s="29"/>
      <c r="M404" s="34"/>
      <c r="N404" s="34"/>
      <c r="O404" s="29"/>
      <c r="P404" s="29"/>
      <c r="Q404" s="29"/>
      <c r="R404" s="29"/>
      <c r="S404" s="29"/>
      <c r="T404" s="476"/>
      <c r="U404" s="29"/>
      <c r="V404" s="2"/>
      <c r="W404" s="29"/>
      <c r="X404" s="2"/>
      <c r="Y404" s="29"/>
    </row>
    <row x14ac:dyDescent="0.25" r="405" customHeight="1" ht="15.75">
      <c r="A405" s="502"/>
      <c r="B405" s="34"/>
      <c r="C405" s="34"/>
      <c r="D405" s="34"/>
      <c r="E405" s="34"/>
      <c r="F405" s="34"/>
      <c r="G405" s="34"/>
      <c r="H405" s="34"/>
      <c r="I405" s="29"/>
      <c r="J405" s="29"/>
      <c r="K405" s="29"/>
      <c r="L405" s="29"/>
      <c r="M405" s="34"/>
      <c r="N405" s="34"/>
      <c r="O405" s="29"/>
      <c r="P405" s="29"/>
      <c r="Q405" s="29"/>
      <c r="R405" s="29"/>
      <c r="S405" s="29"/>
      <c r="T405" s="476"/>
      <c r="U405" s="29"/>
      <c r="V405" s="2"/>
      <c r="W405" s="29"/>
      <c r="X405" s="2"/>
      <c r="Y405" s="29"/>
    </row>
    <row x14ac:dyDescent="0.25" r="406" customHeight="1" ht="15.75">
      <c r="A406" s="502"/>
      <c r="B406" s="34"/>
      <c r="C406" s="34"/>
      <c r="D406" s="34"/>
      <c r="E406" s="34"/>
      <c r="F406" s="34"/>
      <c r="G406" s="34"/>
      <c r="H406" s="34"/>
      <c r="I406" s="29"/>
      <c r="J406" s="29"/>
      <c r="K406" s="29"/>
      <c r="L406" s="29"/>
      <c r="M406" s="34"/>
      <c r="N406" s="34"/>
      <c r="O406" s="29"/>
      <c r="P406" s="29"/>
      <c r="Q406" s="29"/>
      <c r="R406" s="29"/>
      <c r="S406" s="29"/>
      <c r="T406" s="476"/>
      <c r="U406" s="29"/>
      <c r="V406" s="2"/>
      <c r="W406" s="29"/>
      <c r="X406" s="2"/>
      <c r="Y406" s="29"/>
    </row>
    <row x14ac:dyDescent="0.25" r="407" customHeight="1" ht="15.75">
      <c r="A407" s="502"/>
      <c r="B407" s="34"/>
      <c r="C407" s="34"/>
      <c r="D407" s="34"/>
      <c r="E407" s="34"/>
      <c r="F407" s="34"/>
      <c r="G407" s="34"/>
      <c r="H407" s="34"/>
      <c r="I407" s="29"/>
      <c r="J407" s="29"/>
      <c r="K407" s="29"/>
      <c r="L407" s="29"/>
      <c r="M407" s="34"/>
      <c r="N407" s="34"/>
      <c r="O407" s="29"/>
      <c r="P407" s="29"/>
      <c r="Q407" s="29"/>
      <c r="R407" s="29"/>
      <c r="S407" s="29"/>
      <c r="T407" s="476"/>
      <c r="U407" s="29"/>
      <c r="V407" s="2"/>
      <c r="W407" s="29"/>
      <c r="X407" s="2"/>
      <c r="Y407" s="29"/>
    </row>
    <row x14ac:dyDescent="0.25" r="408" customHeight="1" ht="15.75">
      <c r="A408" s="502"/>
      <c r="B408" s="34"/>
      <c r="C408" s="34"/>
      <c r="D408" s="34"/>
      <c r="E408" s="34"/>
      <c r="F408" s="34"/>
      <c r="G408" s="34"/>
      <c r="H408" s="34"/>
      <c r="I408" s="29"/>
      <c r="J408" s="29"/>
      <c r="K408" s="29"/>
      <c r="L408" s="29"/>
      <c r="M408" s="34"/>
      <c r="N408" s="34"/>
      <c r="O408" s="29"/>
      <c r="P408" s="29"/>
      <c r="Q408" s="29"/>
      <c r="R408" s="29"/>
      <c r="S408" s="29"/>
      <c r="T408" s="476"/>
      <c r="U408" s="29"/>
      <c r="V408" s="2"/>
      <c r="W408" s="29"/>
      <c r="X408" s="2"/>
      <c r="Y408" s="29"/>
    </row>
    <row x14ac:dyDescent="0.25" r="409" customHeight="1" ht="15.75">
      <c r="A409" s="502"/>
      <c r="B409" s="34"/>
      <c r="C409" s="34"/>
      <c r="D409" s="34"/>
      <c r="E409" s="34"/>
      <c r="F409" s="34"/>
      <c r="G409" s="34"/>
      <c r="H409" s="34"/>
      <c r="I409" s="29"/>
      <c r="J409" s="29"/>
      <c r="K409" s="29"/>
      <c r="L409" s="29"/>
      <c r="M409" s="34"/>
      <c r="N409" s="34"/>
      <c r="O409" s="29"/>
      <c r="P409" s="29"/>
      <c r="Q409" s="29"/>
      <c r="R409" s="29"/>
      <c r="S409" s="29"/>
      <c r="T409" s="476"/>
      <c r="U409" s="29"/>
      <c r="V409" s="2"/>
      <c r="W409" s="29"/>
      <c r="X409" s="2"/>
      <c r="Y409" s="29"/>
    </row>
    <row x14ac:dyDescent="0.25" r="410" customHeight="1" ht="15.75">
      <c r="A410" s="502"/>
      <c r="B410" s="34"/>
      <c r="C410" s="34"/>
      <c r="D410" s="34"/>
      <c r="E410" s="34"/>
      <c r="F410" s="34"/>
      <c r="G410" s="34"/>
      <c r="H410" s="34"/>
      <c r="I410" s="29"/>
      <c r="J410" s="29"/>
      <c r="K410" s="29"/>
      <c r="L410" s="29"/>
      <c r="M410" s="34"/>
      <c r="N410" s="34"/>
      <c r="O410" s="29"/>
      <c r="P410" s="29"/>
      <c r="Q410" s="29"/>
      <c r="R410" s="29"/>
      <c r="S410" s="29"/>
      <c r="T410" s="476"/>
      <c r="U410" s="29"/>
      <c r="V410" s="2"/>
      <c r="W410" s="29"/>
      <c r="X410" s="2"/>
      <c r="Y410" s="29"/>
    </row>
    <row x14ac:dyDescent="0.25" r="411" customHeight="1" ht="15.75">
      <c r="A411" s="502"/>
      <c r="B411" s="34"/>
      <c r="C411" s="34"/>
      <c r="D411" s="34"/>
      <c r="E411" s="34"/>
      <c r="F411" s="34"/>
      <c r="G411" s="34"/>
      <c r="H411" s="34"/>
      <c r="I411" s="29"/>
      <c r="J411" s="29"/>
      <c r="K411" s="29"/>
      <c r="L411" s="29"/>
      <c r="M411" s="34"/>
      <c r="N411" s="34"/>
      <c r="O411" s="29"/>
      <c r="P411" s="29"/>
      <c r="Q411" s="29"/>
      <c r="R411" s="29"/>
      <c r="S411" s="29"/>
      <c r="T411" s="476"/>
      <c r="U411" s="29"/>
      <c r="V411" s="2"/>
      <c r="W411" s="29"/>
      <c r="X411" s="2"/>
      <c r="Y411" s="29"/>
    </row>
    <row x14ac:dyDescent="0.25" r="412" customHeight="1" ht="15.75">
      <c r="A412" s="502"/>
      <c r="B412" s="34"/>
      <c r="C412" s="34"/>
      <c r="D412" s="34"/>
      <c r="E412" s="34"/>
      <c r="F412" s="34"/>
      <c r="G412" s="34"/>
      <c r="H412" s="34"/>
      <c r="I412" s="29"/>
      <c r="J412" s="29"/>
      <c r="K412" s="29"/>
      <c r="L412" s="29"/>
      <c r="M412" s="34"/>
      <c r="N412" s="34"/>
      <c r="O412" s="29"/>
      <c r="P412" s="29"/>
      <c r="Q412" s="29"/>
      <c r="R412" s="29"/>
      <c r="S412" s="29"/>
      <c r="T412" s="476"/>
      <c r="U412" s="29"/>
      <c r="V412" s="2"/>
      <c r="W412" s="29"/>
      <c r="X412" s="2"/>
      <c r="Y412" s="29"/>
    </row>
    <row x14ac:dyDescent="0.25" r="413" customHeight="1" ht="15.75">
      <c r="A413" s="502"/>
      <c r="B413" s="34"/>
      <c r="C413" s="34"/>
      <c r="D413" s="34"/>
      <c r="E413" s="34"/>
      <c r="F413" s="34"/>
      <c r="G413" s="34"/>
      <c r="H413" s="34"/>
      <c r="I413" s="29"/>
      <c r="J413" s="29"/>
      <c r="K413" s="29"/>
      <c r="L413" s="29"/>
      <c r="M413" s="34"/>
      <c r="N413" s="34"/>
      <c r="O413" s="29"/>
      <c r="P413" s="29"/>
      <c r="Q413" s="29"/>
      <c r="R413" s="29"/>
      <c r="S413" s="29"/>
      <c r="T413" s="476"/>
      <c r="U413" s="29"/>
      <c r="V413" s="2"/>
      <c r="W413" s="29"/>
      <c r="X413" s="2"/>
      <c r="Y413" s="29"/>
    </row>
    <row x14ac:dyDescent="0.25" r="414" customHeight="1" ht="15.75">
      <c r="A414" s="502"/>
      <c r="B414" s="34"/>
      <c r="C414" s="34"/>
      <c r="D414" s="34"/>
      <c r="E414" s="34"/>
      <c r="F414" s="34"/>
      <c r="G414" s="34"/>
      <c r="H414" s="34"/>
      <c r="I414" s="29"/>
      <c r="J414" s="29"/>
      <c r="K414" s="29"/>
      <c r="L414" s="29"/>
      <c r="M414" s="34"/>
      <c r="N414" s="34"/>
      <c r="O414" s="29"/>
      <c r="P414" s="29"/>
      <c r="Q414" s="29"/>
      <c r="R414" s="29"/>
      <c r="S414" s="29"/>
      <c r="T414" s="476"/>
      <c r="U414" s="29"/>
      <c r="V414" s="2"/>
      <c r="W414" s="29"/>
      <c r="X414" s="2"/>
      <c r="Y414" s="29"/>
    </row>
    <row x14ac:dyDescent="0.25" r="415" customHeight="1" ht="15.75">
      <c r="A415" s="502"/>
      <c r="B415" s="34"/>
      <c r="C415" s="34"/>
      <c r="D415" s="34"/>
      <c r="E415" s="34"/>
      <c r="F415" s="34"/>
      <c r="G415" s="34"/>
      <c r="H415" s="34"/>
      <c r="I415" s="29"/>
      <c r="J415" s="29"/>
      <c r="K415" s="29"/>
      <c r="L415" s="29"/>
      <c r="M415" s="34"/>
      <c r="N415" s="34"/>
      <c r="O415" s="29"/>
      <c r="P415" s="29"/>
      <c r="Q415" s="29"/>
      <c r="R415" s="29"/>
      <c r="S415" s="29"/>
      <c r="T415" s="476"/>
      <c r="U415" s="29"/>
      <c r="V415" s="2"/>
      <c r="W415" s="29"/>
      <c r="X415" s="2"/>
      <c r="Y415" s="29"/>
    </row>
    <row x14ac:dyDescent="0.25" r="416" customHeight="1" ht="15.75">
      <c r="A416" s="502"/>
      <c r="B416" s="34"/>
      <c r="C416" s="34"/>
      <c r="D416" s="34"/>
      <c r="E416" s="34"/>
      <c r="F416" s="34"/>
      <c r="G416" s="34"/>
      <c r="H416" s="34"/>
      <c r="I416" s="29"/>
      <c r="J416" s="29"/>
      <c r="K416" s="29"/>
      <c r="L416" s="29"/>
      <c r="M416" s="34"/>
      <c r="N416" s="34"/>
      <c r="O416" s="29"/>
      <c r="P416" s="29"/>
      <c r="Q416" s="29"/>
      <c r="R416" s="29"/>
      <c r="S416" s="29"/>
      <c r="T416" s="476"/>
      <c r="U416" s="29"/>
      <c r="V416" s="2"/>
      <c r="W416" s="29"/>
      <c r="X416" s="2"/>
      <c r="Y416" s="29"/>
    </row>
    <row x14ac:dyDescent="0.25" r="417" customHeight="1" ht="15.75">
      <c r="A417" s="502"/>
      <c r="B417" s="34"/>
      <c r="C417" s="34"/>
      <c r="D417" s="34"/>
      <c r="E417" s="34"/>
      <c r="F417" s="34"/>
      <c r="G417" s="34"/>
      <c r="H417" s="34"/>
      <c r="I417" s="29"/>
      <c r="J417" s="29"/>
      <c r="K417" s="29"/>
      <c r="L417" s="29"/>
      <c r="M417" s="34"/>
      <c r="N417" s="34"/>
      <c r="O417" s="29"/>
      <c r="P417" s="29"/>
      <c r="Q417" s="29"/>
      <c r="R417" s="29"/>
      <c r="S417" s="29"/>
      <c r="T417" s="476"/>
      <c r="U417" s="29"/>
      <c r="V417" s="2"/>
      <c r="W417" s="29"/>
      <c r="X417" s="2"/>
      <c r="Y417" s="29"/>
    </row>
    <row x14ac:dyDescent="0.25" r="418" customHeight="1" ht="15.75">
      <c r="A418" s="502"/>
      <c r="B418" s="34"/>
      <c r="C418" s="34"/>
      <c r="D418" s="34"/>
      <c r="E418" s="34"/>
      <c r="F418" s="34"/>
      <c r="G418" s="34"/>
      <c r="H418" s="34"/>
      <c r="I418" s="29"/>
      <c r="J418" s="29"/>
      <c r="K418" s="29"/>
      <c r="L418" s="29"/>
      <c r="M418" s="34"/>
      <c r="N418" s="34"/>
      <c r="O418" s="29"/>
      <c r="P418" s="29"/>
      <c r="Q418" s="29"/>
      <c r="R418" s="29"/>
      <c r="S418" s="29"/>
      <c r="T418" s="476"/>
      <c r="U418" s="29"/>
      <c r="V418" s="2"/>
      <c r="W418" s="29"/>
      <c r="X418" s="2"/>
      <c r="Y418" s="29"/>
    </row>
    <row x14ac:dyDescent="0.25" r="419" customHeight="1" ht="15.75">
      <c r="A419" s="502"/>
      <c r="B419" s="34"/>
      <c r="C419" s="34"/>
      <c r="D419" s="34"/>
      <c r="E419" s="34"/>
      <c r="F419" s="34"/>
      <c r="G419" s="34"/>
      <c r="H419" s="34"/>
      <c r="I419" s="29"/>
      <c r="J419" s="29"/>
      <c r="K419" s="29"/>
      <c r="L419" s="29"/>
      <c r="M419" s="34"/>
      <c r="N419" s="34"/>
      <c r="O419" s="29"/>
      <c r="P419" s="29"/>
      <c r="Q419" s="29"/>
      <c r="R419" s="29"/>
      <c r="S419" s="29"/>
      <c r="T419" s="476"/>
      <c r="U419" s="29"/>
      <c r="V419" s="2"/>
      <c r="W419" s="29"/>
      <c r="X419" s="2"/>
      <c r="Y419" s="29"/>
    </row>
    <row x14ac:dyDescent="0.25" r="420" customHeight="1" ht="15.75">
      <c r="A420" s="502"/>
      <c r="B420" s="34"/>
      <c r="C420" s="34"/>
      <c r="D420" s="34"/>
      <c r="E420" s="34"/>
      <c r="F420" s="34"/>
      <c r="G420" s="34"/>
      <c r="H420" s="34"/>
      <c r="I420" s="29"/>
      <c r="J420" s="29"/>
      <c r="K420" s="29"/>
      <c r="L420" s="29"/>
      <c r="M420" s="34"/>
      <c r="N420" s="34"/>
      <c r="O420" s="29"/>
      <c r="P420" s="29"/>
      <c r="Q420" s="29"/>
      <c r="R420" s="29"/>
      <c r="S420" s="29"/>
      <c r="T420" s="476"/>
      <c r="U420" s="29"/>
      <c r="V420" s="2"/>
      <c r="W420" s="29"/>
      <c r="X420" s="2"/>
      <c r="Y420" s="29"/>
    </row>
    <row x14ac:dyDescent="0.25" r="421" customHeight="1" ht="15.75">
      <c r="A421" s="502"/>
      <c r="B421" s="34"/>
      <c r="C421" s="34"/>
      <c r="D421" s="34"/>
      <c r="E421" s="34"/>
      <c r="F421" s="34"/>
      <c r="G421" s="34"/>
      <c r="H421" s="34"/>
      <c r="I421" s="29"/>
      <c r="J421" s="29"/>
      <c r="K421" s="29"/>
      <c r="L421" s="29"/>
      <c r="M421" s="34"/>
      <c r="N421" s="34"/>
      <c r="O421" s="29"/>
      <c r="P421" s="29"/>
      <c r="Q421" s="29"/>
      <c r="R421" s="29"/>
      <c r="S421" s="29"/>
      <c r="T421" s="476"/>
      <c r="U421" s="29"/>
      <c r="V421" s="2"/>
      <c r="W421" s="29"/>
      <c r="X421" s="2"/>
      <c r="Y421" s="29"/>
    </row>
    <row x14ac:dyDescent="0.25" r="422" customHeight="1" ht="15.75">
      <c r="A422" s="502"/>
      <c r="B422" s="34"/>
      <c r="C422" s="34"/>
      <c r="D422" s="34"/>
      <c r="E422" s="34"/>
      <c r="F422" s="34"/>
      <c r="G422" s="34"/>
      <c r="H422" s="34"/>
      <c r="I422" s="29"/>
      <c r="J422" s="29"/>
      <c r="K422" s="29"/>
      <c r="L422" s="29"/>
      <c r="M422" s="34"/>
      <c r="N422" s="34"/>
      <c r="O422" s="29"/>
      <c r="P422" s="29"/>
      <c r="Q422" s="29"/>
      <c r="R422" s="29"/>
      <c r="S422" s="29"/>
      <c r="T422" s="476"/>
      <c r="U422" s="29"/>
      <c r="V422" s="2"/>
      <c r="W422" s="29"/>
      <c r="X422" s="2"/>
      <c r="Y422" s="29"/>
    </row>
    <row x14ac:dyDescent="0.25" r="423" customHeight="1" ht="15.75">
      <c r="A423" s="502"/>
      <c r="B423" s="34"/>
      <c r="C423" s="34"/>
      <c r="D423" s="34"/>
      <c r="E423" s="34"/>
      <c r="F423" s="34"/>
      <c r="G423" s="34"/>
      <c r="H423" s="34"/>
      <c r="I423" s="29"/>
      <c r="J423" s="29"/>
      <c r="K423" s="29"/>
      <c r="L423" s="29"/>
      <c r="M423" s="34"/>
      <c r="N423" s="34"/>
      <c r="O423" s="29"/>
      <c r="P423" s="29"/>
      <c r="Q423" s="29"/>
      <c r="R423" s="29"/>
      <c r="S423" s="29"/>
      <c r="T423" s="476"/>
      <c r="U423" s="29"/>
      <c r="V423" s="2"/>
      <c r="W423" s="29"/>
      <c r="X423" s="2"/>
      <c r="Y423" s="29"/>
    </row>
    <row x14ac:dyDescent="0.25" r="424" customHeight="1" ht="15.75">
      <c r="A424" s="502"/>
      <c r="B424" s="34"/>
      <c r="C424" s="34"/>
      <c r="D424" s="34"/>
      <c r="E424" s="34"/>
      <c r="F424" s="34"/>
      <c r="G424" s="34"/>
      <c r="H424" s="34"/>
      <c r="I424" s="29"/>
      <c r="J424" s="29"/>
      <c r="K424" s="29"/>
      <c r="L424" s="29"/>
      <c r="M424" s="34"/>
      <c r="N424" s="34"/>
      <c r="O424" s="29"/>
      <c r="P424" s="29"/>
      <c r="Q424" s="29"/>
      <c r="R424" s="29"/>
      <c r="S424" s="29"/>
      <c r="T424" s="476"/>
      <c r="U424" s="29"/>
      <c r="V424" s="2"/>
      <c r="W424" s="29"/>
      <c r="X424" s="2"/>
      <c r="Y424" s="29"/>
    </row>
    <row x14ac:dyDescent="0.25" r="425" customHeight="1" ht="15.75">
      <c r="A425" s="502"/>
      <c r="B425" s="34"/>
      <c r="C425" s="34"/>
      <c r="D425" s="34"/>
      <c r="E425" s="34"/>
      <c r="F425" s="34"/>
      <c r="G425" s="34"/>
      <c r="H425" s="34"/>
      <c r="I425" s="29"/>
      <c r="J425" s="29"/>
      <c r="K425" s="29"/>
      <c r="L425" s="29"/>
      <c r="M425" s="34"/>
      <c r="N425" s="34"/>
      <c r="O425" s="29"/>
      <c r="P425" s="29"/>
      <c r="Q425" s="29"/>
      <c r="R425" s="29"/>
      <c r="S425" s="29"/>
      <c r="T425" s="476"/>
      <c r="U425" s="29"/>
      <c r="V425" s="2"/>
      <c r="W425" s="29"/>
      <c r="X425" s="2"/>
      <c r="Y425" s="29"/>
    </row>
    <row x14ac:dyDescent="0.25" r="426" customHeight="1" ht="15.75">
      <c r="A426" s="502"/>
      <c r="B426" s="34"/>
      <c r="C426" s="34"/>
      <c r="D426" s="34"/>
      <c r="E426" s="34"/>
      <c r="F426" s="34"/>
      <c r="G426" s="34"/>
      <c r="H426" s="34"/>
      <c r="I426" s="29"/>
      <c r="J426" s="29"/>
      <c r="K426" s="29"/>
      <c r="L426" s="29"/>
      <c r="M426" s="34"/>
      <c r="N426" s="34"/>
      <c r="O426" s="29"/>
      <c r="P426" s="29"/>
      <c r="Q426" s="29"/>
      <c r="R426" s="29"/>
      <c r="S426" s="29"/>
      <c r="T426" s="476"/>
      <c r="U426" s="29"/>
      <c r="V426" s="2"/>
      <c r="W426" s="29"/>
      <c r="X426" s="2"/>
      <c r="Y426" s="29"/>
    </row>
    <row x14ac:dyDescent="0.25" r="427" customHeight="1" ht="15.75">
      <c r="A427" s="502"/>
      <c r="B427" s="34"/>
      <c r="C427" s="34"/>
      <c r="D427" s="34"/>
      <c r="E427" s="34"/>
      <c r="F427" s="34"/>
      <c r="G427" s="34"/>
      <c r="H427" s="34"/>
      <c r="I427" s="29"/>
      <c r="J427" s="29"/>
      <c r="K427" s="29"/>
      <c r="L427" s="29"/>
      <c r="M427" s="34"/>
      <c r="N427" s="34"/>
      <c r="O427" s="29"/>
      <c r="P427" s="29"/>
      <c r="Q427" s="29"/>
      <c r="R427" s="29"/>
      <c r="S427" s="29"/>
      <c r="T427" s="476"/>
      <c r="U427" s="29"/>
      <c r="V427" s="2"/>
      <c r="W427" s="29"/>
      <c r="X427" s="2"/>
      <c r="Y427" s="29"/>
    </row>
    <row x14ac:dyDescent="0.25" r="428" customHeight="1" ht="15.75">
      <c r="A428" s="502"/>
      <c r="B428" s="34"/>
      <c r="C428" s="34"/>
      <c r="D428" s="34"/>
      <c r="E428" s="34"/>
      <c r="F428" s="34"/>
      <c r="G428" s="34"/>
      <c r="H428" s="34"/>
      <c r="I428" s="29"/>
      <c r="J428" s="29"/>
      <c r="K428" s="29"/>
      <c r="L428" s="29"/>
      <c r="M428" s="34"/>
      <c r="N428" s="34"/>
      <c r="O428" s="29"/>
      <c r="P428" s="29"/>
      <c r="Q428" s="29"/>
      <c r="R428" s="29"/>
      <c r="S428" s="29"/>
      <c r="T428" s="476"/>
      <c r="U428" s="29"/>
      <c r="V428" s="2"/>
      <c r="W428" s="29"/>
      <c r="X428" s="2"/>
      <c r="Y428" s="29"/>
    </row>
    <row x14ac:dyDescent="0.25" r="429" customHeight="1" ht="15.75">
      <c r="A429" s="502"/>
      <c r="B429" s="34"/>
      <c r="C429" s="34"/>
      <c r="D429" s="34"/>
      <c r="E429" s="34"/>
      <c r="F429" s="34"/>
      <c r="G429" s="34"/>
      <c r="H429" s="34"/>
      <c r="I429" s="29"/>
      <c r="J429" s="29"/>
      <c r="K429" s="29"/>
      <c r="L429" s="29"/>
      <c r="M429" s="34"/>
      <c r="N429" s="34"/>
      <c r="O429" s="29"/>
      <c r="P429" s="29"/>
      <c r="Q429" s="29"/>
      <c r="R429" s="29"/>
      <c r="S429" s="29"/>
      <c r="T429" s="476"/>
      <c r="U429" s="29"/>
      <c r="V429" s="2"/>
      <c r="W429" s="29"/>
      <c r="X429" s="2"/>
      <c r="Y429" s="29"/>
    </row>
    <row x14ac:dyDescent="0.25" r="430" customHeight="1" ht="15.75">
      <c r="A430" s="502"/>
      <c r="B430" s="34"/>
      <c r="C430" s="34"/>
      <c r="D430" s="34"/>
      <c r="E430" s="34"/>
      <c r="F430" s="34"/>
      <c r="G430" s="34"/>
      <c r="H430" s="34"/>
      <c r="I430" s="29"/>
      <c r="J430" s="29"/>
      <c r="K430" s="29"/>
      <c r="L430" s="29"/>
      <c r="M430" s="34"/>
      <c r="N430" s="34"/>
      <c r="O430" s="29"/>
      <c r="P430" s="29"/>
      <c r="Q430" s="29"/>
      <c r="R430" s="29"/>
      <c r="S430" s="29"/>
      <c r="T430" s="476"/>
      <c r="U430" s="29"/>
      <c r="V430" s="2"/>
      <c r="W430" s="29"/>
      <c r="X430" s="2"/>
      <c r="Y430" s="29"/>
    </row>
    <row x14ac:dyDescent="0.25" r="431" customHeight="1" ht="15.75">
      <c r="A431" s="502"/>
      <c r="B431" s="34"/>
      <c r="C431" s="34"/>
      <c r="D431" s="34"/>
      <c r="E431" s="34"/>
      <c r="F431" s="34"/>
      <c r="G431" s="34"/>
      <c r="H431" s="34"/>
      <c r="I431" s="29"/>
      <c r="J431" s="29"/>
      <c r="K431" s="29"/>
      <c r="L431" s="29"/>
      <c r="M431" s="34"/>
      <c r="N431" s="34"/>
      <c r="O431" s="29"/>
      <c r="P431" s="29"/>
      <c r="Q431" s="29"/>
      <c r="R431" s="29"/>
      <c r="S431" s="29"/>
      <c r="T431" s="476"/>
      <c r="U431" s="29"/>
      <c r="V431" s="2"/>
      <c r="W431" s="29"/>
      <c r="X431" s="2"/>
      <c r="Y431" s="29"/>
    </row>
    <row x14ac:dyDescent="0.25" r="432" customHeight="1" ht="15.75">
      <c r="A432" s="502"/>
      <c r="B432" s="34"/>
      <c r="C432" s="34"/>
      <c r="D432" s="34"/>
      <c r="E432" s="34"/>
      <c r="F432" s="34"/>
      <c r="G432" s="34"/>
      <c r="H432" s="34"/>
      <c r="I432" s="29"/>
      <c r="J432" s="29"/>
      <c r="K432" s="29"/>
      <c r="L432" s="29"/>
      <c r="M432" s="34"/>
      <c r="N432" s="34"/>
      <c r="O432" s="29"/>
      <c r="P432" s="29"/>
      <c r="Q432" s="29"/>
      <c r="R432" s="29"/>
      <c r="S432" s="29"/>
      <c r="T432" s="476"/>
      <c r="U432" s="29"/>
      <c r="V432" s="2"/>
      <c r="W432" s="29"/>
      <c r="X432" s="2"/>
      <c r="Y432" s="29"/>
    </row>
    <row x14ac:dyDescent="0.25" r="433" customHeight="1" ht="15.75">
      <c r="A433" s="502"/>
      <c r="B433" s="34"/>
      <c r="C433" s="34"/>
      <c r="D433" s="34"/>
      <c r="E433" s="34"/>
      <c r="F433" s="34"/>
      <c r="G433" s="34"/>
      <c r="H433" s="34"/>
      <c r="I433" s="29"/>
      <c r="J433" s="29"/>
      <c r="K433" s="29"/>
      <c r="L433" s="29"/>
      <c r="M433" s="34"/>
      <c r="N433" s="34"/>
      <c r="O433" s="29"/>
      <c r="P433" s="29"/>
      <c r="Q433" s="29"/>
      <c r="R433" s="29"/>
      <c r="S433" s="29"/>
      <c r="T433" s="476"/>
      <c r="U433" s="29"/>
      <c r="V433" s="2"/>
      <c r="W433" s="29"/>
      <c r="X433" s="2"/>
      <c r="Y433" s="29"/>
    </row>
    <row x14ac:dyDescent="0.25" r="434" customHeight="1" ht="15.75">
      <c r="A434" s="502"/>
      <c r="B434" s="34"/>
      <c r="C434" s="34"/>
      <c r="D434" s="34"/>
      <c r="E434" s="34"/>
      <c r="F434" s="34"/>
      <c r="G434" s="34"/>
      <c r="H434" s="34"/>
      <c r="I434" s="29"/>
      <c r="J434" s="29"/>
      <c r="K434" s="29"/>
      <c r="L434" s="29"/>
      <c r="M434" s="34"/>
      <c r="N434" s="34"/>
      <c r="O434" s="29"/>
      <c r="P434" s="29"/>
      <c r="Q434" s="29"/>
      <c r="R434" s="29"/>
      <c r="S434" s="29"/>
      <c r="T434" s="476"/>
      <c r="U434" s="29"/>
      <c r="V434" s="2"/>
      <c r="W434" s="29"/>
      <c r="X434" s="2"/>
      <c r="Y434" s="29"/>
    </row>
    <row x14ac:dyDescent="0.25" r="435" customHeight="1" ht="15.75">
      <c r="A435" s="502"/>
      <c r="B435" s="34"/>
      <c r="C435" s="34"/>
      <c r="D435" s="34"/>
      <c r="E435" s="34"/>
      <c r="F435" s="34"/>
      <c r="G435" s="34"/>
      <c r="H435" s="34"/>
      <c r="I435" s="29"/>
      <c r="J435" s="29"/>
      <c r="K435" s="29"/>
      <c r="L435" s="29"/>
      <c r="M435" s="34"/>
      <c r="N435" s="34"/>
      <c r="O435" s="29"/>
      <c r="P435" s="29"/>
      <c r="Q435" s="29"/>
      <c r="R435" s="29"/>
      <c r="S435" s="29"/>
      <c r="T435" s="476"/>
      <c r="U435" s="29"/>
      <c r="V435" s="2"/>
      <c r="W435" s="29"/>
      <c r="X435" s="2"/>
      <c r="Y435" s="29"/>
    </row>
    <row x14ac:dyDescent="0.25" r="436" customHeight="1" ht="15.75">
      <c r="A436" s="502"/>
      <c r="B436" s="34"/>
      <c r="C436" s="34"/>
      <c r="D436" s="34"/>
      <c r="E436" s="34"/>
      <c r="F436" s="34"/>
      <c r="G436" s="34"/>
      <c r="H436" s="34"/>
      <c r="I436" s="29"/>
      <c r="J436" s="29"/>
      <c r="K436" s="29"/>
      <c r="L436" s="29"/>
      <c r="M436" s="34"/>
      <c r="N436" s="34"/>
      <c r="O436" s="29"/>
      <c r="P436" s="29"/>
      <c r="Q436" s="29"/>
      <c r="R436" s="29"/>
      <c r="S436" s="29"/>
      <c r="T436" s="476"/>
      <c r="U436" s="29"/>
      <c r="V436" s="2"/>
      <c r="W436" s="29"/>
      <c r="X436" s="2"/>
      <c r="Y436" s="29"/>
    </row>
    <row x14ac:dyDescent="0.25" r="437" customHeight="1" ht="15.75">
      <c r="A437" s="502"/>
      <c r="B437" s="34"/>
      <c r="C437" s="34"/>
      <c r="D437" s="34"/>
      <c r="E437" s="34"/>
      <c r="F437" s="34"/>
      <c r="G437" s="34"/>
      <c r="H437" s="34"/>
      <c r="I437" s="29"/>
      <c r="J437" s="29"/>
      <c r="K437" s="29"/>
      <c r="L437" s="29"/>
      <c r="M437" s="34"/>
      <c r="N437" s="34"/>
      <c r="O437" s="29"/>
      <c r="P437" s="29"/>
      <c r="Q437" s="29"/>
      <c r="R437" s="29"/>
      <c r="S437" s="29"/>
      <c r="T437" s="476"/>
      <c r="U437" s="29"/>
      <c r="V437" s="2"/>
      <c r="W437" s="29"/>
      <c r="X437" s="2"/>
      <c r="Y437" s="29"/>
    </row>
    <row x14ac:dyDescent="0.25" r="438" customHeight="1" ht="15.75">
      <c r="A438" s="502"/>
      <c r="B438" s="34"/>
      <c r="C438" s="34"/>
      <c r="D438" s="34"/>
      <c r="E438" s="34"/>
      <c r="F438" s="34"/>
      <c r="G438" s="34"/>
      <c r="H438" s="34"/>
      <c r="I438" s="29"/>
      <c r="J438" s="29"/>
      <c r="K438" s="29"/>
      <c r="L438" s="29"/>
      <c r="M438" s="34"/>
      <c r="N438" s="34"/>
      <c r="O438" s="29"/>
      <c r="P438" s="29"/>
      <c r="Q438" s="29"/>
      <c r="R438" s="29"/>
      <c r="S438" s="29"/>
      <c r="T438" s="476"/>
      <c r="U438" s="29"/>
      <c r="V438" s="2"/>
      <c r="W438" s="29"/>
      <c r="X438" s="2"/>
      <c r="Y438" s="29"/>
    </row>
    <row x14ac:dyDescent="0.25" r="439" customHeight="1" ht="15.75">
      <c r="A439" s="502"/>
      <c r="B439" s="34"/>
      <c r="C439" s="34"/>
      <c r="D439" s="34"/>
      <c r="E439" s="34"/>
      <c r="F439" s="34"/>
      <c r="G439" s="34"/>
      <c r="H439" s="34"/>
      <c r="I439" s="29"/>
      <c r="J439" s="29"/>
      <c r="K439" s="29"/>
      <c r="L439" s="29"/>
      <c r="M439" s="34"/>
      <c r="N439" s="34"/>
      <c r="O439" s="29"/>
      <c r="P439" s="29"/>
      <c r="Q439" s="29"/>
      <c r="R439" s="29"/>
      <c r="S439" s="29"/>
      <c r="T439" s="476"/>
      <c r="U439" s="29"/>
      <c r="V439" s="2"/>
      <c r="W439" s="29"/>
      <c r="X439" s="2"/>
      <c r="Y439" s="29"/>
    </row>
    <row x14ac:dyDescent="0.25" r="440" customHeight="1" ht="15.75">
      <c r="A440" s="502"/>
      <c r="B440" s="34"/>
      <c r="C440" s="34"/>
      <c r="D440" s="34"/>
      <c r="E440" s="34"/>
      <c r="F440" s="34"/>
      <c r="G440" s="34"/>
      <c r="H440" s="34"/>
      <c r="I440" s="29"/>
      <c r="J440" s="29"/>
      <c r="K440" s="29"/>
      <c r="L440" s="29"/>
      <c r="M440" s="34"/>
      <c r="N440" s="34"/>
      <c r="O440" s="29"/>
      <c r="P440" s="29"/>
      <c r="Q440" s="29"/>
      <c r="R440" s="29"/>
      <c r="S440" s="29"/>
      <c r="T440" s="476"/>
      <c r="U440" s="29"/>
      <c r="V440" s="2"/>
      <c r="W440" s="29"/>
      <c r="X440" s="2"/>
      <c r="Y440" s="29"/>
    </row>
    <row x14ac:dyDescent="0.25" r="441" customHeight="1" ht="15.75">
      <c r="A441" s="502"/>
      <c r="B441" s="34"/>
      <c r="C441" s="34"/>
      <c r="D441" s="34"/>
      <c r="E441" s="34"/>
      <c r="F441" s="34"/>
      <c r="G441" s="34"/>
      <c r="H441" s="34"/>
      <c r="I441" s="29"/>
      <c r="J441" s="29"/>
      <c r="K441" s="29"/>
      <c r="L441" s="29"/>
      <c r="M441" s="34"/>
      <c r="N441" s="34"/>
      <c r="O441" s="29"/>
      <c r="P441" s="29"/>
      <c r="Q441" s="29"/>
      <c r="R441" s="29"/>
      <c r="S441" s="29"/>
      <c r="T441" s="476"/>
      <c r="U441" s="29"/>
      <c r="V441" s="2"/>
      <c r="W441" s="29"/>
      <c r="X441" s="2"/>
      <c r="Y441" s="29"/>
    </row>
    <row x14ac:dyDescent="0.25" r="442" customHeight="1" ht="15.75">
      <c r="A442" s="502"/>
      <c r="B442" s="34"/>
      <c r="C442" s="34"/>
      <c r="D442" s="34"/>
      <c r="E442" s="34"/>
      <c r="F442" s="34"/>
      <c r="G442" s="34"/>
      <c r="H442" s="34"/>
      <c r="I442" s="29"/>
      <c r="J442" s="29"/>
      <c r="K442" s="29"/>
      <c r="L442" s="29"/>
      <c r="M442" s="34"/>
      <c r="N442" s="34"/>
      <c r="O442" s="29"/>
      <c r="P442" s="29"/>
      <c r="Q442" s="29"/>
      <c r="R442" s="29"/>
      <c r="S442" s="29"/>
      <c r="T442" s="476"/>
      <c r="U442" s="29"/>
      <c r="V442" s="2"/>
      <c r="W442" s="29"/>
      <c r="X442" s="2"/>
      <c r="Y442" s="29"/>
    </row>
    <row x14ac:dyDescent="0.25" r="443" customHeight="1" ht="15.75">
      <c r="A443" s="502"/>
      <c r="B443" s="34"/>
      <c r="C443" s="34"/>
      <c r="D443" s="34"/>
      <c r="E443" s="34"/>
      <c r="F443" s="34"/>
      <c r="G443" s="34"/>
      <c r="H443" s="34"/>
      <c r="I443" s="29"/>
      <c r="J443" s="29"/>
      <c r="K443" s="29"/>
      <c r="L443" s="29"/>
      <c r="M443" s="34"/>
      <c r="N443" s="34"/>
      <c r="O443" s="29"/>
      <c r="P443" s="29"/>
      <c r="Q443" s="29"/>
      <c r="R443" s="29"/>
      <c r="S443" s="29"/>
      <c r="T443" s="476"/>
      <c r="U443" s="29"/>
      <c r="V443" s="2"/>
      <c r="W443" s="29"/>
      <c r="X443" s="2"/>
      <c r="Y443" s="29"/>
    </row>
    <row x14ac:dyDescent="0.25" r="444" customHeight="1" ht="15.75">
      <c r="A444" s="502"/>
      <c r="B444" s="34"/>
      <c r="C444" s="34"/>
      <c r="D444" s="34"/>
      <c r="E444" s="34"/>
      <c r="F444" s="34"/>
      <c r="G444" s="34"/>
      <c r="H444" s="34"/>
      <c r="I444" s="29"/>
      <c r="J444" s="29"/>
      <c r="K444" s="29"/>
      <c r="L444" s="29"/>
      <c r="M444" s="34"/>
      <c r="N444" s="34"/>
      <c r="O444" s="29"/>
      <c r="P444" s="29"/>
      <c r="Q444" s="29"/>
      <c r="R444" s="29"/>
      <c r="S444" s="29"/>
      <c r="T444" s="476"/>
      <c r="U444" s="29"/>
      <c r="V444" s="2"/>
      <c r="W444" s="29"/>
      <c r="X444" s="2"/>
      <c r="Y444" s="29"/>
    </row>
    <row x14ac:dyDescent="0.25" r="445" customHeight="1" ht="15.75">
      <c r="A445" s="502"/>
      <c r="B445" s="34"/>
      <c r="C445" s="34"/>
      <c r="D445" s="34"/>
      <c r="E445" s="34"/>
      <c r="F445" s="34"/>
      <c r="G445" s="34"/>
      <c r="H445" s="34"/>
      <c r="I445" s="29"/>
      <c r="J445" s="29"/>
      <c r="K445" s="29"/>
      <c r="L445" s="29"/>
      <c r="M445" s="34"/>
      <c r="N445" s="34"/>
      <c r="O445" s="29"/>
      <c r="P445" s="29"/>
      <c r="Q445" s="29"/>
      <c r="R445" s="29"/>
      <c r="S445" s="29"/>
      <c r="T445" s="476"/>
      <c r="U445" s="29"/>
      <c r="V445" s="2"/>
      <c r="W445" s="29"/>
      <c r="X445" s="2"/>
      <c r="Y445" s="29"/>
    </row>
    <row x14ac:dyDescent="0.25" r="446" customHeight="1" ht="15.75">
      <c r="A446" s="502"/>
      <c r="B446" s="34"/>
      <c r="C446" s="34"/>
      <c r="D446" s="34"/>
      <c r="E446" s="34"/>
      <c r="F446" s="34"/>
      <c r="G446" s="34"/>
      <c r="H446" s="34"/>
      <c r="I446" s="29"/>
      <c r="J446" s="29"/>
      <c r="K446" s="29"/>
      <c r="L446" s="29"/>
      <c r="M446" s="34"/>
      <c r="N446" s="34"/>
      <c r="O446" s="29"/>
      <c r="P446" s="29"/>
      <c r="Q446" s="29"/>
      <c r="R446" s="29"/>
      <c r="S446" s="29"/>
      <c r="T446" s="476"/>
      <c r="U446" s="29"/>
      <c r="V446" s="2"/>
      <c r="W446" s="29"/>
      <c r="X446" s="2"/>
      <c r="Y446" s="29"/>
    </row>
    <row x14ac:dyDescent="0.25" r="447" customHeight="1" ht="15.75">
      <c r="A447" s="502"/>
      <c r="B447" s="34"/>
      <c r="C447" s="34"/>
      <c r="D447" s="34"/>
      <c r="E447" s="34"/>
      <c r="F447" s="34"/>
      <c r="G447" s="34"/>
      <c r="H447" s="34"/>
      <c r="I447" s="29"/>
      <c r="J447" s="29"/>
      <c r="K447" s="29"/>
      <c r="L447" s="29"/>
      <c r="M447" s="34"/>
      <c r="N447" s="34"/>
      <c r="O447" s="29"/>
      <c r="P447" s="29"/>
      <c r="Q447" s="29"/>
      <c r="R447" s="29"/>
      <c r="S447" s="29"/>
      <c r="T447" s="476"/>
      <c r="U447" s="29"/>
      <c r="V447" s="2"/>
      <c r="W447" s="29"/>
      <c r="X447" s="2"/>
      <c r="Y447" s="29"/>
    </row>
    <row x14ac:dyDescent="0.25" r="448" customHeight="1" ht="15.75">
      <c r="A448" s="502"/>
      <c r="B448" s="34"/>
      <c r="C448" s="34"/>
      <c r="D448" s="34"/>
      <c r="E448" s="34"/>
      <c r="F448" s="34"/>
      <c r="G448" s="34"/>
      <c r="H448" s="34"/>
      <c r="I448" s="29"/>
      <c r="J448" s="29"/>
      <c r="K448" s="29"/>
      <c r="L448" s="29"/>
      <c r="M448" s="34"/>
      <c r="N448" s="34"/>
      <c r="O448" s="29"/>
      <c r="P448" s="29"/>
      <c r="Q448" s="29"/>
      <c r="R448" s="29"/>
      <c r="S448" s="29"/>
      <c r="T448" s="476"/>
      <c r="U448" s="29"/>
      <c r="V448" s="2"/>
      <c r="W448" s="29"/>
      <c r="X448" s="2"/>
      <c r="Y448" s="29"/>
    </row>
    <row x14ac:dyDescent="0.25" r="449" customHeight="1" ht="15.75">
      <c r="A449" s="502"/>
      <c r="B449" s="34"/>
      <c r="C449" s="34"/>
      <c r="D449" s="34"/>
      <c r="E449" s="34"/>
      <c r="F449" s="34"/>
      <c r="G449" s="34"/>
      <c r="H449" s="34"/>
      <c r="I449" s="29"/>
      <c r="J449" s="29"/>
      <c r="K449" s="29"/>
      <c r="L449" s="29"/>
      <c r="M449" s="34"/>
      <c r="N449" s="34"/>
      <c r="O449" s="29"/>
      <c r="P449" s="29"/>
      <c r="Q449" s="29"/>
      <c r="R449" s="29"/>
      <c r="S449" s="29"/>
      <c r="T449" s="476"/>
      <c r="U449" s="29"/>
      <c r="V449" s="2"/>
      <c r="W449" s="29"/>
      <c r="X449" s="2"/>
      <c r="Y449" s="29"/>
    </row>
    <row x14ac:dyDescent="0.25" r="450" customHeight="1" ht="15.75">
      <c r="A450" s="502"/>
      <c r="B450" s="34"/>
      <c r="C450" s="34"/>
      <c r="D450" s="34"/>
      <c r="E450" s="34"/>
      <c r="F450" s="34"/>
      <c r="G450" s="34"/>
      <c r="H450" s="34"/>
      <c r="I450" s="29"/>
      <c r="J450" s="29"/>
      <c r="K450" s="29"/>
      <c r="L450" s="29"/>
      <c r="M450" s="34"/>
      <c r="N450" s="34"/>
      <c r="O450" s="29"/>
      <c r="P450" s="29"/>
      <c r="Q450" s="29"/>
      <c r="R450" s="29"/>
      <c r="S450" s="29"/>
      <c r="T450" s="476"/>
      <c r="U450" s="29"/>
      <c r="V450" s="2"/>
      <c r="W450" s="29"/>
      <c r="X450" s="2"/>
      <c r="Y450" s="29"/>
    </row>
    <row x14ac:dyDescent="0.25" r="451" customHeight="1" ht="15.75">
      <c r="A451" s="502"/>
      <c r="B451" s="34"/>
      <c r="C451" s="34"/>
      <c r="D451" s="34"/>
      <c r="E451" s="34"/>
      <c r="F451" s="34"/>
      <c r="G451" s="34"/>
      <c r="H451" s="34"/>
      <c r="I451" s="29"/>
      <c r="J451" s="29"/>
      <c r="K451" s="29"/>
      <c r="L451" s="29"/>
      <c r="M451" s="34"/>
      <c r="N451" s="34"/>
      <c r="O451" s="29"/>
      <c r="P451" s="29"/>
      <c r="Q451" s="29"/>
      <c r="R451" s="29"/>
      <c r="S451" s="29"/>
      <c r="T451" s="476"/>
      <c r="U451" s="29"/>
      <c r="V451" s="2"/>
      <c r="W451" s="29"/>
      <c r="X451" s="2"/>
      <c r="Y451" s="29"/>
    </row>
    <row x14ac:dyDescent="0.25" r="452" customHeight="1" ht="15.75">
      <c r="A452" s="502"/>
      <c r="B452" s="34"/>
      <c r="C452" s="34"/>
      <c r="D452" s="34"/>
      <c r="E452" s="34"/>
      <c r="F452" s="34"/>
      <c r="G452" s="34"/>
      <c r="H452" s="34"/>
      <c r="I452" s="29"/>
      <c r="J452" s="29"/>
      <c r="K452" s="29"/>
      <c r="L452" s="29"/>
      <c r="M452" s="34"/>
      <c r="N452" s="34"/>
      <c r="O452" s="29"/>
      <c r="P452" s="29"/>
      <c r="Q452" s="29"/>
      <c r="R452" s="29"/>
      <c r="S452" s="29"/>
      <c r="T452" s="476"/>
      <c r="U452" s="29"/>
      <c r="V452" s="2"/>
      <c r="W452" s="29"/>
      <c r="X452" s="2"/>
      <c r="Y452" s="29"/>
    </row>
    <row x14ac:dyDescent="0.25" r="453" customHeight="1" ht="15.75">
      <c r="A453" s="502"/>
      <c r="B453" s="34"/>
      <c r="C453" s="34"/>
      <c r="D453" s="34"/>
      <c r="E453" s="34"/>
      <c r="F453" s="34"/>
      <c r="G453" s="34"/>
      <c r="H453" s="34"/>
      <c r="I453" s="29"/>
      <c r="J453" s="29"/>
      <c r="K453" s="29"/>
      <c r="L453" s="29"/>
      <c r="M453" s="34"/>
      <c r="N453" s="34"/>
      <c r="O453" s="29"/>
      <c r="P453" s="29"/>
      <c r="Q453" s="29"/>
      <c r="R453" s="29"/>
      <c r="S453" s="29"/>
      <c r="T453" s="476"/>
      <c r="U453" s="29"/>
      <c r="V453" s="2"/>
      <c r="W453" s="29"/>
      <c r="X453" s="2"/>
      <c r="Y453" s="29"/>
    </row>
    <row x14ac:dyDescent="0.25" r="454" customHeight="1" ht="15.75">
      <c r="A454" s="502"/>
      <c r="B454" s="34"/>
      <c r="C454" s="34"/>
      <c r="D454" s="34"/>
      <c r="E454" s="34"/>
      <c r="F454" s="34"/>
      <c r="G454" s="34"/>
      <c r="H454" s="34"/>
      <c r="I454" s="29"/>
      <c r="J454" s="29"/>
      <c r="K454" s="29"/>
      <c r="L454" s="29"/>
      <c r="M454" s="34"/>
      <c r="N454" s="34"/>
      <c r="O454" s="29"/>
      <c r="P454" s="29"/>
      <c r="Q454" s="29"/>
      <c r="R454" s="29"/>
      <c r="S454" s="29"/>
      <c r="T454" s="476"/>
      <c r="U454" s="29"/>
      <c r="V454" s="2"/>
      <c r="W454" s="29"/>
      <c r="X454" s="2"/>
      <c r="Y454" s="29"/>
    </row>
    <row x14ac:dyDescent="0.25" r="455" customHeight="1" ht="15.75">
      <c r="A455" s="502"/>
      <c r="B455" s="34"/>
      <c r="C455" s="34"/>
      <c r="D455" s="34"/>
      <c r="E455" s="34"/>
      <c r="F455" s="34"/>
      <c r="G455" s="34"/>
      <c r="H455" s="34"/>
      <c r="I455" s="29"/>
      <c r="J455" s="29"/>
      <c r="K455" s="29"/>
      <c r="L455" s="29"/>
      <c r="M455" s="34"/>
      <c r="N455" s="34"/>
      <c r="O455" s="29"/>
      <c r="P455" s="29"/>
      <c r="Q455" s="29"/>
      <c r="R455" s="29"/>
      <c r="S455" s="29"/>
      <c r="T455" s="476"/>
      <c r="U455" s="29"/>
      <c r="V455" s="2"/>
      <c r="W455" s="29"/>
      <c r="X455" s="2"/>
      <c r="Y455" s="29"/>
    </row>
    <row x14ac:dyDescent="0.25" r="456" customHeight="1" ht="15.75">
      <c r="A456" s="502"/>
      <c r="B456" s="34"/>
      <c r="C456" s="34"/>
      <c r="D456" s="34"/>
      <c r="E456" s="34"/>
      <c r="F456" s="34"/>
      <c r="G456" s="34"/>
      <c r="H456" s="34"/>
      <c r="I456" s="29"/>
      <c r="J456" s="29"/>
      <c r="K456" s="29"/>
      <c r="L456" s="29"/>
      <c r="M456" s="34"/>
      <c r="N456" s="34"/>
      <c r="O456" s="29"/>
      <c r="P456" s="29"/>
      <c r="Q456" s="29"/>
      <c r="R456" s="29"/>
      <c r="S456" s="29"/>
      <c r="T456" s="476"/>
      <c r="U456" s="29"/>
      <c r="V456" s="2"/>
      <c r="W456" s="29"/>
      <c r="X456" s="2"/>
      <c r="Y456" s="29"/>
    </row>
    <row x14ac:dyDescent="0.25" r="457" customHeight="1" ht="15.75">
      <c r="A457" s="502"/>
      <c r="B457" s="34"/>
      <c r="C457" s="34"/>
      <c r="D457" s="34"/>
      <c r="E457" s="34"/>
      <c r="F457" s="34"/>
      <c r="G457" s="34"/>
      <c r="H457" s="34"/>
      <c r="I457" s="29"/>
      <c r="J457" s="29"/>
      <c r="K457" s="29"/>
      <c r="L457" s="29"/>
      <c r="M457" s="34"/>
      <c r="N457" s="34"/>
      <c r="O457" s="29"/>
      <c r="P457" s="29"/>
      <c r="Q457" s="29"/>
      <c r="R457" s="29"/>
      <c r="S457" s="29"/>
      <c r="T457" s="476"/>
      <c r="U457" s="29"/>
      <c r="V457" s="2"/>
      <c r="W457" s="29"/>
      <c r="X457" s="2"/>
      <c r="Y457" s="29"/>
    </row>
    <row x14ac:dyDescent="0.25" r="458" customHeight="1" ht="15.75">
      <c r="A458" s="502"/>
      <c r="B458" s="34"/>
      <c r="C458" s="34"/>
      <c r="D458" s="34"/>
      <c r="E458" s="34"/>
      <c r="F458" s="34"/>
      <c r="G458" s="34"/>
      <c r="H458" s="34"/>
      <c r="I458" s="29"/>
      <c r="J458" s="29"/>
      <c r="K458" s="29"/>
      <c r="L458" s="29"/>
      <c r="M458" s="34"/>
      <c r="N458" s="34"/>
      <c r="O458" s="29"/>
      <c r="P458" s="29"/>
      <c r="Q458" s="29"/>
      <c r="R458" s="29"/>
      <c r="S458" s="29"/>
      <c r="T458" s="476"/>
      <c r="U458" s="29"/>
      <c r="V458" s="2"/>
      <c r="W458" s="29"/>
      <c r="X458" s="2"/>
      <c r="Y458" s="29"/>
    </row>
    <row x14ac:dyDescent="0.25" r="459" customHeight="1" ht="15.75">
      <c r="A459" s="502"/>
      <c r="B459" s="34"/>
      <c r="C459" s="34"/>
      <c r="D459" s="34"/>
      <c r="E459" s="34"/>
      <c r="F459" s="34"/>
      <c r="G459" s="34"/>
      <c r="H459" s="34"/>
      <c r="I459" s="29"/>
      <c r="J459" s="29"/>
      <c r="K459" s="29"/>
      <c r="L459" s="29"/>
      <c r="M459" s="34"/>
      <c r="N459" s="34"/>
      <c r="O459" s="29"/>
      <c r="P459" s="29"/>
      <c r="Q459" s="29"/>
      <c r="R459" s="29"/>
      <c r="S459" s="29"/>
      <c r="T459" s="476"/>
      <c r="U459" s="29"/>
      <c r="V459" s="2"/>
      <c r="W459" s="29"/>
      <c r="X459" s="2"/>
      <c r="Y459" s="29"/>
    </row>
    <row x14ac:dyDescent="0.25" r="460" customHeight="1" ht="15.75">
      <c r="A460" s="502"/>
      <c r="B460" s="34"/>
      <c r="C460" s="34"/>
      <c r="D460" s="34"/>
      <c r="E460" s="34"/>
      <c r="F460" s="34"/>
      <c r="G460" s="34"/>
      <c r="H460" s="34"/>
      <c r="I460" s="29"/>
      <c r="J460" s="29"/>
      <c r="K460" s="29"/>
      <c r="L460" s="29"/>
      <c r="M460" s="34"/>
      <c r="N460" s="34"/>
      <c r="O460" s="29"/>
      <c r="P460" s="29"/>
      <c r="Q460" s="29"/>
      <c r="R460" s="29"/>
      <c r="S460" s="29"/>
      <c r="T460" s="476"/>
      <c r="U460" s="29"/>
      <c r="V460" s="2"/>
      <c r="W460" s="29"/>
      <c r="X460" s="2"/>
      <c r="Y460" s="29"/>
    </row>
    <row x14ac:dyDescent="0.25" r="461" customHeight="1" ht="15.75">
      <c r="A461" s="502"/>
      <c r="B461" s="34"/>
      <c r="C461" s="34"/>
      <c r="D461" s="34"/>
      <c r="E461" s="34"/>
      <c r="F461" s="34"/>
      <c r="G461" s="34"/>
      <c r="H461" s="34"/>
      <c r="I461" s="29"/>
      <c r="J461" s="29"/>
      <c r="K461" s="29"/>
      <c r="L461" s="29"/>
      <c r="M461" s="34"/>
      <c r="N461" s="34"/>
      <c r="O461" s="29"/>
      <c r="P461" s="29"/>
      <c r="Q461" s="29"/>
      <c r="R461" s="29"/>
      <c r="S461" s="29"/>
      <c r="T461" s="476"/>
      <c r="U461" s="29"/>
      <c r="V461" s="2"/>
      <c r="W461" s="29"/>
      <c r="X461" s="2"/>
      <c r="Y461" s="29"/>
    </row>
    <row x14ac:dyDescent="0.25" r="462" customHeight="1" ht="15.75">
      <c r="A462" s="502"/>
      <c r="B462" s="34"/>
      <c r="C462" s="34"/>
      <c r="D462" s="34"/>
      <c r="E462" s="34"/>
      <c r="F462" s="34"/>
      <c r="G462" s="34"/>
      <c r="H462" s="34"/>
      <c r="I462" s="29"/>
      <c r="J462" s="29"/>
      <c r="K462" s="29"/>
      <c r="L462" s="29"/>
      <c r="M462" s="34"/>
      <c r="N462" s="34"/>
      <c r="O462" s="29"/>
      <c r="P462" s="29"/>
      <c r="Q462" s="29"/>
      <c r="R462" s="29"/>
      <c r="S462" s="29"/>
      <c r="T462" s="476"/>
      <c r="U462" s="29"/>
      <c r="V462" s="2"/>
      <c r="W462" s="29"/>
      <c r="X462" s="2"/>
      <c r="Y462" s="29"/>
    </row>
    <row x14ac:dyDescent="0.25" r="463" customHeight="1" ht="15.75">
      <c r="A463" s="502"/>
      <c r="B463" s="34"/>
      <c r="C463" s="34"/>
      <c r="D463" s="34"/>
      <c r="E463" s="34"/>
      <c r="F463" s="34"/>
      <c r="G463" s="34"/>
      <c r="H463" s="34"/>
      <c r="I463" s="29"/>
      <c r="J463" s="29"/>
      <c r="K463" s="29"/>
      <c r="L463" s="29"/>
      <c r="M463" s="34"/>
      <c r="N463" s="34"/>
      <c r="O463" s="29"/>
      <c r="P463" s="29"/>
      <c r="Q463" s="29"/>
      <c r="R463" s="29"/>
      <c r="S463" s="29"/>
      <c r="T463" s="476"/>
      <c r="U463" s="29"/>
      <c r="V463" s="2"/>
      <c r="W463" s="29"/>
      <c r="X463" s="2"/>
      <c r="Y463" s="29"/>
    </row>
    <row x14ac:dyDescent="0.25" r="464" customHeight="1" ht="15.75">
      <c r="A464" s="502"/>
      <c r="B464" s="34"/>
      <c r="C464" s="34"/>
      <c r="D464" s="34"/>
      <c r="E464" s="34"/>
      <c r="F464" s="34"/>
      <c r="G464" s="34"/>
      <c r="H464" s="34"/>
      <c r="I464" s="29"/>
      <c r="J464" s="29"/>
      <c r="K464" s="29"/>
      <c r="L464" s="29"/>
      <c r="M464" s="34"/>
      <c r="N464" s="34"/>
      <c r="O464" s="29"/>
      <c r="P464" s="29"/>
      <c r="Q464" s="29"/>
      <c r="R464" s="29"/>
      <c r="S464" s="29"/>
      <c r="T464" s="476"/>
      <c r="U464" s="29"/>
      <c r="V464" s="2"/>
      <c r="W464" s="29"/>
      <c r="X464" s="2"/>
      <c r="Y464" s="29"/>
    </row>
    <row x14ac:dyDescent="0.25" r="465" customHeight="1" ht="15.75">
      <c r="A465" s="502"/>
      <c r="B465" s="34"/>
      <c r="C465" s="34"/>
      <c r="D465" s="34"/>
      <c r="E465" s="34"/>
      <c r="F465" s="34"/>
      <c r="G465" s="34"/>
      <c r="H465" s="34"/>
      <c r="I465" s="29"/>
      <c r="J465" s="29"/>
      <c r="K465" s="29"/>
      <c r="L465" s="29"/>
      <c r="M465" s="34"/>
      <c r="N465" s="34"/>
      <c r="O465" s="29"/>
      <c r="P465" s="29"/>
      <c r="Q465" s="29"/>
      <c r="R465" s="29"/>
      <c r="S465" s="29"/>
      <c r="T465" s="476"/>
      <c r="U465" s="29"/>
      <c r="V465" s="2"/>
      <c r="W465" s="29"/>
      <c r="X465" s="2"/>
      <c r="Y465" s="29"/>
    </row>
    <row x14ac:dyDescent="0.25" r="466" customHeight="1" ht="15.75">
      <c r="A466" s="502"/>
      <c r="B466" s="34"/>
      <c r="C466" s="34"/>
      <c r="D466" s="34"/>
      <c r="E466" s="34"/>
      <c r="F466" s="34"/>
      <c r="G466" s="34"/>
      <c r="H466" s="34"/>
      <c r="I466" s="29"/>
      <c r="J466" s="29"/>
      <c r="K466" s="29"/>
      <c r="L466" s="29"/>
      <c r="M466" s="34"/>
      <c r="N466" s="34"/>
      <c r="O466" s="29"/>
      <c r="P466" s="29"/>
      <c r="Q466" s="29"/>
      <c r="R466" s="29"/>
      <c r="S466" s="29"/>
      <c r="T466" s="476"/>
      <c r="U466" s="29"/>
      <c r="V466" s="2"/>
      <c r="W466" s="29"/>
      <c r="X466" s="2"/>
      <c r="Y466" s="29"/>
    </row>
    <row x14ac:dyDescent="0.25" r="467" customHeight="1" ht="15.75">
      <c r="A467" s="502"/>
      <c r="B467" s="34"/>
      <c r="C467" s="34"/>
      <c r="D467" s="34"/>
      <c r="E467" s="34"/>
      <c r="F467" s="34"/>
      <c r="G467" s="34"/>
      <c r="H467" s="34"/>
      <c r="I467" s="29"/>
      <c r="J467" s="29"/>
      <c r="K467" s="29"/>
      <c r="L467" s="29"/>
      <c r="M467" s="34"/>
      <c r="N467" s="34"/>
      <c r="O467" s="29"/>
      <c r="P467" s="29"/>
      <c r="Q467" s="29"/>
      <c r="R467" s="29"/>
      <c r="S467" s="29"/>
      <c r="T467" s="476"/>
      <c r="U467" s="29"/>
      <c r="V467" s="2"/>
      <c r="W467" s="29"/>
      <c r="X467" s="2"/>
      <c r="Y467" s="29"/>
    </row>
    <row x14ac:dyDescent="0.25" r="468" customHeight="1" ht="15.75">
      <c r="A468" s="502"/>
      <c r="B468" s="34"/>
      <c r="C468" s="34"/>
      <c r="D468" s="34"/>
      <c r="E468" s="34"/>
      <c r="F468" s="34"/>
      <c r="G468" s="34"/>
      <c r="H468" s="34"/>
      <c r="I468" s="29"/>
      <c r="J468" s="29"/>
      <c r="K468" s="29"/>
      <c r="L468" s="29"/>
      <c r="M468" s="34"/>
      <c r="N468" s="34"/>
      <c r="O468" s="29"/>
      <c r="P468" s="29"/>
      <c r="Q468" s="29"/>
      <c r="R468" s="29"/>
      <c r="S468" s="29"/>
      <c r="T468" s="476"/>
      <c r="U468" s="29"/>
      <c r="V468" s="2"/>
      <c r="W468" s="29"/>
      <c r="X468" s="2"/>
      <c r="Y468" s="29"/>
    </row>
    <row x14ac:dyDescent="0.25" r="469" customHeight="1" ht="15.75">
      <c r="A469" s="502"/>
      <c r="B469" s="34"/>
      <c r="C469" s="34"/>
      <c r="D469" s="34"/>
      <c r="E469" s="34"/>
      <c r="F469" s="34"/>
      <c r="G469" s="34"/>
      <c r="H469" s="34"/>
      <c r="I469" s="29"/>
      <c r="J469" s="29"/>
      <c r="K469" s="29"/>
      <c r="L469" s="29"/>
      <c r="M469" s="34"/>
      <c r="N469" s="34"/>
      <c r="O469" s="29"/>
      <c r="P469" s="29"/>
      <c r="Q469" s="29"/>
      <c r="R469" s="29"/>
      <c r="S469" s="29"/>
      <c r="T469" s="476"/>
      <c r="U469" s="29"/>
      <c r="V469" s="2"/>
      <c r="W469" s="29"/>
      <c r="X469" s="2"/>
      <c r="Y469" s="29"/>
    </row>
    <row x14ac:dyDescent="0.25" r="470" customHeight="1" ht="15.75">
      <c r="A470" s="502"/>
      <c r="B470" s="34"/>
      <c r="C470" s="34"/>
      <c r="D470" s="34"/>
      <c r="E470" s="34"/>
      <c r="F470" s="34"/>
      <c r="G470" s="34"/>
      <c r="H470" s="34"/>
      <c r="I470" s="29"/>
      <c r="J470" s="29"/>
      <c r="K470" s="29"/>
      <c r="L470" s="29"/>
      <c r="M470" s="34"/>
      <c r="N470" s="34"/>
      <c r="O470" s="29"/>
      <c r="P470" s="29"/>
      <c r="Q470" s="29"/>
      <c r="R470" s="29"/>
      <c r="S470" s="29"/>
      <c r="T470" s="476"/>
      <c r="U470" s="29"/>
      <c r="V470" s="2"/>
      <c r="W470" s="29"/>
      <c r="X470" s="2"/>
      <c r="Y470" s="29"/>
    </row>
    <row x14ac:dyDescent="0.25" r="471" customHeight="1" ht="15.75">
      <c r="A471" s="502"/>
      <c r="B471" s="34"/>
      <c r="C471" s="34"/>
      <c r="D471" s="34"/>
      <c r="E471" s="34"/>
      <c r="F471" s="34"/>
      <c r="G471" s="34"/>
      <c r="H471" s="34"/>
      <c r="I471" s="29"/>
      <c r="J471" s="29"/>
      <c r="K471" s="29"/>
      <c r="L471" s="29"/>
      <c r="M471" s="34"/>
      <c r="N471" s="34"/>
      <c r="O471" s="29"/>
      <c r="P471" s="29"/>
      <c r="Q471" s="29"/>
      <c r="R471" s="29"/>
      <c r="S471" s="29"/>
      <c r="T471" s="476"/>
      <c r="U471" s="29"/>
      <c r="V471" s="2"/>
      <c r="W471" s="29"/>
      <c r="X471" s="2"/>
      <c r="Y471" s="29"/>
    </row>
    <row x14ac:dyDescent="0.25" r="472" customHeight="1" ht="15.75">
      <c r="A472" s="502"/>
      <c r="B472" s="34"/>
      <c r="C472" s="34"/>
      <c r="D472" s="34"/>
      <c r="E472" s="34"/>
      <c r="F472" s="34"/>
      <c r="G472" s="34"/>
      <c r="H472" s="34"/>
      <c r="I472" s="29"/>
      <c r="J472" s="29"/>
      <c r="K472" s="29"/>
      <c r="L472" s="29"/>
      <c r="M472" s="34"/>
      <c r="N472" s="34"/>
      <c r="O472" s="29"/>
      <c r="P472" s="29"/>
      <c r="Q472" s="29"/>
      <c r="R472" s="29"/>
      <c r="S472" s="29"/>
      <c r="T472" s="476"/>
      <c r="U472" s="29"/>
      <c r="V472" s="2"/>
      <c r="W472" s="29"/>
      <c r="X472" s="2"/>
      <c r="Y472" s="29"/>
    </row>
    <row x14ac:dyDescent="0.25" r="473" customHeight="1" ht="15.75">
      <c r="A473" s="502"/>
      <c r="B473" s="34"/>
      <c r="C473" s="34"/>
      <c r="D473" s="34"/>
      <c r="E473" s="34"/>
      <c r="F473" s="34"/>
      <c r="G473" s="34"/>
      <c r="H473" s="34"/>
      <c r="I473" s="29"/>
      <c r="J473" s="29"/>
      <c r="K473" s="29"/>
      <c r="L473" s="29"/>
      <c r="M473" s="34"/>
      <c r="N473" s="34"/>
      <c r="O473" s="29"/>
      <c r="P473" s="29"/>
      <c r="Q473" s="29"/>
      <c r="R473" s="29"/>
      <c r="S473" s="29"/>
      <c r="T473" s="476"/>
      <c r="U473" s="29"/>
      <c r="V473" s="2"/>
      <c r="W473" s="29"/>
      <c r="X473" s="2"/>
      <c r="Y473" s="29"/>
    </row>
    <row x14ac:dyDescent="0.25" r="474" customHeight="1" ht="15.75">
      <c r="A474" s="502"/>
      <c r="B474" s="34"/>
      <c r="C474" s="34"/>
      <c r="D474" s="34"/>
      <c r="E474" s="34"/>
      <c r="F474" s="34"/>
      <c r="G474" s="34"/>
      <c r="H474" s="34"/>
      <c r="I474" s="29"/>
      <c r="J474" s="29"/>
      <c r="K474" s="29"/>
      <c r="L474" s="29"/>
      <c r="M474" s="34"/>
      <c r="N474" s="34"/>
      <c r="O474" s="29"/>
      <c r="P474" s="29"/>
      <c r="Q474" s="29"/>
      <c r="R474" s="29"/>
      <c r="S474" s="29"/>
      <c r="T474" s="476"/>
      <c r="U474" s="29"/>
      <c r="V474" s="2"/>
      <c r="W474" s="29"/>
      <c r="X474" s="2"/>
      <c r="Y474" s="29"/>
    </row>
    <row x14ac:dyDescent="0.25" r="475" customHeight="1" ht="15.75">
      <c r="A475" s="502"/>
      <c r="B475" s="34"/>
      <c r="C475" s="34"/>
      <c r="D475" s="34"/>
      <c r="E475" s="34"/>
      <c r="F475" s="34"/>
      <c r="G475" s="34"/>
      <c r="H475" s="34"/>
      <c r="I475" s="29"/>
      <c r="J475" s="29"/>
      <c r="K475" s="29"/>
      <c r="L475" s="29"/>
      <c r="M475" s="34"/>
      <c r="N475" s="34"/>
      <c r="O475" s="29"/>
      <c r="P475" s="29"/>
      <c r="Q475" s="29"/>
      <c r="R475" s="29"/>
      <c r="S475" s="29"/>
      <c r="T475" s="476"/>
      <c r="U475" s="29"/>
      <c r="V475" s="2"/>
      <c r="W475" s="29"/>
      <c r="X475" s="2"/>
      <c r="Y475" s="29"/>
    </row>
    <row x14ac:dyDescent="0.25" r="476" customHeight="1" ht="15.75">
      <c r="A476" s="502"/>
      <c r="B476" s="34"/>
      <c r="C476" s="34"/>
      <c r="D476" s="34"/>
      <c r="E476" s="34"/>
      <c r="F476" s="34"/>
      <c r="G476" s="34"/>
      <c r="H476" s="34"/>
      <c r="I476" s="29"/>
      <c r="J476" s="29"/>
      <c r="K476" s="29"/>
      <c r="L476" s="29"/>
      <c r="M476" s="34"/>
      <c r="N476" s="34"/>
      <c r="O476" s="29"/>
      <c r="P476" s="29"/>
      <c r="Q476" s="29"/>
      <c r="R476" s="29"/>
      <c r="S476" s="29"/>
      <c r="T476" s="476"/>
      <c r="U476" s="29"/>
      <c r="V476" s="2"/>
      <c r="W476" s="29"/>
      <c r="X476" s="2"/>
      <c r="Y476" s="29"/>
    </row>
    <row x14ac:dyDescent="0.25" r="477" customHeight="1" ht="15.75">
      <c r="A477" s="502"/>
      <c r="B477" s="34"/>
      <c r="C477" s="34"/>
      <c r="D477" s="34"/>
      <c r="E477" s="34"/>
      <c r="F477" s="34"/>
      <c r="G477" s="34"/>
      <c r="H477" s="34"/>
      <c r="I477" s="29"/>
      <c r="J477" s="29"/>
      <c r="K477" s="29"/>
      <c r="L477" s="29"/>
      <c r="M477" s="34"/>
      <c r="N477" s="34"/>
      <c r="O477" s="29"/>
      <c r="P477" s="29"/>
      <c r="Q477" s="29"/>
      <c r="R477" s="29"/>
      <c r="S477" s="29"/>
      <c r="T477" s="476"/>
      <c r="U477" s="29"/>
      <c r="V477" s="2"/>
      <c r="W477" s="29"/>
      <c r="X477" s="2"/>
      <c r="Y477" s="29"/>
    </row>
    <row x14ac:dyDescent="0.25" r="478" customHeight="1" ht="15.75">
      <c r="A478" s="502"/>
      <c r="B478" s="34"/>
      <c r="C478" s="34"/>
      <c r="D478" s="34"/>
      <c r="E478" s="34"/>
      <c r="F478" s="34"/>
      <c r="G478" s="34"/>
      <c r="H478" s="34"/>
      <c r="I478" s="29"/>
      <c r="J478" s="29"/>
      <c r="K478" s="29"/>
      <c r="L478" s="29"/>
      <c r="M478" s="34"/>
      <c r="N478" s="34"/>
      <c r="O478" s="29"/>
      <c r="P478" s="29"/>
      <c r="Q478" s="29"/>
      <c r="R478" s="29"/>
      <c r="S478" s="29"/>
      <c r="T478" s="476"/>
      <c r="U478" s="29"/>
      <c r="V478" s="2"/>
      <c r="W478" s="29"/>
      <c r="X478" s="2"/>
      <c r="Y478" s="29"/>
    </row>
    <row x14ac:dyDescent="0.25" r="479" customHeight="1" ht="15.75">
      <c r="A479" s="502"/>
      <c r="B479" s="34"/>
      <c r="C479" s="34"/>
      <c r="D479" s="34"/>
      <c r="E479" s="34"/>
      <c r="F479" s="34"/>
      <c r="G479" s="34"/>
      <c r="H479" s="34"/>
      <c r="I479" s="29"/>
      <c r="J479" s="29"/>
      <c r="K479" s="29"/>
      <c r="L479" s="29"/>
      <c r="M479" s="34"/>
      <c r="N479" s="34"/>
      <c r="O479" s="29"/>
      <c r="P479" s="29"/>
      <c r="Q479" s="29"/>
      <c r="R479" s="29"/>
      <c r="S479" s="29"/>
      <c r="T479" s="476"/>
      <c r="U479" s="29"/>
      <c r="V479" s="2"/>
      <c r="W479" s="29"/>
      <c r="X479" s="2"/>
      <c r="Y479" s="29"/>
    </row>
    <row x14ac:dyDescent="0.25" r="480" customHeight="1" ht="15.75">
      <c r="A480" s="502"/>
      <c r="B480" s="34"/>
      <c r="C480" s="34"/>
      <c r="D480" s="34"/>
      <c r="E480" s="34"/>
      <c r="F480" s="34"/>
      <c r="G480" s="34"/>
      <c r="H480" s="34"/>
      <c r="I480" s="29"/>
      <c r="J480" s="29"/>
      <c r="K480" s="29"/>
      <c r="L480" s="29"/>
      <c r="M480" s="34"/>
      <c r="N480" s="34"/>
      <c r="O480" s="29"/>
      <c r="P480" s="29"/>
      <c r="Q480" s="29"/>
      <c r="R480" s="29"/>
      <c r="S480" s="29"/>
      <c r="T480" s="476"/>
      <c r="U480" s="29"/>
      <c r="V480" s="2"/>
      <c r="W480" s="29"/>
      <c r="X480" s="2"/>
      <c r="Y480" s="29"/>
    </row>
    <row x14ac:dyDescent="0.25" r="481" customHeight="1" ht="15.75">
      <c r="A481" s="502"/>
      <c r="B481" s="34"/>
      <c r="C481" s="34"/>
      <c r="D481" s="34"/>
      <c r="E481" s="34"/>
      <c r="F481" s="34"/>
      <c r="G481" s="34"/>
      <c r="H481" s="34"/>
      <c r="I481" s="29"/>
      <c r="J481" s="29"/>
      <c r="K481" s="29"/>
      <c r="L481" s="29"/>
      <c r="M481" s="34"/>
      <c r="N481" s="34"/>
      <c r="O481" s="29"/>
      <c r="P481" s="29"/>
      <c r="Q481" s="29"/>
      <c r="R481" s="29"/>
      <c r="S481" s="29"/>
      <c r="T481" s="476"/>
      <c r="U481" s="29"/>
      <c r="V481" s="2"/>
      <c r="W481" s="29"/>
      <c r="X481" s="2"/>
      <c r="Y481" s="29"/>
    </row>
    <row x14ac:dyDescent="0.25" r="482" customHeight="1" ht="15.75">
      <c r="A482" s="502"/>
      <c r="B482" s="34"/>
      <c r="C482" s="34"/>
      <c r="D482" s="34"/>
      <c r="E482" s="34"/>
      <c r="F482" s="34"/>
      <c r="G482" s="34"/>
      <c r="H482" s="34"/>
      <c r="I482" s="29"/>
      <c r="J482" s="29"/>
      <c r="K482" s="29"/>
      <c r="L482" s="29"/>
      <c r="M482" s="34"/>
      <c r="N482" s="34"/>
      <c r="O482" s="29"/>
      <c r="P482" s="29"/>
      <c r="Q482" s="29"/>
      <c r="R482" s="29"/>
      <c r="S482" s="29"/>
      <c r="T482" s="476"/>
      <c r="U482" s="29"/>
      <c r="V482" s="2"/>
      <c r="W482" s="29"/>
      <c r="X482" s="2"/>
      <c r="Y482" s="29"/>
    </row>
    <row x14ac:dyDescent="0.25" r="483" customHeight="1" ht="15.75">
      <c r="A483" s="502"/>
      <c r="B483" s="34"/>
      <c r="C483" s="34"/>
      <c r="D483" s="34"/>
      <c r="E483" s="34"/>
      <c r="F483" s="34"/>
      <c r="G483" s="34"/>
      <c r="H483" s="34"/>
      <c r="I483" s="29"/>
      <c r="J483" s="29"/>
      <c r="K483" s="29"/>
      <c r="L483" s="29"/>
      <c r="M483" s="34"/>
      <c r="N483" s="34"/>
      <c r="O483" s="29"/>
      <c r="P483" s="29"/>
      <c r="Q483" s="29"/>
      <c r="R483" s="29"/>
      <c r="S483" s="29"/>
      <c r="T483" s="476"/>
      <c r="U483" s="29"/>
      <c r="V483" s="2"/>
      <c r="W483" s="29"/>
      <c r="X483" s="2"/>
      <c r="Y483" s="29"/>
    </row>
    <row x14ac:dyDescent="0.25" r="484" customHeight="1" ht="15.75">
      <c r="A484" s="502"/>
      <c r="B484" s="34"/>
      <c r="C484" s="34"/>
      <c r="D484" s="34"/>
      <c r="E484" s="34"/>
      <c r="F484" s="34"/>
      <c r="G484" s="34"/>
      <c r="H484" s="34"/>
      <c r="I484" s="29"/>
      <c r="J484" s="29"/>
      <c r="K484" s="29"/>
      <c r="L484" s="29"/>
      <c r="M484" s="34"/>
      <c r="N484" s="34"/>
      <c r="O484" s="29"/>
      <c r="P484" s="29"/>
      <c r="Q484" s="29"/>
      <c r="R484" s="29"/>
      <c r="S484" s="29"/>
      <c r="T484" s="476"/>
      <c r="U484" s="29"/>
      <c r="V484" s="2"/>
      <c r="W484" s="29"/>
      <c r="X484" s="2"/>
      <c r="Y484" s="29"/>
    </row>
    <row x14ac:dyDescent="0.25" r="485" customHeight="1" ht="15.75">
      <c r="A485" s="502"/>
      <c r="B485" s="34"/>
      <c r="C485" s="34"/>
      <c r="D485" s="34"/>
      <c r="E485" s="34"/>
      <c r="F485" s="34"/>
      <c r="G485" s="34"/>
      <c r="H485" s="34"/>
      <c r="I485" s="29"/>
      <c r="J485" s="29"/>
      <c r="K485" s="29"/>
      <c r="L485" s="29"/>
      <c r="M485" s="34"/>
      <c r="N485" s="34"/>
      <c r="O485" s="29"/>
      <c r="P485" s="29"/>
      <c r="Q485" s="29"/>
      <c r="R485" s="29"/>
      <c r="S485" s="29"/>
      <c r="T485" s="476"/>
      <c r="U485" s="29"/>
      <c r="V485" s="2"/>
      <c r="W485" s="29"/>
      <c r="X485" s="2"/>
      <c r="Y485" s="29"/>
    </row>
    <row x14ac:dyDescent="0.25" r="486" customHeight="1" ht="15.75">
      <c r="A486" s="502"/>
      <c r="B486" s="34"/>
      <c r="C486" s="34"/>
      <c r="D486" s="34"/>
      <c r="E486" s="34"/>
      <c r="F486" s="34"/>
      <c r="G486" s="34"/>
      <c r="H486" s="34"/>
      <c r="I486" s="29"/>
      <c r="J486" s="29"/>
      <c r="K486" s="29"/>
      <c r="L486" s="29"/>
      <c r="M486" s="34"/>
      <c r="N486" s="34"/>
      <c r="O486" s="29"/>
      <c r="P486" s="29"/>
      <c r="Q486" s="29"/>
      <c r="R486" s="29"/>
      <c r="S486" s="29"/>
      <c r="T486" s="476"/>
      <c r="U486" s="29"/>
      <c r="V486" s="2"/>
      <c r="W486" s="29"/>
      <c r="X486" s="2"/>
      <c r="Y486" s="29"/>
    </row>
    <row x14ac:dyDescent="0.25" r="487" customHeight="1" ht="15.75">
      <c r="A487" s="502"/>
      <c r="B487" s="34"/>
      <c r="C487" s="34"/>
      <c r="D487" s="34"/>
      <c r="E487" s="34"/>
      <c r="F487" s="34"/>
      <c r="G487" s="34"/>
      <c r="H487" s="34"/>
      <c r="I487" s="29"/>
      <c r="J487" s="29"/>
      <c r="K487" s="29"/>
      <c r="L487" s="29"/>
      <c r="M487" s="34"/>
      <c r="N487" s="34"/>
      <c r="O487" s="29"/>
      <c r="P487" s="29"/>
      <c r="Q487" s="29"/>
      <c r="R487" s="29"/>
      <c r="S487" s="29"/>
      <c r="T487" s="476"/>
      <c r="U487" s="29"/>
      <c r="V487" s="2"/>
      <c r="W487" s="29"/>
      <c r="X487" s="2"/>
      <c r="Y487" s="29"/>
    </row>
    <row x14ac:dyDescent="0.25" r="488" customHeight="1" ht="15.75">
      <c r="A488" s="502"/>
      <c r="B488" s="34"/>
      <c r="C488" s="34"/>
      <c r="D488" s="34"/>
      <c r="E488" s="34"/>
      <c r="F488" s="34"/>
      <c r="G488" s="34"/>
      <c r="H488" s="34"/>
      <c r="I488" s="29"/>
      <c r="J488" s="29"/>
      <c r="K488" s="29"/>
      <c r="L488" s="29"/>
      <c r="M488" s="34"/>
      <c r="N488" s="34"/>
      <c r="O488" s="29"/>
      <c r="P488" s="29"/>
      <c r="Q488" s="29"/>
      <c r="R488" s="29"/>
      <c r="S488" s="29"/>
      <c r="T488" s="476"/>
      <c r="U488" s="29"/>
      <c r="V488" s="2"/>
      <c r="W488" s="29"/>
      <c r="X488" s="2"/>
      <c r="Y488" s="29"/>
    </row>
    <row x14ac:dyDescent="0.25" r="489" customHeight="1" ht="15.75">
      <c r="A489" s="502"/>
      <c r="B489" s="34"/>
      <c r="C489" s="34"/>
      <c r="D489" s="34"/>
      <c r="E489" s="34"/>
      <c r="F489" s="34"/>
      <c r="G489" s="34"/>
      <c r="H489" s="34"/>
      <c r="I489" s="29"/>
      <c r="J489" s="29"/>
      <c r="K489" s="29"/>
      <c r="L489" s="29"/>
      <c r="M489" s="34"/>
      <c r="N489" s="34"/>
      <c r="O489" s="29"/>
      <c r="P489" s="29"/>
      <c r="Q489" s="29"/>
      <c r="R489" s="29"/>
      <c r="S489" s="29"/>
      <c r="T489" s="476"/>
      <c r="U489" s="29"/>
      <c r="V489" s="2"/>
      <c r="W489" s="29"/>
      <c r="X489" s="2"/>
      <c r="Y489" s="29"/>
    </row>
    <row x14ac:dyDescent="0.25" r="490" customHeight="1" ht="15.75">
      <c r="A490" s="502"/>
      <c r="B490" s="34"/>
      <c r="C490" s="34"/>
      <c r="D490" s="34"/>
      <c r="E490" s="34"/>
      <c r="F490" s="34"/>
      <c r="G490" s="34"/>
      <c r="H490" s="34"/>
      <c r="I490" s="29"/>
      <c r="J490" s="29"/>
      <c r="K490" s="29"/>
      <c r="L490" s="29"/>
      <c r="M490" s="34"/>
      <c r="N490" s="34"/>
      <c r="O490" s="29"/>
      <c r="P490" s="29"/>
      <c r="Q490" s="29"/>
      <c r="R490" s="29"/>
      <c r="S490" s="29"/>
      <c r="T490" s="476"/>
      <c r="U490" s="29"/>
      <c r="V490" s="2"/>
      <c r="W490" s="29"/>
      <c r="X490" s="2"/>
      <c r="Y490" s="29"/>
    </row>
    <row x14ac:dyDescent="0.25" r="491" customHeight="1" ht="15.75">
      <c r="A491" s="502"/>
      <c r="B491" s="34"/>
      <c r="C491" s="34"/>
      <c r="D491" s="34"/>
      <c r="E491" s="34"/>
      <c r="F491" s="34"/>
      <c r="G491" s="34"/>
      <c r="H491" s="34"/>
      <c r="I491" s="29"/>
      <c r="J491" s="29"/>
      <c r="K491" s="29"/>
      <c r="L491" s="29"/>
      <c r="M491" s="34"/>
      <c r="N491" s="34"/>
      <c r="O491" s="29"/>
      <c r="P491" s="29"/>
      <c r="Q491" s="29"/>
      <c r="R491" s="29"/>
      <c r="S491" s="29"/>
      <c r="T491" s="476"/>
      <c r="U491" s="29"/>
      <c r="V491" s="2"/>
      <c r="W491" s="29"/>
      <c r="X491" s="2"/>
      <c r="Y491" s="29"/>
    </row>
    <row x14ac:dyDescent="0.25" r="492" customHeight="1" ht="15.75">
      <c r="A492" s="502"/>
      <c r="B492" s="34"/>
      <c r="C492" s="34"/>
      <c r="D492" s="34"/>
      <c r="E492" s="34"/>
      <c r="F492" s="34"/>
      <c r="G492" s="34"/>
      <c r="H492" s="34"/>
      <c r="I492" s="29"/>
      <c r="J492" s="29"/>
      <c r="K492" s="29"/>
      <c r="L492" s="29"/>
      <c r="M492" s="34"/>
      <c r="N492" s="34"/>
      <c r="O492" s="29"/>
      <c r="P492" s="29"/>
      <c r="Q492" s="29"/>
      <c r="R492" s="29"/>
      <c r="S492" s="29"/>
      <c r="T492" s="476"/>
      <c r="U492" s="29"/>
      <c r="V492" s="2"/>
      <c r="W492" s="29"/>
      <c r="X492" s="2"/>
      <c r="Y492" s="29"/>
    </row>
    <row x14ac:dyDescent="0.25" r="493" customHeight="1" ht="15.75">
      <c r="A493" s="502"/>
      <c r="B493" s="34"/>
      <c r="C493" s="34"/>
      <c r="D493" s="34"/>
      <c r="E493" s="34"/>
      <c r="F493" s="34"/>
      <c r="G493" s="34"/>
      <c r="H493" s="34"/>
      <c r="I493" s="29"/>
      <c r="J493" s="29"/>
      <c r="K493" s="29"/>
      <c r="L493" s="29"/>
      <c r="M493" s="34"/>
      <c r="N493" s="34"/>
      <c r="O493" s="29"/>
      <c r="P493" s="29"/>
      <c r="Q493" s="29"/>
      <c r="R493" s="29"/>
      <c r="S493" s="29"/>
      <c r="T493" s="476"/>
      <c r="U493" s="29"/>
      <c r="V493" s="2"/>
      <c r="W493" s="29"/>
      <c r="X493" s="2"/>
      <c r="Y493" s="29"/>
    </row>
    <row x14ac:dyDescent="0.25" r="494" customHeight="1" ht="15.75">
      <c r="A494" s="502"/>
      <c r="B494" s="34"/>
      <c r="C494" s="34"/>
      <c r="D494" s="34"/>
      <c r="E494" s="34"/>
      <c r="F494" s="34"/>
      <c r="G494" s="34"/>
      <c r="H494" s="34"/>
      <c r="I494" s="29"/>
      <c r="J494" s="29"/>
      <c r="K494" s="29"/>
      <c r="L494" s="29"/>
      <c r="M494" s="34"/>
      <c r="N494" s="34"/>
      <c r="O494" s="29"/>
      <c r="P494" s="29"/>
      <c r="Q494" s="29"/>
      <c r="R494" s="29"/>
      <c r="S494" s="29"/>
      <c r="T494" s="476"/>
      <c r="U494" s="29"/>
      <c r="V494" s="2"/>
      <c r="W494" s="29"/>
      <c r="X494" s="2"/>
      <c r="Y494" s="29"/>
    </row>
    <row x14ac:dyDescent="0.25" r="495" customHeight="1" ht="15.75">
      <c r="A495" s="502"/>
      <c r="B495" s="34"/>
      <c r="C495" s="34"/>
      <c r="D495" s="34"/>
      <c r="E495" s="34"/>
      <c r="F495" s="34"/>
      <c r="G495" s="34"/>
      <c r="H495" s="34"/>
      <c r="I495" s="29"/>
      <c r="J495" s="29"/>
      <c r="K495" s="29"/>
      <c r="L495" s="29"/>
      <c r="M495" s="34"/>
      <c r="N495" s="34"/>
      <c r="O495" s="29"/>
      <c r="P495" s="29"/>
      <c r="Q495" s="29"/>
      <c r="R495" s="29"/>
      <c r="S495" s="29"/>
      <c r="T495" s="476"/>
      <c r="U495" s="29"/>
      <c r="V495" s="2"/>
      <c r="W495" s="29"/>
      <c r="X495" s="2"/>
      <c r="Y495" s="29"/>
    </row>
    <row x14ac:dyDescent="0.25" r="496" customHeight="1" ht="15.75">
      <c r="A496" s="502"/>
      <c r="B496" s="34"/>
      <c r="C496" s="34"/>
      <c r="D496" s="34"/>
      <c r="E496" s="34"/>
      <c r="F496" s="34"/>
      <c r="G496" s="34"/>
      <c r="H496" s="34"/>
      <c r="I496" s="29"/>
      <c r="J496" s="29"/>
      <c r="K496" s="29"/>
      <c r="L496" s="29"/>
      <c r="M496" s="34"/>
      <c r="N496" s="34"/>
      <c r="O496" s="29"/>
      <c r="P496" s="29"/>
      <c r="Q496" s="29"/>
      <c r="R496" s="29"/>
      <c r="S496" s="29"/>
      <c r="T496" s="476"/>
      <c r="U496" s="29"/>
      <c r="V496" s="2"/>
      <c r="W496" s="29"/>
      <c r="X496" s="2"/>
      <c r="Y496" s="29"/>
    </row>
    <row x14ac:dyDescent="0.25" r="497" customHeight="1" ht="15.75">
      <c r="A497" s="502"/>
      <c r="B497" s="34"/>
      <c r="C497" s="34"/>
      <c r="D497" s="34"/>
      <c r="E497" s="34"/>
      <c r="F497" s="34"/>
      <c r="G497" s="34"/>
      <c r="H497" s="34"/>
      <c r="I497" s="29"/>
      <c r="J497" s="29"/>
      <c r="K497" s="29"/>
      <c r="L497" s="29"/>
      <c r="M497" s="34"/>
      <c r="N497" s="34"/>
      <c r="O497" s="29"/>
      <c r="P497" s="29"/>
      <c r="Q497" s="29"/>
      <c r="R497" s="29"/>
      <c r="S497" s="29"/>
      <c r="T497" s="476"/>
      <c r="U497" s="29"/>
      <c r="V497" s="2"/>
      <c r="W497" s="29"/>
      <c r="X497" s="2"/>
      <c r="Y497" s="29"/>
    </row>
    <row x14ac:dyDescent="0.25" r="498" customHeight="1" ht="15.75">
      <c r="A498" s="502"/>
      <c r="B498" s="34"/>
      <c r="C498" s="34"/>
      <c r="D498" s="34"/>
      <c r="E498" s="34"/>
      <c r="F498" s="34"/>
      <c r="G498" s="34"/>
      <c r="H498" s="34"/>
      <c r="I498" s="29"/>
      <c r="J498" s="29"/>
      <c r="K498" s="29"/>
      <c r="L498" s="29"/>
      <c r="M498" s="34"/>
      <c r="N498" s="34"/>
      <c r="O498" s="29"/>
      <c r="P498" s="29"/>
      <c r="Q498" s="29"/>
      <c r="R498" s="29"/>
      <c r="S498" s="29"/>
      <c r="T498" s="476"/>
      <c r="U498" s="29"/>
      <c r="V498" s="2"/>
      <c r="W498" s="29"/>
      <c r="X498" s="2"/>
      <c r="Y498" s="29"/>
    </row>
    <row x14ac:dyDescent="0.25" r="499" customHeight="1" ht="15.75">
      <c r="A499" s="502"/>
      <c r="B499" s="34"/>
      <c r="C499" s="34"/>
      <c r="D499" s="34"/>
      <c r="E499" s="34"/>
      <c r="F499" s="34"/>
      <c r="G499" s="34"/>
      <c r="H499" s="34"/>
      <c r="I499" s="29"/>
      <c r="J499" s="29"/>
      <c r="K499" s="29"/>
      <c r="L499" s="29"/>
      <c r="M499" s="34"/>
      <c r="N499" s="34"/>
      <c r="O499" s="29"/>
      <c r="P499" s="29"/>
      <c r="Q499" s="29"/>
      <c r="R499" s="29"/>
      <c r="S499" s="29"/>
      <c r="T499" s="476"/>
      <c r="U499" s="29"/>
      <c r="V499" s="2"/>
      <c r="W499" s="29"/>
      <c r="X499" s="2"/>
      <c r="Y499" s="29"/>
    </row>
    <row x14ac:dyDescent="0.25" r="500" customHeight="1" ht="15.75">
      <c r="A500" s="502"/>
      <c r="B500" s="34"/>
      <c r="C500" s="34"/>
      <c r="D500" s="34"/>
      <c r="E500" s="34"/>
      <c r="F500" s="34"/>
      <c r="G500" s="34"/>
      <c r="H500" s="34"/>
      <c r="I500" s="29"/>
      <c r="J500" s="29"/>
      <c r="K500" s="29"/>
      <c r="L500" s="29"/>
      <c r="M500" s="34"/>
      <c r="N500" s="34"/>
      <c r="O500" s="29"/>
      <c r="P500" s="29"/>
      <c r="Q500" s="29"/>
      <c r="R500" s="29"/>
      <c r="S500" s="29"/>
      <c r="T500" s="476"/>
      <c r="U500" s="29"/>
      <c r="V500" s="2"/>
      <c r="W500" s="29"/>
      <c r="X500" s="2"/>
      <c r="Y500" s="29"/>
    </row>
    <row x14ac:dyDescent="0.25" r="501" customHeight="1" ht="15.75">
      <c r="A501" s="502"/>
      <c r="B501" s="34"/>
      <c r="C501" s="34"/>
      <c r="D501" s="34"/>
      <c r="E501" s="34"/>
      <c r="F501" s="34"/>
      <c r="G501" s="34"/>
      <c r="H501" s="34"/>
      <c r="I501" s="29"/>
      <c r="J501" s="29"/>
      <c r="K501" s="29"/>
      <c r="L501" s="29"/>
      <c r="M501" s="34"/>
      <c r="N501" s="34"/>
      <c r="O501" s="29"/>
      <c r="P501" s="29"/>
      <c r="Q501" s="29"/>
      <c r="R501" s="29"/>
      <c r="S501" s="29"/>
      <c r="T501" s="476"/>
      <c r="U501" s="29"/>
      <c r="V501" s="2"/>
      <c r="W501" s="29"/>
      <c r="X501" s="2"/>
      <c r="Y501" s="29"/>
    </row>
    <row x14ac:dyDescent="0.25" r="502" customHeight="1" ht="15.75">
      <c r="A502" s="502"/>
      <c r="B502" s="34"/>
      <c r="C502" s="34"/>
      <c r="D502" s="34"/>
      <c r="E502" s="34"/>
      <c r="F502" s="34"/>
      <c r="G502" s="34"/>
      <c r="H502" s="34"/>
      <c r="I502" s="29"/>
      <c r="J502" s="29"/>
      <c r="K502" s="29"/>
      <c r="L502" s="29"/>
      <c r="M502" s="34"/>
      <c r="N502" s="34"/>
      <c r="O502" s="29"/>
      <c r="P502" s="29"/>
      <c r="Q502" s="29"/>
      <c r="R502" s="29"/>
      <c r="S502" s="29"/>
      <c r="T502" s="476"/>
      <c r="U502" s="29"/>
      <c r="V502" s="2"/>
      <c r="W502" s="29"/>
      <c r="X502" s="2"/>
      <c r="Y502" s="29"/>
    </row>
    <row x14ac:dyDescent="0.25" r="503" customHeight="1" ht="15.75">
      <c r="A503" s="502"/>
      <c r="B503" s="34"/>
      <c r="C503" s="34"/>
      <c r="D503" s="34"/>
      <c r="E503" s="34"/>
      <c r="F503" s="34"/>
      <c r="G503" s="34"/>
      <c r="H503" s="34"/>
      <c r="I503" s="29"/>
      <c r="J503" s="29"/>
      <c r="K503" s="29"/>
      <c r="L503" s="29"/>
      <c r="M503" s="34"/>
      <c r="N503" s="34"/>
      <c r="O503" s="29"/>
      <c r="P503" s="29"/>
      <c r="Q503" s="29"/>
      <c r="R503" s="29"/>
      <c r="S503" s="29"/>
      <c r="T503" s="476"/>
      <c r="U503" s="29"/>
      <c r="V503" s="2"/>
      <c r="W503" s="29"/>
      <c r="X503" s="2"/>
      <c r="Y503" s="29"/>
    </row>
    <row x14ac:dyDescent="0.25" r="504" customHeight="1" ht="15.75">
      <c r="A504" s="502"/>
      <c r="B504" s="34"/>
      <c r="C504" s="34"/>
      <c r="D504" s="34"/>
      <c r="E504" s="34"/>
      <c r="F504" s="34"/>
      <c r="G504" s="34"/>
      <c r="H504" s="34"/>
      <c r="I504" s="29"/>
      <c r="J504" s="29"/>
      <c r="K504" s="29"/>
      <c r="L504" s="29"/>
      <c r="M504" s="34"/>
      <c r="N504" s="34"/>
      <c r="O504" s="29"/>
      <c r="P504" s="29"/>
      <c r="Q504" s="29"/>
      <c r="R504" s="29"/>
      <c r="S504" s="29"/>
      <c r="T504" s="476"/>
      <c r="U504" s="29"/>
      <c r="V504" s="2"/>
      <c r="W504" s="29"/>
      <c r="X504" s="2"/>
      <c r="Y504" s="29"/>
    </row>
    <row x14ac:dyDescent="0.25" r="505" customHeight="1" ht="15.75">
      <c r="A505" s="502"/>
      <c r="B505" s="34"/>
      <c r="C505" s="34"/>
      <c r="D505" s="34"/>
      <c r="E505" s="34"/>
      <c r="F505" s="34"/>
      <c r="G505" s="34"/>
      <c r="H505" s="34"/>
      <c r="I505" s="29"/>
      <c r="J505" s="29"/>
      <c r="K505" s="29"/>
      <c r="L505" s="29"/>
      <c r="M505" s="34"/>
      <c r="N505" s="34"/>
      <c r="O505" s="29"/>
      <c r="P505" s="29"/>
      <c r="Q505" s="29"/>
      <c r="R505" s="29"/>
      <c r="S505" s="29"/>
      <c r="T505" s="476"/>
      <c r="U505" s="29"/>
      <c r="V505" s="2"/>
      <c r="W505" s="29"/>
      <c r="X505" s="2"/>
      <c r="Y505" s="29"/>
    </row>
    <row x14ac:dyDescent="0.25" r="506" customHeight="1" ht="15.75">
      <c r="A506" s="502"/>
      <c r="B506" s="34"/>
      <c r="C506" s="34"/>
      <c r="D506" s="34"/>
      <c r="E506" s="34"/>
      <c r="F506" s="34"/>
      <c r="G506" s="34"/>
      <c r="H506" s="34"/>
      <c r="I506" s="29"/>
      <c r="J506" s="29"/>
      <c r="K506" s="29"/>
      <c r="L506" s="29"/>
      <c r="M506" s="34"/>
      <c r="N506" s="34"/>
      <c r="O506" s="29"/>
      <c r="P506" s="29"/>
      <c r="Q506" s="29"/>
      <c r="R506" s="29"/>
      <c r="S506" s="29"/>
      <c r="T506" s="476"/>
      <c r="U506" s="29"/>
      <c r="V506" s="2"/>
      <c r="W506" s="29"/>
      <c r="X506" s="2"/>
      <c r="Y506" s="29"/>
    </row>
    <row x14ac:dyDescent="0.25" r="507" customHeight="1" ht="15.75">
      <c r="A507" s="502"/>
      <c r="B507" s="34"/>
      <c r="C507" s="34"/>
      <c r="D507" s="34"/>
      <c r="E507" s="34"/>
      <c r="F507" s="34"/>
      <c r="G507" s="34"/>
      <c r="H507" s="34"/>
      <c r="I507" s="29"/>
      <c r="J507" s="29"/>
      <c r="K507" s="29"/>
      <c r="L507" s="29"/>
      <c r="M507" s="34"/>
      <c r="N507" s="34"/>
      <c r="O507" s="29"/>
      <c r="P507" s="29"/>
      <c r="Q507" s="29"/>
      <c r="R507" s="29"/>
      <c r="S507" s="29"/>
      <c r="T507" s="476"/>
      <c r="U507" s="29"/>
      <c r="V507" s="2"/>
      <c r="W507" s="29"/>
      <c r="X507" s="2"/>
      <c r="Y507" s="29"/>
    </row>
    <row x14ac:dyDescent="0.25" r="508" customHeight="1" ht="15.75">
      <c r="A508" s="502"/>
      <c r="B508" s="34"/>
      <c r="C508" s="34"/>
      <c r="D508" s="34"/>
      <c r="E508" s="34"/>
      <c r="F508" s="34"/>
      <c r="G508" s="34"/>
      <c r="H508" s="34"/>
      <c r="I508" s="29"/>
      <c r="J508" s="29"/>
      <c r="K508" s="29"/>
      <c r="L508" s="29"/>
      <c r="M508" s="34"/>
      <c r="N508" s="34"/>
      <c r="O508" s="29"/>
      <c r="P508" s="29"/>
      <c r="Q508" s="29"/>
      <c r="R508" s="29"/>
      <c r="S508" s="29"/>
      <c r="T508" s="476"/>
      <c r="U508" s="29"/>
      <c r="V508" s="2"/>
      <c r="W508" s="29"/>
      <c r="X508" s="2"/>
      <c r="Y508" s="29"/>
    </row>
    <row x14ac:dyDescent="0.25" r="509" customHeight="1" ht="15.75">
      <c r="A509" s="502"/>
      <c r="B509" s="34"/>
      <c r="C509" s="34"/>
      <c r="D509" s="34"/>
      <c r="E509" s="34"/>
      <c r="F509" s="34"/>
      <c r="G509" s="34"/>
      <c r="H509" s="34"/>
      <c r="I509" s="29"/>
      <c r="J509" s="29"/>
      <c r="K509" s="29"/>
      <c r="L509" s="29"/>
      <c r="M509" s="34"/>
      <c r="N509" s="34"/>
      <c r="O509" s="29"/>
      <c r="P509" s="29"/>
      <c r="Q509" s="29"/>
      <c r="R509" s="29"/>
      <c r="S509" s="29"/>
      <c r="T509" s="476"/>
      <c r="U509" s="29"/>
      <c r="V509" s="2"/>
      <c r="W509" s="29"/>
      <c r="X509" s="2"/>
      <c r="Y509" s="29"/>
    </row>
    <row x14ac:dyDescent="0.25" r="510" customHeight="1" ht="15.75">
      <c r="A510" s="502"/>
      <c r="B510" s="34"/>
      <c r="C510" s="34"/>
      <c r="D510" s="34"/>
      <c r="E510" s="34"/>
      <c r="F510" s="34"/>
      <c r="G510" s="34"/>
      <c r="H510" s="34"/>
      <c r="I510" s="29"/>
      <c r="J510" s="29"/>
      <c r="K510" s="29"/>
      <c r="L510" s="29"/>
      <c r="M510" s="34"/>
      <c r="N510" s="34"/>
      <c r="O510" s="29"/>
      <c r="P510" s="29"/>
      <c r="Q510" s="29"/>
      <c r="R510" s="29"/>
      <c r="S510" s="29"/>
      <c r="T510" s="476"/>
      <c r="U510" s="29"/>
      <c r="V510" s="2"/>
      <c r="W510" s="29"/>
      <c r="X510" s="2"/>
      <c r="Y510" s="29"/>
    </row>
    <row x14ac:dyDescent="0.25" r="511" customHeight="1" ht="15.75">
      <c r="A511" s="502"/>
      <c r="B511" s="34"/>
      <c r="C511" s="34"/>
      <c r="D511" s="34"/>
      <c r="E511" s="34"/>
      <c r="F511" s="34"/>
      <c r="G511" s="34"/>
      <c r="H511" s="34"/>
      <c r="I511" s="29"/>
      <c r="J511" s="29"/>
      <c r="K511" s="29"/>
      <c r="L511" s="29"/>
      <c r="M511" s="34"/>
      <c r="N511" s="34"/>
      <c r="O511" s="29"/>
      <c r="P511" s="29"/>
      <c r="Q511" s="29"/>
      <c r="R511" s="29"/>
      <c r="S511" s="29"/>
      <c r="T511" s="476"/>
      <c r="U511" s="29"/>
      <c r="V511" s="2"/>
      <c r="W511" s="29"/>
      <c r="X511" s="2"/>
      <c r="Y511" s="29"/>
    </row>
    <row x14ac:dyDescent="0.25" r="512" customHeight="1" ht="15.75">
      <c r="A512" s="502"/>
      <c r="B512" s="34"/>
      <c r="C512" s="34"/>
      <c r="D512" s="34"/>
      <c r="E512" s="34"/>
      <c r="F512" s="34"/>
      <c r="G512" s="34"/>
      <c r="H512" s="34"/>
      <c r="I512" s="29"/>
      <c r="J512" s="29"/>
      <c r="K512" s="29"/>
      <c r="L512" s="29"/>
      <c r="M512" s="34"/>
      <c r="N512" s="34"/>
      <c r="O512" s="29"/>
      <c r="P512" s="29"/>
      <c r="Q512" s="29"/>
      <c r="R512" s="29"/>
      <c r="S512" s="29"/>
      <c r="T512" s="476"/>
      <c r="U512" s="29"/>
      <c r="V512" s="2"/>
      <c r="W512" s="29"/>
      <c r="X512" s="2"/>
      <c r="Y512" s="29"/>
    </row>
    <row x14ac:dyDescent="0.25" r="513" customHeight="1" ht="15.75">
      <c r="A513" s="502"/>
      <c r="B513" s="34"/>
      <c r="C513" s="34"/>
      <c r="D513" s="34"/>
      <c r="E513" s="34"/>
      <c r="F513" s="34"/>
      <c r="G513" s="34"/>
      <c r="H513" s="34"/>
      <c r="I513" s="29"/>
      <c r="J513" s="29"/>
      <c r="K513" s="29"/>
      <c r="L513" s="29"/>
      <c r="M513" s="34"/>
      <c r="N513" s="34"/>
      <c r="O513" s="29"/>
      <c r="P513" s="29"/>
      <c r="Q513" s="29"/>
      <c r="R513" s="29"/>
      <c r="S513" s="29"/>
      <c r="T513" s="476"/>
      <c r="U513" s="29"/>
      <c r="V513" s="2"/>
      <c r="W513" s="29"/>
      <c r="X513" s="2"/>
      <c r="Y513" s="29"/>
    </row>
    <row x14ac:dyDescent="0.25" r="514" customHeight="1" ht="15.75">
      <c r="A514" s="502"/>
      <c r="B514" s="34"/>
      <c r="C514" s="34"/>
      <c r="D514" s="34"/>
      <c r="E514" s="34"/>
      <c r="F514" s="34"/>
      <c r="G514" s="34"/>
      <c r="H514" s="34"/>
      <c r="I514" s="29"/>
      <c r="J514" s="29"/>
      <c r="K514" s="29"/>
      <c r="L514" s="29"/>
      <c r="M514" s="34"/>
      <c r="N514" s="34"/>
      <c r="O514" s="29"/>
      <c r="P514" s="29"/>
      <c r="Q514" s="29"/>
      <c r="R514" s="29"/>
      <c r="S514" s="29"/>
      <c r="T514" s="476"/>
      <c r="U514" s="29"/>
      <c r="V514" s="2"/>
      <c r="W514" s="29"/>
      <c r="X514" s="2"/>
      <c r="Y514" s="29"/>
    </row>
    <row x14ac:dyDescent="0.25" r="515" customHeight="1" ht="15.75">
      <c r="A515" s="502"/>
      <c r="B515" s="34"/>
      <c r="C515" s="34"/>
      <c r="D515" s="34"/>
      <c r="E515" s="34"/>
      <c r="F515" s="34"/>
      <c r="G515" s="34"/>
      <c r="H515" s="34"/>
      <c r="I515" s="29"/>
      <c r="J515" s="29"/>
      <c r="K515" s="29"/>
      <c r="L515" s="29"/>
      <c r="M515" s="34"/>
      <c r="N515" s="34"/>
      <c r="O515" s="29"/>
      <c r="P515" s="29"/>
      <c r="Q515" s="29"/>
      <c r="R515" s="29"/>
      <c r="S515" s="29"/>
      <c r="T515" s="476"/>
      <c r="U515" s="29"/>
      <c r="V515" s="2"/>
      <c r="W515" s="29"/>
      <c r="X515" s="2"/>
      <c r="Y515" s="29"/>
    </row>
    <row x14ac:dyDescent="0.25" r="516" customHeight="1" ht="15.75">
      <c r="A516" s="502"/>
      <c r="B516" s="34"/>
      <c r="C516" s="34"/>
      <c r="D516" s="34"/>
      <c r="E516" s="34"/>
      <c r="F516" s="34"/>
      <c r="G516" s="34"/>
      <c r="H516" s="34"/>
      <c r="I516" s="29"/>
      <c r="J516" s="29"/>
      <c r="K516" s="29"/>
      <c r="L516" s="29"/>
      <c r="M516" s="34"/>
      <c r="N516" s="34"/>
      <c r="O516" s="29"/>
      <c r="P516" s="29"/>
      <c r="Q516" s="29"/>
      <c r="R516" s="29"/>
      <c r="S516" s="29"/>
      <c r="T516" s="476"/>
      <c r="U516" s="29"/>
      <c r="V516" s="2"/>
      <c r="W516" s="29"/>
      <c r="X516" s="2"/>
      <c r="Y516" s="29"/>
    </row>
    <row x14ac:dyDescent="0.25" r="517" customHeight="1" ht="15.75">
      <c r="A517" s="502"/>
      <c r="B517" s="34"/>
      <c r="C517" s="34"/>
      <c r="D517" s="34"/>
      <c r="E517" s="34"/>
      <c r="F517" s="34"/>
      <c r="G517" s="34"/>
      <c r="H517" s="34"/>
      <c r="I517" s="29"/>
      <c r="J517" s="29"/>
      <c r="K517" s="29"/>
      <c r="L517" s="29"/>
      <c r="M517" s="34"/>
      <c r="N517" s="34"/>
      <c r="O517" s="29"/>
      <c r="P517" s="29"/>
      <c r="Q517" s="29"/>
      <c r="R517" s="29"/>
      <c r="S517" s="29"/>
      <c r="T517" s="476"/>
      <c r="U517" s="29"/>
      <c r="V517" s="2"/>
      <c r="W517" s="29"/>
      <c r="X517" s="2"/>
      <c r="Y517" s="29"/>
    </row>
    <row x14ac:dyDescent="0.25" r="518" customHeight="1" ht="15.75">
      <c r="A518" s="502"/>
      <c r="B518" s="34"/>
      <c r="C518" s="34"/>
      <c r="D518" s="34"/>
      <c r="E518" s="34"/>
      <c r="F518" s="34"/>
      <c r="G518" s="34"/>
      <c r="H518" s="34"/>
      <c r="I518" s="29"/>
      <c r="J518" s="29"/>
      <c r="K518" s="29"/>
      <c r="L518" s="29"/>
      <c r="M518" s="34"/>
      <c r="N518" s="34"/>
      <c r="O518" s="29"/>
      <c r="P518" s="29"/>
      <c r="Q518" s="29"/>
      <c r="R518" s="29"/>
      <c r="S518" s="29"/>
      <c r="T518" s="476"/>
      <c r="U518" s="29"/>
      <c r="V518" s="2"/>
      <c r="W518" s="29"/>
      <c r="X518" s="2"/>
      <c r="Y518" s="29"/>
    </row>
    <row x14ac:dyDescent="0.25" r="519" customHeight="1" ht="15.75">
      <c r="A519" s="502"/>
      <c r="B519" s="34"/>
      <c r="C519" s="34"/>
      <c r="D519" s="34"/>
      <c r="E519" s="34"/>
      <c r="F519" s="34"/>
      <c r="G519" s="34"/>
      <c r="H519" s="34"/>
      <c r="I519" s="29"/>
      <c r="J519" s="29"/>
      <c r="K519" s="29"/>
      <c r="L519" s="29"/>
      <c r="M519" s="34"/>
      <c r="N519" s="34"/>
      <c r="O519" s="29"/>
      <c r="P519" s="29"/>
      <c r="Q519" s="29"/>
      <c r="R519" s="29"/>
      <c r="S519" s="29"/>
      <c r="T519" s="476"/>
      <c r="U519" s="29"/>
      <c r="V519" s="2"/>
      <c r="W519" s="29"/>
      <c r="X519" s="2"/>
      <c r="Y519" s="29"/>
    </row>
    <row x14ac:dyDescent="0.25" r="520" customHeight="1" ht="15.75">
      <c r="A520" s="502"/>
      <c r="B520" s="34"/>
      <c r="C520" s="34"/>
      <c r="D520" s="34"/>
      <c r="E520" s="34"/>
      <c r="F520" s="34"/>
      <c r="G520" s="34"/>
      <c r="H520" s="34"/>
      <c r="I520" s="29"/>
      <c r="J520" s="29"/>
      <c r="K520" s="29"/>
      <c r="L520" s="29"/>
      <c r="M520" s="34"/>
      <c r="N520" s="34"/>
      <c r="O520" s="29"/>
      <c r="P520" s="29"/>
      <c r="Q520" s="29"/>
      <c r="R520" s="29"/>
      <c r="S520" s="29"/>
      <c r="T520" s="476"/>
      <c r="U520" s="29"/>
      <c r="V520" s="2"/>
      <c r="W520" s="29"/>
      <c r="X520" s="2"/>
      <c r="Y520" s="29"/>
    </row>
    <row x14ac:dyDescent="0.25" r="521" customHeight="1" ht="15.75">
      <c r="A521" s="502"/>
      <c r="B521" s="34"/>
      <c r="C521" s="34"/>
      <c r="D521" s="34"/>
      <c r="E521" s="34"/>
      <c r="F521" s="34"/>
      <c r="G521" s="34"/>
      <c r="H521" s="34"/>
      <c r="I521" s="29"/>
      <c r="J521" s="29"/>
      <c r="K521" s="29"/>
      <c r="L521" s="29"/>
      <c r="M521" s="34"/>
      <c r="N521" s="34"/>
      <c r="O521" s="29"/>
      <c r="P521" s="29"/>
      <c r="Q521" s="29"/>
      <c r="R521" s="29"/>
      <c r="S521" s="29"/>
      <c r="T521" s="476"/>
      <c r="U521" s="29"/>
      <c r="V521" s="2"/>
      <c r="W521" s="29"/>
      <c r="X521" s="2"/>
      <c r="Y521" s="29"/>
    </row>
    <row x14ac:dyDescent="0.25" r="522" customHeight="1" ht="15.75">
      <c r="A522" s="502"/>
      <c r="B522" s="34"/>
      <c r="C522" s="34"/>
      <c r="D522" s="34"/>
      <c r="E522" s="34"/>
      <c r="F522" s="34"/>
      <c r="G522" s="34"/>
      <c r="H522" s="34"/>
      <c r="I522" s="29"/>
      <c r="J522" s="29"/>
      <c r="K522" s="29"/>
      <c r="L522" s="29"/>
      <c r="M522" s="34"/>
      <c r="N522" s="34"/>
      <c r="O522" s="29"/>
      <c r="P522" s="29"/>
      <c r="Q522" s="29"/>
      <c r="R522" s="29"/>
      <c r="S522" s="29"/>
      <c r="T522" s="476"/>
      <c r="U522" s="29"/>
      <c r="V522" s="2"/>
      <c r="W522" s="29"/>
      <c r="X522" s="2"/>
      <c r="Y522" s="29"/>
    </row>
    <row x14ac:dyDescent="0.25" r="523" customHeight="1" ht="15.75">
      <c r="A523" s="502"/>
      <c r="B523" s="34"/>
      <c r="C523" s="34"/>
      <c r="D523" s="34"/>
      <c r="E523" s="34"/>
      <c r="F523" s="34"/>
      <c r="G523" s="34"/>
      <c r="H523" s="34"/>
      <c r="I523" s="29"/>
      <c r="J523" s="29"/>
      <c r="K523" s="29"/>
      <c r="L523" s="29"/>
      <c r="M523" s="34"/>
      <c r="N523" s="34"/>
      <c r="O523" s="29"/>
      <c r="P523" s="29"/>
      <c r="Q523" s="29"/>
      <c r="R523" s="29"/>
      <c r="S523" s="29"/>
      <c r="T523" s="476"/>
      <c r="U523" s="29"/>
      <c r="V523" s="2"/>
      <c r="W523" s="29"/>
      <c r="X523" s="2"/>
      <c r="Y523" s="29"/>
    </row>
    <row x14ac:dyDescent="0.25" r="524" customHeight="1" ht="15.75">
      <c r="A524" s="502"/>
      <c r="B524" s="34"/>
      <c r="C524" s="34"/>
      <c r="D524" s="34"/>
      <c r="E524" s="34"/>
      <c r="F524" s="34"/>
      <c r="G524" s="34"/>
      <c r="H524" s="34"/>
      <c r="I524" s="29"/>
      <c r="J524" s="29"/>
      <c r="K524" s="29"/>
      <c r="L524" s="29"/>
      <c r="M524" s="34"/>
      <c r="N524" s="34"/>
      <c r="O524" s="29"/>
      <c r="P524" s="29"/>
      <c r="Q524" s="29"/>
      <c r="R524" s="29"/>
      <c r="S524" s="29"/>
      <c r="T524" s="476"/>
      <c r="U524" s="29"/>
      <c r="V524" s="2"/>
      <c r="W524" s="29"/>
      <c r="X524" s="2"/>
      <c r="Y524" s="29"/>
    </row>
    <row x14ac:dyDescent="0.25" r="525" customHeight="1" ht="15.75">
      <c r="A525" s="502"/>
      <c r="B525" s="34"/>
      <c r="C525" s="34"/>
      <c r="D525" s="34"/>
      <c r="E525" s="34"/>
      <c r="F525" s="34"/>
      <c r="G525" s="34"/>
      <c r="H525" s="34"/>
      <c r="I525" s="29"/>
      <c r="J525" s="29"/>
      <c r="K525" s="29"/>
      <c r="L525" s="29"/>
      <c r="M525" s="34"/>
      <c r="N525" s="34"/>
      <c r="O525" s="29"/>
      <c r="P525" s="29"/>
      <c r="Q525" s="29"/>
      <c r="R525" s="29"/>
      <c r="S525" s="29"/>
      <c r="T525" s="476"/>
      <c r="U525" s="29"/>
      <c r="V525" s="2"/>
      <c r="W525" s="29"/>
      <c r="X525" s="2"/>
      <c r="Y525" s="29"/>
    </row>
    <row x14ac:dyDescent="0.25" r="526" customHeight="1" ht="15.75">
      <c r="A526" s="502"/>
      <c r="B526" s="34"/>
      <c r="C526" s="34"/>
      <c r="D526" s="34"/>
      <c r="E526" s="34"/>
      <c r="F526" s="34"/>
      <c r="G526" s="34"/>
      <c r="H526" s="34"/>
      <c r="I526" s="29"/>
      <c r="J526" s="29"/>
      <c r="K526" s="29"/>
      <c r="L526" s="29"/>
      <c r="M526" s="34"/>
      <c r="N526" s="34"/>
      <c r="O526" s="29"/>
      <c r="P526" s="29"/>
      <c r="Q526" s="29"/>
      <c r="R526" s="29"/>
      <c r="S526" s="29"/>
      <c r="T526" s="476"/>
      <c r="U526" s="29"/>
      <c r="V526" s="2"/>
      <c r="W526" s="29"/>
      <c r="X526" s="2"/>
      <c r="Y526" s="29"/>
    </row>
    <row x14ac:dyDescent="0.25" r="527" customHeight="1" ht="15.75">
      <c r="A527" s="502"/>
      <c r="B527" s="34"/>
      <c r="C527" s="34"/>
      <c r="D527" s="34"/>
      <c r="E527" s="34"/>
      <c r="F527" s="34"/>
      <c r="G527" s="34"/>
      <c r="H527" s="34"/>
      <c r="I527" s="29"/>
      <c r="J527" s="29"/>
      <c r="K527" s="29"/>
      <c r="L527" s="29"/>
      <c r="M527" s="34"/>
      <c r="N527" s="34"/>
      <c r="O527" s="29"/>
      <c r="P527" s="29"/>
      <c r="Q527" s="29"/>
      <c r="R527" s="29"/>
      <c r="S527" s="29"/>
      <c r="T527" s="476"/>
      <c r="U527" s="29"/>
      <c r="V527" s="2"/>
      <c r="W527" s="29"/>
      <c r="X527" s="2"/>
      <c r="Y527" s="29"/>
    </row>
    <row x14ac:dyDescent="0.25" r="528" customHeight="1" ht="15.75">
      <c r="A528" s="502"/>
      <c r="B528" s="34"/>
      <c r="C528" s="34"/>
      <c r="D528" s="34"/>
      <c r="E528" s="34"/>
      <c r="F528" s="34"/>
      <c r="G528" s="34"/>
      <c r="H528" s="34"/>
      <c r="I528" s="29"/>
      <c r="J528" s="29"/>
      <c r="K528" s="29"/>
      <c r="L528" s="29"/>
      <c r="M528" s="34"/>
      <c r="N528" s="34"/>
      <c r="O528" s="29"/>
      <c r="P528" s="29"/>
      <c r="Q528" s="29"/>
      <c r="R528" s="29"/>
      <c r="S528" s="29"/>
      <c r="T528" s="476"/>
      <c r="U528" s="29"/>
      <c r="V528" s="2"/>
      <c r="W528" s="29"/>
      <c r="X528" s="2"/>
      <c r="Y528" s="29"/>
    </row>
    <row x14ac:dyDescent="0.25" r="529" customHeight="1" ht="15.75">
      <c r="A529" s="502"/>
      <c r="B529" s="34"/>
      <c r="C529" s="34"/>
      <c r="D529" s="34"/>
      <c r="E529" s="34"/>
      <c r="F529" s="34"/>
      <c r="G529" s="34"/>
      <c r="H529" s="34"/>
      <c r="I529" s="29"/>
      <c r="J529" s="29"/>
      <c r="K529" s="29"/>
      <c r="L529" s="29"/>
      <c r="M529" s="34"/>
      <c r="N529" s="34"/>
      <c r="O529" s="29"/>
      <c r="P529" s="29"/>
      <c r="Q529" s="29"/>
      <c r="R529" s="29"/>
      <c r="S529" s="29"/>
      <c r="T529" s="476"/>
      <c r="U529" s="29"/>
      <c r="V529" s="2"/>
      <c r="W529" s="29"/>
      <c r="X529" s="2"/>
      <c r="Y529" s="29"/>
    </row>
    <row x14ac:dyDescent="0.25" r="530" customHeight="1" ht="15.75">
      <c r="A530" s="502"/>
      <c r="B530" s="34"/>
      <c r="C530" s="34"/>
      <c r="D530" s="34"/>
      <c r="E530" s="34"/>
      <c r="F530" s="34"/>
      <c r="G530" s="34"/>
      <c r="H530" s="34"/>
      <c r="I530" s="29"/>
      <c r="J530" s="29"/>
      <c r="K530" s="29"/>
      <c r="L530" s="29"/>
      <c r="M530" s="34"/>
      <c r="N530" s="34"/>
      <c r="O530" s="29"/>
      <c r="P530" s="29"/>
      <c r="Q530" s="29"/>
      <c r="R530" s="29"/>
      <c r="S530" s="29"/>
      <c r="T530" s="476"/>
      <c r="U530" s="29"/>
      <c r="V530" s="2"/>
      <c r="W530" s="29"/>
      <c r="X530" s="2"/>
      <c r="Y530" s="29"/>
    </row>
    <row x14ac:dyDescent="0.25" r="531" customHeight="1" ht="15.75">
      <c r="A531" s="502"/>
      <c r="B531" s="34"/>
      <c r="C531" s="34"/>
      <c r="D531" s="34"/>
      <c r="E531" s="34"/>
      <c r="F531" s="34"/>
      <c r="G531" s="34"/>
      <c r="H531" s="34"/>
      <c r="I531" s="29"/>
      <c r="J531" s="29"/>
      <c r="K531" s="29"/>
      <c r="L531" s="29"/>
      <c r="M531" s="34"/>
      <c r="N531" s="34"/>
      <c r="O531" s="29"/>
      <c r="P531" s="29"/>
      <c r="Q531" s="29"/>
      <c r="R531" s="29"/>
      <c r="S531" s="29"/>
      <c r="T531" s="476"/>
      <c r="U531" s="29"/>
      <c r="V531" s="2"/>
      <c r="W531" s="29"/>
      <c r="X531" s="2"/>
      <c r="Y531" s="29"/>
    </row>
    <row x14ac:dyDescent="0.25" r="532" customHeight="1" ht="15.75">
      <c r="A532" s="502"/>
      <c r="B532" s="34"/>
      <c r="C532" s="34"/>
      <c r="D532" s="34"/>
      <c r="E532" s="34"/>
      <c r="F532" s="34"/>
      <c r="G532" s="34"/>
      <c r="H532" s="34"/>
      <c r="I532" s="29"/>
      <c r="J532" s="29"/>
      <c r="K532" s="29"/>
      <c r="L532" s="29"/>
      <c r="M532" s="34"/>
      <c r="N532" s="34"/>
      <c r="O532" s="29"/>
      <c r="P532" s="29"/>
      <c r="Q532" s="29"/>
      <c r="R532" s="29"/>
      <c r="S532" s="29"/>
      <c r="T532" s="476"/>
      <c r="U532" s="29"/>
      <c r="V532" s="2"/>
      <c r="W532" s="29"/>
      <c r="X532" s="2"/>
      <c r="Y532" s="29"/>
    </row>
    <row x14ac:dyDescent="0.25" r="533" customHeight="1" ht="15.75">
      <c r="A533" s="502"/>
      <c r="B533" s="34"/>
      <c r="C533" s="34"/>
      <c r="D533" s="34"/>
      <c r="E533" s="34"/>
      <c r="F533" s="34"/>
      <c r="G533" s="34"/>
      <c r="H533" s="34"/>
      <c r="I533" s="29"/>
      <c r="J533" s="29"/>
      <c r="K533" s="29"/>
      <c r="L533" s="29"/>
      <c r="M533" s="34"/>
      <c r="N533" s="34"/>
      <c r="O533" s="29"/>
      <c r="P533" s="29"/>
      <c r="Q533" s="29"/>
      <c r="R533" s="29"/>
      <c r="S533" s="29"/>
      <c r="T533" s="476"/>
      <c r="U533" s="29"/>
      <c r="V533" s="2"/>
      <c r="W533" s="29"/>
      <c r="X533" s="2"/>
      <c r="Y533" s="29"/>
    </row>
    <row x14ac:dyDescent="0.25" r="534" customHeight="1" ht="15.75">
      <c r="A534" s="502"/>
      <c r="B534" s="34"/>
      <c r="C534" s="34"/>
      <c r="D534" s="34"/>
      <c r="E534" s="34"/>
      <c r="F534" s="34"/>
      <c r="G534" s="34"/>
      <c r="H534" s="34"/>
      <c r="I534" s="29"/>
      <c r="J534" s="29"/>
      <c r="K534" s="29"/>
      <c r="L534" s="29"/>
      <c r="M534" s="34"/>
      <c r="N534" s="34"/>
      <c r="O534" s="29"/>
      <c r="P534" s="29"/>
      <c r="Q534" s="29"/>
      <c r="R534" s="29"/>
      <c r="S534" s="29"/>
      <c r="T534" s="476"/>
      <c r="U534" s="29"/>
      <c r="V534" s="2"/>
      <c r="W534" s="29"/>
      <c r="X534" s="2"/>
      <c r="Y534" s="29"/>
    </row>
    <row x14ac:dyDescent="0.25" r="535" customHeight="1" ht="15.75">
      <c r="A535" s="502"/>
      <c r="B535" s="34"/>
      <c r="C535" s="34"/>
      <c r="D535" s="34"/>
      <c r="E535" s="34"/>
      <c r="F535" s="34"/>
      <c r="G535" s="34"/>
      <c r="H535" s="34"/>
      <c r="I535" s="29"/>
      <c r="J535" s="29"/>
      <c r="K535" s="29"/>
      <c r="L535" s="29"/>
      <c r="M535" s="34"/>
      <c r="N535" s="34"/>
      <c r="O535" s="29"/>
      <c r="P535" s="29"/>
      <c r="Q535" s="29"/>
      <c r="R535" s="29"/>
      <c r="S535" s="29"/>
      <c r="T535" s="476"/>
      <c r="U535" s="29"/>
      <c r="V535" s="2"/>
      <c r="W535" s="29"/>
      <c r="X535" s="2"/>
      <c r="Y535" s="29"/>
    </row>
    <row x14ac:dyDescent="0.25" r="536" customHeight="1" ht="15.75">
      <c r="A536" s="502"/>
      <c r="B536" s="34"/>
      <c r="C536" s="34"/>
      <c r="D536" s="34"/>
      <c r="E536" s="34"/>
      <c r="F536" s="34"/>
      <c r="G536" s="34"/>
      <c r="H536" s="34"/>
      <c r="I536" s="29"/>
      <c r="J536" s="29"/>
      <c r="K536" s="29"/>
      <c r="L536" s="29"/>
      <c r="M536" s="34"/>
      <c r="N536" s="34"/>
      <c r="O536" s="29"/>
      <c r="P536" s="29"/>
      <c r="Q536" s="29"/>
      <c r="R536" s="29"/>
      <c r="S536" s="29"/>
      <c r="T536" s="476"/>
      <c r="U536" s="29"/>
      <c r="V536" s="2"/>
      <c r="W536" s="29"/>
      <c r="X536" s="2"/>
      <c r="Y536" s="29"/>
    </row>
    <row x14ac:dyDescent="0.25" r="537" customHeight="1" ht="15.75">
      <c r="A537" s="502"/>
      <c r="B537" s="34"/>
      <c r="C537" s="34"/>
      <c r="D537" s="34"/>
      <c r="E537" s="34"/>
      <c r="F537" s="34"/>
      <c r="G537" s="34"/>
      <c r="H537" s="34"/>
      <c r="I537" s="29"/>
      <c r="J537" s="29"/>
      <c r="K537" s="29"/>
      <c r="L537" s="29"/>
      <c r="M537" s="34"/>
      <c r="N537" s="34"/>
      <c r="O537" s="29"/>
      <c r="P537" s="29"/>
      <c r="Q537" s="29"/>
      <c r="R537" s="29"/>
      <c r="S537" s="29"/>
      <c r="T537" s="476"/>
      <c r="U537" s="29"/>
      <c r="V537" s="2"/>
      <c r="W537" s="29"/>
      <c r="X537" s="2"/>
      <c r="Y537" s="29"/>
    </row>
    <row x14ac:dyDescent="0.25" r="538" customHeight="1" ht="15.75">
      <c r="A538" s="502"/>
      <c r="B538" s="34"/>
      <c r="C538" s="34"/>
      <c r="D538" s="34"/>
      <c r="E538" s="34"/>
      <c r="F538" s="34"/>
      <c r="G538" s="34"/>
      <c r="H538" s="34"/>
      <c r="I538" s="29"/>
      <c r="J538" s="29"/>
      <c r="K538" s="29"/>
      <c r="L538" s="29"/>
      <c r="M538" s="34"/>
      <c r="N538" s="34"/>
      <c r="O538" s="29"/>
      <c r="P538" s="29"/>
      <c r="Q538" s="29"/>
      <c r="R538" s="29"/>
      <c r="S538" s="29"/>
      <c r="T538" s="476"/>
      <c r="U538" s="29"/>
      <c r="V538" s="2"/>
      <c r="W538" s="29"/>
      <c r="X538" s="2"/>
      <c r="Y538" s="29"/>
    </row>
    <row x14ac:dyDescent="0.25" r="539" customHeight="1" ht="15.75">
      <c r="A539" s="502"/>
      <c r="B539" s="34"/>
      <c r="C539" s="34"/>
      <c r="D539" s="34"/>
      <c r="E539" s="34"/>
      <c r="F539" s="34"/>
      <c r="G539" s="34"/>
      <c r="H539" s="34"/>
      <c r="I539" s="29"/>
      <c r="J539" s="29"/>
      <c r="K539" s="29"/>
      <c r="L539" s="29"/>
      <c r="M539" s="34"/>
      <c r="N539" s="34"/>
      <c r="O539" s="29"/>
      <c r="P539" s="29"/>
      <c r="Q539" s="29"/>
      <c r="R539" s="29"/>
      <c r="S539" s="29"/>
      <c r="T539" s="476"/>
      <c r="U539" s="29"/>
      <c r="V539" s="2"/>
      <c r="W539" s="29"/>
      <c r="X539" s="2"/>
      <c r="Y539" s="29"/>
    </row>
    <row x14ac:dyDescent="0.25" r="540" customHeight="1" ht="15.75">
      <c r="A540" s="502"/>
      <c r="B540" s="34"/>
      <c r="C540" s="34"/>
      <c r="D540" s="34"/>
      <c r="E540" s="34"/>
      <c r="F540" s="34"/>
      <c r="G540" s="34"/>
      <c r="H540" s="34"/>
      <c r="I540" s="29"/>
      <c r="J540" s="29"/>
      <c r="K540" s="29"/>
      <c r="L540" s="29"/>
      <c r="M540" s="34"/>
      <c r="N540" s="34"/>
      <c r="O540" s="29"/>
      <c r="P540" s="29"/>
      <c r="Q540" s="29"/>
      <c r="R540" s="29"/>
      <c r="S540" s="29"/>
      <c r="T540" s="476"/>
      <c r="U540" s="29"/>
      <c r="V540" s="2"/>
      <c r="W540" s="29"/>
      <c r="X540" s="2"/>
      <c r="Y540" s="29"/>
    </row>
    <row x14ac:dyDescent="0.25" r="541" customHeight="1" ht="15.75">
      <c r="A541" s="502"/>
      <c r="B541" s="34"/>
      <c r="C541" s="34"/>
      <c r="D541" s="34"/>
      <c r="E541" s="34"/>
      <c r="F541" s="34"/>
      <c r="G541" s="34"/>
      <c r="H541" s="34"/>
      <c r="I541" s="29"/>
      <c r="J541" s="29"/>
      <c r="K541" s="29"/>
      <c r="L541" s="29"/>
      <c r="M541" s="34"/>
      <c r="N541" s="34"/>
      <c r="O541" s="29"/>
      <c r="P541" s="29"/>
      <c r="Q541" s="29"/>
      <c r="R541" s="29"/>
      <c r="S541" s="29"/>
      <c r="T541" s="476"/>
      <c r="U541" s="29"/>
      <c r="V541" s="2"/>
      <c r="W541" s="29"/>
      <c r="X541" s="2"/>
      <c r="Y541" s="29"/>
    </row>
    <row x14ac:dyDescent="0.25" r="542" customHeight="1" ht="15.75">
      <c r="A542" s="502"/>
      <c r="B542" s="34"/>
      <c r="C542" s="34"/>
      <c r="D542" s="34"/>
      <c r="E542" s="34"/>
      <c r="F542" s="34"/>
      <c r="G542" s="34"/>
      <c r="H542" s="34"/>
      <c r="I542" s="29"/>
      <c r="J542" s="29"/>
      <c r="K542" s="29"/>
      <c r="L542" s="29"/>
      <c r="M542" s="34"/>
      <c r="N542" s="34"/>
      <c r="O542" s="29"/>
      <c r="P542" s="29"/>
      <c r="Q542" s="29"/>
      <c r="R542" s="29"/>
      <c r="S542" s="29"/>
      <c r="T542" s="476"/>
      <c r="U542" s="29"/>
      <c r="V542" s="2"/>
      <c r="W542" s="29"/>
      <c r="X542" s="2"/>
      <c r="Y542" s="29"/>
    </row>
    <row x14ac:dyDescent="0.25" r="543" customHeight="1" ht="15.75">
      <c r="A543" s="502"/>
      <c r="B543" s="34"/>
      <c r="C543" s="34"/>
      <c r="D543" s="34"/>
      <c r="E543" s="34"/>
      <c r="F543" s="34"/>
      <c r="G543" s="34"/>
      <c r="H543" s="34"/>
      <c r="I543" s="29"/>
      <c r="J543" s="29"/>
      <c r="K543" s="29"/>
      <c r="L543" s="29"/>
      <c r="M543" s="34"/>
      <c r="N543" s="34"/>
      <c r="O543" s="29"/>
      <c r="P543" s="29"/>
      <c r="Q543" s="29"/>
      <c r="R543" s="29"/>
      <c r="S543" s="29"/>
      <c r="T543" s="476"/>
      <c r="U543" s="29"/>
      <c r="V543" s="2"/>
      <c r="W543" s="29"/>
      <c r="X543" s="2"/>
      <c r="Y543" s="29"/>
    </row>
    <row x14ac:dyDescent="0.25" r="544" customHeight="1" ht="15.75">
      <c r="A544" s="502"/>
      <c r="B544" s="34"/>
      <c r="C544" s="34"/>
      <c r="D544" s="34"/>
      <c r="E544" s="34"/>
      <c r="F544" s="34"/>
      <c r="G544" s="34"/>
      <c r="H544" s="34"/>
      <c r="I544" s="29"/>
      <c r="J544" s="29"/>
      <c r="K544" s="29"/>
      <c r="L544" s="29"/>
      <c r="M544" s="34"/>
      <c r="N544" s="34"/>
      <c r="O544" s="29"/>
      <c r="P544" s="29"/>
      <c r="Q544" s="29"/>
      <c r="R544" s="29"/>
      <c r="S544" s="29"/>
      <c r="T544" s="476"/>
      <c r="U544" s="29"/>
      <c r="V544" s="2"/>
      <c r="W544" s="29"/>
      <c r="X544" s="2"/>
      <c r="Y544" s="29"/>
    </row>
    <row x14ac:dyDescent="0.25" r="545" customHeight="1" ht="15.75">
      <c r="A545" s="502"/>
      <c r="B545" s="34"/>
      <c r="C545" s="34"/>
      <c r="D545" s="34"/>
      <c r="E545" s="34"/>
      <c r="F545" s="34"/>
      <c r="G545" s="34"/>
      <c r="H545" s="34"/>
      <c r="I545" s="29"/>
      <c r="J545" s="29"/>
      <c r="K545" s="29"/>
      <c r="L545" s="29"/>
      <c r="M545" s="34"/>
      <c r="N545" s="34"/>
      <c r="O545" s="29"/>
      <c r="P545" s="29"/>
      <c r="Q545" s="29"/>
      <c r="R545" s="29"/>
      <c r="S545" s="29"/>
      <c r="T545" s="476"/>
      <c r="U545" s="29"/>
      <c r="V545" s="2"/>
      <c r="W545" s="29"/>
      <c r="X545" s="2"/>
      <c r="Y545" s="29"/>
    </row>
    <row x14ac:dyDescent="0.25" r="546" customHeight="1" ht="15.75">
      <c r="A546" s="502"/>
      <c r="B546" s="34"/>
      <c r="C546" s="34"/>
      <c r="D546" s="34"/>
      <c r="E546" s="34"/>
      <c r="F546" s="34"/>
      <c r="G546" s="34"/>
      <c r="H546" s="34"/>
      <c r="I546" s="29"/>
      <c r="J546" s="29"/>
      <c r="K546" s="29"/>
      <c r="L546" s="29"/>
      <c r="M546" s="34"/>
      <c r="N546" s="34"/>
      <c r="O546" s="29"/>
      <c r="P546" s="29"/>
      <c r="Q546" s="29"/>
      <c r="R546" s="29"/>
      <c r="S546" s="29"/>
      <c r="T546" s="476"/>
      <c r="U546" s="29"/>
      <c r="V546" s="2"/>
      <c r="W546" s="29"/>
      <c r="X546" s="2"/>
      <c r="Y546" s="29"/>
    </row>
    <row x14ac:dyDescent="0.25" r="547" customHeight="1" ht="15.75">
      <c r="A547" s="502"/>
      <c r="B547" s="34"/>
      <c r="C547" s="34"/>
      <c r="D547" s="34"/>
      <c r="E547" s="34"/>
      <c r="F547" s="34"/>
      <c r="G547" s="34"/>
      <c r="H547" s="34"/>
      <c r="I547" s="29"/>
      <c r="J547" s="29"/>
      <c r="K547" s="29"/>
      <c r="L547" s="29"/>
      <c r="M547" s="34"/>
      <c r="N547" s="34"/>
      <c r="O547" s="29"/>
      <c r="P547" s="29"/>
      <c r="Q547" s="29"/>
      <c r="R547" s="29"/>
      <c r="S547" s="29"/>
      <c r="T547" s="476"/>
      <c r="U547" s="29"/>
      <c r="V547" s="2"/>
      <c r="W547" s="29"/>
      <c r="X547" s="2"/>
      <c r="Y547" s="29"/>
    </row>
    <row x14ac:dyDescent="0.25" r="548" customHeight="1" ht="15.75">
      <c r="A548" s="502"/>
      <c r="B548" s="34"/>
      <c r="C548" s="34"/>
      <c r="D548" s="34"/>
      <c r="E548" s="34"/>
      <c r="F548" s="34"/>
      <c r="G548" s="34"/>
      <c r="H548" s="34"/>
      <c r="I548" s="29"/>
      <c r="J548" s="29"/>
      <c r="K548" s="29"/>
      <c r="L548" s="29"/>
      <c r="M548" s="34"/>
      <c r="N548" s="34"/>
      <c r="O548" s="29"/>
      <c r="P548" s="29"/>
      <c r="Q548" s="29"/>
      <c r="R548" s="29"/>
      <c r="S548" s="29"/>
      <c r="T548" s="476"/>
      <c r="U548" s="29"/>
      <c r="V548" s="2"/>
      <c r="W548" s="29"/>
      <c r="X548" s="2"/>
      <c r="Y548" s="29"/>
    </row>
    <row x14ac:dyDescent="0.25" r="549" customHeight="1" ht="15.75">
      <c r="A549" s="502"/>
      <c r="B549" s="34"/>
      <c r="C549" s="34"/>
      <c r="D549" s="34"/>
      <c r="E549" s="34"/>
      <c r="F549" s="34"/>
      <c r="G549" s="34"/>
      <c r="H549" s="34"/>
      <c r="I549" s="29"/>
      <c r="J549" s="29"/>
      <c r="K549" s="29"/>
      <c r="L549" s="29"/>
      <c r="M549" s="34"/>
      <c r="N549" s="34"/>
      <c r="O549" s="29"/>
      <c r="P549" s="29"/>
      <c r="Q549" s="29"/>
      <c r="R549" s="29"/>
      <c r="S549" s="29"/>
      <c r="T549" s="476"/>
      <c r="U549" s="29"/>
      <c r="V549" s="2"/>
      <c r="W549" s="29"/>
      <c r="X549" s="2"/>
      <c r="Y549" s="29"/>
    </row>
    <row x14ac:dyDescent="0.25" r="550" customHeight="1" ht="15.75">
      <c r="A550" s="502"/>
      <c r="B550" s="34"/>
      <c r="C550" s="34"/>
      <c r="D550" s="34"/>
      <c r="E550" s="34"/>
      <c r="F550" s="34"/>
      <c r="G550" s="34"/>
      <c r="H550" s="34"/>
      <c r="I550" s="29"/>
      <c r="J550" s="29"/>
      <c r="K550" s="29"/>
      <c r="L550" s="29"/>
      <c r="M550" s="34"/>
      <c r="N550" s="34"/>
      <c r="O550" s="29"/>
      <c r="P550" s="29"/>
      <c r="Q550" s="29"/>
      <c r="R550" s="29"/>
      <c r="S550" s="29"/>
      <c r="T550" s="476"/>
      <c r="U550" s="29"/>
      <c r="V550" s="2"/>
      <c r="W550" s="29"/>
      <c r="X550" s="2"/>
      <c r="Y550" s="29"/>
    </row>
    <row x14ac:dyDescent="0.25" r="551" customHeight="1" ht="15.75">
      <c r="A551" s="502"/>
      <c r="B551" s="34"/>
      <c r="C551" s="34"/>
      <c r="D551" s="34"/>
      <c r="E551" s="34"/>
      <c r="F551" s="34"/>
      <c r="G551" s="34"/>
      <c r="H551" s="34"/>
      <c r="I551" s="29"/>
      <c r="J551" s="29"/>
      <c r="K551" s="29"/>
      <c r="L551" s="29"/>
      <c r="M551" s="34"/>
      <c r="N551" s="34"/>
      <c r="O551" s="29"/>
      <c r="P551" s="29"/>
      <c r="Q551" s="29"/>
      <c r="R551" s="29"/>
      <c r="S551" s="29"/>
      <c r="T551" s="476"/>
      <c r="U551" s="29"/>
      <c r="V551" s="2"/>
      <c r="W551" s="29"/>
      <c r="X551" s="2"/>
      <c r="Y551" s="29"/>
    </row>
    <row x14ac:dyDescent="0.25" r="552" customHeight="1" ht="15.75">
      <c r="A552" s="502"/>
      <c r="B552" s="34"/>
      <c r="C552" s="34"/>
      <c r="D552" s="34"/>
      <c r="E552" s="34"/>
      <c r="F552" s="34"/>
      <c r="G552" s="34"/>
      <c r="H552" s="34"/>
      <c r="I552" s="29"/>
      <c r="J552" s="29"/>
      <c r="K552" s="29"/>
      <c r="L552" s="29"/>
      <c r="M552" s="34"/>
      <c r="N552" s="34"/>
      <c r="O552" s="29"/>
      <c r="P552" s="29"/>
      <c r="Q552" s="29"/>
      <c r="R552" s="29"/>
      <c r="S552" s="29"/>
      <c r="T552" s="476"/>
      <c r="U552" s="29"/>
      <c r="V552" s="2"/>
      <c r="W552" s="29"/>
      <c r="X552" s="2"/>
      <c r="Y552" s="29"/>
    </row>
    <row x14ac:dyDescent="0.25" r="553" customHeight="1" ht="15.75">
      <c r="A553" s="502"/>
      <c r="B553" s="34"/>
      <c r="C553" s="34"/>
      <c r="D553" s="34"/>
      <c r="E553" s="34"/>
      <c r="F553" s="34"/>
      <c r="G553" s="34"/>
      <c r="H553" s="34"/>
      <c r="I553" s="29"/>
      <c r="J553" s="29"/>
      <c r="K553" s="29"/>
      <c r="L553" s="29"/>
      <c r="M553" s="34"/>
      <c r="N553" s="34"/>
      <c r="O553" s="29"/>
      <c r="P553" s="29"/>
      <c r="Q553" s="29"/>
      <c r="R553" s="29"/>
      <c r="S553" s="29"/>
      <c r="T553" s="476"/>
      <c r="U553" s="29"/>
      <c r="V553" s="2"/>
      <c r="W553" s="29"/>
      <c r="X553" s="2"/>
      <c r="Y553" s="29"/>
    </row>
    <row x14ac:dyDescent="0.25" r="554" customHeight="1" ht="15.75">
      <c r="A554" s="502"/>
      <c r="B554" s="34"/>
      <c r="C554" s="34"/>
      <c r="D554" s="34"/>
      <c r="E554" s="34"/>
      <c r="F554" s="34"/>
      <c r="G554" s="34"/>
      <c r="H554" s="34"/>
      <c r="I554" s="29"/>
      <c r="J554" s="29"/>
      <c r="K554" s="29"/>
      <c r="L554" s="29"/>
      <c r="M554" s="34"/>
      <c r="N554" s="34"/>
      <c r="O554" s="29"/>
      <c r="P554" s="29"/>
      <c r="Q554" s="29"/>
      <c r="R554" s="29"/>
      <c r="S554" s="29"/>
      <c r="T554" s="476"/>
      <c r="U554" s="29"/>
      <c r="V554" s="2"/>
      <c r="W554" s="29"/>
      <c r="X554" s="2"/>
      <c r="Y554" s="29"/>
    </row>
    <row x14ac:dyDescent="0.25" r="555" customHeight="1" ht="15.75">
      <c r="A555" s="502"/>
      <c r="B555" s="34"/>
      <c r="C555" s="34"/>
      <c r="D555" s="34"/>
      <c r="E555" s="34"/>
      <c r="F555" s="34"/>
      <c r="G555" s="34"/>
      <c r="H555" s="34"/>
      <c r="I555" s="29"/>
      <c r="J555" s="29"/>
      <c r="K555" s="29"/>
      <c r="L555" s="29"/>
      <c r="M555" s="34"/>
      <c r="N555" s="34"/>
      <c r="O555" s="29"/>
      <c r="P555" s="29"/>
      <c r="Q555" s="29"/>
      <c r="R555" s="29"/>
      <c r="S555" s="29"/>
      <c r="T555" s="476"/>
      <c r="U555" s="29"/>
      <c r="V555" s="2"/>
      <c r="W555" s="29"/>
      <c r="X555" s="2"/>
      <c r="Y555" s="29"/>
    </row>
    <row x14ac:dyDescent="0.25" r="556" customHeight="1" ht="15.75">
      <c r="A556" s="502"/>
      <c r="B556" s="34"/>
      <c r="C556" s="34"/>
      <c r="D556" s="34"/>
      <c r="E556" s="34"/>
      <c r="F556" s="34"/>
      <c r="G556" s="34"/>
      <c r="H556" s="34"/>
      <c r="I556" s="29"/>
      <c r="J556" s="29"/>
      <c r="K556" s="29"/>
      <c r="L556" s="29"/>
      <c r="M556" s="34"/>
      <c r="N556" s="34"/>
      <c r="O556" s="29"/>
      <c r="P556" s="29"/>
      <c r="Q556" s="29"/>
      <c r="R556" s="29"/>
      <c r="S556" s="29"/>
      <c r="T556" s="476"/>
      <c r="U556" s="29"/>
      <c r="V556" s="2"/>
      <c r="W556" s="29"/>
      <c r="X556" s="2"/>
      <c r="Y556" s="29"/>
    </row>
    <row x14ac:dyDescent="0.25" r="557" customHeight="1" ht="15.75">
      <c r="A557" s="502"/>
      <c r="B557" s="34"/>
      <c r="C557" s="34"/>
      <c r="D557" s="34"/>
      <c r="E557" s="34"/>
      <c r="F557" s="34"/>
      <c r="G557" s="34"/>
      <c r="H557" s="34"/>
      <c r="I557" s="29"/>
      <c r="J557" s="29"/>
      <c r="K557" s="29"/>
      <c r="L557" s="29"/>
      <c r="M557" s="34"/>
      <c r="N557" s="34"/>
      <c r="O557" s="29"/>
      <c r="P557" s="29"/>
      <c r="Q557" s="29"/>
      <c r="R557" s="29"/>
      <c r="S557" s="29"/>
      <c r="T557" s="476"/>
      <c r="U557" s="29"/>
      <c r="V557" s="2"/>
      <c r="W557" s="29"/>
      <c r="X557" s="2"/>
      <c r="Y557" s="29"/>
    </row>
    <row x14ac:dyDescent="0.25" r="558" customHeight="1" ht="15.75">
      <c r="A558" s="502"/>
      <c r="B558" s="34"/>
      <c r="C558" s="34"/>
      <c r="D558" s="34"/>
      <c r="E558" s="34"/>
      <c r="F558" s="34"/>
      <c r="G558" s="34"/>
      <c r="H558" s="34"/>
      <c r="I558" s="29"/>
      <c r="J558" s="29"/>
      <c r="K558" s="29"/>
      <c r="L558" s="29"/>
      <c r="M558" s="34"/>
      <c r="N558" s="34"/>
      <c r="O558" s="29"/>
      <c r="P558" s="29"/>
      <c r="Q558" s="29"/>
      <c r="R558" s="29"/>
      <c r="S558" s="29"/>
      <c r="T558" s="476"/>
      <c r="U558" s="29"/>
      <c r="V558" s="2"/>
      <c r="W558" s="29"/>
      <c r="X558" s="2"/>
      <c r="Y558" s="29"/>
    </row>
    <row x14ac:dyDescent="0.25" r="559" customHeight="1" ht="15.75">
      <c r="A559" s="502"/>
      <c r="B559" s="34"/>
      <c r="C559" s="34"/>
      <c r="D559" s="34"/>
      <c r="E559" s="34"/>
      <c r="F559" s="34"/>
      <c r="G559" s="34"/>
      <c r="H559" s="34"/>
      <c r="I559" s="29"/>
      <c r="J559" s="29"/>
      <c r="K559" s="29"/>
      <c r="L559" s="29"/>
      <c r="M559" s="34"/>
      <c r="N559" s="34"/>
      <c r="O559" s="29"/>
      <c r="P559" s="29"/>
      <c r="Q559" s="29"/>
      <c r="R559" s="29"/>
      <c r="S559" s="29"/>
      <c r="T559" s="476"/>
      <c r="U559" s="29"/>
      <c r="V559" s="2"/>
      <c r="W559" s="29"/>
      <c r="X559" s="2"/>
      <c r="Y559" s="29"/>
    </row>
    <row x14ac:dyDescent="0.25" r="560" customHeight="1" ht="15.75">
      <c r="A560" s="502"/>
      <c r="B560" s="34"/>
      <c r="C560" s="34"/>
      <c r="D560" s="34"/>
      <c r="E560" s="34"/>
      <c r="F560" s="34"/>
      <c r="G560" s="34"/>
      <c r="H560" s="34"/>
      <c r="I560" s="29"/>
      <c r="J560" s="29"/>
      <c r="K560" s="29"/>
      <c r="L560" s="29"/>
      <c r="M560" s="34"/>
      <c r="N560" s="34"/>
      <c r="O560" s="29"/>
      <c r="P560" s="29"/>
      <c r="Q560" s="29"/>
      <c r="R560" s="29"/>
      <c r="S560" s="29"/>
      <c r="T560" s="476"/>
      <c r="U560" s="29"/>
      <c r="V560" s="2"/>
      <c r="W560" s="29"/>
      <c r="X560" s="2"/>
      <c r="Y560" s="29"/>
    </row>
    <row x14ac:dyDescent="0.25" r="561" customHeight="1" ht="15.75">
      <c r="A561" s="502"/>
      <c r="B561" s="34"/>
      <c r="C561" s="34"/>
      <c r="D561" s="34"/>
      <c r="E561" s="34"/>
      <c r="F561" s="34"/>
      <c r="G561" s="34"/>
      <c r="H561" s="34"/>
      <c r="I561" s="29"/>
      <c r="J561" s="29"/>
      <c r="K561" s="29"/>
      <c r="L561" s="29"/>
      <c r="M561" s="34"/>
      <c r="N561" s="34"/>
      <c r="O561" s="29"/>
      <c r="P561" s="29"/>
      <c r="Q561" s="29"/>
      <c r="R561" s="29"/>
      <c r="S561" s="29"/>
      <c r="T561" s="476"/>
      <c r="U561" s="29"/>
      <c r="V561" s="2"/>
      <c r="W561" s="29"/>
      <c r="X561" s="2"/>
      <c r="Y561" s="29"/>
    </row>
    <row x14ac:dyDescent="0.25" r="562" customHeight="1" ht="15.75">
      <c r="A562" s="502"/>
      <c r="B562" s="34"/>
      <c r="C562" s="34"/>
      <c r="D562" s="34"/>
      <c r="E562" s="34"/>
      <c r="F562" s="34"/>
      <c r="G562" s="34"/>
      <c r="H562" s="34"/>
      <c r="I562" s="29"/>
      <c r="J562" s="29"/>
      <c r="K562" s="29"/>
      <c r="L562" s="29"/>
      <c r="M562" s="34"/>
      <c r="N562" s="34"/>
      <c r="O562" s="29"/>
      <c r="P562" s="29"/>
      <c r="Q562" s="29"/>
      <c r="R562" s="29"/>
      <c r="S562" s="29"/>
      <c r="T562" s="476"/>
      <c r="U562" s="29"/>
      <c r="V562" s="2"/>
      <c r="W562" s="29"/>
      <c r="X562" s="2"/>
      <c r="Y562" s="29"/>
    </row>
    <row x14ac:dyDescent="0.25" r="563" customHeight="1" ht="15.75">
      <c r="A563" s="502"/>
      <c r="B563" s="34"/>
      <c r="C563" s="34"/>
      <c r="D563" s="34"/>
      <c r="E563" s="34"/>
      <c r="F563" s="34"/>
      <c r="G563" s="34"/>
      <c r="H563" s="34"/>
      <c r="I563" s="29"/>
      <c r="J563" s="29"/>
      <c r="K563" s="29"/>
      <c r="L563" s="29"/>
      <c r="M563" s="34"/>
      <c r="N563" s="34"/>
      <c r="O563" s="29"/>
      <c r="P563" s="29"/>
      <c r="Q563" s="29"/>
      <c r="R563" s="29"/>
      <c r="S563" s="29"/>
      <c r="T563" s="476"/>
      <c r="U563" s="29"/>
      <c r="V563" s="2"/>
      <c r="W563" s="29"/>
      <c r="X563" s="2"/>
      <c r="Y563" s="29"/>
    </row>
    <row x14ac:dyDescent="0.25" r="564" customHeight="1" ht="15.75">
      <c r="A564" s="502"/>
      <c r="B564" s="34"/>
      <c r="C564" s="34"/>
      <c r="D564" s="34"/>
      <c r="E564" s="34"/>
      <c r="F564" s="34"/>
      <c r="G564" s="34"/>
      <c r="H564" s="34"/>
      <c r="I564" s="29"/>
      <c r="J564" s="29"/>
      <c r="K564" s="29"/>
      <c r="L564" s="29"/>
      <c r="M564" s="34"/>
      <c r="N564" s="34"/>
      <c r="O564" s="29"/>
      <c r="P564" s="29"/>
      <c r="Q564" s="29"/>
      <c r="R564" s="29"/>
      <c r="S564" s="29"/>
      <c r="T564" s="476"/>
      <c r="U564" s="29"/>
      <c r="V564" s="2"/>
      <c r="W564" s="29"/>
      <c r="X564" s="2"/>
      <c r="Y564" s="29"/>
    </row>
    <row x14ac:dyDescent="0.25" r="565" customHeight="1" ht="15.75">
      <c r="A565" s="502"/>
      <c r="B565" s="34"/>
      <c r="C565" s="34"/>
      <c r="D565" s="34"/>
      <c r="E565" s="34"/>
      <c r="F565" s="34"/>
      <c r="G565" s="34"/>
      <c r="H565" s="34"/>
      <c r="I565" s="29"/>
      <c r="J565" s="29"/>
      <c r="K565" s="29"/>
      <c r="L565" s="29"/>
      <c r="M565" s="34"/>
      <c r="N565" s="34"/>
      <c r="O565" s="29"/>
      <c r="P565" s="29"/>
      <c r="Q565" s="29"/>
      <c r="R565" s="29"/>
      <c r="S565" s="29"/>
      <c r="T565" s="476"/>
      <c r="U565" s="29"/>
      <c r="V565" s="2"/>
      <c r="W565" s="29"/>
      <c r="X565" s="2"/>
      <c r="Y565" s="29"/>
    </row>
    <row x14ac:dyDescent="0.25" r="566" customHeight="1" ht="15.75">
      <c r="A566" s="502"/>
      <c r="B566" s="34"/>
      <c r="C566" s="34"/>
      <c r="D566" s="34"/>
      <c r="E566" s="34"/>
      <c r="F566" s="34"/>
      <c r="G566" s="34"/>
      <c r="H566" s="34"/>
      <c r="I566" s="29"/>
      <c r="J566" s="29"/>
      <c r="K566" s="29"/>
      <c r="L566" s="29"/>
      <c r="M566" s="34"/>
      <c r="N566" s="34"/>
      <c r="O566" s="29"/>
      <c r="P566" s="29"/>
      <c r="Q566" s="29"/>
      <c r="R566" s="29"/>
      <c r="S566" s="29"/>
      <c r="T566" s="476"/>
      <c r="U566" s="29"/>
      <c r="V566" s="2"/>
      <c r="W566" s="29"/>
      <c r="X566" s="2"/>
      <c r="Y566" s="29"/>
    </row>
    <row x14ac:dyDescent="0.25" r="567" customHeight="1" ht="15.75">
      <c r="A567" s="502"/>
      <c r="B567" s="34"/>
      <c r="C567" s="34"/>
      <c r="D567" s="34"/>
      <c r="E567" s="34"/>
      <c r="F567" s="34"/>
      <c r="G567" s="34"/>
      <c r="H567" s="34"/>
      <c r="I567" s="29"/>
      <c r="J567" s="29"/>
      <c r="K567" s="29"/>
      <c r="L567" s="29"/>
      <c r="M567" s="34"/>
      <c r="N567" s="34"/>
      <c r="O567" s="29"/>
      <c r="P567" s="29"/>
      <c r="Q567" s="29"/>
      <c r="R567" s="29"/>
      <c r="S567" s="29"/>
      <c r="T567" s="476"/>
      <c r="U567" s="29"/>
      <c r="V567" s="2"/>
      <c r="W567" s="29"/>
      <c r="X567" s="2"/>
      <c r="Y567" s="29"/>
    </row>
    <row x14ac:dyDescent="0.25" r="568" customHeight="1" ht="15.75">
      <c r="A568" s="502"/>
      <c r="B568" s="34"/>
      <c r="C568" s="34"/>
      <c r="D568" s="34"/>
      <c r="E568" s="34"/>
      <c r="F568" s="34"/>
      <c r="G568" s="34"/>
      <c r="H568" s="34"/>
      <c r="I568" s="29"/>
      <c r="J568" s="29"/>
      <c r="K568" s="29"/>
      <c r="L568" s="29"/>
      <c r="M568" s="34"/>
      <c r="N568" s="34"/>
      <c r="O568" s="29"/>
      <c r="P568" s="29"/>
      <c r="Q568" s="29"/>
      <c r="R568" s="29"/>
      <c r="S568" s="29"/>
      <c r="T568" s="476"/>
      <c r="U568" s="29"/>
      <c r="V568" s="2"/>
      <c r="W568" s="29"/>
      <c r="X568" s="2"/>
      <c r="Y568" s="29"/>
    </row>
    <row x14ac:dyDescent="0.25" r="569" customHeight="1" ht="15.75">
      <c r="A569" s="502"/>
      <c r="B569" s="34"/>
      <c r="C569" s="34"/>
      <c r="D569" s="34"/>
      <c r="E569" s="34"/>
      <c r="F569" s="34"/>
      <c r="G569" s="34"/>
      <c r="H569" s="34"/>
      <c r="I569" s="29"/>
      <c r="J569" s="29"/>
      <c r="K569" s="29"/>
      <c r="L569" s="29"/>
      <c r="M569" s="34"/>
      <c r="N569" s="34"/>
      <c r="O569" s="29"/>
      <c r="P569" s="29"/>
      <c r="Q569" s="29"/>
      <c r="R569" s="29"/>
      <c r="S569" s="29"/>
      <c r="T569" s="476"/>
      <c r="U569" s="29"/>
      <c r="V569" s="2"/>
      <c r="W569" s="29"/>
      <c r="X569" s="2"/>
      <c r="Y569" s="29"/>
    </row>
    <row x14ac:dyDescent="0.25" r="570" customHeight="1" ht="15.75">
      <c r="A570" s="502"/>
      <c r="B570" s="34"/>
      <c r="C570" s="34"/>
      <c r="D570" s="34"/>
      <c r="E570" s="34"/>
      <c r="F570" s="34"/>
      <c r="G570" s="34"/>
      <c r="H570" s="34"/>
      <c r="I570" s="29"/>
      <c r="J570" s="29"/>
      <c r="K570" s="29"/>
      <c r="L570" s="29"/>
      <c r="M570" s="34"/>
      <c r="N570" s="34"/>
      <c r="O570" s="29"/>
      <c r="P570" s="29"/>
      <c r="Q570" s="29"/>
      <c r="R570" s="29"/>
      <c r="S570" s="29"/>
      <c r="T570" s="476"/>
      <c r="U570" s="29"/>
      <c r="V570" s="2"/>
      <c r="W570" s="29"/>
      <c r="X570" s="2"/>
      <c r="Y570" s="29"/>
    </row>
    <row x14ac:dyDescent="0.25" r="571" customHeight="1" ht="15.75">
      <c r="A571" s="502"/>
      <c r="B571" s="34"/>
      <c r="C571" s="34"/>
      <c r="D571" s="34"/>
      <c r="E571" s="34"/>
      <c r="F571" s="34"/>
      <c r="G571" s="34"/>
      <c r="H571" s="34"/>
      <c r="I571" s="29"/>
      <c r="J571" s="29"/>
      <c r="K571" s="29"/>
      <c r="L571" s="29"/>
      <c r="M571" s="34"/>
      <c r="N571" s="34"/>
      <c r="O571" s="29"/>
      <c r="P571" s="29"/>
      <c r="Q571" s="29"/>
      <c r="R571" s="29"/>
      <c r="S571" s="29"/>
      <c r="T571" s="476"/>
      <c r="U571" s="29"/>
      <c r="V571" s="2"/>
      <c r="W571" s="29"/>
      <c r="X571" s="2"/>
      <c r="Y571" s="29"/>
    </row>
    <row x14ac:dyDescent="0.25" r="572" customHeight="1" ht="15.75">
      <c r="A572" s="502"/>
      <c r="B572" s="34"/>
      <c r="C572" s="34"/>
      <c r="D572" s="34"/>
      <c r="E572" s="34"/>
      <c r="F572" s="34"/>
      <c r="G572" s="34"/>
      <c r="H572" s="34"/>
      <c r="I572" s="29"/>
      <c r="J572" s="29"/>
      <c r="K572" s="29"/>
      <c r="L572" s="29"/>
      <c r="M572" s="34"/>
      <c r="N572" s="34"/>
      <c r="O572" s="29"/>
      <c r="P572" s="29"/>
      <c r="Q572" s="29"/>
      <c r="R572" s="29"/>
      <c r="S572" s="29"/>
      <c r="T572" s="476"/>
      <c r="U572" s="29"/>
      <c r="V572" s="2"/>
      <c r="W572" s="29"/>
      <c r="X572" s="2"/>
      <c r="Y572" s="29"/>
    </row>
    <row x14ac:dyDescent="0.25" r="573" customHeight="1" ht="15.75">
      <c r="A573" s="502"/>
      <c r="B573" s="34"/>
      <c r="C573" s="34"/>
      <c r="D573" s="34"/>
      <c r="E573" s="34"/>
      <c r="F573" s="34"/>
      <c r="G573" s="34"/>
      <c r="H573" s="34"/>
      <c r="I573" s="29"/>
      <c r="J573" s="29"/>
      <c r="K573" s="29"/>
      <c r="L573" s="29"/>
      <c r="M573" s="34"/>
      <c r="N573" s="34"/>
      <c r="O573" s="29"/>
      <c r="P573" s="29"/>
      <c r="Q573" s="29"/>
      <c r="R573" s="29"/>
      <c r="S573" s="29"/>
      <c r="T573" s="476"/>
      <c r="U573" s="29"/>
      <c r="V573" s="2"/>
      <c r="W573" s="29"/>
      <c r="X573" s="2"/>
      <c r="Y573" s="29"/>
    </row>
    <row x14ac:dyDescent="0.25" r="574" customHeight="1" ht="15.75">
      <c r="A574" s="502"/>
      <c r="B574" s="34"/>
      <c r="C574" s="34"/>
      <c r="D574" s="34"/>
      <c r="E574" s="34"/>
      <c r="F574" s="34"/>
      <c r="G574" s="34"/>
      <c r="H574" s="34"/>
      <c r="I574" s="29"/>
      <c r="J574" s="29"/>
      <c r="K574" s="29"/>
      <c r="L574" s="29"/>
      <c r="M574" s="34"/>
      <c r="N574" s="34"/>
      <c r="O574" s="29"/>
      <c r="P574" s="29"/>
      <c r="Q574" s="29"/>
      <c r="R574" s="29"/>
      <c r="S574" s="29"/>
      <c r="T574" s="476"/>
      <c r="U574" s="29"/>
      <c r="V574" s="2"/>
      <c r="W574" s="29"/>
      <c r="X574" s="2"/>
      <c r="Y574" s="29"/>
    </row>
    <row x14ac:dyDescent="0.25" r="575" customHeight="1" ht="15.75">
      <c r="A575" s="502"/>
      <c r="B575" s="34"/>
      <c r="C575" s="34"/>
      <c r="D575" s="34"/>
      <c r="E575" s="34"/>
      <c r="F575" s="34"/>
      <c r="G575" s="34"/>
      <c r="H575" s="34"/>
      <c r="I575" s="29"/>
      <c r="J575" s="29"/>
      <c r="K575" s="29"/>
      <c r="L575" s="29"/>
      <c r="M575" s="34"/>
      <c r="N575" s="34"/>
      <c r="O575" s="29"/>
      <c r="P575" s="29"/>
      <c r="Q575" s="29"/>
      <c r="R575" s="29"/>
      <c r="S575" s="29"/>
      <c r="T575" s="476"/>
      <c r="U575" s="29"/>
      <c r="V575" s="2"/>
      <c r="W575" s="29"/>
      <c r="X575" s="2"/>
      <c r="Y575" s="29"/>
    </row>
    <row x14ac:dyDescent="0.25" r="576" customHeight="1" ht="15.75">
      <c r="A576" s="502"/>
      <c r="B576" s="34"/>
      <c r="C576" s="34"/>
      <c r="D576" s="34"/>
      <c r="E576" s="34"/>
      <c r="F576" s="34"/>
      <c r="G576" s="34"/>
      <c r="H576" s="34"/>
      <c r="I576" s="29"/>
      <c r="J576" s="29"/>
      <c r="K576" s="29"/>
      <c r="L576" s="29"/>
      <c r="M576" s="34"/>
      <c r="N576" s="34"/>
      <c r="O576" s="29"/>
      <c r="P576" s="29"/>
      <c r="Q576" s="29"/>
      <c r="R576" s="29"/>
      <c r="S576" s="29"/>
      <c r="T576" s="476"/>
      <c r="U576" s="29"/>
      <c r="V576" s="2"/>
      <c r="W576" s="29"/>
      <c r="X576" s="2"/>
      <c r="Y576" s="29"/>
    </row>
    <row x14ac:dyDescent="0.25" r="577" customHeight="1" ht="15.75">
      <c r="A577" s="502"/>
      <c r="B577" s="34"/>
      <c r="C577" s="34"/>
      <c r="D577" s="34"/>
      <c r="E577" s="34"/>
      <c r="F577" s="34"/>
      <c r="G577" s="34"/>
      <c r="H577" s="34"/>
      <c r="I577" s="29"/>
      <c r="J577" s="29"/>
      <c r="K577" s="29"/>
      <c r="L577" s="29"/>
      <c r="M577" s="34"/>
      <c r="N577" s="34"/>
      <c r="O577" s="29"/>
      <c r="P577" s="29"/>
      <c r="Q577" s="29"/>
      <c r="R577" s="29"/>
      <c r="S577" s="29"/>
      <c r="T577" s="476"/>
      <c r="U577" s="29"/>
      <c r="V577" s="2"/>
      <c r="W577" s="29"/>
      <c r="X577" s="2"/>
      <c r="Y577" s="29"/>
    </row>
    <row x14ac:dyDescent="0.25" r="578" customHeight="1" ht="15.75">
      <c r="A578" s="502"/>
      <c r="B578" s="34"/>
      <c r="C578" s="34"/>
      <c r="D578" s="34"/>
      <c r="E578" s="34"/>
      <c r="F578" s="34"/>
      <c r="G578" s="34"/>
      <c r="H578" s="34"/>
      <c r="I578" s="29"/>
      <c r="J578" s="29"/>
      <c r="K578" s="29"/>
      <c r="L578" s="29"/>
      <c r="M578" s="34"/>
      <c r="N578" s="34"/>
      <c r="O578" s="29"/>
      <c r="P578" s="29"/>
      <c r="Q578" s="29"/>
      <c r="R578" s="29"/>
      <c r="S578" s="29"/>
      <c r="T578" s="476"/>
      <c r="U578" s="29"/>
      <c r="V578" s="2"/>
      <c r="W578" s="29"/>
      <c r="X578" s="2"/>
      <c r="Y578" s="29"/>
    </row>
    <row x14ac:dyDescent="0.25" r="579" customHeight="1" ht="15.75">
      <c r="A579" s="502"/>
      <c r="B579" s="34"/>
      <c r="C579" s="34"/>
      <c r="D579" s="34"/>
      <c r="E579" s="34"/>
      <c r="F579" s="34"/>
      <c r="G579" s="34"/>
      <c r="H579" s="34"/>
      <c r="I579" s="29"/>
      <c r="J579" s="29"/>
      <c r="K579" s="29"/>
      <c r="L579" s="29"/>
      <c r="M579" s="34"/>
      <c r="N579" s="34"/>
      <c r="O579" s="29"/>
      <c r="P579" s="29"/>
      <c r="Q579" s="29"/>
      <c r="R579" s="29"/>
      <c r="S579" s="29"/>
      <c r="T579" s="476"/>
      <c r="U579" s="29"/>
      <c r="V579" s="2"/>
      <c r="W579" s="29"/>
      <c r="X579" s="2"/>
      <c r="Y579" s="29"/>
    </row>
    <row x14ac:dyDescent="0.25" r="580" customHeight="1" ht="15.75">
      <c r="A580" s="502"/>
      <c r="B580" s="34"/>
      <c r="C580" s="34"/>
      <c r="D580" s="34"/>
      <c r="E580" s="34"/>
      <c r="F580" s="34"/>
      <c r="G580" s="34"/>
      <c r="H580" s="34"/>
      <c r="I580" s="29"/>
      <c r="J580" s="29"/>
      <c r="K580" s="29"/>
      <c r="L580" s="29"/>
      <c r="M580" s="34"/>
      <c r="N580" s="34"/>
      <c r="O580" s="29"/>
      <c r="P580" s="29"/>
      <c r="Q580" s="29"/>
      <c r="R580" s="29"/>
      <c r="S580" s="29"/>
      <c r="T580" s="476"/>
      <c r="U580" s="29"/>
      <c r="V580" s="2"/>
      <c r="W580" s="29"/>
      <c r="X580" s="2"/>
      <c r="Y580" s="29"/>
    </row>
    <row x14ac:dyDescent="0.25" r="581" customHeight="1" ht="15.75">
      <c r="A581" s="502"/>
      <c r="B581" s="34"/>
      <c r="C581" s="34"/>
      <c r="D581" s="34"/>
      <c r="E581" s="34"/>
      <c r="F581" s="34"/>
      <c r="G581" s="34"/>
      <c r="H581" s="34"/>
      <c r="I581" s="29"/>
      <c r="J581" s="29"/>
      <c r="K581" s="29"/>
      <c r="L581" s="29"/>
      <c r="M581" s="34"/>
      <c r="N581" s="34"/>
      <c r="O581" s="29"/>
      <c r="P581" s="29"/>
      <c r="Q581" s="29"/>
      <c r="R581" s="29"/>
      <c r="S581" s="29"/>
      <c r="T581" s="476"/>
      <c r="U581" s="29"/>
      <c r="V581" s="2"/>
      <c r="W581" s="29"/>
      <c r="X581" s="2"/>
      <c r="Y581" s="29"/>
    </row>
    <row x14ac:dyDescent="0.25" r="582" customHeight="1" ht="15.75">
      <c r="A582" s="502"/>
      <c r="B582" s="34"/>
      <c r="C582" s="34"/>
      <c r="D582" s="34"/>
      <c r="E582" s="34"/>
      <c r="F582" s="34"/>
      <c r="G582" s="34"/>
      <c r="H582" s="34"/>
      <c r="I582" s="29"/>
      <c r="J582" s="29"/>
      <c r="K582" s="29"/>
      <c r="L582" s="29"/>
      <c r="M582" s="34"/>
      <c r="N582" s="34"/>
      <c r="O582" s="29"/>
      <c r="P582" s="29"/>
      <c r="Q582" s="29"/>
      <c r="R582" s="29"/>
      <c r="S582" s="29"/>
      <c r="T582" s="476"/>
      <c r="U582" s="29"/>
      <c r="V582" s="2"/>
      <c r="W582" s="29"/>
      <c r="X582" s="2"/>
      <c r="Y582" s="29"/>
    </row>
    <row x14ac:dyDescent="0.25" r="583" customHeight="1" ht="15.75">
      <c r="A583" s="502"/>
      <c r="B583" s="34"/>
      <c r="C583" s="34"/>
      <c r="D583" s="34"/>
      <c r="E583" s="34"/>
      <c r="F583" s="34"/>
      <c r="G583" s="34"/>
      <c r="H583" s="34"/>
      <c r="I583" s="29"/>
      <c r="J583" s="29"/>
      <c r="K583" s="29"/>
      <c r="L583" s="29"/>
      <c r="M583" s="34"/>
      <c r="N583" s="34"/>
      <c r="O583" s="29"/>
      <c r="P583" s="29"/>
      <c r="Q583" s="29"/>
      <c r="R583" s="29"/>
      <c r="S583" s="29"/>
      <c r="T583" s="476"/>
      <c r="U583" s="29"/>
      <c r="V583" s="2"/>
      <c r="W583" s="29"/>
      <c r="X583" s="2"/>
      <c r="Y583" s="29"/>
    </row>
    <row x14ac:dyDescent="0.25" r="584" customHeight="1" ht="15.75">
      <c r="A584" s="502"/>
      <c r="B584" s="34"/>
      <c r="C584" s="34"/>
      <c r="D584" s="34"/>
      <c r="E584" s="34"/>
      <c r="F584" s="34"/>
      <c r="G584" s="34"/>
      <c r="H584" s="34"/>
      <c r="I584" s="29"/>
      <c r="J584" s="29"/>
      <c r="K584" s="29"/>
      <c r="L584" s="29"/>
      <c r="M584" s="34"/>
      <c r="N584" s="34"/>
      <c r="O584" s="29"/>
      <c r="P584" s="29"/>
      <c r="Q584" s="29"/>
      <c r="R584" s="29"/>
      <c r="S584" s="29"/>
      <c r="T584" s="476"/>
      <c r="U584" s="29"/>
      <c r="V584" s="2"/>
      <c r="W584" s="29"/>
      <c r="X584" s="2"/>
      <c r="Y584" s="29"/>
    </row>
    <row x14ac:dyDescent="0.25" r="585" customHeight="1" ht="15.75">
      <c r="A585" s="502"/>
      <c r="B585" s="34"/>
      <c r="C585" s="34"/>
      <c r="D585" s="34"/>
      <c r="E585" s="34"/>
      <c r="F585" s="34"/>
      <c r="G585" s="34"/>
      <c r="H585" s="34"/>
      <c r="I585" s="29"/>
      <c r="J585" s="29"/>
      <c r="K585" s="29"/>
      <c r="L585" s="29"/>
      <c r="M585" s="34"/>
      <c r="N585" s="34"/>
      <c r="O585" s="29"/>
      <c r="P585" s="29"/>
      <c r="Q585" s="29"/>
      <c r="R585" s="29"/>
      <c r="S585" s="29"/>
      <c r="T585" s="476"/>
      <c r="U585" s="29"/>
      <c r="V585" s="2"/>
      <c r="W585" s="29"/>
      <c r="X585" s="2"/>
      <c r="Y585" s="29"/>
    </row>
    <row x14ac:dyDescent="0.25" r="586" customHeight="1" ht="15.75">
      <c r="A586" s="502"/>
      <c r="B586" s="34"/>
      <c r="C586" s="34"/>
      <c r="D586" s="34"/>
      <c r="E586" s="34"/>
      <c r="F586" s="34"/>
      <c r="G586" s="34"/>
      <c r="H586" s="34"/>
      <c r="I586" s="29"/>
      <c r="J586" s="29"/>
      <c r="K586" s="29"/>
      <c r="L586" s="29"/>
      <c r="M586" s="34"/>
      <c r="N586" s="34"/>
      <c r="O586" s="29"/>
      <c r="P586" s="29"/>
      <c r="Q586" s="29"/>
      <c r="R586" s="29"/>
      <c r="S586" s="29"/>
      <c r="T586" s="476"/>
      <c r="U586" s="29"/>
      <c r="V586" s="2"/>
      <c r="W586" s="29"/>
      <c r="X586" s="2"/>
      <c r="Y586" s="29"/>
    </row>
    <row x14ac:dyDescent="0.25" r="587" customHeight="1" ht="15.75">
      <c r="A587" s="502"/>
      <c r="B587" s="34"/>
      <c r="C587" s="34"/>
      <c r="D587" s="34"/>
      <c r="E587" s="34"/>
      <c r="F587" s="34"/>
      <c r="G587" s="34"/>
      <c r="H587" s="34"/>
      <c r="I587" s="29"/>
      <c r="J587" s="29"/>
      <c r="K587" s="29"/>
      <c r="L587" s="29"/>
      <c r="M587" s="34"/>
      <c r="N587" s="34"/>
      <c r="O587" s="29"/>
      <c r="P587" s="29"/>
      <c r="Q587" s="29"/>
      <c r="R587" s="29"/>
      <c r="S587" s="29"/>
      <c r="T587" s="476"/>
      <c r="U587" s="29"/>
      <c r="V587" s="2"/>
      <c r="W587" s="29"/>
      <c r="X587" s="2"/>
      <c r="Y587" s="29"/>
    </row>
    <row x14ac:dyDescent="0.25" r="588" customHeight="1" ht="15.75">
      <c r="A588" s="502"/>
      <c r="B588" s="34"/>
      <c r="C588" s="34"/>
      <c r="D588" s="34"/>
      <c r="E588" s="34"/>
      <c r="F588" s="34"/>
      <c r="G588" s="34"/>
      <c r="H588" s="34"/>
      <c r="I588" s="29"/>
      <c r="J588" s="29"/>
      <c r="K588" s="29"/>
      <c r="L588" s="29"/>
      <c r="M588" s="34"/>
      <c r="N588" s="34"/>
      <c r="O588" s="29"/>
      <c r="P588" s="29"/>
      <c r="Q588" s="29"/>
      <c r="R588" s="29"/>
      <c r="S588" s="29"/>
      <c r="T588" s="476"/>
      <c r="U588" s="29"/>
      <c r="V588" s="2"/>
      <c r="W588" s="29"/>
      <c r="X588" s="2"/>
      <c r="Y588" s="29"/>
    </row>
    <row x14ac:dyDescent="0.25" r="589" customHeight="1" ht="15.75">
      <c r="A589" s="502"/>
      <c r="B589" s="34"/>
      <c r="C589" s="34"/>
      <c r="D589" s="34"/>
      <c r="E589" s="34"/>
      <c r="F589" s="34"/>
      <c r="G589" s="34"/>
      <c r="H589" s="34"/>
      <c r="I589" s="29"/>
      <c r="J589" s="29"/>
      <c r="K589" s="29"/>
      <c r="L589" s="29"/>
      <c r="M589" s="34"/>
      <c r="N589" s="34"/>
      <c r="O589" s="29"/>
      <c r="P589" s="29"/>
      <c r="Q589" s="29"/>
      <c r="R589" s="29"/>
      <c r="S589" s="29"/>
      <c r="T589" s="476"/>
      <c r="U589" s="29"/>
      <c r="V589" s="2"/>
      <c r="W589" s="29"/>
      <c r="X589" s="2"/>
      <c r="Y589" s="29"/>
    </row>
    <row x14ac:dyDescent="0.25" r="590" customHeight="1" ht="15.75">
      <c r="A590" s="502"/>
      <c r="B590" s="34"/>
      <c r="C590" s="34"/>
      <c r="D590" s="34"/>
      <c r="E590" s="34"/>
      <c r="F590" s="34"/>
      <c r="G590" s="34"/>
      <c r="H590" s="34"/>
      <c r="I590" s="29"/>
      <c r="J590" s="29"/>
      <c r="K590" s="29"/>
      <c r="L590" s="29"/>
      <c r="M590" s="34"/>
      <c r="N590" s="34"/>
      <c r="O590" s="29"/>
      <c r="P590" s="29"/>
      <c r="Q590" s="29"/>
      <c r="R590" s="29"/>
      <c r="S590" s="29"/>
      <c r="T590" s="476"/>
      <c r="U590" s="29"/>
      <c r="V590" s="2"/>
      <c r="W590" s="29"/>
      <c r="X590" s="2"/>
      <c r="Y590" s="29"/>
    </row>
    <row x14ac:dyDescent="0.25" r="591" customHeight="1" ht="15.75">
      <c r="A591" s="502"/>
      <c r="B591" s="34"/>
      <c r="C591" s="34"/>
      <c r="D591" s="34"/>
      <c r="E591" s="34"/>
      <c r="F591" s="34"/>
      <c r="G591" s="34"/>
      <c r="H591" s="34"/>
      <c r="I591" s="29"/>
      <c r="J591" s="29"/>
      <c r="K591" s="29"/>
      <c r="L591" s="29"/>
      <c r="M591" s="34"/>
      <c r="N591" s="34"/>
      <c r="O591" s="29"/>
      <c r="P591" s="29"/>
      <c r="Q591" s="29"/>
      <c r="R591" s="29"/>
      <c r="S591" s="29"/>
      <c r="T591" s="476"/>
      <c r="U591" s="29"/>
      <c r="V591" s="2"/>
      <c r="W591" s="29"/>
      <c r="X591" s="2"/>
      <c r="Y591" s="29"/>
    </row>
    <row x14ac:dyDescent="0.25" r="592" customHeight="1" ht="15.75">
      <c r="A592" s="502"/>
      <c r="B592" s="34"/>
      <c r="C592" s="34"/>
      <c r="D592" s="34"/>
      <c r="E592" s="34"/>
      <c r="F592" s="34"/>
      <c r="G592" s="34"/>
      <c r="H592" s="34"/>
      <c r="I592" s="29"/>
      <c r="J592" s="29"/>
      <c r="K592" s="29"/>
      <c r="L592" s="29"/>
      <c r="M592" s="34"/>
      <c r="N592" s="34"/>
      <c r="O592" s="29"/>
      <c r="P592" s="29"/>
      <c r="Q592" s="29"/>
      <c r="R592" s="29"/>
      <c r="S592" s="29"/>
      <c r="T592" s="476"/>
      <c r="U592" s="29"/>
      <c r="V592" s="2"/>
      <c r="W592" s="29"/>
      <c r="X592" s="2"/>
      <c r="Y592" s="29"/>
    </row>
    <row x14ac:dyDescent="0.25" r="593" customHeight="1" ht="15.75">
      <c r="A593" s="502"/>
      <c r="B593" s="34"/>
      <c r="C593" s="34"/>
      <c r="D593" s="34"/>
      <c r="E593" s="34"/>
      <c r="F593" s="34"/>
      <c r="G593" s="34"/>
      <c r="H593" s="34"/>
      <c r="I593" s="29"/>
      <c r="J593" s="29"/>
      <c r="K593" s="29"/>
      <c r="L593" s="29"/>
      <c r="M593" s="34"/>
      <c r="N593" s="34"/>
      <c r="O593" s="29"/>
      <c r="P593" s="29"/>
      <c r="Q593" s="29"/>
      <c r="R593" s="29"/>
      <c r="S593" s="29"/>
      <c r="T593" s="476"/>
      <c r="U593" s="29"/>
      <c r="V593" s="2"/>
      <c r="W593" s="29"/>
      <c r="X593" s="2"/>
      <c r="Y593" s="29"/>
    </row>
    <row x14ac:dyDescent="0.25" r="594" customHeight="1" ht="15.75">
      <c r="A594" s="502"/>
      <c r="B594" s="34"/>
      <c r="C594" s="34"/>
      <c r="D594" s="34"/>
      <c r="E594" s="34"/>
      <c r="F594" s="34"/>
      <c r="G594" s="34"/>
      <c r="H594" s="34"/>
      <c r="I594" s="29"/>
      <c r="J594" s="29"/>
      <c r="K594" s="29"/>
      <c r="L594" s="29"/>
      <c r="M594" s="34"/>
      <c r="N594" s="34"/>
      <c r="O594" s="29"/>
      <c r="P594" s="29"/>
      <c r="Q594" s="29"/>
      <c r="R594" s="29"/>
      <c r="S594" s="29"/>
      <c r="T594" s="476"/>
      <c r="U594" s="29"/>
      <c r="V594" s="2"/>
      <c r="W594" s="29"/>
      <c r="X594" s="2"/>
      <c r="Y594" s="29"/>
    </row>
    <row x14ac:dyDescent="0.25" r="595" customHeight="1" ht="15.75">
      <c r="A595" s="502"/>
      <c r="B595" s="34"/>
      <c r="C595" s="34"/>
      <c r="D595" s="34"/>
      <c r="E595" s="34"/>
      <c r="F595" s="34"/>
      <c r="G595" s="34"/>
      <c r="H595" s="34"/>
      <c r="I595" s="29"/>
      <c r="J595" s="29"/>
      <c r="K595" s="29"/>
      <c r="L595" s="29"/>
      <c r="M595" s="34"/>
      <c r="N595" s="34"/>
      <c r="O595" s="29"/>
      <c r="P595" s="29"/>
      <c r="Q595" s="29"/>
      <c r="R595" s="29"/>
      <c r="S595" s="29"/>
      <c r="T595" s="476"/>
      <c r="U595" s="29"/>
      <c r="V595" s="2"/>
      <c r="W595" s="29"/>
      <c r="X595" s="2"/>
      <c r="Y595" s="29"/>
    </row>
    <row x14ac:dyDescent="0.25" r="596" customHeight="1" ht="15.75">
      <c r="A596" s="502"/>
      <c r="B596" s="34"/>
      <c r="C596" s="34"/>
      <c r="D596" s="34"/>
      <c r="E596" s="34"/>
      <c r="F596" s="34"/>
      <c r="G596" s="34"/>
      <c r="H596" s="34"/>
      <c r="I596" s="29"/>
      <c r="J596" s="29"/>
      <c r="K596" s="29"/>
      <c r="L596" s="29"/>
      <c r="M596" s="34"/>
      <c r="N596" s="34"/>
      <c r="O596" s="29"/>
      <c r="P596" s="29"/>
      <c r="Q596" s="29"/>
      <c r="R596" s="29"/>
      <c r="S596" s="29"/>
      <c r="T596" s="476"/>
      <c r="U596" s="29"/>
      <c r="V596" s="2"/>
      <c r="W596" s="29"/>
      <c r="X596" s="2"/>
      <c r="Y596" s="29"/>
    </row>
    <row x14ac:dyDescent="0.25" r="597" customHeight="1" ht="15.75">
      <c r="A597" s="502"/>
      <c r="B597" s="34"/>
      <c r="C597" s="34"/>
      <c r="D597" s="34"/>
      <c r="E597" s="34"/>
      <c r="F597" s="34"/>
      <c r="G597" s="34"/>
      <c r="H597" s="34"/>
      <c r="I597" s="29"/>
      <c r="J597" s="29"/>
      <c r="K597" s="29"/>
      <c r="L597" s="29"/>
      <c r="M597" s="34"/>
      <c r="N597" s="34"/>
      <c r="O597" s="29"/>
      <c r="P597" s="29"/>
      <c r="Q597" s="29"/>
      <c r="R597" s="29"/>
      <c r="S597" s="29"/>
      <c r="T597" s="476"/>
      <c r="U597" s="29"/>
      <c r="V597" s="2"/>
      <c r="W597" s="29"/>
      <c r="X597" s="2"/>
      <c r="Y597" s="29"/>
    </row>
    <row x14ac:dyDescent="0.25" r="598" customHeight="1" ht="15.75">
      <c r="A598" s="502"/>
      <c r="B598" s="34"/>
      <c r="C598" s="34"/>
      <c r="D598" s="34"/>
      <c r="E598" s="34"/>
      <c r="F598" s="34"/>
      <c r="G598" s="34"/>
      <c r="H598" s="34"/>
      <c r="I598" s="29"/>
      <c r="J598" s="29"/>
      <c r="K598" s="29"/>
      <c r="L598" s="29"/>
      <c r="M598" s="34"/>
      <c r="N598" s="34"/>
      <c r="O598" s="29"/>
      <c r="P598" s="29"/>
      <c r="Q598" s="29"/>
      <c r="R598" s="29"/>
      <c r="S598" s="29"/>
      <c r="T598" s="476"/>
      <c r="U598" s="29"/>
      <c r="V598" s="2"/>
      <c r="W598" s="29"/>
      <c r="X598" s="2"/>
      <c r="Y598" s="29"/>
    </row>
    <row x14ac:dyDescent="0.25" r="599" customHeight="1" ht="15.75">
      <c r="A599" s="502"/>
      <c r="B599" s="34"/>
      <c r="C599" s="34"/>
      <c r="D599" s="34"/>
      <c r="E599" s="34"/>
      <c r="F599" s="34"/>
      <c r="G599" s="34"/>
      <c r="H599" s="34"/>
      <c r="I599" s="29"/>
      <c r="J599" s="29"/>
      <c r="K599" s="29"/>
      <c r="L599" s="29"/>
      <c r="M599" s="34"/>
      <c r="N599" s="34"/>
      <c r="O599" s="29"/>
      <c r="P599" s="29"/>
      <c r="Q599" s="29"/>
      <c r="R599" s="29"/>
      <c r="S599" s="29"/>
      <c r="T599" s="476"/>
      <c r="U599" s="29"/>
      <c r="V599" s="2"/>
      <c r="W599" s="29"/>
      <c r="X599" s="2"/>
      <c r="Y599" s="29"/>
    </row>
    <row x14ac:dyDescent="0.25" r="600" customHeight="1" ht="15.75">
      <c r="A600" s="502"/>
      <c r="B600" s="34"/>
      <c r="C600" s="34"/>
      <c r="D600" s="34"/>
      <c r="E600" s="34"/>
      <c r="F600" s="34"/>
      <c r="G600" s="34"/>
      <c r="H600" s="34"/>
      <c r="I600" s="29"/>
      <c r="J600" s="29"/>
      <c r="K600" s="29"/>
      <c r="L600" s="29"/>
      <c r="M600" s="34"/>
      <c r="N600" s="34"/>
      <c r="O600" s="29"/>
      <c r="P600" s="29"/>
      <c r="Q600" s="29"/>
      <c r="R600" s="29"/>
      <c r="S600" s="29"/>
      <c r="T600" s="476"/>
      <c r="U600" s="29"/>
      <c r="V600" s="2"/>
      <c r="W600" s="29"/>
      <c r="X600" s="2"/>
      <c r="Y600" s="29"/>
    </row>
    <row x14ac:dyDescent="0.25" r="601" customHeight="1" ht="15.75">
      <c r="A601" s="502"/>
      <c r="B601" s="34"/>
      <c r="C601" s="34"/>
      <c r="D601" s="34"/>
      <c r="E601" s="34"/>
      <c r="F601" s="34"/>
      <c r="G601" s="34"/>
      <c r="H601" s="34"/>
      <c r="I601" s="29"/>
      <c r="J601" s="29"/>
      <c r="K601" s="29"/>
      <c r="L601" s="29"/>
      <c r="M601" s="34"/>
      <c r="N601" s="34"/>
      <c r="O601" s="29"/>
      <c r="P601" s="29"/>
      <c r="Q601" s="29"/>
      <c r="R601" s="29"/>
      <c r="S601" s="29"/>
      <c r="T601" s="476"/>
      <c r="U601" s="29"/>
      <c r="V601" s="2"/>
      <c r="W601" s="29"/>
      <c r="X601" s="2"/>
      <c r="Y601" s="29"/>
    </row>
    <row x14ac:dyDescent="0.25" r="602" customHeight="1" ht="15.75">
      <c r="A602" s="502"/>
      <c r="B602" s="34"/>
      <c r="C602" s="34"/>
      <c r="D602" s="34"/>
      <c r="E602" s="34"/>
      <c r="F602" s="34"/>
      <c r="G602" s="34"/>
      <c r="H602" s="34"/>
      <c r="I602" s="29"/>
      <c r="J602" s="29"/>
      <c r="K602" s="29"/>
      <c r="L602" s="29"/>
      <c r="M602" s="34"/>
      <c r="N602" s="34"/>
      <c r="O602" s="29"/>
      <c r="P602" s="29"/>
      <c r="Q602" s="29"/>
      <c r="R602" s="29"/>
      <c r="S602" s="29"/>
      <c r="T602" s="476"/>
      <c r="U602" s="29"/>
      <c r="V602" s="2"/>
      <c r="W602" s="29"/>
      <c r="X602" s="2"/>
      <c r="Y602" s="29"/>
    </row>
    <row x14ac:dyDescent="0.25" r="603" customHeight="1" ht="15.75">
      <c r="A603" s="502"/>
      <c r="B603" s="34"/>
      <c r="C603" s="34"/>
      <c r="D603" s="34"/>
      <c r="E603" s="34"/>
      <c r="F603" s="34"/>
      <c r="G603" s="34"/>
      <c r="H603" s="34"/>
      <c r="I603" s="29"/>
      <c r="J603" s="29"/>
      <c r="K603" s="29"/>
      <c r="L603" s="29"/>
      <c r="M603" s="34"/>
      <c r="N603" s="34"/>
      <c r="O603" s="29"/>
      <c r="P603" s="29"/>
      <c r="Q603" s="29"/>
      <c r="R603" s="29"/>
      <c r="S603" s="29"/>
      <c r="T603" s="476"/>
      <c r="U603" s="29"/>
      <c r="V603" s="2"/>
      <c r="W603" s="29"/>
      <c r="X603" s="2"/>
      <c r="Y603" s="29"/>
    </row>
    <row x14ac:dyDescent="0.25" r="604" customHeight="1" ht="15.75">
      <c r="A604" s="502"/>
      <c r="B604" s="34"/>
      <c r="C604" s="34"/>
      <c r="D604" s="34"/>
      <c r="E604" s="34"/>
      <c r="F604" s="34"/>
      <c r="G604" s="34"/>
      <c r="H604" s="34"/>
      <c r="I604" s="29"/>
      <c r="J604" s="29"/>
      <c r="K604" s="29"/>
      <c r="L604" s="29"/>
      <c r="M604" s="34"/>
      <c r="N604" s="34"/>
      <c r="O604" s="29"/>
      <c r="P604" s="29"/>
      <c r="Q604" s="29"/>
      <c r="R604" s="29"/>
      <c r="S604" s="29"/>
      <c r="T604" s="476"/>
      <c r="U604" s="29"/>
      <c r="V604" s="2"/>
      <c r="W604" s="29"/>
      <c r="X604" s="2"/>
      <c r="Y604" s="29"/>
    </row>
    <row x14ac:dyDescent="0.25" r="605" customHeight="1" ht="15.75">
      <c r="A605" s="502"/>
      <c r="B605" s="34"/>
      <c r="C605" s="34"/>
      <c r="D605" s="34"/>
      <c r="E605" s="34"/>
      <c r="F605" s="34"/>
      <c r="G605" s="34"/>
      <c r="H605" s="34"/>
      <c r="I605" s="29"/>
      <c r="J605" s="29"/>
      <c r="K605" s="29"/>
      <c r="L605" s="29"/>
      <c r="M605" s="34"/>
      <c r="N605" s="34"/>
      <c r="O605" s="29"/>
      <c r="P605" s="29"/>
      <c r="Q605" s="29"/>
      <c r="R605" s="29"/>
      <c r="S605" s="29"/>
      <c r="T605" s="476"/>
      <c r="U605" s="29"/>
      <c r="V605" s="2"/>
      <c r="W605" s="29"/>
      <c r="X605" s="2"/>
      <c r="Y605" s="29"/>
    </row>
    <row x14ac:dyDescent="0.25" r="606" customHeight="1" ht="15.75">
      <c r="A606" s="502"/>
      <c r="B606" s="34"/>
      <c r="C606" s="34"/>
      <c r="D606" s="34"/>
      <c r="E606" s="34"/>
      <c r="F606" s="34"/>
      <c r="G606" s="34"/>
      <c r="H606" s="34"/>
      <c r="I606" s="29"/>
      <c r="J606" s="29"/>
      <c r="K606" s="29"/>
      <c r="L606" s="29"/>
      <c r="M606" s="34"/>
      <c r="N606" s="34"/>
      <c r="O606" s="29"/>
      <c r="P606" s="29"/>
      <c r="Q606" s="29"/>
      <c r="R606" s="29"/>
      <c r="S606" s="29"/>
      <c r="T606" s="476"/>
      <c r="U606" s="29"/>
      <c r="V606" s="2"/>
      <c r="W606" s="29"/>
      <c r="X606" s="2"/>
      <c r="Y606" s="29"/>
    </row>
    <row x14ac:dyDescent="0.25" r="607" customHeight="1" ht="15.75">
      <c r="A607" s="502"/>
      <c r="B607" s="34"/>
      <c r="C607" s="34"/>
      <c r="D607" s="34"/>
      <c r="E607" s="34"/>
      <c r="F607" s="34"/>
      <c r="G607" s="34"/>
      <c r="H607" s="34"/>
      <c r="I607" s="29"/>
      <c r="J607" s="29"/>
      <c r="K607" s="29"/>
      <c r="L607" s="29"/>
      <c r="M607" s="34"/>
      <c r="N607" s="34"/>
      <c r="O607" s="29"/>
      <c r="P607" s="29"/>
      <c r="Q607" s="29"/>
      <c r="R607" s="29"/>
      <c r="S607" s="29"/>
      <c r="T607" s="476"/>
      <c r="U607" s="29"/>
      <c r="V607" s="2"/>
      <c r="W607" s="29"/>
      <c r="X607" s="2"/>
      <c r="Y607" s="29"/>
    </row>
    <row x14ac:dyDescent="0.25" r="608" customHeight="1" ht="15.75">
      <c r="A608" s="502"/>
      <c r="B608" s="34"/>
      <c r="C608" s="34"/>
      <c r="D608" s="34"/>
      <c r="E608" s="34"/>
      <c r="F608" s="34"/>
      <c r="G608" s="34"/>
      <c r="H608" s="34"/>
      <c r="I608" s="29"/>
      <c r="J608" s="29"/>
      <c r="K608" s="29"/>
      <c r="L608" s="29"/>
      <c r="M608" s="34"/>
      <c r="N608" s="34"/>
      <c r="O608" s="29"/>
      <c r="P608" s="29"/>
      <c r="Q608" s="29"/>
      <c r="R608" s="29"/>
      <c r="S608" s="29"/>
      <c r="T608" s="476"/>
      <c r="U608" s="29"/>
      <c r="V608" s="2"/>
      <c r="W608" s="29"/>
      <c r="X608" s="2"/>
      <c r="Y608" s="29"/>
    </row>
    <row x14ac:dyDescent="0.25" r="609" customHeight="1" ht="15.75">
      <c r="A609" s="502"/>
      <c r="B609" s="34"/>
      <c r="C609" s="34"/>
      <c r="D609" s="34"/>
      <c r="E609" s="34"/>
      <c r="F609" s="34"/>
      <c r="G609" s="34"/>
      <c r="H609" s="34"/>
      <c r="I609" s="29"/>
      <c r="J609" s="29"/>
      <c r="K609" s="29"/>
      <c r="L609" s="29"/>
      <c r="M609" s="34"/>
      <c r="N609" s="34"/>
      <c r="O609" s="29"/>
      <c r="P609" s="29"/>
      <c r="Q609" s="29"/>
      <c r="R609" s="29"/>
      <c r="S609" s="29"/>
      <c r="T609" s="476"/>
      <c r="U609" s="29"/>
      <c r="V609" s="2"/>
      <c r="W609" s="29"/>
      <c r="X609" s="2"/>
      <c r="Y609" s="29"/>
    </row>
    <row x14ac:dyDescent="0.25" r="610" customHeight="1" ht="15.75">
      <c r="A610" s="502"/>
      <c r="B610" s="34"/>
      <c r="C610" s="34"/>
      <c r="D610" s="34"/>
      <c r="E610" s="34"/>
      <c r="F610" s="34"/>
      <c r="G610" s="34"/>
      <c r="H610" s="34"/>
      <c r="I610" s="29"/>
      <c r="J610" s="29"/>
      <c r="K610" s="29"/>
      <c r="L610" s="29"/>
      <c r="M610" s="34"/>
      <c r="N610" s="34"/>
      <c r="O610" s="29"/>
      <c r="P610" s="29"/>
      <c r="Q610" s="29"/>
      <c r="R610" s="29"/>
      <c r="S610" s="29"/>
      <c r="T610" s="476"/>
      <c r="U610" s="29"/>
      <c r="V610" s="2"/>
      <c r="W610" s="29"/>
      <c r="X610" s="2"/>
      <c r="Y610" s="29"/>
    </row>
    <row x14ac:dyDescent="0.25" r="611" customHeight="1" ht="15.75">
      <c r="A611" s="502"/>
      <c r="B611" s="34"/>
      <c r="C611" s="34"/>
      <c r="D611" s="34"/>
      <c r="E611" s="34"/>
      <c r="F611" s="34"/>
      <c r="G611" s="34"/>
      <c r="H611" s="34"/>
      <c r="I611" s="29"/>
      <c r="J611" s="29"/>
      <c r="K611" s="29"/>
      <c r="L611" s="29"/>
      <c r="M611" s="34"/>
      <c r="N611" s="34"/>
      <c r="O611" s="29"/>
      <c r="P611" s="29"/>
      <c r="Q611" s="29"/>
      <c r="R611" s="29"/>
      <c r="S611" s="29"/>
      <c r="T611" s="476"/>
      <c r="U611" s="29"/>
      <c r="V611" s="2"/>
      <c r="W611" s="29"/>
      <c r="X611" s="2"/>
      <c r="Y611" s="29"/>
    </row>
    <row x14ac:dyDescent="0.25" r="612" customHeight="1" ht="15.75">
      <c r="A612" s="502"/>
      <c r="B612" s="34"/>
      <c r="C612" s="34"/>
      <c r="D612" s="34"/>
      <c r="E612" s="34"/>
      <c r="F612" s="34"/>
      <c r="G612" s="34"/>
      <c r="H612" s="34"/>
      <c r="I612" s="29"/>
      <c r="J612" s="29"/>
      <c r="K612" s="29"/>
      <c r="L612" s="29"/>
      <c r="M612" s="34"/>
      <c r="N612" s="34"/>
      <c r="O612" s="29"/>
      <c r="P612" s="29"/>
      <c r="Q612" s="29"/>
      <c r="R612" s="29"/>
      <c r="S612" s="29"/>
      <c r="T612" s="476"/>
      <c r="U612" s="29"/>
      <c r="V612" s="2"/>
      <c r="W612" s="29"/>
      <c r="X612" s="2"/>
      <c r="Y612" s="29"/>
    </row>
    <row x14ac:dyDescent="0.25" r="613" customHeight="1" ht="15.75">
      <c r="A613" s="502"/>
      <c r="B613" s="34"/>
      <c r="C613" s="34"/>
      <c r="D613" s="34"/>
      <c r="E613" s="34"/>
      <c r="F613" s="34"/>
      <c r="G613" s="34"/>
      <c r="H613" s="34"/>
      <c r="I613" s="29"/>
      <c r="J613" s="29"/>
      <c r="K613" s="29"/>
      <c r="L613" s="29"/>
      <c r="M613" s="34"/>
      <c r="N613" s="34"/>
      <c r="O613" s="29"/>
      <c r="P613" s="29"/>
      <c r="Q613" s="29"/>
      <c r="R613" s="29"/>
      <c r="S613" s="29"/>
      <c r="T613" s="476"/>
      <c r="U613" s="29"/>
      <c r="V613" s="2"/>
      <c r="W613" s="29"/>
      <c r="X613" s="2"/>
      <c r="Y613" s="29"/>
    </row>
    <row x14ac:dyDescent="0.25" r="614" customHeight="1" ht="15.75">
      <c r="A614" s="502"/>
      <c r="B614" s="34"/>
      <c r="C614" s="34"/>
      <c r="D614" s="34"/>
      <c r="E614" s="34"/>
      <c r="F614" s="34"/>
      <c r="G614" s="34"/>
      <c r="H614" s="34"/>
      <c r="I614" s="29"/>
      <c r="J614" s="29"/>
      <c r="K614" s="29"/>
      <c r="L614" s="29"/>
      <c r="M614" s="34"/>
      <c r="N614" s="34"/>
      <c r="O614" s="29"/>
      <c r="P614" s="29"/>
      <c r="Q614" s="29"/>
      <c r="R614" s="29"/>
      <c r="S614" s="29"/>
      <c r="T614" s="476"/>
      <c r="U614" s="29"/>
      <c r="V614" s="2"/>
      <c r="W614" s="29"/>
      <c r="X614" s="2"/>
      <c r="Y614" s="29"/>
    </row>
    <row x14ac:dyDescent="0.25" r="615" customHeight="1" ht="15.75">
      <c r="A615" s="502"/>
      <c r="B615" s="34"/>
      <c r="C615" s="34"/>
      <c r="D615" s="34"/>
      <c r="E615" s="34"/>
      <c r="F615" s="34"/>
      <c r="G615" s="34"/>
      <c r="H615" s="34"/>
      <c r="I615" s="29"/>
      <c r="J615" s="29"/>
      <c r="K615" s="29"/>
      <c r="L615" s="29"/>
      <c r="M615" s="34"/>
      <c r="N615" s="34"/>
      <c r="O615" s="29"/>
      <c r="P615" s="29"/>
      <c r="Q615" s="29"/>
      <c r="R615" s="29"/>
      <c r="S615" s="29"/>
      <c r="T615" s="476"/>
      <c r="U615" s="29"/>
      <c r="V615" s="2"/>
      <c r="W615" s="29"/>
      <c r="X615" s="2"/>
      <c r="Y615" s="29"/>
    </row>
    <row x14ac:dyDescent="0.25" r="616" customHeight="1" ht="15.75">
      <c r="A616" s="502"/>
      <c r="B616" s="34"/>
      <c r="C616" s="34"/>
      <c r="D616" s="34"/>
      <c r="E616" s="34"/>
      <c r="F616" s="34"/>
      <c r="G616" s="34"/>
      <c r="H616" s="34"/>
      <c r="I616" s="29"/>
      <c r="J616" s="29"/>
      <c r="K616" s="29"/>
      <c r="L616" s="29"/>
      <c r="M616" s="34"/>
      <c r="N616" s="34"/>
      <c r="O616" s="29"/>
      <c r="P616" s="29"/>
      <c r="Q616" s="29"/>
      <c r="R616" s="29"/>
      <c r="S616" s="29"/>
      <c r="T616" s="476"/>
      <c r="U616" s="29"/>
      <c r="V616" s="2"/>
      <c r="W616" s="29"/>
      <c r="X616" s="2"/>
      <c r="Y616" s="29"/>
    </row>
    <row x14ac:dyDescent="0.25" r="617" customHeight="1" ht="15.75">
      <c r="A617" s="502"/>
      <c r="B617" s="34"/>
      <c r="C617" s="34"/>
      <c r="D617" s="34"/>
      <c r="E617" s="34"/>
      <c r="F617" s="34"/>
      <c r="G617" s="34"/>
      <c r="H617" s="34"/>
      <c r="I617" s="29"/>
      <c r="J617" s="29"/>
      <c r="K617" s="29"/>
      <c r="L617" s="29"/>
      <c r="M617" s="34"/>
      <c r="N617" s="34"/>
      <c r="O617" s="29"/>
      <c r="P617" s="29"/>
      <c r="Q617" s="29"/>
      <c r="R617" s="29"/>
      <c r="S617" s="29"/>
      <c r="T617" s="476"/>
      <c r="U617" s="29"/>
      <c r="V617" s="2"/>
      <c r="W617" s="29"/>
      <c r="X617" s="2"/>
      <c r="Y617" s="29"/>
    </row>
    <row x14ac:dyDescent="0.25" r="618" customHeight="1" ht="15.75">
      <c r="A618" s="502"/>
      <c r="B618" s="34"/>
      <c r="C618" s="34"/>
      <c r="D618" s="34"/>
      <c r="E618" s="34"/>
      <c r="F618" s="34"/>
      <c r="G618" s="34"/>
      <c r="H618" s="34"/>
      <c r="I618" s="29"/>
      <c r="J618" s="29"/>
      <c r="K618" s="29"/>
      <c r="L618" s="29"/>
      <c r="M618" s="34"/>
      <c r="N618" s="34"/>
      <c r="O618" s="29"/>
      <c r="P618" s="29"/>
      <c r="Q618" s="29"/>
      <c r="R618" s="29"/>
      <c r="S618" s="29"/>
      <c r="T618" s="476"/>
      <c r="U618" s="29"/>
      <c r="V618" s="2"/>
      <c r="W618" s="29"/>
      <c r="X618" s="2"/>
      <c r="Y618" s="29"/>
    </row>
    <row x14ac:dyDescent="0.25" r="619" customHeight="1" ht="15.75">
      <c r="A619" s="502"/>
      <c r="B619" s="34"/>
      <c r="C619" s="34"/>
      <c r="D619" s="34"/>
      <c r="E619" s="34"/>
      <c r="F619" s="34"/>
      <c r="G619" s="34"/>
      <c r="H619" s="34"/>
      <c r="I619" s="29"/>
      <c r="J619" s="29"/>
      <c r="K619" s="29"/>
      <c r="L619" s="29"/>
      <c r="M619" s="34"/>
      <c r="N619" s="34"/>
      <c r="O619" s="29"/>
      <c r="P619" s="29"/>
      <c r="Q619" s="29"/>
      <c r="R619" s="29"/>
      <c r="S619" s="29"/>
      <c r="T619" s="476"/>
      <c r="U619" s="29"/>
      <c r="V619" s="2"/>
      <c r="W619" s="29"/>
      <c r="X619" s="2"/>
      <c r="Y619" s="29"/>
    </row>
    <row x14ac:dyDescent="0.25" r="620" customHeight="1" ht="15.75">
      <c r="A620" s="502"/>
      <c r="B620" s="34"/>
      <c r="C620" s="34"/>
      <c r="D620" s="34"/>
      <c r="E620" s="34"/>
      <c r="F620" s="34"/>
      <c r="G620" s="34"/>
      <c r="H620" s="34"/>
      <c r="I620" s="29"/>
      <c r="J620" s="29"/>
      <c r="K620" s="29"/>
      <c r="L620" s="29"/>
      <c r="M620" s="34"/>
      <c r="N620" s="34"/>
      <c r="O620" s="29"/>
      <c r="P620" s="29"/>
      <c r="Q620" s="29"/>
      <c r="R620" s="29"/>
      <c r="S620" s="29"/>
      <c r="T620" s="476"/>
      <c r="U620" s="29"/>
      <c r="V620" s="2"/>
      <c r="W620" s="29"/>
      <c r="X620" s="2"/>
      <c r="Y620" s="29"/>
    </row>
    <row x14ac:dyDescent="0.25" r="621" customHeight="1" ht="15.75">
      <c r="A621" s="502"/>
      <c r="B621" s="34"/>
      <c r="C621" s="34"/>
      <c r="D621" s="34"/>
      <c r="E621" s="34"/>
      <c r="F621" s="34"/>
      <c r="G621" s="34"/>
      <c r="H621" s="34"/>
      <c r="I621" s="29"/>
      <c r="J621" s="29"/>
      <c r="K621" s="29"/>
      <c r="L621" s="29"/>
      <c r="M621" s="34"/>
      <c r="N621" s="34"/>
      <c r="O621" s="29"/>
      <c r="P621" s="29"/>
      <c r="Q621" s="29"/>
      <c r="R621" s="29"/>
      <c r="S621" s="29"/>
      <c r="T621" s="476"/>
      <c r="U621" s="29"/>
      <c r="V621" s="2"/>
      <c r="W621" s="29"/>
      <c r="X621" s="2"/>
      <c r="Y621" s="29"/>
    </row>
    <row x14ac:dyDescent="0.25" r="622" customHeight="1" ht="15.75">
      <c r="A622" s="502"/>
      <c r="B622" s="34"/>
      <c r="C622" s="34"/>
      <c r="D622" s="34"/>
      <c r="E622" s="34"/>
      <c r="F622" s="34"/>
      <c r="G622" s="34"/>
      <c r="H622" s="34"/>
      <c r="I622" s="29"/>
      <c r="J622" s="29"/>
      <c r="K622" s="29"/>
      <c r="L622" s="29"/>
      <c r="M622" s="34"/>
      <c r="N622" s="34"/>
      <c r="O622" s="29"/>
      <c r="P622" s="29"/>
      <c r="Q622" s="29"/>
      <c r="R622" s="29"/>
      <c r="S622" s="29"/>
      <c r="T622" s="476"/>
      <c r="U622" s="29"/>
      <c r="V622" s="2"/>
      <c r="W622" s="29"/>
      <c r="X622" s="2"/>
      <c r="Y622" s="29"/>
    </row>
    <row x14ac:dyDescent="0.25" r="623" customHeight="1" ht="15.75">
      <c r="A623" s="502"/>
      <c r="B623" s="34"/>
      <c r="C623" s="34"/>
      <c r="D623" s="34"/>
      <c r="E623" s="34"/>
      <c r="F623" s="34"/>
      <c r="G623" s="34"/>
      <c r="H623" s="34"/>
      <c r="I623" s="29"/>
      <c r="J623" s="29"/>
      <c r="K623" s="29"/>
      <c r="L623" s="29"/>
      <c r="M623" s="34"/>
      <c r="N623" s="34"/>
      <c r="O623" s="29"/>
      <c r="P623" s="29"/>
      <c r="Q623" s="29"/>
      <c r="R623" s="29"/>
      <c r="S623" s="29"/>
      <c r="T623" s="476"/>
      <c r="U623" s="29"/>
      <c r="V623" s="2"/>
      <c r="W623" s="29"/>
      <c r="X623" s="2"/>
      <c r="Y623" s="29"/>
    </row>
    <row x14ac:dyDescent="0.25" r="624" customHeight="1" ht="15.75">
      <c r="A624" s="502"/>
      <c r="B624" s="34"/>
      <c r="C624" s="34"/>
      <c r="D624" s="34"/>
      <c r="E624" s="34"/>
      <c r="F624" s="34"/>
      <c r="G624" s="34"/>
      <c r="H624" s="34"/>
      <c r="I624" s="29"/>
      <c r="J624" s="29"/>
      <c r="K624" s="29"/>
      <c r="L624" s="29"/>
      <c r="M624" s="34"/>
      <c r="N624" s="34"/>
      <c r="O624" s="29"/>
      <c r="P624" s="29"/>
      <c r="Q624" s="29"/>
      <c r="R624" s="29"/>
      <c r="S624" s="29"/>
      <c r="T624" s="476"/>
      <c r="U624" s="29"/>
      <c r="V624" s="2"/>
      <c r="W624" s="29"/>
      <c r="X624" s="2"/>
      <c r="Y624" s="29"/>
    </row>
    <row x14ac:dyDescent="0.25" r="625" customHeight="1" ht="15.75">
      <c r="A625" s="502"/>
      <c r="B625" s="34"/>
      <c r="C625" s="34"/>
      <c r="D625" s="34"/>
      <c r="E625" s="34"/>
      <c r="F625" s="34"/>
      <c r="G625" s="34"/>
      <c r="H625" s="34"/>
      <c r="I625" s="29"/>
      <c r="J625" s="29"/>
      <c r="K625" s="29"/>
      <c r="L625" s="29"/>
      <c r="M625" s="34"/>
      <c r="N625" s="34"/>
      <c r="O625" s="29"/>
      <c r="P625" s="29"/>
      <c r="Q625" s="29"/>
      <c r="R625" s="29"/>
      <c r="S625" s="29"/>
      <c r="T625" s="476"/>
      <c r="U625" s="29"/>
      <c r="V625" s="2"/>
      <c r="W625" s="29"/>
      <c r="X625" s="2"/>
      <c r="Y625" s="29"/>
    </row>
    <row x14ac:dyDescent="0.25" r="626" customHeight="1" ht="15.75">
      <c r="A626" s="502"/>
      <c r="B626" s="34"/>
      <c r="C626" s="34"/>
      <c r="D626" s="34"/>
      <c r="E626" s="34"/>
      <c r="F626" s="34"/>
      <c r="G626" s="34"/>
      <c r="H626" s="34"/>
      <c r="I626" s="29"/>
      <c r="J626" s="29"/>
      <c r="K626" s="29"/>
      <c r="L626" s="29"/>
      <c r="M626" s="34"/>
      <c r="N626" s="34"/>
      <c r="O626" s="29"/>
      <c r="P626" s="29"/>
      <c r="Q626" s="29"/>
      <c r="R626" s="29"/>
      <c r="S626" s="29"/>
      <c r="T626" s="476"/>
      <c r="U626" s="29"/>
      <c r="V626" s="2"/>
      <c r="W626" s="29"/>
      <c r="X626" s="2"/>
      <c r="Y626" s="29"/>
    </row>
    <row x14ac:dyDescent="0.25" r="627" customHeight="1" ht="15.75">
      <c r="A627" s="502"/>
      <c r="B627" s="34"/>
      <c r="C627" s="34"/>
      <c r="D627" s="34"/>
      <c r="E627" s="34"/>
      <c r="F627" s="34"/>
      <c r="G627" s="34"/>
      <c r="H627" s="34"/>
      <c r="I627" s="29"/>
      <c r="J627" s="29"/>
      <c r="K627" s="29"/>
      <c r="L627" s="29"/>
      <c r="M627" s="34"/>
      <c r="N627" s="34"/>
      <c r="O627" s="29"/>
      <c r="P627" s="29"/>
      <c r="Q627" s="29"/>
      <c r="R627" s="29"/>
      <c r="S627" s="29"/>
      <c r="T627" s="476"/>
      <c r="U627" s="29"/>
      <c r="V627" s="2"/>
      <c r="W627" s="29"/>
      <c r="X627" s="2"/>
      <c r="Y627" s="29"/>
    </row>
    <row x14ac:dyDescent="0.25" r="628" customHeight="1" ht="15.75">
      <c r="A628" s="502"/>
      <c r="B628" s="34"/>
      <c r="C628" s="34"/>
      <c r="D628" s="34"/>
      <c r="E628" s="34"/>
      <c r="F628" s="34"/>
      <c r="G628" s="34"/>
      <c r="H628" s="34"/>
      <c r="I628" s="29"/>
      <c r="J628" s="29"/>
      <c r="K628" s="29"/>
      <c r="L628" s="29"/>
      <c r="M628" s="34"/>
      <c r="N628" s="34"/>
      <c r="O628" s="29"/>
      <c r="P628" s="29"/>
      <c r="Q628" s="29"/>
      <c r="R628" s="29"/>
      <c r="S628" s="29"/>
      <c r="T628" s="476"/>
      <c r="U628" s="29"/>
      <c r="V628" s="2"/>
      <c r="W628" s="29"/>
      <c r="X628" s="2"/>
      <c r="Y628" s="29"/>
    </row>
    <row x14ac:dyDescent="0.25" r="629" customHeight="1" ht="15.75">
      <c r="A629" s="502"/>
      <c r="B629" s="34"/>
      <c r="C629" s="34"/>
      <c r="D629" s="34"/>
      <c r="E629" s="34"/>
      <c r="F629" s="34"/>
      <c r="G629" s="34"/>
      <c r="H629" s="34"/>
      <c r="I629" s="29"/>
      <c r="J629" s="29"/>
      <c r="K629" s="29"/>
      <c r="L629" s="29"/>
      <c r="M629" s="34"/>
      <c r="N629" s="34"/>
      <c r="O629" s="29"/>
      <c r="P629" s="29"/>
      <c r="Q629" s="29"/>
      <c r="R629" s="29"/>
      <c r="S629" s="29"/>
      <c r="T629" s="476"/>
      <c r="U629" s="29"/>
      <c r="V629" s="2"/>
      <c r="W629" s="29"/>
      <c r="X629" s="2"/>
      <c r="Y629" s="29"/>
    </row>
    <row x14ac:dyDescent="0.25" r="630" customHeight="1" ht="15.75">
      <c r="A630" s="502"/>
      <c r="B630" s="34"/>
      <c r="C630" s="34"/>
      <c r="D630" s="34"/>
      <c r="E630" s="34"/>
      <c r="F630" s="34"/>
      <c r="G630" s="34"/>
      <c r="H630" s="34"/>
      <c r="I630" s="29"/>
      <c r="J630" s="29"/>
      <c r="K630" s="29"/>
      <c r="L630" s="29"/>
      <c r="M630" s="34"/>
      <c r="N630" s="34"/>
      <c r="O630" s="29"/>
      <c r="P630" s="29"/>
      <c r="Q630" s="29"/>
      <c r="R630" s="29"/>
      <c r="S630" s="29"/>
      <c r="T630" s="476"/>
      <c r="U630" s="29"/>
      <c r="V630" s="2"/>
      <c r="W630" s="29"/>
      <c r="X630" s="2"/>
      <c r="Y630" s="29"/>
    </row>
    <row x14ac:dyDescent="0.25" r="631" customHeight="1" ht="15.75">
      <c r="A631" s="502"/>
      <c r="B631" s="34"/>
      <c r="C631" s="34"/>
      <c r="D631" s="34"/>
      <c r="E631" s="34"/>
      <c r="F631" s="34"/>
      <c r="G631" s="34"/>
      <c r="H631" s="34"/>
      <c r="I631" s="29"/>
      <c r="J631" s="29"/>
      <c r="K631" s="29"/>
      <c r="L631" s="29"/>
      <c r="M631" s="34"/>
      <c r="N631" s="34"/>
      <c r="O631" s="29"/>
      <c r="P631" s="29"/>
      <c r="Q631" s="29"/>
      <c r="R631" s="29"/>
      <c r="S631" s="29"/>
      <c r="T631" s="476"/>
      <c r="U631" s="29"/>
      <c r="V631" s="2"/>
      <c r="W631" s="29"/>
      <c r="X631" s="2"/>
      <c r="Y631" s="29"/>
    </row>
    <row x14ac:dyDescent="0.25" r="632" customHeight="1" ht="15.75">
      <c r="A632" s="502"/>
      <c r="B632" s="34"/>
      <c r="C632" s="34"/>
      <c r="D632" s="34"/>
      <c r="E632" s="34"/>
      <c r="F632" s="34"/>
      <c r="G632" s="34"/>
      <c r="H632" s="34"/>
      <c r="I632" s="29"/>
      <c r="J632" s="29"/>
      <c r="K632" s="29"/>
      <c r="L632" s="29"/>
      <c r="M632" s="34"/>
      <c r="N632" s="34"/>
      <c r="O632" s="29"/>
      <c r="P632" s="29"/>
      <c r="Q632" s="29"/>
      <c r="R632" s="29"/>
      <c r="S632" s="29"/>
      <c r="T632" s="476"/>
      <c r="U632" s="29"/>
      <c r="V632" s="2"/>
      <c r="W632" s="29"/>
      <c r="X632" s="2"/>
      <c r="Y632" s="29"/>
    </row>
    <row x14ac:dyDescent="0.25" r="633" customHeight="1" ht="15.75">
      <c r="A633" s="502"/>
      <c r="B633" s="34"/>
      <c r="C633" s="34"/>
      <c r="D633" s="34"/>
      <c r="E633" s="34"/>
      <c r="F633" s="34"/>
      <c r="G633" s="34"/>
      <c r="H633" s="34"/>
      <c r="I633" s="29"/>
      <c r="J633" s="29"/>
      <c r="K633" s="29"/>
      <c r="L633" s="29"/>
      <c r="M633" s="34"/>
      <c r="N633" s="34"/>
      <c r="O633" s="29"/>
      <c r="P633" s="29"/>
      <c r="Q633" s="29"/>
      <c r="R633" s="29"/>
      <c r="S633" s="29"/>
      <c r="T633" s="476"/>
      <c r="U633" s="29"/>
      <c r="V633" s="2"/>
      <c r="W633" s="29"/>
      <c r="X633" s="2"/>
      <c r="Y633" s="29"/>
    </row>
    <row x14ac:dyDescent="0.25" r="634" customHeight="1" ht="15.75">
      <c r="A634" s="502"/>
      <c r="B634" s="34"/>
      <c r="C634" s="34"/>
      <c r="D634" s="34"/>
      <c r="E634" s="34"/>
      <c r="F634" s="34"/>
      <c r="G634" s="34"/>
      <c r="H634" s="34"/>
      <c r="I634" s="29"/>
      <c r="J634" s="29"/>
      <c r="K634" s="29"/>
      <c r="L634" s="29"/>
      <c r="M634" s="34"/>
      <c r="N634" s="34"/>
      <c r="O634" s="29"/>
      <c r="P634" s="29"/>
      <c r="Q634" s="29"/>
      <c r="R634" s="29"/>
      <c r="S634" s="29"/>
      <c r="T634" s="476"/>
      <c r="U634" s="29"/>
      <c r="V634" s="2"/>
      <c r="W634" s="29"/>
      <c r="X634" s="2"/>
      <c r="Y634" s="29"/>
    </row>
    <row x14ac:dyDescent="0.25" r="635" customHeight="1" ht="15.75">
      <c r="A635" s="502"/>
      <c r="B635" s="34"/>
      <c r="C635" s="34"/>
      <c r="D635" s="34"/>
      <c r="E635" s="34"/>
      <c r="F635" s="34"/>
      <c r="G635" s="34"/>
      <c r="H635" s="34"/>
      <c r="I635" s="29"/>
      <c r="J635" s="29"/>
      <c r="K635" s="29"/>
      <c r="L635" s="29"/>
      <c r="M635" s="34"/>
      <c r="N635" s="34"/>
      <c r="O635" s="29"/>
      <c r="P635" s="29"/>
      <c r="Q635" s="29"/>
      <c r="R635" s="29"/>
      <c r="S635" s="29"/>
      <c r="T635" s="476"/>
      <c r="U635" s="29"/>
      <c r="V635" s="2"/>
      <c r="W635" s="29"/>
      <c r="X635" s="2"/>
      <c r="Y635" s="29"/>
    </row>
    <row x14ac:dyDescent="0.25" r="636" customHeight="1" ht="15.75">
      <c r="A636" s="502"/>
      <c r="B636" s="34"/>
      <c r="C636" s="34"/>
      <c r="D636" s="34"/>
      <c r="E636" s="34"/>
      <c r="F636" s="34"/>
      <c r="G636" s="34"/>
      <c r="H636" s="34"/>
      <c r="I636" s="29"/>
      <c r="J636" s="29"/>
      <c r="K636" s="29"/>
      <c r="L636" s="29"/>
      <c r="M636" s="34"/>
      <c r="N636" s="34"/>
      <c r="O636" s="29"/>
      <c r="P636" s="29"/>
      <c r="Q636" s="29"/>
      <c r="R636" s="29"/>
      <c r="S636" s="29"/>
      <c r="T636" s="476"/>
      <c r="U636" s="29"/>
      <c r="V636" s="2"/>
      <c r="W636" s="29"/>
      <c r="X636" s="2"/>
      <c r="Y636" s="29"/>
    </row>
    <row x14ac:dyDescent="0.25" r="637" customHeight="1" ht="15.75">
      <c r="A637" s="502"/>
      <c r="B637" s="34"/>
      <c r="C637" s="34"/>
      <c r="D637" s="34"/>
      <c r="E637" s="34"/>
      <c r="F637" s="34"/>
      <c r="G637" s="34"/>
      <c r="H637" s="34"/>
      <c r="I637" s="29"/>
      <c r="J637" s="29"/>
      <c r="K637" s="29"/>
      <c r="L637" s="29"/>
      <c r="M637" s="34"/>
      <c r="N637" s="34"/>
      <c r="O637" s="29"/>
      <c r="P637" s="29"/>
      <c r="Q637" s="29"/>
      <c r="R637" s="29"/>
      <c r="S637" s="29"/>
      <c r="T637" s="476"/>
      <c r="U637" s="29"/>
      <c r="V637" s="2"/>
      <c r="W637" s="29"/>
      <c r="X637" s="2"/>
      <c r="Y637" s="29"/>
    </row>
    <row x14ac:dyDescent="0.25" r="638" customHeight="1" ht="15.75">
      <c r="A638" s="502"/>
      <c r="B638" s="34"/>
      <c r="C638" s="34"/>
      <c r="D638" s="34"/>
      <c r="E638" s="34"/>
      <c r="F638" s="34"/>
      <c r="G638" s="34"/>
      <c r="H638" s="34"/>
      <c r="I638" s="29"/>
      <c r="J638" s="29"/>
      <c r="K638" s="29"/>
      <c r="L638" s="29"/>
      <c r="M638" s="34"/>
      <c r="N638" s="34"/>
      <c r="O638" s="29"/>
      <c r="P638" s="29"/>
      <c r="Q638" s="29"/>
      <c r="R638" s="29"/>
      <c r="S638" s="29"/>
      <c r="T638" s="476"/>
      <c r="U638" s="29"/>
      <c r="V638" s="2"/>
      <c r="W638" s="29"/>
      <c r="X638" s="2"/>
      <c r="Y638" s="29"/>
    </row>
    <row x14ac:dyDescent="0.25" r="639" customHeight="1" ht="15.75">
      <c r="A639" s="502"/>
      <c r="B639" s="34"/>
      <c r="C639" s="34"/>
      <c r="D639" s="34"/>
      <c r="E639" s="34"/>
      <c r="F639" s="34"/>
      <c r="G639" s="34"/>
      <c r="H639" s="34"/>
      <c r="I639" s="29"/>
      <c r="J639" s="29"/>
      <c r="K639" s="29"/>
      <c r="L639" s="29"/>
      <c r="M639" s="34"/>
      <c r="N639" s="34"/>
      <c r="O639" s="29"/>
      <c r="P639" s="29"/>
      <c r="Q639" s="29"/>
      <c r="R639" s="29"/>
      <c r="S639" s="29"/>
      <c r="T639" s="476"/>
      <c r="U639" s="29"/>
      <c r="V639" s="2"/>
      <c r="W639" s="29"/>
      <c r="X639" s="2"/>
      <c r="Y639" s="29"/>
    </row>
    <row x14ac:dyDescent="0.25" r="640" customHeight="1" ht="15.75">
      <c r="A640" s="502"/>
      <c r="B640" s="34"/>
      <c r="C640" s="34"/>
      <c r="D640" s="34"/>
      <c r="E640" s="34"/>
      <c r="F640" s="34"/>
      <c r="G640" s="34"/>
      <c r="H640" s="34"/>
      <c r="I640" s="29"/>
      <c r="J640" s="29"/>
      <c r="K640" s="29"/>
      <c r="L640" s="29"/>
      <c r="M640" s="34"/>
      <c r="N640" s="34"/>
      <c r="O640" s="29"/>
      <c r="P640" s="29"/>
      <c r="Q640" s="29"/>
      <c r="R640" s="29"/>
      <c r="S640" s="29"/>
      <c r="T640" s="476"/>
      <c r="U640" s="29"/>
      <c r="V640" s="2"/>
      <c r="W640" s="29"/>
      <c r="X640" s="2"/>
      <c r="Y640" s="29"/>
    </row>
    <row x14ac:dyDescent="0.25" r="641" customHeight="1" ht="15.75">
      <c r="A641" s="502"/>
      <c r="B641" s="34"/>
      <c r="C641" s="34"/>
      <c r="D641" s="34"/>
      <c r="E641" s="34"/>
      <c r="F641" s="34"/>
      <c r="G641" s="34"/>
      <c r="H641" s="34"/>
      <c r="I641" s="29"/>
      <c r="J641" s="29"/>
      <c r="K641" s="29"/>
      <c r="L641" s="29"/>
      <c r="M641" s="34"/>
      <c r="N641" s="34"/>
      <c r="O641" s="29"/>
      <c r="P641" s="29"/>
      <c r="Q641" s="29"/>
      <c r="R641" s="29"/>
      <c r="S641" s="29"/>
      <c r="T641" s="476"/>
      <c r="U641" s="29"/>
      <c r="V641" s="2"/>
      <c r="W641" s="29"/>
      <c r="X641" s="2"/>
      <c r="Y641" s="29"/>
    </row>
    <row x14ac:dyDescent="0.25" r="642" customHeight="1" ht="15.75">
      <c r="A642" s="502"/>
      <c r="B642" s="34"/>
      <c r="C642" s="34"/>
      <c r="D642" s="34"/>
      <c r="E642" s="34"/>
      <c r="F642" s="34"/>
      <c r="G642" s="34"/>
      <c r="H642" s="34"/>
      <c r="I642" s="29"/>
      <c r="J642" s="29"/>
      <c r="K642" s="29"/>
      <c r="L642" s="29"/>
      <c r="M642" s="34"/>
      <c r="N642" s="34"/>
      <c r="O642" s="29"/>
      <c r="P642" s="29"/>
      <c r="Q642" s="29"/>
      <c r="R642" s="29"/>
      <c r="S642" s="29"/>
      <c r="T642" s="476"/>
      <c r="U642" s="29"/>
      <c r="V642" s="2"/>
      <c r="W642" s="29"/>
      <c r="X642" s="2"/>
      <c r="Y642" s="29"/>
    </row>
    <row x14ac:dyDescent="0.25" r="643" customHeight="1" ht="15.75">
      <c r="A643" s="502"/>
      <c r="B643" s="34"/>
      <c r="C643" s="34"/>
      <c r="D643" s="34"/>
      <c r="E643" s="34"/>
      <c r="F643" s="34"/>
      <c r="G643" s="34"/>
      <c r="H643" s="34"/>
      <c r="I643" s="29"/>
      <c r="J643" s="29"/>
      <c r="K643" s="29"/>
      <c r="L643" s="29"/>
      <c r="M643" s="34"/>
      <c r="N643" s="34"/>
      <c r="O643" s="29"/>
      <c r="P643" s="29"/>
      <c r="Q643" s="29"/>
      <c r="R643" s="29"/>
      <c r="S643" s="29"/>
      <c r="T643" s="476"/>
      <c r="U643" s="29"/>
      <c r="V643" s="2"/>
      <c r="W643" s="29"/>
      <c r="X643" s="2"/>
      <c r="Y643" s="29"/>
    </row>
    <row x14ac:dyDescent="0.25" r="644" customHeight="1" ht="15.75">
      <c r="A644" s="502"/>
      <c r="B644" s="34"/>
      <c r="C644" s="34"/>
      <c r="D644" s="34"/>
      <c r="E644" s="34"/>
      <c r="F644" s="34"/>
      <c r="G644" s="34"/>
      <c r="H644" s="34"/>
      <c r="I644" s="29"/>
      <c r="J644" s="29"/>
      <c r="K644" s="29"/>
      <c r="L644" s="29"/>
      <c r="M644" s="34"/>
      <c r="N644" s="34"/>
      <c r="O644" s="29"/>
      <c r="P644" s="29"/>
      <c r="Q644" s="29"/>
      <c r="R644" s="29"/>
      <c r="S644" s="29"/>
      <c r="T644" s="476"/>
      <c r="U644" s="29"/>
      <c r="V644" s="2"/>
      <c r="W644" s="29"/>
      <c r="X644" s="2"/>
      <c r="Y644" s="29"/>
    </row>
    <row x14ac:dyDescent="0.25" r="645" customHeight="1" ht="15.75">
      <c r="A645" s="502"/>
      <c r="B645" s="34"/>
      <c r="C645" s="34"/>
      <c r="D645" s="34"/>
      <c r="E645" s="34"/>
      <c r="F645" s="34"/>
      <c r="G645" s="34"/>
      <c r="H645" s="34"/>
      <c r="I645" s="29"/>
      <c r="J645" s="29"/>
      <c r="K645" s="29"/>
      <c r="L645" s="29"/>
      <c r="M645" s="34"/>
      <c r="N645" s="34"/>
      <c r="O645" s="29"/>
      <c r="P645" s="29"/>
      <c r="Q645" s="29"/>
      <c r="R645" s="29"/>
      <c r="S645" s="29"/>
      <c r="T645" s="476"/>
      <c r="U645" s="29"/>
      <c r="V645" s="2"/>
      <c r="W645" s="29"/>
      <c r="X645" s="2"/>
      <c r="Y645" s="29"/>
    </row>
    <row x14ac:dyDescent="0.25" r="646" customHeight="1" ht="15.75">
      <c r="A646" s="502"/>
      <c r="B646" s="34"/>
      <c r="C646" s="34"/>
      <c r="D646" s="34"/>
      <c r="E646" s="34"/>
      <c r="F646" s="34"/>
      <c r="G646" s="34"/>
      <c r="H646" s="34"/>
      <c r="I646" s="29"/>
      <c r="J646" s="29"/>
      <c r="K646" s="29"/>
      <c r="L646" s="29"/>
      <c r="M646" s="34"/>
      <c r="N646" s="34"/>
      <c r="O646" s="29"/>
      <c r="P646" s="29"/>
      <c r="Q646" s="29"/>
      <c r="R646" s="29"/>
      <c r="S646" s="29"/>
      <c r="T646" s="476"/>
      <c r="U646" s="29"/>
      <c r="V646" s="2"/>
      <c r="W646" s="29"/>
      <c r="X646" s="2"/>
      <c r="Y646" s="29"/>
    </row>
    <row x14ac:dyDescent="0.25" r="647" customHeight="1" ht="15.75">
      <c r="A647" s="502"/>
      <c r="B647" s="34"/>
      <c r="C647" s="34"/>
      <c r="D647" s="34"/>
      <c r="E647" s="34"/>
      <c r="F647" s="34"/>
      <c r="G647" s="34"/>
      <c r="H647" s="34"/>
      <c r="I647" s="29"/>
      <c r="J647" s="29"/>
      <c r="K647" s="29"/>
      <c r="L647" s="29"/>
      <c r="M647" s="34"/>
      <c r="N647" s="34"/>
      <c r="O647" s="29"/>
      <c r="P647" s="29"/>
      <c r="Q647" s="29"/>
      <c r="R647" s="29"/>
      <c r="S647" s="29"/>
      <c r="T647" s="476"/>
      <c r="U647" s="29"/>
      <c r="V647" s="2"/>
      <c r="W647" s="29"/>
      <c r="X647" s="2"/>
      <c r="Y647" s="29"/>
    </row>
    <row x14ac:dyDescent="0.25" r="648" customHeight="1" ht="15.75">
      <c r="A648" s="502"/>
      <c r="B648" s="34"/>
      <c r="C648" s="34"/>
      <c r="D648" s="34"/>
      <c r="E648" s="34"/>
      <c r="F648" s="34"/>
      <c r="G648" s="34"/>
      <c r="H648" s="34"/>
      <c r="I648" s="29"/>
      <c r="J648" s="29"/>
      <c r="K648" s="29"/>
      <c r="L648" s="29"/>
      <c r="M648" s="34"/>
      <c r="N648" s="34"/>
      <c r="O648" s="29"/>
      <c r="P648" s="29"/>
      <c r="Q648" s="29"/>
      <c r="R648" s="29"/>
      <c r="S648" s="29"/>
      <c r="T648" s="476"/>
      <c r="U648" s="29"/>
      <c r="V648" s="2"/>
      <c r="W648" s="29"/>
      <c r="X648" s="2"/>
      <c r="Y648" s="29"/>
    </row>
    <row x14ac:dyDescent="0.25" r="649" customHeight="1" ht="15.75">
      <c r="A649" s="502"/>
      <c r="B649" s="34"/>
      <c r="C649" s="34"/>
      <c r="D649" s="34"/>
      <c r="E649" s="34"/>
      <c r="F649" s="34"/>
      <c r="G649" s="34"/>
      <c r="H649" s="34"/>
      <c r="I649" s="29"/>
      <c r="J649" s="29"/>
      <c r="K649" s="29"/>
      <c r="L649" s="29"/>
      <c r="M649" s="34"/>
      <c r="N649" s="34"/>
      <c r="O649" s="29"/>
      <c r="P649" s="29"/>
      <c r="Q649" s="29"/>
      <c r="R649" s="29"/>
      <c r="S649" s="29"/>
      <c r="T649" s="476"/>
      <c r="U649" s="29"/>
      <c r="V649" s="2"/>
      <c r="W649" s="29"/>
      <c r="X649" s="2"/>
      <c r="Y649" s="29"/>
    </row>
    <row x14ac:dyDescent="0.25" r="650" customHeight="1" ht="15.75">
      <c r="A650" s="502"/>
      <c r="B650" s="34"/>
      <c r="C650" s="34"/>
      <c r="D650" s="34"/>
      <c r="E650" s="34"/>
      <c r="F650" s="34"/>
      <c r="G650" s="34"/>
      <c r="H650" s="34"/>
      <c r="I650" s="29"/>
      <c r="J650" s="29"/>
      <c r="K650" s="29"/>
      <c r="L650" s="29"/>
      <c r="M650" s="34"/>
      <c r="N650" s="34"/>
      <c r="O650" s="29"/>
      <c r="P650" s="29"/>
      <c r="Q650" s="29"/>
      <c r="R650" s="29"/>
      <c r="S650" s="29"/>
      <c r="T650" s="476"/>
      <c r="U650" s="29"/>
      <c r="V650" s="2"/>
      <c r="W650" s="29"/>
      <c r="X650" s="2"/>
      <c r="Y650" s="29"/>
    </row>
    <row x14ac:dyDescent="0.25" r="651" customHeight="1" ht="15.75">
      <c r="A651" s="502"/>
      <c r="B651" s="34"/>
      <c r="C651" s="34"/>
      <c r="D651" s="34"/>
      <c r="E651" s="34"/>
      <c r="F651" s="34"/>
      <c r="G651" s="34"/>
      <c r="H651" s="34"/>
      <c r="I651" s="29"/>
      <c r="J651" s="29"/>
      <c r="K651" s="29"/>
      <c r="L651" s="29"/>
      <c r="M651" s="34"/>
      <c r="N651" s="34"/>
      <c r="O651" s="29"/>
      <c r="P651" s="29"/>
      <c r="Q651" s="29"/>
      <c r="R651" s="29"/>
      <c r="S651" s="29"/>
      <c r="T651" s="476"/>
      <c r="U651" s="29"/>
      <c r="V651" s="2"/>
      <c r="W651" s="29"/>
      <c r="X651" s="2"/>
      <c r="Y651" s="29"/>
    </row>
    <row x14ac:dyDescent="0.25" r="652" customHeight="1" ht="15.75">
      <c r="A652" s="502"/>
      <c r="B652" s="34"/>
      <c r="C652" s="34"/>
      <c r="D652" s="34"/>
      <c r="E652" s="34"/>
      <c r="F652" s="34"/>
      <c r="G652" s="34"/>
      <c r="H652" s="34"/>
      <c r="I652" s="29"/>
      <c r="J652" s="29"/>
      <c r="K652" s="29"/>
      <c r="L652" s="29"/>
      <c r="M652" s="34"/>
      <c r="N652" s="34"/>
      <c r="O652" s="29"/>
      <c r="P652" s="29"/>
      <c r="Q652" s="29"/>
      <c r="R652" s="29"/>
      <c r="S652" s="29"/>
      <c r="T652" s="476"/>
      <c r="U652" s="29"/>
      <c r="V652" s="2"/>
      <c r="W652" s="29"/>
      <c r="X652" s="2"/>
      <c r="Y652" s="29"/>
    </row>
    <row x14ac:dyDescent="0.25" r="653" customHeight="1" ht="15.75">
      <c r="A653" s="502"/>
      <c r="B653" s="34"/>
      <c r="C653" s="34"/>
      <c r="D653" s="34"/>
      <c r="E653" s="34"/>
      <c r="F653" s="34"/>
      <c r="G653" s="34"/>
      <c r="H653" s="34"/>
      <c r="I653" s="29"/>
      <c r="J653" s="29"/>
      <c r="K653" s="29"/>
      <c r="L653" s="29"/>
      <c r="M653" s="34"/>
      <c r="N653" s="34"/>
      <c r="O653" s="29"/>
      <c r="P653" s="29"/>
      <c r="Q653" s="29"/>
      <c r="R653" s="29"/>
      <c r="S653" s="29"/>
      <c r="T653" s="476"/>
      <c r="U653" s="29"/>
      <c r="V653" s="2"/>
      <c r="W653" s="29"/>
      <c r="X653" s="2"/>
      <c r="Y653" s="29"/>
    </row>
    <row x14ac:dyDescent="0.25" r="654" customHeight="1" ht="15.75">
      <c r="A654" s="502"/>
      <c r="B654" s="34"/>
      <c r="C654" s="34"/>
      <c r="D654" s="34"/>
      <c r="E654" s="34"/>
      <c r="F654" s="34"/>
      <c r="G654" s="34"/>
      <c r="H654" s="34"/>
      <c r="I654" s="29"/>
      <c r="J654" s="29"/>
      <c r="K654" s="29"/>
      <c r="L654" s="29"/>
      <c r="M654" s="34"/>
      <c r="N654" s="34"/>
      <c r="O654" s="29"/>
      <c r="P654" s="29"/>
      <c r="Q654" s="29"/>
      <c r="R654" s="29"/>
      <c r="S654" s="29"/>
      <c r="T654" s="476"/>
      <c r="U654" s="29"/>
      <c r="V654" s="2"/>
      <c r="W654" s="29"/>
      <c r="X654" s="2"/>
      <c r="Y654" s="29"/>
    </row>
    <row x14ac:dyDescent="0.25" r="655" customHeight="1" ht="15.75">
      <c r="A655" s="502"/>
      <c r="B655" s="34"/>
      <c r="C655" s="34"/>
      <c r="D655" s="34"/>
      <c r="E655" s="34"/>
      <c r="F655" s="34"/>
      <c r="G655" s="34"/>
      <c r="H655" s="34"/>
      <c r="I655" s="29"/>
      <c r="J655" s="29"/>
      <c r="K655" s="29"/>
      <c r="L655" s="29"/>
      <c r="M655" s="34"/>
      <c r="N655" s="34"/>
      <c r="O655" s="29"/>
      <c r="P655" s="29"/>
      <c r="Q655" s="29"/>
      <c r="R655" s="29"/>
      <c r="S655" s="29"/>
      <c r="T655" s="476"/>
      <c r="U655" s="29"/>
      <c r="V655" s="2"/>
      <c r="W655" s="29"/>
      <c r="X655" s="2"/>
      <c r="Y655" s="29"/>
    </row>
    <row x14ac:dyDescent="0.25" r="656" customHeight="1" ht="15.75">
      <c r="A656" s="502"/>
      <c r="B656" s="34"/>
      <c r="C656" s="34"/>
      <c r="D656" s="34"/>
      <c r="E656" s="34"/>
      <c r="F656" s="34"/>
      <c r="G656" s="34"/>
      <c r="H656" s="34"/>
      <c r="I656" s="29"/>
      <c r="J656" s="29"/>
      <c r="K656" s="29"/>
      <c r="L656" s="29"/>
      <c r="M656" s="34"/>
      <c r="N656" s="34"/>
      <c r="O656" s="29"/>
      <c r="P656" s="29"/>
      <c r="Q656" s="29"/>
      <c r="R656" s="29"/>
      <c r="S656" s="29"/>
      <c r="T656" s="476"/>
      <c r="U656" s="29"/>
      <c r="V656" s="2"/>
      <c r="W656" s="29"/>
      <c r="X656" s="2"/>
      <c r="Y656" s="29"/>
    </row>
    <row x14ac:dyDescent="0.25" r="657" customHeight="1" ht="15.75">
      <c r="A657" s="502"/>
      <c r="B657" s="34"/>
      <c r="C657" s="34"/>
      <c r="D657" s="34"/>
      <c r="E657" s="34"/>
      <c r="F657" s="34"/>
      <c r="G657" s="34"/>
      <c r="H657" s="34"/>
      <c r="I657" s="29"/>
      <c r="J657" s="29"/>
      <c r="K657" s="29"/>
      <c r="L657" s="29"/>
      <c r="M657" s="34"/>
      <c r="N657" s="34"/>
      <c r="O657" s="29"/>
      <c r="P657" s="29"/>
      <c r="Q657" s="29"/>
      <c r="R657" s="29"/>
      <c r="S657" s="29"/>
      <c r="T657" s="476"/>
      <c r="U657" s="29"/>
      <c r="V657" s="2"/>
      <c r="W657" s="29"/>
      <c r="X657" s="2"/>
      <c r="Y657" s="29"/>
    </row>
    <row x14ac:dyDescent="0.25" r="658" customHeight="1" ht="15.75">
      <c r="A658" s="502"/>
      <c r="B658" s="34"/>
      <c r="C658" s="34"/>
      <c r="D658" s="34"/>
      <c r="E658" s="34"/>
      <c r="F658" s="34"/>
      <c r="G658" s="34"/>
      <c r="H658" s="34"/>
      <c r="I658" s="29"/>
      <c r="J658" s="29"/>
      <c r="K658" s="29"/>
      <c r="L658" s="29"/>
      <c r="M658" s="34"/>
      <c r="N658" s="34"/>
      <c r="O658" s="29"/>
      <c r="P658" s="29"/>
      <c r="Q658" s="29"/>
      <c r="R658" s="29"/>
      <c r="S658" s="29"/>
      <c r="T658" s="476"/>
      <c r="U658" s="29"/>
      <c r="V658" s="2"/>
      <c r="W658" s="29"/>
      <c r="X658" s="2"/>
      <c r="Y658" s="29"/>
    </row>
    <row x14ac:dyDescent="0.25" r="659" customHeight="1" ht="15.75">
      <c r="A659" s="502"/>
      <c r="B659" s="34"/>
      <c r="C659" s="34"/>
      <c r="D659" s="34"/>
      <c r="E659" s="34"/>
      <c r="F659" s="34"/>
      <c r="G659" s="34"/>
      <c r="H659" s="34"/>
      <c r="I659" s="29"/>
      <c r="J659" s="29"/>
      <c r="K659" s="29"/>
      <c r="L659" s="29"/>
      <c r="M659" s="34"/>
      <c r="N659" s="34"/>
      <c r="O659" s="29"/>
      <c r="P659" s="29"/>
      <c r="Q659" s="29"/>
      <c r="R659" s="29"/>
      <c r="S659" s="29"/>
      <c r="T659" s="476"/>
      <c r="U659" s="29"/>
      <c r="V659" s="2"/>
      <c r="W659" s="29"/>
      <c r="X659" s="2"/>
      <c r="Y659" s="29"/>
    </row>
    <row x14ac:dyDescent="0.25" r="660" customHeight="1" ht="15.75">
      <c r="A660" s="502"/>
      <c r="B660" s="34"/>
      <c r="C660" s="34"/>
      <c r="D660" s="34"/>
      <c r="E660" s="34"/>
      <c r="F660" s="34"/>
      <c r="G660" s="34"/>
      <c r="H660" s="34"/>
      <c r="I660" s="29"/>
      <c r="J660" s="29"/>
      <c r="K660" s="29"/>
      <c r="L660" s="29"/>
      <c r="M660" s="34"/>
      <c r="N660" s="34"/>
      <c r="O660" s="29"/>
      <c r="P660" s="29"/>
      <c r="Q660" s="29"/>
      <c r="R660" s="29"/>
      <c r="S660" s="29"/>
      <c r="T660" s="476"/>
      <c r="U660" s="29"/>
      <c r="V660" s="2"/>
      <c r="W660" s="29"/>
      <c r="X660" s="2"/>
      <c r="Y660" s="29"/>
    </row>
    <row x14ac:dyDescent="0.25" r="661" customHeight="1" ht="15.75">
      <c r="A661" s="502"/>
      <c r="B661" s="34"/>
      <c r="C661" s="34"/>
      <c r="D661" s="34"/>
      <c r="E661" s="34"/>
      <c r="F661" s="34"/>
      <c r="G661" s="34"/>
      <c r="H661" s="34"/>
      <c r="I661" s="29"/>
      <c r="J661" s="29"/>
      <c r="K661" s="29"/>
      <c r="L661" s="29"/>
      <c r="M661" s="34"/>
      <c r="N661" s="34"/>
      <c r="O661" s="29"/>
      <c r="P661" s="29"/>
      <c r="Q661" s="29"/>
      <c r="R661" s="29"/>
      <c r="S661" s="29"/>
      <c r="T661" s="476"/>
      <c r="U661" s="29"/>
      <c r="V661" s="2"/>
      <c r="W661" s="29"/>
      <c r="X661" s="2"/>
      <c r="Y661" s="29"/>
    </row>
    <row x14ac:dyDescent="0.25" r="662" customHeight="1" ht="15.75">
      <c r="A662" s="502"/>
      <c r="B662" s="34"/>
      <c r="C662" s="34"/>
      <c r="D662" s="34"/>
      <c r="E662" s="34"/>
      <c r="F662" s="34"/>
      <c r="G662" s="34"/>
      <c r="H662" s="34"/>
      <c r="I662" s="29"/>
      <c r="J662" s="29"/>
      <c r="K662" s="29"/>
      <c r="L662" s="29"/>
      <c r="M662" s="34"/>
      <c r="N662" s="34"/>
      <c r="O662" s="29"/>
      <c r="P662" s="29"/>
      <c r="Q662" s="29"/>
      <c r="R662" s="29"/>
      <c r="S662" s="29"/>
      <c r="T662" s="476"/>
      <c r="U662" s="29"/>
      <c r="V662" s="2"/>
      <c r="W662" s="29"/>
      <c r="X662" s="2"/>
      <c r="Y662" s="29"/>
    </row>
    <row x14ac:dyDescent="0.25" r="663" customHeight="1" ht="15.75">
      <c r="A663" s="502"/>
      <c r="B663" s="34"/>
      <c r="C663" s="34"/>
      <c r="D663" s="34"/>
      <c r="E663" s="34"/>
      <c r="F663" s="34"/>
      <c r="G663" s="34"/>
      <c r="H663" s="34"/>
      <c r="I663" s="29"/>
      <c r="J663" s="29"/>
      <c r="K663" s="29"/>
      <c r="L663" s="29"/>
      <c r="M663" s="34"/>
      <c r="N663" s="34"/>
      <c r="O663" s="29"/>
      <c r="P663" s="29"/>
      <c r="Q663" s="29"/>
      <c r="R663" s="29"/>
      <c r="S663" s="29"/>
      <c r="T663" s="476"/>
      <c r="U663" s="29"/>
      <c r="V663" s="2"/>
      <c r="W663" s="29"/>
      <c r="X663" s="2"/>
      <c r="Y663" s="29"/>
    </row>
    <row x14ac:dyDescent="0.25" r="664" customHeight="1" ht="15.75">
      <c r="A664" s="502"/>
      <c r="B664" s="34"/>
      <c r="C664" s="34"/>
      <c r="D664" s="34"/>
      <c r="E664" s="34"/>
      <c r="F664" s="34"/>
      <c r="G664" s="34"/>
      <c r="H664" s="34"/>
      <c r="I664" s="29"/>
      <c r="J664" s="29"/>
      <c r="K664" s="29"/>
      <c r="L664" s="29"/>
      <c r="M664" s="34"/>
      <c r="N664" s="34"/>
      <c r="O664" s="29"/>
      <c r="P664" s="29"/>
      <c r="Q664" s="29"/>
      <c r="R664" s="29"/>
      <c r="S664" s="29"/>
      <c r="T664" s="476"/>
      <c r="U664" s="29"/>
      <c r="V664" s="2"/>
      <c r="W664" s="29"/>
      <c r="X664" s="2"/>
      <c r="Y664" s="29"/>
    </row>
    <row x14ac:dyDescent="0.25" r="665" customHeight="1" ht="15.75">
      <c r="A665" s="502"/>
      <c r="B665" s="34"/>
      <c r="C665" s="34"/>
      <c r="D665" s="34"/>
      <c r="E665" s="34"/>
      <c r="F665" s="34"/>
      <c r="G665" s="34"/>
      <c r="H665" s="34"/>
      <c r="I665" s="29"/>
      <c r="J665" s="29"/>
      <c r="K665" s="29"/>
      <c r="L665" s="29"/>
      <c r="M665" s="34"/>
      <c r="N665" s="34"/>
      <c r="O665" s="29"/>
      <c r="P665" s="29"/>
      <c r="Q665" s="29"/>
      <c r="R665" s="29"/>
      <c r="S665" s="29"/>
      <c r="T665" s="476"/>
      <c r="U665" s="29"/>
      <c r="V665" s="2"/>
      <c r="W665" s="29"/>
      <c r="X665" s="2"/>
      <c r="Y665" s="29"/>
    </row>
    <row x14ac:dyDescent="0.25" r="666" customHeight="1" ht="15.75">
      <c r="A666" s="502"/>
      <c r="B666" s="34"/>
      <c r="C666" s="34"/>
      <c r="D666" s="34"/>
      <c r="E666" s="34"/>
      <c r="F666" s="34"/>
      <c r="G666" s="34"/>
      <c r="H666" s="34"/>
      <c r="I666" s="29"/>
      <c r="J666" s="29"/>
      <c r="K666" s="29"/>
      <c r="L666" s="29"/>
      <c r="M666" s="34"/>
      <c r="N666" s="34"/>
      <c r="O666" s="29"/>
      <c r="P666" s="29"/>
      <c r="Q666" s="29"/>
      <c r="R666" s="29"/>
      <c r="S666" s="29"/>
      <c r="T666" s="476"/>
      <c r="U666" s="29"/>
      <c r="V666" s="2"/>
      <c r="W666" s="29"/>
      <c r="X666" s="2"/>
      <c r="Y666" s="29"/>
    </row>
    <row x14ac:dyDescent="0.25" r="667" customHeight="1" ht="15.75">
      <c r="A667" s="502"/>
      <c r="B667" s="34"/>
      <c r="C667" s="34"/>
      <c r="D667" s="34"/>
      <c r="E667" s="34"/>
      <c r="F667" s="34"/>
      <c r="G667" s="34"/>
      <c r="H667" s="34"/>
      <c r="I667" s="29"/>
      <c r="J667" s="29"/>
      <c r="K667" s="29"/>
      <c r="L667" s="29"/>
      <c r="M667" s="34"/>
      <c r="N667" s="34"/>
      <c r="O667" s="29"/>
      <c r="P667" s="29"/>
      <c r="Q667" s="29"/>
      <c r="R667" s="29"/>
      <c r="S667" s="29"/>
      <c r="T667" s="476"/>
      <c r="U667" s="29"/>
      <c r="V667" s="2"/>
      <c r="W667" s="29"/>
      <c r="X667" s="2"/>
      <c r="Y667" s="29"/>
    </row>
    <row x14ac:dyDescent="0.25" r="668" customHeight="1" ht="15.75">
      <c r="A668" s="502"/>
      <c r="B668" s="34"/>
      <c r="C668" s="34"/>
      <c r="D668" s="34"/>
      <c r="E668" s="34"/>
      <c r="F668" s="34"/>
      <c r="G668" s="34"/>
      <c r="H668" s="34"/>
      <c r="I668" s="29"/>
      <c r="J668" s="29"/>
      <c r="K668" s="29"/>
      <c r="L668" s="29"/>
      <c r="M668" s="34"/>
      <c r="N668" s="34"/>
      <c r="O668" s="29"/>
      <c r="P668" s="29"/>
      <c r="Q668" s="29"/>
      <c r="R668" s="29"/>
      <c r="S668" s="29"/>
      <c r="T668" s="476"/>
      <c r="U668" s="29"/>
      <c r="V668" s="2"/>
      <c r="W668" s="29"/>
      <c r="X668" s="2"/>
      <c r="Y668" s="29"/>
    </row>
    <row x14ac:dyDescent="0.25" r="669" customHeight="1" ht="15.75">
      <c r="A669" s="502"/>
      <c r="B669" s="34"/>
      <c r="C669" s="34"/>
      <c r="D669" s="34"/>
      <c r="E669" s="34"/>
      <c r="F669" s="34"/>
      <c r="G669" s="34"/>
      <c r="H669" s="34"/>
      <c r="I669" s="29"/>
      <c r="J669" s="29"/>
      <c r="K669" s="29"/>
      <c r="L669" s="29"/>
      <c r="M669" s="34"/>
      <c r="N669" s="34"/>
      <c r="O669" s="29"/>
      <c r="P669" s="29"/>
      <c r="Q669" s="29"/>
      <c r="R669" s="29"/>
      <c r="S669" s="29"/>
      <c r="T669" s="476"/>
      <c r="U669" s="29"/>
      <c r="V669" s="2"/>
      <c r="W669" s="29"/>
      <c r="X669" s="2"/>
      <c r="Y669" s="29"/>
    </row>
    <row x14ac:dyDescent="0.25" r="670" customHeight="1" ht="15.75">
      <c r="A670" s="502"/>
      <c r="B670" s="34"/>
      <c r="C670" s="34"/>
      <c r="D670" s="34"/>
      <c r="E670" s="34"/>
      <c r="F670" s="34"/>
      <c r="G670" s="34"/>
      <c r="H670" s="34"/>
      <c r="I670" s="29"/>
      <c r="J670" s="29"/>
      <c r="K670" s="29"/>
      <c r="L670" s="29"/>
      <c r="M670" s="34"/>
      <c r="N670" s="34"/>
      <c r="O670" s="29"/>
      <c r="P670" s="29"/>
      <c r="Q670" s="29"/>
      <c r="R670" s="29"/>
      <c r="S670" s="29"/>
      <c r="T670" s="476"/>
      <c r="U670" s="29"/>
      <c r="V670" s="2"/>
      <c r="W670" s="29"/>
      <c r="X670" s="2"/>
      <c r="Y670" s="29"/>
    </row>
    <row x14ac:dyDescent="0.25" r="671" customHeight="1" ht="15.75">
      <c r="A671" s="502"/>
      <c r="B671" s="34"/>
      <c r="C671" s="34"/>
      <c r="D671" s="34"/>
      <c r="E671" s="34"/>
      <c r="F671" s="34"/>
      <c r="G671" s="34"/>
      <c r="H671" s="34"/>
      <c r="I671" s="29"/>
      <c r="J671" s="29"/>
      <c r="K671" s="29"/>
      <c r="L671" s="29"/>
      <c r="M671" s="34"/>
      <c r="N671" s="34"/>
      <c r="O671" s="29"/>
      <c r="P671" s="29"/>
      <c r="Q671" s="29"/>
      <c r="R671" s="29"/>
      <c r="S671" s="29"/>
      <c r="T671" s="476"/>
      <c r="U671" s="29"/>
      <c r="V671" s="2"/>
      <c r="W671" s="29"/>
      <c r="X671" s="2"/>
      <c r="Y671" s="29"/>
    </row>
    <row x14ac:dyDescent="0.25" r="672" customHeight="1" ht="15.75">
      <c r="A672" s="502"/>
      <c r="B672" s="34"/>
      <c r="C672" s="34"/>
      <c r="D672" s="34"/>
      <c r="E672" s="34"/>
      <c r="F672" s="34"/>
      <c r="G672" s="34"/>
      <c r="H672" s="34"/>
      <c r="I672" s="29"/>
      <c r="J672" s="29"/>
      <c r="K672" s="29"/>
      <c r="L672" s="29"/>
      <c r="M672" s="34"/>
      <c r="N672" s="34"/>
      <c r="O672" s="29"/>
      <c r="P672" s="29"/>
      <c r="Q672" s="29"/>
      <c r="R672" s="29"/>
      <c r="S672" s="29"/>
      <c r="T672" s="476"/>
      <c r="U672" s="29"/>
      <c r="V672" s="2"/>
      <c r="W672" s="29"/>
      <c r="X672" s="2"/>
      <c r="Y672" s="29"/>
    </row>
    <row x14ac:dyDescent="0.25" r="673" customHeight="1" ht="15.75">
      <c r="A673" s="502"/>
      <c r="B673" s="34"/>
      <c r="C673" s="34"/>
      <c r="D673" s="34"/>
      <c r="E673" s="34"/>
      <c r="F673" s="34"/>
      <c r="G673" s="34"/>
      <c r="H673" s="34"/>
      <c r="I673" s="29"/>
      <c r="J673" s="29"/>
      <c r="K673" s="29"/>
      <c r="L673" s="29"/>
      <c r="M673" s="34"/>
      <c r="N673" s="34"/>
      <c r="O673" s="29"/>
      <c r="P673" s="29"/>
      <c r="Q673" s="29"/>
      <c r="R673" s="29"/>
      <c r="S673" s="29"/>
      <c r="T673" s="476"/>
      <c r="U673" s="29"/>
      <c r="V673" s="2"/>
      <c r="W673" s="29"/>
      <c r="X673" s="2"/>
      <c r="Y673" s="29"/>
    </row>
    <row x14ac:dyDescent="0.25" r="674" customHeight="1" ht="15.75">
      <c r="A674" s="502"/>
      <c r="B674" s="34"/>
      <c r="C674" s="34"/>
      <c r="D674" s="34"/>
      <c r="E674" s="34"/>
      <c r="F674" s="34"/>
      <c r="G674" s="34"/>
      <c r="H674" s="34"/>
      <c r="I674" s="29"/>
      <c r="J674" s="29"/>
      <c r="K674" s="29"/>
      <c r="L674" s="29"/>
      <c r="M674" s="34"/>
      <c r="N674" s="34"/>
      <c r="O674" s="29"/>
      <c r="P674" s="29"/>
      <c r="Q674" s="29"/>
      <c r="R674" s="29"/>
      <c r="S674" s="29"/>
      <c r="T674" s="476"/>
      <c r="U674" s="29"/>
      <c r="V674" s="2"/>
      <c r="W674" s="29"/>
      <c r="X674" s="2"/>
      <c r="Y674" s="29"/>
    </row>
    <row x14ac:dyDescent="0.25" r="675" customHeight="1" ht="15.75">
      <c r="A675" s="502"/>
      <c r="B675" s="34"/>
      <c r="C675" s="34"/>
      <c r="D675" s="34"/>
      <c r="E675" s="34"/>
      <c r="F675" s="34"/>
      <c r="G675" s="34"/>
      <c r="H675" s="34"/>
      <c r="I675" s="29"/>
      <c r="J675" s="29"/>
      <c r="K675" s="29"/>
      <c r="L675" s="29"/>
      <c r="M675" s="34"/>
      <c r="N675" s="34"/>
      <c r="O675" s="29"/>
      <c r="P675" s="29"/>
      <c r="Q675" s="29"/>
      <c r="R675" s="29"/>
      <c r="S675" s="29"/>
      <c r="T675" s="476"/>
      <c r="U675" s="29"/>
      <c r="V675" s="2"/>
      <c r="W675" s="29"/>
      <c r="X675" s="2"/>
      <c r="Y675" s="29"/>
    </row>
    <row x14ac:dyDescent="0.25" r="676" customHeight="1" ht="15.75">
      <c r="A676" s="502"/>
      <c r="B676" s="34"/>
      <c r="C676" s="34"/>
      <c r="D676" s="34"/>
      <c r="E676" s="34"/>
      <c r="F676" s="34"/>
      <c r="G676" s="34"/>
      <c r="H676" s="34"/>
      <c r="I676" s="29"/>
      <c r="J676" s="29"/>
      <c r="K676" s="29"/>
      <c r="L676" s="29"/>
      <c r="M676" s="34"/>
      <c r="N676" s="34"/>
      <c r="O676" s="29"/>
      <c r="P676" s="29"/>
      <c r="Q676" s="29"/>
      <c r="R676" s="29"/>
      <c r="S676" s="29"/>
      <c r="T676" s="476"/>
      <c r="U676" s="29"/>
      <c r="V676" s="2"/>
      <c r="W676" s="29"/>
      <c r="X676" s="2"/>
      <c r="Y676" s="29"/>
    </row>
    <row x14ac:dyDescent="0.25" r="677" customHeight="1" ht="15.75">
      <c r="A677" s="502"/>
      <c r="B677" s="34"/>
      <c r="C677" s="34"/>
      <c r="D677" s="34"/>
      <c r="E677" s="34"/>
      <c r="F677" s="34"/>
      <c r="G677" s="34"/>
      <c r="H677" s="34"/>
      <c r="I677" s="29"/>
      <c r="J677" s="29"/>
      <c r="K677" s="29"/>
      <c r="L677" s="29"/>
      <c r="M677" s="34"/>
      <c r="N677" s="34"/>
      <c r="O677" s="29"/>
      <c r="P677" s="29"/>
      <c r="Q677" s="29"/>
      <c r="R677" s="29"/>
      <c r="S677" s="29"/>
      <c r="T677" s="476"/>
      <c r="U677" s="29"/>
      <c r="V677" s="2"/>
      <c r="W677" s="29"/>
      <c r="X677" s="2"/>
      <c r="Y677" s="29"/>
    </row>
    <row x14ac:dyDescent="0.25" r="678" customHeight="1" ht="15.75">
      <c r="A678" s="502"/>
      <c r="B678" s="34"/>
      <c r="C678" s="34"/>
      <c r="D678" s="34"/>
      <c r="E678" s="34"/>
      <c r="F678" s="34"/>
      <c r="G678" s="34"/>
      <c r="H678" s="34"/>
      <c r="I678" s="29"/>
      <c r="J678" s="29"/>
      <c r="K678" s="29"/>
      <c r="L678" s="29"/>
      <c r="M678" s="34"/>
      <c r="N678" s="34"/>
      <c r="O678" s="29"/>
      <c r="P678" s="29"/>
      <c r="Q678" s="29"/>
      <c r="R678" s="29"/>
      <c r="S678" s="29"/>
      <c r="T678" s="476"/>
      <c r="U678" s="29"/>
      <c r="V678" s="2"/>
      <c r="W678" s="29"/>
      <c r="X678" s="2"/>
      <c r="Y678" s="29"/>
    </row>
    <row x14ac:dyDescent="0.25" r="679" customHeight="1" ht="15.75">
      <c r="A679" s="502"/>
      <c r="B679" s="34"/>
      <c r="C679" s="34"/>
      <c r="D679" s="34"/>
      <c r="E679" s="34"/>
      <c r="F679" s="34"/>
      <c r="G679" s="34"/>
      <c r="H679" s="34"/>
      <c r="I679" s="29"/>
      <c r="J679" s="29"/>
      <c r="K679" s="29"/>
      <c r="L679" s="29"/>
      <c r="M679" s="34"/>
      <c r="N679" s="34"/>
      <c r="O679" s="29"/>
      <c r="P679" s="29"/>
      <c r="Q679" s="29"/>
      <c r="R679" s="29"/>
      <c r="S679" s="29"/>
      <c r="T679" s="476"/>
      <c r="U679" s="29"/>
      <c r="V679" s="2"/>
      <c r="W679" s="29"/>
      <c r="X679" s="2"/>
      <c r="Y679" s="29"/>
    </row>
    <row x14ac:dyDescent="0.25" r="680" customHeight="1" ht="15.75">
      <c r="A680" s="502"/>
      <c r="B680" s="34"/>
      <c r="C680" s="34"/>
      <c r="D680" s="34"/>
      <c r="E680" s="34"/>
      <c r="F680" s="34"/>
      <c r="G680" s="34"/>
      <c r="H680" s="34"/>
      <c r="I680" s="29"/>
      <c r="J680" s="29"/>
      <c r="K680" s="29"/>
      <c r="L680" s="29"/>
      <c r="M680" s="34"/>
      <c r="N680" s="34"/>
      <c r="O680" s="29"/>
      <c r="P680" s="29"/>
      <c r="Q680" s="29"/>
      <c r="R680" s="29"/>
      <c r="S680" s="29"/>
      <c r="T680" s="476"/>
      <c r="U680" s="29"/>
      <c r="V680" s="2"/>
      <c r="W680" s="29"/>
      <c r="X680" s="2"/>
      <c r="Y680" s="29"/>
    </row>
    <row x14ac:dyDescent="0.25" r="681" customHeight="1" ht="15.75">
      <c r="A681" s="502"/>
      <c r="B681" s="34"/>
      <c r="C681" s="34"/>
      <c r="D681" s="34"/>
      <c r="E681" s="34"/>
      <c r="F681" s="34"/>
      <c r="G681" s="34"/>
      <c r="H681" s="34"/>
      <c r="I681" s="29"/>
      <c r="J681" s="29"/>
      <c r="K681" s="29"/>
      <c r="L681" s="29"/>
      <c r="M681" s="34"/>
      <c r="N681" s="34"/>
      <c r="O681" s="29"/>
      <c r="P681" s="29"/>
      <c r="Q681" s="29"/>
      <c r="R681" s="29"/>
      <c r="S681" s="29"/>
      <c r="T681" s="476"/>
      <c r="U681" s="29"/>
      <c r="V681" s="2"/>
      <c r="W681" s="29"/>
      <c r="X681" s="2"/>
      <c r="Y681" s="29"/>
    </row>
    <row x14ac:dyDescent="0.25" r="682" customHeight="1" ht="15.75">
      <c r="A682" s="502"/>
      <c r="B682" s="34"/>
      <c r="C682" s="34"/>
      <c r="D682" s="34"/>
      <c r="E682" s="34"/>
      <c r="F682" s="34"/>
      <c r="G682" s="34"/>
      <c r="H682" s="34"/>
      <c r="I682" s="29"/>
      <c r="J682" s="29"/>
      <c r="K682" s="29"/>
      <c r="L682" s="29"/>
      <c r="M682" s="34"/>
      <c r="N682" s="34"/>
      <c r="O682" s="29"/>
      <c r="P682" s="29"/>
      <c r="Q682" s="29"/>
      <c r="R682" s="29"/>
      <c r="S682" s="29"/>
      <c r="T682" s="476"/>
      <c r="U682" s="29"/>
      <c r="V682" s="2"/>
      <c r="W682" s="29"/>
      <c r="X682" s="2"/>
      <c r="Y682" s="29"/>
    </row>
    <row x14ac:dyDescent="0.25" r="683" customHeight="1" ht="15.75">
      <c r="A683" s="502"/>
      <c r="B683" s="34"/>
      <c r="C683" s="34"/>
      <c r="D683" s="34"/>
      <c r="E683" s="34"/>
      <c r="F683" s="34"/>
      <c r="G683" s="34"/>
      <c r="H683" s="34"/>
      <c r="I683" s="29"/>
      <c r="J683" s="29"/>
      <c r="K683" s="29"/>
      <c r="L683" s="29"/>
      <c r="M683" s="34"/>
      <c r="N683" s="34"/>
      <c r="O683" s="29"/>
      <c r="P683" s="29"/>
      <c r="Q683" s="29"/>
      <c r="R683" s="29"/>
      <c r="S683" s="29"/>
      <c r="T683" s="476"/>
      <c r="U683" s="29"/>
      <c r="V683" s="2"/>
      <c r="W683" s="29"/>
      <c r="X683" s="2"/>
      <c r="Y683" s="29"/>
    </row>
    <row x14ac:dyDescent="0.25" r="684" customHeight="1" ht="15.75">
      <c r="A684" s="502"/>
      <c r="B684" s="34"/>
      <c r="C684" s="34"/>
      <c r="D684" s="34"/>
      <c r="E684" s="34"/>
      <c r="F684" s="34"/>
      <c r="G684" s="34"/>
      <c r="H684" s="34"/>
      <c r="I684" s="29"/>
      <c r="J684" s="29"/>
      <c r="K684" s="29"/>
      <c r="L684" s="29"/>
      <c r="M684" s="34"/>
      <c r="N684" s="34"/>
      <c r="O684" s="29"/>
      <c r="P684" s="29"/>
      <c r="Q684" s="29"/>
      <c r="R684" s="29"/>
      <c r="S684" s="29"/>
      <c r="T684" s="476"/>
      <c r="U684" s="29"/>
      <c r="V684" s="2"/>
      <c r="W684" s="29"/>
      <c r="X684" s="2"/>
      <c r="Y684" s="29"/>
    </row>
    <row x14ac:dyDescent="0.25" r="685" customHeight="1" ht="15.75">
      <c r="A685" s="502"/>
      <c r="B685" s="34"/>
      <c r="C685" s="34"/>
      <c r="D685" s="34"/>
      <c r="E685" s="34"/>
      <c r="F685" s="34"/>
      <c r="G685" s="34"/>
      <c r="H685" s="34"/>
      <c r="I685" s="29"/>
      <c r="J685" s="29"/>
      <c r="K685" s="29"/>
      <c r="L685" s="29"/>
      <c r="M685" s="34"/>
      <c r="N685" s="34"/>
      <c r="O685" s="29"/>
      <c r="P685" s="29"/>
      <c r="Q685" s="29"/>
      <c r="R685" s="29"/>
      <c r="S685" s="29"/>
      <c r="T685" s="476"/>
      <c r="U685" s="29"/>
      <c r="V685" s="2"/>
      <c r="W685" s="29"/>
      <c r="X685" s="2"/>
      <c r="Y685" s="29"/>
    </row>
    <row x14ac:dyDescent="0.25" r="686" customHeight="1" ht="15.75">
      <c r="A686" s="502"/>
      <c r="B686" s="34"/>
      <c r="C686" s="34"/>
      <c r="D686" s="34"/>
      <c r="E686" s="34"/>
      <c r="F686" s="34"/>
      <c r="G686" s="34"/>
      <c r="H686" s="34"/>
      <c r="I686" s="29"/>
      <c r="J686" s="29"/>
      <c r="K686" s="29"/>
      <c r="L686" s="29"/>
      <c r="M686" s="34"/>
      <c r="N686" s="34"/>
      <c r="O686" s="29"/>
      <c r="P686" s="29"/>
      <c r="Q686" s="29"/>
      <c r="R686" s="29"/>
      <c r="S686" s="29"/>
      <c r="T686" s="476"/>
      <c r="U686" s="29"/>
      <c r="V686" s="2"/>
      <c r="W686" s="29"/>
      <c r="X686" s="2"/>
      <c r="Y686" s="29"/>
    </row>
    <row x14ac:dyDescent="0.25" r="687" customHeight="1" ht="15.75">
      <c r="A687" s="502"/>
      <c r="B687" s="34"/>
      <c r="C687" s="34"/>
      <c r="D687" s="34"/>
      <c r="E687" s="34"/>
      <c r="F687" s="34"/>
      <c r="G687" s="34"/>
      <c r="H687" s="34"/>
      <c r="I687" s="29"/>
      <c r="J687" s="29"/>
      <c r="K687" s="29"/>
      <c r="L687" s="29"/>
      <c r="M687" s="34"/>
      <c r="N687" s="34"/>
      <c r="O687" s="29"/>
      <c r="P687" s="29"/>
      <c r="Q687" s="29"/>
      <c r="R687" s="29"/>
      <c r="S687" s="29"/>
      <c r="T687" s="476"/>
      <c r="U687" s="29"/>
      <c r="V687" s="2"/>
      <c r="W687" s="29"/>
      <c r="X687" s="2"/>
      <c r="Y687" s="29"/>
    </row>
    <row x14ac:dyDescent="0.25" r="688" customHeight="1" ht="15.75">
      <c r="A688" s="502"/>
      <c r="B688" s="34"/>
      <c r="C688" s="34"/>
      <c r="D688" s="34"/>
      <c r="E688" s="34"/>
      <c r="F688" s="34"/>
      <c r="G688" s="34"/>
      <c r="H688" s="34"/>
      <c r="I688" s="29"/>
      <c r="J688" s="29"/>
      <c r="K688" s="29"/>
      <c r="L688" s="29"/>
      <c r="M688" s="34"/>
      <c r="N688" s="34"/>
      <c r="O688" s="29"/>
      <c r="P688" s="29"/>
      <c r="Q688" s="29"/>
      <c r="R688" s="29"/>
      <c r="S688" s="29"/>
      <c r="T688" s="476"/>
      <c r="U688" s="29"/>
      <c r="V688" s="2"/>
      <c r="W688" s="29"/>
      <c r="X688" s="2"/>
      <c r="Y688" s="29"/>
    </row>
    <row x14ac:dyDescent="0.25" r="689" customHeight="1" ht="15.75">
      <c r="A689" s="502"/>
      <c r="B689" s="34"/>
      <c r="C689" s="34"/>
      <c r="D689" s="34"/>
      <c r="E689" s="34"/>
      <c r="F689" s="34"/>
      <c r="G689" s="34"/>
      <c r="H689" s="34"/>
      <c r="I689" s="29"/>
      <c r="J689" s="29"/>
      <c r="K689" s="29"/>
      <c r="L689" s="29"/>
      <c r="M689" s="34"/>
      <c r="N689" s="34"/>
      <c r="O689" s="29"/>
      <c r="P689" s="29"/>
      <c r="Q689" s="29"/>
      <c r="R689" s="29"/>
      <c r="S689" s="29"/>
      <c r="T689" s="476"/>
      <c r="U689" s="29"/>
      <c r="V689" s="2"/>
      <c r="W689" s="29"/>
      <c r="X689" s="2"/>
      <c r="Y689" s="29"/>
    </row>
    <row x14ac:dyDescent="0.25" r="690" customHeight="1" ht="15.75">
      <c r="A690" s="502"/>
      <c r="B690" s="34"/>
      <c r="C690" s="34"/>
      <c r="D690" s="34"/>
      <c r="E690" s="34"/>
      <c r="F690" s="34"/>
      <c r="G690" s="34"/>
      <c r="H690" s="34"/>
      <c r="I690" s="29"/>
      <c r="J690" s="29"/>
      <c r="K690" s="29"/>
      <c r="L690" s="29"/>
      <c r="M690" s="34"/>
      <c r="N690" s="34"/>
      <c r="O690" s="29"/>
      <c r="P690" s="29"/>
      <c r="Q690" s="29"/>
      <c r="R690" s="29"/>
      <c r="S690" s="29"/>
      <c r="T690" s="476"/>
      <c r="U690" s="29"/>
      <c r="V690" s="2"/>
      <c r="W690" s="29"/>
      <c r="X690" s="2"/>
      <c r="Y690" s="29"/>
    </row>
    <row x14ac:dyDescent="0.25" r="691" customHeight="1" ht="15.75">
      <c r="A691" s="502"/>
      <c r="B691" s="34"/>
      <c r="C691" s="34"/>
      <c r="D691" s="34"/>
      <c r="E691" s="34"/>
      <c r="F691" s="34"/>
      <c r="G691" s="34"/>
      <c r="H691" s="34"/>
      <c r="I691" s="29"/>
      <c r="J691" s="29"/>
      <c r="K691" s="29"/>
      <c r="L691" s="29"/>
      <c r="M691" s="34"/>
      <c r="N691" s="34"/>
      <c r="O691" s="29"/>
      <c r="P691" s="29"/>
      <c r="Q691" s="29"/>
      <c r="R691" s="29"/>
      <c r="S691" s="29"/>
      <c r="T691" s="476"/>
      <c r="U691" s="29"/>
      <c r="V691" s="2"/>
      <c r="W691" s="29"/>
      <c r="X691" s="2"/>
      <c r="Y691" s="29"/>
    </row>
    <row x14ac:dyDescent="0.25" r="692" customHeight="1" ht="15.75">
      <c r="A692" s="502"/>
      <c r="B692" s="34"/>
      <c r="C692" s="34"/>
      <c r="D692" s="34"/>
      <c r="E692" s="34"/>
      <c r="F692" s="34"/>
      <c r="G692" s="34"/>
      <c r="H692" s="34"/>
      <c r="I692" s="29"/>
      <c r="J692" s="29"/>
      <c r="K692" s="29"/>
      <c r="L692" s="29"/>
      <c r="M692" s="34"/>
      <c r="N692" s="34"/>
      <c r="O692" s="29"/>
      <c r="P692" s="29"/>
      <c r="Q692" s="29"/>
      <c r="R692" s="29"/>
      <c r="S692" s="29"/>
      <c r="T692" s="476"/>
      <c r="U692" s="29"/>
      <c r="V692" s="2"/>
      <c r="W692" s="29"/>
      <c r="X692" s="2"/>
      <c r="Y692" s="29"/>
    </row>
    <row x14ac:dyDescent="0.25" r="693" customHeight="1" ht="15.75">
      <c r="A693" s="502"/>
      <c r="B693" s="34"/>
      <c r="C693" s="34"/>
      <c r="D693" s="34"/>
      <c r="E693" s="34"/>
      <c r="F693" s="34"/>
      <c r="G693" s="34"/>
      <c r="H693" s="34"/>
      <c r="I693" s="29"/>
      <c r="J693" s="29"/>
      <c r="K693" s="29"/>
      <c r="L693" s="29"/>
      <c r="M693" s="34"/>
      <c r="N693" s="34"/>
      <c r="O693" s="29"/>
      <c r="P693" s="29"/>
      <c r="Q693" s="29"/>
      <c r="R693" s="29"/>
      <c r="S693" s="29"/>
      <c r="T693" s="476"/>
      <c r="U693" s="29"/>
      <c r="V693" s="2"/>
      <c r="W693" s="29"/>
      <c r="X693" s="2"/>
      <c r="Y693" s="29"/>
    </row>
    <row x14ac:dyDescent="0.25" r="694" customHeight="1" ht="15.75">
      <c r="A694" s="502"/>
      <c r="B694" s="34"/>
      <c r="C694" s="34"/>
      <c r="D694" s="34"/>
      <c r="E694" s="34"/>
      <c r="F694" s="34"/>
      <c r="G694" s="34"/>
      <c r="H694" s="34"/>
      <c r="I694" s="29"/>
      <c r="J694" s="29"/>
      <c r="K694" s="29"/>
      <c r="L694" s="29"/>
      <c r="M694" s="34"/>
      <c r="N694" s="34"/>
      <c r="O694" s="29"/>
      <c r="P694" s="29"/>
      <c r="Q694" s="29"/>
      <c r="R694" s="29"/>
      <c r="S694" s="29"/>
      <c r="T694" s="476"/>
      <c r="U694" s="29"/>
      <c r="V694" s="2"/>
      <c r="W694" s="29"/>
      <c r="X694" s="2"/>
      <c r="Y694" s="29"/>
    </row>
    <row x14ac:dyDescent="0.25" r="695" customHeight="1" ht="15.75">
      <c r="A695" s="502"/>
      <c r="B695" s="34"/>
      <c r="C695" s="34"/>
      <c r="D695" s="34"/>
      <c r="E695" s="34"/>
      <c r="F695" s="34"/>
      <c r="G695" s="34"/>
      <c r="H695" s="34"/>
      <c r="I695" s="29"/>
      <c r="J695" s="29"/>
      <c r="K695" s="29"/>
      <c r="L695" s="29"/>
      <c r="M695" s="34"/>
      <c r="N695" s="34"/>
      <c r="O695" s="29"/>
      <c r="P695" s="29"/>
      <c r="Q695" s="29"/>
      <c r="R695" s="29"/>
      <c r="S695" s="29"/>
      <c r="T695" s="476"/>
      <c r="U695" s="29"/>
      <c r="V695" s="2"/>
      <c r="W695" s="29"/>
      <c r="X695" s="2"/>
      <c r="Y695" s="29"/>
    </row>
    <row x14ac:dyDescent="0.25" r="696" customHeight="1" ht="15.75">
      <c r="A696" s="502"/>
      <c r="B696" s="34"/>
      <c r="C696" s="34"/>
      <c r="D696" s="34"/>
      <c r="E696" s="34"/>
      <c r="F696" s="34"/>
      <c r="G696" s="34"/>
      <c r="H696" s="34"/>
      <c r="I696" s="29"/>
      <c r="J696" s="29"/>
      <c r="K696" s="29"/>
      <c r="L696" s="29"/>
      <c r="M696" s="34"/>
      <c r="N696" s="34"/>
      <c r="O696" s="29"/>
      <c r="P696" s="29"/>
      <c r="Q696" s="29"/>
      <c r="R696" s="29"/>
      <c r="S696" s="29"/>
      <c r="T696" s="476"/>
      <c r="U696" s="29"/>
      <c r="V696" s="2"/>
      <c r="W696" s="29"/>
      <c r="X696" s="2"/>
      <c r="Y696" s="29"/>
    </row>
    <row x14ac:dyDescent="0.25" r="697" customHeight="1" ht="15.75">
      <c r="A697" s="502"/>
      <c r="B697" s="34"/>
      <c r="C697" s="34"/>
      <c r="D697" s="34"/>
      <c r="E697" s="34"/>
      <c r="F697" s="34"/>
      <c r="G697" s="34"/>
      <c r="H697" s="34"/>
      <c r="I697" s="29"/>
      <c r="J697" s="29"/>
      <c r="K697" s="29"/>
      <c r="L697" s="29"/>
      <c r="M697" s="34"/>
      <c r="N697" s="34"/>
      <c r="O697" s="29"/>
      <c r="P697" s="29"/>
      <c r="Q697" s="29"/>
      <c r="R697" s="29"/>
      <c r="S697" s="29"/>
      <c r="T697" s="476"/>
      <c r="U697" s="29"/>
      <c r="V697" s="2"/>
      <c r="W697" s="29"/>
      <c r="X697" s="2"/>
      <c r="Y697" s="29"/>
    </row>
    <row x14ac:dyDescent="0.25" r="698" customHeight="1" ht="15.75">
      <c r="A698" s="502"/>
      <c r="B698" s="34"/>
      <c r="C698" s="34"/>
      <c r="D698" s="34"/>
      <c r="E698" s="34"/>
      <c r="F698" s="34"/>
      <c r="G698" s="34"/>
      <c r="H698" s="34"/>
      <c r="I698" s="29"/>
      <c r="J698" s="29"/>
      <c r="K698" s="29"/>
      <c r="L698" s="29"/>
      <c r="M698" s="34"/>
      <c r="N698" s="34"/>
      <c r="O698" s="29"/>
      <c r="P698" s="29"/>
      <c r="Q698" s="29"/>
      <c r="R698" s="29"/>
      <c r="S698" s="29"/>
      <c r="T698" s="476"/>
      <c r="U698" s="29"/>
      <c r="V698" s="2"/>
      <c r="W698" s="29"/>
      <c r="X698" s="2"/>
      <c r="Y698" s="29"/>
    </row>
    <row x14ac:dyDescent="0.25" r="699" customHeight="1" ht="15.75">
      <c r="A699" s="502"/>
      <c r="B699" s="34"/>
      <c r="C699" s="34"/>
      <c r="D699" s="34"/>
      <c r="E699" s="34"/>
      <c r="F699" s="34"/>
      <c r="G699" s="34"/>
      <c r="H699" s="34"/>
      <c r="I699" s="29"/>
      <c r="J699" s="29"/>
      <c r="K699" s="29"/>
      <c r="L699" s="29"/>
      <c r="M699" s="34"/>
      <c r="N699" s="34"/>
      <c r="O699" s="29"/>
      <c r="P699" s="29"/>
      <c r="Q699" s="29"/>
      <c r="R699" s="29"/>
      <c r="S699" s="29"/>
      <c r="T699" s="476"/>
      <c r="U699" s="29"/>
      <c r="V699" s="2"/>
      <c r="W699" s="29"/>
      <c r="X699" s="2"/>
      <c r="Y699" s="29"/>
    </row>
    <row x14ac:dyDescent="0.25" r="700" customHeight="1" ht="15.75">
      <c r="A700" s="502"/>
      <c r="B700" s="34"/>
      <c r="C700" s="34"/>
      <c r="D700" s="34"/>
      <c r="E700" s="34"/>
      <c r="F700" s="34"/>
      <c r="G700" s="34"/>
      <c r="H700" s="34"/>
      <c r="I700" s="29"/>
      <c r="J700" s="29"/>
      <c r="K700" s="29"/>
      <c r="L700" s="29"/>
      <c r="M700" s="34"/>
      <c r="N700" s="34"/>
      <c r="O700" s="29"/>
      <c r="P700" s="29"/>
      <c r="Q700" s="29"/>
      <c r="R700" s="29"/>
      <c r="S700" s="29"/>
      <c r="T700" s="476"/>
      <c r="U700" s="29"/>
      <c r="V700" s="2"/>
      <c r="W700" s="29"/>
      <c r="X700" s="2"/>
      <c r="Y700" s="29"/>
    </row>
    <row x14ac:dyDescent="0.25" r="701" customHeight="1" ht="15.75">
      <c r="A701" s="502"/>
      <c r="B701" s="34"/>
      <c r="C701" s="34"/>
      <c r="D701" s="34"/>
      <c r="E701" s="34"/>
      <c r="F701" s="34"/>
      <c r="G701" s="34"/>
      <c r="H701" s="34"/>
      <c r="I701" s="29"/>
      <c r="J701" s="29"/>
      <c r="K701" s="29"/>
      <c r="L701" s="29"/>
      <c r="M701" s="34"/>
      <c r="N701" s="34"/>
      <c r="O701" s="29"/>
      <c r="P701" s="29"/>
      <c r="Q701" s="29"/>
      <c r="R701" s="29"/>
      <c r="S701" s="29"/>
      <c r="T701" s="476"/>
      <c r="U701" s="29"/>
      <c r="V701" s="2"/>
      <c r="W701" s="29"/>
      <c r="X701" s="2"/>
      <c r="Y701" s="29"/>
    </row>
    <row x14ac:dyDescent="0.25" r="702" customHeight="1" ht="15.75">
      <c r="A702" s="502"/>
      <c r="B702" s="34"/>
      <c r="C702" s="34"/>
      <c r="D702" s="34"/>
      <c r="E702" s="34"/>
      <c r="F702" s="34"/>
      <c r="G702" s="34"/>
      <c r="H702" s="34"/>
      <c r="I702" s="29"/>
      <c r="J702" s="29"/>
      <c r="K702" s="29"/>
      <c r="L702" s="29"/>
      <c r="M702" s="34"/>
      <c r="N702" s="34"/>
      <c r="O702" s="29"/>
      <c r="P702" s="29"/>
      <c r="Q702" s="29"/>
      <c r="R702" s="29"/>
      <c r="S702" s="29"/>
      <c r="T702" s="476"/>
      <c r="U702" s="29"/>
      <c r="V702" s="2"/>
      <c r="W702" s="29"/>
      <c r="X702" s="2"/>
      <c r="Y702" s="29"/>
    </row>
    <row x14ac:dyDescent="0.25" r="703" customHeight="1" ht="15.75">
      <c r="A703" s="502"/>
      <c r="B703" s="34"/>
      <c r="C703" s="34"/>
      <c r="D703" s="34"/>
      <c r="E703" s="34"/>
      <c r="F703" s="34"/>
      <c r="G703" s="34"/>
      <c r="H703" s="34"/>
      <c r="I703" s="29"/>
      <c r="J703" s="29"/>
      <c r="K703" s="29"/>
      <c r="L703" s="29"/>
      <c r="M703" s="34"/>
      <c r="N703" s="34"/>
      <c r="O703" s="29"/>
      <c r="P703" s="29"/>
      <c r="Q703" s="29"/>
      <c r="R703" s="29"/>
      <c r="S703" s="29"/>
      <c r="T703" s="476"/>
      <c r="U703" s="29"/>
      <c r="V703" s="2"/>
      <c r="W703" s="29"/>
      <c r="X703" s="2"/>
      <c r="Y703" s="29"/>
    </row>
    <row x14ac:dyDescent="0.25" r="704" customHeight="1" ht="15.75">
      <c r="A704" s="502"/>
      <c r="B704" s="34"/>
      <c r="C704" s="34"/>
      <c r="D704" s="34"/>
      <c r="E704" s="34"/>
      <c r="F704" s="34"/>
      <c r="G704" s="34"/>
      <c r="H704" s="34"/>
      <c r="I704" s="29"/>
      <c r="J704" s="29"/>
      <c r="K704" s="29"/>
      <c r="L704" s="29"/>
      <c r="M704" s="34"/>
      <c r="N704" s="34"/>
      <c r="O704" s="29"/>
      <c r="P704" s="29"/>
      <c r="Q704" s="29"/>
      <c r="R704" s="29"/>
      <c r="S704" s="29"/>
      <c r="T704" s="476"/>
      <c r="U704" s="29"/>
      <c r="V704" s="2"/>
      <c r="W704" s="29"/>
      <c r="X704" s="2"/>
      <c r="Y704" s="29"/>
    </row>
    <row x14ac:dyDescent="0.25" r="705" customHeight="1" ht="15.75">
      <c r="A705" s="502"/>
      <c r="B705" s="34"/>
      <c r="C705" s="34"/>
      <c r="D705" s="34"/>
      <c r="E705" s="34"/>
      <c r="F705" s="34"/>
      <c r="G705" s="34"/>
      <c r="H705" s="34"/>
      <c r="I705" s="29"/>
      <c r="J705" s="29"/>
      <c r="K705" s="29"/>
      <c r="L705" s="29"/>
      <c r="M705" s="34"/>
      <c r="N705" s="34"/>
      <c r="O705" s="29"/>
      <c r="P705" s="29"/>
      <c r="Q705" s="29"/>
      <c r="R705" s="29"/>
      <c r="S705" s="29"/>
      <c r="T705" s="476"/>
      <c r="U705" s="29"/>
      <c r="V705" s="2"/>
      <c r="W705" s="29"/>
      <c r="X705" s="2"/>
      <c r="Y705" s="29"/>
    </row>
    <row x14ac:dyDescent="0.25" r="706" customHeight="1" ht="15.75">
      <c r="A706" s="502"/>
      <c r="B706" s="34"/>
      <c r="C706" s="34"/>
      <c r="D706" s="34"/>
      <c r="E706" s="34"/>
      <c r="F706" s="34"/>
      <c r="G706" s="34"/>
      <c r="H706" s="34"/>
      <c r="I706" s="29"/>
      <c r="J706" s="29"/>
      <c r="K706" s="29"/>
      <c r="L706" s="29"/>
      <c r="M706" s="34"/>
      <c r="N706" s="34"/>
      <c r="O706" s="29"/>
      <c r="P706" s="29"/>
      <c r="Q706" s="29"/>
      <c r="R706" s="29"/>
      <c r="S706" s="29"/>
      <c r="T706" s="476"/>
      <c r="U706" s="29"/>
      <c r="V706" s="2"/>
      <c r="W706" s="29"/>
      <c r="X706" s="2"/>
      <c r="Y706" s="29"/>
    </row>
    <row x14ac:dyDescent="0.25" r="707" customHeight="1" ht="15.75">
      <c r="A707" s="502"/>
      <c r="B707" s="34"/>
      <c r="C707" s="34"/>
      <c r="D707" s="34"/>
      <c r="E707" s="34"/>
      <c r="F707" s="34"/>
      <c r="G707" s="34"/>
      <c r="H707" s="34"/>
      <c r="I707" s="29"/>
      <c r="J707" s="29"/>
      <c r="K707" s="29"/>
      <c r="L707" s="29"/>
      <c r="M707" s="34"/>
      <c r="N707" s="34"/>
      <c r="O707" s="29"/>
      <c r="P707" s="29"/>
      <c r="Q707" s="29"/>
      <c r="R707" s="29"/>
      <c r="S707" s="29"/>
      <c r="T707" s="476"/>
      <c r="U707" s="29"/>
      <c r="V707" s="2"/>
      <c r="W707" s="29"/>
      <c r="X707" s="2"/>
      <c r="Y707" s="29"/>
    </row>
    <row x14ac:dyDescent="0.25" r="708" customHeight="1" ht="15.75">
      <c r="A708" s="502"/>
      <c r="B708" s="34"/>
      <c r="C708" s="34"/>
      <c r="D708" s="34"/>
      <c r="E708" s="34"/>
      <c r="F708" s="34"/>
      <c r="G708" s="34"/>
      <c r="H708" s="34"/>
      <c r="I708" s="29"/>
      <c r="J708" s="29"/>
      <c r="K708" s="29"/>
      <c r="L708" s="29"/>
      <c r="M708" s="34"/>
      <c r="N708" s="34"/>
      <c r="O708" s="29"/>
      <c r="P708" s="29"/>
      <c r="Q708" s="29"/>
      <c r="R708" s="29"/>
      <c r="S708" s="29"/>
      <c r="T708" s="476"/>
      <c r="U708" s="29"/>
      <c r="V708" s="2"/>
      <c r="W708" s="29"/>
      <c r="X708" s="2"/>
      <c r="Y708" s="29"/>
    </row>
    <row x14ac:dyDescent="0.25" r="709" customHeight="1" ht="15.75">
      <c r="A709" s="502"/>
      <c r="B709" s="34"/>
      <c r="C709" s="34"/>
      <c r="D709" s="34"/>
      <c r="E709" s="34"/>
      <c r="F709" s="34"/>
      <c r="G709" s="34"/>
      <c r="H709" s="34"/>
      <c r="I709" s="29"/>
      <c r="J709" s="29"/>
      <c r="K709" s="29"/>
      <c r="L709" s="29"/>
      <c r="M709" s="34"/>
      <c r="N709" s="34"/>
      <c r="O709" s="29"/>
      <c r="P709" s="29"/>
      <c r="Q709" s="29"/>
      <c r="R709" s="29"/>
      <c r="S709" s="29"/>
      <c r="T709" s="476"/>
      <c r="U709" s="29"/>
      <c r="V709" s="2"/>
      <c r="W709" s="29"/>
      <c r="X709" s="2"/>
      <c r="Y709" s="29"/>
    </row>
    <row x14ac:dyDescent="0.25" r="710" customHeight="1" ht="15.75">
      <c r="A710" s="502"/>
      <c r="B710" s="34"/>
      <c r="C710" s="34"/>
      <c r="D710" s="34"/>
      <c r="E710" s="34"/>
      <c r="F710" s="34"/>
      <c r="G710" s="34"/>
      <c r="H710" s="34"/>
      <c r="I710" s="29"/>
      <c r="J710" s="29"/>
      <c r="K710" s="29"/>
      <c r="L710" s="29"/>
      <c r="M710" s="34"/>
      <c r="N710" s="34"/>
      <c r="O710" s="29"/>
      <c r="P710" s="29"/>
      <c r="Q710" s="29"/>
      <c r="R710" s="29"/>
      <c r="S710" s="29"/>
      <c r="T710" s="476"/>
      <c r="U710" s="29"/>
      <c r="V710" s="2"/>
      <c r="W710" s="29"/>
      <c r="X710" s="2"/>
      <c r="Y710" s="29"/>
    </row>
    <row x14ac:dyDescent="0.25" r="711" customHeight="1" ht="15.75">
      <c r="A711" s="502"/>
      <c r="B711" s="34"/>
      <c r="C711" s="34"/>
      <c r="D711" s="34"/>
      <c r="E711" s="34"/>
      <c r="F711" s="34"/>
      <c r="G711" s="34"/>
      <c r="H711" s="34"/>
      <c r="I711" s="29"/>
      <c r="J711" s="29"/>
      <c r="K711" s="29"/>
      <c r="L711" s="29"/>
      <c r="M711" s="34"/>
      <c r="N711" s="34"/>
      <c r="O711" s="29"/>
      <c r="P711" s="29"/>
      <c r="Q711" s="29"/>
      <c r="R711" s="29"/>
      <c r="S711" s="29"/>
      <c r="T711" s="476"/>
      <c r="U711" s="29"/>
      <c r="V711" s="2"/>
      <c r="W711" s="29"/>
      <c r="X711" s="2"/>
      <c r="Y711" s="29"/>
    </row>
    <row x14ac:dyDescent="0.25" r="712" customHeight="1" ht="15.75">
      <c r="A712" s="502"/>
      <c r="B712" s="34"/>
      <c r="C712" s="34"/>
      <c r="D712" s="34"/>
      <c r="E712" s="34"/>
      <c r="F712" s="34"/>
      <c r="G712" s="34"/>
      <c r="H712" s="34"/>
      <c r="I712" s="29"/>
      <c r="J712" s="29"/>
      <c r="K712" s="29"/>
      <c r="L712" s="29"/>
      <c r="M712" s="34"/>
      <c r="N712" s="34"/>
      <c r="O712" s="29"/>
      <c r="P712" s="29"/>
      <c r="Q712" s="29"/>
      <c r="R712" s="29"/>
      <c r="S712" s="29"/>
      <c r="T712" s="476"/>
      <c r="U712" s="29"/>
      <c r="V712" s="2"/>
      <c r="W712" s="29"/>
      <c r="X712" s="2"/>
      <c r="Y712" s="29"/>
    </row>
    <row x14ac:dyDescent="0.25" r="713" customHeight="1" ht="15.75">
      <c r="A713" s="502"/>
      <c r="B713" s="34"/>
      <c r="C713" s="34"/>
      <c r="D713" s="34"/>
      <c r="E713" s="34"/>
      <c r="F713" s="34"/>
      <c r="G713" s="34"/>
      <c r="H713" s="34"/>
      <c r="I713" s="29"/>
      <c r="J713" s="29"/>
      <c r="K713" s="29"/>
      <c r="L713" s="29"/>
      <c r="M713" s="34"/>
      <c r="N713" s="34"/>
      <c r="O713" s="29"/>
      <c r="P713" s="29"/>
      <c r="Q713" s="29"/>
      <c r="R713" s="29"/>
      <c r="S713" s="29"/>
      <c r="T713" s="476"/>
      <c r="U713" s="29"/>
      <c r="V713" s="2"/>
      <c r="W713" s="29"/>
      <c r="X713" s="2"/>
      <c r="Y713" s="29"/>
    </row>
    <row x14ac:dyDescent="0.25" r="714" customHeight="1" ht="15.75">
      <c r="A714" s="502"/>
      <c r="B714" s="34"/>
      <c r="C714" s="34"/>
      <c r="D714" s="34"/>
      <c r="E714" s="34"/>
      <c r="F714" s="34"/>
      <c r="G714" s="34"/>
      <c r="H714" s="34"/>
      <c r="I714" s="29"/>
      <c r="J714" s="29"/>
      <c r="K714" s="29"/>
      <c r="L714" s="29"/>
      <c r="M714" s="34"/>
      <c r="N714" s="34"/>
      <c r="O714" s="29"/>
      <c r="P714" s="29"/>
      <c r="Q714" s="29"/>
      <c r="R714" s="29"/>
      <c r="S714" s="29"/>
      <c r="T714" s="476"/>
      <c r="U714" s="29"/>
      <c r="V714" s="2"/>
      <c r="W714" s="29"/>
      <c r="X714" s="2"/>
      <c r="Y714" s="29"/>
    </row>
    <row x14ac:dyDescent="0.25" r="715" customHeight="1" ht="15.75">
      <c r="A715" s="502"/>
      <c r="B715" s="34"/>
      <c r="C715" s="34"/>
      <c r="D715" s="34"/>
      <c r="E715" s="34"/>
      <c r="F715" s="34"/>
      <c r="G715" s="34"/>
      <c r="H715" s="34"/>
      <c r="I715" s="29"/>
      <c r="J715" s="29"/>
      <c r="K715" s="29"/>
      <c r="L715" s="29"/>
      <c r="M715" s="34"/>
      <c r="N715" s="34"/>
      <c r="O715" s="29"/>
      <c r="P715" s="29"/>
      <c r="Q715" s="29"/>
      <c r="R715" s="29"/>
      <c r="S715" s="29"/>
      <c r="T715" s="476"/>
      <c r="U715" s="29"/>
      <c r="V715" s="2"/>
      <c r="W715" s="29"/>
      <c r="X715" s="2"/>
      <c r="Y715" s="29"/>
    </row>
    <row x14ac:dyDescent="0.25" r="716" customHeight="1" ht="15.75">
      <c r="A716" s="502"/>
      <c r="B716" s="34"/>
      <c r="C716" s="34"/>
      <c r="D716" s="34"/>
      <c r="E716" s="34"/>
      <c r="F716" s="34"/>
      <c r="G716" s="34"/>
      <c r="H716" s="34"/>
      <c r="I716" s="29"/>
      <c r="J716" s="29"/>
      <c r="K716" s="29"/>
      <c r="L716" s="29"/>
      <c r="M716" s="34"/>
      <c r="N716" s="34"/>
      <c r="O716" s="29"/>
      <c r="P716" s="29"/>
      <c r="Q716" s="29"/>
      <c r="R716" s="29"/>
      <c r="S716" s="29"/>
      <c r="T716" s="476"/>
      <c r="U716" s="29"/>
      <c r="V716" s="2"/>
      <c r="W716" s="29"/>
      <c r="X716" s="2"/>
      <c r="Y716" s="29"/>
    </row>
    <row x14ac:dyDescent="0.25" r="717" customHeight="1" ht="15.75">
      <c r="A717" s="502"/>
      <c r="B717" s="34"/>
      <c r="C717" s="34"/>
      <c r="D717" s="34"/>
      <c r="E717" s="34"/>
      <c r="F717" s="34"/>
      <c r="G717" s="34"/>
      <c r="H717" s="34"/>
      <c r="I717" s="29"/>
      <c r="J717" s="29"/>
      <c r="K717" s="29"/>
      <c r="L717" s="29"/>
      <c r="M717" s="34"/>
      <c r="N717" s="34"/>
      <c r="O717" s="29"/>
      <c r="P717" s="29"/>
      <c r="Q717" s="29"/>
      <c r="R717" s="29"/>
      <c r="S717" s="29"/>
      <c r="T717" s="476"/>
      <c r="U717" s="29"/>
      <c r="V717" s="2"/>
      <c r="W717" s="29"/>
      <c r="X717" s="2"/>
      <c r="Y717" s="29"/>
    </row>
    <row x14ac:dyDescent="0.25" r="718" customHeight="1" ht="15.75">
      <c r="A718" s="502"/>
      <c r="B718" s="34"/>
      <c r="C718" s="34"/>
      <c r="D718" s="34"/>
      <c r="E718" s="34"/>
      <c r="F718" s="34"/>
      <c r="G718" s="34"/>
      <c r="H718" s="34"/>
      <c r="I718" s="29"/>
      <c r="J718" s="29"/>
      <c r="K718" s="29"/>
      <c r="L718" s="29"/>
      <c r="M718" s="34"/>
      <c r="N718" s="34"/>
      <c r="O718" s="29"/>
      <c r="P718" s="29"/>
      <c r="Q718" s="29"/>
      <c r="R718" s="29"/>
      <c r="S718" s="29"/>
      <c r="T718" s="476"/>
      <c r="U718" s="29"/>
      <c r="V718" s="2"/>
      <c r="W718" s="29"/>
      <c r="X718" s="2"/>
      <c r="Y718" s="29"/>
    </row>
    <row x14ac:dyDescent="0.25" r="719" customHeight="1" ht="15.75">
      <c r="A719" s="502"/>
      <c r="B719" s="34"/>
      <c r="C719" s="34"/>
      <c r="D719" s="34"/>
      <c r="E719" s="34"/>
      <c r="F719" s="34"/>
      <c r="G719" s="34"/>
      <c r="H719" s="34"/>
      <c r="I719" s="29"/>
      <c r="J719" s="29"/>
      <c r="K719" s="29"/>
      <c r="L719" s="29"/>
      <c r="M719" s="34"/>
      <c r="N719" s="34"/>
      <c r="O719" s="29"/>
      <c r="P719" s="29"/>
      <c r="Q719" s="29"/>
      <c r="R719" s="29"/>
      <c r="S719" s="29"/>
      <c r="T719" s="476"/>
      <c r="U719" s="29"/>
      <c r="V719" s="2"/>
      <c r="W719" s="29"/>
      <c r="X719" s="2"/>
      <c r="Y719" s="29"/>
    </row>
    <row x14ac:dyDescent="0.25" r="720" customHeight="1" ht="15.75">
      <c r="A720" s="502"/>
      <c r="B720" s="34"/>
      <c r="C720" s="34"/>
      <c r="D720" s="34"/>
      <c r="E720" s="34"/>
      <c r="F720" s="34"/>
      <c r="G720" s="34"/>
      <c r="H720" s="34"/>
      <c r="I720" s="29"/>
      <c r="J720" s="29"/>
      <c r="K720" s="29"/>
      <c r="L720" s="29"/>
      <c r="M720" s="34"/>
      <c r="N720" s="34"/>
      <c r="O720" s="29"/>
      <c r="P720" s="29"/>
      <c r="Q720" s="29"/>
      <c r="R720" s="29"/>
      <c r="S720" s="29"/>
      <c r="T720" s="476"/>
      <c r="U720" s="29"/>
      <c r="V720" s="2"/>
      <c r="W720" s="29"/>
      <c r="X720" s="2"/>
      <c r="Y720" s="29"/>
    </row>
    <row x14ac:dyDescent="0.25" r="721" customHeight="1" ht="15.75">
      <c r="A721" s="502"/>
      <c r="B721" s="34"/>
      <c r="C721" s="34"/>
      <c r="D721" s="34"/>
      <c r="E721" s="34"/>
      <c r="F721" s="34"/>
      <c r="G721" s="34"/>
      <c r="H721" s="34"/>
      <c r="I721" s="29"/>
      <c r="J721" s="29"/>
      <c r="K721" s="29"/>
      <c r="L721" s="29"/>
      <c r="M721" s="34"/>
      <c r="N721" s="34"/>
      <c r="O721" s="29"/>
      <c r="P721" s="29"/>
      <c r="Q721" s="29"/>
      <c r="R721" s="29"/>
      <c r="S721" s="29"/>
      <c r="T721" s="476"/>
      <c r="U721" s="29"/>
      <c r="V721" s="2"/>
      <c r="W721" s="29"/>
      <c r="X721" s="2"/>
      <c r="Y721" s="29"/>
    </row>
    <row x14ac:dyDescent="0.25" r="722" customHeight="1" ht="15.75">
      <c r="A722" s="502"/>
      <c r="B722" s="34"/>
      <c r="C722" s="34"/>
      <c r="D722" s="34"/>
      <c r="E722" s="34"/>
      <c r="F722" s="34"/>
      <c r="G722" s="34"/>
      <c r="H722" s="34"/>
      <c r="I722" s="29"/>
      <c r="J722" s="29"/>
      <c r="K722" s="29"/>
      <c r="L722" s="29"/>
      <c r="M722" s="34"/>
      <c r="N722" s="34"/>
      <c r="O722" s="29"/>
      <c r="P722" s="29"/>
      <c r="Q722" s="29"/>
      <c r="R722" s="29"/>
      <c r="S722" s="29"/>
      <c r="T722" s="476"/>
      <c r="U722" s="29"/>
      <c r="V722" s="2"/>
      <c r="W722" s="29"/>
      <c r="X722" s="2"/>
      <c r="Y722" s="29"/>
    </row>
    <row x14ac:dyDescent="0.25" r="723" customHeight="1" ht="15.75">
      <c r="A723" s="502"/>
      <c r="B723" s="34"/>
      <c r="C723" s="34"/>
      <c r="D723" s="34"/>
      <c r="E723" s="34"/>
      <c r="F723" s="34"/>
      <c r="G723" s="34"/>
      <c r="H723" s="34"/>
      <c r="I723" s="29"/>
      <c r="J723" s="29"/>
      <c r="K723" s="29"/>
      <c r="L723" s="29"/>
      <c r="M723" s="34"/>
      <c r="N723" s="34"/>
      <c r="O723" s="29"/>
      <c r="P723" s="29"/>
      <c r="Q723" s="29"/>
      <c r="R723" s="29"/>
      <c r="S723" s="29"/>
      <c r="T723" s="476"/>
      <c r="U723" s="29"/>
      <c r="V723" s="2"/>
      <c r="W723" s="29"/>
      <c r="X723" s="2"/>
      <c r="Y723" s="29"/>
    </row>
    <row x14ac:dyDescent="0.25" r="724" customHeight="1" ht="15.75">
      <c r="A724" s="502"/>
      <c r="B724" s="34"/>
      <c r="C724" s="34"/>
      <c r="D724" s="34"/>
      <c r="E724" s="34"/>
      <c r="F724" s="34"/>
      <c r="G724" s="34"/>
      <c r="H724" s="34"/>
      <c r="I724" s="29"/>
      <c r="J724" s="29"/>
      <c r="K724" s="29"/>
      <c r="L724" s="29"/>
      <c r="M724" s="34"/>
      <c r="N724" s="34"/>
      <c r="O724" s="29"/>
      <c r="P724" s="29"/>
      <c r="Q724" s="29"/>
      <c r="R724" s="29"/>
      <c r="S724" s="29"/>
      <c r="T724" s="476"/>
      <c r="U724" s="29"/>
      <c r="V724" s="2"/>
      <c r="W724" s="29"/>
      <c r="X724" s="2"/>
      <c r="Y724" s="29"/>
    </row>
    <row x14ac:dyDescent="0.25" r="725" customHeight="1" ht="15.75">
      <c r="A725" s="502"/>
      <c r="B725" s="34"/>
      <c r="C725" s="34"/>
      <c r="D725" s="34"/>
      <c r="E725" s="34"/>
      <c r="F725" s="34"/>
      <c r="G725" s="34"/>
      <c r="H725" s="34"/>
      <c r="I725" s="29"/>
      <c r="J725" s="29"/>
      <c r="K725" s="29"/>
      <c r="L725" s="29"/>
      <c r="M725" s="34"/>
      <c r="N725" s="34"/>
      <c r="O725" s="29"/>
      <c r="P725" s="29"/>
      <c r="Q725" s="29"/>
      <c r="R725" s="29"/>
      <c r="S725" s="29"/>
      <c r="T725" s="476"/>
      <c r="U725" s="29"/>
      <c r="V725" s="2"/>
      <c r="W725" s="29"/>
      <c r="X725" s="2"/>
      <c r="Y725" s="29"/>
    </row>
    <row x14ac:dyDescent="0.25" r="726" customHeight="1" ht="15.75">
      <c r="A726" s="502"/>
      <c r="B726" s="34"/>
      <c r="C726" s="34"/>
      <c r="D726" s="34"/>
      <c r="E726" s="34"/>
      <c r="F726" s="34"/>
      <c r="G726" s="34"/>
      <c r="H726" s="34"/>
      <c r="I726" s="29"/>
      <c r="J726" s="29"/>
      <c r="K726" s="29"/>
      <c r="L726" s="29"/>
      <c r="M726" s="34"/>
      <c r="N726" s="34"/>
      <c r="O726" s="29"/>
      <c r="P726" s="29"/>
      <c r="Q726" s="29"/>
      <c r="R726" s="29"/>
      <c r="S726" s="29"/>
      <c r="T726" s="476"/>
      <c r="U726" s="29"/>
      <c r="V726" s="2"/>
      <c r="W726" s="29"/>
      <c r="X726" s="2"/>
      <c r="Y726" s="29"/>
    </row>
    <row x14ac:dyDescent="0.25" r="727" customHeight="1" ht="15.75">
      <c r="A727" s="502"/>
      <c r="B727" s="34"/>
      <c r="C727" s="34"/>
      <c r="D727" s="34"/>
      <c r="E727" s="34"/>
      <c r="F727" s="34"/>
      <c r="G727" s="34"/>
      <c r="H727" s="34"/>
      <c r="I727" s="29"/>
      <c r="J727" s="29"/>
      <c r="K727" s="29"/>
      <c r="L727" s="29"/>
      <c r="M727" s="34"/>
      <c r="N727" s="34"/>
      <c r="O727" s="29"/>
      <c r="P727" s="29"/>
      <c r="Q727" s="29"/>
      <c r="R727" s="29"/>
      <c r="S727" s="29"/>
      <c r="T727" s="476"/>
      <c r="U727" s="29"/>
      <c r="V727" s="2"/>
      <c r="W727" s="29"/>
      <c r="X727" s="2"/>
      <c r="Y727" s="29"/>
    </row>
    <row x14ac:dyDescent="0.25" r="728" customHeight="1" ht="15.75">
      <c r="A728" s="502"/>
      <c r="B728" s="34"/>
      <c r="C728" s="34"/>
      <c r="D728" s="34"/>
      <c r="E728" s="34"/>
      <c r="F728" s="34"/>
      <c r="G728" s="34"/>
      <c r="H728" s="34"/>
      <c r="I728" s="29"/>
      <c r="J728" s="29"/>
      <c r="K728" s="29"/>
      <c r="L728" s="29"/>
      <c r="M728" s="34"/>
      <c r="N728" s="34"/>
      <c r="O728" s="29"/>
      <c r="P728" s="29"/>
      <c r="Q728" s="29"/>
      <c r="R728" s="29"/>
      <c r="S728" s="29"/>
      <c r="T728" s="476"/>
      <c r="U728" s="29"/>
      <c r="V728" s="2"/>
      <c r="W728" s="29"/>
      <c r="X728" s="2"/>
      <c r="Y728" s="29"/>
    </row>
    <row x14ac:dyDescent="0.25" r="729" customHeight="1" ht="15.75">
      <c r="A729" s="502"/>
      <c r="B729" s="34"/>
      <c r="C729" s="34"/>
      <c r="D729" s="34"/>
      <c r="E729" s="34"/>
      <c r="F729" s="34"/>
      <c r="G729" s="34"/>
      <c r="H729" s="34"/>
      <c r="I729" s="29"/>
      <c r="J729" s="29"/>
      <c r="K729" s="29"/>
      <c r="L729" s="29"/>
      <c r="M729" s="34"/>
      <c r="N729" s="34"/>
      <c r="O729" s="29"/>
      <c r="P729" s="29"/>
      <c r="Q729" s="29"/>
      <c r="R729" s="29"/>
      <c r="S729" s="29"/>
      <c r="T729" s="476"/>
      <c r="U729" s="29"/>
      <c r="V729" s="2"/>
      <c r="W729" s="29"/>
      <c r="X729" s="2"/>
      <c r="Y729" s="29"/>
    </row>
    <row x14ac:dyDescent="0.25" r="730" customHeight="1" ht="15.75">
      <c r="A730" s="502"/>
      <c r="B730" s="34"/>
      <c r="C730" s="34"/>
      <c r="D730" s="34"/>
      <c r="E730" s="34"/>
      <c r="F730" s="34"/>
      <c r="G730" s="34"/>
      <c r="H730" s="34"/>
      <c r="I730" s="29"/>
      <c r="J730" s="29"/>
      <c r="K730" s="29"/>
      <c r="L730" s="29"/>
      <c r="M730" s="34"/>
      <c r="N730" s="34"/>
      <c r="O730" s="29"/>
      <c r="P730" s="29"/>
      <c r="Q730" s="29"/>
      <c r="R730" s="29"/>
      <c r="S730" s="29"/>
      <c r="T730" s="476"/>
      <c r="U730" s="29"/>
      <c r="V730" s="2"/>
      <c r="W730" s="29"/>
      <c r="X730" s="2"/>
      <c r="Y730" s="29"/>
    </row>
    <row x14ac:dyDescent="0.25" r="731" customHeight="1" ht="15.75">
      <c r="A731" s="502"/>
      <c r="B731" s="34"/>
      <c r="C731" s="34"/>
      <c r="D731" s="34"/>
      <c r="E731" s="34"/>
      <c r="F731" s="34"/>
      <c r="G731" s="34"/>
      <c r="H731" s="34"/>
      <c r="I731" s="29"/>
      <c r="J731" s="29"/>
      <c r="K731" s="29"/>
      <c r="L731" s="29"/>
      <c r="M731" s="34"/>
      <c r="N731" s="34"/>
      <c r="O731" s="29"/>
      <c r="P731" s="29"/>
      <c r="Q731" s="29"/>
      <c r="R731" s="29"/>
      <c r="S731" s="29"/>
      <c r="T731" s="476"/>
      <c r="U731" s="29"/>
      <c r="V731" s="2"/>
      <c r="W731" s="29"/>
      <c r="X731" s="2"/>
      <c r="Y731" s="29"/>
    </row>
    <row x14ac:dyDescent="0.25" r="732" customHeight="1" ht="15.75">
      <c r="A732" s="502"/>
      <c r="B732" s="34"/>
      <c r="C732" s="34"/>
      <c r="D732" s="34"/>
      <c r="E732" s="34"/>
      <c r="F732" s="34"/>
      <c r="G732" s="34"/>
      <c r="H732" s="34"/>
      <c r="I732" s="29"/>
      <c r="J732" s="29"/>
      <c r="K732" s="29"/>
      <c r="L732" s="29"/>
      <c r="M732" s="34"/>
      <c r="N732" s="34"/>
      <c r="O732" s="29"/>
      <c r="P732" s="29"/>
      <c r="Q732" s="29"/>
      <c r="R732" s="29"/>
      <c r="S732" s="29"/>
      <c r="T732" s="476"/>
      <c r="U732" s="29"/>
      <c r="V732" s="2"/>
      <c r="W732" s="29"/>
      <c r="X732" s="2"/>
      <c r="Y732" s="29"/>
    </row>
    <row x14ac:dyDescent="0.25" r="733" customHeight="1" ht="15.75">
      <c r="A733" s="502"/>
      <c r="B733" s="34"/>
      <c r="C733" s="34"/>
      <c r="D733" s="34"/>
      <c r="E733" s="34"/>
      <c r="F733" s="34"/>
      <c r="G733" s="34"/>
      <c r="H733" s="34"/>
      <c r="I733" s="29"/>
      <c r="J733" s="29"/>
      <c r="K733" s="29"/>
      <c r="L733" s="29"/>
      <c r="M733" s="34"/>
      <c r="N733" s="34"/>
      <c r="O733" s="29"/>
      <c r="P733" s="29"/>
      <c r="Q733" s="29"/>
      <c r="R733" s="29"/>
      <c r="S733" s="29"/>
      <c r="T733" s="476"/>
      <c r="U733" s="29"/>
      <c r="V733" s="2"/>
      <c r="W733" s="29"/>
      <c r="X733" s="2"/>
      <c r="Y733" s="29"/>
    </row>
    <row x14ac:dyDescent="0.25" r="734" customHeight="1" ht="15.75">
      <c r="A734" s="502"/>
      <c r="B734" s="34"/>
      <c r="C734" s="34"/>
      <c r="D734" s="34"/>
      <c r="E734" s="34"/>
      <c r="F734" s="34"/>
      <c r="G734" s="34"/>
      <c r="H734" s="34"/>
      <c r="I734" s="29"/>
      <c r="J734" s="29"/>
      <c r="K734" s="29"/>
      <c r="L734" s="29"/>
      <c r="M734" s="34"/>
      <c r="N734" s="34"/>
      <c r="O734" s="29"/>
      <c r="P734" s="29"/>
      <c r="Q734" s="29"/>
      <c r="R734" s="29"/>
      <c r="S734" s="29"/>
      <c r="T734" s="476"/>
      <c r="U734" s="29"/>
      <c r="V734" s="2"/>
      <c r="W734" s="29"/>
      <c r="X734" s="2"/>
      <c r="Y734" s="29"/>
    </row>
    <row x14ac:dyDescent="0.25" r="735" customHeight="1" ht="15.75">
      <c r="A735" s="502"/>
      <c r="B735" s="34"/>
      <c r="C735" s="34"/>
      <c r="D735" s="34"/>
      <c r="E735" s="34"/>
      <c r="F735" s="34"/>
      <c r="G735" s="34"/>
      <c r="H735" s="34"/>
      <c r="I735" s="29"/>
      <c r="J735" s="29"/>
      <c r="K735" s="29"/>
      <c r="L735" s="29"/>
      <c r="M735" s="34"/>
      <c r="N735" s="34"/>
      <c r="O735" s="29"/>
      <c r="P735" s="29"/>
      <c r="Q735" s="29"/>
      <c r="R735" s="29"/>
      <c r="S735" s="29"/>
      <c r="T735" s="476"/>
      <c r="U735" s="29"/>
      <c r="V735" s="2"/>
      <c r="W735" s="29"/>
      <c r="X735" s="2"/>
      <c r="Y735" s="29"/>
    </row>
    <row x14ac:dyDescent="0.25" r="736" customHeight="1" ht="15.75">
      <c r="A736" s="502"/>
      <c r="B736" s="34"/>
      <c r="C736" s="34"/>
      <c r="D736" s="34"/>
      <c r="E736" s="34"/>
      <c r="F736" s="34"/>
      <c r="G736" s="34"/>
      <c r="H736" s="34"/>
      <c r="I736" s="29"/>
      <c r="J736" s="29"/>
      <c r="K736" s="29"/>
      <c r="L736" s="29"/>
      <c r="M736" s="34"/>
      <c r="N736" s="34"/>
      <c r="O736" s="29"/>
      <c r="P736" s="29"/>
      <c r="Q736" s="29"/>
      <c r="R736" s="29"/>
      <c r="S736" s="29"/>
      <c r="T736" s="476"/>
      <c r="U736" s="29"/>
      <c r="V736" s="2"/>
      <c r="W736" s="29"/>
      <c r="X736" s="2"/>
      <c r="Y736" s="29"/>
    </row>
    <row x14ac:dyDescent="0.25" r="737" customHeight="1" ht="15.75">
      <c r="A737" s="502"/>
      <c r="B737" s="34"/>
      <c r="C737" s="34"/>
      <c r="D737" s="34"/>
      <c r="E737" s="34"/>
      <c r="F737" s="34"/>
      <c r="G737" s="34"/>
      <c r="H737" s="34"/>
      <c r="I737" s="29"/>
      <c r="J737" s="29"/>
      <c r="K737" s="29"/>
      <c r="L737" s="29"/>
      <c r="M737" s="34"/>
      <c r="N737" s="34"/>
      <c r="O737" s="29"/>
      <c r="P737" s="29"/>
      <c r="Q737" s="29"/>
      <c r="R737" s="29"/>
      <c r="S737" s="29"/>
      <c r="T737" s="476"/>
      <c r="U737" s="29"/>
      <c r="V737" s="2"/>
      <c r="W737" s="29"/>
      <c r="X737" s="2"/>
      <c r="Y737" s="29"/>
    </row>
    <row x14ac:dyDescent="0.25" r="738" customHeight="1" ht="15.75">
      <c r="A738" s="502"/>
      <c r="B738" s="34"/>
      <c r="C738" s="34"/>
      <c r="D738" s="34"/>
      <c r="E738" s="34"/>
      <c r="F738" s="34"/>
      <c r="G738" s="34"/>
      <c r="H738" s="34"/>
      <c r="I738" s="29"/>
      <c r="J738" s="29"/>
      <c r="K738" s="29"/>
      <c r="L738" s="29"/>
      <c r="M738" s="34"/>
      <c r="N738" s="34"/>
      <c r="O738" s="29"/>
      <c r="P738" s="29"/>
      <c r="Q738" s="29"/>
      <c r="R738" s="29"/>
      <c r="S738" s="29"/>
      <c r="T738" s="476"/>
      <c r="U738" s="29"/>
      <c r="V738" s="2"/>
      <c r="W738" s="29"/>
      <c r="X738" s="2"/>
      <c r="Y738" s="29"/>
    </row>
    <row x14ac:dyDescent="0.25" r="739" customHeight="1" ht="15.75">
      <c r="A739" s="502"/>
      <c r="B739" s="34"/>
      <c r="C739" s="34"/>
      <c r="D739" s="34"/>
      <c r="E739" s="34"/>
      <c r="F739" s="34"/>
      <c r="G739" s="34"/>
      <c r="H739" s="34"/>
      <c r="I739" s="29"/>
      <c r="J739" s="29"/>
      <c r="K739" s="29"/>
      <c r="L739" s="29"/>
      <c r="M739" s="34"/>
      <c r="N739" s="34"/>
      <c r="O739" s="29"/>
      <c r="P739" s="29"/>
      <c r="Q739" s="29"/>
      <c r="R739" s="29"/>
      <c r="S739" s="29"/>
      <c r="T739" s="476"/>
      <c r="U739" s="29"/>
      <c r="V739" s="2"/>
      <c r="W739" s="29"/>
      <c r="X739" s="2"/>
      <c r="Y739" s="29"/>
    </row>
    <row x14ac:dyDescent="0.25" r="740" customHeight="1" ht="15.75">
      <c r="A740" s="502"/>
      <c r="B740" s="34"/>
      <c r="C740" s="34"/>
      <c r="D740" s="34"/>
      <c r="E740" s="34"/>
      <c r="F740" s="34"/>
      <c r="G740" s="34"/>
      <c r="H740" s="34"/>
      <c r="I740" s="29"/>
      <c r="J740" s="29"/>
      <c r="K740" s="29"/>
      <c r="L740" s="29"/>
      <c r="M740" s="34"/>
      <c r="N740" s="34"/>
      <c r="O740" s="29"/>
      <c r="P740" s="29"/>
      <c r="Q740" s="29"/>
      <c r="R740" s="29"/>
      <c r="S740" s="29"/>
      <c r="T740" s="476"/>
      <c r="U740" s="29"/>
      <c r="V740" s="2"/>
      <c r="W740" s="29"/>
      <c r="X740" s="2"/>
      <c r="Y740" s="29"/>
    </row>
    <row x14ac:dyDescent="0.25" r="741" customHeight="1" ht="15.75">
      <c r="A741" s="502"/>
      <c r="B741" s="34"/>
      <c r="C741" s="34"/>
      <c r="D741" s="34"/>
      <c r="E741" s="34"/>
      <c r="F741" s="34"/>
      <c r="G741" s="34"/>
      <c r="H741" s="34"/>
      <c r="I741" s="29"/>
      <c r="J741" s="29"/>
      <c r="K741" s="29"/>
      <c r="L741" s="29"/>
      <c r="M741" s="34"/>
      <c r="N741" s="34"/>
      <c r="O741" s="29"/>
      <c r="P741" s="29"/>
      <c r="Q741" s="29"/>
      <c r="R741" s="29"/>
      <c r="S741" s="29"/>
      <c r="T741" s="476"/>
      <c r="U741" s="29"/>
      <c r="V741" s="2"/>
      <c r="W741" s="29"/>
      <c r="X741" s="2"/>
      <c r="Y741" s="29"/>
    </row>
    <row x14ac:dyDescent="0.25" r="742" customHeight="1" ht="15.75">
      <c r="A742" s="502"/>
      <c r="B742" s="34"/>
      <c r="C742" s="34"/>
      <c r="D742" s="34"/>
      <c r="E742" s="34"/>
      <c r="F742" s="34"/>
      <c r="G742" s="34"/>
      <c r="H742" s="34"/>
      <c r="I742" s="29"/>
      <c r="J742" s="29"/>
      <c r="K742" s="29"/>
      <c r="L742" s="29"/>
      <c r="M742" s="34"/>
      <c r="N742" s="34"/>
      <c r="O742" s="29"/>
      <c r="P742" s="29"/>
      <c r="Q742" s="29"/>
      <c r="R742" s="29"/>
      <c r="S742" s="29"/>
      <c r="T742" s="476"/>
      <c r="U742" s="29"/>
      <c r="V742" s="2"/>
      <c r="W742" s="29"/>
      <c r="X742" s="2"/>
      <c r="Y742" s="29"/>
    </row>
    <row x14ac:dyDescent="0.25" r="743" customHeight="1" ht="15.75">
      <c r="A743" s="502"/>
      <c r="B743" s="34"/>
      <c r="C743" s="34"/>
      <c r="D743" s="34"/>
      <c r="E743" s="34"/>
      <c r="F743" s="34"/>
      <c r="G743" s="34"/>
      <c r="H743" s="34"/>
      <c r="I743" s="29"/>
      <c r="J743" s="29"/>
      <c r="K743" s="29"/>
      <c r="L743" s="29"/>
      <c r="M743" s="34"/>
      <c r="N743" s="34"/>
      <c r="O743" s="29"/>
      <c r="P743" s="29"/>
      <c r="Q743" s="29"/>
      <c r="R743" s="29"/>
      <c r="S743" s="29"/>
      <c r="T743" s="476"/>
      <c r="U743" s="29"/>
      <c r="V743" s="2"/>
      <c r="W743" s="29"/>
      <c r="X743" s="2"/>
      <c r="Y743" s="29"/>
    </row>
    <row x14ac:dyDescent="0.25" r="744" customHeight="1" ht="15.75">
      <c r="A744" s="502"/>
      <c r="B744" s="34"/>
      <c r="C744" s="34"/>
      <c r="D744" s="34"/>
      <c r="E744" s="34"/>
      <c r="F744" s="34"/>
      <c r="G744" s="34"/>
      <c r="H744" s="34"/>
      <c r="I744" s="29"/>
      <c r="J744" s="29"/>
      <c r="K744" s="29"/>
      <c r="L744" s="29"/>
      <c r="M744" s="34"/>
      <c r="N744" s="34"/>
      <c r="O744" s="29"/>
      <c r="P744" s="29"/>
      <c r="Q744" s="29"/>
      <c r="R744" s="29"/>
      <c r="S744" s="29"/>
      <c r="T744" s="476"/>
      <c r="U744" s="29"/>
      <c r="V744" s="2"/>
      <c r="W744" s="29"/>
      <c r="X744" s="2"/>
      <c r="Y744" s="29"/>
    </row>
    <row x14ac:dyDescent="0.25" r="745" customHeight="1" ht="15.75">
      <c r="A745" s="502"/>
      <c r="B745" s="34"/>
      <c r="C745" s="34"/>
      <c r="D745" s="34"/>
      <c r="E745" s="34"/>
      <c r="F745" s="34"/>
      <c r="G745" s="34"/>
      <c r="H745" s="34"/>
      <c r="I745" s="29"/>
      <c r="J745" s="29"/>
      <c r="K745" s="29"/>
      <c r="L745" s="29"/>
      <c r="M745" s="34"/>
      <c r="N745" s="34"/>
      <c r="O745" s="29"/>
      <c r="P745" s="29"/>
      <c r="Q745" s="29"/>
      <c r="R745" s="29"/>
      <c r="S745" s="29"/>
      <c r="T745" s="476"/>
      <c r="U745" s="29"/>
      <c r="V745" s="2"/>
      <c r="W745" s="29"/>
      <c r="X745" s="2"/>
      <c r="Y745" s="29"/>
    </row>
    <row x14ac:dyDescent="0.25" r="746" customHeight="1" ht="15.75">
      <c r="A746" s="502"/>
      <c r="B746" s="34"/>
      <c r="C746" s="34"/>
      <c r="D746" s="34"/>
      <c r="E746" s="34"/>
      <c r="F746" s="34"/>
      <c r="G746" s="34"/>
      <c r="H746" s="34"/>
      <c r="I746" s="29"/>
      <c r="J746" s="29"/>
      <c r="K746" s="29"/>
      <c r="L746" s="29"/>
      <c r="M746" s="34"/>
      <c r="N746" s="34"/>
      <c r="O746" s="29"/>
      <c r="P746" s="29"/>
      <c r="Q746" s="29"/>
      <c r="R746" s="29"/>
      <c r="S746" s="29"/>
      <c r="T746" s="476"/>
      <c r="U746" s="29"/>
      <c r="V746" s="2"/>
      <c r="W746" s="29"/>
      <c r="X746" s="2"/>
      <c r="Y746" s="29"/>
    </row>
    <row x14ac:dyDescent="0.25" r="747" customHeight="1" ht="15.75">
      <c r="A747" s="502"/>
      <c r="B747" s="34"/>
      <c r="C747" s="34"/>
      <c r="D747" s="34"/>
      <c r="E747" s="34"/>
      <c r="F747" s="34"/>
      <c r="G747" s="34"/>
      <c r="H747" s="34"/>
      <c r="I747" s="29"/>
      <c r="J747" s="29"/>
      <c r="K747" s="29"/>
      <c r="L747" s="29"/>
      <c r="M747" s="34"/>
      <c r="N747" s="34"/>
      <c r="O747" s="29"/>
      <c r="P747" s="29"/>
      <c r="Q747" s="29"/>
      <c r="R747" s="29"/>
      <c r="S747" s="29"/>
      <c r="T747" s="476"/>
      <c r="U747" s="29"/>
      <c r="V747" s="2"/>
      <c r="W747" s="29"/>
      <c r="X747" s="2"/>
      <c r="Y747" s="29"/>
    </row>
    <row x14ac:dyDescent="0.25" r="748" customHeight="1" ht="15.75">
      <c r="A748" s="502"/>
      <c r="B748" s="34"/>
      <c r="C748" s="34"/>
      <c r="D748" s="34"/>
      <c r="E748" s="34"/>
      <c r="F748" s="34"/>
      <c r="G748" s="34"/>
      <c r="H748" s="34"/>
      <c r="I748" s="29"/>
      <c r="J748" s="29"/>
      <c r="K748" s="29"/>
      <c r="L748" s="29"/>
      <c r="M748" s="34"/>
      <c r="N748" s="34"/>
      <c r="O748" s="29"/>
      <c r="P748" s="29"/>
      <c r="Q748" s="29"/>
      <c r="R748" s="29"/>
      <c r="S748" s="29"/>
      <c r="T748" s="476"/>
      <c r="U748" s="29"/>
      <c r="V748" s="2"/>
      <c r="W748" s="29"/>
      <c r="X748" s="2"/>
      <c r="Y748" s="29"/>
    </row>
    <row x14ac:dyDescent="0.25" r="749" customHeight="1" ht="15.75">
      <c r="A749" s="502"/>
      <c r="B749" s="34"/>
      <c r="C749" s="34"/>
      <c r="D749" s="34"/>
      <c r="E749" s="34"/>
      <c r="F749" s="34"/>
      <c r="G749" s="34"/>
      <c r="H749" s="34"/>
      <c r="I749" s="29"/>
      <c r="J749" s="29"/>
      <c r="K749" s="29"/>
      <c r="L749" s="29"/>
      <c r="M749" s="34"/>
      <c r="N749" s="34"/>
      <c r="O749" s="29"/>
      <c r="P749" s="29"/>
      <c r="Q749" s="29"/>
      <c r="R749" s="29"/>
      <c r="S749" s="29"/>
      <c r="T749" s="476"/>
      <c r="U749" s="29"/>
      <c r="V749" s="2"/>
      <c r="W749" s="29"/>
      <c r="X749" s="2"/>
      <c r="Y749" s="29"/>
    </row>
    <row x14ac:dyDescent="0.25" r="750" customHeight="1" ht="15.75">
      <c r="A750" s="502"/>
      <c r="B750" s="34"/>
      <c r="C750" s="34"/>
      <c r="D750" s="34"/>
      <c r="E750" s="34"/>
      <c r="F750" s="34"/>
      <c r="G750" s="34"/>
      <c r="H750" s="34"/>
      <c r="I750" s="29"/>
      <c r="J750" s="29"/>
      <c r="K750" s="29"/>
      <c r="L750" s="29"/>
      <c r="M750" s="34"/>
      <c r="N750" s="34"/>
      <c r="O750" s="29"/>
      <c r="P750" s="29"/>
      <c r="Q750" s="29"/>
      <c r="R750" s="29"/>
      <c r="S750" s="29"/>
      <c r="T750" s="476"/>
      <c r="U750" s="29"/>
      <c r="V750" s="2"/>
      <c r="W750" s="29"/>
      <c r="X750" s="2"/>
      <c r="Y750" s="29"/>
    </row>
    <row x14ac:dyDescent="0.25" r="751" customHeight="1" ht="15.75">
      <c r="A751" s="502"/>
      <c r="B751" s="34"/>
      <c r="C751" s="34"/>
      <c r="D751" s="34"/>
      <c r="E751" s="34"/>
      <c r="F751" s="34"/>
      <c r="G751" s="34"/>
      <c r="H751" s="34"/>
      <c r="I751" s="29"/>
      <c r="J751" s="29"/>
      <c r="K751" s="29"/>
      <c r="L751" s="29"/>
      <c r="M751" s="34"/>
      <c r="N751" s="34"/>
      <c r="O751" s="29"/>
      <c r="P751" s="29"/>
      <c r="Q751" s="29"/>
      <c r="R751" s="29"/>
      <c r="S751" s="29"/>
      <c r="T751" s="476"/>
      <c r="U751" s="29"/>
      <c r="V751" s="2"/>
      <c r="W751" s="29"/>
      <c r="X751" s="2"/>
      <c r="Y751" s="29"/>
    </row>
    <row x14ac:dyDescent="0.25" r="752" customHeight="1" ht="15.75">
      <c r="A752" s="502"/>
      <c r="B752" s="34"/>
      <c r="C752" s="34"/>
      <c r="D752" s="34"/>
      <c r="E752" s="34"/>
      <c r="F752" s="34"/>
      <c r="G752" s="34"/>
      <c r="H752" s="34"/>
      <c r="I752" s="29"/>
      <c r="J752" s="29"/>
      <c r="K752" s="29"/>
      <c r="L752" s="29"/>
      <c r="M752" s="34"/>
      <c r="N752" s="34"/>
      <c r="O752" s="29"/>
      <c r="P752" s="29"/>
      <c r="Q752" s="29"/>
      <c r="R752" s="29"/>
      <c r="S752" s="29"/>
      <c r="T752" s="476"/>
      <c r="U752" s="29"/>
      <c r="V752" s="2"/>
      <c r="W752" s="29"/>
      <c r="X752" s="2"/>
      <c r="Y752" s="29"/>
    </row>
    <row x14ac:dyDescent="0.25" r="753" customHeight="1" ht="15.75">
      <c r="A753" s="502"/>
      <c r="B753" s="34"/>
      <c r="C753" s="34"/>
      <c r="D753" s="34"/>
      <c r="E753" s="34"/>
      <c r="F753" s="34"/>
      <c r="G753" s="34"/>
      <c r="H753" s="34"/>
      <c r="I753" s="29"/>
      <c r="J753" s="29"/>
      <c r="K753" s="29"/>
      <c r="L753" s="29"/>
      <c r="M753" s="34"/>
      <c r="N753" s="34"/>
      <c r="O753" s="29"/>
      <c r="P753" s="29"/>
      <c r="Q753" s="29"/>
      <c r="R753" s="29"/>
      <c r="S753" s="29"/>
      <c r="T753" s="476"/>
      <c r="U753" s="29"/>
      <c r="V753" s="2"/>
      <c r="W753" s="29"/>
      <c r="X753" s="2"/>
      <c r="Y753" s="29"/>
    </row>
    <row x14ac:dyDescent="0.25" r="754" customHeight="1" ht="15.75">
      <c r="A754" s="502"/>
      <c r="B754" s="34"/>
      <c r="C754" s="34"/>
      <c r="D754" s="34"/>
      <c r="E754" s="34"/>
      <c r="F754" s="34"/>
      <c r="G754" s="34"/>
      <c r="H754" s="34"/>
      <c r="I754" s="29"/>
      <c r="J754" s="29"/>
      <c r="K754" s="29"/>
      <c r="L754" s="29"/>
      <c r="M754" s="34"/>
      <c r="N754" s="34"/>
      <c r="O754" s="29"/>
      <c r="P754" s="29"/>
      <c r="Q754" s="29"/>
      <c r="R754" s="29"/>
      <c r="S754" s="29"/>
      <c r="T754" s="476"/>
      <c r="U754" s="29"/>
      <c r="V754" s="2"/>
      <c r="W754" s="29"/>
      <c r="X754" s="2"/>
      <c r="Y754" s="29"/>
    </row>
    <row x14ac:dyDescent="0.25" r="755" customHeight="1" ht="15.75">
      <c r="A755" s="502"/>
      <c r="B755" s="34"/>
      <c r="C755" s="34"/>
      <c r="D755" s="34"/>
      <c r="E755" s="34"/>
      <c r="F755" s="34"/>
      <c r="G755" s="34"/>
      <c r="H755" s="34"/>
      <c r="I755" s="29"/>
      <c r="J755" s="29"/>
      <c r="K755" s="29"/>
      <c r="L755" s="29"/>
      <c r="M755" s="34"/>
      <c r="N755" s="34"/>
      <c r="O755" s="29"/>
      <c r="P755" s="29"/>
      <c r="Q755" s="29"/>
      <c r="R755" s="29"/>
      <c r="S755" s="29"/>
      <c r="T755" s="476"/>
      <c r="U755" s="29"/>
      <c r="V755" s="2"/>
      <c r="W755" s="29"/>
      <c r="X755" s="2"/>
      <c r="Y755" s="29"/>
    </row>
    <row x14ac:dyDescent="0.25" r="756" customHeight="1" ht="15.75">
      <c r="A756" s="502"/>
      <c r="B756" s="34"/>
      <c r="C756" s="34"/>
      <c r="D756" s="34"/>
      <c r="E756" s="34"/>
      <c r="F756" s="34"/>
      <c r="G756" s="34"/>
      <c r="H756" s="34"/>
      <c r="I756" s="29"/>
      <c r="J756" s="29"/>
      <c r="K756" s="29"/>
      <c r="L756" s="29"/>
      <c r="M756" s="34"/>
      <c r="N756" s="34"/>
      <c r="O756" s="29"/>
      <c r="P756" s="29"/>
      <c r="Q756" s="29"/>
      <c r="R756" s="29"/>
      <c r="S756" s="29"/>
      <c r="T756" s="476"/>
      <c r="U756" s="29"/>
      <c r="V756" s="2"/>
      <c r="W756" s="29"/>
      <c r="X756" s="2"/>
      <c r="Y756" s="29"/>
    </row>
    <row x14ac:dyDescent="0.25" r="757" customHeight="1" ht="15.75">
      <c r="A757" s="502"/>
      <c r="B757" s="34"/>
      <c r="C757" s="34"/>
      <c r="D757" s="34"/>
      <c r="E757" s="34"/>
      <c r="F757" s="34"/>
      <c r="G757" s="34"/>
      <c r="H757" s="34"/>
      <c r="I757" s="29"/>
      <c r="J757" s="29"/>
      <c r="K757" s="29"/>
      <c r="L757" s="29"/>
      <c r="M757" s="34"/>
      <c r="N757" s="34"/>
      <c r="O757" s="29"/>
      <c r="P757" s="29"/>
      <c r="Q757" s="29"/>
      <c r="R757" s="29"/>
      <c r="S757" s="29"/>
      <c r="T757" s="476"/>
      <c r="U757" s="29"/>
      <c r="V757" s="2"/>
      <c r="W757" s="29"/>
      <c r="X757" s="2"/>
      <c r="Y757" s="29"/>
    </row>
    <row x14ac:dyDescent="0.25" r="758" customHeight="1" ht="15.75">
      <c r="A758" s="502"/>
      <c r="B758" s="34"/>
      <c r="C758" s="34"/>
      <c r="D758" s="34"/>
      <c r="E758" s="34"/>
      <c r="F758" s="34"/>
      <c r="G758" s="34"/>
      <c r="H758" s="34"/>
      <c r="I758" s="29"/>
      <c r="J758" s="29"/>
      <c r="K758" s="29"/>
      <c r="L758" s="29"/>
      <c r="M758" s="34"/>
      <c r="N758" s="34"/>
      <c r="O758" s="29"/>
      <c r="P758" s="29"/>
      <c r="Q758" s="29"/>
      <c r="R758" s="29"/>
      <c r="S758" s="29"/>
      <c r="T758" s="476"/>
      <c r="U758" s="29"/>
      <c r="V758" s="2"/>
      <c r="W758" s="29"/>
      <c r="X758" s="2"/>
      <c r="Y758" s="29"/>
    </row>
    <row x14ac:dyDescent="0.25" r="759" customHeight="1" ht="15.75">
      <c r="A759" s="502"/>
      <c r="B759" s="34"/>
      <c r="C759" s="34"/>
      <c r="D759" s="34"/>
      <c r="E759" s="34"/>
      <c r="F759" s="34"/>
      <c r="G759" s="34"/>
      <c r="H759" s="34"/>
      <c r="I759" s="29"/>
      <c r="J759" s="29"/>
      <c r="K759" s="29"/>
      <c r="L759" s="29"/>
      <c r="M759" s="34"/>
      <c r="N759" s="34"/>
      <c r="O759" s="29"/>
      <c r="P759" s="29"/>
      <c r="Q759" s="29"/>
      <c r="R759" s="29"/>
      <c r="S759" s="29"/>
      <c r="T759" s="476"/>
      <c r="U759" s="29"/>
      <c r="V759" s="2"/>
      <c r="W759" s="29"/>
      <c r="X759" s="2"/>
      <c r="Y759" s="29"/>
    </row>
    <row x14ac:dyDescent="0.25" r="760" customHeight="1" ht="15.75">
      <c r="A760" s="502"/>
      <c r="B760" s="34"/>
      <c r="C760" s="34"/>
      <c r="D760" s="34"/>
      <c r="E760" s="34"/>
      <c r="F760" s="34"/>
      <c r="G760" s="34"/>
      <c r="H760" s="34"/>
      <c r="I760" s="29"/>
      <c r="J760" s="29"/>
      <c r="K760" s="29"/>
      <c r="L760" s="29"/>
      <c r="M760" s="34"/>
      <c r="N760" s="34"/>
      <c r="O760" s="29"/>
      <c r="P760" s="29"/>
      <c r="Q760" s="29"/>
      <c r="R760" s="29"/>
      <c r="S760" s="29"/>
      <c r="T760" s="476"/>
      <c r="U760" s="29"/>
      <c r="V760" s="2"/>
      <c r="W760" s="29"/>
      <c r="X760" s="2"/>
      <c r="Y760" s="29"/>
    </row>
    <row x14ac:dyDescent="0.25" r="761" customHeight="1" ht="15.75">
      <c r="A761" s="502"/>
      <c r="B761" s="34"/>
      <c r="C761" s="34"/>
      <c r="D761" s="34"/>
      <c r="E761" s="34"/>
      <c r="F761" s="34"/>
      <c r="G761" s="34"/>
      <c r="H761" s="34"/>
      <c r="I761" s="29"/>
      <c r="J761" s="29"/>
      <c r="K761" s="29"/>
      <c r="L761" s="29"/>
      <c r="M761" s="34"/>
      <c r="N761" s="34"/>
      <c r="O761" s="29"/>
      <c r="P761" s="29"/>
      <c r="Q761" s="29"/>
      <c r="R761" s="29"/>
      <c r="S761" s="29"/>
      <c r="T761" s="476"/>
      <c r="U761" s="29"/>
      <c r="V761" s="2"/>
      <c r="W761" s="29"/>
      <c r="X761" s="2"/>
      <c r="Y761" s="29"/>
    </row>
    <row x14ac:dyDescent="0.25" r="762" customHeight="1" ht="15.75">
      <c r="A762" s="502"/>
      <c r="B762" s="34"/>
      <c r="C762" s="34"/>
      <c r="D762" s="34"/>
      <c r="E762" s="34"/>
      <c r="F762" s="34"/>
      <c r="G762" s="34"/>
      <c r="H762" s="34"/>
      <c r="I762" s="29"/>
      <c r="J762" s="29"/>
      <c r="K762" s="29"/>
      <c r="L762" s="29"/>
      <c r="M762" s="34"/>
      <c r="N762" s="34"/>
      <c r="O762" s="29"/>
      <c r="P762" s="29"/>
      <c r="Q762" s="29"/>
      <c r="R762" s="29"/>
      <c r="S762" s="29"/>
      <c r="T762" s="476"/>
      <c r="U762" s="29"/>
      <c r="V762" s="2"/>
      <c r="W762" s="29"/>
      <c r="X762" s="2"/>
      <c r="Y762" s="29"/>
    </row>
    <row x14ac:dyDescent="0.25" r="763" customHeight="1" ht="15.75">
      <c r="A763" s="502"/>
      <c r="B763" s="34"/>
      <c r="C763" s="34"/>
      <c r="D763" s="34"/>
      <c r="E763" s="34"/>
      <c r="F763" s="34"/>
      <c r="G763" s="34"/>
      <c r="H763" s="34"/>
      <c r="I763" s="29"/>
      <c r="J763" s="29"/>
      <c r="K763" s="29"/>
      <c r="L763" s="29"/>
      <c r="M763" s="34"/>
      <c r="N763" s="34"/>
      <c r="O763" s="29"/>
      <c r="P763" s="29"/>
      <c r="Q763" s="29"/>
      <c r="R763" s="29"/>
      <c r="S763" s="29"/>
      <c r="T763" s="476"/>
      <c r="U763" s="29"/>
      <c r="V763" s="2"/>
      <c r="W763" s="29"/>
      <c r="X763" s="2"/>
      <c r="Y763" s="29"/>
    </row>
    <row x14ac:dyDescent="0.25" r="764" customHeight="1" ht="15.75">
      <c r="A764" s="502"/>
      <c r="B764" s="34"/>
      <c r="C764" s="34"/>
      <c r="D764" s="34"/>
      <c r="E764" s="34"/>
      <c r="F764" s="34"/>
      <c r="G764" s="34"/>
      <c r="H764" s="34"/>
      <c r="I764" s="29"/>
      <c r="J764" s="29"/>
      <c r="K764" s="29"/>
      <c r="L764" s="29"/>
      <c r="M764" s="34"/>
      <c r="N764" s="34"/>
      <c r="O764" s="29"/>
      <c r="P764" s="29"/>
      <c r="Q764" s="29"/>
      <c r="R764" s="29"/>
      <c r="S764" s="29"/>
      <c r="T764" s="476"/>
      <c r="U764" s="29"/>
      <c r="V764" s="2"/>
      <c r="W764" s="29"/>
      <c r="X764" s="2"/>
      <c r="Y764" s="29"/>
    </row>
    <row x14ac:dyDescent="0.25" r="765" customHeight="1" ht="15.75">
      <c r="A765" s="502"/>
      <c r="B765" s="34"/>
      <c r="C765" s="34"/>
      <c r="D765" s="34"/>
      <c r="E765" s="34"/>
      <c r="F765" s="34"/>
      <c r="G765" s="34"/>
      <c r="H765" s="34"/>
      <c r="I765" s="29"/>
      <c r="J765" s="29"/>
      <c r="K765" s="29"/>
      <c r="L765" s="29"/>
      <c r="M765" s="34"/>
      <c r="N765" s="34"/>
      <c r="O765" s="29"/>
      <c r="P765" s="29"/>
      <c r="Q765" s="29"/>
      <c r="R765" s="29"/>
      <c r="S765" s="29"/>
      <c r="T765" s="476"/>
      <c r="U765" s="29"/>
      <c r="V765" s="2"/>
      <c r="W765" s="29"/>
      <c r="X765" s="2"/>
      <c r="Y765" s="29"/>
    </row>
    <row x14ac:dyDescent="0.25" r="766" customHeight="1" ht="15.75">
      <c r="A766" s="502"/>
      <c r="B766" s="34"/>
      <c r="C766" s="34"/>
      <c r="D766" s="34"/>
      <c r="E766" s="34"/>
      <c r="F766" s="34"/>
      <c r="G766" s="34"/>
      <c r="H766" s="34"/>
      <c r="I766" s="29"/>
      <c r="J766" s="29"/>
      <c r="K766" s="29"/>
      <c r="L766" s="29"/>
      <c r="M766" s="34"/>
      <c r="N766" s="34"/>
      <c r="O766" s="29"/>
      <c r="P766" s="29"/>
      <c r="Q766" s="29"/>
      <c r="R766" s="29"/>
      <c r="S766" s="29"/>
      <c r="T766" s="476"/>
      <c r="U766" s="29"/>
      <c r="V766" s="2"/>
      <c r="W766" s="29"/>
      <c r="X766" s="2"/>
      <c r="Y766" s="29"/>
    </row>
    <row x14ac:dyDescent="0.25" r="767" customHeight="1" ht="15.75">
      <c r="A767" s="502"/>
      <c r="B767" s="34"/>
      <c r="C767" s="34"/>
      <c r="D767" s="34"/>
      <c r="E767" s="34"/>
      <c r="F767" s="34"/>
      <c r="G767" s="34"/>
      <c r="H767" s="34"/>
      <c r="I767" s="29"/>
      <c r="J767" s="29"/>
      <c r="K767" s="29"/>
      <c r="L767" s="29"/>
      <c r="M767" s="34"/>
      <c r="N767" s="34"/>
      <c r="O767" s="29"/>
      <c r="P767" s="29"/>
      <c r="Q767" s="29"/>
      <c r="R767" s="29"/>
      <c r="S767" s="29"/>
      <c r="T767" s="476"/>
      <c r="U767" s="29"/>
      <c r="V767" s="2"/>
      <c r="W767" s="29"/>
      <c r="X767" s="2"/>
      <c r="Y767" s="29"/>
    </row>
    <row x14ac:dyDescent="0.25" r="768" customHeight="1" ht="15.75">
      <c r="A768" s="502"/>
      <c r="B768" s="34"/>
      <c r="C768" s="34"/>
      <c r="D768" s="34"/>
      <c r="E768" s="34"/>
      <c r="F768" s="34"/>
      <c r="G768" s="34"/>
      <c r="H768" s="34"/>
      <c r="I768" s="29"/>
      <c r="J768" s="29"/>
      <c r="K768" s="29"/>
      <c r="L768" s="29"/>
      <c r="M768" s="34"/>
      <c r="N768" s="34"/>
      <c r="O768" s="29"/>
      <c r="P768" s="29"/>
      <c r="Q768" s="29"/>
      <c r="R768" s="29"/>
      <c r="S768" s="29"/>
      <c r="T768" s="476"/>
      <c r="U768" s="29"/>
      <c r="V768" s="2"/>
      <c r="W768" s="29"/>
      <c r="X768" s="2"/>
      <c r="Y768" s="29"/>
    </row>
    <row x14ac:dyDescent="0.25" r="769" customHeight="1" ht="15.75">
      <c r="A769" s="502"/>
      <c r="B769" s="34"/>
      <c r="C769" s="34"/>
      <c r="D769" s="34"/>
      <c r="E769" s="34"/>
      <c r="F769" s="34"/>
      <c r="G769" s="34"/>
      <c r="H769" s="34"/>
      <c r="I769" s="29"/>
      <c r="J769" s="29"/>
      <c r="K769" s="29"/>
      <c r="L769" s="29"/>
      <c r="M769" s="34"/>
      <c r="N769" s="34"/>
      <c r="O769" s="29"/>
      <c r="P769" s="29"/>
      <c r="Q769" s="29"/>
      <c r="R769" s="29"/>
      <c r="S769" s="29"/>
      <c r="T769" s="476"/>
      <c r="U769" s="29"/>
      <c r="V769" s="2"/>
      <c r="W769" s="29"/>
      <c r="X769" s="2"/>
      <c r="Y769" s="29"/>
    </row>
    <row x14ac:dyDescent="0.25" r="770" customHeight="1" ht="15.75">
      <c r="A770" s="502"/>
      <c r="B770" s="34"/>
      <c r="C770" s="34"/>
      <c r="D770" s="34"/>
      <c r="E770" s="34"/>
      <c r="F770" s="34"/>
      <c r="G770" s="34"/>
      <c r="H770" s="34"/>
      <c r="I770" s="29"/>
      <c r="J770" s="29"/>
      <c r="K770" s="29"/>
      <c r="L770" s="29"/>
      <c r="M770" s="34"/>
      <c r="N770" s="34"/>
      <c r="O770" s="29"/>
      <c r="P770" s="29"/>
      <c r="Q770" s="29"/>
      <c r="R770" s="29"/>
      <c r="S770" s="29"/>
      <c r="T770" s="476"/>
      <c r="U770" s="29"/>
      <c r="V770" s="2"/>
      <c r="W770" s="29"/>
      <c r="X770" s="2"/>
      <c r="Y770" s="29"/>
    </row>
    <row x14ac:dyDescent="0.25" r="771" customHeight="1" ht="15.75">
      <c r="A771" s="502"/>
      <c r="B771" s="34"/>
      <c r="C771" s="34"/>
      <c r="D771" s="34"/>
      <c r="E771" s="34"/>
      <c r="F771" s="34"/>
      <c r="G771" s="34"/>
      <c r="H771" s="34"/>
      <c r="I771" s="29"/>
      <c r="J771" s="29"/>
      <c r="K771" s="29"/>
      <c r="L771" s="29"/>
      <c r="M771" s="34"/>
      <c r="N771" s="34"/>
      <c r="O771" s="29"/>
      <c r="P771" s="29"/>
      <c r="Q771" s="29"/>
      <c r="R771" s="29"/>
      <c r="S771" s="29"/>
      <c r="T771" s="476"/>
      <c r="U771" s="29"/>
      <c r="V771" s="2"/>
      <c r="W771" s="29"/>
      <c r="X771" s="2"/>
      <c r="Y771" s="29"/>
    </row>
    <row x14ac:dyDescent="0.25" r="772" customHeight="1" ht="15.75">
      <c r="A772" s="502"/>
      <c r="B772" s="34"/>
      <c r="C772" s="34"/>
      <c r="D772" s="34"/>
      <c r="E772" s="34"/>
      <c r="F772" s="34"/>
      <c r="G772" s="34"/>
      <c r="H772" s="34"/>
      <c r="I772" s="29"/>
      <c r="J772" s="29"/>
      <c r="K772" s="29"/>
      <c r="L772" s="29"/>
      <c r="M772" s="34"/>
      <c r="N772" s="34"/>
      <c r="O772" s="29"/>
      <c r="P772" s="29"/>
      <c r="Q772" s="29"/>
      <c r="R772" s="29"/>
      <c r="S772" s="29"/>
      <c r="T772" s="476"/>
      <c r="U772" s="29"/>
      <c r="V772" s="2"/>
      <c r="W772" s="29"/>
      <c r="X772" s="2"/>
      <c r="Y772" s="29"/>
    </row>
    <row x14ac:dyDescent="0.25" r="773" customHeight="1" ht="15.75">
      <c r="A773" s="502"/>
      <c r="B773" s="34"/>
      <c r="C773" s="34"/>
      <c r="D773" s="34"/>
      <c r="E773" s="34"/>
      <c r="F773" s="34"/>
      <c r="G773" s="34"/>
      <c r="H773" s="34"/>
      <c r="I773" s="29"/>
      <c r="J773" s="29"/>
      <c r="K773" s="29"/>
      <c r="L773" s="29"/>
      <c r="M773" s="34"/>
      <c r="N773" s="34"/>
      <c r="O773" s="29"/>
      <c r="P773" s="29"/>
      <c r="Q773" s="29"/>
      <c r="R773" s="29"/>
      <c r="S773" s="29"/>
      <c r="T773" s="476"/>
      <c r="U773" s="29"/>
      <c r="V773" s="2"/>
      <c r="W773" s="29"/>
      <c r="X773" s="2"/>
      <c r="Y773" s="29"/>
    </row>
    <row x14ac:dyDescent="0.25" r="774" customHeight="1" ht="15.75">
      <c r="A774" s="502"/>
      <c r="B774" s="34"/>
      <c r="C774" s="34"/>
      <c r="D774" s="34"/>
      <c r="E774" s="34"/>
      <c r="F774" s="34"/>
      <c r="G774" s="34"/>
      <c r="H774" s="34"/>
      <c r="I774" s="29"/>
      <c r="J774" s="29"/>
      <c r="K774" s="29"/>
      <c r="L774" s="29"/>
      <c r="M774" s="34"/>
      <c r="N774" s="34"/>
      <c r="O774" s="29"/>
      <c r="P774" s="29"/>
      <c r="Q774" s="29"/>
      <c r="R774" s="29"/>
      <c r="S774" s="29"/>
      <c r="T774" s="476"/>
      <c r="U774" s="29"/>
      <c r="V774" s="2"/>
      <c r="W774" s="29"/>
      <c r="X774" s="2"/>
      <c r="Y774" s="29"/>
    </row>
    <row x14ac:dyDescent="0.25" r="775" customHeight="1" ht="15.75">
      <c r="A775" s="502"/>
      <c r="B775" s="34"/>
      <c r="C775" s="34"/>
      <c r="D775" s="34"/>
      <c r="E775" s="34"/>
      <c r="F775" s="34"/>
      <c r="G775" s="34"/>
      <c r="H775" s="34"/>
      <c r="I775" s="29"/>
      <c r="J775" s="29"/>
      <c r="K775" s="29"/>
      <c r="L775" s="29"/>
      <c r="M775" s="34"/>
      <c r="N775" s="34"/>
      <c r="O775" s="29"/>
      <c r="P775" s="29"/>
      <c r="Q775" s="29"/>
      <c r="R775" s="29"/>
      <c r="S775" s="29"/>
      <c r="T775" s="476"/>
      <c r="U775" s="29"/>
      <c r="V775" s="2"/>
      <c r="W775" s="29"/>
      <c r="X775" s="2"/>
      <c r="Y775" s="29"/>
    </row>
    <row x14ac:dyDescent="0.25" r="776" customHeight="1" ht="15.75">
      <c r="A776" s="502"/>
      <c r="B776" s="34"/>
      <c r="C776" s="34"/>
      <c r="D776" s="34"/>
      <c r="E776" s="34"/>
      <c r="F776" s="34"/>
      <c r="G776" s="34"/>
      <c r="H776" s="34"/>
      <c r="I776" s="29"/>
      <c r="J776" s="29"/>
      <c r="K776" s="29"/>
      <c r="L776" s="29"/>
      <c r="M776" s="34"/>
      <c r="N776" s="34"/>
      <c r="O776" s="29"/>
      <c r="P776" s="29"/>
      <c r="Q776" s="29"/>
      <c r="R776" s="29"/>
      <c r="S776" s="29"/>
      <c r="T776" s="476"/>
      <c r="U776" s="29"/>
      <c r="V776" s="2"/>
      <c r="W776" s="29"/>
      <c r="X776" s="2"/>
      <c r="Y776" s="29"/>
    </row>
    <row x14ac:dyDescent="0.25" r="777" customHeight="1" ht="15.75">
      <c r="A777" s="502"/>
      <c r="B777" s="34"/>
      <c r="C777" s="34"/>
      <c r="D777" s="34"/>
      <c r="E777" s="34"/>
      <c r="F777" s="34"/>
      <c r="G777" s="34"/>
      <c r="H777" s="34"/>
      <c r="I777" s="29"/>
      <c r="J777" s="29"/>
      <c r="K777" s="29"/>
      <c r="L777" s="29"/>
      <c r="M777" s="34"/>
      <c r="N777" s="34"/>
      <c r="O777" s="29"/>
      <c r="P777" s="29"/>
      <c r="Q777" s="29"/>
      <c r="R777" s="29"/>
      <c r="S777" s="29"/>
      <c r="T777" s="476"/>
      <c r="U777" s="29"/>
      <c r="V777" s="2"/>
      <c r="W777" s="29"/>
      <c r="X777" s="2"/>
      <c r="Y777" s="29"/>
    </row>
    <row x14ac:dyDescent="0.25" r="778" customHeight="1" ht="15.75">
      <c r="A778" s="502"/>
      <c r="B778" s="34"/>
      <c r="C778" s="34"/>
      <c r="D778" s="34"/>
      <c r="E778" s="34"/>
      <c r="F778" s="34"/>
      <c r="G778" s="34"/>
      <c r="H778" s="34"/>
      <c r="I778" s="29"/>
      <c r="J778" s="29"/>
      <c r="K778" s="29"/>
      <c r="L778" s="29"/>
      <c r="M778" s="34"/>
      <c r="N778" s="34"/>
      <c r="O778" s="29"/>
      <c r="P778" s="29"/>
      <c r="Q778" s="29"/>
      <c r="R778" s="29"/>
      <c r="S778" s="29"/>
      <c r="T778" s="476"/>
      <c r="U778" s="29"/>
      <c r="V778" s="2"/>
      <c r="W778" s="29"/>
      <c r="X778" s="2"/>
      <c r="Y778" s="29"/>
    </row>
    <row x14ac:dyDescent="0.25" r="779" customHeight="1" ht="15.75">
      <c r="A779" s="502"/>
      <c r="B779" s="34"/>
      <c r="C779" s="34"/>
      <c r="D779" s="34"/>
      <c r="E779" s="34"/>
      <c r="F779" s="34"/>
      <c r="G779" s="34"/>
      <c r="H779" s="34"/>
      <c r="I779" s="29"/>
      <c r="J779" s="29"/>
      <c r="K779" s="29"/>
      <c r="L779" s="29"/>
      <c r="M779" s="34"/>
      <c r="N779" s="34"/>
      <c r="O779" s="29"/>
      <c r="P779" s="29"/>
      <c r="Q779" s="29"/>
      <c r="R779" s="29"/>
      <c r="S779" s="29"/>
      <c r="T779" s="476"/>
      <c r="U779" s="29"/>
      <c r="V779" s="2"/>
      <c r="W779" s="29"/>
      <c r="X779" s="2"/>
      <c r="Y779" s="29"/>
    </row>
    <row x14ac:dyDescent="0.25" r="780" customHeight="1" ht="15.75">
      <c r="A780" s="502"/>
      <c r="B780" s="34"/>
      <c r="C780" s="34"/>
      <c r="D780" s="34"/>
      <c r="E780" s="34"/>
      <c r="F780" s="34"/>
      <c r="G780" s="34"/>
      <c r="H780" s="34"/>
      <c r="I780" s="29"/>
      <c r="J780" s="29"/>
      <c r="K780" s="29"/>
      <c r="L780" s="29"/>
      <c r="M780" s="34"/>
      <c r="N780" s="34"/>
      <c r="O780" s="29"/>
      <c r="P780" s="29"/>
      <c r="Q780" s="29"/>
      <c r="R780" s="29"/>
      <c r="S780" s="29"/>
      <c r="T780" s="476"/>
      <c r="U780" s="29"/>
      <c r="V780" s="2"/>
      <c r="W780" s="29"/>
      <c r="X780" s="2"/>
      <c r="Y780" s="29"/>
    </row>
    <row x14ac:dyDescent="0.25" r="781" customHeight="1" ht="15.75">
      <c r="A781" s="502"/>
      <c r="B781" s="34"/>
      <c r="C781" s="34"/>
      <c r="D781" s="34"/>
      <c r="E781" s="34"/>
      <c r="F781" s="34"/>
      <c r="G781" s="34"/>
      <c r="H781" s="34"/>
      <c r="I781" s="29"/>
      <c r="J781" s="29"/>
      <c r="K781" s="29"/>
      <c r="L781" s="29"/>
      <c r="M781" s="34"/>
      <c r="N781" s="34"/>
      <c r="O781" s="29"/>
      <c r="P781" s="29"/>
      <c r="Q781" s="29"/>
      <c r="R781" s="29"/>
      <c r="S781" s="29"/>
      <c r="T781" s="476"/>
      <c r="U781" s="29"/>
      <c r="V781" s="2"/>
      <c r="W781" s="29"/>
      <c r="X781" s="2"/>
      <c r="Y781" s="29"/>
    </row>
    <row x14ac:dyDescent="0.25" r="782" customHeight="1" ht="15.75">
      <c r="A782" s="502"/>
      <c r="B782" s="34"/>
      <c r="C782" s="34"/>
      <c r="D782" s="34"/>
      <c r="E782" s="34"/>
      <c r="F782" s="34"/>
      <c r="G782" s="34"/>
      <c r="H782" s="34"/>
      <c r="I782" s="29"/>
      <c r="J782" s="29"/>
      <c r="K782" s="29"/>
      <c r="L782" s="29"/>
      <c r="M782" s="34"/>
      <c r="N782" s="34"/>
      <c r="O782" s="29"/>
      <c r="P782" s="29"/>
      <c r="Q782" s="29"/>
      <c r="R782" s="29"/>
      <c r="S782" s="29"/>
      <c r="T782" s="476"/>
      <c r="U782" s="29"/>
      <c r="V782" s="2"/>
      <c r="W782" s="29"/>
      <c r="X782" s="2"/>
      <c r="Y782" s="29"/>
    </row>
    <row x14ac:dyDescent="0.25" r="783" customHeight="1" ht="15.75">
      <c r="A783" s="502"/>
      <c r="B783" s="34"/>
      <c r="C783" s="34"/>
      <c r="D783" s="34"/>
      <c r="E783" s="34"/>
      <c r="F783" s="34"/>
      <c r="G783" s="34"/>
      <c r="H783" s="34"/>
      <c r="I783" s="29"/>
      <c r="J783" s="29"/>
      <c r="K783" s="29"/>
      <c r="L783" s="29"/>
      <c r="M783" s="34"/>
      <c r="N783" s="34"/>
      <c r="O783" s="29"/>
      <c r="P783" s="29"/>
      <c r="Q783" s="29"/>
      <c r="R783" s="29"/>
      <c r="S783" s="29"/>
      <c r="T783" s="476"/>
      <c r="U783" s="29"/>
      <c r="V783" s="2"/>
      <c r="W783" s="29"/>
      <c r="X783" s="2"/>
      <c r="Y783" s="29"/>
    </row>
    <row x14ac:dyDescent="0.25" r="784" customHeight="1" ht="15.75">
      <c r="A784" s="502"/>
      <c r="B784" s="34"/>
      <c r="C784" s="34"/>
      <c r="D784" s="34"/>
      <c r="E784" s="34"/>
      <c r="F784" s="34"/>
      <c r="G784" s="34"/>
      <c r="H784" s="34"/>
      <c r="I784" s="29"/>
      <c r="J784" s="29"/>
      <c r="K784" s="29"/>
      <c r="L784" s="29"/>
      <c r="M784" s="34"/>
      <c r="N784" s="34"/>
      <c r="O784" s="29"/>
      <c r="P784" s="29"/>
      <c r="Q784" s="29"/>
      <c r="R784" s="29"/>
      <c r="S784" s="29"/>
      <c r="T784" s="476"/>
      <c r="U784" s="29"/>
      <c r="V784" s="2"/>
      <c r="W784" s="29"/>
      <c r="X784" s="2"/>
      <c r="Y784" s="29"/>
    </row>
    <row x14ac:dyDescent="0.25" r="785" customHeight="1" ht="15.75">
      <c r="A785" s="502"/>
      <c r="B785" s="34"/>
      <c r="C785" s="34"/>
      <c r="D785" s="34"/>
      <c r="E785" s="34"/>
      <c r="F785" s="34"/>
      <c r="G785" s="34"/>
      <c r="H785" s="34"/>
      <c r="I785" s="29"/>
      <c r="J785" s="29"/>
      <c r="K785" s="29"/>
      <c r="L785" s="29"/>
      <c r="M785" s="34"/>
      <c r="N785" s="34"/>
      <c r="O785" s="29"/>
      <c r="P785" s="29"/>
      <c r="Q785" s="29"/>
      <c r="R785" s="29"/>
      <c r="S785" s="29"/>
      <c r="T785" s="476"/>
      <c r="U785" s="29"/>
      <c r="V785" s="2"/>
      <c r="W785" s="29"/>
      <c r="X785" s="2"/>
      <c r="Y785" s="29"/>
    </row>
    <row x14ac:dyDescent="0.25" r="786" customHeight="1" ht="15.75">
      <c r="A786" s="502"/>
      <c r="B786" s="34"/>
      <c r="C786" s="34"/>
      <c r="D786" s="34"/>
      <c r="E786" s="34"/>
      <c r="F786" s="34"/>
      <c r="G786" s="34"/>
      <c r="H786" s="34"/>
      <c r="I786" s="29"/>
      <c r="J786" s="29"/>
      <c r="K786" s="29"/>
      <c r="L786" s="29"/>
      <c r="M786" s="34"/>
      <c r="N786" s="34"/>
      <c r="O786" s="29"/>
      <c r="P786" s="29"/>
      <c r="Q786" s="29"/>
      <c r="R786" s="29"/>
      <c r="S786" s="29"/>
      <c r="T786" s="476"/>
      <c r="U786" s="29"/>
      <c r="V786" s="2"/>
      <c r="W786" s="29"/>
      <c r="X786" s="2"/>
      <c r="Y786" s="29"/>
    </row>
    <row x14ac:dyDescent="0.25" r="787" customHeight="1" ht="15.75">
      <c r="A787" s="502"/>
      <c r="B787" s="34"/>
      <c r="C787" s="34"/>
      <c r="D787" s="34"/>
      <c r="E787" s="34"/>
      <c r="F787" s="34"/>
      <c r="G787" s="34"/>
      <c r="H787" s="34"/>
      <c r="I787" s="29"/>
      <c r="J787" s="29"/>
      <c r="K787" s="29"/>
      <c r="L787" s="29"/>
      <c r="M787" s="34"/>
      <c r="N787" s="34"/>
      <c r="O787" s="29"/>
      <c r="P787" s="29"/>
      <c r="Q787" s="29"/>
      <c r="R787" s="29"/>
      <c r="S787" s="29"/>
      <c r="T787" s="476"/>
      <c r="U787" s="29"/>
      <c r="V787" s="2"/>
      <c r="W787" s="29"/>
      <c r="X787" s="2"/>
      <c r="Y787" s="29"/>
    </row>
    <row x14ac:dyDescent="0.25" r="788" customHeight="1" ht="15.75">
      <c r="A788" s="502"/>
      <c r="B788" s="34"/>
      <c r="C788" s="34"/>
      <c r="D788" s="34"/>
      <c r="E788" s="34"/>
      <c r="F788" s="34"/>
      <c r="G788" s="34"/>
      <c r="H788" s="34"/>
      <c r="I788" s="29"/>
      <c r="J788" s="29"/>
      <c r="K788" s="29"/>
      <c r="L788" s="29"/>
      <c r="M788" s="34"/>
      <c r="N788" s="34"/>
      <c r="O788" s="29"/>
      <c r="P788" s="29"/>
      <c r="Q788" s="29"/>
      <c r="R788" s="29"/>
      <c r="S788" s="29"/>
      <c r="T788" s="476"/>
      <c r="U788" s="29"/>
      <c r="V788" s="2"/>
      <c r="W788" s="29"/>
      <c r="X788" s="2"/>
      <c r="Y788" s="29"/>
    </row>
    <row x14ac:dyDescent="0.25" r="789" customHeight="1" ht="15.75">
      <c r="A789" s="502"/>
      <c r="B789" s="34"/>
      <c r="C789" s="34"/>
      <c r="D789" s="34"/>
      <c r="E789" s="34"/>
      <c r="F789" s="34"/>
      <c r="G789" s="34"/>
      <c r="H789" s="34"/>
      <c r="I789" s="29"/>
      <c r="J789" s="29"/>
      <c r="K789" s="29"/>
      <c r="L789" s="29"/>
      <c r="M789" s="34"/>
      <c r="N789" s="34"/>
      <c r="O789" s="29"/>
      <c r="P789" s="29"/>
      <c r="Q789" s="29"/>
      <c r="R789" s="29"/>
      <c r="S789" s="29"/>
      <c r="T789" s="476"/>
      <c r="U789" s="29"/>
      <c r="V789" s="2"/>
      <c r="W789" s="29"/>
      <c r="X789" s="2"/>
      <c r="Y789" s="29"/>
    </row>
    <row x14ac:dyDescent="0.25" r="790" customHeight="1" ht="15.75">
      <c r="A790" s="502"/>
      <c r="B790" s="34"/>
      <c r="C790" s="34"/>
      <c r="D790" s="34"/>
      <c r="E790" s="34"/>
      <c r="F790" s="34"/>
      <c r="G790" s="34"/>
      <c r="H790" s="34"/>
      <c r="I790" s="29"/>
      <c r="J790" s="29"/>
      <c r="K790" s="29"/>
      <c r="L790" s="29"/>
      <c r="M790" s="34"/>
      <c r="N790" s="34"/>
      <c r="O790" s="29"/>
      <c r="P790" s="29"/>
      <c r="Q790" s="29"/>
      <c r="R790" s="29"/>
      <c r="S790" s="29"/>
      <c r="T790" s="476"/>
      <c r="U790" s="29"/>
      <c r="V790" s="2"/>
      <c r="W790" s="29"/>
      <c r="X790" s="2"/>
      <c r="Y790" s="29"/>
    </row>
    <row x14ac:dyDescent="0.25" r="791" customHeight="1" ht="15.75">
      <c r="A791" s="502"/>
      <c r="B791" s="34"/>
      <c r="C791" s="34"/>
      <c r="D791" s="34"/>
      <c r="E791" s="34"/>
      <c r="F791" s="34"/>
      <c r="G791" s="34"/>
      <c r="H791" s="34"/>
      <c r="I791" s="29"/>
      <c r="J791" s="29"/>
      <c r="K791" s="29"/>
      <c r="L791" s="29"/>
      <c r="M791" s="34"/>
      <c r="N791" s="34"/>
      <c r="O791" s="29"/>
      <c r="P791" s="29"/>
      <c r="Q791" s="29"/>
      <c r="R791" s="29"/>
      <c r="S791" s="29"/>
      <c r="T791" s="476"/>
      <c r="U791" s="29"/>
      <c r="V791" s="2"/>
      <c r="W791" s="29"/>
      <c r="X791" s="2"/>
      <c r="Y791" s="29"/>
    </row>
    <row x14ac:dyDescent="0.25" r="792" customHeight="1" ht="15.75">
      <c r="A792" s="502"/>
      <c r="B792" s="34"/>
      <c r="C792" s="34"/>
      <c r="D792" s="34"/>
      <c r="E792" s="34"/>
      <c r="F792" s="34"/>
      <c r="G792" s="34"/>
      <c r="H792" s="34"/>
      <c r="I792" s="29"/>
      <c r="J792" s="29"/>
      <c r="K792" s="29"/>
      <c r="L792" s="29"/>
      <c r="M792" s="34"/>
      <c r="N792" s="34"/>
      <c r="O792" s="29"/>
      <c r="P792" s="29"/>
      <c r="Q792" s="29"/>
      <c r="R792" s="29"/>
      <c r="S792" s="29"/>
      <c r="T792" s="476"/>
      <c r="U792" s="29"/>
      <c r="V792" s="2"/>
      <c r="W792" s="29"/>
      <c r="X792" s="2"/>
      <c r="Y792" s="29"/>
    </row>
    <row x14ac:dyDescent="0.25" r="793" customHeight="1" ht="15.75">
      <c r="A793" s="502"/>
      <c r="B793" s="34"/>
      <c r="C793" s="34"/>
      <c r="D793" s="34"/>
      <c r="E793" s="34"/>
      <c r="F793" s="34"/>
      <c r="G793" s="34"/>
      <c r="H793" s="34"/>
      <c r="I793" s="29"/>
      <c r="J793" s="29"/>
      <c r="K793" s="29"/>
      <c r="L793" s="29"/>
      <c r="M793" s="34"/>
      <c r="N793" s="34"/>
      <c r="O793" s="29"/>
      <c r="P793" s="29"/>
      <c r="Q793" s="29"/>
      <c r="R793" s="29"/>
      <c r="S793" s="29"/>
      <c r="T793" s="476"/>
      <c r="U793" s="29"/>
      <c r="V793" s="2"/>
      <c r="W793" s="29"/>
      <c r="X793" s="2"/>
      <c r="Y793" s="29"/>
    </row>
    <row x14ac:dyDescent="0.25" r="794" customHeight="1" ht="15.75">
      <c r="A794" s="502"/>
      <c r="B794" s="34"/>
      <c r="C794" s="34"/>
      <c r="D794" s="34"/>
      <c r="E794" s="34"/>
      <c r="F794" s="34"/>
      <c r="G794" s="34"/>
      <c r="H794" s="34"/>
      <c r="I794" s="29"/>
      <c r="J794" s="29"/>
      <c r="K794" s="29"/>
      <c r="L794" s="29"/>
      <c r="M794" s="34"/>
      <c r="N794" s="34"/>
      <c r="O794" s="29"/>
      <c r="P794" s="29"/>
      <c r="Q794" s="29"/>
      <c r="R794" s="29"/>
      <c r="S794" s="29"/>
      <c r="T794" s="476"/>
      <c r="U794" s="29"/>
      <c r="V794" s="2"/>
      <c r="W794" s="29"/>
      <c r="X794" s="2"/>
      <c r="Y794" s="29"/>
    </row>
    <row x14ac:dyDescent="0.25" r="795" customHeight="1" ht="15.75">
      <c r="A795" s="502"/>
      <c r="B795" s="34"/>
      <c r="C795" s="34"/>
      <c r="D795" s="34"/>
      <c r="E795" s="34"/>
      <c r="F795" s="34"/>
      <c r="G795" s="34"/>
      <c r="H795" s="34"/>
      <c r="I795" s="29"/>
      <c r="J795" s="29"/>
      <c r="K795" s="29"/>
      <c r="L795" s="29"/>
      <c r="M795" s="34"/>
      <c r="N795" s="34"/>
      <c r="O795" s="29"/>
      <c r="P795" s="29"/>
      <c r="Q795" s="29"/>
      <c r="R795" s="29"/>
      <c r="S795" s="29"/>
      <c r="T795" s="476"/>
      <c r="U795" s="29"/>
      <c r="V795" s="2"/>
      <c r="W795" s="29"/>
      <c r="X795" s="2"/>
      <c r="Y795" s="29"/>
    </row>
    <row x14ac:dyDescent="0.25" r="796" customHeight="1" ht="15.75">
      <c r="A796" s="502"/>
      <c r="B796" s="34"/>
      <c r="C796" s="34"/>
      <c r="D796" s="34"/>
      <c r="E796" s="34"/>
      <c r="F796" s="34"/>
      <c r="G796" s="34"/>
      <c r="H796" s="34"/>
      <c r="I796" s="29"/>
      <c r="J796" s="29"/>
      <c r="K796" s="29"/>
      <c r="L796" s="29"/>
      <c r="M796" s="34"/>
      <c r="N796" s="34"/>
      <c r="O796" s="29"/>
      <c r="P796" s="29"/>
      <c r="Q796" s="29"/>
      <c r="R796" s="29"/>
      <c r="S796" s="29"/>
      <c r="T796" s="476"/>
      <c r="U796" s="29"/>
      <c r="V796" s="2"/>
      <c r="W796" s="29"/>
      <c r="X796" s="2"/>
      <c r="Y796" s="29"/>
    </row>
    <row x14ac:dyDescent="0.25" r="797" customHeight="1" ht="15.75">
      <c r="A797" s="502"/>
      <c r="B797" s="34"/>
      <c r="C797" s="34"/>
      <c r="D797" s="34"/>
      <c r="E797" s="34"/>
      <c r="F797" s="34"/>
      <c r="G797" s="34"/>
      <c r="H797" s="34"/>
      <c r="I797" s="29"/>
      <c r="J797" s="29"/>
      <c r="K797" s="29"/>
      <c r="L797" s="29"/>
      <c r="M797" s="34"/>
      <c r="N797" s="34"/>
      <c r="O797" s="29"/>
      <c r="P797" s="29"/>
      <c r="Q797" s="29"/>
      <c r="R797" s="29"/>
      <c r="S797" s="29"/>
      <c r="T797" s="476"/>
      <c r="U797" s="29"/>
      <c r="V797" s="2"/>
      <c r="W797" s="29"/>
      <c r="X797" s="2"/>
      <c r="Y797" s="29"/>
    </row>
    <row x14ac:dyDescent="0.25" r="798" customHeight="1" ht="15.75">
      <c r="A798" s="502"/>
      <c r="B798" s="34"/>
      <c r="C798" s="34"/>
      <c r="D798" s="34"/>
      <c r="E798" s="34"/>
      <c r="F798" s="34"/>
      <c r="G798" s="34"/>
      <c r="H798" s="34"/>
      <c r="I798" s="29"/>
      <c r="J798" s="29"/>
      <c r="K798" s="29"/>
      <c r="L798" s="29"/>
      <c r="M798" s="34"/>
      <c r="N798" s="34"/>
      <c r="O798" s="29"/>
      <c r="P798" s="29"/>
      <c r="Q798" s="29"/>
      <c r="R798" s="29"/>
      <c r="S798" s="29"/>
      <c r="T798" s="476"/>
      <c r="U798" s="29"/>
      <c r="V798" s="2"/>
      <c r="W798" s="29"/>
      <c r="X798" s="2"/>
      <c r="Y798" s="29"/>
    </row>
    <row x14ac:dyDescent="0.25" r="799" customHeight="1" ht="15.75">
      <c r="A799" s="502"/>
      <c r="B799" s="34"/>
      <c r="C799" s="34"/>
      <c r="D799" s="34"/>
      <c r="E799" s="34"/>
      <c r="F799" s="34"/>
      <c r="G799" s="34"/>
      <c r="H799" s="34"/>
      <c r="I799" s="29"/>
      <c r="J799" s="29"/>
      <c r="K799" s="29"/>
      <c r="L799" s="29"/>
      <c r="M799" s="34"/>
      <c r="N799" s="34"/>
      <c r="O799" s="29"/>
      <c r="P799" s="29"/>
      <c r="Q799" s="29"/>
      <c r="R799" s="29"/>
      <c r="S799" s="29"/>
      <c r="T799" s="476"/>
      <c r="U799" s="29"/>
      <c r="V799" s="2"/>
      <c r="W799" s="29"/>
      <c r="X799" s="2"/>
      <c r="Y799" s="29"/>
    </row>
    <row x14ac:dyDescent="0.25" r="800" customHeight="1" ht="15.75">
      <c r="A800" s="502"/>
      <c r="B800" s="34"/>
      <c r="C800" s="34"/>
      <c r="D800" s="34"/>
      <c r="E800" s="34"/>
      <c r="F800" s="34"/>
      <c r="G800" s="34"/>
      <c r="H800" s="34"/>
      <c r="I800" s="29"/>
      <c r="J800" s="29"/>
      <c r="K800" s="29"/>
      <c r="L800" s="29"/>
      <c r="M800" s="34"/>
      <c r="N800" s="34"/>
      <c r="O800" s="29"/>
      <c r="P800" s="29"/>
      <c r="Q800" s="29"/>
      <c r="R800" s="29"/>
      <c r="S800" s="29"/>
      <c r="T800" s="476"/>
      <c r="U800" s="29"/>
      <c r="V800" s="2"/>
      <c r="W800" s="29"/>
      <c r="X800" s="2"/>
      <c r="Y800" s="29"/>
    </row>
    <row x14ac:dyDescent="0.25" r="801" customHeight="1" ht="15.75">
      <c r="A801" s="502"/>
      <c r="B801" s="34"/>
      <c r="C801" s="34"/>
      <c r="D801" s="34"/>
      <c r="E801" s="34"/>
      <c r="F801" s="34"/>
      <c r="G801" s="34"/>
      <c r="H801" s="34"/>
      <c r="I801" s="29"/>
      <c r="J801" s="29"/>
      <c r="K801" s="29"/>
      <c r="L801" s="29"/>
      <c r="M801" s="34"/>
      <c r="N801" s="34"/>
      <c r="O801" s="29"/>
      <c r="P801" s="29"/>
      <c r="Q801" s="29"/>
      <c r="R801" s="29"/>
      <c r="S801" s="29"/>
      <c r="T801" s="476"/>
      <c r="U801" s="29"/>
      <c r="V801" s="2"/>
      <c r="W801" s="29"/>
      <c r="X801" s="2"/>
      <c r="Y801" s="29"/>
    </row>
    <row x14ac:dyDescent="0.25" r="802" customHeight="1" ht="15.75">
      <c r="A802" s="502"/>
      <c r="B802" s="34"/>
      <c r="C802" s="34"/>
      <c r="D802" s="34"/>
      <c r="E802" s="34"/>
      <c r="F802" s="34"/>
      <c r="G802" s="34"/>
      <c r="H802" s="34"/>
      <c r="I802" s="29"/>
      <c r="J802" s="29"/>
      <c r="K802" s="29"/>
      <c r="L802" s="29"/>
      <c r="M802" s="34"/>
      <c r="N802" s="34"/>
      <c r="O802" s="29"/>
      <c r="P802" s="29"/>
      <c r="Q802" s="29"/>
      <c r="R802" s="29"/>
      <c r="S802" s="29"/>
      <c r="T802" s="476"/>
      <c r="U802" s="29"/>
      <c r="V802" s="2"/>
      <c r="W802" s="29"/>
      <c r="X802" s="2"/>
      <c r="Y802" s="29"/>
    </row>
    <row x14ac:dyDescent="0.25" r="803" customHeight="1" ht="15.75">
      <c r="A803" s="502"/>
      <c r="B803" s="34"/>
      <c r="C803" s="34"/>
      <c r="D803" s="34"/>
      <c r="E803" s="34"/>
      <c r="F803" s="34"/>
      <c r="G803" s="34"/>
      <c r="H803" s="34"/>
      <c r="I803" s="29"/>
      <c r="J803" s="29"/>
      <c r="K803" s="29"/>
      <c r="L803" s="29"/>
      <c r="M803" s="34"/>
      <c r="N803" s="34"/>
      <c r="O803" s="29"/>
      <c r="P803" s="29"/>
      <c r="Q803" s="29"/>
      <c r="R803" s="29"/>
      <c r="S803" s="29"/>
      <c r="T803" s="476"/>
      <c r="U803" s="29"/>
      <c r="V803" s="2"/>
      <c r="W803" s="29"/>
      <c r="X803" s="2"/>
      <c r="Y803" s="29"/>
    </row>
    <row x14ac:dyDescent="0.25" r="804" customHeight="1" ht="15.75">
      <c r="A804" s="502"/>
      <c r="B804" s="34"/>
      <c r="C804" s="34"/>
      <c r="D804" s="34"/>
      <c r="E804" s="34"/>
      <c r="F804" s="34"/>
      <c r="G804" s="34"/>
      <c r="H804" s="34"/>
      <c r="I804" s="29"/>
      <c r="J804" s="29"/>
      <c r="K804" s="29"/>
      <c r="L804" s="29"/>
      <c r="M804" s="34"/>
      <c r="N804" s="34"/>
      <c r="O804" s="29"/>
      <c r="P804" s="29"/>
      <c r="Q804" s="29"/>
      <c r="R804" s="29"/>
      <c r="S804" s="29"/>
      <c r="T804" s="476"/>
      <c r="U804" s="29"/>
      <c r="V804" s="2"/>
      <c r="W804" s="29"/>
      <c r="X804" s="2"/>
      <c r="Y804" s="29"/>
    </row>
    <row x14ac:dyDescent="0.25" r="805" customHeight="1" ht="15.75">
      <c r="A805" s="502"/>
      <c r="B805" s="34"/>
      <c r="C805" s="34"/>
      <c r="D805" s="34"/>
      <c r="E805" s="34"/>
      <c r="F805" s="34"/>
      <c r="G805" s="34"/>
      <c r="H805" s="34"/>
      <c r="I805" s="29"/>
      <c r="J805" s="29"/>
      <c r="K805" s="29"/>
      <c r="L805" s="29"/>
      <c r="M805" s="34"/>
      <c r="N805" s="34"/>
      <c r="O805" s="29"/>
      <c r="P805" s="29"/>
      <c r="Q805" s="29"/>
      <c r="R805" s="29"/>
      <c r="S805" s="29"/>
      <c r="T805" s="476"/>
      <c r="U805" s="29"/>
      <c r="V805" s="2"/>
      <c r="W805" s="29"/>
      <c r="X805" s="2"/>
      <c r="Y805" s="29"/>
    </row>
    <row x14ac:dyDescent="0.25" r="806" customHeight="1" ht="15.75">
      <c r="A806" s="502"/>
      <c r="B806" s="34"/>
      <c r="C806" s="34"/>
      <c r="D806" s="34"/>
      <c r="E806" s="34"/>
      <c r="F806" s="34"/>
      <c r="G806" s="34"/>
      <c r="H806" s="34"/>
      <c r="I806" s="29"/>
      <c r="J806" s="29"/>
      <c r="K806" s="29"/>
      <c r="L806" s="29"/>
      <c r="M806" s="34"/>
      <c r="N806" s="34"/>
      <c r="O806" s="29"/>
      <c r="P806" s="29"/>
      <c r="Q806" s="29"/>
      <c r="R806" s="29"/>
      <c r="S806" s="29"/>
      <c r="T806" s="476"/>
      <c r="U806" s="29"/>
      <c r="V806" s="2"/>
      <c r="W806" s="29"/>
      <c r="X806" s="2"/>
      <c r="Y806" s="29"/>
    </row>
    <row x14ac:dyDescent="0.25" r="807" customHeight="1" ht="15.75">
      <c r="A807" s="502"/>
      <c r="B807" s="34"/>
      <c r="C807" s="34"/>
      <c r="D807" s="34"/>
      <c r="E807" s="34"/>
      <c r="F807" s="34"/>
      <c r="G807" s="34"/>
      <c r="H807" s="34"/>
      <c r="I807" s="29"/>
      <c r="J807" s="29"/>
      <c r="K807" s="29"/>
      <c r="L807" s="29"/>
      <c r="M807" s="34"/>
      <c r="N807" s="34"/>
      <c r="O807" s="29"/>
      <c r="P807" s="29"/>
      <c r="Q807" s="29"/>
      <c r="R807" s="29"/>
      <c r="S807" s="29"/>
      <c r="T807" s="476"/>
      <c r="U807" s="29"/>
      <c r="V807" s="2"/>
      <c r="W807" s="29"/>
      <c r="X807" s="2"/>
      <c r="Y807" s="29"/>
    </row>
    <row x14ac:dyDescent="0.25" r="808" customHeight="1" ht="15.75">
      <c r="A808" s="502"/>
      <c r="B808" s="34"/>
      <c r="C808" s="34"/>
      <c r="D808" s="34"/>
      <c r="E808" s="34"/>
      <c r="F808" s="34"/>
      <c r="G808" s="34"/>
      <c r="H808" s="34"/>
      <c r="I808" s="29"/>
      <c r="J808" s="29"/>
      <c r="K808" s="29"/>
      <c r="L808" s="29"/>
      <c r="M808" s="34"/>
      <c r="N808" s="34"/>
      <c r="O808" s="29"/>
      <c r="P808" s="29"/>
      <c r="Q808" s="29"/>
      <c r="R808" s="29"/>
      <c r="S808" s="29"/>
      <c r="T808" s="476"/>
      <c r="U808" s="29"/>
      <c r="V808" s="2"/>
      <c r="W808" s="29"/>
      <c r="X808" s="2"/>
      <c r="Y808" s="29"/>
    </row>
    <row x14ac:dyDescent="0.25" r="809" customHeight="1" ht="15.75">
      <c r="A809" s="502"/>
      <c r="B809" s="34"/>
      <c r="C809" s="34"/>
      <c r="D809" s="34"/>
      <c r="E809" s="34"/>
      <c r="F809" s="34"/>
      <c r="G809" s="34"/>
      <c r="H809" s="34"/>
      <c r="I809" s="29"/>
      <c r="J809" s="29"/>
      <c r="K809" s="29"/>
      <c r="L809" s="29"/>
      <c r="M809" s="34"/>
      <c r="N809" s="34"/>
      <c r="O809" s="29"/>
      <c r="P809" s="29"/>
      <c r="Q809" s="29"/>
      <c r="R809" s="29"/>
      <c r="S809" s="29"/>
      <c r="T809" s="476"/>
      <c r="U809" s="29"/>
      <c r="V809" s="2"/>
      <c r="W809" s="29"/>
      <c r="X809" s="2"/>
      <c r="Y809" s="29"/>
    </row>
    <row x14ac:dyDescent="0.25" r="810" customHeight="1" ht="15.75">
      <c r="A810" s="502"/>
      <c r="B810" s="34"/>
      <c r="C810" s="34"/>
      <c r="D810" s="34"/>
      <c r="E810" s="34"/>
      <c r="F810" s="34"/>
      <c r="G810" s="34"/>
      <c r="H810" s="34"/>
      <c r="I810" s="29"/>
      <c r="J810" s="29"/>
      <c r="K810" s="29"/>
      <c r="L810" s="29"/>
      <c r="M810" s="34"/>
      <c r="N810" s="34"/>
      <c r="O810" s="29"/>
      <c r="P810" s="29"/>
      <c r="Q810" s="29"/>
      <c r="R810" s="29"/>
      <c r="S810" s="29"/>
      <c r="T810" s="476"/>
      <c r="U810" s="29"/>
      <c r="V810" s="2"/>
      <c r="W810" s="29"/>
      <c r="X810" s="2"/>
      <c r="Y810" s="29"/>
    </row>
    <row x14ac:dyDescent="0.25" r="811" customHeight="1" ht="15.75">
      <c r="A811" s="502"/>
      <c r="B811" s="34"/>
      <c r="C811" s="34"/>
      <c r="D811" s="34"/>
      <c r="E811" s="34"/>
      <c r="F811" s="34"/>
      <c r="G811" s="34"/>
      <c r="H811" s="34"/>
      <c r="I811" s="29"/>
      <c r="J811" s="29"/>
      <c r="K811" s="29"/>
      <c r="L811" s="29"/>
      <c r="M811" s="34"/>
      <c r="N811" s="34"/>
      <c r="O811" s="29"/>
      <c r="P811" s="29"/>
      <c r="Q811" s="29"/>
      <c r="R811" s="29"/>
      <c r="S811" s="29"/>
      <c r="T811" s="476"/>
      <c r="U811" s="29"/>
      <c r="V811" s="2"/>
      <c r="W811" s="29"/>
      <c r="X811" s="2"/>
      <c r="Y811" s="29"/>
    </row>
    <row x14ac:dyDescent="0.25" r="812" customHeight="1" ht="15.75">
      <c r="A812" s="502"/>
      <c r="B812" s="34"/>
      <c r="C812" s="34"/>
      <c r="D812" s="34"/>
      <c r="E812" s="34"/>
      <c r="F812" s="34"/>
      <c r="G812" s="34"/>
      <c r="H812" s="34"/>
      <c r="I812" s="29"/>
      <c r="J812" s="29"/>
      <c r="K812" s="29"/>
      <c r="L812" s="29"/>
      <c r="M812" s="34"/>
      <c r="N812" s="34"/>
      <c r="O812" s="29"/>
      <c r="P812" s="29"/>
      <c r="Q812" s="29"/>
      <c r="R812" s="29"/>
      <c r="S812" s="29"/>
      <c r="T812" s="476"/>
      <c r="U812" s="29"/>
      <c r="V812" s="2"/>
      <c r="W812" s="29"/>
      <c r="X812" s="2"/>
      <c r="Y812" s="29"/>
    </row>
    <row x14ac:dyDescent="0.25" r="813" customHeight="1" ht="15.75">
      <c r="A813" s="502"/>
      <c r="B813" s="34"/>
      <c r="C813" s="34"/>
      <c r="D813" s="34"/>
      <c r="E813" s="34"/>
      <c r="F813" s="34"/>
      <c r="G813" s="34"/>
      <c r="H813" s="34"/>
      <c r="I813" s="29"/>
      <c r="J813" s="29"/>
      <c r="K813" s="29"/>
      <c r="L813" s="29"/>
      <c r="M813" s="34"/>
      <c r="N813" s="34"/>
      <c r="O813" s="29"/>
      <c r="P813" s="29"/>
      <c r="Q813" s="29"/>
      <c r="R813" s="29"/>
      <c r="S813" s="29"/>
      <c r="T813" s="476"/>
      <c r="U813" s="29"/>
      <c r="V813" s="2"/>
      <c r="W813" s="29"/>
      <c r="X813" s="2"/>
      <c r="Y813" s="29"/>
    </row>
    <row x14ac:dyDescent="0.25" r="814" customHeight="1" ht="15.75">
      <c r="A814" s="502"/>
      <c r="B814" s="34"/>
      <c r="C814" s="34"/>
      <c r="D814" s="34"/>
      <c r="E814" s="34"/>
      <c r="F814" s="34"/>
      <c r="G814" s="34"/>
      <c r="H814" s="34"/>
      <c r="I814" s="29"/>
      <c r="J814" s="29"/>
      <c r="K814" s="29"/>
      <c r="L814" s="29"/>
      <c r="M814" s="34"/>
      <c r="N814" s="34"/>
      <c r="O814" s="29"/>
      <c r="P814" s="29"/>
      <c r="Q814" s="29"/>
      <c r="R814" s="29"/>
      <c r="S814" s="29"/>
      <c r="T814" s="476"/>
      <c r="U814" s="29"/>
      <c r="V814" s="2"/>
      <c r="W814" s="29"/>
      <c r="X814" s="2"/>
      <c r="Y814" s="29"/>
    </row>
    <row x14ac:dyDescent="0.25" r="815" customHeight="1" ht="15.75">
      <c r="A815" s="502"/>
      <c r="B815" s="34"/>
      <c r="C815" s="34"/>
      <c r="D815" s="34"/>
      <c r="E815" s="34"/>
      <c r="F815" s="34"/>
      <c r="G815" s="34"/>
      <c r="H815" s="34"/>
      <c r="I815" s="29"/>
      <c r="J815" s="29"/>
      <c r="K815" s="29"/>
      <c r="L815" s="29"/>
      <c r="M815" s="34"/>
      <c r="N815" s="34"/>
      <c r="O815" s="29"/>
      <c r="P815" s="29"/>
      <c r="Q815" s="29"/>
      <c r="R815" s="29"/>
      <c r="S815" s="29"/>
      <c r="T815" s="476"/>
      <c r="U815" s="29"/>
      <c r="V815" s="2"/>
      <c r="W815" s="29"/>
      <c r="X815" s="2"/>
      <c r="Y815" s="29"/>
    </row>
    <row x14ac:dyDescent="0.25" r="816" customHeight="1" ht="15.75">
      <c r="A816" s="502"/>
      <c r="B816" s="34"/>
      <c r="C816" s="34"/>
      <c r="D816" s="34"/>
      <c r="E816" s="34"/>
      <c r="F816" s="34"/>
      <c r="G816" s="34"/>
      <c r="H816" s="34"/>
      <c r="I816" s="29"/>
      <c r="J816" s="29"/>
      <c r="K816" s="29"/>
      <c r="L816" s="29"/>
      <c r="M816" s="34"/>
      <c r="N816" s="34"/>
      <c r="O816" s="29"/>
      <c r="P816" s="29"/>
      <c r="Q816" s="29"/>
      <c r="R816" s="29"/>
      <c r="S816" s="29"/>
      <c r="T816" s="476"/>
      <c r="U816" s="29"/>
      <c r="V816" s="2"/>
      <c r="W816" s="29"/>
      <c r="X816" s="2"/>
      <c r="Y816" s="29"/>
    </row>
    <row x14ac:dyDescent="0.25" r="817" customHeight="1" ht="15.75">
      <c r="A817" s="502"/>
      <c r="B817" s="34"/>
      <c r="C817" s="34"/>
      <c r="D817" s="34"/>
      <c r="E817" s="34"/>
      <c r="F817" s="34"/>
      <c r="G817" s="34"/>
      <c r="H817" s="34"/>
      <c r="I817" s="29"/>
      <c r="J817" s="29"/>
      <c r="K817" s="29"/>
      <c r="L817" s="29"/>
      <c r="M817" s="34"/>
      <c r="N817" s="34"/>
      <c r="O817" s="29"/>
      <c r="P817" s="29"/>
      <c r="Q817" s="29"/>
      <c r="R817" s="29"/>
      <c r="S817" s="29"/>
      <c r="T817" s="476"/>
      <c r="U817" s="29"/>
      <c r="V817" s="2"/>
      <c r="W817" s="29"/>
      <c r="X817" s="2"/>
      <c r="Y817" s="29"/>
    </row>
    <row x14ac:dyDescent="0.25" r="818" customHeight="1" ht="15.75">
      <c r="A818" s="502"/>
      <c r="B818" s="34"/>
      <c r="C818" s="34"/>
      <c r="D818" s="34"/>
      <c r="E818" s="34"/>
      <c r="F818" s="34"/>
      <c r="G818" s="34"/>
      <c r="H818" s="34"/>
      <c r="I818" s="29"/>
      <c r="J818" s="29"/>
      <c r="K818" s="29"/>
      <c r="L818" s="29"/>
      <c r="M818" s="34"/>
      <c r="N818" s="34"/>
      <c r="O818" s="29"/>
      <c r="P818" s="29"/>
      <c r="Q818" s="29"/>
      <c r="R818" s="29"/>
      <c r="S818" s="29"/>
      <c r="T818" s="476"/>
      <c r="U818" s="29"/>
      <c r="V818" s="2"/>
      <c r="W818" s="29"/>
      <c r="X818" s="2"/>
      <c r="Y818" s="29"/>
    </row>
    <row x14ac:dyDescent="0.25" r="819" customHeight="1" ht="15.75">
      <c r="A819" s="502"/>
      <c r="B819" s="34"/>
      <c r="C819" s="34"/>
      <c r="D819" s="34"/>
      <c r="E819" s="34"/>
      <c r="F819" s="34"/>
      <c r="G819" s="34"/>
      <c r="H819" s="34"/>
      <c r="I819" s="29"/>
      <c r="J819" s="29"/>
      <c r="K819" s="29"/>
      <c r="L819" s="29"/>
      <c r="M819" s="34"/>
      <c r="N819" s="34"/>
      <c r="O819" s="29"/>
      <c r="P819" s="29"/>
      <c r="Q819" s="29"/>
      <c r="R819" s="29"/>
      <c r="S819" s="29"/>
      <c r="T819" s="476"/>
      <c r="U819" s="29"/>
      <c r="V819" s="2"/>
      <c r="W819" s="29"/>
      <c r="X819" s="2"/>
      <c r="Y819" s="29"/>
    </row>
    <row x14ac:dyDescent="0.25" r="820" customHeight="1" ht="15.75">
      <c r="A820" s="502"/>
      <c r="B820" s="34"/>
      <c r="C820" s="34"/>
      <c r="D820" s="34"/>
      <c r="E820" s="34"/>
      <c r="F820" s="34"/>
      <c r="G820" s="34"/>
      <c r="H820" s="34"/>
      <c r="I820" s="29"/>
      <c r="J820" s="29"/>
      <c r="K820" s="29"/>
      <c r="L820" s="29"/>
      <c r="M820" s="34"/>
      <c r="N820" s="34"/>
      <c r="O820" s="29"/>
      <c r="P820" s="29"/>
      <c r="Q820" s="29"/>
      <c r="R820" s="29"/>
      <c r="S820" s="29"/>
      <c r="T820" s="476"/>
      <c r="U820" s="29"/>
      <c r="V820" s="2"/>
      <c r="W820" s="29"/>
      <c r="X820" s="2"/>
      <c r="Y820" s="29"/>
    </row>
    <row x14ac:dyDescent="0.25" r="821" customHeight="1" ht="15.75">
      <c r="A821" s="502"/>
      <c r="B821" s="34"/>
      <c r="C821" s="34"/>
      <c r="D821" s="34"/>
      <c r="E821" s="34"/>
      <c r="F821" s="34"/>
      <c r="G821" s="34"/>
      <c r="H821" s="34"/>
      <c r="I821" s="29"/>
      <c r="J821" s="29"/>
      <c r="K821" s="29"/>
      <c r="L821" s="29"/>
      <c r="M821" s="34"/>
      <c r="N821" s="34"/>
      <c r="O821" s="29"/>
      <c r="P821" s="29"/>
      <c r="Q821" s="29"/>
      <c r="R821" s="29"/>
      <c r="S821" s="29"/>
      <c r="T821" s="476"/>
      <c r="U821" s="29"/>
      <c r="V821" s="2"/>
      <c r="W821" s="29"/>
      <c r="X821" s="2"/>
      <c r="Y821" s="29"/>
    </row>
    <row x14ac:dyDescent="0.25" r="822" customHeight="1" ht="15.75">
      <c r="A822" s="502"/>
      <c r="B822" s="34"/>
      <c r="C822" s="34"/>
      <c r="D822" s="34"/>
      <c r="E822" s="34"/>
      <c r="F822" s="34"/>
      <c r="G822" s="34"/>
      <c r="H822" s="34"/>
      <c r="I822" s="29"/>
      <c r="J822" s="29"/>
      <c r="K822" s="29"/>
      <c r="L822" s="29"/>
      <c r="M822" s="34"/>
      <c r="N822" s="34"/>
      <c r="O822" s="29"/>
      <c r="P822" s="29"/>
      <c r="Q822" s="29"/>
      <c r="R822" s="29"/>
      <c r="S822" s="29"/>
      <c r="T822" s="476"/>
      <c r="U822" s="29"/>
      <c r="V822" s="2"/>
      <c r="W822" s="29"/>
      <c r="X822" s="2"/>
      <c r="Y822" s="29"/>
    </row>
    <row x14ac:dyDescent="0.25" r="823" customHeight="1" ht="15.75">
      <c r="A823" s="502"/>
      <c r="B823" s="34"/>
      <c r="C823" s="34"/>
      <c r="D823" s="34"/>
      <c r="E823" s="34"/>
      <c r="F823" s="34"/>
      <c r="G823" s="34"/>
      <c r="H823" s="34"/>
      <c r="I823" s="29"/>
      <c r="J823" s="29"/>
      <c r="K823" s="29"/>
      <c r="L823" s="29"/>
      <c r="M823" s="34"/>
      <c r="N823" s="34"/>
      <c r="O823" s="29"/>
      <c r="P823" s="29"/>
      <c r="Q823" s="29"/>
      <c r="R823" s="29"/>
      <c r="S823" s="29"/>
      <c r="T823" s="476"/>
      <c r="U823" s="29"/>
      <c r="V823" s="2"/>
      <c r="W823" s="29"/>
      <c r="X823" s="2"/>
      <c r="Y823" s="29"/>
    </row>
    <row x14ac:dyDescent="0.25" r="824" customHeight="1" ht="15.75">
      <c r="A824" s="502"/>
      <c r="B824" s="34"/>
      <c r="C824" s="34"/>
      <c r="D824" s="34"/>
      <c r="E824" s="34"/>
      <c r="F824" s="34"/>
      <c r="G824" s="34"/>
      <c r="H824" s="34"/>
      <c r="I824" s="29"/>
      <c r="J824" s="29"/>
      <c r="K824" s="29"/>
      <c r="L824" s="29"/>
      <c r="M824" s="34"/>
      <c r="N824" s="34"/>
      <c r="O824" s="29"/>
      <c r="P824" s="29"/>
      <c r="Q824" s="29"/>
      <c r="R824" s="29"/>
      <c r="S824" s="29"/>
      <c r="T824" s="476"/>
      <c r="U824" s="29"/>
      <c r="V824" s="2"/>
      <c r="W824" s="29"/>
      <c r="X824" s="2"/>
      <c r="Y824" s="29"/>
    </row>
    <row x14ac:dyDescent="0.25" r="825" customHeight="1" ht="15.75">
      <c r="A825" s="502"/>
      <c r="B825" s="34"/>
      <c r="C825" s="34"/>
      <c r="D825" s="34"/>
      <c r="E825" s="34"/>
      <c r="F825" s="34"/>
      <c r="G825" s="34"/>
      <c r="H825" s="34"/>
      <c r="I825" s="29"/>
      <c r="J825" s="29"/>
      <c r="K825" s="29"/>
      <c r="L825" s="29"/>
      <c r="M825" s="34"/>
      <c r="N825" s="34"/>
      <c r="O825" s="29"/>
      <c r="P825" s="29"/>
      <c r="Q825" s="29"/>
      <c r="R825" s="29"/>
      <c r="S825" s="29"/>
      <c r="T825" s="476"/>
      <c r="U825" s="29"/>
      <c r="V825" s="2"/>
      <c r="W825" s="29"/>
      <c r="X825" s="2"/>
      <c r="Y825" s="29"/>
    </row>
    <row x14ac:dyDescent="0.25" r="826" customHeight="1" ht="15.75">
      <c r="A826" s="502"/>
      <c r="B826" s="34"/>
      <c r="C826" s="34"/>
      <c r="D826" s="34"/>
      <c r="E826" s="34"/>
      <c r="F826" s="34"/>
      <c r="G826" s="34"/>
      <c r="H826" s="34"/>
      <c r="I826" s="29"/>
      <c r="J826" s="29"/>
      <c r="K826" s="29"/>
      <c r="L826" s="29"/>
      <c r="M826" s="34"/>
      <c r="N826" s="34"/>
      <c r="O826" s="29"/>
      <c r="P826" s="29"/>
      <c r="Q826" s="29"/>
      <c r="R826" s="29"/>
      <c r="S826" s="29"/>
      <c r="T826" s="476"/>
      <c r="U826" s="29"/>
      <c r="V826" s="2"/>
      <c r="W826" s="29"/>
      <c r="X826" s="2"/>
      <c r="Y826" s="29"/>
    </row>
    <row x14ac:dyDescent="0.25" r="827" customHeight="1" ht="15.75">
      <c r="A827" s="502"/>
      <c r="B827" s="34"/>
      <c r="C827" s="34"/>
      <c r="D827" s="34"/>
      <c r="E827" s="34"/>
      <c r="F827" s="34"/>
      <c r="G827" s="34"/>
      <c r="H827" s="34"/>
      <c r="I827" s="29"/>
      <c r="J827" s="29"/>
      <c r="K827" s="29"/>
      <c r="L827" s="29"/>
      <c r="M827" s="34"/>
      <c r="N827" s="34"/>
      <c r="O827" s="29"/>
      <c r="P827" s="29"/>
      <c r="Q827" s="29"/>
      <c r="R827" s="29"/>
      <c r="S827" s="29"/>
      <c r="T827" s="476"/>
      <c r="U827" s="29"/>
      <c r="V827" s="2"/>
      <c r="W827" s="29"/>
      <c r="X827" s="2"/>
      <c r="Y827" s="29"/>
    </row>
    <row x14ac:dyDescent="0.25" r="828" customHeight="1" ht="15.75">
      <c r="A828" s="502"/>
      <c r="B828" s="34"/>
      <c r="C828" s="34"/>
      <c r="D828" s="34"/>
      <c r="E828" s="34"/>
      <c r="F828" s="34"/>
      <c r="G828" s="34"/>
      <c r="H828" s="34"/>
      <c r="I828" s="29"/>
      <c r="J828" s="29"/>
      <c r="K828" s="29"/>
      <c r="L828" s="29"/>
      <c r="M828" s="34"/>
      <c r="N828" s="34"/>
      <c r="O828" s="29"/>
      <c r="P828" s="29"/>
      <c r="Q828" s="29"/>
      <c r="R828" s="29"/>
      <c r="S828" s="29"/>
      <c r="T828" s="476"/>
      <c r="U828" s="29"/>
      <c r="V828" s="2"/>
      <c r="W828" s="29"/>
      <c r="X828" s="2"/>
      <c r="Y828" s="29"/>
    </row>
    <row x14ac:dyDescent="0.25" r="829" customHeight="1" ht="15.75">
      <c r="A829" s="502"/>
      <c r="B829" s="34"/>
      <c r="C829" s="34"/>
      <c r="D829" s="34"/>
      <c r="E829" s="34"/>
      <c r="F829" s="34"/>
      <c r="G829" s="34"/>
      <c r="H829" s="34"/>
      <c r="I829" s="29"/>
      <c r="J829" s="29"/>
      <c r="K829" s="29"/>
      <c r="L829" s="29"/>
      <c r="M829" s="34"/>
      <c r="N829" s="34"/>
      <c r="O829" s="29"/>
      <c r="P829" s="29"/>
      <c r="Q829" s="29"/>
      <c r="R829" s="29"/>
      <c r="S829" s="29"/>
      <c r="T829" s="476"/>
      <c r="U829" s="29"/>
      <c r="V829" s="2"/>
      <c r="W829" s="29"/>
      <c r="X829" s="2"/>
      <c r="Y829" s="29"/>
    </row>
    <row x14ac:dyDescent="0.25" r="830" customHeight="1" ht="15.75">
      <c r="A830" s="502"/>
      <c r="B830" s="34"/>
      <c r="C830" s="34"/>
      <c r="D830" s="34"/>
      <c r="E830" s="34"/>
      <c r="F830" s="34"/>
      <c r="G830" s="34"/>
      <c r="H830" s="34"/>
      <c r="I830" s="29"/>
      <c r="J830" s="29"/>
      <c r="K830" s="29"/>
      <c r="L830" s="29"/>
      <c r="M830" s="34"/>
      <c r="N830" s="34"/>
      <c r="O830" s="29"/>
      <c r="P830" s="29"/>
      <c r="Q830" s="29"/>
      <c r="R830" s="29"/>
      <c r="S830" s="29"/>
      <c r="T830" s="476"/>
      <c r="U830" s="29"/>
      <c r="V830" s="2"/>
      <c r="W830" s="29"/>
      <c r="X830" s="2"/>
      <c r="Y830" s="29"/>
    </row>
    <row x14ac:dyDescent="0.25" r="831" customHeight="1" ht="15.75">
      <c r="A831" s="502"/>
      <c r="B831" s="34"/>
      <c r="C831" s="34"/>
      <c r="D831" s="34"/>
      <c r="E831" s="34"/>
      <c r="F831" s="34"/>
      <c r="G831" s="34"/>
      <c r="H831" s="34"/>
      <c r="I831" s="29"/>
      <c r="J831" s="29"/>
      <c r="K831" s="29"/>
      <c r="L831" s="29"/>
      <c r="M831" s="34"/>
      <c r="N831" s="34"/>
      <c r="O831" s="29"/>
      <c r="P831" s="29"/>
      <c r="Q831" s="29"/>
      <c r="R831" s="29"/>
      <c r="S831" s="29"/>
      <c r="T831" s="476"/>
      <c r="U831" s="29"/>
      <c r="V831" s="2"/>
      <c r="W831" s="29"/>
      <c r="X831" s="2"/>
      <c r="Y831" s="29"/>
    </row>
    <row x14ac:dyDescent="0.25" r="832" customHeight="1" ht="15.75">
      <c r="A832" s="502"/>
      <c r="B832" s="34"/>
      <c r="C832" s="34"/>
      <c r="D832" s="34"/>
      <c r="E832" s="34"/>
      <c r="F832" s="34"/>
      <c r="G832" s="34"/>
      <c r="H832" s="34"/>
      <c r="I832" s="29"/>
      <c r="J832" s="29"/>
      <c r="K832" s="29"/>
      <c r="L832" s="29"/>
      <c r="M832" s="34"/>
      <c r="N832" s="34"/>
      <c r="O832" s="29"/>
      <c r="P832" s="29"/>
      <c r="Q832" s="29"/>
      <c r="R832" s="29"/>
      <c r="S832" s="29"/>
      <c r="T832" s="476"/>
      <c r="U832" s="29"/>
      <c r="V832" s="2"/>
      <c r="W832" s="29"/>
      <c r="X832" s="2"/>
      <c r="Y832" s="29"/>
    </row>
    <row x14ac:dyDescent="0.25" r="833" customHeight="1" ht="15.75">
      <c r="A833" s="502"/>
      <c r="B833" s="34"/>
      <c r="C833" s="34"/>
      <c r="D833" s="34"/>
      <c r="E833" s="34"/>
      <c r="F833" s="34"/>
      <c r="G833" s="34"/>
      <c r="H833" s="34"/>
      <c r="I833" s="29"/>
      <c r="J833" s="29"/>
      <c r="K833" s="29"/>
      <c r="L833" s="29"/>
      <c r="M833" s="34"/>
      <c r="N833" s="34"/>
      <c r="O833" s="29"/>
      <c r="P833" s="29"/>
      <c r="Q833" s="29"/>
      <c r="R833" s="29"/>
      <c r="S833" s="29"/>
      <c r="T833" s="476"/>
      <c r="U833" s="29"/>
      <c r="V833" s="2"/>
      <c r="W833" s="29"/>
      <c r="X833" s="2"/>
      <c r="Y833" s="29"/>
    </row>
    <row x14ac:dyDescent="0.25" r="834" customHeight="1" ht="15.75">
      <c r="A834" s="502"/>
      <c r="B834" s="34"/>
      <c r="C834" s="34"/>
      <c r="D834" s="34"/>
      <c r="E834" s="34"/>
      <c r="F834" s="34"/>
      <c r="G834" s="34"/>
      <c r="H834" s="34"/>
      <c r="I834" s="29"/>
      <c r="J834" s="29"/>
      <c r="K834" s="29"/>
      <c r="L834" s="29"/>
      <c r="M834" s="34"/>
      <c r="N834" s="34"/>
      <c r="O834" s="29"/>
      <c r="P834" s="29"/>
      <c r="Q834" s="29"/>
      <c r="R834" s="29"/>
      <c r="S834" s="29"/>
      <c r="T834" s="476"/>
      <c r="U834" s="29"/>
      <c r="V834" s="2"/>
      <c r="W834" s="29"/>
      <c r="X834" s="2"/>
      <c r="Y834" s="29"/>
    </row>
    <row x14ac:dyDescent="0.25" r="835" customHeight="1" ht="15.75">
      <c r="A835" s="502"/>
      <c r="B835" s="34"/>
      <c r="C835" s="34"/>
      <c r="D835" s="34"/>
      <c r="E835" s="34"/>
      <c r="F835" s="34"/>
      <c r="G835" s="34"/>
      <c r="H835" s="34"/>
      <c r="I835" s="29"/>
      <c r="J835" s="29"/>
      <c r="K835" s="29"/>
      <c r="L835" s="29"/>
      <c r="M835" s="34"/>
      <c r="N835" s="34"/>
      <c r="O835" s="29"/>
      <c r="P835" s="29"/>
      <c r="Q835" s="29"/>
      <c r="R835" s="29"/>
      <c r="S835" s="29"/>
      <c r="T835" s="476"/>
      <c r="U835" s="29"/>
      <c r="V835" s="2"/>
      <c r="W835" s="29"/>
      <c r="X835" s="2"/>
      <c r="Y835" s="29"/>
    </row>
    <row x14ac:dyDescent="0.25" r="836" customHeight="1" ht="15.75">
      <c r="A836" s="502"/>
      <c r="B836" s="34"/>
      <c r="C836" s="34"/>
      <c r="D836" s="34"/>
      <c r="E836" s="34"/>
      <c r="F836" s="34"/>
      <c r="G836" s="34"/>
      <c r="H836" s="34"/>
      <c r="I836" s="29"/>
      <c r="J836" s="29"/>
      <c r="K836" s="29"/>
      <c r="L836" s="29"/>
      <c r="M836" s="34"/>
      <c r="N836" s="34"/>
      <c r="O836" s="29"/>
      <c r="P836" s="29"/>
      <c r="Q836" s="29"/>
      <c r="R836" s="29"/>
      <c r="S836" s="29"/>
      <c r="T836" s="476"/>
      <c r="U836" s="29"/>
      <c r="V836" s="2"/>
      <c r="W836" s="29"/>
      <c r="X836" s="2"/>
      <c r="Y836" s="29"/>
    </row>
    <row x14ac:dyDescent="0.25" r="837" customHeight="1" ht="15.75">
      <c r="A837" s="502"/>
      <c r="B837" s="34"/>
      <c r="C837" s="34"/>
      <c r="D837" s="34"/>
      <c r="E837" s="34"/>
      <c r="F837" s="34"/>
      <c r="G837" s="34"/>
      <c r="H837" s="34"/>
      <c r="I837" s="29"/>
      <c r="J837" s="29"/>
      <c r="K837" s="29"/>
      <c r="L837" s="29"/>
      <c r="M837" s="34"/>
      <c r="N837" s="34"/>
      <c r="O837" s="29"/>
      <c r="P837" s="29"/>
      <c r="Q837" s="29"/>
      <c r="R837" s="29"/>
      <c r="S837" s="29"/>
      <c r="T837" s="476"/>
      <c r="U837" s="29"/>
      <c r="V837" s="2"/>
      <c r="W837" s="29"/>
      <c r="X837" s="2"/>
      <c r="Y837" s="29"/>
    </row>
    <row x14ac:dyDescent="0.25" r="838" customHeight="1" ht="15.75">
      <c r="A838" s="502"/>
      <c r="B838" s="34"/>
      <c r="C838" s="34"/>
      <c r="D838" s="34"/>
      <c r="E838" s="34"/>
      <c r="F838" s="34"/>
      <c r="G838" s="34"/>
      <c r="H838" s="34"/>
      <c r="I838" s="29"/>
      <c r="J838" s="29"/>
      <c r="K838" s="29"/>
      <c r="L838" s="29"/>
      <c r="M838" s="34"/>
      <c r="N838" s="34"/>
      <c r="O838" s="29"/>
      <c r="P838" s="29"/>
      <c r="Q838" s="29"/>
      <c r="R838" s="29"/>
      <c r="S838" s="29"/>
      <c r="T838" s="476"/>
      <c r="U838" s="29"/>
      <c r="V838" s="2"/>
      <c r="W838" s="29"/>
      <c r="X838" s="2"/>
      <c r="Y838" s="29"/>
    </row>
    <row x14ac:dyDescent="0.25" r="839" customHeight="1" ht="15.75">
      <c r="A839" s="502"/>
      <c r="B839" s="34"/>
      <c r="C839" s="34"/>
      <c r="D839" s="34"/>
      <c r="E839" s="34"/>
      <c r="F839" s="34"/>
      <c r="G839" s="34"/>
      <c r="H839" s="34"/>
      <c r="I839" s="29"/>
      <c r="J839" s="29"/>
      <c r="K839" s="29"/>
      <c r="L839" s="29"/>
      <c r="M839" s="34"/>
      <c r="N839" s="34"/>
      <c r="O839" s="29"/>
      <c r="P839" s="29"/>
      <c r="Q839" s="29"/>
      <c r="R839" s="29"/>
      <c r="S839" s="29"/>
      <c r="T839" s="476"/>
      <c r="U839" s="29"/>
      <c r="V839" s="2"/>
      <c r="W839" s="29"/>
      <c r="X839" s="2"/>
      <c r="Y839" s="29"/>
    </row>
    <row x14ac:dyDescent="0.25" r="840" customHeight="1" ht="15.75">
      <c r="A840" s="502"/>
      <c r="B840" s="34"/>
      <c r="C840" s="34"/>
      <c r="D840" s="34"/>
      <c r="E840" s="34"/>
      <c r="F840" s="34"/>
      <c r="G840" s="34"/>
      <c r="H840" s="34"/>
      <c r="I840" s="29"/>
      <c r="J840" s="29"/>
      <c r="K840" s="29"/>
      <c r="L840" s="29"/>
      <c r="M840" s="34"/>
      <c r="N840" s="34"/>
      <c r="O840" s="29"/>
      <c r="P840" s="29"/>
      <c r="Q840" s="29"/>
      <c r="R840" s="29"/>
      <c r="S840" s="29"/>
      <c r="T840" s="476"/>
      <c r="U840" s="29"/>
      <c r="V840" s="2"/>
      <c r="W840" s="29"/>
      <c r="X840" s="2"/>
      <c r="Y840" s="29"/>
    </row>
    <row x14ac:dyDescent="0.25" r="841" customHeight="1" ht="15.75">
      <c r="A841" s="502"/>
      <c r="B841" s="34"/>
      <c r="C841" s="34"/>
      <c r="D841" s="34"/>
      <c r="E841" s="34"/>
      <c r="F841" s="34"/>
      <c r="G841" s="34"/>
      <c r="H841" s="34"/>
      <c r="I841" s="29"/>
      <c r="J841" s="29"/>
      <c r="K841" s="29"/>
      <c r="L841" s="29"/>
      <c r="M841" s="34"/>
      <c r="N841" s="34"/>
      <c r="O841" s="29"/>
      <c r="P841" s="29"/>
      <c r="Q841" s="29"/>
      <c r="R841" s="29"/>
      <c r="S841" s="29"/>
      <c r="T841" s="476"/>
      <c r="U841" s="29"/>
      <c r="V841" s="2"/>
      <c r="W841" s="29"/>
      <c r="X841" s="2"/>
      <c r="Y841" s="29"/>
    </row>
    <row x14ac:dyDescent="0.25" r="842" customHeight="1" ht="15.75">
      <c r="A842" s="502"/>
      <c r="B842" s="34"/>
      <c r="C842" s="34"/>
      <c r="D842" s="34"/>
      <c r="E842" s="34"/>
      <c r="F842" s="34"/>
      <c r="G842" s="34"/>
      <c r="H842" s="34"/>
      <c r="I842" s="29"/>
      <c r="J842" s="29"/>
      <c r="K842" s="29"/>
      <c r="L842" s="29"/>
      <c r="M842" s="34"/>
      <c r="N842" s="34"/>
      <c r="O842" s="29"/>
      <c r="P842" s="29"/>
      <c r="Q842" s="29"/>
      <c r="R842" s="29"/>
      <c r="S842" s="29"/>
      <c r="T842" s="476"/>
      <c r="U842" s="29"/>
      <c r="V842" s="2"/>
      <c r="W842" s="29"/>
      <c r="X842" s="2"/>
      <c r="Y842" s="29"/>
    </row>
    <row x14ac:dyDescent="0.25" r="843" customHeight="1" ht="15.75">
      <c r="A843" s="502"/>
      <c r="B843" s="34"/>
      <c r="C843" s="34"/>
      <c r="D843" s="34"/>
      <c r="E843" s="34"/>
      <c r="F843" s="34"/>
      <c r="G843" s="34"/>
      <c r="H843" s="34"/>
      <c r="I843" s="29"/>
      <c r="J843" s="29"/>
      <c r="K843" s="29"/>
      <c r="L843" s="29"/>
      <c r="M843" s="34"/>
      <c r="N843" s="34"/>
      <c r="O843" s="29"/>
      <c r="P843" s="29"/>
      <c r="Q843" s="29"/>
      <c r="R843" s="29"/>
      <c r="S843" s="29"/>
      <c r="T843" s="476"/>
      <c r="U843" s="29"/>
      <c r="V843" s="2"/>
      <c r="W843" s="29"/>
      <c r="X843" s="2"/>
      <c r="Y843" s="29"/>
    </row>
    <row x14ac:dyDescent="0.25" r="844" customHeight="1" ht="15.75">
      <c r="A844" s="502"/>
      <c r="B844" s="34"/>
      <c r="C844" s="34"/>
      <c r="D844" s="34"/>
      <c r="E844" s="34"/>
      <c r="F844" s="34"/>
      <c r="G844" s="34"/>
      <c r="H844" s="34"/>
      <c r="I844" s="29"/>
      <c r="J844" s="29"/>
      <c r="K844" s="29"/>
      <c r="L844" s="29"/>
      <c r="M844" s="34"/>
      <c r="N844" s="34"/>
      <c r="O844" s="29"/>
      <c r="P844" s="29"/>
      <c r="Q844" s="29"/>
      <c r="R844" s="29"/>
      <c r="S844" s="29"/>
      <c r="T844" s="476"/>
      <c r="U844" s="29"/>
      <c r="V844" s="2"/>
      <c r="W844" s="29"/>
      <c r="X844" s="2"/>
      <c r="Y844" s="29"/>
    </row>
    <row x14ac:dyDescent="0.25" r="845" customHeight="1" ht="15.75">
      <c r="A845" s="502"/>
      <c r="B845" s="34"/>
      <c r="C845" s="34"/>
      <c r="D845" s="34"/>
      <c r="E845" s="34"/>
      <c r="F845" s="34"/>
      <c r="G845" s="34"/>
      <c r="H845" s="34"/>
      <c r="I845" s="29"/>
      <c r="J845" s="29"/>
      <c r="K845" s="29"/>
      <c r="L845" s="29"/>
      <c r="M845" s="34"/>
      <c r="N845" s="34"/>
      <c r="O845" s="29"/>
      <c r="P845" s="29"/>
      <c r="Q845" s="29"/>
      <c r="R845" s="29"/>
      <c r="S845" s="29"/>
      <c r="T845" s="476"/>
      <c r="U845" s="29"/>
      <c r="V845" s="2"/>
      <c r="W845" s="29"/>
      <c r="X845" s="2"/>
      <c r="Y845" s="29"/>
    </row>
    <row x14ac:dyDescent="0.25" r="846" customHeight="1" ht="15.75">
      <c r="A846" s="502"/>
      <c r="B846" s="34"/>
      <c r="C846" s="34"/>
      <c r="D846" s="34"/>
      <c r="E846" s="34"/>
      <c r="F846" s="34"/>
      <c r="G846" s="34"/>
      <c r="H846" s="34"/>
      <c r="I846" s="29"/>
      <c r="J846" s="29"/>
      <c r="K846" s="29"/>
      <c r="L846" s="29"/>
      <c r="M846" s="34"/>
      <c r="N846" s="34"/>
      <c r="O846" s="29"/>
      <c r="P846" s="29"/>
      <c r="Q846" s="29"/>
      <c r="R846" s="29"/>
      <c r="S846" s="29"/>
      <c r="T846" s="476"/>
      <c r="U846" s="29"/>
      <c r="V846" s="2"/>
      <c r="W846" s="29"/>
      <c r="X846" s="2"/>
      <c r="Y846" s="29"/>
    </row>
    <row x14ac:dyDescent="0.25" r="847" customHeight="1" ht="15.75">
      <c r="A847" s="502"/>
      <c r="B847" s="34"/>
      <c r="C847" s="34"/>
      <c r="D847" s="34"/>
      <c r="E847" s="34"/>
      <c r="F847" s="34"/>
      <c r="G847" s="34"/>
      <c r="H847" s="34"/>
      <c r="I847" s="29"/>
      <c r="J847" s="29"/>
      <c r="K847" s="29"/>
      <c r="L847" s="29"/>
      <c r="M847" s="34"/>
      <c r="N847" s="34"/>
      <c r="O847" s="29"/>
      <c r="P847" s="29"/>
      <c r="Q847" s="29"/>
      <c r="R847" s="29"/>
      <c r="S847" s="29"/>
      <c r="T847" s="476"/>
      <c r="U847" s="29"/>
      <c r="V847" s="2"/>
      <c r="W847" s="29"/>
      <c r="X847" s="2"/>
      <c r="Y847" s="29"/>
    </row>
    <row x14ac:dyDescent="0.25" r="848" customHeight="1" ht="15.75">
      <c r="A848" s="502"/>
      <c r="B848" s="34"/>
      <c r="C848" s="34"/>
      <c r="D848" s="34"/>
      <c r="E848" s="34"/>
      <c r="F848" s="34"/>
      <c r="G848" s="34"/>
      <c r="H848" s="34"/>
      <c r="I848" s="29"/>
      <c r="J848" s="29"/>
      <c r="K848" s="29"/>
      <c r="L848" s="29"/>
      <c r="M848" s="34"/>
      <c r="N848" s="34"/>
      <c r="O848" s="29"/>
      <c r="P848" s="29"/>
      <c r="Q848" s="29"/>
      <c r="R848" s="29"/>
      <c r="S848" s="29"/>
      <c r="T848" s="476"/>
      <c r="U848" s="29"/>
      <c r="V848" s="2"/>
      <c r="W848" s="29"/>
      <c r="X848" s="2"/>
      <c r="Y848" s="29"/>
    </row>
    <row x14ac:dyDescent="0.25" r="849" customHeight="1" ht="15.75">
      <c r="A849" s="502"/>
      <c r="B849" s="34"/>
      <c r="C849" s="34"/>
      <c r="D849" s="34"/>
      <c r="E849" s="34"/>
      <c r="F849" s="34"/>
      <c r="G849" s="34"/>
      <c r="H849" s="34"/>
      <c r="I849" s="29"/>
      <c r="J849" s="29"/>
      <c r="K849" s="29"/>
      <c r="L849" s="29"/>
      <c r="M849" s="34"/>
      <c r="N849" s="34"/>
      <c r="O849" s="29"/>
      <c r="P849" s="29"/>
      <c r="Q849" s="29"/>
      <c r="R849" s="29"/>
      <c r="S849" s="29"/>
      <c r="T849" s="476"/>
      <c r="U849" s="29"/>
      <c r="V849" s="2"/>
      <c r="W849" s="29"/>
      <c r="X849" s="2"/>
      <c r="Y849" s="29"/>
    </row>
    <row x14ac:dyDescent="0.25" r="850" customHeight="1" ht="15.75">
      <c r="A850" s="502"/>
      <c r="B850" s="34"/>
      <c r="C850" s="34"/>
      <c r="D850" s="34"/>
      <c r="E850" s="34"/>
      <c r="F850" s="34"/>
      <c r="G850" s="34"/>
      <c r="H850" s="34"/>
      <c r="I850" s="29"/>
      <c r="J850" s="29"/>
      <c r="K850" s="29"/>
      <c r="L850" s="29"/>
      <c r="M850" s="34"/>
      <c r="N850" s="34"/>
      <c r="O850" s="29"/>
      <c r="P850" s="29"/>
      <c r="Q850" s="29"/>
      <c r="R850" s="29"/>
      <c r="S850" s="29"/>
      <c r="T850" s="476"/>
      <c r="U850" s="29"/>
      <c r="V850" s="2"/>
      <c r="W850" s="29"/>
      <c r="X850" s="2"/>
      <c r="Y850" s="29"/>
    </row>
    <row x14ac:dyDescent="0.25" r="851" customHeight="1" ht="15.75">
      <c r="A851" s="502"/>
      <c r="B851" s="34"/>
      <c r="C851" s="34"/>
      <c r="D851" s="34"/>
      <c r="E851" s="34"/>
      <c r="F851" s="34"/>
      <c r="G851" s="34"/>
      <c r="H851" s="34"/>
      <c r="I851" s="29"/>
      <c r="J851" s="29"/>
      <c r="K851" s="29"/>
      <c r="L851" s="29"/>
      <c r="M851" s="34"/>
      <c r="N851" s="34"/>
      <c r="O851" s="29"/>
      <c r="P851" s="29"/>
      <c r="Q851" s="29"/>
      <c r="R851" s="29"/>
      <c r="S851" s="29"/>
      <c r="T851" s="476"/>
      <c r="U851" s="29"/>
      <c r="V851" s="2"/>
      <c r="W851" s="29"/>
      <c r="X851" s="2"/>
      <c r="Y851" s="29"/>
    </row>
    <row x14ac:dyDescent="0.25" r="852" customHeight="1" ht="15.75">
      <c r="A852" s="502"/>
      <c r="B852" s="34"/>
      <c r="C852" s="34"/>
      <c r="D852" s="34"/>
      <c r="E852" s="34"/>
      <c r="F852" s="34"/>
      <c r="G852" s="34"/>
      <c r="H852" s="34"/>
      <c r="I852" s="29"/>
      <c r="J852" s="29"/>
      <c r="K852" s="29"/>
      <c r="L852" s="29"/>
      <c r="M852" s="34"/>
      <c r="N852" s="34"/>
      <c r="O852" s="29"/>
      <c r="P852" s="29"/>
      <c r="Q852" s="29"/>
      <c r="R852" s="29"/>
      <c r="S852" s="29"/>
      <c r="T852" s="476"/>
      <c r="U852" s="29"/>
      <c r="V852" s="2"/>
      <c r="W852" s="29"/>
      <c r="X852" s="2"/>
      <c r="Y852" s="29"/>
    </row>
    <row x14ac:dyDescent="0.25" r="853" customHeight="1" ht="15.75">
      <c r="A853" s="502"/>
      <c r="B853" s="34"/>
      <c r="C853" s="34"/>
      <c r="D853" s="34"/>
      <c r="E853" s="34"/>
      <c r="F853" s="34"/>
      <c r="G853" s="34"/>
      <c r="H853" s="34"/>
      <c r="I853" s="29"/>
      <c r="J853" s="29"/>
      <c r="K853" s="29"/>
      <c r="L853" s="29"/>
      <c r="M853" s="34"/>
      <c r="N853" s="34"/>
      <c r="O853" s="29"/>
      <c r="P853" s="29"/>
      <c r="Q853" s="29"/>
      <c r="R853" s="29"/>
      <c r="S853" s="29"/>
      <c r="T853" s="476"/>
      <c r="U853" s="29"/>
      <c r="V853" s="2"/>
      <c r="W853" s="29"/>
      <c r="X853" s="2"/>
      <c r="Y853" s="29"/>
    </row>
    <row x14ac:dyDescent="0.25" r="854" customHeight="1" ht="15.75">
      <c r="A854" s="502"/>
      <c r="B854" s="34"/>
      <c r="C854" s="34"/>
      <c r="D854" s="34"/>
      <c r="E854" s="34"/>
      <c r="F854" s="34"/>
      <c r="G854" s="34"/>
      <c r="H854" s="34"/>
      <c r="I854" s="29"/>
      <c r="J854" s="29"/>
      <c r="K854" s="29"/>
      <c r="L854" s="29"/>
      <c r="M854" s="34"/>
      <c r="N854" s="34"/>
      <c r="O854" s="29"/>
      <c r="P854" s="29"/>
      <c r="Q854" s="29"/>
      <c r="R854" s="29"/>
      <c r="S854" s="29"/>
      <c r="T854" s="476"/>
      <c r="U854" s="29"/>
      <c r="V854" s="2"/>
      <c r="W854" s="29"/>
      <c r="X854" s="2"/>
      <c r="Y854" s="29"/>
    </row>
    <row x14ac:dyDescent="0.25" r="855" customHeight="1" ht="15.75">
      <c r="A855" s="502"/>
      <c r="B855" s="34"/>
      <c r="C855" s="34"/>
      <c r="D855" s="34"/>
      <c r="E855" s="34"/>
      <c r="F855" s="34"/>
      <c r="G855" s="34"/>
      <c r="H855" s="34"/>
      <c r="I855" s="29"/>
      <c r="J855" s="29"/>
      <c r="K855" s="29"/>
      <c r="L855" s="29"/>
      <c r="M855" s="34"/>
      <c r="N855" s="34"/>
      <c r="O855" s="29"/>
      <c r="P855" s="29"/>
      <c r="Q855" s="29"/>
      <c r="R855" s="29"/>
      <c r="S855" s="29"/>
      <c r="T855" s="476"/>
      <c r="U855" s="29"/>
      <c r="V855" s="2"/>
      <c r="W855" s="29"/>
      <c r="X855" s="2"/>
      <c r="Y855" s="29"/>
    </row>
    <row x14ac:dyDescent="0.25" r="856" customHeight="1" ht="15.75">
      <c r="A856" s="502"/>
      <c r="B856" s="34"/>
      <c r="C856" s="34"/>
      <c r="D856" s="34"/>
      <c r="E856" s="34"/>
      <c r="F856" s="34"/>
      <c r="G856" s="34"/>
      <c r="H856" s="34"/>
      <c r="I856" s="29"/>
      <c r="J856" s="29"/>
      <c r="K856" s="29"/>
      <c r="L856" s="29"/>
      <c r="M856" s="34"/>
      <c r="N856" s="34"/>
      <c r="O856" s="29"/>
      <c r="P856" s="29"/>
      <c r="Q856" s="29"/>
      <c r="R856" s="29"/>
      <c r="S856" s="29"/>
      <c r="T856" s="476"/>
      <c r="U856" s="29"/>
      <c r="V856" s="2"/>
      <c r="W856" s="29"/>
      <c r="X856" s="2"/>
      <c r="Y856" s="29"/>
    </row>
    <row x14ac:dyDescent="0.25" r="857" customHeight="1" ht="15.75">
      <c r="A857" s="502"/>
      <c r="B857" s="34"/>
      <c r="C857" s="34"/>
      <c r="D857" s="34"/>
      <c r="E857" s="34"/>
      <c r="F857" s="34"/>
      <c r="G857" s="34"/>
      <c r="H857" s="34"/>
      <c r="I857" s="29"/>
      <c r="J857" s="29"/>
      <c r="K857" s="29"/>
      <c r="L857" s="29"/>
      <c r="M857" s="34"/>
      <c r="N857" s="34"/>
      <c r="O857" s="29"/>
      <c r="P857" s="29"/>
      <c r="Q857" s="29"/>
      <c r="R857" s="29"/>
      <c r="S857" s="29"/>
      <c r="T857" s="476"/>
      <c r="U857" s="29"/>
      <c r="V857" s="2"/>
      <c r="W857" s="29"/>
      <c r="X857" s="2"/>
      <c r="Y857" s="29"/>
    </row>
    <row x14ac:dyDescent="0.25" r="858" customHeight="1" ht="15.75">
      <c r="A858" s="502"/>
      <c r="B858" s="34"/>
      <c r="C858" s="34"/>
      <c r="D858" s="34"/>
      <c r="E858" s="34"/>
      <c r="F858" s="34"/>
      <c r="G858" s="34"/>
      <c r="H858" s="34"/>
      <c r="I858" s="29"/>
      <c r="J858" s="29"/>
      <c r="K858" s="29"/>
      <c r="L858" s="29"/>
      <c r="M858" s="34"/>
      <c r="N858" s="34"/>
      <c r="O858" s="29"/>
      <c r="P858" s="29"/>
      <c r="Q858" s="29"/>
      <c r="R858" s="29"/>
      <c r="S858" s="29"/>
      <c r="T858" s="476"/>
      <c r="U858" s="29"/>
      <c r="V858" s="2"/>
      <c r="W858" s="29"/>
      <c r="X858" s="2"/>
      <c r="Y858" s="29"/>
    </row>
    <row x14ac:dyDescent="0.25" r="859" customHeight="1" ht="15.75">
      <c r="A859" s="502"/>
      <c r="B859" s="34"/>
      <c r="C859" s="34"/>
      <c r="D859" s="34"/>
      <c r="E859" s="34"/>
      <c r="F859" s="34"/>
      <c r="G859" s="34"/>
      <c r="H859" s="34"/>
      <c r="I859" s="29"/>
      <c r="J859" s="29"/>
      <c r="K859" s="29"/>
      <c r="L859" s="29"/>
      <c r="M859" s="34"/>
      <c r="N859" s="34"/>
      <c r="O859" s="29"/>
      <c r="P859" s="29"/>
      <c r="Q859" s="29"/>
      <c r="R859" s="29"/>
      <c r="S859" s="29"/>
      <c r="T859" s="476"/>
      <c r="U859" s="29"/>
      <c r="V859" s="2"/>
      <c r="W859" s="29"/>
      <c r="X859" s="2"/>
      <c r="Y859" s="29"/>
    </row>
    <row x14ac:dyDescent="0.25" r="860" customHeight="1" ht="15.75">
      <c r="A860" s="502"/>
      <c r="B860" s="34"/>
      <c r="C860" s="34"/>
      <c r="D860" s="34"/>
      <c r="E860" s="34"/>
      <c r="F860" s="34"/>
      <c r="G860" s="34"/>
      <c r="H860" s="34"/>
      <c r="I860" s="29"/>
      <c r="J860" s="29"/>
      <c r="K860" s="29"/>
      <c r="L860" s="29"/>
      <c r="M860" s="34"/>
      <c r="N860" s="34"/>
      <c r="O860" s="29"/>
      <c r="P860" s="29"/>
      <c r="Q860" s="29"/>
      <c r="R860" s="29"/>
      <c r="S860" s="29"/>
      <c r="T860" s="476"/>
      <c r="U860" s="29"/>
      <c r="V860" s="2"/>
      <c r="W860" s="29"/>
      <c r="X860" s="2"/>
      <c r="Y860" s="29"/>
    </row>
    <row x14ac:dyDescent="0.25" r="861" customHeight="1" ht="15.75">
      <c r="A861" s="502"/>
      <c r="B861" s="34"/>
      <c r="C861" s="34"/>
      <c r="D861" s="34"/>
      <c r="E861" s="34"/>
      <c r="F861" s="34"/>
      <c r="G861" s="34"/>
      <c r="H861" s="34"/>
      <c r="I861" s="29"/>
      <c r="J861" s="29"/>
      <c r="K861" s="29"/>
      <c r="L861" s="29"/>
      <c r="M861" s="34"/>
      <c r="N861" s="34"/>
      <c r="O861" s="29"/>
      <c r="P861" s="29"/>
      <c r="Q861" s="29"/>
      <c r="R861" s="29"/>
      <c r="S861" s="29"/>
      <c r="T861" s="476"/>
      <c r="U861" s="29"/>
      <c r="V861" s="2"/>
      <c r="W861" s="29"/>
      <c r="X861" s="2"/>
      <c r="Y861" s="29"/>
    </row>
    <row x14ac:dyDescent="0.25" r="862" customHeight="1" ht="15.75">
      <c r="A862" s="502"/>
      <c r="B862" s="34"/>
      <c r="C862" s="34"/>
      <c r="D862" s="34"/>
      <c r="E862" s="34"/>
      <c r="F862" s="34"/>
      <c r="G862" s="34"/>
      <c r="H862" s="34"/>
      <c r="I862" s="29"/>
      <c r="J862" s="29"/>
      <c r="K862" s="29"/>
      <c r="L862" s="29"/>
      <c r="M862" s="34"/>
      <c r="N862" s="34"/>
      <c r="O862" s="29"/>
      <c r="P862" s="29"/>
      <c r="Q862" s="29"/>
      <c r="R862" s="29"/>
      <c r="S862" s="29"/>
      <c r="T862" s="476"/>
      <c r="U862" s="29"/>
      <c r="V862" s="2"/>
      <c r="W862" s="29"/>
      <c r="X862" s="2"/>
      <c r="Y862" s="29"/>
    </row>
    <row x14ac:dyDescent="0.25" r="863" customHeight="1" ht="15.75">
      <c r="A863" s="502"/>
      <c r="B863" s="34"/>
      <c r="C863" s="34"/>
      <c r="D863" s="34"/>
      <c r="E863" s="34"/>
      <c r="F863" s="34"/>
      <c r="G863" s="34"/>
      <c r="H863" s="34"/>
      <c r="I863" s="29"/>
      <c r="J863" s="29"/>
      <c r="K863" s="29"/>
      <c r="L863" s="29"/>
      <c r="M863" s="34"/>
      <c r="N863" s="34"/>
      <c r="O863" s="29"/>
      <c r="P863" s="29"/>
      <c r="Q863" s="29"/>
      <c r="R863" s="29"/>
      <c r="S863" s="29"/>
      <c r="T863" s="476"/>
      <c r="U863" s="29"/>
      <c r="V863" s="2"/>
      <c r="W863" s="29"/>
      <c r="X863" s="2"/>
      <c r="Y863" s="29"/>
    </row>
    <row x14ac:dyDescent="0.25" r="864" customHeight="1" ht="15.75">
      <c r="A864" s="502"/>
      <c r="B864" s="34"/>
      <c r="C864" s="34"/>
      <c r="D864" s="34"/>
      <c r="E864" s="34"/>
      <c r="F864" s="34"/>
      <c r="G864" s="34"/>
      <c r="H864" s="34"/>
      <c r="I864" s="29"/>
      <c r="J864" s="29"/>
      <c r="K864" s="29"/>
      <c r="L864" s="29"/>
      <c r="M864" s="34"/>
      <c r="N864" s="34"/>
      <c r="O864" s="29"/>
      <c r="P864" s="29"/>
      <c r="Q864" s="29"/>
      <c r="R864" s="29"/>
      <c r="S864" s="29"/>
      <c r="T864" s="476"/>
      <c r="U864" s="29"/>
      <c r="V864" s="2"/>
      <c r="W864" s="29"/>
      <c r="X864" s="2"/>
      <c r="Y864" s="29"/>
    </row>
    <row x14ac:dyDescent="0.25" r="865" customHeight="1" ht="15.75">
      <c r="A865" s="502"/>
      <c r="B865" s="34"/>
      <c r="C865" s="34"/>
      <c r="D865" s="34"/>
      <c r="E865" s="34"/>
      <c r="F865" s="34"/>
      <c r="G865" s="34"/>
      <c r="H865" s="34"/>
      <c r="I865" s="29"/>
      <c r="J865" s="29"/>
      <c r="K865" s="29"/>
      <c r="L865" s="29"/>
      <c r="M865" s="34"/>
      <c r="N865" s="34"/>
      <c r="O865" s="29"/>
      <c r="P865" s="29"/>
      <c r="Q865" s="29"/>
      <c r="R865" s="29"/>
      <c r="S865" s="29"/>
      <c r="T865" s="476"/>
      <c r="U865" s="29"/>
      <c r="V865" s="2"/>
      <c r="W865" s="29"/>
      <c r="X865" s="2"/>
      <c r="Y865" s="29"/>
    </row>
    <row x14ac:dyDescent="0.25" r="866" customHeight="1" ht="15.75">
      <c r="A866" s="502"/>
      <c r="B866" s="34"/>
      <c r="C866" s="34"/>
      <c r="D866" s="34"/>
      <c r="E866" s="34"/>
      <c r="F866" s="34"/>
      <c r="G866" s="34"/>
      <c r="H866" s="34"/>
      <c r="I866" s="29"/>
      <c r="J866" s="29"/>
      <c r="K866" s="29"/>
      <c r="L866" s="29"/>
      <c r="M866" s="34"/>
      <c r="N866" s="34"/>
      <c r="O866" s="29"/>
      <c r="P866" s="29"/>
      <c r="Q866" s="29"/>
      <c r="R866" s="29"/>
      <c r="S866" s="29"/>
      <c r="T866" s="476"/>
      <c r="U866" s="29"/>
      <c r="V866" s="2"/>
      <c r="W866" s="29"/>
      <c r="X866" s="2"/>
      <c r="Y866" s="29"/>
    </row>
    <row x14ac:dyDescent="0.25" r="867" customHeight="1" ht="15.75">
      <c r="A867" s="502"/>
      <c r="B867" s="34"/>
      <c r="C867" s="34"/>
      <c r="D867" s="34"/>
      <c r="E867" s="34"/>
      <c r="F867" s="34"/>
      <c r="G867" s="34"/>
      <c r="H867" s="34"/>
      <c r="I867" s="29"/>
      <c r="J867" s="29"/>
      <c r="K867" s="29"/>
      <c r="L867" s="29"/>
      <c r="M867" s="34"/>
      <c r="N867" s="34"/>
      <c r="O867" s="29"/>
      <c r="P867" s="29"/>
      <c r="Q867" s="29"/>
      <c r="R867" s="29"/>
      <c r="S867" s="29"/>
      <c r="T867" s="476"/>
      <c r="U867" s="29"/>
      <c r="V867" s="2"/>
      <c r="W867" s="29"/>
      <c r="X867" s="2"/>
      <c r="Y867" s="29"/>
    </row>
    <row x14ac:dyDescent="0.25" r="868" customHeight="1" ht="15.75">
      <c r="A868" s="502"/>
      <c r="B868" s="34"/>
      <c r="C868" s="34"/>
      <c r="D868" s="34"/>
      <c r="E868" s="34"/>
      <c r="F868" s="34"/>
      <c r="G868" s="34"/>
      <c r="H868" s="34"/>
      <c r="I868" s="29"/>
      <c r="J868" s="29"/>
      <c r="K868" s="29"/>
      <c r="L868" s="29"/>
      <c r="M868" s="34"/>
      <c r="N868" s="34"/>
      <c r="O868" s="29"/>
      <c r="P868" s="29"/>
      <c r="Q868" s="29"/>
      <c r="R868" s="29"/>
      <c r="S868" s="29"/>
      <c r="T868" s="476"/>
      <c r="U868" s="29"/>
      <c r="V868" s="2"/>
      <c r="W868" s="29"/>
      <c r="X868" s="2"/>
      <c r="Y868" s="29"/>
    </row>
    <row x14ac:dyDescent="0.25" r="869" customHeight="1" ht="15.75">
      <c r="A869" s="502"/>
      <c r="B869" s="34"/>
      <c r="C869" s="34"/>
      <c r="D869" s="34"/>
      <c r="E869" s="34"/>
      <c r="F869" s="34"/>
      <c r="G869" s="34"/>
      <c r="H869" s="34"/>
      <c r="I869" s="29"/>
      <c r="J869" s="29"/>
      <c r="K869" s="29"/>
      <c r="L869" s="29"/>
      <c r="M869" s="34"/>
      <c r="N869" s="34"/>
      <c r="O869" s="29"/>
      <c r="P869" s="29"/>
      <c r="Q869" s="29"/>
      <c r="R869" s="29"/>
      <c r="S869" s="29"/>
      <c r="T869" s="476"/>
      <c r="U869" s="29"/>
      <c r="V869" s="2"/>
      <c r="W869" s="29"/>
      <c r="X869" s="2"/>
      <c r="Y869" s="29"/>
    </row>
    <row x14ac:dyDescent="0.25" r="870" customHeight="1" ht="15.75">
      <c r="A870" s="502"/>
      <c r="B870" s="34"/>
      <c r="C870" s="34"/>
      <c r="D870" s="34"/>
      <c r="E870" s="34"/>
      <c r="F870" s="34"/>
      <c r="G870" s="34"/>
      <c r="H870" s="34"/>
      <c r="I870" s="29"/>
      <c r="J870" s="29"/>
      <c r="K870" s="29"/>
      <c r="L870" s="29"/>
      <c r="M870" s="34"/>
      <c r="N870" s="34"/>
      <c r="O870" s="29"/>
      <c r="P870" s="29"/>
      <c r="Q870" s="29"/>
      <c r="R870" s="29"/>
      <c r="S870" s="29"/>
      <c r="T870" s="476"/>
      <c r="U870" s="29"/>
      <c r="V870" s="2"/>
      <c r="W870" s="29"/>
      <c r="X870" s="2"/>
      <c r="Y870" s="29"/>
    </row>
    <row x14ac:dyDescent="0.25" r="871" customHeight="1" ht="15.75">
      <c r="A871" s="502"/>
      <c r="B871" s="34"/>
      <c r="C871" s="34"/>
      <c r="D871" s="34"/>
      <c r="E871" s="34"/>
      <c r="F871" s="34"/>
      <c r="G871" s="34"/>
      <c r="H871" s="34"/>
      <c r="I871" s="29"/>
      <c r="J871" s="29"/>
      <c r="K871" s="29"/>
      <c r="L871" s="29"/>
      <c r="M871" s="34"/>
      <c r="N871" s="34"/>
      <c r="O871" s="29"/>
      <c r="P871" s="29"/>
      <c r="Q871" s="29"/>
      <c r="R871" s="29"/>
      <c r="S871" s="29"/>
      <c r="T871" s="476"/>
      <c r="U871" s="29"/>
      <c r="V871" s="2"/>
      <c r="W871" s="29"/>
      <c r="X871" s="2"/>
      <c r="Y871" s="29"/>
    </row>
    <row x14ac:dyDescent="0.25" r="872" customHeight="1" ht="15.75">
      <c r="A872" s="502"/>
      <c r="B872" s="34"/>
      <c r="C872" s="34"/>
      <c r="D872" s="34"/>
      <c r="E872" s="34"/>
      <c r="F872" s="34"/>
      <c r="G872" s="34"/>
      <c r="H872" s="34"/>
      <c r="I872" s="29"/>
      <c r="J872" s="29"/>
      <c r="K872" s="29"/>
      <c r="L872" s="29"/>
      <c r="M872" s="34"/>
      <c r="N872" s="34"/>
      <c r="O872" s="29"/>
      <c r="P872" s="29"/>
      <c r="Q872" s="29"/>
      <c r="R872" s="29"/>
      <c r="S872" s="29"/>
      <c r="T872" s="476"/>
      <c r="U872" s="29"/>
      <c r="V872" s="2"/>
      <c r="W872" s="29"/>
      <c r="X872" s="2"/>
      <c r="Y872" s="29"/>
    </row>
    <row x14ac:dyDescent="0.25" r="873" customHeight="1" ht="15.75">
      <c r="A873" s="502"/>
      <c r="B873" s="34"/>
      <c r="C873" s="34"/>
      <c r="D873" s="34"/>
      <c r="E873" s="34"/>
      <c r="F873" s="34"/>
      <c r="G873" s="34"/>
      <c r="H873" s="34"/>
      <c r="I873" s="29"/>
      <c r="J873" s="29"/>
      <c r="K873" s="29"/>
      <c r="L873" s="29"/>
      <c r="M873" s="34"/>
      <c r="N873" s="34"/>
      <c r="O873" s="29"/>
      <c r="P873" s="29"/>
      <c r="Q873" s="29"/>
      <c r="R873" s="29"/>
      <c r="S873" s="29"/>
      <c r="T873" s="476"/>
      <c r="U873" s="29"/>
      <c r="V873" s="2"/>
      <c r="W873" s="29"/>
      <c r="X873" s="2"/>
      <c r="Y873" s="29"/>
    </row>
    <row x14ac:dyDescent="0.25" r="874" customHeight="1" ht="15.75">
      <c r="A874" s="502"/>
      <c r="B874" s="34"/>
      <c r="C874" s="34"/>
      <c r="D874" s="34"/>
      <c r="E874" s="34"/>
      <c r="F874" s="34"/>
      <c r="G874" s="34"/>
      <c r="H874" s="34"/>
      <c r="I874" s="29"/>
      <c r="J874" s="29"/>
      <c r="K874" s="29"/>
      <c r="L874" s="29"/>
      <c r="M874" s="34"/>
      <c r="N874" s="34"/>
      <c r="O874" s="29"/>
      <c r="P874" s="29"/>
      <c r="Q874" s="29"/>
      <c r="R874" s="29"/>
      <c r="S874" s="29"/>
      <c r="T874" s="476"/>
      <c r="U874" s="29"/>
      <c r="V874" s="2"/>
      <c r="W874" s="29"/>
      <c r="X874" s="2"/>
      <c r="Y874" s="29"/>
    </row>
    <row x14ac:dyDescent="0.25" r="875" customHeight="1" ht="15.75">
      <c r="A875" s="502"/>
      <c r="B875" s="34"/>
      <c r="C875" s="34"/>
      <c r="D875" s="34"/>
      <c r="E875" s="34"/>
      <c r="F875" s="34"/>
      <c r="G875" s="34"/>
      <c r="H875" s="34"/>
      <c r="I875" s="29"/>
      <c r="J875" s="29"/>
      <c r="K875" s="29"/>
      <c r="L875" s="29"/>
      <c r="M875" s="34"/>
      <c r="N875" s="34"/>
      <c r="O875" s="29"/>
      <c r="P875" s="29"/>
      <c r="Q875" s="29"/>
      <c r="R875" s="29"/>
      <c r="S875" s="29"/>
      <c r="T875" s="476"/>
      <c r="U875" s="29"/>
      <c r="V875" s="2"/>
      <c r="W875" s="29"/>
      <c r="X875" s="2"/>
      <c r="Y875" s="29"/>
    </row>
    <row x14ac:dyDescent="0.25" r="876" customHeight="1" ht="15.75">
      <c r="A876" s="502"/>
      <c r="B876" s="34"/>
      <c r="C876" s="34"/>
      <c r="D876" s="34"/>
      <c r="E876" s="34"/>
      <c r="F876" s="34"/>
      <c r="G876" s="34"/>
      <c r="H876" s="34"/>
      <c r="I876" s="29"/>
      <c r="J876" s="29"/>
      <c r="K876" s="29"/>
      <c r="L876" s="29"/>
      <c r="M876" s="34"/>
      <c r="N876" s="34"/>
      <c r="O876" s="29"/>
      <c r="P876" s="29"/>
      <c r="Q876" s="29"/>
      <c r="R876" s="29"/>
      <c r="S876" s="29"/>
      <c r="T876" s="476"/>
      <c r="U876" s="29"/>
      <c r="V876" s="2"/>
      <c r="W876" s="29"/>
      <c r="X876" s="2"/>
      <c r="Y876" s="29"/>
    </row>
    <row x14ac:dyDescent="0.25" r="877" customHeight="1" ht="15.75">
      <c r="A877" s="502"/>
      <c r="B877" s="34"/>
      <c r="C877" s="34"/>
      <c r="D877" s="34"/>
      <c r="E877" s="34"/>
      <c r="F877" s="34"/>
      <c r="G877" s="34"/>
      <c r="H877" s="34"/>
      <c r="I877" s="29"/>
      <c r="J877" s="29"/>
      <c r="K877" s="29"/>
      <c r="L877" s="29"/>
      <c r="M877" s="34"/>
      <c r="N877" s="34"/>
      <c r="O877" s="29"/>
      <c r="P877" s="29"/>
      <c r="Q877" s="29"/>
      <c r="R877" s="29"/>
      <c r="S877" s="29"/>
      <c r="T877" s="476"/>
      <c r="U877" s="29"/>
      <c r="V877" s="2"/>
      <c r="W877" s="29"/>
      <c r="X877" s="2"/>
      <c r="Y877" s="29"/>
    </row>
    <row x14ac:dyDescent="0.25" r="878" customHeight="1" ht="15.75">
      <c r="A878" s="502"/>
      <c r="B878" s="34"/>
      <c r="C878" s="34"/>
      <c r="D878" s="34"/>
      <c r="E878" s="34"/>
      <c r="F878" s="34"/>
      <c r="G878" s="34"/>
      <c r="H878" s="34"/>
      <c r="I878" s="29"/>
      <c r="J878" s="29"/>
      <c r="K878" s="29"/>
      <c r="L878" s="29"/>
      <c r="M878" s="34"/>
      <c r="N878" s="34"/>
      <c r="O878" s="29"/>
      <c r="P878" s="29"/>
      <c r="Q878" s="29"/>
      <c r="R878" s="29"/>
      <c r="S878" s="29"/>
      <c r="T878" s="476"/>
      <c r="U878" s="29"/>
      <c r="V878" s="2"/>
      <c r="W878" s="29"/>
      <c r="X878" s="2"/>
      <c r="Y878" s="29"/>
    </row>
    <row x14ac:dyDescent="0.25" r="879" customHeight="1" ht="15.75">
      <c r="A879" s="502"/>
      <c r="B879" s="34"/>
      <c r="C879" s="34"/>
      <c r="D879" s="34"/>
      <c r="E879" s="34"/>
      <c r="F879" s="34"/>
      <c r="G879" s="34"/>
      <c r="H879" s="34"/>
      <c r="I879" s="29"/>
      <c r="J879" s="29"/>
      <c r="K879" s="29"/>
      <c r="L879" s="29"/>
      <c r="M879" s="34"/>
      <c r="N879" s="34"/>
      <c r="O879" s="29"/>
      <c r="P879" s="29"/>
      <c r="Q879" s="29"/>
      <c r="R879" s="29"/>
      <c r="S879" s="29"/>
      <c r="T879" s="476"/>
      <c r="U879" s="29"/>
      <c r="V879" s="2"/>
      <c r="W879" s="29"/>
      <c r="X879" s="2"/>
      <c r="Y879" s="29"/>
    </row>
    <row x14ac:dyDescent="0.25" r="880" customHeight="1" ht="15.75">
      <c r="A880" s="502"/>
      <c r="B880" s="34"/>
      <c r="C880" s="34"/>
      <c r="D880" s="34"/>
      <c r="E880" s="34"/>
      <c r="F880" s="34"/>
      <c r="G880" s="34"/>
      <c r="H880" s="34"/>
      <c r="I880" s="29"/>
      <c r="J880" s="29"/>
      <c r="K880" s="29"/>
      <c r="L880" s="29"/>
      <c r="M880" s="34"/>
      <c r="N880" s="34"/>
      <c r="O880" s="29"/>
      <c r="P880" s="29"/>
      <c r="Q880" s="29"/>
      <c r="R880" s="29"/>
      <c r="S880" s="29"/>
      <c r="T880" s="476"/>
      <c r="U880" s="29"/>
      <c r="V880" s="2"/>
      <c r="W880" s="29"/>
      <c r="X880" s="2"/>
      <c r="Y880" s="29"/>
    </row>
    <row x14ac:dyDescent="0.25" r="881" customHeight="1" ht="15.75">
      <c r="A881" s="502"/>
      <c r="B881" s="34"/>
      <c r="C881" s="34"/>
      <c r="D881" s="34"/>
      <c r="E881" s="34"/>
      <c r="F881" s="34"/>
      <c r="G881" s="34"/>
      <c r="H881" s="34"/>
      <c r="I881" s="29"/>
      <c r="J881" s="29"/>
      <c r="K881" s="29"/>
      <c r="L881" s="29"/>
      <c r="M881" s="34"/>
      <c r="N881" s="34"/>
      <c r="O881" s="29"/>
      <c r="P881" s="29"/>
      <c r="Q881" s="29"/>
      <c r="R881" s="29"/>
      <c r="S881" s="29"/>
      <c r="T881" s="476"/>
      <c r="U881" s="29"/>
      <c r="V881" s="2"/>
      <c r="W881" s="29"/>
      <c r="X881" s="2"/>
      <c r="Y881" s="29"/>
    </row>
    <row x14ac:dyDescent="0.25" r="882" customHeight="1" ht="15.75">
      <c r="A882" s="502"/>
      <c r="B882" s="34"/>
      <c r="C882" s="34"/>
      <c r="D882" s="34"/>
      <c r="E882" s="34"/>
      <c r="F882" s="34"/>
      <c r="G882" s="34"/>
      <c r="H882" s="34"/>
      <c r="I882" s="29"/>
      <c r="J882" s="29"/>
      <c r="K882" s="29"/>
      <c r="L882" s="29"/>
      <c r="M882" s="34"/>
      <c r="N882" s="34"/>
      <c r="O882" s="29"/>
      <c r="P882" s="29"/>
      <c r="Q882" s="29"/>
      <c r="R882" s="29"/>
      <c r="S882" s="29"/>
      <c r="T882" s="476"/>
      <c r="U882" s="29"/>
      <c r="V882" s="2"/>
      <c r="W882" s="29"/>
      <c r="X882" s="2"/>
      <c r="Y882" s="29"/>
    </row>
    <row x14ac:dyDescent="0.25" r="883" customHeight="1" ht="15.75">
      <c r="A883" s="502"/>
      <c r="B883" s="34"/>
      <c r="C883" s="34"/>
      <c r="D883" s="34"/>
      <c r="E883" s="34"/>
      <c r="F883" s="34"/>
      <c r="G883" s="34"/>
      <c r="H883" s="34"/>
      <c r="I883" s="29"/>
      <c r="J883" s="29"/>
      <c r="K883" s="29"/>
      <c r="L883" s="29"/>
      <c r="M883" s="34"/>
      <c r="N883" s="34"/>
      <c r="O883" s="29"/>
      <c r="P883" s="29"/>
      <c r="Q883" s="29"/>
      <c r="R883" s="29"/>
      <c r="S883" s="29"/>
      <c r="T883" s="476"/>
      <c r="U883" s="29"/>
      <c r="V883" s="2"/>
      <c r="W883" s="29"/>
      <c r="X883" s="2"/>
      <c r="Y883" s="29"/>
    </row>
    <row x14ac:dyDescent="0.25" r="884" customHeight="1" ht="15.75">
      <c r="A884" s="502"/>
      <c r="B884" s="34"/>
      <c r="C884" s="34"/>
      <c r="D884" s="34"/>
      <c r="E884" s="34"/>
      <c r="F884" s="34"/>
      <c r="G884" s="34"/>
      <c r="H884" s="34"/>
      <c r="I884" s="29"/>
      <c r="J884" s="29"/>
      <c r="K884" s="29"/>
      <c r="L884" s="29"/>
      <c r="M884" s="34"/>
      <c r="N884" s="34"/>
      <c r="O884" s="29"/>
      <c r="P884" s="29"/>
      <c r="Q884" s="29"/>
      <c r="R884" s="29"/>
      <c r="S884" s="29"/>
      <c r="T884" s="476"/>
      <c r="U884" s="29"/>
      <c r="V884" s="2"/>
      <c r="W884" s="29"/>
      <c r="X884" s="2"/>
      <c r="Y884" s="29"/>
    </row>
    <row x14ac:dyDescent="0.25" r="885" customHeight="1" ht="15.75">
      <c r="A885" s="502"/>
      <c r="B885" s="34"/>
      <c r="C885" s="34"/>
      <c r="D885" s="34"/>
      <c r="E885" s="34"/>
      <c r="F885" s="34"/>
      <c r="G885" s="34"/>
      <c r="H885" s="34"/>
      <c r="I885" s="29"/>
      <c r="J885" s="29"/>
      <c r="K885" s="29"/>
      <c r="L885" s="29"/>
      <c r="M885" s="34"/>
      <c r="N885" s="34"/>
      <c r="O885" s="29"/>
      <c r="P885" s="29"/>
      <c r="Q885" s="29"/>
      <c r="R885" s="29"/>
      <c r="S885" s="29"/>
      <c r="T885" s="476"/>
      <c r="U885" s="29"/>
      <c r="V885" s="2"/>
      <c r="W885" s="29"/>
      <c r="X885" s="2"/>
      <c r="Y885" s="29"/>
    </row>
    <row x14ac:dyDescent="0.25" r="886" customHeight="1" ht="15.75">
      <c r="A886" s="502"/>
      <c r="B886" s="34"/>
      <c r="C886" s="34"/>
      <c r="D886" s="34"/>
      <c r="E886" s="34"/>
      <c r="F886" s="34"/>
      <c r="G886" s="34"/>
      <c r="H886" s="34"/>
      <c r="I886" s="29"/>
      <c r="J886" s="29"/>
      <c r="K886" s="29"/>
      <c r="L886" s="29"/>
      <c r="M886" s="34"/>
      <c r="N886" s="34"/>
      <c r="O886" s="29"/>
      <c r="P886" s="29"/>
      <c r="Q886" s="29"/>
      <c r="R886" s="29"/>
      <c r="S886" s="29"/>
      <c r="T886" s="476"/>
      <c r="U886" s="29"/>
      <c r="V886" s="2"/>
      <c r="W886" s="29"/>
      <c r="X886" s="2"/>
      <c r="Y886" s="29"/>
    </row>
    <row x14ac:dyDescent="0.25" r="887" customHeight="1" ht="15.75">
      <c r="A887" s="502"/>
      <c r="B887" s="34"/>
      <c r="C887" s="34"/>
      <c r="D887" s="34"/>
      <c r="E887" s="34"/>
      <c r="F887" s="34"/>
      <c r="G887" s="34"/>
      <c r="H887" s="34"/>
      <c r="I887" s="29"/>
      <c r="J887" s="29"/>
      <c r="K887" s="29"/>
      <c r="L887" s="29"/>
      <c r="M887" s="34"/>
      <c r="N887" s="34"/>
      <c r="O887" s="29"/>
      <c r="P887" s="29"/>
      <c r="Q887" s="29"/>
      <c r="R887" s="29"/>
      <c r="S887" s="29"/>
      <c r="T887" s="476"/>
      <c r="U887" s="29"/>
      <c r="V887" s="2"/>
      <c r="W887" s="29"/>
      <c r="X887" s="2"/>
      <c r="Y887" s="29"/>
    </row>
    <row x14ac:dyDescent="0.25" r="888" customHeight="1" ht="15.75">
      <c r="A888" s="502"/>
      <c r="B888" s="34"/>
      <c r="C888" s="34"/>
      <c r="D888" s="34"/>
      <c r="E888" s="34"/>
      <c r="F888" s="34"/>
      <c r="G888" s="34"/>
      <c r="H888" s="34"/>
      <c r="I888" s="29"/>
      <c r="J888" s="29"/>
      <c r="K888" s="29"/>
      <c r="L888" s="29"/>
      <c r="M888" s="34"/>
      <c r="N888" s="34"/>
      <c r="O888" s="29"/>
      <c r="P888" s="29"/>
      <c r="Q888" s="29"/>
      <c r="R888" s="29"/>
      <c r="S888" s="29"/>
      <c r="T888" s="476"/>
      <c r="U888" s="29"/>
      <c r="V888" s="2"/>
      <c r="W888" s="29"/>
      <c r="X888" s="2"/>
      <c r="Y888" s="29"/>
    </row>
    <row x14ac:dyDescent="0.25" r="889" customHeight="1" ht="15.75">
      <c r="A889" s="502"/>
      <c r="B889" s="34"/>
      <c r="C889" s="34"/>
      <c r="D889" s="34"/>
      <c r="E889" s="34"/>
      <c r="F889" s="34"/>
      <c r="G889" s="34"/>
      <c r="H889" s="34"/>
      <c r="I889" s="29"/>
      <c r="J889" s="29"/>
      <c r="K889" s="29"/>
      <c r="L889" s="29"/>
      <c r="M889" s="34"/>
      <c r="N889" s="34"/>
      <c r="O889" s="29"/>
      <c r="P889" s="29"/>
      <c r="Q889" s="29"/>
      <c r="R889" s="29"/>
      <c r="S889" s="29"/>
      <c r="T889" s="476"/>
      <c r="U889" s="29"/>
      <c r="V889" s="2"/>
      <c r="W889" s="29"/>
      <c r="X889" s="2"/>
      <c r="Y889" s="29"/>
    </row>
    <row x14ac:dyDescent="0.25" r="890" customHeight="1" ht="15.75">
      <c r="A890" s="502"/>
      <c r="B890" s="34"/>
      <c r="C890" s="34"/>
      <c r="D890" s="34"/>
      <c r="E890" s="34"/>
      <c r="F890" s="34"/>
      <c r="G890" s="34"/>
      <c r="H890" s="34"/>
      <c r="I890" s="29"/>
      <c r="J890" s="29"/>
      <c r="K890" s="29"/>
      <c r="L890" s="29"/>
      <c r="M890" s="34"/>
      <c r="N890" s="34"/>
      <c r="O890" s="29"/>
      <c r="P890" s="29"/>
      <c r="Q890" s="29"/>
      <c r="R890" s="29"/>
      <c r="S890" s="29"/>
      <c r="T890" s="476"/>
      <c r="U890" s="29"/>
      <c r="V890" s="2"/>
      <c r="W890" s="29"/>
      <c r="X890" s="2"/>
      <c r="Y890" s="29"/>
    </row>
    <row x14ac:dyDescent="0.25" r="891" customHeight="1" ht="15.75">
      <c r="A891" s="502"/>
      <c r="B891" s="34"/>
      <c r="C891" s="34"/>
      <c r="D891" s="34"/>
      <c r="E891" s="34"/>
      <c r="F891" s="34"/>
      <c r="G891" s="34"/>
      <c r="H891" s="34"/>
      <c r="I891" s="29"/>
      <c r="J891" s="29"/>
      <c r="K891" s="29"/>
      <c r="L891" s="29"/>
      <c r="M891" s="34"/>
      <c r="N891" s="34"/>
      <c r="O891" s="29"/>
      <c r="P891" s="29"/>
      <c r="Q891" s="29"/>
      <c r="R891" s="29"/>
      <c r="S891" s="29"/>
      <c r="T891" s="476"/>
      <c r="U891" s="29"/>
      <c r="V891" s="2"/>
      <c r="W891" s="29"/>
      <c r="X891" s="2"/>
      <c r="Y891" s="29"/>
    </row>
    <row x14ac:dyDescent="0.25" r="892" customHeight="1" ht="15.75">
      <c r="A892" s="502"/>
      <c r="B892" s="34"/>
      <c r="C892" s="34"/>
      <c r="D892" s="34"/>
      <c r="E892" s="34"/>
      <c r="F892" s="34"/>
      <c r="G892" s="34"/>
      <c r="H892" s="34"/>
      <c r="I892" s="29"/>
      <c r="J892" s="29"/>
      <c r="K892" s="29"/>
      <c r="L892" s="29"/>
      <c r="M892" s="34"/>
      <c r="N892" s="34"/>
      <c r="O892" s="29"/>
      <c r="P892" s="29"/>
      <c r="Q892" s="29"/>
      <c r="R892" s="29"/>
      <c r="S892" s="29"/>
      <c r="T892" s="476"/>
      <c r="U892" s="29"/>
      <c r="V892" s="2"/>
      <c r="W892" s="29"/>
      <c r="X892" s="2"/>
      <c r="Y892" s="29"/>
    </row>
    <row x14ac:dyDescent="0.25" r="893" customHeight="1" ht="15.75">
      <c r="A893" s="502"/>
      <c r="B893" s="34"/>
      <c r="C893" s="34"/>
      <c r="D893" s="34"/>
      <c r="E893" s="34"/>
      <c r="F893" s="34"/>
      <c r="G893" s="34"/>
      <c r="H893" s="34"/>
      <c r="I893" s="29"/>
      <c r="J893" s="29"/>
      <c r="K893" s="29"/>
      <c r="L893" s="29"/>
      <c r="M893" s="34"/>
      <c r="N893" s="34"/>
      <c r="O893" s="29"/>
      <c r="P893" s="29"/>
      <c r="Q893" s="29"/>
      <c r="R893" s="29"/>
      <c r="S893" s="29"/>
      <c r="T893" s="476"/>
      <c r="U893" s="29"/>
      <c r="V893" s="2"/>
      <c r="W893" s="29"/>
      <c r="X893" s="2"/>
      <c r="Y893" s="29"/>
    </row>
    <row x14ac:dyDescent="0.25" r="894" customHeight="1" ht="15.75">
      <c r="A894" s="502"/>
      <c r="B894" s="34"/>
      <c r="C894" s="34"/>
      <c r="D894" s="34"/>
      <c r="E894" s="34"/>
      <c r="F894" s="34"/>
      <c r="G894" s="34"/>
      <c r="H894" s="34"/>
      <c r="I894" s="29"/>
      <c r="J894" s="29"/>
      <c r="K894" s="29"/>
      <c r="L894" s="29"/>
      <c r="M894" s="34"/>
      <c r="N894" s="34"/>
      <c r="O894" s="29"/>
      <c r="P894" s="29"/>
      <c r="Q894" s="29"/>
      <c r="R894" s="29"/>
      <c r="S894" s="29"/>
      <c r="T894" s="476"/>
      <c r="U894" s="29"/>
      <c r="V894" s="2"/>
      <c r="W894" s="29"/>
      <c r="X894" s="2"/>
      <c r="Y894" s="29"/>
    </row>
    <row x14ac:dyDescent="0.25" r="895" customHeight="1" ht="15.75">
      <c r="A895" s="502"/>
      <c r="B895" s="34"/>
      <c r="C895" s="34"/>
      <c r="D895" s="34"/>
      <c r="E895" s="34"/>
      <c r="F895" s="34"/>
      <c r="G895" s="34"/>
      <c r="H895" s="34"/>
      <c r="I895" s="29"/>
      <c r="J895" s="29"/>
      <c r="K895" s="29"/>
      <c r="L895" s="29"/>
      <c r="M895" s="34"/>
      <c r="N895" s="34"/>
      <c r="O895" s="29"/>
      <c r="P895" s="29"/>
      <c r="Q895" s="29"/>
      <c r="R895" s="29"/>
      <c r="S895" s="29"/>
      <c r="T895" s="476"/>
      <c r="U895" s="29"/>
      <c r="V895" s="2"/>
      <c r="W895" s="29"/>
      <c r="X895" s="2"/>
      <c r="Y895" s="29"/>
    </row>
    <row x14ac:dyDescent="0.25" r="896" customHeight="1" ht="15.75">
      <c r="A896" s="502"/>
      <c r="B896" s="34"/>
      <c r="C896" s="34"/>
      <c r="D896" s="34"/>
      <c r="E896" s="34"/>
      <c r="F896" s="34"/>
      <c r="G896" s="34"/>
      <c r="H896" s="34"/>
      <c r="I896" s="29"/>
      <c r="J896" s="29"/>
      <c r="K896" s="29"/>
      <c r="L896" s="29"/>
      <c r="M896" s="34"/>
      <c r="N896" s="34"/>
      <c r="O896" s="29"/>
      <c r="P896" s="29"/>
      <c r="Q896" s="29"/>
      <c r="R896" s="29"/>
      <c r="S896" s="29"/>
      <c r="T896" s="476"/>
      <c r="U896" s="29"/>
      <c r="V896" s="2"/>
      <c r="W896" s="29"/>
      <c r="X896" s="2"/>
      <c r="Y896" s="29"/>
    </row>
    <row x14ac:dyDescent="0.25" r="897" customHeight="1" ht="15.75">
      <c r="A897" s="502"/>
      <c r="B897" s="34"/>
      <c r="C897" s="34"/>
      <c r="D897" s="34"/>
      <c r="E897" s="34"/>
      <c r="F897" s="34"/>
      <c r="G897" s="34"/>
      <c r="H897" s="34"/>
      <c r="I897" s="29"/>
      <c r="J897" s="29"/>
      <c r="K897" s="29"/>
      <c r="L897" s="29"/>
      <c r="M897" s="34"/>
      <c r="N897" s="34"/>
      <c r="O897" s="29"/>
      <c r="P897" s="29"/>
      <c r="Q897" s="29"/>
      <c r="R897" s="29"/>
      <c r="S897" s="29"/>
      <c r="T897" s="476"/>
      <c r="U897" s="29"/>
      <c r="V897" s="2"/>
      <c r="W897" s="29"/>
      <c r="X897" s="2"/>
      <c r="Y897" s="29"/>
    </row>
    <row x14ac:dyDescent="0.25" r="898" customHeight="1" ht="15.75">
      <c r="A898" s="502"/>
      <c r="B898" s="34"/>
      <c r="C898" s="34"/>
      <c r="D898" s="34"/>
      <c r="E898" s="34"/>
      <c r="F898" s="34"/>
      <c r="G898" s="34"/>
      <c r="H898" s="34"/>
      <c r="I898" s="29"/>
      <c r="J898" s="29"/>
      <c r="K898" s="29"/>
      <c r="L898" s="29"/>
      <c r="M898" s="34"/>
      <c r="N898" s="34"/>
      <c r="O898" s="29"/>
      <c r="P898" s="29"/>
      <c r="Q898" s="29"/>
      <c r="R898" s="29"/>
      <c r="S898" s="29"/>
      <c r="T898" s="476"/>
      <c r="U898" s="29"/>
      <c r="V898" s="2"/>
      <c r="W898" s="29"/>
      <c r="X898" s="2"/>
      <c r="Y898" s="29"/>
    </row>
    <row x14ac:dyDescent="0.25" r="899" customHeight="1" ht="15.75">
      <c r="A899" s="502"/>
      <c r="B899" s="34"/>
      <c r="C899" s="34"/>
      <c r="D899" s="34"/>
      <c r="E899" s="34"/>
      <c r="F899" s="34"/>
      <c r="G899" s="34"/>
      <c r="H899" s="34"/>
      <c r="I899" s="29"/>
      <c r="J899" s="29"/>
      <c r="K899" s="29"/>
      <c r="L899" s="29"/>
      <c r="M899" s="34"/>
      <c r="N899" s="34"/>
      <c r="O899" s="29"/>
      <c r="P899" s="29"/>
      <c r="Q899" s="29"/>
      <c r="R899" s="29"/>
      <c r="S899" s="29"/>
      <c r="T899" s="476"/>
      <c r="U899" s="29"/>
      <c r="V899" s="2"/>
      <c r="W899" s="29"/>
      <c r="X899" s="2"/>
      <c r="Y899" s="29"/>
    </row>
    <row x14ac:dyDescent="0.25" r="900" customHeight="1" ht="15.75">
      <c r="A900" s="502"/>
      <c r="B900" s="34"/>
      <c r="C900" s="34"/>
      <c r="D900" s="34"/>
      <c r="E900" s="34"/>
      <c r="F900" s="34"/>
      <c r="G900" s="34"/>
      <c r="H900" s="34"/>
      <c r="I900" s="29"/>
      <c r="J900" s="29"/>
      <c r="K900" s="29"/>
      <c r="L900" s="29"/>
      <c r="M900" s="34"/>
      <c r="N900" s="34"/>
      <c r="O900" s="29"/>
      <c r="P900" s="29"/>
      <c r="Q900" s="29"/>
      <c r="R900" s="29"/>
      <c r="S900" s="29"/>
      <c r="T900" s="476"/>
      <c r="U900" s="29"/>
      <c r="V900" s="2"/>
      <c r="W900" s="29"/>
      <c r="X900" s="2"/>
      <c r="Y900" s="29"/>
    </row>
    <row x14ac:dyDescent="0.25" r="901" customHeight="1" ht="15.75">
      <c r="A901" s="502"/>
      <c r="B901" s="34"/>
      <c r="C901" s="34"/>
      <c r="D901" s="34"/>
      <c r="E901" s="34"/>
      <c r="F901" s="34"/>
      <c r="G901" s="34"/>
      <c r="H901" s="34"/>
      <c r="I901" s="29"/>
      <c r="J901" s="29"/>
      <c r="K901" s="29"/>
      <c r="L901" s="29"/>
      <c r="M901" s="34"/>
      <c r="N901" s="34"/>
      <c r="O901" s="29"/>
      <c r="P901" s="29"/>
      <c r="Q901" s="29"/>
      <c r="R901" s="29"/>
      <c r="S901" s="29"/>
      <c r="T901" s="476"/>
      <c r="U901" s="29"/>
      <c r="V901" s="2"/>
      <c r="W901" s="29"/>
      <c r="X901" s="2"/>
      <c r="Y901" s="29"/>
    </row>
    <row x14ac:dyDescent="0.25" r="902" customHeight="1" ht="15.75">
      <c r="A902" s="502"/>
      <c r="B902" s="34"/>
      <c r="C902" s="34"/>
      <c r="D902" s="34"/>
      <c r="E902" s="34"/>
      <c r="F902" s="34"/>
      <c r="G902" s="34"/>
      <c r="H902" s="34"/>
      <c r="I902" s="29"/>
      <c r="J902" s="29"/>
      <c r="K902" s="29"/>
      <c r="L902" s="29"/>
      <c r="M902" s="34"/>
      <c r="N902" s="34"/>
      <c r="O902" s="29"/>
      <c r="P902" s="29"/>
      <c r="Q902" s="29"/>
      <c r="R902" s="29"/>
      <c r="S902" s="29"/>
      <c r="T902" s="476"/>
      <c r="U902" s="29"/>
      <c r="V902" s="2"/>
      <c r="W902" s="29"/>
      <c r="X902" s="2"/>
      <c r="Y902" s="29"/>
    </row>
    <row x14ac:dyDescent="0.25" r="903" customHeight="1" ht="15.75">
      <c r="A903" s="502"/>
      <c r="B903" s="34"/>
      <c r="C903" s="34"/>
      <c r="D903" s="34"/>
      <c r="E903" s="34"/>
      <c r="F903" s="34"/>
      <c r="G903" s="34"/>
      <c r="H903" s="34"/>
      <c r="I903" s="29"/>
      <c r="J903" s="29"/>
      <c r="K903" s="29"/>
      <c r="L903" s="29"/>
      <c r="M903" s="34"/>
      <c r="N903" s="34"/>
      <c r="O903" s="29"/>
      <c r="P903" s="29"/>
      <c r="Q903" s="29"/>
      <c r="R903" s="29"/>
      <c r="S903" s="29"/>
      <c r="T903" s="476"/>
      <c r="U903" s="29"/>
      <c r="V903" s="2"/>
      <c r="W903" s="29"/>
      <c r="X903" s="2"/>
      <c r="Y903" s="29"/>
    </row>
    <row x14ac:dyDescent="0.25" r="904" customHeight="1" ht="15.75">
      <c r="A904" s="502"/>
      <c r="B904" s="34"/>
      <c r="C904" s="34"/>
      <c r="D904" s="34"/>
      <c r="E904" s="34"/>
      <c r="F904" s="34"/>
      <c r="G904" s="34"/>
      <c r="H904" s="34"/>
      <c r="I904" s="29"/>
      <c r="J904" s="29"/>
      <c r="K904" s="29"/>
      <c r="L904" s="29"/>
      <c r="M904" s="34"/>
      <c r="N904" s="34"/>
      <c r="O904" s="29"/>
      <c r="P904" s="29"/>
      <c r="Q904" s="29"/>
      <c r="R904" s="29"/>
      <c r="S904" s="29"/>
      <c r="T904" s="476"/>
      <c r="U904" s="29"/>
      <c r="V904" s="2"/>
      <c r="W904" s="29"/>
      <c r="X904" s="2"/>
      <c r="Y904" s="29"/>
    </row>
    <row x14ac:dyDescent="0.25" r="905" customHeight="1" ht="15.75">
      <c r="A905" s="502"/>
      <c r="B905" s="34"/>
      <c r="C905" s="34"/>
      <c r="D905" s="34"/>
      <c r="E905" s="34"/>
      <c r="F905" s="34"/>
      <c r="G905" s="34"/>
      <c r="H905" s="34"/>
      <c r="I905" s="29"/>
      <c r="J905" s="29"/>
      <c r="K905" s="29"/>
      <c r="L905" s="29"/>
      <c r="M905" s="34"/>
      <c r="N905" s="34"/>
      <c r="O905" s="29"/>
      <c r="P905" s="29"/>
      <c r="Q905" s="29"/>
      <c r="R905" s="29"/>
      <c r="S905" s="29"/>
      <c r="T905" s="476"/>
      <c r="U905" s="29"/>
      <c r="V905" s="2"/>
      <c r="W905" s="29"/>
      <c r="X905" s="2"/>
      <c r="Y905" s="29"/>
    </row>
    <row x14ac:dyDescent="0.25" r="906" customHeight="1" ht="15.75">
      <c r="A906" s="502"/>
      <c r="B906" s="34"/>
      <c r="C906" s="34"/>
      <c r="D906" s="34"/>
      <c r="E906" s="34"/>
      <c r="F906" s="34"/>
      <c r="G906" s="34"/>
      <c r="H906" s="34"/>
      <c r="I906" s="29"/>
      <c r="J906" s="29"/>
      <c r="K906" s="29"/>
      <c r="L906" s="29"/>
      <c r="M906" s="34"/>
      <c r="N906" s="34"/>
      <c r="O906" s="29"/>
      <c r="P906" s="29"/>
      <c r="Q906" s="29"/>
      <c r="R906" s="29"/>
      <c r="S906" s="29"/>
      <c r="T906" s="476"/>
      <c r="U906" s="29"/>
      <c r="V906" s="2"/>
      <c r="W906" s="29"/>
      <c r="X906" s="2"/>
      <c r="Y906" s="29"/>
    </row>
    <row x14ac:dyDescent="0.25" r="907" customHeight="1" ht="15.75">
      <c r="A907" s="502"/>
      <c r="B907" s="34"/>
      <c r="C907" s="34"/>
      <c r="D907" s="34"/>
      <c r="E907" s="34"/>
      <c r="F907" s="34"/>
      <c r="G907" s="34"/>
      <c r="H907" s="34"/>
      <c r="I907" s="29"/>
      <c r="J907" s="29"/>
      <c r="K907" s="29"/>
      <c r="L907" s="29"/>
      <c r="M907" s="34"/>
      <c r="N907" s="34"/>
      <c r="O907" s="29"/>
      <c r="P907" s="29"/>
      <c r="Q907" s="29"/>
      <c r="R907" s="29"/>
      <c r="S907" s="29"/>
      <c r="T907" s="476"/>
      <c r="U907" s="29"/>
      <c r="V907" s="2"/>
      <c r="W907" s="29"/>
      <c r="X907" s="2"/>
      <c r="Y907" s="29"/>
    </row>
    <row x14ac:dyDescent="0.25" r="908" customHeight="1" ht="15.75">
      <c r="A908" s="502"/>
      <c r="B908" s="34"/>
      <c r="C908" s="34"/>
      <c r="D908" s="34"/>
      <c r="E908" s="34"/>
      <c r="F908" s="34"/>
      <c r="G908" s="34"/>
      <c r="H908" s="34"/>
      <c r="I908" s="29"/>
      <c r="J908" s="29"/>
      <c r="K908" s="29"/>
      <c r="L908" s="29"/>
      <c r="M908" s="34"/>
      <c r="N908" s="34"/>
      <c r="O908" s="29"/>
      <c r="P908" s="29"/>
      <c r="Q908" s="29"/>
      <c r="R908" s="29"/>
      <c r="S908" s="29"/>
      <c r="T908" s="476"/>
      <c r="U908" s="29"/>
      <c r="V908" s="2"/>
      <c r="W908" s="29"/>
      <c r="X908" s="2"/>
      <c r="Y908" s="29"/>
    </row>
    <row x14ac:dyDescent="0.25" r="909" customHeight="1" ht="15.75">
      <c r="A909" s="502"/>
      <c r="B909" s="34"/>
      <c r="C909" s="34"/>
      <c r="D909" s="34"/>
      <c r="E909" s="34"/>
      <c r="F909" s="34"/>
      <c r="G909" s="34"/>
      <c r="H909" s="34"/>
      <c r="I909" s="29"/>
      <c r="J909" s="29"/>
      <c r="K909" s="29"/>
      <c r="L909" s="29"/>
      <c r="M909" s="34"/>
      <c r="N909" s="34"/>
      <c r="O909" s="29"/>
      <c r="P909" s="29"/>
      <c r="Q909" s="29"/>
      <c r="R909" s="29"/>
      <c r="S909" s="29"/>
      <c r="T909" s="476"/>
      <c r="U909" s="29"/>
      <c r="V909" s="2"/>
      <c r="W909" s="29"/>
      <c r="X909" s="2"/>
      <c r="Y909" s="29"/>
    </row>
    <row x14ac:dyDescent="0.25" r="910" customHeight="1" ht="15.75">
      <c r="A910" s="502"/>
      <c r="B910" s="34"/>
      <c r="C910" s="34"/>
      <c r="D910" s="34"/>
      <c r="E910" s="34"/>
      <c r="F910" s="34"/>
      <c r="G910" s="34"/>
      <c r="H910" s="34"/>
      <c r="I910" s="29"/>
      <c r="J910" s="29"/>
      <c r="K910" s="29"/>
      <c r="L910" s="29"/>
      <c r="M910" s="34"/>
      <c r="N910" s="34"/>
      <c r="O910" s="29"/>
      <c r="P910" s="29"/>
      <c r="Q910" s="29"/>
      <c r="R910" s="29"/>
      <c r="S910" s="29"/>
      <c r="T910" s="476"/>
      <c r="U910" s="29"/>
      <c r="V910" s="2"/>
      <c r="W910" s="29"/>
      <c r="X910" s="2"/>
      <c r="Y910" s="29"/>
    </row>
    <row x14ac:dyDescent="0.25" r="911" customHeight="1" ht="15.75">
      <c r="A911" s="502"/>
      <c r="B911" s="34"/>
      <c r="C911" s="34"/>
      <c r="D911" s="34"/>
      <c r="E911" s="34"/>
      <c r="F911" s="34"/>
      <c r="G911" s="34"/>
      <c r="H911" s="34"/>
      <c r="I911" s="29"/>
      <c r="J911" s="29"/>
      <c r="K911" s="29"/>
      <c r="L911" s="29"/>
      <c r="M911" s="34"/>
      <c r="N911" s="34"/>
      <c r="O911" s="29"/>
      <c r="P911" s="29"/>
      <c r="Q911" s="29"/>
      <c r="R911" s="29"/>
      <c r="S911" s="29"/>
      <c r="T911" s="476"/>
      <c r="U911" s="29"/>
      <c r="V911" s="2"/>
      <c r="W911" s="29"/>
      <c r="X911" s="2"/>
      <c r="Y911" s="29"/>
    </row>
    <row x14ac:dyDescent="0.25" r="912" customHeight="1" ht="15.75">
      <c r="A912" s="502"/>
      <c r="B912" s="34"/>
      <c r="C912" s="34"/>
      <c r="D912" s="34"/>
      <c r="E912" s="34"/>
      <c r="F912" s="34"/>
      <c r="G912" s="34"/>
      <c r="H912" s="34"/>
      <c r="I912" s="29"/>
      <c r="J912" s="29"/>
      <c r="K912" s="29"/>
      <c r="L912" s="29"/>
      <c r="M912" s="34"/>
      <c r="N912" s="34"/>
      <c r="O912" s="29"/>
      <c r="P912" s="29"/>
      <c r="Q912" s="29"/>
      <c r="R912" s="29"/>
      <c r="S912" s="29"/>
      <c r="T912" s="476"/>
      <c r="U912" s="29"/>
      <c r="V912" s="2"/>
      <c r="W912" s="29"/>
      <c r="X912" s="2"/>
      <c r="Y912" s="29"/>
    </row>
    <row x14ac:dyDescent="0.25" r="913" customHeight="1" ht="15.75">
      <c r="A913" s="502"/>
      <c r="B913" s="34"/>
      <c r="C913" s="34"/>
      <c r="D913" s="34"/>
      <c r="E913" s="34"/>
      <c r="F913" s="34"/>
      <c r="G913" s="34"/>
      <c r="H913" s="34"/>
      <c r="I913" s="29"/>
      <c r="J913" s="29"/>
      <c r="K913" s="29"/>
      <c r="L913" s="29"/>
      <c r="M913" s="34"/>
      <c r="N913" s="34"/>
      <c r="O913" s="29"/>
      <c r="P913" s="29"/>
      <c r="Q913" s="29"/>
      <c r="R913" s="29"/>
      <c r="S913" s="29"/>
      <c r="T913" s="476"/>
      <c r="U913" s="29"/>
      <c r="V913" s="2"/>
      <c r="W913" s="29"/>
      <c r="X913" s="2"/>
      <c r="Y913" s="29"/>
    </row>
    <row x14ac:dyDescent="0.25" r="914" customHeight="1" ht="15.75">
      <c r="A914" s="502"/>
      <c r="B914" s="34"/>
      <c r="C914" s="34"/>
      <c r="D914" s="34"/>
      <c r="E914" s="34"/>
      <c r="F914" s="34"/>
      <c r="G914" s="34"/>
      <c r="H914" s="34"/>
      <c r="I914" s="29"/>
      <c r="J914" s="29"/>
      <c r="K914" s="29"/>
      <c r="L914" s="29"/>
      <c r="M914" s="34"/>
      <c r="N914" s="34"/>
      <c r="O914" s="29"/>
      <c r="P914" s="29"/>
      <c r="Q914" s="29"/>
      <c r="R914" s="29"/>
      <c r="S914" s="29"/>
      <c r="T914" s="476"/>
      <c r="U914" s="29"/>
      <c r="V914" s="2"/>
      <c r="W914" s="29"/>
      <c r="X914" s="2"/>
      <c r="Y914" s="29"/>
    </row>
    <row x14ac:dyDescent="0.25" r="915" customHeight="1" ht="15.75">
      <c r="A915" s="502"/>
      <c r="B915" s="34"/>
      <c r="C915" s="34"/>
      <c r="D915" s="34"/>
      <c r="E915" s="34"/>
      <c r="F915" s="34"/>
      <c r="G915" s="34"/>
      <c r="H915" s="34"/>
      <c r="I915" s="29"/>
      <c r="J915" s="29"/>
      <c r="K915" s="29"/>
      <c r="L915" s="29"/>
      <c r="M915" s="34"/>
      <c r="N915" s="34"/>
      <c r="O915" s="29"/>
      <c r="P915" s="29"/>
      <c r="Q915" s="29"/>
      <c r="R915" s="29"/>
      <c r="S915" s="29"/>
      <c r="T915" s="476"/>
      <c r="U915" s="29"/>
      <c r="V915" s="2"/>
      <c r="W915" s="29"/>
      <c r="X915" s="2"/>
      <c r="Y915" s="29"/>
    </row>
    <row x14ac:dyDescent="0.25" r="916" customHeight="1" ht="15.75">
      <c r="A916" s="502"/>
      <c r="B916" s="34"/>
      <c r="C916" s="34"/>
      <c r="D916" s="34"/>
      <c r="E916" s="34"/>
      <c r="F916" s="34"/>
      <c r="G916" s="34"/>
      <c r="H916" s="34"/>
      <c r="I916" s="29"/>
      <c r="J916" s="29"/>
      <c r="K916" s="29"/>
      <c r="L916" s="29"/>
      <c r="M916" s="34"/>
      <c r="N916" s="34"/>
      <c r="O916" s="29"/>
      <c r="P916" s="29"/>
      <c r="Q916" s="29"/>
      <c r="R916" s="29"/>
      <c r="S916" s="29"/>
      <c r="T916" s="476"/>
      <c r="U916" s="29"/>
      <c r="V916" s="2"/>
      <c r="W916" s="29"/>
      <c r="X916" s="2"/>
      <c r="Y916" s="29"/>
    </row>
    <row x14ac:dyDescent="0.25" r="917" customHeight="1" ht="15.75">
      <c r="A917" s="502"/>
      <c r="B917" s="34"/>
      <c r="C917" s="34"/>
      <c r="D917" s="34"/>
      <c r="E917" s="34"/>
      <c r="F917" s="34"/>
      <c r="G917" s="34"/>
      <c r="H917" s="34"/>
      <c r="I917" s="29"/>
      <c r="J917" s="29"/>
      <c r="K917" s="29"/>
      <c r="L917" s="29"/>
      <c r="M917" s="34"/>
      <c r="N917" s="34"/>
      <c r="O917" s="29"/>
      <c r="P917" s="29"/>
      <c r="Q917" s="29"/>
      <c r="R917" s="29"/>
      <c r="S917" s="29"/>
      <c r="T917" s="476"/>
      <c r="U917" s="29"/>
      <c r="V917" s="2"/>
      <c r="W917" s="29"/>
      <c r="X917" s="2"/>
      <c r="Y917" s="29"/>
    </row>
    <row x14ac:dyDescent="0.25" r="918" customHeight="1" ht="15.75">
      <c r="A918" s="502"/>
      <c r="B918" s="34"/>
      <c r="C918" s="34"/>
      <c r="D918" s="34"/>
      <c r="E918" s="34"/>
      <c r="F918" s="34"/>
      <c r="G918" s="34"/>
      <c r="H918" s="34"/>
      <c r="I918" s="29"/>
      <c r="J918" s="29"/>
      <c r="K918" s="29"/>
      <c r="L918" s="29"/>
      <c r="M918" s="34"/>
      <c r="N918" s="34"/>
      <c r="O918" s="29"/>
      <c r="P918" s="29"/>
      <c r="Q918" s="29"/>
      <c r="R918" s="29"/>
      <c r="S918" s="29"/>
      <c r="T918" s="476"/>
      <c r="U918" s="29"/>
      <c r="V918" s="2"/>
      <c r="W918" s="29"/>
      <c r="X918" s="2"/>
      <c r="Y918" s="29"/>
    </row>
    <row x14ac:dyDescent="0.25" r="919" customHeight="1" ht="15.75">
      <c r="A919" s="502"/>
      <c r="B919" s="34"/>
      <c r="C919" s="34"/>
      <c r="D919" s="34"/>
      <c r="E919" s="34"/>
      <c r="F919" s="34"/>
      <c r="G919" s="34"/>
      <c r="H919" s="34"/>
      <c r="I919" s="29"/>
      <c r="J919" s="29"/>
      <c r="K919" s="29"/>
      <c r="L919" s="29"/>
      <c r="M919" s="34"/>
      <c r="N919" s="34"/>
      <c r="O919" s="29"/>
      <c r="P919" s="29"/>
      <c r="Q919" s="29"/>
      <c r="R919" s="29"/>
      <c r="S919" s="29"/>
      <c r="T919" s="476"/>
      <c r="U919" s="29"/>
      <c r="V919" s="2"/>
      <c r="W919" s="29"/>
      <c r="X919" s="2"/>
      <c r="Y919" s="29"/>
    </row>
    <row x14ac:dyDescent="0.25" r="920" customHeight="1" ht="15.75">
      <c r="A920" s="502"/>
      <c r="B920" s="34"/>
      <c r="C920" s="34"/>
      <c r="D920" s="34"/>
      <c r="E920" s="34"/>
      <c r="F920" s="34"/>
      <c r="G920" s="34"/>
      <c r="H920" s="34"/>
      <c r="I920" s="29"/>
      <c r="J920" s="29"/>
      <c r="K920" s="29"/>
      <c r="L920" s="29"/>
      <c r="M920" s="34"/>
      <c r="N920" s="34"/>
      <c r="O920" s="29"/>
      <c r="P920" s="29"/>
      <c r="Q920" s="29"/>
      <c r="R920" s="29"/>
      <c r="S920" s="29"/>
      <c r="T920" s="476"/>
      <c r="U920" s="29"/>
      <c r="V920" s="2"/>
      <c r="W920" s="29"/>
      <c r="X920" s="2"/>
      <c r="Y920" s="29"/>
    </row>
    <row x14ac:dyDescent="0.25" r="921" customHeight="1" ht="15.75">
      <c r="A921" s="502"/>
      <c r="B921" s="34"/>
      <c r="C921" s="34"/>
      <c r="D921" s="34"/>
      <c r="E921" s="34"/>
      <c r="F921" s="34"/>
      <c r="G921" s="34"/>
      <c r="H921" s="34"/>
      <c r="I921" s="29"/>
      <c r="J921" s="29"/>
      <c r="K921" s="29"/>
      <c r="L921" s="29"/>
      <c r="M921" s="34"/>
      <c r="N921" s="34"/>
      <c r="O921" s="29"/>
      <c r="P921" s="29"/>
      <c r="Q921" s="29"/>
      <c r="R921" s="29"/>
      <c r="S921" s="29"/>
      <c r="T921" s="476"/>
      <c r="U921" s="29"/>
      <c r="V921" s="2"/>
      <c r="W921" s="29"/>
      <c r="X921" s="2"/>
      <c r="Y921" s="29"/>
    </row>
    <row x14ac:dyDescent="0.25" r="922" customHeight="1" ht="15.75">
      <c r="A922" s="502"/>
      <c r="B922" s="34"/>
      <c r="C922" s="34"/>
      <c r="D922" s="34"/>
      <c r="E922" s="34"/>
      <c r="F922" s="34"/>
      <c r="G922" s="34"/>
      <c r="H922" s="34"/>
      <c r="I922" s="29"/>
      <c r="J922" s="29"/>
      <c r="K922" s="29"/>
      <c r="L922" s="29"/>
      <c r="M922" s="34"/>
      <c r="N922" s="34"/>
      <c r="O922" s="29"/>
      <c r="P922" s="29"/>
      <c r="Q922" s="29"/>
      <c r="R922" s="29"/>
      <c r="S922" s="29"/>
      <c r="T922" s="476"/>
      <c r="U922" s="29"/>
      <c r="V922" s="2"/>
      <c r="W922" s="29"/>
      <c r="X922" s="2"/>
      <c r="Y922" s="29"/>
    </row>
    <row x14ac:dyDescent="0.25" r="923" customHeight="1" ht="15.75">
      <c r="A923" s="502"/>
      <c r="B923" s="34"/>
      <c r="C923" s="34"/>
      <c r="D923" s="34"/>
      <c r="E923" s="34"/>
      <c r="F923" s="34"/>
      <c r="G923" s="34"/>
      <c r="H923" s="34"/>
      <c r="I923" s="29"/>
      <c r="J923" s="29"/>
      <c r="K923" s="29"/>
      <c r="L923" s="29"/>
      <c r="M923" s="34"/>
      <c r="N923" s="34"/>
      <c r="O923" s="29"/>
      <c r="P923" s="29"/>
      <c r="Q923" s="29"/>
      <c r="R923" s="29"/>
      <c r="S923" s="29"/>
      <c r="T923" s="476"/>
      <c r="U923" s="29"/>
      <c r="V923" s="2"/>
      <c r="W923" s="29"/>
      <c r="X923" s="2"/>
      <c r="Y923" s="29"/>
    </row>
    <row x14ac:dyDescent="0.25" r="924" customHeight="1" ht="15.75">
      <c r="A924" s="502"/>
      <c r="B924" s="34"/>
      <c r="C924" s="34"/>
      <c r="D924" s="34"/>
      <c r="E924" s="34"/>
      <c r="F924" s="34"/>
      <c r="G924" s="34"/>
      <c r="H924" s="34"/>
      <c r="I924" s="29"/>
      <c r="J924" s="29"/>
      <c r="K924" s="29"/>
      <c r="L924" s="29"/>
      <c r="M924" s="34"/>
      <c r="N924" s="34"/>
      <c r="O924" s="29"/>
      <c r="P924" s="29"/>
      <c r="Q924" s="29"/>
      <c r="R924" s="29"/>
      <c r="S924" s="29"/>
      <c r="T924" s="476"/>
      <c r="U924" s="29"/>
      <c r="V924" s="2"/>
      <c r="W924" s="29"/>
      <c r="X924" s="2"/>
      <c r="Y924" s="29"/>
    </row>
    <row x14ac:dyDescent="0.25" r="925" customHeight="1" ht="15.75">
      <c r="A925" s="502"/>
      <c r="B925" s="34"/>
      <c r="C925" s="34"/>
      <c r="D925" s="34"/>
      <c r="E925" s="34"/>
      <c r="F925" s="34"/>
      <c r="G925" s="34"/>
      <c r="H925" s="34"/>
      <c r="I925" s="29"/>
      <c r="J925" s="29"/>
      <c r="K925" s="29"/>
      <c r="L925" s="29"/>
      <c r="M925" s="34"/>
      <c r="N925" s="34"/>
      <c r="O925" s="29"/>
      <c r="P925" s="29"/>
      <c r="Q925" s="29"/>
      <c r="R925" s="29"/>
      <c r="S925" s="29"/>
      <c r="T925" s="476"/>
      <c r="U925" s="29"/>
      <c r="V925" s="2"/>
      <c r="W925" s="29"/>
      <c r="X925" s="2"/>
      <c r="Y925" s="29"/>
    </row>
    <row x14ac:dyDescent="0.25" r="926" customHeight="1" ht="15.75">
      <c r="A926" s="502"/>
      <c r="B926" s="34"/>
      <c r="C926" s="34"/>
      <c r="D926" s="34"/>
      <c r="E926" s="34"/>
      <c r="F926" s="34"/>
      <c r="G926" s="34"/>
      <c r="H926" s="34"/>
      <c r="I926" s="29"/>
      <c r="J926" s="29"/>
      <c r="K926" s="29"/>
      <c r="L926" s="29"/>
      <c r="M926" s="34"/>
      <c r="N926" s="34"/>
      <c r="O926" s="29"/>
      <c r="P926" s="29"/>
      <c r="Q926" s="29"/>
      <c r="R926" s="29"/>
      <c r="S926" s="29"/>
      <c r="T926" s="476"/>
      <c r="U926" s="29"/>
      <c r="V926" s="2"/>
      <c r="W926" s="29"/>
      <c r="X926" s="2"/>
      <c r="Y926" s="29"/>
    </row>
    <row x14ac:dyDescent="0.25" r="927" customHeight="1" ht="15.75">
      <c r="A927" s="502"/>
      <c r="B927" s="34"/>
      <c r="C927" s="34"/>
      <c r="D927" s="34"/>
      <c r="E927" s="34"/>
      <c r="F927" s="34"/>
      <c r="G927" s="34"/>
      <c r="H927" s="34"/>
      <c r="I927" s="29"/>
      <c r="J927" s="29"/>
      <c r="K927" s="29"/>
      <c r="L927" s="29"/>
      <c r="M927" s="34"/>
      <c r="N927" s="34"/>
      <c r="O927" s="29"/>
      <c r="P927" s="29"/>
      <c r="Q927" s="29"/>
      <c r="R927" s="29"/>
      <c r="S927" s="29"/>
      <c r="T927" s="476"/>
      <c r="U927" s="29"/>
      <c r="V927" s="2"/>
      <c r="W927" s="29"/>
      <c r="X927" s="2"/>
      <c r="Y927" s="29"/>
    </row>
    <row x14ac:dyDescent="0.25" r="928" customHeight="1" ht="15.75">
      <c r="A928" s="502"/>
      <c r="B928" s="34"/>
      <c r="C928" s="34"/>
      <c r="D928" s="34"/>
      <c r="E928" s="34"/>
      <c r="F928" s="34"/>
      <c r="G928" s="34"/>
      <c r="H928" s="34"/>
      <c r="I928" s="29"/>
      <c r="J928" s="29"/>
      <c r="K928" s="29"/>
      <c r="L928" s="29"/>
      <c r="M928" s="34"/>
      <c r="N928" s="34"/>
      <c r="O928" s="29"/>
      <c r="P928" s="29"/>
      <c r="Q928" s="29"/>
      <c r="R928" s="29"/>
      <c r="S928" s="29"/>
      <c r="T928" s="476"/>
      <c r="U928" s="29"/>
      <c r="V928" s="2"/>
      <c r="W928" s="29"/>
      <c r="X928" s="2"/>
      <c r="Y928" s="29"/>
    </row>
    <row x14ac:dyDescent="0.25" r="929" customHeight="1" ht="15.75">
      <c r="A929" s="502"/>
      <c r="B929" s="34"/>
      <c r="C929" s="34"/>
      <c r="D929" s="34"/>
      <c r="E929" s="34"/>
      <c r="F929" s="34"/>
      <c r="G929" s="34"/>
      <c r="H929" s="34"/>
      <c r="I929" s="29"/>
      <c r="J929" s="29"/>
      <c r="K929" s="29"/>
      <c r="L929" s="29"/>
      <c r="M929" s="34"/>
      <c r="N929" s="34"/>
      <c r="O929" s="29"/>
      <c r="P929" s="29"/>
      <c r="Q929" s="29"/>
      <c r="R929" s="29"/>
      <c r="S929" s="29"/>
      <c r="T929" s="476"/>
      <c r="U929" s="29"/>
      <c r="V929" s="2"/>
      <c r="W929" s="29"/>
      <c r="X929" s="2"/>
      <c r="Y929" s="29"/>
    </row>
    <row x14ac:dyDescent="0.25" r="930" customHeight="1" ht="15.75">
      <c r="A930" s="502"/>
      <c r="B930" s="34"/>
      <c r="C930" s="34"/>
      <c r="D930" s="34"/>
      <c r="E930" s="34"/>
      <c r="F930" s="34"/>
      <c r="G930" s="34"/>
      <c r="H930" s="34"/>
      <c r="I930" s="29"/>
      <c r="J930" s="29"/>
      <c r="K930" s="29"/>
      <c r="L930" s="29"/>
      <c r="M930" s="34"/>
      <c r="N930" s="34"/>
      <c r="O930" s="29"/>
      <c r="P930" s="29"/>
      <c r="Q930" s="29"/>
      <c r="R930" s="29"/>
      <c r="S930" s="29"/>
      <c r="T930" s="476"/>
      <c r="U930" s="29"/>
      <c r="V930" s="2"/>
      <c r="W930" s="29"/>
      <c r="X930" s="2"/>
      <c r="Y930" s="29"/>
    </row>
    <row x14ac:dyDescent="0.25" r="931" customHeight="1" ht="15.75">
      <c r="A931" s="502"/>
      <c r="B931" s="34"/>
      <c r="C931" s="34"/>
      <c r="D931" s="34"/>
      <c r="E931" s="34"/>
      <c r="F931" s="34"/>
      <c r="G931" s="34"/>
      <c r="H931" s="34"/>
      <c r="I931" s="29"/>
      <c r="J931" s="29"/>
      <c r="K931" s="29"/>
      <c r="L931" s="29"/>
      <c r="M931" s="34"/>
      <c r="N931" s="34"/>
      <c r="O931" s="29"/>
      <c r="P931" s="29"/>
      <c r="Q931" s="29"/>
      <c r="R931" s="29"/>
      <c r="S931" s="29"/>
      <c r="T931" s="476"/>
      <c r="U931" s="29"/>
      <c r="V931" s="2"/>
      <c r="W931" s="29"/>
      <c r="X931" s="2"/>
      <c r="Y931" s="29"/>
    </row>
    <row x14ac:dyDescent="0.25" r="932" customHeight="1" ht="15.75">
      <c r="A932" s="502"/>
      <c r="B932" s="34"/>
      <c r="C932" s="34"/>
      <c r="D932" s="34"/>
      <c r="E932" s="34"/>
      <c r="F932" s="34"/>
      <c r="G932" s="34"/>
      <c r="H932" s="34"/>
      <c r="I932" s="29"/>
      <c r="J932" s="29"/>
      <c r="K932" s="29"/>
      <c r="L932" s="29"/>
      <c r="M932" s="34"/>
      <c r="N932" s="34"/>
      <c r="O932" s="29"/>
      <c r="P932" s="29"/>
      <c r="Q932" s="29"/>
      <c r="R932" s="29"/>
      <c r="S932" s="29"/>
      <c r="T932" s="476"/>
      <c r="U932" s="29"/>
      <c r="V932" s="2"/>
      <c r="W932" s="29"/>
      <c r="X932" s="2"/>
      <c r="Y932" s="29"/>
    </row>
    <row x14ac:dyDescent="0.25" r="933" customHeight="1" ht="15.75">
      <c r="A933" s="502"/>
      <c r="B933" s="34"/>
      <c r="C933" s="34"/>
      <c r="D933" s="34"/>
      <c r="E933" s="34"/>
      <c r="F933" s="34"/>
      <c r="G933" s="34"/>
      <c r="H933" s="34"/>
      <c r="I933" s="29"/>
      <c r="J933" s="29"/>
      <c r="K933" s="29"/>
      <c r="L933" s="29"/>
      <c r="M933" s="34"/>
      <c r="N933" s="34"/>
      <c r="O933" s="29"/>
      <c r="P933" s="29"/>
      <c r="Q933" s="29"/>
      <c r="R933" s="29"/>
      <c r="S933" s="29"/>
      <c r="T933" s="476"/>
      <c r="U933" s="29"/>
      <c r="V933" s="2"/>
      <c r="W933" s="29"/>
      <c r="X933" s="2"/>
      <c r="Y933" s="29"/>
    </row>
    <row x14ac:dyDescent="0.25" r="934" customHeight="1" ht="15.75">
      <c r="A934" s="502"/>
      <c r="B934" s="34"/>
      <c r="C934" s="34"/>
      <c r="D934" s="34"/>
      <c r="E934" s="34"/>
      <c r="F934" s="34"/>
      <c r="G934" s="34"/>
      <c r="H934" s="34"/>
      <c r="I934" s="29"/>
      <c r="J934" s="29"/>
      <c r="K934" s="29"/>
      <c r="L934" s="29"/>
      <c r="M934" s="34"/>
      <c r="N934" s="34"/>
      <c r="O934" s="29"/>
      <c r="P934" s="29"/>
      <c r="Q934" s="29"/>
      <c r="R934" s="29"/>
      <c r="S934" s="29"/>
      <c r="T934" s="476"/>
      <c r="U934" s="29"/>
      <c r="V934" s="2"/>
      <c r="W934" s="29"/>
      <c r="X934" s="2"/>
      <c r="Y934" s="29"/>
    </row>
    <row x14ac:dyDescent="0.25" r="935" customHeight="1" ht="15.75">
      <c r="A935" s="502"/>
      <c r="B935" s="34"/>
      <c r="C935" s="34"/>
      <c r="D935" s="34"/>
      <c r="E935" s="34"/>
      <c r="F935" s="34"/>
      <c r="G935" s="34"/>
      <c r="H935" s="34"/>
      <c r="I935" s="29"/>
      <c r="J935" s="29"/>
      <c r="K935" s="29"/>
      <c r="L935" s="29"/>
      <c r="M935" s="34"/>
      <c r="N935" s="34"/>
      <c r="O935" s="29"/>
      <c r="P935" s="29"/>
      <c r="Q935" s="29"/>
      <c r="R935" s="29"/>
      <c r="S935" s="29"/>
      <c r="T935" s="476"/>
      <c r="U935" s="29"/>
      <c r="V935" s="2"/>
      <c r="W935" s="29"/>
      <c r="X935" s="2"/>
      <c r="Y935" s="29"/>
    </row>
    <row x14ac:dyDescent="0.25" r="936" customHeight="1" ht="15.75">
      <c r="A936" s="502"/>
      <c r="B936" s="34"/>
      <c r="C936" s="34"/>
      <c r="D936" s="34"/>
      <c r="E936" s="34"/>
      <c r="F936" s="34"/>
      <c r="G936" s="34"/>
      <c r="H936" s="34"/>
      <c r="I936" s="29"/>
      <c r="J936" s="29"/>
      <c r="K936" s="29"/>
      <c r="L936" s="29"/>
      <c r="M936" s="34"/>
      <c r="N936" s="34"/>
      <c r="O936" s="29"/>
      <c r="P936" s="29"/>
      <c r="Q936" s="29"/>
      <c r="R936" s="29"/>
      <c r="S936" s="29"/>
      <c r="T936" s="476"/>
      <c r="U936" s="29"/>
      <c r="V936" s="2"/>
      <c r="W936" s="29"/>
      <c r="X936" s="2"/>
      <c r="Y936" s="29"/>
    </row>
    <row x14ac:dyDescent="0.25" r="937" customHeight="1" ht="15.75">
      <c r="A937" s="502"/>
      <c r="B937" s="34"/>
      <c r="C937" s="34"/>
      <c r="D937" s="34"/>
      <c r="E937" s="34"/>
      <c r="F937" s="34"/>
      <c r="G937" s="34"/>
      <c r="H937" s="34"/>
      <c r="I937" s="29"/>
      <c r="J937" s="29"/>
      <c r="K937" s="29"/>
      <c r="L937" s="29"/>
      <c r="M937" s="34"/>
      <c r="N937" s="34"/>
      <c r="O937" s="29"/>
      <c r="P937" s="29"/>
      <c r="Q937" s="29"/>
      <c r="R937" s="29"/>
      <c r="S937" s="29"/>
      <c r="T937" s="476"/>
      <c r="U937" s="29"/>
      <c r="V937" s="2"/>
      <c r="W937" s="29"/>
      <c r="X937" s="2"/>
      <c r="Y937" s="29"/>
    </row>
    <row x14ac:dyDescent="0.25" r="938" customHeight="1" ht="15.75">
      <c r="A938" s="502"/>
      <c r="B938" s="34"/>
      <c r="C938" s="34"/>
      <c r="D938" s="34"/>
      <c r="E938" s="34"/>
      <c r="F938" s="34"/>
      <c r="G938" s="34"/>
      <c r="H938" s="34"/>
      <c r="I938" s="29"/>
      <c r="J938" s="29"/>
      <c r="K938" s="29"/>
      <c r="L938" s="29"/>
      <c r="M938" s="34"/>
      <c r="N938" s="34"/>
      <c r="O938" s="29"/>
      <c r="P938" s="29"/>
      <c r="Q938" s="29"/>
      <c r="R938" s="29"/>
      <c r="S938" s="29"/>
      <c r="T938" s="476"/>
      <c r="U938" s="29"/>
      <c r="V938" s="2"/>
      <c r="W938" s="29"/>
      <c r="X938" s="2"/>
      <c r="Y938" s="29"/>
    </row>
    <row x14ac:dyDescent="0.25" r="939" customHeight="1" ht="15.75">
      <c r="A939" s="502"/>
      <c r="B939" s="34"/>
      <c r="C939" s="34"/>
      <c r="D939" s="34"/>
      <c r="E939" s="34"/>
      <c r="F939" s="34"/>
      <c r="G939" s="34"/>
      <c r="H939" s="34"/>
      <c r="I939" s="29"/>
      <c r="J939" s="29"/>
      <c r="K939" s="29"/>
      <c r="L939" s="29"/>
      <c r="M939" s="34"/>
      <c r="N939" s="34"/>
      <c r="O939" s="29"/>
      <c r="P939" s="29"/>
      <c r="Q939" s="29"/>
      <c r="R939" s="29"/>
      <c r="S939" s="29"/>
      <c r="T939" s="476"/>
      <c r="U939" s="29"/>
      <c r="V939" s="2"/>
      <c r="W939" s="29"/>
      <c r="X939" s="2"/>
      <c r="Y939" s="29"/>
    </row>
    <row x14ac:dyDescent="0.25" r="940" customHeight="1" ht="15.75">
      <c r="A940" s="502"/>
      <c r="B940" s="34"/>
      <c r="C940" s="34"/>
      <c r="D940" s="34"/>
      <c r="E940" s="34"/>
      <c r="F940" s="34"/>
      <c r="G940" s="34"/>
      <c r="H940" s="34"/>
      <c r="I940" s="29"/>
      <c r="J940" s="29"/>
      <c r="K940" s="29"/>
      <c r="L940" s="29"/>
      <c r="M940" s="34"/>
      <c r="N940" s="34"/>
      <c r="O940" s="29"/>
      <c r="P940" s="29"/>
      <c r="Q940" s="29"/>
      <c r="R940" s="29"/>
      <c r="S940" s="29"/>
      <c r="T940" s="476"/>
      <c r="U940" s="29"/>
      <c r="V940" s="2"/>
      <c r="W940" s="29"/>
      <c r="X940" s="2"/>
      <c r="Y940" s="29"/>
    </row>
    <row x14ac:dyDescent="0.25" r="941" customHeight="1" ht="15.75">
      <c r="A941" s="502"/>
      <c r="B941" s="34"/>
      <c r="C941" s="34"/>
      <c r="D941" s="34"/>
      <c r="E941" s="34"/>
      <c r="F941" s="34"/>
      <c r="G941" s="34"/>
      <c r="H941" s="34"/>
      <c r="I941" s="29"/>
      <c r="J941" s="29"/>
      <c r="K941" s="29"/>
      <c r="L941" s="29"/>
      <c r="M941" s="34"/>
      <c r="N941" s="34"/>
      <c r="O941" s="29"/>
      <c r="P941" s="29"/>
      <c r="Q941" s="29"/>
      <c r="R941" s="29"/>
      <c r="S941" s="29"/>
      <c r="T941" s="476"/>
      <c r="U941" s="29"/>
      <c r="V941" s="2"/>
      <c r="W941" s="29"/>
      <c r="X941" s="2"/>
      <c r="Y941" s="29"/>
    </row>
    <row x14ac:dyDescent="0.25" r="942" customHeight="1" ht="15.75">
      <c r="A942" s="502"/>
      <c r="B942" s="34"/>
      <c r="C942" s="34"/>
      <c r="D942" s="34"/>
      <c r="E942" s="34"/>
      <c r="F942" s="34"/>
      <c r="G942" s="34"/>
      <c r="H942" s="34"/>
      <c r="I942" s="29"/>
      <c r="J942" s="29"/>
      <c r="K942" s="29"/>
      <c r="L942" s="29"/>
      <c r="M942" s="34"/>
      <c r="N942" s="34"/>
      <c r="O942" s="29"/>
      <c r="P942" s="29"/>
      <c r="Q942" s="29"/>
      <c r="R942" s="29"/>
      <c r="S942" s="29"/>
      <c r="T942" s="476"/>
      <c r="U942" s="29"/>
      <c r="V942" s="2"/>
      <c r="W942" s="29"/>
      <c r="X942" s="2"/>
      <c r="Y942" s="29"/>
    </row>
    <row x14ac:dyDescent="0.25" r="943" customHeight="1" ht="15.75">
      <c r="A943" s="502"/>
      <c r="B943" s="34"/>
      <c r="C943" s="34"/>
      <c r="D943" s="34"/>
      <c r="E943" s="34"/>
      <c r="F943" s="34"/>
      <c r="G943" s="34"/>
      <c r="H943" s="34"/>
      <c r="I943" s="29"/>
      <c r="J943" s="29"/>
      <c r="K943" s="29"/>
      <c r="L943" s="29"/>
      <c r="M943" s="34"/>
      <c r="N943" s="34"/>
      <c r="O943" s="29"/>
      <c r="P943" s="29"/>
      <c r="Q943" s="29"/>
      <c r="R943" s="29"/>
      <c r="S943" s="29"/>
      <c r="T943" s="476"/>
      <c r="U943" s="29"/>
      <c r="V943" s="2"/>
      <c r="W943" s="29"/>
      <c r="X943" s="2"/>
      <c r="Y943" s="29"/>
    </row>
    <row x14ac:dyDescent="0.25" r="944" customHeight="1" ht="15.75">
      <c r="A944" s="502"/>
      <c r="B944" s="34"/>
      <c r="C944" s="34"/>
      <c r="D944" s="34"/>
      <c r="E944" s="34"/>
      <c r="F944" s="34"/>
      <c r="G944" s="34"/>
      <c r="H944" s="34"/>
      <c r="I944" s="29"/>
      <c r="J944" s="29"/>
      <c r="K944" s="29"/>
      <c r="L944" s="29"/>
      <c r="M944" s="34"/>
      <c r="N944" s="34"/>
      <c r="O944" s="29"/>
      <c r="P944" s="29"/>
      <c r="Q944" s="29"/>
      <c r="R944" s="29"/>
      <c r="S944" s="29"/>
      <c r="T944" s="476"/>
      <c r="U944" s="29"/>
      <c r="V944" s="2"/>
      <c r="W944" s="29"/>
      <c r="X944" s="2"/>
      <c r="Y944" s="29"/>
    </row>
    <row x14ac:dyDescent="0.25" r="945" customHeight="1" ht="15.75">
      <c r="A945" s="502"/>
      <c r="B945" s="34"/>
      <c r="C945" s="34"/>
      <c r="D945" s="34"/>
      <c r="E945" s="34"/>
      <c r="F945" s="34"/>
      <c r="G945" s="34"/>
      <c r="H945" s="34"/>
      <c r="I945" s="29"/>
      <c r="J945" s="29"/>
      <c r="K945" s="29"/>
      <c r="L945" s="29"/>
      <c r="M945" s="34"/>
      <c r="N945" s="34"/>
      <c r="O945" s="29"/>
      <c r="P945" s="29"/>
      <c r="Q945" s="29"/>
      <c r="R945" s="29"/>
      <c r="S945" s="29"/>
      <c r="T945" s="476"/>
      <c r="U945" s="29"/>
      <c r="V945" s="2"/>
      <c r="W945" s="29"/>
      <c r="X945" s="2"/>
      <c r="Y945" s="29"/>
    </row>
    <row x14ac:dyDescent="0.25" r="946" customHeight="1" ht="15.75">
      <c r="A946" s="502"/>
      <c r="B946" s="34"/>
      <c r="C946" s="34"/>
      <c r="D946" s="34"/>
      <c r="E946" s="34"/>
      <c r="F946" s="34"/>
      <c r="G946" s="34"/>
      <c r="H946" s="34"/>
      <c r="I946" s="29"/>
      <c r="J946" s="29"/>
      <c r="K946" s="29"/>
      <c r="L946" s="29"/>
      <c r="M946" s="34"/>
      <c r="N946" s="34"/>
      <c r="O946" s="29"/>
      <c r="P946" s="29"/>
      <c r="Q946" s="29"/>
      <c r="R946" s="29"/>
      <c r="S946" s="29"/>
      <c r="T946" s="476"/>
      <c r="U946" s="29"/>
      <c r="V946" s="2"/>
      <c r="W946" s="29"/>
      <c r="X946" s="2"/>
      <c r="Y946" s="29"/>
    </row>
    <row x14ac:dyDescent="0.25" r="947" customHeight="1" ht="15.75">
      <c r="A947" s="502"/>
      <c r="B947" s="34"/>
      <c r="C947" s="34"/>
      <c r="D947" s="34"/>
      <c r="E947" s="34"/>
      <c r="F947" s="34"/>
      <c r="G947" s="34"/>
      <c r="H947" s="34"/>
      <c r="I947" s="29"/>
      <c r="J947" s="29"/>
      <c r="K947" s="29"/>
      <c r="L947" s="29"/>
      <c r="M947" s="34"/>
      <c r="N947" s="34"/>
      <c r="O947" s="29"/>
      <c r="P947" s="29"/>
      <c r="Q947" s="29"/>
      <c r="R947" s="29"/>
      <c r="S947" s="29"/>
      <c r="T947" s="476"/>
      <c r="U947" s="29"/>
      <c r="V947" s="2"/>
      <c r="W947" s="29"/>
      <c r="X947" s="2"/>
      <c r="Y947" s="29"/>
    </row>
    <row x14ac:dyDescent="0.25" r="948" customHeight="1" ht="15.75">
      <c r="A948" s="502"/>
      <c r="B948" s="34"/>
      <c r="C948" s="34"/>
      <c r="D948" s="34"/>
      <c r="E948" s="34"/>
      <c r="F948" s="34"/>
      <c r="G948" s="34"/>
      <c r="H948" s="34"/>
      <c r="I948" s="29"/>
      <c r="J948" s="29"/>
      <c r="K948" s="29"/>
      <c r="L948" s="29"/>
      <c r="M948" s="34"/>
      <c r="N948" s="34"/>
      <c r="O948" s="29"/>
      <c r="P948" s="29"/>
      <c r="Q948" s="29"/>
      <c r="R948" s="29"/>
      <c r="S948" s="29"/>
      <c r="T948" s="476"/>
      <c r="U948" s="29"/>
      <c r="V948" s="2"/>
      <c r="W948" s="29"/>
      <c r="X948" s="2"/>
      <c r="Y948" s="29"/>
    </row>
    <row x14ac:dyDescent="0.25" r="949" customHeight="1" ht="15.75">
      <c r="A949" s="502"/>
      <c r="B949" s="34"/>
      <c r="C949" s="34"/>
      <c r="D949" s="34"/>
      <c r="E949" s="34"/>
      <c r="F949" s="34"/>
      <c r="G949" s="34"/>
      <c r="H949" s="34"/>
      <c r="I949" s="29"/>
      <c r="J949" s="29"/>
      <c r="K949" s="29"/>
      <c r="L949" s="29"/>
      <c r="M949" s="34"/>
      <c r="N949" s="34"/>
      <c r="O949" s="29"/>
      <c r="P949" s="29"/>
      <c r="Q949" s="29"/>
      <c r="R949" s="29"/>
      <c r="S949" s="29"/>
      <c r="T949" s="476"/>
      <c r="U949" s="29"/>
      <c r="V949" s="2"/>
      <c r="W949" s="29"/>
      <c r="X949" s="2"/>
      <c r="Y949" s="29"/>
    </row>
    <row x14ac:dyDescent="0.25" r="950" customHeight="1" ht="15.75">
      <c r="A950" s="502"/>
      <c r="B950" s="34"/>
      <c r="C950" s="34"/>
      <c r="D950" s="34"/>
      <c r="E950" s="34"/>
      <c r="F950" s="34"/>
      <c r="G950" s="34"/>
      <c r="H950" s="34"/>
      <c r="I950" s="29"/>
      <c r="J950" s="29"/>
      <c r="K950" s="29"/>
      <c r="L950" s="29"/>
      <c r="M950" s="34"/>
      <c r="N950" s="34"/>
      <c r="O950" s="29"/>
      <c r="P950" s="29"/>
      <c r="Q950" s="29"/>
      <c r="R950" s="29"/>
      <c r="S950" s="29"/>
      <c r="T950" s="476"/>
      <c r="U950" s="29"/>
      <c r="V950" s="2"/>
      <c r="W950" s="29"/>
      <c r="X950" s="2"/>
      <c r="Y950" s="29"/>
    </row>
    <row x14ac:dyDescent="0.25" r="951" customHeight="1" ht="15.75">
      <c r="A951" s="502"/>
      <c r="B951" s="34"/>
      <c r="C951" s="34"/>
      <c r="D951" s="34"/>
      <c r="E951" s="34"/>
      <c r="F951" s="34"/>
      <c r="G951" s="34"/>
      <c r="H951" s="34"/>
      <c r="I951" s="29"/>
      <c r="J951" s="29"/>
      <c r="K951" s="29"/>
      <c r="L951" s="29"/>
      <c r="M951" s="34"/>
      <c r="N951" s="34"/>
      <c r="O951" s="29"/>
      <c r="P951" s="29"/>
      <c r="Q951" s="29"/>
      <c r="R951" s="29"/>
      <c r="S951" s="29"/>
      <c r="T951" s="476"/>
      <c r="U951" s="29"/>
      <c r="V951" s="2"/>
      <c r="W951" s="29"/>
      <c r="X951" s="2"/>
      <c r="Y951" s="29"/>
    </row>
    <row x14ac:dyDescent="0.25" r="952" customHeight="1" ht="15.75">
      <c r="A952" s="502"/>
      <c r="B952" s="34"/>
      <c r="C952" s="34"/>
      <c r="D952" s="34"/>
      <c r="E952" s="34"/>
      <c r="F952" s="34"/>
      <c r="G952" s="34"/>
      <c r="H952" s="34"/>
      <c r="I952" s="29"/>
      <c r="J952" s="29"/>
      <c r="K952" s="29"/>
      <c r="L952" s="29"/>
      <c r="M952" s="34"/>
      <c r="N952" s="34"/>
      <c r="O952" s="29"/>
      <c r="P952" s="29"/>
      <c r="Q952" s="29"/>
      <c r="R952" s="29"/>
      <c r="S952" s="29"/>
      <c r="T952" s="476"/>
      <c r="U952" s="29"/>
      <c r="V952" s="2"/>
      <c r="W952" s="29"/>
      <c r="X952" s="2"/>
      <c r="Y952" s="29"/>
    </row>
    <row x14ac:dyDescent="0.25" r="953" customHeight="1" ht="15.75">
      <c r="A953" s="502"/>
      <c r="B953" s="34"/>
      <c r="C953" s="34"/>
      <c r="D953" s="34"/>
      <c r="E953" s="34"/>
      <c r="F953" s="34"/>
      <c r="G953" s="34"/>
      <c r="H953" s="34"/>
      <c r="I953" s="29"/>
      <c r="J953" s="29"/>
      <c r="K953" s="29"/>
      <c r="L953" s="29"/>
      <c r="M953" s="34"/>
      <c r="N953" s="34"/>
      <c r="O953" s="29"/>
      <c r="P953" s="29"/>
      <c r="Q953" s="29"/>
      <c r="R953" s="29"/>
      <c r="S953" s="29"/>
      <c r="T953" s="476"/>
      <c r="U953" s="29"/>
      <c r="V953" s="2"/>
      <c r="W953" s="29"/>
      <c r="X953" s="2"/>
      <c r="Y953" s="29"/>
    </row>
    <row x14ac:dyDescent="0.25" r="954" customHeight="1" ht="15.75">
      <c r="A954" s="502"/>
      <c r="B954" s="34"/>
      <c r="C954" s="34"/>
      <c r="D954" s="34"/>
      <c r="E954" s="34"/>
      <c r="F954" s="34"/>
      <c r="G954" s="34"/>
      <c r="H954" s="34"/>
      <c r="I954" s="29"/>
      <c r="J954" s="29"/>
      <c r="K954" s="29"/>
      <c r="L954" s="29"/>
      <c r="M954" s="34"/>
      <c r="N954" s="34"/>
      <c r="O954" s="29"/>
      <c r="P954" s="29"/>
      <c r="Q954" s="29"/>
      <c r="R954" s="29"/>
      <c r="S954" s="29"/>
      <c r="T954" s="476"/>
      <c r="U954" s="29"/>
      <c r="V954" s="2"/>
      <c r="W954" s="29"/>
      <c r="X954" s="2"/>
      <c r="Y954" s="29"/>
    </row>
    <row x14ac:dyDescent="0.25" r="955" customHeight="1" ht="15.75">
      <c r="A955" s="502"/>
      <c r="B955" s="34"/>
      <c r="C955" s="34"/>
      <c r="D955" s="34"/>
      <c r="E955" s="34"/>
      <c r="F955" s="34"/>
      <c r="G955" s="34"/>
      <c r="H955" s="34"/>
      <c r="I955" s="29"/>
      <c r="J955" s="29"/>
      <c r="K955" s="29"/>
      <c r="L955" s="29"/>
      <c r="M955" s="34"/>
      <c r="N955" s="34"/>
      <c r="O955" s="29"/>
      <c r="P955" s="29"/>
      <c r="Q955" s="29"/>
      <c r="R955" s="29"/>
      <c r="S955" s="29"/>
      <c r="T955" s="476"/>
      <c r="U955" s="29"/>
      <c r="V955" s="2"/>
      <c r="W955" s="29"/>
      <c r="X955" s="2"/>
      <c r="Y955" s="29"/>
    </row>
    <row x14ac:dyDescent="0.25" r="956" customHeight="1" ht="15.75">
      <c r="A956" s="502"/>
      <c r="B956" s="34"/>
      <c r="C956" s="34"/>
      <c r="D956" s="34"/>
      <c r="E956" s="34"/>
      <c r="F956" s="34"/>
      <c r="G956" s="34"/>
      <c r="H956" s="34"/>
      <c r="I956" s="29"/>
      <c r="J956" s="29"/>
      <c r="K956" s="29"/>
      <c r="L956" s="29"/>
      <c r="M956" s="34"/>
      <c r="N956" s="34"/>
      <c r="O956" s="29"/>
      <c r="P956" s="29"/>
      <c r="Q956" s="29"/>
      <c r="R956" s="29"/>
      <c r="S956" s="29"/>
      <c r="T956" s="476"/>
      <c r="U956" s="29"/>
      <c r="V956" s="2"/>
      <c r="W956" s="29"/>
      <c r="X956" s="2"/>
      <c r="Y956" s="29"/>
    </row>
    <row x14ac:dyDescent="0.25" r="957" customHeight="1" ht="15.75">
      <c r="A957" s="502"/>
      <c r="B957" s="34"/>
      <c r="C957" s="34"/>
      <c r="D957" s="34"/>
      <c r="E957" s="34"/>
      <c r="F957" s="34"/>
      <c r="G957" s="34"/>
      <c r="H957" s="34"/>
      <c r="I957" s="29"/>
      <c r="J957" s="29"/>
      <c r="K957" s="29"/>
      <c r="L957" s="29"/>
      <c r="M957" s="34"/>
      <c r="N957" s="34"/>
      <c r="O957" s="29"/>
      <c r="P957" s="29"/>
      <c r="Q957" s="29"/>
      <c r="R957" s="29"/>
      <c r="S957" s="29"/>
      <c r="T957" s="476"/>
      <c r="U957" s="29"/>
      <c r="V957" s="2"/>
      <c r="W957" s="29"/>
      <c r="X957" s="2"/>
      <c r="Y957" s="29"/>
    </row>
    <row x14ac:dyDescent="0.25" r="958" customHeight="1" ht="15.75">
      <c r="A958" s="502"/>
      <c r="B958" s="34"/>
      <c r="C958" s="34"/>
      <c r="D958" s="34"/>
      <c r="E958" s="34"/>
      <c r="F958" s="34"/>
      <c r="G958" s="34"/>
      <c r="H958" s="34"/>
      <c r="I958" s="29"/>
      <c r="J958" s="29"/>
      <c r="K958" s="29"/>
      <c r="L958" s="29"/>
      <c r="M958" s="34"/>
      <c r="N958" s="34"/>
      <c r="O958" s="29"/>
      <c r="P958" s="29"/>
      <c r="Q958" s="29"/>
      <c r="R958" s="29"/>
      <c r="S958" s="29"/>
      <c r="T958" s="476"/>
      <c r="U958" s="29"/>
      <c r="V958" s="2"/>
      <c r="W958" s="29"/>
      <c r="X958" s="2"/>
      <c r="Y958" s="29"/>
    </row>
    <row x14ac:dyDescent="0.25" r="959" customHeight="1" ht="15.75">
      <c r="A959" s="502"/>
      <c r="B959" s="34"/>
      <c r="C959" s="34"/>
      <c r="D959" s="34"/>
      <c r="E959" s="34"/>
      <c r="F959" s="34"/>
      <c r="G959" s="34"/>
      <c r="H959" s="34"/>
      <c r="I959" s="29"/>
      <c r="J959" s="29"/>
      <c r="K959" s="29"/>
      <c r="L959" s="29"/>
      <c r="M959" s="34"/>
      <c r="N959" s="34"/>
      <c r="O959" s="29"/>
      <c r="P959" s="29"/>
      <c r="Q959" s="29"/>
      <c r="R959" s="29"/>
      <c r="S959" s="29"/>
      <c r="T959" s="476"/>
      <c r="U959" s="29"/>
      <c r="V959" s="2"/>
      <c r="W959" s="29"/>
      <c r="X959" s="2"/>
      <c r="Y959" s="29"/>
    </row>
    <row x14ac:dyDescent="0.25" r="960" customHeight="1" ht="15.75">
      <c r="A960" s="502"/>
      <c r="B960" s="34"/>
      <c r="C960" s="34"/>
      <c r="D960" s="34"/>
      <c r="E960" s="34"/>
      <c r="F960" s="34"/>
      <c r="G960" s="34"/>
      <c r="H960" s="34"/>
      <c r="I960" s="29"/>
      <c r="J960" s="29"/>
      <c r="K960" s="29"/>
      <c r="L960" s="29"/>
      <c r="M960" s="34"/>
      <c r="N960" s="34"/>
      <c r="O960" s="29"/>
      <c r="P960" s="29"/>
      <c r="Q960" s="29"/>
      <c r="R960" s="29"/>
      <c r="S960" s="29"/>
      <c r="T960" s="476"/>
      <c r="U960" s="29"/>
      <c r="V960" s="2"/>
      <c r="W960" s="29"/>
      <c r="X960" s="2"/>
      <c r="Y960" s="29"/>
    </row>
    <row x14ac:dyDescent="0.25" r="961" customHeight="1" ht="15.75">
      <c r="A961" s="502"/>
      <c r="B961" s="34"/>
      <c r="C961" s="34"/>
      <c r="D961" s="34"/>
      <c r="E961" s="34"/>
      <c r="F961" s="34"/>
      <c r="G961" s="34"/>
      <c r="H961" s="34"/>
      <c r="I961" s="29"/>
      <c r="J961" s="29"/>
      <c r="K961" s="29"/>
      <c r="L961" s="29"/>
      <c r="M961" s="34"/>
      <c r="N961" s="34"/>
      <c r="O961" s="29"/>
      <c r="P961" s="29"/>
      <c r="Q961" s="29"/>
      <c r="R961" s="29"/>
      <c r="S961" s="29"/>
      <c r="T961" s="476"/>
      <c r="U961" s="29"/>
      <c r="V961" s="2"/>
      <c r="W961" s="29"/>
      <c r="X961" s="2"/>
      <c r="Y961" s="29"/>
    </row>
    <row x14ac:dyDescent="0.25" r="962" customHeight="1" ht="15.75">
      <c r="A962" s="502"/>
      <c r="B962" s="34"/>
      <c r="C962" s="34"/>
      <c r="D962" s="34"/>
      <c r="E962" s="34"/>
      <c r="F962" s="34"/>
      <c r="G962" s="34"/>
      <c r="H962" s="34"/>
      <c r="I962" s="29"/>
      <c r="J962" s="29"/>
      <c r="K962" s="29"/>
      <c r="L962" s="29"/>
      <c r="M962" s="34"/>
      <c r="N962" s="34"/>
      <c r="O962" s="29"/>
      <c r="P962" s="29"/>
      <c r="Q962" s="29"/>
      <c r="R962" s="29"/>
      <c r="S962" s="29"/>
      <c r="T962" s="476"/>
      <c r="U962" s="29"/>
      <c r="V962" s="2"/>
      <c r="W962" s="29"/>
      <c r="X962" s="2"/>
      <c r="Y962" s="29"/>
    </row>
    <row x14ac:dyDescent="0.25" r="963" customHeight="1" ht="15.75">
      <c r="A963" s="502"/>
      <c r="B963" s="34"/>
      <c r="C963" s="34"/>
      <c r="D963" s="34"/>
      <c r="E963" s="34"/>
      <c r="F963" s="34"/>
      <c r="G963" s="34"/>
      <c r="H963" s="34"/>
      <c r="I963" s="29"/>
      <c r="J963" s="29"/>
      <c r="K963" s="29"/>
      <c r="L963" s="29"/>
      <c r="M963" s="34"/>
      <c r="N963" s="34"/>
      <c r="O963" s="29"/>
      <c r="P963" s="29"/>
      <c r="Q963" s="29"/>
      <c r="R963" s="29"/>
      <c r="S963" s="29"/>
      <c r="T963" s="476"/>
      <c r="U963" s="29"/>
      <c r="V963" s="2"/>
      <c r="W963" s="29"/>
      <c r="X963" s="2"/>
      <c r="Y963" s="29"/>
    </row>
    <row x14ac:dyDescent="0.25" r="964" customHeight="1" ht="15.75">
      <c r="A964" s="502"/>
      <c r="B964" s="34"/>
      <c r="C964" s="34"/>
      <c r="D964" s="34"/>
      <c r="E964" s="34"/>
      <c r="F964" s="34"/>
      <c r="G964" s="34"/>
      <c r="H964" s="34"/>
      <c r="I964" s="29"/>
      <c r="J964" s="29"/>
      <c r="K964" s="29"/>
      <c r="L964" s="29"/>
      <c r="M964" s="34"/>
      <c r="N964" s="34"/>
      <c r="O964" s="29"/>
      <c r="P964" s="29"/>
      <c r="Q964" s="29"/>
      <c r="R964" s="29"/>
      <c r="S964" s="29"/>
      <c r="T964" s="476"/>
      <c r="U964" s="29"/>
      <c r="V964" s="2"/>
      <c r="W964" s="29"/>
      <c r="X964" s="2"/>
      <c r="Y964" s="29"/>
    </row>
    <row x14ac:dyDescent="0.25" r="965" customHeight="1" ht="15.75">
      <c r="A965" s="502"/>
      <c r="B965" s="34"/>
      <c r="C965" s="34"/>
      <c r="D965" s="34"/>
      <c r="E965" s="34"/>
      <c r="F965" s="34"/>
      <c r="G965" s="34"/>
      <c r="H965" s="34"/>
      <c r="I965" s="29"/>
      <c r="J965" s="29"/>
      <c r="K965" s="29"/>
      <c r="L965" s="29"/>
      <c r="M965" s="34"/>
      <c r="N965" s="34"/>
      <c r="O965" s="29"/>
      <c r="P965" s="29"/>
      <c r="Q965" s="29"/>
      <c r="R965" s="29"/>
      <c r="S965" s="29"/>
      <c r="T965" s="476"/>
      <c r="U965" s="29"/>
      <c r="V965" s="2"/>
      <c r="W965" s="29"/>
      <c r="X965" s="2"/>
      <c r="Y965" s="29"/>
    </row>
    <row x14ac:dyDescent="0.25" r="966" customHeight="1" ht="15.75">
      <c r="A966" s="502"/>
      <c r="B966" s="34"/>
      <c r="C966" s="34"/>
      <c r="D966" s="34"/>
      <c r="E966" s="34"/>
      <c r="F966" s="34"/>
      <c r="G966" s="34"/>
      <c r="H966" s="34"/>
      <c r="I966" s="29"/>
      <c r="J966" s="29"/>
      <c r="K966" s="29"/>
      <c r="L966" s="29"/>
      <c r="M966" s="34"/>
      <c r="N966" s="34"/>
      <c r="O966" s="29"/>
      <c r="P966" s="29"/>
      <c r="Q966" s="29"/>
      <c r="R966" s="29"/>
      <c r="S966" s="29"/>
      <c r="T966" s="476"/>
      <c r="U966" s="29"/>
      <c r="V966" s="2"/>
      <c r="W966" s="29"/>
      <c r="X966" s="2"/>
      <c r="Y966" s="29"/>
    </row>
    <row x14ac:dyDescent="0.25" r="967" customHeight="1" ht="15.75">
      <c r="A967" s="502"/>
      <c r="B967" s="34"/>
      <c r="C967" s="34"/>
      <c r="D967" s="34"/>
      <c r="E967" s="34"/>
      <c r="F967" s="34"/>
      <c r="G967" s="34"/>
      <c r="H967" s="34"/>
      <c r="I967" s="29"/>
      <c r="J967" s="29"/>
      <c r="K967" s="29"/>
      <c r="L967" s="29"/>
      <c r="M967" s="34"/>
      <c r="N967" s="34"/>
      <c r="O967" s="29"/>
      <c r="P967" s="29"/>
      <c r="Q967" s="29"/>
      <c r="R967" s="29"/>
      <c r="S967" s="29"/>
      <c r="T967" s="476"/>
      <c r="U967" s="29"/>
      <c r="V967" s="2"/>
      <c r="W967" s="29"/>
      <c r="X967" s="2"/>
      <c r="Y967" s="29"/>
    </row>
    <row x14ac:dyDescent="0.25" r="968" customHeight="1" ht="15.75">
      <c r="A968" s="502"/>
      <c r="B968" s="34"/>
      <c r="C968" s="34"/>
      <c r="D968" s="34"/>
      <c r="E968" s="34"/>
      <c r="F968" s="34"/>
      <c r="G968" s="34"/>
      <c r="H968" s="34"/>
      <c r="I968" s="29"/>
      <c r="J968" s="29"/>
      <c r="K968" s="29"/>
      <c r="L968" s="29"/>
      <c r="M968" s="34"/>
      <c r="N968" s="34"/>
      <c r="O968" s="29"/>
      <c r="P968" s="29"/>
      <c r="Q968" s="29"/>
      <c r="R968" s="29"/>
      <c r="S968" s="29"/>
      <c r="T968" s="476"/>
      <c r="U968" s="29"/>
      <c r="V968" s="2"/>
      <c r="W968" s="29"/>
      <c r="X968" s="2"/>
      <c r="Y968" s="29"/>
    </row>
    <row x14ac:dyDescent="0.25" r="969" customHeight="1" ht="15.75">
      <c r="A969" s="502"/>
      <c r="B969" s="34"/>
      <c r="C969" s="34"/>
      <c r="D969" s="34"/>
      <c r="E969" s="34"/>
      <c r="F969" s="34"/>
      <c r="G969" s="34"/>
      <c r="H969" s="34"/>
      <c r="I969" s="29"/>
      <c r="J969" s="29"/>
      <c r="K969" s="29"/>
      <c r="L969" s="29"/>
      <c r="M969" s="34"/>
      <c r="N969" s="34"/>
      <c r="O969" s="29"/>
      <c r="P969" s="29"/>
      <c r="Q969" s="29"/>
      <c r="R969" s="29"/>
      <c r="S969" s="29"/>
      <c r="T969" s="476"/>
      <c r="U969" s="29"/>
      <c r="V969" s="2"/>
      <c r="W969" s="29"/>
      <c r="X969" s="2"/>
      <c r="Y969" s="29"/>
    </row>
    <row x14ac:dyDescent="0.25" r="970" customHeight="1" ht="15.75">
      <c r="A970" s="502"/>
      <c r="B970" s="34"/>
      <c r="C970" s="34"/>
      <c r="D970" s="34"/>
      <c r="E970" s="34"/>
      <c r="F970" s="34"/>
      <c r="G970" s="34"/>
      <c r="H970" s="34"/>
      <c r="I970" s="29"/>
      <c r="J970" s="29"/>
      <c r="K970" s="29"/>
      <c r="L970" s="29"/>
      <c r="M970" s="34"/>
      <c r="N970" s="34"/>
      <c r="O970" s="29"/>
      <c r="P970" s="29"/>
      <c r="Q970" s="29"/>
      <c r="R970" s="29"/>
      <c r="S970" s="29"/>
      <c r="T970" s="476"/>
      <c r="U970" s="29"/>
      <c r="V970" s="2"/>
      <c r="W970" s="29"/>
      <c r="X970" s="2"/>
      <c r="Y970" s="29"/>
    </row>
    <row x14ac:dyDescent="0.25" r="971" customHeight="1" ht="15.75">
      <c r="A971" s="502"/>
      <c r="B971" s="34"/>
      <c r="C971" s="34"/>
      <c r="D971" s="34"/>
      <c r="E971" s="34"/>
      <c r="F971" s="34"/>
      <c r="G971" s="34"/>
      <c r="H971" s="34"/>
      <c r="I971" s="29"/>
      <c r="J971" s="29"/>
      <c r="K971" s="29"/>
      <c r="L971" s="29"/>
      <c r="M971" s="34"/>
      <c r="N971" s="34"/>
      <c r="O971" s="29"/>
      <c r="P971" s="29"/>
      <c r="Q971" s="29"/>
      <c r="R971" s="29"/>
      <c r="S971" s="29"/>
      <c r="T971" s="476"/>
      <c r="U971" s="29"/>
      <c r="V971" s="2"/>
      <c r="W971" s="29"/>
      <c r="X971" s="2"/>
      <c r="Y971" s="29"/>
    </row>
    <row x14ac:dyDescent="0.25" r="972" customHeight="1" ht="15.75">
      <c r="A972" s="502"/>
      <c r="B972" s="34"/>
      <c r="C972" s="34"/>
      <c r="D972" s="34"/>
      <c r="E972" s="34"/>
      <c r="F972" s="34"/>
      <c r="G972" s="34"/>
      <c r="H972" s="34"/>
      <c r="I972" s="29"/>
      <c r="J972" s="29"/>
      <c r="K972" s="29"/>
      <c r="L972" s="29"/>
      <c r="M972" s="34"/>
      <c r="N972" s="34"/>
      <c r="O972" s="29"/>
      <c r="P972" s="29"/>
      <c r="Q972" s="29"/>
      <c r="R972" s="29"/>
      <c r="S972" s="29"/>
      <c r="T972" s="476"/>
      <c r="U972" s="29"/>
      <c r="V972" s="2"/>
      <c r="W972" s="29"/>
      <c r="X972" s="2"/>
      <c r="Y972" s="29"/>
    </row>
    <row x14ac:dyDescent="0.25" r="973" customHeight="1" ht="15.75">
      <c r="A973" s="502"/>
      <c r="B973" s="34"/>
      <c r="C973" s="34"/>
      <c r="D973" s="34"/>
      <c r="E973" s="34"/>
      <c r="F973" s="34"/>
      <c r="G973" s="34"/>
      <c r="H973" s="34"/>
      <c r="I973" s="29"/>
      <c r="J973" s="29"/>
      <c r="K973" s="29"/>
      <c r="L973" s="29"/>
      <c r="M973" s="34"/>
      <c r="N973" s="34"/>
      <c r="O973" s="29"/>
      <c r="P973" s="29"/>
      <c r="Q973" s="29"/>
      <c r="R973" s="29"/>
      <c r="S973" s="29"/>
      <c r="T973" s="476"/>
      <c r="U973" s="29"/>
      <c r="V973" s="2"/>
      <c r="W973" s="29"/>
      <c r="X973" s="2"/>
      <c r="Y973" s="29"/>
    </row>
    <row x14ac:dyDescent="0.25" r="974" customHeight="1" ht="15.75">
      <c r="A974" s="502"/>
      <c r="B974" s="34"/>
      <c r="C974" s="34"/>
      <c r="D974" s="34"/>
      <c r="E974" s="34"/>
      <c r="F974" s="34"/>
      <c r="G974" s="34"/>
      <c r="H974" s="34"/>
      <c r="I974" s="29"/>
      <c r="J974" s="29"/>
      <c r="K974" s="29"/>
      <c r="L974" s="29"/>
      <c r="M974" s="34"/>
      <c r="N974" s="34"/>
      <c r="O974" s="29"/>
      <c r="P974" s="29"/>
      <c r="Q974" s="29"/>
      <c r="R974" s="29"/>
      <c r="S974" s="29"/>
      <c r="T974" s="476"/>
      <c r="U974" s="29"/>
      <c r="V974" s="2"/>
      <c r="W974" s="29"/>
      <c r="X974" s="2"/>
      <c r="Y974" s="29"/>
    </row>
    <row x14ac:dyDescent="0.25" r="975" customHeight="1" ht="15.75">
      <c r="A975" s="502"/>
      <c r="B975" s="34"/>
      <c r="C975" s="34"/>
      <c r="D975" s="34"/>
      <c r="E975" s="34"/>
      <c r="F975" s="34"/>
      <c r="G975" s="34"/>
      <c r="H975" s="34"/>
      <c r="I975" s="29"/>
      <c r="J975" s="29"/>
      <c r="K975" s="29"/>
      <c r="L975" s="29"/>
      <c r="M975" s="34"/>
      <c r="N975" s="34"/>
      <c r="O975" s="29"/>
      <c r="P975" s="29"/>
      <c r="Q975" s="29"/>
      <c r="R975" s="29"/>
      <c r="S975" s="29"/>
      <c r="T975" s="476"/>
      <c r="U975" s="29"/>
      <c r="V975" s="2"/>
      <c r="W975" s="29"/>
      <c r="X975" s="2"/>
      <c r="Y975" s="29"/>
    </row>
    <row x14ac:dyDescent="0.25" r="976" customHeight="1" ht="15.75">
      <c r="A976" s="502"/>
      <c r="B976" s="34"/>
      <c r="C976" s="34"/>
      <c r="D976" s="34"/>
      <c r="E976" s="34"/>
      <c r="F976" s="34"/>
      <c r="G976" s="34"/>
      <c r="H976" s="34"/>
      <c r="I976" s="29"/>
      <c r="J976" s="29"/>
      <c r="K976" s="29"/>
      <c r="L976" s="29"/>
      <c r="M976" s="34"/>
      <c r="N976" s="34"/>
      <c r="O976" s="29"/>
      <c r="P976" s="29"/>
      <c r="Q976" s="29"/>
      <c r="R976" s="29"/>
      <c r="S976" s="29"/>
      <c r="T976" s="476"/>
      <c r="U976" s="29"/>
      <c r="V976" s="2"/>
      <c r="W976" s="29"/>
      <c r="X976" s="2"/>
      <c r="Y976" s="29"/>
    </row>
    <row x14ac:dyDescent="0.25" r="977" customHeight="1" ht="15.75">
      <c r="A977" s="502"/>
      <c r="B977" s="34"/>
      <c r="C977" s="34"/>
      <c r="D977" s="34"/>
      <c r="E977" s="34"/>
      <c r="F977" s="34"/>
      <c r="G977" s="34"/>
      <c r="H977" s="34"/>
      <c r="I977" s="29"/>
      <c r="J977" s="29"/>
      <c r="K977" s="29"/>
      <c r="L977" s="29"/>
      <c r="M977" s="34"/>
      <c r="N977" s="34"/>
      <c r="O977" s="29"/>
      <c r="P977" s="29"/>
      <c r="Q977" s="29"/>
      <c r="R977" s="29"/>
      <c r="S977" s="29"/>
      <c r="T977" s="476"/>
      <c r="U977" s="29"/>
      <c r="V977" s="2"/>
      <c r="W977" s="29"/>
      <c r="X977" s="2"/>
      <c r="Y977" s="29"/>
    </row>
    <row x14ac:dyDescent="0.25" r="978" customHeight="1" ht="15.75">
      <c r="A978" s="502"/>
      <c r="B978" s="34"/>
      <c r="C978" s="34"/>
      <c r="D978" s="34"/>
      <c r="E978" s="34"/>
      <c r="F978" s="34"/>
      <c r="G978" s="34"/>
      <c r="H978" s="34"/>
      <c r="I978" s="29"/>
      <c r="J978" s="29"/>
      <c r="K978" s="29"/>
      <c r="L978" s="29"/>
      <c r="M978" s="34"/>
      <c r="N978" s="34"/>
      <c r="O978" s="29"/>
      <c r="P978" s="29"/>
      <c r="Q978" s="29"/>
      <c r="R978" s="29"/>
      <c r="S978" s="29"/>
      <c r="T978" s="476"/>
      <c r="U978" s="29"/>
      <c r="V978" s="2"/>
      <c r="W978" s="29"/>
      <c r="X978" s="2"/>
      <c r="Y978" s="29"/>
    </row>
    <row x14ac:dyDescent="0.25" r="979" customHeight="1" ht="15.75">
      <c r="A979" s="502"/>
      <c r="B979" s="34"/>
      <c r="C979" s="34"/>
      <c r="D979" s="34"/>
      <c r="E979" s="34"/>
      <c r="F979" s="34"/>
      <c r="G979" s="34"/>
      <c r="H979" s="34"/>
      <c r="I979" s="29"/>
      <c r="J979" s="29"/>
      <c r="K979" s="29"/>
      <c r="L979" s="29"/>
      <c r="M979" s="34"/>
      <c r="N979" s="34"/>
      <c r="O979" s="29"/>
      <c r="P979" s="29"/>
      <c r="Q979" s="29"/>
      <c r="R979" s="29"/>
      <c r="S979" s="29"/>
      <c r="T979" s="476"/>
      <c r="U979" s="29"/>
      <c r="V979" s="2"/>
      <c r="W979" s="29"/>
      <c r="X979" s="2"/>
      <c r="Y979" s="29"/>
    </row>
  </sheetData>
  <mergeCells count="19">
    <mergeCell ref="R27:R29"/>
    <mergeCell ref="S27:S29"/>
    <mergeCell ref="T27:T29"/>
    <mergeCell ref="U27:U29"/>
    <mergeCell ref="T30:T31"/>
    <mergeCell ref="U30:U31"/>
    <mergeCell ref="P37:P40"/>
    <mergeCell ref="Q37:Q40"/>
    <mergeCell ref="R37:R40"/>
    <mergeCell ref="S37:S40"/>
    <mergeCell ref="T37:T40"/>
    <mergeCell ref="U37:U40"/>
    <mergeCell ref="P63:P65"/>
    <mergeCell ref="Q63:Q65"/>
    <mergeCell ref="R63:R65"/>
    <mergeCell ref="S63:S65"/>
    <mergeCell ref="T63:T65"/>
    <mergeCell ref="U63:U65"/>
    <mergeCell ref="A128:H1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947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21" width="13.43357142857143" customWidth="1" bestFit="1"/>
    <col min="2" max="2" style="36" width="5.147857142857143" customWidth="1" bestFit="1"/>
    <col min="3" max="3" style="36" width="11.576428571428572" customWidth="1" bestFit="1"/>
    <col min="4" max="4" style="36" width="13.290714285714287" customWidth="1" bestFit="1"/>
    <col min="5" max="5" style="36" width="12.005" customWidth="1" bestFit="1"/>
    <col min="6" max="6" style="36" width="16.576428571428572" customWidth="1" bestFit="1"/>
    <col min="7" max="7" style="36" width="32.86214285714286" customWidth="1" bestFit="1"/>
    <col min="8" max="8" style="36" width="7.147857142857143" customWidth="1" bestFit="1"/>
    <col min="9" max="9" style="37" width="12.005" customWidth="1" bestFit="1"/>
    <col min="10" max="10" style="37" width="12.005" customWidth="1" bestFit="1"/>
    <col min="11" max="11" style="37" width="9.862142857142858" customWidth="1" bestFit="1"/>
    <col min="12" max="12" style="37" width="8.719285714285713" customWidth="1" bestFit="1"/>
    <col min="13" max="13" style="36" width="6.433571428571429" customWidth="1" bestFit="1"/>
    <col min="14" max="14" style="36" width="21.005" customWidth="1" bestFit="1"/>
    <col min="15" max="15" style="37" width="5.576428571428571" customWidth="1" bestFit="1"/>
    <col min="16" max="16" style="37" width="11.43357142857143" customWidth="1" bestFit="1"/>
    <col min="17" max="17" style="37" width="11.43357142857143" customWidth="1" bestFit="1"/>
    <col min="18" max="18" style="37" width="11.43357142857143" customWidth="1" bestFit="1"/>
    <col min="19" max="19" style="37" width="11.43357142857143" customWidth="1" bestFit="1"/>
    <col min="20" max="20" style="37" width="11.43357142857143" customWidth="1" bestFit="1"/>
    <col min="21" max="21" style="21" width="11.43357142857143" customWidth="1" bestFit="1"/>
    <col min="22" max="22" style="22" width="11.43357142857143" customWidth="1" bestFit="1"/>
    <col min="23" max="23" style="37" width="12.290714285714287" customWidth="1" bestFit="1"/>
    <col min="24" max="24" style="36" width="11.43357142857143" customWidth="1" bestFit="1"/>
    <col min="25" max="25" style="36" width="11.43357142857143" customWidth="1" bestFit="1"/>
  </cols>
  <sheetData>
    <row x14ac:dyDescent="0.25" r="1" customHeight="1" ht="25.5">
      <c r="A1" s="152" t="s">
        <v>1</v>
      </c>
      <c r="B1" s="507" t="s">
        <v>3</v>
      </c>
      <c r="C1" s="507" t="s">
        <v>505</v>
      </c>
      <c r="D1" s="507" t="s">
        <v>4</v>
      </c>
      <c r="E1" s="507" t="s">
        <v>5</v>
      </c>
      <c r="F1" s="508" t="s">
        <v>6</v>
      </c>
      <c r="G1" s="507" t="s">
        <v>7</v>
      </c>
      <c r="H1" s="507" t="s">
        <v>8</v>
      </c>
      <c r="I1" s="509" t="s">
        <v>5275</v>
      </c>
      <c r="J1" s="510" t="s">
        <v>10</v>
      </c>
      <c r="K1" s="510" t="s">
        <v>11</v>
      </c>
      <c r="L1" s="510" t="s">
        <v>12</v>
      </c>
      <c r="M1" s="507" t="s">
        <v>5276</v>
      </c>
      <c r="N1" s="507" t="s">
        <v>1204</v>
      </c>
      <c r="O1" s="510" t="s">
        <v>15</v>
      </c>
      <c r="P1" s="510" t="s">
        <v>16</v>
      </c>
      <c r="Q1" s="510" t="s">
        <v>17</v>
      </c>
      <c r="R1" s="510" t="s">
        <v>1661</v>
      </c>
      <c r="S1" s="510" t="s">
        <v>1662</v>
      </c>
      <c r="T1" s="510" t="s">
        <v>1663</v>
      </c>
      <c r="U1" s="511" t="s">
        <v>1664</v>
      </c>
      <c r="V1" s="507" t="s">
        <v>1665</v>
      </c>
      <c r="W1" s="510" t="s">
        <v>20</v>
      </c>
      <c r="X1" s="3"/>
      <c r="Y1" s="3"/>
    </row>
    <row x14ac:dyDescent="0.25" r="2" customHeight="1" ht="19.5">
      <c r="A2" s="512">
        <v>45689</v>
      </c>
      <c r="B2" s="513" t="s">
        <v>22</v>
      </c>
      <c r="C2" s="513" t="s">
        <v>5277</v>
      </c>
      <c r="D2" s="513" t="s">
        <v>477</v>
      </c>
      <c r="E2" s="513" t="s">
        <v>5278</v>
      </c>
      <c r="F2" s="513" t="s">
        <v>548</v>
      </c>
      <c r="G2" s="513" t="s">
        <v>5279</v>
      </c>
      <c r="H2" s="513" t="s">
        <v>26</v>
      </c>
      <c r="I2" s="514" t="s">
        <v>5280</v>
      </c>
      <c r="J2" s="514">
        <v>120800</v>
      </c>
      <c r="K2" s="514"/>
      <c r="L2" s="515" t="s">
        <v>5281</v>
      </c>
      <c r="M2" s="513" t="s">
        <v>22</v>
      </c>
      <c r="N2" s="513" t="s">
        <v>5282</v>
      </c>
      <c r="O2" s="515"/>
      <c r="P2" s="514"/>
      <c r="Q2" s="514"/>
      <c r="R2" s="514"/>
      <c r="S2" s="514">
        <v>120800</v>
      </c>
      <c r="T2" s="514">
        <f>J2-P2-S2</f>
      </c>
      <c r="U2" s="516">
        <v>45695</v>
      </c>
      <c r="V2" s="513" t="s">
        <v>2122</v>
      </c>
      <c r="W2" s="515"/>
      <c r="X2" s="3"/>
      <c r="Y2" s="3"/>
    </row>
    <row x14ac:dyDescent="0.25" r="3" customHeight="1" ht="19.5">
      <c r="A3" s="517">
        <v>45689</v>
      </c>
      <c r="B3" s="518" t="s">
        <v>22</v>
      </c>
      <c r="C3" s="518" t="s">
        <v>5283</v>
      </c>
      <c r="D3" s="518" t="s">
        <v>485</v>
      </c>
      <c r="E3" s="518" t="s">
        <v>5284</v>
      </c>
      <c r="F3" s="518" t="s">
        <v>548</v>
      </c>
      <c r="G3" s="518" t="s">
        <v>5285</v>
      </c>
      <c r="H3" s="518" t="s">
        <v>26</v>
      </c>
      <c r="I3" s="519" t="s">
        <v>5286</v>
      </c>
      <c r="J3" s="519">
        <v>75800</v>
      </c>
      <c r="K3" s="519"/>
      <c r="L3" s="520" t="s">
        <v>5287</v>
      </c>
      <c r="M3" s="518" t="s">
        <v>22</v>
      </c>
      <c r="N3" s="518" t="s">
        <v>5288</v>
      </c>
      <c r="O3" s="520"/>
      <c r="P3" s="519"/>
      <c r="Q3" s="519"/>
      <c r="R3" s="519"/>
      <c r="S3" s="519">
        <v>75800</v>
      </c>
      <c r="T3" s="519">
        <f>J3-P3-S3</f>
      </c>
      <c r="U3" s="521">
        <v>45695</v>
      </c>
      <c r="V3" s="518" t="s">
        <v>2122</v>
      </c>
      <c r="W3" s="520"/>
      <c r="X3" s="3"/>
      <c r="Y3" s="3"/>
    </row>
    <row x14ac:dyDescent="0.25" r="4" customHeight="1" ht="19.5">
      <c r="A4" s="512">
        <v>45689</v>
      </c>
      <c r="B4" s="513" t="s">
        <v>475</v>
      </c>
      <c r="C4" s="513" t="s">
        <v>575</v>
      </c>
      <c r="D4" s="513" t="s">
        <v>508</v>
      </c>
      <c r="E4" s="513" t="s">
        <v>5289</v>
      </c>
      <c r="F4" s="513" t="s">
        <v>548</v>
      </c>
      <c r="G4" s="513" t="s">
        <v>5285</v>
      </c>
      <c r="H4" s="513" t="s">
        <v>26</v>
      </c>
      <c r="I4" s="514" t="s">
        <v>5290</v>
      </c>
      <c r="J4" s="514">
        <v>80000</v>
      </c>
      <c r="K4" s="515" t="s">
        <v>4713</v>
      </c>
      <c r="L4" s="515" t="s">
        <v>5291</v>
      </c>
      <c r="M4" s="513" t="s">
        <v>475</v>
      </c>
      <c r="N4" s="513" t="s">
        <v>5292</v>
      </c>
      <c r="O4" s="515"/>
      <c r="P4" s="514"/>
      <c r="Q4" s="514"/>
      <c r="R4" s="514"/>
      <c r="S4" s="514">
        <v>80000</v>
      </c>
      <c r="T4" s="514">
        <f>J4-P4-S4</f>
      </c>
      <c r="U4" s="516">
        <v>45695</v>
      </c>
      <c r="V4" s="513" t="s">
        <v>2122</v>
      </c>
      <c r="W4" s="515"/>
      <c r="X4" s="3"/>
      <c r="Y4" s="3"/>
    </row>
    <row x14ac:dyDescent="0.25" r="5" customHeight="1" ht="19.5">
      <c r="A5" s="512">
        <v>45689</v>
      </c>
      <c r="B5" s="56" t="s">
        <v>111</v>
      </c>
      <c r="C5" s="56" t="s">
        <v>5293</v>
      </c>
      <c r="D5" s="56" t="s">
        <v>5294</v>
      </c>
      <c r="E5" s="56" t="s">
        <v>5295</v>
      </c>
      <c r="F5" s="56" t="s">
        <v>548</v>
      </c>
      <c r="G5" s="56" t="s">
        <v>494</v>
      </c>
      <c r="H5" s="56" t="s">
        <v>26</v>
      </c>
      <c r="I5" s="57">
        <v>770900</v>
      </c>
      <c r="J5" s="57">
        <v>180000</v>
      </c>
      <c r="K5" s="57">
        <v>0</v>
      </c>
      <c r="L5" s="180" t="s">
        <v>5296</v>
      </c>
      <c r="M5" s="56" t="s">
        <v>50</v>
      </c>
      <c r="N5" s="56" t="s">
        <v>5297</v>
      </c>
      <c r="O5" s="180"/>
      <c r="P5" s="57"/>
      <c r="Q5" s="57"/>
      <c r="R5" s="57"/>
      <c r="S5" s="57">
        <v>180000</v>
      </c>
      <c r="T5" s="514">
        <f>J5-P5-S5</f>
      </c>
      <c r="U5" s="483">
        <v>45695</v>
      </c>
      <c r="V5" s="56" t="s">
        <v>2122</v>
      </c>
      <c r="W5" s="180"/>
      <c r="X5" s="34"/>
      <c r="Y5" s="34"/>
    </row>
    <row x14ac:dyDescent="0.25" r="6" customHeight="1" ht="19.5">
      <c r="A6" s="522">
        <v>45689</v>
      </c>
      <c r="B6" s="14" t="s">
        <v>66</v>
      </c>
      <c r="C6" s="14" t="s">
        <v>575</v>
      </c>
      <c r="D6" s="14" t="s">
        <v>415</v>
      </c>
      <c r="E6" s="14" t="s">
        <v>5298</v>
      </c>
      <c r="F6" s="14" t="s">
        <v>301</v>
      </c>
      <c r="G6" s="14" t="s">
        <v>5299</v>
      </c>
      <c r="H6" s="14" t="s">
        <v>26</v>
      </c>
      <c r="I6" s="17"/>
      <c r="J6" s="17">
        <v>99900</v>
      </c>
      <c r="K6" s="65" t="s">
        <v>5300</v>
      </c>
      <c r="L6" s="65" t="s">
        <v>5301</v>
      </c>
      <c r="M6" s="14" t="s">
        <v>50</v>
      </c>
      <c r="N6" s="14" t="s">
        <v>5302</v>
      </c>
      <c r="O6" s="65" t="s">
        <v>251</v>
      </c>
      <c r="P6" s="17"/>
      <c r="Q6" s="17"/>
      <c r="R6" s="17"/>
      <c r="S6" s="17">
        <v>100000</v>
      </c>
      <c r="T6" s="523">
        <f>J6-P6-S6</f>
      </c>
      <c r="U6" s="161" t="s">
        <v>5303</v>
      </c>
      <c r="V6" s="14" t="s">
        <v>1718</v>
      </c>
      <c r="W6" s="65"/>
      <c r="X6" s="3"/>
      <c r="Y6" s="3"/>
    </row>
    <row x14ac:dyDescent="0.25" r="7" customHeight="1" ht="18.75">
      <c r="A7" s="522">
        <v>45689</v>
      </c>
      <c r="B7" s="14" t="s">
        <v>106</v>
      </c>
      <c r="C7" s="14" t="s">
        <v>5304</v>
      </c>
      <c r="D7" s="14" t="s">
        <v>1507</v>
      </c>
      <c r="E7" s="14" t="s">
        <v>5305</v>
      </c>
      <c r="F7" s="14" t="s">
        <v>533</v>
      </c>
      <c r="G7" s="14" t="s">
        <v>5000</v>
      </c>
      <c r="H7" s="14" t="s">
        <v>26</v>
      </c>
      <c r="I7" s="17"/>
      <c r="J7" s="17">
        <v>198000</v>
      </c>
      <c r="K7" s="17">
        <v>-1000</v>
      </c>
      <c r="L7" s="65" t="s">
        <v>5306</v>
      </c>
      <c r="M7" s="14" t="s">
        <v>137</v>
      </c>
      <c r="N7" s="14" t="s">
        <v>5307</v>
      </c>
      <c r="O7" s="65" t="s">
        <v>251</v>
      </c>
      <c r="P7" s="17"/>
      <c r="Q7" s="17"/>
      <c r="R7" s="17"/>
      <c r="S7" s="17">
        <v>198000</v>
      </c>
      <c r="T7" s="523">
        <f>J7-P7-S7</f>
      </c>
      <c r="U7" s="293">
        <v>45744</v>
      </c>
      <c r="V7" s="14" t="s">
        <v>2216</v>
      </c>
      <c r="W7" s="65" t="s">
        <v>5308</v>
      </c>
      <c r="X7" s="3"/>
      <c r="Y7" s="3"/>
    </row>
    <row x14ac:dyDescent="0.25" r="8" customHeight="1" ht="19.5">
      <c r="A8" s="522">
        <v>45689</v>
      </c>
      <c r="B8" s="14" t="s">
        <v>66</v>
      </c>
      <c r="C8" s="14" t="s">
        <v>575</v>
      </c>
      <c r="D8" s="14" t="s">
        <v>415</v>
      </c>
      <c r="E8" s="14" t="s">
        <v>5298</v>
      </c>
      <c r="F8" s="14" t="s">
        <v>301</v>
      </c>
      <c r="G8" s="14" t="s">
        <v>5309</v>
      </c>
      <c r="H8" s="14" t="s">
        <v>26</v>
      </c>
      <c r="I8" s="17"/>
      <c r="J8" s="17">
        <v>99900</v>
      </c>
      <c r="K8" s="17">
        <v>71000</v>
      </c>
      <c r="L8" s="17">
        <f>J8-K8</f>
      </c>
      <c r="M8" s="14" t="s">
        <v>50</v>
      </c>
      <c r="N8" s="14" t="s">
        <v>5310</v>
      </c>
      <c r="O8" s="65" t="s">
        <v>251</v>
      </c>
      <c r="P8" s="17"/>
      <c r="Q8" s="17"/>
      <c r="R8" s="17"/>
      <c r="S8" s="17">
        <v>100000</v>
      </c>
      <c r="T8" s="523">
        <f>J8-P8-S8</f>
      </c>
      <c r="U8" s="293">
        <v>45714</v>
      </c>
      <c r="V8" s="14" t="s">
        <v>1718</v>
      </c>
      <c r="W8" s="65"/>
      <c r="X8" s="34"/>
      <c r="Y8" s="34"/>
    </row>
    <row x14ac:dyDescent="0.25" r="9" customHeight="1" ht="19.5">
      <c r="A9" s="524">
        <v>45690</v>
      </c>
      <c r="B9" s="525" t="s">
        <v>46</v>
      </c>
      <c r="C9" s="525" t="s">
        <v>575</v>
      </c>
      <c r="D9" s="525" t="s">
        <v>313</v>
      </c>
      <c r="E9" s="525" t="s">
        <v>5311</v>
      </c>
      <c r="F9" s="525" t="s">
        <v>174</v>
      </c>
      <c r="G9" s="525" t="s">
        <v>5157</v>
      </c>
      <c r="H9" s="525" t="s">
        <v>26</v>
      </c>
      <c r="I9" s="526"/>
      <c r="J9" s="526">
        <v>-293000</v>
      </c>
      <c r="K9" s="526"/>
      <c r="L9" s="526">
        <f>J9-K9</f>
      </c>
      <c r="M9" s="525" t="s">
        <v>46</v>
      </c>
      <c r="N9" s="525" t="s">
        <v>5312</v>
      </c>
      <c r="O9" s="527" t="s">
        <v>251</v>
      </c>
      <c r="P9" s="526"/>
      <c r="Q9" s="526"/>
      <c r="R9" s="526"/>
      <c r="S9" s="526"/>
      <c r="T9" s="526">
        <f>J9-P9-S9</f>
      </c>
      <c r="U9" s="528"/>
      <c r="V9" s="527"/>
      <c r="W9" s="526">
        <v>-100000</v>
      </c>
      <c r="X9" s="3" t="s">
        <v>5313</v>
      </c>
      <c r="Y9" s="34"/>
    </row>
    <row x14ac:dyDescent="0.25" r="10" customHeight="1" ht="19.5">
      <c r="A10" s="524">
        <v>45690</v>
      </c>
      <c r="B10" s="525" t="s">
        <v>46</v>
      </c>
      <c r="C10" s="525" t="s">
        <v>575</v>
      </c>
      <c r="D10" s="525" t="s">
        <v>313</v>
      </c>
      <c r="E10" s="525" t="s">
        <v>5314</v>
      </c>
      <c r="F10" s="525" t="s">
        <v>174</v>
      </c>
      <c r="G10" s="525" t="s">
        <v>5157</v>
      </c>
      <c r="H10" s="525" t="s">
        <v>26</v>
      </c>
      <c r="I10" s="526"/>
      <c r="J10" s="526"/>
      <c r="K10" s="526"/>
      <c r="L10" s="527" t="s">
        <v>4713</v>
      </c>
      <c r="M10" s="525" t="s">
        <v>3045</v>
      </c>
      <c r="N10" s="525" t="s">
        <v>5315</v>
      </c>
      <c r="O10" s="527" t="s">
        <v>251</v>
      </c>
      <c r="P10" s="526"/>
      <c r="Q10" s="526"/>
      <c r="R10" s="526"/>
      <c r="S10" s="526"/>
      <c r="T10" s="526">
        <f>J10-P10-S10</f>
      </c>
      <c r="U10" s="528"/>
      <c r="V10" s="527"/>
      <c r="W10" s="527"/>
      <c r="X10" s="3"/>
      <c r="Y10" s="3"/>
    </row>
    <row x14ac:dyDescent="0.25" r="11" customHeight="1" ht="19.5">
      <c r="A11" s="529">
        <v>45691</v>
      </c>
      <c r="B11" s="99" t="s">
        <v>46</v>
      </c>
      <c r="C11" s="99" t="s">
        <v>5316</v>
      </c>
      <c r="D11" s="99" t="s">
        <v>54</v>
      </c>
      <c r="E11" s="99" t="s">
        <v>5317</v>
      </c>
      <c r="F11" s="99" t="s">
        <v>24</v>
      </c>
      <c r="G11" s="99" t="s">
        <v>3067</v>
      </c>
      <c r="H11" s="99" t="s">
        <v>26</v>
      </c>
      <c r="I11" s="114"/>
      <c r="J11" s="114">
        <v>250000</v>
      </c>
      <c r="K11" s="100" t="s">
        <v>5318</v>
      </c>
      <c r="L11" s="100" t="s">
        <v>5319</v>
      </c>
      <c r="M11" s="99"/>
      <c r="N11" s="99"/>
      <c r="O11" s="100" t="s">
        <v>2979</v>
      </c>
      <c r="P11" s="114"/>
      <c r="Q11" s="114"/>
      <c r="R11" s="114"/>
      <c r="S11" s="114">
        <v>250000</v>
      </c>
      <c r="T11" s="523">
        <f>J11-P11-S11</f>
      </c>
      <c r="U11" s="530">
        <v>45762</v>
      </c>
      <c r="V11" s="99" t="s">
        <v>2216</v>
      </c>
      <c r="W11" s="100" t="s">
        <v>4954</v>
      </c>
      <c r="X11" s="3"/>
      <c r="Y11" s="3"/>
    </row>
    <row x14ac:dyDescent="0.25" r="12" customHeight="1" ht="19.5">
      <c r="A12" s="531">
        <v>45691</v>
      </c>
      <c r="B12" s="14" t="s">
        <v>82</v>
      </c>
      <c r="C12" s="14" t="s">
        <v>584</v>
      </c>
      <c r="D12" s="14" t="s">
        <v>585</v>
      </c>
      <c r="E12" s="14" t="s">
        <v>586</v>
      </c>
      <c r="F12" s="14" t="s">
        <v>587</v>
      </c>
      <c r="G12" s="14" t="s">
        <v>588</v>
      </c>
      <c r="H12" s="14" t="s">
        <v>76</v>
      </c>
      <c r="I12" s="17"/>
      <c r="J12" s="17">
        <v>565800</v>
      </c>
      <c r="K12" s="65" t="s">
        <v>589</v>
      </c>
      <c r="L12" s="65" t="s">
        <v>5320</v>
      </c>
      <c r="M12" s="14" t="s">
        <v>86</v>
      </c>
      <c r="N12" s="14" t="s">
        <v>590</v>
      </c>
      <c r="O12" s="65"/>
      <c r="P12" s="17"/>
      <c r="Q12" s="17"/>
      <c r="R12" s="17"/>
      <c r="S12" s="17">
        <v>565800</v>
      </c>
      <c r="T12" s="523">
        <f>J12-P12-S12</f>
      </c>
      <c r="U12" s="161" t="s">
        <v>5321</v>
      </c>
      <c r="V12" s="14" t="s">
        <v>1718</v>
      </c>
      <c r="W12" s="65"/>
      <c r="X12" s="3"/>
      <c r="Y12" s="3"/>
    </row>
    <row x14ac:dyDescent="0.25" r="13" customHeight="1" ht="19.5">
      <c r="A13" s="529">
        <v>45691</v>
      </c>
      <c r="B13" s="99" t="s">
        <v>22</v>
      </c>
      <c r="C13" s="99" t="s">
        <v>584</v>
      </c>
      <c r="D13" s="99" t="s">
        <v>477</v>
      </c>
      <c r="E13" s="99" t="s">
        <v>5322</v>
      </c>
      <c r="F13" s="99" t="s">
        <v>548</v>
      </c>
      <c r="G13" s="99" t="s">
        <v>5323</v>
      </c>
      <c r="H13" s="99" t="s">
        <v>26</v>
      </c>
      <c r="I13" s="114" t="s">
        <v>5280</v>
      </c>
      <c r="J13" s="114">
        <v>429950</v>
      </c>
      <c r="K13" s="100" t="s">
        <v>5324</v>
      </c>
      <c r="L13" s="100" t="s">
        <v>5325</v>
      </c>
      <c r="M13" s="99" t="s">
        <v>22</v>
      </c>
      <c r="N13" s="99" t="s">
        <v>5326</v>
      </c>
      <c r="O13" s="100"/>
      <c r="P13" s="114"/>
      <c r="Q13" s="114"/>
      <c r="R13" s="114"/>
      <c r="S13" s="114">
        <v>427252</v>
      </c>
      <c r="T13" s="523">
        <f>J13-P13-S13</f>
      </c>
      <c r="U13" s="530">
        <v>45695</v>
      </c>
      <c r="V13" s="99" t="s">
        <v>2122</v>
      </c>
      <c r="W13" s="100"/>
      <c r="X13" s="3"/>
      <c r="Y13" s="3"/>
    </row>
    <row x14ac:dyDescent="0.25" r="14" customHeight="1" ht="19.5">
      <c r="A14" s="529">
        <v>45691</v>
      </c>
      <c r="B14" s="99" t="s">
        <v>82</v>
      </c>
      <c r="C14" s="99" t="s">
        <v>591</v>
      </c>
      <c r="D14" s="99" t="s">
        <v>23</v>
      </c>
      <c r="E14" s="99" t="s">
        <v>592</v>
      </c>
      <c r="F14" s="99" t="s">
        <v>344</v>
      </c>
      <c r="G14" s="99" t="s">
        <v>593</v>
      </c>
      <c r="H14" s="99" t="s">
        <v>26</v>
      </c>
      <c r="I14" s="532">
        <v>225455</v>
      </c>
      <c r="J14" s="114">
        <v>346950</v>
      </c>
      <c r="K14" s="100" t="s">
        <v>594</v>
      </c>
      <c r="L14" s="100" t="s">
        <v>5327</v>
      </c>
      <c r="M14" s="99" t="s">
        <v>86</v>
      </c>
      <c r="N14" s="99" t="s">
        <v>595</v>
      </c>
      <c r="O14" s="100"/>
      <c r="P14" s="114"/>
      <c r="Q14" s="114"/>
      <c r="R14" s="114"/>
      <c r="S14" s="114">
        <v>346950</v>
      </c>
      <c r="T14" s="523">
        <f>J14-P14-S14</f>
      </c>
      <c r="U14" s="530">
        <v>45660</v>
      </c>
      <c r="V14" s="99" t="s">
        <v>2122</v>
      </c>
      <c r="W14" s="100"/>
      <c r="X14" s="3"/>
      <c r="Y14" s="3"/>
    </row>
    <row x14ac:dyDescent="0.25" r="15" customHeight="1" ht="19.5">
      <c r="A15" s="531">
        <v>45691</v>
      </c>
      <c r="B15" s="14" t="s">
        <v>82</v>
      </c>
      <c r="C15" s="14" t="s">
        <v>596</v>
      </c>
      <c r="D15" s="14" t="s">
        <v>23</v>
      </c>
      <c r="E15" s="14" t="s">
        <v>597</v>
      </c>
      <c r="F15" s="14" t="s">
        <v>344</v>
      </c>
      <c r="G15" s="14" t="s">
        <v>598</v>
      </c>
      <c r="H15" s="14" t="s">
        <v>26</v>
      </c>
      <c r="I15" s="17" t="s">
        <v>5328</v>
      </c>
      <c r="J15" s="17">
        <v>299900</v>
      </c>
      <c r="K15" s="65" t="s">
        <v>599</v>
      </c>
      <c r="L15" s="65" t="s">
        <v>5329</v>
      </c>
      <c r="M15" s="14" t="s">
        <v>86</v>
      </c>
      <c r="N15" s="14" t="s">
        <v>600</v>
      </c>
      <c r="O15" s="65"/>
      <c r="P15" s="17"/>
      <c r="Q15" s="17"/>
      <c r="R15" s="17"/>
      <c r="S15" s="17">
        <v>299900</v>
      </c>
      <c r="T15" s="523">
        <f>J15-P15-S15</f>
      </c>
      <c r="U15" s="293">
        <v>45660</v>
      </c>
      <c r="V15" s="14" t="s">
        <v>2122</v>
      </c>
      <c r="W15" s="65"/>
      <c r="X15" s="3"/>
      <c r="Y15" s="3"/>
    </row>
    <row x14ac:dyDescent="0.25" r="16" customHeight="1" ht="19.5">
      <c r="A16" s="533">
        <v>45692</v>
      </c>
      <c r="B16" s="99" t="s">
        <v>22</v>
      </c>
      <c r="C16" s="99" t="s">
        <v>5277</v>
      </c>
      <c r="D16" s="99" t="s">
        <v>477</v>
      </c>
      <c r="E16" s="99" t="s">
        <v>5330</v>
      </c>
      <c r="F16" s="99" t="s">
        <v>548</v>
      </c>
      <c r="G16" s="99" t="s">
        <v>5279</v>
      </c>
      <c r="H16" s="99" t="s">
        <v>26</v>
      </c>
      <c r="I16" s="534">
        <v>217094</v>
      </c>
      <c r="J16" s="114">
        <v>586600</v>
      </c>
      <c r="K16" s="114">
        <v>386600</v>
      </c>
      <c r="L16" s="114">
        <v>200000</v>
      </c>
      <c r="M16" s="99" t="s">
        <v>22</v>
      </c>
      <c r="N16" s="99" t="s">
        <v>5282</v>
      </c>
      <c r="O16" s="100"/>
      <c r="P16" s="114"/>
      <c r="Q16" s="114"/>
      <c r="R16" s="114"/>
      <c r="S16" s="114">
        <v>583002</v>
      </c>
      <c r="T16" s="523">
        <f>J16-P16-S16</f>
      </c>
      <c r="U16" s="530"/>
      <c r="V16" s="100"/>
      <c r="W16" s="100"/>
      <c r="X16" s="34"/>
      <c r="Y16" s="34"/>
    </row>
    <row x14ac:dyDescent="0.25" r="17" customHeight="1" ht="19.5">
      <c r="A17" s="533">
        <v>45692</v>
      </c>
      <c r="B17" s="99"/>
      <c r="C17" s="99" t="s">
        <v>5331</v>
      </c>
      <c r="D17" s="99" t="s">
        <v>5332</v>
      </c>
      <c r="E17" s="99" t="s">
        <v>5333</v>
      </c>
      <c r="F17" s="99" t="s">
        <v>533</v>
      </c>
      <c r="G17" s="99" t="s">
        <v>5000</v>
      </c>
      <c r="H17" s="99" t="s">
        <v>26</v>
      </c>
      <c r="I17" s="534"/>
      <c r="J17" s="114">
        <v>354540</v>
      </c>
      <c r="K17" s="114">
        <v>282500</v>
      </c>
      <c r="L17" s="114">
        <v>72040</v>
      </c>
      <c r="M17" s="99" t="s">
        <v>5334</v>
      </c>
      <c r="N17" s="99" t="s">
        <v>5335</v>
      </c>
      <c r="O17" s="100" t="s">
        <v>2979</v>
      </c>
      <c r="P17" s="114"/>
      <c r="Q17" s="114"/>
      <c r="R17" s="114"/>
      <c r="S17" s="114">
        <v>354540</v>
      </c>
      <c r="T17" s="523">
        <f>J17-P17-S17</f>
      </c>
      <c r="U17" s="530">
        <v>45744</v>
      </c>
      <c r="V17" s="99" t="s">
        <v>2216</v>
      </c>
      <c r="W17" s="100" t="s">
        <v>5308</v>
      </c>
      <c r="X17" s="34"/>
      <c r="Y17" s="34"/>
    </row>
    <row x14ac:dyDescent="0.25" r="18" customHeight="1" ht="19.5">
      <c r="A18" s="529">
        <v>45692</v>
      </c>
      <c r="B18" s="99" t="s">
        <v>82</v>
      </c>
      <c r="C18" s="99" t="s">
        <v>591</v>
      </c>
      <c r="D18" s="99" t="s">
        <v>23</v>
      </c>
      <c r="E18" s="99" t="s">
        <v>597</v>
      </c>
      <c r="F18" s="99" t="s">
        <v>344</v>
      </c>
      <c r="G18" s="99" t="s">
        <v>601</v>
      </c>
      <c r="H18" s="99" t="s">
        <v>26</v>
      </c>
      <c r="I18" s="532">
        <v>225455</v>
      </c>
      <c r="J18" s="114">
        <v>346950</v>
      </c>
      <c r="K18" s="100" t="s">
        <v>602</v>
      </c>
      <c r="L18" s="100" t="s">
        <v>5336</v>
      </c>
      <c r="M18" s="99" t="s">
        <v>86</v>
      </c>
      <c r="N18" s="99" t="s">
        <v>603</v>
      </c>
      <c r="O18" s="100"/>
      <c r="P18" s="114"/>
      <c r="Q18" s="114"/>
      <c r="R18" s="114"/>
      <c r="S18" s="114">
        <v>346950</v>
      </c>
      <c r="T18" s="523">
        <f>J18-P18-S18</f>
      </c>
      <c r="U18" s="530">
        <v>45660</v>
      </c>
      <c r="V18" s="99" t="s">
        <v>2122</v>
      </c>
      <c r="W18" s="100"/>
      <c r="X18" s="3"/>
      <c r="Y18" s="3"/>
    </row>
    <row x14ac:dyDescent="0.25" r="19" customHeight="1" ht="19.5">
      <c r="A19" s="535">
        <v>45692</v>
      </c>
      <c r="B19" s="536" t="s">
        <v>22</v>
      </c>
      <c r="C19" s="536" t="s">
        <v>5277</v>
      </c>
      <c r="D19" s="536" t="s">
        <v>477</v>
      </c>
      <c r="E19" s="536" t="s">
        <v>5337</v>
      </c>
      <c r="F19" s="536" t="s">
        <v>548</v>
      </c>
      <c r="G19" s="536" t="s">
        <v>5279</v>
      </c>
      <c r="H19" s="536" t="s">
        <v>26</v>
      </c>
      <c r="I19" s="537" t="s">
        <v>5280</v>
      </c>
      <c r="J19" s="538">
        <v>153600</v>
      </c>
      <c r="K19" s="539" t="s">
        <v>4713</v>
      </c>
      <c r="L19" s="539" t="s">
        <v>5338</v>
      </c>
      <c r="M19" s="536" t="s">
        <v>22</v>
      </c>
      <c r="N19" s="536" t="s">
        <v>5282</v>
      </c>
      <c r="O19" s="539"/>
      <c r="P19" s="538"/>
      <c r="Q19" s="538"/>
      <c r="R19" s="538"/>
      <c r="S19" s="538">
        <v>153600</v>
      </c>
      <c r="T19" s="519">
        <f>J19-P19-S19</f>
      </c>
      <c r="U19" s="540">
        <v>45695</v>
      </c>
      <c r="V19" s="536" t="s">
        <v>2122</v>
      </c>
      <c r="W19" s="539"/>
      <c r="X19" s="3"/>
      <c r="Y19" s="3"/>
    </row>
    <row x14ac:dyDescent="0.25" r="20" customHeight="1" ht="19.5">
      <c r="A20" s="531">
        <v>45692</v>
      </c>
      <c r="B20" s="14" t="s">
        <v>111</v>
      </c>
      <c r="C20" s="14" t="s">
        <v>5339</v>
      </c>
      <c r="D20" s="14" t="s">
        <v>5294</v>
      </c>
      <c r="E20" s="14" t="s">
        <v>5340</v>
      </c>
      <c r="F20" s="14" t="s">
        <v>548</v>
      </c>
      <c r="G20" s="14" t="s">
        <v>494</v>
      </c>
      <c r="H20" s="14" t="s">
        <v>26</v>
      </c>
      <c r="I20" s="17" t="s">
        <v>5341</v>
      </c>
      <c r="J20" s="17">
        <v>1457955</v>
      </c>
      <c r="K20" s="65" t="s">
        <v>5342</v>
      </c>
      <c r="L20" s="65" t="s">
        <v>5343</v>
      </c>
      <c r="M20" s="14" t="s">
        <v>50</v>
      </c>
      <c r="N20" s="14" t="s">
        <v>5344</v>
      </c>
      <c r="O20" s="17">
        <v>2</v>
      </c>
      <c r="P20" s="17"/>
      <c r="Q20" s="17"/>
      <c r="R20" s="17"/>
      <c r="S20" s="272">
        <v>2747264</v>
      </c>
      <c r="T20" s="541">
        <f>J20+J21+J22-P20-S20</f>
      </c>
      <c r="U20" s="293"/>
      <c r="V20" s="65"/>
      <c r="W20" s="65"/>
      <c r="X20" s="3"/>
      <c r="Y20" s="3"/>
    </row>
    <row x14ac:dyDescent="0.25" r="21" customHeight="1" ht="19.5">
      <c r="A21" s="529">
        <v>45692</v>
      </c>
      <c r="B21" s="99" t="s">
        <v>111</v>
      </c>
      <c r="C21" s="99" t="s">
        <v>5339</v>
      </c>
      <c r="D21" s="99" t="s">
        <v>5294</v>
      </c>
      <c r="E21" s="99" t="s">
        <v>5345</v>
      </c>
      <c r="F21" s="99" t="s">
        <v>548</v>
      </c>
      <c r="G21" s="99" t="s">
        <v>5285</v>
      </c>
      <c r="H21" s="99" t="s">
        <v>26</v>
      </c>
      <c r="I21" s="534" t="s">
        <v>5346</v>
      </c>
      <c r="J21" s="114">
        <v>650955</v>
      </c>
      <c r="K21" s="100" t="s">
        <v>5347</v>
      </c>
      <c r="L21" s="100" t="s">
        <v>5348</v>
      </c>
      <c r="M21" s="99" t="s">
        <v>50</v>
      </c>
      <c r="N21" s="99" t="s">
        <v>5349</v>
      </c>
      <c r="O21" s="114">
        <v>2</v>
      </c>
      <c r="P21" s="114"/>
      <c r="Q21" s="114"/>
      <c r="R21" s="114"/>
      <c r="S21" s="219"/>
      <c r="T21" s="542"/>
      <c r="U21" s="476"/>
      <c r="V21" s="107"/>
      <c r="W21" s="107"/>
      <c r="X21" s="3"/>
      <c r="Y21" s="3"/>
    </row>
    <row x14ac:dyDescent="0.25" r="22" customHeight="1" ht="19.5">
      <c r="A22" s="543">
        <v>45692</v>
      </c>
      <c r="B22" s="14" t="s">
        <v>111</v>
      </c>
      <c r="C22" s="14" t="s">
        <v>5339</v>
      </c>
      <c r="D22" s="14" t="s">
        <v>5294</v>
      </c>
      <c r="E22" s="14" t="s">
        <v>5345</v>
      </c>
      <c r="F22" s="14" t="s">
        <v>548</v>
      </c>
      <c r="G22" s="14" t="s">
        <v>5279</v>
      </c>
      <c r="H22" s="14" t="s">
        <v>26</v>
      </c>
      <c r="I22" s="17" t="s">
        <v>5346</v>
      </c>
      <c r="J22" s="17">
        <v>650955</v>
      </c>
      <c r="K22" s="65" t="s">
        <v>5347</v>
      </c>
      <c r="L22" s="65" t="s">
        <v>5348</v>
      </c>
      <c r="M22" s="14" t="s">
        <v>50</v>
      </c>
      <c r="N22" s="14" t="s">
        <v>5350</v>
      </c>
      <c r="O22" s="17">
        <v>2</v>
      </c>
      <c r="P22" s="17"/>
      <c r="Q22" s="17"/>
      <c r="R22" s="17"/>
      <c r="S22" s="273"/>
      <c r="T22" s="544"/>
      <c r="U22" s="293"/>
      <c r="V22" s="65"/>
      <c r="W22" s="65"/>
      <c r="X22" s="3"/>
      <c r="Y22" s="3"/>
    </row>
    <row x14ac:dyDescent="0.25" r="23" customHeight="1" ht="19.5">
      <c r="A23" s="531">
        <v>45693</v>
      </c>
      <c r="B23" s="14" t="s">
        <v>475</v>
      </c>
      <c r="C23" s="14" t="s">
        <v>488</v>
      </c>
      <c r="D23" s="14" t="s">
        <v>489</v>
      </c>
      <c r="E23" s="14" t="s">
        <v>5351</v>
      </c>
      <c r="F23" s="14" t="s">
        <v>141</v>
      </c>
      <c r="G23" s="14" t="s">
        <v>522</v>
      </c>
      <c r="H23" s="14" t="s">
        <v>26</v>
      </c>
      <c r="I23" s="17" t="s">
        <v>5352</v>
      </c>
      <c r="J23" s="17">
        <v>298800</v>
      </c>
      <c r="K23" s="17">
        <v>238000</v>
      </c>
      <c r="L23" s="17">
        <v>60800</v>
      </c>
      <c r="M23" s="14" t="s">
        <v>475</v>
      </c>
      <c r="N23" s="14" t="s">
        <v>490</v>
      </c>
      <c r="O23" s="65"/>
      <c r="P23" s="17"/>
      <c r="Q23" s="17"/>
      <c r="R23" s="17"/>
      <c r="S23" s="17">
        <v>298800</v>
      </c>
      <c r="T23" s="523">
        <f>J23-P23-S23</f>
      </c>
      <c r="U23" s="304" t="s">
        <v>5353</v>
      </c>
      <c r="V23" s="545" t="s">
        <v>2307</v>
      </c>
      <c r="W23" s="65"/>
      <c r="X23" s="3"/>
      <c r="Y23" s="3"/>
    </row>
    <row x14ac:dyDescent="0.25" r="24" customHeight="1" ht="19.5">
      <c r="A24" s="529">
        <v>45693</v>
      </c>
      <c r="B24" s="99" t="s">
        <v>475</v>
      </c>
      <c r="C24" s="99" t="s">
        <v>488</v>
      </c>
      <c r="D24" s="99" t="s">
        <v>477</v>
      </c>
      <c r="E24" s="99" t="s">
        <v>5351</v>
      </c>
      <c r="F24" s="99" t="s">
        <v>141</v>
      </c>
      <c r="G24" s="99" t="s">
        <v>5354</v>
      </c>
      <c r="H24" s="99" t="s">
        <v>26</v>
      </c>
      <c r="I24" s="114" t="s">
        <v>5352</v>
      </c>
      <c r="J24" s="114">
        <v>298800</v>
      </c>
      <c r="K24" s="114">
        <v>238000</v>
      </c>
      <c r="L24" s="114">
        <v>60800</v>
      </c>
      <c r="M24" s="99" t="s">
        <v>475</v>
      </c>
      <c r="N24" s="99" t="s">
        <v>492</v>
      </c>
      <c r="O24" s="100"/>
      <c r="P24" s="114"/>
      <c r="Q24" s="114"/>
      <c r="R24" s="114"/>
      <c r="S24" s="114">
        <v>298800</v>
      </c>
      <c r="T24" s="523">
        <f>J24-P24-S24</f>
      </c>
      <c r="U24" s="546"/>
      <c r="V24" s="547"/>
      <c r="W24" s="100"/>
      <c r="X24" s="3"/>
      <c r="Y24" s="3"/>
    </row>
    <row x14ac:dyDescent="0.25" r="25" customHeight="1" ht="19.5">
      <c r="A25" s="531">
        <v>45693</v>
      </c>
      <c r="B25" s="14" t="s">
        <v>106</v>
      </c>
      <c r="C25" s="14" t="s">
        <v>5355</v>
      </c>
      <c r="D25" s="14" t="s">
        <v>5356</v>
      </c>
      <c r="E25" s="14" t="s">
        <v>5357</v>
      </c>
      <c r="F25" s="14" t="s">
        <v>327</v>
      </c>
      <c r="G25" s="14" t="s">
        <v>328</v>
      </c>
      <c r="H25" s="14" t="s">
        <v>26</v>
      </c>
      <c r="I25" s="17" t="s">
        <v>5358</v>
      </c>
      <c r="J25" s="17">
        <v>2109000</v>
      </c>
      <c r="K25" s="17">
        <v>1783482</v>
      </c>
      <c r="L25" s="17">
        <v>325518</v>
      </c>
      <c r="M25" s="14" t="s">
        <v>50</v>
      </c>
      <c r="N25" s="14" t="s">
        <v>5359</v>
      </c>
      <c r="O25" s="17">
        <v>5</v>
      </c>
      <c r="P25" s="17"/>
      <c r="Q25" s="17"/>
      <c r="R25" s="17"/>
      <c r="S25" s="17">
        <v>2109000</v>
      </c>
      <c r="T25" s="523">
        <f>J25-P25-S25</f>
      </c>
      <c r="U25" s="293">
        <v>45714</v>
      </c>
      <c r="V25" s="14" t="s">
        <v>2216</v>
      </c>
      <c r="W25" s="65" t="s">
        <v>5360</v>
      </c>
      <c r="X25" s="3"/>
      <c r="Y25" s="3"/>
    </row>
    <row x14ac:dyDescent="0.25" r="26" customHeight="1" ht="19.5">
      <c r="A26" s="531">
        <v>45693</v>
      </c>
      <c r="B26" s="14" t="s">
        <v>106</v>
      </c>
      <c r="C26" s="14" t="s">
        <v>5361</v>
      </c>
      <c r="D26" s="14" t="s">
        <v>1507</v>
      </c>
      <c r="E26" s="14" t="s">
        <v>5362</v>
      </c>
      <c r="F26" s="14" t="s">
        <v>533</v>
      </c>
      <c r="G26" s="14" t="s">
        <v>5000</v>
      </c>
      <c r="H26" s="14" t="s">
        <v>26</v>
      </c>
      <c r="I26" s="17"/>
      <c r="J26" s="17">
        <v>198000</v>
      </c>
      <c r="K26" s="17">
        <v>800</v>
      </c>
      <c r="L26" s="17">
        <v>197200</v>
      </c>
      <c r="M26" s="14" t="s">
        <v>137</v>
      </c>
      <c r="N26" s="14" t="s">
        <v>5363</v>
      </c>
      <c r="O26" s="65" t="s">
        <v>251</v>
      </c>
      <c r="P26" s="17"/>
      <c r="Q26" s="17"/>
      <c r="R26" s="17"/>
      <c r="S26" s="17"/>
      <c r="T26" s="523">
        <f>J26-P26-S26</f>
      </c>
      <c r="U26" s="293"/>
      <c r="V26" s="65"/>
      <c r="W26" s="65"/>
      <c r="X26" s="3"/>
      <c r="Y26" s="3"/>
    </row>
    <row x14ac:dyDescent="0.25" r="27" customHeight="1" ht="19.5">
      <c r="A27" s="548">
        <v>45694</v>
      </c>
      <c r="B27" s="513" t="s">
        <v>123</v>
      </c>
      <c r="C27" s="513" t="s">
        <v>5364</v>
      </c>
      <c r="D27" s="513" t="s">
        <v>1507</v>
      </c>
      <c r="E27" s="513" t="s">
        <v>5365</v>
      </c>
      <c r="F27" s="513" t="s">
        <v>5366</v>
      </c>
      <c r="G27" s="513" t="s">
        <v>5367</v>
      </c>
      <c r="H27" s="513" t="s">
        <v>26</v>
      </c>
      <c r="I27" s="514">
        <v>441400</v>
      </c>
      <c r="J27" s="514"/>
      <c r="K27" s="514"/>
      <c r="L27" s="514"/>
      <c r="M27" s="513" t="s">
        <v>50</v>
      </c>
      <c r="N27" s="513" t="s">
        <v>5368</v>
      </c>
      <c r="O27" s="515"/>
      <c r="P27" s="514"/>
      <c r="Q27" s="514"/>
      <c r="R27" s="514"/>
      <c r="S27" s="514"/>
      <c r="T27" s="514">
        <f>J27-P27-S27</f>
      </c>
      <c r="U27" s="516"/>
      <c r="V27" s="515"/>
      <c r="W27" s="515" t="s">
        <v>5369</v>
      </c>
      <c r="X27" s="34"/>
      <c r="Y27" s="34"/>
    </row>
    <row x14ac:dyDescent="0.25" r="28" customHeight="1" ht="19.5">
      <c r="A28" s="529">
        <v>45694</v>
      </c>
      <c r="B28" s="99" t="s">
        <v>22</v>
      </c>
      <c r="C28" s="99" t="s">
        <v>493</v>
      </c>
      <c r="D28" s="99" t="s">
        <v>485</v>
      </c>
      <c r="E28" s="99" t="s">
        <v>5370</v>
      </c>
      <c r="F28" s="99" t="s">
        <v>548</v>
      </c>
      <c r="G28" s="99" t="s">
        <v>494</v>
      </c>
      <c r="H28" s="99" t="s">
        <v>26</v>
      </c>
      <c r="I28" s="114" t="s">
        <v>5286</v>
      </c>
      <c r="J28" s="114">
        <v>295900</v>
      </c>
      <c r="K28" s="114">
        <v>199600</v>
      </c>
      <c r="L28" s="114">
        <v>96300</v>
      </c>
      <c r="M28" s="99" t="s">
        <v>22</v>
      </c>
      <c r="N28" s="99" t="s">
        <v>495</v>
      </c>
      <c r="O28" s="100"/>
      <c r="P28" s="114"/>
      <c r="Q28" s="114"/>
      <c r="R28" s="114"/>
      <c r="S28" s="114">
        <v>295900</v>
      </c>
      <c r="T28" s="523">
        <f>J28-P28-S28</f>
      </c>
      <c r="U28" s="530">
        <v>45862</v>
      </c>
      <c r="V28" s="99" t="s">
        <v>2122</v>
      </c>
      <c r="W28" s="100"/>
      <c r="X28" s="3"/>
      <c r="Y28" s="3"/>
    </row>
    <row x14ac:dyDescent="0.25" r="29" customHeight="1" ht="19.5">
      <c r="A29" s="531">
        <v>45694</v>
      </c>
      <c r="B29" s="14" t="s">
        <v>475</v>
      </c>
      <c r="C29" s="14" t="s">
        <v>5371</v>
      </c>
      <c r="D29" s="14" t="s">
        <v>477</v>
      </c>
      <c r="E29" s="14" t="s">
        <v>5372</v>
      </c>
      <c r="F29" s="14" t="s">
        <v>548</v>
      </c>
      <c r="G29" s="14" t="s">
        <v>5373</v>
      </c>
      <c r="H29" s="14" t="s">
        <v>26</v>
      </c>
      <c r="I29" s="17" t="s">
        <v>5374</v>
      </c>
      <c r="J29" s="17">
        <v>318900</v>
      </c>
      <c r="K29" s="17">
        <v>258000</v>
      </c>
      <c r="L29" s="17">
        <v>60900</v>
      </c>
      <c r="M29" s="14" t="s">
        <v>475</v>
      </c>
      <c r="N29" s="14" t="s">
        <v>5375</v>
      </c>
      <c r="O29" s="65"/>
      <c r="P29" s="17"/>
      <c r="Q29" s="17"/>
      <c r="R29" s="17"/>
      <c r="S29" s="17">
        <v>316202</v>
      </c>
      <c r="T29" s="523">
        <f>J29-P29-S29</f>
      </c>
      <c r="U29" s="293">
        <v>45742</v>
      </c>
      <c r="V29" s="14" t="s">
        <v>2122</v>
      </c>
      <c r="W29" s="65"/>
      <c r="X29" s="3"/>
      <c r="Y29" s="3"/>
    </row>
    <row x14ac:dyDescent="0.25" r="30" customHeight="1" ht="19.5">
      <c r="A30" s="529">
        <v>45694</v>
      </c>
      <c r="B30" s="99" t="s">
        <v>53</v>
      </c>
      <c r="C30" s="99" t="s">
        <v>5376</v>
      </c>
      <c r="D30" s="99" t="s">
        <v>54</v>
      </c>
      <c r="E30" s="99" t="s">
        <v>5377</v>
      </c>
      <c r="F30" s="99" t="s">
        <v>90</v>
      </c>
      <c r="G30" s="99" t="s">
        <v>5044</v>
      </c>
      <c r="H30" s="99" t="s">
        <v>26</v>
      </c>
      <c r="I30" s="114" t="s">
        <v>5378</v>
      </c>
      <c r="J30" s="114">
        <v>1300800</v>
      </c>
      <c r="K30" s="114">
        <v>1108020</v>
      </c>
      <c r="L30" s="114">
        <v>192780</v>
      </c>
      <c r="M30" s="99" t="s">
        <v>137</v>
      </c>
      <c r="N30" s="99" t="s">
        <v>5379</v>
      </c>
      <c r="O30" s="100"/>
      <c r="P30" s="114"/>
      <c r="Q30" s="114"/>
      <c r="R30" s="114"/>
      <c r="S30" s="114">
        <v>1300800</v>
      </c>
      <c r="T30" s="523">
        <f>J30-P30-S30</f>
      </c>
      <c r="U30" s="530">
        <v>45694</v>
      </c>
      <c r="V30" s="99" t="s">
        <v>2122</v>
      </c>
      <c r="W30" s="100"/>
      <c r="X30" s="3"/>
      <c r="Y30" s="3"/>
    </row>
    <row x14ac:dyDescent="0.25" r="31" customHeight="1" ht="19.5">
      <c r="A31" s="531">
        <v>45694</v>
      </c>
      <c r="B31" s="14" t="s">
        <v>82</v>
      </c>
      <c r="C31" s="14" t="s">
        <v>493</v>
      </c>
      <c r="D31" s="14" t="s">
        <v>576</v>
      </c>
      <c r="E31" s="14" t="s">
        <v>604</v>
      </c>
      <c r="F31" s="14" t="s">
        <v>4211</v>
      </c>
      <c r="G31" s="14" t="s">
        <v>605</v>
      </c>
      <c r="H31" s="14" t="s">
        <v>26</v>
      </c>
      <c r="I31" s="17" t="s">
        <v>5380</v>
      </c>
      <c r="J31" s="17">
        <v>86950</v>
      </c>
      <c r="K31" s="17">
        <v>55670</v>
      </c>
      <c r="L31" s="17">
        <v>31280</v>
      </c>
      <c r="M31" s="14" t="s">
        <v>86</v>
      </c>
      <c r="N31" s="14" t="s">
        <v>607</v>
      </c>
      <c r="O31" s="65"/>
      <c r="P31" s="17"/>
      <c r="Q31" s="17"/>
      <c r="R31" s="17"/>
      <c r="S31" s="17"/>
      <c r="T31" s="523">
        <f>J31-P31-S31</f>
      </c>
      <c r="U31" s="293"/>
      <c r="V31" s="65"/>
      <c r="W31" s="65"/>
      <c r="X31" s="29"/>
      <c r="Y31" s="3"/>
    </row>
    <row x14ac:dyDescent="0.25" r="32" customHeight="1" ht="19.5">
      <c r="A32" s="531">
        <v>45694</v>
      </c>
      <c r="B32" s="14" t="s">
        <v>72</v>
      </c>
      <c r="C32" s="14" t="s">
        <v>5381</v>
      </c>
      <c r="D32" s="14" t="s">
        <v>5382</v>
      </c>
      <c r="E32" s="14" t="s">
        <v>5383</v>
      </c>
      <c r="F32" s="14" t="s">
        <v>2068</v>
      </c>
      <c r="G32" s="14" t="s">
        <v>5384</v>
      </c>
      <c r="H32" s="14" t="s">
        <v>26</v>
      </c>
      <c r="I32" s="17"/>
      <c r="J32" s="17">
        <v>112000</v>
      </c>
      <c r="K32" s="17">
        <v>73500</v>
      </c>
      <c r="L32" s="17">
        <v>38500</v>
      </c>
      <c r="M32" s="14" t="s">
        <v>50</v>
      </c>
      <c r="N32" s="14" t="s">
        <v>5385</v>
      </c>
      <c r="O32" s="65" t="s">
        <v>251</v>
      </c>
      <c r="P32" s="17">
        <v>109750</v>
      </c>
      <c r="Q32" s="17"/>
      <c r="R32" s="17"/>
      <c r="S32" s="17"/>
      <c r="T32" s="523">
        <f>J32-P32-S32</f>
      </c>
      <c r="U32" s="161" t="s">
        <v>5386</v>
      </c>
      <c r="V32" s="14" t="s">
        <v>2307</v>
      </c>
      <c r="W32" s="65" t="s">
        <v>1663</v>
      </c>
      <c r="X32" s="3"/>
      <c r="Y32" s="3"/>
    </row>
    <row x14ac:dyDescent="0.25" r="33" customHeight="1" ht="19.5">
      <c r="A33" s="531">
        <v>45694</v>
      </c>
      <c r="B33" s="14" t="s">
        <v>82</v>
      </c>
      <c r="C33" s="14" t="s">
        <v>493</v>
      </c>
      <c r="D33" s="14" t="s">
        <v>472</v>
      </c>
      <c r="E33" s="14" t="s">
        <v>608</v>
      </c>
      <c r="F33" s="14" t="s">
        <v>548</v>
      </c>
      <c r="G33" s="14" t="s">
        <v>494</v>
      </c>
      <c r="H33" s="14" t="s">
        <v>26</v>
      </c>
      <c r="I33" s="17" t="s">
        <v>5387</v>
      </c>
      <c r="J33" s="17">
        <v>114950</v>
      </c>
      <c r="K33" s="17">
        <v>99770</v>
      </c>
      <c r="L33" s="17">
        <v>15180</v>
      </c>
      <c r="M33" s="14" t="s">
        <v>86</v>
      </c>
      <c r="N33" s="14" t="s">
        <v>610</v>
      </c>
      <c r="O33" s="65"/>
      <c r="P33" s="17"/>
      <c r="Q33" s="17"/>
      <c r="R33" s="17"/>
      <c r="S33" s="17">
        <v>114051</v>
      </c>
      <c r="T33" s="523">
        <f>J33-P33-S33</f>
      </c>
      <c r="U33" s="293">
        <v>45742</v>
      </c>
      <c r="V33" s="14" t="s">
        <v>2122</v>
      </c>
      <c r="W33" s="65"/>
      <c r="X33" s="3"/>
      <c r="Y33" s="3"/>
    </row>
    <row x14ac:dyDescent="0.25" r="34" customHeight="1" ht="19.5">
      <c r="A34" s="531">
        <v>45695</v>
      </c>
      <c r="B34" s="14" t="s">
        <v>72</v>
      </c>
      <c r="C34" s="14" t="s">
        <v>653</v>
      </c>
      <c r="D34" s="14" t="s">
        <v>448</v>
      </c>
      <c r="E34" s="14" t="s">
        <v>5388</v>
      </c>
      <c r="F34" s="14" t="s">
        <v>5389</v>
      </c>
      <c r="G34" s="14" t="s">
        <v>5390</v>
      </c>
      <c r="H34" s="14" t="s">
        <v>26</v>
      </c>
      <c r="I34" s="17" t="s">
        <v>5391</v>
      </c>
      <c r="J34" s="17">
        <v>489820</v>
      </c>
      <c r="K34" s="17">
        <v>439820</v>
      </c>
      <c r="L34" s="17">
        <v>50000</v>
      </c>
      <c r="M34" s="14" t="s">
        <v>50</v>
      </c>
      <c r="N34" s="14" t="s">
        <v>5392</v>
      </c>
      <c r="O34" s="17">
        <v>4</v>
      </c>
      <c r="P34" s="17"/>
      <c r="Q34" s="255"/>
      <c r="R34" s="255"/>
      <c r="S34" s="494">
        <v>979650</v>
      </c>
      <c r="T34" s="541">
        <v>0</v>
      </c>
      <c r="U34" s="304" t="s">
        <v>5393</v>
      </c>
      <c r="V34" s="545" t="s">
        <v>1718</v>
      </c>
      <c r="W34" s="65"/>
      <c r="X34" s="3"/>
      <c r="Y34" s="3"/>
    </row>
    <row x14ac:dyDescent="0.25" r="35" customHeight="1" ht="19.5">
      <c r="A35" s="529">
        <v>45695</v>
      </c>
      <c r="B35" s="99" t="s">
        <v>72</v>
      </c>
      <c r="C35" s="99" t="s">
        <v>653</v>
      </c>
      <c r="D35" s="99" t="s">
        <v>448</v>
      </c>
      <c r="E35" s="99" t="s">
        <v>5394</v>
      </c>
      <c r="F35" s="99" t="s">
        <v>5389</v>
      </c>
      <c r="G35" s="99" t="s">
        <v>5395</v>
      </c>
      <c r="H35" s="99" t="s">
        <v>26</v>
      </c>
      <c r="I35" s="114" t="s">
        <v>5391</v>
      </c>
      <c r="J35" s="114">
        <v>489820</v>
      </c>
      <c r="K35" s="114">
        <v>439820</v>
      </c>
      <c r="L35" s="114">
        <v>50000</v>
      </c>
      <c r="M35" s="99" t="s">
        <v>50</v>
      </c>
      <c r="N35" s="99" t="s">
        <v>5396</v>
      </c>
      <c r="O35" s="114">
        <v>4</v>
      </c>
      <c r="P35" s="114"/>
      <c r="Q35" s="114"/>
      <c r="R35" s="114"/>
      <c r="S35" s="151"/>
      <c r="T35" s="544"/>
      <c r="U35" s="546"/>
      <c r="V35" s="547"/>
      <c r="W35" s="100"/>
      <c r="X35" s="3"/>
      <c r="Y35" s="3"/>
    </row>
    <row x14ac:dyDescent="0.25" r="36" customHeight="1" ht="19.5">
      <c r="A36" s="529">
        <v>45695</v>
      </c>
      <c r="B36" s="99" t="s">
        <v>22</v>
      </c>
      <c r="C36" s="99" t="s">
        <v>5397</v>
      </c>
      <c r="D36" s="99" t="s">
        <v>23</v>
      </c>
      <c r="E36" s="99" t="s">
        <v>5398</v>
      </c>
      <c r="F36" s="99" t="s">
        <v>194</v>
      </c>
      <c r="G36" s="99" t="s">
        <v>5399</v>
      </c>
      <c r="H36" s="99" t="s">
        <v>26</v>
      </c>
      <c r="I36" s="114" t="s">
        <v>5400</v>
      </c>
      <c r="J36" s="114">
        <v>648700</v>
      </c>
      <c r="K36" s="114">
        <v>578700</v>
      </c>
      <c r="L36" s="114">
        <v>70000</v>
      </c>
      <c r="M36" s="99" t="s">
        <v>22</v>
      </c>
      <c r="N36" s="99" t="s">
        <v>5401</v>
      </c>
      <c r="O36" s="100"/>
      <c r="P36" s="114"/>
      <c r="Q36" s="114"/>
      <c r="R36" s="114"/>
      <c r="S36" s="114">
        <v>648700</v>
      </c>
      <c r="T36" s="523">
        <f>J36-P36-S36</f>
      </c>
      <c r="U36" s="530">
        <v>45722</v>
      </c>
      <c r="V36" s="99" t="s">
        <v>2122</v>
      </c>
      <c r="W36" s="100"/>
      <c r="X36" s="3"/>
      <c r="Y36" s="3"/>
    </row>
    <row x14ac:dyDescent="0.25" r="37" customHeight="1" ht="19.5">
      <c r="A37" s="529">
        <v>45695</v>
      </c>
      <c r="B37" s="99" t="s">
        <v>22</v>
      </c>
      <c r="C37" s="99" t="s">
        <v>5402</v>
      </c>
      <c r="D37" s="99" t="s">
        <v>23</v>
      </c>
      <c r="E37" s="99" t="s">
        <v>5403</v>
      </c>
      <c r="F37" s="99" t="s">
        <v>194</v>
      </c>
      <c r="G37" s="99" t="s">
        <v>5404</v>
      </c>
      <c r="H37" s="99" t="s">
        <v>26</v>
      </c>
      <c r="I37" s="114" t="s">
        <v>5405</v>
      </c>
      <c r="J37" s="114">
        <v>330900</v>
      </c>
      <c r="K37" s="114">
        <v>289500</v>
      </c>
      <c r="L37" s="114">
        <v>41400</v>
      </c>
      <c r="M37" s="99" t="s">
        <v>22</v>
      </c>
      <c r="N37" s="99" t="s">
        <v>5406</v>
      </c>
      <c r="O37" s="100"/>
      <c r="P37" s="114"/>
      <c r="Q37" s="114"/>
      <c r="R37" s="114"/>
      <c r="S37" s="114">
        <v>330900</v>
      </c>
      <c r="T37" s="523">
        <f>J37-P37-S37</f>
      </c>
      <c r="U37" s="530">
        <v>45722</v>
      </c>
      <c r="V37" s="99" t="s">
        <v>2122</v>
      </c>
      <c r="W37" s="100"/>
      <c r="X37" s="3"/>
      <c r="Y37" s="3"/>
    </row>
    <row x14ac:dyDescent="0.25" r="38" customHeight="1" ht="19.5">
      <c r="A38" s="529">
        <v>45695</v>
      </c>
      <c r="B38" s="99" t="s">
        <v>22</v>
      </c>
      <c r="C38" s="99" t="s">
        <v>5402</v>
      </c>
      <c r="D38" s="99" t="s">
        <v>23</v>
      </c>
      <c r="E38" s="99" t="s">
        <v>5407</v>
      </c>
      <c r="F38" s="99" t="s">
        <v>194</v>
      </c>
      <c r="G38" s="99" t="s">
        <v>5408</v>
      </c>
      <c r="H38" s="99" t="s">
        <v>26</v>
      </c>
      <c r="I38" s="114" t="s">
        <v>5405</v>
      </c>
      <c r="J38" s="114">
        <v>330900</v>
      </c>
      <c r="K38" s="114">
        <v>289500</v>
      </c>
      <c r="L38" s="114">
        <v>41400</v>
      </c>
      <c r="M38" s="99" t="s">
        <v>22</v>
      </c>
      <c r="N38" s="99" t="s">
        <v>5406</v>
      </c>
      <c r="O38" s="100"/>
      <c r="P38" s="114"/>
      <c r="Q38" s="114"/>
      <c r="R38" s="114"/>
      <c r="S38" s="114">
        <v>330900</v>
      </c>
      <c r="T38" s="523">
        <f>J38-P38-S38</f>
      </c>
      <c r="U38" s="530">
        <v>45722</v>
      </c>
      <c r="V38" s="99" t="s">
        <v>2122</v>
      </c>
      <c r="W38" s="100"/>
      <c r="X38" s="3"/>
      <c r="Y38" s="3"/>
    </row>
    <row x14ac:dyDescent="0.25" r="39" customHeight="1" ht="19.5">
      <c r="A39" s="531">
        <v>45695</v>
      </c>
      <c r="B39" s="14" t="s">
        <v>111</v>
      </c>
      <c r="C39" s="14" t="s">
        <v>5409</v>
      </c>
      <c r="D39" s="14" t="s">
        <v>5410</v>
      </c>
      <c r="E39" s="14" t="s">
        <v>5411</v>
      </c>
      <c r="F39" s="14" t="s">
        <v>548</v>
      </c>
      <c r="G39" s="14" t="s">
        <v>5279</v>
      </c>
      <c r="H39" s="14" t="s">
        <v>26</v>
      </c>
      <c r="I39" s="17" t="s">
        <v>5412</v>
      </c>
      <c r="J39" s="17">
        <v>760900</v>
      </c>
      <c r="K39" s="17">
        <v>711400</v>
      </c>
      <c r="L39" s="17">
        <v>49500</v>
      </c>
      <c r="M39" s="14" t="s">
        <v>50</v>
      </c>
      <c r="N39" s="14" t="s">
        <v>5413</v>
      </c>
      <c r="O39" s="17">
        <v>4</v>
      </c>
      <c r="P39" s="17"/>
      <c r="Q39" s="17"/>
      <c r="R39" s="17"/>
      <c r="S39" s="17">
        <v>758202</v>
      </c>
      <c r="T39" s="523">
        <f>J39-P39-S39</f>
      </c>
      <c r="U39" s="293">
        <v>45742</v>
      </c>
      <c r="V39" s="14" t="s">
        <v>2122</v>
      </c>
      <c r="W39" s="65"/>
      <c r="X39" s="3"/>
      <c r="Y39" s="3"/>
    </row>
    <row x14ac:dyDescent="0.25" r="40" customHeight="1" ht="19.5">
      <c r="A40" s="529">
        <v>45695</v>
      </c>
      <c r="B40" s="99" t="s">
        <v>53</v>
      </c>
      <c r="C40" s="99" t="s">
        <v>5414</v>
      </c>
      <c r="D40" s="99" t="s">
        <v>282</v>
      </c>
      <c r="E40" s="99" t="s">
        <v>5415</v>
      </c>
      <c r="F40" s="99" t="s">
        <v>5416</v>
      </c>
      <c r="G40" s="99" t="s">
        <v>5417</v>
      </c>
      <c r="H40" s="99" t="s">
        <v>26</v>
      </c>
      <c r="I40" s="114"/>
      <c r="J40" s="114">
        <v>139900</v>
      </c>
      <c r="K40" s="114">
        <v>107900</v>
      </c>
      <c r="L40" s="114">
        <v>32000</v>
      </c>
      <c r="M40" s="99" t="s">
        <v>137</v>
      </c>
      <c r="N40" s="99" t="s">
        <v>5418</v>
      </c>
      <c r="O40" s="100" t="s">
        <v>251</v>
      </c>
      <c r="P40" s="114"/>
      <c r="Q40" s="114"/>
      <c r="R40" s="114"/>
      <c r="S40" s="114">
        <v>140000</v>
      </c>
      <c r="T40" s="523">
        <f>J40-P40-S40</f>
      </c>
      <c r="U40" s="530">
        <v>45695</v>
      </c>
      <c r="V40" s="99" t="s">
        <v>1718</v>
      </c>
      <c r="W40" s="100"/>
      <c r="X40" s="3"/>
      <c r="Y40" s="3"/>
    </row>
    <row x14ac:dyDescent="0.25" r="41" customHeight="1" ht="19.5">
      <c r="A41" s="529">
        <v>45696</v>
      </c>
      <c r="B41" s="99" t="s">
        <v>66</v>
      </c>
      <c r="C41" s="99" t="s">
        <v>5419</v>
      </c>
      <c r="D41" s="99" t="s">
        <v>166</v>
      </c>
      <c r="E41" s="99" t="s">
        <v>5420</v>
      </c>
      <c r="F41" s="99" t="s">
        <v>327</v>
      </c>
      <c r="G41" s="99" t="s">
        <v>328</v>
      </c>
      <c r="H41" s="99" t="s">
        <v>26</v>
      </c>
      <c r="I41" s="114" t="s">
        <v>5421</v>
      </c>
      <c r="J41" s="114">
        <v>694920</v>
      </c>
      <c r="K41" s="114">
        <v>435620</v>
      </c>
      <c r="L41" s="114">
        <v>259300</v>
      </c>
      <c r="M41" s="99" t="s">
        <v>50</v>
      </c>
      <c r="N41" s="99" t="s">
        <v>5422</v>
      </c>
      <c r="O41" s="114">
        <v>2</v>
      </c>
      <c r="P41" s="114"/>
      <c r="Q41" s="114"/>
      <c r="R41" s="114"/>
      <c r="S41" s="114"/>
      <c r="T41" s="523">
        <f>J41-P41-S41</f>
      </c>
      <c r="U41" s="530"/>
      <c r="V41" s="100"/>
      <c r="W41" s="100"/>
      <c r="X41" s="3"/>
      <c r="Y41" s="3"/>
    </row>
    <row x14ac:dyDescent="0.25" r="42" customHeight="1" ht="19.5">
      <c r="A42" s="531">
        <v>45696</v>
      </c>
      <c r="B42" s="14" t="s">
        <v>111</v>
      </c>
      <c r="C42" s="14" t="s">
        <v>5423</v>
      </c>
      <c r="D42" s="14" t="s">
        <v>1267</v>
      </c>
      <c r="E42" s="14" t="s">
        <v>5424</v>
      </c>
      <c r="F42" s="14" t="s">
        <v>1673</v>
      </c>
      <c r="G42" s="14" t="s">
        <v>5425</v>
      </c>
      <c r="H42" s="14" t="s">
        <v>26</v>
      </c>
      <c r="I42" s="17" t="s">
        <v>5426</v>
      </c>
      <c r="J42" s="17">
        <v>432800</v>
      </c>
      <c r="K42" s="17">
        <v>364120</v>
      </c>
      <c r="L42" s="17">
        <v>68680</v>
      </c>
      <c r="M42" s="14" t="s">
        <v>50</v>
      </c>
      <c r="N42" s="14" t="s">
        <v>5427</v>
      </c>
      <c r="O42" s="17">
        <v>2</v>
      </c>
      <c r="P42" s="17">
        <v>366000</v>
      </c>
      <c r="Q42" s="17"/>
      <c r="R42" s="17"/>
      <c r="S42" s="17">
        <v>66800</v>
      </c>
      <c r="T42" s="523">
        <f>J42-P42-S42</f>
      </c>
      <c r="U42" s="293">
        <v>45676</v>
      </c>
      <c r="V42" s="14" t="s">
        <v>1718</v>
      </c>
      <c r="W42" s="65"/>
      <c r="X42" s="3"/>
      <c r="Y42" s="3"/>
    </row>
    <row x14ac:dyDescent="0.25" r="43" customHeight="1" ht="19.5">
      <c r="A43" s="522">
        <v>45696</v>
      </c>
      <c r="B43" s="549" t="s">
        <v>72</v>
      </c>
      <c r="C43" s="549" t="s">
        <v>5428</v>
      </c>
      <c r="D43" s="549" t="s">
        <v>5429</v>
      </c>
      <c r="E43" s="549" t="s">
        <v>5430</v>
      </c>
      <c r="F43" s="549" t="s">
        <v>5431</v>
      </c>
      <c r="G43" s="549" t="s">
        <v>5432</v>
      </c>
      <c r="H43" s="549" t="s">
        <v>76</v>
      </c>
      <c r="I43" s="523" t="s">
        <v>5433</v>
      </c>
      <c r="J43" s="523">
        <v>299900</v>
      </c>
      <c r="K43" s="523">
        <v>279200</v>
      </c>
      <c r="L43" s="523">
        <v>20700</v>
      </c>
      <c r="M43" s="549" t="s">
        <v>50</v>
      </c>
      <c r="N43" s="549" t="s">
        <v>5434</v>
      </c>
      <c r="O43" s="523">
        <v>2</v>
      </c>
      <c r="P43" s="523">
        <v>299500</v>
      </c>
      <c r="Q43" s="523"/>
      <c r="R43" s="523"/>
      <c r="S43" s="523"/>
      <c r="T43" s="523">
        <f>J43-P43-S43</f>
      </c>
      <c r="U43" s="550" t="s">
        <v>5435</v>
      </c>
      <c r="V43" s="549" t="s">
        <v>2307</v>
      </c>
      <c r="W43" s="551" t="s">
        <v>1663</v>
      </c>
      <c r="X43" s="60"/>
      <c r="Y43" s="60"/>
    </row>
    <row x14ac:dyDescent="0.25" r="44" customHeight="1" ht="19.5">
      <c r="A44" s="529">
        <v>45696</v>
      </c>
      <c r="B44" s="99" t="s">
        <v>72</v>
      </c>
      <c r="C44" s="99" t="s">
        <v>5428</v>
      </c>
      <c r="D44" s="99" t="s">
        <v>5429</v>
      </c>
      <c r="E44" s="99" t="s">
        <v>4726</v>
      </c>
      <c r="F44" s="99" t="s">
        <v>5436</v>
      </c>
      <c r="G44" s="99" t="s">
        <v>5437</v>
      </c>
      <c r="H44" s="99" t="s">
        <v>76</v>
      </c>
      <c r="I44" s="114" t="s">
        <v>5433</v>
      </c>
      <c r="J44" s="114">
        <v>299900</v>
      </c>
      <c r="K44" s="114">
        <v>279200</v>
      </c>
      <c r="L44" s="114">
        <v>20700</v>
      </c>
      <c r="M44" s="99" t="s">
        <v>50</v>
      </c>
      <c r="N44" s="99" t="s">
        <v>5438</v>
      </c>
      <c r="O44" s="114">
        <v>3</v>
      </c>
      <c r="P44" s="114"/>
      <c r="Q44" s="114"/>
      <c r="R44" s="114"/>
      <c r="S44" s="114">
        <v>299900</v>
      </c>
      <c r="T44" s="523">
        <f>J44-P44-S44</f>
      </c>
      <c r="U44" s="552" t="s">
        <v>5439</v>
      </c>
      <c r="V44" s="99" t="s">
        <v>1718</v>
      </c>
      <c r="W44" s="100" t="s">
        <v>1663</v>
      </c>
      <c r="X44" s="3"/>
      <c r="Y44" s="3"/>
    </row>
    <row x14ac:dyDescent="0.25" r="45" customHeight="1" ht="19.5">
      <c r="A45" s="522">
        <v>45696</v>
      </c>
      <c r="B45" s="549" t="s">
        <v>5440</v>
      </c>
      <c r="C45" s="549" t="s">
        <v>5441</v>
      </c>
      <c r="D45" s="549" t="s">
        <v>5442</v>
      </c>
      <c r="E45" s="549" t="s">
        <v>5443</v>
      </c>
      <c r="F45" s="549" t="s">
        <v>4414</v>
      </c>
      <c r="G45" s="549" t="s">
        <v>5444</v>
      </c>
      <c r="H45" s="549" t="s">
        <v>26</v>
      </c>
      <c r="I45" s="523"/>
      <c r="J45" s="523">
        <v>3230800</v>
      </c>
      <c r="K45" s="523">
        <v>3150290</v>
      </c>
      <c r="L45" s="523">
        <v>80510</v>
      </c>
      <c r="M45" s="549" t="s">
        <v>3045</v>
      </c>
      <c r="N45" s="549" t="s">
        <v>5445</v>
      </c>
      <c r="O45" s="551"/>
      <c r="P45" s="523"/>
      <c r="Q45" s="523"/>
      <c r="R45" s="523"/>
      <c r="S45" s="523">
        <v>3230800</v>
      </c>
      <c r="T45" s="523">
        <f>J45-P45-S45</f>
      </c>
      <c r="U45" s="530">
        <v>45701</v>
      </c>
      <c r="V45" s="99" t="s">
        <v>2216</v>
      </c>
      <c r="W45" s="100" t="s">
        <v>5446</v>
      </c>
      <c r="X45" s="60"/>
      <c r="Y45" s="60"/>
    </row>
    <row x14ac:dyDescent="0.25" r="46" customHeight="1" ht="19.5">
      <c r="A46" s="529">
        <v>45696</v>
      </c>
      <c r="B46" s="549" t="s">
        <v>5440</v>
      </c>
      <c r="C46" s="549" t="s">
        <v>5441</v>
      </c>
      <c r="D46" s="549" t="s">
        <v>5442</v>
      </c>
      <c r="E46" s="549" t="s">
        <v>5443</v>
      </c>
      <c r="F46" s="549" t="s">
        <v>4414</v>
      </c>
      <c r="G46" s="549" t="s">
        <v>351</v>
      </c>
      <c r="H46" s="549" t="s">
        <v>26</v>
      </c>
      <c r="I46" s="523"/>
      <c r="J46" s="523">
        <v>3230800</v>
      </c>
      <c r="K46" s="523">
        <v>3150290</v>
      </c>
      <c r="L46" s="523">
        <v>80510</v>
      </c>
      <c r="M46" s="549" t="s">
        <v>3045</v>
      </c>
      <c r="N46" s="549" t="s">
        <v>5447</v>
      </c>
      <c r="O46" s="551"/>
      <c r="P46" s="523"/>
      <c r="Q46" s="523"/>
      <c r="R46" s="523"/>
      <c r="S46" s="523">
        <v>3230800</v>
      </c>
      <c r="T46" s="523">
        <f>J46-P46-S46</f>
      </c>
      <c r="U46" s="530">
        <v>45701</v>
      </c>
      <c r="V46" s="99" t="s">
        <v>2216</v>
      </c>
      <c r="W46" s="100" t="s">
        <v>5446</v>
      </c>
      <c r="X46" s="60"/>
      <c r="Y46" s="60"/>
    </row>
    <row x14ac:dyDescent="0.25" r="47" customHeight="1" ht="19.5">
      <c r="A47" s="522">
        <v>45696</v>
      </c>
      <c r="B47" s="30" t="s">
        <v>5440</v>
      </c>
      <c r="C47" s="30" t="s">
        <v>5441</v>
      </c>
      <c r="D47" s="30" t="s">
        <v>5442</v>
      </c>
      <c r="E47" s="30" t="s">
        <v>5443</v>
      </c>
      <c r="F47" s="30" t="s">
        <v>4414</v>
      </c>
      <c r="G47" s="30" t="s">
        <v>5448</v>
      </c>
      <c r="H47" s="30" t="s">
        <v>26</v>
      </c>
      <c r="I47" s="69"/>
      <c r="J47" s="69">
        <v>3230800</v>
      </c>
      <c r="K47" s="69">
        <v>3150290</v>
      </c>
      <c r="L47" s="69">
        <v>80510</v>
      </c>
      <c r="M47" s="30" t="s">
        <v>3045</v>
      </c>
      <c r="N47" s="30" t="s">
        <v>5449</v>
      </c>
      <c r="O47" s="217"/>
      <c r="P47" s="69"/>
      <c r="Q47" s="69"/>
      <c r="R47" s="69"/>
      <c r="S47" s="69">
        <v>3230800</v>
      </c>
      <c r="T47" s="523">
        <f>J47-P47-S47</f>
      </c>
      <c r="U47" s="530">
        <v>45701</v>
      </c>
      <c r="V47" s="99" t="s">
        <v>2216</v>
      </c>
      <c r="W47" s="65" t="s">
        <v>5446</v>
      </c>
      <c r="X47" s="60"/>
      <c r="Y47" s="60"/>
    </row>
    <row x14ac:dyDescent="0.25" r="48" customHeight="1" ht="32.25">
      <c r="A48" s="529">
        <v>45698</v>
      </c>
      <c r="B48" s="99" t="s">
        <v>123</v>
      </c>
      <c r="C48" s="99" t="s">
        <v>5450</v>
      </c>
      <c r="D48" s="99" t="s">
        <v>54</v>
      </c>
      <c r="E48" s="99" t="s">
        <v>5451</v>
      </c>
      <c r="F48" s="99" t="s">
        <v>5452</v>
      </c>
      <c r="G48" s="99" t="s">
        <v>5453</v>
      </c>
      <c r="H48" s="99" t="s">
        <v>26</v>
      </c>
      <c r="I48" s="114" t="s">
        <v>5454</v>
      </c>
      <c r="J48" s="114">
        <v>672820</v>
      </c>
      <c r="K48" s="114">
        <v>539320</v>
      </c>
      <c r="L48" s="114">
        <v>133500</v>
      </c>
      <c r="M48" s="99" t="s">
        <v>50</v>
      </c>
      <c r="N48" s="99" t="s">
        <v>5455</v>
      </c>
      <c r="O48" s="114">
        <v>4</v>
      </c>
      <c r="P48" s="114">
        <v>300000</v>
      </c>
      <c r="Q48" s="114"/>
      <c r="R48" s="114"/>
      <c r="S48" s="114">
        <v>372820</v>
      </c>
      <c r="T48" s="523">
        <f>J48-P48-S48</f>
      </c>
      <c r="U48" s="553" t="s">
        <v>5456</v>
      </c>
      <c r="V48" s="554" t="s">
        <v>5457</v>
      </c>
      <c r="W48" s="100"/>
      <c r="X48" s="3"/>
      <c r="Y48" s="3"/>
    </row>
    <row x14ac:dyDescent="0.25" r="49" customHeight="1" ht="19.5">
      <c r="A49" s="529">
        <v>45699</v>
      </c>
      <c r="B49" s="99" t="s">
        <v>82</v>
      </c>
      <c r="C49" s="99" t="s">
        <v>496</v>
      </c>
      <c r="D49" s="99" t="s">
        <v>472</v>
      </c>
      <c r="E49" s="99" t="s">
        <v>611</v>
      </c>
      <c r="F49" s="99" t="s">
        <v>141</v>
      </c>
      <c r="G49" s="99" t="s">
        <v>522</v>
      </c>
      <c r="H49" s="99" t="s">
        <v>26</v>
      </c>
      <c r="I49" s="114" t="s">
        <v>5458</v>
      </c>
      <c r="J49" s="114">
        <v>89900</v>
      </c>
      <c r="K49" s="114">
        <v>41870</v>
      </c>
      <c r="L49" s="114">
        <v>48030</v>
      </c>
      <c r="M49" s="99" t="s">
        <v>86</v>
      </c>
      <c r="N49" s="99" t="s">
        <v>613</v>
      </c>
      <c r="O49" s="100"/>
      <c r="P49" s="114"/>
      <c r="Q49" s="114"/>
      <c r="R49" s="114"/>
      <c r="S49" s="114">
        <v>89900</v>
      </c>
      <c r="T49" s="523">
        <f>J49-P49-S49</f>
      </c>
      <c r="U49" s="555" t="s">
        <v>5353</v>
      </c>
      <c r="V49" s="99" t="s">
        <v>2307</v>
      </c>
      <c r="W49" s="100"/>
      <c r="X49" s="3"/>
      <c r="Y49" s="3"/>
    </row>
    <row x14ac:dyDescent="0.25" r="50" customHeight="1" ht="19.5">
      <c r="A50" s="531">
        <v>45700</v>
      </c>
      <c r="B50" s="14" t="s">
        <v>22</v>
      </c>
      <c r="C50" s="14" t="s">
        <v>5459</v>
      </c>
      <c r="D50" s="14" t="s">
        <v>23</v>
      </c>
      <c r="E50" s="14" t="s">
        <v>5460</v>
      </c>
      <c r="F50" s="14" t="s">
        <v>194</v>
      </c>
      <c r="G50" s="14" t="s">
        <v>5404</v>
      </c>
      <c r="H50" s="14" t="s">
        <v>26</v>
      </c>
      <c r="I50" s="17"/>
      <c r="J50" s="17">
        <v>15000</v>
      </c>
      <c r="K50" s="17"/>
      <c r="L50" s="17">
        <v>15000</v>
      </c>
      <c r="M50" s="14" t="s">
        <v>22</v>
      </c>
      <c r="N50" s="14" t="s">
        <v>5461</v>
      </c>
      <c r="O50" s="65" t="s">
        <v>251</v>
      </c>
      <c r="P50" s="17"/>
      <c r="Q50" s="17"/>
      <c r="R50" s="17"/>
      <c r="S50" s="17">
        <v>15000</v>
      </c>
      <c r="T50" s="523">
        <f>J50-P50-S50</f>
      </c>
      <c r="U50" s="293">
        <v>45722</v>
      </c>
      <c r="V50" s="14" t="s">
        <v>2122</v>
      </c>
      <c r="W50" s="65"/>
      <c r="X50" s="3"/>
      <c r="Y50" s="3"/>
    </row>
    <row x14ac:dyDescent="0.25" r="51" customHeight="1" ht="19.5">
      <c r="A51" s="531">
        <v>45700</v>
      </c>
      <c r="B51" s="99" t="s">
        <v>22</v>
      </c>
      <c r="C51" s="99" t="s">
        <v>5459</v>
      </c>
      <c r="D51" s="99" t="s">
        <v>23</v>
      </c>
      <c r="E51" s="99" t="s">
        <v>5462</v>
      </c>
      <c r="F51" s="99" t="s">
        <v>194</v>
      </c>
      <c r="G51" s="99" t="s">
        <v>5408</v>
      </c>
      <c r="H51" s="99" t="s">
        <v>26</v>
      </c>
      <c r="I51" s="114"/>
      <c r="J51" s="114">
        <v>15000</v>
      </c>
      <c r="K51" s="114"/>
      <c r="L51" s="114">
        <v>15001</v>
      </c>
      <c r="M51" s="99" t="s">
        <v>22</v>
      </c>
      <c r="N51" s="99" t="s">
        <v>5461</v>
      </c>
      <c r="O51" s="100" t="s">
        <v>251</v>
      </c>
      <c r="P51" s="114"/>
      <c r="Q51" s="114"/>
      <c r="R51" s="114"/>
      <c r="S51" s="114">
        <v>15000</v>
      </c>
      <c r="T51" s="523">
        <f>J51-P51-S51</f>
      </c>
      <c r="U51" s="530">
        <v>45722</v>
      </c>
      <c r="V51" s="99" t="s">
        <v>2122</v>
      </c>
      <c r="W51" s="100"/>
      <c r="X51" s="3"/>
      <c r="Y51" s="3"/>
    </row>
    <row x14ac:dyDescent="0.25" r="52" customHeight="1" ht="57">
      <c r="A52" s="531">
        <v>45700</v>
      </c>
      <c r="B52" s="99" t="s">
        <v>46</v>
      </c>
      <c r="C52" s="99" t="s">
        <v>5463</v>
      </c>
      <c r="D52" s="99" t="s">
        <v>54</v>
      </c>
      <c r="E52" s="99" t="s">
        <v>5464</v>
      </c>
      <c r="F52" s="99" t="s">
        <v>5465</v>
      </c>
      <c r="G52" s="99" t="s">
        <v>5466</v>
      </c>
      <c r="H52" s="99" t="s">
        <v>26</v>
      </c>
      <c r="I52" s="114"/>
      <c r="J52" s="114">
        <v>812900</v>
      </c>
      <c r="K52" s="114">
        <v>740000</v>
      </c>
      <c r="L52" s="114">
        <v>72900</v>
      </c>
      <c r="M52" s="99" t="s">
        <v>3045</v>
      </c>
      <c r="N52" s="99" t="s">
        <v>5467</v>
      </c>
      <c r="O52" s="100"/>
      <c r="P52" s="114">
        <v>213960</v>
      </c>
      <c r="Q52" s="114">
        <v>98720</v>
      </c>
      <c r="R52" s="114">
        <v>496220</v>
      </c>
      <c r="S52" s="114">
        <v>4000</v>
      </c>
      <c r="T52" s="523">
        <f>J52-Q52-R52-P52-S52</f>
      </c>
      <c r="U52" s="553" t="s">
        <v>5468</v>
      </c>
      <c r="V52" s="99" t="s">
        <v>2307</v>
      </c>
      <c r="W52" s="100"/>
      <c r="X52" s="3" t="s">
        <v>5469</v>
      </c>
      <c r="Y52" s="3"/>
    </row>
    <row x14ac:dyDescent="0.25" r="53" customHeight="1" ht="19.5">
      <c r="A53" s="531">
        <v>45700</v>
      </c>
      <c r="B53" s="14" t="s">
        <v>46</v>
      </c>
      <c r="C53" s="14" t="s">
        <v>5470</v>
      </c>
      <c r="D53" s="14" t="s">
        <v>237</v>
      </c>
      <c r="E53" s="14" t="s">
        <v>5471</v>
      </c>
      <c r="F53" s="14" t="s">
        <v>4414</v>
      </c>
      <c r="G53" s="14" t="s">
        <v>5472</v>
      </c>
      <c r="H53" s="14" t="s">
        <v>26</v>
      </c>
      <c r="I53" s="17"/>
      <c r="J53" s="17">
        <v>32800</v>
      </c>
      <c r="K53" s="17"/>
      <c r="L53" s="17">
        <v>32800</v>
      </c>
      <c r="M53" s="14" t="s">
        <v>50</v>
      </c>
      <c r="N53" s="14" t="s">
        <v>5473</v>
      </c>
      <c r="O53" s="65" t="s">
        <v>251</v>
      </c>
      <c r="P53" s="17"/>
      <c r="Q53" s="17"/>
      <c r="R53" s="17"/>
      <c r="S53" s="17">
        <v>32800</v>
      </c>
      <c r="T53" s="523">
        <f>J53-P53-S53</f>
      </c>
      <c r="U53" s="293">
        <v>45716</v>
      </c>
      <c r="V53" s="14" t="s">
        <v>1718</v>
      </c>
      <c r="W53" s="65"/>
      <c r="X53" s="3"/>
      <c r="Y53" s="3"/>
    </row>
    <row x14ac:dyDescent="0.25" r="54" customHeight="1" ht="19.5">
      <c r="A54" s="529">
        <v>45700</v>
      </c>
      <c r="B54" s="99" t="s">
        <v>46</v>
      </c>
      <c r="C54" s="99" t="s">
        <v>5474</v>
      </c>
      <c r="D54" s="99" t="s">
        <v>5475</v>
      </c>
      <c r="E54" s="99" t="s">
        <v>5476</v>
      </c>
      <c r="F54" s="99" t="s">
        <v>24</v>
      </c>
      <c r="G54" s="99" t="s">
        <v>5477</v>
      </c>
      <c r="H54" s="99" t="s">
        <v>26</v>
      </c>
      <c r="I54" s="114"/>
      <c r="J54" s="114">
        <v>3973900</v>
      </c>
      <c r="K54" s="114">
        <v>3693465</v>
      </c>
      <c r="L54" s="114">
        <v>280435</v>
      </c>
      <c r="M54" s="99" t="s">
        <v>3045</v>
      </c>
      <c r="N54" s="99" t="s">
        <v>5478</v>
      </c>
      <c r="O54" s="100"/>
      <c r="P54" s="114"/>
      <c r="Q54" s="114"/>
      <c r="R54" s="114"/>
      <c r="S54" s="114">
        <v>3973900</v>
      </c>
      <c r="T54" s="523">
        <f>J54-P54-S54</f>
      </c>
      <c r="U54" s="530">
        <v>45762</v>
      </c>
      <c r="V54" s="99" t="s">
        <v>2216</v>
      </c>
      <c r="W54" s="100" t="s">
        <v>4954</v>
      </c>
      <c r="X54" s="3"/>
      <c r="Y54" s="3"/>
    </row>
    <row x14ac:dyDescent="0.25" r="55" customHeight="1" ht="19.5">
      <c r="A55" s="529">
        <v>45701</v>
      </c>
      <c r="B55" s="99" t="s">
        <v>66</v>
      </c>
      <c r="C55" s="99" t="s">
        <v>5479</v>
      </c>
      <c r="D55" s="99" t="s">
        <v>429</v>
      </c>
      <c r="E55" s="99" t="s">
        <v>5480</v>
      </c>
      <c r="F55" s="99" t="s">
        <v>5481</v>
      </c>
      <c r="G55" s="99" t="s">
        <v>5482</v>
      </c>
      <c r="H55" s="99" t="s">
        <v>76</v>
      </c>
      <c r="I55" s="114"/>
      <c r="J55" s="114">
        <v>423500</v>
      </c>
      <c r="K55" s="114">
        <v>388820</v>
      </c>
      <c r="L55" s="114">
        <v>34680</v>
      </c>
      <c r="M55" s="99" t="s">
        <v>187</v>
      </c>
      <c r="N55" s="99" t="s">
        <v>5483</v>
      </c>
      <c r="O55" s="100"/>
      <c r="P55" s="494"/>
      <c r="Q55" s="149"/>
      <c r="R55" s="149"/>
      <c r="S55" s="272">
        <v>847000</v>
      </c>
      <c r="T55" s="556">
        <f>J55+J56-P55-S55</f>
      </c>
      <c r="U55" s="496">
        <v>45701</v>
      </c>
      <c r="V55" s="545" t="s">
        <v>1718</v>
      </c>
      <c r="W55" s="100" t="s">
        <v>1663</v>
      </c>
      <c r="X55" s="3"/>
      <c r="Y55" s="3"/>
    </row>
    <row x14ac:dyDescent="0.25" r="56" customHeight="1" ht="19.5">
      <c r="A56" s="529">
        <v>45701</v>
      </c>
      <c r="B56" s="99" t="s">
        <v>66</v>
      </c>
      <c r="C56" s="99" t="s">
        <v>5484</v>
      </c>
      <c r="D56" s="99" t="s">
        <v>429</v>
      </c>
      <c r="E56" s="99" t="s">
        <v>5485</v>
      </c>
      <c r="F56" s="99" t="s">
        <v>5486</v>
      </c>
      <c r="G56" s="99" t="s">
        <v>5487</v>
      </c>
      <c r="H56" s="99" t="s">
        <v>76</v>
      </c>
      <c r="I56" s="114"/>
      <c r="J56" s="114">
        <v>423500</v>
      </c>
      <c r="K56" s="114">
        <v>388820</v>
      </c>
      <c r="L56" s="114">
        <v>34680</v>
      </c>
      <c r="M56" s="99" t="s">
        <v>187</v>
      </c>
      <c r="N56" s="99" t="s">
        <v>5488</v>
      </c>
      <c r="O56" s="100"/>
      <c r="P56" s="151"/>
      <c r="Q56" s="151"/>
      <c r="R56" s="151"/>
      <c r="S56" s="273"/>
      <c r="T56" s="557"/>
      <c r="U56" s="500"/>
      <c r="V56" s="547"/>
      <c r="W56" s="100" t="s">
        <v>1663</v>
      </c>
      <c r="X56" s="3"/>
      <c r="Y56" s="3"/>
    </row>
    <row x14ac:dyDescent="0.25" r="57" customHeight="1" ht="19.5">
      <c r="A57" s="529">
        <v>45701</v>
      </c>
      <c r="B57" s="99" t="s">
        <v>475</v>
      </c>
      <c r="C57" s="99" t="s">
        <v>498</v>
      </c>
      <c r="D57" s="99" t="s">
        <v>477</v>
      </c>
      <c r="E57" s="99" t="s">
        <v>5489</v>
      </c>
      <c r="F57" s="99" t="s">
        <v>141</v>
      </c>
      <c r="G57" s="99" t="s">
        <v>522</v>
      </c>
      <c r="H57" s="99" t="s">
        <v>26</v>
      </c>
      <c r="I57" s="114" t="s">
        <v>5291</v>
      </c>
      <c r="J57" s="114">
        <v>232950</v>
      </c>
      <c r="K57" s="114">
        <v>151000</v>
      </c>
      <c r="L57" s="114">
        <v>81950</v>
      </c>
      <c r="M57" s="99" t="s">
        <v>475</v>
      </c>
      <c r="N57" s="99" t="s">
        <v>499</v>
      </c>
      <c r="O57" s="100"/>
      <c r="P57" s="114"/>
      <c r="Q57" s="114"/>
      <c r="R57" s="114"/>
      <c r="S57" s="114">
        <v>232950</v>
      </c>
      <c r="T57" s="523">
        <f>J57-P57-S57</f>
      </c>
      <c r="U57" s="558">
        <v>45726</v>
      </c>
      <c r="V57" s="99" t="s">
        <v>2307</v>
      </c>
      <c r="W57" s="100"/>
      <c r="X57" s="80"/>
      <c r="Y57" s="3"/>
    </row>
    <row x14ac:dyDescent="0.25" r="58" customHeight="1" ht="26.25">
      <c r="A58" s="529">
        <v>45701</v>
      </c>
      <c r="B58" s="14" t="s">
        <v>475</v>
      </c>
      <c r="C58" s="14" t="s">
        <v>500</v>
      </c>
      <c r="D58" s="14" t="s">
        <v>477</v>
      </c>
      <c r="E58" s="14" t="s">
        <v>5490</v>
      </c>
      <c r="F58" s="14" t="s">
        <v>141</v>
      </c>
      <c r="G58" s="14" t="s">
        <v>5354</v>
      </c>
      <c r="H58" s="14" t="s">
        <v>26</v>
      </c>
      <c r="I58" s="17" t="s">
        <v>5491</v>
      </c>
      <c r="J58" s="17">
        <v>378950</v>
      </c>
      <c r="K58" s="17">
        <v>288000</v>
      </c>
      <c r="L58" s="17">
        <v>90950</v>
      </c>
      <c r="M58" s="14" t="s">
        <v>475</v>
      </c>
      <c r="N58" s="14" t="s">
        <v>501</v>
      </c>
      <c r="O58" s="65"/>
      <c r="P58" s="17">
        <v>54350</v>
      </c>
      <c r="Q58" s="17">
        <v>268000</v>
      </c>
      <c r="R58" s="17"/>
      <c r="S58" s="17"/>
      <c r="T58" s="523">
        <f>J58-Q58-R58-P58-S58</f>
      </c>
      <c r="U58" s="559" t="s">
        <v>5492</v>
      </c>
      <c r="V58" s="70" t="s">
        <v>5457</v>
      </c>
      <c r="W58" s="65"/>
      <c r="X58" s="3"/>
      <c r="Y58" s="3"/>
    </row>
    <row x14ac:dyDescent="0.25" r="59" customHeight="1" ht="19.5">
      <c r="A59" s="529">
        <v>45701</v>
      </c>
      <c r="B59" s="99" t="s">
        <v>72</v>
      </c>
      <c r="C59" s="99" t="s">
        <v>5493</v>
      </c>
      <c r="D59" s="99" t="s">
        <v>448</v>
      </c>
      <c r="E59" s="99" t="s">
        <v>5494</v>
      </c>
      <c r="F59" s="99" t="s">
        <v>1673</v>
      </c>
      <c r="G59" s="99" t="s">
        <v>5495</v>
      </c>
      <c r="H59" s="99" t="s">
        <v>26</v>
      </c>
      <c r="I59" s="114" t="s">
        <v>5496</v>
      </c>
      <c r="J59" s="114">
        <v>1895820</v>
      </c>
      <c r="K59" s="114">
        <v>1755820</v>
      </c>
      <c r="L59" s="114">
        <v>140000</v>
      </c>
      <c r="M59" s="99" t="s">
        <v>50</v>
      </c>
      <c r="N59" s="99" t="s">
        <v>5497</v>
      </c>
      <c r="O59" s="114">
        <v>4</v>
      </c>
      <c r="P59" s="114"/>
      <c r="Q59" s="114"/>
      <c r="R59" s="114"/>
      <c r="S59" s="114">
        <v>1895820</v>
      </c>
      <c r="T59" s="523">
        <f>J59-P59-S59</f>
      </c>
      <c r="U59" s="530">
        <v>45705</v>
      </c>
      <c r="V59" s="99" t="s">
        <v>1718</v>
      </c>
      <c r="W59" s="100"/>
      <c r="X59" s="3"/>
      <c r="Y59" s="3"/>
    </row>
    <row x14ac:dyDescent="0.25" r="60" customHeight="1" ht="19.5">
      <c r="A60" s="529">
        <v>45701</v>
      </c>
      <c r="B60" s="99" t="s">
        <v>111</v>
      </c>
      <c r="C60" s="99" t="s">
        <v>5498</v>
      </c>
      <c r="D60" s="99" t="s">
        <v>1267</v>
      </c>
      <c r="E60" s="99" t="s">
        <v>5499</v>
      </c>
      <c r="F60" s="99" t="s">
        <v>5500</v>
      </c>
      <c r="G60" s="99" t="s">
        <v>939</v>
      </c>
      <c r="H60" s="99" t="s">
        <v>26</v>
      </c>
      <c r="I60" s="114" t="s">
        <v>5501</v>
      </c>
      <c r="J60" s="114">
        <v>430500</v>
      </c>
      <c r="K60" s="114">
        <v>380420</v>
      </c>
      <c r="L60" s="114">
        <v>50080</v>
      </c>
      <c r="M60" s="99" t="s">
        <v>50</v>
      </c>
      <c r="N60" s="99" t="s">
        <v>5502</v>
      </c>
      <c r="O60" s="114">
        <v>2</v>
      </c>
      <c r="P60" s="114"/>
      <c r="Q60" s="114"/>
      <c r="R60" s="114"/>
      <c r="S60" s="114">
        <v>430500</v>
      </c>
      <c r="T60" s="523">
        <f>J60-P60-S60</f>
      </c>
      <c r="U60" s="530">
        <v>45827</v>
      </c>
      <c r="V60" s="99" t="s">
        <v>2216</v>
      </c>
      <c r="W60" s="100" t="s">
        <v>5503</v>
      </c>
      <c r="X60" s="3"/>
      <c r="Y60" s="3"/>
    </row>
    <row x14ac:dyDescent="0.25" r="61" customHeight="1" ht="19.5">
      <c r="A61" s="529">
        <v>45702</v>
      </c>
      <c r="B61" s="99" t="s">
        <v>82</v>
      </c>
      <c r="C61" s="99" t="s">
        <v>615</v>
      </c>
      <c r="D61" s="99" t="s">
        <v>83</v>
      </c>
      <c r="E61" s="99" t="s">
        <v>616</v>
      </c>
      <c r="F61" s="99" t="s">
        <v>617</v>
      </c>
      <c r="G61" s="99" t="s">
        <v>618</v>
      </c>
      <c r="H61" s="99" t="s">
        <v>26</v>
      </c>
      <c r="I61" s="114" t="s">
        <v>5504</v>
      </c>
      <c r="J61" s="114">
        <v>96900</v>
      </c>
      <c r="K61" s="114">
        <v>81540</v>
      </c>
      <c r="L61" s="114">
        <v>15360</v>
      </c>
      <c r="M61" s="99" t="s">
        <v>86</v>
      </c>
      <c r="N61" s="99" t="s">
        <v>620</v>
      </c>
      <c r="O61" s="100"/>
      <c r="P61" s="114"/>
      <c r="Q61" s="114"/>
      <c r="R61" s="114"/>
      <c r="S61" s="114">
        <v>96900</v>
      </c>
      <c r="T61" s="523">
        <f>J61-P61-S61</f>
      </c>
      <c r="U61" s="530">
        <v>45727</v>
      </c>
      <c r="V61" s="99" t="s">
        <v>2216</v>
      </c>
      <c r="W61" s="100" t="s">
        <v>5043</v>
      </c>
      <c r="X61" s="3"/>
      <c r="Y61" s="3"/>
    </row>
    <row x14ac:dyDescent="0.25" r="62" customHeight="1" ht="19.5">
      <c r="A62" s="529">
        <v>45702</v>
      </c>
      <c r="B62" s="99" t="s">
        <v>82</v>
      </c>
      <c r="C62" s="99" t="s">
        <v>615</v>
      </c>
      <c r="D62" s="99" t="s">
        <v>83</v>
      </c>
      <c r="E62" s="99" t="s">
        <v>616</v>
      </c>
      <c r="F62" s="99" t="s">
        <v>617</v>
      </c>
      <c r="G62" s="99" t="s">
        <v>621</v>
      </c>
      <c r="H62" s="99" t="s">
        <v>26</v>
      </c>
      <c r="I62" s="114" t="s">
        <v>5504</v>
      </c>
      <c r="J62" s="114">
        <v>96900</v>
      </c>
      <c r="K62" s="114">
        <v>81540</v>
      </c>
      <c r="L62" s="114">
        <v>15360</v>
      </c>
      <c r="M62" s="99" t="s">
        <v>86</v>
      </c>
      <c r="N62" s="99" t="s">
        <v>622</v>
      </c>
      <c r="O62" s="114"/>
      <c r="P62" s="114"/>
      <c r="Q62" s="114"/>
      <c r="R62" s="114"/>
      <c r="S62" s="114">
        <v>96900</v>
      </c>
      <c r="T62" s="523">
        <f>J62-P62-S62</f>
      </c>
      <c r="U62" s="530">
        <v>45727</v>
      </c>
      <c r="V62" s="99" t="s">
        <v>2216</v>
      </c>
      <c r="W62" s="100" t="s">
        <v>5043</v>
      </c>
      <c r="X62" s="3"/>
      <c r="Y62" s="3"/>
    </row>
    <row x14ac:dyDescent="0.25" r="63" customHeight="1" ht="19.5">
      <c r="A63" s="529">
        <v>45702</v>
      </c>
      <c r="B63" s="99" t="s">
        <v>82</v>
      </c>
      <c r="C63" s="99" t="s">
        <v>623</v>
      </c>
      <c r="D63" s="99" t="s">
        <v>624</v>
      </c>
      <c r="E63" s="99" t="s">
        <v>625</v>
      </c>
      <c r="F63" s="99" t="s">
        <v>84</v>
      </c>
      <c r="G63" s="99" t="s">
        <v>626</v>
      </c>
      <c r="H63" s="99" t="s">
        <v>26</v>
      </c>
      <c r="I63" s="114" t="s">
        <v>5505</v>
      </c>
      <c r="J63" s="114">
        <v>81900</v>
      </c>
      <c r="K63" s="114">
        <v>55170</v>
      </c>
      <c r="L63" s="114">
        <v>26730</v>
      </c>
      <c r="M63" s="99" t="s">
        <v>86</v>
      </c>
      <c r="N63" s="99" t="s">
        <v>628</v>
      </c>
      <c r="O63" s="114"/>
      <c r="P63" s="114"/>
      <c r="Q63" s="114"/>
      <c r="R63" s="114"/>
      <c r="S63" s="114">
        <v>81900</v>
      </c>
      <c r="T63" s="523">
        <f>J63-P63-S63</f>
      </c>
      <c r="U63" s="530">
        <v>45754</v>
      </c>
      <c r="V63" s="99" t="s">
        <v>2216</v>
      </c>
      <c r="W63" s="100"/>
      <c r="X63" s="3"/>
      <c r="Y63" s="3"/>
    </row>
    <row x14ac:dyDescent="0.25" r="64" customHeight="1" ht="19.5">
      <c r="A64" s="531">
        <v>45702</v>
      </c>
      <c r="B64" s="14" t="s">
        <v>82</v>
      </c>
      <c r="C64" s="14" t="s">
        <v>623</v>
      </c>
      <c r="D64" s="14" t="s">
        <v>624</v>
      </c>
      <c r="E64" s="14" t="s">
        <v>625</v>
      </c>
      <c r="F64" s="14" t="s">
        <v>84</v>
      </c>
      <c r="G64" s="14" t="s">
        <v>629</v>
      </c>
      <c r="H64" s="14" t="s">
        <v>26</v>
      </c>
      <c r="I64" s="17" t="s">
        <v>5505</v>
      </c>
      <c r="J64" s="17">
        <v>81900</v>
      </c>
      <c r="K64" s="17">
        <v>55170</v>
      </c>
      <c r="L64" s="17">
        <v>26730</v>
      </c>
      <c r="M64" s="14" t="s">
        <v>86</v>
      </c>
      <c r="N64" s="14" t="s">
        <v>630</v>
      </c>
      <c r="O64" s="65"/>
      <c r="P64" s="17"/>
      <c r="Q64" s="17"/>
      <c r="R64" s="17"/>
      <c r="S64" s="17">
        <v>81900</v>
      </c>
      <c r="T64" s="523">
        <f>J64-P64-S64</f>
      </c>
      <c r="U64" s="293">
        <v>45754</v>
      </c>
      <c r="V64" s="14" t="s">
        <v>2216</v>
      </c>
      <c r="W64" s="65"/>
      <c r="X64" s="3"/>
      <c r="Y64" s="3"/>
    </row>
    <row x14ac:dyDescent="0.25" r="65" customHeight="1" ht="19.5">
      <c r="A65" s="529">
        <v>45703</v>
      </c>
      <c r="B65" s="99" t="s">
        <v>82</v>
      </c>
      <c r="C65" s="99" t="s">
        <v>615</v>
      </c>
      <c r="D65" s="99" t="s">
        <v>83</v>
      </c>
      <c r="E65" s="99" t="s">
        <v>616</v>
      </c>
      <c r="F65" s="99" t="s">
        <v>617</v>
      </c>
      <c r="G65" s="99" t="s">
        <v>621</v>
      </c>
      <c r="H65" s="99" t="s">
        <v>26</v>
      </c>
      <c r="I65" s="114" t="s">
        <v>4713</v>
      </c>
      <c r="J65" s="114">
        <v>23500</v>
      </c>
      <c r="K65" s="114">
        <v>13000</v>
      </c>
      <c r="L65" s="114">
        <v>10500</v>
      </c>
      <c r="M65" s="99" t="s">
        <v>82</v>
      </c>
      <c r="N65" s="99" t="s">
        <v>622</v>
      </c>
      <c r="O65" s="100" t="s">
        <v>251</v>
      </c>
      <c r="P65" s="114"/>
      <c r="Q65" s="114"/>
      <c r="R65" s="114"/>
      <c r="S65" s="114">
        <v>23500</v>
      </c>
      <c r="T65" s="523">
        <f>J65-P65-S65</f>
      </c>
      <c r="U65" s="530">
        <v>45727</v>
      </c>
      <c r="V65" s="99" t="s">
        <v>2216</v>
      </c>
      <c r="W65" s="100" t="s">
        <v>5506</v>
      </c>
      <c r="X65" s="3"/>
      <c r="Y65" s="3"/>
    </row>
    <row x14ac:dyDescent="0.25" r="66" customHeight="1" ht="19.5">
      <c r="A66" s="531">
        <v>45703</v>
      </c>
      <c r="B66" s="99" t="s">
        <v>290</v>
      </c>
      <c r="C66" s="99" t="s">
        <v>5507</v>
      </c>
      <c r="D66" s="99" t="s">
        <v>4822</v>
      </c>
      <c r="E66" s="99" t="s">
        <v>5508</v>
      </c>
      <c r="F66" s="99" t="s">
        <v>2597</v>
      </c>
      <c r="G66" s="99" t="s">
        <v>635</v>
      </c>
      <c r="H66" s="99" t="s">
        <v>127</v>
      </c>
      <c r="I66" s="114" t="s">
        <v>5509</v>
      </c>
      <c r="J66" s="114">
        <v>418820</v>
      </c>
      <c r="K66" s="114">
        <v>418820</v>
      </c>
      <c r="L66" s="100" t="s">
        <v>4713</v>
      </c>
      <c r="M66" s="99" t="s">
        <v>50</v>
      </c>
      <c r="N66" s="99" t="s">
        <v>5510</v>
      </c>
      <c r="O66" s="114">
        <v>4</v>
      </c>
      <c r="P66" s="114">
        <v>200000</v>
      </c>
      <c r="Q66" s="114">
        <v>200000</v>
      </c>
      <c r="R66" s="114"/>
      <c r="S66" s="114"/>
      <c r="T66" s="523">
        <f>J66-Q66-P66-S66</f>
      </c>
      <c r="U66" s="530">
        <v>45727</v>
      </c>
      <c r="V66" s="99" t="s">
        <v>1718</v>
      </c>
      <c r="W66" s="100"/>
      <c r="X66" s="3"/>
      <c r="Y66" s="3"/>
    </row>
    <row x14ac:dyDescent="0.25" r="67" customHeight="1" ht="31.5">
      <c r="A67" s="529">
        <v>45703</v>
      </c>
      <c r="B67" s="99" t="s">
        <v>46</v>
      </c>
      <c r="C67" s="99" t="s">
        <v>5511</v>
      </c>
      <c r="D67" s="99" t="s">
        <v>5512</v>
      </c>
      <c r="E67" s="99" t="s">
        <v>5513</v>
      </c>
      <c r="F67" s="99" t="s">
        <v>174</v>
      </c>
      <c r="G67" s="99" t="s">
        <v>645</v>
      </c>
      <c r="H67" s="99" t="s">
        <v>26</v>
      </c>
      <c r="I67" s="114" t="s">
        <v>5514</v>
      </c>
      <c r="J67" s="114">
        <v>5784520</v>
      </c>
      <c r="K67" s="114">
        <v>5684520</v>
      </c>
      <c r="L67" s="114">
        <v>100000</v>
      </c>
      <c r="M67" s="99" t="s">
        <v>50</v>
      </c>
      <c r="N67" s="99" t="s">
        <v>5515</v>
      </c>
      <c r="O67" s="114">
        <v>2</v>
      </c>
      <c r="P67" s="114"/>
      <c r="Q67" s="114"/>
      <c r="R67" s="114"/>
      <c r="S67" s="560">
        <v>5784520</v>
      </c>
      <c r="T67" s="523">
        <f>J67-Q67-R67-P67-S67</f>
      </c>
      <c r="U67" s="561">
        <v>45730</v>
      </c>
      <c r="V67" s="99" t="s">
        <v>1718</v>
      </c>
      <c r="W67" s="100"/>
      <c r="X67" s="3"/>
      <c r="Y67" s="3"/>
    </row>
    <row x14ac:dyDescent="0.25" r="68" customHeight="1" ht="19.5">
      <c r="A68" s="531">
        <v>45705</v>
      </c>
      <c r="B68" s="14" t="s">
        <v>475</v>
      </c>
      <c r="C68" s="14" t="s">
        <v>5516</v>
      </c>
      <c r="D68" s="14" t="s">
        <v>485</v>
      </c>
      <c r="E68" s="14" t="s">
        <v>5517</v>
      </c>
      <c r="F68" s="14" t="s">
        <v>141</v>
      </c>
      <c r="G68" s="14" t="s">
        <v>522</v>
      </c>
      <c r="H68" s="14" t="s">
        <v>26</v>
      </c>
      <c r="I68" s="17" t="s">
        <v>5518</v>
      </c>
      <c r="J68" s="17">
        <v>232950</v>
      </c>
      <c r="K68" s="17">
        <v>157000</v>
      </c>
      <c r="L68" s="17">
        <v>75950</v>
      </c>
      <c r="M68" s="14" t="s">
        <v>475</v>
      </c>
      <c r="N68" s="14" t="s">
        <v>5519</v>
      </c>
      <c r="O68" s="65"/>
      <c r="P68" s="17"/>
      <c r="Q68" s="17"/>
      <c r="R68" s="17"/>
      <c r="S68" s="17"/>
      <c r="T68" s="523">
        <f>J68-P68-S68</f>
      </c>
      <c r="U68" s="562"/>
      <c r="V68" s="65"/>
      <c r="W68" s="65"/>
      <c r="X68" s="3"/>
      <c r="Y68" s="3"/>
    </row>
    <row x14ac:dyDescent="0.25" r="69" customHeight="1" ht="19.5">
      <c r="A69" s="529">
        <v>45705</v>
      </c>
      <c r="B69" s="14" t="s">
        <v>475</v>
      </c>
      <c r="C69" s="14" t="s">
        <v>5516</v>
      </c>
      <c r="D69" s="14" t="s">
        <v>485</v>
      </c>
      <c r="E69" s="14" t="s">
        <v>5520</v>
      </c>
      <c r="F69" s="14" t="s">
        <v>141</v>
      </c>
      <c r="G69" s="14" t="s">
        <v>5354</v>
      </c>
      <c r="H69" s="14" t="s">
        <v>26</v>
      </c>
      <c r="I69" s="17"/>
      <c r="J69" s="17">
        <v>89950</v>
      </c>
      <c r="K69" s="17">
        <v>57500</v>
      </c>
      <c r="L69" s="17">
        <v>32450</v>
      </c>
      <c r="M69" s="14" t="s">
        <v>475</v>
      </c>
      <c r="N69" s="14" t="s">
        <v>5521</v>
      </c>
      <c r="O69" s="65" t="s">
        <v>251</v>
      </c>
      <c r="P69" s="17"/>
      <c r="Q69" s="17"/>
      <c r="R69" s="17"/>
      <c r="S69" s="17"/>
      <c r="T69" s="523">
        <f>J69-P69-S69</f>
      </c>
      <c r="U69" s="562"/>
      <c r="V69" s="65"/>
      <c r="W69" s="65"/>
      <c r="X69" s="3"/>
      <c r="Y69" s="3"/>
    </row>
    <row x14ac:dyDescent="0.25" r="70" customHeight="1" ht="19.5">
      <c r="A70" s="531">
        <v>45705</v>
      </c>
      <c r="B70" s="14" t="s">
        <v>123</v>
      </c>
      <c r="C70" s="14" t="s">
        <v>5522</v>
      </c>
      <c r="D70" s="14" t="s">
        <v>282</v>
      </c>
      <c r="E70" s="14" t="s">
        <v>5523</v>
      </c>
      <c r="F70" s="14" t="s">
        <v>5524</v>
      </c>
      <c r="G70" s="14" t="s">
        <v>5525</v>
      </c>
      <c r="H70" s="14" t="s">
        <v>76</v>
      </c>
      <c r="I70" s="17" t="s">
        <v>5526</v>
      </c>
      <c r="J70" s="17">
        <v>531500</v>
      </c>
      <c r="K70" s="17">
        <v>511520</v>
      </c>
      <c r="L70" s="17">
        <v>19980</v>
      </c>
      <c r="M70" s="14" t="s">
        <v>50</v>
      </c>
      <c r="N70" s="14" t="s">
        <v>5527</v>
      </c>
      <c r="O70" s="17">
        <v>4</v>
      </c>
      <c r="P70" s="17"/>
      <c r="Q70" s="17"/>
      <c r="R70" s="17"/>
      <c r="S70" s="17">
        <v>531500</v>
      </c>
      <c r="T70" s="523">
        <f>J70-P70-S70</f>
      </c>
      <c r="U70" s="293">
        <v>45706</v>
      </c>
      <c r="V70" s="14" t="s">
        <v>1718</v>
      </c>
      <c r="W70" s="65" t="s">
        <v>1663</v>
      </c>
      <c r="X70" s="3"/>
      <c r="Y70" s="3"/>
    </row>
    <row x14ac:dyDescent="0.25" r="71" customHeight="1" ht="23.25">
      <c r="A71" s="529">
        <v>45705</v>
      </c>
      <c r="B71" s="14" t="s">
        <v>290</v>
      </c>
      <c r="C71" s="14" t="s">
        <v>5528</v>
      </c>
      <c r="D71" s="14" t="s">
        <v>291</v>
      </c>
      <c r="E71" s="14" t="s">
        <v>5529</v>
      </c>
      <c r="F71" s="14" t="s">
        <v>292</v>
      </c>
      <c r="G71" s="14" t="s">
        <v>5530</v>
      </c>
      <c r="H71" s="14" t="s">
        <v>26</v>
      </c>
      <c r="I71" s="17" t="s">
        <v>5531</v>
      </c>
      <c r="J71" s="17">
        <v>410950</v>
      </c>
      <c r="K71" s="17">
        <v>300920</v>
      </c>
      <c r="L71" s="17">
        <v>110030</v>
      </c>
      <c r="M71" s="14" t="s">
        <v>50</v>
      </c>
      <c r="N71" s="14" t="s">
        <v>5532</v>
      </c>
      <c r="O71" s="17">
        <v>2</v>
      </c>
      <c r="P71" s="17"/>
      <c r="Q71" s="17"/>
      <c r="R71" s="17"/>
      <c r="S71" s="17"/>
      <c r="T71" s="523">
        <f>J71-P71-S71</f>
      </c>
      <c r="U71" s="293"/>
      <c r="V71" s="65"/>
      <c r="W71" s="65"/>
      <c r="X71" s="3"/>
      <c r="Y71" s="3"/>
    </row>
    <row x14ac:dyDescent="0.25" r="72" customHeight="1" ht="19.5">
      <c r="A72" s="531">
        <v>45705</v>
      </c>
      <c r="B72" s="14" t="s">
        <v>82</v>
      </c>
      <c r="C72" s="14" t="s">
        <v>632</v>
      </c>
      <c r="D72" s="14" t="s">
        <v>472</v>
      </c>
      <c r="E72" s="14" t="s">
        <v>633</v>
      </c>
      <c r="F72" s="14" t="s">
        <v>634</v>
      </c>
      <c r="G72" s="14" t="s">
        <v>635</v>
      </c>
      <c r="H72" s="14" t="s">
        <v>127</v>
      </c>
      <c r="I72" s="17" t="s">
        <v>5505</v>
      </c>
      <c r="J72" s="17">
        <v>55170</v>
      </c>
      <c r="K72" s="17">
        <v>55170</v>
      </c>
      <c r="L72" s="65" t="s">
        <v>4713</v>
      </c>
      <c r="M72" s="14" t="s">
        <v>86</v>
      </c>
      <c r="N72" s="14" t="s">
        <v>636</v>
      </c>
      <c r="O72" s="65"/>
      <c r="P72" s="17"/>
      <c r="Q72" s="17"/>
      <c r="R72" s="17"/>
      <c r="S72" s="17"/>
      <c r="T72" s="523">
        <f>J72-P72-S72</f>
      </c>
      <c r="U72" s="293"/>
      <c r="V72" s="65"/>
      <c r="W72" s="65"/>
      <c r="X72" s="3"/>
      <c r="Y72" s="3"/>
    </row>
    <row x14ac:dyDescent="0.25" r="73" customHeight="1" ht="19.5">
      <c r="A73" s="529">
        <v>45705</v>
      </c>
      <c r="B73" s="99" t="s">
        <v>53</v>
      </c>
      <c r="C73" s="99" t="s">
        <v>632</v>
      </c>
      <c r="D73" s="99" t="s">
        <v>134</v>
      </c>
      <c r="E73" s="99" t="s">
        <v>5533</v>
      </c>
      <c r="F73" s="99" t="s">
        <v>2972</v>
      </c>
      <c r="G73" s="99" t="s">
        <v>5534</v>
      </c>
      <c r="H73" s="99" t="s">
        <v>26</v>
      </c>
      <c r="I73" s="114"/>
      <c r="J73" s="114">
        <v>94600</v>
      </c>
      <c r="K73" s="114">
        <v>94600</v>
      </c>
      <c r="L73" s="100" t="s">
        <v>4713</v>
      </c>
      <c r="M73" s="99" t="s">
        <v>53</v>
      </c>
      <c r="N73" s="99" t="s">
        <v>5535</v>
      </c>
      <c r="O73" s="100" t="s">
        <v>4895</v>
      </c>
      <c r="P73" s="114"/>
      <c r="Q73" s="114"/>
      <c r="R73" s="114"/>
      <c r="S73" s="114"/>
      <c r="T73" s="523">
        <f>J73-P73-S73</f>
      </c>
      <c r="U73" s="530"/>
      <c r="V73" s="100"/>
      <c r="W73" s="100"/>
      <c r="X73" s="3"/>
      <c r="Y73" s="3"/>
    </row>
    <row x14ac:dyDescent="0.25" r="74" customHeight="1" ht="19.5">
      <c r="A74" s="529">
        <v>45706</v>
      </c>
      <c r="B74" s="14" t="s">
        <v>72</v>
      </c>
      <c r="C74" s="14" t="s">
        <v>5304</v>
      </c>
      <c r="D74" s="14" t="s">
        <v>766</v>
      </c>
      <c r="E74" s="14" t="s">
        <v>5536</v>
      </c>
      <c r="F74" s="14" t="s">
        <v>548</v>
      </c>
      <c r="G74" s="14" t="s">
        <v>5537</v>
      </c>
      <c r="H74" s="14" t="s">
        <v>26</v>
      </c>
      <c r="I74" s="17" t="s">
        <v>5538</v>
      </c>
      <c r="J74" s="17">
        <v>690950</v>
      </c>
      <c r="K74" s="17">
        <v>640755</v>
      </c>
      <c r="L74" s="17">
        <v>50195</v>
      </c>
      <c r="M74" s="14" t="s">
        <v>50</v>
      </c>
      <c r="N74" s="14" t="s">
        <v>5539</v>
      </c>
      <c r="O74" s="17">
        <v>2</v>
      </c>
      <c r="P74" s="17"/>
      <c r="Q74" s="17"/>
      <c r="R74" s="17"/>
      <c r="S74" s="17">
        <v>687352</v>
      </c>
      <c r="T74" s="523">
        <f>J74-P74-S74</f>
      </c>
      <c r="U74" s="293">
        <v>45719</v>
      </c>
      <c r="V74" s="14" t="s">
        <v>2122</v>
      </c>
      <c r="W74" s="65"/>
      <c r="X74" s="3"/>
      <c r="Y74" s="3"/>
    </row>
    <row x14ac:dyDescent="0.25" r="75" customHeight="1" ht="19.5">
      <c r="A75" s="529">
        <v>45706</v>
      </c>
      <c r="B75" s="14" t="s">
        <v>22</v>
      </c>
      <c r="C75" s="14" t="s">
        <v>5540</v>
      </c>
      <c r="D75" s="14" t="s">
        <v>23</v>
      </c>
      <c r="E75" s="14" t="s">
        <v>5541</v>
      </c>
      <c r="F75" s="14" t="s">
        <v>548</v>
      </c>
      <c r="G75" s="14" t="s">
        <v>5542</v>
      </c>
      <c r="H75" s="14" t="s">
        <v>26</v>
      </c>
      <c r="I75" s="17" t="s">
        <v>5543</v>
      </c>
      <c r="J75" s="17">
        <v>520920</v>
      </c>
      <c r="K75" s="17">
        <v>465100</v>
      </c>
      <c r="L75" s="17">
        <v>55820</v>
      </c>
      <c r="M75" s="14" t="s">
        <v>22</v>
      </c>
      <c r="N75" s="14" t="s">
        <v>5544</v>
      </c>
      <c r="O75" s="65"/>
      <c r="P75" s="17"/>
      <c r="Q75" s="17"/>
      <c r="R75" s="17"/>
      <c r="S75" s="17">
        <v>518223</v>
      </c>
      <c r="T75" s="523">
        <f>J75-P75-S75</f>
      </c>
      <c r="U75" s="293">
        <v>45719</v>
      </c>
      <c r="V75" s="14" t="s">
        <v>2122</v>
      </c>
      <c r="W75" s="65"/>
      <c r="X75" s="3"/>
      <c r="Y75" s="3"/>
    </row>
    <row x14ac:dyDescent="0.25" r="76" customHeight="1" ht="37.5">
      <c r="A76" s="563">
        <v>45706</v>
      </c>
      <c r="B76" s="564" t="s">
        <v>82</v>
      </c>
      <c r="C76" s="564" t="s">
        <v>638</v>
      </c>
      <c r="D76" s="564" t="s">
        <v>546</v>
      </c>
      <c r="E76" s="564" t="s">
        <v>639</v>
      </c>
      <c r="F76" s="564" t="s">
        <v>640</v>
      </c>
      <c r="G76" s="564" t="s">
        <v>478</v>
      </c>
      <c r="H76" s="564" t="s">
        <v>26</v>
      </c>
      <c r="I76" s="565" t="s">
        <v>5545</v>
      </c>
      <c r="J76" s="565">
        <v>129950</v>
      </c>
      <c r="K76" s="565">
        <v>109540</v>
      </c>
      <c r="L76" s="565">
        <v>20410</v>
      </c>
      <c r="M76" s="564" t="s">
        <v>86</v>
      </c>
      <c r="N76" s="564" t="s">
        <v>642</v>
      </c>
      <c r="O76" s="566"/>
      <c r="P76" s="565"/>
      <c r="Q76" s="565"/>
      <c r="R76" s="565"/>
      <c r="S76" s="565">
        <v>129150</v>
      </c>
      <c r="T76" s="565">
        <f>J76-P76-S76</f>
      </c>
      <c r="U76" s="567" t="s">
        <v>5546</v>
      </c>
      <c r="V76" s="568" t="s">
        <v>5547</v>
      </c>
      <c r="W76" s="566" t="s">
        <v>1663</v>
      </c>
      <c r="X76" s="3" t="s">
        <v>5548</v>
      </c>
      <c r="Y76" s="3"/>
    </row>
    <row x14ac:dyDescent="0.25" r="77" customHeight="1" ht="19.5">
      <c r="A77" s="529">
        <v>45707</v>
      </c>
      <c r="B77" s="99" t="s">
        <v>53</v>
      </c>
      <c r="C77" s="99" t="s">
        <v>5549</v>
      </c>
      <c r="D77" s="99" t="s">
        <v>282</v>
      </c>
      <c r="E77" s="99" t="s">
        <v>5550</v>
      </c>
      <c r="F77" s="99" t="s">
        <v>344</v>
      </c>
      <c r="G77" s="99" t="s">
        <v>5551</v>
      </c>
      <c r="H77" s="99" t="s">
        <v>26</v>
      </c>
      <c r="I77" s="114" t="s">
        <v>5552</v>
      </c>
      <c r="J77" s="114">
        <v>684800</v>
      </c>
      <c r="K77" s="114">
        <v>589720</v>
      </c>
      <c r="L77" s="114">
        <v>95080</v>
      </c>
      <c r="M77" s="99" t="s">
        <v>137</v>
      </c>
      <c r="N77" s="99" t="s">
        <v>5553</v>
      </c>
      <c r="O77" s="100"/>
      <c r="P77" s="114"/>
      <c r="Q77" s="114"/>
      <c r="R77" s="114"/>
      <c r="S77" s="114">
        <v>684800</v>
      </c>
      <c r="T77" s="523">
        <f>J77-P77-S77</f>
      </c>
      <c r="U77" s="530">
        <v>45660</v>
      </c>
      <c r="V77" s="99" t="s">
        <v>2122</v>
      </c>
      <c r="W77" s="100"/>
      <c r="X77" s="3"/>
      <c r="Y77" s="3"/>
    </row>
    <row x14ac:dyDescent="0.25" r="78" customHeight="1" ht="19.5">
      <c r="A78" s="529">
        <v>45707</v>
      </c>
      <c r="B78" s="99" t="s">
        <v>53</v>
      </c>
      <c r="C78" s="99" t="s">
        <v>5549</v>
      </c>
      <c r="D78" s="99" t="s">
        <v>282</v>
      </c>
      <c r="E78" s="99" t="s">
        <v>5550</v>
      </c>
      <c r="F78" s="99" t="s">
        <v>344</v>
      </c>
      <c r="G78" s="99" t="s">
        <v>5554</v>
      </c>
      <c r="H78" s="99" t="s">
        <v>26</v>
      </c>
      <c r="I78" s="114" t="s">
        <v>5555</v>
      </c>
      <c r="J78" s="114">
        <v>684800</v>
      </c>
      <c r="K78" s="114">
        <v>589720</v>
      </c>
      <c r="L78" s="114">
        <v>95080</v>
      </c>
      <c r="M78" s="99" t="s">
        <v>137</v>
      </c>
      <c r="N78" s="99" t="s">
        <v>5556</v>
      </c>
      <c r="O78" s="100"/>
      <c r="P78" s="114"/>
      <c r="Q78" s="114"/>
      <c r="R78" s="114"/>
      <c r="S78" s="114">
        <v>684800</v>
      </c>
      <c r="T78" s="523">
        <f>J78-P78-S78</f>
      </c>
      <c r="U78" s="530">
        <v>45660</v>
      </c>
      <c r="V78" s="99" t="s">
        <v>2122</v>
      </c>
      <c r="W78" s="100"/>
      <c r="X78" s="3"/>
      <c r="Y78" s="3"/>
    </row>
    <row x14ac:dyDescent="0.25" r="79" customHeight="1" ht="19.5">
      <c r="A79" s="529">
        <v>45707</v>
      </c>
      <c r="B79" s="99" t="s">
        <v>475</v>
      </c>
      <c r="C79" s="99" t="s">
        <v>5557</v>
      </c>
      <c r="D79" s="99" t="s">
        <v>485</v>
      </c>
      <c r="E79" s="99" t="s">
        <v>5558</v>
      </c>
      <c r="F79" s="99" t="s">
        <v>141</v>
      </c>
      <c r="G79" s="99" t="s">
        <v>522</v>
      </c>
      <c r="H79" s="99" t="s">
        <v>26</v>
      </c>
      <c r="I79" s="114" t="s">
        <v>4713</v>
      </c>
      <c r="J79" s="114">
        <v>60000</v>
      </c>
      <c r="K79" s="114">
        <v>40000</v>
      </c>
      <c r="L79" s="114">
        <v>20000</v>
      </c>
      <c r="M79" s="99" t="s">
        <v>475</v>
      </c>
      <c r="N79" s="99" t="s">
        <v>5519</v>
      </c>
      <c r="O79" s="100" t="s">
        <v>251</v>
      </c>
      <c r="P79" s="114"/>
      <c r="Q79" s="114"/>
      <c r="R79" s="114"/>
      <c r="S79" s="114"/>
      <c r="T79" s="523">
        <f>J79-P79-S79</f>
      </c>
      <c r="U79" s="558"/>
      <c r="V79" s="100"/>
      <c r="W79" s="100"/>
      <c r="X79" s="3"/>
      <c r="Y79" s="3"/>
    </row>
    <row x14ac:dyDescent="0.25" r="80" customHeight="1" ht="19.5">
      <c r="A80" s="529">
        <v>45707</v>
      </c>
      <c r="B80" s="14" t="s">
        <v>22</v>
      </c>
      <c r="C80" s="14" t="s">
        <v>5559</v>
      </c>
      <c r="D80" s="14" t="s">
        <v>477</v>
      </c>
      <c r="E80" s="14" t="s">
        <v>5560</v>
      </c>
      <c r="F80" s="14" t="s">
        <v>548</v>
      </c>
      <c r="G80" s="14" t="s">
        <v>5561</v>
      </c>
      <c r="H80" s="14" t="s">
        <v>26</v>
      </c>
      <c r="I80" s="17" t="s">
        <v>5562</v>
      </c>
      <c r="J80" s="17">
        <v>442950</v>
      </c>
      <c r="K80" s="65" t="s">
        <v>5563</v>
      </c>
      <c r="L80" s="65" t="s">
        <v>5564</v>
      </c>
      <c r="M80" s="14" t="s">
        <v>22</v>
      </c>
      <c r="N80" s="14" t="s">
        <v>5565</v>
      </c>
      <c r="O80" s="65"/>
      <c r="P80" s="17"/>
      <c r="Q80" s="17"/>
      <c r="R80" s="17"/>
      <c r="S80" s="17">
        <v>439352</v>
      </c>
      <c r="T80" s="523">
        <f>J80-P80-S80</f>
      </c>
      <c r="U80" s="293">
        <v>45742</v>
      </c>
      <c r="V80" s="14" t="s">
        <v>2122</v>
      </c>
      <c r="W80" s="65"/>
      <c r="X80" s="3"/>
      <c r="Y80" s="3"/>
    </row>
    <row x14ac:dyDescent="0.25" r="81" customHeight="1" ht="19.5">
      <c r="A81" s="529">
        <v>45707</v>
      </c>
      <c r="B81" s="14" t="s">
        <v>897</v>
      </c>
      <c r="C81" s="14" t="s">
        <v>5566</v>
      </c>
      <c r="D81" s="14" t="s">
        <v>54</v>
      </c>
      <c r="E81" s="14" t="s">
        <v>5550</v>
      </c>
      <c r="F81" s="14" t="s">
        <v>5567</v>
      </c>
      <c r="G81" s="14" t="s">
        <v>5568</v>
      </c>
      <c r="H81" s="14" t="s">
        <v>76</v>
      </c>
      <c r="I81" s="17" t="s">
        <v>5569</v>
      </c>
      <c r="J81" s="17">
        <v>468000</v>
      </c>
      <c r="K81" s="65" t="s">
        <v>5570</v>
      </c>
      <c r="L81" s="65" t="s">
        <v>5571</v>
      </c>
      <c r="M81" s="14" t="s">
        <v>50</v>
      </c>
      <c r="N81" s="14" t="s">
        <v>5572</v>
      </c>
      <c r="O81" s="17">
        <v>4</v>
      </c>
      <c r="P81" s="17"/>
      <c r="Q81" s="17"/>
      <c r="R81" s="17"/>
      <c r="S81" s="17">
        <v>468800</v>
      </c>
      <c r="T81" s="523">
        <f>J81-P81-S81</f>
      </c>
      <c r="U81" s="293">
        <v>45707</v>
      </c>
      <c r="V81" s="14" t="s">
        <v>1718</v>
      </c>
      <c r="W81" s="65" t="s">
        <v>1663</v>
      </c>
      <c r="X81" s="3"/>
      <c r="Y81" s="3"/>
    </row>
    <row x14ac:dyDescent="0.25" r="82" customHeight="1" ht="19.5">
      <c r="A82" s="529">
        <v>45708</v>
      </c>
      <c r="B82" s="14" t="s">
        <v>82</v>
      </c>
      <c r="C82" s="14" t="s">
        <v>623</v>
      </c>
      <c r="D82" s="14" t="s">
        <v>472</v>
      </c>
      <c r="E82" s="14" t="s">
        <v>644</v>
      </c>
      <c r="F82" s="14" t="s">
        <v>174</v>
      </c>
      <c r="G82" s="14" t="s">
        <v>645</v>
      </c>
      <c r="H82" s="14" t="s">
        <v>26</v>
      </c>
      <c r="I82" s="17" t="s">
        <v>5387</v>
      </c>
      <c r="J82" s="17">
        <v>119900</v>
      </c>
      <c r="K82" s="65" t="s">
        <v>609</v>
      </c>
      <c r="L82" s="65" t="s">
        <v>5573</v>
      </c>
      <c r="M82" s="14" t="s">
        <v>86</v>
      </c>
      <c r="N82" s="14" t="s">
        <v>646</v>
      </c>
      <c r="O82" s="65"/>
      <c r="P82" s="17"/>
      <c r="Q82" s="17"/>
      <c r="R82" s="17"/>
      <c r="S82" s="17">
        <v>119900</v>
      </c>
      <c r="T82" s="523">
        <f>J82-P82-S82</f>
      </c>
      <c r="U82" s="293">
        <v>45730</v>
      </c>
      <c r="V82" s="14" t="s">
        <v>1718</v>
      </c>
      <c r="W82" s="65"/>
      <c r="X82" s="3"/>
      <c r="Y82" s="3"/>
    </row>
    <row x14ac:dyDescent="0.25" r="83" customHeight="1" ht="19.5">
      <c r="A83" s="531">
        <v>45708</v>
      </c>
      <c r="B83" s="14" t="s">
        <v>53</v>
      </c>
      <c r="C83" s="14" t="s">
        <v>5574</v>
      </c>
      <c r="D83" s="14" t="s">
        <v>5575</v>
      </c>
      <c r="E83" s="14" t="s">
        <v>5576</v>
      </c>
      <c r="F83" s="14" t="s">
        <v>4414</v>
      </c>
      <c r="G83" s="14" t="s">
        <v>5242</v>
      </c>
      <c r="H83" s="14" t="s">
        <v>26</v>
      </c>
      <c r="I83" s="17" t="s">
        <v>5577</v>
      </c>
      <c r="J83" s="17">
        <v>670950</v>
      </c>
      <c r="K83" s="65" t="s">
        <v>5578</v>
      </c>
      <c r="L83" s="65" t="s">
        <v>5579</v>
      </c>
      <c r="M83" s="14" t="s">
        <v>137</v>
      </c>
      <c r="N83" s="14" t="s">
        <v>5580</v>
      </c>
      <c r="O83" s="65"/>
      <c r="P83" s="17"/>
      <c r="Q83" s="17"/>
      <c r="R83" s="17"/>
      <c r="S83" s="17">
        <v>670950</v>
      </c>
      <c r="T83" s="523">
        <f>J83-P83-S83</f>
      </c>
      <c r="U83" s="293">
        <v>45716</v>
      </c>
      <c r="V83" s="14" t="s">
        <v>1718</v>
      </c>
      <c r="W83" s="65"/>
      <c r="X83" s="3"/>
      <c r="Y83" s="3"/>
    </row>
    <row x14ac:dyDescent="0.25" r="84" customHeight="1" ht="20.25">
      <c r="A84" s="531">
        <v>45708</v>
      </c>
      <c r="B84" s="14" t="s">
        <v>22</v>
      </c>
      <c r="C84" s="14" t="s">
        <v>5581</v>
      </c>
      <c r="D84" s="14" t="s">
        <v>23</v>
      </c>
      <c r="E84" s="14" t="s">
        <v>5582</v>
      </c>
      <c r="F84" s="14" t="s">
        <v>194</v>
      </c>
      <c r="G84" s="14" t="s">
        <v>4202</v>
      </c>
      <c r="H84" s="14" t="s">
        <v>26</v>
      </c>
      <c r="I84" s="17" t="s">
        <v>4713</v>
      </c>
      <c r="J84" s="17">
        <v>50000</v>
      </c>
      <c r="K84" s="65" t="s">
        <v>5583</v>
      </c>
      <c r="L84" s="65" t="s">
        <v>5584</v>
      </c>
      <c r="M84" s="14" t="s">
        <v>22</v>
      </c>
      <c r="N84" s="14" t="s">
        <v>5585</v>
      </c>
      <c r="O84" s="65" t="s">
        <v>251</v>
      </c>
      <c r="P84" s="17"/>
      <c r="Q84" s="17"/>
      <c r="R84" s="17"/>
      <c r="S84" s="17">
        <v>50000</v>
      </c>
      <c r="T84" s="523">
        <f>J84-P84-S84</f>
      </c>
      <c r="U84" s="293">
        <v>45757</v>
      </c>
      <c r="V84" s="14" t="s">
        <v>2122</v>
      </c>
      <c r="W84" s="65"/>
      <c r="X84" s="3"/>
      <c r="Y84" s="3"/>
    </row>
    <row x14ac:dyDescent="0.25" r="85" customHeight="1" ht="19.5">
      <c r="A85" s="531">
        <v>45708</v>
      </c>
      <c r="B85" s="99" t="s">
        <v>22</v>
      </c>
      <c r="C85" s="99" t="s">
        <v>5586</v>
      </c>
      <c r="D85" s="99" t="s">
        <v>23</v>
      </c>
      <c r="E85" s="99" t="s">
        <v>5587</v>
      </c>
      <c r="F85" s="99" t="s">
        <v>548</v>
      </c>
      <c r="G85" s="99" t="s">
        <v>5588</v>
      </c>
      <c r="H85" s="99" t="s">
        <v>26</v>
      </c>
      <c r="I85" s="114" t="s">
        <v>5589</v>
      </c>
      <c r="J85" s="114">
        <v>520950</v>
      </c>
      <c r="K85" s="100" t="s">
        <v>5590</v>
      </c>
      <c r="L85" s="100" t="s">
        <v>5591</v>
      </c>
      <c r="M85" s="99" t="s">
        <v>22</v>
      </c>
      <c r="N85" s="99" t="s">
        <v>5592</v>
      </c>
      <c r="O85" s="100"/>
      <c r="P85" s="114"/>
      <c r="Q85" s="114"/>
      <c r="R85" s="114"/>
      <c r="S85" s="114">
        <v>517352</v>
      </c>
      <c r="T85" s="523">
        <f>J85-P85-S85</f>
      </c>
      <c r="U85" s="530">
        <v>45742</v>
      </c>
      <c r="V85" s="99" t="s">
        <v>2122</v>
      </c>
      <c r="W85" s="100"/>
      <c r="X85" s="3"/>
      <c r="Y85" s="3"/>
    </row>
    <row x14ac:dyDescent="0.25" r="86" customHeight="1" ht="19.5">
      <c r="A86" s="531">
        <v>45708</v>
      </c>
      <c r="B86" s="99" t="s">
        <v>82</v>
      </c>
      <c r="C86" s="99" t="s">
        <v>647</v>
      </c>
      <c r="D86" s="99" t="s">
        <v>576</v>
      </c>
      <c r="E86" s="99" t="s">
        <v>648</v>
      </c>
      <c r="F86" s="99" t="s">
        <v>84</v>
      </c>
      <c r="G86" s="99" t="s">
        <v>649</v>
      </c>
      <c r="H86" s="99" t="s">
        <v>26</v>
      </c>
      <c r="I86" s="114" t="s">
        <v>5593</v>
      </c>
      <c r="J86" s="114">
        <v>66500</v>
      </c>
      <c r="K86" s="100" t="s">
        <v>650</v>
      </c>
      <c r="L86" s="100" t="s">
        <v>5594</v>
      </c>
      <c r="M86" s="99" t="s">
        <v>86</v>
      </c>
      <c r="N86" s="99" t="s">
        <v>651</v>
      </c>
      <c r="O86" s="100"/>
      <c r="P86" s="114"/>
      <c r="Q86" s="114"/>
      <c r="R86" s="114"/>
      <c r="S86" s="114">
        <v>66500</v>
      </c>
      <c r="T86" s="523">
        <f>J86-P86-S86</f>
      </c>
      <c r="U86" s="530">
        <v>45789</v>
      </c>
      <c r="V86" s="99" t="s">
        <v>2216</v>
      </c>
      <c r="W86" s="100"/>
      <c r="X86" s="3"/>
      <c r="Y86" s="3"/>
    </row>
    <row x14ac:dyDescent="0.25" r="87" customHeight="1" ht="19.5">
      <c r="A87" s="529">
        <v>45708</v>
      </c>
      <c r="B87" s="99" t="s">
        <v>46</v>
      </c>
      <c r="C87" s="99" t="s">
        <v>5595</v>
      </c>
      <c r="D87" s="99" t="s">
        <v>5596</v>
      </c>
      <c r="E87" s="99" t="s">
        <v>5597</v>
      </c>
      <c r="F87" s="99" t="s">
        <v>24</v>
      </c>
      <c r="G87" s="99" t="s">
        <v>5598</v>
      </c>
      <c r="H87" s="99" t="s">
        <v>26</v>
      </c>
      <c r="I87" s="114" t="s">
        <v>5599</v>
      </c>
      <c r="J87" s="114">
        <v>5371300</v>
      </c>
      <c r="K87" s="100" t="s">
        <v>5600</v>
      </c>
      <c r="L87" s="100" t="s">
        <v>5601</v>
      </c>
      <c r="M87" s="99" t="s">
        <v>50</v>
      </c>
      <c r="N87" s="99" t="s">
        <v>5602</v>
      </c>
      <c r="O87" s="114">
        <v>1</v>
      </c>
      <c r="P87" s="114"/>
      <c r="Q87" s="114"/>
      <c r="R87" s="114"/>
      <c r="S87" s="114">
        <v>5371300</v>
      </c>
      <c r="T87" s="523">
        <f>J87-P87-S87</f>
      </c>
      <c r="U87" s="530">
        <v>45762</v>
      </c>
      <c r="V87" s="99" t="s">
        <v>2216</v>
      </c>
      <c r="W87" s="100" t="s">
        <v>4954</v>
      </c>
      <c r="X87" s="3"/>
      <c r="Y87" s="3"/>
    </row>
    <row x14ac:dyDescent="0.25" r="88" customHeight="1" ht="19.5">
      <c r="A88" s="529">
        <v>45709</v>
      </c>
      <c r="B88" s="99" t="s">
        <v>82</v>
      </c>
      <c r="C88" s="99" t="s">
        <v>653</v>
      </c>
      <c r="D88" s="99" t="s">
        <v>654</v>
      </c>
      <c r="E88" s="99" t="s">
        <v>655</v>
      </c>
      <c r="F88" s="99" t="s">
        <v>48</v>
      </c>
      <c r="G88" s="99" t="s">
        <v>656</v>
      </c>
      <c r="H88" s="99" t="s">
        <v>26</v>
      </c>
      <c r="I88" s="114" t="s">
        <v>5603</v>
      </c>
      <c r="J88" s="114">
        <v>200900</v>
      </c>
      <c r="K88" s="100" t="s">
        <v>657</v>
      </c>
      <c r="L88" s="100" t="s">
        <v>5604</v>
      </c>
      <c r="M88" s="99" t="s">
        <v>86</v>
      </c>
      <c r="N88" s="99" t="s">
        <v>658</v>
      </c>
      <c r="O88" s="100"/>
      <c r="P88" s="114"/>
      <c r="Q88" s="114"/>
      <c r="R88" s="114"/>
      <c r="S88" s="114">
        <v>200900</v>
      </c>
      <c r="T88" s="523">
        <f>J88-P88-S88</f>
      </c>
      <c r="U88" s="530">
        <v>45763</v>
      </c>
      <c r="V88" s="99" t="s">
        <v>2216</v>
      </c>
      <c r="W88" s="100" t="s">
        <v>4954</v>
      </c>
      <c r="X88" s="3"/>
      <c r="Y88" s="3"/>
    </row>
    <row x14ac:dyDescent="0.25" r="89" customHeight="1" ht="19.5">
      <c r="A89" s="531">
        <v>45709</v>
      </c>
      <c r="B89" s="14" t="s">
        <v>106</v>
      </c>
      <c r="C89" s="14" t="s">
        <v>5605</v>
      </c>
      <c r="D89" s="14" t="s">
        <v>1507</v>
      </c>
      <c r="E89" s="14" t="s">
        <v>5606</v>
      </c>
      <c r="F89" s="14" t="s">
        <v>5366</v>
      </c>
      <c r="G89" s="14" t="s">
        <v>5367</v>
      </c>
      <c r="H89" s="14" t="s">
        <v>26</v>
      </c>
      <c r="I89" s="17" t="s">
        <v>5607</v>
      </c>
      <c r="J89" s="17">
        <v>827120</v>
      </c>
      <c r="K89" s="65" t="s">
        <v>5608</v>
      </c>
      <c r="L89" s="65" t="s">
        <v>5609</v>
      </c>
      <c r="M89" s="14" t="s">
        <v>50</v>
      </c>
      <c r="N89" s="14" t="s">
        <v>5610</v>
      </c>
      <c r="O89" s="17">
        <v>4</v>
      </c>
      <c r="P89" s="17"/>
      <c r="Q89" s="17"/>
      <c r="R89" s="17"/>
      <c r="S89" s="17">
        <v>855920</v>
      </c>
      <c r="T89" s="523">
        <f>J89-P89-S89</f>
      </c>
      <c r="U89" s="293">
        <v>45708</v>
      </c>
      <c r="V89" s="14" t="s">
        <v>2216</v>
      </c>
      <c r="W89" s="65" t="s">
        <v>5611</v>
      </c>
      <c r="X89" s="3"/>
      <c r="Y89" s="3"/>
    </row>
    <row x14ac:dyDescent="0.25" r="90" customHeight="1" ht="19.5">
      <c r="A90" s="529">
        <v>45709</v>
      </c>
      <c r="B90" s="99" t="s">
        <v>22</v>
      </c>
      <c r="C90" s="99" t="s">
        <v>5595</v>
      </c>
      <c r="D90" s="99" t="s">
        <v>5612</v>
      </c>
      <c r="E90" s="99" t="s">
        <v>5613</v>
      </c>
      <c r="F90" s="99" t="s">
        <v>548</v>
      </c>
      <c r="G90" s="99" t="s">
        <v>478</v>
      </c>
      <c r="H90" s="99" t="s">
        <v>26</v>
      </c>
      <c r="I90" s="114"/>
      <c r="J90" s="114">
        <v>374950</v>
      </c>
      <c r="K90" s="100" t="s">
        <v>5614</v>
      </c>
      <c r="L90" s="100" t="s">
        <v>5615</v>
      </c>
      <c r="M90" s="99" t="s">
        <v>22</v>
      </c>
      <c r="N90" s="99" t="s">
        <v>5616</v>
      </c>
      <c r="O90" s="100"/>
      <c r="P90" s="114"/>
      <c r="Q90" s="114"/>
      <c r="R90" s="114"/>
      <c r="S90" s="272">
        <v>371352</v>
      </c>
      <c r="T90" s="541">
        <f>J90-P90-S90</f>
      </c>
      <c r="U90" s="530">
        <v>45742</v>
      </c>
      <c r="V90" s="99" t="s">
        <v>2122</v>
      </c>
      <c r="W90" s="100"/>
      <c r="X90" s="3"/>
      <c r="Y90" s="3"/>
    </row>
    <row x14ac:dyDescent="0.25" r="91" customHeight="1" ht="19.5">
      <c r="A91" s="531">
        <v>45709</v>
      </c>
      <c r="B91" s="14" t="s">
        <v>22</v>
      </c>
      <c r="C91" s="14" t="s">
        <v>5595</v>
      </c>
      <c r="D91" s="14" t="s">
        <v>5612</v>
      </c>
      <c r="E91" s="14" t="s">
        <v>5613</v>
      </c>
      <c r="F91" s="14" t="s">
        <v>548</v>
      </c>
      <c r="G91" s="14" t="s">
        <v>5617</v>
      </c>
      <c r="H91" s="14" t="s">
        <v>26</v>
      </c>
      <c r="I91" s="17"/>
      <c r="J91" s="17"/>
      <c r="K91" s="17"/>
      <c r="L91" s="65" t="s">
        <v>4713</v>
      </c>
      <c r="M91" s="14" t="s">
        <v>22</v>
      </c>
      <c r="N91" s="14" t="s">
        <v>5616</v>
      </c>
      <c r="O91" s="65"/>
      <c r="P91" s="17"/>
      <c r="Q91" s="17"/>
      <c r="R91" s="17"/>
      <c r="S91" s="273"/>
      <c r="T91" s="544"/>
      <c r="U91" s="293">
        <v>45742</v>
      </c>
      <c r="V91" s="14" t="s">
        <v>2122</v>
      </c>
      <c r="W91" s="65"/>
      <c r="X91" s="3"/>
      <c r="Y91" s="3"/>
    </row>
    <row x14ac:dyDescent="0.25" r="92" customHeight="1" ht="19.5">
      <c r="A92" s="529">
        <v>45709</v>
      </c>
      <c r="B92" s="14" t="s">
        <v>123</v>
      </c>
      <c r="C92" s="14" t="s">
        <v>5618</v>
      </c>
      <c r="D92" s="14" t="s">
        <v>5619</v>
      </c>
      <c r="E92" s="14" t="s">
        <v>5620</v>
      </c>
      <c r="F92" s="14" t="s">
        <v>5621</v>
      </c>
      <c r="G92" s="14" t="s">
        <v>5622</v>
      </c>
      <c r="H92" s="14" t="s">
        <v>76</v>
      </c>
      <c r="I92" s="17"/>
      <c r="J92" s="17">
        <v>700100</v>
      </c>
      <c r="K92" s="65" t="s">
        <v>5623</v>
      </c>
      <c r="L92" s="65" t="s">
        <v>5624</v>
      </c>
      <c r="M92" s="14" t="s">
        <v>187</v>
      </c>
      <c r="N92" s="14" t="s">
        <v>5625</v>
      </c>
      <c r="O92" s="65"/>
      <c r="P92" s="17"/>
      <c r="Q92" s="17"/>
      <c r="R92" s="17"/>
      <c r="S92" s="17">
        <v>700100</v>
      </c>
      <c r="T92" s="523">
        <f>J92-P92-S92</f>
      </c>
      <c r="U92" s="293">
        <v>45709</v>
      </c>
      <c r="V92" s="14" t="s">
        <v>1718</v>
      </c>
      <c r="W92" s="65" t="s">
        <v>1663</v>
      </c>
      <c r="X92" s="3"/>
      <c r="Y92" s="3"/>
    </row>
    <row x14ac:dyDescent="0.25" r="93" customHeight="1" ht="19.5">
      <c r="A93" s="531">
        <v>45709</v>
      </c>
      <c r="B93" s="14" t="s">
        <v>22</v>
      </c>
      <c r="C93" s="14" t="s">
        <v>5595</v>
      </c>
      <c r="D93" s="14" t="s">
        <v>485</v>
      </c>
      <c r="E93" s="14" t="s">
        <v>5626</v>
      </c>
      <c r="F93" s="14" t="s">
        <v>548</v>
      </c>
      <c r="G93" s="14" t="s">
        <v>5627</v>
      </c>
      <c r="H93" s="14" t="s">
        <v>26</v>
      </c>
      <c r="I93" s="17"/>
      <c r="J93" s="17">
        <v>60000</v>
      </c>
      <c r="K93" s="65" t="s">
        <v>5583</v>
      </c>
      <c r="L93" s="65" t="s">
        <v>5583</v>
      </c>
      <c r="M93" s="14" t="s">
        <v>22</v>
      </c>
      <c r="N93" s="14" t="s">
        <v>5628</v>
      </c>
      <c r="O93" s="65" t="s">
        <v>251</v>
      </c>
      <c r="P93" s="17"/>
      <c r="Q93" s="17"/>
      <c r="R93" s="17"/>
      <c r="S93" s="17">
        <v>60000</v>
      </c>
      <c r="T93" s="523">
        <f>J93-P93-S93</f>
      </c>
      <c r="U93" s="293">
        <v>45742</v>
      </c>
      <c r="V93" s="14" t="s">
        <v>2122</v>
      </c>
      <c r="W93" s="65"/>
      <c r="X93" s="3"/>
      <c r="Y93" s="3"/>
    </row>
    <row x14ac:dyDescent="0.25" r="94" customHeight="1" ht="19.5">
      <c r="A94" s="529">
        <v>45709</v>
      </c>
      <c r="B94" s="99" t="s">
        <v>82</v>
      </c>
      <c r="C94" s="99" t="s">
        <v>659</v>
      </c>
      <c r="D94" s="99" t="s">
        <v>546</v>
      </c>
      <c r="E94" s="99"/>
      <c r="F94" s="99" t="s">
        <v>548</v>
      </c>
      <c r="G94" s="99" t="s">
        <v>660</v>
      </c>
      <c r="H94" s="99" t="s">
        <v>26</v>
      </c>
      <c r="I94" s="114"/>
      <c r="J94" s="114">
        <v>105950</v>
      </c>
      <c r="K94" s="100" t="s">
        <v>661</v>
      </c>
      <c r="L94" s="100" t="s">
        <v>5629</v>
      </c>
      <c r="M94" s="99" t="s">
        <v>86</v>
      </c>
      <c r="N94" s="99" t="s">
        <v>662</v>
      </c>
      <c r="O94" s="100"/>
      <c r="P94" s="114"/>
      <c r="Q94" s="114"/>
      <c r="R94" s="114"/>
      <c r="S94" s="114">
        <v>105950</v>
      </c>
      <c r="T94" s="523">
        <f>J94-P94-S94</f>
      </c>
      <c r="U94" s="530">
        <v>45742</v>
      </c>
      <c r="V94" s="99" t="s">
        <v>2122</v>
      </c>
      <c r="W94" s="100"/>
      <c r="X94" s="3"/>
      <c r="Y94" s="3"/>
    </row>
    <row x14ac:dyDescent="0.25" r="95" customHeight="1" ht="19.5">
      <c r="A95" s="531">
        <v>45710</v>
      </c>
      <c r="B95" s="99" t="s">
        <v>72</v>
      </c>
      <c r="C95" s="99" t="s">
        <v>5595</v>
      </c>
      <c r="D95" s="99" t="s">
        <v>5630</v>
      </c>
      <c r="E95" s="99" t="s">
        <v>5631</v>
      </c>
      <c r="F95" s="99" t="s">
        <v>548</v>
      </c>
      <c r="G95" s="99" t="s">
        <v>478</v>
      </c>
      <c r="H95" s="99" t="s">
        <v>26</v>
      </c>
      <c r="I95" s="114" t="s">
        <v>5632</v>
      </c>
      <c r="J95" s="114">
        <v>598950</v>
      </c>
      <c r="K95" s="100" t="s">
        <v>5633</v>
      </c>
      <c r="L95" s="100" t="s">
        <v>5634</v>
      </c>
      <c r="M95" s="99" t="s">
        <v>50</v>
      </c>
      <c r="N95" s="99" t="s">
        <v>5635</v>
      </c>
      <c r="O95" s="114">
        <v>1</v>
      </c>
      <c r="P95" s="114"/>
      <c r="Q95" s="114"/>
      <c r="R95" s="114"/>
      <c r="S95" s="494">
        <v>692504</v>
      </c>
      <c r="T95" s="541">
        <f>J95+J96-P95-S95</f>
      </c>
      <c r="U95" s="569">
        <v>45742</v>
      </c>
      <c r="V95" s="545" t="s">
        <v>2122</v>
      </c>
      <c r="W95" s="100"/>
      <c r="X95" s="3"/>
      <c r="Y95" s="3"/>
    </row>
    <row x14ac:dyDescent="0.25" r="96" customHeight="1" ht="19.5">
      <c r="A96" s="531">
        <v>45710</v>
      </c>
      <c r="B96" s="99" t="s">
        <v>72</v>
      </c>
      <c r="C96" s="99" t="s">
        <v>5595</v>
      </c>
      <c r="D96" s="99" t="s">
        <v>5630</v>
      </c>
      <c r="E96" s="99"/>
      <c r="F96" s="99" t="s">
        <v>548</v>
      </c>
      <c r="G96" s="99" t="s">
        <v>5617</v>
      </c>
      <c r="H96" s="99" t="s">
        <v>26</v>
      </c>
      <c r="I96" s="114" t="s">
        <v>5636</v>
      </c>
      <c r="J96" s="114">
        <v>98950</v>
      </c>
      <c r="K96" s="100" t="s">
        <v>5637</v>
      </c>
      <c r="L96" s="100" t="s">
        <v>5638</v>
      </c>
      <c r="M96" s="99" t="s">
        <v>50</v>
      </c>
      <c r="N96" s="99" t="s">
        <v>5639</v>
      </c>
      <c r="O96" s="114">
        <v>1</v>
      </c>
      <c r="P96" s="114"/>
      <c r="Q96" s="114"/>
      <c r="R96" s="114"/>
      <c r="S96" s="151"/>
      <c r="T96" s="544"/>
      <c r="U96" s="546"/>
      <c r="V96" s="547"/>
      <c r="W96" s="100"/>
      <c r="X96" s="3"/>
      <c r="Y96" s="3"/>
    </row>
    <row x14ac:dyDescent="0.25" r="97" customHeight="1" ht="19.5">
      <c r="A97" s="531">
        <v>45710</v>
      </c>
      <c r="B97" s="99" t="s">
        <v>106</v>
      </c>
      <c r="C97" s="99" t="s">
        <v>5640</v>
      </c>
      <c r="D97" s="99" t="s">
        <v>5641</v>
      </c>
      <c r="E97" s="99" t="s">
        <v>5642</v>
      </c>
      <c r="F97" s="99" t="s">
        <v>533</v>
      </c>
      <c r="G97" s="99" t="s">
        <v>5000</v>
      </c>
      <c r="H97" s="99" t="s">
        <v>26</v>
      </c>
      <c r="I97" s="114"/>
      <c r="J97" s="114">
        <v>198000</v>
      </c>
      <c r="K97" s="100" t="s">
        <v>4713</v>
      </c>
      <c r="L97" s="100" t="s">
        <v>5643</v>
      </c>
      <c r="M97" s="99" t="s">
        <v>50</v>
      </c>
      <c r="N97" s="99" t="s">
        <v>5644</v>
      </c>
      <c r="O97" s="100" t="s">
        <v>251</v>
      </c>
      <c r="P97" s="114"/>
      <c r="Q97" s="114"/>
      <c r="R97" s="114"/>
      <c r="S97" s="17">
        <v>198000</v>
      </c>
      <c r="T97" s="69">
        <f>J97-P97-S97</f>
      </c>
      <c r="U97" s="293">
        <v>45744</v>
      </c>
      <c r="V97" s="14" t="s">
        <v>2216</v>
      </c>
      <c r="W97" s="100" t="s">
        <v>5308</v>
      </c>
      <c r="X97" s="3"/>
      <c r="Y97" s="3"/>
    </row>
    <row x14ac:dyDescent="0.25" r="98" customHeight="1" ht="19.5">
      <c r="A98" s="529">
        <v>45710</v>
      </c>
      <c r="B98" s="99" t="s">
        <v>72</v>
      </c>
      <c r="C98" s="99" t="s">
        <v>5645</v>
      </c>
      <c r="D98" s="99" t="s">
        <v>448</v>
      </c>
      <c r="E98" s="99" t="s">
        <v>5646</v>
      </c>
      <c r="F98" s="99" t="s">
        <v>5170</v>
      </c>
      <c r="G98" s="99" t="s">
        <v>5171</v>
      </c>
      <c r="H98" s="99" t="s">
        <v>26</v>
      </c>
      <c r="I98" s="114" t="s">
        <v>5391</v>
      </c>
      <c r="J98" s="114">
        <v>508900</v>
      </c>
      <c r="K98" s="100" t="s">
        <v>5647</v>
      </c>
      <c r="L98" s="100" t="s">
        <v>5648</v>
      </c>
      <c r="M98" s="99" t="s">
        <v>50</v>
      </c>
      <c r="N98" s="99" t="s">
        <v>5649</v>
      </c>
      <c r="O98" s="114">
        <v>4</v>
      </c>
      <c r="P98" s="114"/>
      <c r="Q98" s="570"/>
      <c r="R98" s="570"/>
      <c r="S98" s="272">
        <v>1017800</v>
      </c>
      <c r="T98" s="556">
        <f>J98+J99-S98</f>
      </c>
      <c r="U98" s="569">
        <v>45713</v>
      </c>
      <c r="V98" s="545" t="s">
        <v>1718</v>
      </c>
      <c r="W98" s="100"/>
      <c r="X98" s="3"/>
      <c r="Y98" s="3"/>
    </row>
    <row x14ac:dyDescent="0.25" r="99" customHeight="1" ht="19.5">
      <c r="A99" s="529">
        <v>45710</v>
      </c>
      <c r="B99" s="99" t="s">
        <v>72</v>
      </c>
      <c r="C99" s="99" t="s">
        <v>5645</v>
      </c>
      <c r="D99" s="99" t="s">
        <v>448</v>
      </c>
      <c r="E99" s="99" t="s">
        <v>5646</v>
      </c>
      <c r="F99" s="99" t="s">
        <v>5170</v>
      </c>
      <c r="G99" s="99" t="s">
        <v>5173</v>
      </c>
      <c r="H99" s="99" t="s">
        <v>26</v>
      </c>
      <c r="I99" s="114" t="s">
        <v>5650</v>
      </c>
      <c r="J99" s="114">
        <v>508900</v>
      </c>
      <c r="K99" s="100" t="s">
        <v>5647</v>
      </c>
      <c r="L99" s="100" t="s">
        <v>5648</v>
      </c>
      <c r="M99" s="99" t="s">
        <v>50</v>
      </c>
      <c r="N99" s="99" t="s">
        <v>5651</v>
      </c>
      <c r="O99" s="114">
        <v>4</v>
      </c>
      <c r="P99" s="114"/>
      <c r="Q99" s="114"/>
      <c r="R99" s="114"/>
      <c r="S99" s="273"/>
      <c r="T99" s="557"/>
      <c r="U99" s="546"/>
      <c r="V99" s="547"/>
      <c r="W99" s="100"/>
      <c r="X99" s="3"/>
      <c r="Y99" s="3"/>
    </row>
    <row x14ac:dyDescent="0.25" r="100" customHeight="1" ht="19.5">
      <c r="A100" s="529">
        <v>45711</v>
      </c>
      <c r="B100" s="99" t="s">
        <v>53</v>
      </c>
      <c r="C100" s="99" t="s">
        <v>5652</v>
      </c>
      <c r="D100" s="99" t="s">
        <v>54</v>
      </c>
      <c r="E100" s="99" t="s">
        <v>5653</v>
      </c>
      <c r="F100" s="99" t="s">
        <v>344</v>
      </c>
      <c r="G100" s="99" t="s">
        <v>598</v>
      </c>
      <c r="H100" s="99" t="s">
        <v>26</v>
      </c>
      <c r="I100" s="114" t="s">
        <v>5654</v>
      </c>
      <c r="J100" s="114">
        <v>590950</v>
      </c>
      <c r="K100" s="100" t="s">
        <v>5655</v>
      </c>
      <c r="L100" s="100" t="s">
        <v>5656</v>
      </c>
      <c r="M100" s="99" t="s">
        <v>137</v>
      </c>
      <c r="N100" s="99" t="s">
        <v>5657</v>
      </c>
      <c r="O100" s="100"/>
      <c r="P100" s="114"/>
      <c r="Q100" s="114"/>
      <c r="R100" s="114"/>
      <c r="S100" s="114">
        <v>590950</v>
      </c>
      <c r="T100" s="523">
        <f>J100-P100-S100</f>
      </c>
      <c r="U100" s="530">
        <v>45660</v>
      </c>
      <c r="V100" s="99" t="s">
        <v>2122</v>
      </c>
      <c r="W100" s="100"/>
      <c r="X100" s="3"/>
      <c r="Y100" s="3"/>
    </row>
    <row x14ac:dyDescent="0.25" r="101" customHeight="1" ht="19.5">
      <c r="A101" s="529">
        <v>45711</v>
      </c>
      <c r="B101" s="99" t="s">
        <v>897</v>
      </c>
      <c r="C101" s="99" t="s">
        <v>5658</v>
      </c>
      <c r="D101" s="99" t="s">
        <v>5659</v>
      </c>
      <c r="E101" s="99"/>
      <c r="F101" s="99" t="s">
        <v>84</v>
      </c>
      <c r="G101" s="99" t="s">
        <v>573</v>
      </c>
      <c r="H101" s="99" t="s">
        <v>26</v>
      </c>
      <c r="I101" s="114" t="s">
        <v>5660</v>
      </c>
      <c r="J101" s="114">
        <v>426900</v>
      </c>
      <c r="K101" s="100" t="s">
        <v>5661</v>
      </c>
      <c r="L101" s="100" t="s">
        <v>5662</v>
      </c>
      <c r="M101" s="99" t="s">
        <v>50</v>
      </c>
      <c r="N101" s="99" t="s">
        <v>5663</v>
      </c>
      <c r="O101" s="114">
        <v>2</v>
      </c>
      <c r="P101" s="114"/>
      <c r="Q101" s="114"/>
      <c r="R101" s="114"/>
      <c r="S101" s="114">
        <v>426900</v>
      </c>
      <c r="T101" s="523">
        <f>J101-P101-S101</f>
      </c>
      <c r="U101" s="530">
        <v>45754</v>
      </c>
      <c r="V101" s="99" t="s">
        <v>2216</v>
      </c>
      <c r="W101" s="100"/>
      <c r="X101" s="3"/>
      <c r="Y101" s="3"/>
    </row>
    <row x14ac:dyDescent="0.25" r="102" customHeight="1" ht="19.5">
      <c r="A102" s="529">
        <v>45712</v>
      </c>
      <c r="B102" s="99" t="s">
        <v>123</v>
      </c>
      <c r="C102" s="99" t="s">
        <v>5664</v>
      </c>
      <c r="D102" s="99" t="s">
        <v>5665</v>
      </c>
      <c r="E102" s="99"/>
      <c r="F102" s="99" t="s">
        <v>292</v>
      </c>
      <c r="G102" s="99" t="s">
        <v>5666</v>
      </c>
      <c r="H102" s="99" t="s">
        <v>26</v>
      </c>
      <c r="I102" s="114" t="s">
        <v>5667</v>
      </c>
      <c r="J102" s="114">
        <v>1730950</v>
      </c>
      <c r="K102" s="100" t="s">
        <v>5668</v>
      </c>
      <c r="L102" s="100" t="s">
        <v>5669</v>
      </c>
      <c r="M102" s="99" t="s">
        <v>50</v>
      </c>
      <c r="N102" s="99" t="s">
        <v>5670</v>
      </c>
      <c r="O102" s="100"/>
      <c r="P102" s="114"/>
      <c r="Q102" s="114"/>
      <c r="R102" s="114"/>
      <c r="S102" s="114"/>
      <c r="T102" s="523">
        <f>J102-P102-S102</f>
      </c>
      <c r="U102" s="530"/>
      <c r="V102" s="100"/>
      <c r="W102" s="100"/>
      <c r="X102" s="3"/>
      <c r="Y102" s="3"/>
    </row>
    <row x14ac:dyDescent="0.25" r="103" customHeight="1" ht="19.5">
      <c r="A103" s="529">
        <v>45712</v>
      </c>
      <c r="B103" s="99" t="s">
        <v>72</v>
      </c>
      <c r="C103" s="99" t="s">
        <v>5671</v>
      </c>
      <c r="D103" s="99" t="s">
        <v>5672</v>
      </c>
      <c r="E103" s="99"/>
      <c r="F103" s="99" t="s">
        <v>5673</v>
      </c>
      <c r="G103" s="99" t="s">
        <v>5674</v>
      </c>
      <c r="H103" s="99" t="s">
        <v>76</v>
      </c>
      <c r="I103" s="114" t="s">
        <v>5675</v>
      </c>
      <c r="J103" s="114">
        <v>470800</v>
      </c>
      <c r="K103" s="100" t="s">
        <v>5676</v>
      </c>
      <c r="L103" s="100" t="s">
        <v>5677</v>
      </c>
      <c r="M103" s="99" t="s">
        <v>50</v>
      </c>
      <c r="N103" s="99" t="s">
        <v>5678</v>
      </c>
      <c r="O103" s="114">
        <v>4</v>
      </c>
      <c r="P103" s="114"/>
      <c r="Q103" s="114"/>
      <c r="R103" s="114"/>
      <c r="S103" s="114">
        <v>470800</v>
      </c>
      <c r="T103" s="523">
        <f>J103-P103-S103</f>
      </c>
      <c r="U103" s="530">
        <v>45713</v>
      </c>
      <c r="V103" s="99" t="s">
        <v>1718</v>
      </c>
      <c r="W103" s="100"/>
      <c r="X103" s="3"/>
      <c r="Y103" s="3"/>
    </row>
    <row x14ac:dyDescent="0.25" r="104" customHeight="1" ht="19.5">
      <c r="A104" s="529">
        <v>45712</v>
      </c>
      <c r="B104" s="99" t="s">
        <v>82</v>
      </c>
      <c r="C104" s="99" t="s">
        <v>5679</v>
      </c>
      <c r="D104" s="99" t="s">
        <v>525</v>
      </c>
      <c r="E104" s="99"/>
      <c r="F104" s="99" t="s">
        <v>5680</v>
      </c>
      <c r="G104" s="99" t="s">
        <v>1921</v>
      </c>
      <c r="H104" s="99" t="s">
        <v>76</v>
      </c>
      <c r="I104" s="114"/>
      <c r="J104" s="114">
        <v>136950</v>
      </c>
      <c r="K104" s="100" t="s">
        <v>5681</v>
      </c>
      <c r="L104" s="100" t="s">
        <v>5682</v>
      </c>
      <c r="M104" s="99" t="s">
        <v>5683</v>
      </c>
      <c r="N104" s="99" t="s">
        <v>5684</v>
      </c>
      <c r="O104" s="100"/>
      <c r="P104" s="114"/>
      <c r="Q104" s="114"/>
      <c r="R104" s="114"/>
      <c r="S104" s="114">
        <v>136950</v>
      </c>
      <c r="T104" s="523">
        <f>J104-P104-S104</f>
      </c>
      <c r="U104" s="530">
        <v>45882</v>
      </c>
      <c r="V104" s="99" t="s">
        <v>2122</v>
      </c>
      <c r="W104" s="100"/>
      <c r="X104" s="3"/>
      <c r="Y104" s="3"/>
    </row>
    <row x14ac:dyDescent="0.25" r="105" customHeight="1" ht="19.5">
      <c r="A105" s="529">
        <v>45712</v>
      </c>
      <c r="B105" s="99" t="s">
        <v>82</v>
      </c>
      <c r="C105" s="99" t="s">
        <v>5679</v>
      </c>
      <c r="D105" s="99" t="s">
        <v>525</v>
      </c>
      <c r="E105" s="99"/>
      <c r="F105" s="99" t="s">
        <v>5680</v>
      </c>
      <c r="G105" s="99" t="s">
        <v>5685</v>
      </c>
      <c r="H105" s="99" t="s">
        <v>76</v>
      </c>
      <c r="I105" s="114"/>
      <c r="J105" s="114">
        <v>136950</v>
      </c>
      <c r="K105" s="100" t="s">
        <v>5681</v>
      </c>
      <c r="L105" s="100" t="s">
        <v>5682</v>
      </c>
      <c r="M105" s="99" t="s">
        <v>5683</v>
      </c>
      <c r="N105" s="99" t="s">
        <v>5684</v>
      </c>
      <c r="O105" s="100"/>
      <c r="P105" s="114"/>
      <c r="Q105" s="114"/>
      <c r="R105" s="114"/>
      <c r="S105" s="114">
        <v>136950</v>
      </c>
      <c r="T105" s="523">
        <f>J105-P105-S105</f>
      </c>
      <c r="U105" s="530">
        <v>45882</v>
      </c>
      <c r="V105" s="99" t="s">
        <v>2122</v>
      </c>
      <c r="W105" s="100"/>
      <c r="X105" s="3"/>
      <c r="Y105" s="3"/>
    </row>
    <row x14ac:dyDescent="0.25" r="106" customHeight="1" ht="19.5">
      <c r="A106" s="529">
        <v>45712</v>
      </c>
      <c r="B106" s="99" t="s">
        <v>5686</v>
      </c>
      <c r="C106" s="99" t="s">
        <v>5687</v>
      </c>
      <c r="D106" s="99" t="s">
        <v>5688</v>
      </c>
      <c r="E106" s="99" t="s">
        <v>5689</v>
      </c>
      <c r="F106" s="99" t="s">
        <v>24</v>
      </c>
      <c r="G106" s="99" t="s">
        <v>5598</v>
      </c>
      <c r="H106" s="99" t="s">
        <v>26</v>
      </c>
      <c r="I106" s="114"/>
      <c r="J106" s="114">
        <v>518300</v>
      </c>
      <c r="K106" s="100" t="s">
        <v>5690</v>
      </c>
      <c r="L106" s="100" t="s">
        <v>5691</v>
      </c>
      <c r="M106" s="99" t="s">
        <v>5686</v>
      </c>
      <c r="N106" s="99" t="s">
        <v>5692</v>
      </c>
      <c r="O106" s="100" t="s">
        <v>2979</v>
      </c>
      <c r="P106" s="114"/>
      <c r="Q106" s="114"/>
      <c r="R106" s="114"/>
      <c r="S106" s="114">
        <v>518300</v>
      </c>
      <c r="T106" s="523">
        <f>J106-P106-S106</f>
      </c>
      <c r="U106" s="530">
        <v>45762</v>
      </c>
      <c r="V106" s="99" t="s">
        <v>2216</v>
      </c>
      <c r="W106" s="100" t="s">
        <v>4954</v>
      </c>
      <c r="X106" s="3"/>
      <c r="Y106" s="3"/>
    </row>
    <row x14ac:dyDescent="0.25" r="107" customHeight="1" ht="19.5">
      <c r="A107" s="524">
        <v>45713</v>
      </c>
      <c r="B107" s="525" t="s">
        <v>46</v>
      </c>
      <c r="C107" s="525" t="s">
        <v>5640</v>
      </c>
      <c r="D107" s="525" t="s">
        <v>264</v>
      </c>
      <c r="E107" s="525" t="s">
        <v>5693</v>
      </c>
      <c r="F107" s="525" t="s">
        <v>24</v>
      </c>
      <c r="G107" s="525" t="s">
        <v>5598</v>
      </c>
      <c r="H107" s="525" t="s">
        <v>26</v>
      </c>
      <c r="I107" s="526"/>
      <c r="J107" s="526">
        <v>-178200</v>
      </c>
      <c r="K107" s="527" t="s">
        <v>4713</v>
      </c>
      <c r="L107" s="527" t="s">
        <v>5694</v>
      </c>
      <c r="M107" s="525" t="s">
        <v>46</v>
      </c>
      <c r="N107" s="525" t="s">
        <v>5478</v>
      </c>
      <c r="O107" s="527" t="s">
        <v>4895</v>
      </c>
      <c r="P107" s="526"/>
      <c r="Q107" s="526"/>
      <c r="R107" s="526"/>
      <c r="S107" s="526"/>
      <c r="T107" s="526">
        <f>J107-P107-S107</f>
      </c>
      <c r="U107" s="528"/>
      <c r="V107" s="527"/>
      <c r="W107" s="527"/>
      <c r="X107" s="3"/>
      <c r="Y107" s="3"/>
    </row>
    <row x14ac:dyDescent="0.25" r="108" customHeight="1" ht="19.5">
      <c r="A108" s="529">
        <v>45713</v>
      </c>
      <c r="B108" s="99" t="s">
        <v>111</v>
      </c>
      <c r="C108" s="99" t="s">
        <v>5695</v>
      </c>
      <c r="D108" s="99" t="s">
        <v>4403</v>
      </c>
      <c r="E108" s="99"/>
      <c r="F108" s="99" t="s">
        <v>665</v>
      </c>
      <c r="G108" s="99" t="s">
        <v>671</v>
      </c>
      <c r="H108" s="99" t="s">
        <v>26</v>
      </c>
      <c r="I108" s="114" t="s">
        <v>5696</v>
      </c>
      <c r="J108" s="114">
        <v>449950</v>
      </c>
      <c r="K108" s="100" t="s">
        <v>5697</v>
      </c>
      <c r="L108" s="100" t="s">
        <v>5698</v>
      </c>
      <c r="M108" s="99" t="s">
        <v>50</v>
      </c>
      <c r="N108" s="99" t="s">
        <v>5699</v>
      </c>
      <c r="O108" s="114">
        <v>1</v>
      </c>
      <c r="P108" s="114"/>
      <c r="Q108" s="114"/>
      <c r="R108" s="114"/>
      <c r="S108" s="114">
        <v>449950</v>
      </c>
      <c r="T108" s="523">
        <f>J108-P108-S108</f>
      </c>
      <c r="U108" s="496">
        <v>45757</v>
      </c>
      <c r="V108" s="495" t="s">
        <v>2122</v>
      </c>
      <c r="W108" s="100"/>
      <c r="X108" s="3"/>
      <c r="Y108" s="3"/>
    </row>
    <row x14ac:dyDescent="0.25" r="109" customHeight="1" ht="19.5">
      <c r="A109" s="522">
        <v>45713</v>
      </c>
      <c r="B109" s="99" t="s">
        <v>111</v>
      </c>
      <c r="C109" s="99" t="s">
        <v>5695</v>
      </c>
      <c r="D109" s="99" t="s">
        <v>4403</v>
      </c>
      <c r="E109" s="99"/>
      <c r="F109" s="99" t="s">
        <v>665</v>
      </c>
      <c r="G109" s="99" t="s">
        <v>5700</v>
      </c>
      <c r="H109" s="99" t="s">
        <v>26</v>
      </c>
      <c r="I109" s="114" t="s">
        <v>5696</v>
      </c>
      <c r="J109" s="114">
        <v>449950</v>
      </c>
      <c r="K109" s="100" t="s">
        <v>5697</v>
      </c>
      <c r="L109" s="100" t="s">
        <v>5698</v>
      </c>
      <c r="M109" s="99" t="s">
        <v>50</v>
      </c>
      <c r="N109" s="99" t="s">
        <v>5701</v>
      </c>
      <c r="O109" s="114">
        <v>1</v>
      </c>
      <c r="P109" s="114"/>
      <c r="Q109" s="114"/>
      <c r="R109" s="114"/>
      <c r="S109" s="114">
        <v>449950</v>
      </c>
      <c r="T109" s="523">
        <f>J109-P109-S109</f>
      </c>
      <c r="U109" s="498"/>
      <c r="V109" s="169"/>
      <c r="W109" s="100"/>
      <c r="X109" s="3"/>
      <c r="Y109" s="3"/>
    </row>
    <row x14ac:dyDescent="0.25" r="110" customHeight="1" ht="19.5">
      <c r="A110" s="529">
        <v>45713</v>
      </c>
      <c r="B110" s="99" t="s">
        <v>111</v>
      </c>
      <c r="C110" s="99" t="s">
        <v>5695</v>
      </c>
      <c r="D110" s="99" t="s">
        <v>4403</v>
      </c>
      <c r="E110" s="99"/>
      <c r="F110" s="99" t="s">
        <v>665</v>
      </c>
      <c r="G110" s="99" t="s">
        <v>666</v>
      </c>
      <c r="H110" s="99" t="s">
        <v>26</v>
      </c>
      <c r="I110" s="114" t="s">
        <v>5696</v>
      </c>
      <c r="J110" s="114">
        <v>449950</v>
      </c>
      <c r="K110" s="100" t="s">
        <v>5697</v>
      </c>
      <c r="L110" s="100" t="s">
        <v>5698</v>
      </c>
      <c r="M110" s="99" t="s">
        <v>50</v>
      </c>
      <c r="N110" s="99" t="s">
        <v>5702</v>
      </c>
      <c r="O110" s="114">
        <v>1</v>
      </c>
      <c r="P110" s="114"/>
      <c r="Q110" s="114"/>
      <c r="R110" s="114"/>
      <c r="S110" s="114">
        <v>449950</v>
      </c>
      <c r="T110" s="523">
        <f>J110-P110-S110</f>
      </c>
      <c r="U110" s="498"/>
      <c r="V110" s="169"/>
      <c r="W110" s="100"/>
      <c r="X110" s="3"/>
      <c r="Y110" s="3"/>
    </row>
    <row x14ac:dyDescent="0.25" r="111" customHeight="1" ht="19.5">
      <c r="A111" s="522">
        <v>45713</v>
      </c>
      <c r="B111" s="99" t="s">
        <v>111</v>
      </c>
      <c r="C111" s="99" t="s">
        <v>5695</v>
      </c>
      <c r="D111" s="99" t="s">
        <v>4403</v>
      </c>
      <c r="E111" s="99"/>
      <c r="F111" s="99" t="s">
        <v>665</v>
      </c>
      <c r="G111" s="99" t="s">
        <v>669</v>
      </c>
      <c r="H111" s="99" t="s">
        <v>26</v>
      </c>
      <c r="I111" s="114" t="s">
        <v>5696</v>
      </c>
      <c r="J111" s="114">
        <v>449950</v>
      </c>
      <c r="K111" s="100" t="s">
        <v>5697</v>
      </c>
      <c r="L111" s="100" t="s">
        <v>5698</v>
      </c>
      <c r="M111" s="99" t="s">
        <v>50</v>
      </c>
      <c r="N111" s="99" t="s">
        <v>5703</v>
      </c>
      <c r="O111" s="114">
        <v>1</v>
      </c>
      <c r="P111" s="114"/>
      <c r="Q111" s="114"/>
      <c r="R111" s="114"/>
      <c r="S111" s="114">
        <v>449950</v>
      </c>
      <c r="T111" s="523">
        <f>J111-P111-S111</f>
      </c>
      <c r="U111" s="498"/>
      <c r="V111" s="169"/>
      <c r="W111" s="100"/>
      <c r="X111" s="3"/>
      <c r="Y111" s="3"/>
    </row>
    <row x14ac:dyDescent="0.25" r="112" customHeight="1" ht="15.75">
      <c r="A112" s="529">
        <v>45713</v>
      </c>
      <c r="B112" s="99" t="s">
        <v>82</v>
      </c>
      <c r="C112" s="99" t="s">
        <v>664</v>
      </c>
      <c r="D112" s="99" t="s">
        <v>398</v>
      </c>
      <c r="E112" s="99"/>
      <c r="F112" s="99" t="s">
        <v>665</v>
      </c>
      <c r="G112" s="99" t="s">
        <v>666</v>
      </c>
      <c r="H112" s="99" t="s">
        <v>26</v>
      </c>
      <c r="I112" s="114"/>
      <c r="J112" s="114">
        <v>218900</v>
      </c>
      <c r="K112" s="100" t="s">
        <v>667</v>
      </c>
      <c r="L112" s="100" t="s">
        <v>5704</v>
      </c>
      <c r="M112" s="99" t="s">
        <v>86</v>
      </c>
      <c r="N112" s="99" t="s">
        <v>668</v>
      </c>
      <c r="O112" s="100"/>
      <c r="P112" s="114"/>
      <c r="Q112" s="114">
        <v>200200</v>
      </c>
      <c r="R112" s="114"/>
      <c r="S112" s="114"/>
      <c r="T112" s="523">
        <f>J112-P112-Q112-S112</f>
      </c>
      <c r="U112" s="500"/>
      <c r="V112" s="151"/>
      <c r="W112" s="100"/>
      <c r="X112" s="3"/>
      <c r="Y112" s="3"/>
    </row>
    <row x14ac:dyDescent="0.25" r="113" customHeight="1" ht="15.75">
      <c r="A113" s="522">
        <v>45713</v>
      </c>
      <c r="B113" s="99" t="s">
        <v>82</v>
      </c>
      <c r="C113" s="99" t="s">
        <v>664</v>
      </c>
      <c r="D113" s="99" t="s">
        <v>398</v>
      </c>
      <c r="E113" s="99"/>
      <c r="F113" s="99" t="s">
        <v>665</v>
      </c>
      <c r="G113" s="99" t="s">
        <v>669</v>
      </c>
      <c r="H113" s="99" t="s">
        <v>26</v>
      </c>
      <c r="I113" s="114"/>
      <c r="J113" s="114">
        <v>218900</v>
      </c>
      <c r="K113" s="100" t="s">
        <v>667</v>
      </c>
      <c r="L113" s="100" t="s">
        <v>5704</v>
      </c>
      <c r="M113" s="99" t="s">
        <v>86</v>
      </c>
      <c r="N113" s="99" t="s">
        <v>670</v>
      </c>
      <c r="O113" s="100"/>
      <c r="P113" s="114"/>
      <c r="Q113" s="114"/>
      <c r="R113" s="114"/>
      <c r="S113" s="114"/>
      <c r="T113" s="523">
        <f>J113-P113-S113</f>
      </c>
      <c r="U113" s="530"/>
      <c r="V113" s="100"/>
      <c r="W113" s="100"/>
      <c r="X113" s="3"/>
      <c r="Y113" s="3"/>
    </row>
    <row x14ac:dyDescent="0.25" r="114" customHeight="1" ht="15.75">
      <c r="A114" s="529">
        <v>45713</v>
      </c>
      <c r="B114" s="99" t="s">
        <v>82</v>
      </c>
      <c r="C114" s="99" t="s">
        <v>664</v>
      </c>
      <c r="D114" s="99" t="s">
        <v>398</v>
      </c>
      <c r="E114" s="99"/>
      <c r="F114" s="99" t="s">
        <v>665</v>
      </c>
      <c r="G114" s="99" t="s">
        <v>671</v>
      </c>
      <c r="H114" s="99" t="s">
        <v>26</v>
      </c>
      <c r="I114" s="114"/>
      <c r="J114" s="114">
        <v>218900</v>
      </c>
      <c r="K114" s="100" t="s">
        <v>667</v>
      </c>
      <c r="L114" s="100" t="s">
        <v>5704</v>
      </c>
      <c r="M114" s="99" t="s">
        <v>86</v>
      </c>
      <c r="N114" s="99" t="s">
        <v>672</v>
      </c>
      <c r="O114" s="100"/>
      <c r="P114" s="114"/>
      <c r="Q114" s="114"/>
      <c r="R114" s="114"/>
      <c r="S114" s="114"/>
      <c r="T114" s="523">
        <f>J114-P114-S114</f>
      </c>
      <c r="U114" s="530"/>
      <c r="V114" s="100"/>
      <c r="W114" s="100"/>
      <c r="X114" s="3"/>
      <c r="Y114" s="3"/>
    </row>
    <row x14ac:dyDescent="0.25" r="115" customHeight="1" ht="15.75">
      <c r="A115" s="529">
        <v>45714</v>
      </c>
      <c r="B115" s="99" t="s">
        <v>897</v>
      </c>
      <c r="C115" s="99" t="s">
        <v>5705</v>
      </c>
      <c r="D115" s="99" t="s">
        <v>398</v>
      </c>
      <c r="E115" s="99"/>
      <c r="F115" s="99" t="s">
        <v>665</v>
      </c>
      <c r="G115" s="99" t="s">
        <v>5700</v>
      </c>
      <c r="H115" s="99" t="s">
        <v>26</v>
      </c>
      <c r="I115" s="114"/>
      <c r="J115" s="114">
        <v>298950</v>
      </c>
      <c r="K115" s="100" t="s">
        <v>5706</v>
      </c>
      <c r="L115" s="100" t="s">
        <v>5707</v>
      </c>
      <c r="M115" s="99" t="s">
        <v>50</v>
      </c>
      <c r="N115" s="99" t="s">
        <v>5708</v>
      </c>
      <c r="O115" s="114">
        <v>1</v>
      </c>
      <c r="P115" s="114"/>
      <c r="Q115" s="114"/>
      <c r="R115" s="114"/>
      <c r="S115" s="114"/>
      <c r="T115" s="523">
        <f>J115-P115-S115</f>
      </c>
      <c r="U115" s="530"/>
      <c r="V115" s="100"/>
      <c r="W115" s="100"/>
      <c r="X115" s="3"/>
      <c r="Y115" s="3"/>
    </row>
    <row x14ac:dyDescent="0.25" r="116" customHeight="1" ht="15.75">
      <c r="A116" s="529">
        <v>45714</v>
      </c>
      <c r="B116" s="99" t="s">
        <v>82</v>
      </c>
      <c r="C116" s="99" t="s">
        <v>674</v>
      </c>
      <c r="D116" s="99" t="s">
        <v>624</v>
      </c>
      <c r="E116" s="99" t="s">
        <v>5709</v>
      </c>
      <c r="F116" s="99" t="s">
        <v>548</v>
      </c>
      <c r="G116" s="99" t="s">
        <v>675</v>
      </c>
      <c r="H116" s="99" t="s">
        <v>26</v>
      </c>
      <c r="I116" s="114"/>
      <c r="J116" s="114">
        <v>96950</v>
      </c>
      <c r="K116" s="100" t="s">
        <v>676</v>
      </c>
      <c r="L116" s="100" t="s">
        <v>5710</v>
      </c>
      <c r="M116" s="99" t="s">
        <v>86</v>
      </c>
      <c r="N116" s="99" t="s">
        <v>677</v>
      </c>
      <c r="O116" s="100"/>
      <c r="P116" s="114"/>
      <c r="Q116" s="114"/>
      <c r="R116" s="114"/>
      <c r="S116" s="114">
        <v>96051</v>
      </c>
      <c r="T116" s="523">
        <f>J116-P116-S116</f>
      </c>
      <c r="U116" s="530">
        <v>45742</v>
      </c>
      <c r="V116" s="99" t="s">
        <v>2122</v>
      </c>
      <c r="W116" s="100"/>
      <c r="X116" s="3"/>
      <c r="Y116" s="3"/>
    </row>
    <row x14ac:dyDescent="0.25" r="117" customHeight="1" ht="15.75">
      <c r="A117" s="529">
        <v>45714</v>
      </c>
      <c r="B117" s="99" t="s">
        <v>72</v>
      </c>
      <c r="C117" s="99" t="s">
        <v>674</v>
      </c>
      <c r="D117" s="99" t="s">
        <v>508</v>
      </c>
      <c r="E117" s="99" t="s">
        <v>5711</v>
      </c>
      <c r="F117" s="99" t="s">
        <v>548</v>
      </c>
      <c r="G117" s="99" t="s">
        <v>675</v>
      </c>
      <c r="H117" s="99" t="s">
        <v>26</v>
      </c>
      <c r="I117" s="114" t="s">
        <v>5712</v>
      </c>
      <c r="J117" s="114">
        <v>356950</v>
      </c>
      <c r="K117" s="100" t="s">
        <v>5713</v>
      </c>
      <c r="L117" s="100" t="s">
        <v>5714</v>
      </c>
      <c r="M117" s="99" t="s">
        <v>50</v>
      </c>
      <c r="N117" s="99" t="s">
        <v>5715</v>
      </c>
      <c r="O117" s="114">
        <v>1</v>
      </c>
      <c r="P117" s="114"/>
      <c r="Q117" s="114"/>
      <c r="R117" s="114"/>
      <c r="S117" s="114">
        <v>354252</v>
      </c>
      <c r="T117" s="523">
        <f>J117-P117-S117</f>
      </c>
      <c r="U117" s="530">
        <v>45742</v>
      </c>
      <c r="V117" s="99" t="s">
        <v>2122</v>
      </c>
      <c r="W117" s="100"/>
      <c r="X117" s="3"/>
      <c r="Y117" s="3"/>
    </row>
    <row x14ac:dyDescent="0.25" r="118" customHeight="1" ht="15.75">
      <c r="A118" s="529">
        <v>45714</v>
      </c>
      <c r="B118" s="99" t="s">
        <v>22</v>
      </c>
      <c r="C118" s="99" t="s">
        <v>5716</v>
      </c>
      <c r="D118" s="99" t="s">
        <v>2074</v>
      </c>
      <c r="E118" s="99" t="s">
        <v>5717</v>
      </c>
      <c r="F118" s="99" t="s">
        <v>194</v>
      </c>
      <c r="G118" s="99" t="s">
        <v>5408</v>
      </c>
      <c r="H118" s="99" t="s">
        <v>26</v>
      </c>
      <c r="I118" s="114"/>
      <c r="J118" s="114">
        <v>50000</v>
      </c>
      <c r="K118" s="100" t="s">
        <v>5583</v>
      </c>
      <c r="L118" s="100" t="s">
        <v>5584</v>
      </c>
      <c r="M118" s="99" t="s">
        <v>22</v>
      </c>
      <c r="N118" s="99" t="s">
        <v>5718</v>
      </c>
      <c r="O118" s="100"/>
      <c r="P118" s="114"/>
      <c r="Q118" s="114"/>
      <c r="R118" s="114"/>
      <c r="S118" s="114">
        <v>50000</v>
      </c>
      <c r="T118" s="523">
        <f>J118-P118-S118</f>
      </c>
      <c r="U118" s="530">
        <v>45757</v>
      </c>
      <c r="V118" s="99" t="s">
        <v>2122</v>
      </c>
      <c r="W118" s="100"/>
      <c r="X118" s="3"/>
      <c r="Y118" s="3"/>
    </row>
    <row x14ac:dyDescent="0.25" r="119" customHeight="1" ht="15.75">
      <c r="A119" s="529">
        <v>45714</v>
      </c>
      <c r="B119" s="99" t="s">
        <v>106</v>
      </c>
      <c r="C119" s="99" t="s">
        <v>5719</v>
      </c>
      <c r="D119" s="99" t="s">
        <v>54</v>
      </c>
      <c r="E119" s="99"/>
      <c r="F119" s="99" t="s">
        <v>5720</v>
      </c>
      <c r="G119" s="99" t="s">
        <v>5721</v>
      </c>
      <c r="H119" s="99" t="s">
        <v>76</v>
      </c>
      <c r="I119" s="114" t="s">
        <v>5722</v>
      </c>
      <c r="J119" s="114">
        <v>500100</v>
      </c>
      <c r="K119" s="100" t="s">
        <v>5723</v>
      </c>
      <c r="L119" s="100" t="s">
        <v>5724</v>
      </c>
      <c r="M119" s="99" t="s">
        <v>50</v>
      </c>
      <c r="N119" s="99" t="s">
        <v>5725</v>
      </c>
      <c r="O119" s="114">
        <v>4</v>
      </c>
      <c r="P119" s="114"/>
      <c r="Q119" s="114"/>
      <c r="R119" s="114"/>
      <c r="S119" s="114">
        <v>500100</v>
      </c>
      <c r="T119" s="523">
        <f>J119-P119-S119</f>
      </c>
      <c r="U119" s="530">
        <v>45715</v>
      </c>
      <c r="V119" s="99" t="s">
        <v>1718</v>
      </c>
      <c r="W119" s="100"/>
      <c r="X119" s="3"/>
      <c r="Y119" s="3"/>
    </row>
    <row x14ac:dyDescent="0.25" r="120" customHeight="1" ht="15.75">
      <c r="A120" s="512">
        <v>45714</v>
      </c>
      <c r="B120" s="513" t="s">
        <v>111</v>
      </c>
      <c r="C120" s="513" t="s">
        <v>4956</v>
      </c>
      <c r="D120" s="513" t="s">
        <v>5726</v>
      </c>
      <c r="E120" s="513"/>
      <c r="F120" s="513" t="s">
        <v>327</v>
      </c>
      <c r="G120" s="513" t="s">
        <v>328</v>
      </c>
      <c r="H120" s="513" t="s">
        <v>26</v>
      </c>
      <c r="I120" s="514" t="s">
        <v>5727</v>
      </c>
      <c r="J120" s="514">
        <v>36900</v>
      </c>
      <c r="K120" s="514">
        <v>36900</v>
      </c>
      <c r="L120" s="514">
        <v>36900</v>
      </c>
      <c r="M120" s="513" t="s">
        <v>50</v>
      </c>
      <c r="N120" s="513" t="s">
        <v>5728</v>
      </c>
      <c r="O120" s="514">
        <v>1</v>
      </c>
      <c r="P120" s="514"/>
      <c r="Q120" s="514"/>
      <c r="R120" s="514"/>
      <c r="S120" s="514"/>
      <c r="T120" s="514">
        <f>J120-P120-S120</f>
      </c>
      <c r="U120" s="516"/>
      <c r="V120" s="515"/>
      <c r="W120" s="515" t="s">
        <v>5729</v>
      </c>
      <c r="X120" s="3"/>
      <c r="Y120" s="3" t="s">
        <v>5730</v>
      </c>
    </row>
    <row x14ac:dyDescent="0.25" r="121" customHeight="1" ht="44.25">
      <c r="A121" s="529">
        <v>45715</v>
      </c>
      <c r="B121" s="99" t="s">
        <v>72</v>
      </c>
      <c r="C121" s="99" t="s">
        <v>5731</v>
      </c>
      <c r="D121" s="99" t="s">
        <v>448</v>
      </c>
      <c r="E121" s="99"/>
      <c r="F121" s="99" t="s">
        <v>5732</v>
      </c>
      <c r="G121" s="99" t="s">
        <v>5733</v>
      </c>
      <c r="H121" s="99" t="s">
        <v>26</v>
      </c>
      <c r="I121" s="114" t="s">
        <v>5734</v>
      </c>
      <c r="J121" s="114">
        <v>545950</v>
      </c>
      <c r="K121" s="100" t="s">
        <v>5735</v>
      </c>
      <c r="L121" s="100" t="s">
        <v>5736</v>
      </c>
      <c r="M121" s="99" t="s">
        <v>50</v>
      </c>
      <c r="N121" s="99" t="s">
        <v>5737</v>
      </c>
      <c r="O121" s="114">
        <v>4</v>
      </c>
      <c r="P121" s="100" t="s">
        <v>5738</v>
      </c>
      <c r="Q121" s="114">
        <v>200000</v>
      </c>
      <c r="R121" s="114"/>
      <c r="S121" s="114">
        <v>95950</v>
      </c>
      <c r="T121" s="523">
        <f>J121-P121-Q121-R121-S121</f>
      </c>
      <c r="U121" s="553" t="s">
        <v>5739</v>
      </c>
      <c r="V121" s="99" t="s">
        <v>1718</v>
      </c>
      <c r="W121" s="114" t="s">
        <v>5740</v>
      </c>
      <c r="X121" s="3"/>
      <c r="Y121" s="3"/>
    </row>
    <row x14ac:dyDescent="0.25" r="122" customHeight="1" ht="15.75">
      <c r="A122" s="529">
        <v>45715</v>
      </c>
      <c r="B122" s="99" t="s">
        <v>53</v>
      </c>
      <c r="C122" s="99" t="s">
        <v>5741</v>
      </c>
      <c r="D122" s="99" t="s">
        <v>282</v>
      </c>
      <c r="E122" s="99"/>
      <c r="F122" s="99" t="s">
        <v>344</v>
      </c>
      <c r="G122" s="99" t="s">
        <v>5742</v>
      </c>
      <c r="H122" s="99" t="s">
        <v>26</v>
      </c>
      <c r="I122" s="114" t="s">
        <v>5743</v>
      </c>
      <c r="J122" s="114">
        <v>485900</v>
      </c>
      <c r="K122" s="100" t="s">
        <v>5744</v>
      </c>
      <c r="L122" s="100" t="s">
        <v>5745</v>
      </c>
      <c r="M122" s="99" t="s">
        <v>137</v>
      </c>
      <c r="N122" s="99" t="s">
        <v>5746</v>
      </c>
      <c r="O122" s="100"/>
      <c r="P122" s="114"/>
      <c r="Q122" s="114">
        <v>6330</v>
      </c>
      <c r="R122" s="114"/>
      <c r="S122" s="114">
        <v>479570</v>
      </c>
      <c r="T122" s="523">
        <f>J122-Q122-S122</f>
      </c>
      <c r="U122" s="530">
        <v>45792</v>
      </c>
      <c r="V122" s="99" t="s">
        <v>2122</v>
      </c>
      <c r="W122" s="100"/>
      <c r="X122" s="3"/>
      <c r="Y122" s="3"/>
    </row>
    <row x14ac:dyDescent="0.25" r="123" customHeight="1" ht="15.75">
      <c r="A123" s="529">
        <v>45715</v>
      </c>
      <c r="B123" s="99" t="s">
        <v>53</v>
      </c>
      <c r="C123" s="99" t="s">
        <v>5741</v>
      </c>
      <c r="D123" s="99" t="s">
        <v>282</v>
      </c>
      <c r="E123" s="99"/>
      <c r="F123" s="99" t="s">
        <v>344</v>
      </c>
      <c r="G123" s="99" t="s">
        <v>5747</v>
      </c>
      <c r="H123" s="99" t="s">
        <v>26</v>
      </c>
      <c r="I123" s="114" t="s">
        <v>5743</v>
      </c>
      <c r="J123" s="114">
        <v>485900</v>
      </c>
      <c r="K123" s="100" t="s">
        <v>5744</v>
      </c>
      <c r="L123" s="100" t="s">
        <v>5745</v>
      </c>
      <c r="M123" s="99" t="s">
        <v>137</v>
      </c>
      <c r="N123" s="99" t="s">
        <v>5748</v>
      </c>
      <c r="O123" s="100"/>
      <c r="P123" s="114"/>
      <c r="Q123" s="114"/>
      <c r="R123" s="114"/>
      <c r="S123" s="114">
        <v>485900</v>
      </c>
      <c r="T123" s="523">
        <f>J123-P123-S123</f>
      </c>
      <c r="U123" s="530">
        <v>45792</v>
      </c>
      <c r="V123" s="99" t="s">
        <v>2122</v>
      </c>
      <c r="W123" s="100"/>
      <c r="X123" s="3"/>
      <c r="Y123" s="3"/>
    </row>
    <row x14ac:dyDescent="0.25" r="124" customHeight="1" ht="15.75">
      <c r="A124" s="529">
        <v>45715</v>
      </c>
      <c r="B124" s="99" t="s">
        <v>53</v>
      </c>
      <c r="C124" s="99" t="s">
        <v>5741</v>
      </c>
      <c r="D124" s="99" t="s">
        <v>282</v>
      </c>
      <c r="E124" s="99"/>
      <c r="F124" s="99" t="s">
        <v>344</v>
      </c>
      <c r="G124" s="99" t="s">
        <v>5749</v>
      </c>
      <c r="H124" s="99" t="s">
        <v>26</v>
      </c>
      <c r="I124" s="114" t="s">
        <v>5743</v>
      </c>
      <c r="J124" s="114">
        <v>485900</v>
      </c>
      <c r="K124" s="100" t="s">
        <v>5744</v>
      </c>
      <c r="L124" s="100" t="s">
        <v>5745</v>
      </c>
      <c r="M124" s="99" t="s">
        <v>137</v>
      </c>
      <c r="N124" s="99" t="s">
        <v>5750</v>
      </c>
      <c r="O124" s="100"/>
      <c r="P124" s="114"/>
      <c r="Q124" s="114"/>
      <c r="R124" s="114"/>
      <c r="S124" s="114">
        <v>485900</v>
      </c>
      <c r="T124" s="523">
        <f>J124-P124-S124</f>
      </c>
      <c r="U124" s="530">
        <v>45792</v>
      </c>
      <c r="V124" s="99" t="s">
        <v>2122</v>
      </c>
      <c r="W124" s="100"/>
      <c r="X124" s="3"/>
      <c r="Y124" s="3"/>
    </row>
    <row x14ac:dyDescent="0.25" r="125" customHeight="1" ht="15.75">
      <c r="A125" s="524">
        <v>45715</v>
      </c>
      <c r="B125" s="525" t="s">
        <v>46</v>
      </c>
      <c r="C125" s="525" t="s">
        <v>5705</v>
      </c>
      <c r="D125" s="525" t="s">
        <v>264</v>
      </c>
      <c r="E125" s="525"/>
      <c r="F125" s="525" t="s">
        <v>174</v>
      </c>
      <c r="G125" s="525" t="s">
        <v>5157</v>
      </c>
      <c r="H125" s="525" t="s">
        <v>26</v>
      </c>
      <c r="I125" s="526"/>
      <c r="J125" s="526">
        <v>-1900000</v>
      </c>
      <c r="K125" s="526"/>
      <c r="L125" s="527" t="s">
        <v>5751</v>
      </c>
      <c r="M125" s="525" t="s">
        <v>3045</v>
      </c>
      <c r="N125" s="525" t="s">
        <v>5752</v>
      </c>
      <c r="O125" s="527" t="s">
        <v>251</v>
      </c>
      <c r="P125" s="526"/>
      <c r="Q125" s="526"/>
      <c r="R125" s="526"/>
      <c r="S125" s="526"/>
      <c r="T125" s="526"/>
      <c r="U125" s="528"/>
      <c r="V125" s="527"/>
      <c r="W125" s="526">
        <v>-900000</v>
      </c>
      <c r="X125" s="571" t="s">
        <v>5753</v>
      </c>
      <c r="Y125" s="3"/>
    </row>
    <row x14ac:dyDescent="0.25" r="126" customHeight="1" ht="15.75">
      <c r="A126" s="572">
        <v>45716</v>
      </c>
      <c r="B126" s="99" t="s">
        <v>123</v>
      </c>
      <c r="C126" s="99" t="s">
        <v>5754</v>
      </c>
      <c r="D126" s="99" t="s">
        <v>2621</v>
      </c>
      <c r="E126" s="99" t="s">
        <v>5755</v>
      </c>
      <c r="F126" s="99" t="s">
        <v>5756</v>
      </c>
      <c r="G126" s="99" t="s">
        <v>5757</v>
      </c>
      <c r="H126" s="99" t="s">
        <v>76</v>
      </c>
      <c r="I126" s="114"/>
      <c r="J126" s="114">
        <v>480000</v>
      </c>
      <c r="K126" s="100" t="s">
        <v>5758</v>
      </c>
      <c r="L126" s="100" t="s">
        <v>5759</v>
      </c>
      <c r="M126" s="99" t="s">
        <v>187</v>
      </c>
      <c r="N126" s="99" t="s">
        <v>5760</v>
      </c>
      <c r="O126" s="100"/>
      <c r="P126" s="114"/>
      <c r="Q126" s="114"/>
      <c r="R126" s="114"/>
      <c r="S126" s="114">
        <v>480000</v>
      </c>
      <c r="T126" s="523">
        <f>J126-P126-S126</f>
      </c>
      <c r="U126" s="530">
        <v>45720</v>
      </c>
      <c r="V126" s="99" t="s">
        <v>1718</v>
      </c>
      <c r="W126" s="100"/>
      <c r="X126" s="3"/>
      <c r="Y126" s="3"/>
    </row>
    <row x14ac:dyDescent="0.25" r="127" customHeight="1" ht="15.75">
      <c r="A127" s="529">
        <v>45716</v>
      </c>
      <c r="B127" s="99" t="s">
        <v>72</v>
      </c>
      <c r="C127" s="99" t="s">
        <v>4956</v>
      </c>
      <c r="D127" s="99" t="s">
        <v>313</v>
      </c>
      <c r="E127" s="99"/>
      <c r="F127" s="99" t="s">
        <v>5761</v>
      </c>
      <c r="G127" s="99" t="s">
        <v>5762</v>
      </c>
      <c r="H127" s="99" t="s">
        <v>26</v>
      </c>
      <c r="I127" s="114" t="s">
        <v>5763</v>
      </c>
      <c r="J127" s="114">
        <v>894950</v>
      </c>
      <c r="K127" s="100" t="s">
        <v>5764</v>
      </c>
      <c r="L127" s="100" t="s">
        <v>5765</v>
      </c>
      <c r="M127" s="99" t="s">
        <v>50</v>
      </c>
      <c r="N127" s="99" t="s">
        <v>5766</v>
      </c>
      <c r="O127" s="114">
        <v>1</v>
      </c>
      <c r="P127" s="114"/>
      <c r="Q127" s="114"/>
      <c r="R127" s="114"/>
      <c r="S127" s="114">
        <v>894950</v>
      </c>
      <c r="T127" s="523">
        <f>J127-P127-S127</f>
      </c>
      <c r="U127" s="530">
        <v>45716</v>
      </c>
      <c r="V127" s="99" t="s">
        <v>1718</v>
      </c>
      <c r="W127" s="100"/>
      <c r="X127" s="3"/>
      <c r="Y127" s="3"/>
    </row>
    <row x14ac:dyDescent="0.25" r="128" customHeight="1" ht="15.75">
      <c r="A128" s="529">
        <v>45716</v>
      </c>
      <c r="B128" s="99" t="s">
        <v>111</v>
      </c>
      <c r="C128" s="99" t="s">
        <v>5767</v>
      </c>
      <c r="D128" s="99" t="s">
        <v>4949</v>
      </c>
      <c r="E128" s="99"/>
      <c r="F128" s="99" t="s">
        <v>84</v>
      </c>
      <c r="G128" s="99" t="s">
        <v>5768</v>
      </c>
      <c r="H128" s="99" t="s">
        <v>26</v>
      </c>
      <c r="I128" s="114" t="s">
        <v>5769</v>
      </c>
      <c r="J128" s="114">
        <v>468900</v>
      </c>
      <c r="K128" s="100" t="s">
        <v>5770</v>
      </c>
      <c r="L128" s="100" t="s">
        <v>5771</v>
      </c>
      <c r="M128" s="99" t="s">
        <v>50</v>
      </c>
      <c r="N128" s="99" t="s">
        <v>5772</v>
      </c>
      <c r="O128" s="114">
        <v>2</v>
      </c>
      <c r="P128" s="114"/>
      <c r="Q128" s="114"/>
      <c r="R128" s="114"/>
      <c r="S128" s="114">
        <v>468900</v>
      </c>
      <c r="T128" s="523">
        <f>J128-P128-S128</f>
      </c>
      <c r="U128" s="530">
        <v>45737</v>
      </c>
      <c r="V128" s="99" t="s">
        <v>2216</v>
      </c>
      <c r="W128" s="100"/>
      <c r="X128" s="3"/>
      <c r="Y128" s="3"/>
    </row>
    <row x14ac:dyDescent="0.25" r="129" customHeight="1" ht="15.75">
      <c r="A129" s="502"/>
      <c r="B129" s="34"/>
      <c r="C129" s="34"/>
      <c r="D129" s="34"/>
      <c r="E129" s="34"/>
      <c r="F129" s="34"/>
      <c r="G129" s="34"/>
      <c r="H129" s="34"/>
      <c r="I129" s="29"/>
      <c r="J129" s="29"/>
      <c r="K129" s="29"/>
      <c r="L129" s="29"/>
      <c r="M129" s="34"/>
      <c r="N129" s="34"/>
      <c r="O129" s="29"/>
      <c r="P129" s="29"/>
      <c r="Q129" s="29"/>
      <c r="R129" s="29"/>
      <c r="S129" s="29"/>
      <c r="T129" s="29">
        <f>SUM(T2:T128)</f>
      </c>
      <c r="U129" s="476"/>
      <c r="V129" s="107"/>
      <c r="W129" s="29"/>
      <c r="X129" s="34"/>
      <c r="Y129" s="34"/>
    </row>
    <row x14ac:dyDescent="0.25" r="130" customHeight="1" ht="15.75">
      <c r="A130" s="502"/>
      <c r="B130" s="34"/>
      <c r="C130" s="34"/>
      <c r="D130" s="34"/>
      <c r="E130" s="34"/>
      <c r="F130" s="34"/>
      <c r="G130" s="34"/>
      <c r="H130" s="34"/>
      <c r="I130" s="29"/>
      <c r="J130" s="29"/>
      <c r="K130" s="29"/>
      <c r="L130" s="29"/>
      <c r="M130" s="34"/>
      <c r="N130" s="34"/>
      <c r="O130" s="29"/>
      <c r="P130" s="29"/>
      <c r="Q130" s="29"/>
      <c r="R130" s="29"/>
      <c r="S130" s="29"/>
      <c r="T130" s="29"/>
      <c r="U130" s="476"/>
      <c r="V130" s="107"/>
      <c r="W130" s="29"/>
      <c r="X130" s="34"/>
      <c r="Y130" s="34"/>
    </row>
    <row x14ac:dyDescent="0.25" r="131" customHeight="1" ht="15.75">
      <c r="A131" s="502"/>
      <c r="B131" s="34"/>
      <c r="C131" s="34"/>
      <c r="D131" s="34"/>
      <c r="E131" s="34"/>
      <c r="F131" s="34"/>
      <c r="G131" s="34"/>
      <c r="H131" s="34"/>
      <c r="I131" s="29"/>
      <c r="J131" s="29"/>
      <c r="K131" s="29"/>
      <c r="L131" s="29"/>
      <c r="M131" s="34"/>
      <c r="N131" s="34"/>
      <c r="O131" s="29"/>
      <c r="P131" s="29"/>
      <c r="Q131" s="29"/>
      <c r="R131" s="29"/>
      <c r="S131" s="29"/>
      <c r="T131" s="29"/>
      <c r="U131" s="476"/>
      <c r="V131" s="107"/>
      <c r="W131" s="29"/>
      <c r="X131" s="34"/>
      <c r="Y131" s="34"/>
    </row>
    <row x14ac:dyDescent="0.25" r="132" customHeight="1" ht="15.75">
      <c r="A132" s="502"/>
      <c r="B132" s="34"/>
      <c r="C132" s="34"/>
      <c r="D132" s="34"/>
      <c r="E132" s="34"/>
      <c r="F132" s="34"/>
      <c r="G132" s="34"/>
      <c r="H132" s="34"/>
      <c r="I132" s="29"/>
      <c r="J132" s="29"/>
      <c r="K132" s="29"/>
      <c r="L132" s="29"/>
      <c r="M132" s="34"/>
      <c r="N132" s="34"/>
      <c r="O132" s="29"/>
      <c r="P132" s="29"/>
      <c r="Q132" s="29"/>
      <c r="R132" s="29"/>
      <c r="S132" s="29"/>
      <c r="T132" s="29"/>
      <c r="U132" s="476"/>
      <c r="V132" s="107"/>
      <c r="W132" s="29"/>
      <c r="X132" s="34"/>
      <c r="Y132" s="34"/>
    </row>
    <row x14ac:dyDescent="0.25" r="133" customHeight="1" ht="15.75">
      <c r="A133" s="502"/>
      <c r="B133" s="34"/>
      <c r="C133" s="34"/>
      <c r="D133" s="34"/>
      <c r="E133" s="34"/>
      <c r="F133" s="34"/>
      <c r="G133" s="34"/>
      <c r="H133" s="34"/>
      <c r="I133" s="29"/>
      <c r="J133" s="29"/>
      <c r="K133" s="29"/>
      <c r="L133" s="29"/>
      <c r="M133" s="34"/>
      <c r="N133" s="34"/>
      <c r="O133" s="29"/>
      <c r="P133" s="29"/>
      <c r="Q133" s="29"/>
      <c r="R133" s="29"/>
      <c r="S133" s="29"/>
      <c r="T133" s="29"/>
      <c r="U133" s="476"/>
      <c r="V133" s="107"/>
      <c r="W133" s="29"/>
      <c r="X133" s="34"/>
      <c r="Y133" s="34"/>
    </row>
    <row x14ac:dyDescent="0.25" r="134" customHeight="1" ht="15.75">
      <c r="A134" s="502"/>
      <c r="B134" s="34"/>
      <c r="C134" s="34"/>
      <c r="D134" s="34"/>
      <c r="E134" s="34"/>
      <c r="F134" s="34"/>
      <c r="G134" s="34"/>
      <c r="H134" s="34"/>
      <c r="I134" s="29"/>
      <c r="J134" s="29"/>
      <c r="K134" s="29"/>
      <c r="L134" s="29"/>
      <c r="M134" s="34"/>
      <c r="N134" s="34"/>
      <c r="O134" s="29"/>
      <c r="P134" s="29"/>
      <c r="Q134" s="29"/>
      <c r="R134" s="29"/>
      <c r="S134" s="29"/>
      <c r="T134" s="29"/>
      <c r="U134" s="476"/>
      <c r="V134" s="107"/>
      <c r="W134" s="573"/>
      <c r="X134" s="34"/>
      <c r="Y134" s="34"/>
    </row>
    <row x14ac:dyDescent="0.25" r="135" customHeight="1" ht="15.75">
      <c r="A135" s="502"/>
      <c r="B135" s="34"/>
      <c r="C135" s="34"/>
      <c r="D135" s="34"/>
      <c r="E135" s="34"/>
      <c r="F135" s="34"/>
      <c r="G135" s="34"/>
      <c r="H135" s="34"/>
      <c r="I135" s="29"/>
      <c r="J135" s="29"/>
      <c r="K135" s="29"/>
      <c r="L135" s="29"/>
      <c r="M135" s="34"/>
      <c r="N135" s="34"/>
      <c r="O135" s="29"/>
      <c r="P135" s="29"/>
      <c r="Q135" s="29"/>
      <c r="R135" s="29"/>
      <c r="S135" s="29"/>
      <c r="T135" s="29"/>
      <c r="U135" s="476"/>
      <c r="V135" s="107"/>
      <c r="W135" s="29"/>
      <c r="X135" s="34"/>
      <c r="Y135" s="34"/>
    </row>
    <row x14ac:dyDescent="0.25" r="136" customHeight="1" ht="15.75">
      <c r="A136" s="502"/>
      <c r="B136" s="34"/>
      <c r="C136" s="34"/>
      <c r="D136" s="34"/>
      <c r="E136" s="34"/>
      <c r="F136" s="34"/>
      <c r="G136" s="34"/>
      <c r="H136" s="34"/>
      <c r="I136" s="29"/>
      <c r="J136" s="29"/>
      <c r="K136" s="29"/>
      <c r="L136" s="29"/>
      <c r="M136" s="34"/>
      <c r="N136" s="34"/>
      <c r="O136" s="29"/>
      <c r="P136" s="29"/>
      <c r="Q136" s="29"/>
      <c r="R136" s="29"/>
      <c r="S136" s="29"/>
      <c r="T136" s="29"/>
      <c r="U136" s="476"/>
      <c r="V136" s="107"/>
      <c r="W136" s="29"/>
      <c r="X136" s="34"/>
      <c r="Y136" s="34"/>
    </row>
    <row x14ac:dyDescent="0.25" r="137" customHeight="1" ht="15.75">
      <c r="A137" s="502"/>
      <c r="B137" s="34"/>
      <c r="C137" s="34"/>
      <c r="D137" s="34"/>
      <c r="E137" s="34"/>
      <c r="F137" s="34"/>
      <c r="G137" s="34"/>
      <c r="H137" s="34"/>
      <c r="I137" s="29"/>
      <c r="J137" s="29"/>
      <c r="K137" s="29"/>
      <c r="L137" s="29"/>
      <c r="M137" s="34"/>
      <c r="N137" s="34"/>
      <c r="O137" s="29"/>
      <c r="P137" s="29"/>
      <c r="Q137" s="29"/>
      <c r="R137" s="29"/>
      <c r="S137" s="29"/>
      <c r="T137" s="29"/>
      <c r="U137" s="476"/>
      <c r="V137" s="107"/>
      <c r="W137" s="29"/>
      <c r="X137" s="34"/>
      <c r="Y137" s="34"/>
    </row>
    <row x14ac:dyDescent="0.25" r="138" customHeight="1" ht="15.75">
      <c r="A138" s="502"/>
      <c r="B138" s="34"/>
      <c r="C138" s="34"/>
      <c r="D138" s="34"/>
      <c r="E138" s="34"/>
      <c r="F138" s="34"/>
      <c r="G138" s="34"/>
      <c r="H138" s="34"/>
      <c r="I138" s="29"/>
      <c r="J138" s="29"/>
      <c r="K138" s="29"/>
      <c r="L138" s="29"/>
      <c r="M138" s="34"/>
      <c r="N138" s="34"/>
      <c r="O138" s="29"/>
      <c r="P138" s="29"/>
      <c r="Q138" s="29"/>
      <c r="R138" s="29"/>
      <c r="S138" s="29"/>
      <c r="T138" s="29"/>
      <c r="U138" s="476"/>
      <c r="V138" s="107"/>
      <c r="W138" s="29"/>
      <c r="X138" s="34"/>
      <c r="Y138" s="34"/>
    </row>
    <row x14ac:dyDescent="0.25" r="139" customHeight="1" ht="15.75">
      <c r="A139" s="502"/>
      <c r="B139" s="34"/>
      <c r="C139" s="34"/>
      <c r="D139" s="34"/>
      <c r="E139" s="34"/>
      <c r="F139" s="34"/>
      <c r="G139" s="34"/>
      <c r="H139" s="34"/>
      <c r="I139" s="29"/>
      <c r="J139" s="29"/>
      <c r="K139" s="29"/>
      <c r="L139" s="29"/>
      <c r="M139" s="34"/>
      <c r="N139" s="34"/>
      <c r="O139" s="29"/>
      <c r="P139" s="29"/>
      <c r="Q139" s="29"/>
      <c r="R139" s="29"/>
      <c r="S139" s="29"/>
      <c r="T139" s="29"/>
      <c r="U139" s="476"/>
      <c r="V139" s="107"/>
      <c r="W139" s="29"/>
      <c r="X139" s="34"/>
      <c r="Y139" s="34"/>
    </row>
    <row x14ac:dyDescent="0.25" r="140" customHeight="1" ht="15.75">
      <c r="A140" s="502"/>
      <c r="B140" s="34"/>
      <c r="C140" s="34"/>
      <c r="D140" s="34"/>
      <c r="E140" s="34"/>
      <c r="F140" s="34"/>
      <c r="G140" s="34"/>
      <c r="H140" s="34"/>
      <c r="I140" s="29"/>
      <c r="J140" s="29"/>
      <c r="K140" s="29"/>
      <c r="L140" s="29"/>
      <c r="M140" s="34"/>
      <c r="N140" s="34"/>
      <c r="O140" s="29"/>
      <c r="P140" s="29"/>
      <c r="Q140" s="29"/>
      <c r="R140" s="29"/>
      <c r="S140" s="29"/>
      <c r="T140" s="29"/>
      <c r="U140" s="476"/>
      <c r="V140" s="107"/>
      <c r="W140" s="29"/>
      <c r="X140" s="34"/>
      <c r="Y140" s="34"/>
    </row>
    <row x14ac:dyDescent="0.25" r="141" customHeight="1" ht="15.75">
      <c r="A141" s="502"/>
      <c r="B141" s="34"/>
      <c r="C141" s="34"/>
      <c r="D141" s="34"/>
      <c r="E141" s="34"/>
      <c r="F141" s="34"/>
      <c r="G141" s="34"/>
      <c r="H141" s="34"/>
      <c r="I141" s="29"/>
      <c r="J141" s="29"/>
      <c r="K141" s="29"/>
      <c r="L141" s="29"/>
      <c r="M141" s="34"/>
      <c r="N141" s="34"/>
      <c r="O141" s="29"/>
      <c r="P141" s="29"/>
      <c r="Q141" s="29"/>
      <c r="R141" s="29"/>
      <c r="S141" s="29"/>
      <c r="T141" s="29"/>
      <c r="U141" s="476"/>
      <c r="V141" s="107"/>
      <c r="W141" s="29"/>
      <c r="X141" s="34"/>
      <c r="Y141" s="34"/>
    </row>
    <row x14ac:dyDescent="0.25" r="142" customHeight="1" ht="15.75">
      <c r="A142" s="502"/>
      <c r="B142" s="34"/>
      <c r="C142" s="34"/>
      <c r="D142" s="34"/>
      <c r="E142" s="34"/>
      <c r="F142" s="34"/>
      <c r="G142" s="34"/>
      <c r="H142" s="34"/>
      <c r="I142" s="29"/>
      <c r="J142" s="29"/>
      <c r="K142" s="29"/>
      <c r="L142" s="29"/>
      <c r="M142" s="34"/>
      <c r="N142" s="34"/>
      <c r="O142" s="29"/>
      <c r="P142" s="29"/>
      <c r="Q142" s="29"/>
      <c r="R142" s="29"/>
      <c r="S142" s="29"/>
      <c r="T142" s="29"/>
      <c r="U142" s="476"/>
      <c r="V142" s="107"/>
      <c r="W142" s="29"/>
      <c r="X142" s="34"/>
      <c r="Y142" s="34"/>
    </row>
    <row x14ac:dyDescent="0.25" r="143" customHeight="1" ht="15.75">
      <c r="A143" s="502"/>
      <c r="B143" s="34"/>
      <c r="C143" s="34"/>
      <c r="D143" s="34"/>
      <c r="E143" s="34"/>
      <c r="F143" s="34"/>
      <c r="G143" s="34"/>
      <c r="H143" s="34"/>
      <c r="I143" s="29"/>
      <c r="J143" s="29"/>
      <c r="K143" s="29"/>
      <c r="L143" s="29"/>
      <c r="M143" s="34"/>
      <c r="N143" s="34"/>
      <c r="O143" s="29"/>
      <c r="P143" s="29"/>
      <c r="Q143" s="29"/>
      <c r="R143" s="29"/>
      <c r="S143" s="29"/>
      <c r="T143" s="29"/>
      <c r="U143" s="476"/>
      <c r="V143" s="107"/>
      <c r="W143" s="29"/>
      <c r="X143" s="34"/>
      <c r="Y143" s="34"/>
    </row>
    <row x14ac:dyDescent="0.25" r="144" customHeight="1" ht="15.75">
      <c r="A144" s="502"/>
      <c r="B144" s="34"/>
      <c r="C144" s="34"/>
      <c r="D144" s="34"/>
      <c r="E144" s="34"/>
      <c r="F144" s="34"/>
      <c r="G144" s="34"/>
      <c r="H144" s="34"/>
      <c r="I144" s="29"/>
      <c r="J144" s="29"/>
      <c r="K144" s="29"/>
      <c r="L144" s="29"/>
      <c r="M144" s="34"/>
      <c r="N144" s="34"/>
      <c r="O144" s="29"/>
      <c r="P144" s="29"/>
      <c r="Q144" s="29"/>
      <c r="R144" s="29"/>
      <c r="S144" s="29"/>
      <c r="T144" s="29"/>
      <c r="U144" s="476"/>
      <c r="V144" s="107"/>
      <c r="W144" s="29"/>
      <c r="X144" s="34"/>
      <c r="Y144" s="34"/>
    </row>
    <row x14ac:dyDescent="0.25" r="145" customHeight="1" ht="15.75">
      <c r="A145" s="502"/>
      <c r="B145" s="34"/>
      <c r="C145" s="34"/>
      <c r="D145" s="34"/>
      <c r="E145" s="34"/>
      <c r="F145" s="34"/>
      <c r="G145" s="34"/>
      <c r="H145" s="34"/>
      <c r="I145" s="29"/>
      <c r="J145" s="29"/>
      <c r="K145" s="29"/>
      <c r="L145" s="29"/>
      <c r="M145" s="34"/>
      <c r="N145" s="34"/>
      <c r="O145" s="29"/>
      <c r="P145" s="29"/>
      <c r="Q145" s="29"/>
      <c r="R145" s="29"/>
      <c r="S145" s="29"/>
      <c r="T145" s="29"/>
      <c r="U145" s="476"/>
      <c r="V145" s="107"/>
      <c r="W145" s="29"/>
      <c r="X145" s="34"/>
      <c r="Y145" s="34"/>
    </row>
    <row x14ac:dyDescent="0.25" r="146" customHeight="1" ht="15.75">
      <c r="A146" s="502"/>
      <c r="B146" s="34"/>
      <c r="C146" s="34"/>
      <c r="D146" s="34"/>
      <c r="E146" s="34"/>
      <c r="F146" s="34"/>
      <c r="G146" s="34"/>
      <c r="H146" s="34"/>
      <c r="I146" s="29"/>
      <c r="J146" s="29"/>
      <c r="K146" s="29"/>
      <c r="L146" s="29"/>
      <c r="M146" s="34"/>
      <c r="N146" s="34"/>
      <c r="O146" s="29"/>
      <c r="P146" s="29"/>
      <c r="Q146" s="29"/>
      <c r="R146" s="29"/>
      <c r="S146" s="29"/>
      <c r="T146" s="29"/>
      <c r="U146" s="476"/>
      <c r="V146" s="107"/>
      <c r="W146" s="29"/>
      <c r="X146" s="34"/>
      <c r="Y146" s="34"/>
    </row>
    <row x14ac:dyDescent="0.25" r="147" customHeight="1" ht="15.75">
      <c r="A147" s="502"/>
      <c r="B147" s="34"/>
      <c r="C147" s="34"/>
      <c r="D147" s="34"/>
      <c r="E147" s="34"/>
      <c r="F147" s="34"/>
      <c r="G147" s="34"/>
      <c r="H147" s="34"/>
      <c r="I147" s="29"/>
      <c r="J147" s="29"/>
      <c r="K147" s="29"/>
      <c r="L147" s="29"/>
      <c r="M147" s="34"/>
      <c r="N147" s="34"/>
      <c r="O147" s="29"/>
      <c r="P147" s="29"/>
      <c r="Q147" s="29"/>
      <c r="R147" s="29"/>
      <c r="S147" s="29"/>
      <c r="T147" s="29"/>
      <c r="U147" s="476"/>
      <c r="V147" s="107"/>
      <c r="W147" s="29"/>
      <c r="X147" s="34"/>
      <c r="Y147" s="34"/>
    </row>
    <row x14ac:dyDescent="0.25" r="148" customHeight="1" ht="15.75">
      <c r="A148" s="502"/>
      <c r="B148" s="34"/>
      <c r="C148" s="34"/>
      <c r="D148" s="34"/>
      <c r="E148" s="34"/>
      <c r="F148" s="34"/>
      <c r="G148" s="34"/>
      <c r="H148" s="34"/>
      <c r="I148" s="29"/>
      <c r="J148" s="29"/>
      <c r="K148" s="29"/>
      <c r="L148" s="29"/>
      <c r="M148" s="34"/>
      <c r="N148" s="34"/>
      <c r="O148" s="29"/>
      <c r="P148" s="29"/>
      <c r="Q148" s="29"/>
      <c r="R148" s="29"/>
      <c r="S148" s="29"/>
      <c r="T148" s="29"/>
      <c r="U148" s="476"/>
      <c r="V148" s="107"/>
      <c r="W148" s="29"/>
      <c r="X148" s="34"/>
      <c r="Y148" s="34"/>
    </row>
    <row x14ac:dyDescent="0.25" r="149" customHeight="1" ht="15.75">
      <c r="A149" s="502"/>
      <c r="B149" s="34"/>
      <c r="C149" s="34"/>
      <c r="D149" s="34"/>
      <c r="E149" s="34"/>
      <c r="F149" s="34"/>
      <c r="G149" s="34"/>
      <c r="H149" s="34"/>
      <c r="I149" s="29"/>
      <c r="J149" s="29"/>
      <c r="K149" s="29"/>
      <c r="L149" s="29"/>
      <c r="M149" s="34"/>
      <c r="N149" s="34"/>
      <c r="O149" s="29"/>
      <c r="P149" s="29"/>
      <c r="Q149" s="29"/>
      <c r="R149" s="29"/>
      <c r="S149" s="29"/>
      <c r="T149" s="29"/>
      <c r="U149" s="476"/>
      <c r="V149" s="107"/>
      <c r="W149" s="29"/>
      <c r="X149" s="34"/>
      <c r="Y149" s="34"/>
    </row>
    <row x14ac:dyDescent="0.25" r="150" customHeight="1" ht="15.75">
      <c r="A150" s="502"/>
      <c r="B150" s="34"/>
      <c r="C150" s="34"/>
      <c r="D150" s="34"/>
      <c r="E150" s="34"/>
      <c r="F150" s="34"/>
      <c r="G150" s="34"/>
      <c r="H150" s="34"/>
      <c r="I150" s="29"/>
      <c r="J150" s="29"/>
      <c r="K150" s="29"/>
      <c r="L150" s="29"/>
      <c r="M150" s="34"/>
      <c r="N150" s="34"/>
      <c r="O150" s="29"/>
      <c r="P150" s="29"/>
      <c r="Q150" s="29"/>
      <c r="R150" s="29"/>
      <c r="S150" s="29"/>
      <c r="T150" s="29"/>
      <c r="U150" s="476"/>
      <c r="V150" s="107"/>
      <c r="W150" s="29"/>
      <c r="X150" s="34"/>
      <c r="Y150" s="34"/>
    </row>
    <row x14ac:dyDescent="0.25" r="151" customHeight="1" ht="15.75">
      <c r="A151" s="502"/>
      <c r="B151" s="34"/>
      <c r="C151" s="34"/>
      <c r="D151" s="34"/>
      <c r="E151" s="34"/>
      <c r="F151" s="34"/>
      <c r="G151" s="34"/>
      <c r="H151" s="34"/>
      <c r="I151" s="29"/>
      <c r="J151" s="29"/>
      <c r="K151" s="29"/>
      <c r="L151" s="29"/>
      <c r="M151" s="34"/>
      <c r="N151" s="34"/>
      <c r="O151" s="29"/>
      <c r="P151" s="29"/>
      <c r="Q151" s="29"/>
      <c r="R151" s="29"/>
      <c r="S151" s="29"/>
      <c r="T151" s="29"/>
      <c r="U151" s="476"/>
      <c r="V151" s="107"/>
      <c r="W151" s="29"/>
      <c r="X151" s="34"/>
      <c r="Y151" s="34"/>
    </row>
    <row x14ac:dyDescent="0.25" r="152" customHeight="1" ht="15.75">
      <c r="A152" s="502"/>
      <c r="B152" s="34"/>
      <c r="C152" s="34"/>
      <c r="D152" s="34"/>
      <c r="E152" s="34"/>
      <c r="F152" s="34"/>
      <c r="G152" s="34"/>
      <c r="H152" s="34"/>
      <c r="I152" s="29"/>
      <c r="J152" s="29"/>
      <c r="K152" s="29"/>
      <c r="L152" s="29"/>
      <c r="M152" s="34"/>
      <c r="N152" s="34"/>
      <c r="O152" s="29"/>
      <c r="P152" s="29"/>
      <c r="Q152" s="29"/>
      <c r="R152" s="29"/>
      <c r="S152" s="29"/>
      <c r="T152" s="29"/>
      <c r="U152" s="476"/>
      <c r="V152" s="107"/>
      <c r="W152" s="29"/>
      <c r="X152" s="34"/>
      <c r="Y152" s="34"/>
    </row>
    <row x14ac:dyDescent="0.25" r="153" customHeight="1" ht="15.75">
      <c r="A153" s="502"/>
      <c r="B153" s="34"/>
      <c r="C153" s="34"/>
      <c r="D153" s="34"/>
      <c r="E153" s="34"/>
      <c r="F153" s="34"/>
      <c r="G153" s="34"/>
      <c r="H153" s="34"/>
      <c r="I153" s="29"/>
      <c r="J153" s="29"/>
      <c r="K153" s="29"/>
      <c r="L153" s="29"/>
      <c r="M153" s="34"/>
      <c r="N153" s="34"/>
      <c r="O153" s="29"/>
      <c r="P153" s="29"/>
      <c r="Q153" s="29"/>
      <c r="R153" s="29"/>
      <c r="S153" s="29"/>
      <c r="T153" s="29"/>
      <c r="U153" s="476"/>
      <c r="V153" s="107"/>
      <c r="W153" s="29"/>
      <c r="X153" s="34"/>
      <c r="Y153" s="34"/>
    </row>
    <row x14ac:dyDescent="0.25" r="154" customHeight="1" ht="15.75">
      <c r="A154" s="502"/>
      <c r="B154" s="34"/>
      <c r="C154" s="34"/>
      <c r="D154" s="34"/>
      <c r="E154" s="34"/>
      <c r="F154" s="34"/>
      <c r="G154" s="34"/>
      <c r="H154" s="34"/>
      <c r="I154" s="29"/>
      <c r="J154" s="29"/>
      <c r="K154" s="29"/>
      <c r="L154" s="29"/>
      <c r="M154" s="34"/>
      <c r="N154" s="34"/>
      <c r="O154" s="29"/>
      <c r="P154" s="29"/>
      <c r="Q154" s="29"/>
      <c r="R154" s="29"/>
      <c r="S154" s="29"/>
      <c r="T154" s="29"/>
      <c r="U154" s="476"/>
      <c r="V154" s="107"/>
      <c r="W154" s="29"/>
      <c r="X154" s="34"/>
      <c r="Y154" s="34"/>
    </row>
    <row x14ac:dyDescent="0.25" r="155" customHeight="1" ht="15.75">
      <c r="A155" s="502"/>
      <c r="B155" s="34"/>
      <c r="C155" s="34"/>
      <c r="D155" s="34"/>
      <c r="E155" s="34"/>
      <c r="F155" s="34"/>
      <c r="G155" s="34"/>
      <c r="H155" s="34"/>
      <c r="I155" s="29"/>
      <c r="J155" s="29"/>
      <c r="K155" s="29"/>
      <c r="L155" s="29"/>
      <c r="M155" s="34"/>
      <c r="N155" s="34"/>
      <c r="O155" s="29"/>
      <c r="P155" s="29"/>
      <c r="Q155" s="29"/>
      <c r="R155" s="29"/>
      <c r="S155" s="29"/>
      <c r="T155" s="29"/>
      <c r="U155" s="476"/>
      <c r="V155" s="107"/>
      <c r="W155" s="29"/>
      <c r="X155" s="34"/>
      <c r="Y155" s="34"/>
    </row>
    <row x14ac:dyDescent="0.25" r="156" customHeight="1" ht="15.75">
      <c r="A156" s="502"/>
      <c r="B156" s="34"/>
      <c r="C156" s="34"/>
      <c r="D156" s="34"/>
      <c r="E156" s="34"/>
      <c r="F156" s="34"/>
      <c r="G156" s="34"/>
      <c r="H156" s="34"/>
      <c r="I156" s="29"/>
      <c r="J156" s="29"/>
      <c r="K156" s="29"/>
      <c r="L156" s="29"/>
      <c r="M156" s="34"/>
      <c r="N156" s="34"/>
      <c r="O156" s="29"/>
      <c r="P156" s="29"/>
      <c r="Q156" s="29"/>
      <c r="R156" s="29"/>
      <c r="S156" s="29"/>
      <c r="T156" s="29"/>
      <c r="U156" s="476"/>
      <c r="V156" s="107"/>
      <c r="W156" s="29"/>
      <c r="X156" s="34"/>
      <c r="Y156" s="34"/>
    </row>
    <row x14ac:dyDescent="0.25" r="157" customHeight="1" ht="15.75">
      <c r="A157" s="502"/>
      <c r="B157" s="34"/>
      <c r="C157" s="34"/>
      <c r="D157" s="34"/>
      <c r="E157" s="34"/>
      <c r="F157" s="34"/>
      <c r="G157" s="34"/>
      <c r="H157" s="34"/>
      <c r="I157" s="29"/>
      <c r="J157" s="29"/>
      <c r="K157" s="29"/>
      <c r="L157" s="29"/>
      <c r="M157" s="34"/>
      <c r="N157" s="34"/>
      <c r="O157" s="29"/>
      <c r="P157" s="29"/>
      <c r="Q157" s="29"/>
      <c r="R157" s="29"/>
      <c r="S157" s="29"/>
      <c r="T157" s="29"/>
      <c r="U157" s="476"/>
      <c r="V157" s="107"/>
      <c r="W157" s="29"/>
      <c r="X157" s="34"/>
      <c r="Y157" s="34"/>
    </row>
    <row x14ac:dyDescent="0.25" r="158" customHeight="1" ht="15.75">
      <c r="A158" s="502"/>
      <c r="B158" s="34"/>
      <c r="C158" s="34"/>
      <c r="D158" s="34"/>
      <c r="E158" s="34"/>
      <c r="F158" s="34"/>
      <c r="G158" s="34"/>
      <c r="H158" s="34"/>
      <c r="I158" s="29"/>
      <c r="J158" s="29"/>
      <c r="K158" s="29"/>
      <c r="L158" s="29"/>
      <c r="M158" s="34"/>
      <c r="N158" s="34"/>
      <c r="O158" s="29"/>
      <c r="P158" s="29"/>
      <c r="Q158" s="29"/>
      <c r="R158" s="29"/>
      <c r="S158" s="29"/>
      <c r="T158" s="29"/>
      <c r="U158" s="476"/>
      <c r="V158" s="107"/>
      <c r="W158" s="29"/>
      <c r="X158" s="34"/>
      <c r="Y158" s="34"/>
    </row>
    <row x14ac:dyDescent="0.25" r="159" customHeight="1" ht="15.75">
      <c r="A159" s="502"/>
      <c r="B159" s="34"/>
      <c r="C159" s="34"/>
      <c r="D159" s="34"/>
      <c r="E159" s="34"/>
      <c r="F159" s="34"/>
      <c r="G159" s="34"/>
      <c r="H159" s="34"/>
      <c r="I159" s="29"/>
      <c r="J159" s="29"/>
      <c r="K159" s="29"/>
      <c r="L159" s="29"/>
      <c r="M159" s="34"/>
      <c r="N159" s="34"/>
      <c r="O159" s="29"/>
      <c r="P159" s="29"/>
      <c r="Q159" s="29"/>
      <c r="R159" s="29"/>
      <c r="S159" s="29"/>
      <c r="T159" s="29"/>
      <c r="U159" s="476"/>
      <c r="V159" s="107"/>
      <c r="W159" s="29"/>
      <c r="X159" s="34"/>
      <c r="Y159" s="34"/>
    </row>
    <row x14ac:dyDescent="0.25" r="160" customHeight="1" ht="15.75">
      <c r="A160" s="502"/>
      <c r="B160" s="34"/>
      <c r="C160" s="34"/>
      <c r="D160" s="34"/>
      <c r="E160" s="34"/>
      <c r="F160" s="34"/>
      <c r="G160" s="34"/>
      <c r="H160" s="34"/>
      <c r="I160" s="29"/>
      <c r="J160" s="29"/>
      <c r="K160" s="29"/>
      <c r="L160" s="29"/>
      <c r="M160" s="34"/>
      <c r="N160" s="34"/>
      <c r="O160" s="29"/>
      <c r="P160" s="29"/>
      <c r="Q160" s="29"/>
      <c r="R160" s="29"/>
      <c r="S160" s="29"/>
      <c r="T160" s="29"/>
      <c r="U160" s="476"/>
      <c r="V160" s="107"/>
      <c r="W160" s="29"/>
      <c r="X160" s="34"/>
      <c r="Y160" s="34"/>
    </row>
    <row x14ac:dyDescent="0.25" r="161" customHeight="1" ht="15.75">
      <c r="A161" s="502"/>
      <c r="B161" s="34"/>
      <c r="C161" s="34"/>
      <c r="D161" s="34"/>
      <c r="E161" s="34"/>
      <c r="F161" s="34"/>
      <c r="G161" s="34"/>
      <c r="H161" s="34"/>
      <c r="I161" s="29"/>
      <c r="J161" s="29"/>
      <c r="K161" s="29"/>
      <c r="L161" s="29"/>
      <c r="M161" s="34"/>
      <c r="N161" s="34"/>
      <c r="O161" s="29"/>
      <c r="P161" s="29"/>
      <c r="Q161" s="29"/>
      <c r="R161" s="29"/>
      <c r="S161" s="29"/>
      <c r="T161" s="29"/>
      <c r="U161" s="476"/>
      <c r="V161" s="107"/>
      <c r="W161" s="29"/>
      <c r="X161" s="34"/>
      <c r="Y161" s="34"/>
    </row>
    <row x14ac:dyDescent="0.25" r="162" customHeight="1" ht="15.75">
      <c r="A162" s="502"/>
      <c r="B162" s="34"/>
      <c r="C162" s="34"/>
      <c r="D162" s="34"/>
      <c r="E162" s="34"/>
      <c r="F162" s="34"/>
      <c r="G162" s="34"/>
      <c r="H162" s="34"/>
      <c r="I162" s="29"/>
      <c r="J162" s="29"/>
      <c r="K162" s="29"/>
      <c r="L162" s="29"/>
      <c r="M162" s="34"/>
      <c r="N162" s="34"/>
      <c r="O162" s="29"/>
      <c r="P162" s="29"/>
      <c r="Q162" s="29"/>
      <c r="R162" s="29"/>
      <c r="S162" s="29"/>
      <c r="T162" s="29"/>
      <c r="U162" s="476"/>
      <c r="V162" s="107"/>
      <c r="W162" s="29"/>
      <c r="X162" s="34"/>
      <c r="Y162" s="34"/>
    </row>
    <row x14ac:dyDescent="0.25" r="163" customHeight="1" ht="15.75">
      <c r="A163" s="502"/>
      <c r="B163" s="34"/>
      <c r="C163" s="34"/>
      <c r="D163" s="34"/>
      <c r="E163" s="34"/>
      <c r="F163" s="34"/>
      <c r="G163" s="34"/>
      <c r="H163" s="34"/>
      <c r="I163" s="29"/>
      <c r="J163" s="29"/>
      <c r="K163" s="29"/>
      <c r="L163" s="29"/>
      <c r="M163" s="34"/>
      <c r="N163" s="34"/>
      <c r="O163" s="29"/>
      <c r="P163" s="29"/>
      <c r="Q163" s="29"/>
      <c r="R163" s="29"/>
      <c r="S163" s="29"/>
      <c r="T163" s="29"/>
      <c r="U163" s="476"/>
      <c r="V163" s="107"/>
      <c r="W163" s="29"/>
      <c r="X163" s="34"/>
      <c r="Y163" s="34"/>
    </row>
    <row x14ac:dyDescent="0.25" r="164" customHeight="1" ht="15.75">
      <c r="A164" s="502"/>
      <c r="B164" s="34"/>
      <c r="C164" s="34"/>
      <c r="D164" s="34"/>
      <c r="E164" s="34"/>
      <c r="F164" s="34"/>
      <c r="G164" s="34"/>
      <c r="H164" s="34"/>
      <c r="I164" s="29"/>
      <c r="J164" s="29"/>
      <c r="K164" s="29"/>
      <c r="L164" s="29"/>
      <c r="M164" s="34"/>
      <c r="N164" s="34"/>
      <c r="O164" s="29"/>
      <c r="P164" s="29"/>
      <c r="Q164" s="29"/>
      <c r="R164" s="29"/>
      <c r="S164" s="29"/>
      <c r="T164" s="29"/>
      <c r="U164" s="476"/>
      <c r="V164" s="107"/>
      <c r="W164" s="29"/>
      <c r="X164" s="34"/>
      <c r="Y164" s="34"/>
    </row>
    <row x14ac:dyDescent="0.25" r="165" customHeight="1" ht="15.75">
      <c r="A165" s="502"/>
      <c r="B165" s="34"/>
      <c r="C165" s="34"/>
      <c r="D165" s="34"/>
      <c r="E165" s="34"/>
      <c r="F165" s="34"/>
      <c r="G165" s="34"/>
      <c r="H165" s="34"/>
      <c r="I165" s="29"/>
      <c r="J165" s="29"/>
      <c r="K165" s="29"/>
      <c r="L165" s="29"/>
      <c r="M165" s="34"/>
      <c r="N165" s="34"/>
      <c r="O165" s="29"/>
      <c r="P165" s="29"/>
      <c r="Q165" s="29"/>
      <c r="R165" s="29"/>
      <c r="S165" s="29"/>
      <c r="T165" s="29"/>
      <c r="U165" s="476"/>
      <c r="V165" s="107"/>
      <c r="W165" s="29"/>
      <c r="X165" s="34"/>
      <c r="Y165" s="34"/>
    </row>
    <row x14ac:dyDescent="0.25" r="166" customHeight="1" ht="15.75">
      <c r="A166" s="502"/>
      <c r="B166" s="34"/>
      <c r="C166" s="34"/>
      <c r="D166" s="34"/>
      <c r="E166" s="34"/>
      <c r="F166" s="34"/>
      <c r="G166" s="34"/>
      <c r="H166" s="34"/>
      <c r="I166" s="29"/>
      <c r="J166" s="29"/>
      <c r="K166" s="29"/>
      <c r="L166" s="29"/>
      <c r="M166" s="34"/>
      <c r="N166" s="34"/>
      <c r="O166" s="29"/>
      <c r="P166" s="29"/>
      <c r="Q166" s="29"/>
      <c r="R166" s="29"/>
      <c r="S166" s="29"/>
      <c r="T166" s="29"/>
      <c r="U166" s="476"/>
      <c r="V166" s="107"/>
      <c r="W166" s="29"/>
      <c r="X166" s="34"/>
      <c r="Y166" s="34"/>
    </row>
    <row x14ac:dyDescent="0.25" r="167" customHeight="1" ht="15.75">
      <c r="A167" s="502"/>
      <c r="B167" s="34"/>
      <c r="C167" s="34"/>
      <c r="D167" s="34"/>
      <c r="E167" s="34"/>
      <c r="F167" s="34"/>
      <c r="G167" s="34"/>
      <c r="H167" s="34"/>
      <c r="I167" s="29"/>
      <c r="J167" s="29"/>
      <c r="K167" s="29"/>
      <c r="L167" s="29"/>
      <c r="M167" s="34"/>
      <c r="N167" s="34"/>
      <c r="O167" s="29"/>
      <c r="P167" s="29"/>
      <c r="Q167" s="29"/>
      <c r="R167" s="29"/>
      <c r="S167" s="29"/>
      <c r="T167" s="29"/>
      <c r="U167" s="476"/>
      <c r="V167" s="107"/>
      <c r="W167" s="29"/>
      <c r="X167" s="34"/>
      <c r="Y167" s="34"/>
    </row>
    <row x14ac:dyDescent="0.25" r="168" customHeight="1" ht="15.75">
      <c r="A168" s="502"/>
      <c r="B168" s="34"/>
      <c r="C168" s="34"/>
      <c r="D168" s="34"/>
      <c r="E168" s="34"/>
      <c r="F168" s="34"/>
      <c r="G168" s="34"/>
      <c r="H168" s="34"/>
      <c r="I168" s="29"/>
      <c r="J168" s="29"/>
      <c r="K168" s="29"/>
      <c r="L168" s="29"/>
      <c r="M168" s="34"/>
      <c r="N168" s="34"/>
      <c r="O168" s="29"/>
      <c r="P168" s="29"/>
      <c r="Q168" s="29"/>
      <c r="R168" s="29"/>
      <c r="S168" s="29"/>
      <c r="T168" s="29"/>
      <c r="U168" s="476"/>
      <c r="V168" s="107"/>
      <c r="W168" s="29"/>
      <c r="X168" s="34"/>
      <c r="Y168" s="34"/>
    </row>
    <row x14ac:dyDescent="0.25" r="169" customHeight="1" ht="15.75">
      <c r="A169" s="502"/>
      <c r="B169" s="34"/>
      <c r="C169" s="34"/>
      <c r="D169" s="34"/>
      <c r="E169" s="34"/>
      <c r="F169" s="34"/>
      <c r="G169" s="34"/>
      <c r="H169" s="34"/>
      <c r="I169" s="29"/>
      <c r="J169" s="29"/>
      <c r="K169" s="29"/>
      <c r="L169" s="29"/>
      <c r="M169" s="34"/>
      <c r="N169" s="34"/>
      <c r="O169" s="29"/>
      <c r="P169" s="29"/>
      <c r="Q169" s="29"/>
      <c r="R169" s="29"/>
      <c r="S169" s="29"/>
      <c r="T169" s="29"/>
      <c r="U169" s="476"/>
      <c r="V169" s="107"/>
      <c r="W169" s="29"/>
      <c r="X169" s="34"/>
      <c r="Y169" s="34"/>
    </row>
    <row x14ac:dyDescent="0.25" r="170" customHeight="1" ht="15.75">
      <c r="A170" s="502"/>
      <c r="B170" s="34"/>
      <c r="C170" s="34"/>
      <c r="D170" s="34"/>
      <c r="E170" s="34"/>
      <c r="F170" s="34"/>
      <c r="G170" s="34"/>
      <c r="H170" s="34"/>
      <c r="I170" s="29"/>
      <c r="J170" s="29"/>
      <c r="K170" s="29"/>
      <c r="L170" s="29"/>
      <c r="M170" s="34"/>
      <c r="N170" s="34"/>
      <c r="O170" s="29"/>
      <c r="P170" s="29"/>
      <c r="Q170" s="29"/>
      <c r="R170" s="29"/>
      <c r="S170" s="29"/>
      <c r="T170" s="29"/>
      <c r="U170" s="476"/>
      <c r="V170" s="107"/>
      <c r="W170" s="29"/>
      <c r="X170" s="34"/>
      <c r="Y170" s="34"/>
    </row>
    <row x14ac:dyDescent="0.25" r="171" customHeight="1" ht="15.75">
      <c r="A171" s="502"/>
      <c r="B171" s="34"/>
      <c r="C171" s="34"/>
      <c r="D171" s="34"/>
      <c r="E171" s="34"/>
      <c r="F171" s="34"/>
      <c r="G171" s="34"/>
      <c r="H171" s="34"/>
      <c r="I171" s="29"/>
      <c r="J171" s="29"/>
      <c r="K171" s="29"/>
      <c r="L171" s="29"/>
      <c r="M171" s="34"/>
      <c r="N171" s="34"/>
      <c r="O171" s="29"/>
      <c r="P171" s="29"/>
      <c r="Q171" s="29"/>
      <c r="R171" s="29"/>
      <c r="S171" s="29"/>
      <c r="T171" s="29"/>
      <c r="U171" s="476"/>
      <c r="V171" s="107"/>
      <c r="W171" s="29"/>
      <c r="X171" s="34"/>
      <c r="Y171" s="34"/>
    </row>
    <row x14ac:dyDescent="0.25" r="172" customHeight="1" ht="15.75">
      <c r="A172" s="502"/>
      <c r="B172" s="34"/>
      <c r="C172" s="34"/>
      <c r="D172" s="34"/>
      <c r="E172" s="34"/>
      <c r="F172" s="34"/>
      <c r="G172" s="34"/>
      <c r="H172" s="34"/>
      <c r="I172" s="29"/>
      <c r="J172" s="29"/>
      <c r="K172" s="29"/>
      <c r="L172" s="29"/>
      <c r="M172" s="34"/>
      <c r="N172" s="34"/>
      <c r="O172" s="29"/>
      <c r="P172" s="29"/>
      <c r="Q172" s="29"/>
      <c r="R172" s="29"/>
      <c r="S172" s="29"/>
      <c r="T172" s="29"/>
      <c r="U172" s="476"/>
      <c r="V172" s="107"/>
      <c r="W172" s="29"/>
      <c r="X172" s="34"/>
      <c r="Y172" s="34"/>
    </row>
    <row x14ac:dyDescent="0.25" r="173" customHeight="1" ht="15.75">
      <c r="A173" s="502"/>
      <c r="B173" s="34"/>
      <c r="C173" s="34"/>
      <c r="D173" s="34"/>
      <c r="E173" s="34"/>
      <c r="F173" s="34"/>
      <c r="G173" s="34"/>
      <c r="H173" s="34"/>
      <c r="I173" s="29"/>
      <c r="J173" s="29"/>
      <c r="K173" s="29"/>
      <c r="L173" s="29"/>
      <c r="M173" s="34"/>
      <c r="N173" s="34"/>
      <c r="O173" s="29"/>
      <c r="P173" s="29"/>
      <c r="Q173" s="29"/>
      <c r="R173" s="29"/>
      <c r="S173" s="29"/>
      <c r="T173" s="29"/>
      <c r="U173" s="476"/>
      <c r="V173" s="107"/>
      <c r="W173" s="29"/>
      <c r="X173" s="34"/>
      <c r="Y173" s="34"/>
    </row>
    <row x14ac:dyDescent="0.25" r="174" customHeight="1" ht="15.75">
      <c r="A174" s="502"/>
      <c r="B174" s="34"/>
      <c r="C174" s="34"/>
      <c r="D174" s="34"/>
      <c r="E174" s="34"/>
      <c r="F174" s="34"/>
      <c r="G174" s="34"/>
      <c r="H174" s="34"/>
      <c r="I174" s="29"/>
      <c r="J174" s="29"/>
      <c r="K174" s="29"/>
      <c r="L174" s="29"/>
      <c r="M174" s="34"/>
      <c r="N174" s="34"/>
      <c r="O174" s="29"/>
      <c r="P174" s="29"/>
      <c r="Q174" s="29"/>
      <c r="R174" s="29"/>
      <c r="S174" s="29"/>
      <c r="T174" s="29"/>
      <c r="U174" s="476"/>
      <c r="V174" s="107"/>
      <c r="W174" s="29"/>
      <c r="X174" s="34"/>
      <c r="Y174" s="34"/>
    </row>
    <row x14ac:dyDescent="0.25" r="175" customHeight="1" ht="15.75">
      <c r="A175" s="502"/>
      <c r="B175" s="34"/>
      <c r="C175" s="34"/>
      <c r="D175" s="34"/>
      <c r="E175" s="34"/>
      <c r="F175" s="34"/>
      <c r="G175" s="34"/>
      <c r="H175" s="34"/>
      <c r="I175" s="29"/>
      <c r="J175" s="29"/>
      <c r="K175" s="29"/>
      <c r="L175" s="29"/>
      <c r="M175" s="34"/>
      <c r="N175" s="34"/>
      <c r="O175" s="29"/>
      <c r="P175" s="29"/>
      <c r="Q175" s="29"/>
      <c r="R175" s="29"/>
      <c r="S175" s="29"/>
      <c r="T175" s="29"/>
      <c r="U175" s="476"/>
      <c r="V175" s="107"/>
      <c r="W175" s="29"/>
      <c r="X175" s="34"/>
      <c r="Y175" s="34"/>
    </row>
    <row x14ac:dyDescent="0.25" r="176" customHeight="1" ht="15.75">
      <c r="A176" s="502"/>
      <c r="B176" s="34"/>
      <c r="C176" s="34"/>
      <c r="D176" s="34"/>
      <c r="E176" s="34"/>
      <c r="F176" s="34"/>
      <c r="G176" s="34"/>
      <c r="H176" s="34"/>
      <c r="I176" s="29"/>
      <c r="J176" s="29"/>
      <c r="K176" s="29"/>
      <c r="L176" s="29"/>
      <c r="M176" s="34"/>
      <c r="N176" s="34"/>
      <c r="O176" s="29"/>
      <c r="P176" s="29"/>
      <c r="Q176" s="29"/>
      <c r="R176" s="29"/>
      <c r="S176" s="29"/>
      <c r="T176" s="29"/>
      <c r="U176" s="476"/>
      <c r="V176" s="107"/>
      <c r="W176" s="29"/>
      <c r="X176" s="34"/>
      <c r="Y176" s="34"/>
    </row>
    <row x14ac:dyDescent="0.25" r="177" customHeight="1" ht="15.75">
      <c r="A177" s="502"/>
      <c r="B177" s="34"/>
      <c r="C177" s="34"/>
      <c r="D177" s="34"/>
      <c r="E177" s="34"/>
      <c r="F177" s="34"/>
      <c r="G177" s="34"/>
      <c r="H177" s="34"/>
      <c r="I177" s="29"/>
      <c r="J177" s="29"/>
      <c r="K177" s="29"/>
      <c r="L177" s="29"/>
      <c r="M177" s="34"/>
      <c r="N177" s="34"/>
      <c r="O177" s="29"/>
      <c r="P177" s="29"/>
      <c r="Q177" s="29"/>
      <c r="R177" s="29"/>
      <c r="S177" s="29"/>
      <c r="T177" s="29"/>
      <c r="U177" s="476"/>
      <c r="V177" s="107"/>
      <c r="W177" s="29"/>
      <c r="X177" s="34"/>
      <c r="Y177" s="34"/>
    </row>
    <row x14ac:dyDescent="0.25" r="178" customHeight="1" ht="15.75">
      <c r="A178" s="502"/>
      <c r="B178" s="34"/>
      <c r="C178" s="34"/>
      <c r="D178" s="34"/>
      <c r="E178" s="34"/>
      <c r="F178" s="34"/>
      <c r="G178" s="34"/>
      <c r="H178" s="34"/>
      <c r="I178" s="29"/>
      <c r="J178" s="29"/>
      <c r="K178" s="29"/>
      <c r="L178" s="29"/>
      <c r="M178" s="34"/>
      <c r="N178" s="34"/>
      <c r="O178" s="29"/>
      <c r="P178" s="29"/>
      <c r="Q178" s="29"/>
      <c r="R178" s="29"/>
      <c r="S178" s="29"/>
      <c r="T178" s="29"/>
      <c r="U178" s="476"/>
      <c r="V178" s="107"/>
      <c r="W178" s="29"/>
      <c r="X178" s="34"/>
      <c r="Y178" s="34"/>
    </row>
    <row x14ac:dyDescent="0.25" r="179" customHeight="1" ht="15.75">
      <c r="A179" s="502"/>
      <c r="B179" s="34"/>
      <c r="C179" s="34"/>
      <c r="D179" s="34"/>
      <c r="E179" s="34"/>
      <c r="F179" s="34"/>
      <c r="G179" s="34"/>
      <c r="H179" s="34"/>
      <c r="I179" s="29"/>
      <c r="J179" s="29"/>
      <c r="K179" s="29"/>
      <c r="L179" s="29"/>
      <c r="M179" s="34"/>
      <c r="N179" s="34"/>
      <c r="O179" s="29"/>
      <c r="P179" s="29"/>
      <c r="Q179" s="29"/>
      <c r="R179" s="29"/>
      <c r="S179" s="29"/>
      <c r="T179" s="29"/>
      <c r="U179" s="476"/>
      <c r="V179" s="107"/>
      <c r="W179" s="29"/>
      <c r="X179" s="34"/>
      <c r="Y179" s="34"/>
    </row>
    <row x14ac:dyDescent="0.25" r="180" customHeight="1" ht="15.75">
      <c r="A180" s="502"/>
      <c r="B180" s="34"/>
      <c r="C180" s="34"/>
      <c r="D180" s="34"/>
      <c r="E180" s="34"/>
      <c r="F180" s="34"/>
      <c r="G180" s="34"/>
      <c r="H180" s="34"/>
      <c r="I180" s="29"/>
      <c r="J180" s="29"/>
      <c r="K180" s="29"/>
      <c r="L180" s="29"/>
      <c r="M180" s="34"/>
      <c r="N180" s="34"/>
      <c r="O180" s="29"/>
      <c r="P180" s="29"/>
      <c r="Q180" s="29"/>
      <c r="R180" s="29"/>
      <c r="S180" s="29"/>
      <c r="T180" s="29"/>
      <c r="U180" s="476"/>
      <c r="V180" s="107"/>
      <c r="W180" s="29"/>
      <c r="X180" s="34"/>
      <c r="Y180" s="34"/>
    </row>
    <row x14ac:dyDescent="0.25" r="181" customHeight="1" ht="15.75">
      <c r="A181" s="502"/>
      <c r="B181" s="34"/>
      <c r="C181" s="34"/>
      <c r="D181" s="34"/>
      <c r="E181" s="34"/>
      <c r="F181" s="34"/>
      <c r="G181" s="34"/>
      <c r="H181" s="34"/>
      <c r="I181" s="29"/>
      <c r="J181" s="29"/>
      <c r="K181" s="29"/>
      <c r="L181" s="29"/>
      <c r="M181" s="34"/>
      <c r="N181" s="34"/>
      <c r="O181" s="29"/>
      <c r="P181" s="29"/>
      <c r="Q181" s="29"/>
      <c r="R181" s="29"/>
      <c r="S181" s="29"/>
      <c r="T181" s="29"/>
      <c r="U181" s="476"/>
      <c r="V181" s="107"/>
      <c r="W181" s="29"/>
      <c r="X181" s="34"/>
      <c r="Y181" s="34"/>
    </row>
    <row x14ac:dyDescent="0.25" r="182" customHeight="1" ht="15.75">
      <c r="A182" s="502"/>
      <c r="B182" s="34"/>
      <c r="C182" s="34"/>
      <c r="D182" s="34"/>
      <c r="E182" s="34"/>
      <c r="F182" s="34"/>
      <c r="G182" s="34"/>
      <c r="H182" s="34"/>
      <c r="I182" s="29"/>
      <c r="J182" s="29"/>
      <c r="K182" s="29"/>
      <c r="L182" s="29"/>
      <c r="M182" s="34"/>
      <c r="N182" s="34"/>
      <c r="O182" s="29"/>
      <c r="P182" s="29"/>
      <c r="Q182" s="29"/>
      <c r="R182" s="29"/>
      <c r="S182" s="29"/>
      <c r="T182" s="29"/>
      <c r="U182" s="476"/>
      <c r="V182" s="107"/>
      <c r="W182" s="29"/>
      <c r="X182" s="34"/>
      <c r="Y182" s="34"/>
    </row>
    <row x14ac:dyDescent="0.25" r="183" customHeight="1" ht="15.75">
      <c r="A183" s="502"/>
      <c r="B183" s="34"/>
      <c r="C183" s="34"/>
      <c r="D183" s="34"/>
      <c r="E183" s="34"/>
      <c r="F183" s="34"/>
      <c r="G183" s="34"/>
      <c r="H183" s="34"/>
      <c r="I183" s="29"/>
      <c r="J183" s="29"/>
      <c r="K183" s="29"/>
      <c r="L183" s="29"/>
      <c r="M183" s="34"/>
      <c r="N183" s="34"/>
      <c r="O183" s="29"/>
      <c r="P183" s="29"/>
      <c r="Q183" s="29"/>
      <c r="R183" s="29"/>
      <c r="S183" s="29"/>
      <c r="T183" s="29"/>
      <c r="U183" s="476"/>
      <c r="V183" s="107"/>
      <c r="W183" s="29"/>
      <c r="X183" s="34"/>
      <c r="Y183" s="34"/>
    </row>
    <row x14ac:dyDescent="0.25" r="184" customHeight="1" ht="15.75">
      <c r="A184" s="502"/>
      <c r="B184" s="34"/>
      <c r="C184" s="34"/>
      <c r="D184" s="34"/>
      <c r="E184" s="34"/>
      <c r="F184" s="34"/>
      <c r="G184" s="34"/>
      <c r="H184" s="34"/>
      <c r="I184" s="29"/>
      <c r="J184" s="29"/>
      <c r="K184" s="29"/>
      <c r="L184" s="29"/>
      <c r="M184" s="34"/>
      <c r="N184" s="34"/>
      <c r="O184" s="29"/>
      <c r="P184" s="29"/>
      <c r="Q184" s="29"/>
      <c r="R184" s="29"/>
      <c r="S184" s="29"/>
      <c r="T184" s="29"/>
      <c r="U184" s="476"/>
      <c r="V184" s="107"/>
      <c r="W184" s="29"/>
      <c r="X184" s="34"/>
      <c r="Y184" s="34"/>
    </row>
    <row x14ac:dyDescent="0.25" r="185" customHeight="1" ht="15.75">
      <c r="A185" s="502"/>
      <c r="B185" s="34"/>
      <c r="C185" s="34"/>
      <c r="D185" s="34"/>
      <c r="E185" s="34"/>
      <c r="F185" s="34"/>
      <c r="G185" s="34"/>
      <c r="H185" s="34"/>
      <c r="I185" s="29"/>
      <c r="J185" s="29"/>
      <c r="K185" s="29"/>
      <c r="L185" s="29"/>
      <c r="M185" s="34"/>
      <c r="N185" s="34"/>
      <c r="O185" s="29"/>
      <c r="P185" s="29"/>
      <c r="Q185" s="29"/>
      <c r="R185" s="29"/>
      <c r="S185" s="29"/>
      <c r="T185" s="29"/>
      <c r="U185" s="476"/>
      <c r="V185" s="107"/>
      <c r="W185" s="29"/>
      <c r="X185" s="34"/>
      <c r="Y185" s="34"/>
    </row>
    <row x14ac:dyDescent="0.25" r="186" customHeight="1" ht="15.75">
      <c r="A186" s="502"/>
      <c r="B186" s="34"/>
      <c r="C186" s="34"/>
      <c r="D186" s="34"/>
      <c r="E186" s="34"/>
      <c r="F186" s="34"/>
      <c r="G186" s="34"/>
      <c r="H186" s="34"/>
      <c r="I186" s="29"/>
      <c r="J186" s="29"/>
      <c r="K186" s="29"/>
      <c r="L186" s="29"/>
      <c r="M186" s="34"/>
      <c r="N186" s="34"/>
      <c r="O186" s="29"/>
      <c r="P186" s="29"/>
      <c r="Q186" s="29"/>
      <c r="R186" s="29"/>
      <c r="S186" s="29"/>
      <c r="T186" s="29"/>
      <c r="U186" s="476"/>
      <c r="V186" s="107"/>
      <c r="W186" s="29"/>
      <c r="X186" s="34"/>
      <c r="Y186" s="34"/>
    </row>
    <row x14ac:dyDescent="0.25" r="187" customHeight="1" ht="15.75">
      <c r="A187" s="502"/>
      <c r="B187" s="34"/>
      <c r="C187" s="34"/>
      <c r="D187" s="34"/>
      <c r="E187" s="34"/>
      <c r="F187" s="34"/>
      <c r="G187" s="34"/>
      <c r="H187" s="34"/>
      <c r="I187" s="29"/>
      <c r="J187" s="29"/>
      <c r="K187" s="29"/>
      <c r="L187" s="29"/>
      <c r="M187" s="34"/>
      <c r="N187" s="34"/>
      <c r="O187" s="29"/>
      <c r="P187" s="29"/>
      <c r="Q187" s="29"/>
      <c r="R187" s="29"/>
      <c r="S187" s="29"/>
      <c r="T187" s="29"/>
      <c r="U187" s="476"/>
      <c r="V187" s="107"/>
      <c r="W187" s="29"/>
      <c r="X187" s="34"/>
      <c r="Y187" s="34"/>
    </row>
    <row x14ac:dyDescent="0.25" r="188" customHeight="1" ht="15.75">
      <c r="A188" s="502"/>
      <c r="B188" s="34"/>
      <c r="C188" s="34"/>
      <c r="D188" s="34"/>
      <c r="E188" s="34"/>
      <c r="F188" s="34"/>
      <c r="G188" s="34"/>
      <c r="H188" s="34"/>
      <c r="I188" s="29"/>
      <c r="J188" s="29"/>
      <c r="K188" s="29"/>
      <c r="L188" s="29"/>
      <c r="M188" s="34"/>
      <c r="N188" s="34"/>
      <c r="O188" s="29"/>
      <c r="P188" s="29"/>
      <c r="Q188" s="29"/>
      <c r="R188" s="29"/>
      <c r="S188" s="29"/>
      <c r="T188" s="29"/>
      <c r="U188" s="476"/>
      <c r="V188" s="107"/>
      <c r="W188" s="29"/>
      <c r="X188" s="34"/>
      <c r="Y188" s="34"/>
    </row>
    <row x14ac:dyDescent="0.25" r="189" customHeight="1" ht="15.75">
      <c r="A189" s="502"/>
      <c r="B189" s="34"/>
      <c r="C189" s="34"/>
      <c r="D189" s="34"/>
      <c r="E189" s="34"/>
      <c r="F189" s="34"/>
      <c r="G189" s="34"/>
      <c r="H189" s="34"/>
      <c r="I189" s="29"/>
      <c r="J189" s="29"/>
      <c r="K189" s="29"/>
      <c r="L189" s="29"/>
      <c r="M189" s="34"/>
      <c r="N189" s="34"/>
      <c r="O189" s="29"/>
      <c r="P189" s="29"/>
      <c r="Q189" s="29"/>
      <c r="R189" s="29"/>
      <c r="S189" s="29"/>
      <c r="T189" s="29"/>
      <c r="U189" s="476"/>
      <c r="V189" s="107"/>
      <c r="W189" s="29"/>
      <c r="X189" s="34"/>
      <c r="Y189" s="34"/>
    </row>
    <row x14ac:dyDescent="0.25" r="190" customHeight="1" ht="15.75">
      <c r="A190" s="502"/>
      <c r="B190" s="34"/>
      <c r="C190" s="34"/>
      <c r="D190" s="34"/>
      <c r="E190" s="34"/>
      <c r="F190" s="34"/>
      <c r="G190" s="34"/>
      <c r="H190" s="34"/>
      <c r="I190" s="29"/>
      <c r="J190" s="29"/>
      <c r="K190" s="29"/>
      <c r="L190" s="29"/>
      <c r="M190" s="34"/>
      <c r="N190" s="34"/>
      <c r="O190" s="29"/>
      <c r="P190" s="29"/>
      <c r="Q190" s="29"/>
      <c r="R190" s="29"/>
      <c r="S190" s="29"/>
      <c r="T190" s="29"/>
      <c r="U190" s="476"/>
      <c r="V190" s="107"/>
      <c r="W190" s="29"/>
      <c r="X190" s="34"/>
      <c r="Y190" s="34"/>
    </row>
    <row x14ac:dyDescent="0.25" r="191" customHeight="1" ht="15.75">
      <c r="A191" s="502"/>
      <c r="B191" s="34"/>
      <c r="C191" s="34"/>
      <c r="D191" s="34"/>
      <c r="E191" s="34"/>
      <c r="F191" s="34"/>
      <c r="G191" s="34"/>
      <c r="H191" s="34"/>
      <c r="I191" s="29"/>
      <c r="J191" s="29"/>
      <c r="K191" s="29"/>
      <c r="L191" s="29"/>
      <c r="M191" s="34"/>
      <c r="N191" s="34"/>
      <c r="O191" s="29"/>
      <c r="P191" s="29"/>
      <c r="Q191" s="29"/>
      <c r="R191" s="29"/>
      <c r="S191" s="29"/>
      <c r="T191" s="29"/>
      <c r="U191" s="476"/>
      <c r="V191" s="107"/>
      <c r="W191" s="29"/>
      <c r="X191" s="34"/>
      <c r="Y191" s="34"/>
    </row>
    <row x14ac:dyDescent="0.25" r="192" customHeight="1" ht="15.75">
      <c r="A192" s="502"/>
      <c r="B192" s="34"/>
      <c r="C192" s="34"/>
      <c r="D192" s="34"/>
      <c r="E192" s="34"/>
      <c r="F192" s="34"/>
      <c r="G192" s="34"/>
      <c r="H192" s="34"/>
      <c r="I192" s="29"/>
      <c r="J192" s="29"/>
      <c r="K192" s="29"/>
      <c r="L192" s="29"/>
      <c r="M192" s="34"/>
      <c r="N192" s="34"/>
      <c r="O192" s="29"/>
      <c r="P192" s="29"/>
      <c r="Q192" s="29"/>
      <c r="R192" s="29"/>
      <c r="S192" s="29"/>
      <c r="T192" s="29"/>
      <c r="U192" s="476"/>
      <c r="V192" s="107"/>
      <c r="W192" s="29"/>
      <c r="X192" s="34"/>
      <c r="Y192" s="34"/>
    </row>
    <row x14ac:dyDescent="0.25" r="193" customHeight="1" ht="15.75">
      <c r="A193" s="502"/>
      <c r="B193" s="34"/>
      <c r="C193" s="34"/>
      <c r="D193" s="34"/>
      <c r="E193" s="34"/>
      <c r="F193" s="34"/>
      <c r="G193" s="34"/>
      <c r="H193" s="34"/>
      <c r="I193" s="29"/>
      <c r="J193" s="29"/>
      <c r="K193" s="29"/>
      <c r="L193" s="29"/>
      <c r="M193" s="34"/>
      <c r="N193" s="34"/>
      <c r="O193" s="29"/>
      <c r="P193" s="29"/>
      <c r="Q193" s="29"/>
      <c r="R193" s="29"/>
      <c r="S193" s="29"/>
      <c r="T193" s="29"/>
      <c r="U193" s="476"/>
      <c r="V193" s="107"/>
      <c r="W193" s="29"/>
      <c r="X193" s="34"/>
      <c r="Y193" s="34"/>
    </row>
    <row x14ac:dyDescent="0.25" r="194" customHeight="1" ht="15.75">
      <c r="A194" s="502"/>
      <c r="B194" s="34"/>
      <c r="C194" s="34"/>
      <c r="D194" s="34"/>
      <c r="E194" s="34"/>
      <c r="F194" s="34"/>
      <c r="G194" s="34"/>
      <c r="H194" s="34"/>
      <c r="I194" s="29"/>
      <c r="J194" s="29"/>
      <c r="K194" s="29"/>
      <c r="L194" s="29"/>
      <c r="M194" s="34"/>
      <c r="N194" s="34"/>
      <c r="O194" s="29"/>
      <c r="P194" s="29"/>
      <c r="Q194" s="29"/>
      <c r="R194" s="29"/>
      <c r="S194" s="29"/>
      <c r="T194" s="29"/>
      <c r="U194" s="476"/>
      <c r="V194" s="107"/>
      <c r="W194" s="29"/>
      <c r="X194" s="34"/>
      <c r="Y194" s="34"/>
    </row>
    <row x14ac:dyDescent="0.25" r="195" customHeight="1" ht="15.75">
      <c r="A195" s="502"/>
      <c r="B195" s="34"/>
      <c r="C195" s="34"/>
      <c r="D195" s="34"/>
      <c r="E195" s="34"/>
      <c r="F195" s="34"/>
      <c r="G195" s="34"/>
      <c r="H195" s="34"/>
      <c r="I195" s="29"/>
      <c r="J195" s="29"/>
      <c r="K195" s="29"/>
      <c r="L195" s="29"/>
      <c r="M195" s="34"/>
      <c r="N195" s="34"/>
      <c r="O195" s="29"/>
      <c r="P195" s="29"/>
      <c r="Q195" s="29"/>
      <c r="R195" s="29"/>
      <c r="S195" s="29"/>
      <c r="T195" s="29"/>
      <c r="U195" s="476"/>
      <c r="V195" s="107"/>
      <c r="W195" s="29"/>
      <c r="X195" s="34"/>
      <c r="Y195" s="34"/>
    </row>
    <row x14ac:dyDescent="0.25" r="196" customHeight="1" ht="15.75">
      <c r="A196" s="502"/>
      <c r="B196" s="34"/>
      <c r="C196" s="34"/>
      <c r="D196" s="34"/>
      <c r="E196" s="34"/>
      <c r="F196" s="34"/>
      <c r="G196" s="34"/>
      <c r="H196" s="34"/>
      <c r="I196" s="29"/>
      <c r="J196" s="29"/>
      <c r="K196" s="29"/>
      <c r="L196" s="29"/>
      <c r="M196" s="34"/>
      <c r="N196" s="34"/>
      <c r="O196" s="29"/>
      <c r="P196" s="29"/>
      <c r="Q196" s="29"/>
      <c r="R196" s="29"/>
      <c r="S196" s="29"/>
      <c r="T196" s="29"/>
      <c r="U196" s="476"/>
      <c r="V196" s="107"/>
      <c r="W196" s="29"/>
      <c r="X196" s="34"/>
      <c r="Y196" s="34"/>
    </row>
    <row x14ac:dyDescent="0.25" r="197" customHeight="1" ht="15.75">
      <c r="A197" s="502"/>
      <c r="B197" s="34"/>
      <c r="C197" s="34"/>
      <c r="D197" s="34"/>
      <c r="E197" s="34"/>
      <c r="F197" s="34"/>
      <c r="G197" s="34"/>
      <c r="H197" s="34"/>
      <c r="I197" s="29"/>
      <c r="J197" s="29"/>
      <c r="K197" s="29"/>
      <c r="L197" s="29"/>
      <c r="M197" s="34"/>
      <c r="N197" s="34"/>
      <c r="O197" s="29"/>
      <c r="P197" s="29"/>
      <c r="Q197" s="29"/>
      <c r="R197" s="29"/>
      <c r="S197" s="29"/>
      <c r="T197" s="29"/>
      <c r="U197" s="476"/>
      <c r="V197" s="107"/>
      <c r="W197" s="29"/>
      <c r="X197" s="34"/>
      <c r="Y197" s="34"/>
    </row>
    <row x14ac:dyDescent="0.25" r="198" customHeight="1" ht="15.75">
      <c r="A198" s="502"/>
      <c r="B198" s="34"/>
      <c r="C198" s="34"/>
      <c r="D198" s="34"/>
      <c r="E198" s="34"/>
      <c r="F198" s="34"/>
      <c r="G198" s="34"/>
      <c r="H198" s="34"/>
      <c r="I198" s="29"/>
      <c r="J198" s="29"/>
      <c r="K198" s="29"/>
      <c r="L198" s="29"/>
      <c r="M198" s="34"/>
      <c r="N198" s="34"/>
      <c r="O198" s="29"/>
      <c r="P198" s="29"/>
      <c r="Q198" s="29"/>
      <c r="R198" s="29"/>
      <c r="S198" s="29"/>
      <c r="T198" s="29"/>
      <c r="U198" s="476"/>
      <c r="V198" s="107"/>
      <c r="W198" s="29"/>
      <c r="X198" s="34"/>
      <c r="Y198" s="34"/>
    </row>
    <row x14ac:dyDescent="0.25" r="199" customHeight="1" ht="15.75">
      <c r="A199" s="502"/>
      <c r="B199" s="34"/>
      <c r="C199" s="34"/>
      <c r="D199" s="34"/>
      <c r="E199" s="34"/>
      <c r="F199" s="34"/>
      <c r="G199" s="34"/>
      <c r="H199" s="34"/>
      <c r="I199" s="29"/>
      <c r="J199" s="29"/>
      <c r="K199" s="29"/>
      <c r="L199" s="29"/>
      <c r="M199" s="34"/>
      <c r="N199" s="34"/>
      <c r="O199" s="29"/>
      <c r="P199" s="29"/>
      <c r="Q199" s="29"/>
      <c r="R199" s="29"/>
      <c r="S199" s="29"/>
      <c r="T199" s="29"/>
      <c r="U199" s="476"/>
      <c r="V199" s="107"/>
      <c r="W199" s="29"/>
      <c r="X199" s="34"/>
      <c r="Y199" s="34"/>
    </row>
    <row x14ac:dyDescent="0.25" r="200" customHeight="1" ht="15.75">
      <c r="A200" s="502"/>
      <c r="B200" s="34"/>
      <c r="C200" s="34"/>
      <c r="D200" s="34"/>
      <c r="E200" s="34"/>
      <c r="F200" s="34"/>
      <c r="G200" s="34"/>
      <c r="H200" s="34"/>
      <c r="I200" s="29"/>
      <c r="J200" s="29"/>
      <c r="K200" s="29"/>
      <c r="L200" s="29"/>
      <c r="M200" s="34"/>
      <c r="N200" s="34"/>
      <c r="O200" s="29"/>
      <c r="P200" s="29"/>
      <c r="Q200" s="29"/>
      <c r="R200" s="29"/>
      <c r="S200" s="29"/>
      <c r="T200" s="29"/>
      <c r="U200" s="476"/>
      <c r="V200" s="107"/>
      <c r="W200" s="29"/>
      <c r="X200" s="34"/>
      <c r="Y200" s="34"/>
    </row>
    <row x14ac:dyDescent="0.25" r="201" customHeight="1" ht="15.75">
      <c r="A201" s="502"/>
      <c r="B201" s="34"/>
      <c r="C201" s="34"/>
      <c r="D201" s="34"/>
      <c r="E201" s="34"/>
      <c r="F201" s="34"/>
      <c r="G201" s="34"/>
      <c r="H201" s="34"/>
      <c r="I201" s="29"/>
      <c r="J201" s="29"/>
      <c r="K201" s="29"/>
      <c r="L201" s="29"/>
      <c r="M201" s="34"/>
      <c r="N201" s="34"/>
      <c r="O201" s="29"/>
      <c r="P201" s="29"/>
      <c r="Q201" s="29"/>
      <c r="R201" s="29"/>
      <c r="S201" s="29"/>
      <c r="T201" s="29"/>
      <c r="U201" s="476"/>
      <c r="V201" s="107"/>
      <c r="W201" s="29"/>
      <c r="X201" s="34"/>
      <c r="Y201" s="34"/>
    </row>
    <row x14ac:dyDescent="0.25" r="202" customHeight="1" ht="15.75">
      <c r="A202" s="502"/>
      <c r="B202" s="34"/>
      <c r="C202" s="34"/>
      <c r="D202" s="34"/>
      <c r="E202" s="34"/>
      <c r="F202" s="34"/>
      <c r="G202" s="34"/>
      <c r="H202" s="34"/>
      <c r="I202" s="29"/>
      <c r="J202" s="29"/>
      <c r="K202" s="29"/>
      <c r="L202" s="29"/>
      <c r="M202" s="34"/>
      <c r="N202" s="34"/>
      <c r="O202" s="29"/>
      <c r="P202" s="29"/>
      <c r="Q202" s="29"/>
      <c r="R202" s="29"/>
      <c r="S202" s="29"/>
      <c r="T202" s="29"/>
      <c r="U202" s="476"/>
      <c r="V202" s="107"/>
      <c r="W202" s="29"/>
      <c r="X202" s="34"/>
      <c r="Y202" s="34"/>
    </row>
    <row x14ac:dyDescent="0.25" r="203" customHeight="1" ht="15.75">
      <c r="A203" s="502"/>
      <c r="B203" s="34"/>
      <c r="C203" s="34"/>
      <c r="D203" s="34"/>
      <c r="E203" s="34"/>
      <c r="F203" s="34"/>
      <c r="G203" s="34"/>
      <c r="H203" s="34"/>
      <c r="I203" s="29"/>
      <c r="J203" s="29"/>
      <c r="K203" s="29"/>
      <c r="L203" s="29"/>
      <c r="M203" s="34"/>
      <c r="N203" s="34"/>
      <c r="O203" s="29"/>
      <c r="P203" s="29"/>
      <c r="Q203" s="29"/>
      <c r="R203" s="29"/>
      <c r="S203" s="29"/>
      <c r="T203" s="29"/>
      <c r="U203" s="476"/>
      <c r="V203" s="107"/>
      <c r="W203" s="29"/>
      <c r="X203" s="34"/>
      <c r="Y203" s="34"/>
    </row>
    <row x14ac:dyDescent="0.25" r="204" customHeight="1" ht="15.75">
      <c r="A204" s="502"/>
      <c r="B204" s="34"/>
      <c r="C204" s="34"/>
      <c r="D204" s="34"/>
      <c r="E204" s="34"/>
      <c r="F204" s="34"/>
      <c r="G204" s="34"/>
      <c r="H204" s="34"/>
      <c r="I204" s="29"/>
      <c r="J204" s="29"/>
      <c r="K204" s="29"/>
      <c r="L204" s="29"/>
      <c r="M204" s="34"/>
      <c r="N204" s="34"/>
      <c r="O204" s="29"/>
      <c r="P204" s="29"/>
      <c r="Q204" s="29"/>
      <c r="R204" s="29"/>
      <c r="S204" s="29"/>
      <c r="T204" s="29"/>
      <c r="U204" s="476"/>
      <c r="V204" s="107"/>
      <c r="W204" s="29"/>
      <c r="X204" s="34"/>
      <c r="Y204" s="34"/>
    </row>
    <row x14ac:dyDescent="0.25" r="205" customHeight="1" ht="15.75">
      <c r="A205" s="502"/>
      <c r="B205" s="34"/>
      <c r="C205" s="34"/>
      <c r="D205" s="34"/>
      <c r="E205" s="34"/>
      <c r="F205" s="34"/>
      <c r="G205" s="34"/>
      <c r="H205" s="34"/>
      <c r="I205" s="29"/>
      <c r="J205" s="29"/>
      <c r="K205" s="29"/>
      <c r="L205" s="29"/>
      <c r="M205" s="34"/>
      <c r="N205" s="34"/>
      <c r="O205" s="29"/>
      <c r="P205" s="29"/>
      <c r="Q205" s="29"/>
      <c r="R205" s="29"/>
      <c r="S205" s="29"/>
      <c r="T205" s="29"/>
      <c r="U205" s="476"/>
      <c r="V205" s="107"/>
      <c r="W205" s="29"/>
      <c r="X205" s="34"/>
      <c r="Y205" s="34"/>
    </row>
    <row x14ac:dyDescent="0.25" r="206" customHeight="1" ht="15.75">
      <c r="A206" s="502"/>
      <c r="B206" s="34"/>
      <c r="C206" s="34"/>
      <c r="D206" s="34"/>
      <c r="E206" s="34"/>
      <c r="F206" s="34"/>
      <c r="G206" s="34"/>
      <c r="H206" s="34"/>
      <c r="I206" s="29"/>
      <c r="J206" s="29"/>
      <c r="K206" s="29"/>
      <c r="L206" s="29"/>
      <c r="M206" s="34"/>
      <c r="N206" s="34"/>
      <c r="O206" s="29"/>
      <c r="P206" s="29"/>
      <c r="Q206" s="29"/>
      <c r="R206" s="29"/>
      <c r="S206" s="29"/>
      <c r="T206" s="29"/>
      <c r="U206" s="476"/>
      <c r="V206" s="107"/>
      <c r="W206" s="29"/>
      <c r="X206" s="34"/>
      <c r="Y206" s="34"/>
    </row>
    <row x14ac:dyDescent="0.25" r="207" customHeight="1" ht="15.75">
      <c r="A207" s="502"/>
      <c r="B207" s="34"/>
      <c r="C207" s="34"/>
      <c r="D207" s="34"/>
      <c r="E207" s="34"/>
      <c r="F207" s="34"/>
      <c r="G207" s="34"/>
      <c r="H207" s="34"/>
      <c r="I207" s="29"/>
      <c r="J207" s="29"/>
      <c r="K207" s="29"/>
      <c r="L207" s="29"/>
      <c r="M207" s="34"/>
      <c r="N207" s="34"/>
      <c r="O207" s="29"/>
      <c r="P207" s="29"/>
      <c r="Q207" s="29"/>
      <c r="R207" s="29"/>
      <c r="S207" s="29"/>
      <c r="T207" s="29"/>
      <c r="U207" s="476"/>
      <c r="V207" s="107"/>
      <c r="W207" s="29"/>
      <c r="X207" s="34"/>
      <c r="Y207" s="34"/>
    </row>
    <row x14ac:dyDescent="0.25" r="208" customHeight="1" ht="15.75">
      <c r="A208" s="502"/>
      <c r="B208" s="34"/>
      <c r="C208" s="34"/>
      <c r="D208" s="34"/>
      <c r="E208" s="34"/>
      <c r="F208" s="34"/>
      <c r="G208" s="34"/>
      <c r="H208" s="34"/>
      <c r="I208" s="29"/>
      <c r="J208" s="29"/>
      <c r="K208" s="29"/>
      <c r="L208" s="29"/>
      <c r="M208" s="34"/>
      <c r="N208" s="34"/>
      <c r="O208" s="29"/>
      <c r="P208" s="29"/>
      <c r="Q208" s="29"/>
      <c r="R208" s="29"/>
      <c r="S208" s="29"/>
      <c r="T208" s="29"/>
      <c r="U208" s="476"/>
      <c r="V208" s="107"/>
      <c r="W208" s="29"/>
      <c r="X208" s="34"/>
      <c r="Y208" s="34"/>
    </row>
    <row x14ac:dyDescent="0.25" r="209" customHeight="1" ht="15.75">
      <c r="A209" s="502"/>
      <c r="B209" s="34"/>
      <c r="C209" s="34"/>
      <c r="D209" s="34"/>
      <c r="E209" s="34"/>
      <c r="F209" s="34"/>
      <c r="G209" s="34"/>
      <c r="H209" s="34"/>
      <c r="I209" s="29"/>
      <c r="J209" s="29"/>
      <c r="K209" s="29"/>
      <c r="L209" s="29"/>
      <c r="M209" s="34"/>
      <c r="N209" s="34"/>
      <c r="O209" s="29"/>
      <c r="P209" s="29"/>
      <c r="Q209" s="29"/>
      <c r="R209" s="29"/>
      <c r="S209" s="29"/>
      <c r="T209" s="29"/>
      <c r="U209" s="476"/>
      <c r="V209" s="107"/>
      <c r="W209" s="29"/>
      <c r="X209" s="34"/>
      <c r="Y209" s="34"/>
    </row>
    <row x14ac:dyDescent="0.25" r="210" customHeight="1" ht="15.75">
      <c r="A210" s="502"/>
      <c r="B210" s="34"/>
      <c r="C210" s="34"/>
      <c r="D210" s="34"/>
      <c r="E210" s="34"/>
      <c r="F210" s="34"/>
      <c r="G210" s="34"/>
      <c r="H210" s="34"/>
      <c r="I210" s="29"/>
      <c r="J210" s="29"/>
      <c r="K210" s="29"/>
      <c r="L210" s="29"/>
      <c r="M210" s="34"/>
      <c r="N210" s="34"/>
      <c r="O210" s="29"/>
      <c r="P210" s="29"/>
      <c r="Q210" s="29"/>
      <c r="R210" s="29"/>
      <c r="S210" s="29"/>
      <c r="T210" s="29"/>
      <c r="U210" s="476"/>
      <c r="V210" s="107"/>
      <c r="W210" s="29"/>
      <c r="X210" s="34"/>
      <c r="Y210" s="34"/>
    </row>
    <row x14ac:dyDescent="0.25" r="211" customHeight="1" ht="15.75">
      <c r="A211" s="502"/>
      <c r="B211" s="34"/>
      <c r="C211" s="34"/>
      <c r="D211" s="34"/>
      <c r="E211" s="34"/>
      <c r="F211" s="34"/>
      <c r="G211" s="34"/>
      <c r="H211" s="34"/>
      <c r="I211" s="29"/>
      <c r="J211" s="29"/>
      <c r="K211" s="29"/>
      <c r="L211" s="29"/>
      <c r="M211" s="34"/>
      <c r="N211" s="34"/>
      <c r="O211" s="29"/>
      <c r="P211" s="29"/>
      <c r="Q211" s="29"/>
      <c r="R211" s="29"/>
      <c r="S211" s="29"/>
      <c r="T211" s="29"/>
      <c r="U211" s="476"/>
      <c r="V211" s="107"/>
      <c r="W211" s="29"/>
      <c r="X211" s="34"/>
      <c r="Y211" s="34"/>
    </row>
    <row x14ac:dyDescent="0.25" r="212" customHeight="1" ht="15.75">
      <c r="A212" s="502"/>
      <c r="B212" s="34"/>
      <c r="C212" s="34"/>
      <c r="D212" s="34"/>
      <c r="E212" s="34"/>
      <c r="F212" s="34"/>
      <c r="G212" s="34"/>
      <c r="H212" s="34"/>
      <c r="I212" s="29"/>
      <c r="J212" s="29"/>
      <c r="K212" s="29"/>
      <c r="L212" s="29"/>
      <c r="M212" s="34"/>
      <c r="N212" s="34"/>
      <c r="O212" s="29"/>
      <c r="P212" s="29"/>
      <c r="Q212" s="29"/>
      <c r="R212" s="29"/>
      <c r="S212" s="29"/>
      <c r="T212" s="29"/>
      <c r="U212" s="476"/>
      <c r="V212" s="107"/>
      <c r="W212" s="29"/>
      <c r="X212" s="34"/>
      <c r="Y212" s="34"/>
    </row>
    <row x14ac:dyDescent="0.25" r="213" customHeight="1" ht="15.75">
      <c r="A213" s="502"/>
      <c r="B213" s="34"/>
      <c r="C213" s="34"/>
      <c r="D213" s="34"/>
      <c r="E213" s="34"/>
      <c r="F213" s="34"/>
      <c r="G213" s="34"/>
      <c r="H213" s="34"/>
      <c r="I213" s="29"/>
      <c r="J213" s="29"/>
      <c r="K213" s="29"/>
      <c r="L213" s="29"/>
      <c r="M213" s="34"/>
      <c r="N213" s="34"/>
      <c r="O213" s="29"/>
      <c r="P213" s="29"/>
      <c r="Q213" s="29"/>
      <c r="R213" s="29"/>
      <c r="S213" s="29"/>
      <c r="T213" s="29"/>
      <c r="U213" s="476"/>
      <c r="V213" s="107"/>
      <c r="W213" s="29"/>
      <c r="X213" s="34"/>
      <c r="Y213" s="34"/>
    </row>
    <row x14ac:dyDescent="0.25" r="214" customHeight="1" ht="15.75">
      <c r="A214" s="502"/>
      <c r="B214" s="34"/>
      <c r="C214" s="34"/>
      <c r="D214" s="34"/>
      <c r="E214" s="34"/>
      <c r="F214" s="34"/>
      <c r="G214" s="34"/>
      <c r="H214" s="34"/>
      <c r="I214" s="29"/>
      <c r="J214" s="29"/>
      <c r="K214" s="29"/>
      <c r="L214" s="29"/>
      <c r="M214" s="34"/>
      <c r="N214" s="34"/>
      <c r="O214" s="29"/>
      <c r="P214" s="29"/>
      <c r="Q214" s="29"/>
      <c r="R214" s="29"/>
      <c r="S214" s="29"/>
      <c r="T214" s="29"/>
      <c r="U214" s="476"/>
      <c r="V214" s="107"/>
      <c r="W214" s="29"/>
      <c r="X214" s="34"/>
      <c r="Y214" s="34"/>
    </row>
    <row x14ac:dyDescent="0.25" r="215" customHeight="1" ht="15.75">
      <c r="A215" s="502"/>
      <c r="B215" s="34"/>
      <c r="C215" s="34"/>
      <c r="D215" s="34"/>
      <c r="E215" s="34"/>
      <c r="F215" s="34"/>
      <c r="G215" s="34"/>
      <c r="H215" s="34"/>
      <c r="I215" s="29"/>
      <c r="J215" s="29"/>
      <c r="K215" s="29"/>
      <c r="L215" s="29"/>
      <c r="M215" s="34"/>
      <c r="N215" s="34"/>
      <c r="O215" s="29"/>
      <c r="P215" s="29"/>
      <c r="Q215" s="29"/>
      <c r="R215" s="29"/>
      <c r="S215" s="29"/>
      <c r="T215" s="29"/>
      <c r="U215" s="476"/>
      <c r="V215" s="107"/>
      <c r="W215" s="29"/>
      <c r="X215" s="34"/>
      <c r="Y215" s="34"/>
    </row>
    <row x14ac:dyDescent="0.25" r="216" customHeight="1" ht="15.75">
      <c r="A216" s="502"/>
      <c r="B216" s="34"/>
      <c r="C216" s="34"/>
      <c r="D216" s="34"/>
      <c r="E216" s="34"/>
      <c r="F216" s="34"/>
      <c r="G216" s="34"/>
      <c r="H216" s="34"/>
      <c r="I216" s="29"/>
      <c r="J216" s="29"/>
      <c r="K216" s="29"/>
      <c r="L216" s="29"/>
      <c r="M216" s="34"/>
      <c r="N216" s="34"/>
      <c r="O216" s="29"/>
      <c r="P216" s="29"/>
      <c r="Q216" s="29"/>
      <c r="R216" s="29"/>
      <c r="S216" s="29"/>
      <c r="T216" s="29"/>
      <c r="U216" s="476"/>
      <c r="V216" s="107"/>
      <c r="W216" s="29"/>
      <c r="X216" s="34"/>
      <c r="Y216" s="34"/>
    </row>
    <row x14ac:dyDescent="0.25" r="217" customHeight="1" ht="15.75">
      <c r="A217" s="502"/>
      <c r="B217" s="34"/>
      <c r="C217" s="34"/>
      <c r="D217" s="34"/>
      <c r="E217" s="34"/>
      <c r="F217" s="34"/>
      <c r="G217" s="34"/>
      <c r="H217" s="34"/>
      <c r="I217" s="29"/>
      <c r="J217" s="29"/>
      <c r="K217" s="29"/>
      <c r="L217" s="29"/>
      <c r="M217" s="34"/>
      <c r="N217" s="34"/>
      <c r="O217" s="29"/>
      <c r="P217" s="29"/>
      <c r="Q217" s="29"/>
      <c r="R217" s="29"/>
      <c r="S217" s="29"/>
      <c r="T217" s="29"/>
      <c r="U217" s="476"/>
      <c r="V217" s="107"/>
      <c r="W217" s="29"/>
      <c r="X217" s="34"/>
      <c r="Y217" s="34"/>
    </row>
    <row x14ac:dyDescent="0.25" r="218" customHeight="1" ht="15.75">
      <c r="A218" s="502"/>
      <c r="B218" s="34"/>
      <c r="C218" s="34"/>
      <c r="D218" s="34"/>
      <c r="E218" s="34"/>
      <c r="F218" s="34"/>
      <c r="G218" s="34"/>
      <c r="H218" s="34"/>
      <c r="I218" s="29"/>
      <c r="J218" s="29"/>
      <c r="K218" s="29"/>
      <c r="L218" s="29"/>
      <c r="M218" s="34"/>
      <c r="N218" s="34"/>
      <c r="O218" s="29"/>
      <c r="P218" s="29"/>
      <c r="Q218" s="29"/>
      <c r="R218" s="29"/>
      <c r="S218" s="29"/>
      <c r="T218" s="29"/>
      <c r="U218" s="476"/>
      <c r="V218" s="107"/>
      <c r="W218" s="29"/>
      <c r="X218" s="34"/>
      <c r="Y218" s="34"/>
    </row>
    <row x14ac:dyDescent="0.25" r="219" customHeight="1" ht="15.75">
      <c r="A219" s="502"/>
      <c r="B219" s="34"/>
      <c r="C219" s="34"/>
      <c r="D219" s="34"/>
      <c r="E219" s="34"/>
      <c r="F219" s="34"/>
      <c r="G219" s="34"/>
      <c r="H219" s="34"/>
      <c r="I219" s="29"/>
      <c r="J219" s="29"/>
      <c r="K219" s="29"/>
      <c r="L219" s="29"/>
      <c r="M219" s="34"/>
      <c r="N219" s="34"/>
      <c r="O219" s="29"/>
      <c r="P219" s="29"/>
      <c r="Q219" s="29"/>
      <c r="R219" s="29"/>
      <c r="S219" s="29"/>
      <c r="T219" s="29"/>
      <c r="U219" s="476"/>
      <c r="V219" s="107"/>
      <c r="W219" s="29"/>
      <c r="X219" s="34"/>
      <c r="Y219" s="34"/>
    </row>
    <row x14ac:dyDescent="0.25" r="220" customHeight="1" ht="15.75">
      <c r="A220" s="502"/>
      <c r="B220" s="34"/>
      <c r="C220" s="34"/>
      <c r="D220" s="34"/>
      <c r="E220" s="34"/>
      <c r="F220" s="34"/>
      <c r="G220" s="34"/>
      <c r="H220" s="34"/>
      <c r="I220" s="29"/>
      <c r="J220" s="29"/>
      <c r="K220" s="29"/>
      <c r="L220" s="29"/>
      <c r="M220" s="34"/>
      <c r="N220" s="34"/>
      <c r="O220" s="29"/>
      <c r="P220" s="29"/>
      <c r="Q220" s="29"/>
      <c r="R220" s="29"/>
      <c r="S220" s="29"/>
      <c r="T220" s="29"/>
      <c r="U220" s="476"/>
      <c r="V220" s="107"/>
      <c r="W220" s="29"/>
      <c r="X220" s="34"/>
      <c r="Y220" s="34"/>
    </row>
    <row x14ac:dyDescent="0.25" r="221" customHeight="1" ht="15.75">
      <c r="A221" s="502"/>
      <c r="B221" s="34"/>
      <c r="C221" s="34"/>
      <c r="D221" s="34"/>
      <c r="E221" s="34"/>
      <c r="F221" s="34"/>
      <c r="G221" s="34"/>
      <c r="H221" s="34"/>
      <c r="I221" s="29"/>
      <c r="J221" s="29"/>
      <c r="K221" s="29"/>
      <c r="L221" s="29"/>
      <c r="M221" s="34"/>
      <c r="N221" s="34"/>
      <c r="O221" s="29"/>
      <c r="P221" s="29"/>
      <c r="Q221" s="29"/>
      <c r="R221" s="29"/>
      <c r="S221" s="29"/>
      <c r="T221" s="29"/>
      <c r="U221" s="476"/>
      <c r="V221" s="107"/>
      <c r="W221" s="29"/>
      <c r="X221" s="34"/>
      <c r="Y221" s="34"/>
    </row>
    <row x14ac:dyDescent="0.25" r="222" customHeight="1" ht="15.75">
      <c r="A222" s="502"/>
      <c r="B222" s="34"/>
      <c r="C222" s="34"/>
      <c r="D222" s="34"/>
      <c r="E222" s="34"/>
      <c r="F222" s="34"/>
      <c r="G222" s="34"/>
      <c r="H222" s="34"/>
      <c r="I222" s="29"/>
      <c r="J222" s="29"/>
      <c r="K222" s="29"/>
      <c r="L222" s="29"/>
      <c r="M222" s="34"/>
      <c r="N222" s="34"/>
      <c r="O222" s="29"/>
      <c r="P222" s="29"/>
      <c r="Q222" s="29"/>
      <c r="R222" s="29"/>
      <c r="S222" s="29"/>
      <c r="T222" s="29"/>
      <c r="U222" s="476"/>
      <c r="V222" s="107"/>
      <c r="W222" s="29"/>
      <c r="X222" s="34"/>
      <c r="Y222" s="34"/>
    </row>
    <row x14ac:dyDescent="0.25" r="223" customHeight="1" ht="15.75">
      <c r="A223" s="502"/>
      <c r="B223" s="34"/>
      <c r="C223" s="34"/>
      <c r="D223" s="34"/>
      <c r="E223" s="34"/>
      <c r="F223" s="34"/>
      <c r="G223" s="34"/>
      <c r="H223" s="34"/>
      <c r="I223" s="29"/>
      <c r="J223" s="29"/>
      <c r="K223" s="29"/>
      <c r="L223" s="29"/>
      <c r="M223" s="34"/>
      <c r="N223" s="34"/>
      <c r="O223" s="29"/>
      <c r="P223" s="29"/>
      <c r="Q223" s="29"/>
      <c r="R223" s="29"/>
      <c r="S223" s="29"/>
      <c r="T223" s="29"/>
      <c r="U223" s="476"/>
      <c r="V223" s="107"/>
      <c r="W223" s="29"/>
      <c r="X223" s="34"/>
      <c r="Y223" s="34"/>
    </row>
    <row x14ac:dyDescent="0.25" r="224" customHeight="1" ht="15.75">
      <c r="A224" s="502"/>
      <c r="B224" s="34"/>
      <c r="C224" s="34"/>
      <c r="D224" s="34"/>
      <c r="E224" s="34"/>
      <c r="F224" s="34"/>
      <c r="G224" s="34"/>
      <c r="H224" s="34"/>
      <c r="I224" s="29"/>
      <c r="J224" s="29"/>
      <c r="K224" s="29"/>
      <c r="L224" s="29"/>
      <c r="M224" s="34"/>
      <c r="N224" s="34"/>
      <c r="O224" s="29"/>
      <c r="P224" s="29"/>
      <c r="Q224" s="29"/>
      <c r="R224" s="29"/>
      <c r="S224" s="29"/>
      <c r="T224" s="29"/>
      <c r="U224" s="476"/>
      <c r="V224" s="107"/>
      <c r="W224" s="29"/>
      <c r="X224" s="34"/>
      <c r="Y224" s="34"/>
    </row>
    <row x14ac:dyDescent="0.25" r="225" customHeight="1" ht="15.75">
      <c r="A225" s="502"/>
      <c r="B225" s="34"/>
      <c r="C225" s="34"/>
      <c r="D225" s="34"/>
      <c r="E225" s="34"/>
      <c r="F225" s="34"/>
      <c r="G225" s="34"/>
      <c r="H225" s="34"/>
      <c r="I225" s="29"/>
      <c r="J225" s="29"/>
      <c r="K225" s="29"/>
      <c r="L225" s="29"/>
      <c r="M225" s="34"/>
      <c r="N225" s="34"/>
      <c r="O225" s="29"/>
      <c r="P225" s="29"/>
      <c r="Q225" s="29"/>
      <c r="R225" s="29"/>
      <c r="S225" s="29"/>
      <c r="T225" s="29"/>
      <c r="U225" s="476"/>
      <c r="V225" s="107"/>
      <c r="W225" s="29"/>
      <c r="X225" s="34"/>
      <c r="Y225" s="34"/>
    </row>
    <row x14ac:dyDescent="0.25" r="226" customHeight="1" ht="15.75">
      <c r="A226" s="502"/>
      <c r="B226" s="34"/>
      <c r="C226" s="34"/>
      <c r="D226" s="34"/>
      <c r="E226" s="34"/>
      <c r="F226" s="34"/>
      <c r="G226" s="34"/>
      <c r="H226" s="34"/>
      <c r="I226" s="29"/>
      <c r="J226" s="29"/>
      <c r="K226" s="29"/>
      <c r="L226" s="29"/>
      <c r="M226" s="34"/>
      <c r="N226" s="34"/>
      <c r="O226" s="29"/>
      <c r="P226" s="29"/>
      <c r="Q226" s="29"/>
      <c r="R226" s="29"/>
      <c r="S226" s="29"/>
      <c r="T226" s="29"/>
      <c r="U226" s="476"/>
      <c r="V226" s="107"/>
      <c r="W226" s="29"/>
      <c r="X226" s="34"/>
      <c r="Y226" s="34"/>
    </row>
    <row x14ac:dyDescent="0.25" r="227" customHeight="1" ht="15.75">
      <c r="A227" s="502"/>
      <c r="B227" s="34"/>
      <c r="C227" s="34"/>
      <c r="D227" s="34"/>
      <c r="E227" s="34"/>
      <c r="F227" s="34"/>
      <c r="G227" s="34"/>
      <c r="H227" s="34"/>
      <c r="I227" s="29"/>
      <c r="J227" s="29"/>
      <c r="K227" s="29"/>
      <c r="L227" s="29"/>
      <c r="M227" s="34"/>
      <c r="N227" s="34"/>
      <c r="O227" s="29"/>
      <c r="P227" s="29"/>
      <c r="Q227" s="29"/>
      <c r="R227" s="29"/>
      <c r="S227" s="29"/>
      <c r="T227" s="29"/>
      <c r="U227" s="476"/>
      <c r="V227" s="107"/>
      <c r="W227" s="29"/>
      <c r="X227" s="34"/>
      <c r="Y227" s="34"/>
    </row>
    <row x14ac:dyDescent="0.25" r="228" customHeight="1" ht="15.75">
      <c r="A228" s="502"/>
      <c r="B228" s="34"/>
      <c r="C228" s="34"/>
      <c r="D228" s="34"/>
      <c r="E228" s="34"/>
      <c r="F228" s="34"/>
      <c r="G228" s="34"/>
      <c r="H228" s="34"/>
      <c r="I228" s="29"/>
      <c r="J228" s="29"/>
      <c r="K228" s="29"/>
      <c r="L228" s="29"/>
      <c r="M228" s="34"/>
      <c r="N228" s="34"/>
      <c r="O228" s="29"/>
      <c r="P228" s="29"/>
      <c r="Q228" s="29"/>
      <c r="R228" s="29"/>
      <c r="S228" s="29"/>
      <c r="T228" s="29"/>
      <c r="U228" s="476"/>
      <c r="V228" s="107"/>
      <c r="W228" s="29"/>
      <c r="X228" s="34"/>
      <c r="Y228" s="34"/>
    </row>
    <row x14ac:dyDescent="0.25" r="229" customHeight="1" ht="15.75">
      <c r="A229" s="502"/>
      <c r="B229" s="34"/>
      <c r="C229" s="34"/>
      <c r="D229" s="34"/>
      <c r="E229" s="34"/>
      <c r="F229" s="34"/>
      <c r="G229" s="34"/>
      <c r="H229" s="34"/>
      <c r="I229" s="29"/>
      <c r="J229" s="29"/>
      <c r="K229" s="29"/>
      <c r="L229" s="29"/>
      <c r="M229" s="34"/>
      <c r="N229" s="34"/>
      <c r="O229" s="29"/>
      <c r="P229" s="29"/>
      <c r="Q229" s="29"/>
      <c r="R229" s="29"/>
      <c r="S229" s="29"/>
      <c r="T229" s="29"/>
      <c r="U229" s="476"/>
      <c r="V229" s="107"/>
      <c r="W229" s="29"/>
      <c r="X229" s="34"/>
      <c r="Y229" s="34"/>
    </row>
    <row x14ac:dyDescent="0.25" r="230" customHeight="1" ht="15.75">
      <c r="A230" s="502"/>
      <c r="B230" s="34"/>
      <c r="C230" s="34"/>
      <c r="D230" s="34"/>
      <c r="E230" s="34"/>
      <c r="F230" s="34"/>
      <c r="G230" s="34"/>
      <c r="H230" s="34"/>
      <c r="I230" s="29"/>
      <c r="J230" s="29"/>
      <c r="K230" s="29"/>
      <c r="L230" s="29"/>
      <c r="M230" s="34"/>
      <c r="N230" s="34"/>
      <c r="O230" s="29"/>
      <c r="P230" s="29"/>
      <c r="Q230" s="29"/>
      <c r="R230" s="29"/>
      <c r="S230" s="29"/>
      <c r="T230" s="29"/>
      <c r="U230" s="476"/>
      <c r="V230" s="107"/>
      <c r="W230" s="29"/>
      <c r="X230" s="34"/>
      <c r="Y230" s="34"/>
    </row>
    <row x14ac:dyDescent="0.25" r="231" customHeight="1" ht="15.75">
      <c r="A231" s="502"/>
      <c r="B231" s="34"/>
      <c r="C231" s="34"/>
      <c r="D231" s="34"/>
      <c r="E231" s="34"/>
      <c r="F231" s="34"/>
      <c r="G231" s="34"/>
      <c r="H231" s="34"/>
      <c r="I231" s="29"/>
      <c r="J231" s="29"/>
      <c r="K231" s="29"/>
      <c r="L231" s="29"/>
      <c r="M231" s="34"/>
      <c r="N231" s="34"/>
      <c r="O231" s="29"/>
      <c r="P231" s="29"/>
      <c r="Q231" s="29"/>
      <c r="R231" s="29"/>
      <c r="S231" s="29"/>
      <c r="T231" s="29"/>
      <c r="U231" s="476"/>
      <c r="V231" s="107"/>
      <c r="W231" s="29"/>
      <c r="X231" s="34"/>
      <c r="Y231" s="34"/>
    </row>
    <row x14ac:dyDescent="0.25" r="232" customHeight="1" ht="15.75">
      <c r="A232" s="502"/>
      <c r="B232" s="34"/>
      <c r="C232" s="34"/>
      <c r="D232" s="34"/>
      <c r="E232" s="34"/>
      <c r="F232" s="34"/>
      <c r="G232" s="34"/>
      <c r="H232" s="34"/>
      <c r="I232" s="29"/>
      <c r="J232" s="29"/>
      <c r="K232" s="29"/>
      <c r="L232" s="29"/>
      <c r="M232" s="34"/>
      <c r="N232" s="34"/>
      <c r="O232" s="29"/>
      <c r="P232" s="29"/>
      <c r="Q232" s="29"/>
      <c r="R232" s="29"/>
      <c r="S232" s="29"/>
      <c r="T232" s="29"/>
      <c r="U232" s="476"/>
      <c r="V232" s="107"/>
      <c r="W232" s="29"/>
      <c r="X232" s="34"/>
      <c r="Y232" s="34"/>
    </row>
    <row x14ac:dyDescent="0.25" r="233" customHeight="1" ht="15.75">
      <c r="A233" s="502"/>
      <c r="B233" s="34"/>
      <c r="C233" s="34"/>
      <c r="D233" s="34"/>
      <c r="E233" s="34"/>
      <c r="F233" s="34"/>
      <c r="G233" s="34"/>
      <c r="H233" s="34"/>
      <c r="I233" s="29"/>
      <c r="J233" s="29"/>
      <c r="K233" s="29"/>
      <c r="L233" s="29"/>
      <c r="M233" s="34"/>
      <c r="N233" s="34"/>
      <c r="O233" s="29"/>
      <c r="P233" s="29"/>
      <c r="Q233" s="29"/>
      <c r="R233" s="29"/>
      <c r="S233" s="29"/>
      <c r="T233" s="29"/>
      <c r="U233" s="476"/>
      <c r="V233" s="107"/>
      <c r="W233" s="29"/>
      <c r="X233" s="34"/>
      <c r="Y233" s="34"/>
    </row>
    <row x14ac:dyDescent="0.25" r="234" customHeight="1" ht="15.75">
      <c r="A234" s="502"/>
      <c r="B234" s="34"/>
      <c r="C234" s="34"/>
      <c r="D234" s="34"/>
      <c r="E234" s="34"/>
      <c r="F234" s="34"/>
      <c r="G234" s="34"/>
      <c r="H234" s="34"/>
      <c r="I234" s="29"/>
      <c r="J234" s="29"/>
      <c r="K234" s="29"/>
      <c r="L234" s="29"/>
      <c r="M234" s="34"/>
      <c r="N234" s="34"/>
      <c r="O234" s="29"/>
      <c r="P234" s="29"/>
      <c r="Q234" s="29"/>
      <c r="R234" s="29"/>
      <c r="S234" s="29"/>
      <c r="T234" s="29"/>
      <c r="U234" s="476"/>
      <c r="V234" s="107"/>
      <c r="W234" s="29"/>
      <c r="X234" s="34"/>
      <c r="Y234" s="34"/>
    </row>
    <row x14ac:dyDescent="0.25" r="235" customHeight="1" ht="15.75">
      <c r="A235" s="502"/>
      <c r="B235" s="34"/>
      <c r="C235" s="34"/>
      <c r="D235" s="34"/>
      <c r="E235" s="34"/>
      <c r="F235" s="34"/>
      <c r="G235" s="34"/>
      <c r="H235" s="34"/>
      <c r="I235" s="29"/>
      <c r="J235" s="29"/>
      <c r="K235" s="29"/>
      <c r="L235" s="29"/>
      <c r="M235" s="34"/>
      <c r="N235" s="34"/>
      <c r="O235" s="29"/>
      <c r="P235" s="29"/>
      <c r="Q235" s="29"/>
      <c r="R235" s="29"/>
      <c r="S235" s="29"/>
      <c r="T235" s="29"/>
      <c r="U235" s="476"/>
      <c r="V235" s="107"/>
      <c r="W235" s="29"/>
      <c r="X235" s="34"/>
      <c r="Y235" s="34"/>
    </row>
    <row x14ac:dyDescent="0.25" r="236" customHeight="1" ht="15.75">
      <c r="A236" s="502"/>
      <c r="B236" s="34"/>
      <c r="C236" s="34"/>
      <c r="D236" s="34"/>
      <c r="E236" s="34"/>
      <c r="F236" s="34"/>
      <c r="G236" s="34"/>
      <c r="H236" s="34"/>
      <c r="I236" s="29"/>
      <c r="J236" s="29"/>
      <c r="K236" s="29"/>
      <c r="L236" s="29"/>
      <c r="M236" s="34"/>
      <c r="N236" s="34"/>
      <c r="O236" s="29"/>
      <c r="P236" s="29"/>
      <c r="Q236" s="29"/>
      <c r="R236" s="29"/>
      <c r="S236" s="29"/>
      <c r="T236" s="29"/>
      <c r="U236" s="476"/>
      <c r="V236" s="107"/>
      <c r="W236" s="29"/>
      <c r="X236" s="34"/>
      <c r="Y236" s="34"/>
    </row>
    <row x14ac:dyDescent="0.25" r="237" customHeight="1" ht="15.75">
      <c r="A237" s="502"/>
      <c r="B237" s="34"/>
      <c r="C237" s="34"/>
      <c r="D237" s="34"/>
      <c r="E237" s="34"/>
      <c r="F237" s="34"/>
      <c r="G237" s="34"/>
      <c r="H237" s="34"/>
      <c r="I237" s="29"/>
      <c r="J237" s="29"/>
      <c r="K237" s="29"/>
      <c r="L237" s="29"/>
      <c r="M237" s="34"/>
      <c r="N237" s="34"/>
      <c r="O237" s="29"/>
      <c r="P237" s="29"/>
      <c r="Q237" s="29"/>
      <c r="R237" s="29"/>
      <c r="S237" s="29"/>
      <c r="T237" s="29"/>
      <c r="U237" s="476"/>
      <c r="V237" s="107"/>
      <c r="W237" s="29"/>
      <c r="X237" s="34"/>
      <c r="Y237" s="34"/>
    </row>
    <row x14ac:dyDescent="0.25" r="238" customHeight="1" ht="15.75">
      <c r="A238" s="502"/>
      <c r="B238" s="34"/>
      <c r="C238" s="34"/>
      <c r="D238" s="34"/>
      <c r="E238" s="34"/>
      <c r="F238" s="34"/>
      <c r="G238" s="34"/>
      <c r="H238" s="34"/>
      <c r="I238" s="29"/>
      <c r="J238" s="29"/>
      <c r="K238" s="29"/>
      <c r="L238" s="29"/>
      <c r="M238" s="34"/>
      <c r="N238" s="34"/>
      <c r="O238" s="29"/>
      <c r="P238" s="29"/>
      <c r="Q238" s="29"/>
      <c r="R238" s="29"/>
      <c r="S238" s="29"/>
      <c r="T238" s="29"/>
      <c r="U238" s="476"/>
      <c r="V238" s="107"/>
      <c r="W238" s="29"/>
      <c r="X238" s="34"/>
      <c r="Y238" s="34"/>
    </row>
    <row x14ac:dyDescent="0.25" r="239" customHeight="1" ht="15.75">
      <c r="A239" s="502"/>
      <c r="B239" s="34"/>
      <c r="C239" s="34"/>
      <c r="D239" s="34"/>
      <c r="E239" s="34"/>
      <c r="F239" s="34"/>
      <c r="G239" s="34"/>
      <c r="H239" s="34"/>
      <c r="I239" s="29"/>
      <c r="J239" s="29"/>
      <c r="K239" s="29"/>
      <c r="L239" s="29"/>
      <c r="M239" s="34"/>
      <c r="N239" s="34"/>
      <c r="O239" s="29"/>
      <c r="P239" s="29"/>
      <c r="Q239" s="29"/>
      <c r="R239" s="29"/>
      <c r="S239" s="29"/>
      <c r="T239" s="29"/>
      <c r="U239" s="476"/>
      <c r="V239" s="107"/>
      <c r="W239" s="29"/>
      <c r="X239" s="34"/>
      <c r="Y239" s="34"/>
    </row>
    <row x14ac:dyDescent="0.25" r="240" customHeight="1" ht="15.75">
      <c r="A240" s="502"/>
      <c r="B240" s="34"/>
      <c r="C240" s="34"/>
      <c r="D240" s="34"/>
      <c r="E240" s="34"/>
      <c r="F240" s="34"/>
      <c r="G240" s="34"/>
      <c r="H240" s="34"/>
      <c r="I240" s="29"/>
      <c r="J240" s="29"/>
      <c r="K240" s="29"/>
      <c r="L240" s="29"/>
      <c r="M240" s="34"/>
      <c r="N240" s="34"/>
      <c r="O240" s="29"/>
      <c r="P240" s="29"/>
      <c r="Q240" s="29"/>
      <c r="R240" s="29"/>
      <c r="S240" s="29"/>
      <c r="T240" s="29"/>
      <c r="U240" s="476"/>
      <c r="V240" s="107"/>
      <c r="W240" s="29"/>
      <c r="X240" s="34"/>
      <c r="Y240" s="34"/>
    </row>
    <row x14ac:dyDescent="0.25" r="241" customHeight="1" ht="15.75">
      <c r="A241" s="502"/>
      <c r="B241" s="34"/>
      <c r="C241" s="34"/>
      <c r="D241" s="34"/>
      <c r="E241" s="34"/>
      <c r="F241" s="34"/>
      <c r="G241" s="34"/>
      <c r="H241" s="34"/>
      <c r="I241" s="29"/>
      <c r="J241" s="29"/>
      <c r="K241" s="29"/>
      <c r="L241" s="29"/>
      <c r="M241" s="34"/>
      <c r="N241" s="34"/>
      <c r="O241" s="29"/>
      <c r="P241" s="29"/>
      <c r="Q241" s="29"/>
      <c r="R241" s="29"/>
      <c r="S241" s="29"/>
      <c r="T241" s="29"/>
      <c r="U241" s="476"/>
      <c r="V241" s="107"/>
      <c r="W241" s="29"/>
      <c r="X241" s="34"/>
      <c r="Y241" s="34"/>
    </row>
    <row x14ac:dyDescent="0.25" r="242" customHeight="1" ht="15.75">
      <c r="A242" s="502"/>
      <c r="B242" s="34"/>
      <c r="C242" s="34"/>
      <c r="D242" s="34"/>
      <c r="E242" s="34"/>
      <c r="F242" s="34"/>
      <c r="G242" s="34"/>
      <c r="H242" s="34"/>
      <c r="I242" s="29"/>
      <c r="J242" s="29"/>
      <c r="K242" s="29"/>
      <c r="L242" s="29"/>
      <c r="M242" s="34"/>
      <c r="N242" s="34"/>
      <c r="O242" s="29"/>
      <c r="P242" s="29"/>
      <c r="Q242" s="29"/>
      <c r="R242" s="29"/>
      <c r="S242" s="29"/>
      <c r="T242" s="29"/>
      <c r="U242" s="476"/>
      <c r="V242" s="107"/>
      <c r="W242" s="29"/>
      <c r="X242" s="34"/>
      <c r="Y242" s="34"/>
    </row>
    <row x14ac:dyDescent="0.25" r="243" customHeight="1" ht="15.75">
      <c r="A243" s="502"/>
      <c r="B243" s="34"/>
      <c r="C243" s="34"/>
      <c r="D243" s="34"/>
      <c r="E243" s="34"/>
      <c r="F243" s="34"/>
      <c r="G243" s="34"/>
      <c r="H243" s="34"/>
      <c r="I243" s="29"/>
      <c r="J243" s="29"/>
      <c r="K243" s="29"/>
      <c r="L243" s="29"/>
      <c r="M243" s="34"/>
      <c r="N243" s="34"/>
      <c r="O243" s="29"/>
      <c r="P243" s="29"/>
      <c r="Q243" s="29"/>
      <c r="R243" s="29"/>
      <c r="S243" s="29"/>
      <c r="T243" s="29"/>
      <c r="U243" s="476"/>
      <c r="V243" s="107"/>
      <c r="W243" s="29"/>
      <c r="X243" s="34"/>
      <c r="Y243" s="34"/>
    </row>
    <row x14ac:dyDescent="0.25" r="244" customHeight="1" ht="15.75">
      <c r="A244" s="502"/>
      <c r="B244" s="34"/>
      <c r="C244" s="34"/>
      <c r="D244" s="34"/>
      <c r="E244" s="34"/>
      <c r="F244" s="34"/>
      <c r="G244" s="34"/>
      <c r="H244" s="34"/>
      <c r="I244" s="29"/>
      <c r="J244" s="29"/>
      <c r="K244" s="29"/>
      <c r="L244" s="29"/>
      <c r="M244" s="34"/>
      <c r="N244" s="34"/>
      <c r="O244" s="29"/>
      <c r="P244" s="29"/>
      <c r="Q244" s="29"/>
      <c r="R244" s="29"/>
      <c r="S244" s="29"/>
      <c r="T244" s="29"/>
      <c r="U244" s="476"/>
      <c r="V244" s="107"/>
      <c r="W244" s="29"/>
      <c r="X244" s="34"/>
      <c r="Y244" s="34"/>
    </row>
    <row x14ac:dyDescent="0.25" r="245" customHeight="1" ht="15.75">
      <c r="A245" s="502"/>
      <c r="B245" s="34"/>
      <c r="C245" s="34"/>
      <c r="D245" s="34"/>
      <c r="E245" s="34"/>
      <c r="F245" s="34"/>
      <c r="G245" s="34"/>
      <c r="H245" s="34"/>
      <c r="I245" s="29"/>
      <c r="J245" s="29"/>
      <c r="K245" s="29"/>
      <c r="L245" s="29"/>
      <c r="M245" s="34"/>
      <c r="N245" s="34"/>
      <c r="O245" s="29"/>
      <c r="P245" s="29"/>
      <c r="Q245" s="29"/>
      <c r="R245" s="29"/>
      <c r="S245" s="29"/>
      <c r="T245" s="29"/>
      <c r="U245" s="476"/>
      <c r="V245" s="107"/>
      <c r="W245" s="29"/>
      <c r="X245" s="34"/>
      <c r="Y245" s="34"/>
    </row>
    <row x14ac:dyDescent="0.25" r="246" customHeight="1" ht="15.75">
      <c r="A246" s="502"/>
      <c r="B246" s="34"/>
      <c r="C246" s="34"/>
      <c r="D246" s="34"/>
      <c r="E246" s="34"/>
      <c r="F246" s="34"/>
      <c r="G246" s="34"/>
      <c r="H246" s="34"/>
      <c r="I246" s="29"/>
      <c r="J246" s="29"/>
      <c r="K246" s="29"/>
      <c r="L246" s="29"/>
      <c r="M246" s="34"/>
      <c r="N246" s="34"/>
      <c r="O246" s="29"/>
      <c r="P246" s="29"/>
      <c r="Q246" s="29"/>
      <c r="R246" s="29"/>
      <c r="S246" s="29"/>
      <c r="T246" s="29"/>
      <c r="U246" s="476"/>
      <c r="V246" s="107"/>
      <c r="W246" s="29"/>
      <c r="X246" s="34"/>
      <c r="Y246" s="34"/>
    </row>
    <row x14ac:dyDescent="0.25" r="247" customHeight="1" ht="15.75">
      <c r="A247" s="502"/>
      <c r="B247" s="34"/>
      <c r="C247" s="34"/>
      <c r="D247" s="34"/>
      <c r="E247" s="34"/>
      <c r="F247" s="34"/>
      <c r="G247" s="34"/>
      <c r="H247" s="34"/>
      <c r="I247" s="29"/>
      <c r="J247" s="29"/>
      <c r="K247" s="29"/>
      <c r="L247" s="29"/>
      <c r="M247" s="34"/>
      <c r="N247" s="34"/>
      <c r="O247" s="29"/>
      <c r="P247" s="29"/>
      <c r="Q247" s="29"/>
      <c r="R247" s="29"/>
      <c r="S247" s="29"/>
      <c r="T247" s="29"/>
      <c r="U247" s="476"/>
      <c r="V247" s="107"/>
      <c r="W247" s="29"/>
      <c r="X247" s="34"/>
      <c r="Y247" s="34"/>
    </row>
    <row x14ac:dyDescent="0.25" r="248" customHeight="1" ht="15.75">
      <c r="A248" s="502"/>
      <c r="B248" s="34"/>
      <c r="C248" s="34"/>
      <c r="D248" s="34"/>
      <c r="E248" s="34"/>
      <c r="F248" s="34"/>
      <c r="G248" s="34"/>
      <c r="H248" s="34"/>
      <c r="I248" s="29"/>
      <c r="J248" s="29"/>
      <c r="K248" s="29"/>
      <c r="L248" s="29"/>
      <c r="M248" s="34"/>
      <c r="N248" s="34"/>
      <c r="O248" s="29"/>
      <c r="P248" s="29"/>
      <c r="Q248" s="29"/>
      <c r="R248" s="29"/>
      <c r="S248" s="29"/>
      <c r="T248" s="29"/>
      <c r="U248" s="476"/>
      <c r="V248" s="107"/>
      <c r="W248" s="29"/>
      <c r="X248" s="34"/>
      <c r="Y248" s="34"/>
    </row>
    <row x14ac:dyDescent="0.25" r="249" customHeight="1" ht="15.75">
      <c r="A249" s="502"/>
      <c r="B249" s="34"/>
      <c r="C249" s="34"/>
      <c r="D249" s="34"/>
      <c r="E249" s="34"/>
      <c r="F249" s="34"/>
      <c r="G249" s="34"/>
      <c r="H249" s="34"/>
      <c r="I249" s="29"/>
      <c r="J249" s="29"/>
      <c r="K249" s="29"/>
      <c r="L249" s="29"/>
      <c r="M249" s="34"/>
      <c r="N249" s="34"/>
      <c r="O249" s="29"/>
      <c r="P249" s="29"/>
      <c r="Q249" s="29"/>
      <c r="R249" s="29"/>
      <c r="S249" s="29"/>
      <c r="T249" s="29"/>
      <c r="U249" s="476"/>
      <c r="V249" s="107"/>
      <c r="W249" s="29"/>
      <c r="X249" s="34"/>
      <c r="Y249" s="34"/>
    </row>
    <row x14ac:dyDescent="0.25" r="250" customHeight="1" ht="15.75">
      <c r="A250" s="502"/>
      <c r="B250" s="34"/>
      <c r="C250" s="34"/>
      <c r="D250" s="34"/>
      <c r="E250" s="34"/>
      <c r="F250" s="34"/>
      <c r="G250" s="34"/>
      <c r="H250" s="34"/>
      <c r="I250" s="29"/>
      <c r="J250" s="29"/>
      <c r="K250" s="29"/>
      <c r="L250" s="29"/>
      <c r="M250" s="34"/>
      <c r="N250" s="34"/>
      <c r="O250" s="29"/>
      <c r="P250" s="29"/>
      <c r="Q250" s="29"/>
      <c r="R250" s="29"/>
      <c r="S250" s="29"/>
      <c r="T250" s="29"/>
      <c r="U250" s="476"/>
      <c r="V250" s="107"/>
      <c r="W250" s="29"/>
      <c r="X250" s="34"/>
      <c r="Y250" s="34"/>
    </row>
    <row x14ac:dyDescent="0.25" r="251" customHeight="1" ht="15.75">
      <c r="A251" s="502"/>
      <c r="B251" s="34"/>
      <c r="C251" s="34"/>
      <c r="D251" s="34"/>
      <c r="E251" s="34"/>
      <c r="F251" s="34"/>
      <c r="G251" s="34"/>
      <c r="H251" s="34"/>
      <c r="I251" s="29"/>
      <c r="J251" s="29"/>
      <c r="K251" s="29"/>
      <c r="L251" s="29"/>
      <c r="M251" s="34"/>
      <c r="N251" s="34"/>
      <c r="O251" s="29"/>
      <c r="P251" s="29"/>
      <c r="Q251" s="29"/>
      <c r="R251" s="29"/>
      <c r="S251" s="29"/>
      <c r="T251" s="29"/>
      <c r="U251" s="476"/>
      <c r="V251" s="107"/>
      <c r="W251" s="29"/>
      <c r="X251" s="34"/>
      <c r="Y251" s="34"/>
    </row>
    <row x14ac:dyDescent="0.25" r="252" customHeight="1" ht="15.75">
      <c r="A252" s="502"/>
      <c r="B252" s="34"/>
      <c r="C252" s="34"/>
      <c r="D252" s="34"/>
      <c r="E252" s="34"/>
      <c r="F252" s="34"/>
      <c r="G252" s="34"/>
      <c r="H252" s="34"/>
      <c r="I252" s="29"/>
      <c r="J252" s="29"/>
      <c r="K252" s="29"/>
      <c r="L252" s="29"/>
      <c r="M252" s="34"/>
      <c r="N252" s="34"/>
      <c r="O252" s="29"/>
      <c r="P252" s="29"/>
      <c r="Q252" s="29"/>
      <c r="R252" s="29"/>
      <c r="S252" s="29"/>
      <c r="T252" s="29"/>
      <c r="U252" s="476"/>
      <c r="V252" s="107"/>
      <c r="W252" s="29"/>
      <c r="X252" s="34"/>
      <c r="Y252" s="34"/>
    </row>
    <row x14ac:dyDescent="0.25" r="253" customHeight="1" ht="15.75">
      <c r="A253" s="502"/>
      <c r="B253" s="34"/>
      <c r="C253" s="34"/>
      <c r="D253" s="34"/>
      <c r="E253" s="34"/>
      <c r="F253" s="34"/>
      <c r="G253" s="34"/>
      <c r="H253" s="34"/>
      <c r="I253" s="29"/>
      <c r="J253" s="29"/>
      <c r="K253" s="29"/>
      <c r="L253" s="29"/>
      <c r="M253" s="34"/>
      <c r="N253" s="34"/>
      <c r="O253" s="29"/>
      <c r="P253" s="29"/>
      <c r="Q253" s="29"/>
      <c r="R253" s="29"/>
      <c r="S253" s="29"/>
      <c r="T253" s="29"/>
      <c r="U253" s="476"/>
      <c r="V253" s="107"/>
      <c r="W253" s="29"/>
      <c r="X253" s="34"/>
      <c r="Y253" s="34"/>
    </row>
    <row x14ac:dyDescent="0.25" r="254" customHeight="1" ht="15.75">
      <c r="A254" s="502"/>
      <c r="B254" s="34"/>
      <c r="C254" s="34"/>
      <c r="D254" s="34"/>
      <c r="E254" s="34"/>
      <c r="F254" s="34"/>
      <c r="G254" s="34"/>
      <c r="H254" s="34"/>
      <c r="I254" s="29"/>
      <c r="J254" s="29"/>
      <c r="K254" s="29"/>
      <c r="L254" s="29"/>
      <c r="M254" s="34"/>
      <c r="N254" s="34"/>
      <c r="O254" s="29"/>
      <c r="P254" s="29"/>
      <c r="Q254" s="29"/>
      <c r="R254" s="29"/>
      <c r="S254" s="29"/>
      <c r="T254" s="29"/>
      <c r="U254" s="476"/>
      <c r="V254" s="107"/>
      <c r="W254" s="29"/>
      <c r="X254" s="34"/>
      <c r="Y254" s="34"/>
    </row>
    <row x14ac:dyDescent="0.25" r="255" customHeight="1" ht="15.75">
      <c r="A255" s="502"/>
      <c r="B255" s="34"/>
      <c r="C255" s="34"/>
      <c r="D255" s="34"/>
      <c r="E255" s="34"/>
      <c r="F255" s="34"/>
      <c r="G255" s="34"/>
      <c r="H255" s="34"/>
      <c r="I255" s="29"/>
      <c r="J255" s="29"/>
      <c r="K255" s="29"/>
      <c r="L255" s="29"/>
      <c r="M255" s="34"/>
      <c r="N255" s="34"/>
      <c r="O255" s="29"/>
      <c r="P255" s="29"/>
      <c r="Q255" s="29"/>
      <c r="R255" s="29"/>
      <c r="S255" s="29"/>
      <c r="T255" s="29"/>
      <c r="U255" s="476"/>
      <c r="V255" s="107"/>
      <c r="W255" s="29"/>
      <c r="X255" s="34"/>
      <c r="Y255" s="34"/>
    </row>
    <row x14ac:dyDescent="0.25" r="256" customHeight="1" ht="15.75">
      <c r="A256" s="502"/>
      <c r="B256" s="34"/>
      <c r="C256" s="34"/>
      <c r="D256" s="34"/>
      <c r="E256" s="34"/>
      <c r="F256" s="34"/>
      <c r="G256" s="34"/>
      <c r="H256" s="34"/>
      <c r="I256" s="29"/>
      <c r="J256" s="29"/>
      <c r="K256" s="29"/>
      <c r="L256" s="29"/>
      <c r="M256" s="34"/>
      <c r="N256" s="34"/>
      <c r="O256" s="29"/>
      <c r="P256" s="29"/>
      <c r="Q256" s="29"/>
      <c r="R256" s="29"/>
      <c r="S256" s="29"/>
      <c r="T256" s="29"/>
      <c r="U256" s="476"/>
      <c r="V256" s="107"/>
      <c r="W256" s="29"/>
      <c r="X256" s="34"/>
      <c r="Y256" s="34"/>
    </row>
    <row x14ac:dyDescent="0.25" r="257" customHeight="1" ht="15.75">
      <c r="A257" s="502"/>
      <c r="B257" s="34"/>
      <c r="C257" s="34"/>
      <c r="D257" s="34"/>
      <c r="E257" s="34"/>
      <c r="F257" s="34"/>
      <c r="G257" s="34"/>
      <c r="H257" s="34"/>
      <c r="I257" s="29"/>
      <c r="J257" s="29"/>
      <c r="K257" s="29"/>
      <c r="L257" s="29"/>
      <c r="M257" s="34"/>
      <c r="N257" s="34"/>
      <c r="O257" s="29"/>
      <c r="P257" s="29"/>
      <c r="Q257" s="29"/>
      <c r="R257" s="29"/>
      <c r="S257" s="29"/>
      <c r="T257" s="29"/>
      <c r="U257" s="476"/>
      <c r="V257" s="107"/>
      <c r="W257" s="29"/>
      <c r="X257" s="34"/>
      <c r="Y257" s="34"/>
    </row>
    <row x14ac:dyDescent="0.25" r="258" customHeight="1" ht="15.75">
      <c r="A258" s="502"/>
      <c r="B258" s="34"/>
      <c r="C258" s="34"/>
      <c r="D258" s="34"/>
      <c r="E258" s="34"/>
      <c r="F258" s="34"/>
      <c r="G258" s="34"/>
      <c r="H258" s="34"/>
      <c r="I258" s="29"/>
      <c r="J258" s="29"/>
      <c r="K258" s="29"/>
      <c r="L258" s="29"/>
      <c r="M258" s="34"/>
      <c r="N258" s="34"/>
      <c r="O258" s="29"/>
      <c r="P258" s="29"/>
      <c r="Q258" s="29"/>
      <c r="R258" s="29"/>
      <c r="S258" s="29"/>
      <c r="T258" s="29"/>
      <c r="U258" s="476"/>
      <c r="V258" s="107"/>
      <c r="W258" s="29"/>
      <c r="X258" s="34"/>
      <c r="Y258" s="34"/>
    </row>
    <row x14ac:dyDescent="0.25" r="259" customHeight="1" ht="15.75">
      <c r="A259" s="502"/>
      <c r="B259" s="34"/>
      <c r="C259" s="34"/>
      <c r="D259" s="34"/>
      <c r="E259" s="34"/>
      <c r="F259" s="34"/>
      <c r="G259" s="34"/>
      <c r="H259" s="34"/>
      <c r="I259" s="29"/>
      <c r="J259" s="29"/>
      <c r="K259" s="29"/>
      <c r="L259" s="29"/>
      <c r="M259" s="34"/>
      <c r="N259" s="34"/>
      <c r="O259" s="29"/>
      <c r="P259" s="29"/>
      <c r="Q259" s="29"/>
      <c r="R259" s="29"/>
      <c r="S259" s="29"/>
      <c r="T259" s="29"/>
      <c r="U259" s="476"/>
      <c r="V259" s="107"/>
      <c r="W259" s="29"/>
      <c r="X259" s="34"/>
      <c r="Y259" s="34"/>
    </row>
    <row x14ac:dyDescent="0.25" r="260" customHeight="1" ht="15.75">
      <c r="A260" s="502"/>
      <c r="B260" s="34"/>
      <c r="C260" s="34"/>
      <c r="D260" s="34"/>
      <c r="E260" s="34"/>
      <c r="F260" s="34"/>
      <c r="G260" s="34"/>
      <c r="H260" s="34"/>
      <c r="I260" s="29"/>
      <c r="J260" s="29"/>
      <c r="K260" s="29"/>
      <c r="L260" s="29"/>
      <c r="M260" s="34"/>
      <c r="N260" s="34"/>
      <c r="O260" s="29"/>
      <c r="P260" s="29"/>
      <c r="Q260" s="29"/>
      <c r="R260" s="29"/>
      <c r="S260" s="29"/>
      <c r="T260" s="29"/>
      <c r="U260" s="476"/>
      <c r="V260" s="107"/>
      <c r="W260" s="29"/>
      <c r="X260" s="34"/>
      <c r="Y260" s="34"/>
    </row>
    <row x14ac:dyDescent="0.25" r="261" customHeight="1" ht="15.75">
      <c r="A261" s="502"/>
      <c r="B261" s="34"/>
      <c r="C261" s="34"/>
      <c r="D261" s="34"/>
      <c r="E261" s="34"/>
      <c r="F261" s="34"/>
      <c r="G261" s="34"/>
      <c r="H261" s="34"/>
      <c r="I261" s="29"/>
      <c r="J261" s="29"/>
      <c r="K261" s="29"/>
      <c r="L261" s="29"/>
      <c r="M261" s="34"/>
      <c r="N261" s="34"/>
      <c r="O261" s="29"/>
      <c r="P261" s="29"/>
      <c r="Q261" s="29"/>
      <c r="R261" s="29"/>
      <c r="S261" s="29"/>
      <c r="T261" s="29"/>
      <c r="U261" s="476"/>
      <c r="V261" s="107"/>
      <c r="W261" s="29"/>
      <c r="X261" s="34"/>
      <c r="Y261" s="34"/>
    </row>
    <row x14ac:dyDescent="0.25" r="262" customHeight="1" ht="15.75">
      <c r="A262" s="502"/>
      <c r="B262" s="34"/>
      <c r="C262" s="34"/>
      <c r="D262" s="34"/>
      <c r="E262" s="34"/>
      <c r="F262" s="34"/>
      <c r="G262" s="34"/>
      <c r="H262" s="34"/>
      <c r="I262" s="29"/>
      <c r="J262" s="29"/>
      <c r="K262" s="29"/>
      <c r="L262" s="29"/>
      <c r="M262" s="34"/>
      <c r="N262" s="34"/>
      <c r="O262" s="29"/>
      <c r="P262" s="29"/>
      <c r="Q262" s="29"/>
      <c r="R262" s="29"/>
      <c r="S262" s="29"/>
      <c r="T262" s="29"/>
      <c r="U262" s="476"/>
      <c r="V262" s="107"/>
      <c r="W262" s="29"/>
      <c r="X262" s="34"/>
      <c r="Y262" s="34"/>
    </row>
    <row x14ac:dyDescent="0.25" r="263" customHeight="1" ht="15.75">
      <c r="A263" s="502"/>
      <c r="B263" s="34"/>
      <c r="C263" s="34"/>
      <c r="D263" s="34"/>
      <c r="E263" s="34"/>
      <c r="F263" s="34"/>
      <c r="G263" s="34"/>
      <c r="H263" s="34"/>
      <c r="I263" s="29"/>
      <c r="J263" s="29"/>
      <c r="K263" s="29"/>
      <c r="L263" s="29"/>
      <c r="M263" s="34"/>
      <c r="N263" s="34"/>
      <c r="O263" s="29"/>
      <c r="P263" s="29"/>
      <c r="Q263" s="29"/>
      <c r="R263" s="29"/>
      <c r="S263" s="29"/>
      <c r="T263" s="29"/>
      <c r="U263" s="476"/>
      <c r="V263" s="107"/>
      <c r="W263" s="29"/>
      <c r="X263" s="34"/>
      <c r="Y263" s="34"/>
    </row>
    <row x14ac:dyDescent="0.25" r="264" customHeight="1" ht="15.75">
      <c r="A264" s="502"/>
      <c r="B264" s="34"/>
      <c r="C264" s="34"/>
      <c r="D264" s="34"/>
      <c r="E264" s="34"/>
      <c r="F264" s="34"/>
      <c r="G264" s="34"/>
      <c r="H264" s="34"/>
      <c r="I264" s="29"/>
      <c r="J264" s="29"/>
      <c r="K264" s="29"/>
      <c r="L264" s="29"/>
      <c r="M264" s="34"/>
      <c r="N264" s="34"/>
      <c r="O264" s="29"/>
      <c r="P264" s="29"/>
      <c r="Q264" s="29"/>
      <c r="R264" s="29"/>
      <c r="S264" s="29"/>
      <c r="T264" s="29"/>
      <c r="U264" s="476"/>
      <c r="V264" s="107"/>
      <c r="W264" s="29"/>
      <c r="X264" s="34"/>
      <c r="Y264" s="34"/>
    </row>
    <row x14ac:dyDescent="0.25" r="265" customHeight="1" ht="15.75">
      <c r="A265" s="502"/>
      <c r="B265" s="34"/>
      <c r="C265" s="34"/>
      <c r="D265" s="34"/>
      <c r="E265" s="34"/>
      <c r="F265" s="34"/>
      <c r="G265" s="34"/>
      <c r="H265" s="34"/>
      <c r="I265" s="29"/>
      <c r="J265" s="29"/>
      <c r="K265" s="29"/>
      <c r="L265" s="29"/>
      <c r="M265" s="34"/>
      <c r="N265" s="34"/>
      <c r="O265" s="29"/>
      <c r="P265" s="29"/>
      <c r="Q265" s="29"/>
      <c r="R265" s="29"/>
      <c r="S265" s="29"/>
      <c r="T265" s="29"/>
      <c r="U265" s="476"/>
      <c r="V265" s="107"/>
      <c r="W265" s="29"/>
      <c r="X265" s="34"/>
      <c r="Y265" s="34"/>
    </row>
    <row x14ac:dyDescent="0.25" r="266" customHeight="1" ht="15.75">
      <c r="A266" s="502"/>
      <c r="B266" s="34"/>
      <c r="C266" s="34"/>
      <c r="D266" s="34"/>
      <c r="E266" s="34"/>
      <c r="F266" s="34"/>
      <c r="G266" s="34"/>
      <c r="H266" s="34"/>
      <c r="I266" s="29"/>
      <c r="J266" s="29"/>
      <c r="K266" s="29"/>
      <c r="L266" s="29"/>
      <c r="M266" s="34"/>
      <c r="N266" s="34"/>
      <c r="O266" s="29"/>
      <c r="P266" s="29"/>
      <c r="Q266" s="29"/>
      <c r="R266" s="29"/>
      <c r="S266" s="29"/>
      <c r="T266" s="29"/>
      <c r="U266" s="476"/>
      <c r="V266" s="107"/>
      <c r="W266" s="29"/>
      <c r="X266" s="34"/>
      <c r="Y266" s="34"/>
    </row>
    <row x14ac:dyDescent="0.25" r="267" customHeight="1" ht="15.75">
      <c r="A267" s="502"/>
      <c r="B267" s="34"/>
      <c r="C267" s="34"/>
      <c r="D267" s="34"/>
      <c r="E267" s="34"/>
      <c r="F267" s="34"/>
      <c r="G267" s="34"/>
      <c r="H267" s="34"/>
      <c r="I267" s="29"/>
      <c r="J267" s="29"/>
      <c r="K267" s="29"/>
      <c r="L267" s="29"/>
      <c r="M267" s="34"/>
      <c r="N267" s="34"/>
      <c r="O267" s="29"/>
      <c r="P267" s="29"/>
      <c r="Q267" s="29"/>
      <c r="R267" s="29"/>
      <c r="S267" s="29"/>
      <c r="T267" s="29"/>
      <c r="U267" s="476"/>
      <c r="V267" s="107"/>
      <c r="W267" s="29"/>
      <c r="X267" s="34"/>
      <c r="Y267" s="34"/>
    </row>
    <row x14ac:dyDescent="0.25" r="268" customHeight="1" ht="15.75">
      <c r="A268" s="502"/>
      <c r="B268" s="34"/>
      <c r="C268" s="34"/>
      <c r="D268" s="34"/>
      <c r="E268" s="34"/>
      <c r="F268" s="34"/>
      <c r="G268" s="34"/>
      <c r="H268" s="34"/>
      <c r="I268" s="29"/>
      <c r="J268" s="29"/>
      <c r="K268" s="29"/>
      <c r="L268" s="29"/>
      <c r="M268" s="34"/>
      <c r="N268" s="34"/>
      <c r="O268" s="29"/>
      <c r="P268" s="29"/>
      <c r="Q268" s="29"/>
      <c r="R268" s="29"/>
      <c r="S268" s="29"/>
      <c r="T268" s="29"/>
      <c r="U268" s="476"/>
      <c r="V268" s="107"/>
      <c r="W268" s="29"/>
      <c r="X268" s="34"/>
      <c r="Y268" s="34"/>
    </row>
    <row x14ac:dyDescent="0.25" r="269" customHeight="1" ht="15.75">
      <c r="A269" s="502"/>
      <c r="B269" s="34"/>
      <c r="C269" s="34"/>
      <c r="D269" s="34"/>
      <c r="E269" s="34"/>
      <c r="F269" s="34"/>
      <c r="G269" s="34"/>
      <c r="H269" s="34"/>
      <c r="I269" s="29"/>
      <c r="J269" s="29"/>
      <c r="K269" s="29"/>
      <c r="L269" s="29"/>
      <c r="M269" s="34"/>
      <c r="N269" s="34"/>
      <c r="O269" s="29"/>
      <c r="P269" s="29"/>
      <c r="Q269" s="29"/>
      <c r="R269" s="29"/>
      <c r="S269" s="29"/>
      <c r="T269" s="29"/>
      <c r="U269" s="476"/>
      <c r="V269" s="107"/>
      <c r="W269" s="29"/>
      <c r="X269" s="34"/>
      <c r="Y269" s="34"/>
    </row>
    <row x14ac:dyDescent="0.25" r="270" customHeight="1" ht="15.75">
      <c r="A270" s="502"/>
      <c r="B270" s="34"/>
      <c r="C270" s="34"/>
      <c r="D270" s="34"/>
      <c r="E270" s="34"/>
      <c r="F270" s="34"/>
      <c r="G270" s="34"/>
      <c r="H270" s="34"/>
      <c r="I270" s="29"/>
      <c r="J270" s="29"/>
      <c r="K270" s="29"/>
      <c r="L270" s="29"/>
      <c r="M270" s="34"/>
      <c r="N270" s="34"/>
      <c r="O270" s="29"/>
      <c r="P270" s="29"/>
      <c r="Q270" s="29"/>
      <c r="R270" s="29"/>
      <c r="S270" s="29"/>
      <c r="T270" s="29"/>
      <c r="U270" s="476"/>
      <c r="V270" s="107"/>
      <c r="W270" s="29"/>
      <c r="X270" s="34"/>
      <c r="Y270" s="34"/>
    </row>
    <row x14ac:dyDescent="0.25" r="271" customHeight="1" ht="15.75">
      <c r="A271" s="502"/>
      <c r="B271" s="34"/>
      <c r="C271" s="34"/>
      <c r="D271" s="34"/>
      <c r="E271" s="34"/>
      <c r="F271" s="34"/>
      <c r="G271" s="34"/>
      <c r="H271" s="34"/>
      <c r="I271" s="29"/>
      <c r="J271" s="29"/>
      <c r="K271" s="29"/>
      <c r="L271" s="29"/>
      <c r="M271" s="34"/>
      <c r="N271" s="34"/>
      <c r="O271" s="29"/>
      <c r="P271" s="29"/>
      <c r="Q271" s="29"/>
      <c r="R271" s="29"/>
      <c r="S271" s="29"/>
      <c r="T271" s="29"/>
      <c r="U271" s="476"/>
      <c r="V271" s="107"/>
      <c r="W271" s="29"/>
      <c r="X271" s="34"/>
      <c r="Y271" s="34"/>
    </row>
    <row x14ac:dyDescent="0.25" r="272" customHeight="1" ht="15.75">
      <c r="A272" s="502"/>
      <c r="B272" s="34"/>
      <c r="C272" s="34"/>
      <c r="D272" s="34"/>
      <c r="E272" s="34"/>
      <c r="F272" s="34"/>
      <c r="G272" s="34"/>
      <c r="H272" s="34"/>
      <c r="I272" s="29"/>
      <c r="J272" s="29"/>
      <c r="K272" s="29"/>
      <c r="L272" s="29"/>
      <c r="M272" s="34"/>
      <c r="N272" s="34"/>
      <c r="O272" s="29"/>
      <c r="P272" s="29"/>
      <c r="Q272" s="29"/>
      <c r="R272" s="29"/>
      <c r="S272" s="29"/>
      <c r="T272" s="29"/>
      <c r="U272" s="476"/>
      <c r="V272" s="107"/>
      <c r="W272" s="29"/>
      <c r="X272" s="34"/>
      <c r="Y272" s="34"/>
    </row>
    <row x14ac:dyDescent="0.25" r="273" customHeight="1" ht="15.75">
      <c r="A273" s="502"/>
      <c r="B273" s="34"/>
      <c r="C273" s="34"/>
      <c r="D273" s="34"/>
      <c r="E273" s="34"/>
      <c r="F273" s="34"/>
      <c r="G273" s="34"/>
      <c r="H273" s="34"/>
      <c r="I273" s="29"/>
      <c r="J273" s="29"/>
      <c r="K273" s="29"/>
      <c r="L273" s="29"/>
      <c r="M273" s="34"/>
      <c r="N273" s="34"/>
      <c r="O273" s="29"/>
      <c r="P273" s="29"/>
      <c r="Q273" s="29"/>
      <c r="R273" s="29"/>
      <c r="S273" s="29"/>
      <c r="T273" s="29"/>
      <c r="U273" s="476"/>
      <c r="V273" s="107"/>
      <c r="W273" s="29"/>
      <c r="X273" s="34"/>
      <c r="Y273" s="34"/>
    </row>
    <row x14ac:dyDescent="0.25" r="274" customHeight="1" ht="15.75">
      <c r="A274" s="502"/>
      <c r="B274" s="34"/>
      <c r="C274" s="34"/>
      <c r="D274" s="34"/>
      <c r="E274" s="34"/>
      <c r="F274" s="34"/>
      <c r="G274" s="34"/>
      <c r="H274" s="34"/>
      <c r="I274" s="29"/>
      <c r="J274" s="29"/>
      <c r="K274" s="29"/>
      <c r="L274" s="29"/>
      <c r="M274" s="34"/>
      <c r="N274" s="34"/>
      <c r="O274" s="29"/>
      <c r="P274" s="29"/>
      <c r="Q274" s="29"/>
      <c r="R274" s="29"/>
      <c r="S274" s="29"/>
      <c r="T274" s="29"/>
      <c r="U274" s="476"/>
      <c r="V274" s="107"/>
      <c r="W274" s="29"/>
      <c r="X274" s="34"/>
      <c r="Y274" s="34"/>
    </row>
    <row x14ac:dyDescent="0.25" r="275" customHeight="1" ht="15.75">
      <c r="A275" s="502"/>
      <c r="B275" s="34"/>
      <c r="C275" s="34"/>
      <c r="D275" s="34"/>
      <c r="E275" s="34"/>
      <c r="F275" s="34"/>
      <c r="G275" s="34"/>
      <c r="H275" s="34"/>
      <c r="I275" s="29"/>
      <c r="J275" s="29"/>
      <c r="K275" s="29"/>
      <c r="L275" s="29"/>
      <c r="M275" s="34"/>
      <c r="N275" s="34"/>
      <c r="O275" s="29"/>
      <c r="P275" s="29"/>
      <c r="Q275" s="29"/>
      <c r="R275" s="29"/>
      <c r="S275" s="29"/>
      <c r="T275" s="29"/>
      <c r="U275" s="476"/>
      <c r="V275" s="107"/>
      <c r="W275" s="29"/>
      <c r="X275" s="34"/>
      <c r="Y275" s="34"/>
    </row>
    <row x14ac:dyDescent="0.25" r="276" customHeight="1" ht="15.75">
      <c r="A276" s="502"/>
      <c r="B276" s="34"/>
      <c r="C276" s="34"/>
      <c r="D276" s="34"/>
      <c r="E276" s="34"/>
      <c r="F276" s="34"/>
      <c r="G276" s="34"/>
      <c r="H276" s="34"/>
      <c r="I276" s="29"/>
      <c r="J276" s="29"/>
      <c r="K276" s="29"/>
      <c r="L276" s="29"/>
      <c r="M276" s="34"/>
      <c r="N276" s="34"/>
      <c r="O276" s="29"/>
      <c r="P276" s="29"/>
      <c r="Q276" s="29"/>
      <c r="R276" s="29"/>
      <c r="S276" s="29"/>
      <c r="T276" s="29"/>
      <c r="U276" s="476"/>
      <c r="V276" s="107"/>
      <c r="W276" s="29"/>
      <c r="X276" s="34"/>
      <c r="Y276" s="34"/>
    </row>
    <row x14ac:dyDescent="0.25" r="277" customHeight="1" ht="15.75">
      <c r="A277" s="502"/>
      <c r="B277" s="34"/>
      <c r="C277" s="34"/>
      <c r="D277" s="34"/>
      <c r="E277" s="34"/>
      <c r="F277" s="34"/>
      <c r="G277" s="34"/>
      <c r="H277" s="34"/>
      <c r="I277" s="29"/>
      <c r="J277" s="29"/>
      <c r="K277" s="29"/>
      <c r="L277" s="29"/>
      <c r="M277" s="34"/>
      <c r="N277" s="34"/>
      <c r="O277" s="29"/>
      <c r="P277" s="29"/>
      <c r="Q277" s="29"/>
      <c r="R277" s="29"/>
      <c r="S277" s="29"/>
      <c r="T277" s="29"/>
      <c r="U277" s="476"/>
      <c r="V277" s="107"/>
      <c r="W277" s="29"/>
      <c r="X277" s="34"/>
      <c r="Y277" s="34"/>
    </row>
    <row x14ac:dyDescent="0.25" r="278" customHeight="1" ht="15.75">
      <c r="A278" s="502"/>
      <c r="B278" s="34"/>
      <c r="C278" s="34"/>
      <c r="D278" s="34"/>
      <c r="E278" s="34"/>
      <c r="F278" s="34"/>
      <c r="G278" s="34"/>
      <c r="H278" s="34"/>
      <c r="I278" s="29"/>
      <c r="J278" s="29"/>
      <c r="K278" s="29"/>
      <c r="L278" s="29"/>
      <c r="M278" s="34"/>
      <c r="N278" s="34"/>
      <c r="O278" s="29"/>
      <c r="P278" s="29"/>
      <c r="Q278" s="29"/>
      <c r="R278" s="29"/>
      <c r="S278" s="29"/>
      <c r="T278" s="29"/>
      <c r="U278" s="476"/>
      <c r="V278" s="107"/>
      <c r="W278" s="29"/>
      <c r="X278" s="34"/>
      <c r="Y278" s="34"/>
    </row>
    <row x14ac:dyDescent="0.25" r="279" customHeight="1" ht="15.75">
      <c r="A279" s="502"/>
      <c r="B279" s="34"/>
      <c r="C279" s="34"/>
      <c r="D279" s="34"/>
      <c r="E279" s="34"/>
      <c r="F279" s="34"/>
      <c r="G279" s="34"/>
      <c r="H279" s="34"/>
      <c r="I279" s="29"/>
      <c r="J279" s="29"/>
      <c r="K279" s="29"/>
      <c r="L279" s="29"/>
      <c r="M279" s="34"/>
      <c r="N279" s="34"/>
      <c r="O279" s="29"/>
      <c r="P279" s="29"/>
      <c r="Q279" s="29"/>
      <c r="R279" s="29"/>
      <c r="S279" s="29"/>
      <c r="T279" s="29"/>
      <c r="U279" s="476"/>
      <c r="V279" s="107"/>
      <c r="W279" s="29"/>
      <c r="X279" s="34"/>
      <c r="Y279" s="34"/>
    </row>
    <row x14ac:dyDescent="0.25" r="280" customHeight="1" ht="15.75">
      <c r="A280" s="502"/>
      <c r="B280" s="34"/>
      <c r="C280" s="34"/>
      <c r="D280" s="34"/>
      <c r="E280" s="34"/>
      <c r="F280" s="34"/>
      <c r="G280" s="34"/>
      <c r="H280" s="34"/>
      <c r="I280" s="29"/>
      <c r="J280" s="29"/>
      <c r="K280" s="29"/>
      <c r="L280" s="29"/>
      <c r="M280" s="34"/>
      <c r="N280" s="34"/>
      <c r="O280" s="29"/>
      <c r="P280" s="29"/>
      <c r="Q280" s="29"/>
      <c r="R280" s="29"/>
      <c r="S280" s="29"/>
      <c r="T280" s="29"/>
      <c r="U280" s="476"/>
      <c r="V280" s="107"/>
      <c r="W280" s="29"/>
      <c r="X280" s="34"/>
      <c r="Y280" s="34"/>
    </row>
    <row x14ac:dyDescent="0.25" r="281" customHeight="1" ht="15.75">
      <c r="A281" s="502"/>
      <c r="B281" s="34"/>
      <c r="C281" s="34"/>
      <c r="D281" s="34"/>
      <c r="E281" s="34"/>
      <c r="F281" s="34"/>
      <c r="G281" s="34"/>
      <c r="H281" s="34"/>
      <c r="I281" s="29"/>
      <c r="J281" s="29"/>
      <c r="K281" s="29"/>
      <c r="L281" s="29"/>
      <c r="M281" s="34"/>
      <c r="N281" s="34"/>
      <c r="O281" s="29"/>
      <c r="P281" s="29"/>
      <c r="Q281" s="29"/>
      <c r="R281" s="29"/>
      <c r="S281" s="29"/>
      <c r="T281" s="29"/>
      <c r="U281" s="476"/>
      <c r="V281" s="107"/>
      <c r="W281" s="29"/>
      <c r="X281" s="34"/>
      <c r="Y281" s="34"/>
    </row>
    <row x14ac:dyDescent="0.25" r="282" customHeight="1" ht="15.75">
      <c r="A282" s="502"/>
      <c r="B282" s="34"/>
      <c r="C282" s="34"/>
      <c r="D282" s="34"/>
      <c r="E282" s="34"/>
      <c r="F282" s="34"/>
      <c r="G282" s="34"/>
      <c r="H282" s="34"/>
      <c r="I282" s="29"/>
      <c r="J282" s="29"/>
      <c r="K282" s="29"/>
      <c r="L282" s="29"/>
      <c r="M282" s="34"/>
      <c r="N282" s="34"/>
      <c r="O282" s="29"/>
      <c r="P282" s="29"/>
      <c r="Q282" s="29"/>
      <c r="R282" s="29"/>
      <c r="S282" s="29"/>
      <c r="T282" s="29"/>
      <c r="U282" s="476"/>
      <c r="V282" s="107"/>
      <c r="W282" s="29"/>
      <c r="X282" s="34"/>
      <c r="Y282" s="34"/>
    </row>
    <row x14ac:dyDescent="0.25" r="283" customHeight="1" ht="15.75">
      <c r="A283" s="502"/>
      <c r="B283" s="34"/>
      <c r="C283" s="34"/>
      <c r="D283" s="34"/>
      <c r="E283" s="34"/>
      <c r="F283" s="34"/>
      <c r="G283" s="34"/>
      <c r="H283" s="34"/>
      <c r="I283" s="29"/>
      <c r="J283" s="29"/>
      <c r="K283" s="29"/>
      <c r="L283" s="29"/>
      <c r="M283" s="34"/>
      <c r="N283" s="34"/>
      <c r="O283" s="29"/>
      <c r="P283" s="29"/>
      <c r="Q283" s="29"/>
      <c r="R283" s="29"/>
      <c r="S283" s="29"/>
      <c r="T283" s="29"/>
      <c r="U283" s="476"/>
      <c r="V283" s="107"/>
      <c r="W283" s="29"/>
      <c r="X283" s="34"/>
      <c r="Y283" s="34"/>
    </row>
    <row x14ac:dyDescent="0.25" r="284" customHeight="1" ht="15.75">
      <c r="A284" s="502"/>
      <c r="B284" s="34"/>
      <c r="C284" s="34"/>
      <c r="D284" s="34"/>
      <c r="E284" s="34"/>
      <c r="F284" s="34"/>
      <c r="G284" s="34"/>
      <c r="H284" s="34"/>
      <c r="I284" s="29"/>
      <c r="J284" s="29"/>
      <c r="K284" s="29"/>
      <c r="L284" s="29"/>
      <c r="M284" s="34"/>
      <c r="N284" s="34"/>
      <c r="O284" s="29"/>
      <c r="P284" s="29"/>
      <c r="Q284" s="29"/>
      <c r="R284" s="29"/>
      <c r="S284" s="29"/>
      <c r="T284" s="29"/>
      <c r="U284" s="476"/>
      <c r="V284" s="107"/>
      <c r="W284" s="29"/>
      <c r="X284" s="34"/>
      <c r="Y284" s="34"/>
    </row>
    <row x14ac:dyDescent="0.25" r="285" customHeight="1" ht="15.75">
      <c r="A285" s="502"/>
      <c r="B285" s="34"/>
      <c r="C285" s="34"/>
      <c r="D285" s="34"/>
      <c r="E285" s="34"/>
      <c r="F285" s="34"/>
      <c r="G285" s="34"/>
      <c r="H285" s="34"/>
      <c r="I285" s="29"/>
      <c r="J285" s="29"/>
      <c r="K285" s="29"/>
      <c r="L285" s="29"/>
      <c r="M285" s="34"/>
      <c r="N285" s="34"/>
      <c r="O285" s="29"/>
      <c r="P285" s="29"/>
      <c r="Q285" s="29"/>
      <c r="R285" s="29"/>
      <c r="S285" s="29"/>
      <c r="T285" s="29"/>
      <c r="U285" s="476"/>
      <c r="V285" s="107"/>
      <c r="W285" s="29"/>
      <c r="X285" s="34"/>
      <c r="Y285" s="34"/>
    </row>
    <row x14ac:dyDescent="0.25" r="286" customHeight="1" ht="15.75">
      <c r="A286" s="502"/>
      <c r="B286" s="34"/>
      <c r="C286" s="34"/>
      <c r="D286" s="34"/>
      <c r="E286" s="34"/>
      <c r="F286" s="34"/>
      <c r="G286" s="34"/>
      <c r="H286" s="34"/>
      <c r="I286" s="29"/>
      <c r="J286" s="29"/>
      <c r="K286" s="29"/>
      <c r="L286" s="29"/>
      <c r="M286" s="34"/>
      <c r="N286" s="34"/>
      <c r="O286" s="29"/>
      <c r="P286" s="29"/>
      <c r="Q286" s="29"/>
      <c r="R286" s="29"/>
      <c r="S286" s="29"/>
      <c r="T286" s="29"/>
      <c r="U286" s="476"/>
      <c r="V286" s="107"/>
      <c r="W286" s="29"/>
      <c r="X286" s="34"/>
      <c r="Y286" s="34"/>
    </row>
    <row x14ac:dyDescent="0.25" r="287" customHeight="1" ht="15.75">
      <c r="A287" s="502"/>
      <c r="B287" s="34"/>
      <c r="C287" s="34"/>
      <c r="D287" s="34"/>
      <c r="E287" s="34"/>
      <c r="F287" s="34"/>
      <c r="G287" s="34"/>
      <c r="H287" s="34"/>
      <c r="I287" s="29"/>
      <c r="J287" s="29"/>
      <c r="K287" s="29"/>
      <c r="L287" s="29"/>
      <c r="M287" s="34"/>
      <c r="N287" s="34"/>
      <c r="O287" s="29"/>
      <c r="P287" s="29"/>
      <c r="Q287" s="29"/>
      <c r="R287" s="29"/>
      <c r="S287" s="29"/>
      <c r="T287" s="29"/>
      <c r="U287" s="476"/>
      <c r="V287" s="107"/>
      <c r="W287" s="29"/>
      <c r="X287" s="34"/>
      <c r="Y287" s="34"/>
    </row>
    <row x14ac:dyDescent="0.25" r="288" customHeight="1" ht="15.75">
      <c r="A288" s="502"/>
      <c r="B288" s="34"/>
      <c r="C288" s="34"/>
      <c r="D288" s="34"/>
      <c r="E288" s="34"/>
      <c r="F288" s="34"/>
      <c r="G288" s="34"/>
      <c r="H288" s="34"/>
      <c r="I288" s="29"/>
      <c r="J288" s="29"/>
      <c r="K288" s="29"/>
      <c r="L288" s="29"/>
      <c r="M288" s="34"/>
      <c r="N288" s="34"/>
      <c r="O288" s="29"/>
      <c r="P288" s="29"/>
      <c r="Q288" s="29"/>
      <c r="R288" s="29"/>
      <c r="S288" s="29"/>
      <c r="T288" s="29"/>
      <c r="U288" s="476"/>
      <c r="V288" s="107"/>
      <c r="W288" s="29"/>
      <c r="X288" s="34"/>
      <c r="Y288" s="34"/>
    </row>
    <row x14ac:dyDescent="0.25" r="289" customHeight="1" ht="15.75">
      <c r="A289" s="502"/>
      <c r="B289" s="34"/>
      <c r="C289" s="34"/>
      <c r="D289" s="34"/>
      <c r="E289" s="34"/>
      <c r="F289" s="34"/>
      <c r="G289" s="34"/>
      <c r="H289" s="34"/>
      <c r="I289" s="29"/>
      <c r="J289" s="29"/>
      <c r="K289" s="29"/>
      <c r="L289" s="29"/>
      <c r="M289" s="34"/>
      <c r="N289" s="34"/>
      <c r="O289" s="29"/>
      <c r="P289" s="29"/>
      <c r="Q289" s="29"/>
      <c r="R289" s="29"/>
      <c r="S289" s="29"/>
      <c r="T289" s="29"/>
      <c r="U289" s="476"/>
      <c r="V289" s="107"/>
      <c r="W289" s="29"/>
      <c r="X289" s="34"/>
      <c r="Y289" s="34"/>
    </row>
    <row x14ac:dyDescent="0.25" r="290" customHeight="1" ht="15.75">
      <c r="A290" s="502"/>
      <c r="B290" s="34"/>
      <c r="C290" s="34"/>
      <c r="D290" s="34"/>
      <c r="E290" s="34"/>
      <c r="F290" s="34"/>
      <c r="G290" s="34"/>
      <c r="H290" s="34"/>
      <c r="I290" s="29"/>
      <c r="J290" s="29"/>
      <c r="K290" s="29"/>
      <c r="L290" s="29"/>
      <c r="M290" s="34"/>
      <c r="N290" s="34"/>
      <c r="O290" s="29"/>
      <c r="P290" s="29"/>
      <c r="Q290" s="29"/>
      <c r="R290" s="29"/>
      <c r="S290" s="29"/>
      <c r="T290" s="29"/>
      <c r="U290" s="476"/>
      <c r="V290" s="107"/>
      <c r="W290" s="29"/>
      <c r="X290" s="34"/>
      <c r="Y290" s="34"/>
    </row>
    <row x14ac:dyDescent="0.25" r="291" customHeight="1" ht="15.75">
      <c r="A291" s="502"/>
      <c r="B291" s="34"/>
      <c r="C291" s="34"/>
      <c r="D291" s="34"/>
      <c r="E291" s="34"/>
      <c r="F291" s="34"/>
      <c r="G291" s="34"/>
      <c r="H291" s="34"/>
      <c r="I291" s="29"/>
      <c r="J291" s="29"/>
      <c r="K291" s="29"/>
      <c r="L291" s="29"/>
      <c r="M291" s="34"/>
      <c r="N291" s="34"/>
      <c r="O291" s="29"/>
      <c r="P291" s="29"/>
      <c r="Q291" s="29"/>
      <c r="R291" s="29"/>
      <c r="S291" s="29"/>
      <c r="T291" s="29"/>
      <c r="U291" s="476"/>
      <c r="V291" s="107"/>
      <c r="W291" s="29"/>
      <c r="X291" s="34"/>
      <c r="Y291" s="34"/>
    </row>
    <row x14ac:dyDescent="0.25" r="292" customHeight="1" ht="15.75">
      <c r="A292" s="502"/>
      <c r="B292" s="34"/>
      <c r="C292" s="34"/>
      <c r="D292" s="34"/>
      <c r="E292" s="34"/>
      <c r="F292" s="34"/>
      <c r="G292" s="34"/>
      <c r="H292" s="34"/>
      <c r="I292" s="29"/>
      <c r="J292" s="29"/>
      <c r="K292" s="29"/>
      <c r="L292" s="29"/>
      <c r="M292" s="34"/>
      <c r="N292" s="34"/>
      <c r="O292" s="29"/>
      <c r="P292" s="29"/>
      <c r="Q292" s="29"/>
      <c r="R292" s="29"/>
      <c r="S292" s="29"/>
      <c r="T292" s="29"/>
      <c r="U292" s="476"/>
      <c r="V292" s="107"/>
      <c r="W292" s="29"/>
      <c r="X292" s="34"/>
      <c r="Y292" s="34"/>
    </row>
    <row x14ac:dyDescent="0.25" r="293" customHeight="1" ht="15.75">
      <c r="A293" s="502"/>
      <c r="B293" s="34"/>
      <c r="C293" s="34"/>
      <c r="D293" s="34"/>
      <c r="E293" s="34"/>
      <c r="F293" s="34"/>
      <c r="G293" s="34"/>
      <c r="H293" s="34"/>
      <c r="I293" s="29"/>
      <c r="J293" s="29"/>
      <c r="K293" s="29"/>
      <c r="L293" s="29"/>
      <c r="M293" s="34"/>
      <c r="N293" s="34"/>
      <c r="O293" s="29"/>
      <c r="P293" s="29"/>
      <c r="Q293" s="29"/>
      <c r="R293" s="29"/>
      <c r="S293" s="29"/>
      <c r="T293" s="29"/>
      <c r="U293" s="476"/>
      <c r="V293" s="107"/>
      <c r="W293" s="29"/>
      <c r="X293" s="34"/>
      <c r="Y293" s="34"/>
    </row>
    <row x14ac:dyDescent="0.25" r="294" customHeight="1" ht="15.75">
      <c r="A294" s="502"/>
      <c r="B294" s="34"/>
      <c r="C294" s="34"/>
      <c r="D294" s="34"/>
      <c r="E294" s="34"/>
      <c r="F294" s="34"/>
      <c r="G294" s="34"/>
      <c r="H294" s="34"/>
      <c r="I294" s="29"/>
      <c r="J294" s="29"/>
      <c r="K294" s="29"/>
      <c r="L294" s="29"/>
      <c r="M294" s="34"/>
      <c r="N294" s="34"/>
      <c r="O294" s="29"/>
      <c r="P294" s="29"/>
      <c r="Q294" s="29"/>
      <c r="R294" s="29"/>
      <c r="S294" s="29"/>
      <c r="T294" s="29"/>
      <c r="U294" s="476"/>
      <c r="V294" s="107"/>
      <c r="W294" s="29"/>
      <c r="X294" s="34"/>
      <c r="Y294" s="34"/>
    </row>
    <row x14ac:dyDescent="0.25" r="295" customHeight="1" ht="15.75">
      <c r="A295" s="502"/>
      <c r="B295" s="34"/>
      <c r="C295" s="34"/>
      <c r="D295" s="34"/>
      <c r="E295" s="34"/>
      <c r="F295" s="34"/>
      <c r="G295" s="34"/>
      <c r="H295" s="34"/>
      <c r="I295" s="29"/>
      <c r="J295" s="29"/>
      <c r="K295" s="29"/>
      <c r="L295" s="29"/>
      <c r="M295" s="34"/>
      <c r="N295" s="34"/>
      <c r="O295" s="29"/>
      <c r="P295" s="29"/>
      <c r="Q295" s="29"/>
      <c r="R295" s="29"/>
      <c r="S295" s="29"/>
      <c r="T295" s="29"/>
      <c r="U295" s="476"/>
      <c r="V295" s="107"/>
      <c r="W295" s="29"/>
      <c r="X295" s="34"/>
      <c r="Y295" s="34"/>
    </row>
    <row x14ac:dyDescent="0.25" r="296" customHeight="1" ht="15.75">
      <c r="A296" s="502"/>
      <c r="B296" s="34"/>
      <c r="C296" s="34"/>
      <c r="D296" s="34"/>
      <c r="E296" s="34"/>
      <c r="F296" s="34"/>
      <c r="G296" s="34"/>
      <c r="H296" s="34"/>
      <c r="I296" s="29"/>
      <c r="J296" s="29"/>
      <c r="K296" s="29"/>
      <c r="L296" s="29"/>
      <c r="M296" s="34"/>
      <c r="N296" s="34"/>
      <c r="O296" s="29"/>
      <c r="P296" s="29"/>
      <c r="Q296" s="29"/>
      <c r="R296" s="29"/>
      <c r="S296" s="29"/>
      <c r="T296" s="29"/>
      <c r="U296" s="476"/>
      <c r="V296" s="107"/>
      <c r="W296" s="29"/>
      <c r="X296" s="34"/>
      <c r="Y296" s="34"/>
    </row>
    <row x14ac:dyDescent="0.25" r="297" customHeight="1" ht="15.75">
      <c r="A297" s="502"/>
      <c r="B297" s="34"/>
      <c r="C297" s="34"/>
      <c r="D297" s="34"/>
      <c r="E297" s="34"/>
      <c r="F297" s="34"/>
      <c r="G297" s="34"/>
      <c r="H297" s="34"/>
      <c r="I297" s="29"/>
      <c r="J297" s="29"/>
      <c r="K297" s="29"/>
      <c r="L297" s="29"/>
      <c r="M297" s="34"/>
      <c r="N297" s="34"/>
      <c r="O297" s="29"/>
      <c r="P297" s="29"/>
      <c r="Q297" s="29"/>
      <c r="R297" s="29"/>
      <c r="S297" s="29"/>
      <c r="T297" s="29"/>
      <c r="U297" s="476"/>
      <c r="V297" s="107"/>
      <c r="W297" s="29"/>
      <c r="X297" s="34"/>
      <c r="Y297" s="34"/>
    </row>
    <row x14ac:dyDescent="0.25" r="298" customHeight="1" ht="15.75">
      <c r="A298" s="502"/>
      <c r="B298" s="34"/>
      <c r="C298" s="34"/>
      <c r="D298" s="34"/>
      <c r="E298" s="34"/>
      <c r="F298" s="34"/>
      <c r="G298" s="34"/>
      <c r="H298" s="34"/>
      <c r="I298" s="29"/>
      <c r="J298" s="29"/>
      <c r="K298" s="29"/>
      <c r="L298" s="29"/>
      <c r="M298" s="34"/>
      <c r="N298" s="34"/>
      <c r="O298" s="29"/>
      <c r="P298" s="29"/>
      <c r="Q298" s="29"/>
      <c r="R298" s="29"/>
      <c r="S298" s="29"/>
      <c r="T298" s="29"/>
      <c r="U298" s="476"/>
      <c r="V298" s="107"/>
      <c r="W298" s="29"/>
      <c r="X298" s="34"/>
      <c r="Y298" s="34"/>
    </row>
    <row x14ac:dyDescent="0.25" r="299" customHeight="1" ht="15.75">
      <c r="A299" s="502"/>
      <c r="B299" s="34"/>
      <c r="C299" s="34"/>
      <c r="D299" s="34"/>
      <c r="E299" s="34"/>
      <c r="F299" s="34"/>
      <c r="G299" s="34"/>
      <c r="H299" s="34"/>
      <c r="I299" s="29"/>
      <c r="J299" s="29"/>
      <c r="K299" s="29"/>
      <c r="L299" s="29"/>
      <c r="M299" s="34"/>
      <c r="N299" s="34"/>
      <c r="O299" s="29"/>
      <c r="P299" s="29"/>
      <c r="Q299" s="29"/>
      <c r="R299" s="29"/>
      <c r="S299" s="29"/>
      <c r="T299" s="29"/>
      <c r="U299" s="476"/>
      <c r="V299" s="107"/>
      <c r="W299" s="29"/>
      <c r="X299" s="34"/>
      <c r="Y299" s="34"/>
    </row>
    <row x14ac:dyDescent="0.25" r="300" customHeight="1" ht="15.75">
      <c r="A300" s="502"/>
      <c r="B300" s="34"/>
      <c r="C300" s="34"/>
      <c r="D300" s="34"/>
      <c r="E300" s="34"/>
      <c r="F300" s="34"/>
      <c r="G300" s="34"/>
      <c r="H300" s="34"/>
      <c r="I300" s="29"/>
      <c r="J300" s="29"/>
      <c r="K300" s="29"/>
      <c r="L300" s="29"/>
      <c r="M300" s="34"/>
      <c r="N300" s="34"/>
      <c r="O300" s="29"/>
      <c r="P300" s="29"/>
      <c r="Q300" s="29"/>
      <c r="R300" s="29"/>
      <c r="S300" s="29"/>
      <c r="T300" s="29"/>
      <c r="U300" s="476"/>
      <c r="V300" s="107"/>
      <c r="W300" s="29"/>
      <c r="X300" s="34"/>
      <c r="Y300" s="34"/>
    </row>
    <row x14ac:dyDescent="0.25" r="301" customHeight="1" ht="15.75">
      <c r="A301" s="502"/>
      <c r="B301" s="34"/>
      <c r="C301" s="34"/>
      <c r="D301" s="34"/>
      <c r="E301" s="34"/>
      <c r="F301" s="34"/>
      <c r="G301" s="34"/>
      <c r="H301" s="34"/>
      <c r="I301" s="29"/>
      <c r="J301" s="29"/>
      <c r="K301" s="29"/>
      <c r="L301" s="29"/>
      <c r="M301" s="34"/>
      <c r="N301" s="34"/>
      <c r="O301" s="29"/>
      <c r="P301" s="29"/>
      <c r="Q301" s="29"/>
      <c r="R301" s="29"/>
      <c r="S301" s="29"/>
      <c r="T301" s="29"/>
      <c r="U301" s="476"/>
      <c r="V301" s="107"/>
      <c r="W301" s="29"/>
      <c r="X301" s="34"/>
      <c r="Y301" s="34"/>
    </row>
    <row x14ac:dyDescent="0.25" r="302" customHeight="1" ht="15.75">
      <c r="A302" s="502"/>
      <c r="B302" s="34"/>
      <c r="C302" s="34"/>
      <c r="D302" s="34"/>
      <c r="E302" s="34"/>
      <c r="F302" s="34"/>
      <c r="G302" s="34"/>
      <c r="H302" s="34"/>
      <c r="I302" s="29"/>
      <c r="J302" s="29"/>
      <c r="K302" s="29"/>
      <c r="L302" s="29"/>
      <c r="M302" s="34"/>
      <c r="N302" s="34"/>
      <c r="O302" s="29"/>
      <c r="P302" s="29"/>
      <c r="Q302" s="29"/>
      <c r="R302" s="29"/>
      <c r="S302" s="29"/>
      <c r="T302" s="29"/>
      <c r="U302" s="476"/>
      <c r="V302" s="107"/>
      <c r="W302" s="29"/>
      <c r="X302" s="34"/>
      <c r="Y302" s="34"/>
    </row>
    <row x14ac:dyDescent="0.25" r="303" customHeight="1" ht="15.75">
      <c r="A303" s="502"/>
      <c r="B303" s="34"/>
      <c r="C303" s="34"/>
      <c r="D303" s="34"/>
      <c r="E303" s="34"/>
      <c r="F303" s="34"/>
      <c r="G303" s="34"/>
      <c r="H303" s="34"/>
      <c r="I303" s="29"/>
      <c r="J303" s="29"/>
      <c r="K303" s="29"/>
      <c r="L303" s="29"/>
      <c r="M303" s="34"/>
      <c r="N303" s="34"/>
      <c r="O303" s="29"/>
      <c r="P303" s="29"/>
      <c r="Q303" s="29"/>
      <c r="R303" s="29"/>
      <c r="S303" s="29"/>
      <c r="T303" s="29"/>
      <c r="U303" s="476"/>
      <c r="V303" s="107"/>
      <c r="W303" s="29"/>
      <c r="X303" s="34"/>
      <c r="Y303" s="34"/>
    </row>
    <row x14ac:dyDescent="0.25" r="304" customHeight="1" ht="15.75">
      <c r="A304" s="502"/>
      <c r="B304" s="34"/>
      <c r="C304" s="34"/>
      <c r="D304" s="34"/>
      <c r="E304" s="34"/>
      <c r="F304" s="34"/>
      <c r="G304" s="34"/>
      <c r="H304" s="34"/>
      <c r="I304" s="29"/>
      <c r="J304" s="29"/>
      <c r="K304" s="29"/>
      <c r="L304" s="29"/>
      <c r="M304" s="34"/>
      <c r="N304" s="34"/>
      <c r="O304" s="29"/>
      <c r="P304" s="29"/>
      <c r="Q304" s="29"/>
      <c r="R304" s="29"/>
      <c r="S304" s="29"/>
      <c r="T304" s="29"/>
      <c r="U304" s="476"/>
      <c r="V304" s="107"/>
      <c r="W304" s="29"/>
      <c r="X304" s="34"/>
      <c r="Y304" s="34"/>
    </row>
    <row x14ac:dyDescent="0.25" r="305" customHeight="1" ht="15.75">
      <c r="A305" s="502"/>
      <c r="B305" s="34"/>
      <c r="C305" s="34"/>
      <c r="D305" s="34"/>
      <c r="E305" s="34"/>
      <c r="F305" s="34"/>
      <c r="G305" s="34"/>
      <c r="H305" s="34"/>
      <c r="I305" s="29"/>
      <c r="J305" s="29"/>
      <c r="K305" s="29"/>
      <c r="L305" s="29"/>
      <c r="M305" s="34"/>
      <c r="N305" s="34"/>
      <c r="O305" s="29"/>
      <c r="P305" s="29"/>
      <c r="Q305" s="29"/>
      <c r="R305" s="29"/>
      <c r="S305" s="29"/>
      <c r="T305" s="29"/>
      <c r="U305" s="476"/>
      <c r="V305" s="107"/>
      <c r="W305" s="29"/>
      <c r="X305" s="34"/>
      <c r="Y305" s="34"/>
    </row>
    <row x14ac:dyDescent="0.25" r="306" customHeight="1" ht="15.75">
      <c r="A306" s="502"/>
      <c r="B306" s="34"/>
      <c r="C306" s="34"/>
      <c r="D306" s="34"/>
      <c r="E306" s="34"/>
      <c r="F306" s="34"/>
      <c r="G306" s="34"/>
      <c r="H306" s="34"/>
      <c r="I306" s="29"/>
      <c r="J306" s="29"/>
      <c r="K306" s="29"/>
      <c r="L306" s="29"/>
      <c r="M306" s="34"/>
      <c r="N306" s="34"/>
      <c r="O306" s="29"/>
      <c r="P306" s="29"/>
      <c r="Q306" s="29"/>
      <c r="R306" s="29"/>
      <c r="S306" s="29"/>
      <c r="T306" s="29"/>
      <c r="U306" s="476"/>
      <c r="V306" s="107"/>
      <c r="W306" s="29"/>
      <c r="X306" s="34"/>
      <c r="Y306" s="34"/>
    </row>
    <row x14ac:dyDescent="0.25" r="307" customHeight="1" ht="15.75">
      <c r="A307" s="502"/>
      <c r="B307" s="34"/>
      <c r="C307" s="34"/>
      <c r="D307" s="34"/>
      <c r="E307" s="34"/>
      <c r="F307" s="34"/>
      <c r="G307" s="34"/>
      <c r="H307" s="34"/>
      <c r="I307" s="29"/>
      <c r="J307" s="29"/>
      <c r="K307" s="29"/>
      <c r="L307" s="29"/>
      <c r="M307" s="34"/>
      <c r="N307" s="34"/>
      <c r="O307" s="29"/>
      <c r="P307" s="29"/>
      <c r="Q307" s="29"/>
      <c r="R307" s="29"/>
      <c r="S307" s="29"/>
      <c r="T307" s="29"/>
      <c r="U307" s="476"/>
      <c r="V307" s="107"/>
      <c r="W307" s="29"/>
      <c r="X307" s="34"/>
      <c r="Y307" s="34"/>
    </row>
    <row x14ac:dyDescent="0.25" r="308" customHeight="1" ht="15.75">
      <c r="A308" s="502"/>
      <c r="B308" s="34"/>
      <c r="C308" s="34"/>
      <c r="D308" s="34"/>
      <c r="E308" s="34"/>
      <c r="F308" s="34"/>
      <c r="G308" s="34"/>
      <c r="H308" s="34"/>
      <c r="I308" s="29"/>
      <c r="J308" s="29"/>
      <c r="K308" s="29"/>
      <c r="L308" s="29"/>
      <c r="M308" s="34"/>
      <c r="N308" s="34"/>
      <c r="O308" s="29"/>
      <c r="P308" s="29"/>
      <c r="Q308" s="29"/>
      <c r="R308" s="29"/>
      <c r="S308" s="29"/>
      <c r="T308" s="29"/>
      <c r="U308" s="476"/>
      <c r="V308" s="107"/>
      <c r="W308" s="29"/>
      <c r="X308" s="34"/>
      <c r="Y308" s="34"/>
    </row>
    <row x14ac:dyDescent="0.25" r="309" customHeight="1" ht="15.75">
      <c r="A309" s="502"/>
      <c r="B309" s="34"/>
      <c r="C309" s="34"/>
      <c r="D309" s="34"/>
      <c r="E309" s="34"/>
      <c r="F309" s="34"/>
      <c r="G309" s="34"/>
      <c r="H309" s="34"/>
      <c r="I309" s="29"/>
      <c r="J309" s="29"/>
      <c r="K309" s="29"/>
      <c r="L309" s="29"/>
      <c r="M309" s="34"/>
      <c r="N309" s="34"/>
      <c r="O309" s="29"/>
      <c r="P309" s="29"/>
      <c r="Q309" s="29"/>
      <c r="R309" s="29"/>
      <c r="S309" s="29"/>
      <c r="T309" s="29"/>
      <c r="U309" s="476"/>
      <c r="V309" s="107"/>
      <c r="W309" s="29"/>
      <c r="X309" s="34"/>
      <c r="Y309" s="34"/>
    </row>
    <row x14ac:dyDescent="0.25" r="310" customHeight="1" ht="15.75">
      <c r="A310" s="502"/>
      <c r="B310" s="34"/>
      <c r="C310" s="34"/>
      <c r="D310" s="34"/>
      <c r="E310" s="34"/>
      <c r="F310" s="34"/>
      <c r="G310" s="34"/>
      <c r="H310" s="34"/>
      <c r="I310" s="29"/>
      <c r="J310" s="29"/>
      <c r="K310" s="29"/>
      <c r="L310" s="29"/>
      <c r="M310" s="34"/>
      <c r="N310" s="34"/>
      <c r="O310" s="29"/>
      <c r="P310" s="29"/>
      <c r="Q310" s="29"/>
      <c r="R310" s="29"/>
      <c r="S310" s="29"/>
      <c r="T310" s="29"/>
      <c r="U310" s="476"/>
      <c r="V310" s="107"/>
      <c r="W310" s="29"/>
      <c r="X310" s="34"/>
      <c r="Y310" s="34"/>
    </row>
    <row x14ac:dyDescent="0.25" r="311" customHeight="1" ht="15.75">
      <c r="A311" s="502"/>
      <c r="B311" s="34"/>
      <c r="C311" s="34"/>
      <c r="D311" s="34"/>
      <c r="E311" s="34"/>
      <c r="F311" s="34"/>
      <c r="G311" s="34"/>
      <c r="H311" s="34"/>
      <c r="I311" s="29"/>
      <c r="J311" s="29"/>
      <c r="K311" s="29"/>
      <c r="L311" s="29"/>
      <c r="M311" s="34"/>
      <c r="N311" s="34"/>
      <c r="O311" s="29"/>
      <c r="P311" s="29"/>
      <c r="Q311" s="29"/>
      <c r="R311" s="29"/>
      <c r="S311" s="29"/>
      <c r="T311" s="29"/>
      <c r="U311" s="476"/>
      <c r="V311" s="107"/>
      <c r="W311" s="29"/>
      <c r="X311" s="34"/>
      <c r="Y311" s="34"/>
    </row>
    <row x14ac:dyDescent="0.25" r="312" customHeight="1" ht="15.75">
      <c r="A312" s="502"/>
      <c r="B312" s="34"/>
      <c r="C312" s="34"/>
      <c r="D312" s="34"/>
      <c r="E312" s="34"/>
      <c r="F312" s="34"/>
      <c r="G312" s="34"/>
      <c r="H312" s="34"/>
      <c r="I312" s="29"/>
      <c r="J312" s="29"/>
      <c r="K312" s="29"/>
      <c r="L312" s="29"/>
      <c r="M312" s="34"/>
      <c r="N312" s="34"/>
      <c r="O312" s="29"/>
      <c r="P312" s="29"/>
      <c r="Q312" s="29"/>
      <c r="R312" s="29"/>
      <c r="S312" s="29"/>
      <c r="T312" s="29"/>
      <c r="U312" s="476"/>
      <c r="V312" s="107"/>
      <c r="W312" s="29"/>
      <c r="X312" s="34"/>
      <c r="Y312" s="34"/>
    </row>
    <row x14ac:dyDescent="0.25" r="313" customHeight="1" ht="15.75">
      <c r="A313" s="502"/>
      <c r="B313" s="34"/>
      <c r="C313" s="34"/>
      <c r="D313" s="34"/>
      <c r="E313" s="34"/>
      <c r="F313" s="34"/>
      <c r="G313" s="34"/>
      <c r="H313" s="34"/>
      <c r="I313" s="29"/>
      <c r="J313" s="29"/>
      <c r="K313" s="29"/>
      <c r="L313" s="29"/>
      <c r="M313" s="34"/>
      <c r="N313" s="34"/>
      <c r="O313" s="29"/>
      <c r="P313" s="29"/>
      <c r="Q313" s="29"/>
      <c r="R313" s="29"/>
      <c r="S313" s="29"/>
      <c r="T313" s="29"/>
      <c r="U313" s="476"/>
      <c r="V313" s="107"/>
      <c r="W313" s="29"/>
      <c r="X313" s="34"/>
      <c r="Y313" s="34"/>
    </row>
    <row x14ac:dyDescent="0.25" r="314" customHeight="1" ht="15.75">
      <c r="A314" s="502"/>
      <c r="B314" s="34"/>
      <c r="C314" s="34"/>
      <c r="D314" s="34"/>
      <c r="E314" s="34"/>
      <c r="F314" s="34"/>
      <c r="G314" s="34"/>
      <c r="H314" s="34"/>
      <c r="I314" s="29"/>
      <c r="J314" s="29"/>
      <c r="K314" s="29"/>
      <c r="L314" s="29"/>
      <c r="M314" s="34"/>
      <c r="N314" s="34"/>
      <c r="O314" s="29"/>
      <c r="P314" s="29"/>
      <c r="Q314" s="29"/>
      <c r="R314" s="29"/>
      <c r="S314" s="29"/>
      <c r="T314" s="29"/>
      <c r="U314" s="476"/>
      <c r="V314" s="107"/>
      <c r="W314" s="29"/>
      <c r="X314" s="34"/>
      <c r="Y314" s="34"/>
    </row>
    <row x14ac:dyDescent="0.25" r="315" customHeight="1" ht="15.75">
      <c r="A315" s="502"/>
      <c r="B315" s="34"/>
      <c r="C315" s="34"/>
      <c r="D315" s="34"/>
      <c r="E315" s="34"/>
      <c r="F315" s="34"/>
      <c r="G315" s="34"/>
      <c r="H315" s="34"/>
      <c r="I315" s="29"/>
      <c r="J315" s="29"/>
      <c r="K315" s="29"/>
      <c r="L315" s="29"/>
      <c r="M315" s="34"/>
      <c r="N315" s="34"/>
      <c r="O315" s="29"/>
      <c r="P315" s="29"/>
      <c r="Q315" s="29"/>
      <c r="R315" s="29"/>
      <c r="S315" s="29"/>
      <c r="T315" s="29"/>
      <c r="U315" s="476"/>
      <c r="V315" s="107"/>
      <c r="W315" s="29"/>
      <c r="X315" s="34"/>
      <c r="Y315" s="34"/>
    </row>
    <row x14ac:dyDescent="0.25" r="316" customHeight="1" ht="15.75">
      <c r="A316" s="502"/>
      <c r="B316" s="34"/>
      <c r="C316" s="34"/>
      <c r="D316" s="34"/>
      <c r="E316" s="34"/>
      <c r="F316" s="34"/>
      <c r="G316" s="34"/>
      <c r="H316" s="34"/>
      <c r="I316" s="29"/>
      <c r="J316" s="29"/>
      <c r="K316" s="29"/>
      <c r="L316" s="29"/>
      <c r="M316" s="34"/>
      <c r="N316" s="34"/>
      <c r="O316" s="29"/>
      <c r="P316" s="29"/>
      <c r="Q316" s="29"/>
      <c r="R316" s="29"/>
      <c r="S316" s="29"/>
      <c r="T316" s="29"/>
      <c r="U316" s="476"/>
      <c r="V316" s="107"/>
      <c r="W316" s="29"/>
      <c r="X316" s="34"/>
      <c r="Y316" s="34"/>
    </row>
    <row x14ac:dyDescent="0.25" r="317" customHeight="1" ht="15.75">
      <c r="A317" s="502"/>
      <c r="B317" s="34"/>
      <c r="C317" s="34"/>
      <c r="D317" s="34"/>
      <c r="E317" s="34"/>
      <c r="F317" s="34"/>
      <c r="G317" s="34"/>
      <c r="H317" s="34"/>
      <c r="I317" s="29"/>
      <c r="J317" s="29"/>
      <c r="K317" s="29"/>
      <c r="L317" s="29"/>
      <c r="M317" s="34"/>
      <c r="N317" s="34"/>
      <c r="O317" s="29"/>
      <c r="P317" s="29"/>
      <c r="Q317" s="29"/>
      <c r="R317" s="29"/>
      <c r="S317" s="29"/>
      <c r="T317" s="29"/>
      <c r="U317" s="476"/>
      <c r="V317" s="107"/>
      <c r="W317" s="29"/>
      <c r="X317" s="34"/>
      <c r="Y317" s="34"/>
    </row>
    <row x14ac:dyDescent="0.25" r="318" customHeight="1" ht="15.75">
      <c r="A318" s="502"/>
      <c r="B318" s="34"/>
      <c r="C318" s="34"/>
      <c r="D318" s="34"/>
      <c r="E318" s="34"/>
      <c r="F318" s="34"/>
      <c r="G318" s="34"/>
      <c r="H318" s="34"/>
      <c r="I318" s="29"/>
      <c r="J318" s="29"/>
      <c r="K318" s="29"/>
      <c r="L318" s="29"/>
      <c r="M318" s="34"/>
      <c r="N318" s="34"/>
      <c r="O318" s="29"/>
      <c r="P318" s="29"/>
      <c r="Q318" s="29"/>
      <c r="R318" s="29"/>
      <c r="S318" s="29"/>
      <c r="T318" s="29"/>
      <c r="U318" s="476"/>
      <c r="V318" s="107"/>
      <c r="W318" s="29"/>
      <c r="X318" s="34"/>
      <c r="Y318" s="34"/>
    </row>
    <row x14ac:dyDescent="0.25" r="319" customHeight="1" ht="15.75">
      <c r="A319" s="502"/>
      <c r="B319" s="34"/>
      <c r="C319" s="34"/>
      <c r="D319" s="34"/>
      <c r="E319" s="34"/>
      <c r="F319" s="34"/>
      <c r="G319" s="34"/>
      <c r="H319" s="34"/>
      <c r="I319" s="29"/>
      <c r="J319" s="29"/>
      <c r="K319" s="29"/>
      <c r="L319" s="29"/>
      <c r="M319" s="34"/>
      <c r="N319" s="34"/>
      <c r="O319" s="29"/>
      <c r="P319" s="29"/>
      <c r="Q319" s="29"/>
      <c r="R319" s="29"/>
      <c r="S319" s="29"/>
      <c r="T319" s="29"/>
      <c r="U319" s="476"/>
      <c r="V319" s="107"/>
      <c r="W319" s="29"/>
      <c r="X319" s="34"/>
      <c r="Y319" s="34"/>
    </row>
    <row x14ac:dyDescent="0.25" r="320" customHeight="1" ht="15.75">
      <c r="A320" s="502"/>
      <c r="B320" s="34"/>
      <c r="C320" s="34"/>
      <c r="D320" s="34"/>
      <c r="E320" s="34"/>
      <c r="F320" s="34"/>
      <c r="G320" s="34"/>
      <c r="H320" s="34"/>
      <c r="I320" s="29"/>
      <c r="J320" s="29"/>
      <c r="K320" s="29"/>
      <c r="L320" s="29"/>
      <c r="M320" s="34"/>
      <c r="N320" s="34"/>
      <c r="O320" s="29"/>
      <c r="P320" s="29"/>
      <c r="Q320" s="29"/>
      <c r="R320" s="29"/>
      <c r="S320" s="29"/>
      <c r="T320" s="29"/>
      <c r="U320" s="476"/>
      <c r="V320" s="107"/>
      <c r="W320" s="29"/>
      <c r="X320" s="34"/>
      <c r="Y320" s="34"/>
    </row>
    <row x14ac:dyDescent="0.25" r="321" customHeight="1" ht="15.75">
      <c r="A321" s="502"/>
      <c r="B321" s="34"/>
      <c r="C321" s="34"/>
      <c r="D321" s="34"/>
      <c r="E321" s="34"/>
      <c r="F321" s="34"/>
      <c r="G321" s="34"/>
      <c r="H321" s="34"/>
      <c r="I321" s="29"/>
      <c r="J321" s="29"/>
      <c r="K321" s="29"/>
      <c r="L321" s="29"/>
      <c r="M321" s="34"/>
      <c r="N321" s="34"/>
      <c r="O321" s="29"/>
      <c r="P321" s="29"/>
      <c r="Q321" s="29"/>
      <c r="R321" s="29"/>
      <c r="S321" s="29"/>
      <c r="T321" s="29"/>
      <c r="U321" s="476"/>
      <c r="V321" s="107"/>
      <c r="W321" s="29"/>
      <c r="X321" s="34"/>
      <c r="Y321" s="34"/>
    </row>
    <row x14ac:dyDescent="0.25" r="322" customHeight="1" ht="15.75">
      <c r="A322" s="502"/>
      <c r="B322" s="34"/>
      <c r="C322" s="34"/>
      <c r="D322" s="34"/>
      <c r="E322" s="34"/>
      <c r="F322" s="34"/>
      <c r="G322" s="34"/>
      <c r="H322" s="34"/>
      <c r="I322" s="29"/>
      <c r="J322" s="29"/>
      <c r="K322" s="29"/>
      <c r="L322" s="29"/>
      <c r="M322" s="34"/>
      <c r="N322" s="34"/>
      <c r="O322" s="29"/>
      <c r="P322" s="29"/>
      <c r="Q322" s="29"/>
      <c r="R322" s="29"/>
      <c r="S322" s="29"/>
      <c r="T322" s="29"/>
      <c r="U322" s="476"/>
      <c r="V322" s="107"/>
      <c r="W322" s="29"/>
      <c r="X322" s="34"/>
      <c r="Y322" s="34"/>
    </row>
    <row x14ac:dyDescent="0.25" r="323" customHeight="1" ht="15.75">
      <c r="A323" s="502"/>
      <c r="B323" s="34"/>
      <c r="C323" s="34"/>
      <c r="D323" s="34"/>
      <c r="E323" s="34"/>
      <c r="F323" s="34"/>
      <c r="G323" s="34"/>
      <c r="H323" s="34"/>
      <c r="I323" s="29"/>
      <c r="J323" s="29"/>
      <c r="K323" s="29"/>
      <c r="L323" s="29"/>
      <c r="M323" s="34"/>
      <c r="N323" s="34"/>
      <c r="O323" s="29"/>
      <c r="P323" s="29"/>
      <c r="Q323" s="29"/>
      <c r="R323" s="29"/>
      <c r="S323" s="29"/>
      <c r="T323" s="29"/>
      <c r="U323" s="476"/>
      <c r="V323" s="107"/>
      <c r="W323" s="29"/>
      <c r="X323" s="34"/>
      <c r="Y323" s="34"/>
    </row>
    <row x14ac:dyDescent="0.25" r="324" customHeight="1" ht="15.75">
      <c r="A324" s="502"/>
      <c r="B324" s="34"/>
      <c r="C324" s="34"/>
      <c r="D324" s="34"/>
      <c r="E324" s="34"/>
      <c r="F324" s="34"/>
      <c r="G324" s="34"/>
      <c r="H324" s="34"/>
      <c r="I324" s="29"/>
      <c r="J324" s="29"/>
      <c r="K324" s="29"/>
      <c r="L324" s="29"/>
      <c r="M324" s="34"/>
      <c r="N324" s="34"/>
      <c r="O324" s="29"/>
      <c r="P324" s="29"/>
      <c r="Q324" s="29"/>
      <c r="R324" s="29"/>
      <c r="S324" s="29"/>
      <c r="T324" s="29"/>
      <c r="U324" s="476"/>
      <c r="V324" s="107"/>
      <c r="W324" s="29"/>
      <c r="X324" s="34"/>
      <c r="Y324" s="34"/>
    </row>
    <row x14ac:dyDescent="0.25" r="325" customHeight="1" ht="15.75">
      <c r="A325" s="502"/>
      <c r="B325" s="34"/>
      <c r="C325" s="34"/>
      <c r="D325" s="34"/>
      <c r="E325" s="34"/>
      <c r="F325" s="34"/>
      <c r="G325" s="34"/>
      <c r="H325" s="34"/>
      <c r="I325" s="29"/>
      <c r="J325" s="29"/>
      <c r="K325" s="29"/>
      <c r="L325" s="29"/>
      <c r="M325" s="34"/>
      <c r="N325" s="34"/>
      <c r="O325" s="29"/>
      <c r="P325" s="29"/>
      <c r="Q325" s="29"/>
      <c r="R325" s="29"/>
      <c r="S325" s="29"/>
      <c r="T325" s="29"/>
      <c r="U325" s="476"/>
      <c r="V325" s="107"/>
      <c r="W325" s="29"/>
      <c r="X325" s="34"/>
      <c r="Y325" s="34"/>
    </row>
    <row x14ac:dyDescent="0.25" r="326" customHeight="1" ht="15.75">
      <c r="A326" s="502"/>
      <c r="B326" s="34"/>
      <c r="C326" s="34"/>
      <c r="D326" s="34"/>
      <c r="E326" s="34"/>
      <c r="F326" s="34"/>
      <c r="G326" s="34"/>
      <c r="H326" s="34"/>
      <c r="I326" s="29"/>
      <c r="J326" s="29"/>
      <c r="K326" s="29"/>
      <c r="L326" s="29"/>
      <c r="M326" s="34"/>
      <c r="N326" s="34"/>
      <c r="O326" s="29"/>
      <c r="P326" s="29"/>
      <c r="Q326" s="29"/>
      <c r="R326" s="29"/>
      <c r="S326" s="29"/>
      <c r="T326" s="29"/>
      <c r="U326" s="476"/>
      <c r="V326" s="107"/>
      <c r="W326" s="29"/>
      <c r="X326" s="34"/>
      <c r="Y326" s="34"/>
    </row>
    <row x14ac:dyDescent="0.25" r="327" customHeight="1" ht="15.75">
      <c r="A327" s="502"/>
      <c r="B327" s="34"/>
      <c r="C327" s="34"/>
      <c r="D327" s="34"/>
      <c r="E327" s="34"/>
      <c r="F327" s="34"/>
      <c r="G327" s="34"/>
      <c r="H327" s="34"/>
      <c r="I327" s="29"/>
      <c r="J327" s="29"/>
      <c r="K327" s="29"/>
      <c r="L327" s="29"/>
      <c r="M327" s="34"/>
      <c r="N327" s="34"/>
      <c r="O327" s="29"/>
      <c r="P327" s="29"/>
      <c r="Q327" s="29"/>
      <c r="R327" s="29"/>
      <c r="S327" s="29"/>
      <c r="T327" s="29"/>
      <c r="U327" s="476"/>
      <c r="V327" s="107"/>
      <c r="W327" s="29"/>
      <c r="X327" s="34"/>
      <c r="Y327" s="34"/>
    </row>
    <row x14ac:dyDescent="0.25" r="328" customHeight="1" ht="15.75">
      <c r="A328" s="502"/>
      <c r="B328" s="34"/>
      <c r="C328" s="34"/>
      <c r="D328" s="34"/>
      <c r="E328" s="34"/>
      <c r="F328" s="34"/>
      <c r="G328" s="34"/>
      <c r="H328" s="34"/>
      <c r="I328" s="29"/>
      <c r="J328" s="29"/>
      <c r="K328" s="29"/>
      <c r="L328" s="29"/>
      <c r="M328" s="34"/>
      <c r="N328" s="34"/>
      <c r="O328" s="29"/>
      <c r="P328" s="29"/>
      <c r="Q328" s="29"/>
      <c r="R328" s="29"/>
      <c r="S328" s="29"/>
      <c r="T328" s="29"/>
      <c r="U328" s="476"/>
      <c r="V328" s="107"/>
      <c r="W328" s="29"/>
      <c r="X328" s="34"/>
      <c r="Y328" s="34"/>
    </row>
    <row x14ac:dyDescent="0.25" r="329" customHeight="1" ht="15.75">
      <c r="A329" s="502"/>
      <c r="B329" s="34"/>
      <c r="C329" s="34"/>
      <c r="D329" s="34"/>
      <c r="E329" s="34"/>
      <c r="F329" s="34"/>
      <c r="G329" s="34"/>
      <c r="H329" s="34"/>
      <c r="I329" s="29"/>
      <c r="J329" s="29"/>
      <c r="K329" s="29"/>
      <c r="L329" s="29"/>
      <c r="M329" s="34"/>
      <c r="N329" s="34"/>
      <c r="O329" s="29"/>
      <c r="P329" s="29"/>
      <c r="Q329" s="29"/>
      <c r="R329" s="29"/>
      <c r="S329" s="29"/>
      <c r="T329" s="29"/>
      <c r="U329" s="476"/>
      <c r="V329" s="107"/>
      <c r="W329" s="29"/>
      <c r="X329" s="34"/>
      <c r="Y329" s="34"/>
    </row>
    <row x14ac:dyDescent="0.25" r="330" customHeight="1" ht="15.75">
      <c r="A330" s="502"/>
      <c r="B330" s="34"/>
      <c r="C330" s="34"/>
      <c r="D330" s="34"/>
      <c r="E330" s="34"/>
      <c r="F330" s="34"/>
      <c r="G330" s="34"/>
      <c r="H330" s="34"/>
      <c r="I330" s="29"/>
      <c r="J330" s="29"/>
      <c r="K330" s="29"/>
      <c r="L330" s="29"/>
      <c r="M330" s="34"/>
      <c r="N330" s="34"/>
      <c r="O330" s="29"/>
      <c r="P330" s="29"/>
      <c r="Q330" s="29"/>
      <c r="R330" s="29"/>
      <c r="S330" s="29"/>
      <c r="T330" s="29"/>
      <c r="U330" s="476"/>
      <c r="V330" s="107"/>
      <c r="W330" s="29"/>
      <c r="X330" s="34"/>
      <c r="Y330" s="34"/>
    </row>
    <row x14ac:dyDescent="0.25" r="331" customHeight="1" ht="15.75">
      <c r="A331" s="502"/>
      <c r="B331" s="34"/>
      <c r="C331" s="34"/>
      <c r="D331" s="34"/>
      <c r="E331" s="34"/>
      <c r="F331" s="34"/>
      <c r="G331" s="34"/>
      <c r="H331" s="34"/>
      <c r="I331" s="29"/>
      <c r="J331" s="29"/>
      <c r="K331" s="29"/>
      <c r="L331" s="29"/>
      <c r="M331" s="34"/>
      <c r="N331" s="34"/>
      <c r="O331" s="29"/>
      <c r="P331" s="29"/>
      <c r="Q331" s="29"/>
      <c r="R331" s="29"/>
      <c r="S331" s="29"/>
      <c r="T331" s="29"/>
      <c r="U331" s="476"/>
      <c r="V331" s="107"/>
      <c r="W331" s="29"/>
      <c r="X331" s="34"/>
      <c r="Y331" s="34"/>
    </row>
    <row x14ac:dyDescent="0.25" r="332" customHeight="1" ht="15.75">
      <c r="A332" s="502"/>
      <c r="B332" s="34"/>
      <c r="C332" s="34"/>
      <c r="D332" s="34"/>
      <c r="E332" s="34"/>
      <c r="F332" s="34"/>
      <c r="G332" s="34"/>
      <c r="H332" s="34"/>
      <c r="I332" s="29"/>
      <c r="J332" s="29"/>
      <c r="K332" s="29"/>
      <c r="L332" s="29"/>
      <c r="M332" s="34"/>
      <c r="N332" s="34"/>
      <c r="O332" s="29"/>
      <c r="P332" s="29"/>
      <c r="Q332" s="29"/>
      <c r="R332" s="29"/>
      <c r="S332" s="29"/>
      <c r="T332" s="29"/>
      <c r="U332" s="476"/>
      <c r="V332" s="107"/>
      <c r="W332" s="29"/>
      <c r="X332" s="34"/>
      <c r="Y332" s="34"/>
    </row>
    <row x14ac:dyDescent="0.25" r="333" customHeight="1" ht="15.75">
      <c r="A333" s="502"/>
      <c r="B333" s="34"/>
      <c r="C333" s="34"/>
      <c r="D333" s="34"/>
      <c r="E333" s="34"/>
      <c r="F333" s="34"/>
      <c r="G333" s="34"/>
      <c r="H333" s="34"/>
      <c r="I333" s="29"/>
      <c r="J333" s="29"/>
      <c r="K333" s="29"/>
      <c r="L333" s="29"/>
      <c r="M333" s="34"/>
      <c r="N333" s="34"/>
      <c r="O333" s="29"/>
      <c r="P333" s="29"/>
      <c r="Q333" s="29"/>
      <c r="R333" s="29"/>
      <c r="S333" s="29"/>
      <c r="T333" s="29"/>
      <c r="U333" s="476"/>
      <c r="V333" s="107"/>
      <c r="W333" s="29"/>
      <c r="X333" s="34"/>
      <c r="Y333" s="34"/>
    </row>
    <row x14ac:dyDescent="0.25" r="334" customHeight="1" ht="15.75">
      <c r="A334" s="502"/>
      <c r="B334" s="34"/>
      <c r="C334" s="34"/>
      <c r="D334" s="34"/>
      <c r="E334" s="34"/>
      <c r="F334" s="34"/>
      <c r="G334" s="34"/>
      <c r="H334" s="34"/>
      <c r="I334" s="29"/>
      <c r="J334" s="29"/>
      <c r="K334" s="29"/>
      <c r="L334" s="29"/>
      <c r="M334" s="34"/>
      <c r="N334" s="34"/>
      <c r="O334" s="29"/>
      <c r="P334" s="29"/>
      <c r="Q334" s="29"/>
      <c r="R334" s="29"/>
      <c r="S334" s="29"/>
      <c r="T334" s="29"/>
      <c r="U334" s="476"/>
      <c r="V334" s="107"/>
      <c r="W334" s="29"/>
      <c r="X334" s="34"/>
      <c r="Y334" s="34"/>
    </row>
    <row x14ac:dyDescent="0.25" r="335" customHeight="1" ht="15.75">
      <c r="A335" s="502"/>
      <c r="B335" s="34"/>
      <c r="C335" s="34"/>
      <c r="D335" s="34"/>
      <c r="E335" s="34"/>
      <c r="F335" s="34"/>
      <c r="G335" s="34"/>
      <c r="H335" s="34"/>
      <c r="I335" s="29"/>
      <c r="J335" s="29"/>
      <c r="K335" s="29"/>
      <c r="L335" s="29"/>
      <c r="M335" s="34"/>
      <c r="N335" s="34"/>
      <c r="O335" s="29"/>
      <c r="P335" s="29"/>
      <c r="Q335" s="29"/>
      <c r="R335" s="29"/>
      <c r="S335" s="29"/>
      <c r="T335" s="29"/>
      <c r="U335" s="476"/>
      <c r="V335" s="107"/>
      <c r="W335" s="29"/>
      <c r="X335" s="34"/>
      <c r="Y335" s="34"/>
    </row>
    <row x14ac:dyDescent="0.25" r="336" customHeight="1" ht="15.75">
      <c r="A336" s="502"/>
      <c r="B336" s="34"/>
      <c r="C336" s="34"/>
      <c r="D336" s="34"/>
      <c r="E336" s="34"/>
      <c r="F336" s="34"/>
      <c r="G336" s="34"/>
      <c r="H336" s="34"/>
      <c r="I336" s="29"/>
      <c r="J336" s="29"/>
      <c r="K336" s="29"/>
      <c r="L336" s="29"/>
      <c r="M336" s="34"/>
      <c r="N336" s="34"/>
      <c r="O336" s="29"/>
      <c r="P336" s="29"/>
      <c r="Q336" s="29"/>
      <c r="R336" s="29"/>
      <c r="S336" s="29"/>
      <c r="T336" s="29"/>
      <c r="U336" s="476"/>
      <c r="V336" s="107"/>
      <c r="W336" s="29"/>
      <c r="X336" s="34"/>
      <c r="Y336" s="34"/>
    </row>
    <row x14ac:dyDescent="0.25" r="337" customHeight="1" ht="15.75">
      <c r="A337" s="502"/>
      <c r="B337" s="34"/>
      <c r="C337" s="34"/>
      <c r="D337" s="34"/>
      <c r="E337" s="34"/>
      <c r="F337" s="34"/>
      <c r="G337" s="34"/>
      <c r="H337" s="34"/>
      <c r="I337" s="29"/>
      <c r="J337" s="29"/>
      <c r="K337" s="29"/>
      <c r="L337" s="29"/>
      <c r="M337" s="34"/>
      <c r="N337" s="34"/>
      <c r="O337" s="29"/>
      <c r="P337" s="29"/>
      <c r="Q337" s="29"/>
      <c r="R337" s="29"/>
      <c r="S337" s="29"/>
      <c r="T337" s="29"/>
      <c r="U337" s="476"/>
      <c r="V337" s="107"/>
      <c r="W337" s="29"/>
      <c r="X337" s="34"/>
      <c r="Y337" s="34"/>
    </row>
    <row x14ac:dyDescent="0.25" r="338" customHeight="1" ht="15.75">
      <c r="A338" s="502"/>
      <c r="B338" s="34"/>
      <c r="C338" s="34"/>
      <c r="D338" s="34"/>
      <c r="E338" s="34"/>
      <c r="F338" s="34"/>
      <c r="G338" s="34"/>
      <c r="H338" s="34"/>
      <c r="I338" s="29"/>
      <c r="J338" s="29"/>
      <c r="K338" s="29"/>
      <c r="L338" s="29"/>
      <c r="M338" s="34"/>
      <c r="N338" s="34"/>
      <c r="O338" s="29"/>
      <c r="P338" s="29"/>
      <c r="Q338" s="29"/>
      <c r="R338" s="29"/>
      <c r="S338" s="29"/>
      <c r="T338" s="29"/>
      <c r="U338" s="476"/>
      <c r="V338" s="107"/>
      <c r="W338" s="29"/>
      <c r="X338" s="34"/>
      <c r="Y338" s="34"/>
    </row>
    <row x14ac:dyDescent="0.25" r="339" customHeight="1" ht="15.75">
      <c r="A339" s="502"/>
      <c r="B339" s="34"/>
      <c r="C339" s="34"/>
      <c r="D339" s="34"/>
      <c r="E339" s="34"/>
      <c r="F339" s="34"/>
      <c r="G339" s="34"/>
      <c r="H339" s="34"/>
      <c r="I339" s="29"/>
      <c r="J339" s="29"/>
      <c r="K339" s="29"/>
      <c r="L339" s="29"/>
      <c r="M339" s="34"/>
      <c r="N339" s="34"/>
      <c r="O339" s="29"/>
      <c r="P339" s="29"/>
      <c r="Q339" s="29"/>
      <c r="R339" s="29"/>
      <c r="S339" s="29"/>
      <c r="T339" s="29"/>
      <c r="U339" s="476"/>
      <c r="V339" s="107"/>
      <c r="W339" s="29"/>
      <c r="X339" s="34"/>
      <c r="Y339" s="34"/>
    </row>
    <row x14ac:dyDescent="0.25" r="340" customHeight="1" ht="15.75">
      <c r="A340" s="502"/>
      <c r="B340" s="34"/>
      <c r="C340" s="34"/>
      <c r="D340" s="34"/>
      <c r="E340" s="34"/>
      <c r="F340" s="34"/>
      <c r="G340" s="34"/>
      <c r="H340" s="34"/>
      <c r="I340" s="29"/>
      <c r="J340" s="29"/>
      <c r="K340" s="29"/>
      <c r="L340" s="29"/>
      <c r="M340" s="34"/>
      <c r="N340" s="34"/>
      <c r="O340" s="29"/>
      <c r="P340" s="29"/>
      <c r="Q340" s="29"/>
      <c r="R340" s="29"/>
      <c r="S340" s="29"/>
      <c r="T340" s="29"/>
      <c r="U340" s="476"/>
      <c r="V340" s="107"/>
      <c r="W340" s="29"/>
      <c r="X340" s="34"/>
      <c r="Y340" s="34"/>
    </row>
    <row x14ac:dyDescent="0.25" r="341" customHeight="1" ht="15.75">
      <c r="A341" s="502"/>
      <c r="B341" s="34"/>
      <c r="C341" s="34"/>
      <c r="D341" s="34"/>
      <c r="E341" s="34"/>
      <c r="F341" s="34"/>
      <c r="G341" s="34"/>
      <c r="H341" s="34"/>
      <c r="I341" s="29"/>
      <c r="J341" s="29"/>
      <c r="K341" s="29"/>
      <c r="L341" s="29"/>
      <c r="M341" s="34"/>
      <c r="N341" s="34"/>
      <c r="O341" s="29"/>
      <c r="P341" s="29"/>
      <c r="Q341" s="29"/>
      <c r="R341" s="29"/>
      <c r="S341" s="29"/>
      <c r="T341" s="29"/>
      <c r="U341" s="476"/>
      <c r="V341" s="107"/>
      <c r="W341" s="29"/>
      <c r="X341" s="34"/>
      <c r="Y341" s="34"/>
    </row>
    <row x14ac:dyDescent="0.25" r="342" customHeight="1" ht="15.75">
      <c r="A342" s="502"/>
      <c r="B342" s="34"/>
      <c r="C342" s="34"/>
      <c r="D342" s="34"/>
      <c r="E342" s="34"/>
      <c r="F342" s="34"/>
      <c r="G342" s="34"/>
      <c r="H342" s="34"/>
      <c r="I342" s="29"/>
      <c r="J342" s="29"/>
      <c r="K342" s="29"/>
      <c r="L342" s="29"/>
      <c r="M342" s="34"/>
      <c r="N342" s="34"/>
      <c r="O342" s="29"/>
      <c r="P342" s="29"/>
      <c r="Q342" s="29"/>
      <c r="R342" s="29"/>
      <c r="S342" s="29"/>
      <c r="T342" s="29"/>
      <c r="U342" s="476"/>
      <c r="V342" s="107"/>
      <c r="W342" s="29"/>
      <c r="X342" s="34"/>
      <c r="Y342" s="34"/>
    </row>
    <row x14ac:dyDescent="0.25" r="343" customHeight="1" ht="15.75">
      <c r="A343" s="502"/>
      <c r="B343" s="34"/>
      <c r="C343" s="34"/>
      <c r="D343" s="34"/>
      <c r="E343" s="34"/>
      <c r="F343" s="34"/>
      <c r="G343" s="34"/>
      <c r="H343" s="34"/>
      <c r="I343" s="29"/>
      <c r="J343" s="29"/>
      <c r="K343" s="29"/>
      <c r="L343" s="29"/>
      <c r="M343" s="34"/>
      <c r="N343" s="34"/>
      <c r="O343" s="29"/>
      <c r="P343" s="29"/>
      <c r="Q343" s="29"/>
      <c r="R343" s="29"/>
      <c r="S343" s="29"/>
      <c r="T343" s="29"/>
      <c r="U343" s="476"/>
      <c r="V343" s="107"/>
      <c r="W343" s="29"/>
      <c r="X343" s="34"/>
      <c r="Y343" s="34"/>
    </row>
    <row x14ac:dyDescent="0.25" r="344" customHeight="1" ht="15.75">
      <c r="A344" s="502"/>
      <c r="B344" s="34"/>
      <c r="C344" s="34"/>
      <c r="D344" s="34"/>
      <c r="E344" s="34"/>
      <c r="F344" s="34"/>
      <c r="G344" s="34"/>
      <c r="H344" s="34"/>
      <c r="I344" s="29"/>
      <c r="J344" s="29"/>
      <c r="K344" s="29"/>
      <c r="L344" s="29"/>
      <c r="M344" s="34"/>
      <c r="N344" s="34"/>
      <c r="O344" s="29"/>
      <c r="P344" s="29"/>
      <c r="Q344" s="29"/>
      <c r="R344" s="29"/>
      <c r="S344" s="29"/>
      <c r="T344" s="29"/>
      <c r="U344" s="476"/>
      <c r="V344" s="107"/>
      <c r="W344" s="29"/>
      <c r="X344" s="34"/>
      <c r="Y344" s="34"/>
    </row>
    <row x14ac:dyDescent="0.25" r="345" customHeight="1" ht="15.75">
      <c r="A345" s="502"/>
      <c r="B345" s="34"/>
      <c r="C345" s="34"/>
      <c r="D345" s="34"/>
      <c r="E345" s="34"/>
      <c r="F345" s="34"/>
      <c r="G345" s="34"/>
      <c r="H345" s="34"/>
      <c r="I345" s="29"/>
      <c r="J345" s="29"/>
      <c r="K345" s="29"/>
      <c r="L345" s="29"/>
      <c r="M345" s="34"/>
      <c r="N345" s="34"/>
      <c r="O345" s="29"/>
      <c r="P345" s="29"/>
      <c r="Q345" s="29"/>
      <c r="R345" s="29"/>
      <c r="S345" s="29"/>
      <c r="T345" s="29"/>
      <c r="U345" s="476"/>
      <c r="V345" s="107"/>
      <c r="W345" s="29"/>
      <c r="X345" s="34"/>
      <c r="Y345" s="34"/>
    </row>
    <row x14ac:dyDescent="0.25" r="346" customHeight="1" ht="15.75">
      <c r="A346" s="502"/>
      <c r="B346" s="34"/>
      <c r="C346" s="34"/>
      <c r="D346" s="34"/>
      <c r="E346" s="34"/>
      <c r="F346" s="34"/>
      <c r="G346" s="34"/>
      <c r="H346" s="34"/>
      <c r="I346" s="29"/>
      <c r="J346" s="29"/>
      <c r="K346" s="29"/>
      <c r="L346" s="29"/>
      <c r="M346" s="34"/>
      <c r="N346" s="34"/>
      <c r="O346" s="29"/>
      <c r="P346" s="29"/>
      <c r="Q346" s="29"/>
      <c r="R346" s="29"/>
      <c r="S346" s="29"/>
      <c r="T346" s="29"/>
      <c r="U346" s="476"/>
      <c r="V346" s="107"/>
      <c r="W346" s="29"/>
      <c r="X346" s="34"/>
      <c r="Y346" s="34"/>
    </row>
    <row x14ac:dyDescent="0.25" r="347" customHeight="1" ht="15.75">
      <c r="A347" s="502"/>
      <c r="B347" s="34"/>
      <c r="C347" s="34"/>
      <c r="D347" s="34"/>
      <c r="E347" s="34"/>
      <c r="F347" s="34"/>
      <c r="G347" s="34"/>
      <c r="H347" s="34"/>
      <c r="I347" s="29"/>
      <c r="J347" s="29"/>
      <c r="K347" s="29"/>
      <c r="L347" s="29"/>
      <c r="M347" s="34"/>
      <c r="N347" s="34"/>
      <c r="O347" s="29"/>
      <c r="P347" s="29"/>
      <c r="Q347" s="29"/>
      <c r="R347" s="29"/>
      <c r="S347" s="29"/>
      <c r="T347" s="29"/>
      <c r="U347" s="476"/>
      <c r="V347" s="107"/>
      <c r="W347" s="29"/>
      <c r="X347" s="34"/>
      <c r="Y347" s="34"/>
    </row>
    <row x14ac:dyDescent="0.25" r="348" customHeight="1" ht="15.75">
      <c r="A348" s="502"/>
      <c r="B348" s="34"/>
      <c r="C348" s="34"/>
      <c r="D348" s="34"/>
      <c r="E348" s="34"/>
      <c r="F348" s="34"/>
      <c r="G348" s="34"/>
      <c r="H348" s="34"/>
      <c r="I348" s="29"/>
      <c r="J348" s="29"/>
      <c r="K348" s="29"/>
      <c r="L348" s="29"/>
      <c r="M348" s="34"/>
      <c r="N348" s="34"/>
      <c r="O348" s="29"/>
      <c r="P348" s="29"/>
      <c r="Q348" s="29"/>
      <c r="R348" s="29"/>
      <c r="S348" s="29"/>
      <c r="T348" s="29"/>
      <c r="U348" s="476"/>
      <c r="V348" s="107"/>
      <c r="W348" s="29"/>
      <c r="X348" s="34"/>
      <c r="Y348" s="34"/>
    </row>
    <row x14ac:dyDescent="0.25" r="349" customHeight="1" ht="15.75">
      <c r="A349" s="502"/>
      <c r="B349" s="34"/>
      <c r="C349" s="34"/>
      <c r="D349" s="34"/>
      <c r="E349" s="34"/>
      <c r="F349" s="34"/>
      <c r="G349" s="34"/>
      <c r="H349" s="34"/>
      <c r="I349" s="29"/>
      <c r="J349" s="29"/>
      <c r="K349" s="29"/>
      <c r="L349" s="29"/>
      <c r="M349" s="34"/>
      <c r="N349" s="34"/>
      <c r="O349" s="29"/>
      <c r="P349" s="29"/>
      <c r="Q349" s="29"/>
      <c r="R349" s="29"/>
      <c r="S349" s="29"/>
      <c r="T349" s="29"/>
      <c r="U349" s="476"/>
      <c r="V349" s="107"/>
      <c r="W349" s="29"/>
      <c r="X349" s="34"/>
      <c r="Y349" s="34"/>
    </row>
    <row x14ac:dyDescent="0.25" r="350" customHeight="1" ht="15.75">
      <c r="A350" s="502"/>
      <c r="B350" s="34"/>
      <c r="C350" s="34"/>
      <c r="D350" s="34"/>
      <c r="E350" s="34"/>
      <c r="F350" s="34"/>
      <c r="G350" s="34"/>
      <c r="H350" s="34"/>
      <c r="I350" s="29"/>
      <c r="J350" s="29"/>
      <c r="K350" s="29"/>
      <c r="L350" s="29"/>
      <c r="M350" s="34"/>
      <c r="N350" s="34"/>
      <c r="O350" s="29"/>
      <c r="P350" s="29"/>
      <c r="Q350" s="29"/>
      <c r="R350" s="29"/>
      <c r="S350" s="29"/>
      <c r="T350" s="29"/>
      <c r="U350" s="476"/>
      <c r="V350" s="107"/>
      <c r="W350" s="29"/>
      <c r="X350" s="34"/>
      <c r="Y350" s="34"/>
    </row>
    <row x14ac:dyDescent="0.25" r="351" customHeight="1" ht="15.75">
      <c r="A351" s="502"/>
      <c r="B351" s="34"/>
      <c r="C351" s="34"/>
      <c r="D351" s="34"/>
      <c r="E351" s="34"/>
      <c r="F351" s="34"/>
      <c r="G351" s="34"/>
      <c r="H351" s="34"/>
      <c r="I351" s="29"/>
      <c r="J351" s="29"/>
      <c r="K351" s="29"/>
      <c r="L351" s="29"/>
      <c r="M351" s="34"/>
      <c r="N351" s="34"/>
      <c r="O351" s="29"/>
      <c r="P351" s="29"/>
      <c r="Q351" s="29"/>
      <c r="R351" s="29"/>
      <c r="S351" s="29"/>
      <c r="T351" s="29"/>
      <c r="U351" s="476"/>
      <c r="V351" s="107"/>
      <c r="W351" s="29"/>
      <c r="X351" s="34"/>
      <c r="Y351" s="34"/>
    </row>
    <row x14ac:dyDescent="0.25" r="352" customHeight="1" ht="15.75">
      <c r="A352" s="502"/>
      <c r="B352" s="34"/>
      <c r="C352" s="34"/>
      <c r="D352" s="34"/>
      <c r="E352" s="34"/>
      <c r="F352" s="34"/>
      <c r="G352" s="34"/>
      <c r="H352" s="34"/>
      <c r="I352" s="29"/>
      <c r="J352" s="29"/>
      <c r="K352" s="29"/>
      <c r="L352" s="29"/>
      <c r="M352" s="34"/>
      <c r="N352" s="34"/>
      <c r="O352" s="29"/>
      <c r="P352" s="29"/>
      <c r="Q352" s="29"/>
      <c r="R352" s="29"/>
      <c r="S352" s="29"/>
      <c r="T352" s="29"/>
      <c r="U352" s="476"/>
      <c r="V352" s="107"/>
      <c r="W352" s="29"/>
      <c r="X352" s="34"/>
      <c r="Y352" s="34"/>
    </row>
    <row x14ac:dyDescent="0.25" r="353" customHeight="1" ht="15.75">
      <c r="A353" s="502"/>
      <c r="B353" s="34"/>
      <c r="C353" s="34"/>
      <c r="D353" s="34"/>
      <c r="E353" s="34"/>
      <c r="F353" s="34"/>
      <c r="G353" s="34"/>
      <c r="H353" s="34"/>
      <c r="I353" s="29"/>
      <c r="J353" s="29"/>
      <c r="K353" s="29"/>
      <c r="L353" s="29"/>
      <c r="M353" s="34"/>
      <c r="N353" s="34"/>
      <c r="O353" s="29"/>
      <c r="P353" s="29"/>
      <c r="Q353" s="29"/>
      <c r="R353" s="29"/>
      <c r="S353" s="29"/>
      <c r="T353" s="29"/>
      <c r="U353" s="476"/>
      <c r="V353" s="107"/>
      <c r="W353" s="29"/>
      <c r="X353" s="34"/>
      <c r="Y353" s="34"/>
    </row>
    <row x14ac:dyDescent="0.25" r="354" customHeight="1" ht="15.75">
      <c r="A354" s="502"/>
      <c r="B354" s="34"/>
      <c r="C354" s="34"/>
      <c r="D354" s="34"/>
      <c r="E354" s="34"/>
      <c r="F354" s="34"/>
      <c r="G354" s="34"/>
      <c r="H354" s="34"/>
      <c r="I354" s="29"/>
      <c r="J354" s="29"/>
      <c r="K354" s="29"/>
      <c r="L354" s="29"/>
      <c r="M354" s="34"/>
      <c r="N354" s="34"/>
      <c r="O354" s="29"/>
      <c r="P354" s="29"/>
      <c r="Q354" s="29"/>
      <c r="R354" s="29"/>
      <c r="S354" s="29"/>
      <c r="T354" s="29"/>
      <c r="U354" s="476"/>
      <c r="V354" s="107"/>
      <c r="W354" s="29"/>
      <c r="X354" s="34"/>
      <c r="Y354" s="34"/>
    </row>
    <row x14ac:dyDescent="0.25" r="355" customHeight="1" ht="15.75">
      <c r="A355" s="502"/>
      <c r="B355" s="34"/>
      <c r="C355" s="34"/>
      <c r="D355" s="34"/>
      <c r="E355" s="34"/>
      <c r="F355" s="34"/>
      <c r="G355" s="34"/>
      <c r="H355" s="34"/>
      <c r="I355" s="29"/>
      <c r="J355" s="29"/>
      <c r="K355" s="29"/>
      <c r="L355" s="29"/>
      <c r="M355" s="34"/>
      <c r="N355" s="34"/>
      <c r="O355" s="29"/>
      <c r="P355" s="29"/>
      <c r="Q355" s="29"/>
      <c r="R355" s="29"/>
      <c r="S355" s="29"/>
      <c r="T355" s="29"/>
      <c r="U355" s="476"/>
      <c r="V355" s="107"/>
      <c r="W355" s="29"/>
      <c r="X355" s="34"/>
      <c r="Y355" s="34"/>
    </row>
    <row x14ac:dyDescent="0.25" r="356" customHeight="1" ht="15.75">
      <c r="A356" s="502"/>
      <c r="B356" s="34"/>
      <c r="C356" s="34"/>
      <c r="D356" s="34"/>
      <c r="E356" s="34"/>
      <c r="F356" s="34"/>
      <c r="G356" s="34"/>
      <c r="H356" s="34"/>
      <c r="I356" s="29"/>
      <c r="J356" s="29"/>
      <c r="K356" s="29"/>
      <c r="L356" s="29"/>
      <c r="M356" s="34"/>
      <c r="N356" s="34"/>
      <c r="O356" s="29"/>
      <c r="P356" s="29"/>
      <c r="Q356" s="29"/>
      <c r="R356" s="29"/>
      <c r="S356" s="29"/>
      <c r="T356" s="29"/>
      <c r="U356" s="476"/>
      <c r="V356" s="107"/>
      <c r="W356" s="29"/>
      <c r="X356" s="34"/>
      <c r="Y356" s="34"/>
    </row>
    <row x14ac:dyDescent="0.25" r="357" customHeight="1" ht="15.75">
      <c r="A357" s="502"/>
      <c r="B357" s="34"/>
      <c r="C357" s="34"/>
      <c r="D357" s="34"/>
      <c r="E357" s="34"/>
      <c r="F357" s="34"/>
      <c r="G357" s="34"/>
      <c r="H357" s="34"/>
      <c r="I357" s="29"/>
      <c r="J357" s="29"/>
      <c r="K357" s="29"/>
      <c r="L357" s="29"/>
      <c r="M357" s="34"/>
      <c r="N357" s="34"/>
      <c r="O357" s="29"/>
      <c r="P357" s="29"/>
      <c r="Q357" s="29"/>
      <c r="R357" s="29"/>
      <c r="S357" s="29"/>
      <c r="T357" s="29"/>
      <c r="U357" s="476"/>
      <c r="V357" s="107"/>
      <c r="W357" s="29"/>
      <c r="X357" s="34"/>
      <c r="Y357" s="34"/>
    </row>
    <row x14ac:dyDescent="0.25" r="358" customHeight="1" ht="15.75">
      <c r="A358" s="502"/>
      <c r="B358" s="34"/>
      <c r="C358" s="34"/>
      <c r="D358" s="34"/>
      <c r="E358" s="34"/>
      <c r="F358" s="34"/>
      <c r="G358" s="34"/>
      <c r="H358" s="34"/>
      <c r="I358" s="29"/>
      <c r="J358" s="29"/>
      <c r="K358" s="29"/>
      <c r="L358" s="29"/>
      <c r="M358" s="34"/>
      <c r="N358" s="34"/>
      <c r="O358" s="29"/>
      <c r="P358" s="29"/>
      <c r="Q358" s="29"/>
      <c r="R358" s="29"/>
      <c r="S358" s="29"/>
      <c r="T358" s="29"/>
      <c r="U358" s="476"/>
      <c r="V358" s="107"/>
      <c r="W358" s="29"/>
      <c r="X358" s="34"/>
      <c r="Y358" s="34"/>
    </row>
    <row x14ac:dyDescent="0.25" r="359" customHeight="1" ht="15.75">
      <c r="A359" s="502"/>
      <c r="B359" s="34"/>
      <c r="C359" s="34"/>
      <c r="D359" s="34"/>
      <c r="E359" s="34"/>
      <c r="F359" s="34"/>
      <c r="G359" s="34"/>
      <c r="H359" s="34"/>
      <c r="I359" s="29"/>
      <c r="J359" s="29"/>
      <c r="K359" s="29"/>
      <c r="L359" s="29"/>
      <c r="M359" s="34"/>
      <c r="N359" s="34"/>
      <c r="O359" s="29"/>
      <c r="P359" s="29"/>
      <c r="Q359" s="29"/>
      <c r="R359" s="29"/>
      <c r="S359" s="29"/>
      <c r="T359" s="29"/>
      <c r="U359" s="476"/>
      <c r="V359" s="107"/>
      <c r="W359" s="29"/>
      <c r="X359" s="34"/>
      <c r="Y359" s="34"/>
    </row>
    <row x14ac:dyDescent="0.25" r="360" customHeight="1" ht="15.75">
      <c r="A360" s="502"/>
      <c r="B360" s="34"/>
      <c r="C360" s="34"/>
      <c r="D360" s="34"/>
      <c r="E360" s="34"/>
      <c r="F360" s="34"/>
      <c r="G360" s="34"/>
      <c r="H360" s="34"/>
      <c r="I360" s="29"/>
      <c r="J360" s="29"/>
      <c r="K360" s="29"/>
      <c r="L360" s="29"/>
      <c r="M360" s="34"/>
      <c r="N360" s="34"/>
      <c r="O360" s="29"/>
      <c r="P360" s="29"/>
      <c r="Q360" s="29"/>
      <c r="R360" s="29"/>
      <c r="S360" s="29"/>
      <c r="T360" s="29"/>
      <c r="U360" s="476"/>
      <c r="V360" s="107"/>
      <c r="W360" s="29"/>
      <c r="X360" s="34"/>
      <c r="Y360" s="34"/>
    </row>
    <row x14ac:dyDescent="0.25" r="361" customHeight="1" ht="15.75">
      <c r="A361" s="502"/>
      <c r="B361" s="34"/>
      <c r="C361" s="34"/>
      <c r="D361" s="34"/>
      <c r="E361" s="34"/>
      <c r="F361" s="34"/>
      <c r="G361" s="34"/>
      <c r="H361" s="34"/>
      <c r="I361" s="29"/>
      <c r="J361" s="29"/>
      <c r="K361" s="29"/>
      <c r="L361" s="29"/>
      <c r="M361" s="34"/>
      <c r="N361" s="34"/>
      <c r="O361" s="29"/>
      <c r="P361" s="29"/>
      <c r="Q361" s="29"/>
      <c r="R361" s="29"/>
      <c r="S361" s="29"/>
      <c r="T361" s="29"/>
      <c r="U361" s="476"/>
      <c r="V361" s="107"/>
      <c r="W361" s="29"/>
      <c r="X361" s="34"/>
      <c r="Y361" s="34"/>
    </row>
    <row x14ac:dyDescent="0.25" r="362" customHeight="1" ht="15.75">
      <c r="A362" s="502"/>
      <c r="B362" s="34"/>
      <c r="C362" s="34"/>
      <c r="D362" s="34"/>
      <c r="E362" s="34"/>
      <c r="F362" s="34"/>
      <c r="G362" s="34"/>
      <c r="H362" s="34"/>
      <c r="I362" s="29"/>
      <c r="J362" s="29"/>
      <c r="K362" s="29"/>
      <c r="L362" s="29"/>
      <c r="M362" s="34"/>
      <c r="N362" s="34"/>
      <c r="O362" s="29"/>
      <c r="P362" s="29"/>
      <c r="Q362" s="29"/>
      <c r="R362" s="29"/>
      <c r="S362" s="29"/>
      <c r="T362" s="29"/>
      <c r="U362" s="476"/>
      <c r="V362" s="107"/>
      <c r="W362" s="29"/>
      <c r="X362" s="34"/>
      <c r="Y362" s="34"/>
    </row>
    <row x14ac:dyDescent="0.25" r="363" customHeight="1" ht="15.75">
      <c r="A363" s="502"/>
      <c r="B363" s="34"/>
      <c r="C363" s="34"/>
      <c r="D363" s="34"/>
      <c r="E363" s="34"/>
      <c r="F363" s="34"/>
      <c r="G363" s="34"/>
      <c r="H363" s="34"/>
      <c r="I363" s="29"/>
      <c r="J363" s="29"/>
      <c r="K363" s="29"/>
      <c r="L363" s="29"/>
      <c r="M363" s="34"/>
      <c r="N363" s="34"/>
      <c r="O363" s="29"/>
      <c r="P363" s="29"/>
      <c r="Q363" s="29"/>
      <c r="R363" s="29"/>
      <c r="S363" s="29"/>
      <c r="T363" s="29"/>
      <c r="U363" s="476"/>
      <c r="V363" s="107"/>
      <c r="W363" s="29"/>
      <c r="X363" s="34"/>
      <c r="Y363" s="34"/>
    </row>
    <row x14ac:dyDescent="0.25" r="364" customHeight="1" ht="15.75">
      <c r="A364" s="502"/>
      <c r="B364" s="34"/>
      <c r="C364" s="34"/>
      <c r="D364" s="34"/>
      <c r="E364" s="34"/>
      <c r="F364" s="34"/>
      <c r="G364" s="34"/>
      <c r="H364" s="34"/>
      <c r="I364" s="29"/>
      <c r="J364" s="29"/>
      <c r="K364" s="29"/>
      <c r="L364" s="29"/>
      <c r="M364" s="34"/>
      <c r="N364" s="34"/>
      <c r="O364" s="29"/>
      <c r="P364" s="29"/>
      <c r="Q364" s="29"/>
      <c r="R364" s="29"/>
      <c r="S364" s="29"/>
      <c r="T364" s="29"/>
      <c r="U364" s="476"/>
      <c r="V364" s="107"/>
      <c r="W364" s="29"/>
      <c r="X364" s="34"/>
      <c r="Y364" s="34"/>
    </row>
    <row x14ac:dyDescent="0.25" r="365" customHeight="1" ht="15.75">
      <c r="A365" s="502"/>
      <c r="B365" s="34"/>
      <c r="C365" s="34"/>
      <c r="D365" s="34"/>
      <c r="E365" s="34"/>
      <c r="F365" s="34"/>
      <c r="G365" s="34"/>
      <c r="H365" s="34"/>
      <c r="I365" s="29"/>
      <c r="J365" s="29"/>
      <c r="K365" s="29"/>
      <c r="L365" s="29"/>
      <c r="M365" s="34"/>
      <c r="N365" s="34"/>
      <c r="O365" s="29"/>
      <c r="P365" s="29"/>
      <c r="Q365" s="29"/>
      <c r="R365" s="29"/>
      <c r="S365" s="29"/>
      <c r="T365" s="29"/>
      <c r="U365" s="476"/>
      <c r="V365" s="107"/>
      <c r="W365" s="29"/>
      <c r="X365" s="34"/>
      <c r="Y365" s="34"/>
    </row>
    <row x14ac:dyDescent="0.25" r="366" customHeight="1" ht="15.75">
      <c r="A366" s="502"/>
      <c r="B366" s="34"/>
      <c r="C366" s="34"/>
      <c r="D366" s="34"/>
      <c r="E366" s="34"/>
      <c r="F366" s="34"/>
      <c r="G366" s="34"/>
      <c r="H366" s="34"/>
      <c r="I366" s="29"/>
      <c r="J366" s="29"/>
      <c r="K366" s="29"/>
      <c r="L366" s="29"/>
      <c r="M366" s="34"/>
      <c r="N366" s="34"/>
      <c r="O366" s="29"/>
      <c r="P366" s="29"/>
      <c r="Q366" s="29"/>
      <c r="R366" s="29"/>
      <c r="S366" s="29"/>
      <c r="T366" s="29"/>
      <c r="U366" s="476"/>
      <c r="V366" s="107"/>
      <c r="W366" s="29"/>
      <c r="X366" s="34"/>
      <c r="Y366" s="34"/>
    </row>
    <row x14ac:dyDescent="0.25" r="367" customHeight="1" ht="15.75">
      <c r="A367" s="502"/>
      <c r="B367" s="34"/>
      <c r="C367" s="34"/>
      <c r="D367" s="34"/>
      <c r="E367" s="34"/>
      <c r="F367" s="34"/>
      <c r="G367" s="34"/>
      <c r="H367" s="34"/>
      <c r="I367" s="29"/>
      <c r="J367" s="29"/>
      <c r="K367" s="29"/>
      <c r="L367" s="29"/>
      <c r="M367" s="34"/>
      <c r="N367" s="34"/>
      <c r="O367" s="29"/>
      <c r="P367" s="29"/>
      <c r="Q367" s="29"/>
      <c r="R367" s="29"/>
      <c r="S367" s="29"/>
      <c r="T367" s="29"/>
      <c r="U367" s="476"/>
      <c r="V367" s="107"/>
      <c r="W367" s="29"/>
      <c r="X367" s="34"/>
      <c r="Y367" s="34"/>
    </row>
    <row x14ac:dyDescent="0.25" r="368" customHeight="1" ht="15.75">
      <c r="A368" s="502"/>
      <c r="B368" s="34"/>
      <c r="C368" s="34"/>
      <c r="D368" s="34"/>
      <c r="E368" s="34"/>
      <c r="F368" s="34"/>
      <c r="G368" s="34"/>
      <c r="H368" s="34"/>
      <c r="I368" s="29"/>
      <c r="J368" s="29"/>
      <c r="K368" s="29"/>
      <c r="L368" s="29"/>
      <c r="M368" s="34"/>
      <c r="N368" s="34"/>
      <c r="O368" s="29"/>
      <c r="P368" s="29"/>
      <c r="Q368" s="29"/>
      <c r="R368" s="29"/>
      <c r="S368" s="29"/>
      <c r="T368" s="29"/>
      <c r="U368" s="476"/>
      <c r="V368" s="107"/>
      <c r="W368" s="29"/>
      <c r="X368" s="34"/>
      <c r="Y368" s="34"/>
    </row>
    <row x14ac:dyDescent="0.25" r="369" customHeight="1" ht="15.75">
      <c r="A369" s="502"/>
      <c r="B369" s="34"/>
      <c r="C369" s="34"/>
      <c r="D369" s="34"/>
      <c r="E369" s="34"/>
      <c r="F369" s="34"/>
      <c r="G369" s="34"/>
      <c r="H369" s="34"/>
      <c r="I369" s="29"/>
      <c r="J369" s="29"/>
      <c r="K369" s="29"/>
      <c r="L369" s="29"/>
      <c r="M369" s="34"/>
      <c r="N369" s="34"/>
      <c r="O369" s="29"/>
      <c r="P369" s="29"/>
      <c r="Q369" s="29"/>
      <c r="R369" s="29"/>
      <c r="S369" s="29"/>
      <c r="T369" s="29"/>
      <c r="U369" s="476"/>
      <c r="V369" s="107"/>
      <c r="W369" s="29"/>
      <c r="X369" s="34"/>
      <c r="Y369" s="34"/>
    </row>
    <row x14ac:dyDescent="0.25" r="370" customHeight="1" ht="15.75">
      <c r="A370" s="502"/>
      <c r="B370" s="34"/>
      <c r="C370" s="34"/>
      <c r="D370" s="34"/>
      <c r="E370" s="34"/>
      <c r="F370" s="34"/>
      <c r="G370" s="34"/>
      <c r="H370" s="34"/>
      <c r="I370" s="29"/>
      <c r="J370" s="29"/>
      <c r="K370" s="29"/>
      <c r="L370" s="29"/>
      <c r="M370" s="34"/>
      <c r="N370" s="34"/>
      <c r="O370" s="29"/>
      <c r="P370" s="29"/>
      <c r="Q370" s="29"/>
      <c r="R370" s="29"/>
      <c r="S370" s="29"/>
      <c r="T370" s="29"/>
      <c r="U370" s="476"/>
      <c r="V370" s="107"/>
      <c r="W370" s="29"/>
      <c r="X370" s="34"/>
      <c r="Y370" s="34"/>
    </row>
    <row x14ac:dyDescent="0.25" r="371" customHeight="1" ht="15.75">
      <c r="A371" s="502"/>
      <c r="B371" s="34"/>
      <c r="C371" s="34"/>
      <c r="D371" s="34"/>
      <c r="E371" s="34"/>
      <c r="F371" s="34"/>
      <c r="G371" s="34"/>
      <c r="H371" s="34"/>
      <c r="I371" s="29"/>
      <c r="J371" s="29"/>
      <c r="K371" s="29"/>
      <c r="L371" s="29"/>
      <c r="M371" s="34"/>
      <c r="N371" s="34"/>
      <c r="O371" s="29"/>
      <c r="P371" s="29"/>
      <c r="Q371" s="29"/>
      <c r="R371" s="29"/>
      <c r="S371" s="29"/>
      <c r="T371" s="29"/>
      <c r="U371" s="476"/>
      <c r="V371" s="107"/>
      <c r="W371" s="29"/>
      <c r="X371" s="34"/>
      <c r="Y371" s="34"/>
    </row>
    <row x14ac:dyDescent="0.25" r="372" customHeight="1" ht="15.75">
      <c r="A372" s="502"/>
      <c r="B372" s="34"/>
      <c r="C372" s="34"/>
      <c r="D372" s="34"/>
      <c r="E372" s="34"/>
      <c r="F372" s="34"/>
      <c r="G372" s="34"/>
      <c r="H372" s="34"/>
      <c r="I372" s="29"/>
      <c r="J372" s="29"/>
      <c r="K372" s="29"/>
      <c r="L372" s="29"/>
      <c r="M372" s="34"/>
      <c r="N372" s="34"/>
      <c r="O372" s="29"/>
      <c r="P372" s="29"/>
      <c r="Q372" s="29"/>
      <c r="R372" s="29"/>
      <c r="S372" s="29"/>
      <c r="T372" s="29"/>
      <c r="U372" s="476"/>
      <c r="V372" s="107"/>
      <c r="W372" s="29"/>
      <c r="X372" s="34"/>
      <c r="Y372" s="34"/>
    </row>
    <row x14ac:dyDescent="0.25" r="373" customHeight="1" ht="15.75">
      <c r="A373" s="502"/>
      <c r="B373" s="34"/>
      <c r="C373" s="34"/>
      <c r="D373" s="34"/>
      <c r="E373" s="34"/>
      <c r="F373" s="34"/>
      <c r="G373" s="34"/>
      <c r="H373" s="34"/>
      <c r="I373" s="29"/>
      <c r="J373" s="29"/>
      <c r="K373" s="29"/>
      <c r="L373" s="29"/>
      <c r="M373" s="34"/>
      <c r="N373" s="34"/>
      <c r="O373" s="29"/>
      <c r="P373" s="29"/>
      <c r="Q373" s="29"/>
      <c r="R373" s="29"/>
      <c r="S373" s="29"/>
      <c r="T373" s="29"/>
      <c r="U373" s="476"/>
      <c r="V373" s="107"/>
      <c r="W373" s="29"/>
      <c r="X373" s="34"/>
      <c r="Y373" s="34"/>
    </row>
    <row x14ac:dyDescent="0.25" r="374" customHeight="1" ht="15.75">
      <c r="A374" s="502"/>
      <c r="B374" s="34"/>
      <c r="C374" s="34"/>
      <c r="D374" s="34"/>
      <c r="E374" s="34"/>
      <c r="F374" s="34"/>
      <c r="G374" s="34"/>
      <c r="H374" s="34"/>
      <c r="I374" s="29"/>
      <c r="J374" s="29"/>
      <c r="K374" s="29"/>
      <c r="L374" s="29"/>
      <c r="M374" s="34"/>
      <c r="N374" s="34"/>
      <c r="O374" s="29"/>
      <c r="P374" s="29"/>
      <c r="Q374" s="29"/>
      <c r="R374" s="29"/>
      <c r="S374" s="29"/>
      <c r="T374" s="29"/>
      <c r="U374" s="476"/>
      <c r="V374" s="107"/>
      <c r="W374" s="29"/>
      <c r="X374" s="34"/>
      <c r="Y374" s="34"/>
    </row>
    <row x14ac:dyDescent="0.25" r="375" customHeight="1" ht="15.75">
      <c r="A375" s="502"/>
      <c r="B375" s="34"/>
      <c r="C375" s="34"/>
      <c r="D375" s="34"/>
      <c r="E375" s="34"/>
      <c r="F375" s="34"/>
      <c r="G375" s="34"/>
      <c r="H375" s="34"/>
      <c r="I375" s="29"/>
      <c r="J375" s="29"/>
      <c r="K375" s="29"/>
      <c r="L375" s="29"/>
      <c r="M375" s="34"/>
      <c r="N375" s="34"/>
      <c r="O375" s="29"/>
      <c r="P375" s="29"/>
      <c r="Q375" s="29"/>
      <c r="R375" s="29"/>
      <c r="S375" s="29"/>
      <c r="T375" s="29"/>
      <c r="U375" s="476"/>
      <c r="V375" s="107"/>
      <c r="W375" s="29"/>
      <c r="X375" s="34"/>
      <c r="Y375" s="34"/>
    </row>
    <row x14ac:dyDescent="0.25" r="376" customHeight="1" ht="15.75">
      <c r="A376" s="502"/>
      <c r="B376" s="34"/>
      <c r="C376" s="34"/>
      <c r="D376" s="34"/>
      <c r="E376" s="34"/>
      <c r="F376" s="34"/>
      <c r="G376" s="34"/>
      <c r="H376" s="34"/>
      <c r="I376" s="29"/>
      <c r="J376" s="29"/>
      <c r="K376" s="29"/>
      <c r="L376" s="29"/>
      <c r="M376" s="34"/>
      <c r="N376" s="34"/>
      <c r="O376" s="29"/>
      <c r="P376" s="29"/>
      <c r="Q376" s="29"/>
      <c r="R376" s="29"/>
      <c r="S376" s="29"/>
      <c r="T376" s="29"/>
      <c r="U376" s="476"/>
      <c r="V376" s="107"/>
      <c r="W376" s="29"/>
      <c r="X376" s="34"/>
      <c r="Y376" s="34"/>
    </row>
    <row x14ac:dyDescent="0.25" r="377" customHeight="1" ht="15.75">
      <c r="A377" s="502"/>
      <c r="B377" s="34"/>
      <c r="C377" s="34"/>
      <c r="D377" s="34"/>
      <c r="E377" s="34"/>
      <c r="F377" s="34"/>
      <c r="G377" s="34"/>
      <c r="H377" s="34"/>
      <c r="I377" s="29"/>
      <c r="J377" s="29"/>
      <c r="K377" s="29"/>
      <c r="L377" s="29"/>
      <c r="M377" s="34"/>
      <c r="N377" s="34"/>
      <c r="O377" s="29"/>
      <c r="P377" s="29"/>
      <c r="Q377" s="29"/>
      <c r="R377" s="29"/>
      <c r="S377" s="29"/>
      <c r="T377" s="29"/>
      <c r="U377" s="476"/>
      <c r="V377" s="107"/>
      <c r="W377" s="29"/>
      <c r="X377" s="34"/>
      <c r="Y377" s="34"/>
    </row>
    <row x14ac:dyDescent="0.25" r="378" customHeight="1" ht="15.75">
      <c r="A378" s="502"/>
      <c r="B378" s="34"/>
      <c r="C378" s="34"/>
      <c r="D378" s="34"/>
      <c r="E378" s="34"/>
      <c r="F378" s="34"/>
      <c r="G378" s="34"/>
      <c r="H378" s="34"/>
      <c r="I378" s="29"/>
      <c r="J378" s="29"/>
      <c r="K378" s="29"/>
      <c r="L378" s="29"/>
      <c r="M378" s="34"/>
      <c r="N378" s="34"/>
      <c r="O378" s="29"/>
      <c r="P378" s="29"/>
      <c r="Q378" s="29"/>
      <c r="R378" s="29"/>
      <c r="S378" s="29"/>
      <c r="T378" s="29"/>
      <c r="U378" s="476"/>
      <c r="V378" s="107"/>
      <c r="W378" s="29"/>
      <c r="X378" s="34"/>
      <c r="Y378" s="34"/>
    </row>
    <row x14ac:dyDescent="0.25" r="379" customHeight="1" ht="15.75">
      <c r="A379" s="502"/>
      <c r="B379" s="34"/>
      <c r="C379" s="34"/>
      <c r="D379" s="34"/>
      <c r="E379" s="34"/>
      <c r="F379" s="34"/>
      <c r="G379" s="34"/>
      <c r="H379" s="34"/>
      <c r="I379" s="29"/>
      <c r="J379" s="29"/>
      <c r="K379" s="29"/>
      <c r="L379" s="29"/>
      <c r="M379" s="34"/>
      <c r="N379" s="34"/>
      <c r="O379" s="29"/>
      <c r="P379" s="29"/>
      <c r="Q379" s="29"/>
      <c r="R379" s="29"/>
      <c r="S379" s="29"/>
      <c r="T379" s="29"/>
      <c r="U379" s="476"/>
      <c r="V379" s="107"/>
      <c r="W379" s="29"/>
      <c r="X379" s="34"/>
      <c r="Y379" s="34"/>
    </row>
    <row x14ac:dyDescent="0.25" r="380" customHeight="1" ht="15.75">
      <c r="A380" s="502"/>
      <c r="B380" s="34"/>
      <c r="C380" s="34"/>
      <c r="D380" s="34"/>
      <c r="E380" s="34"/>
      <c r="F380" s="34"/>
      <c r="G380" s="34"/>
      <c r="H380" s="34"/>
      <c r="I380" s="29"/>
      <c r="J380" s="29"/>
      <c r="K380" s="29"/>
      <c r="L380" s="29"/>
      <c r="M380" s="34"/>
      <c r="N380" s="34"/>
      <c r="O380" s="29"/>
      <c r="P380" s="29"/>
      <c r="Q380" s="29"/>
      <c r="R380" s="29"/>
      <c r="S380" s="29"/>
      <c r="T380" s="29"/>
      <c r="U380" s="476"/>
      <c r="V380" s="107"/>
      <c r="W380" s="29"/>
      <c r="X380" s="34"/>
      <c r="Y380" s="34"/>
    </row>
    <row x14ac:dyDescent="0.25" r="381" customHeight="1" ht="15.75">
      <c r="A381" s="502"/>
      <c r="B381" s="34"/>
      <c r="C381" s="34"/>
      <c r="D381" s="34"/>
      <c r="E381" s="34"/>
      <c r="F381" s="34"/>
      <c r="G381" s="34"/>
      <c r="H381" s="34"/>
      <c r="I381" s="29"/>
      <c r="J381" s="29"/>
      <c r="K381" s="29"/>
      <c r="L381" s="29"/>
      <c r="M381" s="34"/>
      <c r="N381" s="34"/>
      <c r="O381" s="29"/>
      <c r="P381" s="29"/>
      <c r="Q381" s="29"/>
      <c r="R381" s="29"/>
      <c r="S381" s="29"/>
      <c r="T381" s="29"/>
      <c r="U381" s="476"/>
      <c r="V381" s="107"/>
      <c r="W381" s="29"/>
      <c r="X381" s="34"/>
      <c r="Y381" s="34"/>
    </row>
    <row x14ac:dyDescent="0.25" r="382" customHeight="1" ht="15.75">
      <c r="A382" s="502"/>
      <c r="B382" s="34"/>
      <c r="C382" s="34"/>
      <c r="D382" s="34"/>
      <c r="E382" s="34"/>
      <c r="F382" s="34"/>
      <c r="G382" s="34"/>
      <c r="H382" s="34"/>
      <c r="I382" s="29"/>
      <c r="J382" s="29"/>
      <c r="K382" s="29"/>
      <c r="L382" s="29"/>
      <c r="M382" s="34"/>
      <c r="N382" s="34"/>
      <c r="O382" s="29"/>
      <c r="P382" s="29"/>
      <c r="Q382" s="29"/>
      <c r="R382" s="29"/>
      <c r="S382" s="29"/>
      <c r="T382" s="29"/>
      <c r="U382" s="476"/>
      <c r="V382" s="107"/>
      <c r="W382" s="29"/>
      <c r="X382" s="34"/>
      <c r="Y382" s="34"/>
    </row>
    <row x14ac:dyDescent="0.25" r="383" customHeight="1" ht="15.75">
      <c r="A383" s="502"/>
      <c r="B383" s="34"/>
      <c r="C383" s="34"/>
      <c r="D383" s="34"/>
      <c r="E383" s="34"/>
      <c r="F383" s="34"/>
      <c r="G383" s="34"/>
      <c r="H383" s="34"/>
      <c r="I383" s="29"/>
      <c r="J383" s="29"/>
      <c r="K383" s="29"/>
      <c r="L383" s="29"/>
      <c r="M383" s="34"/>
      <c r="N383" s="34"/>
      <c r="O383" s="29"/>
      <c r="P383" s="29"/>
      <c r="Q383" s="29"/>
      <c r="R383" s="29"/>
      <c r="S383" s="29"/>
      <c r="T383" s="29"/>
      <c r="U383" s="476"/>
      <c r="V383" s="107"/>
      <c r="W383" s="29"/>
      <c r="X383" s="34"/>
      <c r="Y383" s="34"/>
    </row>
    <row x14ac:dyDescent="0.25" r="384" customHeight="1" ht="15.75">
      <c r="A384" s="502"/>
      <c r="B384" s="34"/>
      <c r="C384" s="34"/>
      <c r="D384" s="34"/>
      <c r="E384" s="34"/>
      <c r="F384" s="34"/>
      <c r="G384" s="34"/>
      <c r="H384" s="34"/>
      <c r="I384" s="29"/>
      <c r="J384" s="29"/>
      <c r="K384" s="29"/>
      <c r="L384" s="29"/>
      <c r="M384" s="34"/>
      <c r="N384" s="34"/>
      <c r="O384" s="29"/>
      <c r="P384" s="29"/>
      <c r="Q384" s="29"/>
      <c r="R384" s="29"/>
      <c r="S384" s="29"/>
      <c r="T384" s="29"/>
      <c r="U384" s="476"/>
      <c r="V384" s="107"/>
      <c r="W384" s="29"/>
      <c r="X384" s="34"/>
      <c r="Y384" s="34"/>
    </row>
    <row x14ac:dyDescent="0.25" r="385" customHeight="1" ht="15.75">
      <c r="A385" s="502"/>
      <c r="B385" s="34"/>
      <c r="C385" s="34"/>
      <c r="D385" s="34"/>
      <c r="E385" s="34"/>
      <c r="F385" s="34"/>
      <c r="G385" s="34"/>
      <c r="H385" s="34"/>
      <c r="I385" s="29"/>
      <c r="J385" s="29"/>
      <c r="K385" s="29"/>
      <c r="L385" s="29"/>
      <c r="M385" s="34"/>
      <c r="N385" s="34"/>
      <c r="O385" s="29"/>
      <c r="P385" s="29"/>
      <c r="Q385" s="29"/>
      <c r="R385" s="29"/>
      <c r="S385" s="29"/>
      <c r="T385" s="29"/>
      <c r="U385" s="476"/>
      <c r="V385" s="107"/>
      <c r="W385" s="29"/>
      <c r="X385" s="34"/>
      <c r="Y385" s="34"/>
    </row>
    <row x14ac:dyDescent="0.25" r="386" customHeight="1" ht="15.75">
      <c r="A386" s="502"/>
      <c r="B386" s="34"/>
      <c r="C386" s="34"/>
      <c r="D386" s="34"/>
      <c r="E386" s="34"/>
      <c r="F386" s="34"/>
      <c r="G386" s="34"/>
      <c r="H386" s="34"/>
      <c r="I386" s="29"/>
      <c r="J386" s="29"/>
      <c r="K386" s="29"/>
      <c r="L386" s="29"/>
      <c r="M386" s="34"/>
      <c r="N386" s="34"/>
      <c r="O386" s="29"/>
      <c r="P386" s="29"/>
      <c r="Q386" s="29"/>
      <c r="R386" s="29"/>
      <c r="S386" s="29"/>
      <c r="T386" s="29"/>
      <c r="U386" s="476"/>
      <c r="V386" s="107"/>
      <c r="W386" s="29"/>
      <c r="X386" s="34"/>
      <c r="Y386" s="34"/>
    </row>
    <row x14ac:dyDescent="0.25" r="387" customHeight="1" ht="15.75">
      <c r="A387" s="502"/>
      <c r="B387" s="34"/>
      <c r="C387" s="34"/>
      <c r="D387" s="34"/>
      <c r="E387" s="34"/>
      <c r="F387" s="34"/>
      <c r="G387" s="34"/>
      <c r="H387" s="34"/>
      <c r="I387" s="29"/>
      <c r="J387" s="29"/>
      <c r="K387" s="29"/>
      <c r="L387" s="29"/>
      <c r="M387" s="34"/>
      <c r="N387" s="34"/>
      <c r="O387" s="29"/>
      <c r="P387" s="29"/>
      <c r="Q387" s="29"/>
      <c r="R387" s="29"/>
      <c r="S387" s="29"/>
      <c r="T387" s="29"/>
      <c r="U387" s="476"/>
      <c r="V387" s="107"/>
      <c r="W387" s="29"/>
      <c r="X387" s="34"/>
      <c r="Y387" s="34"/>
    </row>
    <row x14ac:dyDescent="0.25" r="388" customHeight="1" ht="15.75">
      <c r="A388" s="502"/>
      <c r="B388" s="34"/>
      <c r="C388" s="34"/>
      <c r="D388" s="34"/>
      <c r="E388" s="34"/>
      <c r="F388" s="34"/>
      <c r="G388" s="34"/>
      <c r="H388" s="34"/>
      <c r="I388" s="29"/>
      <c r="J388" s="29"/>
      <c r="K388" s="29"/>
      <c r="L388" s="29"/>
      <c r="M388" s="34"/>
      <c r="N388" s="34"/>
      <c r="O388" s="29"/>
      <c r="P388" s="29"/>
      <c r="Q388" s="29"/>
      <c r="R388" s="29"/>
      <c r="S388" s="29"/>
      <c r="T388" s="29"/>
      <c r="U388" s="476"/>
      <c r="V388" s="107"/>
      <c r="W388" s="29"/>
      <c r="X388" s="34"/>
      <c r="Y388" s="34"/>
    </row>
    <row x14ac:dyDescent="0.25" r="389" customHeight="1" ht="15.75">
      <c r="A389" s="502"/>
      <c r="B389" s="34"/>
      <c r="C389" s="34"/>
      <c r="D389" s="34"/>
      <c r="E389" s="34"/>
      <c r="F389" s="34"/>
      <c r="G389" s="34"/>
      <c r="H389" s="34"/>
      <c r="I389" s="29"/>
      <c r="J389" s="29"/>
      <c r="K389" s="29"/>
      <c r="L389" s="29"/>
      <c r="M389" s="34"/>
      <c r="N389" s="34"/>
      <c r="O389" s="29"/>
      <c r="P389" s="29"/>
      <c r="Q389" s="29"/>
      <c r="R389" s="29"/>
      <c r="S389" s="29"/>
      <c r="T389" s="29"/>
      <c r="U389" s="476"/>
      <c r="V389" s="107"/>
      <c r="W389" s="29"/>
      <c r="X389" s="34"/>
      <c r="Y389" s="34"/>
    </row>
    <row x14ac:dyDescent="0.25" r="390" customHeight="1" ht="15.75">
      <c r="A390" s="502"/>
      <c r="B390" s="34"/>
      <c r="C390" s="34"/>
      <c r="D390" s="34"/>
      <c r="E390" s="34"/>
      <c r="F390" s="34"/>
      <c r="G390" s="34"/>
      <c r="H390" s="34"/>
      <c r="I390" s="29"/>
      <c r="J390" s="29"/>
      <c r="K390" s="29"/>
      <c r="L390" s="29"/>
      <c r="M390" s="34"/>
      <c r="N390" s="34"/>
      <c r="O390" s="29"/>
      <c r="P390" s="29"/>
      <c r="Q390" s="29"/>
      <c r="R390" s="29"/>
      <c r="S390" s="29"/>
      <c r="T390" s="29"/>
      <c r="U390" s="476"/>
      <c r="V390" s="107"/>
      <c r="W390" s="29"/>
      <c r="X390" s="34"/>
      <c r="Y390" s="34"/>
    </row>
    <row x14ac:dyDescent="0.25" r="391" customHeight="1" ht="15.75">
      <c r="A391" s="502"/>
      <c r="B391" s="34"/>
      <c r="C391" s="34"/>
      <c r="D391" s="34"/>
      <c r="E391" s="34"/>
      <c r="F391" s="34"/>
      <c r="G391" s="34"/>
      <c r="H391" s="34"/>
      <c r="I391" s="29"/>
      <c r="J391" s="29"/>
      <c r="K391" s="29"/>
      <c r="L391" s="29"/>
      <c r="M391" s="34"/>
      <c r="N391" s="34"/>
      <c r="O391" s="29"/>
      <c r="P391" s="29"/>
      <c r="Q391" s="29"/>
      <c r="R391" s="29"/>
      <c r="S391" s="29"/>
      <c r="T391" s="29"/>
      <c r="U391" s="476"/>
      <c r="V391" s="107"/>
      <c r="W391" s="29"/>
      <c r="X391" s="34"/>
      <c r="Y391" s="34"/>
    </row>
    <row x14ac:dyDescent="0.25" r="392" customHeight="1" ht="15.75">
      <c r="A392" s="502"/>
      <c r="B392" s="34"/>
      <c r="C392" s="34"/>
      <c r="D392" s="34"/>
      <c r="E392" s="34"/>
      <c r="F392" s="34"/>
      <c r="G392" s="34"/>
      <c r="H392" s="34"/>
      <c r="I392" s="29"/>
      <c r="J392" s="29"/>
      <c r="K392" s="29"/>
      <c r="L392" s="29"/>
      <c r="M392" s="34"/>
      <c r="N392" s="34"/>
      <c r="O392" s="29"/>
      <c r="P392" s="29"/>
      <c r="Q392" s="29"/>
      <c r="R392" s="29"/>
      <c r="S392" s="29"/>
      <c r="T392" s="29"/>
      <c r="U392" s="476"/>
      <c r="V392" s="107"/>
      <c r="W392" s="29"/>
      <c r="X392" s="34"/>
      <c r="Y392" s="34"/>
    </row>
    <row x14ac:dyDescent="0.25" r="393" customHeight="1" ht="15.75">
      <c r="A393" s="502"/>
      <c r="B393" s="34"/>
      <c r="C393" s="34"/>
      <c r="D393" s="34"/>
      <c r="E393" s="34"/>
      <c r="F393" s="34"/>
      <c r="G393" s="34"/>
      <c r="H393" s="34"/>
      <c r="I393" s="29"/>
      <c r="J393" s="29"/>
      <c r="K393" s="29"/>
      <c r="L393" s="29"/>
      <c r="M393" s="34"/>
      <c r="N393" s="34"/>
      <c r="O393" s="29"/>
      <c r="P393" s="29"/>
      <c r="Q393" s="29"/>
      <c r="R393" s="29"/>
      <c r="S393" s="29"/>
      <c r="T393" s="29"/>
      <c r="U393" s="476"/>
      <c r="V393" s="107"/>
      <c r="W393" s="29"/>
      <c r="X393" s="34"/>
      <c r="Y393" s="34"/>
    </row>
    <row x14ac:dyDescent="0.25" r="394" customHeight="1" ht="15.75">
      <c r="A394" s="502"/>
      <c r="B394" s="34"/>
      <c r="C394" s="34"/>
      <c r="D394" s="34"/>
      <c r="E394" s="34"/>
      <c r="F394" s="34"/>
      <c r="G394" s="34"/>
      <c r="H394" s="34"/>
      <c r="I394" s="29"/>
      <c r="J394" s="29"/>
      <c r="K394" s="29"/>
      <c r="L394" s="29"/>
      <c r="M394" s="34"/>
      <c r="N394" s="34"/>
      <c r="O394" s="29"/>
      <c r="P394" s="29"/>
      <c r="Q394" s="29"/>
      <c r="R394" s="29"/>
      <c r="S394" s="29"/>
      <c r="T394" s="29"/>
      <c r="U394" s="476"/>
      <c r="V394" s="107"/>
      <c r="W394" s="29"/>
      <c r="X394" s="34"/>
      <c r="Y394" s="34"/>
    </row>
    <row x14ac:dyDescent="0.25" r="395" customHeight="1" ht="15.75">
      <c r="A395" s="502"/>
      <c r="B395" s="34"/>
      <c r="C395" s="34"/>
      <c r="D395" s="34"/>
      <c r="E395" s="34"/>
      <c r="F395" s="34"/>
      <c r="G395" s="34"/>
      <c r="H395" s="34"/>
      <c r="I395" s="29"/>
      <c r="J395" s="29"/>
      <c r="K395" s="29"/>
      <c r="L395" s="29"/>
      <c r="M395" s="34"/>
      <c r="N395" s="34"/>
      <c r="O395" s="29"/>
      <c r="P395" s="29"/>
      <c r="Q395" s="29"/>
      <c r="R395" s="29"/>
      <c r="S395" s="29"/>
      <c r="T395" s="29"/>
      <c r="U395" s="476"/>
      <c r="V395" s="107"/>
      <c r="W395" s="29"/>
      <c r="X395" s="34"/>
      <c r="Y395" s="34"/>
    </row>
    <row x14ac:dyDescent="0.25" r="396" customHeight="1" ht="15.75">
      <c r="A396" s="502"/>
      <c r="B396" s="34"/>
      <c r="C396" s="34"/>
      <c r="D396" s="34"/>
      <c r="E396" s="34"/>
      <c r="F396" s="34"/>
      <c r="G396" s="34"/>
      <c r="H396" s="34"/>
      <c r="I396" s="29"/>
      <c r="J396" s="29"/>
      <c r="K396" s="29"/>
      <c r="L396" s="29"/>
      <c r="M396" s="34"/>
      <c r="N396" s="34"/>
      <c r="O396" s="29"/>
      <c r="P396" s="29"/>
      <c r="Q396" s="29"/>
      <c r="R396" s="29"/>
      <c r="S396" s="29"/>
      <c r="T396" s="29"/>
      <c r="U396" s="476"/>
      <c r="V396" s="107"/>
      <c r="W396" s="29"/>
      <c r="X396" s="34"/>
      <c r="Y396" s="34"/>
    </row>
    <row x14ac:dyDescent="0.25" r="397" customHeight="1" ht="15.75">
      <c r="A397" s="502"/>
      <c r="B397" s="34"/>
      <c r="C397" s="34"/>
      <c r="D397" s="34"/>
      <c r="E397" s="34"/>
      <c r="F397" s="34"/>
      <c r="G397" s="34"/>
      <c r="H397" s="34"/>
      <c r="I397" s="29"/>
      <c r="J397" s="29"/>
      <c r="K397" s="29"/>
      <c r="L397" s="29"/>
      <c r="M397" s="34"/>
      <c r="N397" s="34"/>
      <c r="O397" s="29"/>
      <c r="P397" s="29"/>
      <c r="Q397" s="29"/>
      <c r="R397" s="29"/>
      <c r="S397" s="29"/>
      <c r="T397" s="29"/>
      <c r="U397" s="476"/>
      <c r="V397" s="107"/>
      <c r="W397" s="29"/>
      <c r="X397" s="34"/>
      <c r="Y397" s="34"/>
    </row>
    <row x14ac:dyDescent="0.25" r="398" customHeight="1" ht="15.75">
      <c r="A398" s="502"/>
      <c r="B398" s="34"/>
      <c r="C398" s="34"/>
      <c r="D398" s="34"/>
      <c r="E398" s="34"/>
      <c r="F398" s="34"/>
      <c r="G398" s="34"/>
      <c r="H398" s="34"/>
      <c r="I398" s="29"/>
      <c r="J398" s="29"/>
      <c r="K398" s="29"/>
      <c r="L398" s="29"/>
      <c r="M398" s="34"/>
      <c r="N398" s="34"/>
      <c r="O398" s="29"/>
      <c r="P398" s="29"/>
      <c r="Q398" s="29"/>
      <c r="R398" s="29"/>
      <c r="S398" s="29"/>
      <c r="T398" s="29"/>
      <c r="U398" s="476"/>
      <c r="V398" s="107"/>
      <c r="W398" s="29"/>
      <c r="X398" s="34"/>
      <c r="Y398" s="34"/>
    </row>
    <row x14ac:dyDescent="0.25" r="399" customHeight="1" ht="15.75">
      <c r="A399" s="502"/>
      <c r="B399" s="34"/>
      <c r="C399" s="34"/>
      <c r="D399" s="34"/>
      <c r="E399" s="34"/>
      <c r="F399" s="34"/>
      <c r="G399" s="34"/>
      <c r="H399" s="34"/>
      <c r="I399" s="29"/>
      <c r="J399" s="29"/>
      <c r="K399" s="29"/>
      <c r="L399" s="29"/>
      <c r="M399" s="34"/>
      <c r="N399" s="34"/>
      <c r="O399" s="29"/>
      <c r="P399" s="29"/>
      <c r="Q399" s="29"/>
      <c r="R399" s="29"/>
      <c r="S399" s="29"/>
      <c r="T399" s="29"/>
      <c r="U399" s="476"/>
      <c r="V399" s="107"/>
      <c r="W399" s="29"/>
      <c r="X399" s="34"/>
      <c r="Y399" s="34"/>
    </row>
    <row x14ac:dyDescent="0.25" r="400" customHeight="1" ht="15.75">
      <c r="A400" s="502"/>
      <c r="B400" s="34"/>
      <c r="C400" s="34"/>
      <c r="D400" s="34"/>
      <c r="E400" s="34"/>
      <c r="F400" s="34"/>
      <c r="G400" s="34"/>
      <c r="H400" s="34"/>
      <c r="I400" s="29"/>
      <c r="J400" s="29"/>
      <c r="K400" s="29"/>
      <c r="L400" s="29"/>
      <c r="M400" s="34"/>
      <c r="N400" s="34"/>
      <c r="O400" s="29"/>
      <c r="P400" s="29"/>
      <c r="Q400" s="29"/>
      <c r="R400" s="29"/>
      <c r="S400" s="29"/>
      <c r="T400" s="29"/>
      <c r="U400" s="476"/>
      <c r="V400" s="107"/>
      <c r="W400" s="29"/>
      <c r="X400" s="34"/>
      <c r="Y400" s="34"/>
    </row>
    <row x14ac:dyDescent="0.25" r="401" customHeight="1" ht="15.75">
      <c r="A401" s="502"/>
      <c r="B401" s="34"/>
      <c r="C401" s="34"/>
      <c r="D401" s="34"/>
      <c r="E401" s="34"/>
      <c r="F401" s="34"/>
      <c r="G401" s="34"/>
      <c r="H401" s="34"/>
      <c r="I401" s="29"/>
      <c r="J401" s="29"/>
      <c r="K401" s="29"/>
      <c r="L401" s="29"/>
      <c r="M401" s="34"/>
      <c r="N401" s="34"/>
      <c r="O401" s="29"/>
      <c r="P401" s="29"/>
      <c r="Q401" s="29"/>
      <c r="R401" s="29"/>
      <c r="S401" s="29"/>
      <c r="T401" s="29"/>
      <c r="U401" s="476"/>
      <c r="V401" s="107"/>
      <c r="W401" s="29"/>
      <c r="X401" s="34"/>
      <c r="Y401" s="34"/>
    </row>
    <row x14ac:dyDescent="0.25" r="402" customHeight="1" ht="15.75">
      <c r="A402" s="502"/>
      <c r="B402" s="34"/>
      <c r="C402" s="34"/>
      <c r="D402" s="34"/>
      <c r="E402" s="34"/>
      <c r="F402" s="34"/>
      <c r="G402" s="34"/>
      <c r="H402" s="34"/>
      <c r="I402" s="29"/>
      <c r="J402" s="29"/>
      <c r="K402" s="29"/>
      <c r="L402" s="29"/>
      <c r="M402" s="34"/>
      <c r="N402" s="34"/>
      <c r="O402" s="29"/>
      <c r="P402" s="29"/>
      <c r="Q402" s="29"/>
      <c r="R402" s="29"/>
      <c r="S402" s="29"/>
      <c r="T402" s="29"/>
      <c r="U402" s="476"/>
      <c r="V402" s="107"/>
      <c r="W402" s="29"/>
      <c r="X402" s="34"/>
      <c r="Y402" s="34"/>
    </row>
    <row x14ac:dyDescent="0.25" r="403" customHeight="1" ht="15.75">
      <c r="A403" s="502"/>
      <c r="B403" s="34"/>
      <c r="C403" s="34"/>
      <c r="D403" s="34"/>
      <c r="E403" s="34"/>
      <c r="F403" s="34"/>
      <c r="G403" s="34"/>
      <c r="H403" s="34"/>
      <c r="I403" s="29"/>
      <c r="J403" s="29"/>
      <c r="K403" s="29"/>
      <c r="L403" s="29"/>
      <c r="M403" s="34"/>
      <c r="N403" s="34"/>
      <c r="O403" s="29"/>
      <c r="P403" s="29"/>
      <c r="Q403" s="29"/>
      <c r="R403" s="29"/>
      <c r="S403" s="29"/>
      <c r="T403" s="29"/>
      <c r="U403" s="476"/>
      <c r="V403" s="107"/>
      <c r="W403" s="29"/>
      <c r="X403" s="34"/>
      <c r="Y403" s="34"/>
    </row>
    <row x14ac:dyDescent="0.25" r="404" customHeight="1" ht="15.75">
      <c r="A404" s="502"/>
      <c r="B404" s="34"/>
      <c r="C404" s="34"/>
      <c r="D404" s="34"/>
      <c r="E404" s="34"/>
      <c r="F404" s="34"/>
      <c r="G404" s="34"/>
      <c r="H404" s="34"/>
      <c r="I404" s="29"/>
      <c r="J404" s="29"/>
      <c r="K404" s="29"/>
      <c r="L404" s="29"/>
      <c r="M404" s="34"/>
      <c r="N404" s="34"/>
      <c r="O404" s="29"/>
      <c r="P404" s="29"/>
      <c r="Q404" s="29"/>
      <c r="R404" s="29"/>
      <c r="S404" s="29"/>
      <c r="T404" s="29"/>
      <c r="U404" s="476"/>
      <c r="V404" s="107"/>
      <c r="W404" s="29"/>
      <c r="X404" s="34"/>
      <c r="Y404" s="34"/>
    </row>
    <row x14ac:dyDescent="0.25" r="405" customHeight="1" ht="15.75">
      <c r="A405" s="502"/>
      <c r="B405" s="34"/>
      <c r="C405" s="34"/>
      <c r="D405" s="34"/>
      <c r="E405" s="34"/>
      <c r="F405" s="34"/>
      <c r="G405" s="34"/>
      <c r="H405" s="34"/>
      <c r="I405" s="29"/>
      <c r="J405" s="29"/>
      <c r="K405" s="29"/>
      <c r="L405" s="29"/>
      <c r="M405" s="34"/>
      <c r="N405" s="34"/>
      <c r="O405" s="29"/>
      <c r="P405" s="29"/>
      <c r="Q405" s="29"/>
      <c r="R405" s="29"/>
      <c r="S405" s="29"/>
      <c r="T405" s="29"/>
      <c r="U405" s="476"/>
      <c r="V405" s="107"/>
      <c r="W405" s="29"/>
      <c r="X405" s="34"/>
      <c r="Y405" s="34"/>
    </row>
    <row x14ac:dyDescent="0.25" r="406" customHeight="1" ht="15.75">
      <c r="A406" s="502"/>
      <c r="B406" s="34"/>
      <c r="C406" s="34"/>
      <c r="D406" s="34"/>
      <c r="E406" s="34"/>
      <c r="F406" s="34"/>
      <c r="G406" s="34"/>
      <c r="H406" s="34"/>
      <c r="I406" s="29"/>
      <c r="J406" s="29"/>
      <c r="K406" s="29"/>
      <c r="L406" s="29"/>
      <c r="M406" s="34"/>
      <c r="N406" s="34"/>
      <c r="O406" s="29"/>
      <c r="P406" s="29"/>
      <c r="Q406" s="29"/>
      <c r="R406" s="29"/>
      <c r="S406" s="29"/>
      <c r="T406" s="29"/>
      <c r="U406" s="476"/>
      <c r="V406" s="107"/>
      <c r="W406" s="29"/>
      <c r="X406" s="34"/>
      <c r="Y406" s="34"/>
    </row>
    <row x14ac:dyDescent="0.25" r="407" customHeight="1" ht="15.75">
      <c r="A407" s="502"/>
      <c r="B407" s="34"/>
      <c r="C407" s="34"/>
      <c r="D407" s="34"/>
      <c r="E407" s="34"/>
      <c r="F407" s="34"/>
      <c r="G407" s="34"/>
      <c r="H407" s="34"/>
      <c r="I407" s="29"/>
      <c r="J407" s="29"/>
      <c r="K407" s="29"/>
      <c r="L407" s="29"/>
      <c r="M407" s="34"/>
      <c r="N407" s="34"/>
      <c r="O407" s="29"/>
      <c r="P407" s="29"/>
      <c r="Q407" s="29"/>
      <c r="R407" s="29"/>
      <c r="S407" s="29"/>
      <c r="T407" s="29"/>
      <c r="U407" s="476"/>
      <c r="V407" s="107"/>
      <c r="W407" s="29"/>
      <c r="X407" s="34"/>
      <c r="Y407" s="34"/>
    </row>
    <row x14ac:dyDescent="0.25" r="408" customHeight="1" ht="15.75">
      <c r="A408" s="502"/>
      <c r="B408" s="34"/>
      <c r="C408" s="34"/>
      <c r="D408" s="34"/>
      <c r="E408" s="34"/>
      <c r="F408" s="34"/>
      <c r="G408" s="34"/>
      <c r="H408" s="34"/>
      <c r="I408" s="29"/>
      <c r="J408" s="29"/>
      <c r="K408" s="29"/>
      <c r="L408" s="29"/>
      <c r="M408" s="34"/>
      <c r="N408" s="34"/>
      <c r="O408" s="29"/>
      <c r="P408" s="29"/>
      <c r="Q408" s="29"/>
      <c r="R408" s="29"/>
      <c r="S408" s="29"/>
      <c r="T408" s="29"/>
      <c r="U408" s="476"/>
      <c r="V408" s="107"/>
      <c r="W408" s="29"/>
      <c r="X408" s="34"/>
      <c r="Y408" s="34"/>
    </row>
    <row x14ac:dyDescent="0.25" r="409" customHeight="1" ht="15.75">
      <c r="A409" s="502"/>
      <c r="B409" s="34"/>
      <c r="C409" s="34"/>
      <c r="D409" s="34"/>
      <c r="E409" s="34"/>
      <c r="F409" s="34"/>
      <c r="G409" s="34"/>
      <c r="H409" s="34"/>
      <c r="I409" s="29"/>
      <c r="J409" s="29"/>
      <c r="K409" s="29"/>
      <c r="L409" s="29"/>
      <c r="M409" s="34"/>
      <c r="N409" s="34"/>
      <c r="O409" s="29"/>
      <c r="P409" s="29"/>
      <c r="Q409" s="29"/>
      <c r="R409" s="29"/>
      <c r="S409" s="29"/>
      <c r="T409" s="29"/>
      <c r="U409" s="476"/>
      <c r="V409" s="107"/>
      <c r="W409" s="29"/>
      <c r="X409" s="34"/>
      <c r="Y409" s="34"/>
    </row>
    <row x14ac:dyDescent="0.25" r="410" customHeight="1" ht="15.75">
      <c r="A410" s="502"/>
      <c r="B410" s="34"/>
      <c r="C410" s="34"/>
      <c r="D410" s="34"/>
      <c r="E410" s="34"/>
      <c r="F410" s="34"/>
      <c r="G410" s="34"/>
      <c r="H410" s="34"/>
      <c r="I410" s="29"/>
      <c r="J410" s="29"/>
      <c r="K410" s="29"/>
      <c r="L410" s="29"/>
      <c r="M410" s="34"/>
      <c r="N410" s="34"/>
      <c r="O410" s="29"/>
      <c r="P410" s="29"/>
      <c r="Q410" s="29"/>
      <c r="R410" s="29"/>
      <c r="S410" s="29"/>
      <c r="T410" s="29"/>
      <c r="U410" s="476"/>
      <c r="V410" s="107"/>
      <c r="W410" s="29"/>
      <c r="X410" s="34"/>
      <c r="Y410" s="34"/>
    </row>
    <row x14ac:dyDescent="0.25" r="411" customHeight="1" ht="15.75">
      <c r="A411" s="502"/>
      <c r="B411" s="34"/>
      <c r="C411" s="34"/>
      <c r="D411" s="34"/>
      <c r="E411" s="34"/>
      <c r="F411" s="34"/>
      <c r="G411" s="34"/>
      <c r="H411" s="34"/>
      <c r="I411" s="29"/>
      <c r="J411" s="29"/>
      <c r="K411" s="29"/>
      <c r="L411" s="29"/>
      <c r="M411" s="34"/>
      <c r="N411" s="34"/>
      <c r="O411" s="29"/>
      <c r="P411" s="29"/>
      <c r="Q411" s="29"/>
      <c r="R411" s="29"/>
      <c r="S411" s="29"/>
      <c r="T411" s="29"/>
      <c r="U411" s="476"/>
      <c r="V411" s="107"/>
      <c r="W411" s="29"/>
      <c r="X411" s="34"/>
      <c r="Y411" s="34"/>
    </row>
    <row x14ac:dyDescent="0.25" r="412" customHeight="1" ht="15.75">
      <c r="A412" s="502"/>
      <c r="B412" s="34"/>
      <c r="C412" s="34"/>
      <c r="D412" s="34"/>
      <c r="E412" s="34"/>
      <c r="F412" s="34"/>
      <c r="G412" s="34"/>
      <c r="H412" s="34"/>
      <c r="I412" s="29"/>
      <c r="J412" s="29"/>
      <c r="K412" s="29"/>
      <c r="L412" s="29"/>
      <c r="M412" s="34"/>
      <c r="N412" s="34"/>
      <c r="O412" s="29"/>
      <c r="P412" s="29"/>
      <c r="Q412" s="29"/>
      <c r="R412" s="29"/>
      <c r="S412" s="29"/>
      <c r="T412" s="29"/>
      <c r="U412" s="476"/>
      <c r="V412" s="107"/>
      <c r="W412" s="29"/>
      <c r="X412" s="34"/>
      <c r="Y412" s="34"/>
    </row>
    <row x14ac:dyDescent="0.25" r="413" customHeight="1" ht="15.75">
      <c r="A413" s="502"/>
      <c r="B413" s="34"/>
      <c r="C413" s="34"/>
      <c r="D413" s="34"/>
      <c r="E413" s="34"/>
      <c r="F413" s="34"/>
      <c r="G413" s="34"/>
      <c r="H413" s="34"/>
      <c r="I413" s="29"/>
      <c r="J413" s="29"/>
      <c r="K413" s="29"/>
      <c r="L413" s="29"/>
      <c r="M413" s="34"/>
      <c r="N413" s="34"/>
      <c r="O413" s="29"/>
      <c r="P413" s="29"/>
      <c r="Q413" s="29"/>
      <c r="R413" s="29"/>
      <c r="S413" s="29"/>
      <c r="T413" s="29"/>
      <c r="U413" s="476"/>
      <c r="V413" s="107"/>
      <c r="W413" s="29"/>
      <c r="X413" s="34"/>
      <c r="Y413" s="34"/>
    </row>
    <row x14ac:dyDescent="0.25" r="414" customHeight="1" ht="15.75">
      <c r="A414" s="502"/>
      <c r="B414" s="34"/>
      <c r="C414" s="34"/>
      <c r="D414" s="34"/>
      <c r="E414" s="34"/>
      <c r="F414" s="34"/>
      <c r="G414" s="34"/>
      <c r="H414" s="34"/>
      <c r="I414" s="29"/>
      <c r="J414" s="29"/>
      <c r="K414" s="29"/>
      <c r="L414" s="29"/>
      <c r="M414" s="34"/>
      <c r="N414" s="34"/>
      <c r="O414" s="29"/>
      <c r="P414" s="29"/>
      <c r="Q414" s="29"/>
      <c r="R414" s="29"/>
      <c r="S414" s="29"/>
      <c r="T414" s="29"/>
      <c r="U414" s="476"/>
      <c r="V414" s="107"/>
      <c r="W414" s="29"/>
      <c r="X414" s="34"/>
      <c r="Y414" s="34"/>
    </row>
    <row x14ac:dyDescent="0.25" r="415" customHeight="1" ht="15.75">
      <c r="A415" s="502"/>
      <c r="B415" s="34"/>
      <c r="C415" s="34"/>
      <c r="D415" s="34"/>
      <c r="E415" s="34"/>
      <c r="F415" s="34"/>
      <c r="G415" s="34"/>
      <c r="H415" s="34"/>
      <c r="I415" s="29"/>
      <c r="J415" s="29"/>
      <c r="K415" s="29"/>
      <c r="L415" s="29"/>
      <c r="M415" s="34"/>
      <c r="N415" s="34"/>
      <c r="O415" s="29"/>
      <c r="P415" s="29"/>
      <c r="Q415" s="29"/>
      <c r="R415" s="29"/>
      <c r="S415" s="29"/>
      <c r="T415" s="29"/>
      <c r="U415" s="476"/>
      <c r="V415" s="107"/>
      <c r="W415" s="29"/>
      <c r="X415" s="34"/>
      <c r="Y415" s="34"/>
    </row>
    <row x14ac:dyDescent="0.25" r="416" customHeight="1" ht="15.75">
      <c r="A416" s="502"/>
      <c r="B416" s="34"/>
      <c r="C416" s="34"/>
      <c r="D416" s="34"/>
      <c r="E416" s="34"/>
      <c r="F416" s="34"/>
      <c r="G416" s="34"/>
      <c r="H416" s="34"/>
      <c r="I416" s="29"/>
      <c r="J416" s="29"/>
      <c r="K416" s="29"/>
      <c r="L416" s="29"/>
      <c r="M416" s="34"/>
      <c r="N416" s="34"/>
      <c r="O416" s="29"/>
      <c r="P416" s="29"/>
      <c r="Q416" s="29"/>
      <c r="R416" s="29"/>
      <c r="S416" s="29"/>
      <c r="T416" s="29"/>
      <c r="U416" s="476"/>
      <c r="V416" s="107"/>
      <c r="W416" s="29"/>
      <c r="X416" s="34"/>
      <c r="Y416" s="34"/>
    </row>
    <row x14ac:dyDescent="0.25" r="417" customHeight="1" ht="15.75">
      <c r="A417" s="502"/>
      <c r="B417" s="34"/>
      <c r="C417" s="34"/>
      <c r="D417" s="34"/>
      <c r="E417" s="34"/>
      <c r="F417" s="34"/>
      <c r="G417" s="34"/>
      <c r="H417" s="34"/>
      <c r="I417" s="29"/>
      <c r="J417" s="29"/>
      <c r="K417" s="29"/>
      <c r="L417" s="29"/>
      <c r="M417" s="34"/>
      <c r="N417" s="34"/>
      <c r="O417" s="29"/>
      <c r="P417" s="29"/>
      <c r="Q417" s="29"/>
      <c r="R417" s="29"/>
      <c r="S417" s="29"/>
      <c r="T417" s="29"/>
      <c r="U417" s="476"/>
      <c r="V417" s="107"/>
      <c r="W417" s="29"/>
      <c r="X417" s="34"/>
      <c r="Y417" s="34"/>
    </row>
    <row x14ac:dyDescent="0.25" r="418" customHeight="1" ht="15.75">
      <c r="A418" s="502"/>
      <c r="B418" s="34"/>
      <c r="C418" s="34"/>
      <c r="D418" s="34"/>
      <c r="E418" s="34"/>
      <c r="F418" s="34"/>
      <c r="G418" s="34"/>
      <c r="H418" s="34"/>
      <c r="I418" s="29"/>
      <c r="J418" s="29"/>
      <c r="K418" s="29"/>
      <c r="L418" s="29"/>
      <c r="M418" s="34"/>
      <c r="N418" s="34"/>
      <c r="O418" s="29"/>
      <c r="P418" s="29"/>
      <c r="Q418" s="29"/>
      <c r="R418" s="29"/>
      <c r="S418" s="29"/>
      <c r="T418" s="29"/>
      <c r="U418" s="476"/>
      <c r="V418" s="107"/>
      <c r="W418" s="29"/>
      <c r="X418" s="34"/>
      <c r="Y418" s="34"/>
    </row>
    <row x14ac:dyDescent="0.25" r="419" customHeight="1" ht="15.75">
      <c r="A419" s="502"/>
      <c r="B419" s="34"/>
      <c r="C419" s="34"/>
      <c r="D419" s="34"/>
      <c r="E419" s="34"/>
      <c r="F419" s="34"/>
      <c r="G419" s="34"/>
      <c r="H419" s="34"/>
      <c r="I419" s="29"/>
      <c r="J419" s="29"/>
      <c r="K419" s="29"/>
      <c r="L419" s="29"/>
      <c r="M419" s="34"/>
      <c r="N419" s="34"/>
      <c r="O419" s="29"/>
      <c r="P419" s="29"/>
      <c r="Q419" s="29"/>
      <c r="R419" s="29"/>
      <c r="S419" s="29"/>
      <c r="T419" s="29"/>
      <c r="U419" s="476"/>
      <c r="V419" s="107"/>
      <c r="W419" s="29"/>
      <c r="X419" s="34"/>
      <c r="Y419" s="34"/>
    </row>
    <row x14ac:dyDescent="0.25" r="420" customHeight="1" ht="15.75">
      <c r="A420" s="502"/>
      <c r="B420" s="34"/>
      <c r="C420" s="34"/>
      <c r="D420" s="34"/>
      <c r="E420" s="34"/>
      <c r="F420" s="34"/>
      <c r="G420" s="34"/>
      <c r="H420" s="34"/>
      <c r="I420" s="29"/>
      <c r="J420" s="29"/>
      <c r="K420" s="29"/>
      <c r="L420" s="29"/>
      <c r="M420" s="34"/>
      <c r="N420" s="34"/>
      <c r="O420" s="29"/>
      <c r="P420" s="29"/>
      <c r="Q420" s="29"/>
      <c r="R420" s="29"/>
      <c r="S420" s="29"/>
      <c r="T420" s="29"/>
      <c r="U420" s="476"/>
      <c r="V420" s="107"/>
      <c r="W420" s="29"/>
      <c r="X420" s="34"/>
      <c r="Y420" s="34"/>
    </row>
    <row x14ac:dyDescent="0.25" r="421" customHeight="1" ht="15.75">
      <c r="A421" s="502"/>
      <c r="B421" s="34"/>
      <c r="C421" s="34"/>
      <c r="D421" s="34"/>
      <c r="E421" s="34"/>
      <c r="F421" s="34"/>
      <c r="G421" s="34"/>
      <c r="H421" s="34"/>
      <c r="I421" s="29"/>
      <c r="J421" s="29"/>
      <c r="K421" s="29"/>
      <c r="L421" s="29"/>
      <c r="M421" s="34"/>
      <c r="N421" s="34"/>
      <c r="O421" s="29"/>
      <c r="P421" s="29"/>
      <c r="Q421" s="29"/>
      <c r="R421" s="29"/>
      <c r="S421" s="29"/>
      <c r="T421" s="29"/>
      <c r="U421" s="476"/>
      <c r="V421" s="107"/>
      <c r="W421" s="29"/>
      <c r="X421" s="34"/>
      <c r="Y421" s="34"/>
    </row>
    <row x14ac:dyDescent="0.25" r="422" customHeight="1" ht="15.75">
      <c r="A422" s="502"/>
      <c r="B422" s="34"/>
      <c r="C422" s="34"/>
      <c r="D422" s="34"/>
      <c r="E422" s="34"/>
      <c r="F422" s="34"/>
      <c r="G422" s="34"/>
      <c r="H422" s="34"/>
      <c r="I422" s="29"/>
      <c r="J422" s="29"/>
      <c r="K422" s="29"/>
      <c r="L422" s="29"/>
      <c r="M422" s="34"/>
      <c r="N422" s="34"/>
      <c r="O422" s="29"/>
      <c r="P422" s="29"/>
      <c r="Q422" s="29"/>
      <c r="R422" s="29"/>
      <c r="S422" s="29"/>
      <c r="T422" s="29"/>
      <c r="U422" s="476"/>
      <c r="V422" s="107"/>
      <c r="W422" s="29"/>
      <c r="X422" s="34"/>
      <c r="Y422" s="34"/>
    </row>
    <row x14ac:dyDescent="0.25" r="423" customHeight="1" ht="15.75">
      <c r="A423" s="502"/>
      <c r="B423" s="34"/>
      <c r="C423" s="34"/>
      <c r="D423" s="34"/>
      <c r="E423" s="34"/>
      <c r="F423" s="34"/>
      <c r="G423" s="34"/>
      <c r="H423" s="34"/>
      <c r="I423" s="29"/>
      <c r="J423" s="29"/>
      <c r="K423" s="29"/>
      <c r="L423" s="29"/>
      <c r="M423" s="34"/>
      <c r="N423" s="34"/>
      <c r="O423" s="29"/>
      <c r="P423" s="29"/>
      <c r="Q423" s="29"/>
      <c r="R423" s="29"/>
      <c r="S423" s="29"/>
      <c r="T423" s="29"/>
      <c r="U423" s="476"/>
      <c r="V423" s="107"/>
      <c r="W423" s="29"/>
      <c r="X423" s="34"/>
      <c r="Y423" s="34"/>
    </row>
    <row x14ac:dyDescent="0.25" r="424" customHeight="1" ht="15.75">
      <c r="A424" s="502"/>
      <c r="B424" s="34"/>
      <c r="C424" s="34"/>
      <c r="D424" s="34"/>
      <c r="E424" s="34"/>
      <c r="F424" s="34"/>
      <c r="G424" s="34"/>
      <c r="H424" s="34"/>
      <c r="I424" s="29"/>
      <c r="J424" s="29"/>
      <c r="K424" s="29"/>
      <c r="L424" s="29"/>
      <c r="M424" s="34"/>
      <c r="N424" s="34"/>
      <c r="O424" s="29"/>
      <c r="P424" s="29"/>
      <c r="Q424" s="29"/>
      <c r="R424" s="29"/>
      <c r="S424" s="29"/>
      <c r="T424" s="29"/>
      <c r="U424" s="476"/>
      <c r="V424" s="107"/>
      <c r="W424" s="29"/>
      <c r="X424" s="34"/>
      <c r="Y424" s="34"/>
    </row>
    <row x14ac:dyDescent="0.25" r="425" customHeight="1" ht="15.75">
      <c r="A425" s="502"/>
      <c r="B425" s="34"/>
      <c r="C425" s="34"/>
      <c r="D425" s="34"/>
      <c r="E425" s="34"/>
      <c r="F425" s="34"/>
      <c r="G425" s="34"/>
      <c r="H425" s="34"/>
      <c r="I425" s="29"/>
      <c r="J425" s="29"/>
      <c r="K425" s="29"/>
      <c r="L425" s="29"/>
      <c r="M425" s="34"/>
      <c r="N425" s="34"/>
      <c r="O425" s="29"/>
      <c r="P425" s="29"/>
      <c r="Q425" s="29"/>
      <c r="R425" s="29"/>
      <c r="S425" s="29"/>
      <c r="T425" s="29"/>
      <c r="U425" s="476"/>
      <c r="V425" s="107"/>
      <c r="W425" s="29"/>
      <c r="X425" s="34"/>
      <c r="Y425" s="34"/>
    </row>
    <row x14ac:dyDescent="0.25" r="426" customHeight="1" ht="15.75">
      <c r="A426" s="502"/>
      <c r="B426" s="34"/>
      <c r="C426" s="34"/>
      <c r="D426" s="34"/>
      <c r="E426" s="34"/>
      <c r="F426" s="34"/>
      <c r="G426" s="34"/>
      <c r="H426" s="34"/>
      <c r="I426" s="29"/>
      <c r="J426" s="29"/>
      <c r="K426" s="29"/>
      <c r="L426" s="29"/>
      <c r="M426" s="34"/>
      <c r="N426" s="34"/>
      <c r="O426" s="29"/>
      <c r="P426" s="29"/>
      <c r="Q426" s="29"/>
      <c r="R426" s="29"/>
      <c r="S426" s="29"/>
      <c r="T426" s="29"/>
      <c r="U426" s="476"/>
      <c r="V426" s="107"/>
      <c r="W426" s="29"/>
      <c r="X426" s="34"/>
      <c r="Y426" s="34"/>
    </row>
    <row x14ac:dyDescent="0.25" r="427" customHeight="1" ht="15.75">
      <c r="A427" s="502"/>
      <c r="B427" s="34"/>
      <c r="C427" s="34"/>
      <c r="D427" s="34"/>
      <c r="E427" s="34"/>
      <c r="F427" s="34"/>
      <c r="G427" s="34"/>
      <c r="H427" s="34"/>
      <c r="I427" s="29"/>
      <c r="J427" s="29"/>
      <c r="K427" s="29"/>
      <c r="L427" s="29"/>
      <c r="M427" s="34"/>
      <c r="N427" s="34"/>
      <c r="O427" s="29"/>
      <c r="P427" s="29"/>
      <c r="Q427" s="29"/>
      <c r="R427" s="29"/>
      <c r="S427" s="29"/>
      <c r="T427" s="29"/>
      <c r="U427" s="476"/>
      <c r="V427" s="107"/>
      <c r="W427" s="29"/>
      <c r="X427" s="34"/>
      <c r="Y427" s="34"/>
    </row>
    <row x14ac:dyDescent="0.25" r="428" customHeight="1" ht="15.75">
      <c r="A428" s="502"/>
      <c r="B428" s="34"/>
      <c r="C428" s="34"/>
      <c r="D428" s="34"/>
      <c r="E428" s="34"/>
      <c r="F428" s="34"/>
      <c r="G428" s="34"/>
      <c r="H428" s="34"/>
      <c r="I428" s="29"/>
      <c r="J428" s="29"/>
      <c r="K428" s="29"/>
      <c r="L428" s="29"/>
      <c r="M428" s="34"/>
      <c r="N428" s="34"/>
      <c r="O428" s="29"/>
      <c r="P428" s="29"/>
      <c r="Q428" s="29"/>
      <c r="R428" s="29"/>
      <c r="S428" s="29"/>
      <c r="T428" s="29"/>
      <c r="U428" s="476"/>
      <c r="V428" s="107"/>
      <c r="W428" s="29"/>
      <c r="X428" s="34"/>
      <c r="Y428" s="34"/>
    </row>
    <row x14ac:dyDescent="0.25" r="429" customHeight="1" ht="15.75">
      <c r="A429" s="502"/>
      <c r="B429" s="34"/>
      <c r="C429" s="34"/>
      <c r="D429" s="34"/>
      <c r="E429" s="34"/>
      <c r="F429" s="34"/>
      <c r="G429" s="34"/>
      <c r="H429" s="34"/>
      <c r="I429" s="29"/>
      <c r="J429" s="29"/>
      <c r="K429" s="29"/>
      <c r="L429" s="29"/>
      <c r="M429" s="34"/>
      <c r="N429" s="34"/>
      <c r="O429" s="29"/>
      <c r="P429" s="29"/>
      <c r="Q429" s="29"/>
      <c r="R429" s="29"/>
      <c r="S429" s="29"/>
      <c r="T429" s="29"/>
      <c r="U429" s="476"/>
      <c r="V429" s="107"/>
      <c r="W429" s="29"/>
      <c r="X429" s="34"/>
      <c r="Y429" s="34"/>
    </row>
    <row x14ac:dyDescent="0.25" r="430" customHeight="1" ht="15.75">
      <c r="A430" s="502"/>
      <c r="B430" s="34"/>
      <c r="C430" s="34"/>
      <c r="D430" s="34"/>
      <c r="E430" s="34"/>
      <c r="F430" s="34"/>
      <c r="G430" s="34"/>
      <c r="H430" s="34"/>
      <c r="I430" s="29"/>
      <c r="J430" s="29"/>
      <c r="K430" s="29"/>
      <c r="L430" s="29"/>
      <c r="M430" s="34"/>
      <c r="N430" s="34"/>
      <c r="O430" s="29"/>
      <c r="P430" s="29"/>
      <c r="Q430" s="29"/>
      <c r="R430" s="29"/>
      <c r="S430" s="29"/>
      <c r="T430" s="29"/>
      <c r="U430" s="476"/>
      <c r="V430" s="107"/>
      <c r="W430" s="29"/>
      <c r="X430" s="34"/>
      <c r="Y430" s="34"/>
    </row>
    <row x14ac:dyDescent="0.25" r="431" customHeight="1" ht="15.75">
      <c r="A431" s="502"/>
      <c r="B431" s="34"/>
      <c r="C431" s="34"/>
      <c r="D431" s="34"/>
      <c r="E431" s="34"/>
      <c r="F431" s="34"/>
      <c r="G431" s="34"/>
      <c r="H431" s="34"/>
      <c r="I431" s="29"/>
      <c r="J431" s="29"/>
      <c r="K431" s="29"/>
      <c r="L431" s="29"/>
      <c r="M431" s="34"/>
      <c r="N431" s="34"/>
      <c r="O431" s="29"/>
      <c r="P431" s="29"/>
      <c r="Q431" s="29"/>
      <c r="R431" s="29"/>
      <c r="S431" s="29"/>
      <c r="T431" s="29"/>
      <c r="U431" s="476"/>
      <c r="V431" s="107"/>
      <c r="W431" s="29"/>
      <c r="X431" s="34"/>
      <c r="Y431" s="34"/>
    </row>
    <row x14ac:dyDescent="0.25" r="432" customHeight="1" ht="15.75">
      <c r="A432" s="502"/>
      <c r="B432" s="34"/>
      <c r="C432" s="34"/>
      <c r="D432" s="34"/>
      <c r="E432" s="34"/>
      <c r="F432" s="34"/>
      <c r="G432" s="34"/>
      <c r="H432" s="34"/>
      <c r="I432" s="29"/>
      <c r="J432" s="29"/>
      <c r="K432" s="29"/>
      <c r="L432" s="29"/>
      <c r="M432" s="34"/>
      <c r="N432" s="34"/>
      <c r="O432" s="29"/>
      <c r="P432" s="29"/>
      <c r="Q432" s="29"/>
      <c r="R432" s="29"/>
      <c r="S432" s="29"/>
      <c r="T432" s="29"/>
      <c r="U432" s="476"/>
      <c r="V432" s="107"/>
      <c r="W432" s="29"/>
      <c r="X432" s="34"/>
      <c r="Y432" s="34"/>
    </row>
    <row x14ac:dyDescent="0.25" r="433" customHeight="1" ht="15.75">
      <c r="A433" s="502"/>
      <c r="B433" s="34"/>
      <c r="C433" s="34"/>
      <c r="D433" s="34"/>
      <c r="E433" s="34"/>
      <c r="F433" s="34"/>
      <c r="G433" s="34"/>
      <c r="H433" s="34"/>
      <c r="I433" s="29"/>
      <c r="J433" s="29"/>
      <c r="K433" s="29"/>
      <c r="L433" s="29"/>
      <c r="M433" s="34"/>
      <c r="N433" s="34"/>
      <c r="O433" s="29"/>
      <c r="P433" s="29"/>
      <c r="Q433" s="29"/>
      <c r="R433" s="29"/>
      <c r="S433" s="29"/>
      <c r="T433" s="29"/>
      <c r="U433" s="476"/>
      <c r="V433" s="107"/>
      <c r="W433" s="29"/>
      <c r="X433" s="34"/>
      <c r="Y433" s="34"/>
    </row>
    <row x14ac:dyDescent="0.25" r="434" customHeight="1" ht="15.75">
      <c r="A434" s="502"/>
      <c r="B434" s="34"/>
      <c r="C434" s="34"/>
      <c r="D434" s="34"/>
      <c r="E434" s="34"/>
      <c r="F434" s="34"/>
      <c r="G434" s="34"/>
      <c r="H434" s="34"/>
      <c r="I434" s="29"/>
      <c r="J434" s="29"/>
      <c r="K434" s="29"/>
      <c r="L434" s="29"/>
      <c r="M434" s="34"/>
      <c r="N434" s="34"/>
      <c r="O434" s="29"/>
      <c r="P434" s="29"/>
      <c r="Q434" s="29"/>
      <c r="R434" s="29"/>
      <c r="S434" s="29"/>
      <c r="T434" s="29"/>
      <c r="U434" s="476"/>
      <c r="V434" s="107"/>
      <c r="W434" s="29"/>
      <c r="X434" s="34"/>
      <c r="Y434" s="34"/>
    </row>
    <row x14ac:dyDescent="0.25" r="435" customHeight="1" ht="15.75">
      <c r="A435" s="502"/>
      <c r="B435" s="34"/>
      <c r="C435" s="34"/>
      <c r="D435" s="34"/>
      <c r="E435" s="34"/>
      <c r="F435" s="34"/>
      <c r="G435" s="34"/>
      <c r="H435" s="34"/>
      <c r="I435" s="29"/>
      <c r="J435" s="29"/>
      <c r="K435" s="29"/>
      <c r="L435" s="29"/>
      <c r="M435" s="34"/>
      <c r="N435" s="34"/>
      <c r="O435" s="29"/>
      <c r="P435" s="29"/>
      <c r="Q435" s="29"/>
      <c r="R435" s="29"/>
      <c r="S435" s="29"/>
      <c r="T435" s="29"/>
      <c r="U435" s="476"/>
      <c r="V435" s="107"/>
      <c r="W435" s="29"/>
      <c r="X435" s="34"/>
      <c r="Y435" s="34"/>
    </row>
    <row x14ac:dyDescent="0.25" r="436" customHeight="1" ht="15.75">
      <c r="A436" s="502"/>
      <c r="B436" s="34"/>
      <c r="C436" s="34"/>
      <c r="D436" s="34"/>
      <c r="E436" s="34"/>
      <c r="F436" s="34"/>
      <c r="G436" s="34"/>
      <c r="H436" s="34"/>
      <c r="I436" s="29"/>
      <c r="J436" s="29"/>
      <c r="K436" s="29"/>
      <c r="L436" s="29"/>
      <c r="M436" s="34"/>
      <c r="N436" s="34"/>
      <c r="O436" s="29"/>
      <c r="P436" s="29"/>
      <c r="Q436" s="29"/>
      <c r="R436" s="29"/>
      <c r="S436" s="29"/>
      <c r="T436" s="29"/>
      <c r="U436" s="476"/>
      <c r="V436" s="107"/>
      <c r="W436" s="29"/>
      <c r="X436" s="34"/>
      <c r="Y436" s="34"/>
    </row>
    <row x14ac:dyDescent="0.25" r="437" customHeight="1" ht="15.75">
      <c r="A437" s="502"/>
      <c r="B437" s="34"/>
      <c r="C437" s="34"/>
      <c r="D437" s="34"/>
      <c r="E437" s="34"/>
      <c r="F437" s="34"/>
      <c r="G437" s="34"/>
      <c r="H437" s="34"/>
      <c r="I437" s="29"/>
      <c r="J437" s="29"/>
      <c r="K437" s="29"/>
      <c r="L437" s="29"/>
      <c r="M437" s="34"/>
      <c r="N437" s="34"/>
      <c r="O437" s="29"/>
      <c r="P437" s="29"/>
      <c r="Q437" s="29"/>
      <c r="R437" s="29"/>
      <c r="S437" s="29"/>
      <c r="T437" s="29"/>
      <c r="U437" s="476"/>
      <c r="V437" s="107"/>
      <c r="W437" s="29"/>
      <c r="X437" s="34"/>
      <c r="Y437" s="34"/>
    </row>
    <row x14ac:dyDescent="0.25" r="438" customHeight="1" ht="15.75">
      <c r="A438" s="502"/>
      <c r="B438" s="34"/>
      <c r="C438" s="34"/>
      <c r="D438" s="34"/>
      <c r="E438" s="34"/>
      <c r="F438" s="34"/>
      <c r="G438" s="34"/>
      <c r="H438" s="34"/>
      <c r="I438" s="29"/>
      <c r="J438" s="29"/>
      <c r="K438" s="29"/>
      <c r="L438" s="29"/>
      <c r="M438" s="34"/>
      <c r="N438" s="34"/>
      <c r="O438" s="29"/>
      <c r="P438" s="29"/>
      <c r="Q438" s="29"/>
      <c r="R438" s="29"/>
      <c r="S438" s="29"/>
      <c r="T438" s="29"/>
      <c r="U438" s="476"/>
      <c r="V438" s="107"/>
      <c r="W438" s="29"/>
      <c r="X438" s="34"/>
      <c r="Y438" s="34"/>
    </row>
    <row x14ac:dyDescent="0.25" r="439" customHeight="1" ht="15.75">
      <c r="A439" s="502"/>
      <c r="B439" s="34"/>
      <c r="C439" s="34"/>
      <c r="D439" s="34"/>
      <c r="E439" s="34"/>
      <c r="F439" s="34"/>
      <c r="G439" s="34"/>
      <c r="H439" s="34"/>
      <c r="I439" s="29"/>
      <c r="J439" s="29"/>
      <c r="K439" s="29"/>
      <c r="L439" s="29"/>
      <c r="M439" s="34"/>
      <c r="N439" s="34"/>
      <c r="O439" s="29"/>
      <c r="P439" s="29"/>
      <c r="Q439" s="29"/>
      <c r="R439" s="29"/>
      <c r="S439" s="29"/>
      <c r="T439" s="29"/>
      <c r="U439" s="476"/>
      <c r="V439" s="107"/>
      <c r="W439" s="29"/>
      <c r="X439" s="34"/>
      <c r="Y439" s="34"/>
    </row>
    <row x14ac:dyDescent="0.25" r="440" customHeight="1" ht="15.75">
      <c r="A440" s="502"/>
      <c r="B440" s="34"/>
      <c r="C440" s="34"/>
      <c r="D440" s="34"/>
      <c r="E440" s="34"/>
      <c r="F440" s="34"/>
      <c r="G440" s="34"/>
      <c r="H440" s="34"/>
      <c r="I440" s="29"/>
      <c r="J440" s="29"/>
      <c r="K440" s="29"/>
      <c r="L440" s="29"/>
      <c r="M440" s="34"/>
      <c r="N440" s="34"/>
      <c r="O440" s="29"/>
      <c r="P440" s="29"/>
      <c r="Q440" s="29"/>
      <c r="R440" s="29"/>
      <c r="S440" s="29"/>
      <c r="T440" s="29"/>
      <c r="U440" s="476"/>
      <c r="V440" s="107"/>
      <c r="W440" s="29"/>
      <c r="X440" s="34"/>
      <c r="Y440" s="34"/>
    </row>
    <row x14ac:dyDescent="0.25" r="441" customHeight="1" ht="15.75">
      <c r="A441" s="502"/>
      <c r="B441" s="34"/>
      <c r="C441" s="34"/>
      <c r="D441" s="34"/>
      <c r="E441" s="34"/>
      <c r="F441" s="34"/>
      <c r="G441" s="34"/>
      <c r="H441" s="34"/>
      <c r="I441" s="29"/>
      <c r="J441" s="29"/>
      <c r="K441" s="29"/>
      <c r="L441" s="29"/>
      <c r="M441" s="34"/>
      <c r="N441" s="34"/>
      <c r="O441" s="29"/>
      <c r="P441" s="29"/>
      <c r="Q441" s="29"/>
      <c r="R441" s="29"/>
      <c r="S441" s="29"/>
      <c r="T441" s="29"/>
      <c r="U441" s="476"/>
      <c r="V441" s="107"/>
      <c r="W441" s="29"/>
      <c r="X441" s="34"/>
      <c r="Y441" s="34"/>
    </row>
    <row x14ac:dyDescent="0.25" r="442" customHeight="1" ht="15.75">
      <c r="A442" s="502"/>
      <c r="B442" s="34"/>
      <c r="C442" s="34"/>
      <c r="D442" s="34"/>
      <c r="E442" s="34"/>
      <c r="F442" s="34"/>
      <c r="G442" s="34"/>
      <c r="H442" s="34"/>
      <c r="I442" s="29"/>
      <c r="J442" s="29"/>
      <c r="K442" s="29"/>
      <c r="L442" s="29"/>
      <c r="M442" s="34"/>
      <c r="N442" s="34"/>
      <c r="O442" s="29"/>
      <c r="P442" s="29"/>
      <c r="Q442" s="29"/>
      <c r="R442" s="29"/>
      <c r="S442" s="29"/>
      <c r="T442" s="29"/>
      <c r="U442" s="476"/>
      <c r="V442" s="107"/>
      <c r="W442" s="29"/>
      <c r="X442" s="34"/>
      <c r="Y442" s="34"/>
    </row>
    <row x14ac:dyDescent="0.25" r="443" customHeight="1" ht="15.75">
      <c r="A443" s="502"/>
      <c r="B443" s="34"/>
      <c r="C443" s="34"/>
      <c r="D443" s="34"/>
      <c r="E443" s="34"/>
      <c r="F443" s="34"/>
      <c r="G443" s="34"/>
      <c r="H443" s="34"/>
      <c r="I443" s="29"/>
      <c r="J443" s="29"/>
      <c r="K443" s="29"/>
      <c r="L443" s="29"/>
      <c r="M443" s="34"/>
      <c r="N443" s="34"/>
      <c r="O443" s="29"/>
      <c r="P443" s="29"/>
      <c r="Q443" s="29"/>
      <c r="R443" s="29"/>
      <c r="S443" s="29"/>
      <c r="T443" s="29"/>
      <c r="U443" s="476"/>
      <c r="V443" s="107"/>
      <c r="W443" s="29"/>
      <c r="X443" s="34"/>
      <c r="Y443" s="34"/>
    </row>
    <row x14ac:dyDescent="0.25" r="444" customHeight="1" ht="15.75">
      <c r="A444" s="502"/>
      <c r="B444" s="34"/>
      <c r="C444" s="34"/>
      <c r="D444" s="34"/>
      <c r="E444" s="34"/>
      <c r="F444" s="34"/>
      <c r="G444" s="34"/>
      <c r="H444" s="34"/>
      <c r="I444" s="29"/>
      <c r="J444" s="29"/>
      <c r="K444" s="29"/>
      <c r="L444" s="29"/>
      <c r="M444" s="34"/>
      <c r="N444" s="34"/>
      <c r="O444" s="29"/>
      <c r="P444" s="29"/>
      <c r="Q444" s="29"/>
      <c r="R444" s="29"/>
      <c r="S444" s="29"/>
      <c r="T444" s="29"/>
      <c r="U444" s="476"/>
      <c r="V444" s="107"/>
      <c r="W444" s="29"/>
      <c r="X444" s="34"/>
      <c r="Y444" s="34"/>
    </row>
    <row x14ac:dyDescent="0.25" r="445" customHeight="1" ht="15.75">
      <c r="A445" s="502"/>
      <c r="B445" s="34"/>
      <c r="C445" s="34"/>
      <c r="D445" s="34"/>
      <c r="E445" s="34"/>
      <c r="F445" s="34"/>
      <c r="G445" s="34"/>
      <c r="H445" s="34"/>
      <c r="I445" s="29"/>
      <c r="J445" s="29"/>
      <c r="K445" s="29"/>
      <c r="L445" s="29"/>
      <c r="M445" s="34"/>
      <c r="N445" s="34"/>
      <c r="O445" s="29"/>
      <c r="P445" s="29"/>
      <c r="Q445" s="29"/>
      <c r="R445" s="29"/>
      <c r="S445" s="29"/>
      <c r="T445" s="29"/>
      <c r="U445" s="476"/>
      <c r="V445" s="107"/>
      <c r="W445" s="29"/>
      <c r="X445" s="34"/>
      <c r="Y445" s="34"/>
    </row>
    <row x14ac:dyDescent="0.25" r="446" customHeight="1" ht="15.75">
      <c r="A446" s="502"/>
      <c r="B446" s="34"/>
      <c r="C446" s="34"/>
      <c r="D446" s="34"/>
      <c r="E446" s="34"/>
      <c r="F446" s="34"/>
      <c r="G446" s="34"/>
      <c r="H446" s="34"/>
      <c r="I446" s="29"/>
      <c r="J446" s="29"/>
      <c r="K446" s="29"/>
      <c r="L446" s="29"/>
      <c r="M446" s="34"/>
      <c r="N446" s="34"/>
      <c r="O446" s="29"/>
      <c r="P446" s="29"/>
      <c r="Q446" s="29"/>
      <c r="R446" s="29"/>
      <c r="S446" s="29"/>
      <c r="T446" s="29"/>
      <c r="U446" s="476"/>
      <c r="V446" s="107"/>
      <c r="W446" s="29"/>
      <c r="X446" s="34"/>
      <c r="Y446" s="34"/>
    </row>
    <row x14ac:dyDescent="0.25" r="447" customHeight="1" ht="15.75">
      <c r="A447" s="502"/>
      <c r="B447" s="34"/>
      <c r="C447" s="34"/>
      <c r="D447" s="34"/>
      <c r="E447" s="34"/>
      <c r="F447" s="34"/>
      <c r="G447" s="34"/>
      <c r="H447" s="34"/>
      <c r="I447" s="29"/>
      <c r="J447" s="29"/>
      <c r="K447" s="29"/>
      <c r="L447" s="29"/>
      <c r="M447" s="34"/>
      <c r="N447" s="34"/>
      <c r="O447" s="29"/>
      <c r="P447" s="29"/>
      <c r="Q447" s="29"/>
      <c r="R447" s="29"/>
      <c r="S447" s="29"/>
      <c r="T447" s="29"/>
      <c r="U447" s="476"/>
      <c r="V447" s="107"/>
      <c r="W447" s="29"/>
      <c r="X447" s="34"/>
      <c r="Y447" s="34"/>
    </row>
    <row x14ac:dyDescent="0.25" r="448" customHeight="1" ht="15.75">
      <c r="A448" s="502"/>
      <c r="B448" s="34"/>
      <c r="C448" s="34"/>
      <c r="D448" s="34"/>
      <c r="E448" s="34"/>
      <c r="F448" s="34"/>
      <c r="G448" s="34"/>
      <c r="H448" s="34"/>
      <c r="I448" s="29"/>
      <c r="J448" s="29"/>
      <c r="K448" s="29"/>
      <c r="L448" s="29"/>
      <c r="M448" s="34"/>
      <c r="N448" s="34"/>
      <c r="O448" s="29"/>
      <c r="P448" s="29"/>
      <c r="Q448" s="29"/>
      <c r="R448" s="29"/>
      <c r="S448" s="29"/>
      <c r="T448" s="29"/>
      <c r="U448" s="476"/>
      <c r="V448" s="107"/>
      <c r="W448" s="29"/>
      <c r="X448" s="34"/>
      <c r="Y448" s="34"/>
    </row>
    <row x14ac:dyDescent="0.25" r="449" customHeight="1" ht="15.75">
      <c r="A449" s="502"/>
      <c r="B449" s="34"/>
      <c r="C449" s="34"/>
      <c r="D449" s="34"/>
      <c r="E449" s="34"/>
      <c r="F449" s="34"/>
      <c r="G449" s="34"/>
      <c r="H449" s="34"/>
      <c r="I449" s="29"/>
      <c r="J449" s="29"/>
      <c r="K449" s="29"/>
      <c r="L449" s="29"/>
      <c r="M449" s="34"/>
      <c r="N449" s="34"/>
      <c r="O449" s="29"/>
      <c r="P449" s="29"/>
      <c r="Q449" s="29"/>
      <c r="R449" s="29"/>
      <c r="S449" s="29"/>
      <c r="T449" s="29"/>
      <c r="U449" s="476"/>
      <c r="V449" s="107"/>
      <c r="W449" s="29"/>
      <c r="X449" s="34"/>
      <c r="Y449" s="34"/>
    </row>
    <row x14ac:dyDescent="0.25" r="450" customHeight="1" ht="15.75">
      <c r="A450" s="502"/>
      <c r="B450" s="34"/>
      <c r="C450" s="34"/>
      <c r="D450" s="34"/>
      <c r="E450" s="34"/>
      <c r="F450" s="34"/>
      <c r="G450" s="34"/>
      <c r="H450" s="34"/>
      <c r="I450" s="29"/>
      <c r="J450" s="29"/>
      <c r="K450" s="29"/>
      <c r="L450" s="29"/>
      <c r="M450" s="34"/>
      <c r="N450" s="34"/>
      <c r="O450" s="29"/>
      <c r="P450" s="29"/>
      <c r="Q450" s="29"/>
      <c r="R450" s="29"/>
      <c r="S450" s="29"/>
      <c r="T450" s="29"/>
      <c r="U450" s="476"/>
      <c r="V450" s="107"/>
      <c r="W450" s="29"/>
      <c r="X450" s="34"/>
      <c r="Y450" s="34"/>
    </row>
    <row x14ac:dyDescent="0.25" r="451" customHeight="1" ht="15.75">
      <c r="A451" s="502"/>
      <c r="B451" s="34"/>
      <c r="C451" s="34"/>
      <c r="D451" s="34"/>
      <c r="E451" s="34"/>
      <c r="F451" s="34"/>
      <c r="G451" s="34"/>
      <c r="H451" s="34"/>
      <c r="I451" s="29"/>
      <c r="J451" s="29"/>
      <c r="K451" s="29"/>
      <c r="L451" s="29"/>
      <c r="M451" s="34"/>
      <c r="N451" s="34"/>
      <c r="O451" s="29"/>
      <c r="P451" s="29"/>
      <c r="Q451" s="29"/>
      <c r="R451" s="29"/>
      <c r="S451" s="29"/>
      <c r="T451" s="29"/>
      <c r="U451" s="476"/>
      <c r="V451" s="107"/>
      <c r="W451" s="29"/>
      <c r="X451" s="34"/>
      <c r="Y451" s="34"/>
    </row>
    <row x14ac:dyDescent="0.25" r="452" customHeight="1" ht="15.75">
      <c r="A452" s="502"/>
      <c r="B452" s="34"/>
      <c r="C452" s="34"/>
      <c r="D452" s="34"/>
      <c r="E452" s="34"/>
      <c r="F452" s="34"/>
      <c r="G452" s="34"/>
      <c r="H452" s="34"/>
      <c r="I452" s="29"/>
      <c r="J452" s="29"/>
      <c r="K452" s="29"/>
      <c r="L452" s="29"/>
      <c r="M452" s="34"/>
      <c r="N452" s="34"/>
      <c r="O452" s="29"/>
      <c r="P452" s="29"/>
      <c r="Q452" s="29"/>
      <c r="R452" s="29"/>
      <c r="S452" s="29"/>
      <c r="T452" s="29"/>
      <c r="U452" s="476"/>
      <c r="V452" s="107"/>
      <c r="W452" s="29"/>
      <c r="X452" s="34"/>
      <c r="Y452" s="34"/>
    </row>
    <row x14ac:dyDescent="0.25" r="453" customHeight="1" ht="15.75">
      <c r="A453" s="502"/>
      <c r="B453" s="34"/>
      <c r="C453" s="34"/>
      <c r="D453" s="34"/>
      <c r="E453" s="34"/>
      <c r="F453" s="34"/>
      <c r="G453" s="34"/>
      <c r="H453" s="34"/>
      <c r="I453" s="29"/>
      <c r="J453" s="29"/>
      <c r="K453" s="29"/>
      <c r="L453" s="29"/>
      <c r="M453" s="34"/>
      <c r="N453" s="34"/>
      <c r="O453" s="29"/>
      <c r="P453" s="29"/>
      <c r="Q453" s="29"/>
      <c r="R453" s="29"/>
      <c r="S453" s="29"/>
      <c r="T453" s="29"/>
      <c r="U453" s="476"/>
      <c r="V453" s="107"/>
      <c r="W453" s="29"/>
      <c r="X453" s="34"/>
      <c r="Y453" s="34"/>
    </row>
    <row x14ac:dyDescent="0.25" r="454" customHeight="1" ht="15.75">
      <c r="A454" s="502"/>
      <c r="B454" s="34"/>
      <c r="C454" s="34"/>
      <c r="D454" s="34"/>
      <c r="E454" s="34"/>
      <c r="F454" s="34"/>
      <c r="G454" s="34"/>
      <c r="H454" s="34"/>
      <c r="I454" s="29"/>
      <c r="J454" s="29"/>
      <c r="K454" s="29"/>
      <c r="L454" s="29"/>
      <c r="M454" s="34"/>
      <c r="N454" s="34"/>
      <c r="O454" s="29"/>
      <c r="P454" s="29"/>
      <c r="Q454" s="29"/>
      <c r="R454" s="29"/>
      <c r="S454" s="29"/>
      <c r="T454" s="29"/>
      <c r="U454" s="476"/>
      <c r="V454" s="107"/>
      <c r="W454" s="29"/>
      <c r="X454" s="34"/>
      <c r="Y454" s="34"/>
    </row>
    <row x14ac:dyDescent="0.25" r="455" customHeight="1" ht="15.75">
      <c r="A455" s="502"/>
      <c r="B455" s="34"/>
      <c r="C455" s="34"/>
      <c r="D455" s="34"/>
      <c r="E455" s="34"/>
      <c r="F455" s="34"/>
      <c r="G455" s="34"/>
      <c r="H455" s="34"/>
      <c r="I455" s="29"/>
      <c r="J455" s="29"/>
      <c r="K455" s="29"/>
      <c r="L455" s="29"/>
      <c r="M455" s="34"/>
      <c r="N455" s="34"/>
      <c r="O455" s="29"/>
      <c r="P455" s="29"/>
      <c r="Q455" s="29"/>
      <c r="R455" s="29"/>
      <c r="S455" s="29"/>
      <c r="T455" s="29"/>
      <c r="U455" s="476"/>
      <c r="V455" s="107"/>
      <c r="W455" s="29"/>
      <c r="X455" s="34"/>
      <c r="Y455" s="34"/>
    </row>
    <row x14ac:dyDescent="0.25" r="456" customHeight="1" ht="15.75">
      <c r="A456" s="502"/>
      <c r="B456" s="34"/>
      <c r="C456" s="34"/>
      <c r="D456" s="34"/>
      <c r="E456" s="34"/>
      <c r="F456" s="34"/>
      <c r="G456" s="34"/>
      <c r="H456" s="34"/>
      <c r="I456" s="29"/>
      <c r="J456" s="29"/>
      <c r="K456" s="29"/>
      <c r="L456" s="29"/>
      <c r="M456" s="34"/>
      <c r="N456" s="34"/>
      <c r="O456" s="29"/>
      <c r="P456" s="29"/>
      <c r="Q456" s="29"/>
      <c r="R456" s="29"/>
      <c r="S456" s="29"/>
      <c r="T456" s="29"/>
      <c r="U456" s="476"/>
      <c r="V456" s="107"/>
      <c r="W456" s="29"/>
      <c r="X456" s="34"/>
      <c r="Y456" s="34"/>
    </row>
    <row x14ac:dyDescent="0.25" r="457" customHeight="1" ht="15.75">
      <c r="A457" s="502"/>
      <c r="B457" s="34"/>
      <c r="C457" s="34"/>
      <c r="D457" s="34"/>
      <c r="E457" s="34"/>
      <c r="F457" s="34"/>
      <c r="G457" s="34"/>
      <c r="H457" s="34"/>
      <c r="I457" s="29"/>
      <c r="J457" s="29"/>
      <c r="K457" s="29"/>
      <c r="L457" s="29"/>
      <c r="M457" s="34"/>
      <c r="N457" s="34"/>
      <c r="O457" s="29"/>
      <c r="P457" s="29"/>
      <c r="Q457" s="29"/>
      <c r="R457" s="29"/>
      <c r="S457" s="29"/>
      <c r="T457" s="29"/>
      <c r="U457" s="476"/>
      <c r="V457" s="107"/>
      <c r="W457" s="29"/>
      <c r="X457" s="34"/>
      <c r="Y457" s="34"/>
    </row>
    <row x14ac:dyDescent="0.25" r="458" customHeight="1" ht="15.75">
      <c r="A458" s="502"/>
      <c r="B458" s="34"/>
      <c r="C458" s="34"/>
      <c r="D458" s="34"/>
      <c r="E458" s="34"/>
      <c r="F458" s="34"/>
      <c r="G458" s="34"/>
      <c r="H458" s="34"/>
      <c r="I458" s="29"/>
      <c r="J458" s="29"/>
      <c r="K458" s="29"/>
      <c r="L458" s="29"/>
      <c r="M458" s="34"/>
      <c r="N458" s="34"/>
      <c r="O458" s="29"/>
      <c r="P458" s="29"/>
      <c r="Q458" s="29"/>
      <c r="R458" s="29"/>
      <c r="S458" s="29"/>
      <c r="T458" s="29"/>
      <c r="U458" s="476"/>
      <c r="V458" s="107"/>
      <c r="W458" s="29"/>
      <c r="X458" s="34"/>
      <c r="Y458" s="34"/>
    </row>
    <row x14ac:dyDescent="0.25" r="459" customHeight="1" ht="15.75">
      <c r="A459" s="502"/>
      <c r="B459" s="34"/>
      <c r="C459" s="34"/>
      <c r="D459" s="34"/>
      <c r="E459" s="34"/>
      <c r="F459" s="34"/>
      <c r="G459" s="34"/>
      <c r="H459" s="34"/>
      <c r="I459" s="29"/>
      <c r="J459" s="29"/>
      <c r="K459" s="29"/>
      <c r="L459" s="29"/>
      <c r="M459" s="34"/>
      <c r="N459" s="34"/>
      <c r="O459" s="29"/>
      <c r="P459" s="29"/>
      <c r="Q459" s="29"/>
      <c r="R459" s="29"/>
      <c r="S459" s="29"/>
      <c r="T459" s="29"/>
      <c r="U459" s="476"/>
      <c r="V459" s="107"/>
      <c r="W459" s="29"/>
      <c r="X459" s="34"/>
      <c r="Y459" s="34"/>
    </row>
    <row x14ac:dyDescent="0.25" r="460" customHeight="1" ht="15.75">
      <c r="A460" s="502"/>
      <c r="B460" s="34"/>
      <c r="C460" s="34"/>
      <c r="D460" s="34"/>
      <c r="E460" s="34"/>
      <c r="F460" s="34"/>
      <c r="G460" s="34"/>
      <c r="H460" s="34"/>
      <c r="I460" s="29"/>
      <c r="J460" s="29"/>
      <c r="K460" s="29"/>
      <c r="L460" s="29"/>
      <c r="M460" s="34"/>
      <c r="N460" s="34"/>
      <c r="O460" s="29"/>
      <c r="P460" s="29"/>
      <c r="Q460" s="29"/>
      <c r="R460" s="29"/>
      <c r="S460" s="29"/>
      <c r="T460" s="29"/>
      <c r="U460" s="476"/>
      <c r="V460" s="107"/>
      <c r="W460" s="29"/>
      <c r="X460" s="34"/>
      <c r="Y460" s="34"/>
    </row>
    <row x14ac:dyDescent="0.25" r="461" customHeight="1" ht="15.75">
      <c r="A461" s="502"/>
      <c r="B461" s="34"/>
      <c r="C461" s="34"/>
      <c r="D461" s="34"/>
      <c r="E461" s="34"/>
      <c r="F461" s="34"/>
      <c r="G461" s="34"/>
      <c r="H461" s="34"/>
      <c r="I461" s="29"/>
      <c r="J461" s="29"/>
      <c r="K461" s="29"/>
      <c r="L461" s="29"/>
      <c r="M461" s="34"/>
      <c r="N461" s="34"/>
      <c r="O461" s="29"/>
      <c r="P461" s="29"/>
      <c r="Q461" s="29"/>
      <c r="R461" s="29"/>
      <c r="S461" s="29"/>
      <c r="T461" s="29"/>
      <c r="U461" s="476"/>
      <c r="V461" s="107"/>
      <c r="W461" s="29"/>
      <c r="X461" s="34"/>
      <c r="Y461" s="34"/>
    </row>
    <row x14ac:dyDescent="0.25" r="462" customHeight="1" ht="15.75">
      <c r="A462" s="502"/>
      <c r="B462" s="34"/>
      <c r="C462" s="34"/>
      <c r="D462" s="34"/>
      <c r="E462" s="34"/>
      <c r="F462" s="34"/>
      <c r="G462" s="34"/>
      <c r="H462" s="34"/>
      <c r="I462" s="29"/>
      <c r="J462" s="29"/>
      <c r="K462" s="29"/>
      <c r="L462" s="29"/>
      <c r="M462" s="34"/>
      <c r="N462" s="34"/>
      <c r="O462" s="29"/>
      <c r="P462" s="29"/>
      <c r="Q462" s="29"/>
      <c r="R462" s="29"/>
      <c r="S462" s="29"/>
      <c r="T462" s="29"/>
      <c r="U462" s="476"/>
      <c r="V462" s="107"/>
      <c r="W462" s="29"/>
      <c r="X462" s="34"/>
      <c r="Y462" s="34"/>
    </row>
    <row x14ac:dyDescent="0.25" r="463" customHeight="1" ht="15.75">
      <c r="A463" s="502"/>
      <c r="B463" s="34"/>
      <c r="C463" s="34"/>
      <c r="D463" s="34"/>
      <c r="E463" s="34"/>
      <c r="F463" s="34"/>
      <c r="G463" s="34"/>
      <c r="H463" s="34"/>
      <c r="I463" s="29"/>
      <c r="J463" s="29"/>
      <c r="K463" s="29"/>
      <c r="L463" s="29"/>
      <c r="M463" s="34"/>
      <c r="N463" s="34"/>
      <c r="O463" s="29"/>
      <c r="P463" s="29"/>
      <c r="Q463" s="29"/>
      <c r="R463" s="29"/>
      <c r="S463" s="29"/>
      <c r="T463" s="29"/>
      <c r="U463" s="476"/>
      <c r="V463" s="107"/>
      <c r="W463" s="29"/>
      <c r="X463" s="34"/>
      <c r="Y463" s="34"/>
    </row>
    <row x14ac:dyDescent="0.25" r="464" customHeight="1" ht="15.75">
      <c r="A464" s="502"/>
      <c r="B464" s="34"/>
      <c r="C464" s="34"/>
      <c r="D464" s="34"/>
      <c r="E464" s="34"/>
      <c r="F464" s="34"/>
      <c r="G464" s="34"/>
      <c r="H464" s="34"/>
      <c r="I464" s="29"/>
      <c r="J464" s="29"/>
      <c r="K464" s="29"/>
      <c r="L464" s="29"/>
      <c r="M464" s="34"/>
      <c r="N464" s="34"/>
      <c r="O464" s="29"/>
      <c r="P464" s="29"/>
      <c r="Q464" s="29"/>
      <c r="R464" s="29"/>
      <c r="S464" s="29"/>
      <c r="T464" s="29"/>
      <c r="U464" s="476"/>
      <c r="V464" s="107"/>
      <c r="W464" s="29"/>
      <c r="X464" s="34"/>
      <c r="Y464" s="34"/>
    </row>
    <row x14ac:dyDescent="0.25" r="465" customHeight="1" ht="15.75">
      <c r="A465" s="502"/>
      <c r="B465" s="34"/>
      <c r="C465" s="34"/>
      <c r="D465" s="34"/>
      <c r="E465" s="34"/>
      <c r="F465" s="34"/>
      <c r="G465" s="34"/>
      <c r="H465" s="34"/>
      <c r="I465" s="29"/>
      <c r="J465" s="29"/>
      <c r="K465" s="29"/>
      <c r="L465" s="29"/>
      <c r="M465" s="34"/>
      <c r="N465" s="34"/>
      <c r="O465" s="29"/>
      <c r="P465" s="29"/>
      <c r="Q465" s="29"/>
      <c r="R465" s="29"/>
      <c r="S465" s="29"/>
      <c r="T465" s="29"/>
      <c r="U465" s="476"/>
      <c r="V465" s="107"/>
      <c r="W465" s="29"/>
      <c r="X465" s="34"/>
      <c r="Y465" s="34"/>
    </row>
    <row x14ac:dyDescent="0.25" r="466" customHeight="1" ht="15.75">
      <c r="A466" s="502"/>
      <c r="B466" s="34"/>
      <c r="C466" s="34"/>
      <c r="D466" s="34"/>
      <c r="E466" s="34"/>
      <c r="F466" s="34"/>
      <c r="G466" s="34"/>
      <c r="H466" s="34"/>
      <c r="I466" s="29"/>
      <c r="J466" s="29"/>
      <c r="K466" s="29"/>
      <c r="L466" s="29"/>
      <c r="M466" s="34"/>
      <c r="N466" s="34"/>
      <c r="O466" s="29"/>
      <c r="P466" s="29"/>
      <c r="Q466" s="29"/>
      <c r="R466" s="29"/>
      <c r="S466" s="29"/>
      <c r="T466" s="29"/>
      <c r="U466" s="476"/>
      <c r="V466" s="107"/>
      <c r="W466" s="29"/>
      <c r="X466" s="34"/>
      <c r="Y466" s="34"/>
    </row>
    <row x14ac:dyDescent="0.25" r="467" customHeight="1" ht="15.75">
      <c r="A467" s="502"/>
      <c r="B467" s="34"/>
      <c r="C467" s="34"/>
      <c r="D467" s="34"/>
      <c r="E467" s="34"/>
      <c r="F467" s="34"/>
      <c r="G467" s="34"/>
      <c r="H467" s="34"/>
      <c r="I467" s="29"/>
      <c r="J467" s="29"/>
      <c r="K467" s="29"/>
      <c r="L467" s="29"/>
      <c r="M467" s="34"/>
      <c r="N467" s="34"/>
      <c r="O467" s="29"/>
      <c r="P467" s="29"/>
      <c r="Q467" s="29"/>
      <c r="R467" s="29"/>
      <c r="S467" s="29"/>
      <c r="T467" s="29"/>
      <c r="U467" s="476"/>
      <c r="V467" s="107"/>
      <c r="W467" s="29"/>
      <c r="X467" s="34"/>
      <c r="Y467" s="34"/>
    </row>
    <row x14ac:dyDescent="0.25" r="468" customHeight="1" ht="15.75">
      <c r="A468" s="502"/>
      <c r="B468" s="34"/>
      <c r="C468" s="34"/>
      <c r="D468" s="34"/>
      <c r="E468" s="34"/>
      <c r="F468" s="34"/>
      <c r="G468" s="34"/>
      <c r="H468" s="34"/>
      <c r="I468" s="29"/>
      <c r="J468" s="29"/>
      <c r="K468" s="29"/>
      <c r="L468" s="29"/>
      <c r="M468" s="34"/>
      <c r="N468" s="34"/>
      <c r="O468" s="29"/>
      <c r="P468" s="29"/>
      <c r="Q468" s="29"/>
      <c r="R468" s="29"/>
      <c r="S468" s="29"/>
      <c r="T468" s="29"/>
      <c r="U468" s="476"/>
      <c r="V468" s="107"/>
      <c r="W468" s="29"/>
      <c r="X468" s="34"/>
      <c r="Y468" s="34"/>
    </row>
    <row x14ac:dyDescent="0.25" r="469" customHeight="1" ht="15.75">
      <c r="A469" s="502"/>
      <c r="B469" s="34"/>
      <c r="C469" s="34"/>
      <c r="D469" s="34"/>
      <c r="E469" s="34"/>
      <c r="F469" s="34"/>
      <c r="G469" s="34"/>
      <c r="H469" s="34"/>
      <c r="I469" s="29"/>
      <c r="J469" s="29"/>
      <c r="K469" s="29"/>
      <c r="L469" s="29"/>
      <c r="M469" s="34"/>
      <c r="N469" s="34"/>
      <c r="O469" s="29"/>
      <c r="P469" s="29"/>
      <c r="Q469" s="29"/>
      <c r="R469" s="29"/>
      <c r="S469" s="29"/>
      <c r="T469" s="29"/>
      <c r="U469" s="476"/>
      <c r="V469" s="107"/>
      <c r="W469" s="29"/>
      <c r="X469" s="34"/>
      <c r="Y469" s="34"/>
    </row>
    <row x14ac:dyDescent="0.25" r="470" customHeight="1" ht="15.75">
      <c r="A470" s="502"/>
      <c r="B470" s="34"/>
      <c r="C470" s="34"/>
      <c r="D470" s="34"/>
      <c r="E470" s="34"/>
      <c r="F470" s="34"/>
      <c r="G470" s="34"/>
      <c r="H470" s="34"/>
      <c r="I470" s="29"/>
      <c r="J470" s="29"/>
      <c r="K470" s="29"/>
      <c r="L470" s="29"/>
      <c r="M470" s="34"/>
      <c r="N470" s="34"/>
      <c r="O470" s="29"/>
      <c r="P470" s="29"/>
      <c r="Q470" s="29"/>
      <c r="R470" s="29"/>
      <c r="S470" s="29"/>
      <c r="T470" s="29"/>
      <c r="U470" s="476"/>
      <c r="V470" s="107"/>
      <c r="W470" s="29"/>
      <c r="X470" s="34"/>
      <c r="Y470" s="34"/>
    </row>
    <row x14ac:dyDescent="0.25" r="471" customHeight="1" ht="15.75">
      <c r="A471" s="502"/>
      <c r="B471" s="34"/>
      <c r="C471" s="34"/>
      <c r="D471" s="34"/>
      <c r="E471" s="34"/>
      <c r="F471" s="34"/>
      <c r="G471" s="34"/>
      <c r="H471" s="34"/>
      <c r="I471" s="29"/>
      <c r="J471" s="29"/>
      <c r="K471" s="29"/>
      <c r="L471" s="29"/>
      <c r="M471" s="34"/>
      <c r="N471" s="34"/>
      <c r="O471" s="29"/>
      <c r="P471" s="29"/>
      <c r="Q471" s="29"/>
      <c r="R471" s="29"/>
      <c r="S471" s="29"/>
      <c r="T471" s="29"/>
      <c r="U471" s="476"/>
      <c r="V471" s="107"/>
      <c r="W471" s="29"/>
      <c r="X471" s="34"/>
      <c r="Y471" s="34"/>
    </row>
    <row x14ac:dyDescent="0.25" r="472" customHeight="1" ht="15.75">
      <c r="A472" s="502"/>
      <c r="B472" s="34"/>
      <c r="C472" s="34"/>
      <c r="D472" s="34"/>
      <c r="E472" s="34"/>
      <c r="F472" s="34"/>
      <c r="G472" s="34"/>
      <c r="H472" s="34"/>
      <c r="I472" s="29"/>
      <c r="J472" s="29"/>
      <c r="K472" s="29"/>
      <c r="L472" s="29"/>
      <c r="M472" s="34"/>
      <c r="N472" s="34"/>
      <c r="O472" s="29"/>
      <c r="P472" s="29"/>
      <c r="Q472" s="29"/>
      <c r="R472" s="29"/>
      <c r="S472" s="29"/>
      <c r="T472" s="29"/>
      <c r="U472" s="476"/>
      <c r="V472" s="107"/>
      <c r="W472" s="29"/>
      <c r="X472" s="34"/>
      <c r="Y472" s="34"/>
    </row>
    <row x14ac:dyDescent="0.25" r="473" customHeight="1" ht="15.75">
      <c r="A473" s="502"/>
      <c r="B473" s="34"/>
      <c r="C473" s="34"/>
      <c r="D473" s="34"/>
      <c r="E473" s="34"/>
      <c r="F473" s="34"/>
      <c r="G473" s="34"/>
      <c r="H473" s="34"/>
      <c r="I473" s="29"/>
      <c r="J473" s="29"/>
      <c r="K473" s="29"/>
      <c r="L473" s="29"/>
      <c r="M473" s="34"/>
      <c r="N473" s="34"/>
      <c r="O473" s="29"/>
      <c r="P473" s="29"/>
      <c r="Q473" s="29"/>
      <c r="R473" s="29"/>
      <c r="S473" s="29"/>
      <c r="T473" s="29"/>
      <c r="U473" s="476"/>
      <c r="V473" s="107"/>
      <c r="W473" s="29"/>
      <c r="X473" s="34"/>
      <c r="Y473" s="34"/>
    </row>
    <row x14ac:dyDescent="0.25" r="474" customHeight="1" ht="15.75">
      <c r="A474" s="502"/>
      <c r="B474" s="34"/>
      <c r="C474" s="34"/>
      <c r="D474" s="34"/>
      <c r="E474" s="34"/>
      <c r="F474" s="34"/>
      <c r="G474" s="34"/>
      <c r="H474" s="34"/>
      <c r="I474" s="29"/>
      <c r="J474" s="29"/>
      <c r="K474" s="29"/>
      <c r="L474" s="29"/>
      <c r="M474" s="34"/>
      <c r="N474" s="34"/>
      <c r="O474" s="29"/>
      <c r="P474" s="29"/>
      <c r="Q474" s="29"/>
      <c r="R474" s="29"/>
      <c r="S474" s="29"/>
      <c r="T474" s="29"/>
      <c r="U474" s="476"/>
      <c r="V474" s="107"/>
      <c r="W474" s="29"/>
      <c r="X474" s="34"/>
      <c r="Y474" s="34"/>
    </row>
    <row x14ac:dyDescent="0.25" r="475" customHeight="1" ht="15.75">
      <c r="A475" s="502"/>
      <c r="B475" s="34"/>
      <c r="C475" s="34"/>
      <c r="D475" s="34"/>
      <c r="E475" s="34"/>
      <c r="F475" s="34"/>
      <c r="G475" s="34"/>
      <c r="H475" s="34"/>
      <c r="I475" s="29"/>
      <c r="J475" s="29"/>
      <c r="K475" s="29"/>
      <c r="L475" s="29"/>
      <c r="M475" s="34"/>
      <c r="N475" s="34"/>
      <c r="O475" s="29"/>
      <c r="P475" s="29"/>
      <c r="Q475" s="29"/>
      <c r="R475" s="29"/>
      <c r="S475" s="29"/>
      <c r="T475" s="29"/>
      <c r="U475" s="476"/>
      <c r="V475" s="107"/>
      <c r="W475" s="29"/>
      <c r="X475" s="34"/>
      <c r="Y475" s="34"/>
    </row>
    <row x14ac:dyDescent="0.25" r="476" customHeight="1" ht="15.75">
      <c r="A476" s="502"/>
      <c r="B476" s="34"/>
      <c r="C476" s="34"/>
      <c r="D476" s="34"/>
      <c r="E476" s="34"/>
      <c r="F476" s="34"/>
      <c r="G476" s="34"/>
      <c r="H476" s="34"/>
      <c r="I476" s="29"/>
      <c r="J476" s="29"/>
      <c r="K476" s="29"/>
      <c r="L476" s="29"/>
      <c r="M476" s="34"/>
      <c r="N476" s="34"/>
      <c r="O476" s="29"/>
      <c r="P476" s="29"/>
      <c r="Q476" s="29"/>
      <c r="R476" s="29"/>
      <c r="S476" s="29"/>
      <c r="T476" s="29"/>
      <c r="U476" s="476"/>
      <c r="V476" s="107"/>
      <c r="W476" s="29"/>
      <c r="X476" s="34"/>
      <c r="Y476" s="34"/>
    </row>
    <row x14ac:dyDescent="0.25" r="477" customHeight="1" ht="15.75">
      <c r="A477" s="502"/>
      <c r="B477" s="34"/>
      <c r="C477" s="34"/>
      <c r="D477" s="34"/>
      <c r="E477" s="34"/>
      <c r="F477" s="34"/>
      <c r="G477" s="34"/>
      <c r="H477" s="34"/>
      <c r="I477" s="29"/>
      <c r="J477" s="29"/>
      <c r="K477" s="29"/>
      <c r="L477" s="29"/>
      <c r="M477" s="34"/>
      <c r="N477" s="34"/>
      <c r="O477" s="29"/>
      <c r="P477" s="29"/>
      <c r="Q477" s="29"/>
      <c r="R477" s="29"/>
      <c r="S477" s="29"/>
      <c r="T477" s="29"/>
      <c r="U477" s="476"/>
      <c r="V477" s="107"/>
      <c r="W477" s="29"/>
      <c r="X477" s="34"/>
      <c r="Y477" s="34"/>
    </row>
    <row x14ac:dyDescent="0.25" r="478" customHeight="1" ht="15.75">
      <c r="A478" s="502"/>
      <c r="B478" s="34"/>
      <c r="C478" s="34"/>
      <c r="D478" s="34"/>
      <c r="E478" s="34"/>
      <c r="F478" s="34"/>
      <c r="G478" s="34"/>
      <c r="H478" s="34"/>
      <c r="I478" s="29"/>
      <c r="J478" s="29"/>
      <c r="K478" s="29"/>
      <c r="L478" s="29"/>
      <c r="M478" s="34"/>
      <c r="N478" s="34"/>
      <c r="O478" s="29"/>
      <c r="P478" s="29"/>
      <c r="Q478" s="29"/>
      <c r="R478" s="29"/>
      <c r="S478" s="29"/>
      <c r="T478" s="29"/>
      <c r="U478" s="476"/>
      <c r="V478" s="107"/>
      <c r="W478" s="29"/>
      <c r="X478" s="34"/>
      <c r="Y478" s="34"/>
    </row>
    <row x14ac:dyDescent="0.25" r="479" customHeight="1" ht="15.75">
      <c r="A479" s="502"/>
      <c r="B479" s="34"/>
      <c r="C479" s="34"/>
      <c r="D479" s="34"/>
      <c r="E479" s="34"/>
      <c r="F479" s="34"/>
      <c r="G479" s="34"/>
      <c r="H479" s="34"/>
      <c r="I479" s="29"/>
      <c r="J479" s="29"/>
      <c r="K479" s="29"/>
      <c r="L479" s="29"/>
      <c r="M479" s="34"/>
      <c r="N479" s="34"/>
      <c r="O479" s="29"/>
      <c r="P479" s="29"/>
      <c r="Q479" s="29"/>
      <c r="R479" s="29"/>
      <c r="S479" s="29"/>
      <c r="T479" s="29"/>
      <c r="U479" s="476"/>
      <c r="V479" s="107"/>
      <c r="W479" s="29"/>
      <c r="X479" s="34"/>
      <c r="Y479" s="34"/>
    </row>
    <row x14ac:dyDescent="0.25" r="480" customHeight="1" ht="15.75">
      <c r="A480" s="502"/>
      <c r="B480" s="34"/>
      <c r="C480" s="34"/>
      <c r="D480" s="34"/>
      <c r="E480" s="34"/>
      <c r="F480" s="34"/>
      <c r="G480" s="34"/>
      <c r="H480" s="34"/>
      <c r="I480" s="29"/>
      <c r="J480" s="29"/>
      <c r="K480" s="29"/>
      <c r="L480" s="29"/>
      <c r="M480" s="34"/>
      <c r="N480" s="34"/>
      <c r="O480" s="29"/>
      <c r="P480" s="29"/>
      <c r="Q480" s="29"/>
      <c r="R480" s="29"/>
      <c r="S480" s="29"/>
      <c r="T480" s="29"/>
      <c r="U480" s="476"/>
      <c r="V480" s="107"/>
      <c r="W480" s="29"/>
      <c r="X480" s="34"/>
      <c r="Y480" s="34"/>
    </row>
    <row x14ac:dyDescent="0.25" r="481" customHeight="1" ht="15.75">
      <c r="A481" s="502"/>
      <c r="B481" s="34"/>
      <c r="C481" s="34"/>
      <c r="D481" s="34"/>
      <c r="E481" s="34"/>
      <c r="F481" s="34"/>
      <c r="G481" s="34"/>
      <c r="H481" s="34"/>
      <c r="I481" s="29"/>
      <c r="J481" s="29"/>
      <c r="K481" s="29"/>
      <c r="L481" s="29"/>
      <c r="M481" s="34"/>
      <c r="N481" s="34"/>
      <c r="O481" s="29"/>
      <c r="P481" s="29"/>
      <c r="Q481" s="29"/>
      <c r="R481" s="29"/>
      <c r="S481" s="29"/>
      <c r="T481" s="29"/>
      <c r="U481" s="476"/>
      <c r="V481" s="107"/>
      <c r="W481" s="29"/>
      <c r="X481" s="34"/>
      <c r="Y481" s="34"/>
    </row>
    <row x14ac:dyDescent="0.25" r="482" customHeight="1" ht="15.75">
      <c r="A482" s="502"/>
      <c r="B482" s="34"/>
      <c r="C482" s="34"/>
      <c r="D482" s="34"/>
      <c r="E482" s="34"/>
      <c r="F482" s="34"/>
      <c r="G482" s="34"/>
      <c r="H482" s="34"/>
      <c r="I482" s="29"/>
      <c r="J482" s="29"/>
      <c r="K482" s="29"/>
      <c r="L482" s="29"/>
      <c r="M482" s="34"/>
      <c r="N482" s="34"/>
      <c r="O482" s="29"/>
      <c r="P482" s="29"/>
      <c r="Q482" s="29"/>
      <c r="R482" s="29"/>
      <c r="S482" s="29"/>
      <c r="T482" s="29"/>
      <c r="U482" s="476"/>
      <c r="V482" s="107"/>
      <c r="W482" s="29"/>
      <c r="X482" s="34"/>
      <c r="Y482" s="34"/>
    </row>
    <row x14ac:dyDescent="0.25" r="483" customHeight="1" ht="15.75">
      <c r="A483" s="502"/>
      <c r="B483" s="34"/>
      <c r="C483" s="34"/>
      <c r="D483" s="34"/>
      <c r="E483" s="34"/>
      <c r="F483" s="34"/>
      <c r="G483" s="34"/>
      <c r="H483" s="34"/>
      <c r="I483" s="29"/>
      <c r="J483" s="29"/>
      <c r="K483" s="29"/>
      <c r="L483" s="29"/>
      <c r="M483" s="34"/>
      <c r="N483" s="34"/>
      <c r="O483" s="29"/>
      <c r="P483" s="29"/>
      <c r="Q483" s="29"/>
      <c r="R483" s="29"/>
      <c r="S483" s="29"/>
      <c r="T483" s="29"/>
      <c r="U483" s="476"/>
      <c r="V483" s="107"/>
      <c r="W483" s="29"/>
      <c r="X483" s="34"/>
      <c r="Y483" s="34"/>
    </row>
    <row x14ac:dyDescent="0.25" r="484" customHeight="1" ht="15.75">
      <c r="A484" s="502"/>
      <c r="B484" s="34"/>
      <c r="C484" s="34"/>
      <c r="D484" s="34"/>
      <c r="E484" s="34"/>
      <c r="F484" s="34"/>
      <c r="G484" s="34"/>
      <c r="H484" s="34"/>
      <c r="I484" s="29"/>
      <c r="J484" s="29"/>
      <c r="K484" s="29"/>
      <c r="L484" s="29"/>
      <c r="M484" s="34"/>
      <c r="N484" s="34"/>
      <c r="O484" s="29"/>
      <c r="P484" s="29"/>
      <c r="Q484" s="29"/>
      <c r="R484" s="29"/>
      <c r="S484" s="29"/>
      <c r="T484" s="29"/>
      <c r="U484" s="476"/>
      <c r="V484" s="107"/>
      <c r="W484" s="29"/>
      <c r="X484" s="34"/>
      <c r="Y484" s="34"/>
    </row>
    <row x14ac:dyDescent="0.25" r="485" customHeight="1" ht="15.75">
      <c r="A485" s="502"/>
      <c r="B485" s="34"/>
      <c r="C485" s="34"/>
      <c r="D485" s="34"/>
      <c r="E485" s="34"/>
      <c r="F485" s="34"/>
      <c r="G485" s="34"/>
      <c r="H485" s="34"/>
      <c r="I485" s="29"/>
      <c r="J485" s="29"/>
      <c r="K485" s="29"/>
      <c r="L485" s="29"/>
      <c r="M485" s="34"/>
      <c r="N485" s="34"/>
      <c r="O485" s="29"/>
      <c r="P485" s="29"/>
      <c r="Q485" s="29"/>
      <c r="R485" s="29"/>
      <c r="S485" s="29"/>
      <c r="T485" s="29"/>
      <c r="U485" s="476"/>
      <c r="V485" s="107"/>
      <c r="W485" s="29"/>
      <c r="X485" s="34"/>
      <c r="Y485" s="34"/>
    </row>
    <row x14ac:dyDescent="0.25" r="486" customHeight="1" ht="15.75">
      <c r="A486" s="502"/>
      <c r="B486" s="34"/>
      <c r="C486" s="34"/>
      <c r="D486" s="34"/>
      <c r="E486" s="34"/>
      <c r="F486" s="34"/>
      <c r="G486" s="34"/>
      <c r="H486" s="34"/>
      <c r="I486" s="29"/>
      <c r="J486" s="29"/>
      <c r="K486" s="29"/>
      <c r="L486" s="29"/>
      <c r="M486" s="34"/>
      <c r="N486" s="34"/>
      <c r="O486" s="29"/>
      <c r="P486" s="29"/>
      <c r="Q486" s="29"/>
      <c r="R486" s="29"/>
      <c r="S486" s="29"/>
      <c r="T486" s="29"/>
      <c r="U486" s="476"/>
      <c r="V486" s="107"/>
      <c r="W486" s="29"/>
      <c r="X486" s="34"/>
      <c r="Y486" s="34"/>
    </row>
    <row x14ac:dyDescent="0.25" r="487" customHeight="1" ht="15.75">
      <c r="A487" s="502"/>
      <c r="B487" s="34"/>
      <c r="C487" s="34"/>
      <c r="D487" s="34"/>
      <c r="E487" s="34"/>
      <c r="F487" s="34"/>
      <c r="G487" s="34"/>
      <c r="H487" s="34"/>
      <c r="I487" s="29"/>
      <c r="J487" s="29"/>
      <c r="K487" s="29"/>
      <c r="L487" s="29"/>
      <c r="M487" s="34"/>
      <c r="N487" s="34"/>
      <c r="O487" s="29"/>
      <c r="P487" s="29"/>
      <c r="Q487" s="29"/>
      <c r="R487" s="29"/>
      <c r="S487" s="29"/>
      <c r="T487" s="29"/>
      <c r="U487" s="476"/>
      <c r="V487" s="107"/>
      <c r="W487" s="29"/>
      <c r="X487" s="34"/>
      <c r="Y487" s="34"/>
    </row>
    <row x14ac:dyDescent="0.25" r="488" customHeight="1" ht="15.75">
      <c r="A488" s="502"/>
      <c r="B488" s="34"/>
      <c r="C488" s="34"/>
      <c r="D488" s="34"/>
      <c r="E488" s="34"/>
      <c r="F488" s="34"/>
      <c r="G488" s="34"/>
      <c r="H488" s="34"/>
      <c r="I488" s="29"/>
      <c r="J488" s="29"/>
      <c r="K488" s="29"/>
      <c r="L488" s="29"/>
      <c r="M488" s="34"/>
      <c r="N488" s="34"/>
      <c r="O488" s="29"/>
      <c r="P488" s="29"/>
      <c r="Q488" s="29"/>
      <c r="R488" s="29"/>
      <c r="S488" s="29"/>
      <c r="T488" s="29"/>
      <c r="U488" s="476"/>
      <c r="V488" s="107"/>
      <c r="W488" s="29"/>
      <c r="X488" s="34"/>
      <c r="Y488" s="34"/>
    </row>
    <row x14ac:dyDescent="0.25" r="489" customHeight="1" ht="15.75">
      <c r="A489" s="502"/>
      <c r="B489" s="34"/>
      <c r="C489" s="34"/>
      <c r="D489" s="34"/>
      <c r="E489" s="34"/>
      <c r="F489" s="34"/>
      <c r="G489" s="34"/>
      <c r="H489" s="34"/>
      <c r="I489" s="29"/>
      <c r="J489" s="29"/>
      <c r="K489" s="29"/>
      <c r="L489" s="29"/>
      <c r="M489" s="34"/>
      <c r="N489" s="34"/>
      <c r="O489" s="29"/>
      <c r="P489" s="29"/>
      <c r="Q489" s="29"/>
      <c r="R489" s="29"/>
      <c r="S489" s="29"/>
      <c r="T489" s="29"/>
      <c r="U489" s="476"/>
      <c r="V489" s="107"/>
      <c r="W489" s="29"/>
      <c r="X489" s="34"/>
      <c r="Y489" s="34"/>
    </row>
    <row x14ac:dyDescent="0.25" r="490" customHeight="1" ht="15.75">
      <c r="A490" s="502"/>
      <c r="B490" s="34"/>
      <c r="C490" s="34"/>
      <c r="D490" s="34"/>
      <c r="E490" s="34"/>
      <c r="F490" s="34"/>
      <c r="G490" s="34"/>
      <c r="H490" s="34"/>
      <c r="I490" s="29"/>
      <c r="J490" s="29"/>
      <c r="K490" s="29"/>
      <c r="L490" s="29"/>
      <c r="M490" s="34"/>
      <c r="N490" s="34"/>
      <c r="O490" s="29"/>
      <c r="P490" s="29"/>
      <c r="Q490" s="29"/>
      <c r="R490" s="29"/>
      <c r="S490" s="29"/>
      <c r="T490" s="29"/>
      <c r="U490" s="476"/>
      <c r="V490" s="107"/>
      <c r="W490" s="29"/>
      <c r="X490" s="34"/>
      <c r="Y490" s="34"/>
    </row>
    <row x14ac:dyDescent="0.25" r="491" customHeight="1" ht="15.75">
      <c r="A491" s="502"/>
      <c r="B491" s="34"/>
      <c r="C491" s="34"/>
      <c r="D491" s="34"/>
      <c r="E491" s="34"/>
      <c r="F491" s="34"/>
      <c r="G491" s="34"/>
      <c r="H491" s="34"/>
      <c r="I491" s="29"/>
      <c r="J491" s="29"/>
      <c r="K491" s="29"/>
      <c r="L491" s="29"/>
      <c r="M491" s="34"/>
      <c r="N491" s="34"/>
      <c r="O491" s="29"/>
      <c r="P491" s="29"/>
      <c r="Q491" s="29"/>
      <c r="R491" s="29"/>
      <c r="S491" s="29"/>
      <c r="T491" s="29"/>
      <c r="U491" s="476"/>
      <c r="V491" s="107"/>
      <c r="W491" s="29"/>
      <c r="X491" s="34"/>
      <c r="Y491" s="34"/>
    </row>
    <row x14ac:dyDescent="0.25" r="492" customHeight="1" ht="15.75">
      <c r="A492" s="502"/>
      <c r="B492" s="34"/>
      <c r="C492" s="34"/>
      <c r="D492" s="34"/>
      <c r="E492" s="34"/>
      <c r="F492" s="34"/>
      <c r="G492" s="34"/>
      <c r="H492" s="34"/>
      <c r="I492" s="29"/>
      <c r="J492" s="29"/>
      <c r="K492" s="29"/>
      <c r="L492" s="29"/>
      <c r="M492" s="34"/>
      <c r="N492" s="34"/>
      <c r="O492" s="29"/>
      <c r="P492" s="29"/>
      <c r="Q492" s="29"/>
      <c r="R492" s="29"/>
      <c r="S492" s="29"/>
      <c r="T492" s="29"/>
      <c r="U492" s="476"/>
      <c r="V492" s="107"/>
      <c r="W492" s="29"/>
      <c r="X492" s="34"/>
      <c r="Y492" s="34"/>
    </row>
    <row x14ac:dyDescent="0.25" r="493" customHeight="1" ht="15.75">
      <c r="A493" s="502"/>
      <c r="B493" s="34"/>
      <c r="C493" s="34"/>
      <c r="D493" s="34"/>
      <c r="E493" s="34"/>
      <c r="F493" s="34"/>
      <c r="G493" s="34"/>
      <c r="H493" s="34"/>
      <c r="I493" s="29"/>
      <c r="J493" s="29"/>
      <c r="K493" s="29"/>
      <c r="L493" s="29"/>
      <c r="M493" s="34"/>
      <c r="N493" s="34"/>
      <c r="O493" s="29"/>
      <c r="P493" s="29"/>
      <c r="Q493" s="29"/>
      <c r="R493" s="29"/>
      <c r="S493" s="29"/>
      <c r="T493" s="29"/>
      <c r="U493" s="476"/>
      <c r="V493" s="107"/>
      <c r="W493" s="29"/>
      <c r="X493" s="34"/>
      <c r="Y493" s="34"/>
    </row>
    <row x14ac:dyDescent="0.25" r="494" customHeight="1" ht="15.75">
      <c r="A494" s="502"/>
      <c r="B494" s="34"/>
      <c r="C494" s="34"/>
      <c r="D494" s="34"/>
      <c r="E494" s="34"/>
      <c r="F494" s="34"/>
      <c r="G494" s="34"/>
      <c r="H494" s="34"/>
      <c r="I494" s="29"/>
      <c r="J494" s="29"/>
      <c r="K494" s="29"/>
      <c r="L494" s="29"/>
      <c r="M494" s="34"/>
      <c r="N494" s="34"/>
      <c r="O494" s="29"/>
      <c r="P494" s="29"/>
      <c r="Q494" s="29"/>
      <c r="R494" s="29"/>
      <c r="S494" s="29"/>
      <c r="T494" s="29"/>
      <c r="U494" s="476"/>
      <c r="V494" s="107"/>
      <c r="W494" s="29"/>
      <c r="X494" s="34"/>
      <c r="Y494" s="34"/>
    </row>
    <row x14ac:dyDescent="0.25" r="495" customHeight="1" ht="15.75">
      <c r="A495" s="502"/>
      <c r="B495" s="34"/>
      <c r="C495" s="34"/>
      <c r="D495" s="34"/>
      <c r="E495" s="34"/>
      <c r="F495" s="34"/>
      <c r="G495" s="34"/>
      <c r="H495" s="34"/>
      <c r="I495" s="29"/>
      <c r="J495" s="29"/>
      <c r="K495" s="29"/>
      <c r="L495" s="29"/>
      <c r="M495" s="34"/>
      <c r="N495" s="34"/>
      <c r="O495" s="29"/>
      <c r="P495" s="29"/>
      <c r="Q495" s="29"/>
      <c r="R495" s="29"/>
      <c r="S495" s="29"/>
      <c r="T495" s="29"/>
      <c r="U495" s="476"/>
      <c r="V495" s="107"/>
      <c r="W495" s="29"/>
      <c r="X495" s="34"/>
      <c r="Y495" s="34"/>
    </row>
    <row x14ac:dyDescent="0.25" r="496" customHeight="1" ht="15.75">
      <c r="A496" s="502"/>
      <c r="B496" s="34"/>
      <c r="C496" s="34"/>
      <c r="D496" s="34"/>
      <c r="E496" s="34"/>
      <c r="F496" s="34"/>
      <c r="G496" s="34"/>
      <c r="H496" s="34"/>
      <c r="I496" s="29"/>
      <c r="J496" s="29"/>
      <c r="K496" s="29"/>
      <c r="L496" s="29"/>
      <c r="M496" s="34"/>
      <c r="N496" s="34"/>
      <c r="O496" s="29"/>
      <c r="P496" s="29"/>
      <c r="Q496" s="29"/>
      <c r="R496" s="29"/>
      <c r="S496" s="29"/>
      <c r="T496" s="29"/>
      <c r="U496" s="476"/>
      <c r="V496" s="107"/>
      <c r="W496" s="29"/>
      <c r="X496" s="34"/>
      <c r="Y496" s="34"/>
    </row>
    <row x14ac:dyDescent="0.25" r="497" customHeight="1" ht="15.75">
      <c r="A497" s="502"/>
      <c r="B497" s="34"/>
      <c r="C497" s="34"/>
      <c r="D497" s="34"/>
      <c r="E497" s="34"/>
      <c r="F497" s="34"/>
      <c r="G497" s="34"/>
      <c r="H497" s="34"/>
      <c r="I497" s="29"/>
      <c r="J497" s="29"/>
      <c r="K497" s="29"/>
      <c r="L497" s="29"/>
      <c r="M497" s="34"/>
      <c r="N497" s="34"/>
      <c r="O497" s="29"/>
      <c r="P497" s="29"/>
      <c r="Q497" s="29"/>
      <c r="R497" s="29"/>
      <c r="S497" s="29"/>
      <c r="T497" s="29"/>
      <c r="U497" s="476"/>
      <c r="V497" s="107"/>
      <c r="W497" s="29"/>
      <c r="X497" s="34"/>
      <c r="Y497" s="34"/>
    </row>
    <row x14ac:dyDescent="0.25" r="498" customHeight="1" ht="15.75">
      <c r="A498" s="502"/>
      <c r="B498" s="34"/>
      <c r="C498" s="34"/>
      <c r="D498" s="34"/>
      <c r="E498" s="34"/>
      <c r="F498" s="34"/>
      <c r="G498" s="34"/>
      <c r="H498" s="34"/>
      <c r="I498" s="29"/>
      <c r="J498" s="29"/>
      <c r="K498" s="29"/>
      <c r="L498" s="29"/>
      <c r="M498" s="34"/>
      <c r="N498" s="34"/>
      <c r="O498" s="29"/>
      <c r="P498" s="29"/>
      <c r="Q498" s="29"/>
      <c r="R498" s="29"/>
      <c r="S498" s="29"/>
      <c r="T498" s="29"/>
      <c r="U498" s="476"/>
      <c r="V498" s="107"/>
      <c r="W498" s="29"/>
      <c r="X498" s="34"/>
      <c r="Y498" s="34"/>
    </row>
    <row x14ac:dyDescent="0.25" r="499" customHeight="1" ht="15.75">
      <c r="A499" s="502"/>
      <c r="B499" s="34"/>
      <c r="C499" s="34"/>
      <c r="D499" s="34"/>
      <c r="E499" s="34"/>
      <c r="F499" s="34"/>
      <c r="G499" s="34"/>
      <c r="H499" s="34"/>
      <c r="I499" s="29"/>
      <c r="J499" s="29"/>
      <c r="K499" s="29"/>
      <c r="L499" s="29"/>
      <c r="M499" s="34"/>
      <c r="N499" s="34"/>
      <c r="O499" s="29"/>
      <c r="P499" s="29"/>
      <c r="Q499" s="29"/>
      <c r="R499" s="29"/>
      <c r="S499" s="29"/>
      <c r="T499" s="29"/>
      <c r="U499" s="476"/>
      <c r="V499" s="107"/>
      <c r="W499" s="29"/>
      <c r="X499" s="34"/>
      <c r="Y499" s="34"/>
    </row>
    <row x14ac:dyDescent="0.25" r="500" customHeight="1" ht="15.75">
      <c r="A500" s="502"/>
      <c r="B500" s="34"/>
      <c r="C500" s="34"/>
      <c r="D500" s="34"/>
      <c r="E500" s="34"/>
      <c r="F500" s="34"/>
      <c r="G500" s="34"/>
      <c r="H500" s="34"/>
      <c r="I500" s="29"/>
      <c r="J500" s="29"/>
      <c r="K500" s="29"/>
      <c r="L500" s="29"/>
      <c r="M500" s="34"/>
      <c r="N500" s="34"/>
      <c r="O500" s="29"/>
      <c r="P500" s="29"/>
      <c r="Q500" s="29"/>
      <c r="R500" s="29"/>
      <c r="S500" s="29"/>
      <c r="T500" s="29"/>
      <c r="U500" s="476"/>
      <c r="V500" s="107"/>
      <c r="W500" s="29"/>
      <c r="X500" s="34"/>
      <c r="Y500" s="34"/>
    </row>
    <row x14ac:dyDescent="0.25" r="501" customHeight="1" ht="15.75">
      <c r="A501" s="502"/>
      <c r="B501" s="34"/>
      <c r="C501" s="34"/>
      <c r="D501" s="34"/>
      <c r="E501" s="34"/>
      <c r="F501" s="34"/>
      <c r="G501" s="34"/>
      <c r="H501" s="34"/>
      <c r="I501" s="29"/>
      <c r="J501" s="29"/>
      <c r="K501" s="29"/>
      <c r="L501" s="29"/>
      <c r="M501" s="34"/>
      <c r="N501" s="34"/>
      <c r="O501" s="29"/>
      <c r="P501" s="29"/>
      <c r="Q501" s="29"/>
      <c r="R501" s="29"/>
      <c r="S501" s="29"/>
      <c r="T501" s="29"/>
      <c r="U501" s="476"/>
      <c r="V501" s="107"/>
      <c r="W501" s="29"/>
      <c r="X501" s="34"/>
      <c r="Y501" s="34"/>
    </row>
    <row x14ac:dyDescent="0.25" r="502" customHeight="1" ht="15.75">
      <c r="A502" s="502"/>
      <c r="B502" s="34"/>
      <c r="C502" s="34"/>
      <c r="D502" s="34"/>
      <c r="E502" s="34"/>
      <c r="F502" s="34"/>
      <c r="G502" s="34"/>
      <c r="H502" s="34"/>
      <c r="I502" s="29"/>
      <c r="J502" s="29"/>
      <c r="K502" s="29"/>
      <c r="L502" s="29"/>
      <c r="M502" s="34"/>
      <c r="N502" s="34"/>
      <c r="O502" s="29"/>
      <c r="P502" s="29"/>
      <c r="Q502" s="29"/>
      <c r="R502" s="29"/>
      <c r="S502" s="29"/>
      <c r="T502" s="29"/>
      <c r="U502" s="476"/>
      <c r="V502" s="107"/>
      <c r="W502" s="29"/>
      <c r="X502" s="34"/>
      <c r="Y502" s="34"/>
    </row>
    <row x14ac:dyDescent="0.25" r="503" customHeight="1" ht="15.75">
      <c r="A503" s="502"/>
      <c r="B503" s="34"/>
      <c r="C503" s="34"/>
      <c r="D503" s="34"/>
      <c r="E503" s="34"/>
      <c r="F503" s="34"/>
      <c r="G503" s="34"/>
      <c r="H503" s="34"/>
      <c r="I503" s="29"/>
      <c r="J503" s="29"/>
      <c r="K503" s="29"/>
      <c r="L503" s="29"/>
      <c r="M503" s="34"/>
      <c r="N503" s="34"/>
      <c r="O503" s="29"/>
      <c r="P503" s="29"/>
      <c r="Q503" s="29"/>
      <c r="R503" s="29"/>
      <c r="S503" s="29"/>
      <c r="T503" s="29"/>
      <c r="U503" s="476"/>
      <c r="V503" s="107"/>
      <c r="W503" s="29"/>
      <c r="X503" s="34"/>
      <c r="Y503" s="34"/>
    </row>
    <row x14ac:dyDescent="0.25" r="504" customHeight="1" ht="15.75">
      <c r="A504" s="502"/>
      <c r="B504" s="34"/>
      <c r="C504" s="34"/>
      <c r="D504" s="34"/>
      <c r="E504" s="34"/>
      <c r="F504" s="34"/>
      <c r="G504" s="34"/>
      <c r="H504" s="34"/>
      <c r="I504" s="29"/>
      <c r="J504" s="29"/>
      <c r="K504" s="29"/>
      <c r="L504" s="29"/>
      <c r="M504" s="34"/>
      <c r="N504" s="34"/>
      <c r="O504" s="29"/>
      <c r="P504" s="29"/>
      <c r="Q504" s="29"/>
      <c r="R504" s="29"/>
      <c r="S504" s="29"/>
      <c r="T504" s="29"/>
      <c r="U504" s="476"/>
      <c r="V504" s="107"/>
      <c r="W504" s="29"/>
      <c r="X504" s="34"/>
      <c r="Y504" s="34"/>
    </row>
    <row x14ac:dyDescent="0.25" r="505" customHeight="1" ht="15.75">
      <c r="A505" s="502"/>
      <c r="B505" s="34"/>
      <c r="C505" s="34"/>
      <c r="D505" s="34"/>
      <c r="E505" s="34"/>
      <c r="F505" s="34"/>
      <c r="G505" s="34"/>
      <c r="H505" s="34"/>
      <c r="I505" s="29"/>
      <c r="J505" s="29"/>
      <c r="K505" s="29"/>
      <c r="L505" s="29"/>
      <c r="M505" s="34"/>
      <c r="N505" s="34"/>
      <c r="O505" s="29"/>
      <c r="P505" s="29"/>
      <c r="Q505" s="29"/>
      <c r="R505" s="29"/>
      <c r="S505" s="29"/>
      <c r="T505" s="29"/>
      <c r="U505" s="476"/>
      <c r="V505" s="107"/>
      <c r="W505" s="29"/>
      <c r="X505" s="34"/>
      <c r="Y505" s="34"/>
    </row>
    <row x14ac:dyDescent="0.25" r="506" customHeight="1" ht="15.75">
      <c r="A506" s="502"/>
      <c r="B506" s="34"/>
      <c r="C506" s="34"/>
      <c r="D506" s="34"/>
      <c r="E506" s="34"/>
      <c r="F506" s="34"/>
      <c r="G506" s="34"/>
      <c r="H506" s="34"/>
      <c r="I506" s="29"/>
      <c r="J506" s="29"/>
      <c r="K506" s="29"/>
      <c r="L506" s="29"/>
      <c r="M506" s="34"/>
      <c r="N506" s="34"/>
      <c r="O506" s="29"/>
      <c r="P506" s="29"/>
      <c r="Q506" s="29"/>
      <c r="R506" s="29"/>
      <c r="S506" s="29"/>
      <c r="T506" s="29"/>
      <c r="U506" s="476"/>
      <c r="V506" s="107"/>
      <c r="W506" s="29"/>
      <c r="X506" s="34"/>
      <c r="Y506" s="34"/>
    </row>
    <row x14ac:dyDescent="0.25" r="507" customHeight="1" ht="15.75">
      <c r="A507" s="502"/>
      <c r="B507" s="34"/>
      <c r="C507" s="34"/>
      <c r="D507" s="34"/>
      <c r="E507" s="34"/>
      <c r="F507" s="34"/>
      <c r="G507" s="34"/>
      <c r="H507" s="34"/>
      <c r="I507" s="29"/>
      <c r="J507" s="29"/>
      <c r="K507" s="29"/>
      <c r="L507" s="29"/>
      <c r="M507" s="34"/>
      <c r="N507" s="34"/>
      <c r="O507" s="29"/>
      <c r="P507" s="29"/>
      <c r="Q507" s="29"/>
      <c r="R507" s="29"/>
      <c r="S507" s="29"/>
      <c r="T507" s="29"/>
      <c r="U507" s="476"/>
      <c r="V507" s="107"/>
      <c r="W507" s="29"/>
      <c r="X507" s="34"/>
      <c r="Y507" s="34"/>
    </row>
    <row x14ac:dyDescent="0.25" r="508" customHeight="1" ht="15.75">
      <c r="A508" s="502"/>
      <c r="B508" s="34"/>
      <c r="C508" s="34"/>
      <c r="D508" s="34"/>
      <c r="E508" s="34"/>
      <c r="F508" s="34"/>
      <c r="G508" s="34"/>
      <c r="H508" s="34"/>
      <c r="I508" s="29"/>
      <c r="J508" s="29"/>
      <c r="K508" s="29"/>
      <c r="L508" s="29"/>
      <c r="M508" s="34"/>
      <c r="N508" s="34"/>
      <c r="O508" s="29"/>
      <c r="P508" s="29"/>
      <c r="Q508" s="29"/>
      <c r="R508" s="29"/>
      <c r="S508" s="29"/>
      <c r="T508" s="29"/>
      <c r="U508" s="476"/>
      <c r="V508" s="107"/>
      <c r="W508" s="29"/>
      <c r="X508" s="34"/>
      <c r="Y508" s="34"/>
    </row>
    <row x14ac:dyDescent="0.25" r="509" customHeight="1" ht="15.75">
      <c r="A509" s="502"/>
      <c r="B509" s="34"/>
      <c r="C509" s="34"/>
      <c r="D509" s="34"/>
      <c r="E509" s="34"/>
      <c r="F509" s="34"/>
      <c r="G509" s="34"/>
      <c r="H509" s="34"/>
      <c r="I509" s="29"/>
      <c r="J509" s="29"/>
      <c r="K509" s="29"/>
      <c r="L509" s="29"/>
      <c r="M509" s="34"/>
      <c r="N509" s="34"/>
      <c r="O509" s="29"/>
      <c r="P509" s="29"/>
      <c r="Q509" s="29"/>
      <c r="R509" s="29"/>
      <c r="S509" s="29"/>
      <c r="T509" s="29"/>
      <c r="U509" s="476"/>
      <c r="V509" s="107"/>
      <c r="W509" s="29"/>
      <c r="X509" s="34"/>
      <c r="Y509" s="34"/>
    </row>
    <row x14ac:dyDescent="0.25" r="510" customHeight="1" ht="15.75">
      <c r="A510" s="502"/>
      <c r="B510" s="34"/>
      <c r="C510" s="34"/>
      <c r="D510" s="34"/>
      <c r="E510" s="34"/>
      <c r="F510" s="34"/>
      <c r="G510" s="34"/>
      <c r="H510" s="34"/>
      <c r="I510" s="29"/>
      <c r="J510" s="29"/>
      <c r="K510" s="29"/>
      <c r="L510" s="29"/>
      <c r="M510" s="34"/>
      <c r="N510" s="34"/>
      <c r="O510" s="29"/>
      <c r="P510" s="29"/>
      <c r="Q510" s="29"/>
      <c r="R510" s="29"/>
      <c r="S510" s="29"/>
      <c r="T510" s="29"/>
      <c r="U510" s="476"/>
      <c r="V510" s="107"/>
      <c r="W510" s="29"/>
      <c r="X510" s="34"/>
      <c r="Y510" s="34"/>
    </row>
    <row x14ac:dyDescent="0.25" r="511" customHeight="1" ht="15.75">
      <c r="A511" s="502"/>
      <c r="B511" s="34"/>
      <c r="C511" s="34"/>
      <c r="D511" s="34"/>
      <c r="E511" s="34"/>
      <c r="F511" s="34"/>
      <c r="G511" s="34"/>
      <c r="H511" s="34"/>
      <c r="I511" s="29"/>
      <c r="J511" s="29"/>
      <c r="K511" s="29"/>
      <c r="L511" s="29"/>
      <c r="M511" s="34"/>
      <c r="N511" s="34"/>
      <c r="O511" s="29"/>
      <c r="P511" s="29"/>
      <c r="Q511" s="29"/>
      <c r="R511" s="29"/>
      <c r="S511" s="29"/>
      <c r="T511" s="29"/>
      <c r="U511" s="476"/>
      <c r="V511" s="107"/>
      <c r="W511" s="29"/>
      <c r="X511" s="34"/>
      <c r="Y511" s="34"/>
    </row>
    <row x14ac:dyDescent="0.25" r="512" customHeight="1" ht="15.75">
      <c r="A512" s="502"/>
      <c r="B512" s="34"/>
      <c r="C512" s="34"/>
      <c r="D512" s="34"/>
      <c r="E512" s="34"/>
      <c r="F512" s="34"/>
      <c r="G512" s="34"/>
      <c r="H512" s="34"/>
      <c r="I512" s="29"/>
      <c r="J512" s="29"/>
      <c r="K512" s="29"/>
      <c r="L512" s="29"/>
      <c r="M512" s="34"/>
      <c r="N512" s="34"/>
      <c r="O512" s="29"/>
      <c r="P512" s="29"/>
      <c r="Q512" s="29"/>
      <c r="R512" s="29"/>
      <c r="S512" s="29"/>
      <c r="T512" s="29"/>
      <c r="U512" s="476"/>
      <c r="V512" s="107"/>
      <c r="W512" s="29"/>
      <c r="X512" s="34"/>
      <c r="Y512" s="34"/>
    </row>
    <row x14ac:dyDescent="0.25" r="513" customHeight="1" ht="15.75">
      <c r="A513" s="502"/>
      <c r="B513" s="34"/>
      <c r="C513" s="34"/>
      <c r="D513" s="34"/>
      <c r="E513" s="34"/>
      <c r="F513" s="34"/>
      <c r="G513" s="34"/>
      <c r="H513" s="34"/>
      <c r="I513" s="29"/>
      <c r="J513" s="29"/>
      <c r="K513" s="29"/>
      <c r="L513" s="29"/>
      <c r="M513" s="34"/>
      <c r="N513" s="34"/>
      <c r="O513" s="29"/>
      <c r="P513" s="29"/>
      <c r="Q513" s="29"/>
      <c r="R513" s="29"/>
      <c r="S513" s="29"/>
      <c r="T513" s="29"/>
      <c r="U513" s="476"/>
      <c r="V513" s="107"/>
      <c r="W513" s="29"/>
      <c r="X513" s="34"/>
      <c r="Y513" s="34"/>
    </row>
    <row x14ac:dyDescent="0.25" r="514" customHeight="1" ht="15.75">
      <c r="A514" s="502"/>
      <c r="B514" s="34"/>
      <c r="C514" s="34"/>
      <c r="D514" s="34"/>
      <c r="E514" s="34"/>
      <c r="F514" s="34"/>
      <c r="G514" s="34"/>
      <c r="H514" s="34"/>
      <c r="I514" s="29"/>
      <c r="J514" s="29"/>
      <c r="K514" s="29"/>
      <c r="L514" s="29"/>
      <c r="M514" s="34"/>
      <c r="N514" s="34"/>
      <c r="O514" s="29"/>
      <c r="P514" s="29"/>
      <c r="Q514" s="29"/>
      <c r="R514" s="29"/>
      <c r="S514" s="29"/>
      <c r="T514" s="29"/>
      <c r="U514" s="476"/>
      <c r="V514" s="107"/>
      <c r="W514" s="29"/>
      <c r="X514" s="34"/>
      <c r="Y514" s="34"/>
    </row>
    <row x14ac:dyDescent="0.25" r="515" customHeight="1" ht="15.75">
      <c r="A515" s="502"/>
      <c r="B515" s="34"/>
      <c r="C515" s="34"/>
      <c r="D515" s="34"/>
      <c r="E515" s="34"/>
      <c r="F515" s="34"/>
      <c r="G515" s="34"/>
      <c r="H515" s="34"/>
      <c r="I515" s="29"/>
      <c r="J515" s="29"/>
      <c r="K515" s="29"/>
      <c r="L515" s="29"/>
      <c r="M515" s="34"/>
      <c r="N515" s="34"/>
      <c r="O515" s="29"/>
      <c r="P515" s="29"/>
      <c r="Q515" s="29"/>
      <c r="R515" s="29"/>
      <c r="S515" s="29"/>
      <c r="T515" s="29"/>
      <c r="U515" s="476"/>
      <c r="V515" s="107"/>
      <c r="W515" s="29"/>
      <c r="X515" s="34"/>
      <c r="Y515" s="34"/>
    </row>
    <row x14ac:dyDescent="0.25" r="516" customHeight="1" ht="15.75">
      <c r="A516" s="502"/>
      <c r="B516" s="34"/>
      <c r="C516" s="34"/>
      <c r="D516" s="34"/>
      <c r="E516" s="34"/>
      <c r="F516" s="34"/>
      <c r="G516" s="34"/>
      <c r="H516" s="34"/>
      <c r="I516" s="29"/>
      <c r="J516" s="29"/>
      <c r="K516" s="29"/>
      <c r="L516" s="29"/>
      <c r="M516" s="34"/>
      <c r="N516" s="34"/>
      <c r="O516" s="29"/>
      <c r="P516" s="29"/>
      <c r="Q516" s="29"/>
      <c r="R516" s="29"/>
      <c r="S516" s="29"/>
      <c r="T516" s="29"/>
      <c r="U516" s="476"/>
      <c r="V516" s="107"/>
      <c r="W516" s="29"/>
      <c r="X516" s="34"/>
      <c r="Y516" s="34"/>
    </row>
    <row x14ac:dyDescent="0.25" r="517" customHeight="1" ht="15.75">
      <c r="A517" s="502"/>
      <c r="B517" s="34"/>
      <c r="C517" s="34"/>
      <c r="D517" s="34"/>
      <c r="E517" s="34"/>
      <c r="F517" s="34"/>
      <c r="G517" s="34"/>
      <c r="H517" s="34"/>
      <c r="I517" s="29"/>
      <c r="J517" s="29"/>
      <c r="K517" s="29"/>
      <c r="L517" s="29"/>
      <c r="M517" s="34"/>
      <c r="N517" s="34"/>
      <c r="O517" s="29"/>
      <c r="P517" s="29"/>
      <c r="Q517" s="29"/>
      <c r="R517" s="29"/>
      <c r="S517" s="29"/>
      <c r="T517" s="29"/>
      <c r="U517" s="476"/>
      <c r="V517" s="107"/>
      <c r="W517" s="29"/>
      <c r="X517" s="34"/>
      <c r="Y517" s="34"/>
    </row>
    <row x14ac:dyDescent="0.25" r="518" customHeight="1" ht="15.75">
      <c r="A518" s="502"/>
      <c r="B518" s="34"/>
      <c r="C518" s="34"/>
      <c r="D518" s="34"/>
      <c r="E518" s="34"/>
      <c r="F518" s="34"/>
      <c r="G518" s="34"/>
      <c r="H518" s="34"/>
      <c r="I518" s="29"/>
      <c r="J518" s="29"/>
      <c r="K518" s="29"/>
      <c r="L518" s="29"/>
      <c r="M518" s="34"/>
      <c r="N518" s="34"/>
      <c r="O518" s="29"/>
      <c r="P518" s="29"/>
      <c r="Q518" s="29"/>
      <c r="R518" s="29"/>
      <c r="S518" s="29"/>
      <c r="T518" s="29"/>
      <c r="U518" s="476"/>
      <c r="V518" s="107"/>
      <c r="W518" s="29"/>
      <c r="X518" s="34"/>
      <c r="Y518" s="34"/>
    </row>
    <row x14ac:dyDescent="0.25" r="519" customHeight="1" ht="15.75">
      <c r="A519" s="502"/>
      <c r="B519" s="34"/>
      <c r="C519" s="34"/>
      <c r="D519" s="34"/>
      <c r="E519" s="34"/>
      <c r="F519" s="34"/>
      <c r="G519" s="34"/>
      <c r="H519" s="34"/>
      <c r="I519" s="29"/>
      <c r="J519" s="29"/>
      <c r="K519" s="29"/>
      <c r="L519" s="29"/>
      <c r="M519" s="34"/>
      <c r="N519" s="34"/>
      <c r="O519" s="29"/>
      <c r="P519" s="29"/>
      <c r="Q519" s="29"/>
      <c r="R519" s="29"/>
      <c r="S519" s="29"/>
      <c r="T519" s="29"/>
      <c r="U519" s="476"/>
      <c r="V519" s="107"/>
      <c r="W519" s="29"/>
      <c r="X519" s="34"/>
      <c r="Y519" s="34"/>
    </row>
    <row x14ac:dyDescent="0.25" r="520" customHeight="1" ht="15.75">
      <c r="A520" s="502"/>
      <c r="B520" s="34"/>
      <c r="C520" s="34"/>
      <c r="D520" s="34"/>
      <c r="E520" s="34"/>
      <c r="F520" s="34"/>
      <c r="G520" s="34"/>
      <c r="H520" s="34"/>
      <c r="I520" s="29"/>
      <c r="J520" s="29"/>
      <c r="K520" s="29"/>
      <c r="L520" s="29"/>
      <c r="M520" s="34"/>
      <c r="N520" s="34"/>
      <c r="O520" s="29"/>
      <c r="P520" s="29"/>
      <c r="Q520" s="29"/>
      <c r="R520" s="29"/>
      <c r="S520" s="29"/>
      <c r="T520" s="29"/>
      <c r="U520" s="476"/>
      <c r="V520" s="107"/>
      <c r="W520" s="29"/>
      <c r="X520" s="34"/>
      <c r="Y520" s="34"/>
    </row>
    <row x14ac:dyDescent="0.25" r="521" customHeight="1" ht="15.75">
      <c r="A521" s="502"/>
      <c r="B521" s="34"/>
      <c r="C521" s="34"/>
      <c r="D521" s="34"/>
      <c r="E521" s="34"/>
      <c r="F521" s="34"/>
      <c r="G521" s="34"/>
      <c r="H521" s="34"/>
      <c r="I521" s="29"/>
      <c r="J521" s="29"/>
      <c r="K521" s="29"/>
      <c r="L521" s="29"/>
      <c r="M521" s="34"/>
      <c r="N521" s="34"/>
      <c r="O521" s="29"/>
      <c r="P521" s="29"/>
      <c r="Q521" s="29"/>
      <c r="R521" s="29"/>
      <c r="S521" s="29"/>
      <c r="T521" s="29"/>
      <c r="U521" s="476"/>
      <c r="V521" s="107"/>
      <c r="W521" s="29"/>
      <c r="X521" s="34"/>
      <c r="Y521" s="34"/>
    </row>
    <row x14ac:dyDescent="0.25" r="522" customHeight="1" ht="15.75">
      <c r="A522" s="502"/>
      <c r="B522" s="34"/>
      <c r="C522" s="34"/>
      <c r="D522" s="34"/>
      <c r="E522" s="34"/>
      <c r="F522" s="34"/>
      <c r="G522" s="34"/>
      <c r="H522" s="34"/>
      <c r="I522" s="29"/>
      <c r="J522" s="29"/>
      <c r="K522" s="29"/>
      <c r="L522" s="29"/>
      <c r="M522" s="34"/>
      <c r="N522" s="34"/>
      <c r="O522" s="29"/>
      <c r="P522" s="29"/>
      <c r="Q522" s="29"/>
      <c r="R522" s="29"/>
      <c r="S522" s="29"/>
      <c r="T522" s="29"/>
      <c r="U522" s="476"/>
      <c r="V522" s="107"/>
      <c r="W522" s="29"/>
      <c r="X522" s="34"/>
      <c r="Y522" s="34"/>
    </row>
    <row x14ac:dyDescent="0.25" r="523" customHeight="1" ht="15.75">
      <c r="A523" s="502"/>
      <c r="B523" s="34"/>
      <c r="C523" s="34"/>
      <c r="D523" s="34"/>
      <c r="E523" s="34"/>
      <c r="F523" s="34"/>
      <c r="G523" s="34"/>
      <c r="H523" s="34"/>
      <c r="I523" s="29"/>
      <c r="J523" s="29"/>
      <c r="K523" s="29"/>
      <c r="L523" s="29"/>
      <c r="M523" s="34"/>
      <c r="N523" s="34"/>
      <c r="O523" s="29"/>
      <c r="P523" s="29"/>
      <c r="Q523" s="29"/>
      <c r="R523" s="29"/>
      <c r="S523" s="29"/>
      <c r="T523" s="29"/>
      <c r="U523" s="476"/>
      <c r="V523" s="107"/>
      <c r="W523" s="29"/>
      <c r="X523" s="34"/>
      <c r="Y523" s="34"/>
    </row>
    <row x14ac:dyDescent="0.25" r="524" customHeight="1" ht="15.75">
      <c r="A524" s="502"/>
      <c r="B524" s="34"/>
      <c r="C524" s="34"/>
      <c r="D524" s="34"/>
      <c r="E524" s="34"/>
      <c r="F524" s="34"/>
      <c r="G524" s="34"/>
      <c r="H524" s="34"/>
      <c r="I524" s="29"/>
      <c r="J524" s="29"/>
      <c r="K524" s="29"/>
      <c r="L524" s="29"/>
      <c r="M524" s="34"/>
      <c r="N524" s="34"/>
      <c r="O524" s="29"/>
      <c r="P524" s="29"/>
      <c r="Q524" s="29"/>
      <c r="R524" s="29"/>
      <c r="S524" s="29"/>
      <c r="T524" s="29"/>
      <c r="U524" s="476"/>
      <c r="V524" s="107"/>
      <c r="W524" s="29"/>
      <c r="X524" s="34"/>
      <c r="Y524" s="34"/>
    </row>
    <row x14ac:dyDescent="0.25" r="525" customHeight="1" ht="15.75">
      <c r="A525" s="502"/>
      <c r="B525" s="34"/>
      <c r="C525" s="34"/>
      <c r="D525" s="34"/>
      <c r="E525" s="34"/>
      <c r="F525" s="34"/>
      <c r="G525" s="34"/>
      <c r="H525" s="34"/>
      <c r="I525" s="29"/>
      <c r="J525" s="29"/>
      <c r="K525" s="29"/>
      <c r="L525" s="29"/>
      <c r="M525" s="34"/>
      <c r="N525" s="34"/>
      <c r="O525" s="29"/>
      <c r="P525" s="29"/>
      <c r="Q525" s="29"/>
      <c r="R525" s="29"/>
      <c r="S525" s="29"/>
      <c r="T525" s="29"/>
      <c r="U525" s="476"/>
      <c r="V525" s="107"/>
      <c r="W525" s="29"/>
      <c r="X525" s="34"/>
      <c r="Y525" s="34"/>
    </row>
    <row x14ac:dyDescent="0.25" r="526" customHeight="1" ht="15.75">
      <c r="A526" s="502"/>
      <c r="B526" s="34"/>
      <c r="C526" s="34"/>
      <c r="D526" s="34"/>
      <c r="E526" s="34"/>
      <c r="F526" s="34"/>
      <c r="G526" s="34"/>
      <c r="H526" s="34"/>
      <c r="I526" s="29"/>
      <c r="J526" s="29"/>
      <c r="K526" s="29"/>
      <c r="L526" s="29"/>
      <c r="M526" s="34"/>
      <c r="N526" s="34"/>
      <c r="O526" s="29"/>
      <c r="P526" s="29"/>
      <c r="Q526" s="29"/>
      <c r="R526" s="29"/>
      <c r="S526" s="29"/>
      <c r="T526" s="29"/>
      <c r="U526" s="476"/>
      <c r="V526" s="107"/>
      <c r="W526" s="29"/>
      <c r="X526" s="34"/>
      <c r="Y526" s="34"/>
    </row>
    <row x14ac:dyDescent="0.25" r="527" customHeight="1" ht="15.75">
      <c r="A527" s="502"/>
      <c r="B527" s="34"/>
      <c r="C527" s="34"/>
      <c r="D527" s="34"/>
      <c r="E527" s="34"/>
      <c r="F527" s="34"/>
      <c r="G527" s="34"/>
      <c r="H527" s="34"/>
      <c r="I527" s="29"/>
      <c r="J527" s="29"/>
      <c r="K527" s="29"/>
      <c r="L527" s="29"/>
      <c r="M527" s="34"/>
      <c r="N527" s="34"/>
      <c r="O527" s="29"/>
      <c r="P527" s="29"/>
      <c r="Q527" s="29"/>
      <c r="R527" s="29"/>
      <c r="S527" s="29"/>
      <c r="T527" s="29"/>
      <c r="U527" s="476"/>
      <c r="V527" s="107"/>
      <c r="W527" s="29"/>
      <c r="X527" s="34"/>
      <c r="Y527" s="34"/>
    </row>
    <row x14ac:dyDescent="0.25" r="528" customHeight="1" ht="15.75">
      <c r="A528" s="502"/>
      <c r="B528" s="34"/>
      <c r="C528" s="34"/>
      <c r="D528" s="34"/>
      <c r="E528" s="34"/>
      <c r="F528" s="34"/>
      <c r="G528" s="34"/>
      <c r="H528" s="34"/>
      <c r="I528" s="29"/>
      <c r="J528" s="29"/>
      <c r="K528" s="29"/>
      <c r="L528" s="29"/>
      <c r="M528" s="34"/>
      <c r="N528" s="34"/>
      <c r="O528" s="29"/>
      <c r="P528" s="29"/>
      <c r="Q528" s="29"/>
      <c r="R528" s="29"/>
      <c r="S528" s="29"/>
      <c r="T528" s="29"/>
      <c r="U528" s="476"/>
      <c r="V528" s="107"/>
      <c r="W528" s="29"/>
      <c r="X528" s="34"/>
      <c r="Y528" s="34"/>
    </row>
    <row x14ac:dyDescent="0.25" r="529" customHeight="1" ht="15.75">
      <c r="A529" s="502"/>
      <c r="B529" s="34"/>
      <c r="C529" s="34"/>
      <c r="D529" s="34"/>
      <c r="E529" s="34"/>
      <c r="F529" s="34"/>
      <c r="G529" s="34"/>
      <c r="H529" s="34"/>
      <c r="I529" s="29"/>
      <c r="J529" s="29"/>
      <c r="K529" s="29"/>
      <c r="L529" s="29"/>
      <c r="M529" s="34"/>
      <c r="N529" s="34"/>
      <c r="O529" s="29"/>
      <c r="P529" s="29"/>
      <c r="Q529" s="29"/>
      <c r="R529" s="29"/>
      <c r="S529" s="29"/>
      <c r="T529" s="29"/>
      <c r="U529" s="476"/>
      <c r="V529" s="107"/>
      <c r="W529" s="29"/>
      <c r="X529" s="34"/>
      <c r="Y529" s="34"/>
    </row>
    <row x14ac:dyDescent="0.25" r="530" customHeight="1" ht="15.75">
      <c r="A530" s="502"/>
      <c r="B530" s="34"/>
      <c r="C530" s="34"/>
      <c r="D530" s="34"/>
      <c r="E530" s="34"/>
      <c r="F530" s="34"/>
      <c r="G530" s="34"/>
      <c r="H530" s="34"/>
      <c r="I530" s="29"/>
      <c r="J530" s="29"/>
      <c r="K530" s="29"/>
      <c r="L530" s="29"/>
      <c r="M530" s="34"/>
      <c r="N530" s="34"/>
      <c r="O530" s="29"/>
      <c r="P530" s="29"/>
      <c r="Q530" s="29"/>
      <c r="R530" s="29"/>
      <c r="S530" s="29"/>
      <c r="T530" s="29"/>
      <c r="U530" s="476"/>
      <c r="V530" s="107"/>
      <c r="W530" s="29"/>
      <c r="X530" s="34"/>
      <c r="Y530" s="34"/>
    </row>
    <row x14ac:dyDescent="0.25" r="531" customHeight="1" ht="15.75">
      <c r="A531" s="502"/>
      <c r="B531" s="34"/>
      <c r="C531" s="34"/>
      <c r="D531" s="34"/>
      <c r="E531" s="34"/>
      <c r="F531" s="34"/>
      <c r="G531" s="34"/>
      <c r="H531" s="34"/>
      <c r="I531" s="29"/>
      <c r="J531" s="29"/>
      <c r="K531" s="29"/>
      <c r="L531" s="29"/>
      <c r="M531" s="34"/>
      <c r="N531" s="34"/>
      <c r="O531" s="29"/>
      <c r="P531" s="29"/>
      <c r="Q531" s="29"/>
      <c r="R531" s="29"/>
      <c r="S531" s="29"/>
      <c r="T531" s="29"/>
      <c r="U531" s="476"/>
      <c r="V531" s="107"/>
      <c r="W531" s="29"/>
      <c r="X531" s="34"/>
      <c r="Y531" s="34"/>
    </row>
    <row x14ac:dyDescent="0.25" r="532" customHeight="1" ht="15.75">
      <c r="A532" s="502"/>
      <c r="B532" s="34"/>
      <c r="C532" s="34"/>
      <c r="D532" s="34"/>
      <c r="E532" s="34"/>
      <c r="F532" s="34"/>
      <c r="G532" s="34"/>
      <c r="H532" s="34"/>
      <c r="I532" s="29"/>
      <c r="J532" s="29"/>
      <c r="K532" s="29"/>
      <c r="L532" s="29"/>
      <c r="M532" s="34"/>
      <c r="N532" s="34"/>
      <c r="O532" s="29"/>
      <c r="P532" s="29"/>
      <c r="Q532" s="29"/>
      <c r="R532" s="29"/>
      <c r="S532" s="29"/>
      <c r="T532" s="29"/>
      <c r="U532" s="476"/>
      <c r="V532" s="107"/>
      <c r="W532" s="29"/>
      <c r="X532" s="34"/>
      <c r="Y532" s="34"/>
    </row>
    <row x14ac:dyDescent="0.25" r="533" customHeight="1" ht="15.75">
      <c r="A533" s="502"/>
      <c r="B533" s="34"/>
      <c r="C533" s="34"/>
      <c r="D533" s="34"/>
      <c r="E533" s="34"/>
      <c r="F533" s="34"/>
      <c r="G533" s="34"/>
      <c r="H533" s="34"/>
      <c r="I533" s="29"/>
      <c r="J533" s="29"/>
      <c r="K533" s="29"/>
      <c r="L533" s="29"/>
      <c r="M533" s="34"/>
      <c r="N533" s="34"/>
      <c r="O533" s="29"/>
      <c r="P533" s="29"/>
      <c r="Q533" s="29"/>
      <c r="R533" s="29"/>
      <c r="S533" s="29"/>
      <c r="T533" s="29"/>
      <c r="U533" s="476"/>
      <c r="V533" s="107"/>
      <c r="W533" s="29"/>
      <c r="X533" s="34"/>
      <c r="Y533" s="34"/>
    </row>
    <row x14ac:dyDescent="0.25" r="534" customHeight="1" ht="15.75">
      <c r="A534" s="502"/>
      <c r="B534" s="34"/>
      <c r="C534" s="34"/>
      <c r="D534" s="34"/>
      <c r="E534" s="34"/>
      <c r="F534" s="34"/>
      <c r="G534" s="34"/>
      <c r="H534" s="34"/>
      <c r="I534" s="29"/>
      <c r="J534" s="29"/>
      <c r="K534" s="29"/>
      <c r="L534" s="29"/>
      <c r="M534" s="34"/>
      <c r="N534" s="34"/>
      <c r="O534" s="29"/>
      <c r="P534" s="29"/>
      <c r="Q534" s="29"/>
      <c r="R534" s="29"/>
      <c r="S534" s="29"/>
      <c r="T534" s="29"/>
      <c r="U534" s="476"/>
      <c r="V534" s="107"/>
      <c r="W534" s="29"/>
      <c r="X534" s="34"/>
      <c r="Y534" s="34"/>
    </row>
    <row x14ac:dyDescent="0.25" r="535" customHeight="1" ht="15.75">
      <c r="A535" s="502"/>
      <c r="B535" s="34"/>
      <c r="C535" s="34"/>
      <c r="D535" s="34"/>
      <c r="E535" s="34"/>
      <c r="F535" s="34"/>
      <c r="G535" s="34"/>
      <c r="H535" s="34"/>
      <c r="I535" s="29"/>
      <c r="J535" s="29"/>
      <c r="K535" s="29"/>
      <c r="L535" s="29"/>
      <c r="M535" s="34"/>
      <c r="N535" s="34"/>
      <c r="O535" s="29"/>
      <c r="P535" s="29"/>
      <c r="Q535" s="29"/>
      <c r="R535" s="29"/>
      <c r="S535" s="29"/>
      <c r="T535" s="29"/>
      <c r="U535" s="476"/>
      <c r="V535" s="107"/>
      <c r="W535" s="29"/>
      <c r="X535" s="34"/>
      <c r="Y535" s="34"/>
    </row>
    <row x14ac:dyDescent="0.25" r="536" customHeight="1" ht="15.75">
      <c r="A536" s="502"/>
      <c r="B536" s="34"/>
      <c r="C536" s="34"/>
      <c r="D536" s="34"/>
      <c r="E536" s="34"/>
      <c r="F536" s="34"/>
      <c r="G536" s="34"/>
      <c r="H536" s="34"/>
      <c r="I536" s="29"/>
      <c r="J536" s="29"/>
      <c r="K536" s="29"/>
      <c r="L536" s="29"/>
      <c r="M536" s="34"/>
      <c r="N536" s="34"/>
      <c r="O536" s="29"/>
      <c r="P536" s="29"/>
      <c r="Q536" s="29"/>
      <c r="R536" s="29"/>
      <c r="S536" s="29"/>
      <c r="T536" s="29"/>
      <c r="U536" s="476"/>
      <c r="V536" s="107"/>
      <c r="W536" s="29"/>
      <c r="X536" s="34"/>
      <c r="Y536" s="34"/>
    </row>
    <row x14ac:dyDescent="0.25" r="537" customHeight="1" ht="15.75">
      <c r="A537" s="502"/>
      <c r="B537" s="34"/>
      <c r="C537" s="34"/>
      <c r="D537" s="34"/>
      <c r="E537" s="34"/>
      <c r="F537" s="34"/>
      <c r="G537" s="34"/>
      <c r="H537" s="34"/>
      <c r="I537" s="29"/>
      <c r="J537" s="29"/>
      <c r="K537" s="29"/>
      <c r="L537" s="29"/>
      <c r="M537" s="34"/>
      <c r="N537" s="34"/>
      <c r="O537" s="29"/>
      <c r="P537" s="29"/>
      <c r="Q537" s="29"/>
      <c r="R537" s="29"/>
      <c r="S537" s="29"/>
      <c r="T537" s="29"/>
      <c r="U537" s="476"/>
      <c r="V537" s="107"/>
      <c r="W537" s="29"/>
      <c r="X537" s="34"/>
      <c r="Y537" s="34"/>
    </row>
    <row x14ac:dyDescent="0.25" r="538" customHeight="1" ht="15.75">
      <c r="A538" s="502"/>
      <c r="B538" s="34"/>
      <c r="C538" s="34"/>
      <c r="D538" s="34"/>
      <c r="E538" s="34"/>
      <c r="F538" s="34"/>
      <c r="G538" s="34"/>
      <c r="H538" s="34"/>
      <c r="I538" s="29"/>
      <c r="J538" s="29"/>
      <c r="K538" s="29"/>
      <c r="L538" s="29"/>
      <c r="M538" s="34"/>
      <c r="N538" s="34"/>
      <c r="O538" s="29"/>
      <c r="P538" s="29"/>
      <c r="Q538" s="29"/>
      <c r="R538" s="29"/>
      <c r="S538" s="29"/>
      <c r="T538" s="29"/>
      <c r="U538" s="476"/>
      <c r="V538" s="107"/>
      <c r="W538" s="29"/>
      <c r="X538" s="34"/>
      <c r="Y538" s="34"/>
    </row>
    <row x14ac:dyDescent="0.25" r="539" customHeight="1" ht="15.75">
      <c r="A539" s="502"/>
      <c r="B539" s="34"/>
      <c r="C539" s="34"/>
      <c r="D539" s="34"/>
      <c r="E539" s="34"/>
      <c r="F539" s="34"/>
      <c r="G539" s="34"/>
      <c r="H539" s="34"/>
      <c r="I539" s="29"/>
      <c r="J539" s="29"/>
      <c r="K539" s="29"/>
      <c r="L539" s="29"/>
      <c r="M539" s="34"/>
      <c r="N539" s="34"/>
      <c r="O539" s="29"/>
      <c r="P539" s="29"/>
      <c r="Q539" s="29"/>
      <c r="R539" s="29"/>
      <c r="S539" s="29"/>
      <c r="T539" s="29"/>
      <c r="U539" s="476"/>
      <c r="V539" s="107"/>
      <c r="W539" s="29"/>
      <c r="X539" s="34"/>
      <c r="Y539" s="34"/>
    </row>
    <row x14ac:dyDescent="0.25" r="540" customHeight="1" ht="15.75">
      <c r="A540" s="502"/>
      <c r="B540" s="34"/>
      <c r="C540" s="34"/>
      <c r="D540" s="34"/>
      <c r="E540" s="34"/>
      <c r="F540" s="34"/>
      <c r="G540" s="34"/>
      <c r="H540" s="34"/>
      <c r="I540" s="29"/>
      <c r="J540" s="29"/>
      <c r="K540" s="29"/>
      <c r="L540" s="29"/>
      <c r="M540" s="34"/>
      <c r="N540" s="34"/>
      <c r="O540" s="29"/>
      <c r="P540" s="29"/>
      <c r="Q540" s="29"/>
      <c r="R540" s="29"/>
      <c r="S540" s="29"/>
      <c r="T540" s="29"/>
      <c r="U540" s="476"/>
      <c r="V540" s="107"/>
      <c r="W540" s="29"/>
      <c r="X540" s="34"/>
      <c r="Y540" s="34"/>
    </row>
    <row x14ac:dyDescent="0.25" r="541" customHeight="1" ht="15.75">
      <c r="A541" s="502"/>
      <c r="B541" s="34"/>
      <c r="C541" s="34"/>
      <c r="D541" s="34"/>
      <c r="E541" s="34"/>
      <c r="F541" s="34"/>
      <c r="G541" s="34"/>
      <c r="H541" s="34"/>
      <c r="I541" s="29"/>
      <c r="J541" s="29"/>
      <c r="K541" s="29"/>
      <c r="L541" s="29"/>
      <c r="M541" s="34"/>
      <c r="N541" s="34"/>
      <c r="O541" s="29"/>
      <c r="P541" s="29"/>
      <c r="Q541" s="29"/>
      <c r="R541" s="29"/>
      <c r="S541" s="29"/>
      <c r="T541" s="29"/>
      <c r="U541" s="476"/>
      <c r="V541" s="107"/>
      <c r="W541" s="29"/>
      <c r="X541" s="34"/>
      <c r="Y541" s="34"/>
    </row>
    <row x14ac:dyDescent="0.25" r="542" customHeight="1" ht="15.75">
      <c r="A542" s="502"/>
      <c r="B542" s="34"/>
      <c r="C542" s="34"/>
      <c r="D542" s="34"/>
      <c r="E542" s="34"/>
      <c r="F542" s="34"/>
      <c r="G542" s="34"/>
      <c r="H542" s="34"/>
      <c r="I542" s="29"/>
      <c r="J542" s="29"/>
      <c r="K542" s="29"/>
      <c r="L542" s="29"/>
      <c r="M542" s="34"/>
      <c r="N542" s="34"/>
      <c r="O542" s="29"/>
      <c r="P542" s="29"/>
      <c r="Q542" s="29"/>
      <c r="R542" s="29"/>
      <c r="S542" s="29"/>
      <c r="T542" s="29"/>
      <c r="U542" s="476"/>
      <c r="V542" s="107"/>
      <c r="W542" s="29"/>
      <c r="X542" s="34"/>
      <c r="Y542" s="34"/>
    </row>
    <row x14ac:dyDescent="0.25" r="543" customHeight="1" ht="15.75">
      <c r="A543" s="502"/>
      <c r="B543" s="34"/>
      <c r="C543" s="34"/>
      <c r="D543" s="34"/>
      <c r="E543" s="34"/>
      <c r="F543" s="34"/>
      <c r="G543" s="34"/>
      <c r="H543" s="34"/>
      <c r="I543" s="29"/>
      <c r="J543" s="29"/>
      <c r="K543" s="29"/>
      <c r="L543" s="29"/>
      <c r="M543" s="34"/>
      <c r="N543" s="34"/>
      <c r="O543" s="29"/>
      <c r="P543" s="29"/>
      <c r="Q543" s="29"/>
      <c r="R543" s="29"/>
      <c r="S543" s="29"/>
      <c r="T543" s="29"/>
      <c r="U543" s="476"/>
      <c r="V543" s="107"/>
      <c r="W543" s="29"/>
      <c r="X543" s="34"/>
      <c r="Y543" s="34"/>
    </row>
    <row x14ac:dyDescent="0.25" r="544" customHeight="1" ht="15.75">
      <c r="A544" s="502"/>
      <c r="B544" s="34"/>
      <c r="C544" s="34"/>
      <c r="D544" s="34"/>
      <c r="E544" s="34"/>
      <c r="F544" s="34"/>
      <c r="G544" s="34"/>
      <c r="H544" s="34"/>
      <c r="I544" s="29"/>
      <c r="J544" s="29"/>
      <c r="K544" s="29"/>
      <c r="L544" s="29"/>
      <c r="M544" s="34"/>
      <c r="N544" s="34"/>
      <c r="O544" s="29"/>
      <c r="P544" s="29"/>
      <c r="Q544" s="29"/>
      <c r="R544" s="29"/>
      <c r="S544" s="29"/>
      <c r="T544" s="29"/>
      <c r="U544" s="476"/>
      <c r="V544" s="107"/>
      <c r="W544" s="29"/>
      <c r="X544" s="34"/>
      <c r="Y544" s="34"/>
    </row>
    <row x14ac:dyDescent="0.25" r="545" customHeight="1" ht="15.75">
      <c r="A545" s="502"/>
      <c r="B545" s="34"/>
      <c r="C545" s="34"/>
      <c r="D545" s="34"/>
      <c r="E545" s="34"/>
      <c r="F545" s="34"/>
      <c r="G545" s="34"/>
      <c r="H545" s="34"/>
      <c r="I545" s="29"/>
      <c r="J545" s="29"/>
      <c r="K545" s="29"/>
      <c r="L545" s="29"/>
      <c r="M545" s="34"/>
      <c r="N545" s="34"/>
      <c r="O545" s="29"/>
      <c r="P545" s="29"/>
      <c r="Q545" s="29"/>
      <c r="R545" s="29"/>
      <c r="S545" s="29"/>
      <c r="T545" s="29"/>
      <c r="U545" s="476"/>
      <c r="V545" s="107"/>
      <c r="W545" s="29"/>
      <c r="X545" s="34"/>
      <c r="Y545" s="34"/>
    </row>
    <row x14ac:dyDescent="0.25" r="546" customHeight="1" ht="15.75">
      <c r="A546" s="502"/>
      <c r="B546" s="34"/>
      <c r="C546" s="34"/>
      <c r="D546" s="34"/>
      <c r="E546" s="34"/>
      <c r="F546" s="34"/>
      <c r="G546" s="34"/>
      <c r="H546" s="34"/>
      <c r="I546" s="29"/>
      <c r="J546" s="29"/>
      <c r="K546" s="29"/>
      <c r="L546" s="29"/>
      <c r="M546" s="34"/>
      <c r="N546" s="34"/>
      <c r="O546" s="29"/>
      <c r="P546" s="29"/>
      <c r="Q546" s="29"/>
      <c r="R546" s="29"/>
      <c r="S546" s="29"/>
      <c r="T546" s="29"/>
      <c r="U546" s="476"/>
      <c r="V546" s="107"/>
      <c r="W546" s="29"/>
      <c r="X546" s="34"/>
      <c r="Y546" s="34"/>
    </row>
    <row x14ac:dyDescent="0.25" r="547" customHeight="1" ht="15.75">
      <c r="A547" s="502"/>
      <c r="B547" s="34"/>
      <c r="C547" s="34"/>
      <c r="D547" s="34"/>
      <c r="E547" s="34"/>
      <c r="F547" s="34"/>
      <c r="G547" s="34"/>
      <c r="H547" s="34"/>
      <c r="I547" s="29"/>
      <c r="J547" s="29"/>
      <c r="K547" s="29"/>
      <c r="L547" s="29"/>
      <c r="M547" s="34"/>
      <c r="N547" s="34"/>
      <c r="O547" s="29"/>
      <c r="P547" s="29"/>
      <c r="Q547" s="29"/>
      <c r="R547" s="29"/>
      <c r="S547" s="29"/>
      <c r="T547" s="29"/>
      <c r="U547" s="476"/>
      <c r="V547" s="107"/>
      <c r="W547" s="29"/>
      <c r="X547" s="34"/>
      <c r="Y547" s="34"/>
    </row>
    <row x14ac:dyDescent="0.25" r="548" customHeight="1" ht="15.75">
      <c r="A548" s="502"/>
      <c r="B548" s="34"/>
      <c r="C548" s="34"/>
      <c r="D548" s="34"/>
      <c r="E548" s="34"/>
      <c r="F548" s="34"/>
      <c r="G548" s="34"/>
      <c r="H548" s="34"/>
      <c r="I548" s="29"/>
      <c r="J548" s="29"/>
      <c r="K548" s="29"/>
      <c r="L548" s="29"/>
      <c r="M548" s="34"/>
      <c r="N548" s="34"/>
      <c r="O548" s="29"/>
      <c r="P548" s="29"/>
      <c r="Q548" s="29"/>
      <c r="R548" s="29"/>
      <c r="S548" s="29"/>
      <c r="T548" s="29"/>
      <c r="U548" s="476"/>
      <c r="V548" s="107"/>
      <c r="W548" s="29"/>
      <c r="X548" s="34"/>
      <c r="Y548" s="34"/>
    </row>
    <row x14ac:dyDescent="0.25" r="549" customHeight="1" ht="15.75">
      <c r="A549" s="502"/>
      <c r="B549" s="34"/>
      <c r="C549" s="34"/>
      <c r="D549" s="34"/>
      <c r="E549" s="34"/>
      <c r="F549" s="34"/>
      <c r="G549" s="34"/>
      <c r="H549" s="34"/>
      <c r="I549" s="29"/>
      <c r="J549" s="29"/>
      <c r="K549" s="29"/>
      <c r="L549" s="29"/>
      <c r="M549" s="34"/>
      <c r="N549" s="34"/>
      <c r="O549" s="29"/>
      <c r="P549" s="29"/>
      <c r="Q549" s="29"/>
      <c r="R549" s="29"/>
      <c r="S549" s="29"/>
      <c r="T549" s="29"/>
      <c r="U549" s="476"/>
      <c r="V549" s="107"/>
      <c r="W549" s="29"/>
      <c r="X549" s="34"/>
      <c r="Y549" s="34"/>
    </row>
    <row x14ac:dyDescent="0.25" r="550" customHeight="1" ht="15.75">
      <c r="A550" s="502"/>
      <c r="B550" s="34"/>
      <c r="C550" s="34"/>
      <c r="D550" s="34"/>
      <c r="E550" s="34"/>
      <c r="F550" s="34"/>
      <c r="G550" s="34"/>
      <c r="H550" s="34"/>
      <c r="I550" s="29"/>
      <c r="J550" s="29"/>
      <c r="K550" s="29"/>
      <c r="L550" s="29"/>
      <c r="M550" s="34"/>
      <c r="N550" s="34"/>
      <c r="O550" s="29"/>
      <c r="P550" s="29"/>
      <c r="Q550" s="29"/>
      <c r="R550" s="29"/>
      <c r="S550" s="29"/>
      <c r="T550" s="29"/>
      <c r="U550" s="476"/>
      <c r="V550" s="107"/>
      <c r="W550" s="29"/>
      <c r="X550" s="34"/>
      <c r="Y550" s="34"/>
    </row>
    <row x14ac:dyDescent="0.25" r="551" customHeight="1" ht="15.75">
      <c r="A551" s="502"/>
      <c r="B551" s="34"/>
      <c r="C551" s="34"/>
      <c r="D551" s="34"/>
      <c r="E551" s="34"/>
      <c r="F551" s="34"/>
      <c r="G551" s="34"/>
      <c r="H551" s="34"/>
      <c r="I551" s="29"/>
      <c r="J551" s="29"/>
      <c r="K551" s="29"/>
      <c r="L551" s="29"/>
      <c r="M551" s="34"/>
      <c r="N551" s="34"/>
      <c r="O551" s="29"/>
      <c r="P551" s="29"/>
      <c r="Q551" s="29"/>
      <c r="R551" s="29"/>
      <c r="S551" s="29"/>
      <c r="T551" s="29"/>
      <c r="U551" s="476"/>
      <c r="V551" s="107"/>
      <c r="W551" s="29"/>
      <c r="X551" s="34"/>
      <c r="Y551" s="34"/>
    </row>
    <row x14ac:dyDescent="0.25" r="552" customHeight="1" ht="15.75">
      <c r="A552" s="502"/>
      <c r="B552" s="34"/>
      <c r="C552" s="34"/>
      <c r="D552" s="34"/>
      <c r="E552" s="34"/>
      <c r="F552" s="34"/>
      <c r="G552" s="34"/>
      <c r="H552" s="34"/>
      <c r="I552" s="29"/>
      <c r="J552" s="29"/>
      <c r="K552" s="29"/>
      <c r="L552" s="29"/>
      <c r="M552" s="34"/>
      <c r="N552" s="34"/>
      <c r="O552" s="29"/>
      <c r="P552" s="29"/>
      <c r="Q552" s="29"/>
      <c r="R552" s="29"/>
      <c r="S552" s="29"/>
      <c r="T552" s="29"/>
      <c r="U552" s="476"/>
      <c r="V552" s="107"/>
      <c r="W552" s="29"/>
      <c r="X552" s="34"/>
      <c r="Y552" s="34"/>
    </row>
    <row x14ac:dyDescent="0.25" r="553" customHeight="1" ht="15.75">
      <c r="A553" s="502"/>
      <c r="B553" s="34"/>
      <c r="C553" s="34"/>
      <c r="D553" s="34"/>
      <c r="E553" s="34"/>
      <c r="F553" s="34"/>
      <c r="G553" s="34"/>
      <c r="H553" s="34"/>
      <c r="I553" s="29"/>
      <c r="J553" s="29"/>
      <c r="K553" s="29"/>
      <c r="L553" s="29"/>
      <c r="M553" s="34"/>
      <c r="N553" s="34"/>
      <c r="O553" s="29"/>
      <c r="P553" s="29"/>
      <c r="Q553" s="29"/>
      <c r="R553" s="29"/>
      <c r="S553" s="29"/>
      <c r="T553" s="29"/>
      <c r="U553" s="476"/>
      <c r="V553" s="107"/>
      <c r="W553" s="29"/>
      <c r="X553" s="34"/>
      <c r="Y553" s="34"/>
    </row>
    <row x14ac:dyDescent="0.25" r="554" customHeight="1" ht="15.75">
      <c r="A554" s="502"/>
      <c r="B554" s="34"/>
      <c r="C554" s="34"/>
      <c r="D554" s="34"/>
      <c r="E554" s="34"/>
      <c r="F554" s="34"/>
      <c r="G554" s="34"/>
      <c r="H554" s="34"/>
      <c r="I554" s="29"/>
      <c r="J554" s="29"/>
      <c r="K554" s="29"/>
      <c r="L554" s="29"/>
      <c r="M554" s="34"/>
      <c r="N554" s="34"/>
      <c r="O554" s="29"/>
      <c r="P554" s="29"/>
      <c r="Q554" s="29"/>
      <c r="R554" s="29"/>
      <c r="S554" s="29"/>
      <c r="T554" s="29"/>
      <c r="U554" s="476"/>
      <c r="V554" s="107"/>
      <c r="W554" s="29"/>
      <c r="X554" s="34"/>
      <c r="Y554" s="34"/>
    </row>
    <row x14ac:dyDescent="0.25" r="555" customHeight="1" ht="15.75">
      <c r="A555" s="502"/>
      <c r="B555" s="34"/>
      <c r="C555" s="34"/>
      <c r="D555" s="34"/>
      <c r="E555" s="34"/>
      <c r="F555" s="34"/>
      <c r="G555" s="34"/>
      <c r="H555" s="34"/>
      <c r="I555" s="29"/>
      <c r="J555" s="29"/>
      <c r="K555" s="29"/>
      <c r="L555" s="29"/>
      <c r="M555" s="34"/>
      <c r="N555" s="34"/>
      <c r="O555" s="29"/>
      <c r="P555" s="29"/>
      <c r="Q555" s="29"/>
      <c r="R555" s="29"/>
      <c r="S555" s="29"/>
      <c r="T555" s="29"/>
      <c r="U555" s="476"/>
      <c r="V555" s="107"/>
      <c r="W555" s="29"/>
      <c r="X555" s="34"/>
      <c r="Y555" s="34"/>
    </row>
    <row x14ac:dyDescent="0.25" r="556" customHeight="1" ht="15.75">
      <c r="A556" s="502"/>
      <c r="B556" s="34"/>
      <c r="C556" s="34"/>
      <c r="D556" s="34"/>
      <c r="E556" s="34"/>
      <c r="F556" s="34"/>
      <c r="G556" s="34"/>
      <c r="H556" s="34"/>
      <c r="I556" s="29"/>
      <c r="J556" s="29"/>
      <c r="K556" s="29"/>
      <c r="L556" s="29"/>
      <c r="M556" s="34"/>
      <c r="N556" s="34"/>
      <c r="O556" s="29"/>
      <c r="P556" s="29"/>
      <c r="Q556" s="29"/>
      <c r="R556" s="29"/>
      <c r="S556" s="29"/>
      <c r="T556" s="29"/>
      <c r="U556" s="476"/>
      <c r="V556" s="107"/>
      <c r="W556" s="29"/>
      <c r="X556" s="34"/>
      <c r="Y556" s="34"/>
    </row>
    <row x14ac:dyDescent="0.25" r="557" customHeight="1" ht="15.75">
      <c r="A557" s="502"/>
      <c r="B557" s="34"/>
      <c r="C557" s="34"/>
      <c r="D557" s="34"/>
      <c r="E557" s="34"/>
      <c r="F557" s="34"/>
      <c r="G557" s="34"/>
      <c r="H557" s="34"/>
      <c r="I557" s="29"/>
      <c r="J557" s="29"/>
      <c r="K557" s="29"/>
      <c r="L557" s="29"/>
      <c r="M557" s="34"/>
      <c r="N557" s="34"/>
      <c r="O557" s="29"/>
      <c r="P557" s="29"/>
      <c r="Q557" s="29"/>
      <c r="R557" s="29"/>
      <c r="S557" s="29"/>
      <c r="T557" s="29"/>
      <c r="U557" s="476"/>
      <c r="V557" s="107"/>
      <c r="W557" s="29"/>
      <c r="X557" s="34"/>
      <c r="Y557" s="34"/>
    </row>
    <row x14ac:dyDescent="0.25" r="558" customHeight="1" ht="15.75">
      <c r="A558" s="502"/>
      <c r="B558" s="34"/>
      <c r="C558" s="34"/>
      <c r="D558" s="34"/>
      <c r="E558" s="34"/>
      <c r="F558" s="34"/>
      <c r="G558" s="34"/>
      <c r="H558" s="34"/>
      <c r="I558" s="29"/>
      <c r="J558" s="29"/>
      <c r="K558" s="29"/>
      <c r="L558" s="29"/>
      <c r="M558" s="34"/>
      <c r="N558" s="34"/>
      <c r="O558" s="29"/>
      <c r="P558" s="29"/>
      <c r="Q558" s="29"/>
      <c r="R558" s="29"/>
      <c r="S558" s="29"/>
      <c r="T558" s="29"/>
      <c r="U558" s="476"/>
      <c r="V558" s="107"/>
      <c r="W558" s="29"/>
      <c r="X558" s="34"/>
      <c r="Y558" s="34"/>
    </row>
    <row x14ac:dyDescent="0.25" r="559" customHeight="1" ht="15.75">
      <c r="A559" s="502"/>
      <c r="B559" s="34"/>
      <c r="C559" s="34"/>
      <c r="D559" s="34"/>
      <c r="E559" s="34"/>
      <c r="F559" s="34"/>
      <c r="G559" s="34"/>
      <c r="H559" s="34"/>
      <c r="I559" s="29"/>
      <c r="J559" s="29"/>
      <c r="K559" s="29"/>
      <c r="L559" s="29"/>
      <c r="M559" s="34"/>
      <c r="N559" s="34"/>
      <c r="O559" s="29"/>
      <c r="P559" s="29"/>
      <c r="Q559" s="29"/>
      <c r="R559" s="29"/>
      <c r="S559" s="29"/>
      <c r="T559" s="29"/>
      <c r="U559" s="476"/>
      <c r="V559" s="107"/>
      <c r="W559" s="29"/>
      <c r="X559" s="34"/>
      <c r="Y559" s="34"/>
    </row>
    <row x14ac:dyDescent="0.25" r="560" customHeight="1" ht="15.75">
      <c r="A560" s="502"/>
      <c r="B560" s="34"/>
      <c r="C560" s="34"/>
      <c r="D560" s="34"/>
      <c r="E560" s="34"/>
      <c r="F560" s="34"/>
      <c r="G560" s="34"/>
      <c r="H560" s="34"/>
      <c r="I560" s="29"/>
      <c r="J560" s="29"/>
      <c r="K560" s="29"/>
      <c r="L560" s="29"/>
      <c r="M560" s="34"/>
      <c r="N560" s="34"/>
      <c r="O560" s="29"/>
      <c r="P560" s="29"/>
      <c r="Q560" s="29"/>
      <c r="R560" s="29"/>
      <c r="S560" s="29"/>
      <c r="T560" s="29"/>
      <c r="U560" s="476"/>
      <c r="V560" s="107"/>
      <c r="W560" s="29"/>
      <c r="X560" s="34"/>
      <c r="Y560" s="34"/>
    </row>
    <row x14ac:dyDescent="0.25" r="561" customHeight="1" ht="15.75">
      <c r="A561" s="502"/>
      <c r="B561" s="34"/>
      <c r="C561" s="34"/>
      <c r="D561" s="34"/>
      <c r="E561" s="34"/>
      <c r="F561" s="34"/>
      <c r="G561" s="34"/>
      <c r="H561" s="34"/>
      <c r="I561" s="29"/>
      <c r="J561" s="29"/>
      <c r="K561" s="29"/>
      <c r="L561" s="29"/>
      <c r="M561" s="34"/>
      <c r="N561" s="34"/>
      <c r="O561" s="29"/>
      <c r="P561" s="29"/>
      <c r="Q561" s="29"/>
      <c r="R561" s="29"/>
      <c r="S561" s="29"/>
      <c r="T561" s="29"/>
      <c r="U561" s="476"/>
      <c r="V561" s="107"/>
      <c r="W561" s="29"/>
      <c r="X561" s="34"/>
      <c r="Y561" s="34"/>
    </row>
    <row x14ac:dyDescent="0.25" r="562" customHeight="1" ht="15.75">
      <c r="A562" s="502"/>
      <c r="B562" s="34"/>
      <c r="C562" s="34"/>
      <c r="D562" s="34"/>
      <c r="E562" s="34"/>
      <c r="F562" s="34"/>
      <c r="G562" s="34"/>
      <c r="H562" s="34"/>
      <c r="I562" s="29"/>
      <c r="J562" s="29"/>
      <c r="K562" s="29"/>
      <c r="L562" s="29"/>
      <c r="M562" s="34"/>
      <c r="N562" s="34"/>
      <c r="O562" s="29"/>
      <c r="P562" s="29"/>
      <c r="Q562" s="29"/>
      <c r="R562" s="29"/>
      <c r="S562" s="29"/>
      <c r="T562" s="29"/>
      <c r="U562" s="476"/>
      <c r="V562" s="107"/>
      <c r="W562" s="29"/>
      <c r="X562" s="34"/>
      <c r="Y562" s="34"/>
    </row>
    <row x14ac:dyDescent="0.25" r="563" customHeight="1" ht="15.75">
      <c r="A563" s="502"/>
      <c r="B563" s="34"/>
      <c r="C563" s="34"/>
      <c r="D563" s="34"/>
      <c r="E563" s="34"/>
      <c r="F563" s="34"/>
      <c r="G563" s="34"/>
      <c r="H563" s="34"/>
      <c r="I563" s="29"/>
      <c r="J563" s="29"/>
      <c r="K563" s="29"/>
      <c r="L563" s="29"/>
      <c r="M563" s="34"/>
      <c r="N563" s="34"/>
      <c r="O563" s="29"/>
      <c r="P563" s="29"/>
      <c r="Q563" s="29"/>
      <c r="R563" s="29"/>
      <c r="S563" s="29"/>
      <c r="T563" s="29"/>
      <c r="U563" s="476"/>
      <c r="V563" s="107"/>
      <c r="W563" s="29"/>
      <c r="X563" s="34"/>
      <c r="Y563" s="34"/>
    </row>
    <row x14ac:dyDescent="0.25" r="564" customHeight="1" ht="15.75">
      <c r="A564" s="502"/>
      <c r="B564" s="34"/>
      <c r="C564" s="34"/>
      <c r="D564" s="34"/>
      <c r="E564" s="34"/>
      <c r="F564" s="34"/>
      <c r="G564" s="34"/>
      <c r="H564" s="34"/>
      <c r="I564" s="29"/>
      <c r="J564" s="29"/>
      <c r="K564" s="29"/>
      <c r="L564" s="29"/>
      <c r="M564" s="34"/>
      <c r="N564" s="34"/>
      <c r="O564" s="29"/>
      <c r="P564" s="29"/>
      <c r="Q564" s="29"/>
      <c r="R564" s="29"/>
      <c r="S564" s="29"/>
      <c r="T564" s="29"/>
      <c r="U564" s="476"/>
      <c r="V564" s="107"/>
      <c r="W564" s="29"/>
      <c r="X564" s="34"/>
      <c r="Y564" s="34"/>
    </row>
    <row x14ac:dyDescent="0.25" r="565" customHeight="1" ht="15.75">
      <c r="A565" s="502"/>
      <c r="B565" s="34"/>
      <c r="C565" s="34"/>
      <c r="D565" s="34"/>
      <c r="E565" s="34"/>
      <c r="F565" s="34"/>
      <c r="G565" s="34"/>
      <c r="H565" s="34"/>
      <c r="I565" s="29"/>
      <c r="J565" s="29"/>
      <c r="K565" s="29"/>
      <c r="L565" s="29"/>
      <c r="M565" s="34"/>
      <c r="N565" s="34"/>
      <c r="O565" s="29"/>
      <c r="P565" s="29"/>
      <c r="Q565" s="29"/>
      <c r="R565" s="29"/>
      <c r="S565" s="29"/>
      <c r="T565" s="29"/>
      <c r="U565" s="476"/>
      <c r="V565" s="107"/>
      <c r="W565" s="29"/>
      <c r="X565" s="34"/>
      <c r="Y565" s="34"/>
    </row>
    <row x14ac:dyDescent="0.25" r="566" customHeight="1" ht="15.75">
      <c r="A566" s="502"/>
      <c r="B566" s="34"/>
      <c r="C566" s="34"/>
      <c r="D566" s="34"/>
      <c r="E566" s="34"/>
      <c r="F566" s="34"/>
      <c r="G566" s="34"/>
      <c r="H566" s="34"/>
      <c r="I566" s="29"/>
      <c r="J566" s="29"/>
      <c r="K566" s="29"/>
      <c r="L566" s="29"/>
      <c r="M566" s="34"/>
      <c r="N566" s="34"/>
      <c r="O566" s="29"/>
      <c r="P566" s="29"/>
      <c r="Q566" s="29"/>
      <c r="R566" s="29"/>
      <c r="S566" s="29"/>
      <c r="T566" s="29"/>
      <c r="U566" s="476"/>
      <c r="V566" s="107"/>
      <c r="W566" s="29"/>
      <c r="X566" s="34"/>
      <c r="Y566" s="34"/>
    </row>
    <row x14ac:dyDescent="0.25" r="567" customHeight="1" ht="15.75">
      <c r="A567" s="502"/>
      <c r="B567" s="34"/>
      <c r="C567" s="34"/>
      <c r="D567" s="34"/>
      <c r="E567" s="34"/>
      <c r="F567" s="34"/>
      <c r="G567" s="34"/>
      <c r="H567" s="34"/>
      <c r="I567" s="29"/>
      <c r="J567" s="29"/>
      <c r="K567" s="29"/>
      <c r="L567" s="29"/>
      <c r="M567" s="34"/>
      <c r="N567" s="34"/>
      <c r="O567" s="29"/>
      <c r="P567" s="29"/>
      <c r="Q567" s="29"/>
      <c r="R567" s="29"/>
      <c r="S567" s="29"/>
      <c r="T567" s="29"/>
      <c r="U567" s="476"/>
      <c r="V567" s="107"/>
      <c r="W567" s="29"/>
      <c r="X567" s="34"/>
      <c r="Y567" s="34"/>
    </row>
    <row x14ac:dyDescent="0.25" r="568" customHeight="1" ht="15.75">
      <c r="A568" s="502"/>
      <c r="B568" s="34"/>
      <c r="C568" s="34"/>
      <c r="D568" s="34"/>
      <c r="E568" s="34"/>
      <c r="F568" s="34"/>
      <c r="G568" s="34"/>
      <c r="H568" s="34"/>
      <c r="I568" s="29"/>
      <c r="J568" s="29"/>
      <c r="K568" s="29"/>
      <c r="L568" s="29"/>
      <c r="M568" s="34"/>
      <c r="N568" s="34"/>
      <c r="O568" s="29"/>
      <c r="P568" s="29"/>
      <c r="Q568" s="29"/>
      <c r="R568" s="29"/>
      <c r="S568" s="29"/>
      <c r="T568" s="29"/>
      <c r="U568" s="476"/>
      <c r="V568" s="107"/>
      <c r="W568" s="29"/>
      <c r="X568" s="34"/>
      <c r="Y568" s="34"/>
    </row>
    <row x14ac:dyDescent="0.25" r="569" customHeight="1" ht="15.75">
      <c r="A569" s="502"/>
      <c r="B569" s="34"/>
      <c r="C569" s="34"/>
      <c r="D569" s="34"/>
      <c r="E569" s="34"/>
      <c r="F569" s="34"/>
      <c r="G569" s="34"/>
      <c r="H569" s="34"/>
      <c r="I569" s="29"/>
      <c r="J569" s="29"/>
      <c r="K569" s="29"/>
      <c r="L569" s="29"/>
      <c r="M569" s="34"/>
      <c r="N569" s="34"/>
      <c r="O569" s="29"/>
      <c r="P569" s="29"/>
      <c r="Q569" s="29"/>
      <c r="R569" s="29"/>
      <c r="S569" s="29"/>
      <c r="T569" s="29"/>
      <c r="U569" s="476"/>
      <c r="V569" s="107"/>
      <c r="W569" s="29"/>
      <c r="X569" s="34"/>
      <c r="Y569" s="34"/>
    </row>
    <row x14ac:dyDescent="0.25" r="570" customHeight="1" ht="15.75">
      <c r="A570" s="502"/>
      <c r="B570" s="34"/>
      <c r="C570" s="34"/>
      <c r="D570" s="34"/>
      <c r="E570" s="34"/>
      <c r="F570" s="34"/>
      <c r="G570" s="34"/>
      <c r="H570" s="34"/>
      <c r="I570" s="29"/>
      <c r="J570" s="29"/>
      <c r="K570" s="29"/>
      <c r="L570" s="29"/>
      <c r="M570" s="34"/>
      <c r="N570" s="34"/>
      <c r="O570" s="29"/>
      <c r="P570" s="29"/>
      <c r="Q570" s="29"/>
      <c r="R570" s="29"/>
      <c r="S570" s="29"/>
      <c r="T570" s="29"/>
      <c r="U570" s="476"/>
      <c r="V570" s="107"/>
      <c r="W570" s="29"/>
      <c r="X570" s="34"/>
      <c r="Y570" s="34"/>
    </row>
    <row x14ac:dyDescent="0.25" r="571" customHeight="1" ht="15.75">
      <c r="A571" s="502"/>
      <c r="B571" s="34"/>
      <c r="C571" s="34"/>
      <c r="D571" s="34"/>
      <c r="E571" s="34"/>
      <c r="F571" s="34"/>
      <c r="G571" s="34"/>
      <c r="H571" s="34"/>
      <c r="I571" s="29"/>
      <c r="J571" s="29"/>
      <c r="K571" s="29"/>
      <c r="L571" s="29"/>
      <c r="M571" s="34"/>
      <c r="N571" s="34"/>
      <c r="O571" s="29"/>
      <c r="P571" s="29"/>
      <c r="Q571" s="29"/>
      <c r="R571" s="29"/>
      <c r="S571" s="29"/>
      <c r="T571" s="29"/>
      <c r="U571" s="476"/>
      <c r="V571" s="107"/>
      <c r="W571" s="29"/>
      <c r="X571" s="34"/>
      <c r="Y571" s="34"/>
    </row>
    <row x14ac:dyDescent="0.25" r="572" customHeight="1" ht="15.75">
      <c r="A572" s="502"/>
      <c r="B572" s="34"/>
      <c r="C572" s="34"/>
      <c r="D572" s="34"/>
      <c r="E572" s="34"/>
      <c r="F572" s="34"/>
      <c r="G572" s="34"/>
      <c r="H572" s="34"/>
      <c r="I572" s="29"/>
      <c r="J572" s="29"/>
      <c r="K572" s="29"/>
      <c r="L572" s="29"/>
      <c r="M572" s="34"/>
      <c r="N572" s="34"/>
      <c r="O572" s="29"/>
      <c r="P572" s="29"/>
      <c r="Q572" s="29"/>
      <c r="R572" s="29"/>
      <c r="S572" s="29"/>
      <c r="T572" s="29"/>
      <c r="U572" s="476"/>
      <c r="V572" s="107"/>
      <c r="W572" s="29"/>
      <c r="X572" s="34"/>
      <c r="Y572" s="34"/>
    </row>
    <row x14ac:dyDescent="0.25" r="573" customHeight="1" ht="15.75">
      <c r="A573" s="502"/>
      <c r="B573" s="34"/>
      <c r="C573" s="34"/>
      <c r="D573" s="34"/>
      <c r="E573" s="34"/>
      <c r="F573" s="34"/>
      <c r="G573" s="34"/>
      <c r="H573" s="34"/>
      <c r="I573" s="29"/>
      <c r="J573" s="29"/>
      <c r="K573" s="29"/>
      <c r="L573" s="29"/>
      <c r="M573" s="34"/>
      <c r="N573" s="34"/>
      <c r="O573" s="29"/>
      <c r="P573" s="29"/>
      <c r="Q573" s="29"/>
      <c r="R573" s="29"/>
      <c r="S573" s="29"/>
      <c r="T573" s="29"/>
      <c r="U573" s="476"/>
      <c r="V573" s="107"/>
      <c r="W573" s="29"/>
      <c r="X573" s="34"/>
      <c r="Y573" s="34"/>
    </row>
    <row x14ac:dyDescent="0.25" r="574" customHeight="1" ht="15.75">
      <c r="A574" s="502"/>
      <c r="B574" s="34"/>
      <c r="C574" s="34"/>
      <c r="D574" s="34"/>
      <c r="E574" s="34"/>
      <c r="F574" s="34"/>
      <c r="G574" s="34"/>
      <c r="H574" s="34"/>
      <c r="I574" s="29"/>
      <c r="J574" s="29"/>
      <c r="K574" s="29"/>
      <c r="L574" s="29"/>
      <c r="M574" s="34"/>
      <c r="N574" s="34"/>
      <c r="O574" s="29"/>
      <c r="P574" s="29"/>
      <c r="Q574" s="29"/>
      <c r="R574" s="29"/>
      <c r="S574" s="29"/>
      <c r="T574" s="29"/>
      <c r="U574" s="476"/>
      <c r="V574" s="107"/>
      <c r="W574" s="29"/>
      <c r="X574" s="34"/>
      <c r="Y574" s="34"/>
    </row>
    <row x14ac:dyDescent="0.25" r="575" customHeight="1" ht="15.75">
      <c r="A575" s="502"/>
      <c r="B575" s="34"/>
      <c r="C575" s="34"/>
      <c r="D575" s="34"/>
      <c r="E575" s="34"/>
      <c r="F575" s="34"/>
      <c r="G575" s="34"/>
      <c r="H575" s="34"/>
      <c r="I575" s="29"/>
      <c r="J575" s="29"/>
      <c r="K575" s="29"/>
      <c r="L575" s="29"/>
      <c r="M575" s="34"/>
      <c r="N575" s="34"/>
      <c r="O575" s="29"/>
      <c r="P575" s="29"/>
      <c r="Q575" s="29"/>
      <c r="R575" s="29"/>
      <c r="S575" s="29"/>
      <c r="T575" s="29"/>
      <c r="U575" s="476"/>
      <c r="V575" s="107"/>
      <c r="W575" s="29"/>
      <c r="X575" s="34"/>
      <c r="Y575" s="34"/>
    </row>
    <row x14ac:dyDescent="0.25" r="576" customHeight="1" ht="15.75">
      <c r="A576" s="502"/>
      <c r="B576" s="34"/>
      <c r="C576" s="34"/>
      <c r="D576" s="34"/>
      <c r="E576" s="34"/>
      <c r="F576" s="34"/>
      <c r="G576" s="34"/>
      <c r="H576" s="34"/>
      <c r="I576" s="29"/>
      <c r="J576" s="29"/>
      <c r="K576" s="29"/>
      <c r="L576" s="29"/>
      <c r="M576" s="34"/>
      <c r="N576" s="34"/>
      <c r="O576" s="29"/>
      <c r="P576" s="29"/>
      <c r="Q576" s="29"/>
      <c r="R576" s="29"/>
      <c r="S576" s="29"/>
      <c r="T576" s="29"/>
      <c r="U576" s="476"/>
      <c r="V576" s="107"/>
      <c r="W576" s="29"/>
      <c r="X576" s="34"/>
      <c r="Y576" s="34"/>
    </row>
    <row x14ac:dyDescent="0.25" r="577" customHeight="1" ht="15.75">
      <c r="A577" s="502"/>
      <c r="B577" s="34"/>
      <c r="C577" s="34"/>
      <c r="D577" s="34"/>
      <c r="E577" s="34"/>
      <c r="F577" s="34"/>
      <c r="G577" s="34"/>
      <c r="H577" s="34"/>
      <c r="I577" s="29"/>
      <c r="J577" s="29"/>
      <c r="K577" s="29"/>
      <c r="L577" s="29"/>
      <c r="M577" s="34"/>
      <c r="N577" s="34"/>
      <c r="O577" s="29"/>
      <c r="P577" s="29"/>
      <c r="Q577" s="29"/>
      <c r="R577" s="29"/>
      <c r="S577" s="29"/>
      <c r="T577" s="29"/>
      <c r="U577" s="476"/>
      <c r="V577" s="107"/>
      <c r="W577" s="29"/>
      <c r="X577" s="34"/>
      <c r="Y577" s="34"/>
    </row>
    <row x14ac:dyDescent="0.25" r="578" customHeight="1" ht="15.75">
      <c r="A578" s="502"/>
      <c r="B578" s="34"/>
      <c r="C578" s="34"/>
      <c r="D578" s="34"/>
      <c r="E578" s="34"/>
      <c r="F578" s="34"/>
      <c r="G578" s="34"/>
      <c r="H578" s="34"/>
      <c r="I578" s="29"/>
      <c r="J578" s="29"/>
      <c r="K578" s="29"/>
      <c r="L578" s="29"/>
      <c r="M578" s="34"/>
      <c r="N578" s="34"/>
      <c r="O578" s="29"/>
      <c r="P578" s="29"/>
      <c r="Q578" s="29"/>
      <c r="R578" s="29"/>
      <c r="S578" s="29"/>
      <c r="T578" s="29"/>
      <c r="U578" s="476"/>
      <c r="V578" s="107"/>
      <c r="W578" s="29"/>
      <c r="X578" s="34"/>
      <c r="Y578" s="34"/>
    </row>
    <row x14ac:dyDescent="0.25" r="579" customHeight="1" ht="15.75">
      <c r="A579" s="502"/>
      <c r="B579" s="34"/>
      <c r="C579" s="34"/>
      <c r="D579" s="34"/>
      <c r="E579" s="34"/>
      <c r="F579" s="34"/>
      <c r="G579" s="34"/>
      <c r="H579" s="34"/>
      <c r="I579" s="29"/>
      <c r="J579" s="29"/>
      <c r="K579" s="29"/>
      <c r="L579" s="29"/>
      <c r="M579" s="34"/>
      <c r="N579" s="34"/>
      <c r="O579" s="29"/>
      <c r="P579" s="29"/>
      <c r="Q579" s="29"/>
      <c r="R579" s="29"/>
      <c r="S579" s="29"/>
      <c r="T579" s="29"/>
      <c r="U579" s="476"/>
      <c r="V579" s="107"/>
      <c r="W579" s="29"/>
      <c r="X579" s="34"/>
      <c r="Y579" s="34"/>
    </row>
    <row x14ac:dyDescent="0.25" r="580" customHeight="1" ht="15.75">
      <c r="A580" s="502"/>
      <c r="B580" s="34"/>
      <c r="C580" s="34"/>
      <c r="D580" s="34"/>
      <c r="E580" s="34"/>
      <c r="F580" s="34"/>
      <c r="G580" s="34"/>
      <c r="H580" s="34"/>
      <c r="I580" s="29"/>
      <c r="J580" s="29"/>
      <c r="K580" s="29"/>
      <c r="L580" s="29"/>
      <c r="M580" s="34"/>
      <c r="N580" s="34"/>
      <c r="O580" s="29"/>
      <c r="P580" s="29"/>
      <c r="Q580" s="29"/>
      <c r="R580" s="29"/>
      <c r="S580" s="29"/>
      <c r="T580" s="29"/>
      <c r="U580" s="476"/>
      <c r="V580" s="107"/>
      <c r="W580" s="29"/>
      <c r="X580" s="34"/>
      <c r="Y580" s="34"/>
    </row>
    <row x14ac:dyDescent="0.25" r="581" customHeight="1" ht="15.75">
      <c r="A581" s="502"/>
      <c r="B581" s="34"/>
      <c r="C581" s="34"/>
      <c r="D581" s="34"/>
      <c r="E581" s="34"/>
      <c r="F581" s="34"/>
      <c r="G581" s="34"/>
      <c r="H581" s="34"/>
      <c r="I581" s="29"/>
      <c r="J581" s="29"/>
      <c r="K581" s="29"/>
      <c r="L581" s="29"/>
      <c r="M581" s="34"/>
      <c r="N581" s="34"/>
      <c r="O581" s="29"/>
      <c r="P581" s="29"/>
      <c r="Q581" s="29"/>
      <c r="R581" s="29"/>
      <c r="S581" s="29"/>
      <c r="T581" s="29"/>
      <c r="U581" s="476"/>
      <c r="V581" s="107"/>
      <c r="W581" s="29"/>
      <c r="X581" s="34"/>
      <c r="Y581" s="34"/>
    </row>
    <row x14ac:dyDescent="0.25" r="582" customHeight="1" ht="15.75">
      <c r="A582" s="502"/>
      <c r="B582" s="34"/>
      <c r="C582" s="34"/>
      <c r="D582" s="34"/>
      <c r="E582" s="34"/>
      <c r="F582" s="34"/>
      <c r="G582" s="34"/>
      <c r="H582" s="34"/>
      <c r="I582" s="29"/>
      <c r="J582" s="29"/>
      <c r="K582" s="29"/>
      <c r="L582" s="29"/>
      <c r="M582" s="34"/>
      <c r="N582" s="34"/>
      <c r="O582" s="29"/>
      <c r="P582" s="29"/>
      <c r="Q582" s="29"/>
      <c r="R582" s="29"/>
      <c r="S582" s="29"/>
      <c r="T582" s="29"/>
      <c r="U582" s="476"/>
      <c r="V582" s="107"/>
      <c r="W582" s="29"/>
      <c r="X582" s="34"/>
      <c r="Y582" s="34"/>
    </row>
    <row x14ac:dyDescent="0.25" r="583" customHeight="1" ht="15.75">
      <c r="A583" s="502"/>
      <c r="B583" s="34"/>
      <c r="C583" s="34"/>
      <c r="D583" s="34"/>
      <c r="E583" s="34"/>
      <c r="F583" s="34"/>
      <c r="G583" s="34"/>
      <c r="H583" s="34"/>
      <c r="I583" s="29"/>
      <c r="J583" s="29"/>
      <c r="K583" s="29"/>
      <c r="L583" s="29"/>
      <c r="M583" s="34"/>
      <c r="N583" s="34"/>
      <c r="O583" s="29"/>
      <c r="P583" s="29"/>
      <c r="Q583" s="29"/>
      <c r="R583" s="29"/>
      <c r="S583" s="29"/>
      <c r="T583" s="29"/>
      <c r="U583" s="476"/>
      <c r="V583" s="107"/>
      <c r="W583" s="29"/>
      <c r="X583" s="34"/>
      <c r="Y583" s="34"/>
    </row>
    <row x14ac:dyDescent="0.25" r="584" customHeight="1" ht="15.75">
      <c r="A584" s="502"/>
      <c r="B584" s="34"/>
      <c r="C584" s="34"/>
      <c r="D584" s="34"/>
      <c r="E584" s="34"/>
      <c r="F584" s="34"/>
      <c r="G584" s="34"/>
      <c r="H584" s="34"/>
      <c r="I584" s="29"/>
      <c r="J584" s="29"/>
      <c r="K584" s="29"/>
      <c r="L584" s="29"/>
      <c r="M584" s="34"/>
      <c r="N584" s="34"/>
      <c r="O584" s="29"/>
      <c r="P584" s="29"/>
      <c r="Q584" s="29"/>
      <c r="R584" s="29"/>
      <c r="S584" s="29"/>
      <c r="T584" s="29"/>
      <c r="U584" s="476"/>
      <c r="V584" s="107"/>
      <c r="W584" s="29"/>
      <c r="X584" s="34"/>
      <c r="Y584" s="34"/>
    </row>
    <row x14ac:dyDescent="0.25" r="585" customHeight="1" ht="15.75">
      <c r="A585" s="502"/>
      <c r="B585" s="34"/>
      <c r="C585" s="34"/>
      <c r="D585" s="34"/>
      <c r="E585" s="34"/>
      <c r="F585" s="34"/>
      <c r="G585" s="34"/>
      <c r="H585" s="34"/>
      <c r="I585" s="29"/>
      <c r="J585" s="29"/>
      <c r="K585" s="29"/>
      <c r="L585" s="29"/>
      <c r="M585" s="34"/>
      <c r="N585" s="34"/>
      <c r="O585" s="29"/>
      <c r="P585" s="29"/>
      <c r="Q585" s="29"/>
      <c r="R585" s="29"/>
      <c r="S585" s="29"/>
      <c r="T585" s="29"/>
      <c r="U585" s="476"/>
      <c r="V585" s="107"/>
      <c r="W585" s="29"/>
      <c r="X585" s="34"/>
      <c r="Y585" s="34"/>
    </row>
    <row x14ac:dyDescent="0.25" r="586" customHeight="1" ht="15.75">
      <c r="A586" s="502"/>
      <c r="B586" s="34"/>
      <c r="C586" s="34"/>
      <c r="D586" s="34"/>
      <c r="E586" s="34"/>
      <c r="F586" s="34"/>
      <c r="G586" s="34"/>
      <c r="H586" s="34"/>
      <c r="I586" s="29"/>
      <c r="J586" s="29"/>
      <c r="K586" s="29"/>
      <c r="L586" s="29"/>
      <c r="M586" s="34"/>
      <c r="N586" s="34"/>
      <c r="O586" s="29"/>
      <c r="P586" s="29"/>
      <c r="Q586" s="29"/>
      <c r="R586" s="29"/>
      <c r="S586" s="29"/>
      <c r="T586" s="29"/>
      <c r="U586" s="476"/>
      <c r="V586" s="107"/>
      <c r="W586" s="29"/>
      <c r="X586" s="34"/>
      <c r="Y586" s="34"/>
    </row>
    <row x14ac:dyDescent="0.25" r="587" customHeight="1" ht="15.75">
      <c r="A587" s="502"/>
      <c r="B587" s="34"/>
      <c r="C587" s="34"/>
      <c r="D587" s="34"/>
      <c r="E587" s="34"/>
      <c r="F587" s="34"/>
      <c r="G587" s="34"/>
      <c r="H587" s="34"/>
      <c r="I587" s="29"/>
      <c r="J587" s="29"/>
      <c r="K587" s="29"/>
      <c r="L587" s="29"/>
      <c r="M587" s="34"/>
      <c r="N587" s="34"/>
      <c r="O587" s="29"/>
      <c r="P587" s="29"/>
      <c r="Q587" s="29"/>
      <c r="R587" s="29"/>
      <c r="S587" s="29"/>
      <c r="T587" s="29"/>
      <c r="U587" s="476"/>
      <c r="V587" s="107"/>
      <c r="W587" s="29"/>
      <c r="X587" s="34"/>
      <c r="Y587" s="34"/>
    </row>
    <row x14ac:dyDescent="0.25" r="588" customHeight="1" ht="15.75">
      <c r="A588" s="502"/>
      <c r="B588" s="34"/>
      <c r="C588" s="34"/>
      <c r="D588" s="34"/>
      <c r="E588" s="34"/>
      <c r="F588" s="34"/>
      <c r="G588" s="34"/>
      <c r="H588" s="34"/>
      <c r="I588" s="29"/>
      <c r="J588" s="29"/>
      <c r="K588" s="29"/>
      <c r="L588" s="29"/>
      <c r="M588" s="34"/>
      <c r="N588" s="34"/>
      <c r="O588" s="29"/>
      <c r="P588" s="29"/>
      <c r="Q588" s="29"/>
      <c r="R588" s="29"/>
      <c r="S588" s="29"/>
      <c r="T588" s="29"/>
      <c r="U588" s="476"/>
      <c r="V588" s="107"/>
      <c r="W588" s="29"/>
      <c r="X588" s="34"/>
      <c r="Y588" s="34"/>
    </row>
    <row x14ac:dyDescent="0.25" r="589" customHeight="1" ht="15.75">
      <c r="A589" s="502"/>
      <c r="B589" s="34"/>
      <c r="C589" s="34"/>
      <c r="D589" s="34"/>
      <c r="E589" s="34"/>
      <c r="F589" s="34"/>
      <c r="G589" s="34"/>
      <c r="H589" s="34"/>
      <c r="I589" s="29"/>
      <c r="J589" s="29"/>
      <c r="K589" s="29"/>
      <c r="L589" s="29"/>
      <c r="M589" s="34"/>
      <c r="N589" s="34"/>
      <c r="O589" s="29"/>
      <c r="P589" s="29"/>
      <c r="Q589" s="29"/>
      <c r="R589" s="29"/>
      <c r="S589" s="29"/>
      <c r="T589" s="29"/>
      <c r="U589" s="476"/>
      <c r="V589" s="107"/>
      <c r="W589" s="29"/>
      <c r="X589" s="34"/>
      <c r="Y589" s="34"/>
    </row>
    <row x14ac:dyDescent="0.25" r="590" customHeight="1" ht="15.75">
      <c r="A590" s="502"/>
      <c r="B590" s="34"/>
      <c r="C590" s="34"/>
      <c r="D590" s="34"/>
      <c r="E590" s="34"/>
      <c r="F590" s="34"/>
      <c r="G590" s="34"/>
      <c r="H590" s="34"/>
      <c r="I590" s="29"/>
      <c r="J590" s="29"/>
      <c r="K590" s="29"/>
      <c r="L590" s="29"/>
      <c r="M590" s="34"/>
      <c r="N590" s="34"/>
      <c r="O590" s="29"/>
      <c r="P590" s="29"/>
      <c r="Q590" s="29"/>
      <c r="R590" s="29"/>
      <c r="S590" s="29"/>
      <c r="T590" s="29"/>
      <c r="U590" s="476"/>
      <c r="V590" s="107"/>
      <c r="W590" s="29"/>
      <c r="X590" s="34"/>
      <c r="Y590" s="34"/>
    </row>
    <row x14ac:dyDescent="0.25" r="591" customHeight="1" ht="15.75">
      <c r="A591" s="502"/>
      <c r="B591" s="34"/>
      <c r="C591" s="34"/>
      <c r="D591" s="34"/>
      <c r="E591" s="34"/>
      <c r="F591" s="34"/>
      <c r="G591" s="34"/>
      <c r="H591" s="34"/>
      <c r="I591" s="29"/>
      <c r="J591" s="29"/>
      <c r="K591" s="29"/>
      <c r="L591" s="29"/>
      <c r="M591" s="34"/>
      <c r="N591" s="34"/>
      <c r="O591" s="29"/>
      <c r="P591" s="29"/>
      <c r="Q591" s="29"/>
      <c r="R591" s="29"/>
      <c r="S591" s="29"/>
      <c r="T591" s="29"/>
      <c r="U591" s="476"/>
      <c r="V591" s="107"/>
      <c r="W591" s="29"/>
      <c r="X591" s="34"/>
      <c r="Y591" s="34"/>
    </row>
    <row x14ac:dyDescent="0.25" r="592" customHeight="1" ht="15.75">
      <c r="A592" s="502"/>
      <c r="B592" s="34"/>
      <c r="C592" s="34"/>
      <c r="D592" s="34"/>
      <c r="E592" s="34"/>
      <c r="F592" s="34"/>
      <c r="G592" s="34"/>
      <c r="H592" s="34"/>
      <c r="I592" s="29"/>
      <c r="J592" s="29"/>
      <c r="K592" s="29"/>
      <c r="L592" s="29"/>
      <c r="M592" s="34"/>
      <c r="N592" s="34"/>
      <c r="O592" s="29"/>
      <c r="P592" s="29"/>
      <c r="Q592" s="29"/>
      <c r="R592" s="29"/>
      <c r="S592" s="29"/>
      <c r="T592" s="29"/>
      <c r="U592" s="476"/>
      <c r="V592" s="107"/>
      <c r="W592" s="29"/>
      <c r="X592" s="34"/>
      <c r="Y592" s="34"/>
    </row>
    <row x14ac:dyDescent="0.25" r="593" customHeight="1" ht="15.75">
      <c r="A593" s="502"/>
      <c r="B593" s="34"/>
      <c r="C593" s="34"/>
      <c r="D593" s="34"/>
      <c r="E593" s="34"/>
      <c r="F593" s="34"/>
      <c r="G593" s="34"/>
      <c r="H593" s="34"/>
      <c r="I593" s="29"/>
      <c r="J593" s="29"/>
      <c r="K593" s="29"/>
      <c r="L593" s="29"/>
      <c r="M593" s="34"/>
      <c r="N593" s="34"/>
      <c r="O593" s="29"/>
      <c r="P593" s="29"/>
      <c r="Q593" s="29"/>
      <c r="R593" s="29"/>
      <c r="S593" s="29"/>
      <c r="T593" s="29"/>
      <c r="U593" s="476"/>
      <c r="V593" s="107"/>
      <c r="W593" s="29"/>
      <c r="X593" s="34"/>
      <c r="Y593" s="34"/>
    </row>
    <row x14ac:dyDescent="0.25" r="594" customHeight="1" ht="15.75">
      <c r="A594" s="502"/>
      <c r="B594" s="34"/>
      <c r="C594" s="34"/>
      <c r="D594" s="34"/>
      <c r="E594" s="34"/>
      <c r="F594" s="34"/>
      <c r="G594" s="34"/>
      <c r="H594" s="34"/>
      <c r="I594" s="29"/>
      <c r="J594" s="29"/>
      <c r="K594" s="29"/>
      <c r="L594" s="29"/>
      <c r="M594" s="34"/>
      <c r="N594" s="34"/>
      <c r="O594" s="29"/>
      <c r="P594" s="29"/>
      <c r="Q594" s="29"/>
      <c r="R594" s="29"/>
      <c r="S594" s="29"/>
      <c r="T594" s="29"/>
      <c r="U594" s="476"/>
      <c r="V594" s="107"/>
      <c r="W594" s="29"/>
      <c r="X594" s="34"/>
      <c r="Y594" s="34"/>
    </row>
    <row x14ac:dyDescent="0.25" r="595" customHeight="1" ht="15.75">
      <c r="A595" s="502"/>
      <c r="B595" s="34"/>
      <c r="C595" s="34"/>
      <c r="D595" s="34"/>
      <c r="E595" s="34"/>
      <c r="F595" s="34"/>
      <c r="G595" s="34"/>
      <c r="H595" s="34"/>
      <c r="I595" s="29"/>
      <c r="J595" s="29"/>
      <c r="K595" s="29"/>
      <c r="L595" s="29"/>
      <c r="M595" s="34"/>
      <c r="N595" s="34"/>
      <c r="O595" s="29"/>
      <c r="P595" s="29"/>
      <c r="Q595" s="29"/>
      <c r="R595" s="29"/>
      <c r="S595" s="29"/>
      <c r="T595" s="29"/>
      <c r="U595" s="476"/>
      <c r="V595" s="107"/>
      <c r="W595" s="29"/>
      <c r="X595" s="34"/>
      <c r="Y595" s="34"/>
    </row>
    <row x14ac:dyDescent="0.25" r="596" customHeight="1" ht="15.75">
      <c r="A596" s="502"/>
      <c r="B596" s="34"/>
      <c r="C596" s="34"/>
      <c r="D596" s="34"/>
      <c r="E596" s="34"/>
      <c r="F596" s="34"/>
      <c r="G596" s="34"/>
      <c r="H596" s="34"/>
      <c r="I596" s="29"/>
      <c r="J596" s="29"/>
      <c r="K596" s="29"/>
      <c r="L596" s="29"/>
      <c r="M596" s="34"/>
      <c r="N596" s="34"/>
      <c r="O596" s="29"/>
      <c r="P596" s="29"/>
      <c r="Q596" s="29"/>
      <c r="R596" s="29"/>
      <c r="S596" s="29"/>
      <c r="T596" s="29"/>
      <c r="U596" s="476"/>
      <c r="V596" s="107"/>
      <c r="W596" s="29"/>
      <c r="X596" s="34"/>
      <c r="Y596" s="34"/>
    </row>
    <row x14ac:dyDescent="0.25" r="597" customHeight="1" ht="15.75">
      <c r="A597" s="502"/>
      <c r="B597" s="34"/>
      <c r="C597" s="34"/>
      <c r="D597" s="34"/>
      <c r="E597" s="34"/>
      <c r="F597" s="34"/>
      <c r="G597" s="34"/>
      <c r="H597" s="34"/>
      <c r="I597" s="29"/>
      <c r="J597" s="29"/>
      <c r="K597" s="29"/>
      <c r="L597" s="29"/>
      <c r="M597" s="34"/>
      <c r="N597" s="34"/>
      <c r="O597" s="29"/>
      <c r="P597" s="29"/>
      <c r="Q597" s="29"/>
      <c r="R597" s="29"/>
      <c r="S597" s="29"/>
      <c r="T597" s="29"/>
      <c r="U597" s="476"/>
      <c r="V597" s="107"/>
      <c r="W597" s="29"/>
      <c r="X597" s="34"/>
      <c r="Y597" s="34"/>
    </row>
    <row x14ac:dyDescent="0.25" r="598" customHeight="1" ht="15.75">
      <c r="A598" s="502"/>
      <c r="B598" s="34"/>
      <c r="C598" s="34"/>
      <c r="D598" s="34"/>
      <c r="E598" s="34"/>
      <c r="F598" s="34"/>
      <c r="G598" s="34"/>
      <c r="H598" s="34"/>
      <c r="I598" s="29"/>
      <c r="J598" s="29"/>
      <c r="K598" s="29"/>
      <c r="L598" s="29"/>
      <c r="M598" s="34"/>
      <c r="N598" s="34"/>
      <c r="O598" s="29"/>
      <c r="P598" s="29"/>
      <c r="Q598" s="29"/>
      <c r="R598" s="29"/>
      <c r="S598" s="29"/>
      <c r="T598" s="29"/>
      <c r="U598" s="476"/>
      <c r="V598" s="107"/>
      <c r="W598" s="29"/>
      <c r="X598" s="34"/>
      <c r="Y598" s="34"/>
    </row>
    <row x14ac:dyDescent="0.25" r="599" customHeight="1" ht="15.75">
      <c r="A599" s="502"/>
      <c r="B599" s="34"/>
      <c r="C599" s="34"/>
      <c r="D599" s="34"/>
      <c r="E599" s="34"/>
      <c r="F599" s="34"/>
      <c r="G599" s="34"/>
      <c r="H599" s="34"/>
      <c r="I599" s="29"/>
      <c r="J599" s="29"/>
      <c r="K599" s="29"/>
      <c r="L599" s="29"/>
      <c r="M599" s="34"/>
      <c r="N599" s="34"/>
      <c r="O599" s="29"/>
      <c r="P599" s="29"/>
      <c r="Q599" s="29"/>
      <c r="R599" s="29"/>
      <c r="S599" s="29"/>
      <c r="T599" s="29"/>
      <c r="U599" s="476"/>
      <c r="V599" s="107"/>
      <c r="W599" s="29"/>
      <c r="X599" s="34"/>
      <c r="Y599" s="34"/>
    </row>
    <row x14ac:dyDescent="0.25" r="600" customHeight="1" ht="15.75">
      <c r="A600" s="502"/>
      <c r="B600" s="34"/>
      <c r="C600" s="34"/>
      <c r="D600" s="34"/>
      <c r="E600" s="34"/>
      <c r="F600" s="34"/>
      <c r="G600" s="34"/>
      <c r="H600" s="34"/>
      <c r="I600" s="29"/>
      <c r="J600" s="29"/>
      <c r="K600" s="29"/>
      <c r="L600" s="29"/>
      <c r="M600" s="34"/>
      <c r="N600" s="34"/>
      <c r="O600" s="29"/>
      <c r="P600" s="29"/>
      <c r="Q600" s="29"/>
      <c r="R600" s="29"/>
      <c r="S600" s="29"/>
      <c r="T600" s="29"/>
      <c r="U600" s="476"/>
      <c r="V600" s="107"/>
      <c r="W600" s="29"/>
      <c r="X600" s="34"/>
      <c r="Y600" s="34"/>
    </row>
    <row x14ac:dyDescent="0.25" r="601" customHeight="1" ht="15.75">
      <c r="A601" s="502"/>
      <c r="B601" s="34"/>
      <c r="C601" s="34"/>
      <c r="D601" s="34"/>
      <c r="E601" s="34"/>
      <c r="F601" s="34"/>
      <c r="G601" s="34"/>
      <c r="H601" s="34"/>
      <c r="I601" s="29"/>
      <c r="J601" s="29"/>
      <c r="K601" s="29"/>
      <c r="L601" s="29"/>
      <c r="M601" s="34"/>
      <c r="N601" s="34"/>
      <c r="O601" s="29"/>
      <c r="P601" s="29"/>
      <c r="Q601" s="29"/>
      <c r="R601" s="29"/>
      <c r="S601" s="29"/>
      <c r="T601" s="29"/>
      <c r="U601" s="476"/>
      <c r="V601" s="107"/>
      <c r="W601" s="29"/>
      <c r="X601" s="34"/>
      <c r="Y601" s="34"/>
    </row>
    <row x14ac:dyDescent="0.25" r="602" customHeight="1" ht="15.75">
      <c r="A602" s="502"/>
      <c r="B602" s="34"/>
      <c r="C602" s="34"/>
      <c r="D602" s="34"/>
      <c r="E602" s="34"/>
      <c r="F602" s="34"/>
      <c r="G602" s="34"/>
      <c r="H602" s="34"/>
      <c r="I602" s="29"/>
      <c r="J602" s="29"/>
      <c r="K602" s="29"/>
      <c r="L602" s="29"/>
      <c r="M602" s="34"/>
      <c r="N602" s="34"/>
      <c r="O602" s="29"/>
      <c r="P602" s="29"/>
      <c r="Q602" s="29"/>
      <c r="R602" s="29"/>
      <c r="S602" s="29"/>
      <c r="T602" s="29"/>
      <c r="U602" s="476"/>
      <c r="V602" s="107"/>
      <c r="W602" s="29"/>
      <c r="X602" s="34"/>
      <c r="Y602" s="34"/>
    </row>
    <row x14ac:dyDescent="0.25" r="603" customHeight="1" ht="15.75">
      <c r="A603" s="502"/>
      <c r="B603" s="34"/>
      <c r="C603" s="34"/>
      <c r="D603" s="34"/>
      <c r="E603" s="34"/>
      <c r="F603" s="34"/>
      <c r="G603" s="34"/>
      <c r="H603" s="34"/>
      <c r="I603" s="29"/>
      <c r="J603" s="29"/>
      <c r="K603" s="29"/>
      <c r="L603" s="29"/>
      <c r="M603" s="34"/>
      <c r="N603" s="34"/>
      <c r="O603" s="29"/>
      <c r="P603" s="29"/>
      <c r="Q603" s="29"/>
      <c r="R603" s="29"/>
      <c r="S603" s="29"/>
      <c r="T603" s="29"/>
      <c r="U603" s="476"/>
      <c r="V603" s="107"/>
      <c r="W603" s="29"/>
      <c r="X603" s="34"/>
      <c r="Y603" s="34"/>
    </row>
    <row x14ac:dyDescent="0.25" r="604" customHeight="1" ht="15.75">
      <c r="A604" s="502"/>
      <c r="B604" s="34"/>
      <c r="C604" s="34"/>
      <c r="D604" s="34"/>
      <c r="E604" s="34"/>
      <c r="F604" s="34"/>
      <c r="G604" s="34"/>
      <c r="H604" s="34"/>
      <c r="I604" s="29"/>
      <c r="J604" s="29"/>
      <c r="K604" s="29"/>
      <c r="L604" s="29"/>
      <c r="M604" s="34"/>
      <c r="N604" s="34"/>
      <c r="O604" s="29"/>
      <c r="P604" s="29"/>
      <c r="Q604" s="29"/>
      <c r="R604" s="29"/>
      <c r="S604" s="29"/>
      <c r="T604" s="29"/>
      <c r="U604" s="476"/>
      <c r="V604" s="107"/>
      <c r="W604" s="29"/>
      <c r="X604" s="34"/>
      <c r="Y604" s="34"/>
    </row>
    <row x14ac:dyDescent="0.25" r="605" customHeight="1" ht="15.75">
      <c r="A605" s="502"/>
      <c r="B605" s="34"/>
      <c r="C605" s="34"/>
      <c r="D605" s="34"/>
      <c r="E605" s="34"/>
      <c r="F605" s="34"/>
      <c r="G605" s="34"/>
      <c r="H605" s="34"/>
      <c r="I605" s="29"/>
      <c r="J605" s="29"/>
      <c r="K605" s="29"/>
      <c r="L605" s="29"/>
      <c r="M605" s="34"/>
      <c r="N605" s="34"/>
      <c r="O605" s="29"/>
      <c r="P605" s="29"/>
      <c r="Q605" s="29"/>
      <c r="R605" s="29"/>
      <c r="S605" s="29"/>
      <c r="T605" s="29"/>
      <c r="U605" s="476"/>
      <c r="V605" s="107"/>
      <c r="W605" s="29"/>
      <c r="X605" s="34"/>
      <c r="Y605" s="34"/>
    </row>
    <row x14ac:dyDescent="0.25" r="606" customHeight="1" ht="15.75">
      <c r="A606" s="502"/>
      <c r="B606" s="34"/>
      <c r="C606" s="34"/>
      <c r="D606" s="34"/>
      <c r="E606" s="34"/>
      <c r="F606" s="34"/>
      <c r="G606" s="34"/>
      <c r="H606" s="34"/>
      <c r="I606" s="29"/>
      <c r="J606" s="29"/>
      <c r="K606" s="29"/>
      <c r="L606" s="29"/>
      <c r="M606" s="34"/>
      <c r="N606" s="34"/>
      <c r="O606" s="29"/>
      <c r="P606" s="29"/>
      <c r="Q606" s="29"/>
      <c r="R606" s="29"/>
      <c r="S606" s="29"/>
      <c r="T606" s="29"/>
      <c r="U606" s="476"/>
      <c r="V606" s="107"/>
      <c r="W606" s="29"/>
      <c r="X606" s="34"/>
      <c r="Y606" s="34"/>
    </row>
    <row x14ac:dyDescent="0.25" r="607" customHeight="1" ht="15.75">
      <c r="A607" s="502"/>
      <c r="B607" s="34"/>
      <c r="C607" s="34"/>
      <c r="D607" s="34"/>
      <c r="E607" s="34"/>
      <c r="F607" s="34"/>
      <c r="G607" s="34"/>
      <c r="H607" s="34"/>
      <c r="I607" s="29"/>
      <c r="J607" s="29"/>
      <c r="K607" s="29"/>
      <c r="L607" s="29"/>
      <c r="M607" s="34"/>
      <c r="N607" s="34"/>
      <c r="O607" s="29"/>
      <c r="P607" s="29"/>
      <c r="Q607" s="29"/>
      <c r="R607" s="29"/>
      <c r="S607" s="29"/>
      <c r="T607" s="29"/>
      <c r="U607" s="476"/>
      <c r="V607" s="107"/>
      <c r="W607" s="29"/>
      <c r="X607" s="34"/>
      <c r="Y607" s="34"/>
    </row>
    <row x14ac:dyDescent="0.25" r="608" customHeight="1" ht="15.75">
      <c r="A608" s="502"/>
      <c r="B608" s="34"/>
      <c r="C608" s="34"/>
      <c r="D608" s="34"/>
      <c r="E608" s="34"/>
      <c r="F608" s="34"/>
      <c r="G608" s="34"/>
      <c r="H608" s="34"/>
      <c r="I608" s="29"/>
      <c r="J608" s="29"/>
      <c r="K608" s="29"/>
      <c r="L608" s="29"/>
      <c r="M608" s="34"/>
      <c r="N608" s="34"/>
      <c r="O608" s="29"/>
      <c r="P608" s="29"/>
      <c r="Q608" s="29"/>
      <c r="R608" s="29"/>
      <c r="S608" s="29"/>
      <c r="T608" s="29"/>
      <c r="U608" s="476"/>
      <c r="V608" s="107"/>
      <c r="W608" s="29"/>
      <c r="X608" s="34"/>
      <c r="Y608" s="34"/>
    </row>
    <row x14ac:dyDescent="0.25" r="609" customHeight="1" ht="15.75">
      <c r="A609" s="502"/>
      <c r="B609" s="34"/>
      <c r="C609" s="34"/>
      <c r="D609" s="34"/>
      <c r="E609" s="34"/>
      <c r="F609" s="34"/>
      <c r="G609" s="34"/>
      <c r="H609" s="34"/>
      <c r="I609" s="29"/>
      <c r="J609" s="29"/>
      <c r="K609" s="29"/>
      <c r="L609" s="29"/>
      <c r="M609" s="34"/>
      <c r="N609" s="34"/>
      <c r="O609" s="29"/>
      <c r="P609" s="29"/>
      <c r="Q609" s="29"/>
      <c r="R609" s="29"/>
      <c r="S609" s="29"/>
      <c r="T609" s="29"/>
      <c r="U609" s="476"/>
      <c r="V609" s="107"/>
      <c r="W609" s="29"/>
      <c r="X609" s="34"/>
      <c r="Y609" s="34"/>
    </row>
    <row x14ac:dyDescent="0.25" r="610" customHeight="1" ht="15.75">
      <c r="A610" s="502"/>
      <c r="B610" s="34"/>
      <c r="C610" s="34"/>
      <c r="D610" s="34"/>
      <c r="E610" s="34"/>
      <c r="F610" s="34"/>
      <c r="G610" s="34"/>
      <c r="H610" s="34"/>
      <c r="I610" s="29"/>
      <c r="J610" s="29"/>
      <c r="K610" s="29"/>
      <c r="L610" s="29"/>
      <c r="M610" s="34"/>
      <c r="N610" s="34"/>
      <c r="O610" s="29"/>
      <c r="P610" s="29"/>
      <c r="Q610" s="29"/>
      <c r="R610" s="29"/>
      <c r="S610" s="29"/>
      <c r="T610" s="29"/>
      <c r="U610" s="476"/>
      <c r="V610" s="107"/>
      <c r="W610" s="29"/>
      <c r="X610" s="34"/>
      <c r="Y610" s="34"/>
    </row>
    <row x14ac:dyDescent="0.25" r="611" customHeight="1" ht="15.75">
      <c r="A611" s="502"/>
      <c r="B611" s="34"/>
      <c r="C611" s="34"/>
      <c r="D611" s="34"/>
      <c r="E611" s="34"/>
      <c r="F611" s="34"/>
      <c r="G611" s="34"/>
      <c r="H611" s="34"/>
      <c r="I611" s="29"/>
      <c r="J611" s="29"/>
      <c r="K611" s="29"/>
      <c r="L611" s="29"/>
      <c r="M611" s="34"/>
      <c r="N611" s="34"/>
      <c r="O611" s="29"/>
      <c r="P611" s="29"/>
      <c r="Q611" s="29"/>
      <c r="R611" s="29"/>
      <c r="S611" s="29"/>
      <c r="T611" s="29"/>
      <c r="U611" s="476"/>
      <c r="V611" s="107"/>
      <c r="W611" s="29"/>
      <c r="X611" s="34"/>
      <c r="Y611" s="34"/>
    </row>
    <row x14ac:dyDescent="0.25" r="612" customHeight="1" ht="15.75">
      <c r="A612" s="502"/>
      <c r="B612" s="34"/>
      <c r="C612" s="34"/>
      <c r="D612" s="34"/>
      <c r="E612" s="34"/>
      <c r="F612" s="34"/>
      <c r="G612" s="34"/>
      <c r="H612" s="34"/>
      <c r="I612" s="29"/>
      <c r="J612" s="29"/>
      <c r="K612" s="29"/>
      <c r="L612" s="29"/>
      <c r="M612" s="34"/>
      <c r="N612" s="34"/>
      <c r="O612" s="29"/>
      <c r="P612" s="29"/>
      <c r="Q612" s="29"/>
      <c r="R612" s="29"/>
      <c r="S612" s="29"/>
      <c r="T612" s="29"/>
      <c r="U612" s="476"/>
      <c r="V612" s="107"/>
      <c r="W612" s="29"/>
      <c r="X612" s="34"/>
      <c r="Y612" s="34"/>
    </row>
    <row x14ac:dyDescent="0.25" r="613" customHeight="1" ht="15.75">
      <c r="A613" s="502"/>
      <c r="B613" s="34"/>
      <c r="C613" s="34"/>
      <c r="D613" s="34"/>
      <c r="E613" s="34"/>
      <c r="F613" s="34"/>
      <c r="G613" s="34"/>
      <c r="H613" s="34"/>
      <c r="I613" s="29"/>
      <c r="J613" s="29"/>
      <c r="K613" s="29"/>
      <c r="L613" s="29"/>
      <c r="M613" s="34"/>
      <c r="N613" s="34"/>
      <c r="O613" s="29"/>
      <c r="P613" s="29"/>
      <c r="Q613" s="29"/>
      <c r="R613" s="29"/>
      <c r="S613" s="29"/>
      <c r="T613" s="29"/>
      <c r="U613" s="476"/>
      <c r="V613" s="107"/>
      <c r="W613" s="29"/>
      <c r="X613" s="34"/>
      <c r="Y613" s="34"/>
    </row>
    <row x14ac:dyDescent="0.25" r="614" customHeight="1" ht="15.75">
      <c r="A614" s="502"/>
      <c r="B614" s="34"/>
      <c r="C614" s="34"/>
      <c r="D614" s="34"/>
      <c r="E614" s="34"/>
      <c r="F614" s="34"/>
      <c r="G614" s="34"/>
      <c r="H614" s="34"/>
      <c r="I614" s="29"/>
      <c r="J614" s="29"/>
      <c r="K614" s="29"/>
      <c r="L614" s="29"/>
      <c r="M614" s="34"/>
      <c r="N614" s="34"/>
      <c r="O614" s="29"/>
      <c r="P614" s="29"/>
      <c r="Q614" s="29"/>
      <c r="R614" s="29"/>
      <c r="S614" s="29"/>
      <c r="T614" s="29"/>
      <c r="U614" s="476"/>
      <c r="V614" s="107"/>
      <c r="W614" s="29"/>
      <c r="X614" s="34"/>
      <c r="Y614" s="34"/>
    </row>
    <row x14ac:dyDescent="0.25" r="615" customHeight="1" ht="15.75">
      <c r="A615" s="502"/>
      <c r="B615" s="34"/>
      <c r="C615" s="34"/>
      <c r="D615" s="34"/>
      <c r="E615" s="34"/>
      <c r="F615" s="34"/>
      <c r="G615" s="34"/>
      <c r="H615" s="34"/>
      <c r="I615" s="29"/>
      <c r="J615" s="29"/>
      <c r="K615" s="29"/>
      <c r="L615" s="29"/>
      <c r="M615" s="34"/>
      <c r="N615" s="34"/>
      <c r="O615" s="29"/>
      <c r="P615" s="29"/>
      <c r="Q615" s="29"/>
      <c r="R615" s="29"/>
      <c r="S615" s="29"/>
      <c r="T615" s="29"/>
      <c r="U615" s="476"/>
      <c r="V615" s="107"/>
      <c r="W615" s="29"/>
      <c r="X615" s="34"/>
      <c r="Y615" s="34"/>
    </row>
    <row x14ac:dyDescent="0.25" r="616" customHeight="1" ht="15.75">
      <c r="A616" s="502"/>
      <c r="B616" s="34"/>
      <c r="C616" s="34"/>
      <c r="D616" s="34"/>
      <c r="E616" s="34"/>
      <c r="F616" s="34"/>
      <c r="G616" s="34"/>
      <c r="H616" s="34"/>
      <c r="I616" s="29"/>
      <c r="J616" s="29"/>
      <c r="K616" s="29"/>
      <c r="L616" s="29"/>
      <c r="M616" s="34"/>
      <c r="N616" s="34"/>
      <c r="O616" s="29"/>
      <c r="P616" s="29"/>
      <c r="Q616" s="29"/>
      <c r="R616" s="29"/>
      <c r="S616" s="29"/>
      <c r="T616" s="29"/>
      <c r="U616" s="476"/>
      <c r="V616" s="107"/>
      <c r="W616" s="29"/>
      <c r="X616" s="34"/>
      <c r="Y616" s="34"/>
    </row>
    <row x14ac:dyDescent="0.25" r="617" customHeight="1" ht="15.75">
      <c r="A617" s="502"/>
      <c r="B617" s="34"/>
      <c r="C617" s="34"/>
      <c r="D617" s="34"/>
      <c r="E617" s="34"/>
      <c r="F617" s="34"/>
      <c r="G617" s="34"/>
      <c r="H617" s="34"/>
      <c r="I617" s="29"/>
      <c r="J617" s="29"/>
      <c r="K617" s="29"/>
      <c r="L617" s="29"/>
      <c r="M617" s="34"/>
      <c r="N617" s="34"/>
      <c r="O617" s="29"/>
      <c r="P617" s="29"/>
      <c r="Q617" s="29"/>
      <c r="R617" s="29"/>
      <c r="S617" s="29"/>
      <c r="T617" s="29"/>
      <c r="U617" s="476"/>
      <c r="V617" s="107"/>
      <c r="W617" s="29"/>
      <c r="X617" s="34"/>
      <c r="Y617" s="34"/>
    </row>
    <row x14ac:dyDescent="0.25" r="618" customHeight="1" ht="15.75">
      <c r="A618" s="502"/>
      <c r="B618" s="34"/>
      <c r="C618" s="34"/>
      <c r="D618" s="34"/>
      <c r="E618" s="34"/>
      <c r="F618" s="34"/>
      <c r="G618" s="34"/>
      <c r="H618" s="34"/>
      <c r="I618" s="29"/>
      <c r="J618" s="29"/>
      <c r="K618" s="29"/>
      <c r="L618" s="29"/>
      <c r="M618" s="34"/>
      <c r="N618" s="34"/>
      <c r="O618" s="29"/>
      <c r="P618" s="29"/>
      <c r="Q618" s="29"/>
      <c r="R618" s="29"/>
      <c r="S618" s="29"/>
      <c r="T618" s="29"/>
      <c r="U618" s="476"/>
      <c r="V618" s="107"/>
      <c r="W618" s="29"/>
      <c r="X618" s="34"/>
      <c r="Y618" s="34"/>
    </row>
    <row x14ac:dyDescent="0.25" r="619" customHeight="1" ht="15.75">
      <c r="A619" s="502"/>
      <c r="B619" s="34"/>
      <c r="C619" s="34"/>
      <c r="D619" s="34"/>
      <c r="E619" s="34"/>
      <c r="F619" s="34"/>
      <c r="G619" s="34"/>
      <c r="H619" s="34"/>
      <c r="I619" s="29"/>
      <c r="J619" s="29"/>
      <c r="K619" s="29"/>
      <c r="L619" s="29"/>
      <c r="M619" s="34"/>
      <c r="N619" s="34"/>
      <c r="O619" s="29"/>
      <c r="P619" s="29"/>
      <c r="Q619" s="29"/>
      <c r="R619" s="29"/>
      <c r="S619" s="29"/>
      <c r="T619" s="29"/>
      <c r="U619" s="476"/>
      <c r="V619" s="107"/>
      <c r="W619" s="29"/>
      <c r="X619" s="34"/>
      <c r="Y619" s="34"/>
    </row>
    <row x14ac:dyDescent="0.25" r="620" customHeight="1" ht="15.75">
      <c r="A620" s="502"/>
      <c r="B620" s="34"/>
      <c r="C620" s="34"/>
      <c r="D620" s="34"/>
      <c r="E620" s="34"/>
      <c r="F620" s="34"/>
      <c r="G620" s="34"/>
      <c r="H620" s="34"/>
      <c r="I620" s="29"/>
      <c r="J620" s="29"/>
      <c r="K620" s="29"/>
      <c r="L620" s="29"/>
      <c r="M620" s="34"/>
      <c r="N620" s="34"/>
      <c r="O620" s="29"/>
      <c r="P620" s="29"/>
      <c r="Q620" s="29"/>
      <c r="R620" s="29"/>
      <c r="S620" s="29"/>
      <c r="T620" s="29"/>
      <c r="U620" s="476"/>
      <c r="V620" s="107"/>
      <c r="W620" s="29"/>
      <c r="X620" s="34"/>
      <c r="Y620" s="34"/>
    </row>
    <row x14ac:dyDescent="0.25" r="621" customHeight="1" ht="15.75">
      <c r="A621" s="502"/>
      <c r="B621" s="34"/>
      <c r="C621" s="34"/>
      <c r="D621" s="34"/>
      <c r="E621" s="34"/>
      <c r="F621" s="34"/>
      <c r="G621" s="34"/>
      <c r="H621" s="34"/>
      <c r="I621" s="29"/>
      <c r="J621" s="29"/>
      <c r="K621" s="29"/>
      <c r="L621" s="29"/>
      <c r="M621" s="34"/>
      <c r="N621" s="34"/>
      <c r="O621" s="29"/>
      <c r="P621" s="29"/>
      <c r="Q621" s="29"/>
      <c r="R621" s="29"/>
      <c r="S621" s="29"/>
      <c r="T621" s="29"/>
      <c r="U621" s="476"/>
      <c r="V621" s="107"/>
      <c r="W621" s="29"/>
      <c r="X621" s="34"/>
      <c r="Y621" s="34"/>
    </row>
    <row x14ac:dyDescent="0.25" r="622" customHeight="1" ht="15.75">
      <c r="A622" s="502"/>
      <c r="B622" s="34"/>
      <c r="C622" s="34"/>
      <c r="D622" s="34"/>
      <c r="E622" s="34"/>
      <c r="F622" s="34"/>
      <c r="G622" s="34"/>
      <c r="H622" s="34"/>
      <c r="I622" s="29"/>
      <c r="J622" s="29"/>
      <c r="K622" s="29"/>
      <c r="L622" s="29"/>
      <c r="M622" s="34"/>
      <c r="N622" s="34"/>
      <c r="O622" s="29"/>
      <c r="P622" s="29"/>
      <c r="Q622" s="29"/>
      <c r="R622" s="29"/>
      <c r="S622" s="29"/>
      <c r="T622" s="29"/>
      <c r="U622" s="476"/>
      <c r="V622" s="107"/>
      <c r="W622" s="29"/>
      <c r="X622" s="34"/>
      <c r="Y622" s="34"/>
    </row>
    <row x14ac:dyDescent="0.25" r="623" customHeight="1" ht="15.75">
      <c r="A623" s="502"/>
      <c r="B623" s="34"/>
      <c r="C623" s="34"/>
      <c r="D623" s="34"/>
      <c r="E623" s="34"/>
      <c r="F623" s="34"/>
      <c r="G623" s="34"/>
      <c r="H623" s="34"/>
      <c r="I623" s="29"/>
      <c r="J623" s="29"/>
      <c r="K623" s="29"/>
      <c r="L623" s="29"/>
      <c r="M623" s="34"/>
      <c r="N623" s="34"/>
      <c r="O623" s="29"/>
      <c r="P623" s="29"/>
      <c r="Q623" s="29"/>
      <c r="R623" s="29"/>
      <c r="S623" s="29"/>
      <c r="T623" s="29"/>
      <c r="U623" s="476"/>
      <c r="V623" s="107"/>
      <c r="W623" s="29"/>
      <c r="X623" s="34"/>
      <c r="Y623" s="34"/>
    </row>
    <row x14ac:dyDescent="0.25" r="624" customHeight="1" ht="15.75">
      <c r="A624" s="502"/>
      <c r="B624" s="34"/>
      <c r="C624" s="34"/>
      <c r="D624" s="34"/>
      <c r="E624" s="34"/>
      <c r="F624" s="34"/>
      <c r="G624" s="34"/>
      <c r="H624" s="34"/>
      <c r="I624" s="29"/>
      <c r="J624" s="29"/>
      <c r="K624" s="29"/>
      <c r="L624" s="29"/>
      <c r="M624" s="34"/>
      <c r="N624" s="34"/>
      <c r="O624" s="29"/>
      <c r="P624" s="29"/>
      <c r="Q624" s="29"/>
      <c r="R624" s="29"/>
      <c r="S624" s="29"/>
      <c r="T624" s="29"/>
      <c r="U624" s="476"/>
      <c r="V624" s="107"/>
      <c r="W624" s="29"/>
      <c r="X624" s="34"/>
      <c r="Y624" s="34"/>
    </row>
    <row x14ac:dyDescent="0.25" r="625" customHeight="1" ht="15.75">
      <c r="A625" s="502"/>
      <c r="B625" s="34"/>
      <c r="C625" s="34"/>
      <c r="D625" s="34"/>
      <c r="E625" s="34"/>
      <c r="F625" s="34"/>
      <c r="G625" s="34"/>
      <c r="H625" s="34"/>
      <c r="I625" s="29"/>
      <c r="J625" s="29"/>
      <c r="K625" s="29"/>
      <c r="L625" s="29"/>
      <c r="M625" s="34"/>
      <c r="N625" s="34"/>
      <c r="O625" s="29"/>
      <c r="P625" s="29"/>
      <c r="Q625" s="29"/>
      <c r="R625" s="29"/>
      <c r="S625" s="29"/>
      <c r="T625" s="29"/>
      <c r="U625" s="476"/>
      <c r="V625" s="107"/>
      <c r="W625" s="29"/>
      <c r="X625" s="34"/>
      <c r="Y625" s="34"/>
    </row>
    <row x14ac:dyDescent="0.25" r="626" customHeight="1" ht="15.75">
      <c r="A626" s="502"/>
      <c r="B626" s="34"/>
      <c r="C626" s="34"/>
      <c r="D626" s="34"/>
      <c r="E626" s="34"/>
      <c r="F626" s="34"/>
      <c r="G626" s="34"/>
      <c r="H626" s="34"/>
      <c r="I626" s="29"/>
      <c r="J626" s="29"/>
      <c r="K626" s="29"/>
      <c r="L626" s="29"/>
      <c r="M626" s="34"/>
      <c r="N626" s="34"/>
      <c r="O626" s="29"/>
      <c r="P626" s="29"/>
      <c r="Q626" s="29"/>
      <c r="R626" s="29"/>
      <c r="S626" s="29"/>
      <c r="T626" s="29"/>
      <c r="U626" s="476"/>
      <c r="V626" s="107"/>
      <c r="W626" s="29"/>
      <c r="X626" s="34"/>
      <c r="Y626" s="34"/>
    </row>
    <row x14ac:dyDescent="0.25" r="627" customHeight="1" ht="15.75">
      <c r="A627" s="502"/>
      <c r="B627" s="34"/>
      <c r="C627" s="34"/>
      <c r="D627" s="34"/>
      <c r="E627" s="34"/>
      <c r="F627" s="34"/>
      <c r="G627" s="34"/>
      <c r="H627" s="34"/>
      <c r="I627" s="29"/>
      <c r="J627" s="29"/>
      <c r="K627" s="29"/>
      <c r="L627" s="29"/>
      <c r="M627" s="34"/>
      <c r="N627" s="34"/>
      <c r="O627" s="29"/>
      <c r="P627" s="29"/>
      <c r="Q627" s="29"/>
      <c r="R627" s="29"/>
      <c r="S627" s="29"/>
      <c r="T627" s="29"/>
      <c r="U627" s="476"/>
      <c r="V627" s="107"/>
      <c r="W627" s="29"/>
      <c r="X627" s="34"/>
      <c r="Y627" s="34"/>
    </row>
    <row x14ac:dyDescent="0.25" r="628" customHeight="1" ht="15.75">
      <c r="A628" s="502"/>
      <c r="B628" s="34"/>
      <c r="C628" s="34"/>
      <c r="D628" s="34"/>
      <c r="E628" s="34"/>
      <c r="F628" s="34"/>
      <c r="G628" s="34"/>
      <c r="H628" s="34"/>
      <c r="I628" s="29"/>
      <c r="J628" s="29"/>
      <c r="K628" s="29"/>
      <c r="L628" s="29"/>
      <c r="M628" s="34"/>
      <c r="N628" s="34"/>
      <c r="O628" s="29"/>
      <c r="P628" s="29"/>
      <c r="Q628" s="29"/>
      <c r="R628" s="29"/>
      <c r="S628" s="29"/>
      <c r="T628" s="29"/>
      <c r="U628" s="476"/>
      <c r="V628" s="107"/>
      <c r="W628" s="29"/>
      <c r="X628" s="34"/>
      <c r="Y628" s="34"/>
    </row>
    <row x14ac:dyDescent="0.25" r="629" customHeight="1" ht="15.75">
      <c r="A629" s="502"/>
      <c r="B629" s="34"/>
      <c r="C629" s="34"/>
      <c r="D629" s="34"/>
      <c r="E629" s="34"/>
      <c r="F629" s="34"/>
      <c r="G629" s="34"/>
      <c r="H629" s="34"/>
      <c r="I629" s="29"/>
      <c r="J629" s="29"/>
      <c r="K629" s="29"/>
      <c r="L629" s="29"/>
      <c r="M629" s="34"/>
      <c r="N629" s="34"/>
      <c r="O629" s="29"/>
      <c r="P629" s="29"/>
      <c r="Q629" s="29"/>
      <c r="R629" s="29"/>
      <c r="S629" s="29"/>
      <c r="T629" s="29"/>
      <c r="U629" s="476"/>
      <c r="V629" s="107"/>
      <c r="W629" s="29"/>
      <c r="X629" s="34"/>
      <c r="Y629" s="34"/>
    </row>
    <row x14ac:dyDescent="0.25" r="630" customHeight="1" ht="15.75">
      <c r="A630" s="502"/>
      <c r="B630" s="34"/>
      <c r="C630" s="34"/>
      <c r="D630" s="34"/>
      <c r="E630" s="34"/>
      <c r="F630" s="34"/>
      <c r="G630" s="34"/>
      <c r="H630" s="34"/>
      <c r="I630" s="29"/>
      <c r="J630" s="29"/>
      <c r="K630" s="29"/>
      <c r="L630" s="29"/>
      <c r="M630" s="34"/>
      <c r="N630" s="34"/>
      <c r="O630" s="29"/>
      <c r="P630" s="29"/>
      <c r="Q630" s="29"/>
      <c r="R630" s="29"/>
      <c r="S630" s="29"/>
      <c r="T630" s="29"/>
      <c r="U630" s="476"/>
      <c r="V630" s="107"/>
      <c r="W630" s="29"/>
      <c r="X630" s="34"/>
      <c r="Y630" s="34"/>
    </row>
    <row x14ac:dyDescent="0.25" r="631" customHeight="1" ht="15.75">
      <c r="A631" s="502"/>
      <c r="B631" s="34"/>
      <c r="C631" s="34"/>
      <c r="D631" s="34"/>
      <c r="E631" s="34"/>
      <c r="F631" s="34"/>
      <c r="G631" s="34"/>
      <c r="H631" s="34"/>
      <c r="I631" s="29"/>
      <c r="J631" s="29"/>
      <c r="K631" s="29"/>
      <c r="L631" s="29"/>
      <c r="M631" s="34"/>
      <c r="N631" s="34"/>
      <c r="O631" s="29"/>
      <c r="P631" s="29"/>
      <c r="Q631" s="29"/>
      <c r="R631" s="29"/>
      <c r="S631" s="29"/>
      <c r="T631" s="29"/>
      <c r="U631" s="476"/>
      <c r="V631" s="107"/>
      <c r="W631" s="29"/>
      <c r="X631" s="34"/>
      <c r="Y631" s="34"/>
    </row>
    <row x14ac:dyDescent="0.25" r="632" customHeight="1" ht="15.75">
      <c r="A632" s="502"/>
      <c r="B632" s="34"/>
      <c r="C632" s="34"/>
      <c r="D632" s="34"/>
      <c r="E632" s="34"/>
      <c r="F632" s="34"/>
      <c r="G632" s="34"/>
      <c r="H632" s="34"/>
      <c r="I632" s="29"/>
      <c r="J632" s="29"/>
      <c r="K632" s="29"/>
      <c r="L632" s="29"/>
      <c r="M632" s="34"/>
      <c r="N632" s="34"/>
      <c r="O632" s="29"/>
      <c r="P632" s="29"/>
      <c r="Q632" s="29"/>
      <c r="R632" s="29"/>
      <c r="S632" s="29"/>
      <c r="T632" s="29"/>
      <c r="U632" s="476"/>
      <c r="V632" s="107"/>
      <c r="W632" s="29"/>
      <c r="X632" s="34"/>
      <c r="Y632" s="34"/>
    </row>
    <row x14ac:dyDescent="0.25" r="633" customHeight="1" ht="15.75">
      <c r="A633" s="502"/>
      <c r="B633" s="34"/>
      <c r="C633" s="34"/>
      <c r="D633" s="34"/>
      <c r="E633" s="34"/>
      <c r="F633" s="34"/>
      <c r="G633" s="34"/>
      <c r="H633" s="34"/>
      <c r="I633" s="29"/>
      <c r="J633" s="29"/>
      <c r="K633" s="29"/>
      <c r="L633" s="29"/>
      <c r="M633" s="34"/>
      <c r="N633" s="34"/>
      <c r="O633" s="29"/>
      <c r="P633" s="29"/>
      <c r="Q633" s="29"/>
      <c r="R633" s="29"/>
      <c r="S633" s="29"/>
      <c r="T633" s="29"/>
      <c r="U633" s="476"/>
      <c r="V633" s="107"/>
      <c r="W633" s="29"/>
      <c r="X633" s="34"/>
      <c r="Y633" s="34"/>
    </row>
    <row x14ac:dyDescent="0.25" r="634" customHeight="1" ht="15.75">
      <c r="A634" s="502"/>
      <c r="B634" s="34"/>
      <c r="C634" s="34"/>
      <c r="D634" s="34"/>
      <c r="E634" s="34"/>
      <c r="F634" s="34"/>
      <c r="G634" s="34"/>
      <c r="H634" s="34"/>
      <c r="I634" s="29"/>
      <c r="J634" s="29"/>
      <c r="K634" s="29"/>
      <c r="L634" s="29"/>
      <c r="M634" s="34"/>
      <c r="N634" s="34"/>
      <c r="O634" s="29"/>
      <c r="P634" s="29"/>
      <c r="Q634" s="29"/>
      <c r="R634" s="29"/>
      <c r="S634" s="29"/>
      <c r="T634" s="29"/>
      <c r="U634" s="476"/>
      <c r="V634" s="107"/>
      <c r="W634" s="29"/>
      <c r="X634" s="34"/>
      <c r="Y634" s="34"/>
    </row>
    <row x14ac:dyDescent="0.25" r="635" customHeight="1" ht="15.75">
      <c r="A635" s="502"/>
      <c r="B635" s="34"/>
      <c r="C635" s="34"/>
      <c r="D635" s="34"/>
      <c r="E635" s="34"/>
      <c r="F635" s="34"/>
      <c r="G635" s="34"/>
      <c r="H635" s="34"/>
      <c r="I635" s="29"/>
      <c r="J635" s="29"/>
      <c r="K635" s="29"/>
      <c r="L635" s="29"/>
      <c r="M635" s="34"/>
      <c r="N635" s="34"/>
      <c r="O635" s="29"/>
      <c r="P635" s="29"/>
      <c r="Q635" s="29"/>
      <c r="R635" s="29"/>
      <c r="S635" s="29"/>
      <c r="T635" s="29"/>
      <c r="U635" s="476"/>
      <c r="V635" s="107"/>
      <c r="W635" s="29"/>
      <c r="X635" s="34"/>
      <c r="Y635" s="34"/>
    </row>
    <row x14ac:dyDescent="0.25" r="636" customHeight="1" ht="15.75">
      <c r="A636" s="502"/>
      <c r="B636" s="34"/>
      <c r="C636" s="34"/>
      <c r="D636" s="34"/>
      <c r="E636" s="34"/>
      <c r="F636" s="34"/>
      <c r="G636" s="34"/>
      <c r="H636" s="34"/>
      <c r="I636" s="29"/>
      <c r="J636" s="29"/>
      <c r="K636" s="29"/>
      <c r="L636" s="29"/>
      <c r="M636" s="34"/>
      <c r="N636" s="34"/>
      <c r="O636" s="29"/>
      <c r="P636" s="29"/>
      <c r="Q636" s="29"/>
      <c r="R636" s="29"/>
      <c r="S636" s="29"/>
      <c r="T636" s="29"/>
      <c r="U636" s="476"/>
      <c r="V636" s="107"/>
      <c r="W636" s="29"/>
      <c r="X636" s="34"/>
      <c r="Y636" s="34"/>
    </row>
    <row x14ac:dyDescent="0.25" r="637" customHeight="1" ht="15.75">
      <c r="A637" s="502"/>
      <c r="B637" s="34"/>
      <c r="C637" s="34"/>
      <c r="D637" s="34"/>
      <c r="E637" s="34"/>
      <c r="F637" s="34"/>
      <c r="G637" s="34"/>
      <c r="H637" s="34"/>
      <c r="I637" s="29"/>
      <c r="J637" s="29"/>
      <c r="K637" s="29"/>
      <c r="L637" s="29"/>
      <c r="M637" s="34"/>
      <c r="N637" s="34"/>
      <c r="O637" s="29"/>
      <c r="P637" s="29"/>
      <c r="Q637" s="29"/>
      <c r="R637" s="29"/>
      <c r="S637" s="29"/>
      <c r="T637" s="29"/>
      <c r="U637" s="476"/>
      <c r="V637" s="107"/>
      <c r="W637" s="29"/>
      <c r="X637" s="34"/>
      <c r="Y637" s="34"/>
    </row>
    <row x14ac:dyDescent="0.25" r="638" customHeight="1" ht="15.75">
      <c r="A638" s="502"/>
      <c r="B638" s="34"/>
      <c r="C638" s="34"/>
      <c r="D638" s="34"/>
      <c r="E638" s="34"/>
      <c r="F638" s="34"/>
      <c r="G638" s="34"/>
      <c r="H638" s="34"/>
      <c r="I638" s="29"/>
      <c r="J638" s="29"/>
      <c r="K638" s="29"/>
      <c r="L638" s="29"/>
      <c r="M638" s="34"/>
      <c r="N638" s="34"/>
      <c r="O638" s="29"/>
      <c r="P638" s="29"/>
      <c r="Q638" s="29"/>
      <c r="R638" s="29"/>
      <c r="S638" s="29"/>
      <c r="T638" s="29"/>
      <c r="U638" s="476"/>
      <c r="V638" s="107"/>
      <c r="W638" s="29"/>
      <c r="X638" s="34"/>
      <c r="Y638" s="34"/>
    </row>
    <row x14ac:dyDescent="0.25" r="639" customHeight="1" ht="15.75">
      <c r="A639" s="502"/>
      <c r="B639" s="34"/>
      <c r="C639" s="34"/>
      <c r="D639" s="34"/>
      <c r="E639" s="34"/>
      <c r="F639" s="34"/>
      <c r="G639" s="34"/>
      <c r="H639" s="34"/>
      <c r="I639" s="29"/>
      <c r="J639" s="29"/>
      <c r="K639" s="29"/>
      <c r="L639" s="29"/>
      <c r="M639" s="34"/>
      <c r="N639" s="34"/>
      <c r="O639" s="29"/>
      <c r="P639" s="29"/>
      <c r="Q639" s="29"/>
      <c r="R639" s="29"/>
      <c r="S639" s="29"/>
      <c r="T639" s="29"/>
      <c r="U639" s="476"/>
      <c r="V639" s="107"/>
      <c r="W639" s="29"/>
      <c r="X639" s="34"/>
      <c r="Y639" s="34"/>
    </row>
    <row x14ac:dyDescent="0.25" r="640" customHeight="1" ht="15.75">
      <c r="A640" s="502"/>
      <c r="B640" s="34"/>
      <c r="C640" s="34"/>
      <c r="D640" s="34"/>
      <c r="E640" s="34"/>
      <c r="F640" s="34"/>
      <c r="G640" s="34"/>
      <c r="H640" s="34"/>
      <c r="I640" s="29"/>
      <c r="J640" s="29"/>
      <c r="K640" s="29"/>
      <c r="L640" s="29"/>
      <c r="M640" s="34"/>
      <c r="N640" s="34"/>
      <c r="O640" s="29"/>
      <c r="P640" s="29"/>
      <c r="Q640" s="29"/>
      <c r="R640" s="29"/>
      <c r="S640" s="29"/>
      <c r="T640" s="29"/>
      <c r="U640" s="476"/>
      <c r="V640" s="107"/>
      <c r="W640" s="29"/>
      <c r="X640" s="34"/>
      <c r="Y640" s="34"/>
    </row>
    <row x14ac:dyDescent="0.25" r="641" customHeight="1" ht="15.75">
      <c r="A641" s="502"/>
      <c r="B641" s="34"/>
      <c r="C641" s="34"/>
      <c r="D641" s="34"/>
      <c r="E641" s="34"/>
      <c r="F641" s="34"/>
      <c r="G641" s="34"/>
      <c r="H641" s="34"/>
      <c r="I641" s="29"/>
      <c r="J641" s="29"/>
      <c r="K641" s="29"/>
      <c r="L641" s="29"/>
      <c r="M641" s="34"/>
      <c r="N641" s="34"/>
      <c r="O641" s="29"/>
      <c r="P641" s="29"/>
      <c r="Q641" s="29"/>
      <c r="R641" s="29"/>
      <c r="S641" s="29"/>
      <c r="T641" s="29"/>
      <c r="U641" s="476"/>
      <c r="V641" s="107"/>
      <c r="W641" s="29"/>
      <c r="X641" s="34"/>
      <c r="Y641" s="34"/>
    </row>
    <row x14ac:dyDescent="0.25" r="642" customHeight="1" ht="15.75">
      <c r="A642" s="502"/>
      <c r="B642" s="34"/>
      <c r="C642" s="34"/>
      <c r="D642" s="34"/>
      <c r="E642" s="34"/>
      <c r="F642" s="34"/>
      <c r="G642" s="34"/>
      <c r="H642" s="34"/>
      <c r="I642" s="29"/>
      <c r="J642" s="29"/>
      <c r="K642" s="29"/>
      <c r="L642" s="29"/>
      <c r="M642" s="34"/>
      <c r="N642" s="34"/>
      <c r="O642" s="29"/>
      <c r="P642" s="29"/>
      <c r="Q642" s="29"/>
      <c r="R642" s="29"/>
      <c r="S642" s="29"/>
      <c r="T642" s="29"/>
      <c r="U642" s="476"/>
      <c r="V642" s="107"/>
      <c r="W642" s="29"/>
      <c r="X642" s="34"/>
      <c r="Y642" s="34"/>
    </row>
    <row x14ac:dyDescent="0.25" r="643" customHeight="1" ht="15.75">
      <c r="A643" s="502"/>
      <c r="B643" s="34"/>
      <c r="C643" s="34"/>
      <c r="D643" s="34"/>
      <c r="E643" s="34"/>
      <c r="F643" s="34"/>
      <c r="G643" s="34"/>
      <c r="H643" s="34"/>
      <c r="I643" s="29"/>
      <c r="J643" s="29"/>
      <c r="K643" s="29"/>
      <c r="L643" s="29"/>
      <c r="M643" s="34"/>
      <c r="N643" s="34"/>
      <c r="O643" s="29"/>
      <c r="P643" s="29"/>
      <c r="Q643" s="29"/>
      <c r="R643" s="29"/>
      <c r="S643" s="29"/>
      <c r="T643" s="29"/>
      <c r="U643" s="476"/>
      <c r="V643" s="107"/>
      <c r="W643" s="29"/>
      <c r="X643" s="34"/>
      <c r="Y643" s="34"/>
    </row>
    <row x14ac:dyDescent="0.25" r="644" customHeight="1" ht="15.75">
      <c r="A644" s="502"/>
      <c r="B644" s="34"/>
      <c r="C644" s="34"/>
      <c r="D644" s="34"/>
      <c r="E644" s="34"/>
      <c r="F644" s="34"/>
      <c r="G644" s="34"/>
      <c r="H644" s="34"/>
      <c r="I644" s="29"/>
      <c r="J644" s="29"/>
      <c r="K644" s="29"/>
      <c r="L644" s="29"/>
      <c r="M644" s="34"/>
      <c r="N644" s="34"/>
      <c r="O644" s="29"/>
      <c r="P644" s="29"/>
      <c r="Q644" s="29"/>
      <c r="R644" s="29"/>
      <c r="S644" s="29"/>
      <c r="T644" s="29"/>
      <c r="U644" s="476"/>
      <c r="V644" s="107"/>
      <c r="W644" s="29"/>
      <c r="X644" s="34"/>
      <c r="Y644" s="34"/>
    </row>
    <row x14ac:dyDescent="0.25" r="645" customHeight="1" ht="15.75">
      <c r="A645" s="502"/>
      <c r="B645" s="34"/>
      <c r="C645" s="34"/>
      <c r="D645" s="34"/>
      <c r="E645" s="34"/>
      <c r="F645" s="34"/>
      <c r="G645" s="34"/>
      <c r="H645" s="34"/>
      <c r="I645" s="29"/>
      <c r="J645" s="29"/>
      <c r="K645" s="29"/>
      <c r="L645" s="29"/>
      <c r="M645" s="34"/>
      <c r="N645" s="34"/>
      <c r="O645" s="29"/>
      <c r="P645" s="29"/>
      <c r="Q645" s="29"/>
      <c r="R645" s="29"/>
      <c r="S645" s="29"/>
      <c r="T645" s="29"/>
      <c r="U645" s="476"/>
      <c r="V645" s="107"/>
      <c r="W645" s="29"/>
      <c r="X645" s="34"/>
      <c r="Y645" s="34"/>
    </row>
    <row x14ac:dyDescent="0.25" r="646" customHeight="1" ht="15.75">
      <c r="A646" s="502"/>
      <c r="B646" s="34"/>
      <c r="C646" s="34"/>
      <c r="D646" s="34"/>
      <c r="E646" s="34"/>
      <c r="F646" s="34"/>
      <c r="G646" s="34"/>
      <c r="H646" s="34"/>
      <c r="I646" s="29"/>
      <c r="J646" s="29"/>
      <c r="K646" s="29"/>
      <c r="L646" s="29"/>
      <c r="M646" s="34"/>
      <c r="N646" s="34"/>
      <c r="O646" s="29"/>
      <c r="P646" s="29"/>
      <c r="Q646" s="29"/>
      <c r="R646" s="29"/>
      <c r="S646" s="29"/>
      <c r="T646" s="29"/>
      <c r="U646" s="476"/>
      <c r="V646" s="107"/>
      <c r="W646" s="29"/>
      <c r="X646" s="34"/>
      <c r="Y646" s="34"/>
    </row>
    <row x14ac:dyDescent="0.25" r="647" customHeight="1" ht="15.75">
      <c r="A647" s="502"/>
      <c r="B647" s="34"/>
      <c r="C647" s="34"/>
      <c r="D647" s="34"/>
      <c r="E647" s="34"/>
      <c r="F647" s="34"/>
      <c r="G647" s="34"/>
      <c r="H647" s="34"/>
      <c r="I647" s="29"/>
      <c r="J647" s="29"/>
      <c r="K647" s="29"/>
      <c r="L647" s="29"/>
      <c r="M647" s="34"/>
      <c r="N647" s="34"/>
      <c r="O647" s="29"/>
      <c r="P647" s="29"/>
      <c r="Q647" s="29"/>
      <c r="R647" s="29"/>
      <c r="S647" s="29"/>
      <c r="T647" s="29"/>
      <c r="U647" s="476"/>
      <c r="V647" s="107"/>
      <c r="W647" s="29"/>
      <c r="X647" s="34"/>
      <c r="Y647" s="34"/>
    </row>
    <row x14ac:dyDescent="0.25" r="648" customHeight="1" ht="15.75">
      <c r="A648" s="502"/>
      <c r="B648" s="34"/>
      <c r="C648" s="34"/>
      <c r="D648" s="34"/>
      <c r="E648" s="34"/>
      <c r="F648" s="34"/>
      <c r="G648" s="34"/>
      <c r="H648" s="34"/>
      <c r="I648" s="29"/>
      <c r="J648" s="29"/>
      <c r="K648" s="29"/>
      <c r="L648" s="29"/>
      <c r="M648" s="34"/>
      <c r="N648" s="34"/>
      <c r="O648" s="29"/>
      <c r="P648" s="29"/>
      <c r="Q648" s="29"/>
      <c r="R648" s="29"/>
      <c r="S648" s="29"/>
      <c r="T648" s="29"/>
      <c r="U648" s="476"/>
      <c r="V648" s="107"/>
      <c r="W648" s="29"/>
      <c r="X648" s="34"/>
      <c r="Y648" s="34"/>
    </row>
    <row x14ac:dyDescent="0.25" r="649" customHeight="1" ht="15.75">
      <c r="A649" s="502"/>
      <c r="B649" s="34"/>
      <c r="C649" s="34"/>
      <c r="D649" s="34"/>
      <c r="E649" s="34"/>
      <c r="F649" s="34"/>
      <c r="G649" s="34"/>
      <c r="H649" s="34"/>
      <c r="I649" s="29"/>
      <c r="J649" s="29"/>
      <c r="K649" s="29"/>
      <c r="L649" s="29"/>
      <c r="M649" s="34"/>
      <c r="N649" s="34"/>
      <c r="O649" s="29"/>
      <c r="P649" s="29"/>
      <c r="Q649" s="29"/>
      <c r="R649" s="29"/>
      <c r="S649" s="29"/>
      <c r="T649" s="29"/>
      <c r="U649" s="476"/>
      <c r="V649" s="107"/>
      <c r="W649" s="29"/>
      <c r="X649" s="34"/>
      <c r="Y649" s="34"/>
    </row>
    <row x14ac:dyDescent="0.25" r="650" customHeight="1" ht="15.75">
      <c r="A650" s="502"/>
      <c r="B650" s="34"/>
      <c r="C650" s="34"/>
      <c r="D650" s="34"/>
      <c r="E650" s="34"/>
      <c r="F650" s="34"/>
      <c r="G650" s="34"/>
      <c r="H650" s="34"/>
      <c r="I650" s="29"/>
      <c r="J650" s="29"/>
      <c r="K650" s="29"/>
      <c r="L650" s="29"/>
      <c r="M650" s="34"/>
      <c r="N650" s="34"/>
      <c r="O650" s="29"/>
      <c r="P650" s="29"/>
      <c r="Q650" s="29"/>
      <c r="R650" s="29"/>
      <c r="S650" s="29"/>
      <c r="T650" s="29"/>
      <c r="U650" s="476"/>
      <c r="V650" s="107"/>
      <c r="W650" s="29"/>
      <c r="X650" s="34"/>
      <c r="Y650" s="34"/>
    </row>
    <row x14ac:dyDescent="0.25" r="651" customHeight="1" ht="15.75">
      <c r="A651" s="502"/>
      <c r="B651" s="34"/>
      <c r="C651" s="34"/>
      <c r="D651" s="34"/>
      <c r="E651" s="34"/>
      <c r="F651" s="34"/>
      <c r="G651" s="34"/>
      <c r="H651" s="34"/>
      <c r="I651" s="29"/>
      <c r="J651" s="29"/>
      <c r="K651" s="29"/>
      <c r="L651" s="29"/>
      <c r="M651" s="34"/>
      <c r="N651" s="34"/>
      <c r="O651" s="29"/>
      <c r="P651" s="29"/>
      <c r="Q651" s="29"/>
      <c r="R651" s="29"/>
      <c r="S651" s="29"/>
      <c r="T651" s="29"/>
      <c r="U651" s="476"/>
      <c r="V651" s="107"/>
      <c r="W651" s="29"/>
      <c r="X651" s="34"/>
      <c r="Y651" s="34"/>
    </row>
    <row x14ac:dyDescent="0.25" r="652" customHeight="1" ht="15.75">
      <c r="A652" s="502"/>
      <c r="B652" s="34"/>
      <c r="C652" s="34"/>
      <c r="D652" s="34"/>
      <c r="E652" s="34"/>
      <c r="F652" s="34"/>
      <c r="G652" s="34"/>
      <c r="H652" s="34"/>
      <c r="I652" s="29"/>
      <c r="J652" s="29"/>
      <c r="K652" s="29"/>
      <c r="L652" s="29"/>
      <c r="M652" s="34"/>
      <c r="N652" s="34"/>
      <c r="O652" s="29"/>
      <c r="P652" s="29"/>
      <c r="Q652" s="29"/>
      <c r="R652" s="29"/>
      <c r="S652" s="29"/>
      <c r="T652" s="29"/>
      <c r="U652" s="476"/>
      <c r="V652" s="107"/>
      <c r="W652" s="29"/>
      <c r="X652" s="34"/>
      <c r="Y652" s="34"/>
    </row>
    <row x14ac:dyDescent="0.25" r="653" customHeight="1" ht="15.75">
      <c r="A653" s="502"/>
      <c r="B653" s="34"/>
      <c r="C653" s="34"/>
      <c r="D653" s="34"/>
      <c r="E653" s="34"/>
      <c r="F653" s="34"/>
      <c r="G653" s="34"/>
      <c r="H653" s="34"/>
      <c r="I653" s="29"/>
      <c r="J653" s="29"/>
      <c r="K653" s="29"/>
      <c r="L653" s="29"/>
      <c r="M653" s="34"/>
      <c r="N653" s="34"/>
      <c r="O653" s="29"/>
      <c r="P653" s="29"/>
      <c r="Q653" s="29"/>
      <c r="R653" s="29"/>
      <c r="S653" s="29"/>
      <c r="T653" s="29"/>
      <c r="U653" s="476"/>
      <c r="V653" s="107"/>
      <c r="W653" s="29"/>
      <c r="X653" s="34"/>
      <c r="Y653" s="34"/>
    </row>
    <row x14ac:dyDescent="0.25" r="654" customHeight="1" ht="15.75">
      <c r="A654" s="502"/>
      <c r="B654" s="34"/>
      <c r="C654" s="34"/>
      <c r="D654" s="34"/>
      <c r="E654" s="34"/>
      <c r="F654" s="34"/>
      <c r="G654" s="34"/>
      <c r="H654" s="34"/>
      <c r="I654" s="29"/>
      <c r="J654" s="29"/>
      <c r="K654" s="29"/>
      <c r="L654" s="29"/>
      <c r="M654" s="34"/>
      <c r="N654" s="34"/>
      <c r="O654" s="29"/>
      <c r="P654" s="29"/>
      <c r="Q654" s="29"/>
      <c r="R654" s="29"/>
      <c r="S654" s="29"/>
      <c r="T654" s="29"/>
      <c r="U654" s="476"/>
      <c r="V654" s="107"/>
      <c r="W654" s="29"/>
      <c r="X654" s="34"/>
      <c r="Y654" s="34"/>
    </row>
    <row x14ac:dyDescent="0.25" r="655" customHeight="1" ht="15.75">
      <c r="A655" s="502"/>
      <c r="B655" s="34"/>
      <c r="C655" s="34"/>
      <c r="D655" s="34"/>
      <c r="E655" s="34"/>
      <c r="F655" s="34"/>
      <c r="G655" s="34"/>
      <c r="H655" s="34"/>
      <c r="I655" s="29"/>
      <c r="J655" s="29"/>
      <c r="K655" s="29"/>
      <c r="L655" s="29"/>
      <c r="M655" s="34"/>
      <c r="N655" s="34"/>
      <c r="O655" s="29"/>
      <c r="P655" s="29"/>
      <c r="Q655" s="29"/>
      <c r="R655" s="29"/>
      <c r="S655" s="29"/>
      <c r="T655" s="29"/>
      <c r="U655" s="476"/>
      <c r="V655" s="107"/>
      <c r="W655" s="29"/>
      <c r="X655" s="34"/>
      <c r="Y655" s="34"/>
    </row>
    <row x14ac:dyDescent="0.25" r="656" customHeight="1" ht="15.75">
      <c r="A656" s="502"/>
      <c r="B656" s="34"/>
      <c r="C656" s="34"/>
      <c r="D656" s="34"/>
      <c r="E656" s="34"/>
      <c r="F656" s="34"/>
      <c r="G656" s="34"/>
      <c r="H656" s="34"/>
      <c r="I656" s="29"/>
      <c r="J656" s="29"/>
      <c r="K656" s="29"/>
      <c r="L656" s="29"/>
      <c r="M656" s="34"/>
      <c r="N656" s="34"/>
      <c r="O656" s="29"/>
      <c r="P656" s="29"/>
      <c r="Q656" s="29"/>
      <c r="R656" s="29"/>
      <c r="S656" s="29"/>
      <c r="T656" s="29"/>
      <c r="U656" s="476"/>
      <c r="V656" s="107"/>
      <c r="W656" s="29"/>
      <c r="X656" s="34"/>
      <c r="Y656" s="34"/>
    </row>
    <row x14ac:dyDescent="0.25" r="657" customHeight="1" ht="15.75">
      <c r="A657" s="502"/>
      <c r="B657" s="34"/>
      <c r="C657" s="34"/>
      <c r="D657" s="34"/>
      <c r="E657" s="34"/>
      <c r="F657" s="34"/>
      <c r="G657" s="34"/>
      <c r="H657" s="34"/>
      <c r="I657" s="29"/>
      <c r="J657" s="29"/>
      <c r="K657" s="29"/>
      <c r="L657" s="29"/>
      <c r="M657" s="34"/>
      <c r="N657" s="34"/>
      <c r="O657" s="29"/>
      <c r="P657" s="29"/>
      <c r="Q657" s="29"/>
      <c r="R657" s="29"/>
      <c r="S657" s="29"/>
      <c r="T657" s="29"/>
      <c r="U657" s="476"/>
      <c r="V657" s="107"/>
      <c r="W657" s="29"/>
      <c r="X657" s="34"/>
      <c r="Y657" s="34"/>
    </row>
    <row x14ac:dyDescent="0.25" r="658" customHeight="1" ht="15.75">
      <c r="A658" s="502"/>
      <c r="B658" s="34"/>
      <c r="C658" s="34"/>
      <c r="D658" s="34"/>
      <c r="E658" s="34"/>
      <c r="F658" s="34"/>
      <c r="G658" s="34"/>
      <c r="H658" s="34"/>
      <c r="I658" s="29"/>
      <c r="J658" s="29"/>
      <c r="K658" s="29"/>
      <c r="L658" s="29"/>
      <c r="M658" s="34"/>
      <c r="N658" s="34"/>
      <c r="O658" s="29"/>
      <c r="P658" s="29"/>
      <c r="Q658" s="29"/>
      <c r="R658" s="29"/>
      <c r="S658" s="29"/>
      <c r="T658" s="29"/>
      <c r="U658" s="476"/>
      <c r="V658" s="107"/>
      <c r="W658" s="29"/>
      <c r="X658" s="34"/>
      <c r="Y658" s="34"/>
    </row>
    <row x14ac:dyDescent="0.25" r="659" customHeight="1" ht="15.75">
      <c r="A659" s="502"/>
      <c r="B659" s="34"/>
      <c r="C659" s="34"/>
      <c r="D659" s="34"/>
      <c r="E659" s="34"/>
      <c r="F659" s="34"/>
      <c r="G659" s="34"/>
      <c r="H659" s="34"/>
      <c r="I659" s="29"/>
      <c r="J659" s="29"/>
      <c r="K659" s="29"/>
      <c r="L659" s="29"/>
      <c r="M659" s="34"/>
      <c r="N659" s="34"/>
      <c r="O659" s="29"/>
      <c r="P659" s="29"/>
      <c r="Q659" s="29"/>
      <c r="R659" s="29"/>
      <c r="S659" s="29"/>
      <c r="T659" s="29"/>
      <c r="U659" s="476"/>
      <c r="V659" s="107"/>
      <c r="W659" s="29"/>
      <c r="X659" s="34"/>
      <c r="Y659" s="34"/>
    </row>
    <row x14ac:dyDescent="0.25" r="660" customHeight="1" ht="15.75">
      <c r="A660" s="502"/>
      <c r="B660" s="34"/>
      <c r="C660" s="34"/>
      <c r="D660" s="34"/>
      <c r="E660" s="34"/>
      <c r="F660" s="34"/>
      <c r="G660" s="34"/>
      <c r="H660" s="34"/>
      <c r="I660" s="29"/>
      <c r="J660" s="29"/>
      <c r="K660" s="29"/>
      <c r="L660" s="29"/>
      <c r="M660" s="34"/>
      <c r="N660" s="34"/>
      <c r="O660" s="29"/>
      <c r="P660" s="29"/>
      <c r="Q660" s="29"/>
      <c r="R660" s="29"/>
      <c r="S660" s="29"/>
      <c r="T660" s="29"/>
      <c r="U660" s="476"/>
      <c r="V660" s="107"/>
      <c r="W660" s="29"/>
      <c r="X660" s="34"/>
      <c r="Y660" s="34"/>
    </row>
    <row x14ac:dyDescent="0.25" r="661" customHeight="1" ht="15.75">
      <c r="A661" s="502"/>
      <c r="B661" s="34"/>
      <c r="C661" s="34"/>
      <c r="D661" s="34"/>
      <c r="E661" s="34"/>
      <c r="F661" s="34"/>
      <c r="G661" s="34"/>
      <c r="H661" s="34"/>
      <c r="I661" s="29"/>
      <c r="J661" s="29"/>
      <c r="K661" s="29"/>
      <c r="L661" s="29"/>
      <c r="M661" s="34"/>
      <c r="N661" s="34"/>
      <c r="O661" s="29"/>
      <c r="P661" s="29"/>
      <c r="Q661" s="29"/>
      <c r="R661" s="29"/>
      <c r="S661" s="29"/>
      <c r="T661" s="29"/>
      <c r="U661" s="476"/>
      <c r="V661" s="107"/>
      <c r="W661" s="29"/>
      <c r="X661" s="34"/>
      <c r="Y661" s="34"/>
    </row>
    <row x14ac:dyDescent="0.25" r="662" customHeight="1" ht="15.75">
      <c r="A662" s="502"/>
      <c r="B662" s="34"/>
      <c r="C662" s="34"/>
      <c r="D662" s="34"/>
      <c r="E662" s="34"/>
      <c r="F662" s="34"/>
      <c r="G662" s="34"/>
      <c r="H662" s="34"/>
      <c r="I662" s="29"/>
      <c r="J662" s="29"/>
      <c r="K662" s="29"/>
      <c r="L662" s="29"/>
      <c r="M662" s="34"/>
      <c r="N662" s="34"/>
      <c r="O662" s="29"/>
      <c r="P662" s="29"/>
      <c r="Q662" s="29"/>
      <c r="R662" s="29"/>
      <c r="S662" s="29"/>
      <c r="T662" s="29"/>
      <c r="U662" s="476"/>
      <c r="V662" s="107"/>
      <c r="W662" s="29"/>
      <c r="X662" s="34"/>
      <c r="Y662" s="34"/>
    </row>
    <row x14ac:dyDescent="0.25" r="663" customHeight="1" ht="15.75">
      <c r="A663" s="502"/>
      <c r="B663" s="34"/>
      <c r="C663" s="34"/>
      <c r="D663" s="34"/>
      <c r="E663" s="34"/>
      <c r="F663" s="34"/>
      <c r="G663" s="34"/>
      <c r="H663" s="34"/>
      <c r="I663" s="29"/>
      <c r="J663" s="29"/>
      <c r="K663" s="29"/>
      <c r="L663" s="29"/>
      <c r="M663" s="34"/>
      <c r="N663" s="34"/>
      <c r="O663" s="29"/>
      <c r="P663" s="29"/>
      <c r="Q663" s="29"/>
      <c r="R663" s="29"/>
      <c r="S663" s="29"/>
      <c r="T663" s="29"/>
      <c r="U663" s="476"/>
      <c r="V663" s="107"/>
      <c r="W663" s="29"/>
      <c r="X663" s="34"/>
      <c r="Y663" s="34"/>
    </row>
    <row x14ac:dyDescent="0.25" r="664" customHeight="1" ht="15.75">
      <c r="A664" s="502"/>
      <c r="B664" s="34"/>
      <c r="C664" s="34"/>
      <c r="D664" s="34"/>
      <c r="E664" s="34"/>
      <c r="F664" s="34"/>
      <c r="G664" s="34"/>
      <c r="H664" s="34"/>
      <c r="I664" s="29"/>
      <c r="J664" s="29"/>
      <c r="K664" s="29"/>
      <c r="L664" s="29"/>
      <c r="M664" s="34"/>
      <c r="N664" s="34"/>
      <c r="O664" s="29"/>
      <c r="P664" s="29"/>
      <c r="Q664" s="29"/>
      <c r="R664" s="29"/>
      <c r="S664" s="29"/>
      <c r="T664" s="29"/>
      <c r="U664" s="476"/>
      <c r="V664" s="107"/>
      <c r="W664" s="29"/>
      <c r="X664" s="34"/>
      <c r="Y664" s="34"/>
    </row>
    <row x14ac:dyDescent="0.25" r="665" customHeight="1" ht="15.75">
      <c r="A665" s="502"/>
      <c r="B665" s="34"/>
      <c r="C665" s="34"/>
      <c r="D665" s="34"/>
      <c r="E665" s="34"/>
      <c r="F665" s="34"/>
      <c r="G665" s="34"/>
      <c r="H665" s="34"/>
      <c r="I665" s="29"/>
      <c r="J665" s="29"/>
      <c r="K665" s="29"/>
      <c r="L665" s="29"/>
      <c r="M665" s="34"/>
      <c r="N665" s="34"/>
      <c r="O665" s="29"/>
      <c r="P665" s="29"/>
      <c r="Q665" s="29"/>
      <c r="R665" s="29"/>
      <c r="S665" s="29"/>
      <c r="T665" s="29"/>
      <c r="U665" s="476"/>
      <c r="V665" s="107"/>
      <c r="W665" s="29"/>
      <c r="X665" s="34"/>
      <c r="Y665" s="34"/>
    </row>
    <row x14ac:dyDescent="0.25" r="666" customHeight="1" ht="15.75">
      <c r="A666" s="502"/>
      <c r="B666" s="34"/>
      <c r="C666" s="34"/>
      <c r="D666" s="34"/>
      <c r="E666" s="34"/>
      <c r="F666" s="34"/>
      <c r="G666" s="34"/>
      <c r="H666" s="34"/>
      <c r="I666" s="29"/>
      <c r="J666" s="29"/>
      <c r="K666" s="29"/>
      <c r="L666" s="29"/>
      <c r="M666" s="34"/>
      <c r="N666" s="34"/>
      <c r="O666" s="29"/>
      <c r="P666" s="29"/>
      <c r="Q666" s="29"/>
      <c r="R666" s="29"/>
      <c r="S666" s="29"/>
      <c r="T666" s="29"/>
      <c r="U666" s="476"/>
      <c r="V666" s="107"/>
      <c r="W666" s="29"/>
      <c r="X666" s="34"/>
      <c r="Y666" s="34"/>
    </row>
    <row x14ac:dyDescent="0.25" r="667" customHeight="1" ht="15.75">
      <c r="A667" s="502"/>
      <c r="B667" s="34"/>
      <c r="C667" s="34"/>
      <c r="D667" s="34"/>
      <c r="E667" s="34"/>
      <c r="F667" s="34"/>
      <c r="G667" s="34"/>
      <c r="H667" s="34"/>
      <c r="I667" s="29"/>
      <c r="J667" s="29"/>
      <c r="K667" s="29"/>
      <c r="L667" s="29"/>
      <c r="M667" s="34"/>
      <c r="N667" s="34"/>
      <c r="O667" s="29"/>
      <c r="P667" s="29"/>
      <c r="Q667" s="29"/>
      <c r="R667" s="29"/>
      <c r="S667" s="29"/>
      <c r="T667" s="29"/>
      <c r="U667" s="476"/>
      <c r="V667" s="107"/>
      <c r="W667" s="29"/>
      <c r="X667" s="34"/>
      <c r="Y667" s="34"/>
    </row>
    <row x14ac:dyDescent="0.25" r="668" customHeight="1" ht="15.75">
      <c r="A668" s="502"/>
      <c r="B668" s="34"/>
      <c r="C668" s="34"/>
      <c r="D668" s="34"/>
      <c r="E668" s="34"/>
      <c r="F668" s="34"/>
      <c r="G668" s="34"/>
      <c r="H668" s="34"/>
      <c r="I668" s="29"/>
      <c r="J668" s="29"/>
      <c r="K668" s="29"/>
      <c r="L668" s="29"/>
      <c r="M668" s="34"/>
      <c r="N668" s="34"/>
      <c r="O668" s="29"/>
      <c r="P668" s="29"/>
      <c r="Q668" s="29"/>
      <c r="R668" s="29"/>
      <c r="S668" s="29"/>
      <c r="T668" s="29"/>
      <c r="U668" s="476"/>
      <c r="V668" s="107"/>
      <c r="W668" s="29"/>
      <c r="X668" s="34"/>
      <c r="Y668" s="34"/>
    </row>
    <row x14ac:dyDescent="0.25" r="669" customHeight="1" ht="15.75">
      <c r="A669" s="502"/>
      <c r="B669" s="34"/>
      <c r="C669" s="34"/>
      <c r="D669" s="34"/>
      <c r="E669" s="34"/>
      <c r="F669" s="34"/>
      <c r="G669" s="34"/>
      <c r="H669" s="34"/>
      <c r="I669" s="29"/>
      <c r="J669" s="29"/>
      <c r="K669" s="29"/>
      <c r="L669" s="29"/>
      <c r="M669" s="34"/>
      <c r="N669" s="34"/>
      <c r="O669" s="29"/>
      <c r="P669" s="29"/>
      <c r="Q669" s="29"/>
      <c r="R669" s="29"/>
      <c r="S669" s="29"/>
      <c r="T669" s="29"/>
      <c r="U669" s="476"/>
      <c r="V669" s="107"/>
      <c r="W669" s="29"/>
      <c r="X669" s="34"/>
      <c r="Y669" s="34"/>
    </row>
    <row x14ac:dyDescent="0.25" r="670" customHeight="1" ht="15.75">
      <c r="A670" s="502"/>
      <c r="B670" s="34"/>
      <c r="C670" s="34"/>
      <c r="D670" s="34"/>
      <c r="E670" s="34"/>
      <c r="F670" s="34"/>
      <c r="G670" s="34"/>
      <c r="H670" s="34"/>
      <c r="I670" s="29"/>
      <c r="J670" s="29"/>
      <c r="K670" s="29"/>
      <c r="L670" s="29"/>
      <c r="M670" s="34"/>
      <c r="N670" s="34"/>
      <c r="O670" s="29"/>
      <c r="P670" s="29"/>
      <c r="Q670" s="29"/>
      <c r="R670" s="29"/>
      <c r="S670" s="29"/>
      <c r="T670" s="29"/>
      <c r="U670" s="476"/>
      <c r="V670" s="107"/>
      <c r="W670" s="29"/>
      <c r="X670" s="34"/>
      <c r="Y670" s="34"/>
    </row>
    <row x14ac:dyDescent="0.25" r="671" customHeight="1" ht="15.75">
      <c r="A671" s="502"/>
      <c r="B671" s="34"/>
      <c r="C671" s="34"/>
      <c r="D671" s="34"/>
      <c r="E671" s="34"/>
      <c r="F671" s="34"/>
      <c r="G671" s="34"/>
      <c r="H671" s="34"/>
      <c r="I671" s="29"/>
      <c r="J671" s="29"/>
      <c r="K671" s="29"/>
      <c r="L671" s="29"/>
      <c r="M671" s="34"/>
      <c r="N671" s="34"/>
      <c r="O671" s="29"/>
      <c r="P671" s="29"/>
      <c r="Q671" s="29"/>
      <c r="R671" s="29"/>
      <c r="S671" s="29"/>
      <c r="T671" s="29"/>
      <c r="U671" s="476"/>
      <c r="V671" s="107"/>
      <c r="W671" s="29"/>
      <c r="X671" s="34"/>
      <c r="Y671" s="34"/>
    </row>
    <row x14ac:dyDescent="0.25" r="672" customHeight="1" ht="15.75">
      <c r="A672" s="502"/>
      <c r="B672" s="34"/>
      <c r="C672" s="34"/>
      <c r="D672" s="34"/>
      <c r="E672" s="34"/>
      <c r="F672" s="34"/>
      <c r="G672" s="34"/>
      <c r="H672" s="34"/>
      <c r="I672" s="29"/>
      <c r="J672" s="29"/>
      <c r="K672" s="29"/>
      <c r="L672" s="29"/>
      <c r="M672" s="34"/>
      <c r="N672" s="34"/>
      <c r="O672" s="29"/>
      <c r="P672" s="29"/>
      <c r="Q672" s="29"/>
      <c r="R672" s="29"/>
      <c r="S672" s="29"/>
      <c r="T672" s="29"/>
      <c r="U672" s="476"/>
      <c r="V672" s="107"/>
      <c r="W672" s="29"/>
      <c r="X672" s="34"/>
      <c r="Y672" s="34"/>
    </row>
    <row x14ac:dyDescent="0.25" r="673" customHeight="1" ht="15.75">
      <c r="A673" s="502"/>
      <c r="B673" s="34"/>
      <c r="C673" s="34"/>
      <c r="D673" s="34"/>
      <c r="E673" s="34"/>
      <c r="F673" s="34"/>
      <c r="G673" s="34"/>
      <c r="H673" s="34"/>
      <c r="I673" s="29"/>
      <c r="J673" s="29"/>
      <c r="K673" s="29"/>
      <c r="L673" s="29"/>
      <c r="M673" s="34"/>
      <c r="N673" s="34"/>
      <c r="O673" s="29"/>
      <c r="P673" s="29"/>
      <c r="Q673" s="29"/>
      <c r="R673" s="29"/>
      <c r="S673" s="29"/>
      <c r="T673" s="29"/>
      <c r="U673" s="476"/>
      <c r="V673" s="107"/>
      <c r="W673" s="29"/>
      <c r="X673" s="34"/>
      <c r="Y673" s="34"/>
    </row>
    <row x14ac:dyDescent="0.25" r="674" customHeight="1" ht="15.75">
      <c r="A674" s="502"/>
      <c r="B674" s="34"/>
      <c r="C674" s="34"/>
      <c r="D674" s="34"/>
      <c r="E674" s="34"/>
      <c r="F674" s="34"/>
      <c r="G674" s="34"/>
      <c r="H674" s="34"/>
      <c r="I674" s="29"/>
      <c r="J674" s="29"/>
      <c r="K674" s="29"/>
      <c r="L674" s="29"/>
      <c r="M674" s="34"/>
      <c r="N674" s="34"/>
      <c r="O674" s="29"/>
      <c r="P674" s="29"/>
      <c r="Q674" s="29"/>
      <c r="R674" s="29"/>
      <c r="S674" s="29"/>
      <c r="T674" s="29"/>
      <c r="U674" s="476"/>
      <c r="V674" s="107"/>
      <c r="W674" s="29"/>
      <c r="X674" s="34"/>
      <c r="Y674" s="34"/>
    </row>
    <row x14ac:dyDescent="0.25" r="675" customHeight="1" ht="15.75">
      <c r="A675" s="502"/>
      <c r="B675" s="34"/>
      <c r="C675" s="34"/>
      <c r="D675" s="34"/>
      <c r="E675" s="34"/>
      <c r="F675" s="34"/>
      <c r="G675" s="34"/>
      <c r="H675" s="34"/>
      <c r="I675" s="29"/>
      <c r="J675" s="29"/>
      <c r="K675" s="29"/>
      <c r="L675" s="29"/>
      <c r="M675" s="34"/>
      <c r="N675" s="34"/>
      <c r="O675" s="29"/>
      <c r="P675" s="29"/>
      <c r="Q675" s="29"/>
      <c r="R675" s="29"/>
      <c r="S675" s="29"/>
      <c r="T675" s="29"/>
      <c r="U675" s="476"/>
      <c r="V675" s="107"/>
      <c r="W675" s="29"/>
      <c r="X675" s="34"/>
      <c r="Y675" s="34"/>
    </row>
    <row x14ac:dyDescent="0.25" r="676" customHeight="1" ht="15.75">
      <c r="A676" s="502"/>
      <c r="B676" s="34"/>
      <c r="C676" s="34"/>
      <c r="D676" s="34"/>
      <c r="E676" s="34"/>
      <c r="F676" s="34"/>
      <c r="G676" s="34"/>
      <c r="H676" s="34"/>
      <c r="I676" s="29"/>
      <c r="J676" s="29"/>
      <c r="K676" s="29"/>
      <c r="L676" s="29"/>
      <c r="M676" s="34"/>
      <c r="N676" s="34"/>
      <c r="O676" s="29"/>
      <c r="P676" s="29"/>
      <c r="Q676" s="29"/>
      <c r="R676" s="29"/>
      <c r="S676" s="29"/>
      <c r="T676" s="29"/>
      <c r="U676" s="476"/>
      <c r="V676" s="107"/>
      <c r="W676" s="29"/>
      <c r="X676" s="34"/>
      <c r="Y676" s="34"/>
    </row>
    <row x14ac:dyDescent="0.25" r="677" customHeight="1" ht="15.75">
      <c r="A677" s="502"/>
      <c r="B677" s="34"/>
      <c r="C677" s="34"/>
      <c r="D677" s="34"/>
      <c r="E677" s="34"/>
      <c r="F677" s="34"/>
      <c r="G677" s="34"/>
      <c r="H677" s="34"/>
      <c r="I677" s="29"/>
      <c r="J677" s="29"/>
      <c r="K677" s="29"/>
      <c r="L677" s="29"/>
      <c r="M677" s="34"/>
      <c r="N677" s="34"/>
      <c r="O677" s="29"/>
      <c r="P677" s="29"/>
      <c r="Q677" s="29"/>
      <c r="R677" s="29"/>
      <c r="S677" s="29"/>
      <c r="T677" s="29"/>
      <c r="U677" s="476"/>
      <c r="V677" s="107"/>
      <c r="W677" s="29"/>
      <c r="X677" s="34"/>
      <c r="Y677" s="34"/>
    </row>
    <row x14ac:dyDescent="0.25" r="678" customHeight="1" ht="15.75">
      <c r="A678" s="502"/>
      <c r="B678" s="34"/>
      <c r="C678" s="34"/>
      <c r="D678" s="34"/>
      <c r="E678" s="34"/>
      <c r="F678" s="34"/>
      <c r="G678" s="34"/>
      <c r="H678" s="34"/>
      <c r="I678" s="29"/>
      <c r="J678" s="29"/>
      <c r="K678" s="29"/>
      <c r="L678" s="29"/>
      <c r="M678" s="34"/>
      <c r="N678" s="34"/>
      <c r="O678" s="29"/>
      <c r="P678" s="29"/>
      <c r="Q678" s="29"/>
      <c r="R678" s="29"/>
      <c r="S678" s="29"/>
      <c r="T678" s="29"/>
      <c r="U678" s="476"/>
      <c r="V678" s="107"/>
      <c r="W678" s="29"/>
      <c r="X678" s="34"/>
      <c r="Y678" s="34"/>
    </row>
    <row x14ac:dyDescent="0.25" r="679" customHeight="1" ht="15.75">
      <c r="A679" s="502"/>
      <c r="B679" s="34"/>
      <c r="C679" s="34"/>
      <c r="D679" s="34"/>
      <c r="E679" s="34"/>
      <c r="F679" s="34"/>
      <c r="G679" s="34"/>
      <c r="H679" s="34"/>
      <c r="I679" s="29"/>
      <c r="J679" s="29"/>
      <c r="K679" s="29"/>
      <c r="L679" s="29"/>
      <c r="M679" s="34"/>
      <c r="N679" s="34"/>
      <c r="O679" s="29"/>
      <c r="P679" s="29"/>
      <c r="Q679" s="29"/>
      <c r="R679" s="29"/>
      <c r="S679" s="29"/>
      <c r="T679" s="29"/>
      <c r="U679" s="476"/>
      <c r="V679" s="107"/>
      <c r="W679" s="29"/>
      <c r="X679" s="34"/>
      <c r="Y679" s="34"/>
    </row>
    <row x14ac:dyDescent="0.25" r="680" customHeight="1" ht="15.75">
      <c r="A680" s="502"/>
      <c r="B680" s="34"/>
      <c r="C680" s="34"/>
      <c r="D680" s="34"/>
      <c r="E680" s="34"/>
      <c r="F680" s="34"/>
      <c r="G680" s="34"/>
      <c r="H680" s="34"/>
      <c r="I680" s="29"/>
      <c r="J680" s="29"/>
      <c r="K680" s="29"/>
      <c r="L680" s="29"/>
      <c r="M680" s="34"/>
      <c r="N680" s="34"/>
      <c r="O680" s="29"/>
      <c r="P680" s="29"/>
      <c r="Q680" s="29"/>
      <c r="R680" s="29"/>
      <c r="S680" s="29"/>
      <c r="T680" s="29"/>
      <c r="U680" s="476"/>
      <c r="V680" s="107"/>
      <c r="W680" s="29"/>
      <c r="X680" s="34"/>
      <c r="Y680" s="34"/>
    </row>
    <row x14ac:dyDescent="0.25" r="681" customHeight="1" ht="15.75">
      <c r="A681" s="502"/>
      <c r="B681" s="34"/>
      <c r="C681" s="34"/>
      <c r="D681" s="34"/>
      <c r="E681" s="34"/>
      <c r="F681" s="34"/>
      <c r="G681" s="34"/>
      <c r="H681" s="34"/>
      <c r="I681" s="29"/>
      <c r="J681" s="29"/>
      <c r="K681" s="29"/>
      <c r="L681" s="29"/>
      <c r="M681" s="34"/>
      <c r="N681" s="34"/>
      <c r="O681" s="29"/>
      <c r="P681" s="29"/>
      <c r="Q681" s="29"/>
      <c r="R681" s="29"/>
      <c r="S681" s="29"/>
      <c r="T681" s="29"/>
      <c r="U681" s="476"/>
      <c r="V681" s="107"/>
      <c r="W681" s="29"/>
      <c r="X681" s="34"/>
      <c r="Y681" s="34"/>
    </row>
    <row x14ac:dyDescent="0.25" r="682" customHeight="1" ht="15.75">
      <c r="A682" s="502"/>
      <c r="B682" s="34"/>
      <c r="C682" s="34"/>
      <c r="D682" s="34"/>
      <c r="E682" s="34"/>
      <c r="F682" s="34"/>
      <c r="G682" s="34"/>
      <c r="H682" s="34"/>
      <c r="I682" s="29"/>
      <c r="J682" s="29"/>
      <c r="K682" s="29"/>
      <c r="L682" s="29"/>
      <c r="M682" s="34"/>
      <c r="N682" s="34"/>
      <c r="O682" s="29"/>
      <c r="P682" s="29"/>
      <c r="Q682" s="29"/>
      <c r="R682" s="29"/>
      <c r="S682" s="29"/>
      <c r="T682" s="29"/>
      <c r="U682" s="476"/>
      <c r="V682" s="107"/>
      <c r="W682" s="29"/>
      <c r="X682" s="34"/>
      <c r="Y682" s="34"/>
    </row>
    <row x14ac:dyDescent="0.25" r="683" customHeight="1" ht="15.75">
      <c r="A683" s="502"/>
      <c r="B683" s="34"/>
      <c r="C683" s="34"/>
      <c r="D683" s="34"/>
      <c r="E683" s="34"/>
      <c r="F683" s="34"/>
      <c r="G683" s="34"/>
      <c r="H683" s="34"/>
      <c r="I683" s="29"/>
      <c r="J683" s="29"/>
      <c r="K683" s="29"/>
      <c r="L683" s="29"/>
      <c r="M683" s="34"/>
      <c r="N683" s="34"/>
      <c r="O683" s="29"/>
      <c r="P683" s="29"/>
      <c r="Q683" s="29"/>
      <c r="R683" s="29"/>
      <c r="S683" s="29"/>
      <c r="T683" s="29"/>
      <c r="U683" s="476"/>
      <c r="V683" s="107"/>
      <c r="W683" s="29"/>
      <c r="X683" s="34"/>
      <c r="Y683" s="34"/>
    </row>
    <row x14ac:dyDescent="0.25" r="684" customHeight="1" ht="15.75">
      <c r="A684" s="502"/>
      <c r="B684" s="34"/>
      <c r="C684" s="34"/>
      <c r="D684" s="34"/>
      <c r="E684" s="34"/>
      <c r="F684" s="34"/>
      <c r="G684" s="34"/>
      <c r="H684" s="34"/>
      <c r="I684" s="29"/>
      <c r="J684" s="29"/>
      <c r="K684" s="29"/>
      <c r="L684" s="29"/>
      <c r="M684" s="34"/>
      <c r="N684" s="34"/>
      <c r="O684" s="29"/>
      <c r="P684" s="29"/>
      <c r="Q684" s="29"/>
      <c r="R684" s="29"/>
      <c r="S684" s="29"/>
      <c r="T684" s="29"/>
      <c r="U684" s="476"/>
      <c r="V684" s="107"/>
      <c r="W684" s="29"/>
      <c r="X684" s="34"/>
      <c r="Y684" s="34"/>
    </row>
    <row x14ac:dyDescent="0.25" r="685" customHeight="1" ht="15.75">
      <c r="A685" s="502"/>
      <c r="B685" s="34"/>
      <c r="C685" s="34"/>
      <c r="D685" s="34"/>
      <c r="E685" s="34"/>
      <c r="F685" s="34"/>
      <c r="G685" s="34"/>
      <c r="H685" s="34"/>
      <c r="I685" s="29"/>
      <c r="J685" s="29"/>
      <c r="K685" s="29"/>
      <c r="L685" s="29"/>
      <c r="M685" s="34"/>
      <c r="N685" s="34"/>
      <c r="O685" s="29"/>
      <c r="P685" s="29"/>
      <c r="Q685" s="29"/>
      <c r="R685" s="29"/>
      <c r="S685" s="29"/>
      <c r="T685" s="29"/>
      <c r="U685" s="476"/>
      <c r="V685" s="107"/>
      <c r="W685" s="29"/>
      <c r="X685" s="34"/>
      <c r="Y685" s="34"/>
    </row>
    <row x14ac:dyDescent="0.25" r="686" customHeight="1" ht="15.75">
      <c r="A686" s="502"/>
      <c r="B686" s="34"/>
      <c r="C686" s="34"/>
      <c r="D686" s="34"/>
      <c r="E686" s="34"/>
      <c r="F686" s="34"/>
      <c r="G686" s="34"/>
      <c r="H686" s="34"/>
      <c r="I686" s="29"/>
      <c r="J686" s="29"/>
      <c r="K686" s="29"/>
      <c r="L686" s="29"/>
      <c r="M686" s="34"/>
      <c r="N686" s="34"/>
      <c r="O686" s="29"/>
      <c r="P686" s="29"/>
      <c r="Q686" s="29"/>
      <c r="R686" s="29"/>
      <c r="S686" s="29"/>
      <c r="T686" s="29"/>
      <c r="U686" s="476"/>
      <c r="V686" s="107"/>
      <c r="W686" s="29"/>
      <c r="X686" s="34"/>
      <c r="Y686" s="34"/>
    </row>
    <row x14ac:dyDescent="0.25" r="687" customHeight="1" ht="15.75">
      <c r="A687" s="502"/>
      <c r="B687" s="34"/>
      <c r="C687" s="34"/>
      <c r="D687" s="34"/>
      <c r="E687" s="34"/>
      <c r="F687" s="34"/>
      <c r="G687" s="34"/>
      <c r="H687" s="34"/>
      <c r="I687" s="29"/>
      <c r="J687" s="29"/>
      <c r="K687" s="29"/>
      <c r="L687" s="29"/>
      <c r="M687" s="34"/>
      <c r="N687" s="34"/>
      <c r="O687" s="29"/>
      <c r="P687" s="29"/>
      <c r="Q687" s="29"/>
      <c r="R687" s="29"/>
      <c r="S687" s="29"/>
      <c r="T687" s="29"/>
      <c r="U687" s="476"/>
      <c r="V687" s="107"/>
      <c r="W687" s="29"/>
      <c r="X687" s="34"/>
      <c r="Y687" s="34"/>
    </row>
    <row x14ac:dyDescent="0.25" r="688" customHeight="1" ht="15.75">
      <c r="A688" s="502"/>
      <c r="B688" s="34"/>
      <c r="C688" s="34"/>
      <c r="D688" s="34"/>
      <c r="E688" s="34"/>
      <c r="F688" s="34"/>
      <c r="G688" s="34"/>
      <c r="H688" s="34"/>
      <c r="I688" s="29"/>
      <c r="J688" s="29"/>
      <c r="K688" s="29"/>
      <c r="L688" s="29"/>
      <c r="M688" s="34"/>
      <c r="N688" s="34"/>
      <c r="O688" s="29"/>
      <c r="P688" s="29"/>
      <c r="Q688" s="29"/>
      <c r="R688" s="29"/>
      <c r="S688" s="29"/>
      <c r="T688" s="29"/>
      <c r="U688" s="476"/>
      <c r="V688" s="107"/>
      <c r="W688" s="29"/>
      <c r="X688" s="34"/>
      <c r="Y688" s="34"/>
    </row>
    <row x14ac:dyDescent="0.25" r="689" customHeight="1" ht="15.75">
      <c r="A689" s="502"/>
      <c r="B689" s="34"/>
      <c r="C689" s="34"/>
      <c r="D689" s="34"/>
      <c r="E689" s="34"/>
      <c r="F689" s="34"/>
      <c r="G689" s="34"/>
      <c r="H689" s="34"/>
      <c r="I689" s="29"/>
      <c r="J689" s="29"/>
      <c r="K689" s="29"/>
      <c r="L689" s="29"/>
      <c r="M689" s="34"/>
      <c r="N689" s="34"/>
      <c r="O689" s="29"/>
      <c r="P689" s="29"/>
      <c r="Q689" s="29"/>
      <c r="R689" s="29"/>
      <c r="S689" s="29"/>
      <c r="T689" s="29"/>
      <c r="U689" s="476"/>
      <c r="V689" s="107"/>
      <c r="W689" s="29"/>
      <c r="X689" s="34"/>
      <c r="Y689" s="34"/>
    </row>
    <row x14ac:dyDescent="0.25" r="690" customHeight="1" ht="15.75">
      <c r="A690" s="502"/>
      <c r="B690" s="34"/>
      <c r="C690" s="34"/>
      <c r="D690" s="34"/>
      <c r="E690" s="34"/>
      <c r="F690" s="34"/>
      <c r="G690" s="34"/>
      <c r="H690" s="34"/>
      <c r="I690" s="29"/>
      <c r="J690" s="29"/>
      <c r="K690" s="29"/>
      <c r="L690" s="29"/>
      <c r="M690" s="34"/>
      <c r="N690" s="34"/>
      <c r="O690" s="29"/>
      <c r="P690" s="29"/>
      <c r="Q690" s="29"/>
      <c r="R690" s="29"/>
      <c r="S690" s="29"/>
      <c r="T690" s="29"/>
      <c r="U690" s="476"/>
      <c r="V690" s="107"/>
      <c r="W690" s="29"/>
      <c r="X690" s="34"/>
      <c r="Y690" s="34"/>
    </row>
    <row x14ac:dyDescent="0.25" r="691" customHeight="1" ht="15.75">
      <c r="A691" s="502"/>
      <c r="B691" s="34"/>
      <c r="C691" s="34"/>
      <c r="D691" s="34"/>
      <c r="E691" s="34"/>
      <c r="F691" s="34"/>
      <c r="G691" s="34"/>
      <c r="H691" s="34"/>
      <c r="I691" s="29"/>
      <c r="J691" s="29"/>
      <c r="K691" s="29"/>
      <c r="L691" s="29"/>
      <c r="M691" s="34"/>
      <c r="N691" s="34"/>
      <c r="O691" s="29"/>
      <c r="P691" s="29"/>
      <c r="Q691" s="29"/>
      <c r="R691" s="29"/>
      <c r="S691" s="29"/>
      <c r="T691" s="29"/>
      <c r="U691" s="476"/>
      <c r="V691" s="107"/>
      <c r="W691" s="29"/>
      <c r="X691" s="34"/>
      <c r="Y691" s="34"/>
    </row>
    <row x14ac:dyDescent="0.25" r="692" customHeight="1" ht="15.75">
      <c r="A692" s="502"/>
      <c r="B692" s="34"/>
      <c r="C692" s="34"/>
      <c r="D692" s="34"/>
      <c r="E692" s="34"/>
      <c r="F692" s="34"/>
      <c r="G692" s="34"/>
      <c r="H692" s="34"/>
      <c r="I692" s="29"/>
      <c r="J692" s="29"/>
      <c r="K692" s="29"/>
      <c r="L692" s="29"/>
      <c r="M692" s="34"/>
      <c r="N692" s="34"/>
      <c r="O692" s="29"/>
      <c r="P692" s="29"/>
      <c r="Q692" s="29"/>
      <c r="R692" s="29"/>
      <c r="S692" s="29"/>
      <c r="T692" s="29"/>
      <c r="U692" s="476"/>
      <c r="V692" s="107"/>
      <c r="W692" s="29"/>
      <c r="X692" s="34"/>
      <c r="Y692" s="34"/>
    </row>
    <row x14ac:dyDescent="0.25" r="693" customHeight="1" ht="15.75">
      <c r="A693" s="502"/>
      <c r="B693" s="34"/>
      <c r="C693" s="34"/>
      <c r="D693" s="34"/>
      <c r="E693" s="34"/>
      <c r="F693" s="34"/>
      <c r="G693" s="34"/>
      <c r="H693" s="34"/>
      <c r="I693" s="29"/>
      <c r="J693" s="29"/>
      <c r="K693" s="29"/>
      <c r="L693" s="29"/>
      <c r="M693" s="34"/>
      <c r="N693" s="34"/>
      <c r="O693" s="29"/>
      <c r="P693" s="29"/>
      <c r="Q693" s="29"/>
      <c r="R693" s="29"/>
      <c r="S693" s="29"/>
      <c r="T693" s="29"/>
      <c r="U693" s="476"/>
      <c r="V693" s="107"/>
      <c r="W693" s="29"/>
      <c r="X693" s="34"/>
      <c r="Y693" s="34"/>
    </row>
    <row x14ac:dyDescent="0.25" r="694" customHeight="1" ht="15.75">
      <c r="A694" s="502"/>
      <c r="B694" s="34"/>
      <c r="C694" s="34"/>
      <c r="D694" s="34"/>
      <c r="E694" s="34"/>
      <c r="F694" s="34"/>
      <c r="G694" s="34"/>
      <c r="H694" s="34"/>
      <c r="I694" s="29"/>
      <c r="J694" s="29"/>
      <c r="K694" s="29"/>
      <c r="L694" s="29"/>
      <c r="M694" s="34"/>
      <c r="N694" s="34"/>
      <c r="O694" s="29"/>
      <c r="P694" s="29"/>
      <c r="Q694" s="29"/>
      <c r="R694" s="29"/>
      <c r="S694" s="29"/>
      <c r="T694" s="29"/>
      <c r="U694" s="476"/>
      <c r="V694" s="107"/>
      <c r="W694" s="29"/>
      <c r="X694" s="34"/>
      <c r="Y694" s="34"/>
    </row>
    <row x14ac:dyDescent="0.25" r="695" customHeight="1" ht="15.75">
      <c r="A695" s="502"/>
      <c r="B695" s="34"/>
      <c r="C695" s="34"/>
      <c r="D695" s="34"/>
      <c r="E695" s="34"/>
      <c r="F695" s="34"/>
      <c r="G695" s="34"/>
      <c r="H695" s="34"/>
      <c r="I695" s="29"/>
      <c r="J695" s="29"/>
      <c r="K695" s="29"/>
      <c r="L695" s="29"/>
      <c r="M695" s="34"/>
      <c r="N695" s="34"/>
      <c r="O695" s="29"/>
      <c r="P695" s="29"/>
      <c r="Q695" s="29"/>
      <c r="R695" s="29"/>
      <c r="S695" s="29"/>
      <c r="T695" s="29"/>
      <c r="U695" s="476"/>
      <c r="V695" s="107"/>
      <c r="W695" s="29"/>
      <c r="X695" s="34"/>
      <c r="Y695" s="34"/>
    </row>
    <row x14ac:dyDescent="0.25" r="696" customHeight="1" ht="15.75">
      <c r="A696" s="502"/>
      <c r="B696" s="34"/>
      <c r="C696" s="34"/>
      <c r="D696" s="34"/>
      <c r="E696" s="34"/>
      <c r="F696" s="34"/>
      <c r="G696" s="34"/>
      <c r="H696" s="34"/>
      <c r="I696" s="29"/>
      <c r="J696" s="29"/>
      <c r="K696" s="29"/>
      <c r="L696" s="29"/>
      <c r="M696" s="34"/>
      <c r="N696" s="34"/>
      <c r="O696" s="29"/>
      <c r="P696" s="29"/>
      <c r="Q696" s="29"/>
      <c r="R696" s="29"/>
      <c r="S696" s="29"/>
      <c r="T696" s="29"/>
      <c r="U696" s="476"/>
      <c r="V696" s="107"/>
      <c r="W696" s="29"/>
      <c r="X696" s="34"/>
      <c r="Y696" s="34"/>
    </row>
    <row x14ac:dyDescent="0.25" r="697" customHeight="1" ht="15.75">
      <c r="A697" s="502"/>
      <c r="B697" s="34"/>
      <c r="C697" s="34"/>
      <c r="D697" s="34"/>
      <c r="E697" s="34"/>
      <c r="F697" s="34"/>
      <c r="G697" s="34"/>
      <c r="H697" s="34"/>
      <c r="I697" s="29"/>
      <c r="J697" s="29"/>
      <c r="K697" s="29"/>
      <c r="L697" s="29"/>
      <c r="M697" s="34"/>
      <c r="N697" s="34"/>
      <c r="O697" s="29"/>
      <c r="P697" s="29"/>
      <c r="Q697" s="29"/>
      <c r="R697" s="29"/>
      <c r="S697" s="29"/>
      <c r="T697" s="29"/>
      <c r="U697" s="476"/>
      <c r="V697" s="107"/>
      <c r="W697" s="29"/>
      <c r="X697" s="34"/>
      <c r="Y697" s="34"/>
    </row>
    <row x14ac:dyDescent="0.25" r="698" customHeight="1" ht="15.75">
      <c r="A698" s="502"/>
      <c r="B698" s="34"/>
      <c r="C698" s="34"/>
      <c r="D698" s="34"/>
      <c r="E698" s="34"/>
      <c r="F698" s="34"/>
      <c r="G698" s="34"/>
      <c r="H698" s="34"/>
      <c r="I698" s="29"/>
      <c r="J698" s="29"/>
      <c r="K698" s="29"/>
      <c r="L698" s="29"/>
      <c r="M698" s="34"/>
      <c r="N698" s="34"/>
      <c r="O698" s="29"/>
      <c r="P698" s="29"/>
      <c r="Q698" s="29"/>
      <c r="R698" s="29"/>
      <c r="S698" s="29"/>
      <c r="T698" s="29"/>
      <c r="U698" s="476"/>
      <c r="V698" s="107"/>
      <c r="W698" s="29"/>
      <c r="X698" s="34"/>
      <c r="Y698" s="34"/>
    </row>
    <row x14ac:dyDescent="0.25" r="699" customHeight="1" ht="15.75">
      <c r="A699" s="502"/>
      <c r="B699" s="34"/>
      <c r="C699" s="34"/>
      <c r="D699" s="34"/>
      <c r="E699" s="34"/>
      <c r="F699" s="34"/>
      <c r="G699" s="34"/>
      <c r="H699" s="34"/>
      <c r="I699" s="29"/>
      <c r="J699" s="29"/>
      <c r="K699" s="29"/>
      <c r="L699" s="29"/>
      <c r="M699" s="34"/>
      <c r="N699" s="34"/>
      <c r="O699" s="29"/>
      <c r="P699" s="29"/>
      <c r="Q699" s="29"/>
      <c r="R699" s="29"/>
      <c r="S699" s="29"/>
      <c r="T699" s="29"/>
      <c r="U699" s="476"/>
      <c r="V699" s="107"/>
      <c r="W699" s="29"/>
      <c r="X699" s="34"/>
      <c r="Y699" s="34"/>
    </row>
    <row x14ac:dyDescent="0.25" r="700" customHeight="1" ht="15.75">
      <c r="A700" s="502"/>
      <c r="B700" s="34"/>
      <c r="C700" s="34"/>
      <c r="D700" s="34"/>
      <c r="E700" s="34"/>
      <c r="F700" s="34"/>
      <c r="G700" s="34"/>
      <c r="H700" s="34"/>
      <c r="I700" s="29"/>
      <c r="J700" s="29"/>
      <c r="K700" s="29"/>
      <c r="L700" s="29"/>
      <c r="M700" s="34"/>
      <c r="N700" s="34"/>
      <c r="O700" s="29"/>
      <c r="P700" s="29"/>
      <c r="Q700" s="29"/>
      <c r="R700" s="29"/>
      <c r="S700" s="29"/>
      <c r="T700" s="29"/>
      <c r="U700" s="476"/>
      <c r="V700" s="107"/>
      <c r="W700" s="29"/>
      <c r="X700" s="34"/>
      <c r="Y700" s="34"/>
    </row>
    <row x14ac:dyDescent="0.25" r="701" customHeight="1" ht="15.75">
      <c r="A701" s="502"/>
      <c r="B701" s="34"/>
      <c r="C701" s="34"/>
      <c r="D701" s="34"/>
      <c r="E701" s="34"/>
      <c r="F701" s="34"/>
      <c r="G701" s="34"/>
      <c r="H701" s="34"/>
      <c r="I701" s="29"/>
      <c r="J701" s="29"/>
      <c r="K701" s="29"/>
      <c r="L701" s="29"/>
      <c r="M701" s="34"/>
      <c r="N701" s="34"/>
      <c r="O701" s="29"/>
      <c r="P701" s="29"/>
      <c r="Q701" s="29"/>
      <c r="R701" s="29"/>
      <c r="S701" s="29"/>
      <c r="T701" s="29"/>
      <c r="U701" s="476"/>
      <c r="V701" s="107"/>
      <c r="W701" s="29"/>
      <c r="X701" s="34"/>
      <c r="Y701" s="34"/>
    </row>
    <row x14ac:dyDescent="0.25" r="702" customHeight="1" ht="15.75">
      <c r="A702" s="502"/>
      <c r="B702" s="34"/>
      <c r="C702" s="34"/>
      <c r="D702" s="34"/>
      <c r="E702" s="34"/>
      <c r="F702" s="34"/>
      <c r="G702" s="34"/>
      <c r="H702" s="34"/>
      <c r="I702" s="29"/>
      <c r="J702" s="29"/>
      <c r="K702" s="29"/>
      <c r="L702" s="29"/>
      <c r="M702" s="34"/>
      <c r="N702" s="34"/>
      <c r="O702" s="29"/>
      <c r="P702" s="29"/>
      <c r="Q702" s="29"/>
      <c r="R702" s="29"/>
      <c r="S702" s="29"/>
      <c r="T702" s="29"/>
      <c r="U702" s="476"/>
      <c r="V702" s="107"/>
      <c r="W702" s="29"/>
      <c r="X702" s="34"/>
      <c r="Y702" s="34"/>
    </row>
    <row x14ac:dyDescent="0.25" r="703" customHeight="1" ht="15.75">
      <c r="A703" s="502"/>
      <c r="B703" s="34"/>
      <c r="C703" s="34"/>
      <c r="D703" s="34"/>
      <c r="E703" s="34"/>
      <c r="F703" s="34"/>
      <c r="G703" s="34"/>
      <c r="H703" s="34"/>
      <c r="I703" s="29"/>
      <c r="J703" s="29"/>
      <c r="K703" s="29"/>
      <c r="L703" s="29"/>
      <c r="M703" s="34"/>
      <c r="N703" s="34"/>
      <c r="O703" s="29"/>
      <c r="P703" s="29"/>
      <c r="Q703" s="29"/>
      <c r="R703" s="29"/>
      <c r="S703" s="29"/>
      <c r="T703" s="29"/>
      <c r="U703" s="476"/>
      <c r="V703" s="107"/>
      <c r="W703" s="29"/>
      <c r="X703" s="34"/>
      <c r="Y703" s="34"/>
    </row>
    <row x14ac:dyDescent="0.25" r="704" customHeight="1" ht="15.75">
      <c r="A704" s="502"/>
      <c r="B704" s="34"/>
      <c r="C704" s="34"/>
      <c r="D704" s="34"/>
      <c r="E704" s="34"/>
      <c r="F704" s="34"/>
      <c r="G704" s="34"/>
      <c r="H704" s="34"/>
      <c r="I704" s="29"/>
      <c r="J704" s="29"/>
      <c r="K704" s="29"/>
      <c r="L704" s="29"/>
      <c r="M704" s="34"/>
      <c r="N704" s="34"/>
      <c r="O704" s="29"/>
      <c r="P704" s="29"/>
      <c r="Q704" s="29"/>
      <c r="R704" s="29"/>
      <c r="S704" s="29"/>
      <c r="T704" s="29"/>
      <c r="U704" s="476"/>
      <c r="V704" s="107"/>
      <c r="W704" s="29"/>
      <c r="X704" s="34"/>
      <c r="Y704" s="34"/>
    </row>
    <row x14ac:dyDescent="0.25" r="705" customHeight="1" ht="15.75">
      <c r="A705" s="502"/>
      <c r="B705" s="34"/>
      <c r="C705" s="34"/>
      <c r="D705" s="34"/>
      <c r="E705" s="34"/>
      <c r="F705" s="34"/>
      <c r="G705" s="34"/>
      <c r="H705" s="34"/>
      <c r="I705" s="29"/>
      <c r="J705" s="29"/>
      <c r="K705" s="29"/>
      <c r="L705" s="29"/>
      <c r="M705" s="34"/>
      <c r="N705" s="34"/>
      <c r="O705" s="29"/>
      <c r="P705" s="29"/>
      <c r="Q705" s="29"/>
      <c r="R705" s="29"/>
      <c r="S705" s="29"/>
      <c r="T705" s="29"/>
      <c r="U705" s="476"/>
      <c r="V705" s="107"/>
      <c r="W705" s="29"/>
      <c r="X705" s="34"/>
      <c r="Y705" s="34"/>
    </row>
    <row x14ac:dyDescent="0.25" r="706" customHeight="1" ht="15.75">
      <c r="A706" s="502"/>
      <c r="B706" s="34"/>
      <c r="C706" s="34"/>
      <c r="D706" s="34"/>
      <c r="E706" s="34"/>
      <c r="F706" s="34"/>
      <c r="G706" s="34"/>
      <c r="H706" s="34"/>
      <c r="I706" s="29"/>
      <c r="J706" s="29"/>
      <c r="K706" s="29"/>
      <c r="L706" s="29"/>
      <c r="M706" s="34"/>
      <c r="N706" s="34"/>
      <c r="O706" s="29"/>
      <c r="P706" s="29"/>
      <c r="Q706" s="29"/>
      <c r="R706" s="29"/>
      <c r="S706" s="29"/>
      <c r="T706" s="29"/>
      <c r="U706" s="476"/>
      <c r="V706" s="107"/>
      <c r="W706" s="29"/>
      <c r="X706" s="34"/>
      <c r="Y706" s="34"/>
    </row>
    <row x14ac:dyDescent="0.25" r="707" customHeight="1" ht="15.75">
      <c r="A707" s="502"/>
      <c r="B707" s="34"/>
      <c r="C707" s="34"/>
      <c r="D707" s="34"/>
      <c r="E707" s="34"/>
      <c r="F707" s="34"/>
      <c r="G707" s="34"/>
      <c r="H707" s="34"/>
      <c r="I707" s="29"/>
      <c r="J707" s="29"/>
      <c r="K707" s="29"/>
      <c r="L707" s="29"/>
      <c r="M707" s="34"/>
      <c r="N707" s="34"/>
      <c r="O707" s="29"/>
      <c r="P707" s="29"/>
      <c r="Q707" s="29"/>
      <c r="R707" s="29"/>
      <c r="S707" s="29"/>
      <c r="T707" s="29"/>
      <c r="U707" s="476"/>
      <c r="V707" s="107"/>
      <c r="W707" s="29"/>
      <c r="X707" s="34"/>
      <c r="Y707" s="34"/>
    </row>
    <row x14ac:dyDescent="0.25" r="708" customHeight="1" ht="15.75">
      <c r="A708" s="502"/>
      <c r="B708" s="34"/>
      <c r="C708" s="34"/>
      <c r="D708" s="34"/>
      <c r="E708" s="34"/>
      <c r="F708" s="34"/>
      <c r="G708" s="34"/>
      <c r="H708" s="34"/>
      <c r="I708" s="29"/>
      <c r="J708" s="29"/>
      <c r="K708" s="29"/>
      <c r="L708" s="29"/>
      <c r="M708" s="34"/>
      <c r="N708" s="34"/>
      <c r="O708" s="29"/>
      <c r="P708" s="29"/>
      <c r="Q708" s="29"/>
      <c r="R708" s="29"/>
      <c r="S708" s="29"/>
      <c r="T708" s="29"/>
      <c r="U708" s="476"/>
      <c r="V708" s="107"/>
      <c r="W708" s="29"/>
      <c r="X708" s="34"/>
      <c r="Y708" s="34"/>
    </row>
    <row x14ac:dyDescent="0.25" r="709" customHeight="1" ht="15.75">
      <c r="A709" s="502"/>
      <c r="B709" s="34"/>
      <c r="C709" s="34"/>
      <c r="D709" s="34"/>
      <c r="E709" s="34"/>
      <c r="F709" s="34"/>
      <c r="G709" s="34"/>
      <c r="H709" s="34"/>
      <c r="I709" s="29"/>
      <c r="J709" s="29"/>
      <c r="K709" s="29"/>
      <c r="L709" s="29"/>
      <c r="M709" s="34"/>
      <c r="N709" s="34"/>
      <c r="O709" s="29"/>
      <c r="P709" s="29"/>
      <c r="Q709" s="29"/>
      <c r="R709" s="29"/>
      <c r="S709" s="29"/>
      <c r="T709" s="29"/>
      <c r="U709" s="476"/>
      <c r="V709" s="107"/>
      <c r="W709" s="29"/>
      <c r="X709" s="34"/>
      <c r="Y709" s="34"/>
    </row>
    <row x14ac:dyDescent="0.25" r="710" customHeight="1" ht="15.75">
      <c r="A710" s="502"/>
      <c r="B710" s="34"/>
      <c r="C710" s="34"/>
      <c r="D710" s="34"/>
      <c r="E710" s="34"/>
      <c r="F710" s="34"/>
      <c r="G710" s="34"/>
      <c r="H710" s="34"/>
      <c r="I710" s="29"/>
      <c r="J710" s="29"/>
      <c r="K710" s="29"/>
      <c r="L710" s="29"/>
      <c r="M710" s="34"/>
      <c r="N710" s="34"/>
      <c r="O710" s="29"/>
      <c r="P710" s="29"/>
      <c r="Q710" s="29"/>
      <c r="R710" s="29"/>
      <c r="S710" s="29"/>
      <c r="T710" s="29"/>
      <c r="U710" s="476"/>
      <c r="V710" s="107"/>
      <c r="W710" s="29"/>
      <c r="X710" s="34"/>
      <c r="Y710" s="34"/>
    </row>
    <row x14ac:dyDescent="0.25" r="711" customHeight="1" ht="15.75">
      <c r="A711" s="502"/>
      <c r="B711" s="34"/>
      <c r="C711" s="34"/>
      <c r="D711" s="34"/>
      <c r="E711" s="34"/>
      <c r="F711" s="34"/>
      <c r="G711" s="34"/>
      <c r="H711" s="34"/>
      <c r="I711" s="29"/>
      <c r="J711" s="29"/>
      <c r="K711" s="29"/>
      <c r="L711" s="29"/>
      <c r="M711" s="34"/>
      <c r="N711" s="34"/>
      <c r="O711" s="29"/>
      <c r="P711" s="29"/>
      <c r="Q711" s="29"/>
      <c r="R711" s="29"/>
      <c r="S711" s="29"/>
      <c r="T711" s="29"/>
      <c r="U711" s="476"/>
      <c r="V711" s="107"/>
      <c r="W711" s="29"/>
      <c r="X711" s="34"/>
      <c r="Y711" s="34"/>
    </row>
    <row x14ac:dyDescent="0.25" r="712" customHeight="1" ht="15.75">
      <c r="A712" s="502"/>
      <c r="B712" s="34"/>
      <c r="C712" s="34"/>
      <c r="D712" s="34"/>
      <c r="E712" s="34"/>
      <c r="F712" s="34"/>
      <c r="G712" s="34"/>
      <c r="H712" s="34"/>
      <c r="I712" s="29"/>
      <c r="J712" s="29"/>
      <c r="K712" s="29"/>
      <c r="L712" s="29"/>
      <c r="M712" s="34"/>
      <c r="N712" s="34"/>
      <c r="O712" s="29"/>
      <c r="P712" s="29"/>
      <c r="Q712" s="29"/>
      <c r="R712" s="29"/>
      <c r="S712" s="29"/>
      <c r="T712" s="29"/>
      <c r="U712" s="476"/>
      <c r="V712" s="107"/>
      <c r="W712" s="29"/>
      <c r="X712" s="34"/>
      <c r="Y712" s="34"/>
    </row>
    <row x14ac:dyDescent="0.25" r="713" customHeight="1" ht="15.75">
      <c r="A713" s="502"/>
      <c r="B713" s="34"/>
      <c r="C713" s="34"/>
      <c r="D713" s="34"/>
      <c r="E713" s="34"/>
      <c r="F713" s="34"/>
      <c r="G713" s="34"/>
      <c r="H713" s="34"/>
      <c r="I713" s="29"/>
      <c r="J713" s="29"/>
      <c r="K713" s="29"/>
      <c r="L713" s="29"/>
      <c r="M713" s="34"/>
      <c r="N713" s="34"/>
      <c r="O713" s="29"/>
      <c r="P713" s="29"/>
      <c r="Q713" s="29"/>
      <c r="R713" s="29"/>
      <c r="S713" s="29"/>
      <c r="T713" s="29"/>
      <c r="U713" s="476"/>
      <c r="V713" s="107"/>
      <c r="W713" s="29"/>
      <c r="X713" s="34"/>
      <c r="Y713" s="34"/>
    </row>
    <row x14ac:dyDescent="0.25" r="714" customHeight="1" ht="15.75">
      <c r="A714" s="502"/>
      <c r="B714" s="34"/>
      <c r="C714" s="34"/>
      <c r="D714" s="34"/>
      <c r="E714" s="34"/>
      <c r="F714" s="34"/>
      <c r="G714" s="34"/>
      <c r="H714" s="34"/>
      <c r="I714" s="29"/>
      <c r="J714" s="29"/>
      <c r="K714" s="29"/>
      <c r="L714" s="29"/>
      <c r="M714" s="34"/>
      <c r="N714" s="34"/>
      <c r="O714" s="29"/>
      <c r="P714" s="29"/>
      <c r="Q714" s="29"/>
      <c r="R714" s="29"/>
      <c r="S714" s="29"/>
      <c r="T714" s="29"/>
      <c r="U714" s="476"/>
      <c r="V714" s="107"/>
      <c r="W714" s="29"/>
      <c r="X714" s="34"/>
      <c r="Y714" s="34"/>
    </row>
    <row x14ac:dyDescent="0.25" r="715" customHeight="1" ht="15.75">
      <c r="A715" s="502"/>
      <c r="B715" s="34"/>
      <c r="C715" s="34"/>
      <c r="D715" s="34"/>
      <c r="E715" s="34"/>
      <c r="F715" s="34"/>
      <c r="G715" s="34"/>
      <c r="H715" s="34"/>
      <c r="I715" s="29"/>
      <c r="J715" s="29"/>
      <c r="K715" s="29"/>
      <c r="L715" s="29"/>
      <c r="M715" s="34"/>
      <c r="N715" s="34"/>
      <c r="O715" s="29"/>
      <c r="P715" s="29"/>
      <c r="Q715" s="29"/>
      <c r="R715" s="29"/>
      <c r="S715" s="29"/>
      <c r="T715" s="29"/>
      <c r="U715" s="476"/>
      <c r="V715" s="107"/>
      <c r="W715" s="29"/>
      <c r="X715" s="34"/>
      <c r="Y715" s="34"/>
    </row>
    <row x14ac:dyDescent="0.25" r="716" customHeight="1" ht="15.75">
      <c r="A716" s="502"/>
      <c r="B716" s="34"/>
      <c r="C716" s="34"/>
      <c r="D716" s="34"/>
      <c r="E716" s="34"/>
      <c r="F716" s="34"/>
      <c r="G716" s="34"/>
      <c r="H716" s="34"/>
      <c r="I716" s="29"/>
      <c r="J716" s="29"/>
      <c r="K716" s="29"/>
      <c r="L716" s="29"/>
      <c r="M716" s="34"/>
      <c r="N716" s="34"/>
      <c r="O716" s="29"/>
      <c r="P716" s="29"/>
      <c r="Q716" s="29"/>
      <c r="R716" s="29"/>
      <c r="S716" s="29"/>
      <c r="T716" s="29"/>
      <c r="U716" s="476"/>
      <c r="V716" s="107"/>
      <c r="W716" s="29"/>
      <c r="X716" s="34"/>
      <c r="Y716" s="34"/>
    </row>
    <row x14ac:dyDescent="0.25" r="717" customHeight="1" ht="15.75">
      <c r="A717" s="502"/>
      <c r="B717" s="34"/>
      <c r="C717" s="34"/>
      <c r="D717" s="34"/>
      <c r="E717" s="34"/>
      <c r="F717" s="34"/>
      <c r="G717" s="34"/>
      <c r="H717" s="34"/>
      <c r="I717" s="29"/>
      <c r="J717" s="29"/>
      <c r="K717" s="29"/>
      <c r="L717" s="29"/>
      <c r="M717" s="34"/>
      <c r="N717" s="34"/>
      <c r="O717" s="29"/>
      <c r="P717" s="29"/>
      <c r="Q717" s="29"/>
      <c r="R717" s="29"/>
      <c r="S717" s="29"/>
      <c r="T717" s="29"/>
      <c r="U717" s="476"/>
      <c r="V717" s="107"/>
      <c r="W717" s="29"/>
      <c r="X717" s="34"/>
      <c r="Y717" s="34"/>
    </row>
    <row x14ac:dyDescent="0.25" r="718" customHeight="1" ht="15.75">
      <c r="A718" s="502"/>
      <c r="B718" s="34"/>
      <c r="C718" s="34"/>
      <c r="D718" s="34"/>
      <c r="E718" s="34"/>
      <c r="F718" s="34"/>
      <c r="G718" s="34"/>
      <c r="H718" s="34"/>
      <c r="I718" s="29"/>
      <c r="J718" s="29"/>
      <c r="K718" s="29"/>
      <c r="L718" s="29"/>
      <c r="M718" s="34"/>
      <c r="N718" s="34"/>
      <c r="O718" s="29"/>
      <c r="P718" s="29"/>
      <c r="Q718" s="29"/>
      <c r="R718" s="29"/>
      <c r="S718" s="29"/>
      <c r="T718" s="29"/>
      <c r="U718" s="476"/>
      <c r="V718" s="107"/>
      <c r="W718" s="29"/>
      <c r="X718" s="34"/>
      <c r="Y718" s="34"/>
    </row>
    <row x14ac:dyDescent="0.25" r="719" customHeight="1" ht="15.75">
      <c r="A719" s="502"/>
      <c r="B719" s="34"/>
      <c r="C719" s="34"/>
      <c r="D719" s="34"/>
      <c r="E719" s="34"/>
      <c r="F719" s="34"/>
      <c r="G719" s="34"/>
      <c r="H719" s="34"/>
      <c r="I719" s="29"/>
      <c r="J719" s="29"/>
      <c r="K719" s="29"/>
      <c r="L719" s="29"/>
      <c r="M719" s="34"/>
      <c r="N719" s="34"/>
      <c r="O719" s="29"/>
      <c r="P719" s="29"/>
      <c r="Q719" s="29"/>
      <c r="R719" s="29"/>
      <c r="S719" s="29"/>
      <c r="T719" s="29"/>
      <c r="U719" s="476"/>
      <c r="V719" s="107"/>
      <c r="W719" s="29"/>
      <c r="X719" s="34"/>
      <c r="Y719" s="34"/>
    </row>
    <row x14ac:dyDescent="0.25" r="720" customHeight="1" ht="15.75">
      <c r="A720" s="502"/>
      <c r="B720" s="34"/>
      <c r="C720" s="34"/>
      <c r="D720" s="34"/>
      <c r="E720" s="34"/>
      <c r="F720" s="34"/>
      <c r="G720" s="34"/>
      <c r="H720" s="34"/>
      <c r="I720" s="29"/>
      <c r="J720" s="29"/>
      <c r="K720" s="29"/>
      <c r="L720" s="29"/>
      <c r="M720" s="34"/>
      <c r="N720" s="34"/>
      <c r="O720" s="29"/>
      <c r="P720" s="29"/>
      <c r="Q720" s="29"/>
      <c r="R720" s="29"/>
      <c r="S720" s="29"/>
      <c r="T720" s="29"/>
      <c r="U720" s="476"/>
      <c r="V720" s="107"/>
      <c r="W720" s="29"/>
      <c r="X720" s="34"/>
      <c r="Y720" s="34"/>
    </row>
    <row x14ac:dyDescent="0.25" r="721" customHeight="1" ht="15.75">
      <c r="A721" s="502"/>
      <c r="B721" s="34"/>
      <c r="C721" s="34"/>
      <c r="D721" s="34"/>
      <c r="E721" s="34"/>
      <c r="F721" s="34"/>
      <c r="G721" s="34"/>
      <c r="H721" s="34"/>
      <c r="I721" s="29"/>
      <c r="J721" s="29"/>
      <c r="K721" s="29"/>
      <c r="L721" s="29"/>
      <c r="M721" s="34"/>
      <c r="N721" s="34"/>
      <c r="O721" s="29"/>
      <c r="P721" s="29"/>
      <c r="Q721" s="29"/>
      <c r="R721" s="29"/>
      <c r="S721" s="29"/>
      <c r="T721" s="29"/>
      <c r="U721" s="476"/>
      <c r="V721" s="107"/>
      <c r="W721" s="29"/>
      <c r="X721" s="34"/>
      <c r="Y721" s="34"/>
    </row>
    <row x14ac:dyDescent="0.25" r="722" customHeight="1" ht="15.75">
      <c r="A722" s="502"/>
      <c r="B722" s="34"/>
      <c r="C722" s="34"/>
      <c r="D722" s="34"/>
      <c r="E722" s="34"/>
      <c r="F722" s="34"/>
      <c r="G722" s="34"/>
      <c r="H722" s="34"/>
      <c r="I722" s="29"/>
      <c r="J722" s="29"/>
      <c r="K722" s="29"/>
      <c r="L722" s="29"/>
      <c r="M722" s="34"/>
      <c r="N722" s="34"/>
      <c r="O722" s="29"/>
      <c r="P722" s="29"/>
      <c r="Q722" s="29"/>
      <c r="R722" s="29"/>
      <c r="S722" s="29"/>
      <c r="T722" s="29"/>
      <c r="U722" s="476"/>
      <c r="V722" s="107"/>
      <c r="W722" s="29"/>
      <c r="X722" s="34"/>
      <c r="Y722" s="34"/>
    </row>
    <row x14ac:dyDescent="0.25" r="723" customHeight="1" ht="15.75">
      <c r="A723" s="502"/>
      <c r="B723" s="34"/>
      <c r="C723" s="34"/>
      <c r="D723" s="34"/>
      <c r="E723" s="34"/>
      <c r="F723" s="34"/>
      <c r="G723" s="34"/>
      <c r="H723" s="34"/>
      <c r="I723" s="29"/>
      <c r="J723" s="29"/>
      <c r="K723" s="29"/>
      <c r="L723" s="29"/>
      <c r="M723" s="34"/>
      <c r="N723" s="34"/>
      <c r="O723" s="29"/>
      <c r="P723" s="29"/>
      <c r="Q723" s="29"/>
      <c r="R723" s="29"/>
      <c r="S723" s="29"/>
      <c r="T723" s="29"/>
      <c r="U723" s="476"/>
      <c r="V723" s="107"/>
      <c r="W723" s="29"/>
      <c r="X723" s="34"/>
      <c r="Y723" s="34"/>
    </row>
    <row x14ac:dyDescent="0.25" r="724" customHeight="1" ht="15.75">
      <c r="A724" s="502"/>
      <c r="B724" s="34"/>
      <c r="C724" s="34"/>
      <c r="D724" s="34"/>
      <c r="E724" s="34"/>
      <c r="F724" s="34"/>
      <c r="G724" s="34"/>
      <c r="H724" s="34"/>
      <c r="I724" s="29"/>
      <c r="J724" s="29"/>
      <c r="K724" s="29"/>
      <c r="L724" s="29"/>
      <c r="M724" s="34"/>
      <c r="N724" s="34"/>
      <c r="O724" s="29"/>
      <c r="P724" s="29"/>
      <c r="Q724" s="29"/>
      <c r="R724" s="29"/>
      <c r="S724" s="29"/>
      <c r="T724" s="29"/>
      <c r="U724" s="476"/>
      <c r="V724" s="107"/>
      <c r="W724" s="29"/>
      <c r="X724" s="34"/>
      <c r="Y724" s="34"/>
    </row>
    <row x14ac:dyDescent="0.25" r="725" customHeight="1" ht="15.75">
      <c r="A725" s="502"/>
      <c r="B725" s="34"/>
      <c r="C725" s="34"/>
      <c r="D725" s="34"/>
      <c r="E725" s="34"/>
      <c r="F725" s="34"/>
      <c r="G725" s="34"/>
      <c r="H725" s="34"/>
      <c r="I725" s="29"/>
      <c r="J725" s="29"/>
      <c r="K725" s="29"/>
      <c r="L725" s="29"/>
      <c r="M725" s="34"/>
      <c r="N725" s="34"/>
      <c r="O725" s="29"/>
      <c r="P725" s="29"/>
      <c r="Q725" s="29"/>
      <c r="R725" s="29"/>
      <c r="S725" s="29"/>
      <c r="T725" s="29"/>
      <c r="U725" s="476"/>
      <c r="V725" s="107"/>
      <c r="W725" s="29"/>
      <c r="X725" s="34"/>
      <c r="Y725" s="34"/>
    </row>
    <row x14ac:dyDescent="0.25" r="726" customHeight="1" ht="15.75">
      <c r="A726" s="502"/>
      <c r="B726" s="34"/>
      <c r="C726" s="34"/>
      <c r="D726" s="34"/>
      <c r="E726" s="34"/>
      <c r="F726" s="34"/>
      <c r="G726" s="34"/>
      <c r="H726" s="34"/>
      <c r="I726" s="29"/>
      <c r="J726" s="29"/>
      <c r="K726" s="29"/>
      <c r="L726" s="29"/>
      <c r="M726" s="34"/>
      <c r="N726" s="34"/>
      <c r="O726" s="29"/>
      <c r="P726" s="29"/>
      <c r="Q726" s="29"/>
      <c r="R726" s="29"/>
      <c r="S726" s="29"/>
      <c r="T726" s="29"/>
      <c r="U726" s="476"/>
      <c r="V726" s="107"/>
      <c r="W726" s="29"/>
      <c r="X726" s="34"/>
      <c r="Y726" s="34"/>
    </row>
    <row x14ac:dyDescent="0.25" r="727" customHeight="1" ht="15.75">
      <c r="A727" s="502"/>
      <c r="B727" s="34"/>
      <c r="C727" s="34"/>
      <c r="D727" s="34"/>
      <c r="E727" s="34"/>
      <c r="F727" s="34"/>
      <c r="G727" s="34"/>
      <c r="H727" s="34"/>
      <c r="I727" s="29"/>
      <c r="J727" s="29"/>
      <c r="K727" s="29"/>
      <c r="L727" s="29"/>
      <c r="M727" s="34"/>
      <c r="N727" s="34"/>
      <c r="O727" s="29"/>
      <c r="P727" s="29"/>
      <c r="Q727" s="29"/>
      <c r="R727" s="29"/>
      <c r="S727" s="29"/>
      <c r="T727" s="29"/>
      <c r="U727" s="476"/>
      <c r="V727" s="107"/>
      <c r="W727" s="29"/>
      <c r="X727" s="34"/>
      <c r="Y727" s="34"/>
    </row>
    <row x14ac:dyDescent="0.25" r="728" customHeight="1" ht="15.75">
      <c r="A728" s="502"/>
      <c r="B728" s="34"/>
      <c r="C728" s="34"/>
      <c r="D728" s="34"/>
      <c r="E728" s="34"/>
      <c r="F728" s="34"/>
      <c r="G728" s="34"/>
      <c r="H728" s="34"/>
      <c r="I728" s="29"/>
      <c r="J728" s="29"/>
      <c r="K728" s="29"/>
      <c r="L728" s="29"/>
      <c r="M728" s="34"/>
      <c r="N728" s="34"/>
      <c r="O728" s="29"/>
      <c r="P728" s="29"/>
      <c r="Q728" s="29"/>
      <c r="R728" s="29"/>
      <c r="S728" s="29"/>
      <c r="T728" s="29"/>
      <c r="U728" s="476"/>
      <c r="V728" s="107"/>
      <c r="W728" s="29"/>
      <c r="X728" s="34"/>
      <c r="Y728" s="34"/>
    </row>
    <row x14ac:dyDescent="0.25" r="729" customHeight="1" ht="15.75">
      <c r="A729" s="502"/>
      <c r="B729" s="34"/>
      <c r="C729" s="34"/>
      <c r="D729" s="34"/>
      <c r="E729" s="34"/>
      <c r="F729" s="34"/>
      <c r="G729" s="34"/>
      <c r="H729" s="34"/>
      <c r="I729" s="29"/>
      <c r="J729" s="29"/>
      <c r="K729" s="29"/>
      <c r="L729" s="29"/>
      <c r="M729" s="34"/>
      <c r="N729" s="34"/>
      <c r="O729" s="29"/>
      <c r="P729" s="29"/>
      <c r="Q729" s="29"/>
      <c r="R729" s="29"/>
      <c r="S729" s="29"/>
      <c r="T729" s="29"/>
      <c r="U729" s="476"/>
      <c r="V729" s="107"/>
      <c r="W729" s="29"/>
      <c r="X729" s="34"/>
      <c r="Y729" s="34"/>
    </row>
    <row x14ac:dyDescent="0.25" r="730" customHeight="1" ht="15.75">
      <c r="A730" s="502"/>
      <c r="B730" s="34"/>
      <c r="C730" s="34"/>
      <c r="D730" s="34"/>
      <c r="E730" s="34"/>
      <c r="F730" s="34"/>
      <c r="G730" s="34"/>
      <c r="H730" s="34"/>
      <c r="I730" s="29"/>
      <c r="J730" s="29"/>
      <c r="K730" s="29"/>
      <c r="L730" s="29"/>
      <c r="M730" s="34"/>
      <c r="N730" s="34"/>
      <c r="O730" s="29"/>
      <c r="P730" s="29"/>
      <c r="Q730" s="29"/>
      <c r="R730" s="29"/>
      <c r="S730" s="29"/>
      <c r="T730" s="29"/>
      <c r="U730" s="476"/>
      <c r="V730" s="107"/>
      <c r="W730" s="29"/>
      <c r="X730" s="34"/>
      <c r="Y730" s="34"/>
    </row>
    <row x14ac:dyDescent="0.25" r="731" customHeight="1" ht="15.75">
      <c r="A731" s="502"/>
      <c r="B731" s="34"/>
      <c r="C731" s="34"/>
      <c r="D731" s="34"/>
      <c r="E731" s="34"/>
      <c r="F731" s="34"/>
      <c r="G731" s="34"/>
      <c r="H731" s="34"/>
      <c r="I731" s="29"/>
      <c r="J731" s="29"/>
      <c r="K731" s="29"/>
      <c r="L731" s="29"/>
      <c r="M731" s="34"/>
      <c r="N731" s="34"/>
      <c r="O731" s="29"/>
      <c r="P731" s="29"/>
      <c r="Q731" s="29"/>
      <c r="R731" s="29"/>
      <c r="S731" s="29"/>
      <c r="T731" s="29"/>
      <c r="U731" s="476"/>
      <c r="V731" s="107"/>
      <c r="W731" s="29"/>
      <c r="X731" s="34"/>
      <c r="Y731" s="34"/>
    </row>
    <row x14ac:dyDescent="0.25" r="732" customHeight="1" ht="15.75">
      <c r="A732" s="502"/>
      <c r="B732" s="34"/>
      <c r="C732" s="34"/>
      <c r="D732" s="34"/>
      <c r="E732" s="34"/>
      <c r="F732" s="34"/>
      <c r="G732" s="34"/>
      <c r="H732" s="34"/>
      <c r="I732" s="29"/>
      <c r="J732" s="29"/>
      <c r="K732" s="29"/>
      <c r="L732" s="29"/>
      <c r="M732" s="34"/>
      <c r="N732" s="34"/>
      <c r="O732" s="29"/>
      <c r="P732" s="29"/>
      <c r="Q732" s="29"/>
      <c r="R732" s="29"/>
      <c r="S732" s="29"/>
      <c r="T732" s="29"/>
      <c r="U732" s="476"/>
      <c r="V732" s="107"/>
      <c r="W732" s="29"/>
      <c r="X732" s="34"/>
      <c r="Y732" s="34"/>
    </row>
    <row x14ac:dyDescent="0.25" r="733" customHeight="1" ht="15.75">
      <c r="A733" s="502"/>
      <c r="B733" s="34"/>
      <c r="C733" s="34"/>
      <c r="D733" s="34"/>
      <c r="E733" s="34"/>
      <c r="F733" s="34"/>
      <c r="G733" s="34"/>
      <c r="H733" s="34"/>
      <c r="I733" s="29"/>
      <c r="J733" s="29"/>
      <c r="K733" s="29"/>
      <c r="L733" s="29"/>
      <c r="M733" s="34"/>
      <c r="N733" s="34"/>
      <c r="O733" s="29"/>
      <c r="P733" s="29"/>
      <c r="Q733" s="29"/>
      <c r="R733" s="29"/>
      <c r="S733" s="29"/>
      <c r="T733" s="29"/>
      <c r="U733" s="476"/>
      <c r="V733" s="107"/>
      <c r="W733" s="29"/>
      <c r="X733" s="34"/>
      <c r="Y733" s="34"/>
    </row>
    <row x14ac:dyDescent="0.25" r="734" customHeight="1" ht="15.75">
      <c r="A734" s="502"/>
      <c r="B734" s="34"/>
      <c r="C734" s="34"/>
      <c r="D734" s="34"/>
      <c r="E734" s="34"/>
      <c r="F734" s="34"/>
      <c r="G734" s="34"/>
      <c r="H734" s="34"/>
      <c r="I734" s="29"/>
      <c r="J734" s="29"/>
      <c r="K734" s="29"/>
      <c r="L734" s="29"/>
      <c r="M734" s="34"/>
      <c r="N734" s="34"/>
      <c r="O734" s="29"/>
      <c r="P734" s="29"/>
      <c r="Q734" s="29"/>
      <c r="R734" s="29"/>
      <c r="S734" s="29"/>
      <c r="T734" s="29"/>
      <c r="U734" s="476"/>
      <c r="V734" s="107"/>
      <c r="W734" s="29"/>
      <c r="X734" s="34"/>
      <c r="Y734" s="34"/>
    </row>
    <row x14ac:dyDescent="0.25" r="735" customHeight="1" ht="15.75">
      <c r="A735" s="502"/>
      <c r="B735" s="34"/>
      <c r="C735" s="34"/>
      <c r="D735" s="34"/>
      <c r="E735" s="34"/>
      <c r="F735" s="34"/>
      <c r="G735" s="34"/>
      <c r="H735" s="34"/>
      <c r="I735" s="29"/>
      <c r="J735" s="29"/>
      <c r="K735" s="29"/>
      <c r="L735" s="29"/>
      <c r="M735" s="34"/>
      <c r="N735" s="34"/>
      <c r="O735" s="29"/>
      <c r="P735" s="29"/>
      <c r="Q735" s="29"/>
      <c r="R735" s="29"/>
      <c r="S735" s="29"/>
      <c r="T735" s="29"/>
      <c r="U735" s="476"/>
      <c r="V735" s="107"/>
      <c r="W735" s="29"/>
      <c r="X735" s="34"/>
      <c r="Y735" s="34"/>
    </row>
    <row x14ac:dyDescent="0.25" r="736" customHeight="1" ht="15.75">
      <c r="A736" s="502"/>
      <c r="B736" s="34"/>
      <c r="C736" s="34"/>
      <c r="D736" s="34"/>
      <c r="E736" s="34"/>
      <c r="F736" s="34"/>
      <c r="G736" s="34"/>
      <c r="H736" s="34"/>
      <c r="I736" s="29"/>
      <c r="J736" s="29"/>
      <c r="K736" s="29"/>
      <c r="L736" s="29"/>
      <c r="M736" s="34"/>
      <c r="N736" s="34"/>
      <c r="O736" s="29"/>
      <c r="P736" s="29"/>
      <c r="Q736" s="29"/>
      <c r="R736" s="29"/>
      <c r="S736" s="29"/>
      <c r="T736" s="29"/>
      <c r="U736" s="476"/>
      <c r="V736" s="107"/>
      <c r="W736" s="29"/>
      <c r="X736" s="34"/>
      <c r="Y736" s="34"/>
    </row>
    <row x14ac:dyDescent="0.25" r="737" customHeight="1" ht="15.75">
      <c r="A737" s="502"/>
      <c r="B737" s="34"/>
      <c r="C737" s="34"/>
      <c r="D737" s="34"/>
      <c r="E737" s="34"/>
      <c r="F737" s="34"/>
      <c r="G737" s="34"/>
      <c r="H737" s="34"/>
      <c r="I737" s="29"/>
      <c r="J737" s="29"/>
      <c r="K737" s="29"/>
      <c r="L737" s="29"/>
      <c r="M737" s="34"/>
      <c r="N737" s="34"/>
      <c r="O737" s="29"/>
      <c r="P737" s="29"/>
      <c r="Q737" s="29"/>
      <c r="R737" s="29"/>
      <c r="S737" s="29"/>
      <c r="T737" s="29"/>
      <c r="U737" s="476"/>
      <c r="V737" s="107"/>
      <c r="W737" s="29"/>
      <c r="X737" s="34"/>
      <c r="Y737" s="34"/>
    </row>
    <row x14ac:dyDescent="0.25" r="738" customHeight="1" ht="15.75">
      <c r="A738" s="502"/>
      <c r="B738" s="34"/>
      <c r="C738" s="34"/>
      <c r="D738" s="34"/>
      <c r="E738" s="34"/>
      <c r="F738" s="34"/>
      <c r="G738" s="34"/>
      <c r="H738" s="34"/>
      <c r="I738" s="29"/>
      <c r="J738" s="29"/>
      <c r="K738" s="29"/>
      <c r="L738" s="29"/>
      <c r="M738" s="34"/>
      <c r="N738" s="34"/>
      <c r="O738" s="29"/>
      <c r="P738" s="29"/>
      <c r="Q738" s="29"/>
      <c r="R738" s="29"/>
      <c r="S738" s="29"/>
      <c r="T738" s="29"/>
      <c r="U738" s="476"/>
      <c r="V738" s="107"/>
      <c r="W738" s="29"/>
      <c r="X738" s="34"/>
      <c r="Y738" s="34"/>
    </row>
    <row x14ac:dyDescent="0.25" r="739" customHeight="1" ht="15.75">
      <c r="A739" s="502"/>
      <c r="B739" s="34"/>
      <c r="C739" s="34"/>
      <c r="D739" s="34"/>
      <c r="E739" s="34"/>
      <c r="F739" s="34"/>
      <c r="G739" s="34"/>
      <c r="H739" s="34"/>
      <c r="I739" s="29"/>
      <c r="J739" s="29"/>
      <c r="K739" s="29"/>
      <c r="L739" s="29"/>
      <c r="M739" s="34"/>
      <c r="N739" s="34"/>
      <c r="O739" s="29"/>
      <c r="P739" s="29"/>
      <c r="Q739" s="29"/>
      <c r="R739" s="29"/>
      <c r="S739" s="29"/>
      <c r="T739" s="29"/>
      <c r="U739" s="476"/>
      <c r="V739" s="107"/>
      <c r="W739" s="29"/>
      <c r="X739" s="34"/>
      <c r="Y739" s="34"/>
    </row>
    <row x14ac:dyDescent="0.25" r="740" customHeight="1" ht="15.75">
      <c r="A740" s="502"/>
      <c r="B740" s="34"/>
      <c r="C740" s="34"/>
      <c r="D740" s="34"/>
      <c r="E740" s="34"/>
      <c r="F740" s="34"/>
      <c r="G740" s="34"/>
      <c r="H740" s="34"/>
      <c r="I740" s="29"/>
      <c r="J740" s="29"/>
      <c r="K740" s="29"/>
      <c r="L740" s="29"/>
      <c r="M740" s="34"/>
      <c r="N740" s="34"/>
      <c r="O740" s="29"/>
      <c r="P740" s="29"/>
      <c r="Q740" s="29"/>
      <c r="R740" s="29"/>
      <c r="S740" s="29"/>
      <c r="T740" s="29"/>
      <c r="U740" s="476"/>
      <c r="V740" s="107"/>
      <c r="W740" s="29"/>
      <c r="X740" s="34"/>
      <c r="Y740" s="34"/>
    </row>
    <row x14ac:dyDescent="0.25" r="741" customHeight="1" ht="15.75">
      <c r="A741" s="502"/>
      <c r="B741" s="34"/>
      <c r="C741" s="34"/>
      <c r="D741" s="34"/>
      <c r="E741" s="34"/>
      <c r="F741" s="34"/>
      <c r="G741" s="34"/>
      <c r="H741" s="34"/>
      <c r="I741" s="29"/>
      <c r="J741" s="29"/>
      <c r="K741" s="29"/>
      <c r="L741" s="29"/>
      <c r="M741" s="34"/>
      <c r="N741" s="34"/>
      <c r="O741" s="29"/>
      <c r="P741" s="29"/>
      <c r="Q741" s="29"/>
      <c r="R741" s="29"/>
      <c r="S741" s="29"/>
      <c r="T741" s="29"/>
      <c r="U741" s="476"/>
      <c r="V741" s="107"/>
      <c r="W741" s="29"/>
      <c r="X741" s="34"/>
      <c r="Y741" s="34"/>
    </row>
    <row x14ac:dyDescent="0.25" r="742" customHeight="1" ht="15.75">
      <c r="A742" s="502"/>
      <c r="B742" s="34"/>
      <c r="C742" s="34"/>
      <c r="D742" s="34"/>
      <c r="E742" s="34"/>
      <c r="F742" s="34"/>
      <c r="G742" s="34"/>
      <c r="H742" s="34"/>
      <c r="I742" s="29"/>
      <c r="J742" s="29"/>
      <c r="K742" s="29"/>
      <c r="L742" s="29"/>
      <c r="M742" s="34"/>
      <c r="N742" s="34"/>
      <c r="O742" s="29"/>
      <c r="P742" s="29"/>
      <c r="Q742" s="29"/>
      <c r="R742" s="29"/>
      <c r="S742" s="29"/>
      <c r="T742" s="29"/>
      <c r="U742" s="476"/>
      <c r="V742" s="107"/>
      <c r="W742" s="29"/>
      <c r="X742" s="34"/>
      <c r="Y742" s="34"/>
    </row>
    <row x14ac:dyDescent="0.25" r="743" customHeight="1" ht="15.75">
      <c r="A743" s="502"/>
      <c r="B743" s="34"/>
      <c r="C743" s="34"/>
      <c r="D743" s="34"/>
      <c r="E743" s="34"/>
      <c r="F743" s="34"/>
      <c r="G743" s="34"/>
      <c r="H743" s="34"/>
      <c r="I743" s="29"/>
      <c r="J743" s="29"/>
      <c r="K743" s="29"/>
      <c r="L743" s="29"/>
      <c r="M743" s="34"/>
      <c r="N743" s="34"/>
      <c r="O743" s="29"/>
      <c r="P743" s="29"/>
      <c r="Q743" s="29"/>
      <c r="R743" s="29"/>
      <c r="S743" s="29"/>
      <c r="T743" s="29"/>
      <c r="U743" s="476"/>
      <c r="V743" s="107"/>
      <c r="W743" s="29"/>
      <c r="X743" s="34"/>
      <c r="Y743" s="34"/>
    </row>
    <row x14ac:dyDescent="0.25" r="744" customHeight="1" ht="15.75">
      <c r="A744" s="502"/>
      <c r="B744" s="34"/>
      <c r="C744" s="34"/>
      <c r="D744" s="34"/>
      <c r="E744" s="34"/>
      <c r="F744" s="34"/>
      <c r="G744" s="34"/>
      <c r="H744" s="34"/>
      <c r="I744" s="29"/>
      <c r="J744" s="29"/>
      <c r="K744" s="29"/>
      <c r="L744" s="29"/>
      <c r="M744" s="34"/>
      <c r="N744" s="34"/>
      <c r="O744" s="29"/>
      <c r="P744" s="29"/>
      <c r="Q744" s="29"/>
      <c r="R744" s="29"/>
      <c r="S744" s="29"/>
      <c r="T744" s="29"/>
      <c r="U744" s="476"/>
      <c r="V744" s="107"/>
      <c r="W744" s="29"/>
      <c r="X744" s="34"/>
      <c r="Y744" s="34"/>
    </row>
    <row x14ac:dyDescent="0.25" r="745" customHeight="1" ht="15.75">
      <c r="A745" s="502"/>
      <c r="B745" s="34"/>
      <c r="C745" s="34"/>
      <c r="D745" s="34"/>
      <c r="E745" s="34"/>
      <c r="F745" s="34"/>
      <c r="G745" s="34"/>
      <c r="H745" s="34"/>
      <c r="I745" s="29"/>
      <c r="J745" s="29"/>
      <c r="K745" s="29"/>
      <c r="L745" s="29"/>
      <c r="M745" s="34"/>
      <c r="N745" s="34"/>
      <c r="O745" s="29"/>
      <c r="P745" s="29"/>
      <c r="Q745" s="29"/>
      <c r="R745" s="29"/>
      <c r="S745" s="29"/>
      <c r="T745" s="29"/>
      <c r="U745" s="476"/>
      <c r="V745" s="107"/>
      <c r="W745" s="29"/>
      <c r="X745" s="34"/>
      <c r="Y745" s="34"/>
    </row>
    <row x14ac:dyDescent="0.25" r="746" customHeight="1" ht="15.75">
      <c r="A746" s="502"/>
      <c r="B746" s="34"/>
      <c r="C746" s="34"/>
      <c r="D746" s="34"/>
      <c r="E746" s="34"/>
      <c r="F746" s="34"/>
      <c r="G746" s="34"/>
      <c r="H746" s="34"/>
      <c r="I746" s="29"/>
      <c r="J746" s="29"/>
      <c r="K746" s="29"/>
      <c r="L746" s="29"/>
      <c r="M746" s="34"/>
      <c r="N746" s="34"/>
      <c r="O746" s="29"/>
      <c r="P746" s="29"/>
      <c r="Q746" s="29"/>
      <c r="R746" s="29"/>
      <c r="S746" s="29"/>
      <c r="T746" s="29"/>
      <c r="U746" s="476"/>
      <c r="V746" s="107"/>
      <c r="W746" s="29"/>
      <c r="X746" s="34"/>
      <c r="Y746" s="34"/>
    </row>
    <row x14ac:dyDescent="0.25" r="747" customHeight="1" ht="15.75">
      <c r="A747" s="502"/>
      <c r="B747" s="34"/>
      <c r="C747" s="34"/>
      <c r="D747" s="34"/>
      <c r="E747" s="34"/>
      <c r="F747" s="34"/>
      <c r="G747" s="34"/>
      <c r="H747" s="34"/>
      <c r="I747" s="29"/>
      <c r="J747" s="29"/>
      <c r="K747" s="29"/>
      <c r="L747" s="29"/>
      <c r="M747" s="34"/>
      <c r="N747" s="34"/>
      <c r="O747" s="29"/>
      <c r="P747" s="29"/>
      <c r="Q747" s="29"/>
      <c r="R747" s="29"/>
      <c r="S747" s="29"/>
      <c r="T747" s="29"/>
      <c r="U747" s="476"/>
      <c r="V747" s="107"/>
      <c r="W747" s="29"/>
      <c r="X747" s="34"/>
      <c r="Y747" s="34"/>
    </row>
    <row x14ac:dyDescent="0.25" r="748" customHeight="1" ht="15.75">
      <c r="A748" s="502"/>
      <c r="B748" s="34"/>
      <c r="C748" s="34"/>
      <c r="D748" s="34"/>
      <c r="E748" s="34"/>
      <c r="F748" s="34"/>
      <c r="G748" s="34"/>
      <c r="H748" s="34"/>
      <c r="I748" s="29"/>
      <c r="J748" s="29"/>
      <c r="K748" s="29"/>
      <c r="L748" s="29"/>
      <c r="M748" s="34"/>
      <c r="N748" s="34"/>
      <c r="O748" s="29"/>
      <c r="P748" s="29"/>
      <c r="Q748" s="29"/>
      <c r="R748" s="29"/>
      <c r="S748" s="29"/>
      <c r="T748" s="29"/>
      <c r="U748" s="476"/>
      <c r="V748" s="107"/>
      <c r="W748" s="29"/>
      <c r="X748" s="34"/>
      <c r="Y748" s="34"/>
    </row>
    <row x14ac:dyDescent="0.25" r="749" customHeight="1" ht="15.75">
      <c r="A749" s="502"/>
      <c r="B749" s="34"/>
      <c r="C749" s="34"/>
      <c r="D749" s="34"/>
      <c r="E749" s="34"/>
      <c r="F749" s="34"/>
      <c r="G749" s="34"/>
      <c r="H749" s="34"/>
      <c r="I749" s="29"/>
      <c r="J749" s="29"/>
      <c r="K749" s="29"/>
      <c r="L749" s="29"/>
      <c r="M749" s="34"/>
      <c r="N749" s="34"/>
      <c r="O749" s="29"/>
      <c r="P749" s="29"/>
      <c r="Q749" s="29"/>
      <c r="R749" s="29"/>
      <c r="S749" s="29"/>
      <c r="T749" s="29"/>
      <c r="U749" s="476"/>
      <c r="V749" s="107"/>
      <c r="W749" s="29"/>
      <c r="X749" s="34"/>
      <c r="Y749" s="34"/>
    </row>
    <row x14ac:dyDescent="0.25" r="750" customHeight="1" ht="15.75">
      <c r="A750" s="502"/>
      <c r="B750" s="34"/>
      <c r="C750" s="34"/>
      <c r="D750" s="34"/>
      <c r="E750" s="34"/>
      <c r="F750" s="34"/>
      <c r="G750" s="34"/>
      <c r="H750" s="34"/>
      <c r="I750" s="29"/>
      <c r="J750" s="29"/>
      <c r="K750" s="29"/>
      <c r="L750" s="29"/>
      <c r="M750" s="34"/>
      <c r="N750" s="34"/>
      <c r="O750" s="29"/>
      <c r="P750" s="29"/>
      <c r="Q750" s="29"/>
      <c r="R750" s="29"/>
      <c r="S750" s="29"/>
      <c r="T750" s="29"/>
      <c r="U750" s="476"/>
      <c r="V750" s="107"/>
      <c r="W750" s="29"/>
      <c r="X750" s="34"/>
      <c r="Y750" s="34"/>
    </row>
    <row x14ac:dyDescent="0.25" r="751" customHeight="1" ht="15.75">
      <c r="A751" s="502"/>
      <c r="B751" s="34"/>
      <c r="C751" s="34"/>
      <c r="D751" s="34"/>
      <c r="E751" s="34"/>
      <c r="F751" s="34"/>
      <c r="G751" s="34"/>
      <c r="H751" s="34"/>
      <c r="I751" s="29"/>
      <c r="J751" s="29"/>
      <c r="K751" s="29"/>
      <c r="L751" s="29"/>
      <c r="M751" s="34"/>
      <c r="N751" s="34"/>
      <c r="O751" s="29"/>
      <c r="P751" s="29"/>
      <c r="Q751" s="29"/>
      <c r="R751" s="29"/>
      <c r="S751" s="29"/>
      <c r="T751" s="29"/>
      <c r="U751" s="476"/>
      <c r="V751" s="107"/>
      <c r="W751" s="29"/>
      <c r="X751" s="34"/>
      <c r="Y751" s="34"/>
    </row>
    <row x14ac:dyDescent="0.25" r="752" customHeight="1" ht="15.75">
      <c r="A752" s="502"/>
      <c r="B752" s="34"/>
      <c r="C752" s="34"/>
      <c r="D752" s="34"/>
      <c r="E752" s="34"/>
      <c r="F752" s="34"/>
      <c r="G752" s="34"/>
      <c r="H752" s="34"/>
      <c r="I752" s="29"/>
      <c r="J752" s="29"/>
      <c r="K752" s="29"/>
      <c r="L752" s="29"/>
      <c r="M752" s="34"/>
      <c r="N752" s="34"/>
      <c r="O752" s="29"/>
      <c r="P752" s="29"/>
      <c r="Q752" s="29"/>
      <c r="R752" s="29"/>
      <c r="S752" s="29"/>
      <c r="T752" s="29"/>
      <c r="U752" s="476"/>
      <c r="V752" s="107"/>
      <c r="W752" s="29"/>
      <c r="X752" s="34"/>
      <c r="Y752" s="34"/>
    </row>
    <row x14ac:dyDescent="0.25" r="753" customHeight="1" ht="15.75">
      <c r="A753" s="502"/>
      <c r="B753" s="34"/>
      <c r="C753" s="34"/>
      <c r="D753" s="34"/>
      <c r="E753" s="34"/>
      <c r="F753" s="34"/>
      <c r="G753" s="34"/>
      <c r="H753" s="34"/>
      <c r="I753" s="29"/>
      <c r="J753" s="29"/>
      <c r="K753" s="29"/>
      <c r="L753" s="29"/>
      <c r="M753" s="34"/>
      <c r="N753" s="34"/>
      <c r="O753" s="29"/>
      <c r="P753" s="29"/>
      <c r="Q753" s="29"/>
      <c r="R753" s="29"/>
      <c r="S753" s="29"/>
      <c r="T753" s="29"/>
      <c r="U753" s="476"/>
      <c r="V753" s="107"/>
      <c r="W753" s="29"/>
      <c r="X753" s="34"/>
      <c r="Y753" s="34"/>
    </row>
    <row x14ac:dyDescent="0.25" r="754" customHeight="1" ht="15.75">
      <c r="A754" s="502"/>
      <c r="B754" s="34"/>
      <c r="C754" s="34"/>
      <c r="D754" s="34"/>
      <c r="E754" s="34"/>
      <c r="F754" s="34"/>
      <c r="G754" s="34"/>
      <c r="H754" s="34"/>
      <c r="I754" s="29"/>
      <c r="J754" s="29"/>
      <c r="K754" s="29"/>
      <c r="L754" s="29"/>
      <c r="M754" s="34"/>
      <c r="N754" s="34"/>
      <c r="O754" s="29"/>
      <c r="P754" s="29"/>
      <c r="Q754" s="29"/>
      <c r="R754" s="29"/>
      <c r="S754" s="29"/>
      <c r="T754" s="29"/>
      <c r="U754" s="476"/>
      <c r="V754" s="107"/>
      <c r="W754" s="29"/>
      <c r="X754" s="34"/>
      <c r="Y754" s="34"/>
    </row>
    <row x14ac:dyDescent="0.25" r="755" customHeight="1" ht="15.75">
      <c r="A755" s="502"/>
      <c r="B755" s="34"/>
      <c r="C755" s="34"/>
      <c r="D755" s="34"/>
      <c r="E755" s="34"/>
      <c r="F755" s="34"/>
      <c r="G755" s="34"/>
      <c r="H755" s="34"/>
      <c r="I755" s="29"/>
      <c r="J755" s="29"/>
      <c r="K755" s="29"/>
      <c r="L755" s="29"/>
      <c r="M755" s="34"/>
      <c r="N755" s="34"/>
      <c r="O755" s="29"/>
      <c r="P755" s="29"/>
      <c r="Q755" s="29"/>
      <c r="R755" s="29"/>
      <c r="S755" s="29"/>
      <c r="T755" s="29"/>
      <c r="U755" s="476"/>
      <c r="V755" s="107"/>
      <c r="W755" s="29"/>
      <c r="X755" s="34"/>
      <c r="Y755" s="34"/>
    </row>
    <row x14ac:dyDescent="0.25" r="756" customHeight="1" ht="15.75">
      <c r="A756" s="502"/>
      <c r="B756" s="34"/>
      <c r="C756" s="34"/>
      <c r="D756" s="34"/>
      <c r="E756" s="34"/>
      <c r="F756" s="34"/>
      <c r="G756" s="34"/>
      <c r="H756" s="34"/>
      <c r="I756" s="29"/>
      <c r="J756" s="29"/>
      <c r="K756" s="29"/>
      <c r="L756" s="29"/>
      <c r="M756" s="34"/>
      <c r="N756" s="34"/>
      <c r="O756" s="29"/>
      <c r="P756" s="29"/>
      <c r="Q756" s="29"/>
      <c r="R756" s="29"/>
      <c r="S756" s="29"/>
      <c r="T756" s="29"/>
      <c r="U756" s="476"/>
      <c r="V756" s="107"/>
      <c r="W756" s="29"/>
      <c r="X756" s="34"/>
      <c r="Y756" s="34"/>
    </row>
    <row x14ac:dyDescent="0.25" r="757" customHeight="1" ht="15.75">
      <c r="A757" s="502"/>
      <c r="B757" s="34"/>
      <c r="C757" s="34"/>
      <c r="D757" s="34"/>
      <c r="E757" s="34"/>
      <c r="F757" s="34"/>
      <c r="G757" s="34"/>
      <c r="H757" s="34"/>
      <c r="I757" s="29"/>
      <c r="J757" s="29"/>
      <c r="K757" s="29"/>
      <c r="L757" s="29"/>
      <c r="M757" s="34"/>
      <c r="N757" s="34"/>
      <c r="O757" s="29"/>
      <c r="P757" s="29"/>
      <c r="Q757" s="29"/>
      <c r="R757" s="29"/>
      <c r="S757" s="29"/>
      <c r="T757" s="29"/>
      <c r="U757" s="476"/>
      <c r="V757" s="107"/>
      <c r="W757" s="29"/>
      <c r="X757" s="34"/>
      <c r="Y757" s="34"/>
    </row>
    <row x14ac:dyDescent="0.25" r="758" customHeight="1" ht="15.75">
      <c r="A758" s="502"/>
      <c r="B758" s="34"/>
      <c r="C758" s="34"/>
      <c r="D758" s="34"/>
      <c r="E758" s="34"/>
      <c r="F758" s="34"/>
      <c r="G758" s="34"/>
      <c r="H758" s="34"/>
      <c r="I758" s="29"/>
      <c r="J758" s="29"/>
      <c r="K758" s="29"/>
      <c r="L758" s="29"/>
      <c r="M758" s="34"/>
      <c r="N758" s="34"/>
      <c r="O758" s="29"/>
      <c r="P758" s="29"/>
      <c r="Q758" s="29"/>
      <c r="R758" s="29"/>
      <c r="S758" s="29"/>
      <c r="T758" s="29"/>
      <c r="U758" s="476"/>
      <c r="V758" s="107"/>
      <c r="W758" s="29"/>
      <c r="X758" s="34"/>
      <c r="Y758" s="34"/>
    </row>
    <row x14ac:dyDescent="0.25" r="759" customHeight="1" ht="15.75">
      <c r="A759" s="502"/>
      <c r="B759" s="34"/>
      <c r="C759" s="34"/>
      <c r="D759" s="34"/>
      <c r="E759" s="34"/>
      <c r="F759" s="34"/>
      <c r="G759" s="34"/>
      <c r="H759" s="34"/>
      <c r="I759" s="29"/>
      <c r="J759" s="29"/>
      <c r="K759" s="29"/>
      <c r="L759" s="29"/>
      <c r="M759" s="34"/>
      <c r="N759" s="34"/>
      <c r="O759" s="29"/>
      <c r="P759" s="29"/>
      <c r="Q759" s="29"/>
      <c r="R759" s="29"/>
      <c r="S759" s="29"/>
      <c r="T759" s="29"/>
      <c r="U759" s="476"/>
      <c r="V759" s="107"/>
      <c r="W759" s="29"/>
      <c r="X759" s="34"/>
      <c r="Y759" s="34"/>
    </row>
    <row x14ac:dyDescent="0.25" r="760" customHeight="1" ht="15.75">
      <c r="A760" s="502"/>
      <c r="B760" s="34"/>
      <c r="C760" s="34"/>
      <c r="D760" s="34"/>
      <c r="E760" s="34"/>
      <c r="F760" s="34"/>
      <c r="G760" s="34"/>
      <c r="H760" s="34"/>
      <c r="I760" s="29"/>
      <c r="J760" s="29"/>
      <c r="K760" s="29"/>
      <c r="L760" s="29"/>
      <c r="M760" s="34"/>
      <c r="N760" s="34"/>
      <c r="O760" s="29"/>
      <c r="P760" s="29"/>
      <c r="Q760" s="29"/>
      <c r="R760" s="29"/>
      <c r="S760" s="29"/>
      <c r="T760" s="29"/>
      <c r="U760" s="476"/>
      <c r="V760" s="107"/>
      <c r="W760" s="29"/>
      <c r="X760" s="34"/>
      <c r="Y760" s="34"/>
    </row>
    <row x14ac:dyDescent="0.25" r="761" customHeight="1" ht="15.75">
      <c r="A761" s="502"/>
      <c r="B761" s="34"/>
      <c r="C761" s="34"/>
      <c r="D761" s="34"/>
      <c r="E761" s="34"/>
      <c r="F761" s="34"/>
      <c r="G761" s="34"/>
      <c r="H761" s="34"/>
      <c r="I761" s="29"/>
      <c r="J761" s="29"/>
      <c r="K761" s="29"/>
      <c r="L761" s="29"/>
      <c r="M761" s="34"/>
      <c r="N761" s="34"/>
      <c r="O761" s="29"/>
      <c r="P761" s="29"/>
      <c r="Q761" s="29"/>
      <c r="R761" s="29"/>
      <c r="S761" s="29"/>
      <c r="T761" s="29"/>
      <c r="U761" s="476"/>
      <c r="V761" s="107"/>
      <c r="W761" s="29"/>
      <c r="X761" s="34"/>
      <c r="Y761" s="34"/>
    </row>
    <row x14ac:dyDescent="0.25" r="762" customHeight="1" ht="15.75">
      <c r="A762" s="502"/>
      <c r="B762" s="34"/>
      <c r="C762" s="34"/>
      <c r="D762" s="34"/>
      <c r="E762" s="34"/>
      <c r="F762" s="34"/>
      <c r="G762" s="34"/>
      <c r="H762" s="34"/>
      <c r="I762" s="29"/>
      <c r="J762" s="29"/>
      <c r="K762" s="29"/>
      <c r="L762" s="29"/>
      <c r="M762" s="34"/>
      <c r="N762" s="34"/>
      <c r="O762" s="29"/>
      <c r="P762" s="29"/>
      <c r="Q762" s="29"/>
      <c r="R762" s="29"/>
      <c r="S762" s="29"/>
      <c r="T762" s="29"/>
      <c r="U762" s="476"/>
      <c r="V762" s="107"/>
      <c r="W762" s="29"/>
      <c r="X762" s="34"/>
      <c r="Y762" s="34"/>
    </row>
    <row x14ac:dyDescent="0.25" r="763" customHeight="1" ht="15.75">
      <c r="A763" s="502"/>
      <c r="B763" s="34"/>
      <c r="C763" s="34"/>
      <c r="D763" s="34"/>
      <c r="E763" s="34"/>
      <c r="F763" s="34"/>
      <c r="G763" s="34"/>
      <c r="H763" s="34"/>
      <c r="I763" s="29"/>
      <c r="J763" s="29"/>
      <c r="K763" s="29"/>
      <c r="L763" s="29"/>
      <c r="M763" s="34"/>
      <c r="N763" s="34"/>
      <c r="O763" s="29"/>
      <c r="P763" s="29"/>
      <c r="Q763" s="29"/>
      <c r="R763" s="29"/>
      <c r="S763" s="29"/>
      <c r="T763" s="29"/>
      <c r="U763" s="476"/>
      <c r="V763" s="107"/>
      <c r="W763" s="29"/>
      <c r="X763" s="34"/>
      <c r="Y763" s="34"/>
    </row>
    <row x14ac:dyDescent="0.25" r="764" customHeight="1" ht="15.75">
      <c r="A764" s="502"/>
      <c r="B764" s="34"/>
      <c r="C764" s="34"/>
      <c r="D764" s="34"/>
      <c r="E764" s="34"/>
      <c r="F764" s="34"/>
      <c r="G764" s="34"/>
      <c r="H764" s="34"/>
      <c r="I764" s="29"/>
      <c r="J764" s="29"/>
      <c r="K764" s="29"/>
      <c r="L764" s="29"/>
      <c r="M764" s="34"/>
      <c r="N764" s="34"/>
      <c r="O764" s="29"/>
      <c r="P764" s="29"/>
      <c r="Q764" s="29"/>
      <c r="R764" s="29"/>
      <c r="S764" s="29"/>
      <c r="T764" s="29"/>
      <c r="U764" s="476"/>
      <c r="V764" s="107"/>
      <c r="W764" s="29"/>
      <c r="X764" s="34"/>
      <c r="Y764" s="34"/>
    </row>
    <row x14ac:dyDescent="0.25" r="765" customHeight="1" ht="15.75">
      <c r="A765" s="502"/>
      <c r="B765" s="34"/>
      <c r="C765" s="34"/>
      <c r="D765" s="34"/>
      <c r="E765" s="34"/>
      <c r="F765" s="34"/>
      <c r="G765" s="34"/>
      <c r="H765" s="34"/>
      <c r="I765" s="29"/>
      <c r="J765" s="29"/>
      <c r="K765" s="29"/>
      <c r="L765" s="29"/>
      <c r="M765" s="34"/>
      <c r="N765" s="34"/>
      <c r="O765" s="29"/>
      <c r="P765" s="29"/>
      <c r="Q765" s="29"/>
      <c r="R765" s="29"/>
      <c r="S765" s="29"/>
      <c r="T765" s="29"/>
      <c r="U765" s="476"/>
      <c r="V765" s="107"/>
      <c r="W765" s="29"/>
      <c r="X765" s="34"/>
      <c r="Y765" s="34"/>
    </row>
    <row x14ac:dyDescent="0.25" r="766" customHeight="1" ht="15.75">
      <c r="A766" s="502"/>
      <c r="B766" s="34"/>
      <c r="C766" s="34"/>
      <c r="D766" s="34"/>
      <c r="E766" s="34"/>
      <c r="F766" s="34"/>
      <c r="G766" s="34"/>
      <c r="H766" s="34"/>
      <c r="I766" s="29"/>
      <c r="J766" s="29"/>
      <c r="K766" s="29"/>
      <c r="L766" s="29"/>
      <c r="M766" s="34"/>
      <c r="N766" s="34"/>
      <c r="O766" s="29"/>
      <c r="P766" s="29"/>
      <c r="Q766" s="29"/>
      <c r="R766" s="29"/>
      <c r="S766" s="29"/>
      <c r="T766" s="29"/>
      <c r="U766" s="476"/>
      <c r="V766" s="107"/>
      <c r="W766" s="29"/>
      <c r="X766" s="34"/>
      <c r="Y766" s="34"/>
    </row>
    <row x14ac:dyDescent="0.25" r="767" customHeight="1" ht="15.75">
      <c r="A767" s="502"/>
      <c r="B767" s="34"/>
      <c r="C767" s="34"/>
      <c r="D767" s="34"/>
      <c r="E767" s="34"/>
      <c r="F767" s="34"/>
      <c r="G767" s="34"/>
      <c r="H767" s="34"/>
      <c r="I767" s="29"/>
      <c r="J767" s="29"/>
      <c r="K767" s="29"/>
      <c r="L767" s="29"/>
      <c r="M767" s="34"/>
      <c r="N767" s="34"/>
      <c r="O767" s="29"/>
      <c r="P767" s="29"/>
      <c r="Q767" s="29"/>
      <c r="R767" s="29"/>
      <c r="S767" s="29"/>
      <c r="T767" s="29"/>
      <c r="U767" s="476"/>
      <c r="V767" s="107"/>
      <c r="W767" s="29"/>
      <c r="X767" s="34"/>
      <c r="Y767" s="34"/>
    </row>
    <row x14ac:dyDescent="0.25" r="768" customHeight="1" ht="15.75">
      <c r="A768" s="502"/>
      <c r="B768" s="34"/>
      <c r="C768" s="34"/>
      <c r="D768" s="34"/>
      <c r="E768" s="34"/>
      <c r="F768" s="34"/>
      <c r="G768" s="34"/>
      <c r="H768" s="34"/>
      <c r="I768" s="29"/>
      <c r="J768" s="29"/>
      <c r="K768" s="29"/>
      <c r="L768" s="29"/>
      <c r="M768" s="34"/>
      <c r="N768" s="34"/>
      <c r="O768" s="29"/>
      <c r="P768" s="29"/>
      <c r="Q768" s="29"/>
      <c r="R768" s="29"/>
      <c r="S768" s="29"/>
      <c r="T768" s="29"/>
      <c r="U768" s="476"/>
      <c r="V768" s="107"/>
      <c r="W768" s="29"/>
      <c r="X768" s="34"/>
      <c r="Y768" s="34"/>
    </row>
    <row x14ac:dyDescent="0.25" r="769" customHeight="1" ht="15.75">
      <c r="A769" s="502"/>
      <c r="B769" s="34"/>
      <c r="C769" s="34"/>
      <c r="D769" s="34"/>
      <c r="E769" s="34"/>
      <c r="F769" s="34"/>
      <c r="G769" s="34"/>
      <c r="H769" s="34"/>
      <c r="I769" s="29"/>
      <c r="J769" s="29"/>
      <c r="K769" s="29"/>
      <c r="L769" s="29"/>
      <c r="M769" s="34"/>
      <c r="N769" s="34"/>
      <c r="O769" s="29"/>
      <c r="P769" s="29"/>
      <c r="Q769" s="29"/>
      <c r="R769" s="29"/>
      <c r="S769" s="29"/>
      <c r="T769" s="29"/>
      <c r="U769" s="476"/>
      <c r="V769" s="107"/>
      <c r="W769" s="29"/>
      <c r="X769" s="34"/>
      <c r="Y769" s="34"/>
    </row>
    <row x14ac:dyDescent="0.25" r="770" customHeight="1" ht="15.75">
      <c r="A770" s="502"/>
      <c r="B770" s="34"/>
      <c r="C770" s="34"/>
      <c r="D770" s="34"/>
      <c r="E770" s="34"/>
      <c r="F770" s="34"/>
      <c r="G770" s="34"/>
      <c r="H770" s="34"/>
      <c r="I770" s="29"/>
      <c r="J770" s="29"/>
      <c r="K770" s="29"/>
      <c r="L770" s="29"/>
      <c r="M770" s="34"/>
      <c r="N770" s="34"/>
      <c r="O770" s="29"/>
      <c r="P770" s="29"/>
      <c r="Q770" s="29"/>
      <c r="R770" s="29"/>
      <c r="S770" s="29"/>
      <c r="T770" s="29"/>
      <c r="U770" s="476"/>
      <c r="V770" s="107"/>
      <c r="W770" s="29"/>
      <c r="X770" s="34"/>
      <c r="Y770" s="34"/>
    </row>
    <row x14ac:dyDescent="0.25" r="771" customHeight="1" ht="15.75">
      <c r="A771" s="502"/>
      <c r="B771" s="34"/>
      <c r="C771" s="34"/>
      <c r="D771" s="34"/>
      <c r="E771" s="34"/>
      <c r="F771" s="34"/>
      <c r="G771" s="34"/>
      <c r="H771" s="34"/>
      <c r="I771" s="29"/>
      <c r="J771" s="29"/>
      <c r="K771" s="29"/>
      <c r="L771" s="29"/>
      <c r="M771" s="34"/>
      <c r="N771" s="34"/>
      <c r="O771" s="29"/>
      <c r="P771" s="29"/>
      <c r="Q771" s="29"/>
      <c r="R771" s="29"/>
      <c r="S771" s="29"/>
      <c r="T771" s="29"/>
      <c r="U771" s="476"/>
      <c r="V771" s="107"/>
      <c r="W771" s="29"/>
      <c r="X771" s="34"/>
      <c r="Y771" s="34"/>
    </row>
    <row x14ac:dyDescent="0.25" r="772" customHeight="1" ht="15.75">
      <c r="A772" s="502"/>
      <c r="B772" s="34"/>
      <c r="C772" s="34"/>
      <c r="D772" s="34"/>
      <c r="E772" s="34"/>
      <c r="F772" s="34"/>
      <c r="G772" s="34"/>
      <c r="H772" s="34"/>
      <c r="I772" s="29"/>
      <c r="J772" s="29"/>
      <c r="K772" s="29"/>
      <c r="L772" s="29"/>
      <c r="M772" s="34"/>
      <c r="N772" s="34"/>
      <c r="O772" s="29"/>
      <c r="P772" s="29"/>
      <c r="Q772" s="29"/>
      <c r="R772" s="29"/>
      <c r="S772" s="29"/>
      <c r="T772" s="29"/>
      <c r="U772" s="476"/>
      <c r="V772" s="107"/>
      <c r="W772" s="29"/>
      <c r="X772" s="34"/>
      <c r="Y772" s="34"/>
    </row>
    <row x14ac:dyDescent="0.25" r="773" customHeight="1" ht="15.75">
      <c r="A773" s="502"/>
      <c r="B773" s="34"/>
      <c r="C773" s="34"/>
      <c r="D773" s="34"/>
      <c r="E773" s="34"/>
      <c r="F773" s="34"/>
      <c r="G773" s="34"/>
      <c r="H773" s="34"/>
      <c r="I773" s="29"/>
      <c r="J773" s="29"/>
      <c r="K773" s="29"/>
      <c r="L773" s="29"/>
      <c r="M773" s="34"/>
      <c r="N773" s="34"/>
      <c r="O773" s="29"/>
      <c r="P773" s="29"/>
      <c r="Q773" s="29"/>
      <c r="R773" s="29"/>
      <c r="S773" s="29"/>
      <c r="T773" s="29"/>
      <c r="U773" s="476"/>
      <c r="V773" s="107"/>
      <c r="W773" s="29"/>
      <c r="X773" s="34"/>
      <c r="Y773" s="34"/>
    </row>
    <row x14ac:dyDescent="0.25" r="774" customHeight="1" ht="15.75">
      <c r="A774" s="502"/>
      <c r="B774" s="34"/>
      <c r="C774" s="34"/>
      <c r="D774" s="34"/>
      <c r="E774" s="34"/>
      <c r="F774" s="34"/>
      <c r="G774" s="34"/>
      <c r="H774" s="34"/>
      <c r="I774" s="29"/>
      <c r="J774" s="29"/>
      <c r="K774" s="29"/>
      <c r="L774" s="29"/>
      <c r="M774" s="34"/>
      <c r="N774" s="34"/>
      <c r="O774" s="29"/>
      <c r="P774" s="29"/>
      <c r="Q774" s="29"/>
      <c r="R774" s="29"/>
      <c r="S774" s="29"/>
      <c r="T774" s="29"/>
      <c r="U774" s="476"/>
      <c r="V774" s="107"/>
      <c r="W774" s="29"/>
      <c r="X774" s="34"/>
      <c r="Y774" s="34"/>
    </row>
    <row x14ac:dyDescent="0.25" r="775" customHeight="1" ht="15.75">
      <c r="A775" s="502"/>
      <c r="B775" s="34"/>
      <c r="C775" s="34"/>
      <c r="D775" s="34"/>
      <c r="E775" s="34"/>
      <c r="F775" s="34"/>
      <c r="G775" s="34"/>
      <c r="H775" s="34"/>
      <c r="I775" s="29"/>
      <c r="J775" s="29"/>
      <c r="K775" s="29"/>
      <c r="L775" s="29"/>
      <c r="M775" s="34"/>
      <c r="N775" s="34"/>
      <c r="O775" s="29"/>
      <c r="P775" s="29"/>
      <c r="Q775" s="29"/>
      <c r="R775" s="29"/>
      <c r="S775" s="29"/>
      <c r="T775" s="29"/>
      <c r="U775" s="476"/>
      <c r="V775" s="107"/>
      <c r="W775" s="29"/>
      <c r="X775" s="34"/>
      <c r="Y775" s="34"/>
    </row>
    <row x14ac:dyDescent="0.25" r="776" customHeight="1" ht="15.75">
      <c r="A776" s="502"/>
      <c r="B776" s="34"/>
      <c r="C776" s="34"/>
      <c r="D776" s="34"/>
      <c r="E776" s="34"/>
      <c r="F776" s="34"/>
      <c r="G776" s="34"/>
      <c r="H776" s="34"/>
      <c r="I776" s="29"/>
      <c r="J776" s="29"/>
      <c r="K776" s="29"/>
      <c r="L776" s="29"/>
      <c r="M776" s="34"/>
      <c r="N776" s="34"/>
      <c r="O776" s="29"/>
      <c r="P776" s="29"/>
      <c r="Q776" s="29"/>
      <c r="R776" s="29"/>
      <c r="S776" s="29"/>
      <c r="T776" s="29"/>
      <c r="U776" s="476"/>
      <c r="V776" s="107"/>
      <c r="W776" s="29"/>
      <c r="X776" s="34"/>
      <c r="Y776" s="34"/>
    </row>
    <row x14ac:dyDescent="0.25" r="777" customHeight="1" ht="15.75">
      <c r="A777" s="502"/>
      <c r="B777" s="34"/>
      <c r="C777" s="34"/>
      <c r="D777" s="34"/>
      <c r="E777" s="34"/>
      <c r="F777" s="34"/>
      <c r="G777" s="34"/>
      <c r="H777" s="34"/>
      <c r="I777" s="29"/>
      <c r="J777" s="29"/>
      <c r="K777" s="29"/>
      <c r="L777" s="29"/>
      <c r="M777" s="34"/>
      <c r="N777" s="34"/>
      <c r="O777" s="29"/>
      <c r="P777" s="29"/>
      <c r="Q777" s="29"/>
      <c r="R777" s="29"/>
      <c r="S777" s="29"/>
      <c r="T777" s="29"/>
      <c r="U777" s="476"/>
      <c r="V777" s="107"/>
      <c r="W777" s="29"/>
      <c r="X777" s="34"/>
      <c r="Y777" s="34"/>
    </row>
    <row x14ac:dyDescent="0.25" r="778" customHeight="1" ht="15.75">
      <c r="A778" s="502"/>
      <c r="B778" s="34"/>
      <c r="C778" s="34"/>
      <c r="D778" s="34"/>
      <c r="E778" s="34"/>
      <c r="F778" s="34"/>
      <c r="G778" s="34"/>
      <c r="H778" s="34"/>
      <c r="I778" s="29"/>
      <c r="J778" s="29"/>
      <c r="K778" s="29"/>
      <c r="L778" s="29"/>
      <c r="M778" s="34"/>
      <c r="N778" s="34"/>
      <c r="O778" s="29"/>
      <c r="P778" s="29"/>
      <c r="Q778" s="29"/>
      <c r="R778" s="29"/>
      <c r="S778" s="29"/>
      <c r="T778" s="29"/>
      <c r="U778" s="476"/>
      <c r="V778" s="107"/>
      <c r="W778" s="29"/>
      <c r="X778" s="34"/>
      <c r="Y778" s="34"/>
    </row>
    <row x14ac:dyDescent="0.25" r="779" customHeight="1" ht="15.75">
      <c r="A779" s="502"/>
      <c r="B779" s="34"/>
      <c r="C779" s="34"/>
      <c r="D779" s="34"/>
      <c r="E779" s="34"/>
      <c r="F779" s="34"/>
      <c r="G779" s="34"/>
      <c r="H779" s="34"/>
      <c r="I779" s="29"/>
      <c r="J779" s="29"/>
      <c r="K779" s="29"/>
      <c r="L779" s="29"/>
      <c r="M779" s="34"/>
      <c r="N779" s="34"/>
      <c r="O779" s="29"/>
      <c r="P779" s="29"/>
      <c r="Q779" s="29"/>
      <c r="R779" s="29"/>
      <c r="S779" s="29"/>
      <c r="T779" s="29"/>
      <c r="U779" s="476"/>
      <c r="V779" s="107"/>
      <c r="W779" s="29"/>
      <c r="X779" s="34"/>
      <c r="Y779" s="34"/>
    </row>
    <row x14ac:dyDescent="0.25" r="780" customHeight="1" ht="15.75">
      <c r="A780" s="502"/>
      <c r="B780" s="34"/>
      <c r="C780" s="34"/>
      <c r="D780" s="34"/>
      <c r="E780" s="34"/>
      <c r="F780" s="34"/>
      <c r="G780" s="34"/>
      <c r="H780" s="34"/>
      <c r="I780" s="29"/>
      <c r="J780" s="29"/>
      <c r="K780" s="29"/>
      <c r="L780" s="29"/>
      <c r="M780" s="34"/>
      <c r="N780" s="34"/>
      <c r="O780" s="29"/>
      <c r="P780" s="29"/>
      <c r="Q780" s="29"/>
      <c r="R780" s="29"/>
      <c r="S780" s="29"/>
      <c r="T780" s="29"/>
      <c r="U780" s="476"/>
      <c r="V780" s="107"/>
      <c r="W780" s="29"/>
      <c r="X780" s="34"/>
      <c r="Y780" s="34"/>
    </row>
    <row x14ac:dyDescent="0.25" r="781" customHeight="1" ht="15.75">
      <c r="A781" s="502"/>
      <c r="B781" s="34"/>
      <c r="C781" s="34"/>
      <c r="D781" s="34"/>
      <c r="E781" s="34"/>
      <c r="F781" s="34"/>
      <c r="G781" s="34"/>
      <c r="H781" s="34"/>
      <c r="I781" s="29"/>
      <c r="J781" s="29"/>
      <c r="K781" s="29"/>
      <c r="L781" s="29"/>
      <c r="M781" s="34"/>
      <c r="N781" s="34"/>
      <c r="O781" s="29"/>
      <c r="P781" s="29"/>
      <c r="Q781" s="29"/>
      <c r="R781" s="29"/>
      <c r="S781" s="29"/>
      <c r="T781" s="29"/>
      <c r="U781" s="476"/>
      <c r="V781" s="107"/>
      <c r="W781" s="29"/>
      <c r="X781" s="34"/>
      <c r="Y781" s="34"/>
    </row>
    <row x14ac:dyDescent="0.25" r="782" customHeight="1" ht="15.75">
      <c r="A782" s="502"/>
      <c r="B782" s="34"/>
      <c r="C782" s="34"/>
      <c r="D782" s="34"/>
      <c r="E782" s="34"/>
      <c r="F782" s="34"/>
      <c r="G782" s="34"/>
      <c r="H782" s="34"/>
      <c r="I782" s="29"/>
      <c r="J782" s="29"/>
      <c r="K782" s="29"/>
      <c r="L782" s="29"/>
      <c r="M782" s="34"/>
      <c r="N782" s="34"/>
      <c r="O782" s="29"/>
      <c r="P782" s="29"/>
      <c r="Q782" s="29"/>
      <c r="R782" s="29"/>
      <c r="S782" s="29"/>
      <c r="T782" s="29"/>
      <c r="U782" s="476"/>
      <c r="V782" s="107"/>
      <c r="W782" s="29"/>
      <c r="X782" s="34"/>
      <c r="Y782" s="34"/>
    </row>
    <row x14ac:dyDescent="0.25" r="783" customHeight="1" ht="15.75">
      <c r="A783" s="502"/>
      <c r="B783" s="34"/>
      <c r="C783" s="34"/>
      <c r="D783" s="34"/>
      <c r="E783" s="34"/>
      <c r="F783" s="34"/>
      <c r="G783" s="34"/>
      <c r="H783" s="34"/>
      <c r="I783" s="29"/>
      <c r="J783" s="29"/>
      <c r="K783" s="29"/>
      <c r="L783" s="29"/>
      <c r="M783" s="34"/>
      <c r="N783" s="34"/>
      <c r="O783" s="29"/>
      <c r="P783" s="29"/>
      <c r="Q783" s="29"/>
      <c r="R783" s="29"/>
      <c r="S783" s="29"/>
      <c r="T783" s="29"/>
      <c r="U783" s="476"/>
      <c r="V783" s="107"/>
      <c r="W783" s="29"/>
      <c r="X783" s="34"/>
      <c r="Y783" s="34"/>
    </row>
    <row x14ac:dyDescent="0.25" r="784" customHeight="1" ht="15.75">
      <c r="A784" s="502"/>
      <c r="B784" s="34"/>
      <c r="C784" s="34"/>
      <c r="D784" s="34"/>
      <c r="E784" s="34"/>
      <c r="F784" s="34"/>
      <c r="G784" s="34"/>
      <c r="H784" s="34"/>
      <c r="I784" s="29"/>
      <c r="J784" s="29"/>
      <c r="K784" s="29"/>
      <c r="L784" s="29"/>
      <c r="M784" s="34"/>
      <c r="N784" s="34"/>
      <c r="O784" s="29"/>
      <c r="P784" s="29"/>
      <c r="Q784" s="29"/>
      <c r="R784" s="29"/>
      <c r="S784" s="29"/>
      <c r="T784" s="29"/>
      <c r="U784" s="476"/>
      <c r="V784" s="107"/>
      <c r="W784" s="29"/>
      <c r="X784" s="34"/>
      <c r="Y784" s="34"/>
    </row>
    <row x14ac:dyDescent="0.25" r="785" customHeight="1" ht="15.75">
      <c r="A785" s="502"/>
      <c r="B785" s="34"/>
      <c r="C785" s="34"/>
      <c r="D785" s="34"/>
      <c r="E785" s="34"/>
      <c r="F785" s="34"/>
      <c r="G785" s="34"/>
      <c r="H785" s="34"/>
      <c r="I785" s="29"/>
      <c r="J785" s="29"/>
      <c r="K785" s="29"/>
      <c r="L785" s="29"/>
      <c r="M785" s="34"/>
      <c r="N785" s="34"/>
      <c r="O785" s="29"/>
      <c r="P785" s="29"/>
      <c r="Q785" s="29"/>
      <c r="R785" s="29"/>
      <c r="S785" s="29"/>
      <c r="T785" s="29"/>
      <c r="U785" s="476"/>
      <c r="V785" s="107"/>
      <c r="W785" s="29"/>
      <c r="X785" s="34"/>
      <c r="Y785" s="34"/>
    </row>
    <row x14ac:dyDescent="0.25" r="786" customHeight="1" ht="15.75">
      <c r="A786" s="502"/>
      <c r="B786" s="34"/>
      <c r="C786" s="34"/>
      <c r="D786" s="34"/>
      <c r="E786" s="34"/>
      <c r="F786" s="34"/>
      <c r="G786" s="34"/>
      <c r="H786" s="34"/>
      <c r="I786" s="29"/>
      <c r="J786" s="29"/>
      <c r="K786" s="29"/>
      <c r="L786" s="29"/>
      <c r="M786" s="34"/>
      <c r="N786" s="34"/>
      <c r="O786" s="29"/>
      <c r="P786" s="29"/>
      <c r="Q786" s="29"/>
      <c r="R786" s="29"/>
      <c r="S786" s="29"/>
      <c r="T786" s="29"/>
      <c r="U786" s="476"/>
      <c r="V786" s="107"/>
      <c r="W786" s="29"/>
      <c r="X786" s="34"/>
      <c r="Y786" s="34"/>
    </row>
    <row x14ac:dyDescent="0.25" r="787" customHeight="1" ht="15.75">
      <c r="A787" s="502"/>
      <c r="B787" s="34"/>
      <c r="C787" s="34"/>
      <c r="D787" s="34"/>
      <c r="E787" s="34"/>
      <c r="F787" s="34"/>
      <c r="G787" s="34"/>
      <c r="H787" s="34"/>
      <c r="I787" s="29"/>
      <c r="J787" s="29"/>
      <c r="K787" s="29"/>
      <c r="L787" s="29"/>
      <c r="M787" s="34"/>
      <c r="N787" s="34"/>
      <c r="O787" s="29"/>
      <c r="P787" s="29"/>
      <c r="Q787" s="29"/>
      <c r="R787" s="29"/>
      <c r="S787" s="29"/>
      <c r="T787" s="29"/>
      <c r="U787" s="476"/>
      <c r="V787" s="107"/>
      <c r="W787" s="29"/>
      <c r="X787" s="34"/>
      <c r="Y787" s="34"/>
    </row>
    <row x14ac:dyDescent="0.25" r="788" customHeight="1" ht="15.75">
      <c r="A788" s="502"/>
      <c r="B788" s="34"/>
      <c r="C788" s="34"/>
      <c r="D788" s="34"/>
      <c r="E788" s="34"/>
      <c r="F788" s="34"/>
      <c r="G788" s="34"/>
      <c r="H788" s="34"/>
      <c r="I788" s="29"/>
      <c r="J788" s="29"/>
      <c r="K788" s="29"/>
      <c r="L788" s="29"/>
      <c r="M788" s="34"/>
      <c r="N788" s="34"/>
      <c r="O788" s="29"/>
      <c r="P788" s="29"/>
      <c r="Q788" s="29"/>
      <c r="R788" s="29"/>
      <c r="S788" s="29"/>
      <c r="T788" s="29"/>
      <c r="U788" s="476"/>
      <c r="V788" s="107"/>
      <c r="W788" s="29"/>
      <c r="X788" s="34"/>
      <c r="Y788" s="34"/>
    </row>
    <row x14ac:dyDescent="0.25" r="789" customHeight="1" ht="15.75">
      <c r="A789" s="502"/>
      <c r="B789" s="34"/>
      <c r="C789" s="34"/>
      <c r="D789" s="34"/>
      <c r="E789" s="34"/>
      <c r="F789" s="34"/>
      <c r="G789" s="34"/>
      <c r="H789" s="34"/>
      <c r="I789" s="29"/>
      <c r="J789" s="29"/>
      <c r="K789" s="29"/>
      <c r="L789" s="29"/>
      <c r="M789" s="34"/>
      <c r="N789" s="34"/>
      <c r="O789" s="29"/>
      <c r="P789" s="29"/>
      <c r="Q789" s="29"/>
      <c r="R789" s="29"/>
      <c r="S789" s="29"/>
      <c r="T789" s="29"/>
      <c r="U789" s="476"/>
      <c r="V789" s="107"/>
      <c r="W789" s="29"/>
      <c r="X789" s="34"/>
      <c r="Y789" s="34"/>
    </row>
    <row x14ac:dyDescent="0.25" r="790" customHeight="1" ht="15.75">
      <c r="A790" s="502"/>
      <c r="B790" s="34"/>
      <c r="C790" s="34"/>
      <c r="D790" s="34"/>
      <c r="E790" s="34"/>
      <c r="F790" s="34"/>
      <c r="G790" s="34"/>
      <c r="H790" s="34"/>
      <c r="I790" s="29"/>
      <c r="J790" s="29"/>
      <c r="K790" s="29"/>
      <c r="L790" s="29"/>
      <c r="M790" s="34"/>
      <c r="N790" s="34"/>
      <c r="O790" s="29"/>
      <c r="P790" s="29"/>
      <c r="Q790" s="29"/>
      <c r="R790" s="29"/>
      <c r="S790" s="29"/>
      <c r="T790" s="29"/>
      <c r="U790" s="476"/>
      <c r="V790" s="107"/>
      <c r="W790" s="29"/>
      <c r="X790" s="34"/>
      <c r="Y790" s="34"/>
    </row>
    <row x14ac:dyDescent="0.25" r="791" customHeight="1" ht="15.75">
      <c r="A791" s="502"/>
      <c r="B791" s="34"/>
      <c r="C791" s="34"/>
      <c r="D791" s="34"/>
      <c r="E791" s="34"/>
      <c r="F791" s="34"/>
      <c r="G791" s="34"/>
      <c r="H791" s="34"/>
      <c r="I791" s="29"/>
      <c r="J791" s="29"/>
      <c r="K791" s="29"/>
      <c r="L791" s="29"/>
      <c r="M791" s="34"/>
      <c r="N791" s="34"/>
      <c r="O791" s="29"/>
      <c r="P791" s="29"/>
      <c r="Q791" s="29"/>
      <c r="R791" s="29"/>
      <c r="S791" s="29"/>
      <c r="T791" s="29"/>
      <c r="U791" s="476"/>
      <c r="V791" s="107"/>
      <c r="W791" s="29"/>
      <c r="X791" s="34"/>
      <c r="Y791" s="34"/>
    </row>
    <row x14ac:dyDescent="0.25" r="792" customHeight="1" ht="15.75">
      <c r="A792" s="502"/>
      <c r="B792" s="34"/>
      <c r="C792" s="34"/>
      <c r="D792" s="34"/>
      <c r="E792" s="34"/>
      <c r="F792" s="34"/>
      <c r="G792" s="34"/>
      <c r="H792" s="34"/>
      <c r="I792" s="29"/>
      <c r="J792" s="29"/>
      <c r="K792" s="29"/>
      <c r="L792" s="29"/>
      <c r="M792" s="34"/>
      <c r="N792" s="34"/>
      <c r="O792" s="29"/>
      <c r="P792" s="29"/>
      <c r="Q792" s="29"/>
      <c r="R792" s="29"/>
      <c r="S792" s="29"/>
      <c r="T792" s="29"/>
      <c r="U792" s="476"/>
      <c r="V792" s="107"/>
      <c r="W792" s="29"/>
      <c r="X792" s="34"/>
      <c r="Y792" s="34"/>
    </row>
    <row x14ac:dyDescent="0.25" r="793" customHeight="1" ht="15.75">
      <c r="A793" s="502"/>
      <c r="B793" s="34"/>
      <c r="C793" s="34"/>
      <c r="D793" s="34"/>
      <c r="E793" s="34"/>
      <c r="F793" s="34"/>
      <c r="G793" s="34"/>
      <c r="H793" s="34"/>
      <c r="I793" s="29"/>
      <c r="J793" s="29"/>
      <c r="K793" s="29"/>
      <c r="L793" s="29"/>
      <c r="M793" s="34"/>
      <c r="N793" s="34"/>
      <c r="O793" s="29"/>
      <c r="P793" s="29"/>
      <c r="Q793" s="29"/>
      <c r="R793" s="29"/>
      <c r="S793" s="29"/>
      <c r="T793" s="29"/>
      <c r="U793" s="476"/>
      <c r="V793" s="107"/>
      <c r="W793" s="29"/>
      <c r="X793" s="34"/>
      <c r="Y793" s="34"/>
    </row>
    <row x14ac:dyDescent="0.25" r="794" customHeight="1" ht="15.75">
      <c r="A794" s="502"/>
      <c r="B794" s="34"/>
      <c r="C794" s="34"/>
      <c r="D794" s="34"/>
      <c r="E794" s="34"/>
      <c r="F794" s="34"/>
      <c r="G794" s="34"/>
      <c r="H794" s="34"/>
      <c r="I794" s="29"/>
      <c r="J794" s="29"/>
      <c r="K794" s="29"/>
      <c r="L794" s="29"/>
      <c r="M794" s="34"/>
      <c r="N794" s="34"/>
      <c r="O794" s="29"/>
      <c r="P794" s="29"/>
      <c r="Q794" s="29"/>
      <c r="R794" s="29"/>
      <c r="S794" s="29"/>
      <c r="T794" s="29"/>
      <c r="U794" s="476"/>
      <c r="V794" s="107"/>
      <c r="W794" s="29"/>
      <c r="X794" s="34"/>
      <c r="Y794" s="34"/>
    </row>
    <row x14ac:dyDescent="0.25" r="795" customHeight="1" ht="15.75">
      <c r="A795" s="502"/>
      <c r="B795" s="34"/>
      <c r="C795" s="34"/>
      <c r="D795" s="34"/>
      <c r="E795" s="34"/>
      <c r="F795" s="34"/>
      <c r="G795" s="34"/>
      <c r="H795" s="34"/>
      <c r="I795" s="29"/>
      <c r="J795" s="29"/>
      <c r="K795" s="29"/>
      <c r="L795" s="29"/>
      <c r="M795" s="34"/>
      <c r="N795" s="34"/>
      <c r="O795" s="29"/>
      <c r="P795" s="29"/>
      <c r="Q795" s="29"/>
      <c r="R795" s="29"/>
      <c r="S795" s="29"/>
      <c r="T795" s="29"/>
      <c r="U795" s="476"/>
      <c r="V795" s="107"/>
      <c r="W795" s="29"/>
      <c r="X795" s="34"/>
      <c r="Y795" s="34"/>
    </row>
    <row x14ac:dyDescent="0.25" r="796" customHeight="1" ht="15.75">
      <c r="A796" s="502"/>
      <c r="B796" s="34"/>
      <c r="C796" s="34"/>
      <c r="D796" s="34"/>
      <c r="E796" s="34"/>
      <c r="F796" s="34"/>
      <c r="G796" s="34"/>
      <c r="H796" s="34"/>
      <c r="I796" s="29"/>
      <c r="J796" s="29"/>
      <c r="K796" s="29"/>
      <c r="L796" s="29"/>
      <c r="M796" s="34"/>
      <c r="N796" s="34"/>
      <c r="O796" s="29"/>
      <c r="P796" s="29"/>
      <c r="Q796" s="29"/>
      <c r="R796" s="29"/>
      <c r="S796" s="29"/>
      <c r="T796" s="29"/>
      <c r="U796" s="476"/>
      <c r="V796" s="107"/>
      <c r="W796" s="29"/>
      <c r="X796" s="34"/>
      <c r="Y796" s="34"/>
    </row>
    <row x14ac:dyDescent="0.25" r="797" customHeight="1" ht="15.75">
      <c r="A797" s="502"/>
      <c r="B797" s="34"/>
      <c r="C797" s="34"/>
      <c r="D797" s="34"/>
      <c r="E797" s="34"/>
      <c r="F797" s="34"/>
      <c r="G797" s="34"/>
      <c r="H797" s="34"/>
      <c r="I797" s="29"/>
      <c r="J797" s="29"/>
      <c r="K797" s="29"/>
      <c r="L797" s="29"/>
      <c r="M797" s="34"/>
      <c r="N797" s="34"/>
      <c r="O797" s="29"/>
      <c r="P797" s="29"/>
      <c r="Q797" s="29"/>
      <c r="R797" s="29"/>
      <c r="S797" s="29"/>
      <c r="T797" s="29"/>
      <c r="U797" s="476"/>
      <c r="V797" s="107"/>
      <c r="W797" s="29"/>
      <c r="X797" s="34"/>
      <c r="Y797" s="34"/>
    </row>
    <row x14ac:dyDescent="0.25" r="798" customHeight="1" ht="15.75">
      <c r="A798" s="502"/>
      <c r="B798" s="34"/>
      <c r="C798" s="34"/>
      <c r="D798" s="34"/>
      <c r="E798" s="34"/>
      <c r="F798" s="34"/>
      <c r="G798" s="34"/>
      <c r="H798" s="34"/>
      <c r="I798" s="29"/>
      <c r="J798" s="29"/>
      <c r="K798" s="29"/>
      <c r="L798" s="29"/>
      <c r="M798" s="34"/>
      <c r="N798" s="34"/>
      <c r="O798" s="29"/>
      <c r="P798" s="29"/>
      <c r="Q798" s="29"/>
      <c r="R798" s="29"/>
      <c r="S798" s="29"/>
      <c r="T798" s="29"/>
      <c r="U798" s="476"/>
      <c r="V798" s="107"/>
      <c r="W798" s="29"/>
      <c r="X798" s="34"/>
      <c r="Y798" s="34"/>
    </row>
    <row x14ac:dyDescent="0.25" r="799" customHeight="1" ht="15.75">
      <c r="A799" s="502"/>
      <c r="B799" s="34"/>
      <c r="C799" s="34"/>
      <c r="D799" s="34"/>
      <c r="E799" s="34"/>
      <c r="F799" s="34"/>
      <c r="G799" s="34"/>
      <c r="H799" s="34"/>
      <c r="I799" s="29"/>
      <c r="J799" s="29"/>
      <c r="K799" s="29"/>
      <c r="L799" s="29"/>
      <c r="M799" s="34"/>
      <c r="N799" s="34"/>
      <c r="O799" s="29"/>
      <c r="P799" s="29"/>
      <c r="Q799" s="29"/>
      <c r="R799" s="29"/>
      <c r="S799" s="29"/>
      <c r="T799" s="29"/>
      <c r="U799" s="476"/>
      <c r="V799" s="107"/>
      <c r="W799" s="29"/>
      <c r="X799" s="34"/>
      <c r="Y799" s="34"/>
    </row>
    <row x14ac:dyDescent="0.25" r="800" customHeight="1" ht="15.75">
      <c r="A800" s="502"/>
      <c r="B800" s="34"/>
      <c r="C800" s="34"/>
      <c r="D800" s="34"/>
      <c r="E800" s="34"/>
      <c r="F800" s="34"/>
      <c r="G800" s="34"/>
      <c r="H800" s="34"/>
      <c r="I800" s="29"/>
      <c r="J800" s="29"/>
      <c r="K800" s="29"/>
      <c r="L800" s="29"/>
      <c r="M800" s="34"/>
      <c r="N800" s="34"/>
      <c r="O800" s="29"/>
      <c r="P800" s="29"/>
      <c r="Q800" s="29"/>
      <c r="R800" s="29"/>
      <c r="S800" s="29"/>
      <c r="T800" s="29"/>
      <c r="U800" s="476"/>
      <c r="V800" s="107"/>
      <c r="W800" s="29"/>
      <c r="X800" s="34"/>
      <c r="Y800" s="34"/>
    </row>
    <row x14ac:dyDescent="0.25" r="801" customHeight="1" ht="15.75">
      <c r="A801" s="502"/>
      <c r="B801" s="34"/>
      <c r="C801" s="34"/>
      <c r="D801" s="34"/>
      <c r="E801" s="34"/>
      <c r="F801" s="34"/>
      <c r="G801" s="34"/>
      <c r="H801" s="34"/>
      <c r="I801" s="29"/>
      <c r="J801" s="29"/>
      <c r="K801" s="29"/>
      <c r="L801" s="29"/>
      <c r="M801" s="34"/>
      <c r="N801" s="34"/>
      <c r="O801" s="29"/>
      <c r="P801" s="29"/>
      <c r="Q801" s="29"/>
      <c r="R801" s="29"/>
      <c r="S801" s="29"/>
      <c r="T801" s="29"/>
      <c r="U801" s="476"/>
      <c r="V801" s="107"/>
      <c r="W801" s="29"/>
      <c r="X801" s="34"/>
      <c r="Y801" s="34"/>
    </row>
    <row x14ac:dyDescent="0.25" r="802" customHeight="1" ht="15.75">
      <c r="A802" s="502"/>
      <c r="B802" s="34"/>
      <c r="C802" s="34"/>
      <c r="D802" s="34"/>
      <c r="E802" s="34"/>
      <c r="F802" s="34"/>
      <c r="G802" s="34"/>
      <c r="H802" s="34"/>
      <c r="I802" s="29"/>
      <c r="J802" s="29"/>
      <c r="K802" s="29"/>
      <c r="L802" s="29"/>
      <c r="M802" s="34"/>
      <c r="N802" s="34"/>
      <c r="O802" s="29"/>
      <c r="P802" s="29"/>
      <c r="Q802" s="29"/>
      <c r="R802" s="29"/>
      <c r="S802" s="29"/>
      <c r="T802" s="29"/>
      <c r="U802" s="476"/>
      <c r="V802" s="107"/>
      <c r="W802" s="29"/>
      <c r="X802" s="34"/>
      <c r="Y802" s="34"/>
    </row>
    <row x14ac:dyDescent="0.25" r="803" customHeight="1" ht="15.75">
      <c r="A803" s="502"/>
      <c r="B803" s="34"/>
      <c r="C803" s="34"/>
      <c r="D803" s="34"/>
      <c r="E803" s="34"/>
      <c r="F803" s="34"/>
      <c r="G803" s="34"/>
      <c r="H803" s="34"/>
      <c r="I803" s="29"/>
      <c r="J803" s="29"/>
      <c r="K803" s="29"/>
      <c r="L803" s="29"/>
      <c r="M803" s="34"/>
      <c r="N803" s="34"/>
      <c r="O803" s="29"/>
      <c r="P803" s="29"/>
      <c r="Q803" s="29"/>
      <c r="R803" s="29"/>
      <c r="S803" s="29"/>
      <c r="T803" s="29"/>
      <c r="U803" s="476"/>
      <c r="V803" s="107"/>
      <c r="W803" s="29"/>
      <c r="X803" s="34"/>
      <c r="Y803" s="34"/>
    </row>
    <row x14ac:dyDescent="0.25" r="804" customHeight="1" ht="15.75">
      <c r="A804" s="502"/>
      <c r="B804" s="34"/>
      <c r="C804" s="34"/>
      <c r="D804" s="34"/>
      <c r="E804" s="34"/>
      <c r="F804" s="34"/>
      <c r="G804" s="34"/>
      <c r="H804" s="34"/>
      <c r="I804" s="29"/>
      <c r="J804" s="29"/>
      <c r="K804" s="29"/>
      <c r="L804" s="29"/>
      <c r="M804" s="34"/>
      <c r="N804" s="34"/>
      <c r="O804" s="29"/>
      <c r="P804" s="29"/>
      <c r="Q804" s="29"/>
      <c r="R804" s="29"/>
      <c r="S804" s="29"/>
      <c r="T804" s="29"/>
      <c r="U804" s="476"/>
      <c r="V804" s="107"/>
      <c r="W804" s="29"/>
      <c r="X804" s="34"/>
      <c r="Y804" s="34"/>
    </row>
    <row x14ac:dyDescent="0.25" r="805" customHeight="1" ht="15.75">
      <c r="A805" s="502"/>
      <c r="B805" s="34"/>
      <c r="C805" s="34"/>
      <c r="D805" s="34"/>
      <c r="E805" s="34"/>
      <c r="F805" s="34"/>
      <c r="G805" s="34"/>
      <c r="H805" s="34"/>
      <c r="I805" s="29"/>
      <c r="J805" s="29"/>
      <c r="K805" s="29"/>
      <c r="L805" s="29"/>
      <c r="M805" s="34"/>
      <c r="N805" s="34"/>
      <c r="O805" s="29"/>
      <c r="P805" s="29"/>
      <c r="Q805" s="29"/>
      <c r="R805" s="29"/>
      <c r="S805" s="29"/>
      <c r="T805" s="29"/>
      <c r="U805" s="476"/>
      <c r="V805" s="107"/>
      <c r="W805" s="29"/>
      <c r="X805" s="34"/>
      <c r="Y805" s="34"/>
    </row>
    <row x14ac:dyDescent="0.25" r="806" customHeight="1" ht="15.75">
      <c r="A806" s="502"/>
      <c r="B806" s="34"/>
      <c r="C806" s="34"/>
      <c r="D806" s="34"/>
      <c r="E806" s="34"/>
      <c r="F806" s="34"/>
      <c r="G806" s="34"/>
      <c r="H806" s="34"/>
      <c r="I806" s="29"/>
      <c r="J806" s="29"/>
      <c r="K806" s="29"/>
      <c r="L806" s="29"/>
      <c r="M806" s="34"/>
      <c r="N806" s="34"/>
      <c r="O806" s="29"/>
      <c r="P806" s="29"/>
      <c r="Q806" s="29"/>
      <c r="R806" s="29"/>
      <c r="S806" s="29"/>
      <c r="T806" s="29"/>
      <c r="U806" s="476"/>
      <c r="V806" s="107"/>
      <c r="W806" s="29"/>
      <c r="X806" s="34"/>
      <c r="Y806" s="34"/>
    </row>
    <row x14ac:dyDescent="0.25" r="807" customHeight="1" ht="15.75">
      <c r="A807" s="502"/>
      <c r="B807" s="34"/>
      <c r="C807" s="34"/>
      <c r="D807" s="34"/>
      <c r="E807" s="34"/>
      <c r="F807" s="34"/>
      <c r="G807" s="34"/>
      <c r="H807" s="34"/>
      <c r="I807" s="29"/>
      <c r="J807" s="29"/>
      <c r="K807" s="29"/>
      <c r="L807" s="29"/>
      <c r="M807" s="34"/>
      <c r="N807" s="34"/>
      <c r="O807" s="29"/>
      <c r="P807" s="29"/>
      <c r="Q807" s="29"/>
      <c r="R807" s="29"/>
      <c r="S807" s="29"/>
      <c r="T807" s="29"/>
      <c r="U807" s="476"/>
      <c r="V807" s="107"/>
      <c r="W807" s="29"/>
      <c r="X807" s="34"/>
      <c r="Y807" s="34"/>
    </row>
    <row x14ac:dyDescent="0.25" r="808" customHeight="1" ht="15.75">
      <c r="A808" s="502"/>
      <c r="B808" s="34"/>
      <c r="C808" s="34"/>
      <c r="D808" s="34"/>
      <c r="E808" s="34"/>
      <c r="F808" s="34"/>
      <c r="G808" s="34"/>
      <c r="H808" s="34"/>
      <c r="I808" s="29"/>
      <c r="J808" s="29"/>
      <c r="K808" s="29"/>
      <c r="L808" s="29"/>
      <c r="M808" s="34"/>
      <c r="N808" s="34"/>
      <c r="O808" s="29"/>
      <c r="P808" s="29"/>
      <c r="Q808" s="29"/>
      <c r="R808" s="29"/>
      <c r="S808" s="29"/>
      <c r="T808" s="29"/>
      <c r="U808" s="476"/>
      <c r="V808" s="107"/>
      <c r="W808" s="29"/>
      <c r="X808" s="34"/>
      <c r="Y808" s="34"/>
    </row>
    <row x14ac:dyDescent="0.25" r="809" customHeight="1" ht="15.75">
      <c r="A809" s="502"/>
      <c r="B809" s="34"/>
      <c r="C809" s="34"/>
      <c r="D809" s="34"/>
      <c r="E809" s="34"/>
      <c r="F809" s="34"/>
      <c r="G809" s="34"/>
      <c r="H809" s="34"/>
      <c r="I809" s="29"/>
      <c r="J809" s="29"/>
      <c r="K809" s="29"/>
      <c r="L809" s="29"/>
      <c r="M809" s="34"/>
      <c r="N809" s="34"/>
      <c r="O809" s="29"/>
      <c r="P809" s="29"/>
      <c r="Q809" s="29"/>
      <c r="R809" s="29"/>
      <c r="S809" s="29"/>
      <c r="T809" s="29"/>
      <c r="U809" s="476"/>
      <c r="V809" s="107"/>
      <c r="W809" s="29"/>
      <c r="X809" s="34"/>
      <c r="Y809" s="34"/>
    </row>
    <row x14ac:dyDescent="0.25" r="810" customHeight="1" ht="15.75">
      <c r="A810" s="502"/>
      <c r="B810" s="34"/>
      <c r="C810" s="34"/>
      <c r="D810" s="34"/>
      <c r="E810" s="34"/>
      <c r="F810" s="34"/>
      <c r="G810" s="34"/>
      <c r="H810" s="34"/>
      <c r="I810" s="29"/>
      <c r="J810" s="29"/>
      <c r="K810" s="29"/>
      <c r="L810" s="29"/>
      <c r="M810" s="34"/>
      <c r="N810" s="34"/>
      <c r="O810" s="29"/>
      <c r="P810" s="29"/>
      <c r="Q810" s="29"/>
      <c r="R810" s="29"/>
      <c r="S810" s="29"/>
      <c r="T810" s="29"/>
      <c r="U810" s="476"/>
      <c r="V810" s="107"/>
      <c r="W810" s="29"/>
      <c r="X810" s="34"/>
      <c r="Y810" s="34"/>
    </row>
    <row x14ac:dyDescent="0.25" r="811" customHeight="1" ht="15.75">
      <c r="A811" s="502"/>
      <c r="B811" s="34"/>
      <c r="C811" s="34"/>
      <c r="D811" s="34"/>
      <c r="E811" s="34"/>
      <c r="F811" s="34"/>
      <c r="G811" s="34"/>
      <c r="H811" s="34"/>
      <c r="I811" s="29"/>
      <c r="J811" s="29"/>
      <c r="K811" s="29"/>
      <c r="L811" s="29"/>
      <c r="M811" s="34"/>
      <c r="N811" s="34"/>
      <c r="O811" s="29"/>
      <c r="P811" s="29"/>
      <c r="Q811" s="29"/>
      <c r="R811" s="29"/>
      <c r="S811" s="29"/>
      <c r="T811" s="29"/>
      <c r="U811" s="476"/>
      <c r="V811" s="107"/>
      <c r="W811" s="29"/>
      <c r="X811" s="34"/>
      <c r="Y811" s="34"/>
    </row>
    <row x14ac:dyDescent="0.25" r="812" customHeight="1" ht="15.75">
      <c r="A812" s="502"/>
      <c r="B812" s="34"/>
      <c r="C812" s="34"/>
      <c r="D812" s="34"/>
      <c r="E812" s="34"/>
      <c r="F812" s="34"/>
      <c r="G812" s="34"/>
      <c r="H812" s="34"/>
      <c r="I812" s="29"/>
      <c r="J812" s="29"/>
      <c r="K812" s="29"/>
      <c r="L812" s="29"/>
      <c r="M812" s="34"/>
      <c r="N812" s="34"/>
      <c r="O812" s="29"/>
      <c r="P812" s="29"/>
      <c r="Q812" s="29"/>
      <c r="R812" s="29"/>
      <c r="S812" s="29"/>
      <c r="T812" s="29"/>
      <c r="U812" s="476"/>
      <c r="V812" s="107"/>
      <c r="W812" s="29"/>
      <c r="X812" s="34"/>
      <c r="Y812" s="34"/>
    </row>
    <row x14ac:dyDescent="0.25" r="813" customHeight="1" ht="15.75">
      <c r="A813" s="502"/>
      <c r="B813" s="34"/>
      <c r="C813" s="34"/>
      <c r="D813" s="34"/>
      <c r="E813" s="34"/>
      <c r="F813" s="34"/>
      <c r="G813" s="34"/>
      <c r="H813" s="34"/>
      <c r="I813" s="29"/>
      <c r="J813" s="29"/>
      <c r="K813" s="29"/>
      <c r="L813" s="29"/>
      <c r="M813" s="34"/>
      <c r="N813" s="34"/>
      <c r="O813" s="29"/>
      <c r="P813" s="29"/>
      <c r="Q813" s="29"/>
      <c r="R813" s="29"/>
      <c r="S813" s="29"/>
      <c r="T813" s="29"/>
      <c r="U813" s="476"/>
      <c r="V813" s="107"/>
      <c r="W813" s="29"/>
      <c r="X813" s="34"/>
      <c r="Y813" s="34"/>
    </row>
    <row x14ac:dyDescent="0.25" r="814" customHeight="1" ht="15.75">
      <c r="A814" s="502"/>
      <c r="B814" s="34"/>
      <c r="C814" s="34"/>
      <c r="D814" s="34"/>
      <c r="E814" s="34"/>
      <c r="F814" s="34"/>
      <c r="G814" s="34"/>
      <c r="H814" s="34"/>
      <c r="I814" s="29"/>
      <c r="J814" s="29"/>
      <c r="K814" s="29"/>
      <c r="L814" s="29"/>
      <c r="M814" s="34"/>
      <c r="N814" s="34"/>
      <c r="O814" s="29"/>
      <c r="P814" s="29"/>
      <c r="Q814" s="29"/>
      <c r="R814" s="29"/>
      <c r="S814" s="29"/>
      <c r="T814" s="29"/>
      <c r="U814" s="476"/>
      <c r="V814" s="107"/>
      <c r="W814" s="29"/>
      <c r="X814" s="34"/>
      <c r="Y814" s="34"/>
    </row>
    <row x14ac:dyDescent="0.25" r="815" customHeight="1" ht="15.75">
      <c r="A815" s="502"/>
      <c r="B815" s="34"/>
      <c r="C815" s="34"/>
      <c r="D815" s="34"/>
      <c r="E815" s="34"/>
      <c r="F815" s="34"/>
      <c r="G815" s="34"/>
      <c r="H815" s="34"/>
      <c r="I815" s="29"/>
      <c r="J815" s="29"/>
      <c r="K815" s="29"/>
      <c r="L815" s="29"/>
      <c r="M815" s="34"/>
      <c r="N815" s="34"/>
      <c r="O815" s="29"/>
      <c r="P815" s="29"/>
      <c r="Q815" s="29"/>
      <c r="R815" s="29"/>
      <c r="S815" s="29"/>
      <c r="T815" s="29"/>
      <c r="U815" s="476"/>
      <c r="V815" s="107"/>
      <c r="W815" s="29"/>
      <c r="X815" s="34"/>
      <c r="Y815" s="34"/>
    </row>
    <row x14ac:dyDescent="0.25" r="816" customHeight="1" ht="15.75">
      <c r="A816" s="502"/>
      <c r="B816" s="34"/>
      <c r="C816" s="34"/>
      <c r="D816" s="34"/>
      <c r="E816" s="34"/>
      <c r="F816" s="34"/>
      <c r="G816" s="34"/>
      <c r="H816" s="34"/>
      <c r="I816" s="29"/>
      <c r="J816" s="29"/>
      <c r="K816" s="29"/>
      <c r="L816" s="29"/>
      <c r="M816" s="34"/>
      <c r="N816" s="34"/>
      <c r="O816" s="29"/>
      <c r="P816" s="29"/>
      <c r="Q816" s="29"/>
      <c r="R816" s="29"/>
      <c r="S816" s="29"/>
      <c r="T816" s="29"/>
      <c r="U816" s="476"/>
      <c r="V816" s="107"/>
      <c r="W816" s="29"/>
      <c r="X816" s="34"/>
      <c r="Y816" s="34"/>
    </row>
    <row x14ac:dyDescent="0.25" r="817" customHeight="1" ht="15.75">
      <c r="A817" s="502"/>
      <c r="B817" s="34"/>
      <c r="C817" s="34"/>
      <c r="D817" s="34"/>
      <c r="E817" s="34"/>
      <c r="F817" s="34"/>
      <c r="G817" s="34"/>
      <c r="H817" s="34"/>
      <c r="I817" s="29"/>
      <c r="J817" s="29"/>
      <c r="K817" s="29"/>
      <c r="L817" s="29"/>
      <c r="M817" s="34"/>
      <c r="N817" s="34"/>
      <c r="O817" s="29"/>
      <c r="P817" s="29"/>
      <c r="Q817" s="29"/>
      <c r="R817" s="29"/>
      <c r="S817" s="29"/>
      <c r="T817" s="29"/>
      <c r="U817" s="476"/>
      <c r="V817" s="107"/>
      <c r="W817" s="29"/>
      <c r="X817" s="34"/>
      <c r="Y817" s="34"/>
    </row>
    <row x14ac:dyDescent="0.25" r="818" customHeight="1" ht="15.75">
      <c r="A818" s="502"/>
      <c r="B818" s="34"/>
      <c r="C818" s="34"/>
      <c r="D818" s="34"/>
      <c r="E818" s="34"/>
      <c r="F818" s="34"/>
      <c r="G818" s="34"/>
      <c r="H818" s="34"/>
      <c r="I818" s="29"/>
      <c r="J818" s="29"/>
      <c r="K818" s="29"/>
      <c r="L818" s="29"/>
      <c r="M818" s="34"/>
      <c r="N818" s="34"/>
      <c r="O818" s="29"/>
      <c r="P818" s="29"/>
      <c r="Q818" s="29"/>
      <c r="R818" s="29"/>
      <c r="S818" s="29"/>
      <c r="T818" s="29"/>
      <c r="U818" s="476"/>
      <c r="V818" s="107"/>
      <c r="W818" s="29"/>
      <c r="X818" s="34"/>
      <c r="Y818" s="34"/>
    </row>
    <row x14ac:dyDescent="0.25" r="819" customHeight="1" ht="15.75">
      <c r="A819" s="502"/>
      <c r="B819" s="34"/>
      <c r="C819" s="34"/>
      <c r="D819" s="34"/>
      <c r="E819" s="34"/>
      <c r="F819" s="34"/>
      <c r="G819" s="34"/>
      <c r="H819" s="34"/>
      <c r="I819" s="29"/>
      <c r="J819" s="29"/>
      <c r="K819" s="29"/>
      <c r="L819" s="29"/>
      <c r="M819" s="34"/>
      <c r="N819" s="34"/>
      <c r="O819" s="29"/>
      <c r="P819" s="29"/>
      <c r="Q819" s="29"/>
      <c r="R819" s="29"/>
      <c r="S819" s="29"/>
      <c r="T819" s="29"/>
      <c r="U819" s="476"/>
      <c r="V819" s="107"/>
      <c r="W819" s="29"/>
      <c r="X819" s="34"/>
      <c r="Y819" s="34"/>
    </row>
    <row x14ac:dyDescent="0.25" r="820" customHeight="1" ht="15.75">
      <c r="A820" s="502"/>
      <c r="B820" s="34"/>
      <c r="C820" s="34"/>
      <c r="D820" s="34"/>
      <c r="E820" s="34"/>
      <c r="F820" s="34"/>
      <c r="G820" s="34"/>
      <c r="H820" s="34"/>
      <c r="I820" s="29"/>
      <c r="J820" s="29"/>
      <c r="K820" s="29"/>
      <c r="L820" s="29"/>
      <c r="M820" s="34"/>
      <c r="N820" s="34"/>
      <c r="O820" s="29"/>
      <c r="P820" s="29"/>
      <c r="Q820" s="29"/>
      <c r="R820" s="29"/>
      <c r="S820" s="29"/>
      <c r="T820" s="29"/>
      <c r="U820" s="476"/>
      <c r="V820" s="107"/>
      <c r="W820" s="29"/>
      <c r="X820" s="34"/>
      <c r="Y820" s="34"/>
    </row>
    <row x14ac:dyDescent="0.25" r="821" customHeight="1" ht="15.75">
      <c r="A821" s="502"/>
      <c r="B821" s="34"/>
      <c r="C821" s="34"/>
      <c r="D821" s="34"/>
      <c r="E821" s="34"/>
      <c r="F821" s="34"/>
      <c r="G821" s="34"/>
      <c r="H821" s="34"/>
      <c r="I821" s="29"/>
      <c r="J821" s="29"/>
      <c r="K821" s="29"/>
      <c r="L821" s="29"/>
      <c r="M821" s="34"/>
      <c r="N821" s="34"/>
      <c r="O821" s="29"/>
      <c r="P821" s="29"/>
      <c r="Q821" s="29"/>
      <c r="R821" s="29"/>
      <c r="S821" s="29"/>
      <c r="T821" s="29"/>
      <c r="U821" s="476"/>
      <c r="V821" s="107"/>
      <c r="W821" s="29"/>
      <c r="X821" s="34"/>
      <c r="Y821" s="34"/>
    </row>
    <row x14ac:dyDescent="0.25" r="822" customHeight="1" ht="15.75">
      <c r="A822" s="502"/>
      <c r="B822" s="34"/>
      <c r="C822" s="34"/>
      <c r="D822" s="34"/>
      <c r="E822" s="34"/>
      <c r="F822" s="34"/>
      <c r="G822" s="34"/>
      <c r="H822" s="34"/>
      <c r="I822" s="29"/>
      <c r="J822" s="29"/>
      <c r="K822" s="29"/>
      <c r="L822" s="29"/>
      <c r="M822" s="34"/>
      <c r="N822" s="34"/>
      <c r="O822" s="29"/>
      <c r="P822" s="29"/>
      <c r="Q822" s="29"/>
      <c r="R822" s="29"/>
      <c r="S822" s="29"/>
      <c r="T822" s="29"/>
      <c r="U822" s="476"/>
      <c r="V822" s="107"/>
      <c r="W822" s="29"/>
      <c r="X822" s="34"/>
      <c r="Y822" s="34"/>
    </row>
    <row x14ac:dyDescent="0.25" r="823" customHeight="1" ht="15.75">
      <c r="A823" s="502"/>
      <c r="B823" s="34"/>
      <c r="C823" s="34"/>
      <c r="D823" s="34"/>
      <c r="E823" s="34"/>
      <c r="F823" s="34"/>
      <c r="G823" s="34"/>
      <c r="H823" s="34"/>
      <c r="I823" s="29"/>
      <c r="J823" s="29"/>
      <c r="K823" s="29"/>
      <c r="L823" s="29"/>
      <c r="M823" s="34"/>
      <c r="N823" s="34"/>
      <c r="O823" s="29"/>
      <c r="P823" s="29"/>
      <c r="Q823" s="29"/>
      <c r="R823" s="29"/>
      <c r="S823" s="29"/>
      <c r="T823" s="29"/>
      <c r="U823" s="476"/>
      <c r="V823" s="107"/>
      <c r="W823" s="29"/>
      <c r="X823" s="34"/>
      <c r="Y823" s="34"/>
    </row>
    <row x14ac:dyDescent="0.25" r="824" customHeight="1" ht="15.75">
      <c r="A824" s="502"/>
      <c r="B824" s="34"/>
      <c r="C824" s="34"/>
      <c r="D824" s="34"/>
      <c r="E824" s="34"/>
      <c r="F824" s="34"/>
      <c r="G824" s="34"/>
      <c r="H824" s="34"/>
      <c r="I824" s="29"/>
      <c r="J824" s="29"/>
      <c r="K824" s="29"/>
      <c r="L824" s="29"/>
      <c r="M824" s="34"/>
      <c r="N824" s="34"/>
      <c r="O824" s="29"/>
      <c r="P824" s="29"/>
      <c r="Q824" s="29"/>
      <c r="R824" s="29"/>
      <c r="S824" s="29"/>
      <c r="T824" s="29"/>
      <c r="U824" s="476"/>
      <c r="V824" s="107"/>
      <c r="W824" s="29"/>
      <c r="X824" s="34"/>
      <c r="Y824" s="34"/>
    </row>
    <row x14ac:dyDescent="0.25" r="825" customHeight="1" ht="15.75">
      <c r="A825" s="502"/>
      <c r="B825" s="34"/>
      <c r="C825" s="34"/>
      <c r="D825" s="34"/>
      <c r="E825" s="34"/>
      <c r="F825" s="34"/>
      <c r="G825" s="34"/>
      <c r="H825" s="34"/>
      <c r="I825" s="29"/>
      <c r="J825" s="29"/>
      <c r="K825" s="29"/>
      <c r="L825" s="29"/>
      <c r="M825" s="34"/>
      <c r="N825" s="34"/>
      <c r="O825" s="29"/>
      <c r="P825" s="29"/>
      <c r="Q825" s="29"/>
      <c r="R825" s="29"/>
      <c r="S825" s="29"/>
      <c r="T825" s="29"/>
      <c r="U825" s="476"/>
      <c r="V825" s="107"/>
      <c r="W825" s="29"/>
      <c r="X825" s="34"/>
      <c r="Y825" s="34"/>
    </row>
    <row x14ac:dyDescent="0.25" r="826" customHeight="1" ht="15.75">
      <c r="A826" s="502"/>
      <c r="B826" s="34"/>
      <c r="C826" s="34"/>
      <c r="D826" s="34"/>
      <c r="E826" s="34"/>
      <c r="F826" s="34"/>
      <c r="G826" s="34"/>
      <c r="H826" s="34"/>
      <c r="I826" s="29"/>
      <c r="J826" s="29"/>
      <c r="K826" s="29"/>
      <c r="L826" s="29"/>
      <c r="M826" s="34"/>
      <c r="N826" s="34"/>
      <c r="O826" s="29"/>
      <c r="P826" s="29"/>
      <c r="Q826" s="29"/>
      <c r="R826" s="29"/>
      <c r="S826" s="29"/>
      <c r="T826" s="29"/>
      <c r="U826" s="476"/>
      <c r="V826" s="107"/>
      <c r="W826" s="29"/>
      <c r="X826" s="34"/>
      <c r="Y826" s="34"/>
    </row>
    <row x14ac:dyDescent="0.25" r="827" customHeight="1" ht="15.75">
      <c r="A827" s="502"/>
      <c r="B827" s="34"/>
      <c r="C827" s="34"/>
      <c r="D827" s="34"/>
      <c r="E827" s="34"/>
      <c r="F827" s="34"/>
      <c r="G827" s="34"/>
      <c r="H827" s="34"/>
      <c r="I827" s="29"/>
      <c r="J827" s="29"/>
      <c r="K827" s="29"/>
      <c r="L827" s="29"/>
      <c r="M827" s="34"/>
      <c r="N827" s="34"/>
      <c r="O827" s="29"/>
      <c r="P827" s="29"/>
      <c r="Q827" s="29"/>
      <c r="R827" s="29"/>
      <c r="S827" s="29"/>
      <c r="T827" s="29"/>
      <c r="U827" s="476"/>
      <c r="V827" s="107"/>
      <c r="W827" s="29"/>
      <c r="X827" s="34"/>
      <c r="Y827" s="34"/>
    </row>
    <row x14ac:dyDescent="0.25" r="828" customHeight="1" ht="15.75">
      <c r="A828" s="502"/>
      <c r="B828" s="34"/>
      <c r="C828" s="34"/>
      <c r="D828" s="34"/>
      <c r="E828" s="34"/>
      <c r="F828" s="34"/>
      <c r="G828" s="34"/>
      <c r="H828" s="34"/>
      <c r="I828" s="29"/>
      <c r="J828" s="29"/>
      <c r="K828" s="29"/>
      <c r="L828" s="29"/>
      <c r="M828" s="34"/>
      <c r="N828" s="34"/>
      <c r="O828" s="29"/>
      <c r="P828" s="29"/>
      <c r="Q828" s="29"/>
      <c r="R828" s="29"/>
      <c r="S828" s="29"/>
      <c r="T828" s="29"/>
      <c r="U828" s="476"/>
      <c r="V828" s="107"/>
      <c r="W828" s="29"/>
      <c r="X828" s="34"/>
      <c r="Y828" s="34"/>
    </row>
    <row x14ac:dyDescent="0.25" r="829" customHeight="1" ht="15.75">
      <c r="A829" s="502"/>
      <c r="B829" s="34"/>
      <c r="C829" s="34"/>
      <c r="D829" s="34"/>
      <c r="E829" s="34"/>
      <c r="F829" s="34"/>
      <c r="G829" s="34"/>
      <c r="H829" s="34"/>
      <c r="I829" s="29"/>
      <c r="J829" s="29"/>
      <c r="K829" s="29"/>
      <c r="L829" s="29"/>
      <c r="M829" s="34"/>
      <c r="N829" s="34"/>
      <c r="O829" s="29"/>
      <c r="P829" s="29"/>
      <c r="Q829" s="29"/>
      <c r="R829" s="29"/>
      <c r="S829" s="29"/>
      <c r="T829" s="29"/>
      <c r="U829" s="476"/>
      <c r="V829" s="107"/>
      <c r="W829" s="29"/>
      <c r="X829" s="34"/>
      <c r="Y829" s="34"/>
    </row>
    <row x14ac:dyDescent="0.25" r="830" customHeight="1" ht="15.75">
      <c r="A830" s="502"/>
      <c r="B830" s="34"/>
      <c r="C830" s="34"/>
      <c r="D830" s="34"/>
      <c r="E830" s="34"/>
      <c r="F830" s="34"/>
      <c r="G830" s="34"/>
      <c r="H830" s="34"/>
      <c r="I830" s="29"/>
      <c r="J830" s="29"/>
      <c r="K830" s="29"/>
      <c r="L830" s="29"/>
      <c r="M830" s="34"/>
      <c r="N830" s="34"/>
      <c r="O830" s="29"/>
      <c r="P830" s="29"/>
      <c r="Q830" s="29"/>
      <c r="R830" s="29"/>
      <c r="S830" s="29"/>
      <c r="T830" s="29"/>
      <c r="U830" s="476"/>
      <c r="V830" s="107"/>
      <c r="W830" s="29"/>
      <c r="X830" s="34"/>
      <c r="Y830" s="34"/>
    </row>
    <row x14ac:dyDescent="0.25" r="831" customHeight="1" ht="15.75">
      <c r="A831" s="502"/>
      <c r="B831" s="34"/>
      <c r="C831" s="34"/>
      <c r="D831" s="34"/>
      <c r="E831" s="34"/>
      <c r="F831" s="34"/>
      <c r="G831" s="34"/>
      <c r="H831" s="34"/>
      <c r="I831" s="29"/>
      <c r="J831" s="29"/>
      <c r="K831" s="29"/>
      <c r="L831" s="29"/>
      <c r="M831" s="34"/>
      <c r="N831" s="34"/>
      <c r="O831" s="29"/>
      <c r="P831" s="29"/>
      <c r="Q831" s="29"/>
      <c r="R831" s="29"/>
      <c r="S831" s="29"/>
      <c r="T831" s="29"/>
      <c r="U831" s="476"/>
      <c r="V831" s="107"/>
      <c r="W831" s="29"/>
      <c r="X831" s="34"/>
      <c r="Y831" s="34"/>
    </row>
    <row x14ac:dyDescent="0.25" r="832" customHeight="1" ht="15.75">
      <c r="A832" s="502"/>
      <c r="B832" s="34"/>
      <c r="C832" s="34"/>
      <c r="D832" s="34"/>
      <c r="E832" s="34"/>
      <c r="F832" s="34"/>
      <c r="G832" s="34"/>
      <c r="H832" s="34"/>
      <c r="I832" s="29"/>
      <c r="J832" s="29"/>
      <c r="K832" s="29"/>
      <c r="L832" s="29"/>
      <c r="M832" s="34"/>
      <c r="N832" s="34"/>
      <c r="O832" s="29"/>
      <c r="P832" s="29"/>
      <c r="Q832" s="29"/>
      <c r="R832" s="29"/>
      <c r="S832" s="29"/>
      <c r="T832" s="29"/>
      <c r="U832" s="476"/>
      <c r="V832" s="107"/>
      <c r="W832" s="29"/>
      <c r="X832" s="34"/>
      <c r="Y832" s="34"/>
    </row>
    <row x14ac:dyDescent="0.25" r="833" customHeight="1" ht="15.75">
      <c r="A833" s="502"/>
      <c r="B833" s="34"/>
      <c r="C833" s="34"/>
      <c r="D833" s="34"/>
      <c r="E833" s="34"/>
      <c r="F833" s="34"/>
      <c r="G833" s="34"/>
      <c r="H833" s="34"/>
      <c r="I833" s="29"/>
      <c r="J833" s="29"/>
      <c r="K833" s="29"/>
      <c r="L833" s="29"/>
      <c r="M833" s="34"/>
      <c r="N833" s="34"/>
      <c r="O833" s="29"/>
      <c r="P833" s="29"/>
      <c r="Q833" s="29"/>
      <c r="R833" s="29"/>
      <c r="S833" s="29"/>
      <c r="T833" s="29"/>
      <c r="U833" s="476"/>
      <c r="V833" s="107"/>
      <c r="W833" s="29"/>
      <c r="X833" s="34"/>
      <c r="Y833" s="34"/>
    </row>
    <row x14ac:dyDescent="0.25" r="834" customHeight="1" ht="15.75">
      <c r="A834" s="502"/>
      <c r="B834" s="34"/>
      <c r="C834" s="34"/>
      <c r="D834" s="34"/>
      <c r="E834" s="34"/>
      <c r="F834" s="34"/>
      <c r="G834" s="34"/>
      <c r="H834" s="34"/>
      <c r="I834" s="29"/>
      <c r="J834" s="29"/>
      <c r="K834" s="29"/>
      <c r="L834" s="29"/>
      <c r="M834" s="34"/>
      <c r="N834" s="34"/>
      <c r="O834" s="29"/>
      <c r="P834" s="29"/>
      <c r="Q834" s="29"/>
      <c r="R834" s="29"/>
      <c r="S834" s="29"/>
      <c r="T834" s="29"/>
      <c r="U834" s="476"/>
      <c r="V834" s="107"/>
      <c r="W834" s="29"/>
      <c r="X834" s="34"/>
      <c r="Y834" s="34"/>
    </row>
    <row x14ac:dyDescent="0.25" r="835" customHeight="1" ht="15.75">
      <c r="A835" s="502"/>
      <c r="B835" s="34"/>
      <c r="C835" s="34"/>
      <c r="D835" s="34"/>
      <c r="E835" s="34"/>
      <c r="F835" s="34"/>
      <c r="G835" s="34"/>
      <c r="H835" s="34"/>
      <c r="I835" s="29"/>
      <c r="J835" s="29"/>
      <c r="K835" s="29"/>
      <c r="L835" s="29"/>
      <c r="M835" s="34"/>
      <c r="N835" s="34"/>
      <c r="O835" s="29"/>
      <c r="P835" s="29"/>
      <c r="Q835" s="29"/>
      <c r="R835" s="29"/>
      <c r="S835" s="29"/>
      <c r="T835" s="29"/>
      <c r="U835" s="476"/>
      <c r="V835" s="107"/>
      <c r="W835" s="29"/>
      <c r="X835" s="34"/>
      <c r="Y835" s="34"/>
    </row>
    <row x14ac:dyDescent="0.25" r="836" customHeight="1" ht="15.75">
      <c r="A836" s="502"/>
      <c r="B836" s="34"/>
      <c r="C836" s="34"/>
      <c r="D836" s="34"/>
      <c r="E836" s="34"/>
      <c r="F836" s="34"/>
      <c r="G836" s="34"/>
      <c r="H836" s="34"/>
      <c r="I836" s="29"/>
      <c r="J836" s="29"/>
      <c r="K836" s="29"/>
      <c r="L836" s="29"/>
      <c r="M836" s="34"/>
      <c r="N836" s="34"/>
      <c r="O836" s="29"/>
      <c r="P836" s="29"/>
      <c r="Q836" s="29"/>
      <c r="R836" s="29"/>
      <c r="S836" s="29"/>
      <c r="T836" s="29"/>
      <c r="U836" s="476"/>
      <c r="V836" s="107"/>
      <c r="W836" s="29"/>
      <c r="X836" s="34"/>
      <c r="Y836" s="34"/>
    </row>
    <row x14ac:dyDescent="0.25" r="837" customHeight="1" ht="15.75">
      <c r="A837" s="502"/>
      <c r="B837" s="34"/>
      <c r="C837" s="34"/>
      <c r="D837" s="34"/>
      <c r="E837" s="34"/>
      <c r="F837" s="34"/>
      <c r="G837" s="34"/>
      <c r="H837" s="34"/>
      <c r="I837" s="29"/>
      <c r="J837" s="29"/>
      <c r="K837" s="29"/>
      <c r="L837" s="29"/>
      <c r="M837" s="34"/>
      <c r="N837" s="34"/>
      <c r="O837" s="29"/>
      <c r="P837" s="29"/>
      <c r="Q837" s="29"/>
      <c r="R837" s="29"/>
      <c r="S837" s="29"/>
      <c r="T837" s="29"/>
      <c r="U837" s="476"/>
      <c r="V837" s="107"/>
      <c r="W837" s="29"/>
      <c r="X837" s="34"/>
      <c r="Y837" s="34"/>
    </row>
    <row x14ac:dyDescent="0.25" r="838" customHeight="1" ht="15.75">
      <c r="A838" s="502"/>
      <c r="B838" s="34"/>
      <c r="C838" s="34"/>
      <c r="D838" s="34"/>
      <c r="E838" s="34"/>
      <c r="F838" s="34"/>
      <c r="G838" s="34"/>
      <c r="H838" s="34"/>
      <c r="I838" s="29"/>
      <c r="J838" s="29"/>
      <c r="K838" s="29"/>
      <c r="L838" s="29"/>
      <c r="M838" s="34"/>
      <c r="N838" s="34"/>
      <c r="O838" s="29"/>
      <c r="P838" s="29"/>
      <c r="Q838" s="29"/>
      <c r="R838" s="29"/>
      <c r="S838" s="29"/>
      <c r="T838" s="29"/>
      <c r="U838" s="476"/>
      <c r="V838" s="107"/>
      <c r="W838" s="29"/>
      <c r="X838" s="34"/>
      <c r="Y838" s="34"/>
    </row>
    <row x14ac:dyDescent="0.25" r="839" customHeight="1" ht="15.75">
      <c r="A839" s="502"/>
      <c r="B839" s="34"/>
      <c r="C839" s="34"/>
      <c r="D839" s="34"/>
      <c r="E839" s="34"/>
      <c r="F839" s="34"/>
      <c r="G839" s="34"/>
      <c r="H839" s="34"/>
      <c r="I839" s="29"/>
      <c r="J839" s="29"/>
      <c r="K839" s="29"/>
      <c r="L839" s="29"/>
      <c r="M839" s="34"/>
      <c r="N839" s="34"/>
      <c r="O839" s="29"/>
      <c r="P839" s="29"/>
      <c r="Q839" s="29"/>
      <c r="R839" s="29"/>
      <c r="S839" s="29"/>
      <c r="T839" s="29"/>
      <c r="U839" s="476"/>
      <c r="V839" s="107"/>
      <c r="W839" s="29"/>
      <c r="X839" s="34"/>
      <c r="Y839" s="34"/>
    </row>
    <row x14ac:dyDescent="0.25" r="840" customHeight="1" ht="15.75">
      <c r="A840" s="502"/>
      <c r="B840" s="34"/>
      <c r="C840" s="34"/>
      <c r="D840" s="34"/>
      <c r="E840" s="34"/>
      <c r="F840" s="34"/>
      <c r="G840" s="34"/>
      <c r="H840" s="34"/>
      <c r="I840" s="29"/>
      <c r="J840" s="29"/>
      <c r="K840" s="29"/>
      <c r="L840" s="29"/>
      <c r="M840" s="34"/>
      <c r="N840" s="34"/>
      <c r="O840" s="29"/>
      <c r="P840" s="29"/>
      <c r="Q840" s="29"/>
      <c r="R840" s="29"/>
      <c r="S840" s="29"/>
      <c r="T840" s="29"/>
      <c r="U840" s="476"/>
      <c r="V840" s="107"/>
      <c r="W840" s="29"/>
      <c r="X840" s="34"/>
      <c r="Y840" s="34"/>
    </row>
    <row x14ac:dyDescent="0.25" r="841" customHeight="1" ht="15.75">
      <c r="A841" s="502"/>
      <c r="B841" s="34"/>
      <c r="C841" s="34"/>
      <c r="D841" s="34"/>
      <c r="E841" s="34"/>
      <c r="F841" s="34"/>
      <c r="G841" s="34"/>
      <c r="H841" s="34"/>
      <c r="I841" s="29"/>
      <c r="J841" s="29"/>
      <c r="K841" s="29"/>
      <c r="L841" s="29"/>
      <c r="M841" s="34"/>
      <c r="N841" s="34"/>
      <c r="O841" s="29"/>
      <c r="P841" s="29"/>
      <c r="Q841" s="29"/>
      <c r="R841" s="29"/>
      <c r="S841" s="29"/>
      <c r="T841" s="29"/>
      <c r="U841" s="476"/>
      <c r="V841" s="107"/>
      <c r="W841" s="29"/>
      <c r="X841" s="34"/>
      <c r="Y841" s="34"/>
    </row>
    <row x14ac:dyDescent="0.25" r="842" customHeight="1" ht="15.75">
      <c r="A842" s="502"/>
      <c r="B842" s="34"/>
      <c r="C842" s="34"/>
      <c r="D842" s="34"/>
      <c r="E842" s="34"/>
      <c r="F842" s="34"/>
      <c r="G842" s="34"/>
      <c r="H842" s="34"/>
      <c r="I842" s="29"/>
      <c r="J842" s="29"/>
      <c r="K842" s="29"/>
      <c r="L842" s="29"/>
      <c r="M842" s="34"/>
      <c r="N842" s="34"/>
      <c r="O842" s="29"/>
      <c r="P842" s="29"/>
      <c r="Q842" s="29"/>
      <c r="R842" s="29"/>
      <c r="S842" s="29"/>
      <c r="T842" s="29"/>
      <c r="U842" s="476"/>
      <c r="V842" s="107"/>
      <c r="W842" s="29"/>
      <c r="X842" s="34"/>
      <c r="Y842" s="34"/>
    </row>
    <row x14ac:dyDescent="0.25" r="843" customHeight="1" ht="15.75">
      <c r="A843" s="502"/>
      <c r="B843" s="34"/>
      <c r="C843" s="34"/>
      <c r="D843" s="34"/>
      <c r="E843" s="34"/>
      <c r="F843" s="34"/>
      <c r="G843" s="34"/>
      <c r="H843" s="34"/>
      <c r="I843" s="29"/>
      <c r="J843" s="29"/>
      <c r="K843" s="29"/>
      <c r="L843" s="29"/>
      <c r="M843" s="34"/>
      <c r="N843" s="34"/>
      <c r="O843" s="29"/>
      <c r="P843" s="29"/>
      <c r="Q843" s="29"/>
      <c r="R843" s="29"/>
      <c r="S843" s="29"/>
      <c r="T843" s="29"/>
      <c r="U843" s="476"/>
      <c r="V843" s="107"/>
      <c r="W843" s="29"/>
      <c r="X843" s="34"/>
      <c r="Y843" s="34"/>
    </row>
    <row x14ac:dyDescent="0.25" r="844" customHeight="1" ht="15.75">
      <c r="A844" s="502"/>
      <c r="B844" s="34"/>
      <c r="C844" s="34"/>
      <c r="D844" s="34"/>
      <c r="E844" s="34"/>
      <c r="F844" s="34"/>
      <c r="G844" s="34"/>
      <c r="H844" s="34"/>
      <c r="I844" s="29"/>
      <c r="J844" s="29"/>
      <c r="K844" s="29"/>
      <c r="L844" s="29"/>
      <c r="M844" s="34"/>
      <c r="N844" s="34"/>
      <c r="O844" s="29"/>
      <c r="P844" s="29"/>
      <c r="Q844" s="29"/>
      <c r="R844" s="29"/>
      <c r="S844" s="29"/>
      <c r="T844" s="29"/>
      <c r="U844" s="476"/>
      <c r="V844" s="107"/>
      <c r="W844" s="29"/>
      <c r="X844" s="34"/>
      <c r="Y844" s="34"/>
    </row>
    <row x14ac:dyDescent="0.25" r="845" customHeight="1" ht="15.75">
      <c r="A845" s="502"/>
      <c r="B845" s="34"/>
      <c r="C845" s="34"/>
      <c r="D845" s="34"/>
      <c r="E845" s="34"/>
      <c r="F845" s="34"/>
      <c r="G845" s="34"/>
      <c r="H845" s="34"/>
      <c r="I845" s="29"/>
      <c r="J845" s="29"/>
      <c r="K845" s="29"/>
      <c r="L845" s="29"/>
      <c r="M845" s="34"/>
      <c r="N845" s="34"/>
      <c r="O845" s="29"/>
      <c r="P845" s="29"/>
      <c r="Q845" s="29"/>
      <c r="R845" s="29"/>
      <c r="S845" s="29"/>
      <c r="T845" s="29"/>
      <c r="U845" s="476"/>
      <c r="V845" s="107"/>
      <c r="W845" s="29"/>
      <c r="X845" s="34"/>
      <c r="Y845" s="34"/>
    </row>
    <row x14ac:dyDescent="0.25" r="846" customHeight="1" ht="15.75">
      <c r="A846" s="502"/>
      <c r="B846" s="34"/>
      <c r="C846" s="34"/>
      <c r="D846" s="34"/>
      <c r="E846" s="34"/>
      <c r="F846" s="34"/>
      <c r="G846" s="34"/>
      <c r="H846" s="34"/>
      <c r="I846" s="29"/>
      <c r="J846" s="29"/>
      <c r="K846" s="29"/>
      <c r="L846" s="29"/>
      <c r="M846" s="34"/>
      <c r="N846" s="34"/>
      <c r="O846" s="29"/>
      <c r="P846" s="29"/>
      <c r="Q846" s="29"/>
      <c r="R846" s="29"/>
      <c r="S846" s="29"/>
      <c r="T846" s="29"/>
      <c r="U846" s="476"/>
      <c r="V846" s="107"/>
      <c r="W846" s="29"/>
      <c r="X846" s="34"/>
      <c r="Y846" s="34"/>
    </row>
    <row x14ac:dyDescent="0.25" r="847" customHeight="1" ht="15.75">
      <c r="A847" s="502"/>
      <c r="B847" s="34"/>
      <c r="C847" s="34"/>
      <c r="D847" s="34"/>
      <c r="E847" s="34"/>
      <c r="F847" s="34"/>
      <c r="G847" s="34"/>
      <c r="H847" s="34"/>
      <c r="I847" s="29"/>
      <c r="J847" s="29"/>
      <c r="K847" s="29"/>
      <c r="L847" s="29"/>
      <c r="M847" s="34"/>
      <c r="N847" s="34"/>
      <c r="O847" s="29"/>
      <c r="P847" s="29"/>
      <c r="Q847" s="29"/>
      <c r="R847" s="29"/>
      <c r="S847" s="29"/>
      <c r="T847" s="29"/>
      <c r="U847" s="476"/>
      <c r="V847" s="107"/>
      <c r="W847" s="29"/>
      <c r="X847" s="34"/>
      <c r="Y847" s="34"/>
    </row>
    <row x14ac:dyDescent="0.25" r="848" customHeight="1" ht="15.75">
      <c r="A848" s="502"/>
      <c r="B848" s="34"/>
      <c r="C848" s="34"/>
      <c r="D848" s="34"/>
      <c r="E848" s="34"/>
      <c r="F848" s="34"/>
      <c r="G848" s="34"/>
      <c r="H848" s="34"/>
      <c r="I848" s="29"/>
      <c r="J848" s="29"/>
      <c r="K848" s="29"/>
      <c r="L848" s="29"/>
      <c r="M848" s="34"/>
      <c r="N848" s="34"/>
      <c r="O848" s="29"/>
      <c r="P848" s="29"/>
      <c r="Q848" s="29"/>
      <c r="R848" s="29"/>
      <c r="S848" s="29"/>
      <c r="T848" s="29"/>
      <c r="U848" s="476"/>
      <c r="V848" s="107"/>
      <c r="W848" s="29"/>
      <c r="X848" s="34"/>
      <c r="Y848" s="34"/>
    </row>
    <row x14ac:dyDescent="0.25" r="849" customHeight="1" ht="15.75">
      <c r="A849" s="502"/>
      <c r="B849" s="34"/>
      <c r="C849" s="34"/>
      <c r="D849" s="34"/>
      <c r="E849" s="34"/>
      <c r="F849" s="34"/>
      <c r="G849" s="34"/>
      <c r="H849" s="34"/>
      <c r="I849" s="29"/>
      <c r="J849" s="29"/>
      <c r="K849" s="29"/>
      <c r="L849" s="29"/>
      <c r="M849" s="34"/>
      <c r="N849" s="34"/>
      <c r="O849" s="29"/>
      <c r="P849" s="29"/>
      <c r="Q849" s="29"/>
      <c r="R849" s="29"/>
      <c r="S849" s="29"/>
      <c r="T849" s="29"/>
      <c r="U849" s="476"/>
      <c r="V849" s="107"/>
      <c r="W849" s="29"/>
      <c r="X849" s="34"/>
      <c r="Y849" s="34"/>
    </row>
    <row x14ac:dyDescent="0.25" r="850" customHeight="1" ht="15.75">
      <c r="A850" s="502"/>
      <c r="B850" s="34"/>
      <c r="C850" s="34"/>
      <c r="D850" s="34"/>
      <c r="E850" s="34"/>
      <c r="F850" s="34"/>
      <c r="G850" s="34"/>
      <c r="H850" s="34"/>
      <c r="I850" s="29"/>
      <c r="J850" s="29"/>
      <c r="K850" s="29"/>
      <c r="L850" s="29"/>
      <c r="M850" s="34"/>
      <c r="N850" s="34"/>
      <c r="O850" s="29"/>
      <c r="P850" s="29"/>
      <c r="Q850" s="29"/>
      <c r="R850" s="29"/>
      <c r="S850" s="29"/>
      <c r="T850" s="29"/>
      <c r="U850" s="476"/>
      <c r="V850" s="107"/>
      <c r="W850" s="29"/>
      <c r="X850" s="34"/>
      <c r="Y850" s="34"/>
    </row>
    <row x14ac:dyDescent="0.25" r="851" customHeight="1" ht="15.75">
      <c r="A851" s="502"/>
      <c r="B851" s="34"/>
      <c r="C851" s="34"/>
      <c r="D851" s="34"/>
      <c r="E851" s="34"/>
      <c r="F851" s="34"/>
      <c r="G851" s="34"/>
      <c r="H851" s="34"/>
      <c r="I851" s="29"/>
      <c r="J851" s="29"/>
      <c r="K851" s="29"/>
      <c r="L851" s="29"/>
      <c r="M851" s="34"/>
      <c r="N851" s="34"/>
      <c r="O851" s="29"/>
      <c r="P851" s="29"/>
      <c r="Q851" s="29"/>
      <c r="R851" s="29"/>
      <c r="S851" s="29"/>
      <c r="T851" s="29"/>
      <c r="U851" s="476"/>
      <c r="V851" s="107"/>
      <c r="W851" s="29"/>
      <c r="X851" s="34"/>
      <c r="Y851" s="34"/>
    </row>
    <row x14ac:dyDescent="0.25" r="852" customHeight="1" ht="15.75">
      <c r="A852" s="502"/>
      <c r="B852" s="34"/>
      <c r="C852" s="34"/>
      <c r="D852" s="34"/>
      <c r="E852" s="34"/>
      <c r="F852" s="34"/>
      <c r="G852" s="34"/>
      <c r="H852" s="34"/>
      <c r="I852" s="29"/>
      <c r="J852" s="29"/>
      <c r="K852" s="29"/>
      <c r="L852" s="29"/>
      <c r="M852" s="34"/>
      <c r="N852" s="34"/>
      <c r="O852" s="29"/>
      <c r="P852" s="29"/>
      <c r="Q852" s="29"/>
      <c r="R852" s="29"/>
      <c r="S852" s="29"/>
      <c r="T852" s="29"/>
      <c r="U852" s="476"/>
      <c r="V852" s="107"/>
      <c r="W852" s="29"/>
      <c r="X852" s="34"/>
      <c r="Y852" s="34"/>
    </row>
    <row x14ac:dyDescent="0.25" r="853" customHeight="1" ht="15.75">
      <c r="A853" s="502"/>
      <c r="B853" s="34"/>
      <c r="C853" s="34"/>
      <c r="D853" s="34"/>
      <c r="E853" s="34"/>
      <c r="F853" s="34"/>
      <c r="G853" s="34"/>
      <c r="H853" s="34"/>
      <c r="I853" s="29"/>
      <c r="J853" s="29"/>
      <c r="K853" s="29"/>
      <c r="L853" s="29"/>
      <c r="M853" s="34"/>
      <c r="N853" s="34"/>
      <c r="O853" s="29"/>
      <c r="P853" s="29"/>
      <c r="Q853" s="29"/>
      <c r="R853" s="29"/>
      <c r="S853" s="29"/>
      <c r="T853" s="29"/>
      <c r="U853" s="476"/>
      <c r="V853" s="107"/>
      <c r="W853" s="29"/>
      <c r="X853" s="34"/>
      <c r="Y853" s="34"/>
    </row>
    <row x14ac:dyDescent="0.25" r="854" customHeight="1" ht="15.75">
      <c r="A854" s="502"/>
      <c r="B854" s="34"/>
      <c r="C854" s="34"/>
      <c r="D854" s="34"/>
      <c r="E854" s="34"/>
      <c r="F854" s="34"/>
      <c r="G854" s="34"/>
      <c r="H854" s="34"/>
      <c r="I854" s="29"/>
      <c r="J854" s="29"/>
      <c r="K854" s="29"/>
      <c r="L854" s="29"/>
      <c r="M854" s="34"/>
      <c r="N854" s="34"/>
      <c r="O854" s="29"/>
      <c r="P854" s="29"/>
      <c r="Q854" s="29"/>
      <c r="R854" s="29"/>
      <c r="S854" s="29"/>
      <c r="T854" s="29"/>
      <c r="U854" s="476"/>
      <c r="V854" s="107"/>
      <c r="W854" s="29"/>
      <c r="X854" s="34"/>
      <c r="Y854" s="34"/>
    </row>
    <row x14ac:dyDescent="0.25" r="855" customHeight="1" ht="15.75">
      <c r="A855" s="502"/>
      <c r="B855" s="34"/>
      <c r="C855" s="34"/>
      <c r="D855" s="34"/>
      <c r="E855" s="34"/>
      <c r="F855" s="34"/>
      <c r="G855" s="34"/>
      <c r="H855" s="34"/>
      <c r="I855" s="29"/>
      <c r="J855" s="29"/>
      <c r="K855" s="29"/>
      <c r="L855" s="29"/>
      <c r="M855" s="34"/>
      <c r="N855" s="34"/>
      <c r="O855" s="29"/>
      <c r="P855" s="29"/>
      <c r="Q855" s="29"/>
      <c r="R855" s="29"/>
      <c r="S855" s="29"/>
      <c r="T855" s="29"/>
      <c r="U855" s="476"/>
      <c r="V855" s="107"/>
      <c r="W855" s="29"/>
      <c r="X855" s="34"/>
      <c r="Y855" s="34"/>
    </row>
    <row x14ac:dyDescent="0.25" r="856" customHeight="1" ht="15.75">
      <c r="A856" s="502"/>
      <c r="B856" s="34"/>
      <c r="C856" s="34"/>
      <c r="D856" s="34"/>
      <c r="E856" s="34"/>
      <c r="F856" s="34"/>
      <c r="G856" s="34"/>
      <c r="H856" s="34"/>
      <c r="I856" s="29"/>
      <c r="J856" s="29"/>
      <c r="K856" s="29"/>
      <c r="L856" s="29"/>
      <c r="M856" s="34"/>
      <c r="N856" s="34"/>
      <c r="O856" s="29"/>
      <c r="P856" s="29"/>
      <c r="Q856" s="29"/>
      <c r="R856" s="29"/>
      <c r="S856" s="29"/>
      <c r="T856" s="29"/>
      <c r="U856" s="476"/>
      <c r="V856" s="107"/>
      <c r="W856" s="29"/>
      <c r="X856" s="34"/>
      <c r="Y856" s="34"/>
    </row>
    <row x14ac:dyDescent="0.25" r="857" customHeight="1" ht="15.75">
      <c r="A857" s="502"/>
      <c r="B857" s="34"/>
      <c r="C857" s="34"/>
      <c r="D857" s="34"/>
      <c r="E857" s="34"/>
      <c r="F857" s="34"/>
      <c r="G857" s="34"/>
      <c r="H857" s="34"/>
      <c r="I857" s="29"/>
      <c r="J857" s="29"/>
      <c r="K857" s="29"/>
      <c r="L857" s="29"/>
      <c r="M857" s="34"/>
      <c r="N857" s="34"/>
      <c r="O857" s="29"/>
      <c r="P857" s="29"/>
      <c r="Q857" s="29"/>
      <c r="R857" s="29"/>
      <c r="S857" s="29"/>
      <c r="T857" s="29"/>
      <c r="U857" s="476"/>
      <c r="V857" s="107"/>
      <c r="W857" s="29"/>
      <c r="X857" s="34"/>
      <c r="Y857" s="34"/>
    </row>
    <row x14ac:dyDescent="0.25" r="858" customHeight="1" ht="15.75">
      <c r="A858" s="502"/>
      <c r="B858" s="34"/>
      <c r="C858" s="34"/>
      <c r="D858" s="34"/>
      <c r="E858" s="34"/>
      <c r="F858" s="34"/>
      <c r="G858" s="34"/>
      <c r="H858" s="34"/>
      <c r="I858" s="29"/>
      <c r="J858" s="29"/>
      <c r="K858" s="29"/>
      <c r="L858" s="29"/>
      <c r="M858" s="34"/>
      <c r="N858" s="34"/>
      <c r="O858" s="29"/>
      <c r="P858" s="29"/>
      <c r="Q858" s="29"/>
      <c r="R858" s="29"/>
      <c r="S858" s="29"/>
      <c r="T858" s="29"/>
      <c r="U858" s="476"/>
      <c r="V858" s="107"/>
      <c r="W858" s="29"/>
      <c r="X858" s="34"/>
      <c r="Y858" s="34"/>
    </row>
    <row x14ac:dyDescent="0.25" r="859" customHeight="1" ht="15.75">
      <c r="A859" s="502"/>
      <c r="B859" s="34"/>
      <c r="C859" s="34"/>
      <c r="D859" s="34"/>
      <c r="E859" s="34"/>
      <c r="F859" s="34"/>
      <c r="G859" s="34"/>
      <c r="H859" s="34"/>
      <c r="I859" s="29"/>
      <c r="J859" s="29"/>
      <c r="K859" s="29"/>
      <c r="L859" s="29"/>
      <c r="M859" s="34"/>
      <c r="N859" s="34"/>
      <c r="O859" s="29"/>
      <c r="P859" s="29"/>
      <c r="Q859" s="29"/>
      <c r="R859" s="29"/>
      <c r="S859" s="29"/>
      <c r="T859" s="29"/>
      <c r="U859" s="476"/>
      <c r="V859" s="107"/>
      <c r="W859" s="29"/>
      <c r="X859" s="34"/>
      <c r="Y859" s="34"/>
    </row>
    <row x14ac:dyDescent="0.25" r="860" customHeight="1" ht="15.75">
      <c r="A860" s="502"/>
      <c r="B860" s="34"/>
      <c r="C860" s="34"/>
      <c r="D860" s="34"/>
      <c r="E860" s="34"/>
      <c r="F860" s="34"/>
      <c r="G860" s="34"/>
      <c r="H860" s="34"/>
      <c r="I860" s="29"/>
      <c r="J860" s="29"/>
      <c r="K860" s="29"/>
      <c r="L860" s="29"/>
      <c r="M860" s="34"/>
      <c r="N860" s="34"/>
      <c r="O860" s="29"/>
      <c r="P860" s="29"/>
      <c r="Q860" s="29"/>
      <c r="R860" s="29"/>
      <c r="S860" s="29"/>
      <c r="T860" s="29"/>
      <c r="U860" s="476"/>
      <c r="V860" s="107"/>
      <c r="W860" s="29"/>
      <c r="X860" s="34"/>
      <c r="Y860" s="34"/>
    </row>
    <row x14ac:dyDescent="0.25" r="861" customHeight="1" ht="15.75">
      <c r="A861" s="502"/>
      <c r="B861" s="34"/>
      <c r="C861" s="34"/>
      <c r="D861" s="34"/>
      <c r="E861" s="34"/>
      <c r="F861" s="34"/>
      <c r="G861" s="34"/>
      <c r="H861" s="34"/>
      <c r="I861" s="29"/>
      <c r="J861" s="29"/>
      <c r="K861" s="29"/>
      <c r="L861" s="29"/>
      <c r="M861" s="34"/>
      <c r="N861" s="34"/>
      <c r="O861" s="29"/>
      <c r="P861" s="29"/>
      <c r="Q861" s="29"/>
      <c r="R861" s="29"/>
      <c r="S861" s="29"/>
      <c r="T861" s="29"/>
      <c r="U861" s="476"/>
      <c r="V861" s="107"/>
      <c r="W861" s="29"/>
      <c r="X861" s="34"/>
      <c r="Y861" s="34"/>
    </row>
    <row x14ac:dyDescent="0.25" r="862" customHeight="1" ht="15.75">
      <c r="A862" s="502"/>
      <c r="B862" s="34"/>
      <c r="C862" s="34"/>
      <c r="D862" s="34"/>
      <c r="E862" s="34"/>
      <c r="F862" s="34"/>
      <c r="G862" s="34"/>
      <c r="H862" s="34"/>
      <c r="I862" s="29"/>
      <c r="J862" s="29"/>
      <c r="K862" s="29"/>
      <c r="L862" s="29"/>
      <c r="M862" s="34"/>
      <c r="N862" s="34"/>
      <c r="O862" s="29"/>
      <c r="P862" s="29"/>
      <c r="Q862" s="29"/>
      <c r="R862" s="29"/>
      <c r="S862" s="29"/>
      <c r="T862" s="29"/>
      <c r="U862" s="476"/>
      <c r="V862" s="107"/>
      <c r="W862" s="29"/>
      <c r="X862" s="34"/>
      <c r="Y862" s="34"/>
    </row>
    <row x14ac:dyDescent="0.25" r="863" customHeight="1" ht="15.75">
      <c r="A863" s="502"/>
      <c r="B863" s="34"/>
      <c r="C863" s="34"/>
      <c r="D863" s="34"/>
      <c r="E863" s="34"/>
      <c r="F863" s="34"/>
      <c r="G863" s="34"/>
      <c r="H863" s="34"/>
      <c r="I863" s="29"/>
      <c r="J863" s="29"/>
      <c r="K863" s="29"/>
      <c r="L863" s="29"/>
      <c r="M863" s="34"/>
      <c r="N863" s="34"/>
      <c r="O863" s="29"/>
      <c r="P863" s="29"/>
      <c r="Q863" s="29"/>
      <c r="R863" s="29"/>
      <c r="S863" s="29"/>
      <c r="T863" s="29"/>
      <c r="U863" s="476"/>
      <c r="V863" s="107"/>
      <c r="W863" s="29"/>
      <c r="X863" s="34"/>
      <c r="Y863" s="34"/>
    </row>
    <row x14ac:dyDescent="0.25" r="864" customHeight="1" ht="15.75">
      <c r="A864" s="502"/>
      <c r="B864" s="34"/>
      <c r="C864" s="34"/>
      <c r="D864" s="34"/>
      <c r="E864" s="34"/>
      <c r="F864" s="34"/>
      <c r="G864" s="34"/>
      <c r="H864" s="34"/>
      <c r="I864" s="29"/>
      <c r="J864" s="29"/>
      <c r="K864" s="29"/>
      <c r="L864" s="29"/>
      <c r="M864" s="34"/>
      <c r="N864" s="34"/>
      <c r="O864" s="29"/>
      <c r="P864" s="29"/>
      <c r="Q864" s="29"/>
      <c r="R864" s="29"/>
      <c r="S864" s="29"/>
      <c r="T864" s="29"/>
      <c r="U864" s="476"/>
      <c r="V864" s="107"/>
      <c r="W864" s="29"/>
      <c r="X864" s="34"/>
      <c r="Y864" s="34"/>
    </row>
    <row x14ac:dyDescent="0.25" r="865" customHeight="1" ht="15.75">
      <c r="A865" s="502"/>
      <c r="B865" s="34"/>
      <c r="C865" s="34"/>
      <c r="D865" s="34"/>
      <c r="E865" s="34"/>
      <c r="F865" s="34"/>
      <c r="G865" s="34"/>
      <c r="H865" s="34"/>
      <c r="I865" s="29"/>
      <c r="J865" s="29"/>
      <c r="K865" s="29"/>
      <c r="L865" s="29"/>
      <c r="M865" s="34"/>
      <c r="N865" s="34"/>
      <c r="O865" s="29"/>
      <c r="P865" s="29"/>
      <c r="Q865" s="29"/>
      <c r="R865" s="29"/>
      <c r="S865" s="29"/>
      <c r="T865" s="29"/>
      <c r="U865" s="476"/>
      <c r="V865" s="107"/>
      <c r="W865" s="29"/>
      <c r="X865" s="34"/>
      <c r="Y865" s="34"/>
    </row>
    <row x14ac:dyDescent="0.25" r="866" customHeight="1" ht="15.75">
      <c r="A866" s="502"/>
      <c r="B866" s="34"/>
      <c r="C866" s="34"/>
      <c r="D866" s="34"/>
      <c r="E866" s="34"/>
      <c r="F866" s="34"/>
      <c r="G866" s="34"/>
      <c r="H866" s="34"/>
      <c r="I866" s="29"/>
      <c r="J866" s="29"/>
      <c r="K866" s="29"/>
      <c r="L866" s="29"/>
      <c r="M866" s="34"/>
      <c r="N866" s="34"/>
      <c r="O866" s="29"/>
      <c r="P866" s="29"/>
      <c r="Q866" s="29"/>
      <c r="R866" s="29"/>
      <c r="S866" s="29"/>
      <c r="T866" s="29"/>
      <c r="U866" s="476"/>
      <c r="V866" s="107"/>
      <c r="W866" s="29"/>
      <c r="X866" s="34"/>
      <c r="Y866" s="34"/>
    </row>
    <row x14ac:dyDescent="0.25" r="867" customHeight="1" ht="15.75">
      <c r="A867" s="502"/>
      <c r="B867" s="34"/>
      <c r="C867" s="34"/>
      <c r="D867" s="34"/>
      <c r="E867" s="34"/>
      <c r="F867" s="34"/>
      <c r="G867" s="34"/>
      <c r="H867" s="34"/>
      <c r="I867" s="29"/>
      <c r="J867" s="29"/>
      <c r="K867" s="29"/>
      <c r="L867" s="29"/>
      <c r="M867" s="34"/>
      <c r="N867" s="34"/>
      <c r="O867" s="29"/>
      <c r="P867" s="29"/>
      <c r="Q867" s="29"/>
      <c r="R867" s="29"/>
      <c r="S867" s="29"/>
      <c r="T867" s="29"/>
      <c r="U867" s="476"/>
      <c r="V867" s="107"/>
      <c r="W867" s="29"/>
      <c r="X867" s="34"/>
      <c r="Y867" s="34"/>
    </row>
    <row x14ac:dyDescent="0.25" r="868" customHeight="1" ht="15.75">
      <c r="A868" s="502"/>
      <c r="B868" s="34"/>
      <c r="C868" s="34"/>
      <c r="D868" s="34"/>
      <c r="E868" s="34"/>
      <c r="F868" s="34"/>
      <c r="G868" s="34"/>
      <c r="H868" s="34"/>
      <c r="I868" s="29"/>
      <c r="J868" s="29"/>
      <c r="K868" s="29"/>
      <c r="L868" s="29"/>
      <c r="M868" s="34"/>
      <c r="N868" s="34"/>
      <c r="O868" s="29"/>
      <c r="P868" s="29"/>
      <c r="Q868" s="29"/>
      <c r="R868" s="29"/>
      <c r="S868" s="29"/>
      <c r="T868" s="29"/>
      <c r="U868" s="476"/>
      <c r="V868" s="107"/>
      <c r="W868" s="29"/>
      <c r="X868" s="34"/>
      <c r="Y868" s="34"/>
    </row>
    <row x14ac:dyDescent="0.25" r="869" customHeight="1" ht="15.75">
      <c r="A869" s="502"/>
      <c r="B869" s="34"/>
      <c r="C869" s="34"/>
      <c r="D869" s="34"/>
      <c r="E869" s="34"/>
      <c r="F869" s="34"/>
      <c r="G869" s="34"/>
      <c r="H869" s="34"/>
      <c r="I869" s="29"/>
      <c r="J869" s="29"/>
      <c r="K869" s="29"/>
      <c r="L869" s="29"/>
      <c r="M869" s="34"/>
      <c r="N869" s="34"/>
      <c r="O869" s="29"/>
      <c r="P869" s="29"/>
      <c r="Q869" s="29"/>
      <c r="R869" s="29"/>
      <c r="S869" s="29"/>
      <c r="T869" s="29"/>
      <c r="U869" s="476"/>
      <c r="V869" s="107"/>
      <c r="W869" s="29"/>
      <c r="X869" s="34"/>
      <c r="Y869" s="34"/>
    </row>
    <row x14ac:dyDescent="0.25" r="870" customHeight="1" ht="15.75">
      <c r="A870" s="502"/>
      <c r="B870" s="34"/>
      <c r="C870" s="34"/>
      <c r="D870" s="34"/>
      <c r="E870" s="34"/>
      <c r="F870" s="34"/>
      <c r="G870" s="34"/>
      <c r="H870" s="34"/>
      <c r="I870" s="29"/>
      <c r="J870" s="29"/>
      <c r="K870" s="29"/>
      <c r="L870" s="29"/>
      <c r="M870" s="34"/>
      <c r="N870" s="34"/>
      <c r="O870" s="29"/>
      <c r="P870" s="29"/>
      <c r="Q870" s="29"/>
      <c r="R870" s="29"/>
      <c r="S870" s="29"/>
      <c r="T870" s="29"/>
      <c r="U870" s="476"/>
      <c r="V870" s="107"/>
      <c r="W870" s="29"/>
      <c r="X870" s="34"/>
      <c r="Y870" s="34"/>
    </row>
    <row x14ac:dyDescent="0.25" r="871" customHeight="1" ht="15.75">
      <c r="A871" s="502"/>
      <c r="B871" s="34"/>
      <c r="C871" s="34"/>
      <c r="D871" s="34"/>
      <c r="E871" s="34"/>
      <c r="F871" s="34"/>
      <c r="G871" s="34"/>
      <c r="H871" s="34"/>
      <c r="I871" s="29"/>
      <c r="J871" s="29"/>
      <c r="K871" s="29"/>
      <c r="L871" s="29"/>
      <c r="M871" s="34"/>
      <c r="N871" s="34"/>
      <c r="O871" s="29"/>
      <c r="P871" s="29"/>
      <c r="Q871" s="29"/>
      <c r="R871" s="29"/>
      <c r="S871" s="29"/>
      <c r="T871" s="29"/>
      <c r="U871" s="476"/>
      <c r="V871" s="107"/>
      <c r="W871" s="29"/>
      <c r="X871" s="34"/>
      <c r="Y871" s="34"/>
    </row>
    <row x14ac:dyDescent="0.25" r="872" customHeight="1" ht="15.75">
      <c r="A872" s="502"/>
      <c r="B872" s="34"/>
      <c r="C872" s="34"/>
      <c r="D872" s="34"/>
      <c r="E872" s="34"/>
      <c r="F872" s="34"/>
      <c r="G872" s="34"/>
      <c r="H872" s="34"/>
      <c r="I872" s="29"/>
      <c r="J872" s="29"/>
      <c r="K872" s="29"/>
      <c r="L872" s="29"/>
      <c r="M872" s="34"/>
      <c r="N872" s="34"/>
      <c r="O872" s="29"/>
      <c r="P872" s="29"/>
      <c r="Q872" s="29"/>
      <c r="R872" s="29"/>
      <c r="S872" s="29"/>
      <c r="T872" s="29"/>
      <c r="U872" s="476"/>
      <c r="V872" s="107"/>
      <c r="W872" s="29"/>
      <c r="X872" s="34"/>
      <c r="Y872" s="34"/>
    </row>
    <row x14ac:dyDescent="0.25" r="873" customHeight="1" ht="15.75">
      <c r="A873" s="502"/>
      <c r="B873" s="34"/>
      <c r="C873" s="34"/>
      <c r="D873" s="34"/>
      <c r="E873" s="34"/>
      <c r="F873" s="34"/>
      <c r="G873" s="34"/>
      <c r="H873" s="34"/>
      <c r="I873" s="29"/>
      <c r="J873" s="29"/>
      <c r="K873" s="29"/>
      <c r="L873" s="29"/>
      <c r="M873" s="34"/>
      <c r="N873" s="34"/>
      <c r="O873" s="29"/>
      <c r="P873" s="29"/>
      <c r="Q873" s="29"/>
      <c r="R873" s="29"/>
      <c r="S873" s="29"/>
      <c r="T873" s="29"/>
      <c r="U873" s="476"/>
      <c r="V873" s="107"/>
      <c r="W873" s="29"/>
      <c r="X873" s="34"/>
      <c r="Y873" s="34"/>
    </row>
    <row x14ac:dyDescent="0.25" r="874" customHeight="1" ht="15.75">
      <c r="A874" s="502"/>
      <c r="B874" s="34"/>
      <c r="C874" s="34"/>
      <c r="D874" s="34"/>
      <c r="E874" s="34"/>
      <c r="F874" s="34"/>
      <c r="G874" s="34"/>
      <c r="H874" s="34"/>
      <c r="I874" s="29"/>
      <c r="J874" s="29"/>
      <c r="K874" s="29"/>
      <c r="L874" s="29"/>
      <c r="M874" s="34"/>
      <c r="N874" s="34"/>
      <c r="O874" s="29"/>
      <c r="P874" s="29"/>
      <c r="Q874" s="29"/>
      <c r="R874" s="29"/>
      <c r="S874" s="29"/>
      <c r="T874" s="29"/>
      <c r="U874" s="476"/>
      <c r="V874" s="107"/>
      <c r="W874" s="29"/>
      <c r="X874" s="34"/>
      <c r="Y874" s="34"/>
    </row>
    <row x14ac:dyDescent="0.25" r="875" customHeight="1" ht="15.75">
      <c r="A875" s="502"/>
      <c r="B875" s="34"/>
      <c r="C875" s="34"/>
      <c r="D875" s="34"/>
      <c r="E875" s="34"/>
      <c r="F875" s="34"/>
      <c r="G875" s="34"/>
      <c r="H875" s="34"/>
      <c r="I875" s="29"/>
      <c r="J875" s="29"/>
      <c r="K875" s="29"/>
      <c r="L875" s="29"/>
      <c r="M875" s="34"/>
      <c r="N875" s="34"/>
      <c r="O875" s="29"/>
      <c r="P875" s="29"/>
      <c r="Q875" s="29"/>
      <c r="R875" s="29"/>
      <c r="S875" s="29"/>
      <c r="T875" s="29"/>
      <c r="U875" s="476"/>
      <c r="V875" s="107"/>
      <c r="W875" s="29"/>
      <c r="X875" s="34"/>
      <c r="Y875" s="34"/>
    </row>
    <row x14ac:dyDescent="0.25" r="876" customHeight="1" ht="15.75">
      <c r="A876" s="502"/>
      <c r="B876" s="34"/>
      <c r="C876" s="34"/>
      <c r="D876" s="34"/>
      <c r="E876" s="34"/>
      <c r="F876" s="34"/>
      <c r="G876" s="34"/>
      <c r="H876" s="34"/>
      <c r="I876" s="29"/>
      <c r="J876" s="29"/>
      <c r="K876" s="29"/>
      <c r="L876" s="29"/>
      <c r="M876" s="34"/>
      <c r="N876" s="34"/>
      <c r="O876" s="29"/>
      <c r="P876" s="29"/>
      <c r="Q876" s="29"/>
      <c r="R876" s="29"/>
      <c r="S876" s="29"/>
      <c r="T876" s="29"/>
      <c r="U876" s="476"/>
      <c r="V876" s="107"/>
      <c r="W876" s="29"/>
      <c r="X876" s="34"/>
      <c r="Y876" s="34"/>
    </row>
    <row x14ac:dyDescent="0.25" r="877" customHeight="1" ht="15.75">
      <c r="A877" s="502"/>
      <c r="B877" s="34"/>
      <c r="C877" s="34"/>
      <c r="D877" s="34"/>
      <c r="E877" s="34"/>
      <c r="F877" s="34"/>
      <c r="G877" s="34"/>
      <c r="H877" s="34"/>
      <c r="I877" s="29"/>
      <c r="J877" s="29"/>
      <c r="K877" s="29"/>
      <c r="L877" s="29"/>
      <c r="M877" s="34"/>
      <c r="N877" s="34"/>
      <c r="O877" s="29"/>
      <c r="P877" s="29"/>
      <c r="Q877" s="29"/>
      <c r="R877" s="29"/>
      <c r="S877" s="29"/>
      <c r="T877" s="29"/>
      <c r="U877" s="476"/>
      <c r="V877" s="107"/>
      <c r="W877" s="29"/>
      <c r="X877" s="34"/>
      <c r="Y877" s="34"/>
    </row>
    <row x14ac:dyDescent="0.25" r="878" customHeight="1" ht="15.75">
      <c r="A878" s="502"/>
      <c r="B878" s="34"/>
      <c r="C878" s="34"/>
      <c r="D878" s="34"/>
      <c r="E878" s="34"/>
      <c r="F878" s="34"/>
      <c r="G878" s="34"/>
      <c r="H878" s="34"/>
      <c r="I878" s="29"/>
      <c r="J878" s="29"/>
      <c r="K878" s="29"/>
      <c r="L878" s="29"/>
      <c r="M878" s="34"/>
      <c r="N878" s="34"/>
      <c r="O878" s="29"/>
      <c r="P878" s="29"/>
      <c r="Q878" s="29"/>
      <c r="R878" s="29"/>
      <c r="S878" s="29"/>
      <c r="T878" s="29"/>
      <c r="U878" s="476"/>
      <c r="V878" s="107"/>
      <c r="W878" s="29"/>
      <c r="X878" s="34"/>
      <c r="Y878" s="34"/>
    </row>
    <row x14ac:dyDescent="0.25" r="879" customHeight="1" ht="15.75">
      <c r="A879" s="502"/>
      <c r="B879" s="34"/>
      <c r="C879" s="34"/>
      <c r="D879" s="34"/>
      <c r="E879" s="34"/>
      <c r="F879" s="34"/>
      <c r="G879" s="34"/>
      <c r="H879" s="34"/>
      <c r="I879" s="29"/>
      <c r="J879" s="29"/>
      <c r="K879" s="29"/>
      <c r="L879" s="29"/>
      <c r="M879" s="34"/>
      <c r="N879" s="34"/>
      <c r="O879" s="29"/>
      <c r="P879" s="29"/>
      <c r="Q879" s="29"/>
      <c r="R879" s="29"/>
      <c r="S879" s="29"/>
      <c r="T879" s="29"/>
      <c r="U879" s="476"/>
      <c r="V879" s="107"/>
      <c r="W879" s="29"/>
      <c r="X879" s="34"/>
      <c r="Y879" s="34"/>
    </row>
    <row x14ac:dyDescent="0.25" r="880" customHeight="1" ht="15.75">
      <c r="A880" s="502"/>
      <c r="B880" s="34"/>
      <c r="C880" s="34"/>
      <c r="D880" s="34"/>
      <c r="E880" s="34"/>
      <c r="F880" s="34"/>
      <c r="G880" s="34"/>
      <c r="H880" s="34"/>
      <c r="I880" s="29"/>
      <c r="J880" s="29"/>
      <c r="K880" s="29"/>
      <c r="L880" s="29"/>
      <c r="M880" s="34"/>
      <c r="N880" s="34"/>
      <c r="O880" s="29"/>
      <c r="P880" s="29"/>
      <c r="Q880" s="29"/>
      <c r="R880" s="29"/>
      <c r="S880" s="29"/>
      <c r="T880" s="29"/>
      <c r="U880" s="476"/>
      <c r="V880" s="107"/>
      <c r="W880" s="29"/>
      <c r="X880" s="34"/>
      <c r="Y880" s="34"/>
    </row>
    <row x14ac:dyDescent="0.25" r="881" customHeight="1" ht="15.75">
      <c r="A881" s="502"/>
      <c r="B881" s="34"/>
      <c r="C881" s="34"/>
      <c r="D881" s="34"/>
      <c r="E881" s="34"/>
      <c r="F881" s="34"/>
      <c r="G881" s="34"/>
      <c r="H881" s="34"/>
      <c r="I881" s="29"/>
      <c r="J881" s="29"/>
      <c r="K881" s="29"/>
      <c r="L881" s="29"/>
      <c r="M881" s="34"/>
      <c r="N881" s="34"/>
      <c r="O881" s="29"/>
      <c r="P881" s="29"/>
      <c r="Q881" s="29"/>
      <c r="R881" s="29"/>
      <c r="S881" s="29"/>
      <c r="T881" s="29"/>
      <c r="U881" s="476"/>
      <c r="V881" s="107"/>
      <c r="W881" s="29"/>
      <c r="X881" s="34"/>
      <c r="Y881" s="34"/>
    </row>
    <row x14ac:dyDescent="0.25" r="882" customHeight="1" ht="15.75">
      <c r="A882" s="502"/>
      <c r="B882" s="34"/>
      <c r="C882" s="34"/>
      <c r="D882" s="34"/>
      <c r="E882" s="34"/>
      <c r="F882" s="34"/>
      <c r="G882" s="34"/>
      <c r="H882" s="34"/>
      <c r="I882" s="29"/>
      <c r="J882" s="29"/>
      <c r="K882" s="29"/>
      <c r="L882" s="29"/>
      <c r="M882" s="34"/>
      <c r="N882" s="34"/>
      <c r="O882" s="29"/>
      <c r="P882" s="29"/>
      <c r="Q882" s="29"/>
      <c r="R882" s="29"/>
      <c r="S882" s="29"/>
      <c r="T882" s="29"/>
      <c r="U882" s="476"/>
      <c r="V882" s="107"/>
      <c r="W882" s="29"/>
      <c r="X882" s="34"/>
      <c r="Y882" s="34"/>
    </row>
    <row x14ac:dyDescent="0.25" r="883" customHeight="1" ht="15.75">
      <c r="A883" s="502"/>
      <c r="B883" s="34"/>
      <c r="C883" s="34"/>
      <c r="D883" s="34"/>
      <c r="E883" s="34"/>
      <c r="F883" s="34"/>
      <c r="G883" s="34"/>
      <c r="H883" s="34"/>
      <c r="I883" s="29"/>
      <c r="J883" s="29"/>
      <c r="K883" s="29"/>
      <c r="L883" s="29"/>
      <c r="M883" s="34"/>
      <c r="N883" s="34"/>
      <c r="O883" s="29"/>
      <c r="P883" s="29"/>
      <c r="Q883" s="29"/>
      <c r="R883" s="29"/>
      <c r="S883" s="29"/>
      <c r="T883" s="29"/>
      <c r="U883" s="476"/>
      <c r="V883" s="107"/>
      <c r="W883" s="29"/>
      <c r="X883" s="34"/>
      <c r="Y883" s="34"/>
    </row>
    <row x14ac:dyDescent="0.25" r="884" customHeight="1" ht="15.75">
      <c r="A884" s="502"/>
      <c r="B884" s="34"/>
      <c r="C884" s="34"/>
      <c r="D884" s="34"/>
      <c r="E884" s="34"/>
      <c r="F884" s="34"/>
      <c r="G884" s="34"/>
      <c r="H884" s="34"/>
      <c r="I884" s="29"/>
      <c r="J884" s="29"/>
      <c r="K884" s="29"/>
      <c r="L884" s="29"/>
      <c r="M884" s="34"/>
      <c r="N884" s="34"/>
      <c r="O884" s="29"/>
      <c r="P884" s="29"/>
      <c r="Q884" s="29"/>
      <c r="R884" s="29"/>
      <c r="S884" s="29"/>
      <c r="T884" s="29"/>
      <c r="U884" s="476"/>
      <c r="V884" s="107"/>
      <c r="W884" s="29"/>
      <c r="X884" s="34"/>
      <c r="Y884" s="34"/>
    </row>
    <row x14ac:dyDescent="0.25" r="885" customHeight="1" ht="15.75">
      <c r="A885" s="502"/>
      <c r="B885" s="34"/>
      <c r="C885" s="34"/>
      <c r="D885" s="34"/>
      <c r="E885" s="34"/>
      <c r="F885" s="34"/>
      <c r="G885" s="34"/>
      <c r="H885" s="34"/>
      <c r="I885" s="29"/>
      <c r="J885" s="29"/>
      <c r="K885" s="29"/>
      <c r="L885" s="29"/>
      <c r="M885" s="34"/>
      <c r="N885" s="34"/>
      <c r="O885" s="29"/>
      <c r="P885" s="29"/>
      <c r="Q885" s="29"/>
      <c r="R885" s="29"/>
      <c r="S885" s="29"/>
      <c r="T885" s="29"/>
      <c r="U885" s="476"/>
      <c r="V885" s="107"/>
      <c r="W885" s="29"/>
      <c r="X885" s="34"/>
      <c r="Y885" s="34"/>
    </row>
    <row x14ac:dyDescent="0.25" r="886" customHeight="1" ht="15.75">
      <c r="A886" s="502"/>
      <c r="B886" s="34"/>
      <c r="C886" s="34"/>
      <c r="D886" s="34"/>
      <c r="E886" s="34"/>
      <c r="F886" s="34"/>
      <c r="G886" s="34"/>
      <c r="H886" s="34"/>
      <c r="I886" s="29"/>
      <c r="J886" s="29"/>
      <c r="K886" s="29"/>
      <c r="L886" s="29"/>
      <c r="M886" s="34"/>
      <c r="N886" s="34"/>
      <c r="O886" s="29"/>
      <c r="P886" s="29"/>
      <c r="Q886" s="29"/>
      <c r="R886" s="29"/>
      <c r="S886" s="29"/>
      <c r="T886" s="29"/>
      <c r="U886" s="476"/>
      <c r="V886" s="107"/>
      <c r="W886" s="29"/>
      <c r="X886" s="34"/>
      <c r="Y886" s="34"/>
    </row>
    <row x14ac:dyDescent="0.25" r="887" customHeight="1" ht="15.75">
      <c r="A887" s="502"/>
      <c r="B887" s="34"/>
      <c r="C887" s="34"/>
      <c r="D887" s="34"/>
      <c r="E887" s="34"/>
      <c r="F887" s="34"/>
      <c r="G887" s="34"/>
      <c r="H887" s="34"/>
      <c r="I887" s="29"/>
      <c r="J887" s="29"/>
      <c r="K887" s="29"/>
      <c r="L887" s="29"/>
      <c r="M887" s="34"/>
      <c r="N887" s="34"/>
      <c r="O887" s="29"/>
      <c r="P887" s="29"/>
      <c r="Q887" s="29"/>
      <c r="R887" s="29"/>
      <c r="S887" s="29"/>
      <c r="T887" s="29"/>
      <c r="U887" s="476"/>
      <c r="V887" s="107"/>
      <c r="W887" s="29"/>
      <c r="X887" s="34"/>
      <c r="Y887" s="34"/>
    </row>
    <row x14ac:dyDescent="0.25" r="888" customHeight="1" ht="15.75">
      <c r="A888" s="502"/>
      <c r="B888" s="34"/>
      <c r="C888" s="34"/>
      <c r="D888" s="34"/>
      <c r="E888" s="34"/>
      <c r="F888" s="34"/>
      <c r="G888" s="34"/>
      <c r="H888" s="34"/>
      <c r="I888" s="29"/>
      <c r="J888" s="29"/>
      <c r="K888" s="29"/>
      <c r="L888" s="29"/>
      <c r="M888" s="34"/>
      <c r="N888" s="34"/>
      <c r="O888" s="29"/>
      <c r="P888" s="29"/>
      <c r="Q888" s="29"/>
      <c r="R888" s="29"/>
      <c r="S888" s="29"/>
      <c r="T888" s="29"/>
      <c r="U888" s="476"/>
      <c r="V888" s="107"/>
      <c r="W888" s="29"/>
      <c r="X888" s="34"/>
      <c r="Y888" s="34"/>
    </row>
    <row x14ac:dyDescent="0.25" r="889" customHeight="1" ht="15.75">
      <c r="A889" s="502"/>
      <c r="B889" s="34"/>
      <c r="C889" s="34"/>
      <c r="D889" s="34"/>
      <c r="E889" s="34"/>
      <c r="F889" s="34"/>
      <c r="G889" s="34"/>
      <c r="H889" s="34"/>
      <c r="I889" s="29"/>
      <c r="J889" s="29"/>
      <c r="K889" s="29"/>
      <c r="L889" s="29"/>
      <c r="M889" s="34"/>
      <c r="N889" s="34"/>
      <c r="O889" s="29"/>
      <c r="P889" s="29"/>
      <c r="Q889" s="29"/>
      <c r="R889" s="29"/>
      <c r="S889" s="29"/>
      <c r="T889" s="29"/>
      <c r="U889" s="476"/>
      <c r="V889" s="107"/>
      <c r="W889" s="29"/>
      <c r="X889" s="34"/>
      <c r="Y889" s="34"/>
    </row>
    <row x14ac:dyDescent="0.25" r="890" customHeight="1" ht="15.75">
      <c r="A890" s="502"/>
      <c r="B890" s="34"/>
      <c r="C890" s="34"/>
      <c r="D890" s="34"/>
      <c r="E890" s="34"/>
      <c r="F890" s="34"/>
      <c r="G890" s="34"/>
      <c r="H890" s="34"/>
      <c r="I890" s="29"/>
      <c r="J890" s="29"/>
      <c r="K890" s="29"/>
      <c r="L890" s="29"/>
      <c r="M890" s="34"/>
      <c r="N890" s="34"/>
      <c r="O890" s="29"/>
      <c r="P890" s="29"/>
      <c r="Q890" s="29"/>
      <c r="R890" s="29"/>
      <c r="S890" s="29"/>
      <c r="T890" s="29"/>
      <c r="U890" s="476"/>
      <c r="V890" s="107"/>
      <c r="W890" s="29"/>
      <c r="X890" s="34"/>
      <c r="Y890" s="34"/>
    </row>
    <row x14ac:dyDescent="0.25" r="891" customHeight="1" ht="15.75">
      <c r="A891" s="502"/>
      <c r="B891" s="34"/>
      <c r="C891" s="34"/>
      <c r="D891" s="34"/>
      <c r="E891" s="34"/>
      <c r="F891" s="34"/>
      <c r="G891" s="34"/>
      <c r="H891" s="34"/>
      <c r="I891" s="29"/>
      <c r="J891" s="29"/>
      <c r="K891" s="29"/>
      <c r="L891" s="29"/>
      <c r="M891" s="34"/>
      <c r="N891" s="34"/>
      <c r="O891" s="29"/>
      <c r="P891" s="29"/>
      <c r="Q891" s="29"/>
      <c r="R891" s="29"/>
      <c r="S891" s="29"/>
      <c r="T891" s="29"/>
      <c r="U891" s="476"/>
      <c r="V891" s="107"/>
      <c r="W891" s="29"/>
      <c r="X891" s="34"/>
      <c r="Y891" s="34"/>
    </row>
    <row x14ac:dyDescent="0.25" r="892" customHeight="1" ht="15.75">
      <c r="A892" s="502"/>
      <c r="B892" s="34"/>
      <c r="C892" s="34"/>
      <c r="D892" s="34"/>
      <c r="E892" s="34"/>
      <c r="F892" s="34"/>
      <c r="G892" s="34"/>
      <c r="H892" s="34"/>
      <c r="I892" s="29"/>
      <c r="J892" s="29"/>
      <c r="K892" s="29"/>
      <c r="L892" s="29"/>
      <c r="M892" s="34"/>
      <c r="N892" s="34"/>
      <c r="O892" s="29"/>
      <c r="P892" s="29"/>
      <c r="Q892" s="29"/>
      <c r="R892" s="29"/>
      <c r="S892" s="29"/>
      <c r="T892" s="29"/>
      <c r="U892" s="476"/>
      <c r="V892" s="107"/>
      <c r="W892" s="29"/>
      <c r="X892" s="34"/>
      <c r="Y892" s="34"/>
    </row>
    <row x14ac:dyDescent="0.25" r="893" customHeight="1" ht="15.75">
      <c r="A893" s="502"/>
      <c r="B893" s="34"/>
      <c r="C893" s="34"/>
      <c r="D893" s="34"/>
      <c r="E893" s="34"/>
      <c r="F893" s="34"/>
      <c r="G893" s="34"/>
      <c r="H893" s="34"/>
      <c r="I893" s="29"/>
      <c r="J893" s="29"/>
      <c r="K893" s="29"/>
      <c r="L893" s="29"/>
      <c r="M893" s="34"/>
      <c r="N893" s="34"/>
      <c r="O893" s="29"/>
      <c r="P893" s="29"/>
      <c r="Q893" s="29"/>
      <c r="R893" s="29"/>
      <c r="S893" s="29"/>
      <c r="T893" s="29"/>
      <c r="U893" s="476"/>
      <c r="V893" s="107"/>
      <c r="W893" s="29"/>
      <c r="X893" s="34"/>
      <c r="Y893" s="34"/>
    </row>
    <row x14ac:dyDescent="0.25" r="894" customHeight="1" ht="15.75">
      <c r="A894" s="502"/>
      <c r="B894" s="34"/>
      <c r="C894" s="34"/>
      <c r="D894" s="34"/>
      <c r="E894" s="34"/>
      <c r="F894" s="34"/>
      <c r="G894" s="34"/>
      <c r="H894" s="34"/>
      <c r="I894" s="29"/>
      <c r="J894" s="29"/>
      <c r="K894" s="29"/>
      <c r="L894" s="29"/>
      <c r="M894" s="34"/>
      <c r="N894" s="34"/>
      <c r="O894" s="29"/>
      <c r="P894" s="29"/>
      <c r="Q894" s="29"/>
      <c r="R894" s="29"/>
      <c r="S894" s="29"/>
      <c r="T894" s="29"/>
      <c r="U894" s="476"/>
      <c r="V894" s="107"/>
      <c r="W894" s="29"/>
      <c r="X894" s="34"/>
      <c r="Y894" s="34"/>
    </row>
    <row x14ac:dyDescent="0.25" r="895" customHeight="1" ht="15.75">
      <c r="A895" s="502"/>
      <c r="B895" s="34"/>
      <c r="C895" s="34"/>
      <c r="D895" s="34"/>
      <c r="E895" s="34"/>
      <c r="F895" s="34"/>
      <c r="G895" s="34"/>
      <c r="H895" s="34"/>
      <c r="I895" s="29"/>
      <c r="J895" s="29"/>
      <c r="K895" s="29"/>
      <c r="L895" s="29"/>
      <c r="M895" s="34"/>
      <c r="N895" s="34"/>
      <c r="O895" s="29"/>
      <c r="P895" s="29"/>
      <c r="Q895" s="29"/>
      <c r="R895" s="29"/>
      <c r="S895" s="29"/>
      <c r="T895" s="29"/>
      <c r="U895" s="476"/>
      <c r="V895" s="107"/>
      <c r="W895" s="29"/>
      <c r="X895" s="34"/>
      <c r="Y895" s="34"/>
    </row>
    <row x14ac:dyDescent="0.25" r="896" customHeight="1" ht="15.75">
      <c r="A896" s="502"/>
      <c r="B896" s="34"/>
      <c r="C896" s="34"/>
      <c r="D896" s="34"/>
      <c r="E896" s="34"/>
      <c r="F896" s="34"/>
      <c r="G896" s="34"/>
      <c r="H896" s="34"/>
      <c r="I896" s="29"/>
      <c r="J896" s="29"/>
      <c r="K896" s="29"/>
      <c r="L896" s="29"/>
      <c r="M896" s="34"/>
      <c r="N896" s="34"/>
      <c r="O896" s="29"/>
      <c r="P896" s="29"/>
      <c r="Q896" s="29"/>
      <c r="R896" s="29"/>
      <c r="S896" s="29"/>
      <c r="T896" s="29"/>
      <c r="U896" s="476"/>
      <c r="V896" s="107"/>
      <c r="W896" s="29"/>
      <c r="X896" s="34"/>
      <c r="Y896" s="34"/>
    </row>
    <row x14ac:dyDescent="0.25" r="897" customHeight="1" ht="15.75">
      <c r="A897" s="502"/>
      <c r="B897" s="34"/>
      <c r="C897" s="34"/>
      <c r="D897" s="34"/>
      <c r="E897" s="34"/>
      <c r="F897" s="34"/>
      <c r="G897" s="34"/>
      <c r="H897" s="34"/>
      <c r="I897" s="29"/>
      <c r="J897" s="29"/>
      <c r="K897" s="29"/>
      <c r="L897" s="29"/>
      <c r="M897" s="34"/>
      <c r="N897" s="34"/>
      <c r="O897" s="29"/>
      <c r="P897" s="29"/>
      <c r="Q897" s="29"/>
      <c r="R897" s="29"/>
      <c r="S897" s="29"/>
      <c r="T897" s="29"/>
      <c r="U897" s="476"/>
      <c r="V897" s="107"/>
      <c r="W897" s="29"/>
      <c r="X897" s="34"/>
      <c r="Y897" s="34"/>
    </row>
    <row x14ac:dyDescent="0.25" r="898" customHeight="1" ht="15.75">
      <c r="A898" s="502"/>
      <c r="B898" s="34"/>
      <c r="C898" s="34"/>
      <c r="D898" s="34"/>
      <c r="E898" s="34"/>
      <c r="F898" s="34"/>
      <c r="G898" s="34"/>
      <c r="H898" s="34"/>
      <c r="I898" s="29"/>
      <c r="J898" s="29"/>
      <c r="K898" s="29"/>
      <c r="L898" s="29"/>
      <c r="M898" s="34"/>
      <c r="N898" s="34"/>
      <c r="O898" s="29"/>
      <c r="P898" s="29"/>
      <c r="Q898" s="29"/>
      <c r="R898" s="29"/>
      <c r="S898" s="29"/>
      <c r="T898" s="29"/>
      <c r="U898" s="476"/>
      <c r="V898" s="107"/>
      <c r="W898" s="29"/>
      <c r="X898" s="34"/>
      <c r="Y898" s="34"/>
    </row>
    <row x14ac:dyDescent="0.25" r="899" customHeight="1" ht="15.75">
      <c r="A899" s="502"/>
      <c r="B899" s="34"/>
      <c r="C899" s="34"/>
      <c r="D899" s="34"/>
      <c r="E899" s="34"/>
      <c r="F899" s="34"/>
      <c r="G899" s="34"/>
      <c r="H899" s="34"/>
      <c r="I899" s="29"/>
      <c r="J899" s="29"/>
      <c r="K899" s="29"/>
      <c r="L899" s="29"/>
      <c r="M899" s="34"/>
      <c r="N899" s="34"/>
      <c r="O899" s="29"/>
      <c r="P899" s="29"/>
      <c r="Q899" s="29"/>
      <c r="R899" s="29"/>
      <c r="S899" s="29"/>
      <c r="T899" s="29"/>
      <c r="U899" s="476"/>
      <c r="V899" s="107"/>
      <c r="W899" s="29"/>
      <c r="X899" s="34"/>
      <c r="Y899" s="34"/>
    </row>
    <row x14ac:dyDescent="0.25" r="900" customHeight="1" ht="15.75">
      <c r="A900" s="502"/>
      <c r="B900" s="34"/>
      <c r="C900" s="34"/>
      <c r="D900" s="34"/>
      <c r="E900" s="34"/>
      <c r="F900" s="34"/>
      <c r="G900" s="34"/>
      <c r="H900" s="34"/>
      <c r="I900" s="29"/>
      <c r="J900" s="29"/>
      <c r="K900" s="29"/>
      <c r="L900" s="29"/>
      <c r="M900" s="34"/>
      <c r="N900" s="34"/>
      <c r="O900" s="29"/>
      <c r="P900" s="29"/>
      <c r="Q900" s="29"/>
      <c r="R900" s="29"/>
      <c r="S900" s="29"/>
      <c r="T900" s="29"/>
      <c r="U900" s="476"/>
      <c r="V900" s="107"/>
      <c r="W900" s="29"/>
      <c r="X900" s="34"/>
      <c r="Y900" s="34"/>
    </row>
    <row x14ac:dyDescent="0.25" r="901" customHeight="1" ht="15.75">
      <c r="A901" s="502"/>
      <c r="B901" s="34"/>
      <c r="C901" s="34"/>
      <c r="D901" s="34"/>
      <c r="E901" s="34"/>
      <c r="F901" s="34"/>
      <c r="G901" s="34"/>
      <c r="H901" s="34"/>
      <c r="I901" s="29"/>
      <c r="J901" s="29"/>
      <c r="K901" s="29"/>
      <c r="L901" s="29"/>
      <c r="M901" s="34"/>
      <c r="N901" s="34"/>
      <c r="O901" s="29"/>
      <c r="P901" s="29"/>
      <c r="Q901" s="29"/>
      <c r="R901" s="29"/>
      <c r="S901" s="29"/>
      <c r="T901" s="29"/>
      <c r="U901" s="476"/>
      <c r="V901" s="107"/>
      <c r="W901" s="29"/>
      <c r="X901" s="34"/>
      <c r="Y901" s="34"/>
    </row>
    <row x14ac:dyDescent="0.25" r="902" customHeight="1" ht="15.75">
      <c r="A902" s="502"/>
      <c r="B902" s="34"/>
      <c r="C902" s="34"/>
      <c r="D902" s="34"/>
      <c r="E902" s="34"/>
      <c r="F902" s="34"/>
      <c r="G902" s="34"/>
      <c r="H902" s="34"/>
      <c r="I902" s="29"/>
      <c r="J902" s="29"/>
      <c r="K902" s="29"/>
      <c r="L902" s="29"/>
      <c r="M902" s="34"/>
      <c r="N902" s="34"/>
      <c r="O902" s="29"/>
      <c r="P902" s="29"/>
      <c r="Q902" s="29"/>
      <c r="R902" s="29"/>
      <c r="S902" s="29"/>
      <c r="T902" s="29"/>
      <c r="U902" s="476"/>
      <c r="V902" s="107"/>
      <c r="W902" s="29"/>
      <c r="X902" s="34"/>
      <c r="Y902" s="34"/>
    </row>
    <row x14ac:dyDescent="0.25" r="903" customHeight="1" ht="15.75">
      <c r="A903" s="502"/>
      <c r="B903" s="34"/>
      <c r="C903" s="34"/>
      <c r="D903" s="34"/>
      <c r="E903" s="34"/>
      <c r="F903" s="34"/>
      <c r="G903" s="34"/>
      <c r="H903" s="34"/>
      <c r="I903" s="29"/>
      <c r="J903" s="29"/>
      <c r="K903" s="29"/>
      <c r="L903" s="29"/>
      <c r="M903" s="34"/>
      <c r="N903" s="34"/>
      <c r="O903" s="29"/>
      <c r="P903" s="29"/>
      <c r="Q903" s="29"/>
      <c r="R903" s="29"/>
      <c r="S903" s="29"/>
      <c r="T903" s="29"/>
      <c r="U903" s="476"/>
      <c r="V903" s="107"/>
      <c r="W903" s="29"/>
      <c r="X903" s="34"/>
      <c r="Y903" s="34"/>
    </row>
    <row x14ac:dyDescent="0.25" r="904" customHeight="1" ht="15.75">
      <c r="A904" s="502"/>
      <c r="B904" s="34"/>
      <c r="C904" s="34"/>
      <c r="D904" s="34"/>
      <c r="E904" s="34"/>
      <c r="F904" s="34"/>
      <c r="G904" s="34"/>
      <c r="H904" s="34"/>
      <c r="I904" s="29"/>
      <c r="J904" s="29"/>
      <c r="K904" s="29"/>
      <c r="L904" s="29"/>
      <c r="M904" s="34"/>
      <c r="N904" s="34"/>
      <c r="O904" s="29"/>
      <c r="P904" s="29"/>
      <c r="Q904" s="29"/>
      <c r="R904" s="29"/>
      <c r="S904" s="29"/>
      <c r="T904" s="29"/>
      <c r="U904" s="476"/>
      <c r="V904" s="107"/>
      <c r="W904" s="29"/>
      <c r="X904" s="34"/>
      <c r="Y904" s="34"/>
    </row>
    <row x14ac:dyDescent="0.25" r="905" customHeight="1" ht="15.75">
      <c r="A905" s="502"/>
      <c r="B905" s="34"/>
      <c r="C905" s="34"/>
      <c r="D905" s="34"/>
      <c r="E905" s="34"/>
      <c r="F905" s="34"/>
      <c r="G905" s="34"/>
      <c r="H905" s="34"/>
      <c r="I905" s="29"/>
      <c r="J905" s="29"/>
      <c r="K905" s="29"/>
      <c r="L905" s="29"/>
      <c r="M905" s="34"/>
      <c r="N905" s="34"/>
      <c r="O905" s="29"/>
      <c r="P905" s="29"/>
      <c r="Q905" s="29"/>
      <c r="R905" s="29"/>
      <c r="S905" s="29"/>
      <c r="T905" s="29"/>
      <c r="U905" s="476"/>
      <c r="V905" s="107"/>
      <c r="W905" s="29"/>
      <c r="X905" s="34"/>
      <c r="Y905" s="34"/>
    </row>
    <row x14ac:dyDescent="0.25" r="906" customHeight="1" ht="15.75">
      <c r="A906" s="502"/>
      <c r="B906" s="34"/>
      <c r="C906" s="34"/>
      <c r="D906" s="34"/>
      <c r="E906" s="34"/>
      <c r="F906" s="34"/>
      <c r="G906" s="34"/>
      <c r="H906" s="34"/>
      <c r="I906" s="29"/>
      <c r="J906" s="29"/>
      <c r="K906" s="29"/>
      <c r="L906" s="29"/>
      <c r="M906" s="34"/>
      <c r="N906" s="34"/>
      <c r="O906" s="29"/>
      <c r="P906" s="29"/>
      <c r="Q906" s="29"/>
      <c r="R906" s="29"/>
      <c r="S906" s="29"/>
      <c r="T906" s="29"/>
      <c r="U906" s="476"/>
      <c r="V906" s="107"/>
      <c r="W906" s="29"/>
      <c r="X906" s="34"/>
      <c r="Y906" s="34"/>
    </row>
    <row x14ac:dyDescent="0.25" r="907" customHeight="1" ht="15.75">
      <c r="A907" s="502"/>
      <c r="B907" s="34"/>
      <c r="C907" s="34"/>
      <c r="D907" s="34"/>
      <c r="E907" s="34"/>
      <c r="F907" s="34"/>
      <c r="G907" s="34"/>
      <c r="H907" s="34"/>
      <c r="I907" s="29"/>
      <c r="J907" s="29"/>
      <c r="K907" s="29"/>
      <c r="L907" s="29"/>
      <c r="M907" s="34"/>
      <c r="N907" s="34"/>
      <c r="O907" s="29"/>
      <c r="P907" s="29"/>
      <c r="Q907" s="29"/>
      <c r="R907" s="29"/>
      <c r="S907" s="29"/>
      <c r="T907" s="29"/>
      <c r="U907" s="476"/>
      <c r="V907" s="107"/>
      <c r="W907" s="29"/>
      <c r="X907" s="34"/>
      <c r="Y907" s="34"/>
    </row>
    <row x14ac:dyDescent="0.25" r="908" customHeight="1" ht="15.75">
      <c r="A908" s="502"/>
      <c r="B908" s="34"/>
      <c r="C908" s="34"/>
      <c r="D908" s="34"/>
      <c r="E908" s="34"/>
      <c r="F908" s="34"/>
      <c r="G908" s="34"/>
      <c r="H908" s="34"/>
      <c r="I908" s="29"/>
      <c r="J908" s="29"/>
      <c r="K908" s="29"/>
      <c r="L908" s="29"/>
      <c r="M908" s="34"/>
      <c r="N908" s="34"/>
      <c r="O908" s="29"/>
      <c r="P908" s="29"/>
      <c r="Q908" s="29"/>
      <c r="R908" s="29"/>
      <c r="S908" s="29"/>
      <c r="T908" s="29"/>
      <c r="U908" s="476"/>
      <c r="V908" s="107"/>
      <c r="W908" s="29"/>
      <c r="X908" s="34"/>
      <c r="Y908" s="34"/>
    </row>
    <row x14ac:dyDescent="0.25" r="909" customHeight="1" ht="15.75">
      <c r="A909" s="502"/>
      <c r="B909" s="34"/>
      <c r="C909" s="34"/>
      <c r="D909" s="34"/>
      <c r="E909" s="34"/>
      <c r="F909" s="34"/>
      <c r="G909" s="34"/>
      <c r="H909" s="34"/>
      <c r="I909" s="29"/>
      <c r="J909" s="29"/>
      <c r="K909" s="29"/>
      <c r="L909" s="29"/>
      <c r="M909" s="34"/>
      <c r="N909" s="34"/>
      <c r="O909" s="29"/>
      <c r="P909" s="29"/>
      <c r="Q909" s="29"/>
      <c r="R909" s="29"/>
      <c r="S909" s="29"/>
      <c r="T909" s="29"/>
      <c r="U909" s="476"/>
      <c r="V909" s="107"/>
      <c r="W909" s="29"/>
      <c r="X909" s="34"/>
      <c r="Y909" s="34"/>
    </row>
    <row x14ac:dyDescent="0.25" r="910" customHeight="1" ht="15.75">
      <c r="A910" s="502"/>
      <c r="B910" s="34"/>
      <c r="C910" s="34"/>
      <c r="D910" s="34"/>
      <c r="E910" s="34"/>
      <c r="F910" s="34"/>
      <c r="G910" s="34"/>
      <c r="H910" s="34"/>
      <c r="I910" s="29"/>
      <c r="J910" s="29"/>
      <c r="K910" s="29"/>
      <c r="L910" s="29"/>
      <c r="M910" s="34"/>
      <c r="N910" s="34"/>
      <c r="O910" s="29"/>
      <c r="P910" s="29"/>
      <c r="Q910" s="29"/>
      <c r="R910" s="29"/>
      <c r="S910" s="29"/>
      <c r="T910" s="29"/>
      <c r="U910" s="476"/>
      <c r="V910" s="107"/>
      <c r="W910" s="29"/>
      <c r="X910" s="34"/>
      <c r="Y910" s="34"/>
    </row>
    <row x14ac:dyDescent="0.25" r="911" customHeight="1" ht="15.75">
      <c r="A911" s="502"/>
      <c r="B911" s="34"/>
      <c r="C911" s="34"/>
      <c r="D911" s="34"/>
      <c r="E911" s="34"/>
      <c r="F911" s="34"/>
      <c r="G911" s="34"/>
      <c r="H911" s="34"/>
      <c r="I911" s="29"/>
      <c r="J911" s="29"/>
      <c r="K911" s="29"/>
      <c r="L911" s="29"/>
      <c r="M911" s="34"/>
      <c r="N911" s="34"/>
      <c r="O911" s="29"/>
      <c r="P911" s="29"/>
      <c r="Q911" s="29"/>
      <c r="R911" s="29"/>
      <c r="S911" s="29"/>
      <c r="T911" s="29"/>
      <c r="U911" s="476"/>
      <c r="V911" s="107"/>
      <c r="W911" s="29"/>
      <c r="X911" s="34"/>
      <c r="Y911" s="34"/>
    </row>
    <row x14ac:dyDescent="0.25" r="912" customHeight="1" ht="15.75">
      <c r="A912" s="502"/>
      <c r="B912" s="34"/>
      <c r="C912" s="34"/>
      <c r="D912" s="34"/>
      <c r="E912" s="34"/>
      <c r="F912" s="34"/>
      <c r="G912" s="34"/>
      <c r="H912" s="34"/>
      <c r="I912" s="29"/>
      <c r="J912" s="29"/>
      <c r="K912" s="29"/>
      <c r="L912" s="29"/>
      <c r="M912" s="34"/>
      <c r="N912" s="34"/>
      <c r="O912" s="29"/>
      <c r="P912" s="29"/>
      <c r="Q912" s="29"/>
      <c r="R912" s="29"/>
      <c r="S912" s="29"/>
      <c r="T912" s="29"/>
      <c r="U912" s="476"/>
      <c r="V912" s="107"/>
      <c r="W912" s="29"/>
      <c r="X912" s="34"/>
      <c r="Y912" s="34"/>
    </row>
    <row x14ac:dyDescent="0.25" r="913" customHeight="1" ht="15.75">
      <c r="A913" s="502"/>
      <c r="B913" s="34"/>
      <c r="C913" s="34"/>
      <c r="D913" s="34"/>
      <c r="E913" s="34"/>
      <c r="F913" s="34"/>
      <c r="G913" s="34"/>
      <c r="H913" s="34"/>
      <c r="I913" s="29"/>
      <c r="J913" s="29"/>
      <c r="K913" s="29"/>
      <c r="L913" s="29"/>
      <c r="M913" s="34"/>
      <c r="N913" s="34"/>
      <c r="O913" s="29"/>
      <c r="P913" s="29"/>
      <c r="Q913" s="29"/>
      <c r="R913" s="29"/>
      <c r="S913" s="29"/>
      <c r="T913" s="29"/>
      <c r="U913" s="476"/>
      <c r="V913" s="107"/>
      <c r="W913" s="29"/>
      <c r="X913" s="34"/>
      <c r="Y913" s="34"/>
    </row>
    <row x14ac:dyDescent="0.25" r="914" customHeight="1" ht="15.75">
      <c r="A914" s="502"/>
      <c r="B914" s="34"/>
      <c r="C914" s="34"/>
      <c r="D914" s="34"/>
      <c r="E914" s="34"/>
      <c r="F914" s="34"/>
      <c r="G914" s="34"/>
      <c r="H914" s="34"/>
      <c r="I914" s="29"/>
      <c r="J914" s="29"/>
      <c r="K914" s="29"/>
      <c r="L914" s="29"/>
      <c r="M914" s="34"/>
      <c r="N914" s="34"/>
      <c r="O914" s="29"/>
      <c r="P914" s="29"/>
      <c r="Q914" s="29"/>
      <c r="R914" s="29"/>
      <c r="S914" s="29"/>
      <c r="T914" s="29"/>
      <c r="U914" s="476"/>
      <c r="V914" s="107"/>
      <c r="W914" s="29"/>
      <c r="X914" s="34"/>
      <c r="Y914" s="34"/>
    </row>
    <row x14ac:dyDescent="0.25" r="915" customHeight="1" ht="15.75">
      <c r="A915" s="502"/>
      <c r="B915" s="34"/>
      <c r="C915" s="34"/>
      <c r="D915" s="34"/>
      <c r="E915" s="34"/>
      <c r="F915" s="34"/>
      <c r="G915" s="34"/>
      <c r="H915" s="34"/>
      <c r="I915" s="29"/>
      <c r="J915" s="29"/>
      <c r="K915" s="29"/>
      <c r="L915" s="29"/>
      <c r="M915" s="34"/>
      <c r="N915" s="34"/>
      <c r="O915" s="29"/>
      <c r="P915" s="29"/>
      <c r="Q915" s="29"/>
      <c r="R915" s="29"/>
      <c r="S915" s="29"/>
      <c r="T915" s="29"/>
      <c r="U915" s="476"/>
      <c r="V915" s="107"/>
      <c r="W915" s="29"/>
      <c r="X915" s="34"/>
      <c r="Y915" s="34"/>
    </row>
    <row x14ac:dyDescent="0.25" r="916" customHeight="1" ht="15.75">
      <c r="A916" s="502"/>
      <c r="B916" s="34"/>
      <c r="C916" s="34"/>
      <c r="D916" s="34"/>
      <c r="E916" s="34"/>
      <c r="F916" s="34"/>
      <c r="G916" s="34"/>
      <c r="H916" s="34"/>
      <c r="I916" s="29"/>
      <c r="J916" s="29"/>
      <c r="K916" s="29"/>
      <c r="L916" s="29"/>
      <c r="M916" s="34"/>
      <c r="N916" s="34"/>
      <c r="O916" s="29"/>
      <c r="P916" s="29"/>
      <c r="Q916" s="29"/>
      <c r="R916" s="29"/>
      <c r="S916" s="29"/>
      <c r="T916" s="29"/>
      <c r="U916" s="476"/>
      <c r="V916" s="107"/>
      <c r="W916" s="29"/>
      <c r="X916" s="34"/>
      <c r="Y916" s="34"/>
    </row>
    <row x14ac:dyDescent="0.25" r="917" customHeight="1" ht="15.75">
      <c r="A917" s="502"/>
      <c r="B917" s="34"/>
      <c r="C917" s="34"/>
      <c r="D917" s="34"/>
      <c r="E917" s="34"/>
      <c r="F917" s="34"/>
      <c r="G917" s="34"/>
      <c r="H917" s="34"/>
      <c r="I917" s="29"/>
      <c r="J917" s="29"/>
      <c r="K917" s="29"/>
      <c r="L917" s="29"/>
      <c r="M917" s="34"/>
      <c r="N917" s="34"/>
      <c r="O917" s="29"/>
      <c r="P917" s="29"/>
      <c r="Q917" s="29"/>
      <c r="R917" s="29"/>
      <c r="S917" s="29"/>
      <c r="T917" s="29"/>
      <c r="U917" s="476"/>
      <c r="V917" s="107"/>
      <c r="W917" s="29"/>
      <c r="X917" s="34"/>
      <c r="Y917" s="34"/>
    </row>
    <row x14ac:dyDescent="0.25" r="918" customHeight="1" ht="15.75">
      <c r="A918" s="502"/>
      <c r="B918" s="34"/>
      <c r="C918" s="34"/>
      <c r="D918" s="34"/>
      <c r="E918" s="34"/>
      <c r="F918" s="34"/>
      <c r="G918" s="34"/>
      <c r="H918" s="34"/>
      <c r="I918" s="29"/>
      <c r="J918" s="29"/>
      <c r="K918" s="29"/>
      <c r="L918" s="29"/>
      <c r="M918" s="34"/>
      <c r="N918" s="34"/>
      <c r="O918" s="29"/>
      <c r="P918" s="29"/>
      <c r="Q918" s="29"/>
      <c r="R918" s="29"/>
      <c r="S918" s="29"/>
      <c r="T918" s="29"/>
      <c r="U918" s="476"/>
      <c r="V918" s="107"/>
      <c r="W918" s="29"/>
      <c r="X918" s="34"/>
      <c r="Y918" s="34"/>
    </row>
    <row x14ac:dyDescent="0.25" r="919" customHeight="1" ht="15.75">
      <c r="A919" s="502"/>
      <c r="B919" s="34"/>
      <c r="C919" s="34"/>
      <c r="D919" s="34"/>
      <c r="E919" s="34"/>
      <c r="F919" s="34"/>
      <c r="G919" s="34"/>
      <c r="H919" s="34"/>
      <c r="I919" s="29"/>
      <c r="J919" s="29"/>
      <c r="K919" s="29"/>
      <c r="L919" s="29"/>
      <c r="M919" s="34"/>
      <c r="N919" s="34"/>
      <c r="O919" s="29"/>
      <c r="P919" s="29"/>
      <c r="Q919" s="29"/>
      <c r="R919" s="29"/>
      <c r="S919" s="29"/>
      <c r="T919" s="29"/>
      <c r="U919" s="476"/>
      <c r="V919" s="107"/>
      <c r="W919" s="29"/>
      <c r="X919" s="34"/>
      <c r="Y919" s="34"/>
    </row>
    <row x14ac:dyDescent="0.25" r="920" customHeight="1" ht="15.75">
      <c r="A920" s="502"/>
      <c r="B920" s="34"/>
      <c r="C920" s="34"/>
      <c r="D920" s="34"/>
      <c r="E920" s="34"/>
      <c r="F920" s="34"/>
      <c r="G920" s="34"/>
      <c r="H920" s="34"/>
      <c r="I920" s="29"/>
      <c r="J920" s="29"/>
      <c r="K920" s="29"/>
      <c r="L920" s="29"/>
      <c r="M920" s="34"/>
      <c r="N920" s="34"/>
      <c r="O920" s="29"/>
      <c r="P920" s="29"/>
      <c r="Q920" s="29"/>
      <c r="R920" s="29"/>
      <c r="S920" s="29"/>
      <c r="T920" s="29"/>
      <c r="U920" s="476"/>
      <c r="V920" s="107"/>
      <c r="W920" s="29"/>
      <c r="X920" s="34"/>
      <c r="Y920" s="34"/>
    </row>
    <row x14ac:dyDescent="0.25" r="921" customHeight="1" ht="15.75">
      <c r="A921" s="502"/>
      <c r="B921" s="34"/>
      <c r="C921" s="34"/>
      <c r="D921" s="34"/>
      <c r="E921" s="34"/>
      <c r="F921" s="34"/>
      <c r="G921" s="34"/>
      <c r="H921" s="34"/>
      <c r="I921" s="29"/>
      <c r="J921" s="29"/>
      <c r="K921" s="29"/>
      <c r="L921" s="29"/>
      <c r="M921" s="34"/>
      <c r="N921" s="34"/>
      <c r="O921" s="29"/>
      <c r="P921" s="29"/>
      <c r="Q921" s="29"/>
      <c r="R921" s="29"/>
      <c r="S921" s="29"/>
      <c r="T921" s="29"/>
      <c r="U921" s="476"/>
      <c r="V921" s="107"/>
      <c r="W921" s="29"/>
      <c r="X921" s="34"/>
      <c r="Y921" s="34"/>
    </row>
    <row x14ac:dyDescent="0.25" r="922" customHeight="1" ht="15.75">
      <c r="A922" s="502"/>
      <c r="B922" s="34"/>
      <c r="C922" s="34"/>
      <c r="D922" s="34"/>
      <c r="E922" s="34"/>
      <c r="F922" s="34"/>
      <c r="G922" s="34"/>
      <c r="H922" s="34"/>
      <c r="I922" s="29"/>
      <c r="J922" s="29"/>
      <c r="K922" s="29"/>
      <c r="L922" s="29"/>
      <c r="M922" s="34"/>
      <c r="N922" s="34"/>
      <c r="O922" s="29"/>
      <c r="P922" s="29"/>
      <c r="Q922" s="29"/>
      <c r="R922" s="29"/>
      <c r="S922" s="29"/>
      <c r="T922" s="29"/>
      <c r="U922" s="476"/>
      <c r="V922" s="107"/>
      <c r="W922" s="29"/>
      <c r="X922" s="34"/>
      <c r="Y922" s="34"/>
    </row>
    <row x14ac:dyDescent="0.25" r="923" customHeight="1" ht="15.75">
      <c r="A923" s="502"/>
      <c r="B923" s="34"/>
      <c r="C923" s="34"/>
      <c r="D923" s="34"/>
      <c r="E923" s="34"/>
      <c r="F923" s="34"/>
      <c r="G923" s="34"/>
      <c r="H923" s="34"/>
      <c r="I923" s="29"/>
      <c r="J923" s="29"/>
      <c r="K923" s="29"/>
      <c r="L923" s="29"/>
      <c r="M923" s="34"/>
      <c r="N923" s="34"/>
      <c r="O923" s="29"/>
      <c r="P923" s="29"/>
      <c r="Q923" s="29"/>
      <c r="R923" s="29"/>
      <c r="S923" s="29"/>
      <c r="T923" s="29"/>
      <c r="U923" s="476"/>
      <c r="V923" s="107"/>
      <c r="W923" s="29"/>
      <c r="X923" s="34"/>
      <c r="Y923" s="34"/>
    </row>
    <row x14ac:dyDescent="0.25" r="924" customHeight="1" ht="15.75">
      <c r="A924" s="502"/>
      <c r="B924" s="34"/>
      <c r="C924" s="34"/>
      <c r="D924" s="34"/>
      <c r="E924" s="34"/>
      <c r="F924" s="34"/>
      <c r="G924" s="34"/>
      <c r="H924" s="34"/>
      <c r="I924" s="29"/>
      <c r="J924" s="29"/>
      <c r="K924" s="29"/>
      <c r="L924" s="29"/>
      <c r="M924" s="34"/>
      <c r="N924" s="34"/>
      <c r="O924" s="29"/>
      <c r="P924" s="29"/>
      <c r="Q924" s="29"/>
      <c r="R924" s="29"/>
      <c r="S924" s="29"/>
      <c r="T924" s="29"/>
      <c r="U924" s="476"/>
      <c r="V924" s="107"/>
      <c r="W924" s="29"/>
      <c r="X924" s="34"/>
      <c r="Y924" s="34"/>
    </row>
    <row x14ac:dyDescent="0.25" r="925" customHeight="1" ht="15.75">
      <c r="A925" s="502"/>
      <c r="B925" s="34"/>
      <c r="C925" s="34"/>
      <c r="D925" s="34"/>
      <c r="E925" s="34"/>
      <c r="F925" s="34"/>
      <c r="G925" s="34"/>
      <c r="H925" s="34"/>
      <c r="I925" s="29"/>
      <c r="J925" s="29"/>
      <c r="K925" s="29"/>
      <c r="L925" s="29"/>
      <c r="M925" s="34"/>
      <c r="N925" s="34"/>
      <c r="O925" s="29"/>
      <c r="P925" s="29"/>
      <c r="Q925" s="29"/>
      <c r="R925" s="29"/>
      <c r="S925" s="29"/>
      <c r="T925" s="29"/>
      <c r="U925" s="476"/>
      <c r="V925" s="107"/>
      <c r="W925" s="29"/>
      <c r="X925" s="34"/>
      <c r="Y925" s="34"/>
    </row>
    <row x14ac:dyDescent="0.25" r="926" customHeight="1" ht="15.75">
      <c r="A926" s="502"/>
      <c r="B926" s="34"/>
      <c r="C926" s="34"/>
      <c r="D926" s="34"/>
      <c r="E926" s="34"/>
      <c r="F926" s="34"/>
      <c r="G926" s="34"/>
      <c r="H926" s="34"/>
      <c r="I926" s="29"/>
      <c r="J926" s="29"/>
      <c r="K926" s="29"/>
      <c r="L926" s="29"/>
      <c r="M926" s="34"/>
      <c r="N926" s="34"/>
      <c r="O926" s="29"/>
      <c r="P926" s="29"/>
      <c r="Q926" s="29"/>
      <c r="R926" s="29"/>
      <c r="S926" s="29"/>
      <c r="T926" s="29"/>
      <c r="U926" s="476"/>
      <c r="V926" s="107"/>
      <c r="W926" s="29"/>
      <c r="X926" s="34"/>
      <c r="Y926" s="34"/>
    </row>
    <row x14ac:dyDescent="0.25" r="927" customHeight="1" ht="15.75">
      <c r="A927" s="502"/>
      <c r="B927" s="34"/>
      <c r="C927" s="34"/>
      <c r="D927" s="34"/>
      <c r="E927" s="34"/>
      <c r="F927" s="34"/>
      <c r="G927" s="34"/>
      <c r="H927" s="34"/>
      <c r="I927" s="29"/>
      <c r="J927" s="29"/>
      <c r="K927" s="29"/>
      <c r="L927" s="29"/>
      <c r="M927" s="34"/>
      <c r="N927" s="34"/>
      <c r="O927" s="29"/>
      <c r="P927" s="29"/>
      <c r="Q927" s="29"/>
      <c r="R927" s="29"/>
      <c r="S927" s="29"/>
      <c r="T927" s="29"/>
      <c r="U927" s="476"/>
      <c r="V927" s="107"/>
      <c r="W927" s="29"/>
      <c r="X927" s="34"/>
      <c r="Y927" s="34"/>
    </row>
    <row x14ac:dyDescent="0.25" r="928" customHeight="1" ht="15.75">
      <c r="A928" s="502"/>
      <c r="B928" s="34"/>
      <c r="C928" s="34"/>
      <c r="D928" s="34"/>
      <c r="E928" s="34"/>
      <c r="F928" s="34"/>
      <c r="G928" s="34"/>
      <c r="H928" s="34"/>
      <c r="I928" s="29"/>
      <c r="J928" s="29"/>
      <c r="K928" s="29"/>
      <c r="L928" s="29"/>
      <c r="M928" s="34"/>
      <c r="N928" s="34"/>
      <c r="O928" s="29"/>
      <c r="P928" s="29"/>
      <c r="Q928" s="29"/>
      <c r="R928" s="29"/>
      <c r="S928" s="29"/>
      <c r="T928" s="29"/>
      <c r="U928" s="476"/>
      <c r="V928" s="107"/>
      <c r="W928" s="29"/>
      <c r="X928" s="34"/>
      <c r="Y928" s="34"/>
    </row>
    <row x14ac:dyDescent="0.25" r="929" customHeight="1" ht="15.75">
      <c r="A929" s="502"/>
      <c r="B929" s="34"/>
      <c r="C929" s="34"/>
      <c r="D929" s="34"/>
      <c r="E929" s="34"/>
      <c r="F929" s="34"/>
      <c r="G929" s="34"/>
      <c r="H929" s="34"/>
      <c r="I929" s="29"/>
      <c r="J929" s="29"/>
      <c r="K929" s="29"/>
      <c r="L929" s="29"/>
      <c r="M929" s="34"/>
      <c r="N929" s="34"/>
      <c r="O929" s="29"/>
      <c r="P929" s="29"/>
      <c r="Q929" s="29"/>
      <c r="R929" s="29"/>
      <c r="S929" s="29"/>
      <c r="T929" s="29"/>
      <c r="U929" s="476"/>
      <c r="V929" s="107"/>
      <c r="W929" s="29"/>
      <c r="X929" s="34"/>
      <c r="Y929" s="34"/>
    </row>
    <row x14ac:dyDescent="0.25" r="930" customHeight="1" ht="15.75">
      <c r="A930" s="502"/>
      <c r="B930" s="34"/>
      <c r="C930" s="34"/>
      <c r="D930" s="34"/>
      <c r="E930" s="34"/>
      <c r="F930" s="34"/>
      <c r="G930" s="34"/>
      <c r="H930" s="34"/>
      <c r="I930" s="29"/>
      <c r="J930" s="29"/>
      <c r="K930" s="29"/>
      <c r="L930" s="29"/>
      <c r="M930" s="34"/>
      <c r="N930" s="34"/>
      <c r="O930" s="29"/>
      <c r="P930" s="29"/>
      <c r="Q930" s="29"/>
      <c r="R930" s="29"/>
      <c r="S930" s="29"/>
      <c r="T930" s="29"/>
      <c r="U930" s="476"/>
      <c r="V930" s="107"/>
      <c r="W930" s="29"/>
      <c r="X930" s="34"/>
      <c r="Y930" s="34"/>
    </row>
    <row x14ac:dyDescent="0.25" r="931" customHeight="1" ht="15.75">
      <c r="A931" s="502"/>
      <c r="B931" s="34"/>
      <c r="C931" s="34"/>
      <c r="D931" s="34"/>
      <c r="E931" s="34"/>
      <c r="F931" s="34"/>
      <c r="G931" s="34"/>
      <c r="H931" s="34"/>
      <c r="I931" s="29"/>
      <c r="J931" s="29"/>
      <c r="K931" s="29"/>
      <c r="L931" s="29"/>
      <c r="M931" s="34"/>
      <c r="N931" s="34"/>
      <c r="O931" s="29"/>
      <c r="P931" s="29"/>
      <c r="Q931" s="29"/>
      <c r="R931" s="29"/>
      <c r="S931" s="29"/>
      <c r="T931" s="29"/>
      <c r="U931" s="476"/>
      <c r="V931" s="107"/>
      <c r="W931" s="29"/>
      <c r="X931" s="34"/>
      <c r="Y931" s="34"/>
    </row>
    <row x14ac:dyDescent="0.25" r="932" customHeight="1" ht="15.75">
      <c r="A932" s="502"/>
      <c r="B932" s="34"/>
      <c r="C932" s="34"/>
      <c r="D932" s="34"/>
      <c r="E932" s="34"/>
      <c r="F932" s="34"/>
      <c r="G932" s="34"/>
      <c r="H932" s="34"/>
      <c r="I932" s="29"/>
      <c r="J932" s="29"/>
      <c r="K932" s="29"/>
      <c r="L932" s="29"/>
      <c r="M932" s="34"/>
      <c r="N932" s="34"/>
      <c r="O932" s="29"/>
      <c r="P932" s="29"/>
      <c r="Q932" s="29"/>
      <c r="R932" s="29"/>
      <c r="S932" s="29"/>
      <c r="T932" s="29"/>
      <c r="U932" s="476"/>
      <c r="V932" s="107"/>
      <c r="W932" s="29"/>
      <c r="X932" s="34"/>
      <c r="Y932" s="34"/>
    </row>
    <row x14ac:dyDescent="0.25" r="933" customHeight="1" ht="15.75">
      <c r="A933" s="502"/>
      <c r="B933" s="34"/>
      <c r="C933" s="34"/>
      <c r="D933" s="34"/>
      <c r="E933" s="34"/>
      <c r="F933" s="34"/>
      <c r="G933" s="34"/>
      <c r="H933" s="34"/>
      <c r="I933" s="29"/>
      <c r="J933" s="29"/>
      <c r="K933" s="29"/>
      <c r="L933" s="29"/>
      <c r="M933" s="34"/>
      <c r="N933" s="34"/>
      <c r="O933" s="29"/>
      <c r="P933" s="29"/>
      <c r="Q933" s="29"/>
      <c r="R933" s="29"/>
      <c r="S933" s="29"/>
      <c r="T933" s="29"/>
      <c r="U933" s="476"/>
      <c r="V933" s="107"/>
      <c r="W933" s="29"/>
      <c r="X933" s="34"/>
      <c r="Y933" s="34"/>
    </row>
    <row x14ac:dyDescent="0.25" r="934" customHeight="1" ht="15.75">
      <c r="A934" s="502"/>
      <c r="B934" s="34"/>
      <c r="C934" s="34"/>
      <c r="D934" s="34"/>
      <c r="E934" s="34"/>
      <c r="F934" s="34"/>
      <c r="G934" s="34"/>
      <c r="H934" s="34"/>
      <c r="I934" s="29"/>
      <c r="J934" s="29"/>
      <c r="K934" s="29"/>
      <c r="L934" s="29"/>
      <c r="M934" s="34"/>
      <c r="N934" s="34"/>
      <c r="O934" s="29"/>
      <c r="P934" s="29"/>
      <c r="Q934" s="29"/>
      <c r="R934" s="29"/>
      <c r="S934" s="29"/>
      <c r="T934" s="29"/>
      <c r="U934" s="476"/>
      <c r="V934" s="107"/>
      <c r="W934" s="29"/>
      <c r="X934" s="34"/>
      <c r="Y934" s="34"/>
    </row>
    <row x14ac:dyDescent="0.25" r="935" customHeight="1" ht="15.75">
      <c r="A935" s="502"/>
      <c r="B935" s="34"/>
      <c r="C935" s="34"/>
      <c r="D935" s="34"/>
      <c r="E935" s="34"/>
      <c r="F935" s="34"/>
      <c r="G935" s="34"/>
      <c r="H935" s="34"/>
      <c r="I935" s="29"/>
      <c r="J935" s="29"/>
      <c r="K935" s="29"/>
      <c r="L935" s="29"/>
      <c r="M935" s="34"/>
      <c r="N935" s="34"/>
      <c r="O935" s="29"/>
      <c r="P935" s="29"/>
      <c r="Q935" s="29"/>
      <c r="R935" s="29"/>
      <c r="S935" s="29"/>
      <c r="T935" s="29"/>
      <c r="U935" s="476"/>
      <c r="V935" s="107"/>
      <c r="W935" s="29"/>
      <c r="X935" s="34"/>
      <c r="Y935" s="34"/>
    </row>
    <row x14ac:dyDescent="0.25" r="936" customHeight="1" ht="15.75">
      <c r="A936" s="502"/>
      <c r="B936" s="34"/>
      <c r="C936" s="34"/>
      <c r="D936" s="34"/>
      <c r="E936" s="34"/>
      <c r="F936" s="34"/>
      <c r="G936" s="34"/>
      <c r="H936" s="34"/>
      <c r="I936" s="29"/>
      <c r="J936" s="29"/>
      <c r="K936" s="29"/>
      <c r="L936" s="29"/>
      <c r="M936" s="34"/>
      <c r="N936" s="34"/>
      <c r="O936" s="29"/>
      <c r="P936" s="29"/>
      <c r="Q936" s="29"/>
      <c r="R936" s="29"/>
      <c r="S936" s="29"/>
      <c r="T936" s="29"/>
      <c r="U936" s="476"/>
      <c r="V936" s="107"/>
      <c r="W936" s="29"/>
      <c r="X936" s="34"/>
      <c r="Y936" s="34"/>
    </row>
    <row x14ac:dyDescent="0.25" r="937" customHeight="1" ht="15.75">
      <c r="A937" s="502"/>
      <c r="B937" s="34"/>
      <c r="C937" s="34"/>
      <c r="D937" s="34"/>
      <c r="E937" s="34"/>
      <c r="F937" s="34"/>
      <c r="G937" s="34"/>
      <c r="H937" s="34"/>
      <c r="I937" s="29"/>
      <c r="J937" s="29"/>
      <c r="K937" s="29"/>
      <c r="L937" s="29"/>
      <c r="M937" s="34"/>
      <c r="N937" s="34"/>
      <c r="O937" s="29"/>
      <c r="P937" s="29"/>
      <c r="Q937" s="29"/>
      <c r="R937" s="29"/>
      <c r="S937" s="29"/>
      <c r="T937" s="29"/>
      <c r="U937" s="476"/>
      <c r="V937" s="107"/>
      <c r="W937" s="29"/>
      <c r="X937" s="34"/>
      <c r="Y937" s="34"/>
    </row>
    <row x14ac:dyDescent="0.25" r="938" customHeight="1" ht="15.75">
      <c r="A938" s="502"/>
      <c r="B938" s="34"/>
      <c r="C938" s="34"/>
      <c r="D938" s="34"/>
      <c r="E938" s="34"/>
      <c r="F938" s="34"/>
      <c r="G938" s="34"/>
      <c r="H938" s="34"/>
      <c r="I938" s="29"/>
      <c r="J938" s="29"/>
      <c r="K938" s="29"/>
      <c r="L938" s="29"/>
      <c r="M938" s="34"/>
      <c r="N938" s="34"/>
      <c r="O938" s="29"/>
      <c r="P938" s="29"/>
      <c r="Q938" s="29"/>
      <c r="R938" s="29"/>
      <c r="S938" s="29"/>
      <c r="T938" s="29"/>
      <c r="U938" s="476"/>
      <c r="V938" s="107"/>
      <c r="W938" s="29"/>
      <c r="X938" s="34"/>
      <c r="Y938" s="34"/>
    </row>
    <row x14ac:dyDescent="0.25" r="939" customHeight="1" ht="15.75">
      <c r="A939" s="502"/>
      <c r="B939" s="34"/>
      <c r="C939" s="34"/>
      <c r="D939" s="34"/>
      <c r="E939" s="34"/>
      <c r="F939" s="34"/>
      <c r="G939" s="34"/>
      <c r="H939" s="34"/>
      <c r="I939" s="29"/>
      <c r="J939" s="29"/>
      <c r="K939" s="29"/>
      <c r="L939" s="29"/>
      <c r="M939" s="34"/>
      <c r="N939" s="34"/>
      <c r="O939" s="29"/>
      <c r="P939" s="29"/>
      <c r="Q939" s="29"/>
      <c r="R939" s="29"/>
      <c r="S939" s="29"/>
      <c r="T939" s="29"/>
      <c r="U939" s="476"/>
      <c r="V939" s="107"/>
      <c r="W939" s="29"/>
      <c r="X939" s="34"/>
      <c r="Y939" s="34"/>
    </row>
    <row x14ac:dyDescent="0.25" r="940" customHeight="1" ht="15.75">
      <c r="A940" s="502"/>
      <c r="B940" s="34"/>
      <c r="C940" s="34"/>
      <c r="D940" s="34"/>
      <c r="E940" s="34"/>
      <c r="F940" s="34"/>
      <c r="G940" s="34"/>
      <c r="H940" s="34"/>
      <c r="I940" s="29"/>
      <c r="J940" s="29"/>
      <c r="K940" s="29"/>
      <c r="L940" s="29"/>
      <c r="M940" s="34"/>
      <c r="N940" s="34"/>
      <c r="O940" s="29"/>
      <c r="P940" s="29"/>
      <c r="Q940" s="29"/>
      <c r="R940" s="29"/>
      <c r="S940" s="29"/>
      <c r="T940" s="29"/>
      <c r="U940" s="476"/>
      <c r="V940" s="107"/>
      <c r="W940" s="29"/>
      <c r="X940" s="34"/>
      <c r="Y940" s="34"/>
    </row>
    <row x14ac:dyDescent="0.25" r="941" customHeight="1" ht="15.75">
      <c r="A941" s="502"/>
      <c r="B941" s="34"/>
      <c r="C941" s="34"/>
      <c r="D941" s="34"/>
      <c r="E941" s="34"/>
      <c r="F941" s="34"/>
      <c r="G941" s="34"/>
      <c r="H941" s="34"/>
      <c r="I941" s="29"/>
      <c r="J941" s="29"/>
      <c r="K941" s="29"/>
      <c r="L941" s="29"/>
      <c r="M941" s="34"/>
      <c r="N941" s="34"/>
      <c r="O941" s="29"/>
      <c r="P941" s="29"/>
      <c r="Q941" s="29"/>
      <c r="R941" s="29"/>
      <c r="S941" s="29"/>
      <c r="T941" s="29"/>
      <c r="U941" s="476"/>
      <c r="V941" s="107"/>
      <c r="W941" s="29"/>
      <c r="X941" s="34"/>
      <c r="Y941" s="34"/>
    </row>
    <row x14ac:dyDescent="0.25" r="942" customHeight="1" ht="15.75">
      <c r="A942" s="502"/>
      <c r="B942" s="34"/>
      <c r="C942" s="34"/>
      <c r="D942" s="34"/>
      <c r="E942" s="34"/>
      <c r="F942" s="34"/>
      <c r="G942" s="34"/>
      <c r="H942" s="34"/>
      <c r="I942" s="29"/>
      <c r="J942" s="29"/>
      <c r="K942" s="29"/>
      <c r="L942" s="29"/>
      <c r="M942" s="34"/>
      <c r="N942" s="34"/>
      <c r="O942" s="29"/>
      <c r="P942" s="29"/>
      <c r="Q942" s="29"/>
      <c r="R942" s="29"/>
      <c r="S942" s="29"/>
      <c r="T942" s="29"/>
      <c r="U942" s="476"/>
      <c r="V942" s="107"/>
      <c r="W942" s="29"/>
      <c r="X942" s="34"/>
      <c r="Y942" s="34"/>
    </row>
    <row x14ac:dyDescent="0.25" r="943" customHeight="1" ht="15.75">
      <c r="A943" s="502"/>
      <c r="B943" s="34"/>
      <c r="C943" s="34"/>
      <c r="D943" s="34"/>
      <c r="E943" s="34"/>
      <c r="F943" s="34"/>
      <c r="G943" s="34"/>
      <c r="H943" s="34"/>
      <c r="I943" s="29"/>
      <c r="J943" s="29"/>
      <c r="K943" s="29"/>
      <c r="L943" s="29"/>
      <c r="M943" s="34"/>
      <c r="N943" s="34"/>
      <c r="O943" s="29"/>
      <c r="P943" s="29"/>
      <c r="Q943" s="29"/>
      <c r="R943" s="29"/>
      <c r="S943" s="29"/>
      <c r="T943" s="29"/>
      <c r="U943" s="476"/>
      <c r="V943" s="107"/>
      <c r="W943" s="29"/>
      <c r="X943" s="34"/>
      <c r="Y943" s="34"/>
    </row>
    <row x14ac:dyDescent="0.25" r="944" customHeight="1" ht="15.75">
      <c r="A944" s="502"/>
      <c r="B944" s="34"/>
      <c r="C944" s="34"/>
      <c r="D944" s="34"/>
      <c r="E944" s="34"/>
      <c r="F944" s="34"/>
      <c r="G944" s="34"/>
      <c r="H944" s="34"/>
      <c r="I944" s="29"/>
      <c r="J944" s="29"/>
      <c r="K944" s="29"/>
      <c r="L944" s="29"/>
      <c r="M944" s="34"/>
      <c r="N944" s="34"/>
      <c r="O944" s="29"/>
      <c r="P944" s="29"/>
      <c r="Q944" s="29"/>
      <c r="R944" s="29"/>
      <c r="S944" s="29"/>
      <c r="T944" s="29"/>
      <c r="U944" s="476"/>
      <c r="V944" s="107"/>
      <c r="W944" s="29"/>
      <c r="X944" s="34"/>
      <c r="Y944" s="34"/>
    </row>
    <row x14ac:dyDescent="0.25" r="945" customHeight="1" ht="15.75">
      <c r="A945" s="502"/>
      <c r="B945" s="34"/>
      <c r="C945" s="34"/>
      <c r="D945" s="34"/>
      <c r="E945" s="34"/>
      <c r="F945" s="34"/>
      <c r="G945" s="34"/>
      <c r="H945" s="34"/>
      <c r="I945" s="29"/>
      <c r="J945" s="29"/>
      <c r="K945" s="29"/>
      <c r="L945" s="29"/>
      <c r="M945" s="34"/>
      <c r="N945" s="34"/>
      <c r="O945" s="29"/>
      <c r="P945" s="29"/>
      <c r="Q945" s="29"/>
      <c r="R945" s="29"/>
      <c r="S945" s="29"/>
      <c r="T945" s="29"/>
      <c r="U945" s="476"/>
      <c r="V945" s="107"/>
      <c r="W945" s="29"/>
      <c r="X945" s="34"/>
      <c r="Y945" s="34"/>
    </row>
    <row x14ac:dyDescent="0.25" r="946" customHeight="1" ht="15.75">
      <c r="A946" s="502"/>
      <c r="B946" s="34"/>
      <c r="C946" s="34"/>
      <c r="D946" s="34"/>
      <c r="E946" s="34"/>
      <c r="F946" s="34"/>
      <c r="G946" s="34"/>
      <c r="H946" s="34"/>
      <c r="I946" s="29"/>
      <c r="J946" s="29"/>
      <c r="K946" s="29"/>
      <c r="L946" s="29"/>
      <c r="M946" s="34"/>
      <c r="N946" s="34"/>
      <c r="O946" s="29"/>
      <c r="P946" s="29"/>
      <c r="Q946" s="29"/>
      <c r="R946" s="29"/>
      <c r="S946" s="29"/>
      <c r="T946" s="29"/>
      <c r="U946" s="476"/>
      <c r="V946" s="107"/>
      <c r="W946" s="29"/>
      <c r="X946" s="34"/>
      <c r="Y946" s="34"/>
    </row>
    <row x14ac:dyDescent="0.25" r="947" customHeight="1" ht="15.75">
      <c r="A947" s="502"/>
      <c r="B947" s="34"/>
      <c r="C947" s="34"/>
      <c r="D947" s="34"/>
      <c r="E947" s="34"/>
      <c r="F947" s="34"/>
      <c r="G947" s="34"/>
      <c r="H947" s="34"/>
      <c r="I947" s="29"/>
      <c r="J947" s="29"/>
      <c r="K947" s="29"/>
      <c r="L947" s="29"/>
      <c r="M947" s="34"/>
      <c r="N947" s="34"/>
      <c r="O947" s="29"/>
      <c r="P947" s="29"/>
      <c r="Q947" s="29"/>
      <c r="R947" s="29"/>
      <c r="S947" s="29"/>
      <c r="T947" s="29"/>
      <c r="U947" s="476"/>
      <c r="V947" s="107"/>
      <c r="W947" s="29"/>
      <c r="X947" s="34"/>
      <c r="Y947" s="34"/>
    </row>
  </sheetData>
  <mergeCells count="26">
    <mergeCell ref="S20:S22"/>
    <mergeCell ref="T20:T22"/>
    <mergeCell ref="U23:U24"/>
    <mergeCell ref="V23:V24"/>
    <mergeCell ref="S34:S35"/>
    <mergeCell ref="T34:T35"/>
    <mergeCell ref="U34:U35"/>
    <mergeCell ref="V34:V35"/>
    <mergeCell ref="P55:P56"/>
    <mergeCell ref="S55:S56"/>
    <mergeCell ref="T55:T56"/>
    <mergeCell ref="U55:U56"/>
    <mergeCell ref="V55:V56"/>
    <mergeCell ref="S90:S91"/>
    <mergeCell ref="T90:T91"/>
    <mergeCell ref="S95:S96"/>
    <mergeCell ref="T95:T96"/>
    <mergeCell ref="U95:U96"/>
    <mergeCell ref="V95:V96"/>
    <mergeCell ref="S98:S99"/>
    <mergeCell ref="T98:T99"/>
    <mergeCell ref="U98:U99"/>
    <mergeCell ref="V98:V99"/>
    <mergeCell ref="U108:U112"/>
    <mergeCell ref="V108:V112"/>
    <mergeCell ref="X125:Y1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F973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21" width="13.290714285714287" customWidth="1" bestFit="1"/>
    <col min="2" max="2" style="36" width="4.576428571428571" customWidth="1" bestFit="1"/>
    <col min="3" max="3" style="36" width="8.290714285714287" customWidth="1" bestFit="1"/>
    <col min="4" max="4" style="36" width="5.005" customWidth="1" bestFit="1"/>
    <col min="5" max="5" style="36" width="10.290714285714287" customWidth="1" bestFit="1"/>
    <col min="6" max="6" style="36" width="12.005" customWidth="1" bestFit="1"/>
    <col min="7" max="7" style="36" width="35.005" customWidth="1" bestFit="1"/>
    <col min="8" max="8" style="36" width="7.719285714285714" customWidth="1" bestFit="1"/>
    <col min="9" max="9" style="37" width="11.43357142857143" customWidth="1" bestFit="1"/>
    <col min="10" max="10" style="37" width="11.43357142857143" customWidth="1" bestFit="1"/>
    <col min="11" max="11" style="37" width="12.005" customWidth="1" bestFit="1"/>
    <col min="12" max="12" style="37" width="10.147857142857141" customWidth="1" bestFit="1"/>
    <col min="13" max="13" style="36" width="9.719285714285713" customWidth="1" bestFit="1"/>
    <col min="14" max="14" style="36" width="20.290714285714284" customWidth="1" bestFit="1"/>
    <col min="15" max="15" style="37" width="4.433571428571429" customWidth="1" bestFit="1"/>
    <col min="16" max="16" style="37" width="11.43357142857143" customWidth="1" bestFit="1"/>
    <col min="17" max="17" style="37" width="11.43357142857143" customWidth="1" bestFit="1"/>
    <col min="18" max="18" style="36" width="11.43357142857143" customWidth="1" bestFit="1"/>
    <col min="19" max="19" style="37" width="11.43357142857143" customWidth="1" bestFit="1"/>
    <col min="20" max="20" style="67" width="11.43357142857143" customWidth="1" bestFit="1"/>
    <col min="21" max="21" style="21" width="11.43357142857143" customWidth="1" bestFit="1"/>
    <col min="22" max="22" style="36" width="11.43357142857143" customWidth="1" bestFit="1"/>
    <col min="23" max="23" style="36" width="13.147857142857141" customWidth="1" bestFit="1"/>
    <col min="24" max="24" style="36" width="11.43357142857143" customWidth="1" bestFit="1"/>
    <col min="25" max="25" style="37" width="11.43357142857143" customWidth="1" bestFit="1"/>
    <col min="26" max="26" style="36" width="11.43357142857143" customWidth="1" bestFit="1"/>
    <col min="27" max="27" style="36" width="11.43357142857143" customWidth="1" bestFit="1"/>
    <col min="28" max="28" style="37" width="11.43357142857143" customWidth="1" bestFit="1"/>
    <col min="29" max="29" style="36" width="11.43357142857143" customWidth="1" bestFit="1"/>
    <col min="30" max="30" style="37" width="11.43357142857143" customWidth="1" bestFit="1"/>
    <col min="31" max="31" style="36" width="11.43357142857143" customWidth="1" bestFit="1"/>
    <col min="32" max="32" style="36" width="11.43357142857143" customWidth="1" bestFit="1"/>
  </cols>
  <sheetData>
    <row x14ac:dyDescent="0.25" r="1" customHeight="1" ht="19.5">
      <c r="A1" s="152" t="s">
        <v>1</v>
      </c>
      <c r="B1" s="26" t="s">
        <v>3</v>
      </c>
      <c r="C1" s="26" t="s">
        <v>4</v>
      </c>
      <c r="D1" s="26" t="s">
        <v>1200</v>
      </c>
      <c r="E1" s="26" t="s">
        <v>5</v>
      </c>
      <c r="F1" s="26" t="s">
        <v>6</v>
      </c>
      <c r="G1" s="26" t="s">
        <v>7</v>
      </c>
      <c r="H1" s="26" t="s">
        <v>8</v>
      </c>
      <c r="I1" s="27" t="s">
        <v>9</v>
      </c>
      <c r="J1" s="27" t="s">
        <v>10</v>
      </c>
      <c r="K1" s="27" t="s">
        <v>11</v>
      </c>
      <c r="L1" s="27" t="s">
        <v>12</v>
      </c>
      <c r="M1" s="26" t="s">
        <v>13</v>
      </c>
      <c r="N1" s="26" t="s">
        <v>14</v>
      </c>
      <c r="O1" s="27" t="s">
        <v>15</v>
      </c>
      <c r="P1" s="27" t="s">
        <v>1205</v>
      </c>
      <c r="Q1" s="27" t="s">
        <v>1206</v>
      </c>
      <c r="R1" s="26" t="s">
        <v>1661</v>
      </c>
      <c r="S1" s="27" t="s">
        <v>1662</v>
      </c>
      <c r="T1" s="26" t="s">
        <v>1663</v>
      </c>
      <c r="U1" s="152" t="s">
        <v>4939</v>
      </c>
      <c r="V1" s="26" t="s">
        <v>1665</v>
      </c>
      <c r="W1" s="26" t="s">
        <v>20</v>
      </c>
      <c r="X1" s="3" t="s">
        <v>4940</v>
      </c>
      <c r="Y1" s="107" t="s">
        <v>50</v>
      </c>
      <c r="Z1" s="3" t="s">
        <v>4941</v>
      </c>
      <c r="AA1" s="3" t="s">
        <v>4942</v>
      </c>
      <c r="AB1" s="107" t="s">
        <v>4943</v>
      </c>
      <c r="AC1" s="3" t="s">
        <v>154</v>
      </c>
      <c r="AD1" s="29"/>
      <c r="AE1" s="34"/>
      <c r="AF1" s="34"/>
    </row>
    <row x14ac:dyDescent="0.25" r="2" customHeight="1" ht="18.75">
      <c r="A2" s="478">
        <v>45717</v>
      </c>
      <c r="B2" s="14" t="s">
        <v>72</v>
      </c>
      <c r="C2" s="14" t="s">
        <v>4822</v>
      </c>
      <c r="D2" s="14" t="s">
        <v>4944</v>
      </c>
      <c r="E2" s="14" t="s">
        <v>4945</v>
      </c>
      <c r="F2" s="14" t="s">
        <v>4946</v>
      </c>
      <c r="G2" s="14" t="s">
        <v>4947</v>
      </c>
      <c r="H2" s="14" t="s">
        <v>76</v>
      </c>
      <c r="I2" s="17"/>
      <c r="J2" s="17">
        <v>147400</v>
      </c>
      <c r="K2" s="17">
        <v>137500</v>
      </c>
      <c r="L2" s="17">
        <f>J2-K2</f>
      </c>
      <c r="M2" s="14" t="s">
        <v>50</v>
      </c>
      <c r="N2" s="14" t="s">
        <v>4948</v>
      </c>
      <c r="O2" s="65" t="s">
        <v>251</v>
      </c>
      <c r="P2" s="65"/>
      <c r="Q2" s="65"/>
      <c r="R2" s="14"/>
      <c r="S2" s="17">
        <v>147400</v>
      </c>
      <c r="T2" s="17">
        <f>J2-P2-S2</f>
      </c>
      <c r="U2" s="293">
        <v>45719</v>
      </c>
      <c r="V2" s="14" t="s">
        <v>1718</v>
      </c>
      <c r="W2" s="14" t="s">
        <v>1663</v>
      </c>
      <c r="X2" s="3"/>
      <c r="Y2" s="107"/>
      <c r="Z2" s="3"/>
      <c r="AA2" s="3"/>
      <c r="AB2" s="107"/>
      <c r="AC2" s="3"/>
      <c r="AD2" s="29">
        <v>0</v>
      </c>
      <c r="AE2" s="3"/>
      <c r="AF2" s="14"/>
    </row>
    <row x14ac:dyDescent="0.25" r="3" customHeight="1" ht="18.75">
      <c r="A3" s="478">
        <v>45717</v>
      </c>
      <c r="B3" s="14" t="s">
        <v>111</v>
      </c>
      <c r="C3" s="14" t="s">
        <v>4949</v>
      </c>
      <c r="D3" s="14" t="s">
        <v>4950</v>
      </c>
      <c r="E3" s="14" t="s">
        <v>4951</v>
      </c>
      <c r="F3" s="14" t="s">
        <v>24</v>
      </c>
      <c r="G3" s="14" t="s">
        <v>4952</v>
      </c>
      <c r="H3" s="14" t="s">
        <v>26</v>
      </c>
      <c r="I3" s="17">
        <v>894300</v>
      </c>
      <c r="J3" s="17">
        <v>1249950</v>
      </c>
      <c r="K3" s="17">
        <v>1141805</v>
      </c>
      <c r="L3" s="17">
        <f>J3-K3</f>
      </c>
      <c r="M3" s="14" t="s">
        <v>50</v>
      </c>
      <c r="N3" s="14" t="s">
        <v>4953</v>
      </c>
      <c r="O3" s="17">
        <v>2</v>
      </c>
      <c r="P3" s="65"/>
      <c r="Q3" s="65"/>
      <c r="R3" s="14"/>
      <c r="S3" s="17">
        <v>1249950</v>
      </c>
      <c r="T3" s="17">
        <f>J3-P3-S3</f>
      </c>
      <c r="U3" s="293">
        <v>45762</v>
      </c>
      <c r="V3" s="14" t="s">
        <v>2216</v>
      </c>
      <c r="W3" s="14" t="s">
        <v>4954</v>
      </c>
      <c r="X3" s="3"/>
      <c r="Y3" s="107"/>
      <c r="Z3" s="3"/>
      <c r="AA3" s="3"/>
      <c r="AB3" s="107"/>
      <c r="AC3" s="3"/>
      <c r="AD3" s="107"/>
      <c r="AE3" s="3"/>
      <c r="AF3" s="14"/>
    </row>
    <row x14ac:dyDescent="0.25" r="4" customHeight="1" ht="19.5">
      <c r="A4" s="478">
        <v>45717</v>
      </c>
      <c r="B4" s="14" t="s">
        <v>111</v>
      </c>
      <c r="C4" s="14" t="s">
        <v>4955</v>
      </c>
      <c r="D4" s="14" t="s">
        <v>4956</v>
      </c>
      <c r="E4" s="14" t="s">
        <v>4957</v>
      </c>
      <c r="F4" s="14" t="s">
        <v>327</v>
      </c>
      <c r="G4" s="479" t="s">
        <v>328</v>
      </c>
      <c r="H4" s="480" t="s">
        <v>26</v>
      </c>
      <c r="I4" s="17">
        <v>584100</v>
      </c>
      <c r="J4" s="17">
        <v>695000</v>
      </c>
      <c r="K4" s="17">
        <v>685000</v>
      </c>
      <c r="L4" s="17">
        <f>J4-K4</f>
      </c>
      <c r="M4" s="14" t="s">
        <v>50</v>
      </c>
      <c r="N4" s="14" t="s">
        <v>4958</v>
      </c>
      <c r="O4" s="17">
        <v>1</v>
      </c>
      <c r="P4" s="65"/>
      <c r="Q4" s="65"/>
      <c r="R4" s="14"/>
      <c r="S4" s="17">
        <v>695000</v>
      </c>
      <c r="T4" s="17">
        <f>J4-P4-S4</f>
      </c>
      <c r="U4" s="293">
        <v>45749</v>
      </c>
      <c r="V4" s="14" t="s">
        <v>2216</v>
      </c>
      <c r="W4" s="14" t="s">
        <v>4959</v>
      </c>
      <c r="X4" s="79"/>
      <c r="Y4" s="41"/>
      <c r="Z4" s="31"/>
      <c r="AA4" s="31"/>
      <c r="AB4" s="41"/>
      <c r="AC4" s="31"/>
      <c r="AD4" s="41"/>
      <c r="AE4" s="31"/>
      <c r="AF4" s="14"/>
    </row>
    <row x14ac:dyDescent="0.25" r="5" customHeight="1" ht="19.5">
      <c r="A5" s="478">
        <v>45718</v>
      </c>
      <c r="B5" s="14" t="s">
        <v>46</v>
      </c>
      <c r="C5" s="14" t="s">
        <v>4960</v>
      </c>
      <c r="D5" s="14" t="s">
        <v>4961</v>
      </c>
      <c r="E5" s="14" t="s">
        <v>4962</v>
      </c>
      <c r="F5" s="14" t="s">
        <v>4017</v>
      </c>
      <c r="G5" s="14" t="s">
        <v>4963</v>
      </c>
      <c r="H5" s="14" t="s">
        <v>76</v>
      </c>
      <c r="I5" s="17"/>
      <c r="J5" s="17">
        <v>879746</v>
      </c>
      <c r="K5" s="17">
        <v>849746</v>
      </c>
      <c r="L5" s="17">
        <f>J5-K5</f>
      </c>
      <c r="M5" s="14" t="s">
        <v>3045</v>
      </c>
      <c r="N5" s="14" t="s">
        <v>4964</v>
      </c>
      <c r="O5" s="65"/>
      <c r="P5" s="65"/>
      <c r="Q5" s="65"/>
      <c r="R5" s="14"/>
      <c r="S5" s="17">
        <v>879800</v>
      </c>
      <c r="T5" s="17">
        <f>J5-P5-S5</f>
      </c>
      <c r="U5" s="293">
        <v>45719</v>
      </c>
      <c r="V5" s="14" t="s">
        <v>1718</v>
      </c>
      <c r="W5" s="14" t="s">
        <v>1663</v>
      </c>
      <c r="X5" s="79"/>
      <c r="Y5" s="41"/>
      <c r="Z5" s="31"/>
      <c r="AA5" s="31"/>
      <c r="AB5" s="41"/>
      <c r="AC5" s="31"/>
      <c r="AD5" s="41"/>
      <c r="AE5" s="31"/>
      <c r="AF5" s="14"/>
    </row>
    <row x14ac:dyDescent="0.25" r="6" customHeight="1" ht="19.5">
      <c r="A6" s="478">
        <v>45719</v>
      </c>
      <c r="B6" s="14" t="s">
        <v>111</v>
      </c>
      <c r="C6" s="14" t="s">
        <v>4949</v>
      </c>
      <c r="D6" s="14" t="s">
        <v>4950</v>
      </c>
      <c r="E6" s="14" t="s">
        <v>4965</v>
      </c>
      <c r="F6" s="14" t="s">
        <v>24</v>
      </c>
      <c r="G6" s="14" t="s">
        <v>4966</v>
      </c>
      <c r="H6" s="14" t="s">
        <v>26</v>
      </c>
      <c r="I6" s="17">
        <v>606000</v>
      </c>
      <c r="J6" s="17">
        <v>953505</v>
      </c>
      <c r="K6" s="17">
        <v>853505</v>
      </c>
      <c r="L6" s="17">
        <f>J6-K6</f>
      </c>
      <c r="M6" s="14" t="s">
        <v>50</v>
      </c>
      <c r="N6" s="14" t="s">
        <v>4967</v>
      </c>
      <c r="O6" s="17">
        <v>2</v>
      </c>
      <c r="P6" s="65"/>
      <c r="Q6" s="65"/>
      <c r="R6" s="14"/>
      <c r="S6" s="17">
        <v>953505</v>
      </c>
      <c r="T6" s="17">
        <f>J6-P6-S6</f>
      </c>
      <c r="U6" s="293">
        <v>45762</v>
      </c>
      <c r="V6" s="14" t="s">
        <v>2216</v>
      </c>
      <c r="W6" s="14" t="s">
        <v>4954</v>
      </c>
      <c r="X6" s="79"/>
      <c r="Y6" s="41"/>
      <c r="Z6" s="31"/>
      <c r="AA6" s="31"/>
      <c r="AB6" s="41"/>
      <c r="AC6" s="31"/>
      <c r="AD6" s="41"/>
      <c r="AE6" s="31"/>
      <c r="AF6" s="14"/>
    </row>
    <row x14ac:dyDescent="0.25" r="7" customHeight="1" ht="19.5">
      <c r="A7" s="478">
        <v>45719</v>
      </c>
      <c r="B7" s="14" t="s">
        <v>4968</v>
      </c>
      <c r="C7" s="14" t="s">
        <v>166</v>
      </c>
      <c r="D7" s="14" t="s">
        <v>4969</v>
      </c>
      <c r="E7" s="14" t="s">
        <v>4970</v>
      </c>
      <c r="F7" s="14" t="s">
        <v>327</v>
      </c>
      <c r="G7" s="14" t="s">
        <v>328</v>
      </c>
      <c r="H7" s="14" t="s">
        <v>26</v>
      </c>
      <c r="I7" s="17">
        <v>155300</v>
      </c>
      <c r="J7" s="17">
        <v>584820</v>
      </c>
      <c r="K7" s="17">
        <v>504820</v>
      </c>
      <c r="L7" s="17">
        <f>J7-K7</f>
      </c>
      <c r="M7" s="14" t="s">
        <v>50</v>
      </c>
      <c r="N7" s="14" t="s">
        <v>4971</v>
      </c>
      <c r="O7" s="17">
        <v>2</v>
      </c>
      <c r="P7" s="65"/>
      <c r="Q7" s="65"/>
      <c r="R7" s="14"/>
      <c r="S7" s="17">
        <v>584820</v>
      </c>
      <c r="T7" s="17">
        <f>J7-P7-S7</f>
      </c>
      <c r="U7" s="293">
        <v>45384</v>
      </c>
      <c r="V7" s="14" t="s">
        <v>2216</v>
      </c>
      <c r="W7" s="14" t="s">
        <v>4972</v>
      </c>
      <c r="X7" s="79"/>
      <c r="Y7" s="41"/>
      <c r="Z7" s="31"/>
      <c r="AA7" s="31"/>
      <c r="AB7" s="41"/>
      <c r="AC7" s="31"/>
      <c r="AD7" s="41"/>
      <c r="AE7" s="31"/>
      <c r="AF7" s="14"/>
    </row>
    <row x14ac:dyDescent="0.25" r="8" customHeight="1" ht="19.5">
      <c r="A8" s="478">
        <v>45719</v>
      </c>
      <c r="B8" s="14" t="s">
        <v>82</v>
      </c>
      <c r="C8" s="14" t="s">
        <v>472</v>
      </c>
      <c r="D8" s="14" t="s">
        <v>678</v>
      </c>
      <c r="E8" s="14" t="s">
        <v>4973</v>
      </c>
      <c r="F8" s="14" t="s">
        <v>141</v>
      </c>
      <c r="G8" s="14" t="s">
        <v>679</v>
      </c>
      <c r="H8" s="14" t="s">
        <v>26</v>
      </c>
      <c r="I8" s="65"/>
      <c r="J8" s="17">
        <v>89970</v>
      </c>
      <c r="K8" s="17">
        <v>55170</v>
      </c>
      <c r="L8" s="17">
        <f>J8-K8</f>
      </c>
      <c r="M8" s="14" t="s">
        <v>86</v>
      </c>
      <c r="N8" s="14" t="s">
        <v>4974</v>
      </c>
      <c r="O8" s="65"/>
      <c r="P8" s="65"/>
      <c r="Q8" s="65"/>
      <c r="R8" s="14"/>
      <c r="S8" s="65"/>
      <c r="T8" s="17">
        <f>J8-P8-S8</f>
      </c>
      <c r="U8" s="293"/>
      <c r="V8" s="17"/>
      <c r="W8" s="14"/>
      <c r="X8" s="79"/>
      <c r="Y8" s="41"/>
      <c r="Z8" s="31"/>
      <c r="AA8" s="31"/>
      <c r="AB8" s="41"/>
      <c r="AC8" s="31"/>
      <c r="AD8" s="41"/>
      <c r="AE8" s="31"/>
      <c r="AF8" s="14"/>
    </row>
    <row x14ac:dyDescent="0.25" r="9" customHeight="1" ht="19.5">
      <c r="A9" s="478">
        <v>45719</v>
      </c>
      <c r="B9" s="14" t="s">
        <v>82</v>
      </c>
      <c r="C9" s="14" t="s">
        <v>472</v>
      </c>
      <c r="D9" s="14" t="s">
        <v>678</v>
      </c>
      <c r="E9" s="14" t="s">
        <v>4973</v>
      </c>
      <c r="F9" s="14" t="s">
        <v>141</v>
      </c>
      <c r="G9" s="14" t="s">
        <v>4975</v>
      </c>
      <c r="H9" s="14" t="s">
        <v>26</v>
      </c>
      <c r="I9" s="65"/>
      <c r="J9" s="17">
        <v>89970</v>
      </c>
      <c r="K9" s="17">
        <v>55170</v>
      </c>
      <c r="L9" s="17">
        <f>J9-K9</f>
      </c>
      <c r="M9" s="14" t="s">
        <v>86</v>
      </c>
      <c r="N9" s="14" t="s">
        <v>4976</v>
      </c>
      <c r="O9" s="65"/>
      <c r="P9" s="65"/>
      <c r="Q9" s="65"/>
      <c r="R9" s="14"/>
      <c r="S9" s="65"/>
      <c r="T9" s="17">
        <f>J9-P9-S9</f>
      </c>
      <c r="U9" s="293"/>
      <c r="V9" s="17"/>
      <c r="W9" s="14"/>
      <c r="X9" s="79"/>
      <c r="Y9" s="41"/>
      <c r="Z9" s="31"/>
      <c r="AA9" s="31"/>
      <c r="AB9" s="41"/>
      <c r="AC9" s="31"/>
      <c r="AD9" s="41"/>
      <c r="AE9" s="31"/>
      <c r="AF9" s="14"/>
    </row>
    <row x14ac:dyDescent="0.25" r="10" customHeight="1" ht="19.5">
      <c r="A10" s="478">
        <v>45720</v>
      </c>
      <c r="B10" s="14" t="s">
        <v>683</v>
      </c>
      <c r="C10" s="14" t="s">
        <v>684</v>
      </c>
      <c r="D10" s="14" t="s">
        <v>685</v>
      </c>
      <c r="E10" s="14" t="s">
        <v>4977</v>
      </c>
      <c r="F10" s="14" t="s">
        <v>686</v>
      </c>
      <c r="G10" s="14" t="s">
        <v>687</v>
      </c>
      <c r="H10" s="14" t="s">
        <v>688</v>
      </c>
      <c r="I10" s="17">
        <v>93400</v>
      </c>
      <c r="J10" s="17">
        <v>250000</v>
      </c>
      <c r="K10" s="17">
        <v>234620</v>
      </c>
      <c r="L10" s="17">
        <f>J10-K10</f>
      </c>
      <c r="M10" s="14" t="s">
        <v>50</v>
      </c>
      <c r="N10" s="14" t="s">
        <v>690</v>
      </c>
      <c r="O10" s="17">
        <v>2</v>
      </c>
      <c r="P10" s="65"/>
      <c r="Q10" s="65"/>
      <c r="R10" s="14"/>
      <c r="S10" s="17">
        <v>250000</v>
      </c>
      <c r="T10" s="17">
        <f>J10-P10-S10</f>
      </c>
      <c r="U10" s="293">
        <v>45720</v>
      </c>
      <c r="V10" s="14" t="s">
        <v>1718</v>
      </c>
      <c r="W10" s="14"/>
      <c r="X10" s="79"/>
      <c r="Y10" s="41"/>
      <c r="Z10" s="31"/>
      <c r="AA10" s="31"/>
      <c r="AB10" s="41"/>
      <c r="AC10" s="31"/>
      <c r="AD10" s="41"/>
      <c r="AE10" s="31"/>
      <c r="AF10" s="14"/>
    </row>
    <row x14ac:dyDescent="0.25" r="11" customHeight="1" ht="19.5">
      <c r="A11" s="478">
        <v>45720</v>
      </c>
      <c r="B11" s="14" t="s">
        <v>82</v>
      </c>
      <c r="C11" s="14" t="s">
        <v>546</v>
      </c>
      <c r="D11" s="14" t="s">
        <v>4978</v>
      </c>
      <c r="E11" s="14" t="s">
        <v>4979</v>
      </c>
      <c r="F11" s="14" t="s">
        <v>4980</v>
      </c>
      <c r="G11" s="14" t="s">
        <v>4981</v>
      </c>
      <c r="H11" s="14" t="s">
        <v>26</v>
      </c>
      <c r="I11" s="65"/>
      <c r="J11" s="17">
        <v>35000</v>
      </c>
      <c r="K11" s="17">
        <v>24800</v>
      </c>
      <c r="L11" s="17">
        <f>J11-K11</f>
      </c>
      <c r="M11" s="14" t="s">
        <v>82</v>
      </c>
      <c r="N11" s="14" t="s">
        <v>4982</v>
      </c>
      <c r="O11" s="65" t="s">
        <v>251</v>
      </c>
      <c r="P11" s="65"/>
      <c r="Q11" s="65"/>
      <c r="R11" s="14"/>
      <c r="S11" s="17">
        <v>35000</v>
      </c>
      <c r="T11" s="17">
        <f>J11-P11-S11</f>
      </c>
      <c r="U11" s="293">
        <v>45779</v>
      </c>
      <c r="V11" s="14" t="s">
        <v>2122</v>
      </c>
      <c r="W11" s="14"/>
      <c r="X11" s="79"/>
      <c r="Y11" s="41"/>
      <c r="Z11" s="31"/>
      <c r="AA11" s="31"/>
      <c r="AB11" s="41"/>
      <c r="AC11" s="31"/>
      <c r="AD11" s="41"/>
      <c r="AE11" s="31"/>
      <c r="AF11" s="14"/>
    </row>
    <row x14ac:dyDescent="0.25" r="12" customHeight="1" ht="19.5">
      <c r="A12" s="478">
        <v>45721</v>
      </c>
      <c r="B12" s="14" t="s">
        <v>82</v>
      </c>
      <c r="C12" s="14" t="s">
        <v>691</v>
      </c>
      <c r="D12" s="14" t="s">
        <v>692</v>
      </c>
      <c r="E12" s="14" t="s">
        <v>4983</v>
      </c>
      <c r="F12" s="14" t="s">
        <v>693</v>
      </c>
      <c r="G12" s="14" t="s">
        <v>4984</v>
      </c>
      <c r="H12" s="14" t="s">
        <v>26</v>
      </c>
      <c r="I12" s="17">
        <v>21700</v>
      </c>
      <c r="J12" s="17">
        <v>70950</v>
      </c>
      <c r="K12" s="69">
        <v>50240</v>
      </c>
      <c r="L12" s="17">
        <f>J12-K12</f>
      </c>
      <c r="M12" s="14" t="s">
        <v>86</v>
      </c>
      <c r="N12" s="14" t="s">
        <v>696</v>
      </c>
      <c r="O12" s="65"/>
      <c r="P12" s="65"/>
      <c r="Q12" s="65"/>
      <c r="R12" s="14"/>
      <c r="S12" s="17">
        <v>70950</v>
      </c>
      <c r="T12" s="17">
        <f>J12-P12-S12</f>
      </c>
      <c r="U12" s="293">
        <v>45741</v>
      </c>
      <c r="V12" s="14" t="s">
        <v>1718</v>
      </c>
      <c r="W12" s="14" t="s">
        <v>1663</v>
      </c>
      <c r="X12" s="79"/>
      <c r="Y12" s="41"/>
      <c r="Z12" s="31"/>
      <c r="AA12" s="31"/>
      <c r="AB12" s="41"/>
      <c r="AC12" s="31"/>
      <c r="AD12" s="41"/>
      <c r="AE12" s="31"/>
      <c r="AF12" s="14"/>
    </row>
    <row x14ac:dyDescent="0.25" r="13" customHeight="1" ht="19.5">
      <c r="A13" s="478">
        <v>45722</v>
      </c>
      <c r="B13" s="14" t="s">
        <v>72</v>
      </c>
      <c r="C13" s="14" t="s">
        <v>4985</v>
      </c>
      <c r="D13" s="14" t="s">
        <v>4986</v>
      </c>
      <c r="E13" s="14" t="s">
        <v>4987</v>
      </c>
      <c r="F13" s="14" t="s">
        <v>4988</v>
      </c>
      <c r="G13" s="14" t="s">
        <v>4989</v>
      </c>
      <c r="H13" s="14" t="s">
        <v>4127</v>
      </c>
      <c r="I13" s="17">
        <v>745300</v>
      </c>
      <c r="J13" s="17">
        <v>1047120</v>
      </c>
      <c r="K13" s="69">
        <v>982914</v>
      </c>
      <c r="L13" s="17">
        <f>J13-K13</f>
      </c>
      <c r="M13" s="14" t="s">
        <v>50</v>
      </c>
      <c r="N13" s="14" t="s">
        <v>4990</v>
      </c>
      <c r="O13" s="17">
        <v>2</v>
      </c>
      <c r="P13" s="17">
        <v>800000</v>
      </c>
      <c r="Q13" s="65"/>
      <c r="R13" s="14"/>
      <c r="S13" s="17">
        <v>247000</v>
      </c>
      <c r="T13" s="17">
        <f>J13-P13-S13</f>
      </c>
      <c r="U13" s="293">
        <v>45726</v>
      </c>
      <c r="V13" s="14" t="s">
        <v>1718</v>
      </c>
      <c r="W13" s="14"/>
      <c r="X13" s="79"/>
      <c r="Y13" s="41"/>
      <c r="Z13" s="31"/>
      <c r="AA13" s="31"/>
      <c r="AB13" s="41"/>
      <c r="AC13" s="31"/>
      <c r="AD13" s="41"/>
      <c r="AE13" s="31"/>
      <c r="AF13" s="14"/>
    </row>
    <row x14ac:dyDescent="0.25" r="14" customHeight="1" ht="19.5">
      <c r="A14" s="478">
        <v>45722</v>
      </c>
      <c r="B14" s="14" t="s">
        <v>82</v>
      </c>
      <c r="C14" s="14" t="s">
        <v>472</v>
      </c>
      <c r="D14" s="14" t="s">
        <v>4986</v>
      </c>
      <c r="E14" s="14"/>
      <c r="F14" s="14" t="s">
        <v>4991</v>
      </c>
      <c r="G14" s="481" t="s">
        <v>4992</v>
      </c>
      <c r="H14" s="14" t="s">
        <v>76</v>
      </c>
      <c r="I14" s="65"/>
      <c r="J14" s="17">
        <v>69950</v>
      </c>
      <c r="K14" s="69">
        <v>41870</v>
      </c>
      <c r="L14" s="17">
        <f>J14-K14</f>
      </c>
      <c r="M14" s="14" t="s">
        <v>86</v>
      </c>
      <c r="N14" s="14" t="s">
        <v>4993</v>
      </c>
      <c r="O14" s="65"/>
      <c r="P14" s="65"/>
      <c r="Q14" s="65"/>
      <c r="R14" s="14"/>
      <c r="S14" s="17">
        <v>65950</v>
      </c>
      <c r="T14" s="17">
        <f>J14-P14-S14</f>
      </c>
      <c r="U14" s="293">
        <v>45748</v>
      </c>
      <c r="V14" s="14" t="s">
        <v>1718</v>
      </c>
      <c r="W14" s="14" t="s">
        <v>1663</v>
      </c>
      <c r="X14" s="79"/>
      <c r="Y14" s="41"/>
      <c r="Z14" s="31"/>
      <c r="AA14" s="31"/>
      <c r="AB14" s="41"/>
      <c r="AC14" s="31"/>
      <c r="AD14" s="41"/>
      <c r="AE14" s="31"/>
      <c r="AF14" s="14"/>
    </row>
    <row x14ac:dyDescent="0.25" r="15" customHeight="1" ht="19.5">
      <c r="A15" s="478">
        <v>45723</v>
      </c>
      <c r="B15" s="14" t="s">
        <v>475</v>
      </c>
      <c r="C15" s="14" t="s">
        <v>477</v>
      </c>
      <c r="D15" s="14" t="s">
        <v>4994</v>
      </c>
      <c r="E15" s="14" t="s">
        <v>4995</v>
      </c>
      <c r="F15" s="14" t="s">
        <v>4980</v>
      </c>
      <c r="G15" s="14" t="s">
        <v>4996</v>
      </c>
      <c r="H15" s="14" t="s">
        <v>26</v>
      </c>
      <c r="I15" s="65"/>
      <c r="J15" s="17">
        <v>352950</v>
      </c>
      <c r="K15" s="69">
        <v>288000</v>
      </c>
      <c r="L15" s="17">
        <f>J15-K15</f>
      </c>
      <c r="M15" s="14" t="s">
        <v>475</v>
      </c>
      <c r="N15" s="14" t="s">
        <v>4997</v>
      </c>
      <c r="O15" s="65"/>
      <c r="P15" s="65"/>
      <c r="Q15" s="65"/>
      <c r="R15" s="14"/>
      <c r="S15" s="17">
        <v>348822</v>
      </c>
      <c r="T15" s="17">
        <f>J15-P15-S15</f>
      </c>
      <c r="U15" s="293">
        <v>45779</v>
      </c>
      <c r="V15" s="14" t="s">
        <v>2122</v>
      </c>
      <c r="W15" s="14"/>
      <c r="X15" s="79"/>
      <c r="Y15" s="41"/>
      <c r="Z15" s="31"/>
      <c r="AA15" s="31"/>
      <c r="AB15" s="41"/>
      <c r="AC15" s="31"/>
      <c r="AD15" s="41"/>
      <c r="AE15" s="31"/>
      <c r="AF15" s="14"/>
    </row>
    <row x14ac:dyDescent="0.25" r="16" customHeight="1" ht="19.5">
      <c r="A16" s="482">
        <v>45724</v>
      </c>
      <c r="B16" s="56" t="s">
        <v>72</v>
      </c>
      <c r="C16" s="56" t="s">
        <v>189</v>
      </c>
      <c r="D16" s="56" t="s">
        <v>4998</v>
      </c>
      <c r="E16" s="56"/>
      <c r="F16" s="56" t="s">
        <v>4999</v>
      </c>
      <c r="G16" s="56" t="s">
        <v>5000</v>
      </c>
      <c r="H16" s="56" t="s">
        <v>26</v>
      </c>
      <c r="I16" s="57">
        <v>342800</v>
      </c>
      <c r="J16" s="57">
        <v>0</v>
      </c>
      <c r="K16" s="57">
        <v>0</v>
      </c>
      <c r="L16" s="57">
        <f>J16-K16</f>
      </c>
      <c r="M16" s="56" t="s">
        <v>50</v>
      </c>
      <c r="N16" s="56" t="s">
        <v>5001</v>
      </c>
      <c r="O16" s="180" t="s">
        <v>343</v>
      </c>
      <c r="P16" s="180"/>
      <c r="Q16" s="180"/>
      <c r="R16" s="56"/>
      <c r="S16" s="180"/>
      <c r="T16" s="57">
        <f>J16-P16-S16</f>
      </c>
      <c r="U16" s="483"/>
      <c r="V16" s="57"/>
      <c r="W16" s="56"/>
      <c r="X16" s="79"/>
      <c r="Y16" s="41"/>
      <c r="Z16" s="31"/>
      <c r="AA16" s="31"/>
      <c r="AB16" s="41"/>
      <c r="AC16" s="31"/>
      <c r="AD16" s="41"/>
      <c r="AE16" s="31"/>
      <c r="AF16" s="14"/>
    </row>
    <row x14ac:dyDescent="0.25" r="17" customHeight="1" ht="19.5">
      <c r="A17" s="478">
        <v>45725</v>
      </c>
      <c r="B17" s="14" t="s">
        <v>111</v>
      </c>
      <c r="C17" s="14" t="s">
        <v>189</v>
      </c>
      <c r="D17" s="14" t="s">
        <v>4998</v>
      </c>
      <c r="E17" s="14" t="s">
        <v>5002</v>
      </c>
      <c r="F17" s="14" t="s">
        <v>4999</v>
      </c>
      <c r="G17" s="14" t="s">
        <v>5000</v>
      </c>
      <c r="H17" s="14" t="s">
        <v>26</v>
      </c>
      <c r="I17" s="17">
        <v>342800</v>
      </c>
      <c r="J17" s="17">
        <v>1075900</v>
      </c>
      <c r="K17" s="69">
        <v>721555</v>
      </c>
      <c r="L17" s="17">
        <f>J17-K17</f>
      </c>
      <c r="M17" s="14" t="s">
        <v>50</v>
      </c>
      <c r="N17" s="14" t="s">
        <v>5003</v>
      </c>
      <c r="O17" s="17">
        <v>2</v>
      </c>
      <c r="P17" s="65"/>
      <c r="Q17" s="65"/>
      <c r="R17" s="14"/>
      <c r="S17" s="17">
        <v>1075900</v>
      </c>
      <c r="T17" s="17">
        <f>J17-P17-S17</f>
      </c>
      <c r="U17" s="293">
        <v>45789</v>
      </c>
      <c r="V17" s="14" t="s">
        <v>2216</v>
      </c>
      <c r="W17" s="14" t="s">
        <v>5004</v>
      </c>
      <c r="X17" s="79"/>
      <c r="Y17" s="41"/>
      <c r="Z17" s="31"/>
      <c r="AA17" s="31"/>
      <c r="AB17" s="41"/>
      <c r="AC17" s="31"/>
      <c r="AD17" s="41"/>
      <c r="AE17" s="31"/>
      <c r="AF17" s="14"/>
    </row>
    <row x14ac:dyDescent="0.25" r="18" customHeight="1" ht="19.5">
      <c r="A18" s="478">
        <v>45726</v>
      </c>
      <c r="B18" s="14" t="s">
        <v>82</v>
      </c>
      <c r="C18" s="14" t="s">
        <v>472</v>
      </c>
      <c r="D18" s="14" t="s">
        <v>5005</v>
      </c>
      <c r="E18" s="14" t="s">
        <v>5006</v>
      </c>
      <c r="F18" s="14" t="s">
        <v>5007</v>
      </c>
      <c r="G18" s="14" t="s">
        <v>5008</v>
      </c>
      <c r="H18" s="14" t="s">
        <v>26</v>
      </c>
      <c r="I18" s="65"/>
      <c r="J18" s="17">
        <v>71870</v>
      </c>
      <c r="K18" s="69">
        <v>66870</v>
      </c>
      <c r="L18" s="17">
        <f>J18-K18</f>
      </c>
      <c r="M18" s="14" t="s">
        <v>82</v>
      </c>
      <c r="N18" s="14" t="s">
        <v>5009</v>
      </c>
      <c r="O18" s="65"/>
      <c r="P18" s="65"/>
      <c r="Q18" s="65"/>
      <c r="R18" s="14"/>
      <c r="S18" s="65"/>
      <c r="T18" s="17">
        <f>J18-P18-S18</f>
      </c>
      <c r="U18" s="293"/>
      <c r="V18" s="17"/>
      <c r="W18" s="14" t="s">
        <v>5010</v>
      </c>
      <c r="X18" s="79"/>
      <c r="Y18" s="41"/>
      <c r="Z18" s="31"/>
      <c r="AA18" s="31"/>
      <c r="AB18" s="41"/>
      <c r="AC18" s="31"/>
      <c r="AD18" s="41"/>
      <c r="AE18" s="31"/>
      <c r="AF18" s="14"/>
    </row>
    <row x14ac:dyDescent="0.25" r="19" customHeight="1" ht="30">
      <c r="A19" s="478">
        <v>45727</v>
      </c>
      <c r="B19" s="14" t="s">
        <v>46</v>
      </c>
      <c r="C19" s="14" t="s">
        <v>226</v>
      </c>
      <c r="D19" s="14" t="s">
        <v>5011</v>
      </c>
      <c r="E19" s="14" t="s">
        <v>5012</v>
      </c>
      <c r="F19" s="14" t="s">
        <v>174</v>
      </c>
      <c r="G19" s="14" t="s">
        <v>5013</v>
      </c>
      <c r="H19" s="14" t="s">
        <v>26</v>
      </c>
      <c r="I19" s="17"/>
      <c r="J19" s="17">
        <v>7981800</v>
      </c>
      <c r="K19" s="69">
        <v>6861700</v>
      </c>
      <c r="L19" s="17">
        <f>J19-K19</f>
      </c>
      <c r="M19" s="14" t="s">
        <v>187</v>
      </c>
      <c r="N19" s="14" t="s">
        <v>5014</v>
      </c>
      <c r="O19" s="65"/>
      <c r="P19" s="17">
        <v>3561945</v>
      </c>
      <c r="Q19" s="65"/>
      <c r="R19" s="14"/>
      <c r="S19" s="17">
        <v>4419855</v>
      </c>
      <c r="T19" s="17">
        <f>J19-P19-S19</f>
      </c>
      <c r="U19" s="294" t="s">
        <v>5015</v>
      </c>
      <c r="V19" s="14" t="s">
        <v>1718</v>
      </c>
      <c r="W19" s="14"/>
      <c r="X19" s="79"/>
      <c r="Y19" s="41"/>
      <c r="Z19" s="31"/>
      <c r="AA19" s="31"/>
      <c r="AB19" s="41"/>
      <c r="AC19" s="31"/>
      <c r="AD19" s="41"/>
      <c r="AE19" s="31"/>
      <c r="AF19" s="14"/>
    </row>
    <row x14ac:dyDescent="0.25" r="20" customHeight="1" ht="30">
      <c r="A20" s="478">
        <v>45727</v>
      </c>
      <c r="B20" s="14" t="s">
        <v>46</v>
      </c>
      <c r="C20" s="14" t="s">
        <v>5016</v>
      </c>
      <c r="D20" s="14" t="s">
        <v>5017</v>
      </c>
      <c r="E20" s="14" t="s">
        <v>5018</v>
      </c>
      <c r="F20" s="14" t="s">
        <v>174</v>
      </c>
      <c r="G20" s="14" t="s">
        <v>5013</v>
      </c>
      <c r="H20" s="14" t="s">
        <v>26</v>
      </c>
      <c r="I20" s="17"/>
      <c r="J20" s="17">
        <v>5955900</v>
      </c>
      <c r="K20" s="69">
        <v>5655300</v>
      </c>
      <c r="L20" s="17">
        <f>J20-K20</f>
      </c>
      <c r="M20" s="14" t="s">
        <v>187</v>
      </c>
      <c r="N20" s="14" t="s">
        <v>5019</v>
      </c>
      <c r="O20" s="65"/>
      <c r="P20" s="17">
        <v>580145</v>
      </c>
      <c r="Q20" s="65"/>
      <c r="R20" s="14"/>
      <c r="S20" s="17">
        <v>5375755</v>
      </c>
      <c r="T20" s="17">
        <f>J20-P20-S20</f>
      </c>
      <c r="U20" s="294" t="s">
        <v>5020</v>
      </c>
      <c r="V20" s="14" t="s">
        <v>1718</v>
      </c>
      <c r="W20" s="14"/>
      <c r="X20" s="79"/>
      <c r="Y20" s="41"/>
      <c r="Z20" s="31"/>
      <c r="AA20" s="31"/>
      <c r="AB20" s="41"/>
      <c r="AC20" s="31"/>
      <c r="AD20" s="41"/>
      <c r="AE20" s="31"/>
      <c r="AF20" s="14"/>
    </row>
    <row x14ac:dyDescent="0.25" r="21" customHeight="1" ht="19.5">
      <c r="A21" s="478">
        <v>45727</v>
      </c>
      <c r="B21" s="14" t="s">
        <v>475</v>
      </c>
      <c r="C21" s="14" t="s">
        <v>5021</v>
      </c>
      <c r="D21" s="14" t="s">
        <v>5022</v>
      </c>
      <c r="E21" s="14" t="s">
        <v>5023</v>
      </c>
      <c r="F21" s="14" t="s">
        <v>4980</v>
      </c>
      <c r="G21" s="14" t="s">
        <v>5024</v>
      </c>
      <c r="H21" s="14" t="s">
        <v>26</v>
      </c>
      <c r="I21" s="65"/>
      <c r="J21" s="17">
        <v>252950</v>
      </c>
      <c r="K21" s="69">
        <v>196000</v>
      </c>
      <c r="L21" s="17">
        <f>J21-K21</f>
      </c>
      <c r="M21" s="14" t="s">
        <v>475</v>
      </c>
      <c r="N21" s="14" t="s">
        <v>5025</v>
      </c>
      <c r="O21" s="65"/>
      <c r="P21" s="65"/>
      <c r="Q21" s="65"/>
      <c r="R21" s="14"/>
      <c r="S21" s="17">
        <v>250253</v>
      </c>
      <c r="T21" s="17">
        <f>J21-P21-S21</f>
      </c>
      <c r="U21" s="293">
        <v>45779</v>
      </c>
      <c r="V21" s="14" t="s">
        <v>2122</v>
      </c>
      <c r="W21" s="14"/>
      <c r="X21" s="79"/>
      <c r="Y21" s="41"/>
      <c r="Z21" s="31"/>
      <c r="AA21" s="31"/>
      <c r="AB21" s="41"/>
      <c r="AC21" s="31"/>
      <c r="AD21" s="41"/>
      <c r="AE21" s="31"/>
      <c r="AF21" s="14"/>
    </row>
    <row x14ac:dyDescent="0.25" r="22" customHeight="1" ht="19.5">
      <c r="A22" s="478">
        <v>45727</v>
      </c>
      <c r="B22" s="14" t="s">
        <v>475</v>
      </c>
      <c r="C22" s="14" t="s">
        <v>477</v>
      </c>
      <c r="D22" s="14" t="s">
        <v>5026</v>
      </c>
      <c r="E22" s="14" t="s">
        <v>5027</v>
      </c>
      <c r="F22" s="14" t="s">
        <v>4980</v>
      </c>
      <c r="G22" s="14" t="s">
        <v>4996</v>
      </c>
      <c r="H22" s="14" t="s">
        <v>26</v>
      </c>
      <c r="I22" s="17"/>
      <c r="J22" s="17">
        <v>60000</v>
      </c>
      <c r="K22" s="17">
        <v>35000</v>
      </c>
      <c r="L22" s="17">
        <f>J22-K22</f>
      </c>
      <c r="M22" s="14" t="s">
        <v>475</v>
      </c>
      <c r="N22" s="14" t="s">
        <v>5028</v>
      </c>
      <c r="O22" s="65" t="s">
        <v>251</v>
      </c>
      <c r="P22" s="65"/>
      <c r="Q22" s="65"/>
      <c r="R22" s="14"/>
      <c r="S22" s="17">
        <v>60000</v>
      </c>
      <c r="T22" s="17">
        <f>J22-P22-S22</f>
      </c>
      <c r="U22" s="293">
        <v>45779</v>
      </c>
      <c r="V22" s="14" t="s">
        <v>2122</v>
      </c>
      <c r="W22" s="14"/>
      <c r="X22" s="3"/>
      <c r="Y22" s="107"/>
      <c r="Z22" s="3"/>
      <c r="AA22" s="3"/>
      <c r="AB22" s="107"/>
      <c r="AC22" s="3"/>
      <c r="AD22" s="29"/>
      <c r="AE22" s="34"/>
      <c r="AF22" s="34"/>
    </row>
    <row x14ac:dyDescent="0.25" r="23" customHeight="1" ht="19.5">
      <c r="A23" s="478">
        <v>45727</v>
      </c>
      <c r="B23" s="14" t="s">
        <v>111</v>
      </c>
      <c r="C23" s="14" t="s">
        <v>805</v>
      </c>
      <c r="D23" s="14" t="s">
        <v>5029</v>
      </c>
      <c r="E23" s="14" t="s">
        <v>5030</v>
      </c>
      <c r="F23" s="14" t="s">
        <v>4980</v>
      </c>
      <c r="G23" s="14" t="s">
        <v>5031</v>
      </c>
      <c r="H23" s="14" t="s">
        <v>26</v>
      </c>
      <c r="I23" s="17">
        <v>208100</v>
      </c>
      <c r="J23" s="17">
        <v>720950</v>
      </c>
      <c r="K23" s="17">
        <v>645230</v>
      </c>
      <c r="L23" s="17">
        <f>J23-K23</f>
      </c>
      <c r="M23" s="14" t="s">
        <v>50</v>
      </c>
      <c r="N23" s="14" t="s">
        <v>5032</v>
      </c>
      <c r="O23" s="17">
        <v>4</v>
      </c>
      <c r="P23" s="65"/>
      <c r="Q23" s="65"/>
      <c r="R23" s="14"/>
      <c r="S23" s="17">
        <v>715553</v>
      </c>
      <c r="T23" s="17">
        <f>J23-P23-S23</f>
      </c>
      <c r="U23" s="293">
        <v>45779</v>
      </c>
      <c r="V23" s="14" t="s">
        <v>2122</v>
      </c>
      <c r="W23" s="14"/>
      <c r="X23" s="3"/>
      <c r="Y23" s="107"/>
      <c r="Z23" s="3"/>
      <c r="AA23" s="3"/>
      <c r="AB23" s="107"/>
      <c r="AC23" s="3"/>
      <c r="AD23" s="29"/>
      <c r="AE23" s="34"/>
      <c r="AF23" s="34"/>
    </row>
    <row x14ac:dyDescent="0.25" r="24" customHeight="1" ht="19.5">
      <c r="A24" s="478">
        <v>45727</v>
      </c>
      <c r="B24" s="14" t="s">
        <v>4968</v>
      </c>
      <c r="C24" s="14" t="s">
        <v>5033</v>
      </c>
      <c r="D24" s="14" t="s">
        <v>5034</v>
      </c>
      <c r="E24" s="14" t="s">
        <v>5035</v>
      </c>
      <c r="F24" s="14" t="s">
        <v>4414</v>
      </c>
      <c r="G24" s="14" t="s">
        <v>5036</v>
      </c>
      <c r="H24" s="14" t="s">
        <v>26</v>
      </c>
      <c r="I24" s="17">
        <v>592200</v>
      </c>
      <c r="J24" s="17">
        <v>949900</v>
      </c>
      <c r="K24" s="17">
        <v>869120</v>
      </c>
      <c r="L24" s="17">
        <f>J24-K24</f>
      </c>
      <c r="M24" s="14" t="s">
        <v>50</v>
      </c>
      <c r="N24" s="14" t="s">
        <v>5037</v>
      </c>
      <c r="O24" s="17">
        <v>1</v>
      </c>
      <c r="P24" s="65"/>
      <c r="Q24" s="65"/>
      <c r="R24" s="14"/>
      <c r="S24" s="17">
        <v>949900</v>
      </c>
      <c r="T24" s="17">
        <f>J24-P24-S24</f>
      </c>
      <c r="U24" s="293">
        <v>45728</v>
      </c>
      <c r="V24" s="14" t="s">
        <v>1718</v>
      </c>
      <c r="W24" s="14"/>
      <c r="X24" s="3"/>
      <c r="Y24" s="107"/>
      <c r="Z24" s="3"/>
      <c r="AA24" s="3"/>
      <c r="AB24" s="107"/>
      <c r="AC24" s="3"/>
      <c r="AD24" s="29"/>
      <c r="AE24" s="34"/>
      <c r="AF24" s="34"/>
    </row>
    <row x14ac:dyDescent="0.25" r="25" customHeight="1" ht="19.5">
      <c r="A25" s="478">
        <v>45727</v>
      </c>
      <c r="B25" s="14" t="s">
        <v>53</v>
      </c>
      <c r="C25" s="14" t="s">
        <v>5038</v>
      </c>
      <c r="D25" s="14" t="s">
        <v>5039</v>
      </c>
      <c r="E25" s="14" t="s">
        <v>5040</v>
      </c>
      <c r="F25" s="14" t="s">
        <v>90</v>
      </c>
      <c r="G25" s="14" t="s">
        <v>5041</v>
      </c>
      <c r="H25" s="14" t="s">
        <v>26</v>
      </c>
      <c r="I25" s="17">
        <v>992600</v>
      </c>
      <c r="J25" s="17">
        <v>1385920</v>
      </c>
      <c r="K25" s="69">
        <v>1302920</v>
      </c>
      <c r="L25" s="17">
        <f>J25-K25</f>
      </c>
      <c r="M25" s="14" t="s">
        <v>137</v>
      </c>
      <c r="N25" s="14" t="s">
        <v>5042</v>
      </c>
      <c r="O25" s="65"/>
      <c r="P25" s="65"/>
      <c r="Q25" s="65"/>
      <c r="R25" s="14"/>
      <c r="S25" s="17">
        <v>1385920</v>
      </c>
      <c r="T25" s="17">
        <f>J25-P25-S25</f>
      </c>
      <c r="U25" s="293">
        <v>45727</v>
      </c>
      <c r="V25" s="14" t="s">
        <v>2122</v>
      </c>
      <c r="W25" s="14" t="s">
        <v>5043</v>
      </c>
      <c r="X25" s="3"/>
      <c r="Y25" s="107"/>
      <c r="Z25" s="3"/>
      <c r="AA25" s="3"/>
      <c r="AB25" s="107"/>
      <c r="AC25" s="3"/>
      <c r="AD25" s="107"/>
      <c r="AE25" s="34"/>
      <c r="AF25" s="34"/>
    </row>
    <row x14ac:dyDescent="0.25" r="26" customHeight="1" ht="19.5">
      <c r="A26" s="478">
        <v>45727</v>
      </c>
      <c r="B26" s="14" t="s">
        <v>53</v>
      </c>
      <c r="C26" s="14" t="s">
        <v>5038</v>
      </c>
      <c r="D26" s="14" t="s">
        <v>5039</v>
      </c>
      <c r="E26" s="14" t="s">
        <v>5040</v>
      </c>
      <c r="F26" s="14" t="s">
        <v>90</v>
      </c>
      <c r="G26" s="14" t="s">
        <v>5044</v>
      </c>
      <c r="H26" s="14" t="s">
        <v>26</v>
      </c>
      <c r="I26" s="17">
        <v>992600</v>
      </c>
      <c r="J26" s="17">
        <v>1385920</v>
      </c>
      <c r="K26" s="69">
        <v>1302920</v>
      </c>
      <c r="L26" s="17">
        <f>J26-K26</f>
      </c>
      <c r="M26" s="14" t="s">
        <v>137</v>
      </c>
      <c r="N26" s="14" t="s">
        <v>5045</v>
      </c>
      <c r="O26" s="65"/>
      <c r="P26" s="65"/>
      <c r="Q26" s="65"/>
      <c r="R26" s="14"/>
      <c r="S26" s="17">
        <v>1385920</v>
      </c>
      <c r="T26" s="17">
        <f>J26-P26-S26</f>
      </c>
      <c r="U26" s="293">
        <v>45727</v>
      </c>
      <c r="V26" s="14" t="s">
        <v>2122</v>
      </c>
      <c r="W26" s="14" t="s">
        <v>5043</v>
      </c>
      <c r="X26" s="3"/>
      <c r="Y26" s="107"/>
      <c r="Z26" s="3"/>
      <c r="AA26" s="3"/>
      <c r="AB26" s="107"/>
      <c r="AC26" s="3"/>
      <c r="AD26" s="107"/>
      <c r="AE26" s="34"/>
      <c r="AF26" s="34"/>
    </row>
    <row x14ac:dyDescent="0.25" r="27" customHeight="1" ht="19.5">
      <c r="A27" s="478">
        <v>45728</v>
      </c>
      <c r="B27" s="14" t="s">
        <v>475</v>
      </c>
      <c r="C27" s="14" t="s">
        <v>508</v>
      </c>
      <c r="D27" s="14" t="s">
        <v>5022</v>
      </c>
      <c r="E27" s="14"/>
      <c r="F27" s="14" t="s">
        <v>4980</v>
      </c>
      <c r="G27" s="14" t="s">
        <v>5024</v>
      </c>
      <c r="H27" s="14" t="s">
        <v>26</v>
      </c>
      <c r="I27" s="17"/>
      <c r="J27" s="17">
        <v>252950</v>
      </c>
      <c r="K27" s="17">
        <v>196000</v>
      </c>
      <c r="L27" s="17">
        <f>J27-K27</f>
      </c>
      <c r="M27" s="14" t="s">
        <v>475</v>
      </c>
      <c r="N27" s="14" t="s">
        <v>5025</v>
      </c>
      <c r="O27" s="65"/>
      <c r="P27" s="65"/>
      <c r="Q27" s="65"/>
      <c r="R27" s="14"/>
      <c r="S27" s="65"/>
      <c r="T27" s="17">
        <f>J27-P27-S27</f>
      </c>
      <c r="U27" s="293"/>
      <c r="V27" s="17"/>
      <c r="W27" s="14"/>
      <c r="X27" s="3"/>
      <c r="Y27" s="107"/>
      <c r="Z27" s="3"/>
      <c r="AA27" s="3"/>
      <c r="AB27" s="107"/>
      <c r="AC27" s="3"/>
      <c r="AD27" s="29"/>
      <c r="AE27" s="34"/>
      <c r="AF27" s="34"/>
    </row>
    <row x14ac:dyDescent="0.25" r="28" customHeight="1" ht="19.5">
      <c r="A28" s="478">
        <v>45728</v>
      </c>
      <c r="B28" s="14" t="s">
        <v>111</v>
      </c>
      <c r="C28" s="14" t="s">
        <v>429</v>
      </c>
      <c r="D28" s="14" t="s">
        <v>5046</v>
      </c>
      <c r="E28" s="14" t="s">
        <v>5047</v>
      </c>
      <c r="F28" s="14" t="s">
        <v>84</v>
      </c>
      <c r="G28" s="14" t="s">
        <v>5048</v>
      </c>
      <c r="H28" s="14" t="s">
        <v>26</v>
      </c>
      <c r="I28" s="17">
        <v>167200</v>
      </c>
      <c r="J28" s="17">
        <v>678950</v>
      </c>
      <c r="K28" s="17">
        <v>618520</v>
      </c>
      <c r="L28" s="17">
        <f>J28-K28</f>
      </c>
      <c r="M28" s="14" t="s">
        <v>50</v>
      </c>
      <c r="N28" s="14" t="s">
        <v>5049</v>
      </c>
      <c r="O28" s="17">
        <v>4</v>
      </c>
      <c r="P28" s="65"/>
      <c r="Q28" s="65"/>
      <c r="R28" s="14"/>
      <c r="S28" s="17">
        <v>678950</v>
      </c>
      <c r="T28" s="17">
        <f>J28-P28-S28</f>
      </c>
      <c r="U28" s="293">
        <v>45768</v>
      </c>
      <c r="V28" s="14" t="s">
        <v>2122</v>
      </c>
      <c r="W28" s="14"/>
      <c r="X28" s="3"/>
      <c r="Y28" s="107"/>
      <c r="Z28" s="3"/>
      <c r="AA28" s="3"/>
      <c r="AB28" s="107"/>
      <c r="AC28" s="3"/>
      <c r="AD28" s="29"/>
      <c r="AE28" s="34"/>
      <c r="AF28" s="34"/>
    </row>
    <row x14ac:dyDescent="0.25" r="29" customHeight="1" ht="19.5">
      <c r="A29" s="478">
        <v>45728</v>
      </c>
      <c r="B29" s="14" t="s">
        <v>111</v>
      </c>
      <c r="C29" s="14" t="s">
        <v>429</v>
      </c>
      <c r="D29" s="14" t="s">
        <v>5050</v>
      </c>
      <c r="E29" s="14" t="s">
        <v>5051</v>
      </c>
      <c r="F29" s="14" t="s">
        <v>84</v>
      </c>
      <c r="G29" s="14" t="s">
        <v>5052</v>
      </c>
      <c r="H29" s="14" t="s">
        <v>26</v>
      </c>
      <c r="I29" s="17">
        <v>147900</v>
      </c>
      <c r="J29" s="17">
        <v>670950</v>
      </c>
      <c r="K29" s="17">
        <v>599220</v>
      </c>
      <c r="L29" s="17">
        <f>J29-K29</f>
      </c>
      <c r="M29" s="14" t="s">
        <v>50</v>
      </c>
      <c r="N29" s="14" t="s">
        <v>5053</v>
      </c>
      <c r="O29" s="17">
        <v>4</v>
      </c>
      <c r="P29" s="65"/>
      <c r="Q29" s="65"/>
      <c r="R29" s="14"/>
      <c r="S29" s="17">
        <v>670950</v>
      </c>
      <c r="T29" s="17">
        <f>J29-P29-S29</f>
      </c>
      <c r="U29" s="293">
        <v>45768</v>
      </c>
      <c r="V29" s="14" t="s">
        <v>2122</v>
      </c>
      <c r="W29" s="14"/>
      <c r="X29" s="3"/>
      <c r="Y29" s="107"/>
      <c r="Z29" s="3"/>
      <c r="AA29" s="3"/>
      <c r="AB29" s="107"/>
      <c r="AC29" s="3"/>
      <c r="AD29" s="29"/>
      <c r="AE29" s="34"/>
      <c r="AF29" s="34"/>
    </row>
    <row x14ac:dyDescent="0.25" r="30" customHeight="1" ht="19.5">
      <c r="A30" s="478">
        <v>45728</v>
      </c>
      <c r="B30" s="14" t="s">
        <v>53</v>
      </c>
      <c r="C30" s="14" t="s">
        <v>5038</v>
      </c>
      <c r="D30" s="14" t="s">
        <v>5054</v>
      </c>
      <c r="E30" s="14" t="s">
        <v>5040</v>
      </c>
      <c r="F30" s="14" t="s">
        <v>90</v>
      </c>
      <c r="G30" s="14" t="s">
        <v>5041</v>
      </c>
      <c r="H30" s="14" t="s">
        <v>26</v>
      </c>
      <c r="I30" s="17">
        <v>0</v>
      </c>
      <c r="J30" s="17">
        <v>146200</v>
      </c>
      <c r="K30" s="69">
        <v>131200</v>
      </c>
      <c r="L30" s="17">
        <f>J30-K30</f>
      </c>
      <c r="M30" s="14" t="s">
        <v>137</v>
      </c>
      <c r="N30" s="14" t="s">
        <v>5055</v>
      </c>
      <c r="O30" s="65" t="s">
        <v>251</v>
      </c>
      <c r="P30" s="65"/>
      <c r="Q30" s="65"/>
      <c r="R30" s="14"/>
      <c r="S30" s="17">
        <v>146200</v>
      </c>
      <c r="T30" s="17">
        <f>J30-P30-S30</f>
      </c>
      <c r="U30" s="293">
        <v>45803</v>
      </c>
      <c r="V30" s="14" t="s">
        <v>2122</v>
      </c>
      <c r="W30" s="14"/>
      <c r="X30" s="3"/>
      <c r="Y30" s="107"/>
      <c r="Z30" s="3"/>
      <c r="AA30" s="3"/>
      <c r="AB30" s="107"/>
      <c r="AC30" s="3"/>
      <c r="AD30" s="29"/>
      <c r="AE30" s="34"/>
      <c r="AF30" s="34"/>
    </row>
    <row x14ac:dyDescent="0.25" r="31" customHeight="1" ht="19.5">
      <c r="A31" s="478">
        <v>45728</v>
      </c>
      <c r="B31" s="14" t="s">
        <v>53</v>
      </c>
      <c r="C31" s="14" t="s">
        <v>5038</v>
      </c>
      <c r="D31" s="14" t="s">
        <v>5054</v>
      </c>
      <c r="E31" s="14" t="s">
        <v>5040</v>
      </c>
      <c r="F31" s="14" t="s">
        <v>90</v>
      </c>
      <c r="G31" s="14" t="s">
        <v>5044</v>
      </c>
      <c r="H31" s="14" t="s">
        <v>26</v>
      </c>
      <c r="I31" s="17">
        <v>0</v>
      </c>
      <c r="J31" s="17">
        <v>146200</v>
      </c>
      <c r="K31" s="69">
        <v>131200</v>
      </c>
      <c r="L31" s="17">
        <f>J31-K31</f>
      </c>
      <c r="M31" s="14" t="s">
        <v>137</v>
      </c>
      <c r="N31" s="14" t="s">
        <v>5056</v>
      </c>
      <c r="O31" s="65" t="s">
        <v>251</v>
      </c>
      <c r="P31" s="65"/>
      <c r="Q31" s="65"/>
      <c r="R31" s="14"/>
      <c r="S31" s="17">
        <v>146200</v>
      </c>
      <c r="T31" s="17">
        <f>J31-P31-S31</f>
      </c>
      <c r="U31" s="293">
        <v>45803</v>
      </c>
      <c r="V31" s="14" t="s">
        <v>2122</v>
      </c>
      <c r="W31" s="14"/>
      <c r="X31" s="3"/>
      <c r="Y31" s="107"/>
      <c r="Z31" s="3"/>
      <c r="AA31" s="3"/>
      <c r="AB31" s="107"/>
      <c r="AC31" s="3"/>
      <c r="AD31" s="29"/>
      <c r="AE31" s="34"/>
      <c r="AF31" s="34"/>
    </row>
    <row x14ac:dyDescent="0.25" r="32" customHeight="1" ht="19.5">
      <c r="A32" s="478">
        <v>45728</v>
      </c>
      <c r="B32" s="14" t="s">
        <v>53</v>
      </c>
      <c r="C32" s="14" t="s">
        <v>295</v>
      </c>
      <c r="D32" s="14" t="s">
        <v>5057</v>
      </c>
      <c r="E32" s="14" t="s">
        <v>5058</v>
      </c>
      <c r="F32" s="14" t="s">
        <v>4414</v>
      </c>
      <c r="G32" s="14" t="s">
        <v>5059</v>
      </c>
      <c r="H32" s="14" t="s">
        <v>26</v>
      </c>
      <c r="I32" s="17">
        <v>455000</v>
      </c>
      <c r="J32" s="17">
        <v>725500</v>
      </c>
      <c r="K32" s="17">
        <v>675320</v>
      </c>
      <c r="L32" s="17">
        <f>J32-K32</f>
      </c>
      <c r="M32" s="14" t="s">
        <v>137</v>
      </c>
      <c r="N32" s="14" t="s">
        <v>5060</v>
      </c>
      <c r="O32" s="65"/>
      <c r="P32" s="65"/>
      <c r="Q32" s="65"/>
      <c r="R32" s="14"/>
      <c r="S32" s="17">
        <v>725500</v>
      </c>
      <c r="T32" s="17">
        <f>J32-P32-S32</f>
      </c>
      <c r="U32" s="293">
        <v>45728</v>
      </c>
      <c r="V32" s="14" t="s">
        <v>1718</v>
      </c>
      <c r="W32" s="14"/>
      <c r="X32" s="3"/>
      <c r="Y32" s="107"/>
      <c r="Z32" s="3"/>
      <c r="AA32" s="3"/>
      <c r="AB32" s="107"/>
      <c r="AC32" s="3"/>
      <c r="AD32" s="29"/>
      <c r="AE32" s="34"/>
      <c r="AF32" s="34"/>
    </row>
    <row x14ac:dyDescent="0.25" r="33" customHeight="1" ht="19.5">
      <c r="A33" s="478">
        <v>45729</v>
      </c>
      <c r="B33" s="14" t="s">
        <v>106</v>
      </c>
      <c r="C33" s="14" t="s">
        <v>2714</v>
      </c>
      <c r="D33" s="14" t="s">
        <v>5061</v>
      </c>
      <c r="E33" s="14" t="s">
        <v>5062</v>
      </c>
      <c r="F33" s="14" t="s">
        <v>2597</v>
      </c>
      <c r="G33" s="14" t="s">
        <v>635</v>
      </c>
      <c r="H33" s="14" t="s">
        <v>127</v>
      </c>
      <c r="I33" s="17">
        <v>152200</v>
      </c>
      <c r="J33" s="17">
        <v>309500</v>
      </c>
      <c r="K33" s="17">
        <v>309500</v>
      </c>
      <c r="L33" s="17">
        <f>J33-K33</f>
      </c>
      <c r="M33" s="14" t="s">
        <v>50</v>
      </c>
      <c r="N33" s="14" t="s">
        <v>5063</v>
      </c>
      <c r="O33" s="17">
        <v>2</v>
      </c>
      <c r="P33" s="65"/>
      <c r="Q33" s="65"/>
      <c r="R33" s="14"/>
      <c r="S33" s="65"/>
      <c r="T33" s="17">
        <f>J33-P33-S33</f>
      </c>
      <c r="U33" s="293"/>
      <c r="V33" s="17"/>
      <c r="W33" s="14" t="s">
        <v>5064</v>
      </c>
      <c r="X33" s="3"/>
      <c r="Y33" s="107"/>
      <c r="Z33" s="3"/>
      <c r="AA33" s="3"/>
      <c r="AB33" s="107"/>
      <c r="AC33" s="3"/>
      <c r="AD33" s="29"/>
      <c r="AE33" s="34"/>
      <c r="AF33" s="34"/>
    </row>
    <row x14ac:dyDescent="0.25" r="34" customHeight="1" ht="19.5">
      <c r="A34" s="478">
        <v>45730</v>
      </c>
      <c r="B34" s="14" t="s">
        <v>72</v>
      </c>
      <c r="C34" s="14" t="s">
        <v>752</v>
      </c>
      <c r="D34" s="14" t="s">
        <v>5065</v>
      </c>
      <c r="E34" s="14" t="s">
        <v>5066</v>
      </c>
      <c r="F34" s="14" t="s">
        <v>5067</v>
      </c>
      <c r="G34" s="14" t="s">
        <v>5068</v>
      </c>
      <c r="H34" s="14" t="s">
        <v>26</v>
      </c>
      <c r="I34" s="17"/>
      <c r="J34" s="17">
        <v>905000</v>
      </c>
      <c r="K34" s="17">
        <v>832520</v>
      </c>
      <c r="L34" s="17">
        <f>J34-K34</f>
      </c>
      <c r="M34" s="14" t="s">
        <v>154</v>
      </c>
      <c r="N34" s="14" t="s">
        <v>5069</v>
      </c>
      <c r="O34" s="65"/>
      <c r="P34" s="17">
        <v>765000</v>
      </c>
      <c r="Q34" s="65"/>
      <c r="R34" s="14"/>
      <c r="S34" s="65"/>
      <c r="T34" s="17">
        <f>J34-P34-S34</f>
      </c>
      <c r="U34" s="293">
        <v>45730</v>
      </c>
      <c r="V34" s="14" t="s">
        <v>1718</v>
      </c>
      <c r="W34" s="14"/>
      <c r="X34" s="3"/>
      <c r="Y34" s="107"/>
      <c r="Z34" s="3"/>
      <c r="AA34" s="3"/>
      <c r="AB34" s="107"/>
      <c r="AC34" s="3"/>
      <c r="AD34" s="29"/>
      <c r="AE34" s="34"/>
      <c r="AF34" s="34"/>
    </row>
    <row x14ac:dyDescent="0.25" r="35" customHeight="1" ht="19.5">
      <c r="A35" s="478">
        <v>45730</v>
      </c>
      <c r="B35" s="14" t="s">
        <v>72</v>
      </c>
      <c r="C35" s="14" t="s">
        <v>752</v>
      </c>
      <c r="D35" s="14" t="s">
        <v>5065</v>
      </c>
      <c r="E35" s="14" t="s">
        <v>5070</v>
      </c>
      <c r="F35" s="14" t="s">
        <v>4906</v>
      </c>
      <c r="G35" s="14" t="s">
        <v>5071</v>
      </c>
      <c r="H35" s="14" t="s">
        <v>26</v>
      </c>
      <c r="I35" s="245"/>
      <c r="J35" s="245">
        <v>2098800</v>
      </c>
      <c r="K35" s="17">
        <v>1383300</v>
      </c>
      <c r="L35" s="17">
        <f>J35-K35</f>
      </c>
      <c r="M35" s="14" t="s">
        <v>187</v>
      </c>
      <c r="N35" s="14" t="s">
        <v>5072</v>
      </c>
      <c r="O35" s="17"/>
      <c r="P35" s="17">
        <v>2000000</v>
      </c>
      <c r="Q35" s="17"/>
      <c r="R35" s="14"/>
      <c r="S35" s="17">
        <v>98800</v>
      </c>
      <c r="T35" s="17">
        <f>J35-P35-S35</f>
      </c>
      <c r="U35" s="484">
        <v>45737</v>
      </c>
      <c r="V35" s="14" t="s">
        <v>2216</v>
      </c>
      <c r="W35" s="70" t="s">
        <v>5073</v>
      </c>
      <c r="X35" s="3"/>
      <c r="Y35" s="107"/>
      <c r="Z35" s="3"/>
      <c r="AA35" s="3"/>
      <c r="AB35" s="107"/>
      <c r="AC35" s="3"/>
      <c r="AD35" s="29"/>
      <c r="AE35" s="34"/>
      <c r="AF35" s="34"/>
    </row>
    <row x14ac:dyDescent="0.25" r="36" customHeight="1" ht="19.5">
      <c r="A36" s="478">
        <v>45730</v>
      </c>
      <c r="B36" s="14" t="s">
        <v>72</v>
      </c>
      <c r="C36" s="14" t="s">
        <v>752</v>
      </c>
      <c r="D36" s="14" t="s">
        <v>5065</v>
      </c>
      <c r="E36" s="14" t="s">
        <v>5070</v>
      </c>
      <c r="F36" s="14" t="s">
        <v>4906</v>
      </c>
      <c r="G36" s="14" t="s">
        <v>5074</v>
      </c>
      <c r="H36" s="14" t="s">
        <v>26</v>
      </c>
      <c r="I36" s="17"/>
      <c r="J36" s="17">
        <v>905000</v>
      </c>
      <c r="K36" s="17">
        <v>832520</v>
      </c>
      <c r="L36" s="17">
        <f>J36-K36</f>
      </c>
      <c r="M36" s="14" t="s">
        <v>154</v>
      </c>
      <c r="N36" s="14" t="s">
        <v>5075</v>
      </c>
      <c r="O36" s="17"/>
      <c r="P36" s="17"/>
      <c r="Q36" s="65"/>
      <c r="R36" s="14"/>
      <c r="S36" s="17">
        <v>905000</v>
      </c>
      <c r="T36" s="17">
        <f>J36-P36-S36</f>
      </c>
      <c r="U36" s="484">
        <v>45790</v>
      </c>
      <c r="V36" s="14" t="s">
        <v>2216</v>
      </c>
      <c r="W36" s="70" t="s">
        <v>5076</v>
      </c>
      <c r="X36" s="3"/>
      <c r="Y36" s="107"/>
      <c r="Z36" s="3"/>
      <c r="AA36" s="3"/>
      <c r="AB36" s="107"/>
      <c r="AC36" s="3"/>
      <c r="AD36" s="29"/>
      <c r="AE36" s="34"/>
      <c r="AF36" s="34"/>
    </row>
    <row x14ac:dyDescent="0.25" r="37" customHeight="1" ht="19.5">
      <c r="A37" s="478">
        <v>45730</v>
      </c>
      <c r="B37" s="14" t="s">
        <v>72</v>
      </c>
      <c r="C37" s="14" t="s">
        <v>752</v>
      </c>
      <c r="D37" s="14" t="s">
        <v>5065</v>
      </c>
      <c r="E37" s="14" t="s">
        <v>5070</v>
      </c>
      <c r="F37" s="14" t="s">
        <v>4906</v>
      </c>
      <c r="G37" s="14" t="s">
        <v>5077</v>
      </c>
      <c r="H37" s="14" t="s">
        <v>26</v>
      </c>
      <c r="I37" s="245"/>
      <c r="J37" s="17">
        <v>905000</v>
      </c>
      <c r="K37" s="17">
        <v>832520</v>
      </c>
      <c r="L37" s="17">
        <f>J37-K37</f>
      </c>
      <c r="M37" s="14" t="s">
        <v>154</v>
      </c>
      <c r="N37" s="14" t="s">
        <v>5078</v>
      </c>
      <c r="O37" s="17"/>
      <c r="P37" s="17"/>
      <c r="Q37" s="65"/>
      <c r="R37" s="14"/>
      <c r="S37" s="17">
        <v>905000</v>
      </c>
      <c r="T37" s="17">
        <f>J37-P37-S37</f>
      </c>
      <c r="U37" s="484">
        <v>45790</v>
      </c>
      <c r="V37" s="14" t="s">
        <v>2216</v>
      </c>
      <c r="W37" s="70" t="s">
        <v>5076</v>
      </c>
      <c r="X37" s="3"/>
      <c r="Y37" s="107"/>
      <c r="Z37" s="3"/>
      <c r="AA37" s="3"/>
      <c r="AB37" s="107"/>
      <c r="AC37" s="3"/>
      <c r="AD37" s="29"/>
      <c r="AE37" s="34"/>
      <c r="AF37" s="34"/>
    </row>
    <row x14ac:dyDescent="0.25" r="38" customHeight="1" ht="19.5">
      <c r="A38" s="478">
        <v>45730</v>
      </c>
      <c r="B38" s="14" t="s">
        <v>2829</v>
      </c>
      <c r="C38" s="14" t="s">
        <v>5079</v>
      </c>
      <c r="D38" s="14" t="s">
        <v>704</v>
      </c>
      <c r="E38" s="14" t="s">
        <v>5080</v>
      </c>
      <c r="F38" s="14" t="s">
        <v>24</v>
      </c>
      <c r="G38" s="14" t="s">
        <v>3067</v>
      </c>
      <c r="H38" s="14" t="s">
        <v>26</v>
      </c>
      <c r="I38" s="17"/>
      <c r="J38" s="17">
        <v>464900</v>
      </c>
      <c r="K38" s="17">
        <v>330800</v>
      </c>
      <c r="L38" s="17">
        <f>J38-K38</f>
      </c>
      <c r="M38" s="14" t="s">
        <v>36</v>
      </c>
      <c r="N38" s="14" t="s">
        <v>5081</v>
      </c>
      <c r="O38" s="65"/>
      <c r="P38" s="65"/>
      <c r="Q38" s="65"/>
      <c r="R38" s="14"/>
      <c r="S38" s="17">
        <v>464900</v>
      </c>
      <c r="T38" s="17">
        <f>J38-P38-S38</f>
      </c>
      <c r="U38" s="293">
        <v>45762</v>
      </c>
      <c r="V38" s="14" t="s">
        <v>2122</v>
      </c>
      <c r="W38" s="14"/>
      <c r="X38" s="80"/>
      <c r="Y38" s="65"/>
      <c r="Z38" s="14"/>
      <c r="AA38" s="14"/>
      <c r="AB38" s="65"/>
      <c r="AC38" s="14"/>
      <c r="AD38" s="65"/>
      <c r="AE38" s="34"/>
      <c r="AF38" s="34"/>
    </row>
    <row x14ac:dyDescent="0.25" r="39" customHeight="1" ht="19.5">
      <c r="A39" s="478">
        <v>45730</v>
      </c>
      <c r="B39" s="14" t="s">
        <v>2829</v>
      </c>
      <c r="C39" s="14" t="s">
        <v>5079</v>
      </c>
      <c r="D39" s="14" t="s">
        <v>704</v>
      </c>
      <c r="E39" s="14" t="s">
        <v>5080</v>
      </c>
      <c r="F39" s="14" t="s">
        <v>24</v>
      </c>
      <c r="G39" s="14" t="s">
        <v>5082</v>
      </c>
      <c r="H39" s="14" t="s">
        <v>26</v>
      </c>
      <c r="I39" s="17"/>
      <c r="J39" s="17">
        <v>282600</v>
      </c>
      <c r="K39" s="17">
        <v>152700</v>
      </c>
      <c r="L39" s="17">
        <f>J39-K39</f>
      </c>
      <c r="M39" s="14" t="s">
        <v>36</v>
      </c>
      <c r="N39" s="14" t="s">
        <v>5083</v>
      </c>
      <c r="O39" s="65"/>
      <c r="P39" s="65"/>
      <c r="Q39" s="65"/>
      <c r="R39" s="14"/>
      <c r="S39" s="17">
        <v>282600</v>
      </c>
      <c r="T39" s="17">
        <f>J39-P39-S39</f>
      </c>
      <c r="U39" s="293">
        <v>45762</v>
      </c>
      <c r="V39" s="14" t="s">
        <v>2122</v>
      </c>
      <c r="W39" s="14"/>
      <c r="X39" s="80"/>
      <c r="Y39" s="65"/>
      <c r="Z39" s="14"/>
      <c r="AA39" s="14"/>
      <c r="AB39" s="65"/>
      <c r="AC39" s="14"/>
      <c r="AD39" s="65"/>
      <c r="AE39" s="34"/>
      <c r="AF39" s="34"/>
    </row>
    <row x14ac:dyDescent="0.25" r="40" customHeight="1" ht="19.5">
      <c r="A40" s="478">
        <v>45731</v>
      </c>
      <c r="B40" s="14" t="s">
        <v>475</v>
      </c>
      <c r="C40" s="14" t="s">
        <v>485</v>
      </c>
      <c r="D40" s="14" t="s">
        <v>5084</v>
      </c>
      <c r="E40" s="14" t="s">
        <v>5085</v>
      </c>
      <c r="F40" s="14" t="s">
        <v>4980</v>
      </c>
      <c r="G40" s="14" t="s">
        <v>5024</v>
      </c>
      <c r="H40" s="14" t="s">
        <v>26</v>
      </c>
      <c r="I40" s="17"/>
      <c r="J40" s="17">
        <v>247000</v>
      </c>
      <c r="K40" s="17">
        <v>167000</v>
      </c>
      <c r="L40" s="17">
        <f>J40-K40</f>
      </c>
      <c r="M40" s="14" t="s">
        <v>475</v>
      </c>
      <c r="N40" s="14" t="s">
        <v>5086</v>
      </c>
      <c r="O40" s="65"/>
      <c r="P40" s="65"/>
      <c r="Q40" s="65"/>
      <c r="R40" s="14"/>
      <c r="S40" s="17">
        <v>243402</v>
      </c>
      <c r="T40" s="17">
        <f>J40-P40-S40</f>
      </c>
      <c r="U40" s="293">
        <v>45779</v>
      </c>
      <c r="V40" s="14" t="s">
        <v>2122</v>
      </c>
      <c r="W40" s="14"/>
      <c r="X40" s="80"/>
      <c r="Y40" s="65"/>
      <c r="Z40" s="14"/>
      <c r="AA40" s="14"/>
      <c r="AB40" s="65"/>
      <c r="AC40" s="14"/>
      <c r="AD40" s="65"/>
      <c r="AE40" s="34"/>
      <c r="AF40" s="34"/>
    </row>
    <row x14ac:dyDescent="0.25" r="41" customHeight="1" ht="19.5">
      <c r="A41" s="478">
        <v>45731</v>
      </c>
      <c r="B41" s="14" t="s">
        <v>46</v>
      </c>
      <c r="C41" s="14" t="s">
        <v>5087</v>
      </c>
      <c r="D41" s="14" t="s">
        <v>5088</v>
      </c>
      <c r="E41" s="14" t="s">
        <v>5089</v>
      </c>
      <c r="F41" s="14" t="s">
        <v>84</v>
      </c>
      <c r="G41" s="14" t="s">
        <v>5090</v>
      </c>
      <c r="H41" s="14" t="s">
        <v>26</v>
      </c>
      <c r="I41" s="17">
        <v>1983100</v>
      </c>
      <c r="J41" s="17">
        <v>2437420</v>
      </c>
      <c r="K41" s="17">
        <v>2319620</v>
      </c>
      <c r="L41" s="17">
        <f>J41-K41</f>
      </c>
      <c r="M41" s="14" t="s">
        <v>50</v>
      </c>
      <c r="N41" s="14" t="s">
        <v>5091</v>
      </c>
      <c r="O41" s="17">
        <v>6</v>
      </c>
      <c r="P41" s="65"/>
      <c r="Q41" s="65"/>
      <c r="R41" s="14"/>
      <c r="S41" s="17">
        <v>2437420</v>
      </c>
      <c r="T41" s="17">
        <f>J41-P41-S41</f>
      </c>
      <c r="U41" s="293">
        <v>45768</v>
      </c>
      <c r="V41" s="14" t="s">
        <v>2122</v>
      </c>
      <c r="W41" s="14"/>
      <c r="X41" s="80"/>
      <c r="Y41" s="65"/>
      <c r="Z41" s="14"/>
      <c r="AA41" s="14"/>
      <c r="AB41" s="65"/>
      <c r="AC41" s="14"/>
      <c r="AD41" s="65"/>
      <c r="AE41" s="34"/>
      <c r="AF41" s="34"/>
    </row>
    <row x14ac:dyDescent="0.25" r="42" customHeight="1" ht="19.5">
      <c r="A42" s="478">
        <v>45731</v>
      </c>
      <c r="B42" s="14" t="s">
        <v>46</v>
      </c>
      <c r="C42" s="14" t="s">
        <v>5092</v>
      </c>
      <c r="D42" s="14" t="s">
        <v>5093</v>
      </c>
      <c r="E42" s="14" t="s">
        <v>5094</v>
      </c>
      <c r="F42" s="14" t="s">
        <v>24</v>
      </c>
      <c r="G42" s="14" t="s">
        <v>3067</v>
      </c>
      <c r="H42" s="14" t="s">
        <v>26</v>
      </c>
      <c r="I42" s="17">
        <v>5367100</v>
      </c>
      <c r="J42" s="17">
        <v>7009500</v>
      </c>
      <c r="K42" s="17">
        <v>6075700</v>
      </c>
      <c r="L42" s="17">
        <f>J42-K42</f>
      </c>
      <c r="M42" s="14" t="s">
        <v>50</v>
      </c>
      <c r="N42" s="14" t="s">
        <v>5095</v>
      </c>
      <c r="O42" s="17">
        <v>2</v>
      </c>
      <c r="P42" s="17">
        <v>5193205</v>
      </c>
      <c r="Q42" s="65"/>
      <c r="R42" s="14"/>
      <c r="S42" s="17">
        <v>1816295</v>
      </c>
      <c r="T42" s="17">
        <f>J42-P42-S42</f>
      </c>
      <c r="U42" s="293">
        <v>45842</v>
      </c>
      <c r="V42" s="14" t="s">
        <v>2122</v>
      </c>
      <c r="W42" s="14"/>
      <c r="X42" s="80"/>
      <c r="Y42" s="65"/>
      <c r="Z42" s="14"/>
      <c r="AA42" s="14"/>
      <c r="AB42" s="65"/>
      <c r="AC42" s="14"/>
      <c r="AD42" s="65"/>
      <c r="AE42" s="34"/>
      <c r="AF42" s="34"/>
    </row>
    <row x14ac:dyDescent="0.25" r="43" customHeight="1" ht="19.5">
      <c r="A43" s="478">
        <v>45731</v>
      </c>
      <c r="B43" s="14" t="s">
        <v>72</v>
      </c>
      <c r="C43" s="14" t="s">
        <v>752</v>
      </c>
      <c r="D43" s="14" t="s">
        <v>5096</v>
      </c>
      <c r="E43" s="14" t="s">
        <v>5094</v>
      </c>
      <c r="F43" s="14" t="s">
        <v>24</v>
      </c>
      <c r="G43" s="14" t="s">
        <v>5082</v>
      </c>
      <c r="H43" s="14" t="s">
        <v>26</v>
      </c>
      <c r="I43" s="17"/>
      <c r="J43" s="17">
        <v>2195900</v>
      </c>
      <c r="K43" s="17">
        <v>1912120</v>
      </c>
      <c r="L43" s="17">
        <f>J43-K43</f>
      </c>
      <c r="M43" s="14" t="s">
        <v>154</v>
      </c>
      <c r="N43" s="14" t="s">
        <v>5097</v>
      </c>
      <c r="O43" s="65"/>
      <c r="P43" s="65"/>
      <c r="Q43" s="65"/>
      <c r="R43" s="14"/>
      <c r="S43" s="17">
        <v>2195900</v>
      </c>
      <c r="T43" s="17">
        <f>J43-P43-S43</f>
      </c>
      <c r="U43" s="293">
        <v>45842</v>
      </c>
      <c r="V43" s="14" t="s">
        <v>2122</v>
      </c>
      <c r="W43" s="14"/>
      <c r="X43" s="80"/>
      <c r="Y43" s="65"/>
      <c r="Z43" s="14"/>
      <c r="AA43" s="14"/>
      <c r="AB43" s="65"/>
      <c r="AC43" s="14"/>
      <c r="AD43" s="65"/>
      <c r="AE43" s="34"/>
      <c r="AF43" s="34"/>
    </row>
    <row x14ac:dyDescent="0.25" r="44" customHeight="1" ht="19.5">
      <c r="A44" s="478">
        <v>45732</v>
      </c>
      <c r="B44" s="14" t="s">
        <v>82</v>
      </c>
      <c r="C44" s="14" t="s">
        <v>83</v>
      </c>
      <c r="D44" s="14" t="s">
        <v>698</v>
      </c>
      <c r="E44" s="14" t="s">
        <v>5098</v>
      </c>
      <c r="F44" s="14" t="s">
        <v>84</v>
      </c>
      <c r="G44" s="14" t="s">
        <v>699</v>
      </c>
      <c r="H44" s="14" t="s">
        <v>26</v>
      </c>
      <c r="I44" s="17"/>
      <c r="J44" s="17">
        <v>131000</v>
      </c>
      <c r="K44" s="17">
        <v>106340</v>
      </c>
      <c r="L44" s="17">
        <f>J44-K44</f>
      </c>
      <c r="M44" s="14" t="s">
        <v>86</v>
      </c>
      <c r="N44" s="14" t="s">
        <v>701</v>
      </c>
      <c r="O44" s="65"/>
      <c r="P44" s="65"/>
      <c r="Q44" s="65"/>
      <c r="R44" s="14"/>
      <c r="S44" s="65"/>
      <c r="T44" s="17">
        <f>J44-P44-S44</f>
      </c>
      <c r="U44" s="293"/>
      <c r="V44" s="17"/>
      <c r="W44" s="14"/>
      <c r="X44" s="80"/>
      <c r="Y44" s="65"/>
      <c r="Z44" s="14"/>
      <c r="AA44" s="14"/>
      <c r="AB44" s="65"/>
      <c r="AC44" s="14"/>
      <c r="AD44" s="65"/>
      <c r="AE44" s="34"/>
      <c r="AF44" s="34"/>
    </row>
    <row x14ac:dyDescent="0.25" r="45" customHeight="1" ht="19.5">
      <c r="A45" s="478">
        <v>45733</v>
      </c>
      <c r="B45" s="14" t="s">
        <v>111</v>
      </c>
      <c r="C45" s="14" t="s">
        <v>3059</v>
      </c>
      <c r="D45" s="14" t="s">
        <v>5099</v>
      </c>
      <c r="E45" s="14" t="s">
        <v>5100</v>
      </c>
      <c r="F45" s="14" t="s">
        <v>4980</v>
      </c>
      <c r="G45" s="14" t="s">
        <v>5024</v>
      </c>
      <c r="H45" s="14" t="s">
        <v>26</v>
      </c>
      <c r="I45" s="17">
        <v>90500</v>
      </c>
      <c r="J45" s="17">
        <v>307950</v>
      </c>
      <c r="K45" s="17">
        <v>180200</v>
      </c>
      <c r="L45" s="17">
        <f>J45-K45</f>
      </c>
      <c r="M45" s="14" t="s">
        <v>50</v>
      </c>
      <c r="N45" s="14" t="s">
        <v>5101</v>
      </c>
      <c r="O45" s="17">
        <v>1</v>
      </c>
      <c r="P45" s="65"/>
      <c r="Q45" s="65"/>
      <c r="R45" s="14"/>
      <c r="S45" s="17">
        <v>304352</v>
      </c>
      <c r="T45" s="17">
        <f>J45-P45-S45</f>
      </c>
      <c r="U45" s="293"/>
      <c r="V45" s="17"/>
      <c r="W45" s="14"/>
      <c r="X45" s="80"/>
      <c r="Y45" s="65"/>
      <c r="Z45" s="14"/>
      <c r="AA45" s="14"/>
      <c r="AB45" s="65"/>
      <c r="AC45" s="14"/>
      <c r="AD45" s="65"/>
      <c r="AE45" s="34"/>
      <c r="AF45" s="34"/>
    </row>
    <row x14ac:dyDescent="0.25" r="46" customHeight="1" ht="19.5">
      <c r="A46" s="478">
        <v>45733</v>
      </c>
      <c r="B46" s="14" t="s">
        <v>22</v>
      </c>
      <c r="C46" s="14" t="s">
        <v>5102</v>
      </c>
      <c r="D46" s="14" t="s">
        <v>5029</v>
      </c>
      <c r="E46" s="14" t="s">
        <v>5103</v>
      </c>
      <c r="F46" s="14" t="s">
        <v>4980</v>
      </c>
      <c r="G46" s="14" t="s">
        <v>675</v>
      </c>
      <c r="H46" s="14" t="s">
        <v>26</v>
      </c>
      <c r="I46" s="17"/>
      <c r="J46" s="17">
        <v>571400</v>
      </c>
      <c r="K46" s="17">
        <v>471400</v>
      </c>
      <c r="L46" s="17">
        <f>J46-K46</f>
      </c>
      <c r="M46" s="14" t="s">
        <v>22</v>
      </c>
      <c r="N46" s="14" t="s">
        <v>5104</v>
      </c>
      <c r="O46" s="65"/>
      <c r="P46" s="65"/>
      <c r="Q46" s="65"/>
      <c r="R46" s="14"/>
      <c r="S46" s="17">
        <v>566003</v>
      </c>
      <c r="T46" s="17">
        <f>J46-P46-S46</f>
      </c>
      <c r="U46" s="293">
        <v>45779</v>
      </c>
      <c r="V46" s="14" t="s">
        <v>2122</v>
      </c>
      <c r="W46" s="14"/>
      <c r="X46" s="80"/>
      <c r="Y46" s="65"/>
      <c r="Z46" s="14"/>
      <c r="AA46" s="14"/>
      <c r="AB46" s="65"/>
      <c r="AC46" s="14"/>
      <c r="AD46" s="65"/>
      <c r="AE46" s="34"/>
      <c r="AF46" s="34"/>
    </row>
    <row x14ac:dyDescent="0.25" r="47" customHeight="1" ht="19.5">
      <c r="A47" s="478">
        <v>45733</v>
      </c>
      <c r="B47" s="14" t="s">
        <v>82</v>
      </c>
      <c r="C47" s="14" t="s">
        <v>5105</v>
      </c>
      <c r="D47" s="14" t="s">
        <v>704</v>
      </c>
      <c r="E47" s="14" t="s">
        <v>5106</v>
      </c>
      <c r="F47" s="14" t="s">
        <v>705</v>
      </c>
      <c r="G47" s="14" t="s">
        <v>706</v>
      </c>
      <c r="H47" s="14" t="s">
        <v>4127</v>
      </c>
      <c r="I47" s="17"/>
      <c r="J47" s="17">
        <v>176120</v>
      </c>
      <c r="K47" s="17">
        <v>171120</v>
      </c>
      <c r="L47" s="17">
        <f>J47-K47</f>
      </c>
      <c r="M47" s="14" t="s">
        <v>86</v>
      </c>
      <c r="N47" s="14" t="s">
        <v>708</v>
      </c>
      <c r="O47" s="65"/>
      <c r="P47" s="17">
        <v>176000</v>
      </c>
      <c r="Q47" s="65"/>
      <c r="R47" s="14"/>
      <c r="S47" s="65"/>
      <c r="T47" s="17">
        <f>J47-P47-S47</f>
      </c>
      <c r="U47" s="293">
        <v>45735</v>
      </c>
      <c r="V47" s="14" t="s">
        <v>1718</v>
      </c>
      <c r="W47" s="14"/>
      <c r="X47" s="80"/>
      <c r="Y47" s="17">
        <v>1347205</v>
      </c>
      <c r="Z47" s="14"/>
      <c r="AA47" s="14" t="s">
        <v>5107</v>
      </c>
      <c r="AB47" s="17">
        <v>5000000</v>
      </c>
      <c r="AC47" s="14"/>
      <c r="AD47" s="65"/>
      <c r="AE47" s="34"/>
      <c r="AF47" s="34"/>
    </row>
    <row x14ac:dyDescent="0.25" r="48" customHeight="1" ht="19.5">
      <c r="A48" s="478">
        <v>45733</v>
      </c>
      <c r="B48" s="14" t="s">
        <v>82</v>
      </c>
      <c r="C48" s="14" t="s">
        <v>83</v>
      </c>
      <c r="D48" s="14" t="s">
        <v>5108</v>
      </c>
      <c r="E48" s="14" t="s">
        <v>5109</v>
      </c>
      <c r="F48" s="14" t="s">
        <v>194</v>
      </c>
      <c r="G48" s="14" t="s">
        <v>5110</v>
      </c>
      <c r="H48" s="14" t="s">
        <v>26</v>
      </c>
      <c r="I48" s="17"/>
      <c r="J48" s="17">
        <v>126900</v>
      </c>
      <c r="K48" s="17">
        <v>111340</v>
      </c>
      <c r="L48" s="17">
        <f>J48-K48</f>
      </c>
      <c r="M48" s="14" t="s">
        <v>86</v>
      </c>
      <c r="N48" s="14" t="s">
        <v>4222</v>
      </c>
      <c r="O48" s="65"/>
      <c r="P48" s="65"/>
      <c r="Q48" s="65"/>
      <c r="R48" s="14"/>
      <c r="S48" s="17">
        <v>126900</v>
      </c>
      <c r="T48" s="17">
        <f>J48-P48-S48</f>
      </c>
      <c r="U48" s="293">
        <v>45769</v>
      </c>
      <c r="V48" s="14" t="s">
        <v>2122</v>
      </c>
      <c r="W48" s="14"/>
      <c r="X48" s="80"/>
      <c r="Y48" s="65"/>
      <c r="Z48" s="14"/>
      <c r="AA48" s="14"/>
      <c r="AB48" s="65"/>
      <c r="AC48" s="14"/>
      <c r="AD48" s="65"/>
      <c r="AE48" s="34"/>
      <c r="AF48" s="34"/>
    </row>
    <row x14ac:dyDescent="0.25" r="49" customHeight="1" ht="19.5">
      <c r="A49" s="478">
        <v>45733</v>
      </c>
      <c r="B49" s="14"/>
      <c r="C49" s="14"/>
      <c r="D49" s="14"/>
      <c r="E49" s="14"/>
      <c r="F49" s="14" t="s">
        <v>1673</v>
      </c>
      <c r="G49" s="14" t="s">
        <v>5111</v>
      </c>
      <c r="H49" s="14" t="s">
        <v>26</v>
      </c>
      <c r="I49" s="17"/>
      <c r="J49" s="17">
        <v>60000</v>
      </c>
      <c r="K49" s="17">
        <v>55500</v>
      </c>
      <c r="L49" s="17">
        <f>J49-K49</f>
      </c>
      <c r="M49" s="14"/>
      <c r="N49" s="14"/>
      <c r="O49" s="65" t="s">
        <v>5112</v>
      </c>
      <c r="P49" s="65"/>
      <c r="Q49" s="65"/>
      <c r="R49" s="14"/>
      <c r="S49" s="17">
        <v>60000</v>
      </c>
      <c r="T49" s="17">
        <f>J49-P49-S49</f>
      </c>
      <c r="U49" s="293">
        <v>45735</v>
      </c>
      <c r="V49" s="14" t="s">
        <v>1718</v>
      </c>
      <c r="W49" s="14"/>
      <c r="X49" s="80"/>
      <c r="Y49" s="65"/>
      <c r="Z49" s="14"/>
      <c r="AA49" s="14"/>
      <c r="AB49" s="65"/>
      <c r="AC49" s="14"/>
      <c r="AD49" s="65"/>
      <c r="AE49" s="34"/>
      <c r="AF49" s="34"/>
    </row>
    <row x14ac:dyDescent="0.25" r="50" customHeight="1" ht="19.5">
      <c r="A50" s="478">
        <v>45733</v>
      </c>
      <c r="B50" s="14"/>
      <c r="C50" s="14"/>
      <c r="D50" s="14"/>
      <c r="E50" s="14"/>
      <c r="F50" s="14" t="s">
        <v>1673</v>
      </c>
      <c r="G50" s="14" t="s">
        <v>5111</v>
      </c>
      <c r="H50" s="14" t="s">
        <v>26</v>
      </c>
      <c r="I50" s="17"/>
      <c r="J50" s="17">
        <v>85000</v>
      </c>
      <c r="K50" s="17">
        <v>75000</v>
      </c>
      <c r="L50" s="17">
        <f>J50-K50</f>
      </c>
      <c r="M50" s="14"/>
      <c r="N50" s="14"/>
      <c r="O50" s="65" t="s">
        <v>1328</v>
      </c>
      <c r="P50" s="65"/>
      <c r="Q50" s="65"/>
      <c r="R50" s="14"/>
      <c r="S50" s="17">
        <v>85000</v>
      </c>
      <c r="T50" s="17">
        <f>J50-P50-S50</f>
      </c>
      <c r="U50" s="293">
        <v>45735</v>
      </c>
      <c r="V50" s="14" t="s">
        <v>1718</v>
      </c>
      <c r="W50" s="14"/>
      <c r="X50" s="80"/>
      <c r="Y50" s="65"/>
      <c r="Z50" s="14"/>
      <c r="AA50" s="14"/>
      <c r="AB50" s="65"/>
      <c r="AC50" s="14"/>
      <c r="AD50" s="65"/>
      <c r="AE50" s="34"/>
      <c r="AF50" s="34"/>
    </row>
    <row x14ac:dyDescent="0.25" r="51" customHeight="1" ht="19.5">
      <c r="A51" s="478">
        <v>45734</v>
      </c>
      <c r="B51" s="14" t="s">
        <v>106</v>
      </c>
      <c r="C51" s="14" t="s">
        <v>5113</v>
      </c>
      <c r="D51" s="14" t="s">
        <v>5114</v>
      </c>
      <c r="E51" s="14"/>
      <c r="F51" s="14" t="s">
        <v>292</v>
      </c>
      <c r="G51" s="14" t="s">
        <v>5115</v>
      </c>
      <c r="H51" s="14" t="s">
        <v>26</v>
      </c>
      <c r="I51" s="17">
        <v>526800</v>
      </c>
      <c r="J51" s="17">
        <v>845920</v>
      </c>
      <c r="K51" s="17">
        <v>766520</v>
      </c>
      <c r="L51" s="17">
        <f>J51-K51</f>
      </c>
      <c r="M51" s="14" t="s">
        <v>50</v>
      </c>
      <c r="N51" s="14" t="s">
        <v>5116</v>
      </c>
      <c r="O51" s="17">
        <v>2</v>
      </c>
      <c r="P51" s="65"/>
      <c r="Q51" s="65"/>
      <c r="R51" s="14"/>
      <c r="S51" s="17"/>
      <c r="T51" s="17">
        <f>J51-P51-S51</f>
      </c>
      <c r="U51" s="293"/>
      <c r="V51" s="17"/>
      <c r="W51" s="14"/>
      <c r="X51" s="80"/>
      <c r="Y51" s="65"/>
      <c r="Z51" s="14"/>
      <c r="AA51" s="14"/>
      <c r="AB51" s="65"/>
      <c r="AC51" s="14"/>
      <c r="AD51" s="65"/>
      <c r="AE51" s="34"/>
      <c r="AF51" s="34"/>
    </row>
    <row x14ac:dyDescent="0.25" r="52" customHeight="1" ht="27.75">
      <c r="A52" s="478">
        <v>45735</v>
      </c>
      <c r="B52" s="14" t="s">
        <v>72</v>
      </c>
      <c r="C52" s="14" t="s">
        <v>752</v>
      </c>
      <c r="D52" s="14" t="s">
        <v>5065</v>
      </c>
      <c r="E52" s="14" t="s">
        <v>5117</v>
      </c>
      <c r="F52" s="14" t="s">
        <v>4906</v>
      </c>
      <c r="G52" s="14" t="s">
        <v>5071</v>
      </c>
      <c r="H52" s="14" t="s">
        <v>26</v>
      </c>
      <c r="I52" s="245"/>
      <c r="J52" s="245">
        <v>553300</v>
      </c>
      <c r="K52" s="17">
        <v>513300</v>
      </c>
      <c r="L52" s="17">
        <f>J52-K52</f>
      </c>
      <c r="M52" s="14" t="s">
        <v>187</v>
      </c>
      <c r="N52" s="14" t="s">
        <v>5118</v>
      </c>
      <c r="O52" s="17" t="s">
        <v>251</v>
      </c>
      <c r="P52" s="17">
        <v>441200</v>
      </c>
      <c r="Q52" s="17"/>
      <c r="R52" s="17"/>
      <c r="S52" s="17">
        <v>112100</v>
      </c>
      <c r="T52" s="17">
        <f>J52-P52-S52</f>
      </c>
      <c r="U52" s="294" t="s">
        <v>5119</v>
      </c>
      <c r="V52" s="14" t="s">
        <v>2216</v>
      </c>
      <c r="W52" s="70" t="s">
        <v>5120</v>
      </c>
      <c r="X52" s="80"/>
      <c r="Y52" s="65"/>
      <c r="Z52" s="14"/>
      <c r="AA52" s="14"/>
      <c r="AB52" s="65"/>
      <c r="AC52" s="14"/>
      <c r="AD52" s="65"/>
      <c r="AE52" s="34"/>
      <c r="AF52" s="34"/>
    </row>
    <row x14ac:dyDescent="0.25" r="53" customHeight="1" ht="19.5">
      <c r="A53" s="162">
        <v>45735</v>
      </c>
      <c r="B53" s="14" t="s">
        <v>72</v>
      </c>
      <c r="C53" s="14" t="s">
        <v>752</v>
      </c>
      <c r="D53" s="14" t="s">
        <v>5065</v>
      </c>
      <c r="E53" s="14" t="s">
        <v>5121</v>
      </c>
      <c r="F53" s="14" t="s">
        <v>5067</v>
      </c>
      <c r="G53" s="14" t="s">
        <v>5068</v>
      </c>
      <c r="H53" s="14" t="s">
        <v>26</v>
      </c>
      <c r="I53" s="17"/>
      <c r="J53" s="17">
        <v>75000</v>
      </c>
      <c r="K53" s="17">
        <v>60000</v>
      </c>
      <c r="L53" s="17">
        <f>J53-K53</f>
      </c>
      <c r="M53" s="14" t="s">
        <v>154</v>
      </c>
      <c r="N53" s="14" t="s">
        <v>5122</v>
      </c>
      <c r="O53" s="17" t="s">
        <v>251</v>
      </c>
      <c r="P53" s="17">
        <v>70000</v>
      </c>
      <c r="Q53" s="65"/>
      <c r="R53" s="14"/>
      <c r="S53" s="65"/>
      <c r="T53" s="17">
        <f>J53-P53-S53</f>
      </c>
      <c r="U53" s="293">
        <v>45800</v>
      </c>
      <c r="V53" s="14" t="s">
        <v>1718</v>
      </c>
      <c r="W53" s="14"/>
      <c r="X53" s="80"/>
      <c r="Y53" s="65"/>
      <c r="Z53" s="14"/>
      <c r="AA53" s="14"/>
      <c r="AB53" s="65"/>
      <c r="AC53" s="14"/>
      <c r="AD53" s="65"/>
      <c r="AE53" s="34"/>
      <c r="AF53" s="34"/>
    </row>
    <row x14ac:dyDescent="0.25" r="54" customHeight="1" ht="19.5">
      <c r="A54" s="478">
        <v>45735</v>
      </c>
      <c r="B54" s="14" t="s">
        <v>72</v>
      </c>
      <c r="C54" s="14" t="s">
        <v>752</v>
      </c>
      <c r="D54" s="14" t="s">
        <v>5065</v>
      </c>
      <c r="E54" s="14" t="s">
        <v>5117</v>
      </c>
      <c r="F54" s="14" t="s">
        <v>4906</v>
      </c>
      <c r="G54" s="14" t="s">
        <v>5074</v>
      </c>
      <c r="H54" s="14" t="s">
        <v>26</v>
      </c>
      <c r="I54" s="17"/>
      <c r="J54" s="17">
        <v>75000</v>
      </c>
      <c r="K54" s="17">
        <v>60000</v>
      </c>
      <c r="L54" s="17">
        <f>J54-K54</f>
      </c>
      <c r="M54" s="14" t="s">
        <v>154</v>
      </c>
      <c r="N54" s="14" t="s">
        <v>5123</v>
      </c>
      <c r="O54" s="17" t="s">
        <v>251</v>
      </c>
      <c r="P54" s="17">
        <v>0</v>
      </c>
      <c r="Q54" s="65"/>
      <c r="R54" s="14"/>
      <c r="S54" s="17">
        <v>75000</v>
      </c>
      <c r="T54" s="17">
        <f>J54-P54-S54</f>
      </c>
      <c r="U54" s="293">
        <v>45834</v>
      </c>
      <c r="V54" s="14" t="s">
        <v>2216</v>
      </c>
      <c r="W54" s="14" t="s">
        <v>4909</v>
      </c>
      <c r="X54" s="80"/>
      <c r="Y54" s="65"/>
      <c r="Z54" s="14"/>
      <c r="AA54" s="14"/>
      <c r="AB54" s="65"/>
      <c r="AC54" s="14"/>
      <c r="AD54" s="65"/>
      <c r="AE54" s="34"/>
      <c r="AF54" s="34"/>
    </row>
    <row x14ac:dyDescent="0.25" r="55" customHeight="1" ht="19.5">
      <c r="A55" s="162">
        <v>45735</v>
      </c>
      <c r="B55" s="14" t="s">
        <v>72</v>
      </c>
      <c r="C55" s="14" t="s">
        <v>752</v>
      </c>
      <c r="D55" s="14" t="s">
        <v>5065</v>
      </c>
      <c r="E55" s="14" t="s">
        <v>5117</v>
      </c>
      <c r="F55" s="14" t="s">
        <v>4906</v>
      </c>
      <c r="G55" s="14" t="s">
        <v>5077</v>
      </c>
      <c r="H55" s="14" t="s">
        <v>26</v>
      </c>
      <c r="I55" s="245"/>
      <c r="J55" s="17">
        <v>75000</v>
      </c>
      <c r="K55" s="17">
        <v>60000</v>
      </c>
      <c r="L55" s="17">
        <f>J55-K55</f>
      </c>
      <c r="M55" s="14" t="s">
        <v>154</v>
      </c>
      <c r="N55" s="14" t="s">
        <v>5124</v>
      </c>
      <c r="O55" s="17" t="s">
        <v>251</v>
      </c>
      <c r="P55" s="17">
        <v>0</v>
      </c>
      <c r="Q55" s="65"/>
      <c r="R55" s="14"/>
      <c r="S55" s="17">
        <v>75000</v>
      </c>
      <c r="T55" s="17">
        <f>J55-P55-S55</f>
      </c>
      <c r="U55" s="293">
        <v>45834</v>
      </c>
      <c r="V55" s="14" t="s">
        <v>2216</v>
      </c>
      <c r="W55" s="14" t="s">
        <v>4909</v>
      </c>
      <c r="X55" s="80"/>
      <c r="Y55" s="65"/>
      <c r="Z55" s="14"/>
      <c r="AA55" s="14"/>
      <c r="AB55" s="65"/>
      <c r="AC55" s="14"/>
      <c r="AD55" s="65"/>
      <c r="AE55" s="34"/>
      <c r="AF55" s="34"/>
    </row>
    <row x14ac:dyDescent="0.25" r="56" customHeight="1" ht="19.5">
      <c r="A56" s="162">
        <v>45735</v>
      </c>
      <c r="B56" s="14" t="s">
        <v>82</v>
      </c>
      <c r="C56" s="14" t="s">
        <v>525</v>
      </c>
      <c r="D56" s="14" t="s">
        <v>710</v>
      </c>
      <c r="E56" s="14" t="s">
        <v>5125</v>
      </c>
      <c r="F56" s="14" t="s">
        <v>711</v>
      </c>
      <c r="G56" s="14" t="s">
        <v>712</v>
      </c>
      <c r="H56" s="14" t="s">
        <v>713</v>
      </c>
      <c r="I56" s="17"/>
      <c r="J56" s="17">
        <v>146640</v>
      </c>
      <c r="K56" s="17">
        <v>124640</v>
      </c>
      <c r="L56" s="17">
        <f>J56-K56</f>
      </c>
      <c r="M56" s="14" t="s">
        <v>86</v>
      </c>
      <c r="N56" s="14" t="s">
        <v>715</v>
      </c>
      <c r="O56" s="65"/>
      <c r="P56" s="17"/>
      <c r="Q56" s="17"/>
      <c r="R56" s="17"/>
      <c r="S56" s="17">
        <v>146640</v>
      </c>
      <c r="T56" s="17">
        <f>J56-P56-S56</f>
      </c>
      <c r="U56" s="293">
        <v>45735</v>
      </c>
      <c r="V56" s="14" t="s">
        <v>1718</v>
      </c>
      <c r="W56" s="14" t="s">
        <v>1663</v>
      </c>
      <c r="X56" s="80"/>
      <c r="Y56" s="65"/>
      <c r="Z56" s="14"/>
      <c r="AA56" s="14"/>
      <c r="AB56" s="65"/>
      <c r="AC56" s="14"/>
      <c r="AD56" s="65"/>
      <c r="AE56" s="34"/>
      <c r="AF56" s="34"/>
    </row>
    <row x14ac:dyDescent="0.25" r="57" customHeight="1" ht="19.5">
      <c r="A57" s="478">
        <v>45735</v>
      </c>
      <c r="B57" s="14" t="s">
        <v>53</v>
      </c>
      <c r="C57" s="14" t="s">
        <v>54</v>
      </c>
      <c r="D57" s="14" t="s">
        <v>5126</v>
      </c>
      <c r="E57" s="14" t="s">
        <v>5127</v>
      </c>
      <c r="F57" s="14" t="s">
        <v>5128</v>
      </c>
      <c r="G57" s="479" t="s">
        <v>5129</v>
      </c>
      <c r="H57" s="479" t="s">
        <v>26</v>
      </c>
      <c r="I57" s="17">
        <v>505600</v>
      </c>
      <c r="J57" s="485">
        <v>845950</v>
      </c>
      <c r="K57" s="17">
        <v>767420</v>
      </c>
      <c r="L57" s="17">
        <f>J57-K57</f>
      </c>
      <c r="M57" s="14" t="s">
        <v>137</v>
      </c>
      <c r="N57" s="14" t="s">
        <v>5130</v>
      </c>
      <c r="O57" s="65"/>
      <c r="P57" s="17"/>
      <c r="Q57" s="17"/>
      <c r="R57" s="17"/>
      <c r="S57" s="17">
        <v>845950</v>
      </c>
      <c r="T57" s="17">
        <f>J57-P57-S57</f>
      </c>
      <c r="U57" s="293">
        <v>45735</v>
      </c>
      <c r="V57" s="14" t="s">
        <v>1718</v>
      </c>
      <c r="W57" s="14" t="s">
        <v>1663</v>
      </c>
      <c r="X57" s="80"/>
      <c r="Y57" s="65"/>
      <c r="Z57" s="14"/>
      <c r="AA57" s="14"/>
      <c r="AB57" s="65"/>
      <c r="AC57" s="14"/>
      <c r="AD57" s="65"/>
      <c r="AE57" s="34"/>
      <c r="AF57" s="34"/>
    </row>
    <row x14ac:dyDescent="0.25" r="58" customHeight="1" ht="43.95000000000001">
      <c r="A58" s="478">
        <v>45736</v>
      </c>
      <c r="B58" s="14" t="s">
        <v>72</v>
      </c>
      <c r="C58" s="14" t="s">
        <v>867</v>
      </c>
      <c r="D58" s="14" t="s">
        <v>5131</v>
      </c>
      <c r="E58" s="14" t="s">
        <v>5132</v>
      </c>
      <c r="F58" s="14" t="s">
        <v>2318</v>
      </c>
      <c r="G58" s="14" t="s">
        <v>5133</v>
      </c>
      <c r="H58" s="14" t="s">
        <v>26</v>
      </c>
      <c r="I58" s="17"/>
      <c r="J58" s="17">
        <v>1698000</v>
      </c>
      <c r="K58" s="17">
        <v>1475000</v>
      </c>
      <c r="L58" s="17">
        <f>J58-K58</f>
      </c>
      <c r="M58" s="14" t="s">
        <v>3045</v>
      </c>
      <c r="N58" s="70" t="s">
        <v>5134</v>
      </c>
      <c r="O58" s="65"/>
      <c r="P58" s="17">
        <v>588200</v>
      </c>
      <c r="Q58" s="17">
        <v>1000000</v>
      </c>
      <c r="R58" s="14"/>
      <c r="S58" s="17">
        <v>109800</v>
      </c>
      <c r="T58" s="17">
        <f>J58-P58-Q58-S58</f>
      </c>
      <c r="U58" s="294" t="s">
        <v>5135</v>
      </c>
      <c r="V58" s="14" t="s">
        <v>1718</v>
      </c>
      <c r="W58" s="14"/>
      <c r="X58" s="80"/>
      <c r="Y58" s="65"/>
      <c r="Z58" s="14"/>
      <c r="AA58" s="14"/>
      <c r="AB58" s="65"/>
      <c r="AC58" s="14"/>
      <c r="AD58" s="65"/>
      <c r="AE58" s="34"/>
      <c r="AF58" s="34"/>
    </row>
    <row x14ac:dyDescent="0.25" r="59" customHeight="1" ht="19.5">
      <c r="A59" s="478">
        <v>45736</v>
      </c>
      <c r="B59" s="14" t="s">
        <v>82</v>
      </c>
      <c r="C59" s="14" t="s">
        <v>717</v>
      </c>
      <c r="D59" s="14" t="s">
        <v>5136</v>
      </c>
      <c r="E59" s="14" t="s">
        <v>5137</v>
      </c>
      <c r="F59" s="14" t="s">
        <v>719</v>
      </c>
      <c r="G59" s="14" t="s">
        <v>5138</v>
      </c>
      <c r="H59" s="14" t="s">
        <v>26</v>
      </c>
      <c r="I59" s="17"/>
      <c r="J59" s="17">
        <v>71940</v>
      </c>
      <c r="K59" s="17">
        <v>66940</v>
      </c>
      <c r="L59" s="17">
        <f>J59-K59</f>
      </c>
      <c r="M59" s="14" t="s">
        <v>86</v>
      </c>
      <c r="N59" s="14" t="s">
        <v>721</v>
      </c>
      <c r="O59" s="65"/>
      <c r="P59" s="17"/>
      <c r="Q59" s="17"/>
      <c r="R59" s="17"/>
      <c r="S59" s="17">
        <v>71940</v>
      </c>
      <c r="T59" s="17">
        <f>J59-P59-S59</f>
      </c>
      <c r="U59" s="293">
        <v>45740</v>
      </c>
      <c r="V59" s="14" t="s">
        <v>1718</v>
      </c>
      <c r="W59" s="14" t="s">
        <v>1663</v>
      </c>
      <c r="X59" s="80"/>
      <c r="Y59" s="65"/>
      <c r="Z59" s="14"/>
      <c r="AA59" s="14"/>
      <c r="AB59" s="65"/>
      <c r="AC59" s="14"/>
      <c r="AD59" s="65"/>
      <c r="AE59" s="34"/>
      <c r="AF59" s="34"/>
    </row>
    <row x14ac:dyDescent="0.25" r="60" customHeight="1" ht="19.5">
      <c r="A60" s="478">
        <v>45736</v>
      </c>
      <c r="B60" s="14" t="s">
        <v>5139</v>
      </c>
      <c r="C60" s="14" t="s">
        <v>282</v>
      </c>
      <c r="D60" s="14" t="s">
        <v>5140</v>
      </c>
      <c r="E60" s="14" t="s">
        <v>5141</v>
      </c>
      <c r="F60" s="14" t="s">
        <v>344</v>
      </c>
      <c r="G60" s="14" t="s">
        <v>5142</v>
      </c>
      <c r="H60" s="14" t="s">
        <v>26</v>
      </c>
      <c r="I60" s="17"/>
      <c r="J60" s="17">
        <v>195000</v>
      </c>
      <c r="K60" s="17">
        <v>20100</v>
      </c>
      <c r="L60" s="17">
        <f>J60-K60</f>
      </c>
      <c r="M60" s="14" t="s">
        <v>5143</v>
      </c>
      <c r="N60" s="70" t="s">
        <v>5144</v>
      </c>
      <c r="O60" s="65" t="s">
        <v>251</v>
      </c>
      <c r="P60" s="17">
        <v>0</v>
      </c>
      <c r="Q60" s="65"/>
      <c r="R60" s="14"/>
      <c r="S60" s="17">
        <v>195000</v>
      </c>
      <c r="T60" s="17">
        <f>J60-P60-S60</f>
      </c>
      <c r="U60" s="293">
        <v>45792</v>
      </c>
      <c r="V60" s="14" t="s">
        <v>2122</v>
      </c>
      <c r="W60" s="14"/>
      <c r="X60" s="80"/>
      <c r="Y60" s="65"/>
      <c r="Z60" s="14"/>
      <c r="AA60" s="14"/>
      <c r="AB60" s="65"/>
      <c r="AC60" s="14"/>
      <c r="AD60" s="65"/>
      <c r="AE60" s="34"/>
      <c r="AF60" s="34"/>
    </row>
    <row x14ac:dyDescent="0.25" r="61" customHeight="1" ht="19.5">
      <c r="A61" s="482">
        <v>45736</v>
      </c>
      <c r="B61" s="56" t="s">
        <v>5145</v>
      </c>
      <c r="C61" s="56" t="s">
        <v>5146</v>
      </c>
      <c r="D61" s="56" t="s">
        <v>5147</v>
      </c>
      <c r="E61" s="56" t="s">
        <v>5148</v>
      </c>
      <c r="F61" s="56" t="s">
        <v>4414</v>
      </c>
      <c r="G61" s="56" t="s">
        <v>5036</v>
      </c>
      <c r="H61" s="56" t="s">
        <v>26</v>
      </c>
      <c r="I61" s="180" t="s">
        <v>5149</v>
      </c>
      <c r="J61" s="57">
        <v>315000</v>
      </c>
      <c r="K61" s="57">
        <v>0</v>
      </c>
      <c r="L61" s="57">
        <v>0</v>
      </c>
      <c r="M61" s="56" t="s">
        <v>36</v>
      </c>
      <c r="N61" s="486" t="s">
        <v>5150</v>
      </c>
      <c r="O61" s="180" t="s">
        <v>343</v>
      </c>
      <c r="P61" s="57">
        <v>0</v>
      </c>
      <c r="Q61" s="180"/>
      <c r="R61" s="56"/>
      <c r="S61" s="57">
        <v>315000</v>
      </c>
      <c r="T61" s="57">
        <f>J61-P61-S61</f>
      </c>
      <c r="U61" s="483">
        <v>45745</v>
      </c>
      <c r="V61" s="56" t="s">
        <v>1718</v>
      </c>
      <c r="W61" s="56"/>
      <c r="X61" s="487"/>
      <c r="Y61" s="180"/>
      <c r="Z61" s="56"/>
      <c r="AA61" s="56"/>
      <c r="AB61" s="180"/>
      <c r="AC61" s="56"/>
      <c r="AD61" s="180"/>
      <c r="AE61" s="34"/>
      <c r="AF61" s="34"/>
    </row>
    <row x14ac:dyDescent="0.25" r="62" customHeight="1" ht="19.2">
      <c r="A62" s="478">
        <v>45736</v>
      </c>
      <c r="B62" s="14" t="s">
        <v>2829</v>
      </c>
      <c r="C62" s="14" t="s">
        <v>5151</v>
      </c>
      <c r="D62" s="14" t="s">
        <v>5093</v>
      </c>
      <c r="E62" s="14" t="s">
        <v>5152</v>
      </c>
      <c r="F62" s="14" t="s">
        <v>174</v>
      </c>
      <c r="G62" s="14" t="s">
        <v>5153</v>
      </c>
      <c r="H62" s="14" t="s">
        <v>26</v>
      </c>
      <c r="I62" s="17"/>
      <c r="J62" s="17">
        <v>2315620</v>
      </c>
      <c r="K62" s="17">
        <v>1867120</v>
      </c>
      <c r="L62" s="17">
        <f>J62-K62</f>
      </c>
      <c r="M62" s="14" t="s">
        <v>36</v>
      </c>
      <c r="N62" s="14" t="s">
        <v>5154</v>
      </c>
      <c r="O62" s="65"/>
      <c r="P62" s="17">
        <v>0</v>
      </c>
      <c r="Q62" s="65"/>
      <c r="R62" s="14"/>
      <c r="S62" s="17">
        <v>2315620</v>
      </c>
      <c r="T62" s="17">
        <f>J62-P62-S62</f>
      </c>
      <c r="U62" s="293">
        <v>45772</v>
      </c>
      <c r="V62" s="14" t="s">
        <v>1718</v>
      </c>
      <c r="W62" s="14"/>
      <c r="X62" s="80"/>
      <c r="Y62" s="65"/>
      <c r="Z62" s="14"/>
      <c r="AA62" s="14"/>
      <c r="AB62" s="65"/>
      <c r="AC62" s="14"/>
      <c r="AD62" s="65"/>
      <c r="AE62" s="34"/>
      <c r="AF62" s="34"/>
    </row>
    <row x14ac:dyDescent="0.25" r="63" customHeight="1" ht="19.5">
      <c r="A63" s="478">
        <v>45737</v>
      </c>
      <c r="B63" s="14" t="s">
        <v>46</v>
      </c>
      <c r="C63" s="14" t="s">
        <v>3521</v>
      </c>
      <c r="D63" s="14" t="s">
        <v>5155</v>
      </c>
      <c r="E63" s="14" t="s">
        <v>5156</v>
      </c>
      <c r="F63" s="14" t="s">
        <v>174</v>
      </c>
      <c r="G63" s="14" t="s">
        <v>5157</v>
      </c>
      <c r="H63" s="14" t="s">
        <v>26</v>
      </c>
      <c r="I63" s="17"/>
      <c r="J63" s="17">
        <v>485800</v>
      </c>
      <c r="K63" s="17">
        <v>947000</v>
      </c>
      <c r="L63" s="17">
        <f>J63-K63</f>
      </c>
      <c r="M63" s="14" t="s">
        <v>3045</v>
      </c>
      <c r="N63" s="14" t="s">
        <v>5158</v>
      </c>
      <c r="O63" s="65"/>
      <c r="P63" s="17">
        <v>0</v>
      </c>
      <c r="Q63" s="65"/>
      <c r="R63" s="14"/>
      <c r="S63" s="17">
        <v>485800</v>
      </c>
      <c r="T63" s="17">
        <f>J63-P63-S63</f>
      </c>
      <c r="U63" s="293">
        <v>45772</v>
      </c>
      <c r="V63" s="14" t="s">
        <v>1718</v>
      </c>
      <c r="W63" s="14"/>
      <c r="X63" s="80"/>
      <c r="Y63" s="65"/>
      <c r="Z63" s="14"/>
      <c r="AA63" s="14"/>
      <c r="AB63" s="65"/>
      <c r="AC63" s="14"/>
      <c r="AD63" s="65"/>
      <c r="AE63" s="34"/>
      <c r="AF63" s="34"/>
    </row>
    <row x14ac:dyDescent="0.25" r="64" customHeight="1" ht="19.5">
      <c r="A64" s="478">
        <v>45738</v>
      </c>
      <c r="B64" s="14" t="s">
        <v>72</v>
      </c>
      <c r="C64" s="14" t="s">
        <v>448</v>
      </c>
      <c r="D64" s="14" t="s">
        <v>5159</v>
      </c>
      <c r="E64" s="14" t="s">
        <v>5160</v>
      </c>
      <c r="F64" s="14" t="s">
        <v>242</v>
      </c>
      <c r="G64" s="14" t="s">
        <v>560</v>
      </c>
      <c r="H64" s="14" t="s">
        <v>26</v>
      </c>
      <c r="I64" s="17"/>
      <c r="J64" s="69">
        <v>123900</v>
      </c>
      <c r="K64" s="17">
        <v>99900</v>
      </c>
      <c r="L64" s="17">
        <f>J64-K64</f>
      </c>
      <c r="M64" s="14" t="s">
        <v>50</v>
      </c>
      <c r="N64" s="14" t="s">
        <v>5161</v>
      </c>
      <c r="O64" s="65" t="s">
        <v>251</v>
      </c>
      <c r="P64" s="17"/>
      <c r="Q64" s="17"/>
      <c r="R64" s="17"/>
      <c r="S64" s="17">
        <v>123900</v>
      </c>
      <c r="T64" s="17">
        <f>J64-P64-S64</f>
      </c>
      <c r="U64" s="293">
        <v>45800</v>
      </c>
      <c r="V64" s="14" t="s">
        <v>1718</v>
      </c>
      <c r="W64" s="14"/>
      <c r="X64" s="80"/>
      <c r="Y64" s="65"/>
      <c r="Z64" s="14"/>
      <c r="AA64" s="14"/>
      <c r="AB64" s="65"/>
      <c r="AC64" s="14"/>
      <c r="AD64" s="65"/>
      <c r="AE64" s="34"/>
      <c r="AF64" s="34"/>
    </row>
    <row x14ac:dyDescent="0.25" r="65" customHeight="1" ht="19.5">
      <c r="A65" s="478">
        <v>45738</v>
      </c>
      <c r="B65" s="14" t="s">
        <v>72</v>
      </c>
      <c r="C65" s="14" t="s">
        <v>448</v>
      </c>
      <c r="D65" s="14" t="s">
        <v>5159</v>
      </c>
      <c r="E65" s="14" t="s">
        <v>5160</v>
      </c>
      <c r="F65" s="14" t="s">
        <v>242</v>
      </c>
      <c r="G65" s="14" t="s">
        <v>5162</v>
      </c>
      <c r="H65" s="14" t="s">
        <v>26</v>
      </c>
      <c r="I65" s="17"/>
      <c r="J65" s="69">
        <v>123900</v>
      </c>
      <c r="K65" s="17">
        <v>99900</v>
      </c>
      <c r="L65" s="17">
        <f>J65-K65</f>
      </c>
      <c r="M65" s="14" t="s">
        <v>50</v>
      </c>
      <c r="N65" s="14" t="s">
        <v>5163</v>
      </c>
      <c r="O65" s="65" t="s">
        <v>251</v>
      </c>
      <c r="P65" s="17"/>
      <c r="Q65" s="17"/>
      <c r="R65" s="17"/>
      <c r="S65" s="17">
        <v>123900</v>
      </c>
      <c r="T65" s="17">
        <f>J65-P65-S65</f>
      </c>
      <c r="U65" s="293">
        <v>45800</v>
      </c>
      <c r="V65" s="14" t="s">
        <v>1718</v>
      </c>
      <c r="W65" s="14"/>
      <c r="X65" s="3"/>
      <c r="Y65" s="107"/>
      <c r="Z65" s="14"/>
      <c r="AA65" s="14"/>
      <c r="AB65" s="65"/>
      <c r="AC65" s="14"/>
      <c r="AD65" s="65"/>
      <c r="AE65" s="34"/>
      <c r="AF65" s="34"/>
    </row>
    <row x14ac:dyDescent="0.25" r="66" customHeight="1" ht="19.5">
      <c r="A66" s="478">
        <v>45738</v>
      </c>
      <c r="B66" s="14" t="s">
        <v>72</v>
      </c>
      <c r="C66" s="14" t="s">
        <v>448</v>
      </c>
      <c r="D66" s="14" t="s">
        <v>5159</v>
      </c>
      <c r="E66" s="14" t="s">
        <v>5160</v>
      </c>
      <c r="F66" s="14" t="s">
        <v>242</v>
      </c>
      <c r="G66" s="14" t="s">
        <v>5164</v>
      </c>
      <c r="H66" s="14" t="s">
        <v>26</v>
      </c>
      <c r="I66" s="17"/>
      <c r="J66" s="69">
        <v>111900</v>
      </c>
      <c r="K66" s="69">
        <v>87600</v>
      </c>
      <c r="L66" s="17">
        <f>J66-K66</f>
      </c>
      <c r="M66" s="14" t="s">
        <v>50</v>
      </c>
      <c r="N66" s="14" t="s">
        <v>5165</v>
      </c>
      <c r="O66" s="65" t="s">
        <v>251</v>
      </c>
      <c r="P66" s="17"/>
      <c r="Q66" s="17"/>
      <c r="R66" s="17"/>
      <c r="S66" s="17">
        <v>111900</v>
      </c>
      <c r="T66" s="17">
        <f>J66-P66-S66</f>
      </c>
      <c r="U66" s="293">
        <v>45800</v>
      </c>
      <c r="V66" s="14" t="s">
        <v>1718</v>
      </c>
      <c r="W66" s="14"/>
      <c r="X66" s="3"/>
      <c r="Y66" s="107"/>
      <c r="Z66" s="14"/>
      <c r="AA66" s="14"/>
      <c r="AB66" s="65"/>
      <c r="AC66" s="14"/>
      <c r="AD66" s="65"/>
      <c r="AE66" s="34"/>
      <c r="AF66" s="34"/>
    </row>
    <row x14ac:dyDescent="0.25" r="67" customHeight="1" ht="19.5">
      <c r="A67" s="478">
        <v>45738</v>
      </c>
      <c r="B67" s="14" t="s">
        <v>72</v>
      </c>
      <c r="C67" s="14" t="s">
        <v>448</v>
      </c>
      <c r="D67" s="14" t="s">
        <v>5159</v>
      </c>
      <c r="E67" s="14" t="s">
        <v>5160</v>
      </c>
      <c r="F67" s="14" t="s">
        <v>242</v>
      </c>
      <c r="G67" s="14" t="s">
        <v>5166</v>
      </c>
      <c r="H67" s="14" t="s">
        <v>26</v>
      </c>
      <c r="I67" s="17"/>
      <c r="J67" s="69">
        <v>111900</v>
      </c>
      <c r="K67" s="69">
        <v>87600</v>
      </c>
      <c r="L67" s="17">
        <f>J67-K67</f>
      </c>
      <c r="M67" s="14" t="s">
        <v>50</v>
      </c>
      <c r="N67" s="14" t="s">
        <v>5167</v>
      </c>
      <c r="O67" s="65" t="s">
        <v>251</v>
      </c>
      <c r="P67" s="17"/>
      <c r="Q67" s="17"/>
      <c r="R67" s="17"/>
      <c r="S67" s="17">
        <v>111900</v>
      </c>
      <c r="T67" s="17">
        <f>J67-P67-S67</f>
      </c>
      <c r="U67" s="293">
        <v>45800</v>
      </c>
      <c r="V67" s="14" t="s">
        <v>1718</v>
      </c>
      <c r="W67" s="14"/>
      <c r="X67" s="3"/>
      <c r="Y67" s="107"/>
      <c r="Z67" s="14"/>
      <c r="AA67" s="14"/>
      <c r="AB67" s="65"/>
      <c r="AC67" s="14"/>
      <c r="AD67" s="65"/>
      <c r="AE67" s="34"/>
      <c r="AF67" s="34"/>
    </row>
    <row x14ac:dyDescent="0.25" r="68" customHeight="1" ht="19.5">
      <c r="A68" s="478">
        <v>45738</v>
      </c>
      <c r="B68" s="14" t="s">
        <v>72</v>
      </c>
      <c r="C68" s="14" t="s">
        <v>448</v>
      </c>
      <c r="D68" s="14" t="s">
        <v>5168</v>
      </c>
      <c r="E68" s="14" t="s">
        <v>5169</v>
      </c>
      <c r="F68" s="14" t="s">
        <v>5170</v>
      </c>
      <c r="G68" s="14" t="s">
        <v>5171</v>
      </c>
      <c r="H68" s="14" t="s">
        <v>26</v>
      </c>
      <c r="I68" s="17"/>
      <c r="J68" s="17">
        <v>99800</v>
      </c>
      <c r="K68" s="17">
        <v>67400</v>
      </c>
      <c r="L68" s="17">
        <f>J68-K68</f>
      </c>
      <c r="M68" s="14" t="s">
        <v>50</v>
      </c>
      <c r="N68" s="14" t="s">
        <v>5172</v>
      </c>
      <c r="O68" s="65" t="s">
        <v>251</v>
      </c>
      <c r="P68" s="17">
        <v>0</v>
      </c>
      <c r="Q68" s="65"/>
      <c r="R68" s="14"/>
      <c r="S68" s="17">
        <v>99800</v>
      </c>
      <c r="T68" s="17">
        <f>J68-P68-S68</f>
      </c>
      <c r="U68" s="293">
        <v>45923</v>
      </c>
      <c r="V68" s="14" t="s">
        <v>1718</v>
      </c>
      <c r="W68" s="14"/>
      <c r="X68" s="29"/>
      <c r="Y68" s="107"/>
      <c r="Z68" s="14"/>
      <c r="AA68" s="14"/>
      <c r="AB68" s="65"/>
      <c r="AC68" s="14"/>
      <c r="AD68" s="65"/>
      <c r="AE68" s="34"/>
      <c r="AF68" s="34"/>
    </row>
    <row x14ac:dyDescent="0.25" r="69" customHeight="1" ht="19.5">
      <c r="A69" s="478">
        <v>45738</v>
      </c>
      <c r="B69" s="14" t="s">
        <v>72</v>
      </c>
      <c r="C69" s="14" t="s">
        <v>448</v>
      </c>
      <c r="D69" s="14" t="s">
        <v>5168</v>
      </c>
      <c r="E69" s="14" t="s">
        <v>5169</v>
      </c>
      <c r="F69" s="14" t="s">
        <v>5170</v>
      </c>
      <c r="G69" s="14" t="s">
        <v>5173</v>
      </c>
      <c r="H69" s="14" t="s">
        <v>26</v>
      </c>
      <c r="I69" s="17"/>
      <c r="J69" s="17">
        <v>99800</v>
      </c>
      <c r="K69" s="17">
        <v>67400</v>
      </c>
      <c r="L69" s="17">
        <f>J69-K69</f>
      </c>
      <c r="M69" s="14" t="s">
        <v>50</v>
      </c>
      <c r="N69" s="14" t="s">
        <v>5174</v>
      </c>
      <c r="O69" s="65" t="s">
        <v>251</v>
      </c>
      <c r="P69" s="17">
        <v>0</v>
      </c>
      <c r="Q69" s="65"/>
      <c r="R69" s="14"/>
      <c r="S69" s="17">
        <v>99800</v>
      </c>
      <c r="T69" s="17">
        <f>J69-P69-S69</f>
      </c>
      <c r="U69" s="293">
        <v>45923</v>
      </c>
      <c r="V69" s="14" t="s">
        <v>1718</v>
      </c>
      <c r="W69" s="14"/>
      <c r="X69" s="114"/>
      <c r="Y69" s="100"/>
      <c r="Z69" s="14"/>
      <c r="AA69" s="14"/>
      <c r="AB69" s="65"/>
      <c r="AC69" s="14"/>
      <c r="AD69" s="65"/>
      <c r="AE69" s="34"/>
      <c r="AF69" s="34"/>
    </row>
    <row x14ac:dyDescent="0.25" r="70" customHeight="1" ht="19.5">
      <c r="A70" s="488">
        <v>45738</v>
      </c>
      <c r="B70" s="489" t="s">
        <v>82</v>
      </c>
      <c r="C70" s="489" t="s">
        <v>83</v>
      </c>
      <c r="D70" s="489" t="s">
        <v>723</v>
      </c>
      <c r="E70" s="489" t="s">
        <v>5175</v>
      </c>
      <c r="F70" s="489" t="s">
        <v>617</v>
      </c>
      <c r="G70" s="489" t="s">
        <v>724</v>
      </c>
      <c r="H70" s="489" t="s">
        <v>26</v>
      </c>
      <c r="I70" s="490" t="s">
        <v>5176</v>
      </c>
      <c r="J70" s="389">
        <v>105940</v>
      </c>
      <c r="K70" s="389">
        <v>89340</v>
      </c>
      <c r="L70" s="389">
        <f>J70-K70</f>
      </c>
      <c r="M70" s="489" t="s">
        <v>86</v>
      </c>
      <c r="N70" s="489" t="s">
        <v>726</v>
      </c>
      <c r="O70" s="490"/>
      <c r="P70" s="389">
        <v>0</v>
      </c>
      <c r="Q70" s="490"/>
      <c r="R70" s="489"/>
      <c r="S70" s="389">
        <v>105940</v>
      </c>
      <c r="T70" s="389">
        <f>J70-P70-S70</f>
      </c>
      <c r="U70" s="491">
        <v>45827</v>
      </c>
      <c r="V70" s="489" t="s">
        <v>2216</v>
      </c>
      <c r="W70" s="489" t="s">
        <v>5177</v>
      </c>
      <c r="X70" s="492"/>
      <c r="Y70" s="493"/>
      <c r="Z70" s="489"/>
      <c r="AA70" s="489"/>
      <c r="AB70" s="490"/>
      <c r="AC70" s="489"/>
      <c r="AD70" s="490"/>
      <c r="AE70" s="34"/>
      <c r="AF70" s="34"/>
    </row>
    <row x14ac:dyDescent="0.25" r="71" customHeight="1" ht="19.5">
      <c r="A71" s="478">
        <v>45738</v>
      </c>
      <c r="B71" s="14" t="s">
        <v>82</v>
      </c>
      <c r="C71" s="14" t="s">
        <v>552</v>
      </c>
      <c r="D71" s="14" t="s">
        <v>727</v>
      </c>
      <c r="E71" s="14" t="s">
        <v>5178</v>
      </c>
      <c r="F71" s="14" t="s">
        <v>5179</v>
      </c>
      <c r="G71" s="14" t="s">
        <v>729</v>
      </c>
      <c r="H71" s="14" t="s">
        <v>26</v>
      </c>
      <c r="I71" s="17">
        <v>70440</v>
      </c>
      <c r="J71" s="17">
        <v>155940</v>
      </c>
      <c r="K71" s="17">
        <v>143540</v>
      </c>
      <c r="L71" s="17">
        <f>J71-K71</f>
      </c>
      <c r="M71" s="14" t="s">
        <v>86</v>
      </c>
      <c r="N71" s="14" t="s">
        <v>731</v>
      </c>
      <c r="O71" s="65"/>
      <c r="P71" s="494">
        <v>0</v>
      </c>
      <c r="Q71" s="494"/>
      <c r="R71" s="495"/>
      <c r="S71" s="494">
        <v>935650</v>
      </c>
      <c r="T71" s="494">
        <f>J71+J72+J73+J74+J75+J76-P71-S71</f>
      </c>
      <c r="U71" s="496">
        <v>45740</v>
      </c>
      <c r="V71" s="495" t="s">
        <v>2122</v>
      </c>
      <c r="W71" s="495"/>
      <c r="X71" s="80"/>
      <c r="Y71" s="65"/>
      <c r="Z71" s="14"/>
      <c r="AA71" s="14"/>
      <c r="AB71" s="65"/>
      <c r="AC71" s="14"/>
      <c r="AD71" s="65"/>
      <c r="AE71" s="34"/>
      <c r="AF71" s="34"/>
    </row>
    <row x14ac:dyDescent="0.25" r="72" customHeight="1" ht="19.5">
      <c r="A72" s="478">
        <v>45738</v>
      </c>
      <c r="B72" s="14" t="s">
        <v>82</v>
      </c>
      <c r="C72" s="14" t="s">
        <v>552</v>
      </c>
      <c r="D72" s="14" t="s">
        <v>727</v>
      </c>
      <c r="E72" s="14" t="s">
        <v>5178</v>
      </c>
      <c r="F72" s="14" t="s">
        <v>5179</v>
      </c>
      <c r="G72" s="14" t="s">
        <v>732</v>
      </c>
      <c r="H72" s="14" t="s">
        <v>26</v>
      </c>
      <c r="I72" s="17">
        <v>70440</v>
      </c>
      <c r="J72" s="17">
        <v>155940</v>
      </c>
      <c r="K72" s="17">
        <v>143540</v>
      </c>
      <c r="L72" s="17">
        <f>J72-K72</f>
      </c>
      <c r="M72" s="14" t="s">
        <v>86</v>
      </c>
      <c r="N72" s="14" t="s">
        <v>733</v>
      </c>
      <c r="O72" s="65"/>
      <c r="P72" s="169"/>
      <c r="Q72" s="169"/>
      <c r="R72" s="497"/>
      <c r="S72" s="169"/>
      <c r="T72" s="169"/>
      <c r="U72" s="498"/>
      <c r="V72" s="169"/>
      <c r="W72" s="497"/>
      <c r="X72" s="80"/>
      <c r="Y72" s="65"/>
      <c r="Z72" s="14"/>
      <c r="AA72" s="14"/>
      <c r="AB72" s="65"/>
      <c r="AC72" s="14"/>
      <c r="AD72" s="65"/>
      <c r="AE72" s="34"/>
      <c r="AF72" s="34"/>
    </row>
    <row x14ac:dyDescent="0.25" r="73" customHeight="1" ht="19.5">
      <c r="A73" s="478">
        <v>45738</v>
      </c>
      <c r="B73" s="14" t="s">
        <v>82</v>
      </c>
      <c r="C73" s="14" t="s">
        <v>552</v>
      </c>
      <c r="D73" s="14" t="s">
        <v>727</v>
      </c>
      <c r="E73" s="14" t="s">
        <v>5178</v>
      </c>
      <c r="F73" s="14" t="s">
        <v>5179</v>
      </c>
      <c r="G73" s="14" t="s">
        <v>5180</v>
      </c>
      <c r="H73" s="14" t="s">
        <v>26</v>
      </c>
      <c r="I73" s="17">
        <v>70440</v>
      </c>
      <c r="J73" s="17">
        <v>155940</v>
      </c>
      <c r="K73" s="17">
        <v>143540</v>
      </c>
      <c r="L73" s="17">
        <f>J73-K73</f>
      </c>
      <c r="M73" s="14" t="s">
        <v>86</v>
      </c>
      <c r="N73" s="14" t="s">
        <v>735</v>
      </c>
      <c r="O73" s="65"/>
      <c r="P73" s="169"/>
      <c r="Q73" s="169"/>
      <c r="R73" s="497"/>
      <c r="S73" s="169"/>
      <c r="T73" s="169"/>
      <c r="U73" s="498"/>
      <c r="V73" s="169"/>
      <c r="W73" s="497"/>
      <c r="X73" s="80"/>
      <c r="Y73" s="65"/>
      <c r="Z73" s="14"/>
      <c r="AA73" s="14"/>
      <c r="AB73" s="65"/>
      <c r="AC73" s="14"/>
      <c r="AD73" s="65"/>
      <c r="AE73" s="34"/>
      <c r="AF73" s="34"/>
    </row>
    <row x14ac:dyDescent="0.25" r="74" customHeight="1" ht="19.5">
      <c r="A74" s="478">
        <v>45738</v>
      </c>
      <c r="B74" s="14" t="s">
        <v>82</v>
      </c>
      <c r="C74" s="14" t="s">
        <v>552</v>
      </c>
      <c r="D74" s="14" t="s">
        <v>727</v>
      </c>
      <c r="E74" s="14" t="s">
        <v>5178</v>
      </c>
      <c r="F74" s="14" t="s">
        <v>5179</v>
      </c>
      <c r="G74" s="14" t="s">
        <v>736</v>
      </c>
      <c r="H74" s="14" t="s">
        <v>26</v>
      </c>
      <c r="I74" s="17">
        <v>71640</v>
      </c>
      <c r="J74" s="17">
        <v>155940</v>
      </c>
      <c r="K74" s="17">
        <v>150640</v>
      </c>
      <c r="L74" s="17">
        <f>J74-K74</f>
      </c>
      <c r="M74" s="14" t="s">
        <v>86</v>
      </c>
      <c r="N74" s="14" t="s">
        <v>738</v>
      </c>
      <c r="O74" s="65"/>
      <c r="P74" s="169"/>
      <c r="Q74" s="169"/>
      <c r="R74" s="497"/>
      <c r="S74" s="169"/>
      <c r="T74" s="169"/>
      <c r="U74" s="498"/>
      <c r="V74" s="169"/>
      <c r="W74" s="497"/>
      <c r="X74" s="80"/>
      <c r="Y74" s="65"/>
      <c r="Z74" s="14"/>
      <c r="AA74" s="14"/>
      <c r="AB74" s="65"/>
      <c r="AC74" s="14"/>
      <c r="AD74" s="65"/>
      <c r="AE74" s="34"/>
      <c r="AF74" s="34"/>
    </row>
    <row x14ac:dyDescent="0.25" r="75" customHeight="1" ht="19.5">
      <c r="A75" s="478">
        <v>45738</v>
      </c>
      <c r="B75" s="14" t="s">
        <v>82</v>
      </c>
      <c r="C75" s="14" t="s">
        <v>552</v>
      </c>
      <c r="D75" s="14" t="s">
        <v>727</v>
      </c>
      <c r="E75" s="14" t="s">
        <v>5178</v>
      </c>
      <c r="F75" s="14" t="s">
        <v>5179</v>
      </c>
      <c r="G75" s="14" t="s">
        <v>5181</v>
      </c>
      <c r="H75" s="14" t="s">
        <v>26</v>
      </c>
      <c r="I75" s="17">
        <v>71640</v>
      </c>
      <c r="J75" s="17">
        <v>155940</v>
      </c>
      <c r="K75" s="17">
        <v>150640</v>
      </c>
      <c r="L75" s="17">
        <f>J75-K75</f>
      </c>
      <c r="M75" s="14" t="s">
        <v>86</v>
      </c>
      <c r="N75" s="14" t="s">
        <v>740</v>
      </c>
      <c r="O75" s="65"/>
      <c r="P75" s="169"/>
      <c r="Q75" s="169"/>
      <c r="R75" s="497"/>
      <c r="S75" s="169"/>
      <c r="T75" s="169"/>
      <c r="U75" s="498"/>
      <c r="V75" s="169"/>
      <c r="W75" s="497"/>
      <c r="X75" s="80"/>
      <c r="Y75" s="65"/>
      <c r="Z75" s="14"/>
      <c r="AA75" s="14"/>
      <c r="AB75" s="65"/>
      <c r="AC75" s="14"/>
      <c r="AD75" s="65"/>
      <c r="AE75" s="34"/>
      <c r="AF75" s="34"/>
    </row>
    <row x14ac:dyDescent="0.25" r="76" customHeight="1" ht="19.5">
      <c r="A76" s="478">
        <v>45738</v>
      </c>
      <c r="B76" s="14" t="s">
        <v>82</v>
      </c>
      <c r="C76" s="14" t="s">
        <v>552</v>
      </c>
      <c r="D76" s="14" t="s">
        <v>727</v>
      </c>
      <c r="E76" s="14" t="s">
        <v>5178</v>
      </c>
      <c r="F76" s="14" t="s">
        <v>5179</v>
      </c>
      <c r="G76" s="14" t="s">
        <v>741</v>
      </c>
      <c r="H76" s="14" t="s">
        <v>26</v>
      </c>
      <c r="I76" s="17">
        <v>71640</v>
      </c>
      <c r="J76" s="17">
        <v>155940</v>
      </c>
      <c r="K76" s="17">
        <v>150640</v>
      </c>
      <c r="L76" s="17">
        <f>J76-K76</f>
      </c>
      <c r="M76" s="14" t="s">
        <v>86</v>
      </c>
      <c r="N76" s="14" t="s">
        <v>742</v>
      </c>
      <c r="O76" s="65"/>
      <c r="P76" s="151"/>
      <c r="Q76" s="151"/>
      <c r="R76" s="499"/>
      <c r="S76" s="151"/>
      <c r="T76" s="151"/>
      <c r="U76" s="500"/>
      <c r="V76" s="151"/>
      <c r="W76" s="499"/>
      <c r="X76" s="80"/>
      <c r="Y76" s="65"/>
      <c r="Z76" s="14"/>
      <c r="AA76" s="14"/>
      <c r="AB76" s="65"/>
      <c r="AC76" s="14"/>
      <c r="AD76" s="65"/>
      <c r="AE76" s="34"/>
      <c r="AF76" s="34"/>
    </row>
    <row x14ac:dyDescent="0.25" r="77" customHeight="1" ht="19.5">
      <c r="A77" s="478">
        <v>45741</v>
      </c>
      <c r="B77" s="14" t="s">
        <v>111</v>
      </c>
      <c r="C77" s="14" t="s">
        <v>5182</v>
      </c>
      <c r="D77" s="14" t="s">
        <v>5183</v>
      </c>
      <c r="E77" s="14" t="s">
        <v>5184</v>
      </c>
      <c r="F77" s="14" t="s">
        <v>194</v>
      </c>
      <c r="G77" s="14" t="s">
        <v>5110</v>
      </c>
      <c r="H77" s="14" t="s">
        <v>26</v>
      </c>
      <c r="I77" s="17">
        <v>616000</v>
      </c>
      <c r="J77" s="17">
        <v>1126820</v>
      </c>
      <c r="K77" s="17">
        <v>1076820</v>
      </c>
      <c r="L77" s="17">
        <f>J77-K77</f>
      </c>
      <c r="M77" s="14" t="s">
        <v>50</v>
      </c>
      <c r="N77" s="70" t="s">
        <v>5185</v>
      </c>
      <c r="O77" s="17">
        <v>4</v>
      </c>
      <c r="P77" s="17">
        <v>0</v>
      </c>
      <c r="Q77" s="65"/>
      <c r="R77" s="14"/>
      <c r="S77" s="17">
        <v>1126820</v>
      </c>
      <c r="T77" s="17">
        <f>J77-P77-S77</f>
      </c>
      <c r="U77" s="293">
        <v>45769</v>
      </c>
      <c r="V77" s="14" t="s">
        <v>2122</v>
      </c>
      <c r="W77" s="14"/>
      <c r="X77" s="80"/>
      <c r="Y77" s="65"/>
      <c r="Z77" s="14"/>
      <c r="AA77" s="14"/>
      <c r="AB77" s="65"/>
      <c r="AC77" s="14"/>
      <c r="AD77" s="65"/>
      <c r="AE77" s="34"/>
      <c r="AF77" s="34"/>
    </row>
    <row x14ac:dyDescent="0.25" r="78" customHeight="1" ht="19.5">
      <c r="A78" s="478">
        <v>45741</v>
      </c>
      <c r="B78" s="14" t="s">
        <v>46</v>
      </c>
      <c r="C78" s="14" t="s">
        <v>54</v>
      </c>
      <c r="D78" s="14" t="s">
        <v>5186</v>
      </c>
      <c r="E78" s="14" t="s">
        <v>5187</v>
      </c>
      <c r="F78" s="14" t="s">
        <v>174</v>
      </c>
      <c r="G78" s="14" t="s">
        <v>5188</v>
      </c>
      <c r="H78" s="14" t="s">
        <v>26</v>
      </c>
      <c r="I78" s="17">
        <v>1040300</v>
      </c>
      <c r="J78" s="17">
        <v>1676900</v>
      </c>
      <c r="K78" s="17">
        <v>1386120</v>
      </c>
      <c r="L78" s="17">
        <f>J78-K78</f>
      </c>
      <c r="M78" s="14" t="s">
        <v>50</v>
      </c>
      <c r="N78" s="70" t="s">
        <v>5189</v>
      </c>
      <c r="O78" s="17">
        <v>2</v>
      </c>
      <c r="P78" s="17">
        <v>0</v>
      </c>
      <c r="Q78" s="65"/>
      <c r="R78" s="14"/>
      <c r="S78" s="17">
        <v>1676900</v>
      </c>
      <c r="T78" s="17">
        <f>J78-P78-S78</f>
      </c>
      <c r="U78" s="293">
        <v>45772</v>
      </c>
      <c r="V78" s="14" t="s">
        <v>1718</v>
      </c>
      <c r="W78" s="14"/>
      <c r="X78" s="80"/>
      <c r="Y78" s="65"/>
      <c r="Z78" s="14"/>
      <c r="AA78" s="14"/>
      <c r="AB78" s="65"/>
      <c r="AC78" s="14"/>
      <c r="AD78" s="65"/>
      <c r="AE78" s="34"/>
      <c r="AF78" s="34"/>
    </row>
    <row x14ac:dyDescent="0.25" r="79" customHeight="1" ht="19.5">
      <c r="A79" s="478">
        <v>45741</v>
      </c>
      <c r="B79" s="14" t="s">
        <v>2829</v>
      </c>
      <c r="C79" s="14" t="s">
        <v>5190</v>
      </c>
      <c r="D79" s="14" t="s">
        <v>5191</v>
      </c>
      <c r="E79" s="14" t="s">
        <v>5192</v>
      </c>
      <c r="F79" s="14" t="s">
        <v>24</v>
      </c>
      <c r="G79" s="14" t="s">
        <v>3067</v>
      </c>
      <c r="H79" s="14" t="s">
        <v>26</v>
      </c>
      <c r="I79" s="17"/>
      <c r="J79" s="17">
        <v>135000</v>
      </c>
      <c r="K79" s="17">
        <v>10000</v>
      </c>
      <c r="L79" s="17">
        <f>J79-K79</f>
      </c>
      <c r="M79" s="14" t="s">
        <v>36</v>
      </c>
      <c r="N79" s="70" t="s">
        <v>5193</v>
      </c>
      <c r="O79" s="65" t="s">
        <v>251</v>
      </c>
      <c r="P79" s="65"/>
      <c r="Q79" s="65"/>
      <c r="R79" s="14"/>
      <c r="S79" s="17">
        <v>135000</v>
      </c>
      <c r="T79" s="17">
        <f>J79-P79-S79</f>
      </c>
      <c r="U79" s="293">
        <v>45842</v>
      </c>
      <c r="V79" s="14" t="s">
        <v>2122</v>
      </c>
      <c r="W79" s="14"/>
      <c r="X79" s="80"/>
      <c r="Y79" s="65"/>
      <c r="Z79" s="14"/>
      <c r="AA79" s="14"/>
      <c r="AB79" s="65"/>
      <c r="AC79" s="14"/>
      <c r="AD79" s="65"/>
      <c r="AE79" s="34"/>
      <c r="AF79" s="34"/>
    </row>
    <row x14ac:dyDescent="0.25" r="80" customHeight="1" ht="19.5">
      <c r="A80" s="478">
        <v>45741</v>
      </c>
      <c r="B80" s="14" t="s">
        <v>2829</v>
      </c>
      <c r="C80" s="14" t="s">
        <v>5190</v>
      </c>
      <c r="D80" s="14" t="s">
        <v>5191</v>
      </c>
      <c r="E80" s="14" t="s">
        <v>5194</v>
      </c>
      <c r="F80" s="14" t="s">
        <v>1582</v>
      </c>
      <c r="G80" s="14" t="s">
        <v>5153</v>
      </c>
      <c r="H80" s="14" t="s">
        <v>26</v>
      </c>
      <c r="I80" s="17"/>
      <c r="J80" s="17">
        <v>135000</v>
      </c>
      <c r="K80" s="17">
        <v>10000</v>
      </c>
      <c r="L80" s="17">
        <f>J80-K80</f>
      </c>
      <c r="M80" s="14" t="s">
        <v>36</v>
      </c>
      <c r="N80" s="70" t="s">
        <v>5195</v>
      </c>
      <c r="O80" s="65" t="s">
        <v>251</v>
      </c>
      <c r="P80" s="17">
        <v>0</v>
      </c>
      <c r="Q80" s="65"/>
      <c r="R80" s="14"/>
      <c r="S80" s="17">
        <v>135000</v>
      </c>
      <c r="T80" s="17">
        <f>J80-P80-S80</f>
      </c>
      <c r="U80" s="293">
        <v>45833</v>
      </c>
      <c r="V80" s="14" t="s">
        <v>1718</v>
      </c>
      <c r="W80" s="14"/>
      <c r="X80" s="80"/>
      <c r="Y80" s="65"/>
      <c r="Z80" s="14"/>
      <c r="AA80" s="14"/>
      <c r="AB80" s="65"/>
      <c r="AC80" s="14"/>
      <c r="AD80" s="65"/>
      <c r="AE80" s="34"/>
      <c r="AF80" s="34"/>
    </row>
    <row x14ac:dyDescent="0.25" r="81" customHeight="1" ht="19.5">
      <c r="A81" s="478">
        <v>45742</v>
      </c>
      <c r="B81" s="14" t="s">
        <v>5139</v>
      </c>
      <c r="C81" s="14" t="s">
        <v>313</v>
      </c>
      <c r="D81" s="14" t="s">
        <v>4308</v>
      </c>
      <c r="E81" s="14" t="s">
        <v>5196</v>
      </c>
      <c r="F81" s="14" t="s">
        <v>1673</v>
      </c>
      <c r="G81" s="14" t="s">
        <v>5111</v>
      </c>
      <c r="H81" s="14" t="s">
        <v>26</v>
      </c>
      <c r="I81" s="17"/>
      <c r="J81" s="17">
        <v>198000</v>
      </c>
      <c r="K81" s="17">
        <v>164000</v>
      </c>
      <c r="L81" s="17">
        <f>J81-K81</f>
      </c>
      <c r="M81" s="14" t="s">
        <v>53</v>
      </c>
      <c r="N81" s="14" t="s">
        <v>5197</v>
      </c>
      <c r="O81" s="65" t="s">
        <v>251</v>
      </c>
      <c r="P81" s="17">
        <v>0</v>
      </c>
      <c r="Q81" s="65"/>
      <c r="R81" s="14"/>
      <c r="S81" s="17">
        <v>198000</v>
      </c>
      <c r="T81" s="17">
        <f>J81-P81-S81</f>
      </c>
      <c r="U81" s="293">
        <v>45776</v>
      </c>
      <c r="V81" s="14" t="s">
        <v>1718</v>
      </c>
      <c r="W81" s="14"/>
      <c r="X81" s="80"/>
      <c r="Y81" s="65"/>
      <c r="Z81" s="14"/>
      <c r="AA81" s="14"/>
      <c r="AB81" s="65"/>
      <c r="AC81" s="14"/>
      <c r="AD81" s="65"/>
      <c r="AE81" s="34"/>
      <c r="AF81" s="34"/>
    </row>
    <row x14ac:dyDescent="0.25" r="82" customHeight="1" ht="19.5">
      <c r="A82" s="478">
        <v>45743</v>
      </c>
      <c r="B82" s="14" t="s">
        <v>5198</v>
      </c>
      <c r="C82" s="14" t="s">
        <v>5199</v>
      </c>
      <c r="D82" s="14" t="s">
        <v>5200</v>
      </c>
      <c r="E82" s="14" t="s">
        <v>5201</v>
      </c>
      <c r="F82" s="14" t="s">
        <v>4414</v>
      </c>
      <c r="G82" s="14" t="s">
        <v>5036</v>
      </c>
      <c r="H82" s="14" t="s">
        <v>26</v>
      </c>
      <c r="I82" s="17"/>
      <c r="J82" s="17">
        <v>941000</v>
      </c>
      <c r="K82" s="17">
        <v>741000</v>
      </c>
      <c r="L82" s="17">
        <f>J82-K82</f>
      </c>
      <c r="M82" s="14" t="s">
        <v>3045</v>
      </c>
      <c r="N82" s="14" t="s">
        <v>5202</v>
      </c>
      <c r="O82" s="65"/>
      <c r="P82" s="17">
        <v>0</v>
      </c>
      <c r="Q82" s="65"/>
      <c r="R82" s="14"/>
      <c r="S82" s="17">
        <v>941000</v>
      </c>
      <c r="T82" s="17">
        <f>J82-P82-S82</f>
      </c>
      <c r="U82" s="293">
        <v>45745</v>
      </c>
      <c r="V82" s="14" t="s">
        <v>1718</v>
      </c>
      <c r="W82" s="14"/>
      <c r="X82" s="80"/>
      <c r="Y82" s="65"/>
      <c r="Z82" s="14"/>
      <c r="AA82" s="14"/>
      <c r="AB82" s="65"/>
      <c r="AC82" s="14"/>
      <c r="AD82" s="65"/>
      <c r="AE82" s="34"/>
      <c r="AF82" s="34"/>
    </row>
    <row x14ac:dyDescent="0.25" r="83" customHeight="1" ht="19.5">
      <c r="A83" s="478">
        <v>45743</v>
      </c>
      <c r="B83" s="14" t="s">
        <v>123</v>
      </c>
      <c r="C83" s="14" t="s">
        <v>54</v>
      </c>
      <c r="D83" s="14" t="s">
        <v>5203</v>
      </c>
      <c r="E83" s="14" t="s">
        <v>5204</v>
      </c>
      <c r="F83" s="14" t="s">
        <v>2556</v>
      </c>
      <c r="G83" s="14" t="s">
        <v>5205</v>
      </c>
      <c r="H83" s="14" t="s">
        <v>26</v>
      </c>
      <c r="I83" s="17">
        <v>70000</v>
      </c>
      <c r="J83" s="17">
        <v>498900</v>
      </c>
      <c r="K83" s="17">
        <v>441720</v>
      </c>
      <c r="L83" s="17">
        <f>J83-K83</f>
      </c>
      <c r="M83" s="14" t="s">
        <v>50</v>
      </c>
      <c r="N83" s="14" t="s">
        <v>5206</v>
      </c>
      <c r="O83" s="17">
        <v>2</v>
      </c>
      <c r="P83" s="17">
        <v>0</v>
      </c>
      <c r="Q83" s="65"/>
      <c r="R83" s="14"/>
      <c r="S83" s="17">
        <v>498900</v>
      </c>
      <c r="T83" s="17">
        <f>J83-P83-S83</f>
      </c>
      <c r="U83" s="293">
        <v>45744</v>
      </c>
      <c r="V83" s="14" t="s">
        <v>1718</v>
      </c>
      <c r="W83" s="14"/>
      <c r="X83" s="80"/>
      <c r="Y83" s="65"/>
      <c r="Z83" s="14"/>
      <c r="AA83" s="14"/>
      <c r="AB83" s="65"/>
      <c r="AC83" s="14"/>
      <c r="AD83" s="65"/>
      <c r="AE83" s="34"/>
      <c r="AF83" s="34"/>
    </row>
    <row x14ac:dyDescent="0.25" r="84" customHeight="1" ht="19.5">
      <c r="A84" s="478">
        <v>45743</v>
      </c>
      <c r="B84" s="14" t="s">
        <v>82</v>
      </c>
      <c r="C84" s="14" t="s">
        <v>83</v>
      </c>
      <c r="D84" s="14" t="s">
        <v>5207</v>
      </c>
      <c r="E84" s="14" t="s">
        <v>5208</v>
      </c>
      <c r="F84" s="14" t="s">
        <v>84</v>
      </c>
      <c r="G84" s="14" t="s">
        <v>5209</v>
      </c>
      <c r="H84" s="14" t="s">
        <v>26</v>
      </c>
      <c r="I84" s="17">
        <v>36140</v>
      </c>
      <c r="J84" s="17">
        <v>116750</v>
      </c>
      <c r="K84" s="17">
        <v>97140</v>
      </c>
      <c r="L84" s="17">
        <f>J84-K84</f>
      </c>
      <c r="M84" s="14" t="s">
        <v>86</v>
      </c>
      <c r="N84" s="14" t="s">
        <v>5210</v>
      </c>
      <c r="O84" s="65"/>
      <c r="P84" s="17">
        <v>0</v>
      </c>
      <c r="Q84" s="65"/>
      <c r="R84" s="14"/>
      <c r="S84" s="17">
        <v>116750</v>
      </c>
      <c r="T84" s="17">
        <f>J84-P84-S84</f>
      </c>
      <c r="U84" s="293">
        <v>45789</v>
      </c>
      <c r="V84" s="14" t="s">
        <v>2122</v>
      </c>
      <c r="W84" s="14"/>
      <c r="X84" s="80"/>
      <c r="Y84" s="65"/>
      <c r="Z84" s="14"/>
      <c r="AA84" s="14"/>
      <c r="AB84" s="65"/>
      <c r="AC84" s="14"/>
      <c r="AD84" s="65"/>
      <c r="AE84" s="34"/>
      <c r="AF84" s="34"/>
    </row>
    <row x14ac:dyDescent="0.25" r="85" customHeight="1" ht="19.5">
      <c r="A85" s="478">
        <v>45743</v>
      </c>
      <c r="B85" s="14" t="s">
        <v>82</v>
      </c>
      <c r="C85" s="14" t="s">
        <v>576</v>
      </c>
      <c r="D85" s="14" t="s">
        <v>5211</v>
      </c>
      <c r="E85" s="14" t="s">
        <v>5212</v>
      </c>
      <c r="F85" s="14" t="s">
        <v>719</v>
      </c>
      <c r="G85" s="14" t="s">
        <v>5138</v>
      </c>
      <c r="H85" s="14" t="s">
        <v>26</v>
      </c>
      <c r="I85" s="17"/>
      <c r="J85" s="17">
        <v>23000</v>
      </c>
      <c r="K85" s="17">
        <v>13000</v>
      </c>
      <c r="L85" s="17">
        <f>J85-K85</f>
      </c>
      <c r="M85" s="14" t="s">
        <v>82</v>
      </c>
      <c r="N85" s="14" t="s">
        <v>721</v>
      </c>
      <c r="O85" s="65"/>
      <c r="P85" s="65"/>
      <c r="Q85" s="65"/>
      <c r="R85" s="14"/>
      <c r="S85" s="17">
        <v>23000</v>
      </c>
      <c r="T85" s="17">
        <f>J85-P85-S85</f>
      </c>
      <c r="U85" s="293">
        <v>45750</v>
      </c>
      <c r="V85" s="14" t="s">
        <v>1718</v>
      </c>
      <c r="W85" s="14" t="s">
        <v>1663</v>
      </c>
      <c r="X85" s="80"/>
      <c r="Y85" s="65"/>
      <c r="Z85" s="14"/>
      <c r="AA85" s="14"/>
      <c r="AB85" s="65"/>
      <c r="AC85" s="14"/>
      <c r="AD85" s="65"/>
      <c r="AE85" s="34"/>
      <c r="AF85" s="34"/>
    </row>
    <row x14ac:dyDescent="0.25" r="86" customHeight="1" ht="19.5">
      <c r="A86" s="478">
        <v>45744</v>
      </c>
      <c r="B86" s="14" t="s">
        <v>123</v>
      </c>
      <c r="C86" s="14" t="s">
        <v>5213</v>
      </c>
      <c r="D86" s="14" t="s">
        <v>5214</v>
      </c>
      <c r="E86" s="14" t="s">
        <v>5215</v>
      </c>
      <c r="F86" s="14" t="s">
        <v>327</v>
      </c>
      <c r="G86" s="14" t="s">
        <v>5216</v>
      </c>
      <c r="H86" s="14" t="s">
        <v>26</v>
      </c>
      <c r="I86" s="17"/>
      <c r="J86" s="17">
        <v>589000</v>
      </c>
      <c r="K86" s="17">
        <v>505300</v>
      </c>
      <c r="L86" s="17">
        <f>J86-K86</f>
      </c>
      <c r="M86" s="14" t="s">
        <v>3045</v>
      </c>
      <c r="N86" s="14" t="s">
        <v>5217</v>
      </c>
      <c r="O86" s="65" t="s">
        <v>251</v>
      </c>
      <c r="P86" s="17">
        <v>0</v>
      </c>
      <c r="Q86" s="65"/>
      <c r="R86" s="14"/>
      <c r="S86" s="17">
        <v>589000</v>
      </c>
      <c r="T86" s="17">
        <f>J86-P86-S86</f>
      </c>
      <c r="U86" s="293">
        <v>45916</v>
      </c>
      <c r="V86" s="14" t="s">
        <v>2122</v>
      </c>
      <c r="W86" s="14"/>
      <c r="X86" s="80"/>
      <c r="Y86" s="65"/>
      <c r="Z86" s="14"/>
      <c r="AA86" s="14"/>
      <c r="AB86" s="65"/>
      <c r="AC86" s="14"/>
      <c r="AD86" s="65"/>
      <c r="AE86" s="34"/>
      <c r="AF86" s="34"/>
    </row>
    <row x14ac:dyDescent="0.25" r="87" customHeight="1" ht="19.5">
      <c r="A87" s="478">
        <v>45744</v>
      </c>
      <c r="B87" s="14" t="s">
        <v>5218</v>
      </c>
      <c r="C87" s="14" t="s">
        <v>5219</v>
      </c>
      <c r="D87" s="14" t="s">
        <v>5220</v>
      </c>
      <c r="E87" s="14" t="s">
        <v>5221</v>
      </c>
      <c r="F87" s="14" t="s">
        <v>5222</v>
      </c>
      <c r="G87" s="14" t="s">
        <v>5223</v>
      </c>
      <c r="H87" s="14" t="s">
        <v>26</v>
      </c>
      <c r="I87" s="17"/>
      <c r="J87" s="17">
        <v>213400</v>
      </c>
      <c r="K87" s="17">
        <v>98400</v>
      </c>
      <c r="L87" s="17">
        <f>J87-K87</f>
      </c>
      <c r="M87" s="14" t="s">
        <v>50</v>
      </c>
      <c r="N87" s="14" t="s">
        <v>5224</v>
      </c>
      <c r="O87" s="65" t="s">
        <v>251</v>
      </c>
      <c r="P87" s="17">
        <v>0</v>
      </c>
      <c r="Q87" s="65"/>
      <c r="R87" s="14"/>
      <c r="S87" s="65"/>
      <c r="T87" s="17">
        <f>J87-P87-S87</f>
      </c>
      <c r="U87" s="293"/>
      <c r="V87" s="17"/>
      <c r="W87" s="14"/>
      <c r="X87" s="80"/>
      <c r="Y87" s="65"/>
      <c r="Z87" s="14"/>
      <c r="AA87" s="14"/>
      <c r="AB87" s="65"/>
      <c r="AC87" s="14"/>
      <c r="AD87" s="65"/>
      <c r="AE87" s="34"/>
      <c r="AF87" s="34"/>
    </row>
    <row x14ac:dyDescent="0.25" r="88" customHeight="1" ht="19.5">
      <c r="A88" s="478">
        <v>45744</v>
      </c>
      <c r="B88" s="14" t="s">
        <v>66</v>
      </c>
      <c r="C88" s="14" t="s">
        <v>5225</v>
      </c>
      <c r="D88" s="14" t="s">
        <v>5226</v>
      </c>
      <c r="E88" s="14" t="s">
        <v>5227</v>
      </c>
      <c r="F88" s="14" t="s">
        <v>3750</v>
      </c>
      <c r="G88" s="14" t="s">
        <v>5228</v>
      </c>
      <c r="H88" s="14" t="s">
        <v>26</v>
      </c>
      <c r="I88" s="17">
        <v>86100</v>
      </c>
      <c r="J88" s="17">
        <v>475620</v>
      </c>
      <c r="K88" s="17">
        <v>435620</v>
      </c>
      <c r="L88" s="17">
        <f>J88-K88</f>
      </c>
      <c r="M88" s="14" t="s">
        <v>50</v>
      </c>
      <c r="N88" s="14" t="s">
        <v>5229</v>
      </c>
      <c r="O88" s="17">
        <v>2</v>
      </c>
      <c r="P88" s="17">
        <v>175000</v>
      </c>
      <c r="Q88" s="17">
        <v>300000</v>
      </c>
      <c r="R88" s="17"/>
      <c r="S88" s="65"/>
      <c r="T88" s="17">
        <f>J88-P88-Q88-S88</f>
      </c>
      <c r="U88" s="293">
        <v>45763</v>
      </c>
      <c r="V88" s="14" t="s">
        <v>1718</v>
      </c>
      <c r="W88" s="14" t="s">
        <v>5230</v>
      </c>
      <c r="X88" s="80"/>
      <c r="Y88" s="65"/>
      <c r="Z88" s="14"/>
      <c r="AA88" s="14"/>
      <c r="AB88" s="65"/>
      <c r="AC88" s="14"/>
      <c r="AD88" s="65"/>
      <c r="AE88" s="34"/>
      <c r="AF88" s="34"/>
    </row>
    <row x14ac:dyDescent="0.25" r="89" customHeight="1" ht="19.5">
      <c r="A89" s="478">
        <v>45744</v>
      </c>
      <c r="B89" s="14" t="s">
        <v>46</v>
      </c>
      <c r="C89" s="14" t="s">
        <v>54</v>
      </c>
      <c r="D89" s="14" t="s">
        <v>4407</v>
      </c>
      <c r="E89" s="14" t="s">
        <v>5231</v>
      </c>
      <c r="F89" s="14" t="s">
        <v>84</v>
      </c>
      <c r="G89" s="14" t="s">
        <v>5232</v>
      </c>
      <c r="H89" s="14" t="s">
        <v>26</v>
      </c>
      <c r="I89" s="17">
        <v>2078900</v>
      </c>
      <c r="J89" s="17">
        <v>2698980</v>
      </c>
      <c r="K89" s="17">
        <v>2424720</v>
      </c>
      <c r="L89" s="17">
        <f>J89-K89</f>
      </c>
      <c r="M89" s="14" t="s">
        <v>50</v>
      </c>
      <c r="N89" s="14" t="s">
        <v>5233</v>
      </c>
      <c r="O89" s="17">
        <v>2</v>
      </c>
      <c r="P89" s="17">
        <v>0</v>
      </c>
      <c r="Q89" s="65"/>
      <c r="R89" s="14"/>
      <c r="S89" s="17">
        <v>2698980</v>
      </c>
      <c r="T89" s="17">
        <f>J89-P89-S89</f>
      </c>
      <c r="U89" s="293">
        <v>45779</v>
      </c>
      <c r="V89" s="14" t="s">
        <v>2122</v>
      </c>
      <c r="W89" s="14"/>
      <c r="X89" s="80"/>
      <c r="Y89" s="65"/>
      <c r="Z89" s="14"/>
      <c r="AA89" s="14"/>
      <c r="AB89" s="65"/>
      <c r="AC89" s="14"/>
      <c r="AD89" s="65"/>
      <c r="AE89" s="34"/>
      <c r="AF89" s="34"/>
    </row>
    <row x14ac:dyDescent="0.25" r="90" customHeight="1" ht="19.5">
      <c r="A90" s="478">
        <v>45744</v>
      </c>
      <c r="B90" s="70" t="s">
        <v>82</v>
      </c>
      <c r="C90" s="70" t="s">
        <v>5234</v>
      </c>
      <c r="D90" s="70" t="s">
        <v>5235</v>
      </c>
      <c r="E90" s="70"/>
      <c r="F90" s="70" t="s">
        <v>84</v>
      </c>
      <c r="G90" s="70" t="s">
        <v>5232</v>
      </c>
      <c r="H90" s="70" t="s">
        <v>26</v>
      </c>
      <c r="I90" s="245">
        <v>74640</v>
      </c>
      <c r="J90" s="245">
        <v>200950</v>
      </c>
      <c r="K90" s="245">
        <v>169540</v>
      </c>
      <c r="L90" s="245">
        <v>31410</v>
      </c>
      <c r="M90" s="70" t="s">
        <v>86</v>
      </c>
      <c r="N90" s="70" t="s">
        <v>5236</v>
      </c>
      <c r="O90" s="238"/>
      <c r="P90" s="238"/>
      <c r="Q90" s="238"/>
      <c r="R90" s="70"/>
      <c r="S90" s="238"/>
      <c r="T90" s="17">
        <f>J90-P90-S90</f>
      </c>
      <c r="U90" s="293"/>
      <c r="V90" s="17"/>
      <c r="W90" s="14"/>
      <c r="X90" s="80"/>
      <c r="Y90" s="65"/>
      <c r="Z90" s="14"/>
      <c r="AA90" s="14"/>
      <c r="AB90" s="65"/>
      <c r="AC90" s="14"/>
      <c r="AD90" s="65"/>
      <c r="AE90" s="34"/>
      <c r="AF90" s="34"/>
    </row>
    <row x14ac:dyDescent="0.25" r="91" customHeight="1" ht="19.5">
      <c r="A91" s="478">
        <v>45744</v>
      </c>
      <c r="B91" s="14" t="s">
        <v>53</v>
      </c>
      <c r="C91" s="14" t="s">
        <v>101</v>
      </c>
      <c r="D91" s="14" t="s">
        <v>3423</v>
      </c>
      <c r="E91" s="14" t="s">
        <v>5237</v>
      </c>
      <c r="F91" s="14" t="s">
        <v>4414</v>
      </c>
      <c r="G91" s="14" t="s">
        <v>5238</v>
      </c>
      <c r="H91" s="14" t="s">
        <v>26</v>
      </c>
      <c r="I91" s="17">
        <v>1851800</v>
      </c>
      <c r="J91" s="17">
        <v>2339980</v>
      </c>
      <c r="K91" s="17">
        <v>2258420</v>
      </c>
      <c r="L91" s="17">
        <f>J91-K91</f>
      </c>
      <c r="M91" s="14" t="s">
        <v>137</v>
      </c>
      <c r="N91" s="14" t="s">
        <v>5239</v>
      </c>
      <c r="O91" s="65"/>
      <c r="P91" s="17">
        <v>0</v>
      </c>
      <c r="Q91" s="65"/>
      <c r="R91" s="14"/>
      <c r="S91" s="17">
        <v>2339980</v>
      </c>
      <c r="T91" s="17">
        <f>J91-P91-S91</f>
      </c>
      <c r="U91" s="293">
        <v>45745</v>
      </c>
      <c r="V91" s="14" t="s">
        <v>1718</v>
      </c>
      <c r="W91" s="14"/>
      <c r="X91" s="80"/>
      <c r="Y91" s="65"/>
      <c r="Z91" s="14"/>
      <c r="AA91" s="14"/>
      <c r="AB91" s="65"/>
      <c r="AC91" s="14"/>
      <c r="AD91" s="65"/>
      <c r="AE91" s="34"/>
      <c r="AF91" s="34"/>
    </row>
    <row x14ac:dyDescent="0.25" r="92" customHeight="1" ht="19.5">
      <c r="A92" s="478">
        <v>45744</v>
      </c>
      <c r="B92" s="14" t="s">
        <v>53</v>
      </c>
      <c r="C92" s="14" t="s">
        <v>4417</v>
      </c>
      <c r="D92" s="14" t="s">
        <v>5240</v>
      </c>
      <c r="E92" s="14" t="s">
        <v>5241</v>
      </c>
      <c r="F92" s="14" t="s">
        <v>4414</v>
      </c>
      <c r="G92" s="14" t="s">
        <v>5242</v>
      </c>
      <c r="H92" s="14" t="s">
        <v>26</v>
      </c>
      <c r="I92" s="17">
        <v>755100</v>
      </c>
      <c r="J92" s="17">
        <v>1021800</v>
      </c>
      <c r="K92" s="17">
        <v>941100</v>
      </c>
      <c r="L92" s="17">
        <f>J92-K92</f>
      </c>
      <c r="M92" s="14" t="s">
        <v>137</v>
      </c>
      <c r="N92" s="14" t="s">
        <v>5243</v>
      </c>
      <c r="O92" s="65"/>
      <c r="P92" s="17">
        <v>0</v>
      </c>
      <c r="Q92" s="65"/>
      <c r="R92" s="14"/>
      <c r="S92" s="17">
        <v>1021800</v>
      </c>
      <c r="T92" s="17">
        <f>J92-P92-S92</f>
      </c>
      <c r="U92" s="293">
        <v>45745</v>
      </c>
      <c r="V92" s="14" t="s">
        <v>1718</v>
      </c>
      <c r="W92" s="14"/>
      <c r="X92" s="80"/>
      <c r="Y92" s="65"/>
      <c r="Z92" s="14"/>
      <c r="AA92" s="14"/>
      <c r="AB92" s="65"/>
      <c r="AC92" s="14"/>
      <c r="AD92" s="65"/>
      <c r="AE92" s="34"/>
      <c r="AF92" s="34"/>
    </row>
    <row x14ac:dyDescent="0.25" r="93" customHeight="1" ht="19.5">
      <c r="A93" s="478">
        <v>45745</v>
      </c>
      <c r="B93" s="14" t="s">
        <v>897</v>
      </c>
      <c r="C93" s="14" t="s">
        <v>398</v>
      </c>
      <c r="D93" s="14" t="s">
        <v>664</v>
      </c>
      <c r="E93" s="14" t="s">
        <v>5244</v>
      </c>
      <c r="F93" s="14" t="s">
        <v>84</v>
      </c>
      <c r="G93" s="14" t="s">
        <v>4401</v>
      </c>
      <c r="H93" s="14" t="s">
        <v>26</v>
      </c>
      <c r="I93" s="17"/>
      <c r="J93" s="17">
        <v>304980</v>
      </c>
      <c r="K93" s="17">
        <v>257980</v>
      </c>
      <c r="L93" s="17">
        <f>J93-K93</f>
      </c>
      <c r="M93" s="14" t="s">
        <v>3045</v>
      </c>
      <c r="N93" s="14" t="s">
        <v>5245</v>
      </c>
      <c r="O93" s="17">
        <v>1</v>
      </c>
      <c r="P93" s="17">
        <v>0</v>
      </c>
      <c r="Q93" s="65"/>
      <c r="R93" s="14"/>
      <c r="S93" s="17">
        <v>304980</v>
      </c>
      <c r="T93" s="17">
        <f>J93-P93-S93</f>
      </c>
      <c r="U93" s="293">
        <v>45768</v>
      </c>
      <c r="V93" s="14" t="s">
        <v>2122</v>
      </c>
      <c r="W93" s="14"/>
      <c r="X93" s="80"/>
      <c r="Y93" s="65"/>
      <c r="Z93" s="14"/>
      <c r="AA93" s="14"/>
      <c r="AB93" s="65"/>
      <c r="AC93" s="14"/>
      <c r="AD93" s="65"/>
      <c r="AE93" s="34"/>
      <c r="AF93" s="34"/>
    </row>
    <row x14ac:dyDescent="0.25" r="94" customHeight="1" ht="19.5">
      <c r="A94" s="482">
        <v>45745</v>
      </c>
      <c r="B94" s="56" t="s">
        <v>111</v>
      </c>
      <c r="C94" s="56" t="s">
        <v>5246</v>
      </c>
      <c r="D94" s="56" t="s">
        <v>5247</v>
      </c>
      <c r="E94" s="56" t="s">
        <v>5248</v>
      </c>
      <c r="F94" s="56" t="s">
        <v>84</v>
      </c>
      <c r="G94" s="56" t="s">
        <v>4401</v>
      </c>
      <c r="H94" s="56" t="s">
        <v>26</v>
      </c>
      <c r="I94" s="180" t="s">
        <v>5249</v>
      </c>
      <c r="J94" s="57">
        <v>95800</v>
      </c>
      <c r="K94" s="57">
        <v>43400</v>
      </c>
      <c r="L94" s="57">
        <f>J94-K94</f>
      </c>
      <c r="M94" s="56" t="s">
        <v>3045</v>
      </c>
      <c r="N94" s="56" t="s">
        <v>5250</v>
      </c>
      <c r="O94" s="180" t="s">
        <v>343</v>
      </c>
      <c r="P94" s="57">
        <v>0</v>
      </c>
      <c r="Q94" s="57"/>
      <c r="R94" s="57"/>
      <c r="S94" s="57">
        <v>95800</v>
      </c>
      <c r="T94" s="57">
        <f>J94-P94-S94</f>
      </c>
      <c r="U94" s="483">
        <v>45768</v>
      </c>
      <c r="V94" s="56" t="s">
        <v>2122</v>
      </c>
      <c r="W94" s="56"/>
      <c r="X94" s="487"/>
      <c r="Y94" s="180"/>
      <c r="Z94" s="56"/>
      <c r="AA94" s="56"/>
      <c r="AB94" s="180"/>
      <c r="AC94" s="56"/>
      <c r="AD94" s="180"/>
      <c r="AE94" s="34"/>
      <c r="AF94" s="34"/>
    </row>
    <row x14ac:dyDescent="0.25" r="95" customHeight="1" ht="19.5">
      <c r="A95" s="478">
        <v>45745</v>
      </c>
      <c r="B95" s="14" t="s">
        <v>111</v>
      </c>
      <c r="C95" s="14" t="s">
        <v>5251</v>
      </c>
      <c r="D95" s="14" t="s">
        <v>5252</v>
      </c>
      <c r="E95" s="14" t="s">
        <v>5253</v>
      </c>
      <c r="F95" s="14" t="s">
        <v>84</v>
      </c>
      <c r="G95" s="14" t="s">
        <v>5254</v>
      </c>
      <c r="H95" s="14" t="s">
        <v>26</v>
      </c>
      <c r="I95" s="17"/>
      <c r="J95" s="17">
        <v>438980</v>
      </c>
      <c r="K95" s="17">
        <v>245292</v>
      </c>
      <c r="L95" s="69">
        <f>J95-K95</f>
      </c>
      <c r="M95" s="14" t="s">
        <v>3045</v>
      </c>
      <c r="N95" s="14" t="s">
        <v>5255</v>
      </c>
      <c r="O95" s="17">
        <v>1</v>
      </c>
      <c r="P95" s="17">
        <v>0</v>
      </c>
      <c r="Q95" s="17"/>
      <c r="R95" s="17"/>
      <c r="S95" s="17">
        <v>438980</v>
      </c>
      <c r="T95" s="17">
        <f>J95-P95-S95</f>
      </c>
      <c r="U95" s="293">
        <v>45768</v>
      </c>
      <c r="V95" s="14" t="s">
        <v>2122</v>
      </c>
      <c r="W95" s="14"/>
      <c r="X95" s="80"/>
      <c r="Y95" s="65"/>
      <c r="Z95" s="14"/>
      <c r="AA95" s="14"/>
      <c r="AB95" s="65"/>
      <c r="AC95" s="14"/>
      <c r="AD95" s="65"/>
      <c r="AE95" s="34"/>
      <c r="AF95" s="34"/>
    </row>
    <row x14ac:dyDescent="0.25" r="96" customHeight="1" ht="19.5">
      <c r="A96" s="478">
        <v>45745</v>
      </c>
      <c r="B96" s="14" t="s">
        <v>111</v>
      </c>
      <c r="C96" s="14" t="s">
        <v>5256</v>
      </c>
      <c r="D96" s="14" t="s">
        <v>5257</v>
      </c>
      <c r="E96" s="14" t="s">
        <v>5253</v>
      </c>
      <c r="F96" s="14" t="s">
        <v>84</v>
      </c>
      <c r="G96" s="14" t="s">
        <v>5254</v>
      </c>
      <c r="H96" s="14" t="s">
        <v>26</v>
      </c>
      <c r="I96" s="17"/>
      <c r="J96" s="17">
        <v>420000</v>
      </c>
      <c r="K96" s="17">
        <v>234775</v>
      </c>
      <c r="L96" s="17">
        <f>J96-K96</f>
      </c>
      <c r="M96" s="14" t="s">
        <v>3045</v>
      </c>
      <c r="N96" s="14" t="s">
        <v>5258</v>
      </c>
      <c r="O96" s="17">
        <v>1</v>
      </c>
      <c r="P96" s="17">
        <v>0</v>
      </c>
      <c r="Q96" s="17"/>
      <c r="R96" s="17"/>
      <c r="S96" s="17">
        <v>420000</v>
      </c>
      <c r="T96" s="17">
        <f>J96-P96-S96</f>
      </c>
      <c r="U96" s="293">
        <v>45768</v>
      </c>
      <c r="V96" s="14" t="s">
        <v>2122</v>
      </c>
      <c r="W96" s="14"/>
      <c r="X96" s="80"/>
      <c r="Y96" s="65"/>
      <c r="Z96" s="14"/>
      <c r="AA96" s="14"/>
      <c r="AB96" s="65"/>
      <c r="AC96" s="14"/>
      <c r="AD96" s="65"/>
      <c r="AE96" s="34"/>
      <c r="AF96" s="34"/>
    </row>
    <row x14ac:dyDescent="0.25" r="97" customHeight="1" ht="19.5">
      <c r="A97" s="478">
        <v>45745</v>
      </c>
      <c r="B97" s="14" t="s">
        <v>22</v>
      </c>
      <c r="C97" s="14" t="s">
        <v>2003</v>
      </c>
      <c r="D97" s="14" t="s">
        <v>5252</v>
      </c>
      <c r="E97" s="14" t="s">
        <v>5259</v>
      </c>
      <c r="F97" s="14" t="s">
        <v>84</v>
      </c>
      <c r="G97" s="14" t="s">
        <v>5254</v>
      </c>
      <c r="H97" s="14" t="s">
        <v>26</v>
      </c>
      <c r="I97" s="17"/>
      <c r="J97" s="17">
        <v>362980</v>
      </c>
      <c r="K97" s="17">
        <v>294400</v>
      </c>
      <c r="L97" s="17">
        <f>J97-K97</f>
      </c>
      <c r="M97" s="14" t="s">
        <v>22</v>
      </c>
      <c r="N97" s="14" t="s">
        <v>5260</v>
      </c>
      <c r="O97" s="65"/>
      <c r="P97" s="17">
        <v>0</v>
      </c>
      <c r="Q97" s="17"/>
      <c r="R97" s="17"/>
      <c r="S97" s="17">
        <v>362980</v>
      </c>
      <c r="T97" s="17">
        <f>J97-P97-S97</f>
      </c>
      <c r="U97" s="293">
        <v>45768</v>
      </c>
      <c r="V97" s="14" t="s">
        <v>2122</v>
      </c>
      <c r="W97" s="14"/>
      <c r="X97" s="80"/>
      <c r="Y97" s="65"/>
      <c r="Z97" s="14"/>
      <c r="AA97" s="14"/>
      <c r="AB97" s="65"/>
      <c r="AC97" s="14"/>
      <c r="AD97" s="65"/>
      <c r="AE97" s="34"/>
      <c r="AF97" s="34"/>
    </row>
    <row x14ac:dyDescent="0.25" r="98" customHeight="1" ht="19.5">
      <c r="A98" s="482">
        <v>45745</v>
      </c>
      <c r="B98" s="56" t="s">
        <v>82</v>
      </c>
      <c r="C98" s="56" t="s">
        <v>5261</v>
      </c>
      <c r="D98" s="56" t="s">
        <v>678</v>
      </c>
      <c r="E98" s="56" t="s">
        <v>5262</v>
      </c>
      <c r="F98" s="56" t="s">
        <v>84</v>
      </c>
      <c r="G98" s="56" t="s">
        <v>4401</v>
      </c>
      <c r="H98" s="56" t="s">
        <v>26</v>
      </c>
      <c r="I98" s="180" t="s">
        <v>5263</v>
      </c>
      <c r="J98" s="57">
        <v>0</v>
      </c>
      <c r="K98" s="57">
        <v>0</v>
      </c>
      <c r="L98" s="57">
        <f>J98-K98</f>
      </c>
      <c r="M98" s="56" t="s">
        <v>86</v>
      </c>
      <c r="N98" s="56" t="s">
        <v>5264</v>
      </c>
      <c r="O98" s="180" t="s">
        <v>343</v>
      </c>
      <c r="P98" s="57">
        <v>0</v>
      </c>
      <c r="Q98" s="180"/>
      <c r="R98" s="56"/>
      <c r="S98" s="180"/>
      <c r="T98" s="57">
        <f>J98-P98-S98</f>
      </c>
      <c r="U98" s="483"/>
      <c r="V98" s="57"/>
      <c r="W98" s="56"/>
      <c r="X98" s="487"/>
      <c r="Y98" s="180"/>
      <c r="Z98" s="56"/>
      <c r="AA98" s="56"/>
      <c r="AB98" s="180"/>
      <c r="AC98" s="56"/>
      <c r="AD98" s="180"/>
      <c r="AE98" s="34"/>
      <c r="AF98" s="34"/>
    </row>
    <row x14ac:dyDescent="0.25" r="99" customHeight="1" ht="19.5">
      <c r="A99" s="478">
        <v>45745</v>
      </c>
      <c r="B99" s="14" t="s">
        <v>72</v>
      </c>
      <c r="C99" s="14" t="s">
        <v>5265</v>
      </c>
      <c r="D99" s="14" t="s">
        <v>5214</v>
      </c>
      <c r="E99" s="14" t="s">
        <v>5266</v>
      </c>
      <c r="F99" s="14" t="s">
        <v>4496</v>
      </c>
      <c r="G99" s="14" t="s">
        <v>5267</v>
      </c>
      <c r="H99" s="14" t="s">
        <v>4127</v>
      </c>
      <c r="I99" s="17">
        <v>284800</v>
      </c>
      <c r="J99" s="17">
        <v>567900</v>
      </c>
      <c r="K99" s="17">
        <v>507400</v>
      </c>
      <c r="L99" s="17">
        <f>J99-K99</f>
      </c>
      <c r="M99" s="14" t="s">
        <v>154</v>
      </c>
      <c r="N99" s="14" t="s">
        <v>5268</v>
      </c>
      <c r="O99" s="65"/>
      <c r="P99" s="17">
        <v>0</v>
      </c>
      <c r="Q99" s="65"/>
      <c r="R99" s="14"/>
      <c r="S99" s="17">
        <v>567900</v>
      </c>
      <c r="T99" s="17">
        <f>J99-P99-S99</f>
      </c>
      <c r="U99" s="293">
        <v>45754</v>
      </c>
      <c r="V99" s="14" t="s">
        <v>1718</v>
      </c>
      <c r="W99" s="14"/>
      <c r="X99" s="80"/>
      <c r="Y99" s="65"/>
      <c r="Z99" s="14"/>
      <c r="AA99" s="14"/>
      <c r="AB99" s="65"/>
      <c r="AC99" s="14"/>
      <c r="AD99" s="65"/>
      <c r="AE99" s="34"/>
      <c r="AF99" s="34"/>
    </row>
    <row x14ac:dyDescent="0.25" r="100" customHeight="1" ht="19.5">
      <c r="A100" s="478">
        <v>45745</v>
      </c>
      <c r="B100" s="14"/>
      <c r="C100" s="14"/>
      <c r="D100" s="14"/>
      <c r="E100" s="14"/>
      <c r="F100" s="14" t="s">
        <v>84</v>
      </c>
      <c r="G100" s="14" t="s">
        <v>5269</v>
      </c>
      <c r="H100" s="14" t="s">
        <v>26</v>
      </c>
      <c r="I100" s="17"/>
      <c r="J100" s="17">
        <v>1400000</v>
      </c>
      <c r="K100" s="17">
        <v>1300000</v>
      </c>
      <c r="L100" s="17">
        <f>J100-K100</f>
      </c>
      <c r="M100" s="14"/>
      <c r="N100" s="14"/>
      <c r="O100" s="65" t="s">
        <v>5270</v>
      </c>
      <c r="P100" s="17">
        <v>0</v>
      </c>
      <c r="Q100" s="17"/>
      <c r="R100" s="17"/>
      <c r="S100" s="17">
        <v>1400000</v>
      </c>
      <c r="T100" s="17">
        <f>J100-P100-S100</f>
      </c>
      <c r="U100" s="293">
        <v>45748</v>
      </c>
      <c r="V100" s="14" t="s">
        <v>2122</v>
      </c>
      <c r="W100" s="14"/>
      <c r="X100" s="80"/>
      <c r="Y100" s="65"/>
      <c r="Z100" s="14"/>
      <c r="AA100" s="14"/>
      <c r="AB100" s="65"/>
      <c r="AC100" s="14"/>
      <c r="AD100" s="65"/>
      <c r="AE100" s="34"/>
      <c r="AF100" s="34"/>
    </row>
    <row x14ac:dyDescent="0.25" r="101" customHeight="1" ht="19.5">
      <c r="A101" s="478">
        <v>45745</v>
      </c>
      <c r="B101" s="14"/>
      <c r="C101" s="14"/>
      <c r="D101" s="14"/>
      <c r="E101" s="14"/>
      <c r="F101" s="14" t="s">
        <v>5271</v>
      </c>
      <c r="G101" s="14" t="s">
        <v>560</v>
      </c>
      <c r="H101" s="14" t="s">
        <v>26</v>
      </c>
      <c r="I101" s="17"/>
      <c r="J101" s="17">
        <v>350000</v>
      </c>
      <c r="K101" s="17">
        <v>293000</v>
      </c>
      <c r="L101" s="17">
        <f>J101-K101</f>
      </c>
      <c r="M101" s="14"/>
      <c r="N101" s="14"/>
      <c r="O101" s="65" t="s">
        <v>2987</v>
      </c>
      <c r="P101" s="17">
        <v>0</v>
      </c>
      <c r="Q101" s="17"/>
      <c r="R101" s="17"/>
      <c r="S101" s="17">
        <v>350000</v>
      </c>
      <c r="T101" s="17">
        <f>J101-P101-Q101-S101</f>
      </c>
      <c r="U101" s="293">
        <v>45781</v>
      </c>
      <c r="V101" s="14" t="s">
        <v>1718</v>
      </c>
      <c r="W101" s="14"/>
      <c r="X101" s="80"/>
      <c r="Y101" s="65"/>
      <c r="Z101" s="14"/>
      <c r="AA101" s="14"/>
      <c r="AB101" s="65"/>
      <c r="AC101" s="14"/>
      <c r="AD101" s="65"/>
      <c r="AE101" s="34"/>
      <c r="AF101" s="34"/>
    </row>
    <row x14ac:dyDescent="0.25" r="102" customHeight="1" ht="19.5">
      <c r="A102" s="478">
        <v>45745</v>
      </c>
      <c r="B102" s="14"/>
      <c r="C102" s="14"/>
      <c r="D102" s="14"/>
      <c r="E102" s="14"/>
      <c r="F102" s="14" t="s">
        <v>5271</v>
      </c>
      <c r="G102" s="14" t="s">
        <v>560</v>
      </c>
      <c r="H102" s="14" t="s">
        <v>26</v>
      </c>
      <c r="I102" s="17"/>
      <c r="J102" s="17">
        <v>0</v>
      </c>
      <c r="K102" s="17">
        <v>221000</v>
      </c>
      <c r="L102" s="17">
        <f>J102-K102</f>
      </c>
      <c r="M102" s="14"/>
      <c r="N102" s="14"/>
      <c r="O102" s="65" t="s">
        <v>2987</v>
      </c>
      <c r="P102" s="17">
        <f>J102</f>
      </c>
      <c r="Q102" s="17"/>
      <c r="R102" s="17"/>
      <c r="S102" s="17"/>
      <c r="T102" s="17">
        <f>J102</f>
      </c>
      <c r="U102" s="293"/>
      <c r="V102" s="17"/>
      <c r="W102" s="14"/>
      <c r="X102" s="14"/>
      <c r="Y102" s="65"/>
      <c r="Z102" s="14"/>
      <c r="AA102" s="14"/>
      <c r="AB102" s="65"/>
      <c r="AC102" s="14"/>
      <c r="AD102" s="65"/>
      <c r="AE102" s="34"/>
      <c r="AF102" s="34"/>
    </row>
    <row x14ac:dyDescent="0.25" r="103" customHeight="1" ht="15.75">
      <c r="A103" s="478">
        <v>45744</v>
      </c>
      <c r="B103" s="14" t="s">
        <v>53</v>
      </c>
      <c r="C103" s="14" t="s">
        <v>5272</v>
      </c>
      <c r="D103" s="14" t="s">
        <v>5273</v>
      </c>
      <c r="E103" s="14"/>
      <c r="F103" s="14" t="s">
        <v>4414</v>
      </c>
      <c r="G103" s="14" t="s">
        <v>5036</v>
      </c>
      <c r="H103" s="14" t="s">
        <v>26</v>
      </c>
      <c r="I103" s="65"/>
      <c r="J103" s="17">
        <v>1228700</v>
      </c>
      <c r="K103" s="17">
        <v>1148700</v>
      </c>
      <c r="L103" s="17">
        <f>J103-K103</f>
      </c>
      <c r="M103" s="14" t="s">
        <v>137</v>
      </c>
      <c r="N103" s="14" t="s">
        <v>5274</v>
      </c>
      <c r="O103" s="65"/>
      <c r="P103" s="65"/>
      <c r="Q103" s="65"/>
      <c r="R103" s="14"/>
      <c r="S103" s="65"/>
      <c r="T103" s="17">
        <f>J103</f>
      </c>
      <c r="U103" s="293"/>
      <c r="V103" s="14"/>
      <c r="W103" s="14"/>
      <c r="X103" s="14"/>
      <c r="Y103" s="65"/>
      <c r="Z103" s="14"/>
      <c r="AA103" s="14"/>
      <c r="AB103" s="65"/>
      <c r="AC103" s="14"/>
      <c r="AD103" s="65"/>
      <c r="AE103" s="34"/>
      <c r="AF103" s="34"/>
    </row>
    <row x14ac:dyDescent="0.25" r="104" customHeight="1" ht="19.5">
      <c r="A104" s="501" t="s">
        <v>743</v>
      </c>
      <c r="B104" s="14"/>
      <c r="C104" s="14"/>
      <c r="D104" s="14"/>
      <c r="E104" s="14"/>
      <c r="F104" s="14"/>
      <c r="G104" s="14"/>
      <c r="H104" s="14"/>
      <c r="I104" s="17">
        <f>SUM(I2:I102)</f>
      </c>
      <c r="J104" s="17">
        <f>SUM(J2:J102)</f>
      </c>
      <c r="K104" s="17">
        <f>SUM(K2:K102)</f>
      </c>
      <c r="L104" s="17">
        <f>SUM(L2:L102)</f>
      </c>
      <c r="M104" s="14"/>
      <c r="N104" s="14"/>
      <c r="O104" s="65"/>
      <c r="P104" s="17">
        <f>J104</f>
      </c>
      <c r="Q104" s="17"/>
      <c r="R104" s="17"/>
      <c r="S104" s="17"/>
      <c r="T104" s="17">
        <f>J104-P104-S104</f>
      </c>
      <c r="U104" s="293"/>
      <c r="V104" s="17"/>
      <c r="W104" s="14"/>
      <c r="X104" s="80"/>
      <c r="Y104" s="65"/>
      <c r="Z104" s="14"/>
      <c r="AA104" s="14"/>
      <c r="AB104" s="65"/>
      <c r="AC104" s="14"/>
      <c r="AD104" s="65"/>
      <c r="AE104" s="34"/>
      <c r="AF104" s="34"/>
    </row>
    <row x14ac:dyDescent="0.25" r="105" customHeight="1" ht="15.75">
      <c r="A105" s="502"/>
      <c r="B105" s="34"/>
      <c r="C105" s="34"/>
      <c r="D105" s="34"/>
      <c r="E105" s="34"/>
      <c r="F105" s="34"/>
      <c r="G105" s="34"/>
      <c r="H105" s="34"/>
      <c r="I105" s="29"/>
      <c r="J105" s="29"/>
      <c r="K105" s="29"/>
      <c r="L105" s="29"/>
      <c r="M105" s="34"/>
      <c r="N105" s="34"/>
      <c r="O105" s="29"/>
      <c r="P105" s="29"/>
      <c r="Q105" s="29"/>
      <c r="R105" s="34"/>
      <c r="S105" s="29"/>
      <c r="T105" s="29">
        <f>SUM(T2:T104)</f>
      </c>
      <c r="U105" s="2"/>
      <c r="V105" s="34"/>
      <c r="W105" s="34"/>
      <c r="X105" s="14"/>
      <c r="Y105" s="65"/>
      <c r="Z105" s="14"/>
      <c r="AA105" s="14"/>
      <c r="AB105" s="65"/>
      <c r="AC105" s="14"/>
      <c r="AD105" s="65"/>
      <c r="AE105" s="34"/>
      <c r="AF105" s="34"/>
    </row>
    <row x14ac:dyDescent="0.25" r="106" customHeight="1" ht="15.75">
      <c r="A106" s="502"/>
      <c r="B106" s="34"/>
      <c r="C106" s="34"/>
      <c r="D106" s="34"/>
      <c r="E106" s="34"/>
      <c r="F106" s="34"/>
      <c r="G106" s="34"/>
      <c r="H106" s="34"/>
      <c r="I106" s="29"/>
      <c r="J106" s="29"/>
      <c r="K106" s="29"/>
      <c r="L106" s="29"/>
      <c r="M106" s="34"/>
      <c r="N106" s="34"/>
      <c r="O106" s="29"/>
      <c r="P106" s="29"/>
      <c r="Q106" s="29"/>
      <c r="R106" s="34"/>
      <c r="S106" s="29"/>
      <c r="T106" s="29"/>
      <c r="U106" s="2"/>
      <c r="V106" s="34"/>
      <c r="W106" s="34"/>
      <c r="X106" s="14"/>
      <c r="Y106" s="65"/>
      <c r="Z106" s="14"/>
      <c r="AA106" s="14"/>
      <c r="AB106" s="65"/>
      <c r="AC106" s="14"/>
      <c r="AD106" s="65"/>
      <c r="AE106" s="34"/>
      <c r="AF106" s="34"/>
    </row>
    <row x14ac:dyDescent="0.25" r="107" customHeight="1" ht="15.75">
      <c r="A107" s="502"/>
      <c r="B107" s="3"/>
      <c r="C107" s="3"/>
      <c r="D107" s="3"/>
      <c r="E107" s="3"/>
      <c r="F107" s="3"/>
      <c r="G107" s="3"/>
      <c r="H107" s="3"/>
      <c r="I107" s="29"/>
      <c r="J107" s="29"/>
      <c r="K107" s="29"/>
      <c r="L107" s="29"/>
      <c r="M107" s="34"/>
      <c r="N107" s="34"/>
      <c r="O107" s="29"/>
      <c r="P107" s="29"/>
      <c r="Q107" s="29"/>
      <c r="R107" s="34"/>
      <c r="S107" s="29"/>
      <c r="T107" s="29"/>
      <c r="U107" s="2"/>
      <c r="V107" s="34"/>
      <c r="W107" s="34"/>
      <c r="X107" s="14"/>
      <c r="Y107" s="65"/>
      <c r="Z107" s="14"/>
      <c r="AA107" s="14"/>
      <c r="AB107" s="65"/>
      <c r="AC107" s="14"/>
      <c r="AD107" s="65"/>
      <c r="AE107" s="34"/>
      <c r="AF107" s="34"/>
    </row>
    <row x14ac:dyDescent="0.25" r="108" customHeight="1" ht="15.75">
      <c r="A108" s="502"/>
      <c r="B108" s="3"/>
      <c r="C108" s="3"/>
      <c r="D108" s="3"/>
      <c r="E108" s="3"/>
      <c r="F108" s="3"/>
      <c r="G108" s="3"/>
      <c r="H108" s="3"/>
      <c r="I108" s="29"/>
      <c r="J108" s="29"/>
      <c r="K108" s="29"/>
      <c r="L108" s="29"/>
      <c r="M108" s="34"/>
      <c r="N108" s="34"/>
      <c r="O108" s="29"/>
      <c r="P108" s="29"/>
      <c r="Q108" s="29"/>
      <c r="R108" s="34"/>
      <c r="S108" s="29"/>
      <c r="T108" s="29"/>
      <c r="U108" s="2"/>
      <c r="V108" s="34"/>
      <c r="W108" s="34"/>
      <c r="X108" s="14"/>
      <c r="Y108" s="65"/>
      <c r="Z108" s="14"/>
      <c r="AA108" s="14"/>
      <c r="AB108" s="65"/>
      <c r="AC108" s="14"/>
      <c r="AD108" s="65"/>
      <c r="AE108" s="34"/>
      <c r="AF108" s="34"/>
    </row>
    <row x14ac:dyDescent="0.25" r="109" customHeight="1" ht="15.75">
      <c r="A109" s="502"/>
      <c r="B109" s="3"/>
      <c r="C109" s="3"/>
      <c r="D109" s="3"/>
      <c r="E109" s="3"/>
      <c r="F109" s="3"/>
      <c r="G109" s="3"/>
      <c r="H109" s="3"/>
      <c r="I109" s="29"/>
      <c r="J109" s="29"/>
      <c r="K109" s="29"/>
      <c r="L109" s="29"/>
      <c r="M109" s="34"/>
      <c r="N109" s="34"/>
      <c r="O109" s="29"/>
      <c r="P109" s="29"/>
      <c r="Q109" s="29"/>
      <c r="R109" s="34"/>
      <c r="S109" s="29"/>
      <c r="T109" s="29"/>
      <c r="U109" s="2"/>
      <c r="V109" s="34"/>
      <c r="W109" s="34"/>
      <c r="X109" s="14"/>
      <c r="Y109" s="65"/>
      <c r="Z109" s="14"/>
      <c r="AA109" s="14"/>
      <c r="AB109" s="65"/>
      <c r="AC109" s="14"/>
      <c r="AD109" s="65"/>
      <c r="AE109" s="34"/>
      <c r="AF109" s="34"/>
    </row>
    <row x14ac:dyDescent="0.25" r="110" customHeight="1" ht="15.75">
      <c r="A110" s="502"/>
      <c r="B110" s="3"/>
      <c r="C110" s="3"/>
      <c r="D110" s="3"/>
      <c r="E110" s="3"/>
      <c r="F110" s="3"/>
      <c r="G110" s="3"/>
      <c r="H110" s="3"/>
      <c r="I110" s="29"/>
      <c r="J110" s="29"/>
      <c r="K110" s="29"/>
      <c r="L110" s="29"/>
      <c r="M110" s="34"/>
      <c r="N110" s="34"/>
      <c r="O110" s="29"/>
      <c r="P110" s="29"/>
      <c r="Q110" s="29"/>
      <c r="R110" s="34"/>
      <c r="S110" s="29"/>
      <c r="T110" s="29"/>
      <c r="U110" s="2"/>
      <c r="V110" s="34"/>
      <c r="W110" s="34"/>
      <c r="X110" s="14"/>
      <c r="Y110" s="65"/>
      <c r="Z110" s="14"/>
      <c r="AA110" s="14"/>
      <c r="AB110" s="65"/>
      <c r="AC110" s="14"/>
      <c r="AD110" s="65"/>
      <c r="AE110" s="34"/>
      <c r="AF110" s="34"/>
    </row>
    <row x14ac:dyDescent="0.25" r="111" customHeight="1" ht="15.75">
      <c r="A111" s="502"/>
      <c r="B111" s="3"/>
      <c r="C111" s="3"/>
      <c r="D111" s="3"/>
      <c r="E111" s="3"/>
      <c r="F111" s="3"/>
      <c r="G111" s="3"/>
      <c r="H111" s="3"/>
      <c r="I111" s="29"/>
      <c r="J111" s="29"/>
      <c r="K111" s="29"/>
      <c r="L111" s="29"/>
      <c r="M111" s="34"/>
      <c r="N111" s="34"/>
      <c r="O111" s="29"/>
      <c r="P111" s="29"/>
      <c r="Q111" s="29"/>
      <c r="R111" s="34"/>
      <c r="S111" s="29"/>
      <c r="T111" s="29"/>
      <c r="U111" s="2"/>
      <c r="V111" s="34"/>
      <c r="W111" s="34"/>
      <c r="X111" s="14"/>
      <c r="Y111" s="65"/>
      <c r="Z111" s="14"/>
      <c r="AA111" s="14"/>
      <c r="AB111" s="65"/>
      <c r="AC111" s="14"/>
      <c r="AD111" s="65"/>
      <c r="AE111" s="34"/>
      <c r="AF111" s="34"/>
    </row>
    <row x14ac:dyDescent="0.25" r="112" customHeight="1" ht="15.75">
      <c r="A112" s="502"/>
      <c r="B112" s="3"/>
      <c r="C112" s="3"/>
      <c r="D112" s="3"/>
      <c r="E112" s="118"/>
      <c r="F112" s="118"/>
      <c r="G112" s="34"/>
      <c r="H112" s="34"/>
      <c r="I112" s="29"/>
      <c r="J112" s="29"/>
      <c r="K112" s="29"/>
      <c r="L112" s="29"/>
      <c r="M112" s="34"/>
      <c r="N112" s="34"/>
      <c r="O112" s="29"/>
      <c r="P112" s="29"/>
      <c r="Q112" s="29"/>
      <c r="R112" s="34"/>
      <c r="S112" s="29"/>
      <c r="T112" s="29"/>
      <c r="U112" s="2"/>
      <c r="V112" s="34"/>
      <c r="W112" s="34"/>
      <c r="X112" s="14"/>
      <c r="Y112" s="65"/>
      <c r="Z112" s="14"/>
      <c r="AA112" s="14"/>
      <c r="AB112" s="65"/>
      <c r="AC112" s="14"/>
      <c r="AD112" s="65"/>
      <c r="AE112" s="34"/>
      <c r="AF112" s="34"/>
    </row>
    <row x14ac:dyDescent="0.25" r="113" customHeight="1" ht="15.75">
      <c r="A113" s="502"/>
      <c r="B113" s="3"/>
      <c r="C113" s="3"/>
      <c r="D113" s="3"/>
      <c r="E113" s="3"/>
      <c r="F113" s="3"/>
      <c r="G113" s="3"/>
      <c r="H113" s="3"/>
      <c r="I113" s="29"/>
      <c r="J113" s="29"/>
      <c r="K113" s="29"/>
      <c r="L113" s="29"/>
      <c r="M113" s="34"/>
      <c r="N113" s="34"/>
      <c r="O113" s="29"/>
      <c r="P113" s="29"/>
      <c r="Q113" s="29"/>
      <c r="R113" s="34"/>
      <c r="S113" s="29"/>
      <c r="T113" s="29"/>
      <c r="U113" s="2"/>
      <c r="V113" s="34"/>
      <c r="W113" s="34"/>
      <c r="X113" s="14"/>
      <c r="Y113" s="65"/>
      <c r="Z113" s="14"/>
      <c r="AA113" s="14"/>
      <c r="AB113" s="65"/>
      <c r="AC113" s="14"/>
      <c r="AD113" s="65"/>
      <c r="AE113" s="34"/>
      <c r="AF113" s="34"/>
    </row>
    <row x14ac:dyDescent="0.25" r="114" customHeight="1" ht="15.75">
      <c r="A114" s="502"/>
      <c r="B114" s="3"/>
      <c r="C114" s="3"/>
      <c r="D114" s="3"/>
      <c r="E114" s="3"/>
      <c r="F114" s="3"/>
      <c r="G114" s="3"/>
      <c r="H114" s="3"/>
      <c r="I114" s="29"/>
      <c r="J114" s="29"/>
      <c r="K114" s="29"/>
      <c r="L114" s="29"/>
      <c r="M114" s="34"/>
      <c r="N114" s="34"/>
      <c r="O114" s="29"/>
      <c r="P114" s="29"/>
      <c r="Q114" s="29"/>
      <c r="R114" s="34"/>
      <c r="S114" s="29"/>
      <c r="T114" s="29"/>
      <c r="U114" s="2"/>
      <c r="V114" s="34"/>
      <c r="W114" s="34"/>
      <c r="X114" s="14"/>
      <c r="Y114" s="65"/>
      <c r="Z114" s="14"/>
      <c r="AA114" s="14"/>
      <c r="AB114" s="65"/>
      <c r="AC114" s="14"/>
      <c r="AD114" s="65"/>
      <c r="AE114" s="34"/>
      <c r="AF114" s="34"/>
    </row>
    <row x14ac:dyDescent="0.25" r="115" customHeight="1" ht="15.75">
      <c r="A115" s="502"/>
      <c r="B115" s="3"/>
      <c r="C115" s="3"/>
      <c r="D115" s="3"/>
      <c r="E115" s="3"/>
      <c r="F115" s="3"/>
      <c r="G115" s="3"/>
      <c r="H115" s="3"/>
      <c r="I115" s="29"/>
      <c r="J115" s="29"/>
      <c r="K115" s="29"/>
      <c r="L115" s="29"/>
      <c r="M115" s="34"/>
      <c r="N115" s="34"/>
      <c r="O115" s="29"/>
      <c r="P115" s="29"/>
      <c r="Q115" s="29"/>
      <c r="R115" s="34"/>
      <c r="S115" s="29"/>
      <c r="T115" s="29"/>
      <c r="U115" s="2"/>
      <c r="V115" s="34"/>
      <c r="W115" s="34"/>
      <c r="X115" s="14"/>
      <c r="Y115" s="65"/>
      <c r="Z115" s="14"/>
      <c r="AA115" s="14"/>
      <c r="AB115" s="65"/>
      <c r="AC115" s="14"/>
      <c r="AD115" s="65"/>
      <c r="AE115" s="34"/>
      <c r="AF115" s="34"/>
    </row>
    <row x14ac:dyDescent="0.25" r="116" customHeight="1" ht="15.75">
      <c r="A116" s="502"/>
      <c r="B116" s="3"/>
      <c r="C116" s="3"/>
      <c r="D116" s="3"/>
      <c r="E116" s="3"/>
      <c r="F116" s="3"/>
      <c r="G116" s="3"/>
      <c r="H116" s="3"/>
      <c r="I116" s="29"/>
      <c r="J116" s="29"/>
      <c r="K116" s="29"/>
      <c r="L116" s="29"/>
      <c r="M116" s="34"/>
      <c r="N116" s="34"/>
      <c r="O116" s="29"/>
      <c r="P116" s="29"/>
      <c r="Q116" s="29"/>
      <c r="R116" s="34"/>
      <c r="S116" s="29"/>
      <c r="T116" s="29"/>
      <c r="U116" s="2"/>
      <c r="V116" s="34"/>
      <c r="W116" s="34"/>
      <c r="X116" s="14"/>
      <c r="Y116" s="65"/>
      <c r="Z116" s="14"/>
      <c r="AA116" s="14"/>
      <c r="AB116" s="65"/>
      <c r="AC116" s="14"/>
      <c r="AD116" s="65"/>
      <c r="AE116" s="34"/>
      <c r="AF116" s="34"/>
    </row>
    <row x14ac:dyDescent="0.25" r="117" customHeight="1" ht="15.75">
      <c r="A117" s="502"/>
      <c r="B117" s="3"/>
      <c r="C117" s="3"/>
      <c r="D117" s="3"/>
      <c r="E117" s="3"/>
      <c r="F117" s="3"/>
      <c r="G117" s="3"/>
      <c r="H117" s="3"/>
      <c r="I117" s="29"/>
      <c r="J117" s="29"/>
      <c r="K117" s="29"/>
      <c r="L117" s="29"/>
      <c r="M117" s="34"/>
      <c r="N117" s="34"/>
      <c r="O117" s="29"/>
      <c r="P117" s="29"/>
      <c r="Q117" s="29"/>
      <c r="R117" s="34"/>
      <c r="S117" s="29"/>
      <c r="T117" s="29"/>
      <c r="U117" s="2"/>
      <c r="V117" s="34"/>
      <c r="W117" s="34"/>
      <c r="X117" s="14"/>
      <c r="Y117" s="65"/>
      <c r="Z117" s="14"/>
      <c r="AA117" s="14"/>
      <c r="AB117" s="65"/>
      <c r="AC117" s="14"/>
      <c r="AD117" s="65"/>
      <c r="AE117" s="34"/>
      <c r="AF117" s="34"/>
    </row>
    <row x14ac:dyDescent="0.25" r="118" customHeight="1" ht="15.75">
      <c r="A118" s="502"/>
      <c r="B118" s="3"/>
      <c r="C118" s="3"/>
      <c r="D118" s="3"/>
      <c r="E118" s="3"/>
      <c r="F118" s="3"/>
      <c r="G118" s="503"/>
      <c r="H118" s="503"/>
      <c r="I118" s="29"/>
      <c r="J118" s="504"/>
      <c r="K118" s="29"/>
      <c r="L118" s="29"/>
      <c r="M118" s="34"/>
      <c r="N118" s="34"/>
      <c r="O118" s="29"/>
      <c r="P118" s="29"/>
      <c r="Q118" s="29"/>
      <c r="R118" s="34"/>
      <c r="S118" s="29"/>
      <c r="T118" s="29"/>
      <c r="U118" s="2"/>
      <c r="V118" s="34"/>
      <c r="W118" s="34"/>
      <c r="X118" s="14"/>
      <c r="Y118" s="65"/>
      <c r="Z118" s="14"/>
      <c r="AA118" s="14"/>
      <c r="AB118" s="65"/>
      <c r="AC118" s="14"/>
      <c r="AD118" s="65"/>
      <c r="AE118" s="34"/>
      <c r="AF118" s="34"/>
    </row>
    <row x14ac:dyDescent="0.25" r="119" customHeight="1" ht="15.75">
      <c r="A119" s="502"/>
      <c r="B119" s="3"/>
      <c r="C119" s="3"/>
      <c r="D119" s="3"/>
      <c r="E119" s="3"/>
      <c r="F119" s="3"/>
      <c r="G119" s="505"/>
      <c r="H119" s="505"/>
      <c r="I119" s="29"/>
      <c r="J119" s="29"/>
      <c r="K119" s="29"/>
      <c r="L119" s="29"/>
      <c r="M119" s="34"/>
      <c r="N119" s="34"/>
      <c r="O119" s="29"/>
      <c r="P119" s="29"/>
      <c r="Q119" s="29"/>
      <c r="R119" s="34"/>
      <c r="S119" s="29"/>
      <c r="T119" s="29"/>
      <c r="U119" s="2"/>
      <c r="V119" s="34"/>
      <c r="W119" s="34"/>
      <c r="X119" s="14"/>
      <c r="Y119" s="65"/>
      <c r="Z119" s="14"/>
      <c r="AA119" s="14"/>
      <c r="AB119" s="65"/>
      <c r="AC119" s="14"/>
      <c r="AD119" s="65"/>
      <c r="AE119" s="34"/>
      <c r="AF119" s="34"/>
    </row>
    <row x14ac:dyDescent="0.25" r="120" customHeight="1" ht="15.75">
      <c r="A120" s="502"/>
      <c r="B120" s="3"/>
      <c r="C120" s="3"/>
      <c r="D120" s="3"/>
      <c r="E120" s="3"/>
      <c r="F120" s="3"/>
      <c r="G120" s="3"/>
      <c r="H120" s="3"/>
      <c r="I120" s="29"/>
      <c r="J120" s="29"/>
      <c r="K120" s="29"/>
      <c r="L120" s="29"/>
      <c r="M120" s="34"/>
      <c r="N120" s="34"/>
      <c r="O120" s="29"/>
      <c r="P120" s="29"/>
      <c r="Q120" s="29"/>
      <c r="R120" s="34"/>
      <c r="S120" s="29"/>
      <c r="T120" s="29"/>
      <c r="U120" s="2"/>
      <c r="V120" s="34"/>
      <c r="W120" s="34"/>
      <c r="X120" s="14"/>
      <c r="Y120" s="65"/>
      <c r="Z120" s="14"/>
      <c r="AA120" s="14"/>
      <c r="AB120" s="65"/>
      <c r="AC120" s="14"/>
      <c r="AD120" s="65"/>
      <c r="AE120" s="34"/>
      <c r="AF120" s="34"/>
    </row>
    <row x14ac:dyDescent="0.25" r="121" customHeight="1" ht="15.75">
      <c r="A121" s="502"/>
      <c r="B121" s="3"/>
      <c r="C121" s="3"/>
      <c r="D121" s="3"/>
      <c r="E121" s="3"/>
      <c r="F121" s="3"/>
      <c r="G121" s="3"/>
      <c r="H121" s="3"/>
      <c r="I121" s="29"/>
      <c r="J121" s="29"/>
      <c r="K121" s="29"/>
      <c r="L121" s="29"/>
      <c r="M121" s="34"/>
      <c r="N121" s="34"/>
      <c r="O121" s="29"/>
      <c r="P121" s="29"/>
      <c r="Q121" s="29"/>
      <c r="R121" s="34"/>
      <c r="S121" s="29"/>
      <c r="T121" s="29"/>
      <c r="U121" s="2"/>
      <c r="V121" s="34"/>
      <c r="W121" s="34"/>
      <c r="X121" s="14"/>
      <c r="Y121" s="65"/>
      <c r="Z121" s="14"/>
      <c r="AA121" s="14"/>
      <c r="AB121" s="65"/>
      <c r="AC121" s="14"/>
      <c r="AD121" s="65"/>
      <c r="AE121" s="34"/>
      <c r="AF121" s="34"/>
    </row>
    <row x14ac:dyDescent="0.25" r="122" customHeight="1" ht="15.75">
      <c r="A122" s="502"/>
      <c r="B122" s="3"/>
      <c r="C122" s="3"/>
      <c r="D122" s="3"/>
      <c r="E122" s="3"/>
      <c r="F122" s="3"/>
      <c r="G122" s="3"/>
      <c r="H122" s="3"/>
      <c r="I122" s="29"/>
      <c r="J122" s="29"/>
      <c r="K122" s="29"/>
      <c r="L122" s="29"/>
      <c r="M122" s="34"/>
      <c r="N122" s="34"/>
      <c r="O122" s="29"/>
      <c r="P122" s="29"/>
      <c r="Q122" s="29"/>
      <c r="R122" s="34"/>
      <c r="S122" s="29"/>
      <c r="T122" s="29"/>
      <c r="U122" s="2"/>
      <c r="V122" s="34"/>
      <c r="W122" s="34"/>
      <c r="X122" s="14"/>
      <c r="Y122" s="65"/>
      <c r="Z122" s="14"/>
      <c r="AA122" s="14"/>
      <c r="AB122" s="65"/>
      <c r="AC122" s="14"/>
      <c r="AD122" s="65"/>
      <c r="AE122" s="34"/>
      <c r="AF122" s="34"/>
    </row>
    <row x14ac:dyDescent="0.25" r="123" customHeight="1" ht="15.75">
      <c r="A123" s="502"/>
      <c r="B123" s="3"/>
      <c r="C123" s="3"/>
      <c r="D123" s="3"/>
      <c r="E123" s="3"/>
      <c r="F123" s="3"/>
      <c r="G123" s="3"/>
      <c r="H123" s="3"/>
      <c r="I123" s="29"/>
      <c r="J123" s="29"/>
      <c r="K123" s="29"/>
      <c r="L123" s="29"/>
      <c r="M123" s="34"/>
      <c r="N123" s="34"/>
      <c r="O123" s="29"/>
      <c r="P123" s="29"/>
      <c r="Q123" s="29"/>
      <c r="R123" s="34"/>
      <c r="S123" s="29"/>
      <c r="T123" s="29"/>
      <c r="U123" s="2"/>
      <c r="V123" s="34"/>
      <c r="W123" s="34"/>
      <c r="X123" s="14"/>
      <c r="Y123" s="65"/>
      <c r="Z123" s="14"/>
      <c r="AA123" s="14"/>
      <c r="AB123" s="65"/>
      <c r="AC123" s="14"/>
      <c r="AD123" s="65"/>
      <c r="AE123" s="34"/>
      <c r="AF123" s="34"/>
    </row>
    <row x14ac:dyDescent="0.25" r="124" customHeight="1" ht="15.75">
      <c r="A124" s="502"/>
      <c r="B124" s="3"/>
      <c r="C124" s="3"/>
      <c r="D124" s="3"/>
      <c r="E124" s="3"/>
      <c r="F124" s="3"/>
      <c r="G124" s="3"/>
      <c r="H124" s="3"/>
      <c r="I124" s="29"/>
      <c r="J124" s="29"/>
      <c r="K124" s="29"/>
      <c r="L124" s="29"/>
      <c r="M124" s="34"/>
      <c r="N124" s="34"/>
      <c r="O124" s="29"/>
      <c r="P124" s="29"/>
      <c r="Q124" s="29"/>
      <c r="R124" s="34"/>
      <c r="S124" s="29"/>
      <c r="T124" s="29"/>
      <c r="U124" s="2"/>
      <c r="V124" s="34"/>
      <c r="W124" s="34"/>
      <c r="X124" s="14"/>
      <c r="Y124" s="65"/>
      <c r="Z124" s="14"/>
      <c r="AA124" s="14"/>
      <c r="AB124" s="65"/>
      <c r="AC124" s="14"/>
      <c r="AD124" s="65"/>
      <c r="AE124" s="34"/>
      <c r="AF124" s="34"/>
    </row>
    <row x14ac:dyDescent="0.25" r="125" customHeight="1" ht="15.75">
      <c r="A125" s="502"/>
      <c r="B125" s="3"/>
      <c r="C125" s="3"/>
      <c r="D125" s="3"/>
      <c r="E125" s="3"/>
      <c r="F125" s="3"/>
      <c r="G125" s="3"/>
      <c r="H125" s="3"/>
      <c r="I125" s="29"/>
      <c r="J125" s="29"/>
      <c r="K125" s="29"/>
      <c r="L125" s="29"/>
      <c r="M125" s="34"/>
      <c r="N125" s="34"/>
      <c r="O125" s="29"/>
      <c r="P125" s="29"/>
      <c r="Q125" s="29"/>
      <c r="R125" s="34"/>
      <c r="S125" s="29"/>
      <c r="T125" s="29"/>
      <c r="U125" s="2"/>
      <c r="V125" s="34"/>
      <c r="W125" s="34"/>
      <c r="X125" s="14"/>
      <c r="Y125" s="65"/>
      <c r="Z125" s="14"/>
      <c r="AA125" s="14"/>
      <c r="AB125" s="65"/>
      <c r="AC125" s="14"/>
      <c r="AD125" s="65"/>
      <c r="AE125" s="34"/>
      <c r="AF125" s="34"/>
    </row>
    <row x14ac:dyDescent="0.25" r="126" customHeight="1" ht="15.75">
      <c r="A126" s="502"/>
      <c r="B126" s="3"/>
      <c r="C126" s="3"/>
      <c r="D126" s="3"/>
      <c r="E126" s="3"/>
      <c r="F126" s="3"/>
      <c r="G126" s="3"/>
      <c r="H126" s="3"/>
      <c r="I126" s="29"/>
      <c r="J126" s="29"/>
      <c r="K126" s="29"/>
      <c r="L126" s="29"/>
      <c r="M126" s="34"/>
      <c r="N126" s="34"/>
      <c r="O126" s="29"/>
      <c r="P126" s="29"/>
      <c r="Q126" s="29"/>
      <c r="R126" s="34"/>
      <c r="S126" s="29"/>
      <c r="T126" s="29"/>
      <c r="U126" s="2"/>
      <c r="V126" s="34"/>
      <c r="W126" s="34"/>
      <c r="X126" s="14"/>
      <c r="Y126" s="65"/>
      <c r="Z126" s="14"/>
      <c r="AA126" s="14"/>
      <c r="AB126" s="65"/>
      <c r="AC126" s="14"/>
      <c r="AD126" s="65"/>
      <c r="AE126" s="34"/>
      <c r="AF126" s="34"/>
    </row>
    <row x14ac:dyDescent="0.25" r="127" customHeight="1" ht="15.75">
      <c r="A127" s="502"/>
      <c r="B127" s="3"/>
      <c r="C127" s="3"/>
      <c r="D127" s="3"/>
      <c r="E127" s="3"/>
      <c r="F127" s="3"/>
      <c r="G127" s="3"/>
      <c r="H127" s="3"/>
      <c r="I127" s="29"/>
      <c r="J127" s="29"/>
      <c r="K127" s="29"/>
      <c r="L127" s="29"/>
      <c r="M127" s="34"/>
      <c r="N127" s="34"/>
      <c r="O127" s="29"/>
      <c r="P127" s="29"/>
      <c r="Q127" s="29"/>
      <c r="R127" s="34"/>
      <c r="S127" s="29"/>
      <c r="T127" s="29"/>
      <c r="U127" s="2"/>
      <c r="V127" s="34"/>
      <c r="W127" s="34"/>
      <c r="X127" s="14"/>
      <c r="Y127" s="65"/>
      <c r="Z127" s="14"/>
      <c r="AA127" s="14"/>
      <c r="AB127" s="65"/>
      <c r="AC127" s="14"/>
      <c r="AD127" s="65"/>
      <c r="AE127" s="34"/>
      <c r="AF127" s="34"/>
    </row>
    <row x14ac:dyDescent="0.25" r="128" customHeight="1" ht="15.75">
      <c r="A128" s="502"/>
      <c r="B128" s="3"/>
      <c r="C128" s="3"/>
      <c r="D128" s="3"/>
      <c r="E128" s="3"/>
      <c r="F128" s="3"/>
      <c r="G128" s="3"/>
      <c r="H128" s="3"/>
      <c r="I128" s="29"/>
      <c r="J128" s="29"/>
      <c r="K128" s="29"/>
      <c r="L128" s="29"/>
      <c r="M128" s="34"/>
      <c r="N128" s="34"/>
      <c r="O128" s="29"/>
      <c r="P128" s="29"/>
      <c r="Q128" s="29"/>
      <c r="R128" s="34"/>
      <c r="S128" s="29"/>
      <c r="T128" s="29"/>
      <c r="U128" s="2"/>
      <c r="V128" s="34"/>
      <c r="W128" s="34"/>
      <c r="X128" s="14"/>
      <c r="Y128" s="65"/>
      <c r="Z128" s="14"/>
      <c r="AA128" s="14"/>
      <c r="AB128" s="65"/>
      <c r="AC128" s="14"/>
      <c r="AD128" s="65"/>
      <c r="AE128" s="34"/>
      <c r="AF128" s="34"/>
    </row>
    <row x14ac:dyDescent="0.25" r="129" customHeight="1" ht="15.75">
      <c r="A129" s="502"/>
      <c r="B129" s="3"/>
      <c r="C129" s="3"/>
      <c r="D129" s="3"/>
      <c r="E129" s="3"/>
      <c r="F129" s="3"/>
      <c r="G129" s="3"/>
      <c r="H129" s="3"/>
      <c r="I129" s="29"/>
      <c r="J129" s="29"/>
      <c r="K129" s="29"/>
      <c r="L129" s="29"/>
      <c r="M129" s="34"/>
      <c r="N129" s="34"/>
      <c r="O129" s="29"/>
      <c r="P129" s="29"/>
      <c r="Q129" s="29"/>
      <c r="R129" s="34"/>
      <c r="S129" s="29"/>
      <c r="T129" s="29"/>
      <c r="U129" s="2"/>
      <c r="V129" s="34"/>
      <c r="W129" s="34"/>
      <c r="X129" s="14"/>
      <c r="Y129" s="65"/>
      <c r="Z129" s="14"/>
      <c r="AA129" s="14"/>
      <c r="AB129" s="65"/>
      <c r="AC129" s="14"/>
      <c r="AD129" s="65"/>
      <c r="AE129" s="34"/>
      <c r="AF129" s="34"/>
    </row>
    <row x14ac:dyDescent="0.25" r="130" customHeight="1" ht="15.75">
      <c r="A130" s="502"/>
      <c r="B130" s="3"/>
      <c r="C130" s="3"/>
      <c r="D130" s="3"/>
      <c r="E130" s="3"/>
      <c r="F130" s="3"/>
      <c r="G130" s="34"/>
      <c r="H130" s="34"/>
      <c r="I130" s="29"/>
      <c r="J130" s="29"/>
      <c r="K130" s="29"/>
      <c r="L130" s="29"/>
      <c r="M130" s="34"/>
      <c r="N130" s="34"/>
      <c r="O130" s="29"/>
      <c r="P130" s="29"/>
      <c r="Q130" s="29"/>
      <c r="R130" s="34"/>
      <c r="S130" s="29"/>
      <c r="T130" s="29"/>
      <c r="U130" s="2"/>
      <c r="V130" s="34"/>
      <c r="W130" s="34"/>
      <c r="X130" s="14"/>
      <c r="Y130" s="65"/>
      <c r="Z130" s="14"/>
      <c r="AA130" s="14"/>
      <c r="AB130" s="65"/>
      <c r="AC130" s="14"/>
      <c r="AD130" s="65"/>
      <c r="AE130" s="34"/>
      <c r="AF130" s="34"/>
    </row>
    <row x14ac:dyDescent="0.25" r="131" customHeight="1" ht="15.75">
      <c r="A131" s="502"/>
      <c r="B131" s="3"/>
      <c r="C131" s="3"/>
      <c r="D131" s="3"/>
      <c r="E131" s="3"/>
      <c r="F131" s="3"/>
      <c r="G131" s="3"/>
      <c r="H131" s="3"/>
      <c r="I131" s="29"/>
      <c r="J131" s="29"/>
      <c r="K131" s="29"/>
      <c r="L131" s="29"/>
      <c r="M131" s="34"/>
      <c r="N131" s="34"/>
      <c r="O131" s="29"/>
      <c r="P131" s="29"/>
      <c r="Q131" s="29"/>
      <c r="R131" s="34"/>
      <c r="S131" s="29"/>
      <c r="T131" s="29"/>
      <c r="U131" s="2"/>
      <c r="V131" s="34"/>
      <c r="W131" s="34"/>
      <c r="X131" s="14"/>
      <c r="Y131" s="65"/>
      <c r="Z131" s="14"/>
      <c r="AA131" s="14"/>
      <c r="AB131" s="65"/>
      <c r="AC131" s="14"/>
      <c r="AD131" s="65"/>
      <c r="AE131" s="34"/>
      <c r="AF131" s="34"/>
    </row>
    <row x14ac:dyDescent="0.25" r="132" customHeight="1" ht="15.75">
      <c r="A132" s="502"/>
      <c r="B132" s="3"/>
      <c r="C132" s="3"/>
      <c r="D132" s="3"/>
      <c r="E132" s="3"/>
      <c r="F132" s="3"/>
      <c r="G132" s="34"/>
      <c r="H132" s="34"/>
      <c r="I132" s="29"/>
      <c r="J132" s="29"/>
      <c r="K132" s="29"/>
      <c r="L132" s="29"/>
      <c r="M132" s="34"/>
      <c r="N132" s="34"/>
      <c r="O132" s="29"/>
      <c r="P132" s="29"/>
      <c r="Q132" s="29"/>
      <c r="R132" s="34"/>
      <c r="S132" s="29"/>
      <c r="T132" s="29"/>
      <c r="U132" s="2"/>
      <c r="V132" s="34"/>
      <c r="W132" s="34"/>
      <c r="X132" s="14"/>
      <c r="Y132" s="65"/>
      <c r="Z132" s="14"/>
      <c r="AA132" s="14"/>
      <c r="AB132" s="65"/>
      <c r="AC132" s="14"/>
      <c r="AD132" s="65"/>
      <c r="AE132" s="34"/>
      <c r="AF132" s="34"/>
    </row>
    <row x14ac:dyDescent="0.25" r="133" customHeight="1" ht="15.75">
      <c r="A133" s="502"/>
      <c r="B133" s="3"/>
      <c r="C133" s="3"/>
      <c r="D133" s="3"/>
      <c r="E133" s="3"/>
      <c r="F133" s="3"/>
      <c r="G133" s="34"/>
      <c r="H133" s="34"/>
      <c r="I133" s="29"/>
      <c r="J133" s="29"/>
      <c r="K133" s="29"/>
      <c r="L133" s="29"/>
      <c r="M133" s="34"/>
      <c r="N133" s="34"/>
      <c r="O133" s="29"/>
      <c r="P133" s="29"/>
      <c r="Q133" s="29"/>
      <c r="R133" s="34"/>
      <c r="S133" s="29"/>
      <c r="T133" s="29"/>
      <c r="U133" s="2"/>
      <c r="V133" s="34"/>
      <c r="W133" s="34"/>
      <c r="X133" s="14"/>
      <c r="Y133" s="65"/>
      <c r="Z133" s="14"/>
      <c r="AA133" s="14"/>
      <c r="AB133" s="65"/>
      <c r="AC133" s="14"/>
      <c r="AD133" s="65"/>
      <c r="AE133" s="34"/>
      <c r="AF133" s="34"/>
    </row>
    <row x14ac:dyDescent="0.25" r="134" customHeight="1" ht="15.75">
      <c r="A134" s="502"/>
      <c r="B134" s="3"/>
      <c r="C134" s="3"/>
      <c r="D134" s="3"/>
      <c r="E134" s="3"/>
      <c r="F134" s="3"/>
      <c r="G134" s="3"/>
      <c r="H134" s="3"/>
      <c r="I134" s="29"/>
      <c r="J134" s="29"/>
      <c r="K134" s="29"/>
      <c r="L134" s="29"/>
      <c r="M134" s="34"/>
      <c r="N134" s="34"/>
      <c r="O134" s="29"/>
      <c r="P134" s="29"/>
      <c r="Q134" s="29"/>
      <c r="R134" s="34"/>
      <c r="S134" s="29"/>
      <c r="T134" s="29"/>
      <c r="U134" s="2"/>
      <c r="V134" s="34"/>
      <c r="W134" s="34"/>
      <c r="X134" s="14"/>
      <c r="Y134" s="65"/>
      <c r="Z134" s="14"/>
      <c r="AA134" s="14"/>
      <c r="AB134" s="65"/>
      <c r="AC134" s="14"/>
      <c r="AD134" s="65"/>
      <c r="AE134" s="34"/>
      <c r="AF134" s="34"/>
    </row>
    <row x14ac:dyDescent="0.25" r="135" customHeight="1" ht="15.75">
      <c r="A135" s="502"/>
      <c r="B135" s="3"/>
      <c r="C135" s="3"/>
      <c r="D135" s="3"/>
      <c r="E135" s="3"/>
      <c r="F135" s="3"/>
      <c r="G135" s="3"/>
      <c r="H135" s="3"/>
      <c r="I135" s="29"/>
      <c r="J135" s="29"/>
      <c r="K135" s="29"/>
      <c r="L135" s="29"/>
      <c r="M135" s="34"/>
      <c r="N135" s="34"/>
      <c r="O135" s="29"/>
      <c r="P135" s="29"/>
      <c r="Q135" s="29"/>
      <c r="R135" s="34"/>
      <c r="S135" s="29"/>
      <c r="T135" s="29"/>
      <c r="U135" s="2"/>
      <c r="V135" s="34"/>
      <c r="W135" s="34"/>
      <c r="X135" s="14"/>
      <c r="Y135" s="65"/>
      <c r="Z135" s="14"/>
      <c r="AA135" s="14"/>
      <c r="AB135" s="65"/>
      <c r="AC135" s="14"/>
      <c r="AD135" s="65"/>
      <c r="AE135" s="34"/>
      <c r="AF135" s="34"/>
    </row>
    <row x14ac:dyDescent="0.25" r="136" customHeight="1" ht="15.75">
      <c r="A136" s="502"/>
      <c r="B136" s="3"/>
      <c r="C136" s="3"/>
      <c r="D136" s="3"/>
      <c r="E136" s="3"/>
      <c r="F136" s="3"/>
      <c r="G136" s="3"/>
      <c r="H136" s="3"/>
      <c r="I136" s="29"/>
      <c r="J136" s="29"/>
      <c r="K136" s="29"/>
      <c r="L136" s="29"/>
      <c r="M136" s="34"/>
      <c r="N136" s="34"/>
      <c r="O136" s="29"/>
      <c r="P136" s="29"/>
      <c r="Q136" s="29"/>
      <c r="R136" s="34"/>
      <c r="S136" s="29"/>
      <c r="T136" s="29"/>
      <c r="U136" s="2"/>
      <c r="V136" s="34"/>
      <c r="W136" s="34"/>
      <c r="X136" s="14"/>
      <c r="Y136" s="65"/>
      <c r="Z136" s="14"/>
      <c r="AA136" s="14"/>
      <c r="AB136" s="65"/>
      <c r="AC136" s="14"/>
      <c r="AD136" s="65"/>
      <c r="AE136" s="34"/>
      <c r="AF136" s="34"/>
    </row>
    <row x14ac:dyDescent="0.25" r="137" customHeight="1" ht="15.75">
      <c r="A137" s="502"/>
      <c r="B137" s="3"/>
      <c r="C137" s="3"/>
      <c r="D137" s="3"/>
      <c r="E137" s="3"/>
      <c r="F137" s="3"/>
      <c r="G137" s="3"/>
      <c r="H137" s="3"/>
      <c r="I137" s="29"/>
      <c r="J137" s="29"/>
      <c r="K137" s="29"/>
      <c r="L137" s="29"/>
      <c r="M137" s="34"/>
      <c r="N137" s="34"/>
      <c r="O137" s="29"/>
      <c r="P137" s="29"/>
      <c r="Q137" s="29"/>
      <c r="R137" s="34"/>
      <c r="S137" s="29"/>
      <c r="T137" s="29"/>
      <c r="U137" s="2"/>
      <c r="V137" s="34"/>
      <c r="W137" s="34"/>
      <c r="X137" s="14"/>
      <c r="Y137" s="65"/>
      <c r="Z137" s="14"/>
      <c r="AA137" s="14"/>
      <c r="AB137" s="65"/>
      <c r="AC137" s="14"/>
      <c r="AD137" s="65"/>
      <c r="AE137" s="34"/>
      <c r="AF137" s="34"/>
    </row>
    <row x14ac:dyDescent="0.25" r="138" customHeight="1" ht="15.75">
      <c r="A138" s="502"/>
      <c r="B138" s="3"/>
      <c r="C138" s="3"/>
      <c r="D138" s="3"/>
      <c r="E138" s="3"/>
      <c r="F138" s="3"/>
      <c r="G138" s="3"/>
      <c r="H138" s="3"/>
      <c r="I138" s="29"/>
      <c r="J138" s="29"/>
      <c r="K138" s="29"/>
      <c r="L138" s="29"/>
      <c r="M138" s="34"/>
      <c r="N138" s="34"/>
      <c r="O138" s="29"/>
      <c r="P138" s="29"/>
      <c r="Q138" s="29"/>
      <c r="R138" s="34"/>
      <c r="S138" s="29"/>
      <c r="T138" s="29"/>
      <c r="U138" s="2"/>
      <c r="V138" s="34"/>
      <c r="W138" s="34"/>
      <c r="X138" s="14"/>
      <c r="Y138" s="65"/>
      <c r="Z138" s="14"/>
      <c r="AA138" s="14"/>
      <c r="AB138" s="65"/>
      <c r="AC138" s="14"/>
      <c r="AD138" s="65"/>
      <c r="AE138" s="34"/>
      <c r="AF138" s="34"/>
    </row>
    <row x14ac:dyDescent="0.25" r="139" customHeight="1" ht="15.75">
      <c r="A139" s="502"/>
      <c r="B139" s="3"/>
      <c r="C139" s="3"/>
      <c r="D139" s="3"/>
      <c r="E139" s="3"/>
      <c r="F139" s="3"/>
      <c r="G139" s="3"/>
      <c r="H139" s="3"/>
      <c r="I139" s="29"/>
      <c r="J139" s="29"/>
      <c r="K139" s="29"/>
      <c r="L139" s="29"/>
      <c r="M139" s="34"/>
      <c r="N139" s="34"/>
      <c r="O139" s="29"/>
      <c r="P139" s="29"/>
      <c r="Q139" s="29"/>
      <c r="R139" s="34"/>
      <c r="S139" s="29"/>
      <c r="T139" s="29"/>
      <c r="U139" s="2"/>
      <c r="V139" s="34"/>
      <c r="W139" s="34"/>
      <c r="X139" s="14"/>
      <c r="Y139" s="65"/>
      <c r="Z139" s="14"/>
      <c r="AA139" s="14"/>
      <c r="AB139" s="65"/>
      <c r="AC139" s="14"/>
      <c r="AD139" s="65"/>
      <c r="AE139" s="34"/>
      <c r="AF139" s="34"/>
    </row>
    <row x14ac:dyDescent="0.25" r="140" customHeight="1" ht="15.75">
      <c r="A140" s="502"/>
      <c r="B140" s="3"/>
      <c r="C140" s="3"/>
      <c r="D140" s="3"/>
      <c r="E140" s="3"/>
      <c r="F140" s="3"/>
      <c r="G140" s="3"/>
      <c r="H140" s="3"/>
      <c r="I140" s="29"/>
      <c r="J140" s="29"/>
      <c r="K140" s="29"/>
      <c r="L140" s="29"/>
      <c r="M140" s="34"/>
      <c r="N140" s="34"/>
      <c r="O140" s="29"/>
      <c r="P140" s="29"/>
      <c r="Q140" s="29"/>
      <c r="R140" s="34"/>
      <c r="S140" s="29"/>
      <c r="T140" s="29"/>
      <c r="U140" s="2"/>
      <c r="V140" s="34"/>
      <c r="W140" s="34"/>
      <c r="X140" s="14"/>
      <c r="Y140" s="65"/>
      <c r="Z140" s="14"/>
      <c r="AA140" s="14"/>
      <c r="AB140" s="65"/>
      <c r="AC140" s="14"/>
      <c r="AD140" s="65"/>
      <c r="AE140" s="34"/>
      <c r="AF140" s="34"/>
    </row>
    <row x14ac:dyDescent="0.25" r="141" customHeight="1" ht="15.75">
      <c r="A141" s="502"/>
      <c r="B141" s="3"/>
      <c r="C141" s="3"/>
      <c r="D141" s="3"/>
      <c r="E141" s="3"/>
      <c r="F141" s="3"/>
      <c r="G141" s="3"/>
      <c r="H141" s="3"/>
      <c r="I141" s="29"/>
      <c r="J141" s="29"/>
      <c r="K141" s="29"/>
      <c r="L141" s="29"/>
      <c r="M141" s="34"/>
      <c r="N141" s="34"/>
      <c r="O141" s="29"/>
      <c r="P141" s="29"/>
      <c r="Q141" s="29"/>
      <c r="R141" s="34"/>
      <c r="S141" s="29"/>
      <c r="T141" s="29"/>
      <c r="U141" s="2"/>
      <c r="V141" s="34"/>
      <c r="W141" s="34"/>
      <c r="X141" s="14"/>
      <c r="Y141" s="65"/>
      <c r="Z141" s="14"/>
      <c r="AA141" s="14"/>
      <c r="AB141" s="65"/>
      <c r="AC141" s="14"/>
      <c r="AD141" s="65"/>
      <c r="AE141" s="34"/>
      <c r="AF141" s="34"/>
    </row>
    <row x14ac:dyDescent="0.25" r="142" customHeight="1" ht="15.75">
      <c r="A142" s="502"/>
      <c r="B142" s="3"/>
      <c r="C142" s="3"/>
      <c r="D142" s="3"/>
      <c r="E142" s="3"/>
      <c r="F142" s="3"/>
      <c r="G142" s="3"/>
      <c r="H142" s="3"/>
      <c r="I142" s="29"/>
      <c r="J142" s="29"/>
      <c r="K142" s="29"/>
      <c r="L142" s="29"/>
      <c r="M142" s="34"/>
      <c r="N142" s="34"/>
      <c r="O142" s="29"/>
      <c r="P142" s="29"/>
      <c r="Q142" s="29"/>
      <c r="R142" s="34"/>
      <c r="S142" s="29"/>
      <c r="T142" s="29"/>
      <c r="U142" s="2"/>
      <c r="V142" s="34"/>
      <c r="W142" s="34"/>
      <c r="X142" s="14"/>
      <c r="Y142" s="65"/>
      <c r="Z142" s="14"/>
      <c r="AA142" s="14"/>
      <c r="AB142" s="65"/>
      <c r="AC142" s="14"/>
      <c r="AD142" s="65"/>
      <c r="AE142" s="34"/>
      <c r="AF142" s="34"/>
    </row>
    <row x14ac:dyDescent="0.25" r="143" customHeight="1" ht="15.75">
      <c r="A143" s="502"/>
      <c r="B143" s="3"/>
      <c r="C143" s="3"/>
      <c r="D143" s="3"/>
      <c r="E143" s="3"/>
      <c r="F143" s="3"/>
      <c r="G143" s="3"/>
      <c r="H143" s="3"/>
      <c r="I143" s="29"/>
      <c r="J143" s="29"/>
      <c r="K143" s="29"/>
      <c r="L143" s="29"/>
      <c r="M143" s="34"/>
      <c r="N143" s="34"/>
      <c r="O143" s="29"/>
      <c r="P143" s="29"/>
      <c r="Q143" s="29"/>
      <c r="R143" s="34"/>
      <c r="S143" s="29"/>
      <c r="T143" s="29"/>
      <c r="U143" s="2"/>
      <c r="V143" s="34"/>
      <c r="W143" s="34"/>
      <c r="X143" s="14"/>
      <c r="Y143" s="65"/>
      <c r="Z143" s="14"/>
      <c r="AA143" s="14"/>
      <c r="AB143" s="65"/>
      <c r="AC143" s="14"/>
      <c r="AD143" s="65"/>
      <c r="AE143" s="34"/>
      <c r="AF143" s="34"/>
    </row>
    <row x14ac:dyDescent="0.25" r="144" customHeight="1" ht="15.75">
      <c r="A144" s="502"/>
      <c r="B144" s="3"/>
      <c r="C144" s="3"/>
      <c r="D144" s="3"/>
      <c r="E144" s="3"/>
      <c r="F144" s="3"/>
      <c r="G144" s="3"/>
      <c r="H144" s="3"/>
      <c r="I144" s="29"/>
      <c r="J144" s="29"/>
      <c r="K144" s="29"/>
      <c r="L144" s="29"/>
      <c r="M144" s="34"/>
      <c r="N144" s="34"/>
      <c r="O144" s="29"/>
      <c r="P144" s="29"/>
      <c r="Q144" s="29"/>
      <c r="R144" s="34"/>
      <c r="S144" s="29"/>
      <c r="T144" s="29"/>
      <c r="U144" s="2"/>
      <c r="V144" s="34"/>
      <c r="W144" s="34"/>
      <c r="X144" s="14"/>
      <c r="Y144" s="65"/>
      <c r="Z144" s="14"/>
      <c r="AA144" s="14"/>
      <c r="AB144" s="65"/>
      <c r="AC144" s="14"/>
      <c r="AD144" s="65"/>
      <c r="AE144" s="34"/>
      <c r="AF144" s="34"/>
    </row>
    <row x14ac:dyDescent="0.25" r="145" customHeight="1" ht="15.75">
      <c r="A145" s="502"/>
      <c r="B145" s="3"/>
      <c r="C145" s="3"/>
      <c r="D145" s="3"/>
      <c r="E145" s="3"/>
      <c r="F145" s="3"/>
      <c r="G145" s="3"/>
      <c r="H145" s="3"/>
      <c r="I145" s="29"/>
      <c r="J145" s="29"/>
      <c r="K145" s="29"/>
      <c r="L145" s="29"/>
      <c r="M145" s="34"/>
      <c r="N145" s="34"/>
      <c r="O145" s="29"/>
      <c r="P145" s="29"/>
      <c r="Q145" s="29"/>
      <c r="R145" s="34"/>
      <c r="S145" s="29"/>
      <c r="T145" s="29"/>
      <c r="U145" s="2"/>
      <c r="V145" s="34"/>
      <c r="W145" s="34"/>
      <c r="X145" s="14"/>
      <c r="Y145" s="65"/>
      <c r="Z145" s="14"/>
      <c r="AA145" s="14"/>
      <c r="AB145" s="65"/>
      <c r="AC145" s="14"/>
      <c r="AD145" s="65"/>
      <c r="AE145" s="34"/>
      <c r="AF145" s="34"/>
    </row>
    <row x14ac:dyDescent="0.25" r="146" customHeight="1" ht="15.75">
      <c r="A146" s="502"/>
      <c r="B146" s="3"/>
      <c r="C146" s="3"/>
      <c r="D146" s="3"/>
      <c r="E146" s="3"/>
      <c r="F146" s="3"/>
      <c r="G146" s="3"/>
      <c r="H146" s="3"/>
      <c r="I146" s="29"/>
      <c r="J146" s="29"/>
      <c r="K146" s="29"/>
      <c r="L146" s="29"/>
      <c r="M146" s="34"/>
      <c r="N146" s="34"/>
      <c r="O146" s="29"/>
      <c r="P146" s="29"/>
      <c r="Q146" s="29"/>
      <c r="R146" s="34"/>
      <c r="S146" s="29"/>
      <c r="T146" s="29"/>
      <c r="U146" s="2"/>
      <c r="V146" s="34"/>
      <c r="W146" s="34"/>
      <c r="X146" s="14"/>
      <c r="Y146" s="65"/>
      <c r="Z146" s="14"/>
      <c r="AA146" s="14"/>
      <c r="AB146" s="65"/>
      <c r="AC146" s="14"/>
      <c r="AD146" s="65"/>
      <c r="AE146" s="34"/>
      <c r="AF146" s="34"/>
    </row>
    <row x14ac:dyDescent="0.25" r="147" customHeight="1" ht="15.75">
      <c r="A147" s="502"/>
      <c r="B147" s="3"/>
      <c r="C147" s="3"/>
      <c r="D147" s="3"/>
      <c r="E147" s="3"/>
      <c r="F147" s="3"/>
      <c r="G147" s="3"/>
      <c r="H147" s="3"/>
      <c r="I147" s="29"/>
      <c r="J147" s="29"/>
      <c r="K147" s="29"/>
      <c r="L147" s="29"/>
      <c r="M147" s="34"/>
      <c r="N147" s="34"/>
      <c r="O147" s="29"/>
      <c r="P147" s="29"/>
      <c r="Q147" s="29"/>
      <c r="R147" s="34"/>
      <c r="S147" s="29"/>
      <c r="T147" s="29"/>
      <c r="U147" s="2"/>
      <c r="V147" s="34"/>
      <c r="W147" s="34"/>
      <c r="X147" s="14"/>
      <c r="Y147" s="65"/>
      <c r="Z147" s="14"/>
      <c r="AA147" s="14"/>
      <c r="AB147" s="65"/>
      <c r="AC147" s="14"/>
      <c r="AD147" s="65"/>
      <c r="AE147" s="34"/>
      <c r="AF147" s="34"/>
    </row>
    <row x14ac:dyDescent="0.25" r="148" customHeight="1" ht="15.75">
      <c r="A148" s="502"/>
      <c r="B148" s="34"/>
      <c r="C148" s="3"/>
      <c r="D148" s="3"/>
      <c r="E148" s="3"/>
      <c r="F148" s="3"/>
      <c r="G148" s="3"/>
      <c r="H148" s="3"/>
      <c r="I148" s="29"/>
      <c r="J148" s="29"/>
      <c r="K148" s="29"/>
      <c r="L148" s="29"/>
      <c r="M148" s="34"/>
      <c r="N148" s="34"/>
      <c r="O148" s="29"/>
      <c r="P148" s="29"/>
      <c r="Q148" s="29"/>
      <c r="R148" s="34"/>
      <c r="S148" s="29"/>
      <c r="T148" s="29"/>
      <c r="U148" s="2"/>
      <c r="V148" s="34"/>
      <c r="W148" s="34"/>
      <c r="X148" s="14"/>
      <c r="Y148" s="65"/>
      <c r="Z148" s="14"/>
      <c r="AA148" s="14"/>
      <c r="AB148" s="65"/>
      <c r="AC148" s="14"/>
      <c r="AD148" s="65"/>
      <c r="AE148" s="34"/>
      <c r="AF148" s="34"/>
    </row>
    <row x14ac:dyDescent="0.25" r="149" customHeight="1" ht="15.75">
      <c r="A149" s="502"/>
      <c r="B149" s="34"/>
      <c r="C149" s="3"/>
      <c r="D149" s="3"/>
      <c r="E149" s="3"/>
      <c r="F149" s="3"/>
      <c r="G149" s="3"/>
      <c r="H149" s="3"/>
      <c r="I149" s="29"/>
      <c r="J149" s="29"/>
      <c r="K149" s="29"/>
      <c r="L149" s="29"/>
      <c r="M149" s="34"/>
      <c r="N149" s="34"/>
      <c r="O149" s="29"/>
      <c r="P149" s="29"/>
      <c r="Q149" s="29"/>
      <c r="R149" s="34"/>
      <c r="S149" s="29"/>
      <c r="T149" s="29"/>
      <c r="U149" s="2"/>
      <c r="V149" s="34"/>
      <c r="W149" s="34"/>
      <c r="X149" s="14"/>
      <c r="Y149" s="65"/>
      <c r="Z149" s="14"/>
      <c r="AA149" s="14"/>
      <c r="AB149" s="65"/>
      <c r="AC149" s="14"/>
      <c r="AD149" s="65"/>
      <c r="AE149" s="34"/>
      <c r="AF149" s="34"/>
    </row>
    <row x14ac:dyDescent="0.25" r="150" customHeight="1" ht="15.75">
      <c r="A150" s="502"/>
      <c r="B150" s="3"/>
      <c r="C150" s="3"/>
      <c r="D150" s="3"/>
      <c r="E150" s="3"/>
      <c r="F150" s="3"/>
      <c r="G150" s="3"/>
      <c r="H150" s="3"/>
      <c r="I150" s="29"/>
      <c r="J150" s="29"/>
      <c r="K150" s="29"/>
      <c r="L150" s="29"/>
      <c r="M150" s="34"/>
      <c r="N150" s="34"/>
      <c r="O150" s="29"/>
      <c r="P150" s="29"/>
      <c r="Q150" s="29"/>
      <c r="R150" s="34"/>
      <c r="S150" s="29"/>
      <c r="T150" s="29"/>
      <c r="U150" s="2"/>
      <c r="V150" s="34"/>
      <c r="W150" s="34"/>
      <c r="X150" s="14"/>
      <c r="Y150" s="65"/>
      <c r="Z150" s="14"/>
      <c r="AA150" s="14"/>
      <c r="AB150" s="65"/>
      <c r="AC150" s="14"/>
      <c r="AD150" s="65"/>
      <c r="AE150" s="34"/>
      <c r="AF150" s="34"/>
    </row>
    <row x14ac:dyDescent="0.25" r="151" customHeight="1" ht="15.75">
      <c r="A151" s="502"/>
      <c r="B151" s="3"/>
      <c r="C151" s="3"/>
      <c r="D151" s="3"/>
      <c r="E151" s="3"/>
      <c r="F151" s="3"/>
      <c r="G151" s="3"/>
      <c r="H151" s="3"/>
      <c r="I151" s="29"/>
      <c r="J151" s="29"/>
      <c r="K151" s="29"/>
      <c r="L151" s="29"/>
      <c r="M151" s="34"/>
      <c r="N151" s="34"/>
      <c r="O151" s="29"/>
      <c r="P151" s="29"/>
      <c r="Q151" s="29"/>
      <c r="R151" s="34"/>
      <c r="S151" s="29"/>
      <c r="T151" s="29"/>
      <c r="U151" s="2"/>
      <c r="V151" s="34"/>
      <c r="W151" s="34"/>
      <c r="X151" s="14"/>
      <c r="Y151" s="65"/>
      <c r="Z151" s="14"/>
      <c r="AA151" s="14"/>
      <c r="AB151" s="65"/>
      <c r="AC151" s="14"/>
      <c r="AD151" s="65"/>
      <c r="AE151" s="34"/>
      <c r="AF151" s="34"/>
    </row>
    <row x14ac:dyDescent="0.25" r="152" customHeight="1" ht="15.75">
      <c r="A152" s="502"/>
      <c r="B152" s="3"/>
      <c r="C152" s="3"/>
      <c r="D152" s="3"/>
      <c r="E152" s="3"/>
      <c r="F152" s="3"/>
      <c r="G152" s="3"/>
      <c r="H152" s="3"/>
      <c r="I152" s="29"/>
      <c r="J152" s="29"/>
      <c r="K152" s="29"/>
      <c r="L152" s="29"/>
      <c r="M152" s="34"/>
      <c r="N152" s="34"/>
      <c r="O152" s="29"/>
      <c r="P152" s="29"/>
      <c r="Q152" s="29"/>
      <c r="R152" s="34"/>
      <c r="S152" s="29"/>
      <c r="T152" s="29"/>
      <c r="U152" s="2"/>
      <c r="V152" s="34"/>
      <c r="W152" s="34"/>
      <c r="X152" s="14"/>
      <c r="Y152" s="65"/>
      <c r="Z152" s="14"/>
      <c r="AA152" s="14"/>
      <c r="AB152" s="65"/>
      <c r="AC152" s="14"/>
      <c r="AD152" s="65"/>
      <c r="AE152" s="34"/>
      <c r="AF152" s="34"/>
    </row>
    <row x14ac:dyDescent="0.25" r="153" customHeight="1" ht="15.75">
      <c r="A153" s="502"/>
      <c r="B153" s="3"/>
      <c r="C153" s="3"/>
      <c r="D153" s="3"/>
      <c r="E153" s="3"/>
      <c r="F153" s="3"/>
      <c r="G153" s="3"/>
      <c r="H153" s="3"/>
      <c r="I153" s="29"/>
      <c r="J153" s="29"/>
      <c r="K153" s="29"/>
      <c r="L153" s="29"/>
      <c r="M153" s="34"/>
      <c r="N153" s="34"/>
      <c r="O153" s="29"/>
      <c r="P153" s="29"/>
      <c r="Q153" s="29"/>
      <c r="R153" s="34"/>
      <c r="S153" s="29"/>
      <c r="T153" s="29"/>
      <c r="U153" s="2"/>
      <c r="V153" s="34"/>
      <c r="W153" s="34"/>
      <c r="X153" s="14"/>
      <c r="Y153" s="65"/>
      <c r="Z153" s="14"/>
      <c r="AA153" s="14"/>
      <c r="AB153" s="65"/>
      <c r="AC153" s="14"/>
      <c r="AD153" s="65"/>
      <c r="AE153" s="34"/>
      <c r="AF153" s="34"/>
    </row>
    <row x14ac:dyDescent="0.25" r="154" customHeight="1" ht="15.75">
      <c r="A154" s="502"/>
      <c r="B154" s="3"/>
      <c r="C154" s="3"/>
      <c r="D154" s="3"/>
      <c r="E154" s="3"/>
      <c r="F154" s="3"/>
      <c r="G154" s="3"/>
      <c r="H154" s="3"/>
      <c r="I154" s="29"/>
      <c r="J154" s="29"/>
      <c r="K154" s="29"/>
      <c r="L154" s="29"/>
      <c r="M154" s="34"/>
      <c r="N154" s="34"/>
      <c r="O154" s="29"/>
      <c r="P154" s="29"/>
      <c r="Q154" s="29"/>
      <c r="R154" s="34"/>
      <c r="S154" s="29"/>
      <c r="T154" s="29"/>
      <c r="U154" s="2"/>
      <c r="V154" s="34"/>
      <c r="W154" s="34"/>
      <c r="X154" s="14"/>
      <c r="Y154" s="65"/>
      <c r="Z154" s="14"/>
      <c r="AA154" s="14"/>
      <c r="AB154" s="65"/>
      <c r="AC154" s="14"/>
      <c r="AD154" s="65"/>
      <c r="AE154" s="34"/>
      <c r="AF154" s="34"/>
    </row>
    <row x14ac:dyDescent="0.25" r="155" customHeight="1" ht="15.75">
      <c r="A155" s="502"/>
      <c r="B155" s="34"/>
      <c r="C155" s="3"/>
      <c r="D155" s="3"/>
      <c r="E155" s="3"/>
      <c r="F155" s="3"/>
      <c r="G155" s="3"/>
      <c r="H155" s="3"/>
      <c r="I155" s="29"/>
      <c r="J155" s="29"/>
      <c r="K155" s="29"/>
      <c r="L155" s="29"/>
      <c r="M155" s="34"/>
      <c r="N155" s="34"/>
      <c r="O155" s="29"/>
      <c r="P155" s="29"/>
      <c r="Q155" s="29"/>
      <c r="R155" s="34"/>
      <c r="S155" s="29"/>
      <c r="T155" s="29"/>
      <c r="U155" s="2"/>
      <c r="V155" s="34"/>
      <c r="W155" s="34"/>
      <c r="X155" s="34"/>
      <c r="Y155" s="29"/>
      <c r="Z155" s="34"/>
      <c r="AA155" s="34"/>
      <c r="AB155" s="29"/>
      <c r="AC155" s="34"/>
      <c r="AD155" s="29"/>
      <c r="AE155" s="34"/>
      <c r="AF155" s="34"/>
    </row>
    <row x14ac:dyDescent="0.25" r="156" customHeight="1" ht="15.75">
      <c r="A156" s="502"/>
      <c r="B156" s="34"/>
      <c r="C156" s="34"/>
      <c r="D156" s="34"/>
      <c r="E156" s="34"/>
      <c r="F156" s="34"/>
      <c r="G156" s="34"/>
      <c r="H156" s="34"/>
      <c r="I156" s="29"/>
      <c r="J156" s="29"/>
      <c r="K156" s="29"/>
      <c r="L156" s="29"/>
      <c r="M156" s="34"/>
      <c r="N156" s="34"/>
      <c r="O156" s="29"/>
      <c r="P156" s="29"/>
      <c r="Q156" s="29"/>
      <c r="R156" s="34"/>
      <c r="S156" s="29"/>
      <c r="T156" s="29"/>
      <c r="U156" s="2"/>
      <c r="V156" s="34"/>
      <c r="W156" s="34"/>
      <c r="X156" s="34"/>
      <c r="Y156" s="29"/>
      <c r="Z156" s="34"/>
      <c r="AA156" s="34"/>
      <c r="AB156" s="29"/>
      <c r="AC156" s="34"/>
      <c r="AD156" s="29"/>
      <c r="AE156" s="34"/>
      <c r="AF156" s="34"/>
    </row>
    <row x14ac:dyDescent="0.25" r="157" customHeight="1" ht="15.75">
      <c r="A157" s="502"/>
      <c r="B157" s="34"/>
      <c r="C157" s="34"/>
      <c r="D157" s="34"/>
      <c r="E157" s="34"/>
      <c r="F157" s="34"/>
      <c r="G157" s="34"/>
      <c r="H157" s="34"/>
      <c r="I157" s="29"/>
      <c r="J157" s="29"/>
      <c r="K157" s="29"/>
      <c r="L157" s="29"/>
      <c r="M157" s="34"/>
      <c r="N157" s="34"/>
      <c r="O157" s="29"/>
      <c r="P157" s="29"/>
      <c r="Q157" s="29"/>
      <c r="R157" s="34"/>
      <c r="S157" s="29"/>
      <c r="T157" s="29"/>
      <c r="U157" s="2"/>
      <c r="V157" s="34"/>
      <c r="W157" s="34"/>
      <c r="X157" s="34"/>
      <c r="Y157" s="29"/>
      <c r="Z157" s="34"/>
      <c r="AA157" s="34"/>
      <c r="AB157" s="29"/>
      <c r="AC157" s="34"/>
      <c r="AD157" s="29"/>
      <c r="AE157" s="34"/>
      <c r="AF157" s="34"/>
    </row>
    <row x14ac:dyDescent="0.25" r="158" customHeight="1" ht="15.75">
      <c r="A158" s="502"/>
      <c r="B158" s="34"/>
      <c r="C158" s="34"/>
      <c r="D158" s="34"/>
      <c r="E158" s="34"/>
      <c r="F158" s="34"/>
      <c r="G158" s="34"/>
      <c r="H158" s="34"/>
      <c r="I158" s="29"/>
      <c r="J158" s="29"/>
      <c r="K158" s="29"/>
      <c r="L158" s="29"/>
      <c r="M158" s="34"/>
      <c r="N158" s="34"/>
      <c r="O158" s="29"/>
      <c r="P158" s="29"/>
      <c r="Q158" s="29"/>
      <c r="R158" s="34"/>
      <c r="S158" s="29"/>
      <c r="T158" s="29"/>
      <c r="U158" s="2"/>
      <c r="V158" s="34"/>
      <c r="W158" s="34"/>
      <c r="X158" s="34"/>
      <c r="Y158" s="29"/>
      <c r="Z158" s="34"/>
      <c r="AA158" s="34"/>
      <c r="AB158" s="29"/>
      <c r="AC158" s="34"/>
      <c r="AD158" s="29"/>
      <c r="AE158" s="34"/>
      <c r="AF158" s="34"/>
    </row>
    <row x14ac:dyDescent="0.25" r="159" customHeight="1" ht="15.75">
      <c r="A159" s="502"/>
      <c r="B159" s="3"/>
      <c r="C159" s="3"/>
      <c r="D159" s="3"/>
      <c r="E159" s="3"/>
      <c r="F159" s="3"/>
      <c r="G159" s="3"/>
      <c r="H159" s="3"/>
      <c r="I159" s="29"/>
      <c r="J159" s="29"/>
      <c r="K159" s="29"/>
      <c r="L159" s="29"/>
      <c r="M159" s="34"/>
      <c r="N159" s="34"/>
      <c r="O159" s="29"/>
      <c r="P159" s="29"/>
      <c r="Q159" s="29"/>
      <c r="R159" s="34"/>
      <c r="S159" s="29"/>
      <c r="T159" s="29"/>
      <c r="U159" s="2"/>
      <c r="V159" s="34"/>
      <c r="W159" s="34"/>
      <c r="X159" s="34"/>
      <c r="Y159" s="29"/>
      <c r="Z159" s="34"/>
      <c r="AA159" s="34"/>
      <c r="AB159" s="29"/>
      <c r="AC159" s="34"/>
      <c r="AD159" s="29"/>
      <c r="AE159" s="34"/>
      <c r="AF159" s="34"/>
    </row>
    <row x14ac:dyDescent="0.25" r="160" customHeight="1" ht="15.75">
      <c r="A160" s="502"/>
      <c r="B160" s="3"/>
      <c r="C160" s="3"/>
      <c r="D160" s="3"/>
      <c r="E160" s="3"/>
      <c r="F160" s="3"/>
      <c r="G160" s="3"/>
      <c r="H160" s="3"/>
      <c r="I160" s="29"/>
      <c r="J160" s="29"/>
      <c r="K160" s="29"/>
      <c r="L160" s="29"/>
      <c r="M160" s="34"/>
      <c r="N160" s="34"/>
      <c r="O160" s="29"/>
      <c r="P160" s="29"/>
      <c r="Q160" s="29"/>
      <c r="R160" s="34"/>
      <c r="S160" s="29"/>
      <c r="T160" s="29"/>
      <c r="U160" s="2"/>
      <c r="V160" s="34"/>
      <c r="W160" s="34"/>
      <c r="X160" s="34"/>
      <c r="Y160" s="29"/>
      <c r="Z160" s="34"/>
      <c r="AA160" s="34"/>
      <c r="AB160" s="29"/>
      <c r="AC160" s="34"/>
      <c r="AD160" s="29"/>
      <c r="AE160" s="34"/>
      <c r="AF160" s="34"/>
    </row>
    <row x14ac:dyDescent="0.25" r="161" customHeight="1" ht="15.75">
      <c r="A161" s="502"/>
      <c r="B161" s="3"/>
      <c r="C161" s="3"/>
      <c r="D161" s="3"/>
      <c r="E161" s="3"/>
      <c r="F161" s="3"/>
      <c r="G161" s="3"/>
      <c r="H161" s="3"/>
      <c r="I161" s="29"/>
      <c r="J161" s="29"/>
      <c r="K161" s="29"/>
      <c r="L161" s="29"/>
      <c r="M161" s="34"/>
      <c r="N161" s="34"/>
      <c r="O161" s="29"/>
      <c r="P161" s="29"/>
      <c r="Q161" s="29"/>
      <c r="R161" s="34"/>
      <c r="S161" s="29"/>
      <c r="T161" s="29"/>
      <c r="U161" s="2"/>
      <c r="V161" s="34"/>
      <c r="W161" s="34"/>
      <c r="X161" s="34"/>
      <c r="Y161" s="29"/>
      <c r="Z161" s="34"/>
      <c r="AA161" s="34"/>
      <c r="AB161" s="29"/>
      <c r="AC161" s="34"/>
      <c r="AD161" s="29"/>
      <c r="AE161" s="34"/>
      <c r="AF161" s="34"/>
    </row>
    <row x14ac:dyDescent="0.25" r="162" customHeight="1" ht="15.75">
      <c r="A162" s="502"/>
      <c r="B162" s="3"/>
      <c r="C162" s="3"/>
      <c r="D162" s="3"/>
      <c r="E162" s="3"/>
      <c r="F162" s="3"/>
      <c r="G162" s="3"/>
      <c r="H162" s="3"/>
      <c r="I162" s="29"/>
      <c r="J162" s="29"/>
      <c r="K162" s="29"/>
      <c r="L162" s="29"/>
      <c r="M162" s="34"/>
      <c r="N162" s="34"/>
      <c r="O162" s="29"/>
      <c r="P162" s="29"/>
      <c r="Q162" s="29"/>
      <c r="R162" s="34"/>
      <c r="S162" s="29"/>
      <c r="T162" s="29"/>
      <c r="U162" s="2"/>
      <c r="V162" s="34"/>
      <c r="W162" s="34"/>
      <c r="X162" s="34"/>
      <c r="Y162" s="29"/>
      <c r="Z162" s="34"/>
      <c r="AA162" s="34"/>
      <c r="AB162" s="29"/>
      <c r="AC162" s="34"/>
      <c r="AD162" s="29"/>
      <c r="AE162" s="34"/>
      <c r="AF162" s="34"/>
    </row>
    <row x14ac:dyDescent="0.25" r="163" customHeight="1" ht="15.75">
      <c r="A163" s="502"/>
      <c r="B163" s="3"/>
      <c r="C163" s="3"/>
      <c r="D163" s="3"/>
      <c r="E163" s="3"/>
      <c r="F163" s="3"/>
      <c r="G163" s="3"/>
      <c r="H163" s="3"/>
      <c r="I163" s="29"/>
      <c r="J163" s="29"/>
      <c r="K163" s="29"/>
      <c r="L163" s="29"/>
      <c r="M163" s="34"/>
      <c r="N163" s="34"/>
      <c r="O163" s="29"/>
      <c r="P163" s="29"/>
      <c r="Q163" s="29"/>
      <c r="R163" s="34"/>
      <c r="S163" s="29"/>
      <c r="T163" s="29"/>
      <c r="U163" s="2"/>
      <c r="V163" s="34"/>
      <c r="W163" s="34"/>
      <c r="X163" s="34"/>
      <c r="Y163" s="29"/>
      <c r="Z163" s="34"/>
      <c r="AA163" s="34"/>
      <c r="AB163" s="29"/>
      <c r="AC163" s="34"/>
      <c r="AD163" s="29"/>
      <c r="AE163" s="34"/>
      <c r="AF163" s="34"/>
    </row>
    <row x14ac:dyDescent="0.25" r="164" customHeight="1" ht="15.75">
      <c r="A164" s="502"/>
      <c r="B164" s="3"/>
      <c r="C164" s="3"/>
      <c r="D164" s="3"/>
      <c r="E164" s="118"/>
      <c r="F164" s="118"/>
      <c r="G164" s="34"/>
      <c r="H164" s="34"/>
      <c r="I164" s="29"/>
      <c r="J164" s="29"/>
      <c r="K164" s="29"/>
      <c r="L164" s="29"/>
      <c r="M164" s="34"/>
      <c r="N164" s="34"/>
      <c r="O164" s="29"/>
      <c r="P164" s="29"/>
      <c r="Q164" s="29"/>
      <c r="R164" s="34"/>
      <c r="S164" s="29"/>
      <c r="T164" s="29"/>
      <c r="U164" s="2"/>
      <c r="V164" s="34"/>
      <c r="W164" s="34"/>
      <c r="X164" s="34"/>
      <c r="Y164" s="29"/>
      <c r="Z164" s="34"/>
      <c r="AA164" s="34"/>
      <c r="AB164" s="29"/>
      <c r="AC164" s="34"/>
      <c r="AD164" s="29"/>
      <c r="AE164" s="34"/>
      <c r="AF164" s="34"/>
    </row>
    <row x14ac:dyDescent="0.25" r="165" customHeight="1" ht="15.75">
      <c r="A165" s="502"/>
      <c r="B165" s="3"/>
      <c r="C165" s="3"/>
      <c r="D165" s="3"/>
      <c r="E165" s="3"/>
      <c r="F165" s="3"/>
      <c r="G165" s="3"/>
      <c r="H165" s="3"/>
      <c r="I165" s="29"/>
      <c r="J165" s="29"/>
      <c r="K165" s="29"/>
      <c r="L165" s="29"/>
      <c r="M165" s="34"/>
      <c r="N165" s="34"/>
      <c r="O165" s="29"/>
      <c r="P165" s="29"/>
      <c r="Q165" s="29"/>
      <c r="R165" s="34"/>
      <c r="S165" s="29"/>
      <c r="T165" s="29"/>
      <c r="U165" s="2"/>
      <c r="V165" s="34"/>
      <c r="W165" s="34"/>
      <c r="X165" s="34"/>
      <c r="Y165" s="29"/>
      <c r="Z165" s="34"/>
      <c r="AA165" s="34"/>
      <c r="AB165" s="29"/>
      <c r="AC165" s="34"/>
      <c r="AD165" s="29"/>
      <c r="AE165" s="34"/>
      <c r="AF165" s="34"/>
    </row>
    <row x14ac:dyDescent="0.25" r="166" customHeight="1" ht="15.75">
      <c r="A166" s="502"/>
      <c r="B166" s="3"/>
      <c r="C166" s="3"/>
      <c r="D166" s="3"/>
      <c r="E166" s="3"/>
      <c r="F166" s="3"/>
      <c r="G166" s="3"/>
      <c r="H166" s="3"/>
      <c r="I166" s="29"/>
      <c r="J166" s="29"/>
      <c r="K166" s="29"/>
      <c r="L166" s="29"/>
      <c r="M166" s="34"/>
      <c r="N166" s="34"/>
      <c r="O166" s="29"/>
      <c r="P166" s="29"/>
      <c r="Q166" s="29"/>
      <c r="R166" s="34"/>
      <c r="S166" s="29"/>
      <c r="T166" s="29"/>
      <c r="U166" s="2"/>
      <c r="V166" s="34"/>
      <c r="W166" s="34"/>
      <c r="X166" s="34"/>
      <c r="Y166" s="29"/>
      <c r="Z166" s="34"/>
      <c r="AA166" s="34"/>
      <c r="AB166" s="29"/>
      <c r="AC166" s="34"/>
      <c r="AD166" s="29"/>
      <c r="AE166" s="34"/>
      <c r="AF166" s="34"/>
    </row>
    <row x14ac:dyDescent="0.25" r="167" customHeight="1" ht="15.75">
      <c r="A167" s="502"/>
      <c r="B167" s="3"/>
      <c r="C167" s="3"/>
      <c r="D167" s="3"/>
      <c r="E167" s="3"/>
      <c r="F167" s="3"/>
      <c r="G167" s="3"/>
      <c r="H167" s="3"/>
      <c r="I167" s="29"/>
      <c r="J167" s="29"/>
      <c r="K167" s="29"/>
      <c r="L167" s="29"/>
      <c r="M167" s="34"/>
      <c r="N167" s="34"/>
      <c r="O167" s="29"/>
      <c r="P167" s="29"/>
      <c r="Q167" s="29"/>
      <c r="R167" s="34"/>
      <c r="S167" s="29"/>
      <c r="T167" s="29"/>
      <c r="U167" s="2"/>
      <c r="V167" s="34"/>
      <c r="W167" s="34"/>
      <c r="X167" s="34"/>
      <c r="Y167" s="29"/>
      <c r="Z167" s="34"/>
      <c r="AA167" s="34"/>
      <c r="AB167" s="29"/>
      <c r="AC167" s="34"/>
      <c r="AD167" s="29"/>
      <c r="AE167" s="34"/>
      <c r="AF167" s="34"/>
    </row>
    <row x14ac:dyDescent="0.25" r="168" customHeight="1" ht="15.75">
      <c r="A168" s="502"/>
      <c r="B168" s="3"/>
      <c r="C168" s="3"/>
      <c r="D168" s="3"/>
      <c r="E168" s="3"/>
      <c r="F168" s="3"/>
      <c r="G168" s="3"/>
      <c r="H168" s="3"/>
      <c r="I168" s="29"/>
      <c r="J168" s="29"/>
      <c r="K168" s="29"/>
      <c r="L168" s="29"/>
      <c r="M168" s="34"/>
      <c r="N168" s="34"/>
      <c r="O168" s="29"/>
      <c r="P168" s="29"/>
      <c r="Q168" s="29"/>
      <c r="R168" s="34"/>
      <c r="S168" s="29"/>
      <c r="T168" s="29"/>
      <c r="U168" s="2"/>
      <c r="V168" s="34"/>
      <c r="W168" s="34"/>
      <c r="X168" s="34"/>
      <c r="Y168" s="29"/>
      <c r="Z168" s="34"/>
      <c r="AA168" s="34"/>
      <c r="AB168" s="29"/>
      <c r="AC168" s="34"/>
      <c r="AD168" s="29"/>
      <c r="AE168" s="34"/>
      <c r="AF168" s="34"/>
    </row>
    <row x14ac:dyDescent="0.25" r="169" customHeight="1" ht="15.75">
      <c r="A169" s="502"/>
      <c r="B169" s="3"/>
      <c r="C169" s="3"/>
      <c r="D169" s="3"/>
      <c r="E169" s="3"/>
      <c r="F169" s="3"/>
      <c r="G169" s="3"/>
      <c r="H169" s="3"/>
      <c r="I169" s="29"/>
      <c r="J169" s="29"/>
      <c r="K169" s="29"/>
      <c r="L169" s="29"/>
      <c r="M169" s="34"/>
      <c r="N169" s="34"/>
      <c r="O169" s="29"/>
      <c r="P169" s="29"/>
      <c r="Q169" s="29"/>
      <c r="R169" s="34"/>
      <c r="S169" s="29"/>
      <c r="T169" s="29"/>
      <c r="U169" s="2"/>
      <c r="V169" s="34"/>
      <c r="W169" s="34"/>
      <c r="X169" s="34"/>
      <c r="Y169" s="29"/>
      <c r="Z169" s="34"/>
      <c r="AA169" s="34"/>
      <c r="AB169" s="29"/>
      <c r="AC169" s="34"/>
      <c r="AD169" s="29"/>
      <c r="AE169" s="34"/>
      <c r="AF169" s="34"/>
    </row>
    <row x14ac:dyDescent="0.25" r="170" customHeight="1" ht="15.75">
      <c r="A170" s="502"/>
      <c r="B170" s="3"/>
      <c r="C170" s="3"/>
      <c r="D170" s="3"/>
      <c r="E170" s="3"/>
      <c r="F170" s="3"/>
      <c r="G170" s="503"/>
      <c r="H170" s="503"/>
      <c r="I170" s="29"/>
      <c r="J170" s="504"/>
      <c r="K170" s="29"/>
      <c r="L170" s="29"/>
      <c r="M170" s="34"/>
      <c r="N170" s="34"/>
      <c r="O170" s="29"/>
      <c r="P170" s="29"/>
      <c r="Q170" s="29"/>
      <c r="R170" s="34"/>
      <c r="S170" s="29"/>
      <c r="T170" s="29"/>
      <c r="U170" s="2"/>
      <c r="V170" s="34"/>
      <c r="W170" s="34"/>
      <c r="X170" s="34"/>
      <c r="Y170" s="29"/>
      <c r="Z170" s="34"/>
      <c r="AA170" s="34"/>
      <c r="AB170" s="29"/>
      <c r="AC170" s="34"/>
      <c r="AD170" s="29"/>
      <c r="AE170" s="34"/>
      <c r="AF170" s="34"/>
    </row>
    <row x14ac:dyDescent="0.25" r="171" customHeight="1" ht="15.75">
      <c r="A171" s="502"/>
      <c r="B171" s="3"/>
      <c r="C171" s="3"/>
      <c r="D171" s="3"/>
      <c r="E171" s="3"/>
      <c r="F171" s="3"/>
      <c r="G171" s="505"/>
      <c r="H171" s="505"/>
      <c r="I171" s="29"/>
      <c r="J171" s="29"/>
      <c r="K171" s="29"/>
      <c r="L171" s="29"/>
      <c r="M171" s="34"/>
      <c r="N171" s="34"/>
      <c r="O171" s="29"/>
      <c r="P171" s="29"/>
      <c r="Q171" s="29"/>
      <c r="R171" s="34"/>
      <c r="S171" s="29"/>
      <c r="T171" s="29"/>
      <c r="U171" s="2"/>
      <c r="V171" s="34"/>
      <c r="W171" s="34"/>
      <c r="X171" s="34"/>
      <c r="Y171" s="29"/>
      <c r="Z171" s="34"/>
      <c r="AA171" s="34"/>
      <c r="AB171" s="29"/>
      <c r="AC171" s="34"/>
      <c r="AD171" s="29"/>
      <c r="AE171" s="34"/>
      <c r="AF171" s="34"/>
    </row>
    <row x14ac:dyDescent="0.25" r="172" customHeight="1" ht="15.75">
      <c r="A172" s="502"/>
      <c r="B172" s="3"/>
      <c r="C172" s="3"/>
      <c r="D172" s="3"/>
      <c r="E172" s="3"/>
      <c r="F172" s="3"/>
      <c r="G172" s="3"/>
      <c r="H172" s="3"/>
      <c r="I172" s="29"/>
      <c r="J172" s="29"/>
      <c r="K172" s="29"/>
      <c r="L172" s="29"/>
      <c r="M172" s="34"/>
      <c r="N172" s="34"/>
      <c r="O172" s="29"/>
      <c r="P172" s="29"/>
      <c r="Q172" s="29"/>
      <c r="R172" s="34"/>
      <c r="S172" s="29"/>
      <c r="T172" s="29"/>
      <c r="U172" s="2"/>
      <c r="V172" s="34"/>
      <c r="W172" s="34"/>
      <c r="X172" s="34"/>
      <c r="Y172" s="29"/>
      <c r="Z172" s="34"/>
      <c r="AA172" s="34"/>
      <c r="AB172" s="29"/>
      <c r="AC172" s="34"/>
      <c r="AD172" s="29"/>
      <c r="AE172" s="34"/>
      <c r="AF172" s="34"/>
    </row>
    <row x14ac:dyDescent="0.25" r="173" customHeight="1" ht="15.75">
      <c r="A173" s="502"/>
      <c r="B173" s="3"/>
      <c r="C173" s="3"/>
      <c r="D173" s="3"/>
      <c r="E173" s="3"/>
      <c r="F173" s="3"/>
      <c r="G173" s="3"/>
      <c r="H173" s="3"/>
      <c r="I173" s="29"/>
      <c r="J173" s="29"/>
      <c r="K173" s="29"/>
      <c r="L173" s="29"/>
      <c r="M173" s="34"/>
      <c r="N173" s="34"/>
      <c r="O173" s="29"/>
      <c r="P173" s="29"/>
      <c r="Q173" s="29"/>
      <c r="R173" s="34"/>
      <c r="S173" s="29"/>
      <c r="T173" s="29"/>
      <c r="U173" s="2"/>
      <c r="V173" s="34"/>
      <c r="W173" s="34"/>
      <c r="X173" s="34"/>
      <c r="Y173" s="29"/>
      <c r="Z173" s="34"/>
      <c r="AA173" s="34"/>
      <c r="AB173" s="29"/>
      <c r="AC173" s="34"/>
      <c r="AD173" s="29"/>
      <c r="AE173" s="34"/>
      <c r="AF173" s="34"/>
    </row>
    <row x14ac:dyDescent="0.25" r="174" customHeight="1" ht="15.75">
      <c r="A174" s="502"/>
      <c r="B174" s="3"/>
      <c r="C174" s="3"/>
      <c r="D174" s="3"/>
      <c r="E174" s="3"/>
      <c r="F174" s="3"/>
      <c r="G174" s="3"/>
      <c r="H174" s="3"/>
      <c r="I174" s="29"/>
      <c r="J174" s="29"/>
      <c r="K174" s="29"/>
      <c r="L174" s="29"/>
      <c r="M174" s="34"/>
      <c r="N174" s="34"/>
      <c r="O174" s="29"/>
      <c r="P174" s="29"/>
      <c r="Q174" s="29"/>
      <c r="R174" s="34"/>
      <c r="S174" s="29"/>
      <c r="T174" s="29"/>
      <c r="U174" s="2"/>
      <c r="V174" s="34"/>
      <c r="W174" s="34"/>
      <c r="X174" s="34"/>
      <c r="Y174" s="29"/>
      <c r="Z174" s="34"/>
      <c r="AA174" s="34"/>
      <c r="AB174" s="29"/>
      <c r="AC174" s="34"/>
      <c r="AD174" s="29"/>
      <c r="AE174" s="34"/>
      <c r="AF174" s="34"/>
    </row>
    <row x14ac:dyDescent="0.25" r="175" customHeight="1" ht="15.75">
      <c r="A175" s="502"/>
      <c r="B175" s="3"/>
      <c r="C175" s="3"/>
      <c r="D175" s="3"/>
      <c r="E175" s="3"/>
      <c r="F175" s="3"/>
      <c r="G175" s="3"/>
      <c r="H175" s="3"/>
      <c r="I175" s="29"/>
      <c r="J175" s="29"/>
      <c r="K175" s="29"/>
      <c r="L175" s="29"/>
      <c r="M175" s="34"/>
      <c r="N175" s="34"/>
      <c r="O175" s="29"/>
      <c r="P175" s="29"/>
      <c r="Q175" s="29"/>
      <c r="R175" s="34"/>
      <c r="S175" s="29"/>
      <c r="T175" s="29"/>
      <c r="U175" s="2"/>
      <c r="V175" s="34"/>
      <c r="W175" s="34"/>
      <c r="X175" s="34"/>
      <c r="Y175" s="29"/>
      <c r="Z175" s="34"/>
      <c r="AA175" s="34"/>
      <c r="AB175" s="29"/>
      <c r="AC175" s="34"/>
      <c r="AD175" s="29"/>
      <c r="AE175" s="34"/>
      <c r="AF175" s="34"/>
    </row>
    <row x14ac:dyDescent="0.25" r="176" customHeight="1" ht="15.75">
      <c r="A176" s="502"/>
      <c r="B176" s="3"/>
      <c r="C176" s="3"/>
      <c r="D176" s="3"/>
      <c r="E176" s="3"/>
      <c r="F176" s="3"/>
      <c r="G176" s="3"/>
      <c r="H176" s="3"/>
      <c r="I176" s="29"/>
      <c r="J176" s="29"/>
      <c r="K176" s="29"/>
      <c r="L176" s="29"/>
      <c r="M176" s="34"/>
      <c r="N176" s="34"/>
      <c r="O176" s="29"/>
      <c r="P176" s="29"/>
      <c r="Q176" s="29"/>
      <c r="R176" s="34"/>
      <c r="S176" s="29"/>
      <c r="T176" s="29"/>
      <c r="U176" s="2"/>
      <c r="V176" s="34"/>
      <c r="W176" s="34"/>
      <c r="X176" s="34"/>
      <c r="Y176" s="29"/>
      <c r="Z176" s="34"/>
      <c r="AA176" s="34"/>
      <c r="AB176" s="29"/>
      <c r="AC176" s="34"/>
      <c r="AD176" s="29"/>
      <c r="AE176" s="34"/>
      <c r="AF176" s="34"/>
    </row>
    <row x14ac:dyDescent="0.25" r="177" customHeight="1" ht="15.75">
      <c r="A177" s="502"/>
      <c r="B177" s="3"/>
      <c r="C177" s="3"/>
      <c r="D177" s="3"/>
      <c r="E177" s="3"/>
      <c r="F177" s="3"/>
      <c r="G177" s="3"/>
      <c r="H177" s="3"/>
      <c r="I177" s="29"/>
      <c r="J177" s="29"/>
      <c r="K177" s="29"/>
      <c r="L177" s="29"/>
      <c r="M177" s="34"/>
      <c r="N177" s="34"/>
      <c r="O177" s="29"/>
      <c r="P177" s="29"/>
      <c r="Q177" s="29"/>
      <c r="R177" s="34"/>
      <c r="S177" s="29"/>
      <c r="T177" s="29"/>
      <c r="U177" s="2"/>
      <c r="V177" s="34"/>
      <c r="W177" s="34"/>
      <c r="X177" s="34"/>
      <c r="Y177" s="29"/>
      <c r="Z177" s="34"/>
      <c r="AA177" s="34"/>
      <c r="AB177" s="29"/>
      <c r="AC177" s="34"/>
      <c r="AD177" s="29"/>
      <c r="AE177" s="34"/>
      <c r="AF177" s="34"/>
    </row>
    <row x14ac:dyDescent="0.25" r="178" customHeight="1" ht="15.75">
      <c r="A178" s="502"/>
      <c r="B178" s="3"/>
      <c r="C178" s="3"/>
      <c r="D178" s="3"/>
      <c r="E178" s="3"/>
      <c r="F178" s="3"/>
      <c r="G178" s="3"/>
      <c r="H178" s="3"/>
      <c r="I178" s="29"/>
      <c r="J178" s="29"/>
      <c r="K178" s="29"/>
      <c r="L178" s="29"/>
      <c r="M178" s="34"/>
      <c r="N178" s="34"/>
      <c r="O178" s="29"/>
      <c r="P178" s="29"/>
      <c r="Q178" s="29"/>
      <c r="R178" s="34"/>
      <c r="S178" s="29"/>
      <c r="T178" s="29"/>
      <c r="U178" s="2"/>
      <c r="V178" s="34"/>
      <c r="W178" s="34"/>
      <c r="X178" s="34"/>
      <c r="Y178" s="29"/>
      <c r="Z178" s="34"/>
      <c r="AA178" s="34"/>
      <c r="AB178" s="29"/>
      <c r="AC178" s="34"/>
      <c r="AD178" s="29"/>
      <c r="AE178" s="34"/>
      <c r="AF178" s="34"/>
    </row>
    <row x14ac:dyDescent="0.25" r="179" customHeight="1" ht="15.75">
      <c r="A179" s="502"/>
      <c r="B179" s="3"/>
      <c r="C179" s="3"/>
      <c r="D179" s="3"/>
      <c r="E179" s="3"/>
      <c r="F179" s="3"/>
      <c r="G179" s="3"/>
      <c r="H179" s="3"/>
      <c r="I179" s="29"/>
      <c r="J179" s="29"/>
      <c r="K179" s="29"/>
      <c r="L179" s="29"/>
      <c r="M179" s="34"/>
      <c r="N179" s="34"/>
      <c r="O179" s="29"/>
      <c r="P179" s="29"/>
      <c r="Q179" s="29"/>
      <c r="R179" s="34"/>
      <c r="S179" s="29"/>
      <c r="T179" s="29"/>
      <c r="U179" s="2"/>
      <c r="V179" s="34"/>
      <c r="W179" s="34"/>
      <c r="X179" s="34"/>
      <c r="Y179" s="29"/>
      <c r="Z179" s="34"/>
      <c r="AA179" s="34"/>
      <c r="AB179" s="29"/>
      <c r="AC179" s="34"/>
      <c r="AD179" s="29"/>
      <c r="AE179" s="34"/>
      <c r="AF179" s="34"/>
    </row>
    <row x14ac:dyDescent="0.25" r="180" customHeight="1" ht="15.75">
      <c r="A180" s="502"/>
      <c r="B180" s="3"/>
      <c r="C180" s="3"/>
      <c r="D180" s="3"/>
      <c r="E180" s="3"/>
      <c r="F180" s="3"/>
      <c r="G180" s="3"/>
      <c r="H180" s="3"/>
      <c r="I180" s="29"/>
      <c r="J180" s="29"/>
      <c r="K180" s="29"/>
      <c r="L180" s="29"/>
      <c r="M180" s="34"/>
      <c r="N180" s="34"/>
      <c r="O180" s="29"/>
      <c r="P180" s="29"/>
      <c r="Q180" s="29"/>
      <c r="R180" s="34"/>
      <c r="S180" s="29"/>
      <c r="T180" s="29"/>
      <c r="U180" s="2"/>
      <c r="V180" s="34"/>
      <c r="W180" s="34"/>
      <c r="X180" s="34"/>
      <c r="Y180" s="29"/>
      <c r="Z180" s="34"/>
      <c r="AA180" s="34"/>
      <c r="AB180" s="29"/>
      <c r="AC180" s="34"/>
      <c r="AD180" s="29"/>
      <c r="AE180" s="34"/>
      <c r="AF180" s="34"/>
    </row>
    <row x14ac:dyDescent="0.25" r="181" customHeight="1" ht="15.75">
      <c r="A181" s="502"/>
      <c r="B181" s="3"/>
      <c r="C181" s="3"/>
      <c r="D181" s="3"/>
      <c r="E181" s="3"/>
      <c r="F181" s="3"/>
      <c r="G181" s="3"/>
      <c r="H181" s="3"/>
      <c r="I181" s="29"/>
      <c r="J181" s="29"/>
      <c r="K181" s="29"/>
      <c r="L181" s="29"/>
      <c r="M181" s="34"/>
      <c r="N181" s="34"/>
      <c r="O181" s="29"/>
      <c r="P181" s="29"/>
      <c r="Q181" s="29"/>
      <c r="R181" s="34"/>
      <c r="S181" s="29"/>
      <c r="T181" s="29"/>
      <c r="U181" s="2"/>
      <c r="V181" s="34"/>
      <c r="W181" s="34"/>
      <c r="X181" s="34"/>
      <c r="Y181" s="29"/>
      <c r="Z181" s="34"/>
      <c r="AA181" s="34"/>
      <c r="AB181" s="29"/>
      <c r="AC181" s="34"/>
      <c r="AD181" s="29"/>
      <c r="AE181" s="34"/>
      <c r="AF181" s="34"/>
    </row>
    <row x14ac:dyDescent="0.25" r="182" customHeight="1" ht="15.75">
      <c r="A182" s="502"/>
      <c r="B182" s="3"/>
      <c r="C182" s="3"/>
      <c r="D182" s="3"/>
      <c r="E182" s="3"/>
      <c r="F182" s="3"/>
      <c r="G182" s="34"/>
      <c r="H182" s="34"/>
      <c r="I182" s="29"/>
      <c r="J182" s="29"/>
      <c r="K182" s="29"/>
      <c r="L182" s="29"/>
      <c r="M182" s="34"/>
      <c r="N182" s="34"/>
      <c r="O182" s="29"/>
      <c r="P182" s="29"/>
      <c r="Q182" s="29"/>
      <c r="R182" s="34"/>
      <c r="S182" s="29"/>
      <c r="T182" s="29"/>
      <c r="U182" s="2"/>
      <c r="V182" s="34"/>
      <c r="W182" s="34"/>
      <c r="X182" s="34"/>
      <c r="Y182" s="29"/>
      <c r="Z182" s="34"/>
      <c r="AA182" s="34"/>
      <c r="AB182" s="29"/>
      <c r="AC182" s="34"/>
      <c r="AD182" s="29"/>
      <c r="AE182" s="34"/>
      <c r="AF182" s="34"/>
    </row>
    <row x14ac:dyDescent="0.25" r="183" customHeight="1" ht="15.75">
      <c r="A183" s="502"/>
      <c r="B183" s="3"/>
      <c r="C183" s="3"/>
      <c r="D183" s="3"/>
      <c r="E183" s="3"/>
      <c r="F183" s="3"/>
      <c r="G183" s="3"/>
      <c r="H183" s="3"/>
      <c r="I183" s="29"/>
      <c r="J183" s="29"/>
      <c r="K183" s="29"/>
      <c r="L183" s="29"/>
      <c r="M183" s="34"/>
      <c r="N183" s="34"/>
      <c r="O183" s="29"/>
      <c r="P183" s="29"/>
      <c r="Q183" s="29"/>
      <c r="R183" s="34"/>
      <c r="S183" s="29"/>
      <c r="T183" s="29"/>
      <c r="U183" s="2"/>
      <c r="V183" s="34"/>
      <c r="W183" s="34"/>
      <c r="X183" s="34"/>
      <c r="Y183" s="29"/>
      <c r="Z183" s="34"/>
      <c r="AA183" s="34"/>
      <c r="AB183" s="29"/>
      <c r="AC183" s="34"/>
      <c r="AD183" s="29"/>
      <c r="AE183" s="34"/>
      <c r="AF183" s="34"/>
    </row>
    <row x14ac:dyDescent="0.25" r="184" customHeight="1" ht="15.75">
      <c r="A184" s="502"/>
      <c r="B184" s="3"/>
      <c r="C184" s="3"/>
      <c r="D184" s="3"/>
      <c r="E184" s="3"/>
      <c r="F184" s="3"/>
      <c r="G184" s="34"/>
      <c r="H184" s="34"/>
      <c r="I184" s="29"/>
      <c r="J184" s="29"/>
      <c r="K184" s="29"/>
      <c r="L184" s="29"/>
      <c r="M184" s="34"/>
      <c r="N184" s="34"/>
      <c r="O184" s="29"/>
      <c r="P184" s="29"/>
      <c r="Q184" s="29"/>
      <c r="R184" s="34"/>
      <c r="S184" s="29"/>
      <c r="T184" s="29"/>
      <c r="U184" s="2"/>
      <c r="V184" s="34"/>
      <c r="W184" s="34"/>
      <c r="X184" s="34"/>
      <c r="Y184" s="29"/>
      <c r="Z184" s="34"/>
      <c r="AA184" s="34"/>
      <c r="AB184" s="29"/>
      <c r="AC184" s="34"/>
      <c r="AD184" s="29"/>
      <c r="AE184" s="34"/>
      <c r="AF184" s="34"/>
    </row>
    <row x14ac:dyDescent="0.25" r="185" customHeight="1" ht="15.75">
      <c r="A185" s="502"/>
      <c r="B185" s="3"/>
      <c r="C185" s="3"/>
      <c r="D185" s="3"/>
      <c r="E185" s="3"/>
      <c r="F185" s="3"/>
      <c r="G185" s="34"/>
      <c r="H185" s="34"/>
      <c r="I185" s="29"/>
      <c r="J185" s="29"/>
      <c r="K185" s="29"/>
      <c r="L185" s="29"/>
      <c r="M185" s="34"/>
      <c r="N185" s="34"/>
      <c r="O185" s="29"/>
      <c r="P185" s="29"/>
      <c r="Q185" s="29"/>
      <c r="R185" s="34"/>
      <c r="S185" s="29"/>
      <c r="T185" s="29"/>
      <c r="U185" s="2"/>
      <c r="V185" s="34"/>
      <c r="W185" s="34"/>
      <c r="X185" s="34"/>
      <c r="Y185" s="29"/>
      <c r="Z185" s="34"/>
      <c r="AA185" s="34"/>
      <c r="AB185" s="29"/>
      <c r="AC185" s="34"/>
      <c r="AD185" s="29"/>
      <c r="AE185" s="34"/>
      <c r="AF185" s="34"/>
    </row>
    <row x14ac:dyDescent="0.25" r="186" customHeight="1" ht="15.75">
      <c r="A186" s="502"/>
      <c r="B186" s="3"/>
      <c r="C186" s="3"/>
      <c r="D186" s="3"/>
      <c r="E186" s="3"/>
      <c r="F186" s="3"/>
      <c r="G186" s="3"/>
      <c r="H186" s="3"/>
      <c r="I186" s="29"/>
      <c r="J186" s="29"/>
      <c r="K186" s="29"/>
      <c r="L186" s="29"/>
      <c r="M186" s="34"/>
      <c r="N186" s="34"/>
      <c r="O186" s="29"/>
      <c r="P186" s="29"/>
      <c r="Q186" s="29"/>
      <c r="R186" s="34"/>
      <c r="S186" s="29"/>
      <c r="T186" s="29"/>
      <c r="U186" s="2"/>
      <c r="V186" s="34"/>
      <c r="W186" s="34"/>
      <c r="X186" s="34"/>
      <c r="Y186" s="29"/>
      <c r="Z186" s="34"/>
      <c r="AA186" s="34"/>
      <c r="AB186" s="29"/>
      <c r="AC186" s="34"/>
      <c r="AD186" s="29"/>
      <c r="AE186" s="34"/>
      <c r="AF186" s="34"/>
    </row>
    <row x14ac:dyDescent="0.25" r="187" customHeight="1" ht="15.75">
      <c r="A187" s="502"/>
      <c r="B187" s="3"/>
      <c r="C187" s="3"/>
      <c r="D187" s="3"/>
      <c r="E187" s="3"/>
      <c r="F187" s="3"/>
      <c r="G187" s="3"/>
      <c r="H187" s="3"/>
      <c r="I187" s="29"/>
      <c r="J187" s="29"/>
      <c r="K187" s="29"/>
      <c r="L187" s="29"/>
      <c r="M187" s="34"/>
      <c r="N187" s="34"/>
      <c r="O187" s="29"/>
      <c r="P187" s="29"/>
      <c r="Q187" s="29"/>
      <c r="R187" s="34"/>
      <c r="S187" s="29"/>
      <c r="T187" s="29"/>
      <c r="U187" s="2"/>
      <c r="V187" s="34"/>
      <c r="W187" s="34"/>
      <c r="X187" s="34"/>
      <c r="Y187" s="29"/>
      <c r="Z187" s="34"/>
      <c r="AA187" s="34"/>
      <c r="AB187" s="29"/>
      <c r="AC187" s="34"/>
      <c r="AD187" s="29"/>
      <c r="AE187" s="34"/>
      <c r="AF187" s="34"/>
    </row>
    <row x14ac:dyDescent="0.25" r="188" customHeight="1" ht="15.75">
      <c r="A188" s="502"/>
      <c r="B188" s="3"/>
      <c r="C188" s="3"/>
      <c r="D188" s="3"/>
      <c r="E188" s="3"/>
      <c r="F188" s="3"/>
      <c r="G188" s="3"/>
      <c r="H188" s="3"/>
      <c r="I188" s="29"/>
      <c r="J188" s="29"/>
      <c r="K188" s="29"/>
      <c r="L188" s="29"/>
      <c r="M188" s="34"/>
      <c r="N188" s="34"/>
      <c r="O188" s="29"/>
      <c r="P188" s="29"/>
      <c r="Q188" s="29"/>
      <c r="R188" s="34"/>
      <c r="S188" s="29"/>
      <c r="T188" s="29"/>
      <c r="U188" s="2"/>
      <c r="V188" s="34"/>
      <c r="W188" s="34"/>
      <c r="X188" s="34"/>
      <c r="Y188" s="29"/>
      <c r="Z188" s="34"/>
      <c r="AA188" s="34"/>
      <c r="AB188" s="29"/>
      <c r="AC188" s="34"/>
      <c r="AD188" s="29"/>
      <c r="AE188" s="34"/>
      <c r="AF188" s="34"/>
    </row>
    <row x14ac:dyDescent="0.25" r="189" customHeight="1" ht="15.75">
      <c r="A189" s="502"/>
      <c r="B189" s="3"/>
      <c r="C189" s="3"/>
      <c r="D189" s="3"/>
      <c r="E189" s="3"/>
      <c r="F189" s="3"/>
      <c r="G189" s="3"/>
      <c r="H189" s="3"/>
      <c r="I189" s="29"/>
      <c r="J189" s="29"/>
      <c r="K189" s="29"/>
      <c r="L189" s="29"/>
      <c r="M189" s="34"/>
      <c r="N189" s="34"/>
      <c r="O189" s="29"/>
      <c r="P189" s="29"/>
      <c r="Q189" s="29"/>
      <c r="R189" s="34"/>
      <c r="S189" s="29"/>
      <c r="T189" s="29"/>
      <c r="U189" s="2"/>
      <c r="V189" s="34"/>
      <c r="W189" s="34"/>
      <c r="X189" s="34"/>
      <c r="Y189" s="29"/>
      <c r="Z189" s="34"/>
      <c r="AA189" s="34"/>
      <c r="AB189" s="29"/>
      <c r="AC189" s="34"/>
      <c r="AD189" s="29"/>
      <c r="AE189" s="34"/>
      <c r="AF189" s="34"/>
    </row>
    <row x14ac:dyDescent="0.25" r="190" customHeight="1" ht="15.75">
      <c r="A190" s="502"/>
      <c r="B190" s="3"/>
      <c r="C190" s="3"/>
      <c r="D190" s="3"/>
      <c r="E190" s="3"/>
      <c r="F190" s="3"/>
      <c r="G190" s="3"/>
      <c r="H190" s="3"/>
      <c r="I190" s="29"/>
      <c r="J190" s="29"/>
      <c r="K190" s="29"/>
      <c r="L190" s="29"/>
      <c r="M190" s="34"/>
      <c r="N190" s="34"/>
      <c r="O190" s="29"/>
      <c r="P190" s="29"/>
      <c r="Q190" s="29"/>
      <c r="R190" s="34"/>
      <c r="S190" s="29"/>
      <c r="T190" s="29"/>
      <c r="U190" s="2"/>
      <c r="V190" s="34"/>
      <c r="W190" s="34"/>
      <c r="X190" s="34"/>
      <c r="Y190" s="29"/>
      <c r="Z190" s="34"/>
      <c r="AA190" s="34"/>
      <c r="AB190" s="29"/>
      <c r="AC190" s="34"/>
      <c r="AD190" s="29"/>
      <c r="AE190" s="34"/>
      <c r="AF190" s="34"/>
    </row>
    <row x14ac:dyDescent="0.25" r="191" customHeight="1" ht="15.75">
      <c r="A191" s="502"/>
      <c r="B191" s="3"/>
      <c r="C191" s="3"/>
      <c r="D191" s="3"/>
      <c r="E191" s="3"/>
      <c r="F191" s="3"/>
      <c r="G191" s="3"/>
      <c r="H191" s="3"/>
      <c r="I191" s="29"/>
      <c r="J191" s="29"/>
      <c r="K191" s="29"/>
      <c r="L191" s="29"/>
      <c r="M191" s="34"/>
      <c r="N191" s="34"/>
      <c r="O191" s="29"/>
      <c r="P191" s="29"/>
      <c r="Q191" s="29"/>
      <c r="R191" s="34"/>
      <c r="S191" s="29"/>
      <c r="T191" s="29"/>
      <c r="U191" s="2"/>
      <c r="V191" s="34"/>
      <c r="W191" s="34"/>
      <c r="X191" s="34"/>
      <c r="Y191" s="29"/>
      <c r="Z191" s="34"/>
      <c r="AA191" s="34"/>
      <c r="AB191" s="29"/>
      <c r="AC191" s="34"/>
      <c r="AD191" s="29"/>
      <c r="AE191" s="34"/>
      <c r="AF191" s="34"/>
    </row>
    <row x14ac:dyDescent="0.25" r="192" customHeight="1" ht="15.75">
      <c r="A192" s="502"/>
      <c r="B192" s="3"/>
      <c r="C192" s="3"/>
      <c r="D192" s="3"/>
      <c r="E192" s="3"/>
      <c r="F192" s="3"/>
      <c r="G192" s="3"/>
      <c r="H192" s="3"/>
      <c r="I192" s="29"/>
      <c r="J192" s="29"/>
      <c r="K192" s="29"/>
      <c r="L192" s="29"/>
      <c r="M192" s="34"/>
      <c r="N192" s="34"/>
      <c r="O192" s="29"/>
      <c r="P192" s="29"/>
      <c r="Q192" s="29"/>
      <c r="R192" s="34"/>
      <c r="S192" s="29"/>
      <c r="T192" s="29"/>
      <c r="U192" s="2"/>
      <c r="V192" s="34"/>
      <c r="W192" s="34"/>
      <c r="X192" s="34"/>
      <c r="Y192" s="29"/>
      <c r="Z192" s="34"/>
      <c r="AA192" s="34"/>
      <c r="AB192" s="29"/>
      <c r="AC192" s="34"/>
      <c r="AD192" s="29"/>
      <c r="AE192" s="34"/>
      <c r="AF192" s="34"/>
    </row>
    <row x14ac:dyDescent="0.25" r="193" customHeight="1" ht="15.75">
      <c r="A193" s="502"/>
      <c r="B193" s="3"/>
      <c r="C193" s="3"/>
      <c r="D193" s="3"/>
      <c r="E193" s="3"/>
      <c r="F193" s="3"/>
      <c r="G193" s="3"/>
      <c r="H193" s="3"/>
      <c r="I193" s="29"/>
      <c r="J193" s="29"/>
      <c r="K193" s="29"/>
      <c r="L193" s="29"/>
      <c r="M193" s="34"/>
      <c r="N193" s="34"/>
      <c r="O193" s="29"/>
      <c r="P193" s="29"/>
      <c r="Q193" s="29"/>
      <c r="R193" s="34"/>
      <c r="S193" s="29"/>
      <c r="T193" s="29"/>
      <c r="U193" s="2"/>
      <c r="V193" s="34"/>
      <c r="W193" s="34"/>
      <c r="X193" s="34"/>
      <c r="Y193" s="29"/>
      <c r="Z193" s="34"/>
      <c r="AA193" s="34"/>
      <c r="AB193" s="29"/>
      <c r="AC193" s="34"/>
      <c r="AD193" s="29"/>
      <c r="AE193" s="34"/>
      <c r="AF193" s="34"/>
    </row>
    <row x14ac:dyDescent="0.25" r="194" customHeight="1" ht="15.75">
      <c r="A194" s="502"/>
      <c r="B194" s="3"/>
      <c r="C194" s="3"/>
      <c r="D194" s="3"/>
      <c r="E194" s="3"/>
      <c r="F194" s="3"/>
      <c r="G194" s="3"/>
      <c r="H194" s="3"/>
      <c r="I194" s="29"/>
      <c r="J194" s="29"/>
      <c r="K194" s="29"/>
      <c r="L194" s="29"/>
      <c r="M194" s="34"/>
      <c r="N194" s="34"/>
      <c r="O194" s="29"/>
      <c r="P194" s="29"/>
      <c r="Q194" s="29"/>
      <c r="R194" s="34"/>
      <c r="S194" s="29"/>
      <c r="T194" s="29"/>
      <c r="U194" s="2"/>
      <c r="V194" s="34"/>
      <c r="W194" s="34"/>
      <c r="X194" s="34"/>
      <c r="Y194" s="29"/>
      <c r="Z194" s="34"/>
      <c r="AA194" s="34"/>
      <c r="AB194" s="29"/>
      <c r="AC194" s="34"/>
      <c r="AD194" s="29"/>
      <c r="AE194" s="34"/>
      <c r="AF194" s="34"/>
    </row>
    <row x14ac:dyDescent="0.25" r="195" customHeight="1" ht="15.75">
      <c r="A195" s="502"/>
      <c r="B195" s="3"/>
      <c r="C195" s="3"/>
      <c r="D195" s="3"/>
      <c r="E195" s="3"/>
      <c r="F195" s="3"/>
      <c r="G195" s="3"/>
      <c r="H195" s="3"/>
      <c r="I195" s="29"/>
      <c r="J195" s="29"/>
      <c r="K195" s="29"/>
      <c r="L195" s="29"/>
      <c r="M195" s="34"/>
      <c r="N195" s="34"/>
      <c r="O195" s="29"/>
      <c r="P195" s="29"/>
      <c r="Q195" s="29"/>
      <c r="R195" s="34"/>
      <c r="S195" s="29"/>
      <c r="T195" s="29"/>
      <c r="U195" s="2"/>
      <c r="V195" s="34"/>
      <c r="W195" s="34"/>
      <c r="X195" s="34"/>
      <c r="Y195" s="29"/>
      <c r="Z195" s="34"/>
      <c r="AA195" s="34"/>
      <c r="AB195" s="29"/>
      <c r="AC195" s="34"/>
      <c r="AD195" s="29"/>
      <c r="AE195" s="34"/>
      <c r="AF195" s="34"/>
    </row>
    <row x14ac:dyDescent="0.25" r="196" customHeight="1" ht="15.75">
      <c r="A196" s="502"/>
      <c r="B196" s="3"/>
      <c r="C196" s="3"/>
      <c r="D196" s="3"/>
      <c r="E196" s="3"/>
      <c r="F196" s="3"/>
      <c r="G196" s="3"/>
      <c r="H196" s="3"/>
      <c r="I196" s="29"/>
      <c r="J196" s="29"/>
      <c r="K196" s="29"/>
      <c r="L196" s="29"/>
      <c r="M196" s="34"/>
      <c r="N196" s="34"/>
      <c r="O196" s="29"/>
      <c r="P196" s="29"/>
      <c r="Q196" s="29"/>
      <c r="R196" s="34"/>
      <c r="S196" s="29"/>
      <c r="T196" s="29"/>
      <c r="U196" s="2"/>
      <c r="V196" s="34"/>
      <c r="W196" s="34"/>
      <c r="X196" s="34"/>
      <c r="Y196" s="29"/>
      <c r="Z196" s="34"/>
      <c r="AA196" s="34"/>
      <c r="AB196" s="29"/>
      <c r="AC196" s="34"/>
      <c r="AD196" s="29"/>
      <c r="AE196" s="34"/>
      <c r="AF196" s="34"/>
    </row>
    <row x14ac:dyDescent="0.25" r="197" customHeight="1" ht="15.75">
      <c r="A197" s="502"/>
      <c r="B197" s="3"/>
      <c r="C197" s="3"/>
      <c r="D197" s="3"/>
      <c r="E197" s="3"/>
      <c r="F197" s="3"/>
      <c r="G197" s="3"/>
      <c r="H197" s="3"/>
      <c r="I197" s="29"/>
      <c r="J197" s="29"/>
      <c r="K197" s="29"/>
      <c r="L197" s="29"/>
      <c r="M197" s="34"/>
      <c r="N197" s="34"/>
      <c r="O197" s="29"/>
      <c r="P197" s="29"/>
      <c r="Q197" s="29"/>
      <c r="R197" s="34"/>
      <c r="S197" s="29"/>
      <c r="T197" s="29"/>
      <c r="U197" s="2"/>
      <c r="V197" s="34"/>
      <c r="W197" s="34"/>
      <c r="X197" s="34"/>
      <c r="Y197" s="29"/>
      <c r="Z197" s="34"/>
      <c r="AA197" s="34"/>
      <c r="AB197" s="29"/>
      <c r="AC197" s="34"/>
      <c r="AD197" s="29"/>
      <c r="AE197" s="34"/>
      <c r="AF197" s="34"/>
    </row>
    <row x14ac:dyDescent="0.25" r="198" customHeight="1" ht="15.75">
      <c r="A198" s="502"/>
      <c r="B198" s="3"/>
      <c r="C198" s="3"/>
      <c r="D198" s="3"/>
      <c r="E198" s="3"/>
      <c r="F198" s="3"/>
      <c r="G198" s="3"/>
      <c r="H198" s="3"/>
      <c r="I198" s="29"/>
      <c r="J198" s="29"/>
      <c r="K198" s="29"/>
      <c r="L198" s="29"/>
      <c r="M198" s="34"/>
      <c r="N198" s="34"/>
      <c r="O198" s="29"/>
      <c r="P198" s="29"/>
      <c r="Q198" s="29"/>
      <c r="R198" s="34"/>
      <c r="S198" s="29"/>
      <c r="T198" s="29"/>
      <c r="U198" s="2"/>
      <c r="V198" s="34"/>
      <c r="W198" s="34"/>
      <c r="X198" s="34"/>
      <c r="Y198" s="29"/>
      <c r="Z198" s="34"/>
      <c r="AA198" s="34"/>
      <c r="AB198" s="29"/>
      <c r="AC198" s="34"/>
      <c r="AD198" s="29"/>
      <c r="AE198" s="34"/>
      <c r="AF198" s="34"/>
    </row>
    <row x14ac:dyDescent="0.25" r="199" customHeight="1" ht="15.75">
      <c r="A199" s="502"/>
      <c r="B199" s="3"/>
      <c r="C199" s="3"/>
      <c r="D199" s="3"/>
      <c r="E199" s="3"/>
      <c r="F199" s="3"/>
      <c r="G199" s="3"/>
      <c r="H199" s="3"/>
      <c r="I199" s="29"/>
      <c r="J199" s="29"/>
      <c r="K199" s="29"/>
      <c r="L199" s="29"/>
      <c r="M199" s="34"/>
      <c r="N199" s="34"/>
      <c r="O199" s="29"/>
      <c r="P199" s="29"/>
      <c r="Q199" s="29"/>
      <c r="R199" s="34"/>
      <c r="S199" s="29"/>
      <c r="T199" s="29"/>
      <c r="U199" s="2"/>
      <c r="V199" s="34"/>
      <c r="W199" s="34"/>
      <c r="X199" s="34"/>
      <c r="Y199" s="29"/>
      <c r="Z199" s="34"/>
      <c r="AA199" s="34"/>
      <c r="AB199" s="29"/>
      <c r="AC199" s="34"/>
      <c r="AD199" s="29"/>
      <c r="AE199" s="34"/>
      <c r="AF199" s="34"/>
    </row>
    <row x14ac:dyDescent="0.25" r="200" customHeight="1" ht="15.75">
      <c r="A200" s="502"/>
      <c r="B200" s="34"/>
      <c r="C200" s="3"/>
      <c r="D200" s="3"/>
      <c r="E200" s="3"/>
      <c r="F200" s="3"/>
      <c r="G200" s="3"/>
      <c r="H200" s="3"/>
      <c r="I200" s="29"/>
      <c r="J200" s="29"/>
      <c r="K200" s="29"/>
      <c r="L200" s="29"/>
      <c r="M200" s="34"/>
      <c r="N200" s="34"/>
      <c r="O200" s="29"/>
      <c r="P200" s="29"/>
      <c r="Q200" s="29"/>
      <c r="R200" s="34"/>
      <c r="S200" s="29"/>
      <c r="T200" s="29"/>
      <c r="U200" s="2"/>
      <c r="V200" s="34"/>
      <c r="W200" s="34"/>
      <c r="X200" s="34"/>
      <c r="Y200" s="29"/>
      <c r="Z200" s="34"/>
      <c r="AA200" s="34"/>
      <c r="AB200" s="29"/>
      <c r="AC200" s="34"/>
      <c r="AD200" s="29"/>
      <c r="AE200" s="34"/>
      <c r="AF200" s="34"/>
    </row>
    <row x14ac:dyDescent="0.25" r="201" customHeight="1" ht="15.75">
      <c r="A201" s="502"/>
      <c r="B201" s="34"/>
      <c r="C201" s="3"/>
      <c r="D201" s="3"/>
      <c r="E201" s="3"/>
      <c r="F201" s="3"/>
      <c r="G201" s="3"/>
      <c r="H201" s="3"/>
      <c r="I201" s="29"/>
      <c r="J201" s="29"/>
      <c r="K201" s="29"/>
      <c r="L201" s="29"/>
      <c r="M201" s="34"/>
      <c r="N201" s="34"/>
      <c r="O201" s="29"/>
      <c r="P201" s="29"/>
      <c r="Q201" s="29"/>
      <c r="R201" s="34"/>
      <c r="S201" s="29"/>
      <c r="T201" s="29"/>
      <c r="U201" s="2"/>
      <c r="V201" s="34"/>
      <c r="W201" s="34"/>
      <c r="X201" s="34"/>
      <c r="Y201" s="29"/>
      <c r="Z201" s="34"/>
      <c r="AA201" s="34"/>
      <c r="AB201" s="29"/>
      <c r="AC201" s="34"/>
      <c r="AD201" s="29"/>
      <c r="AE201" s="34"/>
      <c r="AF201" s="34"/>
    </row>
    <row x14ac:dyDescent="0.25" r="202" customHeight="1" ht="15.75">
      <c r="A202" s="502"/>
      <c r="B202" s="34"/>
      <c r="C202" s="124" t="s">
        <v>513</v>
      </c>
      <c r="D202" s="34"/>
      <c r="E202" s="34"/>
      <c r="F202" s="34"/>
      <c r="G202" s="34"/>
      <c r="H202" s="124"/>
      <c r="I202" s="126"/>
      <c r="J202" s="506">
        <f>SUM(J2,J201)</f>
      </c>
      <c r="K202" s="29"/>
      <c r="L202" s="29"/>
      <c r="M202" s="34"/>
      <c r="N202" s="34"/>
      <c r="O202" s="29"/>
      <c r="P202" s="29"/>
      <c r="Q202" s="29"/>
      <c r="R202" s="34"/>
      <c r="S202" s="29"/>
      <c r="T202" s="29"/>
      <c r="U202" s="2"/>
      <c r="V202" s="34"/>
      <c r="W202" s="34"/>
      <c r="X202" s="34"/>
      <c r="Y202" s="29"/>
      <c r="Z202" s="34"/>
      <c r="AA202" s="34"/>
      <c r="AB202" s="29"/>
      <c r="AC202" s="34"/>
      <c r="AD202" s="29"/>
      <c r="AE202" s="34"/>
      <c r="AF202" s="34"/>
    </row>
    <row x14ac:dyDescent="0.25" r="203" customHeight="1" ht="15.75">
      <c r="A203" s="502"/>
      <c r="B203" s="34"/>
      <c r="C203" s="34"/>
      <c r="D203" s="34"/>
      <c r="E203" s="34"/>
      <c r="F203" s="34"/>
      <c r="G203" s="34"/>
      <c r="H203" s="34"/>
      <c r="I203" s="29"/>
      <c r="J203" s="29"/>
      <c r="K203" s="506"/>
      <c r="L203" s="29"/>
      <c r="M203" s="34"/>
      <c r="N203" s="34"/>
      <c r="O203" s="29"/>
      <c r="P203" s="29"/>
      <c r="Q203" s="29"/>
      <c r="R203" s="34"/>
      <c r="S203" s="29"/>
      <c r="T203" s="29"/>
      <c r="U203" s="2"/>
      <c r="V203" s="34"/>
      <c r="W203" s="34"/>
      <c r="X203" s="34"/>
      <c r="Y203" s="29"/>
      <c r="Z203" s="34"/>
      <c r="AA203" s="34"/>
      <c r="AB203" s="29"/>
      <c r="AC203" s="34"/>
      <c r="AD203" s="29"/>
      <c r="AE203" s="34"/>
      <c r="AF203" s="34"/>
    </row>
    <row x14ac:dyDescent="0.25" r="204" customHeight="1" ht="15.75">
      <c r="A204" s="502"/>
      <c r="B204" s="34"/>
      <c r="C204" s="34"/>
      <c r="D204" s="34"/>
      <c r="E204" s="34"/>
      <c r="F204" s="34"/>
      <c r="G204" s="34"/>
      <c r="H204" s="34"/>
      <c r="I204" s="29"/>
      <c r="J204" s="29"/>
      <c r="K204" s="29"/>
      <c r="L204" s="29"/>
      <c r="M204" s="34"/>
      <c r="N204" s="34"/>
      <c r="O204" s="29"/>
      <c r="P204" s="29"/>
      <c r="Q204" s="29"/>
      <c r="R204" s="34"/>
      <c r="S204" s="29"/>
      <c r="T204" s="29"/>
      <c r="U204" s="2"/>
      <c r="V204" s="34"/>
      <c r="W204" s="34"/>
      <c r="X204" s="34"/>
      <c r="Y204" s="29"/>
      <c r="Z204" s="34"/>
      <c r="AA204" s="34"/>
      <c r="AB204" s="29"/>
      <c r="AC204" s="34"/>
      <c r="AD204" s="29"/>
      <c r="AE204" s="34"/>
      <c r="AF204" s="34"/>
    </row>
    <row x14ac:dyDescent="0.25" r="205" customHeight="1" ht="15.75">
      <c r="A205" s="502"/>
      <c r="B205" s="34"/>
      <c r="C205" s="34"/>
      <c r="D205" s="34"/>
      <c r="E205" s="34"/>
      <c r="F205" s="34"/>
      <c r="G205" s="34"/>
      <c r="H205" s="34"/>
      <c r="I205" s="29"/>
      <c r="J205" s="29"/>
      <c r="K205" s="29"/>
      <c r="L205" s="29"/>
      <c r="M205" s="34"/>
      <c r="N205" s="34"/>
      <c r="O205" s="29"/>
      <c r="P205" s="29"/>
      <c r="Q205" s="29"/>
      <c r="R205" s="34"/>
      <c r="S205" s="29"/>
      <c r="T205" s="29"/>
      <c r="U205" s="2"/>
      <c r="V205" s="34"/>
      <c r="W205" s="34"/>
      <c r="X205" s="34"/>
      <c r="Y205" s="29"/>
      <c r="Z205" s="34"/>
      <c r="AA205" s="34"/>
      <c r="AB205" s="29"/>
      <c r="AC205" s="34"/>
      <c r="AD205" s="29"/>
      <c r="AE205" s="34"/>
      <c r="AF205" s="34"/>
    </row>
    <row x14ac:dyDescent="0.25" r="206" customHeight="1" ht="15.75">
      <c r="A206" s="502"/>
      <c r="B206" s="34"/>
      <c r="C206" s="34"/>
      <c r="D206" s="34"/>
      <c r="E206" s="34"/>
      <c r="F206" s="34"/>
      <c r="G206" s="34"/>
      <c r="H206" s="34"/>
      <c r="I206" s="29"/>
      <c r="J206" s="29"/>
      <c r="K206" s="29"/>
      <c r="L206" s="29"/>
      <c r="M206" s="34"/>
      <c r="N206" s="34"/>
      <c r="O206" s="29"/>
      <c r="P206" s="29"/>
      <c r="Q206" s="29"/>
      <c r="R206" s="34"/>
      <c r="S206" s="29"/>
      <c r="T206" s="29"/>
      <c r="U206" s="2"/>
      <c r="V206" s="34"/>
      <c r="W206" s="34"/>
      <c r="X206" s="34"/>
      <c r="Y206" s="29"/>
      <c r="Z206" s="34"/>
      <c r="AA206" s="34"/>
      <c r="AB206" s="29"/>
      <c r="AC206" s="34"/>
      <c r="AD206" s="29"/>
      <c r="AE206" s="34"/>
      <c r="AF206" s="34"/>
    </row>
    <row x14ac:dyDescent="0.25" r="207" customHeight="1" ht="15.75">
      <c r="A207" s="502"/>
      <c r="B207" s="34"/>
      <c r="C207" s="34"/>
      <c r="D207" s="34"/>
      <c r="E207" s="34"/>
      <c r="F207" s="34"/>
      <c r="G207" s="34"/>
      <c r="H207" s="34"/>
      <c r="I207" s="29"/>
      <c r="J207" s="29"/>
      <c r="K207" s="29"/>
      <c r="L207" s="29"/>
      <c r="M207" s="34"/>
      <c r="N207" s="34"/>
      <c r="O207" s="29"/>
      <c r="P207" s="29"/>
      <c r="Q207" s="29"/>
      <c r="R207" s="34"/>
      <c r="S207" s="29"/>
      <c r="T207" s="29"/>
      <c r="U207" s="2"/>
      <c r="V207" s="34"/>
      <c r="W207" s="34"/>
      <c r="X207" s="34"/>
      <c r="Y207" s="29"/>
      <c r="Z207" s="34"/>
      <c r="AA207" s="34"/>
      <c r="AB207" s="29"/>
      <c r="AC207" s="34"/>
      <c r="AD207" s="29"/>
      <c r="AE207" s="34"/>
      <c r="AF207" s="34"/>
    </row>
    <row x14ac:dyDescent="0.25" r="208" customHeight="1" ht="15.75">
      <c r="A208" s="502"/>
      <c r="B208" s="34"/>
      <c r="C208" s="34"/>
      <c r="D208" s="34"/>
      <c r="E208" s="34"/>
      <c r="F208" s="34"/>
      <c r="G208" s="34"/>
      <c r="H208" s="34"/>
      <c r="I208" s="29"/>
      <c r="J208" s="29"/>
      <c r="K208" s="29"/>
      <c r="L208" s="29"/>
      <c r="M208" s="34"/>
      <c r="N208" s="34"/>
      <c r="O208" s="29"/>
      <c r="P208" s="29"/>
      <c r="Q208" s="29"/>
      <c r="R208" s="34"/>
      <c r="S208" s="29"/>
      <c r="T208" s="29"/>
      <c r="U208" s="2"/>
      <c r="V208" s="34"/>
      <c r="W208" s="34"/>
      <c r="X208" s="34"/>
      <c r="Y208" s="29"/>
      <c r="Z208" s="34"/>
      <c r="AA208" s="34"/>
      <c r="AB208" s="29"/>
      <c r="AC208" s="34"/>
      <c r="AD208" s="29"/>
      <c r="AE208" s="34"/>
      <c r="AF208" s="34"/>
    </row>
    <row x14ac:dyDescent="0.25" r="209" customHeight="1" ht="15.75">
      <c r="A209" s="502"/>
      <c r="B209" s="34"/>
      <c r="C209" s="34"/>
      <c r="D209" s="34"/>
      <c r="E209" s="34"/>
      <c r="F209" s="34"/>
      <c r="G209" s="34"/>
      <c r="H209" s="34"/>
      <c r="I209" s="29"/>
      <c r="J209" s="29"/>
      <c r="K209" s="29"/>
      <c r="L209" s="29"/>
      <c r="M209" s="34"/>
      <c r="N209" s="34"/>
      <c r="O209" s="29"/>
      <c r="P209" s="29"/>
      <c r="Q209" s="29"/>
      <c r="R209" s="34"/>
      <c r="S209" s="29"/>
      <c r="T209" s="29"/>
      <c r="U209" s="2"/>
      <c r="V209" s="34"/>
      <c r="W209" s="34"/>
      <c r="X209" s="34"/>
      <c r="Y209" s="29"/>
      <c r="Z209" s="34"/>
      <c r="AA209" s="34"/>
      <c r="AB209" s="29"/>
      <c r="AC209" s="34"/>
      <c r="AD209" s="29"/>
      <c r="AE209" s="34"/>
      <c r="AF209" s="34"/>
    </row>
    <row x14ac:dyDescent="0.25" r="210" customHeight="1" ht="15.75">
      <c r="A210" s="502"/>
      <c r="B210" s="34"/>
      <c r="C210" s="34"/>
      <c r="D210" s="34"/>
      <c r="E210" s="34"/>
      <c r="F210" s="34"/>
      <c r="G210" s="34"/>
      <c r="H210" s="34"/>
      <c r="I210" s="29"/>
      <c r="J210" s="29"/>
      <c r="K210" s="29"/>
      <c r="L210" s="29"/>
      <c r="M210" s="34"/>
      <c r="N210" s="34"/>
      <c r="O210" s="29"/>
      <c r="P210" s="29"/>
      <c r="Q210" s="29"/>
      <c r="R210" s="34"/>
      <c r="S210" s="29"/>
      <c r="T210" s="29"/>
      <c r="U210" s="2"/>
      <c r="V210" s="34"/>
      <c r="W210" s="34"/>
      <c r="X210" s="34"/>
      <c r="Y210" s="29"/>
      <c r="Z210" s="34"/>
      <c r="AA210" s="34"/>
      <c r="AB210" s="29"/>
      <c r="AC210" s="34"/>
      <c r="AD210" s="29"/>
      <c r="AE210" s="34"/>
      <c r="AF210" s="34"/>
    </row>
    <row x14ac:dyDescent="0.25" r="211" customHeight="1" ht="15.75">
      <c r="A211" s="502"/>
      <c r="B211" s="34"/>
      <c r="C211" s="34"/>
      <c r="D211" s="34"/>
      <c r="E211" s="34"/>
      <c r="F211" s="34"/>
      <c r="G211" s="34"/>
      <c r="H211" s="34"/>
      <c r="I211" s="29"/>
      <c r="J211" s="29">
        <v>0</v>
      </c>
      <c r="K211" s="29"/>
      <c r="L211" s="29"/>
      <c r="M211" s="34"/>
      <c r="N211" s="34"/>
      <c r="O211" s="29"/>
      <c r="P211" s="29"/>
      <c r="Q211" s="29"/>
      <c r="R211" s="34"/>
      <c r="S211" s="29"/>
      <c r="T211" s="29"/>
      <c r="U211" s="2"/>
      <c r="V211" s="34"/>
      <c r="W211" s="34"/>
      <c r="X211" s="34"/>
      <c r="Y211" s="29"/>
      <c r="Z211" s="34"/>
      <c r="AA211" s="34"/>
      <c r="AB211" s="29"/>
      <c r="AC211" s="34"/>
      <c r="AD211" s="29"/>
      <c r="AE211" s="34"/>
      <c r="AF211" s="34"/>
    </row>
    <row x14ac:dyDescent="0.25" r="212" customHeight="1" ht="15.75">
      <c r="A212" s="502"/>
      <c r="B212" s="34"/>
      <c r="C212" s="34"/>
      <c r="D212" s="34"/>
      <c r="E212" s="34"/>
      <c r="F212" s="34"/>
      <c r="G212" s="34"/>
      <c r="H212" s="34"/>
      <c r="I212" s="29"/>
      <c r="J212" s="29"/>
      <c r="K212" s="29"/>
      <c r="L212" s="29"/>
      <c r="M212" s="34"/>
      <c r="N212" s="34"/>
      <c r="O212" s="29"/>
      <c r="P212" s="29"/>
      <c r="Q212" s="29"/>
      <c r="R212" s="34"/>
      <c r="S212" s="29"/>
      <c r="T212" s="29"/>
      <c r="U212" s="2"/>
      <c r="V212" s="34"/>
      <c r="W212" s="34"/>
      <c r="X212" s="34"/>
      <c r="Y212" s="29"/>
      <c r="Z212" s="34"/>
      <c r="AA212" s="34"/>
      <c r="AB212" s="29"/>
      <c r="AC212" s="34"/>
      <c r="AD212" s="29"/>
      <c r="AE212" s="34"/>
      <c r="AF212" s="34"/>
    </row>
    <row x14ac:dyDescent="0.25" r="213" customHeight="1" ht="15.75">
      <c r="A213" s="502"/>
      <c r="B213" s="34"/>
      <c r="C213" s="34"/>
      <c r="D213" s="34"/>
      <c r="E213" s="34"/>
      <c r="F213" s="34"/>
      <c r="G213" s="34"/>
      <c r="H213" s="34"/>
      <c r="I213" s="29"/>
      <c r="J213" s="29"/>
      <c r="K213" s="29"/>
      <c r="L213" s="29"/>
      <c r="M213" s="34"/>
      <c r="N213" s="34"/>
      <c r="O213" s="29"/>
      <c r="P213" s="29"/>
      <c r="Q213" s="29"/>
      <c r="R213" s="34"/>
      <c r="S213" s="29"/>
      <c r="T213" s="29"/>
      <c r="U213" s="2"/>
      <c r="V213" s="34"/>
      <c r="W213" s="34"/>
      <c r="X213" s="34"/>
      <c r="Y213" s="29"/>
      <c r="Z213" s="34"/>
      <c r="AA213" s="34"/>
      <c r="AB213" s="29"/>
      <c r="AC213" s="34"/>
      <c r="AD213" s="29"/>
      <c r="AE213" s="34"/>
      <c r="AF213" s="34"/>
    </row>
    <row x14ac:dyDescent="0.25" r="214" customHeight="1" ht="15.75">
      <c r="A214" s="502"/>
      <c r="B214" s="34"/>
      <c r="C214" s="34"/>
      <c r="D214" s="34"/>
      <c r="E214" s="34"/>
      <c r="F214" s="34"/>
      <c r="G214" s="34"/>
      <c r="H214" s="34"/>
      <c r="I214" s="29"/>
      <c r="J214" s="29"/>
      <c r="K214" s="29"/>
      <c r="L214" s="29"/>
      <c r="M214" s="34"/>
      <c r="N214" s="34"/>
      <c r="O214" s="29"/>
      <c r="P214" s="29"/>
      <c r="Q214" s="29"/>
      <c r="R214" s="34"/>
      <c r="S214" s="29"/>
      <c r="T214" s="29"/>
      <c r="U214" s="2"/>
      <c r="V214" s="34"/>
      <c r="W214" s="34"/>
      <c r="X214" s="34"/>
      <c r="Y214" s="29"/>
      <c r="Z214" s="34"/>
      <c r="AA214" s="34"/>
      <c r="AB214" s="29"/>
      <c r="AC214" s="34"/>
      <c r="AD214" s="29"/>
      <c r="AE214" s="34"/>
      <c r="AF214" s="34"/>
    </row>
    <row x14ac:dyDescent="0.25" r="215" customHeight="1" ht="15.75">
      <c r="A215" s="502"/>
      <c r="B215" s="34"/>
      <c r="C215" s="34"/>
      <c r="D215" s="34"/>
      <c r="E215" s="34"/>
      <c r="F215" s="34"/>
      <c r="G215" s="34"/>
      <c r="H215" s="34"/>
      <c r="I215" s="29"/>
      <c r="J215" s="29"/>
      <c r="K215" s="29"/>
      <c r="L215" s="29"/>
      <c r="M215" s="34"/>
      <c r="N215" s="34"/>
      <c r="O215" s="29"/>
      <c r="P215" s="29"/>
      <c r="Q215" s="29"/>
      <c r="R215" s="34"/>
      <c r="S215" s="29"/>
      <c r="T215" s="29"/>
      <c r="U215" s="2"/>
      <c r="V215" s="34"/>
      <c r="W215" s="34"/>
      <c r="X215" s="34"/>
      <c r="Y215" s="29"/>
      <c r="Z215" s="34"/>
      <c r="AA215" s="34"/>
      <c r="AB215" s="29"/>
      <c r="AC215" s="34"/>
      <c r="AD215" s="29"/>
      <c r="AE215" s="34"/>
      <c r="AF215" s="34"/>
    </row>
    <row x14ac:dyDescent="0.25" r="216" customHeight="1" ht="15.75">
      <c r="A216" s="502"/>
      <c r="B216" s="34"/>
      <c r="C216" s="34"/>
      <c r="D216" s="34"/>
      <c r="E216" s="34"/>
      <c r="F216" s="34"/>
      <c r="G216" s="34"/>
      <c r="H216" s="34"/>
      <c r="I216" s="29"/>
      <c r="J216" s="29"/>
      <c r="K216" s="29"/>
      <c r="L216" s="29"/>
      <c r="M216" s="34"/>
      <c r="N216" s="34"/>
      <c r="O216" s="29"/>
      <c r="P216" s="29"/>
      <c r="Q216" s="29"/>
      <c r="R216" s="34"/>
      <c r="S216" s="29"/>
      <c r="T216" s="29"/>
      <c r="U216" s="2"/>
      <c r="V216" s="34"/>
      <c r="W216" s="34"/>
      <c r="X216" s="34"/>
      <c r="Y216" s="29"/>
      <c r="Z216" s="34"/>
      <c r="AA216" s="34"/>
      <c r="AB216" s="29"/>
      <c r="AC216" s="34"/>
      <c r="AD216" s="29"/>
      <c r="AE216" s="34"/>
      <c r="AF216" s="34"/>
    </row>
    <row x14ac:dyDescent="0.25" r="217" customHeight="1" ht="15.75">
      <c r="A217" s="502"/>
      <c r="B217" s="34"/>
      <c r="C217" s="34"/>
      <c r="D217" s="34"/>
      <c r="E217" s="34"/>
      <c r="F217" s="34"/>
      <c r="G217" s="34"/>
      <c r="H217" s="34"/>
      <c r="I217" s="29"/>
      <c r="J217" s="29"/>
      <c r="K217" s="29"/>
      <c r="L217" s="29"/>
      <c r="M217" s="34"/>
      <c r="N217" s="34"/>
      <c r="O217" s="29"/>
      <c r="P217" s="29"/>
      <c r="Q217" s="29"/>
      <c r="R217" s="34"/>
      <c r="S217" s="29"/>
      <c r="T217" s="29"/>
      <c r="U217" s="2"/>
      <c r="V217" s="34"/>
      <c r="W217" s="34"/>
      <c r="X217" s="34"/>
      <c r="Y217" s="29"/>
      <c r="Z217" s="34"/>
      <c r="AA217" s="34"/>
      <c r="AB217" s="29"/>
      <c r="AC217" s="34"/>
      <c r="AD217" s="29"/>
      <c r="AE217" s="34"/>
      <c r="AF217" s="34"/>
    </row>
    <row x14ac:dyDescent="0.25" r="218" customHeight="1" ht="15.75">
      <c r="A218" s="502"/>
      <c r="B218" s="34"/>
      <c r="C218" s="34"/>
      <c r="D218" s="34"/>
      <c r="E218" s="34"/>
      <c r="F218" s="34"/>
      <c r="G218" s="34"/>
      <c r="H218" s="34"/>
      <c r="I218" s="29"/>
      <c r="J218" s="29"/>
      <c r="K218" s="29"/>
      <c r="L218" s="29"/>
      <c r="M218" s="34"/>
      <c r="N218" s="34"/>
      <c r="O218" s="29"/>
      <c r="P218" s="29"/>
      <c r="Q218" s="29"/>
      <c r="R218" s="34"/>
      <c r="S218" s="29"/>
      <c r="T218" s="29"/>
      <c r="U218" s="2"/>
      <c r="V218" s="34"/>
      <c r="W218" s="34"/>
      <c r="X218" s="34"/>
      <c r="Y218" s="29"/>
      <c r="Z218" s="34"/>
      <c r="AA218" s="34"/>
      <c r="AB218" s="29"/>
      <c r="AC218" s="34"/>
      <c r="AD218" s="29"/>
      <c r="AE218" s="34"/>
      <c r="AF218" s="34"/>
    </row>
    <row x14ac:dyDescent="0.25" r="219" customHeight="1" ht="15.75">
      <c r="A219" s="502"/>
      <c r="B219" s="34"/>
      <c r="C219" s="34"/>
      <c r="D219" s="34"/>
      <c r="E219" s="34"/>
      <c r="F219" s="34"/>
      <c r="G219" s="34"/>
      <c r="H219" s="34"/>
      <c r="I219" s="29"/>
      <c r="J219" s="29"/>
      <c r="K219" s="29"/>
      <c r="L219" s="29"/>
      <c r="M219" s="34"/>
      <c r="N219" s="34"/>
      <c r="O219" s="29"/>
      <c r="P219" s="29"/>
      <c r="Q219" s="29"/>
      <c r="R219" s="34"/>
      <c r="S219" s="29"/>
      <c r="T219" s="29"/>
      <c r="U219" s="2"/>
      <c r="V219" s="34"/>
      <c r="W219" s="34"/>
      <c r="X219" s="34"/>
      <c r="Y219" s="29"/>
      <c r="Z219" s="34"/>
      <c r="AA219" s="34"/>
      <c r="AB219" s="29"/>
      <c r="AC219" s="34"/>
      <c r="AD219" s="29"/>
      <c r="AE219" s="34"/>
      <c r="AF219" s="34"/>
    </row>
    <row x14ac:dyDescent="0.25" r="220" customHeight="1" ht="15.75">
      <c r="A220" s="502"/>
      <c r="B220" s="34"/>
      <c r="C220" s="34"/>
      <c r="D220" s="34"/>
      <c r="E220" s="34"/>
      <c r="F220" s="34"/>
      <c r="G220" s="34"/>
      <c r="H220" s="34"/>
      <c r="I220" s="29"/>
      <c r="J220" s="29"/>
      <c r="K220" s="29"/>
      <c r="L220" s="29"/>
      <c r="M220" s="34"/>
      <c r="N220" s="34"/>
      <c r="O220" s="29"/>
      <c r="P220" s="29"/>
      <c r="Q220" s="29"/>
      <c r="R220" s="34"/>
      <c r="S220" s="29"/>
      <c r="T220" s="29"/>
      <c r="U220" s="2"/>
      <c r="V220" s="34"/>
      <c r="W220" s="34"/>
      <c r="X220" s="34"/>
      <c r="Y220" s="29"/>
      <c r="Z220" s="34"/>
      <c r="AA220" s="34"/>
      <c r="AB220" s="29"/>
      <c r="AC220" s="34"/>
      <c r="AD220" s="29"/>
      <c r="AE220" s="34"/>
      <c r="AF220" s="34"/>
    </row>
    <row x14ac:dyDescent="0.25" r="221" customHeight="1" ht="15.75">
      <c r="A221" s="502"/>
      <c r="B221" s="34"/>
      <c r="C221" s="34"/>
      <c r="D221" s="34"/>
      <c r="E221" s="34"/>
      <c r="F221" s="34"/>
      <c r="G221" s="34"/>
      <c r="H221" s="34"/>
      <c r="I221" s="29"/>
      <c r="J221" s="29"/>
      <c r="K221" s="29"/>
      <c r="L221" s="29"/>
      <c r="M221" s="34"/>
      <c r="N221" s="34"/>
      <c r="O221" s="29"/>
      <c r="P221" s="29"/>
      <c r="Q221" s="29"/>
      <c r="R221" s="34"/>
      <c r="S221" s="29"/>
      <c r="T221" s="29"/>
      <c r="U221" s="2"/>
      <c r="V221" s="34"/>
      <c r="W221" s="34"/>
      <c r="X221" s="34"/>
      <c r="Y221" s="29"/>
      <c r="Z221" s="34"/>
      <c r="AA221" s="34"/>
      <c r="AB221" s="29"/>
      <c r="AC221" s="34"/>
      <c r="AD221" s="29"/>
      <c r="AE221" s="34"/>
      <c r="AF221" s="34"/>
    </row>
    <row x14ac:dyDescent="0.25" r="222" customHeight="1" ht="15.75">
      <c r="A222" s="502"/>
      <c r="B222" s="34"/>
      <c r="C222" s="34"/>
      <c r="D222" s="34"/>
      <c r="E222" s="34"/>
      <c r="F222" s="34"/>
      <c r="G222" s="34"/>
      <c r="H222" s="34"/>
      <c r="I222" s="29"/>
      <c r="J222" s="29"/>
      <c r="K222" s="29"/>
      <c r="L222" s="29"/>
      <c r="M222" s="34"/>
      <c r="N222" s="34"/>
      <c r="O222" s="29"/>
      <c r="P222" s="29"/>
      <c r="Q222" s="29"/>
      <c r="R222" s="34"/>
      <c r="S222" s="29"/>
      <c r="T222" s="29"/>
      <c r="U222" s="2"/>
      <c r="V222" s="34"/>
      <c r="W222" s="34"/>
      <c r="X222" s="34"/>
      <c r="Y222" s="29"/>
      <c r="Z222" s="34"/>
      <c r="AA222" s="34"/>
      <c r="AB222" s="29"/>
      <c r="AC222" s="34"/>
      <c r="AD222" s="29"/>
      <c r="AE222" s="34"/>
      <c r="AF222" s="34"/>
    </row>
    <row x14ac:dyDescent="0.25" r="223" customHeight="1" ht="15.75">
      <c r="A223" s="502"/>
      <c r="B223" s="34"/>
      <c r="C223" s="34"/>
      <c r="D223" s="34"/>
      <c r="E223" s="34"/>
      <c r="F223" s="34"/>
      <c r="G223" s="34"/>
      <c r="H223" s="34"/>
      <c r="I223" s="29"/>
      <c r="J223" s="29"/>
      <c r="K223" s="29"/>
      <c r="L223" s="29"/>
      <c r="M223" s="34"/>
      <c r="N223" s="34"/>
      <c r="O223" s="29"/>
      <c r="P223" s="29"/>
      <c r="Q223" s="29"/>
      <c r="R223" s="34"/>
      <c r="S223" s="29"/>
      <c r="T223" s="29"/>
      <c r="U223" s="2"/>
      <c r="V223" s="34"/>
      <c r="W223" s="34"/>
      <c r="X223" s="34"/>
      <c r="Y223" s="29"/>
      <c r="Z223" s="34"/>
      <c r="AA223" s="34"/>
      <c r="AB223" s="29"/>
      <c r="AC223" s="34"/>
      <c r="AD223" s="29"/>
      <c r="AE223" s="34"/>
      <c r="AF223" s="34"/>
    </row>
    <row x14ac:dyDescent="0.25" r="224" customHeight="1" ht="15.75">
      <c r="A224" s="502"/>
      <c r="B224" s="34"/>
      <c r="C224" s="34"/>
      <c r="D224" s="34"/>
      <c r="E224" s="34"/>
      <c r="F224" s="34"/>
      <c r="G224" s="34"/>
      <c r="H224" s="34"/>
      <c r="I224" s="29"/>
      <c r="J224" s="29"/>
      <c r="K224" s="29"/>
      <c r="L224" s="29"/>
      <c r="M224" s="34"/>
      <c r="N224" s="34"/>
      <c r="O224" s="29"/>
      <c r="P224" s="29"/>
      <c r="Q224" s="29"/>
      <c r="R224" s="34"/>
      <c r="S224" s="29"/>
      <c r="T224" s="29"/>
      <c r="U224" s="2"/>
      <c r="V224" s="34"/>
      <c r="W224" s="34"/>
      <c r="X224" s="34"/>
      <c r="Y224" s="29"/>
      <c r="Z224" s="34"/>
      <c r="AA224" s="34"/>
      <c r="AB224" s="29"/>
      <c r="AC224" s="34"/>
      <c r="AD224" s="29"/>
      <c r="AE224" s="34"/>
      <c r="AF224" s="34"/>
    </row>
    <row x14ac:dyDescent="0.25" r="225" customHeight="1" ht="15.75">
      <c r="A225" s="502"/>
      <c r="B225" s="34"/>
      <c r="C225" s="34"/>
      <c r="D225" s="34"/>
      <c r="E225" s="34"/>
      <c r="F225" s="34"/>
      <c r="G225" s="34"/>
      <c r="H225" s="34"/>
      <c r="I225" s="29"/>
      <c r="J225" s="29"/>
      <c r="K225" s="29"/>
      <c r="L225" s="29"/>
      <c r="M225" s="34"/>
      <c r="N225" s="34"/>
      <c r="O225" s="29"/>
      <c r="P225" s="29"/>
      <c r="Q225" s="29"/>
      <c r="R225" s="34"/>
      <c r="S225" s="29"/>
      <c r="T225" s="29"/>
      <c r="U225" s="2"/>
      <c r="V225" s="34"/>
      <c r="W225" s="34"/>
      <c r="X225" s="34"/>
      <c r="Y225" s="29"/>
      <c r="Z225" s="34"/>
      <c r="AA225" s="34"/>
      <c r="AB225" s="29"/>
      <c r="AC225" s="34"/>
      <c r="AD225" s="29"/>
      <c r="AE225" s="34"/>
      <c r="AF225" s="34"/>
    </row>
    <row x14ac:dyDescent="0.25" r="226" customHeight="1" ht="15.75">
      <c r="A226" s="502"/>
      <c r="B226" s="34"/>
      <c r="C226" s="34"/>
      <c r="D226" s="34"/>
      <c r="E226" s="34"/>
      <c r="F226" s="34"/>
      <c r="G226" s="34"/>
      <c r="H226" s="34"/>
      <c r="I226" s="29"/>
      <c r="J226" s="29"/>
      <c r="K226" s="29"/>
      <c r="L226" s="29"/>
      <c r="M226" s="34"/>
      <c r="N226" s="34"/>
      <c r="O226" s="29"/>
      <c r="P226" s="29"/>
      <c r="Q226" s="29"/>
      <c r="R226" s="34"/>
      <c r="S226" s="29"/>
      <c r="T226" s="29"/>
      <c r="U226" s="2"/>
      <c r="V226" s="34"/>
      <c r="W226" s="34"/>
      <c r="X226" s="34"/>
      <c r="Y226" s="29"/>
      <c r="Z226" s="34"/>
      <c r="AA226" s="34"/>
      <c r="AB226" s="29"/>
      <c r="AC226" s="34"/>
      <c r="AD226" s="29"/>
      <c r="AE226" s="34"/>
      <c r="AF226" s="34"/>
    </row>
    <row x14ac:dyDescent="0.25" r="227" customHeight="1" ht="15.75">
      <c r="A227" s="502"/>
      <c r="B227" s="34"/>
      <c r="C227" s="34"/>
      <c r="D227" s="34"/>
      <c r="E227" s="34"/>
      <c r="F227" s="34"/>
      <c r="G227" s="34"/>
      <c r="H227" s="34"/>
      <c r="I227" s="29"/>
      <c r="J227" s="29"/>
      <c r="K227" s="29"/>
      <c r="L227" s="29"/>
      <c r="M227" s="34"/>
      <c r="N227" s="34"/>
      <c r="O227" s="29"/>
      <c r="P227" s="29"/>
      <c r="Q227" s="29"/>
      <c r="R227" s="34"/>
      <c r="S227" s="29"/>
      <c r="T227" s="29"/>
      <c r="U227" s="2"/>
      <c r="V227" s="34"/>
      <c r="W227" s="34"/>
      <c r="X227" s="34"/>
      <c r="Y227" s="29"/>
      <c r="Z227" s="34"/>
      <c r="AA227" s="34"/>
      <c r="AB227" s="29"/>
      <c r="AC227" s="34"/>
      <c r="AD227" s="29"/>
      <c r="AE227" s="34"/>
      <c r="AF227" s="34"/>
    </row>
    <row x14ac:dyDescent="0.25" r="228" customHeight="1" ht="15.75">
      <c r="A228" s="502"/>
      <c r="B228" s="34"/>
      <c r="C228" s="34"/>
      <c r="D228" s="34"/>
      <c r="E228" s="34"/>
      <c r="F228" s="34"/>
      <c r="G228" s="34"/>
      <c r="H228" s="34"/>
      <c r="I228" s="29"/>
      <c r="J228" s="29"/>
      <c r="K228" s="29"/>
      <c r="L228" s="29"/>
      <c r="M228" s="34"/>
      <c r="N228" s="34"/>
      <c r="O228" s="29"/>
      <c r="P228" s="29"/>
      <c r="Q228" s="29"/>
      <c r="R228" s="34"/>
      <c r="S228" s="29"/>
      <c r="T228" s="29"/>
      <c r="U228" s="2"/>
      <c r="V228" s="34"/>
      <c r="W228" s="34"/>
      <c r="X228" s="34"/>
      <c r="Y228" s="29"/>
      <c r="Z228" s="34"/>
      <c r="AA228" s="34"/>
      <c r="AB228" s="29"/>
      <c r="AC228" s="34"/>
      <c r="AD228" s="29"/>
      <c r="AE228" s="34"/>
      <c r="AF228" s="34"/>
    </row>
    <row x14ac:dyDescent="0.25" r="229" customHeight="1" ht="15.75">
      <c r="A229" s="502"/>
      <c r="B229" s="34"/>
      <c r="C229" s="34"/>
      <c r="D229" s="34"/>
      <c r="E229" s="34"/>
      <c r="F229" s="34"/>
      <c r="G229" s="34"/>
      <c r="H229" s="34"/>
      <c r="I229" s="29"/>
      <c r="J229" s="29"/>
      <c r="K229" s="29"/>
      <c r="L229" s="29"/>
      <c r="M229" s="34"/>
      <c r="N229" s="34"/>
      <c r="O229" s="29"/>
      <c r="P229" s="29"/>
      <c r="Q229" s="29"/>
      <c r="R229" s="34"/>
      <c r="S229" s="29"/>
      <c r="T229" s="29"/>
      <c r="U229" s="2"/>
      <c r="V229" s="34"/>
      <c r="W229" s="34"/>
      <c r="X229" s="34"/>
      <c r="Y229" s="29"/>
      <c r="Z229" s="34"/>
      <c r="AA229" s="34"/>
      <c r="AB229" s="29"/>
      <c r="AC229" s="34"/>
      <c r="AD229" s="29"/>
      <c r="AE229" s="34"/>
      <c r="AF229" s="34"/>
    </row>
    <row x14ac:dyDescent="0.25" r="230" customHeight="1" ht="15.75">
      <c r="A230" s="502"/>
      <c r="B230" s="34"/>
      <c r="C230" s="34"/>
      <c r="D230" s="34"/>
      <c r="E230" s="34"/>
      <c r="F230" s="34"/>
      <c r="G230" s="34"/>
      <c r="H230" s="34"/>
      <c r="I230" s="29"/>
      <c r="J230" s="29"/>
      <c r="K230" s="29"/>
      <c r="L230" s="29"/>
      <c r="M230" s="34"/>
      <c r="N230" s="34"/>
      <c r="O230" s="29"/>
      <c r="P230" s="29"/>
      <c r="Q230" s="29"/>
      <c r="R230" s="34"/>
      <c r="S230" s="29"/>
      <c r="T230" s="29"/>
      <c r="U230" s="2"/>
      <c r="V230" s="34"/>
      <c r="W230" s="34"/>
      <c r="X230" s="34"/>
      <c r="Y230" s="29"/>
      <c r="Z230" s="34"/>
      <c r="AA230" s="34"/>
      <c r="AB230" s="29"/>
      <c r="AC230" s="34"/>
      <c r="AD230" s="29"/>
      <c r="AE230" s="34"/>
      <c r="AF230" s="34"/>
    </row>
    <row x14ac:dyDescent="0.25" r="231" customHeight="1" ht="15.75">
      <c r="A231" s="502"/>
      <c r="B231" s="34"/>
      <c r="C231" s="34"/>
      <c r="D231" s="34"/>
      <c r="E231" s="34"/>
      <c r="F231" s="34"/>
      <c r="G231" s="34"/>
      <c r="H231" s="34"/>
      <c r="I231" s="29"/>
      <c r="J231" s="29"/>
      <c r="K231" s="29"/>
      <c r="L231" s="29"/>
      <c r="M231" s="34"/>
      <c r="N231" s="34"/>
      <c r="O231" s="29"/>
      <c r="P231" s="29"/>
      <c r="Q231" s="29"/>
      <c r="R231" s="34"/>
      <c r="S231" s="29"/>
      <c r="T231" s="29"/>
      <c r="U231" s="2"/>
      <c r="V231" s="34"/>
      <c r="W231" s="34"/>
      <c r="X231" s="34"/>
      <c r="Y231" s="29"/>
      <c r="Z231" s="34"/>
      <c r="AA231" s="34"/>
      <c r="AB231" s="29"/>
      <c r="AC231" s="34"/>
      <c r="AD231" s="29"/>
      <c r="AE231" s="34"/>
      <c r="AF231" s="34"/>
    </row>
    <row x14ac:dyDescent="0.25" r="232" customHeight="1" ht="15.75">
      <c r="A232" s="502"/>
      <c r="B232" s="34"/>
      <c r="C232" s="34"/>
      <c r="D232" s="34"/>
      <c r="E232" s="34"/>
      <c r="F232" s="34"/>
      <c r="G232" s="34"/>
      <c r="H232" s="34"/>
      <c r="I232" s="29"/>
      <c r="J232" s="29"/>
      <c r="K232" s="29"/>
      <c r="L232" s="29"/>
      <c r="M232" s="34"/>
      <c r="N232" s="34"/>
      <c r="O232" s="29"/>
      <c r="P232" s="29"/>
      <c r="Q232" s="29"/>
      <c r="R232" s="34"/>
      <c r="S232" s="29"/>
      <c r="T232" s="29"/>
      <c r="U232" s="2"/>
      <c r="V232" s="34"/>
      <c r="W232" s="34"/>
      <c r="X232" s="34"/>
      <c r="Y232" s="29"/>
      <c r="Z232" s="34"/>
      <c r="AA232" s="34"/>
      <c r="AB232" s="29"/>
      <c r="AC232" s="34"/>
      <c r="AD232" s="29"/>
      <c r="AE232" s="34"/>
      <c r="AF232" s="34"/>
    </row>
    <row x14ac:dyDescent="0.25" r="233" customHeight="1" ht="15.75">
      <c r="A233" s="502"/>
      <c r="B233" s="34"/>
      <c r="C233" s="34"/>
      <c r="D233" s="34"/>
      <c r="E233" s="34"/>
      <c r="F233" s="34"/>
      <c r="G233" s="34"/>
      <c r="H233" s="34"/>
      <c r="I233" s="29"/>
      <c r="J233" s="29"/>
      <c r="K233" s="29"/>
      <c r="L233" s="29"/>
      <c r="M233" s="34"/>
      <c r="N233" s="34"/>
      <c r="O233" s="29"/>
      <c r="P233" s="29"/>
      <c r="Q233" s="29"/>
      <c r="R233" s="34"/>
      <c r="S233" s="29"/>
      <c r="T233" s="29"/>
      <c r="U233" s="2"/>
      <c r="V233" s="34"/>
      <c r="W233" s="34"/>
      <c r="X233" s="34"/>
      <c r="Y233" s="29"/>
      <c r="Z233" s="34"/>
      <c r="AA233" s="34"/>
      <c r="AB233" s="29"/>
      <c r="AC233" s="34"/>
      <c r="AD233" s="29"/>
      <c r="AE233" s="34"/>
      <c r="AF233" s="34"/>
    </row>
    <row x14ac:dyDescent="0.25" r="234" customHeight="1" ht="15.75">
      <c r="A234" s="502"/>
      <c r="B234" s="34"/>
      <c r="C234" s="34"/>
      <c r="D234" s="34"/>
      <c r="E234" s="34"/>
      <c r="F234" s="34"/>
      <c r="G234" s="34"/>
      <c r="H234" s="34"/>
      <c r="I234" s="29"/>
      <c r="J234" s="29"/>
      <c r="K234" s="29"/>
      <c r="L234" s="29"/>
      <c r="M234" s="34"/>
      <c r="N234" s="34"/>
      <c r="O234" s="29"/>
      <c r="P234" s="29"/>
      <c r="Q234" s="29"/>
      <c r="R234" s="34"/>
      <c r="S234" s="29"/>
      <c r="T234" s="29"/>
      <c r="U234" s="2"/>
      <c r="V234" s="34"/>
      <c r="W234" s="34"/>
      <c r="X234" s="34"/>
      <c r="Y234" s="29"/>
      <c r="Z234" s="34"/>
      <c r="AA234" s="34"/>
      <c r="AB234" s="29"/>
      <c r="AC234" s="34"/>
      <c r="AD234" s="29"/>
      <c r="AE234" s="34"/>
      <c r="AF234" s="34"/>
    </row>
    <row x14ac:dyDescent="0.25" r="235" customHeight="1" ht="15.75">
      <c r="A235" s="502"/>
      <c r="B235" s="34"/>
      <c r="C235" s="34"/>
      <c r="D235" s="34"/>
      <c r="E235" s="34"/>
      <c r="F235" s="34"/>
      <c r="G235" s="34"/>
      <c r="H235" s="34"/>
      <c r="I235" s="29"/>
      <c r="J235" s="29"/>
      <c r="K235" s="29"/>
      <c r="L235" s="29"/>
      <c r="M235" s="34"/>
      <c r="N235" s="34"/>
      <c r="O235" s="29"/>
      <c r="P235" s="29"/>
      <c r="Q235" s="29"/>
      <c r="R235" s="34"/>
      <c r="S235" s="29"/>
      <c r="T235" s="29"/>
      <c r="U235" s="2"/>
      <c r="V235" s="34"/>
      <c r="W235" s="34"/>
      <c r="X235" s="34"/>
      <c r="Y235" s="29"/>
      <c r="Z235" s="34"/>
      <c r="AA235" s="34"/>
      <c r="AB235" s="29"/>
      <c r="AC235" s="34"/>
      <c r="AD235" s="29"/>
      <c r="AE235" s="34"/>
      <c r="AF235" s="34"/>
    </row>
    <row x14ac:dyDescent="0.25" r="236" customHeight="1" ht="15.75">
      <c r="A236" s="502"/>
      <c r="B236" s="34"/>
      <c r="C236" s="34"/>
      <c r="D236" s="34"/>
      <c r="E236" s="34"/>
      <c r="F236" s="34"/>
      <c r="G236" s="34"/>
      <c r="H236" s="34"/>
      <c r="I236" s="29"/>
      <c r="J236" s="29"/>
      <c r="K236" s="29"/>
      <c r="L236" s="29"/>
      <c r="M236" s="34"/>
      <c r="N236" s="34"/>
      <c r="O236" s="29"/>
      <c r="P236" s="29"/>
      <c r="Q236" s="29"/>
      <c r="R236" s="34"/>
      <c r="S236" s="29"/>
      <c r="T236" s="29"/>
      <c r="U236" s="2"/>
      <c r="V236" s="34"/>
      <c r="W236" s="34"/>
      <c r="X236" s="34"/>
      <c r="Y236" s="29"/>
      <c r="Z236" s="34"/>
      <c r="AA236" s="34"/>
      <c r="AB236" s="29"/>
      <c r="AC236" s="34"/>
      <c r="AD236" s="29"/>
      <c r="AE236" s="34"/>
      <c r="AF236" s="34"/>
    </row>
    <row x14ac:dyDescent="0.25" r="237" customHeight="1" ht="15.75">
      <c r="A237" s="502"/>
      <c r="B237" s="34"/>
      <c r="C237" s="34"/>
      <c r="D237" s="34"/>
      <c r="E237" s="34"/>
      <c r="F237" s="34"/>
      <c r="G237" s="34"/>
      <c r="H237" s="34"/>
      <c r="I237" s="29"/>
      <c r="J237" s="29"/>
      <c r="K237" s="29"/>
      <c r="L237" s="29"/>
      <c r="M237" s="34"/>
      <c r="N237" s="34"/>
      <c r="O237" s="29"/>
      <c r="P237" s="29"/>
      <c r="Q237" s="29"/>
      <c r="R237" s="34"/>
      <c r="S237" s="29"/>
      <c r="T237" s="29"/>
      <c r="U237" s="2"/>
      <c r="V237" s="34"/>
      <c r="W237" s="34"/>
      <c r="X237" s="34"/>
      <c r="Y237" s="29"/>
      <c r="Z237" s="34"/>
      <c r="AA237" s="34"/>
      <c r="AB237" s="29"/>
      <c r="AC237" s="34"/>
      <c r="AD237" s="29"/>
      <c r="AE237" s="34"/>
      <c r="AF237" s="34"/>
    </row>
    <row x14ac:dyDescent="0.25" r="238" customHeight="1" ht="15.75">
      <c r="A238" s="502"/>
      <c r="B238" s="34"/>
      <c r="C238" s="34"/>
      <c r="D238" s="34"/>
      <c r="E238" s="34"/>
      <c r="F238" s="34"/>
      <c r="G238" s="34"/>
      <c r="H238" s="34"/>
      <c r="I238" s="29"/>
      <c r="J238" s="29"/>
      <c r="K238" s="29"/>
      <c r="L238" s="29"/>
      <c r="M238" s="34"/>
      <c r="N238" s="34"/>
      <c r="O238" s="29"/>
      <c r="P238" s="29"/>
      <c r="Q238" s="29"/>
      <c r="R238" s="34"/>
      <c r="S238" s="29"/>
      <c r="T238" s="29"/>
      <c r="U238" s="2"/>
      <c r="V238" s="34"/>
      <c r="W238" s="34"/>
      <c r="X238" s="34"/>
      <c r="Y238" s="29"/>
      <c r="Z238" s="34"/>
      <c r="AA238" s="34"/>
      <c r="AB238" s="29"/>
      <c r="AC238" s="34"/>
      <c r="AD238" s="29"/>
      <c r="AE238" s="34"/>
      <c r="AF238" s="34"/>
    </row>
    <row x14ac:dyDescent="0.25" r="239" customHeight="1" ht="15.75">
      <c r="A239" s="502"/>
      <c r="B239" s="34"/>
      <c r="C239" s="34"/>
      <c r="D239" s="34"/>
      <c r="E239" s="34"/>
      <c r="F239" s="34"/>
      <c r="G239" s="34"/>
      <c r="H239" s="34"/>
      <c r="I239" s="29"/>
      <c r="J239" s="29"/>
      <c r="K239" s="29"/>
      <c r="L239" s="29"/>
      <c r="M239" s="34"/>
      <c r="N239" s="34"/>
      <c r="O239" s="29"/>
      <c r="P239" s="29"/>
      <c r="Q239" s="29"/>
      <c r="R239" s="34"/>
      <c r="S239" s="29"/>
      <c r="T239" s="29"/>
      <c r="U239" s="2"/>
      <c r="V239" s="34"/>
      <c r="W239" s="34"/>
      <c r="X239" s="34"/>
      <c r="Y239" s="29"/>
      <c r="Z239" s="34"/>
      <c r="AA239" s="34"/>
      <c r="AB239" s="29"/>
      <c r="AC239" s="34"/>
      <c r="AD239" s="29"/>
      <c r="AE239" s="34"/>
      <c r="AF239" s="34"/>
    </row>
    <row x14ac:dyDescent="0.25" r="240" customHeight="1" ht="15.75">
      <c r="A240" s="502"/>
      <c r="B240" s="34"/>
      <c r="C240" s="34"/>
      <c r="D240" s="34"/>
      <c r="E240" s="34"/>
      <c r="F240" s="34"/>
      <c r="G240" s="34"/>
      <c r="H240" s="34"/>
      <c r="I240" s="29"/>
      <c r="J240" s="29"/>
      <c r="K240" s="29"/>
      <c r="L240" s="29"/>
      <c r="M240" s="34"/>
      <c r="N240" s="34"/>
      <c r="O240" s="29"/>
      <c r="P240" s="29"/>
      <c r="Q240" s="29"/>
      <c r="R240" s="34"/>
      <c r="S240" s="29"/>
      <c r="T240" s="29"/>
      <c r="U240" s="2"/>
      <c r="V240" s="34"/>
      <c r="W240" s="34"/>
      <c r="X240" s="34"/>
      <c r="Y240" s="29"/>
      <c r="Z240" s="34"/>
      <c r="AA240" s="34"/>
      <c r="AB240" s="29"/>
      <c r="AC240" s="34"/>
      <c r="AD240" s="29"/>
      <c r="AE240" s="34"/>
      <c r="AF240" s="34"/>
    </row>
    <row x14ac:dyDescent="0.25" r="241" customHeight="1" ht="15.75">
      <c r="A241" s="502"/>
      <c r="B241" s="34"/>
      <c r="C241" s="34"/>
      <c r="D241" s="34"/>
      <c r="E241" s="34"/>
      <c r="F241" s="34"/>
      <c r="G241" s="34"/>
      <c r="H241" s="34"/>
      <c r="I241" s="29"/>
      <c r="J241" s="29"/>
      <c r="K241" s="29"/>
      <c r="L241" s="29"/>
      <c r="M241" s="34"/>
      <c r="N241" s="34"/>
      <c r="O241" s="29"/>
      <c r="P241" s="29"/>
      <c r="Q241" s="29"/>
      <c r="R241" s="34"/>
      <c r="S241" s="29"/>
      <c r="T241" s="29"/>
      <c r="U241" s="2"/>
      <c r="V241" s="34"/>
      <c r="W241" s="34"/>
      <c r="X241" s="34"/>
      <c r="Y241" s="29"/>
      <c r="Z241" s="34"/>
      <c r="AA241" s="34"/>
      <c r="AB241" s="29"/>
      <c r="AC241" s="34"/>
      <c r="AD241" s="29"/>
      <c r="AE241" s="34"/>
      <c r="AF241" s="34"/>
    </row>
    <row x14ac:dyDescent="0.25" r="242" customHeight="1" ht="15.75">
      <c r="A242" s="502"/>
      <c r="B242" s="34"/>
      <c r="C242" s="34"/>
      <c r="D242" s="34"/>
      <c r="E242" s="34"/>
      <c r="F242" s="34"/>
      <c r="G242" s="34"/>
      <c r="H242" s="34"/>
      <c r="I242" s="29"/>
      <c r="J242" s="29"/>
      <c r="K242" s="29"/>
      <c r="L242" s="29"/>
      <c r="M242" s="34"/>
      <c r="N242" s="34"/>
      <c r="O242" s="29"/>
      <c r="P242" s="29"/>
      <c r="Q242" s="29"/>
      <c r="R242" s="34"/>
      <c r="S242" s="29"/>
      <c r="T242" s="29"/>
      <c r="U242" s="2"/>
      <c r="V242" s="34"/>
      <c r="W242" s="34"/>
      <c r="X242" s="34"/>
      <c r="Y242" s="29"/>
      <c r="Z242" s="34"/>
      <c r="AA242" s="34"/>
      <c r="AB242" s="29"/>
      <c r="AC242" s="34"/>
      <c r="AD242" s="29"/>
      <c r="AE242" s="34"/>
      <c r="AF242" s="34"/>
    </row>
    <row x14ac:dyDescent="0.25" r="243" customHeight="1" ht="15.75">
      <c r="A243" s="502"/>
      <c r="B243" s="34"/>
      <c r="C243" s="34"/>
      <c r="D243" s="34"/>
      <c r="E243" s="34"/>
      <c r="F243" s="34"/>
      <c r="G243" s="34"/>
      <c r="H243" s="34"/>
      <c r="I243" s="29"/>
      <c r="J243" s="29"/>
      <c r="K243" s="29"/>
      <c r="L243" s="29"/>
      <c r="M243" s="34"/>
      <c r="N243" s="34"/>
      <c r="O243" s="29"/>
      <c r="P243" s="29"/>
      <c r="Q243" s="29"/>
      <c r="R243" s="34"/>
      <c r="S243" s="29"/>
      <c r="T243" s="29"/>
      <c r="U243" s="2"/>
      <c r="V243" s="34"/>
      <c r="W243" s="34"/>
      <c r="X243" s="34"/>
      <c r="Y243" s="29"/>
      <c r="Z243" s="34"/>
      <c r="AA243" s="34"/>
      <c r="AB243" s="29"/>
      <c r="AC243" s="34"/>
      <c r="AD243" s="29"/>
      <c r="AE243" s="34"/>
      <c r="AF243" s="34"/>
    </row>
    <row x14ac:dyDescent="0.25" r="244" customHeight="1" ht="15.75">
      <c r="A244" s="502"/>
      <c r="B244" s="34"/>
      <c r="C244" s="34"/>
      <c r="D244" s="34"/>
      <c r="E244" s="34"/>
      <c r="F244" s="34"/>
      <c r="G244" s="34"/>
      <c r="H244" s="34"/>
      <c r="I244" s="29"/>
      <c r="J244" s="29"/>
      <c r="K244" s="29"/>
      <c r="L244" s="29"/>
      <c r="M244" s="34"/>
      <c r="N244" s="34"/>
      <c r="O244" s="29"/>
      <c r="P244" s="29"/>
      <c r="Q244" s="29"/>
      <c r="R244" s="34"/>
      <c r="S244" s="29"/>
      <c r="T244" s="29"/>
      <c r="U244" s="2"/>
      <c r="V244" s="34"/>
      <c r="W244" s="34"/>
      <c r="X244" s="34"/>
      <c r="Y244" s="29"/>
      <c r="Z244" s="34"/>
      <c r="AA244" s="34"/>
      <c r="AB244" s="29"/>
      <c r="AC244" s="34"/>
      <c r="AD244" s="29"/>
      <c r="AE244" s="34"/>
      <c r="AF244" s="34"/>
    </row>
    <row x14ac:dyDescent="0.25" r="245" customHeight="1" ht="15.75">
      <c r="A245" s="502"/>
      <c r="B245" s="34"/>
      <c r="C245" s="34"/>
      <c r="D245" s="34"/>
      <c r="E245" s="34"/>
      <c r="F245" s="34"/>
      <c r="G245" s="34"/>
      <c r="H245" s="34"/>
      <c r="I245" s="29"/>
      <c r="J245" s="29"/>
      <c r="K245" s="29"/>
      <c r="L245" s="29"/>
      <c r="M245" s="34"/>
      <c r="N245" s="34"/>
      <c r="O245" s="29"/>
      <c r="P245" s="29"/>
      <c r="Q245" s="29"/>
      <c r="R245" s="34"/>
      <c r="S245" s="29"/>
      <c r="T245" s="29"/>
      <c r="U245" s="2"/>
      <c r="V245" s="34"/>
      <c r="W245" s="34"/>
      <c r="X245" s="34"/>
      <c r="Y245" s="29"/>
      <c r="Z245" s="34"/>
      <c r="AA245" s="34"/>
      <c r="AB245" s="29"/>
      <c r="AC245" s="34"/>
      <c r="AD245" s="29"/>
      <c r="AE245" s="34"/>
      <c r="AF245" s="34"/>
    </row>
    <row x14ac:dyDescent="0.25" r="246" customHeight="1" ht="15.75">
      <c r="A246" s="502"/>
      <c r="B246" s="34"/>
      <c r="C246" s="34"/>
      <c r="D246" s="34"/>
      <c r="E246" s="34"/>
      <c r="F246" s="34"/>
      <c r="G246" s="34"/>
      <c r="H246" s="34"/>
      <c r="I246" s="29"/>
      <c r="J246" s="29"/>
      <c r="K246" s="29"/>
      <c r="L246" s="29"/>
      <c r="M246" s="34"/>
      <c r="N246" s="34"/>
      <c r="O246" s="29"/>
      <c r="P246" s="29"/>
      <c r="Q246" s="29"/>
      <c r="R246" s="34"/>
      <c r="S246" s="29"/>
      <c r="T246" s="29"/>
      <c r="U246" s="2"/>
      <c r="V246" s="34"/>
      <c r="W246" s="34"/>
      <c r="X246" s="34"/>
      <c r="Y246" s="29"/>
      <c r="Z246" s="34"/>
      <c r="AA246" s="34"/>
      <c r="AB246" s="29"/>
      <c r="AC246" s="34"/>
      <c r="AD246" s="29"/>
      <c r="AE246" s="34"/>
      <c r="AF246" s="34"/>
    </row>
    <row x14ac:dyDescent="0.25" r="247" customHeight="1" ht="15.75">
      <c r="A247" s="502"/>
      <c r="B247" s="34"/>
      <c r="C247" s="34"/>
      <c r="D247" s="34"/>
      <c r="E247" s="34"/>
      <c r="F247" s="34"/>
      <c r="G247" s="34"/>
      <c r="H247" s="34"/>
      <c r="I247" s="29"/>
      <c r="J247" s="29"/>
      <c r="K247" s="29"/>
      <c r="L247" s="29"/>
      <c r="M247" s="34"/>
      <c r="N247" s="34"/>
      <c r="O247" s="29"/>
      <c r="P247" s="29"/>
      <c r="Q247" s="29"/>
      <c r="R247" s="34"/>
      <c r="S247" s="29"/>
      <c r="T247" s="29"/>
      <c r="U247" s="2"/>
      <c r="V247" s="34"/>
      <c r="W247" s="34"/>
      <c r="X247" s="34"/>
      <c r="Y247" s="29"/>
      <c r="Z247" s="34"/>
      <c r="AA247" s="34"/>
      <c r="AB247" s="29"/>
      <c r="AC247" s="34"/>
      <c r="AD247" s="29"/>
      <c r="AE247" s="34"/>
      <c r="AF247" s="34"/>
    </row>
    <row x14ac:dyDescent="0.25" r="248" customHeight="1" ht="15.75">
      <c r="A248" s="502"/>
      <c r="B248" s="34"/>
      <c r="C248" s="34"/>
      <c r="D248" s="34"/>
      <c r="E248" s="34"/>
      <c r="F248" s="34"/>
      <c r="G248" s="34"/>
      <c r="H248" s="34"/>
      <c r="I248" s="29"/>
      <c r="J248" s="29"/>
      <c r="K248" s="29"/>
      <c r="L248" s="29"/>
      <c r="M248" s="34"/>
      <c r="N248" s="34"/>
      <c r="O248" s="29"/>
      <c r="P248" s="29"/>
      <c r="Q248" s="29"/>
      <c r="R248" s="34"/>
      <c r="S248" s="29"/>
      <c r="T248" s="29"/>
      <c r="U248" s="2"/>
      <c r="V248" s="34"/>
      <c r="W248" s="34"/>
      <c r="X248" s="34"/>
      <c r="Y248" s="29"/>
      <c r="Z248" s="34"/>
      <c r="AA248" s="34"/>
      <c r="AB248" s="29"/>
      <c r="AC248" s="34"/>
      <c r="AD248" s="29"/>
      <c r="AE248" s="34"/>
      <c r="AF248" s="34"/>
    </row>
    <row x14ac:dyDescent="0.25" r="249" customHeight="1" ht="15.75">
      <c r="A249" s="502"/>
      <c r="B249" s="34"/>
      <c r="C249" s="34"/>
      <c r="D249" s="34"/>
      <c r="E249" s="34"/>
      <c r="F249" s="34"/>
      <c r="G249" s="34"/>
      <c r="H249" s="34"/>
      <c r="I249" s="29"/>
      <c r="J249" s="29"/>
      <c r="K249" s="29"/>
      <c r="L249" s="29"/>
      <c r="M249" s="34"/>
      <c r="N249" s="34"/>
      <c r="O249" s="29"/>
      <c r="P249" s="29"/>
      <c r="Q249" s="29"/>
      <c r="R249" s="34"/>
      <c r="S249" s="29"/>
      <c r="T249" s="29"/>
      <c r="U249" s="2"/>
      <c r="V249" s="34"/>
      <c r="W249" s="34"/>
      <c r="X249" s="34"/>
      <c r="Y249" s="29"/>
      <c r="Z249" s="34"/>
      <c r="AA249" s="34"/>
      <c r="AB249" s="29"/>
      <c r="AC249" s="34"/>
      <c r="AD249" s="29"/>
      <c r="AE249" s="34"/>
      <c r="AF249" s="34"/>
    </row>
    <row x14ac:dyDescent="0.25" r="250" customHeight="1" ht="15.75">
      <c r="A250" s="502"/>
      <c r="B250" s="34"/>
      <c r="C250" s="34"/>
      <c r="D250" s="34"/>
      <c r="E250" s="34"/>
      <c r="F250" s="34"/>
      <c r="G250" s="34"/>
      <c r="H250" s="34"/>
      <c r="I250" s="29"/>
      <c r="J250" s="29"/>
      <c r="K250" s="29"/>
      <c r="L250" s="29"/>
      <c r="M250" s="34"/>
      <c r="N250" s="34"/>
      <c r="O250" s="29"/>
      <c r="P250" s="29"/>
      <c r="Q250" s="29"/>
      <c r="R250" s="34"/>
      <c r="S250" s="29"/>
      <c r="T250" s="29"/>
      <c r="U250" s="2"/>
      <c r="V250" s="34"/>
      <c r="W250" s="34"/>
      <c r="X250" s="34"/>
      <c r="Y250" s="29"/>
      <c r="Z250" s="34"/>
      <c r="AA250" s="34"/>
      <c r="AB250" s="29"/>
      <c r="AC250" s="34"/>
      <c r="AD250" s="29"/>
      <c r="AE250" s="34"/>
      <c r="AF250" s="34"/>
    </row>
    <row x14ac:dyDescent="0.25" r="251" customHeight="1" ht="15.75">
      <c r="A251" s="502"/>
      <c r="B251" s="34"/>
      <c r="C251" s="34"/>
      <c r="D251" s="34"/>
      <c r="E251" s="34"/>
      <c r="F251" s="34"/>
      <c r="G251" s="34"/>
      <c r="H251" s="34"/>
      <c r="I251" s="29"/>
      <c r="J251" s="29"/>
      <c r="K251" s="29"/>
      <c r="L251" s="29"/>
      <c r="M251" s="34"/>
      <c r="N251" s="34"/>
      <c r="O251" s="29"/>
      <c r="P251" s="29"/>
      <c r="Q251" s="29"/>
      <c r="R251" s="34"/>
      <c r="S251" s="29"/>
      <c r="T251" s="29"/>
      <c r="U251" s="2"/>
      <c r="V251" s="34"/>
      <c r="W251" s="34"/>
      <c r="X251" s="34"/>
      <c r="Y251" s="29"/>
      <c r="Z251" s="34"/>
      <c r="AA251" s="34"/>
      <c r="AB251" s="29"/>
      <c r="AC251" s="34"/>
      <c r="AD251" s="29"/>
      <c r="AE251" s="34"/>
      <c r="AF251" s="34"/>
    </row>
    <row x14ac:dyDescent="0.25" r="252" customHeight="1" ht="15.75">
      <c r="A252" s="502"/>
      <c r="B252" s="34"/>
      <c r="C252" s="34"/>
      <c r="D252" s="34"/>
      <c r="E252" s="34"/>
      <c r="F252" s="34"/>
      <c r="G252" s="34"/>
      <c r="H252" s="34"/>
      <c r="I252" s="29"/>
      <c r="J252" s="29"/>
      <c r="K252" s="29"/>
      <c r="L252" s="29"/>
      <c r="M252" s="34"/>
      <c r="N252" s="34"/>
      <c r="O252" s="29"/>
      <c r="P252" s="29"/>
      <c r="Q252" s="29"/>
      <c r="R252" s="34"/>
      <c r="S252" s="29"/>
      <c r="T252" s="29"/>
      <c r="U252" s="2"/>
      <c r="V252" s="34"/>
      <c r="W252" s="34"/>
      <c r="X252" s="34"/>
      <c r="Y252" s="29"/>
      <c r="Z252" s="34"/>
      <c r="AA252" s="34"/>
      <c r="AB252" s="29"/>
      <c r="AC252" s="34"/>
      <c r="AD252" s="29"/>
      <c r="AE252" s="34"/>
      <c r="AF252" s="34"/>
    </row>
    <row x14ac:dyDescent="0.25" r="253" customHeight="1" ht="15.75">
      <c r="A253" s="502"/>
      <c r="B253" s="34"/>
      <c r="C253" s="34"/>
      <c r="D253" s="34"/>
      <c r="E253" s="34"/>
      <c r="F253" s="34"/>
      <c r="G253" s="34"/>
      <c r="H253" s="34"/>
      <c r="I253" s="29"/>
      <c r="J253" s="29"/>
      <c r="K253" s="29"/>
      <c r="L253" s="29"/>
      <c r="M253" s="34"/>
      <c r="N253" s="34"/>
      <c r="O253" s="29"/>
      <c r="P253" s="29"/>
      <c r="Q253" s="29"/>
      <c r="R253" s="34"/>
      <c r="S253" s="29"/>
      <c r="T253" s="29"/>
      <c r="U253" s="2"/>
      <c r="V253" s="34"/>
      <c r="W253" s="34"/>
      <c r="X253" s="34"/>
      <c r="Y253" s="29"/>
      <c r="Z253" s="34"/>
      <c r="AA253" s="34"/>
      <c r="AB253" s="29"/>
      <c r="AC253" s="34"/>
      <c r="AD253" s="29"/>
      <c r="AE253" s="34"/>
      <c r="AF253" s="34"/>
    </row>
    <row x14ac:dyDescent="0.25" r="254" customHeight="1" ht="15.75">
      <c r="A254" s="502"/>
      <c r="B254" s="34"/>
      <c r="C254" s="34"/>
      <c r="D254" s="34"/>
      <c r="E254" s="34"/>
      <c r="F254" s="34"/>
      <c r="G254" s="34"/>
      <c r="H254" s="34"/>
      <c r="I254" s="29"/>
      <c r="J254" s="29"/>
      <c r="K254" s="29"/>
      <c r="L254" s="29"/>
      <c r="M254" s="34"/>
      <c r="N254" s="34"/>
      <c r="O254" s="29"/>
      <c r="P254" s="29"/>
      <c r="Q254" s="29"/>
      <c r="R254" s="34"/>
      <c r="S254" s="29"/>
      <c r="T254" s="29"/>
      <c r="U254" s="2"/>
      <c r="V254" s="34"/>
      <c r="W254" s="34"/>
      <c r="X254" s="34"/>
      <c r="Y254" s="29"/>
      <c r="Z254" s="34"/>
      <c r="AA254" s="34"/>
      <c r="AB254" s="29"/>
      <c r="AC254" s="34"/>
      <c r="AD254" s="29"/>
      <c r="AE254" s="34"/>
      <c r="AF254" s="34"/>
    </row>
    <row x14ac:dyDescent="0.25" r="255" customHeight="1" ht="15.75">
      <c r="A255" s="502"/>
      <c r="B255" s="34"/>
      <c r="C255" s="34"/>
      <c r="D255" s="34"/>
      <c r="E255" s="34"/>
      <c r="F255" s="34"/>
      <c r="G255" s="34"/>
      <c r="H255" s="34"/>
      <c r="I255" s="29"/>
      <c r="J255" s="29"/>
      <c r="K255" s="29"/>
      <c r="L255" s="29"/>
      <c r="M255" s="34"/>
      <c r="N255" s="34"/>
      <c r="O255" s="29"/>
      <c r="P255" s="29"/>
      <c r="Q255" s="29"/>
      <c r="R255" s="34"/>
      <c r="S255" s="29"/>
      <c r="T255" s="29"/>
      <c r="U255" s="2"/>
      <c r="V255" s="34"/>
      <c r="W255" s="34"/>
      <c r="X255" s="34"/>
      <c r="Y255" s="29"/>
      <c r="Z255" s="34"/>
      <c r="AA255" s="34"/>
      <c r="AB255" s="29"/>
      <c r="AC255" s="34"/>
      <c r="AD255" s="29"/>
      <c r="AE255" s="34"/>
      <c r="AF255" s="34"/>
    </row>
    <row x14ac:dyDescent="0.25" r="256" customHeight="1" ht="15.75">
      <c r="A256" s="502"/>
      <c r="B256" s="34"/>
      <c r="C256" s="34"/>
      <c r="D256" s="34"/>
      <c r="E256" s="34"/>
      <c r="F256" s="34"/>
      <c r="G256" s="34"/>
      <c r="H256" s="34"/>
      <c r="I256" s="29"/>
      <c r="J256" s="29"/>
      <c r="K256" s="29"/>
      <c r="L256" s="29"/>
      <c r="M256" s="34"/>
      <c r="N256" s="34"/>
      <c r="O256" s="29"/>
      <c r="P256" s="29"/>
      <c r="Q256" s="29"/>
      <c r="R256" s="34"/>
      <c r="S256" s="29"/>
      <c r="T256" s="29"/>
      <c r="U256" s="2"/>
      <c r="V256" s="34"/>
      <c r="W256" s="34"/>
      <c r="X256" s="34"/>
      <c r="Y256" s="29"/>
      <c r="Z256" s="34"/>
      <c r="AA256" s="34"/>
      <c r="AB256" s="29"/>
      <c r="AC256" s="34"/>
      <c r="AD256" s="29"/>
      <c r="AE256" s="34"/>
      <c r="AF256" s="34"/>
    </row>
    <row x14ac:dyDescent="0.25" r="257" customHeight="1" ht="15.75">
      <c r="A257" s="502"/>
      <c r="B257" s="34"/>
      <c r="C257" s="34"/>
      <c r="D257" s="34"/>
      <c r="E257" s="34"/>
      <c r="F257" s="34"/>
      <c r="G257" s="34"/>
      <c r="H257" s="34"/>
      <c r="I257" s="29"/>
      <c r="J257" s="29"/>
      <c r="K257" s="29"/>
      <c r="L257" s="29"/>
      <c r="M257" s="34"/>
      <c r="N257" s="34"/>
      <c r="O257" s="29"/>
      <c r="P257" s="29"/>
      <c r="Q257" s="29"/>
      <c r="R257" s="34"/>
      <c r="S257" s="29"/>
      <c r="T257" s="29"/>
      <c r="U257" s="2"/>
      <c r="V257" s="34"/>
      <c r="W257" s="34"/>
      <c r="X257" s="34"/>
      <c r="Y257" s="29"/>
      <c r="Z257" s="34"/>
      <c r="AA257" s="34"/>
      <c r="AB257" s="29"/>
      <c r="AC257" s="34"/>
      <c r="AD257" s="29"/>
      <c r="AE257" s="34"/>
      <c r="AF257" s="34"/>
    </row>
    <row x14ac:dyDescent="0.25" r="258" customHeight="1" ht="15.75">
      <c r="A258" s="502"/>
      <c r="B258" s="34"/>
      <c r="C258" s="34"/>
      <c r="D258" s="34"/>
      <c r="E258" s="34"/>
      <c r="F258" s="34"/>
      <c r="G258" s="34"/>
      <c r="H258" s="34"/>
      <c r="I258" s="29"/>
      <c r="J258" s="29"/>
      <c r="K258" s="29"/>
      <c r="L258" s="29"/>
      <c r="M258" s="34"/>
      <c r="N258" s="34"/>
      <c r="O258" s="29"/>
      <c r="P258" s="29"/>
      <c r="Q258" s="29"/>
      <c r="R258" s="34"/>
      <c r="S258" s="29"/>
      <c r="T258" s="29"/>
      <c r="U258" s="2"/>
      <c r="V258" s="34"/>
      <c r="W258" s="34"/>
      <c r="X258" s="34"/>
      <c r="Y258" s="29"/>
      <c r="Z258" s="34"/>
      <c r="AA258" s="34"/>
      <c r="AB258" s="29"/>
      <c r="AC258" s="34"/>
      <c r="AD258" s="29"/>
      <c r="AE258" s="34"/>
      <c r="AF258" s="34"/>
    </row>
    <row x14ac:dyDescent="0.25" r="259" customHeight="1" ht="15.75">
      <c r="A259" s="502"/>
      <c r="B259" s="34"/>
      <c r="C259" s="34"/>
      <c r="D259" s="34"/>
      <c r="E259" s="34"/>
      <c r="F259" s="34"/>
      <c r="G259" s="34"/>
      <c r="H259" s="34"/>
      <c r="I259" s="29"/>
      <c r="J259" s="29"/>
      <c r="K259" s="29"/>
      <c r="L259" s="29"/>
      <c r="M259" s="34"/>
      <c r="N259" s="34"/>
      <c r="O259" s="29"/>
      <c r="P259" s="29"/>
      <c r="Q259" s="29"/>
      <c r="R259" s="34"/>
      <c r="S259" s="29"/>
      <c r="T259" s="29"/>
      <c r="U259" s="2"/>
      <c r="V259" s="34"/>
      <c r="W259" s="34"/>
      <c r="X259" s="34"/>
      <c r="Y259" s="29"/>
      <c r="Z259" s="34"/>
      <c r="AA259" s="34"/>
      <c r="AB259" s="29"/>
      <c r="AC259" s="34"/>
      <c r="AD259" s="29"/>
      <c r="AE259" s="34"/>
      <c r="AF259" s="34"/>
    </row>
    <row x14ac:dyDescent="0.25" r="260" customHeight="1" ht="15.75">
      <c r="A260" s="502"/>
      <c r="B260" s="34"/>
      <c r="C260" s="34"/>
      <c r="D260" s="34"/>
      <c r="E260" s="34"/>
      <c r="F260" s="34"/>
      <c r="G260" s="34"/>
      <c r="H260" s="34"/>
      <c r="I260" s="29"/>
      <c r="J260" s="29"/>
      <c r="K260" s="29"/>
      <c r="L260" s="29"/>
      <c r="M260" s="34"/>
      <c r="N260" s="34"/>
      <c r="O260" s="29"/>
      <c r="P260" s="29"/>
      <c r="Q260" s="29"/>
      <c r="R260" s="34"/>
      <c r="S260" s="29"/>
      <c r="T260" s="29"/>
      <c r="U260" s="2"/>
      <c r="V260" s="34"/>
      <c r="W260" s="34"/>
      <c r="X260" s="34"/>
      <c r="Y260" s="29"/>
      <c r="Z260" s="34"/>
      <c r="AA260" s="34"/>
      <c r="AB260" s="29"/>
      <c r="AC260" s="34"/>
      <c r="AD260" s="29"/>
      <c r="AE260" s="34"/>
      <c r="AF260" s="34"/>
    </row>
    <row x14ac:dyDescent="0.25" r="261" customHeight="1" ht="15.75">
      <c r="A261" s="502"/>
      <c r="B261" s="34"/>
      <c r="C261" s="34"/>
      <c r="D261" s="34"/>
      <c r="E261" s="34"/>
      <c r="F261" s="34"/>
      <c r="G261" s="34"/>
      <c r="H261" s="34"/>
      <c r="I261" s="29"/>
      <c r="J261" s="29"/>
      <c r="K261" s="29"/>
      <c r="L261" s="29"/>
      <c r="M261" s="34"/>
      <c r="N261" s="34"/>
      <c r="O261" s="29"/>
      <c r="P261" s="29"/>
      <c r="Q261" s="29"/>
      <c r="R261" s="34"/>
      <c r="S261" s="29"/>
      <c r="T261" s="29"/>
      <c r="U261" s="2"/>
      <c r="V261" s="34"/>
      <c r="W261" s="34"/>
      <c r="X261" s="34"/>
      <c r="Y261" s="29"/>
      <c r="Z261" s="34"/>
      <c r="AA261" s="34"/>
      <c r="AB261" s="29"/>
      <c r="AC261" s="34"/>
      <c r="AD261" s="29"/>
      <c r="AE261" s="34"/>
      <c r="AF261" s="34"/>
    </row>
    <row x14ac:dyDescent="0.25" r="262" customHeight="1" ht="15.75">
      <c r="A262" s="502"/>
      <c r="B262" s="34"/>
      <c r="C262" s="34"/>
      <c r="D262" s="34"/>
      <c r="E262" s="34"/>
      <c r="F262" s="34"/>
      <c r="G262" s="34"/>
      <c r="H262" s="34"/>
      <c r="I262" s="29"/>
      <c r="J262" s="29"/>
      <c r="K262" s="29"/>
      <c r="L262" s="29"/>
      <c r="M262" s="34"/>
      <c r="N262" s="34"/>
      <c r="O262" s="29"/>
      <c r="P262" s="29"/>
      <c r="Q262" s="29"/>
      <c r="R262" s="34"/>
      <c r="S262" s="29"/>
      <c r="T262" s="29"/>
      <c r="U262" s="2"/>
      <c r="V262" s="34"/>
      <c r="W262" s="34"/>
      <c r="X262" s="34"/>
      <c r="Y262" s="29"/>
      <c r="Z262" s="34"/>
      <c r="AA262" s="34"/>
      <c r="AB262" s="29"/>
      <c r="AC262" s="34"/>
      <c r="AD262" s="29"/>
      <c r="AE262" s="34"/>
      <c r="AF262" s="34"/>
    </row>
    <row x14ac:dyDescent="0.25" r="263" customHeight="1" ht="15.75">
      <c r="A263" s="502"/>
      <c r="B263" s="34"/>
      <c r="C263" s="34"/>
      <c r="D263" s="34"/>
      <c r="E263" s="34"/>
      <c r="F263" s="34"/>
      <c r="G263" s="34"/>
      <c r="H263" s="34"/>
      <c r="I263" s="29"/>
      <c r="J263" s="29"/>
      <c r="K263" s="29"/>
      <c r="L263" s="29"/>
      <c r="M263" s="34"/>
      <c r="N263" s="34"/>
      <c r="O263" s="29"/>
      <c r="P263" s="29"/>
      <c r="Q263" s="29"/>
      <c r="R263" s="34"/>
      <c r="S263" s="29"/>
      <c r="T263" s="29"/>
      <c r="U263" s="2"/>
      <c r="V263" s="34"/>
      <c r="W263" s="34"/>
      <c r="X263" s="34"/>
      <c r="Y263" s="29"/>
      <c r="Z263" s="34"/>
      <c r="AA263" s="34"/>
      <c r="AB263" s="29"/>
      <c r="AC263" s="34"/>
      <c r="AD263" s="29"/>
      <c r="AE263" s="34"/>
      <c r="AF263" s="34"/>
    </row>
    <row x14ac:dyDescent="0.25" r="264" customHeight="1" ht="15.75">
      <c r="A264" s="502"/>
      <c r="B264" s="34"/>
      <c r="C264" s="34"/>
      <c r="D264" s="34"/>
      <c r="E264" s="34"/>
      <c r="F264" s="34"/>
      <c r="G264" s="34"/>
      <c r="H264" s="34"/>
      <c r="I264" s="29"/>
      <c r="J264" s="29"/>
      <c r="K264" s="29"/>
      <c r="L264" s="29"/>
      <c r="M264" s="34"/>
      <c r="N264" s="34"/>
      <c r="O264" s="29"/>
      <c r="P264" s="29"/>
      <c r="Q264" s="29"/>
      <c r="R264" s="34"/>
      <c r="S264" s="29"/>
      <c r="T264" s="29"/>
      <c r="U264" s="2"/>
      <c r="V264" s="34"/>
      <c r="W264" s="34"/>
      <c r="X264" s="34"/>
      <c r="Y264" s="29"/>
      <c r="Z264" s="34"/>
      <c r="AA264" s="34"/>
      <c r="AB264" s="29"/>
      <c r="AC264" s="34"/>
      <c r="AD264" s="29"/>
      <c r="AE264" s="34"/>
      <c r="AF264" s="34"/>
    </row>
    <row x14ac:dyDescent="0.25" r="265" customHeight="1" ht="15.75">
      <c r="A265" s="502"/>
      <c r="B265" s="34"/>
      <c r="C265" s="34"/>
      <c r="D265" s="34"/>
      <c r="E265" s="34"/>
      <c r="F265" s="34"/>
      <c r="G265" s="34"/>
      <c r="H265" s="34"/>
      <c r="I265" s="29"/>
      <c r="J265" s="29"/>
      <c r="K265" s="29"/>
      <c r="L265" s="29"/>
      <c r="M265" s="34"/>
      <c r="N265" s="34"/>
      <c r="O265" s="29"/>
      <c r="P265" s="29"/>
      <c r="Q265" s="29"/>
      <c r="R265" s="34"/>
      <c r="S265" s="29"/>
      <c r="T265" s="29"/>
      <c r="U265" s="2"/>
      <c r="V265" s="34"/>
      <c r="W265" s="34"/>
      <c r="X265" s="34"/>
      <c r="Y265" s="29"/>
      <c r="Z265" s="34"/>
      <c r="AA265" s="34"/>
      <c r="AB265" s="29"/>
      <c r="AC265" s="34"/>
      <c r="AD265" s="29"/>
      <c r="AE265" s="34"/>
      <c r="AF265" s="34"/>
    </row>
    <row x14ac:dyDescent="0.25" r="266" customHeight="1" ht="15.75">
      <c r="A266" s="502"/>
      <c r="B266" s="34"/>
      <c r="C266" s="34"/>
      <c r="D266" s="34"/>
      <c r="E266" s="34"/>
      <c r="F266" s="34"/>
      <c r="G266" s="34"/>
      <c r="H266" s="34"/>
      <c r="I266" s="29"/>
      <c r="J266" s="29"/>
      <c r="K266" s="29"/>
      <c r="L266" s="29"/>
      <c r="M266" s="34"/>
      <c r="N266" s="34"/>
      <c r="O266" s="29"/>
      <c r="P266" s="29"/>
      <c r="Q266" s="29"/>
      <c r="R266" s="34"/>
      <c r="S266" s="29"/>
      <c r="T266" s="29"/>
      <c r="U266" s="2"/>
      <c r="V266" s="34"/>
      <c r="W266" s="34"/>
      <c r="X266" s="34"/>
      <c r="Y266" s="29"/>
      <c r="Z266" s="34"/>
      <c r="AA266" s="34"/>
      <c r="AB266" s="29"/>
      <c r="AC266" s="34"/>
      <c r="AD266" s="29"/>
      <c r="AE266" s="34"/>
      <c r="AF266" s="34"/>
    </row>
    <row x14ac:dyDescent="0.25" r="267" customHeight="1" ht="15.75">
      <c r="A267" s="502"/>
      <c r="B267" s="34"/>
      <c r="C267" s="34"/>
      <c r="D267" s="34"/>
      <c r="E267" s="34"/>
      <c r="F267" s="34"/>
      <c r="G267" s="34"/>
      <c r="H267" s="34"/>
      <c r="I267" s="29"/>
      <c r="J267" s="29"/>
      <c r="K267" s="29"/>
      <c r="L267" s="29"/>
      <c r="M267" s="34"/>
      <c r="N267" s="34"/>
      <c r="O267" s="29"/>
      <c r="P267" s="29"/>
      <c r="Q267" s="29"/>
      <c r="R267" s="34"/>
      <c r="S267" s="29"/>
      <c r="T267" s="29"/>
      <c r="U267" s="2"/>
      <c r="V267" s="34"/>
      <c r="W267" s="34"/>
      <c r="X267" s="34"/>
      <c r="Y267" s="29"/>
      <c r="Z267" s="34"/>
      <c r="AA267" s="34"/>
      <c r="AB267" s="29"/>
      <c r="AC267" s="34"/>
      <c r="AD267" s="29"/>
      <c r="AE267" s="34"/>
      <c r="AF267" s="34"/>
    </row>
    <row x14ac:dyDescent="0.25" r="268" customHeight="1" ht="15.75">
      <c r="A268" s="502"/>
      <c r="B268" s="34"/>
      <c r="C268" s="34"/>
      <c r="D268" s="34"/>
      <c r="E268" s="34"/>
      <c r="F268" s="34"/>
      <c r="G268" s="34"/>
      <c r="H268" s="34"/>
      <c r="I268" s="29"/>
      <c r="J268" s="29"/>
      <c r="K268" s="29"/>
      <c r="L268" s="29"/>
      <c r="M268" s="34"/>
      <c r="N268" s="34"/>
      <c r="O268" s="29"/>
      <c r="P268" s="29"/>
      <c r="Q268" s="29"/>
      <c r="R268" s="34"/>
      <c r="S268" s="29"/>
      <c r="T268" s="29"/>
      <c r="U268" s="2"/>
      <c r="V268" s="34"/>
      <c r="W268" s="34"/>
      <c r="X268" s="34"/>
      <c r="Y268" s="29"/>
      <c r="Z268" s="34"/>
      <c r="AA268" s="34"/>
      <c r="AB268" s="29"/>
      <c r="AC268" s="34"/>
      <c r="AD268" s="29"/>
      <c r="AE268" s="34"/>
      <c r="AF268" s="34"/>
    </row>
    <row x14ac:dyDescent="0.25" r="269" customHeight="1" ht="15.75">
      <c r="A269" s="502"/>
      <c r="B269" s="34"/>
      <c r="C269" s="34"/>
      <c r="D269" s="34"/>
      <c r="E269" s="34"/>
      <c r="F269" s="34"/>
      <c r="G269" s="34"/>
      <c r="H269" s="34"/>
      <c r="I269" s="29"/>
      <c r="J269" s="29"/>
      <c r="K269" s="29"/>
      <c r="L269" s="29"/>
      <c r="M269" s="34"/>
      <c r="N269" s="34"/>
      <c r="O269" s="29"/>
      <c r="P269" s="29"/>
      <c r="Q269" s="29"/>
      <c r="R269" s="34"/>
      <c r="S269" s="29"/>
      <c r="T269" s="29"/>
      <c r="U269" s="2"/>
      <c r="V269" s="34"/>
      <c r="W269" s="34"/>
      <c r="X269" s="34"/>
      <c r="Y269" s="29"/>
      <c r="Z269" s="34"/>
      <c r="AA269" s="34"/>
      <c r="AB269" s="29"/>
      <c r="AC269" s="34"/>
      <c r="AD269" s="29"/>
      <c r="AE269" s="34"/>
      <c r="AF269" s="34"/>
    </row>
    <row x14ac:dyDescent="0.25" r="270" customHeight="1" ht="15.75">
      <c r="A270" s="502"/>
      <c r="B270" s="34"/>
      <c r="C270" s="34"/>
      <c r="D270" s="34"/>
      <c r="E270" s="34"/>
      <c r="F270" s="34"/>
      <c r="G270" s="34"/>
      <c r="H270" s="34"/>
      <c r="I270" s="29"/>
      <c r="J270" s="29"/>
      <c r="K270" s="29"/>
      <c r="L270" s="29"/>
      <c r="M270" s="34"/>
      <c r="N270" s="34"/>
      <c r="O270" s="29"/>
      <c r="P270" s="29"/>
      <c r="Q270" s="29"/>
      <c r="R270" s="34"/>
      <c r="S270" s="29"/>
      <c r="T270" s="29"/>
      <c r="U270" s="2"/>
      <c r="V270" s="34"/>
      <c r="W270" s="34"/>
      <c r="X270" s="34"/>
      <c r="Y270" s="29"/>
      <c r="Z270" s="34"/>
      <c r="AA270" s="34"/>
      <c r="AB270" s="29"/>
      <c r="AC270" s="34"/>
      <c r="AD270" s="29"/>
      <c r="AE270" s="34"/>
      <c r="AF270" s="34"/>
    </row>
    <row x14ac:dyDescent="0.25" r="271" customHeight="1" ht="15.75">
      <c r="A271" s="502"/>
      <c r="B271" s="34"/>
      <c r="C271" s="34"/>
      <c r="D271" s="34"/>
      <c r="E271" s="34"/>
      <c r="F271" s="34"/>
      <c r="G271" s="34"/>
      <c r="H271" s="34"/>
      <c r="I271" s="29"/>
      <c r="J271" s="29"/>
      <c r="K271" s="29"/>
      <c r="L271" s="29"/>
      <c r="M271" s="34"/>
      <c r="N271" s="34"/>
      <c r="O271" s="29"/>
      <c r="P271" s="29"/>
      <c r="Q271" s="29"/>
      <c r="R271" s="34"/>
      <c r="S271" s="29"/>
      <c r="T271" s="29"/>
      <c r="U271" s="2"/>
      <c r="V271" s="34"/>
      <c r="W271" s="34"/>
      <c r="X271" s="34"/>
      <c r="Y271" s="29"/>
      <c r="Z271" s="34"/>
      <c r="AA271" s="34"/>
      <c r="AB271" s="29"/>
      <c r="AC271" s="34"/>
      <c r="AD271" s="29"/>
      <c r="AE271" s="34"/>
      <c r="AF271" s="34"/>
    </row>
    <row x14ac:dyDescent="0.25" r="272" customHeight="1" ht="15.75">
      <c r="A272" s="502"/>
      <c r="B272" s="34"/>
      <c r="C272" s="34"/>
      <c r="D272" s="34"/>
      <c r="E272" s="34"/>
      <c r="F272" s="34"/>
      <c r="G272" s="34"/>
      <c r="H272" s="34"/>
      <c r="I272" s="29"/>
      <c r="J272" s="29"/>
      <c r="K272" s="506"/>
      <c r="L272" s="29"/>
      <c r="M272" s="34"/>
      <c r="N272" s="34"/>
      <c r="O272" s="29"/>
      <c r="P272" s="29"/>
      <c r="Q272" s="29"/>
      <c r="R272" s="34"/>
      <c r="S272" s="29"/>
      <c r="T272" s="29"/>
      <c r="U272" s="2"/>
      <c r="V272" s="34"/>
      <c r="W272" s="34"/>
      <c r="X272" s="34"/>
      <c r="Y272" s="29"/>
      <c r="Z272" s="34"/>
      <c r="AA272" s="34"/>
      <c r="AB272" s="29"/>
      <c r="AC272" s="34"/>
      <c r="AD272" s="29"/>
      <c r="AE272" s="34"/>
      <c r="AF272" s="34"/>
    </row>
    <row x14ac:dyDescent="0.25" r="273" customHeight="1" ht="15.75">
      <c r="A273" s="502"/>
      <c r="B273" s="34"/>
      <c r="C273" s="34"/>
      <c r="D273" s="34"/>
      <c r="E273" s="34"/>
      <c r="F273" s="34"/>
      <c r="G273" s="34"/>
      <c r="H273" s="34"/>
      <c r="I273" s="29"/>
      <c r="J273" s="29"/>
      <c r="K273" s="29"/>
      <c r="L273" s="29"/>
      <c r="M273" s="34"/>
      <c r="N273" s="34"/>
      <c r="O273" s="29"/>
      <c r="P273" s="29"/>
      <c r="Q273" s="29"/>
      <c r="R273" s="34"/>
      <c r="S273" s="29"/>
      <c r="T273" s="29"/>
      <c r="U273" s="2"/>
      <c r="V273" s="34"/>
      <c r="W273" s="34"/>
      <c r="X273" s="34"/>
      <c r="Y273" s="29"/>
      <c r="Z273" s="34"/>
      <c r="AA273" s="34"/>
      <c r="AB273" s="29"/>
      <c r="AC273" s="34"/>
      <c r="AD273" s="29"/>
      <c r="AE273" s="34"/>
      <c r="AF273" s="34"/>
    </row>
    <row x14ac:dyDescent="0.25" r="274" customHeight="1" ht="15.75">
      <c r="A274" s="502"/>
      <c r="B274" s="34"/>
      <c r="C274" s="34"/>
      <c r="D274" s="34"/>
      <c r="E274" s="34"/>
      <c r="F274" s="34"/>
      <c r="G274" s="34"/>
      <c r="H274" s="34"/>
      <c r="I274" s="29"/>
      <c r="J274" s="29"/>
      <c r="K274" s="29"/>
      <c r="L274" s="29"/>
      <c r="M274" s="34"/>
      <c r="N274" s="34"/>
      <c r="O274" s="29"/>
      <c r="P274" s="29"/>
      <c r="Q274" s="29"/>
      <c r="R274" s="34"/>
      <c r="S274" s="29"/>
      <c r="T274" s="29"/>
      <c r="U274" s="2"/>
      <c r="V274" s="34"/>
      <c r="W274" s="34"/>
      <c r="X274" s="34"/>
      <c r="Y274" s="29"/>
      <c r="Z274" s="34"/>
      <c r="AA274" s="34"/>
      <c r="AB274" s="29"/>
      <c r="AC274" s="34"/>
      <c r="AD274" s="29"/>
      <c r="AE274" s="34"/>
      <c r="AF274" s="34"/>
    </row>
    <row x14ac:dyDescent="0.25" r="275" customHeight="1" ht="15.75">
      <c r="A275" s="502"/>
      <c r="B275" s="34"/>
      <c r="C275" s="34"/>
      <c r="D275" s="34"/>
      <c r="E275" s="34"/>
      <c r="F275" s="34"/>
      <c r="G275" s="34"/>
      <c r="H275" s="34"/>
      <c r="I275" s="29"/>
      <c r="J275" s="29"/>
      <c r="K275" s="29"/>
      <c r="L275" s="29"/>
      <c r="M275" s="34"/>
      <c r="N275" s="34"/>
      <c r="O275" s="29"/>
      <c r="P275" s="29"/>
      <c r="Q275" s="29"/>
      <c r="R275" s="34"/>
      <c r="S275" s="29"/>
      <c r="T275" s="29"/>
      <c r="U275" s="2"/>
      <c r="V275" s="34"/>
      <c r="W275" s="34"/>
      <c r="X275" s="34"/>
      <c r="Y275" s="29"/>
      <c r="Z275" s="34"/>
      <c r="AA275" s="34"/>
      <c r="AB275" s="29"/>
      <c r="AC275" s="34"/>
      <c r="AD275" s="29"/>
      <c r="AE275" s="34"/>
      <c r="AF275" s="34"/>
    </row>
    <row x14ac:dyDescent="0.25" r="276" customHeight="1" ht="15.75">
      <c r="A276" s="502"/>
      <c r="B276" s="34"/>
      <c r="C276" s="34"/>
      <c r="D276" s="34"/>
      <c r="E276" s="34"/>
      <c r="F276" s="34"/>
      <c r="G276" s="34"/>
      <c r="H276" s="34"/>
      <c r="I276" s="29"/>
      <c r="J276" s="29"/>
      <c r="K276" s="29"/>
      <c r="L276" s="29"/>
      <c r="M276" s="34"/>
      <c r="N276" s="34"/>
      <c r="O276" s="29"/>
      <c r="P276" s="29"/>
      <c r="Q276" s="29"/>
      <c r="R276" s="34"/>
      <c r="S276" s="29"/>
      <c r="T276" s="29"/>
      <c r="U276" s="2"/>
      <c r="V276" s="34"/>
      <c r="W276" s="34"/>
      <c r="X276" s="34"/>
      <c r="Y276" s="29"/>
      <c r="Z276" s="34"/>
      <c r="AA276" s="34"/>
      <c r="AB276" s="29"/>
      <c r="AC276" s="34"/>
      <c r="AD276" s="29"/>
      <c r="AE276" s="34"/>
      <c r="AF276" s="34"/>
    </row>
    <row x14ac:dyDescent="0.25" r="277" customHeight="1" ht="15.75">
      <c r="A277" s="502"/>
      <c r="B277" s="34"/>
      <c r="C277" s="34"/>
      <c r="D277" s="34"/>
      <c r="E277" s="34"/>
      <c r="F277" s="34"/>
      <c r="G277" s="34"/>
      <c r="H277" s="34"/>
      <c r="I277" s="29"/>
      <c r="J277" s="29"/>
      <c r="K277" s="29"/>
      <c r="L277" s="29"/>
      <c r="M277" s="34"/>
      <c r="N277" s="34"/>
      <c r="O277" s="29"/>
      <c r="P277" s="29"/>
      <c r="Q277" s="29"/>
      <c r="R277" s="34"/>
      <c r="S277" s="29"/>
      <c r="T277" s="29"/>
      <c r="U277" s="2"/>
      <c r="V277" s="34"/>
      <c r="W277" s="34"/>
      <c r="X277" s="34"/>
      <c r="Y277" s="29"/>
      <c r="Z277" s="34"/>
      <c r="AA277" s="34"/>
      <c r="AB277" s="29"/>
      <c r="AC277" s="34"/>
      <c r="AD277" s="29"/>
      <c r="AE277" s="34"/>
      <c r="AF277" s="34"/>
    </row>
    <row x14ac:dyDescent="0.25" r="278" customHeight="1" ht="15.75">
      <c r="A278" s="502"/>
      <c r="B278" s="34"/>
      <c r="C278" s="34"/>
      <c r="D278" s="34"/>
      <c r="E278" s="34"/>
      <c r="F278" s="34"/>
      <c r="G278" s="34"/>
      <c r="H278" s="34"/>
      <c r="I278" s="29"/>
      <c r="J278" s="29"/>
      <c r="K278" s="29"/>
      <c r="L278" s="29"/>
      <c r="M278" s="34"/>
      <c r="N278" s="34"/>
      <c r="O278" s="29"/>
      <c r="P278" s="29"/>
      <c r="Q278" s="29"/>
      <c r="R278" s="34"/>
      <c r="S278" s="29"/>
      <c r="T278" s="29"/>
      <c r="U278" s="2"/>
      <c r="V278" s="34"/>
      <c r="W278" s="34"/>
      <c r="X278" s="34"/>
      <c r="Y278" s="29"/>
      <c r="Z278" s="34"/>
      <c r="AA278" s="34"/>
      <c r="AB278" s="29"/>
      <c r="AC278" s="34"/>
      <c r="AD278" s="29"/>
      <c r="AE278" s="34"/>
      <c r="AF278" s="34"/>
    </row>
    <row x14ac:dyDescent="0.25" r="279" customHeight="1" ht="15.75">
      <c r="A279" s="502"/>
      <c r="B279" s="34"/>
      <c r="C279" s="34"/>
      <c r="D279" s="34"/>
      <c r="E279" s="34"/>
      <c r="F279" s="34"/>
      <c r="G279" s="34"/>
      <c r="H279" s="34"/>
      <c r="I279" s="29"/>
      <c r="J279" s="29"/>
      <c r="K279" s="29"/>
      <c r="L279" s="29"/>
      <c r="M279" s="34"/>
      <c r="N279" s="34"/>
      <c r="O279" s="29"/>
      <c r="P279" s="29"/>
      <c r="Q279" s="29"/>
      <c r="R279" s="34"/>
      <c r="S279" s="29"/>
      <c r="T279" s="29"/>
      <c r="U279" s="2"/>
      <c r="V279" s="34"/>
      <c r="W279" s="34"/>
      <c r="X279" s="34"/>
      <c r="Y279" s="29"/>
      <c r="Z279" s="34"/>
      <c r="AA279" s="34"/>
      <c r="AB279" s="29"/>
      <c r="AC279" s="34"/>
      <c r="AD279" s="29"/>
      <c r="AE279" s="34"/>
      <c r="AF279" s="34"/>
    </row>
    <row x14ac:dyDescent="0.25" r="280" customHeight="1" ht="15.75">
      <c r="A280" s="502"/>
      <c r="B280" s="34"/>
      <c r="C280" s="34"/>
      <c r="D280" s="34"/>
      <c r="E280" s="34"/>
      <c r="F280" s="34"/>
      <c r="G280" s="34"/>
      <c r="H280" s="34"/>
      <c r="I280" s="29"/>
      <c r="J280" s="29"/>
      <c r="K280" s="29"/>
      <c r="L280" s="29"/>
      <c r="M280" s="34"/>
      <c r="N280" s="34"/>
      <c r="O280" s="29"/>
      <c r="P280" s="29"/>
      <c r="Q280" s="29"/>
      <c r="R280" s="34"/>
      <c r="S280" s="29"/>
      <c r="T280" s="29"/>
      <c r="U280" s="2"/>
      <c r="V280" s="34"/>
      <c r="W280" s="34"/>
      <c r="X280" s="34"/>
      <c r="Y280" s="29"/>
      <c r="Z280" s="34"/>
      <c r="AA280" s="34"/>
      <c r="AB280" s="29"/>
      <c r="AC280" s="34"/>
      <c r="AD280" s="29"/>
      <c r="AE280" s="34"/>
      <c r="AF280" s="34"/>
    </row>
    <row x14ac:dyDescent="0.25" r="281" customHeight="1" ht="15.75">
      <c r="A281" s="502"/>
      <c r="B281" s="34"/>
      <c r="C281" s="34"/>
      <c r="D281" s="34"/>
      <c r="E281" s="34"/>
      <c r="F281" s="34"/>
      <c r="G281" s="34"/>
      <c r="H281" s="34"/>
      <c r="I281" s="29"/>
      <c r="J281" s="29"/>
      <c r="K281" s="29"/>
      <c r="L281" s="29"/>
      <c r="M281" s="34"/>
      <c r="N281" s="34"/>
      <c r="O281" s="29"/>
      <c r="P281" s="29"/>
      <c r="Q281" s="29"/>
      <c r="R281" s="34"/>
      <c r="S281" s="29"/>
      <c r="T281" s="29"/>
      <c r="U281" s="2"/>
      <c r="V281" s="34"/>
      <c r="W281" s="34"/>
      <c r="X281" s="34"/>
      <c r="Y281" s="29"/>
      <c r="Z281" s="34"/>
      <c r="AA281" s="34"/>
      <c r="AB281" s="29"/>
      <c r="AC281" s="34"/>
      <c r="AD281" s="29"/>
      <c r="AE281" s="34"/>
      <c r="AF281" s="34"/>
    </row>
    <row x14ac:dyDescent="0.25" r="282" customHeight="1" ht="15.75">
      <c r="A282" s="502"/>
      <c r="B282" s="34"/>
      <c r="C282" s="34"/>
      <c r="D282" s="34"/>
      <c r="E282" s="34"/>
      <c r="F282" s="34"/>
      <c r="G282" s="34"/>
      <c r="H282" s="34"/>
      <c r="I282" s="29"/>
      <c r="J282" s="29"/>
      <c r="K282" s="29"/>
      <c r="L282" s="29"/>
      <c r="M282" s="34"/>
      <c r="N282" s="34"/>
      <c r="O282" s="29"/>
      <c r="P282" s="29"/>
      <c r="Q282" s="29"/>
      <c r="R282" s="34"/>
      <c r="S282" s="29"/>
      <c r="T282" s="29"/>
      <c r="U282" s="2"/>
      <c r="V282" s="34"/>
      <c r="W282" s="34"/>
      <c r="X282" s="34"/>
      <c r="Y282" s="29"/>
      <c r="Z282" s="34"/>
      <c r="AA282" s="34"/>
      <c r="AB282" s="29"/>
      <c r="AC282" s="34"/>
      <c r="AD282" s="29"/>
      <c r="AE282" s="34"/>
      <c r="AF282" s="34"/>
    </row>
    <row x14ac:dyDescent="0.25" r="283" customHeight="1" ht="15.75">
      <c r="A283" s="502"/>
      <c r="B283" s="34"/>
      <c r="C283" s="34"/>
      <c r="D283" s="34"/>
      <c r="E283" s="34"/>
      <c r="F283" s="34"/>
      <c r="G283" s="34"/>
      <c r="H283" s="34"/>
      <c r="I283" s="29"/>
      <c r="J283" s="29"/>
      <c r="K283" s="29"/>
      <c r="L283" s="29"/>
      <c r="M283" s="34"/>
      <c r="N283" s="34"/>
      <c r="O283" s="29"/>
      <c r="P283" s="29"/>
      <c r="Q283" s="29"/>
      <c r="R283" s="34"/>
      <c r="S283" s="29"/>
      <c r="T283" s="29"/>
      <c r="U283" s="2"/>
      <c r="V283" s="34"/>
      <c r="W283" s="34"/>
      <c r="X283" s="34"/>
      <c r="Y283" s="29"/>
      <c r="Z283" s="34"/>
      <c r="AA283" s="34"/>
      <c r="AB283" s="29"/>
      <c r="AC283" s="34"/>
      <c r="AD283" s="29"/>
      <c r="AE283" s="34"/>
      <c r="AF283" s="34"/>
    </row>
    <row x14ac:dyDescent="0.25" r="284" customHeight="1" ht="15.75">
      <c r="A284" s="502"/>
      <c r="B284" s="34"/>
      <c r="C284" s="34"/>
      <c r="D284" s="34"/>
      <c r="E284" s="34"/>
      <c r="F284" s="34"/>
      <c r="G284" s="34"/>
      <c r="H284" s="34"/>
      <c r="I284" s="29"/>
      <c r="J284" s="29"/>
      <c r="K284" s="29"/>
      <c r="L284" s="29"/>
      <c r="M284" s="34"/>
      <c r="N284" s="34"/>
      <c r="O284" s="29"/>
      <c r="P284" s="29"/>
      <c r="Q284" s="29"/>
      <c r="R284" s="34"/>
      <c r="S284" s="29"/>
      <c r="T284" s="29"/>
      <c r="U284" s="2"/>
      <c r="V284" s="34"/>
      <c r="W284" s="34"/>
      <c r="X284" s="34"/>
      <c r="Y284" s="29"/>
      <c r="Z284" s="34"/>
      <c r="AA284" s="34"/>
      <c r="AB284" s="29"/>
      <c r="AC284" s="34"/>
      <c r="AD284" s="29"/>
      <c r="AE284" s="34"/>
      <c r="AF284" s="34"/>
    </row>
    <row x14ac:dyDescent="0.25" r="285" customHeight="1" ht="15.75">
      <c r="A285" s="502"/>
      <c r="B285" s="34"/>
      <c r="C285" s="34"/>
      <c r="D285" s="34"/>
      <c r="E285" s="34"/>
      <c r="F285" s="34"/>
      <c r="G285" s="34"/>
      <c r="H285" s="34"/>
      <c r="I285" s="29"/>
      <c r="J285" s="29"/>
      <c r="K285" s="29"/>
      <c r="L285" s="29"/>
      <c r="M285" s="34"/>
      <c r="N285" s="34"/>
      <c r="O285" s="29"/>
      <c r="P285" s="29"/>
      <c r="Q285" s="29"/>
      <c r="R285" s="34"/>
      <c r="S285" s="29"/>
      <c r="T285" s="29"/>
      <c r="U285" s="2"/>
      <c r="V285" s="34"/>
      <c r="W285" s="34"/>
      <c r="X285" s="34"/>
      <c r="Y285" s="29"/>
      <c r="Z285" s="34"/>
      <c r="AA285" s="34"/>
      <c r="AB285" s="29"/>
      <c r="AC285" s="34"/>
      <c r="AD285" s="29"/>
      <c r="AE285" s="34"/>
      <c r="AF285" s="34"/>
    </row>
    <row x14ac:dyDescent="0.25" r="286" customHeight="1" ht="15.75">
      <c r="A286" s="502"/>
      <c r="B286" s="34"/>
      <c r="C286" s="34"/>
      <c r="D286" s="34"/>
      <c r="E286" s="34"/>
      <c r="F286" s="34"/>
      <c r="G286" s="34"/>
      <c r="H286" s="34"/>
      <c r="I286" s="29"/>
      <c r="J286" s="29"/>
      <c r="K286" s="29"/>
      <c r="L286" s="29"/>
      <c r="M286" s="34"/>
      <c r="N286" s="34"/>
      <c r="O286" s="29"/>
      <c r="P286" s="29"/>
      <c r="Q286" s="29"/>
      <c r="R286" s="34"/>
      <c r="S286" s="29"/>
      <c r="T286" s="29"/>
      <c r="U286" s="2"/>
      <c r="V286" s="34"/>
      <c r="W286" s="34"/>
      <c r="X286" s="34"/>
      <c r="Y286" s="29"/>
      <c r="Z286" s="34"/>
      <c r="AA286" s="34"/>
      <c r="AB286" s="29"/>
      <c r="AC286" s="34"/>
      <c r="AD286" s="29"/>
      <c r="AE286" s="34"/>
      <c r="AF286" s="34"/>
    </row>
    <row x14ac:dyDescent="0.25" r="287" customHeight="1" ht="15.75">
      <c r="A287" s="502"/>
      <c r="B287" s="34"/>
      <c r="C287" s="34"/>
      <c r="D287" s="34"/>
      <c r="E287" s="34"/>
      <c r="F287" s="34"/>
      <c r="G287" s="34"/>
      <c r="H287" s="34"/>
      <c r="I287" s="29"/>
      <c r="J287" s="29"/>
      <c r="K287" s="29"/>
      <c r="L287" s="29"/>
      <c r="M287" s="34"/>
      <c r="N287" s="34"/>
      <c r="O287" s="29"/>
      <c r="P287" s="29"/>
      <c r="Q287" s="29"/>
      <c r="R287" s="34"/>
      <c r="S287" s="29"/>
      <c r="T287" s="29"/>
      <c r="U287" s="2"/>
      <c r="V287" s="34"/>
      <c r="W287" s="34"/>
      <c r="X287" s="34"/>
      <c r="Y287" s="29"/>
      <c r="Z287" s="34"/>
      <c r="AA287" s="34"/>
      <c r="AB287" s="29"/>
      <c r="AC287" s="34"/>
      <c r="AD287" s="29"/>
      <c r="AE287" s="34"/>
      <c r="AF287" s="34"/>
    </row>
    <row x14ac:dyDescent="0.25" r="288" customHeight="1" ht="15.75">
      <c r="A288" s="502"/>
      <c r="B288" s="34"/>
      <c r="C288" s="34"/>
      <c r="D288" s="34"/>
      <c r="E288" s="34"/>
      <c r="F288" s="34"/>
      <c r="G288" s="34"/>
      <c r="H288" s="34"/>
      <c r="I288" s="29"/>
      <c r="J288" s="29"/>
      <c r="K288" s="29"/>
      <c r="L288" s="29"/>
      <c r="M288" s="34"/>
      <c r="N288" s="34"/>
      <c r="O288" s="29"/>
      <c r="P288" s="29"/>
      <c r="Q288" s="29"/>
      <c r="R288" s="34"/>
      <c r="S288" s="29"/>
      <c r="T288" s="29"/>
      <c r="U288" s="2"/>
      <c r="V288" s="34"/>
      <c r="W288" s="34"/>
      <c r="X288" s="34"/>
      <c r="Y288" s="29"/>
      <c r="Z288" s="34"/>
      <c r="AA288" s="34"/>
      <c r="AB288" s="29"/>
      <c r="AC288" s="34"/>
      <c r="AD288" s="29"/>
      <c r="AE288" s="34"/>
      <c r="AF288" s="34"/>
    </row>
    <row x14ac:dyDescent="0.25" r="289" customHeight="1" ht="15.75">
      <c r="A289" s="502"/>
      <c r="B289" s="34"/>
      <c r="C289" s="34"/>
      <c r="D289" s="34"/>
      <c r="E289" s="34"/>
      <c r="F289" s="34"/>
      <c r="G289" s="34"/>
      <c r="H289" s="34"/>
      <c r="I289" s="29"/>
      <c r="J289" s="29"/>
      <c r="K289" s="29"/>
      <c r="L289" s="29"/>
      <c r="M289" s="34"/>
      <c r="N289" s="34"/>
      <c r="O289" s="29"/>
      <c r="P289" s="29"/>
      <c r="Q289" s="29"/>
      <c r="R289" s="34"/>
      <c r="S289" s="29"/>
      <c r="T289" s="29"/>
      <c r="U289" s="2"/>
      <c r="V289" s="34"/>
      <c r="W289" s="34"/>
      <c r="X289" s="34"/>
      <c r="Y289" s="29"/>
      <c r="Z289" s="34"/>
      <c r="AA289" s="34"/>
      <c r="AB289" s="29"/>
      <c r="AC289" s="34"/>
      <c r="AD289" s="29"/>
      <c r="AE289" s="34"/>
      <c r="AF289" s="34"/>
    </row>
    <row x14ac:dyDescent="0.25" r="290" customHeight="1" ht="15.75">
      <c r="A290" s="502"/>
      <c r="B290" s="34"/>
      <c r="C290" s="34"/>
      <c r="D290" s="34"/>
      <c r="E290" s="34"/>
      <c r="F290" s="34"/>
      <c r="G290" s="34"/>
      <c r="H290" s="34"/>
      <c r="I290" s="29"/>
      <c r="J290" s="29"/>
      <c r="K290" s="29"/>
      <c r="L290" s="29"/>
      <c r="M290" s="34"/>
      <c r="N290" s="34"/>
      <c r="O290" s="29"/>
      <c r="P290" s="29"/>
      <c r="Q290" s="29"/>
      <c r="R290" s="34"/>
      <c r="S290" s="29"/>
      <c r="T290" s="29"/>
      <c r="U290" s="2"/>
      <c r="V290" s="34"/>
      <c r="W290" s="34"/>
      <c r="X290" s="34"/>
      <c r="Y290" s="29"/>
      <c r="Z290" s="34"/>
      <c r="AA290" s="34"/>
      <c r="AB290" s="29"/>
      <c r="AC290" s="34"/>
      <c r="AD290" s="29"/>
      <c r="AE290" s="34"/>
      <c r="AF290" s="34"/>
    </row>
    <row x14ac:dyDescent="0.25" r="291" customHeight="1" ht="15.75">
      <c r="A291" s="502"/>
      <c r="B291" s="34"/>
      <c r="C291" s="34"/>
      <c r="D291" s="34"/>
      <c r="E291" s="34"/>
      <c r="F291" s="34"/>
      <c r="G291" s="34"/>
      <c r="H291" s="34"/>
      <c r="I291" s="29"/>
      <c r="J291" s="29"/>
      <c r="K291" s="29"/>
      <c r="L291" s="29"/>
      <c r="M291" s="34"/>
      <c r="N291" s="34"/>
      <c r="O291" s="29"/>
      <c r="P291" s="29"/>
      <c r="Q291" s="29"/>
      <c r="R291" s="34"/>
      <c r="S291" s="29"/>
      <c r="T291" s="29"/>
      <c r="U291" s="2"/>
      <c r="V291" s="34"/>
      <c r="W291" s="34"/>
      <c r="X291" s="34"/>
      <c r="Y291" s="29"/>
      <c r="Z291" s="34"/>
      <c r="AA291" s="34"/>
      <c r="AB291" s="29"/>
      <c r="AC291" s="34"/>
      <c r="AD291" s="29"/>
      <c r="AE291" s="34"/>
      <c r="AF291" s="34"/>
    </row>
    <row x14ac:dyDescent="0.25" r="292" customHeight="1" ht="15.75">
      <c r="A292" s="502"/>
      <c r="B292" s="34"/>
      <c r="C292" s="34"/>
      <c r="D292" s="34"/>
      <c r="E292" s="34"/>
      <c r="F292" s="34"/>
      <c r="G292" s="34"/>
      <c r="H292" s="34"/>
      <c r="I292" s="29"/>
      <c r="J292" s="29"/>
      <c r="K292" s="29"/>
      <c r="L292" s="29"/>
      <c r="M292" s="34"/>
      <c r="N292" s="34"/>
      <c r="O292" s="29"/>
      <c r="P292" s="29"/>
      <c r="Q292" s="29"/>
      <c r="R292" s="34"/>
      <c r="S292" s="29"/>
      <c r="T292" s="29"/>
      <c r="U292" s="2"/>
      <c r="V292" s="34"/>
      <c r="W292" s="34"/>
      <c r="X292" s="34"/>
      <c r="Y292" s="29"/>
      <c r="Z292" s="34"/>
      <c r="AA292" s="34"/>
      <c r="AB292" s="29"/>
      <c r="AC292" s="34"/>
      <c r="AD292" s="29"/>
      <c r="AE292" s="34"/>
      <c r="AF292" s="34"/>
    </row>
    <row x14ac:dyDescent="0.25" r="293" customHeight="1" ht="15.75">
      <c r="A293" s="502"/>
      <c r="B293" s="34"/>
      <c r="C293" s="34"/>
      <c r="D293" s="34"/>
      <c r="E293" s="34"/>
      <c r="F293" s="34"/>
      <c r="G293" s="34"/>
      <c r="H293" s="34"/>
      <c r="I293" s="29"/>
      <c r="J293" s="29"/>
      <c r="K293" s="29"/>
      <c r="L293" s="29"/>
      <c r="M293" s="34"/>
      <c r="N293" s="34"/>
      <c r="O293" s="29"/>
      <c r="P293" s="29"/>
      <c r="Q293" s="29"/>
      <c r="R293" s="34"/>
      <c r="S293" s="29"/>
      <c r="T293" s="29"/>
      <c r="U293" s="2"/>
      <c r="V293" s="34"/>
      <c r="W293" s="34"/>
      <c r="X293" s="34"/>
      <c r="Y293" s="29"/>
      <c r="Z293" s="34"/>
      <c r="AA293" s="34"/>
      <c r="AB293" s="29"/>
      <c r="AC293" s="34"/>
      <c r="AD293" s="29"/>
      <c r="AE293" s="34"/>
      <c r="AF293" s="34"/>
    </row>
    <row x14ac:dyDescent="0.25" r="294" customHeight="1" ht="15.75">
      <c r="A294" s="502"/>
      <c r="B294" s="34"/>
      <c r="C294" s="34"/>
      <c r="D294" s="34"/>
      <c r="E294" s="34"/>
      <c r="F294" s="34"/>
      <c r="G294" s="34"/>
      <c r="H294" s="34"/>
      <c r="I294" s="29"/>
      <c r="J294" s="29"/>
      <c r="K294" s="29"/>
      <c r="L294" s="29"/>
      <c r="M294" s="34"/>
      <c r="N294" s="34"/>
      <c r="O294" s="29"/>
      <c r="P294" s="29"/>
      <c r="Q294" s="29"/>
      <c r="R294" s="34"/>
      <c r="S294" s="29"/>
      <c r="T294" s="29"/>
      <c r="U294" s="2"/>
      <c r="V294" s="34"/>
      <c r="W294" s="34"/>
      <c r="X294" s="34"/>
      <c r="Y294" s="29"/>
      <c r="Z294" s="34"/>
      <c r="AA294" s="34"/>
      <c r="AB294" s="29"/>
      <c r="AC294" s="34"/>
      <c r="AD294" s="29"/>
      <c r="AE294" s="34"/>
      <c r="AF294" s="34"/>
    </row>
    <row x14ac:dyDescent="0.25" r="295" customHeight="1" ht="15.75">
      <c r="A295" s="502"/>
      <c r="B295" s="34"/>
      <c r="C295" s="34"/>
      <c r="D295" s="34"/>
      <c r="E295" s="34"/>
      <c r="F295" s="34"/>
      <c r="G295" s="34"/>
      <c r="H295" s="34"/>
      <c r="I295" s="29"/>
      <c r="J295" s="29"/>
      <c r="K295" s="29"/>
      <c r="L295" s="29"/>
      <c r="M295" s="34"/>
      <c r="N295" s="34"/>
      <c r="O295" s="29"/>
      <c r="P295" s="29"/>
      <c r="Q295" s="29"/>
      <c r="R295" s="34"/>
      <c r="S295" s="29"/>
      <c r="T295" s="29"/>
      <c r="U295" s="2"/>
      <c r="V295" s="34"/>
      <c r="W295" s="34"/>
      <c r="X295" s="34"/>
      <c r="Y295" s="29"/>
      <c r="Z295" s="34"/>
      <c r="AA295" s="34"/>
      <c r="AB295" s="29"/>
      <c r="AC295" s="34"/>
      <c r="AD295" s="29"/>
      <c r="AE295" s="34"/>
      <c r="AF295" s="34"/>
    </row>
    <row x14ac:dyDescent="0.25" r="296" customHeight="1" ht="15.75">
      <c r="A296" s="502"/>
      <c r="B296" s="34"/>
      <c r="C296" s="34"/>
      <c r="D296" s="34"/>
      <c r="E296" s="34"/>
      <c r="F296" s="34"/>
      <c r="G296" s="34"/>
      <c r="H296" s="34"/>
      <c r="I296" s="29"/>
      <c r="J296" s="29"/>
      <c r="K296" s="29"/>
      <c r="L296" s="29"/>
      <c r="M296" s="34"/>
      <c r="N296" s="34"/>
      <c r="O296" s="29"/>
      <c r="P296" s="29"/>
      <c r="Q296" s="29"/>
      <c r="R296" s="34"/>
      <c r="S296" s="29"/>
      <c r="T296" s="29"/>
      <c r="U296" s="2"/>
      <c r="V296" s="34"/>
      <c r="W296" s="34"/>
      <c r="X296" s="34"/>
      <c r="Y296" s="29"/>
      <c r="Z296" s="34"/>
      <c r="AA296" s="34"/>
      <c r="AB296" s="29"/>
      <c r="AC296" s="34"/>
      <c r="AD296" s="29"/>
      <c r="AE296" s="34"/>
      <c r="AF296" s="34"/>
    </row>
    <row x14ac:dyDescent="0.25" r="297" customHeight="1" ht="15.75">
      <c r="A297" s="502"/>
      <c r="B297" s="34"/>
      <c r="C297" s="34"/>
      <c r="D297" s="34"/>
      <c r="E297" s="34"/>
      <c r="F297" s="34"/>
      <c r="G297" s="34"/>
      <c r="H297" s="34"/>
      <c r="I297" s="29"/>
      <c r="J297" s="29"/>
      <c r="K297" s="29"/>
      <c r="L297" s="29"/>
      <c r="M297" s="34"/>
      <c r="N297" s="34"/>
      <c r="O297" s="29"/>
      <c r="P297" s="29"/>
      <c r="Q297" s="29"/>
      <c r="R297" s="34"/>
      <c r="S297" s="29"/>
      <c r="T297" s="29"/>
      <c r="U297" s="2"/>
      <c r="V297" s="34"/>
      <c r="W297" s="34"/>
      <c r="X297" s="34"/>
      <c r="Y297" s="29"/>
      <c r="Z297" s="34"/>
      <c r="AA297" s="34"/>
      <c r="AB297" s="29"/>
      <c r="AC297" s="34"/>
      <c r="AD297" s="29"/>
      <c r="AE297" s="34"/>
      <c r="AF297" s="34"/>
    </row>
    <row x14ac:dyDescent="0.25" r="298" customHeight="1" ht="15.75">
      <c r="A298" s="502"/>
      <c r="B298" s="34"/>
      <c r="C298" s="34"/>
      <c r="D298" s="34"/>
      <c r="E298" s="34"/>
      <c r="F298" s="34"/>
      <c r="G298" s="34"/>
      <c r="H298" s="34"/>
      <c r="I298" s="29"/>
      <c r="J298" s="29"/>
      <c r="K298" s="29"/>
      <c r="L298" s="29"/>
      <c r="M298" s="34"/>
      <c r="N298" s="34"/>
      <c r="O298" s="29"/>
      <c r="P298" s="29"/>
      <c r="Q298" s="29"/>
      <c r="R298" s="34"/>
      <c r="S298" s="29"/>
      <c r="T298" s="29"/>
      <c r="U298" s="2"/>
      <c r="V298" s="34"/>
      <c r="W298" s="34"/>
      <c r="X298" s="34"/>
      <c r="Y298" s="29"/>
      <c r="Z298" s="34"/>
      <c r="AA298" s="34"/>
      <c r="AB298" s="29"/>
      <c r="AC298" s="34"/>
      <c r="AD298" s="29"/>
      <c r="AE298" s="34"/>
      <c r="AF298" s="34"/>
    </row>
    <row x14ac:dyDescent="0.25" r="299" customHeight="1" ht="15.75">
      <c r="A299" s="502"/>
      <c r="B299" s="34"/>
      <c r="C299" s="34"/>
      <c r="D299" s="34"/>
      <c r="E299" s="34"/>
      <c r="F299" s="34"/>
      <c r="G299" s="34"/>
      <c r="H299" s="34"/>
      <c r="I299" s="29"/>
      <c r="J299" s="29"/>
      <c r="K299" s="29"/>
      <c r="L299" s="29"/>
      <c r="M299" s="34"/>
      <c r="N299" s="34"/>
      <c r="O299" s="29"/>
      <c r="P299" s="29"/>
      <c r="Q299" s="29"/>
      <c r="R299" s="34"/>
      <c r="S299" s="29"/>
      <c r="T299" s="29"/>
      <c r="U299" s="2"/>
      <c r="V299" s="34"/>
      <c r="W299" s="34"/>
      <c r="X299" s="34"/>
      <c r="Y299" s="29"/>
      <c r="Z299" s="34"/>
      <c r="AA299" s="34"/>
      <c r="AB299" s="29"/>
      <c r="AC299" s="34"/>
      <c r="AD299" s="29"/>
      <c r="AE299" s="34"/>
      <c r="AF299" s="34"/>
    </row>
    <row x14ac:dyDescent="0.25" r="300" customHeight="1" ht="15.75">
      <c r="A300" s="502"/>
      <c r="B300" s="34"/>
      <c r="C300" s="34"/>
      <c r="D300" s="34"/>
      <c r="E300" s="34"/>
      <c r="F300" s="34"/>
      <c r="G300" s="34"/>
      <c r="H300" s="34"/>
      <c r="I300" s="29"/>
      <c r="J300" s="29"/>
      <c r="K300" s="29"/>
      <c r="L300" s="29"/>
      <c r="M300" s="34"/>
      <c r="N300" s="34"/>
      <c r="O300" s="29"/>
      <c r="P300" s="29"/>
      <c r="Q300" s="29"/>
      <c r="R300" s="34"/>
      <c r="S300" s="29"/>
      <c r="T300" s="29"/>
      <c r="U300" s="2"/>
      <c r="V300" s="34"/>
      <c r="W300" s="34"/>
      <c r="X300" s="34"/>
      <c r="Y300" s="29"/>
      <c r="Z300" s="34"/>
      <c r="AA300" s="34"/>
      <c r="AB300" s="29"/>
      <c r="AC300" s="34"/>
      <c r="AD300" s="29"/>
      <c r="AE300" s="34"/>
      <c r="AF300" s="34"/>
    </row>
    <row x14ac:dyDescent="0.25" r="301" customHeight="1" ht="15.75">
      <c r="A301" s="502"/>
      <c r="B301" s="34"/>
      <c r="C301" s="34"/>
      <c r="D301" s="34"/>
      <c r="E301" s="34"/>
      <c r="F301" s="34"/>
      <c r="G301" s="34"/>
      <c r="H301" s="34"/>
      <c r="I301" s="29"/>
      <c r="J301" s="29"/>
      <c r="K301" s="29"/>
      <c r="L301" s="29"/>
      <c r="M301" s="34"/>
      <c r="N301" s="34"/>
      <c r="O301" s="29"/>
      <c r="P301" s="29"/>
      <c r="Q301" s="29"/>
      <c r="R301" s="34"/>
      <c r="S301" s="29"/>
      <c r="T301" s="29"/>
      <c r="U301" s="2"/>
      <c r="V301" s="34"/>
      <c r="W301" s="34"/>
      <c r="X301" s="34"/>
      <c r="Y301" s="29"/>
      <c r="Z301" s="34"/>
      <c r="AA301" s="34"/>
      <c r="AB301" s="29"/>
      <c r="AC301" s="34"/>
      <c r="AD301" s="29"/>
      <c r="AE301" s="34"/>
      <c r="AF301" s="34"/>
    </row>
    <row x14ac:dyDescent="0.25" r="302" customHeight="1" ht="15.75">
      <c r="A302" s="502"/>
      <c r="B302" s="34"/>
      <c r="C302" s="34"/>
      <c r="D302" s="34"/>
      <c r="E302" s="34"/>
      <c r="F302" s="34"/>
      <c r="G302" s="34"/>
      <c r="H302" s="34"/>
      <c r="I302" s="29"/>
      <c r="J302" s="29"/>
      <c r="K302" s="29"/>
      <c r="L302" s="29"/>
      <c r="M302" s="34"/>
      <c r="N302" s="34"/>
      <c r="O302" s="29"/>
      <c r="P302" s="29"/>
      <c r="Q302" s="29"/>
      <c r="R302" s="34"/>
      <c r="S302" s="29"/>
      <c r="T302" s="29"/>
      <c r="U302" s="2"/>
      <c r="V302" s="34"/>
      <c r="W302" s="34"/>
      <c r="X302" s="34"/>
      <c r="Y302" s="29"/>
      <c r="Z302" s="34"/>
      <c r="AA302" s="34"/>
      <c r="AB302" s="29"/>
      <c r="AC302" s="34"/>
      <c r="AD302" s="29"/>
      <c r="AE302" s="34"/>
      <c r="AF302" s="34"/>
    </row>
    <row x14ac:dyDescent="0.25" r="303" customHeight="1" ht="15.75">
      <c r="A303" s="502"/>
      <c r="B303" s="34"/>
      <c r="C303" s="34"/>
      <c r="D303" s="34"/>
      <c r="E303" s="34"/>
      <c r="F303" s="34"/>
      <c r="G303" s="34"/>
      <c r="H303" s="34"/>
      <c r="I303" s="29"/>
      <c r="J303" s="29"/>
      <c r="K303" s="29"/>
      <c r="L303" s="29"/>
      <c r="M303" s="34"/>
      <c r="N303" s="34"/>
      <c r="O303" s="29"/>
      <c r="P303" s="29"/>
      <c r="Q303" s="29"/>
      <c r="R303" s="34"/>
      <c r="S303" s="29"/>
      <c r="T303" s="29"/>
      <c r="U303" s="2"/>
      <c r="V303" s="34"/>
      <c r="W303" s="34"/>
      <c r="X303" s="34"/>
      <c r="Y303" s="29"/>
      <c r="Z303" s="34"/>
      <c r="AA303" s="34"/>
      <c r="AB303" s="29"/>
      <c r="AC303" s="34"/>
      <c r="AD303" s="29"/>
      <c r="AE303" s="34"/>
      <c r="AF303" s="34"/>
    </row>
    <row x14ac:dyDescent="0.25" r="304" customHeight="1" ht="15.75">
      <c r="A304" s="502"/>
      <c r="B304" s="34"/>
      <c r="C304" s="34"/>
      <c r="D304" s="34"/>
      <c r="E304" s="34"/>
      <c r="F304" s="34"/>
      <c r="G304" s="34"/>
      <c r="H304" s="34"/>
      <c r="I304" s="29"/>
      <c r="J304" s="29"/>
      <c r="K304" s="29"/>
      <c r="L304" s="29"/>
      <c r="M304" s="34"/>
      <c r="N304" s="34"/>
      <c r="O304" s="29"/>
      <c r="P304" s="29"/>
      <c r="Q304" s="29"/>
      <c r="R304" s="34"/>
      <c r="S304" s="29"/>
      <c r="T304" s="29"/>
      <c r="U304" s="2"/>
      <c r="V304" s="34"/>
      <c r="W304" s="34"/>
      <c r="X304" s="34"/>
      <c r="Y304" s="29"/>
      <c r="Z304" s="34"/>
      <c r="AA304" s="34"/>
      <c r="AB304" s="29"/>
      <c r="AC304" s="34"/>
      <c r="AD304" s="29"/>
      <c r="AE304" s="34"/>
      <c r="AF304" s="34"/>
    </row>
    <row x14ac:dyDescent="0.25" r="305" customHeight="1" ht="15.75">
      <c r="A305" s="502"/>
      <c r="B305" s="34"/>
      <c r="C305" s="34"/>
      <c r="D305" s="34"/>
      <c r="E305" s="34"/>
      <c r="F305" s="34"/>
      <c r="G305" s="34"/>
      <c r="H305" s="34"/>
      <c r="I305" s="29"/>
      <c r="J305" s="29"/>
      <c r="K305" s="29"/>
      <c r="L305" s="29"/>
      <c r="M305" s="34"/>
      <c r="N305" s="34"/>
      <c r="O305" s="29"/>
      <c r="P305" s="29"/>
      <c r="Q305" s="29"/>
      <c r="R305" s="34"/>
      <c r="S305" s="29"/>
      <c r="T305" s="29"/>
      <c r="U305" s="2"/>
      <c r="V305" s="34"/>
      <c r="W305" s="34"/>
      <c r="X305" s="34"/>
      <c r="Y305" s="29"/>
      <c r="Z305" s="34"/>
      <c r="AA305" s="34"/>
      <c r="AB305" s="29"/>
      <c r="AC305" s="34"/>
      <c r="AD305" s="29"/>
      <c r="AE305" s="34"/>
      <c r="AF305" s="34"/>
    </row>
    <row x14ac:dyDescent="0.25" r="306" customHeight="1" ht="15.75">
      <c r="A306" s="502"/>
      <c r="B306" s="34"/>
      <c r="C306" s="34"/>
      <c r="D306" s="34"/>
      <c r="E306" s="34"/>
      <c r="F306" s="34"/>
      <c r="G306" s="34"/>
      <c r="H306" s="34"/>
      <c r="I306" s="29"/>
      <c r="J306" s="29"/>
      <c r="K306" s="29"/>
      <c r="L306" s="29"/>
      <c r="M306" s="34"/>
      <c r="N306" s="34"/>
      <c r="O306" s="29"/>
      <c r="P306" s="29"/>
      <c r="Q306" s="29"/>
      <c r="R306" s="34"/>
      <c r="S306" s="29"/>
      <c r="T306" s="29"/>
      <c r="U306" s="2"/>
      <c r="V306" s="34"/>
      <c r="W306" s="34"/>
      <c r="X306" s="34"/>
      <c r="Y306" s="29"/>
      <c r="Z306" s="34"/>
      <c r="AA306" s="34"/>
      <c r="AB306" s="29"/>
      <c r="AC306" s="34"/>
      <c r="AD306" s="29"/>
      <c r="AE306" s="34"/>
      <c r="AF306" s="34"/>
    </row>
    <row x14ac:dyDescent="0.25" r="307" customHeight="1" ht="15.75">
      <c r="A307" s="502"/>
      <c r="B307" s="34"/>
      <c r="C307" s="34"/>
      <c r="D307" s="34"/>
      <c r="E307" s="34"/>
      <c r="F307" s="34"/>
      <c r="G307" s="34"/>
      <c r="H307" s="34"/>
      <c r="I307" s="29"/>
      <c r="J307" s="29"/>
      <c r="K307" s="29"/>
      <c r="L307" s="29"/>
      <c r="M307" s="34"/>
      <c r="N307" s="34"/>
      <c r="O307" s="29"/>
      <c r="P307" s="29"/>
      <c r="Q307" s="29"/>
      <c r="R307" s="34"/>
      <c r="S307" s="29"/>
      <c r="T307" s="29"/>
      <c r="U307" s="2"/>
      <c r="V307" s="34"/>
      <c r="W307" s="34"/>
      <c r="X307" s="34"/>
      <c r="Y307" s="29"/>
      <c r="Z307" s="34"/>
      <c r="AA307" s="34"/>
      <c r="AB307" s="29"/>
      <c r="AC307" s="34"/>
      <c r="AD307" s="29"/>
      <c r="AE307" s="34"/>
      <c r="AF307" s="34"/>
    </row>
    <row x14ac:dyDescent="0.25" r="308" customHeight="1" ht="15.75">
      <c r="A308" s="502"/>
      <c r="B308" s="34"/>
      <c r="C308" s="34"/>
      <c r="D308" s="34"/>
      <c r="E308" s="34"/>
      <c r="F308" s="34"/>
      <c r="G308" s="34"/>
      <c r="H308" s="34"/>
      <c r="I308" s="29"/>
      <c r="J308" s="29"/>
      <c r="K308" s="29"/>
      <c r="L308" s="29"/>
      <c r="M308" s="34"/>
      <c r="N308" s="34"/>
      <c r="O308" s="29"/>
      <c r="P308" s="29"/>
      <c r="Q308" s="29"/>
      <c r="R308" s="34"/>
      <c r="S308" s="29"/>
      <c r="T308" s="29"/>
      <c r="U308" s="2"/>
      <c r="V308" s="34"/>
      <c r="W308" s="34"/>
      <c r="X308" s="34"/>
      <c r="Y308" s="29"/>
      <c r="Z308" s="34"/>
      <c r="AA308" s="34"/>
      <c r="AB308" s="29"/>
      <c r="AC308" s="34"/>
      <c r="AD308" s="29"/>
      <c r="AE308" s="34"/>
      <c r="AF308" s="34"/>
    </row>
    <row x14ac:dyDescent="0.25" r="309" customHeight="1" ht="15.75">
      <c r="A309" s="502"/>
      <c r="B309" s="34"/>
      <c r="C309" s="34"/>
      <c r="D309" s="34"/>
      <c r="E309" s="34"/>
      <c r="F309" s="34"/>
      <c r="G309" s="34"/>
      <c r="H309" s="34"/>
      <c r="I309" s="29"/>
      <c r="J309" s="29"/>
      <c r="K309" s="29"/>
      <c r="L309" s="29"/>
      <c r="M309" s="34"/>
      <c r="N309" s="34"/>
      <c r="O309" s="29"/>
      <c r="P309" s="29"/>
      <c r="Q309" s="29"/>
      <c r="R309" s="34"/>
      <c r="S309" s="29"/>
      <c r="T309" s="29"/>
      <c r="U309" s="2"/>
      <c r="V309" s="34"/>
      <c r="W309" s="34"/>
      <c r="X309" s="34"/>
      <c r="Y309" s="29"/>
      <c r="Z309" s="34"/>
      <c r="AA309" s="34"/>
      <c r="AB309" s="29"/>
      <c r="AC309" s="34"/>
      <c r="AD309" s="29"/>
      <c r="AE309" s="34"/>
      <c r="AF309" s="34"/>
    </row>
    <row x14ac:dyDescent="0.25" r="310" customHeight="1" ht="15.75">
      <c r="A310" s="502"/>
      <c r="B310" s="34"/>
      <c r="C310" s="34"/>
      <c r="D310" s="34"/>
      <c r="E310" s="34"/>
      <c r="F310" s="34"/>
      <c r="G310" s="34"/>
      <c r="H310" s="34"/>
      <c r="I310" s="29"/>
      <c r="J310" s="29"/>
      <c r="K310" s="29"/>
      <c r="L310" s="29"/>
      <c r="M310" s="34"/>
      <c r="N310" s="34"/>
      <c r="O310" s="29"/>
      <c r="P310" s="29"/>
      <c r="Q310" s="29"/>
      <c r="R310" s="34"/>
      <c r="S310" s="29"/>
      <c r="T310" s="29"/>
      <c r="U310" s="2"/>
      <c r="V310" s="34"/>
      <c r="W310" s="34"/>
      <c r="X310" s="34"/>
      <c r="Y310" s="29"/>
      <c r="Z310" s="34"/>
      <c r="AA310" s="34"/>
      <c r="AB310" s="29"/>
      <c r="AC310" s="34"/>
      <c r="AD310" s="29"/>
      <c r="AE310" s="34"/>
      <c r="AF310" s="34"/>
    </row>
    <row x14ac:dyDescent="0.25" r="311" customHeight="1" ht="15.75">
      <c r="A311" s="502"/>
      <c r="B311" s="34"/>
      <c r="C311" s="34"/>
      <c r="D311" s="34"/>
      <c r="E311" s="34"/>
      <c r="F311" s="34"/>
      <c r="G311" s="34"/>
      <c r="H311" s="34"/>
      <c r="I311" s="29"/>
      <c r="J311" s="29"/>
      <c r="K311" s="29"/>
      <c r="L311" s="29"/>
      <c r="M311" s="34"/>
      <c r="N311" s="34"/>
      <c r="O311" s="29"/>
      <c r="P311" s="29"/>
      <c r="Q311" s="29"/>
      <c r="R311" s="34"/>
      <c r="S311" s="29"/>
      <c r="T311" s="29"/>
      <c r="U311" s="2"/>
      <c r="V311" s="34"/>
      <c r="W311" s="34"/>
      <c r="X311" s="34"/>
      <c r="Y311" s="29"/>
      <c r="Z311" s="34"/>
      <c r="AA311" s="34"/>
      <c r="AB311" s="29"/>
      <c r="AC311" s="34"/>
      <c r="AD311" s="29"/>
      <c r="AE311" s="34"/>
      <c r="AF311" s="34"/>
    </row>
    <row x14ac:dyDescent="0.25" r="312" customHeight="1" ht="15.75">
      <c r="A312" s="502"/>
      <c r="B312" s="34"/>
      <c r="C312" s="34"/>
      <c r="D312" s="34"/>
      <c r="E312" s="34"/>
      <c r="F312" s="34"/>
      <c r="G312" s="34"/>
      <c r="H312" s="34"/>
      <c r="I312" s="29"/>
      <c r="J312" s="29"/>
      <c r="K312" s="29"/>
      <c r="L312" s="29"/>
      <c r="M312" s="34"/>
      <c r="N312" s="34"/>
      <c r="O312" s="29"/>
      <c r="P312" s="29"/>
      <c r="Q312" s="29"/>
      <c r="R312" s="34"/>
      <c r="S312" s="29"/>
      <c r="T312" s="29"/>
      <c r="U312" s="2"/>
      <c r="V312" s="34"/>
      <c r="W312" s="34"/>
      <c r="X312" s="34"/>
      <c r="Y312" s="29"/>
      <c r="Z312" s="34"/>
      <c r="AA312" s="34"/>
      <c r="AB312" s="29"/>
      <c r="AC312" s="34"/>
      <c r="AD312" s="29"/>
      <c r="AE312" s="34"/>
      <c r="AF312" s="34"/>
    </row>
    <row x14ac:dyDescent="0.25" r="313" customHeight="1" ht="15.75">
      <c r="A313" s="502"/>
      <c r="B313" s="34"/>
      <c r="C313" s="34"/>
      <c r="D313" s="34"/>
      <c r="E313" s="34"/>
      <c r="F313" s="34"/>
      <c r="G313" s="34"/>
      <c r="H313" s="34"/>
      <c r="I313" s="29"/>
      <c r="J313" s="29"/>
      <c r="K313" s="29"/>
      <c r="L313" s="29"/>
      <c r="M313" s="34"/>
      <c r="N313" s="34"/>
      <c r="O313" s="29"/>
      <c r="P313" s="29"/>
      <c r="Q313" s="29"/>
      <c r="R313" s="34"/>
      <c r="S313" s="29"/>
      <c r="T313" s="29"/>
      <c r="U313" s="2"/>
      <c r="V313" s="34"/>
      <c r="W313" s="34"/>
      <c r="X313" s="34"/>
      <c r="Y313" s="29"/>
      <c r="Z313" s="34"/>
      <c r="AA313" s="34"/>
      <c r="AB313" s="29"/>
      <c r="AC313" s="34"/>
      <c r="AD313" s="29"/>
      <c r="AE313" s="34"/>
      <c r="AF313" s="34"/>
    </row>
    <row x14ac:dyDescent="0.25" r="314" customHeight="1" ht="15.75">
      <c r="A314" s="502"/>
      <c r="B314" s="34"/>
      <c r="C314" s="34"/>
      <c r="D314" s="34"/>
      <c r="E314" s="34"/>
      <c r="F314" s="34"/>
      <c r="G314" s="34"/>
      <c r="H314" s="34"/>
      <c r="I314" s="29"/>
      <c r="J314" s="29"/>
      <c r="K314" s="29"/>
      <c r="L314" s="29"/>
      <c r="M314" s="34"/>
      <c r="N314" s="34"/>
      <c r="O314" s="29"/>
      <c r="P314" s="29"/>
      <c r="Q314" s="29"/>
      <c r="R314" s="34"/>
      <c r="S314" s="29"/>
      <c r="T314" s="29"/>
      <c r="U314" s="2"/>
      <c r="V314" s="34"/>
      <c r="W314" s="34"/>
      <c r="X314" s="34"/>
      <c r="Y314" s="29"/>
      <c r="Z314" s="34"/>
      <c r="AA314" s="34"/>
      <c r="AB314" s="29"/>
      <c r="AC314" s="34"/>
      <c r="AD314" s="29"/>
      <c r="AE314" s="34"/>
      <c r="AF314" s="34"/>
    </row>
    <row x14ac:dyDescent="0.25" r="315" customHeight="1" ht="15.75">
      <c r="A315" s="502"/>
      <c r="B315" s="34"/>
      <c r="C315" s="34"/>
      <c r="D315" s="34"/>
      <c r="E315" s="34"/>
      <c r="F315" s="34"/>
      <c r="G315" s="34"/>
      <c r="H315" s="34"/>
      <c r="I315" s="29"/>
      <c r="J315" s="29"/>
      <c r="K315" s="29"/>
      <c r="L315" s="29"/>
      <c r="M315" s="34"/>
      <c r="N315" s="34"/>
      <c r="O315" s="29"/>
      <c r="P315" s="29"/>
      <c r="Q315" s="29"/>
      <c r="R315" s="34"/>
      <c r="S315" s="29"/>
      <c r="T315" s="29"/>
      <c r="U315" s="2"/>
      <c r="V315" s="34"/>
      <c r="W315" s="34"/>
      <c r="X315" s="34"/>
      <c r="Y315" s="29"/>
      <c r="Z315" s="34"/>
      <c r="AA315" s="34"/>
      <c r="AB315" s="29"/>
      <c r="AC315" s="34"/>
      <c r="AD315" s="29"/>
      <c r="AE315" s="34"/>
      <c r="AF315" s="34"/>
    </row>
    <row x14ac:dyDescent="0.25" r="316" customHeight="1" ht="15.75">
      <c r="A316" s="502"/>
      <c r="B316" s="34"/>
      <c r="C316" s="34"/>
      <c r="D316" s="34"/>
      <c r="E316" s="34"/>
      <c r="F316" s="34"/>
      <c r="G316" s="34"/>
      <c r="H316" s="34"/>
      <c r="I316" s="29"/>
      <c r="J316" s="29"/>
      <c r="K316" s="29"/>
      <c r="L316" s="29"/>
      <c r="M316" s="34"/>
      <c r="N316" s="34"/>
      <c r="O316" s="29"/>
      <c r="P316" s="29"/>
      <c r="Q316" s="29"/>
      <c r="R316" s="34"/>
      <c r="S316" s="29"/>
      <c r="T316" s="29"/>
      <c r="U316" s="2"/>
      <c r="V316" s="34"/>
      <c r="W316" s="34"/>
      <c r="X316" s="34"/>
      <c r="Y316" s="29"/>
      <c r="Z316" s="34"/>
      <c r="AA316" s="34"/>
      <c r="AB316" s="29"/>
      <c r="AC316" s="34"/>
      <c r="AD316" s="29"/>
      <c r="AE316" s="34"/>
      <c r="AF316" s="34"/>
    </row>
    <row x14ac:dyDescent="0.25" r="317" customHeight="1" ht="15.75">
      <c r="A317" s="502"/>
      <c r="B317" s="34"/>
      <c r="C317" s="34"/>
      <c r="D317" s="34"/>
      <c r="E317" s="34"/>
      <c r="F317" s="34"/>
      <c r="G317" s="34"/>
      <c r="H317" s="34"/>
      <c r="I317" s="29"/>
      <c r="J317" s="29"/>
      <c r="K317" s="29"/>
      <c r="L317" s="29"/>
      <c r="M317" s="34"/>
      <c r="N317" s="34"/>
      <c r="O317" s="29"/>
      <c r="P317" s="29"/>
      <c r="Q317" s="29"/>
      <c r="R317" s="34"/>
      <c r="S317" s="29"/>
      <c r="T317" s="29"/>
      <c r="U317" s="2"/>
      <c r="V317" s="34"/>
      <c r="W317" s="34"/>
      <c r="X317" s="34"/>
      <c r="Y317" s="29"/>
      <c r="Z317" s="34"/>
      <c r="AA317" s="34"/>
      <c r="AB317" s="29"/>
      <c r="AC317" s="34"/>
      <c r="AD317" s="29"/>
      <c r="AE317" s="34"/>
      <c r="AF317" s="34"/>
    </row>
    <row x14ac:dyDescent="0.25" r="318" customHeight="1" ht="15.75">
      <c r="A318" s="502"/>
      <c r="B318" s="34"/>
      <c r="C318" s="34"/>
      <c r="D318" s="34"/>
      <c r="E318" s="34"/>
      <c r="F318" s="34"/>
      <c r="G318" s="34"/>
      <c r="H318" s="34"/>
      <c r="I318" s="29"/>
      <c r="J318" s="29"/>
      <c r="K318" s="29"/>
      <c r="L318" s="29"/>
      <c r="M318" s="34"/>
      <c r="N318" s="34"/>
      <c r="O318" s="29"/>
      <c r="P318" s="29"/>
      <c r="Q318" s="29"/>
      <c r="R318" s="34"/>
      <c r="S318" s="29"/>
      <c r="T318" s="29"/>
      <c r="U318" s="2"/>
      <c r="V318" s="34"/>
      <c r="W318" s="34"/>
      <c r="X318" s="34"/>
      <c r="Y318" s="29"/>
      <c r="Z318" s="34"/>
      <c r="AA318" s="34"/>
      <c r="AB318" s="29"/>
      <c r="AC318" s="34"/>
      <c r="AD318" s="29"/>
      <c r="AE318" s="34"/>
      <c r="AF318" s="34"/>
    </row>
    <row x14ac:dyDescent="0.25" r="319" customHeight="1" ht="15.75">
      <c r="A319" s="502"/>
      <c r="B319" s="34"/>
      <c r="C319" s="34"/>
      <c r="D319" s="34"/>
      <c r="E319" s="34"/>
      <c r="F319" s="34"/>
      <c r="G319" s="34"/>
      <c r="H319" s="34"/>
      <c r="I319" s="29"/>
      <c r="J319" s="29"/>
      <c r="K319" s="29"/>
      <c r="L319" s="29"/>
      <c r="M319" s="34"/>
      <c r="N319" s="34"/>
      <c r="O319" s="29"/>
      <c r="P319" s="29"/>
      <c r="Q319" s="29"/>
      <c r="R319" s="34"/>
      <c r="S319" s="29"/>
      <c r="T319" s="29"/>
      <c r="U319" s="2"/>
      <c r="V319" s="34"/>
      <c r="W319" s="34"/>
      <c r="X319" s="34"/>
      <c r="Y319" s="29"/>
      <c r="Z319" s="34"/>
      <c r="AA319" s="34"/>
      <c r="AB319" s="29"/>
      <c r="AC319" s="34"/>
      <c r="AD319" s="29"/>
      <c r="AE319" s="34"/>
      <c r="AF319" s="34"/>
    </row>
    <row x14ac:dyDescent="0.25" r="320" customHeight="1" ht="15.75">
      <c r="A320" s="502"/>
      <c r="B320" s="34"/>
      <c r="C320" s="34"/>
      <c r="D320" s="34"/>
      <c r="E320" s="34"/>
      <c r="F320" s="34"/>
      <c r="G320" s="34"/>
      <c r="H320" s="34"/>
      <c r="I320" s="29"/>
      <c r="J320" s="29"/>
      <c r="K320" s="29"/>
      <c r="L320" s="29"/>
      <c r="M320" s="34"/>
      <c r="N320" s="34"/>
      <c r="O320" s="29"/>
      <c r="P320" s="29"/>
      <c r="Q320" s="29"/>
      <c r="R320" s="34"/>
      <c r="S320" s="29"/>
      <c r="T320" s="29"/>
      <c r="U320" s="2"/>
      <c r="V320" s="34"/>
      <c r="W320" s="34"/>
      <c r="X320" s="34"/>
      <c r="Y320" s="29"/>
      <c r="Z320" s="34"/>
      <c r="AA320" s="34"/>
      <c r="AB320" s="29"/>
      <c r="AC320" s="34"/>
      <c r="AD320" s="29"/>
      <c r="AE320" s="34"/>
      <c r="AF320" s="34"/>
    </row>
    <row x14ac:dyDescent="0.25" r="321" customHeight="1" ht="15.75">
      <c r="A321" s="502"/>
      <c r="B321" s="34"/>
      <c r="C321" s="34"/>
      <c r="D321" s="34"/>
      <c r="E321" s="34"/>
      <c r="F321" s="34"/>
      <c r="G321" s="34"/>
      <c r="H321" s="34"/>
      <c r="I321" s="29"/>
      <c r="J321" s="29"/>
      <c r="K321" s="29"/>
      <c r="L321" s="29"/>
      <c r="M321" s="34"/>
      <c r="N321" s="34"/>
      <c r="O321" s="29"/>
      <c r="P321" s="29"/>
      <c r="Q321" s="29"/>
      <c r="R321" s="34"/>
      <c r="S321" s="29"/>
      <c r="T321" s="29"/>
      <c r="U321" s="2"/>
      <c r="V321" s="34"/>
      <c r="W321" s="34"/>
      <c r="X321" s="34"/>
      <c r="Y321" s="29"/>
      <c r="Z321" s="34"/>
      <c r="AA321" s="34"/>
      <c r="AB321" s="29"/>
      <c r="AC321" s="34"/>
      <c r="AD321" s="29"/>
      <c r="AE321" s="34"/>
      <c r="AF321" s="34"/>
    </row>
    <row x14ac:dyDescent="0.25" r="322" customHeight="1" ht="15.75">
      <c r="A322" s="502"/>
      <c r="B322" s="34"/>
      <c r="C322" s="34"/>
      <c r="D322" s="34"/>
      <c r="E322" s="34"/>
      <c r="F322" s="34"/>
      <c r="G322" s="34"/>
      <c r="H322" s="34"/>
      <c r="I322" s="29"/>
      <c r="J322" s="29"/>
      <c r="K322" s="29"/>
      <c r="L322" s="29"/>
      <c r="M322" s="34"/>
      <c r="N322" s="34"/>
      <c r="O322" s="29"/>
      <c r="P322" s="29"/>
      <c r="Q322" s="29"/>
      <c r="R322" s="34"/>
      <c r="S322" s="29"/>
      <c r="T322" s="29"/>
      <c r="U322" s="2"/>
      <c r="V322" s="34"/>
      <c r="W322" s="34"/>
      <c r="X322" s="34"/>
      <c r="Y322" s="29"/>
      <c r="Z322" s="34"/>
      <c r="AA322" s="34"/>
      <c r="AB322" s="29"/>
      <c r="AC322" s="34"/>
      <c r="AD322" s="29"/>
      <c r="AE322" s="34"/>
      <c r="AF322" s="34"/>
    </row>
    <row x14ac:dyDescent="0.25" r="323" customHeight="1" ht="15.75">
      <c r="A323" s="502"/>
      <c r="B323" s="34"/>
      <c r="C323" s="34"/>
      <c r="D323" s="34"/>
      <c r="E323" s="34"/>
      <c r="F323" s="34"/>
      <c r="G323" s="34"/>
      <c r="H323" s="34"/>
      <c r="I323" s="29"/>
      <c r="J323" s="29"/>
      <c r="K323" s="29"/>
      <c r="L323" s="29"/>
      <c r="M323" s="34"/>
      <c r="N323" s="34"/>
      <c r="O323" s="29"/>
      <c r="P323" s="29"/>
      <c r="Q323" s="29"/>
      <c r="R323" s="34"/>
      <c r="S323" s="29"/>
      <c r="T323" s="29"/>
      <c r="U323" s="2"/>
      <c r="V323" s="34"/>
      <c r="W323" s="34"/>
      <c r="X323" s="34"/>
      <c r="Y323" s="29"/>
      <c r="Z323" s="34"/>
      <c r="AA323" s="34"/>
      <c r="AB323" s="29"/>
      <c r="AC323" s="34"/>
      <c r="AD323" s="29"/>
      <c r="AE323" s="34"/>
      <c r="AF323" s="34"/>
    </row>
    <row x14ac:dyDescent="0.25" r="324" customHeight="1" ht="15.75">
      <c r="A324" s="502"/>
      <c r="B324" s="34"/>
      <c r="C324" s="34"/>
      <c r="D324" s="34"/>
      <c r="E324" s="34"/>
      <c r="F324" s="34"/>
      <c r="G324" s="34"/>
      <c r="H324" s="34"/>
      <c r="I324" s="29"/>
      <c r="J324" s="29"/>
      <c r="K324" s="29"/>
      <c r="L324" s="29"/>
      <c r="M324" s="34"/>
      <c r="N324" s="34"/>
      <c r="O324" s="29"/>
      <c r="P324" s="29"/>
      <c r="Q324" s="29"/>
      <c r="R324" s="34"/>
      <c r="S324" s="29"/>
      <c r="T324" s="29"/>
      <c r="U324" s="2"/>
      <c r="V324" s="34"/>
      <c r="W324" s="34"/>
      <c r="X324" s="34"/>
      <c r="Y324" s="29"/>
      <c r="Z324" s="34"/>
      <c r="AA324" s="34"/>
      <c r="AB324" s="29"/>
      <c r="AC324" s="34"/>
      <c r="AD324" s="29"/>
      <c r="AE324" s="34"/>
      <c r="AF324" s="34"/>
    </row>
    <row x14ac:dyDescent="0.25" r="325" customHeight="1" ht="15.75">
      <c r="A325" s="502"/>
      <c r="B325" s="34"/>
      <c r="C325" s="34"/>
      <c r="D325" s="34"/>
      <c r="E325" s="34"/>
      <c r="F325" s="34"/>
      <c r="G325" s="34"/>
      <c r="H325" s="34"/>
      <c r="I325" s="29"/>
      <c r="J325" s="29"/>
      <c r="K325" s="29"/>
      <c r="L325" s="29"/>
      <c r="M325" s="34"/>
      <c r="N325" s="34"/>
      <c r="O325" s="29"/>
      <c r="P325" s="29"/>
      <c r="Q325" s="29"/>
      <c r="R325" s="34"/>
      <c r="S325" s="29"/>
      <c r="T325" s="29"/>
      <c r="U325" s="2"/>
      <c r="V325" s="34"/>
      <c r="W325" s="34"/>
      <c r="X325" s="34"/>
      <c r="Y325" s="29"/>
      <c r="Z325" s="34"/>
      <c r="AA325" s="34"/>
      <c r="AB325" s="29"/>
      <c r="AC325" s="34"/>
      <c r="AD325" s="29"/>
      <c r="AE325" s="34"/>
      <c r="AF325" s="34"/>
    </row>
    <row x14ac:dyDescent="0.25" r="326" customHeight="1" ht="15.75">
      <c r="A326" s="502"/>
      <c r="B326" s="34"/>
      <c r="C326" s="34"/>
      <c r="D326" s="34"/>
      <c r="E326" s="34"/>
      <c r="F326" s="34"/>
      <c r="G326" s="34"/>
      <c r="H326" s="34"/>
      <c r="I326" s="29"/>
      <c r="J326" s="29"/>
      <c r="K326" s="29"/>
      <c r="L326" s="29"/>
      <c r="M326" s="34"/>
      <c r="N326" s="34"/>
      <c r="O326" s="29"/>
      <c r="P326" s="29"/>
      <c r="Q326" s="29"/>
      <c r="R326" s="34"/>
      <c r="S326" s="29"/>
      <c r="T326" s="29"/>
      <c r="U326" s="2"/>
      <c r="V326" s="34"/>
      <c r="W326" s="34"/>
      <c r="X326" s="34"/>
      <c r="Y326" s="29"/>
      <c r="Z326" s="34"/>
      <c r="AA326" s="34"/>
      <c r="AB326" s="29"/>
      <c r="AC326" s="34"/>
      <c r="AD326" s="29"/>
      <c r="AE326" s="34"/>
      <c r="AF326" s="34"/>
    </row>
    <row x14ac:dyDescent="0.25" r="327" customHeight="1" ht="15.75">
      <c r="A327" s="502"/>
      <c r="B327" s="34"/>
      <c r="C327" s="34"/>
      <c r="D327" s="34"/>
      <c r="E327" s="34"/>
      <c r="F327" s="34"/>
      <c r="G327" s="34"/>
      <c r="H327" s="34"/>
      <c r="I327" s="29"/>
      <c r="J327" s="29"/>
      <c r="K327" s="29"/>
      <c r="L327" s="29"/>
      <c r="M327" s="34"/>
      <c r="N327" s="34"/>
      <c r="O327" s="29"/>
      <c r="P327" s="29"/>
      <c r="Q327" s="29"/>
      <c r="R327" s="34"/>
      <c r="S327" s="29"/>
      <c r="T327" s="29"/>
      <c r="U327" s="2"/>
      <c r="V327" s="34"/>
      <c r="W327" s="34"/>
      <c r="X327" s="34"/>
      <c r="Y327" s="29"/>
      <c r="Z327" s="34"/>
      <c r="AA327" s="34"/>
      <c r="AB327" s="29"/>
      <c r="AC327" s="34"/>
      <c r="AD327" s="29"/>
      <c r="AE327" s="34"/>
      <c r="AF327" s="34"/>
    </row>
    <row x14ac:dyDescent="0.25" r="328" customHeight="1" ht="15.75">
      <c r="A328" s="502"/>
      <c r="B328" s="34"/>
      <c r="C328" s="34"/>
      <c r="D328" s="34"/>
      <c r="E328" s="34"/>
      <c r="F328" s="34"/>
      <c r="G328" s="34"/>
      <c r="H328" s="34"/>
      <c r="I328" s="29"/>
      <c r="J328" s="29"/>
      <c r="K328" s="29"/>
      <c r="L328" s="29"/>
      <c r="M328" s="34"/>
      <c r="N328" s="34"/>
      <c r="O328" s="29"/>
      <c r="P328" s="29"/>
      <c r="Q328" s="29"/>
      <c r="R328" s="34"/>
      <c r="S328" s="29"/>
      <c r="T328" s="29"/>
      <c r="U328" s="2"/>
      <c r="V328" s="34"/>
      <c r="W328" s="34"/>
      <c r="X328" s="34"/>
      <c r="Y328" s="29"/>
      <c r="Z328" s="34"/>
      <c r="AA328" s="34"/>
      <c r="AB328" s="29"/>
      <c r="AC328" s="34"/>
      <c r="AD328" s="29"/>
      <c r="AE328" s="34"/>
      <c r="AF328" s="34"/>
    </row>
    <row x14ac:dyDescent="0.25" r="329" customHeight="1" ht="15.75">
      <c r="A329" s="502"/>
      <c r="B329" s="34"/>
      <c r="C329" s="34"/>
      <c r="D329" s="34"/>
      <c r="E329" s="34"/>
      <c r="F329" s="34"/>
      <c r="G329" s="34"/>
      <c r="H329" s="34"/>
      <c r="I329" s="29"/>
      <c r="J329" s="29"/>
      <c r="K329" s="29"/>
      <c r="L329" s="29"/>
      <c r="M329" s="34"/>
      <c r="N329" s="34"/>
      <c r="O329" s="29"/>
      <c r="P329" s="29"/>
      <c r="Q329" s="29"/>
      <c r="R329" s="34"/>
      <c r="S329" s="29"/>
      <c r="T329" s="29"/>
      <c r="U329" s="2"/>
      <c r="V329" s="34"/>
      <c r="W329" s="34"/>
      <c r="X329" s="34"/>
      <c r="Y329" s="29"/>
      <c r="Z329" s="34"/>
      <c r="AA329" s="34"/>
      <c r="AB329" s="29"/>
      <c r="AC329" s="34"/>
      <c r="AD329" s="29"/>
      <c r="AE329" s="34"/>
      <c r="AF329" s="34"/>
    </row>
    <row x14ac:dyDescent="0.25" r="330" customHeight="1" ht="15.75">
      <c r="A330" s="502"/>
      <c r="B330" s="34"/>
      <c r="C330" s="34"/>
      <c r="D330" s="34"/>
      <c r="E330" s="34"/>
      <c r="F330" s="34"/>
      <c r="G330" s="34"/>
      <c r="H330" s="34"/>
      <c r="I330" s="29"/>
      <c r="J330" s="29"/>
      <c r="K330" s="29"/>
      <c r="L330" s="29"/>
      <c r="M330" s="34"/>
      <c r="N330" s="34"/>
      <c r="O330" s="29"/>
      <c r="P330" s="29"/>
      <c r="Q330" s="29"/>
      <c r="R330" s="34"/>
      <c r="S330" s="29"/>
      <c r="T330" s="29"/>
      <c r="U330" s="2"/>
      <c r="V330" s="34"/>
      <c r="W330" s="34"/>
      <c r="X330" s="34"/>
      <c r="Y330" s="29"/>
      <c r="Z330" s="34"/>
      <c r="AA330" s="34"/>
      <c r="AB330" s="29"/>
      <c r="AC330" s="34"/>
      <c r="AD330" s="29"/>
      <c r="AE330" s="34"/>
      <c r="AF330" s="34"/>
    </row>
    <row x14ac:dyDescent="0.25" r="331" customHeight="1" ht="15.75">
      <c r="A331" s="502"/>
      <c r="B331" s="34"/>
      <c r="C331" s="34"/>
      <c r="D331" s="34"/>
      <c r="E331" s="34"/>
      <c r="F331" s="34"/>
      <c r="G331" s="34"/>
      <c r="H331" s="34"/>
      <c r="I331" s="29"/>
      <c r="J331" s="29"/>
      <c r="K331" s="29"/>
      <c r="L331" s="29"/>
      <c r="M331" s="34"/>
      <c r="N331" s="34"/>
      <c r="O331" s="29"/>
      <c r="P331" s="29"/>
      <c r="Q331" s="29"/>
      <c r="R331" s="34"/>
      <c r="S331" s="29"/>
      <c r="T331" s="29"/>
      <c r="U331" s="2"/>
      <c r="V331" s="34"/>
      <c r="W331" s="34"/>
      <c r="X331" s="34"/>
      <c r="Y331" s="29"/>
      <c r="Z331" s="34"/>
      <c r="AA331" s="34"/>
      <c r="AB331" s="29"/>
      <c r="AC331" s="34"/>
      <c r="AD331" s="29"/>
      <c r="AE331" s="34"/>
      <c r="AF331" s="34"/>
    </row>
    <row x14ac:dyDescent="0.25" r="332" customHeight="1" ht="15.75">
      <c r="A332" s="502"/>
      <c r="B332" s="34"/>
      <c r="C332" s="34"/>
      <c r="D332" s="34"/>
      <c r="E332" s="34"/>
      <c r="F332" s="34"/>
      <c r="G332" s="34"/>
      <c r="H332" s="34"/>
      <c r="I332" s="29"/>
      <c r="J332" s="29"/>
      <c r="K332" s="29"/>
      <c r="L332" s="29"/>
      <c r="M332" s="34"/>
      <c r="N332" s="34"/>
      <c r="O332" s="29"/>
      <c r="P332" s="29"/>
      <c r="Q332" s="29"/>
      <c r="R332" s="34"/>
      <c r="S332" s="29"/>
      <c r="T332" s="29"/>
      <c r="U332" s="2"/>
      <c r="V332" s="34"/>
      <c r="W332" s="34"/>
      <c r="X332" s="34"/>
      <c r="Y332" s="29"/>
      <c r="Z332" s="34"/>
      <c r="AA332" s="34"/>
      <c r="AB332" s="29"/>
      <c r="AC332" s="34"/>
      <c r="AD332" s="29"/>
      <c r="AE332" s="34"/>
      <c r="AF332" s="34"/>
    </row>
    <row x14ac:dyDescent="0.25" r="333" customHeight="1" ht="15.75">
      <c r="A333" s="502"/>
      <c r="B333" s="34"/>
      <c r="C333" s="34"/>
      <c r="D333" s="34"/>
      <c r="E333" s="34"/>
      <c r="F333" s="34"/>
      <c r="G333" s="34"/>
      <c r="H333" s="34"/>
      <c r="I333" s="29"/>
      <c r="J333" s="29"/>
      <c r="K333" s="29"/>
      <c r="L333" s="29"/>
      <c r="M333" s="34"/>
      <c r="N333" s="34"/>
      <c r="O333" s="29"/>
      <c r="P333" s="29"/>
      <c r="Q333" s="29"/>
      <c r="R333" s="34"/>
      <c r="S333" s="29"/>
      <c r="T333" s="29"/>
      <c r="U333" s="2"/>
      <c r="V333" s="34"/>
      <c r="W333" s="34"/>
      <c r="X333" s="34"/>
      <c r="Y333" s="29"/>
      <c r="Z333" s="34"/>
      <c r="AA333" s="34"/>
      <c r="AB333" s="29"/>
      <c r="AC333" s="34"/>
      <c r="AD333" s="29"/>
      <c r="AE333" s="34"/>
      <c r="AF333" s="34"/>
    </row>
    <row x14ac:dyDescent="0.25" r="334" customHeight="1" ht="15.75">
      <c r="A334" s="502"/>
      <c r="B334" s="34"/>
      <c r="C334" s="34"/>
      <c r="D334" s="34"/>
      <c r="E334" s="34"/>
      <c r="F334" s="34"/>
      <c r="G334" s="34"/>
      <c r="H334" s="34"/>
      <c r="I334" s="29"/>
      <c r="J334" s="29"/>
      <c r="K334" s="29"/>
      <c r="L334" s="29"/>
      <c r="M334" s="34"/>
      <c r="N334" s="34"/>
      <c r="O334" s="29"/>
      <c r="P334" s="29"/>
      <c r="Q334" s="29"/>
      <c r="R334" s="34"/>
      <c r="S334" s="29"/>
      <c r="T334" s="29"/>
      <c r="U334" s="2"/>
      <c r="V334" s="34"/>
      <c r="W334" s="34"/>
      <c r="X334" s="34"/>
      <c r="Y334" s="29"/>
      <c r="Z334" s="34"/>
      <c r="AA334" s="34"/>
      <c r="AB334" s="29"/>
      <c r="AC334" s="34"/>
      <c r="AD334" s="29"/>
      <c r="AE334" s="34"/>
      <c r="AF334" s="34"/>
    </row>
    <row x14ac:dyDescent="0.25" r="335" customHeight="1" ht="15.75">
      <c r="A335" s="502"/>
      <c r="B335" s="34"/>
      <c r="C335" s="34"/>
      <c r="D335" s="34"/>
      <c r="E335" s="34"/>
      <c r="F335" s="34"/>
      <c r="G335" s="34"/>
      <c r="H335" s="34"/>
      <c r="I335" s="29"/>
      <c r="J335" s="29"/>
      <c r="K335" s="29"/>
      <c r="L335" s="29"/>
      <c r="M335" s="34"/>
      <c r="N335" s="34"/>
      <c r="O335" s="29"/>
      <c r="P335" s="29"/>
      <c r="Q335" s="29"/>
      <c r="R335" s="34"/>
      <c r="S335" s="29"/>
      <c r="T335" s="29"/>
      <c r="U335" s="2"/>
      <c r="V335" s="34"/>
      <c r="W335" s="34"/>
      <c r="X335" s="34"/>
      <c r="Y335" s="29"/>
      <c r="Z335" s="34"/>
      <c r="AA335" s="34"/>
      <c r="AB335" s="29"/>
      <c r="AC335" s="34"/>
      <c r="AD335" s="29"/>
      <c r="AE335" s="34"/>
      <c r="AF335" s="34"/>
    </row>
    <row x14ac:dyDescent="0.25" r="336" customHeight="1" ht="15.75">
      <c r="A336" s="502"/>
      <c r="B336" s="34"/>
      <c r="C336" s="34"/>
      <c r="D336" s="34"/>
      <c r="E336" s="34"/>
      <c r="F336" s="34"/>
      <c r="G336" s="34"/>
      <c r="H336" s="34"/>
      <c r="I336" s="29"/>
      <c r="J336" s="29"/>
      <c r="K336" s="29"/>
      <c r="L336" s="29"/>
      <c r="M336" s="34"/>
      <c r="N336" s="34"/>
      <c r="O336" s="29"/>
      <c r="P336" s="29"/>
      <c r="Q336" s="29"/>
      <c r="R336" s="34"/>
      <c r="S336" s="29"/>
      <c r="T336" s="29"/>
      <c r="U336" s="2"/>
      <c r="V336" s="34"/>
      <c r="W336" s="34"/>
      <c r="X336" s="34"/>
      <c r="Y336" s="29"/>
      <c r="Z336" s="34"/>
      <c r="AA336" s="34"/>
      <c r="AB336" s="29"/>
      <c r="AC336" s="34"/>
      <c r="AD336" s="29"/>
      <c r="AE336" s="34"/>
      <c r="AF336" s="34"/>
    </row>
    <row x14ac:dyDescent="0.25" r="337" customHeight="1" ht="15.75">
      <c r="A337" s="502"/>
      <c r="B337" s="34"/>
      <c r="C337" s="34"/>
      <c r="D337" s="34"/>
      <c r="E337" s="34"/>
      <c r="F337" s="34"/>
      <c r="G337" s="34"/>
      <c r="H337" s="34"/>
      <c r="I337" s="29"/>
      <c r="J337" s="29"/>
      <c r="K337" s="29"/>
      <c r="L337" s="29"/>
      <c r="M337" s="34"/>
      <c r="N337" s="34"/>
      <c r="O337" s="29"/>
      <c r="P337" s="29"/>
      <c r="Q337" s="29"/>
      <c r="R337" s="34"/>
      <c r="S337" s="29"/>
      <c r="T337" s="29"/>
      <c r="U337" s="2"/>
      <c r="V337" s="34"/>
      <c r="W337" s="34"/>
      <c r="X337" s="34"/>
      <c r="Y337" s="29"/>
      <c r="Z337" s="34"/>
      <c r="AA337" s="34"/>
      <c r="AB337" s="29"/>
      <c r="AC337" s="34"/>
      <c r="AD337" s="29"/>
      <c r="AE337" s="34"/>
      <c r="AF337" s="34"/>
    </row>
    <row x14ac:dyDescent="0.25" r="338" customHeight="1" ht="15.75">
      <c r="A338" s="502"/>
      <c r="B338" s="34"/>
      <c r="C338" s="34"/>
      <c r="D338" s="34"/>
      <c r="E338" s="34"/>
      <c r="F338" s="34"/>
      <c r="G338" s="34"/>
      <c r="H338" s="34"/>
      <c r="I338" s="29"/>
      <c r="J338" s="29"/>
      <c r="K338" s="29"/>
      <c r="L338" s="29"/>
      <c r="M338" s="34"/>
      <c r="N338" s="34"/>
      <c r="O338" s="29"/>
      <c r="P338" s="29"/>
      <c r="Q338" s="29"/>
      <c r="R338" s="34"/>
      <c r="S338" s="29"/>
      <c r="T338" s="29"/>
      <c r="U338" s="2"/>
      <c r="V338" s="34"/>
      <c r="W338" s="34"/>
      <c r="X338" s="34"/>
      <c r="Y338" s="29"/>
      <c r="Z338" s="34"/>
      <c r="AA338" s="34"/>
      <c r="AB338" s="29"/>
      <c r="AC338" s="34"/>
      <c r="AD338" s="29"/>
      <c r="AE338" s="34"/>
      <c r="AF338" s="34"/>
    </row>
    <row x14ac:dyDescent="0.25" r="339" customHeight="1" ht="15.75">
      <c r="A339" s="502"/>
      <c r="B339" s="34"/>
      <c r="C339" s="34"/>
      <c r="D339" s="34"/>
      <c r="E339" s="34"/>
      <c r="F339" s="34"/>
      <c r="G339" s="34"/>
      <c r="H339" s="34"/>
      <c r="I339" s="29"/>
      <c r="J339" s="29"/>
      <c r="K339" s="29"/>
      <c r="L339" s="29"/>
      <c r="M339" s="34"/>
      <c r="N339" s="34"/>
      <c r="O339" s="29"/>
      <c r="P339" s="29"/>
      <c r="Q339" s="29"/>
      <c r="R339" s="34"/>
      <c r="S339" s="29"/>
      <c r="T339" s="29"/>
      <c r="U339" s="2"/>
      <c r="V339" s="34"/>
      <c r="W339" s="34"/>
      <c r="X339" s="34"/>
      <c r="Y339" s="29"/>
      <c r="Z339" s="34"/>
      <c r="AA339" s="34"/>
      <c r="AB339" s="29"/>
      <c r="AC339" s="34"/>
      <c r="AD339" s="29"/>
      <c r="AE339" s="34"/>
      <c r="AF339" s="34"/>
    </row>
    <row x14ac:dyDescent="0.25" r="340" customHeight="1" ht="15.75">
      <c r="A340" s="502"/>
      <c r="B340" s="34"/>
      <c r="C340" s="34"/>
      <c r="D340" s="34"/>
      <c r="E340" s="34"/>
      <c r="F340" s="34"/>
      <c r="G340" s="34"/>
      <c r="H340" s="34"/>
      <c r="I340" s="29"/>
      <c r="J340" s="29"/>
      <c r="K340" s="29"/>
      <c r="L340" s="29"/>
      <c r="M340" s="34"/>
      <c r="N340" s="34"/>
      <c r="O340" s="29"/>
      <c r="P340" s="29"/>
      <c r="Q340" s="29"/>
      <c r="R340" s="34"/>
      <c r="S340" s="29"/>
      <c r="T340" s="29"/>
      <c r="U340" s="2"/>
      <c r="V340" s="34"/>
      <c r="W340" s="34"/>
      <c r="X340" s="34"/>
      <c r="Y340" s="29"/>
      <c r="Z340" s="34"/>
      <c r="AA340" s="34"/>
      <c r="AB340" s="29"/>
      <c r="AC340" s="34"/>
      <c r="AD340" s="29"/>
      <c r="AE340" s="34"/>
      <c r="AF340" s="34"/>
    </row>
    <row x14ac:dyDescent="0.25" r="341" customHeight="1" ht="15.75">
      <c r="A341" s="502"/>
      <c r="B341" s="34"/>
      <c r="C341" s="34"/>
      <c r="D341" s="34"/>
      <c r="E341" s="34"/>
      <c r="F341" s="34"/>
      <c r="G341" s="34"/>
      <c r="H341" s="34"/>
      <c r="I341" s="29"/>
      <c r="J341" s="29"/>
      <c r="K341" s="29"/>
      <c r="L341" s="29"/>
      <c r="M341" s="34"/>
      <c r="N341" s="34"/>
      <c r="O341" s="29"/>
      <c r="P341" s="29"/>
      <c r="Q341" s="29"/>
      <c r="R341" s="34"/>
      <c r="S341" s="29"/>
      <c r="T341" s="29"/>
      <c r="U341" s="2"/>
      <c r="V341" s="34"/>
      <c r="W341" s="34"/>
      <c r="X341" s="34"/>
      <c r="Y341" s="29"/>
      <c r="Z341" s="34"/>
      <c r="AA341" s="34"/>
      <c r="AB341" s="29"/>
      <c r="AC341" s="34"/>
      <c r="AD341" s="29"/>
      <c r="AE341" s="34"/>
      <c r="AF341" s="34"/>
    </row>
    <row x14ac:dyDescent="0.25" r="342" customHeight="1" ht="15.75">
      <c r="A342" s="502"/>
      <c r="B342" s="34"/>
      <c r="C342" s="34"/>
      <c r="D342" s="34"/>
      <c r="E342" s="34"/>
      <c r="F342" s="34"/>
      <c r="G342" s="34"/>
      <c r="H342" s="34"/>
      <c r="I342" s="29"/>
      <c r="J342" s="29"/>
      <c r="K342" s="29"/>
      <c r="L342" s="29"/>
      <c r="M342" s="34"/>
      <c r="N342" s="34"/>
      <c r="O342" s="29"/>
      <c r="P342" s="29"/>
      <c r="Q342" s="29"/>
      <c r="R342" s="34"/>
      <c r="S342" s="29"/>
      <c r="T342" s="29"/>
      <c r="U342" s="2"/>
      <c r="V342" s="34"/>
      <c r="W342" s="34"/>
      <c r="X342" s="34"/>
      <c r="Y342" s="29"/>
      <c r="Z342" s="34"/>
      <c r="AA342" s="34"/>
      <c r="AB342" s="29"/>
      <c r="AC342" s="34"/>
      <c r="AD342" s="29"/>
      <c r="AE342" s="34"/>
      <c r="AF342" s="34"/>
    </row>
    <row x14ac:dyDescent="0.25" r="343" customHeight="1" ht="15.75">
      <c r="A343" s="502"/>
      <c r="B343" s="34"/>
      <c r="C343" s="34"/>
      <c r="D343" s="34"/>
      <c r="E343" s="34"/>
      <c r="F343" s="34"/>
      <c r="G343" s="34"/>
      <c r="H343" s="34"/>
      <c r="I343" s="29"/>
      <c r="J343" s="29"/>
      <c r="K343" s="29"/>
      <c r="L343" s="29"/>
      <c r="M343" s="34"/>
      <c r="N343" s="34"/>
      <c r="O343" s="29"/>
      <c r="P343" s="29"/>
      <c r="Q343" s="29"/>
      <c r="R343" s="34"/>
      <c r="S343" s="29"/>
      <c r="T343" s="29"/>
      <c r="U343" s="2"/>
      <c r="V343" s="34"/>
      <c r="W343" s="34"/>
      <c r="X343" s="34"/>
      <c r="Y343" s="29"/>
      <c r="Z343" s="34"/>
      <c r="AA343" s="34"/>
      <c r="AB343" s="29"/>
      <c r="AC343" s="34"/>
      <c r="AD343" s="29"/>
      <c r="AE343" s="34"/>
      <c r="AF343" s="34"/>
    </row>
    <row x14ac:dyDescent="0.25" r="344" customHeight="1" ht="15.75">
      <c r="A344" s="502"/>
      <c r="B344" s="34"/>
      <c r="C344" s="34"/>
      <c r="D344" s="34"/>
      <c r="E344" s="34"/>
      <c r="F344" s="34"/>
      <c r="G344" s="34"/>
      <c r="H344" s="34"/>
      <c r="I344" s="29"/>
      <c r="J344" s="29"/>
      <c r="K344" s="29"/>
      <c r="L344" s="29"/>
      <c r="M344" s="34"/>
      <c r="N344" s="34"/>
      <c r="O344" s="29"/>
      <c r="P344" s="29"/>
      <c r="Q344" s="29"/>
      <c r="R344" s="34"/>
      <c r="S344" s="29"/>
      <c r="T344" s="29"/>
      <c r="U344" s="2"/>
      <c r="V344" s="34"/>
      <c r="W344" s="34"/>
      <c r="X344" s="34"/>
      <c r="Y344" s="29"/>
      <c r="Z344" s="34"/>
      <c r="AA344" s="34"/>
      <c r="AB344" s="29"/>
      <c r="AC344" s="34"/>
      <c r="AD344" s="29"/>
      <c r="AE344" s="34"/>
      <c r="AF344" s="34"/>
    </row>
    <row x14ac:dyDescent="0.25" r="345" customHeight="1" ht="15.75">
      <c r="A345" s="502"/>
      <c r="B345" s="34"/>
      <c r="C345" s="34"/>
      <c r="D345" s="34"/>
      <c r="E345" s="34"/>
      <c r="F345" s="34"/>
      <c r="G345" s="34"/>
      <c r="H345" s="34"/>
      <c r="I345" s="29"/>
      <c r="J345" s="29"/>
      <c r="K345" s="29"/>
      <c r="L345" s="29"/>
      <c r="M345" s="34"/>
      <c r="N345" s="34"/>
      <c r="O345" s="29"/>
      <c r="P345" s="29"/>
      <c r="Q345" s="29"/>
      <c r="R345" s="34"/>
      <c r="S345" s="29"/>
      <c r="T345" s="29"/>
      <c r="U345" s="2"/>
      <c r="V345" s="34"/>
      <c r="W345" s="34"/>
      <c r="X345" s="34"/>
      <c r="Y345" s="29"/>
      <c r="Z345" s="34"/>
      <c r="AA345" s="34"/>
      <c r="AB345" s="29"/>
      <c r="AC345" s="34"/>
      <c r="AD345" s="29"/>
      <c r="AE345" s="34"/>
      <c r="AF345" s="34"/>
    </row>
    <row x14ac:dyDescent="0.25" r="346" customHeight="1" ht="15.75">
      <c r="A346" s="502"/>
      <c r="B346" s="34"/>
      <c r="C346" s="34"/>
      <c r="D346" s="34"/>
      <c r="E346" s="34"/>
      <c r="F346" s="34"/>
      <c r="G346" s="34"/>
      <c r="H346" s="34"/>
      <c r="I346" s="29"/>
      <c r="J346" s="29"/>
      <c r="K346" s="29"/>
      <c r="L346" s="29"/>
      <c r="M346" s="34"/>
      <c r="N346" s="34"/>
      <c r="O346" s="29"/>
      <c r="P346" s="29"/>
      <c r="Q346" s="29"/>
      <c r="R346" s="34"/>
      <c r="S346" s="29"/>
      <c r="T346" s="29"/>
      <c r="U346" s="2"/>
      <c r="V346" s="34"/>
      <c r="W346" s="34"/>
      <c r="X346" s="34"/>
      <c r="Y346" s="29"/>
      <c r="Z346" s="34"/>
      <c r="AA346" s="34"/>
      <c r="AB346" s="29"/>
      <c r="AC346" s="34"/>
      <c r="AD346" s="29"/>
      <c r="AE346" s="34"/>
      <c r="AF346" s="34"/>
    </row>
    <row x14ac:dyDescent="0.25" r="347" customHeight="1" ht="15.75">
      <c r="A347" s="502"/>
      <c r="B347" s="34"/>
      <c r="C347" s="34"/>
      <c r="D347" s="34"/>
      <c r="E347" s="34"/>
      <c r="F347" s="34"/>
      <c r="G347" s="34"/>
      <c r="H347" s="34"/>
      <c r="I347" s="29"/>
      <c r="J347" s="29"/>
      <c r="K347" s="29"/>
      <c r="L347" s="29"/>
      <c r="M347" s="34"/>
      <c r="N347" s="34"/>
      <c r="O347" s="29"/>
      <c r="P347" s="29"/>
      <c r="Q347" s="29"/>
      <c r="R347" s="34"/>
      <c r="S347" s="29"/>
      <c r="T347" s="29"/>
      <c r="U347" s="2"/>
      <c r="V347" s="34"/>
      <c r="W347" s="34"/>
      <c r="X347" s="34"/>
      <c r="Y347" s="29"/>
      <c r="Z347" s="34"/>
      <c r="AA347" s="34"/>
      <c r="AB347" s="29"/>
      <c r="AC347" s="34"/>
      <c r="AD347" s="29"/>
      <c r="AE347" s="34"/>
      <c r="AF347" s="34"/>
    </row>
    <row x14ac:dyDescent="0.25" r="348" customHeight="1" ht="15.75">
      <c r="A348" s="502"/>
      <c r="B348" s="34"/>
      <c r="C348" s="34"/>
      <c r="D348" s="34"/>
      <c r="E348" s="34"/>
      <c r="F348" s="34"/>
      <c r="G348" s="34"/>
      <c r="H348" s="34"/>
      <c r="I348" s="29"/>
      <c r="J348" s="29"/>
      <c r="K348" s="29"/>
      <c r="L348" s="29"/>
      <c r="M348" s="34"/>
      <c r="N348" s="34"/>
      <c r="O348" s="29"/>
      <c r="P348" s="29"/>
      <c r="Q348" s="29"/>
      <c r="R348" s="34"/>
      <c r="S348" s="29"/>
      <c r="T348" s="29"/>
      <c r="U348" s="2"/>
      <c r="V348" s="34"/>
      <c r="W348" s="34"/>
      <c r="X348" s="34"/>
      <c r="Y348" s="29"/>
      <c r="Z348" s="34"/>
      <c r="AA348" s="34"/>
      <c r="AB348" s="29"/>
      <c r="AC348" s="34"/>
      <c r="AD348" s="29"/>
      <c r="AE348" s="34"/>
      <c r="AF348" s="34"/>
    </row>
    <row x14ac:dyDescent="0.25" r="349" customHeight="1" ht="15.75">
      <c r="A349" s="502"/>
      <c r="B349" s="34"/>
      <c r="C349" s="34"/>
      <c r="D349" s="34"/>
      <c r="E349" s="34"/>
      <c r="F349" s="34"/>
      <c r="G349" s="34"/>
      <c r="H349" s="34"/>
      <c r="I349" s="29"/>
      <c r="J349" s="29"/>
      <c r="K349" s="29"/>
      <c r="L349" s="29"/>
      <c r="M349" s="34"/>
      <c r="N349" s="34"/>
      <c r="O349" s="29"/>
      <c r="P349" s="29"/>
      <c r="Q349" s="29"/>
      <c r="R349" s="34"/>
      <c r="S349" s="29"/>
      <c r="T349" s="29"/>
      <c r="U349" s="2"/>
      <c r="V349" s="34"/>
      <c r="W349" s="34"/>
      <c r="X349" s="34"/>
      <c r="Y349" s="29"/>
      <c r="Z349" s="34"/>
      <c r="AA349" s="34"/>
      <c r="AB349" s="29"/>
      <c r="AC349" s="34"/>
      <c r="AD349" s="29"/>
      <c r="AE349" s="34"/>
      <c r="AF349" s="34"/>
    </row>
    <row x14ac:dyDescent="0.25" r="350" customHeight="1" ht="15.75">
      <c r="A350" s="502"/>
      <c r="B350" s="34"/>
      <c r="C350" s="34"/>
      <c r="D350" s="34"/>
      <c r="E350" s="34"/>
      <c r="F350" s="34"/>
      <c r="G350" s="34"/>
      <c r="H350" s="34"/>
      <c r="I350" s="29"/>
      <c r="J350" s="29"/>
      <c r="K350" s="29"/>
      <c r="L350" s="29"/>
      <c r="M350" s="34"/>
      <c r="N350" s="34"/>
      <c r="O350" s="29"/>
      <c r="P350" s="29"/>
      <c r="Q350" s="29"/>
      <c r="R350" s="34"/>
      <c r="S350" s="29"/>
      <c r="T350" s="29"/>
      <c r="U350" s="2"/>
      <c r="V350" s="34"/>
      <c r="W350" s="34"/>
      <c r="X350" s="34"/>
      <c r="Y350" s="29"/>
      <c r="Z350" s="34"/>
      <c r="AA350" s="34"/>
      <c r="AB350" s="29"/>
      <c r="AC350" s="34"/>
      <c r="AD350" s="29"/>
      <c r="AE350" s="34"/>
      <c r="AF350" s="34"/>
    </row>
    <row x14ac:dyDescent="0.25" r="351" customHeight="1" ht="15.75">
      <c r="A351" s="502"/>
      <c r="B351" s="34"/>
      <c r="C351" s="34"/>
      <c r="D351" s="34"/>
      <c r="E351" s="34"/>
      <c r="F351" s="34"/>
      <c r="G351" s="34"/>
      <c r="H351" s="34"/>
      <c r="I351" s="29"/>
      <c r="J351" s="29"/>
      <c r="K351" s="29"/>
      <c r="L351" s="29"/>
      <c r="M351" s="34"/>
      <c r="N351" s="34"/>
      <c r="O351" s="29"/>
      <c r="P351" s="29"/>
      <c r="Q351" s="29"/>
      <c r="R351" s="34"/>
      <c r="S351" s="29"/>
      <c r="T351" s="29"/>
      <c r="U351" s="2"/>
      <c r="V351" s="34"/>
      <c r="W351" s="34"/>
      <c r="X351" s="34"/>
      <c r="Y351" s="29"/>
      <c r="Z351" s="34"/>
      <c r="AA351" s="34"/>
      <c r="AB351" s="29"/>
      <c r="AC351" s="34"/>
      <c r="AD351" s="29"/>
      <c r="AE351" s="34"/>
      <c r="AF351" s="34"/>
    </row>
    <row x14ac:dyDescent="0.25" r="352" customHeight="1" ht="15.75">
      <c r="A352" s="502"/>
      <c r="B352" s="34"/>
      <c r="C352" s="34"/>
      <c r="D352" s="34"/>
      <c r="E352" s="34"/>
      <c r="F352" s="34"/>
      <c r="G352" s="34"/>
      <c r="H352" s="34"/>
      <c r="I352" s="29"/>
      <c r="J352" s="29"/>
      <c r="K352" s="29"/>
      <c r="L352" s="29"/>
      <c r="M352" s="34"/>
      <c r="N352" s="34"/>
      <c r="O352" s="29"/>
      <c r="P352" s="29"/>
      <c r="Q352" s="29"/>
      <c r="R352" s="34"/>
      <c r="S352" s="29"/>
      <c r="T352" s="29"/>
      <c r="U352" s="2"/>
      <c r="V352" s="34"/>
      <c r="W352" s="34"/>
      <c r="X352" s="34"/>
      <c r="Y352" s="29"/>
      <c r="Z352" s="34"/>
      <c r="AA352" s="34"/>
      <c r="AB352" s="29"/>
      <c r="AC352" s="34"/>
      <c r="AD352" s="29"/>
      <c r="AE352" s="34"/>
      <c r="AF352" s="34"/>
    </row>
    <row x14ac:dyDescent="0.25" r="353" customHeight="1" ht="15.75">
      <c r="A353" s="502"/>
      <c r="B353" s="34"/>
      <c r="C353" s="34"/>
      <c r="D353" s="34"/>
      <c r="E353" s="34"/>
      <c r="F353" s="34"/>
      <c r="G353" s="34"/>
      <c r="H353" s="34"/>
      <c r="I353" s="29"/>
      <c r="J353" s="29"/>
      <c r="K353" s="29"/>
      <c r="L353" s="29"/>
      <c r="M353" s="34"/>
      <c r="N353" s="34"/>
      <c r="O353" s="29"/>
      <c r="P353" s="29"/>
      <c r="Q353" s="29"/>
      <c r="R353" s="34"/>
      <c r="S353" s="29"/>
      <c r="T353" s="29"/>
      <c r="U353" s="2"/>
      <c r="V353" s="34"/>
      <c r="W353" s="34"/>
      <c r="X353" s="34"/>
      <c r="Y353" s="29"/>
      <c r="Z353" s="34"/>
      <c r="AA353" s="34"/>
      <c r="AB353" s="29"/>
      <c r="AC353" s="34"/>
      <c r="AD353" s="29"/>
      <c r="AE353" s="34"/>
      <c r="AF353" s="34"/>
    </row>
    <row x14ac:dyDescent="0.25" r="354" customHeight="1" ht="15.75">
      <c r="A354" s="502"/>
      <c r="B354" s="34"/>
      <c r="C354" s="34"/>
      <c r="D354" s="34"/>
      <c r="E354" s="34"/>
      <c r="F354" s="34"/>
      <c r="G354" s="34"/>
      <c r="H354" s="34"/>
      <c r="I354" s="29"/>
      <c r="J354" s="29"/>
      <c r="K354" s="29"/>
      <c r="L354" s="29"/>
      <c r="M354" s="34"/>
      <c r="N354" s="34"/>
      <c r="O354" s="29"/>
      <c r="P354" s="29"/>
      <c r="Q354" s="29"/>
      <c r="R354" s="34"/>
      <c r="S354" s="29"/>
      <c r="T354" s="29"/>
      <c r="U354" s="2"/>
      <c r="V354" s="34"/>
      <c r="W354" s="34"/>
      <c r="X354" s="34"/>
      <c r="Y354" s="29"/>
      <c r="Z354" s="34"/>
      <c r="AA354" s="34"/>
      <c r="AB354" s="29"/>
      <c r="AC354" s="34"/>
      <c r="AD354" s="29"/>
      <c r="AE354" s="34"/>
      <c r="AF354" s="34"/>
    </row>
    <row x14ac:dyDescent="0.25" r="355" customHeight="1" ht="15.75">
      <c r="A355" s="502"/>
      <c r="B355" s="34"/>
      <c r="C355" s="34"/>
      <c r="D355" s="34"/>
      <c r="E355" s="34"/>
      <c r="F355" s="34"/>
      <c r="G355" s="34"/>
      <c r="H355" s="34"/>
      <c r="I355" s="29"/>
      <c r="J355" s="29"/>
      <c r="K355" s="29"/>
      <c r="L355" s="29"/>
      <c r="M355" s="34"/>
      <c r="N355" s="34"/>
      <c r="O355" s="29"/>
      <c r="P355" s="29"/>
      <c r="Q355" s="29"/>
      <c r="R355" s="34"/>
      <c r="S355" s="29"/>
      <c r="T355" s="29"/>
      <c r="U355" s="2"/>
      <c r="V355" s="34"/>
      <c r="W355" s="34"/>
      <c r="X355" s="34"/>
      <c r="Y355" s="29"/>
      <c r="Z355" s="34"/>
      <c r="AA355" s="34"/>
      <c r="AB355" s="29"/>
      <c r="AC355" s="34"/>
      <c r="AD355" s="29"/>
      <c r="AE355" s="34"/>
      <c r="AF355" s="34"/>
    </row>
    <row x14ac:dyDescent="0.25" r="356" customHeight="1" ht="15.75">
      <c r="A356" s="502"/>
      <c r="B356" s="34"/>
      <c r="C356" s="34"/>
      <c r="D356" s="34"/>
      <c r="E356" s="34"/>
      <c r="F356" s="34"/>
      <c r="G356" s="34"/>
      <c r="H356" s="34"/>
      <c r="I356" s="29"/>
      <c r="J356" s="29"/>
      <c r="K356" s="29"/>
      <c r="L356" s="29"/>
      <c r="M356" s="34"/>
      <c r="N356" s="34"/>
      <c r="O356" s="29"/>
      <c r="P356" s="29"/>
      <c r="Q356" s="29"/>
      <c r="R356" s="34"/>
      <c r="S356" s="29"/>
      <c r="T356" s="29"/>
      <c r="U356" s="2"/>
      <c r="V356" s="34"/>
      <c r="W356" s="34"/>
      <c r="X356" s="34"/>
      <c r="Y356" s="29"/>
      <c r="Z356" s="34"/>
      <c r="AA356" s="34"/>
      <c r="AB356" s="29"/>
      <c r="AC356" s="34"/>
      <c r="AD356" s="29"/>
      <c r="AE356" s="34"/>
      <c r="AF356" s="34"/>
    </row>
    <row x14ac:dyDescent="0.25" r="357" customHeight="1" ht="15.75">
      <c r="A357" s="502"/>
      <c r="B357" s="34"/>
      <c r="C357" s="34"/>
      <c r="D357" s="34"/>
      <c r="E357" s="34"/>
      <c r="F357" s="34"/>
      <c r="G357" s="34"/>
      <c r="H357" s="34"/>
      <c r="I357" s="29"/>
      <c r="J357" s="29"/>
      <c r="K357" s="29"/>
      <c r="L357" s="29"/>
      <c r="M357" s="34"/>
      <c r="N357" s="34"/>
      <c r="O357" s="29"/>
      <c r="P357" s="29"/>
      <c r="Q357" s="29"/>
      <c r="R357" s="34"/>
      <c r="S357" s="29"/>
      <c r="T357" s="29"/>
      <c r="U357" s="2"/>
      <c r="V357" s="34"/>
      <c r="W357" s="34"/>
      <c r="X357" s="34"/>
      <c r="Y357" s="29"/>
      <c r="Z357" s="34"/>
      <c r="AA357" s="34"/>
      <c r="AB357" s="29"/>
      <c r="AC357" s="34"/>
      <c r="AD357" s="29"/>
      <c r="AE357" s="34"/>
      <c r="AF357" s="34"/>
    </row>
    <row x14ac:dyDescent="0.25" r="358" customHeight="1" ht="15.75">
      <c r="A358" s="502"/>
      <c r="B358" s="34"/>
      <c r="C358" s="34"/>
      <c r="D358" s="34"/>
      <c r="E358" s="34"/>
      <c r="F358" s="34"/>
      <c r="G358" s="34"/>
      <c r="H358" s="34"/>
      <c r="I358" s="29"/>
      <c r="J358" s="29"/>
      <c r="K358" s="29"/>
      <c r="L358" s="29"/>
      <c r="M358" s="34"/>
      <c r="N358" s="34"/>
      <c r="O358" s="29"/>
      <c r="P358" s="29"/>
      <c r="Q358" s="29"/>
      <c r="R358" s="34"/>
      <c r="S358" s="29"/>
      <c r="T358" s="29"/>
      <c r="U358" s="2"/>
      <c r="V358" s="34"/>
      <c r="W358" s="34"/>
      <c r="X358" s="34"/>
      <c r="Y358" s="29"/>
      <c r="Z358" s="34"/>
      <c r="AA358" s="34"/>
      <c r="AB358" s="29"/>
      <c r="AC358" s="34"/>
      <c r="AD358" s="29"/>
      <c r="AE358" s="34"/>
      <c r="AF358" s="34"/>
    </row>
    <row x14ac:dyDescent="0.25" r="359" customHeight="1" ht="15.75">
      <c r="A359" s="502"/>
      <c r="B359" s="34"/>
      <c r="C359" s="34"/>
      <c r="D359" s="34"/>
      <c r="E359" s="34"/>
      <c r="F359" s="34"/>
      <c r="G359" s="34"/>
      <c r="H359" s="34"/>
      <c r="I359" s="29"/>
      <c r="J359" s="29"/>
      <c r="K359" s="29"/>
      <c r="L359" s="29"/>
      <c r="M359" s="34"/>
      <c r="N359" s="34"/>
      <c r="O359" s="29"/>
      <c r="P359" s="29"/>
      <c r="Q359" s="29"/>
      <c r="R359" s="34"/>
      <c r="S359" s="29"/>
      <c r="T359" s="29"/>
      <c r="U359" s="2"/>
      <c r="V359" s="34"/>
      <c r="W359" s="34"/>
      <c r="X359" s="34"/>
      <c r="Y359" s="29"/>
      <c r="Z359" s="34"/>
      <c r="AA359" s="34"/>
      <c r="AB359" s="29"/>
      <c r="AC359" s="34"/>
      <c r="AD359" s="29"/>
      <c r="AE359" s="34"/>
      <c r="AF359" s="34"/>
    </row>
    <row x14ac:dyDescent="0.25" r="360" customHeight="1" ht="15.75">
      <c r="A360" s="502"/>
      <c r="B360" s="34"/>
      <c r="C360" s="34"/>
      <c r="D360" s="34"/>
      <c r="E360" s="34"/>
      <c r="F360" s="34"/>
      <c r="G360" s="34"/>
      <c r="H360" s="34"/>
      <c r="I360" s="29"/>
      <c r="J360" s="29"/>
      <c r="K360" s="29"/>
      <c r="L360" s="29"/>
      <c r="M360" s="34"/>
      <c r="N360" s="34"/>
      <c r="O360" s="29"/>
      <c r="P360" s="29"/>
      <c r="Q360" s="29"/>
      <c r="R360" s="34"/>
      <c r="S360" s="29"/>
      <c r="T360" s="29"/>
      <c r="U360" s="2"/>
      <c r="V360" s="34"/>
      <c r="W360" s="34"/>
      <c r="X360" s="34"/>
      <c r="Y360" s="29"/>
      <c r="Z360" s="34"/>
      <c r="AA360" s="34"/>
      <c r="AB360" s="29"/>
      <c r="AC360" s="34"/>
      <c r="AD360" s="29"/>
      <c r="AE360" s="34"/>
      <c r="AF360" s="34"/>
    </row>
    <row x14ac:dyDescent="0.25" r="361" customHeight="1" ht="15.75">
      <c r="A361" s="502"/>
      <c r="B361" s="34"/>
      <c r="C361" s="34"/>
      <c r="D361" s="34"/>
      <c r="E361" s="34"/>
      <c r="F361" s="34"/>
      <c r="G361" s="34"/>
      <c r="H361" s="34"/>
      <c r="I361" s="29"/>
      <c r="J361" s="29"/>
      <c r="K361" s="29"/>
      <c r="L361" s="29"/>
      <c r="M361" s="34"/>
      <c r="N361" s="34"/>
      <c r="O361" s="29"/>
      <c r="P361" s="29"/>
      <c r="Q361" s="29"/>
      <c r="R361" s="34"/>
      <c r="S361" s="29"/>
      <c r="T361" s="29"/>
      <c r="U361" s="2"/>
      <c r="V361" s="34"/>
      <c r="W361" s="34"/>
      <c r="X361" s="34"/>
      <c r="Y361" s="29"/>
      <c r="Z361" s="34"/>
      <c r="AA361" s="34"/>
      <c r="AB361" s="29"/>
      <c r="AC361" s="34"/>
      <c r="AD361" s="29"/>
      <c r="AE361" s="34"/>
      <c r="AF361" s="34"/>
    </row>
    <row x14ac:dyDescent="0.25" r="362" customHeight="1" ht="15.75">
      <c r="A362" s="502"/>
      <c r="B362" s="34"/>
      <c r="C362" s="34"/>
      <c r="D362" s="34"/>
      <c r="E362" s="34"/>
      <c r="F362" s="34"/>
      <c r="G362" s="34"/>
      <c r="H362" s="34"/>
      <c r="I362" s="29"/>
      <c r="J362" s="29"/>
      <c r="K362" s="29"/>
      <c r="L362" s="29"/>
      <c r="M362" s="34"/>
      <c r="N362" s="34"/>
      <c r="O362" s="29"/>
      <c r="P362" s="29"/>
      <c r="Q362" s="29"/>
      <c r="R362" s="34"/>
      <c r="S362" s="29"/>
      <c r="T362" s="29"/>
      <c r="U362" s="2"/>
      <c r="V362" s="34"/>
      <c r="W362" s="34"/>
      <c r="X362" s="34"/>
      <c r="Y362" s="29"/>
      <c r="Z362" s="34"/>
      <c r="AA362" s="34"/>
      <c r="AB362" s="29"/>
      <c r="AC362" s="34"/>
      <c r="AD362" s="29"/>
      <c r="AE362" s="34"/>
      <c r="AF362" s="34"/>
    </row>
    <row x14ac:dyDescent="0.25" r="363" customHeight="1" ht="15.75">
      <c r="A363" s="502"/>
      <c r="B363" s="34"/>
      <c r="C363" s="34"/>
      <c r="D363" s="34"/>
      <c r="E363" s="34"/>
      <c r="F363" s="34"/>
      <c r="G363" s="34"/>
      <c r="H363" s="34"/>
      <c r="I363" s="29"/>
      <c r="J363" s="29"/>
      <c r="K363" s="29"/>
      <c r="L363" s="29"/>
      <c r="M363" s="34"/>
      <c r="N363" s="34"/>
      <c r="O363" s="29"/>
      <c r="P363" s="29"/>
      <c r="Q363" s="29"/>
      <c r="R363" s="34"/>
      <c r="S363" s="29"/>
      <c r="T363" s="29"/>
      <c r="U363" s="2"/>
      <c r="V363" s="34"/>
      <c r="W363" s="34"/>
      <c r="X363" s="34"/>
      <c r="Y363" s="29"/>
      <c r="Z363" s="34"/>
      <c r="AA363" s="34"/>
      <c r="AB363" s="29"/>
      <c r="AC363" s="34"/>
      <c r="AD363" s="29"/>
      <c r="AE363" s="34"/>
      <c r="AF363" s="34"/>
    </row>
    <row x14ac:dyDescent="0.25" r="364" customHeight="1" ht="15.75">
      <c r="A364" s="502"/>
      <c r="B364" s="34"/>
      <c r="C364" s="34"/>
      <c r="D364" s="34"/>
      <c r="E364" s="34"/>
      <c r="F364" s="34"/>
      <c r="G364" s="34"/>
      <c r="H364" s="34"/>
      <c r="I364" s="29"/>
      <c r="J364" s="29"/>
      <c r="K364" s="29"/>
      <c r="L364" s="29"/>
      <c r="M364" s="34"/>
      <c r="N364" s="34"/>
      <c r="O364" s="29"/>
      <c r="P364" s="29"/>
      <c r="Q364" s="29"/>
      <c r="R364" s="34"/>
      <c r="S364" s="29"/>
      <c r="T364" s="29"/>
      <c r="U364" s="2"/>
      <c r="V364" s="34"/>
      <c r="W364" s="34"/>
      <c r="X364" s="34"/>
      <c r="Y364" s="29"/>
      <c r="Z364" s="34"/>
      <c r="AA364" s="34"/>
      <c r="AB364" s="29"/>
      <c r="AC364" s="34"/>
      <c r="AD364" s="29"/>
      <c r="AE364" s="34"/>
      <c r="AF364" s="34"/>
    </row>
    <row x14ac:dyDescent="0.25" r="365" customHeight="1" ht="15.75">
      <c r="A365" s="502"/>
      <c r="B365" s="34"/>
      <c r="C365" s="34"/>
      <c r="D365" s="34"/>
      <c r="E365" s="34"/>
      <c r="F365" s="34"/>
      <c r="G365" s="34"/>
      <c r="H365" s="34"/>
      <c r="I365" s="29"/>
      <c r="J365" s="29"/>
      <c r="K365" s="29"/>
      <c r="L365" s="29"/>
      <c r="M365" s="34"/>
      <c r="N365" s="34"/>
      <c r="O365" s="29"/>
      <c r="P365" s="29"/>
      <c r="Q365" s="29"/>
      <c r="R365" s="34"/>
      <c r="S365" s="29"/>
      <c r="T365" s="29"/>
      <c r="U365" s="2"/>
      <c r="V365" s="34"/>
      <c r="W365" s="34"/>
      <c r="X365" s="34"/>
      <c r="Y365" s="29"/>
      <c r="Z365" s="34"/>
      <c r="AA365" s="34"/>
      <c r="AB365" s="29"/>
      <c r="AC365" s="34"/>
      <c r="AD365" s="29"/>
      <c r="AE365" s="34"/>
      <c r="AF365" s="34"/>
    </row>
    <row x14ac:dyDescent="0.25" r="366" customHeight="1" ht="15.75">
      <c r="A366" s="502"/>
      <c r="B366" s="34"/>
      <c r="C366" s="34"/>
      <c r="D366" s="34"/>
      <c r="E366" s="34"/>
      <c r="F366" s="34"/>
      <c r="G366" s="34"/>
      <c r="H366" s="34"/>
      <c r="I366" s="29"/>
      <c r="J366" s="29"/>
      <c r="K366" s="29"/>
      <c r="L366" s="29"/>
      <c r="M366" s="34"/>
      <c r="N366" s="34"/>
      <c r="O366" s="29"/>
      <c r="P366" s="29"/>
      <c r="Q366" s="29"/>
      <c r="R366" s="34"/>
      <c r="S366" s="29"/>
      <c r="T366" s="29"/>
      <c r="U366" s="2"/>
      <c r="V366" s="34"/>
      <c r="W366" s="34"/>
      <c r="X366" s="34"/>
      <c r="Y366" s="29"/>
      <c r="Z366" s="34"/>
      <c r="AA366" s="34"/>
      <c r="AB366" s="29"/>
      <c r="AC366" s="34"/>
      <c r="AD366" s="29"/>
      <c r="AE366" s="34"/>
      <c r="AF366" s="34"/>
    </row>
    <row x14ac:dyDescent="0.25" r="367" customHeight="1" ht="15.75">
      <c r="A367" s="502"/>
      <c r="B367" s="34"/>
      <c r="C367" s="34"/>
      <c r="D367" s="34"/>
      <c r="E367" s="34"/>
      <c r="F367" s="34"/>
      <c r="G367" s="34"/>
      <c r="H367" s="34"/>
      <c r="I367" s="29"/>
      <c r="J367" s="29"/>
      <c r="K367" s="29"/>
      <c r="L367" s="29"/>
      <c r="M367" s="34"/>
      <c r="N367" s="34"/>
      <c r="O367" s="29"/>
      <c r="P367" s="29"/>
      <c r="Q367" s="29"/>
      <c r="R367" s="34"/>
      <c r="S367" s="29"/>
      <c r="T367" s="29"/>
      <c r="U367" s="2"/>
      <c r="V367" s="34"/>
      <c r="W367" s="34"/>
      <c r="X367" s="34"/>
      <c r="Y367" s="29"/>
      <c r="Z367" s="34"/>
      <c r="AA367" s="34"/>
      <c r="AB367" s="29"/>
      <c r="AC367" s="34"/>
      <c r="AD367" s="29"/>
      <c r="AE367" s="34"/>
      <c r="AF367" s="34"/>
    </row>
    <row x14ac:dyDescent="0.25" r="368" customHeight="1" ht="15.75">
      <c r="A368" s="502"/>
      <c r="B368" s="34"/>
      <c r="C368" s="34"/>
      <c r="D368" s="34"/>
      <c r="E368" s="34"/>
      <c r="F368" s="34"/>
      <c r="G368" s="34"/>
      <c r="H368" s="34"/>
      <c r="I368" s="29"/>
      <c r="J368" s="29"/>
      <c r="K368" s="29"/>
      <c r="L368" s="29"/>
      <c r="M368" s="34"/>
      <c r="N368" s="34"/>
      <c r="O368" s="29"/>
      <c r="P368" s="29"/>
      <c r="Q368" s="29"/>
      <c r="R368" s="34"/>
      <c r="S368" s="29"/>
      <c r="T368" s="29"/>
      <c r="U368" s="2"/>
      <c r="V368" s="34"/>
      <c r="W368" s="34"/>
      <c r="X368" s="34"/>
      <c r="Y368" s="29"/>
      <c r="Z368" s="34"/>
      <c r="AA368" s="34"/>
      <c r="AB368" s="29"/>
      <c r="AC368" s="34"/>
      <c r="AD368" s="29"/>
      <c r="AE368" s="34"/>
      <c r="AF368" s="34"/>
    </row>
    <row x14ac:dyDescent="0.25" r="369" customHeight="1" ht="15.75">
      <c r="A369" s="502"/>
      <c r="B369" s="34"/>
      <c r="C369" s="34"/>
      <c r="D369" s="34"/>
      <c r="E369" s="34"/>
      <c r="F369" s="34"/>
      <c r="G369" s="34"/>
      <c r="H369" s="34"/>
      <c r="I369" s="29"/>
      <c r="J369" s="29"/>
      <c r="K369" s="29"/>
      <c r="L369" s="29"/>
      <c r="M369" s="34"/>
      <c r="N369" s="34"/>
      <c r="O369" s="29"/>
      <c r="P369" s="29"/>
      <c r="Q369" s="29"/>
      <c r="R369" s="34"/>
      <c r="S369" s="29"/>
      <c r="T369" s="29"/>
      <c r="U369" s="2"/>
      <c r="V369" s="34"/>
      <c r="W369" s="34"/>
      <c r="X369" s="34"/>
      <c r="Y369" s="29"/>
      <c r="Z369" s="34"/>
      <c r="AA369" s="34"/>
      <c r="AB369" s="29"/>
      <c r="AC369" s="34"/>
      <c r="AD369" s="29"/>
      <c r="AE369" s="34"/>
      <c r="AF369" s="34"/>
    </row>
    <row x14ac:dyDescent="0.25" r="370" customHeight="1" ht="15.75">
      <c r="A370" s="502"/>
      <c r="B370" s="34"/>
      <c r="C370" s="34"/>
      <c r="D370" s="34"/>
      <c r="E370" s="34"/>
      <c r="F370" s="34"/>
      <c r="G370" s="34"/>
      <c r="H370" s="34"/>
      <c r="I370" s="29"/>
      <c r="J370" s="29"/>
      <c r="K370" s="29"/>
      <c r="L370" s="29"/>
      <c r="M370" s="34"/>
      <c r="N370" s="34"/>
      <c r="O370" s="29"/>
      <c r="P370" s="29"/>
      <c r="Q370" s="29"/>
      <c r="R370" s="34"/>
      <c r="S370" s="29"/>
      <c r="T370" s="29"/>
      <c r="U370" s="2"/>
      <c r="V370" s="34"/>
      <c r="W370" s="34"/>
      <c r="X370" s="34"/>
      <c r="Y370" s="29"/>
      <c r="Z370" s="34"/>
      <c r="AA370" s="34"/>
      <c r="AB370" s="29"/>
      <c r="AC370" s="34"/>
      <c r="AD370" s="29"/>
      <c r="AE370" s="34"/>
      <c r="AF370" s="34"/>
    </row>
    <row x14ac:dyDescent="0.25" r="371" customHeight="1" ht="15.75">
      <c r="A371" s="502"/>
      <c r="B371" s="34"/>
      <c r="C371" s="34"/>
      <c r="D371" s="34"/>
      <c r="E371" s="34"/>
      <c r="F371" s="34"/>
      <c r="G371" s="34"/>
      <c r="H371" s="34"/>
      <c r="I371" s="29"/>
      <c r="J371" s="29"/>
      <c r="K371" s="29"/>
      <c r="L371" s="29"/>
      <c r="M371" s="34"/>
      <c r="N371" s="34"/>
      <c r="O371" s="29"/>
      <c r="P371" s="29"/>
      <c r="Q371" s="29"/>
      <c r="R371" s="34"/>
      <c r="S371" s="29"/>
      <c r="T371" s="29"/>
      <c r="U371" s="2"/>
      <c r="V371" s="34"/>
      <c r="W371" s="34"/>
      <c r="X371" s="34"/>
      <c r="Y371" s="29"/>
      <c r="Z371" s="34"/>
      <c r="AA371" s="34"/>
      <c r="AB371" s="29"/>
      <c r="AC371" s="34"/>
      <c r="AD371" s="29"/>
      <c r="AE371" s="34"/>
      <c r="AF371" s="34"/>
    </row>
    <row x14ac:dyDescent="0.25" r="372" customHeight="1" ht="15.75">
      <c r="A372" s="502"/>
      <c r="B372" s="34"/>
      <c r="C372" s="34"/>
      <c r="D372" s="34"/>
      <c r="E372" s="34"/>
      <c r="F372" s="34"/>
      <c r="G372" s="34"/>
      <c r="H372" s="34"/>
      <c r="I372" s="29"/>
      <c r="J372" s="29"/>
      <c r="K372" s="29"/>
      <c r="L372" s="29"/>
      <c r="M372" s="34"/>
      <c r="N372" s="34"/>
      <c r="O372" s="29"/>
      <c r="P372" s="29"/>
      <c r="Q372" s="29"/>
      <c r="R372" s="34"/>
      <c r="S372" s="29"/>
      <c r="T372" s="29"/>
      <c r="U372" s="2"/>
      <c r="V372" s="34"/>
      <c r="W372" s="34"/>
      <c r="X372" s="34"/>
      <c r="Y372" s="29"/>
      <c r="Z372" s="34"/>
      <c r="AA372" s="34"/>
      <c r="AB372" s="29"/>
      <c r="AC372" s="34"/>
      <c r="AD372" s="29"/>
      <c r="AE372" s="34"/>
      <c r="AF372" s="34"/>
    </row>
    <row x14ac:dyDescent="0.25" r="373" customHeight="1" ht="15.75">
      <c r="A373" s="502"/>
      <c r="B373" s="34"/>
      <c r="C373" s="34"/>
      <c r="D373" s="34"/>
      <c r="E373" s="34"/>
      <c r="F373" s="34"/>
      <c r="G373" s="34"/>
      <c r="H373" s="34"/>
      <c r="I373" s="29"/>
      <c r="J373" s="29"/>
      <c r="K373" s="29"/>
      <c r="L373" s="29"/>
      <c r="M373" s="34"/>
      <c r="N373" s="34"/>
      <c r="O373" s="29"/>
      <c r="P373" s="29"/>
      <c r="Q373" s="29"/>
      <c r="R373" s="34"/>
      <c r="S373" s="29"/>
      <c r="T373" s="29"/>
      <c r="U373" s="2"/>
      <c r="V373" s="34"/>
      <c r="W373" s="34"/>
      <c r="X373" s="34"/>
      <c r="Y373" s="29"/>
      <c r="Z373" s="34"/>
      <c r="AA373" s="34"/>
      <c r="AB373" s="29"/>
      <c r="AC373" s="34"/>
      <c r="AD373" s="29"/>
      <c r="AE373" s="34"/>
      <c r="AF373" s="34"/>
    </row>
    <row x14ac:dyDescent="0.25" r="374" customHeight="1" ht="15.75">
      <c r="A374" s="502"/>
      <c r="B374" s="34"/>
      <c r="C374" s="34"/>
      <c r="D374" s="34"/>
      <c r="E374" s="34"/>
      <c r="F374" s="34"/>
      <c r="G374" s="34"/>
      <c r="H374" s="34"/>
      <c r="I374" s="29"/>
      <c r="J374" s="29"/>
      <c r="K374" s="29"/>
      <c r="L374" s="29"/>
      <c r="M374" s="34"/>
      <c r="N374" s="34"/>
      <c r="O374" s="29"/>
      <c r="P374" s="29"/>
      <c r="Q374" s="29"/>
      <c r="R374" s="34"/>
      <c r="S374" s="29"/>
      <c r="T374" s="29"/>
      <c r="U374" s="2"/>
      <c r="V374" s="34"/>
      <c r="W374" s="34"/>
      <c r="X374" s="34"/>
      <c r="Y374" s="29"/>
      <c r="Z374" s="34"/>
      <c r="AA374" s="34"/>
      <c r="AB374" s="29"/>
      <c r="AC374" s="34"/>
      <c r="AD374" s="29"/>
      <c r="AE374" s="34"/>
      <c r="AF374" s="34"/>
    </row>
    <row x14ac:dyDescent="0.25" r="375" customHeight="1" ht="15.75">
      <c r="A375" s="502"/>
      <c r="B375" s="34"/>
      <c r="C375" s="34"/>
      <c r="D375" s="34"/>
      <c r="E375" s="34"/>
      <c r="F375" s="34"/>
      <c r="G375" s="34"/>
      <c r="H375" s="34"/>
      <c r="I375" s="29"/>
      <c r="J375" s="29"/>
      <c r="K375" s="29"/>
      <c r="L375" s="29"/>
      <c r="M375" s="34"/>
      <c r="N375" s="34"/>
      <c r="O375" s="29"/>
      <c r="P375" s="29"/>
      <c r="Q375" s="29"/>
      <c r="R375" s="34"/>
      <c r="S375" s="29"/>
      <c r="T375" s="29"/>
      <c r="U375" s="2"/>
      <c r="V375" s="34"/>
      <c r="W375" s="34"/>
      <c r="X375" s="34"/>
      <c r="Y375" s="29"/>
      <c r="Z375" s="34"/>
      <c r="AA375" s="34"/>
      <c r="AB375" s="29"/>
      <c r="AC375" s="34"/>
      <c r="AD375" s="29"/>
      <c r="AE375" s="34"/>
      <c r="AF375" s="34"/>
    </row>
    <row x14ac:dyDescent="0.25" r="376" customHeight="1" ht="15.75">
      <c r="A376" s="502"/>
      <c r="B376" s="34"/>
      <c r="C376" s="34"/>
      <c r="D376" s="34"/>
      <c r="E376" s="34"/>
      <c r="F376" s="34"/>
      <c r="G376" s="34"/>
      <c r="H376" s="34"/>
      <c r="I376" s="29"/>
      <c r="J376" s="29"/>
      <c r="K376" s="29"/>
      <c r="L376" s="29"/>
      <c r="M376" s="34"/>
      <c r="N376" s="34"/>
      <c r="O376" s="29"/>
      <c r="P376" s="29"/>
      <c r="Q376" s="29"/>
      <c r="R376" s="34"/>
      <c r="S376" s="29"/>
      <c r="T376" s="29"/>
      <c r="U376" s="2"/>
      <c r="V376" s="34"/>
      <c r="W376" s="34"/>
      <c r="X376" s="34"/>
      <c r="Y376" s="29"/>
      <c r="Z376" s="34"/>
      <c r="AA376" s="34"/>
      <c r="AB376" s="29"/>
      <c r="AC376" s="34"/>
      <c r="AD376" s="29"/>
      <c r="AE376" s="34"/>
      <c r="AF376" s="34"/>
    </row>
    <row x14ac:dyDescent="0.25" r="377" customHeight="1" ht="15.75">
      <c r="A377" s="502"/>
      <c r="B377" s="34"/>
      <c r="C377" s="34"/>
      <c r="D377" s="34"/>
      <c r="E377" s="34"/>
      <c r="F377" s="34"/>
      <c r="G377" s="34"/>
      <c r="H377" s="34"/>
      <c r="I377" s="29"/>
      <c r="J377" s="29"/>
      <c r="K377" s="29"/>
      <c r="L377" s="29"/>
      <c r="M377" s="34"/>
      <c r="N377" s="34"/>
      <c r="O377" s="29"/>
      <c r="P377" s="29"/>
      <c r="Q377" s="29"/>
      <c r="R377" s="34"/>
      <c r="S377" s="29"/>
      <c r="T377" s="29"/>
      <c r="U377" s="2"/>
      <c r="V377" s="34"/>
      <c r="W377" s="34"/>
      <c r="X377" s="34"/>
      <c r="Y377" s="29"/>
      <c r="Z377" s="34"/>
      <c r="AA377" s="34"/>
      <c r="AB377" s="29"/>
      <c r="AC377" s="34"/>
      <c r="AD377" s="29"/>
      <c r="AE377" s="34"/>
      <c r="AF377" s="34"/>
    </row>
    <row x14ac:dyDescent="0.25" r="378" customHeight="1" ht="15.75">
      <c r="A378" s="502"/>
      <c r="B378" s="34"/>
      <c r="C378" s="34"/>
      <c r="D378" s="34"/>
      <c r="E378" s="34"/>
      <c r="F378" s="34"/>
      <c r="G378" s="34"/>
      <c r="H378" s="34"/>
      <c r="I378" s="29"/>
      <c r="J378" s="29"/>
      <c r="K378" s="29"/>
      <c r="L378" s="29"/>
      <c r="M378" s="34"/>
      <c r="N378" s="34"/>
      <c r="O378" s="29"/>
      <c r="P378" s="29"/>
      <c r="Q378" s="29"/>
      <c r="R378" s="34"/>
      <c r="S378" s="29"/>
      <c r="T378" s="29"/>
      <c r="U378" s="2"/>
      <c r="V378" s="34"/>
      <c r="W378" s="34"/>
      <c r="X378" s="34"/>
      <c r="Y378" s="29"/>
      <c r="Z378" s="34"/>
      <c r="AA378" s="34"/>
      <c r="AB378" s="29"/>
      <c r="AC378" s="34"/>
      <c r="AD378" s="29"/>
      <c r="AE378" s="34"/>
      <c r="AF378" s="34"/>
    </row>
    <row x14ac:dyDescent="0.25" r="379" customHeight="1" ht="15.75">
      <c r="A379" s="502"/>
      <c r="B379" s="34"/>
      <c r="C379" s="34"/>
      <c r="D379" s="34"/>
      <c r="E379" s="34"/>
      <c r="F379" s="34"/>
      <c r="G379" s="34"/>
      <c r="H379" s="34"/>
      <c r="I379" s="29"/>
      <c r="J379" s="29"/>
      <c r="K379" s="29"/>
      <c r="L379" s="29"/>
      <c r="M379" s="34"/>
      <c r="N379" s="34"/>
      <c r="O379" s="29"/>
      <c r="P379" s="29"/>
      <c r="Q379" s="29"/>
      <c r="R379" s="34"/>
      <c r="S379" s="29"/>
      <c r="T379" s="29"/>
      <c r="U379" s="2"/>
      <c r="V379" s="34"/>
      <c r="W379" s="34"/>
      <c r="X379" s="34"/>
      <c r="Y379" s="29"/>
      <c r="Z379" s="34"/>
      <c r="AA379" s="34"/>
      <c r="AB379" s="29"/>
      <c r="AC379" s="34"/>
      <c r="AD379" s="29"/>
      <c r="AE379" s="34"/>
      <c r="AF379" s="34"/>
    </row>
    <row x14ac:dyDescent="0.25" r="380" customHeight="1" ht="15.75">
      <c r="A380" s="502"/>
      <c r="B380" s="34"/>
      <c r="C380" s="34"/>
      <c r="D380" s="34"/>
      <c r="E380" s="34"/>
      <c r="F380" s="34"/>
      <c r="G380" s="34"/>
      <c r="H380" s="34"/>
      <c r="I380" s="29"/>
      <c r="J380" s="29"/>
      <c r="K380" s="29"/>
      <c r="L380" s="29"/>
      <c r="M380" s="34"/>
      <c r="N380" s="34"/>
      <c r="O380" s="29"/>
      <c r="P380" s="29"/>
      <c r="Q380" s="29"/>
      <c r="R380" s="34"/>
      <c r="S380" s="29"/>
      <c r="T380" s="29"/>
      <c r="U380" s="2"/>
      <c r="V380" s="34"/>
      <c r="W380" s="34"/>
      <c r="X380" s="34"/>
      <c r="Y380" s="29"/>
      <c r="Z380" s="34"/>
      <c r="AA380" s="34"/>
      <c r="AB380" s="29"/>
      <c r="AC380" s="34"/>
      <c r="AD380" s="29"/>
      <c r="AE380" s="34"/>
      <c r="AF380" s="34"/>
    </row>
    <row x14ac:dyDescent="0.25" r="381" customHeight="1" ht="15.75">
      <c r="A381" s="502"/>
      <c r="B381" s="34"/>
      <c r="C381" s="34"/>
      <c r="D381" s="34"/>
      <c r="E381" s="34"/>
      <c r="F381" s="34"/>
      <c r="G381" s="34"/>
      <c r="H381" s="34"/>
      <c r="I381" s="29"/>
      <c r="J381" s="29"/>
      <c r="K381" s="29"/>
      <c r="L381" s="29"/>
      <c r="M381" s="34"/>
      <c r="N381" s="34"/>
      <c r="O381" s="29"/>
      <c r="P381" s="29"/>
      <c r="Q381" s="29"/>
      <c r="R381" s="34"/>
      <c r="S381" s="29"/>
      <c r="T381" s="29"/>
      <c r="U381" s="2"/>
      <c r="V381" s="34"/>
      <c r="W381" s="34"/>
      <c r="X381" s="34"/>
      <c r="Y381" s="29"/>
      <c r="Z381" s="34"/>
      <c r="AA381" s="34"/>
      <c r="AB381" s="29"/>
      <c r="AC381" s="34"/>
      <c r="AD381" s="29"/>
      <c r="AE381" s="34"/>
      <c r="AF381" s="34"/>
    </row>
    <row x14ac:dyDescent="0.25" r="382" customHeight="1" ht="15.75">
      <c r="A382" s="502"/>
      <c r="B382" s="34"/>
      <c r="C382" s="34"/>
      <c r="D382" s="34"/>
      <c r="E382" s="34"/>
      <c r="F382" s="34"/>
      <c r="G382" s="34"/>
      <c r="H382" s="34"/>
      <c r="I382" s="29"/>
      <c r="J382" s="29"/>
      <c r="K382" s="29"/>
      <c r="L382" s="29"/>
      <c r="M382" s="34"/>
      <c r="N382" s="34"/>
      <c r="O382" s="29"/>
      <c r="P382" s="29"/>
      <c r="Q382" s="29"/>
      <c r="R382" s="34"/>
      <c r="S382" s="29"/>
      <c r="T382" s="29"/>
      <c r="U382" s="2"/>
      <c r="V382" s="34"/>
      <c r="W382" s="34"/>
      <c r="X382" s="34"/>
      <c r="Y382" s="29"/>
      <c r="Z382" s="34"/>
      <c r="AA382" s="34"/>
      <c r="AB382" s="29"/>
      <c r="AC382" s="34"/>
      <c r="AD382" s="29"/>
      <c r="AE382" s="34"/>
      <c r="AF382" s="34"/>
    </row>
    <row x14ac:dyDescent="0.25" r="383" customHeight="1" ht="15.75">
      <c r="A383" s="502"/>
      <c r="B383" s="34"/>
      <c r="C383" s="34"/>
      <c r="D383" s="34"/>
      <c r="E383" s="34"/>
      <c r="F383" s="34"/>
      <c r="G383" s="34"/>
      <c r="H383" s="34"/>
      <c r="I383" s="29"/>
      <c r="J383" s="29"/>
      <c r="K383" s="29"/>
      <c r="L383" s="29"/>
      <c r="M383" s="34"/>
      <c r="N383" s="34"/>
      <c r="O383" s="29"/>
      <c r="P383" s="29"/>
      <c r="Q383" s="29"/>
      <c r="R383" s="34"/>
      <c r="S383" s="29"/>
      <c r="T383" s="29"/>
      <c r="U383" s="2"/>
      <c r="V383" s="34"/>
      <c r="W383" s="34"/>
      <c r="X383" s="34"/>
      <c r="Y383" s="29"/>
      <c r="Z383" s="34"/>
      <c r="AA383" s="34"/>
      <c r="AB383" s="29"/>
      <c r="AC383" s="34"/>
      <c r="AD383" s="29"/>
      <c r="AE383" s="34"/>
      <c r="AF383" s="34"/>
    </row>
    <row x14ac:dyDescent="0.25" r="384" customHeight="1" ht="15.75">
      <c r="A384" s="502"/>
      <c r="B384" s="34"/>
      <c r="C384" s="34"/>
      <c r="D384" s="34"/>
      <c r="E384" s="34"/>
      <c r="F384" s="34"/>
      <c r="G384" s="34"/>
      <c r="H384" s="34"/>
      <c r="I384" s="29"/>
      <c r="J384" s="29"/>
      <c r="K384" s="29"/>
      <c r="L384" s="29"/>
      <c r="M384" s="34"/>
      <c r="N384" s="34"/>
      <c r="O384" s="29"/>
      <c r="P384" s="29"/>
      <c r="Q384" s="29"/>
      <c r="R384" s="34"/>
      <c r="S384" s="29"/>
      <c r="T384" s="29"/>
      <c r="U384" s="2"/>
      <c r="V384" s="34"/>
      <c r="W384" s="34"/>
      <c r="X384" s="34"/>
      <c r="Y384" s="29"/>
      <c r="Z384" s="34"/>
      <c r="AA384" s="34"/>
      <c r="AB384" s="29"/>
      <c r="AC384" s="34"/>
      <c r="AD384" s="29"/>
      <c r="AE384" s="34"/>
      <c r="AF384" s="34"/>
    </row>
    <row x14ac:dyDescent="0.25" r="385" customHeight="1" ht="15.75">
      <c r="A385" s="502"/>
      <c r="B385" s="34"/>
      <c r="C385" s="34"/>
      <c r="D385" s="34"/>
      <c r="E385" s="34"/>
      <c r="F385" s="34"/>
      <c r="G385" s="34"/>
      <c r="H385" s="34"/>
      <c r="I385" s="29"/>
      <c r="J385" s="29"/>
      <c r="K385" s="29"/>
      <c r="L385" s="29"/>
      <c r="M385" s="34"/>
      <c r="N385" s="34"/>
      <c r="O385" s="29"/>
      <c r="P385" s="29"/>
      <c r="Q385" s="29"/>
      <c r="R385" s="34"/>
      <c r="S385" s="29"/>
      <c r="T385" s="29"/>
      <c r="U385" s="2"/>
      <c r="V385" s="34"/>
      <c r="W385" s="34"/>
      <c r="X385" s="34"/>
      <c r="Y385" s="29"/>
      <c r="Z385" s="34"/>
      <c r="AA385" s="34"/>
      <c r="AB385" s="29"/>
      <c r="AC385" s="34"/>
      <c r="AD385" s="29"/>
      <c r="AE385" s="34"/>
      <c r="AF385" s="34"/>
    </row>
    <row x14ac:dyDescent="0.25" r="386" customHeight="1" ht="15.75">
      <c r="A386" s="502"/>
      <c r="B386" s="34"/>
      <c r="C386" s="34"/>
      <c r="D386" s="34"/>
      <c r="E386" s="34"/>
      <c r="F386" s="34"/>
      <c r="G386" s="34"/>
      <c r="H386" s="34"/>
      <c r="I386" s="29"/>
      <c r="J386" s="29"/>
      <c r="K386" s="29"/>
      <c r="L386" s="29"/>
      <c r="M386" s="34"/>
      <c r="N386" s="34"/>
      <c r="O386" s="29"/>
      <c r="P386" s="29"/>
      <c r="Q386" s="29"/>
      <c r="R386" s="34"/>
      <c r="S386" s="29"/>
      <c r="T386" s="29"/>
      <c r="U386" s="2"/>
      <c r="V386" s="34"/>
      <c r="W386" s="34"/>
      <c r="X386" s="34"/>
      <c r="Y386" s="29"/>
      <c r="Z386" s="34"/>
      <c r="AA386" s="34"/>
      <c r="AB386" s="29"/>
      <c r="AC386" s="34"/>
      <c r="AD386" s="29"/>
      <c r="AE386" s="34"/>
      <c r="AF386" s="34"/>
    </row>
    <row x14ac:dyDescent="0.25" r="387" customHeight="1" ht="15.75">
      <c r="A387" s="502"/>
      <c r="B387" s="34"/>
      <c r="C387" s="34"/>
      <c r="D387" s="34"/>
      <c r="E387" s="34"/>
      <c r="F387" s="34"/>
      <c r="G387" s="34"/>
      <c r="H387" s="34"/>
      <c r="I387" s="29"/>
      <c r="J387" s="29"/>
      <c r="K387" s="29"/>
      <c r="L387" s="29"/>
      <c r="M387" s="34"/>
      <c r="N387" s="34"/>
      <c r="O387" s="29"/>
      <c r="P387" s="29"/>
      <c r="Q387" s="29"/>
      <c r="R387" s="34"/>
      <c r="S387" s="29"/>
      <c r="T387" s="29"/>
      <c r="U387" s="2"/>
      <c r="V387" s="34"/>
      <c r="W387" s="34"/>
      <c r="X387" s="34"/>
      <c r="Y387" s="29"/>
      <c r="Z387" s="34"/>
      <c r="AA387" s="34"/>
      <c r="AB387" s="29"/>
      <c r="AC387" s="34"/>
      <c r="AD387" s="29"/>
      <c r="AE387" s="34"/>
      <c r="AF387" s="34"/>
    </row>
    <row x14ac:dyDescent="0.25" r="388" customHeight="1" ht="15.75">
      <c r="A388" s="502"/>
      <c r="B388" s="34"/>
      <c r="C388" s="34"/>
      <c r="D388" s="34"/>
      <c r="E388" s="34"/>
      <c r="F388" s="34"/>
      <c r="G388" s="34"/>
      <c r="H388" s="34"/>
      <c r="I388" s="29"/>
      <c r="J388" s="29"/>
      <c r="K388" s="29"/>
      <c r="L388" s="29"/>
      <c r="M388" s="34"/>
      <c r="N388" s="34"/>
      <c r="O388" s="29"/>
      <c r="P388" s="29"/>
      <c r="Q388" s="29"/>
      <c r="R388" s="34"/>
      <c r="S388" s="29"/>
      <c r="T388" s="29"/>
      <c r="U388" s="2"/>
      <c r="V388" s="34"/>
      <c r="W388" s="34"/>
      <c r="X388" s="34"/>
      <c r="Y388" s="29"/>
      <c r="Z388" s="34"/>
      <c r="AA388" s="34"/>
      <c r="AB388" s="29"/>
      <c r="AC388" s="34"/>
      <c r="AD388" s="29"/>
      <c r="AE388" s="34"/>
      <c r="AF388" s="34"/>
    </row>
    <row x14ac:dyDescent="0.25" r="389" customHeight="1" ht="15.75">
      <c r="A389" s="502"/>
      <c r="B389" s="34"/>
      <c r="C389" s="34"/>
      <c r="D389" s="34"/>
      <c r="E389" s="34"/>
      <c r="F389" s="34"/>
      <c r="G389" s="34"/>
      <c r="H389" s="34"/>
      <c r="I389" s="29"/>
      <c r="J389" s="29"/>
      <c r="K389" s="29"/>
      <c r="L389" s="29"/>
      <c r="M389" s="34"/>
      <c r="N389" s="34"/>
      <c r="O389" s="29"/>
      <c r="P389" s="29"/>
      <c r="Q389" s="29"/>
      <c r="R389" s="34"/>
      <c r="S389" s="29"/>
      <c r="T389" s="29"/>
      <c r="U389" s="2"/>
      <c r="V389" s="34"/>
      <c r="W389" s="34"/>
      <c r="X389" s="34"/>
      <c r="Y389" s="29"/>
      <c r="Z389" s="34"/>
      <c r="AA389" s="34"/>
      <c r="AB389" s="29"/>
      <c r="AC389" s="34"/>
      <c r="AD389" s="29"/>
      <c r="AE389" s="34"/>
      <c r="AF389" s="34"/>
    </row>
    <row x14ac:dyDescent="0.25" r="390" customHeight="1" ht="15.75">
      <c r="A390" s="502"/>
      <c r="B390" s="34"/>
      <c r="C390" s="34"/>
      <c r="D390" s="34"/>
      <c r="E390" s="34"/>
      <c r="F390" s="34"/>
      <c r="G390" s="34"/>
      <c r="H390" s="34"/>
      <c r="I390" s="29"/>
      <c r="J390" s="29"/>
      <c r="K390" s="29"/>
      <c r="L390" s="29"/>
      <c r="M390" s="34"/>
      <c r="N390" s="34"/>
      <c r="O390" s="29"/>
      <c r="P390" s="29"/>
      <c r="Q390" s="29"/>
      <c r="R390" s="34"/>
      <c r="S390" s="29"/>
      <c r="T390" s="29"/>
      <c r="U390" s="2"/>
      <c r="V390" s="34"/>
      <c r="W390" s="34"/>
      <c r="X390" s="34"/>
      <c r="Y390" s="29"/>
      <c r="Z390" s="34"/>
      <c r="AA390" s="34"/>
      <c r="AB390" s="29"/>
      <c r="AC390" s="34"/>
      <c r="AD390" s="29"/>
      <c r="AE390" s="34"/>
      <c r="AF390" s="34"/>
    </row>
    <row x14ac:dyDescent="0.25" r="391" customHeight="1" ht="15.75">
      <c r="A391" s="502"/>
      <c r="B391" s="34"/>
      <c r="C391" s="34"/>
      <c r="D391" s="34"/>
      <c r="E391" s="34"/>
      <c r="F391" s="34"/>
      <c r="G391" s="34"/>
      <c r="H391" s="34"/>
      <c r="I391" s="29"/>
      <c r="J391" s="29"/>
      <c r="K391" s="29"/>
      <c r="L391" s="29"/>
      <c r="M391" s="34"/>
      <c r="N391" s="34"/>
      <c r="O391" s="29"/>
      <c r="P391" s="29"/>
      <c r="Q391" s="29"/>
      <c r="R391" s="34"/>
      <c r="S391" s="29"/>
      <c r="T391" s="29"/>
      <c r="U391" s="2"/>
      <c r="V391" s="34"/>
      <c r="W391" s="34"/>
      <c r="X391" s="34"/>
      <c r="Y391" s="29"/>
      <c r="Z391" s="34"/>
      <c r="AA391" s="34"/>
      <c r="AB391" s="29"/>
      <c r="AC391" s="34"/>
      <c r="AD391" s="29"/>
      <c r="AE391" s="34"/>
      <c r="AF391" s="34"/>
    </row>
    <row x14ac:dyDescent="0.25" r="392" customHeight="1" ht="15.75">
      <c r="A392" s="502"/>
      <c r="B392" s="34"/>
      <c r="C392" s="34"/>
      <c r="D392" s="34"/>
      <c r="E392" s="34"/>
      <c r="F392" s="34"/>
      <c r="G392" s="34"/>
      <c r="H392" s="34"/>
      <c r="I392" s="29"/>
      <c r="J392" s="29"/>
      <c r="K392" s="29"/>
      <c r="L392" s="29"/>
      <c r="M392" s="34"/>
      <c r="N392" s="34"/>
      <c r="O392" s="29"/>
      <c r="P392" s="29"/>
      <c r="Q392" s="29"/>
      <c r="R392" s="34"/>
      <c r="S392" s="29"/>
      <c r="T392" s="29"/>
      <c r="U392" s="2"/>
      <c r="V392" s="34"/>
      <c r="W392" s="34"/>
      <c r="X392" s="34"/>
      <c r="Y392" s="29"/>
      <c r="Z392" s="34"/>
      <c r="AA392" s="34"/>
      <c r="AB392" s="29"/>
      <c r="AC392" s="34"/>
      <c r="AD392" s="29"/>
      <c r="AE392" s="34"/>
      <c r="AF392" s="34"/>
    </row>
    <row x14ac:dyDescent="0.25" r="393" customHeight="1" ht="15.75">
      <c r="A393" s="502"/>
      <c r="B393" s="34"/>
      <c r="C393" s="34"/>
      <c r="D393" s="34"/>
      <c r="E393" s="34"/>
      <c r="F393" s="34"/>
      <c r="G393" s="34"/>
      <c r="H393" s="34"/>
      <c r="I393" s="29"/>
      <c r="J393" s="29"/>
      <c r="K393" s="29"/>
      <c r="L393" s="29"/>
      <c r="M393" s="34"/>
      <c r="N393" s="34"/>
      <c r="O393" s="29"/>
      <c r="P393" s="29"/>
      <c r="Q393" s="29"/>
      <c r="R393" s="34"/>
      <c r="S393" s="29"/>
      <c r="T393" s="29"/>
      <c r="U393" s="2"/>
      <c r="V393" s="34"/>
      <c r="W393" s="34"/>
      <c r="X393" s="34"/>
      <c r="Y393" s="29"/>
      <c r="Z393" s="34"/>
      <c r="AA393" s="34"/>
      <c r="AB393" s="29"/>
      <c r="AC393" s="34"/>
      <c r="AD393" s="29"/>
      <c r="AE393" s="34"/>
      <c r="AF393" s="34"/>
    </row>
    <row x14ac:dyDescent="0.25" r="394" customHeight="1" ht="15.75">
      <c r="A394" s="502"/>
      <c r="B394" s="34"/>
      <c r="C394" s="34"/>
      <c r="D394" s="34"/>
      <c r="E394" s="34"/>
      <c r="F394" s="34"/>
      <c r="G394" s="34"/>
      <c r="H394" s="34"/>
      <c r="I394" s="29"/>
      <c r="J394" s="29"/>
      <c r="K394" s="29"/>
      <c r="L394" s="29"/>
      <c r="M394" s="34"/>
      <c r="N394" s="34"/>
      <c r="O394" s="29"/>
      <c r="P394" s="29"/>
      <c r="Q394" s="29"/>
      <c r="R394" s="34"/>
      <c r="S394" s="29"/>
      <c r="T394" s="29"/>
      <c r="U394" s="2"/>
      <c r="V394" s="34"/>
      <c r="W394" s="34"/>
      <c r="X394" s="34"/>
      <c r="Y394" s="29"/>
      <c r="Z394" s="34"/>
      <c r="AA394" s="34"/>
      <c r="AB394" s="29"/>
      <c r="AC394" s="34"/>
      <c r="AD394" s="29"/>
      <c r="AE394" s="34"/>
      <c r="AF394" s="34"/>
    </row>
    <row x14ac:dyDescent="0.25" r="395" customHeight="1" ht="15.75">
      <c r="A395" s="502"/>
      <c r="B395" s="34"/>
      <c r="C395" s="34"/>
      <c r="D395" s="34"/>
      <c r="E395" s="34"/>
      <c r="F395" s="34"/>
      <c r="G395" s="34"/>
      <c r="H395" s="34"/>
      <c r="I395" s="29"/>
      <c r="J395" s="29"/>
      <c r="K395" s="29"/>
      <c r="L395" s="29"/>
      <c r="M395" s="34"/>
      <c r="N395" s="34"/>
      <c r="O395" s="29"/>
      <c r="P395" s="29"/>
      <c r="Q395" s="29"/>
      <c r="R395" s="34"/>
      <c r="S395" s="29"/>
      <c r="T395" s="29"/>
      <c r="U395" s="2"/>
      <c r="V395" s="34"/>
      <c r="W395" s="34"/>
      <c r="X395" s="34"/>
      <c r="Y395" s="29"/>
      <c r="Z395" s="34"/>
      <c r="AA395" s="34"/>
      <c r="AB395" s="29"/>
      <c r="AC395" s="34"/>
      <c r="AD395" s="29"/>
      <c r="AE395" s="34"/>
      <c r="AF395" s="34"/>
    </row>
    <row x14ac:dyDescent="0.25" r="396" customHeight="1" ht="15.75">
      <c r="A396" s="502"/>
      <c r="B396" s="34"/>
      <c r="C396" s="34"/>
      <c r="D396" s="34"/>
      <c r="E396" s="34"/>
      <c r="F396" s="34"/>
      <c r="G396" s="34"/>
      <c r="H396" s="34"/>
      <c r="I396" s="29"/>
      <c r="J396" s="29"/>
      <c r="K396" s="29"/>
      <c r="L396" s="29"/>
      <c r="M396" s="34"/>
      <c r="N396" s="34"/>
      <c r="O396" s="29"/>
      <c r="P396" s="29"/>
      <c r="Q396" s="29"/>
      <c r="R396" s="34"/>
      <c r="S396" s="29"/>
      <c r="T396" s="29"/>
      <c r="U396" s="2"/>
      <c r="V396" s="34"/>
      <c r="W396" s="34"/>
      <c r="X396" s="34"/>
      <c r="Y396" s="29"/>
      <c r="Z396" s="34"/>
      <c r="AA396" s="34"/>
      <c r="AB396" s="29"/>
      <c r="AC396" s="34"/>
      <c r="AD396" s="29"/>
      <c r="AE396" s="34"/>
      <c r="AF396" s="34"/>
    </row>
    <row x14ac:dyDescent="0.25" r="397" customHeight="1" ht="15.75">
      <c r="A397" s="502"/>
      <c r="B397" s="34"/>
      <c r="C397" s="34"/>
      <c r="D397" s="34"/>
      <c r="E397" s="34"/>
      <c r="F397" s="34"/>
      <c r="G397" s="34"/>
      <c r="H397" s="34"/>
      <c r="I397" s="29"/>
      <c r="J397" s="29"/>
      <c r="K397" s="29"/>
      <c r="L397" s="29"/>
      <c r="M397" s="34"/>
      <c r="N397" s="34"/>
      <c r="O397" s="29"/>
      <c r="P397" s="29"/>
      <c r="Q397" s="29"/>
      <c r="R397" s="34"/>
      <c r="S397" s="29"/>
      <c r="T397" s="29"/>
      <c r="U397" s="2"/>
      <c r="V397" s="34"/>
      <c r="W397" s="34"/>
      <c r="X397" s="34"/>
      <c r="Y397" s="29"/>
      <c r="Z397" s="34"/>
      <c r="AA397" s="34"/>
      <c r="AB397" s="29"/>
      <c r="AC397" s="34"/>
      <c r="AD397" s="29"/>
      <c r="AE397" s="34"/>
      <c r="AF397" s="34"/>
    </row>
    <row x14ac:dyDescent="0.25" r="398" customHeight="1" ht="15.75">
      <c r="A398" s="502"/>
      <c r="B398" s="34"/>
      <c r="C398" s="34"/>
      <c r="D398" s="34"/>
      <c r="E398" s="34"/>
      <c r="F398" s="34"/>
      <c r="G398" s="34"/>
      <c r="H398" s="34"/>
      <c r="I398" s="29"/>
      <c r="J398" s="29"/>
      <c r="K398" s="29"/>
      <c r="L398" s="29"/>
      <c r="M398" s="34"/>
      <c r="N398" s="34"/>
      <c r="O398" s="29"/>
      <c r="P398" s="29"/>
      <c r="Q398" s="29"/>
      <c r="R398" s="34"/>
      <c r="S398" s="29"/>
      <c r="T398" s="29"/>
      <c r="U398" s="2"/>
      <c r="V398" s="34"/>
      <c r="W398" s="34"/>
      <c r="X398" s="34"/>
      <c r="Y398" s="29"/>
      <c r="Z398" s="34"/>
      <c r="AA398" s="34"/>
      <c r="AB398" s="29"/>
      <c r="AC398" s="34"/>
      <c r="AD398" s="29"/>
      <c r="AE398" s="34"/>
      <c r="AF398" s="34"/>
    </row>
    <row x14ac:dyDescent="0.25" r="399" customHeight="1" ht="15.75">
      <c r="A399" s="502"/>
      <c r="B399" s="34"/>
      <c r="C399" s="34"/>
      <c r="D399" s="34"/>
      <c r="E399" s="34"/>
      <c r="F399" s="34"/>
      <c r="G399" s="34"/>
      <c r="H399" s="34"/>
      <c r="I399" s="29"/>
      <c r="J399" s="29"/>
      <c r="K399" s="29"/>
      <c r="L399" s="29"/>
      <c r="M399" s="34"/>
      <c r="N399" s="34"/>
      <c r="O399" s="29"/>
      <c r="P399" s="29"/>
      <c r="Q399" s="29"/>
      <c r="R399" s="34"/>
      <c r="S399" s="29"/>
      <c r="T399" s="29"/>
      <c r="U399" s="2"/>
      <c r="V399" s="34"/>
      <c r="W399" s="34"/>
      <c r="X399" s="34"/>
      <c r="Y399" s="29"/>
      <c r="Z399" s="34"/>
      <c r="AA399" s="34"/>
      <c r="AB399" s="29"/>
      <c r="AC399" s="34"/>
      <c r="AD399" s="29"/>
      <c r="AE399" s="34"/>
      <c r="AF399" s="34"/>
    </row>
    <row x14ac:dyDescent="0.25" r="400" customHeight="1" ht="15.75">
      <c r="A400" s="502"/>
      <c r="B400" s="34"/>
      <c r="C400" s="34"/>
      <c r="D400" s="34"/>
      <c r="E400" s="34"/>
      <c r="F400" s="34"/>
      <c r="G400" s="34"/>
      <c r="H400" s="34"/>
      <c r="I400" s="29"/>
      <c r="J400" s="29"/>
      <c r="K400" s="29"/>
      <c r="L400" s="29"/>
      <c r="M400" s="34"/>
      <c r="N400" s="34"/>
      <c r="O400" s="29"/>
      <c r="P400" s="29"/>
      <c r="Q400" s="29"/>
      <c r="R400" s="34"/>
      <c r="S400" s="29"/>
      <c r="T400" s="29"/>
      <c r="U400" s="2"/>
      <c r="V400" s="34"/>
      <c r="W400" s="34"/>
      <c r="X400" s="34"/>
      <c r="Y400" s="29"/>
      <c r="Z400" s="34"/>
      <c r="AA400" s="34"/>
      <c r="AB400" s="29"/>
      <c r="AC400" s="34"/>
      <c r="AD400" s="29"/>
      <c r="AE400" s="34"/>
      <c r="AF400" s="34"/>
    </row>
    <row x14ac:dyDescent="0.25" r="401" customHeight="1" ht="15.75">
      <c r="A401" s="502"/>
      <c r="B401" s="34"/>
      <c r="C401" s="34"/>
      <c r="D401" s="34"/>
      <c r="E401" s="34"/>
      <c r="F401" s="34"/>
      <c r="G401" s="34"/>
      <c r="H401" s="34"/>
      <c r="I401" s="29"/>
      <c r="J401" s="29"/>
      <c r="K401" s="29"/>
      <c r="L401" s="29"/>
      <c r="M401" s="34"/>
      <c r="N401" s="34"/>
      <c r="O401" s="29"/>
      <c r="P401" s="29"/>
      <c r="Q401" s="29"/>
      <c r="R401" s="34"/>
      <c r="S401" s="29"/>
      <c r="T401" s="29"/>
      <c r="U401" s="2"/>
      <c r="V401" s="34"/>
      <c r="W401" s="34"/>
      <c r="X401" s="34"/>
      <c r="Y401" s="29"/>
      <c r="Z401" s="34"/>
      <c r="AA401" s="34"/>
      <c r="AB401" s="29"/>
      <c r="AC401" s="34"/>
      <c r="AD401" s="29"/>
      <c r="AE401" s="34"/>
      <c r="AF401" s="34"/>
    </row>
    <row x14ac:dyDescent="0.25" r="402" customHeight="1" ht="15.75">
      <c r="A402" s="502"/>
      <c r="B402" s="34"/>
      <c r="C402" s="34"/>
      <c r="D402" s="34"/>
      <c r="E402" s="34"/>
      <c r="F402" s="34"/>
      <c r="G402" s="34"/>
      <c r="H402" s="34"/>
      <c r="I402" s="29"/>
      <c r="J402" s="29"/>
      <c r="K402" s="29"/>
      <c r="L402" s="29"/>
      <c r="M402" s="34"/>
      <c r="N402" s="34"/>
      <c r="O402" s="29"/>
      <c r="P402" s="29"/>
      <c r="Q402" s="29"/>
      <c r="R402" s="34"/>
      <c r="S402" s="29"/>
      <c r="T402" s="29"/>
      <c r="U402" s="2"/>
      <c r="V402" s="34"/>
      <c r="W402" s="34"/>
      <c r="X402" s="34"/>
      <c r="Y402" s="29"/>
      <c r="Z402" s="34"/>
      <c r="AA402" s="34"/>
      <c r="AB402" s="29"/>
      <c r="AC402" s="34"/>
      <c r="AD402" s="29"/>
      <c r="AE402" s="34"/>
      <c r="AF402" s="34"/>
    </row>
    <row x14ac:dyDescent="0.25" r="403" customHeight="1" ht="15.75">
      <c r="A403" s="502"/>
      <c r="B403" s="34"/>
      <c r="C403" s="34"/>
      <c r="D403" s="34"/>
      <c r="E403" s="34"/>
      <c r="F403" s="34"/>
      <c r="G403" s="34"/>
      <c r="H403" s="34"/>
      <c r="I403" s="29"/>
      <c r="J403" s="29"/>
      <c r="K403" s="29"/>
      <c r="L403" s="29"/>
      <c r="M403" s="34"/>
      <c r="N403" s="34"/>
      <c r="O403" s="29"/>
      <c r="P403" s="29"/>
      <c r="Q403" s="29"/>
      <c r="R403" s="34"/>
      <c r="S403" s="29"/>
      <c r="T403" s="29"/>
      <c r="U403" s="2"/>
      <c r="V403" s="34"/>
      <c r="W403" s="34"/>
      <c r="X403" s="34"/>
      <c r="Y403" s="29"/>
      <c r="Z403" s="34"/>
      <c r="AA403" s="34"/>
      <c r="AB403" s="29"/>
      <c r="AC403" s="34"/>
      <c r="AD403" s="29"/>
      <c r="AE403" s="34"/>
      <c r="AF403" s="34"/>
    </row>
    <row x14ac:dyDescent="0.25" r="404" customHeight="1" ht="15.75">
      <c r="A404" s="502"/>
      <c r="B404" s="34"/>
      <c r="C404" s="34"/>
      <c r="D404" s="34"/>
      <c r="E404" s="34"/>
      <c r="F404" s="34"/>
      <c r="G404" s="34"/>
      <c r="H404" s="34"/>
      <c r="I404" s="29"/>
      <c r="J404" s="29"/>
      <c r="K404" s="29"/>
      <c r="L404" s="29"/>
      <c r="M404" s="34"/>
      <c r="N404" s="34"/>
      <c r="O404" s="29"/>
      <c r="P404" s="29"/>
      <c r="Q404" s="29"/>
      <c r="R404" s="34"/>
      <c r="S404" s="29"/>
      <c r="T404" s="29"/>
      <c r="U404" s="2"/>
      <c r="V404" s="34"/>
      <c r="W404" s="34"/>
      <c r="X404" s="34"/>
      <c r="Y404" s="29"/>
      <c r="Z404" s="34"/>
      <c r="AA404" s="34"/>
      <c r="AB404" s="29"/>
      <c r="AC404" s="34"/>
      <c r="AD404" s="29"/>
      <c r="AE404" s="34"/>
      <c r="AF404" s="34"/>
    </row>
    <row x14ac:dyDescent="0.25" r="405" customHeight="1" ht="15.75">
      <c r="A405" s="502"/>
      <c r="B405" s="34"/>
      <c r="C405" s="34"/>
      <c r="D405" s="34"/>
      <c r="E405" s="34"/>
      <c r="F405" s="34"/>
      <c r="G405" s="34"/>
      <c r="H405" s="34"/>
      <c r="I405" s="29"/>
      <c r="J405" s="29"/>
      <c r="K405" s="29"/>
      <c r="L405" s="29"/>
      <c r="M405" s="34"/>
      <c r="N405" s="34"/>
      <c r="O405" s="29"/>
      <c r="P405" s="29"/>
      <c r="Q405" s="29"/>
      <c r="R405" s="34"/>
      <c r="S405" s="29"/>
      <c r="T405" s="29"/>
      <c r="U405" s="2"/>
      <c r="V405" s="34"/>
      <c r="W405" s="34"/>
      <c r="X405" s="34"/>
      <c r="Y405" s="29"/>
      <c r="Z405" s="34"/>
      <c r="AA405" s="34"/>
      <c r="AB405" s="29"/>
      <c r="AC405" s="34"/>
      <c r="AD405" s="29"/>
      <c r="AE405" s="34"/>
      <c r="AF405" s="34"/>
    </row>
    <row x14ac:dyDescent="0.25" r="406" customHeight="1" ht="15.75">
      <c r="A406" s="502"/>
      <c r="B406" s="34"/>
      <c r="C406" s="34"/>
      <c r="D406" s="34"/>
      <c r="E406" s="34"/>
      <c r="F406" s="34"/>
      <c r="G406" s="34"/>
      <c r="H406" s="34"/>
      <c r="I406" s="29"/>
      <c r="J406" s="29"/>
      <c r="K406" s="29"/>
      <c r="L406" s="29"/>
      <c r="M406" s="34"/>
      <c r="N406" s="34"/>
      <c r="O406" s="29"/>
      <c r="P406" s="29"/>
      <c r="Q406" s="29"/>
      <c r="R406" s="34"/>
      <c r="S406" s="29"/>
      <c r="T406" s="29"/>
      <c r="U406" s="2"/>
      <c r="V406" s="34"/>
      <c r="W406" s="34"/>
      <c r="X406" s="34"/>
      <c r="Y406" s="29"/>
      <c r="Z406" s="34"/>
      <c r="AA406" s="34"/>
      <c r="AB406" s="29"/>
      <c r="AC406" s="34"/>
      <c r="AD406" s="29"/>
      <c r="AE406" s="34"/>
      <c r="AF406" s="34"/>
    </row>
    <row x14ac:dyDescent="0.25" r="407" customHeight="1" ht="15.75">
      <c r="A407" s="502"/>
      <c r="B407" s="34"/>
      <c r="C407" s="34"/>
      <c r="D407" s="34"/>
      <c r="E407" s="34"/>
      <c r="F407" s="34"/>
      <c r="G407" s="34"/>
      <c r="H407" s="34"/>
      <c r="I407" s="29"/>
      <c r="J407" s="29"/>
      <c r="K407" s="29"/>
      <c r="L407" s="29"/>
      <c r="M407" s="34"/>
      <c r="N407" s="34"/>
      <c r="O407" s="29"/>
      <c r="P407" s="29"/>
      <c r="Q407" s="29"/>
      <c r="R407" s="34"/>
      <c r="S407" s="29"/>
      <c r="T407" s="29"/>
      <c r="U407" s="2"/>
      <c r="V407" s="34"/>
      <c r="W407" s="34"/>
      <c r="X407" s="34"/>
      <c r="Y407" s="29"/>
      <c r="Z407" s="34"/>
      <c r="AA407" s="34"/>
      <c r="AB407" s="29"/>
      <c r="AC407" s="34"/>
      <c r="AD407" s="29"/>
      <c r="AE407" s="34"/>
      <c r="AF407" s="34"/>
    </row>
    <row x14ac:dyDescent="0.25" r="408" customHeight="1" ht="15.75">
      <c r="A408" s="502"/>
      <c r="B408" s="34"/>
      <c r="C408" s="34"/>
      <c r="D408" s="34"/>
      <c r="E408" s="34"/>
      <c r="F408" s="34"/>
      <c r="G408" s="34"/>
      <c r="H408" s="34"/>
      <c r="I408" s="29"/>
      <c r="J408" s="29"/>
      <c r="K408" s="29"/>
      <c r="L408" s="29"/>
      <c r="M408" s="34"/>
      <c r="N408" s="34"/>
      <c r="O408" s="29"/>
      <c r="P408" s="29"/>
      <c r="Q408" s="29"/>
      <c r="R408" s="34"/>
      <c r="S408" s="29"/>
      <c r="T408" s="29"/>
      <c r="U408" s="2"/>
      <c r="V408" s="34"/>
      <c r="W408" s="34"/>
      <c r="X408" s="34"/>
      <c r="Y408" s="29"/>
      <c r="Z408" s="34"/>
      <c r="AA408" s="34"/>
      <c r="AB408" s="29"/>
      <c r="AC408" s="34"/>
      <c r="AD408" s="29"/>
      <c r="AE408" s="34"/>
      <c r="AF408" s="34"/>
    </row>
    <row x14ac:dyDescent="0.25" r="409" customHeight="1" ht="15.75">
      <c r="A409" s="502"/>
      <c r="B409" s="34"/>
      <c r="C409" s="34"/>
      <c r="D409" s="34"/>
      <c r="E409" s="34"/>
      <c r="F409" s="34"/>
      <c r="G409" s="34"/>
      <c r="H409" s="34"/>
      <c r="I409" s="29"/>
      <c r="J409" s="29"/>
      <c r="K409" s="29"/>
      <c r="L409" s="29"/>
      <c r="M409" s="34"/>
      <c r="N409" s="34"/>
      <c r="O409" s="29"/>
      <c r="P409" s="29"/>
      <c r="Q409" s="29"/>
      <c r="R409" s="34"/>
      <c r="S409" s="29"/>
      <c r="T409" s="29"/>
      <c r="U409" s="2"/>
      <c r="V409" s="34"/>
      <c r="W409" s="34"/>
      <c r="X409" s="34"/>
      <c r="Y409" s="29"/>
      <c r="Z409" s="34"/>
      <c r="AA409" s="34"/>
      <c r="AB409" s="29"/>
      <c r="AC409" s="34"/>
      <c r="AD409" s="29"/>
      <c r="AE409" s="34"/>
      <c r="AF409" s="34"/>
    </row>
    <row x14ac:dyDescent="0.25" r="410" customHeight="1" ht="15.75">
      <c r="A410" s="502"/>
      <c r="B410" s="34"/>
      <c r="C410" s="34"/>
      <c r="D410" s="34"/>
      <c r="E410" s="34"/>
      <c r="F410" s="34"/>
      <c r="G410" s="34"/>
      <c r="H410" s="34"/>
      <c r="I410" s="29"/>
      <c r="J410" s="29"/>
      <c r="K410" s="29"/>
      <c r="L410" s="29"/>
      <c r="M410" s="34"/>
      <c r="N410" s="34"/>
      <c r="O410" s="29"/>
      <c r="P410" s="29"/>
      <c r="Q410" s="29"/>
      <c r="R410" s="34"/>
      <c r="S410" s="29"/>
      <c r="T410" s="29"/>
      <c r="U410" s="2"/>
      <c r="V410" s="34"/>
      <c r="W410" s="34"/>
      <c r="X410" s="34"/>
      <c r="Y410" s="29"/>
      <c r="Z410" s="34"/>
      <c r="AA410" s="34"/>
      <c r="AB410" s="29"/>
      <c r="AC410" s="34"/>
      <c r="AD410" s="29"/>
      <c r="AE410" s="34"/>
      <c r="AF410" s="34"/>
    </row>
    <row x14ac:dyDescent="0.25" r="411" customHeight="1" ht="15.75">
      <c r="A411" s="502"/>
      <c r="B411" s="34"/>
      <c r="C411" s="34"/>
      <c r="D411" s="34"/>
      <c r="E411" s="34"/>
      <c r="F411" s="34"/>
      <c r="G411" s="34"/>
      <c r="H411" s="34"/>
      <c r="I411" s="29"/>
      <c r="J411" s="29"/>
      <c r="K411" s="29"/>
      <c r="L411" s="29"/>
      <c r="M411" s="34"/>
      <c r="N411" s="34"/>
      <c r="O411" s="29"/>
      <c r="P411" s="29"/>
      <c r="Q411" s="29"/>
      <c r="R411" s="34"/>
      <c r="S411" s="29"/>
      <c r="T411" s="29"/>
      <c r="U411" s="2"/>
      <c r="V411" s="34"/>
      <c r="W411" s="34"/>
      <c r="X411" s="34"/>
      <c r="Y411" s="29"/>
      <c r="Z411" s="34"/>
      <c r="AA411" s="34"/>
      <c r="AB411" s="29"/>
      <c r="AC411" s="34"/>
      <c r="AD411" s="29"/>
      <c r="AE411" s="34"/>
      <c r="AF411" s="34"/>
    </row>
    <row x14ac:dyDescent="0.25" r="412" customHeight="1" ht="15.75">
      <c r="A412" s="502"/>
      <c r="B412" s="34"/>
      <c r="C412" s="34"/>
      <c r="D412" s="34"/>
      <c r="E412" s="34"/>
      <c r="F412" s="34"/>
      <c r="G412" s="34"/>
      <c r="H412" s="34"/>
      <c r="I412" s="29"/>
      <c r="J412" s="29"/>
      <c r="K412" s="29"/>
      <c r="L412" s="29"/>
      <c r="M412" s="34"/>
      <c r="N412" s="34"/>
      <c r="O412" s="29"/>
      <c r="P412" s="29"/>
      <c r="Q412" s="29"/>
      <c r="R412" s="34"/>
      <c r="S412" s="29"/>
      <c r="T412" s="29"/>
      <c r="U412" s="2"/>
      <c r="V412" s="34"/>
      <c r="W412" s="34"/>
      <c r="X412" s="34"/>
      <c r="Y412" s="29"/>
      <c r="Z412" s="34"/>
      <c r="AA412" s="34"/>
      <c r="AB412" s="29"/>
      <c r="AC412" s="34"/>
      <c r="AD412" s="29"/>
      <c r="AE412" s="34"/>
      <c r="AF412" s="34"/>
    </row>
    <row x14ac:dyDescent="0.25" r="413" customHeight="1" ht="15.75">
      <c r="A413" s="502"/>
      <c r="B413" s="34"/>
      <c r="C413" s="34"/>
      <c r="D413" s="34"/>
      <c r="E413" s="34"/>
      <c r="F413" s="34"/>
      <c r="G413" s="34"/>
      <c r="H413" s="34"/>
      <c r="I413" s="29"/>
      <c r="J413" s="29"/>
      <c r="K413" s="29"/>
      <c r="L413" s="29"/>
      <c r="M413" s="34"/>
      <c r="N413" s="34"/>
      <c r="O413" s="29"/>
      <c r="P413" s="29"/>
      <c r="Q413" s="29"/>
      <c r="R413" s="34"/>
      <c r="S413" s="29"/>
      <c r="T413" s="29"/>
      <c r="U413" s="2"/>
      <c r="V413" s="34"/>
      <c r="W413" s="34"/>
      <c r="X413" s="34"/>
      <c r="Y413" s="29"/>
      <c r="Z413" s="34"/>
      <c r="AA413" s="34"/>
      <c r="AB413" s="29"/>
      <c r="AC413" s="34"/>
      <c r="AD413" s="29"/>
      <c r="AE413" s="34"/>
      <c r="AF413" s="34"/>
    </row>
    <row x14ac:dyDescent="0.25" r="414" customHeight="1" ht="15.75">
      <c r="A414" s="502"/>
      <c r="B414" s="34"/>
      <c r="C414" s="34"/>
      <c r="D414" s="34"/>
      <c r="E414" s="34"/>
      <c r="F414" s="34"/>
      <c r="G414" s="34"/>
      <c r="H414" s="34"/>
      <c r="I414" s="29"/>
      <c r="J414" s="29"/>
      <c r="K414" s="29"/>
      <c r="L414" s="29"/>
      <c r="M414" s="34"/>
      <c r="N414" s="34"/>
      <c r="O414" s="29"/>
      <c r="P414" s="29"/>
      <c r="Q414" s="29"/>
      <c r="R414" s="34"/>
      <c r="S414" s="29"/>
      <c r="T414" s="29"/>
      <c r="U414" s="2"/>
      <c r="V414" s="34"/>
      <c r="W414" s="34"/>
      <c r="X414" s="34"/>
      <c r="Y414" s="29"/>
      <c r="Z414" s="34"/>
      <c r="AA414" s="34"/>
      <c r="AB414" s="29"/>
      <c r="AC414" s="34"/>
      <c r="AD414" s="29"/>
      <c r="AE414" s="34"/>
      <c r="AF414" s="34"/>
    </row>
    <row x14ac:dyDescent="0.25" r="415" customHeight="1" ht="15.75">
      <c r="A415" s="502"/>
      <c r="B415" s="34"/>
      <c r="C415" s="34"/>
      <c r="D415" s="34"/>
      <c r="E415" s="34"/>
      <c r="F415" s="34"/>
      <c r="G415" s="34"/>
      <c r="H415" s="34"/>
      <c r="I415" s="29"/>
      <c r="J415" s="29"/>
      <c r="K415" s="29"/>
      <c r="L415" s="29"/>
      <c r="M415" s="34"/>
      <c r="N415" s="34"/>
      <c r="O415" s="29"/>
      <c r="P415" s="29"/>
      <c r="Q415" s="29"/>
      <c r="R415" s="34"/>
      <c r="S415" s="29"/>
      <c r="T415" s="29"/>
      <c r="U415" s="2"/>
      <c r="V415" s="34"/>
      <c r="W415" s="34"/>
      <c r="X415" s="34"/>
      <c r="Y415" s="29"/>
      <c r="Z415" s="34"/>
      <c r="AA415" s="34"/>
      <c r="AB415" s="29"/>
      <c r="AC415" s="34"/>
      <c r="AD415" s="29"/>
      <c r="AE415" s="34"/>
      <c r="AF415" s="34"/>
    </row>
    <row x14ac:dyDescent="0.25" r="416" customHeight="1" ht="15.75">
      <c r="A416" s="502"/>
      <c r="B416" s="34"/>
      <c r="C416" s="34"/>
      <c r="D416" s="34"/>
      <c r="E416" s="34"/>
      <c r="F416" s="34"/>
      <c r="G416" s="34"/>
      <c r="H416" s="34"/>
      <c r="I416" s="29"/>
      <c r="J416" s="29"/>
      <c r="K416" s="29"/>
      <c r="L416" s="29"/>
      <c r="M416" s="34"/>
      <c r="N416" s="34"/>
      <c r="O416" s="29"/>
      <c r="P416" s="29"/>
      <c r="Q416" s="29"/>
      <c r="R416" s="34"/>
      <c r="S416" s="29"/>
      <c r="T416" s="29"/>
      <c r="U416" s="2"/>
      <c r="V416" s="34"/>
      <c r="W416" s="34"/>
      <c r="X416" s="34"/>
      <c r="Y416" s="29"/>
      <c r="Z416" s="34"/>
      <c r="AA416" s="34"/>
      <c r="AB416" s="29"/>
      <c r="AC416" s="34"/>
      <c r="AD416" s="29"/>
      <c r="AE416" s="34"/>
      <c r="AF416" s="34"/>
    </row>
    <row x14ac:dyDescent="0.25" r="417" customHeight="1" ht="15.75">
      <c r="A417" s="502"/>
      <c r="B417" s="34"/>
      <c r="C417" s="34"/>
      <c r="D417" s="34"/>
      <c r="E417" s="34"/>
      <c r="F417" s="34"/>
      <c r="G417" s="34"/>
      <c r="H417" s="34"/>
      <c r="I417" s="29"/>
      <c r="J417" s="29"/>
      <c r="K417" s="29"/>
      <c r="L417" s="29"/>
      <c r="M417" s="34"/>
      <c r="N417" s="34"/>
      <c r="O417" s="29"/>
      <c r="P417" s="29"/>
      <c r="Q417" s="29"/>
      <c r="R417" s="34"/>
      <c r="S417" s="29"/>
      <c r="T417" s="29"/>
      <c r="U417" s="2"/>
      <c r="V417" s="34"/>
      <c r="W417" s="34"/>
      <c r="X417" s="34"/>
      <c r="Y417" s="29"/>
      <c r="Z417" s="34"/>
      <c r="AA417" s="34"/>
      <c r="AB417" s="29"/>
      <c r="AC417" s="34"/>
      <c r="AD417" s="29"/>
      <c r="AE417" s="34"/>
      <c r="AF417" s="34"/>
    </row>
    <row x14ac:dyDescent="0.25" r="418" customHeight="1" ht="15.75">
      <c r="A418" s="502"/>
      <c r="B418" s="34"/>
      <c r="C418" s="34"/>
      <c r="D418" s="34"/>
      <c r="E418" s="34"/>
      <c r="F418" s="34"/>
      <c r="G418" s="34"/>
      <c r="H418" s="34"/>
      <c r="I418" s="29"/>
      <c r="J418" s="29"/>
      <c r="K418" s="29"/>
      <c r="L418" s="29"/>
      <c r="M418" s="34"/>
      <c r="N418" s="34"/>
      <c r="O418" s="29"/>
      <c r="P418" s="29"/>
      <c r="Q418" s="29"/>
      <c r="R418" s="34"/>
      <c r="S418" s="29"/>
      <c r="T418" s="29"/>
      <c r="U418" s="2"/>
      <c r="V418" s="34"/>
      <c r="W418" s="34"/>
      <c r="X418" s="34"/>
      <c r="Y418" s="29"/>
      <c r="Z418" s="34"/>
      <c r="AA418" s="34"/>
      <c r="AB418" s="29"/>
      <c r="AC418" s="34"/>
      <c r="AD418" s="29"/>
      <c r="AE418" s="34"/>
      <c r="AF418" s="34"/>
    </row>
    <row x14ac:dyDescent="0.25" r="419" customHeight="1" ht="15.75">
      <c r="A419" s="502"/>
      <c r="B419" s="34"/>
      <c r="C419" s="34"/>
      <c r="D419" s="34"/>
      <c r="E419" s="34"/>
      <c r="F419" s="34"/>
      <c r="G419" s="34"/>
      <c r="H419" s="34"/>
      <c r="I419" s="29"/>
      <c r="J419" s="29"/>
      <c r="K419" s="29"/>
      <c r="L419" s="29"/>
      <c r="M419" s="34"/>
      <c r="N419" s="34"/>
      <c r="O419" s="29"/>
      <c r="P419" s="29"/>
      <c r="Q419" s="29"/>
      <c r="R419" s="34"/>
      <c r="S419" s="29"/>
      <c r="T419" s="29"/>
      <c r="U419" s="2"/>
      <c r="V419" s="34"/>
      <c r="W419" s="34"/>
      <c r="X419" s="34"/>
      <c r="Y419" s="29"/>
      <c r="Z419" s="34"/>
      <c r="AA419" s="34"/>
      <c r="AB419" s="29"/>
      <c r="AC419" s="34"/>
      <c r="AD419" s="29"/>
      <c r="AE419" s="34"/>
      <c r="AF419" s="34"/>
    </row>
    <row x14ac:dyDescent="0.25" r="420" customHeight="1" ht="15.75">
      <c r="A420" s="502"/>
      <c r="B420" s="34"/>
      <c r="C420" s="34"/>
      <c r="D420" s="34"/>
      <c r="E420" s="34"/>
      <c r="F420" s="34"/>
      <c r="G420" s="34"/>
      <c r="H420" s="34"/>
      <c r="I420" s="29"/>
      <c r="J420" s="29"/>
      <c r="K420" s="29"/>
      <c r="L420" s="29"/>
      <c r="M420" s="34"/>
      <c r="N420" s="34"/>
      <c r="O420" s="29"/>
      <c r="P420" s="29"/>
      <c r="Q420" s="29"/>
      <c r="R420" s="34"/>
      <c r="S420" s="29"/>
      <c r="T420" s="29"/>
      <c r="U420" s="2"/>
      <c r="V420" s="34"/>
      <c r="W420" s="34"/>
      <c r="X420" s="34"/>
      <c r="Y420" s="29"/>
      <c r="Z420" s="34"/>
      <c r="AA420" s="34"/>
      <c r="AB420" s="29"/>
      <c r="AC420" s="34"/>
      <c r="AD420" s="29"/>
      <c r="AE420" s="34"/>
      <c r="AF420" s="34"/>
    </row>
    <row x14ac:dyDescent="0.25" r="421" customHeight="1" ht="15.75">
      <c r="A421" s="502"/>
      <c r="B421" s="34"/>
      <c r="C421" s="34"/>
      <c r="D421" s="34"/>
      <c r="E421" s="34"/>
      <c r="F421" s="34"/>
      <c r="G421" s="34"/>
      <c r="H421" s="34"/>
      <c r="I421" s="29"/>
      <c r="J421" s="29"/>
      <c r="K421" s="29"/>
      <c r="L421" s="29"/>
      <c r="M421" s="34"/>
      <c r="N421" s="34"/>
      <c r="O421" s="29"/>
      <c r="P421" s="29"/>
      <c r="Q421" s="29"/>
      <c r="R421" s="34"/>
      <c r="S421" s="29"/>
      <c r="T421" s="29"/>
      <c r="U421" s="2"/>
      <c r="V421" s="34"/>
      <c r="W421" s="34"/>
      <c r="X421" s="34"/>
      <c r="Y421" s="29"/>
      <c r="Z421" s="34"/>
      <c r="AA421" s="34"/>
      <c r="AB421" s="29"/>
      <c r="AC421" s="34"/>
      <c r="AD421" s="29"/>
      <c r="AE421" s="34"/>
      <c r="AF421" s="34"/>
    </row>
    <row x14ac:dyDescent="0.25" r="422" customHeight="1" ht="15.75">
      <c r="A422" s="502"/>
      <c r="B422" s="34"/>
      <c r="C422" s="34"/>
      <c r="D422" s="34"/>
      <c r="E422" s="34"/>
      <c r="F422" s="34"/>
      <c r="G422" s="34"/>
      <c r="H422" s="34"/>
      <c r="I422" s="29"/>
      <c r="J422" s="29"/>
      <c r="K422" s="29"/>
      <c r="L422" s="29"/>
      <c r="M422" s="34"/>
      <c r="N422" s="34"/>
      <c r="O422" s="29"/>
      <c r="P422" s="29"/>
      <c r="Q422" s="29"/>
      <c r="R422" s="34"/>
      <c r="S422" s="29"/>
      <c r="T422" s="29"/>
      <c r="U422" s="2"/>
      <c r="V422" s="34"/>
      <c r="W422" s="34"/>
      <c r="X422" s="34"/>
      <c r="Y422" s="29"/>
      <c r="Z422" s="34"/>
      <c r="AA422" s="34"/>
      <c r="AB422" s="29"/>
      <c r="AC422" s="34"/>
      <c r="AD422" s="29"/>
      <c r="AE422" s="34"/>
      <c r="AF422" s="34"/>
    </row>
    <row x14ac:dyDescent="0.25" r="423" customHeight="1" ht="15.75">
      <c r="A423" s="502"/>
      <c r="B423" s="34"/>
      <c r="C423" s="34"/>
      <c r="D423" s="34"/>
      <c r="E423" s="34"/>
      <c r="F423" s="34"/>
      <c r="G423" s="34"/>
      <c r="H423" s="34"/>
      <c r="I423" s="29"/>
      <c r="J423" s="29"/>
      <c r="K423" s="29"/>
      <c r="L423" s="29"/>
      <c r="M423" s="34"/>
      <c r="N423" s="34"/>
      <c r="O423" s="29"/>
      <c r="P423" s="29"/>
      <c r="Q423" s="29"/>
      <c r="R423" s="34"/>
      <c r="S423" s="29"/>
      <c r="T423" s="29"/>
      <c r="U423" s="2"/>
      <c r="V423" s="34"/>
      <c r="W423" s="34"/>
      <c r="X423" s="34"/>
      <c r="Y423" s="29"/>
      <c r="Z423" s="34"/>
      <c r="AA423" s="34"/>
      <c r="AB423" s="29"/>
      <c r="AC423" s="34"/>
      <c r="AD423" s="29"/>
      <c r="AE423" s="34"/>
      <c r="AF423" s="34"/>
    </row>
    <row x14ac:dyDescent="0.25" r="424" customHeight="1" ht="15.75">
      <c r="A424" s="502"/>
      <c r="B424" s="34"/>
      <c r="C424" s="34"/>
      <c r="D424" s="34"/>
      <c r="E424" s="34"/>
      <c r="F424" s="34"/>
      <c r="G424" s="34"/>
      <c r="H424" s="34"/>
      <c r="I424" s="29"/>
      <c r="J424" s="29"/>
      <c r="K424" s="29"/>
      <c r="L424" s="29"/>
      <c r="M424" s="34"/>
      <c r="N424" s="34"/>
      <c r="O424" s="29"/>
      <c r="P424" s="29"/>
      <c r="Q424" s="29"/>
      <c r="R424" s="34"/>
      <c r="S424" s="29"/>
      <c r="T424" s="29"/>
      <c r="U424" s="2"/>
      <c r="V424" s="34"/>
      <c r="W424" s="34"/>
      <c r="X424" s="34"/>
      <c r="Y424" s="29"/>
      <c r="Z424" s="34"/>
      <c r="AA424" s="34"/>
      <c r="AB424" s="29"/>
      <c r="AC424" s="34"/>
      <c r="AD424" s="29"/>
      <c r="AE424" s="34"/>
      <c r="AF424" s="34"/>
    </row>
    <row x14ac:dyDescent="0.25" r="425" customHeight="1" ht="15.75">
      <c r="A425" s="502"/>
      <c r="B425" s="34"/>
      <c r="C425" s="34"/>
      <c r="D425" s="34"/>
      <c r="E425" s="34"/>
      <c r="F425" s="34"/>
      <c r="G425" s="34"/>
      <c r="H425" s="34"/>
      <c r="I425" s="29"/>
      <c r="J425" s="29"/>
      <c r="K425" s="29"/>
      <c r="L425" s="29"/>
      <c r="M425" s="34"/>
      <c r="N425" s="34"/>
      <c r="O425" s="29"/>
      <c r="P425" s="29"/>
      <c r="Q425" s="29"/>
      <c r="R425" s="34"/>
      <c r="S425" s="29"/>
      <c r="T425" s="29"/>
      <c r="U425" s="2"/>
      <c r="V425" s="34"/>
      <c r="W425" s="34"/>
      <c r="X425" s="34"/>
      <c r="Y425" s="29"/>
      <c r="Z425" s="34"/>
      <c r="AA425" s="34"/>
      <c r="AB425" s="29"/>
      <c r="AC425" s="34"/>
      <c r="AD425" s="29"/>
      <c r="AE425" s="34"/>
      <c r="AF425" s="34"/>
    </row>
    <row x14ac:dyDescent="0.25" r="426" customHeight="1" ht="15.75">
      <c r="A426" s="502"/>
      <c r="B426" s="34"/>
      <c r="C426" s="34"/>
      <c r="D426" s="34"/>
      <c r="E426" s="34"/>
      <c r="F426" s="34"/>
      <c r="G426" s="34"/>
      <c r="H426" s="34"/>
      <c r="I426" s="29"/>
      <c r="J426" s="29"/>
      <c r="K426" s="29"/>
      <c r="L426" s="29"/>
      <c r="M426" s="34"/>
      <c r="N426" s="34"/>
      <c r="O426" s="29"/>
      <c r="P426" s="29"/>
      <c r="Q426" s="29"/>
      <c r="R426" s="34"/>
      <c r="S426" s="29"/>
      <c r="T426" s="29"/>
      <c r="U426" s="2"/>
      <c r="V426" s="34"/>
      <c r="W426" s="34"/>
      <c r="X426" s="34"/>
      <c r="Y426" s="29"/>
      <c r="Z426" s="34"/>
      <c r="AA426" s="34"/>
      <c r="AB426" s="29"/>
      <c r="AC426" s="34"/>
      <c r="AD426" s="29"/>
      <c r="AE426" s="34"/>
      <c r="AF426" s="34"/>
    </row>
    <row x14ac:dyDescent="0.25" r="427" customHeight="1" ht="15.75">
      <c r="A427" s="502"/>
      <c r="B427" s="34"/>
      <c r="C427" s="34"/>
      <c r="D427" s="34"/>
      <c r="E427" s="34"/>
      <c r="F427" s="34"/>
      <c r="G427" s="34"/>
      <c r="H427" s="34"/>
      <c r="I427" s="29"/>
      <c r="J427" s="29"/>
      <c r="K427" s="29"/>
      <c r="L427" s="29"/>
      <c r="M427" s="34"/>
      <c r="N427" s="34"/>
      <c r="O427" s="29"/>
      <c r="P427" s="29"/>
      <c r="Q427" s="29"/>
      <c r="R427" s="34"/>
      <c r="S427" s="29"/>
      <c r="T427" s="29"/>
      <c r="U427" s="2"/>
      <c r="V427" s="34"/>
      <c r="W427" s="34"/>
      <c r="X427" s="34"/>
      <c r="Y427" s="29"/>
      <c r="Z427" s="34"/>
      <c r="AA427" s="34"/>
      <c r="AB427" s="29"/>
      <c r="AC427" s="34"/>
      <c r="AD427" s="29"/>
      <c r="AE427" s="34"/>
      <c r="AF427" s="34"/>
    </row>
    <row x14ac:dyDescent="0.25" r="428" customHeight="1" ht="15.75">
      <c r="A428" s="502"/>
      <c r="B428" s="34"/>
      <c r="C428" s="34"/>
      <c r="D428" s="34"/>
      <c r="E428" s="34"/>
      <c r="F428" s="34"/>
      <c r="G428" s="34"/>
      <c r="H428" s="34"/>
      <c r="I428" s="29"/>
      <c r="J428" s="29"/>
      <c r="K428" s="29"/>
      <c r="L428" s="29"/>
      <c r="M428" s="34"/>
      <c r="N428" s="34"/>
      <c r="O428" s="29"/>
      <c r="P428" s="29"/>
      <c r="Q428" s="29"/>
      <c r="R428" s="34"/>
      <c r="S428" s="29"/>
      <c r="T428" s="29"/>
      <c r="U428" s="2"/>
      <c r="V428" s="34"/>
      <c r="W428" s="34"/>
      <c r="X428" s="34"/>
      <c r="Y428" s="29"/>
      <c r="Z428" s="34"/>
      <c r="AA428" s="34"/>
      <c r="AB428" s="29"/>
      <c r="AC428" s="34"/>
      <c r="AD428" s="29"/>
      <c r="AE428" s="34"/>
      <c r="AF428" s="34"/>
    </row>
    <row x14ac:dyDescent="0.25" r="429" customHeight="1" ht="15.75">
      <c r="A429" s="502"/>
      <c r="B429" s="34"/>
      <c r="C429" s="34"/>
      <c r="D429" s="34"/>
      <c r="E429" s="34"/>
      <c r="F429" s="34"/>
      <c r="G429" s="34"/>
      <c r="H429" s="34"/>
      <c r="I429" s="29"/>
      <c r="J429" s="29"/>
      <c r="K429" s="29"/>
      <c r="L429" s="29"/>
      <c r="M429" s="34"/>
      <c r="N429" s="34"/>
      <c r="O429" s="29"/>
      <c r="P429" s="29"/>
      <c r="Q429" s="29"/>
      <c r="R429" s="34"/>
      <c r="S429" s="29"/>
      <c r="T429" s="29"/>
      <c r="U429" s="2"/>
      <c r="V429" s="34"/>
      <c r="W429" s="34"/>
      <c r="X429" s="34"/>
      <c r="Y429" s="29"/>
      <c r="Z429" s="34"/>
      <c r="AA429" s="34"/>
      <c r="AB429" s="29"/>
      <c r="AC429" s="34"/>
      <c r="AD429" s="29"/>
      <c r="AE429" s="34"/>
      <c r="AF429" s="34"/>
    </row>
    <row x14ac:dyDescent="0.25" r="430" customHeight="1" ht="15.75">
      <c r="A430" s="502"/>
      <c r="B430" s="34"/>
      <c r="C430" s="34"/>
      <c r="D430" s="34"/>
      <c r="E430" s="34"/>
      <c r="F430" s="34"/>
      <c r="G430" s="34"/>
      <c r="H430" s="34"/>
      <c r="I430" s="29"/>
      <c r="J430" s="29"/>
      <c r="K430" s="29"/>
      <c r="L430" s="29"/>
      <c r="M430" s="34"/>
      <c r="N430" s="34"/>
      <c r="O430" s="29"/>
      <c r="P430" s="29"/>
      <c r="Q430" s="29"/>
      <c r="R430" s="34"/>
      <c r="S430" s="29"/>
      <c r="T430" s="29"/>
      <c r="U430" s="2"/>
      <c r="V430" s="34"/>
      <c r="W430" s="34"/>
      <c r="X430" s="34"/>
      <c r="Y430" s="29"/>
      <c r="Z430" s="34"/>
      <c r="AA430" s="34"/>
      <c r="AB430" s="29"/>
      <c r="AC430" s="34"/>
      <c r="AD430" s="29"/>
      <c r="AE430" s="34"/>
      <c r="AF430" s="34"/>
    </row>
    <row x14ac:dyDescent="0.25" r="431" customHeight="1" ht="15.75">
      <c r="A431" s="502"/>
      <c r="B431" s="34"/>
      <c r="C431" s="34"/>
      <c r="D431" s="34"/>
      <c r="E431" s="34"/>
      <c r="F431" s="34"/>
      <c r="G431" s="34"/>
      <c r="H431" s="34"/>
      <c r="I431" s="29"/>
      <c r="J431" s="29"/>
      <c r="K431" s="29"/>
      <c r="L431" s="29"/>
      <c r="M431" s="34"/>
      <c r="N431" s="34"/>
      <c r="O431" s="29"/>
      <c r="P431" s="29"/>
      <c r="Q431" s="29"/>
      <c r="R431" s="34"/>
      <c r="S431" s="29"/>
      <c r="T431" s="29"/>
      <c r="U431" s="2"/>
      <c r="V431" s="34"/>
      <c r="W431" s="34"/>
      <c r="X431" s="34"/>
      <c r="Y431" s="29"/>
      <c r="Z431" s="34"/>
      <c r="AA431" s="34"/>
      <c r="AB431" s="29"/>
      <c r="AC431" s="34"/>
      <c r="AD431" s="29"/>
      <c r="AE431" s="34"/>
      <c r="AF431" s="34"/>
    </row>
    <row x14ac:dyDescent="0.25" r="432" customHeight="1" ht="15.75">
      <c r="A432" s="502"/>
      <c r="B432" s="34"/>
      <c r="C432" s="34"/>
      <c r="D432" s="34"/>
      <c r="E432" s="34"/>
      <c r="F432" s="34"/>
      <c r="G432" s="34"/>
      <c r="H432" s="34"/>
      <c r="I432" s="29"/>
      <c r="J432" s="29"/>
      <c r="K432" s="29"/>
      <c r="L432" s="29"/>
      <c r="M432" s="34"/>
      <c r="N432" s="34"/>
      <c r="O432" s="29"/>
      <c r="P432" s="29"/>
      <c r="Q432" s="29"/>
      <c r="R432" s="34"/>
      <c r="S432" s="29"/>
      <c r="T432" s="29"/>
      <c r="U432" s="2"/>
      <c r="V432" s="34"/>
      <c r="W432" s="34"/>
      <c r="X432" s="34"/>
      <c r="Y432" s="29"/>
      <c r="Z432" s="34"/>
      <c r="AA432" s="34"/>
      <c r="AB432" s="29"/>
      <c r="AC432" s="34"/>
      <c r="AD432" s="29"/>
      <c r="AE432" s="34"/>
      <c r="AF432" s="34"/>
    </row>
    <row x14ac:dyDescent="0.25" r="433" customHeight="1" ht="15.75">
      <c r="A433" s="502"/>
      <c r="B433" s="34"/>
      <c r="C433" s="34"/>
      <c r="D433" s="34"/>
      <c r="E433" s="34"/>
      <c r="F433" s="34"/>
      <c r="G433" s="34"/>
      <c r="H433" s="34"/>
      <c r="I433" s="29"/>
      <c r="J433" s="29"/>
      <c r="K433" s="29"/>
      <c r="L433" s="29"/>
      <c r="M433" s="34"/>
      <c r="N433" s="34"/>
      <c r="O433" s="29"/>
      <c r="P433" s="29"/>
      <c r="Q433" s="29"/>
      <c r="R433" s="34"/>
      <c r="S433" s="29"/>
      <c r="T433" s="29"/>
      <c r="U433" s="2"/>
      <c r="V433" s="34"/>
      <c r="W433" s="34"/>
      <c r="X433" s="34"/>
      <c r="Y433" s="29"/>
      <c r="Z433" s="34"/>
      <c r="AA433" s="34"/>
      <c r="AB433" s="29"/>
      <c r="AC433" s="34"/>
      <c r="AD433" s="29"/>
      <c r="AE433" s="34"/>
      <c r="AF433" s="34"/>
    </row>
    <row x14ac:dyDescent="0.25" r="434" customHeight="1" ht="15.75">
      <c r="A434" s="502"/>
      <c r="B434" s="34"/>
      <c r="C434" s="34"/>
      <c r="D434" s="34"/>
      <c r="E434" s="34"/>
      <c r="F434" s="34"/>
      <c r="G434" s="34"/>
      <c r="H434" s="34"/>
      <c r="I434" s="29"/>
      <c r="J434" s="29"/>
      <c r="K434" s="29"/>
      <c r="L434" s="29"/>
      <c r="M434" s="34"/>
      <c r="N434" s="34"/>
      <c r="O434" s="29"/>
      <c r="P434" s="29"/>
      <c r="Q434" s="29"/>
      <c r="R434" s="34"/>
      <c r="S434" s="29"/>
      <c r="T434" s="29"/>
      <c r="U434" s="2"/>
      <c r="V434" s="34"/>
      <c r="W434" s="34"/>
      <c r="X434" s="34"/>
      <c r="Y434" s="29"/>
      <c r="Z434" s="34"/>
      <c r="AA434" s="34"/>
      <c r="AB434" s="29"/>
      <c r="AC434" s="34"/>
      <c r="AD434" s="29"/>
      <c r="AE434" s="34"/>
      <c r="AF434" s="34"/>
    </row>
    <row x14ac:dyDescent="0.25" r="435" customHeight="1" ht="15.75">
      <c r="A435" s="502"/>
      <c r="B435" s="34"/>
      <c r="C435" s="34"/>
      <c r="D435" s="34"/>
      <c r="E435" s="34"/>
      <c r="F435" s="34"/>
      <c r="G435" s="34"/>
      <c r="H435" s="34"/>
      <c r="I435" s="29"/>
      <c r="J435" s="29"/>
      <c r="K435" s="29"/>
      <c r="L435" s="29"/>
      <c r="M435" s="34"/>
      <c r="N435" s="34"/>
      <c r="O435" s="29"/>
      <c r="P435" s="29"/>
      <c r="Q435" s="29"/>
      <c r="R435" s="34"/>
      <c r="S435" s="29"/>
      <c r="T435" s="29"/>
      <c r="U435" s="2"/>
      <c r="V435" s="34"/>
      <c r="W435" s="34"/>
      <c r="X435" s="34"/>
      <c r="Y435" s="29"/>
      <c r="Z435" s="34"/>
      <c r="AA435" s="34"/>
      <c r="AB435" s="29"/>
      <c r="AC435" s="34"/>
      <c r="AD435" s="29"/>
      <c r="AE435" s="34"/>
      <c r="AF435" s="34"/>
    </row>
    <row x14ac:dyDescent="0.25" r="436" customHeight="1" ht="15.75">
      <c r="A436" s="502"/>
      <c r="B436" s="34"/>
      <c r="C436" s="34"/>
      <c r="D436" s="34"/>
      <c r="E436" s="34"/>
      <c r="F436" s="34"/>
      <c r="G436" s="34"/>
      <c r="H436" s="34"/>
      <c r="I436" s="29"/>
      <c r="J436" s="29"/>
      <c r="K436" s="29"/>
      <c r="L436" s="29"/>
      <c r="M436" s="34"/>
      <c r="N436" s="34"/>
      <c r="O436" s="29"/>
      <c r="P436" s="29"/>
      <c r="Q436" s="29"/>
      <c r="R436" s="34"/>
      <c r="S436" s="29"/>
      <c r="T436" s="29"/>
      <c r="U436" s="2"/>
      <c r="V436" s="34"/>
      <c r="W436" s="34"/>
      <c r="X436" s="34"/>
      <c r="Y436" s="29"/>
      <c r="Z436" s="34"/>
      <c r="AA436" s="34"/>
      <c r="AB436" s="29"/>
      <c r="AC436" s="34"/>
      <c r="AD436" s="29"/>
      <c r="AE436" s="34"/>
      <c r="AF436" s="34"/>
    </row>
    <row x14ac:dyDescent="0.25" r="437" customHeight="1" ht="15.75">
      <c r="A437" s="502"/>
      <c r="B437" s="34"/>
      <c r="C437" s="34"/>
      <c r="D437" s="34"/>
      <c r="E437" s="34"/>
      <c r="F437" s="34"/>
      <c r="G437" s="34"/>
      <c r="H437" s="34"/>
      <c r="I437" s="29"/>
      <c r="J437" s="29"/>
      <c r="K437" s="29"/>
      <c r="L437" s="29"/>
      <c r="M437" s="34"/>
      <c r="N437" s="34"/>
      <c r="O437" s="29"/>
      <c r="P437" s="29"/>
      <c r="Q437" s="29"/>
      <c r="R437" s="34"/>
      <c r="S437" s="29"/>
      <c r="T437" s="29"/>
      <c r="U437" s="2"/>
      <c r="V437" s="34"/>
      <c r="W437" s="34"/>
      <c r="X437" s="34"/>
      <c r="Y437" s="29"/>
      <c r="Z437" s="34"/>
      <c r="AA437" s="34"/>
      <c r="AB437" s="29"/>
      <c r="AC437" s="34"/>
      <c r="AD437" s="29"/>
      <c r="AE437" s="34"/>
      <c r="AF437" s="34"/>
    </row>
    <row x14ac:dyDescent="0.25" r="438" customHeight="1" ht="15.75">
      <c r="A438" s="502"/>
      <c r="B438" s="34"/>
      <c r="C438" s="34"/>
      <c r="D438" s="34"/>
      <c r="E438" s="34"/>
      <c r="F438" s="34"/>
      <c r="G438" s="34"/>
      <c r="H438" s="34"/>
      <c r="I438" s="29"/>
      <c r="J438" s="29"/>
      <c r="K438" s="29"/>
      <c r="L438" s="29"/>
      <c r="M438" s="34"/>
      <c r="N438" s="34"/>
      <c r="O438" s="29"/>
      <c r="P438" s="29"/>
      <c r="Q438" s="29"/>
      <c r="R438" s="34"/>
      <c r="S438" s="29"/>
      <c r="T438" s="29"/>
      <c r="U438" s="2"/>
      <c r="V438" s="34"/>
      <c r="W438" s="34"/>
      <c r="X438" s="34"/>
      <c r="Y438" s="29"/>
      <c r="Z438" s="34"/>
      <c r="AA438" s="34"/>
      <c r="AB438" s="29"/>
      <c r="AC438" s="34"/>
      <c r="AD438" s="29"/>
      <c r="AE438" s="34"/>
      <c r="AF438" s="34"/>
    </row>
    <row x14ac:dyDescent="0.25" r="439" customHeight="1" ht="15.75">
      <c r="A439" s="502"/>
      <c r="B439" s="34"/>
      <c r="C439" s="34"/>
      <c r="D439" s="34"/>
      <c r="E439" s="34"/>
      <c r="F439" s="34"/>
      <c r="G439" s="34"/>
      <c r="H439" s="34"/>
      <c r="I439" s="29"/>
      <c r="J439" s="29"/>
      <c r="K439" s="29"/>
      <c r="L439" s="29"/>
      <c r="M439" s="34"/>
      <c r="N439" s="34"/>
      <c r="O439" s="29"/>
      <c r="P439" s="29"/>
      <c r="Q439" s="29"/>
      <c r="R439" s="34"/>
      <c r="S439" s="29"/>
      <c r="T439" s="29"/>
      <c r="U439" s="2"/>
      <c r="V439" s="34"/>
      <c r="W439" s="34"/>
      <c r="X439" s="34"/>
      <c r="Y439" s="29"/>
      <c r="Z439" s="34"/>
      <c r="AA439" s="34"/>
      <c r="AB439" s="29"/>
      <c r="AC439" s="34"/>
      <c r="AD439" s="29"/>
      <c r="AE439" s="34"/>
      <c r="AF439" s="34"/>
    </row>
    <row x14ac:dyDescent="0.25" r="440" customHeight="1" ht="15.75">
      <c r="A440" s="502"/>
      <c r="B440" s="34"/>
      <c r="C440" s="34"/>
      <c r="D440" s="34"/>
      <c r="E440" s="34"/>
      <c r="F440" s="34"/>
      <c r="G440" s="34"/>
      <c r="H440" s="34"/>
      <c r="I440" s="29"/>
      <c r="J440" s="29"/>
      <c r="K440" s="29"/>
      <c r="L440" s="29"/>
      <c r="M440" s="34"/>
      <c r="N440" s="34"/>
      <c r="O440" s="29"/>
      <c r="P440" s="29"/>
      <c r="Q440" s="29"/>
      <c r="R440" s="34"/>
      <c r="S440" s="29"/>
      <c r="T440" s="29"/>
      <c r="U440" s="2"/>
      <c r="V440" s="34"/>
      <c r="W440" s="34"/>
      <c r="X440" s="34"/>
      <c r="Y440" s="29"/>
      <c r="Z440" s="34"/>
      <c r="AA440" s="34"/>
      <c r="AB440" s="29"/>
      <c r="AC440" s="34"/>
      <c r="AD440" s="29"/>
      <c r="AE440" s="34"/>
      <c r="AF440" s="34"/>
    </row>
    <row x14ac:dyDescent="0.25" r="441" customHeight="1" ht="15.75">
      <c r="A441" s="502"/>
      <c r="B441" s="34"/>
      <c r="C441" s="34"/>
      <c r="D441" s="34"/>
      <c r="E441" s="34"/>
      <c r="F441" s="34"/>
      <c r="G441" s="34"/>
      <c r="H441" s="34"/>
      <c r="I441" s="29"/>
      <c r="J441" s="29"/>
      <c r="K441" s="29"/>
      <c r="L441" s="29"/>
      <c r="M441" s="34"/>
      <c r="N441" s="34"/>
      <c r="O441" s="29"/>
      <c r="P441" s="29"/>
      <c r="Q441" s="29"/>
      <c r="R441" s="34"/>
      <c r="S441" s="29"/>
      <c r="T441" s="29"/>
      <c r="U441" s="2"/>
      <c r="V441" s="34"/>
      <c r="W441" s="34"/>
      <c r="X441" s="34"/>
      <c r="Y441" s="29"/>
      <c r="Z441" s="34"/>
      <c r="AA441" s="34"/>
      <c r="AB441" s="29"/>
      <c r="AC441" s="34"/>
      <c r="AD441" s="29"/>
      <c r="AE441" s="34"/>
      <c r="AF441" s="34"/>
    </row>
    <row x14ac:dyDescent="0.25" r="442" customHeight="1" ht="15.75">
      <c r="A442" s="502"/>
      <c r="B442" s="34"/>
      <c r="C442" s="34"/>
      <c r="D442" s="34"/>
      <c r="E442" s="34"/>
      <c r="F442" s="34"/>
      <c r="G442" s="34"/>
      <c r="H442" s="34"/>
      <c r="I442" s="29"/>
      <c r="J442" s="29"/>
      <c r="K442" s="29"/>
      <c r="L442" s="29"/>
      <c r="M442" s="34"/>
      <c r="N442" s="34"/>
      <c r="O442" s="29"/>
      <c r="P442" s="29"/>
      <c r="Q442" s="29"/>
      <c r="R442" s="34"/>
      <c r="S442" s="29"/>
      <c r="T442" s="29"/>
      <c r="U442" s="2"/>
      <c r="V442" s="34"/>
      <c r="W442" s="34"/>
      <c r="X442" s="34"/>
      <c r="Y442" s="29"/>
      <c r="Z442" s="34"/>
      <c r="AA442" s="34"/>
      <c r="AB442" s="29"/>
      <c r="AC442" s="34"/>
      <c r="AD442" s="29"/>
      <c r="AE442" s="34"/>
      <c r="AF442" s="34"/>
    </row>
    <row x14ac:dyDescent="0.25" r="443" customHeight="1" ht="15.75">
      <c r="A443" s="502"/>
      <c r="B443" s="34"/>
      <c r="C443" s="34"/>
      <c r="D443" s="34"/>
      <c r="E443" s="34"/>
      <c r="F443" s="34"/>
      <c r="G443" s="34"/>
      <c r="H443" s="34"/>
      <c r="I443" s="29"/>
      <c r="J443" s="29"/>
      <c r="K443" s="29"/>
      <c r="L443" s="29"/>
      <c r="M443" s="34"/>
      <c r="N443" s="34"/>
      <c r="O443" s="29"/>
      <c r="P443" s="29"/>
      <c r="Q443" s="29"/>
      <c r="R443" s="34"/>
      <c r="S443" s="29"/>
      <c r="T443" s="29"/>
      <c r="U443" s="2"/>
      <c r="V443" s="34"/>
      <c r="W443" s="34"/>
      <c r="X443" s="34"/>
      <c r="Y443" s="29"/>
      <c r="Z443" s="34"/>
      <c r="AA443" s="34"/>
      <c r="AB443" s="29"/>
      <c r="AC443" s="34"/>
      <c r="AD443" s="29"/>
      <c r="AE443" s="34"/>
      <c r="AF443" s="34"/>
    </row>
    <row x14ac:dyDescent="0.25" r="444" customHeight="1" ht="15.75">
      <c r="A444" s="502"/>
      <c r="B444" s="34"/>
      <c r="C444" s="34"/>
      <c r="D444" s="34"/>
      <c r="E444" s="34"/>
      <c r="F444" s="34"/>
      <c r="G444" s="34"/>
      <c r="H444" s="34"/>
      <c r="I444" s="29"/>
      <c r="J444" s="29"/>
      <c r="K444" s="29"/>
      <c r="L444" s="29"/>
      <c r="M444" s="34"/>
      <c r="N444" s="34"/>
      <c r="O444" s="29"/>
      <c r="P444" s="29"/>
      <c r="Q444" s="29"/>
      <c r="R444" s="34"/>
      <c r="S444" s="29"/>
      <c r="T444" s="29"/>
      <c r="U444" s="2"/>
      <c r="V444" s="34"/>
      <c r="W444" s="34"/>
      <c r="X444" s="34"/>
      <c r="Y444" s="29"/>
      <c r="Z444" s="34"/>
      <c r="AA444" s="34"/>
      <c r="AB444" s="29"/>
      <c r="AC444" s="34"/>
      <c r="AD444" s="29"/>
      <c r="AE444" s="34"/>
      <c r="AF444" s="34"/>
    </row>
    <row x14ac:dyDescent="0.25" r="445" customHeight="1" ht="15.75">
      <c r="A445" s="502"/>
      <c r="B445" s="34"/>
      <c r="C445" s="34"/>
      <c r="D445" s="34"/>
      <c r="E445" s="34"/>
      <c r="F445" s="34"/>
      <c r="G445" s="34"/>
      <c r="H445" s="34"/>
      <c r="I445" s="29"/>
      <c r="J445" s="29"/>
      <c r="K445" s="29"/>
      <c r="L445" s="29"/>
      <c r="M445" s="34"/>
      <c r="N445" s="34"/>
      <c r="O445" s="29"/>
      <c r="P445" s="29"/>
      <c r="Q445" s="29"/>
      <c r="R445" s="34"/>
      <c r="S445" s="29"/>
      <c r="T445" s="29"/>
      <c r="U445" s="2"/>
      <c r="V445" s="34"/>
      <c r="W445" s="34"/>
      <c r="X445" s="34"/>
      <c r="Y445" s="29"/>
      <c r="Z445" s="34"/>
      <c r="AA445" s="34"/>
      <c r="AB445" s="29"/>
      <c r="AC445" s="34"/>
      <c r="AD445" s="29"/>
      <c r="AE445" s="34"/>
      <c r="AF445" s="34"/>
    </row>
    <row x14ac:dyDescent="0.25" r="446" customHeight="1" ht="15.75">
      <c r="A446" s="502"/>
      <c r="B446" s="34"/>
      <c r="C446" s="34"/>
      <c r="D446" s="34"/>
      <c r="E446" s="34"/>
      <c r="F446" s="34"/>
      <c r="G446" s="34"/>
      <c r="H446" s="34"/>
      <c r="I446" s="29"/>
      <c r="J446" s="29"/>
      <c r="K446" s="29"/>
      <c r="L446" s="29"/>
      <c r="M446" s="34"/>
      <c r="N446" s="34"/>
      <c r="O446" s="29"/>
      <c r="P446" s="29"/>
      <c r="Q446" s="29"/>
      <c r="R446" s="34"/>
      <c r="S446" s="29"/>
      <c r="T446" s="29"/>
      <c r="U446" s="2"/>
      <c r="V446" s="34"/>
      <c r="W446" s="34"/>
      <c r="X446" s="34"/>
      <c r="Y446" s="29"/>
      <c r="Z446" s="34"/>
      <c r="AA446" s="34"/>
      <c r="AB446" s="29"/>
      <c r="AC446" s="34"/>
      <c r="AD446" s="29"/>
      <c r="AE446" s="34"/>
      <c r="AF446" s="34"/>
    </row>
    <row x14ac:dyDescent="0.25" r="447" customHeight="1" ht="15.75">
      <c r="A447" s="502"/>
      <c r="B447" s="34"/>
      <c r="C447" s="34"/>
      <c r="D447" s="34"/>
      <c r="E447" s="34"/>
      <c r="F447" s="34"/>
      <c r="G447" s="34"/>
      <c r="H447" s="34"/>
      <c r="I447" s="29"/>
      <c r="J447" s="29"/>
      <c r="K447" s="29"/>
      <c r="L447" s="29"/>
      <c r="M447" s="34"/>
      <c r="N447" s="34"/>
      <c r="O447" s="29"/>
      <c r="P447" s="29"/>
      <c r="Q447" s="29"/>
      <c r="R447" s="34"/>
      <c r="S447" s="29"/>
      <c r="T447" s="29"/>
      <c r="U447" s="2"/>
      <c r="V447" s="34"/>
      <c r="W447" s="34"/>
      <c r="X447" s="34"/>
      <c r="Y447" s="29"/>
      <c r="Z447" s="34"/>
      <c r="AA447" s="34"/>
      <c r="AB447" s="29"/>
      <c r="AC447" s="34"/>
      <c r="AD447" s="29"/>
      <c r="AE447" s="34"/>
      <c r="AF447" s="34"/>
    </row>
    <row x14ac:dyDescent="0.25" r="448" customHeight="1" ht="15.75">
      <c r="A448" s="502"/>
      <c r="B448" s="34"/>
      <c r="C448" s="34"/>
      <c r="D448" s="34"/>
      <c r="E448" s="34"/>
      <c r="F448" s="34"/>
      <c r="G448" s="34"/>
      <c r="H448" s="34"/>
      <c r="I448" s="29"/>
      <c r="J448" s="29"/>
      <c r="K448" s="29"/>
      <c r="L448" s="29"/>
      <c r="M448" s="34"/>
      <c r="N448" s="34"/>
      <c r="O448" s="29"/>
      <c r="P448" s="29"/>
      <c r="Q448" s="29"/>
      <c r="R448" s="34"/>
      <c r="S448" s="29"/>
      <c r="T448" s="29"/>
      <c r="U448" s="2"/>
      <c r="V448" s="34"/>
      <c r="W448" s="34"/>
      <c r="X448" s="34"/>
      <c r="Y448" s="29"/>
      <c r="Z448" s="34"/>
      <c r="AA448" s="34"/>
      <c r="AB448" s="29"/>
      <c r="AC448" s="34"/>
      <c r="AD448" s="29"/>
      <c r="AE448" s="34"/>
      <c r="AF448" s="34"/>
    </row>
    <row x14ac:dyDescent="0.25" r="449" customHeight="1" ht="15.75">
      <c r="A449" s="502"/>
      <c r="B449" s="34"/>
      <c r="C449" s="34"/>
      <c r="D449" s="34"/>
      <c r="E449" s="34"/>
      <c r="F449" s="34"/>
      <c r="G449" s="34"/>
      <c r="H449" s="34"/>
      <c r="I449" s="29"/>
      <c r="J449" s="29"/>
      <c r="K449" s="29"/>
      <c r="L449" s="29"/>
      <c r="M449" s="34"/>
      <c r="N449" s="34"/>
      <c r="O449" s="29"/>
      <c r="P449" s="29"/>
      <c r="Q449" s="29"/>
      <c r="R449" s="34"/>
      <c r="S449" s="29"/>
      <c r="T449" s="29"/>
      <c r="U449" s="2"/>
      <c r="V449" s="34"/>
      <c r="W449" s="34"/>
      <c r="X449" s="34"/>
      <c r="Y449" s="29"/>
      <c r="Z449" s="34"/>
      <c r="AA449" s="34"/>
      <c r="AB449" s="29"/>
      <c r="AC449" s="34"/>
      <c r="AD449" s="29"/>
      <c r="AE449" s="34"/>
      <c r="AF449" s="34"/>
    </row>
    <row x14ac:dyDescent="0.25" r="450" customHeight="1" ht="15.75">
      <c r="A450" s="502"/>
      <c r="B450" s="34"/>
      <c r="C450" s="34"/>
      <c r="D450" s="34"/>
      <c r="E450" s="34"/>
      <c r="F450" s="34"/>
      <c r="G450" s="34"/>
      <c r="H450" s="34"/>
      <c r="I450" s="29"/>
      <c r="J450" s="29"/>
      <c r="K450" s="29"/>
      <c r="L450" s="29"/>
      <c r="M450" s="34"/>
      <c r="N450" s="34"/>
      <c r="O450" s="29"/>
      <c r="P450" s="29"/>
      <c r="Q450" s="29"/>
      <c r="R450" s="34"/>
      <c r="S450" s="29"/>
      <c r="T450" s="29"/>
      <c r="U450" s="2"/>
      <c r="V450" s="34"/>
      <c r="W450" s="34"/>
      <c r="X450" s="34"/>
      <c r="Y450" s="29"/>
      <c r="Z450" s="34"/>
      <c r="AA450" s="34"/>
      <c r="AB450" s="29"/>
      <c r="AC450" s="34"/>
      <c r="AD450" s="29"/>
      <c r="AE450" s="34"/>
      <c r="AF450" s="34"/>
    </row>
    <row x14ac:dyDescent="0.25" r="451" customHeight="1" ht="15.75">
      <c r="A451" s="502"/>
      <c r="B451" s="34"/>
      <c r="C451" s="34"/>
      <c r="D451" s="34"/>
      <c r="E451" s="34"/>
      <c r="F451" s="34"/>
      <c r="G451" s="34"/>
      <c r="H451" s="34"/>
      <c r="I451" s="29"/>
      <c r="J451" s="29"/>
      <c r="K451" s="29"/>
      <c r="L451" s="29"/>
      <c r="M451" s="34"/>
      <c r="N451" s="34"/>
      <c r="O451" s="29"/>
      <c r="P451" s="29"/>
      <c r="Q451" s="29"/>
      <c r="R451" s="34"/>
      <c r="S451" s="29"/>
      <c r="T451" s="29"/>
      <c r="U451" s="2"/>
      <c r="V451" s="34"/>
      <c r="W451" s="34"/>
      <c r="X451" s="34"/>
      <c r="Y451" s="29"/>
      <c r="Z451" s="34"/>
      <c r="AA451" s="34"/>
      <c r="AB451" s="29"/>
      <c r="AC451" s="34"/>
      <c r="AD451" s="29"/>
      <c r="AE451" s="34"/>
      <c r="AF451" s="34"/>
    </row>
    <row x14ac:dyDescent="0.25" r="452" customHeight="1" ht="15.75">
      <c r="A452" s="502"/>
      <c r="B452" s="34"/>
      <c r="C452" s="34"/>
      <c r="D452" s="34"/>
      <c r="E452" s="34"/>
      <c r="F452" s="34"/>
      <c r="G452" s="34"/>
      <c r="H452" s="34"/>
      <c r="I452" s="29"/>
      <c r="J452" s="29"/>
      <c r="K452" s="29"/>
      <c r="L452" s="29"/>
      <c r="M452" s="34"/>
      <c r="N452" s="34"/>
      <c r="O452" s="29"/>
      <c r="P452" s="29"/>
      <c r="Q452" s="29"/>
      <c r="R452" s="34"/>
      <c r="S452" s="29"/>
      <c r="T452" s="29"/>
      <c r="U452" s="2"/>
      <c r="V452" s="34"/>
      <c r="W452" s="34"/>
      <c r="X452" s="34"/>
      <c r="Y452" s="29"/>
      <c r="Z452" s="34"/>
      <c r="AA452" s="34"/>
      <c r="AB452" s="29"/>
      <c r="AC452" s="34"/>
      <c r="AD452" s="29"/>
      <c r="AE452" s="34"/>
      <c r="AF452" s="34"/>
    </row>
    <row x14ac:dyDescent="0.25" r="453" customHeight="1" ht="15.75">
      <c r="A453" s="502"/>
      <c r="B453" s="34"/>
      <c r="C453" s="34"/>
      <c r="D453" s="34"/>
      <c r="E453" s="34"/>
      <c r="F453" s="34"/>
      <c r="G453" s="34"/>
      <c r="H453" s="34"/>
      <c r="I453" s="29"/>
      <c r="J453" s="29"/>
      <c r="K453" s="29"/>
      <c r="L453" s="29"/>
      <c r="M453" s="34"/>
      <c r="N453" s="34"/>
      <c r="O453" s="29"/>
      <c r="P453" s="29"/>
      <c r="Q453" s="29"/>
      <c r="R453" s="34"/>
      <c r="S453" s="29"/>
      <c r="T453" s="29"/>
      <c r="U453" s="2"/>
      <c r="V453" s="34"/>
      <c r="W453" s="34"/>
      <c r="X453" s="34"/>
      <c r="Y453" s="29"/>
      <c r="Z453" s="34"/>
      <c r="AA453" s="34"/>
      <c r="AB453" s="29"/>
      <c r="AC453" s="34"/>
      <c r="AD453" s="29"/>
      <c r="AE453" s="34"/>
      <c r="AF453" s="34"/>
    </row>
    <row x14ac:dyDescent="0.25" r="454" customHeight="1" ht="15.75">
      <c r="A454" s="502"/>
      <c r="B454" s="34"/>
      <c r="C454" s="34"/>
      <c r="D454" s="34"/>
      <c r="E454" s="34"/>
      <c r="F454" s="34"/>
      <c r="G454" s="34"/>
      <c r="H454" s="34"/>
      <c r="I454" s="29"/>
      <c r="J454" s="29"/>
      <c r="K454" s="29"/>
      <c r="L454" s="29"/>
      <c r="M454" s="34"/>
      <c r="N454" s="34"/>
      <c r="O454" s="29"/>
      <c r="P454" s="29"/>
      <c r="Q454" s="29"/>
      <c r="R454" s="34"/>
      <c r="S454" s="29"/>
      <c r="T454" s="29"/>
      <c r="U454" s="2"/>
      <c r="V454" s="34"/>
      <c r="W454" s="34"/>
      <c r="X454" s="34"/>
      <c r="Y454" s="29"/>
      <c r="Z454" s="34"/>
      <c r="AA454" s="34"/>
      <c r="AB454" s="29"/>
      <c r="AC454" s="34"/>
      <c r="AD454" s="29"/>
      <c r="AE454" s="34"/>
      <c r="AF454" s="34"/>
    </row>
    <row x14ac:dyDescent="0.25" r="455" customHeight="1" ht="15.75">
      <c r="A455" s="502"/>
      <c r="B455" s="34"/>
      <c r="C455" s="34"/>
      <c r="D455" s="34"/>
      <c r="E455" s="34"/>
      <c r="F455" s="34"/>
      <c r="G455" s="34"/>
      <c r="H455" s="34"/>
      <c r="I455" s="29"/>
      <c r="J455" s="29"/>
      <c r="K455" s="29"/>
      <c r="L455" s="29"/>
      <c r="M455" s="34"/>
      <c r="N455" s="34"/>
      <c r="O455" s="29"/>
      <c r="P455" s="29"/>
      <c r="Q455" s="29"/>
      <c r="R455" s="34"/>
      <c r="S455" s="29"/>
      <c r="T455" s="29"/>
      <c r="U455" s="2"/>
      <c r="V455" s="34"/>
      <c r="W455" s="34"/>
      <c r="X455" s="34"/>
      <c r="Y455" s="29"/>
      <c r="Z455" s="34"/>
      <c r="AA455" s="34"/>
      <c r="AB455" s="29"/>
      <c r="AC455" s="34"/>
      <c r="AD455" s="29"/>
      <c r="AE455" s="34"/>
      <c r="AF455" s="34"/>
    </row>
    <row x14ac:dyDescent="0.25" r="456" customHeight="1" ht="15.75">
      <c r="A456" s="502"/>
      <c r="B456" s="34"/>
      <c r="C456" s="34"/>
      <c r="D456" s="34"/>
      <c r="E456" s="34"/>
      <c r="F456" s="34"/>
      <c r="G456" s="34"/>
      <c r="H456" s="34"/>
      <c r="I456" s="29"/>
      <c r="J456" s="29"/>
      <c r="K456" s="29"/>
      <c r="L456" s="29"/>
      <c r="M456" s="34"/>
      <c r="N456" s="34"/>
      <c r="O456" s="29"/>
      <c r="P456" s="29"/>
      <c r="Q456" s="29"/>
      <c r="R456" s="34"/>
      <c r="S456" s="29"/>
      <c r="T456" s="29"/>
      <c r="U456" s="2"/>
      <c r="V456" s="34"/>
      <c r="W456" s="34"/>
      <c r="X456" s="34"/>
      <c r="Y456" s="29"/>
      <c r="Z456" s="34"/>
      <c r="AA456" s="34"/>
      <c r="AB456" s="29"/>
      <c r="AC456" s="34"/>
      <c r="AD456" s="29"/>
      <c r="AE456" s="34"/>
      <c r="AF456" s="34"/>
    </row>
    <row x14ac:dyDescent="0.25" r="457" customHeight="1" ht="15.75">
      <c r="A457" s="502"/>
      <c r="B457" s="34"/>
      <c r="C457" s="34"/>
      <c r="D457" s="34"/>
      <c r="E457" s="34"/>
      <c r="F457" s="34"/>
      <c r="G457" s="34"/>
      <c r="H457" s="34"/>
      <c r="I457" s="29"/>
      <c r="J457" s="29"/>
      <c r="K457" s="29"/>
      <c r="L457" s="29"/>
      <c r="M457" s="34"/>
      <c r="N457" s="34"/>
      <c r="O457" s="29"/>
      <c r="P457" s="29"/>
      <c r="Q457" s="29"/>
      <c r="R457" s="34"/>
      <c r="S457" s="29"/>
      <c r="T457" s="29"/>
      <c r="U457" s="2"/>
      <c r="V457" s="34"/>
      <c r="W457" s="34"/>
      <c r="X457" s="34"/>
      <c r="Y457" s="29"/>
      <c r="Z457" s="34"/>
      <c r="AA457" s="34"/>
      <c r="AB457" s="29"/>
      <c r="AC457" s="34"/>
      <c r="AD457" s="29"/>
      <c r="AE457" s="34"/>
      <c r="AF457" s="34"/>
    </row>
    <row x14ac:dyDescent="0.25" r="458" customHeight="1" ht="15.75">
      <c r="A458" s="502"/>
      <c r="B458" s="34"/>
      <c r="C458" s="34"/>
      <c r="D458" s="34"/>
      <c r="E458" s="34"/>
      <c r="F458" s="34"/>
      <c r="G458" s="34"/>
      <c r="H458" s="34"/>
      <c r="I458" s="29"/>
      <c r="J458" s="29"/>
      <c r="K458" s="29"/>
      <c r="L458" s="29"/>
      <c r="M458" s="34"/>
      <c r="N458" s="34"/>
      <c r="O458" s="29"/>
      <c r="P458" s="29"/>
      <c r="Q458" s="29"/>
      <c r="R458" s="34"/>
      <c r="S458" s="29"/>
      <c r="T458" s="29"/>
      <c r="U458" s="2"/>
      <c r="V458" s="34"/>
      <c r="W458" s="34"/>
      <c r="X458" s="34"/>
      <c r="Y458" s="29"/>
      <c r="Z458" s="34"/>
      <c r="AA458" s="34"/>
      <c r="AB458" s="29"/>
      <c r="AC458" s="34"/>
      <c r="AD458" s="29"/>
      <c r="AE458" s="34"/>
      <c r="AF458" s="34"/>
    </row>
    <row x14ac:dyDescent="0.25" r="459" customHeight="1" ht="15.75">
      <c r="A459" s="502"/>
      <c r="B459" s="34"/>
      <c r="C459" s="34"/>
      <c r="D459" s="34"/>
      <c r="E459" s="34"/>
      <c r="F459" s="34"/>
      <c r="G459" s="34"/>
      <c r="H459" s="34"/>
      <c r="I459" s="29"/>
      <c r="J459" s="29"/>
      <c r="K459" s="29"/>
      <c r="L459" s="29"/>
      <c r="M459" s="34"/>
      <c r="N459" s="34"/>
      <c r="O459" s="29"/>
      <c r="P459" s="29"/>
      <c r="Q459" s="29"/>
      <c r="R459" s="34"/>
      <c r="S459" s="29"/>
      <c r="T459" s="29"/>
      <c r="U459" s="2"/>
      <c r="V459" s="34"/>
      <c r="W459" s="34"/>
      <c r="X459" s="34"/>
      <c r="Y459" s="29"/>
      <c r="Z459" s="34"/>
      <c r="AA459" s="34"/>
      <c r="AB459" s="29"/>
      <c r="AC459" s="34"/>
      <c r="AD459" s="29"/>
      <c r="AE459" s="34"/>
      <c r="AF459" s="34"/>
    </row>
    <row x14ac:dyDescent="0.25" r="460" customHeight="1" ht="15.75">
      <c r="A460" s="502"/>
      <c r="B460" s="34"/>
      <c r="C460" s="34"/>
      <c r="D460" s="34"/>
      <c r="E460" s="34"/>
      <c r="F460" s="34"/>
      <c r="G460" s="34"/>
      <c r="H460" s="34"/>
      <c r="I460" s="29"/>
      <c r="J460" s="29"/>
      <c r="K460" s="29"/>
      <c r="L460" s="29"/>
      <c r="M460" s="34"/>
      <c r="N460" s="34"/>
      <c r="O460" s="29"/>
      <c r="P460" s="29"/>
      <c r="Q460" s="29"/>
      <c r="R460" s="34"/>
      <c r="S460" s="29"/>
      <c r="T460" s="29"/>
      <c r="U460" s="2"/>
      <c r="V460" s="34"/>
      <c r="W460" s="34"/>
      <c r="X460" s="34"/>
      <c r="Y460" s="29"/>
      <c r="Z460" s="34"/>
      <c r="AA460" s="34"/>
      <c r="AB460" s="29"/>
      <c r="AC460" s="34"/>
      <c r="AD460" s="29"/>
      <c r="AE460" s="34"/>
      <c r="AF460" s="34"/>
    </row>
    <row x14ac:dyDescent="0.25" r="461" customHeight="1" ht="15.75">
      <c r="A461" s="502"/>
      <c r="B461" s="34"/>
      <c r="C461" s="34"/>
      <c r="D461" s="34"/>
      <c r="E461" s="34"/>
      <c r="F461" s="34"/>
      <c r="G461" s="34"/>
      <c r="H461" s="34"/>
      <c r="I461" s="29"/>
      <c r="J461" s="29"/>
      <c r="K461" s="29"/>
      <c r="L461" s="29"/>
      <c r="M461" s="34"/>
      <c r="N461" s="34"/>
      <c r="O461" s="29"/>
      <c r="P461" s="29"/>
      <c r="Q461" s="29"/>
      <c r="R461" s="34"/>
      <c r="S461" s="29"/>
      <c r="T461" s="29"/>
      <c r="U461" s="2"/>
      <c r="V461" s="34"/>
      <c r="W461" s="34"/>
      <c r="X461" s="34"/>
      <c r="Y461" s="29"/>
      <c r="Z461" s="34"/>
      <c r="AA461" s="34"/>
      <c r="AB461" s="29"/>
      <c r="AC461" s="34"/>
      <c r="AD461" s="29"/>
      <c r="AE461" s="34"/>
      <c r="AF461" s="34"/>
    </row>
    <row x14ac:dyDescent="0.25" r="462" customHeight="1" ht="15.75">
      <c r="A462" s="502"/>
      <c r="B462" s="34"/>
      <c r="C462" s="34"/>
      <c r="D462" s="34"/>
      <c r="E462" s="34"/>
      <c r="F462" s="34"/>
      <c r="G462" s="34"/>
      <c r="H462" s="34"/>
      <c r="I462" s="29"/>
      <c r="J462" s="29"/>
      <c r="K462" s="29"/>
      <c r="L462" s="29"/>
      <c r="M462" s="34"/>
      <c r="N462" s="34"/>
      <c r="O462" s="29"/>
      <c r="P462" s="29"/>
      <c r="Q462" s="29"/>
      <c r="R462" s="34"/>
      <c r="S462" s="29"/>
      <c r="T462" s="29"/>
      <c r="U462" s="2"/>
      <c r="V462" s="34"/>
      <c r="W462" s="34"/>
      <c r="X462" s="34"/>
      <c r="Y462" s="29"/>
      <c r="Z462" s="34"/>
      <c r="AA462" s="34"/>
      <c r="AB462" s="29"/>
      <c r="AC462" s="34"/>
      <c r="AD462" s="29"/>
      <c r="AE462" s="34"/>
      <c r="AF462" s="34"/>
    </row>
    <row x14ac:dyDescent="0.25" r="463" customHeight="1" ht="15.75">
      <c r="A463" s="502"/>
      <c r="B463" s="34"/>
      <c r="C463" s="34"/>
      <c r="D463" s="34"/>
      <c r="E463" s="34"/>
      <c r="F463" s="34"/>
      <c r="G463" s="34"/>
      <c r="H463" s="34"/>
      <c r="I463" s="29"/>
      <c r="J463" s="29"/>
      <c r="K463" s="29"/>
      <c r="L463" s="29"/>
      <c r="M463" s="34"/>
      <c r="N463" s="34"/>
      <c r="O463" s="29"/>
      <c r="P463" s="29"/>
      <c r="Q463" s="29"/>
      <c r="R463" s="34"/>
      <c r="S463" s="29"/>
      <c r="T463" s="29"/>
      <c r="U463" s="2"/>
      <c r="V463" s="34"/>
      <c r="W463" s="34"/>
      <c r="X463" s="34"/>
      <c r="Y463" s="29"/>
      <c r="Z463" s="34"/>
      <c r="AA463" s="34"/>
      <c r="AB463" s="29"/>
      <c r="AC463" s="34"/>
      <c r="AD463" s="29"/>
      <c r="AE463" s="34"/>
      <c r="AF463" s="34"/>
    </row>
    <row x14ac:dyDescent="0.25" r="464" customHeight="1" ht="15.75">
      <c r="A464" s="502"/>
      <c r="B464" s="34"/>
      <c r="C464" s="34"/>
      <c r="D464" s="34"/>
      <c r="E464" s="34"/>
      <c r="F464" s="34"/>
      <c r="G464" s="34"/>
      <c r="H464" s="34"/>
      <c r="I464" s="29"/>
      <c r="J464" s="29"/>
      <c r="K464" s="29"/>
      <c r="L464" s="29"/>
      <c r="M464" s="34"/>
      <c r="N464" s="34"/>
      <c r="O464" s="29"/>
      <c r="P464" s="29"/>
      <c r="Q464" s="29"/>
      <c r="R464" s="34"/>
      <c r="S464" s="29"/>
      <c r="T464" s="29"/>
      <c r="U464" s="2"/>
      <c r="V464" s="34"/>
      <c r="W464" s="34"/>
      <c r="X464" s="34"/>
      <c r="Y464" s="29"/>
      <c r="Z464" s="34"/>
      <c r="AA464" s="34"/>
      <c r="AB464" s="29"/>
      <c r="AC464" s="34"/>
      <c r="AD464" s="29"/>
      <c r="AE464" s="34"/>
      <c r="AF464" s="34"/>
    </row>
    <row x14ac:dyDescent="0.25" r="465" customHeight="1" ht="15.75">
      <c r="A465" s="502"/>
      <c r="B465" s="34"/>
      <c r="C465" s="34"/>
      <c r="D465" s="34"/>
      <c r="E465" s="34"/>
      <c r="F465" s="34"/>
      <c r="G465" s="34"/>
      <c r="H465" s="34"/>
      <c r="I465" s="29"/>
      <c r="J465" s="29"/>
      <c r="K465" s="29"/>
      <c r="L465" s="29"/>
      <c r="M465" s="34"/>
      <c r="N465" s="34"/>
      <c r="O465" s="29"/>
      <c r="P465" s="29"/>
      <c r="Q465" s="29"/>
      <c r="R465" s="34"/>
      <c r="S465" s="29"/>
      <c r="T465" s="29"/>
      <c r="U465" s="2"/>
      <c r="V465" s="34"/>
      <c r="W465" s="34"/>
      <c r="X465" s="34"/>
      <c r="Y465" s="29"/>
      <c r="Z465" s="34"/>
      <c r="AA465" s="34"/>
      <c r="AB465" s="29"/>
      <c r="AC465" s="34"/>
      <c r="AD465" s="29"/>
      <c r="AE465" s="34"/>
      <c r="AF465" s="34"/>
    </row>
    <row x14ac:dyDescent="0.25" r="466" customHeight="1" ht="15.75">
      <c r="A466" s="502"/>
      <c r="B466" s="34"/>
      <c r="C466" s="34"/>
      <c r="D466" s="34"/>
      <c r="E466" s="34"/>
      <c r="F466" s="34"/>
      <c r="G466" s="34"/>
      <c r="H466" s="34"/>
      <c r="I466" s="29"/>
      <c r="J466" s="29"/>
      <c r="K466" s="29"/>
      <c r="L466" s="29"/>
      <c r="M466" s="34"/>
      <c r="N466" s="34"/>
      <c r="O466" s="29"/>
      <c r="P466" s="29"/>
      <c r="Q466" s="29"/>
      <c r="R466" s="34"/>
      <c r="S466" s="29"/>
      <c r="T466" s="29"/>
      <c r="U466" s="2"/>
      <c r="V466" s="34"/>
      <c r="W466" s="34"/>
      <c r="X466" s="34"/>
      <c r="Y466" s="29"/>
      <c r="Z466" s="34"/>
      <c r="AA466" s="34"/>
      <c r="AB466" s="29"/>
      <c r="AC466" s="34"/>
      <c r="AD466" s="29"/>
      <c r="AE466" s="34"/>
      <c r="AF466" s="34"/>
    </row>
    <row x14ac:dyDescent="0.25" r="467" customHeight="1" ht="15.75">
      <c r="A467" s="502"/>
      <c r="B467" s="34"/>
      <c r="C467" s="34"/>
      <c r="D467" s="34"/>
      <c r="E467" s="34"/>
      <c r="F467" s="34"/>
      <c r="G467" s="34"/>
      <c r="H467" s="34"/>
      <c r="I467" s="29"/>
      <c r="J467" s="29"/>
      <c r="K467" s="29"/>
      <c r="L467" s="29"/>
      <c r="M467" s="34"/>
      <c r="N467" s="34"/>
      <c r="O467" s="29"/>
      <c r="P467" s="29"/>
      <c r="Q467" s="29"/>
      <c r="R467" s="34"/>
      <c r="S467" s="29"/>
      <c r="T467" s="29"/>
      <c r="U467" s="2"/>
      <c r="V467" s="34"/>
      <c r="W467" s="34"/>
      <c r="X467" s="34"/>
      <c r="Y467" s="29"/>
      <c r="Z467" s="34"/>
      <c r="AA467" s="34"/>
      <c r="AB467" s="29"/>
      <c r="AC467" s="34"/>
      <c r="AD467" s="29"/>
      <c r="AE467" s="34"/>
      <c r="AF467" s="34"/>
    </row>
    <row x14ac:dyDescent="0.25" r="468" customHeight="1" ht="15.75">
      <c r="A468" s="502"/>
      <c r="B468" s="34"/>
      <c r="C468" s="34"/>
      <c r="D468" s="34"/>
      <c r="E468" s="34"/>
      <c r="F468" s="34"/>
      <c r="G468" s="34"/>
      <c r="H468" s="34"/>
      <c r="I468" s="29"/>
      <c r="J468" s="29"/>
      <c r="K468" s="29"/>
      <c r="L468" s="29"/>
      <c r="M468" s="34"/>
      <c r="N468" s="34"/>
      <c r="O468" s="29"/>
      <c r="P468" s="29"/>
      <c r="Q468" s="29"/>
      <c r="R468" s="34"/>
      <c r="S468" s="29"/>
      <c r="T468" s="29"/>
      <c r="U468" s="2"/>
      <c r="V468" s="34"/>
      <c r="W468" s="34"/>
      <c r="X468" s="34"/>
      <c r="Y468" s="29"/>
      <c r="Z468" s="34"/>
      <c r="AA468" s="34"/>
      <c r="AB468" s="29"/>
      <c r="AC468" s="34"/>
      <c r="AD468" s="29"/>
      <c r="AE468" s="34"/>
      <c r="AF468" s="34"/>
    </row>
    <row x14ac:dyDescent="0.25" r="469" customHeight="1" ht="15.75">
      <c r="A469" s="502"/>
      <c r="B469" s="34"/>
      <c r="C469" s="34"/>
      <c r="D469" s="34"/>
      <c r="E469" s="34"/>
      <c r="F469" s="34"/>
      <c r="G469" s="34"/>
      <c r="H469" s="34"/>
      <c r="I469" s="29"/>
      <c r="J469" s="29"/>
      <c r="K469" s="29"/>
      <c r="L469" s="29"/>
      <c r="M469" s="34"/>
      <c r="N469" s="34"/>
      <c r="O469" s="29"/>
      <c r="P469" s="29"/>
      <c r="Q469" s="29"/>
      <c r="R469" s="34"/>
      <c r="S469" s="29"/>
      <c r="T469" s="29"/>
      <c r="U469" s="2"/>
      <c r="V469" s="34"/>
      <c r="W469" s="34"/>
      <c r="X469" s="34"/>
      <c r="Y469" s="29"/>
      <c r="Z469" s="34"/>
      <c r="AA469" s="34"/>
      <c r="AB469" s="29"/>
      <c r="AC469" s="34"/>
      <c r="AD469" s="29"/>
      <c r="AE469" s="34"/>
      <c r="AF469" s="34"/>
    </row>
    <row x14ac:dyDescent="0.25" r="470" customHeight="1" ht="15.75">
      <c r="A470" s="502"/>
      <c r="B470" s="34"/>
      <c r="C470" s="34"/>
      <c r="D470" s="34"/>
      <c r="E470" s="34"/>
      <c r="F470" s="34"/>
      <c r="G470" s="34"/>
      <c r="H470" s="34"/>
      <c r="I470" s="29"/>
      <c r="J470" s="29"/>
      <c r="K470" s="29"/>
      <c r="L470" s="29"/>
      <c r="M470" s="34"/>
      <c r="N470" s="34"/>
      <c r="O470" s="29"/>
      <c r="P470" s="29"/>
      <c r="Q470" s="29"/>
      <c r="R470" s="34"/>
      <c r="S470" s="29"/>
      <c r="T470" s="29"/>
      <c r="U470" s="2"/>
      <c r="V470" s="34"/>
      <c r="W470" s="34"/>
      <c r="X470" s="34"/>
      <c r="Y470" s="29"/>
      <c r="Z470" s="34"/>
      <c r="AA470" s="34"/>
      <c r="AB470" s="29"/>
      <c r="AC470" s="34"/>
      <c r="AD470" s="29"/>
      <c r="AE470" s="34"/>
      <c r="AF470" s="34"/>
    </row>
    <row x14ac:dyDescent="0.25" r="471" customHeight="1" ht="15.75">
      <c r="A471" s="502"/>
      <c r="B471" s="34"/>
      <c r="C471" s="34"/>
      <c r="D471" s="34"/>
      <c r="E471" s="34"/>
      <c r="F471" s="34"/>
      <c r="G471" s="34"/>
      <c r="H471" s="34"/>
      <c r="I471" s="29"/>
      <c r="J471" s="29"/>
      <c r="K471" s="29"/>
      <c r="L471" s="29"/>
      <c r="M471" s="34"/>
      <c r="N471" s="34"/>
      <c r="O471" s="29"/>
      <c r="P471" s="29"/>
      <c r="Q471" s="29"/>
      <c r="R471" s="34"/>
      <c r="S471" s="29"/>
      <c r="T471" s="29"/>
      <c r="U471" s="2"/>
      <c r="V471" s="34"/>
      <c r="W471" s="34"/>
      <c r="X471" s="34"/>
      <c r="Y471" s="29"/>
      <c r="Z471" s="34"/>
      <c r="AA471" s="34"/>
      <c r="AB471" s="29"/>
      <c r="AC471" s="34"/>
      <c r="AD471" s="29"/>
      <c r="AE471" s="34"/>
      <c r="AF471" s="34"/>
    </row>
    <row x14ac:dyDescent="0.25" r="472" customHeight="1" ht="15.75">
      <c r="A472" s="502"/>
      <c r="B472" s="34"/>
      <c r="C472" s="34"/>
      <c r="D472" s="34"/>
      <c r="E472" s="34"/>
      <c r="F472" s="34"/>
      <c r="G472" s="34"/>
      <c r="H472" s="34"/>
      <c r="I472" s="29"/>
      <c r="J472" s="29"/>
      <c r="K472" s="29"/>
      <c r="L472" s="29"/>
      <c r="M472" s="34"/>
      <c r="N472" s="34"/>
      <c r="O472" s="29"/>
      <c r="P472" s="29"/>
      <c r="Q472" s="29"/>
      <c r="R472" s="34"/>
      <c r="S472" s="29"/>
      <c r="T472" s="29"/>
      <c r="U472" s="2"/>
      <c r="V472" s="34"/>
      <c r="W472" s="34"/>
      <c r="X472" s="34"/>
      <c r="Y472" s="29"/>
      <c r="Z472" s="34"/>
      <c r="AA472" s="34"/>
      <c r="AB472" s="29"/>
      <c r="AC472" s="34"/>
      <c r="AD472" s="29"/>
      <c r="AE472" s="34"/>
      <c r="AF472" s="34"/>
    </row>
    <row x14ac:dyDescent="0.25" r="473" customHeight="1" ht="15.75">
      <c r="A473" s="502"/>
      <c r="B473" s="34"/>
      <c r="C473" s="34"/>
      <c r="D473" s="34"/>
      <c r="E473" s="34"/>
      <c r="F473" s="34"/>
      <c r="G473" s="34"/>
      <c r="H473" s="34"/>
      <c r="I473" s="29"/>
      <c r="J473" s="29"/>
      <c r="K473" s="29"/>
      <c r="L473" s="29"/>
      <c r="M473" s="34"/>
      <c r="N473" s="34"/>
      <c r="O473" s="29"/>
      <c r="P473" s="29"/>
      <c r="Q473" s="29"/>
      <c r="R473" s="34"/>
      <c r="S473" s="29"/>
      <c r="T473" s="29"/>
      <c r="U473" s="2"/>
      <c r="V473" s="34"/>
      <c r="W473" s="34"/>
      <c r="X473" s="34"/>
      <c r="Y473" s="29"/>
      <c r="Z473" s="34"/>
      <c r="AA473" s="34"/>
      <c r="AB473" s="29"/>
      <c r="AC473" s="34"/>
      <c r="AD473" s="29"/>
      <c r="AE473" s="34"/>
      <c r="AF473" s="34"/>
    </row>
    <row x14ac:dyDescent="0.25" r="474" customHeight="1" ht="15.75">
      <c r="A474" s="502"/>
      <c r="B474" s="34"/>
      <c r="C474" s="34"/>
      <c r="D474" s="34"/>
      <c r="E474" s="34"/>
      <c r="F474" s="34"/>
      <c r="G474" s="34"/>
      <c r="H474" s="34"/>
      <c r="I474" s="29"/>
      <c r="J474" s="29"/>
      <c r="K474" s="29"/>
      <c r="L474" s="29"/>
      <c r="M474" s="34"/>
      <c r="N474" s="34"/>
      <c r="O474" s="29"/>
      <c r="P474" s="29"/>
      <c r="Q474" s="29"/>
      <c r="R474" s="34"/>
      <c r="S474" s="29"/>
      <c r="T474" s="29"/>
      <c r="U474" s="2"/>
      <c r="V474" s="34"/>
      <c r="W474" s="34"/>
      <c r="X474" s="34"/>
      <c r="Y474" s="29"/>
      <c r="Z474" s="34"/>
      <c r="AA474" s="34"/>
      <c r="AB474" s="29"/>
      <c r="AC474" s="34"/>
      <c r="AD474" s="29"/>
      <c r="AE474" s="34"/>
      <c r="AF474" s="34"/>
    </row>
    <row x14ac:dyDescent="0.25" r="475" customHeight="1" ht="15.75">
      <c r="A475" s="502"/>
      <c r="B475" s="34"/>
      <c r="C475" s="34"/>
      <c r="D475" s="34"/>
      <c r="E475" s="34"/>
      <c r="F475" s="34"/>
      <c r="G475" s="34"/>
      <c r="H475" s="34"/>
      <c r="I475" s="29"/>
      <c r="J475" s="29"/>
      <c r="K475" s="29"/>
      <c r="L475" s="29"/>
      <c r="M475" s="34"/>
      <c r="N475" s="34"/>
      <c r="O475" s="29"/>
      <c r="P475" s="29"/>
      <c r="Q475" s="29"/>
      <c r="R475" s="34"/>
      <c r="S475" s="29"/>
      <c r="T475" s="29"/>
      <c r="U475" s="2"/>
      <c r="V475" s="34"/>
      <c r="W475" s="34"/>
      <c r="X475" s="34"/>
      <c r="Y475" s="29"/>
      <c r="Z475" s="34"/>
      <c r="AA475" s="34"/>
      <c r="AB475" s="29"/>
      <c r="AC475" s="34"/>
      <c r="AD475" s="29"/>
      <c r="AE475" s="34"/>
      <c r="AF475" s="34"/>
    </row>
    <row x14ac:dyDescent="0.25" r="476" customHeight="1" ht="15.75">
      <c r="A476" s="502"/>
      <c r="B476" s="34"/>
      <c r="C476" s="34"/>
      <c r="D476" s="34"/>
      <c r="E476" s="34"/>
      <c r="F476" s="34"/>
      <c r="G476" s="34"/>
      <c r="H476" s="34"/>
      <c r="I476" s="29"/>
      <c r="J476" s="29"/>
      <c r="K476" s="29"/>
      <c r="L476" s="29"/>
      <c r="M476" s="34"/>
      <c r="N476" s="34"/>
      <c r="O476" s="29"/>
      <c r="P476" s="29"/>
      <c r="Q476" s="29"/>
      <c r="R476" s="34"/>
      <c r="S476" s="29"/>
      <c r="T476" s="29"/>
      <c r="U476" s="2"/>
      <c r="V476" s="34"/>
      <c r="W476" s="34"/>
      <c r="X476" s="34"/>
      <c r="Y476" s="29"/>
      <c r="Z476" s="34"/>
      <c r="AA476" s="34"/>
      <c r="AB476" s="29"/>
      <c r="AC476" s="34"/>
      <c r="AD476" s="29"/>
      <c r="AE476" s="34"/>
      <c r="AF476" s="34"/>
    </row>
    <row x14ac:dyDescent="0.25" r="477" customHeight="1" ht="15.75">
      <c r="A477" s="502"/>
      <c r="B477" s="34"/>
      <c r="C477" s="34"/>
      <c r="D477" s="34"/>
      <c r="E477" s="34"/>
      <c r="F477" s="34"/>
      <c r="G477" s="34"/>
      <c r="H477" s="34"/>
      <c r="I477" s="29"/>
      <c r="J477" s="29"/>
      <c r="K477" s="29"/>
      <c r="L477" s="29"/>
      <c r="M477" s="34"/>
      <c r="N477" s="34"/>
      <c r="O477" s="29"/>
      <c r="P477" s="29"/>
      <c r="Q477" s="29"/>
      <c r="R477" s="34"/>
      <c r="S477" s="29"/>
      <c r="T477" s="29"/>
      <c r="U477" s="2"/>
      <c r="V477" s="34"/>
      <c r="W477" s="34"/>
      <c r="X477" s="34"/>
      <c r="Y477" s="29"/>
      <c r="Z477" s="34"/>
      <c r="AA477" s="34"/>
      <c r="AB477" s="29"/>
      <c r="AC477" s="34"/>
      <c r="AD477" s="29"/>
      <c r="AE477" s="34"/>
      <c r="AF477" s="34"/>
    </row>
    <row x14ac:dyDescent="0.25" r="478" customHeight="1" ht="15.75">
      <c r="A478" s="502"/>
      <c r="B478" s="34"/>
      <c r="C478" s="34"/>
      <c r="D478" s="34"/>
      <c r="E478" s="34"/>
      <c r="F478" s="34"/>
      <c r="G478" s="34"/>
      <c r="H478" s="34"/>
      <c r="I478" s="29"/>
      <c r="J478" s="29"/>
      <c r="K478" s="29"/>
      <c r="L478" s="29"/>
      <c r="M478" s="34"/>
      <c r="N478" s="34"/>
      <c r="O478" s="29"/>
      <c r="P478" s="29"/>
      <c r="Q478" s="29"/>
      <c r="R478" s="34"/>
      <c r="S478" s="29"/>
      <c r="T478" s="29"/>
      <c r="U478" s="2"/>
      <c r="V478" s="34"/>
      <c r="W478" s="34"/>
      <c r="X478" s="34"/>
      <c r="Y478" s="29"/>
      <c r="Z478" s="34"/>
      <c r="AA478" s="34"/>
      <c r="AB478" s="29"/>
      <c r="AC478" s="34"/>
      <c r="AD478" s="29"/>
      <c r="AE478" s="34"/>
      <c r="AF478" s="34"/>
    </row>
    <row x14ac:dyDescent="0.25" r="479" customHeight="1" ht="15.75">
      <c r="A479" s="502"/>
      <c r="B479" s="34"/>
      <c r="C479" s="34"/>
      <c r="D479" s="34"/>
      <c r="E479" s="34"/>
      <c r="F479" s="34"/>
      <c r="G479" s="34"/>
      <c r="H479" s="34"/>
      <c r="I479" s="29"/>
      <c r="J479" s="29"/>
      <c r="K479" s="29"/>
      <c r="L479" s="29"/>
      <c r="M479" s="34"/>
      <c r="N479" s="34"/>
      <c r="O479" s="29"/>
      <c r="P479" s="29"/>
      <c r="Q479" s="29"/>
      <c r="R479" s="34"/>
      <c r="S479" s="29"/>
      <c r="T479" s="29"/>
      <c r="U479" s="2"/>
      <c r="V479" s="34"/>
      <c r="W479" s="34"/>
      <c r="X479" s="34"/>
      <c r="Y479" s="29"/>
      <c r="Z479" s="34"/>
      <c r="AA479" s="34"/>
      <c r="AB479" s="29"/>
      <c r="AC479" s="34"/>
      <c r="AD479" s="29"/>
      <c r="AE479" s="34"/>
      <c r="AF479" s="34"/>
    </row>
    <row x14ac:dyDescent="0.25" r="480" customHeight="1" ht="15.75">
      <c r="A480" s="502"/>
      <c r="B480" s="34"/>
      <c r="C480" s="34"/>
      <c r="D480" s="34"/>
      <c r="E480" s="34"/>
      <c r="F480" s="34"/>
      <c r="G480" s="34"/>
      <c r="H480" s="34"/>
      <c r="I480" s="29"/>
      <c r="J480" s="29"/>
      <c r="K480" s="29"/>
      <c r="L480" s="29"/>
      <c r="M480" s="34"/>
      <c r="N480" s="34"/>
      <c r="O480" s="29"/>
      <c r="P480" s="29"/>
      <c r="Q480" s="29"/>
      <c r="R480" s="34"/>
      <c r="S480" s="29"/>
      <c r="T480" s="29"/>
      <c r="U480" s="2"/>
      <c r="V480" s="34"/>
      <c r="W480" s="34"/>
      <c r="X480" s="34"/>
      <c r="Y480" s="29"/>
      <c r="Z480" s="34"/>
      <c r="AA480" s="34"/>
      <c r="AB480" s="29"/>
      <c r="AC480" s="34"/>
      <c r="AD480" s="29"/>
      <c r="AE480" s="34"/>
      <c r="AF480" s="34"/>
    </row>
    <row x14ac:dyDescent="0.25" r="481" customHeight="1" ht="15.75">
      <c r="A481" s="502"/>
      <c r="B481" s="34"/>
      <c r="C481" s="34"/>
      <c r="D481" s="34"/>
      <c r="E481" s="34"/>
      <c r="F481" s="34"/>
      <c r="G481" s="34"/>
      <c r="H481" s="34"/>
      <c r="I481" s="29"/>
      <c r="J481" s="29"/>
      <c r="K481" s="29"/>
      <c r="L481" s="29"/>
      <c r="M481" s="34"/>
      <c r="N481" s="34"/>
      <c r="O481" s="29"/>
      <c r="P481" s="29"/>
      <c r="Q481" s="29"/>
      <c r="R481" s="34"/>
      <c r="S481" s="29"/>
      <c r="T481" s="29"/>
      <c r="U481" s="2"/>
      <c r="V481" s="34"/>
      <c r="W481" s="34"/>
      <c r="X481" s="34"/>
      <c r="Y481" s="29"/>
      <c r="Z481" s="34"/>
      <c r="AA481" s="34"/>
      <c r="AB481" s="29"/>
      <c r="AC481" s="34"/>
      <c r="AD481" s="29"/>
      <c r="AE481" s="34"/>
      <c r="AF481" s="34"/>
    </row>
    <row x14ac:dyDescent="0.25" r="482" customHeight="1" ht="15.75">
      <c r="A482" s="502"/>
      <c r="B482" s="34"/>
      <c r="C482" s="34"/>
      <c r="D482" s="34"/>
      <c r="E482" s="34"/>
      <c r="F482" s="34"/>
      <c r="G482" s="34"/>
      <c r="H482" s="34"/>
      <c r="I482" s="29"/>
      <c r="J482" s="29"/>
      <c r="K482" s="29"/>
      <c r="L482" s="29"/>
      <c r="M482" s="34"/>
      <c r="N482" s="34"/>
      <c r="O482" s="29"/>
      <c r="P482" s="29"/>
      <c r="Q482" s="29"/>
      <c r="R482" s="34"/>
      <c r="S482" s="29"/>
      <c r="T482" s="29"/>
      <c r="U482" s="2"/>
      <c r="V482" s="34"/>
      <c r="W482" s="34"/>
      <c r="X482" s="34"/>
      <c r="Y482" s="29"/>
      <c r="Z482" s="34"/>
      <c r="AA482" s="34"/>
      <c r="AB482" s="29"/>
      <c r="AC482" s="34"/>
      <c r="AD482" s="29"/>
      <c r="AE482" s="34"/>
      <c r="AF482" s="34"/>
    </row>
    <row x14ac:dyDescent="0.25" r="483" customHeight="1" ht="15.75">
      <c r="A483" s="502"/>
      <c r="B483" s="34"/>
      <c r="C483" s="34"/>
      <c r="D483" s="34"/>
      <c r="E483" s="34"/>
      <c r="F483" s="34"/>
      <c r="G483" s="34"/>
      <c r="H483" s="34"/>
      <c r="I483" s="29"/>
      <c r="J483" s="29"/>
      <c r="K483" s="29"/>
      <c r="L483" s="29"/>
      <c r="M483" s="34"/>
      <c r="N483" s="34"/>
      <c r="O483" s="29"/>
      <c r="P483" s="29"/>
      <c r="Q483" s="29"/>
      <c r="R483" s="34"/>
      <c r="S483" s="29"/>
      <c r="T483" s="29"/>
      <c r="U483" s="2"/>
      <c r="V483" s="34"/>
      <c r="W483" s="34"/>
      <c r="X483" s="34"/>
      <c r="Y483" s="29"/>
      <c r="Z483" s="34"/>
      <c r="AA483" s="34"/>
      <c r="AB483" s="29"/>
      <c r="AC483" s="34"/>
      <c r="AD483" s="29"/>
      <c r="AE483" s="34"/>
      <c r="AF483" s="34"/>
    </row>
    <row x14ac:dyDescent="0.25" r="484" customHeight="1" ht="15.75">
      <c r="A484" s="502"/>
      <c r="B484" s="34"/>
      <c r="C484" s="34"/>
      <c r="D484" s="34"/>
      <c r="E484" s="34"/>
      <c r="F484" s="34"/>
      <c r="G484" s="34"/>
      <c r="H484" s="34"/>
      <c r="I484" s="29"/>
      <c r="J484" s="29"/>
      <c r="K484" s="29"/>
      <c r="L484" s="29"/>
      <c r="M484" s="34"/>
      <c r="N484" s="34"/>
      <c r="O484" s="29"/>
      <c r="P484" s="29"/>
      <c r="Q484" s="29"/>
      <c r="R484" s="34"/>
      <c r="S484" s="29"/>
      <c r="T484" s="29"/>
      <c r="U484" s="2"/>
      <c r="V484" s="34"/>
      <c r="W484" s="34"/>
      <c r="X484" s="34"/>
      <c r="Y484" s="29"/>
      <c r="Z484" s="34"/>
      <c r="AA484" s="34"/>
      <c r="AB484" s="29"/>
      <c r="AC484" s="34"/>
      <c r="AD484" s="29"/>
      <c r="AE484" s="34"/>
      <c r="AF484" s="34"/>
    </row>
    <row x14ac:dyDescent="0.25" r="485" customHeight="1" ht="15.75">
      <c r="A485" s="502"/>
      <c r="B485" s="34"/>
      <c r="C485" s="34"/>
      <c r="D485" s="34"/>
      <c r="E485" s="34"/>
      <c r="F485" s="34"/>
      <c r="G485" s="34"/>
      <c r="H485" s="34"/>
      <c r="I485" s="29"/>
      <c r="J485" s="29"/>
      <c r="K485" s="29"/>
      <c r="L485" s="29"/>
      <c r="M485" s="34"/>
      <c r="N485" s="34"/>
      <c r="O485" s="29"/>
      <c r="P485" s="29"/>
      <c r="Q485" s="29"/>
      <c r="R485" s="34"/>
      <c r="S485" s="29"/>
      <c r="T485" s="29"/>
      <c r="U485" s="2"/>
      <c r="V485" s="34"/>
      <c r="W485" s="34"/>
      <c r="X485" s="34"/>
      <c r="Y485" s="29"/>
      <c r="Z485" s="34"/>
      <c r="AA485" s="34"/>
      <c r="AB485" s="29"/>
      <c r="AC485" s="34"/>
      <c r="AD485" s="29"/>
      <c r="AE485" s="34"/>
      <c r="AF485" s="34"/>
    </row>
    <row x14ac:dyDescent="0.25" r="486" customHeight="1" ht="15.75">
      <c r="A486" s="502"/>
      <c r="B486" s="34"/>
      <c r="C486" s="34"/>
      <c r="D486" s="34"/>
      <c r="E486" s="34"/>
      <c r="F486" s="34"/>
      <c r="G486" s="34"/>
      <c r="H486" s="34"/>
      <c r="I486" s="29"/>
      <c r="J486" s="29"/>
      <c r="K486" s="29"/>
      <c r="L486" s="29"/>
      <c r="M486" s="34"/>
      <c r="N486" s="34"/>
      <c r="O486" s="29"/>
      <c r="P486" s="29"/>
      <c r="Q486" s="29"/>
      <c r="R486" s="34"/>
      <c r="S486" s="29"/>
      <c r="T486" s="29"/>
      <c r="U486" s="2"/>
      <c r="V486" s="34"/>
      <c r="W486" s="34"/>
      <c r="X486" s="34"/>
      <c r="Y486" s="29"/>
      <c r="Z486" s="34"/>
      <c r="AA486" s="34"/>
      <c r="AB486" s="29"/>
      <c r="AC486" s="34"/>
      <c r="AD486" s="29"/>
      <c r="AE486" s="34"/>
      <c r="AF486" s="34"/>
    </row>
    <row x14ac:dyDescent="0.25" r="487" customHeight="1" ht="15.75">
      <c r="A487" s="502"/>
      <c r="B487" s="34"/>
      <c r="C487" s="34"/>
      <c r="D487" s="34"/>
      <c r="E487" s="34"/>
      <c r="F487" s="34"/>
      <c r="G487" s="34"/>
      <c r="H487" s="34"/>
      <c r="I487" s="29"/>
      <c r="J487" s="29"/>
      <c r="K487" s="29"/>
      <c r="L487" s="29"/>
      <c r="M487" s="34"/>
      <c r="N487" s="34"/>
      <c r="O487" s="29"/>
      <c r="P487" s="29"/>
      <c r="Q487" s="29"/>
      <c r="R487" s="34"/>
      <c r="S487" s="29"/>
      <c r="T487" s="29"/>
      <c r="U487" s="2"/>
      <c r="V487" s="34"/>
      <c r="W487" s="34"/>
      <c r="X487" s="34"/>
      <c r="Y487" s="29"/>
      <c r="Z487" s="34"/>
      <c r="AA487" s="34"/>
      <c r="AB487" s="29"/>
      <c r="AC487" s="34"/>
      <c r="AD487" s="29"/>
      <c r="AE487" s="34"/>
      <c r="AF487" s="34"/>
    </row>
    <row x14ac:dyDescent="0.25" r="488" customHeight="1" ht="15.75">
      <c r="A488" s="502"/>
      <c r="B488" s="34"/>
      <c r="C488" s="34"/>
      <c r="D488" s="34"/>
      <c r="E488" s="34"/>
      <c r="F488" s="34"/>
      <c r="G488" s="34"/>
      <c r="H488" s="34"/>
      <c r="I488" s="29"/>
      <c r="J488" s="29"/>
      <c r="K488" s="29"/>
      <c r="L488" s="29"/>
      <c r="M488" s="34"/>
      <c r="N488" s="34"/>
      <c r="O488" s="29"/>
      <c r="P488" s="29"/>
      <c r="Q488" s="29"/>
      <c r="R488" s="34"/>
      <c r="S488" s="29"/>
      <c r="T488" s="29"/>
      <c r="U488" s="2"/>
      <c r="V488" s="34"/>
      <c r="W488" s="34"/>
      <c r="X488" s="34"/>
      <c r="Y488" s="29"/>
      <c r="Z488" s="34"/>
      <c r="AA488" s="34"/>
      <c r="AB488" s="29"/>
      <c r="AC488" s="34"/>
      <c r="AD488" s="29"/>
      <c r="AE488" s="34"/>
      <c r="AF488" s="34"/>
    </row>
    <row x14ac:dyDescent="0.25" r="489" customHeight="1" ht="15.75">
      <c r="A489" s="502"/>
      <c r="B489" s="34"/>
      <c r="C489" s="34"/>
      <c r="D489" s="34"/>
      <c r="E489" s="34"/>
      <c r="F489" s="34"/>
      <c r="G489" s="34"/>
      <c r="H489" s="34"/>
      <c r="I489" s="29"/>
      <c r="J489" s="29"/>
      <c r="K489" s="29"/>
      <c r="L489" s="29"/>
      <c r="M489" s="34"/>
      <c r="N489" s="34"/>
      <c r="O489" s="29"/>
      <c r="P489" s="29"/>
      <c r="Q489" s="29"/>
      <c r="R489" s="34"/>
      <c r="S489" s="29"/>
      <c r="T489" s="29"/>
      <c r="U489" s="2"/>
      <c r="V489" s="34"/>
      <c r="W489" s="34"/>
      <c r="X489" s="34"/>
      <c r="Y489" s="29"/>
      <c r="Z489" s="34"/>
      <c r="AA489" s="34"/>
      <c r="AB489" s="29"/>
      <c r="AC489" s="34"/>
      <c r="AD489" s="29"/>
      <c r="AE489" s="34"/>
      <c r="AF489" s="34"/>
    </row>
    <row x14ac:dyDescent="0.25" r="490" customHeight="1" ht="15.75">
      <c r="A490" s="502"/>
      <c r="B490" s="34"/>
      <c r="C490" s="34"/>
      <c r="D490" s="34"/>
      <c r="E490" s="34"/>
      <c r="F490" s="34"/>
      <c r="G490" s="34"/>
      <c r="H490" s="34"/>
      <c r="I490" s="29"/>
      <c r="J490" s="29"/>
      <c r="K490" s="29"/>
      <c r="L490" s="29"/>
      <c r="M490" s="34"/>
      <c r="N490" s="34"/>
      <c r="O490" s="29"/>
      <c r="P490" s="29"/>
      <c r="Q490" s="29"/>
      <c r="R490" s="34"/>
      <c r="S490" s="29"/>
      <c r="T490" s="29"/>
      <c r="U490" s="2"/>
      <c r="V490" s="34"/>
      <c r="W490" s="34"/>
      <c r="X490" s="34"/>
      <c r="Y490" s="29"/>
      <c r="Z490" s="34"/>
      <c r="AA490" s="34"/>
      <c r="AB490" s="29"/>
      <c r="AC490" s="34"/>
      <c r="AD490" s="29"/>
      <c r="AE490" s="34"/>
      <c r="AF490" s="34"/>
    </row>
    <row x14ac:dyDescent="0.25" r="491" customHeight="1" ht="15.75">
      <c r="A491" s="502"/>
      <c r="B491" s="34"/>
      <c r="C491" s="34"/>
      <c r="D491" s="34"/>
      <c r="E491" s="34"/>
      <c r="F491" s="34"/>
      <c r="G491" s="34"/>
      <c r="H491" s="34"/>
      <c r="I491" s="29"/>
      <c r="J491" s="29"/>
      <c r="K491" s="29"/>
      <c r="L491" s="29"/>
      <c r="M491" s="34"/>
      <c r="N491" s="34"/>
      <c r="O491" s="29"/>
      <c r="P491" s="29"/>
      <c r="Q491" s="29"/>
      <c r="R491" s="34"/>
      <c r="S491" s="29"/>
      <c r="T491" s="29"/>
      <c r="U491" s="2"/>
      <c r="V491" s="34"/>
      <c r="W491" s="34"/>
      <c r="X491" s="34"/>
      <c r="Y491" s="29"/>
      <c r="Z491" s="34"/>
      <c r="AA491" s="34"/>
      <c r="AB491" s="29"/>
      <c r="AC491" s="34"/>
      <c r="AD491" s="29"/>
      <c r="AE491" s="34"/>
      <c r="AF491" s="34"/>
    </row>
    <row x14ac:dyDescent="0.25" r="492" customHeight="1" ht="15.75">
      <c r="A492" s="502"/>
      <c r="B492" s="34"/>
      <c r="C492" s="34"/>
      <c r="D492" s="34"/>
      <c r="E492" s="34"/>
      <c r="F492" s="34"/>
      <c r="G492" s="34"/>
      <c r="H492" s="34"/>
      <c r="I492" s="29"/>
      <c r="J492" s="29"/>
      <c r="K492" s="29"/>
      <c r="L492" s="29"/>
      <c r="M492" s="34"/>
      <c r="N492" s="34"/>
      <c r="O492" s="29"/>
      <c r="P492" s="29"/>
      <c r="Q492" s="29"/>
      <c r="R492" s="34"/>
      <c r="S492" s="29"/>
      <c r="T492" s="29"/>
      <c r="U492" s="2"/>
      <c r="V492" s="34"/>
      <c r="W492" s="34"/>
      <c r="X492" s="34"/>
      <c r="Y492" s="29"/>
      <c r="Z492" s="34"/>
      <c r="AA492" s="34"/>
      <c r="AB492" s="29"/>
      <c r="AC492" s="34"/>
      <c r="AD492" s="29"/>
      <c r="AE492" s="34"/>
      <c r="AF492" s="34"/>
    </row>
    <row x14ac:dyDescent="0.25" r="493" customHeight="1" ht="15.75">
      <c r="A493" s="502"/>
      <c r="B493" s="34"/>
      <c r="C493" s="34"/>
      <c r="D493" s="34"/>
      <c r="E493" s="34"/>
      <c r="F493" s="34"/>
      <c r="G493" s="34"/>
      <c r="H493" s="34"/>
      <c r="I493" s="29"/>
      <c r="J493" s="29"/>
      <c r="K493" s="29"/>
      <c r="L493" s="29"/>
      <c r="M493" s="34"/>
      <c r="N493" s="34"/>
      <c r="O493" s="29"/>
      <c r="P493" s="29"/>
      <c r="Q493" s="29"/>
      <c r="R493" s="34"/>
      <c r="S493" s="29"/>
      <c r="T493" s="29"/>
      <c r="U493" s="2"/>
      <c r="V493" s="34"/>
      <c r="W493" s="34"/>
      <c r="X493" s="34"/>
      <c r="Y493" s="29"/>
      <c r="Z493" s="34"/>
      <c r="AA493" s="34"/>
      <c r="AB493" s="29"/>
      <c r="AC493" s="34"/>
      <c r="AD493" s="29"/>
      <c r="AE493" s="34"/>
      <c r="AF493" s="34"/>
    </row>
    <row x14ac:dyDescent="0.25" r="494" customHeight="1" ht="15.75">
      <c r="A494" s="502"/>
      <c r="B494" s="34"/>
      <c r="C494" s="34"/>
      <c r="D494" s="34"/>
      <c r="E494" s="34"/>
      <c r="F494" s="34"/>
      <c r="G494" s="34"/>
      <c r="H494" s="34"/>
      <c r="I494" s="29"/>
      <c r="J494" s="29"/>
      <c r="K494" s="29"/>
      <c r="L494" s="29"/>
      <c r="M494" s="34"/>
      <c r="N494" s="34"/>
      <c r="O494" s="29"/>
      <c r="P494" s="29"/>
      <c r="Q494" s="29"/>
      <c r="R494" s="34"/>
      <c r="S494" s="29"/>
      <c r="T494" s="29"/>
      <c r="U494" s="2"/>
      <c r="V494" s="34"/>
      <c r="W494" s="34"/>
      <c r="X494" s="34"/>
      <c r="Y494" s="29"/>
      <c r="Z494" s="34"/>
      <c r="AA494" s="34"/>
      <c r="AB494" s="29"/>
      <c r="AC494" s="34"/>
      <c r="AD494" s="29"/>
      <c r="AE494" s="34"/>
      <c r="AF494" s="34"/>
    </row>
    <row x14ac:dyDescent="0.25" r="495" customHeight="1" ht="15.75">
      <c r="A495" s="502"/>
      <c r="B495" s="34"/>
      <c r="C495" s="34"/>
      <c r="D495" s="34"/>
      <c r="E495" s="34"/>
      <c r="F495" s="34"/>
      <c r="G495" s="34"/>
      <c r="H495" s="34"/>
      <c r="I495" s="29"/>
      <c r="J495" s="29"/>
      <c r="K495" s="29"/>
      <c r="L495" s="29"/>
      <c r="M495" s="34"/>
      <c r="N495" s="34"/>
      <c r="O495" s="29"/>
      <c r="P495" s="29"/>
      <c r="Q495" s="29"/>
      <c r="R495" s="34"/>
      <c r="S495" s="29"/>
      <c r="T495" s="29"/>
      <c r="U495" s="2"/>
      <c r="V495" s="34"/>
      <c r="W495" s="34"/>
      <c r="X495" s="34"/>
      <c r="Y495" s="29"/>
      <c r="Z495" s="34"/>
      <c r="AA495" s="34"/>
      <c r="AB495" s="29"/>
      <c r="AC495" s="34"/>
      <c r="AD495" s="29"/>
      <c r="AE495" s="34"/>
      <c r="AF495" s="34"/>
    </row>
    <row x14ac:dyDescent="0.25" r="496" customHeight="1" ht="15.75">
      <c r="A496" s="502"/>
      <c r="B496" s="34"/>
      <c r="C496" s="34"/>
      <c r="D496" s="34"/>
      <c r="E496" s="34"/>
      <c r="F496" s="34"/>
      <c r="G496" s="34"/>
      <c r="H496" s="34"/>
      <c r="I496" s="29"/>
      <c r="J496" s="29"/>
      <c r="K496" s="29"/>
      <c r="L496" s="29"/>
      <c r="M496" s="34"/>
      <c r="N496" s="34"/>
      <c r="O496" s="29"/>
      <c r="P496" s="29"/>
      <c r="Q496" s="29"/>
      <c r="R496" s="34"/>
      <c r="S496" s="29"/>
      <c r="T496" s="29"/>
      <c r="U496" s="2"/>
      <c r="V496" s="34"/>
      <c r="W496" s="34"/>
      <c r="X496" s="34"/>
      <c r="Y496" s="29"/>
      <c r="Z496" s="34"/>
      <c r="AA496" s="34"/>
      <c r="AB496" s="29"/>
      <c r="AC496" s="34"/>
      <c r="AD496" s="29"/>
      <c r="AE496" s="34"/>
      <c r="AF496" s="34"/>
    </row>
    <row x14ac:dyDescent="0.25" r="497" customHeight="1" ht="15.75">
      <c r="A497" s="502"/>
      <c r="B497" s="34"/>
      <c r="C497" s="34"/>
      <c r="D497" s="34"/>
      <c r="E497" s="34"/>
      <c r="F497" s="34"/>
      <c r="G497" s="34"/>
      <c r="H497" s="34"/>
      <c r="I497" s="29"/>
      <c r="J497" s="29"/>
      <c r="K497" s="29"/>
      <c r="L497" s="29"/>
      <c r="M497" s="34"/>
      <c r="N497" s="34"/>
      <c r="O497" s="29"/>
      <c r="P497" s="29"/>
      <c r="Q497" s="29"/>
      <c r="R497" s="34"/>
      <c r="S497" s="29"/>
      <c r="T497" s="29"/>
      <c r="U497" s="2"/>
      <c r="V497" s="34"/>
      <c r="W497" s="34"/>
      <c r="X497" s="34"/>
      <c r="Y497" s="29"/>
      <c r="Z497" s="34"/>
      <c r="AA497" s="34"/>
      <c r="AB497" s="29"/>
      <c r="AC497" s="34"/>
      <c r="AD497" s="29"/>
      <c r="AE497" s="34"/>
      <c r="AF497" s="34"/>
    </row>
    <row x14ac:dyDescent="0.25" r="498" customHeight="1" ht="15.75">
      <c r="A498" s="502"/>
      <c r="B498" s="34"/>
      <c r="C498" s="34"/>
      <c r="D498" s="34"/>
      <c r="E498" s="34"/>
      <c r="F498" s="34"/>
      <c r="G498" s="34"/>
      <c r="H498" s="34"/>
      <c r="I498" s="29"/>
      <c r="J498" s="29"/>
      <c r="K498" s="29"/>
      <c r="L498" s="29"/>
      <c r="M498" s="34"/>
      <c r="N498" s="34"/>
      <c r="O498" s="29"/>
      <c r="P498" s="29"/>
      <c r="Q498" s="29"/>
      <c r="R498" s="34"/>
      <c r="S498" s="29"/>
      <c r="T498" s="29"/>
      <c r="U498" s="2"/>
      <c r="V498" s="34"/>
      <c r="W498" s="34"/>
      <c r="X498" s="34"/>
      <c r="Y498" s="29"/>
      <c r="Z498" s="34"/>
      <c r="AA498" s="34"/>
      <c r="AB498" s="29"/>
      <c r="AC498" s="34"/>
      <c r="AD498" s="29"/>
      <c r="AE498" s="34"/>
      <c r="AF498" s="34"/>
    </row>
    <row x14ac:dyDescent="0.25" r="499" customHeight="1" ht="15.75">
      <c r="A499" s="502"/>
      <c r="B499" s="34"/>
      <c r="C499" s="34"/>
      <c r="D499" s="34"/>
      <c r="E499" s="34"/>
      <c r="F499" s="34"/>
      <c r="G499" s="34"/>
      <c r="H499" s="34"/>
      <c r="I499" s="29"/>
      <c r="J499" s="29"/>
      <c r="K499" s="29"/>
      <c r="L499" s="29"/>
      <c r="M499" s="34"/>
      <c r="N499" s="34"/>
      <c r="O499" s="29"/>
      <c r="P499" s="29"/>
      <c r="Q499" s="29"/>
      <c r="R499" s="34"/>
      <c r="S499" s="29"/>
      <c r="T499" s="29"/>
      <c r="U499" s="2"/>
      <c r="V499" s="34"/>
      <c r="W499" s="34"/>
      <c r="X499" s="34"/>
      <c r="Y499" s="29"/>
      <c r="Z499" s="34"/>
      <c r="AA499" s="34"/>
      <c r="AB499" s="29"/>
      <c r="AC499" s="34"/>
      <c r="AD499" s="29"/>
      <c r="AE499" s="34"/>
      <c r="AF499" s="34"/>
    </row>
    <row x14ac:dyDescent="0.25" r="500" customHeight="1" ht="15.75">
      <c r="A500" s="502"/>
      <c r="B500" s="34"/>
      <c r="C500" s="34"/>
      <c r="D500" s="34"/>
      <c r="E500" s="34"/>
      <c r="F500" s="34"/>
      <c r="G500" s="34"/>
      <c r="H500" s="34"/>
      <c r="I500" s="29"/>
      <c r="J500" s="29"/>
      <c r="K500" s="29"/>
      <c r="L500" s="29"/>
      <c r="M500" s="34"/>
      <c r="N500" s="34"/>
      <c r="O500" s="29"/>
      <c r="P500" s="29"/>
      <c r="Q500" s="29"/>
      <c r="R500" s="34"/>
      <c r="S500" s="29"/>
      <c r="T500" s="29"/>
      <c r="U500" s="2"/>
      <c r="V500" s="34"/>
      <c r="W500" s="34"/>
      <c r="X500" s="34"/>
      <c r="Y500" s="29"/>
      <c r="Z500" s="34"/>
      <c r="AA500" s="34"/>
      <c r="AB500" s="29"/>
      <c r="AC500" s="34"/>
      <c r="AD500" s="29"/>
      <c r="AE500" s="34"/>
      <c r="AF500" s="34"/>
    </row>
    <row x14ac:dyDescent="0.25" r="501" customHeight="1" ht="15.75">
      <c r="A501" s="502"/>
      <c r="B501" s="34"/>
      <c r="C501" s="34"/>
      <c r="D501" s="34"/>
      <c r="E501" s="34"/>
      <c r="F501" s="34"/>
      <c r="G501" s="34"/>
      <c r="H501" s="34"/>
      <c r="I501" s="29"/>
      <c r="J501" s="29"/>
      <c r="K501" s="29"/>
      <c r="L501" s="29"/>
      <c r="M501" s="34"/>
      <c r="N501" s="34"/>
      <c r="O501" s="29"/>
      <c r="P501" s="29"/>
      <c r="Q501" s="29"/>
      <c r="R501" s="34"/>
      <c r="S501" s="29"/>
      <c r="T501" s="29"/>
      <c r="U501" s="2"/>
      <c r="V501" s="34"/>
      <c r="W501" s="34"/>
      <c r="X501" s="34"/>
      <c r="Y501" s="29"/>
      <c r="Z501" s="34"/>
      <c r="AA501" s="34"/>
      <c r="AB501" s="29"/>
      <c r="AC501" s="34"/>
      <c r="AD501" s="29"/>
      <c r="AE501" s="34"/>
      <c r="AF501" s="34"/>
    </row>
    <row x14ac:dyDescent="0.25" r="502" customHeight="1" ht="15.75">
      <c r="A502" s="502"/>
      <c r="B502" s="34"/>
      <c r="C502" s="34"/>
      <c r="D502" s="34"/>
      <c r="E502" s="34"/>
      <c r="F502" s="34"/>
      <c r="G502" s="34"/>
      <c r="H502" s="34"/>
      <c r="I502" s="29"/>
      <c r="J502" s="29"/>
      <c r="K502" s="29"/>
      <c r="L502" s="29"/>
      <c r="M502" s="34"/>
      <c r="N502" s="34"/>
      <c r="O502" s="29"/>
      <c r="P502" s="29"/>
      <c r="Q502" s="29"/>
      <c r="R502" s="34"/>
      <c r="S502" s="29"/>
      <c r="T502" s="29"/>
      <c r="U502" s="2"/>
      <c r="V502" s="34"/>
      <c r="W502" s="34"/>
      <c r="X502" s="34"/>
      <c r="Y502" s="29"/>
      <c r="Z502" s="34"/>
      <c r="AA502" s="34"/>
      <c r="AB502" s="29"/>
      <c r="AC502" s="34"/>
      <c r="AD502" s="29"/>
      <c r="AE502" s="34"/>
      <c r="AF502" s="34"/>
    </row>
    <row x14ac:dyDescent="0.25" r="503" customHeight="1" ht="15.75">
      <c r="A503" s="502"/>
      <c r="B503" s="34"/>
      <c r="C503" s="34"/>
      <c r="D503" s="34"/>
      <c r="E503" s="34"/>
      <c r="F503" s="34"/>
      <c r="G503" s="34"/>
      <c r="H503" s="34"/>
      <c r="I503" s="29"/>
      <c r="J503" s="29"/>
      <c r="K503" s="29"/>
      <c r="L503" s="29"/>
      <c r="M503" s="34"/>
      <c r="N503" s="34"/>
      <c r="O503" s="29"/>
      <c r="P503" s="29"/>
      <c r="Q503" s="29"/>
      <c r="R503" s="34"/>
      <c r="S503" s="29"/>
      <c r="T503" s="29"/>
      <c r="U503" s="2"/>
      <c r="V503" s="34"/>
      <c r="W503" s="34"/>
      <c r="X503" s="34"/>
      <c r="Y503" s="29"/>
      <c r="Z503" s="34"/>
      <c r="AA503" s="34"/>
      <c r="AB503" s="29"/>
      <c r="AC503" s="34"/>
      <c r="AD503" s="29"/>
      <c r="AE503" s="34"/>
      <c r="AF503" s="34"/>
    </row>
    <row x14ac:dyDescent="0.25" r="504" customHeight="1" ht="15.75">
      <c r="A504" s="502"/>
      <c r="B504" s="34"/>
      <c r="C504" s="34"/>
      <c r="D504" s="34"/>
      <c r="E504" s="34"/>
      <c r="F504" s="34"/>
      <c r="G504" s="34"/>
      <c r="H504" s="34"/>
      <c r="I504" s="29"/>
      <c r="J504" s="29"/>
      <c r="K504" s="29"/>
      <c r="L504" s="29"/>
      <c r="M504" s="34"/>
      <c r="N504" s="34"/>
      <c r="O504" s="29"/>
      <c r="P504" s="29"/>
      <c r="Q504" s="29"/>
      <c r="R504" s="34"/>
      <c r="S504" s="29"/>
      <c r="T504" s="29"/>
      <c r="U504" s="2"/>
      <c r="V504" s="34"/>
      <c r="W504" s="34"/>
      <c r="X504" s="34"/>
      <c r="Y504" s="29"/>
      <c r="Z504" s="34"/>
      <c r="AA504" s="34"/>
      <c r="AB504" s="29"/>
      <c r="AC504" s="34"/>
      <c r="AD504" s="29"/>
      <c r="AE504" s="34"/>
      <c r="AF504" s="34"/>
    </row>
    <row x14ac:dyDescent="0.25" r="505" customHeight="1" ht="15.75">
      <c r="A505" s="502"/>
      <c r="B505" s="34"/>
      <c r="C505" s="34"/>
      <c r="D505" s="34"/>
      <c r="E505" s="34"/>
      <c r="F505" s="34"/>
      <c r="G505" s="34"/>
      <c r="H505" s="34"/>
      <c r="I505" s="29"/>
      <c r="J505" s="29"/>
      <c r="K505" s="29"/>
      <c r="L505" s="29"/>
      <c r="M505" s="34"/>
      <c r="N505" s="34"/>
      <c r="O505" s="29"/>
      <c r="P505" s="29"/>
      <c r="Q505" s="29"/>
      <c r="R505" s="34"/>
      <c r="S505" s="29"/>
      <c r="T505" s="29"/>
      <c r="U505" s="2"/>
      <c r="V505" s="34"/>
      <c r="W505" s="34"/>
      <c r="X505" s="34"/>
      <c r="Y505" s="29"/>
      <c r="Z505" s="34"/>
      <c r="AA505" s="34"/>
      <c r="AB505" s="29"/>
      <c r="AC505" s="34"/>
      <c r="AD505" s="29"/>
      <c r="AE505" s="34"/>
      <c r="AF505" s="34"/>
    </row>
    <row x14ac:dyDescent="0.25" r="506" customHeight="1" ht="15.75">
      <c r="A506" s="502"/>
      <c r="B506" s="34"/>
      <c r="C506" s="34"/>
      <c r="D506" s="34"/>
      <c r="E506" s="34"/>
      <c r="F506" s="34"/>
      <c r="G506" s="34"/>
      <c r="H506" s="34"/>
      <c r="I506" s="29"/>
      <c r="J506" s="29"/>
      <c r="K506" s="29"/>
      <c r="L506" s="29"/>
      <c r="M506" s="34"/>
      <c r="N506" s="34"/>
      <c r="O506" s="29"/>
      <c r="P506" s="29"/>
      <c r="Q506" s="29"/>
      <c r="R506" s="34"/>
      <c r="S506" s="29"/>
      <c r="T506" s="29"/>
      <c r="U506" s="2"/>
      <c r="V506" s="34"/>
      <c r="W506" s="34"/>
      <c r="X506" s="34"/>
      <c r="Y506" s="29"/>
      <c r="Z506" s="34"/>
      <c r="AA506" s="34"/>
      <c r="AB506" s="29"/>
      <c r="AC506" s="34"/>
      <c r="AD506" s="29"/>
      <c r="AE506" s="34"/>
      <c r="AF506" s="34"/>
    </row>
    <row x14ac:dyDescent="0.25" r="507" customHeight="1" ht="15.75">
      <c r="A507" s="502"/>
      <c r="B507" s="34"/>
      <c r="C507" s="34"/>
      <c r="D507" s="34"/>
      <c r="E507" s="34"/>
      <c r="F507" s="34"/>
      <c r="G507" s="34"/>
      <c r="H507" s="34"/>
      <c r="I507" s="29"/>
      <c r="J507" s="29"/>
      <c r="K507" s="29"/>
      <c r="L507" s="29"/>
      <c r="M507" s="34"/>
      <c r="N507" s="34"/>
      <c r="O507" s="29"/>
      <c r="P507" s="29"/>
      <c r="Q507" s="29"/>
      <c r="R507" s="34"/>
      <c r="S507" s="29"/>
      <c r="T507" s="29"/>
      <c r="U507" s="2"/>
      <c r="V507" s="34"/>
      <c r="W507" s="34"/>
      <c r="X507" s="34"/>
      <c r="Y507" s="29"/>
      <c r="Z507" s="34"/>
      <c r="AA507" s="34"/>
      <c r="AB507" s="29"/>
      <c r="AC507" s="34"/>
      <c r="AD507" s="29"/>
      <c r="AE507" s="34"/>
      <c r="AF507" s="34"/>
    </row>
    <row x14ac:dyDescent="0.25" r="508" customHeight="1" ht="15.75">
      <c r="A508" s="502"/>
      <c r="B508" s="34"/>
      <c r="C508" s="34"/>
      <c r="D508" s="34"/>
      <c r="E508" s="34"/>
      <c r="F508" s="34"/>
      <c r="G508" s="34"/>
      <c r="H508" s="34"/>
      <c r="I508" s="29"/>
      <c r="J508" s="29"/>
      <c r="K508" s="29"/>
      <c r="L508" s="29"/>
      <c r="M508" s="34"/>
      <c r="N508" s="34"/>
      <c r="O508" s="29"/>
      <c r="P508" s="29"/>
      <c r="Q508" s="29"/>
      <c r="R508" s="34"/>
      <c r="S508" s="29"/>
      <c r="T508" s="29"/>
      <c r="U508" s="2"/>
      <c r="V508" s="34"/>
      <c r="W508" s="34"/>
      <c r="X508" s="34"/>
      <c r="Y508" s="29"/>
      <c r="Z508" s="34"/>
      <c r="AA508" s="34"/>
      <c r="AB508" s="29"/>
      <c r="AC508" s="34"/>
      <c r="AD508" s="29"/>
      <c r="AE508" s="34"/>
      <c r="AF508" s="34"/>
    </row>
    <row x14ac:dyDescent="0.25" r="509" customHeight="1" ht="15.75">
      <c r="A509" s="502"/>
      <c r="B509" s="34"/>
      <c r="C509" s="34"/>
      <c r="D509" s="34"/>
      <c r="E509" s="34"/>
      <c r="F509" s="34"/>
      <c r="G509" s="34"/>
      <c r="H509" s="34"/>
      <c r="I509" s="29"/>
      <c r="J509" s="29"/>
      <c r="K509" s="29"/>
      <c r="L509" s="29"/>
      <c r="M509" s="34"/>
      <c r="N509" s="34"/>
      <c r="O509" s="29"/>
      <c r="P509" s="29"/>
      <c r="Q509" s="29"/>
      <c r="R509" s="34"/>
      <c r="S509" s="29"/>
      <c r="T509" s="29"/>
      <c r="U509" s="2"/>
      <c r="V509" s="34"/>
      <c r="W509" s="34"/>
      <c r="X509" s="34"/>
      <c r="Y509" s="29"/>
      <c r="Z509" s="34"/>
      <c r="AA509" s="34"/>
      <c r="AB509" s="29"/>
      <c r="AC509" s="34"/>
      <c r="AD509" s="29"/>
      <c r="AE509" s="34"/>
      <c r="AF509" s="34"/>
    </row>
    <row x14ac:dyDescent="0.25" r="510" customHeight="1" ht="15.75">
      <c r="A510" s="502"/>
      <c r="B510" s="34"/>
      <c r="C510" s="34"/>
      <c r="D510" s="34"/>
      <c r="E510" s="34"/>
      <c r="F510" s="34"/>
      <c r="G510" s="34"/>
      <c r="H510" s="34"/>
      <c r="I510" s="29"/>
      <c r="J510" s="29"/>
      <c r="K510" s="29"/>
      <c r="L510" s="29"/>
      <c r="M510" s="34"/>
      <c r="N510" s="34"/>
      <c r="O510" s="29"/>
      <c r="P510" s="29"/>
      <c r="Q510" s="29"/>
      <c r="R510" s="34"/>
      <c r="S510" s="29"/>
      <c r="T510" s="29"/>
      <c r="U510" s="2"/>
      <c r="V510" s="34"/>
      <c r="W510" s="34"/>
      <c r="X510" s="34"/>
      <c r="Y510" s="29"/>
      <c r="Z510" s="34"/>
      <c r="AA510" s="34"/>
      <c r="AB510" s="29"/>
      <c r="AC510" s="34"/>
      <c r="AD510" s="29"/>
      <c r="AE510" s="34"/>
      <c r="AF510" s="34"/>
    </row>
    <row x14ac:dyDescent="0.25" r="511" customHeight="1" ht="15.75">
      <c r="A511" s="502"/>
      <c r="B511" s="34"/>
      <c r="C511" s="34"/>
      <c r="D511" s="34"/>
      <c r="E511" s="34"/>
      <c r="F511" s="34"/>
      <c r="G511" s="34"/>
      <c r="H511" s="34"/>
      <c r="I511" s="29"/>
      <c r="J511" s="29"/>
      <c r="K511" s="29"/>
      <c r="L511" s="29"/>
      <c r="M511" s="34"/>
      <c r="N511" s="34"/>
      <c r="O511" s="29"/>
      <c r="P511" s="29"/>
      <c r="Q511" s="29"/>
      <c r="R511" s="34"/>
      <c r="S511" s="29"/>
      <c r="T511" s="29"/>
      <c r="U511" s="2"/>
      <c r="V511" s="34"/>
      <c r="W511" s="34"/>
      <c r="X511" s="34"/>
      <c r="Y511" s="29"/>
      <c r="Z511" s="34"/>
      <c r="AA511" s="34"/>
      <c r="AB511" s="29"/>
      <c r="AC511" s="34"/>
      <c r="AD511" s="29"/>
      <c r="AE511" s="34"/>
      <c r="AF511" s="34"/>
    </row>
    <row x14ac:dyDescent="0.25" r="512" customHeight="1" ht="15.75">
      <c r="A512" s="502"/>
      <c r="B512" s="34"/>
      <c r="C512" s="34"/>
      <c r="D512" s="34"/>
      <c r="E512" s="34"/>
      <c r="F512" s="34"/>
      <c r="G512" s="34"/>
      <c r="H512" s="34"/>
      <c r="I512" s="29"/>
      <c r="J512" s="29"/>
      <c r="K512" s="29"/>
      <c r="L512" s="29"/>
      <c r="M512" s="34"/>
      <c r="N512" s="34"/>
      <c r="O512" s="29"/>
      <c r="P512" s="29"/>
      <c r="Q512" s="29"/>
      <c r="R512" s="34"/>
      <c r="S512" s="29"/>
      <c r="T512" s="29"/>
      <c r="U512" s="2"/>
      <c r="V512" s="34"/>
      <c r="W512" s="34"/>
      <c r="X512" s="34"/>
      <c r="Y512" s="29"/>
      <c r="Z512" s="34"/>
      <c r="AA512" s="34"/>
      <c r="AB512" s="29"/>
      <c r="AC512" s="34"/>
      <c r="AD512" s="29"/>
      <c r="AE512" s="34"/>
      <c r="AF512" s="34"/>
    </row>
    <row x14ac:dyDescent="0.25" r="513" customHeight="1" ht="15.75">
      <c r="A513" s="502"/>
      <c r="B513" s="34"/>
      <c r="C513" s="34"/>
      <c r="D513" s="34"/>
      <c r="E513" s="34"/>
      <c r="F513" s="34"/>
      <c r="G513" s="34"/>
      <c r="H513" s="34"/>
      <c r="I513" s="29"/>
      <c r="J513" s="29"/>
      <c r="K513" s="29"/>
      <c r="L513" s="29"/>
      <c r="M513" s="34"/>
      <c r="N513" s="34"/>
      <c r="O513" s="29"/>
      <c r="P513" s="29"/>
      <c r="Q513" s="29"/>
      <c r="R513" s="34"/>
      <c r="S513" s="29"/>
      <c r="T513" s="29"/>
      <c r="U513" s="2"/>
      <c r="V513" s="34"/>
      <c r="W513" s="34"/>
      <c r="X513" s="34"/>
      <c r="Y513" s="29"/>
      <c r="Z513" s="34"/>
      <c r="AA513" s="34"/>
      <c r="AB513" s="29"/>
      <c r="AC513" s="34"/>
      <c r="AD513" s="29"/>
      <c r="AE513" s="34"/>
      <c r="AF513" s="34"/>
    </row>
    <row x14ac:dyDescent="0.25" r="514" customHeight="1" ht="15.75">
      <c r="A514" s="502"/>
      <c r="B514" s="34"/>
      <c r="C514" s="34"/>
      <c r="D514" s="34"/>
      <c r="E514" s="34"/>
      <c r="F514" s="34"/>
      <c r="G514" s="34"/>
      <c r="H514" s="34"/>
      <c r="I514" s="29"/>
      <c r="J514" s="29"/>
      <c r="K514" s="29"/>
      <c r="L514" s="29"/>
      <c r="M514" s="34"/>
      <c r="N514" s="34"/>
      <c r="O514" s="29"/>
      <c r="P514" s="29"/>
      <c r="Q514" s="29"/>
      <c r="R514" s="34"/>
      <c r="S514" s="29"/>
      <c r="T514" s="29"/>
      <c r="U514" s="2"/>
      <c r="V514" s="34"/>
      <c r="W514" s="34"/>
      <c r="X514" s="34"/>
      <c r="Y514" s="29"/>
      <c r="Z514" s="34"/>
      <c r="AA514" s="34"/>
      <c r="AB514" s="29"/>
      <c r="AC514" s="34"/>
      <c r="AD514" s="29"/>
      <c r="AE514" s="34"/>
      <c r="AF514" s="34"/>
    </row>
    <row x14ac:dyDescent="0.25" r="515" customHeight="1" ht="15.75">
      <c r="A515" s="502"/>
      <c r="B515" s="34"/>
      <c r="C515" s="34"/>
      <c r="D515" s="34"/>
      <c r="E515" s="34"/>
      <c r="F515" s="34"/>
      <c r="G515" s="34"/>
      <c r="H515" s="34"/>
      <c r="I515" s="29"/>
      <c r="J515" s="29"/>
      <c r="K515" s="29"/>
      <c r="L515" s="29"/>
      <c r="M515" s="34"/>
      <c r="N515" s="34"/>
      <c r="O515" s="29"/>
      <c r="P515" s="29"/>
      <c r="Q515" s="29"/>
      <c r="R515" s="34"/>
      <c r="S515" s="29"/>
      <c r="T515" s="29"/>
      <c r="U515" s="2"/>
      <c r="V515" s="34"/>
      <c r="W515" s="34"/>
      <c r="X515" s="34"/>
      <c r="Y515" s="29"/>
      <c r="Z515" s="34"/>
      <c r="AA515" s="34"/>
      <c r="AB515" s="29"/>
      <c r="AC515" s="34"/>
      <c r="AD515" s="29"/>
      <c r="AE515" s="34"/>
      <c r="AF515" s="34"/>
    </row>
    <row x14ac:dyDescent="0.25" r="516" customHeight="1" ht="15.75">
      <c r="A516" s="502"/>
      <c r="B516" s="34"/>
      <c r="C516" s="34"/>
      <c r="D516" s="34"/>
      <c r="E516" s="34"/>
      <c r="F516" s="34"/>
      <c r="G516" s="34"/>
      <c r="H516" s="34"/>
      <c r="I516" s="29"/>
      <c r="J516" s="29"/>
      <c r="K516" s="29"/>
      <c r="L516" s="29"/>
      <c r="M516" s="34"/>
      <c r="N516" s="34"/>
      <c r="O516" s="29"/>
      <c r="P516" s="29"/>
      <c r="Q516" s="29"/>
      <c r="R516" s="34"/>
      <c r="S516" s="29"/>
      <c r="T516" s="29"/>
      <c r="U516" s="2"/>
      <c r="V516" s="34"/>
      <c r="W516" s="34"/>
      <c r="X516" s="34"/>
      <c r="Y516" s="29"/>
      <c r="Z516" s="34"/>
      <c r="AA516" s="34"/>
      <c r="AB516" s="29"/>
      <c r="AC516" s="34"/>
      <c r="AD516" s="29"/>
      <c r="AE516" s="34"/>
      <c r="AF516" s="34"/>
    </row>
    <row x14ac:dyDescent="0.25" r="517" customHeight="1" ht="15.75">
      <c r="A517" s="502"/>
      <c r="B517" s="34"/>
      <c r="C517" s="34"/>
      <c r="D517" s="34"/>
      <c r="E517" s="34"/>
      <c r="F517" s="34"/>
      <c r="G517" s="34"/>
      <c r="H517" s="34"/>
      <c r="I517" s="29"/>
      <c r="J517" s="29"/>
      <c r="K517" s="29"/>
      <c r="L517" s="29"/>
      <c r="M517" s="34"/>
      <c r="N517" s="34"/>
      <c r="O517" s="29"/>
      <c r="P517" s="29"/>
      <c r="Q517" s="29"/>
      <c r="R517" s="34"/>
      <c r="S517" s="29"/>
      <c r="T517" s="29"/>
      <c r="U517" s="2"/>
      <c r="V517" s="34"/>
      <c r="W517" s="34"/>
      <c r="X517" s="34"/>
      <c r="Y517" s="29"/>
      <c r="Z517" s="34"/>
      <c r="AA517" s="34"/>
      <c r="AB517" s="29"/>
      <c r="AC517" s="34"/>
      <c r="AD517" s="29"/>
      <c r="AE517" s="34"/>
      <c r="AF517" s="34"/>
    </row>
    <row x14ac:dyDescent="0.25" r="518" customHeight="1" ht="15.75">
      <c r="A518" s="502"/>
      <c r="B518" s="34"/>
      <c r="C518" s="34"/>
      <c r="D518" s="34"/>
      <c r="E518" s="34"/>
      <c r="F518" s="34"/>
      <c r="G518" s="34"/>
      <c r="H518" s="34"/>
      <c r="I518" s="29"/>
      <c r="J518" s="29"/>
      <c r="K518" s="29"/>
      <c r="L518" s="29"/>
      <c r="M518" s="34"/>
      <c r="N518" s="34"/>
      <c r="O518" s="29"/>
      <c r="P518" s="29"/>
      <c r="Q518" s="29"/>
      <c r="R518" s="34"/>
      <c r="S518" s="29"/>
      <c r="T518" s="29"/>
      <c r="U518" s="2"/>
      <c r="V518" s="34"/>
      <c r="W518" s="34"/>
      <c r="X518" s="34"/>
      <c r="Y518" s="29"/>
      <c r="Z518" s="34"/>
      <c r="AA518" s="34"/>
      <c r="AB518" s="29"/>
      <c r="AC518" s="34"/>
      <c r="AD518" s="29"/>
      <c r="AE518" s="34"/>
      <c r="AF518" s="34"/>
    </row>
    <row x14ac:dyDescent="0.25" r="519" customHeight="1" ht="15.75">
      <c r="A519" s="502"/>
      <c r="B519" s="34"/>
      <c r="C519" s="34"/>
      <c r="D519" s="34"/>
      <c r="E519" s="34"/>
      <c r="F519" s="34"/>
      <c r="G519" s="34"/>
      <c r="H519" s="34"/>
      <c r="I519" s="29"/>
      <c r="J519" s="29"/>
      <c r="K519" s="29"/>
      <c r="L519" s="29"/>
      <c r="M519" s="34"/>
      <c r="N519" s="34"/>
      <c r="O519" s="29"/>
      <c r="P519" s="29"/>
      <c r="Q519" s="29"/>
      <c r="R519" s="34"/>
      <c r="S519" s="29"/>
      <c r="T519" s="29"/>
      <c r="U519" s="2"/>
      <c r="V519" s="34"/>
      <c r="W519" s="34"/>
      <c r="X519" s="34"/>
      <c r="Y519" s="29"/>
      <c r="Z519" s="34"/>
      <c r="AA519" s="34"/>
      <c r="AB519" s="29"/>
      <c r="AC519" s="34"/>
      <c r="AD519" s="29"/>
      <c r="AE519" s="34"/>
      <c r="AF519" s="34"/>
    </row>
    <row x14ac:dyDescent="0.25" r="520" customHeight="1" ht="15.75">
      <c r="A520" s="502"/>
      <c r="B520" s="34"/>
      <c r="C520" s="34"/>
      <c r="D520" s="34"/>
      <c r="E520" s="34"/>
      <c r="F520" s="34"/>
      <c r="G520" s="34"/>
      <c r="H520" s="34"/>
      <c r="I520" s="29"/>
      <c r="J520" s="29"/>
      <c r="K520" s="29"/>
      <c r="L520" s="29"/>
      <c r="M520" s="34"/>
      <c r="N520" s="34"/>
      <c r="O520" s="29"/>
      <c r="P520" s="29"/>
      <c r="Q520" s="29"/>
      <c r="R520" s="34"/>
      <c r="S520" s="29"/>
      <c r="T520" s="29"/>
      <c r="U520" s="2"/>
      <c r="V520" s="34"/>
      <c r="W520" s="34"/>
      <c r="X520" s="34"/>
      <c r="Y520" s="29"/>
      <c r="Z520" s="34"/>
      <c r="AA520" s="34"/>
      <c r="AB520" s="29"/>
      <c r="AC520" s="34"/>
      <c r="AD520" s="29"/>
      <c r="AE520" s="34"/>
      <c r="AF520" s="34"/>
    </row>
    <row x14ac:dyDescent="0.25" r="521" customHeight="1" ht="15.75">
      <c r="A521" s="502"/>
      <c r="B521" s="34"/>
      <c r="C521" s="34"/>
      <c r="D521" s="34"/>
      <c r="E521" s="34"/>
      <c r="F521" s="34"/>
      <c r="G521" s="34"/>
      <c r="H521" s="34"/>
      <c r="I521" s="29"/>
      <c r="J521" s="29"/>
      <c r="K521" s="29"/>
      <c r="L521" s="29"/>
      <c r="M521" s="34"/>
      <c r="N521" s="34"/>
      <c r="O521" s="29"/>
      <c r="P521" s="29"/>
      <c r="Q521" s="29"/>
      <c r="R521" s="34"/>
      <c r="S521" s="29"/>
      <c r="T521" s="29"/>
      <c r="U521" s="2"/>
      <c r="V521" s="34"/>
      <c r="W521" s="34"/>
      <c r="X521" s="34"/>
      <c r="Y521" s="29"/>
      <c r="Z521" s="34"/>
      <c r="AA521" s="34"/>
      <c r="AB521" s="29"/>
      <c r="AC521" s="34"/>
      <c r="AD521" s="29"/>
      <c r="AE521" s="34"/>
      <c r="AF521" s="34"/>
    </row>
    <row x14ac:dyDescent="0.25" r="522" customHeight="1" ht="15.75">
      <c r="A522" s="502"/>
      <c r="B522" s="34"/>
      <c r="C522" s="34"/>
      <c r="D522" s="34"/>
      <c r="E522" s="34"/>
      <c r="F522" s="34"/>
      <c r="G522" s="34"/>
      <c r="H522" s="34"/>
      <c r="I522" s="29"/>
      <c r="J522" s="29"/>
      <c r="K522" s="29"/>
      <c r="L522" s="29"/>
      <c r="M522" s="34"/>
      <c r="N522" s="34"/>
      <c r="O522" s="29"/>
      <c r="P522" s="29"/>
      <c r="Q522" s="29"/>
      <c r="R522" s="34"/>
      <c r="S522" s="29"/>
      <c r="T522" s="29"/>
      <c r="U522" s="2"/>
      <c r="V522" s="34"/>
      <c r="W522" s="34"/>
      <c r="X522" s="34"/>
      <c r="Y522" s="29"/>
      <c r="Z522" s="34"/>
      <c r="AA522" s="34"/>
      <c r="AB522" s="29"/>
      <c r="AC522" s="34"/>
      <c r="AD522" s="29"/>
      <c r="AE522" s="34"/>
      <c r="AF522" s="34"/>
    </row>
    <row x14ac:dyDescent="0.25" r="523" customHeight="1" ht="15.75">
      <c r="A523" s="502"/>
      <c r="B523" s="34"/>
      <c r="C523" s="34"/>
      <c r="D523" s="34"/>
      <c r="E523" s="34"/>
      <c r="F523" s="34"/>
      <c r="G523" s="34"/>
      <c r="H523" s="34"/>
      <c r="I523" s="29"/>
      <c r="J523" s="29"/>
      <c r="K523" s="29"/>
      <c r="L523" s="29"/>
      <c r="M523" s="34"/>
      <c r="N523" s="34"/>
      <c r="O523" s="29"/>
      <c r="P523" s="29"/>
      <c r="Q523" s="29"/>
      <c r="R523" s="34"/>
      <c r="S523" s="29"/>
      <c r="T523" s="29"/>
      <c r="U523" s="2"/>
      <c r="V523" s="34"/>
      <c r="W523" s="34"/>
      <c r="X523" s="34"/>
      <c r="Y523" s="29"/>
      <c r="Z523" s="34"/>
      <c r="AA523" s="34"/>
      <c r="AB523" s="29"/>
      <c r="AC523" s="34"/>
      <c r="AD523" s="29"/>
      <c r="AE523" s="34"/>
      <c r="AF523" s="34"/>
    </row>
    <row x14ac:dyDescent="0.25" r="524" customHeight="1" ht="15.75">
      <c r="A524" s="502"/>
      <c r="B524" s="34"/>
      <c r="C524" s="34"/>
      <c r="D524" s="34"/>
      <c r="E524" s="34"/>
      <c r="F524" s="34"/>
      <c r="G524" s="34"/>
      <c r="H524" s="34"/>
      <c r="I524" s="29"/>
      <c r="J524" s="29"/>
      <c r="K524" s="29"/>
      <c r="L524" s="29"/>
      <c r="M524" s="34"/>
      <c r="N524" s="34"/>
      <c r="O524" s="29"/>
      <c r="P524" s="29"/>
      <c r="Q524" s="29"/>
      <c r="R524" s="34"/>
      <c r="S524" s="29"/>
      <c r="T524" s="29"/>
      <c r="U524" s="2"/>
      <c r="V524" s="34"/>
      <c r="W524" s="34"/>
      <c r="X524" s="34"/>
      <c r="Y524" s="29"/>
      <c r="Z524" s="34"/>
      <c r="AA524" s="34"/>
      <c r="AB524" s="29"/>
      <c r="AC524" s="34"/>
      <c r="AD524" s="29"/>
      <c r="AE524" s="34"/>
      <c r="AF524" s="34"/>
    </row>
    <row x14ac:dyDescent="0.25" r="525" customHeight="1" ht="15.75">
      <c r="A525" s="502"/>
      <c r="B525" s="34"/>
      <c r="C525" s="34"/>
      <c r="D525" s="34"/>
      <c r="E525" s="34"/>
      <c r="F525" s="34"/>
      <c r="G525" s="34"/>
      <c r="H525" s="34"/>
      <c r="I525" s="29"/>
      <c r="J525" s="29"/>
      <c r="K525" s="29"/>
      <c r="L525" s="29"/>
      <c r="M525" s="34"/>
      <c r="N525" s="34"/>
      <c r="O525" s="29"/>
      <c r="P525" s="29"/>
      <c r="Q525" s="29"/>
      <c r="R525" s="34"/>
      <c r="S525" s="29"/>
      <c r="T525" s="29"/>
      <c r="U525" s="2"/>
      <c r="V525" s="34"/>
      <c r="W525" s="34"/>
      <c r="X525" s="34"/>
      <c r="Y525" s="29"/>
      <c r="Z525" s="34"/>
      <c r="AA525" s="34"/>
      <c r="AB525" s="29"/>
      <c r="AC525" s="34"/>
      <c r="AD525" s="29"/>
      <c r="AE525" s="34"/>
      <c r="AF525" s="34"/>
    </row>
    <row x14ac:dyDescent="0.25" r="526" customHeight="1" ht="15.75">
      <c r="A526" s="502"/>
      <c r="B526" s="34"/>
      <c r="C526" s="34"/>
      <c r="D526" s="34"/>
      <c r="E526" s="34"/>
      <c r="F526" s="34"/>
      <c r="G526" s="34"/>
      <c r="H526" s="34"/>
      <c r="I526" s="29"/>
      <c r="J526" s="29"/>
      <c r="K526" s="29"/>
      <c r="L526" s="29"/>
      <c r="M526" s="34"/>
      <c r="N526" s="34"/>
      <c r="O526" s="29"/>
      <c r="P526" s="29"/>
      <c r="Q526" s="29"/>
      <c r="R526" s="34"/>
      <c r="S526" s="29"/>
      <c r="T526" s="29"/>
      <c r="U526" s="2"/>
      <c r="V526" s="34"/>
      <c r="W526" s="34"/>
      <c r="X526" s="34"/>
      <c r="Y526" s="29"/>
      <c r="Z526" s="34"/>
      <c r="AA526" s="34"/>
      <c r="AB526" s="29"/>
      <c r="AC526" s="34"/>
      <c r="AD526" s="29"/>
      <c r="AE526" s="34"/>
      <c r="AF526" s="34"/>
    </row>
    <row x14ac:dyDescent="0.25" r="527" customHeight="1" ht="15.75">
      <c r="A527" s="502"/>
      <c r="B527" s="34"/>
      <c r="C527" s="34"/>
      <c r="D527" s="34"/>
      <c r="E527" s="34"/>
      <c r="F527" s="34"/>
      <c r="G527" s="34"/>
      <c r="H527" s="34"/>
      <c r="I527" s="29"/>
      <c r="J527" s="29"/>
      <c r="K527" s="29"/>
      <c r="L527" s="29"/>
      <c r="M527" s="34"/>
      <c r="N527" s="34"/>
      <c r="O527" s="29"/>
      <c r="P527" s="29"/>
      <c r="Q527" s="29"/>
      <c r="R527" s="34"/>
      <c r="S527" s="29"/>
      <c r="T527" s="29"/>
      <c r="U527" s="2"/>
      <c r="V527" s="34"/>
      <c r="W527" s="34"/>
      <c r="X527" s="34"/>
      <c r="Y527" s="29"/>
      <c r="Z527" s="34"/>
      <c r="AA527" s="34"/>
      <c r="AB527" s="29"/>
      <c r="AC527" s="34"/>
      <c r="AD527" s="29"/>
      <c r="AE527" s="34"/>
      <c r="AF527" s="34"/>
    </row>
    <row x14ac:dyDescent="0.25" r="528" customHeight="1" ht="15.75">
      <c r="A528" s="502"/>
      <c r="B528" s="34"/>
      <c r="C528" s="34"/>
      <c r="D528" s="34"/>
      <c r="E528" s="34"/>
      <c r="F528" s="34"/>
      <c r="G528" s="34"/>
      <c r="H528" s="34"/>
      <c r="I528" s="29"/>
      <c r="J528" s="29"/>
      <c r="K528" s="29"/>
      <c r="L528" s="29"/>
      <c r="M528" s="34"/>
      <c r="N528" s="34"/>
      <c r="O528" s="29"/>
      <c r="P528" s="29"/>
      <c r="Q528" s="29"/>
      <c r="R528" s="34"/>
      <c r="S528" s="29"/>
      <c r="T528" s="29"/>
      <c r="U528" s="2"/>
      <c r="V528" s="34"/>
      <c r="W528" s="34"/>
      <c r="X528" s="34"/>
      <c r="Y528" s="29"/>
      <c r="Z528" s="34"/>
      <c r="AA528" s="34"/>
      <c r="AB528" s="29"/>
      <c r="AC528" s="34"/>
      <c r="AD528" s="29"/>
      <c r="AE528" s="34"/>
      <c r="AF528" s="34"/>
    </row>
    <row x14ac:dyDescent="0.25" r="529" customHeight="1" ht="15.75">
      <c r="A529" s="502"/>
      <c r="B529" s="34"/>
      <c r="C529" s="34"/>
      <c r="D529" s="34"/>
      <c r="E529" s="34"/>
      <c r="F529" s="34"/>
      <c r="G529" s="34"/>
      <c r="H529" s="34"/>
      <c r="I529" s="29"/>
      <c r="J529" s="29"/>
      <c r="K529" s="29"/>
      <c r="L529" s="29"/>
      <c r="M529" s="34"/>
      <c r="N529" s="34"/>
      <c r="O529" s="29"/>
      <c r="P529" s="29"/>
      <c r="Q529" s="29"/>
      <c r="R529" s="34"/>
      <c r="S529" s="29"/>
      <c r="T529" s="29"/>
      <c r="U529" s="2"/>
      <c r="V529" s="34"/>
      <c r="W529" s="34"/>
      <c r="X529" s="34"/>
      <c r="Y529" s="29"/>
      <c r="Z529" s="34"/>
      <c r="AA529" s="34"/>
      <c r="AB529" s="29"/>
      <c r="AC529" s="34"/>
      <c r="AD529" s="29"/>
      <c r="AE529" s="34"/>
      <c r="AF529" s="34"/>
    </row>
    <row x14ac:dyDescent="0.25" r="530" customHeight="1" ht="15.75">
      <c r="A530" s="502"/>
      <c r="B530" s="34"/>
      <c r="C530" s="34"/>
      <c r="D530" s="34"/>
      <c r="E530" s="34"/>
      <c r="F530" s="34"/>
      <c r="G530" s="34"/>
      <c r="H530" s="34"/>
      <c r="I530" s="29"/>
      <c r="J530" s="29"/>
      <c r="K530" s="29"/>
      <c r="L530" s="29"/>
      <c r="M530" s="34"/>
      <c r="N530" s="34"/>
      <c r="O530" s="29"/>
      <c r="P530" s="29"/>
      <c r="Q530" s="29"/>
      <c r="R530" s="34"/>
      <c r="S530" s="29"/>
      <c r="T530" s="29"/>
      <c r="U530" s="2"/>
      <c r="V530" s="34"/>
      <c r="W530" s="34"/>
      <c r="X530" s="34"/>
      <c r="Y530" s="29"/>
      <c r="Z530" s="34"/>
      <c r="AA530" s="34"/>
      <c r="AB530" s="29"/>
      <c r="AC530" s="34"/>
      <c r="AD530" s="29"/>
      <c r="AE530" s="34"/>
      <c r="AF530" s="34"/>
    </row>
    <row x14ac:dyDescent="0.25" r="531" customHeight="1" ht="15.75">
      <c r="A531" s="502"/>
      <c r="B531" s="34"/>
      <c r="C531" s="34"/>
      <c r="D531" s="34"/>
      <c r="E531" s="34"/>
      <c r="F531" s="34"/>
      <c r="G531" s="34"/>
      <c r="H531" s="34"/>
      <c r="I531" s="29"/>
      <c r="J531" s="29"/>
      <c r="K531" s="29"/>
      <c r="L531" s="29"/>
      <c r="M531" s="34"/>
      <c r="N531" s="34"/>
      <c r="O531" s="29"/>
      <c r="P531" s="29"/>
      <c r="Q531" s="29"/>
      <c r="R531" s="34"/>
      <c r="S531" s="29"/>
      <c r="T531" s="29"/>
      <c r="U531" s="2"/>
      <c r="V531" s="34"/>
      <c r="W531" s="34"/>
      <c r="X531" s="34"/>
      <c r="Y531" s="29"/>
      <c r="Z531" s="34"/>
      <c r="AA531" s="34"/>
      <c r="AB531" s="29"/>
      <c r="AC531" s="34"/>
      <c r="AD531" s="29"/>
      <c r="AE531" s="34"/>
      <c r="AF531" s="34"/>
    </row>
    <row x14ac:dyDescent="0.25" r="532" customHeight="1" ht="15.75">
      <c r="A532" s="502"/>
      <c r="B532" s="34"/>
      <c r="C532" s="34"/>
      <c r="D532" s="34"/>
      <c r="E532" s="34"/>
      <c r="F532" s="34"/>
      <c r="G532" s="34"/>
      <c r="H532" s="34"/>
      <c r="I532" s="29"/>
      <c r="J532" s="29"/>
      <c r="K532" s="29"/>
      <c r="L532" s="29"/>
      <c r="M532" s="34"/>
      <c r="N532" s="34"/>
      <c r="O532" s="29"/>
      <c r="P532" s="29"/>
      <c r="Q532" s="29"/>
      <c r="R532" s="34"/>
      <c r="S532" s="29"/>
      <c r="T532" s="29"/>
      <c r="U532" s="2"/>
      <c r="V532" s="34"/>
      <c r="W532" s="34"/>
      <c r="X532" s="34"/>
      <c r="Y532" s="29"/>
      <c r="Z532" s="34"/>
      <c r="AA532" s="34"/>
      <c r="AB532" s="29"/>
      <c r="AC532" s="34"/>
      <c r="AD532" s="29"/>
      <c r="AE532" s="34"/>
      <c r="AF532" s="34"/>
    </row>
    <row x14ac:dyDescent="0.25" r="533" customHeight="1" ht="15.75">
      <c r="A533" s="502"/>
      <c r="B533" s="34"/>
      <c r="C533" s="34"/>
      <c r="D533" s="34"/>
      <c r="E533" s="34"/>
      <c r="F533" s="34"/>
      <c r="G533" s="34"/>
      <c r="H533" s="34"/>
      <c r="I533" s="29"/>
      <c r="J533" s="29"/>
      <c r="K533" s="29"/>
      <c r="L533" s="29"/>
      <c r="M533" s="34"/>
      <c r="N533" s="34"/>
      <c r="O533" s="29"/>
      <c r="P533" s="29"/>
      <c r="Q533" s="29"/>
      <c r="R533" s="34"/>
      <c r="S533" s="29"/>
      <c r="T533" s="29"/>
      <c r="U533" s="2"/>
      <c r="V533" s="34"/>
      <c r="W533" s="34"/>
      <c r="X533" s="34"/>
      <c r="Y533" s="29"/>
      <c r="Z533" s="34"/>
      <c r="AA533" s="34"/>
      <c r="AB533" s="29"/>
      <c r="AC533" s="34"/>
      <c r="AD533" s="29"/>
      <c r="AE533" s="34"/>
      <c r="AF533" s="34"/>
    </row>
    <row x14ac:dyDescent="0.25" r="534" customHeight="1" ht="15.75">
      <c r="A534" s="502"/>
      <c r="B534" s="34"/>
      <c r="C534" s="34"/>
      <c r="D534" s="34"/>
      <c r="E534" s="34"/>
      <c r="F534" s="34"/>
      <c r="G534" s="34"/>
      <c r="H534" s="34"/>
      <c r="I534" s="29"/>
      <c r="J534" s="29"/>
      <c r="K534" s="29"/>
      <c r="L534" s="29"/>
      <c r="M534" s="34"/>
      <c r="N534" s="34"/>
      <c r="O534" s="29"/>
      <c r="P534" s="29"/>
      <c r="Q534" s="29"/>
      <c r="R534" s="34"/>
      <c r="S534" s="29"/>
      <c r="T534" s="29"/>
      <c r="U534" s="2"/>
      <c r="V534" s="34"/>
      <c r="W534" s="34"/>
      <c r="X534" s="34"/>
      <c r="Y534" s="29"/>
      <c r="Z534" s="34"/>
      <c r="AA534" s="34"/>
      <c r="AB534" s="29"/>
      <c r="AC534" s="34"/>
      <c r="AD534" s="29"/>
      <c r="AE534" s="34"/>
      <c r="AF534" s="34"/>
    </row>
    <row x14ac:dyDescent="0.25" r="535" customHeight="1" ht="15.75">
      <c r="A535" s="502"/>
      <c r="B535" s="34"/>
      <c r="C535" s="34"/>
      <c r="D535" s="34"/>
      <c r="E535" s="34"/>
      <c r="F535" s="34"/>
      <c r="G535" s="34"/>
      <c r="H535" s="34"/>
      <c r="I535" s="29"/>
      <c r="J535" s="29"/>
      <c r="K535" s="29"/>
      <c r="L535" s="29"/>
      <c r="M535" s="34"/>
      <c r="N535" s="34"/>
      <c r="O535" s="29"/>
      <c r="P535" s="29"/>
      <c r="Q535" s="29"/>
      <c r="R535" s="34"/>
      <c r="S535" s="29"/>
      <c r="T535" s="29"/>
      <c r="U535" s="2"/>
      <c r="V535" s="34"/>
      <c r="W535" s="34"/>
      <c r="X535" s="34"/>
      <c r="Y535" s="29"/>
      <c r="Z535" s="34"/>
      <c r="AA535" s="34"/>
      <c r="AB535" s="29"/>
      <c r="AC535" s="34"/>
      <c r="AD535" s="29"/>
      <c r="AE535" s="34"/>
      <c r="AF535" s="34"/>
    </row>
    <row x14ac:dyDescent="0.25" r="536" customHeight="1" ht="15.75">
      <c r="A536" s="502"/>
      <c r="B536" s="34"/>
      <c r="C536" s="34"/>
      <c r="D536" s="34"/>
      <c r="E536" s="34"/>
      <c r="F536" s="34"/>
      <c r="G536" s="34"/>
      <c r="H536" s="34"/>
      <c r="I536" s="29"/>
      <c r="J536" s="29"/>
      <c r="K536" s="29"/>
      <c r="L536" s="29"/>
      <c r="M536" s="34"/>
      <c r="N536" s="34"/>
      <c r="O536" s="29"/>
      <c r="P536" s="29"/>
      <c r="Q536" s="29"/>
      <c r="R536" s="34"/>
      <c r="S536" s="29"/>
      <c r="T536" s="29"/>
      <c r="U536" s="2"/>
      <c r="V536" s="34"/>
      <c r="W536" s="34"/>
      <c r="X536" s="34"/>
      <c r="Y536" s="29"/>
      <c r="Z536" s="34"/>
      <c r="AA536" s="34"/>
      <c r="AB536" s="29"/>
      <c r="AC536" s="34"/>
      <c r="AD536" s="29"/>
      <c r="AE536" s="34"/>
      <c r="AF536" s="34"/>
    </row>
    <row x14ac:dyDescent="0.25" r="537" customHeight="1" ht="15.75">
      <c r="A537" s="502"/>
      <c r="B537" s="34"/>
      <c r="C537" s="34"/>
      <c r="D537" s="34"/>
      <c r="E537" s="34"/>
      <c r="F537" s="34"/>
      <c r="G537" s="34"/>
      <c r="H537" s="34"/>
      <c r="I537" s="29"/>
      <c r="J537" s="29"/>
      <c r="K537" s="29"/>
      <c r="L537" s="29"/>
      <c r="M537" s="34"/>
      <c r="N537" s="34"/>
      <c r="O537" s="29"/>
      <c r="P537" s="29"/>
      <c r="Q537" s="29"/>
      <c r="R537" s="34"/>
      <c r="S537" s="29"/>
      <c r="T537" s="29"/>
      <c r="U537" s="2"/>
      <c r="V537" s="34"/>
      <c r="W537" s="34"/>
      <c r="X537" s="34"/>
      <c r="Y537" s="29"/>
      <c r="Z537" s="34"/>
      <c r="AA537" s="34"/>
      <c r="AB537" s="29"/>
      <c r="AC537" s="34"/>
      <c r="AD537" s="29"/>
      <c r="AE537" s="34"/>
      <c r="AF537" s="34"/>
    </row>
    <row x14ac:dyDescent="0.25" r="538" customHeight="1" ht="15.75">
      <c r="A538" s="502"/>
      <c r="B538" s="34"/>
      <c r="C538" s="34"/>
      <c r="D538" s="34"/>
      <c r="E538" s="34"/>
      <c r="F538" s="34"/>
      <c r="G538" s="34"/>
      <c r="H538" s="34"/>
      <c r="I538" s="29"/>
      <c r="J538" s="29"/>
      <c r="K538" s="29"/>
      <c r="L538" s="29"/>
      <c r="M538" s="34"/>
      <c r="N538" s="34"/>
      <c r="O538" s="29"/>
      <c r="P538" s="29"/>
      <c r="Q538" s="29"/>
      <c r="R538" s="34"/>
      <c r="S538" s="29"/>
      <c r="T538" s="29"/>
      <c r="U538" s="2"/>
      <c r="V538" s="34"/>
      <c r="W538" s="34"/>
      <c r="X538" s="34"/>
      <c r="Y538" s="29"/>
      <c r="Z538" s="34"/>
      <c r="AA538" s="34"/>
      <c r="AB538" s="29"/>
      <c r="AC538" s="34"/>
      <c r="AD538" s="29"/>
      <c r="AE538" s="34"/>
      <c r="AF538" s="34"/>
    </row>
    <row x14ac:dyDescent="0.25" r="539" customHeight="1" ht="15.75">
      <c r="A539" s="502"/>
      <c r="B539" s="34"/>
      <c r="C539" s="34"/>
      <c r="D539" s="34"/>
      <c r="E539" s="34"/>
      <c r="F539" s="34"/>
      <c r="G539" s="34"/>
      <c r="H539" s="34"/>
      <c r="I539" s="29"/>
      <c r="J539" s="29"/>
      <c r="K539" s="29"/>
      <c r="L539" s="29"/>
      <c r="M539" s="34"/>
      <c r="N539" s="34"/>
      <c r="O539" s="29"/>
      <c r="P539" s="29"/>
      <c r="Q539" s="29"/>
      <c r="R539" s="34"/>
      <c r="S539" s="29"/>
      <c r="T539" s="29"/>
      <c r="U539" s="2"/>
      <c r="V539" s="34"/>
      <c r="W539" s="34"/>
      <c r="X539" s="34"/>
      <c r="Y539" s="29"/>
      <c r="Z539" s="34"/>
      <c r="AA539" s="34"/>
      <c r="AB539" s="29"/>
      <c r="AC539" s="34"/>
      <c r="AD539" s="29"/>
      <c r="AE539" s="34"/>
      <c r="AF539" s="34"/>
    </row>
    <row x14ac:dyDescent="0.25" r="540" customHeight="1" ht="15.75">
      <c r="A540" s="502"/>
      <c r="B540" s="34"/>
      <c r="C540" s="34"/>
      <c r="D540" s="34"/>
      <c r="E540" s="34"/>
      <c r="F540" s="34"/>
      <c r="G540" s="34"/>
      <c r="H540" s="34"/>
      <c r="I540" s="29"/>
      <c r="J540" s="29"/>
      <c r="K540" s="29"/>
      <c r="L540" s="29"/>
      <c r="M540" s="34"/>
      <c r="N540" s="34"/>
      <c r="O540" s="29"/>
      <c r="P540" s="29"/>
      <c r="Q540" s="29"/>
      <c r="R540" s="34"/>
      <c r="S540" s="29"/>
      <c r="T540" s="29"/>
      <c r="U540" s="2"/>
      <c r="V540" s="34"/>
      <c r="W540" s="34"/>
      <c r="X540" s="34"/>
      <c r="Y540" s="29"/>
      <c r="Z540" s="34"/>
      <c r="AA540" s="34"/>
      <c r="AB540" s="29"/>
      <c r="AC540" s="34"/>
      <c r="AD540" s="29"/>
      <c r="AE540" s="34"/>
      <c r="AF540" s="34"/>
    </row>
    <row x14ac:dyDescent="0.25" r="541" customHeight="1" ht="15.75">
      <c r="A541" s="502"/>
      <c r="B541" s="34"/>
      <c r="C541" s="34"/>
      <c r="D541" s="34"/>
      <c r="E541" s="34"/>
      <c r="F541" s="34"/>
      <c r="G541" s="34"/>
      <c r="H541" s="34"/>
      <c r="I541" s="29"/>
      <c r="J541" s="29"/>
      <c r="K541" s="29"/>
      <c r="L541" s="29"/>
      <c r="M541" s="34"/>
      <c r="N541" s="34"/>
      <c r="O541" s="29"/>
      <c r="P541" s="29"/>
      <c r="Q541" s="29"/>
      <c r="R541" s="34"/>
      <c r="S541" s="29"/>
      <c r="T541" s="29"/>
      <c r="U541" s="2"/>
      <c r="V541" s="34"/>
      <c r="W541" s="34"/>
      <c r="X541" s="34"/>
      <c r="Y541" s="29"/>
      <c r="Z541" s="34"/>
      <c r="AA541" s="34"/>
      <c r="AB541" s="29"/>
      <c r="AC541" s="34"/>
      <c r="AD541" s="29"/>
      <c r="AE541" s="34"/>
      <c r="AF541" s="34"/>
    </row>
    <row x14ac:dyDescent="0.25" r="542" customHeight="1" ht="15.75">
      <c r="A542" s="502"/>
      <c r="B542" s="34"/>
      <c r="C542" s="34"/>
      <c r="D542" s="34"/>
      <c r="E542" s="34"/>
      <c r="F542" s="34"/>
      <c r="G542" s="34"/>
      <c r="H542" s="34"/>
      <c r="I542" s="29"/>
      <c r="J542" s="29"/>
      <c r="K542" s="29"/>
      <c r="L542" s="29"/>
      <c r="M542" s="34"/>
      <c r="N542" s="34"/>
      <c r="O542" s="29"/>
      <c r="P542" s="29"/>
      <c r="Q542" s="29"/>
      <c r="R542" s="34"/>
      <c r="S542" s="29"/>
      <c r="T542" s="29"/>
      <c r="U542" s="2"/>
      <c r="V542" s="34"/>
      <c r="W542" s="34"/>
      <c r="X542" s="34"/>
      <c r="Y542" s="29"/>
      <c r="Z542" s="34"/>
      <c r="AA542" s="34"/>
      <c r="AB542" s="29"/>
      <c r="AC542" s="34"/>
      <c r="AD542" s="29"/>
      <c r="AE542" s="34"/>
      <c r="AF542" s="34"/>
    </row>
    <row x14ac:dyDescent="0.25" r="543" customHeight="1" ht="15.75">
      <c r="A543" s="502"/>
      <c r="B543" s="34"/>
      <c r="C543" s="34"/>
      <c r="D543" s="34"/>
      <c r="E543" s="34"/>
      <c r="F543" s="34"/>
      <c r="G543" s="34"/>
      <c r="H543" s="34"/>
      <c r="I543" s="29"/>
      <c r="J543" s="29"/>
      <c r="K543" s="29"/>
      <c r="L543" s="29"/>
      <c r="M543" s="34"/>
      <c r="N543" s="34"/>
      <c r="O543" s="29"/>
      <c r="P543" s="29"/>
      <c r="Q543" s="29"/>
      <c r="R543" s="34"/>
      <c r="S543" s="29"/>
      <c r="T543" s="29"/>
      <c r="U543" s="2"/>
      <c r="V543" s="34"/>
      <c r="W543" s="34"/>
      <c r="X543" s="34"/>
      <c r="Y543" s="29"/>
      <c r="Z543" s="34"/>
      <c r="AA543" s="34"/>
      <c r="AB543" s="29"/>
      <c r="AC543" s="34"/>
      <c r="AD543" s="29"/>
      <c r="AE543" s="34"/>
      <c r="AF543" s="34"/>
    </row>
    <row x14ac:dyDescent="0.25" r="544" customHeight="1" ht="15.75">
      <c r="A544" s="502"/>
      <c r="B544" s="34"/>
      <c r="C544" s="34"/>
      <c r="D544" s="34"/>
      <c r="E544" s="34"/>
      <c r="F544" s="34"/>
      <c r="G544" s="34"/>
      <c r="H544" s="34"/>
      <c r="I544" s="29"/>
      <c r="J544" s="29"/>
      <c r="K544" s="29"/>
      <c r="L544" s="29"/>
      <c r="M544" s="34"/>
      <c r="N544" s="34"/>
      <c r="O544" s="29"/>
      <c r="P544" s="29"/>
      <c r="Q544" s="29"/>
      <c r="R544" s="34"/>
      <c r="S544" s="29"/>
      <c r="T544" s="29"/>
      <c r="U544" s="2"/>
      <c r="V544" s="34"/>
      <c r="W544" s="34"/>
      <c r="X544" s="34"/>
      <c r="Y544" s="29"/>
      <c r="Z544" s="34"/>
      <c r="AA544" s="34"/>
      <c r="AB544" s="29"/>
      <c r="AC544" s="34"/>
      <c r="AD544" s="29"/>
      <c r="AE544" s="34"/>
      <c r="AF544" s="34"/>
    </row>
    <row x14ac:dyDescent="0.25" r="545" customHeight="1" ht="15.75">
      <c r="A545" s="502"/>
      <c r="B545" s="34"/>
      <c r="C545" s="34"/>
      <c r="D545" s="34"/>
      <c r="E545" s="34"/>
      <c r="F545" s="34"/>
      <c r="G545" s="34"/>
      <c r="H545" s="34"/>
      <c r="I545" s="29"/>
      <c r="J545" s="29"/>
      <c r="K545" s="29"/>
      <c r="L545" s="29"/>
      <c r="M545" s="34"/>
      <c r="N545" s="34"/>
      <c r="O545" s="29"/>
      <c r="P545" s="29"/>
      <c r="Q545" s="29"/>
      <c r="R545" s="34"/>
      <c r="S545" s="29"/>
      <c r="T545" s="29"/>
      <c r="U545" s="2"/>
      <c r="V545" s="34"/>
      <c r="W545" s="34"/>
      <c r="X545" s="34"/>
      <c r="Y545" s="29"/>
      <c r="Z545" s="34"/>
      <c r="AA545" s="34"/>
      <c r="AB545" s="29"/>
      <c r="AC545" s="34"/>
      <c r="AD545" s="29"/>
      <c r="AE545" s="34"/>
      <c r="AF545" s="34"/>
    </row>
    <row x14ac:dyDescent="0.25" r="546" customHeight="1" ht="15.75">
      <c r="A546" s="502"/>
      <c r="B546" s="34"/>
      <c r="C546" s="34"/>
      <c r="D546" s="34"/>
      <c r="E546" s="34"/>
      <c r="F546" s="34"/>
      <c r="G546" s="34"/>
      <c r="H546" s="34"/>
      <c r="I546" s="29"/>
      <c r="J546" s="29"/>
      <c r="K546" s="29"/>
      <c r="L546" s="29"/>
      <c r="M546" s="34"/>
      <c r="N546" s="34"/>
      <c r="O546" s="29"/>
      <c r="P546" s="29"/>
      <c r="Q546" s="29"/>
      <c r="R546" s="34"/>
      <c r="S546" s="29"/>
      <c r="T546" s="29"/>
      <c r="U546" s="2"/>
      <c r="V546" s="34"/>
      <c r="W546" s="34"/>
      <c r="X546" s="34"/>
      <c r="Y546" s="29"/>
      <c r="Z546" s="34"/>
      <c r="AA546" s="34"/>
      <c r="AB546" s="29"/>
      <c r="AC546" s="34"/>
      <c r="AD546" s="29"/>
      <c r="AE546" s="34"/>
      <c r="AF546" s="34"/>
    </row>
    <row x14ac:dyDescent="0.25" r="547" customHeight="1" ht="15.75">
      <c r="A547" s="502"/>
      <c r="B547" s="34"/>
      <c r="C547" s="34"/>
      <c r="D547" s="34"/>
      <c r="E547" s="34"/>
      <c r="F547" s="34"/>
      <c r="G547" s="34"/>
      <c r="H547" s="34"/>
      <c r="I547" s="29"/>
      <c r="J547" s="29"/>
      <c r="K547" s="29"/>
      <c r="L547" s="29"/>
      <c r="M547" s="34"/>
      <c r="N547" s="34"/>
      <c r="O547" s="29"/>
      <c r="P547" s="29"/>
      <c r="Q547" s="29"/>
      <c r="R547" s="34"/>
      <c r="S547" s="29"/>
      <c r="T547" s="29"/>
      <c r="U547" s="2"/>
      <c r="V547" s="34"/>
      <c r="W547" s="34"/>
      <c r="X547" s="34"/>
      <c r="Y547" s="29"/>
      <c r="Z547" s="34"/>
      <c r="AA547" s="34"/>
      <c r="AB547" s="29"/>
      <c r="AC547" s="34"/>
      <c r="AD547" s="29"/>
      <c r="AE547" s="34"/>
      <c r="AF547" s="34"/>
    </row>
    <row x14ac:dyDescent="0.25" r="548" customHeight="1" ht="15.75">
      <c r="A548" s="502"/>
      <c r="B548" s="34"/>
      <c r="C548" s="34"/>
      <c r="D548" s="34"/>
      <c r="E548" s="34"/>
      <c r="F548" s="34"/>
      <c r="G548" s="34"/>
      <c r="H548" s="34"/>
      <c r="I548" s="29"/>
      <c r="J548" s="29"/>
      <c r="K548" s="29"/>
      <c r="L548" s="29"/>
      <c r="M548" s="34"/>
      <c r="N548" s="34"/>
      <c r="O548" s="29"/>
      <c r="P548" s="29"/>
      <c r="Q548" s="29"/>
      <c r="R548" s="34"/>
      <c r="S548" s="29"/>
      <c r="T548" s="29"/>
      <c r="U548" s="2"/>
      <c r="V548" s="34"/>
      <c r="W548" s="34"/>
      <c r="X548" s="34"/>
      <c r="Y548" s="29"/>
      <c r="Z548" s="34"/>
      <c r="AA548" s="34"/>
      <c r="AB548" s="29"/>
      <c r="AC548" s="34"/>
      <c r="AD548" s="29"/>
      <c r="AE548" s="34"/>
      <c r="AF548" s="34"/>
    </row>
    <row x14ac:dyDescent="0.25" r="549" customHeight="1" ht="15.75">
      <c r="A549" s="502"/>
      <c r="B549" s="34"/>
      <c r="C549" s="34"/>
      <c r="D549" s="34"/>
      <c r="E549" s="34"/>
      <c r="F549" s="34"/>
      <c r="G549" s="34"/>
      <c r="H549" s="34"/>
      <c r="I549" s="29"/>
      <c r="J549" s="29"/>
      <c r="K549" s="29"/>
      <c r="L549" s="29"/>
      <c r="M549" s="34"/>
      <c r="N549" s="34"/>
      <c r="O549" s="29"/>
      <c r="P549" s="29"/>
      <c r="Q549" s="29"/>
      <c r="R549" s="34"/>
      <c r="S549" s="29"/>
      <c r="T549" s="29"/>
      <c r="U549" s="2"/>
      <c r="V549" s="34"/>
      <c r="W549" s="34"/>
      <c r="X549" s="34"/>
      <c r="Y549" s="29"/>
      <c r="Z549" s="34"/>
      <c r="AA549" s="34"/>
      <c r="AB549" s="29"/>
      <c r="AC549" s="34"/>
      <c r="AD549" s="29"/>
      <c r="AE549" s="34"/>
      <c r="AF549" s="34"/>
    </row>
    <row x14ac:dyDescent="0.25" r="550" customHeight="1" ht="15.75">
      <c r="A550" s="502"/>
      <c r="B550" s="34"/>
      <c r="C550" s="34"/>
      <c r="D550" s="34"/>
      <c r="E550" s="34"/>
      <c r="F550" s="34"/>
      <c r="G550" s="34"/>
      <c r="H550" s="34"/>
      <c r="I550" s="29"/>
      <c r="J550" s="29"/>
      <c r="K550" s="29"/>
      <c r="L550" s="29"/>
      <c r="M550" s="34"/>
      <c r="N550" s="34"/>
      <c r="O550" s="29"/>
      <c r="P550" s="29"/>
      <c r="Q550" s="29"/>
      <c r="R550" s="34"/>
      <c r="S550" s="29"/>
      <c r="T550" s="29"/>
      <c r="U550" s="2"/>
      <c r="V550" s="34"/>
      <c r="W550" s="34"/>
      <c r="X550" s="34"/>
      <c r="Y550" s="29"/>
      <c r="Z550" s="34"/>
      <c r="AA550" s="34"/>
      <c r="AB550" s="29"/>
      <c r="AC550" s="34"/>
      <c r="AD550" s="29"/>
      <c r="AE550" s="34"/>
      <c r="AF550" s="34"/>
    </row>
    <row x14ac:dyDescent="0.25" r="551" customHeight="1" ht="15.75">
      <c r="A551" s="502"/>
      <c r="B551" s="34"/>
      <c r="C551" s="34"/>
      <c r="D551" s="34"/>
      <c r="E551" s="34"/>
      <c r="F551" s="34"/>
      <c r="G551" s="34"/>
      <c r="H551" s="34"/>
      <c r="I551" s="29"/>
      <c r="J551" s="29"/>
      <c r="K551" s="29"/>
      <c r="L551" s="29"/>
      <c r="M551" s="34"/>
      <c r="N551" s="34"/>
      <c r="O551" s="29"/>
      <c r="P551" s="29"/>
      <c r="Q551" s="29"/>
      <c r="R551" s="34"/>
      <c r="S551" s="29"/>
      <c r="T551" s="29"/>
      <c r="U551" s="2"/>
      <c r="V551" s="34"/>
      <c r="W551" s="34"/>
      <c r="X551" s="34"/>
      <c r="Y551" s="29"/>
      <c r="Z551" s="34"/>
      <c r="AA551" s="34"/>
      <c r="AB551" s="29"/>
      <c r="AC551" s="34"/>
      <c r="AD551" s="29"/>
      <c r="AE551" s="34"/>
      <c r="AF551" s="34"/>
    </row>
    <row x14ac:dyDescent="0.25" r="552" customHeight="1" ht="15.75">
      <c r="A552" s="502"/>
      <c r="B552" s="34"/>
      <c r="C552" s="34"/>
      <c r="D552" s="34"/>
      <c r="E552" s="34"/>
      <c r="F552" s="34"/>
      <c r="G552" s="34"/>
      <c r="H552" s="34"/>
      <c r="I552" s="29"/>
      <c r="J552" s="29"/>
      <c r="K552" s="29"/>
      <c r="L552" s="29"/>
      <c r="M552" s="34"/>
      <c r="N552" s="34"/>
      <c r="O552" s="29"/>
      <c r="P552" s="29"/>
      <c r="Q552" s="29"/>
      <c r="R552" s="34"/>
      <c r="S552" s="29"/>
      <c r="T552" s="29"/>
      <c r="U552" s="2"/>
      <c r="V552" s="34"/>
      <c r="W552" s="34"/>
      <c r="X552" s="34"/>
      <c r="Y552" s="29"/>
      <c r="Z552" s="34"/>
      <c r="AA552" s="34"/>
      <c r="AB552" s="29"/>
      <c r="AC552" s="34"/>
      <c r="AD552" s="29"/>
      <c r="AE552" s="34"/>
      <c r="AF552" s="34"/>
    </row>
    <row x14ac:dyDescent="0.25" r="553" customHeight="1" ht="15.75">
      <c r="A553" s="502"/>
      <c r="B553" s="34"/>
      <c r="C553" s="34"/>
      <c r="D553" s="34"/>
      <c r="E553" s="34"/>
      <c r="F553" s="34"/>
      <c r="G553" s="34"/>
      <c r="H553" s="34"/>
      <c r="I553" s="29"/>
      <c r="J553" s="29"/>
      <c r="K553" s="29"/>
      <c r="L553" s="29"/>
      <c r="M553" s="34"/>
      <c r="N553" s="34"/>
      <c r="O553" s="29"/>
      <c r="P553" s="29"/>
      <c r="Q553" s="29"/>
      <c r="R553" s="34"/>
      <c r="S553" s="29"/>
      <c r="T553" s="29"/>
      <c r="U553" s="2"/>
      <c r="V553" s="34"/>
      <c r="W553" s="34"/>
      <c r="X553" s="34"/>
      <c r="Y553" s="29"/>
      <c r="Z553" s="34"/>
      <c r="AA553" s="34"/>
      <c r="AB553" s="29"/>
      <c r="AC553" s="34"/>
      <c r="AD553" s="29"/>
      <c r="AE553" s="34"/>
      <c r="AF553" s="34"/>
    </row>
    <row x14ac:dyDescent="0.25" r="554" customHeight="1" ht="15.75">
      <c r="A554" s="502"/>
      <c r="B554" s="34"/>
      <c r="C554" s="34"/>
      <c r="D554" s="34"/>
      <c r="E554" s="34"/>
      <c r="F554" s="34"/>
      <c r="G554" s="34"/>
      <c r="H554" s="34"/>
      <c r="I554" s="29"/>
      <c r="J554" s="29"/>
      <c r="K554" s="29"/>
      <c r="L554" s="29"/>
      <c r="M554" s="34"/>
      <c r="N554" s="34"/>
      <c r="O554" s="29"/>
      <c r="P554" s="29"/>
      <c r="Q554" s="29"/>
      <c r="R554" s="34"/>
      <c r="S554" s="29"/>
      <c r="T554" s="29"/>
      <c r="U554" s="2"/>
      <c r="V554" s="34"/>
      <c r="W554" s="34"/>
      <c r="X554" s="34"/>
      <c r="Y554" s="29"/>
      <c r="Z554" s="34"/>
      <c r="AA554" s="34"/>
      <c r="AB554" s="29"/>
      <c r="AC554" s="34"/>
      <c r="AD554" s="29"/>
      <c r="AE554" s="34"/>
      <c r="AF554" s="34"/>
    </row>
    <row x14ac:dyDescent="0.25" r="555" customHeight="1" ht="15.75">
      <c r="A555" s="502"/>
      <c r="B555" s="34"/>
      <c r="C555" s="34"/>
      <c r="D555" s="34"/>
      <c r="E555" s="34"/>
      <c r="F555" s="34"/>
      <c r="G555" s="34"/>
      <c r="H555" s="34"/>
      <c r="I555" s="29"/>
      <c r="J555" s="29"/>
      <c r="K555" s="29"/>
      <c r="L555" s="29"/>
      <c r="M555" s="34"/>
      <c r="N555" s="34"/>
      <c r="O555" s="29"/>
      <c r="P555" s="29"/>
      <c r="Q555" s="29"/>
      <c r="R555" s="34"/>
      <c r="S555" s="29"/>
      <c r="T555" s="29"/>
      <c r="U555" s="2"/>
      <c r="V555" s="34"/>
      <c r="W555" s="34"/>
      <c r="X555" s="34"/>
      <c r="Y555" s="29"/>
      <c r="Z555" s="34"/>
      <c r="AA555" s="34"/>
      <c r="AB555" s="29"/>
      <c r="AC555" s="34"/>
      <c r="AD555" s="29"/>
      <c r="AE555" s="34"/>
      <c r="AF555" s="34"/>
    </row>
    <row x14ac:dyDescent="0.25" r="556" customHeight="1" ht="15.75">
      <c r="A556" s="502"/>
      <c r="B556" s="34"/>
      <c r="C556" s="34"/>
      <c r="D556" s="34"/>
      <c r="E556" s="34"/>
      <c r="F556" s="34"/>
      <c r="G556" s="34"/>
      <c r="H556" s="34"/>
      <c r="I556" s="29"/>
      <c r="J556" s="29"/>
      <c r="K556" s="29"/>
      <c r="L556" s="29"/>
      <c r="M556" s="34"/>
      <c r="N556" s="34"/>
      <c r="O556" s="29"/>
      <c r="P556" s="29"/>
      <c r="Q556" s="29"/>
      <c r="R556" s="34"/>
      <c r="S556" s="29"/>
      <c r="T556" s="29"/>
      <c r="U556" s="2"/>
      <c r="V556" s="34"/>
      <c r="W556" s="34"/>
      <c r="X556" s="34"/>
      <c r="Y556" s="29"/>
      <c r="Z556" s="34"/>
      <c r="AA556" s="34"/>
      <c r="AB556" s="29"/>
      <c r="AC556" s="34"/>
      <c r="AD556" s="29"/>
      <c r="AE556" s="34"/>
      <c r="AF556" s="34"/>
    </row>
    <row x14ac:dyDescent="0.25" r="557" customHeight="1" ht="15.75">
      <c r="A557" s="502"/>
      <c r="B557" s="34"/>
      <c r="C557" s="34"/>
      <c r="D557" s="34"/>
      <c r="E557" s="34"/>
      <c r="F557" s="34"/>
      <c r="G557" s="34"/>
      <c r="H557" s="34"/>
      <c r="I557" s="29"/>
      <c r="J557" s="29"/>
      <c r="K557" s="29"/>
      <c r="L557" s="29"/>
      <c r="M557" s="34"/>
      <c r="N557" s="34"/>
      <c r="O557" s="29"/>
      <c r="P557" s="29"/>
      <c r="Q557" s="29"/>
      <c r="R557" s="34"/>
      <c r="S557" s="29"/>
      <c r="T557" s="29"/>
      <c r="U557" s="2"/>
      <c r="V557" s="34"/>
      <c r="W557" s="34"/>
      <c r="X557" s="34"/>
      <c r="Y557" s="29"/>
      <c r="Z557" s="34"/>
      <c r="AA557" s="34"/>
      <c r="AB557" s="29"/>
      <c r="AC557" s="34"/>
      <c r="AD557" s="29"/>
      <c r="AE557" s="34"/>
      <c r="AF557" s="34"/>
    </row>
    <row x14ac:dyDescent="0.25" r="558" customHeight="1" ht="15.75">
      <c r="A558" s="502"/>
      <c r="B558" s="34"/>
      <c r="C558" s="34"/>
      <c r="D558" s="34"/>
      <c r="E558" s="34"/>
      <c r="F558" s="34"/>
      <c r="G558" s="34"/>
      <c r="H558" s="34"/>
      <c r="I558" s="29"/>
      <c r="J558" s="29"/>
      <c r="K558" s="29"/>
      <c r="L558" s="29"/>
      <c r="M558" s="34"/>
      <c r="N558" s="34"/>
      <c r="O558" s="29"/>
      <c r="P558" s="29"/>
      <c r="Q558" s="29"/>
      <c r="R558" s="34"/>
      <c r="S558" s="29"/>
      <c r="T558" s="29"/>
      <c r="U558" s="2"/>
      <c r="V558" s="34"/>
      <c r="W558" s="34"/>
      <c r="X558" s="34"/>
      <c r="Y558" s="29"/>
      <c r="Z558" s="34"/>
      <c r="AA558" s="34"/>
      <c r="AB558" s="29"/>
      <c r="AC558" s="34"/>
      <c r="AD558" s="29"/>
      <c r="AE558" s="34"/>
      <c r="AF558" s="34"/>
    </row>
    <row x14ac:dyDescent="0.25" r="559" customHeight="1" ht="15.75">
      <c r="A559" s="502"/>
      <c r="B559" s="34"/>
      <c r="C559" s="34"/>
      <c r="D559" s="34"/>
      <c r="E559" s="34"/>
      <c r="F559" s="34"/>
      <c r="G559" s="34"/>
      <c r="H559" s="34"/>
      <c r="I559" s="29"/>
      <c r="J559" s="29"/>
      <c r="K559" s="29"/>
      <c r="L559" s="29"/>
      <c r="M559" s="34"/>
      <c r="N559" s="34"/>
      <c r="O559" s="29"/>
      <c r="P559" s="29"/>
      <c r="Q559" s="29"/>
      <c r="R559" s="34"/>
      <c r="S559" s="29"/>
      <c r="T559" s="29"/>
      <c r="U559" s="2"/>
      <c r="V559" s="34"/>
      <c r="W559" s="34"/>
      <c r="X559" s="34"/>
      <c r="Y559" s="29"/>
      <c r="Z559" s="34"/>
      <c r="AA559" s="34"/>
      <c r="AB559" s="29"/>
      <c r="AC559" s="34"/>
      <c r="AD559" s="29"/>
      <c r="AE559" s="34"/>
      <c r="AF559" s="34"/>
    </row>
    <row x14ac:dyDescent="0.25" r="560" customHeight="1" ht="15.75">
      <c r="A560" s="502"/>
      <c r="B560" s="34"/>
      <c r="C560" s="34"/>
      <c r="D560" s="34"/>
      <c r="E560" s="34"/>
      <c r="F560" s="34"/>
      <c r="G560" s="34"/>
      <c r="H560" s="34"/>
      <c r="I560" s="29"/>
      <c r="J560" s="29"/>
      <c r="K560" s="29"/>
      <c r="L560" s="29"/>
      <c r="M560" s="34"/>
      <c r="N560" s="34"/>
      <c r="O560" s="29"/>
      <c r="P560" s="29"/>
      <c r="Q560" s="29"/>
      <c r="R560" s="34"/>
      <c r="S560" s="29"/>
      <c r="T560" s="29"/>
      <c r="U560" s="2"/>
      <c r="V560" s="34"/>
      <c r="W560" s="34"/>
      <c r="X560" s="34"/>
      <c r="Y560" s="29"/>
      <c r="Z560" s="34"/>
      <c r="AA560" s="34"/>
      <c r="AB560" s="29"/>
      <c r="AC560" s="34"/>
      <c r="AD560" s="29"/>
      <c r="AE560" s="34"/>
      <c r="AF560" s="34"/>
    </row>
    <row x14ac:dyDescent="0.25" r="561" customHeight="1" ht="15.75">
      <c r="A561" s="502"/>
      <c r="B561" s="34"/>
      <c r="C561" s="34"/>
      <c r="D561" s="34"/>
      <c r="E561" s="34"/>
      <c r="F561" s="34"/>
      <c r="G561" s="34"/>
      <c r="H561" s="34"/>
      <c r="I561" s="29"/>
      <c r="J561" s="29"/>
      <c r="K561" s="29"/>
      <c r="L561" s="29"/>
      <c r="M561" s="34"/>
      <c r="N561" s="34"/>
      <c r="O561" s="29"/>
      <c r="P561" s="29"/>
      <c r="Q561" s="29"/>
      <c r="R561" s="34"/>
      <c r="S561" s="29"/>
      <c r="T561" s="29"/>
      <c r="U561" s="2"/>
      <c r="V561" s="34"/>
      <c r="W561" s="34"/>
      <c r="X561" s="34"/>
      <c r="Y561" s="29"/>
      <c r="Z561" s="34"/>
      <c r="AA561" s="34"/>
      <c r="AB561" s="29"/>
      <c r="AC561" s="34"/>
      <c r="AD561" s="29"/>
      <c r="AE561" s="34"/>
      <c r="AF561" s="34"/>
    </row>
    <row x14ac:dyDescent="0.25" r="562" customHeight="1" ht="15.75">
      <c r="A562" s="502"/>
      <c r="B562" s="34"/>
      <c r="C562" s="34"/>
      <c r="D562" s="34"/>
      <c r="E562" s="34"/>
      <c r="F562" s="34"/>
      <c r="G562" s="34"/>
      <c r="H562" s="34"/>
      <c r="I562" s="29"/>
      <c r="J562" s="29"/>
      <c r="K562" s="29"/>
      <c r="L562" s="29"/>
      <c r="M562" s="34"/>
      <c r="N562" s="34"/>
      <c r="O562" s="29"/>
      <c r="P562" s="29"/>
      <c r="Q562" s="29"/>
      <c r="R562" s="34"/>
      <c r="S562" s="29"/>
      <c r="T562" s="29"/>
      <c r="U562" s="2"/>
      <c r="V562" s="34"/>
      <c r="W562" s="34"/>
      <c r="X562" s="34"/>
      <c r="Y562" s="29"/>
      <c r="Z562" s="34"/>
      <c r="AA562" s="34"/>
      <c r="AB562" s="29"/>
      <c r="AC562" s="34"/>
      <c r="AD562" s="29"/>
      <c r="AE562" s="34"/>
      <c r="AF562" s="34"/>
    </row>
    <row x14ac:dyDescent="0.25" r="563" customHeight="1" ht="15.75">
      <c r="A563" s="502"/>
      <c r="B563" s="34"/>
      <c r="C563" s="34"/>
      <c r="D563" s="34"/>
      <c r="E563" s="34"/>
      <c r="F563" s="34"/>
      <c r="G563" s="34"/>
      <c r="H563" s="34"/>
      <c r="I563" s="29"/>
      <c r="J563" s="29"/>
      <c r="K563" s="29"/>
      <c r="L563" s="29"/>
      <c r="M563" s="34"/>
      <c r="N563" s="34"/>
      <c r="O563" s="29"/>
      <c r="P563" s="29"/>
      <c r="Q563" s="29"/>
      <c r="R563" s="34"/>
      <c r="S563" s="29"/>
      <c r="T563" s="29"/>
      <c r="U563" s="2"/>
      <c r="V563" s="34"/>
      <c r="W563" s="34"/>
      <c r="X563" s="34"/>
      <c r="Y563" s="29"/>
      <c r="Z563" s="34"/>
      <c r="AA563" s="34"/>
      <c r="AB563" s="29"/>
      <c r="AC563" s="34"/>
      <c r="AD563" s="29"/>
      <c r="AE563" s="34"/>
      <c r="AF563" s="34"/>
    </row>
    <row x14ac:dyDescent="0.25" r="564" customHeight="1" ht="15.75">
      <c r="A564" s="502"/>
      <c r="B564" s="34"/>
      <c r="C564" s="34"/>
      <c r="D564" s="34"/>
      <c r="E564" s="34"/>
      <c r="F564" s="34"/>
      <c r="G564" s="34"/>
      <c r="H564" s="34"/>
      <c r="I564" s="29"/>
      <c r="J564" s="29"/>
      <c r="K564" s="29"/>
      <c r="L564" s="29"/>
      <c r="M564" s="34"/>
      <c r="N564" s="34"/>
      <c r="O564" s="29"/>
      <c r="P564" s="29"/>
      <c r="Q564" s="29"/>
      <c r="R564" s="34"/>
      <c r="S564" s="29"/>
      <c r="T564" s="29"/>
      <c r="U564" s="2"/>
      <c r="V564" s="34"/>
      <c r="W564" s="34"/>
      <c r="X564" s="34"/>
      <c r="Y564" s="29"/>
      <c r="Z564" s="34"/>
      <c r="AA564" s="34"/>
      <c r="AB564" s="29"/>
      <c r="AC564" s="34"/>
      <c r="AD564" s="29"/>
      <c r="AE564" s="34"/>
      <c r="AF564" s="34"/>
    </row>
    <row x14ac:dyDescent="0.25" r="565" customHeight="1" ht="15.75">
      <c r="A565" s="502"/>
      <c r="B565" s="34"/>
      <c r="C565" s="34"/>
      <c r="D565" s="34"/>
      <c r="E565" s="34"/>
      <c r="F565" s="34"/>
      <c r="G565" s="34"/>
      <c r="H565" s="34"/>
      <c r="I565" s="29"/>
      <c r="J565" s="29"/>
      <c r="K565" s="29"/>
      <c r="L565" s="29"/>
      <c r="M565" s="34"/>
      <c r="N565" s="34"/>
      <c r="O565" s="29"/>
      <c r="P565" s="29"/>
      <c r="Q565" s="29"/>
      <c r="R565" s="34"/>
      <c r="S565" s="29"/>
      <c r="T565" s="29"/>
      <c r="U565" s="2"/>
      <c r="V565" s="34"/>
      <c r="W565" s="34"/>
      <c r="X565" s="34"/>
      <c r="Y565" s="29"/>
      <c r="Z565" s="34"/>
      <c r="AA565" s="34"/>
      <c r="AB565" s="29"/>
      <c r="AC565" s="34"/>
      <c r="AD565" s="29"/>
      <c r="AE565" s="34"/>
      <c r="AF565" s="34"/>
    </row>
    <row x14ac:dyDescent="0.25" r="566" customHeight="1" ht="15.75">
      <c r="A566" s="502"/>
      <c r="B566" s="34"/>
      <c r="C566" s="34"/>
      <c r="D566" s="34"/>
      <c r="E566" s="34"/>
      <c r="F566" s="34"/>
      <c r="G566" s="34"/>
      <c r="H566" s="34"/>
      <c r="I566" s="29"/>
      <c r="J566" s="29"/>
      <c r="K566" s="29"/>
      <c r="L566" s="29"/>
      <c r="M566" s="34"/>
      <c r="N566" s="34"/>
      <c r="O566" s="29"/>
      <c r="P566" s="29"/>
      <c r="Q566" s="29"/>
      <c r="R566" s="34"/>
      <c r="S566" s="29"/>
      <c r="T566" s="29"/>
      <c r="U566" s="2"/>
      <c r="V566" s="34"/>
      <c r="W566" s="34"/>
      <c r="X566" s="34"/>
      <c r="Y566" s="29"/>
      <c r="Z566" s="34"/>
      <c r="AA566" s="34"/>
      <c r="AB566" s="29"/>
      <c r="AC566" s="34"/>
      <c r="AD566" s="29"/>
      <c r="AE566" s="34"/>
      <c r="AF566" s="34"/>
    </row>
    <row x14ac:dyDescent="0.25" r="567" customHeight="1" ht="15.75">
      <c r="A567" s="502"/>
      <c r="B567" s="34"/>
      <c r="C567" s="34"/>
      <c r="D567" s="34"/>
      <c r="E567" s="34"/>
      <c r="F567" s="34"/>
      <c r="G567" s="34"/>
      <c r="H567" s="34"/>
      <c r="I567" s="29"/>
      <c r="J567" s="29"/>
      <c r="K567" s="29"/>
      <c r="L567" s="29"/>
      <c r="M567" s="34"/>
      <c r="N567" s="34"/>
      <c r="O567" s="29"/>
      <c r="P567" s="29"/>
      <c r="Q567" s="29"/>
      <c r="R567" s="34"/>
      <c r="S567" s="29"/>
      <c r="T567" s="29"/>
      <c r="U567" s="2"/>
      <c r="V567" s="34"/>
      <c r="W567" s="34"/>
      <c r="X567" s="34"/>
      <c r="Y567" s="29"/>
      <c r="Z567" s="34"/>
      <c r="AA567" s="34"/>
      <c r="AB567" s="29"/>
      <c r="AC567" s="34"/>
      <c r="AD567" s="29"/>
      <c r="AE567" s="34"/>
      <c r="AF567" s="34"/>
    </row>
    <row x14ac:dyDescent="0.25" r="568" customHeight="1" ht="15.75">
      <c r="A568" s="502"/>
      <c r="B568" s="34"/>
      <c r="C568" s="34"/>
      <c r="D568" s="34"/>
      <c r="E568" s="34"/>
      <c r="F568" s="34"/>
      <c r="G568" s="34"/>
      <c r="H568" s="34"/>
      <c r="I568" s="29"/>
      <c r="J568" s="29"/>
      <c r="K568" s="29"/>
      <c r="L568" s="29"/>
      <c r="M568" s="34"/>
      <c r="N568" s="34"/>
      <c r="O568" s="29"/>
      <c r="P568" s="29"/>
      <c r="Q568" s="29"/>
      <c r="R568" s="34"/>
      <c r="S568" s="29"/>
      <c r="T568" s="29"/>
      <c r="U568" s="2"/>
      <c r="V568" s="34"/>
      <c r="W568" s="34"/>
      <c r="X568" s="34"/>
      <c r="Y568" s="29"/>
      <c r="Z568" s="34"/>
      <c r="AA568" s="34"/>
      <c r="AB568" s="29"/>
      <c r="AC568" s="34"/>
      <c r="AD568" s="29"/>
      <c r="AE568" s="34"/>
      <c r="AF568" s="34"/>
    </row>
    <row x14ac:dyDescent="0.25" r="569" customHeight="1" ht="15.75">
      <c r="A569" s="502"/>
      <c r="B569" s="34"/>
      <c r="C569" s="34"/>
      <c r="D569" s="34"/>
      <c r="E569" s="34"/>
      <c r="F569" s="34"/>
      <c r="G569" s="34"/>
      <c r="H569" s="34"/>
      <c r="I569" s="29"/>
      <c r="J569" s="29"/>
      <c r="K569" s="29"/>
      <c r="L569" s="29"/>
      <c r="M569" s="34"/>
      <c r="N569" s="34"/>
      <c r="O569" s="29"/>
      <c r="P569" s="29"/>
      <c r="Q569" s="29"/>
      <c r="R569" s="34"/>
      <c r="S569" s="29"/>
      <c r="T569" s="29"/>
      <c r="U569" s="2"/>
      <c r="V569" s="34"/>
      <c r="W569" s="34"/>
      <c r="X569" s="34"/>
      <c r="Y569" s="29"/>
      <c r="Z569" s="34"/>
      <c r="AA569" s="34"/>
      <c r="AB569" s="29"/>
      <c r="AC569" s="34"/>
      <c r="AD569" s="29"/>
      <c r="AE569" s="34"/>
      <c r="AF569" s="34"/>
    </row>
    <row x14ac:dyDescent="0.25" r="570" customHeight="1" ht="15.75">
      <c r="A570" s="502"/>
      <c r="B570" s="34"/>
      <c r="C570" s="34"/>
      <c r="D570" s="34"/>
      <c r="E570" s="34"/>
      <c r="F570" s="34"/>
      <c r="G570" s="34"/>
      <c r="H570" s="34"/>
      <c r="I570" s="29"/>
      <c r="J570" s="29"/>
      <c r="K570" s="29"/>
      <c r="L570" s="29"/>
      <c r="M570" s="34"/>
      <c r="N570" s="34"/>
      <c r="O570" s="29"/>
      <c r="P570" s="29"/>
      <c r="Q570" s="29"/>
      <c r="R570" s="34"/>
      <c r="S570" s="29"/>
      <c r="T570" s="29"/>
      <c r="U570" s="2"/>
      <c r="V570" s="34"/>
      <c r="W570" s="34"/>
      <c r="X570" s="34"/>
      <c r="Y570" s="29"/>
      <c r="Z570" s="34"/>
      <c r="AA570" s="34"/>
      <c r="AB570" s="29"/>
      <c r="AC570" s="34"/>
      <c r="AD570" s="29"/>
      <c r="AE570" s="34"/>
      <c r="AF570" s="34"/>
    </row>
    <row x14ac:dyDescent="0.25" r="571" customHeight="1" ht="15.75">
      <c r="A571" s="502"/>
      <c r="B571" s="34"/>
      <c r="C571" s="34"/>
      <c r="D571" s="34"/>
      <c r="E571" s="34"/>
      <c r="F571" s="34"/>
      <c r="G571" s="34"/>
      <c r="H571" s="34"/>
      <c r="I571" s="29"/>
      <c r="J571" s="29"/>
      <c r="K571" s="29"/>
      <c r="L571" s="29"/>
      <c r="M571" s="34"/>
      <c r="N571" s="34"/>
      <c r="O571" s="29"/>
      <c r="P571" s="29"/>
      <c r="Q571" s="29"/>
      <c r="R571" s="34"/>
      <c r="S571" s="29"/>
      <c r="T571" s="29"/>
      <c r="U571" s="2"/>
      <c r="V571" s="34"/>
      <c r="W571" s="34"/>
      <c r="X571" s="34"/>
      <c r="Y571" s="29"/>
      <c r="Z571" s="34"/>
      <c r="AA571" s="34"/>
      <c r="AB571" s="29"/>
      <c r="AC571" s="34"/>
      <c r="AD571" s="29"/>
      <c r="AE571" s="34"/>
      <c r="AF571" s="34"/>
    </row>
    <row x14ac:dyDescent="0.25" r="572" customHeight="1" ht="15.75">
      <c r="A572" s="502"/>
      <c r="B572" s="34"/>
      <c r="C572" s="34"/>
      <c r="D572" s="34"/>
      <c r="E572" s="34"/>
      <c r="F572" s="34"/>
      <c r="G572" s="34"/>
      <c r="H572" s="34"/>
      <c r="I572" s="29"/>
      <c r="J572" s="29"/>
      <c r="K572" s="29"/>
      <c r="L572" s="29"/>
      <c r="M572" s="34"/>
      <c r="N572" s="34"/>
      <c r="O572" s="29"/>
      <c r="P572" s="29"/>
      <c r="Q572" s="29"/>
      <c r="R572" s="34"/>
      <c r="S572" s="29"/>
      <c r="T572" s="29"/>
      <c r="U572" s="2"/>
      <c r="V572" s="34"/>
      <c r="W572" s="34"/>
      <c r="X572" s="34"/>
      <c r="Y572" s="29"/>
      <c r="Z572" s="34"/>
      <c r="AA572" s="34"/>
      <c r="AB572" s="29"/>
      <c r="AC572" s="34"/>
      <c r="AD572" s="29"/>
      <c r="AE572" s="34"/>
      <c r="AF572" s="34"/>
    </row>
    <row x14ac:dyDescent="0.25" r="573" customHeight="1" ht="15.75">
      <c r="A573" s="502"/>
      <c r="B573" s="34"/>
      <c r="C573" s="34"/>
      <c r="D573" s="34"/>
      <c r="E573" s="34"/>
      <c r="F573" s="34"/>
      <c r="G573" s="34"/>
      <c r="H573" s="34"/>
      <c r="I573" s="29"/>
      <c r="J573" s="29"/>
      <c r="K573" s="29"/>
      <c r="L573" s="29"/>
      <c r="M573" s="34"/>
      <c r="N573" s="34"/>
      <c r="O573" s="29"/>
      <c r="P573" s="29"/>
      <c r="Q573" s="29"/>
      <c r="R573" s="34"/>
      <c r="S573" s="29"/>
      <c r="T573" s="29"/>
      <c r="U573" s="2"/>
      <c r="V573" s="34"/>
      <c r="W573" s="34"/>
      <c r="X573" s="34"/>
      <c r="Y573" s="29"/>
      <c r="Z573" s="34"/>
      <c r="AA573" s="34"/>
      <c r="AB573" s="29"/>
      <c r="AC573" s="34"/>
      <c r="AD573" s="29"/>
      <c r="AE573" s="34"/>
      <c r="AF573" s="34"/>
    </row>
    <row x14ac:dyDescent="0.25" r="574" customHeight="1" ht="15.75">
      <c r="A574" s="502"/>
      <c r="B574" s="34"/>
      <c r="C574" s="34"/>
      <c r="D574" s="34"/>
      <c r="E574" s="34"/>
      <c r="F574" s="34"/>
      <c r="G574" s="34"/>
      <c r="H574" s="34"/>
      <c r="I574" s="29"/>
      <c r="J574" s="29"/>
      <c r="K574" s="29"/>
      <c r="L574" s="29"/>
      <c r="M574" s="34"/>
      <c r="N574" s="34"/>
      <c r="O574" s="29"/>
      <c r="P574" s="29"/>
      <c r="Q574" s="29"/>
      <c r="R574" s="34"/>
      <c r="S574" s="29"/>
      <c r="T574" s="29"/>
      <c r="U574" s="2"/>
      <c r="V574" s="34"/>
      <c r="W574" s="34"/>
      <c r="X574" s="34"/>
      <c r="Y574" s="29"/>
      <c r="Z574" s="34"/>
      <c r="AA574" s="34"/>
      <c r="AB574" s="29"/>
      <c r="AC574" s="34"/>
      <c r="AD574" s="29"/>
      <c r="AE574" s="34"/>
      <c r="AF574" s="34"/>
    </row>
    <row x14ac:dyDescent="0.25" r="575" customHeight="1" ht="15.75">
      <c r="A575" s="502"/>
      <c r="B575" s="34"/>
      <c r="C575" s="34"/>
      <c r="D575" s="34"/>
      <c r="E575" s="34"/>
      <c r="F575" s="34"/>
      <c r="G575" s="34"/>
      <c r="H575" s="34"/>
      <c r="I575" s="29"/>
      <c r="J575" s="29"/>
      <c r="K575" s="29"/>
      <c r="L575" s="29"/>
      <c r="M575" s="34"/>
      <c r="N575" s="34"/>
      <c r="O575" s="29"/>
      <c r="P575" s="29"/>
      <c r="Q575" s="29"/>
      <c r="R575" s="34"/>
      <c r="S575" s="29"/>
      <c r="T575" s="29"/>
      <c r="U575" s="2"/>
      <c r="V575" s="34"/>
      <c r="W575" s="34"/>
      <c r="X575" s="34"/>
      <c r="Y575" s="29"/>
      <c r="Z575" s="34"/>
      <c r="AA575" s="34"/>
      <c r="AB575" s="29"/>
      <c r="AC575" s="34"/>
      <c r="AD575" s="29"/>
      <c r="AE575" s="34"/>
      <c r="AF575" s="34"/>
    </row>
    <row x14ac:dyDescent="0.25" r="576" customHeight="1" ht="15.75">
      <c r="A576" s="502"/>
      <c r="B576" s="34"/>
      <c r="C576" s="34"/>
      <c r="D576" s="34"/>
      <c r="E576" s="34"/>
      <c r="F576" s="34"/>
      <c r="G576" s="34"/>
      <c r="H576" s="34"/>
      <c r="I576" s="29"/>
      <c r="J576" s="29"/>
      <c r="K576" s="29"/>
      <c r="L576" s="29"/>
      <c r="M576" s="34"/>
      <c r="N576" s="34"/>
      <c r="O576" s="29"/>
      <c r="P576" s="29"/>
      <c r="Q576" s="29"/>
      <c r="R576" s="34"/>
      <c r="S576" s="29"/>
      <c r="T576" s="29"/>
      <c r="U576" s="2"/>
      <c r="V576" s="34"/>
      <c r="W576" s="34"/>
      <c r="X576" s="34"/>
      <c r="Y576" s="29"/>
      <c r="Z576" s="34"/>
      <c r="AA576" s="34"/>
      <c r="AB576" s="29"/>
      <c r="AC576" s="34"/>
      <c r="AD576" s="29"/>
      <c r="AE576" s="34"/>
      <c r="AF576" s="34"/>
    </row>
    <row x14ac:dyDescent="0.25" r="577" customHeight="1" ht="15.75">
      <c r="A577" s="502"/>
      <c r="B577" s="34"/>
      <c r="C577" s="34"/>
      <c r="D577" s="34"/>
      <c r="E577" s="34"/>
      <c r="F577" s="34"/>
      <c r="G577" s="34"/>
      <c r="H577" s="34"/>
      <c r="I577" s="29"/>
      <c r="J577" s="29"/>
      <c r="K577" s="29"/>
      <c r="L577" s="29"/>
      <c r="M577" s="34"/>
      <c r="N577" s="34"/>
      <c r="O577" s="29"/>
      <c r="P577" s="29"/>
      <c r="Q577" s="29"/>
      <c r="R577" s="34"/>
      <c r="S577" s="29"/>
      <c r="T577" s="29"/>
      <c r="U577" s="2"/>
      <c r="V577" s="34"/>
      <c r="W577" s="34"/>
      <c r="X577" s="34"/>
      <c r="Y577" s="29"/>
      <c r="Z577" s="34"/>
      <c r="AA577" s="34"/>
      <c r="AB577" s="29"/>
      <c r="AC577" s="34"/>
      <c r="AD577" s="29"/>
      <c r="AE577" s="34"/>
      <c r="AF577" s="34"/>
    </row>
    <row x14ac:dyDescent="0.25" r="578" customHeight="1" ht="15.75">
      <c r="A578" s="502"/>
      <c r="B578" s="34"/>
      <c r="C578" s="34"/>
      <c r="D578" s="34"/>
      <c r="E578" s="34"/>
      <c r="F578" s="34"/>
      <c r="G578" s="34"/>
      <c r="H578" s="34"/>
      <c r="I578" s="29"/>
      <c r="J578" s="29"/>
      <c r="K578" s="29"/>
      <c r="L578" s="29"/>
      <c r="M578" s="34"/>
      <c r="N578" s="34"/>
      <c r="O578" s="29"/>
      <c r="P578" s="29"/>
      <c r="Q578" s="29"/>
      <c r="R578" s="34"/>
      <c r="S578" s="29"/>
      <c r="T578" s="29"/>
      <c r="U578" s="2"/>
      <c r="V578" s="34"/>
      <c r="W578" s="34"/>
      <c r="X578" s="34"/>
      <c r="Y578" s="29"/>
      <c r="Z578" s="34"/>
      <c r="AA578" s="34"/>
      <c r="AB578" s="29"/>
      <c r="AC578" s="34"/>
      <c r="AD578" s="29"/>
      <c r="AE578" s="34"/>
      <c r="AF578" s="34"/>
    </row>
    <row x14ac:dyDescent="0.25" r="579" customHeight="1" ht="15.75">
      <c r="A579" s="502"/>
      <c r="B579" s="34"/>
      <c r="C579" s="34"/>
      <c r="D579" s="34"/>
      <c r="E579" s="34"/>
      <c r="F579" s="34"/>
      <c r="G579" s="34"/>
      <c r="H579" s="34"/>
      <c r="I579" s="29"/>
      <c r="J579" s="29"/>
      <c r="K579" s="29"/>
      <c r="L579" s="29"/>
      <c r="M579" s="34"/>
      <c r="N579" s="34"/>
      <c r="O579" s="29"/>
      <c r="P579" s="29"/>
      <c r="Q579" s="29"/>
      <c r="R579" s="34"/>
      <c r="S579" s="29"/>
      <c r="T579" s="29"/>
      <c r="U579" s="2"/>
      <c r="V579" s="34"/>
      <c r="W579" s="34"/>
      <c r="X579" s="34"/>
      <c r="Y579" s="29"/>
      <c r="Z579" s="34"/>
      <c r="AA579" s="34"/>
      <c r="AB579" s="29"/>
      <c r="AC579" s="34"/>
      <c r="AD579" s="29"/>
      <c r="AE579" s="34"/>
      <c r="AF579" s="34"/>
    </row>
    <row x14ac:dyDescent="0.25" r="580" customHeight="1" ht="15.75">
      <c r="A580" s="502"/>
      <c r="B580" s="34"/>
      <c r="C580" s="34"/>
      <c r="D580" s="34"/>
      <c r="E580" s="34"/>
      <c r="F580" s="34"/>
      <c r="G580" s="34"/>
      <c r="H580" s="34"/>
      <c r="I580" s="29"/>
      <c r="J580" s="29"/>
      <c r="K580" s="29"/>
      <c r="L580" s="29"/>
      <c r="M580" s="34"/>
      <c r="N580" s="34"/>
      <c r="O580" s="29"/>
      <c r="P580" s="29"/>
      <c r="Q580" s="29"/>
      <c r="R580" s="34"/>
      <c r="S580" s="29"/>
      <c r="T580" s="29"/>
      <c r="U580" s="2"/>
      <c r="V580" s="34"/>
      <c r="W580" s="34"/>
      <c r="X580" s="34"/>
      <c r="Y580" s="29"/>
      <c r="Z580" s="34"/>
      <c r="AA580" s="34"/>
      <c r="AB580" s="29"/>
      <c r="AC580" s="34"/>
      <c r="AD580" s="29"/>
      <c r="AE580" s="34"/>
      <c r="AF580" s="34"/>
    </row>
    <row x14ac:dyDescent="0.25" r="581" customHeight="1" ht="15.75">
      <c r="A581" s="502"/>
      <c r="B581" s="34"/>
      <c r="C581" s="34"/>
      <c r="D581" s="34"/>
      <c r="E581" s="34"/>
      <c r="F581" s="34"/>
      <c r="G581" s="34"/>
      <c r="H581" s="34"/>
      <c r="I581" s="29"/>
      <c r="J581" s="29"/>
      <c r="K581" s="29"/>
      <c r="L581" s="29"/>
      <c r="M581" s="34"/>
      <c r="N581" s="34"/>
      <c r="O581" s="29"/>
      <c r="P581" s="29"/>
      <c r="Q581" s="29"/>
      <c r="R581" s="34"/>
      <c r="S581" s="29"/>
      <c r="T581" s="29"/>
      <c r="U581" s="2"/>
      <c r="V581" s="34"/>
      <c r="W581" s="34"/>
      <c r="X581" s="34"/>
      <c r="Y581" s="29"/>
      <c r="Z581" s="34"/>
      <c r="AA581" s="34"/>
      <c r="AB581" s="29"/>
      <c r="AC581" s="34"/>
      <c r="AD581" s="29"/>
      <c r="AE581" s="34"/>
      <c r="AF581" s="34"/>
    </row>
    <row x14ac:dyDescent="0.25" r="582" customHeight="1" ht="15.75">
      <c r="A582" s="502"/>
      <c r="B582" s="34"/>
      <c r="C582" s="34"/>
      <c r="D582" s="34"/>
      <c r="E582" s="34"/>
      <c r="F582" s="34"/>
      <c r="G582" s="34"/>
      <c r="H582" s="34"/>
      <c r="I582" s="29"/>
      <c r="J582" s="29"/>
      <c r="K582" s="29"/>
      <c r="L582" s="29"/>
      <c r="M582" s="34"/>
      <c r="N582" s="34"/>
      <c r="O582" s="29"/>
      <c r="P582" s="29"/>
      <c r="Q582" s="29"/>
      <c r="R582" s="34"/>
      <c r="S582" s="29"/>
      <c r="T582" s="29"/>
      <c r="U582" s="2"/>
      <c r="V582" s="34"/>
      <c r="W582" s="34"/>
      <c r="X582" s="34"/>
      <c r="Y582" s="29"/>
      <c r="Z582" s="34"/>
      <c r="AA582" s="34"/>
      <c r="AB582" s="29"/>
      <c r="AC582" s="34"/>
      <c r="AD582" s="29"/>
      <c r="AE582" s="34"/>
      <c r="AF582" s="34"/>
    </row>
    <row x14ac:dyDescent="0.25" r="583" customHeight="1" ht="15.75">
      <c r="A583" s="502"/>
      <c r="B583" s="34"/>
      <c r="C583" s="34"/>
      <c r="D583" s="34"/>
      <c r="E583" s="34"/>
      <c r="F583" s="34"/>
      <c r="G583" s="34"/>
      <c r="H583" s="34"/>
      <c r="I583" s="29"/>
      <c r="J583" s="29"/>
      <c r="K583" s="29"/>
      <c r="L583" s="29"/>
      <c r="M583" s="34"/>
      <c r="N583" s="34"/>
      <c r="O583" s="29"/>
      <c r="P583" s="29"/>
      <c r="Q583" s="29"/>
      <c r="R583" s="34"/>
      <c r="S583" s="29"/>
      <c r="T583" s="29"/>
      <c r="U583" s="2"/>
      <c r="V583" s="34"/>
      <c r="W583" s="34"/>
      <c r="X583" s="34"/>
      <c r="Y583" s="29"/>
      <c r="Z583" s="34"/>
      <c r="AA583" s="34"/>
      <c r="AB583" s="29"/>
      <c r="AC583" s="34"/>
      <c r="AD583" s="29"/>
      <c r="AE583" s="34"/>
      <c r="AF583" s="34"/>
    </row>
    <row x14ac:dyDescent="0.25" r="584" customHeight="1" ht="15.75">
      <c r="A584" s="502"/>
      <c r="B584" s="34"/>
      <c r="C584" s="34"/>
      <c r="D584" s="34"/>
      <c r="E584" s="34"/>
      <c r="F584" s="34"/>
      <c r="G584" s="34"/>
      <c r="H584" s="34"/>
      <c r="I584" s="29"/>
      <c r="J584" s="29"/>
      <c r="K584" s="29"/>
      <c r="L584" s="29"/>
      <c r="M584" s="34"/>
      <c r="N584" s="34"/>
      <c r="O584" s="29"/>
      <c r="P584" s="29"/>
      <c r="Q584" s="29"/>
      <c r="R584" s="34"/>
      <c r="S584" s="29"/>
      <c r="T584" s="29"/>
      <c r="U584" s="2"/>
      <c r="V584" s="34"/>
      <c r="W584" s="34"/>
      <c r="X584" s="34"/>
      <c r="Y584" s="29"/>
      <c r="Z584" s="34"/>
      <c r="AA584" s="34"/>
      <c r="AB584" s="29"/>
      <c r="AC584" s="34"/>
      <c r="AD584" s="29"/>
      <c r="AE584" s="34"/>
      <c r="AF584" s="34"/>
    </row>
    <row x14ac:dyDescent="0.25" r="585" customHeight="1" ht="15.75">
      <c r="A585" s="502"/>
      <c r="B585" s="34"/>
      <c r="C585" s="34"/>
      <c r="D585" s="34"/>
      <c r="E585" s="34"/>
      <c r="F585" s="34"/>
      <c r="G585" s="34"/>
      <c r="H585" s="34"/>
      <c r="I585" s="29"/>
      <c r="J585" s="29"/>
      <c r="K585" s="29"/>
      <c r="L585" s="29"/>
      <c r="M585" s="34"/>
      <c r="N585" s="34"/>
      <c r="O585" s="29"/>
      <c r="P585" s="29"/>
      <c r="Q585" s="29"/>
      <c r="R585" s="34"/>
      <c r="S585" s="29"/>
      <c r="T585" s="29"/>
      <c r="U585" s="2"/>
      <c r="V585" s="34"/>
      <c r="W585" s="34"/>
      <c r="X585" s="34"/>
      <c r="Y585" s="29"/>
      <c r="Z585" s="34"/>
      <c r="AA585" s="34"/>
      <c r="AB585" s="29"/>
      <c r="AC585" s="34"/>
      <c r="AD585" s="29"/>
      <c r="AE585" s="34"/>
      <c r="AF585" s="34"/>
    </row>
    <row x14ac:dyDescent="0.25" r="586" customHeight="1" ht="15.75">
      <c r="A586" s="502"/>
      <c r="B586" s="34"/>
      <c r="C586" s="34"/>
      <c r="D586" s="34"/>
      <c r="E586" s="34"/>
      <c r="F586" s="34"/>
      <c r="G586" s="34"/>
      <c r="H586" s="34"/>
      <c r="I586" s="29"/>
      <c r="J586" s="29"/>
      <c r="K586" s="29"/>
      <c r="L586" s="29"/>
      <c r="M586" s="34"/>
      <c r="N586" s="34"/>
      <c r="O586" s="29"/>
      <c r="P586" s="29"/>
      <c r="Q586" s="29"/>
      <c r="R586" s="34"/>
      <c r="S586" s="29"/>
      <c r="T586" s="29"/>
      <c r="U586" s="2"/>
      <c r="V586" s="34"/>
      <c r="W586" s="34"/>
      <c r="X586" s="34"/>
      <c r="Y586" s="29"/>
      <c r="Z586" s="34"/>
      <c r="AA586" s="34"/>
      <c r="AB586" s="29"/>
      <c r="AC586" s="34"/>
      <c r="AD586" s="29"/>
      <c r="AE586" s="34"/>
      <c r="AF586" s="34"/>
    </row>
    <row x14ac:dyDescent="0.25" r="587" customHeight="1" ht="15.75">
      <c r="A587" s="502"/>
      <c r="B587" s="34"/>
      <c r="C587" s="34"/>
      <c r="D587" s="34"/>
      <c r="E587" s="34"/>
      <c r="F587" s="34"/>
      <c r="G587" s="34"/>
      <c r="H587" s="34"/>
      <c r="I587" s="29"/>
      <c r="J587" s="29"/>
      <c r="K587" s="29"/>
      <c r="L587" s="29"/>
      <c r="M587" s="34"/>
      <c r="N587" s="34"/>
      <c r="O587" s="29"/>
      <c r="P587" s="29"/>
      <c r="Q587" s="29"/>
      <c r="R587" s="34"/>
      <c r="S587" s="29"/>
      <c r="T587" s="29"/>
      <c r="U587" s="2"/>
      <c r="V587" s="34"/>
      <c r="W587" s="34"/>
      <c r="X587" s="34"/>
      <c r="Y587" s="29"/>
      <c r="Z587" s="34"/>
      <c r="AA587" s="34"/>
      <c r="AB587" s="29"/>
      <c r="AC587" s="34"/>
      <c r="AD587" s="29"/>
      <c r="AE587" s="34"/>
      <c r="AF587" s="34"/>
    </row>
    <row x14ac:dyDescent="0.25" r="588" customHeight="1" ht="15.75">
      <c r="A588" s="502"/>
      <c r="B588" s="34"/>
      <c r="C588" s="34"/>
      <c r="D588" s="34"/>
      <c r="E588" s="34"/>
      <c r="F588" s="34"/>
      <c r="G588" s="34"/>
      <c r="H588" s="34"/>
      <c r="I588" s="29"/>
      <c r="J588" s="29"/>
      <c r="K588" s="29"/>
      <c r="L588" s="29"/>
      <c r="M588" s="34"/>
      <c r="N588" s="34"/>
      <c r="O588" s="29"/>
      <c r="P588" s="29"/>
      <c r="Q588" s="29"/>
      <c r="R588" s="34"/>
      <c r="S588" s="29"/>
      <c r="T588" s="29"/>
      <c r="U588" s="2"/>
      <c r="V588" s="34"/>
      <c r="W588" s="34"/>
      <c r="X588" s="34"/>
      <c r="Y588" s="29"/>
      <c r="Z588" s="34"/>
      <c r="AA588" s="34"/>
      <c r="AB588" s="29"/>
      <c r="AC588" s="34"/>
      <c r="AD588" s="29"/>
      <c r="AE588" s="34"/>
      <c r="AF588" s="34"/>
    </row>
    <row x14ac:dyDescent="0.25" r="589" customHeight="1" ht="15.75">
      <c r="A589" s="502"/>
      <c r="B589" s="34"/>
      <c r="C589" s="34"/>
      <c r="D589" s="34"/>
      <c r="E589" s="34"/>
      <c r="F589" s="34"/>
      <c r="G589" s="34"/>
      <c r="H589" s="34"/>
      <c r="I589" s="29"/>
      <c r="J589" s="29"/>
      <c r="K589" s="29"/>
      <c r="L589" s="29"/>
      <c r="M589" s="34"/>
      <c r="N589" s="34"/>
      <c r="O589" s="29"/>
      <c r="P589" s="29"/>
      <c r="Q589" s="29"/>
      <c r="R589" s="34"/>
      <c r="S589" s="29"/>
      <c r="T589" s="29"/>
      <c r="U589" s="2"/>
      <c r="V589" s="34"/>
      <c r="W589" s="34"/>
      <c r="X589" s="34"/>
      <c r="Y589" s="29"/>
      <c r="Z589" s="34"/>
      <c r="AA589" s="34"/>
      <c r="AB589" s="29"/>
      <c r="AC589" s="34"/>
      <c r="AD589" s="29"/>
      <c r="AE589" s="34"/>
      <c r="AF589" s="34"/>
    </row>
    <row x14ac:dyDescent="0.25" r="590" customHeight="1" ht="15.75">
      <c r="A590" s="502"/>
      <c r="B590" s="34"/>
      <c r="C590" s="34"/>
      <c r="D590" s="34"/>
      <c r="E590" s="34"/>
      <c r="F590" s="34"/>
      <c r="G590" s="34"/>
      <c r="H590" s="34"/>
      <c r="I590" s="29"/>
      <c r="J590" s="29"/>
      <c r="K590" s="29"/>
      <c r="L590" s="29"/>
      <c r="M590" s="34"/>
      <c r="N590" s="34"/>
      <c r="O590" s="29"/>
      <c r="P590" s="29"/>
      <c r="Q590" s="29"/>
      <c r="R590" s="34"/>
      <c r="S590" s="29"/>
      <c r="T590" s="29"/>
      <c r="U590" s="2"/>
      <c r="V590" s="34"/>
      <c r="W590" s="34"/>
      <c r="X590" s="34"/>
      <c r="Y590" s="29"/>
      <c r="Z590" s="34"/>
      <c r="AA590" s="34"/>
      <c r="AB590" s="29"/>
      <c r="AC590" s="34"/>
      <c r="AD590" s="29"/>
      <c r="AE590" s="34"/>
      <c r="AF590" s="34"/>
    </row>
    <row x14ac:dyDescent="0.25" r="591" customHeight="1" ht="15.75">
      <c r="A591" s="502"/>
      <c r="B591" s="34"/>
      <c r="C591" s="34"/>
      <c r="D591" s="34"/>
      <c r="E591" s="34"/>
      <c r="F591" s="34"/>
      <c r="G591" s="34"/>
      <c r="H591" s="34"/>
      <c r="I591" s="29"/>
      <c r="J591" s="29"/>
      <c r="K591" s="29"/>
      <c r="L591" s="29"/>
      <c r="M591" s="34"/>
      <c r="N591" s="34"/>
      <c r="O591" s="29"/>
      <c r="P591" s="29"/>
      <c r="Q591" s="29"/>
      <c r="R591" s="34"/>
      <c r="S591" s="29"/>
      <c r="T591" s="29"/>
      <c r="U591" s="2"/>
      <c r="V591" s="34"/>
      <c r="W591" s="34"/>
      <c r="X591" s="34"/>
      <c r="Y591" s="29"/>
      <c r="Z591" s="34"/>
      <c r="AA591" s="34"/>
      <c r="AB591" s="29"/>
      <c r="AC591" s="34"/>
      <c r="AD591" s="29"/>
      <c r="AE591" s="34"/>
      <c r="AF591" s="34"/>
    </row>
    <row x14ac:dyDescent="0.25" r="592" customHeight="1" ht="15.75">
      <c r="A592" s="502"/>
      <c r="B592" s="34"/>
      <c r="C592" s="34"/>
      <c r="D592" s="34"/>
      <c r="E592" s="34"/>
      <c r="F592" s="34"/>
      <c r="G592" s="34"/>
      <c r="H592" s="34"/>
      <c r="I592" s="29"/>
      <c r="J592" s="29"/>
      <c r="K592" s="29"/>
      <c r="L592" s="29"/>
      <c r="M592" s="34"/>
      <c r="N592" s="34"/>
      <c r="O592" s="29"/>
      <c r="P592" s="29"/>
      <c r="Q592" s="29"/>
      <c r="R592" s="34"/>
      <c r="S592" s="29"/>
      <c r="T592" s="29"/>
      <c r="U592" s="2"/>
      <c r="V592" s="34"/>
      <c r="W592" s="34"/>
      <c r="X592" s="34"/>
      <c r="Y592" s="29"/>
      <c r="Z592" s="34"/>
      <c r="AA592" s="34"/>
      <c r="AB592" s="29"/>
      <c r="AC592" s="34"/>
      <c r="AD592" s="29"/>
      <c r="AE592" s="34"/>
      <c r="AF592" s="34"/>
    </row>
    <row x14ac:dyDescent="0.25" r="593" customHeight="1" ht="15.75">
      <c r="A593" s="502"/>
      <c r="B593" s="34"/>
      <c r="C593" s="34"/>
      <c r="D593" s="34"/>
      <c r="E593" s="34"/>
      <c r="F593" s="34"/>
      <c r="G593" s="34"/>
      <c r="H593" s="34"/>
      <c r="I593" s="29"/>
      <c r="J593" s="29"/>
      <c r="K593" s="29"/>
      <c r="L593" s="29"/>
      <c r="M593" s="34"/>
      <c r="N593" s="34"/>
      <c r="O593" s="29"/>
      <c r="P593" s="29"/>
      <c r="Q593" s="29"/>
      <c r="R593" s="34"/>
      <c r="S593" s="29"/>
      <c r="T593" s="29"/>
      <c r="U593" s="2"/>
      <c r="V593" s="34"/>
      <c r="W593" s="34"/>
      <c r="X593" s="34"/>
      <c r="Y593" s="29"/>
      <c r="Z593" s="34"/>
      <c r="AA593" s="34"/>
      <c r="AB593" s="29"/>
      <c r="AC593" s="34"/>
      <c r="AD593" s="29"/>
      <c r="AE593" s="34"/>
      <c r="AF593" s="34"/>
    </row>
    <row x14ac:dyDescent="0.25" r="594" customHeight="1" ht="15.75">
      <c r="A594" s="502"/>
      <c r="B594" s="34"/>
      <c r="C594" s="34"/>
      <c r="D594" s="34"/>
      <c r="E594" s="34"/>
      <c r="F594" s="34"/>
      <c r="G594" s="34"/>
      <c r="H594" s="34"/>
      <c r="I594" s="29"/>
      <c r="J594" s="29"/>
      <c r="K594" s="29"/>
      <c r="L594" s="29"/>
      <c r="M594" s="34"/>
      <c r="N594" s="34"/>
      <c r="O594" s="29"/>
      <c r="P594" s="29"/>
      <c r="Q594" s="29"/>
      <c r="R594" s="34"/>
      <c r="S594" s="29"/>
      <c r="T594" s="29"/>
      <c r="U594" s="2"/>
      <c r="V594" s="34"/>
      <c r="W594" s="34"/>
      <c r="X594" s="34"/>
      <c r="Y594" s="29"/>
      <c r="Z594" s="34"/>
      <c r="AA594" s="34"/>
      <c r="AB594" s="29"/>
      <c r="AC594" s="34"/>
      <c r="AD594" s="29"/>
      <c r="AE594" s="34"/>
      <c r="AF594" s="34"/>
    </row>
    <row x14ac:dyDescent="0.25" r="595" customHeight="1" ht="15.75">
      <c r="A595" s="502"/>
      <c r="B595" s="34"/>
      <c r="C595" s="34"/>
      <c r="D595" s="34"/>
      <c r="E595" s="34"/>
      <c r="F595" s="34"/>
      <c r="G595" s="34"/>
      <c r="H595" s="34"/>
      <c r="I595" s="29"/>
      <c r="J595" s="29"/>
      <c r="K595" s="29"/>
      <c r="L595" s="29"/>
      <c r="M595" s="34"/>
      <c r="N595" s="34"/>
      <c r="O595" s="29"/>
      <c r="P595" s="29"/>
      <c r="Q595" s="29"/>
      <c r="R595" s="34"/>
      <c r="S595" s="29"/>
      <c r="T595" s="29"/>
      <c r="U595" s="2"/>
      <c r="V595" s="34"/>
      <c r="W595" s="34"/>
      <c r="X595" s="34"/>
      <c r="Y595" s="29"/>
      <c r="Z595" s="34"/>
      <c r="AA595" s="34"/>
      <c r="AB595" s="29"/>
      <c r="AC595" s="34"/>
      <c r="AD595" s="29"/>
      <c r="AE595" s="34"/>
      <c r="AF595" s="34"/>
    </row>
    <row x14ac:dyDescent="0.25" r="596" customHeight="1" ht="15.75">
      <c r="A596" s="502"/>
      <c r="B596" s="34"/>
      <c r="C596" s="34"/>
      <c r="D596" s="34"/>
      <c r="E596" s="34"/>
      <c r="F596" s="34"/>
      <c r="G596" s="34"/>
      <c r="H596" s="34"/>
      <c r="I596" s="29"/>
      <c r="J596" s="29"/>
      <c r="K596" s="29"/>
      <c r="L596" s="29"/>
      <c r="M596" s="34"/>
      <c r="N596" s="34"/>
      <c r="O596" s="29"/>
      <c r="P596" s="29"/>
      <c r="Q596" s="29"/>
      <c r="R596" s="34"/>
      <c r="S596" s="29"/>
      <c r="T596" s="29"/>
      <c r="U596" s="2"/>
      <c r="V596" s="34"/>
      <c r="W596" s="34"/>
      <c r="X596" s="34"/>
      <c r="Y596" s="29"/>
      <c r="Z596" s="34"/>
      <c r="AA596" s="34"/>
      <c r="AB596" s="29"/>
      <c r="AC596" s="34"/>
      <c r="AD596" s="29"/>
      <c r="AE596" s="34"/>
      <c r="AF596" s="34"/>
    </row>
    <row x14ac:dyDescent="0.25" r="597" customHeight="1" ht="15.75">
      <c r="A597" s="502"/>
      <c r="B597" s="34"/>
      <c r="C597" s="34"/>
      <c r="D597" s="34"/>
      <c r="E597" s="34"/>
      <c r="F597" s="34"/>
      <c r="G597" s="34"/>
      <c r="H597" s="34"/>
      <c r="I597" s="29"/>
      <c r="J597" s="29"/>
      <c r="K597" s="29"/>
      <c r="L597" s="29"/>
      <c r="M597" s="34"/>
      <c r="N597" s="34"/>
      <c r="O597" s="29"/>
      <c r="P597" s="29"/>
      <c r="Q597" s="29"/>
      <c r="R597" s="34"/>
      <c r="S597" s="29"/>
      <c r="T597" s="29"/>
      <c r="U597" s="2"/>
      <c r="V597" s="34"/>
      <c r="W597" s="34"/>
      <c r="X597" s="34"/>
      <c r="Y597" s="29"/>
      <c r="Z597" s="34"/>
      <c r="AA597" s="34"/>
      <c r="AB597" s="29"/>
      <c r="AC597" s="34"/>
      <c r="AD597" s="29"/>
      <c r="AE597" s="34"/>
      <c r="AF597" s="34"/>
    </row>
    <row x14ac:dyDescent="0.25" r="598" customHeight="1" ht="15.75">
      <c r="A598" s="502"/>
      <c r="B598" s="34"/>
      <c r="C598" s="34"/>
      <c r="D598" s="34"/>
      <c r="E598" s="34"/>
      <c r="F598" s="34"/>
      <c r="G598" s="34"/>
      <c r="H598" s="34"/>
      <c r="I598" s="29"/>
      <c r="J598" s="29"/>
      <c r="K598" s="29"/>
      <c r="L598" s="29"/>
      <c r="M598" s="34"/>
      <c r="N598" s="34"/>
      <c r="O598" s="29"/>
      <c r="P598" s="29"/>
      <c r="Q598" s="29"/>
      <c r="R598" s="34"/>
      <c r="S598" s="29"/>
      <c r="T598" s="29"/>
      <c r="U598" s="2"/>
      <c r="V598" s="34"/>
      <c r="W598" s="34"/>
      <c r="X598" s="34"/>
      <c r="Y598" s="29"/>
      <c r="Z598" s="34"/>
      <c r="AA598" s="34"/>
      <c r="AB598" s="29"/>
      <c r="AC598" s="34"/>
      <c r="AD598" s="29"/>
      <c r="AE598" s="34"/>
      <c r="AF598" s="34"/>
    </row>
    <row x14ac:dyDescent="0.25" r="599" customHeight="1" ht="15.75">
      <c r="A599" s="502"/>
      <c r="B599" s="34"/>
      <c r="C599" s="34"/>
      <c r="D599" s="34"/>
      <c r="E599" s="34"/>
      <c r="F599" s="34"/>
      <c r="G599" s="34"/>
      <c r="H599" s="34"/>
      <c r="I599" s="29"/>
      <c r="J599" s="29"/>
      <c r="K599" s="29"/>
      <c r="L599" s="29"/>
      <c r="M599" s="34"/>
      <c r="N599" s="34"/>
      <c r="O599" s="29"/>
      <c r="P599" s="29"/>
      <c r="Q599" s="29"/>
      <c r="R599" s="34"/>
      <c r="S599" s="29"/>
      <c r="T599" s="29"/>
      <c r="U599" s="2"/>
      <c r="V599" s="34"/>
      <c r="W599" s="34"/>
      <c r="X599" s="34"/>
      <c r="Y599" s="29"/>
      <c r="Z599" s="34"/>
      <c r="AA599" s="34"/>
      <c r="AB599" s="29"/>
      <c r="AC599" s="34"/>
      <c r="AD599" s="29"/>
      <c r="AE599" s="34"/>
      <c r="AF599" s="34"/>
    </row>
    <row x14ac:dyDescent="0.25" r="600" customHeight="1" ht="15.75">
      <c r="A600" s="502"/>
      <c r="B600" s="34"/>
      <c r="C600" s="34"/>
      <c r="D600" s="34"/>
      <c r="E600" s="34"/>
      <c r="F600" s="34"/>
      <c r="G600" s="34"/>
      <c r="H600" s="34"/>
      <c r="I600" s="29"/>
      <c r="J600" s="29"/>
      <c r="K600" s="29"/>
      <c r="L600" s="29"/>
      <c r="M600" s="34"/>
      <c r="N600" s="34"/>
      <c r="O600" s="29"/>
      <c r="P600" s="29"/>
      <c r="Q600" s="29"/>
      <c r="R600" s="34"/>
      <c r="S600" s="29"/>
      <c r="T600" s="29"/>
      <c r="U600" s="2"/>
      <c r="V600" s="34"/>
      <c r="W600" s="34"/>
      <c r="X600" s="34"/>
      <c r="Y600" s="29"/>
      <c r="Z600" s="34"/>
      <c r="AA600" s="34"/>
      <c r="AB600" s="29"/>
      <c r="AC600" s="34"/>
      <c r="AD600" s="29"/>
      <c r="AE600" s="34"/>
      <c r="AF600" s="34"/>
    </row>
    <row x14ac:dyDescent="0.25" r="601" customHeight="1" ht="15.75">
      <c r="A601" s="502"/>
      <c r="B601" s="34"/>
      <c r="C601" s="34"/>
      <c r="D601" s="34"/>
      <c r="E601" s="34"/>
      <c r="F601" s="34"/>
      <c r="G601" s="34"/>
      <c r="H601" s="34"/>
      <c r="I601" s="29"/>
      <c r="J601" s="29"/>
      <c r="K601" s="29"/>
      <c r="L601" s="29"/>
      <c r="M601" s="34"/>
      <c r="N601" s="34"/>
      <c r="O601" s="29"/>
      <c r="P601" s="29"/>
      <c r="Q601" s="29"/>
      <c r="R601" s="34"/>
      <c r="S601" s="29"/>
      <c r="T601" s="29"/>
      <c r="U601" s="2"/>
      <c r="V601" s="34"/>
      <c r="W601" s="34"/>
      <c r="X601" s="34"/>
      <c r="Y601" s="29"/>
      <c r="Z601" s="34"/>
      <c r="AA601" s="34"/>
      <c r="AB601" s="29"/>
      <c r="AC601" s="34"/>
      <c r="AD601" s="29"/>
      <c r="AE601" s="34"/>
      <c r="AF601" s="34"/>
    </row>
    <row x14ac:dyDescent="0.25" r="602" customHeight="1" ht="15.75">
      <c r="A602" s="502"/>
      <c r="B602" s="34"/>
      <c r="C602" s="34"/>
      <c r="D602" s="34"/>
      <c r="E602" s="34"/>
      <c r="F602" s="34"/>
      <c r="G602" s="34"/>
      <c r="H602" s="34"/>
      <c r="I602" s="29"/>
      <c r="J602" s="29"/>
      <c r="K602" s="29"/>
      <c r="L602" s="29"/>
      <c r="M602" s="34"/>
      <c r="N602" s="34"/>
      <c r="O602" s="29"/>
      <c r="P602" s="29"/>
      <c r="Q602" s="29"/>
      <c r="R602" s="34"/>
      <c r="S602" s="29"/>
      <c r="T602" s="29"/>
      <c r="U602" s="2"/>
      <c r="V602" s="34"/>
      <c r="W602" s="34"/>
      <c r="X602" s="34"/>
      <c r="Y602" s="29"/>
      <c r="Z602" s="34"/>
      <c r="AA602" s="34"/>
      <c r="AB602" s="29"/>
      <c r="AC602" s="34"/>
      <c r="AD602" s="29"/>
      <c r="AE602" s="34"/>
      <c r="AF602" s="34"/>
    </row>
    <row x14ac:dyDescent="0.25" r="603" customHeight="1" ht="15.75">
      <c r="A603" s="502"/>
      <c r="B603" s="34"/>
      <c r="C603" s="34"/>
      <c r="D603" s="34"/>
      <c r="E603" s="34"/>
      <c r="F603" s="34"/>
      <c r="G603" s="34"/>
      <c r="H603" s="34"/>
      <c r="I603" s="29"/>
      <c r="J603" s="29"/>
      <c r="K603" s="29"/>
      <c r="L603" s="29"/>
      <c r="M603" s="34"/>
      <c r="N603" s="34"/>
      <c r="O603" s="29"/>
      <c r="P603" s="29"/>
      <c r="Q603" s="29"/>
      <c r="R603" s="34"/>
      <c r="S603" s="29"/>
      <c r="T603" s="29"/>
      <c r="U603" s="2"/>
      <c r="V603" s="34"/>
      <c r="W603" s="34"/>
      <c r="X603" s="34"/>
      <c r="Y603" s="29"/>
      <c r="Z603" s="34"/>
      <c r="AA603" s="34"/>
      <c r="AB603" s="29"/>
      <c r="AC603" s="34"/>
      <c r="AD603" s="29"/>
      <c r="AE603" s="34"/>
      <c r="AF603" s="34"/>
    </row>
    <row x14ac:dyDescent="0.25" r="604" customHeight="1" ht="15.75">
      <c r="A604" s="502"/>
      <c r="B604" s="34"/>
      <c r="C604" s="34"/>
      <c r="D604" s="34"/>
      <c r="E604" s="34"/>
      <c r="F604" s="34"/>
      <c r="G604" s="34"/>
      <c r="H604" s="34"/>
      <c r="I604" s="29"/>
      <c r="J604" s="29"/>
      <c r="K604" s="29"/>
      <c r="L604" s="29"/>
      <c r="M604" s="34"/>
      <c r="N604" s="34"/>
      <c r="O604" s="29"/>
      <c r="P604" s="29"/>
      <c r="Q604" s="29"/>
      <c r="R604" s="34"/>
      <c r="S604" s="29"/>
      <c r="T604" s="29"/>
      <c r="U604" s="2"/>
      <c r="V604" s="34"/>
      <c r="W604" s="34"/>
      <c r="X604" s="34"/>
      <c r="Y604" s="29"/>
      <c r="Z604" s="34"/>
      <c r="AA604" s="34"/>
      <c r="AB604" s="29"/>
      <c r="AC604" s="34"/>
      <c r="AD604" s="29"/>
      <c r="AE604" s="34"/>
      <c r="AF604" s="34"/>
    </row>
    <row x14ac:dyDescent="0.25" r="605" customHeight="1" ht="15.75">
      <c r="A605" s="502"/>
      <c r="B605" s="34"/>
      <c r="C605" s="34"/>
      <c r="D605" s="34"/>
      <c r="E605" s="34"/>
      <c r="F605" s="34"/>
      <c r="G605" s="34"/>
      <c r="H605" s="34"/>
      <c r="I605" s="29"/>
      <c r="J605" s="29"/>
      <c r="K605" s="29"/>
      <c r="L605" s="29"/>
      <c r="M605" s="34"/>
      <c r="N605" s="34"/>
      <c r="O605" s="29"/>
      <c r="P605" s="29"/>
      <c r="Q605" s="29"/>
      <c r="R605" s="34"/>
      <c r="S605" s="29"/>
      <c r="T605" s="29"/>
      <c r="U605" s="2"/>
      <c r="V605" s="34"/>
      <c r="W605" s="34"/>
      <c r="X605" s="34"/>
      <c r="Y605" s="29"/>
      <c r="Z605" s="34"/>
      <c r="AA605" s="34"/>
      <c r="AB605" s="29"/>
      <c r="AC605" s="34"/>
      <c r="AD605" s="29"/>
      <c r="AE605" s="34"/>
      <c r="AF605" s="34"/>
    </row>
    <row x14ac:dyDescent="0.25" r="606" customHeight="1" ht="15.75">
      <c r="A606" s="502"/>
      <c r="B606" s="34"/>
      <c r="C606" s="34"/>
      <c r="D606" s="34"/>
      <c r="E606" s="34"/>
      <c r="F606" s="34"/>
      <c r="G606" s="34"/>
      <c r="H606" s="34"/>
      <c r="I606" s="29"/>
      <c r="J606" s="29"/>
      <c r="K606" s="29"/>
      <c r="L606" s="29"/>
      <c r="M606" s="34"/>
      <c r="N606" s="34"/>
      <c r="O606" s="29"/>
      <c r="P606" s="29"/>
      <c r="Q606" s="29"/>
      <c r="R606" s="34"/>
      <c r="S606" s="29"/>
      <c r="T606" s="29"/>
      <c r="U606" s="2"/>
      <c r="V606" s="34"/>
      <c r="W606" s="34"/>
      <c r="X606" s="34"/>
      <c r="Y606" s="29"/>
      <c r="Z606" s="34"/>
      <c r="AA606" s="34"/>
      <c r="AB606" s="29"/>
      <c r="AC606" s="34"/>
      <c r="AD606" s="29"/>
      <c r="AE606" s="34"/>
      <c r="AF606" s="34"/>
    </row>
    <row x14ac:dyDescent="0.25" r="607" customHeight="1" ht="15.75">
      <c r="A607" s="502"/>
      <c r="B607" s="34"/>
      <c r="C607" s="34"/>
      <c r="D607" s="34"/>
      <c r="E607" s="34"/>
      <c r="F607" s="34"/>
      <c r="G607" s="34"/>
      <c r="H607" s="34"/>
      <c r="I607" s="29"/>
      <c r="J607" s="29"/>
      <c r="K607" s="29"/>
      <c r="L607" s="29"/>
      <c r="M607" s="34"/>
      <c r="N607" s="34"/>
      <c r="O607" s="29"/>
      <c r="P607" s="29"/>
      <c r="Q607" s="29"/>
      <c r="R607" s="34"/>
      <c r="S607" s="29"/>
      <c r="T607" s="29"/>
      <c r="U607" s="2"/>
      <c r="V607" s="34"/>
      <c r="W607" s="34"/>
      <c r="X607" s="34"/>
      <c r="Y607" s="29"/>
      <c r="Z607" s="34"/>
      <c r="AA607" s="34"/>
      <c r="AB607" s="29"/>
      <c r="AC607" s="34"/>
      <c r="AD607" s="29"/>
      <c r="AE607" s="34"/>
      <c r="AF607" s="34"/>
    </row>
    <row x14ac:dyDescent="0.25" r="608" customHeight="1" ht="15.75">
      <c r="A608" s="502"/>
      <c r="B608" s="34"/>
      <c r="C608" s="34"/>
      <c r="D608" s="34"/>
      <c r="E608" s="34"/>
      <c r="F608" s="34"/>
      <c r="G608" s="34"/>
      <c r="H608" s="34"/>
      <c r="I608" s="29"/>
      <c r="J608" s="29"/>
      <c r="K608" s="29"/>
      <c r="L608" s="29"/>
      <c r="M608" s="34"/>
      <c r="N608" s="34"/>
      <c r="O608" s="29"/>
      <c r="P608" s="29"/>
      <c r="Q608" s="29"/>
      <c r="R608" s="34"/>
      <c r="S608" s="29"/>
      <c r="T608" s="29"/>
      <c r="U608" s="2"/>
      <c r="V608" s="34"/>
      <c r="W608" s="34"/>
      <c r="X608" s="34"/>
      <c r="Y608" s="29"/>
      <c r="Z608" s="34"/>
      <c r="AA608" s="34"/>
      <c r="AB608" s="29"/>
      <c r="AC608" s="34"/>
      <c r="AD608" s="29"/>
      <c r="AE608" s="34"/>
      <c r="AF608" s="34"/>
    </row>
    <row x14ac:dyDescent="0.25" r="609" customHeight="1" ht="15.75">
      <c r="A609" s="502"/>
      <c r="B609" s="34"/>
      <c r="C609" s="34"/>
      <c r="D609" s="34"/>
      <c r="E609" s="34"/>
      <c r="F609" s="34"/>
      <c r="G609" s="34"/>
      <c r="H609" s="34"/>
      <c r="I609" s="29"/>
      <c r="J609" s="29"/>
      <c r="K609" s="29"/>
      <c r="L609" s="29"/>
      <c r="M609" s="34"/>
      <c r="N609" s="34"/>
      <c r="O609" s="29"/>
      <c r="P609" s="29"/>
      <c r="Q609" s="29"/>
      <c r="R609" s="34"/>
      <c r="S609" s="29"/>
      <c r="T609" s="29"/>
      <c r="U609" s="2"/>
      <c r="V609" s="34"/>
      <c r="W609" s="34"/>
      <c r="X609" s="34"/>
      <c r="Y609" s="29"/>
      <c r="Z609" s="34"/>
      <c r="AA609" s="34"/>
      <c r="AB609" s="29"/>
      <c r="AC609" s="34"/>
      <c r="AD609" s="29"/>
      <c r="AE609" s="34"/>
      <c r="AF609" s="34"/>
    </row>
    <row x14ac:dyDescent="0.25" r="610" customHeight="1" ht="15.75">
      <c r="A610" s="502"/>
      <c r="B610" s="34"/>
      <c r="C610" s="34"/>
      <c r="D610" s="34"/>
      <c r="E610" s="34"/>
      <c r="F610" s="34"/>
      <c r="G610" s="34"/>
      <c r="H610" s="34"/>
      <c r="I610" s="29"/>
      <c r="J610" s="29"/>
      <c r="K610" s="29"/>
      <c r="L610" s="29"/>
      <c r="M610" s="34"/>
      <c r="N610" s="34"/>
      <c r="O610" s="29"/>
      <c r="P610" s="29"/>
      <c r="Q610" s="29"/>
      <c r="R610" s="34"/>
      <c r="S610" s="29"/>
      <c r="T610" s="29"/>
      <c r="U610" s="2"/>
      <c r="V610" s="34"/>
      <c r="W610" s="34"/>
      <c r="X610" s="34"/>
      <c r="Y610" s="29"/>
      <c r="Z610" s="34"/>
      <c r="AA610" s="34"/>
      <c r="AB610" s="29"/>
      <c r="AC610" s="34"/>
      <c r="AD610" s="29"/>
      <c r="AE610" s="34"/>
      <c r="AF610" s="34"/>
    </row>
    <row x14ac:dyDescent="0.25" r="611" customHeight="1" ht="15.75">
      <c r="A611" s="502"/>
      <c r="B611" s="34"/>
      <c r="C611" s="34"/>
      <c r="D611" s="34"/>
      <c r="E611" s="34"/>
      <c r="F611" s="34"/>
      <c r="G611" s="34"/>
      <c r="H611" s="34"/>
      <c r="I611" s="29"/>
      <c r="J611" s="29"/>
      <c r="K611" s="29"/>
      <c r="L611" s="29"/>
      <c r="M611" s="34"/>
      <c r="N611" s="34"/>
      <c r="O611" s="29"/>
      <c r="P611" s="29"/>
      <c r="Q611" s="29"/>
      <c r="R611" s="34"/>
      <c r="S611" s="29"/>
      <c r="T611" s="29"/>
      <c r="U611" s="2"/>
      <c r="V611" s="34"/>
      <c r="W611" s="34"/>
      <c r="X611" s="34"/>
      <c r="Y611" s="29"/>
      <c r="Z611" s="34"/>
      <c r="AA611" s="34"/>
      <c r="AB611" s="29"/>
      <c r="AC611" s="34"/>
      <c r="AD611" s="29"/>
      <c r="AE611" s="34"/>
      <c r="AF611" s="34"/>
    </row>
    <row x14ac:dyDescent="0.25" r="612" customHeight="1" ht="15.75">
      <c r="A612" s="502"/>
      <c r="B612" s="34"/>
      <c r="C612" s="34"/>
      <c r="D612" s="34"/>
      <c r="E612" s="34"/>
      <c r="F612" s="34"/>
      <c r="G612" s="34"/>
      <c r="H612" s="34"/>
      <c r="I612" s="29"/>
      <c r="J612" s="29"/>
      <c r="K612" s="29"/>
      <c r="L612" s="29"/>
      <c r="M612" s="34"/>
      <c r="N612" s="34"/>
      <c r="O612" s="29"/>
      <c r="P612" s="29"/>
      <c r="Q612" s="29"/>
      <c r="R612" s="34"/>
      <c r="S612" s="29"/>
      <c r="T612" s="29"/>
      <c r="U612" s="2"/>
      <c r="V612" s="34"/>
      <c r="W612" s="34"/>
      <c r="X612" s="34"/>
      <c r="Y612" s="29"/>
      <c r="Z612" s="34"/>
      <c r="AA612" s="34"/>
      <c r="AB612" s="29"/>
      <c r="AC612" s="34"/>
      <c r="AD612" s="29"/>
      <c r="AE612" s="34"/>
      <c r="AF612" s="34"/>
    </row>
    <row x14ac:dyDescent="0.25" r="613" customHeight="1" ht="15.75">
      <c r="A613" s="502"/>
      <c r="B613" s="34"/>
      <c r="C613" s="34"/>
      <c r="D613" s="34"/>
      <c r="E613" s="34"/>
      <c r="F613" s="34"/>
      <c r="G613" s="34"/>
      <c r="H613" s="34"/>
      <c r="I613" s="29"/>
      <c r="J613" s="29"/>
      <c r="K613" s="29"/>
      <c r="L613" s="29"/>
      <c r="M613" s="34"/>
      <c r="N613" s="34"/>
      <c r="O613" s="29"/>
      <c r="P613" s="29"/>
      <c r="Q613" s="29"/>
      <c r="R613" s="34"/>
      <c r="S613" s="29"/>
      <c r="T613" s="29"/>
      <c r="U613" s="2"/>
      <c r="V613" s="34"/>
      <c r="W613" s="34"/>
      <c r="X613" s="34"/>
      <c r="Y613" s="29"/>
      <c r="Z613" s="34"/>
      <c r="AA613" s="34"/>
      <c r="AB613" s="29"/>
      <c r="AC613" s="34"/>
      <c r="AD613" s="29"/>
      <c r="AE613" s="34"/>
      <c r="AF613" s="34"/>
    </row>
    <row x14ac:dyDescent="0.25" r="614" customHeight="1" ht="15.75">
      <c r="A614" s="502"/>
      <c r="B614" s="34"/>
      <c r="C614" s="34"/>
      <c r="D614" s="34"/>
      <c r="E614" s="34"/>
      <c r="F614" s="34"/>
      <c r="G614" s="34"/>
      <c r="H614" s="34"/>
      <c r="I614" s="29"/>
      <c r="J614" s="29"/>
      <c r="K614" s="29"/>
      <c r="L614" s="29"/>
      <c r="M614" s="34"/>
      <c r="N614" s="34"/>
      <c r="O614" s="29"/>
      <c r="P614" s="29"/>
      <c r="Q614" s="29"/>
      <c r="R614" s="34"/>
      <c r="S614" s="29"/>
      <c r="T614" s="29"/>
      <c r="U614" s="2"/>
      <c r="V614" s="34"/>
      <c r="W614" s="34"/>
      <c r="X614" s="34"/>
      <c r="Y614" s="29"/>
      <c r="Z614" s="34"/>
      <c r="AA614" s="34"/>
      <c r="AB614" s="29"/>
      <c r="AC614" s="34"/>
      <c r="AD614" s="29"/>
      <c r="AE614" s="34"/>
      <c r="AF614" s="34"/>
    </row>
    <row x14ac:dyDescent="0.25" r="615" customHeight="1" ht="15.75">
      <c r="A615" s="502"/>
      <c r="B615" s="34"/>
      <c r="C615" s="34"/>
      <c r="D615" s="34"/>
      <c r="E615" s="34"/>
      <c r="F615" s="34"/>
      <c r="G615" s="34"/>
      <c r="H615" s="34"/>
      <c r="I615" s="29"/>
      <c r="J615" s="29"/>
      <c r="K615" s="29"/>
      <c r="L615" s="29"/>
      <c r="M615" s="34"/>
      <c r="N615" s="34"/>
      <c r="O615" s="29"/>
      <c r="P615" s="29"/>
      <c r="Q615" s="29"/>
      <c r="R615" s="34"/>
      <c r="S615" s="29"/>
      <c r="T615" s="29"/>
      <c r="U615" s="2"/>
      <c r="V615" s="34"/>
      <c r="W615" s="34"/>
      <c r="X615" s="34"/>
      <c r="Y615" s="29"/>
      <c r="Z615" s="34"/>
      <c r="AA615" s="34"/>
      <c r="AB615" s="29"/>
      <c r="AC615" s="34"/>
      <c r="AD615" s="29"/>
      <c r="AE615" s="34"/>
      <c r="AF615" s="34"/>
    </row>
    <row x14ac:dyDescent="0.25" r="616" customHeight="1" ht="15.75">
      <c r="A616" s="502"/>
      <c r="B616" s="34"/>
      <c r="C616" s="34"/>
      <c r="D616" s="34"/>
      <c r="E616" s="34"/>
      <c r="F616" s="34"/>
      <c r="G616" s="34"/>
      <c r="H616" s="34"/>
      <c r="I616" s="29"/>
      <c r="J616" s="29"/>
      <c r="K616" s="29"/>
      <c r="L616" s="29"/>
      <c r="M616" s="34"/>
      <c r="N616" s="34"/>
      <c r="O616" s="29"/>
      <c r="P616" s="29"/>
      <c r="Q616" s="29"/>
      <c r="R616" s="34"/>
      <c r="S616" s="29"/>
      <c r="T616" s="29"/>
      <c r="U616" s="2"/>
      <c r="V616" s="34"/>
      <c r="W616" s="34"/>
      <c r="X616" s="34"/>
      <c r="Y616" s="29"/>
      <c r="Z616" s="34"/>
      <c r="AA616" s="34"/>
      <c r="AB616" s="29"/>
      <c r="AC616" s="34"/>
      <c r="AD616" s="29"/>
      <c r="AE616" s="34"/>
      <c r="AF616" s="34"/>
    </row>
    <row x14ac:dyDescent="0.25" r="617" customHeight="1" ht="15.75">
      <c r="A617" s="502"/>
      <c r="B617" s="34"/>
      <c r="C617" s="34"/>
      <c r="D617" s="34"/>
      <c r="E617" s="34"/>
      <c r="F617" s="34"/>
      <c r="G617" s="34"/>
      <c r="H617" s="34"/>
      <c r="I617" s="29"/>
      <c r="J617" s="29"/>
      <c r="K617" s="29"/>
      <c r="L617" s="29"/>
      <c r="M617" s="34"/>
      <c r="N617" s="34"/>
      <c r="O617" s="29"/>
      <c r="P617" s="29"/>
      <c r="Q617" s="29"/>
      <c r="R617" s="34"/>
      <c r="S617" s="29"/>
      <c r="T617" s="29"/>
      <c r="U617" s="2"/>
      <c r="V617" s="34"/>
      <c r="W617" s="34"/>
      <c r="X617" s="34"/>
      <c r="Y617" s="29"/>
      <c r="Z617" s="34"/>
      <c r="AA617" s="34"/>
      <c r="AB617" s="29"/>
      <c r="AC617" s="34"/>
      <c r="AD617" s="29"/>
      <c r="AE617" s="34"/>
      <c r="AF617" s="34"/>
    </row>
    <row x14ac:dyDescent="0.25" r="618" customHeight="1" ht="15.75">
      <c r="A618" s="502"/>
      <c r="B618" s="34"/>
      <c r="C618" s="34"/>
      <c r="D618" s="34"/>
      <c r="E618" s="34"/>
      <c r="F618" s="34"/>
      <c r="G618" s="34"/>
      <c r="H618" s="34"/>
      <c r="I618" s="29"/>
      <c r="J618" s="29"/>
      <c r="K618" s="29"/>
      <c r="L618" s="29"/>
      <c r="M618" s="34"/>
      <c r="N618" s="34"/>
      <c r="O618" s="29"/>
      <c r="P618" s="29"/>
      <c r="Q618" s="29"/>
      <c r="R618" s="34"/>
      <c r="S618" s="29"/>
      <c r="T618" s="29"/>
      <c r="U618" s="2"/>
      <c r="V618" s="34"/>
      <c r="W618" s="34"/>
      <c r="X618" s="34"/>
      <c r="Y618" s="29"/>
      <c r="Z618" s="34"/>
      <c r="AA618" s="34"/>
      <c r="AB618" s="29"/>
      <c r="AC618" s="34"/>
      <c r="AD618" s="29"/>
      <c r="AE618" s="34"/>
      <c r="AF618" s="34"/>
    </row>
    <row x14ac:dyDescent="0.25" r="619" customHeight="1" ht="15.75">
      <c r="A619" s="502"/>
      <c r="B619" s="34"/>
      <c r="C619" s="34"/>
      <c r="D619" s="34"/>
      <c r="E619" s="34"/>
      <c r="F619" s="34"/>
      <c r="G619" s="34"/>
      <c r="H619" s="34"/>
      <c r="I619" s="29"/>
      <c r="J619" s="29"/>
      <c r="K619" s="29"/>
      <c r="L619" s="29"/>
      <c r="M619" s="34"/>
      <c r="N619" s="34"/>
      <c r="O619" s="29"/>
      <c r="P619" s="29"/>
      <c r="Q619" s="29"/>
      <c r="R619" s="34"/>
      <c r="S619" s="29"/>
      <c r="T619" s="29"/>
      <c r="U619" s="2"/>
      <c r="V619" s="34"/>
      <c r="W619" s="34"/>
      <c r="X619" s="34"/>
      <c r="Y619" s="29"/>
      <c r="Z619" s="34"/>
      <c r="AA619" s="34"/>
      <c r="AB619" s="29"/>
      <c r="AC619" s="34"/>
      <c r="AD619" s="29"/>
      <c r="AE619" s="34"/>
      <c r="AF619" s="34"/>
    </row>
    <row x14ac:dyDescent="0.25" r="620" customHeight="1" ht="15.75">
      <c r="A620" s="502"/>
      <c r="B620" s="34"/>
      <c r="C620" s="34"/>
      <c r="D620" s="34"/>
      <c r="E620" s="34"/>
      <c r="F620" s="34"/>
      <c r="G620" s="34"/>
      <c r="H620" s="34"/>
      <c r="I620" s="29"/>
      <c r="J620" s="29"/>
      <c r="K620" s="29"/>
      <c r="L620" s="29"/>
      <c r="M620" s="34"/>
      <c r="N620" s="34"/>
      <c r="O620" s="29"/>
      <c r="P620" s="29"/>
      <c r="Q620" s="29"/>
      <c r="R620" s="34"/>
      <c r="S620" s="29"/>
      <c r="T620" s="29"/>
      <c r="U620" s="2"/>
      <c r="V620" s="34"/>
      <c r="W620" s="34"/>
      <c r="X620" s="34"/>
      <c r="Y620" s="29"/>
      <c r="Z620" s="34"/>
      <c r="AA620" s="34"/>
      <c r="AB620" s="29"/>
      <c r="AC620" s="34"/>
      <c r="AD620" s="29"/>
      <c r="AE620" s="34"/>
      <c r="AF620" s="34"/>
    </row>
    <row x14ac:dyDescent="0.25" r="621" customHeight="1" ht="15.75">
      <c r="A621" s="502"/>
      <c r="B621" s="34"/>
      <c r="C621" s="34"/>
      <c r="D621" s="34"/>
      <c r="E621" s="34"/>
      <c r="F621" s="34"/>
      <c r="G621" s="34"/>
      <c r="H621" s="34"/>
      <c r="I621" s="29"/>
      <c r="J621" s="29"/>
      <c r="K621" s="29"/>
      <c r="L621" s="29"/>
      <c r="M621" s="34"/>
      <c r="N621" s="34"/>
      <c r="O621" s="29"/>
      <c r="P621" s="29"/>
      <c r="Q621" s="29"/>
      <c r="R621" s="34"/>
      <c r="S621" s="29"/>
      <c r="T621" s="29"/>
      <c r="U621" s="2"/>
      <c r="V621" s="34"/>
      <c r="W621" s="34"/>
      <c r="X621" s="34"/>
      <c r="Y621" s="29"/>
      <c r="Z621" s="34"/>
      <c r="AA621" s="34"/>
      <c r="AB621" s="29"/>
      <c r="AC621" s="34"/>
      <c r="AD621" s="29"/>
      <c r="AE621" s="34"/>
      <c r="AF621" s="34"/>
    </row>
    <row x14ac:dyDescent="0.25" r="622" customHeight="1" ht="15.75">
      <c r="A622" s="502"/>
      <c r="B622" s="34"/>
      <c r="C622" s="34"/>
      <c r="D622" s="34"/>
      <c r="E622" s="34"/>
      <c r="F622" s="34"/>
      <c r="G622" s="34"/>
      <c r="H622" s="34"/>
      <c r="I622" s="29"/>
      <c r="J622" s="29"/>
      <c r="K622" s="29"/>
      <c r="L622" s="29"/>
      <c r="M622" s="34"/>
      <c r="N622" s="34"/>
      <c r="O622" s="29"/>
      <c r="P622" s="29"/>
      <c r="Q622" s="29"/>
      <c r="R622" s="34"/>
      <c r="S622" s="29"/>
      <c r="T622" s="29"/>
      <c r="U622" s="2"/>
      <c r="V622" s="34"/>
      <c r="W622" s="34"/>
      <c r="X622" s="34"/>
      <c r="Y622" s="29"/>
      <c r="Z622" s="34"/>
      <c r="AA622" s="34"/>
      <c r="AB622" s="29"/>
      <c r="AC622" s="34"/>
      <c r="AD622" s="29"/>
      <c r="AE622" s="34"/>
      <c r="AF622" s="34"/>
    </row>
    <row x14ac:dyDescent="0.25" r="623" customHeight="1" ht="15.75">
      <c r="A623" s="502"/>
      <c r="B623" s="34"/>
      <c r="C623" s="34"/>
      <c r="D623" s="34"/>
      <c r="E623" s="34"/>
      <c r="F623" s="34"/>
      <c r="G623" s="34"/>
      <c r="H623" s="34"/>
      <c r="I623" s="29"/>
      <c r="J623" s="29"/>
      <c r="K623" s="29"/>
      <c r="L623" s="29"/>
      <c r="M623" s="34"/>
      <c r="N623" s="34"/>
      <c r="O623" s="29"/>
      <c r="P623" s="29"/>
      <c r="Q623" s="29"/>
      <c r="R623" s="34"/>
      <c r="S623" s="29"/>
      <c r="T623" s="29"/>
      <c r="U623" s="2"/>
      <c r="V623" s="34"/>
      <c r="W623" s="34"/>
      <c r="X623" s="34"/>
      <c r="Y623" s="29"/>
      <c r="Z623" s="34"/>
      <c r="AA623" s="34"/>
      <c r="AB623" s="29"/>
      <c r="AC623" s="34"/>
      <c r="AD623" s="29"/>
      <c r="AE623" s="34"/>
      <c r="AF623" s="34"/>
    </row>
    <row x14ac:dyDescent="0.25" r="624" customHeight="1" ht="15.75">
      <c r="A624" s="502"/>
      <c r="B624" s="34"/>
      <c r="C624" s="34"/>
      <c r="D624" s="34"/>
      <c r="E624" s="34"/>
      <c r="F624" s="34"/>
      <c r="G624" s="34"/>
      <c r="H624" s="34"/>
      <c r="I624" s="29"/>
      <c r="J624" s="29"/>
      <c r="K624" s="29"/>
      <c r="L624" s="29"/>
      <c r="M624" s="34"/>
      <c r="N624" s="34"/>
      <c r="O624" s="29"/>
      <c r="P624" s="29"/>
      <c r="Q624" s="29"/>
      <c r="R624" s="34"/>
      <c r="S624" s="29"/>
      <c r="T624" s="29"/>
      <c r="U624" s="2"/>
      <c r="V624" s="34"/>
      <c r="W624" s="34"/>
      <c r="X624" s="34"/>
      <c r="Y624" s="29"/>
      <c r="Z624" s="34"/>
      <c r="AA624" s="34"/>
      <c r="AB624" s="29"/>
      <c r="AC624" s="34"/>
      <c r="AD624" s="29"/>
      <c r="AE624" s="34"/>
      <c r="AF624" s="34"/>
    </row>
    <row x14ac:dyDescent="0.25" r="625" customHeight="1" ht="15.75">
      <c r="A625" s="502"/>
      <c r="B625" s="34"/>
      <c r="C625" s="34"/>
      <c r="D625" s="34"/>
      <c r="E625" s="34"/>
      <c r="F625" s="34"/>
      <c r="G625" s="34"/>
      <c r="H625" s="34"/>
      <c r="I625" s="29"/>
      <c r="J625" s="29"/>
      <c r="K625" s="29"/>
      <c r="L625" s="29"/>
      <c r="M625" s="34"/>
      <c r="N625" s="34"/>
      <c r="O625" s="29"/>
      <c r="P625" s="29"/>
      <c r="Q625" s="29"/>
      <c r="R625" s="34"/>
      <c r="S625" s="29"/>
      <c r="T625" s="29"/>
      <c r="U625" s="2"/>
      <c r="V625" s="34"/>
      <c r="W625" s="34"/>
      <c r="X625" s="34"/>
      <c r="Y625" s="29"/>
      <c r="Z625" s="34"/>
      <c r="AA625" s="34"/>
      <c r="AB625" s="29"/>
      <c r="AC625" s="34"/>
      <c r="AD625" s="29"/>
      <c r="AE625" s="34"/>
      <c r="AF625" s="34"/>
    </row>
    <row x14ac:dyDescent="0.25" r="626" customHeight="1" ht="15.75">
      <c r="A626" s="502"/>
      <c r="B626" s="34"/>
      <c r="C626" s="34"/>
      <c r="D626" s="34"/>
      <c r="E626" s="34"/>
      <c r="F626" s="34"/>
      <c r="G626" s="34"/>
      <c r="H626" s="34"/>
      <c r="I626" s="29"/>
      <c r="J626" s="29"/>
      <c r="K626" s="29"/>
      <c r="L626" s="29"/>
      <c r="M626" s="34"/>
      <c r="N626" s="34"/>
      <c r="O626" s="29"/>
      <c r="P626" s="29"/>
      <c r="Q626" s="29"/>
      <c r="R626" s="34"/>
      <c r="S626" s="29"/>
      <c r="T626" s="29"/>
      <c r="U626" s="2"/>
      <c r="V626" s="34"/>
      <c r="W626" s="34"/>
      <c r="X626" s="34"/>
      <c r="Y626" s="29"/>
      <c r="Z626" s="34"/>
      <c r="AA626" s="34"/>
      <c r="AB626" s="29"/>
      <c r="AC626" s="34"/>
      <c r="AD626" s="29"/>
      <c r="AE626" s="34"/>
      <c r="AF626" s="34"/>
    </row>
    <row x14ac:dyDescent="0.25" r="627" customHeight="1" ht="15.75">
      <c r="A627" s="502"/>
      <c r="B627" s="34"/>
      <c r="C627" s="34"/>
      <c r="D627" s="34"/>
      <c r="E627" s="34"/>
      <c r="F627" s="34"/>
      <c r="G627" s="34"/>
      <c r="H627" s="34"/>
      <c r="I627" s="29"/>
      <c r="J627" s="29"/>
      <c r="K627" s="29"/>
      <c r="L627" s="29"/>
      <c r="M627" s="34"/>
      <c r="N627" s="34"/>
      <c r="O627" s="29"/>
      <c r="P627" s="29"/>
      <c r="Q627" s="29"/>
      <c r="R627" s="34"/>
      <c r="S627" s="29"/>
      <c r="T627" s="29"/>
      <c r="U627" s="2"/>
      <c r="V627" s="34"/>
      <c r="W627" s="34"/>
      <c r="X627" s="34"/>
      <c r="Y627" s="29"/>
      <c r="Z627" s="34"/>
      <c r="AA627" s="34"/>
      <c r="AB627" s="29"/>
      <c r="AC627" s="34"/>
      <c r="AD627" s="29"/>
      <c r="AE627" s="34"/>
      <c r="AF627" s="34"/>
    </row>
    <row x14ac:dyDescent="0.25" r="628" customHeight="1" ht="15.75">
      <c r="A628" s="502"/>
      <c r="B628" s="34"/>
      <c r="C628" s="34"/>
      <c r="D628" s="34"/>
      <c r="E628" s="34"/>
      <c r="F628" s="34"/>
      <c r="G628" s="34"/>
      <c r="H628" s="34"/>
      <c r="I628" s="29"/>
      <c r="J628" s="29"/>
      <c r="K628" s="29"/>
      <c r="L628" s="29"/>
      <c r="M628" s="34"/>
      <c r="N628" s="34"/>
      <c r="O628" s="29"/>
      <c r="P628" s="29"/>
      <c r="Q628" s="29"/>
      <c r="R628" s="34"/>
      <c r="S628" s="29"/>
      <c r="T628" s="29"/>
      <c r="U628" s="2"/>
      <c r="V628" s="34"/>
      <c r="W628" s="34"/>
      <c r="X628" s="34"/>
      <c r="Y628" s="29"/>
      <c r="Z628" s="34"/>
      <c r="AA628" s="34"/>
      <c r="AB628" s="29"/>
      <c r="AC628" s="34"/>
      <c r="AD628" s="29"/>
      <c r="AE628" s="34"/>
      <c r="AF628" s="34"/>
    </row>
    <row x14ac:dyDescent="0.25" r="629" customHeight="1" ht="15.75">
      <c r="A629" s="502"/>
      <c r="B629" s="34"/>
      <c r="C629" s="34"/>
      <c r="D629" s="34"/>
      <c r="E629" s="34"/>
      <c r="F629" s="34"/>
      <c r="G629" s="34"/>
      <c r="H629" s="34"/>
      <c r="I629" s="29"/>
      <c r="J629" s="29"/>
      <c r="K629" s="29"/>
      <c r="L629" s="29"/>
      <c r="M629" s="34"/>
      <c r="N629" s="34"/>
      <c r="O629" s="29"/>
      <c r="P629" s="29"/>
      <c r="Q629" s="29"/>
      <c r="R629" s="34"/>
      <c r="S629" s="29"/>
      <c r="T629" s="29"/>
      <c r="U629" s="2"/>
      <c r="V629" s="34"/>
      <c r="W629" s="34"/>
      <c r="X629" s="34"/>
      <c r="Y629" s="29"/>
      <c r="Z629" s="34"/>
      <c r="AA629" s="34"/>
      <c r="AB629" s="29"/>
      <c r="AC629" s="34"/>
      <c r="AD629" s="29"/>
      <c r="AE629" s="34"/>
      <c r="AF629" s="34"/>
    </row>
    <row x14ac:dyDescent="0.25" r="630" customHeight="1" ht="15.75">
      <c r="A630" s="502"/>
      <c r="B630" s="34"/>
      <c r="C630" s="34"/>
      <c r="D630" s="34"/>
      <c r="E630" s="34"/>
      <c r="F630" s="34"/>
      <c r="G630" s="34"/>
      <c r="H630" s="34"/>
      <c r="I630" s="29"/>
      <c r="J630" s="29"/>
      <c r="K630" s="29"/>
      <c r="L630" s="29"/>
      <c r="M630" s="34"/>
      <c r="N630" s="34"/>
      <c r="O630" s="29"/>
      <c r="P630" s="29"/>
      <c r="Q630" s="29"/>
      <c r="R630" s="34"/>
      <c r="S630" s="29"/>
      <c r="T630" s="29"/>
      <c r="U630" s="2"/>
      <c r="V630" s="34"/>
      <c r="W630" s="34"/>
      <c r="X630" s="34"/>
      <c r="Y630" s="29"/>
      <c r="Z630" s="34"/>
      <c r="AA630" s="34"/>
      <c r="AB630" s="29"/>
      <c r="AC630" s="34"/>
      <c r="AD630" s="29"/>
      <c r="AE630" s="34"/>
      <c r="AF630" s="34"/>
    </row>
    <row x14ac:dyDescent="0.25" r="631" customHeight="1" ht="15.75">
      <c r="A631" s="502"/>
      <c r="B631" s="34"/>
      <c r="C631" s="34"/>
      <c r="D631" s="34"/>
      <c r="E631" s="34"/>
      <c r="F631" s="34"/>
      <c r="G631" s="34"/>
      <c r="H631" s="34"/>
      <c r="I631" s="29"/>
      <c r="J631" s="29"/>
      <c r="K631" s="29"/>
      <c r="L631" s="29"/>
      <c r="M631" s="34"/>
      <c r="N631" s="34"/>
      <c r="O631" s="29"/>
      <c r="P631" s="29"/>
      <c r="Q631" s="29"/>
      <c r="R631" s="34"/>
      <c r="S631" s="29"/>
      <c r="T631" s="29"/>
      <c r="U631" s="2"/>
      <c r="V631" s="34"/>
      <c r="W631" s="34"/>
      <c r="X631" s="34"/>
      <c r="Y631" s="29"/>
      <c r="Z631" s="34"/>
      <c r="AA631" s="34"/>
      <c r="AB631" s="29"/>
      <c r="AC631" s="34"/>
      <c r="AD631" s="29"/>
      <c r="AE631" s="34"/>
      <c r="AF631" s="34"/>
    </row>
    <row x14ac:dyDescent="0.25" r="632" customHeight="1" ht="15.75">
      <c r="A632" s="502"/>
      <c r="B632" s="34"/>
      <c r="C632" s="34"/>
      <c r="D632" s="34"/>
      <c r="E632" s="34"/>
      <c r="F632" s="34"/>
      <c r="G632" s="34"/>
      <c r="H632" s="34"/>
      <c r="I632" s="29"/>
      <c r="J632" s="29"/>
      <c r="K632" s="29"/>
      <c r="L632" s="29"/>
      <c r="M632" s="34"/>
      <c r="N632" s="34"/>
      <c r="O632" s="29"/>
      <c r="P632" s="29"/>
      <c r="Q632" s="29"/>
      <c r="R632" s="34"/>
      <c r="S632" s="29"/>
      <c r="T632" s="29"/>
      <c r="U632" s="2"/>
      <c r="V632" s="34"/>
      <c r="W632" s="34"/>
      <c r="X632" s="34"/>
      <c r="Y632" s="29"/>
      <c r="Z632" s="34"/>
      <c r="AA632" s="34"/>
      <c r="AB632" s="29"/>
      <c r="AC632" s="34"/>
      <c r="AD632" s="29"/>
      <c r="AE632" s="34"/>
      <c r="AF632" s="34"/>
    </row>
    <row x14ac:dyDescent="0.25" r="633" customHeight="1" ht="15.75">
      <c r="A633" s="502"/>
      <c r="B633" s="34"/>
      <c r="C633" s="34"/>
      <c r="D633" s="34"/>
      <c r="E633" s="34"/>
      <c r="F633" s="34"/>
      <c r="G633" s="34"/>
      <c r="H633" s="34"/>
      <c r="I633" s="29"/>
      <c r="J633" s="29"/>
      <c r="K633" s="29"/>
      <c r="L633" s="29"/>
      <c r="M633" s="34"/>
      <c r="N633" s="34"/>
      <c r="O633" s="29"/>
      <c r="P633" s="29"/>
      <c r="Q633" s="29"/>
      <c r="R633" s="34"/>
      <c r="S633" s="29"/>
      <c r="T633" s="29"/>
      <c r="U633" s="2"/>
      <c r="V633" s="34"/>
      <c r="W633" s="34"/>
      <c r="X633" s="34"/>
      <c r="Y633" s="29"/>
      <c r="Z633" s="34"/>
      <c r="AA633" s="34"/>
      <c r="AB633" s="29"/>
      <c r="AC633" s="34"/>
      <c r="AD633" s="29"/>
      <c r="AE633" s="34"/>
      <c r="AF633" s="34"/>
    </row>
    <row x14ac:dyDescent="0.25" r="634" customHeight="1" ht="15.75">
      <c r="A634" s="502"/>
      <c r="B634" s="34"/>
      <c r="C634" s="34"/>
      <c r="D634" s="34"/>
      <c r="E634" s="34"/>
      <c r="F634" s="34"/>
      <c r="G634" s="34"/>
      <c r="H634" s="34"/>
      <c r="I634" s="29"/>
      <c r="J634" s="29"/>
      <c r="K634" s="29"/>
      <c r="L634" s="29"/>
      <c r="M634" s="34"/>
      <c r="N634" s="34"/>
      <c r="O634" s="29"/>
      <c r="P634" s="29"/>
      <c r="Q634" s="29"/>
      <c r="R634" s="34"/>
      <c r="S634" s="29"/>
      <c r="T634" s="29"/>
      <c r="U634" s="2"/>
      <c r="V634" s="34"/>
      <c r="W634" s="34"/>
      <c r="X634" s="34"/>
      <c r="Y634" s="29"/>
      <c r="Z634" s="34"/>
      <c r="AA634" s="34"/>
      <c r="AB634" s="29"/>
      <c r="AC634" s="34"/>
      <c r="AD634" s="29"/>
      <c r="AE634" s="34"/>
      <c r="AF634" s="34"/>
    </row>
    <row x14ac:dyDescent="0.25" r="635" customHeight="1" ht="15.75">
      <c r="A635" s="502"/>
      <c r="B635" s="34"/>
      <c r="C635" s="34"/>
      <c r="D635" s="34"/>
      <c r="E635" s="34"/>
      <c r="F635" s="34"/>
      <c r="G635" s="34"/>
      <c r="H635" s="34"/>
      <c r="I635" s="29"/>
      <c r="J635" s="29"/>
      <c r="K635" s="29"/>
      <c r="L635" s="29"/>
      <c r="M635" s="34"/>
      <c r="N635" s="34"/>
      <c r="O635" s="29"/>
      <c r="P635" s="29"/>
      <c r="Q635" s="29"/>
      <c r="R635" s="34"/>
      <c r="S635" s="29"/>
      <c r="T635" s="29"/>
      <c r="U635" s="2"/>
      <c r="V635" s="34"/>
      <c r="W635" s="34"/>
      <c r="X635" s="34"/>
      <c r="Y635" s="29"/>
      <c r="Z635" s="34"/>
      <c r="AA635" s="34"/>
      <c r="AB635" s="29"/>
      <c r="AC635" s="34"/>
      <c r="AD635" s="29"/>
      <c r="AE635" s="34"/>
      <c r="AF635" s="34"/>
    </row>
    <row x14ac:dyDescent="0.25" r="636" customHeight="1" ht="15.75">
      <c r="A636" s="502"/>
      <c r="B636" s="34"/>
      <c r="C636" s="34"/>
      <c r="D636" s="34"/>
      <c r="E636" s="34"/>
      <c r="F636" s="34"/>
      <c r="G636" s="34"/>
      <c r="H636" s="34"/>
      <c r="I636" s="29"/>
      <c r="J636" s="29"/>
      <c r="K636" s="29"/>
      <c r="L636" s="29"/>
      <c r="M636" s="34"/>
      <c r="N636" s="34"/>
      <c r="O636" s="29"/>
      <c r="P636" s="29"/>
      <c r="Q636" s="29"/>
      <c r="R636" s="34"/>
      <c r="S636" s="29"/>
      <c r="T636" s="29"/>
      <c r="U636" s="2"/>
      <c r="V636" s="34"/>
      <c r="W636" s="34"/>
      <c r="X636" s="34"/>
      <c r="Y636" s="29"/>
      <c r="Z636" s="34"/>
      <c r="AA636" s="34"/>
      <c r="AB636" s="29"/>
      <c r="AC636" s="34"/>
      <c r="AD636" s="29"/>
      <c r="AE636" s="34"/>
      <c r="AF636" s="34"/>
    </row>
    <row x14ac:dyDescent="0.25" r="637" customHeight="1" ht="15.75">
      <c r="A637" s="502"/>
      <c r="B637" s="34"/>
      <c r="C637" s="34"/>
      <c r="D637" s="34"/>
      <c r="E637" s="34"/>
      <c r="F637" s="34"/>
      <c r="G637" s="34"/>
      <c r="H637" s="34"/>
      <c r="I637" s="29"/>
      <c r="J637" s="29"/>
      <c r="K637" s="29"/>
      <c r="L637" s="29"/>
      <c r="M637" s="34"/>
      <c r="N637" s="34"/>
      <c r="O637" s="29"/>
      <c r="P637" s="29"/>
      <c r="Q637" s="29"/>
      <c r="R637" s="34"/>
      <c r="S637" s="29"/>
      <c r="T637" s="29"/>
      <c r="U637" s="2"/>
      <c r="V637" s="34"/>
      <c r="W637" s="34"/>
      <c r="X637" s="34"/>
      <c r="Y637" s="29"/>
      <c r="Z637" s="34"/>
      <c r="AA637" s="34"/>
      <c r="AB637" s="29"/>
      <c r="AC637" s="34"/>
      <c r="AD637" s="29"/>
      <c r="AE637" s="34"/>
      <c r="AF637" s="34"/>
    </row>
    <row x14ac:dyDescent="0.25" r="638" customHeight="1" ht="15.75">
      <c r="A638" s="502"/>
      <c r="B638" s="34"/>
      <c r="C638" s="34"/>
      <c r="D638" s="34"/>
      <c r="E638" s="34"/>
      <c r="F638" s="34"/>
      <c r="G638" s="34"/>
      <c r="H638" s="34"/>
      <c r="I638" s="29"/>
      <c r="J638" s="29"/>
      <c r="K638" s="29"/>
      <c r="L638" s="29"/>
      <c r="M638" s="34"/>
      <c r="N638" s="34"/>
      <c r="O638" s="29"/>
      <c r="P638" s="29"/>
      <c r="Q638" s="29"/>
      <c r="R638" s="34"/>
      <c r="S638" s="29"/>
      <c r="T638" s="29"/>
      <c r="U638" s="2"/>
      <c r="V638" s="34"/>
      <c r="W638" s="34"/>
      <c r="X638" s="34"/>
      <c r="Y638" s="29"/>
      <c r="Z638" s="34"/>
      <c r="AA638" s="34"/>
      <c r="AB638" s="29"/>
      <c r="AC638" s="34"/>
      <c r="AD638" s="29"/>
      <c r="AE638" s="34"/>
      <c r="AF638" s="34"/>
    </row>
    <row x14ac:dyDescent="0.25" r="639" customHeight="1" ht="15.75">
      <c r="A639" s="502"/>
      <c r="B639" s="34"/>
      <c r="C639" s="34"/>
      <c r="D639" s="34"/>
      <c r="E639" s="34"/>
      <c r="F639" s="34"/>
      <c r="G639" s="34"/>
      <c r="H639" s="34"/>
      <c r="I639" s="29"/>
      <c r="J639" s="29"/>
      <c r="K639" s="29"/>
      <c r="L639" s="29"/>
      <c r="M639" s="34"/>
      <c r="N639" s="34"/>
      <c r="O639" s="29"/>
      <c r="P639" s="29"/>
      <c r="Q639" s="29"/>
      <c r="R639" s="34"/>
      <c r="S639" s="29"/>
      <c r="T639" s="29"/>
      <c r="U639" s="2"/>
      <c r="V639" s="34"/>
      <c r="W639" s="34"/>
      <c r="X639" s="34"/>
      <c r="Y639" s="29"/>
      <c r="Z639" s="34"/>
      <c r="AA639" s="34"/>
      <c r="AB639" s="29"/>
      <c r="AC639" s="34"/>
      <c r="AD639" s="29"/>
      <c r="AE639" s="34"/>
      <c r="AF639" s="34"/>
    </row>
    <row x14ac:dyDescent="0.25" r="640" customHeight="1" ht="15.75">
      <c r="A640" s="502"/>
      <c r="B640" s="34"/>
      <c r="C640" s="34"/>
      <c r="D640" s="34"/>
      <c r="E640" s="34"/>
      <c r="F640" s="34"/>
      <c r="G640" s="34"/>
      <c r="H640" s="34"/>
      <c r="I640" s="29"/>
      <c r="J640" s="29"/>
      <c r="K640" s="29"/>
      <c r="L640" s="29"/>
      <c r="M640" s="34"/>
      <c r="N640" s="34"/>
      <c r="O640" s="29"/>
      <c r="P640" s="29"/>
      <c r="Q640" s="29"/>
      <c r="R640" s="34"/>
      <c r="S640" s="29"/>
      <c r="T640" s="29"/>
      <c r="U640" s="2"/>
      <c r="V640" s="34"/>
      <c r="W640" s="34"/>
      <c r="X640" s="34"/>
      <c r="Y640" s="29"/>
      <c r="Z640" s="34"/>
      <c r="AA640" s="34"/>
      <c r="AB640" s="29"/>
      <c r="AC640" s="34"/>
      <c r="AD640" s="29"/>
      <c r="AE640" s="34"/>
      <c r="AF640" s="34"/>
    </row>
    <row x14ac:dyDescent="0.25" r="641" customHeight="1" ht="15.75">
      <c r="A641" s="502"/>
      <c r="B641" s="34"/>
      <c r="C641" s="34"/>
      <c r="D641" s="34"/>
      <c r="E641" s="34"/>
      <c r="F641" s="34"/>
      <c r="G641" s="34"/>
      <c r="H641" s="34"/>
      <c r="I641" s="29"/>
      <c r="J641" s="29"/>
      <c r="K641" s="29"/>
      <c r="L641" s="29"/>
      <c r="M641" s="34"/>
      <c r="N641" s="34"/>
      <c r="O641" s="29"/>
      <c r="P641" s="29"/>
      <c r="Q641" s="29"/>
      <c r="R641" s="34"/>
      <c r="S641" s="29"/>
      <c r="T641" s="29"/>
      <c r="U641" s="2"/>
      <c r="V641" s="34"/>
      <c r="W641" s="34"/>
      <c r="X641" s="34"/>
      <c r="Y641" s="29"/>
      <c r="Z641" s="34"/>
      <c r="AA641" s="34"/>
      <c r="AB641" s="29"/>
      <c r="AC641" s="34"/>
      <c r="AD641" s="29"/>
      <c r="AE641" s="34"/>
      <c r="AF641" s="34"/>
    </row>
    <row x14ac:dyDescent="0.25" r="642" customHeight="1" ht="15.75">
      <c r="A642" s="502"/>
      <c r="B642" s="34"/>
      <c r="C642" s="34"/>
      <c r="D642" s="34"/>
      <c r="E642" s="34"/>
      <c r="F642" s="34"/>
      <c r="G642" s="34"/>
      <c r="H642" s="34"/>
      <c r="I642" s="29"/>
      <c r="J642" s="29"/>
      <c r="K642" s="29"/>
      <c r="L642" s="29"/>
      <c r="M642" s="34"/>
      <c r="N642" s="34"/>
      <c r="O642" s="29"/>
      <c r="P642" s="29"/>
      <c r="Q642" s="29"/>
      <c r="R642" s="34"/>
      <c r="S642" s="29"/>
      <c r="T642" s="29"/>
      <c r="U642" s="2"/>
      <c r="V642" s="34"/>
      <c r="W642" s="34"/>
      <c r="X642" s="34"/>
      <c r="Y642" s="29"/>
      <c r="Z642" s="34"/>
      <c r="AA642" s="34"/>
      <c r="AB642" s="29"/>
      <c r="AC642" s="34"/>
      <c r="AD642" s="29"/>
      <c r="AE642" s="34"/>
      <c r="AF642" s="34"/>
    </row>
    <row x14ac:dyDescent="0.25" r="643" customHeight="1" ht="15.75">
      <c r="A643" s="502"/>
      <c r="B643" s="34"/>
      <c r="C643" s="34"/>
      <c r="D643" s="34"/>
      <c r="E643" s="34"/>
      <c r="F643" s="34"/>
      <c r="G643" s="34"/>
      <c r="H643" s="34"/>
      <c r="I643" s="29"/>
      <c r="J643" s="29"/>
      <c r="K643" s="29"/>
      <c r="L643" s="29"/>
      <c r="M643" s="34"/>
      <c r="N643" s="34"/>
      <c r="O643" s="29"/>
      <c r="P643" s="29"/>
      <c r="Q643" s="29"/>
      <c r="R643" s="34"/>
      <c r="S643" s="29"/>
      <c r="T643" s="29"/>
      <c r="U643" s="2"/>
      <c r="V643" s="34"/>
      <c r="W643" s="34"/>
      <c r="X643" s="34"/>
      <c r="Y643" s="29"/>
      <c r="Z643" s="34"/>
      <c r="AA643" s="34"/>
      <c r="AB643" s="29"/>
      <c r="AC643" s="34"/>
      <c r="AD643" s="29"/>
      <c r="AE643" s="34"/>
      <c r="AF643" s="34"/>
    </row>
    <row x14ac:dyDescent="0.25" r="644" customHeight="1" ht="15.75">
      <c r="A644" s="502"/>
      <c r="B644" s="34"/>
      <c r="C644" s="34"/>
      <c r="D644" s="34"/>
      <c r="E644" s="34"/>
      <c r="F644" s="34"/>
      <c r="G644" s="34"/>
      <c r="H644" s="34"/>
      <c r="I644" s="29"/>
      <c r="J644" s="29"/>
      <c r="K644" s="29"/>
      <c r="L644" s="29"/>
      <c r="M644" s="34"/>
      <c r="N644" s="34"/>
      <c r="O644" s="29"/>
      <c r="P644" s="29"/>
      <c r="Q644" s="29"/>
      <c r="R644" s="34"/>
      <c r="S644" s="29"/>
      <c r="T644" s="29"/>
      <c r="U644" s="2"/>
      <c r="V644" s="34"/>
      <c r="W644" s="34"/>
      <c r="X644" s="34"/>
      <c r="Y644" s="29"/>
      <c r="Z644" s="34"/>
      <c r="AA644" s="34"/>
      <c r="AB644" s="29"/>
      <c r="AC644" s="34"/>
      <c r="AD644" s="29"/>
      <c r="AE644" s="34"/>
      <c r="AF644" s="34"/>
    </row>
    <row x14ac:dyDescent="0.25" r="645" customHeight="1" ht="15.75">
      <c r="A645" s="502"/>
      <c r="B645" s="34"/>
      <c r="C645" s="34"/>
      <c r="D645" s="34"/>
      <c r="E645" s="34"/>
      <c r="F645" s="34"/>
      <c r="G645" s="34"/>
      <c r="H645" s="34"/>
      <c r="I645" s="29"/>
      <c r="J645" s="29"/>
      <c r="K645" s="29"/>
      <c r="L645" s="29"/>
      <c r="M645" s="34"/>
      <c r="N645" s="34"/>
      <c r="O645" s="29"/>
      <c r="P645" s="29"/>
      <c r="Q645" s="29"/>
      <c r="R645" s="34"/>
      <c r="S645" s="29"/>
      <c r="T645" s="29"/>
      <c r="U645" s="2"/>
      <c r="V645" s="34"/>
      <c r="W645" s="34"/>
      <c r="X645" s="34"/>
      <c r="Y645" s="29"/>
      <c r="Z645" s="34"/>
      <c r="AA645" s="34"/>
      <c r="AB645" s="29"/>
      <c r="AC645" s="34"/>
      <c r="AD645" s="29"/>
      <c r="AE645" s="34"/>
      <c r="AF645" s="34"/>
    </row>
    <row x14ac:dyDescent="0.25" r="646" customHeight="1" ht="15.75">
      <c r="A646" s="502"/>
      <c r="B646" s="34"/>
      <c r="C646" s="34"/>
      <c r="D646" s="34"/>
      <c r="E646" s="34"/>
      <c r="F646" s="34"/>
      <c r="G646" s="34"/>
      <c r="H646" s="34"/>
      <c r="I646" s="29"/>
      <c r="J646" s="29"/>
      <c r="K646" s="29"/>
      <c r="L646" s="29"/>
      <c r="M646" s="34"/>
      <c r="N646" s="34"/>
      <c r="O646" s="29"/>
      <c r="P646" s="29"/>
      <c r="Q646" s="29"/>
      <c r="R646" s="34"/>
      <c r="S646" s="29"/>
      <c r="T646" s="29"/>
      <c r="U646" s="2"/>
      <c r="V646" s="34"/>
      <c r="W646" s="34"/>
      <c r="X646" s="34"/>
      <c r="Y646" s="29"/>
      <c r="Z646" s="34"/>
      <c r="AA646" s="34"/>
      <c r="AB646" s="29"/>
      <c r="AC646" s="34"/>
      <c r="AD646" s="29"/>
      <c r="AE646" s="34"/>
      <c r="AF646" s="34"/>
    </row>
    <row x14ac:dyDescent="0.25" r="647" customHeight="1" ht="15.75">
      <c r="A647" s="502"/>
      <c r="B647" s="34"/>
      <c r="C647" s="34"/>
      <c r="D647" s="34"/>
      <c r="E647" s="34"/>
      <c r="F647" s="34"/>
      <c r="G647" s="34"/>
      <c r="H647" s="34"/>
      <c r="I647" s="29"/>
      <c r="J647" s="29"/>
      <c r="K647" s="29"/>
      <c r="L647" s="29"/>
      <c r="M647" s="34"/>
      <c r="N647" s="34"/>
      <c r="O647" s="29"/>
      <c r="P647" s="29"/>
      <c r="Q647" s="29"/>
      <c r="R647" s="34"/>
      <c r="S647" s="29"/>
      <c r="T647" s="29"/>
      <c r="U647" s="2"/>
      <c r="V647" s="34"/>
      <c r="W647" s="34"/>
      <c r="X647" s="34"/>
      <c r="Y647" s="29"/>
      <c r="Z647" s="34"/>
      <c r="AA647" s="34"/>
      <c r="AB647" s="29"/>
      <c r="AC647" s="34"/>
      <c r="AD647" s="29"/>
      <c r="AE647" s="34"/>
      <c r="AF647" s="34"/>
    </row>
    <row x14ac:dyDescent="0.25" r="648" customHeight="1" ht="15.75">
      <c r="A648" s="502"/>
      <c r="B648" s="34"/>
      <c r="C648" s="34"/>
      <c r="D648" s="34"/>
      <c r="E648" s="34"/>
      <c r="F648" s="34"/>
      <c r="G648" s="34"/>
      <c r="H648" s="34"/>
      <c r="I648" s="29"/>
      <c r="J648" s="29"/>
      <c r="K648" s="29"/>
      <c r="L648" s="29"/>
      <c r="M648" s="34"/>
      <c r="N648" s="34"/>
      <c r="O648" s="29"/>
      <c r="P648" s="29"/>
      <c r="Q648" s="29"/>
      <c r="R648" s="34"/>
      <c r="S648" s="29"/>
      <c r="T648" s="29"/>
      <c r="U648" s="2"/>
      <c r="V648" s="34"/>
      <c r="W648" s="34"/>
      <c r="X648" s="34"/>
      <c r="Y648" s="29"/>
      <c r="Z648" s="34"/>
      <c r="AA648" s="34"/>
      <c r="AB648" s="29"/>
      <c r="AC648" s="34"/>
      <c r="AD648" s="29"/>
      <c r="AE648" s="34"/>
      <c r="AF648" s="34"/>
    </row>
    <row x14ac:dyDescent="0.25" r="649" customHeight="1" ht="15.75">
      <c r="A649" s="502"/>
      <c r="B649" s="34"/>
      <c r="C649" s="34"/>
      <c r="D649" s="34"/>
      <c r="E649" s="34"/>
      <c r="F649" s="34"/>
      <c r="G649" s="34"/>
      <c r="H649" s="34"/>
      <c r="I649" s="29"/>
      <c r="J649" s="29"/>
      <c r="K649" s="29"/>
      <c r="L649" s="29"/>
      <c r="M649" s="34"/>
      <c r="N649" s="34"/>
      <c r="O649" s="29"/>
      <c r="P649" s="29"/>
      <c r="Q649" s="29"/>
      <c r="R649" s="34"/>
      <c r="S649" s="29"/>
      <c r="T649" s="29"/>
      <c r="U649" s="2"/>
      <c r="V649" s="34"/>
      <c r="W649" s="34"/>
      <c r="X649" s="34"/>
      <c r="Y649" s="29"/>
      <c r="Z649" s="34"/>
      <c r="AA649" s="34"/>
      <c r="AB649" s="29"/>
      <c r="AC649" s="34"/>
      <c r="AD649" s="29"/>
      <c r="AE649" s="34"/>
      <c r="AF649" s="34"/>
    </row>
    <row x14ac:dyDescent="0.25" r="650" customHeight="1" ht="15.75">
      <c r="A650" s="502"/>
      <c r="B650" s="34"/>
      <c r="C650" s="34"/>
      <c r="D650" s="34"/>
      <c r="E650" s="34"/>
      <c r="F650" s="34"/>
      <c r="G650" s="34"/>
      <c r="H650" s="34"/>
      <c r="I650" s="29"/>
      <c r="J650" s="29"/>
      <c r="K650" s="29"/>
      <c r="L650" s="29"/>
      <c r="M650" s="34"/>
      <c r="N650" s="34"/>
      <c r="O650" s="29"/>
      <c r="P650" s="29"/>
      <c r="Q650" s="29"/>
      <c r="R650" s="34"/>
      <c r="S650" s="29"/>
      <c r="T650" s="29"/>
      <c r="U650" s="2"/>
      <c r="V650" s="34"/>
      <c r="W650" s="34"/>
      <c r="X650" s="34"/>
      <c r="Y650" s="29"/>
      <c r="Z650" s="34"/>
      <c r="AA650" s="34"/>
      <c r="AB650" s="29"/>
      <c r="AC650" s="34"/>
      <c r="AD650" s="29"/>
      <c r="AE650" s="34"/>
      <c r="AF650" s="34"/>
    </row>
    <row x14ac:dyDescent="0.25" r="651" customHeight="1" ht="15.75">
      <c r="A651" s="502"/>
      <c r="B651" s="34"/>
      <c r="C651" s="34"/>
      <c r="D651" s="34"/>
      <c r="E651" s="34"/>
      <c r="F651" s="34"/>
      <c r="G651" s="34"/>
      <c r="H651" s="34"/>
      <c r="I651" s="29"/>
      <c r="J651" s="29"/>
      <c r="K651" s="29"/>
      <c r="L651" s="29"/>
      <c r="M651" s="34"/>
      <c r="N651" s="34"/>
      <c r="O651" s="29"/>
      <c r="P651" s="29"/>
      <c r="Q651" s="29"/>
      <c r="R651" s="34"/>
      <c r="S651" s="29"/>
      <c r="T651" s="29"/>
      <c r="U651" s="2"/>
      <c r="V651" s="34"/>
      <c r="W651" s="34"/>
      <c r="X651" s="34"/>
      <c r="Y651" s="29"/>
      <c r="Z651" s="34"/>
      <c r="AA651" s="34"/>
      <c r="AB651" s="29"/>
      <c r="AC651" s="34"/>
      <c r="AD651" s="29"/>
      <c r="AE651" s="34"/>
      <c r="AF651" s="34"/>
    </row>
    <row x14ac:dyDescent="0.25" r="652" customHeight="1" ht="15.75">
      <c r="A652" s="502"/>
      <c r="B652" s="34"/>
      <c r="C652" s="34"/>
      <c r="D652" s="34"/>
      <c r="E652" s="34"/>
      <c r="F652" s="34"/>
      <c r="G652" s="34"/>
      <c r="H652" s="34"/>
      <c r="I652" s="29"/>
      <c r="J652" s="29"/>
      <c r="K652" s="29"/>
      <c r="L652" s="29"/>
      <c r="M652" s="34"/>
      <c r="N652" s="34"/>
      <c r="O652" s="29"/>
      <c r="P652" s="29"/>
      <c r="Q652" s="29"/>
      <c r="R652" s="34"/>
      <c r="S652" s="29"/>
      <c r="T652" s="29"/>
      <c r="U652" s="2"/>
      <c r="V652" s="34"/>
      <c r="W652" s="34"/>
      <c r="X652" s="34"/>
      <c r="Y652" s="29"/>
      <c r="Z652" s="34"/>
      <c r="AA652" s="34"/>
      <c r="AB652" s="29"/>
      <c r="AC652" s="34"/>
      <c r="AD652" s="29"/>
      <c r="AE652" s="34"/>
      <c r="AF652" s="34"/>
    </row>
    <row x14ac:dyDescent="0.25" r="653" customHeight="1" ht="15.75">
      <c r="A653" s="502"/>
      <c r="B653" s="34"/>
      <c r="C653" s="34"/>
      <c r="D653" s="34"/>
      <c r="E653" s="34"/>
      <c r="F653" s="34"/>
      <c r="G653" s="34"/>
      <c r="H653" s="34"/>
      <c r="I653" s="29"/>
      <c r="J653" s="29"/>
      <c r="K653" s="29"/>
      <c r="L653" s="29"/>
      <c r="M653" s="34"/>
      <c r="N653" s="34"/>
      <c r="O653" s="29"/>
      <c r="P653" s="29"/>
      <c r="Q653" s="29"/>
      <c r="R653" s="34"/>
      <c r="S653" s="29"/>
      <c r="T653" s="29"/>
      <c r="U653" s="2"/>
      <c r="V653" s="34"/>
      <c r="W653" s="34"/>
      <c r="X653" s="34"/>
      <c r="Y653" s="29"/>
      <c r="Z653" s="34"/>
      <c r="AA653" s="34"/>
      <c r="AB653" s="29"/>
      <c r="AC653" s="34"/>
      <c r="AD653" s="29"/>
      <c r="AE653" s="34"/>
      <c r="AF653" s="34"/>
    </row>
    <row x14ac:dyDescent="0.25" r="654" customHeight="1" ht="15.75">
      <c r="A654" s="502"/>
      <c r="B654" s="34"/>
      <c r="C654" s="34"/>
      <c r="D654" s="34"/>
      <c r="E654" s="34"/>
      <c r="F654" s="34"/>
      <c r="G654" s="34"/>
      <c r="H654" s="34"/>
      <c r="I654" s="29"/>
      <c r="J654" s="29"/>
      <c r="K654" s="29"/>
      <c r="L654" s="29"/>
      <c r="M654" s="34"/>
      <c r="N654" s="34"/>
      <c r="O654" s="29"/>
      <c r="P654" s="29"/>
      <c r="Q654" s="29"/>
      <c r="R654" s="34"/>
      <c r="S654" s="29"/>
      <c r="T654" s="29"/>
      <c r="U654" s="2"/>
      <c r="V654" s="34"/>
      <c r="W654" s="34"/>
      <c r="X654" s="34"/>
      <c r="Y654" s="29"/>
      <c r="Z654" s="34"/>
      <c r="AA654" s="34"/>
      <c r="AB654" s="29"/>
      <c r="AC654" s="34"/>
      <c r="AD654" s="29"/>
      <c r="AE654" s="34"/>
      <c r="AF654" s="34"/>
    </row>
    <row x14ac:dyDescent="0.25" r="655" customHeight="1" ht="15.75">
      <c r="A655" s="502"/>
      <c r="B655" s="34"/>
      <c r="C655" s="34"/>
      <c r="D655" s="34"/>
      <c r="E655" s="34"/>
      <c r="F655" s="34"/>
      <c r="G655" s="34"/>
      <c r="H655" s="34"/>
      <c r="I655" s="29"/>
      <c r="J655" s="29"/>
      <c r="K655" s="29"/>
      <c r="L655" s="29"/>
      <c r="M655" s="34"/>
      <c r="N655" s="34"/>
      <c r="O655" s="29"/>
      <c r="P655" s="29"/>
      <c r="Q655" s="29"/>
      <c r="R655" s="34"/>
      <c r="S655" s="29"/>
      <c r="T655" s="29"/>
      <c r="U655" s="2"/>
      <c r="V655" s="34"/>
      <c r="W655" s="34"/>
      <c r="X655" s="34"/>
      <c r="Y655" s="29"/>
      <c r="Z655" s="34"/>
      <c r="AA655" s="34"/>
      <c r="AB655" s="29"/>
      <c r="AC655" s="34"/>
      <c r="AD655" s="29"/>
      <c r="AE655" s="34"/>
      <c r="AF655" s="34"/>
    </row>
    <row x14ac:dyDescent="0.25" r="656" customHeight="1" ht="15.75">
      <c r="A656" s="502"/>
      <c r="B656" s="34"/>
      <c r="C656" s="34"/>
      <c r="D656" s="34"/>
      <c r="E656" s="34"/>
      <c r="F656" s="34"/>
      <c r="G656" s="34"/>
      <c r="H656" s="34"/>
      <c r="I656" s="29"/>
      <c r="J656" s="29"/>
      <c r="K656" s="29"/>
      <c r="L656" s="29"/>
      <c r="M656" s="34"/>
      <c r="N656" s="34"/>
      <c r="O656" s="29"/>
      <c r="P656" s="29"/>
      <c r="Q656" s="29"/>
      <c r="R656" s="34"/>
      <c r="S656" s="29"/>
      <c r="T656" s="29"/>
      <c r="U656" s="2"/>
      <c r="V656" s="34"/>
      <c r="W656" s="34"/>
      <c r="X656" s="34"/>
      <c r="Y656" s="29"/>
      <c r="Z656" s="34"/>
      <c r="AA656" s="34"/>
      <c r="AB656" s="29"/>
      <c r="AC656" s="34"/>
      <c r="AD656" s="29"/>
      <c r="AE656" s="34"/>
      <c r="AF656" s="34"/>
    </row>
    <row x14ac:dyDescent="0.25" r="657" customHeight="1" ht="15.75">
      <c r="A657" s="502"/>
      <c r="B657" s="34"/>
      <c r="C657" s="34"/>
      <c r="D657" s="34"/>
      <c r="E657" s="34"/>
      <c r="F657" s="34"/>
      <c r="G657" s="34"/>
      <c r="H657" s="34"/>
      <c r="I657" s="29"/>
      <c r="J657" s="29"/>
      <c r="K657" s="29"/>
      <c r="L657" s="29"/>
      <c r="M657" s="34"/>
      <c r="N657" s="34"/>
      <c r="O657" s="29"/>
      <c r="P657" s="29"/>
      <c r="Q657" s="29"/>
      <c r="R657" s="34"/>
      <c r="S657" s="29"/>
      <c r="T657" s="29"/>
      <c r="U657" s="2"/>
      <c r="V657" s="34"/>
      <c r="W657" s="34"/>
      <c r="X657" s="34"/>
      <c r="Y657" s="29"/>
      <c r="Z657" s="34"/>
      <c r="AA657" s="34"/>
      <c r="AB657" s="29"/>
      <c r="AC657" s="34"/>
      <c r="AD657" s="29"/>
      <c r="AE657" s="34"/>
      <c r="AF657" s="34"/>
    </row>
    <row x14ac:dyDescent="0.25" r="658" customHeight="1" ht="15.75">
      <c r="A658" s="502"/>
      <c r="B658" s="34"/>
      <c r="C658" s="34"/>
      <c r="D658" s="34"/>
      <c r="E658" s="34"/>
      <c r="F658" s="34"/>
      <c r="G658" s="34"/>
      <c r="H658" s="34"/>
      <c r="I658" s="29"/>
      <c r="J658" s="29"/>
      <c r="K658" s="29"/>
      <c r="L658" s="29"/>
      <c r="M658" s="34"/>
      <c r="N658" s="34"/>
      <c r="O658" s="29"/>
      <c r="P658" s="29"/>
      <c r="Q658" s="29"/>
      <c r="R658" s="34"/>
      <c r="S658" s="29"/>
      <c r="T658" s="29"/>
      <c r="U658" s="2"/>
      <c r="V658" s="34"/>
      <c r="W658" s="34"/>
      <c r="X658" s="34"/>
      <c r="Y658" s="29"/>
      <c r="Z658" s="34"/>
      <c r="AA658" s="34"/>
      <c r="AB658" s="29"/>
      <c r="AC658" s="34"/>
      <c r="AD658" s="29"/>
      <c r="AE658" s="34"/>
      <c r="AF658" s="34"/>
    </row>
    <row x14ac:dyDescent="0.25" r="659" customHeight="1" ht="15.75">
      <c r="A659" s="502"/>
      <c r="B659" s="34"/>
      <c r="C659" s="34"/>
      <c r="D659" s="34"/>
      <c r="E659" s="34"/>
      <c r="F659" s="34"/>
      <c r="G659" s="34"/>
      <c r="H659" s="34"/>
      <c r="I659" s="29"/>
      <c r="J659" s="29"/>
      <c r="K659" s="29"/>
      <c r="L659" s="29"/>
      <c r="M659" s="34"/>
      <c r="N659" s="34"/>
      <c r="O659" s="29"/>
      <c r="P659" s="29"/>
      <c r="Q659" s="29"/>
      <c r="R659" s="34"/>
      <c r="S659" s="29"/>
      <c r="T659" s="29"/>
      <c r="U659" s="2"/>
      <c r="V659" s="34"/>
      <c r="W659" s="34"/>
      <c r="X659" s="34"/>
      <c r="Y659" s="29"/>
      <c r="Z659" s="34"/>
      <c r="AA659" s="34"/>
      <c r="AB659" s="29"/>
      <c r="AC659" s="34"/>
      <c r="AD659" s="29"/>
      <c r="AE659" s="34"/>
      <c r="AF659" s="34"/>
    </row>
    <row x14ac:dyDescent="0.25" r="660" customHeight="1" ht="15.75">
      <c r="A660" s="502"/>
      <c r="B660" s="34"/>
      <c r="C660" s="34"/>
      <c r="D660" s="34"/>
      <c r="E660" s="34"/>
      <c r="F660" s="34"/>
      <c r="G660" s="34"/>
      <c r="H660" s="34"/>
      <c r="I660" s="29"/>
      <c r="J660" s="29"/>
      <c r="K660" s="29"/>
      <c r="L660" s="29"/>
      <c r="M660" s="34"/>
      <c r="N660" s="34"/>
      <c r="O660" s="29"/>
      <c r="P660" s="29"/>
      <c r="Q660" s="29"/>
      <c r="R660" s="34"/>
      <c r="S660" s="29"/>
      <c r="T660" s="29"/>
      <c r="U660" s="2"/>
      <c r="V660" s="34"/>
      <c r="W660" s="34"/>
      <c r="X660" s="34"/>
      <c r="Y660" s="29"/>
      <c r="Z660" s="34"/>
      <c r="AA660" s="34"/>
      <c r="AB660" s="29"/>
      <c r="AC660" s="34"/>
      <c r="AD660" s="29"/>
      <c r="AE660" s="34"/>
      <c r="AF660" s="34"/>
    </row>
    <row x14ac:dyDescent="0.25" r="661" customHeight="1" ht="15.75">
      <c r="A661" s="502"/>
      <c r="B661" s="34"/>
      <c r="C661" s="34"/>
      <c r="D661" s="34"/>
      <c r="E661" s="34"/>
      <c r="F661" s="34"/>
      <c r="G661" s="34"/>
      <c r="H661" s="34"/>
      <c r="I661" s="29"/>
      <c r="J661" s="29"/>
      <c r="K661" s="29"/>
      <c r="L661" s="29"/>
      <c r="M661" s="34"/>
      <c r="N661" s="34"/>
      <c r="O661" s="29"/>
      <c r="P661" s="29"/>
      <c r="Q661" s="29"/>
      <c r="R661" s="34"/>
      <c r="S661" s="29"/>
      <c r="T661" s="29"/>
      <c r="U661" s="2"/>
      <c r="V661" s="34"/>
      <c r="W661" s="34"/>
      <c r="X661" s="34"/>
      <c r="Y661" s="29"/>
      <c r="Z661" s="34"/>
      <c r="AA661" s="34"/>
      <c r="AB661" s="29"/>
      <c r="AC661" s="34"/>
      <c r="AD661" s="29"/>
      <c r="AE661" s="34"/>
      <c r="AF661" s="34"/>
    </row>
    <row x14ac:dyDescent="0.25" r="662" customHeight="1" ht="15.75">
      <c r="A662" s="502"/>
      <c r="B662" s="34"/>
      <c r="C662" s="34"/>
      <c r="D662" s="34"/>
      <c r="E662" s="34"/>
      <c r="F662" s="34"/>
      <c r="G662" s="34"/>
      <c r="H662" s="34"/>
      <c r="I662" s="29"/>
      <c r="J662" s="29"/>
      <c r="K662" s="29"/>
      <c r="L662" s="29"/>
      <c r="M662" s="34"/>
      <c r="N662" s="34"/>
      <c r="O662" s="29"/>
      <c r="P662" s="29"/>
      <c r="Q662" s="29"/>
      <c r="R662" s="34"/>
      <c r="S662" s="29"/>
      <c r="T662" s="29"/>
      <c r="U662" s="2"/>
      <c r="V662" s="34"/>
      <c r="W662" s="34"/>
      <c r="X662" s="34"/>
      <c r="Y662" s="29"/>
      <c r="Z662" s="34"/>
      <c r="AA662" s="34"/>
      <c r="AB662" s="29"/>
      <c r="AC662" s="34"/>
      <c r="AD662" s="29"/>
      <c r="AE662" s="34"/>
      <c r="AF662" s="34"/>
    </row>
    <row x14ac:dyDescent="0.25" r="663" customHeight="1" ht="15.75">
      <c r="A663" s="502"/>
      <c r="B663" s="34"/>
      <c r="C663" s="34"/>
      <c r="D663" s="34"/>
      <c r="E663" s="34"/>
      <c r="F663" s="34"/>
      <c r="G663" s="34"/>
      <c r="H663" s="34"/>
      <c r="I663" s="29"/>
      <c r="J663" s="29"/>
      <c r="K663" s="29"/>
      <c r="L663" s="29"/>
      <c r="M663" s="34"/>
      <c r="N663" s="34"/>
      <c r="O663" s="29"/>
      <c r="P663" s="29"/>
      <c r="Q663" s="29"/>
      <c r="R663" s="34"/>
      <c r="S663" s="29"/>
      <c r="T663" s="29"/>
      <c r="U663" s="2"/>
      <c r="V663" s="34"/>
      <c r="W663" s="34"/>
      <c r="X663" s="34"/>
      <c r="Y663" s="29"/>
      <c r="Z663" s="34"/>
      <c r="AA663" s="34"/>
      <c r="AB663" s="29"/>
      <c r="AC663" s="34"/>
      <c r="AD663" s="29"/>
      <c r="AE663" s="34"/>
      <c r="AF663" s="34"/>
    </row>
    <row x14ac:dyDescent="0.25" r="664" customHeight="1" ht="15.75">
      <c r="A664" s="502"/>
      <c r="B664" s="34"/>
      <c r="C664" s="34"/>
      <c r="D664" s="34"/>
      <c r="E664" s="34"/>
      <c r="F664" s="34"/>
      <c r="G664" s="34"/>
      <c r="H664" s="34"/>
      <c r="I664" s="29"/>
      <c r="J664" s="29"/>
      <c r="K664" s="29"/>
      <c r="L664" s="29"/>
      <c r="M664" s="34"/>
      <c r="N664" s="34"/>
      <c r="O664" s="29"/>
      <c r="P664" s="29"/>
      <c r="Q664" s="29"/>
      <c r="R664" s="34"/>
      <c r="S664" s="29"/>
      <c r="T664" s="29"/>
      <c r="U664" s="2"/>
      <c r="V664" s="34"/>
      <c r="W664" s="34"/>
      <c r="X664" s="34"/>
      <c r="Y664" s="29"/>
      <c r="Z664" s="34"/>
      <c r="AA664" s="34"/>
      <c r="AB664" s="29"/>
      <c r="AC664" s="34"/>
      <c r="AD664" s="29"/>
      <c r="AE664" s="34"/>
      <c r="AF664" s="34"/>
    </row>
    <row x14ac:dyDescent="0.25" r="665" customHeight="1" ht="15.75">
      <c r="A665" s="502"/>
      <c r="B665" s="34"/>
      <c r="C665" s="34"/>
      <c r="D665" s="34"/>
      <c r="E665" s="34"/>
      <c r="F665" s="34"/>
      <c r="G665" s="34"/>
      <c r="H665" s="34"/>
      <c r="I665" s="29"/>
      <c r="J665" s="29"/>
      <c r="K665" s="29"/>
      <c r="L665" s="29"/>
      <c r="M665" s="34"/>
      <c r="N665" s="34"/>
      <c r="O665" s="29"/>
      <c r="P665" s="29"/>
      <c r="Q665" s="29"/>
      <c r="R665" s="34"/>
      <c r="S665" s="29"/>
      <c r="T665" s="29"/>
      <c r="U665" s="2"/>
      <c r="V665" s="34"/>
      <c r="W665" s="34"/>
      <c r="X665" s="34"/>
      <c r="Y665" s="29"/>
      <c r="Z665" s="34"/>
      <c r="AA665" s="34"/>
      <c r="AB665" s="29"/>
      <c r="AC665" s="34"/>
      <c r="AD665" s="29"/>
      <c r="AE665" s="34"/>
      <c r="AF665" s="34"/>
    </row>
    <row x14ac:dyDescent="0.25" r="666" customHeight="1" ht="15.75">
      <c r="A666" s="502"/>
      <c r="B666" s="34"/>
      <c r="C666" s="34"/>
      <c r="D666" s="34"/>
      <c r="E666" s="34"/>
      <c r="F666" s="34"/>
      <c r="G666" s="34"/>
      <c r="H666" s="34"/>
      <c r="I666" s="29"/>
      <c r="J666" s="29"/>
      <c r="K666" s="29"/>
      <c r="L666" s="29"/>
      <c r="M666" s="34"/>
      <c r="N666" s="34"/>
      <c r="O666" s="29"/>
      <c r="P666" s="29"/>
      <c r="Q666" s="29"/>
      <c r="R666" s="34"/>
      <c r="S666" s="29"/>
      <c r="T666" s="29"/>
      <c r="U666" s="2"/>
      <c r="V666" s="34"/>
      <c r="W666" s="34"/>
      <c r="X666" s="34"/>
      <c r="Y666" s="29"/>
      <c r="Z666" s="34"/>
      <c r="AA666" s="34"/>
      <c r="AB666" s="29"/>
      <c r="AC666" s="34"/>
      <c r="AD666" s="29"/>
      <c r="AE666" s="34"/>
      <c r="AF666" s="34"/>
    </row>
    <row x14ac:dyDescent="0.25" r="667" customHeight="1" ht="15.75">
      <c r="A667" s="502"/>
      <c r="B667" s="34"/>
      <c r="C667" s="34"/>
      <c r="D667" s="34"/>
      <c r="E667" s="34"/>
      <c r="F667" s="34"/>
      <c r="G667" s="34"/>
      <c r="H667" s="34"/>
      <c r="I667" s="29"/>
      <c r="J667" s="29"/>
      <c r="K667" s="29"/>
      <c r="L667" s="29"/>
      <c r="M667" s="34"/>
      <c r="N667" s="34"/>
      <c r="O667" s="29"/>
      <c r="P667" s="29"/>
      <c r="Q667" s="29"/>
      <c r="R667" s="34"/>
      <c r="S667" s="29"/>
      <c r="T667" s="29"/>
      <c r="U667" s="2"/>
      <c r="V667" s="34"/>
      <c r="W667" s="34"/>
      <c r="X667" s="34"/>
      <c r="Y667" s="29"/>
      <c r="Z667" s="34"/>
      <c r="AA667" s="34"/>
      <c r="AB667" s="29"/>
      <c r="AC667" s="34"/>
      <c r="AD667" s="29"/>
      <c r="AE667" s="34"/>
      <c r="AF667" s="34"/>
    </row>
    <row x14ac:dyDescent="0.25" r="668" customHeight="1" ht="15.75">
      <c r="A668" s="502"/>
      <c r="B668" s="34"/>
      <c r="C668" s="34"/>
      <c r="D668" s="34"/>
      <c r="E668" s="34"/>
      <c r="F668" s="34"/>
      <c r="G668" s="34"/>
      <c r="H668" s="34"/>
      <c r="I668" s="29"/>
      <c r="J668" s="29"/>
      <c r="K668" s="29"/>
      <c r="L668" s="29"/>
      <c r="M668" s="34"/>
      <c r="N668" s="34"/>
      <c r="O668" s="29"/>
      <c r="P668" s="29"/>
      <c r="Q668" s="29"/>
      <c r="R668" s="34"/>
      <c r="S668" s="29"/>
      <c r="T668" s="29"/>
      <c r="U668" s="2"/>
      <c r="V668" s="34"/>
      <c r="W668" s="34"/>
      <c r="X668" s="34"/>
      <c r="Y668" s="29"/>
      <c r="Z668" s="34"/>
      <c r="AA668" s="34"/>
      <c r="AB668" s="29"/>
      <c r="AC668" s="34"/>
      <c r="AD668" s="29"/>
      <c r="AE668" s="34"/>
      <c r="AF668" s="34"/>
    </row>
    <row x14ac:dyDescent="0.25" r="669" customHeight="1" ht="15.75">
      <c r="A669" s="502"/>
      <c r="B669" s="34"/>
      <c r="C669" s="34"/>
      <c r="D669" s="34"/>
      <c r="E669" s="34"/>
      <c r="F669" s="34"/>
      <c r="G669" s="34"/>
      <c r="H669" s="34"/>
      <c r="I669" s="29"/>
      <c r="J669" s="29"/>
      <c r="K669" s="29"/>
      <c r="L669" s="29"/>
      <c r="M669" s="34"/>
      <c r="N669" s="34"/>
      <c r="O669" s="29"/>
      <c r="P669" s="29"/>
      <c r="Q669" s="29"/>
      <c r="R669" s="34"/>
      <c r="S669" s="29"/>
      <c r="T669" s="29"/>
      <c r="U669" s="2"/>
      <c r="V669" s="34"/>
      <c r="W669" s="34"/>
      <c r="X669" s="34"/>
      <c r="Y669" s="29"/>
      <c r="Z669" s="34"/>
      <c r="AA669" s="34"/>
      <c r="AB669" s="29"/>
      <c r="AC669" s="34"/>
      <c r="AD669" s="29"/>
      <c r="AE669" s="34"/>
      <c r="AF669" s="34"/>
    </row>
    <row x14ac:dyDescent="0.25" r="670" customHeight="1" ht="15.75">
      <c r="A670" s="502"/>
      <c r="B670" s="34"/>
      <c r="C670" s="34"/>
      <c r="D670" s="34"/>
      <c r="E670" s="34"/>
      <c r="F670" s="34"/>
      <c r="G670" s="34"/>
      <c r="H670" s="34"/>
      <c r="I670" s="29"/>
      <c r="J670" s="29"/>
      <c r="K670" s="29"/>
      <c r="L670" s="29"/>
      <c r="M670" s="34"/>
      <c r="N670" s="34"/>
      <c r="O670" s="29"/>
      <c r="P670" s="29"/>
      <c r="Q670" s="29"/>
      <c r="R670" s="34"/>
      <c r="S670" s="29"/>
      <c r="T670" s="29"/>
      <c r="U670" s="2"/>
      <c r="V670" s="34"/>
      <c r="W670" s="34"/>
      <c r="X670" s="34"/>
      <c r="Y670" s="29"/>
      <c r="Z670" s="34"/>
      <c r="AA670" s="34"/>
      <c r="AB670" s="29"/>
      <c r="AC670" s="34"/>
      <c r="AD670" s="29"/>
      <c r="AE670" s="34"/>
      <c r="AF670" s="34"/>
    </row>
    <row x14ac:dyDescent="0.25" r="671" customHeight="1" ht="15.75">
      <c r="A671" s="502"/>
      <c r="B671" s="34"/>
      <c r="C671" s="34"/>
      <c r="D671" s="34"/>
      <c r="E671" s="34"/>
      <c r="F671" s="34"/>
      <c r="G671" s="34"/>
      <c r="H671" s="34"/>
      <c r="I671" s="29"/>
      <c r="J671" s="29"/>
      <c r="K671" s="29"/>
      <c r="L671" s="29"/>
      <c r="M671" s="34"/>
      <c r="N671" s="34"/>
      <c r="O671" s="29"/>
      <c r="P671" s="29"/>
      <c r="Q671" s="29"/>
      <c r="R671" s="34"/>
      <c r="S671" s="29"/>
      <c r="T671" s="29"/>
      <c r="U671" s="2"/>
      <c r="V671" s="34"/>
      <c r="W671" s="34"/>
      <c r="X671" s="34"/>
      <c r="Y671" s="29"/>
      <c r="Z671" s="34"/>
      <c r="AA671" s="34"/>
      <c r="AB671" s="29"/>
      <c r="AC671" s="34"/>
      <c r="AD671" s="29"/>
      <c r="AE671" s="34"/>
      <c r="AF671" s="34"/>
    </row>
    <row x14ac:dyDescent="0.25" r="672" customHeight="1" ht="15.75">
      <c r="A672" s="502"/>
      <c r="B672" s="34"/>
      <c r="C672" s="34"/>
      <c r="D672" s="34"/>
      <c r="E672" s="34"/>
      <c r="F672" s="34"/>
      <c r="G672" s="34"/>
      <c r="H672" s="34"/>
      <c r="I672" s="29"/>
      <c r="J672" s="29"/>
      <c r="K672" s="29"/>
      <c r="L672" s="29"/>
      <c r="M672" s="34"/>
      <c r="N672" s="34"/>
      <c r="O672" s="29"/>
      <c r="P672" s="29"/>
      <c r="Q672" s="29"/>
      <c r="R672" s="34"/>
      <c r="S672" s="29"/>
      <c r="T672" s="29"/>
      <c r="U672" s="2"/>
      <c r="V672" s="34"/>
      <c r="W672" s="34"/>
      <c r="X672" s="34"/>
      <c r="Y672" s="29"/>
      <c r="Z672" s="34"/>
      <c r="AA672" s="34"/>
      <c r="AB672" s="29"/>
      <c r="AC672" s="34"/>
      <c r="AD672" s="29"/>
      <c r="AE672" s="34"/>
      <c r="AF672" s="34"/>
    </row>
    <row x14ac:dyDescent="0.25" r="673" customHeight="1" ht="15.75">
      <c r="A673" s="502"/>
      <c r="B673" s="34"/>
      <c r="C673" s="34"/>
      <c r="D673" s="34"/>
      <c r="E673" s="34"/>
      <c r="F673" s="34"/>
      <c r="G673" s="34"/>
      <c r="H673" s="34"/>
      <c r="I673" s="29"/>
      <c r="J673" s="29"/>
      <c r="K673" s="29"/>
      <c r="L673" s="29"/>
      <c r="M673" s="34"/>
      <c r="N673" s="34"/>
      <c r="O673" s="29"/>
      <c r="P673" s="29"/>
      <c r="Q673" s="29"/>
      <c r="R673" s="34"/>
      <c r="S673" s="29"/>
      <c r="T673" s="29"/>
      <c r="U673" s="2"/>
      <c r="V673" s="34"/>
      <c r="W673" s="34"/>
      <c r="X673" s="34"/>
      <c r="Y673" s="29"/>
      <c r="Z673" s="34"/>
      <c r="AA673" s="34"/>
      <c r="AB673" s="29"/>
      <c r="AC673" s="34"/>
      <c r="AD673" s="29"/>
      <c r="AE673" s="34"/>
      <c r="AF673" s="34"/>
    </row>
    <row x14ac:dyDescent="0.25" r="674" customHeight="1" ht="15.75">
      <c r="A674" s="502"/>
      <c r="B674" s="34"/>
      <c r="C674" s="34"/>
      <c r="D674" s="34"/>
      <c r="E674" s="34"/>
      <c r="F674" s="34"/>
      <c r="G674" s="34"/>
      <c r="H674" s="34"/>
      <c r="I674" s="29"/>
      <c r="J674" s="29"/>
      <c r="K674" s="29"/>
      <c r="L674" s="29"/>
      <c r="M674" s="34"/>
      <c r="N674" s="34"/>
      <c r="O674" s="29"/>
      <c r="P674" s="29"/>
      <c r="Q674" s="29"/>
      <c r="R674" s="34"/>
      <c r="S674" s="29"/>
      <c r="T674" s="29"/>
      <c r="U674" s="2"/>
      <c r="V674" s="34"/>
      <c r="W674" s="34"/>
      <c r="X674" s="34"/>
      <c r="Y674" s="29"/>
      <c r="Z674" s="34"/>
      <c r="AA674" s="34"/>
      <c r="AB674" s="29"/>
      <c r="AC674" s="34"/>
      <c r="AD674" s="29"/>
      <c r="AE674" s="34"/>
      <c r="AF674" s="34"/>
    </row>
    <row x14ac:dyDescent="0.25" r="675" customHeight="1" ht="15.75">
      <c r="A675" s="502"/>
      <c r="B675" s="34"/>
      <c r="C675" s="34"/>
      <c r="D675" s="34"/>
      <c r="E675" s="34"/>
      <c r="F675" s="34"/>
      <c r="G675" s="34"/>
      <c r="H675" s="34"/>
      <c r="I675" s="29"/>
      <c r="J675" s="29"/>
      <c r="K675" s="29"/>
      <c r="L675" s="29"/>
      <c r="M675" s="34"/>
      <c r="N675" s="34"/>
      <c r="O675" s="29"/>
      <c r="P675" s="29"/>
      <c r="Q675" s="29"/>
      <c r="R675" s="34"/>
      <c r="S675" s="29"/>
      <c r="T675" s="29"/>
      <c r="U675" s="2"/>
      <c r="V675" s="34"/>
      <c r="W675" s="34"/>
      <c r="X675" s="34"/>
      <c r="Y675" s="29"/>
      <c r="Z675" s="34"/>
      <c r="AA675" s="34"/>
      <c r="AB675" s="29"/>
      <c r="AC675" s="34"/>
      <c r="AD675" s="29"/>
      <c r="AE675" s="34"/>
      <c r="AF675" s="34"/>
    </row>
    <row x14ac:dyDescent="0.25" r="676" customHeight="1" ht="15.75">
      <c r="A676" s="502"/>
      <c r="B676" s="34"/>
      <c r="C676" s="34"/>
      <c r="D676" s="34"/>
      <c r="E676" s="34"/>
      <c r="F676" s="34"/>
      <c r="G676" s="34"/>
      <c r="H676" s="34"/>
      <c r="I676" s="29"/>
      <c r="J676" s="29"/>
      <c r="K676" s="29"/>
      <c r="L676" s="29"/>
      <c r="M676" s="34"/>
      <c r="N676" s="34"/>
      <c r="O676" s="29"/>
      <c r="P676" s="29"/>
      <c r="Q676" s="29"/>
      <c r="R676" s="34"/>
      <c r="S676" s="29"/>
      <c r="T676" s="29"/>
      <c r="U676" s="2"/>
      <c r="V676" s="34"/>
      <c r="W676" s="34"/>
      <c r="X676" s="34"/>
      <c r="Y676" s="29"/>
      <c r="Z676" s="34"/>
      <c r="AA676" s="34"/>
      <c r="AB676" s="29"/>
      <c r="AC676" s="34"/>
      <c r="AD676" s="29"/>
      <c r="AE676" s="34"/>
      <c r="AF676" s="34"/>
    </row>
    <row x14ac:dyDescent="0.25" r="677" customHeight="1" ht="15.75">
      <c r="A677" s="502"/>
      <c r="B677" s="34"/>
      <c r="C677" s="34"/>
      <c r="D677" s="34"/>
      <c r="E677" s="34"/>
      <c r="F677" s="34"/>
      <c r="G677" s="34"/>
      <c r="H677" s="34"/>
      <c r="I677" s="29"/>
      <c r="J677" s="29"/>
      <c r="K677" s="29"/>
      <c r="L677" s="29"/>
      <c r="M677" s="34"/>
      <c r="N677" s="34"/>
      <c r="O677" s="29"/>
      <c r="P677" s="29"/>
      <c r="Q677" s="29"/>
      <c r="R677" s="34"/>
      <c r="S677" s="29"/>
      <c r="T677" s="29"/>
      <c r="U677" s="2"/>
      <c r="V677" s="34"/>
      <c r="W677" s="34"/>
      <c r="X677" s="34"/>
      <c r="Y677" s="29"/>
      <c r="Z677" s="34"/>
      <c r="AA677" s="34"/>
      <c r="AB677" s="29"/>
      <c r="AC677" s="34"/>
      <c r="AD677" s="29"/>
      <c r="AE677" s="34"/>
      <c r="AF677" s="34"/>
    </row>
    <row x14ac:dyDescent="0.25" r="678" customHeight="1" ht="15.75">
      <c r="A678" s="502"/>
      <c r="B678" s="34"/>
      <c r="C678" s="34"/>
      <c r="D678" s="34"/>
      <c r="E678" s="34"/>
      <c r="F678" s="34"/>
      <c r="G678" s="34"/>
      <c r="H678" s="34"/>
      <c r="I678" s="29"/>
      <c r="J678" s="29"/>
      <c r="K678" s="29"/>
      <c r="L678" s="29"/>
      <c r="M678" s="34"/>
      <c r="N678" s="34"/>
      <c r="O678" s="29"/>
      <c r="P678" s="29"/>
      <c r="Q678" s="29"/>
      <c r="R678" s="34"/>
      <c r="S678" s="29"/>
      <c r="T678" s="29"/>
      <c r="U678" s="2"/>
      <c r="V678" s="34"/>
      <c r="W678" s="34"/>
      <c r="X678" s="34"/>
      <c r="Y678" s="29"/>
      <c r="Z678" s="34"/>
      <c r="AA678" s="34"/>
      <c r="AB678" s="29"/>
      <c r="AC678" s="34"/>
      <c r="AD678" s="29"/>
      <c r="AE678" s="34"/>
      <c r="AF678" s="34"/>
    </row>
    <row x14ac:dyDescent="0.25" r="679" customHeight="1" ht="15.75">
      <c r="A679" s="502"/>
      <c r="B679" s="34"/>
      <c r="C679" s="34"/>
      <c r="D679" s="34"/>
      <c r="E679" s="34"/>
      <c r="F679" s="34"/>
      <c r="G679" s="34"/>
      <c r="H679" s="34"/>
      <c r="I679" s="29"/>
      <c r="J679" s="29"/>
      <c r="K679" s="29"/>
      <c r="L679" s="29"/>
      <c r="M679" s="34"/>
      <c r="N679" s="34"/>
      <c r="O679" s="29"/>
      <c r="P679" s="29"/>
      <c r="Q679" s="29"/>
      <c r="R679" s="34"/>
      <c r="S679" s="29"/>
      <c r="T679" s="29"/>
      <c r="U679" s="2"/>
      <c r="V679" s="34"/>
      <c r="W679" s="34"/>
      <c r="X679" s="34"/>
      <c r="Y679" s="29"/>
      <c r="Z679" s="34"/>
      <c r="AA679" s="34"/>
      <c r="AB679" s="29"/>
      <c r="AC679" s="34"/>
      <c r="AD679" s="29"/>
      <c r="AE679" s="34"/>
      <c r="AF679" s="34"/>
    </row>
    <row x14ac:dyDescent="0.25" r="680" customHeight="1" ht="15.75">
      <c r="A680" s="502"/>
      <c r="B680" s="34"/>
      <c r="C680" s="34"/>
      <c r="D680" s="34"/>
      <c r="E680" s="34"/>
      <c r="F680" s="34"/>
      <c r="G680" s="34"/>
      <c r="H680" s="34"/>
      <c r="I680" s="29"/>
      <c r="J680" s="29"/>
      <c r="K680" s="29"/>
      <c r="L680" s="29"/>
      <c r="M680" s="34"/>
      <c r="N680" s="34"/>
      <c r="O680" s="29"/>
      <c r="P680" s="29"/>
      <c r="Q680" s="29"/>
      <c r="R680" s="34"/>
      <c r="S680" s="29"/>
      <c r="T680" s="29"/>
      <c r="U680" s="2"/>
      <c r="V680" s="34"/>
      <c r="W680" s="34"/>
      <c r="X680" s="34"/>
      <c r="Y680" s="29"/>
      <c r="Z680" s="34"/>
      <c r="AA680" s="34"/>
      <c r="AB680" s="29"/>
      <c r="AC680" s="34"/>
      <c r="AD680" s="29"/>
      <c r="AE680" s="34"/>
      <c r="AF680" s="34"/>
    </row>
    <row x14ac:dyDescent="0.25" r="681" customHeight="1" ht="15.75">
      <c r="A681" s="502"/>
      <c r="B681" s="34"/>
      <c r="C681" s="34"/>
      <c r="D681" s="34"/>
      <c r="E681" s="34"/>
      <c r="F681" s="34"/>
      <c r="G681" s="34"/>
      <c r="H681" s="34"/>
      <c r="I681" s="29"/>
      <c r="J681" s="29"/>
      <c r="K681" s="29"/>
      <c r="L681" s="29"/>
      <c r="M681" s="34"/>
      <c r="N681" s="34"/>
      <c r="O681" s="29"/>
      <c r="P681" s="29"/>
      <c r="Q681" s="29"/>
      <c r="R681" s="34"/>
      <c r="S681" s="29"/>
      <c r="T681" s="29"/>
      <c r="U681" s="2"/>
      <c r="V681" s="34"/>
      <c r="W681" s="34"/>
      <c r="X681" s="34"/>
      <c r="Y681" s="29"/>
      <c r="Z681" s="34"/>
      <c r="AA681" s="34"/>
      <c r="AB681" s="29"/>
      <c r="AC681" s="34"/>
      <c r="AD681" s="29"/>
      <c r="AE681" s="34"/>
      <c r="AF681" s="34"/>
    </row>
    <row x14ac:dyDescent="0.25" r="682" customHeight="1" ht="15.75">
      <c r="A682" s="502"/>
      <c r="B682" s="34"/>
      <c r="C682" s="34"/>
      <c r="D682" s="34"/>
      <c r="E682" s="34"/>
      <c r="F682" s="34"/>
      <c r="G682" s="34"/>
      <c r="H682" s="34"/>
      <c r="I682" s="29"/>
      <c r="J682" s="29"/>
      <c r="K682" s="29"/>
      <c r="L682" s="29"/>
      <c r="M682" s="34"/>
      <c r="N682" s="34"/>
      <c r="O682" s="29"/>
      <c r="P682" s="29"/>
      <c r="Q682" s="29"/>
      <c r="R682" s="34"/>
      <c r="S682" s="29"/>
      <c r="T682" s="29"/>
      <c r="U682" s="2"/>
      <c r="V682" s="34"/>
      <c r="W682" s="34"/>
      <c r="X682" s="34"/>
      <c r="Y682" s="29"/>
      <c r="Z682" s="34"/>
      <c r="AA682" s="34"/>
      <c r="AB682" s="29"/>
      <c r="AC682" s="34"/>
      <c r="AD682" s="29"/>
      <c r="AE682" s="34"/>
      <c r="AF682" s="34"/>
    </row>
    <row x14ac:dyDescent="0.25" r="683" customHeight="1" ht="15.75">
      <c r="A683" s="502"/>
      <c r="B683" s="34"/>
      <c r="C683" s="34"/>
      <c r="D683" s="34"/>
      <c r="E683" s="34"/>
      <c r="F683" s="34"/>
      <c r="G683" s="34"/>
      <c r="H683" s="34"/>
      <c r="I683" s="29"/>
      <c r="J683" s="29"/>
      <c r="K683" s="29"/>
      <c r="L683" s="29"/>
      <c r="M683" s="34"/>
      <c r="N683" s="34"/>
      <c r="O683" s="29"/>
      <c r="P683" s="29"/>
      <c r="Q683" s="29"/>
      <c r="R683" s="34"/>
      <c r="S683" s="29"/>
      <c r="T683" s="29"/>
      <c r="U683" s="2"/>
      <c r="V683" s="34"/>
      <c r="W683" s="34"/>
      <c r="X683" s="34"/>
      <c r="Y683" s="29"/>
      <c r="Z683" s="34"/>
      <c r="AA683" s="34"/>
      <c r="AB683" s="29"/>
      <c r="AC683" s="34"/>
      <c r="AD683" s="29"/>
      <c r="AE683" s="34"/>
      <c r="AF683" s="34"/>
    </row>
    <row x14ac:dyDescent="0.25" r="684" customHeight="1" ht="15.75">
      <c r="A684" s="502"/>
      <c r="B684" s="34"/>
      <c r="C684" s="34"/>
      <c r="D684" s="34"/>
      <c r="E684" s="34"/>
      <c r="F684" s="34"/>
      <c r="G684" s="34"/>
      <c r="H684" s="34"/>
      <c r="I684" s="29"/>
      <c r="J684" s="29"/>
      <c r="K684" s="29"/>
      <c r="L684" s="29"/>
      <c r="M684" s="34"/>
      <c r="N684" s="34"/>
      <c r="O684" s="29"/>
      <c r="P684" s="29"/>
      <c r="Q684" s="29"/>
      <c r="R684" s="34"/>
      <c r="S684" s="29"/>
      <c r="T684" s="29"/>
      <c r="U684" s="2"/>
      <c r="V684" s="34"/>
      <c r="W684" s="34"/>
      <c r="X684" s="34"/>
      <c r="Y684" s="29"/>
      <c r="Z684" s="34"/>
      <c r="AA684" s="34"/>
      <c r="AB684" s="29"/>
      <c r="AC684" s="34"/>
      <c r="AD684" s="29"/>
      <c r="AE684" s="34"/>
      <c r="AF684" s="34"/>
    </row>
    <row x14ac:dyDescent="0.25" r="685" customHeight="1" ht="15.75">
      <c r="A685" s="502"/>
      <c r="B685" s="34"/>
      <c r="C685" s="34"/>
      <c r="D685" s="34"/>
      <c r="E685" s="34"/>
      <c r="F685" s="34"/>
      <c r="G685" s="34"/>
      <c r="H685" s="34"/>
      <c r="I685" s="29"/>
      <c r="J685" s="29"/>
      <c r="K685" s="29"/>
      <c r="L685" s="29"/>
      <c r="M685" s="34"/>
      <c r="N685" s="34"/>
      <c r="O685" s="29"/>
      <c r="P685" s="29"/>
      <c r="Q685" s="29"/>
      <c r="R685" s="34"/>
      <c r="S685" s="29"/>
      <c r="T685" s="29"/>
      <c r="U685" s="2"/>
      <c r="V685" s="34"/>
      <c r="W685" s="34"/>
      <c r="X685" s="34"/>
      <c r="Y685" s="29"/>
      <c r="Z685" s="34"/>
      <c r="AA685" s="34"/>
      <c r="AB685" s="29"/>
      <c r="AC685" s="34"/>
      <c r="AD685" s="29"/>
      <c r="AE685" s="34"/>
      <c r="AF685" s="34"/>
    </row>
    <row x14ac:dyDescent="0.25" r="686" customHeight="1" ht="15.75">
      <c r="A686" s="502"/>
      <c r="B686" s="34"/>
      <c r="C686" s="34"/>
      <c r="D686" s="34"/>
      <c r="E686" s="34"/>
      <c r="F686" s="34"/>
      <c r="G686" s="34"/>
      <c r="H686" s="34"/>
      <c r="I686" s="29"/>
      <c r="J686" s="29"/>
      <c r="K686" s="29"/>
      <c r="L686" s="29"/>
      <c r="M686" s="34"/>
      <c r="N686" s="34"/>
      <c r="O686" s="29"/>
      <c r="P686" s="29"/>
      <c r="Q686" s="29"/>
      <c r="R686" s="34"/>
      <c r="S686" s="29"/>
      <c r="T686" s="29"/>
      <c r="U686" s="2"/>
      <c r="V686" s="34"/>
      <c r="W686" s="34"/>
      <c r="X686" s="34"/>
      <c r="Y686" s="29"/>
      <c r="Z686" s="34"/>
      <c r="AA686" s="34"/>
      <c r="AB686" s="29"/>
      <c r="AC686" s="34"/>
      <c r="AD686" s="29"/>
      <c r="AE686" s="34"/>
      <c r="AF686" s="34"/>
    </row>
    <row x14ac:dyDescent="0.25" r="687" customHeight="1" ht="15.75">
      <c r="A687" s="502"/>
      <c r="B687" s="34"/>
      <c r="C687" s="34"/>
      <c r="D687" s="34"/>
      <c r="E687" s="34"/>
      <c r="F687" s="34"/>
      <c r="G687" s="34"/>
      <c r="H687" s="34"/>
      <c r="I687" s="29"/>
      <c r="J687" s="29"/>
      <c r="K687" s="29"/>
      <c r="L687" s="29"/>
      <c r="M687" s="34"/>
      <c r="N687" s="34"/>
      <c r="O687" s="29"/>
      <c r="P687" s="29"/>
      <c r="Q687" s="29"/>
      <c r="R687" s="34"/>
      <c r="S687" s="29"/>
      <c r="T687" s="29"/>
      <c r="U687" s="2"/>
      <c r="V687" s="34"/>
      <c r="W687" s="34"/>
      <c r="X687" s="34"/>
      <c r="Y687" s="29"/>
      <c r="Z687" s="34"/>
      <c r="AA687" s="34"/>
      <c r="AB687" s="29"/>
      <c r="AC687" s="34"/>
      <c r="AD687" s="29"/>
      <c r="AE687" s="34"/>
      <c r="AF687" s="34"/>
    </row>
    <row x14ac:dyDescent="0.25" r="688" customHeight="1" ht="15.75">
      <c r="A688" s="502"/>
      <c r="B688" s="34"/>
      <c r="C688" s="34"/>
      <c r="D688" s="34"/>
      <c r="E688" s="34"/>
      <c r="F688" s="34"/>
      <c r="G688" s="34"/>
      <c r="H688" s="34"/>
      <c r="I688" s="29"/>
      <c r="J688" s="29"/>
      <c r="K688" s="29"/>
      <c r="L688" s="29"/>
      <c r="M688" s="34"/>
      <c r="N688" s="34"/>
      <c r="O688" s="29"/>
      <c r="P688" s="29"/>
      <c r="Q688" s="29"/>
      <c r="R688" s="34"/>
      <c r="S688" s="29"/>
      <c r="T688" s="29"/>
      <c r="U688" s="2"/>
      <c r="V688" s="34"/>
      <c r="W688" s="34"/>
      <c r="X688" s="34"/>
      <c r="Y688" s="29"/>
      <c r="Z688" s="34"/>
      <c r="AA688" s="34"/>
      <c r="AB688" s="29"/>
      <c r="AC688" s="34"/>
      <c r="AD688" s="29"/>
      <c r="AE688" s="34"/>
      <c r="AF688" s="34"/>
    </row>
    <row x14ac:dyDescent="0.25" r="689" customHeight="1" ht="15.75">
      <c r="A689" s="502"/>
      <c r="B689" s="34"/>
      <c r="C689" s="34"/>
      <c r="D689" s="34"/>
      <c r="E689" s="34"/>
      <c r="F689" s="34"/>
      <c r="G689" s="34"/>
      <c r="H689" s="34"/>
      <c r="I689" s="29"/>
      <c r="J689" s="29"/>
      <c r="K689" s="29"/>
      <c r="L689" s="29"/>
      <c r="M689" s="34"/>
      <c r="N689" s="34"/>
      <c r="O689" s="29"/>
      <c r="P689" s="29"/>
      <c r="Q689" s="29"/>
      <c r="R689" s="34"/>
      <c r="S689" s="29"/>
      <c r="T689" s="29"/>
      <c r="U689" s="2"/>
      <c r="V689" s="34"/>
      <c r="W689" s="34"/>
      <c r="X689" s="34"/>
      <c r="Y689" s="29"/>
      <c r="Z689" s="34"/>
      <c r="AA689" s="34"/>
      <c r="AB689" s="29"/>
      <c r="AC689" s="34"/>
      <c r="AD689" s="29"/>
      <c r="AE689" s="34"/>
      <c r="AF689" s="34"/>
    </row>
    <row x14ac:dyDescent="0.25" r="690" customHeight="1" ht="15.75">
      <c r="A690" s="502"/>
      <c r="B690" s="34"/>
      <c r="C690" s="34"/>
      <c r="D690" s="34"/>
      <c r="E690" s="34"/>
      <c r="F690" s="34"/>
      <c r="G690" s="34"/>
      <c r="H690" s="34"/>
      <c r="I690" s="29"/>
      <c r="J690" s="29"/>
      <c r="K690" s="29"/>
      <c r="L690" s="29"/>
      <c r="M690" s="34"/>
      <c r="N690" s="34"/>
      <c r="O690" s="29"/>
      <c r="P690" s="29"/>
      <c r="Q690" s="29"/>
      <c r="R690" s="34"/>
      <c r="S690" s="29"/>
      <c r="T690" s="29"/>
      <c r="U690" s="2"/>
      <c r="V690" s="34"/>
      <c r="W690" s="34"/>
      <c r="X690" s="34"/>
      <c r="Y690" s="29"/>
      <c r="Z690" s="34"/>
      <c r="AA690" s="34"/>
      <c r="AB690" s="29"/>
      <c r="AC690" s="34"/>
      <c r="AD690" s="29"/>
      <c r="AE690" s="34"/>
      <c r="AF690" s="34"/>
    </row>
    <row x14ac:dyDescent="0.25" r="691" customHeight="1" ht="15.75">
      <c r="A691" s="502"/>
      <c r="B691" s="34"/>
      <c r="C691" s="34"/>
      <c r="D691" s="34"/>
      <c r="E691" s="34"/>
      <c r="F691" s="34"/>
      <c r="G691" s="34"/>
      <c r="H691" s="34"/>
      <c r="I691" s="29"/>
      <c r="J691" s="29"/>
      <c r="K691" s="29"/>
      <c r="L691" s="29"/>
      <c r="M691" s="34"/>
      <c r="N691" s="34"/>
      <c r="O691" s="29"/>
      <c r="P691" s="29"/>
      <c r="Q691" s="29"/>
      <c r="R691" s="34"/>
      <c r="S691" s="29"/>
      <c r="T691" s="29"/>
      <c r="U691" s="2"/>
      <c r="V691" s="34"/>
      <c r="W691" s="34"/>
      <c r="X691" s="34"/>
      <c r="Y691" s="29"/>
      <c r="Z691" s="34"/>
      <c r="AA691" s="34"/>
      <c r="AB691" s="29"/>
      <c r="AC691" s="34"/>
      <c r="AD691" s="29"/>
      <c r="AE691" s="34"/>
      <c r="AF691" s="34"/>
    </row>
    <row x14ac:dyDescent="0.25" r="692" customHeight="1" ht="15.75">
      <c r="A692" s="502"/>
      <c r="B692" s="34"/>
      <c r="C692" s="34"/>
      <c r="D692" s="34"/>
      <c r="E692" s="34"/>
      <c r="F692" s="34"/>
      <c r="G692" s="34"/>
      <c r="H692" s="34"/>
      <c r="I692" s="29"/>
      <c r="J692" s="29"/>
      <c r="K692" s="29"/>
      <c r="L692" s="29"/>
      <c r="M692" s="34"/>
      <c r="N692" s="34"/>
      <c r="O692" s="29"/>
      <c r="P692" s="29"/>
      <c r="Q692" s="29"/>
      <c r="R692" s="34"/>
      <c r="S692" s="29"/>
      <c r="T692" s="29"/>
      <c r="U692" s="2"/>
      <c r="V692" s="34"/>
      <c r="W692" s="34"/>
      <c r="X692" s="34"/>
      <c r="Y692" s="29"/>
      <c r="Z692" s="34"/>
      <c r="AA692" s="34"/>
      <c r="AB692" s="29"/>
      <c r="AC692" s="34"/>
      <c r="AD692" s="29"/>
      <c r="AE692" s="34"/>
      <c r="AF692" s="34"/>
    </row>
    <row x14ac:dyDescent="0.25" r="693" customHeight="1" ht="15.75">
      <c r="A693" s="502"/>
      <c r="B693" s="34"/>
      <c r="C693" s="34"/>
      <c r="D693" s="34"/>
      <c r="E693" s="34"/>
      <c r="F693" s="34"/>
      <c r="G693" s="34"/>
      <c r="H693" s="34"/>
      <c r="I693" s="29"/>
      <c r="J693" s="29"/>
      <c r="K693" s="29"/>
      <c r="L693" s="29"/>
      <c r="M693" s="34"/>
      <c r="N693" s="34"/>
      <c r="O693" s="29"/>
      <c r="P693" s="29"/>
      <c r="Q693" s="29"/>
      <c r="R693" s="34"/>
      <c r="S693" s="29"/>
      <c r="T693" s="29"/>
      <c r="U693" s="2"/>
      <c r="V693" s="34"/>
      <c r="W693" s="34"/>
      <c r="X693" s="34"/>
      <c r="Y693" s="29"/>
      <c r="Z693" s="34"/>
      <c r="AA693" s="34"/>
      <c r="AB693" s="29"/>
      <c r="AC693" s="34"/>
      <c r="AD693" s="29"/>
      <c r="AE693" s="34"/>
      <c r="AF693" s="34"/>
    </row>
    <row x14ac:dyDescent="0.25" r="694" customHeight="1" ht="15.75">
      <c r="A694" s="502"/>
      <c r="B694" s="34"/>
      <c r="C694" s="34"/>
      <c r="D694" s="34"/>
      <c r="E694" s="34"/>
      <c r="F694" s="34"/>
      <c r="G694" s="34"/>
      <c r="H694" s="34"/>
      <c r="I694" s="29"/>
      <c r="J694" s="29"/>
      <c r="K694" s="29"/>
      <c r="L694" s="29"/>
      <c r="M694" s="34"/>
      <c r="N694" s="34"/>
      <c r="O694" s="29"/>
      <c r="P694" s="29"/>
      <c r="Q694" s="29"/>
      <c r="R694" s="34"/>
      <c r="S694" s="29"/>
      <c r="T694" s="29"/>
      <c r="U694" s="2"/>
      <c r="V694" s="34"/>
      <c r="W694" s="34"/>
      <c r="X694" s="34"/>
      <c r="Y694" s="29"/>
      <c r="Z694" s="34"/>
      <c r="AA694" s="34"/>
      <c r="AB694" s="29"/>
      <c r="AC694" s="34"/>
      <c r="AD694" s="29"/>
      <c r="AE694" s="34"/>
      <c r="AF694" s="34"/>
    </row>
    <row x14ac:dyDescent="0.25" r="695" customHeight="1" ht="15.75">
      <c r="A695" s="502"/>
      <c r="B695" s="34"/>
      <c r="C695" s="34"/>
      <c r="D695" s="34"/>
      <c r="E695" s="34"/>
      <c r="F695" s="34"/>
      <c r="G695" s="34"/>
      <c r="H695" s="34"/>
      <c r="I695" s="29"/>
      <c r="J695" s="29"/>
      <c r="K695" s="29"/>
      <c r="L695" s="29"/>
      <c r="M695" s="34"/>
      <c r="N695" s="34"/>
      <c r="O695" s="29"/>
      <c r="P695" s="29"/>
      <c r="Q695" s="29"/>
      <c r="R695" s="34"/>
      <c r="S695" s="29"/>
      <c r="T695" s="29"/>
      <c r="U695" s="2"/>
      <c r="V695" s="34"/>
      <c r="W695" s="34"/>
      <c r="X695" s="34"/>
      <c r="Y695" s="29"/>
      <c r="Z695" s="34"/>
      <c r="AA695" s="34"/>
      <c r="AB695" s="29"/>
      <c r="AC695" s="34"/>
      <c r="AD695" s="29"/>
      <c r="AE695" s="34"/>
      <c r="AF695" s="34"/>
    </row>
    <row x14ac:dyDescent="0.25" r="696" customHeight="1" ht="15.75">
      <c r="A696" s="502"/>
      <c r="B696" s="34"/>
      <c r="C696" s="34"/>
      <c r="D696" s="34"/>
      <c r="E696" s="34"/>
      <c r="F696" s="34"/>
      <c r="G696" s="34"/>
      <c r="H696" s="34"/>
      <c r="I696" s="29"/>
      <c r="J696" s="29"/>
      <c r="K696" s="29"/>
      <c r="L696" s="29"/>
      <c r="M696" s="34"/>
      <c r="N696" s="34"/>
      <c r="O696" s="29"/>
      <c r="P696" s="29"/>
      <c r="Q696" s="29"/>
      <c r="R696" s="34"/>
      <c r="S696" s="29"/>
      <c r="T696" s="29"/>
      <c r="U696" s="2"/>
      <c r="V696" s="34"/>
      <c r="W696" s="34"/>
      <c r="X696" s="34"/>
      <c r="Y696" s="29"/>
      <c r="Z696" s="34"/>
      <c r="AA696" s="34"/>
      <c r="AB696" s="29"/>
      <c r="AC696" s="34"/>
      <c r="AD696" s="29"/>
      <c r="AE696" s="34"/>
      <c r="AF696" s="34"/>
    </row>
    <row x14ac:dyDescent="0.25" r="697" customHeight="1" ht="15.75">
      <c r="A697" s="502"/>
      <c r="B697" s="34"/>
      <c r="C697" s="34"/>
      <c r="D697" s="34"/>
      <c r="E697" s="34"/>
      <c r="F697" s="34"/>
      <c r="G697" s="34"/>
      <c r="H697" s="34"/>
      <c r="I697" s="29"/>
      <c r="J697" s="29"/>
      <c r="K697" s="29"/>
      <c r="L697" s="29"/>
      <c r="M697" s="34"/>
      <c r="N697" s="34"/>
      <c r="O697" s="29"/>
      <c r="P697" s="29"/>
      <c r="Q697" s="29"/>
      <c r="R697" s="34"/>
      <c r="S697" s="29"/>
      <c r="T697" s="29"/>
      <c r="U697" s="2"/>
      <c r="V697" s="34"/>
      <c r="W697" s="34"/>
      <c r="X697" s="34"/>
      <c r="Y697" s="29"/>
      <c r="Z697" s="34"/>
      <c r="AA697" s="34"/>
      <c r="AB697" s="29"/>
      <c r="AC697" s="34"/>
      <c r="AD697" s="29"/>
      <c r="AE697" s="34"/>
      <c r="AF697" s="34"/>
    </row>
    <row x14ac:dyDescent="0.25" r="698" customHeight="1" ht="15.75">
      <c r="A698" s="502"/>
      <c r="B698" s="34"/>
      <c r="C698" s="34"/>
      <c r="D698" s="34"/>
      <c r="E698" s="34"/>
      <c r="F698" s="34"/>
      <c r="G698" s="34"/>
      <c r="H698" s="34"/>
      <c r="I698" s="29"/>
      <c r="J698" s="29"/>
      <c r="K698" s="29"/>
      <c r="L698" s="29"/>
      <c r="M698" s="34"/>
      <c r="N698" s="34"/>
      <c r="O698" s="29"/>
      <c r="P698" s="29"/>
      <c r="Q698" s="29"/>
      <c r="R698" s="34"/>
      <c r="S698" s="29"/>
      <c r="T698" s="29"/>
      <c r="U698" s="2"/>
      <c r="V698" s="34"/>
      <c r="W698" s="34"/>
      <c r="X698" s="34"/>
      <c r="Y698" s="29"/>
      <c r="Z698" s="34"/>
      <c r="AA698" s="34"/>
      <c r="AB698" s="29"/>
      <c r="AC698" s="34"/>
      <c r="AD698" s="29"/>
      <c r="AE698" s="34"/>
      <c r="AF698" s="34"/>
    </row>
    <row x14ac:dyDescent="0.25" r="699" customHeight="1" ht="15.75">
      <c r="A699" s="502"/>
      <c r="B699" s="34"/>
      <c r="C699" s="34"/>
      <c r="D699" s="34"/>
      <c r="E699" s="34"/>
      <c r="F699" s="34"/>
      <c r="G699" s="34"/>
      <c r="H699" s="34"/>
      <c r="I699" s="29"/>
      <c r="J699" s="29"/>
      <c r="K699" s="29"/>
      <c r="L699" s="29"/>
      <c r="M699" s="34"/>
      <c r="N699" s="34"/>
      <c r="O699" s="29"/>
      <c r="P699" s="29"/>
      <c r="Q699" s="29"/>
      <c r="R699" s="34"/>
      <c r="S699" s="29"/>
      <c r="T699" s="29"/>
      <c r="U699" s="2"/>
      <c r="V699" s="34"/>
      <c r="W699" s="34"/>
      <c r="X699" s="34"/>
      <c r="Y699" s="29"/>
      <c r="Z699" s="34"/>
      <c r="AA699" s="34"/>
      <c r="AB699" s="29"/>
      <c r="AC699" s="34"/>
      <c r="AD699" s="29"/>
      <c r="AE699" s="34"/>
      <c r="AF699" s="34"/>
    </row>
    <row x14ac:dyDescent="0.25" r="700" customHeight="1" ht="15.75">
      <c r="A700" s="502"/>
      <c r="B700" s="34"/>
      <c r="C700" s="34"/>
      <c r="D700" s="34"/>
      <c r="E700" s="34"/>
      <c r="F700" s="34"/>
      <c r="G700" s="34"/>
      <c r="H700" s="34"/>
      <c r="I700" s="29"/>
      <c r="J700" s="29"/>
      <c r="K700" s="29"/>
      <c r="L700" s="29"/>
      <c r="M700" s="34"/>
      <c r="N700" s="34"/>
      <c r="O700" s="29"/>
      <c r="P700" s="29"/>
      <c r="Q700" s="29"/>
      <c r="R700" s="34"/>
      <c r="S700" s="29"/>
      <c r="T700" s="29"/>
      <c r="U700" s="2"/>
      <c r="V700" s="34"/>
      <c r="W700" s="34"/>
      <c r="X700" s="34"/>
      <c r="Y700" s="29"/>
      <c r="Z700" s="34"/>
      <c r="AA700" s="34"/>
      <c r="AB700" s="29"/>
      <c r="AC700" s="34"/>
      <c r="AD700" s="29"/>
      <c r="AE700" s="34"/>
      <c r="AF700" s="34"/>
    </row>
    <row x14ac:dyDescent="0.25" r="701" customHeight="1" ht="15.75">
      <c r="A701" s="502"/>
      <c r="B701" s="34"/>
      <c r="C701" s="34"/>
      <c r="D701" s="34"/>
      <c r="E701" s="34"/>
      <c r="F701" s="34"/>
      <c r="G701" s="34"/>
      <c r="H701" s="34"/>
      <c r="I701" s="29"/>
      <c r="J701" s="29"/>
      <c r="K701" s="29"/>
      <c r="L701" s="29"/>
      <c r="M701" s="34"/>
      <c r="N701" s="34"/>
      <c r="O701" s="29"/>
      <c r="P701" s="29"/>
      <c r="Q701" s="29"/>
      <c r="R701" s="34"/>
      <c r="S701" s="29"/>
      <c r="T701" s="29"/>
      <c r="U701" s="2"/>
      <c r="V701" s="34"/>
      <c r="W701" s="34"/>
      <c r="X701" s="34"/>
      <c r="Y701" s="29"/>
      <c r="Z701" s="34"/>
      <c r="AA701" s="34"/>
      <c r="AB701" s="29"/>
      <c r="AC701" s="34"/>
      <c r="AD701" s="29"/>
      <c r="AE701" s="34"/>
      <c r="AF701" s="34"/>
    </row>
    <row x14ac:dyDescent="0.25" r="702" customHeight="1" ht="15.75">
      <c r="A702" s="502"/>
      <c r="B702" s="34"/>
      <c r="C702" s="34"/>
      <c r="D702" s="34"/>
      <c r="E702" s="34"/>
      <c r="F702" s="34"/>
      <c r="G702" s="34"/>
      <c r="H702" s="34"/>
      <c r="I702" s="29"/>
      <c r="J702" s="29"/>
      <c r="K702" s="29"/>
      <c r="L702" s="29"/>
      <c r="M702" s="34"/>
      <c r="N702" s="34"/>
      <c r="O702" s="29"/>
      <c r="P702" s="29"/>
      <c r="Q702" s="29"/>
      <c r="R702" s="34"/>
      <c r="S702" s="29"/>
      <c r="T702" s="29"/>
      <c r="U702" s="2"/>
      <c r="V702" s="34"/>
      <c r="W702" s="34"/>
      <c r="X702" s="34"/>
      <c r="Y702" s="29"/>
      <c r="Z702" s="34"/>
      <c r="AA702" s="34"/>
      <c r="AB702" s="29"/>
      <c r="AC702" s="34"/>
      <c r="AD702" s="29"/>
      <c r="AE702" s="34"/>
      <c r="AF702" s="34"/>
    </row>
    <row x14ac:dyDescent="0.25" r="703" customHeight="1" ht="15.75">
      <c r="A703" s="502"/>
      <c r="B703" s="34"/>
      <c r="C703" s="34"/>
      <c r="D703" s="34"/>
      <c r="E703" s="34"/>
      <c r="F703" s="34"/>
      <c r="G703" s="34"/>
      <c r="H703" s="34"/>
      <c r="I703" s="29"/>
      <c r="J703" s="29"/>
      <c r="K703" s="29"/>
      <c r="L703" s="29"/>
      <c r="M703" s="34"/>
      <c r="N703" s="34"/>
      <c r="O703" s="29"/>
      <c r="P703" s="29"/>
      <c r="Q703" s="29"/>
      <c r="R703" s="34"/>
      <c r="S703" s="29"/>
      <c r="T703" s="29"/>
      <c r="U703" s="2"/>
      <c r="V703" s="34"/>
      <c r="W703" s="34"/>
      <c r="X703" s="34"/>
      <c r="Y703" s="29"/>
      <c r="Z703" s="34"/>
      <c r="AA703" s="34"/>
      <c r="AB703" s="29"/>
      <c r="AC703" s="34"/>
      <c r="AD703" s="29"/>
      <c r="AE703" s="34"/>
      <c r="AF703" s="34"/>
    </row>
    <row x14ac:dyDescent="0.25" r="704" customHeight="1" ht="15.75">
      <c r="A704" s="502"/>
      <c r="B704" s="34"/>
      <c r="C704" s="34"/>
      <c r="D704" s="34"/>
      <c r="E704" s="34"/>
      <c r="F704" s="34"/>
      <c r="G704" s="34"/>
      <c r="H704" s="34"/>
      <c r="I704" s="29"/>
      <c r="J704" s="29"/>
      <c r="K704" s="29"/>
      <c r="L704" s="29"/>
      <c r="M704" s="34"/>
      <c r="N704" s="34"/>
      <c r="O704" s="29"/>
      <c r="P704" s="29"/>
      <c r="Q704" s="29"/>
      <c r="R704" s="34"/>
      <c r="S704" s="29"/>
      <c r="T704" s="29"/>
      <c r="U704" s="2"/>
      <c r="V704" s="34"/>
      <c r="W704" s="34"/>
      <c r="X704" s="34"/>
      <c r="Y704" s="29"/>
      <c r="Z704" s="34"/>
      <c r="AA704" s="34"/>
      <c r="AB704" s="29"/>
      <c r="AC704" s="34"/>
      <c r="AD704" s="29"/>
      <c r="AE704" s="34"/>
      <c r="AF704" s="34"/>
    </row>
    <row x14ac:dyDescent="0.25" r="705" customHeight="1" ht="15.75">
      <c r="A705" s="502"/>
      <c r="B705" s="34"/>
      <c r="C705" s="34"/>
      <c r="D705" s="34"/>
      <c r="E705" s="34"/>
      <c r="F705" s="34"/>
      <c r="G705" s="34"/>
      <c r="H705" s="34"/>
      <c r="I705" s="29"/>
      <c r="J705" s="29"/>
      <c r="K705" s="29"/>
      <c r="L705" s="29"/>
      <c r="M705" s="34"/>
      <c r="N705" s="34"/>
      <c r="O705" s="29"/>
      <c r="P705" s="29"/>
      <c r="Q705" s="29"/>
      <c r="R705" s="34"/>
      <c r="S705" s="29"/>
      <c r="T705" s="29"/>
      <c r="U705" s="2"/>
      <c r="V705" s="34"/>
      <c r="W705" s="34"/>
      <c r="X705" s="34"/>
      <c r="Y705" s="29"/>
      <c r="Z705" s="34"/>
      <c r="AA705" s="34"/>
      <c r="AB705" s="29"/>
      <c r="AC705" s="34"/>
      <c r="AD705" s="29"/>
      <c r="AE705" s="34"/>
      <c r="AF705" s="34"/>
    </row>
    <row x14ac:dyDescent="0.25" r="706" customHeight="1" ht="15.75">
      <c r="A706" s="502"/>
      <c r="B706" s="34"/>
      <c r="C706" s="34"/>
      <c r="D706" s="34"/>
      <c r="E706" s="34"/>
      <c r="F706" s="34"/>
      <c r="G706" s="34"/>
      <c r="H706" s="34"/>
      <c r="I706" s="29"/>
      <c r="J706" s="29"/>
      <c r="K706" s="29"/>
      <c r="L706" s="29"/>
      <c r="M706" s="34"/>
      <c r="N706" s="34"/>
      <c r="O706" s="29"/>
      <c r="P706" s="29"/>
      <c r="Q706" s="29"/>
      <c r="R706" s="34"/>
      <c r="S706" s="29"/>
      <c r="T706" s="29"/>
      <c r="U706" s="2"/>
      <c r="V706" s="34"/>
      <c r="W706" s="34"/>
      <c r="X706" s="34"/>
      <c r="Y706" s="29"/>
      <c r="Z706" s="34"/>
      <c r="AA706" s="34"/>
      <c r="AB706" s="29"/>
      <c r="AC706" s="34"/>
      <c r="AD706" s="29"/>
      <c r="AE706" s="34"/>
      <c r="AF706" s="34"/>
    </row>
    <row x14ac:dyDescent="0.25" r="707" customHeight="1" ht="15.75">
      <c r="A707" s="502"/>
      <c r="B707" s="34"/>
      <c r="C707" s="34"/>
      <c r="D707" s="34"/>
      <c r="E707" s="34"/>
      <c r="F707" s="34"/>
      <c r="G707" s="34"/>
      <c r="H707" s="34"/>
      <c r="I707" s="29"/>
      <c r="J707" s="29"/>
      <c r="K707" s="29"/>
      <c r="L707" s="29"/>
      <c r="M707" s="34"/>
      <c r="N707" s="34"/>
      <c r="O707" s="29"/>
      <c r="P707" s="29"/>
      <c r="Q707" s="29"/>
      <c r="R707" s="34"/>
      <c r="S707" s="29"/>
      <c r="T707" s="29"/>
      <c r="U707" s="2"/>
      <c r="V707" s="34"/>
      <c r="W707" s="34"/>
      <c r="X707" s="34"/>
      <c r="Y707" s="29"/>
      <c r="Z707" s="34"/>
      <c r="AA707" s="34"/>
      <c r="AB707" s="29"/>
      <c r="AC707" s="34"/>
      <c r="AD707" s="29"/>
      <c r="AE707" s="34"/>
      <c r="AF707" s="34"/>
    </row>
    <row x14ac:dyDescent="0.25" r="708" customHeight="1" ht="15.75">
      <c r="A708" s="502"/>
      <c r="B708" s="34"/>
      <c r="C708" s="34"/>
      <c r="D708" s="34"/>
      <c r="E708" s="34"/>
      <c r="F708" s="34"/>
      <c r="G708" s="34"/>
      <c r="H708" s="34"/>
      <c r="I708" s="29"/>
      <c r="J708" s="29"/>
      <c r="K708" s="29"/>
      <c r="L708" s="29"/>
      <c r="M708" s="34"/>
      <c r="N708" s="34"/>
      <c r="O708" s="29"/>
      <c r="P708" s="29"/>
      <c r="Q708" s="29"/>
      <c r="R708" s="34"/>
      <c r="S708" s="29"/>
      <c r="T708" s="29"/>
      <c r="U708" s="2"/>
      <c r="V708" s="34"/>
      <c r="W708" s="34"/>
      <c r="X708" s="34"/>
      <c r="Y708" s="29"/>
      <c r="Z708" s="34"/>
      <c r="AA708" s="34"/>
      <c r="AB708" s="29"/>
      <c r="AC708" s="34"/>
      <c r="AD708" s="29"/>
      <c r="AE708" s="34"/>
      <c r="AF708" s="34"/>
    </row>
    <row x14ac:dyDescent="0.25" r="709" customHeight="1" ht="15.75">
      <c r="A709" s="502"/>
      <c r="B709" s="34"/>
      <c r="C709" s="34"/>
      <c r="D709" s="34"/>
      <c r="E709" s="34"/>
      <c r="F709" s="34"/>
      <c r="G709" s="34"/>
      <c r="H709" s="34"/>
      <c r="I709" s="29"/>
      <c r="J709" s="29"/>
      <c r="K709" s="29"/>
      <c r="L709" s="29"/>
      <c r="M709" s="34"/>
      <c r="N709" s="34"/>
      <c r="O709" s="29"/>
      <c r="P709" s="29"/>
      <c r="Q709" s="29"/>
      <c r="R709" s="34"/>
      <c r="S709" s="29"/>
      <c r="T709" s="29"/>
      <c r="U709" s="2"/>
      <c r="V709" s="34"/>
      <c r="W709" s="34"/>
      <c r="X709" s="34"/>
      <c r="Y709" s="29"/>
      <c r="Z709" s="34"/>
      <c r="AA709" s="34"/>
      <c r="AB709" s="29"/>
      <c r="AC709" s="34"/>
      <c r="AD709" s="29"/>
      <c r="AE709" s="34"/>
      <c r="AF709" s="34"/>
    </row>
    <row x14ac:dyDescent="0.25" r="710" customHeight="1" ht="15.75">
      <c r="A710" s="502"/>
      <c r="B710" s="34"/>
      <c r="C710" s="34"/>
      <c r="D710" s="34"/>
      <c r="E710" s="34"/>
      <c r="F710" s="34"/>
      <c r="G710" s="34"/>
      <c r="H710" s="34"/>
      <c r="I710" s="29"/>
      <c r="J710" s="29"/>
      <c r="K710" s="29"/>
      <c r="L710" s="29"/>
      <c r="M710" s="34"/>
      <c r="N710" s="34"/>
      <c r="O710" s="29"/>
      <c r="P710" s="29"/>
      <c r="Q710" s="29"/>
      <c r="R710" s="34"/>
      <c r="S710" s="29"/>
      <c r="T710" s="29"/>
      <c r="U710" s="2"/>
      <c r="V710" s="34"/>
      <c r="W710" s="34"/>
      <c r="X710" s="34"/>
      <c r="Y710" s="29"/>
      <c r="Z710" s="34"/>
      <c r="AA710" s="34"/>
      <c r="AB710" s="29"/>
      <c r="AC710" s="34"/>
      <c r="AD710" s="29"/>
      <c r="AE710" s="34"/>
      <c r="AF710" s="34"/>
    </row>
    <row x14ac:dyDescent="0.25" r="711" customHeight="1" ht="15.75">
      <c r="A711" s="502"/>
      <c r="B711" s="34"/>
      <c r="C711" s="34"/>
      <c r="D711" s="34"/>
      <c r="E711" s="34"/>
      <c r="F711" s="34"/>
      <c r="G711" s="34"/>
      <c r="H711" s="34"/>
      <c r="I711" s="29"/>
      <c r="J711" s="29"/>
      <c r="K711" s="29"/>
      <c r="L711" s="29"/>
      <c r="M711" s="34"/>
      <c r="N711" s="34"/>
      <c r="O711" s="29"/>
      <c r="P711" s="29"/>
      <c r="Q711" s="29"/>
      <c r="R711" s="34"/>
      <c r="S711" s="29"/>
      <c r="T711" s="29"/>
      <c r="U711" s="2"/>
      <c r="V711" s="34"/>
      <c r="W711" s="34"/>
      <c r="X711" s="34"/>
      <c r="Y711" s="29"/>
      <c r="Z711" s="34"/>
      <c r="AA711" s="34"/>
      <c r="AB711" s="29"/>
      <c r="AC711" s="34"/>
      <c r="AD711" s="29"/>
      <c r="AE711" s="34"/>
      <c r="AF711" s="34"/>
    </row>
    <row x14ac:dyDescent="0.25" r="712" customHeight="1" ht="15.75">
      <c r="A712" s="502"/>
      <c r="B712" s="34"/>
      <c r="C712" s="34"/>
      <c r="D712" s="34"/>
      <c r="E712" s="34"/>
      <c r="F712" s="34"/>
      <c r="G712" s="34"/>
      <c r="H712" s="34"/>
      <c r="I712" s="29"/>
      <c r="J712" s="29"/>
      <c r="K712" s="29"/>
      <c r="L712" s="29"/>
      <c r="M712" s="34"/>
      <c r="N712" s="34"/>
      <c r="O712" s="29"/>
      <c r="P712" s="29"/>
      <c r="Q712" s="29"/>
      <c r="R712" s="34"/>
      <c r="S712" s="29"/>
      <c r="T712" s="29"/>
      <c r="U712" s="2"/>
      <c r="V712" s="34"/>
      <c r="W712" s="34"/>
      <c r="X712" s="34"/>
      <c r="Y712" s="29"/>
      <c r="Z712" s="34"/>
      <c r="AA712" s="34"/>
      <c r="AB712" s="29"/>
      <c r="AC712" s="34"/>
      <c r="AD712" s="29"/>
      <c r="AE712" s="34"/>
      <c r="AF712" s="34"/>
    </row>
    <row x14ac:dyDescent="0.25" r="713" customHeight="1" ht="15.75">
      <c r="A713" s="502"/>
      <c r="B713" s="34"/>
      <c r="C713" s="34"/>
      <c r="D713" s="34"/>
      <c r="E713" s="34"/>
      <c r="F713" s="34"/>
      <c r="G713" s="34"/>
      <c r="H713" s="34"/>
      <c r="I713" s="29"/>
      <c r="J713" s="29"/>
      <c r="K713" s="29"/>
      <c r="L713" s="29"/>
      <c r="M713" s="34"/>
      <c r="N713" s="34"/>
      <c r="O713" s="29"/>
      <c r="P713" s="29"/>
      <c r="Q713" s="29"/>
      <c r="R713" s="34"/>
      <c r="S713" s="29"/>
      <c r="T713" s="29"/>
      <c r="U713" s="2"/>
      <c r="V713" s="34"/>
      <c r="W713" s="34"/>
      <c r="X713" s="34"/>
      <c r="Y713" s="29"/>
      <c r="Z713" s="34"/>
      <c r="AA713" s="34"/>
      <c r="AB713" s="29"/>
      <c r="AC713" s="34"/>
      <c r="AD713" s="29"/>
      <c r="AE713" s="34"/>
      <c r="AF713" s="34"/>
    </row>
    <row x14ac:dyDescent="0.25" r="714" customHeight="1" ht="15.75">
      <c r="A714" s="502"/>
      <c r="B714" s="34"/>
      <c r="C714" s="34"/>
      <c r="D714" s="34"/>
      <c r="E714" s="34"/>
      <c r="F714" s="34"/>
      <c r="G714" s="34"/>
      <c r="H714" s="34"/>
      <c r="I714" s="29"/>
      <c r="J714" s="29"/>
      <c r="K714" s="29"/>
      <c r="L714" s="29"/>
      <c r="M714" s="34"/>
      <c r="N714" s="34"/>
      <c r="O714" s="29"/>
      <c r="P714" s="29"/>
      <c r="Q714" s="29"/>
      <c r="R714" s="34"/>
      <c r="S714" s="29"/>
      <c r="T714" s="29"/>
      <c r="U714" s="2"/>
      <c r="V714" s="34"/>
      <c r="W714" s="34"/>
      <c r="X714" s="34"/>
      <c r="Y714" s="29"/>
      <c r="Z714" s="34"/>
      <c r="AA714" s="34"/>
      <c r="AB714" s="29"/>
      <c r="AC714" s="34"/>
      <c r="AD714" s="29"/>
      <c r="AE714" s="34"/>
      <c r="AF714" s="34"/>
    </row>
    <row x14ac:dyDescent="0.25" r="715" customHeight="1" ht="15.75">
      <c r="A715" s="502"/>
      <c r="B715" s="34"/>
      <c r="C715" s="34"/>
      <c r="D715" s="34"/>
      <c r="E715" s="34"/>
      <c r="F715" s="34"/>
      <c r="G715" s="34"/>
      <c r="H715" s="34"/>
      <c r="I715" s="29"/>
      <c r="J715" s="29"/>
      <c r="K715" s="29"/>
      <c r="L715" s="29"/>
      <c r="M715" s="34"/>
      <c r="N715" s="34"/>
      <c r="O715" s="29"/>
      <c r="P715" s="29"/>
      <c r="Q715" s="29"/>
      <c r="R715" s="34"/>
      <c r="S715" s="29"/>
      <c r="T715" s="29"/>
      <c r="U715" s="2"/>
      <c r="V715" s="34"/>
      <c r="W715" s="34"/>
      <c r="X715" s="34"/>
      <c r="Y715" s="29"/>
      <c r="Z715" s="34"/>
      <c r="AA715" s="34"/>
      <c r="AB715" s="29"/>
      <c r="AC715" s="34"/>
      <c r="AD715" s="29"/>
      <c r="AE715" s="34"/>
      <c r="AF715" s="34"/>
    </row>
    <row x14ac:dyDescent="0.25" r="716" customHeight="1" ht="15.75">
      <c r="A716" s="502"/>
      <c r="B716" s="34"/>
      <c r="C716" s="34"/>
      <c r="D716" s="34"/>
      <c r="E716" s="34"/>
      <c r="F716" s="34"/>
      <c r="G716" s="34"/>
      <c r="H716" s="34"/>
      <c r="I716" s="29"/>
      <c r="J716" s="29"/>
      <c r="K716" s="29"/>
      <c r="L716" s="29"/>
      <c r="M716" s="34"/>
      <c r="N716" s="34"/>
      <c r="O716" s="29"/>
      <c r="P716" s="29"/>
      <c r="Q716" s="29"/>
      <c r="R716" s="34"/>
      <c r="S716" s="29"/>
      <c r="T716" s="29"/>
      <c r="U716" s="2"/>
      <c r="V716" s="34"/>
      <c r="W716" s="34"/>
      <c r="X716" s="34"/>
      <c r="Y716" s="29"/>
      <c r="Z716" s="34"/>
      <c r="AA716" s="34"/>
      <c r="AB716" s="29"/>
      <c r="AC716" s="34"/>
      <c r="AD716" s="29"/>
      <c r="AE716" s="34"/>
      <c r="AF716" s="34"/>
    </row>
    <row x14ac:dyDescent="0.25" r="717" customHeight="1" ht="15.75">
      <c r="A717" s="502"/>
      <c r="B717" s="34"/>
      <c r="C717" s="34"/>
      <c r="D717" s="34"/>
      <c r="E717" s="34"/>
      <c r="F717" s="34"/>
      <c r="G717" s="34"/>
      <c r="H717" s="34"/>
      <c r="I717" s="29"/>
      <c r="J717" s="29"/>
      <c r="K717" s="29"/>
      <c r="L717" s="29"/>
      <c r="M717" s="34"/>
      <c r="N717" s="34"/>
      <c r="O717" s="29"/>
      <c r="P717" s="29"/>
      <c r="Q717" s="29"/>
      <c r="R717" s="34"/>
      <c r="S717" s="29"/>
      <c r="T717" s="29"/>
      <c r="U717" s="2"/>
      <c r="V717" s="34"/>
      <c r="W717" s="34"/>
      <c r="X717" s="34"/>
      <c r="Y717" s="29"/>
      <c r="Z717" s="34"/>
      <c r="AA717" s="34"/>
      <c r="AB717" s="29"/>
      <c r="AC717" s="34"/>
      <c r="AD717" s="29"/>
      <c r="AE717" s="34"/>
      <c r="AF717" s="34"/>
    </row>
    <row x14ac:dyDescent="0.25" r="718" customHeight="1" ht="15.75">
      <c r="A718" s="502"/>
      <c r="B718" s="34"/>
      <c r="C718" s="34"/>
      <c r="D718" s="34"/>
      <c r="E718" s="34"/>
      <c r="F718" s="34"/>
      <c r="G718" s="34"/>
      <c r="H718" s="34"/>
      <c r="I718" s="29"/>
      <c r="J718" s="29"/>
      <c r="K718" s="29"/>
      <c r="L718" s="29"/>
      <c r="M718" s="34"/>
      <c r="N718" s="34"/>
      <c r="O718" s="29"/>
      <c r="P718" s="29"/>
      <c r="Q718" s="29"/>
      <c r="R718" s="34"/>
      <c r="S718" s="29"/>
      <c r="T718" s="29"/>
      <c r="U718" s="2"/>
      <c r="V718" s="34"/>
      <c r="W718" s="34"/>
      <c r="X718" s="34"/>
      <c r="Y718" s="29"/>
      <c r="Z718" s="34"/>
      <c r="AA718" s="34"/>
      <c r="AB718" s="29"/>
      <c r="AC718" s="34"/>
      <c r="AD718" s="29"/>
      <c r="AE718" s="34"/>
      <c r="AF718" s="34"/>
    </row>
    <row x14ac:dyDescent="0.25" r="719" customHeight="1" ht="15.75">
      <c r="A719" s="502"/>
      <c r="B719" s="34"/>
      <c r="C719" s="34"/>
      <c r="D719" s="34"/>
      <c r="E719" s="34"/>
      <c r="F719" s="34"/>
      <c r="G719" s="34"/>
      <c r="H719" s="34"/>
      <c r="I719" s="29"/>
      <c r="J719" s="29"/>
      <c r="K719" s="29"/>
      <c r="L719" s="29"/>
      <c r="M719" s="34"/>
      <c r="N719" s="34"/>
      <c r="O719" s="29"/>
      <c r="P719" s="29"/>
      <c r="Q719" s="29"/>
      <c r="R719" s="34"/>
      <c r="S719" s="29"/>
      <c r="T719" s="29"/>
      <c r="U719" s="2"/>
      <c r="V719" s="34"/>
      <c r="W719" s="34"/>
      <c r="X719" s="34"/>
      <c r="Y719" s="29"/>
      <c r="Z719" s="34"/>
      <c r="AA719" s="34"/>
      <c r="AB719" s="29"/>
      <c r="AC719" s="34"/>
      <c r="AD719" s="29"/>
      <c r="AE719" s="34"/>
      <c r="AF719" s="34"/>
    </row>
    <row x14ac:dyDescent="0.25" r="720" customHeight="1" ht="15.75">
      <c r="A720" s="502"/>
      <c r="B720" s="34"/>
      <c r="C720" s="34"/>
      <c r="D720" s="34"/>
      <c r="E720" s="34"/>
      <c r="F720" s="34"/>
      <c r="G720" s="34"/>
      <c r="H720" s="34"/>
      <c r="I720" s="29"/>
      <c r="J720" s="29"/>
      <c r="K720" s="29"/>
      <c r="L720" s="29"/>
      <c r="M720" s="34"/>
      <c r="N720" s="34"/>
      <c r="O720" s="29"/>
      <c r="P720" s="29"/>
      <c r="Q720" s="29"/>
      <c r="R720" s="34"/>
      <c r="S720" s="29"/>
      <c r="T720" s="29"/>
      <c r="U720" s="2"/>
      <c r="V720" s="34"/>
      <c r="W720" s="34"/>
      <c r="X720" s="34"/>
      <c r="Y720" s="29"/>
      <c r="Z720" s="34"/>
      <c r="AA720" s="34"/>
      <c r="AB720" s="29"/>
      <c r="AC720" s="34"/>
      <c r="AD720" s="29"/>
      <c r="AE720" s="34"/>
      <c r="AF720" s="34"/>
    </row>
    <row x14ac:dyDescent="0.25" r="721" customHeight="1" ht="15.75">
      <c r="A721" s="502"/>
      <c r="B721" s="34"/>
      <c r="C721" s="34"/>
      <c r="D721" s="34"/>
      <c r="E721" s="34"/>
      <c r="F721" s="34"/>
      <c r="G721" s="34"/>
      <c r="H721" s="34"/>
      <c r="I721" s="29"/>
      <c r="J721" s="29"/>
      <c r="K721" s="29"/>
      <c r="L721" s="29"/>
      <c r="M721" s="34"/>
      <c r="N721" s="34"/>
      <c r="O721" s="29"/>
      <c r="P721" s="29"/>
      <c r="Q721" s="29"/>
      <c r="R721" s="34"/>
      <c r="S721" s="29"/>
      <c r="T721" s="29"/>
      <c r="U721" s="2"/>
      <c r="V721" s="34"/>
      <c r="W721" s="34"/>
      <c r="X721" s="34"/>
      <c r="Y721" s="29"/>
      <c r="Z721" s="34"/>
      <c r="AA721" s="34"/>
      <c r="AB721" s="29"/>
      <c r="AC721" s="34"/>
      <c r="AD721" s="29"/>
      <c r="AE721" s="34"/>
      <c r="AF721" s="34"/>
    </row>
    <row x14ac:dyDescent="0.25" r="722" customHeight="1" ht="15.75">
      <c r="A722" s="502"/>
      <c r="B722" s="34"/>
      <c r="C722" s="34"/>
      <c r="D722" s="34"/>
      <c r="E722" s="34"/>
      <c r="F722" s="34"/>
      <c r="G722" s="34"/>
      <c r="H722" s="34"/>
      <c r="I722" s="29"/>
      <c r="J722" s="29"/>
      <c r="K722" s="29"/>
      <c r="L722" s="29"/>
      <c r="M722" s="34"/>
      <c r="N722" s="34"/>
      <c r="O722" s="29"/>
      <c r="P722" s="29"/>
      <c r="Q722" s="29"/>
      <c r="R722" s="34"/>
      <c r="S722" s="29"/>
      <c r="T722" s="29"/>
      <c r="U722" s="2"/>
      <c r="V722" s="34"/>
      <c r="W722" s="34"/>
      <c r="X722" s="34"/>
      <c r="Y722" s="29"/>
      <c r="Z722" s="34"/>
      <c r="AA722" s="34"/>
      <c r="AB722" s="29"/>
      <c r="AC722" s="34"/>
      <c r="AD722" s="29"/>
      <c r="AE722" s="34"/>
      <c r="AF722" s="34"/>
    </row>
    <row x14ac:dyDescent="0.25" r="723" customHeight="1" ht="15.75">
      <c r="A723" s="502"/>
      <c r="B723" s="34"/>
      <c r="C723" s="34"/>
      <c r="D723" s="34"/>
      <c r="E723" s="34"/>
      <c r="F723" s="34"/>
      <c r="G723" s="34"/>
      <c r="H723" s="34"/>
      <c r="I723" s="29"/>
      <c r="J723" s="29"/>
      <c r="K723" s="29"/>
      <c r="L723" s="29"/>
      <c r="M723" s="34"/>
      <c r="N723" s="34"/>
      <c r="O723" s="29"/>
      <c r="P723" s="29"/>
      <c r="Q723" s="29"/>
      <c r="R723" s="34"/>
      <c r="S723" s="29"/>
      <c r="T723" s="29"/>
      <c r="U723" s="2"/>
      <c r="V723" s="34"/>
      <c r="W723" s="34"/>
      <c r="X723" s="34"/>
      <c r="Y723" s="29"/>
      <c r="Z723" s="34"/>
      <c r="AA723" s="34"/>
      <c r="AB723" s="29"/>
      <c r="AC723" s="34"/>
      <c r="AD723" s="29"/>
      <c r="AE723" s="34"/>
      <c r="AF723" s="34"/>
    </row>
    <row x14ac:dyDescent="0.25" r="724" customHeight="1" ht="15.75">
      <c r="A724" s="502"/>
      <c r="B724" s="34"/>
      <c r="C724" s="34"/>
      <c r="D724" s="34"/>
      <c r="E724" s="34"/>
      <c r="F724" s="34"/>
      <c r="G724" s="34"/>
      <c r="H724" s="34"/>
      <c r="I724" s="29"/>
      <c r="J724" s="29"/>
      <c r="K724" s="29"/>
      <c r="L724" s="29"/>
      <c r="M724" s="34"/>
      <c r="N724" s="34"/>
      <c r="O724" s="29"/>
      <c r="P724" s="29"/>
      <c r="Q724" s="29"/>
      <c r="R724" s="34"/>
      <c r="S724" s="29"/>
      <c r="T724" s="29"/>
      <c r="U724" s="2"/>
      <c r="V724" s="34"/>
      <c r="W724" s="34"/>
      <c r="X724" s="34"/>
      <c r="Y724" s="29"/>
      <c r="Z724" s="34"/>
      <c r="AA724" s="34"/>
      <c r="AB724" s="29"/>
      <c r="AC724" s="34"/>
      <c r="AD724" s="29"/>
      <c r="AE724" s="34"/>
      <c r="AF724" s="34"/>
    </row>
    <row x14ac:dyDescent="0.25" r="725" customHeight="1" ht="15.75">
      <c r="A725" s="502"/>
      <c r="B725" s="34"/>
      <c r="C725" s="34"/>
      <c r="D725" s="34"/>
      <c r="E725" s="34"/>
      <c r="F725" s="34"/>
      <c r="G725" s="34"/>
      <c r="H725" s="34"/>
      <c r="I725" s="29"/>
      <c r="J725" s="29"/>
      <c r="K725" s="29"/>
      <c r="L725" s="29"/>
      <c r="M725" s="34"/>
      <c r="N725" s="34"/>
      <c r="O725" s="29"/>
      <c r="P725" s="29"/>
      <c r="Q725" s="29"/>
      <c r="R725" s="34"/>
      <c r="S725" s="29"/>
      <c r="T725" s="29"/>
      <c r="U725" s="2"/>
      <c r="V725" s="34"/>
      <c r="W725" s="34"/>
      <c r="X725" s="34"/>
      <c r="Y725" s="29"/>
      <c r="Z725" s="34"/>
      <c r="AA725" s="34"/>
      <c r="AB725" s="29"/>
      <c r="AC725" s="34"/>
      <c r="AD725" s="29"/>
      <c r="AE725" s="34"/>
      <c r="AF725" s="34"/>
    </row>
    <row x14ac:dyDescent="0.25" r="726" customHeight="1" ht="15.75">
      <c r="A726" s="502"/>
      <c r="B726" s="34"/>
      <c r="C726" s="34"/>
      <c r="D726" s="34"/>
      <c r="E726" s="34"/>
      <c r="F726" s="34"/>
      <c r="G726" s="34"/>
      <c r="H726" s="34"/>
      <c r="I726" s="29"/>
      <c r="J726" s="29"/>
      <c r="K726" s="29"/>
      <c r="L726" s="29"/>
      <c r="M726" s="34"/>
      <c r="N726" s="34"/>
      <c r="O726" s="29"/>
      <c r="P726" s="29"/>
      <c r="Q726" s="29"/>
      <c r="R726" s="34"/>
      <c r="S726" s="29"/>
      <c r="T726" s="29"/>
      <c r="U726" s="2"/>
      <c r="V726" s="34"/>
      <c r="W726" s="34"/>
      <c r="X726" s="34"/>
      <c r="Y726" s="29"/>
      <c r="Z726" s="34"/>
      <c r="AA726" s="34"/>
      <c r="AB726" s="29"/>
      <c r="AC726" s="34"/>
      <c r="AD726" s="29"/>
      <c r="AE726" s="34"/>
      <c r="AF726" s="34"/>
    </row>
    <row x14ac:dyDescent="0.25" r="727" customHeight="1" ht="15.75">
      <c r="A727" s="502"/>
      <c r="B727" s="34"/>
      <c r="C727" s="34"/>
      <c r="D727" s="34"/>
      <c r="E727" s="34"/>
      <c r="F727" s="34"/>
      <c r="G727" s="34"/>
      <c r="H727" s="34"/>
      <c r="I727" s="29"/>
      <c r="J727" s="29"/>
      <c r="K727" s="29"/>
      <c r="L727" s="29"/>
      <c r="M727" s="34"/>
      <c r="N727" s="34"/>
      <c r="O727" s="29"/>
      <c r="P727" s="29"/>
      <c r="Q727" s="29"/>
      <c r="R727" s="34"/>
      <c r="S727" s="29"/>
      <c r="T727" s="29"/>
      <c r="U727" s="2"/>
      <c r="V727" s="34"/>
      <c r="W727" s="34"/>
      <c r="X727" s="34"/>
      <c r="Y727" s="29"/>
      <c r="Z727" s="34"/>
      <c r="AA727" s="34"/>
      <c r="AB727" s="29"/>
      <c r="AC727" s="34"/>
      <c r="AD727" s="29"/>
      <c r="AE727" s="34"/>
      <c r="AF727" s="34"/>
    </row>
    <row x14ac:dyDescent="0.25" r="728" customHeight="1" ht="15.75">
      <c r="A728" s="502"/>
      <c r="B728" s="34"/>
      <c r="C728" s="34"/>
      <c r="D728" s="34"/>
      <c r="E728" s="34"/>
      <c r="F728" s="34"/>
      <c r="G728" s="34"/>
      <c r="H728" s="34"/>
      <c r="I728" s="29"/>
      <c r="J728" s="29"/>
      <c r="K728" s="29"/>
      <c r="L728" s="29"/>
      <c r="M728" s="34"/>
      <c r="N728" s="34"/>
      <c r="O728" s="29"/>
      <c r="P728" s="29"/>
      <c r="Q728" s="29"/>
      <c r="R728" s="34"/>
      <c r="S728" s="29"/>
      <c r="T728" s="29"/>
      <c r="U728" s="2"/>
      <c r="V728" s="34"/>
      <c r="W728" s="34"/>
      <c r="X728" s="34"/>
      <c r="Y728" s="29"/>
      <c r="Z728" s="34"/>
      <c r="AA728" s="34"/>
      <c r="AB728" s="29"/>
      <c r="AC728" s="34"/>
      <c r="AD728" s="29"/>
      <c r="AE728" s="34"/>
      <c r="AF728" s="34"/>
    </row>
    <row x14ac:dyDescent="0.25" r="729" customHeight="1" ht="15.75">
      <c r="A729" s="502"/>
      <c r="B729" s="34"/>
      <c r="C729" s="34"/>
      <c r="D729" s="34"/>
      <c r="E729" s="34"/>
      <c r="F729" s="34"/>
      <c r="G729" s="34"/>
      <c r="H729" s="34"/>
      <c r="I729" s="29"/>
      <c r="J729" s="29"/>
      <c r="K729" s="29"/>
      <c r="L729" s="29"/>
      <c r="M729" s="34"/>
      <c r="N729" s="34"/>
      <c r="O729" s="29"/>
      <c r="P729" s="29"/>
      <c r="Q729" s="29"/>
      <c r="R729" s="34"/>
      <c r="S729" s="29"/>
      <c r="T729" s="29"/>
      <c r="U729" s="2"/>
      <c r="V729" s="34"/>
      <c r="W729" s="34"/>
      <c r="X729" s="34"/>
      <c r="Y729" s="29"/>
      <c r="Z729" s="34"/>
      <c r="AA729" s="34"/>
      <c r="AB729" s="29"/>
      <c r="AC729" s="34"/>
      <c r="AD729" s="29"/>
      <c r="AE729" s="34"/>
      <c r="AF729" s="34"/>
    </row>
    <row x14ac:dyDescent="0.25" r="730" customHeight="1" ht="15.75">
      <c r="A730" s="502"/>
      <c r="B730" s="34"/>
      <c r="C730" s="34"/>
      <c r="D730" s="34"/>
      <c r="E730" s="34"/>
      <c r="F730" s="34"/>
      <c r="G730" s="34"/>
      <c r="H730" s="34"/>
      <c r="I730" s="29"/>
      <c r="J730" s="29"/>
      <c r="K730" s="29"/>
      <c r="L730" s="29"/>
      <c r="M730" s="34"/>
      <c r="N730" s="34"/>
      <c r="O730" s="29"/>
      <c r="P730" s="29"/>
      <c r="Q730" s="29"/>
      <c r="R730" s="34"/>
      <c r="S730" s="29"/>
      <c r="T730" s="29"/>
      <c r="U730" s="2"/>
      <c r="V730" s="34"/>
      <c r="W730" s="34"/>
      <c r="X730" s="34"/>
      <c r="Y730" s="29"/>
      <c r="Z730" s="34"/>
      <c r="AA730" s="34"/>
      <c r="AB730" s="29"/>
      <c r="AC730" s="34"/>
      <c r="AD730" s="29"/>
      <c r="AE730" s="34"/>
      <c r="AF730" s="34"/>
    </row>
    <row x14ac:dyDescent="0.25" r="731" customHeight="1" ht="15.75">
      <c r="A731" s="502"/>
      <c r="B731" s="34"/>
      <c r="C731" s="34"/>
      <c r="D731" s="34"/>
      <c r="E731" s="34"/>
      <c r="F731" s="34"/>
      <c r="G731" s="34"/>
      <c r="H731" s="34"/>
      <c r="I731" s="29"/>
      <c r="J731" s="29"/>
      <c r="K731" s="29"/>
      <c r="L731" s="29"/>
      <c r="M731" s="34"/>
      <c r="N731" s="34"/>
      <c r="O731" s="29"/>
      <c r="P731" s="29"/>
      <c r="Q731" s="29"/>
      <c r="R731" s="34"/>
      <c r="S731" s="29"/>
      <c r="T731" s="29"/>
      <c r="U731" s="2"/>
      <c r="V731" s="34"/>
      <c r="W731" s="34"/>
      <c r="X731" s="34"/>
      <c r="Y731" s="29"/>
      <c r="Z731" s="34"/>
      <c r="AA731" s="34"/>
      <c r="AB731" s="29"/>
      <c r="AC731" s="34"/>
      <c r="AD731" s="29"/>
      <c r="AE731" s="34"/>
      <c r="AF731" s="34"/>
    </row>
    <row x14ac:dyDescent="0.25" r="732" customHeight="1" ht="15.75">
      <c r="A732" s="502"/>
      <c r="B732" s="34"/>
      <c r="C732" s="34"/>
      <c r="D732" s="34"/>
      <c r="E732" s="34"/>
      <c r="F732" s="34"/>
      <c r="G732" s="34"/>
      <c r="H732" s="34"/>
      <c r="I732" s="29"/>
      <c r="J732" s="29"/>
      <c r="K732" s="29"/>
      <c r="L732" s="29"/>
      <c r="M732" s="34"/>
      <c r="N732" s="34"/>
      <c r="O732" s="29"/>
      <c r="P732" s="29"/>
      <c r="Q732" s="29"/>
      <c r="R732" s="34"/>
      <c r="S732" s="29"/>
      <c r="T732" s="29"/>
      <c r="U732" s="2"/>
      <c r="V732" s="34"/>
      <c r="W732" s="34"/>
      <c r="X732" s="34"/>
      <c r="Y732" s="29"/>
      <c r="Z732" s="34"/>
      <c r="AA732" s="34"/>
      <c r="AB732" s="29"/>
      <c r="AC732" s="34"/>
      <c r="AD732" s="29"/>
      <c r="AE732" s="34"/>
      <c r="AF732" s="34"/>
    </row>
    <row x14ac:dyDescent="0.25" r="733" customHeight="1" ht="15.75">
      <c r="A733" s="502"/>
      <c r="B733" s="34"/>
      <c r="C733" s="34"/>
      <c r="D733" s="34"/>
      <c r="E733" s="34"/>
      <c r="F733" s="34"/>
      <c r="G733" s="34"/>
      <c r="H733" s="34"/>
      <c r="I733" s="29"/>
      <c r="J733" s="29"/>
      <c r="K733" s="29"/>
      <c r="L733" s="29"/>
      <c r="M733" s="34"/>
      <c r="N733" s="34"/>
      <c r="O733" s="29"/>
      <c r="P733" s="29"/>
      <c r="Q733" s="29"/>
      <c r="R733" s="34"/>
      <c r="S733" s="29"/>
      <c r="T733" s="29"/>
      <c r="U733" s="2"/>
      <c r="V733" s="34"/>
      <c r="W733" s="34"/>
      <c r="X733" s="34"/>
      <c r="Y733" s="29"/>
      <c r="Z733" s="34"/>
      <c r="AA733" s="34"/>
      <c r="AB733" s="29"/>
      <c r="AC733" s="34"/>
      <c r="AD733" s="29"/>
      <c r="AE733" s="34"/>
      <c r="AF733" s="34"/>
    </row>
    <row x14ac:dyDescent="0.25" r="734" customHeight="1" ht="15.75">
      <c r="A734" s="502"/>
      <c r="B734" s="34"/>
      <c r="C734" s="34"/>
      <c r="D734" s="34"/>
      <c r="E734" s="34"/>
      <c r="F734" s="34"/>
      <c r="G734" s="34"/>
      <c r="H734" s="34"/>
      <c r="I734" s="29"/>
      <c r="J734" s="29"/>
      <c r="K734" s="29"/>
      <c r="L734" s="29"/>
      <c r="M734" s="34"/>
      <c r="N734" s="34"/>
      <c r="O734" s="29"/>
      <c r="P734" s="29"/>
      <c r="Q734" s="29"/>
      <c r="R734" s="34"/>
      <c r="S734" s="29"/>
      <c r="T734" s="29"/>
      <c r="U734" s="2"/>
      <c r="V734" s="34"/>
      <c r="W734" s="34"/>
      <c r="X734" s="34"/>
      <c r="Y734" s="29"/>
      <c r="Z734" s="34"/>
      <c r="AA734" s="34"/>
      <c r="AB734" s="29"/>
      <c r="AC734" s="34"/>
      <c r="AD734" s="29"/>
      <c r="AE734" s="34"/>
      <c r="AF734" s="34"/>
    </row>
    <row x14ac:dyDescent="0.25" r="735" customHeight="1" ht="15.75">
      <c r="A735" s="502"/>
      <c r="B735" s="34"/>
      <c r="C735" s="34"/>
      <c r="D735" s="34"/>
      <c r="E735" s="34"/>
      <c r="F735" s="34"/>
      <c r="G735" s="34"/>
      <c r="H735" s="34"/>
      <c r="I735" s="29"/>
      <c r="J735" s="29"/>
      <c r="K735" s="29"/>
      <c r="L735" s="29"/>
      <c r="M735" s="34"/>
      <c r="N735" s="34"/>
      <c r="O735" s="29"/>
      <c r="P735" s="29"/>
      <c r="Q735" s="29"/>
      <c r="R735" s="34"/>
      <c r="S735" s="29"/>
      <c r="T735" s="29"/>
      <c r="U735" s="2"/>
      <c r="V735" s="34"/>
      <c r="W735" s="34"/>
      <c r="X735" s="34"/>
      <c r="Y735" s="29"/>
      <c r="Z735" s="34"/>
      <c r="AA735" s="34"/>
      <c r="AB735" s="29"/>
      <c r="AC735" s="34"/>
      <c r="AD735" s="29"/>
      <c r="AE735" s="34"/>
      <c r="AF735" s="34"/>
    </row>
    <row x14ac:dyDescent="0.25" r="736" customHeight="1" ht="15.75">
      <c r="A736" s="502"/>
      <c r="B736" s="34"/>
      <c r="C736" s="34"/>
      <c r="D736" s="34"/>
      <c r="E736" s="34"/>
      <c r="F736" s="34"/>
      <c r="G736" s="34"/>
      <c r="H736" s="34"/>
      <c r="I736" s="29"/>
      <c r="J736" s="29"/>
      <c r="K736" s="29"/>
      <c r="L736" s="29"/>
      <c r="M736" s="34"/>
      <c r="N736" s="34"/>
      <c r="O736" s="29"/>
      <c r="P736" s="29"/>
      <c r="Q736" s="29"/>
      <c r="R736" s="34"/>
      <c r="S736" s="29"/>
      <c r="T736" s="29"/>
      <c r="U736" s="2"/>
      <c r="V736" s="34"/>
      <c r="W736" s="34"/>
      <c r="X736" s="34"/>
      <c r="Y736" s="29"/>
      <c r="Z736" s="34"/>
      <c r="AA736" s="34"/>
      <c r="AB736" s="29"/>
      <c r="AC736" s="34"/>
      <c r="AD736" s="29"/>
      <c r="AE736" s="34"/>
      <c r="AF736" s="34"/>
    </row>
    <row x14ac:dyDescent="0.25" r="737" customHeight="1" ht="15.75">
      <c r="A737" s="502"/>
      <c r="B737" s="34"/>
      <c r="C737" s="34"/>
      <c r="D737" s="34"/>
      <c r="E737" s="34"/>
      <c r="F737" s="34"/>
      <c r="G737" s="34"/>
      <c r="H737" s="34"/>
      <c r="I737" s="29"/>
      <c r="J737" s="29"/>
      <c r="K737" s="29"/>
      <c r="L737" s="29"/>
      <c r="M737" s="34"/>
      <c r="N737" s="34"/>
      <c r="O737" s="29"/>
      <c r="P737" s="29"/>
      <c r="Q737" s="29"/>
      <c r="R737" s="34"/>
      <c r="S737" s="29"/>
      <c r="T737" s="29"/>
      <c r="U737" s="2"/>
      <c r="V737" s="34"/>
      <c r="W737" s="34"/>
      <c r="X737" s="34"/>
      <c r="Y737" s="29"/>
      <c r="Z737" s="34"/>
      <c r="AA737" s="34"/>
      <c r="AB737" s="29"/>
      <c r="AC737" s="34"/>
      <c r="AD737" s="29"/>
      <c r="AE737" s="34"/>
      <c r="AF737" s="34"/>
    </row>
    <row x14ac:dyDescent="0.25" r="738" customHeight="1" ht="15.75">
      <c r="A738" s="502"/>
      <c r="B738" s="34"/>
      <c r="C738" s="34"/>
      <c r="D738" s="34"/>
      <c r="E738" s="34"/>
      <c r="F738" s="34"/>
      <c r="G738" s="34"/>
      <c r="H738" s="34"/>
      <c r="I738" s="29"/>
      <c r="J738" s="29"/>
      <c r="K738" s="29"/>
      <c r="L738" s="29"/>
      <c r="M738" s="34"/>
      <c r="N738" s="34"/>
      <c r="O738" s="29"/>
      <c r="P738" s="29"/>
      <c r="Q738" s="29"/>
      <c r="R738" s="34"/>
      <c r="S738" s="29"/>
      <c r="T738" s="29"/>
      <c r="U738" s="2"/>
      <c r="V738" s="34"/>
      <c r="W738" s="34"/>
      <c r="X738" s="34"/>
      <c r="Y738" s="29"/>
      <c r="Z738" s="34"/>
      <c r="AA738" s="34"/>
      <c r="AB738" s="29"/>
      <c r="AC738" s="34"/>
      <c r="AD738" s="29"/>
      <c r="AE738" s="34"/>
      <c r="AF738" s="34"/>
    </row>
    <row x14ac:dyDescent="0.25" r="739" customHeight="1" ht="15.75">
      <c r="A739" s="502"/>
      <c r="B739" s="34"/>
      <c r="C739" s="34"/>
      <c r="D739" s="34"/>
      <c r="E739" s="34"/>
      <c r="F739" s="34"/>
      <c r="G739" s="34"/>
      <c r="H739" s="34"/>
      <c r="I739" s="29"/>
      <c r="J739" s="29"/>
      <c r="K739" s="29"/>
      <c r="L739" s="29"/>
      <c r="M739" s="34"/>
      <c r="N739" s="34"/>
      <c r="O739" s="29"/>
      <c r="P739" s="29"/>
      <c r="Q739" s="29"/>
      <c r="R739" s="34"/>
      <c r="S739" s="29"/>
      <c r="T739" s="29"/>
      <c r="U739" s="2"/>
      <c r="V739" s="34"/>
      <c r="W739" s="34"/>
      <c r="X739" s="34"/>
      <c r="Y739" s="29"/>
      <c r="Z739" s="34"/>
      <c r="AA739" s="34"/>
      <c r="AB739" s="29"/>
      <c r="AC739" s="34"/>
      <c r="AD739" s="29"/>
      <c r="AE739" s="34"/>
      <c r="AF739" s="34"/>
    </row>
    <row x14ac:dyDescent="0.25" r="740" customHeight="1" ht="15.75">
      <c r="A740" s="502"/>
      <c r="B740" s="34"/>
      <c r="C740" s="34"/>
      <c r="D740" s="34"/>
      <c r="E740" s="34"/>
      <c r="F740" s="34"/>
      <c r="G740" s="34"/>
      <c r="H740" s="34"/>
      <c r="I740" s="29"/>
      <c r="J740" s="29"/>
      <c r="K740" s="29"/>
      <c r="L740" s="29"/>
      <c r="M740" s="34"/>
      <c r="N740" s="34"/>
      <c r="O740" s="29"/>
      <c r="P740" s="29"/>
      <c r="Q740" s="29"/>
      <c r="R740" s="34"/>
      <c r="S740" s="29"/>
      <c r="T740" s="29"/>
      <c r="U740" s="2"/>
      <c r="V740" s="34"/>
      <c r="W740" s="34"/>
      <c r="X740" s="34"/>
      <c r="Y740" s="29"/>
      <c r="Z740" s="34"/>
      <c r="AA740" s="34"/>
      <c r="AB740" s="29"/>
      <c r="AC740" s="34"/>
      <c r="AD740" s="29"/>
      <c r="AE740" s="34"/>
      <c r="AF740" s="34"/>
    </row>
    <row x14ac:dyDescent="0.25" r="741" customHeight="1" ht="15.75">
      <c r="A741" s="502"/>
      <c r="B741" s="34"/>
      <c r="C741" s="34"/>
      <c r="D741" s="34"/>
      <c r="E741" s="34"/>
      <c r="F741" s="34"/>
      <c r="G741" s="34"/>
      <c r="H741" s="34"/>
      <c r="I741" s="29"/>
      <c r="J741" s="29"/>
      <c r="K741" s="29"/>
      <c r="L741" s="29"/>
      <c r="M741" s="34"/>
      <c r="N741" s="34"/>
      <c r="O741" s="29"/>
      <c r="P741" s="29"/>
      <c r="Q741" s="29"/>
      <c r="R741" s="34"/>
      <c r="S741" s="29"/>
      <c r="T741" s="29"/>
      <c r="U741" s="2"/>
      <c r="V741" s="34"/>
      <c r="W741" s="34"/>
      <c r="X741" s="34"/>
      <c r="Y741" s="29"/>
      <c r="Z741" s="34"/>
      <c r="AA741" s="34"/>
      <c r="AB741" s="29"/>
      <c r="AC741" s="34"/>
      <c r="AD741" s="29"/>
      <c r="AE741" s="34"/>
      <c r="AF741" s="34"/>
    </row>
    <row x14ac:dyDescent="0.25" r="742" customHeight="1" ht="15.75">
      <c r="A742" s="502"/>
      <c r="B742" s="34"/>
      <c r="C742" s="34"/>
      <c r="D742" s="34"/>
      <c r="E742" s="34"/>
      <c r="F742" s="34"/>
      <c r="G742" s="34"/>
      <c r="H742" s="34"/>
      <c r="I742" s="29"/>
      <c r="J742" s="29"/>
      <c r="K742" s="29"/>
      <c r="L742" s="29"/>
      <c r="M742" s="34"/>
      <c r="N742" s="34"/>
      <c r="O742" s="29"/>
      <c r="P742" s="29"/>
      <c r="Q742" s="29"/>
      <c r="R742" s="34"/>
      <c r="S742" s="29"/>
      <c r="T742" s="29"/>
      <c r="U742" s="2"/>
      <c r="V742" s="34"/>
      <c r="W742" s="34"/>
      <c r="X742" s="34"/>
      <c r="Y742" s="29"/>
      <c r="Z742" s="34"/>
      <c r="AA742" s="34"/>
      <c r="AB742" s="29"/>
      <c r="AC742" s="34"/>
      <c r="AD742" s="29"/>
      <c r="AE742" s="34"/>
      <c r="AF742" s="34"/>
    </row>
    <row x14ac:dyDescent="0.25" r="743" customHeight="1" ht="15.75">
      <c r="A743" s="502"/>
      <c r="B743" s="34"/>
      <c r="C743" s="34"/>
      <c r="D743" s="34"/>
      <c r="E743" s="34"/>
      <c r="F743" s="34"/>
      <c r="G743" s="34"/>
      <c r="H743" s="34"/>
      <c r="I743" s="29"/>
      <c r="J743" s="29"/>
      <c r="K743" s="29"/>
      <c r="L743" s="29"/>
      <c r="M743" s="34"/>
      <c r="N743" s="34"/>
      <c r="O743" s="29"/>
      <c r="P743" s="29"/>
      <c r="Q743" s="29"/>
      <c r="R743" s="34"/>
      <c r="S743" s="29"/>
      <c r="T743" s="29"/>
      <c r="U743" s="2"/>
      <c r="V743" s="34"/>
      <c r="W743" s="34"/>
      <c r="X743" s="34"/>
      <c r="Y743" s="29"/>
      <c r="Z743" s="34"/>
      <c r="AA743" s="34"/>
      <c r="AB743" s="29"/>
      <c r="AC743" s="34"/>
      <c r="AD743" s="29"/>
      <c r="AE743" s="34"/>
      <c r="AF743" s="34"/>
    </row>
    <row x14ac:dyDescent="0.25" r="744" customHeight="1" ht="15.75">
      <c r="A744" s="502"/>
      <c r="B744" s="34"/>
      <c r="C744" s="34"/>
      <c r="D744" s="34"/>
      <c r="E744" s="34"/>
      <c r="F744" s="34"/>
      <c r="G744" s="34"/>
      <c r="H744" s="34"/>
      <c r="I744" s="29"/>
      <c r="J744" s="29"/>
      <c r="K744" s="29"/>
      <c r="L744" s="29"/>
      <c r="M744" s="34"/>
      <c r="N744" s="34"/>
      <c r="O744" s="29"/>
      <c r="P744" s="29"/>
      <c r="Q744" s="29"/>
      <c r="R744" s="34"/>
      <c r="S744" s="29"/>
      <c r="T744" s="29"/>
      <c r="U744" s="2"/>
      <c r="V744" s="34"/>
      <c r="W744" s="34"/>
      <c r="X744" s="34"/>
      <c r="Y744" s="29"/>
      <c r="Z744" s="34"/>
      <c r="AA744" s="34"/>
      <c r="AB744" s="29"/>
      <c r="AC744" s="34"/>
      <c r="AD744" s="29"/>
      <c r="AE744" s="34"/>
      <c r="AF744" s="34"/>
    </row>
    <row x14ac:dyDescent="0.25" r="745" customHeight="1" ht="15.75">
      <c r="A745" s="502"/>
      <c r="B745" s="34"/>
      <c r="C745" s="34"/>
      <c r="D745" s="34"/>
      <c r="E745" s="34"/>
      <c r="F745" s="34"/>
      <c r="G745" s="34"/>
      <c r="H745" s="34"/>
      <c r="I745" s="29"/>
      <c r="J745" s="29"/>
      <c r="K745" s="29"/>
      <c r="L745" s="29"/>
      <c r="M745" s="34"/>
      <c r="N745" s="34"/>
      <c r="O745" s="29"/>
      <c r="P745" s="29"/>
      <c r="Q745" s="29"/>
      <c r="R745" s="34"/>
      <c r="S745" s="29"/>
      <c r="T745" s="29"/>
      <c r="U745" s="2"/>
      <c r="V745" s="34"/>
      <c r="W745" s="34"/>
      <c r="X745" s="34"/>
      <c r="Y745" s="29"/>
      <c r="Z745" s="34"/>
      <c r="AA745" s="34"/>
      <c r="AB745" s="29"/>
      <c r="AC745" s="34"/>
      <c r="AD745" s="29"/>
      <c r="AE745" s="34"/>
      <c r="AF745" s="34"/>
    </row>
    <row x14ac:dyDescent="0.25" r="746" customHeight="1" ht="15.75">
      <c r="A746" s="502"/>
      <c r="B746" s="34"/>
      <c r="C746" s="34"/>
      <c r="D746" s="34"/>
      <c r="E746" s="34"/>
      <c r="F746" s="34"/>
      <c r="G746" s="34"/>
      <c r="H746" s="34"/>
      <c r="I746" s="29"/>
      <c r="J746" s="29"/>
      <c r="K746" s="29"/>
      <c r="L746" s="29"/>
      <c r="M746" s="34"/>
      <c r="N746" s="34"/>
      <c r="O746" s="29"/>
      <c r="P746" s="29"/>
      <c r="Q746" s="29"/>
      <c r="R746" s="34"/>
      <c r="S746" s="29"/>
      <c r="T746" s="29"/>
      <c r="U746" s="2"/>
      <c r="V746" s="34"/>
      <c r="W746" s="34"/>
      <c r="X746" s="34"/>
      <c r="Y746" s="29"/>
      <c r="Z746" s="34"/>
      <c r="AA746" s="34"/>
      <c r="AB746" s="29"/>
      <c r="AC746" s="34"/>
      <c r="AD746" s="29"/>
      <c r="AE746" s="34"/>
      <c r="AF746" s="34"/>
    </row>
    <row x14ac:dyDescent="0.25" r="747" customHeight="1" ht="15.75">
      <c r="A747" s="502"/>
      <c r="B747" s="34"/>
      <c r="C747" s="34"/>
      <c r="D747" s="34"/>
      <c r="E747" s="34"/>
      <c r="F747" s="34"/>
      <c r="G747" s="34"/>
      <c r="H747" s="34"/>
      <c r="I747" s="29"/>
      <c r="J747" s="29"/>
      <c r="K747" s="29"/>
      <c r="L747" s="29"/>
      <c r="M747" s="34"/>
      <c r="N747" s="34"/>
      <c r="O747" s="29"/>
      <c r="P747" s="29"/>
      <c r="Q747" s="29"/>
      <c r="R747" s="34"/>
      <c r="S747" s="29"/>
      <c r="T747" s="29"/>
      <c r="U747" s="2"/>
      <c r="V747" s="34"/>
      <c r="W747" s="34"/>
      <c r="X747" s="34"/>
      <c r="Y747" s="29"/>
      <c r="Z747" s="34"/>
      <c r="AA747" s="34"/>
      <c r="AB747" s="29"/>
      <c r="AC747" s="34"/>
      <c r="AD747" s="29"/>
      <c r="AE747" s="34"/>
      <c r="AF747" s="34"/>
    </row>
    <row x14ac:dyDescent="0.25" r="748" customHeight="1" ht="15.75">
      <c r="A748" s="502"/>
      <c r="B748" s="34"/>
      <c r="C748" s="34"/>
      <c r="D748" s="34"/>
      <c r="E748" s="34"/>
      <c r="F748" s="34"/>
      <c r="G748" s="34"/>
      <c r="H748" s="34"/>
      <c r="I748" s="29"/>
      <c r="J748" s="29"/>
      <c r="K748" s="29"/>
      <c r="L748" s="29"/>
      <c r="M748" s="34"/>
      <c r="N748" s="34"/>
      <c r="O748" s="29"/>
      <c r="P748" s="29"/>
      <c r="Q748" s="29"/>
      <c r="R748" s="34"/>
      <c r="S748" s="29"/>
      <c r="T748" s="29"/>
      <c r="U748" s="2"/>
      <c r="V748" s="34"/>
      <c r="W748" s="34"/>
      <c r="X748" s="34"/>
      <c r="Y748" s="29"/>
      <c r="Z748" s="34"/>
      <c r="AA748" s="34"/>
      <c r="AB748" s="29"/>
      <c r="AC748" s="34"/>
      <c r="AD748" s="29"/>
      <c r="AE748" s="34"/>
      <c r="AF748" s="34"/>
    </row>
    <row x14ac:dyDescent="0.25" r="749" customHeight="1" ht="15.75">
      <c r="A749" s="502"/>
      <c r="B749" s="34"/>
      <c r="C749" s="34"/>
      <c r="D749" s="34"/>
      <c r="E749" s="34"/>
      <c r="F749" s="34"/>
      <c r="G749" s="34"/>
      <c r="H749" s="34"/>
      <c r="I749" s="29"/>
      <c r="J749" s="29"/>
      <c r="K749" s="29"/>
      <c r="L749" s="29"/>
      <c r="M749" s="34"/>
      <c r="N749" s="34"/>
      <c r="O749" s="29"/>
      <c r="P749" s="29"/>
      <c r="Q749" s="29"/>
      <c r="R749" s="34"/>
      <c r="S749" s="29"/>
      <c r="T749" s="29"/>
      <c r="U749" s="2"/>
      <c r="V749" s="34"/>
      <c r="W749" s="34"/>
      <c r="X749" s="34"/>
      <c r="Y749" s="29"/>
      <c r="Z749" s="34"/>
      <c r="AA749" s="34"/>
      <c r="AB749" s="29"/>
      <c r="AC749" s="34"/>
      <c r="AD749" s="29"/>
      <c r="AE749" s="34"/>
      <c r="AF749" s="34"/>
    </row>
    <row x14ac:dyDescent="0.25" r="750" customHeight="1" ht="15.75">
      <c r="A750" s="502"/>
      <c r="B750" s="34"/>
      <c r="C750" s="34"/>
      <c r="D750" s="34"/>
      <c r="E750" s="34"/>
      <c r="F750" s="34"/>
      <c r="G750" s="34"/>
      <c r="H750" s="34"/>
      <c r="I750" s="29"/>
      <c r="J750" s="29"/>
      <c r="K750" s="29"/>
      <c r="L750" s="29"/>
      <c r="M750" s="34"/>
      <c r="N750" s="34"/>
      <c r="O750" s="29"/>
      <c r="P750" s="29"/>
      <c r="Q750" s="29"/>
      <c r="R750" s="34"/>
      <c r="S750" s="29"/>
      <c r="T750" s="29"/>
      <c r="U750" s="2"/>
      <c r="V750" s="34"/>
      <c r="W750" s="34"/>
      <c r="X750" s="34"/>
      <c r="Y750" s="29"/>
      <c r="Z750" s="34"/>
      <c r="AA750" s="34"/>
      <c r="AB750" s="29"/>
      <c r="AC750" s="34"/>
      <c r="AD750" s="29"/>
      <c r="AE750" s="34"/>
      <c r="AF750" s="34"/>
    </row>
    <row x14ac:dyDescent="0.25" r="751" customHeight="1" ht="15.75">
      <c r="A751" s="502"/>
      <c r="B751" s="34"/>
      <c r="C751" s="34"/>
      <c r="D751" s="34"/>
      <c r="E751" s="34"/>
      <c r="F751" s="34"/>
      <c r="G751" s="34"/>
      <c r="H751" s="34"/>
      <c r="I751" s="29"/>
      <c r="J751" s="29"/>
      <c r="K751" s="29"/>
      <c r="L751" s="29"/>
      <c r="M751" s="34"/>
      <c r="N751" s="34"/>
      <c r="O751" s="29"/>
      <c r="P751" s="29"/>
      <c r="Q751" s="29"/>
      <c r="R751" s="34"/>
      <c r="S751" s="29"/>
      <c r="T751" s="29"/>
      <c r="U751" s="2"/>
      <c r="V751" s="34"/>
      <c r="W751" s="34"/>
      <c r="X751" s="34"/>
      <c r="Y751" s="29"/>
      <c r="Z751" s="34"/>
      <c r="AA751" s="34"/>
      <c r="AB751" s="29"/>
      <c r="AC751" s="34"/>
      <c r="AD751" s="29"/>
      <c r="AE751" s="34"/>
      <c r="AF751" s="34"/>
    </row>
    <row x14ac:dyDescent="0.25" r="752" customHeight="1" ht="15.75">
      <c r="A752" s="502"/>
      <c r="B752" s="34"/>
      <c r="C752" s="34"/>
      <c r="D752" s="34"/>
      <c r="E752" s="34"/>
      <c r="F752" s="34"/>
      <c r="G752" s="34"/>
      <c r="H752" s="34"/>
      <c r="I752" s="29"/>
      <c r="J752" s="29"/>
      <c r="K752" s="29"/>
      <c r="L752" s="29"/>
      <c r="M752" s="34"/>
      <c r="N752" s="34"/>
      <c r="O752" s="29"/>
      <c r="P752" s="29"/>
      <c r="Q752" s="29"/>
      <c r="R752" s="34"/>
      <c r="S752" s="29"/>
      <c r="T752" s="29"/>
      <c r="U752" s="2"/>
      <c r="V752" s="34"/>
      <c r="W752" s="34"/>
      <c r="X752" s="34"/>
      <c r="Y752" s="29"/>
      <c r="Z752" s="34"/>
      <c r="AA752" s="34"/>
      <c r="AB752" s="29"/>
      <c r="AC752" s="34"/>
      <c r="AD752" s="29"/>
      <c r="AE752" s="34"/>
      <c r="AF752" s="34"/>
    </row>
    <row x14ac:dyDescent="0.25" r="753" customHeight="1" ht="15.75">
      <c r="A753" s="502"/>
      <c r="B753" s="34"/>
      <c r="C753" s="34"/>
      <c r="D753" s="34"/>
      <c r="E753" s="34"/>
      <c r="F753" s="34"/>
      <c r="G753" s="34"/>
      <c r="H753" s="34"/>
      <c r="I753" s="29"/>
      <c r="J753" s="29"/>
      <c r="K753" s="29"/>
      <c r="L753" s="29"/>
      <c r="M753" s="34"/>
      <c r="N753" s="34"/>
      <c r="O753" s="29"/>
      <c r="P753" s="29"/>
      <c r="Q753" s="29"/>
      <c r="R753" s="34"/>
      <c r="S753" s="29"/>
      <c r="T753" s="29"/>
      <c r="U753" s="2"/>
      <c r="V753" s="34"/>
      <c r="W753" s="34"/>
      <c r="X753" s="34"/>
      <c r="Y753" s="29"/>
      <c r="Z753" s="34"/>
      <c r="AA753" s="34"/>
      <c r="AB753" s="29"/>
      <c r="AC753" s="34"/>
      <c r="AD753" s="29"/>
      <c r="AE753" s="34"/>
      <c r="AF753" s="34"/>
    </row>
    <row x14ac:dyDescent="0.25" r="754" customHeight="1" ht="15.75">
      <c r="A754" s="502"/>
      <c r="B754" s="34"/>
      <c r="C754" s="34"/>
      <c r="D754" s="34"/>
      <c r="E754" s="34"/>
      <c r="F754" s="34"/>
      <c r="G754" s="34"/>
      <c r="H754" s="34"/>
      <c r="I754" s="29"/>
      <c r="J754" s="29"/>
      <c r="K754" s="29"/>
      <c r="L754" s="29"/>
      <c r="M754" s="34"/>
      <c r="N754" s="34"/>
      <c r="O754" s="29"/>
      <c r="P754" s="29"/>
      <c r="Q754" s="29"/>
      <c r="R754" s="34"/>
      <c r="S754" s="29"/>
      <c r="T754" s="29"/>
      <c r="U754" s="2"/>
      <c r="V754" s="34"/>
      <c r="W754" s="34"/>
      <c r="X754" s="34"/>
      <c r="Y754" s="29"/>
      <c r="Z754" s="34"/>
      <c r="AA754" s="34"/>
      <c r="AB754" s="29"/>
      <c r="AC754" s="34"/>
      <c r="AD754" s="29"/>
      <c r="AE754" s="34"/>
      <c r="AF754" s="34"/>
    </row>
    <row x14ac:dyDescent="0.25" r="755" customHeight="1" ht="15.75">
      <c r="A755" s="502"/>
      <c r="B755" s="34"/>
      <c r="C755" s="34"/>
      <c r="D755" s="34"/>
      <c r="E755" s="34"/>
      <c r="F755" s="34"/>
      <c r="G755" s="34"/>
      <c r="H755" s="34"/>
      <c r="I755" s="29"/>
      <c r="J755" s="29"/>
      <c r="K755" s="29"/>
      <c r="L755" s="29"/>
      <c r="M755" s="34"/>
      <c r="N755" s="34"/>
      <c r="O755" s="29"/>
      <c r="P755" s="29"/>
      <c r="Q755" s="29"/>
      <c r="R755" s="34"/>
      <c r="S755" s="29"/>
      <c r="T755" s="29"/>
      <c r="U755" s="2"/>
      <c r="V755" s="34"/>
      <c r="W755" s="34"/>
      <c r="X755" s="34"/>
      <c r="Y755" s="29"/>
      <c r="Z755" s="34"/>
      <c r="AA755" s="34"/>
      <c r="AB755" s="29"/>
      <c r="AC755" s="34"/>
      <c r="AD755" s="29"/>
      <c r="AE755" s="34"/>
      <c r="AF755" s="34"/>
    </row>
    <row x14ac:dyDescent="0.25" r="756" customHeight="1" ht="15.75">
      <c r="A756" s="502"/>
      <c r="B756" s="34"/>
      <c r="C756" s="34"/>
      <c r="D756" s="34"/>
      <c r="E756" s="34"/>
      <c r="F756" s="34"/>
      <c r="G756" s="34"/>
      <c r="H756" s="34"/>
      <c r="I756" s="29"/>
      <c r="J756" s="29"/>
      <c r="K756" s="29"/>
      <c r="L756" s="29"/>
      <c r="M756" s="34"/>
      <c r="N756" s="34"/>
      <c r="O756" s="29"/>
      <c r="P756" s="29"/>
      <c r="Q756" s="29"/>
      <c r="R756" s="34"/>
      <c r="S756" s="29"/>
      <c r="T756" s="29"/>
      <c r="U756" s="2"/>
      <c r="V756" s="34"/>
      <c r="W756" s="34"/>
      <c r="X756" s="34"/>
      <c r="Y756" s="29"/>
      <c r="Z756" s="34"/>
      <c r="AA756" s="34"/>
      <c r="AB756" s="29"/>
      <c r="AC756" s="34"/>
      <c r="AD756" s="29"/>
      <c r="AE756" s="34"/>
      <c r="AF756" s="34"/>
    </row>
    <row x14ac:dyDescent="0.25" r="757" customHeight="1" ht="15.75">
      <c r="A757" s="502"/>
      <c r="B757" s="34"/>
      <c r="C757" s="34"/>
      <c r="D757" s="34"/>
      <c r="E757" s="34"/>
      <c r="F757" s="34"/>
      <c r="G757" s="34"/>
      <c r="H757" s="34"/>
      <c r="I757" s="29"/>
      <c r="J757" s="29"/>
      <c r="K757" s="29"/>
      <c r="L757" s="29"/>
      <c r="M757" s="34"/>
      <c r="N757" s="34"/>
      <c r="O757" s="29"/>
      <c r="P757" s="29"/>
      <c r="Q757" s="29"/>
      <c r="R757" s="34"/>
      <c r="S757" s="29"/>
      <c r="T757" s="29"/>
      <c r="U757" s="2"/>
      <c r="V757" s="34"/>
      <c r="W757" s="34"/>
      <c r="X757" s="34"/>
      <c r="Y757" s="29"/>
      <c r="Z757" s="34"/>
      <c r="AA757" s="34"/>
      <c r="AB757" s="29"/>
      <c r="AC757" s="34"/>
      <c r="AD757" s="29"/>
      <c r="AE757" s="34"/>
      <c r="AF757" s="34"/>
    </row>
    <row x14ac:dyDescent="0.25" r="758" customHeight="1" ht="15.75">
      <c r="A758" s="502"/>
      <c r="B758" s="34"/>
      <c r="C758" s="34"/>
      <c r="D758" s="34"/>
      <c r="E758" s="34"/>
      <c r="F758" s="34"/>
      <c r="G758" s="34"/>
      <c r="H758" s="34"/>
      <c r="I758" s="29"/>
      <c r="J758" s="29"/>
      <c r="K758" s="29"/>
      <c r="L758" s="29"/>
      <c r="M758" s="34"/>
      <c r="N758" s="34"/>
      <c r="O758" s="29"/>
      <c r="P758" s="29"/>
      <c r="Q758" s="29"/>
      <c r="R758" s="34"/>
      <c r="S758" s="29"/>
      <c r="T758" s="29"/>
      <c r="U758" s="2"/>
      <c r="V758" s="34"/>
      <c r="W758" s="34"/>
      <c r="X758" s="34"/>
      <c r="Y758" s="29"/>
      <c r="Z758" s="34"/>
      <c r="AA758" s="34"/>
      <c r="AB758" s="29"/>
      <c r="AC758" s="34"/>
      <c r="AD758" s="29"/>
      <c r="AE758" s="34"/>
      <c r="AF758" s="34"/>
    </row>
    <row x14ac:dyDescent="0.25" r="759" customHeight="1" ht="15.75">
      <c r="A759" s="502"/>
      <c r="B759" s="34"/>
      <c r="C759" s="34"/>
      <c r="D759" s="34"/>
      <c r="E759" s="34"/>
      <c r="F759" s="34"/>
      <c r="G759" s="34"/>
      <c r="H759" s="34"/>
      <c r="I759" s="29"/>
      <c r="J759" s="29"/>
      <c r="K759" s="29"/>
      <c r="L759" s="29"/>
      <c r="M759" s="34"/>
      <c r="N759" s="34"/>
      <c r="O759" s="29"/>
      <c r="P759" s="29"/>
      <c r="Q759" s="29"/>
      <c r="R759" s="34"/>
      <c r="S759" s="29"/>
      <c r="T759" s="29"/>
      <c r="U759" s="2"/>
      <c r="V759" s="34"/>
      <c r="W759" s="34"/>
      <c r="X759" s="34"/>
      <c r="Y759" s="29"/>
      <c r="Z759" s="34"/>
      <c r="AA759" s="34"/>
      <c r="AB759" s="29"/>
      <c r="AC759" s="34"/>
      <c r="AD759" s="29"/>
      <c r="AE759" s="34"/>
      <c r="AF759" s="34"/>
    </row>
    <row x14ac:dyDescent="0.25" r="760" customHeight="1" ht="15.75">
      <c r="A760" s="502"/>
      <c r="B760" s="34"/>
      <c r="C760" s="34"/>
      <c r="D760" s="34"/>
      <c r="E760" s="34"/>
      <c r="F760" s="34"/>
      <c r="G760" s="34"/>
      <c r="H760" s="34"/>
      <c r="I760" s="29"/>
      <c r="J760" s="29"/>
      <c r="K760" s="29"/>
      <c r="L760" s="29"/>
      <c r="M760" s="34"/>
      <c r="N760" s="34"/>
      <c r="O760" s="29"/>
      <c r="P760" s="29"/>
      <c r="Q760" s="29"/>
      <c r="R760" s="34"/>
      <c r="S760" s="29"/>
      <c r="T760" s="29"/>
      <c r="U760" s="2"/>
      <c r="V760" s="34"/>
      <c r="W760" s="34"/>
      <c r="X760" s="34"/>
      <c r="Y760" s="29"/>
      <c r="Z760" s="34"/>
      <c r="AA760" s="34"/>
      <c r="AB760" s="29"/>
      <c r="AC760" s="34"/>
      <c r="AD760" s="29"/>
      <c r="AE760" s="34"/>
      <c r="AF760" s="34"/>
    </row>
    <row x14ac:dyDescent="0.25" r="761" customHeight="1" ht="15.75">
      <c r="A761" s="502"/>
      <c r="B761" s="34"/>
      <c r="C761" s="34"/>
      <c r="D761" s="34"/>
      <c r="E761" s="34"/>
      <c r="F761" s="34"/>
      <c r="G761" s="34"/>
      <c r="H761" s="34"/>
      <c r="I761" s="29"/>
      <c r="J761" s="29"/>
      <c r="K761" s="29"/>
      <c r="L761" s="29"/>
      <c r="M761" s="34"/>
      <c r="N761" s="34"/>
      <c r="O761" s="29"/>
      <c r="P761" s="29"/>
      <c r="Q761" s="29"/>
      <c r="R761" s="34"/>
      <c r="S761" s="29"/>
      <c r="T761" s="29"/>
      <c r="U761" s="2"/>
      <c r="V761" s="34"/>
      <c r="W761" s="34"/>
      <c r="X761" s="34"/>
      <c r="Y761" s="29"/>
      <c r="Z761" s="34"/>
      <c r="AA761" s="34"/>
      <c r="AB761" s="29"/>
      <c r="AC761" s="34"/>
      <c r="AD761" s="29"/>
      <c r="AE761" s="34"/>
      <c r="AF761" s="34"/>
    </row>
    <row x14ac:dyDescent="0.25" r="762" customHeight="1" ht="15.75">
      <c r="A762" s="502"/>
      <c r="B762" s="34"/>
      <c r="C762" s="34"/>
      <c r="D762" s="34"/>
      <c r="E762" s="34"/>
      <c r="F762" s="34"/>
      <c r="G762" s="34"/>
      <c r="H762" s="34"/>
      <c r="I762" s="29"/>
      <c r="J762" s="29"/>
      <c r="K762" s="29"/>
      <c r="L762" s="29"/>
      <c r="M762" s="34"/>
      <c r="N762" s="34"/>
      <c r="O762" s="29"/>
      <c r="P762" s="29"/>
      <c r="Q762" s="29"/>
      <c r="R762" s="34"/>
      <c r="S762" s="29"/>
      <c r="T762" s="29"/>
      <c r="U762" s="2"/>
      <c r="V762" s="34"/>
      <c r="W762" s="34"/>
      <c r="X762" s="34"/>
      <c r="Y762" s="29"/>
      <c r="Z762" s="34"/>
      <c r="AA762" s="34"/>
      <c r="AB762" s="29"/>
      <c r="AC762" s="34"/>
      <c r="AD762" s="29"/>
      <c r="AE762" s="34"/>
      <c r="AF762" s="34"/>
    </row>
    <row x14ac:dyDescent="0.25" r="763" customHeight="1" ht="15.75">
      <c r="A763" s="502"/>
      <c r="B763" s="34"/>
      <c r="C763" s="34"/>
      <c r="D763" s="34"/>
      <c r="E763" s="34"/>
      <c r="F763" s="34"/>
      <c r="G763" s="34"/>
      <c r="H763" s="34"/>
      <c r="I763" s="29"/>
      <c r="J763" s="29"/>
      <c r="K763" s="29"/>
      <c r="L763" s="29"/>
      <c r="M763" s="34"/>
      <c r="N763" s="34"/>
      <c r="O763" s="29"/>
      <c r="P763" s="29"/>
      <c r="Q763" s="29"/>
      <c r="R763" s="34"/>
      <c r="S763" s="29"/>
      <c r="T763" s="29"/>
      <c r="U763" s="2"/>
      <c r="V763" s="34"/>
      <c r="W763" s="34"/>
      <c r="X763" s="34"/>
      <c r="Y763" s="29"/>
      <c r="Z763" s="34"/>
      <c r="AA763" s="34"/>
      <c r="AB763" s="29"/>
      <c r="AC763" s="34"/>
      <c r="AD763" s="29"/>
      <c r="AE763" s="34"/>
      <c r="AF763" s="34"/>
    </row>
    <row x14ac:dyDescent="0.25" r="764" customHeight="1" ht="15.75">
      <c r="A764" s="502"/>
      <c r="B764" s="34"/>
      <c r="C764" s="34"/>
      <c r="D764" s="34"/>
      <c r="E764" s="34"/>
      <c r="F764" s="34"/>
      <c r="G764" s="34"/>
      <c r="H764" s="34"/>
      <c r="I764" s="29"/>
      <c r="J764" s="29"/>
      <c r="K764" s="29"/>
      <c r="L764" s="29"/>
      <c r="M764" s="34"/>
      <c r="N764" s="34"/>
      <c r="O764" s="29"/>
      <c r="P764" s="29"/>
      <c r="Q764" s="29"/>
      <c r="R764" s="34"/>
      <c r="S764" s="29"/>
      <c r="T764" s="29"/>
      <c r="U764" s="2"/>
      <c r="V764" s="34"/>
      <c r="W764" s="34"/>
      <c r="X764" s="34"/>
      <c r="Y764" s="29"/>
      <c r="Z764" s="34"/>
      <c r="AA764" s="34"/>
      <c r="AB764" s="29"/>
      <c r="AC764" s="34"/>
      <c r="AD764" s="29"/>
      <c r="AE764" s="34"/>
      <c r="AF764" s="34"/>
    </row>
    <row x14ac:dyDescent="0.25" r="765" customHeight="1" ht="15.75">
      <c r="A765" s="502"/>
      <c r="B765" s="34"/>
      <c r="C765" s="34"/>
      <c r="D765" s="34"/>
      <c r="E765" s="34"/>
      <c r="F765" s="34"/>
      <c r="G765" s="34"/>
      <c r="H765" s="34"/>
      <c r="I765" s="29"/>
      <c r="J765" s="29"/>
      <c r="K765" s="29"/>
      <c r="L765" s="29"/>
      <c r="M765" s="34"/>
      <c r="N765" s="34"/>
      <c r="O765" s="29"/>
      <c r="P765" s="29"/>
      <c r="Q765" s="29"/>
      <c r="R765" s="34"/>
      <c r="S765" s="29"/>
      <c r="T765" s="29"/>
      <c r="U765" s="2"/>
      <c r="V765" s="34"/>
      <c r="W765" s="34"/>
      <c r="X765" s="34"/>
      <c r="Y765" s="29"/>
      <c r="Z765" s="34"/>
      <c r="AA765" s="34"/>
      <c r="AB765" s="29"/>
      <c r="AC765" s="34"/>
      <c r="AD765" s="29"/>
      <c r="AE765" s="34"/>
      <c r="AF765" s="34"/>
    </row>
    <row x14ac:dyDescent="0.25" r="766" customHeight="1" ht="15.75">
      <c r="A766" s="502"/>
      <c r="B766" s="34"/>
      <c r="C766" s="34"/>
      <c r="D766" s="34"/>
      <c r="E766" s="34"/>
      <c r="F766" s="34"/>
      <c r="G766" s="34"/>
      <c r="H766" s="34"/>
      <c r="I766" s="29"/>
      <c r="J766" s="29"/>
      <c r="K766" s="29"/>
      <c r="L766" s="29"/>
      <c r="M766" s="34"/>
      <c r="N766" s="34"/>
      <c r="O766" s="29"/>
      <c r="P766" s="29"/>
      <c r="Q766" s="29"/>
      <c r="R766" s="34"/>
      <c r="S766" s="29"/>
      <c r="T766" s="29"/>
      <c r="U766" s="2"/>
      <c r="V766" s="34"/>
      <c r="W766" s="34"/>
      <c r="X766" s="34"/>
      <c r="Y766" s="29"/>
      <c r="Z766" s="34"/>
      <c r="AA766" s="34"/>
      <c r="AB766" s="29"/>
      <c r="AC766" s="34"/>
      <c r="AD766" s="29"/>
      <c r="AE766" s="34"/>
      <c r="AF766" s="34"/>
    </row>
    <row x14ac:dyDescent="0.25" r="767" customHeight="1" ht="15.75">
      <c r="A767" s="502"/>
      <c r="B767" s="34"/>
      <c r="C767" s="34"/>
      <c r="D767" s="34"/>
      <c r="E767" s="34"/>
      <c r="F767" s="34"/>
      <c r="G767" s="34"/>
      <c r="H767" s="34"/>
      <c r="I767" s="29"/>
      <c r="J767" s="29"/>
      <c r="K767" s="29"/>
      <c r="L767" s="29"/>
      <c r="M767" s="34"/>
      <c r="N767" s="34"/>
      <c r="O767" s="29"/>
      <c r="P767" s="29"/>
      <c r="Q767" s="29"/>
      <c r="R767" s="34"/>
      <c r="S767" s="29"/>
      <c r="T767" s="29"/>
      <c r="U767" s="2"/>
      <c r="V767" s="34"/>
      <c r="W767" s="34"/>
      <c r="X767" s="34"/>
      <c r="Y767" s="29"/>
      <c r="Z767" s="34"/>
      <c r="AA767" s="34"/>
      <c r="AB767" s="29"/>
      <c r="AC767" s="34"/>
      <c r="AD767" s="29"/>
      <c r="AE767" s="34"/>
      <c r="AF767" s="34"/>
    </row>
    <row x14ac:dyDescent="0.25" r="768" customHeight="1" ht="15.75">
      <c r="A768" s="502"/>
      <c r="B768" s="34"/>
      <c r="C768" s="34"/>
      <c r="D768" s="34"/>
      <c r="E768" s="34"/>
      <c r="F768" s="34"/>
      <c r="G768" s="34"/>
      <c r="H768" s="34"/>
      <c r="I768" s="29"/>
      <c r="J768" s="29"/>
      <c r="K768" s="29"/>
      <c r="L768" s="29"/>
      <c r="M768" s="34"/>
      <c r="N768" s="34"/>
      <c r="O768" s="29"/>
      <c r="P768" s="29"/>
      <c r="Q768" s="29"/>
      <c r="R768" s="34"/>
      <c r="S768" s="29"/>
      <c r="T768" s="29"/>
      <c r="U768" s="2"/>
      <c r="V768" s="34"/>
      <c r="W768" s="34"/>
      <c r="X768" s="34"/>
      <c r="Y768" s="29"/>
      <c r="Z768" s="34"/>
      <c r="AA768" s="34"/>
      <c r="AB768" s="29"/>
      <c r="AC768" s="34"/>
      <c r="AD768" s="29"/>
      <c r="AE768" s="34"/>
      <c r="AF768" s="34"/>
    </row>
    <row x14ac:dyDescent="0.25" r="769" customHeight="1" ht="15.75">
      <c r="A769" s="502"/>
      <c r="B769" s="34"/>
      <c r="C769" s="34"/>
      <c r="D769" s="34"/>
      <c r="E769" s="34"/>
      <c r="F769" s="34"/>
      <c r="G769" s="34"/>
      <c r="H769" s="34"/>
      <c r="I769" s="29"/>
      <c r="J769" s="29"/>
      <c r="K769" s="29"/>
      <c r="L769" s="29"/>
      <c r="M769" s="34"/>
      <c r="N769" s="34"/>
      <c r="O769" s="29"/>
      <c r="P769" s="29"/>
      <c r="Q769" s="29"/>
      <c r="R769" s="34"/>
      <c r="S769" s="29"/>
      <c r="T769" s="29"/>
      <c r="U769" s="2"/>
      <c r="V769" s="34"/>
      <c r="W769" s="34"/>
      <c r="X769" s="34"/>
      <c r="Y769" s="29"/>
      <c r="Z769" s="34"/>
      <c r="AA769" s="34"/>
      <c r="AB769" s="29"/>
      <c r="AC769" s="34"/>
      <c r="AD769" s="29"/>
      <c r="AE769" s="34"/>
      <c r="AF769" s="34"/>
    </row>
    <row x14ac:dyDescent="0.25" r="770" customHeight="1" ht="15.75">
      <c r="A770" s="502"/>
      <c r="B770" s="34"/>
      <c r="C770" s="34"/>
      <c r="D770" s="34"/>
      <c r="E770" s="34"/>
      <c r="F770" s="34"/>
      <c r="G770" s="34"/>
      <c r="H770" s="34"/>
      <c r="I770" s="29"/>
      <c r="J770" s="29"/>
      <c r="K770" s="29"/>
      <c r="L770" s="29"/>
      <c r="M770" s="34"/>
      <c r="N770" s="34"/>
      <c r="O770" s="29"/>
      <c r="P770" s="29"/>
      <c r="Q770" s="29"/>
      <c r="R770" s="34"/>
      <c r="S770" s="29"/>
      <c r="T770" s="29"/>
      <c r="U770" s="2"/>
      <c r="V770" s="34"/>
      <c r="W770" s="34"/>
      <c r="X770" s="34"/>
      <c r="Y770" s="29"/>
      <c r="Z770" s="34"/>
      <c r="AA770" s="34"/>
      <c r="AB770" s="29"/>
      <c r="AC770" s="34"/>
      <c r="AD770" s="29"/>
      <c r="AE770" s="34"/>
      <c r="AF770" s="34"/>
    </row>
    <row x14ac:dyDescent="0.25" r="771" customHeight="1" ht="15.75">
      <c r="A771" s="502"/>
      <c r="B771" s="34"/>
      <c r="C771" s="34"/>
      <c r="D771" s="34"/>
      <c r="E771" s="34"/>
      <c r="F771" s="34"/>
      <c r="G771" s="34"/>
      <c r="H771" s="34"/>
      <c r="I771" s="29"/>
      <c r="J771" s="29"/>
      <c r="K771" s="29"/>
      <c r="L771" s="29"/>
      <c r="M771" s="34"/>
      <c r="N771" s="34"/>
      <c r="O771" s="29"/>
      <c r="P771" s="29"/>
      <c r="Q771" s="29"/>
      <c r="R771" s="34"/>
      <c r="S771" s="29"/>
      <c r="T771" s="29"/>
      <c r="U771" s="2"/>
      <c r="V771" s="34"/>
      <c r="W771" s="34"/>
      <c r="X771" s="34"/>
      <c r="Y771" s="29"/>
      <c r="Z771" s="34"/>
      <c r="AA771" s="34"/>
      <c r="AB771" s="29"/>
      <c r="AC771" s="34"/>
      <c r="AD771" s="29"/>
      <c r="AE771" s="34"/>
      <c r="AF771" s="34"/>
    </row>
    <row x14ac:dyDescent="0.25" r="772" customHeight="1" ht="15.75">
      <c r="A772" s="502"/>
      <c r="B772" s="34"/>
      <c r="C772" s="34"/>
      <c r="D772" s="34"/>
      <c r="E772" s="34"/>
      <c r="F772" s="34"/>
      <c r="G772" s="34"/>
      <c r="H772" s="34"/>
      <c r="I772" s="29"/>
      <c r="J772" s="29"/>
      <c r="K772" s="29"/>
      <c r="L772" s="29"/>
      <c r="M772" s="34"/>
      <c r="N772" s="34"/>
      <c r="O772" s="29"/>
      <c r="P772" s="29"/>
      <c r="Q772" s="29"/>
      <c r="R772" s="34"/>
      <c r="S772" s="29"/>
      <c r="T772" s="29"/>
      <c r="U772" s="2"/>
      <c r="V772" s="34"/>
      <c r="W772" s="34"/>
      <c r="X772" s="34"/>
      <c r="Y772" s="29"/>
      <c r="Z772" s="34"/>
      <c r="AA772" s="34"/>
      <c r="AB772" s="29"/>
      <c r="AC772" s="34"/>
      <c r="AD772" s="29"/>
      <c r="AE772" s="34"/>
      <c r="AF772" s="34"/>
    </row>
    <row x14ac:dyDescent="0.25" r="773" customHeight="1" ht="15.75">
      <c r="A773" s="502"/>
      <c r="B773" s="34"/>
      <c r="C773" s="34"/>
      <c r="D773" s="34"/>
      <c r="E773" s="34"/>
      <c r="F773" s="34"/>
      <c r="G773" s="34"/>
      <c r="H773" s="34"/>
      <c r="I773" s="29"/>
      <c r="J773" s="29"/>
      <c r="K773" s="29"/>
      <c r="L773" s="29"/>
      <c r="M773" s="34"/>
      <c r="N773" s="34"/>
      <c r="O773" s="29"/>
      <c r="P773" s="29"/>
      <c r="Q773" s="29"/>
      <c r="R773" s="34"/>
      <c r="S773" s="29"/>
      <c r="T773" s="29"/>
      <c r="U773" s="2"/>
      <c r="V773" s="34"/>
      <c r="W773" s="34"/>
      <c r="X773" s="34"/>
      <c r="Y773" s="29"/>
      <c r="Z773" s="34"/>
      <c r="AA773" s="34"/>
      <c r="AB773" s="29"/>
      <c r="AC773" s="34"/>
      <c r="AD773" s="29"/>
      <c r="AE773" s="34"/>
      <c r="AF773" s="34"/>
    </row>
    <row x14ac:dyDescent="0.25" r="774" customHeight="1" ht="15.75">
      <c r="A774" s="502"/>
      <c r="B774" s="34"/>
      <c r="C774" s="34"/>
      <c r="D774" s="34"/>
      <c r="E774" s="34"/>
      <c r="F774" s="34"/>
      <c r="G774" s="34"/>
      <c r="H774" s="34"/>
      <c r="I774" s="29"/>
      <c r="J774" s="29"/>
      <c r="K774" s="29"/>
      <c r="L774" s="29"/>
      <c r="M774" s="34"/>
      <c r="N774" s="34"/>
      <c r="O774" s="29"/>
      <c r="P774" s="29"/>
      <c r="Q774" s="29"/>
      <c r="R774" s="34"/>
      <c r="S774" s="29"/>
      <c r="T774" s="29"/>
      <c r="U774" s="2"/>
      <c r="V774" s="34"/>
      <c r="W774" s="34"/>
      <c r="X774" s="34"/>
      <c r="Y774" s="29"/>
      <c r="Z774" s="34"/>
      <c r="AA774" s="34"/>
      <c r="AB774" s="29"/>
      <c r="AC774" s="34"/>
      <c r="AD774" s="29"/>
      <c r="AE774" s="34"/>
      <c r="AF774" s="34"/>
    </row>
    <row x14ac:dyDescent="0.25" r="775" customHeight="1" ht="15.75">
      <c r="A775" s="502"/>
      <c r="B775" s="34"/>
      <c r="C775" s="34"/>
      <c r="D775" s="34"/>
      <c r="E775" s="34"/>
      <c r="F775" s="34"/>
      <c r="G775" s="34"/>
      <c r="H775" s="34"/>
      <c r="I775" s="29"/>
      <c r="J775" s="29"/>
      <c r="K775" s="29"/>
      <c r="L775" s="29"/>
      <c r="M775" s="34"/>
      <c r="N775" s="34"/>
      <c r="O775" s="29"/>
      <c r="P775" s="29"/>
      <c r="Q775" s="29"/>
      <c r="R775" s="34"/>
      <c r="S775" s="29"/>
      <c r="T775" s="29"/>
      <c r="U775" s="2"/>
      <c r="V775" s="34"/>
      <c r="W775" s="34"/>
      <c r="X775" s="34"/>
      <c r="Y775" s="29"/>
      <c r="Z775" s="34"/>
      <c r="AA775" s="34"/>
      <c r="AB775" s="29"/>
      <c r="AC775" s="34"/>
      <c r="AD775" s="29"/>
      <c r="AE775" s="34"/>
      <c r="AF775" s="34"/>
    </row>
    <row x14ac:dyDescent="0.25" r="776" customHeight="1" ht="15.75">
      <c r="A776" s="502"/>
      <c r="B776" s="34"/>
      <c r="C776" s="34"/>
      <c r="D776" s="34"/>
      <c r="E776" s="34"/>
      <c r="F776" s="34"/>
      <c r="G776" s="34"/>
      <c r="H776" s="34"/>
      <c r="I776" s="29"/>
      <c r="J776" s="29"/>
      <c r="K776" s="29"/>
      <c r="L776" s="29"/>
      <c r="M776" s="34"/>
      <c r="N776" s="34"/>
      <c r="O776" s="29"/>
      <c r="P776" s="29"/>
      <c r="Q776" s="29"/>
      <c r="R776" s="34"/>
      <c r="S776" s="29"/>
      <c r="T776" s="29"/>
      <c r="U776" s="2"/>
      <c r="V776" s="34"/>
      <c r="W776" s="34"/>
      <c r="X776" s="34"/>
      <c r="Y776" s="29"/>
      <c r="Z776" s="34"/>
      <c r="AA776" s="34"/>
      <c r="AB776" s="29"/>
      <c r="AC776" s="34"/>
      <c r="AD776" s="29"/>
      <c r="AE776" s="34"/>
      <c r="AF776" s="34"/>
    </row>
    <row x14ac:dyDescent="0.25" r="777" customHeight="1" ht="15.75">
      <c r="A777" s="502"/>
      <c r="B777" s="34"/>
      <c r="C777" s="34"/>
      <c r="D777" s="34"/>
      <c r="E777" s="34"/>
      <c r="F777" s="34"/>
      <c r="G777" s="34"/>
      <c r="H777" s="34"/>
      <c r="I777" s="29"/>
      <c r="J777" s="29"/>
      <c r="K777" s="29"/>
      <c r="L777" s="29"/>
      <c r="M777" s="34"/>
      <c r="N777" s="34"/>
      <c r="O777" s="29"/>
      <c r="P777" s="29"/>
      <c r="Q777" s="29"/>
      <c r="R777" s="34"/>
      <c r="S777" s="29"/>
      <c r="T777" s="29"/>
      <c r="U777" s="2"/>
      <c r="V777" s="34"/>
      <c r="W777" s="34"/>
      <c r="X777" s="34"/>
      <c r="Y777" s="29"/>
      <c r="Z777" s="34"/>
      <c r="AA777" s="34"/>
      <c r="AB777" s="29"/>
      <c r="AC777" s="34"/>
      <c r="AD777" s="29"/>
      <c r="AE777" s="34"/>
      <c r="AF777" s="34"/>
    </row>
    <row x14ac:dyDescent="0.25" r="778" customHeight="1" ht="15.75">
      <c r="A778" s="502"/>
      <c r="B778" s="34"/>
      <c r="C778" s="34"/>
      <c r="D778" s="34"/>
      <c r="E778" s="34"/>
      <c r="F778" s="34"/>
      <c r="G778" s="34"/>
      <c r="H778" s="34"/>
      <c r="I778" s="29"/>
      <c r="J778" s="29"/>
      <c r="K778" s="29"/>
      <c r="L778" s="29"/>
      <c r="M778" s="34"/>
      <c r="N778" s="34"/>
      <c r="O778" s="29"/>
      <c r="P778" s="29"/>
      <c r="Q778" s="29"/>
      <c r="R778" s="34"/>
      <c r="S778" s="29"/>
      <c r="T778" s="29"/>
      <c r="U778" s="2"/>
      <c r="V778" s="34"/>
      <c r="W778" s="34"/>
      <c r="X778" s="34"/>
      <c r="Y778" s="29"/>
      <c r="Z778" s="34"/>
      <c r="AA778" s="34"/>
      <c r="AB778" s="29"/>
      <c r="AC778" s="34"/>
      <c r="AD778" s="29"/>
      <c r="AE778" s="34"/>
      <c r="AF778" s="34"/>
    </row>
    <row x14ac:dyDescent="0.25" r="779" customHeight="1" ht="15.75">
      <c r="A779" s="502"/>
      <c r="B779" s="34"/>
      <c r="C779" s="34"/>
      <c r="D779" s="34"/>
      <c r="E779" s="34"/>
      <c r="F779" s="34"/>
      <c r="G779" s="34"/>
      <c r="H779" s="34"/>
      <c r="I779" s="29"/>
      <c r="J779" s="29"/>
      <c r="K779" s="29"/>
      <c r="L779" s="29"/>
      <c r="M779" s="34"/>
      <c r="N779" s="34"/>
      <c r="O779" s="29"/>
      <c r="P779" s="29"/>
      <c r="Q779" s="29"/>
      <c r="R779" s="34"/>
      <c r="S779" s="29"/>
      <c r="T779" s="29"/>
      <c r="U779" s="2"/>
      <c r="V779" s="34"/>
      <c r="W779" s="34"/>
      <c r="X779" s="34"/>
      <c r="Y779" s="29"/>
      <c r="Z779" s="34"/>
      <c r="AA779" s="34"/>
      <c r="AB779" s="29"/>
      <c r="AC779" s="34"/>
      <c r="AD779" s="29"/>
      <c r="AE779" s="34"/>
      <c r="AF779" s="34"/>
    </row>
    <row x14ac:dyDescent="0.25" r="780" customHeight="1" ht="15.75">
      <c r="A780" s="502"/>
      <c r="B780" s="34"/>
      <c r="C780" s="34"/>
      <c r="D780" s="34"/>
      <c r="E780" s="34"/>
      <c r="F780" s="34"/>
      <c r="G780" s="34"/>
      <c r="H780" s="34"/>
      <c r="I780" s="29"/>
      <c r="J780" s="29"/>
      <c r="K780" s="29"/>
      <c r="L780" s="29"/>
      <c r="M780" s="34"/>
      <c r="N780" s="34"/>
      <c r="O780" s="29"/>
      <c r="P780" s="29"/>
      <c r="Q780" s="29"/>
      <c r="R780" s="34"/>
      <c r="S780" s="29"/>
      <c r="T780" s="29"/>
      <c r="U780" s="2"/>
      <c r="V780" s="34"/>
      <c r="W780" s="34"/>
      <c r="X780" s="34"/>
      <c r="Y780" s="29"/>
      <c r="Z780" s="34"/>
      <c r="AA780" s="34"/>
      <c r="AB780" s="29"/>
      <c r="AC780" s="34"/>
      <c r="AD780" s="29"/>
      <c r="AE780" s="34"/>
      <c r="AF780" s="34"/>
    </row>
    <row x14ac:dyDescent="0.25" r="781" customHeight="1" ht="15.75">
      <c r="A781" s="502"/>
      <c r="B781" s="34"/>
      <c r="C781" s="34"/>
      <c r="D781" s="34"/>
      <c r="E781" s="34"/>
      <c r="F781" s="34"/>
      <c r="G781" s="34"/>
      <c r="H781" s="34"/>
      <c r="I781" s="29"/>
      <c r="J781" s="29"/>
      <c r="K781" s="29"/>
      <c r="L781" s="29"/>
      <c r="M781" s="34"/>
      <c r="N781" s="34"/>
      <c r="O781" s="29"/>
      <c r="P781" s="29"/>
      <c r="Q781" s="29"/>
      <c r="R781" s="34"/>
      <c r="S781" s="29"/>
      <c r="T781" s="29"/>
      <c r="U781" s="2"/>
      <c r="V781" s="34"/>
      <c r="W781" s="34"/>
      <c r="X781" s="34"/>
      <c r="Y781" s="29"/>
      <c r="Z781" s="34"/>
      <c r="AA781" s="34"/>
      <c r="AB781" s="29"/>
      <c r="AC781" s="34"/>
      <c r="AD781" s="29"/>
      <c r="AE781" s="34"/>
      <c r="AF781" s="34"/>
    </row>
    <row x14ac:dyDescent="0.25" r="782" customHeight="1" ht="15.75">
      <c r="A782" s="502"/>
      <c r="B782" s="34"/>
      <c r="C782" s="34"/>
      <c r="D782" s="34"/>
      <c r="E782" s="34"/>
      <c r="F782" s="34"/>
      <c r="G782" s="34"/>
      <c r="H782" s="34"/>
      <c r="I782" s="29"/>
      <c r="J782" s="29"/>
      <c r="K782" s="29"/>
      <c r="L782" s="29"/>
      <c r="M782" s="34"/>
      <c r="N782" s="34"/>
      <c r="O782" s="29"/>
      <c r="P782" s="29"/>
      <c r="Q782" s="29"/>
      <c r="R782" s="34"/>
      <c r="S782" s="29"/>
      <c r="T782" s="29"/>
      <c r="U782" s="2"/>
      <c r="V782" s="34"/>
      <c r="W782" s="34"/>
      <c r="X782" s="34"/>
      <c r="Y782" s="29"/>
      <c r="Z782" s="34"/>
      <c r="AA782" s="34"/>
      <c r="AB782" s="29"/>
      <c r="AC782" s="34"/>
      <c r="AD782" s="29"/>
      <c r="AE782" s="34"/>
      <c r="AF782" s="34"/>
    </row>
    <row x14ac:dyDescent="0.25" r="783" customHeight="1" ht="15.75">
      <c r="A783" s="502"/>
      <c r="B783" s="34"/>
      <c r="C783" s="34"/>
      <c r="D783" s="34"/>
      <c r="E783" s="34"/>
      <c r="F783" s="34"/>
      <c r="G783" s="34"/>
      <c r="H783" s="34"/>
      <c r="I783" s="29"/>
      <c r="J783" s="29"/>
      <c r="K783" s="29"/>
      <c r="L783" s="29"/>
      <c r="M783" s="34"/>
      <c r="N783" s="34"/>
      <c r="O783" s="29"/>
      <c r="P783" s="29"/>
      <c r="Q783" s="29"/>
      <c r="R783" s="34"/>
      <c r="S783" s="29"/>
      <c r="T783" s="29"/>
      <c r="U783" s="2"/>
      <c r="V783" s="34"/>
      <c r="W783" s="34"/>
      <c r="X783" s="34"/>
      <c r="Y783" s="29"/>
      <c r="Z783" s="34"/>
      <c r="AA783" s="34"/>
      <c r="AB783" s="29"/>
      <c r="AC783" s="34"/>
      <c r="AD783" s="29"/>
      <c r="AE783" s="34"/>
      <c r="AF783" s="34"/>
    </row>
    <row x14ac:dyDescent="0.25" r="784" customHeight="1" ht="15.75">
      <c r="A784" s="502"/>
      <c r="B784" s="34"/>
      <c r="C784" s="34"/>
      <c r="D784" s="34"/>
      <c r="E784" s="34"/>
      <c r="F784" s="34"/>
      <c r="G784" s="34"/>
      <c r="H784" s="34"/>
      <c r="I784" s="29"/>
      <c r="J784" s="29"/>
      <c r="K784" s="29"/>
      <c r="L784" s="29"/>
      <c r="M784" s="34"/>
      <c r="N784" s="34"/>
      <c r="O784" s="29"/>
      <c r="P784" s="29"/>
      <c r="Q784" s="29"/>
      <c r="R784" s="34"/>
      <c r="S784" s="29"/>
      <c r="T784" s="29"/>
      <c r="U784" s="2"/>
      <c r="V784" s="34"/>
      <c r="W784" s="34"/>
      <c r="X784" s="34"/>
      <c r="Y784" s="29"/>
      <c r="Z784" s="34"/>
      <c r="AA784" s="34"/>
      <c r="AB784" s="29"/>
      <c r="AC784" s="34"/>
      <c r="AD784" s="29"/>
      <c r="AE784" s="34"/>
      <c r="AF784" s="34"/>
    </row>
    <row x14ac:dyDescent="0.25" r="785" customHeight="1" ht="15.75">
      <c r="A785" s="502"/>
      <c r="B785" s="34"/>
      <c r="C785" s="34"/>
      <c r="D785" s="34"/>
      <c r="E785" s="34"/>
      <c r="F785" s="34"/>
      <c r="G785" s="34"/>
      <c r="H785" s="34"/>
      <c r="I785" s="29"/>
      <c r="J785" s="29"/>
      <c r="K785" s="29"/>
      <c r="L785" s="29"/>
      <c r="M785" s="34"/>
      <c r="N785" s="34"/>
      <c r="O785" s="29"/>
      <c r="P785" s="29"/>
      <c r="Q785" s="29"/>
      <c r="R785" s="34"/>
      <c r="S785" s="29"/>
      <c r="T785" s="29"/>
      <c r="U785" s="2"/>
      <c r="V785" s="34"/>
      <c r="W785" s="34"/>
      <c r="X785" s="34"/>
      <c r="Y785" s="29"/>
      <c r="Z785" s="34"/>
      <c r="AA785" s="34"/>
      <c r="AB785" s="29"/>
      <c r="AC785" s="34"/>
      <c r="AD785" s="29"/>
      <c r="AE785" s="34"/>
      <c r="AF785" s="34"/>
    </row>
    <row x14ac:dyDescent="0.25" r="786" customHeight="1" ht="15.75">
      <c r="A786" s="502"/>
      <c r="B786" s="34"/>
      <c r="C786" s="34"/>
      <c r="D786" s="34"/>
      <c r="E786" s="34"/>
      <c r="F786" s="34"/>
      <c r="G786" s="34"/>
      <c r="H786" s="34"/>
      <c r="I786" s="29"/>
      <c r="J786" s="29"/>
      <c r="K786" s="29"/>
      <c r="L786" s="29"/>
      <c r="M786" s="34"/>
      <c r="N786" s="34"/>
      <c r="O786" s="29"/>
      <c r="P786" s="29"/>
      <c r="Q786" s="29"/>
      <c r="R786" s="34"/>
      <c r="S786" s="29"/>
      <c r="T786" s="29"/>
      <c r="U786" s="2"/>
      <c r="V786" s="34"/>
      <c r="W786" s="34"/>
      <c r="X786" s="34"/>
      <c r="Y786" s="29"/>
      <c r="Z786" s="34"/>
      <c r="AA786" s="34"/>
      <c r="AB786" s="29"/>
      <c r="AC786" s="34"/>
      <c r="AD786" s="29"/>
      <c r="AE786" s="34"/>
      <c r="AF786" s="34"/>
    </row>
    <row x14ac:dyDescent="0.25" r="787" customHeight="1" ht="15.75">
      <c r="A787" s="502"/>
      <c r="B787" s="34"/>
      <c r="C787" s="34"/>
      <c r="D787" s="34"/>
      <c r="E787" s="34"/>
      <c r="F787" s="34"/>
      <c r="G787" s="34"/>
      <c r="H787" s="34"/>
      <c r="I787" s="29"/>
      <c r="J787" s="29"/>
      <c r="K787" s="29"/>
      <c r="L787" s="29"/>
      <c r="M787" s="34"/>
      <c r="N787" s="34"/>
      <c r="O787" s="29"/>
      <c r="P787" s="29"/>
      <c r="Q787" s="29"/>
      <c r="R787" s="34"/>
      <c r="S787" s="29"/>
      <c r="T787" s="29"/>
      <c r="U787" s="2"/>
      <c r="V787" s="34"/>
      <c r="W787" s="34"/>
      <c r="X787" s="34"/>
      <c r="Y787" s="29"/>
      <c r="Z787" s="34"/>
      <c r="AA787" s="34"/>
      <c r="AB787" s="29"/>
      <c r="AC787" s="34"/>
      <c r="AD787" s="29"/>
      <c r="AE787" s="34"/>
      <c r="AF787" s="34"/>
    </row>
    <row x14ac:dyDescent="0.25" r="788" customHeight="1" ht="15.75">
      <c r="A788" s="502"/>
      <c r="B788" s="34"/>
      <c r="C788" s="34"/>
      <c r="D788" s="34"/>
      <c r="E788" s="34"/>
      <c r="F788" s="34"/>
      <c r="G788" s="34"/>
      <c r="H788" s="34"/>
      <c r="I788" s="29"/>
      <c r="J788" s="29"/>
      <c r="K788" s="29"/>
      <c r="L788" s="29"/>
      <c r="M788" s="34"/>
      <c r="N788" s="34"/>
      <c r="O788" s="29"/>
      <c r="P788" s="29"/>
      <c r="Q788" s="29"/>
      <c r="R788" s="34"/>
      <c r="S788" s="29"/>
      <c r="T788" s="29"/>
      <c r="U788" s="2"/>
      <c r="V788" s="34"/>
      <c r="W788" s="34"/>
      <c r="X788" s="34"/>
      <c r="Y788" s="29"/>
      <c r="Z788" s="34"/>
      <c r="AA788" s="34"/>
      <c r="AB788" s="29"/>
      <c r="AC788" s="34"/>
      <c r="AD788" s="29"/>
      <c r="AE788" s="34"/>
      <c r="AF788" s="34"/>
    </row>
    <row x14ac:dyDescent="0.25" r="789" customHeight="1" ht="15.75">
      <c r="A789" s="502"/>
      <c r="B789" s="34"/>
      <c r="C789" s="34"/>
      <c r="D789" s="34"/>
      <c r="E789" s="34"/>
      <c r="F789" s="34"/>
      <c r="G789" s="34"/>
      <c r="H789" s="34"/>
      <c r="I789" s="29"/>
      <c r="J789" s="29"/>
      <c r="K789" s="29"/>
      <c r="L789" s="29"/>
      <c r="M789" s="34"/>
      <c r="N789" s="34"/>
      <c r="O789" s="29"/>
      <c r="P789" s="29"/>
      <c r="Q789" s="29"/>
      <c r="R789" s="34"/>
      <c r="S789" s="29"/>
      <c r="T789" s="29"/>
      <c r="U789" s="2"/>
      <c r="V789" s="34"/>
      <c r="W789" s="34"/>
      <c r="X789" s="34"/>
      <c r="Y789" s="29"/>
      <c r="Z789" s="34"/>
      <c r="AA789" s="34"/>
      <c r="AB789" s="29"/>
      <c r="AC789" s="34"/>
      <c r="AD789" s="29"/>
      <c r="AE789" s="34"/>
      <c r="AF789" s="34"/>
    </row>
    <row x14ac:dyDescent="0.25" r="790" customHeight="1" ht="15.75">
      <c r="A790" s="502"/>
      <c r="B790" s="34"/>
      <c r="C790" s="34"/>
      <c r="D790" s="34"/>
      <c r="E790" s="34"/>
      <c r="F790" s="34"/>
      <c r="G790" s="34"/>
      <c r="H790" s="34"/>
      <c r="I790" s="29"/>
      <c r="J790" s="29"/>
      <c r="K790" s="29"/>
      <c r="L790" s="29"/>
      <c r="M790" s="34"/>
      <c r="N790" s="34"/>
      <c r="O790" s="29"/>
      <c r="P790" s="29"/>
      <c r="Q790" s="29"/>
      <c r="R790" s="34"/>
      <c r="S790" s="29"/>
      <c r="T790" s="29"/>
      <c r="U790" s="2"/>
      <c r="V790" s="34"/>
      <c r="W790" s="34"/>
      <c r="X790" s="34"/>
      <c r="Y790" s="29"/>
      <c r="Z790" s="34"/>
      <c r="AA790" s="34"/>
      <c r="AB790" s="29"/>
      <c r="AC790" s="34"/>
      <c r="AD790" s="29"/>
      <c r="AE790" s="34"/>
      <c r="AF790" s="34"/>
    </row>
    <row x14ac:dyDescent="0.25" r="791" customHeight="1" ht="15.75">
      <c r="A791" s="502"/>
      <c r="B791" s="34"/>
      <c r="C791" s="34"/>
      <c r="D791" s="34"/>
      <c r="E791" s="34"/>
      <c r="F791" s="34"/>
      <c r="G791" s="34"/>
      <c r="H791" s="34"/>
      <c r="I791" s="29"/>
      <c r="J791" s="29"/>
      <c r="K791" s="29"/>
      <c r="L791" s="29"/>
      <c r="M791" s="34"/>
      <c r="N791" s="34"/>
      <c r="O791" s="29"/>
      <c r="P791" s="29"/>
      <c r="Q791" s="29"/>
      <c r="R791" s="34"/>
      <c r="S791" s="29"/>
      <c r="T791" s="29"/>
      <c r="U791" s="2"/>
      <c r="V791" s="34"/>
      <c r="W791" s="34"/>
      <c r="X791" s="34"/>
      <c r="Y791" s="29"/>
      <c r="Z791" s="34"/>
      <c r="AA791" s="34"/>
      <c r="AB791" s="29"/>
      <c r="AC791" s="34"/>
      <c r="AD791" s="29"/>
      <c r="AE791" s="34"/>
      <c r="AF791" s="34"/>
    </row>
    <row x14ac:dyDescent="0.25" r="792" customHeight="1" ht="15.75">
      <c r="A792" s="502"/>
      <c r="B792" s="34"/>
      <c r="C792" s="34"/>
      <c r="D792" s="34"/>
      <c r="E792" s="34"/>
      <c r="F792" s="34"/>
      <c r="G792" s="34"/>
      <c r="H792" s="34"/>
      <c r="I792" s="29"/>
      <c r="J792" s="29"/>
      <c r="K792" s="29"/>
      <c r="L792" s="29"/>
      <c r="M792" s="34"/>
      <c r="N792" s="34"/>
      <c r="O792" s="29"/>
      <c r="P792" s="29"/>
      <c r="Q792" s="29"/>
      <c r="R792" s="34"/>
      <c r="S792" s="29"/>
      <c r="T792" s="29"/>
      <c r="U792" s="2"/>
      <c r="V792" s="34"/>
      <c r="W792" s="34"/>
      <c r="X792" s="34"/>
      <c r="Y792" s="29"/>
      <c r="Z792" s="34"/>
      <c r="AA792" s="34"/>
      <c r="AB792" s="29"/>
      <c r="AC792" s="34"/>
      <c r="AD792" s="29"/>
      <c r="AE792" s="34"/>
      <c r="AF792" s="34"/>
    </row>
    <row x14ac:dyDescent="0.25" r="793" customHeight="1" ht="15.75">
      <c r="A793" s="502"/>
      <c r="B793" s="34"/>
      <c r="C793" s="34"/>
      <c r="D793" s="34"/>
      <c r="E793" s="34"/>
      <c r="F793" s="34"/>
      <c r="G793" s="34"/>
      <c r="H793" s="34"/>
      <c r="I793" s="29"/>
      <c r="J793" s="29"/>
      <c r="K793" s="29"/>
      <c r="L793" s="29"/>
      <c r="M793" s="34"/>
      <c r="N793" s="34"/>
      <c r="O793" s="29"/>
      <c r="P793" s="29"/>
      <c r="Q793" s="29"/>
      <c r="R793" s="34"/>
      <c r="S793" s="29"/>
      <c r="T793" s="29"/>
      <c r="U793" s="2"/>
      <c r="V793" s="34"/>
      <c r="W793" s="34"/>
      <c r="X793" s="34"/>
      <c r="Y793" s="29"/>
      <c r="Z793" s="34"/>
      <c r="AA793" s="34"/>
      <c r="AB793" s="29"/>
      <c r="AC793" s="34"/>
      <c r="AD793" s="29"/>
      <c r="AE793" s="34"/>
      <c r="AF793" s="34"/>
    </row>
    <row x14ac:dyDescent="0.25" r="794" customHeight="1" ht="15.75">
      <c r="A794" s="502"/>
      <c r="B794" s="34"/>
      <c r="C794" s="34"/>
      <c r="D794" s="34"/>
      <c r="E794" s="34"/>
      <c r="F794" s="34"/>
      <c r="G794" s="34"/>
      <c r="H794" s="34"/>
      <c r="I794" s="29"/>
      <c r="J794" s="29"/>
      <c r="K794" s="29"/>
      <c r="L794" s="29"/>
      <c r="M794" s="34"/>
      <c r="N794" s="34"/>
      <c r="O794" s="29"/>
      <c r="P794" s="29"/>
      <c r="Q794" s="29"/>
      <c r="R794" s="34"/>
      <c r="S794" s="29"/>
      <c r="T794" s="29"/>
      <c r="U794" s="2"/>
      <c r="V794" s="34"/>
      <c r="W794" s="34"/>
      <c r="X794" s="34"/>
      <c r="Y794" s="29"/>
      <c r="Z794" s="34"/>
      <c r="AA794" s="34"/>
      <c r="AB794" s="29"/>
      <c r="AC794" s="34"/>
      <c r="AD794" s="29"/>
      <c r="AE794" s="34"/>
      <c r="AF794" s="34"/>
    </row>
    <row x14ac:dyDescent="0.25" r="795" customHeight="1" ht="15.75">
      <c r="A795" s="502"/>
      <c r="B795" s="34"/>
      <c r="C795" s="34"/>
      <c r="D795" s="34"/>
      <c r="E795" s="34"/>
      <c r="F795" s="34"/>
      <c r="G795" s="34"/>
      <c r="H795" s="34"/>
      <c r="I795" s="29"/>
      <c r="J795" s="29"/>
      <c r="K795" s="29"/>
      <c r="L795" s="29"/>
      <c r="M795" s="34"/>
      <c r="N795" s="34"/>
      <c r="O795" s="29"/>
      <c r="P795" s="29"/>
      <c r="Q795" s="29"/>
      <c r="R795" s="34"/>
      <c r="S795" s="29"/>
      <c r="T795" s="29"/>
      <c r="U795" s="2"/>
      <c r="V795" s="34"/>
      <c r="W795" s="34"/>
      <c r="X795" s="34"/>
      <c r="Y795" s="29"/>
      <c r="Z795" s="34"/>
      <c r="AA795" s="34"/>
      <c r="AB795" s="29"/>
      <c r="AC795" s="34"/>
      <c r="AD795" s="29"/>
      <c r="AE795" s="34"/>
      <c r="AF795" s="34"/>
    </row>
    <row x14ac:dyDescent="0.25" r="796" customHeight="1" ht="15.75">
      <c r="A796" s="502"/>
      <c r="B796" s="34"/>
      <c r="C796" s="34"/>
      <c r="D796" s="34"/>
      <c r="E796" s="34"/>
      <c r="F796" s="34"/>
      <c r="G796" s="34"/>
      <c r="H796" s="34"/>
      <c r="I796" s="29"/>
      <c r="J796" s="29"/>
      <c r="K796" s="29"/>
      <c r="L796" s="29"/>
      <c r="M796" s="34"/>
      <c r="N796" s="34"/>
      <c r="O796" s="29"/>
      <c r="P796" s="29"/>
      <c r="Q796" s="29"/>
      <c r="R796" s="34"/>
      <c r="S796" s="29"/>
      <c r="T796" s="29"/>
      <c r="U796" s="2"/>
      <c r="V796" s="34"/>
      <c r="W796" s="34"/>
      <c r="X796" s="34"/>
      <c r="Y796" s="29"/>
      <c r="Z796" s="34"/>
      <c r="AA796" s="34"/>
      <c r="AB796" s="29"/>
      <c r="AC796" s="34"/>
      <c r="AD796" s="29"/>
      <c r="AE796" s="34"/>
      <c r="AF796" s="34"/>
    </row>
    <row x14ac:dyDescent="0.25" r="797" customHeight="1" ht="15.75">
      <c r="A797" s="502"/>
      <c r="B797" s="34"/>
      <c r="C797" s="34"/>
      <c r="D797" s="34"/>
      <c r="E797" s="34"/>
      <c r="F797" s="34"/>
      <c r="G797" s="34"/>
      <c r="H797" s="34"/>
      <c r="I797" s="29"/>
      <c r="J797" s="29"/>
      <c r="K797" s="29"/>
      <c r="L797" s="29"/>
      <c r="M797" s="34"/>
      <c r="N797" s="34"/>
      <c r="O797" s="29"/>
      <c r="P797" s="29"/>
      <c r="Q797" s="29"/>
      <c r="R797" s="34"/>
      <c r="S797" s="29"/>
      <c r="T797" s="29"/>
      <c r="U797" s="2"/>
      <c r="V797" s="34"/>
      <c r="W797" s="34"/>
      <c r="X797" s="34"/>
      <c r="Y797" s="29"/>
      <c r="Z797" s="34"/>
      <c r="AA797" s="34"/>
      <c r="AB797" s="29"/>
      <c r="AC797" s="34"/>
      <c r="AD797" s="29"/>
      <c r="AE797" s="34"/>
      <c r="AF797" s="34"/>
    </row>
    <row x14ac:dyDescent="0.25" r="798" customHeight="1" ht="15.75">
      <c r="A798" s="502"/>
      <c r="B798" s="34"/>
      <c r="C798" s="34"/>
      <c r="D798" s="34"/>
      <c r="E798" s="34"/>
      <c r="F798" s="34"/>
      <c r="G798" s="34"/>
      <c r="H798" s="34"/>
      <c r="I798" s="29"/>
      <c r="J798" s="29"/>
      <c r="K798" s="29"/>
      <c r="L798" s="29"/>
      <c r="M798" s="34"/>
      <c r="N798" s="34"/>
      <c r="O798" s="29"/>
      <c r="P798" s="29"/>
      <c r="Q798" s="29"/>
      <c r="R798" s="34"/>
      <c r="S798" s="29"/>
      <c r="T798" s="29"/>
      <c r="U798" s="2"/>
      <c r="V798" s="34"/>
      <c r="W798" s="34"/>
      <c r="X798" s="34"/>
      <c r="Y798" s="29"/>
      <c r="Z798" s="34"/>
      <c r="AA798" s="34"/>
      <c r="AB798" s="29"/>
      <c r="AC798" s="34"/>
      <c r="AD798" s="29"/>
      <c r="AE798" s="34"/>
      <c r="AF798" s="34"/>
    </row>
    <row x14ac:dyDescent="0.25" r="799" customHeight="1" ht="15.75">
      <c r="A799" s="502"/>
      <c r="B799" s="34"/>
      <c r="C799" s="34"/>
      <c r="D799" s="34"/>
      <c r="E799" s="34"/>
      <c r="F799" s="34"/>
      <c r="G799" s="34"/>
      <c r="H799" s="34"/>
      <c r="I799" s="29"/>
      <c r="J799" s="29"/>
      <c r="K799" s="29"/>
      <c r="L799" s="29"/>
      <c r="M799" s="34"/>
      <c r="N799" s="34"/>
      <c r="O799" s="29"/>
      <c r="P799" s="29"/>
      <c r="Q799" s="29"/>
      <c r="R799" s="34"/>
      <c r="S799" s="29"/>
      <c r="T799" s="29"/>
      <c r="U799" s="2"/>
      <c r="V799" s="34"/>
      <c r="W799" s="34"/>
      <c r="X799" s="34"/>
      <c r="Y799" s="29"/>
      <c r="Z799" s="34"/>
      <c r="AA799" s="34"/>
      <c r="AB799" s="29"/>
      <c r="AC799" s="34"/>
      <c r="AD799" s="29"/>
      <c r="AE799" s="34"/>
      <c r="AF799" s="34"/>
    </row>
    <row x14ac:dyDescent="0.25" r="800" customHeight="1" ht="15.75">
      <c r="A800" s="502"/>
      <c r="B800" s="34"/>
      <c r="C800" s="34"/>
      <c r="D800" s="34"/>
      <c r="E800" s="34"/>
      <c r="F800" s="34"/>
      <c r="G800" s="34"/>
      <c r="H800" s="34"/>
      <c r="I800" s="29"/>
      <c r="J800" s="29"/>
      <c r="K800" s="29"/>
      <c r="L800" s="29"/>
      <c r="M800" s="34"/>
      <c r="N800" s="34"/>
      <c r="O800" s="29"/>
      <c r="P800" s="29"/>
      <c r="Q800" s="29"/>
      <c r="R800" s="34"/>
      <c r="S800" s="29"/>
      <c r="T800" s="29"/>
      <c r="U800" s="2"/>
      <c r="V800" s="34"/>
      <c r="W800" s="34"/>
      <c r="X800" s="34"/>
      <c r="Y800" s="29"/>
      <c r="Z800" s="34"/>
      <c r="AA800" s="34"/>
      <c r="AB800" s="29"/>
      <c r="AC800" s="34"/>
      <c r="AD800" s="29"/>
      <c r="AE800" s="34"/>
      <c r="AF800" s="34"/>
    </row>
    <row x14ac:dyDescent="0.25" r="801" customHeight="1" ht="15.75">
      <c r="A801" s="502"/>
      <c r="B801" s="34"/>
      <c r="C801" s="34"/>
      <c r="D801" s="34"/>
      <c r="E801" s="34"/>
      <c r="F801" s="34"/>
      <c r="G801" s="34"/>
      <c r="H801" s="34"/>
      <c r="I801" s="29"/>
      <c r="J801" s="29"/>
      <c r="K801" s="29"/>
      <c r="L801" s="29"/>
      <c r="M801" s="34"/>
      <c r="N801" s="34"/>
      <c r="O801" s="29"/>
      <c r="P801" s="29"/>
      <c r="Q801" s="29"/>
      <c r="R801" s="34"/>
      <c r="S801" s="29"/>
      <c r="T801" s="29"/>
      <c r="U801" s="2"/>
      <c r="V801" s="34"/>
      <c r="W801" s="34"/>
      <c r="X801" s="34"/>
      <c r="Y801" s="29"/>
      <c r="Z801" s="34"/>
      <c r="AA801" s="34"/>
      <c r="AB801" s="29"/>
      <c r="AC801" s="34"/>
      <c r="AD801" s="29"/>
      <c r="AE801" s="34"/>
      <c r="AF801" s="34"/>
    </row>
    <row x14ac:dyDescent="0.25" r="802" customHeight="1" ht="15.75">
      <c r="A802" s="502"/>
      <c r="B802" s="34"/>
      <c r="C802" s="34"/>
      <c r="D802" s="34"/>
      <c r="E802" s="34"/>
      <c r="F802" s="34"/>
      <c r="G802" s="34"/>
      <c r="H802" s="34"/>
      <c r="I802" s="29"/>
      <c r="J802" s="29"/>
      <c r="K802" s="29"/>
      <c r="L802" s="29"/>
      <c r="M802" s="34"/>
      <c r="N802" s="34"/>
      <c r="O802" s="29"/>
      <c r="P802" s="29"/>
      <c r="Q802" s="29"/>
      <c r="R802" s="34"/>
      <c r="S802" s="29"/>
      <c r="T802" s="29"/>
      <c r="U802" s="2"/>
      <c r="V802" s="34"/>
      <c r="W802" s="34"/>
      <c r="X802" s="34"/>
      <c r="Y802" s="29"/>
      <c r="Z802" s="34"/>
      <c r="AA802" s="34"/>
      <c r="AB802" s="29"/>
      <c r="AC802" s="34"/>
      <c r="AD802" s="29"/>
      <c r="AE802" s="34"/>
      <c r="AF802" s="34"/>
    </row>
    <row x14ac:dyDescent="0.25" r="803" customHeight="1" ht="15.75">
      <c r="A803" s="502"/>
      <c r="B803" s="34"/>
      <c r="C803" s="34"/>
      <c r="D803" s="34"/>
      <c r="E803" s="34"/>
      <c r="F803" s="34"/>
      <c r="G803" s="34"/>
      <c r="H803" s="34"/>
      <c r="I803" s="29"/>
      <c r="J803" s="29"/>
      <c r="K803" s="29"/>
      <c r="L803" s="29"/>
      <c r="M803" s="34"/>
      <c r="N803" s="34"/>
      <c r="O803" s="29"/>
      <c r="P803" s="29"/>
      <c r="Q803" s="29"/>
      <c r="R803" s="34"/>
      <c r="S803" s="29"/>
      <c r="T803" s="29"/>
      <c r="U803" s="2"/>
      <c r="V803" s="34"/>
      <c r="W803" s="34"/>
      <c r="X803" s="34"/>
      <c r="Y803" s="29"/>
      <c r="Z803" s="34"/>
      <c r="AA803" s="34"/>
      <c r="AB803" s="29"/>
      <c r="AC803" s="34"/>
      <c r="AD803" s="29"/>
      <c r="AE803" s="34"/>
      <c r="AF803" s="34"/>
    </row>
    <row x14ac:dyDescent="0.25" r="804" customHeight="1" ht="15.75">
      <c r="A804" s="502"/>
      <c r="B804" s="34"/>
      <c r="C804" s="34"/>
      <c r="D804" s="34"/>
      <c r="E804" s="34"/>
      <c r="F804" s="34"/>
      <c r="G804" s="34"/>
      <c r="H804" s="34"/>
      <c r="I804" s="29"/>
      <c r="J804" s="29"/>
      <c r="K804" s="29"/>
      <c r="L804" s="29"/>
      <c r="M804" s="34"/>
      <c r="N804" s="34"/>
      <c r="O804" s="29"/>
      <c r="P804" s="29"/>
      <c r="Q804" s="29"/>
      <c r="R804" s="34"/>
      <c r="S804" s="29"/>
      <c r="T804" s="29"/>
      <c r="U804" s="2"/>
      <c r="V804" s="34"/>
      <c r="W804" s="34"/>
      <c r="X804" s="34"/>
      <c r="Y804" s="29"/>
      <c r="Z804" s="34"/>
      <c r="AA804" s="34"/>
      <c r="AB804" s="29"/>
      <c r="AC804" s="34"/>
      <c r="AD804" s="29"/>
      <c r="AE804" s="34"/>
      <c r="AF804" s="34"/>
    </row>
    <row x14ac:dyDescent="0.25" r="805" customHeight="1" ht="15.75">
      <c r="A805" s="502"/>
      <c r="B805" s="34"/>
      <c r="C805" s="34"/>
      <c r="D805" s="34"/>
      <c r="E805" s="34"/>
      <c r="F805" s="34"/>
      <c r="G805" s="34"/>
      <c r="H805" s="34"/>
      <c r="I805" s="29"/>
      <c r="J805" s="29"/>
      <c r="K805" s="29"/>
      <c r="L805" s="29"/>
      <c r="M805" s="34"/>
      <c r="N805" s="34"/>
      <c r="O805" s="29"/>
      <c r="P805" s="29"/>
      <c r="Q805" s="29"/>
      <c r="R805" s="34"/>
      <c r="S805" s="29"/>
      <c r="T805" s="29"/>
      <c r="U805" s="2"/>
      <c r="V805" s="34"/>
      <c r="W805" s="34"/>
      <c r="X805" s="34"/>
      <c r="Y805" s="29"/>
      <c r="Z805" s="34"/>
      <c r="AA805" s="34"/>
      <c r="AB805" s="29"/>
      <c r="AC805" s="34"/>
      <c r="AD805" s="29"/>
      <c r="AE805" s="34"/>
      <c r="AF805" s="34"/>
    </row>
    <row x14ac:dyDescent="0.25" r="806" customHeight="1" ht="15.75">
      <c r="A806" s="502"/>
      <c r="B806" s="34"/>
      <c r="C806" s="34"/>
      <c r="D806" s="34"/>
      <c r="E806" s="34"/>
      <c r="F806" s="34"/>
      <c r="G806" s="34"/>
      <c r="H806" s="34"/>
      <c r="I806" s="29"/>
      <c r="J806" s="29"/>
      <c r="K806" s="29"/>
      <c r="L806" s="29"/>
      <c r="M806" s="34"/>
      <c r="N806" s="34"/>
      <c r="O806" s="29"/>
      <c r="P806" s="29"/>
      <c r="Q806" s="29"/>
      <c r="R806" s="34"/>
      <c r="S806" s="29"/>
      <c r="T806" s="29"/>
      <c r="U806" s="2"/>
      <c r="V806" s="34"/>
      <c r="W806" s="34"/>
      <c r="X806" s="34"/>
      <c r="Y806" s="29"/>
      <c r="Z806" s="34"/>
      <c r="AA806" s="34"/>
      <c r="AB806" s="29"/>
      <c r="AC806" s="34"/>
      <c r="AD806" s="29"/>
      <c r="AE806" s="34"/>
      <c r="AF806" s="34"/>
    </row>
    <row x14ac:dyDescent="0.25" r="807" customHeight="1" ht="15.75">
      <c r="A807" s="502"/>
      <c r="B807" s="34"/>
      <c r="C807" s="34"/>
      <c r="D807" s="34"/>
      <c r="E807" s="34"/>
      <c r="F807" s="34"/>
      <c r="G807" s="34"/>
      <c r="H807" s="34"/>
      <c r="I807" s="29"/>
      <c r="J807" s="29"/>
      <c r="K807" s="29"/>
      <c r="L807" s="29"/>
      <c r="M807" s="34"/>
      <c r="N807" s="34"/>
      <c r="O807" s="29"/>
      <c r="P807" s="29"/>
      <c r="Q807" s="29"/>
      <c r="R807" s="34"/>
      <c r="S807" s="29"/>
      <c r="T807" s="29"/>
      <c r="U807" s="2"/>
      <c r="V807" s="34"/>
      <c r="W807" s="34"/>
      <c r="X807" s="34"/>
      <c r="Y807" s="29"/>
      <c r="Z807" s="34"/>
      <c r="AA807" s="34"/>
      <c r="AB807" s="29"/>
      <c r="AC807" s="34"/>
      <c r="AD807" s="29"/>
      <c r="AE807" s="34"/>
      <c r="AF807" s="34"/>
    </row>
    <row x14ac:dyDescent="0.25" r="808" customHeight="1" ht="15.75">
      <c r="A808" s="502"/>
      <c r="B808" s="34"/>
      <c r="C808" s="34"/>
      <c r="D808" s="34"/>
      <c r="E808" s="34"/>
      <c r="F808" s="34"/>
      <c r="G808" s="34"/>
      <c r="H808" s="34"/>
      <c r="I808" s="29"/>
      <c r="J808" s="29"/>
      <c r="K808" s="29"/>
      <c r="L808" s="29"/>
      <c r="M808" s="34"/>
      <c r="N808" s="34"/>
      <c r="O808" s="29"/>
      <c r="P808" s="29"/>
      <c r="Q808" s="29"/>
      <c r="R808" s="34"/>
      <c r="S808" s="29"/>
      <c r="T808" s="29"/>
      <c r="U808" s="2"/>
      <c r="V808" s="34"/>
      <c r="W808" s="34"/>
      <c r="X808" s="34"/>
      <c r="Y808" s="29"/>
      <c r="Z808" s="34"/>
      <c r="AA808" s="34"/>
      <c r="AB808" s="29"/>
      <c r="AC808" s="34"/>
      <c r="AD808" s="29"/>
      <c r="AE808" s="34"/>
      <c r="AF808" s="34"/>
    </row>
    <row x14ac:dyDescent="0.25" r="809" customHeight="1" ht="15.75">
      <c r="A809" s="502"/>
      <c r="B809" s="34"/>
      <c r="C809" s="34"/>
      <c r="D809" s="34"/>
      <c r="E809" s="34"/>
      <c r="F809" s="34"/>
      <c r="G809" s="34"/>
      <c r="H809" s="34"/>
      <c r="I809" s="29"/>
      <c r="J809" s="29"/>
      <c r="K809" s="29"/>
      <c r="L809" s="29"/>
      <c r="M809" s="34"/>
      <c r="N809" s="34"/>
      <c r="O809" s="29"/>
      <c r="P809" s="29"/>
      <c r="Q809" s="29"/>
      <c r="R809" s="34"/>
      <c r="S809" s="29"/>
      <c r="T809" s="29"/>
      <c r="U809" s="2"/>
      <c r="V809" s="34"/>
      <c r="W809" s="34"/>
      <c r="X809" s="34"/>
      <c r="Y809" s="29"/>
      <c r="Z809" s="34"/>
      <c r="AA809" s="34"/>
      <c r="AB809" s="29"/>
      <c r="AC809" s="34"/>
      <c r="AD809" s="29"/>
      <c r="AE809" s="34"/>
      <c r="AF809" s="34"/>
    </row>
    <row x14ac:dyDescent="0.25" r="810" customHeight="1" ht="15.75">
      <c r="A810" s="502"/>
      <c r="B810" s="34"/>
      <c r="C810" s="34"/>
      <c r="D810" s="34"/>
      <c r="E810" s="34"/>
      <c r="F810" s="34"/>
      <c r="G810" s="34"/>
      <c r="H810" s="34"/>
      <c r="I810" s="29"/>
      <c r="J810" s="29"/>
      <c r="K810" s="29"/>
      <c r="L810" s="29"/>
      <c r="M810" s="34"/>
      <c r="N810" s="34"/>
      <c r="O810" s="29"/>
      <c r="P810" s="29"/>
      <c r="Q810" s="29"/>
      <c r="R810" s="34"/>
      <c r="S810" s="29"/>
      <c r="T810" s="29"/>
      <c r="U810" s="2"/>
      <c r="V810" s="34"/>
      <c r="W810" s="34"/>
      <c r="X810" s="34"/>
      <c r="Y810" s="29"/>
      <c r="Z810" s="34"/>
      <c r="AA810" s="34"/>
      <c r="AB810" s="29"/>
      <c r="AC810" s="34"/>
      <c r="AD810" s="29"/>
      <c r="AE810" s="34"/>
      <c r="AF810" s="34"/>
    </row>
    <row x14ac:dyDescent="0.25" r="811" customHeight="1" ht="15.75">
      <c r="A811" s="502"/>
      <c r="B811" s="34"/>
      <c r="C811" s="34"/>
      <c r="D811" s="34"/>
      <c r="E811" s="34"/>
      <c r="F811" s="34"/>
      <c r="G811" s="34"/>
      <c r="H811" s="34"/>
      <c r="I811" s="29"/>
      <c r="J811" s="29"/>
      <c r="K811" s="29"/>
      <c r="L811" s="29"/>
      <c r="M811" s="34"/>
      <c r="N811" s="34"/>
      <c r="O811" s="29"/>
      <c r="P811" s="29"/>
      <c r="Q811" s="29"/>
      <c r="R811" s="34"/>
      <c r="S811" s="29"/>
      <c r="T811" s="29"/>
      <c r="U811" s="2"/>
      <c r="V811" s="34"/>
      <c r="W811" s="34"/>
      <c r="X811" s="34"/>
      <c r="Y811" s="29"/>
      <c r="Z811" s="34"/>
      <c r="AA811" s="34"/>
      <c r="AB811" s="29"/>
      <c r="AC811" s="34"/>
      <c r="AD811" s="29"/>
      <c r="AE811" s="34"/>
      <c r="AF811" s="34"/>
    </row>
    <row x14ac:dyDescent="0.25" r="812" customHeight="1" ht="15.75">
      <c r="A812" s="502"/>
      <c r="B812" s="34"/>
      <c r="C812" s="34"/>
      <c r="D812" s="34"/>
      <c r="E812" s="34"/>
      <c r="F812" s="34"/>
      <c r="G812" s="34"/>
      <c r="H812" s="34"/>
      <c r="I812" s="29"/>
      <c r="J812" s="29"/>
      <c r="K812" s="29"/>
      <c r="L812" s="29"/>
      <c r="M812" s="34"/>
      <c r="N812" s="34"/>
      <c r="O812" s="29"/>
      <c r="P812" s="29"/>
      <c r="Q812" s="29"/>
      <c r="R812" s="34"/>
      <c r="S812" s="29"/>
      <c r="T812" s="29"/>
      <c r="U812" s="2"/>
      <c r="V812" s="34"/>
      <c r="W812" s="34"/>
      <c r="X812" s="34"/>
      <c r="Y812" s="29"/>
      <c r="Z812" s="34"/>
      <c r="AA812" s="34"/>
      <c r="AB812" s="29"/>
      <c r="AC812" s="34"/>
      <c r="AD812" s="29"/>
      <c r="AE812" s="34"/>
      <c r="AF812" s="34"/>
    </row>
    <row x14ac:dyDescent="0.25" r="813" customHeight="1" ht="15.75">
      <c r="A813" s="502"/>
      <c r="B813" s="34"/>
      <c r="C813" s="34"/>
      <c r="D813" s="34"/>
      <c r="E813" s="34"/>
      <c r="F813" s="34"/>
      <c r="G813" s="34"/>
      <c r="H813" s="34"/>
      <c r="I813" s="29"/>
      <c r="J813" s="29"/>
      <c r="K813" s="29"/>
      <c r="L813" s="29"/>
      <c r="M813" s="34"/>
      <c r="N813" s="34"/>
      <c r="O813" s="29"/>
      <c r="P813" s="29"/>
      <c r="Q813" s="29"/>
      <c r="R813" s="34"/>
      <c r="S813" s="29"/>
      <c r="T813" s="29"/>
      <c r="U813" s="2"/>
      <c r="V813" s="34"/>
      <c r="W813" s="34"/>
      <c r="X813" s="34"/>
      <c r="Y813" s="29"/>
      <c r="Z813" s="34"/>
      <c r="AA813" s="34"/>
      <c r="AB813" s="29"/>
      <c r="AC813" s="34"/>
      <c r="AD813" s="29"/>
      <c r="AE813" s="34"/>
      <c r="AF813" s="34"/>
    </row>
    <row x14ac:dyDescent="0.25" r="814" customHeight="1" ht="15.75">
      <c r="A814" s="502"/>
      <c r="B814" s="34"/>
      <c r="C814" s="34"/>
      <c r="D814" s="34"/>
      <c r="E814" s="34"/>
      <c r="F814" s="34"/>
      <c r="G814" s="34"/>
      <c r="H814" s="34"/>
      <c r="I814" s="29"/>
      <c r="J814" s="29"/>
      <c r="K814" s="29"/>
      <c r="L814" s="29"/>
      <c r="M814" s="34"/>
      <c r="N814" s="34"/>
      <c r="O814" s="29"/>
      <c r="P814" s="29"/>
      <c r="Q814" s="29"/>
      <c r="R814" s="34"/>
      <c r="S814" s="29"/>
      <c r="T814" s="29"/>
      <c r="U814" s="2"/>
      <c r="V814" s="34"/>
      <c r="W814" s="34"/>
      <c r="X814" s="34"/>
      <c r="Y814" s="29"/>
      <c r="Z814" s="34"/>
      <c r="AA814" s="34"/>
      <c r="AB814" s="29"/>
      <c r="AC814" s="34"/>
      <c r="AD814" s="29"/>
      <c r="AE814" s="34"/>
      <c r="AF814" s="34"/>
    </row>
    <row x14ac:dyDescent="0.25" r="815" customHeight="1" ht="15.75">
      <c r="A815" s="502"/>
      <c r="B815" s="34"/>
      <c r="C815" s="34"/>
      <c r="D815" s="34"/>
      <c r="E815" s="34"/>
      <c r="F815" s="34"/>
      <c r="G815" s="34"/>
      <c r="H815" s="34"/>
      <c r="I815" s="29"/>
      <c r="J815" s="29"/>
      <c r="K815" s="29"/>
      <c r="L815" s="29"/>
      <c r="M815" s="34"/>
      <c r="N815" s="34"/>
      <c r="O815" s="29"/>
      <c r="P815" s="29"/>
      <c r="Q815" s="29"/>
      <c r="R815" s="34"/>
      <c r="S815" s="29"/>
      <c r="T815" s="29"/>
      <c r="U815" s="2"/>
      <c r="V815" s="34"/>
      <c r="W815" s="34"/>
      <c r="X815" s="34"/>
      <c r="Y815" s="29"/>
      <c r="Z815" s="34"/>
      <c r="AA815" s="34"/>
      <c r="AB815" s="29"/>
      <c r="AC815" s="34"/>
      <c r="AD815" s="29"/>
      <c r="AE815" s="34"/>
      <c r="AF815" s="34"/>
    </row>
    <row x14ac:dyDescent="0.25" r="816" customHeight="1" ht="15.75">
      <c r="A816" s="502"/>
      <c r="B816" s="34"/>
      <c r="C816" s="34"/>
      <c r="D816" s="34"/>
      <c r="E816" s="34"/>
      <c r="F816" s="34"/>
      <c r="G816" s="34"/>
      <c r="H816" s="34"/>
      <c r="I816" s="29"/>
      <c r="J816" s="29"/>
      <c r="K816" s="29"/>
      <c r="L816" s="29"/>
      <c r="M816" s="34"/>
      <c r="N816" s="34"/>
      <c r="O816" s="29"/>
      <c r="P816" s="29"/>
      <c r="Q816" s="29"/>
      <c r="R816" s="34"/>
      <c r="S816" s="29"/>
      <c r="T816" s="29"/>
      <c r="U816" s="2"/>
      <c r="V816" s="34"/>
      <c r="W816" s="34"/>
      <c r="X816" s="34"/>
      <c r="Y816" s="29"/>
      <c r="Z816" s="34"/>
      <c r="AA816" s="34"/>
      <c r="AB816" s="29"/>
      <c r="AC816" s="34"/>
      <c r="AD816" s="29"/>
      <c r="AE816" s="34"/>
      <c r="AF816" s="34"/>
    </row>
    <row x14ac:dyDescent="0.25" r="817" customHeight="1" ht="15.75">
      <c r="A817" s="502"/>
      <c r="B817" s="34"/>
      <c r="C817" s="34"/>
      <c r="D817" s="34"/>
      <c r="E817" s="34"/>
      <c r="F817" s="34"/>
      <c r="G817" s="34"/>
      <c r="H817" s="34"/>
      <c r="I817" s="29"/>
      <c r="J817" s="29"/>
      <c r="K817" s="29"/>
      <c r="L817" s="29"/>
      <c r="M817" s="34"/>
      <c r="N817" s="34"/>
      <c r="O817" s="29"/>
      <c r="P817" s="29"/>
      <c r="Q817" s="29"/>
      <c r="R817" s="34"/>
      <c r="S817" s="29"/>
      <c r="T817" s="29"/>
      <c r="U817" s="2"/>
      <c r="V817" s="34"/>
      <c r="W817" s="34"/>
      <c r="X817" s="34"/>
      <c r="Y817" s="29"/>
      <c r="Z817" s="34"/>
      <c r="AA817" s="34"/>
      <c r="AB817" s="29"/>
      <c r="AC817" s="34"/>
      <c r="AD817" s="29"/>
      <c r="AE817" s="34"/>
      <c r="AF817" s="34"/>
    </row>
    <row x14ac:dyDescent="0.25" r="818" customHeight="1" ht="15.75">
      <c r="A818" s="502"/>
      <c r="B818" s="34"/>
      <c r="C818" s="34"/>
      <c r="D818" s="34"/>
      <c r="E818" s="34"/>
      <c r="F818" s="34"/>
      <c r="G818" s="34"/>
      <c r="H818" s="34"/>
      <c r="I818" s="29"/>
      <c r="J818" s="29"/>
      <c r="K818" s="29"/>
      <c r="L818" s="29"/>
      <c r="M818" s="34"/>
      <c r="N818" s="34"/>
      <c r="O818" s="29"/>
      <c r="P818" s="29"/>
      <c r="Q818" s="29"/>
      <c r="R818" s="34"/>
      <c r="S818" s="29"/>
      <c r="T818" s="29"/>
      <c r="U818" s="2"/>
      <c r="V818" s="34"/>
      <c r="W818" s="34"/>
      <c r="X818" s="34"/>
      <c r="Y818" s="29"/>
      <c r="Z818" s="34"/>
      <c r="AA818" s="34"/>
      <c r="AB818" s="29"/>
      <c r="AC818" s="34"/>
      <c r="AD818" s="29"/>
      <c r="AE818" s="34"/>
      <c r="AF818" s="34"/>
    </row>
    <row x14ac:dyDescent="0.25" r="819" customHeight="1" ht="15.75">
      <c r="A819" s="502"/>
      <c r="B819" s="34"/>
      <c r="C819" s="34"/>
      <c r="D819" s="34"/>
      <c r="E819" s="34"/>
      <c r="F819" s="34"/>
      <c r="G819" s="34"/>
      <c r="H819" s="34"/>
      <c r="I819" s="29"/>
      <c r="J819" s="29"/>
      <c r="K819" s="29"/>
      <c r="L819" s="29"/>
      <c r="M819" s="34"/>
      <c r="N819" s="34"/>
      <c r="O819" s="29"/>
      <c r="P819" s="29"/>
      <c r="Q819" s="29"/>
      <c r="R819" s="34"/>
      <c r="S819" s="29"/>
      <c r="T819" s="29"/>
      <c r="U819" s="2"/>
      <c r="V819" s="34"/>
      <c r="W819" s="34"/>
      <c r="X819" s="34"/>
      <c r="Y819" s="29"/>
      <c r="Z819" s="34"/>
      <c r="AA819" s="34"/>
      <c r="AB819" s="29"/>
      <c r="AC819" s="34"/>
      <c r="AD819" s="29"/>
      <c r="AE819" s="34"/>
      <c r="AF819" s="34"/>
    </row>
    <row x14ac:dyDescent="0.25" r="820" customHeight="1" ht="15.75">
      <c r="A820" s="502"/>
      <c r="B820" s="34"/>
      <c r="C820" s="34"/>
      <c r="D820" s="34"/>
      <c r="E820" s="34"/>
      <c r="F820" s="34"/>
      <c r="G820" s="34"/>
      <c r="H820" s="34"/>
      <c r="I820" s="29"/>
      <c r="J820" s="29"/>
      <c r="K820" s="29"/>
      <c r="L820" s="29"/>
      <c r="M820" s="34"/>
      <c r="N820" s="34"/>
      <c r="O820" s="29"/>
      <c r="P820" s="29"/>
      <c r="Q820" s="29"/>
      <c r="R820" s="34"/>
      <c r="S820" s="29"/>
      <c r="T820" s="29"/>
      <c r="U820" s="2"/>
      <c r="V820" s="34"/>
      <c r="W820" s="34"/>
      <c r="X820" s="34"/>
      <c r="Y820" s="29"/>
      <c r="Z820" s="34"/>
      <c r="AA820" s="34"/>
      <c r="AB820" s="29"/>
      <c r="AC820" s="34"/>
      <c r="AD820" s="29"/>
      <c r="AE820" s="34"/>
      <c r="AF820" s="34"/>
    </row>
    <row x14ac:dyDescent="0.25" r="821" customHeight="1" ht="15.75">
      <c r="A821" s="502"/>
      <c r="B821" s="34"/>
      <c r="C821" s="34"/>
      <c r="D821" s="34"/>
      <c r="E821" s="34"/>
      <c r="F821" s="34"/>
      <c r="G821" s="34"/>
      <c r="H821" s="34"/>
      <c r="I821" s="29"/>
      <c r="J821" s="29"/>
      <c r="K821" s="29"/>
      <c r="L821" s="29"/>
      <c r="M821" s="34"/>
      <c r="N821" s="34"/>
      <c r="O821" s="29"/>
      <c r="P821" s="29"/>
      <c r="Q821" s="29"/>
      <c r="R821" s="34"/>
      <c r="S821" s="29"/>
      <c r="T821" s="29"/>
      <c r="U821" s="2"/>
      <c r="V821" s="34"/>
      <c r="W821" s="34"/>
      <c r="X821" s="34"/>
      <c r="Y821" s="29"/>
      <c r="Z821" s="34"/>
      <c r="AA821" s="34"/>
      <c r="AB821" s="29"/>
      <c r="AC821" s="34"/>
      <c r="AD821" s="29"/>
      <c r="AE821" s="34"/>
      <c r="AF821" s="34"/>
    </row>
    <row x14ac:dyDescent="0.25" r="822" customHeight="1" ht="15.75">
      <c r="A822" s="502"/>
      <c r="B822" s="34"/>
      <c r="C822" s="34"/>
      <c r="D822" s="34"/>
      <c r="E822" s="34"/>
      <c r="F822" s="34"/>
      <c r="G822" s="34"/>
      <c r="H822" s="34"/>
      <c r="I822" s="29"/>
      <c r="J822" s="29"/>
      <c r="K822" s="29"/>
      <c r="L822" s="29"/>
      <c r="M822" s="34"/>
      <c r="N822" s="34"/>
      <c r="O822" s="29"/>
      <c r="P822" s="29"/>
      <c r="Q822" s="29"/>
      <c r="R822" s="34"/>
      <c r="S822" s="29"/>
      <c r="T822" s="29"/>
      <c r="U822" s="2"/>
      <c r="V822" s="34"/>
      <c r="W822" s="34"/>
      <c r="X822" s="34"/>
      <c r="Y822" s="29"/>
      <c r="Z822" s="34"/>
      <c r="AA822" s="34"/>
      <c r="AB822" s="29"/>
      <c r="AC822" s="34"/>
      <c r="AD822" s="29"/>
      <c r="AE822" s="34"/>
      <c r="AF822" s="34"/>
    </row>
    <row x14ac:dyDescent="0.25" r="823" customHeight="1" ht="15.75">
      <c r="A823" s="502"/>
      <c r="B823" s="34"/>
      <c r="C823" s="34"/>
      <c r="D823" s="34"/>
      <c r="E823" s="34"/>
      <c r="F823" s="34"/>
      <c r="G823" s="34"/>
      <c r="H823" s="34"/>
      <c r="I823" s="29"/>
      <c r="J823" s="29"/>
      <c r="K823" s="29"/>
      <c r="L823" s="29"/>
      <c r="M823" s="34"/>
      <c r="N823" s="34"/>
      <c r="O823" s="29"/>
      <c r="P823" s="29"/>
      <c r="Q823" s="29"/>
      <c r="R823" s="34"/>
      <c r="S823" s="29"/>
      <c r="T823" s="29"/>
      <c r="U823" s="2"/>
      <c r="V823" s="34"/>
      <c r="W823" s="34"/>
      <c r="X823" s="34"/>
      <c r="Y823" s="29"/>
      <c r="Z823" s="34"/>
      <c r="AA823" s="34"/>
      <c r="AB823" s="29"/>
      <c r="AC823" s="34"/>
      <c r="AD823" s="29"/>
      <c r="AE823" s="34"/>
      <c r="AF823" s="34"/>
    </row>
    <row x14ac:dyDescent="0.25" r="824" customHeight="1" ht="15.75">
      <c r="A824" s="502"/>
      <c r="B824" s="34"/>
      <c r="C824" s="34"/>
      <c r="D824" s="34"/>
      <c r="E824" s="34"/>
      <c r="F824" s="34"/>
      <c r="G824" s="34"/>
      <c r="H824" s="34"/>
      <c r="I824" s="29"/>
      <c r="J824" s="29"/>
      <c r="K824" s="29"/>
      <c r="L824" s="29"/>
      <c r="M824" s="34"/>
      <c r="N824" s="34"/>
      <c r="O824" s="29"/>
      <c r="P824" s="29"/>
      <c r="Q824" s="29"/>
      <c r="R824" s="34"/>
      <c r="S824" s="29"/>
      <c r="T824" s="29"/>
      <c r="U824" s="2"/>
      <c r="V824" s="34"/>
      <c r="W824" s="34"/>
      <c r="X824" s="34"/>
      <c r="Y824" s="29"/>
      <c r="Z824" s="34"/>
      <c r="AA824" s="34"/>
      <c r="AB824" s="29"/>
      <c r="AC824" s="34"/>
      <c r="AD824" s="29"/>
      <c r="AE824" s="34"/>
      <c r="AF824" s="34"/>
    </row>
    <row x14ac:dyDescent="0.25" r="825" customHeight="1" ht="15.75">
      <c r="A825" s="502"/>
      <c r="B825" s="34"/>
      <c r="C825" s="34"/>
      <c r="D825" s="34"/>
      <c r="E825" s="34"/>
      <c r="F825" s="34"/>
      <c r="G825" s="34"/>
      <c r="H825" s="34"/>
      <c r="I825" s="29"/>
      <c r="J825" s="29"/>
      <c r="K825" s="29"/>
      <c r="L825" s="29"/>
      <c r="M825" s="34"/>
      <c r="N825" s="34"/>
      <c r="O825" s="29"/>
      <c r="P825" s="29"/>
      <c r="Q825" s="29"/>
      <c r="R825" s="34"/>
      <c r="S825" s="29"/>
      <c r="T825" s="29"/>
      <c r="U825" s="2"/>
      <c r="V825" s="34"/>
      <c r="W825" s="34"/>
      <c r="X825" s="34"/>
      <c r="Y825" s="29"/>
      <c r="Z825" s="34"/>
      <c r="AA825" s="34"/>
      <c r="AB825" s="29"/>
      <c r="AC825" s="34"/>
      <c r="AD825" s="29"/>
      <c r="AE825" s="34"/>
      <c r="AF825" s="34"/>
    </row>
    <row x14ac:dyDescent="0.25" r="826" customHeight="1" ht="15.75">
      <c r="A826" s="502"/>
      <c r="B826" s="34"/>
      <c r="C826" s="34"/>
      <c r="D826" s="34"/>
      <c r="E826" s="34"/>
      <c r="F826" s="34"/>
      <c r="G826" s="34"/>
      <c r="H826" s="34"/>
      <c r="I826" s="29"/>
      <c r="J826" s="29"/>
      <c r="K826" s="29"/>
      <c r="L826" s="29"/>
      <c r="M826" s="34"/>
      <c r="N826" s="34"/>
      <c r="O826" s="29"/>
      <c r="P826" s="29"/>
      <c r="Q826" s="29"/>
      <c r="R826" s="34"/>
      <c r="S826" s="29"/>
      <c r="T826" s="29"/>
      <c r="U826" s="2"/>
      <c r="V826" s="34"/>
      <c r="W826" s="34"/>
      <c r="X826" s="34"/>
      <c r="Y826" s="29"/>
      <c r="Z826" s="34"/>
      <c r="AA826" s="34"/>
      <c r="AB826" s="29"/>
      <c r="AC826" s="34"/>
      <c r="AD826" s="29"/>
      <c r="AE826" s="34"/>
      <c r="AF826" s="34"/>
    </row>
    <row x14ac:dyDescent="0.25" r="827" customHeight="1" ht="15.75">
      <c r="A827" s="502"/>
      <c r="B827" s="34"/>
      <c r="C827" s="34"/>
      <c r="D827" s="34"/>
      <c r="E827" s="34"/>
      <c r="F827" s="34"/>
      <c r="G827" s="34"/>
      <c r="H827" s="34"/>
      <c r="I827" s="29"/>
      <c r="J827" s="29"/>
      <c r="K827" s="29"/>
      <c r="L827" s="29"/>
      <c r="M827" s="34"/>
      <c r="N827" s="34"/>
      <c r="O827" s="29"/>
      <c r="P827" s="29"/>
      <c r="Q827" s="29"/>
      <c r="R827" s="34"/>
      <c r="S827" s="29"/>
      <c r="T827" s="29"/>
      <c r="U827" s="2"/>
      <c r="V827" s="34"/>
      <c r="W827" s="34"/>
      <c r="X827" s="34"/>
      <c r="Y827" s="29"/>
      <c r="Z827" s="34"/>
      <c r="AA827" s="34"/>
      <c r="AB827" s="29"/>
      <c r="AC827" s="34"/>
      <c r="AD827" s="29"/>
      <c r="AE827" s="34"/>
      <c r="AF827" s="34"/>
    </row>
    <row x14ac:dyDescent="0.25" r="828" customHeight="1" ht="15.75">
      <c r="A828" s="502"/>
      <c r="B828" s="34"/>
      <c r="C828" s="34"/>
      <c r="D828" s="34"/>
      <c r="E828" s="34"/>
      <c r="F828" s="34"/>
      <c r="G828" s="34"/>
      <c r="H828" s="34"/>
      <c r="I828" s="29"/>
      <c r="J828" s="29"/>
      <c r="K828" s="29"/>
      <c r="L828" s="29"/>
      <c r="M828" s="34"/>
      <c r="N828" s="34"/>
      <c r="O828" s="29"/>
      <c r="P828" s="29"/>
      <c r="Q828" s="29"/>
      <c r="R828" s="34"/>
      <c r="S828" s="29"/>
      <c r="T828" s="29"/>
      <c r="U828" s="2"/>
      <c r="V828" s="34"/>
      <c r="W828" s="34"/>
      <c r="X828" s="34"/>
      <c r="Y828" s="29"/>
      <c r="Z828" s="34"/>
      <c r="AA828" s="34"/>
      <c r="AB828" s="29"/>
      <c r="AC828" s="34"/>
      <c r="AD828" s="29"/>
      <c r="AE828" s="34"/>
      <c r="AF828" s="34"/>
    </row>
    <row x14ac:dyDescent="0.25" r="829" customHeight="1" ht="15.75">
      <c r="A829" s="502"/>
      <c r="B829" s="34"/>
      <c r="C829" s="34"/>
      <c r="D829" s="34"/>
      <c r="E829" s="34"/>
      <c r="F829" s="34"/>
      <c r="G829" s="34"/>
      <c r="H829" s="34"/>
      <c r="I829" s="29"/>
      <c r="J829" s="29"/>
      <c r="K829" s="29"/>
      <c r="L829" s="29"/>
      <c r="M829" s="34"/>
      <c r="N829" s="34"/>
      <c r="O829" s="29"/>
      <c r="P829" s="29"/>
      <c r="Q829" s="29"/>
      <c r="R829" s="34"/>
      <c r="S829" s="29"/>
      <c r="T829" s="29"/>
      <c r="U829" s="2"/>
      <c r="V829" s="34"/>
      <c r="W829" s="34"/>
      <c r="X829" s="34"/>
      <c r="Y829" s="29"/>
      <c r="Z829" s="34"/>
      <c r="AA829" s="34"/>
      <c r="AB829" s="29"/>
      <c r="AC829" s="34"/>
      <c r="AD829" s="29"/>
      <c r="AE829" s="34"/>
      <c r="AF829" s="34"/>
    </row>
    <row x14ac:dyDescent="0.25" r="830" customHeight="1" ht="15.75">
      <c r="A830" s="502"/>
      <c r="B830" s="34"/>
      <c r="C830" s="34"/>
      <c r="D830" s="34"/>
      <c r="E830" s="34"/>
      <c r="F830" s="34"/>
      <c r="G830" s="34"/>
      <c r="H830" s="34"/>
      <c r="I830" s="29"/>
      <c r="J830" s="29"/>
      <c r="K830" s="29"/>
      <c r="L830" s="29"/>
      <c r="M830" s="34"/>
      <c r="N830" s="34"/>
      <c r="O830" s="29"/>
      <c r="P830" s="29"/>
      <c r="Q830" s="29"/>
      <c r="R830" s="34"/>
      <c r="S830" s="29"/>
      <c r="T830" s="29"/>
      <c r="U830" s="2"/>
      <c r="V830" s="34"/>
      <c r="W830" s="34"/>
      <c r="X830" s="34"/>
      <c r="Y830" s="29"/>
      <c r="Z830" s="34"/>
      <c r="AA830" s="34"/>
      <c r="AB830" s="29"/>
      <c r="AC830" s="34"/>
      <c r="AD830" s="29"/>
      <c r="AE830" s="34"/>
      <c r="AF830" s="34"/>
    </row>
    <row x14ac:dyDescent="0.25" r="831" customHeight="1" ht="15.75">
      <c r="A831" s="502"/>
      <c r="B831" s="34"/>
      <c r="C831" s="34"/>
      <c r="D831" s="34"/>
      <c r="E831" s="34"/>
      <c r="F831" s="34"/>
      <c r="G831" s="34"/>
      <c r="H831" s="34"/>
      <c r="I831" s="29"/>
      <c r="J831" s="29"/>
      <c r="K831" s="29"/>
      <c r="L831" s="29"/>
      <c r="M831" s="34"/>
      <c r="N831" s="34"/>
      <c r="O831" s="29"/>
      <c r="P831" s="29"/>
      <c r="Q831" s="29"/>
      <c r="R831" s="34"/>
      <c r="S831" s="29"/>
      <c r="T831" s="29"/>
      <c r="U831" s="2"/>
      <c r="V831" s="34"/>
      <c r="W831" s="34"/>
      <c r="X831" s="34"/>
      <c r="Y831" s="29"/>
      <c r="Z831" s="34"/>
      <c r="AA831" s="34"/>
      <c r="AB831" s="29"/>
      <c r="AC831" s="34"/>
      <c r="AD831" s="29"/>
      <c r="AE831" s="34"/>
      <c r="AF831" s="34"/>
    </row>
    <row x14ac:dyDescent="0.25" r="832" customHeight="1" ht="15.75">
      <c r="A832" s="502"/>
      <c r="B832" s="34"/>
      <c r="C832" s="34"/>
      <c r="D832" s="34"/>
      <c r="E832" s="34"/>
      <c r="F832" s="34"/>
      <c r="G832" s="34"/>
      <c r="H832" s="34"/>
      <c r="I832" s="29"/>
      <c r="J832" s="29"/>
      <c r="K832" s="29"/>
      <c r="L832" s="29"/>
      <c r="M832" s="34"/>
      <c r="N832" s="34"/>
      <c r="O832" s="29"/>
      <c r="P832" s="29"/>
      <c r="Q832" s="29"/>
      <c r="R832" s="34"/>
      <c r="S832" s="29"/>
      <c r="T832" s="29"/>
      <c r="U832" s="2"/>
      <c r="V832" s="34"/>
      <c r="W832" s="34"/>
      <c r="X832" s="34"/>
      <c r="Y832" s="29"/>
      <c r="Z832" s="34"/>
      <c r="AA832" s="34"/>
      <c r="AB832" s="29"/>
      <c r="AC832" s="34"/>
      <c r="AD832" s="29"/>
      <c r="AE832" s="34"/>
      <c r="AF832" s="34"/>
    </row>
    <row x14ac:dyDescent="0.25" r="833" customHeight="1" ht="15.75">
      <c r="A833" s="502"/>
      <c r="B833" s="34"/>
      <c r="C833" s="34"/>
      <c r="D833" s="34"/>
      <c r="E833" s="34"/>
      <c r="F833" s="34"/>
      <c r="G833" s="34"/>
      <c r="H833" s="34"/>
      <c r="I833" s="29"/>
      <c r="J833" s="29"/>
      <c r="K833" s="29"/>
      <c r="L833" s="29"/>
      <c r="M833" s="34"/>
      <c r="N833" s="34"/>
      <c r="O833" s="29"/>
      <c r="P833" s="29"/>
      <c r="Q833" s="29"/>
      <c r="R833" s="34"/>
      <c r="S833" s="29"/>
      <c r="T833" s="29"/>
      <c r="U833" s="2"/>
      <c r="V833" s="34"/>
      <c r="W833" s="34"/>
      <c r="X833" s="34"/>
      <c r="Y833" s="29"/>
      <c r="Z833" s="34"/>
      <c r="AA833" s="34"/>
      <c r="AB833" s="29"/>
      <c r="AC833" s="34"/>
      <c r="AD833" s="29"/>
      <c r="AE833" s="34"/>
      <c r="AF833" s="34"/>
    </row>
    <row x14ac:dyDescent="0.25" r="834" customHeight="1" ht="15.75">
      <c r="A834" s="502"/>
      <c r="B834" s="34"/>
      <c r="C834" s="34"/>
      <c r="D834" s="34"/>
      <c r="E834" s="34"/>
      <c r="F834" s="34"/>
      <c r="G834" s="34"/>
      <c r="H834" s="34"/>
      <c r="I834" s="29"/>
      <c r="J834" s="29"/>
      <c r="K834" s="29"/>
      <c r="L834" s="29"/>
      <c r="M834" s="34"/>
      <c r="N834" s="34"/>
      <c r="O834" s="29"/>
      <c r="P834" s="29"/>
      <c r="Q834" s="29"/>
      <c r="R834" s="34"/>
      <c r="S834" s="29"/>
      <c r="T834" s="29"/>
      <c r="U834" s="2"/>
      <c r="V834" s="34"/>
      <c r="W834" s="34"/>
      <c r="X834" s="34"/>
      <c r="Y834" s="29"/>
      <c r="Z834" s="34"/>
      <c r="AA834" s="34"/>
      <c r="AB834" s="29"/>
      <c r="AC834" s="34"/>
      <c r="AD834" s="29"/>
      <c r="AE834" s="34"/>
      <c r="AF834" s="34"/>
    </row>
    <row x14ac:dyDescent="0.25" r="835" customHeight="1" ht="15.75">
      <c r="A835" s="502"/>
      <c r="B835" s="34"/>
      <c r="C835" s="34"/>
      <c r="D835" s="34"/>
      <c r="E835" s="34"/>
      <c r="F835" s="34"/>
      <c r="G835" s="34"/>
      <c r="H835" s="34"/>
      <c r="I835" s="29"/>
      <c r="J835" s="29"/>
      <c r="K835" s="29"/>
      <c r="L835" s="29"/>
      <c r="M835" s="34"/>
      <c r="N835" s="34"/>
      <c r="O835" s="29"/>
      <c r="P835" s="29"/>
      <c r="Q835" s="29"/>
      <c r="R835" s="34"/>
      <c r="S835" s="29"/>
      <c r="T835" s="29"/>
      <c r="U835" s="2"/>
      <c r="V835" s="34"/>
      <c r="W835" s="34"/>
      <c r="X835" s="34"/>
      <c r="Y835" s="29"/>
      <c r="Z835" s="34"/>
      <c r="AA835" s="34"/>
      <c r="AB835" s="29"/>
      <c r="AC835" s="34"/>
      <c r="AD835" s="29"/>
      <c r="AE835" s="34"/>
      <c r="AF835" s="34"/>
    </row>
    <row x14ac:dyDescent="0.25" r="836" customHeight="1" ht="15.75">
      <c r="A836" s="502"/>
      <c r="B836" s="34"/>
      <c r="C836" s="34"/>
      <c r="D836" s="34"/>
      <c r="E836" s="34"/>
      <c r="F836" s="34"/>
      <c r="G836" s="34"/>
      <c r="H836" s="34"/>
      <c r="I836" s="29"/>
      <c r="J836" s="29"/>
      <c r="K836" s="29"/>
      <c r="L836" s="29"/>
      <c r="M836" s="34"/>
      <c r="N836" s="34"/>
      <c r="O836" s="29"/>
      <c r="P836" s="29"/>
      <c r="Q836" s="29"/>
      <c r="R836" s="34"/>
      <c r="S836" s="29"/>
      <c r="T836" s="29"/>
      <c r="U836" s="2"/>
      <c r="V836" s="34"/>
      <c r="W836" s="34"/>
      <c r="X836" s="34"/>
      <c r="Y836" s="29"/>
      <c r="Z836" s="34"/>
      <c r="AA836" s="34"/>
      <c r="AB836" s="29"/>
      <c r="AC836" s="34"/>
      <c r="AD836" s="29"/>
      <c r="AE836" s="34"/>
      <c r="AF836" s="34"/>
    </row>
    <row x14ac:dyDescent="0.25" r="837" customHeight="1" ht="15.75">
      <c r="A837" s="502"/>
      <c r="B837" s="34"/>
      <c r="C837" s="34"/>
      <c r="D837" s="34"/>
      <c r="E837" s="34"/>
      <c r="F837" s="34"/>
      <c r="G837" s="34"/>
      <c r="H837" s="34"/>
      <c r="I837" s="29"/>
      <c r="J837" s="29"/>
      <c r="K837" s="29"/>
      <c r="L837" s="29"/>
      <c r="M837" s="34"/>
      <c r="N837" s="34"/>
      <c r="O837" s="29"/>
      <c r="P837" s="29"/>
      <c r="Q837" s="29"/>
      <c r="R837" s="34"/>
      <c r="S837" s="29"/>
      <c r="T837" s="29"/>
      <c r="U837" s="2"/>
      <c r="V837" s="34"/>
      <c r="W837" s="34"/>
      <c r="X837" s="34"/>
      <c r="Y837" s="29"/>
      <c r="Z837" s="34"/>
      <c r="AA837" s="34"/>
      <c r="AB837" s="29"/>
      <c r="AC837" s="34"/>
      <c r="AD837" s="29"/>
      <c r="AE837" s="34"/>
      <c r="AF837" s="34"/>
    </row>
    <row x14ac:dyDescent="0.25" r="838" customHeight="1" ht="15.75">
      <c r="A838" s="502"/>
      <c r="B838" s="34"/>
      <c r="C838" s="34"/>
      <c r="D838" s="34"/>
      <c r="E838" s="34"/>
      <c r="F838" s="34"/>
      <c r="G838" s="34"/>
      <c r="H838" s="34"/>
      <c r="I838" s="29"/>
      <c r="J838" s="29"/>
      <c r="K838" s="29"/>
      <c r="L838" s="29"/>
      <c r="M838" s="34"/>
      <c r="N838" s="34"/>
      <c r="O838" s="29"/>
      <c r="P838" s="29"/>
      <c r="Q838" s="29"/>
      <c r="R838" s="34"/>
      <c r="S838" s="29"/>
      <c r="T838" s="29"/>
      <c r="U838" s="2"/>
      <c r="V838" s="34"/>
      <c r="W838" s="34"/>
      <c r="X838" s="34"/>
      <c r="Y838" s="29"/>
      <c r="Z838" s="34"/>
      <c r="AA838" s="34"/>
      <c r="AB838" s="29"/>
      <c r="AC838" s="34"/>
      <c r="AD838" s="29"/>
      <c r="AE838" s="34"/>
      <c r="AF838" s="34"/>
    </row>
    <row x14ac:dyDescent="0.25" r="839" customHeight="1" ht="15.75">
      <c r="A839" s="502"/>
      <c r="B839" s="34"/>
      <c r="C839" s="34"/>
      <c r="D839" s="34"/>
      <c r="E839" s="34"/>
      <c r="F839" s="34"/>
      <c r="G839" s="34"/>
      <c r="H839" s="34"/>
      <c r="I839" s="29"/>
      <c r="J839" s="29"/>
      <c r="K839" s="29"/>
      <c r="L839" s="29"/>
      <c r="M839" s="34"/>
      <c r="N839" s="34"/>
      <c r="O839" s="29"/>
      <c r="P839" s="29"/>
      <c r="Q839" s="29"/>
      <c r="R839" s="34"/>
      <c r="S839" s="29"/>
      <c r="T839" s="29"/>
      <c r="U839" s="2"/>
      <c r="V839" s="34"/>
      <c r="W839" s="34"/>
      <c r="X839" s="34"/>
      <c r="Y839" s="29"/>
      <c r="Z839" s="34"/>
      <c r="AA839" s="34"/>
      <c r="AB839" s="29"/>
      <c r="AC839" s="34"/>
      <c r="AD839" s="29"/>
      <c r="AE839" s="34"/>
      <c r="AF839" s="34"/>
    </row>
    <row x14ac:dyDescent="0.25" r="840" customHeight="1" ht="15.75">
      <c r="A840" s="502"/>
      <c r="B840" s="34"/>
      <c r="C840" s="34"/>
      <c r="D840" s="34"/>
      <c r="E840" s="34"/>
      <c r="F840" s="34"/>
      <c r="G840" s="34"/>
      <c r="H840" s="34"/>
      <c r="I840" s="29"/>
      <c r="J840" s="29"/>
      <c r="K840" s="29"/>
      <c r="L840" s="29"/>
      <c r="M840" s="34"/>
      <c r="N840" s="34"/>
      <c r="O840" s="29"/>
      <c r="P840" s="29"/>
      <c r="Q840" s="29"/>
      <c r="R840" s="34"/>
      <c r="S840" s="29"/>
      <c r="T840" s="29"/>
      <c r="U840" s="2"/>
      <c r="V840" s="34"/>
      <c r="W840" s="34"/>
      <c r="X840" s="34"/>
      <c r="Y840" s="29"/>
      <c r="Z840" s="34"/>
      <c r="AA840" s="34"/>
      <c r="AB840" s="29"/>
      <c r="AC840" s="34"/>
      <c r="AD840" s="29"/>
      <c r="AE840" s="34"/>
      <c r="AF840" s="34"/>
    </row>
    <row x14ac:dyDescent="0.25" r="841" customHeight="1" ht="15.75">
      <c r="A841" s="502"/>
      <c r="B841" s="34"/>
      <c r="C841" s="34"/>
      <c r="D841" s="34"/>
      <c r="E841" s="34"/>
      <c r="F841" s="34"/>
      <c r="G841" s="34"/>
      <c r="H841" s="34"/>
      <c r="I841" s="29"/>
      <c r="J841" s="29"/>
      <c r="K841" s="29"/>
      <c r="L841" s="29"/>
      <c r="M841" s="34"/>
      <c r="N841" s="34"/>
      <c r="O841" s="29"/>
      <c r="P841" s="29"/>
      <c r="Q841" s="29"/>
      <c r="R841" s="34"/>
      <c r="S841" s="29"/>
      <c r="T841" s="29"/>
      <c r="U841" s="2"/>
      <c r="V841" s="34"/>
      <c r="W841" s="34"/>
      <c r="X841" s="34"/>
      <c r="Y841" s="29"/>
      <c r="Z841" s="34"/>
      <c r="AA841" s="34"/>
      <c r="AB841" s="29"/>
      <c r="AC841" s="34"/>
      <c r="AD841" s="29"/>
      <c r="AE841" s="34"/>
      <c r="AF841" s="34"/>
    </row>
    <row x14ac:dyDescent="0.25" r="842" customHeight="1" ht="15.75">
      <c r="A842" s="502"/>
      <c r="B842" s="34"/>
      <c r="C842" s="34"/>
      <c r="D842" s="34"/>
      <c r="E842" s="34"/>
      <c r="F842" s="34"/>
      <c r="G842" s="34"/>
      <c r="H842" s="34"/>
      <c r="I842" s="29"/>
      <c r="J842" s="29"/>
      <c r="K842" s="29"/>
      <c r="L842" s="29"/>
      <c r="M842" s="34"/>
      <c r="N842" s="34"/>
      <c r="O842" s="29"/>
      <c r="P842" s="29"/>
      <c r="Q842" s="29"/>
      <c r="R842" s="34"/>
      <c r="S842" s="29"/>
      <c r="T842" s="29"/>
      <c r="U842" s="2"/>
      <c r="V842" s="34"/>
      <c r="W842" s="34"/>
      <c r="X842" s="34"/>
      <c r="Y842" s="29"/>
      <c r="Z842" s="34"/>
      <c r="AA842" s="34"/>
      <c r="AB842" s="29"/>
      <c r="AC842" s="34"/>
      <c r="AD842" s="29"/>
      <c r="AE842" s="34"/>
      <c r="AF842" s="34"/>
    </row>
    <row x14ac:dyDescent="0.25" r="843" customHeight="1" ht="15.75">
      <c r="A843" s="502"/>
      <c r="B843" s="34"/>
      <c r="C843" s="34"/>
      <c r="D843" s="34"/>
      <c r="E843" s="34"/>
      <c r="F843" s="34"/>
      <c r="G843" s="34"/>
      <c r="H843" s="34"/>
      <c r="I843" s="29"/>
      <c r="J843" s="29"/>
      <c r="K843" s="29"/>
      <c r="L843" s="29"/>
      <c r="M843" s="34"/>
      <c r="N843" s="34"/>
      <c r="O843" s="29"/>
      <c r="P843" s="29"/>
      <c r="Q843" s="29"/>
      <c r="R843" s="34"/>
      <c r="S843" s="29"/>
      <c r="T843" s="29"/>
      <c r="U843" s="2"/>
      <c r="V843" s="34"/>
      <c r="W843" s="34"/>
      <c r="X843" s="34"/>
      <c r="Y843" s="29"/>
      <c r="Z843" s="34"/>
      <c r="AA843" s="34"/>
      <c r="AB843" s="29"/>
      <c r="AC843" s="34"/>
      <c r="AD843" s="29"/>
      <c r="AE843" s="34"/>
      <c r="AF843" s="34"/>
    </row>
    <row x14ac:dyDescent="0.25" r="844" customHeight="1" ht="15.75">
      <c r="A844" s="502"/>
      <c r="B844" s="34"/>
      <c r="C844" s="34"/>
      <c r="D844" s="34"/>
      <c r="E844" s="34"/>
      <c r="F844" s="34"/>
      <c r="G844" s="34"/>
      <c r="H844" s="34"/>
      <c r="I844" s="29"/>
      <c r="J844" s="29"/>
      <c r="K844" s="29"/>
      <c r="L844" s="29"/>
      <c r="M844" s="34"/>
      <c r="N844" s="34"/>
      <c r="O844" s="29"/>
      <c r="P844" s="29"/>
      <c r="Q844" s="29"/>
      <c r="R844" s="34"/>
      <c r="S844" s="29"/>
      <c r="T844" s="29"/>
      <c r="U844" s="2"/>
      <c r="V844" s="34"/>
      <c r="W844" s="34"/>
      <c r="X844" s="34"/>
      <c r="Y844" s="29"/>
      <c r="Z844" s="34"/>
      <c r="AA844" s="34"/>
      <c r="AB844" s="29"/>
      <c r="AC844" s="34"/>
      <c r="AD844" s="29"/>
      <c r="AE844" s="34"/>
      <c r="AF844" s="34"/>
    </row>
    <row x14ac:dyDescent="0.25" r="845" customHeight="1" ht="15.75">
      <c r="A845" s="502"/>
      <c r="B845" s="34"/>
      <c r="C845" s="34"/>
      <c r="D845" s="34"/>
      <c r="E845" s="34"/>
      <c r="F845" s="34"/>
      <c r="G845" s="34"/>
      <c r="H845" s="34"/>
      <c r="I845" s="29"/>
      <c r="J845" s="29"/>
      <c r="K845" s="29"/>
      <c r="L845" s="29"/>
      <c r="M845" s="34"/>
      <c r="N845" s="34"/>
      <c r="O845" s="29"/>
      <c r="P845" s="29"/>
      <c r="Q845" s="29"/>
      <c r="R845" s="34"/>
      <c r="S845" s="29"/>
      <c r="T845" s="29"/>
      <c r="U845" s="2"/>
      <c r="V845" s="34"/>
      <c r="W845" s="34"/>
      <c r="X845" s="34"/>
      <c r="Y845" s="29"/>
      <c r="Z845" s="34"/>
      <c r="AA845" s="34"/>
      <c r="AB845" s="29"/>
      <c r="AC845" s="34"/>
      <c r="AD845" s="29"/>
      <c r="AE845" s="34"/>
      <c r="AF845" s="34"/>
    </row>
    <row x14ac:dyDescent="0.25" r="846" customHeight="1" ht="15.75">
      <c r="A846" s="502"/>
      <c r="B846" s="34"/>
      <c r="C846" s="34"/>
      <c r="D846" s="34"/>
      <c r="E846" s="34"/>
      <c r="F846" s="34"/>
      <c r="G846" s="34"/>
      <c r="H846" s="34"/>
      <c r="I846" s="29"/>
      <c r="J846" s="29"/>
      <c r="K846" s="29"/>
      <c r="L846" s="29"/>
      <c r="M846" s="34"/>
      <c r="N846" s="34"/>
      <c r="O846" s="29"/>
      <c r="P846" s="29"/>
      <c r="Q846" s="29"/>
      <c r="R846" s="34"/>
      <c r="S846" s="29"/>
      <c r="T846" s="29"/>
      <c r="U846" s="2"/>
      <c r="V846" s="34"/>
      <c r="W846" s="34"/>
      <c r="X846" s="34"/>
      <c r="Y846" s="29"/>
      <c r="Z846" s="34"/>
      <c r="AA846" s="34"/>
      <c r="AB846" s="29"/>
      <c r="AC846" s="34"/>
      <c r="AD846" s="29"/>
      <c r="AE846" s="34"/>
      <c r="AF846" s="34"/>
    </row>
    <row x14ac:dyDescent="0.25" r="847" customHeight="1" ht="15.75">
      <c r="A847" s="502"/>
      <c r="B847" s="34"/>
      <c r="C847" s="34"/>
      <c r="D847" s="34"/>
      <c r="E847" s="34"/>
      <c r="F847" s="34"/>
      <c r="G847" s="34"/>
      <c r="H847" s="34"/>
      <c r="I847" s="29"/>
      <c r="J847" s="29"/>
      <c r="K847" s="29"/>
      <c r="L847" s="29"/>
      <c r="M847" s="34"/>
      <c r="N847" s="34"/>
      <c r="O847" s="29"/>
      <c r="P847" s="29"/>
      <c r="Q847" s="29"/>
      <c r="R847" s="34"/>
      <c r="S847" s="29"/>
      <c r="T847" s="29"/>
      <c r="U847" s="2"/>
      <c r="V847" s="34"/>
      <c r="W847" s="34"/>
      <c r="X847" s="34"/>
      <c r="Y847" s="29"/>
      <c r="Z847" s="34"/>
      <c r="AA847" s="34"/>
      <c r="AB847" s="29"/>
      <c r="AC847" s="34"/>
      <c r="AD847" s="29"/>
      <c r="AE847" s="34"/>
      <c r="AF847" s="34"/>
    </row>
    <row x14ac:dyDescent="0.25" r="848" customHeight="1" ht="15.75">
      <c r="A848" s="502"/>
      <c r="B848" s="34"/>
      <c r="C848" s="34"/>
      <c r="D848" s="34"/>
      <c r="E848" s="34"/>
      <c r="F848" s="34"/>
      <c r="G848" s="34"/>
      <c r="H848" s="34"/>
      <c r="I848" s="29"/>
      <c r="J848" s="29"/>
      <c r="K848" s="29"/>
      <c r="L848" s="29"/>
      <c r="M848" s="34"/>
      <c r="N848" s="34"/>
      <c r="O848" s="29"/>
      <c r="P848" s="29"/>
      <c r="Q848" s="29"/>
      <c r="R848" s="34"/>
      <c r="S848" s="29"/>
      <c r="T848" s="29"/>
      <c r="U848" s="2"/>
      <c r="V848" s="34"/>
      <c r="W848" s="34"/>
      <c r="X848" s="34"/>
      <c r="Y848" s="29"/>
      <c r="Z848" s="34"/>
      <c r="AA848" s="34"/>
      <c r="AB848" s="29"/>
      <c r="AC848" s="34"/>
      <c r="AD848" s="29"/>
      <c r="AE848" s="34"/>
      <c r="AF848" s="34"/>
    </row>
    <row x14ac:dyDescent="0.25" r="849" customHeight="1" ht="15.75">
      <c r="A849" s="502"/>
      <c r="B849" s="34"/>
      <c r="C849" s="34"/>
      <c r="D849" s="34"/>
      <c r="E849" s="34"/>
      <c r="F849" s="34"/>
      <c r="G849" s="34"/>
      <c r="H849" s="34"/>
      <c r="I849" s="29"/>
      <c r="J849" s="29"/>
      <c r="K849" s="29"/>
      <c r="L849" s="29"/>
      <c r="M849" s="34"/>
      <c r="N849" s="34"/>
      <c r="O849" s="29"/>
      <c r="P849" s="29"/>
      <c r="Q849" s="29"/>
      <c r="R849" s="34"/>
      <c r="S849" s="29"/>
      <c r="T849" s="29"/>
      <c r="U849" s="2"/>
      <c r="V849" s="34"/>
      <c r="W849" s="34"/>
      <c r="X849" s="34"/>
      <c r="Y849" s="29"/>
      <c r="Z849" s="34"/>
      <c r="AA849" s="34"/>
      <c r="AB849" s="29"/>
      <c r="AC849" s="34"/>
      <c r="AD849" s="29"/>
      <c r="AE849" s="34"/>
      <c r="AF849" s="34"/>
    </row>
    <row x14ac:dyDescent="0.25" r="850" customHeight="1" ht="15.75">
      <c r="A850" s="502"/>
      <c r="B850" s="34"/>
      <c r="C850" s="34"/>
      <c r="D850" s="34"/>
      <c r="E850" s="34"/>
      <c r="F850" s="34"/>
      <c r="G850" s="34"/>
      <c r="H850" s="34"/>
      <c r="I850" s="29"/>
      <c r="J850" s="29"/>
      <c r="K850" s="29"/>
      <c r="L850" s="29"/>
      <c r="M850" s="34"/>
      <c r="N850" s="34"/>
      <c r="O850" s="29"/>
      <c r="P850" s="29"/>
      <c r="Q850" s="29"/>
      <c r="R850" s="34"/>
      <c r="S850" s="29"/>
      <c r="T850" s="29"/>
      <c r="U850" s="2"/>
      <c r="V850" s="34"/>
      <c r="W850" s="34"/>
      <c r="X850" s="34"/>
      <c r="Y850" s="29"/>
      <c r="Z850" s="34"/>
      <c r="AA850" s="34"/>
      <c r="AB850" s="29"/>
      <c r="AC850" s="34"/>
      <c r="AD850" s="29"/>
      <c r="AE850" s="34"/>
      <c r="AF850" s="34"/>
    </row>
    <row x14ac:dyDescent="0.25" r="851" customHeight="1" ht="15.75">
      <c r="A851" s="502"/>
      <c r="B851" s="34"/>
      <c r="C851" s="34"/>
      <c r="D851" s="34"/>
      <c r="E851" s="34"/>
      <c r="F851" s="34"/>
      <c r="G851" s="34"/>
      <c r="H851" s="34"/>
      <c r="I851" s="29"/>
      <c r="J851" s="29"/>
      <c r="K851" s="29"/>
      <c r="L851" s="29"/>
      <c r="M851" s="34"/>
      <c r="N851" s="34"/>
      <c r="O851" s="29"/>
      <c r="P851" s="29"/>
      <c r="Q851" s="29"/>
      <c r="R851" s="34"/>
      <c r="S851" s="29"/>
      <c r="T851" s="29"/>
      <c r="U851" s="2"/>
      <c r="V851" s="34"/>
      <c r="W851" s="34"/>
      <c r="X851" s="34"/>
      <c r="Y851" s="29"/>
      <c r="Z851" s="34"/>
      <c r="AA851" s="34"/>
      <c r="AB851" s="29"/>
      <c r="AC851" s="34"/>
      <c r="AD851" s="29"/>
      <c r="AE851" s="34"/>
      <c r="AF851" s="34"/>
    </row>
    <row x14ac:dyDescent="0.25" r="852" customHeight="1" ht="15.75">
      <c r="A852" s="502"/>
      <c r="B852" s="34"/>
      <c r="C852" s="34"/>
      <c r="D852" s="34"/>
      <c r="E852" s="34"/>
      <c r="F852" s="34"/>
      <c r="G852" s="34"/>
      <c r="H852" s="34"/>
      <c r="I852" s="29"/>
      <c r="J852" s="29"/>
      <c r="K852" s="29"/>
      <c r="L852" s="29"/>
      <c r="M852" s="34"/>
      <c r="N852" s="34"/>
      <c r="O852" s="29"/>
      <c r="P852" s="29"/>
      <c r="Q852" s="29"/>
      <c r="R852" s="34"/>
      <c r="S852" s="29"/>
      <c r="T852" s="29"/>
      <c r="U852" s="2"/>
      <c r="V852" s="34"/>
      <c r="W852" s="34"/>
      <c r="X852" s="34"/>
      <c r="Y852" s="29"/>
      <c r="Z852" s="34"/>
      <c r="AA852" s="34"/>
      <c r="AB852" s="29"/>
      <c r="AC852" s="34"/>
      <c r="AD852" s="29"/>
      <c r="AE852" s="34"/>
      <c r="AF852" s="34"/>
    </row>
    <row x14ac:dyDescent="0.25" r="853" customHeight="1" ht="15.75">
      <c r="A853" s="502"/>
      <c r="B853" s="34"/>
      <c r="C853" s="34"/>
      <c r="D853" s="34"/>
      <c r="E853" s="34"/>
      <c r="F853" s="34"/>
      <c r="G853" s="34"/>
      <c r="H853" s="34"/>
      <c r="I853" s="29"/>
      <c r="J853" s="29"/>
      <c r="K853" s="29"/>
      <c r="L853" s="29"/>
      <c r="M853" s="34"/>
      <c r="N853" s="34"/>
      <c r="O853" s="29"/>
      <c r="P853" s="29"/>
      <c r="Q853" s="29"/>
      <c r="R853" s="34"/>
      <c r="S853" s="29"/>
      <c r="T853" s="29"/>
      <c r="U853" s="2"/>
      <c r="V853" s="34"/>
      <c r="W853" s="34"/>
      <c r="X853" s="34"/>
      <c r="Y853" s="29"/>
      <c r="Z853" s="34"/>
      <c r="AA853" s="34"/>
      <c r="AB853" s="29"/>
      <c r="AC853" s="34"/>
      <c r="AD853" s="29"/>
      <c r="AE853" s="34"/>
      <c r="AF853" s="34"/>
    </row>
    <row x14ac:dyDescent="0.25" r="854" customHeight="1" ht="15.75">
      <c r="A854" s="502"/>
      <c r="B854" s="34"/>
      <c r="C854" s="34"/>
      <c r="D854" s="34"/>
      <c r="E854" s="34"/>
      <c r="F854" s="34"/>
      <c r="G854" s="34"/>
      <c r="H854" s="34"/>
      <c r="I854" s="29"/>
      <c r="J854" s="29"/>
      <c r="K854" s="29"/>
      <c r="L854" s="29"/>
      <c r="M854" s="34"/>
      <c r="N854" s="34"/>
      <c r="O854" s="29"/>
      <c r="P854" s="29"/>
      <c r="Q854" s="29"/>
      <c r="R854" s="34"/>
      <c r="S854" s="29"/>
      <c r="T854" s="29"/>
      <c r="U854" s="2"/>
      <c r="V854" s="34"/>
      <c r="W854" s="34"/>
      <c r="X854" s="34"/>
      <c r="Y854" s="29"/>
      <c r="Z854" s="34"/>
      <c r="AA854" s="34"/>
      <c r="AB854" s="29"/>
      <c r="AC854" s="34"/>
      <c r="AD854" s="29"/>
      <c r="AE854" s="34"/>
      <c r="AF854" s="34"/>
    </row>
    <row x14ac:dyDescent="0.25" r="855" customHeight="1" ht="15.75">
      <c r="A855" s="502"/>
      <c r="B855" s="34"/>
      <c r="C855" s="34"/>
      <c r="D855" s="34"/>
      <c r="E855" s="34"/>
      <c r="F855" s="34"/>
      <c r="G855" s="34"/>
      <c r="H855" s="34"/>
      <c r="I855" s="29"/>
      <c r="J855" s="29"/>
      <c r="K855" s="29"/>
      <c r="L855" s="29"/>
      <c r="M855" s="34"/>
      <c r="N855" s="34"/>
      <c r="O855" s="29"/>
      <c r="P855" s="29"/>
      <c r="Q855" s="29"/>
      <c r="R855" s="34"/>
      <c r="S855" s="29"/>
      <c r="T855" s="29"/>
      <c r="U855" s="2"/>
      <c r="V855" s="34"/>
      <c r="W855" s="34"/>
      <c r="X855" s="34"/>
      <c r="Y855" s="29"/>
      <c r="Z855" s="34"/>
      <c r="AA855" s="34"/>
      <c r="AB855" s="29"/>
      <c r="AC855" s="34"/>
      <c r="AD855" s="29"/>
      <c r="AE855" s="34"/>
      <c r="AF855" s="34"/>
    </row>
    <row x14ac:dyDescent="0.25" r="856" customHeight="1" ht="15.75">
      <c r="A856" s="502"/>
      <c r="B856" s="34"/>
      <c r="C856" s="34"/>
      <c r="D856" s="34"/>
      <c r="E856" s="34"/>
      <c r="F856" s="34"/>
      <c r="G856" s="34"/>
      <c r="H856" s="34"/>
      <c r="I856" s="29"/>
      <c r="J856" s="29"/>
      <c r="K856" s="29"/>
      <c r="L856" s="29"/>
      <c r="M856" s="34"/>
      <c r="N856" s="34"/>
      <c r="O856" s="29"/>
      <c r="P856" s="29"/>
      <c r="Q856" s="29"/>
      <c r="R856" s="34"/>
      <c r="S856" s="29"/>
      <c r="T856" s="29"/>
      <c r="U856" s="2"/>
      <c r="V856" s="34"/>
      <c r="W856" s="34"/>
      <c r="X856" s="34"/>
      <c r="Y856" s="29"/>
      <c r="Z856" s="34"/>
      <c r="AA856" s="34"/>
      <c r="AB856" s="29"/>
      <c r="AC856" s="34"/>
      <c r="AD856" s="29"/>
      <c r="AE856" s="34"/>
      <c r="AF856" s="34"/>
    </row>
    <row x14ac:dyDescent="0.25" r="857" customHeight="1" ht="15.75">
      <c r="A857" s="502"/>
      <c r="B857" s="34"/>
      <c r="C857" s="34"/>
      <c r="D857" s="34"/>
      <c r="E857" s="34"/>
      <c r="F857" s="34"/>
      <c r="G857" s="34"/>
      <c r="H857" s="34"/>
      <c r="I857" s="29"/>
      <c r="J857" s="29"/>
      <c r="K857" s="29"/>
      <c r="L857" s="29"/>
      <c r="M857" s="34"/>
      <c r="N857" s="34"/>
      <c r="O857" s="29"/>
      <c r="P857" s="29"/>
      <c r="Q857" s="29"/>
      <c r="R857" s="34"/>
      <c r="S857" s="29"/>
      <c r="T857" s="29"/>
      <c r="U857" s="2"/>
      <c r="V857" s="34"/>
      <c r="W857" s="34"/>
      <c r="X857" s="34"/>
      <c r="Y857" s="29"/>
      <c r="Z857" s="34"/>
      <c r="AA857" s="34"/>
      <c r="AB857" s="29"/>
      <c r="AC857" s="34"/>
      <c r="AD857" s="29"/>
      <c r="AE857" s="34"/>
      <c r="AF857" s="34"/>
    </row>
    <row x14ac:dyDescent="0.25" r="858" customHeight="1" ht="15.75">
      <c r="A858" s="502"/>
      <c r="B858" s="34"/>
      <c r="C858" s="34"/>
      <c r="D858" s="34"/>
      <c r="E858" s="34"/>
      <c r="F858" s="34"/>
      <c r="G858" s="34"/>
      <c r="H858" s="34"/>
      <c r="I858" s="29"/>
      <c r="J858" s="29"/>
      <c r="K858" s="29"/>
      <c r="L858" s="29"/>
      <c r="M858" s="34"/>
      <c r="N858" s="34"/>
      <c r="O858" s="29"/>
      <c r="P858" s="29"/>
      <c r="Q858" s="29"/>
      <c r="R858" s="34"/>
      <c r="S858" s="29"/>
      <c r="T858" s="29"/>
      <c r="U858" s="2"/>
      <c r="V858" s="34"/>
      <c r="W858" s="34"/>
      <c r="X858" s="34"/>
      <c r="Y858" s="29"/>
      <c r="Z858" s="34"/>
      <c r="AA858" s="34"/>
      <c r="AB858" s="29"/>
      <c r="AC858" s="34"/>
      <c r="AD858" s="29"/>
      <c r="AE858" s="34"/>
      <c r="AF858" s="34"/>
    </row>
    <row x14ac:dyDescent="0.25" r="859" customHeight="1" ht="15.75">
      <c r="A859" s="502"/>
      <c r="B859" s="34"/>
      <c r="C859" s="34"/>
      <c r="D859" s="34"/>
      <c r="E859" s="34"/>
      <c r="F859" s="34"/>
      <c r="G859" s="34"/>
      <c r="H859" s="34"/>
      <c r="I859" s="29"/>
      <c r="J859" s="29"/>
      <c r="K859" s="29"/>
      <c r="L859" s="29"/>
      <c r="M859" s="34"/>
      <c r="N859" s="34"/>
      <c r="O859" s="29"/>
      <c r="P859" s="29"/>
      <c r="Q859" s="29"/>
      <c r="R859" s="34"/>
      <c r="S859" s="29"/>
      <c r="T859" s="29"/>
      <c r="U859" s="2"/>
      <c r="V859" s="34"/>
      <c r="W859" s="34"/>
      <c r="X859" s="34"/>
      <c r="Y859" s="29"/>
      <c r="Z859" s="34"/>
      <c r="AA859" s="34"/>
      <c r="AB859" s="29"/>
      <c r="AC859" s="34"/>
      <c r="AD859" s="29"/>
      <c r="AE859" s="34"/>
      <c r="AF859" s="34"/>
    </row>
    <row x14ac:dyDescent="0.25" r="860" customHeight="1" ht="15.75">
      <c r="A860" s="502"/>
      <c r="B860" s="34"/>
      <c r="C860" s="34"/>
      <c r="D860" s="34"/>
      <c r="E860" s="34"/>
      <c r="F860" s="34"/>
      <c r="G860" s="34"/>
      <c r="H860" s="34"/>
      <c r="I860" s="29"/>
      <c r="J860" s="29"/>
      <c r="K860" s="29"/>
      <c r="L860" s="29"/>
      <c r="M860" s="34"/>
      <c r="N860" s="34"/>
      <c r="O860" s="29"/>
      <c r="P860" s="29"/>
      <c r="Q860" s="29"/>
      <c r="R860" s="34"/>
      <c r="S860" s="29"/>
      <c r="T860" s="29"/>
      <c r="U860" s="2"/>
      <c r="V860" s="34"/>
      <c r="W860" s="34"/>
      <c r="X860" s="34"/>
      <c r="Y860" s="29"/>
      <c r="Z860" s="34"/>
      <c r="AA860" s="34"/>
      <c r="AB860" s="29"/>
      <c r="AC860" s="34"/>
      <c r="AD860" s="29"/>
      <c r="AE860" s="34"/>
      <c r="AF860" s="34"/>
    </row>
    <row x14ac:dyDescent="0.25" r="861" customHeight="1" ht="15.75">
      <c r="A861" s="502"/>
      <c r="B861" s="34"/>
      <c r="C861" s="34"/>
      <c r="D861" s="34"/>
      <c r="E861" s="34"/>
      <c r="F861" s="34"/>
      <c r="G861" s="34"/>
      <c r="H861" s="34"/>
      <c r="I861" s="29"/>
      <c r="J861" s="29"/>
      <c r="K861" s="29"/>
      <c r="L861" s="29"/>
      <c r="M861" s="34"/>
      <c r="N861" s="34"/>
      <c r="O861" s="29"/>
      <c r="P861" s="29"/>
      <c r="Q861" s="29"/>
      <c r="R861" s="34"/>
      <c r="S861" s="29"/>
      <c r="T861" s="29"/>
      <c r="U861" s="2"/>
      <c r="V861" s="34"/>
      <c r="W861" s="34"/>
      <c r="X861" s="34"/>
      <c r="Y861" s="29"/>
      <c r="Z861" s="34"/>
      <c r="AA861" s="34"/>
      <c r="AB861" s="29"/>
      <c r="AC861" s="34"/>
      <c r="AD861" s="29"/>
      <c r="AE861" s="34"/>
      <c r="AF861" s="34"/>
    </row>
    <row x14ac:dyDescent="0.25" r="862" customHeight="1" ht="15.75">
      <c r="A862" s="502"/>
      <c r="B862" s="34"/>
      <c r="C862" s="34"/>
      <c r="D862" s="34"/>
      <c r="E862" s="34"/>
      <c r="F862" s="34"/>
      <c r="G862" s="34"/>
      <c r="H862" s="34"/>
      <c r="I862" s="29"/>
      <c r="J862" s="29"/>
      <c r="K862" s="29"/>
      <c r="L862" s="29"/>
      <c r="M862" s="34"/>
      <c r="N862" s="34"/>
      <c r="O862" s="29"/>
      <c r="P862" s="29"/>
      <c r="Q862" s="29"/>
      <c r="R862" s="34"/>
      <c r="S862" s="29"/>
      <c r="T862" s="29"/>
      <c r="U862" s="2"/>
      <c r="V862" s="34"/>
      <c r="W862" s="34"/>
      <c r="X862" s="34"/>
      <c r="Y862" s="29"/>
      <c r="Z862" s="34"/>
      <c r="AA862" s="34"/>
      <c r="AB862" s="29"/>
      <c r="AC862" s="34"/>
      <c r="AD862" s="29"/>
      <c r="AE862" s="34"/>
      <c r="AF862" s="34"/>
    </row>
    <row x14ac:dyDescent="0.25" r="863" customHeight="1" ht="15.75">
      <c r="A863" s="502"/>
      <c r="B863" s="34"/>
      <c r="C863" s="34"/>
      <c r="D863" s="34"/>
      <c r="E863" s="34"/>
      <c r="F863" s="34"/>
      <c r="G863" s="34"/>
      <c r="H863" s="34"/>
      <c r="I863" s="29"/>
      <c r="J863" s="29"/>
      <c r="K863" s="29"/>
      <c r="L863" s="29"/>
      <c r="M863" s="34"/>
      <c r="N863" s="34"/>
      <c r="O863" s="29"/>
      <c r="P863" s="29"/>
      <c r="Q863" s="29"/>
      <c r="R863" s="34"/>
      <c r="S863" s="29"/>
      <c r="T863" s="29"/>
      <c r="U863" s="2"/>
      <c r="V863" s="34"/>
      <c r="W863" s="34"/>
      <c r="X863" s="34"/>
      <c r="Y863" s="29"/>
      <c r="Z863" s="34"/>
      <c r="AA863" s="34"/>
      <c r="AB863" s="29"/>
      <c r="AC863" s="34"/>
      <c r="AD863" s="29"/>
      <c r="AE863" s="34"/>
      <c r="AF863" s="34"/>
    </row>
    <row x14ac:dyDescent="0.25" r="864" customHeight="1" ht="15.75">
      <c r="A864" s="502"/>
      <c r="B864" s="34"/>
      <c r="C864" s="34"/>
      <c r="D864" s="34"/>
      <c r="E864" s="34"/>
      <c r="F864" s="34"/>
      <c r="G864" s="34"/>
      <c r="H864" s="34"/>
      <c r="I864" s="29"/>
      <c r="J864" s="29"/>
      <c r="K864" s="29"/>
      <c r="L864" s="29"/>
      <c r="M864" s="34"/>
      <c r="N864" s="34"/>
      <c r="O864" s="29"/>
      <c r="P864" s="29"/>
      <c r="Q864" s="29"/>
      <c r="R864" s="34"/>
      <c r="S864" s="29"/>
      <c r="T864" s="29"/>
      <c r="U864" s="2"/>
      <c r="V864" s="34"/>
      <c r="W864" s="34"/>
      <c r="X864" s="34"/>
      <c r="Y864" s="29"/>
      <c r="Z864" s="34"/>
      <c r="AA864" s="34"/>
      <c r="AB864" s="29"/>
      <c r="AC864" s="34"/>
      <c r="AD864" s="29"/>
      <c r="AE864" s="34"/>
      <c r="AF864" s="34"/>
    </row>
    <row x14ac:dyDescent="0.25" r="865" customHeight="1" ht="15.75">
      <c r="A865" s="502"/>
      <c r="B865" s="34"/>
      <c r="C865" s="34"/>
      <c r="D865" s="34"/>
      <c r="E865" s="34"/>
      <c r="F865" s="34"/>
      <c r="G865" s="34"/>
      <c r="H865" s="34"/>
      <c r="I865" s="29"/>
      <c r="J865" s="29"/>
      <c r="K865" s="29"/>
      <c r="L865" s="29"/>
      <c r="M865" s="34"/>
      <c r="N865" s="34"/>
      <c r="O865" s="29"/>
      <c r="P865" s="29"/>
      <c r="Q865" s="29"/>
      <c r="R865" s="34"/>
      <c r="S865" s="29"/>
      <c r="T865" s="29"/>
      <c r="U865" s="2"/>
      <c r="V865" s="34"/>
      <c r="W865" s="34"/>
      <c r="X865" s="34"/>
      <c r="Y865" s="29"/>
      <c r="Z865" s="34"/>
      <c r="AA865" s="34"/>
      <c r="AB865" s="29"/>
      <c r="AC865" s="34"/>
      <c r="AD865" s="29"/>
      <c r="AE865" s="34"/>
      <c r="AF865" s="34"/>
    </row>
    <row x14ac:dyDescent="0.25" r="866" customHeight="1" ht="15.75">
      <c r="A866" s="502"/>
      <c r="B866" s="34"/>
      <c r="C866" s="34"/>
      <c r="D866" s="34"/>
      <c r="E866" s="34"/>
      <c r="F866" s="34"/>
      <c r="G866" s="34"/>
      <c r="H866" s="34"/>
      <c r="I866" s="29"/>
      <c r="J866" s="29"/>
      <c r="K866" s="29"/>
      <c r="L866" s="29"/>
      <c r="M866" s="34"/>
      <c r="N866" s="34"/>
      <c r="O866" s="29"/>
      <c r="P866" s="29"/>
      <c r="Q866" s="29"/>
      <c r="R866" s="34"/>
      <c r="S866" s="29"/>
      <c r="T866" s="29"/>
      <c r="U866" s="2"/>
      <c r="V866" s="34"/>
      <c r="W866" s="34"/>
      <c r="X866" s="34"/>
      <c r="Y866" s="29"/>
      <c r="Z866" s="34"/>
      <c r="AA866" s="34"/>
      <c r="AB866" s="29"/>
      <c r="AC866" s="34"/>
      <c r="AD866" s="29"/>
      <c r="AE866" s="34"/>
      <c r="AF866" s="34"/>
    </row>
    <row x14ac:dyDescent="0.25" r="867" customHeight="1" ht="15.75">
      <c r="A867" s="502"/>
      <c r="B867" s="34"/>
      <c r="C867" s="34"/>
      <c r="D867" s="34"/>
      <c r="E867" s="34"/>
      <c r="F867" s="34"/>
      <c r="G867" s="34"/>
      <c r="H867" s="34"/>
      <c r="I867" s="29"/>
      <c r="J867" s="29"/>
      <c r="K867" s="29"/>
      <c r="L867" s="29"/>
      <c r="M867" s="34"/>
      <c r="N867" s="34"/>
      <c r="O867" s="29"/>
      <c r="P867" s="29"/>
      <c r="Q867" s="29"/>
      <c r="R867" s="34"/>
      <c r="S867" s="29"/>
      <c r="T867" s="29"/>
      <c r="U867" s="2"/>
      <c r="V867" s="34"/>
      <c r="W867" s="34"/>
      <c r="X867" s="34"/>
      <c r="Y867" s="29"/>
      <c r="Z867" s="34"/>
      <c r="AA867" s="34"/>
      <c r="AB867" s="29"/>
      <c r="AC867" s="34"/>
      <c r="AD867" s="29"/>
      <c r="AE867" s="34"/>
      <c r="AF867" s="34"/>
    </row>
    <row x14ac:dyDescent="0.25" r="868" customHeight="1" ht="15.75">
      <c r="A868" s="502"/>
      <c r="B868" s="34"/>
      <c r="C868" s="34"/>
      <c r="D868" s="34"/>
      <c r="E868" s="34"/>
      <c r="F868" s="34"/>
      <c r="G868" s="34"/>
      <c r="H868" s="34"/>
      <c r="I868" s="29"/>
      <c r="J868" s="29"/>
      <c r="K868" s="29"/>
      <c r="L868" s="29"/>
      <c r="M868" s="34"/>
      <c r="N868" s="34"/>
      <c r="O868" s="29"/>
      <c r="P868" s="29"/>
      <c r="Q868" s="29"/>
      <c r="R868" s="34"/>
      <c r="S868" s="29"/>
      <c r="T868" s="29"/>
      <c r="U868" s="2"/>
      <c r="V868" s="34"/>
      <c r="W868" s="34"/>
      <c r="X868" s="34"/>
      <c r="Y868" s="29"/>
      <c r="Z868" s="34"/>
      <c r="AA868" s="34"/>
      <c r="AB868" s="29"/>
      <c r="AC868" s="34"/>
      <c r="AD868" s="29"/>
      <c r="AE868" s="34"/>
      <c r="AF868" s="34"/>
    </row>
    <row x14ac:dyDescent="0.25" r="869" customHeight="1" ht="15.75">
      <c r="A869" s="502"/>
      <c r="B869" s="34"/>
      <c r="C869" s="34"/>
      <c r="D869" s="34"/>
      <c r="E869" s="34"/>
      <c r="F869" s="34"/>
      <c r="G869" s="34"/>
      <c r="H869" s="34"/>
      <c r="I869" s="29"/>
      <c r="J869" s="29"/>
      <c r="K869" s="29"/>
      <c r="L869" s="29"/>
      <c r="M869" s="34"/>
      <c r="N869" s="34"/>
      <c r="O869" s="29"/>
      <c r="P869" s="29"/>
      <c r="Q869" s="29"/>
      <c r="R869" s="34"/>
      <c r="S869" s="29"/>
      <c r="T869" s="29"/>
      <c r="U869" s="2"/>
      <c r="V869" s="34"/>
      <c r="W869" s="34"/>
      <c r="X869" s="34"/>
      <c r="Y869" s="29"/>
      <c r="Z869" s="34"/>
      <c r="AA869" s="34"/>
      <c r="AB869" s="29"/>
      <c r="AC869" s="34"/>
      <c r="AD869" s="29"/>
      <c r="AE869" s="34"/>
      <c r="AF869" s="34"/>
    </row>
    <row x14ac:dyDescent="0.25" r="870" customHeight="1" ht="15.75">
      <c r="A870" s="502"/>
      <c r="B870" s="34"/>
      <c r="C870" s="34"/>
      <c r="D870" s="34"/>
      <c r="E870" s="34"/>
      <c r="F870" s="34"/>
      <c r="G870" s="34"/>
      <c r="H870" s="34"/>
      <c r="I870" s="29"/>
      <c r="J870" s="29"/>
      <c r="K870" s="29"/>
      <c r="L870" s="29"/>
      <c r="M870" s="34"/>
      <c r="N870" s="34"/>
      <c r="O870" s="29"/>
      <c r="P870" s="29"/>
      <c r="Q870" s="29"/>
      <c r="R870" s="34"/>
      <c r="S870" s="29"/>
      <c r="T870" s="29"/>
      <c r="U870" s="2"/>
      <c r="V870" s="34"/>
      <c r="W870" s="34"/>
      <c r="X870" s="34"/>
      <c r="Y870" s="29"/>
      <c r="Z870" s="34"/>
      <c r="AA870" s="34"/>
      <c r="AB870" s="29"/>
      <c r="AC870" s="34"/>
      <c r="AD870" s="29"/>
      <c r="AE870" s="34"/>
      <c r="AF870" s="34"/>
    </row>
    <row x14ac:dyDescent="0.25" r="871" customHeight="1" ht="15.75">
      <c r="A871" s="502"/>
      <c r="B871" s="34"/>
      <c r="C871" s="34"/>
      <c r="D871" s="34"/>
      <c r="E871" s="34"/>
      <c r="F871" s="34"/>
      <c r="G871" s="34"/>
      <c r="H871" s="34"/>
      <c r="I871" s="29"/>
      <c r="J871" s="29"/>
      <c r="K871" s="29"/>
      <c r="L871" s="29"/>
      <c r="M871" s="34"/>
      <c r="N871" s="34"/>
      <c r="O871" s="29"/>
      <c r="P871" s="29"/>
      <c r="Q871" s="29"/>
      <c r="R871" s="34"/>
      <c r="S871" s="29"/>
      <c r="T871" s="29"/>
      <c r="U871" s="2"/>
      <c r="V871" s="34"/>
      <c r="W871" s="34"/>
      <c r="X871" s="34"/>
      <c r="Y871" s="29"/>
      <c r="Z871" s="34"/>
      <c r="AA871" s="34"/>
      <c r="AB871" s="29"/>
      <c r="AC871" s="34"/>
      <c r="AD871" s="29"/>
      <c r="AE871" s="34"/>
      <c r="AF871" s="34"/>
    </row>
    <row x14ac:dyDescent="0.25" r="872" customHeight="1" ht="15.75">
      <c r="A872" s="502"/>
      <c r="B872" s="34"/>
      <c r="C872" s="34"/>
      <c r="D872" s="34"/>
      <c r="E872" s="34"/>
      <c r="F872" s="34"/>
      <c r="G872" s="34"/>
      <c r="H872" s="34"/>
      <c r="I872" s="29"/>
      <c r="J872" s="29"/>
      <c r="K872" s="29"/>
      <c r="L872" s="29"/>
      <c r="M872" s="34"/>
      <c r="N872" s="34"/>
      <c r="O872" s="29"/>
      <c r="P872" s="29"/>
      <c r="Q872" s="29"/>
      <c r="R872" s="34"/>
      <c r="S872" s="29"/>
      <c r="T872" s="29"/>
      <c r="U872" s="2"/>
      <c r="V872" s="34"/>
      <c r="W872" s="34"/>
      <c r="X872" s="34"/>
      <c r="Y872" s="29"/>
      <c r="Z872" s="34"/>
      <c r="AA872" s="34"/>
      <c r="AB872" s="29"/>
      <c r="AC872" s="34"/>
      <c r="AD872" s="29"/>
      <c r="AE872" s="34"/>
      <c r="AF872" s="34"/>
    </row>
    <row x14ac:dyDescent="0.25" r="873" customHeight="1" ht="15.75">
      <c r="A873" s="502"/>
      <c r="B873" s="34"/>
      <c r="C873" s="34"/>
      <c r="D873" s="34"/>
      <c r="E873" s="34"/>
      <c r="F873" s="34"/>
      <c r="G873" s="34"/>
      <c r="H873" s="34"/>
      <c r="I873" s="29"/>
      <c r="J873" s="29"/>
      <c r="K873" s="29"/>
      <c r="L873" s="29"/>
      <c r="M873" s="34"/>
      <c r="N873" s="34"/>
      <c r="O873" s="29"/>
      <c r="P873" s="29"/>
      <c r="Q873" s="29"/>
      <c r="R873" s="34"/>
      <c r="S873" s="29"/>
      <c r="T873" s="29"/>
      <c r="U873" s="2"/>
      <c r="V873" s="34"/>
      <c r="W873" s="34"/>
      <c r="X873" s="34"/>
      <c r="Y873" s="29"/>
      <c r="Z873" s="34"/>
      <c r="AA873" s="34"/>
      <c r="AB873" s="29"/>
      <c r="AC873" s="34"/>
      <c r="AD873" s="29"/>
      <c r="AE873" s="34"/>
      <c r="AF873" s="34"/>
    </row>
    <row x14ac:dyDescent="0.25" r="874" customHeight="1" ht="15.75">
      <c r="A874" s="502"/>
      <c r="B874" s="34"/>
      <c r="C874" s="34"/>
      <c r="D874" s="34"/>
      <c r="E874" s="34"/>
      <c r="F874" s="34"/>
      <c r="G874" s="34"/>
      <c r="H874" s="34"/>
      <c r="I874" s="29"/>
      <c r="J874" s="29"/>
      <c r="K874" s="29"/>
      <c r="L874" s="29"/>
      <c r="M874" s="34"/>
      <c r="N874" s="34"/>
      <c r="O874" s="29"/>
      <c r="P874" s="29"/>
      <c r="Q874" s="29"/>
      <c r="R874" s="34"/>
      <c r="S874" s="29"/>
      <c r="T874" s="29"/>
      <c r="U874" s="2"/>
      <c r="V874" s="34"/>
      <c r="W874" s="34"/>
      <c r="X874" s="34"/>
      <c r="Y874" s="29"/>
      <c r="Z874" s="34"/>
      <c r="AA874" s="34"/>
      <c r="AB874" s="29"/>
      <c r="AC874" s="34"/>
      <c r="AD874" s="29"/>
      <c r="AE874" s="34"/>
      <c r="AF874" s="34"/>
    </row>
    <row x14ac:dyDescent="0.25" r="875" customHeight="1" ht="15.75">
      <c r="A875" s="502"/>
      <c r="B875" s="34"/>
      <c r="C875" s="34"/>
      <c r="D875" s="34"/>
      <c r="E875" s="34"/>
      <c r="F875" s="34"/>
      <c r="G875" s="34"/>
      <c r="H875" s="34"/>
      <c r="I875" s="29"/>
      <c r="J875" s="29"/>
      <c r="K875" s="29"/>
      <c r="L875" s="29"/>
      <c r="M875" s="34"/>
      <c r="N875" s="34"/>
      <c r="O875" s="29"/>
      <c r="P875" s="29"/>
      <c r="Q875" s="29"/>
      <c r="R875" s="34"/>
      <c r="S875" s="29"/>
      <c r="T875" s="29"/>
      <c r="U875" s="2"/>
      <c r="V875" s="34"/>
      <c r="W875" s="34"/>
      <c r="X875" s="34"/>
      <c r="Y875" s="29"/>
      <c r="Z875" s="34"/>
      <c r="AA875" s="34"/>
      <c r="AB875" s="29"/>
      <c r="AC875" s="34"/>
      <c r="AD875" s="29"/>
      <c r="AE875" s="34"/>
      <c r="AF875" s="34"/>
    </row>
    <row x14ac:dyDescent="0.25" r="876" customHeight="1" ht="15.75">
      <c r="A876" s="502"/>
      <c r="B876" s="34"/>
      <c r="C876" s="34"/>
      <c r="D876" s="34"/>
      <c r="E876" s="34"/>
      <c r="F876" s="34"/>
      <c r="G876" s="34"/>
      <c r="H876" s="34"/>
      <c r="I876" s="29"/>
      <c r="J876" s="29"/>
      <c r="K876" s="29"/>
      <c r="L876" s="29"/>
      <c r="M876" s="34"/>
      <c r="N876" s="34"/>
      <c r="O876" s="29"/>
      <c r="P876" s="29"/>
      <c r="Q876" s="29"/>
      <c r="R876" s="34"/>
      <c r="S876" s="29"/>
      <c r="T876" s="29"/>
      <c r="U876" s="2"/>
      <c r="V876" s="34"/>
      <c r="W876" s="34"/>
      <c r="X876" s="34"/>
      <c r="Y876" s="29"/>
      <c r="Z876" s="34"/>
      <c r="AA876" s="34"/>
      <c r="AB876" s="29"/>
      <c r="AC876" s="34"/>
      <c r="AD876" s="29"/>
      <c r="AE876" s="34"/>
      <c r="AF876" s="34"/>
    </row>
    <row x14ac:dyDescent="0.25" r="877" customHeight="1" ht="15.75">
      <c r="A877" s="502"/>
      <c r="B877" s="34"/>
      <c r="C877" s="34"/>
      <c r="D877" s="34"/>
      <c r="E877" s="34"/>
      <c r="F877" s="34"/>
      <c r="G877" s="34"/>
      <c r="H877" s="34"/>
      <c r="I877" s="29"/>
      <c r="J877" s="29"/>
      <c r="K877" s="29"/>
      <c r="L877" s="29"/>
      <c r="M877" s="34"/>
      <c r="N877" s="34"/>
      <c r="O877" s="29"/>
      <c r="P877" s="29"/>
      <c r="Q877" s="29"/>
      <c r="R877" s="34"/>
      <c r="S877" s="29"/>
      <c r="T877" s="29"/>
      <c r="U877" s="2"/>
      <c r="V877" s="34"/>
      <c r="W877" s="34"/>
      <c r="X877" s="34"/>
      <c r="Y877" s="29"/>
      <c r="Z877" s="34"/>
      <c r="AA877" s="34"/>
      <c r="AB877" s="29"/>
      <c r="AC877" s="34"/>
      <c r="AD877" s="29"/>
      <c r="AE877" s="34"/>
      <c r="AF877" s="34"/>
    </row>
    <row x14ac:dyDescent="0.25" r="878" customHeight="1" ht="15.75">
      <c r="A878" s="502"/>
      <c r="B878" s="34"/>
      <c r="C878" s="34"/>
      <c r="D878" s="34"/>
      <c r="E878" s="34"/>
      <c r="F878" s="34"/>
      <c r="G878" s="34"/>
      <c r="H878" s="34"/>
      <c r="I878" s="29"/>
      <c r="J878" s="29"/>
      <c r="K878" s="29"/>
      <c r="L878" s="29"/>
      <c r="M878" s="34"/>
      <c r="N878" s="34"/>
      <c r="O878" s="29"/>
      <c r="P878" s="29"/>
      <c r="Q878" s="29"/>
      <c r="R878" s="34"/>
      <c r="S878" s="29"/>
      <c r="T878" s="29"/>
      <c r="U878" s="2"/>
      <c r="V878" s="34"/>
      <c r="W878" s="34"/>
      <c r="X878" s="34"/>
      <c r="Y878" s="29"/>
      <c r="Z878" s="34"/>
      <c r="AA878" s="34"/>
      <c r="AB878" s="29"/>
      <c r="AC878" s="34"/>
      <c r="AD878" s="29"/>
      <c r="AE878" s="34"/>
      <c r="AF878" s="34"/>
    </row>
    <row x14ac:dyDescent="0.25" r="879" customHeight="1" ht="15.75">
      <c r="A879" s="502"/>
      <c r="B879" s="34"/>
      <c r="C879" s="34"/>
      <c r="D879" s="34"/>
      <c r="E879" s="34"/>
      <c r="F879" s="34"/>
      <c r="G879" s="34"/>
      <c r="H879" s="34"/>
      <c r="I879" s="29"/>
      <c r="J879" s="29"/>
      <c r="K879" s="29"/>
      <c r="L879" s="29"/>
      <c r="M879" s="34"/>
      <c r="N879" s="34"/>
      <c r="O879" s="29"/>
      <c r="P879" s="29"/>
      <c r="Q879" s="29"/>
      <c r="R879" s="34"/>
      <c r="S879" s="29"/>
      <c r="T879" s="29"/>
      <c r="U879" s="2"/>
      <c r="V879" s="34"/>
      <c r="W879" s="34"/>
      <c r="X879" s="34"/>
      <c r="Y879" s="29"/>
      <c r="Z879" s="34"/>
      <c r="AA879" s="34"/>
      <c r="AB879" s="29"/>
      <c r="AC879" s="34"/>
      <c r="AD879" s="29"/>
      <c r="AE879" s="34"/>
      <c r="AF879" s="34"/>
    </row>
    <row x14ac:dyDescent="0.25" r="880" customHeight="1" ht="15.75">
      <c r="A880" s="502"/>
      <c r="B880" s="34"/>
      <c r="C880" s="34"/>
      <c r="D880" s="34"/>
      <c r="E880" s="34"/>
      <c r="F880" s="34"/>
      <c r="G880" s="34"/>
      <c r="H880" s="34"/>
      <c r="I880" s="29"/>
      <c r="J880" s="29"/>
      <c r="K880" s="29"/>
      <c r="L880" s="29"/>
      <c r="M880" s="34"/>
      <c r="N880" s="34"/>
      <c r="O880" s="29"/>
      <c r="P880" s="29"/>
      <c r="Q880" s="29"/>
      <c r="R880" s="34"/>
      <c r="S880" s="29"/>
      <c r="T880" s="29"/>
      <c r="U880" s="2"/>
      <c r="V880" s="34"/>
      <c r="W880" s="34"/>
      <c r="X880" s="34"/>
      <c r="Y880" s="29"/>
      <c r="Z880" s="34"/>
      <c r="AA880" s="34"/>
      <c r="AB880" s="29"/>
      <c r="AC880" s="34"/>
      <c r="AD880" s="29"/>
      <c r="AE880" s="34"/>
      <c r="AF880" s="34"/>
    </row>
    <row x14ac:dyDescent="0.25" r="881" customHeight="1" ht="15.75">
      <c r="A881" s="502"/>
      <c r="B881" s="34"/>
      <c r="C881" s="34"/>
      <c r="D881" s="34"/>
      <c r="E881" s="34"/>
      <c r="F881" s="34"/>
      <c r="G881" s="34"/>
      <c r="H881" s="34"/>
      <c r="I881" s="29"/>
      <c r="J881" s="29"/>
      <c r="K881" s="29"/>
      <c r="L881" s="29"/>
      <c r="M881" s="34"/>
      <c r="N881" s="34"/>
      <c r="O881" s="29"/>
      <c r="P881" s="29"/>
      <c r="Q881" s="29"/>
      <c r="R881" s="34"/>
      <c r="S881" s="29"/>
      <c r="T881" s="29"/>
      <c r="U881" s="2"/>
      <c r="V881" s="34"/>
      <c r="W881" s="34"/>
      <c r="X881" s="34"/>
      <c r="Y881" s="29"/>
      <c r="Z881" s="34"/>
      <c r="AA881" s="34"/>
      <c r="AB881" s="29"/>
      <c r="AC881" s="34"/>
      <c r="AD881" s="29"/>
      <c r="AE881" s="34"/>
      <c r="AF881" s="34"/>
    </row>
    <row x14ac:dyDescent="0.25" r="882" customHeight="1" ht="15.75">
      <c r="A882" s="502"/>
      <c r="B882" s="34"/>
      <c r="C882" s="34"/>
      <c r="D882" s="34"/>
      <c r="E882" s="34"/>
      <c r="F882" s="34"/>
      <c r="G882" s="34"/>
      <c r="H882" s="34"/>
      <c r="I882" s="29"/>
      <c r="J882" s="29"/>
      <c r="K882" s="29"/>
      <c r="L882" s="29"/>
      <c r="M882" s="34"/>
      <c r="N882" s="34"/>
      <c r="O882" s="29"/>
      <c r="P882" s="29"/>
      <c r="Q882" s="29"/>
      <c r="R882" s="34"/>
      <c r="S882" s="29"/>
      <c r="T882" s="29"/>
      <c r="U882" s="2"/>
      <c r="V882" s="34"/>
      <c r="W882" s="34"/>
      <c r="X882" s="34"/>
      <c r="Y882" s="29"/>
      <c r="Z882" s="34"/>
      <c r="AA882" s="34"/>
      <c r="AB882" s="29"/>
      <c r="AC882" s="34"/>
      <c r="AD882" s="29"/>
      <c r="AE882" s="34"/>
      <c r="AF882" s="34"/>
    </row>
    <row x14ac:dyDescent="0.25" r="883" customHeight="1" ht="15.75">
      <c r="A883" s="502"/>
      <c r="B883" s="34"/>
      <c r="C883" s="34"/>
      <c r="D883" s="34"/>
      <c r="E883" s="34"/>
      <c r="F883" s="34"/>
      <c r="G883" s="34"/>
      <c r="H883" s="34"/>
      <c r="I883" s="29"/>
      <c r="J883" s="29"/>
      <c r="K883" s="29"/>
      <c r="L883" s="29"/>
      <c r="M883" s="34"/>
      <c r="N883" s="34"/>
      <c r="O883" s="29"/>
      <c r="P883" s="29"/>
      <c r="Q883" s="29"/>
      <c r="R883" s="34"/>
      <c r="S883" s="29"/>
      <c r="T883" s="29"/>
      <c r="U883" s="2"/>
      <c r="V883" s="34"/>
      <c r="W883" s="34"/>
      <c r="X883" s="34"/>
      <c r="Y883" s="29"/>
      <c r="Z883" s="34"/>
      <c r="AA883" s="34"/>
      <c r="AB883" s="29"/>
      <c r="AC883" s="34"/>
      <c r="AD883" s="29"/>
      <c r="AE883" s="34"/>
      <c r="AF883" s="34"/>
    </row>
    <row x14ac:dyDescent="0.25" r="884" customHeight="1" ht="15.75">
      <c r="A884" s="502"/>
      <c r="B884" s="34"/>
      <c r="C884" s="34"/>
      <c r="D884" s="34"/>
      <c r="E884" s="34"/>
      <c r="F884" s="34"/>
      <c r="G884" s="34"/>
      <c r="H884" s="34"/>
      <c r="I884" s="29"/>
      <c r="J884" s="29"/>
      <c r="K884" s="29"/>
      <c r="L884" s="29"/>
      <c r="M884" s="34"/>
      <c r="N884" s="34"/>
      <c r="O884" s="29"/>
      <c r="P884" s="29"/>
      <c r="Q884" s="29"/>
      <c r="R884" s="34"/>
      <c r="S884" s="29"/>
      <c r="T884" s="29"/>
      <c r="U884" s="2"/>
      <c r="V884" s="34"/>
      <c r="W884" s="34"/>
      <c r="X884" s="34"/>
      <c r="Y884" s="29"/>
      <c r="Z884" s="34"/>
      <c r="AA884" s="34"/>
      <c r="AB884" s="29"/>
      <c r="AC884" s="34"/>
      <c r="AD884" s="29"/>
      <c r="AE884" s="34"/>
      <c r="AF884" s="34"/>
    </row>
    <row x14ac:dyDescent="0.25" r="885" customHeight="1" ht="15.75">
      <c r="A885" s="502"/>
      <c r="B885" s="34"/>
      <c r="C885" s="34"/>
      <c r="D885" s="34"/>
      <c r="E885" s="34"/>
      <c r="F885" s="34"/>
      <c r="G885" s="34"/>
      <c r="H885" s="34"/>
      <c r="I885" s="29"/>
      <c r="J885" s="29"/>
      <c r="K885" s="29"/>
      <c r="L885" s="29"/>
      <c r="M885" s="34"/>
      <c r="N885" s="34"/>
      <c r="O885" s="29"/>
      <c r="P885" s="29"/>
      <c r="Q885" s="29"/>
      <c r="R885" s="34"/>
      <c r="S885" s="29"/>
      <c r="T885" s="29"/>
      <c r="U885" s="2"/>
      <c r="V885" s="34"/>
      <c r="W885" s="34"/>
      <c r="X885" s="34"/>
      <c r="Y885" s="29"/>
      <c r="Z885" s="34"/>
      <c r="AA885" s="34"/>
      <c r="AB885" s="29"/>
      <c r="AC885" s="34"/>
      <c r="AD885" s="29"/>
      <c r="AE885" s="34"/>
      <c r="AF885" s="34"/>
    </row>
    <row x14ac:dyDescent="0.25" r="886" customHeight="1" ht="15.75">
      <c r="A886" s="502"/>
      <c r="B886" s="34"/>
      <c r="C886" s="34"/>
      <c r="D886" s="34"/>
      <c r="E886" s="34"/>
      <c r="F886" s="34"/>
      <c r="G886" s="34"/>
      <c r="H886" s="34"/>
      <c r="I886" s="29"/>
      <c r="J886" s="29"/>
      <c r="K886" s="29"/>
      <c r="L886" s="29"/>
      <c r="M886" s="34"/>
      <c r="N886" s="34"/>
      <c r="O886" s="29"/>
      <c r="P886" s="29"/>
      <c r="Q886" s="29"/>
      <c r="R886" s="34"/>
      <c r="S886" s="29"/>
      <c r="T886" s="29"/>
      <c r="U886" s="2"/>
      <c r="V886" s="34"/>
      <c r="W886" s="34"/>
      <c r="X886" s="34"/>
      <c r="Y886" s="29"/>
      <c r="Z886" s="34"/>
      <c r="AA886" s="34"/>
      <c r="AB886" s="29"/>
      <c r="AC886" s="34"/>
      <c r="AD886" s="29"/>
      <c r="AE886" s="34"/>
      <c r="AF886" s="34"/>
    </row>
    <row x14ac:dyDescent="0.25" r="887" customHeight="1" ht="15.75">
      <c r="A887" s="502"/>
      <c r="B887" s="34"/>
      <c r="C887" s="34"/>
      <c r="D887" s="34"/>
      <c r="E887" s="34"/>
      <c r="F887" s="34"/>
      <c r="G887" s="34"/>
      <c r="H887" s="34"/>
      <c r="I887" s="29"/>
      <c r="J887" s="29"/>
      <c r="K887" s="29"/>
      <c r="L887" s="29"/>
      <c r="M887" s="34"/>
      <c r="N887" s="34"/>
      <c r="O887" s="29"/>
      <c r="P887" s="29"/>
      <c r="Q887" s="29"/>
      <c r="R887" s="34"/>
      <c r="S887" s="29"/>
      <c r="T887" s="29"/>
      <c r="U887" s="2"/>
      <c r="V887" s="34"/>
      <c r="W887" s="34"/>
      <c r="X887" s="34"/>
      <c r="Y887" s="29"/>
      <c r="Z887" s="34"/>
      <c r="AA887" s="34"/>
      <c r="AB887" s="29"/>
      <c r="AC887" s="34"/>
      <c r="AD887" s="29"/>
      <c r="AE887" s="34"/>
      <c r="AF887" s="34"/>
    </row>
    <row x14ac:dyDescent="0.25" r="888" customHeight="1" ht="15.75">
      <c r="A888" s="502"/>
      <c r="B888" s="34"/>
      <c r="C888" s="34"/>
      <c r="D888" s="34"/>
      <c r="E888" s="34"/>
      <c r="F888" s="34"/>
      <c r="G888" s="34"/>
      <c r="H888" s="34"/>
      <c r="I888" s="29"/>
      <c r="J888" s="29"/>
      <c r="K888" s="29"/>
      <c r="L888" s="29"/>
      <c r="M888" s="34"/>
      <c r="N888" s="34"/>
      <c r="O888" s="29"/>
      <c r="P888" s="29"/>
      <c r="Q888" s="29"/>
      <c r="R888" s="34"/>
      <c r="S888" s="29"/>
      <c r="T888" s="29"/>
      <c r="U888" s="2"/>
      <c r="V888" s="34"/>
      <c r="W888" s="34"/>
      <c r="X888" s="34"/>
      <c r="Y888" s="29"/>
      <c r="Z888" s="34"/>
      <c r="AA888" s="34"/>
      <c r="AB888" s="29"/>
      <c r="AC888" s="34"/>
      <c r="AD888" s="29"/>
      <c r="AE888" s="34"/>
      <c r="AF888" s="34"/>
    </row>
    <row x14ac:dyDescent="0.25" r="889" customHeight="1" ht="15.75">
      <c r="A889" s="502"/>
      <c r="B889" s="34"/>
      <c r="C889" s="34"/>
      <c r="D889" s="34"/>
      <c r="E889" s="34"/>
      <c r="F889" s="34"/>
      <c r="G889" s="34"/>
      <c r="H889" s="34"/>
      <c r="I889" s="29"/>
      <c r="J889" s="29"/>
      <c r="K889" s="29"/>
      <c r="L889" s="29"/>
      <c r="M889" s="34"/>
      <c r="N889" s="34"/>
      <c r="O889" s="29"/>
      <c r="P889" s="29"/>
      <c r="Q889" s="29"/>
      <c r="R889" s="34"/>
      <c r="S889" s="29"/>
      <c r="T889" s="29"/>
      <c r="U889" s="2"/>
      <c r="V889" s="34"/>
      <c r="W889" s="34"/>
      <c r="X889" s="34"/>
      <c r="Y889" s="29"/>
      <c r="Z889" s="34"/>
      <c r="AA889" s="34"/>
      <c r="AB889" s="29"/>
      <c r="AC889" s="34"/>
      <c r="AD889" s="29"/>
      <c r="AE889" s="34"/>
      <c r="AF889" s="34"/>
    </row>
    <row x14ac:dyDescent="0.25" r="890" customHeight="1" ht="15.75">
      <c r="A890" s="502"/>
      <c r="B890" s="34"/>
      <c r="C890" s="34"/>
      <c r="D890" s="34"/>
      <c r="E890" s="34"/>
      <c r="F890" s="34"/>
      <c r="G890" s="34"/>
      <c r="H890" s="34"/>
      <c r="I890" s="29"/>
      <c r="J890" s="29"/>
      <c r="K890" s="29"/>
      <c r="L890" s="29"/>
      <c r="M890" s="34"/>
      <c r="N890" s="34"/>
      <c r="O890" s="29"/>
      <c r="P890" s="29"/>
      <c r="Q890" s="29"/>
      <c r="R890" s="34"/>
      <c r="S890" s="29"/>
      <c r="T890" s="29"/>
      <c r="U890" s="2"/>
      <c r="V890" s="34"/>
      <c r="W890" s="34"/>
      <c r="X890" s="34"/>
      <c r="Y890" s="29"/>
      <c r="Z890" s="34"/>
      <c r="AA890" s="34"/>
      <c r="AB890" s="29"/>
      <c r="AC890" s="34"/>
      <c r="AD890" s="29"/>
      <c r="AE890" s="34"/>
      <c r="AF890" s="34"/>
    </row>
    <row x14ac:dyDescent="0.25" r="891" customHeight="1" ht="15.75">
      <c r="A891" s="502"/>
      <c r="B891" s="34"/>
      <c r="C891" s="34"/>
      <c r="D891" s="34"/>
      <c r="E891" s="34"/>
      <c r="F891" s="34"/>
      <c r="G891" s="34"/>
      <c r="H891" s="34"/>
      <c r="I891" s="29"/>
      <c r="J891" s="29"/>
      <c r="K891" s="29"/>
      <c r="L891" s="29"/>
      <c r="M891" s="34"/>
      <c r="N891" s="34"/>
      <c r="O891" s="29"/>
      <c r="P891" s="29"/>
      <c r="Q891" s="29"/>
      <c r="R891" s="34"/>
      <c r="S891" s="29"/>
      <c r="T891" s="29"/>
      <c r="U891" s="2"/>
      <c r="V891" s="34"/>
      <c r="W891" s="34"/>
      <c r="X891" s="34"/>
      <c r="Y891" s="29"/>
      <c r="Z891" s="34"/>
      <c r="AA891" s="34"/>
      <c r="AB891" s="29"/>
      <c r="AC891" s="34"/>
      <c r="AD891" s="29"/>
      <c r="AE891" s="34"/>
      <c r="AF891" s="34"/>
    </row>
    <row x14ac:dyDescent="0.25" r="892" customHeight="1" ht="15.75">
      <c r="A892" s="502"/>
      <c r="B892" s="34"/>
      <c r="C892" s="34"/>
      <c r="D892" s="34"/>
      <c r="E892" s="34"/>
      <c r="F892" s="34"/>
      <c r="G892" s="34"/>
      <c r="H892" s="34"/>
      <c r="I892" s="29"/>
      <c r="J892" s="29"/>
      <c r="K892" s="29"/>
      <c r="L892" s="29"/>
      <c r="M892" s="34"/>
      <c r="N892" s="34"/>
      <c r="O892" s="29"/>
      <c r="P892" s="29"/>
      <c r="Q892" s="29"/>
      <c r="R892" s="34"/>
      <c r="S892" s="29"/>
      <c r="T892" s="29"/>
      <c r="U892" s="2"/>
      <c r="V892" s="34"/>
      <c r="W892" s="34"/>
      <c r="X892" s="34"/>
      <c r="Y892" s="29"/>
      <c r="Z892" s="34"/>
      <c r="AA892" s="34"/>
      <c r="AB892" s="29"/>
      <c r="AC892" s="34"/>
      <c r="AD892" s="29"/>
      <c r="AE892" s="34"/>
      <c r="AF892" s="34"/>
    </row>
    <row x14ac:dyDescent="0.25" r="893" customHeight="1" ht="15.75">
      <c r="A893" s="502"/>
      <c r="B893" s="34"/>
      <c r="C893" s="34"/>
      <c r="D893" s="34"/>
      <c r="E893" s="34"/>
      <c r="F893" s="34"/>
      <c r="G893" s="34"/>
      <c r="H893" s="34"/>
      <c r="I893" s="29"/>
      <c r="J893" s="29"/>
      <c r="K893" s="29"/>
      <c r="L893" s="29"/>
      <c r="M893" s="34"/>
      <c r="N893" s="34"/>
      <c r="O893" s="29"/>
      <c r="P893" s="29"/>
      <c r="Q893" s="29"/>
      <c r="R893" s="34"/>
      <c r="S893" s="29"/>
      <c r="T893" s="29"/>
      <c r="U893" s="2"/>
      <c r="V893" s="34"/>
      <c r="W893" s="34"/>
      <c r="X893" s="34"/>
      <c r="Y893" s="29"/>
      <c r="Z893" s="34"/>
      <c r="AA893" s="34"/>
      <c r="AB893" s="29"/>
      <c r="AC893" s="34"/>
      <c r="AD893" s="29"/>
      <c r="AE893" s="34"/>
      <c r="AF893" s="34"/>
    </row>
    <row x14ac:dyDescent="0.25" r="894" customHeight="1" ht="15.75">
      <c r="A894" s="502"/>
      <c r="B894" s="34"/>
      <c r="C894" s="34"/>
      <c r="D894" s="34"/>
      <c r="E894" s="34"/>
      <c r="F894" s="34"/>
      <c r="G894" s="34"/>
      <c r="H894" s="34"/>
      <c r="I894" s="29"/>
      <c r="J894" s="29"/>
      <c r="K894" s="29"/>
      <c r="L894" s="29"/>
      <c r="M894" s="34"/>
      <c r="N894" s="34"/>
      <c r="O894" s="29"/>
      <c r="P894" s="29"/>
      <c r="Q894" s="29"/>
      <c r="R894" s="34"/>
      <c r="S894" s="29"/>
      <c r="T894" s="29"/>
      <c r="U894" s="2"/>
      <c r="V894" s="34"/>
      <c r="W894" s="34"/>
      <c r="X894" s="34"/>
      <c r="Y894" s="29"/>
      <c r="Z894" s="34"/>
      <c r="AA894" s="34"/>
      <c r="AB894" s="29"/>
      <c r="AC894" s="34"/>
      <c r="AD894" s="29"/>
      <c r="AE894" s="34"/>
      <c r="AF894" s="34"/>
    </row>
    <row x14ac:dyDescent="0.25" r="895" customHeight="1" ht="15.75">
      <c r="A895" s="502"/>
      <c r="B895" s="34"/>
      <c r="C895" s="34"/>
      <c r="D895" s="34"/>
      <c r="E895" s="34"/>
      <c r="F895" s="34"/>
      <c r="G895" s="34"/>
      <c r="H895" s="34"/>
      <c r="I895" s="29"/>
      <c r="J895" s="29"/>
      <c r="K895" s="29"/>
      <c r="L895" s="29"/>
      <c r="M895" s="34"/>
      <c r="N895" s="34"/>
      <c r="O895" s="29"/>
      <c r="P895" s="29"/>
      <c r="Q895" s="29"/>
      <c r="R895" s="34"/>
      <c r="S895" s="29"/>
      <c r="T895" s="29"/>
      <c r="U895" s="2"/>
      <c r="V895" s="34"/>
      <c r="W895" s="34"/>
      <c r="X895" s="34"/>
      <c r="Y895" s="29"/>
      <c r="Z895" s="34"/>
      <c r="AA895" s="34"/>
      <c r="AB895" s="29"/>
      <c r="AC895" s="34"/>
      <c r="AD895" s="29"/>
      <c r="AE895" s="34"/>
      <c r="AF895" s="34"/>
    </row>
    <row x14ac:dyDescent="0.25" r="896" customHeight="1" ht="15.75">
      <c r="A896" s="502"/>
      <c r="B896" s="34"/>
      <c r="C896" s="34"/>
      <c r="D896" s="34"/>
      <c r="E896" s="34"/>
      <c r="F896" s="34"/>
      <c r="G896" s="34"/>
      <c r="H896" s="34"/>
      <c r="I896" s="29"/>
      <c r="J896" s="29"/>
      <c r="K896" s="29"/>
      <c r="L896" s="29"/>
      <c r="M896" s="34"/>
      <c r="N896" s="34"/>
      <c r="O896" s="29"/>
      <c r="P896" s="29"/>
      <c r="Q896" s="29"/>
      <c r="R896" s="34"/>
      <c r="S896" s="29"/>
      <c r="T896" s="29"/>
      <c r="U896" s="2"/>
      <c r="V896" s="34"/>
      <c r="W896" s="34"/>
      <c r="X896" s="34"/>
      <c r="Y896" s="29"/>
      <c r="Z896" s="34"/>
      <c r="AA896" s="34"/>
      <c r="AB896" s="29"/>
      <c r="AC896" s="34"/>
      <c r="AD896" s="29"/>
      <c r="AE896" s="34"/>
      <c r="AF896" s="34"/>
    </row>
    <row x14ac:dyDescent="0.25" r="897" customHeight="1" ht="15.75">
      <c r="A897" s="502"/>
      <c r="B897" s="34"/>
      <c r="C897" s="34"/>
      <c r="D897" s="34"/>
      <c r="E897" s="34"/>
      <c r="F897" s="34"/>
      <c r="G897" s="34"/>
      <c r="H897" s="34"/>
      <c r="I897" s="29"/>
      <c r="J897" s="29"/>
      <c r="K897" s="29"/>
      <c r="L897" s="29"/>
      <c r="M897" s="34"/>
      <c r="N897" s="34"/>
      <c r="O897" s="29"/>
      <c r="P897" s="29"/>
      <c r="Q897" s="29"/>
      <c r="R897" s="34"/>
      <c r="S897" s="29"/>
      <c r="T897" s="29"/>
      <c r="U897" s="2"/>
      <c r="V897" s="34"/>
      <c r="W897" s="34"/>
      <c r="X897" s="34"/>
      <c r="Y897" s="29"/>
      <c r="Z897" s="34"/>
      <c r="AA897" s="34"/>
      <c r="AB897" s="29"/>
      <c r="AC897" s="34"/>
      <c r="AD897" s="29"/>
      <c r="AE897" s="34"/>
      <c r="AF897" s="34"/>
    </row>
    <row x14ac:dyDescent="0.25" r="898" customHeight="1" ht="15.75">
      <c r="A898" s="502"/>
      <c r="B898" s="34"/>
      <c r="C898" s="34"/>
      <c r="D898" s="34"/>
      <c r="E898" s="34"/>
      <c r="F898" s="34"/>
      <c r="G898" s="34"/>
      <c r="H898" s="34"/>
      <c r="I898" s="29"/>
      <c r="J898" s="29"/>
      <c r="K898" s="29"/>
      <c r="L898" s="29"/>
      <c r="M898" s="34"/>
      <c r="N898" s="34"/>
      <c r="O898" s="29"/>
      <c r="P898" s="29"/>
      <c r="Q898" s="29"/>
      <c r="R898" s="34"/>
      <c r="S898" s="29"/>
      <c r="T898" s="29"/>
      <c r="U898" s="2"/>
      <c r="V898" s="34"/>
      <c r="W898" s="34"/>
      <c r="X898" s="34"/>
      <c r="Y898" s="29"/>
      <c r="Z898" s="34"/>
      <c r="AA898" s="34"/>
      <c r="AB898" s="29"/>
      <c r="AC898" s="34"/>
      <c r="AD898" s="29"/>
      <c r="AE898" s="34"/>
      <c r="AF898" s="34"/>
    </row>
    <row x14ac:dyDescent="0.25" r="899" customHeight="1" ht="15.75">
      <c r="A899" s="502"/>
      <c r="B899" s="34"/>
      <c r="C899" s="34"/>
      <c r="D899" s="34"/>
      <c r="E899" s="34"/>
      <c r="F899" s="34"/>
      <c r="G899" s="34"/>
      <c r="H899" s="34"/>
      <c r="I899" s="29"/>
      <c r="J899" s="29"/>
      <c r="K899" s="29"/>
      <c r="L899" s="29"/>
      <c r="M899" s="34"/>
      <c r="N899" s="34"/>
      <c r="O899" s="29"/>
      <c r="P899" s="29"/>
      <c r="Q899" s="29"/>
      <c r="R899" s="34"/>
      <c r="S899" s="29"/>
      <c r="T899" s="29"/>
      <c r="U899" s="2"/>
      <c r="V899" s="34"/>
      <c r="W899" s="34"/>
      <c r="X899" s="34"/>
      <c r="Y899" s="29"/>
      <c r="Z899" s="34"/>
      <c r="AA899" s="34"/>
      <c r="AB899" s="29"/>
      <c r="AC899" s="34"/>
      <c r="AD899" s="29"/>
      <c r="AE899" s="34"/>
      <c r="AF899" s="34"/>
    </row>
    <row x14ac:dyDescent="0.25" r="900" customHeight="1" ht="15.75">
      <c r="A900" s="502"/>
      <c r="B900" s="34"/>
      <c r="C900" s="34"/>
      <c r="D900" s="34"/>
      <c r="E900" s="34"/>
      <c r="F900" s="34"/>
      <c r="G900" s="34"/>
      <c r="H900" s="34"/>
      <c r="I900" s="29"/>
      <c r="J900" s="29"/>
      <c r="K900" s="29"/>
      <c r="L900" s="29"/>
      <c r="M900" s="34"/>
      <c r="N900" s="34"/>
      <c r="O900" s="29"/>
      <c r="P900" s="29"/>
      <c r="Q900" s="29"/>
      <c r="R900" s="34"/>
      <c r="S900" s="29"/>
      <c r="T900" s="29"/>
      <c r="U900" s="2"/>
      <c r="V900" s="34"/>
      <c r="W900" s="34"/>
      <c r="X900" s="34"/>
      <c r="Y900" s="29"/>
      <c r="Z900" s="34"/>
      <c r="AA900" s="34"/>
      <c r="AB900" s="29"/>
      <c r="AC900" s="34"/>
      <c r="AD900" s="29"/>
      <c r="AE900" s="34"/>
      <c r="AF900" s="34"/>
    </row>
    <row x14ac:dyDescent="0.25" r="901" customHeight="1" ht="15.75">
      <c r="A901" s="502"/>
      <c r="B901" s="34"/>
      <c r="C901" s="34"/>
      <c r="D901" s="34"/>
      <c r="E901" s="34"/>
      <c r="F901" s="34"/>
      <c r="G901" s="34"/>
      <c r="H901" s="34"/>
      <c r="I901" s="29"/>
      <c r="J901" s="29"/>
      <c r="K901" s="29"/>
      <c r="L901" s="29"/>
      <c r="M901" s="34"/>
      <c r="N901" s="34"/>
      <c r="O901" s="29"/>
      <c r="P901" s="29"/>
      <c r="Q901" s="29"/>
      <c r="R901" s="34"/>
      <c r="S901" s="29"/>
      <c r="T901" s="29"/>
      <c r="U901" s="2"/>
      <c r="V901" s="34"/>
      <c r="W901" s="34"/>
      <c r="X901" s="34"/>
      <c r="Y901" s="29"/>
      <c r="Z901" s="34"/>
      <c r="AA901" s="34"/>
      <c r="AB901" s="29"/>
      <c r="AC901" s="34"/>
      <c r="AD901" s="29"/>
      <c r="AE901" s="34"/>
      <c r="AF901" s="34"/>
    </row>
    <row x14ac:dyDescent="0.25" r="902" customHeight="1" ht="15.75">
      <c r="A902" s="502"/>
      <c r="B902" s="34"/>
      <c r="C902" s="34"/>
      <c r="D902" s="34"/>
      <c r="E902" s="34"/>
      <c r="F902" s="34"/>
      <c r="G902" s="34"/>
      <c r="H902" s="34"/>
      <c r="I902" s="29"/>
      <c r="J902" s="29"/>
      <c r="K902" s="29"/>
      <c r="L902" s="29"/>
      <c r="M902" s="34"/>
      <c r="N902" s="34"/>
      <c r="O902" s="29"/>
      <c r="P902" s="29"/>
      <c r="Q902" s="29"/>
      <c r="R902" s="34"/>
      <c r="S902" s="29"/>
      <c r="T902" s="29"/>
      <c r="U902" s="2"/>
      <c r="V902" s="34"/>
      <c r="W902" s="34"/>
      <c r="X902" s="34"/>
      <c r="Y902" s="29"/>
      <c r="Z902" s="34"/>
      <c r="AA902" s="34"/>
      <c r="AB902" s="29"/>
      <c r="AC902" s="34"/>
      <c r="AD902" s="29"/>
      <c r="AE902" s="34"/>
      <c r="AF902" s="34"/>
    </row>
    <row x14ac:dyDescent="0.25" r="903" customHeight="1" ht="15.75">
      <c r="A903" s="502"/>
      <c r="B903" s="34"/>
      <c r="C903" s="34"/>
      <c r="D903" s="34"/>
      <c r="E903" s="34"/>
      <c r="F903" s="34"/>
      <c r="G903" s="34"/>
      <c r="H903" s="34"/>
      <c r="I903" s="29"/>
      <c r="J903" s="29"/>
      <c r="K903" s="29"/>
      <c r="L903" s="29"/>
      <c r="M903" s="34"/>
      <c r="N903" s="34"/>
      <c r="O903" s="29"/>
      <c r="P903" s="29"/>
      <c r="Q903" s="29"/>
      <c r="R903" s="34"/>
      <c r="S903" s="29"/>
      <c r="T903" s="29"/>
      <c r="U903" s="2"/>
      <c r="V903" s="34"/>
      <c r="W903" s="34"/>
      <c r="X903" s="34"/>
      <c r="Y903" s="29"/>
      <c r="Z903" s="34"/>
      <c r="AA903" s="34"/>
      <c r="AB903" s="29"/>
      <c r="AC903" s="34"/>
      <c r="AD903" s="29"/>
      <c r="AE903" s="34"/>
      <c r="AF903" s="34"/>
    </row>
    <row x14ac:dyDescent="0.25" r="904" customHeight="1" ht="15.75">
      <c r="A904" s="502"/>
      <c r="B904" s="34"/>
      <c r="C904" s="34"/>
      <c r="D904" s="34"/>
      <c r="E904" s="34"/>
      <c r="F904" s="34"/>
      <c r="G904" s="34"/>
      <c r="H904" s="34"/>
      <c r="I904" s="29"/>
      <c r="J904" s="29"/>
      <c r="K904" s="29"/>
      <c r="L904" s="29"/>
      <c r="M904" s="34"/>
      <c r="N904" s="34"/>
      <c r="O904" s="29"/>
      <c r="P904" s="29"/>
      <c r="Q904" s="29"/>
      <c r="R904" s="34"/>
      <c r="S904" s="29"/>
      <c r="T904" s="29"/>
      <c r="U904" s="2"/>
      <c r="V904" s="34"/>
      <c r="W904" s="34"/>
      <c r="X904" s="34"/>
      <c r="Y904" s="29"/>
      <c r="Z904" s="34"/>
      <c r="AA904" s="34"/>
      <c r="AB904" s="29"/>
      <c r="AC904" s="34"/>
      <c r="AD904" s="29"/>
      <c r="AE904" s="34"/>
      <c r="AF904" s="34"/>
    </row>
    <row x14ac:dyDescent="0.25" r="905" customHeight="1" ht="15.75">
      <c r="A905" s="502"/>
      <c r="B905" s="34"/>
      <c r="C905" s="34"/>
      <c r="D905" s="34"/>
      <c r="E905" s="34"/>
      <c r="F905" s="34"/>
      <c r="G905" s="34"/>
      <c r="H905" s="34"/>
      <c r="I905" s="29"/>
      <c r="J905" s="29"/>
      <c r="K905" s="29"/>
      <c r="L905" s="29"/>
      <c r="M905" s="34"/>
      <c r="N905" s="34"/>
      <c r="O905" s="29"/>
      <c r="P905" s="29"/>
      <c r="Q905" s="29"/>
      <c r="R905" s="34"/>
      <c r="S905" s="29"/>
      <c r="T905" s="29"/>
      <c r="U905" s="2"/>
      <c r="V905" s="34"/>
      <c r="W905" s="34"/>
      <c r="X905" s="34"/>
      <c r="Y905" s="29"/>
      <c r="Z905" s="34"/>
      <c r="AA905" s="34"/>
      <c r="AB905" s="29"/>
      <c r="AC905" s="34"/>
      <c r="AD905" s="29"/>
      <c r="AE905" s="34"/>
      <c r="AF905" s="34"/>
    </row>
    <row x14ac:dyDescent="0.25" r="906" customHeight="1" ht="15.75">
      <c r="A906" s="502"/>
      <c r="B906" s="34"/>
      <c r="C906" s="34"/>
      <c r="D906" s="34"/>
      <c r="E906" s="34"/>
      <c r="F906" s="34"/>
      <c r="G906" s="34"/>
      <c r="H906" s="34"/>
      <c r="I906" s="29"/>
      <c r="J906" s="29"/>
      <c r="K906" s="29"/>
      <c r="L906" s="29"/>
      <c r="M906" s="34"/>
      <c r="N906" s="34"/>
      <c r="O906" s="29"/>
      <c r="P906" s="29"/>
      <c r="Q906" s="29"/>
      <c r="R906" s="34"/>
      <c r="S906" s="29"/>
      <c r="T906" s="29"/>
      <c r="U906" s="2"/>
      <c r="V906" s="34"/>
      <c r="W906" s="34"/>
      <c r="X906" s="34"/>
      <c r="Y906" s="29"/>
      <c r="Z906" s="34"/>
      <c r="AA906" s="34"/>
      <c r="AB906" s="29"/>
      <c r="AC906" s="34"/>
      <c r="AD906" s="29"/>
      <c r="AE906" s="34"/>
      <c r="AF906" s="34"/>
    </row>
    <row x14ac:dyDescent="0.25" r="907" customHeight="1" ht="15.75">
      <c r="A907" s="502"/>
      <c r="B907" s="34"/>
      <c r="C907" s="34"/>
      <c r="D907" s="34"/>
      <c r="E907" s="34"/>
      <c r="F907" s="34"/>
      <c r="G907" s="34"/>
      <c r="H907" s="34"/>
      <c r="I907" s="29"/>
      <c r="J907" s="29"/>
      <c r="K907" s="29"/>
      <c r="L907" s="29"/>
      <c r="M907" s="34"/>
      <c r="N907" s="34"/>
      <c r="O907" s="29"/>
      <c r="P907" s="29"/>
      <c r="Q907" s="29"/>
      <c r="R907" s="34"/>
      <c r="S907" s="29"/>
      <c r="T907" s="29"/>
      <c r="U907" s="2"/>
      <c r="V907" s="34"/>
      <c r="W907" s="34"/>
      <c r="X907" s="34"/>
      <c r="Y907" s="29"/>
      <c r="Z907" s="34"/>
      <c r="AA907" s="34"/>
      <c r="AB907" s="29"/>
      <c r="AC907" s="34"/>
      <c r="AD907" s="29"/>
      <c r="AE907" s="34"/>
      <c r="AF907" s="34"/>
    </row>
    <row x14ac:dyDescent="0.25" r="908" customHeight="1" ht="15.75">
      <c r="A908" s="502"/>
      <c r="B908" s="34"/>
      <c r="C908" s="34"/>
      <c r="D908" s="34"/>
      <c r="E908" s="34"/>
      <c r="F908" s="34"/>
      <c r="G908" s="34"/>
      <c r="H908" s="34"/>
      <c r="I908" s="29"/>
      <c r="J908" s="29"/>
      <c r="K908" s="29"/>
      <c r="L908" s="29"/>
      <c r="M908" s="34"/>
      <c r="N908" s="34"/>
      <c r="O908" s="29"/>
      <c r="P908" s="29"/>
      <c r="Q908" s="29"/>
      <c r="R908" s="34"/>
      <c r="S908" s="29"/>
      <c r="T908" s="29"/>
      <c r="U908" s="2"/>
      <c r="V908" s="34"/>
      <c r="W908" s="34"/>
      <c r="X908" s="34"/>
      <c r="Y908" s="29"/>
      <c r="Z908" s="34"/>
      <c r="AA908" s="34"/>
      <c r="AB908" s="29"/>
      <c r="AC908" s="34"/>
      <c r="AD908" s="29"/>
      <c r="AE908" s="34"/>
      <c r="AF908" s="34"/>
    </row>
    <row x14ac:dyDescent="0.25" r="909" customHeight="1" ht="15.75">
      <c r="A909" s="502"/>
      <c r="B909" s="34"/>
      <c r="C909" s="34"/>
      <c r="D909" s="34"/>
      <c r="E909" s="34"/>
      <c r="F909" s="34"/>
      <c r="G909" s="34"/>
      <c r="H909" s="34"/>
      <c r="I909" s="29"/>
      <c r="J909" s="29"/>
      <c r="K909" s="29"/>
      <c r="L909" s="29"/>
      <c r="M909" s="34"/>
      <c r="N909" s="34"/>
      <c r="O909" s="29"/>
      <c r="P909" s="29"/>
      <c r="Q909" s="29"/>
      <c r="R909" s="34"/>
      <c r="S909" s="29"/>
      <c r="T909" s="29"/>
      <c r="U909" s="2"/>
      <c r="V909" s="34"/>
      <c r="W909" s="34"/>
      <c r="X909" s="34"/>
      <c r="Y909" s="29"/>
      <c r="Z909" s="34"/>
      <c r="AA909" s="34"/>
      <c r="AB909" s="29"/>
      <c r="AC909" s="34"/>
      <c r="AD909" s="29"/>
      <c r="AE909" s="34"/>
      <c r="AF909" s="34"/>
    </row>
    <row x14ac:dyDescent="0.25" r="910" customHeight="1" ht="15.75">
      <c r="A910" s="502"/>
      <c r="B910" s="34"/>
      <c r="C910" s="34"/>
      <c r="D910" s="34"/>
      <c r="E910" s="34"/>
      <c r="F910" s="34"/>
      <c r="G910" s="34"/>
      <c r="H910" s="34"/>
      <c r="I910" s="29"/>
      <c r="J910" s="29"/>
      <c r="K910" s="29"/>
      <c r="L910" s="29"/>
      <c r="M910" s="34"/>
      <c r="N910" s="34"/>
      <c r="O910" s="29"/>
      <c r="P910" s="29"/>
      <c r="Q910" s="29"/>
      <c r="R910" s="34"/>
      <c r="S910" s="29"/>
      <c r="T910" s="29"/>
      <c r="U910" s="2"/>
      <c r="V910" s="34"/>
      <c r="W910" s="34"/>
      <c r="X910" s="34"/>
      <c r="Y910" s="29"/>
      <c r="Z910" s="34"/>
      <c r="AA910" s="34"/>
      <c r="AB910" s="29"/>
      <c r="AC910" s="34"/>
      <c r="AD910" s="29"/>
      <c r="AE910" s="34"/>
      <c r="AF910" s="34"/>
    </row>
    <row x14ac:dyDescent="0.25" r="911" customHeight="1" ht="15.75">
      <c r="A911" s="502"/>
      <c r="B911" s="34"/>
      <c r="C911" s="34"/>
      <c r="D911" s="34"/>
      <c r="E911" s="34"/>
      <c r="F911" s="34"/>
      <c r="G911" s="34"/>
      <c r="H911" s="34"/>
      <c r="I911" s="29"/>
      <c r="J911" s="29"/>
      <c r="K911" s="29"/>
      <c r="L911" s="29"/>
      <c r="M911" s="34"/>
      <c r="N911" s="34"/>
      <c r="O911" s="29"/>
      <c r="P911" s="29"/>
      <c r="Q911" s="29"/>
      <c r="R911" s="34"/>
      <c r="S911" s="29"/>
      <c r="T911" s="29"/>
      <c r="U911" s="2"/>
      <c r="V911" s="34"/>
      <c r="W911" s="34"/>
      <c r="X911" s="34"/>
      <c r="Y911" s="29"/>
      <c r="Z911" s="34"/>
      <c r="AA911" s="34"/>
      <c r="AB911" s="29"/>
      <c r="AC911" s="34"/>
      <c r="AD911" s="29"/>
      <c r="AE911" s="34"/>
      <c r="AF911" s="34"/>
    </row>
    <row x14ac:dyDescent="0.25" r="912" customHeight="1" ht="15.75">
      <c r="A912" s="502"/>
      <c r="B912" s="34"/>
      <c r="C912" s="34"/>
      <c r="D912" s="34"/>
      <c r="E912" s="34"/>
      <c r="F912" s="34"/>
      <c r="G912" s="34"/>
      <c r="H912" s="34"/>
      <c r="I912" s="29"/>
      <c r="J912" s="29"/>
      <c r="K912" s="29"/>
      <c r="L912" s="29"/>
      <c r="M912" s="34"/>
      <c r="N912" s="34"/>
      <c r="O912" s="29"/>
      <c r="P912" s="29"/>
      <c r="Q912" s="29"/>
      <c r="R912" s="34"/>
      <c r="S912" s="29"/>
      <c r="T912" s="29"/>
      <c r="U912" s="2"/>
      <c r="V912" s="34"/>
      <c r="W912" s="34"/>
      <c r="X912" s="34"/>
      <c r="Y912" s="29"/>
      <c r="Z912" s="34"/>
      <c r="AA912" s="34"/>
      <c r="AB912" s="29"/>
      <c r="AC912" s="34"/>
      <c r="AD912" s="29"/>
      <c r="AE912" s="34"/>
      <c r="AF912" s="34"/>
    </row>
    <row x14ac:dyDescent="0.25" r="913" customHeight="1" ht="15.75">
      <c r="A913" s="502"/>
      <c r="B913" s="34"/>
      <c r="C913" s="34"/>
      <c r="D913" s="34"/>
      <c r="E913" s="34"/>
      <c r="F913" s="34"/>
      <c r="G913" s="34"/>
      <c r="H913" s="34"/>
      <c r="I913" s="29"/>
      <c r="J913" s="29"/>
      <c r="K913" s="29"/>
      <c r="L913" s="29"/>
      <c r="M913" s="34"/>
      <c r="N913" s="34"/>
      <c r="O913" s="29"/>
      <c r="P913" s="29"/>
      <c r="Q913" s="29"/>
      <c r="R913" s="34"/>
      <c r="S913" s="29"/>
      <c r="T913" s="29"/>
      <c r="U913" s="2"/>
      <c r="V913" s="34"/>
      <c r="W913" s="34"/>
      <c r="X913" s="34"/>
      <c r="Y913" s="29"/>
      <c r="Z913" s="34"/>
      <c r="AA913" s="34"/>
      <c r="AB913" s="29"/>
      <c r="AC913" s="34"/>
      <c r="AD913" s="29"/>
      <c r="AE913" s="34"/>
      <c r="AF913" s="34"/>
    </row>
    <row x14ac:dyDescent="0.25" r="914" customHeight="1" ht="15.75">
      <c r="A914" s="502"/>
      <c r="B914" s="34"/>
      <c r="C914" s="34"/>
      <c r="D914" s="34"/>
      <c r="E914" s="34"/>
      <c r="F914" s="34"/>
      <c r="G914" s="34"/>
      <c r="H914" s="34"/>
      <c r="I914" s="29"/>
      <c r="J914" s="29"/>
      <c r="K914" s="29"/>
      <c r="L914" s="29"/>
      <c r="M914" s="34"/>
      <c r="N914" s="34"/>
      <c r="O914" s="29"/>
      <c r="P914" s="29"/>
      <c r="Q914" s="29"/>
      <c r="R914" s="34"/>
      <c r="S914" s="29"/>
      <c r="T914" s="29"/>
      <c r="U914" s="2"/>
      <c r="V914" s="34"/>
      <c r="W914" s="34"/>
      <c r="X914" s="34"/>
      <c r="Y914" s="29"/>
      <c r="Z914" s="34"/>
      <c r="AA914" s="34"/>
      <c r="AB914" s="29"/>
      <c r="AC914" s="34"/>
      <c r="AD914" s="29"/>
      <c r="AE914" s="34"/>
      <c r="AF914" s="34"/>
    </row>
    <row x14ac:dyDescent="0.25" r="915" customHeight="1" ht="15.75">
      <c r="A915" s="502"/>
      <c r="B915" s="34"/>
      <c r="C915" s="34"/>
      <c r="D915" s="34"/>
      <c r="E915" s="34"/>
      <c r="F915" s="34"/>
      <c r="G915" s="34"/>
      <c r="H915" s="34"/>
      <c r="I915" s="29"/>
      <c r="J915" s="29"/>
      <c r="K915" s="29"/>
      <c r="L915" s="29"/>
      <c r="M915" s="34"/>
      <c r="N915" s="34"/>
      <c r="O915" s="29"/>
      <c r="P915" s="29"/>
      <c r="Q915" s="29"/>
      <c r="R915" s="34"/>
      <c r="S915" s="29"/>
      <c r="T915" s="29"/>
      <c r="U915" s="2"/>
      <c r="V915" s="34"/>
      <c r="W915" s="34"/>
      <c r="X915" s="34"/>
      <c r="Y915" s="29"/>
      <c r="Z915" s="34"/>
      <c r="AA915" s="34"/>
      <c r="AB915" s="29"/>
      <c r="AC915" s="34"/>
      <c r="AD915" s="29"/>
      <c r="AE915" s="34"/>
      <c r="AF915" s="34"/>
    </row>
    <row x14ac:dyDescent="0.25" r="916" customHeight="1" ht="15.75">
      <c r="A916" s="502"/>
      <c r="B916" s="34"/>
      <c r="C916" s="34"/>
      <c r="D916" s="34"/>
      <c r="E916" s="34"/>
      <c r="F916" s="34"/>
      <c r="G916" s="34"/>
      <c r="H916" s="34"/>
      <c r="I916" s="29"/>
      <c r="J916" s="29"/>
      <c r="K916" s="29"/>
      <c r="L916" s="29"/>
      <c r="M916" s="34"/>
      <c r="N916" s="34"/>
      <c r="O916" s="29"/>
      <c r="P916" s="29"/>
      <c r="Q916" s="29"/>
      <c r="R916" s="34"/>
      <c r="S916" s="29"/>
      <c r="T916" s="29"/>
      <c r="U916" s="2"/>
      <c r="V916" s="34"/>
      <c r="W916" s="34"/>
      <c r="X916" s="34"/>
      <c r="Y916" s="29"/>
      <c r="Z916" s="34"/>
      <c r="AA916" s="34"/>
      <c r="AB916" s="29"/>
      <c r="AC916" s="34"/>
      <c r="AD916" s="29"/>
      <c r="AE916" s="34"/>
      <c r="AF916" s="34"/>
    </row>
    <row x14ac:dyDescent="0.25" r="917" customHeight="1" ht="15.75">
      <c r="A917" s="502"/>
      <c r="B917" s="34"/>
      <c r="C917" s="34"/>
      <c r="D917" s="34"/>
      <c r="E917" s="34"/>
      <c r="F917" s="34"/>
      <c r="G917" s="34"/>
      <c r="H917" s="34"/>
      <c r="I917" s="29"/>
      <c r="J917" s="29"/>
      <c r="K917" s="29"/>
      <c r="L917" s="29"/>
      <c r="M917" s="34"/>
      <c r="N917" s="34"/>
      <c r="O917" s="29"/>
      <c r="P917" s="29"/>
      <c r="Q917" s="29"/>
      <c r="R917" s="34"/>
      <c r="S917" s="29"/>
      <c r="T917" s="29"/>
      <c r="U917" s="2"/>
      <c r="V917" s="34"/>
      <c r="W917" s="34"/>
      <c r="X917" s="34"/>
      <c r="Y917" s="29"/>
      <c r="Z917" s="34"/>
      <c r="AA917" s="34"/>
      <c r="AB917" s="29"/>
      <c r="AC917" s="34"/>
      <c r="AD917" s="29"/>
      <c r="AE917" s="34"/>
      <c r="AF917" s="34"/>
    </row>
    <row x14ac:dyDescent="0.25" r="918" customHeight="1" ht="15.75">
      <c r="A918" s="502"/>
      <c r="B918" s="34"/>
      <c r="C918" s="34"/>
      <c r="D918" s="34"/>
      <c r="E918" s="34"/>
      <c r="F918" s="34"/>
      <c r="G918" s="34"/>
      <c r="H918" s="34"/>
      <c r="I918" s="29"/>
      <c r="J918" s="29"/>
      <c r="K918" s="29"/>
      <c r="L918" s="29"/>
      <c r="M918" s="34"/>
      <c r="N918" s="34"/>
      <c r="O918" s="29"/>
      <c r="P918" s="29"/>
      <c r="Q918" s="29"/>
      <c r="R918" s="34"/>
      <c r="S918" s="29"/>
      <c r="T918" s="29"/>
      <c r="U918" s="2"/>
      <c r="V918" s="34"/>
      <c r="W918" s="34"/>
      <c r="X918" s="34"/>
      <c r="Y918" s="29"/>
      <c r="Z918" s="34"/>
      <c r="AA918" s="34"/>
      <c r="AB918" s="29"/>
      <c r="AC918" s="34"/>
      <c r="AD918" s="29"/>
      <c r="AE918" s="34"/>
      <c r="AF918" s="34"/>
    </row>
    <row x14ac:dyDescent="0.25" r="919" customHeight="1" ht="15.75">
      <c r="A919" s="502"/>
      <c r="B919" s="34"/>
      <c r="C919" s="34"/>
      <c r="D919" s="34"/>
      <c r="E919" s="34"/>
      <c r="F919" s="34"/>
      <c r="G919" s="34"/>
      <c r="H919" s="34"/>
      <c r="I919" s="29"/>
      <c r="J919" s="29"/>
      <c r="K919" s="29"/>
      <c r="L919" s="29"/>
      <c r="M919" s="34"/>
      <c r="N919" s="34"/>
      <c r="O919" s="29"/>
      <c r="P919" s="29"/>
      <c r="Q919" s="29"/>
      <c r="R919" s="34"/>
      <c r="S919" s="29"/>
      <c r="T919" s="29"/>
      <c r="U919" s="2"/>
      <c r="V919" s="34"/>
      <c r="W919" s="34"/>
      <c r="X919" s="34"/>
      <c r="Y919" s="29"/>
      <c r="Z919" s="34"/>
      <c r="AA919" s="34"/>
      <c r="AB919" s="29"/>
      <c r="AC919" s="34"/>
      <c r="AD919" s="29"/>
      <c r="AE919" s="34"/>
      <c r="AF919" s="34"/>
    </row>
    <row x14ac:dyDescent="0.25" r="920" customHeight="1" ht="15.75">
      <c r="A920" s="502"/>
      <c r="B920" s="34"/>
      <c r="C920" s="34"/>
      <c r="D920" s="34"/>
      <c r="E920" s="34"/>
      <c r="F920" s="34"/>
      <c r="G920" s="34"/>
      <c r="H920" s="34"/>
      <c r="I920" s="29"/>
      <c r="J920" s="29"/>
      <c r="K920" s="29"/>
      <c r="L920" s="29"/>
      <c r="M920" s="34"/>
      <c r="N920" s="34"/>
      <c r="O920" s="29"/>
      <c r="P920" s="29"/>
      <c r="Q920" s="29"/>
      <c r="R920" s="34"/>
      <c r="S920" s="29"/>
      <c r="T920" s="29"/>
      <c r="U920" s="2"/>
      <c r="V920" s="34"/>
      <c r="W920" s="34"/>
      <c r="X920" s="34"/>
      <c r="Y920" s="29"/>
      <c r="Z920" s="34"/>
      <c r="AA920" s="34"/>
      <c r="AB920" s="29"/>
      <c r="AC920" s="34"/>
      <c r="AD920" s="29"/>
      <c r="AE920" s="34"/>
      <c r="AF920" s="34"/>
    </row>
    <row x14ac:dyDescent="0.25" r="921" customHeight="1" ht="15.75">
      <c r="A921" s="502"/>
      <c r="B921" s="34"/>
      <c r="C921" s="34"/>
      <c r="D921" s="34"/>
      <c r="E921" s="34"/>
      <c r="F921" s="34"/>
      <c r="G921" s="34"/>
      <c r="H921" s="34"/>
      <c r="I921" s="29"/>
      <c r="J921" s="29"/>
      <c r="K921" s="29"/>
      <c r="L921" s="29"/>
      <c r="M921" s="34"/>
      <c r="N921" s="34"/>
      <c r="O921" s="29"/>
      <c r="P921" s="29"/>
      <c r="Q921" s="29"/>
      <c r="R921" s="34"/>
      <c r="S921" s="29"/>
      <c r="T921" s="29"/>
      <c r="U921" s="2"/>
      <c r="V921" s="34"/>
      <c r="W921" s="34"/>
      <c r="X921" s="34"/>
      <c r="Y921" s="29"/>
      <c r="Z921" s="34"/>
      <c r="AA921" s="34"/>
      <c r="AB921" s="29"/>
      <c r="AC921" s="34"/>
      <c r="AD921" s="29"/>
      <c r="AE921" s="34"/>
      <c r="AF921" s="34"/>
    </row>
    <row x14ac:dyDescent="0.25" r="922" customHeight="1" ht="15.75">
      <c r="A922" s="502"/>
      <c r="B922" s="34"/>
      <c r="C922" s="34"/>
      <c r="D922" s="34"/>
      <c r="E922" s="34"/>
      <c r="F922" s="34"/>
      <c r="G922" s="34"/>
      <c r="H922" s="34"/>
      <c r="I922" s="29"/>
      <c r="J922" s="29"/>
      <c r="K922" s="29"/>
      <c r="L922" s="29"/>
      <c r="M922" s="34"/>
      <c r="N922" s="34"/>
      <c r="O922" s="29"/>
      <c r="P922" s="29"/>
      <c r="Q922" s="29"/>
      <c r="R922" s="34"/>
      <c r="S922" s="29"/>
      <c r="T922" s="29"/>
      <c r="U922" s="2"/>
      <c r="V922" s="34"/>
      <c r="W922" s="34"/>
      <c r="X922" s="34"/>
      <c r="Y922" s="29"/>
      <c r="Z922" s="34"/>
      <c r="AA922" s="34"/>
      <c r="AB922" s="29"/>
      <c r="AC922" s="34"/>
      <c r="AD922" s="29"/>
      <c r="AE922" s="34"/>
      <c r="AF922" s="34"/>
    </row>
    <row x14ac:dyDescent="0.25" r="923" customHeight="1" ht="15.75">
      <c r="A923" s="502"/>
      <c r="B923" s="34"/>
      <c r="C923" s="34"/>
      <c r="D923" s="34"/>
      <c r="E923" s="34"/>
      <c r="F923" s="34"/>
      <c r="G923" s="34"/>
      <c r="H923" s="34"/>
      <c r="I923" s="29"/>
      <c r="J923" s="29"/>
      <c r="K923" s="29"/>
      <c r="L923" s="29"/>
      <c r="M923" s="34"/>
      <c r="N923" s="34"/>
      <c r="O923" s="29"/>
      <c r="P923" s="29"/>
      <c r="Q923" s="29"/>
      <c r="R923" s="34"/>
      <c r="S923" s="29"/>
      <c r="T923" s="29"/>
      <c r="U923" s="2"/>
      <c r="V923" s="34"/>
      <c r="W923" s="34"/>
      <c r="X923" s="34"/>
      <c r="Y923" s="29"/>
      <c r="Z923" s="34"/>
      <c r="AA923" s="34"/>
      <c r="AB923" s="29"/>
      <c r="AC923" s="34"/>
      <c r="AD923" s="29"/>
      <c r="AE923" s="34"/>
      <c r="AF923" s="34"/>
    </row>
    <row x14ac:dyDescent="0.25" r="924" customHeight="1" ht="15.75">
      <c r="A924" s="502"/>
      <c r="B924" s="34"/>
      <c r="C924" s="34"/>
      <c r="D924" s="34"/>
      <c r="E924" s="34"/>
      <c r="F924" s="34"/>
      <c r="G924" s="34"/>
      <c r="H924" s="34"/>
      <c r="I924" s="29"/>
      <c r="J924" s="29"/>
      <c r="K924" s="29"/>
      <c r="L924" s="29"/>
      <c r="M924" s="34"/>
      <c r="N924" s="34"/>
      <c r="O924" s="29"/>
      <c r="P924" s="29"/>
      <c r="Q924" s="29"/>
      <c r="R924" s="34"/>
      <c r="S924" s="29"/>
      <c r="T924" s="29"/>
      <c r="U924" s="2"/>
      <c r="V924" s="34"/>
      <c r="W924" s="34"/>
      <c r="X924" s="34"/>
      <c r="Y924" s="29"/>
      <c r="Z924" s="34"/>
      <c r="AA924" s="34"/>
      <c r="AB924" s="29"/>
      <c r="AC924" s="34"/>
      <c r="AD924" s="29"/>
      <c r="AE924" s="34"/>
      <c r="AF924" s="34"/>
    </row>
    <row x14ac:dyDescent="0.25" r="925" customHeight="1" ht="15.75">
      <c r="A925" s="502"/>
      <c r="B925" s="34"/>
      <c r="C925" s="34"/>
      <c r="D925" s="34"/>
      <c r="E925" s="34"/>
      <c r="F925" s="34"/>
      <c r="G925" s="34"/>
      <c r="H925" s="34"/>
      <c r="I925" s="29"/>
      <c r="J925" s="29"/>
      <c r="K925" s="29"/>
      <c r="L925" s="29"/>
      <c r="M925" s="34"/>
      <c r="N925" s="34"/>
      <c r="O925" s="29"/>
      <c r="P925" s="29"/>
      <c r="Q925" s="29"/>
      <c r="R925" s="34"/>
      <c r="S925" s="29"/>
      <c r="T925" s="29"/>
      <c r="U925" s="2"/>
      <c r="V925" s="34"/>
      <c r="W925" s="34"/>
      <c r="X925" s="34"/>
      <c r="Y925" s="29"/>
      <c r="Z925" s="34"/>
      <c r="AA925" s="34"/>
      <c r="AB925" s="29"/>
      <c r="AC925" s="34"/>
      <c r="AD925" s="29"/>
      <c r="AE925" s="34"/>
      <c r="AF925" s="34"/>
    </row>
    <row x14ac:dyDescent="0.25" r="926" customHeight="1" ht="15.75">
      <c r="A926" s="502"/>
      <c r="B926" s="34"/>
      <c r="C926" s="34"/>
      <c r="D926" s="34"/>
      <c r="E926" s="34"/>
      <c r="F926" s="34"/>
      <c r="G926" s="34"/>
      <c r="H926" s="34"/>
      <c r="I926" s="29"/>
      <c r="J926" s="29"/>
      <c r="K926" s="29"/>
      <c r="L926" s="29"/>
      <c r="M926" s="34"/>
      <c r="N926" s="34"/>
      <c r="O926" s="29"/>
      <c r="P926" s="29"/>
      <c r="Q926" s="29"/>
      <c r="R926" s="34"/>
      <c r="S926" s="29"/>
      <c r="T926" s="29"/>
      <c r="U926" s="2"/>
      <c r="V926" s="34"/>
      <c r="W926" s="34"/>
      <c r="X926" s="34"/>
      <c r="Y926" s="29"/>
      <c r="Z926" s="34"/>
      <c r="AA926" s="34"/>
      <c r="AB926" s="29"/>
      <c r="AC926" s="34"/>
      <c r="AD926" s="29"/>
      <c r="AE926" s="34"/>
      <c r="AF926" s="34"/>
    </row>
    <row x14ac:dyDescent="0.25" r="927" customHeight="1" ht="15.75">
      <c r="A927" s="502"/>
      <c r="B927" s="34"/>
      <c r="C927" s="34"/>
      <c r="D927" s="34"/>
      <c r="E927" s="34"/>
      <c r="F927" s="34"/>
      <c r="G927" s="34"/>
      <c r="H927" s="34"/>
      <c r="I927" s="29"/>
      <c r="J927" s="29"/>
      <c r="K927" s="29"/>
      <c r="L927" s="29"/>
      <c r="M927" s="34"/>
      <c r="N927" s="34"/>
      <c r="O927" s="29"/>
      <c r="P927" s="29"/>
      <c r="Q927" s="29"/>
      <c r="R927" s="34"/>
      <c r="S927" s="29"/>
      <c r="T927" s="29"/>
      <c r="U927" s="2"/>
      <c r="V927" s="34"/>
      <c r="W927" s="34"/>
      <c r="X927" s="34"/>
      <c r="Y927" s="29"/>
      <c r="Z927" s="34"/>
      <c r="AA927" s="34"/>
      <c r="AB927" s="29"/>
      <c r="AC927" s="34"/>
      <c r="AD927" s="29"/>
      <c r="AE927" s="34"/>
      <c r="AF927" s="34"/>
    </row>
    <row x14ac:dyDescent="0.25" r="928" customHeight="1" ht="15.75">
      <c r="A928" s="502"/>
      <c r="B928" s="34"/>
      <c r="C928" s="34"/>
      <c r="D928" s="34"/>
      <c r="E928" s="34"/>
      <c r="F928" s="34"/>
      <c r="G928" s="34"/>
      <c r="H928" s="34"/>
      <c r="I928" s="29"/>
      <c r="J928" s="29"/>
      <c r="K928" s="29"/>
      <c r="L928" s="29"/>
      <c r="M928" s="34"/>
      <c r="N928" s="34"/>
      <c r="O928" s="29"/>
      <c r="P928" s="29"/>
      <c r="Q928" s="29"/>
      <c r="R928" s="34"/>
      <c r="S928" s="29"/>
      <c r="T928" s="29"/>
      <c r="U928" s="2"/>
      <c r="V928" s="34"/>
      <c r="W928" s="34"/>
      <c r="X928" s="34"/>
      <c r="Y928" s="29"/>
      <c r="Z928" s="34"/>
      <c r="AA928" s="34"/>
      <c r="AB928" s="29"/>
      <c r="AC928" s="34"/>
      <c r="AD928" s="29"/>
      <c r="AE928" s="34"/>
      <c r="AF928" s="34"/>
    </row>
    <row x14ac:dyDescent="0.25" r="929" customHeight="1" ht="15.75">
      <c r="A929" s="502"/>
      <c r="B929" s="34"/>
      <c r="C929" s="34"/>
      <c r="D929" s="34"/>
      <c r="E929" s="34"/>
      <c r="F929" s="34"/>
      <c r="G929" s="34"/>
      <c r="H929" s="34"/>
      <c r="I929" s="29"/>
      <c r="J929" s="29"/>
      <c r="K929" s="29"/>
      <c r="L929" s="29"/>
      <c r="M929" s="34"/>
      <c r="N929" s="34"/>
      <c r="O929" s="29"/>
      <c r="P929" s="29"/>
      <c r="Q929" s="29"/>
      <c r="R929" s="34"/>
      <c r="S929" s="29"/>
      <c r="T929" s="29"/>
      <c r="U929" s="2"/>
      <c r="V929" s="34"/>
      <c r="W929" s="34"/>
      <c r="X929" s="34"/>
      <c r="Y929" s="29"/>
      <c r="Z929" s="34"/>
      <c r="AA929" s="34"/>
      <c r="AB929" s="29"/>
      <c r="AC929" s="34"/>
      <c r="AD929" s="29"/>
      <c r="AE929" s="34"/>
      <c r="AF929" s="34"/>
    </row>
    <row x14ac:dyDescent="0.25" r="930" customHeight="1" ht="15.75">
      <c r="A930" s="502"/>
      <c r="B930" s="34"/>
      <c r="C930" s="34"/>
      <c r="D930" s="34"/>
      <c r="E930" s="34"/>
      <c r="F930" s="34"/>
      <c r="G930" s="34"/>
      <c r="H930" s="34"/>
      <c r="I930" s="29"/>
      <c r="J930" s="29"/>
      <c r="K930" s="29"/>
      <c r="L930" s="29"/>
      <c r="M930" s="34"/>
      <c r="N930" s="34"/>
      <c r="O930" s="29"/>
      <c r="P930" s="29"/>
      <c r="Q930" s="29"/>
      <c r="R930" s="34"/>
      <c r="S930" s="29"/>
      <c r="T930" s="29"/>
      <c r="U930" s="2"/>
      <c r="V930" s="34"/>
      <c r="W930" s="34"/>
      <c r="X930" s="34"/>
      <c r="Y930" s="29"/>
      <c r="Z930" s="34"/>
      <c r="AA930" s="34"/>
      <c r="AB930" s="29"/>
      <c r="AC930" s="34"/>
      <c r="AD930" s="29"/>
      <c r="AE930" s="34"/>
      <c r="AF930" s="34"/>
    </row>
    <row x14ac:dyDescent="0.25" r="931" customHeight="1" ht="15.75">
      <c r="A931" s="502"/>
      <c r="B931" s="34"/>
      <c r="C931" s="34"/>
      <c r="D931" s="34"/>
      <c r="E931" s="34"/>
      <c r="F931" s="34"/>
      <c r="G931" s="34"/>
      <c r="H931" s="34"/>
      <c r="I931" s="29"/>
      <c r="J931" s="29"/>
      <c r="K931" s="29"/>
      <c r="L931" s="29"/>
      <c r="M931" s="34"/>
      <c r="N931" s="34"/>
      <c r="O931" s="29"/>
      <c r="P931" s="29"/>
      <c r="Q931" s="29"/>
      <c r="R931" s="34"/>
      <c r="S931" s="29"/>
      <c r="T931" s="29"/>
      <c r="U931" s="2"/>
      <c r="V931" s="34"/>
      <c r="W931" s="34"/>
      <c r="X931" s="34"/>
      <c r="Y931" s="29"/>
      <c r="Z931" s="34"/>
      <c r="AA931" s="34"/>
      <c r="AB931" s="29"/>
      <c r="AC931" s="34"/>
      <c r="AD931" s="29"/>
      <c r="AE931" s="34"/>
      <c r="AF931" s="34"/>
    </row>
    <row x14ac:dyDescent="0.25" r="932" customHeight="1" ht="15.75">
      <c r="A932" s="502"/>
      <c r="B932" s="34"/>
      <c r="C932" s="34"/>
      <c r="D932" s="34"/>
      <c r="E932" s="34"/>
      <c r="F932" s="34"/>
      <c r="G932" s="34"/>
      <c r="H932" s="34"/>
      <c r="I932" s="29"/>
      <c r="J932" s="29"/>
      <c r="K932" s="29"/>
      <c r="L932" s="29"/>
      <c r="M932" s="34"/>
      <c r="N932" s="34"/>
      <c r="O932" s="29"/>
      <c r="P932" s="29"/>
      <c r="Q932" s="29"/>
      <c r="R932" s="34"/>
      <c r="S932" s="29"/>
      <c r="T932" s="29"/>
      <c r="U932" s="2"/>
      <c r="V932" s="34"/>
      <c r="W932" s="34"/>
      <c r="X932" s="34"/>
      <c r="Y932" s="29"/>
      <c r="Z932" s="34"/>
      <c r="AA932" s="34"/>
      <c r="AB932" s="29"/>
      <c r="AC932" s="34"/>
      <c r="AD932" s="29"/>
      <c r="AE932" s="34"/>
      <c r="AF932" s="34"/>
    </row>
    <row x14ac:dyDescent="0.25" r="933" customHeight="1" ht="15.75">
      <c r="A933" s="502"/>
      <c r="B933" s="34"/>
      <c r="C933" s="34"/>
      <c r="D933" s="34"/>
      <c r="E933" s="34"/>
      <c r="F933" s="34"/>
      <c r="G933" s="34"/>
      <c r="H933" s="34"/>
      <c r="I933" s="29"/>
      <c r="J933" s="29"/>
      <c r="K933" s="29"/>
      <c r="L933" s="29"/>
      <c r="M933" s="34"/>
      <c r="N933" s="34"/>
      <c r="O933" s="29"/>
      <c r="P933" s="29"/>
      <c r="Q933" s="29"/>
      <c r="R933" s="34"/>
      <c r="S933" s="29"/>
      <c r="T933" s="29"/>
      <c r="U933" s="2"/>
      <c r="V933" s="34"/>
      <c r="W933" s="34"/>
      <c r="X933" s="34"/>
      <c r="Y933" s="29"/>
      <c r="Z933" s="34"/>
      <c r="AA933" s="34"/>
      <c r="AB933" s="29"/>
      <c r="AC933" s="34"/>
      <c r="AD933" s="29"/>
      <c r="AE933" s="34"/>
      <c r="AF933" s="34"/>
    </row>
    <row x14ac:dyDescent="0.25" r="934" customHeight="1" ht="15.75">
      <c r="A934" s="502"/>
      <c r="B934" s="34"/>
      <c r="C934" s="34"/>
      <c r="D934" s="34"/>
      <c r="E934" s="34"/>
      <c r="F934" s="34"/>
      <c r="G934" s="34"/>
      <c r="H934" s="34"/>
      <c r="I934" s="29"/>
      <c r="J934" s="29"/>
      <c r="K934" s="29"/>
      <c r="L934" s="29"/>
      <c r="M934" s="34"/>
      <c r="N934" s="34"/>
      <c r="O934" s="29"/>
      <c r="P934" s="29"/>
      <c r="Q934" s="29"/>
      <c r="R934" s="34"/>
      <c r="S934" s="29"/>
      <c r="T934" s="29"/>
      <c r="U934" s="2"/>
      <c r="V934" s="34"/>
      <c r="W934" s="34"/>
      <c r="X934" s="34"/>
      <c r="Y934" s="29"/>
      <c r="Z934" s="34"/>
      <c r="AA934" s="34"/>
      <c r="AB934" s="29"/>
      <c r="AC934" s="34"/>
      <c r="AD934" s="29"/>
      <c r="AE934" s="34"/>
      <c r="AF934" s="34"/>
    </row>
    <row x14ac:dyDescent="0.25" r="935" customHeight="1" ht="15.75">
      <c r="A935" s="502"/>
      <c r="B935" s="34"/>
      <c r="C935" s="34"/>
      <c r="D935" s="34"/>
      <c r="E935" s="34"/>
      <c r="F935" s="34"/>
      <c r="G935" s="34"/>
      <c r="H935" s="34"/>
      <c r="I935" s="29"/>
      <c r="J935" s="29"/>
      <c r="K935" s="29"/>
      <c r="L935" s="29"/>
      <c r="M935" s="34"/>
      <c r="N935" s="34"/>
      <c r="O935" s="29"/>
      <c r="P935" s="29"/>
      <c r="Q935" s="29"/>
      <c r="R935" s="34"/>
      <c r="S935" s="29"/>
      <c r="T935" s="29"/>
      <c r="U935" s="2"/>
      <c r="V935" s="34"/>
      <c r="W935" s="34"/>
      <c r="X935" s="34"/>
      <c r="Y935" s="29"/>
      <c r="Z935" s="34"/>
      <c r="AA935" s="34"/>
      <c r="AB935" s="29"/>
      <c r="AC935" s="34"/>
      <c r="AD935" s="29"/>
      <c r="AE935" s="34"/>
      <c r="AF935" s="34"/>
    </row>
    <row x14ac:dyDescent="0.25" r="936" customHeight="1" ht="15.75">
      <c r="A936" s="502"/>
      <c r="B936" s="34"/>
      <c r="C936" s="34"/>
      <c r="D936" s="34"/>
      <c r="E936" s="34"/>
      <c r="F936" s="34"/>
      <c r="G936" s="34"/>
      <c r="H936" s="34"/>
      <c r="I936" s="29"/>
      <c r="J936" s="29"/>
      <c r="K936" s="29"/>
      <c r="L936" s="29"/>
      <c r="M936" s="34"/>
      <c r="N936" s="34"/>
      <c r="O936" s="29"/>
      <c r="P936" s="29"/>
      <c r="Q936" s="29"/>
      <c r="R936" s="34"/>
      <c r="S936" s="29"/>
      <c r="T936" s="29"/>
      <c r="U936" s="2"/>
      <c r="V936" s="34"/>
      <c r="W936" s="34"/>
      <c r="X936" s="34"/>
      <c r="Y936" s="29"/>
      <c r="Z936" s="34"/>
      <c r="AA936" s="34"/>
      <c r="AB936" s="29"/>
      <c r="AC936" s="34"/>
      <c r="AD936" s="29"/>
      <c r="AE936" s="34"/>
      <c r="AF936" s="34"/>
    </row>
    <row x14ac:dyDescent="0.25" r="937" customHeight="1" ht="15.75">
      <c r="A937" s="502"/>
      <c r="B937" s="34"/>
      <c r="C937" s="34"/>
      <c r="D937" s="34"/>
      <c r="E937" s="34"/>
      <c r="F937" s="34"/>
      <c r="G937" s="34"/>
      <c r="H937" s="34"/>
      <c r="I937" s="29"/>
      <c r="J937" s="29"/>
      <c r="K937" s="29"/>
      <c r="L937" s="29"/>
      <c r="M937" s="34"/>
      <c r="N937" s="34"/>
      <c r="O937" s="29"/>
      <c r="P937" s="29"/>
      <c r="Q937" s="29"/>
      <c r="R937" s="34"/>
      <c r="S937" s="29"/>
      <c r="T937" s="29"/>
      <c r="U937" s="2"/>
      <c r="V937" s="34"/>
      <c r="W937" s="34"/>
      <c r="X937" s="34"/>
      <c r="Y937" s="29"/>
      <c r="Z937" s="34"/>
      <c r="AA937" s="34"/>
      <c r="AB937" s="29"/>
      <c r="AC937" s="34"/>
      <c r="AD937" s="29"/>
      <c r="AE937" s="34"/>
      <c r="AF937" s="34"/>
    </row>
    <row x14ac:dyDescent="0.25" r="938" customHeight="1" ht="15.75">
      <c r="A938" s="502"/>
      <c r="B938" s="34"/>
      <c r="C938" s="34"/>
      <c r="D938" s="34"/>
      <c r="E938" s="34"/>
      <c r="F938" s="34"/>
      <c r="G938" s="34"/>
      <c r="H938" s="34"/>
      <c r="I938" s="29"/>
      <c r="J938" s="29"/>
      <c r="K938" s="29"/>
      <c r="L938" s="29"/>
      <c r="M938" s="34"/>
      <c r="N938" s="34"/>
      <c r="O938" s="29"/>
      <c r="P938" s="29"/>
      <c r="Q938" s="29"/>
      <c r="R938" s="34"/>
      <c r="S938" s="29"/>
      <c r="T938" s="29"/>
      <c r="U938" s="2"/>
      <c r="V938" s="34"/>
      <c r="W938" s="34"/>
      <c r="X938" s="34"/>
      <c r="Y938" s="29"/>
      <c r="Z938" s="34"/>
      <c r="AA938" s="34"/>
      <c r="AB938" s="29"/>
      <c r="AC938" s="34"/>
      <c r="AD938" s="29"/>
      <c r="AE938" s="34"/>
      <c r="AF938" s="34"/>
    </row>
    <row x14ac:dyDescent="0.25" r="939" customHeight="1" ht="15.75">
      <c r="A939" s="502"/>
      <c r="B939" s="34"/>
      <c r="C939" s="34"/>
      <c r="D939" s="34"/>
      <c r="E939" s="34"/>
      <c r="F939" s="34"/>
      <c r="G939" s="34"/>
      <c r="H939" s="34"/>
      <c r="I939" s="29"/>
      <c r="J939" s="29"/>
      <c r="K939" s="29"/>
      <c r="L939" s="29"/>
      <c r="M939" s="34"/>
      <c r="N939" s="34"/>
      <c r="O939" s="29"/>
      <c r="P939" s="29"/>
      <c r="Q939" s="29"/>
      <c r="R939" s="34"/>
      <c r="S939" s="29"/>
      <c r="T939" s="29"/>
      <c r="U939" s="2"/>
      <c r="V939" s="34"/>
      <c r="W939" s="34"/>
      <c r="X939" s="34"/>
      <c r="Y939" s="29"/>
      <c r="Z939" s="34"/>
      <c r="AA939" s="34"/>
      <c r="AB939" s="29"/>
      <c r="AC939" s="34"/>
      <c r="AD939" s="29"/>
      <c r="AE939" s="34"/>
      <c r="AF939" s="34"/>
    </row>
    <row x14ac:dyDescent="0.25" r="940" customHeight="1" ht="15.75">
      <c r="A940" s="502"/>
      <c r="B940" s="34"/>
      <c r="C940" s="34"/>
      <c r="D940" s="34"/>
      <c r="E940" s="34"/>
      <c r="F940" s="34"/>
      <c r="G940" s="34"/>
      <c r="H940" s="34"/>
      <c r="I940" s="29"/>
      <c r="J940" s="29"/>
      <c r="K940" s="29"/>
      <c r="L940" s="29"/>
      <c r="M940" s="34"/>
      <c r="N940" s="34"/>
      <c r="O940" s="29"/>
      <c r="P940" s="29"/>
      <c r="Q940" s="29"/>
      <c r="R940" s="34"/>
      <c r="S940" s="29"/>
      <c r="T940" s="29"/>
      <c r="U940" s="2"/>
      <c r="V940" s="34"/>
      <c r="W940" s="34"/>
      <c r="X940" s="34"/>
      <c r="Y940" s="29"/>
      <c r="Z940" s="34"/>
      <c r="AA940" s="34"/>
      <c r="AB940" s="29"/>
      <c r="AC940" s="34"/>
      <c r="AD940" s="29"/>
      <c r="AE940" s="34"/>
      <c r="AF940" s="34"/>
    </row>
    <row x14ac:dyDescent="0.25" r="941" customHeight="1" ht="15.75">
      <c r="A941" s="502"/>
      <c r="B941" s="34"/>
      <c r="C941" s="34"/>
      <c r="D941" s="34"/>
      <c r="E941" s="34"/>
      <c r="F941" s="34"/>
      <c r="G941" s="34"/>
      <c r="H941" s="34"/>
      <c r="I941" s="29"/>
      <c r="J941" s="29"/>
      <c r="K941" s="29"/>
      <c r="L941" s="29"/>
      <c r="M941" s="34"/>
      <c r="N941" s="34"/>
      <c r="O941" s="29"/>
      <c r="P941" s="29"/>
      <c r="Q941" s="29"/>
      <c r="R941" s="34"/>
      <c r="S941" s="29"/>
      <c r="T941" s="29"/>
      <c r="U941" s="2"/>
      <c r="V941" s="34"/>
      <c r="W941" s="34"/>
      <c r="X941" s="34"/>
      <c r="Y941" s="29"/>
      <c r="Z941" s="34"/>
      <c r="AA941" s="34"/>
      <c r="AB941" s="29"/>
      <c r="AC941" s="34"/>
      <c r="AD941" s="29"/>
      <c r="AE941" s="34"/>
      <c r="AF941" s="34"/>
    </row>
    <row x14ac:dyDescent="0.25" r="942" customHeight="1" ht="15.75">
      <c r="A942" s="502"/>
      <c r="B942" s="34"/>
      <c r="C942" s="34"/>
      <c r="D942" s="34"/>
      <c r="E942" s="34"/>
      <c r="F942" s="34"/>
      <c r="G942" s="34"/>
      <c r="H942" s="34"/>
      <c r="I942" s="29"/>
      <c r="J942" s="29"/>
      <c r="K942" s="29"/>
      <c r="L942" s="29"/>
      <c r="M942" s="34"/>
      <c r="N942" s="34"/>
      <c r="O942" s="29"/>
      <c r="P942" s="29"/>
      <c r="Q942" s="29"/>
      <c r="R942" s="34"/>
      <c r="S942" s="29"/>
      <c r="T942" s="29"/>
      <c r="U942" s="2"/>
      <c r="V942" s="34"/>
      <c r="W942" s="34"/>
      <c r="X942" s="34"/>
      <c r="Y942" s="29"/>
      <c r="Z942" s="34"/>
      <c r="AA942" s="34"/>
      <c r="AB942" s="29"/>
      <c r="AC942" s="34"/>
      <c r="AD942" s="29"/>
      <c r="AE942" s="34"/>
      <c r="AF942" s="34"/>
    </row>
    <row x14ac:dyDescent="0.25" r="943" customHeight="1" ht="15.75">
      <c r="A943" s="502"/>
      <c r="B943" s="34"/>
      <c r="C943" s="34"/>
      <c r="D943" s="34"/>
      <c r="E943" s="34"/>
      <c r="F943" s="34"/>
      <c r="G943" s="34"/>
      <c r="H943" s="34"/>
      <c r="I943" s="29"/>
      <c r="J943" s="29"/>
      <c r="K943" s="29"/>
      <c r="L943" s="29"/>
      <c r="M943" s="34"/>
      <c r="N943" s="34"/>
      <c r="O943" s="29"/>
      <c r="P943" s="29"/>
      <c r="Q943" s="29"/>
      <c r="R943" s="34"/>
      <c r="S943" s="29"/>
      <c r="T943" s="29"/>
      <c r="U943" s="2"/>
      <c r="V943" s="34"/>
      <c r="W943" s="34"/>
      <c r="X943" s="34"/>
      <c r="Y943" s="29"/>
      <c r="Z943" s="34"/>
      <c r="AA943" s="34"/>
      <c r="AB943" s="29"/>
      <c r="AC943" s="34"/>
      <c r="AD943" s="29"/>
      <c r="AE943" s="34"/>
      <c r="AF943" s="34"/>
    </row>
    <row x14ac:dyDescent="0.25" r="944" customHeight="1" ht="15.75">
      <c r="A944" s="502"/>
      <c r="B944" s="34"/>
      <c r="C944" s="34"/>
      <c r="D944" s="34"/>
      <c r="E944" s="34"/>
      <c r="F944" s="34"/>
      <c r="G944" s="34"/>
      <c r="H944" s="34"/>
      <c r="I944" s="29"/>
      <c r="J944" s="29"/>
      <c r="K944" s="29"/>
      <c r="L944" s="29"/>
      <c r="M944" s="34"/>
      <c r="N944" s="34"/>
      <c r="O944" s="29"/>
      <c r="P944" s="29"/>
      <c r="Q944" s="29"/>
      <c r="R944" s="34"/>
      <c r="S944" s="29"/>
      <c r="T944" s="29"/>
      <c r="U944" s="2"/>
      <c r="V944" s="34"/>
      <c r="W944" s="34"/>
      <c r="X944" s="34"/>
      <c r="Y944" s="29"/>
      <c r="Z944" s="34"/>
      <c r="AA944" s="34"/>
      <c r="AB944" s="29"/>
      <c r="AC944" s="34"/>
      <c r="AD944" s="29"/>
      <c r="AE944" s="34"/>
      <c r="AF944" s="34"/>
    </row>
    <row x14ac:dyDescent="0.25" r="945" customHeight="1" ht="15.75">
      <c r="A945" s="502"/>
      <c r="B945" s="34"/>
      <c r="C945" s="34"/>
      <c r="D945" s="34"/>
      <c r="E945" s="34"/>
      <c r="F945" s="34"/>
      <c r="G945" s="34"/>
      <c r="H945" s="34"/>
      <c r="I945" s="29"/>
      <c r="J945" s="29"/>
      <c r="K945" s="29"/>
      <c r="L945" s="29"/>
      <c r="M945" s="34"/>
      <c r="N945" s="34"/>
      <c r="O945" s="29"/>
      <c r="P945" s="29"/>
      <c r="Q945" s="29"/>
      <c r="R945" s="34"/>
      <c r="S945" s="29"/>
      <c r="T945" s="29"/>
      <c r="U945" s="2"/>
      <c r="V945" s="34"/>
      <c r="W945" s="34"/>
      <c r="X945" s="34"/>
      <c r="Y945" s="29"/>
      <c r="Z945" s="34"/>
      <c r="AA945" s="34"/>
      <c r="AB945" s="29"/>
      <c r="AC945" s="34"/>
      <c r="AD945" s="29"/>
      <c r="AE945" s="34"/>
      <c r="AF945" s="34"/>
    </row>
    <row x14ac:dyDescent="0.25" r="946" customHeight="1" ht="15.75">
      <c r="A946" s="502"/>
      <c r="B946" s="34"/>
      <c r="C946" s="34"/>
      <c r="D946" s="34"/>
      <c r="E946" s="34"/>
      <c r="F946" s="34"/>
      <c r="G946" s="34"/>
      <c r="H946" s="34"/>
      <c r="I946" s="29"/>
      <c r="J946" s="29"/>
      <c r="K946" s="29"/>
      <c r="L946" s="29"/>
      <c r="M946" s="34"/>
      <c r="N946" s="34"/>
      <c r="O946" s="29"/>
      <c r="P946" s="29"/>
      <c r="Q946" s="29"/>
      <c r="R946" s="34"/>
      <c r="S946" s="29"/>
      <c r="T946" s="29"/>
      <c r="U946" s="2"/>
      <c r="V946" s="34"/>
      <c r="W946" s="34"/>
      <c r="X946" s="34"/>
      <c r="Y946" s="29"/>
      <c r="Z946" s="34"/>
      <c r="AA946" s="34"/>
      <c r="AB946" s="29"/>
      <c r="AC946" s="34"/>
      <c r="AD946" s="29"/>
      <c r="AE946" s="34"/>
      <c r="AF946" s="34"/>
    </row>
    <row x14ac:dyDescent="0.25" r="947" customHeight="1" ht="15.75">
      <c r="A947" s="502"/>
      <c r="B947" s="34"/>
      <c r="C947" s="34"/>
      <c r="D947" s="34"/>
      <c r="E947" s="34"/>
      <c r="F947" s="34"/>
      <c r="G947" s="34"/>
      <c r="H947" s="34"/>
      <c r="I947" s="29"/>
      <c r="J947" s="29"/>
      <c r="K947" s="29"/>
      <c r="L947" s="29"/>
      <c r="M947" s="34"/>
      <c r="N947" s="34"/>
      <c r="O947" s="29"/>
      <c r="P947" s="29"/>
      <c r="Q947" s="29"/>
      <c r="R947" s="34"/>
      <c r="S947" s="29"/>
      <c r="T947" s="29"/>
      <c r="U947" s="2"/>
      <c r="V947" s="34"/>
      <c r="W947" s="34"/>
      <c r="X947" s="34"/>
      <c r="Y947" s="29"/>
      <c r="Z947" s="34"/>
      <c r="AA947" s="34"/>
      <c r="AB947" s="29"/>
      <c r="AC947" s="34"/>
      <c r="AD947" s="29"/>
      <c r="AE947" s="34"/>
      <c r="AF947" s="34"/>
    </row>
    <row x14ac:dyDescent="0.25" r="948" customHeight="1" ht="15.75">
      <c r="A948" s="502"/>
      <c r="B948" s="34"/>
      <c r="C948" s="34"/>
      <c r="D948" s="34"/>
      <c r="E948" s="34"/>
      <c r="F948" s="34"/>
      <c r="G948" s="34"/>
      <c r="H948" s="34"/>
      <c r="I948" s="29"/>
      <c r="J948" s="29"/>
      <c r="K948" s="29"/>
      <c r="L948" s="29"/>
      <c r="M948" s="34"/>
      <c r="N948" s="34"/>
      <c r="O948" s="29"/>
      <c r="P948" s="29"/>
      <c r="Q948" s="29"/>
      <c r="R948" s="34"/>
      <c r="S948" s="29"/>
      <c r="T948" s="29"/>
      <c r="U948" s="2"/>
      <c r="V948" s="34"/>
      <c r="W948" s="34"/>
      <c r="X948" s="34"/>
      <c r="Y948" s="29"/>
      <c r="Z948" s="34"/>
      <c r="AA948" s="34"/>
      <c r="AB948" s="29"/>
      <c r="AC948" s="34"/>
      <c r="AD948" s="29"/>
      <c r="AE948" s="34"/>
      <c r="AF948" s="34"/>
    </row>
    <row x14ac:dyDescent="0.25" r="949" customHeight="1" ht="15.75">
      <c r="A949" s="502"/>
      <c r="B949" s="34"/>
      <c r="C949" s="34"/>
      <c r="D949" s="34"/>
      <c r="E949" s="34"/>
      <c r="F949" s="34"/>
      <c r="G949" s="34"/>
      <c r="H949" s="34"/>
      <c r="I949" s="29"/>
      <c r="J949" s="29"/>
      <c r="K949" s="29"/>
      <c r="L949" s="29"/>
      <c r="M949" s="34"/>
      <c r="N949" s="34"/>
      <c r="O949" s="29"/>
      <c r="P949" s="29"/>
      <c r="Q949" s="29"/>
      <c r="R949" s="34"/>
      <c r="S949" s="29"/>
      <c r="T949" s="29"/>
      <c r="U949" s="2"/>
      <c r="V949" s="34"/>
      <c r="W949" s="34"/>
      <c r="X949" s="34"/>
      <c r="Y949" s="29"/>
      <c r="Z949" s="34"/>
      <c r="AA949" s="34"/>
      <c r="AB949" s="29"/>
      <c r="AC949" s="34"/>
      <c r="AD949" s="29"/>
      <c r="AE949" s="34"/>
      <c r="AF949" s="34"/>
    </row>
    <row x14ac:dyDescent="0.25" r="950" customHeight="1" ht="15.75">
      <c r="A950" s="502"/>
      <c r="B950" s="34"/>
      <c r="C950" s="34"/>
      <c r="D950" s="34"/>
      <c r="E950" s="34"/>
      <c r="F950" s="34"/>
      <c r="G950" s="34"/>
      <c r="H950" s="34"/>
      <c r="I950" s="29"/>
      <c r="J950" s="29"/>
      <c r="K950" s="29"/>
      <c r="L950" s="29"/>
      <c r="M950" s="34"/>
      <c r="N950" s="34"/>
      <c r="O950" s="29"/>
      <c r="P950" s="29"/>
      <c r="Q950" s="29"/>
      <c r="R950" s="34"/>
      <c r="S950" s="29"/>
      <c r="T950" s="29"/>
      <c r="U950" s="2"/>
      <c r="V950" s="34"/>
      <c r="W950" s="34"/>
      <c r="X950" s="34"/>
      <c r="Y950" s="29"/>
      <c r="Z950" s="34"/>
      <c r="AA950" s="34"/>
      <c r="AB950" s="29"/>
      <c r="AC950" s="34"/>
      <c r="AD950" s="29"/>
      <c r="AE950" s="34"/>
      <c r="AF950" s="34"/>
    </row>
    <row x14ac:dyDescent="0.25" r="951" customHeight="1" ht="15.75">
      <c r="A951" s="502"/>
      <c r="B951" s="34"/>
      <c r="C951" s="34"/>
      <c r="D951" s="34"/>
      <c r="E951" s="34"/>
      <c r="F951" s="34"/>
      <c r="G951" s="34"/>
      <c r="H951" s="34"/>
      <c r="I951" s="29"/>
      <c r="J951" s="29"/>
      <c r="K951" s="29"/>
      <c r="L951" s="29"/>
      <c r="M951" s="34"/>
      <c r="N951" s="34"/>
      <c r="O951" s="29"/>
      <c r="P951" s="29"/>
      <c r="Q951" s="29"/>
      <c r="R951" s="34"/>
      <c r="S951" s="29"/>
      <c r="T951" s="29"/>
      <c r="U951" s="2"/>
      <c r="V951" s="34"/>
      <c r="W951" s="34"/>
      <c r="X951" s="34"/>
      <c r="Y951" s="29"/>
      <c r="Z951" s="34"/>
      <c r="AA951" s="34"/>
      <c r="AB951" s="29"/>
      <c r="AC951" s="34"/>
      <c r="AD951" s="29"/>
      <c r="AE951" s="34"/>
      <c r="AF951" s="34"/>
    </row>
    <row x14ac:dyDescent="0.25" r="952" customHeight="1" ht="15.75">
      <c r="A952" s="502"/>
      <c r="B952" s="34"/>
      <c r="C952" s="34"/>
      <c r="D952" s="34"/>
      <c r="E952" s="34"/>
      <c r="F952" s="34"/>
      <c r="G952" s="34"/>
      <c r="H952" s="34"/>
      <c r="I952" s="29"/>
      <c r="J952" s="29"/>
      <c r="K952" s="29"/>
      <c r="L952" s="29"/>
      <c r="M952" s="34"/>
      <c r="N952" s="34"/>
      <c r="O952" s="29"/>
      <c r="P952" s="29"/>
      <c r="Q952" s="29"/>
      <c r="R952" s="34"/>
      <c r="S952" s="29"/>
      <c r="T952" s="29"/>
      <c r="U952" s="2"/>
      <c r="V952" s="34"/>
      <c r="W952" s="34"/>
      <c r="X952" s="34"/>
      <c r="Y952" s="29"/>
      <c r="Z952" s="34"/>
      <c r="AA952" s="34"/>
      <c r="AB952" s="29"/>
      <c r="AC952" s="34"/>
      <c r="AD952" s="29"/>
      <c r="AE952" s="34"/>
      <c r="AF952" s="34"/>
    </row>
    <row x14ac:dyDescent="0.25" r="953" customHeight="1" ht="15.75">
      <c r="A953" s="502"/>
      <c r="B953" s="34"/>
      <c r="C953" s="34"/>
      <c r="D953" s="34"/>
      <c r="E953" s="34"/>
      <c r="F953" s="34"/>
      <c r="G953" s="34"/>
      <c r="H953" s="34"/>
      <c r="I953" s="29"/>
      <c r="J953" s="29"/>
      <c r="K953" s="29"/>
      <c r="L953" s="29"/>
      <c r="M953" s="34"/>
      <c r="N953" s="34"/>
      <c r="O953" s="29"/>
      <c r="P953" s="29"/>
      <c r="Q953" s="29"/>
      <c r="R953" s="34"/>
      <c r="S953" s="29"/>
      <c r="T953" s="29"/>
      <c r="U953" s="2"/>
      <c r="V953" s="34"/>
      <c r="W953" s="34"/>
      <c r="X953" s="34"/>
      <c r="Y953" s="29"/>
      <c r="Z953" s="34"/>
      <c r="AA953" s="34"/>
      <c r="AB953" s="29"/>
      <c r="AC953" s="34"/>
      <c r="AD953" s="29"/>
      <c r="AE953" s="34"/>
      <c r="AF953" s="34"/>
    </row>
    <row x14ac:dyDescent="0.25" r="954" customHeight="1" ht="15.75">
      <c r="A954" s="502"/>
      <c r="B954" s="34"/>
      <c r="C954" s="34"/>
      <c r="D954" s="34"/>
      <c r="E954" s="34"/>
      <c r="F954" s="34"/>
      <c r="G954" s="34"/>
      <c r="H954" s="34"/>
      <c r="I954" s="29"/>
      <c r="J954" s="29"/>
      <c r="K954" s="29"/>
      <c r="L954" s="29"/>
      <c r="M954" s="34"/>
      <c r="N954" s="34"/>
      <c r="O954" s="29"/>
      <c r="P954" s="29"/>
      <c r="Q954" s="29"/>
      <c r="R954" s="34"/>
      <c r="S954" s="29"/>
      <c r="T954" s="29"/>
      <c r="U954" s="2"/>
      <c r="V954" s="34"/>
      <c r="W954" s="34"/>
      <c r="X954" s="34"/>
      <c r="Y954" s="29"/>
      <c r="Z954" s="34"/>
      <c r="AA954" s="34"/>
      <c r="AB954" s="29"/>
      <c r="AC954" s="34"/>
      <c r="AD954" s="29"/>
      <c r="AE954" s="34"/>
      <c r="AF954" s="34"/>
    </row>
    <row x14ac:dyDescent="0.25" r="955" customHeight="1" ht="15.75">
      <c r="A955" s="502"/>
      <c r="B955" s="34"/>
      <c r="C955" s="34"/>
      <c r="D955" s="34"/>
      <c r="E955" s="34"/>
      <c r="F955" s="34"/>
      <c r="G955" s="34"/>
      <c r="H955" s="34"/>
      <c r="I955" s="29"/>
      <c r="J955" s="29"/>
      <c r="K955" s="29"/>
      <c r="L955" s="29"/>
      <c r="M955" s="34"/>
      <c r="N955" s="34"/>
      <c r="O955" s="29"/>
      <c r="P955" s="29"/>
      <c r="Q955" s="29"/>
      <c r="R955" s="34"/>
      <c r="S955" s="29"/>
      <c r="T955" s="29"/>
      <c r="U955" s="2"/>
      <c r="V955" s="34"/>
      <c r="W955" s="34"/>
      <c r="X955" s="34"/>
      <c r="Y955" s="29"/>
      <c r="Z955" s="34"/>
      <c r="AA955" s="34"/>
      <c r="AB955" s="29"/>
      <c r="AC955" s="34"/>
      <c r="AD955" s="29"/>
      <c r="AE955" s="34"/>
      <c r="AF955" s="34"/>
    </row>
    <row x14ac:dyDescent="0.25" r="956" customHeight="1" ht="15.75">
      <c r="A956" s="502"/>
      <c r="B956" s="34"/>
      <c r="C956" s="34"/>
      <c r="D956" s="34"/>
      <c r="E956" s="34"/>
      <c r="F956" s="34"/>
      <c r="G956" s="34"/>
      <c r="H956" s="34"/>
      <c r="I956" s="29"/>
      <c r="J956" s="29"/>
      <c r="K956" s="29"/>
      <c r="L956" s="29"/>
      <c r="M956" s="34"/>
      <c r="N956" s="34"/>
      <c r="O956" s="29"/>
      <c r="P956" s="29"/>
      <c r="Q956" s="29"/>
      <c r="R956" s="34"/>
      <c r="S956" s="29"/>
      <c r="T956" s="29"/>
      <c r="U956" s="2"/>
      <c r="V956" s="34"/>
      <c r="W956" s="34"/>
      <c r="X956" s="34"/>
      <c r="Y956" s="29"/>
      <c r="Z956" s="34"/>
      <c r="AA956" s="34"/>
      <c r="AB956" s="29"/>
      <c r="AC956" s="34"/>
      <c r="AD956" s="29"/>
      <c r="AE956" s="34"/>
      <c r="AF956" s="34"/>
    </row>
    <row x14ac:dyDescent="0.25" r="957" customHeight="1" ht="15.75">
      <c r="A957" s="502"/>
      <c r="B957" s="34"/>
      <c r="C957" s="34"/>
      <c r="D957" s="34"/>
      <c r="E957" s="34"/>
      <c r="F957" s="34"/>
      <c r="G957" s="34"/>
      <c r="H957" s="34"/>
      <c r="I957" s="29"/>
      <c r="J957" s="29"/>
      <c r="K957" s="29"/>
      <c r="L957" s="29"/>
      <c r="M957" s="34"/>
      <c r="N957" s="34"/>
      <c r="O957" s="29"/>
      <c r="P957" s="29"/>
      <c r="Q957" s="29"/>
      <c r="R957" s="34"/>
      <c r="S957" s="29"/>
      <c r="T957" s="29"/>
      <c r="U957" s="2"/>
      <c r="V957" s="34"/>
      <c r="W957" s="34"/>
      <c r="X957" s="34"/>
      <c r="Y957" s="29"/>
      <c r="Z957" s="34"/>
      <c r="AA957" s="34"/>
      <c r="AB957" s="29"/>
      <c r="AC957" s="34"/>
      <c r="AD957" s="29"/>
      <c r="AE957" s="34"/>
      <c r="AF957" s="34"/>
    </row>
    <row x14ac:dyDescent="0.25" r="958" customHeight="1" ht="15.75">
      <c r="A958" s="502"/>
      <c r="B958" s="34"/>
      <c r="C958" s="34"/>
      <c r="D958" s="34"/>
      <c r="E958" s="34"/>
      <c r="F958" s="34"/>
      <c r="G958" s="34"/>
      <c r="H958" s="34"/>
      <c r="I958" s="29"/>
      <c r="J958" s="29"/>
      <c r="K958" s="29"/>
      <c r="L958" s="29"/>
      <c r="M958" s="34"/>
      <c r="N958" s="34"/>
      <c r="O958" s="29"/>
      <c r="P958" s="29"/>
      <c r="Q958" s="29"/>
      <c r="R958" s="34"/>
      <c r="S958" s="29"/>
      <c r="T958" s="29"/>
      <c r="U958" s="2"/>
      <c r="V958" s="34"/>
      <c r="W958" s="34"/>
      <c r="X958" s="34"/>
      <c r="Y958" s="29"/>
      <c r="Z958" s="34"/>
      <c r="AA958" s="34"/>
      <c r="AB958" s="29"/>
      <c r="AC958" s="34"/>
      <c r="AD958" s="29"/>
      <c r="AE958" s="34"/>
      <c r="AF958" s="34"/>
    </row>
    <row x14ac:dyDescent="0.25" r="959" customHeight="1" ht="15.75">
      <c r="A959" s="502"/>
      <c r="B959" s="34"/>
      <c r="C959" s="34"/>
      <c r="D959" s="34"/>
      <c r="E959" s="34"/>
      <c r="F959" s="34"/>
      <c r="G959" s="34"/>
      <c r="H959" s="34"/>
      <c r="I959" s="29"/>
      <c r="J959" s="29"/>
      <c r="K959" s="29"/>
      <c r="L959" s="29"/>
      <c r="M959" s="34"/>
      <c r="N959" s="34"/>
      <c r="O959" s="29"/>
      <c r="P959" s="29"/>
      <c r="Q959" s="29"/>
      <c r="R959" s="34"/>
      <c r="S959" s="29"/>
      <c r="T959" s="29"/>
      <c r="U959" s="2"/>
      <c r="V959" s="34"/>
      <c r="W959" s="34"/>
      <c r="X959" s="34"/>
      <c r="Y959" s="29"/>
      <c r="Z959" s="34"/>
      <c r="AA959" s="34"/>
      <c r="AB959" s="29"/>
      <c r="AC959" s="34"/>
      <c r="AD959" s="29"/>
      <c r="AE959" s="34"/>
      <c r="AF959" s="34"/>
    </row>
    <row x14ac:dyDescent="0.25" r="960" customHeight="1" ht="15.75">
      <c r="A960" s="502"/>
      <c r="B960" s="34"/>
      <c r="C960" s="34"/>
      <c r="D960" s="34"/>
      <c r="E960" s="34"/>
      <c r="F960" s="34"/>
      <c r="G960" s="34"/>
      <c r="H960" s="34"/>
      <c r="I960" s="29"/>
      <c r="J960" s="29"/>
      <c r="K960" s="29"/>
      <c r="L960" s="29"/>
      <c r="M960" s="34"/>
      <c r="N960" s="34"/>
      <c r="O960" s="29"/>
      <c r="P960" s="29"/>
      <c r="Q960" s="29"/>
      <c r="R960" s="34"/>
      <c r="S960" s="29"/>
      <c r="T960" s="29"/>
      <c r="U960" s="2"/>
      <c r="V960" s="34"/>
      <c r="W960" s="34"/>
      <c r="X960" s="34"/>
      <c r="Y960" s="29"/>
      <c r="Z960" s="34"/>
      <c r="AA960" s="34"/>
      <c r="AB960" s="29"/>
      <c r="AC960" s="34"/>
      <c r="AD960" s="29"/>
      <c r="AE960" s="34"/>
      <c r="AF960" s="34"/>
    </row>
    <row x14ac:dyDescent="0.25" r="961" customHeight="1" ht="15.75">
      <c r="A961" s="502"/>
      <c r="B961" s="34"/>
      <c r="C961" s="34"/>
      <c r="D961" s="34"/>
      <c r="E961" s="34"/>
      <c r="F961" s="34"/>
      <c r="G961" s="34"/>
      <c r="H961" s="34"/>
      <c r="I961" s="29"/>
      <c r="J961" s="29"/>
      <c r="K961" s="29"/>
      <c r="L961" s="29"/>
      <c r="M961" s="34"/>
      <c r="N961" s="34"/>
      <c r="O961" s="29"/>
      <c r="P961" s="29"/>
      <c r="Q961" s="29"/>
      <c r="R961" s="34"/>
      <c r="S961" s="29"/>
      <c r="T961" s="29"/>
      <c r="U961" s="2"/>
      <c r="V961" s="34"/>
      <c r="W961" s="34"/>
      <c r="X961" s="34"/>
      <c r="Y961" s="29"/>
      <c r="Z961" s="34"/>
      <c r="AA961" s="34"/>
      <c r="AB961" s="29"/>
      <c r="AC961" s="34"/>
      <c r="AD961" s="29"/>
      <c r="AE961" s="34"/>
      <c r="AF961" s="34"/>
    </row>
    <row x14ac:dyDescent="0.25" r="962" customHeight="1" ht="15.75">
      <c r="A962" s="502"/>
      <c r="B962" s="34"/>
      <c r="C962" s="34"/>
      <c r="D962" s="34"/>
      <c r="E962" s="34"/>
      <c r="F962" s="34"/>
      <c r="G962" s="34"/>
      <c r="H962" s="34"/>
      <c r="I962" s="29"/>
      <c r="J962" s="29"/>
      <c r="K962" s="29"/>
      <c r="L962" s="29"/>
      <c r="M962" s="34"/>
      <c r="N962" s="34"/>
      <c r="O962" s="29"/>
      <c r="P962" s="29"/>
      <c r="Q962" s="29"/>
      <c r="R962" s="34"/>
      <c r="S962" s="29"/>
      <c r="T962" s="29"/>
      <c r="U962" s="2"/>
      <c r="V962" s="34"/>
      <c r="W962" s="34"/>
      <c r="X962" s="34"/>
      <c r="Y962" s="29"/>
      <c r="Z962" s="34"/>
      <c r="AA962" s="34"/>
      <c r="AB962" s="29"/>
      <c r="AC962" s="34"/>
      <c r="AD962" s="29"/>
      <c r="AE962" s="34"/>
      <c r="AF962" s="34"/>
    </row>
    <row x14ac:dyDescent="0.25" r="963" customHeight="1" ht="15.75">
      <c r="A963" s="502"/>
      <c r="B963" s="34"/>
      <c r="C963" s="34"/>
      <c r="D963" s="34"/>
      <c r="E963" s="34"/>
      <c r="F963" s="34"/>
      <c r="G963" s="34"/>
      <c r="H963" s="34"/>
      <c r="I963" s="29"/>
      <c r="J963" s="29"/>
      <c r="K963" s="29"/>
      <c r="L963" s="29"/>
      <c r="M963" s="34"/>
      <c r="N963" s="34"/>
      <c r="O963" s="29"/>
      <c r="P963" s="29"/>
      <c r="Q963" s="29"/>
      <c r="R963" s="34"/>
      <c r="S963" s="29"/>
      <c r="T963" s="29"/>
      <c r="U963" s="2"/>
      <c r="V963" s="34"/>
      <c r="W963" s="34"/>
      <c r="X963" s="34"/>
      <c r="Y963" s="29"/>
      <c r="Z963" s="34"/>
      <c r="AA963" s="34"/>
      <c r="AB963" s="29"/>
      <c r="AC963" s="34"/>
      <c r="AD963" s="29"/>
      <c r="AE963" s="34"/>
      <c r="AF963" s="34"/>
    </row>
    <row x14ac:dyDescent="0.25" r="964" customHeight="1" ht="15.75">
      <c r="A964" s="502"/>
      <c r="B964" s="34"/>
      <c r="C964" s="34"/>
      <c r="D964" s="34"/>
      <c r="E964" s="34"/>
      <c r="F964" s="34"/>
      <c r="G964" s="34"/>
      <c r="H964" s="34"/>
      <c r="I964" s="29"/>
      <c r="J964" s="29"/>
      <c r="K964" s="29"/>
      <c r="L964" s="29"/>
      <c r="M964" s="34"/>
      <c r="N964" s="34"/>
      <c r="O964" s="29"/>
      <c r="P964" s="29"/>
      <c r="Q964" s="29"/>
      <c r="R964" s="34"/>
      <c r="S964" s="29"/>
      <c r="T964" s="29"/>
      <c r="U964" s="2"/>
      <c r="V964" s="34"/>
      <c r="W964" s="34"/>
      <c r="X964" s="34"/>
      <c r="Y964" s="29"/>
      <c r="Z964" s="34"/>
      <c r="AA964" s="34"/>
      <c r="AB964" s="29"/>
      <c r="AC964" s="34"/>
      <c r="AD964" s="29"/>
      <c r="AE964" s="34"/>
      <c r="AF964" s="34"/>
    </row>
    <row x14ac:dyDescent="0.25" r="965" customHeight="1" ht="15.75">
      <c r="A965" s="502"/>
      <c r="B965" s="34"/>
      <c r="C965" s="34"/>
      <c r="D965" s="34"/>
      <c r="E965" s="34"/>
      <c r="F965" s="34"/>
      <c r="G965" s="34"/>
      <c r="H965" s="34"/>
      <c r="I965" s="29"/>
      <c r="J965" s="29"/>
      <c r="K965" s="29"/>
      <c r="L965" s="29"/>
      <c r="M965" s="34"/>
      <c r="N965" s="34"/>
      <c r="O965" s="29"/>
      <c r="P965" s="29"/>
      <c r="Q965" s="29"/>
      <c r="R965" s="34"/>
      <c r="S965" s="29"/>
      <c r="T965" s="29"/>
      <c r="U965" s="2"/>
      <c r="V965" s="34"/>
      <c r="W965" s="34"/>
      <c r="X965" s="34"/>
      <c r="Y965" s="29"/>
      <c r="Z965" s="34"/>
      <c r="AA965" s="34"/>
      <c r="AB965" s="29"/>
      <c r="AC965" s="34"/>
      <c r="AD965" s="29"/>
      <c r="AE965" s="34"/>
      <c r="AF965" s="34"/>
    </row>
    <row x14ac:dyDescent="0.25" r="966" customHeight="1" ht="15.75">
      <c r="A966" s="502"/>
      <c r="B966" s="34"/>
      <c r="C966" s="34"/>
      <c r="D966" s="34"/>
      <c r="E966" s="34"/>
      <c r="F966" s="34"/>
      <c r="G966" s="34"/>
      <c r="H966" s="34"/>
      <c r="I966" s="29"/>
      <c r="J966" s="29"/>
      <c r="K966" s="29"/>
      <c r="L966" s="29"/>
      <c r="M966" s="34"/>
      <c r="N966" s="34"/>
      <c r="O966" s="29"/>
      <c r="P966" s="29"/>
      <c r="Q966" s="29"/>
      <c r="R966" s="34"/>
      <c r="S966" s="29"/>
      <c r="T966" s="29"/>
      <c r="U966" s="2"/>
      <c r="V966" s="34"/>
      <c r="W966" s="34"/>
      <c r="X966" s="34"/>
      <c r="Y966" s="29"/>
      <c r="Z966" s="34"/>
      <c r="AA966" s="34"/>
      <c r="AB966" s="29"/>
      <c r="AC966" s="34"/>
      <c r="AD966" s="29"/>
      <c r="AE966" s="34"/>
      <c r="AF966" s="34"/>
    </row>
    <row x14ac:dyDescent="0.25" r="967" customHeight="1" ht="15.75">
      <c r="A967" s="502"/>
      <c r="B967" s="34"/>
      <c r="C967" s="34"/>
      <c r="D967" s="34"/>
      <c r="E967" s="34"/>
      <c r="F967" s="34"/>
      <c r="G967" s="34"/>
      <c r="H967" s="34"/>
      <c r="I967" s="29"/>
      <c r="J967" s="29"/>
      <c r="K967" s="29"/>
      <c r="L967" s="29"/>
      <c r="M967" s="34"/>
      <c r="N967" s="34"/>
      <c r="O967" s="29"/>
      <c r="P967" s="29"/>
      <c r="Q967" s="29"/>
      <c r="R967" s="34"/>
      <c r="S967" s="29"/>
      <c r="T967" s="29"/>
      <c r="U967" s="2"/>
      <c r="V967" s="34"/>
      <c r="W967" s="34"/>
      <c r="X967" s="34"/>
      <c r="Y967" s="29"/>
      <c r="Z967" s="34"/>
      <c r="AA967" s="34"/>
      <c r="AB967" s="29"/>
      <c r="AC967" s="34"/>
      <c r="AD967" s="29"/>
      <c r="AE967" s="34"/>
      <c r="AF967" s="34"/>
    </row>
    <row x14ac:dyDescent="0.25" r="968" customHeight="1" ht="15.75">
      <c r="A968" s="502"/>
      <c r="B968" s="34"/>
      <c r="C968" s="34"/>
      <c r="D968" s="34"/>
      <c r="E968" s="34"/>
      <c r="F968" s="34"/>
      <c r="G968" s="34"/>
      <c r="H968" s="34"/>
      <c r="I968" s="29"/>
      <c r="J968" s="29"/>
      <c r="K968" s="29"/>
      <c r="L968" s="29"/>
      <c r="M968" s="34"/>
      <c r="N968" s="34"/>
      <c r="O968" s="29"/>
      <c r="P968" s="29"/>
      <c r="Q968" s="29"/>
      <c r="R968" s="34"/>
      <c r="S968" s="29"/>
      <c r="T968" s="29"/>
      <c r="U968" s="2"/>
      <c r="V968" s="34"/>
      <c r="W968" s="34"/>
      <c r="X968" s="34"/>
      <c r="Y968" s="29"/>
      <c r="Z968" s="34"/>
      <c r="AA968" s="34"/>
      <c r="AB968" s="29"/>
      <c r="AC968" s="34"/>
      <c r="AD968" s="29"/>
      <c r="AE968" s="34"/>
      <c r="AF968" s="34"/>
    </row>
    <row x14ac:dyDescent="0.25" r="969" customHeight="1" ht="15.75">
      <c r="A969" s="502"/>
      <c r="B969" s="34"/>
      <c r="C969" s="34"/>
      <c r="D969" s="34"/>
      <c r="E969" s="34"/>
      <c r="F969" s="34"/>
      <c r="G969" s="34"/>
      <c r="H969" s="34"/>
      <c r="I969" s="29"/>
      <c r="J969" s="29"/>
      <c r="K969" s="29"/>
      <c r="L969" s="29"/>
      <c r="M969" s="34"/>
      <c r="N969" s="34"/>
      <c r="O969" s="29"/>
      <c r="P969" s="29"/>
      <c r="Q969" s="29"/>
      <c r="R969" s="34"/>
      <c r="S969" s="29"/>
      <c r="T969" s="29"/>
      <c r="U969" s="2"/>
      <c r="V969" s="34"/>
      <c r="W969" s="34"/>
      <c r="X969" s="34"/>
      <c r="Y969" s="29"/>
      <c r="Z969" s="34"/>
      <c r="AA969" s="34"/>
      <c r="AB969" s="29"/>
      <c r="AC969" s="34"/>
      <c r="AD969" s="29"/>
      <c r="AE969" s="34"/>
      <c r="AF969" s="34"/>
    </row>
    <row x14ac:dyDescent="0.25" r="970" customHeight="1" ht="15.75">
      <c r="A970" s="502"/>
      <c r="B970" s="34"/>
      <c r="C970" s="34"/>
      <c r="D970" s="34"/>
      <c r="E970" s="34"/>
      <c r="F970" s="34"/>
      <c r="G970" s="34"/>
      <c r="H970" s="34"/>
      <c r="I970" s="29"/>
      <c r="J970" s="29"/>
      <c r="K970" s="29"/>
      <c r="L970" s="29"/>
      <c r="M970" s="34"/>
      <c r="N970" s="34"/>
      <c r="O970" s="29"/>
      <c r="P970" s="29"/>
      <c r="Q970" s="29"/>
      <c r="R970" s="34"/>
      <c r="S970" s="29"/>
      <c r="T970" s="29"/>
      <c r="U970" s="2"/>
      <c r="V970" s="34"/>
      <c r="W970" s="34"/>
      <c r="X970" s="34"/>
      <c r="Y970" s="29"/>
      <c r="Z970" s="34"/>
      <c r="AA970" s="34"/>
      <c r="AB970" s="29"/>
      <c r="AC970" s="34"/>
      <c r="AD970" s="29"/>
      <c r="AE970" s="34"/>
      <c r="AF970" s="34"/>
    </row>
    <row x14ac:dyDescent="0.25" r="971" customHeight="1" ht="15.75">
      <c r="A971" s="502"/>
      <c r="B971" s="34"/>
      <c r="C971" s="34"/>
      <c r="D971" s="34"/>
      <c r="E971" s="34"/>
      <c r="F971" s="34"/>
      <c r="G971" s="34"/>
      <c r="H971" s="34"/>
      <c r="I971" s="29"/>
      <c r="J971" s="29"/>
      <c r="K971" s="29"/>
      <c r="L971" s="29"/>
      <c r="M971" s="34"/>
      <c r="N971" s="34"/>
      <c r="O971" s="29"/>
      <c r="P971" s="29"/>
      <c r="Q971" s="29"/>
      <c r="R971" s="34"/>
      <c r="S971" s="29"/>
      <c r="T971" s="29"/>
      <c r="U971" s="2"/>
      <c r="V971" s="34"/>
      <c r="W971" s="34"/>
      <c r="X971" s="34"/>
      <c r="Y971" s="29"/>
      <c r="Z971" s="34"/>
      <c r="AA971" s="34"/>
      <c r="AB971" s="29"/>
      <c r="AC971" s="34"/>
      <c r="AD971" s="29"/>
      <c r="AE971" s="34"/>
      <c r="AF971" s="34"/>
    </row>
    <row x14ac:dyDescent="0.25" r="972" customHeight="1" ht="15.75">
      <c r="A972" s="502"/>
      <c r="B972" s="34"/>
      <c r="C972" s="34"/>
      <c r="D972" s="34"/>
      <c r="E972" s="34"/>
      <c r="F972" s="34"/>
      <c r="G972" s="34"/>
      <c r="H972" s="34"/>
      <c r="I972" s="29"/>
      <c r="J972" s="29"/>
      <c r="K972" s="29"/>
      <c r="L972" s="29"/>
      <c r="M972" s="34"/>
      <c r="N972" s="34"/>
      <c r="O972" s="29"/>
      <c r="P972" s="29"/>
      <c r="Q972" s="29"/>
      <c r="R972" s="34"/>
      <c r="S972" s="29"/>
      <c r="T972" s="29"/>
      <c r="U972" s="2"/>
      <c r="V972" s="34"/>
      <c r="W972" s="34"/>
      <c r="X972" s="34"/>
      <c r="Y972" s="29"/>
      <c r="Z972" s="34"/>
      <c r="AA972" s="34"/>
      <c r="AB972" s="29"/>
      <c r="AC972" s="34"/>
      <c r="AD972" s="29"/>
      <c r="AE972" s="34"/>
      <c r="AF972" s="34"/>
    </row>
    <row x14ac:dyDescent="0.25" r="973" customHeight="1" ht="15.75">
      <c r="A973" s="502"/>
      <c r="B973" s="34"/>
      <c r="C973" s="34"/>
      <c r="D973" s="34"/>
      <c r="E973" s="34"/>
      <c r="F973" s="34"/>
      <c r="G973" s="34"/>
      <c r="H973" s="34"/>
      <c r="I973" s="29"/>
      <c r="J973" s="29"/>
      <c r="K973" s="29"/>
      <c r="L973" s="29"/>
      <c r="M973" s="34"/>
      <c r="N973" s="34"/>
      <c r="O973" s="29"/>
      <c r="P973" s="29"/>
      <c r="Q973" s="29"/>
      <c r="R973" s="34"/>
      <c r="S973" s="29"/>
      <c r="T973" s="29"/>
      <c r="U973" s="2"/>
      <c r="V973" s="34"/>
      <c r="W973" s="34"/>
      <c r="X973" s="34"/>
      <c r="Y973" s="29"/>
      <c r="Z973" s="34"/>
      <c r="AA973" s="34"/>
      <c r="AB973" s="29"/>
      <c r="AC973" s="34"/>
      <c r="AD973" s="29"/>
      <c r="AE973" s="34"/>
      <c r="AF973" s="34"/>
    </row>
  </sheetData>
  <mergeCells count="10">
    <mergeCell ref="P71:P76"/>
    <mergeCell ref="Q71:Q76"/>
    <mergeCell ref="R71:R76"/>
    <mergeCell ref="S71:S76"/>
    <mergeCell ref="T71:T76"/>
    <mergeCell ref="U71:U76"/>
    <mergeCell ref="V71:V76"/>
    <mergeCell ref="W71:W76"/>
    <mergeCell ref="A104:H104"/>
    <mergeCell ref="C202:G20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102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21" width="12.005" customWidth="1" bestFit="1"/>
    <col min="2" max="2" style="36" width="5.433571428571429" customWidth="1" bestFit="1"/>
    <col min="3" max="3" style="36" width="15.862142857142858" customWidth="1" bestFit="1"/>
    <col min="4" max="4" style="36" width="14.290714285714287" customWidth="1" bestFit="1"/>
    <col min="5" max="5" style="36" width="10.43357142857143" customWidth="1" bestFit="1"/>
    <col min="6" max="6" style="36" width="13.576428571428572" customWidth="1" bestFit="1"/>
    <col min="7" max="7" style="36" width="37.86214285714286" customWidth="1" bestFit="1"/>
    <col min="8" max="8" style="36" width="5.2907142857142855" customWidth="1" bestFit="1"/>
    <col min="9" max="9" style="37" width="22.14785714285714" customWidth="1" bestFit="1"/>
    <col min="10" max="10" style="37" width="12.005" customWidth="1" bestFit="1"/>
    <col min="11" max="11" style="37" width="11.147857142857141" customWidth="1" bestFit="1"/>
    <col min="12" max="12" style="37" width="10.147857142857141" customWidth="1" bestFit="1"/>
    <col min="13" max="13" style="67" width="11.43357142857143" customWidth="1" bestFit="1"/>
    <col min="14" max="14" style="67" width="21.14785714285714" customWidth="1" bestFit="1"/>
    <col min="15" max="15" style="37" width="5.862142857142857" customWidth="1" bestFit="1"/>
    <col min="16" max="16" style="37" width="12.576428571428572" customWidth="1" bestFit="1"/>
    <col min="17" max="17" style="37" width="12.576428571428572" customWidth="1" bestFit="1"/>
    <col min="18" max="18" style="37" width="12.576428571428572" customWidth="1" bestFit="1"/>
    <col min="19" max="19" style="37" width="13.719285714285713" customWidth="1" bestFit="1"/>
    <col min="20" max="20" style="67" width="11.719285714285713" customWidth="1" bestFit="1"/>
    <col min="21" max="21" style="21" width="11.719285714285713" customWidth="1" bestFit="1"/>
    <col min="22" max="22" style="67" width="11.719285714285713" customWidth="1" bestFit="1"/>
    <col min="23" max="23" style="477" width="14.005" customWidth="1" bestFit="1"/>
    <col min="24" max="24" style="37" width="11.43357142857143" customWidth="1" bestFit="1"/>
    <col min="25" max="25" style="37" width="11.43357142857143" customWidth="1" bestFit="1"/>
    <col min="26" max="26" style="37" width="11.43357142857143" customWidth="1" bestFit="1"/>
    <col min="27" max="27" style="37" width="11.43357142857143" customWidth="1" bestFit="1"/>
    <col min="28" max="28" style="37" width="14.290714285714287" customWidth="1" bestFit="1"/>
    <col min="29" max="29" style="37" width="16.433571428571426" customWidth="1" bestFit="1"/>
    <col min="30" max="30" style="37" width="16.433571428571426" customWidth="1" bestFit="1"/>
    <col min="31" max="31" style="37" width="16.433571428571426" customWidth="1" bestFit="1"/>
    <col min="32" max="32" style="37" width="16.433571428571426" customWidth="1" bestFit="1"/>
    <col min="33" max="33" style="36" width="16.433571428571426" customWidth="1" bestFit="1"/>
    <col min="34" max="34" style="36" width="16.433571428571426" customWidth="1" bestFit="1"/>
  </cols>
  <sheetData>
    <row x14ac:dyDescent="0.25" r="1" customHeight="1" ht="19.5">
      <c r="A1" s="152" t="s">
        <v>1</v>
      </c>
      <c r="B1" s="26" t="s">
        <v>3</v>
      </c>
      <c r="C1" s="26" t="s">
        <v>4</v>
      </c>
      <c r="D1" s="26" t="s">
        <v>1200</v>
      </c>
      <c r="E1" s="26" t="s">
        <v>5</v>
      </c>
      <c r="F1" s="26" t="s">
        <v>6</v>
      </c>
      <c r="G1" s="26" t="s">
        <v>7</v>
      </c>
      <c r="H1" s="26" t="s">
        <v>8</v>
      </c>
      <c r="I1" s="27" t="s">
        <v>9</v>
      </c>
      <c r="J1" s="27" t="s">
        <v>10</v>
      </c>
      <c r="K1" s="200" t="s">
        <v>11</v>
      </c>
      <c r="L1" s="27" t="s">
        <v>12</v>
      </c>
      <c r="M1" s="26" t="s">
        <v>13</v>
      </c>
      <c r="N1" s="26" t="s">
        <v>14</v>
      </c>
      <c r="O1" s="27" t="s">
        <v>15</v>
      </c>
      <c r="P1" s="27" t="s">
        <v>16</v>
      </c>
      <c r="Q1" s="27" t="s">
        <v>17</v>
      </c>
      <c r="R1" s="27" t="s">
        <v>1661</v>
      </c>
      <c r="S1" s="27" t="s">
        <v>1662</v>
      </c>
      <c r="T1" s="26" t="s">
        <v>1663</v>
      </c>
      <c r="U1" s="152" t="s">
        <v>4389</v>
      </c>
      <c r="V1" s="26" t="s">
        <v>4390</v>
      </c>
      <c r="W1" s="315" t="s">
        <v>19</v>
      </c>
      <c r="X1" s="316" t="s">
        <v>4391</v>
      </c>
      <c r="Y1" s="107" t="s">
        <v>4392</v>
      </c>
      <c r="Z1" s="317" t="s">
        <v>50</v>
      </c>
      <c r="AA1" s="107" t="s">
        <v>518</v>
      </c>
      <c r="AB1" s="107" t="s">
        <v>4393</v>
      </c>
      <c r="AC1" s="316" t="s">
        <v>4394</v>
      </c>
      <c r="AD1" s="316"/>
      <c r="AE1" s="316"/>
      <c r="AF1" s="316"/>
      <c r="AG1" s="292"/>
      <c r="AH1" s="292"/>
    </row>
    <row x14ac:dyDescent="0.25" r="2" customHeight="1" ht="19.5">
      <c r="A2" s="318">
        <v>45748</v>
      </c>
      <c r="B2" s="319" t="s">
        <v>82</v>
      </c>
      <c r="C2" s="319" t="s">
        <v>472</v>
      </c>
      <c r="D2" s="319" t="s">
        <v>4395</v>
      </c>
      <c r="E2" s="319" t="s">
        <v>4396</v>
      </c>
      <c r="F2" s="319" t="s">
        <v>84</v>
      </c>
      <c r="G2" s="319" t="s">
        <v>4397</v>
      </c>
      <c r="H2" s="319" t="s">
        <v>26</v>
      </c>
      <c r="I2" s="320">
        <v>21070</v>
      </c>
      <c r="J2" s="320">
        <v>76980</v>
      </c>
      <c r="K2" s="17">
        <v>66870</v>
      </c>
      <c r="L2" s="320">
        <f>J2-K2</f>
      </c>
      <c r="M2" s="319" t="s">
        <v>86</v>
      </c>
      <c r="N2" s="319" t="s">
        <v>4398</v>
      </c>
      <c r="O2" s="321"/>
      <c r="P2" s="321"/>
      <c r="Q2" s="321"/>
      <c r="R2" s="321"/>
      <c r="S2" s="320">
        <v>76980</v>
      </c>
      <c r="T2" s="320">
        <f>J2-P2-S2</f>
      </c>
      <c r="U2" s="322">
        <v>45779</v>
      </c>
      <c r="V2" s="319" t="s">
        <v>2122</v>
      </c>
      <c r="W2" s="321"/>
      <c r="X2" s="29">
        <v>0</v>
      </c>
      <c r="Y2" s="29"/>
      <c r="Z2" s="29"/>
      <c r="AA2" s="29"/>
      <c r="AB2" s="29"/>
      <c r="AC2" s="29">
        <v>228803</v>
      </c>
      <c r="AD2" s="29"/>
      <c r="AE2" s="29"/>
      <c r="AF2" s="29"/>
      <c r="AG2" s="29"/>
      <c r="AH2" s="29"/>
    </row>
    <row x14ac:dyDescent="0.25" r="3" customHeight="1" ht="19.5">
      <c r="A3" s="318">
        <v>45748</v>
      </c>
      <c r="B3" s="319" t="s">
        <v>82</v>
      </c>
      <c r="C3" s="319" t="s">
        <v>83</v>
      </c>
      <c r="D3" s="319" t="s">
        <v>4399</v>
      </c>
      <c r="E3" s="319" t="s">
        <v>4400</v>
      </c>
      <c r="F3" s="319" t="s">
        <v>84</v>
      </c>
      <c r="G3" s="319" t="s">
        <v>4401</v>
      </c>
      <c r="H3" s="319" t="s">
        <v>26</v>
      </c>
      <c r="I3" s="321"/>
      <c r="J3" s="320">
        <v>138970</v>
      </c>
      <c r="K3" s="17">
        <v>83670</v>
      </c>
      <c r="L3" s="320">
        <f>J3-K3</f>
      </c>
      <c r="M3" s="319" t="s">
        <v>82</v>
      </c>
      <c r="N3" s="319" t="s">
        <v>4402</v>
      </c>
      <c r="O3" s="321" t="s">
        <v>251</v>
      </c>
      <c r="P3" s="321"/>
      <c r="Q3" s="321"/>
      <c r="R3" s="321"/>
      <c r="S3" s="320">
        <v>138970</v>
      </c>
      <c r="T3" s="320">
        <f>J3-P3-S3</f>
      </c>
      <c r="U3" s="322">
        <v>45768</v>
      </c>
      <c r="V3" s="319" t="s">
        <v>2122</v>
      </c>
      <c r="W3" s="321"/>
      <c r="X3" s="29">
        <v>0</v>
      </c>
      <c r="Y3" s="29"/>
      <c r="Z3" s="29">
        <v>1771550</v>
      </c>
      <c r="AA3" s="29"/>
      <c r="AB3" s="29"/>
      <c r="AC3" s="29"/>
      <c r="AD3" s="29"/>
      <c r="AE3" s="29"/>
      <c r="AF3" s="29"/>
      <c r="AG3" s="34"/>
      <c r="AH3" s="34"/>
    </row>
    <row x14ac:dyDescent="0.25" r="4" customHeight="1" ht="19.5">
      <c r="A4" s="323">
        <v>45748</v>
      </c>
      <c r="B4" s="324" t="s">
        <v>897</v>
      </c>
      <c r="C4" s="324" t="s">
        <v>4403</v>
      </c>
      <c r="D4" s="324" t="s">
        <v>4404</v>
      </c>
      <c r="E4" s="324" t="s">
        <v>4405</v>
      </c>
      <c r="F4" s="324" t="s">
        <v>84</v>
      </c>
      <c r="G4" s="324" t="s">
        <v>4401</v>
      </c>
      <c r="H4" s="324" t="s">
        <v>26</v>
      </c>
      <c r="I4" s="281">
        <v>120300</v>
      </c>
      <c r="J4" s="281">
        <v>320980</v>
      </c>
      <c r="K4" s="69">
        <v>254955</v>
      </c>
      <c r="L4" s="281">
        <f>J4-K4</f>
      </c>
      <c r="M4" s="324" t="s">
        <v>50</v>
      </c>
      <c r="N4" s="324" t="s">
        <v>4406</v>
      </c>
      <c r="O4" s="281">
        <v>1</v>
      </c>
      <c r="P4" s="325"/>
      <c r="Q4" s="325"/>
      <c r="R4" s="325"/>
      <c r="S4" s="281">
        <v>320980</v>
      </c>
      <c r="T4" s="320">
        <f>J4-P4-S4</f>
      </c>
      <c r="U4" s="322">
        <v>45768</v>
      </c>
      <c r="V4" s="319" t="s">
        <v>2122</v>
      </c>
      <c r="W4" s="325"/>
      <c r="X4" s="29">
        <f>K4</f>
      </c>
      <c r="Y4" s="29">
        <v>6000000</v>
      </c>
      <c r="Z4" s="29">
        <f>Z3+Y4-X4</f>
      </c>
      <c r="AA4" s="29"/>
      <c r="AB4" s="29">
        <v>7771550</v>
      </c>
      <c r="AC4" s="29">
        <v>0</v>
      </c>
      <c r="AD4" s="29"/>
      <c r="AE4" s="29"/>
      <c r="AF4" s="29"/>
      <c r="AG4" s="29"/>
      <c r="AH4" s="29"/>
    </row>
    <row x14ac:dyDescent="0.25" r="5" customHeight="1" ht="19.5">
      <c r="A5" s="323">
        <v>45749</v>
      </c>
      <c r="B5" s="324" t="s">
        <v>46</v>
      </c>
      <c r="C5" s="324" t="s">
        <v>54</v>
      </c>
      <c r="D5" s="324" t="s">
        <v>4407</v>
      </c>
      <c r="E5" s="324" t="s">
        <v>4408</v>
      </c>
      <c r="F5" s="324" t="s">
        <v>84</v>
      </c>
      <c r="G5" s="324" t="s">
        <v>4409</v>
      </c>
      <c r="H5" s="324" t="s">
        <v>26</v>
      </c>
      <c r="I5" s="281">
        <v>2302100</v>
      </c>
      <c r="J5" s="281">
        <v>2698980</v>
      </c>
      <c r="K5" s="69">
        <v>2647920</v>
      </c>
      <c r="L5" s="281">
        <f>J5-K5</f>
      </c>
      <c r="M5" s="324" t="s">
        <v>50</v>
      </c>
      <c r="N5" s="324" t="s">
        <v>4410</v>
      </c>
      <c r="O5" s="281">
        <v>2</v>
      </c>
      <c r="P5" s="325"/>
      <c r="Q5" s="325"/>
      <c r="R5" s="325"/>
      <c r="S5" s="281">
        <v>2698900</v>
      </c>
      <c r="T5" s="320">
        <f>J5-P5-S5</f>
      </c>
      <c r="U5" s="322">
        <v>45779</v>
      </c>
      <c r="V5" s="319" t="s">
        <v>2122</v>
      </c>
      <c r="W5" s="325"/>
      <c r="X5" s="29">
        <f>K5</f>
      </c>
      <c r="Y5" s="29"/>
      <c r="Z5" s="29">
        <f>Z4-X5</f>
      </c>
      <c r="AA5" s="29"/>
      <c r="AB5" s="326">
        <v>4607930</v>
      </c>
      <c r="AC5" s="29"/>
      <c r="AD5" s="29"/>
      <c r="AE5" s="29"/>
      <c r="AF5" s="29"/>
      <c r="AG5" s="34"/>
      <c r="AH5" s="34"/>
    </row>
    <row x14ac:dyDescent="0.25" r="6" customHeight="1" ht="19.5">
      <c r="A6" s="318">
        <v>45749</v>
      </c>
      <c r="B6" s="319" t="s">
        <v>53</v>
      </c>
      <c r="C6" s="319" t="s">
        <v>4411</v>
      </c>
      <c r="D6" s="319" t="s">
        <v>4412</v>
      </c>
      <c r="E6" s="319" t="s">
        <v>4413</v>
      </c>
      <c r="F6" s="319" t="s">
        <v>4414</v>
      </c>
      <c r="G6" s="319" t="s">
        <v>4415</v>
      </c>
      <c r="H6" s="319" t="s">
        <v>26</v>
      </c>
      <c r="I6" s="320">
        <v>347700</v>
      </c>
      <c r="J6" s="320">
        <v>575700</v>
      </c>
      <c r="K6" s="17">
        <v>515700</v>
      </c>
      <c r="L6" s="320">
        <f>J6-K6</f>
      </c>
      <c r="M6" s="319" t="s">
        <v>137</v>
      </c>
      <c r="N6" s="319" t="s">
        <v>4416</v>
      </c>
      <c r="O6" s="321"/>
      <c r="P6" s="320">
        <v>575700</v>
      </c>
      <c r="Q6" s="321"/>
      <c r="R6" s="321"/>
      <c r="S6" s="321"/>
      <c r="T6" s="320">
        <f>J6-P6-S6</f>
      </c>
      <c r="U6" s="322"/>
      <c r="V6" s="319"/>
      <c r="W6" s="321"/>
      <c r="X6" s="29">
        <f>K6</f>
      </c>
      <c r="Y6" s="29"/>
      <c r="Z6" s="29">
        <f>Z5-X6</f>
      </c>
      <c r="AA6" s="29"/>
      <c r="AB6" s="327">
        <v>4607930</v>
      </c>
      <c r="AC6" s="29"/>
      <c r="AD6" s="29"/>
      <c r="AE6" s="29"/>
      <c r="AF6" s="29"/>
      <c r="AG6" s="34"/>
      <c r="AH6" s="34"/>
    </row>
    <row x14ac:dyDescent="0.25" r="7" customHeight="1" ht="19.5">
      <c r="A7" s="318">
        <v>45749</v>
      </c>
      <c r="B7" s="319" t="s">
        <v>53</v>
      </c>
      <c r="C7" s="319" t="s">
        <v>4417</v>
      </c>
      <c r="D7" s="319" t="s">
        <v>4116</v>
      </c>
      <c r="E7" s="328" t="s">
        <v>4418</v>
      </c>
      <c r="F7" s="319" t="s">
        <v>4414</v>
      </c>
      <c r="G7" s="319" t="s">
        <v>4419</v>
      </c>
      <c r="H7" s="319" t="s">
        <v>26</v>
      </c>
      <c r="I7" s="321"/>
      <c r="J7" s="29">
        <v>179100</v>
      </c>
      <c r="K7" s="17">
        <v>129100</v>
      </c>
      <c r="L7" s="320">
        <f>J7-K7</f>
      </c>
      <c r="M7" s="319" t="s">
        <v>53</v>
      </c>
      <c r="N7" s="319" t="s">
        <v>4420</v>
      </c>
      <c r="O7" s="321" t="s">
        <v>251</v>
      </c>
      <c r="P7" s="321"/>
      <c r="Q7" s="321"/>
      <c r="R7" s="321"/>
      <c r="S7" s="321"/>
      <c r="T7" s="320">
        <f>J7-P7-S7</f>
      </c>
      <c r="U7" s="322"/>
      <c r="V7" s="319"/>
      <c r="W7" s="321"/>
      <c r="X7" s="29">
        <v>0</v>
      </c>
      <c r="Y7" s="29"/>
      <c r="Z7" s="29">
        <f>Z6-X7</f>
      </c>
      <c r="AA7" s="29"/>
      <c r="AB7" s="29"/>
      <c r="AC7" s="29"/>
      <c r="AD7" s="29"/>
      <c r="AE7" s="29"/>
      <c r="AF7" s="29"/>
      <c r="AG7" s="34"/>
      <c r="AH7" s="34"/>
    </row>
    <row x14ac:dyDescent="0.25" r="8" customHeight="1" ht="19.5">
      <c r="A8" s="318">
        <v>45750</v>
      </c>
      <c r="B8" s="319" t="s">
        <v>46</v>
      </c>
      <c r="C8" s="319" t="s">
        <v>4421</v>
      </c>
      <c r="D8" s="319" t="s">
        <v>4422</v>
      </c>
      <c r="E8" s="319" t="s">
        <v>4423</v>
      </c>
      <c r="F8" s="319" t="s">
        <v>4424</v>
      </c>
      <c r="G8" s="319" t="s">
        <v>4425</v>
      </c>
      <c r="H8" s="319" t="s">
        <v>26</v>
      </c>
      <c r="I8" s="321"/>
      <c r="J8" s="29">
        <v>1798800</v>
      </c>
      <c r="K8" s="17">
        <v>1741120</v>
      </c>
      <c r="L8" s="320">
        <f>J8-K8</f>
      </c>
      <c r="M8" s="319" t="s">
        <v>50</v>
      </c>
      <c r="N8" s="319" t="s">
        <v>4426</v>
      </c>
      <c r="O8" s="320">
        <v>6</v>
      </c>
      <c r="P8" s="321"/>
      <c r="Q8" s="321"/>
      <c r="R8" s="321"/>
      <c r="S8" s="320">
        <v>1798800</v>
      </c>
      <c r="T8" s="320">
        <f>J8-P8-S8</f>
      </c>
      <c r="U8" s="322">
        <v>45756</v>
      </c>
      <c r="V8" s="319" t="s">
        <v>2122</v>
      </c>
      <c r="W8" s="321"/>
      <c r="X8" s="29">
        <f>K8</f>
      </c>
      <c r="Y8" s="29"/>
      <c r="Z8" s="29">
        <f>Z7-X8</f>
      </c>
      <c r="AA8" s="29"/>
      <c r="AB8" s="29"/>
      <c r="AC8" s="29"/>
      <c r="AD8" s="29"/>
      <c r="AE8" s="29"/>
      <c r="AF8" s="29"/>
      <c r="AG8" s="34"/>
      <c r="AH8" s="34"/>
    </row>
    <row x14ac:dyDescent="0.25" r="9" customHeight="1" ht="19.5">
      <c r="A9" s="318">
        <v>45750</v>
      </c>
      <c r="B9" s="319" t="s">
        <v>683</v>
      </c>
      <c r="C9" s="319" t="s">
        <v>4427</v>
      </c>
      <c r="D9" s="319" t="s">
        <v>4428</v>
      </c>
      <c r="E9" s="319" t="s">
        <v>4429</v>
      </c>
      <c r="F9" s="319" t="s">
        <v>4430</v>
      </c>
      <c r="G9" s="319" t="s">
        <v>4431</v>
      </c>
      <c r="H9" s="319" t="s">
        <v>4432</v>
      </c>
      <c r="I9" s="321"/>
      <c r="J9" s="320">
        <v>282000</v>
      </c>
      <c r="K9" s="17">
        <v>262920</v>
      </c>
      <c r="L9" s="320">
        <f>J9-K9</f>
      </c>
      <c r="M9" s="319" t="s">
        <v>50</v>
      </c>
      <c r="N9" s="319" t="s">
        <v>4433</v>
      </c>
      <c r="O9" s="320">
        <v>2</v>
      </c>
      <c r="P9" s="321"/>
      <c r="Q9" s="321"/>
      <c r="R9" s="321"/>
      <c r="S9" s="320">
        <v>282000</v>
      </c>
      <c r="T9" s="320">
        <f>J9-P9-S9</f>
      </c>
      <c r="U9" s="322">
        <v>45750</v>
      </c>
      <c r="V9" s="319" t="s">
        <v>1718</v>
      </c>
      <c r="W9" s="321"/>
      <c r="X9" s="29">
        <f>K9</f>
      </c>
      <c r="Y9" s="29"/>
      <c r="Z9" s="29">
        <f>Z8-X9</f>
      </c>
      <c r="AA9" s="29"/>
      <c r="AB9" s="29">
        <v>570050</v>
      </c>
      <c r="AC9" s="29"/>
      <c r="AD9" s="29"/>
      <c r="AE9" s="29"/>
      <c r="AF9" s="29"/>
      <c r="AG9" s="34"/>
      <c r="AH9" s="34"/>
    </row>
    <row x14ac:dyDescent="0.25" r="10" customHeight="1" ht="19.5">
      <c r="A10" s="318">
        <v>45750</v>
      </c>
      <c r="B10" s="319" t="s">
        <v>82</v>
      </c>
      <c r="C10" s="319" t="s">
        <v>624</v>
      </c>
      <c r="D10" s="319" t="s">
        <v>4434</v>
      </c>
      <c r="E10" s="319" t="s">
        <v>4435</v>
      </c>
      <c r="F10" s="319" t="s">
        <v>548</v>
      </c>
      <c r="G10" s="319" t="s">
        <v>4436</v>
      </c>
      <c r="H10" s="319" t="s">
        <v>26</v>
      </c>
      <c r="I10" s="321"/>
      <c r="J10" s="320">
        <v>116700</v>
      </c>
      <c r="K10" s="17">
        <v>86670</v>
      </c>
      <c r="L10" s="320">
        <f>J10-K10</f>
      </c>
      <c r="M10" s="319" t="s">
        <v>82</v>
      </c>
      <c r="N10" s="319" t="s">
        <v>4437</v>
      </c>
      <c r="O10" s="321"/>
      <c r="P10" s="321"/>
      <c r="Q10" s="321"/>
      <c r="R10" s="321"/>
      <c r="S10" s="329">
        <v>347402</v>
      </c>
      <c r="T10" s="329">
        <f>J10+J11+J12-P10-S10</f>
      </c>
      <c r="U10" s="330">
        <v>45779</v>
      </c>
      <c r="V10" s="331" t="s">
        <v>2122</v>
      </c>
      <c r="W10" s="321"/>
      <c r="X10" s="29">
        <v>0</v>
      </c>
      <c r="Y10" s="29"/>
      <c r="Z10" s="29">
        <f>Z9-X10</f>
      </c>
      <c r="AA10" s="29"/>
      <c r="AB10" s="29"/>
      <c r="AC10" s="29"/>
      <c r="AD10" s="29"/>
      <c r="AE10" s="29"/>
      <c r="AF10" s="29"/>
      <c r="AG10" s="34"/>
      <c r="AH10" s="34"/>
    </row>
    <row x14ac:dyDescent="0.25" r="11" customHeight="1" ht="19.5">
      <c r="A11" s="318">
        <v>45750</v>
      </c>
      <c r="B11" s="319" t="s">
        <v>82</v>
      </c>
      <c r="C11" s="319" t="s">
        <v>624</v>
      </c>
      <c r="D11" s="319" t="s">
        <v>4434</v>
      </c>
      <c r="E11" s="319" t="s">
        <v>4435</v>
      </c>
      <c r="F11" s="319" t="s">
        <v>548</v>
      </c>
      <c r="G11" s="319" t="s">
        <v>4438</v>
      </c>
      <c r="H11" s="319" t="s">
        <v>26</v>
      </c>
      <c r="I11" s="321"/>
      <c r="J11" s="320">
        <v>116700</v>
      </c>
      <c r="K11" s="17">
        <v>86670</v>
      </c>
      <c r="L11" s="320">
        <f>J11-K11</f>
      </c>
      <c r="M11" s="319" t="s">
        <v>82</v>
      </c>
      <c r="N11" s="319" t="s">
        <v>4439</v>
      </c>
      <c r="O11" s="321"/>
      <c r="P11" s="321"/>
      <c r="Q11" s="321"/>
      <c r="R11" s="321"/>
      <c r="S11" s="332"/>
      <c r="T11" s="332"/>
      <c r="U11" s="333"/>
      <c r="V11" s="334"/>
      <c r="W11" s="321"/>
      <c r="X11" s="29">
        <v>0</v>
      </c>
      <c r="Y11" s="29"/>
      <c r="Z11" s="29">
        <f>Z10-X11</f>
      </c>
      <c r="AA11" s="29"/>
      <c r="AB11" s="29"/>
      <c r="AC11" s="29"/>
      <c r="AD11" s="29"/>
      <c r="AE11" s="29"/>
      <c r="AF11" s="29"/>
      <c r="AG11" s="34"/>
      <c r="AH11" s="34"/>
    </row>
    <row x14ac:dyDescent="0.25" r="12" customHeight="1" ht="19.5">
      <c r="A12" s="318">
        <v>45750</v>
      </c>
      <c r="B12" s="319" t="s">
        <v>82</v>
      </c>
      <c r="C12" s="319" t="s">
        <v>624</v>
      </c>
      <c r="D12" s="319" t="s">
        <v>4434</v>
      </c>
      <c r="E12" s="319" t="s">
        <v>4435</v>
      </c>
      <c r="F12" s="319" t="s">
        <v>548</v>
      </c>
      <c r="G12" s="319" t="s">
        <v>4440</v>
      </c>
      <c r="H12" s="319" t="s">
        <v>26</v>
      </c>
      <c r="I12" s="321"/>
      <c r="J12" s="320">
        <v>116700</v>
      </c>
      <c r="K12" s="17">
        <v>91670</v>
      </c>
      <c r="L12" s="320">
        <f>J12-K12</f>
      </c>
      <c r="M12" s="319" t="s">
        <v>82</v>
      </c>
      <c r="N12" s="319" t="s">
        <v>4441</v>
      </c>
      <c r="O12" s="321"/>
      <c r="P12" s="321"/>
      <c r="Q12" s="321"/>
      <c r="R12" s="321"/>
      <c r="S12" s="335"/>
      <c r="T12" s="335"/>
      <c r="U12" s="336"/>
      <c r="V12" s="337"/>
      <c r="W12" s="321"/>
      <c r="X12" s="29">
        <v>0</v>
      </c>
      <c r="Y12" s="29"/>
      <c r="Z12" s="29">
        <f>Z11-X12</f>
      </c>
      <c r="AA12" s="29"/>
      <c r="AB12" s="29"/>
      <c r="AC12" s="29"/>
      <c r="AD12" s="29"/>
      <c r="AE12" s="29"/>
      <c r="AF12" s="29"/>
      <c r="AG12" s="34"/>
      <c r="AH12" s="34"/>
    </row>
    <row x14ac:dyDescent="0.25" r="13" customHeight="1" ht="19.5">
      <c r="A13" s="318">
        <v>45751</v>
      </c>
      <c r="B13" s="319" t="s">
        <v>111</v>
      </c>
      <c r="C13" s="319" t="s">
        <v>1267</v>
      </c>
      <c r="D13" s="319" t="s">
        <v>4442</v>
      </c>
      <c r="E13" s="319" t="s">
        <v>4443</v>
      </c>
      <c r="F13" s="319" t="s">
        <v>2720</v>
      </c>
      <c r="G13" s="319" t="s">
        <v>4444</v>
      </c>
      <c r="H13" s="319" t="s">
        <v>26</v>
      </c>
      <c r="I13" s="320">
        <v>153900</v>
      </c>
      <c r="J13" s="320">
        <v>458920</v>
      </c>
      <c r="K13" s="17">
        <v>406120</v>
      </c>
      <c r="L13" s="320">
        <f>J13-K13</f>
      </c>
      <c r="M13" s="319" t="s">
        <v>50</v>
      </c>
      <c r="N13" s="319" t="s">
        <v>4445</v>
      </c>
      <c r="O13" s="320">
        <v>2</v>
      </c>
      <c r="P13" s="321"/>
      <c r="Q13" s="321"/>
      <c r="R13" s="321"/>
      <c r="S13" s="320">
        <v>458920</v>
      </c>
      <c r="T13" s="320">
        <f>J13-P13-S13</f>
      </c>
      <c r="U13" s="322">
        <v>45777</v>
      </c>
      <c r="V13" s="319" t="s">
        <v>4446</v>
      </c>
      <c r="W13" s="338">
        <v>45797</v>
      </c>
      <c r="X13" s="29">
        <f>K13</f>
      </c>
      <c r="Y13" s="29"/>
      <c r="Z13" s="29">
        <f>Z12-X13</f>
      </c>
      <c r="AA13" s="29"/>
      <c r="AB13" s="29"/>
      <c r="AC13" s="29"/>
      <c r="AD13" s="29"/>
      <c r="AE13" s="29"/>
      <c r="AF13" s="29"/>
      <c r="AG13" s="34"/>
      <c r="AH13" s="34"/>
    </row>
    <row x14ac:dyDescent="0.25" r="14" customHeight="1" ht="19.5">
      <c r="A14" s="318">
        <v>45751</v>
      </c>
      <c r="B14" s="319" t="s">
        <v>683</v>
      </c>
      <c r="C14" s="319" t="s">
        <v>4447</v>
      </c>
      <c r="D14" s="319" t="s">
        <v>4448</v>
      </c>
      <c r="E14" s="319" t="s">
        <v>4449</v>
      </c>
      <c r="F14" s="319" t="s">
        <v>4450</v>
      </c>
      <c r="G14" s="319" t="s">
        <v>4451</v>
      </c>
      <c r="H14" s="319" t="s">
        <v>127</v>
      </c>
      <c r="I14" s="321"/>
      <c r="J14" s="320">
        <v>1762720</v>
      </c>
      <c r="K14" s="17">
        <v>1627720</v>
      </c>
      <c r="L14" s="320">
        <f>J14-K14</f>
      </c>
      <c r="M14" s="319" t="s">
        <v>187</v>
      </c>
      <c r="N14" s="319" t="s">
        <v>4452</v>
      </c>
      <c r="O14" s="321"/>
      <c r="P14" s="321"/>
      <c r="Q14" s="339"/>
      <c r="R14" s="339"/>
      <c r="S14" s="329">
        <v>2075000</v>
      </c>
      <c r="T14" s="329">
        <f>J14+J15-S14</f>
      </c>
      <c r="U14" s="340">
        <v>45751</v>
      </c>
      <c r="V14" s="341" t="s">
        <v>1718</v>
      </c>
      <c r="W14" s="321"/>
      <c r="X14" s="29">
        <f>K14</f>
      </c>
      <c r="Y14" s="29"/>
      <c r="Z14" s="29">
        <f>Z13-X14</f>
      </c>
      <c r="AA14" s="29"/>
      <c r="AB14" s="29"/>
      <c r="AC14" s="29"/>
      <c r="AD14" s="29"/>
      <c r="AE14" s="29"/>
      <c r="AF14" s="29"/>
      <c r="AG14" s="34"/>
      <c r="AH14" s="34"/>
    </row>
    <row x14ac:dyDescent="0.25" r="15" customHeight="1" ht="19.5">
      <c r="A15" s="318">
        <v>45751</v>
      </c>
      <c r="B15" s="319" t="s">
        <v>2829</v>
      </c>
      <c r="C15" s="319" t="s">
        <v>4453</v>
      </c>
      <c r="D15" s="319" t="s">
        <v>4454</v>
      </c>
      <c r="E15" s="319" t="s">
        <v>4449</v>
      </c>
      <c r="F15" s="319" t="s">
        <v>4450</v>
      </c>
      <c r="G15" s="319" t="s">
        <v>4451</v>
      </c>
      <c r="H15" s="319" t="s">
        <v>127</v>
      </c>
      <c r="I15" s="321"/>
      <c r="J15" s="320">
        <v>312180</v>
      </c>
      <c r="K15" s="17">
        <v>296700</v>
      </c>
      <c r="L15" s="320">
        <f>J15-K15</f>
      </c>
      <c r="M15" s="319" t="s">
        <v>36</v>
      </c>
      <c r="N15" s="319" t="s">
        <v>4455</v>
      </c>
      <c r="O15" s="321"/>
      <c r="P15" s="321"/>
      <c r="Q15" s="342"/>
      <c r="R15" s="342"/>
      <c r="S15" s="335"/>
      <c r="T15" s="335"/>
      <c r="U15" s="343"/>
      <c r="V15" s="344"/>
      <c r="W15" s="321"/>
      <c r="X15" s="29">
        <v>0</v>
      </c>
      <c r="Y15" s="29"/>
      <c r="Z15" s="29">
        <f>Z14-X15</f>
      </c>
      <c r="AA15" s="345">
        <v>254995</v>
      </c>
      <c r="AB15" s="29">
        <v>570050</v>
      </c>
      <c r="AC15" s="29"/>
      <c r="AD15" s="29"/>
      <c r="AE15" s="29"/>
      <c r="AF15" s="29"/>
      <c r="AG15" s="34"/>
      <c r="AH15" s="34"/>
    </row>
    <row x14ac:dyDescent="0.25" r="16" customHeight="1" ht="19.5">
      <c r="A16" s="318">
        <v>45751</v>
      </c>
      <c r="B16" s="319" t="s">
        <v>111</v>
      </c>
      <c r="C16" s="319" t="s">
        <v>4456</v>
      </c>
      <c r="D16" s="319" t="s">
        <v>4457</v>
      </c>
      <c r="E16" s="319" t="s">
        <v>4458</v>
      </c>
      <c r="F16" s="319" t="s">
        <v>194</v>
      </c>
      <c r="G16" s="319" t="s">
        <v>4459</v>
      </c>
      <c r="H16" s="319" t="s">
        <v>26</v>
      </c>
      <c r="I16" s="321"/>
      <c r="J16" s="320">
        <v>213000</v>
      </c>
      <c r="K16" s="17">
        <v>204000</v>
      </c>
      <c r="L16" s="320">
        <f>J16-K16</f>
      </c>
      <c r="M16" s="319" t="s">
        <v>50</v>
      </c>
      <c r="N16" s="319" t="s">
        <v>4460</v>
      </c>
      <c r="O16" s="321" t="s">
        <v>251</v>
      </c>
      <c r="P16" s="321"/>
      <c r="Q16" s="321"/>
      <c r="R16" s="321"/>
      <c r="S16" s="320">
        <v>213000</v>
      </c>
      <c r="T16" s="320">
        <f>J16-P16-S16</f>
      </c>
      <c r="U16" s="322">
        <v>45779</v>
      </c>
      <c r="V16" s="319" t="s">
        <v>2122</v>
      </c>
      <c r="W16" s="321"/>
      <c r="X16" s="29">
        <v>204000</v>
      </c>
      <c r="Y16" s="29"/>
      <c r="Z16" s="29">
        <f>Z15-X16</f>
      </c>
      <c r="AA16" s="345">
        <f>AB16-Z16</f>
      </c>
      <c r="AB16" s="326">
        <v>366050</v>
      </c>
      <c r="AC16" s="29"/>
      <c r="AD16" s="29"/>
      <c r="AE16" s="29"/>
      <c r="AF16" s="29"/>
      <c r="AG16" s="34"/>
      <c r="AH16" s="34"/>
    </row>
    <row x14ac:dyDescent="0.25" r="17" customHeight="1" ht="19.5">
      <c r="A17" s="318">
        <v>45755</v>
      </c>
      <c r="B17" s="319" t="s">
        <v>4461</v>
      </c>
      <c r="C17" s="319" t="s">
        <v>4462</v>
      </c>
      <c r="D17" s="319" t="s">
        <v>4463</v>
      </c>
      <c r="E17" s="319" t="s">
        <v>4464</v>
      </c>
      <c r="F17" s="319" t="s">
        <v>4465</v>
      </c>
      <c r="G17" s="14" t="s">
        <v>4466</v>
      </c>
      <c r="H17" s="319" t="s">
        <v>26</v>
      </c>
      <c r="I17" s="65"/>
      <c r="J17" s="17">
        <v>5785800</v>
      </c>
      <c r="K17" s="17">
        <v>5492800</v>
      </c>
      <c r="L17" s="320">
        <f>J17-K17</f>
      </c>
      <c r="M17" s="319" t="s">
        <v>3045</v>
      </c>
      <c r="N17" s="319" t="s">
        <v>4467</v>
      </c>
      <c r="O17" s="321"/>
      <c r="P17" s="321"/>
      <c r="Q17" s="321"/>
      <c r="R17" s="321"/>
      <c r="S17" s="321"/>
      <c r="T17" s="320">
        <f>J17-P17-S17</f>
      </c>
      <c r="U17" s="322"/>
      <c r="V17" s="319"/>
      <c r="W17" s="321"/>
      <c r="X17" s="107"/>
      <c r="Y17" s="107"/>
      <c r="Z17" s="29"/>
      <c r="AA17" s="107"/>
      <c r="AB17" s="107"/>
      <c r="AC17" s="29"/>
      <c r="AD17" s="29"/>
      <c r="AE17" s="29"/>
      <c r="AF17" s="29"/>
      <c r="AG17" s="34"/>
      <c r="AH17" s="34"/>
    </row>
    <row x14ac:dyDescent="0.25" r="18" customHeight="1" ht="19.5">
      <c r="A18" s="318">
        <v>45755</v>
      </c>
      <c r="B18" s="319" t="s">
        <v>46</v>
      </c>
      <c r="C18" s="319" t="s">
        <v>4468</v>
      </c>
      <c r="D18" s="319" t="s">
        <v>4469</v>
      </c>
      <c r="E18" s="319" t="s">
        <v>4470</v>
      </c>
      <c r="F18" s="319" t="s">
        <v>4465</v>
      </c>
      <c r="G18" s="14" t="s">
        <v>369</v>
      </c>
      <c r="H18" s="319" t="s">
        <v>26</v>
      </c>
      <c r="I18" s="65"/>
      <c r="J18" s="17">
        <v>11040800</v>
      </c>
      <c r="K18" s="17">
        <v>10939200</v>
      </c>
      <c r="L18" s="320">
        <f>J18-K18</f>
      </c>
      <c r="M18" s="319" t="s">
        <v>3045</v>
      </c>
      <c r="N18" s="319" t="s">
        <v>4471</v>
      </c>
      <c r="O18" s="321"/>
      <c r="P18" s="321"/>
      <c r="Q18" s="321"/>
      <c r="R18" s="321"/>
      <c r="S18" s="321"/>
      <c r="T18" s="320">
        <f>J18-P18-S18</f>
      </c>
      <c r="U18" s="322"/>
      <c r="V18" s="319"/>
      <c r="W18" s="321"/>
      <c r="X18" s="107"/>
      <c r="Y18" s="107"/>
      <c r="Z18" s="29"/>
      <c r="AA18" s="107"/>
      <c r="AB18" s="107"/>
      <c r="AC18" s="29"/>
      <c r="AD18" s="29"/>
      <c r="AE18" s="29"/>
      <c r="AF18" s="29"/>
      <c r="AG18" s="34"/>
      <c r="AH18" s="34"/>
    </row>
    <row x14ac:dyDescent="0.25" r="19" customHeight="1" ht="19.5">
      <c r="A19" s="346">
        <v>45755</v>
      </c>
      <c r="B19" s="328" t="s">
        <v>72</v>
      </c>
      <c r="C19" s="328" t="s">
        <v>703</v>
      </c>
      <c r="D19" s="328" t="s">
        <v>4472</v>
      </c>
      <c r="E19" s="328" t="s">
        <v>4473</v>
      </c>
      <c r="F19" s="328" t="s">
        <v>4465</v>
      </c>
      <c r="G19" s="56" t="s">
        <v>4466</v>
      </c>
      <c r="H19" s="328" t="s">
        <v>26</v>
      </c>
      <c r="I19" s="180" t="s">
        <v>4474</v>
      </c>
      <c r="J19" s="57">
        <v>159473</v>
      </c>
      <c r="K19" s="57">
        <v>49473</v>
      </c>
      <c r="L19" s="347">
        <f>J19-K19</f>
      </c>
      <c r="M19" s="328" t="s">
        <v>3045</v>
      </c>
      <c r="N19" s="328" t="s">
        <v>4475</v>
      </c>
      <c r="O19" s="348" t="s">
        <v>343</v>
      </c>
      <c r="P19" s="321"/>
      <c r="Q19" s="321"/>
      <c r="R19" s="321"/>
      <c r="S19" s="321"/>
      <c r="T19" s="320">
        <f>J19-P19-S19</f>
      </c>
      <c r="U19" s="322"/>
      <c r="V19" s="319"/>
      <c r="W19" s="321"/>
      <c r="X19" s="107"/>
      <c r="Y19" s="107"/>
      <c r="Z19" s="29"/>
      <c r="AA19" s="107"/>
      <c r="AB19" s="107"/>
      <c r="AC19" s="29"/>
      <c r="AD19" s="29"/>
      <c r="AE19" s="29"/>
      <c r="AF19" s="29"/>
      <c r="AG19" s="34"/>
      <c r="AH19" s="34"/>
    </row>
    <row x14ac:dyDescent="0.25" r="20" customHeight="1" ht="19.5">
      <c r="A20" s="346">
        <v>45755</v>
      </c>
      <c r="B20" s="328" t="s">
        <v>66</v>
      </c>
      <c r="C20" s="328" t="s">
        <v>4476</v>
      </c>
      <c r="D20" s="328" t="s">
        <v>4477</v>
      </c>
      <c r="E20" s="328" t="s">
        <v>4473</v>
      </c>
      <c r="F20" s="328" t="s">
        <v>4465</v>
      </c>
      <c r="G20" s="56" t="s">
        <v>4466</v>
      </c>
      <c r="H20" s="328" t="s">
        <v>26</v>
      </c>
      <c r="I20" s="180" t="s">
        <v>4478</v>
      </c>
      <c r="J20" s="57">
        <v>169472</v>
      </c>
      <c r="K20" s="57">
        <v>50000</v>
      </c>
      <c r="L20" s="347">
        <f>J20-K20</f>
      </c>
      <c r="M20" s="328" t="s">
        <v>3045</v>
      </c>
      <c r="N20" s="328" t="s">
        <v>4479</v>
      </c>
      <c r="O20" s="348" t="s">
        <v>343</v>
      </c>
      <c r="P20" s="321"/>
      <c r="Q20" s="321"/>
      <c r="R20" s="321"/>
      <c r="S20" s="321"/>
      <c r="T20" s="320">
        <f>J20-P20-S20</f>
      </c>
      <c r="U20" s="322"/>
      <c r="V20" s="319"/>
      <c r="W20" s="321"/>
      <c r="X20" s="107"/>
      <c r="Y20" s="107"/>
      <c r="Z20" s="29"/>
      <c r="AA20" s="107"/>
      <c r="AB20" s="107"/>
      <c r="AC20" s="29"/>
      <c r="AD20" s="29"/>
      <c r="AE20" s="29"/>
      <c r="AF20" s="29"/>
      <c r="AG20" s="34"/>
      <c r="AH20" s="34"/>
    </row>
    <row x14ac:dyDescent="0.25" r="21" customHeight="1" ht="19.5">
      <c r="A21" s="318">
        <v>45755</v>
      </c>
      <c r="B21" s="319" t="s">
        <v>46</v>
      </c>
      <c r="C21" s="319" t="s">
        <v>4480</v>
      </c>
      <c r="D21" s="319" t="s">
        <v>4481</v>
      </c>
      <c r="E21" s="319" t="s">
        <v>4482</v>
      </c>
      <c r="F21" s="319" t="s">
        <v>4465</v>
      </c>
      <c r="G21" s="14" t="s">
        <v>4466</v>
      </c>
      <c r="H21" s="319" t="s">
        <v>26</v>
      </c>
      <c r="I21" s="65"/>
      <c r="J21" s="17">
        <v>2857500</v>
      </c>
      <c r="K21" s="17">
        <v>2734100</v>
      </c>
      <c r="L21" s="320">
        <f>J21-K21</f>
      </c>
      <c r="M21" s="319" t="s">
        <v>3045</v>
      </c>
      <c r="N21" s="319" t="s">
        <v>4483</v>
      </c>
      <c r="O21" s="321"/>
      <c r="P21" s="321"/>
      <c r="Q21" s="321"/>
      <c r="R21" s="321"/>
      <c r="S21" s="321"/>
      <c r="T21" s="320">
        <f>J21-P21-S21</f>
      </c>
      <c r="U21" s="322"/>
      <c r="V21" s="319"/>
      <c r="W21" s="321"/>
      <c r="X21" s="107"/>
      <c r="Y21" s="107"/>
      <c r="Z21" s="29"/>
      <c r="AA21" s="107"/>
      <c r="AB21" s="107"/>
      <c r="AC21" s="29"/>
      <c r="AD21" s="29"/>
      <c r="AE21" s="29"/>
      <c r="AF21" s="29"/>
      <c r="AG21" s="34"/>
      <c r="AH21" s="34"/>
    </row>
    <row x14ac:dyDescent="0.25" r="22" customHeight="1" ht="19.5">
      <c r="A22" s="346">
        <v>45755</v>
      </c>
      <c r="B22" s="328" t="s">
        <v>46</v>
      </c>
      <c r="C22" s="328" t="s">
        <v>4484</v>
      </c>
      <c r="D22" s="328" t="s">
        <v>4485</v>
      </c>
      <c r="E22" s="328" t="s">
        <v>4486</v>
      </c>
      <c r="F22" s="328" t="s">
        <v>4465</v>
      </c>
      <c r="G22" s="56" t="s">
        <v>341</v>
      </c>
      <c r="H22" s="328" t="s">
        <v>26</v>
      </c>
      <c r="I22" s="180" t="s">
        <v>4487</v>
      </c>
      <c r="J22" s="57">
        <v>335800</v>
      </c>
      <c r="K22" s="57">
        <v>0</v>
      </c>
      <c r="L22" s="347">
        <f>J22-K22</f>
      </c>
      <c r="M22" s="328" t="s">
        <v>3045</v>
      </c>
      <c r="N22" s="328" t="s">
        <v>4488</v>
      </c>
      <c r="O22" s="348" t="s">
        <v>343</v>
      </c>
      <c r="P22" s="321"/>
      <c r="Q22" s="321"/>
      <c r="R22" s="321"/>
      <c r="S22" s="321"/>
      <c r="T22" s="320">
        <f>J22-P22-S22</f>
      </c>
      <c r="U22" s="322"/>
      <c r="V22" s="319"/>
      <c r="W22" s="321"/>
      <c r="X22" s="107"/>
      <c r="Y22" s="107"/>
      <c r="Z22" s="29"/>
      <c r="AA22" s="107"/>
      <c r="AB22" s="107"/>
      <c r="AC22" s="29"/>
      <c r="AD22" s="29"/>
      <c r="AE22" s="29"/>
      <c r="AF22" s="29"/>
      <c r="AG22" s="34"/>
      <c r="AH22" s="34"/>
    </row>
    <row x14ac:dyDescent="0.25" r="23" customHeight="1" ht="19.5">
      <c r="A23" s="318">
        <v>45755</v>
      </c>
      <c r="B23" s="319" t="s">
        <v>4461</v>
      </c>
      <c r="C23" s="319" t="s">
        <v>4462</v>
      </c>
      <c r="D23" s="319" t="s">
        <v>4463</v>
      </c>
      <c r="E23" s="319" t="s">
        <v>4489</v>
      </c>
      <c r="F23" s="319" t="s">
        <v>4465</v>
      </c>
      <c r="G23" s="14" t="s">
        <v>341</v>
      </c>
      <c r="H23" s="319" t="s">
        <v>26</v>
      </c>
      <c r="I23" s="65"/>
      <c r="J23" s="17">
        <v>5785800</v>
      </c>
      <c r="K23" s="17">
        <v>5492800</v>
      </c>
      <c r="L23" s="320">
        <f>J23-K23</f>
      </c>
      <c r="M23" s="319" t="s">
        <v>3045</v>
      </c>
      <c r="N23" s="319" t="s">
        <v>4490</v>
      </c>
      <c r="O23" s="321"/>
      <c r="P23" s="321"/>
      <c r="Q23" s="321"/>
      <c r="R23" s="321"/>
      <c r="S23" s="321"/>
      <c r="T23" s="320">
        <f>J23-P23-S23</f>
      </c>
      <c r="U23" s="322"/>
      <c r="V23" s="319"/>
      <c r="W23" s="321"/>
      <c r="X23" s="107"/>
      <c r="Y23" s="107"/>
      <c r="Z23" s="29"/>
      <c r="AA23" s="107"/>
      <c r="AB23" s="107"/>
      <c r="AC23" s="29"/>
      <c r="AD23" s="29"/>
      <c r="AE23" s="29"/>
      <c r="AF23" s="29"/>
      <c r="AG23" s="34"/>
      <c r="AH23" s="34"/>
    </row>
    <row x14ac:dyDescent="0.25" r="24" customHeight="1" ht="19.5">
      <c r="A24" s="318">
        <v>45755</v>
      </c>
      <c r="B24" s="319" t="s">
        <v>46</v>
      </c>
      <c r="C24" s="319" t="s">
        <v>4491</v>
      </c>
      <c r="D24" s="319" t="s">
        <v>4485</v>
      </c>
      <c r="E24" s="319" t="s">
        <v>4492</v>
      </c>
      <c r="F24" s="319" t="s">
        <v>4465</v>
      </c>
      <c r="G24" s="14" t="s">
        <v>4466</v>
      </c>
      <c r="H24" s="319" t="s">
        <v>26</v>
      </c>
      <c r="I24" s="65"/>
      <c r="J24" s="17">
        <v>3277500</v>
      </c>
      <c r="K24" s="17">
        <v>3187500</v>
      </c>
      <c r="L24" s="320">
        <f>J24-K24</f>
      </c>
      <c r="M24" s="319" t="s">
        <v>3045</v>
      </c>
      <c r="N24" s="319" t="s">
        <v>4493</v>
      </c>
      <c r="O24" s="321"/>
      <c r="P24" s="321"/>
      <c r="Q24" s="321"/>
      <c r="R24" s="321"/>
      <c r="S24" s="321"/>
      <c r="T24" s="320">
        <f>J24-P24-S24</f>
      </c>
      <c r="U24" s="322"/>
      <c r="V24" s="319"/>
      <c r="W24" s="321"/>
      <c r="X24" s="107"/>
      <c r="Y24" s="29">
        <v>10000000</v>
      </c>
      <c r="Z24" s="29">
        <v>10366050</v>
      </c>
      <c r="AA24" s="107"/>
      <c r="AB24" s="29">
        <v>10366050</v>
      </c>
      <c r="AC24" s="29"/>
      <c r="AD24" s="29"/>
      <c r="AE24" s="29"/>
      <c r="AF24" s="29"/>
      <c r="AG24" s="34"/>
      <c r="AH24" s="34"/>
    </row>
    <row x14ac:dyDescent="0.25" r="25" customHeight="1" ht="30">
      <c r="A25" s="318">
        <v>45755</v>
      </c>
      <c r="B25" s="319" t="s">
        <v>72</v>
      </c>
      <c r="C25" s="319" t="s">
        <v>752</v>
      </c>
      <c r="D25" s="319" t="s">
        <v>4494</v>
      </c>
      <c r="E25" s="319" t="s">
        <v>4495</v>
      </c>
      <c r="F25" s="319" t="s">
        <v>4496</v>
      </c>
      <c r="G25" s="14" t="s">
        <v>4497</v>
      </c>
      <c r="H25" s="319" t="s">
        <v>4432</v>
      </c>
      <c r="I25" s="17">
        <v>457600</v>
      </c>
      <c r="J25" s="17">
        <v>894900</v>
      </c>
      <c r="K25" s="17">
        <v>839420</v>
      </c>
      <c r="L25" s="320">
        <f>J25-K25</f>
      </c>
      <c r="M25" s="319" t="s">
        <v>72</v>
      </c>
      <c r="N25" s="319" t="s">
        <v>4498</v>
      </c>
      <c r="O25" s="321"/>
      <c r="P25" s="320">
        <v>200000</v>
      </c>
      <c r="Q25" s="320"/>
      <c r="R25" s="320"/>
      <c r="S25" s="320">
        <v>694900</v>
      </c>
      <c r="T25" s="320">
        <f>J25-P25-S25</f>
      </c>
      <c r="U25" s="349" t="s">
        <v>4499</v>
      </c>
      <c r="V25" s="350" t="s">
        <v>1718</v>
      </c>
      <c r="W25" s="321"/>
      <c r="X25" s="29">
        <v>0</v>
      </c>
      <c r="Y25" s="107"/>
      <c r="Z25" s="29"/>
      <c r="AA25" s="107"/>
      <c r="AB25" s="29">
        <v>10366050</v>
      </c>
      <c r="AC25" s="29"/>
      <c r="AD25" s="29"/>
      <c r="AE25" s="29"/>
      <c r="AF25" s="29"/>
      <c r="AG25" s="34"/>
      <c r="AH25" s="34"/>
    </row>
    <row x14ac:dyDescent="0.25" r="26" customHeight="1" ht="19.5">
      <c r="A26" s="318">
        <v>45755</v>
      </c>
      <c r="B26" s="319" t="s">
        <v>106</v>
      </c>
      <c r="C26" s="319" t="s">
        <v>130</v>
      </c>
      <c r="D26" s="319" t="s">
        <v>4500</v>
      </c>
      <c r="E26" s="319" t="s">
        <v>4501</v>
      </c>
      <c r="F26" s="319" t="s">
        <v>4502</v>
      </c>
      <c r="G26" s="14" t="s">
        <v>4503</v>
      </c>
      <c r="H26" s="319" t="s">
        <v>26</v>
      </c>
      <c r="I26" s="17">
        <v>351000</v>
      </c>
      <c r="J26" s="17">
        <v>823980</v>
      </c>
      <c r="K26" s="17">
        <v>786020</v>
      </c>
      <c r="L26" s="320">
        <f>J26-K26</f>
      </c>
      <c r="M26" s="319" t="s">
        <v>50</v>
      </c>
      <c r="N26" s="319" t="s">
        <v>4504</v>
      </c>
      <c r="O26" s="320">
        <v>4</v>
      </c>
      <c r="P26" s="339"/>
      <c r="Q26" s="339"/>
      <c r="R26" s="339"/>
      <c r="S26" s="351">
        <v>823920</v>
      </c>
      <c r="T26" s="352">
        <f>J26-P26-S26</f>
      </c>
      <c r="U26" s="322">
        <v>45754</v>
      </c>
      <c r="V26" s="319" t="s">
        <v>2122</v>
      </c>
      <c r="W26" s="353"/>
      <c r="X26" s="29">
        <f>K26</f>
      </c>
      <c r="Y26" s="107"/>
      <c r="Z26" s="29"/>
      <c r="AA26" s="107"/>
      <c r="AB26" s="29">
        <f>AB25-X26</f>
      </c>
      <c r="AC26" s="29"/>
      <c r="AD26" s="29"/>
      <c r="AE26" s="29"/>
      <c r="AF26" s="29"/>
      <c r="AG26" s="34"/>
      <c r="AH26" s="34"/>
    </row>
    <row x14ac:dyDescent="0.25" r="27" customHeight="1" ht="19.5">
      <c r="A27" s="318">
        <v>45755</v>
      </c>
      <c r="B27" s="319" t="s">
        <v>123</v>
      </c>
      <c r="C27" s="319" t="s">
        <v>4505</v>
      </c>
      <c r="D27" s="319" t="s">
        <v>4506</v>
      </c>
      <c r="E27" s="319" t="s">
        <v>4507</v>
      </c>
      <c r="F27" s="319" t="s">
        <v>4508</v>
      </c>
      <c r="G27" s="14" t="s">
        <v>4509</v>
      </c>
      <c r="H27" s="319" t="s">
        <v>26</v>
      </c>
      <c r="I27" s="17">
        <v>277400</v>
      </c>
      <c r="J27" s="17">
        <v>555920</v>
      </c>
      <c r="K27" s="17">
        <v>494120</v>
      </c>
      <c r="L27" s="320">
        <f>J27-K27</f>
      </c>
      <c r="M27" s="319" t="s">
        <v>50</v>
      </c>
      <c r="N27" s="319" t="s">
        <v>4510</v>
      </c>
      <c r="O27" s="354">
        <v>2</v>
      </c>
      <c r="P27" s="320">
        <v>551000</v>
      </c>
      <c r="Q27" s="320"/>
      <c r="R27" s="320"/>
      <c r="S27" s="355"/>
      <c r="T27" s="320">
        <f>J27-P27-S27</f>
      </c>
      <c r="U27" s="356">
        <v>45755</v>
      </c>
      <c r="V27" s="357" t="s">
        <v>1718</v>
      </c>
      <c r="W27" s="321"/>
      <c r="X27" s="29">
        <f>K27</f>
      </c>
      <c r="Y27" s="107"/>
      <c r="Z27" s="29"/>
      <c r="AA27" s="107"/>
      <c r="AB27" s="107">
        <f>#REF!-X27</f>
      </c>
      <c r="AC27" s="29"/>
      <c r="AD27" s="29"/>
      <c r="AE27" s="29"/>
      <c r="AF27" s="29"/>
      <c r="AG27" s="34"/>
      <c r="AH27" s="34"/>
    </row>
    <row x14ac:dyDescent="0.25" r="28" customHeight="1" ht="19.5">
      <c r="A28" s="318">
        <v>45755</v>
      </c>
      <c r="B28" s="319" t="s">
        <v>46</v>
      </c>
      <c r="C28" s="319" t="s">
        <v>54</v>
      </c>
      <c r="D28" s="319" t="s">
        <v>4511</v>
      </c>
      <c r="E28" s="319" t="s">
        <v>4512</v>
      </c>
      <c r="F28" s="319" t="s">
        <v>4513</v>
      </c>
      <c r="G28" s="14" t="s">
        <v>4514</v>
      </c>
      <c r="H28" s="319" t="s">
        <v>26</v>
      </c>
      <c r="I28" s="17">
        <v>353200</v>
      </c>
      <c r="J28" s="17">
        <v>709800</v>
      </c>
      <c r="K28" s="17">
        <v>668420</v>
      </c>
      <c r="L28" s="320">
        <f>J28-K28</f>
      </c>
      <c r="M28" s="319" t="s">
        <v>50</v>
      </c>
      <c r="N28" s="319" t="s">
        <v>4515</v>
      </c>
      <c r="O28" s="320">
        <v>2</v>
      </c>
      <c r="P28" s="329">
        <v>755000</v>
      </c>
      <c r="Q28" s="332"/>
      <c r="R28" s="332"/>
      <c r="S28" s="358">
        <v>200000</v>
      </c>
      <c r="T28" s="329">
        <f>J28+J29-P28-S28</f>
      </c>
      <c r="U28" s="322">
        <v>45757</v>
      </c>
      <c r="V28" s="359" t="s">
        <v>4516</v>
      </c>
      <c r="W28" s="321"/>
      <c r="X28" s="29">
        <f>K28</f>
      </c>
      <c r="Y28" s="107"/>
      <c r="Z28" s="29"/>
      <c r="AA28" s="107"/>
      <c r="AB28" s="107">
        <f>AB27-X28</f>
      </c>
      <c r="AC28" s="29"/>
      <c r="AD28" s="29"/>
      <c r="AE28" s="29"/>
      <c r="AF28" s="29"/>
      <c r="AG28" s="34"/>
      <c r="AH28" s="34"/>
    </row>
    <row x14ac:dyDescent="0.25" r="29" customHeight="1" ht="19.5">
      <c r="A29" s="318">
        <v>45756</v>
      </c>
      <c r="B29" s="319" t="s">
        <v>46</v>
      </c>
      <c r="C29" s="319" t="s">
        <v>54</v>
      </c>
      <c r="D29" s="319" t="s">
        <v>4517</v>
      </c>
      <c r="E29" s="319" t="s">
        <v>4518</v>
      </c>
      <c r="F29" s="319" t="s">
        <v>4513</v>
      </c>
      <c r="G29" s="14" t="s">
        <v>4514</v>
      </c>
      <c r="H29" s="319" t="s">
        <v>26</v>
      </c>
      <c r="I29" s="17">
        <v>0</v>
      </c>
      <c r="J29" s="17">
        <v>249800</v>
      </c>
      <c r="K29" s="17">
        <v>199100</v>
      </c>
      <c r="L29" s="320">
        <f>J29-K29</f>
      </c>
      <c r="M29" s="319" t="s">
        <v>50</v>
      </c>
      <c r="N29" s="319" t="s">
        <v>4519</v>
      </c>
      <c r="O29" s="321" t="s">
        <v>251</v>
      </c>
      <c r="P29" s="335"/>
      <c r="Q29" s="335"/>
      <c r="R29" s="335"/>
      <c r="S29" s="360"/>
      <c r="T29" s="335"/>
      <c r="U29" s="322">
        <v>45758</v>
      </c>
      <c r="V29" s="361"/>
      <c r="W29" s="321"/>
      <c r="X29" s="29">
        <f>K29</f>
      </c>
      <c r="Y29" s="29"/>
      <c r="Z29" s="29">
        <v>5191540</v>
      </c>
      <c r="AA29" s="29"/>
      <c r="AB29" s="107">
        <f>AB27-X29</f>
      </c>
      <c r="AC29" s="107" t="s">
        <v>4520</v>
      </c>
      <c r="AD29" s="107"/>
      <c r="AE29" s="107"/>
      <c r="AF29" s="107"/>
      <c r="AG29" s="3"/>
      <c r="AH29" s="3"/>
    </row>
    <row x14ac:dyDescent="0.25" r="30" customHeight="1" ht="19.5">
      <c r="A30" s="318">
        <v>45756</v>
      </c>
      <c r="B30" s="319" t="s">
        <v>46</v>
      </c>
      <c r="C30" s="319" t="s">
        <v>54</v>
      </c>
      <c r="D30" s="319" t="s">
        <v>4521</v>
      </c>
      <c r="E30" s="319" t="s">
        <v>4522</v>
      </c>
      <c r="F30" s="319" t="s">
        <v>4523</v>
      </c>
      <c r="G30" s="14" t="s">
        <v>4524</v>
      </c>
      <c r="H30" s="319" t="s">
        <v>76</v>
      </c>
      <c r="I30" s="17">
        <v>519600</v>
      </c>
      <c r="J30" s="17">
        <v>862800</v>
      </c>
      <c r="K30" s="17">
        <v>827820</v>
      </c>
      <c r="L30" s="320">
        <f>J30-K30</f>
      </c>
      <c r="M30" s="319" t="s">
        <v>50</v>
      </c>
      <c r="N30" s="319" t="s">
        <v>4525</v>
      </c>
      <c r="O30" s="320">
        <v>2</v>
      </c>
      <c r="P30" s="320"/>
      <c r="Q30" s="320"/>
      <c r="R30" s="320"/>
      <c r="S30" s="355">
        <v>862800</v>
      </c>
      <c r="T30" s="320">
        <f>J30-P30-S30</f>
      </c>
      <c r="U30" s="322">
        <v>45756</v>
      </c>
      <c r="V30" s="319" t="s">
        <v>1718</v>
      </c>
      <c r="W30" s="321"/>
      <c r="X30" s="29">
        <f>K30</f>
      </c>
      <c r="Y30" s="107"/>
      <c r="Z30" s="29"/>
      <c r="AA30" s="107"/>
      <c r="AB30" s="107">
        <f>AB27-X30</f>
      </c>
      <c r="AC30" s="29"/>
      <c r="AD30" s="29"/>
      <c r="AE30" s="29"/>
      <c r="AF30" s="29"/>
      <c r="AG30" s="34"/>
      <c r="AH30" s="34"/>
    </row>
    <row x14ac:dyDescent="0.25" r="31" customHeight="1" ht="19.5">
      <c r="A31" s="318">
        <v>45756</v>
      </c>
      <c r="B31" s="319" t="s">
        <v>46</v>
      </c>
      <c r="C31" s="319" t="s">
        <v>375</v>
      </c>
      <c r="D31" s="319" t="s">
        <v>4526</v>
      </c>
      <c r="E31" s="319" t="s">
        <v>4527</v>
      </c>
      <c r="F31" s="319" t="s">
        <v>4414</v>
      </c>
      <c r="G31" s="14" t="s">
        <v>4528</v>
      </c>
      <c r="H31" s="319" t="s">
        <v>26</v>
      </c>
      <c r="I31" s="17">
        <v>353200</v>
      </c>
      <c r="J31" s="17">
        <v>725820</v>
      </c>
      <c r="K31" s="17">
        <v>661420</v>
      </c>
      <c r="L31" s="320">
        <f>J31-K31</f>
      </c>
      <c r="M31" s="319" t="s">
        <v>50</v>
      </c>
      <c r="N31" s="319" t="s">
        <v>4529</v>
      </c>
      <c r="O31" s="320">
        <v>2</v>
      </c>
      <c r="P31" s="320"/>
      <c r="Q31" s="320"/>
      <c r="R31" s="320"/>
      <c r="S31" s="355"/>
      <c r="T31" s="335">
        <f>J31-P31-Q31-R31-S31</f>
      </c>
      <c r="U31" s="322"/>
      <c r="V31" s="319"/>
      <c r="W31" s="321"/>
      <c r="X31" s="29">
        <f>K31</f>
      </c>
      <c r="Y31" s="107"/>
      <c r="Z31" s="29"/>
      <c r="AA31" s="107"/>
      <c r="AB31" s="107">
        <f>AB30-X31</f>
      </c>
      <c r="AC31" s="29"/>
      <c r="AD31" s="29"/>
      <c r="AE31" s="29"/>
      <c r="AF31" s="29"/>
      <c r="AG31" s="34"/>
      <c r="AH31" s="34"/>
    </row>
    <row x14ac:dyDescent="0.25" r="32" customHeight="1" ht="19.5">
      <c r="A32" s="318">
        <v>45756</v>
      </c>
      <c r="B32" s="319" t="s">
        <v>72</v>
      </c>
      <c r="C32" s="319" t="s">
        <v>752</v>
      </c>
      <c r="D32" s="319" t="s">
        <v>4530</v>
      </c>
      <c r="E32" s="319" t="s">
        <v>4531</v>
      </c>
      <c r="F32" s="319" t="s">
        <v>4496</v>
      </c>
      <c r="G32" s="14" t="s">
        <v>4532</v>
      </c>
      <c r="H32" s="319" t="s">
        <v>4432</v>
      </c>
      <c r="I32" s="17">
        <v>457600</v>
      </c>
      <c r="J32" s="320">
        <v>907900</v>
      </c>
      <c r="K32" s="17">
        <v>852620</v>
      </c>
      <c r="L32" s="320">
        <f>J32-K32</f>
      </c>
      <c r="M32" s="319" t="s">
        <v>72</v>
      </c>
      <c r="N32" s="319" t="s">
        <v>4533</v>
      </c>
      <c r="O32" s="321"/>
      <c r="P32" s="320"/>
      <c r="Q32" s="320"/>
      <c r="R32" s="320"/>
      <c r="S32" s="320">
        <v>907900</v>
      </c>
      <c r="T32" s="320">
        <f>J32-P32-S32</f>
      </c>
      <c r="U32" s="322">
        <v>45770</v>
      </c>
      <c r="V32" s="350" t="s">
        <v>1718</v>
      </c>
      <c r="W32" s="321"/>
      <c r="X32" s="29">
        <v>0</v>
      </c>
      <c r="Y32" s="29"/>
      <c r="Z32" s="29"/>
      <c r="AA32" s="29"/>
      <c r="AB32" s="107">
        <f>AB31-X32</f>
      </c>
      <c r="AC32" s="29"/>
      <c r="AD32" s="29"/>
      <c r="AE32" s="29"/>
      <c r="AF32" s="29"/>
      <c r="AG32" s="34"/>
      <c r="AH32" s="34"/>
    </row>
    <row x14ac:dyDescent="0.25" r="33" customHeight="1" ht="19.5">
      <c r="A33" s="318">
        <v>45756</v>
      </c>
      <c r="B33" s="319" t="s">
        <v>72</v>
      </c>
      <c r="C33" s="319" t="s">
        <v>112</v>
      </c>
      <c r="D33" s="319" t="s">
        <v>4534</v>
      </c>
      <c r="E33" s="319" t="s">
        <v>4535</v>
      </c>
      <c r="F33" s="319" t="s">
        <v>4536</v>
      </c>
      <c r="G33" s="14" t="s">
        <v>328</v>
      </c>
      <c r="H33" s="319" t="s">
        <v>26</v>
      </c>
      <c r="I33" s="65"/>
      <c r="J33" s="17">
        <v>809805</v>
      </c>
      <c r="K33" s="17">
        <v>768805</v>
      </c>
      <c r="L33" s="320">
        <f>J33-K33</f>
      </c>
      <c r="M33" s="319" t="s">
        <v>187</v>
      </c>
      <c r="N33" s="319" t="s">
        <v>4537</v>
      </c>
      <c r="O33" s="321"/>
      <c r="P33" s="320"/>
      <c r="Q33" s="320"/>
      <c r="R33" s="320"/>
      <c r="S33" s="320">
        <v>809805</v>
      </c>
      <c r="T33" s="335">
        <f>J33-P33-Q33-R33-S33</f>
      </c>
      <c r="U33" s="322">
        <v>45763</v>
      </c>
      <c r="V33" s="319" t="s">
        <v>1718</v>
      </c>
      <c r="W33" s="321"/>
      <c r="X33" s="29">
        <f>K33</f>
      </c>
      <c r="Y33" s="29"/>
      <c r="Z33" s="107"/>
      <c r="AA33" s="29"/>
      <c r="AB33" s="107">
        <f>AB32-X33</f>
      </c>
      <c r="AC33" s="29"/>
      <c r="AD33" s="29"/>
      <c r="AE33" s="29"/>
      <c r="AF33" s="29"/>
      <c r="AG33" s="34"/>
      <c r="AH33" s="34"/>
    </row>
    <row x14ac:dyDescent="0.25" r="34" customHeight="1" ht="19.5">
      <c r="A34" s="318">
        <v>45756</v>
      </c>
      <c r="B34" s="319" t="s">
        <v>72</v>
      </c>
      <c r="C34" s="319" t="s">
        <v>112</v>
      </c>
      <c r="D34" s="319" t="s">
        <v>4534</v>
      </c>
      <c r="E34" s="319" t="s">
        <v>4538</v>
      </c>
      <c r="F34" s="319" t="s">
        <v>4536</v>
      </c>
      <c r="G34" s="14" t="s">
        <v>4539</v>
      </c>
      <c r="H34" s="319" t="s">
        <v>26</v>
      </c>
      <c r="I34" s="65"/>
      <c r="J34" s="17">
        <v>809805</v>
      </c>
      <c r="K34" s="17">
        <v>768805</v>
      </c>
      <c r="L34" s="320">
        <f>J34-K34</f>
      </c>
      <c r="M34" s="319" t="s">
        <v>187</v>
      </c>
      <c r="N34" s="319" t="s">
        <v>4540</v>
      </c>
      <c r="O34" s="321"/>
      <c r="P34" s="320"/>
      <c r="Q34" s="320"/>
      <c r="R34" s="320"/>
      <c r="S34" s="320">
        <v>809805</v>
      </c>
      <c r="T34" s="335">
        <f>J34-P34-Q34-R34-S34</f>
      </c>
      <c r="U34" s="322">
        <v>45763</v>
      </c>
      <c r="V34" s="319" t="s">
        <v>1718</v>
      </c>
      <c r="W34" s="321"/>
      <c r="X34" s="29">
        <f>K34</f>
      </c>
      <c r="Y34" s="29"/>
      <c r="Z34" s="107"/>
      <c r="AA34" s="29"/>
      <c r="AB34" s="107">
        <f>AB33-X34</f>
      </c>
      <c r="AC34" s="29"/>
      <c r="AD34" s="29"/>
      <c r="AE34" s="29"/>
      <c r="AF34" s="29"/>
      <c r="AG34" s="34"/>
      <c r="AH34" s="34"/>
    </row>
    <row x14ac:dyDescent="0.25" r="35" customHeight="1" ht="19.5">
      <c r="A35" s="318">
        <v>45756</v>
      </c>
      <c r="B35" s="319" t="s">
        <v>72</v>
      </c>
      <c r="C35" s="319" t="s">
        <v>752</v>
      </c>
      <c r="D35" s="319" t="s">
        <v>4541</v>
      </c>
      <c r="E35" s="319" t="s">
        <v>4542</v>
      </c>
      <c r="F35" s="319" t="s">
        <v>4543</v>
      </c>
      <c r="G35" s="14" t="s">
        <v>4544</v>
      </c>
      <c r="H35" s="319" t="s">
        <v>26</v>
      </c>
      <c r="I35" s="65"/>
      <c r="J35" s="17">
        <v>885900</v>
      </c>
      <c r="K35" s="17">
        <v>857420</v>
      </c>
      <c r="L35" s="320">
        <f>J35-K35</f>
      </c>
      <c r="M35" s="319" t="s">
        <v>154</v>
      </c>
      <c r="N35" s="319" t="s">
        <v>4545</v>
      </c>
      <c r="O35" s="321"/>
      <c r="P35" s="320"/>
      <c r="Q35" s="320"/>
      <c r="R35" s="320"/>
      <c r="S35" s="320">
        <v>885900</v>
      </c>
      <c r="T35" s="335">
        <f>J35-P35-Q35-R35-S35</f>
      </c>
      <c r="U35" s="322">
        <v>45756</v>
      </c>
      <c r="V35" s="319" t="s">
        <v>1718</v>
      </c>
      <c r="W35" s="321"/>
      <c r="X35" s="29">
        <v>0</v>
      </c>
      <c r="Y35" s="29"/>
      <c r="Z35" s="107"/>
      <c r="AA35" s="29"/>
      <c r="AB35" s="107">
        <f>AB34-X35</f>
      </c>
      <c r="AC35" s="107"/>
      <c r="AD35" s="107"/>
      <c r="AE35" s="107"/>
      <c r="AF35" s="107"/>
      <c r="AG35" s="3"/>
      <c r="AH35" s="3"/>
    </row>
    <row x14ac:dyDescent="0.25" r="36" customHeight="1" ht="19.5">
      <c r="A36" s="318">
        <v>45756</v>
      </c>
      <c r="B36" s="319" t="s">
        <v>72</v>
      </c>
      <c r="C36" s="319" t="s">
        <v>752</v>
      </c>
      <c r="D36" s="319" t="s">
        <v>4541</v>
      </c>
      <c r="E36" s="319" t="s">
        <v>4542</v>
      </c>
      <c r="F36" s="319" t="s">
        <v>4543</v>
      </c>
      <c r="G36" s="14" t="s">
        <v>4546</v>
      </c>
      <c r="H36" s="319" t="s">
        <v>26</v>
      </c>
      <c r="I36" s="65"/>
      <c r="J36" s="17">
        <v>885900</v>
      </c>
      <c r="K36" s="17">
        <v>857420</v>
      </c>
      <c r="L36" s="320">
        <f>J36-K36</f>
      </c>
      <c r="M36" s="319" t="s">
        <v>154</v>
      </c>
      <c r="N36" s="319" t="s">
        <v>4547</v>
      </c>
      <c r="O36" s="321"/>
      <c r="P36" s="320"/>
      <c r="Q36" s="320"/>
      <c r="R36" s="320"/>
      <c r="S36" s="320">
        <v>885900</v>
      </c>
      <c r="T36" s="335">
        <f>J36-P36-Q36-R36-S36</f>
      </c>
      <c r="U36" s="322">
        <v>45756</v>
      </c>
      <c r="V36" s="319" t="s">
        <v>1718</v>
      </c>
      <c r="W36" s="321"/>
      <c r="X36" s="29">
        <v>0</v>
      </c>
      <c r="Y36" s="29"/>
      <c r="Z36" s="107"/>
      <c r="AA36" s="29"/>
      <c r="AB36" s="107">
        <f>AB35-X36</f>
      </c>
      <c r="AC36" s="107"/>
      <c r="AD36" s="107"/>
      <c r="AE36" s="107"/>
      <c r="AF36" s="107"/>
      <c r="AG36" s="3"/>
      <c r="AH36" s="3"/>
    </row>
    <row x14ac:dyDescent="0.25" r="37" customHeight="1" ht="19.5">
      <c r="A37" s="318">
        <v>45756</v>
      </c>
      <c r="B37" s="319" t="s">
        <v>72</v>
      </c>
      <c r="C37" s="319" t="s">
        <v>752</v>
      </c>
      <c r="D37" s="319" t="s">
        <v>4541</v>
      </c>
      <c r="E37" s="319" t="s">
        <v>4548</v>
      </c>
      <c r="F37" s="319" t="s">
        <v>4543</v>
      </c>
      <c r="G37" s="14" t="s">
        <v>4549</v>
      </c>
      <c r="H37" s="319" t="s">
        <v>26</v>
      </c>
      <c r="I37" s="65"/>
      <c r="J37" s="17">
        <v>885900</v>
      </c>
      <c r="K37" s="17">
        <v>857420</v>
      </c>
      <c r="L37" s="320">
        <f>J37-K37</f>
      </c>
      <c r="M37" s="319" t="s">
        <v>154</v>
      </c>
      <c r="N37" s="319" t="s">
        <v>4550</v>
      </c>
      <c r="O37" s="321"/>
      <c r="P37" s="320"/>
      <c r="Q37" s="320"/>
      <c r="R37" s="320"/>
      <c r="S37" s="320">
        <v>885900</v>
      </c>
      <c r="T37" s="335">
        <f>J37-P37-Q37-R37-S37</f>
      </c>
      <c r="U37" s="322">
        <v>45792</v>
      </c>
      <c r="V37" s="319" t="s">
        <v>1718</v>
      </c>
      <c r="W37" s="321"/>
      <c r="X37" s="29">
        <v>0</v>
      </c>
      <c r="Y37" s="29"/>
      <c r="Z37" s="107"/>
      <c r="AA37" s="29"/>
      <c r="AB37" s="107">
        <f>AB36-X37</f>
      </c>
      <c r="AC37" s="107"/>
      <c r="AD37" s="107"/>
      <c r="AE37" s="107"/>
      <c r="AF37" s="107"/>
      <c r="AG37" s="3"/>
      <c r="AH37" s="3"/>
    </row>
    <row x14ac:dyDescent="0.25" r="38" customHeight="1" ht="19.5">
      <c r="A38" s="362">
        <v>45757</v>
      </c>
      <c r="B38" s="319" t="s">
        <v>46</v>
      </c>
      <c r="C38" s="319" t="s">
        <v>4551</v>
      </c>
      <c r="D38" s="319" t="s">
        <v>4552</v>
      </c>
      <c r="E38" s="319" t="s">
        <v>4553</v>
      </c>
      <c r="F38" s="319" t="s">
        <v>194</v>
      </c>
      <c r="G38" s="14" t="s">
        <v>4554</v>
      </c>
      <c r="H38" s="319" t="s">
        <v>26</v>
      </c>
      <c r="I38" s="321"/>
      <c r="J38" s="320">
        <v>4556900</v>
      </c>
      <c r="K38" s="69">
        <v>4369100</v>
      </c>
      <c r="L38" s="320">
        <f>J38-K38</f>
      </c>
      <c r="M38" s="319" t="s">
        <v>46</v>
      </c>
      <c r="N38" s="319" t="s">
        <v>4555</v>
      </c>
      <c r="O38" s="321"/>
      <c r="P38" s="321"/>
      <c r="Q38" s="321"/>
      <c r="R38" s="321"/>
      <c r="S38" s="320">
        <v>4556900</v>
      </c>
      <c r="T38" s="320">
        <f>J38-P38-S38</f>
      </c>
      <c r="U38" s="322">
        <v>45779</v>
      </c>
      <c r="V38" s="319" t="s">
        <v>2122</v>
      </c>
      <c r="W38" s="321"/>
      <c r="X38" s="29">
        <v>0</v>
      </c>
      <c r="Y38" s="29"/>
      <c r="Z38" s="29"/>
      <c r="AA38" s="29"/>
      <c r="AB38" s="107">
        <f>#REF!-X38</f>
      </c>
      <c r="AC38" s="29"/>
      <c r="AD38" s="29"/>
      <c r="AE38" s="29"/>
      <c r="AF38" s="29"/>
      <c r="AG38" s="34"/>
      <c r="AH38" s="34"/>
    </row>
    <row x14ac:dyDescent="0.25" r="39" customHeight="1" ht="19.5">
      <c r="A39" s="362">
        <v>45757</v>
      </c>
      <c r="B39" s="319" t="s">
        <v>46</v>
      </c>
      <c r="C39" s="319" t="s">
        <v>4551</v>
      </c>
      <c r="D39" s="319" t="s">
        <v>4552</v>
      </c>
      <c r="E39" s="319" t="s">
        <v>4553</v>
      </c>
      <c r="F39" s="319" t="s">
        <v>194</v>
      </c>
      <c r="G39" s="14" t="s">
        <v>4556</v>
      </c>
      <c r="H39" s="319" t="s">
        <v>26</v>
      </c>
      <c r="I39" s="321"/>
      <c r="J39" s="320">
        <v>1140600</v>
      </c>
      <c r="K39" s="69">
        <v>1086600</v>
      </c>
      <c r="L39" s="320">
        <f>J39-K39</f>
      </c>
      <c r="M39" s="319" t="s">
        <v>46</v>
      </c>
      <c r="N39" s="319" t="s">
        <v>4557</v>
      </c>
      <c r="O39" s="321"/>
      <c r="P39" s="321"/>
      <c r="Q39" s="321"/>
      <c r="R39" s="321"/>
      <c r="S39" s="320">
        <v>1140600</v>
      </c>
      <c r="T39" s="320">
        <f>J39-P39-S39</f>
      </c>
      <c r="U39" s="322">
        <v>45779</v>
      </c>
      <c r="V39" s="319" t="s">
        <v>2122</v>
      </c>
      <c r="W39" s="321"/>
      <c r="X39" s="29">
        <v>0</v>
      </c>
      <c r="Y39" s="29"/>
      <c r="Z39" s="29"/>
      <c r="AA39" s="29"/>
      <c r="AB39" s="107">
        <f>AB38-X39</f>
      </c>
      <c r="AC39" s="29"/>
      <c r="AD39" s="29"/>
      <c r="AE39" s="29"/>
      <c r="AF39" s="29"/>
      <c r="AG39" s="34"/>
      <c r="AH39" s="34"/>
    </row>
    <row x14ac:dyDescent="0.25" r="40" customHeight="1" ht="19.5">
      <c r="A40" s="362">
        <v>45757</v>
      </c>
      <c r="B40" s="319" t="s">
        <v>46</v>
      </c>
      <c r="C40" s="319" t="s">
        <v>4551</v>
      </c>
      <c r="D40" s="319" t="s">
        <v>4552</v>
      </c>
      <c r="E40" s="319" t="s">
        <v>4553</v>
      </c>
      <c r="F40" s="319" t="s">
        <v>194</v>
      </c>
      <c r="G40" s="14" t="s">
        <v>4558</v>
      </c>
      <c r="H40" s="319" t="s">
        <v>26</v>
      </c>
      <c r="I40" s="321"/>
      <c r="J40" s="320">
        <v>1140600</v>
      </c>
      <c r="K40" s="69">
        <v>1086600</v>
      </c>
      <c r="L40" s="320">
        <f>J40-K40</f>
      </c>
      <c r="M40" s="319" t="s">
        <v>46</v>
      </c>
      <c r="N40" s="319" t="s">
        <v>4559</v>
      </c>
      <c r="O40" s="321"/>
      <c r="P40" s="321"/>
      <c r="Q40" s="321"/>
      <c r="R40" s="321"/>
      <c r="S40" s="320">
        <v>1140600</v>
      </c>
      <c r="T40" s="320">
        <f>J40-P40-S40</f>
      </c>
      <c r="U40" s="322">
        <v>45779</v>
      </c>
      <c r="V40" s="319" t="s">
        <v>2122</v>
      </c>
      <c r="W40" s="321"/>
      <c r="X40" s="29">
        <v>0</v>
      </c>
      <c r="Y40" s="29"/>
      <c r="Z40" s="29"/>
      <c r="AA40" s="29"/>
      <c r="AB40" s="107">
        <f>AB39-X40</f>
      </c>
      <c r="AC40" s="29"/>
      <c r="AD40" s="29"/>
      <c r="AE40" s="29"/>
      <c r="AF40" s="29"/>
      <c r="AG40" s="34"/>
      <c r="AH40" s="34"/>
    </row>
    <row x14ac:dyDescent="0.25" r="41" customHeight="1" ht="19.5">
      <c r="A41" s="362">
        <v>45757</v>
      </c>
      <c r="B41" s="319" t="s">
        <v>66</v>
      </c>
      <c r="C41" s="3" t="s">
        <v>4560</v>
      </c>
      <c r="D41" s="3" t="s">
        <v>4561</v>
      </c>
      <c r="E41" s="319" t="s">
        <v>4562</v>
      </c>
      <c r="F41" s="319" t="s">
        <v>266</v>
      </c>
      <c r="G41" s="14" t="s">
        <v>4563</v>
      </c>
      <c r="H41" s="319" t="s">
        <v>26</v>
      </c>
      <c r="I41" s="320">
        <v>1379300</v>
      </c>
      <c r="J41" s="320">
        <v>2180980</v>
      </c>
      <c r="K41" s="69">
        <v>1788220</v>
      </c>
      <c r="L41" s="320">
        <f>J41-K41</f>
      </c>
      <c r="M41" s="319" t="s">
        <v>50</v>
      </c>
      <c r="N41" s="319" t="s">
        <v>4564</v>
      </c>
      <c r="O41" s="320">
        <v>4</v>
      </c>
      <c r="P41" s="321"/>
      <c r="Q41" s="321"/>
      <c r="R41" s="321"/>
      <c r="S41" s="320">
        <v>2180980</v>
      </c>
      <c r="T41" s="320">
        <f>J41-P41-S41</f>
      </c>
      <c r="U41" s="322">
        <v>45768</v>
      </c>
      <c r="V41" s="319" t="s">
        <v>2122</v>
      </c>
      <c r="W41" s="321"/>
      <c r="X41" s="29">
        <v>1788220</v>
      </c>
      <c r="Y41" s="29"/>
      <c r="Z41" s="29"/>
      <c r="AA41" s="29"/>
      <c r="AB41" s="107">
        <f>AB40-X41</f>
      </c>
      <c r="AC41" s="107"/>
      <c r="AD41" s="107"/>
      <c r="AE41" s="107"/>
      <c r="AF41" s="107"/>
      <c r="AG41" s="3"/>
      <c r="AH41" s="3"/>
    </row>
    <row x14ac:dyDescent="0.25" r="42" customHeight="1" ht="19.5">
      <c r="A42" s="362">
        <v>45757</v>
      </c>
      <c r="B42" s="319" t="s">
        <v>66</v>
      </c>
      <c r="C42" s="3" t="s">
        <v>4560</v>
      </c>
      <c r="D42" s="3" t="s">
        <v>4561</v>
      </c>
      <c r="E42" s="319" t="s">
        <v>4562</v>
      </c>
      <c r="F42" s="319" t="s">
        <v>266</v>
      </c>
      <c r="G42" s="14" t="s">
        <v>4565</v>
      </c>
      <c r="H42" s="319" t="s">
        <v>26</v>
      </c>
      <c r="I42" s="320">
        <v>1379300</v>
      </c>
      <c r="J42" s="320">
        <v>2180980</v>
      </c>
      <c r="K42" s="69">
        <v>1788220</v>
      </c>
      <c r="L42" s="320">
        <f>J42-K42</f>
      </c>
      <c r="M42" s="319" t="s">
        <v>50</v>
      </c>
      <c r="N42" s="319" t="s">
        <v>4566</v>
      </c>
      <c r="O42" s="320">
        <v>4</v>
      </c>
      <c r="P42" s="321"/>
      <c r="Q42" s="321"/>
      <c r="R42" s="321"/>
      <c r="S42" s="320">
        <v>2180980</v>
      </c>
      <c r="T42" s="320">
        <f>J42-P42-S42</f>
      </c>
      <c r="U42" s="322">
        <v>45768</v>
      </c>
      <c r="V42" s="319" t="s">
        <v>2122</v>
      </c>
      <c r="W42" s="321"/>
      <c r="X42" s="29">
        <v>1788220</v>
      </c>
      <c r="Y42" s="29"/>
      <c r="Z42" s="29">
        <v>1615100</v>
      </c>
      <c r="AA42" s="29"/>
      <c r="AB42" s="107">
        <f>AB41-X42</f>
      </c>
      <c r="AC42" s="107"/>
      <c r="AD42" s="107"/>
      <c r="AE42" s="107"/>
      <c r="AF42" s="107"/>
      <c r="AG42" s="3"/>
      <c r="AH42" s="3"/>
    </row>
    <row x14ac:dyDescent="0.25" r="43" customHeight="1" ht="31.5">
      <c r="A43" s="362">
        <v>45757</v>
      </c>
      <c r="B43" s="319" t="s">
        <v>46</v>
      </c>
      <c r="C43" s="3" t="s">
        <v>4567</v>
      </c>
      <c r="D43" s="3" t="s">
        <v>4568</v>
      </c>
      <c r="E43" s="319" t="s">
        <v>4569</v>
      </c>
      <c r="F43" s="319" t="s">
        <v>3906</v>
      </c>
      <c r="G43" s="14" t="s">
        <v>4570</v>
      </c>
      <c r="H43" s="319" t="s">
        <v>26</v>
      </c>
      <c r="I43" s="321"/>
      <c r="J43" s="320">
        <v>738720</v>
      </c>
      <c r="K43" s="69">
        <v>681520</v>
      </c>
      <c r="L43" s="320">
        <f>J43-K43</f>
      </c>
      <c r="M43" s="319" t="s">
        <v>46</v>
      </c>
      <c r="N43" s="319" t="s">
        <v>4571</v>
      </c>
      <c r="O43" s="321"/>
      <c r="P43" s="320">
        <v>500000</v>
      </c>
      <c r="Q43" s="320"/>
      <c r="R43" s="320"/>
      <c r="S43" s="320">
        <v>238720</v>
      </c>
      <c r="T43" s="320">
        <f>J43-P43-S43</f>
      </c>
      <c r="U43" s="363" t="s">
        <v>4572</v>
      </c>
      <c r="V43" s="319" t="s">
        <v>1718</v>
      </c>
      <c r="W43" s="321"/>
      <c r="X43" s="29">
        <v>0</v>
      </c>
      <c r="Y43" s="29">
        <v>5000000</v>
      </c>
      <c r="Z43" s="29">
        <v>6615100</v>
      </c>
      <c r="AA43" s="29"/>
      <c r="AB43" s="107">
        <f>AB42-X43+Y43</f>
      </c>
      <c r="AC43" s="107" t="s">
        <v>4573</v>
      </c>
      <c r="AD43" s="107"/>
      <c r="AE43" s="107"/>
      <c r="AF43" s="107"/>
      <c r="AG43" s="3"/>
      <c r="AH43" s="3"/>
    </row>
    <row x14ac:dyDescent="0.25" r="44" customHeight="1" ht="19.5">
      <c r="A44" s="364">
        <v>45758</v>
      </c>
      <c r="B44" s="365" t="s">
        <v>72</v>
      </c>
      <c r="C44" s="365"/>
      <c r="D44" s="365"/>
      <c r="E44" s="365"/>
      <c r="F44" s="365" t="s">
        <v>84</v>
      </c>
      <c r="G44" s="365" t="s">
        <v>4574</v>
      </c>
      <c r="H44" s="365" t="s">
        <v>26</v>
      </c>
      <c r="I44" s="366"/>
      <c r="J44" s="367">
        <v>0</v>
      </c>
      <c r="K44" s="368">
        <v>435620</v>
      </c>
      <c r="L44" s="367">
        <v>0</v>
      </c>
      <c r="M44" s="365" t="s">
        <v>50</v>
      </c>
      <c r="N44" s="365" t="s">
        <v>4575</v>
      </c>
      <c r="O44" s="366" t="s">
        <v>2777</v>
      </c>
      <c r="P44" s="325"/>
      <c r="Q44" s="325"/>
      <c r="R44" s="325"/>
      <c r="S44" s="325"/>
      <c r="T44" s="320">
        <f>J44-P44-S44</f>
      </c>
      <c r="U44" s="322"/>
      <c r="V44" s="319"/>
      <c r="W44" s="325"/>
      <c r="X44" s="369">
        <v>435620</v>
      </c>
      <c r="Y44" s="29"/>
      <c r="Z44" s="29"/>
      <c r="AA44" s="29"/>
      <c r="AB44" s="107">
        <f>AB43-X44+Y44</f>
      </c>
      <c r="AC44" s="29"/>
      <c r="AD44" s="29"/>
      <c r="AE44" s="29"/>
      <c r="AF44" s="29"/>
      <c r="AG44" s="34"/>
      <c r="AH44" s="34"/>
    </row>
    <row x14ac:dyDescent="0.25" r="45" customHeight="1" ht="19.5">
      <c r="A45" s="362">
        <v>45758</v>
      </c>
      <c r="B45" s="319" t="s">
        <v>53</v>
      </c>
      <c r="C45" s="319" t="s">
        <v>4576</v>
      </c>
      <c r="D45" s="319" t="s">
        <v>4577</v>
      </c>
      <c r="E45" s="319" t="s">
        <v>4578</v>
      </c>
      <c r="F45" s="319" t="s">
        <v>4579</v>
      </c>
      <c r="G45" s="319" t="s">
        <v>4580</v>
      </c>
      <c r="H45" s="319" t="s">
        <v>4581</v>
      </c>
      <c r="I45" s="321"/>
      <c r="J45" s="320">
        <v>594420</v>
      </c>
      <c r="K45" s="17">
        <v>591920</v>
      </c>
      <c r="L45" s="320">
        <f>J45-K45</f>
      </c>
      <c r="M45" s="319" t="s">
        <v>187</v>
      </c>
      <c r="N45" s="370" t="s">
        <v>4582</v>
      </c>
      <c r="O45" s="321"/>
      <c r="P45" s="321"/>
      <c r="Q45" s="321"/>
      <c r="R45" s="321"/>
      <c r="S45" s="320">
        <v>594500</v>
      </c>
      <c r="T45" s="320">
        <f>J45-P45-S45</f>
      </c>
      <c r="U45" s="322">
        <v>45757</v>
      </c>
      <c r="V45" s="319" t="s">
        <v>1718</v>
      </c>
      <c r="W45" s="321"/>
      <c r="X45" s="29">
        <f>K45</f>
      </c>
      <c r="Y45" s="29"/>
      <c r="Z45" s="29"/>
      <c r="AA45" s="29"/>
      <c r="AB45" s="107">
        <f>AB44-X45+Y45</f>
      </c>
      <c r="AC45" s="29">
        <v>0</v>
      </c>
      <c r="AD45" s="107"/>
      <c r="AE45" s="107"/>
      <c r="AF45" s="107"/>
      <c r="AG45" s="3"/>
      <c r="AH45" s="3"/>
    </row>
    <row x14ac:dyDescent="0.25" r="46" customHeight="1" ht="19.5">
      <c r="A46" s="371">
        <v>45758</v>
      </c>
      <c r="B46" s="319" t="s">
        <v>111</v>
      </c>
      <c r="C46" s="319" t="s">
        <v>1267</v>
      </c>
      <c r="D46" s="319" t="s">
        <v>4583</v>
      </c>
      <c r="E46" s="319" t="s">
        <v>4584</v>
      </c>
      <c r="F46" s="319" t="s">
        <v>84</v>
      </c>
      <c r="G46" s="14" t="s">
        <v>4585</v>
      </c>
      <c r="H46" s="319" t="s">
        <v>26</v>
      </c>
      <c r="I46" s="320">
        <v>174000</v>
      </c>
      <c r="J46" s="320">
        <v>506920</v>
      </c>
      <c r="K46" s="17">
        <v>426820</v>
      </c>
      <c r="L46" s="320">
        <f>J46-K46</f>
      </c>
      <c r="M46" s="319" t="s">
        <v>50</v>
      </c>
      <c r="N46" s="319" t="s">
        <v>4586</v>
      </c>
      <c r="O46" s="320">
        <v>2</v>
      </c>
      <c r="P46" s="321"/>
      <c r="Q46" s="321"/>
      <c r="R46" s="321"/>
      <c r="S46" s="320">
        <v>506920</v>
      </c>
      <c r="T46" s="320">
        <f>J46-P46-S46</f>
      </c>
      <c r="U46" s="322">
        <v>45789</v>
      </c>
      <c r="V46" s="319" t="s">
        <v>2122</v>
      </c>
      <c r="W46" s="321"/>
      <c r="X46" s="29">
        <f>K46</f>
      </c>
      <c r="Y46" s="29"/>
      <c r="Z46" s="29">
        <v>5160740</v>
      </c>
      <c r="AA46" s="29"/>
      <c r="AB46" s="107">
        <f>AB45-X46+Y46</f>
      </c>
      <c r="AC46" s="107" t="s">
        <v>4587</v>
      </c>
      <c r="AD46" s="107"/>
      <c r="AE46" s="107"/>
      <c r="AF46" s="107"/>
      <c r="AG46" s="3"/>
      <c r="AH46" s="3"/>
    </row>
    <row x14ac:dyDescent="0.25" r="47" customHeight="1" ht="19.5">
      <c r="A47" s="362">
        <v>45758</v>
      </c>
      <c r="B47" s="319" t="s">
        <v>66</v>
      </c>
      <c r="C47" s="319" t="s">
        <v>373</v>
      </c>
      <c r="D47" s="319" t="s">
        <v>4481</v>
      </c>
      <c r="E47" s="319" t="s">
        <v>4588</v>
      </c>
      <c r="F47" s="319" t="s">
        <v>418</v>
      </c>
      <c r="G47" s="319" t="s">
        <v>4589</v>
      </c>
      <c r="H47" s="319" t="s">
        <v>26</v>
      </c>
      <c r="I47" s="320">
        <v>309600</v>
      </c>
      <c r="J47" s="320">
        <v>568620</v>
      </c>
      <c r="K47" s="17">
        <v>485620</v>
      </c>
      <c r="L47" s="320">
        <f>J47-K47</f>
      </c>
      <c r="M47" s="319" t="s">
        <v>50</v>
      </c>
      <c r="N47" s="319" t="s">
        <v>4590</v>
      </c>
      <c r="O47" s="320">
        <v>1</v>
      </c>
      <c r="P47" s="321"/>
      <c r="Q47" s="321"/>
      <c r="R47" s="321"/>
      <c r="S47" s="321"/>
      <c r="T47" s="320">
        <f>J47-P47-S47</f>
      </c>
      <c r="U47" s="322"/>
      <c r="V47" s="319"/>
      <c r="W47" s="321"/>
      <c r="X47" s="29">
        <f>K47</f>
      </c>
      <c r="Y47" s="29"/>
      <c r="Z47" s="29">
        <v>4675120</v>
      </c>
      <c r="AA47" s="29"/>
      <c r="AB47" s="107">
        <f>AB46-X47+Y47</f>
      </c>
      <c r="AC47" s="107" t="s">
        <v>4591</v>
      </c>
      <c r="AD47" s="107"/>
      <c r="AE47" s="107"/>
      <c r="AF47" s="107"/>
      <c r="AG47" s="3"/>
      <c r="AH47" s="3"/>
    </row>
    <row x14ac:dyDescent="0.25" r="48" customHeight="1" ht="19.5">
      <c r="A48" s="362">
        <v>45759</v>
      </c>
      <c r="B48" s="319" t="s">
        <v>53</v>
      </c>
      <c r="C48" s="319" t="s">
        <v>54</v>
      </c>
      <c r="D48" s="319" t="s">
        <v>4592</v>
      </c>
      <c r="E48" s="319" t="s">
        <v>4593</v>
      </c>
      <c r="F48" s="319" t="s">
        <v>4594</v>
      </c>
      <c r="G48" s="372" t="s">
        <v>4595</v>
      </c>
      <c r="H48" s="319" t="s">
        <v>4596</v>
      </c>
      <c r="I48" s="320">
        <v>280300</v>
      </c>
      <c r="J48" s="320">
        <v>587920</v>
      </c>
      <c r="K48" s="17">
        <v>542320</v>
      </c>
      <c r="L48" s="320">
        <f>J48-K48</f>
      </c>
      <c r="M48" s="319" t="s">
        <v>137</v>
      </c>
      <c r="N48" s="319" t="s">
        <v>4597</v>
      </c>
      <c r="O48" s="321"/>
      <c r="P48" s="321"/>
      <c r="Q48" s="321"/>
      <c r="R48" s="321"/>
      <c r="S48" s="320">
        <v>584920</v>
      </c>
      <c r="T48" s="320">
        <f>J48-P48-S48</f>
      </c>
      <c r="U48" s="322">
        <v>45761</v>
      </c>
      <c r="V48" s="319" t="s">
        <v>1718</v>
      </c>
      <c r="W48" s="321"/>
      <c r="X48" s="29">
        <f>K48</f>
      </c>
      <c r="Y48" s="29"/>
      <c r="Z48" s="373">
        <v>4132800</v>
      </c>
      <c r="AA48" s="29"/>
      <c r="AB48" s="107">
        <f>AB47-X48+Y48</f>
      </c>
      <c r="AC48" s="107" t="s">
        <v>4598</v>
      </c>
      <c r="AD48" s="107"/>
      <c r="AE48" s="107"/>
      <c r="AF48" s="107"/>
      <c r="AG48" s="3"/>
      <c r="AH48" s="3"/>
    </row>
    <row x14ac:dyDescent="0.25" r="49" customHeight="1" ht="19.5">
      <c r="A49" s="374">
        <v>45761</v>
      </c>
      <c r="B49" s="375" t="s">
        <v>4599</v>
      </c>
      <c r="C49" s="375" t="s">
        <v>4600</v>
      </c>
      <c r="D49" s="375" t="s">
        <v>4601</v>
      </c>
      <c r="E49" s="375" t="s">
        <v>4602</v>
      </c>
      <c r="F49" s="375" t="s">
        <v>4465</v>
      </c>
      <c r="G49" s="375" t="s">
        <v>341</v>
      </c>
      <c r="H49" s="375" t="s">
        <v>26</v>
      </c>
      <c r="I49" s="376"/>
      <c r="J49" s="376"/>
      <c r="K49" s="225">
        <v>4272661</v>
      </c>
      <c r="L49" s="376"/>
      <c r="M49" s="375" t="s">
        <v>3045</v>
      </c>
      <c r="N49" s="375" t="s">
        <v>4603</v>
      </c>
      <c r="O49" s="376" t="s">
        <v>2777</v>
      </c>
      <c r="P49" s="376"/>
      <c r="Q49" s="376"/>
      <c r="R49" s="376"/>
      <c r="S49" s="376"/>
      <c r="T49" s="377">
        <f>J49-P49-S49</f>
      </c>
      <c r="U49" s="378"/>
      <c r="V49" s="375"/>
      <c r="W49" s="376"/>
      <c r="X49" s="379">
        <v>0</v>
      </c>
      <c r="Y49" s="380"/>
      <c r="Z49" s="381"/>
      <c r="AA49" s="381"/>
      <c r="AB49" s="381">
        <f>AB48-X49+Y49</f>
      </c>
      <c r="AC49" s="381"/>
      <c r="AD49" s="381"/>
      <c r="AE49" s="381"/>
      <c r="AF49" s="381"/>
      <c r="AG49" s="382"/>
      <c r="AH49" s="382"/>
    </row>
    <row x14ac:dyDescent="0.25" r="50" customHeight="1" ht="19.5">
      <c r="A50" s="362">
        <v>45761</v>
      </c>
      <c r="B50" s="319" t="s">
        <v>111</v>
      </c>
      <c r="C50" s="319" t="s">
        <v>805</v>
      </c>
      <c r="D50" s="319" t="s">
        <v>4604</v>
      </c>
      <c r="E50" s="319" t="s">
        <v>4605</v>
      </c>
      <c r="F50" s="319" t="s">
        <v>548</v>
      </c>
      <c r="G50" s="319" t="s">
        <v>4606</v>
      </c>
      <c r="H50" s="319" t="s">
        <v>26</v>
      </c>
      <c r="I50" s="320">
        <v>254600</v>
      </c>
      <c r="J50" s="320">
        <v>760950</v>
      </c>
      <c r="K50" s="17">
        <v>681220</v>
      </c>
      <c r="L50" s="320">
        <f>J50-K50</f>
      </c>
      <c r="M50" s="319" t="s">
        <v>50</v>
      </c>
      <c r="N50" s="319" t="s">
        <v>4607</v>
      </c>
      <c r="O50" s="320">
        <v>4</v>
      </c>
      <c r="P50" s="321"/>
      <c r="Q50" s="321"/>
      <c r="R50" s="321"/>
      <c r="S50" s="320">
        <v>757352</v>
      </c>
      <c r="T50" s="320">
        <f>J50-P50-S50</f>
      </c>
      <c r="U50" s="322">
        <v>45789</v>
      </c>
      <c r="V50" s="319" t="s">
        <v>2122</v>
      </c>
      <c r="W50" s="320">
        <v>15276</v>
      </c>
      <c r="X50" s="29">
        <f>K50</f>
      </c>
      <c r="Y50" s="383"/>
      <c r="Z50" s="29">
        <v>4568420</v>
      </c>
      <c r="AA50" s="369">
        <v>435620</v>
      </c>
      <c r="AB50" s="107">
        <f>AB49-X50+Y50+AA50</f>
      </c>
      <c r="AC50" s="107" t="s">
        <v>4608</v>
      </c>
      <c r="AD50" s="107"/>
      <c r="AE50" s="107"/>
      <c r="AF50" s="107"/>
      <c r="AG50" s="3"/>
      <c r="AH50" s="3"/>
    </row>
    <row x14ac:dyDescent="0.25" r="51" customHeight="1" ht="19.5">
      <c r="A51" s="362">
        <v>45761</v>
      </c>
      <c r="B51" s="319" t="s">
        <v>53</v>
      </c>
      <c r="C51" s="319" t="s">
        <v>4609</v>
      </c>
      <c r="D51" s="319" t="s">
        <v>4610</v>
      </c>
      <c r="E51" s="319" t="s">
        <v>4611</v>
      </c>
      <c r="F51" s="319" t="s">
        <v>4612</v>
      </c>
      <c r="G51" s="319" t="s">
        <v>4613</v>
      </c>
      <c r="H51" s="319" t="s">
        <v>76</v>
      </c>
      <c r="I51" s="321"/>
      <c r="J51" s="320">
        <v>615820</v>
      </c>
      <c r="K51" s="17">
        <v>613320</v>
      </c>
      <c r="L51" s="320">
        <f>J51-K51</f>
      </c>
      <c r="M51" s="319" t="s">
        <v>187</v>
      </c>
      <c r="N51" s="319" t="s">
        <v>4614</v>
      </c>
      <c r="O51" s="321"/>
      <c r="P51" s="321"/>
      <c r="Q51" s="321"/>
      <c r="R51" s="321"/>
      <c r="S51" s="320">
        <v>615820</v>
      </c>
      <c r="T51" s="320">
        <f>J51-P51-S51</f>
      </c>
      <c r="U51" s="322">
        <v>45761</v>
      </c>
      <c r="V51" s="319" t="s">
        <v>1718</v>
      </c>
      <c r="W51" s="321"/>
      <c r="X51" s="29">
        <f>K51</f>
      </c>
      <c r="Y51" s="29"/>
      <c r="Z51" s="29"/>
      <c r="AA51" s="29"/>
      <c r="AB51" s="107">
        <f>AB50-X51+Y51</f>
      </c>
      <c r="AC51" s="29"/>
      <c r="AD51" s="29"/>
      <c r="AE51" s="29"/>
      <c r="AF51" s="29"/>
      <c r="AG51" s="34"/>
      <c r="AH51" s="34"/>
    </row>
    <row x14ac:dyDescent="0.25" r="52" customHeight="1" ht="19.5">
      <c r="A52" s="362">
        <v>45761</v>
      </c>
      <c r="B52" s="319" t="s">
        <v>53</v>
      </c>
      <c r="C52" s="319" t="s">
        <v>4609</v>
      </c>
      <c r="D52" s="319" t="s">
        <v>4610</v>
      </c>
      <c r="E52" s="319" t="s">
        <v>4611</v>
      </c>
      <c r="F52" s="319" t="s">
        <v>4612</v>
      </c>
      <c r="G52" s="319" t="s">
        <v>4615</v>
      </c>
      <c r="H52" s="319" t="s">
        <v>76</v>
      </c>
      <c r="I52" s="321"/>
      <c r="J52" s="320">
        <v>527720</v>
      </c>
      <c r="K52" s="17">
        <v>525220</v>
      </c>
      <c r="L52" s="320">
        <f>J52-K52</f>
      </c>
      <c r="M52" s="319" t="s">
        <v>187</v>
      </c>
      <c r="N52" s="319" t="s">
        <v>4616</v>
      </c>
      <c r="O52" s="321"/>
      <c r="P52" s="321"/>
      <c r="Q52" s="321"/>
      <c r="R52" s="321"/>
      <c r="S52" s="320">
        <v>527720</v>
      </c>
      <c r="T52" s="320">
        <f>J52-P52-S52</f>
      </c>
      <c r="U52" s="322">
        <v>45761</v>
      </c>
      <c r="V52" s="319" t="s">
        <v>1718</v>
      </c>
      <c r="W52" s="321"/>
      <c r="X52" s="29">
        <f>K52</f>
      </c>
      <c r="Y52" s="29"/>
      <c r="Z52" s="373">
        <v>2748660</v>
      </c>
      <c r="AA52" s="29"/>
      <c r="AB52" s="107">
        <f>AB51-X52+Y52+AA52</f>
      </c>
      <c r="AC52" s="107" t="s">
        <v>4617</v>
      </c>
      <c r="AD52" s="107"/>
      <c r="AE52" s="107"/>
      <c r="AF52" s="107"/>
      <c r="AG52" s="3"/>
      <c r="AH52" s="3"/>
    </row>
    <row x14ac:dyDescent="0.25" r="53" customHeight="1" ht="19.5">
      <c r="A53" s="362">
        <v>45761</v>
      </c>
      <c r="B53" s="319" t="s">
        <v>72</v>
      </c>
      <c r="C53" s="319" t="s">
        <v>508</v>
      </c>
      <c r="D53" s="319" t="s">
        <v>4618</v>
      </c>
      <c r="E53" s="319" t="s">
        <v>4619</v>
      </c>
      <c r="F53" s="319" t="s">
        <v>548</v>
      </c>
      <c r="G53" s="319" t="s">
        <v>4620</v>
      </c>
      <c r="H53" s="319" t="s">
        <v>26</v>
      </c>
      <c r="I53" s="320">
        <v>990800</v>
      </c>
      <c r="J53" s="320">
        <v>1452980</v>
      </c>
      <c r="K53" s="17">
        <v>1351955</v>
      </c>
      <c r="L53" s="320">
        <f>J53-K53</f>
      </c>
      <c r="M53" s="319" t="s">
        <v>50</v>
      </c>
      <c r="N53" s="319" t="s">
        <v>4621</v>
      </c>
      <c r="O53" s="320">
        <v>1</v>
      </c>
      <c r="P53" s="321"/>
      <c r="Q53" s="321"/>
      <c r="R53" s="321"/>
      <c r="S53" s="320">
        <v>1448482</v>
      </c>
      <c r="T53" s="320">
        <f>J53-P53-S53</f>
      </c>
      <c r="U53" s="322">
        <v>45779</v>
      </c>
      <c r="V53" s="319" t="s">
        <v>2122</v>
      </c>
      <c r="W53" s="321"/>
      <c r="X53" s="29">
        <f>K53</f>
      </c>
      <c r="Y53" s="29"/>
      <c r="Z53" s="29"/>
      <c r="AA53" s="29"/>
      <c r="AB53" s="107">
        <f>AB52-X53+Y53+AA53</f>
      </c>
      <c r="AC53" s="29"/>
      <c r="AD53" s="29"/>
      <c r="AE53" s="29"/>
      <c r="AF53" s="29"/>
      <c r="AG53" s="34"/>
      <c r="AH53" s="34"/>
    </row>
    <row x14ac:dyDescent="0.25" r="54" customHeight="1" ht="19.5">
      <c r="A54" s="362">
        <v>45761</v>
      </c>
      <c r="B54" s="319" t="s">
        <v>72</v>
      </c>
      <c r="C54" s="319" t="s">
        <v>508</v>
      </c>
      <c r="D54" s="319" t="s">
        <v>4618</v>
      </c>
      <c r="E54" s="319" t="s">
        <v>4622</v>
      </c>
      <c r="F54" s="319" t="s">
        <v>548</v>
      </c>
      <c r="G54" s="14" t="s">
        <v>4623</v>
      </c>
      <c r="H54" s="319" t="s">
        <v>26</v>
      </c>
      <c r="I54" s="320">
        <v>165700</v>
      </c>
      <c r="J54" s="320">
        <v>383980</v>
      </c>
      <c r="K54" s="17">
        <v>303455</v>
      </c>
      <c r="L54" s="320">
        <f>J54-K54</f>
      </c>
      <c r="M54" s="319" t="s">
        <v>50</v>
      </c>
      <c r="N54" s="319" t="s">
        <v>4624</v>
      </c>
      <c r="O54" s="320">
        <v>1</v>
      </c>
      <c r="P54" s="321"/>
      <c r="Q54" s="321"/>
      <c r="R54" s="321"/>
      <c r="S54" s="320">
        <v>382182</v>
      </c>
      <c r="T54" s="320">
        <f>J54-P54-S54</f>
      </c>
      <c r="U54" s="322">
        <v>45779</v>
      </c>
      <c r="V54" s="319" t="s">
        <v>2122</v>
      </c>
      <c r="W54" s="321"/>
      <c r="X54" s="29">
        <f>K54</f>
      </c>
      <c r="Y54" s="29"/>
      <c r="Z54" s="29"/>
      <c r="AA54" s="29"/>
      <c r="AB54" s="107">
        <f>AB53-X54+Y54+AA54</f>
      </c>
      <c r="AC54" s="29"/>
      <c r="AD54" s="29"/>
      <c r="AE54" s="63">
        <v>1228803</v>
      </c>
      <c r="AF54" s="29"/>
      <c r="AG54" s="34"/>
      <c r="AH54" s="34"/>
    </row>
    <row x14ac:dyDescent="0.25" r="55" customHeight="1" ht="19.5">
      <c r="A55" s="362">
        <v>45761</v>
      </c>
      <c r="B55" s="319" t="s">
        <v>82</v>
      </c>
      <c r="C55" s="319" t="s">
        <v>624</v>
      </c>
      <c r="D55" s="319" t="s">
        <v>4481</v>
      </c>
      <c r="E55" s="319" t="s">
        <v>4625</v>
      </c>
      <c r="F55" s="357" t="s">
        <v>548</v>
      </c>
      <c r="G55" s="3" t="s">
        <v>4620</v>
      </c>
      <c r="H55" s="357" t="s">
        <v>26</v>
      </c>
      <c r="I55" s="384">
        <v>26370</v>
      </c>
      <c r="J55" s="384">
        <v>119700</v>
      </c>
      <c r="K55" s="273">
        <v>99770</v>
      </c>
      <c r="L55" s="384">
        <f>J55-K55</f>
      </c>
      <c r="M55" s="357" t="s">
        <v>86</v>
      </c>
      <c r="N55" s="319" t="s">
        <v>4626</v>
      </c>
      <c r="O55" s="321"/>
      <c r="P55" s="321"/>
      <c r="Q55" s="321"/>
      <c r="R55" s="321"/>
      <c r="S55" s="329">
        <v>237602</v>
      </c>
      <c r="T55" s="329">
        <f>J55+J56-P55-S55</f>
      </c>
      <c r="U55" s="330">
        <v>45779</v>
      </c>
      <c r="V55" s="331" t="s">
        <v>2122</v>
      </c>
      <c r="W55" s="321"/>
      <c r="X55" s="29">
        <v>0</v>
      </c>
      <c r="Y55" s="29"/>
      <c r="Z55" s="29">
        <v>1093250</v>
      </c>
      <c r="AA55" s="29"/>
      <c r="AB55" s="107">
        <f>AB54-X55+Y55+AA55</f>
      </c>
      <c r="AC55" s="29"/>
      <c r="AD55" s="29">
        <v>99770</v>
      </c>
      <c r="AE55" s="29">
        <f>AE54-AD55</f>
      </c>
      <c r="AF55" s="29"/>
      <c r="AG55" s="34"/>
      <c r="AH55" s="34"/>
    </row>
    <row x14ac:dyDescent="0.25" r="56" customHeight="1" ht="19.5">
      <c r="A56" s="385">
        <v>45761</v>
      </c>
      <c r="B56" s="386" t="s">
        <v>82</v>
      </c>
      <c r="C56" s="386" t="s">
        <v>624</v>
      </c>
      <c r="D56" s="386" t="s">
        <v>4481</v>
      </c>
      <c r="E56" s="386" t="s">
        <v>4625</v>
      </c>
      <c r="F56" s="386" t="s">
        <v>548</v>
      </c>
      <c r="G56" s="387" t="s">
        <v>4627</v>
      </c>
      <c r="H56" s="386" t="s">
        <v>26</v>
      </c>
      <c r="I56" s="388">
        <v>26370</v>
      </c>
      <c r="J56" s="388">
        <v>119700</v>
      </c>
      <c r="K56" s="389">
        <v>99770</v>
      </c>
      <c r="L56" s="388">
        <f>J56-K56</f>
      </c>
      <c r="M56" s="386" t="s">
        <v>86</v>
      </c>
      <c r="N56" s="386" t="s">
        <v>4628</v>
      </c>
      <c r="O56" s="390" t="s">
        <v>4629</v>
      </c>
      <c r="P56" s="321"/>
      <c r="Q56" s="321"/>
      <c r="R56" s="321"/>
      <c r="S56" s="335"/>
      <c r="T56" s="335"/>
      <c r="U56" s="336"/>
      <c r="V56" s="337"/>
      <c r="W56" s="321"/>
      <c r="X56" s="29">
        <v>0</v>
      </c>
      <c r="Y56" s="29"/>
      <c r="Z56" s="29"/>
      <c r="AA56" s="29"/>
      <c r="AB56" s="107">
        <f>AB55-X56+Y56+AA56</f>
      </c>
      <c r="AC56" s="29"/>
      <c r="AD56" s="29">
        <v>99770</v>
      </c>
      <c r="AE56" s="29">
        <f>AE55-AD56</f>
      </c>
      <c r="AF56" s="391">
        <v>1029263</v>
      </c>
      <c r="AG56" s="34"/>
      <c r="AH56" s="34"/>
    </row>
    <row x14ac:dyDescent="0.25" r="57" customHeight="1" ht="19.5">
      <c r="A57" s="362">
        <v>45761</v>
      </c>
      <c r="B57" s="319" t="s">
        <v>46</v>
      </c>
      <c r="C57" s="319" t="s">
        <v>4630</v>
      </c>
      <c r="D57" s="319" t="s">
        <v>4601</v>
      </c>
      <c r="E57" s="319" t="s">
        <v>4631</v>
      </c>
      <c r="F57" s="3" t="s">
        <v>4465</v>
      </c>
      <c r="G57" s="319" t="s">
        <v>4466</v>
      </c>
      <c r="H57" s="319" t="s">
        <v>26</v>
      </c>
      <c r="I57" s="321"/>
      <c r="J57" s="320">
        <v>388100</v>
      </c>
      <c r="K57" s="17">
        <v>283100</v>
      </c>
      <c r="L57" s="320">
        <f>J57-K57</f>
      </c>
      <c r="M57" s="319" t="s">
        <v>3045</v>
      </c>
      <c r="N57" s="319" t="s">
        <v>4632</v>
      </c>
      <c r="O57" s="321" t="s">
        <v>251</v>
      </c>
      <c r="P57" s="321"/>
      <c r="Q57" s="321"/>
      <c r="R57" s="321"/>
      <c r="S57" s="321"/>
      <c r="T57" s="320">
        <f>J57-P57-S57</f>
      </c>
      <c r="U57" s="322"/>
      <c r="V57" s="319"/>
      <c r="W57" s="321"/>
      <c r="X57" s="29">
        <v>0</v>
      </c>
      <c r="Y57" s="29"/>
      <c r="Z57" s="29"/>
      <c r="AA57" s="29"/>
      <c r="AB57" s="107">
        <f>AB56-X57+Y57+AA57</f>
      </c>
      <c r="AC57" s="29"/>
      <c r="AD57" s="29"/>
      <c r="AE57" s="29">
        <f>AE56-AD57</f>
      </c>
      <c r="AF57" s="29"/>
      <c r="AG57" s="34"/>
      <c r="AH57" s="34"/>
    </row>
    <row x14ac:dyDescent="0.25" r="58" customHeight="1" ht="19.5">
      <c r="A58" s="362">
        <v>45762</v>
      </c>
      <c r="B58" s="319" t="s">
        <v>897</v>
      </c>
      <c r="C58" s="319" t="s">
        <v>189</v>
      </c>
      <c r="D58" s="319" t="s">
        <v>4633</v>
      </c>
      <c r="E58" s="319"/>
      <c r="F58" s="319" t="s">
        <v>4634</v>
      </c>
      <c r="G58" s="319" t="s">
        <v>1743</v>
      </c>
      <c r="H58" s="319" t="s">
        <v>26</v>
      </c>
      <c r="I58" s="320">
        <v>338100</v>
      </c>
      <c r="J58" s="320">
        <v>691720</v>
      </c>
      <c r="K58" s="17">
        <v>611955</v>
      </c>
      <c r="L58" s="320">
        <f>J58-K58</f>
      </c>
      <c r="M58" s="319" t="s">
        <v>50</v>
      </c>
      <c r="N58" s="319" t="s">
        <v>4635</v>
      </c>
      <c r="O58" s="320">
        <v>2</v>
      </c>
      <c r="P58" s="321"/>
      <c r="Q58" s="321"/>
      <c r="R58" s="321"/>
      <c r="S58" s="320">
        <v>691720</v>
      </c>
      <c r="T58" s="320">
        <f>J58-P58-S58</f>
      </c>
      <c r="U58" s="322">
        <v>45789</v>
      </c>
      <c r="V58" s="319" t="s">
        <v>2216</v>
      </c>
      <c r="W58" s="315" t="s">
        <v>4636</v>
      </c>
      <c r="X58" s="29">
        <f>K58</f>
      </c>
      <c r="Y58" s="29">
        <v>30000000</v>
      </c>
      <c r="Z58" s="345">
        <v>30481295</v>
      </c>
      <c r="AA58" s="29"/>
      <c r="AB58" s="392">
        <f>AB57-X58+Y58+AA58</f>
      </c>
      <c r="AC58" s="107" t="s">
        <v>4637</v>
      </c>
      <c r="AD58" s="29"/>
      <c r="AE58" s="29">
        <f>AE57-AD58</f>
      </c>
      <c r="AF58" s="29"/>
      <c r="AG58" s="34"/>
      <c r="AH58" s="34"/>
    </row>
    <row x14ac:dyDescent="0.25" r="59" customHeight="1" ht="19.5">
      <c r="A59" s="362">
        <v>45762</v>
      </c>
      <c r="B59" s="319" t="s">
        <v>111</v>
      </c>
      <c r="C59" s="319" t="s">
        <v>3059</v>
      </c>
      <c r="D59" s="319" t="s">
        <v>4601</v>
      </c>
      <c r="E59" s="319" t="s">
        <v>4638</v>
      </c>
      <c r="F59" s="319" t="s">
        <v>548</v>
      </c>
      <c r="G59" s="319" t="s">
        <v>4639</v>
      </c>
      <c r="H59" s="319" t="s">
        <v>26</v>
      </c>
      <c r="I59" s="320">
        <v>114200</v>
      </c>
      <c r="J59" s="320">
        <v>280920</v>
      </c>
      <c r="K59" s="17">
        <v>201900</v>
      </c>
      <c r="L59" s="320">
        <f>J59-K59</f>
      </c>
      <c r="M59" s="319" t="s">
        <v>50</v>
      </c>
      <c r="N59" s="319" t="s">
        <v>4640</v>
      </c>
      <c r="O59" s="320">
        <v>1</v>
      </c>
      <c r="P59" s="321"/>
      <c r="Q59" s="321"/>
      <c r="R59" s="321"/>
      <c r="S59" s="320">
        <v>279122</v>
      </c>
      <c r="T59" s="320">
        <f>J59-P59-S59</f>
      </c>
      <c r="U59" s="322">
        <v>45779</v>
      </c>
      <c r="V59" s="319" t="s">
        <v>2122</v>
      </c>
      <c r="W59" s="321"/>
      <c r="X59" s="29">
        <f>K59</f>
      </c>
      <c r="Y59" s="29"/>
      <c r="Z59" s="29"/>
      <c r="AA59" s="29"/>
      <c r="AB59" s="107">
        <f>AB58-X59+Y59+AA59</f>
      </c>
      <c r="AC59" s="29"/>
      <c r="AD59" s="29"/>
      <c r="AE59" s="29">
        <f>AE58-AD59</f>
      </c>
      <c r="AF59" s="29"/>
      <c r="AG59" s="34"/>
      <c r="AH59" s="34"/>
    </row>
    <row x14ac:dyDescent="0.25" r="60" customHeight="1" ht="19.5">
      <c r="A60" s="393">
        <v>45762</v>
      </c>
      <c r="B60" s="328" t="s">
        <v>4641</v>
      </c>
      <c r="C60" s="328" t="s">
        <v>438</v>
      </c>
      <c r="D60" s="328" t="s">
        <v>4642</v>
      </c>
      <c r="E60" s="328"/>
      <c r="F60" s="328" t="s">
        <v>4465</v>
      </c>
      <c r="G60" s="328" t="s">
        <v>4466</v>
      </c>
      <c r="H60" s="328" t="s">
        <v>26</v>
      </c>
      <c r="I60" s="348" t="s">
        <v>4643</v>
      </c>
      <c r="J60" s="347">
        <v>330800</v>
      </c>
      <c r="K60" s="57">
        <v>190800</v>
      </c>
      <c r="L60" s="347">
        <f>J60-K60</f>
      </c>
      <c r="M60" s="328" t="s">
        <v>137</v>
      </c>
      <c r="N60" s="328" t="s">
        <v>4644</v>
      </c>
      <c r="O60" s="348" t="s">
        <v>343</v>
      </c>
      <c r="P60" s="321"/>
      <c r="Q60" s="321"/>
      <c r="R60" s="321"/>
      <c r="S60" s="321"/>
      <c r="T60" s="320">
        <f>J60-P60-S60</f>
      </c>
      <c r="U60" s="322"/>
      <c r="V60" s="319"/>
      <c r="W60" s="320">
        <v>1766822</v>
      </c>
      <c r="X60" s="29">
        <f>K60</f>
      </c>
      <c r="Y60" s="29"/>
      <c r="Z60" s="29"/>
      <c r="AA60" s="29">
        <v>-1766820</v>
      </c>
      <c r="AB60" s="107">
        <f>AB59-X60+Y60+AA60</f>
      </c>
      <c r="AC60" s="29"/>
      <c r="AD60" s="29"/>
      <c r="AE60" s="29">
        <f>AE59-AD60</f>
      </c>
      <c r="AF60" s="29"/>
      <c r="AG60" s="34"/>
      <c r="AH60" s="34"/>
    </row>
    <row x14ac:dyDescent="0.25" r="61" customHeight="1" ht="32.25">
      <c r="A61" s="362">
        <v>45762</v>
      </c>
      <c r="B61" s="319" t="s">
        <v>53</v>
      </c>
      <c r="C61" s="319" t="s">
        <v>264</v>
      </c>
      <c r="D61" s="319" t="s">
        <v>2713</v>
      </c>
      <c r="E61" s="319"/>
      <c r="F61" s="319" t="s">
        <v>4645</v>
      </c>
      <c r="G61" s="319" t="s">
        <v>4646</v>
      </c>
      <c r="H61" s="319" t="s">
        <v>26</v>
      </c>
      <c r="I61" s="394">
        <v>152200</v>
      </c>
      <c r="J61" s="320">
        <v>375900</v>
      </c>
      <c r="K61" s="395">
        <v>256200</v>
      </c>
      <c r="L61" s="320">
        <f>J61-K61</f>
      </c>
      <c r="M61" s="319" t="s">
        <v>137</v>
      </c>
      <c r="N61" s="319" t="s">
        <v>4647</v>
      </c>
      <c r="O61" s="321"/>
      <c r="P61" s="320">
        <v>241080</v>
      </c>
      <c r="Q61" s="321"/>
      <c r="R61" s="321"/>
      <c r="S61" s="320">
        <v>134820</v>
      </c>
      <c r="T61" s="320">
        <f>J61-P61-S61</f>
      </c>
      <c r="U61" s="363" t="s">
        <v>4648</v>
      </c>
      <c r="V61" s="319" t="s">
        <v>1718</v>
      </c>
      <c r="W61" s="338">
        <v>45797</v>
      </c>
      <c r="X61" s="29">
        <f>K61</f>
      </c>
      <c r="Y61" s="29"/>
      <c r="Z61" s="29"/>
      <c r="AA61" s="29"/>
      <c r="AB61" s="107">
        <f>AB60-X61+Y61+AA61</f>
      </c>
      <c r="AC61" s="29"/>
      <c r="AD61" s="29"/>
      <c r="AE61" s="29">
        <f>AE60-AD61</f>
      </c>
      <c r="AF61" s="29"/>
      <c r="AG61" s="34"/>
      <c r="AH61" s="34"/>
    </row>
    <row x14ac:dyDescent="0.25" r="62" customHeight="1" ht="19.5">
      <c r="A62" s="362">
        <v>45762</v>
      </c>
      <c r="B62" s="319" t="s">
        <v>72</v>
      </c>
      <c r="C62" s="319" t="s">
        <v>2387</v>
      </c>
      <c r="D62" s="319" t="s">
        <v>4649</v>
      </c>
      <c r="E62" s="319"/>
      <c r="F62" s="319" t="s">
        <v>4645</v>
      </c>
      <c r="G62" s="319" t="s">
        <v>4646</v>
      </c>
      <c r="H62" s="319" t="s">
        <v>26</v>
      </c>
      <c r="I62" s="321"/>
      <c r="J62" s="320">
        <v>429700</v>
      </c>
      <c r="K62" s="17">
        <v>351320</v>
      </c>
      <c r="L62" s="320">
        <f>J62-K62</f>
      </c>
      <c r="M62" s="319" t="s">
        <v>3045</v>
      </c>
      <c r="N62" s="319" t="s">
        <v>4650</v>
      </c>
      <c r="O62" s="321"/>
      <c r="P62" s="321"/>
      <c r="Q62" s="321"/>
      <c r="R62" s="321"/>
      <c r="S62" s="320">
        <v>429700</v>
      </c>
      <c r="T62" s="320">
        <f>J62-P62-S62</f>
      </c>
      <c r="U62" s="322">
        <v>45799</v>
      </c>
      <c r="V62" s="319" t="s">
        <v>1718</v>
      </c>
      <c r="W62" s="321"/>
      <c r="X62" s="29">
        <v>0</v>
      </c>
      <c r="Y62" s="29"/>
      <c r="Z62" s="29"/>
      <c r="AA62" s="29"/>
      <c r="AB62" s="107">
        <f>AB61-X62+Y62+AA62</f>
      </c>
      <c r="AC62" s="29"/>
      <c r="AD62" s="29"/>
      <c r="AE62" s="29">
        <f>AE61-AD62</f>
      </c>
      <c r="AF62" s="29"/>
      <c r="AG62" s="34"/>
      <c r="AH62" s="34"/>
    </row>
    <row x14ac:dyDescent="0.25" r="63" customHeight="1" ht="19.5">
      <c r="A63" s="362">
        <v>45762</v>
      </c>
      <c r="B63" s="319" t="s">
        <v>106</v>
      </c>
      <c r="C63" s="319" t="s">
        <v>1766</v>
      </c>
      <c r="D63" s="319" t="s">
        <v>4463</v>
      </c>
      <c r="E63" s="319" t="s">
        <v>4651</v>
      </c>
      <c r="F63" s="319" t="s">
        <v>4652</v>
      </c>
      <c r="G63" s="319" t="s">
        <v>256</v>
      </c>
      <c r="H63" s="319" t="s">
        <v>76</v>
      </c>
      <c r="I63" s="320">
        <v>264500</v>
      </c>
      <c r="J63" s="320">
        <v>373500</v>
      </c>
      <c r="K63" s="17">
        <v>351600</v>
      </c>
      <c r="L63" s="320">
        <f>J63-K63</f>
      </c>
      <c r="M63" s="319" t="s">
        <v>50</v>
      </c>
      <c r="N63" s="319" t="s">
        <v>4653</v>
      </c>
      <c r="O63" s="320">
        <v>1</v>
      </c>
      <c r="P63" s="321"/>
      <c r="Q63" s="321"/>
      <c r="R63" s="321"/>
      <c r="S63" s="320">
        <v>373500</v>
      </c>
      <c r="T63" s="320">
        <f>J63-P63-S63</f>
      </c>
      <c r="U63" s="322">
        <v>45763</v>
      </c>
      <c r="V63" s="319" t="s">
        <v>1718</v>
      </c>
      <c r="W63" s="315" t="s">
        <v>1663</v>
      </c>
      <c r="X63" s="29">
        <f>K63</f>
      </c>
      <c r="Y63" s="29"/>
      <c r="Z63" s="29"/>
      <c r="AA63" s="29"/>
      <c r="AB63" s="107">
        <f>AB62-X63+Y63+AA63</f>
      </c>
      <c r="AC63" s="29"/>
      <c r="AD63" s="29"/>
      <c r="AE63" s="29">
        <f>AE62-AD63</f>
      </c>
      <c r="AF63" s="29"/>
      <c r="AG63" s="34"/>
      <c r="AH63" s="34"/>
    </row>
    <row x14ac:dyDescent="0.25" r="64" customHeight="1" ht="19.5">
      <c r="A64" s="362">
        <v>45763</v>
      </c>
      <c r="B64" s="319" t="s">
        <v>53</v>
      </c>
      <c r="C64" s="319" t="s">
        <v>4654</v>
      </c>
      <c r="D64" s="319" t="s">
        <v>3198</v>
      </c>
      <c r="E64" s="319" t="s">
        <v>4655</v>
      </c>
      <c r="F64" s="319" t="s">
        <v>4656</v>
      </c>
      <c r="G64" s="319" t="s">
        <v>4657</v>
      </c>
      <c r="H64" s="319" t="s">
        <v>26</v>
      </c>
      <c r="I64" s="320">
        <v>783000</v>
      </c>
      <c r="J64" s="320">
        <v>1149800</v>
      </c>
      <c r="K64" s="17">
        <v>1029020</v>
      </c>
      <c r="L64" s="320">
        <f>J64-K64</f>
      </c>
      <c r="M64" s="319" t="s">
        <v>137</v>
      </c>
      <c r="N64" s="319" t="s">
        <v>4658</v>
      </c>
      <c r="O64" s="321"/>
      <c r="P64" s="396">
        <v>1000000</v>
      </c>
      <c r="Q64" s="397"/>
      <c r="R64" s="397"/>
      <c r="S64" s="396">
        <v>3179400</v>
      </c>
      <c r="T64" s="396">
        <f>J64+J65+J66+J67-P64-S64</f>
      </c>
      <c r="U64" s="340">
        <v>45763</v>
      </c>
      <c r="V64" s="341" t="s">
        <v>1718</v>
      </c>
      <c r="W64" s="321"/>
      <c r="X64" s="29">
        <f>K64</f>
      </c>
      <c r="Y64" s="29"/>
      <c r="Z64" s="29"/>
      <c r="AA64" s="29"/>
      <c r="AB64" s="107">
        <f>AB63-X64+Y64+AA64</f>
      </c>
      <c r="AC64" s="29"/>
      <c r="AD64" s="29"/>
      <c r="AE64" s="29">
        <f>AE63-AD64</f>
      </c>
      <c r="AF64" s="29"/>
      <c r="AG64" s="34"/>
      <c r="AH64" s="34"/>
    </row>
    <row x14ac:dyDescent="0.25" r="65" customHeight="1" ht="19.5">
      <c r="A65" s="362">
        <v>45763</v>
      </c>
      <c r="B65" s="319" t="s">
        <v>53</v>
      </c>
      <c r="C65" s="319" t="s">
        <v>4654</v>
      </c>
      <c r="D65" s="319" t="s">
        <v>3198</v>
      </c>
      <c r="E65" s="319" t="s">
        <v>4655</v>
      </c>
      <c r="F65" s="319" t="s">
        <v>4656</v>
      </c>
      <c r="G65" s="319" t="s">
        <v>4659</v>
      </c>
      <c r="H65" s="319" t="s">
        <v>26</v>
      </c>
      <c r="I65" s="320">
        <v>587800</v>
      </c>
      <c r="J65" s="320">
        <v>939900</v>
      </c>
      <c r="K65" s="17">
        <v>833020</v>
      </c>
      <c r="L65" s="320">
        <f>J65-K65</f>
      </c>
      <c r="M65" s="319" t="s">
        <v>137</v>
      </c>
      <c r="N65" s="319" t="s">
        <v>4660</v>
      </c>
      <c r="O65" s="321"/>
      <c r="P65" s="398"/>
      <c r="Q65" s="398"/>
      <c r="R65" s="398"/>
      <c r="S65" s="398"/>
      <c r="T65" s="398"/>
      <c r="U65" s="399"/>
      <c r="V65" s="400"/>
      <c r="W65" s="321"/>
      <c r="X65" s="29">
        <f>K65</f>
      </c>
      <c r="Y65" s="29"/>
      <c r="Z65" s="29"/>
      <c r="AA65" s="29"/>
      <c r="AB65" s="107">
        <f>AB64-X65+Y65+AA65</f>
      </c>
      <c r="AC65" s="29"/>
      <c r="AD65" s="29"/>
      <c r="AE65" s="29">
        <f>AE64-AD65</f>
      </c>
      <c r="AF65" s="29"/>
      <c r="AG65" s="34"/>
      <c r="AH65" s="34"/>
    </row>
    <row x14ac:dyDescent="0.25" r="66" customHeight="1" ht="19.5">
      <c r="A66" s="362">
        <v>45763</v>
      </c>
      <c r="B66" s="319" t="s">
        <v>53</v>
      </c>
      <c r="C66" s="319" t="s">
        <v>4654</v>
      </c>
      <c r="D66" s="319" t="s">
        <v>3198</v>
      </c>
      <c r="E66" s="319" t="s">
        <v>4655</v>
      </c>
      <c r="F66" s="319" t="s">
        <v>4656</v>
      </c>
      <c r="G66" s="284" t="s">
        <v>4661</v>
      </c>
      <c r="H66" s="319" t="s">
        <v>26</v>
      </c>
      <c r="I66" s="320">
        <v>587800</v>
      </c>
      <c r="J66" s="320">
        <v>939900</v>
      </c>
      <c r="K66" s="17">
        <v>833020</v>
      </c>
      <c r="L66" s="320">
        <f>J66-K66</f>
      </c>
      <c r="M66" s="319" t="s">
        <v>137</v>
      </c>
      <c r="N66" s="319" t="s">
        <v>4662</v>
      </c>
      <c r="O66" s="321"/>
      <c r="P66" s="398"/>
      <c r="Q66" s="398"/>
      <c r="R66" s="398"/>
      <c r="S66" s="398"/>
      <c r="T66" s="398"/>
      <c r="U66" s="399"/>
      <c r="V66" s="400"/>
      <c r="W66" s="321"/>
      <c r="X66" s="29">
        <f>K66</f>
      </c>
      <c r="Y66" s="29"/>
      <c r="Z66" s="29"/>
      <c r="AA66" s="29"/>
      <c r="AB66" s="107">
        <f>AB65-X66+Y66+AA66</f>
      </c>
      <c r="AC66" s="29"/>
      <c r="AD66" s="29"/>
      <c r="AE66" s="29">
        <f>AE65-AD66</f>
      </c>
      <c r="AF66" s="29"/>
      <c r="AG66" s="34"/>
      <c r="AH66" s="34"/>
    </row>
    <row x14ac:dyDescent="0.25" r="67" customHeight="1" ht="19.5">
      <c r="A67" s="362">
        <v>45763</v>
      </c>
      <c r="B67" s="319" t="s">
        <v>53</v>
      </c>
      <c r="C67" s="319" t="s">
        <v>4654</v>
      </c>
      <c r="D67" s="319" t="s">
        <v>3198</v>
      </c>
      <c r="E67" s="319" t="s">
        <v>4655</v>
      </c>
      <c r="F67" s="319" t="s">
        <v>4656</v>
      </c>
      <c r="G67" s="284" t="s">
        <v>4663</v>
      </c>
      <c r="H67" s="319" t="s">
        <v>26</v>
      </c>
      <c r="I67" s="320">
        <v>783000</v>
      </c>
      <c r="J67" s="320">
        <v>1149800</v>
      </c>
      <c r="K67" s="17">
        <v>1029020</v>
      </c>
      <c r="L67" s="320">
        <f>J67-K67</f>
      </c>
      <c r="M67" s="319" t="s">
        <v>137</v>
      </c>
      <c r="N67" s="319" t="s">
        <v>4664</v>
      </c>
      <c r="O67" s="321"/>
      <c r="P67" s="384"/>
      <c r="Q67" s="384"/>
      <c r="R67" s="384"/>
      <c r="S67" s="384"/>
      <c r="T67" s="384"/>
      <c r="U67" s="343"/>
      <c r="V67" s="344"/>
      <c r="W67" s="321"/>
      <c r="X67" s="29">
        <f>K67</f>
      </c>
      <c r="Y67" s="29"/>
      <c r="Z67" s="29"/>
      <c r="AA67" s="29"/>
      <c r="AB67" s="107">
        <f>AB66-X67+Y67+AA67</f>
      </c>
      <c r="AC67" s="29"/>
      <c r="AD67" s="29"/>
      <c r="AE67" s="29">
        <f>AE66-AD67</f>
      </c>
      <c r="AF67" s="29"/>
      <c r="AG67" s="34"/>
      <c r="AH67" s="34"/>
    </row>
    <row x14ac:dyDescent="0.25" r="68" customHeight="1" ht="18.75">
      <c r="A68" s="362">
        <v>45763</v>
      </c>
      <c r="B68" s="319" t="s">
        <v>46</v>
      </c>
      <c r="C68" s="319" t="s">
        <v>282</v>
      </c>
      <c r="D68" s="319" t="s">
        <v>4665</v>
      </c>
      <c r="E68" s="319"/>
      <c r="F68" s="319" t="s">
        <v>174</v>
      </c>
      <c r="G68" s="319" t="s">
        <v>1401</v>
      </c>
      <c r="H68" s="319" t="s">
        <v>26</v>
      </c>
      <c r="I68" s="320">
        <v>4415300</v>
      </c>
      <c r="J68" s="320">
        <v>5392820</v>
      </c>
      <c r="K68" s="17">
        <v>5252820</v>
      </c>
      <c r="L68" s="320">
        <f>J68-K68</f>
      </c>
      <c r="M68" s="319" t="s">
        <v>187</v>
      </c>
      <c r="N68" s="319" t="s">
        <v>4666</v>
      </c>
      <c r="O68" s="321"/>
      <c r="P68" s="320">
        <v>10925</v>
      </c>
      <c r="Q68" s="321"/>
      <c r="R68" s="321"/>
      <c r="S68" s="320">
        <v>5381895</v>
      </c>
      <c r="T68" s="320">
        <f>J68-P68-S68</f>
      </c>
      <c r="U68" s="363" t="s">
        <v>4667</v>
      </c>
      <c r="V68" s="319" t="s">
        <v>1718</v>
      </c>
      <c r="W68" s="321"/>
      <c r="X68" s="29">
        <f>K68</f>
      </c>
      <c r="Y68" s="29"/>
      <c r="Z68" s="29"/>
      <c r="AA68" s="29"/>
      <c r="AB68" s="107">
        <f>AB67-X68+Y68+AA68</f>
      </c>
      <c r="AC68" s="29"/>
      <c r="AD68" s="29"/>
      <c r="AE68" s="29">
        <f>AE67-AD68</f>
      </c>
      <c r="AF68" s="29"/>
      <c r="AG68" s="34"/>
      <c r="AH68" s="34"/>
    </row>
    <row x14ac:dyDescent="0.25" r="69" customHeight="1" ht="19.5">
      <c r="A69" s="362">
        <v>45763</v>
      </c>
      <c r="B69" s="319" t="s">
        <v>111</v>
      </c>
      <c r="C69" s="319" t="s">
        <v>3059</v>
      </c>
      <c r="D69" s="319" t="s">
        <v>4668</v>
      </c>
      <c r="E69" s="319"/>
      <c r="F69" s="319" t="s">
        <v>548</v>
      </c>
      <c r="G69" s="319" t="s">
        <v>4669</v>
      </c>
      <c r="H69" s="319" t="s">
        <v>26</v>
      </c>
      <c r="I69" s="320">
        <v>90500</v>
      </c>
      <c r="J69" s="320">
        <v>305920</v>
      </c>
      <c r="K69" s="17">
        <v>178200</v>
      </c>
      <c r="L69" s="320">
        <f>J69-K69</f>
      </c>
      <c r="M69" s="319" t="s">
        <v>50</v>
      </c>
      <c r="N69" s="319" t="s">
        <v>4670</v>
      </c>
      <c r="O69" s="320">
        <v>1</v>
      </c>
      <c r="P69" s="321"/>
      <c r="Q69" s="321"/>
      <c r="R69" s="321"/>
      <c r="S69" s="320">
        <v>303223</v>
      </c>
      <c r="T69" s="320">
        <f>J69-P69-S69</f>
      </c>
      <c r="U69" s="322">
        <v>45779</v>
      </c>
      <c r="V69" s="319" t="s">
        <v>2122</v>
      </c>
      <c r="W69" s="321"/>
      <c r="X69" s="29">
        <f>K69</f>
      </c>
      <c r="Y69" s="29"/>
      <c r="Z69" s="29"/>
      <c r="AA69" s="29"/>
      <c r="AB69" s="107">
        <f>AB68-X69+Y69+AA69</f>
      </c>
      <c r="AC69" s="29"/>
      <c r="AD69" s="29"/>
      <c r="AE69" s="29">
        <f>AE68-AD69</f>
      </c>
      <c r="AF69" s="29"/>
      <c r="AG69" s="34"/>
      <c r="AH69" s="34"/>
    </row>
    <row x14ac:dyDescent="0.25" r="70" customHeight="1" ht="19.5">
      <c r="A70" s="362">
        <v>45763</v>
      </c>
      <c r="B70" s="319" t="s">
        <v>72</v>
      </c>
      <c r="C70" s="319" t="s">
        <v>508</v>
      </c>
      <c r="D70" s="319" t="s">
        <v>4668</v>
      </c>
      <c r="E70" s="319"/>
      <c r="F70" s="319" t="s">
        <v>548</v>
      </c>
      <c r="G70" s="319" t="s">
        <v>4671</v>
      </c>
      <c r="H70" s="319" t="s">
        <v>26</v>
      </c>
      <c r="I70" s="321"/>
      <c r="J70" s="320">
        <v>418900</v>
      </c>
      <c r="K70" s="17">
        <v>303455</v>
      </c>
      <c r="L70" s="320">
        <f>J70-K70</f>
      </c>
      <c r="M70" s="319" t="s">
        <v>3045</v>
      </c>
      <c r="N70" s="319" t="s">
        <v>4672</v>
      </c>
      <c r="O70" s="321"/>
      <c r="P70" s="321"/>
      <c r="Q70" s="321"/>
      <c r="R70" s="321"/>
      <c r="S70" s="329">
        <v>832403</v>
      </c>
      <c r="T70" s="396">
        <f>J70+J71-P70-S70</f>
      </c>
      <c r="U70" s="340">
        <v>45779</v>
      </c>
      <c r="V70" s="341" t="s">
        <v>2122</v>
      </c>
      <c r="W70" s="321"/>
      <c r="X70" s="29">
        <v>0</v>
      </c>
      <c r="Y70" s="29"/>
      <c r="Z70" s="373"/>
      <c r="AA70" s="29"/>
      <c r="AB70" s="107">
        <f>AB69-X70+Y70+AA70</f>
      </c>
      <c r="AC70" s="29"/>
      <c r="AD70" s="29"/>
      <c r="AE70" s="29">
        <f>AE69-AD70</f>
      </c>
      <c r="AF70" s="29"/>
      <c r="AG70" s="34"/>
      <c r="AH70" s="34"/>
    </row>
    <row x14ac:dyDescent="0.25" r="71" customHeight="1" ht="19.5">
      <c r="A71" s="362">
        <v>45763</v>
      </c>
      <c r="B71" s="319" t="s">
        <v>72</v>
      </c>
      <c r="C71" s="319" t="s">
        <v>508</v>
      </c>
      <c r="D71" s="319" t="s">
        <v>4668</v>
      </c>
      <c r="E71" s="319"/>
      <c r="F71" s="319" t="s">
        <v>548</v>
      </c>
      <c r="G71" s="319" t="s">
        <v>4673</v>
      </c>
      <c r="H71" s="319" t="s">
        <v>26</v>
      </c>
      <c r="I71" s="321"/>
      <c r="J71" s="320">
        <v>418900</v>
      </c>
      <c r="K71" s="17">
        <v>303455</v>
      </c>
      <c r="L71" s="320">
        <f>J71-K71</f>
      </c>
      <c r="M71" s="319" t="s">
        <v>3045</v>
      </c>
      <c r="N71" s="319" t="s">
        <v>4674</v>
      </c>
      <c r="O71" s="321"/>
      <c r="P71" s="321"/>
      <c r="Q71" s="321"/>
      <c r="R71" s="321"/>
      <c r="S71" s="335"/>
      <c r="T71" s="384"/>
      <c r="U71" s="343"/>
      <c r="V71" s="344"/>
      <c r="W71" s="321"/>
      <c r="X71" s="29">
        <v>0</v>
      </c>
      <c r="Y71" s="29"/>
      <c r="Z71" s="29"/>
      <c r="AA71" s="29"/>
      <c r="AB71" s="107">
        <f>AB70-X71+Y71+AA71</f>
      </c>
      <c r="AC71" s="29"/>
      <c r="AD71" s="29"/>
      <c r="AE71" s="29">
        <f>AE70-AD71</f>
      </c>
      <c r="AF71" s="29"/>
      <c r="AG71" s="34"/>
      <c r="AH71" s="34"/>
    </row>
    <row x14ac:dyDescent="0.25" r="72" customHeight="1" ht="19.5">
      <c r="A72" s="362">
        <v>45763</v>
      </c>
      <c r="B72" s="319" t="s">
        <v>46</v>
      </c>
      <c r="C72" s="319" t="s">
        <v>54</v>
      </c>
      <c r="D72" s="319" t="s">
        <v>4675</v>
      </c>
      <c r="E72" s="319"/>
      <c r="F72" s="319" t="s">
        <v>4513</v>
      </c>
      <c r="G72" s="319" t="s">
        <v>4676</v>
      </c>
      <c r="H72" s="319" t="s">
        <v>26</v>
      </c>
      <c r="I72" s="321"/>
      <c r="J72" s="320">
        <v>319980</v>
      </c>
      <c r="K72" s="17">
        <v>169100</v>
      </c>
      <c r="L72" s="320">
        <f>J72-K72</f>
      </c>
      <c r="M72" s="319" t="s">
        <v>50</v>
      </c>
      <c r="N72" s="319" t="s">
        <v>4677</v>
      </c>
      <c r="O72" s="321" t="s">
        <v>251</v>
      </c>
      <c r="P72" s="320">
        <v>321000</v>
      </c>
      <c r="Q72" s="320"/>
      <c r="R72" s="320"/>
      <c r="S72" s="321"/>
      <c r="T72" s="320">
        <f>J72-P72-S72</f>
      </c>
      <c r="U72" s="322">
        <v>45765</v>
      </c>
      <c r="V72" s="401" t="s">
        <v>2307</v>
      </c>
      <c r="W72" s="321"/>
      <c r="X72" s="29">
        <f>K72</f>
      </c>
      <c r="Y72" s="29"/>
      <c r="Z72" s="29">
        <v>18389795</v>
      </c>
      <c r="AA72" s="29"/>
      <c r="AB72" s="107">
        <f>AB71-X72+Y72+AA72</f>
      </c>
      <c r="AC72" s="29"/>
      <c r="AD72" s="29"/>
      <c r="AE72" s="29">
        <f>AE71-AD72</f>
      </c>
      <c r="AF72" s="29"/>
      <c r="AG72" s="34"/>
      <c r="AH72" s="34"/>
    </row>
    <row x14ac:dyDescent="0.25" r="73" customHeight="1" ht="19.5">
      <c r="A73" s="362">
        <v>45764</v>
      </c>
      <c r="B73" s="319" t="s">
        <v>111</v>
      </c>
      <c r="C73" s="319" t="s">
        <v>3678</v>
      </c>
      <c r="D73" s="319" t="s">
        <v>4601</v>
      </c>
      <c r="E73" s="319" t="s">
        <v>4678</v>
      </c>
      <c r="F73" s="319" t="s">
        <v>548</v>
      </c>
      <c r="G73" s="319" t="s">
        <v>4606</v>
      </c>
      <c r="H73" s="319" t="s">
        <v>26</v>
      </c>
      <c r="I73" s="321"/>
      <c r="J73" s="320">
        <v>252920</v>
      </c>
      <c r="K73" s="17">
        <v>161800</v>
      </c>
      <c r="L73" s="320">
        <f>J73-K73</f>
      </c>
      <c r="M73" s="319" t="s">
        <v>50</v>
      </c>
      <c r="N73" s="319" t="s">
        <v>4679</v>
      </c>
      <c r="O73" s="321" t="s">
        <v>251</v>
      </c>
      <c r="P73" s="321"/>
      <c r="Q73" s="321"/>
      <c r="R73" s="321"/>
      <c r="S73" s="320">
        <v>250222</v>
      </c>
      <c r="T73" s="320">
        <f>J73-P73-S73</f>
      </c>
      <c r="U73" s="322">
        <v>45779</v>
      </c>
      <c r="V73" s="319" t="s">
        <v>2122</v>
      </c>
      <c r="W73" s="321"/>
      <c r="X73" s="29">
        <f>K73</f>
      </c>
      <c r="Y73" s="29"/>
      <c r="Z73" s="29"/>
      <c r="AA73" s="29"/>
      <c r="AB73" s="107">
        <f>AB72-X73+Y73+AA73</f>
      </c>
      <c r="AC73" s="29"/>
      <c r="AD73" s="29"/>
      <c r="AE73" s="29">
        <f>AE72-AD73</f>
      </c>
      <c r="AF73" s="29"/>
      <c r="AG73" s="34"/>
      <c r="AH73" s="34"/>
    </row>
    <row x14ac:dyDescent="0.25" r="74" customHeight="1" ht="19.5">
      <c r="A74" s="362">
        <v>45764</v>
      </c>
      <c r="B74" s="319" t="s">
        <v>66</v>
      </c>
      <c r="C74" s="319" t="s">
        <v>4680</v>
      </c>
      <c r="D74" s="319" t="s">
        <v>4668</v>
      </c>
      <c r="E74" s="319"/>
      <c r="F74" s="319" t="s">
        <v>418</v>
      </c>
      <c r="G74" s="319" t="s">
        <v>4589</v>
      </c>
      <c r="H74" s="319" t="s">
        <v>26</v>
      </c>
      <c r="I74" s="320">
        <v>246600</v>
      </c>
      <c r="J74" s="320">
        <v>462920</v>
      </c>
      <c r="K74" s="17">
        <v>380200</v>
      </c>
      <c r="L74" s="320">
        <f>J74-K74</f>
      </c>
      <c r="M74" s="319" t="s">
        <v>50</v>
      </c>
      <c r="N74" s="319" t="s">
        <v>4681</v>
      </c>
      <c r="O74" s="320">
        <v>1</v>
      </c>
      <c r="P74" s="321"/>
      <c r="Q74" s="321"/>
      <c r="R74" s="321"/>
      <c r="S74" s="321"/>
      <c r="T74" s="320">
        <f>J74-P74-S74</f>
      </c>
      <c r="U74" s="322"/>
      <c r="V74" s="319"/>
      <c r="W74" s="321"/>
      <c r="X74" s="29">
        <f>K74</f>
      </c>
      <c r="Y74" s="29"/>
      <c r="Z74" s="373">
        <v>17847795</v>
      </c>
      <c r="AA74" s="29"/>
      <c r="AB74" s="107">
        <f>AB73-X74+Y74+AA74</f>
      </c>
      <c r="AC74" s="107" t="s">
        <v>4682</v>
      </c>
      <c r="AD74" s="29"/>
      <c r="AE74" s="29">
        <f>AE73-AD74</f>
      </c>
      <c r="AF74" s="29"/>
      <c r="AG74" s="34"/>
      <c r="AH74" s="34"/>
    </row>
    <row x14ac:dyDescent="0.25" r="75" customHeight="1" ht="19.5">
      <c r="A75" s="364">
        <v>45765</v>
      </c>
      <c r="B75" s="365"/>
      <c r="C75" s="365"/>
      <c r="D75" s="365"/>
      <c r="E75" s="365"/>
      <c r="F75" s="365"/>
      <c r="G75" s="365" t="s">
        <v>4683</v>
      </c>
      <c r="H75" s="365"/>
      <c r="I75" s="366"/>
      <c r="J75" s="367">
        <v>1043820</v>
      </c>
      <c r="K75" s="368">
        <v>1043820</v>
      </c>
      <c r="L75" s="367">
        <f>J75-K75</f>
      </c>
      <c r="M75" s="365" t="s">
        <v>50</v>
      </c>
      <c r="N75" s="365" t="s">
        <v>4684</v>
      </c>
      <c r="O75" s="366" t="s">
        <v>2777</v>
      </c>
      <c r="P75" s="321"/>
      <c r="Q75" s="321"/>
      <c r="R75" s="321"/>
      <c r="S75" s="321"/>
      <c r="T75" s="320">
        <f>J75-P75-S75</f>
      </c>
      <c r="U75" s="322"/>
      <c r="V75" s="319"/>
      <c r="W75" s="321"/>
      <c r="X75" s="29">
        <f>K75</f>
      </c>
      <c r="Y75" s="29"/>
      <c r="Z75" s="29"/>
      <c r="AA75" s="29"/>
      <c r="AB75" s="107">
        <f>AB74-X75+Y75+AA75</f>
      </c>
      <c r="AC75" s="29"/>
      <c r="AD75" s="29"/>
      <c r="AE75" s="29">
        <f>AE74-AD75</f>
      </c>
      <c r="AF75" s="29"/>
      <c r="AG75" s="34"/>
      <c r="AH75" s="34"/>
    </row>
    <row x14ac:dyDescent="0.25" r="76" customHeight="1" ht="19.5">
      <c r="A76" s="364">
        <v>45765</v>
      </c>
      <c r="B76" s="365"/>
      <c r="C76" s="365"/>
      <c r="D76" s="365"/>
      <c r="E76" s="365"/>
      <c r="F76" s="365"/>
      <c r="G76" s="365" t="s">
        <v>4685</v>
      </c>
      <c r="H76" s="365"/>
      <c r="I76" s="366"/>
      <c r="J76" s="367">
        <v>1043820</v>
      </c>
      <c r="K76" s="368">
        <v>1043820</v>
      </c>
      <c r="L76" s="367">
        <f>J76-K76</f>
      </c>
      <c r="M76" s="365" t="s">
        <v>50</v>
      </c>
      <c r="N76" s="365" t="s">
        <v>4686</v>
      </c>
      <c r="O76" s="366" t="s">
        <v>2777</v>
      </c>
      <c r="P76" s="321"/>
      <c r="Q76" s="321"/>
      <c r="R76" s="321"/>
      <c r="S76" s="321"/>
      <c r="T76" s="320">
        <f>J76-P76-S76</f>
      </c>
      <c r="U76" s="322"/>
      <c r="V76" s="319"/>
      <c r="W76" s="321"/>
      <c r="X76" s="29">
        <f>K76</f>
      </c>
      <c r="Y76" s="29"/>
      <c r="Z76" s="29">
        <v>12018373</v>
      </c>
      <c r="AA76" s="29">
        <v>2702500</v>
      </c>
      <c r="AB76" s="107">
        <f>AB75-X76+Y76+AA76</f>
      </c>
      <c r="AC76" s="29"/>
      <c r="AD76" s="29"/>
      <c r="AE76" s="29">
        <f>AE75-AD76</f>
      </c>
      <c r="AF76" s="29"/>
      <c r="AG76" s="34"/>
      <c r="AH76" s="34"/>
    </row>
    <row x14ac:dyDescent="0.25" r="77" customHeight="1" ht="19.5">
      <c r="A77" s="402">
        <v>45765</v>
      </c>
      <c r="B77" s="324" t="s">
        <v>46</v>
      </c>
      <c r="C77" s="324" t="s">
        <v>4687</v>
      </c>
      <c r="D77" s="324" t="s">
        <v>4688</v>
      </c>
      <c r="E77" s="324"/>
      <c r="F77" s="324" t="s">
        <v>266</v>
      </c>
      <c r="G77" s="324" t="s">
        <v>4689</v>
      </c>
      <c r="H77" s="324" t="s">
        <v>26</v>
      </c>
      <c r="I77" s="281">
        <v>817800</v>
      </c>
      <c r="J77" s="281">
        <v>1325850</v>
      </c>
      <c r="K77" s="69">
        <v>1148820</v>
      </c>
      <c r="L77" s="281">
        <f>J77-K77</f>
      </c>
      <c r="M77" s="324" t="s">
        <v>50</v>
      </c>
      <c r="N77" s="324" t="s">
        <v>4690</v>
      </c>
      <c r="O77" s="281">
        <v>2</v>
      </c>
      <c r="P77" s="325"/>
      <c r="Q77" s="325"/>
      <c r="R77" s="325"/>
      <c r="S77" s="281">
        <v>1321353</v>
      </c>
      <c r="T77" s="320">
        <f>J77-P77-S77</f>
      </c>
      <c r="U77" s="322">
        <v>45772</v>
      </c>
      <c r="V77" s="401" t="s">
        <v>2122</v>
      </c>
      <c r="W77" s="325"/>
      <c r="X77" s="29">
        <f>K77</f>
      </c>
      <c r="Y77" s="282"/>
      <c r="Z77" s="282"/>
      <c r="AA77" s="282"/>
      <c r="AB77" s="282">
        <f>AB76-X77+Y77+AA77</f>
      </c>
      <c r="AC77" s="282"/>
      <c r="AD77" s="282"/>
      <c r="AE77" s="403">
        <f>AE76-AD77</f>
      </c>
      <c r="AF77" s="282"/>
      <c r="AG77" s="60"/>
      <c r="AH77" s="60"/>
    </row>
    <row x14ac:dyDescent="0.25" r="78" customHeight="1" ht="19.5">
      <c r="A78" s="364">
        <v>45765</v>
      </c>
      <c r="B78" s="365"/>
      <c r="C78" s="365"/>
      <c r="D78" s="365"/>
      <c r="E78" s="365"/>
      <c r="F78" s="365"/>
      <c r="G78" s="365" t="s">
        <v>4683</v>
      </c>
      <c r="H78" s="365" t="s">
        <v>26</v>
      </c>
      <c r="I78" s="366"/>
      <c r="J78" s="367">
        <v>1104520</v>
      </c>
      <c r="K78" s="368">
        <v>1104520</v>
      </c>
      <c r="L78" s="367">
        <f>J78-K78</f>
      </c>
      <c r="M78" s="365" t="s">
        <v>50</v>
      </c>
      <c r="N78" s="365" t="s">
        <v>4691</v>
      </c>
      <c r="O78" s="366" t="s">
        <v>2777</v>
      </c>
      <c r="P78" s="321"/>
      <c r="Q78" s="321"/>
      <c r="R78" s="321"/>
      <c r="S78" s="321"/>
      <c r="T78" s="320">
        <f>J78-P78-S78</f>
      </c>
      <c r="U78" s="322"/>
      <c r="V78" s="319"/>
      <c r="W78" s="321"/>
      <c r="X78" s="29">
        <f>K78</f>
      </c>
      <c r="Y78" s="29"/>
      <c r="Z78" s="29"/>
      <c r="AA78" s="29"/>
      <c r="AB78" s="107">
        <f>AB77-X78+Y78+AA78</f>
      </c>
      <c r="AC78" s="29"/>
      <c r="AD78" s="29"/>
      <c r="AE78" s="29">
        <f>AE77-AD78</f>
      </c>
      <c r="AF78" s="29"/>
      <c r="AG78" s="34"/>
      <c r="AH78" s="34"/>
    </row>
    <row x14ac:dyDescent="0.25" r="79" customHeight="1" ht="19.5">
      <c r="A79" s="364">
        <v>45765</v>
      </c>
      <c r="B79" s="365"/>
      <c r="C79" s="365"/>
      <c r="D79" s="365"/>
      <c r="E79" s="365"/>
      <c r="F79" s="365"/>
      <c r="G79" s="365" t="s">
        <v>4685</v>
      </c>
      <c r="H79" s="365" t="s">
        <v>26</v>
      </c>
      <c r="I79" s="366"/>
      <c r="J79" s="367">
        <v>1104520</v>
      </c>
      <c r="K79" s="368">
        <v>1104520</v>
      </c>
      <c r="L79" s="367">
        <f>J79-K79</f>
      </c>
      <c r="M79" s="365" t="s">
        <v>50</v>
      </c>
      <c r="N79" s="365" t="s">
        <v>4692</v>
      </c>
      <c r="O79" s="366" t="s">
        <v>2777</v>
      </c>
      <c r="P79" s="321"/>
      <c r="Q79" s="321"/>
      <c r="R79" s="321"/>
      <c r="S79" s="321"/>
      <c r="T79" s="320">
        <f>J79-P79-S79</f>
      </c>
      <c r="U79" s="322"/>
      <c r="V79" s="319"/>
      <c r="W79" s="321"/>
      <c r="X79" s="29">
        <f>K79</f>
      </c>
      <c r="Y79" s="29"/>
      <c r="Z79" s="29"/>
      <c r="AA79" s="29"/>
      <c r="AB79" s="107">
        <f>AB78-X79+Y79+AA79</f>
      </c>
      <c r="AC79" s="29"/>
      <c r="AD79" s="29"/>
      <c r="AE79" s="29">
        <f>AE78-AD79</f>
      </c>
      <c r="AF79" s="29"/>
      <c r="AG79" s="34"/>
      <c r="AH79" s="34"/>
    </row>
    <row x14ac:dyDescent="0.25" r="80" customHeight="1" ht="19.5">
      <c r="A80" s="364">
        <v>45765</v>
      </c>
      <c r="B80" s="365" t="s">
        <v>53</v>
      </c>
      <c r="C80" s="365" t="s">
        <v>54</v>
      </c>
      <c r="D80" s="365" t="s">
        <v>4693</v>
      </c>
      <c r="E80" s="365"/>
      <c r="F80" s="365"/>
      <c r="G80" s="404" t="s">
        <v>4694</v>
      </c>
      <c r="H80" s="365" t="s">
        <v>26</v>
      </c>
      <c r="I80" s="366"/>
      <c r="J80" s="405">
        <v>1937420</v>
      </c>
      <c r="K80" s="406">
        <v>1937420</v>
      </c>
      <c r="L80" s="407"/>
      <c r="M80" s="365" t="s">
        <v>137</v>
      </c>
      <c r="N80" s="365" t="s">
        <v>4695</v>
      </c>
      <c r="O80" s="366" t="s">
        <v>2777</v>
      </c>
      <c r="P80" s="321"/>
      <c r="Q80" s="321"/>
      <c r="R80" s="321"/>
      <c r="S80" s="321"/>
      <c r="T80" s="320">
        <f>J80-P80-S80</f>
      </c>
      <c r="U80" s="322"/>
      <c r="V80" s="319"/>
      <c r="W80" s="321"/>
      <c r="X80" s="29">
        <f>K80</f>
      </c>
      <c r="Y80" s="29"/>
      <c r="Z80" s="29">
        <v>13167193</v>
      </c>
      <c r="AA80" s="282"/>
      <c r="AB80" s="107">
        <f>AB79-X80+Y80+AA80</f>
      </c>
      <c r="AC80" s="29"/>
      <c r="AD80" s="29"/>
      <c r="AE80" s="29">
        <f>AE79-AD80</f>
      </c>
      <c r="AF80" s="29"/>
      <c r="AG80" s="34"/>
      <c r="AH80" s="34"/>
    </row>
    <row x14ac:dyDescent="0.25" r="81" customHeight="1" ht="27">
      <c r="A81" s="402">
        <v>45765</v>
      </c>
      <c r="B81" s="319" t="s">
        <v>53</v>
      </c>
      <c r="C81" s="319" t="s">
        <v>54</v>
      </c>
      <c r="D81" s="319" t="s">
        <v>4696</v>
      </c>
      <c r="E81" s="319"/>
      <c r="F81" s="319" t="s">
        <v>3172</v>
      </c>
      <c r="G81" s="14" t="s">
        <v>4697</v>
      </c>
      <c r="H81" s="324" t="s">
        <v>26</v>
      </c>
      <c r="I81" s="408">
        <v>436900</v>
      </c>
      <c r="J81" s="17">
        <v>859980</v>
      </c>
      <c r="K81" s="409">
        <v>698920</v>
      </c>
      <c r="L81" s="320">
        <f>J81-K81</f>
      </c>
      <c r="M81" s="319" t="s">
        <v>137</v>
      </c>
      <c r="N81" s="319" t="s">
        <v>4698</v>
      </c>
      <c r="O81" s="321"/>
      <c r="P81" s="396">
        <v>1000000</v>
      </c>
      <c r="Q81" s="329">
        <v>1498180</v>
      </c>
      <c r="R81" s="410"/>
      <c r="S81" s="396">
        <v>3000000</v>
      </c>
      <c r="T81" s="396">
        <f>J81+J82+J83+J84+J85+J86-P81-Q81-S81</f>
      </c>
      <c r="U81" s="411" t="s">
        <v>4699</v>
      </c>
      <c r="V81" s="341" t="s">
        <v>1718</v>
      </c>
      <c r="W81" s="412"/>
      <c r="X81" s="29">
        <f>K81</f>
      </c>
      <c r="Y81" s="29"/>
      <c r="Z81" s="29"/>
      <c r="AA81" s="29"/>
      <c r="AB81" s="107">
        <f>AB80-X81+Y81+AA81</f>
      </c>
      <c r="AC81" s="29"/>
      <c r="AD81" s="29"/>
      <c r="AE81" s="29">
        <f>AE80-AD81</f>
      </c>
      <c r="AF81" s="29"/>
      <c r="AG81" s="34"/>
      <c r="AH81" s="34"/>
    </row>
    <row x14ac:dyDescent="0.25" r="82" customHeight="1" ht="19.5">
      <c r="A82" s="402">
        <v>45765</v>
      </c>
      <c r="B82" s="319" t="s">
        <v>53</v>
      </c>
      <c r="C82" s="319" t="s">
        <v>282</v>
      </c>
      <c r="D82" s="319" t="s">
        <v>4700</v>
      </c>
      <c r="E82" s="319"/>
      <c r="F82" s="319" t="s">
        <v>3172</v>
      </c>
      <c r="G82" s="14" t="s">
        <v>4701</v>
      </c>
      <c r="H82" s="324" t="s">
        <v>26</v>
      </c>
      <c r="I82" s="408">
        <v>476900</v>
      </c>
      <c r="J82" s="17">
        <v>839900</v>
      </c>
      <c r="K82" s="413">
        <v>738920</v>
      </c>
      <c r="L82" s="320">
        <f>J82-K82</f>
      </c>
      <c r="M82" s="319" t="s">
        <v>137</v>
      </c>
      <c r="N82" s="319" t="s">
        <v>4702</v>
      </c>
      <c r="O82" s="321"/>
      <c r="P82" s="398"/>
      <c r="Q82" s="332"/>
      <c r="R82" s="332"/>
      <c r="S82" s="398"/>
      <c r="T82" s="398"/>
      <c r="U82" s="414"/>
      <c r="V82" s="400"/>
      <c r="W82" s="415"/>
      <c r="X82" s="29">
        <f>K82</f>
      </c>
      <c r="Y82" s="29"/>
      <c r="Z82" s="29"/>
      <c r="AA82" s="29"/>
      <c r="AB82" s="107">
        <f>AB81-X82+Y82+AA82</f>
      </c>
      <c r="AC82" s="29"/>
      <c r="AD82" s="29"/>
      <c r="AE82" s="29">
        <f>AE81-AD82</f>
      </c>
      <c r="AF82" s="29"/>
      <c r="AG82" s="34"/>
      <c r="AH82" s="34"/>
    </row>
    <row x14ac:dyDescent="0.25" r="83" customHeight="1" ht="19.5">
      <c r="A83" s="402">
        <v>45765</v>
      </c>
      <c r="B83" s="319" t="s">
        <v>53</v>
      </c>
      <c r="C83" s="319" t="s">
        <v>282</v>
      </c>
      <c r="D83" s="319" t="s">
        <v>4700</v>
      </c>
      <c r="E83" s="319"/>
      <c r="F83" s="319" t="s">
        <v>3172</v>
      </c>
      <c r="G83" s="416" t="s">
        <v>4703</v>
      </c>
      <c r="H83" s="324" t="s">
        <v>26</v>
      </c>
      <c r="I83" s="320">
        <v>515000</v>
      </c>
      <c r="J83" s="17">
        <v>898800</v>
      </c>
      <c r="K83" s="409">
        <v>777020</v>
      </c>
      <c r="L83" s="320">
        <f>J83-K83</f>
      </c>
      <c r="M83" s="319" t="s">
        <v>137</v>
      </c>
      <c r="N83" s="319" t="s">
        <v>4704</v>
      </c>
      <c r="O83" s="321"/>
      <c r="P83" s="398"/>
      <c r="Q83" s="332"/>
      <c r="R83" s="332"/>
      <c r="S83" s="398"/>
      <c r="T83" s="398"/>
      <c r="U83" s="414"/>
      <c r="V83" s="400"/>
      <c r="W83" s="415"/>
      <c r="X83" s="29">
        <f>K83</f>
      </c>
      <c r="Y83" s="29"/>
      <c r="Z83" s="29"/>
      <c r="AA83" s="29"/>
      <c r="AB83" s="107">
        <f>AB82-X83+Y83+AA83</f>
      </c>
      <c r="AC83" s="29"/>
      <c r="AD83" s="29"/>
      <c r="AE83" s="29">
        <f>AE82-AD83</f>
      </c>
      <c r="AF83" s="29"/>
      <c r="AG83" s="34"/>
      <c r="AH83" s="34"/>
    </row>
    <row x14ac:dyDescent="0.25" r="84" customHeight="1" ht="19.5">
      <c r="A84" s="402">
        <v>45765</v>
      </c>
      <c r="B84" s="319" t="s">
        <v>53</v>
      </c>
      <c r="C84" s="319" t="s">
        <v>282</v>
      </c>
      <c r="D84" s="319" t="s">
        <v>4700</v>
      </c>
      <c r="E84" s="319"/>
      <c r="F84" s="319" t="s">
        <v>3172</v>
      </c>
      <c r="G84" s="14" t="s">
        <v>4705</v>
      </c>
      <c r="H84" s="324" t="s">
        <v>26</v>
      </c>
      <c r="I84" s="408">
        <v>476900</v>
      </c>
      <c r="J84" s="320">
        <v>839900</v>
      </c>
      <c r="K84" s="413">
        <v>738920</v>
      </c>
      <c r="L84" s="320">
        <f>J84-K84</f>
      </c>
      <c r="M84" s="319" t="s">
        <v>137</v>
      </c>
      <c r="N84" s="319" t="s">
        <v>4706</v>
      </c>
      <c r="O84" s="321"/>
      <c r="P84" s="398"/>
      <c r="Q84" s="332"/>
      <c r="R84" s="332"/>
      <c r="S84" s="398"/>
      <c r="T84" s="398"/>
      <c r="U84" s="414"/>
      <c r="V84" s="400"/>
      <c r="W84" s="415"/>
      <c r="X84" s="29">
        <f>K84</f>
      </c>
      <c r="Y84" s="29"/>
      <c r="Z84" s="29"/>
      <c r="AA84" s="29"/>
      <c r="AB84" s="107">
        <f>AB83-X84+Y84+AA84</f>
      </c>
      <c r="AC84" s="29"/>
      <c r="AD84" s="29"/>
      <c r="AE84" s="29">
        <f>AE83-AD84</f>
      </c>
      <c r="AF84" s="29"/>
      <c r="AG84" s="34"/>
      <c r="AH84" s="34"/>
    </row>
    <row x14ac:dyDescent="0.25" r="85" customHeight="1" ht="19.5">
      <c r="A85" s="402">
        <v>45765</v>
      </c>
      <c r="B85" s="319" t="s">
        <v>53</v>
      </c>
      <c r="C85" s="319" t="s">
        <v>282</v>
      </c>
      <c r="D85" s="319" t="s">
        <v>4707</v>
      </c>
      <c r="E85" s="319"/>
      <c r="F85" s="319" t="s">
        <v>3172</v>
      </c>
      <c r="G85" s="14" t="s">
        <v>4708</v>
      </c>
      <c r="H85" s="324" t="s">
        <v>26</v>
      </c>
      <c r="I85" s="320">
        <v>635700</v>
      </c>
      <c r="J85" s="17">
        <v>1029800</v>
      </c>
      <c r="K85" s="413">
        <v>897720</v>
      </c>
      <c r="L85" s="320">
        <f>J85-K85</f>
      </c>
      <c r="M85" s="319" t="s">
        <v>137</v>
      </c>
      <c r="N85" s="319" t="s">
        <v>4709</v>
      </c>
      <c r="O85" s="321"/>
      <c r="P85" s="398"/>
      <c r="Q85" s="332"/>
      <c r="R85" s="332"/>
      <c r="S85" s="398"/>
      <c r="T85" s="398"/>
      <c r="U85" s="414"/>
      <c r="V85" s="400"/>
      <c r="W85" s="415"/>
      <c r="X85" s="29">
        <f>K85</f>
      </c>
      <c r="Y85" s="29"/>
      <c r="Z85" s="29"/>
      <c r="AA85" s="29"/>
      <c r="AB85" s="107">
        <f>AB84-X85+Y85+AA85</f>
      </c>
      <c r="AC85" s="29"/>
      <c r="AD85" s="29"/>
      <c r="AE85" s="29">
        <f>AE84-AD85</f>
      </c>
      <c r="AF85" s="29"/>
      <c r="AG85" s="34"/>
      <c r="AH85" s="34"/>
    </row>
    <row x14ac:dyDescent="0.25" r="86" customHeight="1" ht="19.5">
      <c r="A86" s="402">
        <v>45765</v>
      </c>
      <c r="B86" s="319" t="s">
        <v>53</v>
      </c>
      <c r="C86" s="319" t="s">
        <v>282</v>
      </c>
      <c r="D86" s="319" t="s">
        <v>4707</v>
      </c>
      <c r="E86" s="319"/>
      <c r="F86" s="319" t="s">
        <v>3172</v>
      </c>
      <c r="G86" s="14" t="s">
        <v>4710</v>
      </c>
      <c r="H86" s="324" t="s">
        <v>26</v>
      </c>
      <c r="I86" s="320">
        <v>635700</v>
      </c>
      <c r="J86" s="17">
        <v>1029800</v>
      </c>
      <c r="K86" s="413">
        <v>897720</v>
      </c>
      <c r="L86" s="320">
        <f>J86-K86</f>
      </c>
      <c r="M86" s="319" t="s">
        <v>137</v>
      </c>
      <c r="N86" s="319" t="s">
        <v>4711</v>
      </c>
      <c r="O86" s="321"/>
      <c r="P86" s="384"/>
      <c r="Q86" s="335"/>
      <c r="R86" s="335"/>
      <c r="S86" s="384"/>
      <c r="T86" s="384"/>
      <c r="U86" s="417"/>
      <c r="V86" s="344"/>
      <c r="W86" s="418"/>
      <c r="X86" s="29">
        <f>K86</f>
      </c>
      <c r="Y86" s="29"/>
      <c r="Z86" s="29"/>
      <c r="AA86" s="29"/>
      <c r="AB86" s="107">
        <f>AB85-X86+Y86+AA86</f>
      </c>
      <c r="AC86" s="29"/>
      <c r="AD86" s="29"/>
      <c r="AE86" s="29">
        <f>AE85-AD86</f>
      </c>
      <c r="AF86" s="29"/>
      <c r="AG86" s="34"/>
      <c r="AH86" s="34"/>
    </row>
    <row x14ac:dyDescent="0.25" r="87" customHeight="1" ht="19.5">
      <c r="A87" s="402">
        <v>45765</v>
      </c>
      <c r="B87" s="324" t="s">
        <v>46</v>
      </c>
      <c r="C87" s="324" t="s">
        <v>4712</v>
      </c>
      <c r="D87" s="324" t="s">
        <v>4428</v>
      </c>
      <c r="E87" s="324"/>
      <c r="F87" s="324" t="s">
        <v>4465</v>
      </c>
      <c r="G87" s="324" t="s">
        <v>4466</v>
      </c>
      <c r="H87" s="324" t="s">
        <v>26</v>
      </c>
      <c r="I87" s="408" t="s">
        <v>4713</v>
      </c>
      <c r="J87" s="419">
        <v>4388600</v>
      </c>
      <c r="K87" s="69">
        <v>4221600</v>
      </c>
      <c r="L87" s="281">
        <f>J87-K87</f>
      </c>
      <c r="M87" s="324" t="s">
        <v>3045</v>
      </c>
      <c r="N87" s="324" t="s">
        <v>4714</v>
      </c>
      <c r="O87" s="325"/>
      <c r="P87" s="321"/>
      <c r="Q87" s="321"/>
      <c r="R87" s="321"/>
      <c r="S87" s="321"/>
      <c r="T87" s="320">
        <f>J87-P87-S87</f>
      </c>
      <c r="U87" s="322"/>
      <c r="V87" s="319"/>
      <c r="W87" s="321"/>
      <c r="X87" s="29">
        <v>0</v>
      </c>
      <c r="Y87" s="29"/>
      <c r="Z87" s="29"/>
      <c r="AA87" s="29"/>
      <c r="AB87" s="107">
        <f>AB86-X87+Y87+AA87</f>
      </c>
      <c r="AC87" s="29"/>
      <c r="AD87" s="29"/>
      <c r="AE87" s="29">
        <f>AE86-AD87</f>
      </c>
      <c r="AF87" s="29"/>
      <c r="AG87" s="34"/>
      <c r="AH87" s="34"/>
    </row>
    <row x14ac:dyDescent="0.25" r="88" customHeight="1" ht="19.5">
      <c r="A88" s="393">
        <v>45765</v>
      </c>
      <c r="B88" s="328" t="s">
        <v>46</v>
      </c>
      <c r="C88" s="328" t="s">
        <v>4715</v>
      </c>
      <c r="D88" s="328" t="s">
        <v>4428</v>
      </c>
      <c r="E88" s="328" t="s">
        <v>4716</v>
      </c>
      <c r="F88" s="328" t="s">
        <v>4465</v>
      </c>
      <c r="G88" s="328" t="s">
        <v>341</v>
      </c>
      <c r="H88" s="328" t="s">
        <v>26</v>
      </c>
      <c r="I88" s="348"/>
      <c r="J88" s="347">
        <v>253500</v>
      </c>
      <c r="K88" s="57">
        <v>0</v>
      </c>
      <c r="L88" s="347">
        <f>J88-K88</f>
      </c>
      <c r="M88" s="328" t="s">
        <v>3045</v>
      </c>
      <c r="N88" s="328" t="s">
        <v>4717</v>
      </c>
      <c r="O88" s="348" t="s">
        <v>343</v>
      </c>
      <c r="P88" s="348"/>
      <c r="Q88" s="348"/>
      <c r="R88" s="348"/>
      <c r="S88" s="348"/>
      <c r="T88" s="347">
        <f>J88-P88-S88</f>
      </c>
      <c r="U88" s="420"/>
      <c r="V88" s="328"/>
      <c r="W88" s="348"/>
      <c r="X88" s="421">
        <f>K88</f>
      </c>
      <c r="Y88" s="29"/>
      <c r="Z88" s="421"/>
      <c r="AA88" s="29"/>
      <c r="AB88" s="422">
        <f>AB87-X88+Y88+AA88</f>
      </c>
      <c r="AC88" s="29"/>
      <c r="AD88" s="29"/>
      <c r="AE88" s="421">
        <f>AE87-AD88</f>
      </c>
      <c r="AF88" s="29"/>
      <c r="AG88" s="34"/>
      <c r="AH88" s="34"/>
    </row>
    <row x14ac:dyDescent="0.25" r="89" customHeight="1" ht="19.5">
      <c r="A89" s="362">
        <v>45766</v>
      </c>
      <c r="B89" s="319" t="s">
        <v>111</v>
      </c>
      <c r="C89" s="319" t="s">
        <v>4718</v>
      </c>
      <c r="D89" s="319" t="s">
        <v>166</v>
      </c>
      <c r="E89" s="319"/>
      <c r="F89" s="319" t="s">
        <v>327</v>
      </c>
      <c r="G89" s="319" t="s">
        <v>407</v>
      </c>
      <c r="H89" s="319" t="s">
        <v>26</v>
      </c>
      <c r="I89" s="320">
        <v>268300</v>
      </c>
      <c r="J89" s="320">
        <v>728900</v>
      </c>
      <c r="K89" s="17">
        <v>631120</v>
      </c>
      <c r="L89" s="320">
        <f>J89-K89</f>
      </c>
      <c r="M89" s="319" t="s">
        <v>50</v>
      </c>
      <c r="N89" s="319" t="s">
        <v>4719</v>
      </c>
      <c r="O89" s="320">
        <v>4</v>
      </c>
      <c r="P89" s="321"/>
      <c r="Q89" s="321"/>
      <c r="R89" s="321"/>
      <c r="S89" s="320">
        <v>728900</v>
      </c>
      <c r="T89" s="320">
        <f>J89-P89-S89</f>
      </c>
      <c r="U89" s="322">
        <v>45791</v>
      </c>
      <c r="V89" s="319" t="s">
        <v>2216</v>
      </c>
      <c r="W89" s="315" t="s">
        <v>4720</v>
      </c>
      <c r="X89" s="29">
        <f>K89</f>
      </c>
      <c r="Y89" s="29"/>
      <c r="Z89" s="29">
        <v>7786853</v>
      </c>
      <c r="AA89" s="29"/>
      <c r="AB89" s="107">
        <f>AB88-X89+Y89+AA89</f>
      </c>
      <c r="AC89" s="29"/>
      <c r="AD89" s="29"/>
      <c r="AE89" s="29">
        <f>AE88-AD89</f>
      </c>
      <c r="AF89" s="29"/>
      <c r="AG89" s="34"/>
      <c r="AH89" s="34"/>
    </row>
    <row x14ac:dyDescent="0.25" r="90" customHeight="1" ht="19.5">
      <c r="A90" s="402">
        <v>45766</v>
      </c>
      <c r="B90" s="324" t="s">
        <v>475</v>
      </c>
      <c r="C90" s="324" t="s">
        <v>4428</v>
      </c>
      <c r="D90" s="324" t="s">
        <v>485</v>
      </c>
      <c r="E90" s="324" t="s">
        <v>4721</v>
      </c>
      <c r="F90" s="324" t="s">
        <v>548</v>
      </c>
      <c r="G90" s="324" t="s">
        <v>4671</v>
      </c>
      <c r="H90" s="324" t="s">
        <v>26</v>
      </c>
      <c r="I90" s="281">
        <v>137900</v>
      </c>
      <c r="J90" s="281">
        <v>232000</v>
      </c>
      <c r="K90" s="69">
        <v>182000</v>
      </c>
      <c r="L90" s="281">
        <f>J90-K90</f>
      </c>
      <c r="M90" s="324" t="s">
        <v>475</v>
      </c>
      <c r="N90" s="324" t="s">
        <v>4722</v>
      </c>
      <c r="O90" s="325" t="s">
        <v>4723</v>
      </c>
      <c r="P90" s="321"/>
      <c r="Q90" s="321"/>
      <c r="R90" s="321"/>
      <c r="S90" s="329">
        <v>458605</v>
      </c>
      <c r="T90" s="396">
        <f>J90+J91-P90-S90</f>
      </c>
      <c r="U90" s="330">
        <v>45779</v>
      </c>
      <c r="V90" s="331" t="s">
        <v>2122</v>
      </c>
      <c r="W90" s="321"/>
      <c r="X90" s="29">
        <v>0</v>
      </c>
      <c r="Y90" s="29"/>
      <c r="Z90" s="29"/>
      <c r="AA90" s="29"/>
      <c r="AB90" s="107">
        <f>AB89-X90+Y90+AA90</f>
      </c>
      <c r="AC90" s="29"/>
      <c r="AD90" s="29"/>
      <c r="AE90" s="29">
        <f>AE89-AD90</f>
      </c>
      <c r="AF90" s="29"/>
      <c r="AG90" s="34"/>
      <c r="AH90" s="34"/>
    </row>
    <row x14ac:dyDescent="0.25" r="91" customHeight="1" ht="19.5">
      <c r="A91" s="385">
        <v>45766</v>
      </c>
      <c r="B91" s="386" t="s">
        <v>475</v>
      </c>
      <c r="C91" s="386" t="s">
        <v>4428</v>
      </c>
      <c r="D91" s="386" t="s">
        <v>485</v>
      </c>
      <c r="E91" s="386" t="s">
        <v>4721</v>
      </c>
      <c r="F91" s="386" t="s">
        <v>548</v>
      </c>
      <c r="G91" s="386" t="s">
        <v>4673</v>
      </c>
      <c r="H91" s="386" t="s">
        <v>26</v>
      </c>
      <c r="I91" s="388">
        <v>137900</v>
      </c>
      <c r="J91" s="388">
        <v>232000</v>
      </c>
      <c r="K91" s="389">
        <v>182000</v>
      </c>
      <c r="L91" s="388">
        <f>J91-K91</f>
      </c>
      <c r="M91" s="386" t="s">
        <v>475</v>
      </c>
      <c r="N91" s="386" t="s">
        <v>4724</v>
      </c>
      <c r="O91" s="390" t="s">
        <v>4725</v>
      </c>
      <c r="P91" s="321"/>
      <c r="Q91" s="321"/>
      <c r="R91" s="321"/>
      <c r="S91" s="335"/>
      <c r="T91" s="384"/>
      <c r="U91" s="336"/>
      <c r="V91" s="337"/>
      <c r="W91" s="321"/>
      <c r="X91" s="29">
        <v>0</v>
      </c>
      <c r="Y91" s="29"/>
      <c r="Z91" s="29"/>
      <c r="AA91" s="29"/>
      <c r="AB91" s="107">
        <f>AB90-X91+Y91+AA91</f>
      </c>
      <c r="AC91" s="29"/>
      <c r="AD91" s="29"/>
      <c r="AE91" s="29">
        <f>AE90-AD91</f>
      </c>
      <c r="AF91" s="29"/>
      <c r="AG91" s="34"/>
      <c r="AH91" s="34"/>
    </row>
    <row x14ac:dyDescent="0.25" r="92" customHeight="1" ht="19.5">
      <c r="A92" s="362">
        <v>45766</v>
      </c>
      <c r="B92" s="319" t="s">
        <v>22</v>
      </c>
      <c r="C92" s="319" t="s">
        <v>4428</v>
      </c>
      <c r="D92" s="319" t="s">
        <v>485</v>
      </c>
      <c r="E92" s="319" t="s">
        <v>4726</v>
      </c>
      <c r="F92" s="319" t="s">
        <v>548</v>
      </c>
      <c r="G92" s="319" t="s">
        <v>4671</v>
      </c>
      <c r="H92" s="319" t="s">
        <v>26</v>
      </c>
      <c r="I92" s="321"/>
      <c r="J92" s="320">
        <v>215850</v>
      </c>
      <c r="K92" s="17">
        <v>115850</v>
      </c>
      <c r="L92" s="320">
        <f>J92-K92</f>
      </c>
      <c r="M92" s="319" t="s">
        <v>22</v>
      </c>
      <c r="N92" s="319" t="s">
        <v>4727</v>
      </c>
      <c r="O92" s="321" t="s">
        <v>4723</v>
      </c>
      <c r="P92" s="321"/>
      <c r="Q92" s="321"/>
      <c r="R92" s="321"/>
      <c r="S92" s="321"/>
      <c r="T92" s="320">
        <f>J92-P92-S92</f>
      </c>
      <c r="U92" s="322"/>
      <c r="V92" s="319"/>
      <c r="W92" s="321"/>
      <c r="X92" s="29">
        <v>0</v>
      </c>
      <c r="Y92" s="29"/>
      <c r="Z92" s="29"/>
      <c r="AA92" s="29"/>
      <c r="AB92" s="107">
        <f>AB91-X92+Y92+AA92</f>
      </c>
      <c r="AC92" s="107" t="s">
        <v>4728</v>
      </c>
      <c r="AD92" s="29"/>
      <c r="AE92" s="29">
        <f>AE91-AD92</f>
      </c>
      <c r="AF92" s="29"/>
      <c r="AG92" s="34"/>
      <c r="AH92" s="34"/>
    </row>
    <row x14ac:dyDescent="0.25" r="93" customHeight="1" ht="19.5">
      <c r="A93" s="385">
        <v>45766</v>
      </c>
      <c r="B93" s="386" t="s">
        <v>22</v>
      </c>
      <c r="C93" s="386" t="s">
        <v>4428</v>
      </c>
      <c r="D93" s="386" t="s">
        <v>485</v>
      </c>
      <c r="E93" s="386" t="s">
        <v>4726</v>
      </c>
      <c r="F93" s="386" t="s">
        <v>548</v>
      </c>
      <c r="G93" s="386" t="s">
        <v>4673</v>
      </c>
      <c r="H93" s="386" t="s">
        <v>26</v>
      </c>
      <c r="I93" s="390"/>
      <c r="J93" s="388">
        <v>215850</v>
      </c>
      <c r="K93" s="389">
        <v>115850</v>
      </c>
      <c r="L93" s="388">
        <f>J93-K93</f>
      </c>
      <c r="M93" s="386" t="s">
        <v>22</v>
      </c>
      <c r="N93" s="386" t="s">
        <v>4727</v>
      </c>
      <c r="O93" s="390" t="s">
        <v>4725</v>
      </c>
      <c r="P93" s="321"/>
      <c r="Q93" s="321"/>
      <c r="R93" s="321"/>
      <c r="S93" s="321"/>
      <c r="T93" s="320">
        <f>J93-P93-S93</f>
      </c>
      <c r="U93" s="322"/>
      <c r="V93" s="319"/>
      <c r="W93" s="321"/>
      <c r="X93" s="29">
        <v>0</v>
      </c>
      <c r="Y93" s="29"/>
      <c r="Z93" s="29"/>
      <c r="AA93" s="29"/>
      <c r="AB93" s="107">
        <f>AB92-X93+Y93+AA93</f>
      </c>
      <c r="AC93" s="29"/>
      <c r="AD93" s="29"/>
      <c r="AE93" s="29">
        <f>AE92-AD93</f>
      </c>
      <c r="AF93" s="29"/>
      <c r="AG93" s="34"/>
      <c r="AH93" s="34"/>
    </row>
    <row x14ac:dyDescent="0.25" r="94" customHeight="1" ht="19.5">
      <c r="A94" s="362">
        <v>45767</v>
      </c>
      <c r="B94" s="319" t="s">
        <v>46</v>
      </c>
      <c r="C94" s="319" t="s">
        <v>438</v>
      </c>
      <c r="D94" s="319" t="s">
        <v>4428</v>
      </c>
      <c r="E94" s="319"/>
      <c r="F94" s="319" t="s">
        <v>4465</v>
      </c>
      <c r="G94" s="319" t="s">
        <v>4729</v>
      </c>
      <c r="H94" s="319" t="s">
        <v>26</v>
      </c>
      <c r="I94" s="321"/>
      <c r="J94" s="320">
        <v>65000</v>
      </c>
      <c r="K94" s="17">
        <v>0</v>
      </c>
      <c r="L94" s="281">
        <f>J94-K94</f>
      </c>
      <c r="M94" s="319" t="s">
        <v>3045</v>
      </c>
      <c r="N94" s="319" t="s">
        <v>4730</v>
      </c>
      <c r="O94" s="321" t="s">
        <v>251</v>
      </c>
      <c r="P94" s="321"/>
      <c r="Q94" s="321"/>
      <c r="R94" s="321"/>
      <c r="S94" s="321"/>
      <c r="T94" s="320">
        <f>J94-P94-S94</f>
      </c>
      <c r="U94" s="322"/>
      <c r="V94" s="319"/>
      <c r="W94" s="321"/>
      <c r="X94" s="29">
        <v>0</v>
      </c>
      <c r="Y94" s="29"/>
      <c r="Z94" s="107"/>
      <c r="AA94" s="29"/>
      <c r="AB94" s="107"/>
      <c r="AC94" s="29"/>
      <c r="AD94" s="29"/>
      <c r="AE94" s="29"/>
      <c r="AF94" s="29"/>
      <c r="AG94" s="34"/>
      <c r="AH94" s="34"/>
    </row>
    <row x14ac:dyDescent="0.25" r="95" customHeight="1" ht="19.5">
      <c r="A95" s="362">
        <v>45767</v>
      </c>
      <c r="B95" s="319" t="s">
        <v>111</v>
      </c>
      <c r="C95" s="319" t="s">
        <v>4642</v>
      </c>
      <c r="D95" s="319" t="s">
        <v>402</v>
      </c>
      <c r="E95" s="319"/>
      <c r="F95" s="319" t="s">
        <v>266</v>
      </c>
      <c r="G95" s="319" t="s">
        <v>4565</v>
      </c>
      <c r="H95" s="319" t="s">
        <v>26</v>
      </c>
      <c r="I95" s="320">
        <v>1051100</v>
      </c>
      <c r="J95" s="320">
        <v>1365980</v>
      </c>
      <c r="K95" s="17">
        <v>1265500</v>
      </c>
      <c r="L95" s="281">
        <f>J95-K95</f>
      </c>
      <c r="M95" s="319" t="s">
        <v>50</v>
      </c>
      <c r="N95" s="319" t="s">
        <v>4731</v>
      </c>
      <c r="O95" s="423">
        <v>2</v>
      </c>
      <c r="P95" s="321"/>
      <c r="Q95" s="321"/>
      <c r="R95" s="321"/>
      <c r="S95" s="321"/>
      <c r="T95" s="320">
        <f>J95-P95-S95</f>
      </c>
      <c r="U95" s="322"/>
      <c r="V95" s="319"/>
      <c r="W95" s="321"/>
      <c r="X95" s="29">
        <f>K95</f>
      </c>
      <c r="Y95" s="29"/>
      <c r="Z95" s="29">
        <v>6521535</v>
      </c>
      <c r="AA95" s="29"/>
      <c r="AB95" s="107">
        <f>AB93-X95+Y95+AA95</f>
      </c>
      <c r="AC95" s="29"/>
      <c r="AD95" s="29"/>
      <c r="AE95" s="29">
        <f>AE93-AD95</f>
      </c>
      <c r="AF95" s="29"/>
      <c r="AG95" s="34"/>
      <c r="AH95" s="34"/>
    </row>
    <row x14ac:dyDescent="0.25" r="96" customHeight="1" ht="19.5">
      <c r="A96" s="364">
        <v>45768</v>
      </c>
      <c r="B96" s="365" t="s">
        <v>683</v>
      </c>
      <c r="C96" s="365" t="s">
        <v>4732</v>
      </c>
      <c r="D96" s="365" t="s">
        <v>448</v>
      </c>
      <c r="E96" s="365"/>
      <c r="F96" s="424" t="s">
        <v>4733</v>
      </c>
      <c r="G96" s="365" t="s">
        <v>4734</v>
      </c>
      <c r="H96" s="365" t="s">
        <v>4127</v>
      </c>
      <c r="I96" s="367">
        <v>106900</v>
      </c>
      <c r="J96" s="367">
        <v>210100</v>
      </c>
      <c r="K96" s="368">
        <v>210100</v>
      </c>
      <c r="L96" s="367">
        <f>J96-K96</f>
      </c>
      <c r="M96" s="365" t="s">
        <v>50</v>
      </c>
      <c r="N96" s="365" t="s">
        <v>4735</v>
      </c>
      <c r="O96" s="425" t="s">
        <v>2777</v>
      </c>
      <c r="P96" s="321"/>
      <c r="Q96" s="321"/>
      <c r="R96" s="321"/>
      <c r="S96" s="321"/>
      <c r="T96" s="320">
        <f>J96-P96-S96</f>
      </c>
      <c r="U96" s="322"/>
      <c r="V96" s="319"/>
      <c r="W96" s="321"/>
      <c r="X96" s="29">
        <f>K96</f>
      </c>
      <c r="Y96" s="29"/>
      <c r="Z96" s="29">
        <v>6311435</v>
      </c>
      <c r="AA96" s="29"/>
      <c r="AB96" s="107">
        <f>AB95-X96+Y96+AA96</f>
      </c>
      <c r="AC96" s="29"/>
      <c r="AD96" s="29"/>
      <c r="AE96" s="29">
        <f>AE95-AD96</f>
      </c>
      <c r="AF96" s="29"/>
      <c r="AG96" s="34"/>
      <c r="AH96" s="34"/>
    </row>
    <row x14ac:dyDescent="0.25" r="97" customHeight="1" ht="19.5">
      <c r="A97" s="362">
        <v>45768</v>
      </c>
      <c r="B97" s="319" t="s">
        <v>53</v>
      </c>
      <c r="C97" s="319" t="s">
        <v>4736</v>
      </c>
      <c r="D97" s="319" t="s">
        <v>54</v>
      </c>
      <c r="E97" s="319" t="s">
        <v>4737</v>
      </c>
      <c r="F97" s="357" t="s">
        <v>1673</v>
      </c>
      <c r="G97" s="30" t="s">
        <v>4694</v>
      </c>
      <c r="H97" s="319" t="s">
        <v>26</v>
      </c>
      <c r="I97" s="320">
        <v>1445300</v>
      </c>
      <c r="J97" s="320">
        <v>2027900</v>
      </c>
      <c r="K97" s="17">
        <v>1937420</v>
      </c>
      <c r="L97" s="281">
        <f>J97-K97</f>
      </c>
      <c r="M97" s="319" t="s">
        <v>137</v>
      </c>
      <c r="N97" s="319" t="s">
        <v>4738</v>
      </c>
      <c r="O97" s="426"/>
      <c r="P97" s="321"/>
      <c r="Q97" s="321"/>
      <c r="R97" s="321"/>
      <c r="S97" s="320">
        <v>2027900</v>
      </c>
      <c r="T97" s="320">
        <f>J97-P97-S97</f>
      </c>
      <c r="U97" s="322">
        <v>45770</v>
      </c>
      <c r="V97" s="319" t="s">
        <v>1718</v>
      </c>
      <c r="W97" s="321"/>
      <c r="X97" s="29">
        <f>K97</f>
      </c>
      <c r="Y97" s="29"/>
      <c r="Z97" s="29">
        <v>4374015</v>
      </c>
      <c r="AA97" s="29"/>
      <c r="AB97" s="107">
        <f>AB96-X97+Y97+AA97</f>
      </c>
      <c r="AC97" s="29"/>
      <c r="AD97" s="29"/>
      <c r="AE97" s="29"/>
      <c r="AF97" s="29"/>
      <c r="AG97" s="34"/>
      <c r="AH97" s="34"/>
    </row>
    <row x14ac:dyDescent="0.25" r="98" customHeight="1" ht="19.5">
      <c r="A98" s="362">
        <v>45768</v>
      </c>
      <c r="B98" s="319" t="s">
        <v>111</v>
      </c>
      <c r="C98" s="319" t="s">
        <v>4428</v>
      </c>
      <c r="D98" s="319" t="s">
        <v>4739</v>
      </c>
      <c r="E98" s="319" t="s">
        <v>4740</v>
      </c>
      <c r="F98" s="357" t="s">
        <v>548</v>
      </c>
      <c r="G98" s="319" t="s">
        <v>4741</v>
      </c>
      <c r="H98" s="319" t="s">
        <v>26</v>
      </c>
      <c r="I98" s="320">
        <v>137900</v>
      </c>
      <c r="J98" s="320">
        <v>356980</v>
      </c>
      <c r="K98" s="17">
        <v>225600</v>
      </c>
      <c r="L98" s="281">
        <f>J98-K98</f>
      </c>
      <c r="M98" s="319" t="s">
        <v>50</v>
      </c>
      <c r="N98" s="319" t="s">
        <v>4742</v>
      </c>
      <c r="O98" s="427">
        <v>1</v>
      </c>
      <c r="P98" s="321"/>
      <c r="Q98" s="321"/>
      <c r="R98" s="321"/>
      <c r="S98" s="329">
        <v>708565</v>
      </c>
      <c r="T98" s="396">
        <f>J98+J99-P98-S98</f>
      </c>
      <c r="U98" s="330">
        <v>45779</v>
      </c>
      <c r="V98" s="331" t="s">
        <v>2122</v>
      </c>
      <c r="W98" s="321"/>
      <c r="X98" s="29">
        <f>K98</f>
      </c>
      <c r="Y98" s="29"/>
      <c r="Z98" s="29">
        <v>4148415</v>
      </c>
      <c r="AA98" s="29"/>
      <c r="AB98" s="107">
        <f>AB97-X98+Y98+AA98</f>
      </c>
      <c r="AC98" s="29"/>
      <c r="AD98" s="29"/>
      <c r="AE98" s="29">
        <f>AE96-AD98</f>
      </c>
      <c r="AF98" s="29"/>
      <c r="AG98" s="34"/>
      <c r="AH98" s="34"/>
    </row>
    <row x14ac:dyDescent="0.25" r="99" customHeight="1" ht="19.5">
      <c r="A99" s="362">
        <v>45768</v>
      </c>
      <c r="B99" s="319" t="s">
        <v>111</v>
      </c>
      <c r="C99" s="319" t="s">
        <v>4428</v>
      </c>
      <c r="D99" s="319" t="s">
        <v>4739</v>
      </c>
      <c r="E99" s="319" t="s">
        <v>4740</v>
      </c>
      <c r="F99" s="357" t="s">
        <v>548</v>
      </c>
      <c r="G99" s="319" t="s">
        <v>4671</v>
      </c>
      <c r="H99" s="319" t="s">
        <v>26</v>
      </c>
      <c r="I99" s="320">
        <v>137900</v>
      </c>
      <c r="J99" s="320">
        <v>356980</v>
      </c>
      <c r="K99" s="17">
        <v>225600</v>
      </c>
      <c r="L99" s="281">
        <f>J99-K99</f>
      </c>
      <c r="M99" s="319" t="s">
        <v>50</v>
      </c>
      <c r="N99" s="319" t="s">
        <v>4743</v>
      </c>
      <c r="O99" s="427">
        <v>1</v>
      </c>
      <c r="P99" s="321"/>
      <c r="Q99" s="321"/>
      <c r="R99" s="321"/>
      <c r="S99" s="335"/>
      <c r="T99" s="384"/>
      <c r="U99" s="336"/>
      <c r="V99" s="337"/>
      <c r="W99" s="321"/>
      <c r="X99" s="29">
        <f>K99</f>
      </c>
      <c r="Y99" s="29"/>
      <c r="Z99" s="29">
        <v>3922815</v>
      </c>
      <c r="AA99" s="29"/>
      <c r="AB99" s="107">
        <f>AB98-X99+Y99+AA99</f>
      </c>
      <c r="AC99" s="29"/>
      <c r="AD99" s="29"/>
      <c r="AE99" s="29">
        <f>AE98-AD99</f>
      </c>
      <c r="AF99" s="29"/>
      <c r="AG99" s="34"/>
      <c r="AH99" s="34"/>
    </row>
    <row x14ac:dyDescent="0.25" r="100" customHeight="1" ht="19.5">
      <c r="A100" s="362">
        <v>45768</v>
      </c>
      <c r="B100" s="319" t="s">
        <v>111</v>
      </c>
      <c r="C100" s="319" t="s">
        <v>4428</v>
      </c>
      <c r="D100" s="319" t="s">
        <v>4739</v>
      </c>
      <c r="E100" s="319" t="s">
        <v>4744</v>
      </c>
      <c r="F100" s="357" t="s">
        <v>548</v>
      </c>
      <c r="G100" s="319" t="s">
        <v>4745</v>
      </c>
      <c r="H100" s="319" t="s">
        <v>26</v>
      </c>
      <c r="I100" s="321"/>
      <c r="J100" s="320">
        <v>172920</v>
      </c>
      <c r="K100" s="17">
        <v>98700</v>
      </c>
      <c r="L100" s="281">
        <f>J100-K100</f>
      </c>
      <c r="M100" s="319" t="s">
        <v>50</v>
      </c>
      <c r="N100" s="319" t="s">
        <v>4746</v>
      </c>
      <c r="O100" s="426" t="s">
        <v>251</v>
      </c>
      <c r="P100" s="321"/>
      <c r="Q100" s="321"/>
      <c r="R100" s="321"/>
      <c r="S100" s="320">
        <v>170222</v>
      </c>
      <c r="T100" s="320">
        <f>J100-P100-S100</f>
      </c>
      <c r="U100" s="322">
        <v>45779</v>
      </c>
      <c r="V100" s="319" t="s">
        <v>2122</v>
      </c>
      <c r="W100" s="321"/>
      <c r="X100" s="29">
        <f>K100</f>
      </c>
      <c r="Y100" s="29"/>
      <c r="Z100" s="29">
        <v>3824115</v>
      </c>
      <c r="AA100" s="29"/>
      <c r="AB100" s="107">
        <f>AB99-X100+Y100+AA100</f>
      </c>
      <c r="AC100" s="29"/>
      <c r="AD100" s="29"/>
      <c r="AE100" s="29">
        <f>AE99-AD100</f>
      </c>
      <c r="AF100" s="29"/>
      <c r="AG100" s="34"/>
      <c r="AH100" s="34"/>
    </row>
    <row x14ac:dyDescent="0.25" r="101" customHeight="1" ht="19.5">
      <c r="A101" s="362">
        <v>45768</v>
      </c>
      <c r="B101" s="319" t="s">
        <v>46</v>
      </c>
      <c r="C101" s="319" t="s">
        <v>4747</v>
      </c>
      <c r="D101" s="319" t="s">
        <v>54</v>
      </c>
      <c r="E101" s="319"/>
      <c r="F101" s="357" t="s">
        <v>266</v>
      </c>
      <c r="G101" s="319" t="s">
        <v>4748</v>
      </c>
      <c r="H101" s="319" t="s">
        <v>26</v>
      </c>
      <c r="I101" s="320">
        <v>502000</v>
      </c>
      <c r="J101" s="320">
        <v>1012900</v>
      </c>
      <c r="K101" s="17">
        <v>810220</v>
      </c>
      <c r="L101" s="281">
        <f>J101-K101</f>
      </c>
      <c r="M101" s="319" t="s">
        <v>50</v>
      </c>
      <c r="N101" s="319" t="s">
        <v>4749</v>
      </c>
      <c r="O101" s="427">
        <v>2</v>
      </c>
      <c r="P101" s="321"/>
      <c r="Q101" s="321"/>
      <c r="R101" s="321"/>
      <c r="S101" s="320">
        <v>1008403</v>
      </c>
      <c r="T101" s="320">
        <f>J101-P101-S101</f>
      </c>
      <c r="U101" s="322">
        <v>45772</v>
      </c>
      <c r="V101" s="401" t="s">
        <v>2122</v>
      </c>
      <c r="W101" s="321"/>
      <c r="X101" s="29">
        <f>K101</f>
      </c>
      <c r="Y101" s="29"/>
      <c r="Z101" s="373">
        <v>3013895</v>
      </c>
      <c r="AA101" s="29">
        <v>0</v>
      </c>
      <c r="AB101" s="107">
        <f>AB100-X101+Y101+AA101</f>
      </c>
      <c r="AC101" s="29">
        <v>2702500</v>
      </c>
      <c r="AD101" s="29"/>
      <c r="AE101" s="29">
        <f>AE100-AD101</f>
      </c>
      <c r="AF101" s="29"/>
      <c r="AG101" s="34"/>
      <c r="AH101" s="34"/>
    </row>
    <row x14ac:dyDescent="0.25" r="102" customHeight="1" ht="24.600000000000005">
      <c r="A102" s="362">
        <v>45768</v>
      </c>
      <c r="B102" s="319" t="s">
        <v>82</v>
      </c>
      <c r="C102" s="319" t="s">
        <v>4750</v>
      </c>
      <c r="D102" s="319" t="s">
        <v>546</v>
      </c>
      <c r="E102" s="319"/>
      <c r="F102" s="319" t="s">
        <v>174</v>
      </c>
      <c r="G102" s="428" t="s">
        <v>4751</v>
      </c>
      <c r="H102" s="319" t="s">
        <v>26</v>
      </c>
      <c r="I102" s="320">
        <v>35640</v>
      </c>
      <c r="J102" s="320">
        <v>113940</v>
      </c>
      <c r="K102" s="429">
        <v>93940</v>
      </c>
      <c r="L102" s="281">
        <f>J102-K102</f>
      </c>
      <c r="M102" s="319" t="s">
        <v>86</v>
      </c>
      <c r="N102" s="319" t="s">
        <v>4752</v>
      </c>
      <c r="O102" s="321"/>
      <c r="P102" s="321"/>
      <c r="Q102" s="321"/>
      <c r="R102" s="321"/>
      <c r="S102" s="320">
        <v>113940</v>
      </c>
      <c r="T102" s="320">
        <f>J102-P102-S102</f>
      </c>
      <c r="U102" s="322">
        <v>45800</v>
      </c>
      <c r="V102" s="319" t="s">
        <v>1718</v>
      </c>
      <c r="W102" s="321"/>
      <c r="X102" s="29">
        <v>0</v>
      </c>
      <c r="Y102" s="29"/>
      <c r="Z102" s="29"/>
      <c r="AA102" s="29"/>
      <c r="AB102" s="107">
        <f>AB101-X102+Y102+AA102</f>
      </c>
      <c r="AC102" s="107" t="s">
        <v>4753</v>
      </c>
      <c r="AD102" s="29">
        <v>93940</v>
      </c>
      <c r="AE102" s="29">
        <f>AE101-AD102</f>
      </c>
      <c r="AF102" s="29"/>
      <c r="AG102" s="34"/>
      <c r="AH102" s="34"/>
    </row>
    <row x14ac:dyDescent="0.25" r="103" customHeight="1" ht="19.5">
      <c r="A103" s="362">
        <v>45768</v>
      </c>
      <c r="B103" s="319" t="s">
        <v>66</v>
      </c>
      <c r="C103" s="319" t="s">
        <v>4754</v>
      </c>
      <c r="D103" s="319" t="s">
        <v>166</v>
      </c>
      <c r="E103" s="319"/>
      <c r="F103" s="319" t="s">
        <v>4755</v>
      </c>
      <c r="G103" s="319" t="s">
        <v>4756</v>
      </c>
      <c r="H103" s="319" t="s">
        <v>26</v>
      </c>
      <c r="I103" s="320">
        <v>447700</v>
      </c>
      <c r="J103" s="17">
        <v>797220</v>
      </c>
      <c r="K103" s="17">
        <v>797220</v>
      </c>
      <c r="L103" s="281">
        <f>J103-K103</f>
      </c>
      <c r="M103" s="319" t="s">
        <v>50</v>
      </c>
      <c r="N103" s="319" t="s">
        <v>4757</v>
      </c>
      <c r="O103" s="320">
        <v>2</v>
      </c>
      <c r="P103" s="321"/>
      <c r="Q103" s="321"/>
      <c r="R103" s="321"/>
      <c r="S103" s="320">
        <v>797220</v>
      </c>
      <c r="T103" s="320">
        <f>J103-P103-S103</f>
      </c>
      <c r="U103" s="322">
        <v>45786</v>
      </c>
      <c r="V103" s="319" t="s">
        <v>1718</v>
      </c>
      <c r="W103" s="430">
        <v>45775</v>
      </c>
      <c r="X103" s="29">
        <f>K103</f>
      </c>
      <c r="Y103" s="29"/>
      <c r="Z103" s="29">
        <v>2216675</v>
      </c>
      <c r="AA103" s="29"/>
      <c r="AB103" s="107">
        <f>AB102-X103+Y103+AA103</f>
      </c>
      <c r="AC103" s="107" t="s">
        <v>4758</v>
      </c>
      <c r="AD103" s="29"/>
      <c r="AE103" s="29">
        <f>AE102-AD103</f>
      </c>
      <c r="AF103" s="29"/>
      <c r="AG103" s="34"/>
      <c r="AH103" s="34"/>
    </row>
    <row x14ac:dyDescent="0.25" r="104" customHeight="1" ht="19.5">
      <c r="A104" s="362">
        <v>45768</v>
      </c>
      <c r="B104" s="319" t="s">
        <v>4759</v>
      </c>
      <c r="C104" s="319"/>
      <c r="D104" s="319"/>
      <c r="E104" s="319"/>
      <c r="F104" s="319"/>
      <c r="G104" s="319"/>
      <c r="H104" s="319" t="s">
        <v>26</v>
      </c>
      <c r="I104" s="321"/>
      <c r="J104" s="320">
        <v>9000</v>
      </c>
      <c r="K104" s="17"/>
      <c r="L104" s="281">
        <v>9000</v>
      </c>
      <c r="M104" s="321"/>
      <c r="N104" s="319" t="s">
        <v>4760</v>
      </c>
      <c r="O104" s="321" t="s">
        <v>4761</v>
      </c>
      <c r="P104" s="321"/>
      <c r="Q104" s="321"/>
      <c r="R104" s="321"/>
      <c r="S104" s="321"/>
      <c r="T104" s="320">
        <f>J104-P104-S104</f>
      </c>
      <c r="U104" s="322"/>
      <c r="V104" s="319"/>
      <c r="W104" s="321"/>
      <c r="X104" s="29">
        <v>0</v>
      </c>
      <c r="Y104" s="29"/>
      <c r="Z104" s="29"/>
      <c r="AA104" s="29"/>
      <c r="AB104" s="107">
        <f>AB103-X104+Y104+AA104</f>
      </c>
      <c r="AC104" s="29"/>
      <c r="AD104" s="29"/>
      <c r="AE104" s="29">
        <f>AE103-AD104</f>
      </c>
      <c r="AF104" s="29"/>
      <c r="AG104" s="34"/>
      <c r="AH104" s="34"/>
    </row>
    <row x14ac:dyDescent="0.25" r="105" customHeight="1" ht="19.5">
      <c r="A105" s="402">
        <v>45769</v>
      </c>
      <c r="B105" s="319" t="s">
        <v>46</v>
      </c>
      <c r="C105" s="319" t="s">
        <v>248</v>
      </c>
      <c r="D105" s="319" t="s">
        <v>4762</v>
      </c>
      <c r="E105" s="60" t="s">
        <v>4763</v>
      </c>
      <c r="F105" s="324" t="s">
        <v>4465</v>
      </c>
      <c r="G105" s="324" t="s">
        <v>4764</v>
      </c>
      <c r="H105" s="324" t="s">
        <v>26</v>
      </c>
      <c r="I105" s="325" t="s">
        <v>4765</v>
      </c>
      <c r="J105" s="281">
        <v>5640600</v>
      </c>
      <c r="K105" s="69">
        <v>5595900</v>
      </c>
      <c r="L105" s="281">
        <f>J105-K105</f>
      </c>
      <c r="M105" s="324" t="s">
        <v>187</v>
      </c>
      <c r="N105" s="324" t="s">
        <v>4766</v>
      </c>
      <c r="O105" s="325" t="s">
        <v>4767</v>
      </c>
      <c r="P105" s="321"/>
      <c r="Q105" s="321"/>
      <c r="R105" s="321"/>
      <c r="S105" s="321"/>
      <c r="T105" s="320">
        <f>J105-P105-S105</f>
      </c>
      <c r="U105" s="322"/>
      <c r="V105" s="319"/>
      <c r="W105" s="321"/>
      <c r="X105" s="29">
        <f>K105</f>
      </c>
      <c r="Y105" s="29"/>
      <c r="Z105" s="373">
        <v>7902995</v>
      </c>
      <c r="AA105" s="29">
        <v>-318760</v>
      </c>
      <c r="AB105" s="107">
        <f>#REF!-X105+Y105+AA105</f>
      </c>
      <c r="AC105" s="29"/>
      <c r="AD105" s="29"/>
      <c r="AE105" s="107">
        <f>#REF!-AD105</f>
      </c>
      <c r="AF105" s="29"/>
      <c r="AG105" s="34"/>
      <c r="AH105" s="34"/>
    </row>
    <row x14ac:dyDescent="0.25" r="106" customHeight="1" ht="19.5">
      <c r="A106" s="402">
        <v>45769</v>
      </c>
      <c r="B106" s="319" t="s">
        <v>53</v>
      </c>
      <c r="C106" s="319" t="s">
        <v>438</v>
      </c>
      <c r="D106" s="319" t="s">
        <v>4768</v>
      </c>
      <c r="E106" s="34"/>
      <c r="F106" s="319" t="s">
        <v>4465</v>
      </c>
      <c r="G106" s="319" t="s">
        <v>351</v>
      </c>
      <c r="H106" s="319" t="s">
        <v>26</v>
      </c>
      <c r="I106" s="431">
        <v>2369100</v>
      </c>
      <c r="J106" s="29">
        <v>2674980</v>
      </c>
      <c r="K106" s="431">
        <v>2520200</v>
      </c>
      <c r="L106" s="281">
        <f>J106-K106</f>
      </c>
      <c r="M106" s="319" t="s">
        <v>137</v>
      </c>
      <c r="N106" s="319" t="s">
        <v>4769</v>
      </c>
      <c r="O106" s="321"/>
      <c r="P106" s="321"/>
      <c r="Q106" s="321"/>
      <c r="R106" s="321"/>
      <c r="S106" s="321"/>
      <c r="T106" s="320">
        <f>J106-P106-S106</f>
      </c>
      <c r="U106" s="322"/>
      <c r="V106" s="319"/>
      <c r="W106" s="321"/>
      <c r="X106" s="29">
        <f>K106</f>
      </c>
      <c r="Y106" s="29"/>
      <c r="Z106" s="29"/>
      <c r="AA106" s="29"/>
      <c r="AB106" s="107">
        <f>AB105-X106+Y106+AA106</f>
      </c>
      <c r="AC106" s="29"/>
      <c r="AD106" s="29"/>
      <c r="AE106" s="107">
        <f>AE105-AD106</f>
      </c>
      <c r="AF106" s="29"/>
      <c r="AG106" s="34"/>
      <c r="AH106" s="34"/>
    </row>
    <row x14ac:dyDescent="0.25" r="107" customHeight="1" ht="19.5">
      <c r="A107" s="393">
        <v>45769</v>
      </c>
      <c r="B107" s="328" t="s">
        <v>53</v>
      </c>
      <c r="C107" s="328" t="s">
        <v>438</v>
      </c>
      <c r="D107" s="328" t="s">
        <v>4428</v>
      </c>
      <c r="E107" s="432" t="s">
        <v>4770</v>
      </c>
      <c r="F107" s="328" t="s">
        <v>4465</v>
      </c>
      <c r="G107" s="328" t="s">
        <v>4729</v>
      </c>
      <c r="H107" s="328" t="s">
        <v>26</v>
      </c>
      <c r="I107" s="348" t="s">
        <v>4771</v>
      </c>
      <c r="J107" s="347">
        <v>256900</v>
      </c>
      <c r="K107" s="57">
        <v>0</v>
      </c>
      <c r="L107" s="347">
        <f>J107-K107</f>
      </c>
      <c r="M107" s="328" t="s">
        <v>3045</v>
      </c>
      <c r="N107" s="328" t="s">
        <v>4730</v>
      </c>
      <c r="O107" s="348" t="s">
        <v>343</v>
      </c>
      <c r="P107" s="321"/>
      <c r="Q107" s="321"/>
      <c r="R107" s="321"/>
      <c r="S107" s="321"/>
      <c r="T107" s="320">
        <f>J107-P107-S107</f>
      </c>
      <c r="U107" s="322"/>
      <c r="V107" s="319"/>
      <c r="W107" s="321"/>
      <c r="X107" s="29">
        <f>K107</f>
      </c>
      <c r="Y107" s="29"/>
      <c r="Z107" s="29"/>
      <c r="AA107" s="29"/>
      <c r="AB107" s="107">
        <f>AB106-X107+Y107+AA107</f>
      </c>
      <c r="AC107" s="29"/>
      <c r="AD107" s="29"/>
      <c r="AE107" s="107">
        <f>AE106-AD107</f>
      </c>
      <c r="AF107" s="29"/>
      <c r="AG107" s="34"/>
      <c r="AH107" s="34"/>
    </row>
    <row x14ac:dyDescent="0.25" r="108" customHeight="1" ht="19.5">
      <c r="A108" s="433">
        <v>45769</v>
      </c>
      <c r="B108" s="434" t="s">
        <v>22</v>
      </c>
      <c r="C108" s="434" t="s">
        <v>485</v>
      </c>
      <c r="D108" s="434" t="s">
        <v>4428</v>
      </c>
      <c r="E108" s="3"/>
      <c r="F108" s="434" t="s">
        <v>548</v>
      </c>
      <c r="G108" s="434" t="s">
        <v>4671</v>
      </c>
      <c r="H108" s="434" t="s">
        <v>26</v>
      </c>
      <c r="I108" s="435"/>
      <c r="J108" s="436">
        <v>65720</v>
      </c>
      <c r="K108" s="437">
        <v>0</v>
      </c>
      <c r="L108" s="436">
        <f>J108-K108</f>
      </c>
      <c r="M108" s="434" t="s">
        <v>22</v>
      </c>
      <c r="N108" s="434" t="s">
        <v>4727</v>
      </c>
      <c r="O108" s="435" t="s">
        <v>4180</v>
      </c>
      <c r="P108" s="339"/>
      <c r="Q108" s="339"/>
      <c r="R108" s="339"/>
      <c r="S108" s="320">
        <v>65720</v>
      </c>
      <c r="T108" s="320">
        <f>J108-P108-S108</f>
      </c>
      <c r="U108" s="322">
        <v>45779</v>
      </c>
      <c r="V108" s="319" t="s">
        <v>2122</v>
      </c>
      <c r="W108" s="321"/>
      <c r="X108" s="29">
        <f>K108</f>
      </c>
      <c r="Y108" s="29"/>
      <c r="Z108" s="29"/>
      <c r="AA108" s="29"/>
      <c r="AB108" s="107">
        <f>AB107-X108+Y108+AA108</f>
      </c>
      <c r="AC108" s="29"/>
      <c r="AD108" s="29"/>
      <c r="AE108" s="107">
        <f>AE107-AD108</f>
      </c>
      <c r="AF108" s="29"/>
      <c r="AG108" s="34"/>
      <c r="AH108" s="34"/>
    </row>
    <row x14ac:dyDescent="0.25" r="109" customHeight="1" ht="19.5">
      <c r="A109" s="402">
        <v>45769</v>
      </c>
      <c r="B109" s="319" t="s">
        <v>46</v>
      </c>
      <c r="C109" s="319" t="s">
        <v>4772</v>
      </c>
      <c r="D109" s="319" t="s">
        <v>4773</v>
      </c>
      <c r="E109" s="14"/>
      <c r="F109" s="319" t="s">
        <v>266</v>
      </c>
      <c r="G109" s="319" t="s">
        <v>4683</v>
      </c>
      <c r="H109" s="319" t="s">
        <v>26</v>
      </c>
      <c r="I109" s="320">
        <v>2351500</v>
      </c>
      <c r="J109" s="320">
        <v>2962900</v>
      </c>
      <c r="K109" s="17">
        <v>2812220</v>
      </c>
      <c r="L109" s="281">
        <v>150680</v>
      </c>
      <c r="M109" s="319" t="s">
        <v>50</v>
      </c>
      <c r="N109" s="319" t="s">
        <v>4774</v>
      </c>
      <c r="O109" s="321"/>
      <c r="P109" s="321"/>
      <c r="Q109" s="321"/>
      <c r="R109" s="321"/>
      <c r="S109" s="320">
        <v>5911410</v>
      </c>
      <c r="T109" s="320">
        <f>J109+J110-P109-S109</f>
      </c>
      <c r="U109" s="322">
        <v>45772</v>
      </c>
      <c r="V109" s="319" t="s">
        <v>2122</v>
      </c>
      <c r="W109" s="321"/>
      <c r="X109" s="107"/>
      <c r="Y109" s="29"/>
      <c r="Z109" s="29"/>
      <c r="AA109" s="29"/>
      <c r="AB109" s="107"/>
      <c r="AC109" s="29"/>
      <c r="AD109" s="29"/>
      <c r="AE109" s="29"/>
      <c r="AF109" s="29"/>
      <c r="AG109" s="34"/>
      <c r="AH109" s="34"/>
    </row>
    <row x14ac:dyDescent="0.25" r="110" customHeight="1" ht="19.5">
      <c r="A110" s="402">
        <v>45769</v>
      </c>
      <c r="B110" s="319" t="s">
        <v>46</v>
      </c>
      <c r="C110" s="319" t="s">
        <v>4772</v>
      </c>
      <c r="D110" s="319" t="s">
        <v>4773</v>
      </c>
      <c r="E110" s="14"/>
      <c r="F110" s="319" t="s">
        <v>266</v>
      </c>
      <c r="G110" s="319" t="s">
        <v>4685</v>
      </c>
      <c r="H110" s="319" t="s">
        <v>26</v>
      </c>
      <c r="I110" s="320">
        <v>2351500</v>
      </c>
      <c r="J110" s="320">
        <v>2962900</v>
      </c>
      <c r="K110" s="17">
        <v>2812220</v>
      </c>
      <c r="L110" s="281">
        <v>150680</v>
      </c>
      <c r="M110" s="319" t="s">
        <v>50</v>
      </c>
      <c r="N110" s="319" t="s">
        <v>4775</v>
      </c>
      <c r="O110" s="321"/>
      <c r="P110" s="321"/>
      <c r="Q110" s="321"/>
      <c r="R110" s="321"/>
      <c r="S110" s="320"/>
      <c r="T110" s="320"/>
      <c r="U110" s="322"/>
      <c r="V110" s="319"/>
      <c r="W110" s="321"/>
      <c r="X110" s="107"/>
      <c r="Y110" s="29"/>
      <c r="Z110" s="29"/>
      <c r="AA110" s="29"/>
      <c r="AB110" s="107"/>
      <c r="AC110" s="29"/>
      <c r="AD110" s="29"/>
      <c r="AE110" s="29"/>
      <c r="AF110" s="29"/>
      <c r="AG110" s="34"/>
      <c r="AH110" s="34"/>
    </row>
    <row x14ac:dyDescent="0.25" r="111" customHeight="1" ht="63">
      <c r="A111" s="438">
        <v>45769</v>
      </c>
      <c r="B111" s="357" t="s">
        <v>46</v>
      </c>
      <c r="C111" s="357" t="s">
        <v>54</v>
      </c>
      <c r="D111" s="357" t="s">
        <v>4776</v>
      </c>
      <c r="E111" s="3" t="s">
        <v>4777</v>
      </c>
      <c r="F111" s="357" t="s">
        <v>1799</v>
      </c>
      <c r="G111" s="357" t="s">
        <v>4778</v>
      </c>
      <c r="H111" s="357" t="s">
        <v>26</v>
      </c>
      <c r="I111" s="342"/>
      <c r="J111" s="384">
        <v>2358900</v>
      </c>
      <c r="K111" s="273">
        <v>2203320</v>
      </c>
      <c r="L111" s="439">
        <f>J111-K111</f>
      </c>
      <c r="M111" s="357" t="s">
        <v>4779</v>
      </c>
      <c r="N111" s="357" t="s">
        <v>4780</v>
      </c>
      <c r="O111" s="342"/>
      <c r="P111" s="384">
        <v>1000000</v>
      </c>
      <c r="Q111" s="384">
        <v>650000</v>
      </c>
      <c r="R111" s="384">
        <v>500000</v>
      </c>
      <c r="S111" s="320">
        <v>208900</v>
      </c>
      <c r="T111" s="320">
        <f>J111-Q111-P111-S111-R111</f>
      </c>
      <c r="U111" s="363" t="s">
        <v>4781</v>
      </c>
      <c r="V111" s="401" t="s">
        <v>1718</v>
      </c>
      <c r="W111" s="321"/>
      <c r="X111" s="29">
        <f>K111</f>
      </c>
      <c r="Y111" s="29"/>
      <c r="Z111" s="29"/>
      <c r="AA111" s="29"/>
      <c r="AB111" s="107">
        <f>AB108-X111+Y111+AA111</f>
      </c>
      <c r="AC111" s="29"/>
      <c r="AD111" s="29"/>
      <c r="AE111" s="107">
        <f>AE108-AD111</f>
      </c>
      <c r="AF111" s="29"/>
      <c r="AG111" s="34"/>
      <c r="AH111" s="34"/>
    </row>
    <row x14ac:dyDescent="0.25" r="112" customHeight="1" ht="19.5">
      <c r="A112" s="440">
        <v>45769</v>
      </c>
      <c r="B112" s="230" t="s">
        <v>475</v>
      </c>
      <c r="C112" s="230" t="s">
        <v>485</v>
      </c>
      <c r="D112" s="230" t="s">
        <v>4782</v>
      </c>
      <c r="E112" s="3" t="s">
        <v>4783</v>
      </c>
      <c r="F112" s="230" t="s">
        <v>548</v>
      </c>
      <c r="G112" s="230" t="s">
        <v>4784</v>
      </c>
      <c r="H112" s="230" t="s">
        <v>26</v>
      </c>
      <c r="I112" s="441"/>
      <c r="J112" s="442">
        <v>238980</v>
      </c>
      <c r="K112" s="29">
        <v>157000</v>
      </c>
      <c r="L112" s="443">
        <v>81980</v>
      </c>
      <c r="M112" s="230" t="s">
        <v>475</v>
      </c>
      <c r="N112" s="230" t="s">
        <v>4785</v>
      </c>
      <c r="O112" s="441"/>
      <c r="P112" s="441"/>
      <c r="Q112" s="441"/>
      <c r="R112" s="441"/>
      <c r="S112" s="320">
        <v>236202</v>
      </c>
      <c r="T112" s="320">
        <f>J112-P112-S112</f>
      </c>
      <c r="U112" s="322">
        <v>45779</v>
      </c>
      <c r="V112" s="319" t="s">
        <v>2122</v>
      </c>
      <c r="W112" s="321"/>
      <c r="X112" s="107"/>
      <c r="Y112" s="29"/>
      <c r="Z112" s="29"/>
      <c r="AA112" s="29"/>
      <c r="AB112" s="107"/>
      <c r="AC112" s="29"/>
      <c r="AD112" s="29"/>
      <c r="AE112" s="29"/>
      <c r="AF112" s="29"/>
      <c r="AG112" s="34"/>
      <c r="AH112" s="34"/>
    </row>
    <row x14ac:dyDescent="0.25" r="113" customHeight="1" ht="19.5">
      <c r="A113" s="444">
        <v>45770</v>
      </c>
      <c r="B113" s="445" t="s">
        <v>46</v>
      </c>
      <c r="C113" s="445" t="s">
        <v>54</v>
      </c>
      <c r="D113" s="445" t="s">
        <v>4786</v>
      </c>
      <c r="E113" s="446"/>
      <c r="F113" s="445" t="s">
        <v>3684</v>
      </c>
      <c r="G113" s="445" t="s">
        <v>4787</v>
      </c>
      <c r="H113" s="445" t="s">
        <v>26</v>
      </c>
      <c r="I113" s="447">
        <v>630900</v>
      </c>
      <c r="J113" s="447">
        <v>1169800</v>
      </c>
      <c r="K113" s="448">
        <v>969120</v>
      </c>
      <c r="L113" s="449">
        <v>200680</v>
      </c>
      <c r="M113" s="445" t="s">
        <v>50</v>
      </c>
      <c r="N113" s="445" t="s">
        <v>4788</v>
      </c>
      <c r="O113" s="447">
        <v>4</v>
      </c>
      <c r="P113" s="447"/>
      <c r="Q113" s="450"/>
      <c r="R113" s="450"/>
      <c r="S113" s="320">
        <v>1169800</v>
      </c>
      <c r="T113" s="320">
        <f>J113-P113-S113</f>
      </c>
      <c r="U113" s="322">
        <v>45789</v>
      </c>
      <c r="V113" s="319" t="s">
        <v>2122</v>
      </c>
      <c r="W113" s="321"/>
      <c r="X113" s="107"/>
      <c r="Y113" s="29"/>
      <c r="Z113" s="29"/>
      <c r="AA113" s="29"/>
      <c r="AB113" s="107"/>
      <c r="AC113" s="29"/>
      <c r="AD113" s="29"/>
      <c r="AE113" s="29"/>
      <c r="AF113" s="29"/>
      <c r="AG113" s="34"/>
      <c r="AH113" s="34"/>
    </row>
    <row x14ac:dyDescent="0.25" r="114" customHeight="1" ht="19.5">
      <c r="A114" s="362">
        <v>45771</v>
      </c>
      <c r="B114" s="319" t="s">
        <v>22</v>
      </c>
      <c r="C114" s="319" t="s">
        <v>23</v>
      </c>
      <c r="D114" s="319" t="s">
        <v>4099</v>
      </c>
      <c r="E114" s="319" t="s">
        <v>4789</v>
      </c>
      <c r="F114" s="319" t="s">
        <v>24</v>
      </c>
      <c r="G114" s="319" t="s">
        <v>3067</v>
      </c>
      <c r="H114" s="319"/>
      <c r="I114" s="321"/>
      <c r="J114" s="320">
        <v>670900</v>
      </c>
      <c r="K114" s="17">
        <v>599000</v>
      </c>
      <c r="L114" s="281">
        <f>J114-K114</f>
      </c>
      <c r="M114" s="319" t="s">
        <v>22</v>
      </c>
      <c r="N114" s="319" t="s">
        <v>4790</v>
      </c>
      <c r="O114" s="321"/>
      <c r="P114" s="321"/>
      <c r="Q114" s="321"/>
      <c r="R114" s="321"/>
      <c r="S114" s="320">
        <v>670900</v>
      </c>
      <c r="T114" s="320">
        <f>J114-P114-S114</f>
      </c>
      <c r="U114" s="322">
        <v>45817</v>
      </c>
      <c r="V114" s="319" t="s">
        <v>2122</v>
      </c>
      <c r="W114" s="321"/>
      <c r="X114" s="29">
        <f>K114</f>
      </c>
      <c r="Y114" s="29"/>
      <c r="Z114" s="29"/>
      <c r="AA114" s="29"/>
      <c r="AB114" s="107">
        <f>AB111-X114+Y114+AA114</f>
      </c>
      <c r="AC114" s="29"/>
      <c r="AD114" s="29"/>
      <c r="AE114" s="107">
        <f>AE111-AD114</f>
      </c>
      <c r="AF114" s="29"/>
      <c r="AG114" s="34"/>
      <c r="AH114" s="34"/>
    </row>
    <row x14ac:dyDescent="0.25" r="115" customHeight="1" ht="19.5">
      <c r="A115" s="362">
        <v>45771</v>
      </c>
      <c r="B115" s="319" t="s">
        <v>72</v>
      </c>
      <c r="C115" s="319" t="s">
        <v>752</v>
      </c>
      <c r="D115" s="319" t="s">
        <v>4791</v>
      </c>
      <c r="E115" s="319" t="s">
        <v>4792</v>
      </c>
      <c r="F115" s="319" t="s">
        <v>4496</v>
      </c>
      <c r="G115" s="3" t="s">
        <v>4793</v>
      </c>
      <c r="H115" s="319" t="s">
        <v>4432</v>
      </c>
      <c r="I115" s="17">
        <v>337180</v>
      </c>
      <c r="J115" s="17">
        <v>784900</v>
      </c>
      <c r="K115" s="17">
        <v>724020</v>
      </c>
      <c r="L115" s="281">
        <f>J115-K115</f>
      </c>
      <c r="M115" s="319" t="s">
        <v>72</v>
      </c>
      <c r="N115" s="319" t="s">
        <v>4794</v>
      </c>
      <c r="O115" s="321"/>
      <c r="P115" s="320">
        <v>450000</v>
      </c>
      <c r="Q115" s="320"/>
      <c r="R115" s="320"/>
      <c r="S115" s="320"/>
      <c r="T115" s="320">
        <f>J115-P115-S115</f>
      </c>
      <c r="U115" s="322">
        <v>45771</v>
      </c>
      <c r="V115" s="319" t="s">
        <v>1718</v>
      </c>
      <c r="W115" s="321"/>
      <c r="X115" s="29">
        <f>K115</f>
      </c>
      <c r="Y115" s="29"/>
      <c r="Z115" s="29"/>
      <c r="AA115" s="29"/>
      <c r="AB115" s="107">
        <f>AB114-X115+Y115+AA115</f>
      </c>
      <c r="AC115" s="29"/>
      <c r="AD115" s="29"/>
      <c r="AE115" s="107">
        <f>AE114-AD115</f>
      </c>
      <c r="AF115" s="29"/>
      <c r="AG115" s="34"/>
      <c r="AH115" s="34"/>
    </row>
    <row x14ac:dyDescent="0.25" r="116" customHeight="1" ht="19.5">
      <c r="A116" s="362">
        <v>45771</v>
      </c>
      <c r="B116" s="319" t="s">
        <v>72</v>
      </c>
      <c r="C116" s="319" t="s">
        <v>752</v>
      </c>
      <c r="D116" s="319" t="s">
        <v>4791</v>
      </c>
      <c r="E116" s="319" t="s">
        <v>4792</v>
      </c>
      <c r="F116" s="319" t="s">
        <v>4496</v>
      </c>
      <c r="G116" s="3" t="s">
        <v>4795</v>
      </c>
      <c r="H116" s="319" t="s">
        <v>4432</v>
      </c>
      <c r="I116" s="17">
        <v>337180</v>
      </c>
      <c r="J116" s="17">
        <v>784900</v>
      </c>
      <c r="K116" s="17">
        <v>724020</v>
      </c>
      <c r="L116" s="281">
        <f>J116-K116</f>
      </c>
      <c r="M116" s="319" t="s">
        <v>72</v>
      </c>
      <c r="N116" s="319" t="s">
        <v>4796</v>
      </c>
      <c r="O116" s="321"/>
      <c r="P116" s="321"/>
      <c r="Q116" s="321"/>
      <c r="R116" s="321"/>
      <c r="S116" s="320"/>
      <c r="T116" s="320">
        <f>J116-P116-S116</f>
      </c>
      <c r="U116" s="322"/>
      <c r="V116" s="319"/>
      <c r="W116" s="321"/>
      <c r="X116" s="29">
        <f>K116</f>
      </c>
      <c r="Y116" s="29"/>
      <c r="Z116" s="29"/>
      <c r="AA116" s="29"/>
      <c r="AB116" s="107">
        <f>AB115-X116+Y116+AA116</f>
      </c>
      <c r="AC116" s="29"/>
      <c r="AD116" s="29"/>
      <c r="AE116" s="107">
        <f>AE115-AD116</f>
      </c>
      <c r="AF116" s="29"/>
      <c r="AG116" s="34"/>
      <c r="AH116" s="34"/>
    </row>
    <row x14ac:dyDescent="0.25" r="117" customHeight="1" ht="19.5">
      <c r="A117" s="362">
        <v>45771</v>
      </c>
      <c r="B117" s="319" t="s">
        <v>72</v>
      </c>
      <c r="C117" s="319" t="s">
        <v>365</v>
      </c>
      <c r="D117" s="319" t="s">
        <v>4797</v>
      </c>
      <c r="E117" s="319" t="s">
        <v>4798</v>
      </c>
      <c r="F117" s="319" t="s">
        <v>4496</v>
      </c>
      <c r="G117" s="3" t="s">
        <v>4799</v>
      </c>
      <c r="H117" s="319" t="s">
        <v>4432</v>
      </c>
      <c r="I117" s="17">
        <v>460000</v>
      </c>
      <c r="J117" s="17">
        <v>785900</v>
      </c>
      <c r="K117" s="17">
        <v>725020</v>
      </c>
      <c r="L117" s="281">
        <f>J117-K117</f>
      </c>
      <c r="M117" s="319" t="s">
        <v>72</v>
      </c>
      <c r="N117" s="319" t="s">
        <v>4800</v>
      </c>
      <c r="O117" s="321"/>
      <c r="P117" s="321"/>
      <c r="Q117" s="321"/>
      <c r="R117" s="321"/>
      <c r="S117" s="320"/>
      <c r="T117" s="320">
        <f>J117-P117-S117</f>
      </c>
      <c r="U117" s="322"/>
      <c r="V117" s="319"/>
      <c r="W117" s="321"/>
      <c r="X117" s="29">
        <f>K117</f>
      </c>
      <c r="Y117" s="29"/>
      <c r="Z117" s="29"/>
      <c r="AA117" s="29"/>
      <c r="AB117" s="107">
        <f>AB116-X117+Y117+AA117</f>
      </c>
      <c r="AC117" s="29"/>
      <c r="AD117" s="29"/>
      <c r="AE117" s="107">
        <f>AE116-AD117</f>
      </c>
      <c r="AF117" s="29"/>
      <c r="AG117" s="34"/>
      <c r="AH117" s="34"/>
    </row>
    <row x14ac:dyDescent="0.25" r="118" customHeight="1" ht="19.5">
      <c r="A118" s="362">
        <v>45771</v>
      </c>
      <c r="B118" s="319" t="s">
        <v>72</v>
      </c>
      <c r="C118" s="319" t="s">
        <v>4801</v>
      </c>
      <c r="D118" s="319" t="s">
        <v>4797</v>
      </c>
      <c r="E118" s="319" t="s">
        <v>4802</v>
      </c>
      <c r="F118" s="319" t="s">
        <v>4496</v>
      </c>
      <c r="G118" s="319" t="s">
        <v>4803</v>
      </c>
      <c r="H118" s="319" t="s">
        <v>4432</v>
      </c>
      <c r="I118" s="320">
        <v>320000</v>
      </c>
      <c r="J118" s="320">
        <v>606900</v>
      </c>
      <c r="K118" s="17">
        <v>546420</v>
      </c>
      <c r="L118" s="281">
        <f>J118-K118</f>
      </c>
      <c r="M118" s="319" t="s">
        <v>72</v>
      </c>
      <c r="N118" s="319" t="s">
        <v>4804</v>
      </c>
      <c r="O118" s="321"/>
      <c r="P118" s="321"/>
      <c r="Q118" s="321"/>
      <c r="R118" s="321"/>
      <c r="S118" s="320"/>
      <c r="T118" s="320">
        <f>J118-P118-S118</f>
      </c>
      <c r="U118" s="322"/>
      <c r="V118" s="319"/>
      <c r="W118" s="321"/>
      <c r="X118" s="29">
        <f>K118</f>
      </c>
      <c r="Y118" s="29"/>
      <c r="Z118" s="29"/>
      <c r="AA118" s="29"/>
      <c r="AB118" s="107">
        <f>AB117-X118+Y118+AA118</f>
      </c>
      <c r="AC118" s="29"/>
      <c r="AD118" s="29"/>
      <c r="AE118" s="107">
        <f>AE117-AD118</f>
      </c>
      <c r="AF118" s="29"/>
      <c r="AG118" s="34"/>
      <c r="AH118" s="34"/>
    </row>
    <row x14ac:dyDescent="0.25" r="119" customHeight="1" ht="19.5">
      <c r="A119" s="362">
        <v>45771</v>
      </c>
      <c r="B119" s="319" t="s">
        <v>897</v>
      </c>
      <c r="C119" s="319" t="s">
        <v>54</v>
      </c>
      <c r="D119" s="319" t="s">
        <v>4805</v>
      </c>
      <c r="E119" s="319" t="s">
        <v>4806</v>
      </c>
      <c r="F119" s="319" t="s">
        <v>4807</v>
      </c>
      <c r="G119" s="319" t="s">
        <v>4808</v>
      </c>
      <c r="H119" s="319" t="s">
        <v>76</v>
      </c>
      <c r="I119" s="320">
        <v>86400</v>
      </c>
      <c r="J119" s="17">
        <v>395800</v>
      </c>
      <c r="K119" s="17">
        <v>356620</v>
      </c>
      <c r="L119" s="281">
        <f>J119-K119</f>
      </c>
      <c r="M119" s="319" t="s">
        <v>4809</v>
      </c>
      <c r="N119" s="3" t="s">
        <v>4810</v>
      </c>
      <c r="O119" s="321"/>
      <c r="P119" s="321"/>
      <c r="Q119" s="321"/>
      <c r="R119" s="321"/>
      <c r="S119" s="320">
        <v>395800</v>
      </c>
      <c r="T119" s="320">
        <f>J119-P119-S119</f>
      </c>
      <c r="U119" s="322">
        <v>45772</v>
      </c>
      <c r="V119" s="319" t="s">
        <v>1718</v>
      </c>
      <c r="W119" s="321"/>
      <c r="X119" s="29">
        <f>K119</f>
      </c>
      <c r="Y119" s="29"/>
      <c r="Z119" s="29"/>
      <c r="AA119" s="29"/>
      <c r="AB119" s="107">
        <f>AB118-X119+Y119+AA119</f>
      </c>
      <c r="AC119" s="29"/>
      <c r="AD119" s="29"/>
      <c r="AE119" s="107">
        <f>AE118-AD119</f>
      </c>
      <c r="AF119" s="29"/>
      <c r="AG119" s="34"/>
      <c r="AH119" s="34"/>
    </row>
    <row x14ac:dyDescent="0.25" r="120" customHeight="1" ht="19.5">
      <c r="A120" s="362">
        <v>45771</v>
      </c>
      <c r="B120" s="319" t="s">
        <v>22</v>
      </c>
      <c r="C120" s="319" t="s">
        <v>23</v>
      </c>
      <c r="D120" s="319" t="s">
        <v>4099</v>
      </c>
      <c r="E120" s="319" t="s">
        <v>4811</v>
      </c>
      <c r="F120" s="319" t="s">
        <v>24</v>
      </c>
      <c r="G120" s="319" t="s">
        <v>4812</v>
      </c>
      <c r="H120" s="319" t="s">
        <v>26</v>
      </c>
      <c r="I120" s="321"/>
      <c r="J120" s="320">
        <v>670900</v>
      </c>
      <c r="K120" s="17">
        <v>600385</v>
      </c>
      <c r="L120" s="281">
        <f>J120-K120</f>
      </c>
      <c r="M120" s="319" t="s">
        <v>22</v>
      </c>
      <c r="N120" s="319" t="s">
        <v>4813</v>
      </c>
      <c r="O120" s="321"/>
      <c r="P120" s="321"/>
      <c r="Q120" s="321"/>
      <c r="R120" s="321"/>
      <c r="S120" s="320">
        <v>670900</v>
      </c>
      <c r="T120" s="320">
        <f>J120-P120-S120</f>
      </c>
      <c r="U120" s="322">
        <v>45817</v>
      </c>
      <c r="V120" s="319" t="s">
        <v>2122</v>
      </c>
      <c r="W120" s="321"/>
      <c r="X120" s="29">
        <f>K120</f>
      </c>
      <c r="Y120" s="29"/>
      <c r="Z120" s="29"/>
      <c r="AA120" s="29"/>
      <c r="AB120" s="107">
        <f>AB119-X120+Y120+AA120</f>
      </c>
      <c r="AC120" s="29"/>
      <c r="AD120" s="29"/>
      <c r="AE120" s="107">
        <f>AE119-AD120</f>
      </c>
      <c r="AF120" s="29"/>
      <c r="AG120" s="34"/>
      <c r="AH120" s="34"/>
    </row>
    <row x14ac:dyDescent="0.25" r="121" customHeight="1" ht="19.5">
      <c r="A121" s="451" t="s">
        <v>4814</v>
      </c>
      <c r="B121" s="452" t="s">
        <v>66</v>
      </c>
      <c r="C121" s="452" t="s">
        <v>172</v>
      </c>
      <c r="D121" s="452" t="s">
        <v>4815</v>
      </c>
      <c r="E121" s="452"/>
      <c r="F121" s="452" t="s">
        <v>174</v>
      </c>
      <c r="G121" s="453" t="s">
        <v>4816</v>
      </c>
      <c r="H121" s="452" t="s">
        <v>26</v>
      </c>
      <c r="I121" s="454">
        <v>1096300</v>
      </c>
      <c r="J121" s="455">
        <v>1645820</v>
      </c>
      <c r="K121" s="176">
        <v>1525820</v>
      </c>
      <c r="L121" s="454">
        <f>J121-K121</f>
      </c>
      <c r="M121" s="452" t="s">
        <v>50</v>
      </c>
      <c r="N121" s="453" t="s">
        <v>4817</v>
      </c>
      <c r="O121" s="454">
        <v>2</v>
      </c>
      <c r="P121" s="456"/>
      <c r="Q121" s="456"/>
      <c r="R121" s="456"/>
      <c r="S121" s="454"/>
      <c r="T121" s="456"/>
      <c r="U121" s="457"/>
      <c r="V121" s="452"/>
      <c r="W121" s="456"/>
      <c r="X121" s="458">
        <f>K121</f>
      </c>
      <c r="Y121" s="29"/>
      <c r="Z121" s="29"/>
      <c r="AA121" s="29"/>
      <c r="AB121" s="459"/>
      <c r="AC121" s="29"/>
      <c r="AD121" s="29"/>
      <c r="AE121" s="458"/>
      <c r="AF121" s="29"/>
      <c r="AG121" s="34"/>
      <c r="AH121" s="34"/>
    </row>
    <row x14ac:dyDescent="0.25" r="122" customHeight="1" ht="19.5">
      <c r="A122" s="393">
        <v>45771</v>
      </c>
      <c r="B122" s="328" t="s">
        <v>46</v>
      </c>
      <c r="C122" s="328" t="s">
        <v>183</v>
      </c>
      <c r="D122" s="328" t="s">
        <v>4098</v>
      </c>
      <c r="E122" s="328" t="s">
        <v>4818</v>
      </c>
      <c r="F122" s="328" t="s">
        <v>4465</v>
      </c>
      <c r="G122" s="432" t="s">
        <v>186</v>
      </c>
      <c r="H122" s="328" t="s">
        <v>26</v>
      </c>
      <c r="I122" s="348" t="s">
        <v>4819</v>
      </c>
      <c r="J122" s="421">
        <v>273900</v>
      </c>
      <c r="K122" s="57">
        <v>0</v>
      </c>
      <c r="L122" s="347">
        <f>J122-K122</f>
      </c>
      <c r="M122" s="328" t="s">
        <v>187</v>
      </c>
      <c r="N122" s="432" t="s">
        <v>4820</v>
      </c>
      <c r="O122" s="348" t="s">
        <v>4821</v>
      </c>
      <c r="P122" s="321"/>
      <c r="Q122" s="321"/>
      <c r="R122" s="321"/>
      <c r="S122" s="321"/>
      <c r="T122" s="320">
        <f>J122-P122-S122</f>
      </c>
      <c r="U122" s="322"/>
      <c r="V122" s="319"/>
      <c r="W122" s="321"/>
      <c r="X122" s="29">
        <f>K122</f>
      </c>
      <c r="Y122" s="29"/>
      <c r="Z122" s="29"/>
      <c r="AA122" s="29"/>
      <c r="AB122" s="107">
        <f>AB120-X122+Y122+AA122</f>
      </c>
      <c r="AC122" s="29"/>
      <c r="AD122" s="29"/>
      <c r="AE122" s="107">
        <f>AE120-AD122</f>
      </c>
      <c r="AF122" s="29"/>
      <c r="AG122" s="34"/>
      <c r="AH122" s="34"/>
    </row>
    <row x14ac:dyDescent="0.25" r="123" customHeight="1" ht="19.5">
      <c r="A123" s="362">
        <v>45771</v>
      </c>
      <c r="B123" s="319" t="s">
        <v>4779</v>
      </c>
      <c r="C123" s="319" t="s">
        <v>4822</v>
      </c>
      <c r="D123" s="319" t="s">
        <v>4747</v>
      </c>
      <c r="E123" s="319" t="s">
        <v>4823</v>
      </c>
      <c r="F123" s="319" t="s">
        <v>266</v>
      </c>
      <c r="G123" s="230" t="s">
        <v>4824</v>
      </c>
      <c r="H123" s="319" t="s">
        <v>26</v>
      </c>
      <c r="I123" s="321"/>
      <c r="J123" s="442">
        <v>1458620</v>
      </c>
      <c r="K123" s="17">
        <v>1368620</v>
      </c>
      <c r="L123" s="281">
        <f>J123-K123</f>
      </c>
      <c r="M123" s="319" t="s">
        <v>3045</v>
      </c>
      <c r="N123" s="230" t="s">
        <v>4825</v>
      </c>
      <c r="O123" s="321"/>
      <c r="P123" s="321"/>
      <c r="Q123" s="321"/>
      <c r="R123" s="321"/>
      <c r="S123" s="320">
        <v>1458620</v>
      </c>
      <c r="T123" s="320">
        <f>J123-P123-S123</f>
      </c>
      <c r="U123" s="322">
        <v>45792</v>
      </c>
      <c r="V123" s="401" t="s">
        <v>4826</v>
      </c>
      <c r="W123" s="321"/>
      <c r="X123" s="29">
        <f>K123</f>
      </c>
      <c r="Y123" s="29"/>
      <c r="Z123" s="29"/>
      <c r="AA123" s="29"/>
      <c r="AB123" s="107">
        <f>AB122-X123+Y123+AA123</f>
      </c>
      <c r="AC123" s="29"/>
      <c r="AD123" s="29"/>
      <c r="AE123" s="107">
        <f>AE122-AD123</f>
      </c>
      <c r="AF123" s="29"/>
      <c r="AG123" s="34"/>
      <c r="AH123" s="34"/>
    </row>
    <row x14ac:dyDescent="0.25" r="124" customHeight="1" ht="19.5">
      <c r="A124" s="362">
        <v>45772</v>
      </c>
      <c r="B124" s="319" t="s">
        <v>46</v>
      </c>
      <c r="C124" s="319" t="s">
        <v>4827</v>
      </c>
      <c r="D124" s="319" t="s">
        <v>4116</v>
      </c>
      <c r="E124" s="319" t="s">
        <v>4828</v>
      </c>
      <c r="F124" s="319" t="s">
        <v>266</v>
      </c>
      <c r="G124" s="319" t="s">
        <v>4829</v>
      </c>
      <c r="H124" s="319" t="s">
        <v>26</v>
      </c>
      <c r="I124" s="320">
        <v>2368700</v>
      </c>
      <c r="J124" s="320">
        <v>3270920</v>
      </c>
      <c r="K124" s="17">
        <v>3130020</v>
      </c>
      <c r="L124" s="281">
        <f>J124-K124</f>
      </c>
      <c r="M124" s="319" t="s">
        <v>3045</v>
      </c>
      <c r="N124" s="319" t="s">
        <v>4830</v>
      </c>
      <c r="O124" s="320">
        <v>4</v>
      </c>
      <c r="P124" s="321"/>
      <c r="Q124" s="321"/>
      <c r="R124" s="321"/>
      <c r="S124" s="320">
        <v>3270920</v>
      </c>
      <c r="T124" s="320">
        <f>J124-P124-S124</f>
      </c>
      <c r="U124" s="322">
        <v>45792</v>
      </c>
      <c r="V124" s="401" t="s">
        <v>2122</v>
      </c>
      <c r="W124" s="321"/>
      <c r="X124" s="29"/>
      <c r="Y124" s="29"/>
      <c r="Z124" s="29"/>
      <c r="AA124" s="29"/>
      <c r="AB124" s="29"/>
      <c r="AC124" s="29"/>
      <c r="AD124" s="29"/>
      <c r="AE124" s="29"/>
      <c r="AF124" s="29"/>
      <c r="AG124" s="34"/>
      <c r="AH124" s="34"/>
    </row>
    <row x14ac:dyDescent="0.25" r="125" customHeight="1" ht="49.5">
      <c r="A125" s="362">
        <v>45773</v>
      </c>
      <c r="B125" s="319" t="s">
        <v>46</v>
      </c>
      <c r="C125" s="319" t="s">
        <v>54</v>
      </c>
      <c r="D125" s="319" t="s">
        <v>4831</v>
      </c>
      <c r="E125" s="319" t="s">
        <v>4832</v>
      </c>
      <c r="F125" s="319" t="s">
        <v>4833</v>
      </c>
      <c r="G125" s="319" t="s">
        <v>4834</v>
      </c>
      <c r="H125" s="319" t="s">
        <v>26</v>
      </c>
      <c r="I125" s="320">
        <v>311700</v>
      </c>
      <c r="J125" s="396">
        <v>769720</v>
      </c>
      <c r="K125" s="272">
        <v>699620</v>
      </c>
      <c r="L125" s="460">
        <v>100100</v>
      </c>
      <c r="M125" s="319" t="s">
        <v>3045</v>
      </c>
      <c r="N125" s="319" t="s">
        <v>4835</v>
      </c>
      <c r="O125" s="320">
        <v>2</v>
      </c>
      <c r="P125" s="396">
        <v>346000</v>
      </c>
      <c r="Q125" s="329">
        <v>200000</v>
      </c>
      <c r="R125" s="410">
        <v>132400</v>
      </c>
      <c r="S125" s="396"/>
      <c r="T125" s="396">
        <f>J125-P125-S125-Q125-R125</f>
      </c>
      <c r="U125" s="461" t="s">
        <v>4836</v>
      </c>
      <c r="V125" s="331" t="s">
        <v>1718</v>
      </c>
      <c r="W125" s="321"/>
      <c r="X125" s="29"/>
      <c r="Y125" s="29"/>
      <c r="Z125" s="29"/>
      <c r="AA125" s="29"/>
      <c r="AB125" s="29"/>
      <c r="AC125" s="29"/>
      <c r="AD125" s="29"/>
      <c r="AE125" s="29"/>
      <c r="AF125" s="29"/>
      <c r="AG125" s="34"/>
      <c r="AH125" s="34"/>
    </row>
    <row x14ac:dyDescent="0.25" r="126" customHeight="1" ht="19.5">
      <c r="A126" s="362">
        <v>45773</v>
      </c>
      <c r="B126" s="319" t="s">
        <v>46</v>
      </c>
      <c r="C126" s="319" t="s">
        <v>54</v>
      </c>
      <c r="D126" s="319" t="s">
        <v>4831</v>
      </c>
      <c r="E126" s="319" t="s">
        <v>4832</v>
      </c>
      <c r="F126" s="319" t="s">
        <v>4833</v>
      </c>
      <c r="G126" s="319" t="s">
        <v>4837</v>
      </c>
      <c r="H126" s="319" t="s">
        <v>26</v>
      </c>
      <c r="I126" s="320">
        <v>31200</v>
      </c>
      <c r="J126" s="384"/>
      <c r="K126" s="273"/>
      <c r="L126" s="439"/>
      <c r="M126" s="319" t="s">
        <v>3045</v>
      </c>
      <c r="N126" s="319" t="s">
        <v>4838</v>
      </c>
      <c r="O126" s="320">
        <v>2</v>
      </c>
      <c r="P126" s="384"/>
      <c r="Q126" s="335"/>
      <c r="R126" s="335"/>
      <c r="S126" s="384"/>
      <c r="T126" s="384"/>
      <c r="U126" s="462"/>
      <c r="V126" s="337"/>
      <c r="W126" s="321"/>
      <c r="X126" s="29"/>
      <c r="Y126" s="29"/>
      <c r="Z126" s="29"/>
      <c r="AA126" s="29"/>
      <c r="AB126" s="29"/>
      <c r="AC126" s="29"/>
      <c r="AD126" s="29"/>
      <c r="AE126" s="29"/>
      <c r="AF126" s="29"/>
      <c r="AG126" s="34"/>
      <c r="AH126" s="34"/>
    </row>
    <row x14ac:dyDescent="0.25" r="127" customHeight="1" ht="19.5">
      <c r="A127" s="362">
        <v>45773</v>
      </c>
      <c r="B127" s="319" t="s">
        <v>82</v>
      </c>
      <c r="C127" s="319" t="s">
        <v>23</v>
      </c>
      <c r="D127" s="319" t="s">
        <v>4839</v>
      </c>
      <c r="E127" s="319" t="s">
        <v>4840</v>
      </c>
      <c r="F127" s="319" t="s">
        <v>158</v>
      </c>
      <c r="G127" s="319" t="s">
        <v>4841</v>
      </c>
      <c r="H127" s="319" t="s">
        <v>26</v>
      </c>
      <c r="I127" s="321"/>
      <c r="J127" s="320">
        <v>309800</v>
      </c>
      <c r="K127" s="17">
        <v>271455</v>
      </c>
      <c r="L127" s="281">
        <f>J127-K127</f>
      </c>
      <c r="M127" s="319" t="s">
        <v>86</v>
      </c>
      <c r="N127" s="319" t="s">
        <v>4842</v>
      </c>
      <c r="O127" s="321"/>
      <c r="P127" s="321"/>
      <c r="Q127" s="321"/>
      <c r="R127" s="321"/>
      <c r="S127" s="320">
        <v>309800</v>
      </c>
      <c r="T127" s="320">
        <f>J127-P127-S127</f>
      </c>
      <c r="U127" s="322">
        <v>45807</v>
      </c>
      <c r="V127" s="319" t="s">
        <v>2122</v>
      </c>
      <c r="W127" s="321"/>
      <c r="X127" s="29"/>
      <c r="Y127" s="29"/>
      <c r="Z127" s="29"/>
      <c r="AA127" s="29"/>
      <c r="AB127" s="29"/>
      <c r="AC127" s="29"/>
      <c r="AD127" s="29"/>
      <c r="AE127" s="29"/>
      <c r="AF127" s="29"/>
      <c r="AG127" s="34"/>
      <c r="AH127" s="34"/>
    </row>
    <row x14ac:dyDescent="0.25" r="128" customHeight="1" ht="19.5">
      <c r="A128" s="362">
        <v>45775</v>
      </c>
      <c r="B128" s="319" t="s">
        <v>123</v>
      </c>
      <c r="C128" s="319" t="s">
        <v>4843</v>
      </c>
      <c r="D128" s="319" t="s">
        <v>4203</v>
      </c>
      <c r="E128" s="319" t="s">
        <v>4844</v>
      </c>
      <c r="F128" s="319" t="s">
        <v>4845</v>
      </c>
      <c r="G128" s="319" t="s">
        <v>4846</v>
      </c>
      <c r="H128" s="319" t="s">
        <v>26</v>
      </c>
      <c r="I128" s="321"/>
      <c r="J128" s="320">
        <v>580800</v>
      </c>
      <c r="K128" s="17">
        <v>513820</v>
      </c>
      <c r="L128" s="281">
        <f>J128-K128</f>
      </c>
      <c r="M128" s="319" t="s">
        <v>187</v>
      </c>
      <c r="N128" s="319" t="s">
        <v>4847</v>
      </c>
      <c r="O128" s="320">
        <v>0</v>
      </c>
      <c r="P128" s="320">
        <v>0</v>
      </c>
      <c r="Q128" s="321"/>
      <c r="R128" s="321"/>
      <c r="S128" s="320">
        <v>580800</v>
      </c>
      <c r="T128" s="320">
        <f>J128-P128-S128</f>
      </c>
      <c r="U128" s="322">
        <v>45776</v>
      </c>
      <c r="V128" s="319" t="s">
        <v>1718</v>
      </c>
      <c r="W128" s="321"/>
      <c r="X128" s="29"/>
      <c r="Y128" s="29"/>
      <c r="Z128" s="29"/>
      <c r="AA128" s="29"/>
      <c r="AB128" s="29"/>
      <c r="AC128" s="29"/>
      <c r="AD128" s="29"/>
      <c r="AE128" s="29"/>
      <c r="AF128" s="29"/>
      <c r="AG128" s="34"/>
      <c r="AH128" s="34"/>
    </row>
    <row x14ac:dyDescent="0.25" r="129" customHeight="1" ht="19.5">
      <c r="A129" s="362">
        <v>45775</v>
      </c>
      <c r="B129" s="319" t="s">
        <v>66</v>
      </c>
      <c r="C129" s="319" t="s">
        <v>4456</v>
      </c>
      <c r="D129" s="319" t="s">
        <v>4848</v>
      </c>
      <c r="E129" s="319" t="s">
        <v>4849</v>
      </c>
      <c r="F129" s="319" t="s">
        <v>90</v>
      </c>
      <c r="G129" s="319" t="s">
        <v>233</v>
      </c>
      <c r="H129" s="319" t="s">
        <v>26</v>
      </c>
      <c r="I129" s="320">
        <v>823100</v>
      </c>
      <c r="J129" s="320">
        <v>1236520</v>
      </c>
      <c r="K129" s="17">
        <v>1186520</v>
      </c>
      <c r="L129" s="281">
        <f>J129-K129</f>
      </c>
      <c r="M129" s="319" t="s">
        <v>50</v>
      </c>
      <c r="N129" s="319" t="s">
        <v>4850</v>
      </c>
      <c r="O129" s="320">
        <v>2</v>
      </c>
      <c r="P129" s="321"/>
      <c r="Q129" s="321"/>
      <c r="R129" s="321"/>
      <c r="S129" s="320">
        <v>1237000</v>
      </c>
      <c r="T129" s="320">
        <f>J129-P129-S129</f>
      </c>
      <c r="U129" s="322">
        <v>45775</v>
      </c>
      <c r="V129" s="319" t="s">
        <v>2122</v>
      </c>
      <c r="W129" s="321"/>
      <c r="X129" s="29"/>
      <c r="Y129" s="29"/>
      <c r="Z129" s="29"/>
      <c r="AA129" s="29"/>
      <c r="AB129" s="29"/>
      <c r="AC129" s="29"/>
      <c r="AD129" s="29"/>
      <c r="AE129" s="29"/>
      <c r="AF129" s="29"/>
      <c r="AG129" s="34"/>
      <c r="AH129" s="34"/>
    </row>
    <row x14ac:dyDescent="0.25" r="130" customHeight="1" ht="19.5">
      <c r="A130" s="362">
        <v>45775</v>
      </c>
      <c r="B130" s="319" t="s">
        <v>46</v>
      </c>
      <c r="C130" s="319" t="s">
        <v>54</v>
      </c>
      <c r="D130" s="319" t="s">
        <v>4851</v>
      </c>
      <c r="E130" s="3" t="s">
        <v>4852</v>
      </c>
      <c r="F130" s="357" t="s">
        <v>266</v>
      </c>
      <c r="G130" s="463" t="s">
        <v>4748</v>
      </c>
      <c r="H130" s="463" t="s">
        <v>26</v>
      </c>
      <c r="I130" s="426"/>
      <c r="J130" s="427">
        <v>199900</v>
      </c>
      <c r="K130" s="114">
        <v>138200</v>
      </c>
      <c r="L130" s="281">
        <f>J130-K130</f>
      </c>
      <c r="M130" s="463" t="s">
        <v>50</v>
      </c>
      <c r="N130" s="463" t="s">
        <v>4749</v>
      </c>
      <c r="O130" s="321" t="s">
        <v>251</v>
      </c>
      <c r="P130" s="321"/>
      <c r="Q130" s="321"/>
      <c r="R130" s="321"/>
      <c r="S130" s="320">
        <v>199900</v>
      </c>
      <c r="T130" s="320">
        <f>J130-P130-S130</f>
      </c>
      <c r="U130" s="322">
        <v>45792</v>
      </c>
      <c r="V130" s="401" t="s">
        <v>2122</v>
      </c>
      <c r="W130" s="321"/>
      <c r="X130" s="29"/>
      <c r="Y130" s="29"/>
      <c r="Z130" s="29"/>
      <c r="AA130" s="29"/>
      <c r="AB130" s="29"/>
      <c r="AC130" s="29"/>
      <c r="AD130" s="29"/>
      <c r="AE130" s="29"/>
      <c r="AF130" s="29"/>
      <c r="AG130" s="34"/>
      <c r="AH130" s="34"/>
    </row>
    <row x14ac:dyDescent="0.25" r="131" customHeight="1" ht="19.5">
      <c r="A131" s="362">
        <v>45775</v>
      </c>
      <c r="B131" s="319" t="s">
        <v>46</v>
      </c>
      <c r="C131" s="319" t="s">
        <v>4822</v>
      </c>
      <c r="D131" s="319" t="s">
        <v>4851</v>
      </c>
      <c r="E131" s="319" t="s">
        <v>4853</v>
      </c>
      <c r="F131" s="319" t="s">
        <v>266</v>
      </c>
      <c r="G131" s="230" t="s">
        <v>4824</v>
      </c>
      <c r="H131" s="463" t="s">
        <v>26</v>
      </c>
      <c r="I131" s="426"/>
      <c r="J131" s="427">
        <v>60000</v>
      </c>
      <c r="K131" s="114">
        <v>7000</v>
      </c>
      <c r="L131" s="281">
        <f>J131-K131</f>
      </c>
      <c r="M131" s="463" t="s">
        <v>3045</v>
      </c>
      <c r="N131" s="463" t="s">
        <v>4749</v>
      </c>
      <c r="O131" s="321" t="s">
        <v>251</v>
      </c>
      <c r="P131" s="321"/>
      <c r="Q131" s="321"/>
      <c r="R131" s="321"/>
      <c r="S131" s="320">
        <v>60000</v>
      </c>
      <c r="T131" s="320">
        <f>J131-P131-S131</f>
      </c>
      <c r="U131" s="322">
        <v>45792</v>
      </c>
      <c r="V131" s="401" t="s">
        <v>2122</v>
      </c>
      <c r="W131" s="321"/>
      <c r="X131" s="29"/>
      <c r="Y131" s="29"/>
      <c r="Z131" s="29"/>
      <c r="AA131" s="29"/>
      <c r="AB131" s="29"/>
      <c r="AC131" s="29"/>
      <c r="AD131" s="29"/>
      <c r="AE131" s="29"/>
      <c r="AF131" s="29"/>
      <c r="AG131" s="34"/>
      <c r="AH131" s="34"/>
    </row>
    <row x14ac:dyDescent="0.25" r="132" customHeight="1" ht="19.5">
      <c r="A132" s="362">
        <v>45775</v>
      </c>
      <c r="B132" s="319" t="s">
        <v>82</v>
      </c>
      <c r="C132" s="319" t="s">
        <v>83</v>
      </c>
      <c r="D132" s="319" t="s">
        <v>4854</v>
      </c>
      <c r="E132" s="319" t="s">
        <v>4855</v>
      </c>
      <c r="F132" s="319" t="s">
        <v>3684</v>
      </c>
      <c r="G132" s="319" t="s">
        <v>4856</v>
      </c>
      <c r="H132" s="463" t="s">
        <v>26</v>
      </c>
      <c r="I132" s="321"/>
      <c r="J132" s="320">
        <v>101900</v>
      </c>
      <c r="K132" s="17">
        <v>81540</v>
      </c>
      <c r="L132" s="281">
        <f>J132-K132</f>
      </c>
      <c r="M132" s="319" t="s">
        <v>86</v>
      </c>
      <c r="N132" s="319" t="s">
        <v>4857</v>
      </c>
      <c r="O132" s="321"/>
      <c r="P132" s="329"/>
      <c r="Q132" s="329"/>
      <c r="R132" s="410"/>
      <c r="S132" s="396">
        <v>203800</v>
      </c>
      <c r="T132" s="396">
        <f>J132+J133-P132-S132</f>
      </c>
      <c r="U132" s="340">
        <v>45799</v>
      </c>
      <c r="V132" s="464" t="s">
        <v>2122</v>
      </c>
      <c r="W132" s="321"/>
      <c r="X132" s="29"/>
      <c r="Y132" s="29"/>
      <c r="Z132" s="29"/>
      <c r="AA132" s="29"/>
      <c r="AB132" s="29"/>
      <c r="AC132" s="29"/>
      <c r="AD132" s="29"/>
      <c r="AE132" s="29"/>
      <c r="AF132" s="29"/>
      <c r="AG132" s="34"/>
      <c r="AH132" s="34"/>
    </row>
    <row x14ac:dyDescent="0.25" r="133" customHeight="1" ht="19.5">
      <c r="A133" s="362">
        <v>45775</v>
      </c>
      <c r="B133" s="319" t="s">
        <v>82</v>
      </c>
      <c r="C133" s="319" t="s">
        <v>83</v>
      </c>
      <c r="D133" s="319" t="s">
        <v>4858</v>
      </c>
      <c r="E133" s="319" t="s">
        <v>4859</v>
      </c>
      <c r="F133" s="319" t="s">
        <v>3684</v>
      </c>
      <c r="G133" s="319" t="s">
        <v>4860</v>
      </c>
      <c r="H133" s="463" t="s">
        <v>26</v>
      </c>
      <c r="I133" s="321"/>
      <c r="J133" s="320">
        <v>101900</v>
      </c>
      <c r="K133" s="17">
        <v>81540</v>
      </c>
      <c r="L133" s="281">
        <f>J133-K133</f>
      </c>
      <c r="M133" s="319" t="s">
        <v>86</v>
      </c>
      <c r="N133" s="319" t="s">
        <v>4861</v>
      </c>
      <c r="O133" s="321"/>
      <c r="P133" s="335"/>
      <c r="Q133" s="335"/>
      <c r="R133" s="335"/>
      <c r="S133" s="384"/>
      <c r="T133" s="384"/>
      <c r="U133" s="343"/>
      <c r="V133" s="357"/>
      <c r="W133" s="321"/>
      <c r="X133" s="29"/>
      <c r="Y133" s="29"/>
      <c r="Z133" s="29"/>
      <c r="AA133" s="29"/>
      <c r="AB133" s="29"/>
      <c r="AC133" s="29"/>
      <c r="AD133" s="29"/>
      <c r="AE133" s="29"/>
      <c r="AF133" s="29"/>
      <c r="AG133" s="34"/>
      <c r="AH133" s="34"/>
    </row>
    <row x14ac:dyDescent="0.25" r="134" customHeight="1" ht="29.25">
      <c r="A134" s="362">
        <v>45776</v>
      </c>
      <c r="B134" s="319" t="s">
        <v>897</v>
      </c>
      <c r="C134" s="319" t="s">
        <v>54</v>
      </c>
      <c r="D134" s="319" t="s">
        <v>4862</v>
      </c>
      <c r="E134" s="319" t="s">
        <v>4863</v>
      </c>
      <c r="F134" s="319" t="s">
        <v>4864</v>
      </c>
      <c r="G134" s="319" t="s">
        <v>4865</v>
      </c>
      <c r="H134" s="319" t="s">
        <v>4866</v>
      </c>
      <c r="I134" s="321"/>
      <c r="J134" s="320">
        <v>615000</v>
      </c>
      <c r="K134" s="17">
        <v>581920</v>
      </c>
      <c r="L134" s="281">
        <f>J134-K134</f>
      </c>
      <c r="M134" s="319" t="s">
        <v>187</v>
      </c>
      <c r="N134" s="319" t="s">
        <v>2908</v>
      </c>
      <c r="O134" s="321"/>
      <c r="P134" s="320">
        <v>465000</v>
      </c>
      <c r="Q134" s="320"/>
      <c r="R134" s="320"/>
      <c r="S134" s="320">
        <v>150000</v>
      </c>
      <c r="T134" s="320">
        <f>J134-P134-S134</f>
      </c>
      <c r="U134" s="465" t="s">
        <v>4867</v>
      </c>
      <c r="V134" s="319" t="s">
        <v>1718</v>
      </c>
      <c r="W134" s="321"/>
      <c r="X134" s="29"/>
      <c r="Y134" s="29"/>
      <c r="Z134" s="29"/>
      <c r="AA134" s="29"/>
      <c r="AB134" s="29"/>
      <c r="AC134" s="29"/>
      <c r="AD134" s="29"/>
      <c r="AE134" s="29"/>
      <c r="AF134" s="29"/>
      <c r="AG134" s="34"/>
      <c r="AH134" s="34"/>
    </row>
    <row x14ac:dyDescent="0.25" r="135" customHeight="1" ht="19.5">
      <c r="A135" s="362">
        <v>45776</v>
      </c>
      <c r="B135" s="319" t="s">
        <v>290</v>
      </c>
      <c r="C135" s="319" t="s">
        <v>4822</v>
      </c>
      <c r="D135" s="319" t="s">
        <v>4868</v>
      </c>
      <c r="E135" s="319" t="s">
        <v>4869</v>
      </c>
      <c r="F135" s="319" t="s">
        <v>4870</v>
      </c>
      <c r="G135" s="319" t="s">
        <v>4871</v>
      </c>
      <c r="H135" s="319" t="s">
        <v>127</v>
      </c>
      <c r="I135" s="321"/>
      <c r="J135" s="320">
        <v>575720</v>
      </c>
      <c r="K135" s="17">
        <v>515320</v>
      </c>
      <c r="L135" s="281">
        <f>J135-K135</f>
      </c>
      <c r="M135" s="319" t="s">
        <v>50</v>
      </c>
      <c r="N135" s="319" t="s">
        <v>4872</v>
      </c>
      <c r="O135" s="320">
        <v>4</v>
      </c>
      <c r="P135" s="321"/>
      <c r="Q135" s="321"/>
      <c r="R135" s="321"/>
      <c r="S135" s="320">
        <v>575720</v>
      </c>
      <c r="T135" s="320">
        <f>J135-P135-S135</f>
      </c>
      <c r="U135" s="322">
        <v>45776</v>
      </c>
      <c r="V135" s="319" t="s">
        <v>4873</v>
      </c>
      <c r="W135" s="321"/>
      <c r="X135" s="29"/>
      <c r="Y135" s="29"/>
      <c r="Z135" s="29"/>
      <c r="AA135" s="29"/>
      <c r="AB135" s="29"/>
      <c r="AC135" s="29"/>
      <c r="AD135" s="29"/>
      <c r="AE135" s="29"/>
      <c r="AF135" s="29"/>
      <c r="AG135" s="34"/>
      <c r="AH135" s="34"/>
    </row>
    <row x14ac:dyDescent="0.25" r="136" customHeight="1" ht="19.5">
      <c r="A136" s="364">
        <v>45776</v>
      </c>
      <c r="B136" s="365" t="s">
        <v>66</v>
      </c>
      <c r="C136" s="365" t="s">
        <v>166</v>
      </c>
      <c r="D136" s="365" t="s">
        <v>4874</v>
      </c>
      <c r="E136" s="365" t="s">
        <v>4875</v>
      </c>
      <c r="F136" s="365" t="s">
        <v>3684</v>
      </c>
      <c r="G136" s="365" t="s">
        <v>4876</v>
      </c>
      <c r="H136" s="365" t="s">
        <v>26</v>
      </c>
      <c r="I136" s="366"/>
      <c r="J136" s="367"/>
      <c r="K136" s="368">
        <v>435620</v>
      </c>
      <c r="L136" s="366"/>
      <c r="M136" s="366"/>
      <c r="N136" s="365" t="s">
        <v>4877</v>
      </c>
      <c r="O136" s="366" t="s">
        <v>2777</v>
      </c>
      <c r="P136" s="321"/>
      <c r="Q136" s="321"/>
      <c r="R136" s="321"/>
      <c r="S136" s="321"/>
      <c r="T136" s="320">
        <f>J136-P136-S136</f>
      </c>
      <c r="U136" s="322"/>
      <c r="V136" s="319"/>
      <c r="W136" s="321"/>
      <c r="X136" s="29"/>
      <c r="Y136" s="29"/>
      <c r="Z136" s="29"/>
      <c r="AA136" s="29"/>
      <c r="AB136" s="29"/>
      <c r="AC136" s="29"/>
      <c r="AD136" s="29"/>
      <c r="AE136" s="29"/>
      <c r="AF136" s="29"/>
      <c r="AG136" s="34"/>
      <c r="AH136" s="34"/>
    </row>
    <row x14ac:dyDescent="0.25" r="137" customHeight="1" ht="19.5">
      <c r="A137" s="364">
        <v>45776</v>
      </c>
      <c r="B137" s="365" t="s">
        <v>66</v>
      </c>
      <c r="C137" s="365" t="s">
        <v>166</v>
      </c>
      <c r="D137" s="365" t="s">
        <v>4874</v>
      </c>
      <c r="E137" s="365" t="s">
        <v>4875</v>
      </c>
      <c r="F137" s="365" t="s">
        <v>3684</v>
      </c>
      <c r="G137" s="365" t="s">
        <v>4878</v>
      </c>
      <c r="H137" s="365" t="s">
        <v>26</v>
      </c>
      <c r="I137" s="366"/>
      <c r="J137" s="367"/>
      <c r="K137" s="368">
        <v>389120</v>
      </c>
      <c r="L137" s="366"/>
      <c r="M137" s="366"/>
      <c r="N137" s="365" t="s">
        <v>4879</v>
      </c>
      <c r="O137" s="366" t="s">
        <v>2777</v>
      </c>
      <c r="P137" s="321"/>
      <c r="Q137" s="321"/>
      <c r="R137" s="321"/>
      <c r="S137" s="321"/>
      <c r="T137" s="320">
        <f>J137-P137-S137</f>
      </c>
      <c r="U137" s="322"/>
      <c r="V137" s="319"/>
      <c r="W137" s="321"/>
      <c r="X137" s="29"/>
      <c r="Y137" s="29"/>
      <c r="Z137" s="29"/>
      <c r="AA137" s="29"/>
      <c r="AB137" s="29"/>
      <c r="AC137" s="29"/>
      <c r="AD137" s="29"/>
      <c r="AE137" s="29"/>
      <c r="AF137" s="29"/>
      <c r="AG137" s="34"/>
      <c r="AH137" s="34"/>
    </row>
    <row x14ac:dyDescent="0.25" r="138" customHeight="1" ht="19.5">
      <c r="A138" s="364">
        <v>45776</v>
      </c>
      <c r="B138" s="365" t="s">
        <v>66</v>
      </c>
      <c r="C138" s="365" t="s">
        <v>166</v>
      </c>
      <c r="D138" s="365" t="s">
        <v>4874</v>
      </c>
      <c r="E138" s="365" t="s">
        <v>4875</v>
      </c>
      <c r="F138" s="365" t="s">
        <v>3684</v>
      </c>
      <c r="G138" s="365" t="s">
        <v>4880</v>
      </c>
      <c r="H138" s="365" t="s">
        <v>26</v>
      </c>
      <c r="I138" s="366"/>
      <c r="J138" s="367"/>
      <c r="K138" s="368">
        <v>389120</v>
      </c>
      <c r="L138" s="366"/>
      <c r="M138" s="366"/>
      <c r="N138" s="365" t="s">
        <v>4881</v>
      </c>
      <c r="O138" s="366" t="s">
        <v>2777</v>
      </c>
      <c r="P138" s="321"/>
      <c r="Q138" s="321"/>
      <c r="R138" s="321"/>
      <c r="S138" s="321"/>
      <c r="T138" s="320">
        <f>J138-P138-S138</f>
      </c>
      <c r="U138" s="322"/>
      <c r="V138" s="319"/>
      <c r="W138" s="321"/>
      <c r="X138" s="29"/>
      <c r="Y138" s="29"/>
      <c r="Z138" s="29"/>
      <c r="AA138" s="29"/>
      <c r="AB138" s="29"/>
      <c r="AC138" s="29"/>
      <c r="AD138" s="29"/>
      <c r="AE138" s="29"/>
      <c r="AF138" s="29"/>
      <c r="AG138" s="34"/>
      <c r="AH138" s="34"/>
    </row>
    <row x14ac:dyDescent="0.25" r="139" customHeight="1" ht="19.5">
      <c r="A139" s="362">
        <v>45776</v>
      </c>
      <c r="B139" s="319" t="s">
        <v>111</v>
      </c>
      <c r="C139" s="319" t="s">
        <v>415</v>
      </c>
      <c r="D139" s="319" t="s">
        <v>4882</v>
      </c>
      <c r="E139" s="319" t="s">
        <v>4883</v>
      </c>
      <c r="F139" s="319" t="s">
        <v>327</v>
      </c>
      <c r="G139" s="319" t="s">
        <v>4884</v>
      </c>
      <c r="H139" s="319" t="s">
        <v>26</v>
      </c>
      <c r="I139" s="321"/>
      <c r="J139" s="320">
        <v>158900</v>
      </c>
      <c r="K139" s="17">
        <v>94200</v>
      </c>
      <c r="L139" s="281">
        <f>J139-K139</f>
      </c>
      <c r="M139" s="319" t="s">
        <v>50</v>
      </c>
      <c r="N139" s="319" t="s">
        <v>4885</v>
      </c>
      <c r="O139" s="321" t="s">
        <v>251</v>
      </c>
      <c r="P139" s="321"/>
      <c r="Q139" s="321"/>
      <c r="R139" s="321"/>
      <c r="S139" s="320">
        <v>158900</v>
      </c>
      <c r="T139" s="320">
        <f>J139-P139-S139</f>
      </c>
      <c r="U139" s="322">
        <v>45791</v>
      </c>
      <c r="V139" s="319" t="s">
        <v>2216</v>
      </c>
      <c r="W139" s="315" t="s">
        <v>4886</v>
      </c>
      <c r="X139" s="29"/>
      <c r="Y139" s="29"/>
      <c r="Z139" s="29"/>
      <c r="AA139" s="29"/>
      <c r="AB139" s="29"/>
      <c r="AC139" s="29"/>
      <c r="AD139" s="29"/>
      <c r="AE139" s="29"/>
      <c r="AF139" s="29"/>
      <c r="AG139" s="34"/>
      <c r="AH139" s="34"/>
    </row>
    <row x14ac:dyDescent="0.25" r="140" customHeight="1" ht="19.5">
      <c r="A140" s="362">
        <v>45776</v>
      </c>
      <c r="B140" s="319" t="s">
        <v>46</v>
      </c>
      <c r="C140" s="319" t="s">
        <v>4887</v>
      </c>
      <c r="D140" s="319" t="s">
        <v>4099</v>
      </c>
      <c r="E140" s="319" t="s">
        <v>4888</v>
      </c>
      <c r="F140" s="319" t="s">
        <v>174</v>
      </c>
      <c r="G140" s="319" t="s">
        <v>4889</v>
      </c>
      <c r="H140" s="319" t="s">
        <v>26</v>
      </c>
      <c r="I140" s="320">
        <v>4515700</v>
      </c>
      <c r="J140" s="320">
        <v>5415900</v>
      </c>
      <c r="K140" s="320">
        <v>5307550</v>
      </c>
      <c r="L140" s="281">
        <f>J140-K140</f>
      </c>
      <c r="M140" s="319" t="s">
        <v>50</v>
      </c>
      <c r="N140" s="319" t="s">
        <v>4890</v>
      </c>
      <c r="O140" s="320">
        <v>2</v>
      </c>
      <c r="P140" s="321"/>
      <c r="Q140" s="321"/>
      <c r="R140" s="321"/>
      <c r="S140" s="320">
        <v>5415900</v>
      </c>
      <c r="T140" s="320">
        <f>J140-P140-S140</f>
      </c>
      <c r="U140" s="322">
        <v>45800</v>
      </c>
      <c r="V140" s="319" t="s">
        <v>1718</v>
      </c>
      <c r="W140" s="321"/>
      <c r="X140" s="29"/>
      <c r="Y140" s="29"/>
      <c r="Z140" s="29"/>
      <c r="AA140" s="29"/>
      <c r="AB140" s="29"/>
      <c r="AC140" s="29"/>
      <c r="AD140" s="29"/>
      <c r="AE140" s="29"/>
      <c r="AF140" s="29"/>
      <c r="AG140" s="34"/>
      <c r="AH140" s="34"/>
    </row>
    <row x14ac:dyDescent="0.25" r="141" customHeight="1" ht="19.5">
      <c r="A141" s="362">
        <v>45776</v>
      </c>
      <c r="B141" s="319" t="s">
        <v>53</v>
      </c>
      <c r="C141" s="319" t="s">
        <v>54</v>
      </c>
      <c r="D141" s="319" t="s">
        <v>4891</v>
      </c>
      <c r="E141" s="319"/>
      <c r="F141" s="319" t="s">
        <v>242</v>
      </c>
      <c r="G141" s="3" t="s">
        <v>4892</v>
      </c>
      <c r="H141" s="319" t="s">
        <v>26</v>
      </c>
      <c r="I141" s="320">
        <v>962900</v>
      </c>
      <c r="J141" s="320">
        <v>1400600</v>
      </c>
      <c r="K141" s="320">
        <v>1352220</v>
      </c>
      <c r="L141" s="281">
        <f>J141-K141</f>
      </c>
      <c r="M141" s="319" t="s">
        <v>137</v>
      </c>
      <c r="N141" s="319" t="s">
        <v>4893</v>
      </c>
      <c r="O141" s="321"/>
      <c r="P141" s="321"/>
      <c r="Q141" s="321"/>
      <c r="R141" s="321"/>
      <c r="S141" s="320">
        <v>1400600</v>
      </c>
      <c r="T141" s="320">
        <f>J141-P141-S141</f>
      </c>
      <c r="U141" s="322">
        <v>45800</v>
      </c>
      <c r="V141" s="319" t="s">
        <v>1718</v>
      </c>
      <c r="W141" s="321"/>
      <c r="X141" s="29"/>
      <c r="Y141" s="29"/>
      <c r="Z141" s="29"/>
      <c r="AA141" s="29"/>
      <c r="AB141" s="29"/>
      <c r="AC141" s="29"/>
      <c r="AD141" s="29"/>
      <c r="AE141" s="29"/>
      <c r="AF141" s="29"/>
      <c r="AG141" s="34"/>
      <c r="AH141" s="34"/>
    </row>
    <row x14ac:dyDescent="0.25" r="142" customHeight="1" ht="19.5">
      <c r="A142" s="362">
        <v>45776</v>
      </c>
      <c r="B142" s="319" t="s">
        <v>53</v>
      </c>
      <c r="C142" s="319" t="s">
        <v>264</v>
      </c>
      <c r="D142" s="319" t="s">
        <v>4894</v>
      </c>
      <c r="E142" s="319"/>
      <c r="F142" s="319" t="s">
        <v>242</v>
      </c>
      <c r="G142" s="3" t="s">
        <v>4892</v>
      </c>
      <c r="H142" s="319" t="s">
        <v>26</v>
      </c>
      <c r="I142" s="321"/>
      <c r="J142" s="320">
        <v>98600</v>
      </c>
      <c r="K142" s="320">
        <v>80900</v>
      </c>
      <c r="L142" s="281">
        <f>J142-K142</f>
      </c>
      <c r="M142" s="319" t="s">
        <v>53</v>
      </c>
      <c r="N142" s="321"/>
      <c r="O142" s="321" t="s">
        <v>4895</v>
      </c>
      <c r="P142" s="321"/>
      <c r="Q142" s="321"/>
      <c r="R142" s="321"/>
      <c r="S142" s="320">
        <v>98600</v>
      </c>
      <c r="T142" s="320">
        <f>J142-P142-S142</f>
      </c>
      <c r="U142" s="322">
        <v>45800</v>
      </c>
      <c r="V142" s="319" t="s">
        <v>1718</v>
      </c>
      <c r="W142" s="321"/>
      <c r="X142" s="29"/>
      <c r="Y142" s="29"/>
      <c r="Z142" s="29"/>
      <c r="AA142" s="29"/>
      <c r="AB142" s="29"/>
      <c r="AC142" s="29"/>
      <c r="AD142" s="29"/>
      <c r="AE142" s="29"/>
      <c r="AF142" s="29"/>
      <c r="AG142" s="34"/>
      <c r="AH142" s="34"/>
    </row>
    <row x14ac:dyDescent="0.25" r="143" customHeight="1" ht="19.5">
      <c r="A143" s="362">
        <v>45776</v>
      </c>
      <c r="B143" s="319" t="s">
        <v>53</v>
      </c>
      <c r="C143" s="319" t="s">
        <v>264</v>
      </c>
      <c r="D143" s="319" t="s">
        <v>4894</v>
      </c>
      <c r="E143" s="319"/>
      <c r="F143" s="319" t="s">
        <v>242</v>
      </c>
      <c r="G143" s="3" t="s">
        <v>4892</v>
      </c>
      <c r="H143" s="319" t="s">
        <v>26</v>
      </c>
      <c r="I143" s="321"/>
      <c r="J143" s="320">
        <v>85300</v>
      </c>
      <c r="K143" s="320">
        <v>78800</v>
      </c>
      <c r="L143" s="281">
        <f>J143-K143</f>
      </c>
      <c r="M143" s="319" t="s">
        <v>137</v>
      </c>
      <c r="N143" s="321"/>
      <c r="O143" s="321" t="s">
        <v>4895</v>
      </c>
      <c r="P143" s="321"/>
      <c r="Q143" s="321"/>
      <c r="R143" s="321"/>
      <c r="S143" s="320">
        <v>85300</v>
      </c>
      <c r="T143" s="320">
        <f>J143-P143-S143</f>
      </c>
      <c r="U143" s="322">
        <v>45800</v>
      </c>
      <c r="V143" s="319" t="s">
        <v>1718</v>
      </c>
      <c r="W143" s="321"/>
      <c r="X143" s="29"/>
      <c r="Y143" s="29"/>
      <c r="Z143" s="29"/>
      <c r="AA143" s="29"/>
      <c r="AB143" s="29"/>
      <c r="AC143" s="29"/>
      <c r="AD143" s="29"/>
      <c r="AE143" s="29"/>
      <c r="AF143" s="29"/>
      <c r="AG143" s="34"/>
      <c r="AH143" s="34"/>
    </row>
    <row x14ac:dyDescent="0.25" r="144" customHeight="1" ht="19.5">
      <c r="A144" s="362">
        <v>45777</v>
      </c>
      <c r="B144" s="319" t="s">
        <v>53</v>
      </c>
      <c r="C144" s="319" t="s">
        <v>54</v>
      </c>
      <c r="D144" s="319" t="s">
        <v>4874</v>
      </c>
      <c r="E144" s="319" t="s">
        <v>4896</v>
      </c>
      <c r="F144" s="319" t="s">
        <v>4897</v>
      </c>
      <c r="G144" s="466" t="s">
        <v>4898</v>
      </c>
      <c r="H144" s="319" t="s">
        <v>26</v>
      </c>
      <c r="I144" s="320">
        <v>286800</v>
      </c>
      <c r="J144" s="320">
        <v>698720</v>
      </c>
      <c r="K144" s="17">
        <v>548820</v>
      </c>
      <c r="L144" s="281">
        <f>J144-K144</f>
      </c>
      <c r="M144" s="319" t="s">
        <v>137</v>
      </c>
      <c r="N144" s="319" t="s">
        <v>4899</v>
      </c>
      <c r="O144" s="321"/>
      <c r="P144" s="396">
        <v>683300</v>
      </c>
      <c r="Q144" s="397"/>
      <c r="R144" s="397"/>
      <c r="S144" s="396"/>
      <c r="T144" s="396">
        <f>J144+J145+J146-P144-S144</f>
      </c>
      <c r="U144" s="340">
        <v>45776</v>
      </c>
      <c r="V144" s="341" t="s">
        <v>2307</v>
      </c>
      <c r="W144" s="396"/>
      <c r="X144" s="29"/>
      <c r="Y144" s="29"/>
      <c r="Z144" s="29"/>
      <c r="AA144" s="29"/>
      <c r="AB144" s="29"/>
      <c r="AC144" s="29"/>
      <c r="AD144" s="29"/>
      <c r="AE144" s="29"/>
      <c r="AF144" s="29"/>
      <c r="AG144" s="34"/>
      <c r="AH144" s="34"/>
    </row>
    <row x14ac:dyDescent="0.25" r="145" customHeight="1" ht="19.5">
      <c r="A145" s="362">
        <v>45777</v>
      </c>
      <c r="B145" s="319" t="s">
        <v>53</v>
      </c>
      <c r="C145" s="319" t="s">
        <v>54</v>
      </c>
      <c r="D145" s="319" t="s">
        <v>4874</v>
      </c>
      <c r="E145" s="319" t="s">
        <v>4896</v>
      </c>
      <c r="F145" s="319" t="s">
        <v>4897</v>
      </c>
      <c r="G145" s="466" t="s">
        <v>4900</v>
      </c>
      <c r="H145" s="319" t="s">
        <v>26</v>
      </c>
      <c r="I145" s="320">
        <v>286800</v>
      </c>
      <c r="J145" s="320">
        <v>698720</v>
      </c>
      <c r="K145" s="17">
        <v>548820</v>
      </c>
      <c r="L145" s="281">
        <f>J145-K145</f>
      </c>
      <c r="M145" s="319" t="s">
        <v>137</v>
      </c>
      <c r="N145" s="319" t="s">
        <v>4901</v>
      </c>
      <c r="O145" s="321"/>
      <c r="P145" s="398"/>
      <c r="Q145" s="398"/>
      <c r="R145" s="398"/>
      <c r="S145" s="398"/>
      <c r="T145" s="398"/>
      <c r="U145" s="399"/>
      <c r="V145" s="400"/>
      <c r="W145" s="398"/>
      <c r="X145" s="29"/>
      <c r="Y145" s="29"/>
      <c r="Z145" s="29"/>
      <c r="AA145" s="29"/>
      <c r="AB145" s="29"/>
      <c r="AC145" s="29"/>
      <c r="AD145" s="29"/>
      <c r="AE145" s="29"/>
      <c r="AF145" s="29"/>
      <c r="AG145" s="34"/>
      <c r="AH145" s="34"/>
    </row>
    <row x14ac:dyDescent="0.25" r="146" customHeight="1" ht="19.5">
      <c r="A146" s="362">
        <v>45777</v>
      </c>
      <c r="B146" s="319" t="s">
        <v>53</v>
      </c>
      <c r="C146" s="319" t="s">
        <v>54</v>
      </c>
      <c r="D146" s="319" t="s">
        <v>4874</v>
      </c>
      <c r="E146" s="319" t="s">
        <v>4896</v>
      </c>
      <c r="F146" s="319" t="s">
        <v>4897</v>
      </c>
      <c r="G146" s="466" t="s">
        <v>4902</v>
      </c>
      <c r="H146" s="319" t="s">
        <v>26</v>
      </c>
      <c r="I146" s="320">
        <v>382400</v>
      </c>
      <c r="J146" s="320">
        <v>798620</v>
      </c>
      <c r="K146" s="17">
        <v>644420</v>
      </c>
      <c r="L146" s="281">
        <f>J146-K146</f>
      </c>
      <c r="M146" s="319" t="s">
        <v>137</v>
      </c>
      <c r="N146" s="319" t="s">
        <v>4903</v>
      </c>
      <c r="O146" s="321"/>
      <c r="P146" s="384"/>
      <c r="Q146" s="384"/>
      <c r="R146" s="384"/>
      <c r="S146" s="384"/>
      <c r="T146" s="384"/>
      <c r="U146" s="343"/>
      <c r="V146" s="344"/>
      <c r="W146" s="384"/>
      <c r="X146" s="29"/>
      <c r="Y146" s="29"/>
      <c r="Z146" s="29"/>
      <c r="AA146" s="29"/>
      <c r="AB146" s="29"/>
      <c r="AC146" s="29"/>
      <c r="AD146" s="29"/>
      <c r="AE146" s="29"/>
      <c r="AF146" s="29"/>
      <c r="AG146" s="34"/>
      <c r="AH146" s="34"/>
    </row>
    <row x14ac:dyDescent="0.25" r="147" customHeight="1" ht="19.5">
      <c r="A147" s="362">
        <v>45777</v>
      </c>
      <c r="B147" s="319" t="s">
        <v>53</v>
      </c>
      <c r="C147" s="319" t="s">
        <v>54</v>
      </c>
      <c r="D147" s="319" t="s">
        <v>4904</v>
      </c>
      <c r="E147" s="319" t="s">
        <v>4905</v>
      </c>
      <c r="F147" s="319" t="s">
        <v>4906</v>
      </c>
      <c r="G147" s="319" t="s">
        <v>4907</v>
      </c>
      <c r="H147" s="319" t="s">
        <v>26</v>
      </c>
      <c r="I147" s="320">
        <v>374400</v>
      </c>
      <c r="J147" s="320">
        <v>745980</v>
      </c>
      <c r="K147" s="17">
        <v>636420</v>
      </c>
      <c r="L147" s="281">
        <f>J147-K147</f>
      </c>
      <c r="M147" s="319" t="s">
        <v>137</v>
      </c>
      <c r="N147" s="319" t="s">
        <v>4908</v>
      </c>
      <c r="O147" s="321"/>
      <c r="P147" s="321"/>
      <c r="Q147" s="321"/>
      <c r="R147" s="321"/>
      <c r="S147" s="320">
        <v>745980</v>
      </c>
      <c r="T147" s="320">
        <f>J147-P147-S147</f>
      </c>
      <c r="U147" s="322">
        <v>45834</v>
      </c>
      <c r="V147" s="319" t="s">
        <v>2216</v>
      </c>
      <c r="W147" s="315" t="s">
        <v>4909</v>
      </c>
      <c r="X147" s="29"/>
      <c r="Y147" s="29"/>
      <c r="Z147" s="29"/>
      <c r="AA147" s="29"/>
      <c r="AB147" s="29"/>
      <c r="AC147" s="29"/>
      <c r="AD147" s="29"/>
      <c r="AE147" s="29"/>
      <c r="AF147" s="29"/>
      <c r="AG147" s="34"/>
      <c r="AH147" s="34"/>
    </row>
    <row x14ac:dyDescent="0.25" r="148" customHeight="1" ht="19.5">
      <c r="A148" s="362">
        <v>45777</v>
      </c>
      <c r="B148" s="319" t="s">
        <v>53</v>
      </c>
      <c r="C148" s="319" t="s">
        <v>54</v>
      </c>
      <c r="D148" s="319" t="s">
        <v>4904</v>
      </c>
      <c r="E148" s="467" t="s">
        <v>4905</v>
      </c>
      <c r="F148" s="319" t="s">
        <v>4906</v>
      </c>
      <c r="G148" s="3" t="s">
        <v>4910</v>
      </c>
      <c r="H148" s="319" t="s">
        <v>26</v>
      </c>
      <c r="I148" s="320">
        <v>374400</v>
      </c>
      <c r="J148" s="320">
        <v>745980</v>
      </c>
      <c r="K148" s="17">
        <v>636420</v>
      </c>
      <c r="L148" s="281">
        <f>J148-K148</f>
      </c>
      <c r="M148" s="319" t="s">
        <v>137</v>
      </c>
      <c r="N148" s="319" t="s">
        <v>4911</v>
      </c>
      <c r="O148" s="29"/>
      <c r="P148" s="17"/>
      <c r="Q148" s="17"/>
      <c r="R148" s="17"/>
      <c r="S148" s="17">
        <v>745980</v>
      </c>
      <c r="T148" s="320">
        <f>J148-P148-S148</f>
      </c>
      <c r="U148" s="468">
        <v>45834</v>
      </c>
      <c r="V148" s="319" t="s">
        <v>2216</v>
      </c>
      <c r="W148" s="315" t="s">
        <v>4909</v>
      </c>
      <c r="X148" s="29"/>
      <c r="Y148" s="29"/>
      <c r="Z148" s="29"/>
      <c r="AA148" s="29"/>
      <c r="AB148" s="29"/>
      <c r="AC148" s="29"/>
      <c r="AD148" s="29"/>
      <c r="AE148" s="29"/>
      <c r="AF148" s="29"/>
      <c r="AG148" s="34"/>
      <c r="AH148" s="34"/>
    </row>
    <row x14ac:dyDescent="0.25" r="149" customHeight="1" ht="27.75">
      <c r="A149" s="362">
        <v>45777</v>
      </c>
      <c r="B149" s="350" t="s">
        <v>53</v>
      </c>
      <c r="C149" s="350" t="s">
        <v>54</v>
      </c>
      <c r="D149" s="350" t="s">
        <v>4904</v>
      </c>
      <c r="E149" s="467" t="s">
        <v>4905</v>
      </c>
      <c r="F149" s="350" t="s">
        <v>4906</v>
      </c>
      <c r="G149" s="3" t="s">
        <v>4912</v>
      </c>
      <c r="H149" s="350" t="s">
        <v>26</v>
      </c>
      <c r="I149" s="397">
        <v>374400</v>
      </c>
      <c r="J149" s="397">
        <v>745980</v>
      </c>
      <c r="K149" s="255">
        <v>636420</v>
      </c>
      <c r="L149" s="436">
        <f>J149-K149</f>
      </c>
      <c r="M149" s="350" t="s">
        <v>137</v>
      </c>
      <c r="N149" s="350" t="s">
        <v>4913</v>
      </c>
      <c r="O149" s="29"/>
      <c r="P149" s="17">
        <v>245940</v>
      </c>
      <c r="Q149" s="17"/>
      <c r="R149" s="17"/>
      <c r="S149" s="17">
        <v>500040</v>
      </c>
      <c r="T149" s="320">
        <f>J149-P149-S149</f>
      </c>
      <c r="U149" s="469" t="s">
        <v>4914</v>
      </c>
      <c r="V149" s="319" t="s">
        <v>2216</v>
      </c>
      <c r="W149" s="363" t="s">
        <v>4915</v>
      </c>
      <c r="X149" s="29"/>
      <c r="Y149" s="29"/>
      <c r="Z149" s="29"/>
      <c r="AA149" s="29"/>
      <c r="AB149" s="29"/>
      <c r="AC149" s="29"/>
      <c r="AD149" s="29"/>
      <c r="AE149" s="29"/>
      <c r="AF149" s="29"/>
      <c r="AG149" s="34"/>
      <c r="AH149" s="34"/>
    </row>
    <row x14ac:dyDescent="0.25" r="150" customHeight="1" ht="19.5">
      <c r="A150" s="470">
        <v>45777</v>
      </c>
      <c r="B150" s="14" t="s">
        <v>46</v>
      </c>
      <c r="C150" s="14" t="s">
        <v>264</v>
      </c>
      <c r="D150" s="14" t="s">
        <v>4916</v>
      </c>
      <c r="E150" s="14" t="s">
        <v>4917</v>
      </c>
      <c r="F150" s="14" t="s">
        <v>4918</v>
      </c>
      <c r="G150" s="14" t="s">
        <v>4919</v>
      </c>
      <c r="H150" s="14" t="s">
        <v>26</v>
      </c>
      <c r="I150" s="17"/>
      <c r="J150" s="17">
        <v>182500</v>
      </c>
      <c r="K150" s="17">
        <v>140500</v>
      </c>
      <c r="L150" s="281">
        <f>J150-K150</f>
      </c>
      <c r="M150" s="14" t="s">
        <v>50</v>
      </c>
      <c r="N150" s="14" t="s">
        <v>4920</v>
      </c>
      <c r="O150" s="41" t="s">
        <v>251</v>
      </c>
      <c r="P150" s="17"/>
      <c r="Q150" s="17"/>
      <c r="R150" s="17"/>
      <c r="S150" s="17">
        <v>182500</v>
      </c>
      <c r="T150" s="320">
        <f>J150-P150-S150</f>
      </c>
      <c r="U150" s="468">
        <v>45811</v>
      </c>
      <c r="V150" s="319" t="s">
        <v>1718</v>
      </c>
      <c r="W150" s="321"/>
      <c r="X150" s="29"/>
      <c r="Y150" s="29"/>
      <c r="Z150" s="29"/>
      <c r="AA150" s="29"/>
      <c r="AB150" s="29"/>
      <c r="AC150" s="29"/>
      <c r="AD150" s="29"/>
      <c r="AE150" s="29"/>
      <c r="AF150" s="29"/>
      <c r="AG150" s="34"/>
      <c r="AH150" s="34"/>
    </row>
    <row x14ac:dyDescent="0.25" r="151" customHeight="1" ht="19.5">
      <c r="A151" s="470">
        <v>45777</v>
      </c>
      <c r="B151" s="14" t="s">
        <v>66</v>
      </c>
      <c r="C151" s="14" t="s">
        <v>2830</v>
      </c>
      <c r="D151" s="14" t="s">
        <v>4921</v>
      </c>
      <c r="E151" s="14" t="s">
        <v>4922</v>
      </c>
      <c r="F151" s="14" t="s">
        <v>4465</v>
      </c>
      <c r="G151" s="14" t="s">
        <v>4923</v>
      </c>
      <c r="H151" s="14" t="s">
        <v>26</v>
      </c>
      <c r="I151" s="17"/>
      <c r="J151" s="17">
        <v>359800</v>
      </c>
      <c r="K151" s="17">
        <v>309800</v>
      </c>
      <c r="L151" s="281">
        <f>J151-K151</f>
      </c>
      <c r="M151" s="14" t="s">
        <v>187</v>
      </c>
      <c r="N151" s="14" t="s">
        <v>4924</v>
      </c>
      <c r="O151" s="40"/>
      <c r="P151" s="17"/>
      <c r="Q151" s="17"/>
      <c r="R151" s="17"/>
      <c r="S151" s="17"/>
      <c r="T151" s="320">
        <f>J151-P151-S151</f>
      </c>
      <c r="U151" s="468"/>
      <c r="V151" s="319"/>
      <c r="W151" s="321"/>
      <c r="X151" s="29"/>
      <c r="Y151" s="29"/>
      <c r="Z151" s="29"/>
      <c r="AA151" s="29"/>
      <c r="AB151" s="29"/>
      <c r="AC151" s="29"/>
      <c r="AD151" s="29"/>
      <c r="AE151" s="29"/>
      <c r="AF151" s="29"/>
      <c r="AG151" s="34"/>
      <c r="AH151" s="34"/>
    </row>
    <row x14ac:dyDescent="0.25" r="152" customHeight="1" ht="19.5">
      <c r="A152" s="470">
        <v>45777</v>
      </c>
      <c r="B152" s="14" t="s">
        <v>111</v>
      </c>
      <c r="C152" s="14" t="s">
        <v>2815</v>
      </c>
      <c r="D152" s="14" t="s">
        <v>4921</v>
      </c>
      <c r="E152" s="14" t="s">
        <v>4925</v>
      </c>
      <c r="F152" s="14" t="s">
        <v>4465</v>
      </c>
      <c r="G152" s="14" t="s">
        <v>4926</v>
      </c>
      <c r="H152" s="14" t="s">
        <v>26</v>
      </c>
      <c r="I152" s="17"/>
      <c r="J152" s="17">
        <v>581200</v>
      </c>
      <c r="K152" s="17">
        <v>541200</v>
      </c>
      <c r="L152" s="281">
        <f>J152-K152</f>
      </c>
      <c r="M152" s="14" t="s">
        <v>187</v>
      </c>
      <c r="N152" s="14" t="s">
        <v>4927</v>
      </c>
      <c r="O152" s="40"/>
      <c r="P152" s="17"/>
      <c r="Q152" s="17"/>
      <c r="R152" s="17"/>
      <c r="S152" s="17"/>
      <c r="T152" s="320">
        <f>J152-P152-S152</f>
      </c>
      <c r="U152" s="468"/>
      <c r="V152" s="319"/>
      <c r="W152" s="321"/>
      <c r="X152" s="29"/>
      <c r="Y152" s="29"/>
      <c r="Z152" s="29"/>
      <c r="AA152" s="29"/>
      <c r="AB152" s="29"/>
      <c r="AC152" s="29"/>
      <c r="AD152" s="29"/>
      <c r="AE152" s="29"/>
      <c r="AF152" s="29"/>
      <c r="AG152" s="34"/>
      <c r="AH152" s="34"/>
    </row>
    <row x14ac:dyDescent="0.25" r="153" customHeight="1" ht="19.5">
      <c r="A153" s="470">
        <v>45777</v>
      </c>
      <c r="B153" s="14" t="s">
        <v>46</v>
      </c>
      <c r="C153" s="14" t="s">
        <v>248</v>
      </c>
      <c r="D153" s="14" t="s">
        <v>4921</v>
      </c>
      <c r="E153" s="14" t="s">
        <v>4928</v>
      </c>
      <c r="F153" s="14" t="s">
        <v>4465</v>
      </c>
      <c r="G153" s="14" t="s">
        <v>4929</v>
      </c>
      <c r="H153" s="14" t="s">
        <v>26</v>
      </c>
      <c r="I153" s="17"/>
      <c r="J153" s="17">
        <v>777200</v>
      </c>
      <c r="K153" s="17">
        <v>727200</v>
      </c>
      <c r="L153" s="281">
        <f>J153-K153</f>
      </c>
      <c r="M153" s="14" t="s">
        <v>187</v>
      </c>
      <c r="N153" s="14" t="s">
        <v>4930</v>
      </c>
      <c r="O153" s="40"/>
      <c r="P153" s="17"/>
      <c r="Q153" s="17"/>
      <c r="R153" s="17"/>
      <c r="S153" s="17"/>
      <c r="T153" s="320">
        <f>J153-P153-S153</f>
      </c>
      <c r="U153" s="468"/>
      <c r="V153" s="319"/>
      <c r="W153" s="321"/>
      <c r="X153" s="29"/>
      <c r="Y153" s="29"/>
      <c r="Z153" s="29"/>
      <c r="AA153" s="29"/>
      <c r="AB153" s="29"/>
      <c r="AC153" s="29"/>
      <c r="AD153" s="29"/>
      <c r="AE153" s="29"/>
      <c r="AF153" s="29"/>
      <c r="AG153" s="34"/>
      <c r="AH153" s="34"/>
    </row>
    <row x14ac:dyDescent="0.25" r="154" customHeight="1" ht="19.5">
      <c r="A154" s="470">
        <v>45777</v>
      </c>
      <c r="B154" s="14" t="s">
        <v>46</v>
      </c>
      <c r="C154" s="14" t="s">
        <v>264</v>
      </c>
      <c r="D154" s="14" t="s">
        <v>4931</v>
      </c>
      <c r="E154" s="14" t="s">
        <v>4932</v>
      </c>
      <c r="F154" s="14" t="s">
        <v>1799</v>
      </c>
      <c r="G154" s="14" t="s">
        <v>4933</v>
      </c>
      <c r="H154" s="14" t="s">
        <v>26</v>
      </c>
      <c r="I154" s="17"/>
      <c r="J154" s="17">
        <v>280800</v>
      </c>
      <c r="K154" s="17">
        <v>208800</v>
      </c>
      <c r="L154" s="281">
        <f>J154-K154</f>
      </c>
      <c r="M154" s="14" t="s">
        <v>46</v>
      </c>
      <c r="N154" s="14" t="s">
        <v>4934</v>
      </c>
      <c r="O154" s="41" t="s">
        <v>251</v>
      </c>
      <c r="P154" s="255"/>
      <c r="Q154" s="255"/>
      <c r="R154" s="255"/>
      <c r="S154" s="255">
        <v>280800</v>
      </c>
      <c r="T154" s="397">
        <f>J154-P154-S154</f>
      </c>
      <c r="U154" s="471">
        <v>45812</v>
      </c>
      <c r="V154" s="472" t="s">
        <v>1718</v>
      </c>
      <c r="W154" s="339"/>
      <c r="X154" s="29"/>
      <c r="Y154" s="29"/>
      <c r="Z154" s="29"/>
      <c r="AA154" s="29"/>
      <c r="AB154" s="29"/>
      <c r="AC154" s="29"/>
      <c r="AD154" s="29"/>
      <c r="AE154" s="29"/>
      <c r="AF154" s="29"/>
      <c r="AG154" s="34"/>
      <c r="AH154" s="34"/>
    </row>
    <row x14ac:dyDescent="0.25" r="155" customHeight="1" ht="19.5">
      <c r="A155" s="473">
        <v>45777</v>
      </c>
      <c r="B155" s="14" t="s">
        <v>22</v>
      </c>
      <c r="C155" s="14" t="s">
        <v>23</v>
      </c>
      <c r="D155" s="14" t="s">
        <v>4935</v>
      </c>
      <c r="E155" s="14" t="s">
        <v>4936</v>
      </c>
      <c r="F155" s="14" t="s">
        <v>194</v>
      </c>
      <c r="G155" s="14" t="s">
        <v>4937</v>
      </c>
      <c r="H155" s="14" t="s">
        <v>26</v>
      </c>
      <c r="I155" s="17"/>
      <c r="J155" s="17">
        <v>336900</v>
      </c>
      <c r="K155" s="17">
        <v>312900</v>
      </c>
      <c r="L155" s="281">
        <v>24000</v>
      </c>
      <c r="M155" s="14" t="s">
        <v>22</v>
      </c>
      <c r="N155" s="14" t="s">
        <v>4938</v>
      </c>
      <c r="O155" s="17"/>
      <c r="P155" s="17"/>
      <c r="Q155" s="17"/>
      <c r="R155" s="17"/>
      <c r="S155" s="17">
        <v>336900</v>
      </c>
      <c r="T155" s="320">
        <f>J155-P155-S155</f>
      </c>
      <c r="U155" s="322">
        <v>45779</v>
      </c>
      <c r="V155" s="319" t="s">
        <v>2122</v>
      </c>
      <c r="W155" s="321"/>
      <c r="X155" s="29"/>
      <c r="Y155" s="29"/>
      <c r="Z155" s="29"/>
      <c r="AA155" s="29"/>
      <c r="AB155" s="29"/>
      <c r="AC155" s="29"/>
      <c r="AD155" s="29"/>
      <c r="AE155" s="29"/>
      <c r="AF155" s="29"/>
      <c r="AG155" s="34"/>
      <c r="AH155" s="34"/>
    </row>
    <row x14ac:dyDescent="0.25" r="156" customHeight="1" ht="19.5">
      <c r="A156" s="362"/>
      <c r="B156" s="80"/>
      <c r="C156" s="14"/>
      <c r="D156" s="14"/>
      <c r="E156" s="14"/>
      <c r="F156" s="14"/>
      <c r="G156" s="14"/>
      <c r="H156" s="14"/>
      <c r="I156" s="17"/>
      <c r="J156" s="17"/>
      <c r="K156" s="17"/>
      <c r="L156" s="281"/>
      <c r="M156" s="17"/>
      <c r="N156" s="17"/>
      <c r="O156" s="40"/>
      <c r="P156" s="273"/>
      <c r="Q156" s="273"/>
      <c r="R156" s="273"/>
      <c r="S156" s="273"/>
      <c r="T156" s="384">
        <f>J156-P156-S156</f>
      </c>
      <c r="U156" s="474"/>
      <c r="V156" s="357"/>
      <c r="W156" s="441"/>
      <c r="X156" s="29"/>
      <c r="Y156" s="29"/>
      <c r="Z156" s="29"/>
      <c r="AA156" s="29"/>
      <c r="AB156" s="29"/>
      <c r="AC156" s="29"/>
      <c r="AD156" s="29"/>
      <c r="AE156" s="29"/>
      <c r="AF156" s="29"/>
      <c r="AG156" s="34"/>
      <c r="AH156" s="34"/>
    </row>
    <row x14ac:dyDescent="0.25" r="157" customHeight="1" ht="19.5">
      <c r="A157" s="362"/>
      <c r="B157" s="80"/>
      <c r="C157" s="14"/>
      <c r="D157" s="14"/>
      <c r="E157" s="14"/>
      <c r="F157" s="14"/>
      <c r="G157" s="14"/>
      <c r="H157" s="14"/>
      <c r="I157" s="17"/>
      <c r="J157" s="17"/>
      <c r="K157" s="17"/>
      <c r="L157" s="281"/>
      <c r="M157" s="17"/>
      <c r="N157" s="17"/>
      <c r="O157" s="40"/>
      <c r="P157" s="17"/>
      <c r="Q157" s="17"/>
      <c r="R157" s="17"/>
      <c r="S157" s="17"/>
      <c r="T157" s="320">
        <f>J157-P157-S157</f>
      </c>
      <c r="U157" s="322"/>
      <c r="V157" s="319"/>
      <c r="W157" s="441"/>
      <c r="X157" s="29"/>
      <c r="Y157" s="29"/>
      <c r="Z157" s="29"/>
      <c r="AA157" s="29"/>
      <c r="AB157" s="29"/>
      <c r="AC157" s="29"/>
      <c r="AD157" s="29"/>
      <c r="AE157" s="29"/>
      <c r="AF157" s="29"/>
      <c r="AG157" s="34"/>
      <c r="AH157" s="34"/>
    </row>
    <row x14ac:dyDescent="0.25" r="158" customHeight="1" ht="19.5">
      <c r="A158" s="362"/>
      <c r="B158" s="80"/>
      <c r="C158" s="14"/>
      <c r="D158" s="14"/>
      <c r="E158" s="14"/>
      <c r="F158" s="14"/>
      <c r="G158" s="14"/>
      <c r="H158" s="14"/>
      <c r="I158" s="17"/>
      <c r="J158" s="17"/>
      <c r="K158" s="17"/>
      <c r="L158" s="281"/>
      <c r="M158" s="17"/>
      <c r="N158" s="17"/>
      <c r="O158" s="40"/>
      <c r="P158" s="17"/>
      <c r="Q158" s="17"/>
      <c r="R158" s="17"/>
      <c r="S158" s="17"/>
      <c r="T158" s="320">
        <f>J158-P158-S158</f>
      </c>
      <c r="U158" s="322"/>
      <c r="V158" s="319"/>
      <c r="W158" s="441"/>
      <c r="X158" s="29"/>
      <c r="Y158" s="29"/>
      <c r="Z158" s="29"/>
      <c r="AA158" s="29"/>
      <c r="AB158" s="29"/>
      <c r="AC158" s="29"/>
      <c r="AD158" s="29"/>
      <c r="AE158" s="29"/>
      <c r="AF158" s="29"/>
      <c r="AG158" s="34"/>
      <c r="AH158" s="34"/>
    </row>
    <row x14ac:dyDescent="0.25" r="159" customHeight="1" ht="15.75">
      <c r="A159" s="2"/>
      <c r="B159" s="14"/>
      <c r="C159" s="14"/>
      <c r="D159" s="14"/>
      <c r="E159" s="14"/>
      <c r="F159" s="14"/>
      <c r="G159" s="14"/>
      <c r="H159" s="14"/>
      <c r="I159" s="17">
        <f>SUM(I2:I154)</f>
      </c>
      <c r="J159" s="17">
        <f>SUM(J2:J154)</f>
      </c>
      <c r="K159" s="17">
        <f>SUM(K2:K154)</f>
      </c>
      <c r="L159" s="17">
        <f>SUM(L2:L154)</f>
      </c>
      <c r="M159" s="17">
        <f>SUM(M2:M154)</f>
      </c>
      <c r="N159" s="17">
        <f>SUM(N2:N154)</f>
      </c>
      <c r="O159" s="40">
        <f>SUM(O2:O154)</f>
      </c>
      <c r="P159" s="273">
        <f>SUM(P2:P154)</f>
      </c>
      <c r="Q159" s="273"/>
      <c r="R159" s="273"/>
      <c r="S159" s="273"/>
      <c r="T159" s="475">
        <f>SUM(T2:T158)</f>
      </c>
      <c r="U159" s="293"/>
      <c r="V159" s="17"/>
      <c r="W159" s="29">
        <f>SUM(W2:W154)</f>
      </c>
      <c r="X159" s="29">
        <f>SUM(X2:X154)</f>
      </c>
      <c r="Y159" s="29">
        <f>SUM(Y2:Y154)</f>
      </c>
      <c r="Z159" s="29">
        <f>SUM(Z2:Z154)</f>
      </c>
      <c r="AA159" s="29">
        <f>SUM(AA2:AA154)</f>
      </c>
      <c r="AB159" s="107">
        <f>SUM(AB2:AB154)</f>
      </c>
      <c r="AC159" s="29">
        <f>SUM(AC2:AC154)</f>
      </c>
      <c r="AD159" s="29">
        <f>SUM(AD2:AD154)</f>
      </c>
      <c r="AE159" s="29"/>
      <c r="AF159" s="29"/>
      <c r="AG159" s="34"/>
      <c r="AH159" s="34"/>
    </row>
    <row x14ac:dyDescent="0.25" r="160" customHeight="1" ht="15.75">
      <c r="A160" s="2"/>
      <c r="B160" s="34"/>
      <c r="C160" s="34"/>
      <c r="D160" s="34"/>
      <c r="E160" s="34"/>
      <c r="F160" s="34"/>
      <c r="G160" s="34"/>
      <c r="H160" s="34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476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34"/>
      <c r="AH160" s="34"/>
    </row>
    <row x14ac:dyDescent="0.25" r="161" customHeight="1" ht="15.75">
      <c r="A161" s="2"/>
      <c r="B161" s="34"/>
      <c r="C161" s="34"/>
      <c r="D161" s="34"/>
      <c r="E161" s="34"/>
      <c r="F161" s="34"/>
      <c r="G161" s="34"/>
      <c r="H161" s="34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476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34"/>
      <c r="AH161" s="34"/>
    </row>
    <row x14ac:dyDescent="0.25" r="162" customHeight="1" ht="15.75">
      <c r="A162" s="2"/>
      <c r="B162" s="34"/>
      <c r="C162" s="34"/>
      <c r="D162" s="34"/>
      <c r="E162" s="34"/>
      <c r="F162" s="34"/>
      <c r="G162" s="34"/>
      <c r="H162" s="34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476"/>
      <c r="V162" s="29"/>
      <c r="W162" s="29"/>
      <c r="X162" s="29"/>
      <c r="Y162" s="421">
        <f>Y159-X159</f>
      </c>
      <c r="Z162" s="29"/>
      <c r="AA162" s="29"/>
      <c r="AB162" s="29"/>
      <c r="AC162" s="29"/>
      <c r="AD162" s="29"/>
      <c r="AE162" s="29"/>
      <c r="AF162" s="29"/>
      <c r="AG162" s="34"/>
      <c r="AH162" s="34"/>
    </row>
    <row x14ac:dyDescent="0.25" r="163" customHeight="1" ht="15.75">
      <c r="A163" s="2"/>
      <c r="B163" s="34"/>
      <c r="C163" s="34"/>
      <c r="D163" s="34"/>
      <c r="E163" s="34"/>
      <c r="F163" s="34"/>
      <c r="G163" s="34"/>
      <c r="H163" s="34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476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34"/>
      <c r="AH163" s="34"/>
    </row>
    <row x14ac:dyDescent="0.25" r="164" customHeight="1" ht="15.75">
      <c r="A164" s="2"/>
      <c r="B164" s="34"/>
      <c r="C164" s="34"/>
      <c r="D164" s="34"/>
      <c r="E164" s="34"/>
      <c r="F164" s="34"/>
      <c r="G164" s="34"/>
      <c r="H164" s="34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476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34"/>
      <c r="AH164" s="34"/>
    </row>
    <row x14ac:dyDescent="0.25" r="165" customHeight="1" ht="15.75">
      <c r="A165" s="2"/>
      <c r="B165" s="34"/>
      <c r="C165" s="34"/>
      <c r="D165" s="34"/>
      <c r="E165" s="34"/>
      <c r="F165" s="34"/>
      <c r="G165" s="34"/>
      <c r="H165" s="34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476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4"/>
      <c r="AH165" s="34"/>
    </row>
    <row x14ac:dyDescent="0.25" r="166" customHeight="1" ht="15.75">
      <c r="A166" s="2"/>
      <c r="B166" s="34"/>
      <c r="C166" s="34"/>
      <c r="D166" s="34"/>
      <c r="E166" s="34"/>
      <c r="F166" s="34"/>
      <c r="G166" s="34"/>
      <c r="H166" s="34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476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4"/>
      <c r="AH166" s="34"/>
    </row>
    <row x14ac:dyDescent="0.25" r="167" customHeight="1" ht="15.75">
      <c r="A167" s="2"/>
      <c r="B167" s="34"/>
      <c r="C167" s="34"/>
      <c r="D167" s="34"/>
      <c r="E167" s="34"/>
      <c r="F167" s="34"/>
      <c r="G167" s="34"/>
      <c r="H167" s="34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476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34"/>
      <c r="AH167" s="34"/>
    </row>
    <row x14ac:dyDescent="0.25" r="168" customHeight="1" ht="15.75">
      <c r="A168" s="2"/>
      <c r="B168" s="34"/>
      <c r="C168" s="34"/>
      <c r="D168" s="34"/>
      <c r="E168" s="34"/>
      <c r="F168" s="34"/>
      <c r="G168" s="34"/>
      <c r="H168" s="34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476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34"/>
      <c r="AH168" s="34"/>
    </row>
    <row x14ac:dyDescent="0.25" r="169" customHeight="1" ht="15.75">
      <c r="A169" s="2"/>
      <c r="B169" s="34"/>
      <c r="C169" s="34"/>
      <c r="D169" s="34"/>
      <c r="E169" s="34"/>
      <c r="F169" s="34"/>
      <c r="G169" s="34"/>
      <c r="H169" s="34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476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4"/>
      <c r="AH169" s="34"/>
    </row>
    <row x14ac:dyDescent="0.25" r="170" customHeight="1" ht="15.75">
      <c r="A170" s="2"/>
      <c r="B170" s="34"/>
      <c r="C170" s="34"/>
      <c r="D170" s="34"/>
      <c r="E170" s="34"/>
      <c r="F170" s="34"/>
      <c r="G170" s="34"/>
      <c r="H170" s="34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476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4"/>
      <c r="AH170" s="34"/>
    </row>
    <row x14ac:dyDescent="0.25" r="171" customHeight="1" ht="15.75">
      <c r="A171" s="2"/>
      <c r="B171" s="34"/>
      <c r="C171" s="34"/>
      <c r="D171" s="34"/>
      <c r="E171" s="34"/>
      <c r="F171" s="34"/>
      <c r="G171" s="34"/>
      <c r="H171" s="34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476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34"/>
      <c r="AH171" s="34"/>
    </row>
    <row x14ac:dyDescent="0.25" r="172" customHeight="1" ht="15.75">
      <c r="A172" s="2"/>
      <c r="B172" s="34"/>
      <c r="C172" s="34"/>
      <c r="D172" s="34"/>
      <c r="E172" s="34"/>
      <c r="F172" s="34"/>
      <c r="G172" s="34"/>
      <c r="H172" s="34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476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34"/>
      <c r="AH172" s="34"/>
    </row>
    <row x14ac:dyDescent="0.25" r="173" customHeight="1" ht="15.75">
      <c r="A173" s="2"/>
      <c r="B173" s="34"/>
      <c r="C173" s="34"/>
      <c r="D173" s="34"/>
      <c r="E173" s="34"/>
      <c r="F173" s="34"/>
      <c r="G173" s="34"/>
      <c r="H173" s="34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476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34"/>
      <c r="AH173" s="34"/>
    </row>
    <row x14ac:dyDescent="0.25" r="174" customHeight="1" ht="15.75">
      <c r="A174" s="2"/>
      <c r="B174" s="34"/>
      <c r="C174" s="34"/>
      <c r="D174" s="34"/>
      <c r="E174" s="34"/>
      <c r="F174" s="34"/>
      <c r="G174" s="34"/>
      <c r="H174" s="34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476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4"/>
      <c r="AH174" s="34"/>
    </row>
    <row x14ac:dyDescent="0.25" r="175" customHeight="1" ht="15.75">
      <c r="A175" s="2"/>
      <c r="B175" s="34"/>
      <c r="C175" s="34"/>
      <c r="D175" s="34"/>
      <c r="E175" s="34"/>
      <c r="F175" s="34"/>
      <c r="G175" s="34"/>
      <c r="H175" s="34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476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4"/>
      <c r="AH175" s="34"/>
    </row>
    <row x14ac:dyDescent="0.25" r="176" customHeight="1" ht="15.75">
      <c r="A176" s="2"/>
      <c r="B176" s="34"/>
      <c r="C176" s="34"/>
      <c r="D176" s="34"/>
      <c r="E176" s="34"/>
      <c r="F176" s="34"/>
      <c r="G176" s="34"/>
      <c r="H176" s="34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476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34"/>
      <c r="AH176" s="34"/>
    </row>
    <row x14ac:dyDescent="0.25" r="177" customHeight="1" ht="15.75">
      <c r="A177" s="2"/>
      <c r="B177" s="34"/>
      <c r="C177" s="34"/>
      <c r="D177" s="34"/>
      <c r="E177" s="34"/>
      <c r="F177" s="34"/>
      <c r="G177" s="34"/>
      <c r="H177" s="34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476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34"/>
      <c r="AH177" s="34"/>
    </row>
    <row x14ac:dyDescent="0.25" r="178" customHeight="1" ht="15.75">
      <c r="A178" s="2"/>
      <c r="B178" s="34"/>
      <c r="C178" s="34"/>
      <c r="D178" s="34"/>
      <c r="E178" s="34"/>
      <c r="F178" s="34"/>
      <c r="G178" s="34"/>
      <c r="H178" s="34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476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34"/>
      <c r="AH178" s="34"/>
    </row>
    <row x14ac:dyDescent="0.25" r="179" customHeight="1" ht="15.75">
      <c r="A179" s="2"/>
      <c r="B179" s="34"/>
      <c r="C179" s="34"/>
      <c r="D179" s="34"/>
      <c r="E179" s="34"/>
      <c r="F179" s="34"/>
      <c r="G179" s="34"/>
      <c r="H179" s="34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476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34"/>
      <c r="AH179" s="34"/>
    </row>
    <row x14ac:dyDescent="0.25" r="180" customHeight="1" ht="15.75">
      <c r="A180" s="2"/>
      <c r="B180" s="34"/>
      <c r="C180" s="34"/>
      <c r="D180" s="34"/>
      <c r="E180" s="34"/>
      <c r="F180" s="34"/>
      <c r="G180" s="34"/>
      <c r="H180" s="34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476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34"/>
      <c r="AH180" s="34"/>
    </row>
    <row x14ac:dyDescent="0.25" r="181" customHeight="1" ht="15.75">
      <c r="A181" s="2"/>
      <c r="B181" s="34"/>
      <c r="C181" s="34"/>
      <c r="D181" s="34"/>
      <c r="E181" s="34"/>
      <c r="F181" s="34"/>
      <c r="G181" s="34"/>
      <c r="H181" s="34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476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34"/>
      <c r="AH181" s="34"/>
    </row>
    <row x14ac:dyDescent="0.25" r="182" customHeight="1" ht="15.75">
      <c r="A182" s="2"/>
      <c r="B182" s="34"/>
      <c r="C182" s="34"/>
      <c r="D182" s="34"/>
      <c r="E182" s="34"/>
      <c r="F182" s="34"/>
      <c r="G182" s="34"/>
      <c r="H182" s="34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476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34"/>
      <c r="AH182" s="34"/>
    </row>
    <row x14ac:dyDescent="0.25" r="183" customHeight="1" ht="15.75">
      <c r="A183" s="2"/>
      <c r="B183" s="34"/>
      <c r="C183" s="34"/>
      <c r="D183" s="34"/>
      <c r="E183" s="34"/>
      <c r="F183" s="34"/>
      <c r="G183" s="34"/>
      <c r="H183" s="34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476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34"/>
      <c r="AH183" s="34"/>
    </row>
    <row x14ac:dyDescent="0.25" r="184" customHeight="1" ht="15.75">
      <c r="A184" s="2"/>
      <c r="B184" s="34"/>
      <c r="C184" s="34"/>
      <c r="D184" s="34"/>
      <c r="E184" s="34"/>
      <c r="F184" s="34"/>
      <c r="G184" s="34"/>
      <c r="H184" s="34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476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34"/>
      <c r="AH184" s="34"/>
    </row>
    <row x14ac:dyDescent="0.25" r="185" customHeight="1" ht="15.75">
      <c r="A185" s="2"/>
      <c r="B185" s="34"/>
      <c r="C185" s="34"/>
      <c r="D185" s="34"/>
      <c r="E185" s="34"/>
      <c r="F185" s="34"/>
      <c r="G185" s="34"/>
      <c r="H185" s="34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476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34"/>
      <c r="AH185" s="34"/>
    </row>
    <row x14ac:dyDescent="0.25" r="186" customHeight="1" ht="15.75">
      <c r="A186" s="2"/>
      <c r="B186" s="34"/>
      <c r="C186" s="34"/>
      <c r="D186" s="34"/>
      <c r="E186" s="34"/>
      <c r="F186" s="34"/>
      <c r="G186" s="34"/>
      <c r="H186" s="34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476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34"/>
      <c r="AH186" s="34"/>
    </row>
    <row x14ac:dyDescent="0.25" r="187" customHeight="1" ht="15.75">
      <c r="A187" s="2"/>
      <c r="B187" s="34"/>
      <c r="C187" s="34"/>
      <c r="D187" s="34"/>
      <c r="E187" s="34"/>
      <c r="F187" s="34"/>
      <c r="G187" s="34"/>
      <c r="H187" s="34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476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34"/>
      <c r="AH187" s="34"/>
    </row>
    <row x14ac:dyDescent="0.25" r="188" customHeight="1" ht="15.75">
      <c r="A188" s="2"/>
      <c r="B188" s="34"/>
      <c r="C188" s="34"/>
      <c r="D188" s="34"/>
      <c r="E188" s="34"/>
      <c r="F188" s="34"/>
      <c r="G188" s="34"/>
      <c r="H188" s="34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476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34"/>
      <c r="AH188" s="34"/>
    </row>
    <row x14ac:dyDescent="0.25" r="189" customHeight="1" ht="15.75">
      <c r="A189" s="2"/>
      <c r="B189" s="34"/>
      <c r="C189" s="34"/>
      <c r="D189" s="34"/>
      <c r="E189" s="34"/>
      <c r="F189" s="34"/>
      <c r="G189" s="34"/>
      <c r="H189" s="34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476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34"/>
      <c r="AH189" s="34"/>
    </row>
    <row x14ac:dyDescent="0.25" r="190" customHeight="1" ht="15.75">
      <c r="A190" s="2"/>
      <c r="B190" s="34"/>
      <c r="C190" s="34"/>
      <c r="D190" s="34"/>
      <c r="E190" s="34"/>
      <c r="F190" s="34"/>
      <c r="G190" s="34"/>
      <c r="H190" s="34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476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34"/>
      <c r="AH190" s="34"/>
    </row>
    <row x14ac:dyDescent="0.25" r="191" customHeight="1" ht="15.75">
      <c r="A191" s="2"/>
      <c r="B191" s="34"/>
      <c r="C191" s="34"/>
      <c r="D191" s="34"/>
      <c r="E191" s="34"/>
      <c r="F191" s="34"/>
      <c r="G191" s="34"/>
      <c r="H191" s="34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476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34"/>
      <c r="AH191" s="34"/>
    </row>
    <row x14ac:dyDescent="0.25" r="192" customHeight="1" ht="15.75">
      <c r="A192" s="2"/>
      <c r="B192" s="34"/>
      <c r="C192" s="34"/>
      <c r="D192" s="34"/>
      <c r="E192" s="34"/>
      <c r="F192" s="34"/>
      <c r="G192" s="34"/>
      <c r="H192" s="34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476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34"/>
      <c r="AH192" s="34"/>
    </row>
    <row x14ac:dyDescent="0.25" r="193" customHeight="1" ht="15.75">
      <c r="A193" s="2"/>
      <c r="B193" s="34"/>
      <c r="C193" s="34"/>
      <c r="D193" s="34"/>
      <c r="E193" s="34"/>
      <c r="F193" s="34"/>
      <c r="G193" s="34"/>
      <c r="H193" s="34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476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34"/>
      <c r="AH193" s="34"/>
    </row>
    <row x14ac:dyDescent="0.25" r="194" customHeight="1" ht="15.75">
      <c r="A194" s="2"/>
      <c r="B194" s="34"/>
      <c r="C194" s="34"/>
      <c r="D194" s="34"/>
      <c r="E194" s="34"/>
      <c r="F194" s="34"/>
      <c r="G194" s="34"/>
      <c r="H194" s="34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476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34"/>
      <c r="AH194" s="34"/>
    </row>
    <row x14ac:dyDescent="0.25" r="195" customHeight="1" ht="15.75">
      <c r="A195" s="2"/>
      <c r="B195" s="34"/>
      <c r="C195" s="34"/>
      <c r="D195" s="34"/>
      <c r="E195" s="34"/>
      <c r="F195" s="34"/>
      <c r="G195" s="34"/>
      <c r="H195" s="34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476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34"/>
      <c r="AH195" s="34"/>
    </row>
    <row x14ac:dyDescent="0.25" r="196" customHeight="1" ht="15.75">
      <c r="A196" s="2"/>
      <c r="B196" s="34"/>
      <c r="C196" s="34"/>
      <c r="D196" s="34"/>
      <c r="E196" s="34"/>
      <c r="F196" s="34"/>
      <c r="G196" s="34"/>
      <c r="H196" s="34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476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34"/>
      <c r="AH196" s="34"/>
    </row>
    <row x14ac:dyDescent="0.25" r="197" customHeight="1" ht="15.75">
      <c r="A197" s="2"/>
      <c r="B197" s="34"/>
      <c r="C197" s="34"/>
      <c r="D197" s="34"/>
      <c r="E197" s="34"/>
      <c r="F197" s="34"/>
      <c r="G197" s="34"/>
      <c r="H197" s="34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476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34"/>
      <c r="AH197" s="34"/>
    </row>
    <row x14ac:dyDescent="0.25" r="198" customHeight="1" ht="15.75">
      <c r="A198" s="2"/>
      <c r="B198" s="34"/>
      <c r="C198" s="34"/>
      <c r="D198" s="34"/>
      <c r="E198" s="34"/>
      <c r="F198" s="34"/>
      <c r="G198" s="34"/>
      <c r="H198" s="34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476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34"/>
      <c r="AH198" s="34"/>
    </row>
    <row x14ac:dyDescent="0.25" r="199" customHeight="1" ht="15.75">
      <c r="A199" s="2"/>
      <c r="B199" s="34"/>
      <c r="C199" s="34"/>
      <c r="D199" s="34"/>
      <c r="E199" s="34"/>
      <c r="F199" s="34"/>
      <c r="G199" s="34"/>
      <c r="H199" s="34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476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34"/>
      <c r="AH199" s="34"/>
    </row>
    <row x14ac:dyDescent="0.25" r="200" customHeight="1" ht="15.75">
      <c r="A200" s="2"/>
      <c r="B200" s="34"/>
      <c r="C200" s="34"/>
      <c r="D200" s="34"/>
      <c r="E200" s="34"/>
      <c r="F200" s="34"/>
      <c r="G200" s="34"/>
      <c r="H200" s="34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476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34"/>
      <c r="AH200" s="34"/>
    </row>
    <row x14ac:dyDescent="0.25" r="201" customHeight="1" ht="15.75">
      <c r="A201" s="2"/>
      <c r="B201" s="34"/>
      <c r="C201" s="34"/>
      <c r="D201" s="34"/>
      <c r="E201" s="34"/>
      <c r="F201" s="34"/>
      <c r="G201" s="34"/>
      <c r="H201" s="34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476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34"/>
      <c r="AH201" s="34"/>
    </row>
    <row x14ac:dyDescent="0.25" r="202" customHeight="1" ht="15.75">
      <c r="A202" s="2"/>
      <c r="B202" s="34"/>
      <c r="C202" s="34"/>
      <c r="D202" s="34"/>
      <c r="E202" s="34"/>
      <c r="F202" s="34"/>
      <c r="G202" s="34"/>
      <c r="H202" s="34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476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34"/>
      <c r="AH202" s="34"/>
    </row>
    <row x14ac:dyDescent="0.25" r="203" customHeight="1" ht="15.75">
      <c r="A203" s="2"/>
      <c r="B203" s="34"/>
      <c r="C203" s="34"/>
      <c r="D203" s="34"/>
      <c r="E203" s="34"/>
      <c r="F203" s="34"/>
      <c r="G203" s="34"/>
      <c r="H203" s="34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476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34"/>
      <c r="AH203" s="34"/>
    </row>
    <row x14ac:dyDescent="0.25" r="204" customHeight="1" ht="15.75">
      <c r="A204" s="2"/>
      <c r="B204" s="34"/>
      <c r="C204" s="34"/>
      <c r="D204" s="34"/>
      <c r="E204" s="34"/>
      <c r="F204" s="34"/>
      <c r="G204" s="34"/>
      <c r="H204" s="34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476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34"/>
      <c r="AH204" s="34"/>
    </row>
    <row x14ac:dyDescent="0.25" r="205" customHeight="1" ht="15.75">
      <c r="A205" s="2"/>
      <c r="B205" s="34"/>
      <c r="C205" s="34"/>
      <c r="D205" s="34"/>
      <c r="E205" s="34"/>
      <c r="F205" s="34"/>
      <c r="G205" s="34"/>
      <c r="H205" s="34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476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34"/>
      <c r="AH205" s="34"/>
    </row>
    <row x14ac:dyDescent="0.25" r="206" customHeight="1" ht="15.75">
      <c r="A206" s="2"/>
      <c r="B206" s="34"/>
      <c r="C206" s="34"/>
      <c r="D206" s="34"/>
      <c r="E206" s="34"/>
      <c r="F206" s="34"/>
      <c r="G206" s="34"/>
      <c r="H206" s="34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476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34"/>
      <c r="AH206" s="34"/>
    </row>
    <row x14ac:dyDescent="0.25" r="207" customHeight="1" ht="15.75">
      <c r="A207" s="2"/>
      <c r="B207" s="34"/>
      <c r="C207" s="34"/>
      <c r="D207" s="34"/>
      <c r="E207" s="34"/>
      <c r="F207" s="34"/>
      <c r="G207" s="34"/>
      <c r="H207" s="34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476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34"/>
      <c r="AH207" s="34"/>
    </row>
    <row x14ac:dyDescent="0.25" r="208" customHeight="1" ht="15.75">
      <c r="A208" s="2"/>
      <c r="B208" s="34"/>
      <c r="C208" s="34"/>
      <c r="D208" s="34"/>
      <c r="E208" s="34"/>
      <c r="F208" s="34"/>
      <c r="G208" s="34"/>
      <c r="H208" s="34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476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34"/>
      <c r="AH208" s="34"/>
    </row>
    <row x14ac:dyDescent="0.25" r="209" customHeight="1" ht="15.75">
      <c r="A209" s="2"/>
      <c r="B209" s="34"/>
      <c r="C209" s="34"/>
      <c r="D209" s="34"/>
      <c r="E209" s="34"/>
      <c r="F209" s="34"/>
      <c r="G209" s="34"/>
      <c r="H209" s="34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476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34"/>
      <c r="AH209" s="34"/>
    </row>
    <row x14ac:dyDescent="0.25" r="210" customHeight="1" ht="15.75">
      <c r="A210" s="2"/>
      <c r="B210" s="34"/>
      <c r="C210" s="34"/>
      <c r="D210" s="34"/>
      <c r="E210" s="34"/>
      <c r="F210" s="34"/>
      <c r="G210" s="34"/>
      <c r="H210" s="34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476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34"/>
      <c r="AH210" s="34"/>
    </row>
    <row x14ac:dyDescent="0.25" r="211" customHeight="1" ht="15.75">
      <c r="A211" s="2"/>
      <c r="B211" s="34"/>
      <c r="C211" s="34"/>
      <c r="D211" s="34"/>
      <c r="E211" s="34"/>
      <c r="F211" s="34"/>
      <c r="G211" s="34"/>
      <c r="H211" s="34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476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34"/>
      <c r="AH211" s="34"/>
    </row>
    <row x14ac:dyDescent="0.25" r="212" customHeight="1" ht="15.75">
      <c r="A212" s="2"/>
      <c r="B212" s="34"/>
      <c r="C212" s="34"/>
      <c r="D212" s="34"/>
      <c r="E212" s="34"/>
      <c r="F212" s="34"/>
      <c r="G212" s="34"/>
      <c r="H212" s="34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476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34"/>
      <c r="AH212" s="34"/>
    </row>
    <row x14ac:dyDescent="0.25" r="213" customHeight="1" ht="15.75">
      <c r="A213" s="2"/>
      <c r="B213" s="34"/>
      <c r="C213" s="34"/>
      <c r="D213" s="34"/>
      <c r="E213" s="34"/>
      <c r="F213" s="34"/>
      <c r="G213" s="34"/>
      <c r="H213" s="34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476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34"/>
      <c r="AH213" s="34"/>
    </row>
    <row x14ac:dyDescent="0.25" r="214" customHeight="1" ht="15.75">
      <c r="A214" s="2"/>
      <c r="B214" s="34"/>
      <c r="C214" s="34"/>
      <c r="D214" s="34"/>
      <c r="E214" s="34"/>
      <c r="F214" s="34"/>
      <c r="G214" s="34"/>
      <c r="H214" s="34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476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34"/>
      <c r="AH214" s="34"/>
    </row>
    <row x14ac:dyDescent="0.25" r="215" customHeight="1" ht="15.75">
      <c r="A215" s="2"/>
      <c r="B215" s="34"/>
      <c r="C215" s="34"/>
      <c r="D215" s="34"/>
      <c r="E215" s="34"/>
      <c r="F215" s="34"/>
      <c r="G215" s="34"/>
      <c r="H215" s="34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476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34"/>
      <c r="AH215" s="34"/>
    </row>
    <row x14ac:dyDescent="0.25" r="216" customHeight="1" ht="15.75">
      <c r="A216" s="2"/>
      <c r="B216" s="34"/>
      <c r="C216" s="34"/>
      <c r="D216" s="34"/>
      <c r="E216" s="34"/>
      <c r="F216" s="34"/>
      <c r="G216" s="34"/>
      <c r="H216" s="34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476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34"/>
      <c r="AH216" s="34"/>
    </row>
    <row x14ac:dyDescent="0.25" r="217" customHeight="1" ht="15.75">
      <c r="A217" s="2"/>
      <c r="B217" s="34"/>
      <c r="C217" s="34"/>
      <c r="D217" s="34"/>
      <c r="E217" s="34"/>
      <c r="F217" s="34"/>
      <c r="G217" s="34"/>
      <c r="H217" s="34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476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34"/>
      <c r="AH217" s="34"/>
    </row>
    <row x14ac:dyDescent="0.25" r="218" customHeight="1" ht="15.75">
      <c r="A218" s="2"/>
      <c r="B218" s="34"/>
      <c r="C218" s="34"/>
      <c r="D218" s="34"/>
      <c r="E218" s="34"/>
      <c r="F218" s="34"/>
      <c r="G218" s="34"/>
      <c r="H218" s="34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476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34"/>
      <c r="AH218" s="34"/>
    </row>
    <row x14ac:dyDescent="0.25" r="219" customHeight="1" ht="15.75">
      <c r="A219" s="2"/>
      <c r="B219" s="34"/>
      <c r="C219" s="34"/>
      <c r="D219" s="34"/>
      <c r="E219" s="34"/>
      <c r="F219" s="34"/>
      <c r="G219" s="34"/>
      <c r="H219" s="34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476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34"/>
      <c r="AH219" s="34"/>
    </row>
    <row x14ac:dyDescent="0.25" r="220" customHeight="1" ht="15.75">
      <c r="A220" s="2"/>
      <c r="B220" s="34"/>
      <c r="C220" s="34"/>
      <c r="D220" s="34"/>
      <c r="E220" s="34"/>
      <c r="F220" s="34"/>
      <c r="G220" s="34"/>
      <c r="H220" s="34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476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34"/>
      <c r="AH220" s="34"/>
    </row>
    <row x14ac:dyDescent="0.25" r="221" customHeight="1" ht="15.75">
      <c r="A221" s="2"/>
      <c r="B221" s="34"/>
      <c r="C221" s="34"/>
      <c r="D221" s="34"/>
      <c r="E221" s="34"/>
      <c r="F221" s="34"/>
      <c r="G221" s="34"/>
      <c r="H221" s="34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476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34"/>
      <c r="AH221" s="34"/>
    </row>
    <row x14ac:dyDescent="0.25" r="222" customHeight="1" ht="15.75">
      <c r="A222" s="2"/>
      <c r="B222" s="34"/>
      <c r="C222" s="34"/>
      <c r="D222" s="34"/>
      <c r="E222" s="34"/>
      <c r="F222" s="34"/>
      <c r="G222" s="34"/>
      <c r="H222" s="34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476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34"/>
      <c r="AH222" s="34"/>
    </row>
    <row x14ac:dyDescent="0.25" r="223" customHeight="1" ht="15.75">
      <c r="A223" s="2"/>
      <c r="B223" s="34"/>
      <c r="C223" s="34"/>
      <c r="D223" s="34"/>
      <c r="E223" s="34"/>
      <c r="F223" s="34"/>
      <c r="G223" s="34"/>
      <c r="H223" s="34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476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34"/>
      <c r="AH223" s="34"/>
    </row>
    <row x14ac:dyDescent="0.25" r="224" customHeight="1" ht="15.75">
      <c r="A224" s="2"/>
      <c r="B224" s="34"/>
      <c r="C224" s="34"/>
      <c r="D224" s="34"/>
      <c r="E224" s="34"/>
      <c r="F224" s="34"/>
      <c r="G224" s="34"/>
      <c r="H224" s="34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476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34"/>
      <c r="AH224" s="34"/>
    </row>
    <row x14ac:dyDescent="0.25" r="225" customHeight="1" ht="15.75">
      <c r="A225" s="2"/>
      <c r="B225" s="34"/>
      <c r="C225" s="34"/>
      <c r="D225" s="34"/>
      <c r="E225" s="34"/>
      <c r="F225" s="34"/>
      <c r="G225" s="34"/>
      <c r="H225" s="34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476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34"/>
      <c r="AH225" s="34"/>
    </row>
    <row x14ac:dyDescent="0.25" r="226" customHeight="1" ht="15.75">
      <c r="A226" s="2"/>
      <c r="B226" s="34"/>
      <c r="C226" s="34"/>
      <c r="D226" s="34"/>
      <c r="E226" s="34"/>
      <c r="F226" s="34"/>
      <c r="G226" s="34"/>
      <c r="H226" s="34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476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34"/>
      <c r="AH226" s="34"/>
    </row>
    <row x14ac:dyDescent="0.25" r="227" customHeight="1" ht="15.75">
      <c r="A227" s="2"/>
      <c r="B227" s="34"/>
      <c r="C227" s="34"/>
      <c r="D227" s="34"/>
      <c r="E227" s="34"/>
      <c r="F227" s="34"/>
      <c r="G227" s="34"/>
      <c r="H227" s="34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476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34"/>
      <c r="AH227" s="34"/>
    </row>
    <row x14ac:dyDescent="0.25" r="228" customHeight="1" ht="15.75">
      <c r="A228" s="2"/>
      <c r="B228" s="34"/>
      <c r="C228" s="34"/>
      <c r="D228" s="34"/>
      <c r="E228" s="34"/>
      <c r="F228" s="34"/>
      <c r="G228" s="34"/>
      <c r="H228" s="34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476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34"/>
      <c r="AH228" s="34"/>
    </row>
    <row x14ac:dyDescent="0.25" r="229" customHeight="1" ht="15.75">
      <c r="A229" s="2"/>
      <c r="B229" s="34"/>
      <c r="C229" s="34"/>
      <c r="D229" s="34"/>
      <c r="E229" s="34"/>
      <c r="F229" s="34"/>
      <c r="G229" s="34"/>
      <c r="H229" s="34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476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34"/>
      <c r="AH229" s="34"/>
    </row>
    <row x14ac:dyDescent="0.25" r="230" customHeight="1" ht="15.75">
      <c r="A230" s="2"/>
      <c r="B230" s="34"/>
      <c r="C230" s="34"/>
      <c r="D230" s="34"/>
      <c r="E230" s="34"/>
      <c r="F230" s="34"/>
      <c r="G230" s="34"/>
      <c r="H230" s="34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476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34"/>
      <c r="AH230" s="34"/>
    </row>
    <row x14ac:dyDescent="0.25" r="231" customHeight="1" ht="15.75">
      <c r="A231" s="2"/>
      <c r="B231" s="34"/>
      <c r="C231" s="34"/>
      <c r="D231" s="34"/>
      <c r="E231" s="34"/>
      <c r="F231" s="34"/>
      <c r="G231" s="34"/>
      <c r="H231" s="34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476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34"/>
      <c r="AH231" s="34"/>
    </row>
    <row x14ac:dyDescent="0.25" r="232" customHeight="1" ht="15.75">
      <c r="A232" s="2"/>
      <c r="B232" s="34"/>
      <c r="C232" s="34"/>
      <c r="D232" s="34"/>
      <c r="E232" s="34"/>
      <c r="F232" s="34"/>
      <c r="G232" s="34"/>
      <c r="H232" s="34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476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34"/>
      <c r="AH232" s="34"/>
    </row>
    <row x14ac:dyDescent="0.25" r="233" customHeight="1" ht="15.75">
      <c r="A233" s="2"/>
      <c r="B233" s="34"/>
      <c r="C233" s="34"/>
      <c r="D233" s="34"/>
      <c r="E233" s="34"/>
      <c r="F233" s="34"/>
      <c r="G233" s="34"/>
      <c r="H233" s="34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476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34"/>
      <c r="AH233" s="34"/>
    </row>
    <row x14ac:dyDescent="0.25" r="234" customHeight="1" ht="15.75">
      <c r="A234" s="2"/>
      <c r="B234" s="34"/>
      <c r="C234" s="34"/>
      <c r="D234" s="34"/>
      <c r="E234" s="34"/>
      <c r="F234" s="34"/>
      <c r="G234" s="34"/>
      <c r="H234" s="34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476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34"/>
      <c r="AH234" s="34"/>
    </row>
    <row x14ac:dyDescent="0.25" r="235" customHeight="1" ht="15.75">
      <c r="A235" s="2"/>
      <c r="B235" s="34"/>
      <c r="C235" s="34"/>
      <c r="D235" s="34"/>
      <c r="E235" s="34"/>
      <c r="F235" s="34"/>
      <c r="G235" s="34"/>
      <c r="H235" s="34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476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34"/>
      <c r="AH235" s="34"/>
    </row>
    <row x14ac:dyDescent="0.25" r="236" customHeight="1" ht="15.75">
      <c r="A236" s="2"/>
      <c r="B236" s="34"/>
      <c r="C236" s="34"/>
      <c r="D236" s="34"/>
      <c r="E236" s="34"/>
      <c r="F236" s="34"/>
      <c r="G236" s="34"/>
      <c r="H236" s="34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476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34"/>
      <c r="AH236" s="34"/>
    </row>
    <row x14ac:dyDescent="0.25" r="237" customHeight="1" ht="15.75">
      <c r="A237" s="2"/>
      <c r="B237" s="34"/>
      <c r="C237" s="34"/>
      <c r="D237" s="34"/>
      <c r="E237" s="34"/>
      <c r="F237" s="34"/>
      <c r="G237" s="34"/>
      <c r="H237" s="34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476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34"/>
      <c r="AH237" s="34"/>
    </row>
    <row x14ac:dyDescent="0.25" r="238" customHeight="1" ht="15.75">
      <c r="A238" s="2"/>
      <c r="B238" s="34"/>
      <c r="C238" s="34"/>
      <c r="D238" s="34"/>
      <c r="E238" s="34"/>
      <c r="F238" s="34"/>
      <c r="G238" s="34"/>
      <c r="H238" s="34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476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34"/>
      <c r="AH238" s="34"/>
    </row>
    <row x14ac:dyDescent="0.25" r="239" customHeight="1" ht="15.75">
      <c r="A239" s="2"/>
      <c r="B239" s="34"/>
      <c r="C239" s="34"/>
      <c r="D239" s="34"/>
      <c r="E239" s="34"/>
      <c r="F239" s="34"/>
      <c r="G239" s="34"/>
      <c r="H239" s="34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476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34"/>
      <c r="AH239" s="34"/>
    </row>
    <row x14ac:dyDescent="0.25" r="240" customHeight="1" ht="15.75">
      <c r="A240" s="2"/>
      <c r="B240" s="34"/>
      <c r="C240" s="34"/>
      <c r="D240" s="34"/>
      <c r="E240" s="34"/>
      <c r="F240" s="34"/>
      <c r="G240" s="34"/>
      <c r="H240" s="34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476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34"/>
      <c r="AH240" s="34"/>
    </row>
    <row x14ac:dyDescent="0.25" r="241" customHeight="1" ht="15.75">
      <c r="A241" s="2"/>
      <c r="B241" s="34"/>
      <c r="C241" s="34"/>
      <c r="D241" s="34"/>
      <c r="E241" s="34"/>
      <c r="F241" s="34"/>
      <c r="G241" s="34"/>
      <c r="H241" s="34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476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34"/>
      <c r="AH241" s="34"/>
    </row>
    <row x14ac:dyDescent="0.25" r="242" customHeight="1" ht="15.75">
      <c r="A242" s="2"/>
      <c r="B242" s="34"/>
      <c r="C242" s="34"/>
      <c r="D242" s="34"/>
      <c r="E242" s="34"/>
      <c r="F242" s="34"/>
      <c r="G242" s="34"/>
      <c r="H242" s="34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476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34"/>
      <c r="AH242" s="34"/>
    </row>
    <row x14ac:dyDescent="0.25" r="243" customHeight="1" ht="15.75">
      <c r="A243" s="2"/>
      <c r="B243" s="34"/>
      <c r="C243" s="34"/>
      <c r="D243" s="34"/>
      <c r="E243" s="34"/>
      <c r="F243" s="34"/>
      <c r="G243" s="34"/>
      <c r="H243" s="34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476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34"/>
      <c r="AH243" s="34"/>
    </row>
    <row x14ac:dyDescent="0.25" r="244" customHeight="1" ht="15.75">
      <c r="A244" s="2"/>
      <c r="B244" s="34"/>
      <c r="C244" s="34"/>
      <c r="D244" s="34"/>
      <c r="E244" s="34"/>
      <c r="F244" s="34"/>
      <c r="G244" s="34"/>
      <c r="H244" s="34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476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34"/>
      <c r="AH244" s="34"/>
    </row>
    <row x14ac:dyDescent="0.25" r="245" customHeight="1" ht="15.75">
      <c r="A245" s="2"/>
      <c r="B245" s="34"/>
      <c r="C245" s="34"/>
      <c r="D245" s="34"/>
      <c r="E245" s="34"/>
      <c r="F245" s="34"/>
      <c r="G245" s="34"/>
      <c r="H245" s="34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476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34"/>
      <c r="AH245" s="34"/>
    </row>
    <row x14ac:dyDescent="0.25" r="246" customHeight="1" ht="15.75">
      <c r="A246" s="2"/>
      <c r="B246" s="34"/>
      <c r="C246" s="34"/>
      <c r="D246" s="34"/>
      <c r="E246" s="34"/>
      <c r="F246" s="34"/>
      <c r="G246" s="34"/>
      <c r="H246" s="34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476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34"/>
      <c r="AH246" s="34"/>
    </row>
    <row x14ac:dyDescent="0.25" r="247" customHeight="1" ht="15.75">
      <c r="A247" s="2"/>
      <c r="B247" s="34"/>
      <c r="C247" s="34"/>
      <c r="D247" s="34"/>
      <c r="E247" s="34"/>
      <c r="F247" s="34"/>
      <c r="G247" s="34"/>
      <c r="H247" s="34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476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34"/>
      <c r="AH247" s="34"/>
    </row>
    <row x14ac:dyDescent="0.25" r="248" customHeight="1" ht="15.75">
      <c r="A248" s="2"/>
      <c r="B248" s="34"/>
      <c r="C248" s="34"/>
      <c r="D248" s="34"/>
      <c r="E248" s="34"/>
      <c r="F248" s="34"/>
      <c r="G248" s="34"/>
      <c r="H248" s="34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476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34"/>
      <c r="AH248" s="34"/>
    </row>
    <row x14ac:dyDescent="0.25" r="249" customHeight="1" ht="15.75">
      <c r="A249" s="2"/>
      <c r="B249" s="34"/>
      <c r="C249" s="34"/>
      <c r="D249" s="34"/>
      <c r="E249" s="34"/>
      <c r="F249" s="34"/>
      <c r="G249" s="34"/>
      <c r="H249" s="34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476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34"/>
      <c r="AH249" s="34"/>
    </row>
    <row x14ac:dyDescent="0.25" r="250" customHeight="1" ht="15.75">
      <c r="A250" s="2"/>
      <c r="B250" s="34"/>
      <c r="C250" s="34"/>
      <c r="D250" s="34"/>
      <c r="E250" s="34"/>
      <c r="F250" s="34"/>
      <c r="G250" s="34"/>
      <c r="H250" s="34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476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34"/>
      <c r="AH250" s="34"/>
    </row>
    <row x14ac:dyDescent="0.25" r="251" customHeight="1" ht="15.75">
      <c r="A251" s="2"/>
      <c r="B251" s="34"/>
      <c r="C251" s="34"/>
      <c r="D251" s="34"/>
      <c r="E251" s="34"/>
      <c r="F251" s="34"/>
      <c r="G251" s="34"/>
      <c r="H251" s="34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476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34"/>
      <c r="AH251" s="34"/>
    </row>
    <row x14ac:dyDescent="0.25" r="252" customHeight="1" ht="15.75">
      <c r="A252" s="2"/>
      <c r="B252" s="34"/>
      <c r="C252" s="34"/>
      <c r="D252" s="34"/>
      <c r="E252" s="34"/>
      <c r="F252" s="34"/>
      <c r="G252" s="34"/>
      <c r="H252" s="34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476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34"/>
      <c r="AH252" s="34"/>
    </row>
    <row x14ac:dyDescent="0.25" r="253" customHeight="1" ht="15.75">
      <c r="A253" s="2"/>
      <c r="B253" s="34"/>
      <c r="C253" s="34"/>
      <c r="D253" s="34"/>
      <c r="E253" s="34"/>
      <c r="F253" s="34"/>
      <c r="G253" s="34"/>
      <c r="H253" s="34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476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34"/>
      <c r="AH253" s="34"/>
    </row>
    <row x14ac:dyDescent="0.25" r="254" customHeight="1" ht="15.75">
      <c r="A254" s="2"/>
      <c r="B254" s="34"/>
      <c r="C254" s="34"/>
      <c r="D254" s="34"/>
      <c r="E254" s="34"/>
      <c r="F254" s="34"/>
      <c r="G254" s="34"/>
      <c r="H254" s="34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476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34"/>
      <c r="AH254" s="34"/>
    </row>
    <row x14ac:dyDescent="0.25" r="255" customHeight="1" ht="15.75">
      <c r="A255" s="2"/>
      <c r="B255" s="34"/>
      <c r="C255" s="34"/>
      <c r="D255" s="34"/>
      <c r="E255" s="34"/>
      <c r="F255" s="34"/>
      <c r="G255" s="34"/>
      <c r="H255" s="34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476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34"/>
      <c r="AH255" s="34"/>
    </row>
    <row x14ac:dyDescent="0.25" r="256" customHeight="1" ht="15.75">
      <c r="A256" s="2"/>
      <c r="B256" s="34"/>
      <c r="C256" s="34"/>
      <c r="D256" s="34"/>
      <c r="E256" s="34"/>
      <c r="F256" s="34"/>
      <c r="G256" s="34"/>
      <c r="H256" s="34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476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34"/>
      <c r="AH256" s="34"/>
    </row>
    <row x14ac:dyDescent="0.25" r="257" customHeight="1" ht="15.75">
      <c r="A257" s="2"/>
      <c r="B257" s="34"/>
      <c r="C257" s="34"/>
      <c r="D257" s="34"/>
      <c r="E257" s="34"/>
      <c r="F257" s="34"/>
      <c r="G257" s="34"/>
      <c r="H257" s="34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476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34"/>
      <c r="AH257" s="34"/>
    </row>
    <row x14ac:dyDescent="0.25" r="258" customHeight="1" ht="15.75">
      <c r="A258" s="2"/>
      <c r="B258" s="34"/>
      <c r="C258" s="34"/>
      <c r="D258" s="34"/>
      <c r="E258" s="34"/>
      <c r="F258" s="34"/>
      <c r="G258" s="34"/>
      <c r="H258" s="34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476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34"/>
      <c r="AH258" s="34"/>
    </row>
    <row x14ac:dyDescent="0.25" r="259" customHeight="1" ht="15.75">
      <c r="A259" s="2"/>
      <c r="B259" s="34"/>
      <c r="C259" s="34"/>
      <c r="D259" s="34"/>
      <c r="E259" s="34"/>
      <c r="F259" s="34"/>
      <c r="G259" s="34"/>
      <c r="H259" s="34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476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34"/>
      <c r="AH259" s="34"/>
    </row>
    <row x14ac:dyDescent="0.25" r="260" customHeight="1" ht="15.75">
      <c r="A260" s="2"/>
      <c r="B260" s="34"/>
      <c r="C260" s="34"/>
      <c r="D260" s="34"/>
      <c r="E260" s="34"/>
      <c r="F260" s="34"/>
      <c r="G260" s="34"/>
      <c r="H260" s="34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476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34"/>
      <c r="AH260" s="34"/>
    </row>
    <row x14ac:dyDescent="0.25" r="261" customHeight="1" ht="15.75">
      <c r="A261" s="2"/>
      <c r="B261" s="34"/>
      <c r="C261" s="34"/>
      <c r="D261" s="34"/>
      <c r="E261" s="34"/>
      <c r="F261" s="34"/>
      <c r="G261" s="34"/>
      <c r="H261" s="34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476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34"/>
      <c r="AH261" s="34"/>
    </row>
    <row x14ac:dyDescent="0.25" r="262" customHeight="1" ht="15.75">
      <c r="A262" s="2"/>
      <c r="B262" s="34"/>
      <c r="C262" s="34"/>
      <c r="D262" s="34"/>
      <c r="E262" s="34"/>
      <c r="F262" s="34"/>
      <c r="G262" s="34"/>
      <c r="H262" s="34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476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34"/>
      <c r="AH262" s="34"/>
    </row>
    <row x14ac:dyDescent="0.25" r="263" customHeight="1" ht="15.75">
      <c r="A263" s="2"/>
      <c r="B263" s="34"/>
      <c r="C263" s="34"/>
      <c r="D263" s="34"/>
      <c r="E263" s="34"/>
      <c r="F263" s="34"/>
      <c r="G263" s="34"/>
      <c r="H263" s="34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476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34"/>
      <c r="AH263" s="34"/>
    </row>
    <row x14ac:dyDescent="0.25" r="264" customHeight="1" ht="15.75">
      <c r="A264" s="2"/>
      <c r="B264" s="34"/>
      <c r="C264" s="34"/>
      <c r="D264" s="34"/>
      <c r="E264" s="34"/>
      <c r="F264" s="34"/>
      <c r="G264" s="34"/>
      <c r="H264" s="34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476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34"/>
      <c r="AH264" s="34"/>
    </row>
    <row x14ac:dyDescent="0.25" r="265" customHeight="1" ht="15.75">
      <c r="A265" s="2"/>
      <c r="B265" s="34"/>
      <c r="C265" s="34"/>
      <c r="D265" s="34"/>
      <c r="E265" s="34"/>
      <c r="F265" s="34"/>
      <c r="G265" s="34"/>
      <c r="H265" s="34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476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34"/>
      <c r="AH265" s="34"/>
    </row>
    <row x14ac:dyDescent="0.25" r="266" customHeight="1" ht="15.75">
      <c r="A266" s="2"/>
      <c r="B266" s="34"/>
      <c r="C266" s="34"/>
      <c r="D266" s="34"/>
      <c r="E266" s="34"/>
      <c r="F266" s="34"/>
      <c r="G266" s="34"/>
      <c r="H266" s="34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476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34"/>
      <c r="AH266" s="34"/>
    </row>
    <row x14ac:dyDescent="0.25" r="267" customHeight="1" ht="15.75">
      <c r="A267" s="2"/>
      <c r="B267" s="34"/>
      <c r="C267" s="34"/>
      <c r="D267" s="34"/>
      <c r="E267" s="34"/>
      <c r="F267" s="34"/>
      <c r="G267" s="34"/>
      <c r="H267" s="34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476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34"/>
      <c r="AH267" s="34"/>
    </row>
    <row x14ac:dyDescent="0.25" r="268" customHeight="1" ht="15.75">
      <c r="A268" s="2"/>
      <c r="B268" s="34"/>
      <c r="C268" s="34"/>
      <c r="D268" s="34"/>
      <c r="E268" s="34"/>
      <c r="F268" s="34"/>
      <c r="G268" s="34"/>
      <c r="H268" s="34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476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34"/>
      <c r="AH268" s="34"/>
    </row>
    <row x14ac:dyDescent="0.25" r="269" customHeight="1" ht="15.75">
      <c r="A269" s="2"/>
      <c r="B269" s="34"/>
      <c r="C269" s="34"/>
      <c r="D269" s="34"/>
      <c r="E269" s="34"/>
      <c r="F269" s="34"/>
      <c r="G269" s="34"/>
      <c r="H269" s="34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476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34"/>
      <c r="AH269" s="34"/>
    </row>
    <row x14ac:dyDescent="0.25" r="270" customHeight="1" ht="15.75">
      <c r="A270" s="2"/>
      <c r="B270" s="34"/>
      <c r="C270" s="34"/>
      <c r="D270" s="34"/>
      <c r="E270" s="34"/>
      <c r="F270" s="34"/>
      <c r="G270" s="34"/>
      <c r="H270" s="34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476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34"/>
      <c r="AH270" s="34"/>
    </row>
    <row x14ac:dyDescent="0.25" r="271" customHeight="1" ht="15.75">
      <c r="A271" s="2"/>
      <c r="B271" s="34"/>
      <c r="C271" s="34"/>
      <c r="D271" s="34"/>
      <c r="E271" s="34"/>
      <c r="F271" s="34"/>
      <c r="G271" s="34"/>
      <c r="H271" s="34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476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34"/>
      <c r="AH271" s="34"/>
    </row>
    <row x14ac:dyDescent="0.25" r="272" customHeight="1" ht="15.75">
      <c r="A272" s="2"/>
      <c r="B272" s="34"/>
      <c r="C272" s="34"/>
      <c r="D272" s="34"/>
      <c r="E272" s="34"/>
      <c r="F272" s="34"/>
      <c r="G272" s="34"/>
      <c r="H272" s="34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476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34"/>
      <c r="AH272" s="34"/>
    </row>
    <row x14ac:dyDescent="0.25" r="273" customHeight="1" ht="15.75">
      <c r="A273" s="2"/>
      <c r="B273" s="34"/>
      <c r="C273" s="34"/>
      <c r="D273" s="34"/>
      <c r="E273" s="34"/>
      <c r="F273" s="34"/>
      <c r="G273" s="34"/>
      <c r="H273" s="34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476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34"/>
      <c r="AH273" s="34"/>
    </row>
    <row x14ac:dyDescent="0.25" r="274" customHeight="1" ht="15.75">
      <c r="A274" s="2"/>
      <c r="B274" s="34"/>
      <c r="C274" s="34"/>
      <c r="D274" s="34"/>
      <c r="E274" s="34"/>
      <c r="F274" s="34"/>
      <c r="G274" s="34"/>
      <c r="H274" s="34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476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34"/>
      <c r="AH274" s="34"/>
    </row>
    <row x14ac:dyDescent="0.25" r="275" customHeight="1" ht="15.75">
      <c r="A275" s="2"/>
      <c r="B275" s="34"/>
      <c r="C275" s="34"/>
      <c r="D275" s="34"/>
      <c r="E275" s="34"/>
      <c r="F275" s="34"/>
      <c r="G275" s="34"/>
      <c r="H275" s="34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476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34"/>
      <c r="AH275" s="34"/>
    </row>
    <row x14ac:dyDescent="0.25" r="276" customHeight="1" ht="15.75">
      <c r="A276" s="2"/>
      <c r="B276" s="34"/>
      <c r="C276" s="34"/>
      <c r="D276" s="34"/>
      <c r="E276" s="34"/>
      <c r="F276" s="34"/>
      <c r="G276" s="34"/>
      <c r="H276" s="34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476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34"/>
      <c r="AH276" s="34"/>
    </row>
    <row x14ac:dyDescent="0.25" r="277" customHeight="1" ht="15.75">
      <c r="A277" s="2"/>
      <c r="B277" s="34"/>
      <c r="C277" s="34"/>
      <c r="D277" s="34"/>
      <c r="E277" s="34"/>
      <c r="F277" s="34"/>
      <c r="G277" s="34"/>
      <c r="H277" s="34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476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34"/>
      <c r="AH277" s="34"/>
    </row>
    <row x14ac:dyDescent="0.25" r="278" customHeight="1" ht="15.75">
      <c r="A278" s="2"/>
      <c r="B278" s="34"/>
      <c r="C278" s="34"/>
      <c r="D278" s="34"/>
      <c r="E278" s="34"/>
      <c r="F278" s="34"/>
      <c r="G278" s="34"/>
      <c r="H278" s="34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476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34"/>
      <c r="AH278" s="34"/>
    </row>
    <row x14ac:dyDescent="0.25" r="279" customHeight="1" ht="15.75">
      <c r="A279" s="2"/>
      <c r="B279" s="34"/>
      <c r="C279" s="34"/>
      <c r="D279" s="34"/>
      <c r="E279" s="34"/>
      <c r="F279" s="34"/>
      <c r="G279" s="34"/>
      <c r="H279" s="34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476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34"/>
      <c r="AH279" s="34"/>
    </row>
    <row x14ac:dyDescent="0.25" r="280" customHeight="1" ht="15.75">
      <c r="A280" s="2"/>
      <c r="B280" s="34"/>
      <c r="C280" s="34"/>
      <c r="D280" s="34"/>
      <c r="E280" s="34"/>
      <c r="F280" s="34"/>
      <c r="G280" s="34"/>
      <c r="H280" s="34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476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34"/>
      <c r="AH280" s="34"/>
    </row>
    <row x14ac:dyDescent="0.25" r="281" customHeight="1" ht="15.75">
      <c r="A281" s="2"/>
      <c r="B281" s="34"/>
      <c r="C281" s="34"/>
      <c r="D281" s="34"/>
      <c r="E281" s="34"/>
      <c r="F281" s="34"/>
      <c r="G281" s="34"/>
      <c r="H281" s="34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476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34"/>
      <c r="AH281" s="34"/>
    </row>
    <row x14ac:dyDescent="0.25" r="282" customHeight="1" ht="15.75">
      <c r="A282" s="2"/>
      <c r="B282" s="34"/>
      <c r="C282" s="34"/>
      <c r="D282" s="34"/>
      <c r="E282" s="34"/>
      <c r="F282" s="34"/>
      <c r="G282" s="34"/>
      <c r="H282" s="34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476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34"/>
      <c r="AH282" s="34"/>
    </row>
    <row x14ac:dyDescent="0.25" r="283" customHeight="1" ht="15.75">
      <c r="A283" s="2"/>
      <c r="B283" s="34"/>
      <c r="C283" s="34"/>
      <c r="D283" s="34"/>
      <c r="E283" s="34"/>
      <c r="F283" s="34"/>
      <c r="G283" s="34"/>
      <c r="H283" s="34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476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34"/>
      <c r="AH283" s="34"/>
    </row>
    <row x14ac:dyDescent="0.25" r="284" customHeight="1" ht="15.75">
      <c r="A284" s="2"/>
      <c r="B284" s="34"/>
      <c r="C284" s="34"/>
      <c r="D284" s="34"/>
      <c r="E284" s="34"/>
      <c r="F284" s="34"/>
      <c r="G284" s="34"/>
      <c r="H284" s="34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476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34"/>
      <c r="AH284" s="34"/>
    </row>
    <row x14ac:dyDescent="0.25" r="285" customHeight="1" ht="15.75">
      <c r="A285" s="2"/>
      <c r="B285" s="34"/>
      <c r="C285" s="34"/>
      <c r="D285" s="34"/>
      <c r="E285" s="34"/>
      <c r="F285" s="34"/>
      <c r="G285" s="34"/>
      <c r="H285" s="34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476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34"/>
      <c r="AH285" s="34"/>
    </row>
    <row x14ac:dyDescent="0.25" r="286" customHeight="1" ht="15.75">
      <c r="A286" s="2"/>
      <c r="B286" s="34"/>
      <c r="C286" s="34"/>
      <c r="D286" s="34"/>
      <c r="E286" s="34"/>
      <c r="F286" s="34"/>
      <c r="G286" s="34"/>
      <c r="H286" s="34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476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34"/>
      <c r="AH286" s="34"/>
    </row>
    <row x14ac:dyDescent="0.25" r="287" customHeight="1" ht="15.75">
      <c r="A287" s="2"/>
      <c r="B287" s="34"/>
      <c r="C287" s="34"/>
      <c r="D287" s="34"/>
      <c r="E287" s="34"/>
      <c r="F287" s="34"/>
      <c r="G287" s="34"/>
      <c r="H287" s="34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476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34"/>
      <c r="AH287" s="34"/>
    </row>
    <row x14ac:dyDescent="0.25" r="288" customHeight="1" ht="15.75">
      <c r="A288" s="2"/>
      <c r="B288" s="34"/>
      <c r="C288" s="34"/>
      <c r="D288" s="34"/>
      <c r="E288" s="34"/>
      <c r="F288" s="34"/>
      <c r="G288" s="34"/>
      <c r="H288" s="34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476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34"/>
      <c r="AH288" s="34"/>
    </row>
    <row x14ac:dyDescent="0.25" r="289" customHeight="1" ht="15.75">
      <c r="A289" s="2"/>
      <c r="B289" s="34"/>
      <c r="C289" s="34"/>
      <c r="D289" s="34"/>
      <c r="E289" s="34"/>
      <c r="F289" s="34"/>
      <c r="G289" s="34"/>
      <c r="H289" s="34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476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34"/>
      <c r="AH289" s="34"/>
    </row>
    <row x14ac:dyDescent="0.25" r="290" customHeight="1" ht="15.75">
      <c r="A290" s="2"/>
      <c r="B290" s="34"/>
      <c r="C290" s="34"/>
      <c r="D290" s="34"/>
      <c r="E290" s="34"/>
      <c r="F290" s="34"/>
      <c r="G290" s="34"/>
      <c r="H290" s="34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476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34"/>
      <c r="AH290" s="34"/>
    </row>
    <row x14ac:dyDescent="0.25" r="291" customHeight="1" ht="15.75">
      <c r="A291" s="2"/>
      <c r="B291" s="34"/>
      <c r="C291" s="34"/>
      <c r="D291" s="34"/>
      <c r="E291" s="34"/>
      <c r="F291" s="34"/>
      <c r="G291" s="34"/>
      <c r="H291" s="34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476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34"/>
      <c r="AH291" s="34"/>
    </row>
    <row x14ac:dyDescent="0.25" r="292" customHeight="1" ht="15.75">
      <c r="A292" s="2"/>
      <c r="B292" s="34"/>
      <c r="C292" s="34"/>
      <c r="D292" s="34"/>
      <c r="E292" s="34"/>
      <c r="F292" s="34"/>
      <c r="G292" s="34"/>
      <c r="H292" s="34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476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34"/>
      <c r="AH292" s="34"/>
    </row>
    <row x14ac:dyDescent="0.25" r="293" customHeight="1" ht="15.75">
      <c r="A293" s="2"/>
      <c r="B293" s="34"/>
      <c r="C293" s="34"/>
      <c r="D293" s="34"/>
      <c r="E293" s="34"/>
      <c r="F293" s="34"/>
      <c r="G293" s="34"/>
      <c r="H293" s="34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476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34"/>
      <c r="AH293" s="34"/>
    </row>
    <row x14ac:dyDescent="0.25" r="294" customHeight="1" ht="15.75">
      <c r="A294" s="2"/>
      <c r="B294" s="34"/>
      <c r="C294" s="34"/>
      <c r="D294" s="34"/>
      <c r="E294" s="34"/>
      <c r="F294" s="34"/>
      <c r="G294" s="34"/>
      <c r="H294" s="34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476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34"/>
      <c r="AH294" s="34"/>
    </row>
    <row x14ac:dyDescent="0.25" r="295" customHeight="1" ht="15.75">
      <c r="A295" s="2"/>
      <c r="B295" s="34"/>
      <c r="C295" s="34"/>
      <c r="D295" s="34"/>
      <c r="E295" s="34"/>
      <c r="F295" s="34"/>
      <c r="G295" s="34"/>
      <c r="H295" s="34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476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34"/>
      <c r="AH295" s="34"/>
    </row>
    <row x14ac:dyDescent="0.25" r="296" customHeight="1" ht="15.75">
      <c r="A296" s="2"/>
      <c r="B296" s="34"/>
      <c r="C296" s="34"/>
      <c r="D296" s="34"/>
      <c r="E296" s="34"/>
      <c r="F296" s="34"/>
      <c r="G296" s="34"/>
      <c r="H296" s="34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476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34"/>
      <c r="AH296" s="34"/>
    </row>
    <row x14ac:dyDescent="0.25" r="297" customHeight="1" ht="15.75">
      <c r="A297" s="2"/>
      <c r="B297" s="34"/>
      <c r="C297" s="34"/>
      <c r="D297" s="34"/>
      <c r="E297" s="34"/>
      <c r="F297" s="34"/>
      <c r="G297" s="34"/>
      <c r="H297" s="34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476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34"/>
      <c r="AH297" s="34"/>
    </row>
    <row x14ac:dyDescent="0.25" r="298" customHeight="1" ht="15.75">
      <c r="A298" s="2"/>
      <c r="B298" s="34"/>
      <c r="C298" s="34"/>
      <c r="D298" s="34"/>
      <c r="E298" s="34"/>
      <c r="F298" s="34"/>
      <c r="G298" s="34"/>
      <c r="H298" s="34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476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34"/>
      <c r="AH298" s="34"/>
    </row>
    <row x14ac:dyDescent="0.25" r="299" customHeight="1" ht="15.75">
      <c r="A299" s="2"/>
      <c r="B299" s="34"/>
      <c r="C299" s="34"/>
      <c r="D299" s="34"/>
      <c r="E299" s="34"/>
      <c r="F299" s="34"/>
      <c r="G299" s="34"/>
      <c r="H299" s="34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476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34"/>
      <c r="AH299" s="34"/>
    </row>
    <row x14ac:dyDescent="0.25" r="300" customHeight="1" ht="15.75">
      <c r="A300" s="2"/>
      <c r="B300" s="34"/>
      <c r="C300" s="34"/>
      <c r="D300" s="34"/>
      <c r="E300" s="34"/>
      <c r="F300" s="34"/>
      <c r="G300" s="34"/>
      <c r="H300" s="34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476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34"/>
      <c r="AH300" s="34"/>
    </row>
    <row x14ac:dyDescent="0.25" r="301" customHeight="1" ht="15.75">
      <c r="A301" s="2"/>
      <c r="B301" s="34"/>
      <c r="C301" s="34"/>
      <c r="D301" s="34"/>
      <c r="E301" s="34"/>
      <c r="F301" s="34"/>
      <c r="G301" s="34"/>
      <c r="H301" s="34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476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34"/>
      <c r="AH301" s="34"/>
    </row>
    <row x14ac:dyDescent="0.25" r="302" customHeight="1" ht="15.75">
      <c r="A302" s="2"/>
      <c r="B302" s="34"/>
      <c r="C302" s="34"/>
      <c r="D302" s="34"/>
      <c r="E302" s="34"/>
      <c r="F302" s="34"/>
      <c r="G302" s="34"/>
      <c r="H302" s="34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476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34"/>
      <c r="AH302" s="34"/>
    </row>
    <row x14ac:dyDescent="0.25" r="303" customHeight="1" ht="15.75">
      <c r="A303" s="2"/>
      <c r="B303" s="34"/>
      <c r="C303" s="34"/>
      <c r="D303" s="34"/>
      <c r="E303" s="34"/>
      <c r="F303" s="34"/>
      <c r="G303" s="34"/>
      <c r="H303" s="34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476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34"/>
      <c r="AH303" s="34"/>
    </row>
    <row x14ac:dyDescent="0.25" r="304" customHeight="1" ht="15.75">
      <c r="A304" s="2"/>
      <c r="B304" s="34"/>
      <c r="C304" s="34"/>
      <c r="D304" s="34"/>
      <c r="E304" s="34"/>
      <c r="F304" s="34"/>
      <c r="G304" s="34"/>
      <c r="H304" s="34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476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34"/>
      <c r="AH304" s="34"/>
    </row>
    <row x14ac:dyDescent="0.25" r="305" customHeight="1" ht="15.75">
      <c r="A305" s="2"/>
      <c r="B305" s="34"/>
      <c r="C305" s="34"/>
      <c r="D305" s="34"/>
      <c r="E305" s="34"/>
      <c r="F305" s="34"/>
      <c r="G305" s="34"/>
      <c r="H305" s="34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476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34"/>
      <c r="AH305" s="34"/>
    </row>
    <row x14ac:dyDescent="0.25" r="306" customHeight="1" ht="15.75">
      <c r="A306" s="2"/>
      <c r="B306" s="34"/>
      <c r="C306" s="34"/>
      <c r="D306" s="34"/>
      <c r="E306" s="34"/>
      <c r="F306" s="34"/>
      <c r="G306" s="34"/>
      <c r="H306" s="34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476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34"/>
      <c r="AH306" s="34"/>
    </row>
    <row x14ac:dyDescent="0.25" r="307" customHeight="1" ht="15.75">
      <c r="A307" s="2"/>
      <c r="B307" s="34"/>
      <c r="C307" s="34"/>
      <c r="D307" s="34"/>
      <c r="E307" s="34"/>
      <c r="F307" s="34"/>
      <c r="G307" s="34"/>
      <c r="H307" s="34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476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34"/>
      <c r="AH307" s="34"/>
    </row>
    <row x14ac:dyDescent="0.25" r="308" customHeight="1" ht="15.75">
      <c r="A308" s="2"/>
      <c r="B308" s="34"/>
      <c r="C308" s="34"/>
      <c r="D308" s="34"/>
      <c r="E308" s="34"/>
      <c r="F308" s="34"/>
      <c r="G308" s="34"/>
      <c r="H308" s="34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476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34"/>
      <c r="AH308" s="34"/>
    </row>
    <row x14ac:dyDescent="0.25" r="309" customHeight="1" ht="15.75">
      <c r="A309" s="2"/>
      <c r="B309" s="34"/>
      <c r="C309" s="34"/>
      <c r="D309" s="34"/>
      <c r="E309" s="34"/>
      <c r="F309" s="34"/>
      <c r="G309" s="34"/>
      <c r="H309" s="34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476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34"/>
      <c r="AH309" s="34"/>
    </row>
    <row x14ac:dyDescent="0.25" r="310" customHeight="1" ht="15.75">
      <c r="A310" s="2"/>
      <c r="B310" s="34"/>
      <c r="C310" s="34"/>
      <c r="D310" s="34"/>
      <c r="E310" s="34"/>
      <c r="F310" s="34"/>
      <c r="G310" s="34"/>
      <c r="H310" s="34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476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34"/>
      <c r="AH310" s="34"/>
    </row>
    <row x14ac:dyDescent="0.25" r="311" customHeight="1" ht="15.75">
      <c r="A311" s="2"/>
      <c r="B311" s="34"/>
      <c r="C311" s="34"/>
      <c r="D311" s="34"/>
      <c r="E311" s="34"/>
      <c r="F311" s="34"/>
      <c r="G311" s="34"/>
      <c r="H311" s="34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476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34"/>
      <c r="AH311" s="34"/>
    </row>
    <row x14ac:dyDescent="0.25" r="312" customHeight="1" ht="15.75">
      <c r="A312" s="2"/>
      <c r="B312" s="34"/>
      <c r="C312" s="34"/>
      <c r="D312" s="34"/>
      <c r="E312" s="34"/>
      <c r="F312" s="34"/>
      <c r="G312" s="34"/>
      <c r="H312" s="34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476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34"/>
      <c r="AH312" s="34"/>
    </row>
    <row x14ac:dyDescent="0.25" r="313" customHeight="1" ht="15.75">
      <c r="A313" s="2"/>
      <c r="B313" s="34"/>
      <c r="C313" s="34"/>
      <c r="D313" s="34"/>
      <c r="E313" s="34"/>
      <c r="F313" s="34"/>
      <c r="G313" s="34"/>
      <c r="H313" s="34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476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34"/>
      <c r="AH313" s="34"/>
    </row>
    <row x14ac:dyDescent="0.25" r="314" customHeight="1" ht="15.75">
      <c r="A314" s="2"/>
      <c r="B314" s="34"/>
      <c r="C314" s="34"/>
      <c r="D314" s="34"/>
      <c r="E314" s="34"/>
      <c r="F314" s="34"/>
      <c r="G314" s="34"/>
      <c r="H314" s="34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476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34"/>
      <c r="AH314" s="34"/>
    </row>
    <row x14ac:dyDescent="0.25" r="315" customHeight="1" ht="15.75">
      <c r="A315" s="2"/>
      <c r="B315" s="34"/>
      <c r="C315" s="34"/>
      <c r="D315" s="34"/>
      <c r="E315" s="34"/>
      <c r="F315" s="34"/>
      <c r="G315" s="34"/>
      <c r="H315" s="34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476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34"/>
      <c r="AH315" s="34"/>
    </row>
    <row x14ac:dyDescent="0.25" r="316" customHeight="1" ht="15.75">
      <c r="A316" s="2"/>
      <c r="B316" s="34"/>
      <c r="C316" s="34"/>
      <c r="D316" s="34"/>
      <c r="E316" s="34"/>
      <c r="F316" s="34"/>
      <c r="G316" s="34"/>
      <c r="H316" s="34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476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34"/>
      <c r="AH316" s="34"/>
    </row>
    <row x14ac:dyDescent="0.25" r="317" customHeight="1" ht="15.75">
      <c r="A317" s="2"/>
      <c r="B317" s="34"/>
      <c r="C317" s="34"/>
      <c r="D317" s="34"/>
      <c r="E317" s="34"/>
      <c r="F317" s="34"/>
      <c r="G317" s="34"/>
      <c r="H317" s="34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476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34"/>
      <c r="AH317" s="34"/>
    </row>
    <row x14ac:dyDescent="0.25" r="318" customHeight="1" ht="15.75">
      <c r="A318" s="2"/>
      <c r="B318" s="34"/>
      <c r="C318" s="34"/>
      <c r="D318" s="34"/>
      <c r="E318" s="34"/>
      <c r="F318" s="34"/>
      <c r="G318" s="34"/>
      <c r="H318" s="34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476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34"/>
      <c r="AH318" s="34"/>
    </row>
    <row x14ac:dyDescent="0.25" r="319" customHeight="1" ht="15.75">
      <c r="A319" s="2"/>
      <c r="B319" s="34"/>
      <c r="C319" s="34"/>
      <c r="D319" s="34"/>
      <c r="E319" s="34"/>
      <c r="F319" s="34"/>
      <c r="G319" s="34"/>
      <c r="H319" s="34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476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34"/>
      <c r="AH319" s="34"/>
    </row>
    <row x14ac:dyDescent="0.25" r="320" customHeight="1" ht="15.75">
      <c r="A320" s="2"/>
      <c r="B320" s="34"/>
      <c r="C320" s="34"/>
      <c r="D320" s="34"/>
      <c r="E320" s="34"/>
      <c r="F320" s="34"/>
      <c r="G320" s="34"/>
      <c r="H320" s="34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476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34"/>
      <c r="AH320" s="34"/>
    </row>
    <row x14ac:dyDescent="0.25" r="321" customHeight="1" ht="15.75">
      <c r="A321" s="2"/>
      <c r="B321" s="34"/>
      <c r="C321" s="34"/>
      <c r="D321" s="34"/>
      <c r="E321" s="34"/>
      <c r="F321" s="34"/>
      <c r="G321" s="34"/>
      <c r="H321" s="34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476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34"/>
      <c r="AH321" s="34"/>
    </row>
    <row x14ac:dyDescent="0.25" r="322" customHeight="1" ht="15.75">
      <c r="A322" s="2"/>
      <c r="B322" s="34"/>
      <c r="C322" s="34"/>
      <c r="D322" s="34"/>
      <c r="E322" s="34"/>
      <c r="F322" s="34"/>
      <c r="G322" s="34"/>
      <c r="H322" s="34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476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34"/>
      <c r="AH322" s="34"/>
    </row>
    <row x14ac:dyDescent="0.25" r="323" customHeight="1" ht="15.75">
      <c r="A323" s="2"/>
      <c r="B323" s="34"/>
      <c r="C323" s="34"/>
      <c r="D323" s="34"/>
      <c r="E323" s="34"/>
      <c r="F323" s="34"/>
      <c r="G323" s="34"/>
      <c r="H323" s="34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476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34"/>
      <c r="AH323" s="34"/>
    </row>
    <row x14ac:dyDescent="0.25" r="324" customHeight="1" ht="15.75">
      <c r="A324" s="2"/>
      <c r="B324" s="34"/>
      <c r="C324" s="34"/>
      <c r="D324" s="34"/>
      <c r="E324" s="34"/>
      <c r="F324" s="34"/>
      <c r="G324" s="34"/>
      <c r="H324" s="34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476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34"/>
      <c r="AH324" s="34"/>
    </row>
    <row x14ac:dyDescent="0.25" r="325" customHeight="1" ht="15.75">
      <c r="A325" s="2"/>
      <c r="B325" s="34"/>
      <c r="C325" s="34"/>
      <c r="D325" s="34"/>
      <c r="E325" s="34"/>
      <c r="F325" s="34"/>
      <c r="G325" s="34"/>
      <c r="H325" s="34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476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34"/>
      <c r="AH325" s="34"/>
    </row>
    <row x14ac:dyDescent="0.25" r="326" customHeight="1" ht="15.75">
      <c r="A326" s="2"/>
      <c r="B326" s="34"/>
      <c r="C326" s="34"/>
      <c r="D326" s="34"/>
      <c r="E326" s="34"/>
      <c r="F326" s="34"/>
      <c r="G326" s="34"/>
      <c r="H326" s="34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476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34"/>
      <c r="AH326" s="34"/>
    </row>
    <row x14ac:dyDescent="0.25" r="327" customHeight="1" ht="15.75">
      <c r="A327" s="2"/>
      <c r="B327" s="34"/>
      <c r="C327" s="34"/>
      <c r="D327" s="34"/>
      <c r="E327" s="34"/>
      <c r="F327" s="34"/>
      <c r="G327" s="34"/>
      <c r="H327" s="34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476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34"/>
      <c r="AH327" s="34"/>
    </row>
    <row x14ac:dyDescent="0.25" r="328" customHeight="1" ht="15.75">
      <c r="A328" s="2"/>
      <c r="B328" s="34"/>
      <c r="C328" s="34"/>
      <c r="D328" s="34"/>
      <c r="E328" s="34"/>
      <c r="F328" s="34"/>
      <c r="G328" s="34"/>
      <c r="H328" s="34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476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34"/>
      <c r="AH328" s="34"/>
    </row>
    <row x14ac:dyDescent="0.25" r="329" customHeight="1" ht="15.75">
      <c r="A329" s="2"/>
      <c r="B329" s="34"/>
      <c r="C329" s="34"/>
      <c r="D329" s="34"/>
      <c r="E329" s="34"/>
      <c r="F329" s="34"/>
      <c r="G329" s="34"/>
      <c r="H329" s="34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476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34"/>
      <c r="AH329" s="34"/>
    </row>
    <row x14ac:dyDescent="0.25" r="330" customHeight="1" ht="15.75">
      <c r="A330" s="2"/>
      <c r="B330" s="34"/>
      <c r="C330" s="34"/>
      <c r="D330" s="34"/>
      <c r="E330" s="34"/>
      <c r="F330" s="34"/>
      <c r="G330" s="34"/>
      <c r="H330" s="34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476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34"/>
      <c r="AH330" s="34"/>
    </row>
    <row x14ac:dyDescent="0.25" r="331" customHeight="1" ht="15.75">
      <c r="A331" s="2"/>
      <c r="B331" s="34"/>
      <c r="C331" s="34"/>
      <c r="D331" s="34"/>
      <c r="E331" s="34"/>
      <c r="F331" s="34"/>
      <c r="G331" s="34"/>
      <c r="H331" s="34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476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34"/>
      <c r="AH331" s="34"/>
    </row>
    <row x14ac:dyDescent="0.25" r="332" customHeight="1" ht="15.75">
      <c r="A332" s="2"/>
      <c r="B332" s="34"/>
      <c r="C332" s="34"/>
      <c r="D332" s="34"/>
      <c r="E332" s="34"/>
      <c r="F332" s="34"/>
      <c r="G332" s="34"/>
      <c r="H332" s="34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476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34"/>
      <c r="AH332" s="34"/>
    </row>
    <row x14ac:dyDescent="0.25" r="333" customHeight="1" ht="15.75">
      <c r="A333" s="2"/>
      <c r="B333" s="34"/>
      <c r="C333" s="34"/>
      <c r="D333" s="34"/>
      <c r="E333" s="34"/>
      <c r="F333" s="34"/>
      <c r="G333" s="34"/>
      <c r="H333" s="34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476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34"/>
      <c r="AH333" s="34"/>
    </row>
    <row x14ac:dyDescent="0.25" r="334" customHeight="1" ht="15.75">
      <c r="A334" s="2"/>
      <c r="B334" s="34"/>
      <c r="C334" s="34"/>
      <c r="D334" s="34"/>
      <c r="E334" s="34"/>
      <c r="F334" s="34"/>
      <c r="G334" s="34"/>
      <c r="H334" s="34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476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34"/>
      <c r="AH334" s="34"/>
    </row>
    <row x14ac:dyDescent="0.25" r="335" customHeight="1" ht="15.75">
      <c r="A335" s="2"/>
      <c r="B335" s="34"/>
      <c r="C335" s="34"/>
      <c r="D335" s="34"/>
      <c r="E335" s="34"/>
      <c r="F335" s="34"/>
      <c r="G335" s="34"/>
      <c r="H335" s="34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476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34"/>
      <c r="AH335" s="34"/>
    </row>
    <row x14ac:dyDescent="0.25" r="336" customHeight="1" ht="15.75">
      <c r="A336" s="2"/>
      <c r="B336" s="34"/>
      <c r="C336" s="34"/>
      <c r="D336" s="34"/>
      <c r="E336" s="34"/>
      <c r="F336" s="34"/>
      <c r="G336" s="34"/>
      <c r="H336" s="34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476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34"/>
      <c r="AH336" s="34"/>
    </row>
    <row x14ac:dyDescent="0.25" r="337" customHeight="1" ht="15.75">
      <c r="A337" s="2"/>
      <c r="B337" s="34"/>
      <c r="C337" s="34"/>
      <c r="D337" s="34"/>
      <c r="E337" s="34"/>
      <c r="F337" s="34"/>
      <c r="G337" s="34"/>
      <c r="H337" s="34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476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34"/>
      <c r="AH337" s="34"/>
    </row>
    <row x14ac:dyDescent="0.25" r="338" customHeight="1" ht="15.75">
      <c r="A338" s="2"/>
      <c r="B338" s="34"/>
      <c r="C338" s="34"/>
      <c r="D338" s="34"/>
      <c r="E338" s="34"/>
      <c r="F338" s="34"/>
      <c r="G338" s="34"/>
      <c r="H338" s="34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476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34"/>
      <c r="AH338" s="34"/>
    </row>
    <row x14ac:dyDescent="0.25" r="339" customHeight="1" ht="15.75">
      <c r="A339" s="2"/>
      <c r="B339" s="34"/>
      <c r="C339" s="34"/>
      <c r="D339" s="34"/>
      <c r="E339" s="34"/>
      <c r="F339" s="34"/>
      <c r="G339" s="34"/>
      <c r="H339" s="34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476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34"/>
      <c r="AH339" s="34"/>
    </row>
    <row x14ac:dyDescent="0.25" r="340" customHeight="1" ht="15.75">
      <c r="A340" s="2"/>
      <c r="B340" s="34"/>
      <c r="C340" s="34"/>
      <c r="D340" s="34"/>
      <c r="E340" s="34"/>
      <c r="F340" s="34"/>
      <c r="G340" s="34"/>
      <c r="H340" s="34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476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34"/>
      <c r="AH340" s="34"/>
    </row>
    <row x14ac:dyDescent="0.25" r="341" customHeight="1" ht="15.75">
      <c r="A341" s="2"/>
      <c r="B341" s="34"/>
      <c r="C341" s="34"/>
      <c r="D341" s="34"/>
      <c r="E341" s="34"/>
      <c r="F341" s="34"/>
      <c r="G341" s="34"/>
      <c r="H341" s="34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476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34"/>
      <c r="AH341" s="34"/>
    </row>
    <row x14ac:dyDescent="0.25" r="342" customHeight="1" ht="15.75">
      <c r="A342" s="2"/>
      <c r="B342" s="34"/>
      <c r="C342" s="34"/>
      <c r="D342" s="34"/>
      <c r="E342" s="34"/>
      <c r="F342" s="34"/>
      <c r="G342" s="34"/>
      <c r="H342" s="34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476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34"/>
      <c r="AH342" s="34"/>
    </row>
    <row x14ac:dyDescent="0.25" r="343" customHeight="1" ht="15.75">
      <c r="A343" s="2"/>
      <c r="B343" s="34"/>
      <c r="C343" s="34"/>
      <c r="D343" s="34"/>
      <c r="E343" s="34"/>
      <c r="F343" s="34"/>
      <c r="G343" s="34"/>
      <c r="H343" s="34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476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34"/>
      <c r="AH343" s="34"/>
    </row>
    <row x14ac:dyDescent="0.25" r="344" customHeight="1" ht="15.75">
      <c r="A344" s="2"/>
      <c r="B344" s="34"/>
      <c r="C344" s="34"/>
      <c r="D344" s="34"/>
      <c r="E344" s="34"/>
      <c r="F344" s="34"/>
      <c r="G344" s="34"/>
      <c r="H344" s="34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476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34"/>
      <c r="AH344" s="34"/>
    </row>
    <row x14ac:dyDescent="0.25" r="345" customHeight="1" ht="15.75">
      <c r="A345" s="2"/>
      <c r="B345" s="34"/>
      <c r="C345" s="34"/>
      <c r="D345" s="34"/>
      <c r="E345" s="34"/>
      <c r="F345" s="34"/>
      <c r="G345" s="34"/>
      <c r="H345" s="34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476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34"/>
      <c r="AH345" s="34"/>
    </row>
    <row x14ac:dyDescent="0.25" r="346" customHeight="1" ht="15.75">
      <c r="A346" s="2"/>
      <c r="B346" s="34"/>
      <c r="C346" s="34"/>
      <c r="D346" s="34"/>
      <c r="E346" s="34"/>
      <c r="F346" s="34"/>
      <c r="G346" s="34"/>
      <c r="H346" s="34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476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34"/>
      <c r="AH346" s="34"/>
    </row>
    <row x14ac:dyDescent="0.25" r="347" customHeight="1" ht="15.75">
      <c r="A347" s="2"/>
      <c r="B347" s="34"/>
      <c r="C347" s="34"/>
      <c r="D347" s="34"/>
      <c r="E347" s="34"/>
      <c r="F347" s="34"/>
      <c r="G347" s="34"/>
      <c r="H347" s="34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476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34"/>
      <c r="AH347" s="34"/>
    </row>
    <row x14ac:dyDescent="0.25" r="348" customHeight="1" ht="15.75">
      <c r="A348" s="2"/>
      <c r="B348" s="34"/>
      <c r="C348" s="34"/>
      <c r="D348" s="34"/>
      <c r="E348" s="34"/>
      <c r="F348" s="34"/>
      <c r="G348" s="34"/>
      <c r="H348" s="34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476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34"/>
      <c r="AH348" s="34"/>
    </row>
    <row x14ac:dyDescent="0.25" r="349" customHeight="1" ht="15.75">
      <c r="A349" s="2"/>
      <c r="B349" s="34"/>
      <c r="C349" s="34"/>
      <c r="D349" s="34"/>
      <c r="E349" s="34"/>
      <c r="F349" s="34"/>
      <c r="G349" s="34"/>
      <c r="H349" s="34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476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34"/>
      <c r="AH349" s="34"/>
    </row>
    <row x14ac:dyDescent="0.25" r="350" customHeight="1" ht="15.75">
      <c r="A350" s="2"/>
      <c r="B350" s="34"/>
      <c r="C350" s="34"/>
      <c r="D350" s="34"/>
      <c r="E350" s="34"/>
      <c r="F350" s="34"/>
      <c r="G350" s="34"/>
      <c r="H350" s="34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476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34"/>
      <c r="AH350" s="34"/>
    </row>
    <row x14ac:dyDescent="0.25" r="351" customHeight="1" ht="15.75">
      <c r="A351" s="2"/>
      <c r="B351" s="34"/>
      <c r="C351" s="34"/>
      <c r="D351" s="34"/>
      <c r="E351" s="34"/>
      <c r="F351" s="34"/>
      <c r="G351" s="34"/>
      <c r="H351" s="34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476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34"/>
      <c r="AH351" s="34"/>
    </row>
    <row x14ac:dyDescent="0.25" r="352" customHeight="1" ht="15.75">
      <c r="A352" s="2"/>
      <c r="B352" s="34"/>
      <c r="C352" s="34"/>
      <c r="D352" s="34"/>
      <c r="E352" s="34"/>
      <c r="F352" s="34"/>
      <c r="G352" s="34"/>
      <c r="H352" s="34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476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34"/>
      <c r="AH352" s="34"/>
    </row>
    <row x14ac:dyDescent="0.25" r="353" customHeight="1" ht="15.75">
      <c r="A353" s="2"/>
      <c r="B353" s="34"/>
      <c r="C353" s="34"/>
      <c r="D353" s="34"/>
      <c r="E353" s="34"/>
      <c r="F353" s="34"/>
      <c r="G353" s="34"/>
      <c r="H353" s="34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476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34"/>
      <c r="AH353" s="34"/>
    </row>
    <row x14ac:dyDescent="0.25" r="354" customHeight="1" ht="15.75">
      <c r="A354" s="2"/>
      <c r="B354" s="34"/>
      <c r="C354" s="34"/>
      <c r="D354" s="34"/>
      <c r="E354" s="34"/>
      <c r="F354" s="34"/>
      <c r="G354" s="34"/>
      <c r="H354" s="34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476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34"/>
      <c r="AH354" s="34"/>
    </row>
    <row x14ac:dyDescent="0.25" r="355" customHeight="1" ht="15.75">
      <c r="A355" s="2"/>
      <c r="B355" s="34"/>
      <c r="C355" s="34"/>
      <c r="D355" s="34"/>
      <c r="E355" s="34"/>
      <c r="F355" s="34"/>
      <c r="G355" s="34"/>
      <c r="H355" s="34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476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34"/>
      <c r="AH355" s="34"/>
    </row>
    <row x14ac:dyDescent="0.25" r="356" customHeight="1" ht="15.75">
      <c r="A356" s="2"/>
      <c r="B356" s="34"/>
      <c r="C356" s="34"/>
      <c r="D356" s="34"/>
      <c r="E356" s="34"/>
      <c r="F356" s="34"/>
      <c r="G356" s="34"/>
      <c r="H356" s="34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476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34"/>
      <c r="AH356" s="34"/>
    </row>
    <row x14ac:dyDescent="0.25" r="357" customHeight="1" ht="15.75">
      <c r="A357" s="2"/>
      <c r="B357" s="34"/>
      <c r="C357" s="34"/>
      <c r="D357" s="34"/>
      <c r="E357" s="34"/>
      <c r="F357" s="34"/>
      <c r="G357" s="34"/>
      <c r="H357" s="34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476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34"/>
      <c r="AH357" s="34"/>
    </row>
    <row x14ac:dyDescent="0.25" r="358" customHeight="1" ht="15.75">
      <c r="A358" s="2"/>
      <c r="B358" s="34"/>
      <c r="C358" s="34"/>
      <c r="D358" s="34"/>
      <c r="E358" s="34"/>
      <c r="F358" s="34"/>
      <c r="G358" s="34"/>
      <c r="H358" s="34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476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34"/>
      <c r="AH358" s="34"/>
    </row>
    <row x14ac:dyDescent="0.25" r="359" customHeight="1" ht="15.75">
      <c r="A359" s="2"/>
      <c r="B359" s="34"/>
      <c r="C359" s="34"/>
      <c r="D359" s="34"/>
      <c r="E359" s="34"/>
      <c r="F359" s="34"/>
      <c r="G359" s="34"/>
      <c r="H359" s="34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476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34"/>
      <c r="AH359" s="34"/>
    </row>
    <row x14ac:dyDescent="0.25" r="360" customHeight="1" ht="15.75">
      <c r="A360" s="2"/>
      <c r="B360" s="34"/>
      <c r="C360" s="34"/>
      <c r="D360" s="34"/>
      <c r="E360" s="34"/>
      <c r="F360" s="34"/>
      <c r="G360" s="34"/>
      <c r="H360" s="34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476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34"/>
      <c r="AH360" s="34"/>
    </row>
    <row x14ac:dyDescent="0.25" r="361" customHeight="1" ht="15.75">
      <c r="A361" s="2"/>
      <c r="B361" s="34"/>
      <c r="C361" s="34"/>
      <c r="D361" s="34"/>
      <c r="E361" s="34"/>
      <c r="F361" s="34"/>
      <c r="G361" s="34"/>
      <c r="H361" s="34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476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34"/>
      <c r="AH361" s="34"/>
    </row>
    <row x14ac:dyDescent="0.25" r="362" customHeight="1" ht="15.75">
      <c r="A362" s="2"/>
      <c r="B362" s="34"/>
      <c r="C362" s="34"/>
      <c r="D362" s="34"/>
      <c r="E362" s="34"/>
      <c r="F362" s="34"/>
      <c r="G362" s="34"/>
      <c r="H362" s="34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476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34"/>
      <c r="AH362" s="34"/>
    </row>
    <row x14ac:dyDescent="0.25" r="363" customHeight="1" ht="15.75">
      <c r="A363" s="2"/>
      <c r="B363" s="34"/>
      <c r="C363" s="34"/>
      <c r="D363" s="34"/>
      <c r="E363" s="34"/>
      <c r="F363" s="34"/>
      <c r="G363" s="34"/>
      <c r="H363" s="34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476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34"/>
      <c r="AH363" s="34"/>
    </row>
    <row x14ac:dyDescent="0.25" r="364" customHeight="1" ht="15.75">
      <c r="A364" s="2"/>
      <c r="B364" s="34"/>
      <c r="C364" s="34"/>
      <c r="D364" s="34"/>
      <c r="E364" s="34"/>
      <c r="F364" s="34"/>
      <c r="G364" s="34"/>
      <c r="H364" s="34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476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34"/>
      <c r="AH364" s="34"/>
    </row>
    <row x14ac:dyDescent="0.25" r="365" customHeight="1" ht="15.75">
      <c r="A365" s="2"/>
      <c r="B365" s="34"/>
      <c r="C365" s="34"/>
      <c r="D365" s="34"/>
      <c r="E365" s="34"/>
      <c r="F365" s="34"/>
      <c r="G365" s="34"/>
      <c r="H365" s="34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476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34"/>
      <c r="AH365" s="34"/>
    </row>
    <row x14ac:dyDescent="0.25" r="366" customHeight="1" ht="15.75">
      <c r="A366" s="2"/>
      <c r="B366" s="34"/>
      <c r="C366" s="34"/>
      <c r="D366" s="34"/>
      <c r="E366" s="34"/>
      <c r="F366" s="34"/>
      <c r="G366" s="34"/>
      <c r="H366" s="34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476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34"/>
      <c r="AH366" s="34"/>
    </row>
    <row x14ac:dyDescent="0.25" r="367" customHeight="1" ht="15.75">
      <c r="A367" s="2"/>
      <c r="B367" s="34"/>
      <c r="C367" s="34"/>
      <c r="D367" s="34"/>
      <c r="E367" s="34"/>
      <c r="F367" s="34"/>
      <c r="G367" s="34"/>
      <c r="H367" s="34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476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34"/>
      <c r="AH367" s="34"/>
    </row>
    <row x14ac:dyDescent="0.25" r="368" customHeight="1" ht="15.75">
      <c r="A368" s="2"/>
      <c r="B368" s="34"/>
      <c r="C368" s="34"/>
      <c r="D368" s="34"/>
      <c r="E368" s="34"/>
      <c r="F368" s="34"/>
      <c r="G368" s="34"/>
      <c r="H368" s="34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476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34"/>
      <c r="AH368" s="34"/>
    </row>
    <row x14ac:dyDescent="0.25" r="369" customHeight="1" ht="15.75">
      <c r="A369" s="2"/>
      <c r="B369" s="34"/>
      <c r="C369" s="34"/>
      <c r="D369" s="34"/>
      <c r="E369" s="34"/>
      <c r="F369" s="34"/>
      <c r="G369" s="34"/>
      <c r="H369" s="34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476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34"/>
      <c r="AH369" s="34"/>
    </row>
    <row x14ac:dyDescent="0.25" r="370" customHeight="1" ht="15.75">
      <c r="A370" s="2"/>
      <c r="B370" s="34"/>
      <c r="C370" s="34"/>
      <c r="D370" s="34"/>
      <c r="E370" s="34"/>
      <c r="F370" s="34"/>
      <c r="G370" s="34"/>
      <c r="H370" s="34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476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34"/>
      <c r="AH370" s="34"/>
    </row>
    <row x14ac:dyDescent="0.25" r="371" customHeight="1" ht="15.75">
      <c r="A371" s="2"/>
      <c r="B371" s="34"/>
      <c r="C371" s="34"/>
      <c r="D371" s="34"/>
      <c r="E371" s="34"/>
      <c r="F371" s="34"/>
      <c r="G371" s="34"/>
      <c r="H371" s="34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476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34"/>
      <c r="AH371" s="34"/>
    </row>
    <row x14ac:dyDescent="0.25" r="372" customHeight="1" ht="15.75">
      <c r="A372" s="2"/>
      <c r="B372" s="34"/>
      <c r="C372" s="34"/>
      <c r="D372" s="34"/>
      <c r="E372" s="34"/>
      <c r="F372" s="34"/>
      <c r="G372" s="34"/>
      <c r="H372" s="34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476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34"/>
      <c r="AH372" s="34"/>
    </row>
    <row x14ac:dyDescent="0.25" r="373" customHeight="1" ht="15.75">
      <c r="A373" s="2"/>
      <c r="B373" s="34"/>
      <c r="C373" s="34"/>
      <c r="D373" s="34"/>
      <c r="E373" s="34"/>
      <c r="F373" s="34"/>
      <c r="G373" s="34"/>
      <c r="H373" s="34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476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34"/>
      <c r="AH373" s="34"/>
    </row>
    <row x14ac:dyDescent="0.25" r="374" customHeight="1" ht="15.75">
      <c r="A374" s="2"/>
      <c r="B374" s="34"/>
      <c r="C374" s="34"/>
      <c r="D374" s="34"/>
      <c r="E374" s="34"/>
      <c r="F374" s="34"/>
      <c r="G374" s="34"/>
      <c r="H374" s="34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476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34"/>
      <c r="AH374" s="34"/>
    </row>
    <row x14ac:dyDescent="0.25" r="375" customHeight="1" ht="15.75">
      <c r="A375" s="2"/>
      <c r="B375" s="34"/>
      <c r="C375" s="34"/>
      <c r="D375" s="34"/>
      <c r="E375" s="34"/>
      <c r="F375" s="34"/>
      <c r="G375" s="34"/>
      <c r="H375" s="34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476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34"/>
      <c r="AH375" s="34"/>
    </row>
    <row x14ac:dyDescent="0.25" r="376" customHeight="1" ht="15.75">
      <c r="A376" s="2"/>
      <c r="B376" s="34"/>
      <c r="C376" s="34"/>
      <c r="D376" s="34"/>
      <c r="E376" s="34"/>
      <c r="F376" s="34"/>
      <c r="G376" s="34"/>
      <c r="H376" s="34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476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34"/>
      <c r="AH376" s="34"/>
    </row>
    <row x14ac:dyDescent="0.25" r="377" customHeight="1" ht="15.75">
      <c r="A377" s="2"/>
      <c r="B377" s="34"/>
      <c r="C377" s="34"/>
      <c r="D377" s="34"/>
      <c r="E377" s="34"/>
      <c r="F377" s="34"/>
      <c r="G377" s="34"/>
      <c r="H377" s="34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476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34"/>
      <c r="AH377" s="34"/>
    </row>
    <row x14ac:dyDescent="0.25" r="378" customHeight="1" ht="15.75">
      <c r="A378" s="2"/>
      <c r="B378" s="34"/>
      <c r="C378" s="34"/>
      <c r="D378" s="34"/>
      <c r="E378" s="34"/>
      <c r="F378" s="34"/>
      <c r="G378" s="34"/>
      <c r="H378" s="34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476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34"/>
      <c r="AH378" s="34"/>
    </row>
    <row x14ac:dyDescent="0.25" r="379" customHeight="1" ht="15.75">
      <c r="A379" s="2"/>
      <c r="B379" s="34"/>
      <c r="C379" s="34"/>
      <c r="D379" s="34"/>
      <c r="E379" s="34"/>
      <c r="F379" s="34"/>
      <c r="G379" s="34"/>
      <c r="H379" s="34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476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34"/>
      <c r="AH379" s="34"/>
    </row>
    <row x14ac:dyDescent="0.25" r="380" customHeight="1" ht="15.75">
      <c r="A380" s="2"/>
      <c r="B380" s="34"/>
      <c r="C380" s="34"/>
      <c r="D380" s="34"/>
      <c r="E380" s="34"/>
      <c r="F380" s="34"/>
      <c r="G380" s="34"/>
      <c r="H380" s="34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476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34"/>
      <c r="AH380" s="34"/>
    </row>
    <row x14ac:dyDescent="0.25" r="381" customHeight="1" ht="15.75">
      <c r="A381" s="2"/>
      <c r="B381" s="34"/>
      <c r="C381" s="34"/>
      <c r="D381" s="34"/>
      <c r="E381" s="34"/>
      <c r="F381" s="34"/>
      <c r="G381" s="34"/>
      <c r="H381" s="34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476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34"/>
      <c r="AH381" s="34"/>
    </row>
    <row x14ac:dyDescent="0.25" r="382" customHeight="1" ht="15.75">
      <c r="A382" s="2"/>
      <c r="B382" s="34"/>
      <c r="C382" s="34"/>
      <c r="D382" s="34"/>
      <c r="E382" s="34"/>
      <c r="F382" s="34"/>
      <c r="G382" s="34"/>
      <c r="H382" s="34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476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34"/>
      <c r="AH382" s="34"/>
    </row>
    <row x14ac:dyDescent="0.25" r="383" customHeight="1" ht="15.75">
      <c r="A383" s="2"/>
      <c r="B383" s="34"/>
      <c r="C383" s="34"/>
      <c r="D383" s="34"/>
      <c r="E383" s="34"/>
      <c r="F383" s="34"/>
      <c r="G383" s="34"/>
      <c r="H383" s="34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476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34"/>
      <c r="AH383" s="34"/>
    </row>
    <row x14ac:dyDescent="0.25" r="384" customHeight="1" ht="15.75">
      <c r="A384" s="2"/>
      <c r="B384" s="34"/>
      <c r="C384" s="34"/>
      <c r="D384" s="34"/>
      <c r="E384" s="34"/>
      <c r="F384" s="34"/>
      <c r="G384" s="34"/>
      <c r="H384" s="34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476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34"/>
      <c r="AH384" s="34"/>
    </row>
    <row x14ac:dyDescent="0.25" r="385" customHeight="1" ht="15.75">
      <c r="A385" s="2"/>
      <c r="B385" s="34"/>
      <c r="C385" s="34"/>
      <c r="D385" s="34"/>
      <c r="E385" s="34"/>
      <c r="F385" s="34"/>
      <c r="G385" s="34"/>
      <c r="H385" s="34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476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34"/>
      <c r="AH385" s="34"/>
    </row>
    <row x14ac:dyDescent="0.25" r="386" customHeight="1" ht="15.75">
      <c r="A386" s="2"/>
      <c r="B386" s="34"/>
      <c r="C386" s="34"/>
      <c r="D386" s="34"/>
      <c r="E386" s="34"/>
      <c r="F386" s="34"/>
      <c r="G386" s="34"/>
      <c r="H386" s="34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476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34"/>
      <c r="AH386" s="34"/>
    </row>
    <row x14ac:dyDescent="0.25" r="387" customHeight="1" ht="15.75">
      <c r="A387" s="2"/>
      <c r="B387" s="34"/>
      <c r="C387" s="34"/>
      <c r="D387" s="34"/>
      <c r="E387" s="34"/>
      <c r="F387" s="34"/>
      <c r="G387" s="34"/>
      <c r="H387" s="34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476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34"/>
      <c r="AH387" s="34"/>
    </row>
    <row x14ac:dyDescent="0.25" r="388" customHeight="1" ht="15.75">
      <c r="A388" s="2"/>
      <c r="B388" s="34"/>
      <c r="C388" s="34"/>
      <c r="D388" s="34"/>
      <c r="E388" s="34"/>
      <c r="F388" s="34"/>
      <c r="G388" s="34"/>
      <c r="H388" s="34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476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34"/>
      <c r="AH388" s="34"/>
    </row>
    <row x14ac:dyDescent="0.25" r="389" customHeight="1" ht="15.75">
      <c r="A389" s="2"/>
      <c r="B389" s="34"/>
      <c r="C389" s="34"/>
      <c r="D389" s="34"/>
      <c r="E389" s="34"/>
      <c r="F389" s="34"/>
      <c r="G389" s="34"/>
      <c r="H389" s="34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476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34"/>
      <c r="AH389" s="34"/>
    </row>
    <row x14ac:dyDescent="0.25" r="390" customHeight="1" ht="15.75">
      <c r="A390" s="2"/>
      <c r="B390" s="34"/>
      <c r="C390" s="34"/>
      <c r="D390" s="34"/>
      <c r="E390" s="34"/>
      <c r="F390" s="34"/>
      <c r="G390" s="34"/>
      <c r="H390" s="34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476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34"/>
      <c r="AH390" s="34"/>
    </row>
    <row x14ac:dyDescent="0.25" r="391" customHeight="1" ht="15.75">
      <c r="A391" s="2"/>
      <c r="B391" s="34"/>
      <c r="C391" s="34"/>
      <c r="D391" s="34"/>
      <c r="E391" s="34"/>
      <c r="F391" s="34"/>
      <c r="G391" s="34"/>
      <c r="H391" s="34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476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34"/>
      <c r="AH391" s="34"/>
    </row>
    <row x14ac:dyDescent="0.25" r="392" customHeight="1" ht="15.75">
      <c r="A392" s="2"/>
      <c r="B392" s="34"/>
      <c r="C392" s="34"/>
      <c r="D392" s="34"/>
      <c r="E392" s="34"/>
      <c r="F392" s="34"/>
      <c r="G392" s="34"/>
      <c r="H392" s="34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476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34"/>
      <c r="AH392" s="34"/>
    </row>
    <row x14ac:dyDescent="0.25" r="393" customHeight="1" ht="15.75">
      <c r="A393" s="2"/>
      <c r="B393" s="34"/>
      <c r="C393" s="34"/>
      <c r="D393" s="34"/>
      <c r="E393" s="34"/>
      <c r="F393" s="34"/>
      <c r="G393" s="34"/>
      <c r="H393" s="34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476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34"/>
      <c r="AH393" s="34"/>
    </row>
    <row x14ac:dyDescent="0.25" r="394" customHeight="1" ht="15.75">
      <c r="A394" s="2"/>
      <c r="B394" s="34"/>
      <c r="C394" s="34"/>
      <c r="D394" s="34"/>
      <c r="E394" s="34"/>
      <c r="F394" s="34"/>
      <c r="G394" s="34"/>
      <c r="H394" s="34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476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34"/>
      <c r="AH394" s="34"/>
    </row>
    <row x14ac:dyDescent="0.25" r="395" customHeight="1" ht="15.75">
      <c r="A395" s="2"/>
      <c r="B395" s="34"/>
      <c r="C395" s="34"/>
      <c r="D395" s="34"/>
      <c r="E395" s="34"/>
      <c r="F395" s="34"/>
      <c r="G395" s="34"/>
      <c r="H395" s="34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476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34"/>
      <c r="AH395" s="34"/>
    </row>
    <row x14ac:dyDescent="0.25" r="396" customHeight="1" ht="15.75">
      <c r="A396" s="2"/>
      <c r="B396" s="34"/>
      <c r="C396" s="34"/>
      <c r="D396" s="34"/>
      <c r="E396" s="34"/>
      <c r="F396" s="34"/>
      <c r="G396" s="34"/>
      <c r="H396" s="34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476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34"/>
      <c r="AH396" s="34"/>
    </row>
    <row x14ac:dyDescent="0.25" r="397" customHeight="1" ht="15.75">
      <c r="A397" s="2"/>
      <c r="B397" s="34"/>
      <c r="C397" s="34"/>
      <c r="D397" s="34"/>
      <c r="E397" s="34"/>
      <c r="F397" s="34"/>
      <c r="G397" s="34"/>
      <c r="H397" s="34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476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34"/>
      <c r="AH397" s="34"/>
    </row>
    <row x14ac:dyDescent="0.25" r="398" customHeight="1" ht="15.75">
      <c r="A398" s="2"/>
      <c r="B398" s="34"/>
      <c r="C398" s="34"/>
      <c r="D398" s="34"/>
      <c r="E398" s="34"/>
      <c r="F398" s="34"/>
      <c r="G398" s="34"/>
      <c r="H398" s="34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476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34"/>
      <c r="AH398" s="34"/>
    </row>
    <row x14ac:dyDescent="0.25" r="399" customHeight="1" ht="15.75">
      <c r="A399" s="2"/>
      <c r="B399" s="34"/>
      <c r="C399" s="34"/>
      <c r="D399" s="34"/>
      <c r="E399" s="34"/>
      <c r="F399" s="34"/>
      <c r="G399" s="34"/>
      <c r="H399" s="34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476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34"/>
      <c r="AH399" s="34"/>
    </row>
    <row x14ac:dyDescent="0.25" r="400" customHeight="1" ht="15.75">
      <c r="A400" s="2"/>
      <c r="B400" s="34"/>
      <c r="C400" s="34"/>
      <c r="D400" s="34"/>
      <c r="E400" s="34"/>
      <c r="F400" s="34"/>
      <c r="G400" s="34"/>
      <c r="H400" s="34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476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34"/>
      <c r="AH400" s="34"/>
    </row>
    <row x14ac:dyDescent="0.25" r="401" customHeight="1" ht="15.75">
      <c r="A401" s="2"/>
      <c r="B401" s="34"/>
      <c r="C401" s="34"/>
      <c r="D401" s="34"/>
      <c r="E401" s="34"/>
      <c r="F401" s="34"/>
      <c r="G401" s="34"/>
      <c r="H401" s="34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476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34"/>
      <c r="AH401" s="34"/>
    </row>
    <row x14ac:dyDescent="0.25" r="402" customHeight="1" ht="15.75">
      <c r="A402" s="2"/>
      <c r="B402" s="34"/>
      <c r="C402" s="34"/>
      <c r="D402" s="34"/>
      <c r="E402" s="34"/>
      <c r="F402" s="34"/>
      <c r="G402" s="34"/>
      <c r="H402" s="34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476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34"/>
      <c r="AH402" s="34"/>
    </row>
    <row x14ac:dyDescent="0.25" r="403" customHeight="1" ht="15.75">
      <c r="A403" s="2"/>
      <c r="B403" s="34"/>
      <c r="C403" s="34"/>
      <c r="D403" s="34"/>
      <c r="E403" s="34"/>
      <c r="F403" s="34"/>
      <c r="G403" s="34"/>
      <c r="H403" s="34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476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34"/>
      <c r="AH403" s="34"/>
    </row>
    <row x14ac:dyDescent="0.25" r="404" customHeight="1" ht="15.75">
      <c r="A404" s="2"/>
      <c r="B404" s="34"/>
      <c r="C404" s="34"/>
      <c r="D404" s="34"/>
      <c r="E404" s="34"/>
      <c r="F404" s="34"/>
      <c r="G404" s="34"/>
      <c r="H404" s="34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476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34"/>
      <c r="AH404" s="34"/>
    </row>
    <row x14ac:dyDescent="0.25" r="405" customHeight="1" ht="15.75">
      <c r="A405" s="2"/>
      <c r="B405" s="34"/>
      <c r="C405" s="34"/>
      <c r="D405" s="34"/>
      <c r="E405" s="34"/>
      <c r="F405" s="34"/>
      <c r="G405" s="34"/>
      <c r="H405" s="34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476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34"/>
      <c r="AH405" s="34"/>
    </row>
    <row x14ac:dyDescent="0.25" r="406" customHeight="1" ht="15.75">
      <c r="A406" s="2"/>
      <c r="B406" s="34"/>
      <c r="C406" s="34"/>
      <c r="D406" s="34"/>
      <c r="E406" s="34"/>
      <c r="F406" s="34"/>
      <c r="G406" s="34"/>
      <c r="H406" s="34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476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34"/>
      <c r="AH406" s="34"/>
    </row>
    <row x14ac:dyDescent="0.25" r="407" customHeight="1" ht="15.75">
      <c r="A407" s="2"/>
      <c r="B407" s="34"/>
      <c r="C407" s="34"/>
      <c r="D407" s="34"/>
      <c r="E407" s="34"/>
      <c r="F407" s="34"/>
      <c r="G407" s="34"/>
      <c r="H407" s="34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476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34"/>
      <c r="AH407" s="34"/>
    </row>
    <row x14ac:dyDescent="0.25" r="408" customHeight="1" ht="15.75">
      <c r="A408" s="2"/>
      <c r="B408" s="34"/>
      <c r="C408" s="34"/>
      <c r="D408" s="34"/>
      <c r="E408" s="34"/>
      <c r="F408" s="34"/>
      <c r="G408" s="34"/>
      <c r="H408" s="34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476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34"/>
      <c r="AH408" s="34"/>
    </row>
    <row x14ac:dyDescent="0.25" r="409" customHeight="1" ht="15.75">
      <c r="A409" s="2"/>
      <c r="B409" s="34"/>
      <c r="C409" s="34"/>
      <c r="D409" s="34"/>
      <c r="E409" s="34"/>
      <c r="F409" s="34"/>
      <c r="G409" s="34"/>
      <c r="H409" s="34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476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34"/>
      <c r="AH409" s="34"/>
    </row>
    <row x14ac:dyDescent="0.25" r="410" customHeight="1" ht="15.75">
      <c r="A410" s="2"/>
      <c r="B410" s="34"/>
      <c r="C410" s="34"/>
      <c r="D410" s="34"/>
      <c r="E410" s="34"/>
      <c r="F410" s="34"/>
      <c r="G410" s="34"/>
      <c r="H410" s="34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476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34"/>
      <c r="AH410" s="34"/>
    </row>
    <row x14ac:dyDescent="0.25" r="411" customHeight="1" ht="15.75">
      <c r="A411" s="2"/>
      <c r="B411" s="34"/>
      <c r="C411" s="34"/>
      <c r="D411" s="34"/>
      <c r="E411" s="34"/>
      <c r="F411" s="34"/>
      <c r="G411" s="34"/>
      <c r="H411" s="34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476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34"/>
      <c r="AH411" s="34"/>
    </row>
    <row x14ac:dyDescent="0.25" r="412" customHeight="1" ht="15.75">
      <c r="A412" s="2"/>
      <c r="B412" s="34"/>
      <c r="C412" s="34"/>
      <c r="D412" s="34"/>
      <c r="E412" s="34"/>
      <c r="F412" s="34"/>
      <c r="G412" s="34"/>
      <c r="H412" s="34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476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34"/>
      <c r="AH412" s="34"/>
    </row>
    <row x14ac:dyDescent="0.25" r="413" customHeight="1" ht="15.75">
      <c r="A413" s="2"/>
      <c r="B413" s="34"/>
      <c r="C413" s="34"/>
      <c r="D413" s="34"/>
      <c r="E413" s="34"/>
      <c r="F413" s="34"/>
      <c r="G413" s="34"/>
      <c r="H413" s="34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476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34"/>
      <c r="AH413" s="34"/>
    </row>
    <row x14ac:dyDescent="0.25" r="414" customHeight="1" ht="15.75">
      <c r="A414" s="2"/>
      <c r="B414" s="34"/>
      <c r="C414" s="34"/>
      <c r="D414" s="34"/>
      <c r="E414" s="34"/>
      <c r="F414" s="34"/>
      <c r="G414" s="34"/>
      <c r="H414" s="34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476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34"/>
      <c r="AH414" s="34"/>
    </row>
    <row x14ac:dyDescent="0.25" r="415" customHeight="1" ht="15.75">
      <c r="A415" s="2"/>
      <c r="B415" s="34"/>
      <c r="C415" s="34"/>
      <c r="D415" s="34"/>
      <c r="E415" s="34"/>
      <c r="F415" s="34"/>
      <c r="G415" s="34"/>
      <c r="H415" s="34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476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34"/>
      <c r="AH415" s="34"/>
    </row>
    <row x14ac:dyDescent="0.25" r="416" customHeight="1" ht="15.75">
      <c r="A416" s="2"/>
      <c r="B416" s="34"/>
      <c r="C416" s="34"/>
      <c r="D416" s="34"/>
      <c r="E416" s="34"/>
      <c r="F416" s="34"/>
      <c r="G416" s="34"/>
      <c r="H416" s="34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476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34"/>
      <c r="AH416" s="34"/>
    </row>
    <row x14ac:dyDescent="0.25" r="417" customHeight="1" ht="15.75">
      <c r="A417" s="2"/>
      <c r="B417" s="34"/>
      <c r="C417" s="34"/>
      <c r="D417" s="34"/>
      <c r="E417" s="34"/>
      <c r="F417" s="34"/>
      <c r="G417" s="34"/>
      <c r="H417" s="34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476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34"/>
      <c r="AH417" s="34"/>
    </row>
    <row x14ac:dyDescent="0.25" r="418" customHeight="1" ht="15.75">
      <c r="A418" s="2"/>
      <c r="B418" s="34"/>
      <c r="C418" s="34"/>
      <c r="D418" s="34"/>
      <c r="E418" s="34"/>
      <c r="F418" s="34"/>
      <c r="G418" s="34"/>
      <c r="H418" s="34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476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34"/>
      <c r="AH418" s="34"/>
    </row>
    <row x14ac:dyDescent="0.25" r="419" customHeight="1" ht="15.75">
      <c r="A419" s="2"/>
      <c r="B419" s="34"/>
      <c r="C419" s="34"/>
      <c r="D419" s="34"/>
      <c r="E419" s="34"/>
      <c r="F419" s="34"/>
      <c r="G419" s="34"/>
      <c r="H419" s="34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476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34"/>
      <c r="AH419" s="34"/>
    </row>
    <row x14ac:dyDescent="0.25" r="420" customHeight="1" ht="15.75">
      <c r="A420" s="2"/>
      <c r="B420" s="34"/>
      <c r="C420" s="34"/>
      <c r="D420" s="34"/>
      <c r="E420" s="34"/>
      <c r="F420" s="34"/>
      <c r="G420" s="34"/>
      <c r="H420" s="34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476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34"/>
      <c r="AH420" s="34"/>
    </row>
    <row x14ac:dyDescent="0.25" r="421" customHeight="1" ht="15.75">
      <c r="A421" s="2"/>
      <c r="B421" s="34"/>
      <c r="C421" s="34"/>
      <c r="D421" s="34"/>
      <c r="E421" s="34"/>
      <c r="F421" s="34"/>
      <c r="G421" s="34"/>
      <c r="H421" s="34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476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34"/>
      <c r="AH421" s="34"/>
    </row>
    <row x14ac:dyDescent="0.25" r="422" customHeight="1" ht="15.75">
      <c r="A422" s="2"/>
      <c r="B422" s="34"/>
      <c r="C422" s="34"/>
      <c r="D422" s="34"/>
      <c r="E422" s="34"/>
      <c r="F422" s="34"/>
      <c r="G422" s="34"/>
      <c r="H422" s="34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476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34"/>
      <c r="AH422" s="34"/>
    </row>
    <row x14ac:dyDescent="0.25" r="423" customHeight="1" ht="15.75">
      <c r="A423" s="2"/>
      <c r="B423" s="34"/>
      <c r="C423" s="34"/>
      <c r="D423" s="34"/>
      <c r="E423" s="34"/>
      <c r="F423" s="34"/>
      <c r="G423" s="34"/>
      <c r="H423" s="34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476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34"/>
      <c r="AH423" s="34"/>
    </row>
    <row x14ac:dyDescent="0.25" r="424" customHeight="1" ht="15.75">
      <c r="A424" s="2"/>
      <c r="B424" s="34"/>
      <c r="C424" s="34"/>
      <c r="D424" s="34"/>
      <c r="E424" s="34"/>
      <c r="F424" s="34"/>
      <c r="G424" s="34"/>
      <c r="H424" s="34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476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34"/>
      <c r="AH424" s="34"/>
    </row>
    <row x14ac:dyDescent="0.25" r="425" customHeight="1" ht="15.75">
      <c r="A425" s="2"/>
      <c r="B425" s="34"/>
      <c r="C425" s="34"/>
      <c r="D425" s="34"/>
      <c r="E425" s="34"/>
      <c r="F425" s="34"/>
      <c r="G425" s="34"/>
      <c r="H425" s="34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476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34"/>
      <c r="AH425" s="34"/>
    </row>
    <row x14ac:dyDescent="0.25" r="426" customHeight="1" ht="15.75">
      <c r="A426" s="2"/>
      <c r="B426" s="34"/>
      <c r="C426" s="34"/>
      <c r="D426" s="34"/>
      <c r="E426" s="34"/>
      <c r="F426" s="34"/>
      <c r="G426" s="34"/>
      <c r="H426" s="34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476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34"/>
      <c r="AH426" s="34"/>
    </row>
    <row x14ac:dyDescent="0.25" r="427" customHeight="1" ht="15.75">
      <c r="A427" s="2"/>
      <c r="B427" s="34"/>
      <c r="C427" s="34"/>
      <c r="D427" s="34"/>
      <c r="E427" s="34"/>
      <c r="F427" s="34"/>
      <c r="G427" s="34"/>
      <c r="H427" s="34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476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34"/>
      <c r="AH427" s="34"/>
    </row>
    <row x14ac:dyDescent="0.25" r="428" customHeight="1" ht="15.75">
      <c r="A428" s="2"/>
      <c r="B428" s="34"/>
      <c r="C428" s="34"/>
      <c r="D428" s="34"/>
      <c r="E428" s="34"/>
      <c r="F428" s="34"/>
      <c r="G428" s="34"/>
      <c r="H428" s="34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476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34"/>
      <c r="AH428" s="34"/>
    </row>
    <row x14ac:dyDescent="0.25" r="429" customHeight="1" ht="15.75">
      <c r="A429" s="2"/>
      <c r="B429" s="34"/>
      <c r="C429" s="34"/>
      <c r="D429" s="34"/>
      <c r="E429" s="34"/>
      <c r="F429" s="34"/>
      <c r="G429" s="34"/>
      <c r="H429" s="34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476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34"/>
      <c r="AH429" s="34"/>
    </row>
    <row x14ac:dyDescent="0.25" r="430" customHeight="1" ht="15.75">
      <c r="A430" s="2"/>
      <c r="B430" s="34"/>
      <c r="C430" s="34"/>
      <c r="D430" s="34"/>
      <c r="E430" s="34"/>
      <c r="F430" s="34"/>
      <c r="G430" s="34"/>
      <c r="H430" s="34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476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34"/>
      <c r="AH430" s="34"/>
    </row>
    <row x14ac:dyDescent="0.25" r="431" customHeight="1" ht="15.75">
      <c r="A431" s="2"/>
      <c r="B431" s="34"/>
      <c r="C431" s="34"/>
      <c r="D431" s="34"/>
      <c r="E431" s="34"/>
      <c r="F431" s="34"/>
      <c r="G431" s="34"/>
      <c r="H431" s="34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476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34"/>
      <c r="AH431" s="34"/>
    </row>
    <row x14ac:dyDescent="0.25" r="432" customHeight="1" ht="15.75">
      <c r="A432" s="2"/>
      <c r="B432" s="34"/>
      <c r="C432" s="34"/>
      <c r="D432" s="34"/>
      <c r="E432" s="34"/>
      <c r="F432" s="34"/>
      <c r="G432" s="34"/>
      <c r="H432" s="34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476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34"/>
      <c r="AH432" s="34"/>
    </row>
    <row x14ac:dyDescent="0.25" r="433" customHeight="1" ht="15.75">
      <c r="A433" s="2"/>
      <c r="B433" s="34"/>
      <c r="C433" s="34"/>
      <c r="D433" s="34"/>
      <c r="E433" s="34"/>
      <c r="F433" s="34"/>
      <c r="G433" s="34"/>
      <c r="H433" s="34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476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34"/>
      <c r="AH433" s="34"/>
    </row>
    <row x14ac:dyDescent="0.25" r="434" customHeight="1" ht="15.75">
      <c r="A434" s="2"/>
      <c r="B434" s="34"/>
      <c r="C434" s="34"/>
      <c r="D434" s="34"/>
      <c r="E434" s="34"/>
      <c r="F434" s="34"/>
      <c r="G434" s="34"/>
      <c r="H434" s="34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476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34"/>
      <c r="AH434" s="34"/>
    </row>
    <row x14ac:dyDescent="0.25" r="435" customHeight="1" ht="15.75">
      <c r="A435" s="2"/>
      <c r="B435" s="34"/>
      <c r="C435" s="34"/>
      <c r="D435" s="34"/>
      <c r="E435" s="34"/>
      <c r="F435" s="34"/>
      <c r="G435" s="34"/>
      <c r="H435" s="34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476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34"/>
      <c r="AH435" s="34"/>
    </row>
    <row x14ac:dyDescent="0.25" r="436" customHeight="1" ht="15.75">
      <c r="A436" s="2"/>
      <c r="B436" s="34"/>
      <c r="C436" s="34"/>
      <c r="D436" s="34"/>
      <c r="E436" s="34"/>
      <c r="F436" s="34"/>
      <c r="G436" s="34"/>
      <c r="H436" s="34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476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34"/>
      <c r="AH436" s="34"/>
    </row>
    <row x14ac:dyDescent="0.25" r="437" customHeight="1" ht="15.75">
      <c r="A437" s="2"/>
      <c r="B437" s="34"/>
      <c r="C437" s="34"/>
      <c r="D437" s="34"/>
      <c r="E437" s="34"/>
      <c r="F437" s="34"/>
      <c r="G437" s="34"/>
      <c r="H437" s="34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476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34"/>
      <c r="AH437" s="34"/>
    </row>
    <row x14ac:dyDescent="0.25" r="438" customHeight="1" ht="15.75">
      <c r="A438" s="2"/>
      <c r="B438" s="34"/>
      <c r="C438" s="34"/>
      <c r="D438" s="34"/>
      <c r="E438" s="34"/>
      <c r="F438" s="34"/>
      <c r="G438" s="34"/>
      <c r="H438" s="34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476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34"/>
      <c r="AH438" s="34"/>
    </row>
    <row x14ac:dyDescent="0.25" r="439" customHeight="1" ht="15.75">
      <c r="A439" s="2"/>
      <c r="B439" s="34"/>
      <c r="C439" s="34"/>
      <c r="D439" s="34"/>
      <c r="E439" s="34"/>
      <c r="F439" s="34"/>
      <c r="G439" s="34"/>
      <c r="H439" s="34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476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34"/>
      <c r="AH439" s="34"/>
    </row>
    <row x14ac:dyDescent="0.25" r="440" customHeight="1" ht="15.75">
      <c r="A440" s="2"/>
      <c r="B440" s="34"/>
      <c r="C440" s="34"/>
      <c r="D440" s="34"/>
      <c r="E440" s="34"/>
      <c r="F440" s="34"/>
      <c r="G440" s="34"/>
      <c r="H440" s="34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476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34"/>
      <c r="AH440" s="34"/>
    </row>
    <row x14ac:dyDescent="0.25" r="441" customHeight="1" ht="15.75">
      <c r="A441" s="2"/>
      <c r="B441" s="34"/>
      <c r="C441" s="34"/>
      <c r="D441" s="34"/>
      <c r="E441" s="34"/>
      <c r="F441" s="34"/>
      <c r="G441" s="34"/>
      <c r="H441" s="34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476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34"/>
      <c r="AH441" s="34"/>
    </row>
    <row x14ac:dyDescent="0.25" r="442" customHeight="1" ht="15.75">
      <c r="A442" s="2"/>
      <c r="B442" s="34"/>
      <c r="C442" s="34"/>
      <c r="D442" s="34"/>
      <c r="E442" s="34"/>
      <c r="F442" s="34"/>
      <c r="G442" s="34"/>
      <c r="H442" s="34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476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34"/>
      <c r="AH442" s="34"/>
    </row>
    <row x14ac:dyDescent="0.25" r="443" customHeight="1" ht="15.75">
      <c r="A443" s="2"/>
      <c r="B443" s="34"/>
      <c r="C443" s="34"/>
      <c r="D443" s="34"/>
      <c r="E443" s="34"/>
      <c r="F443" s="34"/>
      <c r="G443" s="34"/>
      <c r="H443" s="34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476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34"/>
      <c r="AH443" s="34"/>
    </row>
    <row x14ac:dyDescent="0.25" r="444" customHeight="1" ht="15.75">
      <c r="A444" s="2"/>
      <c r="B444" s="34"/>
      <c r="C444" s="34"/>
      <c r="D444" s="34"/>
      <c r="E444" s="34"/>
      <c r="F444" s="34"/>
      <c r="G444" s="34"/>
      <c r="H444" s="34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476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34"/>
      <c r="AH444" s="34"/>
    </row>
    <row x14ac:dyDescent="0.25" r="445" customHeight="1" ht="15.75">
      <c r="A445" s="2"/>
      <c r="B445" s="34"/>
      <c r="C445" s="34"/>
      <c r="D445" s="34"/>
      <c r="E445" s="34"/>
      <c r="F445" s="34"/>
      <c r="G445" s="34"/>
      <c r="H445" s="34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476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34"/>
      <c r="AH445" s="34"/>
    </row>
    <row x14ac:dyDescent="0.25" r="446" customHeight="1" ht="15.75">
      <c r="A446" s="2"/>
      <c r="B446" s="34"/>
      <c r="C446" s="34"/>
      <c r="D446" s="34"/>
      <c r="E446" s="34"/>
      <c r="F446" s="34"/>
      <c r="G446" s="34"/>
      <c r="H446" s="34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476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34"/>
      <c r="AH446" s="34"/>
    </row>
    <row x14ac:dyDescent="0.25" r="447" customHeight="1" ht="15.75">
      <c r="A447" s="2"/>
      <c r="B447" s="34"/>
      <c r="C447" s="34"/>
      <c r="D447" s="34"/>
      <c r="E447" s="34"/>
      <c r="F447" s="34"/>
      <c r="G447" s="34"/>
      <c r="H447" s="34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476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34"/>
      <c r="AH447" s="34"/>
    </row>
    <row x14ac:dyDescent="0.25" r="448" customHeight="1" ht="15.75">
      <c r="A448" s="2"/>
      <c r="B448" s="34"/>
      <c r="C448" s="34"/>
      <c r="D448" s="34"/>
      <c r="E448" s="34"/>
      <c r="F448" s="34"/>
      <c r="G448" s="34"/>
      <c r="H448" s="34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476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34"/>
      <c r="AH448" s="34"/>
    </row>
    <row x14ac:dyDescent="0.25" r="449" customHeight="1" ht="15.75">
      <c r="A449" s="2"/>
      <c r="B449" s="34"/>
      <c r="C449" s="34"/>
      <c r="D449" s="34"/>
      <c r="E449" s="34"/>
      <c r="F449" s="34"/>
      <c r="G449" s="34"/>
      <c r="H449" s="34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476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34"/>
      <c r="AH449" s="34"/>
    </row>
    <row x14ac:dyDescent="0.25" r="450" customHeight="1" ht="15.75">
      <c r="A450" s="2"/>
      <c r="B450" s="34"/>
      <c r="C450" s="34"/>
      <c r="D450" s="34"/>
      <c r="E450" s="34"/>
      <c r="F450" s="34"/>
      <c r="G450" s="34"/>
      <c r="H450" s="34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476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34"/>
      <c r="AH450" s="34"/>
    </row>
    <row x14ac:dyDescent="0.25" r="451" customHeight="1" ht="15.75">
      <c r="A451" s="2"/>
      <c r="B451" s="34"/>
      <c r="C451" s="34"/>
      <c r="D451" s="34"/>
      <c r="E451" s="34"/>
      <c r="F451" s="34"/>
      <c r="G451" s="34"/>
      <c r="H451" s="34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476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34"/>
      <c r="AH451" s="34"/>
    </row>
    <row x14ac:dyDescent="0.25" r="452" customHeight="1" ht="15.75">
      <c r="A452" s="2"/>
      <c r="B452" s="34"/>
      <c r="C452" s="34"/>
      <c r="D452" s="34"/>
      <c r="E452" s="34"/>
      <c r="F452" s="34"/>
      <c r="G452" s="34"/>
      <c r="H452" s="34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476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34"/>
      <c r="AH452" s="34"/>
    </row>
    <row x14ac:dyDescent="0.25" r="453" customHeight="1" ht="15.75">
      <c r="A453" s="2"/>
      <c r="B453" s="34"/>
      <c r="C453" s="34"/>
      <c r="D453" s="34"/>
      <c r="E453" s="34"/>
      <c r="F453" s="34"/>
      <c r="G453" s="34"/>
      <c r="H453" s="34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476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34"/>
      <c r="AH453" s="34"/>
    </row>
    <row x14ac:dyDescent="0.25" r="454" customHeight="1" ht="15.75">
      <c r="A454" s="2"/>
      <c r="B454" s="34"/>
      <c r="C454" s="34"/>
      <c r="D454" s="34"/>
      <c r="E454" s="34"/>
      <c r="F454" s="34"/>
      <c r="G454" s="34"/>
      <c r="H454" s="34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476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34"/>
      <c r="AH454" s="34"/>
    </row>
    <row x14ac:dyDescent="0.25" r="455" customHeight="1" ht="15.75">
      <c r="A455" s="2"/>
      <c r="B455" s="34"/>
      <c r="C455" s="34"/>
      <c r="D455" s="34"/>
      <c r="E455" s="34"/>
      <c r="F455" s="34"/>
      <c r="G455" s="34"/>
      <c r="H455" s="34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476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34"/>
      <c r="AH455" s="34"/>
    </row>
    <row x14ac:dyDescent="0.25" r="456" customHeight="1" ht="15.75">
      <c r="A456" s="2"/>
      <c r="B456" s="34"/>
      <c r="C456" s="34"/>
      <c r="D456" s="34"/>
      <c r="E456" s="34"/>
      <c r="F456" s="34"/>
      <c r="G456" s="34"/>
      <c r="H456" s="34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476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34"/>
      <c r="AH456" s="34"/>
    </row>
    <row x14ac:dyDescent="0.25" r="457" customHeight="1" ht="15.75">
      <c r="A457" s="2"/>
      <c r="B457" s="34"/>
      <c r="C457" s="34"/>
      <c r="D457" s="34"/>
      <c r="E457" s="34"/>
      <c r="F457" s="34"/>
      <c r="G457" s="34"/>
      <c r="H457" s="34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476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34"/>
      <c r="AH457" s="34"/>
    </row>
    <row x14ac:dyDescent="0.25" r="458" customHeight="1" ht="15.75">
      <c r="A458" s="2"/>
      <c r="B458" s="34"/>
      <c r="C458" s="34"/>
      <c r="D458" s="34"/>
      <c r="E458" s="34"/>
      <c r="F458" s="34"/>
      <c r="G458" s="34"/>
      <c r="H458" s="34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476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34"/>
      <c r="AH458" s="34"/>
    </row>
    <row x14ac:dyDescent="0.25" r="459" customHeight="1" ht="15.75">
      <c r="A459" s="2"/>
      <c r="B459" s="34"/>
      <c r="C459" s="34"/>
      <c r="D459" s="34"/>
      <c r="E459" s="34"/>
      <c r="F459" s="34"/>
      <c r="G459" s="34"/>
      <c r="H459" s="34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476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34"/>
      <c r="AH459" s="34"/>
    </row>
    <row x14ac:dyDescent="0.25" r="460" customHeight="1" ht="15.75">
      <c r="A460" s="2"/>
      <c r="B460" s="34"/>
      <c r="C460" s="34"/>
      <c r="D460" s="34"/>
      <c r="E460" s="34"/>
      <c r="F460" s="34"/>
      <c r="G460" s="34"/>
      <c r="H460" s="34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476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34"/>
      <c r="AH460" s="34"/>
    </row>
    <row x14ac:dyDescent="0.25" r="461" customHeight="1" ht="15.75">
      <c r="A461" s="2"/>
      <c r="B461" s="34"/>
      <c r="C461" s="34"/>
      <c r="D461" s="34"/>
      <c r="E461" s="34"/>
      <c r="F461" s="34"/>
      <c r="G461" s="34"/>
      <c r="H461" s="34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476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34"/>
      <c r="AH461" s="34"/>
    </row>
    <row x14ac:dyDescent="0.25" r="462" customHeight="1" ht="15.75">
      <c r="A462" s="2"/>
      <c r="B462" s="34"/>
      <c r="C462" s="34"/>
      <c r="D462" s="34"/>
      <c r="E462" s="34"/>
      <c r="F462" s="34"/>
      <c r="G462" s="34"/>
      <c r="H462" s="34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476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34"/>
      <c r="AH462" s="34"/>
    </row>
    <row x14ac:dyDescent="0.25" r="463" customHeight="1" ht="15.75">
      <c r="A463" s="2"/>
      <c r="B463" s="34"/>
      <c r="C463" s="34"/>
      <c r="D463" s="34"/>
      <c r="E463" s="34"/>
      <c r="F463" s="34"/>
      <c r="G463" s="34"/>
      <c r="H463" s="34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476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34"/>
      <c r="AH463" s="34"/>
    </row>
    <row x14ac:dyDescent="0.25" r="464" customHeight="1" ht="15.75">
      <c r="A464" s="2"/>
      <c r="B464" s="34"/>
      <c r="C464" s="34"/>
      <c r="D464" s="34"/>
      <c r="E464" s="34"/>
      <c r="F464" s="34"/>
      <c r="G464" s="34"/>
      <c r="H464" s="34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476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34"/>
      <c r="AH464" s="34"/>
    </row>
    <row x14ac:dyDescent="0.25" r="465" customHeight="1" ht="15.75">
      <c r="A465" s="2"/>
      <c r="B465" s="34"/>
      <c r="C465" s="34"/>
      <c r="D465" s="34"/>
      <c r="E465" s="34"/>
      <c r="F465" s="34"/>
      <c r="G465" s="34"/>
      <c r="H465" s="34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476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34"/>
      <c r="AH465" s="34"/>
    </row>
    <row x14ac:dyDescent="0.25" r="466" customHeight="1" ht="15.75">
      <c r="A466" s="2"/>
      <c r="B466" s="34"/>
      <c r="C466" s="34"/>
      <c r="D466" s="34"/>
      <c r="E466" s="34"/>
      <c r="F466" s="34"/>
      <c r="G466" s="34"/>
      <c r="H466" s="34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476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34"/>
      <c r="AH466" s="34"/>
    </row>
    <row x14ac:dyDescent="0.25" r="467" customHeight="1" ht="15.75">
      <c r="A467" s="2"/>
      <c r="B467" s="34"/>
      <c r="C467" s="34"/>
      <c r="D467" s="34"/>
      <c r="E467" s="34"/>
      <c r="F467" s="34"/>
      <c r="G467" s="34"/>
      <c r="H467" s="34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476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34"/>
      <c r="AH467" s="34"/>
    </row>
    <row x14ac:dyDescent="0.25" r="468" customHeight="1" ht="15.75">
      <c r="A468" s="2"/>
      <c r="B468" s="34"/>
      <c r="C468" s="34"/>
      <c r="D468" s="34"/>
      <c r="E468" s="34"/>
      <c r="F468" s="34"/>
      <c r="G468" s="34"/>
      <c r="H468" s="34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476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34"/>
      <c r="AH468" s="34"/>
    </row>
    <row x14ac:dyDescent="0.25" r="469" customHeight="1" ht="15.75">
      <c r="A469" s="2"/>
      <c r="B469" s="34"/>
      <c r="C469" s="34"/>
      <c r="D469" s="34"/>
      <c r="E469" s="34"/>
      <c r="F469" s="34"/>
      <c r="G469" s="34"/>
      <c r="H469" s="34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476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34"/>
      <c r="AH469" s="34"/>
    </row>
    <row x14ac:dyDescent="0.25" r="470" customHeight="1" ht="15.75">
      <c r="A470" s="2"/>
      <c r="B470" s="34"/>
      <c r="C470" s="34"/>
      <c r="D470" s="34"/>
      <c r="E470" s="34"/>
      <c r="F470" s="34"/>
      <c r="G470" s="34"/>
      <c r="H470" s="34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476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34"/>
      <c r="AH470" s="34"/>
    </row>
    <row x14ac:dyDescent="0.25" r="471" customHeight="1" ht="15.75">
      <c r="A471" s="2"/>
      <c r="B471" s="34"/>
      <c r="C471" s="34"/>
      <c r="D471" s="34"/>
      <c r="E471" s="34"/>
      <c r="F471" s="34"/>
      <c r="G471" s="34"/>
      <c r="H471" s="34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476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34"/>
      <c r="AH471" s="34"/>
    </row>
    <row x14ac:dyDescent="0.25" r="472" customHeight="1" ht="15.75">
      <c r="A472" s="2"/>
      <c r="B472" s="34"/>
      <c r="C472" s="34"/>
      <c r="D472" s="34"/>
      <c r="E472" s="34"/>
      <c r="F472" s="34"/>
      <c r="G472" s="34"/>
      <c r="H472" s="34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476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34"/>
      <c r="AH472" s="34"/>
    </row>
    <row x14ac:dyDescent="0.25" r="473" customHeight="1" ht="15.75">
      <c r="A473" s="2"/>
      <c r="B473" s="34"/>
      <c r="C473" s="34"/>
      <c r="D473" s="34"/>
      <c r="E473" s="34"/>
      <c r="F473" s="34"/>
      <c r="G473" s="34"/>
      <c r="H473" s="34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476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34"/>
      <c r="AH473" s="34"/>
    </row>
    <row x14ac:dyDescent="0.25" r="474" customHeight="1" ht="15.75">
      <c r="A474" s="2"/>
      <c r="B474" s="34"/>
      <c r="C474" s="34"/>
      <c r="D474" s="34"/>
      <c r="E474" s="34"/>
      <c r="F474" s="34"/>
      <c r="G474" s="34"/>
      <c r="H474" s="34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476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34"/>
      <c r="AH474" s="34"/>
    </row>
    <row x14ac:dyDescent="0.25" r="475" customHeight="1" ht="15.75">
      <c r="A475" s="2"/>
      <c r="B475" s="34"/>
      <c r="C475" s="34"/>
      <c r="D475" s="34"/>
      <c r="E475" s="34"/>
      <c r="F475" s="34"/>
      <c r="G475" s="34"/>
      <c r="H475" s="34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476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34"/>
      <c r="AH475" s="34"/>
    </row>
    <row x14ac:dyDescent="0.25" r="476" customHeight="1" ht="15.75">
      <c r="A476" s="2"/>
      <c r="B476" s="34"/>
      <c r="C476" s="34"/>
      <c r="D476" s="34"/>
      <c r="E476" s="34"/>
      <c r="F476" s="34"/>
      <c r="G476" s="34"/>
      <c r="H476" s="34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476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34"/>
      <c r="AH476" s="34"/>
    </row>
    <row x14ac:dyDescent="0.25" r="477" customHeight="1" ht="15.75">
      <c r="A477" s="2"/>
      <c r="B477" s="34"/>
      <c r="C477" s="34"/>
      <c r="D477" s="34"/>
      <c r="E477" s="34"/>
      <c r="F477" s="34"/>
      <c r="G477" s="34"/>
      <c r="H477" s="34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476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34"/>
      <c r="AH477" s="34"/>
    </row>
    <row x14ac:dyDescent="0.25" r="478" customHeight="1" ht="15.75">
      <c r="A478" s="2"/>
      <c r="B478" s="34"/>
      <c r="C478" s="34"/>
      <c r="D478" s="34"/>
      <c r="E478" s="34"/>
      <c r="F478" s="34"/>
      <c r="G478" s="34"/>
      <c r="H478" s="34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476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34"/>
      <c r="AH478" s="34"/>
    </row>
    <row x14ac:dyDescent="0.25" r="479" customHeight="1" ht="15.75">
      <c r="A479" s="2"/>
      <c r="B479" s="34"/>
      <c r="C479" s="34"/>
      <c r="D479" s="34"/>
      <c r="E479" s="34"/>
      <c r="F479" s="34"/>
      <c r="G479" s="34"/>
      <c r="H479" s="34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476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34"/>
      <c r="AH479" s="34"/>
    </row>
    <row x14ac:dyDescent="0.25" r="480" customHeight="1" ht="15.75">
      <c r="A480" s="2"/>
      <c r="B480" s="34"/>
      <c r="C480" s="34"/>
      <c r="D480" s="34"/>
      <c r="E480" s="34"/>
      <c r="F480" s="34"/>
      <c r="G480" s="34"/>
      <c r="H480" s="34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476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34"/>
      <c r="AH480" s="34"/>
    </row>
    <row x14ac:dyDescent="0.25" r="481" customHeight="1" ht="15.75">
      <c r="A481" s="2"/>
      <c r="B481" s="34"/>
      <c r="C481" s="34"/>
      <c r="D481" s="34"/>
      <c r="E481" s="34"/>
      <c r="F481" s="34"/>
      <c r="G481" s="34"/>
      <c r="H481" s="34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476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34"/>
      <c r="AH481" s="34"/>
    </row>
    <row x14ac:dyDescent="0.25" r="482" customHeight="1" ht="15.75">
      <c r="A482" s="2"/>
      <c r="B482" s="34"/>
      <c r="C482" s="34"/>
      <c r="D482" s="34"/>
      <c r="E482" s="34"/>
      <c r="F482" s="34"/>
      <c r="G482" s="34"/>
      <c r="H482" s="34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476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34"/>
      <c r="AH482" s="34"/>
    </row>
    <row x14ac:dyDescent="0.25" r="483" customHeight="1" ht="15.75">
      <c r="A483" s="2"/>
      <c r="B483" s="34"/>
      <c r="C483" s="34"/>
      <c r="D483" s="34"/>
      <c r="E483" s="34"/>
      <c r="F483" s="34"/>
      <c r="G483" s="34"/>
      <c r="H483" s="34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476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34"/>
      <c r="AH483" s="34"/>
    </row>
    <row x14ac:dyDescent="0.25" r="484" customHeight="1" ht="15.75">
      <c r="A484" s="2"/>
      <c r="B484" s="34"/>
      <c r="C484" s="34"/>
      <c r="D484" s="34"/>
      <c r="E484" s="34"/>
      <c r="F484" s="34"/>
      <c r="G484" s="34"/>
      <c r="H484" s="34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476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34"/>
      <c r="AH484" s="34"/>
    </row>
    <row x14ac:dyDescent="0.25" r="485" customHeight="1" ht="15.75">
      <c r="A485" s="2"/>
      <c r="B485" s="34"/>
      <c r="C485" s="34"/>
      <c r="D485" s="34"/>
      <c r="E485" s="34"/>
      <c r="F485" s="34"/>
      <c r="G485" s="34"/>
      <c r="H485" s="34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476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34"/>
      <c r="AH485" s="34"/>
    </row>
    <row x14ac:dyDescent="0.25" r="486" customHeight="1" ht="15.75">
      <c r="A486" s="2"/>
      <c r="B486" s="34"/>
      <c r="C486" s="34"/>
      <c r="D486" s="34"/>
      <c r="E486" s="34"/>
      <c r="F486" s="34"/>
      <c r="G486" s="34"/>
      <c r="H486" s="34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476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34"/>
      <c r="AH486" s="34"/>
    </row>
    <row x14ac:dyDescent="0.25" r="487" customHeight="1" ht="15.75">
      <c r="A487" s="2"/>
      <c r="B487" s="34"/>
      <c r="C487" s="34"/>
      <c r="D487" s="34"/>
      <c r="E487" s="34"/>
      <c r="F487" s="34"/>
      <c r="G487" s="34"/>
      <c r="H487" s="34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476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34"/>
      <c r="AH487" s="34"/>
    </row>
    <row x14ac:dyDescent="0.25" r="488" customHeight="1" ht="15.75">
      <c r="A488" s="2"/>
      <c r="B488" s="34"/>
      <c r="C488" s="34"/>
      <c r="D488" s="34"/>
      <c r="E488" s="34"/>
      <c r="F488" s="34"/>
      <c r="G488" s="34"/>
      <c r="H488" s="34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476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34"/>
      <c r="AH488" s="34"/>
    </row>
    <row x14ac:dyDescent="0.25" r="489" customHeight="1" ht="15.75">
      <c r="A489" s="2"/>
      <c r="B489" s="34"/>
      <c r="C489" s="34"/>
      <c r="D489" s="34"/>
      <c r="E489" s="34"/>
      <c r="F489" s="34"/>
      <c r="G489" s="34"/>
      <c r="H489" s="34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476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34"/>
      <c r="AH489" s="34"/>
    </row>
    <row x14ac:dyDescent="0.25" r="490" customHeight="1" ht="15.75">
      <c r="A490" s="2"/>
      <c r="B490" s="34"/>
      <c r="C490" s="34"/>
      <c r="D490" s="34"/>
      <c r="E490" s="34"/>
      <c r="F490" s="34"/>
      <c r="G490" s="34"/>
      <c r="H490" s="34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476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34"/>
      <c r="AH490" s="34"/>
    </row>
    <row x14ac:dyDescent="0.25" r="491" customHeight="1" ht="15.75">
      <c r="A491" s="2"/>
      <c r="B491" s="34"/>
      <c r="C491" s="34"/>
      <c r="D491" s="34"/>
      <c r="E491" s="34"/>
      <c r="F491" s="34"/>
      <c r="G491" s="34"/>
      <c r="H491" s="34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476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34"/>
      <c r="AH491" s="34"/>
    </row>
    <row x14ac:dyDescent="0.25" r="492" customHeight="1" ht="15.75">
      <c r="A492" s="2"/>
      <c r="B492" s="34"/>
      <c r="C492" s="34"/>
      <c r="D492" s="34"/>
      <c r="E492" s="34"/>
      <c r="F492" s="34"/>
      <c r="G492" s="34"/>
      <c r="H492" s="34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476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34"/>
      <c r="AH492" s="34"/>
    </row>
    <row x14ac:dyDescent="0.25" r="493" customHeight="1" ht="15.75">
      <c r="A493" s="2"/>
      <c r="B493" s="34"/>
      <c r="C493" s="34"/>
      <c r="D493" s="34"/>
      <c r="E493" s="34"/>
      <c r="F493" s="34"/>
      <c r="G493" s="34"/>
      <c r="H493" s="34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476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34"/>
      <c r="AH493" s="34"/>
    </row>
    <row x14ac:dyDescent="0.25" r="494" customHeight="1" ht="15.75">
      <c r="A494" s="2"/>
      <c r="B494" s="34"/>
      <c r="C494" s="34"/>
      <c r="D494" s="34"/>
      <c r="E494" s="34"/>
      <c r="F494" s="34"/>
      <c r="G494" s="34"/>
      <c r="H494" s="34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476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34"/>
      <c r="AH494" s="34"/>
    </row>
    <row x14ac:dyDescent="0.25" r="495" customHeight="1" ht="15.75">
      <c r="A495" s="2"/>
      <c r="B495" s="34"/>
      <c r="C495" s="34"/>
      <c r="D495" s="34"/>
      <c r="E495" s="34"/>
      <c r="F495" s="34"/>
      <c r="G495" s="34"/>
      <c r="H495" s="34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476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34"/>
      <c r="AH495" s="34"/>
    </row>
    <row x14ac:dyDescent="0.25" r="496" customHeight="1" ht="15.75">
      <c r="A496" s="2"/>
      <c r="B496" s="34"/>
      <c r="C496" s="34"/>
      <c r="D496" s="34"/>
      <c r="E496" s="34"/>
      <c r="F496" s="34"/>
      <c r="G496" s="34"/>
      <c r="H496" s="34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476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34"/>
      <c r="AH496" s="34"/>
    </row>
    <row x14ac:dyDescent="0.25" r="497" customHeight="1" ht="15.75">
      <c r="A497" s="2"/>
      <c r="B497" s="34"/>
      <c r="C497" s="34"/>
      <c r="D497" s="34"/>
      <c r="E497" s="34"/>
      <c r="F497" s="34"/>
      <c r="G497" s="34"/>
      <c r="H497" s="34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476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34"/>
      <c r="AH497" s="34"/>
    </row>
    <row x14ac:dyDescent="0.25" r="498" customHeight="1" ht="15.75">
      <c r="A498" s="2"/>
      <c r="B498" s="34"/>
      <c r="C498" s="34"/>
      <c r="D498" s="34"/>
      <c r="E498" s="34"/>
      <c r="F498" s="34"/>
      <c r="G498" s="34"/>
      <c r="H498" s="34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476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34"/>
      <c r="AH498" s="34"/>
    </row>
    <row x14ac:dyDescent="0.25" r="499" customHeight="1" ht="15.75">
      <c r="A499" s="2"/>
      <c r="B499" s="34"/>
      <c r="C499" s="34"/>
      <c r="D499" s="34"/>
      <c r="E499" s="34"/>
      <c r="F499" s="34"/>
      <c r="G499" s="34"/>
      <c r="H499" s="34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476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34"/>
      <c r="AH499" s="34"/>
    </row>
    <row x14ac:dyDescent="0.25" r="500" customHeight="1" ht="15.75">
      <c r="A500" s="2"/>
      <c r="B500" s="34"/>
      <c r="C500" s="34"/>
      <c r="D500" s="34"/>
      <c r="E500" s="34"/>
      <c r="F500" s="34"/>
      <c r="G500" s="34"/>
      <c r="H500" s="34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476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34"/>
      <c r="AH500" s="34"/>
    </row>
    <row x14ac:dyDescent="0.25" r="501" customHeight="1" ht="15.75">
      <c r="A501" s="2"/>
      <c r="B501" s="34"/>
      <c r="C501" s="34"/>
      <c r="D501" s="34"/>
      <c r="E501" s="34"/>
      <c r="F501" s="34"/>
      <c r="G501" s="34"/>
      <c r="H501" s="34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476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34"/>
      <c r="AH501" s="34"/>
    </row>
    <row x14ac:dyDescent="0.25" r="502" customHeight="1" ht="15.75">
      <c r="A502" s="2"/>
      <c r="B502" s="34"/>
      <c r="C502" s="34"/>
      <c r="D502" s="34"/>
      <c r="E502" s="34"/>
      <c r="F502" s="34"/>
      <c r="G502" s="34"/>
      <c r="H502" s="34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476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34"/>
      <c r="AH502" s="34"/>
    </row>
    <row x14ac:dyDescent="0.25" r="503" customHeight="1" ht="15.75">
      <c r="A503" s="2"/>
      <c r="B503" s="34"/>
      <c r="C503" s="34"/>
      <c r="D503" s="34"/>
      <c r="E503" s="34"/>
      <c r="F503" s="34"/>
      <c r="G503" s="34"/>
      <c r="H503" s="34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476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34"/>
      <c r="AH503" s="34"/>
    </row>
    <row x14ac:dyDescent="0.25" r="504" customHeight="1" ht="15.75">
      <c r="A504" s="2"/>
      <c r="B504" s="34"/>
      <c r="C504" s="34"/>
      <c r="D504" s="34"/>
      <c r="E504" s="34"/>
      <c r="F504" s="34"/>
      <c r="G504" s="34"/>
      <c r="H504" s="34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476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34"/>
      <c r="AH504" s="34"/>
    </row>
    <row x14ac:dyDescent="0.25" r="505" customHeight="1" ht="15.75">
      <c r="A505" s="2"/>
      <c r="B505" s="34"/>
      <c r="C505" s="34"/>
      <c r="D505" s="34"/>
      <c r="E505" s="34"/>
      <c r="F505" s="34"/>
      <c r="G505" s="34"/>
      <c r="H505" s="34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476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34"/>
      <c r="AH505" s="34"/>
    </row>
    <row x14ac:dyDescent="0.25" r="506" customHeight="1" ht="15.75">
      <c r="A506" s="2"/>
      <c r="B506" s="34"/>
      <c r="C506" s="34"/>
      <c r="D506" s="34"/>
      <c r="E506" s="34"/>
      <c r="F506" s="34"/>
      <c r="G506" s="34"/>
      <c r="H506" s="34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476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34"/>
      <c r="AH506" s="34"/>
    </row>
    <row x14ac:dyDescent="0.25" r="507" customHeight="1" ht="15.75">
      <c r="A507" s="2"/>
      <c r="B507" s="34"/>
      <c r="C507" s="34"/>
      <c r="D507" s="34"/>
      <c r="E507" s="34"/>
      <c r="F507" s="34"/>
      <c r="G507" s="34"/>
      <c r="H507" s="34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476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34"/>
      <c r="AH507" s="34"/>
    </row>
    <row x14ac:dyDescent="0.25" r="508" customHeight="1" ht="15.75">
      <c r="A508" s="2"/>
      <c r="B508" s="34"/>
      <c r="C508" s="34"/>
      <c r="D508" s="34"/>
      <c r="E508" s="34"/>
      <c r="F508" s="34"/>
      <c r="G508" s="34"/>
      <c r="H508" s="34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476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34"/>
      <c r="AH508" s="34"/>
    </row>
    <row x14ac:dyDescent="0.25" r="509" customHeight="1" ht="15.75">
      <c r="A509" s="2"/>
      <c r="B509" s="34"/>
      <c r="C509" s="34"/>
      <c r="D509" s="34"/>
      <c r="E509" s="34"/>
      <c r="F509" s="34"/>
      <c r="G509" s="34"/>
      <c r="H509" s="34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476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34"/>
      <c r="AH509" s="34"/>
    </row>
    <row x14ac:dyDescent="0.25" r="510" customHeight="1" ht="15.75">
      <c r="A510" s="2"/>
      <c r="B510" s="34"/>
      <c r="C510" s="34"/>
      <c r="D510" s="34"/>
      <c r="E510" s="34"/>
      <c r="F510" s="34"/>
      <c r="G510" s="34"/>
      <c r="H510" s="34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476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34"/>
      <c r="AH510" s="34"/>
    </row>
    <row x14ac:dyDescent="0.25" r="511" customHeight="1" ht="15.75">
      <c r="A511" s="2"/>
      <c r="B511" s="34"/>
      <c r="C511" s="34"/>
      <c r="D511" s="34"/>
      <c r="E511" s="34"/>
      <c r="F511" s="34"/>
      <c r="G511" s="34"/>
      <c r="H511" s="34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476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34"/>
      <c r="AH511" s="34"/>
    </row>
    <row x14ac:dyDescent="0.25" r="512" customHeight="1" ht="15.75">
      <c r="A512" s="2"/>
      <c r="B512" s="34"/>
      <c r="C512" s="34"/>
      <c r="D512" s="34"/>
      <c r="E512" s="34"/>
      <c r="F512" s="34"/>
      <c r="G512" s="34"/>
      <c r="H512" s="34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476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34"/>
      <c r="AH512" s="34"/>
    </row>
    <row x14ac:dyDescent="0.25" r="513" customHeight="1" ht="15.75">
      <c r="A513" s="2"/>
      <c r="B513" s="34"/>
      <c r="C513" s="34"/>
      <c r="D513" s="34"/>
      <c r="E513" s="34"/>
      <c r="F513" s="34"/>
      <c r="G513" s="34"/>
      <c r="H513" s="34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476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34"/>
      <c r="AH513" s="34"/>
    </row>
    <row x14ac:dyDescent="0.25" r="514" customHeight="1" ht="15.75">
      <c r="A514" s="2"/>
      <c r="B514" s="34"/>
      <c r="C514" s="34"/>
      <c r="D514" s="34"/>
      <c r="E514" s="34"/>
      <c r="F514" s="34"/>
      <c r="G514" s="34"/>
      <c r="H514" s="34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476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34"/>
      <c r="AH514" s="34"/>
    </row>
    <row x14ac:dyDescent="0.25" r="515" customHeight="1" ht="15.75">
      <c r="A515" s="2"/>
      <c r="B515" s="34"/>
      <c r="C515" s="34"/>
      <c r="D515" s="34"/>
      <c r="E515" s="34"/>
      <c r="F515" s="34"/>
      <c r="G515" s="34"/>
      <c r="H515" s="34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476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34"/>
      <c r="AH515" s="34"/>
    </row>
    <row x14ac:dyDescent="0.25" r="516" customHeight="1" ht="15.75">
      <c r="A516" s="2"/>
      <c r="B516" s="34"/>
      <c r="C516" s="34"/>
      <c r="D516" s="34"/>
      <c r="E516" s="34"/>
      <c r="F516" s="34"/>
      <c r="G516" s="34"/>
      <c r="H516" s="34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476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34"/>
      <c r="AH516" s="34"/>
    </row>
    <row x14ac:dyDescent="0.25" r="517" customHeight="1" ht="15.75">
      <c r="A517" s="2"/>
      <c r="B517" s="34"/>
      <c r="C517" s="34"/>
      <c r="D517" s="34"/>
      <c r="E517" s="34"/>
      <c r="F517" s="34"/>
      <c r="G517" s="34"/>
      <c r="H517" s="34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476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34"/>
      <c r="AH517" s="34"/>
    </row>
    <row x14ac:dyDescent="0.25" r="518" customHeight="1" ht="15.75">
      <c r="A518" s="2"/>
      <c r="B518" s="34"/>
      <c r="C518" s="34"/>
      <c r="D518" s="34"/>
      <c r="E518" s="34"/>
      <c r="F518" s="34"/>
      <c r="G518" s="34"/>
      <c r="H518" s="34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476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34"/>
      <c r="AH518" s="34"/>
    </row>
    <row x14ac:dyDescent="0.25" r="519" customHeight="1" ht="15.75">
      <c r="A519" s="2"/>
      <c r="B519" s="34"/>
      <c r="C519" s="34"/>
      <c r="D519" s="34"/>
      <c r="E519" s="34"/>
      <c r="F519" s="34"/>
      <c r="G519" s="34"/>
      <c r="H519" s="34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476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34"/>
      <c r="AH519" s="34"/>
    </row>
    <row x14ac:dyDescent="0.25" r="520" customHeight="1" ht="15.75">
      <c r="A520" s="2"/>
      <c r="B520" s="34"/>
      <c r="C520" s="34"/>
      <c r="D520" s="34"/>
      <c r="E520" s="34"/>
      <c r="F520" s="34"/>
      <c r="G520" s="34"/>
      <c r="H520" s="34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476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34"/>
      <c r="AH520" s="34"/>
    </row>
    <row x14ac:dyDescent="0.25" r="521" customHeight="1" ht="15.75">
      <c r="A521" s="2"/>
      <c r="B521" s="34"/>
      <c r="C521" s="34"/>
      <c r="D521" s="34"/>
      <c r="E521" s="34"/>
      <c r="F521" s="34"/>
      <c r="G521" s="34"/>
      <c r="H521" s="34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476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34"/>
      <c r="AH521" s="34"/>
    </row>
    <row x14ac:dyDescent="0.25" r="522" customHeight="1" ht="15.75">
      <c r="A522" s="2"/>
      <c r="B522" s="34"/>
      <c r="C522" s="34"/>
      <c r="D522" s="34"/>
      <c r="E522" s="34"/>
      <c r="F522" s="34"/>
      <c r="G522" s="34"/>
      <c r="H522" s="34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476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34"/>
      <c r="AH522" s="34"/>
    </row>
    <row x14ac:dyDescent="0.25" r="523" customHeight="1" ht="15.75">
      <c r="A523" s="2"/>
      <c r="B523" s="34"/>
      <c r="C523" s="34"/>
      <c r="D523" s="34"/>
      <c r="E523" s="34"/>
      <c r="F523" s="34"/>
      <c r="G523" s="34"/>
      <c r="H523" s="34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476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34"/>
      <c r="AH523" s="34"/>
    </row>
    <row x14ac:dyDescent="0.25" r="524" customHeight="1" ht="15.75">
      <c r="A524" s="2"/>
      <c r="B524" s="34"/>
      <c r="C524" s="34"/>
      <c r="D524" s="34"/>
      <c r="E524" s="34"/>
      <c r="F524" s="34"/>
      <c r="G524" s="34"/>
      <c r="H524" s="34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476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34"/>
      <c r="AH524" s="34"/>
    </row>
    <row x14ac:dyDescent="0.25" r="525" customHeight="1" ht="15.75">
      <c r="A525" s="2"/>
      <c r="B525" s="34"/>
      <c r="C525" s="34"/>
      <c r="D525" s="34"/>
      <c r="E525" s="34"/>
      <c r="F525" s="34"/>
      <c r="G525" s="34"/>
      <c r="H525" s="34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476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34"/>
      <c r="AH525" s="34"/>
    </row>
    <row x14ac:dyDescent="0.25" r="526" customHeight="1" ht="15.75">
      <c r="A526" s="2"/>
      <c r="B526" s="34"/>
      <c r="C526" s="34"/>
      <c r="D526" s="34"/>
      <c r="E526" s="34"/>
      <c r="F526" s="34"/>
      <c r="G526" s="34"/>
      <c r="H526" s="34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476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34"/>
      <c r="AH526" s="34"/>
    </row>
    <row x14ac:dyDescent="0.25" r="527" customHeight="1" ht="15.75">
      <c r="A527" s="2"/>
      <c r="B527" s="34"/>
      <c r="C527" s="34"/>
      <c r="D527" s="34"/>
      <c r="E527" s="34"/>
      <c r="F527" s="34"/>
      <c r="G527" s="34"/>
      <c r="H527" s="34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476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34"/>
      <c r="AH527" s="34"/>
    </row>
    <row x14ac:dyDescent="0.25" r="528" customHeight="1" ht="15.75">
      <c r="A528" s="2"/>
      <c r="B528" s="34"/>
      <c r="C528" s="34"/>
      <c r="D528" s="34"/>
      <c r="E528" s="34"/>
      <c r="F528" s="34"/>
      <c r="G528" s="34"/>
      <c r="H528" s="34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476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34"/>
      <c r="AH528" s="34"/>
    </row>
    <row x14ac:dyDescent="0.25" r="529" customHeight="1" ht="15.75">
      <c r="A529" s="2"/>
      <c r="B529" s="34"/>
      <c r="C529" s="34"/>
      <c r="D529" s="34"/>
      <c r="E529" s="34"/>
      <c r="F529" s="34"/>
      <c r="G529" s="34"/>
      <c r="H529" s="34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476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34"/>
      <c r="AH529" s="34"/>
    </row>
    <row x14ac:dyDescent="0.25" r="530" customHeight="1" ht="15.75">
      <c r="A530" s="2"/>
      <c r="B530" s="34"/>
      <c r="C530" s="34"/>
      <c r="D530" s="34"/>
      <c r="E530" s="34"/>
      <c r="F530" s="34"/>
      <c r="G530" s="34"/>
      <c r="H530" s="34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476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34"/>
      <c r="AH530" s="34"/>
    </row>
    <row x14ac:dyDescent="0.25" r="531" customHeight="1" ht="15.75">
      <c r="A531" s="2"/>
      <c r="B531" s="34"/>
      <c r="C531" s="34"/>
      <c r="D531" s="34"/>
      <c r="E531" s="34"/>
      <c r="F531" s="34"/>
      <c r="G531" s="34"/>
      <c r="H531" s="34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476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34"/>
      <c r="AH531" s="34"/>
    </row>
    <row x14ac:dyDescent="0.25" r="532" customHeight="1" ht="15.75">
      <c r="A532" s="2"/>
      <c r="B532" s="34"/>
      <c r="C532" s="34"/>
      <c r="D532" s="34"/>
      <c r="E532" s="34"/>
      <c r="F532" s="34"/>
      <c r="G532" s="34"/>
      <c r="H532" s="34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476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34"/>
      <c r="AH532" s="34"/>
    </row>
    <row x14ac:dyDescent="0.25" r="533" customHeight="1" ht="15.75">
      <c r="A533" s="2"/>
      <c r="B533" s="34"/>
      <c r="C533" s="34"/>
      <c r="D533" s="34"/>
      <c r="E533" s="34"/>
      <c r="F533" s="34"/>
      <c r="G533" s="34"/>
      <c r="H533" s="34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476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34"/>
      <c r="AH533" s="34"/>
    </row>
    <row x14ac:dyDescent="0.25" r="534" customHeight="1" ht="15.75">
      <c r="A534" s="2"/>
      <c r="B534" s="34"/>
      <c r="C534" s="34"/>
      <c r="D534" s="34"/>
      <c r="E534" s="34"/>
      <c r="F534" s="34"/>
      <c r="G534" s="34"/>
      <c r="H534" s="34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476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34"/>
      <c r="AH534" s="34"/>
    </row>
    <row x14ac:dyDescent="0.25" r="535" customHeight="1" ht="15.75">
      <c r="A535" s="2"/>
      <c r="B535" s="34"/>
      <c r="C535" s="34"/>
      <c r="D535" s="34"/>
      <c r="E535" s="34"/>
      <c r="F535" s="34"/>
      <c r="G535" s="34"/>
      <c r="H535" s="34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476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34"/>
      <c r="AH535" s="34"/>
    </row>
    <row x14ac:dyDescent="0.25" r="536" customHeight="1" ht="15.75">
      <c r="A536" s="2"/>
      <c r="B536" s="34"/>
      <c r="C536" s="34"/>
      <c r="D536" s="34"/>
      <c r="E536" s="34"/>
      <c r="F536" s="34"/>
      <c r="G536" s="34"/>
      <c r="H536" s="34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476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34"/>
      <c r="AH536" s="34"/>
    </row>
    <row x14ac:dyDescent="0.25" r="537" customHeight="1" ht="15.75">
      <c r="A537" s="2"/>
      <c r="B537" s="34"/>
      <c r="C537" s="34"/>
      <c r="D537" s="34"/>
      <c r="E537" s="34"/>
      <c r="F537" s="34"/>
      <c r="G537" s="34"/>
      <c r="H537" s="34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476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34"/>
      <c r="AH537" s="34"/>
    </row>
    <row x14ac:dyDescent="0.25" r="538" customHeight="1" ht="15.75">
      <c r="A538" s="2"/>
      <c r="B538" s="34"/>
      <c r="C538" s="34"/>
      <c r="D538" s="34"/>
      <c r="E538" s="34"/>
      <c r="F538" s="34"/>
      <c r="G538" s="34"/>
      <c r="H538" s="34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476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34"/>
      <c r="AH538" s="34"/>
    </row>
    <row x14ac:dyDescent="0.25" r="539" customHeight="1" ht="15.75">
      <c r="A539" s="2"/>
      <c r="B539" s="34"/>
      <c r="C539" s="34"/>
      <c r="D539" s="34"/>
      <c r="E539" s="34"/>
      <c r="F539" s="34"/>
      <c r="G539" s="34"/>
      <c r="H539" s="34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476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34"/>
      <c r="AH539" s="34"/>
    </row>
    <row x14ac:dyDescent="0.25" r="540" customHeight="1" ht="15.75">
      <c r="A540" s="2"/>
      <c r="B540" s="34"/>
      <c r="C540" s="34"/>
      <c r="D540" s="34"/>
      <c r="E540" s="34"/>
      <c r="F540" s="34"/>
      <c r="G540" s="34"/>
      <c r="H540" s="34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476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34"/>
      <c r="AH540" s="34"/>
    </row>
    <row x14ac:dyDescent="0.25" r="541" customHeight="1" ht="15.75">
      <c r="A541" s="2"/>
      <c r="B541" s="34"/>
      <c r="C541" s="34"/>
      <c r="D541" s="34"/>
      <c r="E541" s="34"/>
      <c r="F541" s="34"/>
      <c r="G541" s="34"/>
      <c r="H541" s="34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476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34"/>
      <c r="AH541" s="34"/>
    </row>
    <row x14ac:dyDescent="0.25" r="542" customHeight="1" ht="15.75">
      <c r="A542" s="2"/>
      <c r="B542" s="34"/>
      <c r="C542" s="34"/>
      <c r="D542" s="34"/>
      <c r="E542" s="34"/>
      <c r="F542" s="34"/>
      <c r="G542" s="34"/>
      <c r="H542" s="34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476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34"/>
      <c r="AH542" s="34"/>
    </row>
    <row x14ac:dyDescent="0.25" r="543" customHeight="1" ht="15.75">
      <c r="A543" s="2"/>
      <c r="B543" s="34"/>
      <c r="C543" s="34"/>
      <c r="D543" s="34"/>
      <c r="E543" s="34"/>
      <c r="F543" s="34"/>
      <c r="G543" s="34"/>
      <c r="H543" s="34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476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34"/>
      <c r="AH543" s="34"/>
    </row>
    <row x14ac:dyDescent="0.25" r="544" customHeight="1" ht="15.75">
      <c r="A544" s="2"/>
      <c r="B544" s="34"/>
      <c r="C544" s="34"/>
      <c r="D544" s="34"/>
      <c r="E544" s="34"/>
      <c r="F544" s="34"/>
      <c r="G544" s="34"/>
      <c r="H544" s="34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476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34"/>
      <c r="AH544" s="34"/>
    </row>
    <row x14ac:dyDescent="0.25" r="545" customHeight="1" ht="15.75">
      <c r="A545" s="2"/>
      <c r="B545" s="34"/>
      <c r="C545" s="34"/>
      <c r="D545" s="34"/>
      <c r="E545" s="34"/>
      <c r="F545" s="34"/>
      <c r="G545" s="34"/>
      <c r="H545" s="34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476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34"/>
      <c r="AH545" s="34"/>
    </row>
    <row x14ac:dyDescent="0.25" r="546" customHeight="1" ht="15.75">
      <c r="A546" s="2"/>
      <c r="B546" s="34"/>
      <c r="C546" s="34"/>
      <c r="D546" s="34"/>
      <c r="E546" s="34"/>
      <c r="F546" s="34"/>
      <c r="G546" s="34"/>
      <c r="H546" s="34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476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34"/>
      <c r="AH546" s="34"/>
    </row>
    <row x14ac:dyDescent="0.25" r="547" customHeight="1" ht="15.75">
      <c r="A547" s="2"/>
      <c r="B547" s="34"/>
      <c r="C547" s="34"/>
      <c r="D547" s="34"/>
      <c r="E547" s="34"/>
      <c r="F547" s="34"/>
      <c r="G547" s="34"/>
      <c r="H547" s="34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476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34"/>
      <c r="AH547" s="34"/>
    </row>
    <row x14ac:dyDescent="0.25" r="548" customHeight="1" ht="15.75">
      <c r="A548" s="2"/>
      <c r="B548" s="34"/>
      <c r="C548" s="34"/>
      <c r="D548" s="34"/>
      <c r="E548" s="34"/>
      <c r="F548" s="34"/>
      <c r="G548" s="34"/>
      <c r="H548" s="34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476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34"/>
      <c r="AH548" s="34"/>
    </row>
    <row x14ac:dyDescent="0.25" r="549" customHeight="1" ht="15.75">
      <c r="A549" s="2"/>
      <c r="B549" s="34"/>
      <c r="C549" s="34"/>
      <c r="D549" s="34"/>
      <c r="E549" s="34"/>
      <c r="F549" s="34"/>
      <c r="G549" s="34"/>
      <c r="H549" s="34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476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34"/>
      <c r="AH549" s="34"/>
    </row>
    <row x14ac:dyDescent="0.25" r="550" customHeight="1" ht="15.75">
      <c r="A550" s="2"/>
      <c r="B550" s="34"/>
      <c r="C550" s="34"/>
      <c r="D550" s="34"/>
      <c r="E550" s="34"/>
      <c r="F550" s="34"/>
      <c r="G550" s="34"/>
      <c r="H550" s="34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476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34"/>
      <c r="AH550" s="34"/>
    </row>
    <row x14ac:dyDescent="0.25" r="551" customHeight="1" ht="15.75">
      <c r="A551" s="2"/>
      <c r="B551" s="34"/>
      <c r="C551" s="34"/>
      <c r="D551" s="34"/>
      <c r="E551" s="34"/>
      <c r="F551" s="34"/>
      <c r="G551" s="34"/>
      <c r="H551" s="34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476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34"/>
      <c r="AH551" s="34"/>
    </row>
    <row x14ac:dyDescent="0.25" r="552" customHeight="1" ht="15.75">
      <c r="A552" s="2"/>
      <c r="B552" s="34"/>
      <c r="C552" s="34"/>
      <c r="D552" s="34"/>
      <c r="E552" s="34"/>
      <c r="F552" s="34"/>
      <c r="G552" s="34"/>
      <c r="H552" s="34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476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34"/>
      <c r="AH552" s="34"/>
    </row>
    <row x14ac:dyDescent="0.25" r="553" customHeight="1" ht="15.75">
      <c r="A553" s="2"/>
      <c r="B553" s="34"/>
      <c r="C553" s="34"/>
      <c r="D553" s="34"/>
      <c r="E553" s="34"/>
      <c r="F553" s="34"/>
      <c r="G553" s="34"/>
      <c r="H553" s="34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476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34"/>
      <c r="AH553" s="34"/>
    </row>
    <row x14ac:dyDescent="0.25" r="554" customHeight="1" ht="15.75">
      <c r="A554" s="2"/>
      <c r="B554" s="34"/>
      <c r="C554" s="34"/>
      <c r="D554" s="34"/>
      <c r="E554" s="34"/>
      <c r="F554" s="34"/>
      <c r="G554" s="34"/>
      <c r="H554" s="34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476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34"/>
      <c r="AH554" s="34"/>
    </row>
    <row x14ac:dyDescent="0.25" r="555" customHeight="1" ht="15.75">
      <c r="A555" s="2"/>
      <c r="B555" s="34"/>
      <c r="C555" s="34"/>
      <c r="D555" s="34"/>
      <c r="E555" s="34"/>
      <c r="F555" s="34"/>
      <c r="G555" s="34"/>
      <c r="H555" s="34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476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34"/>
      <c r="AH555" s="34"/>
    </row>
    <row x14ac:dyDescent="0.25" r="556" customHeight="1" ht="15.75">
      <c r="A556" s="2"/>
      <c r="B556" s="34"/>
      <c r="C556" s="34"/>
      <c r="D556" s="34"/>
      <c r="E556" s="34"/>
      <c r="F556" s="34"/>
      <c r="G556" s="34"/>
      <c r="H556" s="34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476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34"/>
      <c r="AH556" s="34"/>
    </row>
    <row x14ac:dyDescent="0.25" r="557" customHeight="1" ht="15.75">
      <c r="A557" s="2"/>
      <c r="B557" s="34"/>
      <c r="C557" s="34"/>
      <c r="D557" s="34"/>
      <c r="E557" s="34"/>
      <c r="F557" s="34"/>
      <c r="G557" s="34"/>
      <c r="H557" s="34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476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34"/>
      <c r="AH557" s="34"/>
    </row>
    <row x14ac:dyDescent="0.25" r="558" customHeight="1" ht="15.75">
      <c r="A558" s="2"/>
      <c r="B558" s="34"/>
      <c r="C558" s="34"/>
      <c r="D558" s="34"/>
      <c r="E558" s="34"/>
      <c r="F558" s="34"/>
      <c r="G558" s="34"/>
      <c r="H558" s="34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476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34"/>
      <c r="AH558" s="34"/>
    </row>
    <row x14ac:dyDescent="0.25" r="559" customHeight="1" ht="15.75">
      <c r="A559" s="2"/>
      <c r="B559" s="34"/>
      <c r="C559" s="34"/>
      <c r="D559" s="34"/>
      <c r="E559" s="34"/>
      <c r="F559" s="34"/>
      <c r="G559" s="34"/>
      <c r="H559" s="34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476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34"/>
      <c r="AH559" s="34"/>
    </row>
    <row x14ac:dyDescent="0.25" r="560" customHeight="1" ht="15.75">
      <c r="A560" s="2"/>
      <c r="B560" s="34"/>
      <c r="C560" s="34"/>
      <c r="D560" s="34"/>
      <c r="E560" s="34"/>
      <c r="F560" s="34"/>
      <c r="G560" s="34"/>
      <c r="H560" s="34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476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34"/>
      <c r="AH560" s="34"/>
    </row>
    <row x14ac:dyDescent="0.25" r="561" customHeight="1" ht="15.75">
      <c r="A561" s="2"/>
      <c r="B561" s="34"/>
      <c r="C561" s="34"/>
      <c r="D561" s="34"/>
      <c r="E561" s="34"/>
      <c r="F561" s="34"/>
      <c r="G561" s="34"/>
      <c r="H561" s="34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476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34"/>
      <c r="AH561" s="34"/>
    </row>
    <row x14ac:dyDescent="0.25" r="562" customHeight="1" ht="15.75">
      <c r="A562" s="2"/>
      <c r="B562" s="34"/>
      <c r="C562" s="34"/>
      <c r="D562" s="34"/>
      <c r="E562" s="34"/>
      <c r="F562" s="34"/>
      <c r="G562" s="34"/>
      <c r="H562" s="34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476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34"/>
      <c r="AH562" s="34"/>
    </row>
    <row x14ac:dyDescent="0.25" r="563" customHeight="1" ht="15.75">
      <c r="A563" s="2"/>
      <c r="B563" s="34"/>
      <c r="C563" s="34"/>
      <c r="D563" s="34"/>
      <c r="E563" s="34"/>
      <c r="F563" s="34"/>
      <c r="G563" s="34"/>
      <c r="H563" s="34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476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34"/>
      <c r="AH563" s="34"/>
    </row>
    <row x14ac:dyDescent="0.25" r="564" customHeight="1" ht="15.75">
      <c r="A564" s="2"/>
      <c r="B564" s="34"/>
      <c r="C564" s="34"/>
      <c r="D564" s="34"/>
      <c r="E564" s="34"/>
      <c r="F564" s="34"/>
      <c r="G564" s="34"/>
      <c r="H564" s="34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476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34"/>
      <c r="AH564" s="34"/>
    </row>
    <row x14ac:dyDescent="0.25" r="565" customHeight="1" ht="15.75">
      <c r="A565" s="2"/>
      <c r="B565" s="34"/>
      <c r="C565" s="34"/>
      <c r="D565" s="34"/>
      <c r="E565" s="34"/>
      <c r="F565" s="34"/>
      <c r="G565" s="34"/>
      <c r="H565" s="34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476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34"/>
      <c r="AH565" s="34"/>
    </row>
    <row x14ac:dyDescent="0.25" r="566" customHeight="1" ht="15.75">
      <c r="A566" s="2"/>
      <c r="B566" s="34"/>
      <c r="C566" s="34"/>
      <c r="D566" s="34"/>
      <c r="E566" s="34"/>
      <c r="F566" s="34"/>
      <c r="G566" s="34"/>
      <c r="H566" s="34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476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34"/>
      <c r="AH566" s="34"/>
    </row>
    <row x14ac:dyDescent="0.25" r="567" customHeight="1" ht="15.75">
      <c r="A567" s="2"/>
      <c r="B567" s="34"/>
      <c r="C567" s="34"/>
      <c r="D567" s="34"/>
      <c r="E567" s="34"/>
      <c r="F567" s="34"/>
      <c r="G567" s="34"/>
      <c r="H567" s="34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476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34"/>
      <c r="AH567" s="34"/>
    </row>
    <row x14ac:dyDescent="0.25" r="568" customHeight="1" ht="15.75">
      <c r="A568" s="2"/>
      <c r="B568" s="34"/>
      <c r="C568" s="34"/>
      <c r="D568" s="34"/>
      <c r="E568" s="34"/>
      <c r="F568" s="34"/>
      <c r="G568" s="34"/>
      <c r="H568" s="34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476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34"/>
      <c r="AH568" s="34"/>
    </row>
    <row x14ac:dyDescent="0.25" r="569" customHeight="1" ht="15.75">
      <c r="A569" s="2"/>
      <c r="B569" s="34"/>
      <c r="C569" s="34"/>
      <c r="D569" s="34"/>
      <c r="E569" s="34"/>
      <c r="F569" s="34"/>
      <c r="G569" s="34"/>
      <c r="H569" s="34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476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34"/>
      <c r="AH569" s="34"/>
    </row>
    <row x14ac:dyDescent="0.25" r="570" customHeight="1" ht="15.75">
      <c r="A570" s="2"/>
      <c r="B570" s="34"/>
      <c r="C570" s="34"/>
      <c r="D570" s="34"/>
      <c r="E570" s="34"/>
      <c r="F570" s="34"/>
      <c r="G570" s="34"/>
      <c r="H570" s="34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476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34"/>
      <c r="AH570" s="34"/>
    </row>
    <row x14ac:dyDescent="0.25" r="571" customHeight="1" ht="15.75">
      <c r="A571" s="2"/>
      <c r="B571" s="34"/>
      <c r="C571" s="34"/>
      <c r="D571" s="34"/>
      <c r="E571" s="34"/>
      <c r="F571" s="34"/>
      <c r="G571" s="34"/>
      <c r="H571" s="34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476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34"/>
      <c r="AH571" s="34"/>
    </row>
    <row x14ac:dyDescent="0.25" r="572" customHeight="1" ht="15.75">
      <c r="A572" s="2"/>
      <c r="B572" s="34"/>
      <c r="C572" s="34"/>
      <c r="D572" s="34"/>
      <c r="E572" s="34"/>
      <c r="F572" s="34"/>
      <c r="G572" s="34"/>
      <c r="H572" s="34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476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34"/>
      <c r="AH572" s="34"/>
    </row>
    <row x14ac:dyDescent="0.25" r="573" customHeight="1" ht="15.75">
      <c r="A573" s="2"/>
      <c r="B573" s="34"/>
      <c r="C573" s="34"/>
      <c r="D573" s="34"/>
      <c r="E573" s="34"/>
      <c r="F573" s="34"/>
      <c r="G573" s="34"/>
      <c r="H573" s="34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476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34"/>
      <c r="AH573" s="34"/>
    </row>
    <row x14ac:dyDescent="0.25" r="574" customHeight="1" ht="15.75">
      <c r="A574" s="2"/>
      <c r="B574" s="34"/>
      <c r="C574" s="34"/>
      <c r="D574" s="34"/>
      <c r="E574" s="34"/>
      <c r="F574" s="34"/>
      <c r="G574" s="34"/>
      <c r="H574" s="34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476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34"/>
      <c r="AH574" s="34"/>
    </row>
    <row x14ac:dyDescent="0.25" r="575" customHeight="1" ht="15.75">
      <c r="A575" s="2"/>
      <c r="B575" s="34"/>
      <c r="C575" s="34"/>
      <c r="D575" s="34"/>
      <c r="E575" s="34"/>
      <c r="F575" s="34"/>
      <c r="G575" s="34"/>
      <c r="H575" s="34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476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34"/>
      <c r="AH575" s="34"/>
    </row>
    <row x14ac:dyDescent="0.25" r="576" customHeight="1" ht="15.75">
      <c r="A576" s="2"/>
      <c r="B576" s="34"/>
      <c r="C576" s="34"/>
      <c r="D576" s="34"/>
      <c r="E576" s="34"/>
      <c r="F576" s="34"/>
      <c r="G576" s="34"/>
      <c r="H576" s="34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476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34"/>
      <c r="AH576" s="34"/>
    </row>
    <row x14ac:dyDescent="0.25" r="577" customHeight="1" ht="15.75">
      <c r="A577" s="2"/>
      <c r="B577" s="34"/>
      <c r="C577" s="34"/>
      <c r="D577" s="34"/>
      <c r="E577" s="34"/>
      <c r="F577" s="34"/>
      <c r="G577" s="34"/>
      <c r="H577" s="34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476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34"/>
      <c r="AH577" s="34"/>
    </row>
    <row x14ac:dyDescent="0.25" r="578" customHeight="1" ht="15.75">
      <c r="A578" s="2"/>
      <c r="B578" s="34"/>
      <c r="C578" s="34"/>
      <c r="D578" s="34"/>
      <c r="E578" s="34"/>
      <c r="F578" s="34"/>
      <c r="G578" s="34"/>
      <c r="H578" s="34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476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34"/>
      <c r="AH578" s="34"/>
    </row>
    <row x14ac:dyDescent="0.25" r="579" customHeight="1" ht="15.75">
      <c r="A579" s="2"/>
      <c r="B579" s="34"/>
      <c r="C579" s="34"/>
      <c r="D579" s="34"/>
      <c r="E579" s="34"/>
      <c r="F579" s="34"/>
      <c r="G579" s="34"/>
      <c r="H579" s="34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476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34"/>
      <c r="AH579" s="34"/>
    </row>
    <row x14ac:dyDescent="0.25" r="580" customHeight="1" ht="15.75">
      <c r="A580" s="2"/>
      <c r="B580" s="34"/>
      <c r="C580" s="34"/>
      <c r="D580" s="34"/>
      <c r="E580" s="34"/>
      <c r="F580" s="34"/>
      <c r="G580" s="34"/>
      <c r="H580" s="34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476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34"/>
      <c r="AH580" s="34"/>
    </row>
    <row x14ac:dyDescent="0.25" r="581" customHeight="1" ht="15.75">
      <c r="A581" s="2"/>
      <c r="B581" s="34"/>
      <c r="C581" s="34"/>
      <c r="D581" s="34"/>
      <c r="E581" s="34"/>
      <c r="F581" s="34"/>
      <c r="G581" s="34"/>
      <c r="H581" s="34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476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34"/>
      <c r="AH581" s="34"/>
    </row>
    <row x14ac:dyDescent="0.25" r="582" customHeight="1" ht="15.75">
      <c r="A582" s="2"/>
      <c r="B582" s="34"/>
      <c r="C582" s="34"/>
      <c r="D582" s="34"/>
      <c r="E582" s="34"/>
      <c r="F582" s="34"/>
      <c r="G582" s="34"/>
      <c r="H582" s="34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476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34"/>
      <c r="AH582" s="34"/>
    </row>
    <row x14ac:dyDescent="0.25" r="583" customHeight="1" ht="15.75">
      <c r="A583" s="2"/>
      <c r="B583" s="34"/>
      <c r="C583" s="34"/>
      <c r="D583" s="34"/>
      <c r="E583" s="34"/>
      <c r="F583" s="34"/>
      <c r="G583" s="34"/>
      <c r="H583" s="34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476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34"/>
      <c r="AH583" s="34"/>
    </row>
    <row x14ac:dyDescent="0.25" r="584" customHeight="1" ht="15.75">
      <c r="A584" s="2"/>
      <c r="B584" s="34"/>
      <c r="C584" s="34"/>
      <c r="D584" s="34"/>
      <c r="E584" s="34"/>
      <c r="F584" s="34"/>
      <c r="G584" s="34"/>
      <c r="H584" s="34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476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34"/>
      <c r="AH584" s="34"/>
    </row>
    <row x14ac:dyDescent="0.25" r="585" customHeight="1" ht="15.75">
      <c r="A585" s="2"/>
      <c r="B585" s="34"/>
      <c r="C585" s="34"/>
      <c r="D585" s="34"/>
      <c r="E585" s="34"/>
      <c r="F585" s="34"/>
      <c r="G585" s="34"/>
      <c r="H585" s="34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476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34"/>
      <c r="AH585" s="34"/>
    </row>
    <row x14ac:dyDescent="0.25" r="586" customHeight="1" ht="15.75">
      <c r="A586" s="2"/>
      <c r="B586" s="34"/>
      <c r="C586" s="34"/>
      <c r="D586" s="34"/>
      <c r="E586" s="34"/>
      <c r="F586" s="34"/>
      <c r="G586" s="34"/>
      <c r="H586" s="34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476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34"/>
      <c r="AH586" s="34"/>
    </row>
    <row x14ac:dyDescent="0.25" r="587" customHeight="1" ht="15.75">
      <c r="A587" s="2"/>
      <c r="B587" s="34"/>
      <c r="C587" s="34"/>
      <c r="D587" s="34"/>
      <c r="E587" s="34"/>
      <c r="F587" s="34"/>
      <c r="G587" s="34"/>
      <c r="H587" s="34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476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34"/>
      <c r="AH587" s="34"/>
    </row>
    <row x14ac:dyDescent="0.25" r="588" customHeight="1" ht="15.75">
      <c r="A588" s="2"/>
      <c r="B588" s="34"/>
      <c r="C588" s="34"/>
      <c r="D588" s="34"/>
      <c r="E588" s="34"/>
      <c r="F588" s="34"/>
      <c r="G588" s="34"/>
      <c r="H588" s="34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476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34"/>
      <c r="AH588" s="34"/>
    </row>
    <row x14ac:dyDescent="0.25" r="589" customHeight="1" ht="15.75">
      <c r="A589" s="2"/>
      <c r="B589" s="34"/>
      <c r="C589" s="34"/>
      <c r="D589" s="34"/>
      <c r="E589" s="34"/>
      <c r="F589" s="34"/>
      <c r="G589" s="34"/>
      <c r="H589" s="34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476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34"/>
      <c r="AH589" s="34"/>
    </row>
    <row x14ac:dyDescent="0.25" r="590" customHeight="1" ht="15.75">
      <c r="A590" s="2"/>
      <c r="B590" s="34"/>
      <c r="C590" s="34"/>
      <c r="D590" s="34"/>
      <c r="E590" s="34"/>
      <c r="F590" s="34"/>
      <c r="G590" s="34"/>
      <c r="H590" s="34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476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34"/>
      <c r="AH590" s="34"/>
    </row>
    <row x14ac:dyDescent="0.25" r="591" customHeight="1" ht="15.75">
      <c r="A591" s="2"/>
      <c r="B591" s="34"/>
      <c r="C591" s="34"/>
      <c r="D591" s="34"/>
      <c r="E591" s="34"/>
      <c r="F591" s="34"/>
      <c r="G591" s="34"/>
      <c r="H591" s="34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476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34"/>
      <c r="AH591" s="34"/>
    </row>
    <row x14ac:dyDescent="0.25" r="592" customHeight="1" ht="15.75">
      <c r="A592" s="2"/>
      <c r="B592" s="34"/>
      <c r="C592" s="34"/>
      <c r="D592" s="34"/>
      <c r="E592" s="34"/>
      <c r="F592" s="34"/>
      <c r="G592" s="34"/>
      <c r="H592" s="34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476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34"/>
      <c r="AH592" s="34"/>
    </row>
    <row x14ac:dyDescent="0.25" r="593" customHeight="1" ht="15.75">
      <c r="A593" s="2"/>
      <c r="B593" s="34"/>
      <c r="C593" s="34"/>
      <c r="D593" s="34"/>
      <c r="E593" s="34"/>
      <c r="F593" s="34"/>
      <c r="G593" s="34"/>
      <c r="H593" s="34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476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34"/>
      <c r="AH593" s="34"/>
    </row>
    <row x14ac:dyDescent="0.25" r="594" customHeight="1" ht="15.75">
      <c r="A594" s="2"/>
      <c r="B594" s="34"/>
      <c r="C594" s="34"/>
      <c r="D594" s="34"/>
      <c r="E594" s="34"/>
      <c r="F594" s="34"/>
      <c r="G594" s="34"/>
      <c r="H594" s="34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476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34"/>
      <c r="AH594" s="34"/>
    </row>
    <row x14ac:dyDescent="0.25" r="595" customHeight="1" ht="15.75">
      <c r="A595" s="2"/>
      <c r="B595" s="34"/>
      <c r="C595" s="34"/>
      <c r="D595" s="34"/>
      <c r="E595" s="34"/>
      <c r="F595" s="34"/>
      <c r="G595" s="34"/>
      <c r="H595" s="34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476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34"/>
      <c r="AH595" s="34"/>
    </row>
    <row x14ac:dyDescent="0.25" r="596" customHeight="1" ht="15.75">
      <c r="A596" s="2"/>
      <c r="B596" s="34"/>
      <c r="C596" s="34"/>
      <c r="D596" s="34"/>
      <c r="E596" s="34"/>
      <c r="F596" s="34"/>
      <c r="G596" s="34"/>
      <c r="H596" s="34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476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34"/>
      <c r="AH596" s="34"/>
    </row>
    <row x14ac:dyDescent="0.25" r="597" customHeight="1" ht="15.75">
      <c r="A597" s="2"/>
      <c r="B597" s="34"/>
      <c r="C597" s="34"/>
      <c r="D597" s="34"/>
      <c r="E597" s="34"/>
      <c r="F597" s="34"/>
      <c r="G597" s="34"/>
      <c r="H597" s="34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476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34"/>
      <c r="AH597" s="34"/>
    </row>
    <row x14ac:dyDescent="0.25" r="598" customHeight="1" ht="15.75">
      <c r="A598" s="2"/>
      <c r="B598" s="34"/>
      <c r="C598" s="34"/>
      <c r="D598" s="34"/>
      <c r="E598" s="34"/>
      <c r="F598" s="34"/>
      <c r="G598" s="34"/>
      <c r="H598" s="34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476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34"/>
      <c r="AH598" s="34"/>
    </row>
    <row x14ac:dyDescent="0.25" r="599" customHeight="1" ht="15.75">
      <c r="A599" s="2"/>
      <c r="B599" s="34"/>
      <c r="C599" s="34"/>
      <c r="D599" s="34"/>
      <c r="E599" s="34"/>
      <c r="F599" s="34"/>
      <c r="G599" s="34"/>
      <c r="H599" s="34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476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34"/>
      <c r="AH599" s="34"/>
    </row>
    <row x14ac:dyDescent="0.25" r="600" customHeight="1" ht="15.75">
      <c r="A600" s="2"/>
      <c r="B600" s="34"/>
      <c r="C600" s="34"/>
      <c r="D600" s="34"/>
      <c r="E600" s="34"/>
      <c r="F600" s="34"/>
      <c r="G600" s="34"/>
      <c r="H600" s="34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476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34"/>
      <c r="AH600" s="34"/>
    </row>
    <row x14ac:dyDescent="0.25" r="601" customHeight="1" ht="15.75">
      <c r="A601" s="2"/>
      <c r="B601" s="34"/>
      <c r="C601" s="34"/>
      <c r="D601" s="34"/>
      <c r="E601" s="34"/>
      <c r="F601" s="34"/>
      <c r="G601" s="34"/>
      <c r="H601" s="34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476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34"/>
      <c r="AH601" s="34"/>
    </row>
    <row x14ac:dyDescent="0.25" r="602" customHeight="1" ht="15.75">
      <c r="A602" s="2"/>
      <c r="B602" s="34"/>
      <c r="C602" s="34"/>
      <c r="D602" s="34"/>
      <c r="E602" s="34"/>
      <c r="F602" s="34"/>
      <c r="G602" s="34"/>
      <c r="H602" s="34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476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34"/>
      <c r="AH602" s="34"/>
    </row>
    <row x14ac:dyDescent="0.25" r="603" customHeight="1" ht="15.75">
      <c r="A603" s="2"/>
      <c r="B603" s="34"/>
      <c r="C603" s="34"/>
      <c r="D603" s="34"/>
      <c r="E603" s="34"/>
      <c r="F603" s="34"/>
      <c r="G603" s="34"/>
      <c r="H603" s="34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476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34"/>
      <c r="AH603" s="34"/>
    </row>
    <row x14ac:dyDescent="0.25" r="604" customHeight="1" ht="15.75">
      <c r="A604" s="2"/>
      <c r="B604" s="34"/>
      <c r="C604" s="34"/>
      <c r="D604" s="34"/>
      <c r="E604" s="34"/>
      <c r="F604" s="34"/>
      <c r="G604" s="34"/>
      <c r="H604" s="34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476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34"/>
      <c r="AH604" s="34"/>
    </row>
    <row x14ac:dyDescent="0.25" r="605" customHeight="1" ht="15.75">
      <c r="A605" s="2"/>
      <c r="B605" s="34"/>
      <c r="C605" s="34"/>
      <c r="D605" s="34"/>
      <c r="E605" s="34"/>
      <c r="F605" s="34"/>
      <c r="G605" s="34"/>
      <c r="H605" s="34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476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34"/>
      <c r="AH605" s="34"/>
    </row>
    <row x14ac:dyDescent="0.25" r="606" customHeight="1" ht="15.75">
      <c r="A606" s="2"/>
      <c r="B606" s="34"/>
      <c r="C606" s="34"/>
      <c r="D606" s="34"/>
      <c r="E606" s="34"/>
      <c r="F606" s="34"/>
      <c r="G606" s="34"/>
      <c r="H606" s="34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476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34"/>
      <c r="AH606" s="34"/>
    </row>
    <row x14ac:dyDescent="0.25" r="607" customHeight="1" ht="15.75">
      <c r="A607" s="2"/>
      <c r="B607" s="34"/>
      <c r="C607" s="34"/>
      <c r="D607" s="34"/>
      <c r="E607" s="34"/>
      <c r="F607" s="34"/>
      <c r="G607" s="34"/>
      <c r="H607" s="34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476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34"/>
      <c r="AH607" s="34"/>
    </row>
    <row x14ac:dyDescent="0.25" r="608" customHeight="1" ht="15.75">
      <c r="A608" s="2"/>
      <c r="B608" s="34"/>
      <c r="C608" s="34"/>
      <c r="D608" s="34"/>
      <c r="E608" s="34"/>
      <c r="F608" s="34"/>
      <c r="G608" s="34"/>
      <c r="H608" s="34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476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34"/>
      <c r="AH608" s="34"/>
    </row>
    <row x14ac:dyDescent="0.25" r="609" customHeight="1" ht="15.75">
      <c r="A609" s="2"/>
      <c r="B609" s="34"/>
      <c r="C609" s="34"/>
      <c r="D609" s="34"/>
      <c r="E609" s="34"/>
      <c r="F609" s="34"/>
      <c r="G609" s="34"/>
      <c r="H609" s="34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476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34"/>
      <c r="AH609" s="34"/>
    </row>
    <row x14ac:dyDescent="0.25" r="610" customHeight="1" ht="15.75">
      <c r="A610" s="2"/>
      <c r="B610" s="34"/>
      <c r="C610" s="34"/>
      <c r="D610" s="34"/>
      <c r="E610" s="34"/>
      <c r="F610" s="34"/>
      <c r="G610" s="34"/>
      <c r="H610" s="34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476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34"/>
      <c r="AH610" s="34"/>
    </row>
    <row x14ac:dyDescent="0.25" r="611" customHeight="1" ht="15.75">
      <c r="A611" s="2"/>
      <c r="B611" s="34"/>
      <c r="C611" s="34"/>
      <c r="D611" s="34"/>
      <c r="E611" s="34"/>
      <c r="F611" s="34"/>
      <c r="G611" s="34"/>
      <c r="H611" s="34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476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34"/>
      <c r="AH611" s="34"/>
    </row>
    <row x14ac:dyDescent="0.25" r="612" customHeight="1" ht="15.75">
      <c r="A612" s="2"/>
      <c r="B612" s="34"/>
      <c r="C612" s="34"/>
      <c r="D612" s="34"/>
      <c r="E612" s="34"/>
      <c r="F612" s="34"/>
      <c r="G612" s="34"/>
      <c r="H612" s="34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476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34"/>
      <c r="AH612" s="34"/>
    </row>
    <row x14ac:dyDescent="0.25" r="613" customHeight="1" ht="15.75">
      <c r="A613" s="2"/>
      <c r="B613" s="34"/>
      <c r="C613" s="34"/>
      <c r="D613" s="34"/>
      <c r="E613" s="34"/>
      <c r="F613" s="34"/>
      <c r="G613" s="34"/>
      <c r="H613" s="34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476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34"/>
      <c r="AH613" s="34"/>
    </row>
    <row x14ac:dyDescent="0.25" r="614" customHeight="1" ht="15.75">
      <c r="A614" s="2"/>
      <c r="B614" s="34"/>
      <c r="C614" s="34"/>
      <c r="D614" s="34"/>
      <c r="E614" s="34"/>
      <c r="F614" s="34"/>
      <c r="G614" s="34"/>
      <c r="H614" s="34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476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34"/>
      <c r="AH614" s="34"/>
    </row>
    <row x14ac:dyDescent="0.25" r="615" customHeight="1" ht="15.75">
      <c r="A615" s="2"/>
      <c r="B615" s="34"/>
      <c r="C615" s="34"/>
      <c r="D615" s="34"/>
      <c r="E615" s="34"/>
      <c r="F615" s="34"/>
      <c r="G615" s="34"/>
      <c r="H615" s="34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476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34"/>
      <c r="AH615" s="34"/>
    </row>
    <row x14ac:dyDescent="0.25" r="616" customHeight="1" ht="15.75">
      <c r="A616" s="2"/>
      <c r="B616" s="34"/>
      <c r="C616" s="34"/>
      <c r="D616" s="34"/>
      <c r="E616" s="34"/>
      <c r="F616" s="34"/>
      <c r="G616" s="34"/>
      <c r="H616" s="34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476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34"/>
      <c r="AH616" s="34"/>
    </row>
    <row x14ac:dyDescent="0.25" r="617" customHeight="1" ht="15.75">
      <c r="A617" s="2"/>
      <c r="B617" s="34"/>
      <c r="C617" s="34"/>
      <c r="D617" s="34"/>
      <c r="E617" s="34"/>
      <c r="F617" s="34"/>
      <c r="G617" s="34"/>
      <c r="H617" s="34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476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34"/>
      <c r="AH617" s="34"/>
    </row>
    <row x14ac:dyDescent="0.25" r="618" customHeight="1" ht="15.75">
      <c r="A618" s="2"/>
      <c r="B618" s="34"/>
      <c r="C618" s="34"/>
      <c r="D618" s="34"/>
      <c r="E618" s="34"/>
      <c r="F618" s="34"/>
      <c r="G618" s="34"/>
      <c r="H618" s="34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476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34"/>
      <c r="AH618" s="34"/>
    </row>
    <row x14ac:dyDescent="0.25" r="619" customHeight="1" ht="15.75">
      <c r="A619" s="2"/>
      <c r="B619" s="34"/>
      <c r="C619" s="34"/>
      <c r="D619" s="34"/>
      <c r="E619" s="34"/>
      <c r="F619" s="34"/>
      <c r="G619" s="34"/>
      <c r="H619" s="34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476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34"/>
      <c r="AH619" s="34"/>
    </row>
    <row x14ac:dyDescent="0.25" r="620" customHeight="1" ht="15.75">
      <c r="A620" s="2"/>
      <c r="B620" s="34"/>
      <c r="C620" s="34"/>
      <c r="D620" s="34"/>
      <c r="E620" s="34"/>
      <c r="F620" s="34"/>
      <c r="G620" s="34"/>
      <c r="H620" s="34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476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34"/>
      <c r="AH620" s="34"/>
    </row>
    <row x14ac:dyDescent="0.25" r="621" customHeight="1" ht="15.75">
      <c r="A621" s="2"/>
      <c r="B621" s="34"/>
      <c r="C621" s="34"/>
      <c r="D621" s="34"/>
      <c r="E621" s="34"/>
      <c r="F621" s="34"/>
      <c r="G621" s="34"/>
      <c r="H621" s="34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476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34"/>
      <c r="AH621" s="34"/>
    </row>
    <row x14ac:dyDescent="0.25" r="622" customHeight="1" ht="15.75">
      <c r="A622" s="2"/>
      <c r="B622" s="34"/>
      <c r="C622" s="34"/>
      <c r="D622" s="34"/>
      <c r="E622" s="34"/>
      <c r="F622" s="34"/>
      <c r="G622" s="34"/>
      <c r="H622" s="34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476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34"/>
      <c r="AH622" s="34"/>
    </row>
    <row x14ac:dyDescent="0.25" r="623" customHeight="1" ht="15.75">
      <c r="A623" s="2"/>
      <c r="B623" s="34"/>
      <c r="C623" s="34"/>
      <c r="D623" s="34"/>
      <c r="E623" s="34"/>
      <c r="F623" s="34"/>
      <c r="G623" s="34"/>
      <c r="H623" s="34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476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34"/>
      <c r="AH623" s="34"/>
    </row>
    <row x14ac:dyDescent="0.25" r="624" customHeight="1" ht="15.75">
      <c r="A624" s="2"/>
      <c r="B624" s="34"/>
      <c r="C624" s="34"/>
      <c r="D624" s="34"/>
      <c r="E624" s="34"/>
      <c r="F624" s="34"/>
      <c r="G624" s="34"/>
      <c r="H624" s="34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476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34"/>
      <c r="AH624" s="34"/>
    </row>
    <row x14ac:dyDescent="0.25" r="625" customHeight="1" ht="15.75">
      <c r="A625" s="2"/>
      <c r="B625" s="34"/>
      <c r="C625" s="34"/>
      <c r="D625" s="34"/>
      <c r="E625" s="34"/>
      <c r="F625" s="34"/>
      <c r="G625" s="34"/>
      <c r="H625" s="34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476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34"/>
      <c r="AH625" s="34"/>
    </row>
    <row x14ac:dyDescent="0.25" r="626" customHeight="1" ht="15.75">
      <c r="A626" s="2"/>
      <c r="B626" s="34"/>
      <c r="C626" s="34"/>
      <c r="D626" s="34"/>
      <c r="E626" s="34"/>
      <c r="F626" s="34"/>
      <c r="G626" s="34"/>
      <c r="H626" s="34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476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34"/>
      <c r="AH626" s="34"/>
    </row>
    <row x14ac:dyDescent="0.25" r="627" customHeight="1" ht="15.75">
      <c r="A627" s="2"/>
      <c r="B627" s="34"/>
      <c r="C627" s="34"/>
      <c r="D627" s="34"/>
      <c r="E627" s="34"/>
      <c r="F627" s="34"/>
      <c r="G627" s="34"/>
      <c r="H627" s="34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476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34"/>
      <c r="AH627" s="34"/>
    </row>
    <row x14ac:dyDescent="0.25" r="628" customHeight="1" ht="15.75">
      <c r="A628" s="2"/>
      <c r="B628" s="34"/>
      <c r="C628" s="34"/>
      <c r="D628" s="34"/>
      <c r="E628" s="34"/>
      <c r="F628" s="34"/>
      <c r="G628" s="34"/>
      <c r="H628" s="34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476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34"/>
      <c r="AH628" s="34"/>
    </row>
    <row x14ac:dyDescent="0.25" r="629" customHeight="1" ht="15.75">
      <c r="A629" s="2"/>
      <c r="B629" s="34"/>
      <c r="C629" s="34"/>
      <c r="D629" s="34"/>
      <c r="E629" s="34"/>
      <c r="F629" s="34"/>
      <c r="G629" s="34"/>
      <c r="H629" s="34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476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34"/>
      <c r="AH629" s="34"/>
    </row>
    <row x14ac:dyDescent="0.25" r="630" customHeight="1" ht="15.75">
      <c r="A630" s="2"/>
      <c r="B630" s="34"/>
      <c r="C630" s="34"/>
      <c r="D630" s="34"/>
      <c r="E630" s="34"/>
      <c r="F630" s="34"/>
      <c r="G630" s="34"/>
      <c r="H630" s="34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476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34"/>
      <c r="AH630" s="34"/>
    </row>
    <row x14ac:dyDescent="0.25" r="631" customHeight="1" ht="15.75">
      <c r="A631" s="2"/>
      <c r="B631" s="34"/>
      <c r="C631" s="34"/>
      <c r="D631" s="34"/>
      <c r="E631" s="34"/>
      <c r="F631" s="34"/>
      <c r="G631" s="34"/>
      <c r="H631" s="34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476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34"/>
      <c r="AH631" s="34"/>
    </row>
    <row x14ac:dyDescent="0.25" r="632" customHeight="1" ht="15.75">
      <c r="A632" s="2"/>
      <c r="B632" s="34"/>
      <c r="C632" s="34"/>
      <c r="D632" s="34"/>
      <c r="E632" s="34"/>
      <c r="F632" s="34"/>
      <c r="G632" s="34"/>
      <c r="H632" s="34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476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34"/>
      <c r="AH632" s="34"/>
    </row>
    <row x14ac:dyDescent="0.25" r="633" customHeight="1" ht="15.75">
      <c r="A633" s="2"/>
      <c r="B633" s="34"/>
      <c r="C633" s="34"/>
      <c r="D633" s="34"/>
      <c r="E633" s="34"/>
      <c r="F633" s="34"/>
      <c r="G633" s="34"/>
      <c r="H633" s="34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476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34"/>
      <c r="AH633" s="34"/>
    </row>
    <row x14ac:dyDescent="0.25" r="634" customHeight="1" ht="15.75">
      <c r="A634" s="2"/>
      <c r="B634" s="34"/>
      <c r="C634" s="34"/>
      <c r="D634" s="34"/>
      <c r="E634" s="34"/>
      <c r="F634" s="34"/>
      <c r="G634" s="34"/>
      <c r="H634" s="34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476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34"/>
      <c r="AH634" s="34"/>
    </row>
    <row x14ac:dyDescent="0.25" r="635" customHeight="1" ht="15.75">
      <c r="A635" s="2"/>
      <c r="B635" s="34"/>
      <c r="C635" s="34"/>
      <c r="D635" s="34"/>
      <c r="E635" s="34"/>
      <c r="F635" s="34"/>
      <c r="G635" s="34"/>
      <c r="H635" s="34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476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34"/>
      <c r="AH635" s="34"/>
    </row>
    <row x14ac:dyDescent="0.25" r="636" customHeight="1" ht="15.75">
      <c r="A636" s="2"/>
      <c r="B636" s="34"/>
      <c r="C636" s="34"/>
      <c r="D636" s="34"/>
      <c r="E636" s="34"/>
      <c r="F636" s="34"/>
      <c r="G636" s="34"/>
      <c r="H636" s="34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476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34"/>
      <c r="AH636" s="34"/>
    </row>
    <row x14ac:dyDescent="0.25" r="637" customHeight="1" ht="15.75">
      <c r="A637" s="2"/>
      <c r="B637" s="34"/>
      <c r="C637" s="34"/>
      <c r="D637" s="34"/>
      <c r="E637" s="34"/>
      <c r="F637" s="34"/>
      <c r="G637" s="34"/>
      <c r="H637" s="34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476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34"/>
      <c r="AH637" s="34"/>
    </row>
    <row x14ac:dyDescent="0.25" r="638" customHeight="1" ht="15.75">
      <c r="A638" s="2"/>
      <c r="B638" s="34"/>
      <c r="C638" s="34"/>
      <c r="D638" s="34"/>
      <c r="E638" s="34"/>
      <c r="F638" s="34"/>
      <c r="G638" s="34"/>
      <c r="H638" s="34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476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34"/>
      <c r="AH638" s="34"/>
    </row>
    <row x14ac:dyDescent="0.25" r="639" customHeight="1" ht="15.75">
      <c r="A639" s="2"/>
      <c r="B639" s="34"/>
      <c r="C639" s="34"/>
      <c r="D639" s="34"/>
      <c r="E639" s="34"/>
      <c r="F639" s="34"/>
      <c r="G639" s="34"/>
      <c r="H639" s="34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476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34"/>
      <c r="AH639" s="34"/>
    </row>
    <row x14ac:dyDescent="0.25" r="640" customHeight="1" ht="15.75">
      <c r="A640" s="2"/>
      <c r="B640" s="34"/>
      <c r="C640" s="34"/>
      <c r="D640" s="34"/>
      <c r="E640" s="34"/>
      <c r="F640" s="34"/>
      <c r="G640" s="34"/>
      <c r="H640" s="34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476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34"/>
      <c r="AH640" s="34"/>
    </row>
    <row x14ac:dyDescent="0.25" r="641" customHeight="1" ht="15.75">
      <c r="A641" s="2"/>
      <c r="B641" s="34"/>
      <c r="C641" s="34"/>
      <c r="D641" s="34"/>
      <c r="E641" s="34"/>
      <c r="F641" s="34"/>
      <c r="G641" s="34"/>
      <c r="H641" s="34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476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34"/>
      <c r="AH641" s="34"/>
    </row>
    <row x14ac:dyDescent="0.25" r="642" customHeight="1" ht="15.75">
      <c r="A642" s="2"/>
      <c r="B642" s="34"/>
      <c r="C642" s="34"/>
      <c r="D642" s="34"/>
      <c r="E642" s="34"/>
      <c r="F642" s="34"/>
      <c r="G642" s="34"/>
      <c r="H642" s="34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476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34"/>
      <c r="AH642" s="34"/>
    </row>
    <row x14ac:dyDescent="0.25" r="643" customHeight="1" ht="15.75">
      <c r="A643" s="2"/>
      <c r="B643" s="34"/>
      <c r="C643" s="34"/>
      <c r="D643" s="34"/>
      <c r="E643" s="34"/>
      <c r="F643" s="34"/>
      <c r="G643" s="34"/>
      <c r="H643" s="34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476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34"/>
      <c r="AH643" s="34"/>
    </row>
    <row x14ac:dyDescent="0.25" r="644" customHeight="1" ht="15.75">
      <c r="A644" s="2"/>
      <c r="B644" s="34"/>
      <c r="C644" s="34"/>
      <c r="D644" s="34"/>
      <c r="E644" s="34"/>
      <c r="F644" s="34"/>
      <c r="G644" s="34"/>
      <c r="H644" s="34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476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34"/>
      <c r="AH644" s="34"/>
    </row>
    <row x14ac:dyDescent="0.25" r="645" customHeight="1" ht="15.75">
      <c r="A645" s="2"/>
      <c r="B645" s="34"/>
      <c r="C645" s="34"/>
      <c r="D645" s="34"/>
      <c r="E645" s="34"/>
      <c r="F645" s="34"/>
      <c r="G645" s="34"/>
      <c r="H645" s="34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476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34"/>
      <c r="AH645" s="34"/>
    </row>
    <row x14ac:dyDescent="0.25" r="646" customHeight="1" ht="15.75">
      <c r="A646" s="2"/>
      <c r="B646" s="34"/>
      <c r="C646" s="34"/>
      <c r="D646" s="34"/>
      <c r="E646" s="34"/>
      <c r="F646" s="34"/>
      <c r="G646" s="34"/>
      <c r="H646" s="34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476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34"/>
      <c r="AH646" s="34"/>
    </row>
    <row x14ac:dyDescent="0.25" r="647" customHeight="1" ht="15.75">
      <c r="A647" s="2"/>
      <c r="B647" s="34"/>
      <c r="C647" s="34"/>
      <c r="D647" s="34"/>
      <c r="E647" s="34"/>
      <c r="F647" s="34"/>
      <c r="G647" s="34"/>
      <c r="H647" s="34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476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34"/>
      <c r="AH647" s="34"/>
    </row>
    <row x14ac:dyDescent="0.25" r="648" customHeight="1" ht="15.75">
      <c r="A648" s="2"/>
      <c r="B648" s="34"/>
      <c r="C648" s="34"/>
      <c r="D648" s="34"/>
      <c r="E648" s="34"/>
      <c r="F648" s="34"/>
      <c r="G648" s="34"/>
      <c r="H648" s="34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476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34"/>
      <c r="AH648" s="34"/>
    </row>
    <row x14ac:dyDescent="0.25" r="649" customHeight="1" ht="15.75">
      <c r="A649" s="2"/>
      <c r="B649" s="34"/>
      <c r="C649" s="34"/>
      <c r="D649" s="34"/>
      <c r="E649" s="34"/>
      <c r="F649" s="34"/>
      <c r="G649" s="34"/>
      <c r="H649" s="34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476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34"/>
      <c r="AH649" s="34"/>
    </row>
    <row x14ac:dyDescent="0.25" r="650" customHeight="1" ht="15.75">
      <c r="A650" s="2"/>
      <c r="B650" s="34"/>
      <c r="C650" s="34"/>
      <c r="D650" s="34"/>
      <c r="E650" s="34"/>
      <c r="F650" s="34"/>
      <c r="G650" s="34"/>
      <c r="H650" s="34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476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34"/>
      <c r="AH650" s="34"/>
    </row>
    <row x14ac:dyDescent="0.25" r="651" customHeight="1" ht="15.75">
      <c r="A651" s="2"/>
      <c r="B651" s="34"/>
      <c r="C651" s="34"/>
      <c r="D651" s="34"/>
      <c r="E651" s="34"/>
      <c r="F651" s="34"/>
      <c r="G651" s="34"/>
      <c r="H651" s="34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476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34"/>
      <c r="AH651" s="34"/>
    </row>
    <row x14ac:dyDescent="0.25" r="652" customHeight="1" ht="15.75">
      <c r="A652" s="2"/>
      <c r="B652" s="34"/>
      <c r="C652" s="34"/>
      <c r="D652" s="34"/>
      <c r="E652" s="34"/>
      <c r="F652" s="34"/>
      <c r="G652" s="34"/>
      <c r="H652" s="34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476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34"/>
      <c r="AH652" s="34"/>
    </row>
    <row x14ac:dyDescent="0.25" r="653" customHeight="1" ht="15.75">
      <c r="A653" s="2"/>
      <c r="B653" s="34"/>
      <c r="C653" s="34"/>
      <c r="D653" s="34"/>
      <c r="E653" s="34"/>
      <c r="F653" s="34"/>
      <c r="G653" s="34"/>
      <c r="H653" s="34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476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34"/>
      <c r="AH653" s="34"/>
    </row>
    <row x14ac:dyDescent="0.25" r="654" customHeight="1" ht="15.75">
      <c r="A654" s="2"/>
      <c r="B654" s="34"/>
      <c r="C654" s="34"/>
      <c r="D654" s="34"/>
      <c r="E654" s="34"/>
      <c r="F654" s="34"/>
      <c r="G654" s="34"/>
      <c r="H654" s="34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476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34"/>
      <c r="AH654" s="34"/>
    </row>
    <row x14ac:dyDescent="0.25" r="655" customHeight="1" ht="15.75">
      <c r="A655" s="2"/>
      <c r="B655" s="34"/>
      <c r="C655" s="34"/>
      <c r="D655" s="34"/>
      <c r="E655" s="34"/>
      <c r="F655" s="34"/>
      <c r="G655" s="34"/>
      <c r="H655" s="34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476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34"/>
      <c r="AH655" s="34"/>
    </row>
    <row x14ac:dyDescent="0.25" r="656" customHeight="1" ht="15.75">
      <c r="A656" s="2"/>
      <c r="B656" s="34"/>
      <c r="C656" s="34"/>
      <c r="D656" s="34"/>
      <c r="E656" s="34"/>
      <c r="F656" s="34"/>
      <c r="G656" s="34"/>
      <c r="H656" s="34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476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34"/>
      <c r="AH656" s="34"/>
    </row>
    <row x14ac:dyDescent="0.25" r="657" customHeight="1" ht="15.75">
      <c r="A657" s="2"/>
      <c r="B657" s="34"/>
      <c r="C657" s="34"/>
      <c r="D657" s="34"/>
      <c r="E657" s="34"/>
      <c r="F657" s="34"/>
      <c r="G657" s="34"/>
      <c r="H657" s="34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476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34"/>
      <c r="AH657" s="34"/>
    </row>
    <row x14ac:dyDescent="0.25" r="658" customHeight="1" ht="15.75">
      <c r="A658" s="2"/>
      <c r="B658" s="34"/>
      <c r="C658" s="34"/>
      <c r="D658" s="34"/>
      <c r="E658" s="34"/>
      <c r="F658" s="34"/>
      <c r="G658" s="34"/>
      <c r="H658" s="34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476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34"/>
      <c r="AH658" s="34"/>
    </row>
    <row x14ac:dyDescent="0.25" r="659" customHeight="1" ht="15.75">
      <c r="A659" s="2"/>
      <c r="B659" s="34"/>
      <c r="C659" s="34"/>
      <c r="D659" s="34"/>
      <c r="E659" s="34"/>
      <c r="F659" s="34"/>
      <c r="G659" s="34"/>
      <c r="H659" s="34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476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34"/>
      <c r="AH659" s="34"/>
    </row>
    <row x14ac:dyDescent="0.25" r="660" customHeight="1" ht="15.75">
      <c r="A660" s="2"/>
      <c r="B660" s="34"/>
      <c r="C660" s="34"/>
      <c r="D660" s="34"/>
      <c r="E660" s="34"/>
      <c r="F660" s="34"/>
      <c r="G660" s="34"/>
      <c r="H660" s="34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476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34"/>
      <c r="AH660" s="34"/>
    </row>
    <row x14ac:dyDescent="0.25" r="661" customHeight="1" ht="15.75">
      <c r="A661" s="2"/>
      <c r="B661" s="34"/>
      <c r="C661" s="34"/>
      <c r="D661" s="34"/>
      <c r="E661" s="34"/>
      <c r="F661" s="34"/>
      <c r="G661" s="34"/>
      <c r="H661" s="34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476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34"/>
      <c r="AH661" s="34"/>
    </row>
    <row x14ac:dyDescent="0.25" r="662" customHeight="1" ht="15.75">
      <c r="A662" s="2"/>
      <c r="B662" s="34"/>
      <c r="C662" s="34"/>
      <c r="D662" s="34"/>
      <c r="E662" s="34"/>
      <c r="F662" s="34"/>
      <c r="G662" s="34"/>
      <c r="H662" s="34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476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34"/>
      <c r="AH662" s="34"/>
    </row>
    <row x14ac:dyDescent="0.25" r="663" customHeight="1" ht="15.75">
      <c r="A663" s="2"/>
      <c r="B663" s="34"/>
      <c r="C663" s="34"/>
      <c r="D663" s="34"/>
      <c r="E663" s="34"/>
      <c r="F663" s="34"/>
      <c r="G663" s="34"/>
      <c r="H663" s="34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476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34"/>
      <c r="AH663" s="34"/>
    </row>
    <row x14ac:dyDescent="0.25" r="664" customHeight="1" ht="15.75">
      <c r="A664" s="2"/>
      <c r="B664" s="34"/>
      <c r="C664" s="34"/>
      <c r="D664" s="34"/>
      <c r="E664" s="34"/>
      <c r="F664" s="34"/>
      <c r="G664" s="34"/>
      <c r="H664" s="34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476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34"/>
      <c r="AH664" s="34"/>
    </row>
    <row x14ac:dyDescent="0.25" r="665" customHeight="1" ht="15.75">
      <c r="A665" s="2"/>
      <c r="B665" s="34"/>
      <c r="C665" s="34"/>
      <c r="D665" s="34"/>
      <c r="E665" s="34"/>
      <c r="F665" s="34"/>
      <c r="G665" s="34"/>
      <c r="H665" s="34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476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34"/>
      <c r="AH665" s="34"/>
    </row>
    <row x14ac:dyDescent="0.25" r="666" customHeight="1" ht="15.75">
      <c r="A666" s="2"/>
      <c r="B666" s="34"/>
      <c r="C666" s="34"/>
      <c r="D666" s="34"/>
      <c r="E666" s="34"/>
      <c r="F666" s="34"/>
      <c r="G666" s="34"/>
      <c r="H666" s="34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476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34"/>
      <c r="AH666" s="34"/>
    </row>
    <row x14ac:dyDescent="0.25" r="667" customHeight="1" ht="15.75">
      <c r="A667" s="2"/>
      <c r="B667" s="34"/>
      <c r="C667" s="34"/>
      <c r="D667" s="34"/>
      <c r="E667" s="34"/>
      <c r="F667" s="34"/>
      <c r="G667" s="34"/>
      <c r="H667" s="34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476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34"/>
      <c r="AH667" s="34"/>
    </row>
    <row x14ac:dyDescent="0.25" r="668" customHeight="1" ht="15.75">
      <c r="A668" s="2"/>
      <c r="B668" s="34"/>
      <c r="C668" s="34"/>
      <c r="D668" s="34"/>
      <c r="E668" s="34"/>
      <c r="F668" s="34"/>
      <c r="G668" s="34"/>
      <c r="H668" s="34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476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34"/>
      <c r="AH668" s="34"/>
    </row>
    <row x14ac:dyDescent="0.25" r="669" customHeight="1" ht="15.75">
      <c r="A669" s="2"/>
      <c r="B669" s="34"/>
      <c r="C669" s="34"/>
      <c r="D669" s="34"/>
      <c r="E669" s="34"/>
      <c r="F669" s="34"/>
      <c r="G669" s="34"/>
      <c r="H669" s="34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476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34"/>
      <c r="AH669" s="34"/>
    </row>
    <row x14ac:dyDescent="0.25" r="670" customHeight="1" ht="15.75">
      <c r="A670" s="2"/>
      <c r="B670" s="34"/>
      <c r="C670" s="34"/>
      <c r="D670" s="34"/>
      <c r="E670" s="34"/>
      <c r="F670" s="34"/>
      <c r="G670" s="34"/>
      <c r="H670" s="34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476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34"/>
      <c r="AH670" s="34"/>
    </row>
    <row x14ac:dyDescent="0.25" r="671" customHeight="1" ht="15.75">
      <c r="A671" s="2"/>
      <c r="B671" s="34"/>
      <c r="C671" s="34"/>
      <c r="D671" s="34"/>
      <c r="E671" s="34"/>
      <c r="F671" s="34"/>
      <c r="G671" s="34"/>
      <c r="H671" s="34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476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34"/>
      <c r="AH671" s="34"/>
    </row>
    <row x14ac:dyDescent="0.25" r="672" customHeight="1" ht="15.75">
      <c r="A672" s="2"/>
      <c r="B672" s="34"/>
      <c r="C672" s="34"/>
      <c r="D672" s="34"/>
      <c r="E672" s="34"/>
      <c r="F672" s="34"/>
      <c r="G672" s="34"/>
      <c r="H672" s="34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476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34"/>
      <c r="AH672" s="34"/>
    </row>
    <row x14ac:dyDescent="0.25" r="673" customHeight="1" ht="15.75">
      <c r="A673" s="2"/>
      <c r="B673" s="34"/>
      <c r="C673" s="34"/>
      <c r="D673" s="34"/>
      <c r="E673" s="34"/>
      <c r="F673" s="34"/>
      <c r="G673" s="34"/>
      <c r="H673" s="34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476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34"/>
      <c r="AH673" s="34"/>
    </row>
    <row x14ac:dyDescent="0.25" r="674" customHeight="1" ht="15.75">
      <c r="A674" s="2"/>
      <c r="B674" s="34"/>
      <c r="C674" s="34"/>
      <c r="D674" s="34"/>
      <c r="E674" s="34"/>
      <c r="F674" s="34"/>
      <c r="G674" s="34"/>
      <c r="H674" s="34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476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34"/>
      <c r="AH674" s="34"/>
    </row>
    <row x14ac:dyDescent="0.25" r="675" customHeight="1" ht="15.75">
      <c r="A675" s="2"/>
      <c r="B675" s="34"/>
      <c r="C675" s="34"/>
      <c r="D675" s="34"/>
      <c r="E675" s="34"/>
      <c r="F675" s="34"/>
      <c r="G675" s="34"/>
      <c r="H675" s="34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476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34"/>
      <c r="AH675" s="34"/>
    </row>
    <row x14ac:dyDescent="0.25" r="676" customHeight="1" ht="15.75">
      <c r="A676" s="2"/>
      <c r="B676" s="34"/>
      <c r="C676" s="34"/>
      <c r="D676" s="34"/>
      <c r="E676" s="34"/>
      <c r="F676" s="34"/>
      <c r="G676" s="34"/>
      <c r="H676" s="34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476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34"/>
      <c r="AH676" s="34"/>
    </row>
    <row x14ac:dyDescent="0.25" r="677" customHeight="1" ht="15.75">
      <c r="A677" s="2"/>
      <c r="B677" s="34"/>
      <c r="C677" s="34"/>
      <c r="D677" s="34"/>
      <c r="E677" s="34"/>
      <c r="F677" s="34"/>
      <c r="G677" s="34"/>
      <c r="H677" s="34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476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34"/>
      <c r="AH677" s="34"/>
    </row>
    <row x14ac:dyDescent="0.25" r="678" customHeight="1" ht="15.75">
      <c r="A678" s="2"/>
      <c r="B678" s="34"/>
      <c r="C678" s="34"/>
      <c r="D678" s="34"/>
      <c r="E678" s="34"/>
      <c r="F678" s="34"/>
      <c r="G678" s="34"/>
      <c r="H678" s="34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476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34"/>
      <c r="AH678" s="34"/>
    </row>
    <row x14ac:dyDescent="0.25" r="679" customHeight="1" ht="15.75">
      <c r="A679" s="2"/>
      <c r="B679" s="34"/>
      <c r="C679" s="34"/>
      <c r="D679" s="34"/>
      <c r="E679" s="34"/>
      <c r="F679" s="34"/>
      <c r="G679" s="34"/>
      <c r="H679" s="34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476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34"/>
      <c r="AH679" s="34"/>
    </row>
    <row x14ac:dyDescent="0.25" r="680" customHeight="1" ht="15.75">
      <c r="A680" s="2"/>
      <c r="B680" s="34"/>
      <c r="C680" s="34"/>
      <c r="D680" s="34"/>
      <c r="E680" s="34"/>
      <c r="F680" s="34"/>
      <c r="G680" s="34"/>
      <c r="H680" s="34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476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34"/>
      <c r="AH680" s="34"/>
    </row>
    <row x14ac:dyDescent="0.25" r="681" customHeight="1" ht="15.75">
      <c r="A681" s="2"/>
      <c r="B681" s="34"/>
      <c r="C681" s="34"/>
      <c r="D681" s="34"/>
      <c r="E681" s="34"/>
      <c r="F681" s="34"/>
      <c r="G681" s="34"/>
      <c r="H681" s="34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476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34"/>
      <c r="AH681" s="34"/>
    </row>
    <row x14ac:dyDescent="0.25" r="682" customHeight="1" ht="15.75">
      <c r="A682" s="2"/>
      <c r="B682" s="34"/>
      <c r="C682" s="34"/>
      <c r="D682" s="34"/>
      <c r="E682" s="34"/>
      <c r="F682" s="34"/>
      <c r="G682" s="34"/>
      <c r="H682" s="34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476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34"/>
      <c r="AH682" s="34"/>
    </row>
    <row x14ac:dyDescent="0.25" r="683" customHeight="1" ht="15.75">
      <c r="A683" s="2"/>
      <c r="B683" s="34"/>
      <c r="C683" s="34"/>
      <c r="D683" s="34"/>
      <c r="E683" s="34"/>
      <c r="F683" s="34"/>
      <c r="G683" s="34"/>
      <c r="H683" s="34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476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34"/>
      <c r="AH683" s="34"/>
    </row>
    <row x14ac:dyDescent="0.25" r="684" customHeight="1" ht="15.75">
      <c r="A684" s="2"/>
      <c r="B684" s="34"/>
      <c r="C684" s="34"/>
      <c r="D684" s="34"/>
      <c r="E684" s="34"/>
      <c r="F684" s="34"/>
      <c r="G684" s="34"/>
      <c r="H684" s="34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476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34"/>
      <c r="AH684" s="34"/>
    </row>
    <row x14ac:dyDescent="0.25" r="685" customHeight="1" ht="15.75">
      <c r="A685" s="2"/>
      <c r="B685" s="34"/>
      <c r="C685" s="34"/>
      <c r="D685" s="34"/>
      <c r="E685" s="34"/>
      <c r="F685" s="34"/>
      <c r="G685" s="34"/>
      <c r="H685" s="34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476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34"/>
      <c r="AH685" s="34"/>
    </row>
    <row x14ac:dyDescent="0.25" r="686" customHeight="1" ht="15.75">
      <c r="A686" s="2"/>
      <c r="B686" s="34"/>
      <c r="C686" s="34"/>
      <c r="D686" s="34"/>
      <c r="E686" s="34"/>
      <c r="F686" s="34"/>
      <c r="G686" s="34"/>
      <c r="H686" s="34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476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34"/>
      <c r="AH686" s="34"/>
    </row>
    <row x14ac:dyDescent="0.25" r="687" customHeight="1" ht="15.75">
      <c r="A687" s="2"/>
      <c r="B687" s="34"/>
      <c r="C687" s="34"/>
      <c r="D687" s="34"/>
      <c r="E687" s="34"/>
      <c r="F687" s="34"/>
      <c r="G687" s="34"/>
      <c r="H687" s="34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476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34"/>
      <c r="AH687" s="34"/>
    </row>
    <row x14ac:dyDescent="0.25" r="688" customHeight="1" ht="15.75">
      <c r="A688" s="2"/>
      <c r="B688" s="34"/>
      <c r="C688" s="34"/>
      <c r="D688" s="34"/>
      <c r="E688" s="34"/>
      <c r="F688" s="34"/>
      <c r="G688" s="34"/>
      <c r="H688" s="34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476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34"/>
      <c r="AH688" s="34"/>
    </row>
    <row x14ac:dyDescent="0.25" r="689" customHeight="1" ht="15.75">
      <c r="A689" s="2"/>
      <c r="B689" s="34"/>
      <c r="C689" s="34"/>
      <c r="D689" s="34"/>
      <c r="E689" s="34"/>
      <c r="F689" s="34"/>
      <c r="G689" s="34"/>
      <c r="H689" s="34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476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34"/>
      <c r="AH689" s="34"/>
    </row>
    <row x14ac:dyDescent="0.25" r="690" customHeight="1" ht="15.75">
      <c r="A690" s="2"/>
      <c r="B690" s="34"/>
      <c r="C690" s="34"/>
      <c r="D690" s="34"/>
      <c r="E690" s="34"/>
      <c r="F690" s="34"/>
      <c r="G690" s="34"/>
      <c r="H690" s="34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476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34"/>
      <c r="AH690" s="34"/>
    </row>
    <row x14ac:dyDescent="0.25" r="691" customHeight="1" ht="15.75">
      <c r="A691" s="2"/>
      <c r="B691" s="34"/>
      <c r="C691" s="34"/>
      <c r="D691" s="34"/>
      <c r="E691" s="34"/>
      <c r="F691" s="34"/>
      <c r="G691" s="34"/>
      <c r="H691" s="34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476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34"/>
      <c r="AH691" s="34"/>
    </row>
    <row x14ac:dyDescent="0.25" r="692" customHeight="1" ht="15.75">
      <c r="A692" s="2"/>
      <c r="B692" s="34"/>
      <c r="C692" s="34"/>
      <c r="D692" s="34"/>
      <c r="E692" s="34"/>
      <c r="F692" s="34"/>
      <c r="G692" s="34"/>
      <c r="H692" s="34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476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34"/>
      <c r="AH692" s="34"/>
    </row>
    <row x14ac:dyDescent="0.25" r="693" customHeight="1" ht="15.75">
      <c r="A693" s="2"/>
      <c r="B693" s="34"/>
      <c r="C693" s="34"/>
      <c r="D693" s="34"/>
      <c r="E693" s="34"/>
      <c r="F693" s="34"/>
      <c r="G693" s="34"/>
      <c r="H693" s="34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476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34"/>
      <c r="AH693" s="34"/>
    </row>
    <row x14ac:dyDescent="0.25" r="694" customHeight="1" ht="15.75">
      <c r="A694" s="2"/>
      <c r="B694" s="34"/>
      <c r="C694" s="34"/>
      <c r="D694" s="34"/>
      <c r="E694" s="34"/>
      <c r="F694" s="34"/>
      <c r="G694" s="34"/>
      <c r="H694" s="34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476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34"/>
      <c r="AH694" s="34"/>
    </row>
    <row x14ac:dyDescent="0.25" r="695" customHeight="1" ht="15.75">
      <c r="A695" s="2"/>
      <c r="B695" s="34"/>
      <c r="C695" s="34"/>
      <c r="D695" s="34"/>
      <c r="E695" s="34"/>
      <c r="F695" s="34"/>
      <c r="G695" s="34"/>
      <c r="H695" s="34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476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34"/>
      <c r="AH695" s="34"/>
    </row>
    <row x14ac:dyDescent="0.25" r="696" customHeight="1" ht="15.75">
      <c r="A696" s="2"/>
      <c r="B696" s="34"/>
      <c r="C696" s="34"/>
      <c r="D696" s="34"/>
      <c r="E696" s="34"/>
      <c r="F696" s="34"/>
      <c r="G696" s="34"/>
      <c r="H696" s="34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476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34"/>
      <c r="AH696" s="34"/>
    </row>
    <row x14ac:dyDescent="0.25" r="697" customHeight="1" ht="15.75">
      <c r="A697" s="2"/>
      <c r="B697" s="34"/>
      <c r="C697" s="34"/>
      <c r="D697" s="34"/>
      <c r="E697" s="34"/>
      <c r="F697" s="34"/>
      <c r="G697" s="34"/>
      <c r="H697" s="34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476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34"/>
      <c r="AH697" s="34"/>
    </row>
    <row x14ac:dyDescent="0.25" r="698" customHeight="1" ht="15.75">
      <c r="A698" s="2"/>
      <c r="B698" s="34"/>
      <c r="C698" s="34"/>
      <c r="D698" s="34"/>
      <c r="E698" s="34"/>
      <c r="F698" s="34"/>
      <c r="G698" s="34"/>
      <c r="H698" s="34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476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34"/>
      <c r="AH698" s="34"/>
    </row>
    <row x14ac:dyDescent="0.25" r="699" customHeight="1" ht="15.75">
      <c r="A699" s="2"/>
      <c r="B699" s="34"/>
      <c r="C699" s="34"/>
      <c r="D699" s="34"/>
      <c r="E699" s="34"/>
      <c r="F699" s="34"/>
      <c r="G699" s="34"/>
      <c r="H699" s="34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476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34"/>
      <c r="AH699" s="34"/>
    </row>
    <row x14ac:dyDescent="0.25" r="700" customHeight="1" ht="15.75">
      <c r="A700" s="2"/>
      <c r="B700" s="34"/>
      <c r="C700" s="34"/>
      <c r="D700" s="34"/>
      <c r="E700" s="34"/>
      <c r="F700" s="34"/>
      <c r="G700" s="34"/>
      <c r="H700" s="34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476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34"/>
      <c r="AH700" s="34"/>
    </row>
    <row x14ac:dyDescent="0.25" r="701" customHeight="1" ht="15.75">
      <c r="A701" s="2"/>
      <c r="B701" s="34"/>
      <c r="C701" s="34"/>
      <c r="D701" s="34"/>
      <c r="E701" s="34"/>
      <c r="F701" s="34"/>
      <c r="G701" s="34"/>
      <c r="H701" s="34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476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34"/>
      <c r="AH701" s="34"/>
    </row>
    <row x14ac:dyDescent="0.25" r="702" customHeight="1" ht="15.75">
      <c r="A702" s="2"/>
      <c r="B702" s="34"/>
      <c r="C702" s="34"/>
      <c r="D702" s="34"/>
      <c r="E702" s="34"/>
      <c r="F702" s="34"/>
      <c r="G702" s="34"/>
      <c r="H702" s="34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476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34"/>
      <c r="AH702" s="34"/>
    </row>
    <row x14ac:dyDescent="0.25" r="703" customHeight="1" ht="15.75">
      <c r="A703" s="2"/>
      <c r="B703" s="34"/>
      <c r="C703" s="34"/>
      <c r="D703" s="34"/>
      <c r="E703" s="34"/>
      <c r="F703" s="34"/>
      <c r="G703" s="34"/>
      <c r="H703" s="34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476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34"/>
      <c r="AH703" s="34"/>
    </row>
    <row x14ac:dyDescent="0.25" r="704" customHeight="1" ht="15.75">
      <c r="A704" s="2"/>
      <c r="B704" s="34"/>
      <c r="C704" s="34"/>
      <c r="D704" s="34"/>
      <c r="E704" s="34"/>
      <c r="F704" s="34"/>
      <c r="G704" s="34"/>
      <c r="H704" s="34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476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34"/>
      <c r="AH704" s="34"/>
    </row>
    <row x14ac:dyDescent="0.25" r="705" customHeight="1" ht="15.75">
      <c r="A705" s="2"/>
      <c r="B705" s="34"/>
      <c r="C705" s="34"/>
      <c r="D705" s="34"/>
      <c r="E705" s="34"/>
      <c r="F705" s="34"/>
      <c r="G705" s="34"/>
      <c r="H705" s="34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476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34"/>
      <c r="AH705" s="34"/>
    </row>
    <row x14ac:dyDescent="0.25" r="706" customHeight="1" ht="15.75">
      <c r="A706" s="2"/>
      <c r="B706" s="34"/>
      <c r="C706" s="34"/>
      <c r="D706" s="34"/>
      <c r="E706" s="34"/>
      <c r="F706" s="34"/>
      <c r="G706" s="34"/>
      <c r="H706" s="34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476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34"/>
      <c r="AH706" s="34"/>
    </row>
    <row x14ac:dyDescent="0.25" r="707" customHeight="1" ht="15.75">
      <c r="A707" s="2"/>
      <c r="B707" s="34"/>
      <c r="C707" s="34"/>
      <c r="D707" s="34"/>
      <c r="E707" s="34"/>
      <c r="F707" s="34"/>
      <c r="G707" s="34"/>
      <c r="H707" s="34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476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34"/>
      <c r="AH707" s="34"/>
    </row>
    <row x14ac:dyDescent="0.25" r="708" customHeight="1" ht="15.75">
      <c r="A708" s="2"/>
      <c r="B708" s="34"/>
      <c r="C708" s="34"/>
      <c r="D708" s="34"/>
      <c r="E708" s="34"/>
      <c r="F708" s="34"/>
      <c r="G708" s="34"/>
      <c r="H708" s="34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476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34"/>
      <c r="AH708" s="34"/>
    </row>
    <row x14ac:dyDescent="0.25" r="709" customHeight="1" ht="15.75">
      <c r="A709" s="2"/>
      <c r="B709" s="34"/>
      <c r="C709" s="34"/>
      <c r="D709" s="34"/>
      <c r="E709" s="34"/>
      <c r="F709" s="34"/>
      <c r="G709" s="34"/>
      <c r="H709" s="34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476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34"/>
      <c r="AH709" s="34"/>
    </row>
    <row x14ac:dyDescent="0.25" r="710" customHeight="1" ht="15.75">
      <c r="A710" s="2"/>
      <c r="B710" s="34"/>
      <c r="C710" s="34"/>
      <c r="D710" s="34"/>
      <c r="E710" s="34"/>
      <c r="F710" s="34"/>
      <c r="G710" s="34"/>
      <c r="H710" s="34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476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34"/>
      <c r="AH710" s="34"/>
    </row>
    <row x14ac:dyDescent="0.25" r="711" customHeight="1" ht="15.75">
      <c r="A711" s="2"/>
      <c r="B711" s="34"/>
      <c r="C711" s="34"/>
      <c r="D711" s="34"/>
      <c r="E711" s="34"/>
      <c r="F711" s="34"/>
      <c r="G711" s="34"/>
      <c r="H711" s="34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476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34"/>
      <c r="AH711" s="34"/>
    </row>
    <row x14ac:dyDescent="0.25" r="712" customHeight="1" ht="15.75">
      <c r="A712" s="2"/>
      <c r="B712" s="34"/>
      <c r="C712" s="34"/>
      <c r="D712" s="34"/>
      <c r="E712" s="34"/>
      <c r="F712" s="34"/>
      <c r="G712" s="34"/>
      <c r="H712" s="34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476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34"/>
      <c r="AH712" s="34"/>
    </row>
    <row x14ac:dyDescent="0.25" r="713" customHeight="1" ht="15.75">
      <c r="A713" s="2"/>
      <c r="B713" s="34"/>
      <c r="C713" s="34"/>
      <c r="D713" s="34"/>
      <c r="E713" s="34"/>
      <c r="F713" s="34"/>
      <c r="G713" s="34"/>
      <c r="H713" s="34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476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34"/>
      <c r="AH713" s="34"/>
    </row>
    <row x14ac:dyDescent="0.25" r="714" customHeight="1" ht="15.75">
      <c r="A714" s="2"/>
      <c r="B714" s="34"/>
      <c r="C714" s="34"/>
      <c r="D714" s="34"/>
      <c r="E714" s="34"/>
      <c r="F714" s="34"/>
      <c r="G714" s="34"/>
      <c r="H714" s="34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476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34"/>
      <c r="AH714" s="34"/>
    </row>
    <row x14ac:dyDescent="0.25" r="715" customHeight="1" ht="15.75">
      <c r="A715" s="2"/>
      <c r="B715" s="34"/>
      <c r="C715" s="34"/>
      <c r="D715" s="34"/>
      <c r="E715" s="34"/>
      <c r="F715" s="34"/>
      <c r="G715" s="34"/>
      <c r="H715" s="34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476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34"/>
      <c r="AH715" s="34"/>
    </row>
    <row x14ac:dyDescent="0.25" r="716" customHeight="1" ht="15.75">
      <c r="A716" s="2"/>
      <c r="B716" s="34"/>
      <c r="C716" s="34"/>
      <c r="D716" s="34"/>
      <c r="E716" s="34"/>
      <c r="F716" s="34"/>
      <c r="G716" s="34"/>
      <c r="H716" s="34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476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34"/>
      <c r="AH716" s="34"/>
    </row>
    <row x14ac:dyDescent="0.25" r="717" customHeight="1" ht="15.75">
      <c r="A717" s="2"/>
      <c r="B717" s="34"/>
      <c r="C717" s="34"/>
      <c r="D717" s="34"/>
      <c r="E717" s="34"/>
      <c r="F717" s="34"/>
      <c r="G717" s="34"/>
      <c r="H717" s="34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476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34"/>
      <c r="AH717" s="34"/>
    </row>
    <row x14ac:dyDescent="0.25" r="718" customHeight="1" ht="15.75">
      <c r="A718" s="2"/>
      <c r="B718" s="34"/>
      <c r="C718" s="34"/>
      <c r="D718" s="34"/>
      <c r="E718" s="34"/>
      <c r="F718" s="34"/>
      <c r="G718" s="34"/>
      <c r="H718" s="34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476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34"/>
      <c r="AH718" s="34"/>
    </row>
    <row x14ac:dyDescent="0.25" r="719" customHeight="1" ht="15.75">
      <c r="A719" s="2"/>
      <c r="B719" s="34"/>
      <c r="C719" s="34"/>
      <c r="D719" s="34"/>
      <c r="E719" s="34"/>
      <c r="F719" s="34"/>
      <c r="G719" s="34"/>
      <c r="H719" s="34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476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34"/>
      <c r="AH719" s="34"/>
    </row>
    <row x14ac:dyDescent="0.25" r="720" customHeight="1" ht="15.75">
      <c r="A720" s="2"/>
      <c r="B720" s="34"/>
      <c r="C720" s="34"/>
      <c r="D720" s="34"/>
      <c r="E720" s="34"/>
      <c r="F720" s="34"/>
      <c r="G720" s="34"/>
      <c r="H720" s="34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476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34"/>
      <c r="AH720" s="34"/>
    </row>
    <row x14ac:dyDescent="0.25" r="721" customHeight="1" ht="15.75">
      <c r="A721" s="2"/>
      <c r="B721" s="34"/>
      <c r="C721" s="34"/>
      <c r="D721" s="34"/>
      <c r="E721" s="34"/>
      <c r="F721" s="34"/>
      <c r="G721" s="34"/>
      <c r="H721" s="34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476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34"/>
      <c r="AH721" s="34"/>
    </row>
    <row x14ac:dyDescent="0.25" r="722" customHeight="1" ht="15.75">
      <c r="A722" s="2"/>
      <c r="B722" s="34"/>
      <c r="C722" s="34"/>
      <c r="D722" s="34"/>
      <c r="E722" s="34"/>
      <c r="F722" s="34"/>
      <c r="G722" s="34"/>
      <c r="H722" s="34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476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34"/>
      <c r="AH722" s="34"/>
    </row>
    <row x14ac:dyDescent="0.25" r="723" customHeight="1" ht="15.75">
      <c r="A723" s="2"/>
      <c r="B723" s="34"/>
      <c r="C723" s="34"/>
      <c r="D723" s="34"/>
      <c r="E723" s="34"/>
      <c r="F723" s="34"/>
      <c r="G723" s="34"/>
      <c r="H723" s="34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476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34"/>
      <c r="AH723" s="34"/>
    </row>
    <row x14ac:dyDescent="0.25" r="724" customHeight="1" ht="15.75">
      <c r="A724" s="2"/>
      <c r="B724" s="34"/>
      <c r="C724" s="34"/>
      <c r="D724" s="34"/>
      <c r="E724" s="34"/>
      <c r="F724" s="34"/>
      <c r="G724" s="34"/>
      <c r="H724" s="34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476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34"/>
      <c r="AH724" s="34"/>
    </row>
    <row x14ac:dyDescent="0.25" r="725" customHeight="1" ht="15.75">
      <c r="A725" s="2"/>
      <c r="B725" s="34"/>
      <c r="C725" s="34"/>
      <c r="D725" s="34"/>
      <c r="E725" s="34"/>
      <c r="F725" s="34"/>
      <c r="G725" s="34"/>
      <c r="H725" s="34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476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34"/>
      <c r="AH725" s="34"/>
    </row>
    <row x14ac:dyDescent="0.25" r="726" customHeight="1" ht="15.75">
      <c r="A726" s="2"/>
      <c r="B726" s="34"/>
      <c r="C726" s="34"/>
      <c r="D726" s="34"/>
      <c r="E726" s="34"/>
      <c r="F726" s="34"/>
      <c r="G726" s="34"/>
      <c r="H726" s="34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476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34"/>
      <c r="AH726" s="34"/>
    </row>
    <row x14ac:dyDescent="0.25" r="727" customHeight="1" ht="15.75">
      <c r="A727" s="2"/>
      <c r="B727" s="34"/>
      <c r="C727" s="34"/>
      <c r="D727" s="34"/>
      <c r="E727" s="34"/>
      <c r="F727" s="34"/>
      <c r="G727" s="34"/>
      <c r="H727" s="34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476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34"/>
      <c r="AH727" s="34"/>
    </row>
    <row x14ac:dyDescent="0.25" r="728" customHeight="1" ht="15.75">
      <c r="A728" s="2"/>
      <c r="B728" s="34"/>
      <c r="C728" s="34"/>
      <c r="D728" s="34"/>
      <c r="E728" s="34"/>
      <c r="F728" s="34"/>
      <c r="G728" s="34"/>
      <c r="H728" s="34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476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34"/>
      <c r="AH728" s="34"/>
    </row>
    <row x14ac:dyDescent="0.25" r="729" customHeight="1" ht="15.75">
      <c r="A729" s="2"/>
      <c r="B729" s="34"/>
      <c r="C729" s="34"/>
      <c r="D729" s="34"/>
      <c r="E729" s="34"/>
      <c r="F729" s="34"/>
      <c r="G729" s="34"/>
      <c r="H729" s="34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476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34"/>
      <c r="AH729" s="34"/>
    </row>
    <row x14ac:dyDescent="0.25" r="730" customHeight="1" ht="15.75">
      <c r="A730" s="2"/>
      <c r="B730" s="34"/>
      <c r="C730" s="34"/>
      <c r="D730" s="34"/>
      <c r="E730" s="34"/>
      <c r="F730" s="34"/>
      <c r="G730" s="34"/>
      <c r="H730" s="34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476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34"/>
      <c r="AH730" s="34"/>
    </row>
    <row x14ac:dyDescent="0.25" r="731" customHeight="1" ht="15.75">
      <c r="A731" s="2"/>
      <c r="B731" s="34"/>
      <c r="C731" s="34"/>
      <c r="D731" s="34"/>
      <c r="E731" s="34"/>
      <c r="F731" s="34"/>
      <c r="G731" s="34"/>
      <c r="H731" s="34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476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34"/>
      <c r="AH731" s="34"/>
    </row>
    <row x14ac:dyDescent="0.25" r="732" customHeight="1" ht="15.75">
      <c r="A732" s="2"/>
      <c r="B732" s="34"/>
      <c r="C732" s="34"/>
      <c r="D732" s="34"/>
      <c r="E732" s="34"/>
      <c r="F732" s="34"/>
      <c r="G732" s="34"/>
      <c r="H732" s="34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476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34"/>
      <c r="AH732" s="34"/>
    </row>
    <row x14ac:dyDescent="0.25" r="733" customHeight="1" ht="15.75">
      <c r="A733" s="2"/>
      <c r="B733" s="34"/>
      <c r="C733" s="34"/>
      <c r="D733" s="34"/>
      <c r="E733" s="34"/>
      <c r="F733" s="34"/>
      <c r="G733" s="34"/>
      <c r="H733" s="34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476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34"/>
      <c r="AH733" s="34"/>
    </row>
    <row x14ac:dyDescent="0.25" r="734" customHeight="1" ht="15.75">
      <c r="A734" s="2"/>
      <c r="B734" s="34"/>
      <c r="C734" s="34"/>
      <c r="D734" s="34"/>
      <c r="E734" s="34"/>
      <c r="F734" s="34"/>
      <c r="G734" s="34"/>
      <c r="H734" s="34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476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34"/>
      <c r="AH734" s="34"/>
    </row>
    <row x14ac:dyDescent="0.25" r="735" customHeight="1" ht="15.75">
      <c r="A735" s="2"/>
      <c r="B735" s="34"/>
      <c r="C735" s="34"/>
      <c r="D735" s="34"/>
      <c r="E735" s="34"/>
      <c r="F735" s="34"/>
      <c r="G735" s="34"/>
      <c r="H735" s="34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476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34"/>
      <c r="AH735" s="34"/>
    </row>
    <row x14ac:dyDescent="0.25" r="736" customHeight="1" ht="15.75">
      <c r="A736" s="2"/>
      <c r="B736" s="34"/>
      <c r="C736" s="34"/>
      <c r="D736" s="34"/>
      <c r="E736" s="34"/>
      <c r="F736" s="34"/>
      <c r="G736" s="34"/>
      <c r="H736" s="34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476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34"/>
      <c r="AH736" s="34"/>
    </row>
    <row x14ac:dyDescent="0.25" r="737" customHeight="1" ht="15.75">
      <c r="A737" s="2"/>
      <c r="B737" s="34"/>
      <c r="C737" s="34"/>
      <c r="D737" s="34"/>
      <c r="E737" s="34"/>
      <c r="F737" s="34"/>
      <c r="G737" s="34"/>
      <c r="H737" s="34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476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34"/>
      <c r="AH737" s="34"/>
    </row>
    <row x14ac:dyDescent="0.25" r="738" customHeight="1" ht="15.75">
      <c r="A738" s="2"/>
      <c r="B738" s="34"/>
      <c r="C738" s="34"/>
      <c r="D738" s="34"/>
      <c r="E738" s="34"/>
      <c r="F738" s="34"/>
      <c r="G738" s="34"/>
      <c r="H738" s="34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476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34"/>
      <c r="AH738" s="34"/>
    </row>
    <row x14ac:dyDescent="0.25" r="739" customHeight="1" ht="15.75">
      <c r="A739" s="2"/>
      <c r="B739" s="34"/>
      <c r="C739" s="34"/>
      <c r="D739" s="34"/>
      <c r="E739" s="34"/>
      <c r="F739" s="34"/>
      <c r="G739" s="34"/>
      <c r="H739" s="34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476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34"/>
      <c r="AH739" s="34"/>
    </row>
    <row x14ac:dyDescent="0.25" r="740" customHeight="1" ht="15.75">
      <c r="A740" s="2"/>
      <c r="B740" s="34"/>
      <c r="C740" s="34"/>
      <c r="D740" s="34"/>
      <c r="E740" s="34"/>
      <c r="F740" s="34"/>
      <c r="G740" s="34"/>
      <c r="H740" s="34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476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34"/>
      <c r="AH740" s="34"/>
    </row>
    <row x14ac:dyDescent="0.25" r="741" customHeight="1" ht="15.75">
      <c r="A741" s="2"/>
      <c r="B741" s="34"/>
      <c r="C741" s="34"/>
      <c r="D741" s="34"/>
      <c r="E741" s="34"/>
      <c r="F741" s="34"/>
      <c r="G741" s="34"/>
      <c r="H741" s="34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476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34"/>
      <c r="AH741" s="34"/>
    </row>
    <row x14ac:dyDescent="0.25" r="742" customHeight="1" ht="15.75">
      <c r="A742" s="2"/>
      <c r="B742" s="34"/>
      <c r="C742" s="34"/>
      <c r="D742" s="34"/>
      <c r="E742" s="34"/>
      <c r="F742" s="34"/>
      <c r="G742" s="34"/>
      <c r="H742" s="34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476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34"/>
      <c r="AH742" s="34"/>
    </row>
    <row x14ac:dyDescent="0.25" r="743" customHeight="1" ht="15.75">
      <c r="A743" s="2"/>
      <c r="B743" s="34"/>
      <c r="C743" s="34"/>
      <c r="D743" s="34"/>
      <c r="E743" s="34"/>
      <c r="F743" s="34"/>
      <c r="G743" s="34"/>
      <c r="H743" s="34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476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34"/>
      <c r="AH743" s="34"/>
    </row>
    <row x14ac:dyDescent="0.25" r="744" customHeight="1" ht="15.75">
      <c r="A744" s="2"/>
      <c r="B744" s="34"/>
      <c r="C744" s="34"/>
      <c r="D744" s="34"/>
      <c r="E744" s="34"/>
      <c r="F744" s="34"/>
      <c r="G744" s="34"/>
      <c r="H744" s="34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476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34"/>
      <c r="AH744" s="34"/>
    </row>
    <row x14ac:dyDescent="0.25" r="745" customHeight="1" ht="15.75">
      <c r="A745" s="2"/>
      <c r="B745" s="34"/>
      <c r="C745" s="34"/>
      <c r="D745" s="34"/>
      <c r="E745" s="34"/>
      <c r="F745" s="34"/>
      <c r="G745" s="34"/>
      <c r="H745" s="34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476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34"/>
      <c r="AH745" s="34"/>
    </row>
    <row x14ac:dyDescent="0.25" r="746" customHeight="1" ht="15.75">
      <c r="A746" s="2"/>
      <c r="B746" s="34"/>
      <c r="C746" s="34"/>
      <c r="D746" s="34"/>
      <c r="E746" s="34"/>
      <c r="F746" s="34"/>
      <c r="G746" s="34"/>
      <c r="H746" s="34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476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34"/>
      <c r="AH746" s="34"/>
    </row>
    <row x14ac:dyDescent="0.25" r="747" customHeight="1" ht="15.75">
      <c r="A747" s="2"/>
      <c r="B747" s="34"/>
      <c r="C747" s="34"/>
      <c r="D747" s="34"/>
      <c r="E747" s="34"/>
      <c r="F747" s="34"/>
      <c r="G747" s="34"/>
      <c r="H747" s="34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476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34"/>
      <c r="AH747" s="34"/>
    </row>
    <row x14ac:dyDescent="0.25" r="748" customHeight="1" ht="15.75">
      <c r="A748" s="2"/>
      <c r="B748" s="34"/>
      <c r="C748" s="34"/>
      <c r="D748" s="34"/>
      <c r="E748" s="34"/>
      <c r="F748" s="34"/>
      <c r="G748" s="34"/>
      <c r="H748" s="34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476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34"/>
      <c r="AH748" s="34"/>
    </row>
    <row x14ac:dyDescent="0.25" r="749" customHeight="1" ht="15.75">
      <c r="A749" s="2"/>
      <c r="B749" s="34"/>
      <c r="C749" s="34"/>
      <c r="D749" s="34"/>
      <c r="E749" s="34"/>
      <c r="F749" s="34"/>
      <c r="G749" s="34"/>
      <c r="H749" s="34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476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34"/>
      <c r="AH749" s="34"/>
    </row>
    <row x14ac:dyDescent="0.25" r="750" customHeight="1" ht="15.75">
      <c r="A750" s="2"/>
      <c r="B750" s="34"/>
      <c r="C750" s="34"/>
      <c r="D750" s="34"/>
      <c r="E750" s="34"/>
      <c r="F750" s="34"/>
      <c r="G750" s="34"/>
      <c r="H750" s="34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476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34"/>
      <c r="AH750" s="34"/>
    </row>
    <row x14ac:dyDescent="0.25" r="751" customHeight="1" ht="15.75">
      <c r="A751" s="2"/>
      <c r="B751" s="34"/>
      <c r="C751" s="34"/>
      <c r="D751" s="34"/>
      <c r="E751" s="34"/>
      <c r="F751" s="34"/>
      <c r="G751" s="34"/>
      <c r="H751" s="34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476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34"/>
      <c r="AH751" s="34"/>
    </row>
    <row x14ac:dyDescent="0.25" r="752" customHeight="1" ht="15.75">
      <c r="A752" s="2"/>
      <c r="B752" s="34"/>
      <c r="C752" s="34"/>
      <c r="D752" s="34"/>
      <c r="E752" s="34"/>
      <c r="F752" s="34"/>
      <c r="G752" s="34"/>
      <c r="H752" s="34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476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34"/>
      <c r="AH752" s="34"/>
    </row>
    <row x14ac:dyDescent="0.25" r="753" customHeight="1" ht="15.75">
      <c r="A753" s="2"/>
      <c r="B753" s="34"/>
      <c r="C753" s="34"/>
      <c r="D753" s="34"/>
      <c r="E753" s="34"/>
      <c r="F753" s="34"/>
      <c r="G753" s="34"/>
      <c r="H753" s="34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476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34"/>
      <c r="AH753" s="34"/>
    </row>
    <row x14ac:dyDescent="0.25" r="754" customHeight="1" ht="15.75">
      <c r="A754" s="2"/>
      <c r="B754" s="34"/>
      <c r="C754" s="34"/>
      <c r="D754" s="34"/>
      <c r="E754" s="34"/>
      <c r="F754" s="34"/>
      <c r="G754" s="34"/>
      <c r="H754" s="34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476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34"/>
      <c r="AH754" s="34"/>
    </row>
    <row x14ac:dyDescent="0.25" r="755" customHeight="1" ht="15.75">
      <c r="A755" s="2"/>
      <c r="B755" s="34"/>
      <c r="C755" s="34"/>
      <c r="D755" s="34"/>
      <c r="E755" s="34"/>
      <c r="F755" s="34"/>
      <c r="G755" s="34"/>
      <c r="H755" s="34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476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34"/>
      <c r="AH755" s="34"/>
    </row>
    <row x14ac:dyDescent="0.25" r="756" customHeight="1" ht="15.75">
      <c r="A756" s="2"/>
      <c r="B756" s="34"/>
      <c r="C756" s="34"/>
      <c r="D756" s="34"/>
      <c r="E756" s="34"/>
      <c r="F756" s="34"/>
      <c r="G756" s="34"/>
      <c r="H756" s="34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476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34"/>
      <c r="AH756" s="34"/>
    </row>
    <row x14ac:dyDescent="0.25" r="757" customHeight="1" ht="15.75">
      <c r="A757" s="2"/>
      <c r="B757" s="34"/>
      <c r="C757" s="34"/>
      <c r="D757" s="34"/>
      <c r="E757" s="34"/>
      <c r="F757" s="34"/>
      <c r="G757" s="34"/>
      <c r="H757" s="34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476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34"/>
      <c r="AH757" s="34"/>
    </row>
    <row x14ac:dyDescent="0.25" r="758" customHeight="1" ht="15.75">
      <c r="A758" s="2"/>
      <c r="B758" s="34"/>
      <c r="C758" s="34"/>
      <c r="D758" s="34"/>
      <c r="E758" s="34"/>
      <c r="F758" s="34"/>
      <c r="G758" s="34"/>
      <c r="H758" s="34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476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34"/>
      <c r="AH758" s="34"/>
    </row>
    <row x14ac:dyDescent="0.25" r="759" customHeight="1" ht="15.75">
      <c r="A759" s="2"/>
      <c r="B759" s="34"/>
      <c r="C759" s="34"/>
      <c r="D759" s="34"/>
      <c r="E759" s="34"/>
      <c r="F759" s="34"/>
      <c r="G759" s="34"/>
      <c r="H759" s="34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476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34"/>
      <c r="AH759" s="34"/>
    </row>
    <row x14ac:dyDescent="0.25" r="760" customHeight="1" ht="15.75">
      <c r="A760" s="2"/>
      <c r="B760" s="34"/>
      <c r="C760" s="34"/>
      <c r="D760" s="34"/>
      <c r="E760" s="34"/>
      <c r="F760" s="34"/>
      <c r="G760" s="34"/>
      <c r="H760" s="34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476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34"/>
      <c r="AH760" s="34"/>
    </row>
    <row x14ac:dyDescent="0.25" r="761" customHeight="1" ht="15.75">
      <c r="A761" s="2"/>
      <c r="B761" s="34"/>
      <c r="C761" s="34"/>
      <c r="D761" s="34"/>
      <c r="E761" s="34"/>
      <c r="F761" s="34"/>
      <c r="G761" s="34"/>
      <c r="H761" s="34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476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34"/>
      <c r="AH761" s="34"/>
    </row>
    <row x14ac:dyDescent="0.25" r="762" customHeight="1" ht="15.75">
      <c r="A762" s="2"/>
      <c r="B762" s="34"/>
      <c r="C762" s="34"/>
      <c r="D762" s="34"/>
      <c r="E762" s="34"/>
      <c r="F762" s="34"/>
      <c r="G762" s="34"/>
      <c r="H762" s="34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476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34"/>
      <c r="AH762" s="34"/>
    </row>
    <row x14ac:dyDescent="0.25" r="763" customHeight="1" ht="15.75">
      <c r="A763" s="2"/>
      <c r="B763" s="34"/>
      <c r="C763" s="34"/>
      <c r="D763" s="34"/>
      <c r="E763" s="34"/>
      <c r="F763" s="34"/>
      <c r="G763" s="34"/>
      <c r="H763" s="34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476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34"/>
      <c r="AH763" s="34"/>
    </row>
    <row x14ac:dyDescent="0.25" r="764" customHeight="1" ht="15.75">
      <c r="A764" s="2"/>
      <c r="B764" s="34"/>
      <c r="C764" s="34"/>
      <c r="D764" s="34"/>
      <c r="E764" s="34"/>
      <c r="F764" s="34"/>
      <c r="G764" s="34"/>
      <c r="H764" s="34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476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34"/>
      <c r="AH764" s="34"/>
    </row>
    <row x14ac:dyDescent="0.25" r="765" customHeight="1" ht="15.75">
      <c r="A765" s="2"/>
      <c r="B765" s="34"/>
      <c r="C765" s="34"/>
      <c r="D765" s="34"/>
      <c r="E765" s="34"/>
      <c r="F765" s="34"/>
      <c r="G765" s="34"/>
      <c r="H765" s="34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476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34"/>
      <c r="AH765" s="34"/>
    </row>
    <row x14ac:dyDescent="0.25" r="766" customHeight="1" ht="15.75">
      <c r="A766" s="2"/>
      <c r="B766" s="34"/>
      <c r="C766" s="34"/>
      <c r="D766" s="34"/>
      <c r="E766" s="34"/>
      <c r="F766" s="34"/>
      <c r="G766" s="34"/>
      <c r="H766" s="34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476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34"/>
      <c r="AH766" s="34"/>
    </row>
    <row x14ac:dyDescent="0.25" r="767" customHeight="1" ht="15.75">
      <c r="A767" s="2"/>
      <c r="B767" s="34"/>
      <c r="C767" s="34"/>
      <c r="D767" s="34"/>
      <c r="E767" s="34"/>
      <c r="F767" s="34"/>
      <c r="G767" s="34"/>
      <c r="H767" s="34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476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34"/>
      <c r="AH767" s="34"/>
    </row>
    <row x14ac:dyDescent="0.25" r="768" customHeight="1" ht="15.75">
      <c r="A768" s="2"/>
      <c r="B768" s="34"/>
      <c r="C768" s="34"/>
      <c r="D768" s="34"/>
      <c r="E768" s="34"/>
      <c r="F768" s="34"/>
      <c r="G768" s="34"/>
      <c r="H768" s="34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476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34"/>
      <c r="AH768" s="34"/>
    </row>
    <row x14ac:dyDescent="0.25" r="769" customHeight="1" ht="15.75">
      <c r="A769" s="2"/>
      <c r="B769" s="34"/>
      <c r="C769" s="34"/>
      <c r="D769" s="34"/>
      <c r="E769" s="34"/>
      <c r="F769" s="34"/>
      <c r="G769" s="34"/>
      <c r="H769" s="34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476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34"/>
      <c r="AH769" s="34"/>
    </row>
    <row x14ac:dyDescent="0.25" r="770" customHeight="1" ht="15.75">
      <c r="A770" s="2"/>
      <c r="B770" s="34"/>
      <c r="C770" s="34"/>
      <c r="D770" s="34"/>
      <c r="E770" s="34"/>
      <c r="F770" s="34"/>
      <c r="G770" s="34"/>
      <c r="H770" s="34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476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34"/>
      <c r="AH770" s="34"/>
    </row>
    <row x14ac:dyDescent="0.25" r="771" customHeight="1" ht="15.75">
      <c r="A771" s="2"/>
      <c r="B771" s="34"/>
      <c r="C771" s="34"/>
      <c r="D771" s="34"/>
      <c r="E771" s="34"/>
      <c r="F771" s="34"/>
      <c r="G771" s="34"/>
      <c r="H771" s="34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476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34"/>
      <c r="AH771" s="34"/>
    </row>
    <row x14ac:dyDescent="0.25" r="772" customHeight="1" ht="15.75">
      <c r="A772" s="2"/>
      <c r="B772" s="34"/>
      <c r="C772" s="34"/>
      <c r="D772" s="34"/>
      <c r="E772" s="34"/>
      <c r="F772" s="34"/>
      <c r="G772" s="34"/>
      <c r="H772" s="34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476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34"/>
      <c r="AH772" s="34"/>
    </row>
    <row x14ac:dyDescent="0.25" r="773" customHeight="1" ht="15.75">
      <c r="A773" s="2"/>
      <c r="B773" s="34"/>
      <c r="C773" s="34"/>
      <c r="D773" s="34"/>
      <c r="E773" s="34"/>
      <c r="F773" s="34"/>
      <c r="G773" s="34"/>
      <c r="H773" s="34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476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34"/>
      <c r="AH773" s="34"/>
    </row>
    <row x14ac:dyDescent="0.25" r="774" customHeight="1" ht="15.75">
      <c r="A774" s="2"/>
      <c r="B774" s="34"/>
      <c r="C774" s="34"/>
      <c r="D774" s="34"/>
      <c r="E774" s="34"/>
      <c r="F774" s="34"/>
      <c r="G774" s="34"/>
      <c r="H774" s="34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476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34"/>
      <c r="AH774" s="34"/>
    </row>
    <row x14ac:dyDescent="0.25" r="775" customHeight="1" ht="15.75">
      <c r="A775" s="2"/>
      <c r="B775" s="34"/>
      <c r="C775" s="34"/>
      <c r="D775" s="34"/>
      <c r="E775" s="34"/>
      <c r="F775" s="34"/>
      <c r="G775" s="34"/>
      <c r="H775" s="34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476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34"/>
      <c r="AH775" s="34"/>
    </row>
    <row x14ac:dyDescent="0.25" r="776" customHeight="1" ht="15.75">
      <c r="A776" s="2"/>
      <c r="B776" s="34"/>
      <c r="C776" s="34"/>
      <c r="D776" s="34"/>
      <c r="E776" s="34"/>
      <c r="F776" s="34"/>
      <c r="G776" s="34"/>
      <c r="H776" s="34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476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34"/>
      <c r="AH776" s="34"/>
    </row>
    <row x14ac:dyDescent="0.25" r="777" customHeight="1" ht="15.75">
      <c r="A777" s="2"/>
      <c r="B777" s="34"/>
      <c r="C777" s="34"/>
      <c r="D777" s="34"/>
      <c r="E777" s="34"/>
      <c r="F777" s="34"/>
      <c r="G777" s="34"/>
      <c r="H777" s="34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476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34"/>
      <c r="AH777" s="34"/>
    </row>
    <row x14ac:dyDescent="0.25" r="778" customHeight="1" ht="15.75">
      <c r="A778" s="2"/>
      <c r="B778" s="34"/>
      <c r="C778" s="34"/>
      <c r="D778" s="34"/>
      <c r="E778" s="34"/>
      <c r="F778" s="34"/>
      <c r="G778" s="34"/>
      <c r="H778" s="34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476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34"/>
      <c r="AH778" s="34"/>
    </row>
    <row x14ac:dyDescent="0.25" r="779" customHeight="1" ht="15.75">
      <c r="A779" s="2"/>
      <c r="B779" s="34"/>
      <c r="C779" s="34"/>
      <c r="D779" s="34"/>
      <c r="E779" s="34"/>
      <c r="F779" s="34"/>
      <c r="G779" s="34"/>
      <c r="H779" s="34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476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34"/>
      <c r="AH779" s="34"/>
    </row>
    <row x14ac:dyDescent="0.25" r="780" customHeight="1" ht="15.75">
      <c r="A780" s="2"/>
      <c r="B780" s="34"/>
      <c r="C780" s="34"/>
      <c r="D780" s="34"/>
      <c r="E780" s="34"/>
      <c r="F780" s="34"/>
      <c r="G780" s="34"/>
      <c r="H780" s="34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476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34"/>
      <c r="AH780" s="34"/>
    </row>
    <row x14ac:dyDescent="0.25" r="781" customHeight="1" ht="15.75">
      <c r="A781" s="2"/>
      <c r="B781" s="34"/>
      <c r="C781" s="34"/>
      <c r="D781" s="34"/>
      <c r="E781" s="34"/>
      <c r="F781" s="34"/>
      <c r="G781" s="34"/>
      <c r="H781" s="34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476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34"/>
      <c r="AH781" s="34"/>
    </row>
    <row x14ac:dyDescent="0.25" r="782" customHeight="1" ht="15.75">
      <c r="A782" s="2"/>
      <c r="B782" s="34"/>
      <c r="C782" s="34"/>
      <c r="D782" s="34"/>
      <c r="E782" s="34"/>
      <c r="F782" s="34"/>
      <c r="G782" s="34"/>
      <c r="H782" s="34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476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34"/>
      <c r="AH782" s="34"/>
    </row>
    <row x14ac:dyDescent="0.25" r="783" customHeight="1" ht="15.75">
      <c r="A783" s="2"/>
      <c r="B783" s="34"/>
      <c r="C783" s="34"/>
      <c r="D783" s="34"/>
      <c r="E783" s="34"/>
      <c r="F783" s="34"/>
      <c r="G783" s="34"/>
      <c r="H783" s="34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476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34"/>
      <c r="AH783" s="34"/>
    </row>
    <row x14ac:dyDescent="0.25" r="784" customHeight="1" ht="15.75">
      <c r="A784" s="2"/>
      <c r="B784" s="34"/>
      <c r="C784" s="34"/>
      <c r="D784" s="34"/>
      <c r="E784" s="34"/>
      <c r="F784" s="34"/>
      <c r="G784" s="34"/>
      <c r="H784" s="34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476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34"/>
      <c r="AH784" s="34"/>
    </row>
    <row x14ac:dyDescent="0.25" r="785" customHeight="1" ht="15.75">
      <c r="A785" s="2"/>
      <c r="B785" s="34"/>
      <c r="C785" s="34"/>
      <c r="D785" s="34"/>
      <c r="E785" s="34"/>
      <c r="F785" s="34"/>
      <c r="G785" s="34"/>
      <c r="H785" s="34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476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34"/>
      <c r="AH785" s="34"/>
    </row>
    <row x14ac:dyDescent="0.25" r="786" customHeight="1" ht="15.75">
      <c r="A786" s="2"/>
      <c r="B786" s="34"/>
      <c r="C786" s="34"/>
      <c r="D786" s="34"/>
      <c r="E786" s="34"/>
      <c r="F786" s="34"/>
      <c r="G786" s="34"/>
      <c r="H786" s="34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476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34"/>
      <c r="AH786" s="34"/>
    </row>
    <row x14ac:dyDescent="0.25" r="787" customHeight="1" ht="15.75">
      <c r="A787" s="2"/>
      <c r="B787" s="34"/>
      <c r="C787" s="34"/>
      <c r="D787" s="34"/>
      <c r="E787" s="34"/>
      <c r="F787" s="34"/>
      <c r="G787" s="34"/>
      <c r="H787" s="34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476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34"/>
      <c r="AH787" s="34"/>
    </row>
    <row x14ac:dyDescent="0.25" r="788" customHeight="1" ht="15.75">
      <c r="A788" s="2"/>
      <c r="B788" s="34"/>
      <c r="C788" s="34"/>
      <c r="D788" s="34"/>
      <c r="E788" s="34"/>
      <c r="F788" s="34"/>
      <c r="G788" s="34"/>
      <c r="H788" s="34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476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34"/>
      <c r="AH788" s="34"/>
    </row>
    <row x14ac:dyDescent="0.25" r="789" customHeight="1" ht="15.75">
      <c r="A789" s="2"/>
      <c r="B789" s="34"/>
      <c r="C789" s="34"/>
      <c r="D789" s="34"/>
      <c r="E789" s="34"/>
      <c r="F789" s="34"/>
      <c r="G789" s="34"/>
      <c r="H789" s="34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476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34"/>
      <c r="AH789" s="34"/>
    </row>
    <row x14ac:dyDescent="0.25" r="790" customHeight="1" ht="15.75">
      <c r="A790" s="2"/>
      <c r="B790" s="34"/>
      <c r="C790" s="34"/>
      <c r="D790" s="34"/>
      <c r="E790" s="34"/>
      <c r="F790" s="34"/>
      <c r="G790" s="34"/>
      <c r="H790" s="34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476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34"/>
      <c r="AH790" s="34"/>
    </row>
    <row x14ac:dyDescent="0.25" r="791" customHeight="1" ht="15.75">
      <c r="A791" s="2"/>
      <c r="B791" s="34"/>
      <c r="C791" s="34"/>
      <c r="D791" s="34"/>
      <c r="E791" s="34"/>
      <c r="F791" s="34"/>
      <c r="G791" s="34"/>
      <c r="H791" s="34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476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34"/>
      <c r="AH791" s="34"/>
    </row>
    <row x14ac:dyDescent="0.25" r="792" customHeight="1" ht="15.75">
      <c r="A792" s="2"/>
      <c r="B792" s="34"/>
      <c r="C792" s="34"/>
      <c r="D792" s="34"/>
      <c r="E792" s="34"/>
      <c r="F792" s="34"/>
      <c r="G792" s="34"/>
      <c r="H792" s="34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476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34"/>
      <c r="AH792" s="34"/>
    </row>
    <row x14ac:dyDescent="0.25" r="793" customHeight="1" ht="15.75">
      <c r="A793" s="2"/>
      <c r="B793" s="34"/>
      <c r="C793" s="34"/>
      <c r="D793" s="34"/>
      <c r="E793" s="34"/>
      <c r="F793" s="34"/>
      <c r="G793" s="34"/>
      <c r="H793" s="34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476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34"/>
      <c r="AH793" s="34"/>
    </row>
    <row x14ac:dyDescent="0.25" r="794" customHeight="1" ht="15.75">
      <c r="A794" s="2"/>
      <c r="B794" s="34"/>
      <c r="C794" s="34"/>
      <c r="D794" s="34"/>
      <c r="E794" s="34"/>
      <c r="F794" s="34"/>
      <c r="G794" s="34"/>
      <c r="H794" s="34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476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34"/>
      <c r="AH794" s="34"/>
    </row>
    <row x14ac:dyDescent="0.25" r="795" customHeight="1" ht="15.75">
      <c r="A795" s="2"/>
      <c r="B795" s="34"/>
      <c r="C795" s="34"/>
      <c r="D795" s="34"/>
      <c r="E795" s="34"/>
      <c r="F795" s="34"/>
      <c r="G795" s="34"/>
      <c r="H795" s="34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476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34"/>
      <c r="AH795" s="34"/>
    </row>
    <row x14ac:dyDescent="0.25" r="796" customHeight="1" ht="15.75">
      <c r="A796" s="2"/>
      <c r="B796" s="34"/>
      <c r="C796" s="34"/>
      <c r="D796" s="34"/>
      <c r="E796" s="34"/>
      <c r="F796" s="34"/>
      <c r="G796" s="34"/>
      <c r="H796" s="34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476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34"/>
      <c r="AH796" s="34"/>
    </row>
    <row x14ac:dyDescent="0.25" r="797" customHeight="1" ht="15.75">
      <c r="A797" s="2"/>
      <c r="B797" s="34"/>
      <c r="C797" s="34"/>
      <c r="D797" s="34"/>
      <c r="E797" s="34"/>
      <c r="F797" s="34"/>
      <c r="G797" s="34"/>
      <c r="H797" s="34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476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34"/>
      <c r="AH797" s="34"/>
    </row>
    <row x14ac:dyDescent="0.25" r="798" customHeight="1" ht="15.75">
      <c r="A798" s="2"/>
      <c r="B798" s="34"/>
      <c r="C798" s="34"/>
      <c r="D798" s="34"/>
      <c r="E798" s="34"/>
      <c r="F798" s="34"/>
      <c r="G798" s="34"/>
      <c r="H798" s="34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476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34"/>
      <c r="AH798" s="34"/>
    </row>
    <row x14ac:dyDescent="0.25" r="799" customHeight="1" ht="15.75">
      <c r="A799" s="2"/>
      <c r="B799" s="34"/>
      <c r="C799" s="34"/>
      <c r="D799" s="34"/>
      <c r="E799" s="34"/>
      <c r="F799" s="34"/>
      <c r="G799" s="34"/>
      <c r="H799" s="34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476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34"/>
      <c r="AH799" s="34"/>
    </row>
    <row x14ac:dyDescent="0.25" r="800" customHeight="1" ht="15.75">
      <c r="A800" s="2"/>
      <c r="B800" s="34"/>
      <c r="C800" s="34"/>
      <c r="D800" s="34"/>
      <c r="E800" s="34"/>
      <c r="F800" s="34"/>
      <c r="G800" s="34"/>
      <c r="H800" s="34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476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34"/>
      <c r="AH800" s="34"/>
    </row>
    <row x14ac:dyDescent="0.25" r="801" customHeight="1" ht="15.75">
      <c r="A801" s="2"/>
      <c r="B801" s="34"/>
      <c r="C801" s="34"/>
      <c r="D801" s="34"/>
      <c r="E801" s="34"/>
      <c r="F801" s="34"/>
      <c r="G801" s="34"/>
      <c r="H801" s="34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476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34"/>
      <c r="AH801" s="34"/>
    </row>
    <row x14ac:dyDescent="0.25" r="802" customHeight="1" ht="15.75">
      <c r="A802" s="2"/>
      <c r="B802" s="34"/>
      <c r="C802" s="34"/>
      <c r="D802" s="34"/>
      <c r="E802" s="34"/>
      <c r="F802" s="34"/>
      <c r="G802" s="34"/>
      <c r="H802" s="34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476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34"/>
      <c r="AH802" s="34"/>
    </row>
    <row x14ac:dyDescent="0.25" r="803" customHeight="1" ht="15.75">
      <c r="A803" s="2"/>
      <c r="B803" s="34"/>
      <c r="C803" s="34"/>
      <c r="D803" s="34"/>
      <c r="E803" s="34"/>
      <c r="F803" s="34"/>
      <c r="G803" s="34"/>
      <c r="H803" s="34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476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34"/>
      <c r="AH803" s="34"/>
    </row>
    <row x14ac:dyDescent="0.25" r="804" customHeight="1" ht="15.75">
      <c r="A804" s="2"/>
      <c r="B804" s="34"/>
      <c r="C804" s="34"/>
      <c r="D804" s="34"/>
      <c r="E804" s="34"/>
      <c r="F804" s="34"/>
      <c r="G804" s="34"/>
      <c r="H804" s="34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476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34"/>
      <c r="AH804" s="34"/>
    </row>
    <row x14ac:dyDescent="0.25" r="805" customHeight="1" ht="15.75">
      <c r="A805" s="2"/>
      <c r="B805" s="34"/>
      <c r="C805" s="34"/>
      <c r="D805" s="34"/>
      <c r="E805" s="34"/>
      <c r="F805" s="34"/>
      <c r="G805" s="34"/>
      <c r="H805" s="34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476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34"/>
      <c r="AH805" s="34"/>
    </row>
    <row x14ac:dyDescent="0.25" r="806" customHeight="1" ht="15.75">
      <c r="A806" s="2"/>
      <c r="B806" s="34"/>
      <c r="C806" s="34"/>
      <c r="D806" s="34"/>
      <c r="E806" s="34"/>
      <c r="F806" s="34"/>
      <c r="G806" s="34"/>
      <c r="H806" s="34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476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34"/>
      <c r="AH806" s="34"/>
    </row>
    <row x14ac:dyDescent="0.25" r="807" customHeight="1" ht="15.75">
      <c r="A807" s="2"/>
      <c r="B807" s="34"/>
      <c r="C807" s="34"/>
      <c r="D807" s="34"/>
      <c r="E807" s="34"/>
      <c r="F807" s="34"/>
      <c r="G807" s="34"/>
      <c r="H807" s="34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476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34"/>
      <c r="AH807" s="34"/>
    </row>
    <row x14ac:dyDescent="0.25" r="808" customHeight="1" ht="15.75">
      <c r="A808" s="2"/>
      <c r="B808" s="34"/>
      <c r="C808" s="34"/>
      <c r="D808" s="34"/>
      <c r="E808" s="34"/>
      <c r="F808" s="34"/>
      <c r="G808" s="34"/>
      <c r="H808" s="34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476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34"/>
      <c r="AH808" s="34"/>
    </row>
    <row x14ac:dyDescent="0.25" r="809" customHeight="1" ht="15.75">
      <c r="A809" s="2"/>
      <c r="B809" s="34"/>
      <c r="C809" s="34"/>
      <c r="D809" s="34"/>
      <c r="E809" s="34"/>
      <c r="F809" s="34"/>
      <c r="G809" s="34"/>
      <c r="H809" s="34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476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34"/>
      <c r="AH809" s="34"/>
    </row>
    <row x14ac:dyDescent="0.25" r="810" customHeight="1" ht="15.75">
      <c r="A810" s="2"/>
      <c r="B810" s="34"/>
      <c r="C810" s="34"/>
      <c r="D810" s="34"/>
      <c r="E810" s="34"/>
      <c r="F810" s="34"/>
      <c r="G810" s="34"/>
      <c r="H810" s="34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476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34"/>
      <c r="AH810" s="34"/>
    </row>
    <row x14ac:dyDescent="0.25" r="811" customHeight="1" ht="15.75">
      <c r="A811" s="2"/>
      <c r="B811" s="34"/>
      <c r="C811" s="34"/>
      <c r="D811" s="34"/>
      <c r="E811" s="34"/>
      <c r="F811" s="34"/>
      <c r="G811" s="34"/>
      <c r="H811" s="34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476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34"/>
      <c r="AH811" s="34"/>
    </row>
    <row x14ac:dyDescent="0.25" r="812" customHeight="1" ht="15.75">
      <c r="A812" s="2"/>
      <c r="B812" s="34"/>
      <c r="C812" s="34"/>
      <c r="D812" s="34"/>
      <c r="E812" s="34"/>
      <c r="F812" s="34"/>
      <c r="G812" s="34"/>
      <c r="H812" s="34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476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34"/>
      <c r="AH812" s="34"/>
    </row>
    <row x14ac:dyDescent="0.25" r="813" customHeight="1" ht="15.75">
      <c r="A813" s="2"/>
      <c r="B813" s="34"/>
      <c r="C813" s="34"/>
      <c r="D813" s="34"/>
      <c r="E813" s="34"/>
      <c r="F813" s="34"/>
      <c r="G813" s="34"/>
      <c r="H813" s="34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476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34"/>
      <c r="AH813" s="34"/>
    </row>
    <row x14ac:dyDescent="0.25" r="814" customHeight="1" ht="15.75">
      <c r="A814" s="2"/>
      <c r="B814" s="34"/>
      <c r="C814" s="34"/>
      <c r="D814" s="34"/>
      <c r="E814" s="34"/>
      <c r="F814" s="34"/>
      <c r="G814" s="34"/>
      <c r="H814" s="34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476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34"/>
      <c r="AH814" s="34"/>
    </row>
    <row x14ac:dyDescent="0.25" r="815" customHeight="1" ht="15.75">
      <c r="A815" s="2"/>
      <c r="B815" s="34"/>
      <c r="C815" s="34"/>
      <c r="D815" s="34"/>
      <c r="E815" s="34"/>
      <c r="F815" s="34"/>
      <c r="G815" s="34"/>
      <c r="H815" s="34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476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34"/>
      <c r="AH815" s="34"/>
    </row>
    <row x14ac:dyDescent="0.25" r="816" customHeight="1" ht="15.75">
      <c r="A816" s="2"/>
      <c r="B816" s="34"/>
      <c r="C816" s="34"/>
      <c r="D816" s="34"/>
      <c r="E816" s="34"/>
      <c r="F816" s="34"/>
      <c r="G816" s="34"/>
      <c r="H816" s="34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476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34"/>
      <c r="AH816" s="34"/>
    </row>
    <row x14ac:dyDescent="0.25" r="817" customHeight="1" ht="15.75">
      <c r="A817" s="2"/>
      <c r="B817" s="34"/>
      <c r="C817" s="34"/>
      <c r="D817" s="34"/>
      <c r="E817" s="34"/>
      <c r="F817" s="34"/>
      <c r="G817" s="34"/>
      <c r="H817" s="34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476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34"/>
      <c r="AH817" s="34"/>
    </row>
    <row x14ac:dyDescent="0.25" r="818" customHeight="1" ht="15.75">
      <c r="A818" s="2"/>
      <c r="B818" s="34"/>
      <c r="C818" s="34"/>
      <c r="D818" s="34"/>
      <c r="E818" s="34"/>
      <c r="F818" s="34"/>
      <c r="G818" s="34"/>
      <c r="H818" s="34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476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34"/>
      <c r="AH818" s="34"/>
    </row>
    <row x14ac:dyDescent="0.25" r="819" customHeight="1" ht="15.75">
      <c r="A819" s="2"/>
      <c r="B819" s="34"/>
      <c r="C819" s="34"/>
      <c r="D819" s="34"/>
      <c r="E819" s="34"/>
      <c r="F819" s="34"/>
      <c r="G819" s="34"/>
      <c r="H819" s="34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476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34"/>
      <c r="AH819" s="34"/>
    </row>
    <row x14ac:dyDescent="0.25" r="820" customHeight="1" ht="15.75">
      <c r="A820" s="2"/>
      <c r="B820" s="34"/>
      <c r="C820" s="34"/>
      <c r="D820" s="34"/>
      <c r="E820" s="34"/>
      <c r="F820" s="34"/>
      <c r="G820" s="34"/>
      <c r="H820" s="34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476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34"/>
      <c r="AH820" s="34"/>
    </row>
    <row x14ac:dyDescent="0.25" r="821" customHeight="1" ht="15.75">
      <c r="A821" s="2"/>
      <c r="B821" s="34"/>
      <c r="C821" s="34"/>
      <c r="D821" s="34"/>
      <c r="E821" s="34"/>
      <c r="F821" s="34"/>
      <c r="G821" s="34"/>
      <c r="H821" s="34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476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34"/>
      <c r="AH821" s="34"/>
    </row>
    <row x14ac:dyDescent="0.25" r="822" customHeight="1" ht="15.75">
      <c r="A822" s="2"/>
      <c r="B822" s="34"/>
      <c r="C822" s="34"/>
      <c r="D822" s="34"/>
      <c r="E822" s="34"/>
      <c r="F822" s="34"/>
      <c r="G822" s="34"/>
      <c r="H822" s="34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476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34"/>
      <c r="AH822" s="34"/>
    </row>
    <row x14ac:dyDescent="0.25" r="823" customHeight="1" ht="15.75">
      <c r="A823" s="2"/>
      <c r="B823" s="34"/>
      <c r="C823" s="34"/>
      <c r="D823" s="34"/>
      <c r="E823" s="34"/>
      <c r="F823" s="34"/>
      <c r="G823" s="34"/>
      <c r="H823" s="34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476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34"/>
      <c r="AH823" s="34"/>
    </row>
    <row x14ac:dyDescent="0.25" r="824" customHeight="1" ht="15.75">
      <c r="A824" s="2"/>
      <c r="B824" s="34"/>
      <c r="C824" s="34"/>
      <c r="D824" s="34"/>
      <c r="E824" s="34"/>
      <c r="F824" s="34"/>
      <c r="G824" s="34"/>
      <c r="H824" s="34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476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34"/>
      <c r="AH824" s="34"/>
    </row>
    <row x14ac:dyDescent="0.25" r="825" customHeight="1" ht="15.75">
      <c r="A825" s="2"/>
      <c r="B825" s="34"/>
      <c r="C825" s="34"/>
      <c r="D825" s="34"/>
      <c r="E825" s="34"/>
      <c r="F825" s="34"/>
      <c r="G825" s="34"/>
      <c r="H825" s="34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476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34"/>
      <c r="AH825" s="34"/>
    </row>
    <row x14ac:dyDescent="0.25" r="826" customHeight="1" ht="15.75">
      <c r="A826" s="2"/>
      <c r="B826" s="34"/>
      <c r="C826" s="34"/>
      <c r="D826" s="34"/>
      <c r="E826" s="34"/>
      <c r="F826" s="34"/>
      <c r="G826" s="34"/>
      <c r="H826" s="34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476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34"/>
      <c r="AH826" s="34"/>
    </row>
    <row x14ac:dyDescent="0.25" r="827" customHeight="1" ht="15.75">
      <c r="A827" s="2"/>
      <c r="B827" s="34"/>
      <c r="C827" s="34"/>
      <c r="D827" s="34"/>
      <c r="E827" s="34"/>
      <c r="F827" s="34"/>
      <c r="G827" s="34"/>
      <c r="H827" s="34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476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34"/>
      <c r="AH827" s="34"/>
    </row>
    <row x14ac:dyDescent="0.25" r="828" customHeight="1" ht="15.75">
      <c r="A828" s="2"/>
      <c r="B828" s="34"/>
      <c r="C828" s="34"/>
      <c r="D828" s="34"/>
      <c r="E828" s="34"/>
      <c r="F828" s="34"/>
      <c r="G828" s="34"/>
      <c r="H828" s="34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476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34"/>
      <c r="AH828" s="34"/>
    </row>
    <row x14ac:dyDescent="0.25" r="829" customHeight="1" ht="15.75">
      <c r="A829" s="2"/>
      <c r="B829" s="34"/>
      <c r="C829" s="34"/>
      <c r="D829" s="34"/>
      <c r="E829" s="34"/>
      <c r="F829" s="34"/>
      <c r="G829" s="34"/>
      <c r="H829" s="34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476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34"/>
      <c r="AH829" s="34"/>
    </row>
    <row x14ac:dyDescent="0.25" r="830" customHeight="1" ht="15.75">
      <c r="A830" s="2"/>
      <c r="B830" s="34"/>
      <c r="C830" s="34"/>
      <c r="D830" s="34"/>
      <c r="E830" s="34"/>
      <c r="F830" s="34"/>
      <c r="G830" s="34"/>
      <c r="H830" s="34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476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34"/>
      <c r="AH830" s="34"/>
    </row>
    <row x14ac:dyDescent="0.25" r="831" customHeight="1" ht="15.75">
      <c r="A831" s="2"/>
      <c r="B831" s="34"/>
      <c r="C831" s="34"/>
      <c r="D831" s="34"/>
      <c r="E831" s="34"/>
      <c r="F831" s="34"/>
      <c r="G831" s="34"/>
      <c r="H831" s="34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476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34"/>
      <c r="AH831" s="34"/>
    </row>
    <row x14ac:dyDescent="0.25" r="832" customHeight="1" ht="15.75">
      <c r="A832" s="2"/>
      <c r="B832" s="34"/>
      <c r="C832" s="34"/>
      <c r="D832" s="34"/>
      <c r="E832" s="34"/>
      <c r="F832" s="34"/>
      <c r="G832" s="34"/>
      <c r="H832" s="34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476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34"/>
      <c r="AH832" s="34"/>
    </row>
    <row x14ac:dyDescent="0.25" r="833" customHeight="1" ht="15.75">
      <c r="A833" s="2"/>
      <c r="B833" s="34"/>
      <c r="C833" s="34"/>
      <c r="D833" s="34"/>
      <c r="E833" s="34"/>
      <c r="F833" s="34"/>
      <c r="G833" s="34"/>
      <c r="H833" s="34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476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34"/>
      <c r="AH833" s="34"/>
    </row>
    <row x14ac:dyDescent="0.25" r="834" customHeight="1" ht="15.75">
      <c r="A834" s="2"/>
      <c r="B834" s="34"/>
      <c r="C834" s="34"/>
      <c r="D834" s="34"/>
      <c r="E834" s="34"/>
      <c r="F834" s="34"/>
      <c r="G834" s="34"/>
      <c r="H834" s="34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476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34"/>
      <c r="AH834" s="34"/>
    </row>
    <row x14ac:dyDescent="0.25" r="835" customHeight="1" ht="15.75">
      <c r="A835" s="2"/>
      <c r="B835" s="34"/>
      <c r="C835" s="34"/>
      <c r="D835" s="34"/>
      <c r="E835" s="34"/>
      <c r="F835" s="34"/>
      <c r="G835" s="34"/>
      <c r="H835" s="34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476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34"/>
      <c r="AH835" s="34"/>
    </row>
    <row x14ac:dyDescent="0.25" r="836" customHeight="1" ht="15.75">
      <c r="A836" s="2"/>
      <c r="B836" s="34"/>
      <c r="C836" s="34"/>
      <c r="D836" s="34"/>
      <c r="E836" s="34"/>
      <c r="F836" s="34"/>
      <c r="G836" s="34"/>
      <c r="H836" s="34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476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34"/>
      <c r="AH836" s="34"/>
    </row>
    <row x14ac:dyDescent="0.25" r="837" customHeight="1" ht="15.75">
      <c r="A837" s="2"/>
      <c r="B837" s="34"/>
      <c r="C837" s="34"/>
      <c r="D837" s="34"/>
      <c r="E837" s="34"/>
      <c r="F837" s="34"/>
      <c r="G837" s="34"/>
      <c r="H837" s="34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476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34"/>
      <c r="AH837" s="34"/>
    </row>
    <row x14ac:dyDescent="0.25" r="838" customHeight="1" ht="15.75">
      <c r="A838" s="2"/>
      <c r="B838" s="34"/>
      <c r="C838" s="34"/>
      <c r="D838" s="34"/>
      <c r="E838" s="34"/>
      <c r="F838" s="34"/>
      <c r="G838" s="34"/>
      <c r="H838" s="34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476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34"/>
      <c r="AH838" s="34"/>
    </row>
    <row x14ac:dyDescent="0.25" r="839" customHeight="1" ht="15.75">
      <c r="A839" s="2"/>
      <c r="B839" s="34"/>
      <c r="C839" s="34"/>
      <c r="D839" s="34"/>
      <c r="E839" s="34"/>
      <c r="F839" s="34"/>
      <c r="G839" s="34"/>
      <c r="H839" s="34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476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34"/>
      <c r="AH839" s="34"/>
    </row>
    <row x14ac:dyDescent="0.25" r="840" customHeight="1" ht="15.75">
      <c r="A840" s="2"/>
      <c r="B840" s="34"/>
      <c r="C840" s="34"/>
      <c r="D840" s="34"/>
      <c r="E840" s="34"/>
      <c r="F840" s="34"/>
      <c r="G840" s="34"/>
      <c r="H840" s="34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476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34"/>
      <c r="AH840" s="34"/>
    </row>
    <row x14ac:dyDescent="0.25" r="841" customHeight="1" ht="15.75">
      <c r="A841" s="2"/>
      <c r="B841" s="34"/>
      <c r="C841" s="34"/>
      <c r="D841" s="34"/>
      <c r="E841" s="34"/>
      <c r="F841" s="34"/>
      <c r="G841" s="34"/>
      <c r="H841" s="34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476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34"/>
      <c r="AH841" s="34"/>
    </row>
    <row x14ac:dyDescent="0.25" r="842" customHeight="1" ht="15.75">
      <c r="A842" s="2"/>
      <c r="B842" s="34"/>
      <c r="C842" s="34"/>
      <c r="D842" s="34"/>
      <c r="E842" s="34"/>
      <c r="F842" s="34"/>
      <c r="G842" s="34"/>
      <c r="H842" s="34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476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34"/>
      <c r="AH842" s="34"/>
    </row>
    <row x14ac:dyDescent="0.25" r="843" customHeight="1" ht="15.75">
      <c r="A843" s="2"/>
      <c r="B843" s="34"/>
      <c r="C843" s="34"/>
      <c r="D843" s="34"/>
      <c r="E843" s="34"/>
      <c r="F843" s="34"/>
      <c r="G843" s="34"/>
      <c r="H843" s="34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476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34"/>
      <c r="AH843" s="34"/>
    </row>
    <row x14ac:dyDescent="0.25" r="844" customHeight="1" ht="15.75">
      <c r="A844" s="2"/>
      <c r="B844" s="34"/>
      <c r="C844" s="34"/>
      <c r="D844" s="34"/>
      <c r="E844" s="34"/>
      <c r="F844" s="34"/>
      <c r="G844" s="34"/>
      <c r="H844" s="34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476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34"/>
      <c r="AH844" s="34"/>
    </row>
    <row x14ac:dyDescent="0.25" r="845" customHeight="1" ht="15.75">
      <c r="A845" s="2"/>
      <c r="B845" s="34"/>
      <c r="C845" s="34"/>
      <c r="D845" s="34"/>
      <c r="E845" s="34"/>
      <c r="F845" s="34"/>
      <c r="G845" s="34"/>
      <c r="H845" s="34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476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34"/>
      <c r="AH845" s="34"/>
    </row>
    <row x14ac:dyDescent="0.25" r="846" customHeight="1" ht="15.75">
      <c r="A846" s="2"/>
      <c r="B846" s="34"/>
      <c r="C846" s="34"/>
      <c r="D846" s="34"/>
      <c r="E846" s="34"/>
      <c r="F846" s="34"/>
      <c r="G846" s="34"/>
      <c r="H846" s="34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476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34"/>
      <c r="AH846" s="34"/>
    </row>
    <row x14ac:dyDescent="0.25" r="847" customHeight="1" ht="15.75">
      <c r="A847" s="2"/>
      <c r="B847" s="34"/>
      <c r="C847" s="34"/>
      <c r="D847" s="34"/>
      <c r="E847" s="34"/>
      <c r="F847" s="34"/>
      <c r="G847" s="34"/>
      <c r="H847" s="34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476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34"/>
      <c r="AH847" s="34"/>
    </row>
    <row x14ac:dyDescent="0.25" r="848" customHeight="1" ht="15.75">
      <c r="A848" s="2"/>
      <c r="B848" s="34"/>
      <c r="C848" s="34"/>
      <c r="D848" s="34"/>
      <c r="E848" s="34"/>
      <c r="F848" s="34"/>
      <c r="G848" s="34"/>
      <c r="H848" s="34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476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34"/>
      <c r="AH848" s="34"/>
    </row>
    <row x14ac:dyDescent="0.25" r="849" customHeight="1" ht="15.75">
      <c r="A849" s="2"/>
      <c r="B849" s="34"/>
      <c r="C849" s="34"/>
      <c r="D849" s="34"/>
      <c r="E849" s="34"/>
      <c r="F849" s="34"/>
      <c r="G849" s="34"/>
      <c r="H849" s="34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476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34"/>
      <c r="AH849" s="34"/>
    </row>
    <row x14ac:dyDescent="0.25" r="850" customHeight="1" ht="15.75">
      <c r="A850" s="2"/>
      <c r="B850" s="34"/>
      <c r="C850" s="34"/>
      <c r="D850" s="34"/>
      <c r="E850" s="34"/>
      <c r="F850" s="34"/>
      <c r="G850" s="34"/>
      <c r="H850" s="34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476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34"/>
      <c r="AH850" s="34"/>
    </row>
    <row x14ac:dyDescent="0.25" r="851" customHeight="1" ht="15.75">
      <c r="A851" s="2"/>
      <c r="B851" s="34"/>
      <c r="C851" s="34"/>
      <c r="D851" s="34"/>
      <c r="E851" s="34"/>
      <c r="F851" s="34"/>
      <c r="G851" s="34"/>
      <c r="H851" s="34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476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34"/>
      <c r="AH851" s="34"/>
    </row>
    <row x14ac:dyDescent="0.25" r="852" customHeight="1" ht="15.75">
      <c r="A852" s="2"/>
      <c r="B852" s="34"/>
      <c r="C852" s="34"/>
      <c r="D852" s="34"/>
      <c r="E852" s="34"/>
      <c r="F852" s="34"/>
      <c r="G852" s="34"/>
      <c r="H852" s="34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476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34"/>
      <c r="AH852" s="34"/>
    </row>
    <row x14ac:dyDescent="0.25" r="853" customHeight="1" ht="15.75">
      <c r="A853" s="2"/>
      <c r="B853" s="34"/>
      <c r="C853" s="34"/>
      <c r="D853" s="34"/>
      <c r="E853" s="34"/>
      <c r="F853" s="34"/>
      <c r="G853" s="34"/>
      <c r="H853" s="34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476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34"/>
      <c r="AH853" s="34"/>
    </row>
    <row x14ac:dyDescent="0.25" r="854" customHeight="1" ht="15.75">
      <c r="A854" s="2"/>
      <c r="B854" s="34"/>
      <c r="C854" s="34"/>
      <c r="D854" s="34"/>
      <c r="E854" s="34"/>
      <c r="F854" s="34"/>
      <c r="G854" s="34"/>
      <c r="H854" s="34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476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34"/>
      <c r="AH854" s="34"/>
    </row>
    <row x14ac:dyDescent="0.25" r="855" customHeight="1" ht="15.75">
      <c r="A855" s="2"/>
      <c r="B855" s="34"/>
      <c r="C855" s="34"/>
      <c r="D855" s="34"/>
      <c r="E855" s="34"/>
      <c r="F855" s="34"/>
      <c r="G855" s="34"/>
      <c r="H855" s="34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476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34"/>
      <c r="AH855" s="34"/>
    </row>
    <row x14ac:dyDescent="0.25" r="856" customHeight="1" ht="15.75">
      <c r="A856" s="2"/>
      <c r="B856" s="34"/>
      <c r="C856" s="34"/>
      <c r="D856" s="34"/>
      <c r="E856" s="34"/>
      <c r="F856" s="34"/>
      <c r="G856" s="34"/>
      <c r="H856" s="34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476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34"/>
      <c r="AH856" s="34"/>
    </row>
    <row x14ac:dyDescent="0.25" r="857" customHeight="1" ht="15.75">
      <c r="A857" s="2"/>
      <c r="B857" s="34"/>
      <c r="C857" s="34"/>
      <c r="D857" s="34"/>
      <c r="E857" s="34"/>
      <c r="F857" s="34"/>
      <c r="G857" s="34"/>
      <c r="H857" s="34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476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34"/>
      <c r="AH857" s="34"/>
    </row>
    <row x14ac:dyDescent="0.25" r="858" customHeight="1" ht="15.75">
      <c r="A858" s="2"/>
      <c r="B858" s="34"/>
      <c r="C858" s="34"/>
      <c r="D858" s="34"/>
      <c r="E858" s="34"/>
      <c r="F858" s="34"/>
      <c r="G858" s="34"/>
      <c r="H858" s="34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476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34"/>
      <c r="AH858" s="34"/>
    </row>
    <row x14ac:dyDescent="0.25" r="859" customHeight="1" ht="15.75">
      <c r="A859" s="2"/>
      <c r="B859" s="34"/>
      <c r="C859" s="34"/>
      <c r="D859" s="34"/>
      <c r="E859" s="34"/>
      <c r="F859" s="34"/>
      <c r="G859" s="34"/>
      <c r="H859" s="34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476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34"/>
      <c r="AH859" s="34"/>
    </row>
    <row x14ac:dyDescent="0.25" r="860" customHeight="1" ht="15.75">
      <c r="A860" s="2"/>
      <c r="B860" s="34"/>
      <c r="C860" s="34"/>
      <c r="D860" s="34"/>
      <c r="E860" s="34"/>
      <c r="F860" s="34"/>
      <c r="G860" s="34"/>
      <c r="H860" s="34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476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34"/>
      <c r="AH860" s="34"/>
    </row>
    <row x14ac:dyDescent="0.25" r="861" customHeight="1" ht="15.75">
      <c r="A861" s="2"/>
      <c r="B861" s="34"/>
      <c r="C861" s="34"/>
      <c r="D861" s="34"/>
      <c r="E861" s="34"/>
      <c r="F861" s="34"/>
      <c r="G861" s="34"/>
      <c r="H861" s="34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476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34"/>
      <c r="AH861" s="34"/>
    </row>
    <row x14ac:dyDescent="0.25" r="862" customHeight="1" ht="15.75">
      <c r="A862" s="2"/>
      <c r="B862" s="34"/>
      <c r="C862" s="34"/>
      <c r="D862" s="34"/>
      <c r="E862" s="34"/>
      <c r="F862" s="34"/>
      <c r="G862" s="34"/>
      <c r="H862" s="34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476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34"/>
      <c r="AH862" s="34"/>
    </row>
    <row x14ac:dyDescent="0.25" r="863" customHeight="1" ht="15.75">
      <c r="A863" s="2"/>
      <c r="B863" s="34"/>
      <c r="C863" s="34"/>
      <c r="D863" s="34"/>
      <c r="E863" s="34"/>
      <c r="F863" s="34"/>
      <c r="G863" s="34"/>
      <c r="H863" s="34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476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34"/>
      <c r="AH863" s="34"/>
    </row>
    <row x14ac:dyDescent="0.25" r="864" customHeight="1" ht="15.75">
      <c r="A864" s="2"/>
      <c r="B864" s="34"/>
      <c r="C864" s="34"/>
      <c r="D864" s="34"/>
      <c r="E864" s="34"/>
      <c r="F864" s="34"/>
      <c r="G864" s="34"/>
      <c r="H864" s="34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476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34"/>
      <c r="AH864" s="34"/>
    </row>
    <row x14ac:dyDescent="0.25" r="865" customHeight="1" ht="15.75">
      <c r="A865" s="2"/>
      <c r="B865" s="34"/>
      <c r="C865" s="34"/>
      <c r="D865" s="34"/>
      <c r="E865" s="34"/>
      <c r="F865" s="34"/>
      <c r="G865" s="34"/>
      <c r="H865" s="34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476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34"/>
      <c r="AH865" s="34"/>
    </row>
    <row x14ac:dyDescent="0.25" r="866" customHeight="1" ht="15.75">
      <c r="A866" s="2"/>
      <c r="B866" s="34"/>
      <c r="C866" s="34"/>
      <c r="D866" s="34"/>
      <c r="E866" s="34"/>
      <c r="F866" s="34"/>
      <c r="G866" s="34"/>
      <c r="H866" s="34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476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34"/>
      <c r="AH866" s="34"/>
    </row>
    <row x14ac:dyDescent="0.25" r="867" customHeight="1" ht="15.75">
      <c r="A867" s="2"/>
      <c r="B867" s="34"/>
      <c r="C867" s="34"/>
      <c r="D867" s="34"/>
      <c r="E867" s="34"/>
      <c r="F867" s="34"/>
      <c r="G867" s="34"/>
      <c r="H867" s="34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476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34"/>
      <c r="AH867" s="34"/>
    </row>
    <row x14ac:dyDescent="0.25" r="868" customHeight="1" ht="15.75">
      <c r="A868" s="2"/>
      <c r="B868" s="34"/>
      <c r="C868" s="34"/>
      <c r="D868" s="34"/>
      <c r="E868" s="34"/>
      <c r="F868" s="34"/>
      <c r="G868" s="34"/>
      <c r="H868" s="34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476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34"/>
      <c r="AH868" s="34"/>
    </row>
    <row x14ac:dyDescent="0.25" r="869" customHeight="1" ht="15.75">
      <c r="A869" s="2"/>
      <c r="B869" s="34"/>
      <c r="C869" s="34"/>
      <c r="D869" s="34"/>
      <c r="E869" s="34"/>
      <c r="F869" s="34"/>
      <c r="G869" s="34"/>
      <c r="H869" s="34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476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34"/>
      <c r="AH869" s="34"/>
    </row>
    <row x14ac:dyDescent="0.25" r="870" customHeight="1" ht="15.75">
      <c r="A870" s="2"/>
      <c r="B870" s="34"/>
      <c r="C870" s="34"/>
      <c r="D870" s="34"/>
      <c r="E870" s="34"/>
      <c r="F870" s="34"/>
      <c r="G870" s="34"/>
      <c r="H870" s="34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476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34"/>
      <c r="AH870" s="34"/>
    </row>
    <row x14ac:dyDescent="0.25" r="871" customHeight="1" ht="15.75">
      <c r="A871" s="2"/>
      <c r="B871" s="34"/>
      <c r="C871" s="34"/>
      <c r="D871" s="34"/>
      <c r="E871" s="34"/>
      <c r="F871" s="34"/>
      <c r="G871" s="34"/>
      <c r="H871" s="34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476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34"/>
      <c r="AH871" s="34"/>
    </row>
    <row x14ac:dyDescent="0.25" r="872" customHeight="1" ht="15.75">
      <c r="A872" s="2"/>
      <c r="B872" s="34"/>
      <c r="C872" s="34"/>
      <c r="D872" s="34"/>
      <c r="E872" s="34"/>
      <c r="F872" s="34"/>
      <c r="G872" s="34"/>
      <c r="H872" s="34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476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34"/>
      <c r="AH872" s="34"/>
    </row>
    <row x14ac:dyDescent="0.25" r="873" customHeight="1" ht="15.75">
      <c r="A873" s="2"/>
      <c r="B873" s="34"/>
      <c r="C873" s="34"/>
      <c r="D873" s="34"/>
      <c r="E873" s="34"/>
      <c r="F873" s="34"/>
      <c r="G873" s="34"/>
      <c r="H873" s="34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476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34"/>
      <c r="AH873" s="34"/>
    </row>
    <row x14ac:dyDescent="0.25" r="874" customHeight="1" ht="15.75">
      <c r="A874" s="2"/>
      <c r="B874" s="34"/>
      <c r="C874" s="34"/>
      <c r="D874" s="34"/>
      <c r="E874" s="34"/>
      <c r="F874" s="34"/>
      <c r="G874" s="34"/>
      <c r="H874" s="34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476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34"/>
      <c r="AH874" s="34"/>
    </row>
    <row x14ac:dyDescent="0.25" r="875" customHeight="1" ht="15.75">
      <c r="A875" s="2"/>
      <c r="B875" s="34"/>
      <c r="C875" s="34"/>
      <c r="D875" s="34"/>
      <c r="E875" s="34"/>
      <c r="F875" s="34"/>
      <c r="G875" s="34"/>
      <c r="H875" s="34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476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34"/>
      <c r="AH875" s="34"/>
    </row>
    <row x14ac:dyDescent="0.25" r="876" customHeight="1" ht="15.75">
      <c r="A876" s="2"/>
      <c r="B876" s="34"/>
      <c r="C876" s="34"/>
      <c r="D876" s="34"/>
      <c r="E876" s="34"/>
      <c r="F876" s="34"/>
      <c r="G876" s="34"/>
      <c r="H876" s="34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476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34"/>
      <c r="AH876" s="34"/>
    </row>
    <row x14ac:dyDescent="0.25" r="877" customHeight="1" ht="15.75">
      <c r="A877" s="2"/>
      <c r="B877" s="34"/>
      <c r="C877" s="34"/>
      <c r="D877" s="34"/>
      <c r="E877" s="34"/>
      <c r="F877" s="34"/>
      <c r="G877" s="34"/>
      <c r="H877" s="34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476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34"/>
      <c r="AH877" s="34"/>
    </row>
    <row x14ac:dyDescent="0.25" r="878" customHeight="1" ht="15.75">
      <c r="A878" s="2"/>
      <c r="B878" s="34"/>
      <c r="C878" s="34"/>
      <c r="D878" s="34"/>
      <c r="E878" s="34"/>
      <c r="F878" s="34"/>
      <c r="G878" s="34"/>
      <c r="H878" s="34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476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34"/>
      <c r="AH878" s="34"/>
    </row>
    <row x14ac:dyDescent="0.25" r="879" customHeight="1" ht="15.75">
      <c r="A879" s="2"/>
      <c r="B879" s="34"/>
      <c r="C879" s="34"/>
      <c r="D879" s="34"/>
      <c r="E879" s="34"/>
      <c r="F879" s="34"/>
      <c r="G879" s="34"/>
      <c r="H879" s="34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476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34"/>
      <c r="AH879" s="34"/>
    </row>
    <row x14ac:dyDescent="0.25" r="880" customHeight="1" ht="15.75">
      <c r="A880" s="2"/>
      <c r="B880" s="34"/>
      <c r="C880" s="34"/>
      <c r="D880" s="34"/>
      <c r="E880" s="34"/>
      <c r="F880" s="34"/>
      <c r="G880" s="34"/>
      <c r="H880" s="34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476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34"/>
      <c r="AH880" s="34"/>
    </row>
    <row x14ac:dyDescent="0.25" r="881" customHeight="1" ht="15.75">
      <c r="A881" s="2"/>
      <c r="B881" s="34"/>
      <c r="C881" s="34"/>
      <c r="D881" s="34"/>
      <c r="E881" s="34"/>
      <c r="F881" s="34"/>
      <c r="G881" s="34"/>
      <c r="H881" s="34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476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34"/>
      <c r="AH881" s="34"/>
    </row>
    <row x14ac:dyDescent="0.25" r="882" customHeight="1" ht="15.75">
      <c r="A882" s="2"/>
      <c r="B882" s="34"/>
      <c r="C882" s="34"/>
      <c r="D882" s="34"/>
      <c r="E882" s="34"/>
      <c r="F882" s="34"/>
      <c r="G882" s="34"/>
      <c r="H882" s="34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476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34"/>
      <c r="AH882" s="34"/>
    </row>
    <row x14ac:dyDescent="0.25" r="883" customHeight="1" ht="15.75">
      <c r="A883" s="2"/>
      <c r="B883" s="34"/>
      <c r="C883" s="34"/>
      <c r="D883" s="34"/>
      <c r="E883" s="34"/>
      <c r="F883" s="34"/>
      <c r="G883" s="34"/>
      <c r="H883" s="34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476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34"/>
      <c r="AH883" s="34"/>
    </row>
    <row x14ac:dyDescent="0.25" r="884" customHeight="1" ht="15.75">
      <c r="A884" s="2"/>
      <c r="B884" s="34"/>
      <c r="C884" s="34"/>
      <c r="D884" s="34"/>
      <c r="E884" s="34"/>
      <c r="F884" s="34"/>
      <c r="G884" s="34"/>
      <c r="H884" s="34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476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34"/>
      <c r="AH884" s="34"/>
    </row>
    <row x14ac:dyDescent="0.25" r="885" customHeight="1" ht="15.75">
      <c r="A885" s="2"/>
      <c r="B885" s="34"/>
      <c r="C885" s="34"/>
      <c r="D885" s="34"/>
      <c r="E885" s="34"/>
      <c r="F885" s="34"/>
      <c r="G885" s="34"/>
      <c r="H885" s="34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476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34"/>
      <c r="AH885" s="34"/>
    </row>
    <row x14ac:dyDescent="0.25" r="886" customHeight="1" ht="15.75">
      <c r="A886" s="2"/>
      <c r="B886" s="34"/>
      <c r="C886" s="34"/>
      <c r="D886" s="34"/>
      <c r="E886" s="34"/>
      <c r="F886" s="34"/>
      <c r="G886" s="34"/>
      <c r="H886" s="34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476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34"/>
      <c r="AH886" s="34"/>
    </row>
    <row x14ac:dyDescent="0.25" r="887" customHeight="1" ht="15.75">
      <c r="A887" s="2"/>
      <c r="B887" s="34"/>
      <c r="C887" s="34"/>
      <c r="D887" s="34"/>
      <c r="E887" s="34"/>
      <c r="F887" s="34"/>
      <c r="G887" s="34"/>
      <c r="H887" s="34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476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34"/>
      <c r="AH887" s="34"/>
    </row>
    <row x14ac:dyDescent="0.25" r="888" customHeight="1" ht="15.75">
      <c r="A888" s="2"/>
      <c r="B888" s="34"/>
      <c r="C888" s="34"/>
      <c r="D888" s="34"/>
      <c r="E888" s="34"/>
      <c r="F888" s="34"/>
      <c r="G888" s="34"/>
      <c r="H888" s="34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476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34"/>
      <c r="AH888" s="34"/>
    </row>
    <row x14ac:dyDescent="0.25" r="889" customHeight="1" ht="15.75">
      <c r="A889" s="2"/>
      <c r="B889" s="34"/>
      <c r="C889" s="34"/>
      <c r="D889" s="34"/>
      <c r="E889" s="34"/>
      <c r="F889" s="34"/>
      <c r="G889" s="34"/>
      <c r="H889" s="34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476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34"/>
      <c r="AH889" s="34"/>
    </row>
    <row x14ac:dyDescent="0.25" r="890" customHeight="1" ht="15.75">
      <c r="A890" s="2"/>
      <c r="B890" s="34"/>
      <c r="C890" s="34"/>
      <c r="D890" s="34"/>
      <c r="E890" s="34"/>
      <c r="F890" s="34"/>
      <c r="G890" s="34"/>
      <c r="H890" s="34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476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34"/>
      <c r="AH890" s="34"/>
    </row>
    <row x14ac:dyDescent="0.25" r="891" customHeight="1" ht="15.75">
      <c r="A891" s="2"/>
      <c r="B891" s="34"/>
      <c r="C891" s="34"/>
      <c r="D891" s="34"/>
      <c r="E891" s="34"/>
      <c r="F891" s="34"/>
      <c r="G891" s="34"/>
      <c r="H891" s="34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476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34"/>
      <c r="AH891" s="34"/>
    </row>
    <row x14ac:dyDescent="0.25" r="892" customHeight="1" ht="15.75">
      <c r="A892" s="2"/>
      <c r="B892" s="34"/>
      <c r="C892" s="34"/>
      <c r="D892" s="34"/>
      <c r="E892" s="34"/>
      <c r="F892" s="34"/>
      <c r="G892" s="34"/>
      <c r="H892" s="34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476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34"/>
      <c r="AH892" s="34"/>
    </row>
    <row x14ac:dyDescent="0.25" r="893" customHeight="1" ht="15.75">
      <c r="A893" s="2"/>
      <c r="B893" s="34"/>
      <c r="C893" s="34"/>
      <c r="D893" s="34"/>
      <c r="E893" s="34"/>
      <c r="F893" s="34"/>
      <c r="G893" s="34"/>
      <c r="H893" s="34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476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34"/>
      <c r="AH893" s="34"/>
    </row>
    <row x14ac:dyDescent="0.25" r="894" customHeight="1" ht="15.75">
      <c r="A894" s="2"/>
      <c r="B894" s="34"/>
      <c r="C894" s="34"/>
      <c r="D894" s="34"/>
      <c r="E894" s="34"/>
      <c r="F894" s="34"/>
      <c r="G894" s="34"/>
      <c r="H894" s="34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476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34"/>
      <c r="AH894" s="34"/>
    </row>
    <row x14ac:dyDescent="0.25" r="895" customHeight="1" ht="15.75">
      <c r="A895" s="2"/>
      <c r="B895" s="34"/>
      <c r="C895" s="34"/>
      <c r="D895" s="34"/>
      <c r="E895" s="34"/>
      <c r="F895" s="34"/>
      <c r="G895" s="34"/>
      <c r="H895" s="34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476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34"/>
      <c r="AH895" s="34"/>
    </row>
    <row x14ac:dyDescent="0.25" r="896" customHeight="1" ht="15.75">
      <c r="A896" s="2"/>
      <c r="B896" s="34"/>
      <c r="C896" s="34"/>
      <c r="D896" s="34"/>
      <c r="E896" s="34"/>
      <c r="F896" s="34"/>
      <c r="G896" s="34"/>
      <c r="H896" s="34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476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34"/>
      <c r="AH896" s="34"/>
    </row>
    <row x14ac:dyDescent="0.25" r="897" customHeight="1" ht="15.75">
      <c r="A897" s="2"/>
      <c r="B897" s="34"/>
      <c r="C897" s="34"/>
      <c r="D897" s="34"/>
      <c r="E897" s="34"/>
      <c r="F897" s="34"/>
      <c r="G897" s="34"/>
      <c r="H897" s="34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476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34"/>
      <c r="AH897" s="34"/>
    </row>
    <row x14ac:dyDescent="0.25" r="898" customHeight="1" ht="15.75">
      <c r="A898" s="2"/>
      <c r="B898" s="34"/>
      <c r="C898" s="34"/>
      <c r="D898" s="34"/>
      <c r="E898" s="34"/>
      <c r="F898" s="34"/>
      <c r="G898" s="34"/>
      <c r="H898" s="34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476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34"/>
      <c r="AH898" s="34"/>
    </row>
    <row x14ac:dyDescent="0.25" r="899" customHeight="1" ht="15.75">
      <c r="A899" s="2"/>
      <c r="B899" s="34"/>
      <c r="C899" s="34"/>
      <c r="D899" s="34"/>
      <c r="E899" s="34"/>
      <c r="F899" s="34"/>
      <c r="G899" s="34"/>
      <c r="H899" s="34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476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34"/>
      <c r="AH899" s="34"/>
    </row>
    <row x14ac:dyDescent="0.25" r="900" customHeight="1" ht="15.75">
      <c r="A900" s="2"/>
      <c r="B900" s="34"/>
      <c r="C900" s="34"/>
      <c r="D900" s="34"/>
      <c r="E900" s="34"/>
      <c r="F900" s="34"/>
      <c r="G900" s="34"/>
      <c r="H900" s="34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476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34"/>
      <c r="AH900" s="34"/>
    </row>
    <row x14ac:dyDescent="0.25" r="901" customHeight="1" ht="15.75">
      <c r="A901" s="2"/>
      <c r="B901" s="34"/>
      <c r="C901" s="34"/>
      <c r="D901" s="34"/>
      <c r="E901" s="34"/>
      <c r="F901" s="34"/>
      <c r="G901" s="34"/>
      <c r="H901" s="34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476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34"/>
      <c r="AH901" s="34"/>
    </row>
    <row x14ac:dyDescent="0.25" r="902" customHeight="1" ht="15.75">
      <c r="A902" s="2"/>
      <c r="B902" s="34"/>
      <c r="C902" s="34"/>
      <c r="D902" s="34"/>
      <c r="E902" s="34"/>
      <c r="F902" s="34"/>
      <c r="G902" s="34"/>
      <c r="H902" s="34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476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34"/>
      <c r="AH902" s="34"/>
    </row>
    <row x14ac:dyDescent="0.25" r="903" customHeight="1" ht="15.75">
      <c r="A903" s="2"/>
      <c r="B903" s="34"/>
      <c r="C903" s="34"/>
      <c r="D903" s="34"/>
      <c r="E903" s="34"/>
      <c r="F903" s="34"/>
      <c r="G903" s="34"/>
      <c r="H903" s="34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476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34"/>
      <c r="AH903" s="34"/>
    </row>
    <row x14ac:dyDescent="0.25" r="904" customHeight="1" ht="15.75">
      <c r="A904" s="2"/>
      <c r="B904" s="34"/>
      <c r="C904" s="34"/>
      <c r="D904" s="34"/>
      <c r="E904" s="34"/>
      <c r="F904" s="34"/>
      <c r="G904" s="34"/>
      <c r="H904" s="34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476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34"/>
      <c r="AH904" s="34"/>
    </row>
    <row x14ac:dyDescent="0.25" r="905" customHeight="1" ht="15.75">
      <c r="A905" s="2"/>
      <c r="B905" s="34"/>
      <c r="C905" s="34"/>
      <c r="D905" s="34"/>
      <c r="E905" s="34"/>
      <c r="F905" s="34"/>
      <c r="G905" s="34"/>
      <c r="H905" s="34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476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34"/>
      <c r="AH905" s="34"/>
    </row>
    <row x14ac:dyDescent="0.25" r="906" customHeight="1" ht="15.75">
      <c r="A906" s="2"/>
      <c r="B906" s="34"/>
      <c r="C906" s="34"/>
      <c r="D906" s="34"/>
      <c r="E906" s="34"/>
      <c r="F906" s="34"/>
      <c r="G906" s="34"/>
      <c r="H906" s="34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476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34"/>
      <c r="AH906" s="34"/>
    </row>
    <row x14ac:dyDescent="0.25" r="907" customHeight="1" ht="15.75">
      <c r="A907" s="2"/>
      <c r="B907" s="34"/>
      <c r="C907" s="34"/>
      <c r="D907" s="34"/>
      <c r="E907" s="34"/>
      <c r="F907" s="34"/>
      <c r="G907" s="34"/>
      <c r="H907" s="34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476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34"/>
      <c r="AH907" s="34"/>
    </row>
    <row x14ac:dyDescent="0.25" r="908" customHeight="1" ht="15.75">
      <c r="A908" s="2"/>
      <c r="B908" s="34"/>
      <c r="C908" s="34"/>
      <c r="D908" s="34"/>
      <c r="E908" s="34"/>
      <c r="F908" s="34"/>
      <c r="G908" s="34"/>
      <c r="H908" s="34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476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34"/>
      <c r="AH908" s="34"/>
    </row>
    <row x14ac:dyDescent="0.25" r="909" customHeight="1" ht="15.75">
      <c r="A909" s="2"/>
      <c r="B909" s="34"/>
      <c r="C909" s="34"/>
      <c r="D909" s="34"/>
      <c r="E909" s="34"/>
      <c r="F909" s="34"/>
      <c r="G909" s="34"/>
      <c r="H909" s="34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476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34"/>
      <c r="AH909" s="34"/>
    </row>
    <row x14ac:dyDescent="0.25" r="910" customHeight="1" ht="15.75">
      <c r="A910" s="2"/>
      <c r="B910" s="34"/>
      <c r="C910" s="34"/>
      <c r="D910" s="34"/>
      <c r="E910" s="34"/>
      <c r="F910" s="34"/>
      <c r="G910" s="34"/>
      <c r="H910" s="34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476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34"/>
      <c r="AH910" s="34"/>
    </row>
    <row x14ac:dyDescent="0.25" r="911" customHeight="1" ht="15.75">
      <c r="A911" s="2"/>
      <c r="B911" s="34"/>
      <c r="C911" s="34"/>
      <c r="D911" s="34"/>
      <c r="E911" s="34"/>
      <c r="F911" s="34"/>
      <c r="G911" s="34"/>
      <c r="H911" s="34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476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34"/>
      <c r="AH911" s="34"/>
    </row>
    <row x14ac:dyDescent="0.25" r="912" customHeight="1" ht="15.75">
      <c r="A912" s="2"/>
      <c r="B912" s="34"/>
      <c r="C912" s="34"/>
      <c r="D912" s="34"/>
      <c r="E912" s="34"/>
      <c r="F912" s="34"/>
      <c r="G912" s="34"/>
      <c r="H912" s="34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476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34"/>
      <c r="AH912" s="34"/>
    </row>
    <row x14ac:dyDescent="0.25" r="913" customHeight="1" ht="15.75">
      <c r="A913" s="2"/>
      <c r="B913" s="34"/>
      <c r="C913" s="34"/>
      <c r="D913" s="34"/>
      <c r="E913" s="34"/>
      <c r="F913" s="34"/>
      <c r="G913" s="34"/>
      <c r="H913" s="34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476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34"/>
      <c r="AH913" s="34"/>
    </row>
    <row x14ac:dyDescent="0.25" r="914" customHeight="1" ht="15.75">
      <c r="A914" s="2"/>
      <c r="B914" s="34"/>
      <c r="C914" s="34"/>
      <c r="D914" s="34"/>
      <c r="E914" s="34"/>
      <c r="F914" s="34"/>
      <c r="G914" s="34"/>
      <c r="H914" s="34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476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34"/>
      <c r="AH914" s="34"/>
    </row>
    <row x14ac:dyDescent="0.25" r="915" customHeight="1" ht="15.75">
      <c r="A915" s="2"/>
      <c r="B915" s="34"/>
      <c r="C915" s="34"/>
      <c r="D915" s="34"/>
      <c r="E915" s="34"/>
      <c r="F915" s="34"/>
      <c r="G915" s="34"/>
      <c r="H915" s="34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476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34"/>
      <c r="AH915" s="34"/>
    </row>
    <row x14ac:dyDescent="0.25" r="916" customHeight="1" ht="15.75">
      <c r="A916" s="2"/>
      <c r="B916" s="34"/>
      <c r="C916" s="34"/>
      <c r="D916" s="34"/>
      <c r="E916" s="34"/>
      <c r="F916" s="34"/>
      <c r="G916" s="34"/>
      <c r="H916" s="34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476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34"/>
      <c r="AH916" s="34"/>
    </row>
    <row x14ac:dyDescent="0.25" r="917" customHeight="1" ht="15.75">
      <c r="A917" s="2"/>
      <c r="B917" s="34"/>
      <c r="C917" s="34"/>
      <c r="D917" s="34"/>
      <c r="E917" s="34"/>
      <c r="F917" s="34"/>
      <c r="G917" s="34"/>
      <c r="H917" s="34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476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34"/>
      <c r="AH917" s="34"/>
    </row>
    <row x14ac:dyDescent="0.25" r="918" customHeight="1" ht="15.75">
      <c r="A918" s="2"/>
      <c r="B918" s="34"/>
      <c r="C918" s="34"/>
      <c r="D918" s="34"/>
      <c r="E918" s="34"/>
      <c r="F918" s="34"/>
      <c r="G918" s="34"/>
      <c r="H918" s="34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476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34"/>
      <c r="AH918" s="34"/>
    </row>
    <row x14ac:dyDescent="0.25" r="919" customHeight="1" ht="15.75">
      <c r="A919" s="2"/>
      <c r="B919" s="34"/>
      <c r="C919" s="34"/>
      <c r="D919" s="34"/>
      <c r="E919" s="34"/>
      <c r="F919" s="34"/>
      <c r="G919" s="34"/>
      <c r="H919" s="34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476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34"/>
      <c r="AH919" s="34"/>
    </row>
    <row x14ac:dyDescent="0.25" r="920" customHeight="1" ht="15.75">
      <c r="A920" s="2"/>
      <c r="B920" s="34"/>
      <c r="C920" s="34"/>
      <c r="D920" s="34"/>
      <c r="E920" s="34"/>
      <c r="F920" s="34"/>
      <c r="G920" s="34"/>
      <c r="H920" s="34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476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34"/>
      <c r="AH920" s="34"/>
    </row>
    <row x14ac:dyDescent="0.25" r="921" customHeight="1" ht="15.75">
      <c r="A921" s="2"/>
      <c r="B921" s="34"/>
      <c r="C921" s="34"/>
      <c r="D921" s="34"/>
      <c r="E921" s="34"/>
      <c r="F921" s="34"/>
      <c r="G921" s="34"/>
      <c r="H921" s="34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476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34"/>
      <c r="AH921" s="34"/>
    </row>
    <row x14ac:dyDescent="0.25" r="922" customHeight="1" ht="15.75">
      <c r="A922" s="2"/>
      <c r="B922" s="34"/>
      <c r="C922" s="34"/>
      <c r="D922" s="34"/>
      <c r="E922" s="34"/>
      <c r="F922" s="34"/>
      <c r="G922" s="34"/>
      <c r="H922" s="34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476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34"/>
      <c r="AH922" s="34"/>
    </row>
    <row x14ac:dyDescent="0.25" r="923" customHeight="1" ht="15.75">
      <c r="A923" s="2"/>
      <c r="B923" s="34"/>
      <c r="C923" s="34"/>
      <c r="D923" s="34"/>
      <c r="E923" s="34"/>
      <c r="F923" s="34"/>
      <c r="G923" s="34"/>
      <c r="H923" s="34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476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34"/>
      <c r="AH923" s="34"/>
    </row>
    <row x14ac:dyDescent="0.25" r="924" customHeight="1" ht="15.75">
      <c r="A924" s="2"/>
      <c r="B924" s="34"/>
      <c r="C924" s="34"/>
      <c r="D924" s="34"/>
      <c r="E924" s="34"/>
      <c r="F924" s="34"/>
      <c r="G924" s="34"/>
      <c r="H924" s="34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476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34"/>
      <c r="AH924" s="34"/>
    </row>
    <row x14ac:dyDescent="0.25" r="925" customHeight="1" ht="15.75">
      <c r="A925" s="2"/>
      <c r="B925" s="34"/>
      <c r="C925" s="34"/>
      <c r="D925" s="34"/>
      <c r="E925" s="34"/>
      <c r="F925" s="34"/>
      <c r="G925" s="34"/>
      <c r="H925" s="34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476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34"/>
      <c r="AH925" s="34"/>
    </row>
    <row x14ac:dyDescent="0.25" r="926" customHeight="1" ht="15.75">
      <c r="A926" s="2"/>
      <c r="B926" s="34"/>
      <c r="C926" s="34"/>
      <c r="D926" s="34"/>
      <c r="E926" s="34"/>
      <c r="F926" s="34"/>
      <c r="G926" s="34"/>
      <c r="H926" s="34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476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34"/>
      <c r="AH926" s="34"/>
    </row>
    <row x14ac:dyDescent="0.25" r="927" customHeight="1" ht="15.75">
      <c r="A927" s="2"/>
      <c r="B927" s="34"/>
      <c r="C927" s="34"/>
      <c r="D927" s="34"/>
      <c r="E927" s="34"/>
      <c r="F927" s="34"/>
      <c r="G927" s="34"/>
      <c r="H927" s="34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476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34"/>
      <c r="AH927" s="34"/>
    </row>
    <row x14ac:dyDescent="0.25" r="928" customHeight="1" ht="15.75">
      <c r="A928" s="2"/>
      <c r="B928" s="34"/>
      <c r="C928" s="34"/>
      <c r="D928" s="34"/>
      <c r="E928" s="34"/>
      <c r="F928" s="34"/>
      <c r="G928" s="34"/>
      <c r="H928" s="34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476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34"/>
      <c r="AH928" s="34"/>
    </row>
    <row x14ac:dyDescent="0.25" r="929" customHeight="1" ht="15.75">
      <c r="A929" s="2"/>
      <c r="B929" s="34"/>
      <c r="C929" s="34"/>
      <c r="D929" s="34"/>
      <c r="E929" s="34"/>
      <c r="F929" s="34"/>
      <c r="G929" s="34"/>
      <c r="H929" s="34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476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34"/>
      <c r="AH929" s="34"/>
    </row>
    <row x14ac:dyDescent="0.25" r="930" customHeight="1" ht="15.75">
      <c r="A930" s="2"/>
      <c r="B930" s="34"/>
      <c r="C930" s="34"/>
      <c r="D930" s="34"/>
      <c r="E930" s="34"/>
      <c r="F930" s="34"/>
      <c r="G930" s="34"/>
      <c r="H930" s="34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476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34"/>
      <c r="AH930" s="34"/>
    </row>
    <row x14ac:dyDescent="0.25" r="931" customHeight="1" ht="15.75">
      <c r="A931" s="2"/>
      <c r="B931" s="34"/>
      <c r="C931" s="34"/>
      <c r="D931" s="34"/>
      <c r="E931" s="34"/>
      <c r="F931" s="34"/>
      <c r="G931" s="34"/>
      <c r="H931" s="34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476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34"/>
      <c r="AH931" s="34"/>
    </row>
    <row x14ac:dyDescent="0.25" r="932" customHeight="1" ht="15.75">
      <c r="A932" s="2"/>
      <c r="B932" s="34"/>
      <c r="C932" s="34"/>
      <c r="D932" s="34"/>
      <c r="E932" s="34"/>
      <c r="F932" s="34"/>
      <c r="G932" s="34"/>
      <c r="H932" s="34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476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34"/>
      <c r="AH932" s="34"/>
    </row>
    <row x14ac:dyDescent="0.25" r="933" customHeight="1" ht="15.75">
      <c r="A933" s="2"/>
      <c r="B933" s="34"/>
      <c r="C933" s="34"/>
      <c r="D933" s="34"/>
      <c r="E933" s="34"/>
      <c r="F933" s="34"/>
      <c r="G933" s="34"/>
      <c r="H933" s="34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476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34"/>
      <c r="AH933" s="34"/>
    </row>
    <row x14ac:dyDescent="0.25" r="934" customHeight="1" ht="15.75">
      <c r="A934" s="2"/>
      <c r="B934" s="34"/>
      <c r="C934" s="34"/>
      <c r="D934" s="34"/>
      <c r="E934" s="34"/>
      <c r="F934" s="34"/>
      <c r="G934" s="34"/>
      <c r="H934" s="34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476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34"/>
      <c r="AH934" s="34"/>
    </row>
    <row x14ac:dyDescent="0.25" r="935" customHeight="1" ht="15.75">
      <c r="A935" s="2"/>
      <c r="B935" s="34"/>
      <c r="C935" s="34"/>
      <c r="D935" s="34"/>
      <c r="E935" s="34"/>
      <c r="F935" s="34"/>
      <c r="G935" s="34"/>
      <c r="H935" s="34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476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34"/>
      <c r="AH935" s="34"/>
    </row>
    <row x14ac:dyDescent="0.25" r="936" customHeight="1" ht="15.75">
      <c r="A936" s="2"/>
      <c r="B936" s="34"/>
      <c r="C936" s="34"/>
      <c r="D936" s="34"/>
      <c r="E936" s="34"/>
      <c r="F936" s="34"/>
      <c r="G936" s="34"/>
      <c r="H936" s="34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476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34"/>
      <c r="AH936" s="34"/>
    </row>
    <row x14ac:dyDescent="0.25" r="937" customHeight="1" ht="15.75">
      <c r="A937" s="2"/>
      <c r="B937" s="34"/>
      <c r="C937" s="34"/>
      <c r="D937" s="34"/>
      <c r="E937" s="34"/>
      <c r="F937" s="34"/>
      <c r="G937" s="34"/>
      <c r="H937" s="34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476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34"/>
      <c r="AH937" s="34"/>
    </row>
    <row x14ac:dyDescent="0.25" r="938" customHeight="1" ht="15.75">
      <c r="A938" s="2"/>
      <c r="B938" s="34"/>
      <c r="C938" s="34"/>
      <c r="D938" s="34"/>
      <c r="E938" s="34"/>
      <c r="F938" s="34"/>
      <c r="G938" s="34"/>
      <c r="H938" s="34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476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34"/>
      <c r="AH938" s="34"/>
    </row>
    <row x14ac:dyDescent="0.25" r="939" customHeight="1" ht="15.75">
      <c r="A939" s="2"/>
      <c r="B939" s="34"/>
      <c r="C939" s="34"/>
      <c r="D939" s="34"/>
      <c r="E939" s="34"/>
      <c r="F939" s="34"/>
      <c r="G939" s="34"/>
      <c r="H939" s="34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476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34"/>
      <c r="AH939" s="34"/>
    </row>
    <row x14ac:dyDescent="0.25" r="940" customHeight="1" ht="15.75">
      <c r="A940" s="2"/>
      <c r="B940" s="34"/>
      <c r="C940" s="34"/>
      <c r="D940" s="34"/>
      <c r="E940" s="34"/>
      <c r="F940" s="34"/>
      <c r="G940" s="34"/>
      <c r="H940" s="34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476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34"/>
      <c r="AH940" s="34"/>
    </row>
    <row x14ac:dyDescent="0.25" r="941" customHeight="1" ht="15.75">
      <c r="A941" s="2"/>
      <c r="B941" s="34"/>
      <c r="C941" s="34"/>
      <c r="D941" s="34"/>
      <c r="E941" s="34"/>
      <c r="F941" s="34"/>
      <c r="G941" s="34"/>
      <c r="H941" s="34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476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34"/>
      <c r="AH941" s="34"/>
    </row>
    <row x14ac:dyDescent="0.25" r="942" customHeight="1" ht="15.75">
      <c r="A942" s="2"/>
      <c r="B942" s="34"/>
      <c r="C942" s="34"/>
      <c r="D942" s="34"/>
      <c r="E942" s="34"/>
      <c r="F942" s="34"/>
      <c r="G942" s="34"/>
      <c r="H942" s="34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476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34"/>
      <c r="AH942" s="34"/>
    </row>
    <row x14ac:dyDescent="0.25" r="943" customHeight="1" ht="15.75">
      <c r="A943" s="2"/>
      <c r="B943" s="34"/>
      <c r="C943" s="34"/>
      <c r="D943" s="34"/>
      <c r="E943" s="34"/>
      <c r="F943" s="34"/>
      <c r="G943" s="34"/>
      <c r="H943" s="34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476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34"/>
      <c r="AH943" s="34"/>
    </row>
    <row x14ac:dyDescent="0.25" r="944" customHeight="1" ht="15.75">
      <c r="A944" s="2"/>
      <c r="B944" s="34"/>
      <c r="C944" s="34"/>
      <c r="D944" s="34"/>
      <c r="E944" s="34"/>
      <c r="F944" s="34"/>
      <c r="G944" s="34"/>
      <c r="H944" s="34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476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34"/>
      <c r="AH944" s="34"/>
    </row>
    <row x14ac:dyDescent="0.25" r="945" customHeight="1" ht="15.75">
      <c r="A945" s="2"/>
      <c r="B945" s="34"/>
      <c r="C945" s="34"/>
      <c r="D945" s="34"/>
      <c r="E945" s="34"/>
      <c r="F945" s="34"/>
      <c r="G945" s="34"/>
      <c r="H945" s="34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476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34"/>
      <c r="AH945" s="34"/>
    </row>
    <row x14ac:dyDescent="0.25" r="946" customHeight="1" ht="15.75">
      <c r="A946" s="2"/>
      <c r="B946" s="34"/>
      <c r="C946" s="34"/>
      <c r="D946" s="34"/>
      <c r="E946" s="34"/>
      <c r="F946" s="34"/>
      <c r="G946" s="34"/>
      <c r="H946" s="34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476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34"/>
      <c r="AH946" s="34"/>
    </row>
    <row x14ac:dyDescent="0.25" r="947" customHeight="1" ht="15.75">
      <c r="A947" s="2"/>
      <c r="B947" s="34"/>
      <c r="C947" s="34"/>
      <c r="D947" s="34"/>
      <c r="E947" s="34"/>
      <c r="F947" s="34"/>
      <c r="G947" s="34"/>
      <c r="H947" s="34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476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34"/>
      <c r="AH947" s="34"/>
    </row>
    <row x14ac:dyDescent="0.25" r="948" customHeight="1" ht="15.75">
      <c r="A948" s="2"/>
      <c r="B948" s="34"/>
      <c r="C948" s="34"/>
      <c r="D948" s="34"/>
      <c r="E948" s="34"/>
      <c r="F948" s="34"/>
      <c r="G948" s="34"/>
      <c r="H948" s="34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476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34"/>
      <c r="AH948" s="34"/>
    </row>
    <row x14ac:dyDescent="0.25" r="949" customHeight="1" ht="15.75">
      <c r="A949" s="2"/>
      <c r="B949" s="34"/>
      <c r="C949" s="34"/>
      <c r="D949" s="34"/>
      <c r="E949" s="34"/>
      <c r="F949" s="34"/>
      <c r="G949" s="34"/>
      <c r="H949" s="34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476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34"/>
      <c r="AH949" s="34"/>
    </row>
    <row x14ac:dyDescent="0.25" r="950" customHeight="1" ht="15.75">
      <c r="A950" s="2"/>
      <c r="B950" s="34"/>
      <c r="C950" s="34"/>
      <c r="D950" s="34"/>
      <c r="E950" s="34"/>
      <c r="F950" s="34"/>
      <c r="G950" s="34"/>
      <c r="H950" s="34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476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34"/>
      <c r="AH950" s="34"/>
    </row>
    <row x14ac:dyDescent="0.25" r="951" customHeight="1" ht="15.75">
      <c r="A951" s="2"/>
      <c r="B951" s="34"/>
      <c r="C951" s="34"/>
      <c r="D951" s="34"/>
      <c r="E951" s="34"/>
      <c r="F951" s="34"/>
      <c r="G951" s="34"/>
      <c r="H951" s="34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476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34"/>
      <c r="AH951" s="34"/>
    </row>
    <row x14ac:dyDescent="0.25" r="952" customHeight="1" ht="15.75">
      <c r="A952" s="2"/>
      <c r="B952" s="34"/>
      <c r="C952" s="34"/>
      <c r="D952" s="34"/>
      <c r="E952" s="34"/>
      <c r="F952" s="34"/>
      <c r="G952" s="34"/>
      <c r="H952" s="34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476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34"/>
      <c r="AH952" s="34"/>
    </row>
    <row x14ac:dyDescent="0.25" r="953" customHeight="1" ht="15.75">
      <c r="A953" s="2"/>
      <c r="B953" s="34"/>
      <c r="C953" s="34"/>
      <c r="D953" s="34"/>
      <c r="E953" s="34"/>
      <c r="F953" s="34"/>
      <c r="G953" s="34"/>
      <c r="H953" s="34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476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34"/>
      <c r="AH953" s="34"/>
    </row>
    <row x14ac:dyDescent="0.25" r="954" customHeight="1" ht="15.75">
      <c r="A954" s="2"/>
      <c r="B954" s="34"/>
      <c r="C954" s="34"/>
      <c r="D954" s="34"/>
      <c r="E954" s="34"/>
      <c r="F954" s="34"/>
      <c r="G954" s="34"/>
      <c r="H954" s="34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476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34"/>
      <c r="AH954" s="34"/>
    </row>
    <row x14ac:dyDescent="0.25" r="955" customHeight="1" ht="15.75">
      <c r="A955" s="2"/>
      <c r="B955" s="34"/>
      <c r="C955" s="34"/>
      <c r="D955" s="34"/>
      <c r="E955" s="34"/>
      <c r="F955" s="34"/>
      <c r="G955" s="34"/>
      <c r="H955" s="34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476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34"/>
      <c r="AH955" s="34"/>
    </row>
    <row x14ac:dyDescent="0.25" r="956" customHeight="1" ht="15.75">
      <c r="A956" s="2"/>
      <c r="B956" s="34"/>
      <c r="C956" s="34"/>
      <c r="D956" s="34"/>
      <c r="E956" s="34"/>
      <c r="F956" s="34"/>
      <c r="G956" s="34"/>
      <c r="H956" s="34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476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34"/>
      <c r="AH956" s="34"/>
    </row>
    <row x14ac:dyDescent="0.25" r="957" customHeight="1" ht="15.75">
      <c r="A957" s="2"/>
      <c r="B957" s="34"/>
      <c r="C957" s="34"/>
      <c r="D957" s="34"/>
      <c r="E957" s="34"/>
      <c r="F957" s="34"/>
      <c r="G957" s="34"/>
      <c r="H957" s="34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476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34"/>
      <c r="AH957" s="34"/>
    </row>
    <row x14ac:dyDescent="0.25" r="958" customHeight="1" ht="15.75">
      <c r="A958" s="2"/>
      <c r="B958" s="34"/>
      <c r="C958" s="34"/>
      <c r="D958" s="34"/>
      <c r="E958" s="34"/>
      <c r="F958" s="34"/>
      <c r="G958" s="34"/>
      <c r="H958" s="34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476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34"/>
      <c r="AH958" s="34"/>
    </row>
    <row x14ac:dyDescent="0.25" r="959" customHeight="1" ht="15.75">
      <c r="A959" s="2"/>
      <c r="B959" s="34"/>
      <c r="C959" s="34"/>
      <c r="D959" s="34"/>
      <c r="E959" s="34"/>
      <c r="F959" s="34"/>
      <c r="G959" s="34"/>
      <c r="H959" s="34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476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34"/>
      <c r="AH959" s="34"/>
    </row>
    <row x14ac:dyDescent="0.25" r="960" customHeight="1" ht="15.75">
      <c r="A960" s="2"/>
      <c r="B960" s="34"/>
      <c r="C960" s="34"/>
      <c r="D960" s="34"/>
      <c r="E960" s="34"/>
      <c r="F960" s="34"/>
      <c r="G960" s="34"/>
      <c r="H960" s="34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476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34"/>
      <c r="AH960" s="34"/>
    </row>
    <row x14ac:dyDescent="0.25" r="961" customHeight="1" ht="15.75">
      <c r="A961" s="2"/>
      <c r="B961" s="34"/>
      <c r="C961" s="34"/>
      <c r="D961" s="34"/>
      <c r="E961" s="34"/>
      <c r="F961" s="34"/>
      <c r="G961" s="34"/>
      <c r="H961" s="34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476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34"/>
      <c r="AH961" s="34"/>
    </row>
    <row x14ac:dyDescent="0.25" r="962" customHeight="1" ht="15.75">
      <c r="A962" s="2"/>
      <c r="B962" s="34"/>
      <c r="C962" s="34"/>
      <c r="D962" s="34"/>
      <c r="E962" s="34"/>
      <c r="F962" s="34"/>
      <c r="G962" s="34"/>
      <c r="H962" s="34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476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34"/>
      <c r="AH962" s="34"/>
    </row>
    <row x14ac:dyDescent="0.25" r="963" customHeight="1" ht="15.75">
      <c r="A963" s="2"/>
      <c r="B963" s="34"/>
      <c r="C963" s="34"/>
      <c r="D963" s="34"/>
      <c r="E963" s="34"/>
      <c r="F963" s="34"/>
      <c r="G963" s="34"/>
      <c r="H963" s="34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476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34"/>
      <c r="AH963" s="34"/>
    </row>
    <row x14ac:dyDescent="0.25" r="964" customHeight="1" ht="15.75">
      <c r="A964" s="2"/>
      <c r="B964" s="34"/>
      <c r="C964" s="34"/>
      <c r="D964" s="34"/>
      <c r="E964" s="34"/>
      <c r="F964" s="34"/>
      <c r="G964" s="34"/>
      <c r="H964" s="34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476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34"/>
      <c r="AH964" s="34"/>
    </row>
    <row x14ac:dyDescent="0.25" r="965" customHeight="1" ht="15.75">
      <c r="A965" s="2"/>
      <c r="B965" s="34"/>
      <c r="C965" s="34"/>
      <c r="D965" s="34"/>
      <c r="E965" s="34"/>
      <c r="F965" s="34"/>
      <c r="G965" s="34"/>
      <c r="H965" s="34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476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34"/>
      <c r="AH965" s="34"/>
    </row>
    <row x14ac:dyDescent="0.25" r="966" customHeight="1" ht="15.75">
      <c r="A966" s="2"/>
      <c r="B966" s="34"/>
      <c r="C966" s="34"/>
      <c r="D966" s="34"/>
      <c r="E966" s="34"/>
      <c r="F966" s="34"/>
      <c r="G966" s="34"/>
      <c r="H966" s="34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476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34"/>
      <c r="AH966" s="34"/>
    </row>
    <row x14ac:dyDescent="0.25" r="967" customHeight="1" ht="15.75">
      <c r="A967" s="2"/>
      <c r="B967" s="34"/>
      <c r="C967" s="34"/>
      <c r="D967" s="34"/>
      <c r="E967" s="34"/>
      <c r="F967" s="34"/>
      <c r="G967" s="34"/>
      <c r="H967" s="34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476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34"/>
      <c r="AH967" s="34"/>
    </row>
    <row x14ac:dyDescent="0.25" r="968" customHeight="1" ht="15.75">
      <c r="A968" s="2"/>
      <c r="B968" s="34"/>
      <c r="C968" s="34"/>
      <c r="D968" s="34"/>
      <c r="E968" s="34"/>
      <c r="F968" s="34"/>
      <c r="G968" s="34"/>
      <c r="H968" s="34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476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34"/>
      <c r="AH968" s="34"/>
    </row>
    <row x14ac:dyDescent="0.25" r="969" customHeight="1" ht="15.75">
      <c r="A969" s="2"/>
      <c r="B969" s="34"/>
      <c r="C969" s="34"/>
      <c r="D969" s="34"/>
      <c r="E969" s="34"/>
      <c r="F969" s="34"/>
      <c r="G969" s="34"/>
      <c r="H969" s="34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476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34"/>
      <c r="AH969" s="34"/>
    </row>
    <row x14ac:dyDescent="0.25" r="970" customHeight="1" ht="15.75">
      <c r="A970" s="2"/>
      <c r="B970" s="34"/>
      <c r="C970" s="34"/>
      <c r="D970" s="34"/>
      <c r="E970" s="34"/>
      <c r="F970" s="34"/>
      <c r="G970" s="34"/>
      <c r="H970" s="34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476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34"/>
      <c r="AH970" s="34"/>
    </row>
    <row x14ac:dyDescent="0.25" r="971" customHeight="1" ht="15.75">
      <c r="A971" s="2"/>
      <c r="B971" s="34"/>
      <c r="C971" s="34"/>
      <c r="D971" s="34"/>
      <c r="E971" s="34"/>
      <c r="F971" s="34"/>
      <c r="G971" s="34"/>
      <c r="H971" s="34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476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34"/>
      <c r="AH971" s="34"/>
    </row>
    <row x14ac:dyDescent="0.25" r="972" customHeight="1" ht="15.75">
      <c r="A972" s="2"/>
      <c r="B972" s="34"/>
      <c r="C972" s="34"/>
      <c r="D972" s="34"/>
      <c r="E972" s="34"/>
      <c r="F972" s="34"/>
      <c r="G972" s="34"/>
      <c r="H972" s="34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476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34"/>
      <c r="AH972" s="34"/>
    </row>
    <row x14ac:dyDescent="0.25" r="973" customHeight="1" ht="15.75">
      <c r="A973" s="2"/>
      <c r="B973" s="34"/>
      <c r="C973" s="34"/>
      <c r="D973" s="34"/>
      <c r="E973" s="34"/>
      <c r="F973" s="34"/>
      <c r="G973" s="34"/>
      <c r="H973" s="34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476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34"/>
      <c r="AH973" s="34"/>
    </row>
    <row x14ac:dyDescent="0.25" r="974" customHeight="1" ht="15.75">
      <c r="A974" s="2"/>
      <c r="B974" s="34"/>
      <c r="C974" s="34"/>
      <c r="D974" s="34"/>
      <c r="E974" s="34"/>
      <c r="F974" s="34"/>
      <c r="G974" s="34"/>
      <c r="H974" s="34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476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34"/>
      <c r="AH974" s="34"/>
    </row>
    <row x14ac:dyDescent="0.25" r="975" customHeight="1" ht="15.75">
      <c r="A975" s="2"/>
      <c r="B975" s="34"/>
      <c r="C975" s="34"/>
      <c r="D975" s="34"/>
      <c r="E975" s="34"/>
      <c r="F975" s="34"/>
      <c r="G975" s="34"/>
      <c r="H975" s="34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476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34"/>
      <c r="AH975" s="34"/>
    </row>
    <row x14ac:dyDescent="0.25" r="976" customHeight="1" ht="15.75">
      <c r="A976" s="2"/>
      <c r="B976" s="34"/>
      <c r="C976" s="34"/>
      <c r="D976" s="34"/>
      <c r="E976" s="34"/>
      <c r="F976" s="34"/>
      <c r="G976" s="34"/>
      <c r="H976" s="34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476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34"/>
      <c r="AH976" s="34"/>
    </row>
    <row x14ac:dyDescent="0.25" r="977" customHeight="1" ht="15.75">
      <c r="A977" s="2"/>
      <c r="B977" s="34"/>
      <c r="C977" s="34"/>
      <c r="D977" s="34"/>
      <c r="E977" s="34"/>
      <c r="F977" s="34"/>
      <c r="G977" s="34"/>
      <c r="H977" s="34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476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34"/>
      <c r="AH977" s="34"/>
    </row>
    <row x14ac:dyDescent="0.25" r="978" customHeight="1" ht="15.75">
      <c r="A978" s="2"/>
      <c r="B978" s="34"/>
      <c r="C978" s="34"/>
      <c r="D978" s="34"/>
      <c r="E978" s="34"/>
      <c r="F978" s="34"/>
      <c r="G978" s="34"/>
      <c r="H978" s="34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476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34"/>
      <c r="AH978" s="34"/>
    </row>
    <row x14ac:dyDescent="0.25" r="979" customHeight="1" ht="15.75">
      <c r="A979" s="2"/>
      <c r="B979" s="34"/>
      <c r="C979" s="34"/>
      <c r="D979" s="34"/>
      <c r="E979" s="34"/>
      <c r="F979" s="34"/>
      <c r="G979" s="34"/>
      <c r="H979" s="34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476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34"/>
      <c r="AH979" s="34"/>
    </row>
    <row x14ac:dyDescent="0.25" r="980" customHeight="1" ht="15.75">
      <c r="A980" s="2"/>
      <c r="B980" s="34"/>
      <c r="C980" s="34"/>
      <c r="D980" s="34"/>
      <c r="E980" s="34"/>
      <c r="F980" s="34"/>
      <c r="G980" s="34"/>
      <c r="H980" s="34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476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34"/>
      <c r="AH980" s="34"/>
    </row>
    <row x14ac:dyDescent="0.25" r="981" customHeight="1" ht="15.75">
      <c r="A981" s="2"/>
      <c r="B981" s="34"/>
      <c r="C981" s="34"/>
      <c r="D981" s="34"/>
      <c r="E981" s="34"/>
      <c r="F981" s="34"/>
      <c r="G981" s="34"/>
      <c r="H981" s="34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476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34"/>
      <c r="AH981" s="34"/>
    </row>
    <row x14ac:dyDescent="0.25" r="982" customHeight="1" ht="15.75">
      <c r="A982" s="2"/>
      <c r="B982" s="34"/>
      <c r="C982" s="34"/>
      <c r="D982" s="34"/>
      <c r="E982" s="34"/>
      <c r="F982" s="34"/>
      <c r="G982" s="34"/>
      <c r="H982" s="34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476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34"/>
      <c r="AH982" s="34"/>
    </row>
    <row x14ac:dyDescent="0.25" r="983" customHeight="1" ht="15.75">
      <c r="A983" s="2"/>
      <c r="B983" s="34"/>
      <c r="C983" s="34"/>
      <c r="D983" s="34"/>
      <c r="E983" s="34"/>
      <c r="F983" s="34"/>
      <c r="G983" s="34"/>
      <c r="H983" s="34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476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34"/>
      <c r="AH983" s="34"/>
    </row>
    <row x14ac:dyDescent="0.25" r="984" customHeight="1" ht="15.75">
      <c r="A984" s="2"/>
      <c r="B984" s="34"/>
      <c r="C984" s="34"/>
      <c r="D984" s="34"/>
      <c r="E984" s="34"/>
      <c r="F984" s="34"/>
      <c r="G984" s="34"/>
      <c r="H984" s="34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476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34"/>
      <c r="AH984" s="34"/>
    </row>
    <row x14ac:dyDescent="0.25" r="985" customHeight="1" ht="15.75">
      <c r="A985" s="2"/>
      <c r="B985" s="34"/>
      <c r="C985" s="34"/>
      <c r="D985" s="34"/>
      <c r="E985" s="34"/>
      <c r="F985" s="34"/>
      <c r="G985" s="34"/>
      <c r="H985" s="34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476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34"/>
      <c r="AH985" s="34"/>
    </row>
    <row x14ac:dyDescent="0.25" r="986" customHeight="1" ht="15.75">
      <c r="A986" s="2"/>
      <c r="B986" s="34"/>
      <c r="C986" s="34"/>
      <c r="D986" s="34"/>
      <c r="E986" s="34"/>
      <c r="F986" s="34"/>
      <c r="G986" s="34"/>
      <c r="H986" s="34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476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34"/>
      <c r="AH986" s="34"/>
    </row>
    <row x14ac:dyDescent="0.25" r="987" customHeight="1" ht="15.75">
      <c r="A987" s="2"/>
      <c r="B987" s="34"/>
      <c r="C987" s="34"/>
      <c r="D987" s="34"/>
      <c r="E987" s="34"/>
      <c r="F987" s="34"/>
      <c r="G987" s="34"/>
      <c r="H987" s="34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476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34"/>
      <c r="AH987" s="34"/>
    </row>
    <row x14ac:dyDescent="0.25" r="988" customHeight="1" ht="15.75">
      <c r="A988" s="2"/>
      <c r="B988" s="34"/>
      <c r="C988" s="34"/>
      <c r="D988" s="34"/>
      <c r="E988" s="34"/>
      <c r="F988" s="34"/>
      <c r="G988" s="34"/>
      <c r="H988" s="34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476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34"/>
      <c r="AH988" s="34"/>
    </row>
    <row x14ac:dyDescent="0.25" r="989" customHeight="1" ht="15.75">
      <c r="A989" s="2"/>
      <c r="B989" s="34"/>
      <c r="C989" s="34"/>
      <c r="D989" s="34"/>
      <c r="E989" s="34"/>
      <c r="F989" s="34"/>
      <c r="G989" s="34"/>
      <c r="H989" s="34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476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34"/>
      <c r="AH989" s="34"/>
    </row>
    <row x14ac:dyDescent="0.25" r="990" customHeight="1" ht="15.75">
      <c r="A990" s="2"/>
      <c r="B990" s="34"/>
      <c r="C990" s="34"/>
      <c r="D990" s="34"/>
      <c r="E990" s="34"/>
      <c r="F990" s="34"/>
      <c r="G990" s="34"/>
      <c r="H990" s="34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476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34"/>
      <c r="AH990" s="34"/>
    </row>
    <row x14ac:dyDescent="0.25" r="991" customHeight="1" ht="15.75">
      <c r="A991" s="2"/>
      <c r="B991" s="34"/>
      <c r="C991" s="34"/>
      <c r="D991" s="34"/>
      <c r="E991" s="34"/>
      <c r="F991" s="34"/>
      <c r="G991" s="34"/>
      <c r="H991" s="34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476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34"/>
      <c r="AH991" s="34"/>
    </row>
    <row x14ac:dyDescent="0.25" r="992" customHeight="1" ht="15.75">
      <c r="A992" s="2"/>
      <c r="B992" s="34"/>
      <c r="C992" s="34"/>
      <c r="D992" s="34"/>
      <c r="E992" s="34"/>
      <c r="F992" s="34"/>
      <c r="G992" s="34"/>
      <c r="H992" s="34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476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34"/>
      <c r="AH992" s="34"/>
    </row>
    <row x14ac:dyDescent="0.25" r="993" customHeight="1" ht="15.75">
      <c r="A993" s="2"/>
      <c r="B993" s="34"/>
      <c r="C993" s="34"/>
      <c r="D993" s="34"/>
      <c r="E993" s="34"/>
      <c r="F993" s="34"/>
      <c r="G993" s="34"/>
      <c r="H993" s="34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476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34"/>
      <c r="AH993" s="34"/>
    </row>
    <row x14ac:dyDescent="0.25" r="994" customHeight="1" ht="15.75">
      <c r="A994" s="2"/>
      <c r="B994" s="34"/>
      <c r="C994" s="34"/>
      <c r="D994" s="34"/>
      <c r="E994" s="34"/>
      <c r="F994" s="34"/>
      <c r="G994" s="34"/>
      <c r="H994" s="34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476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34"/>
      <c r="AH994" s="34"/>
    </row>
    <row x14ac:dyDescent="0.25" r="995" customHeight="1" ht="15.75">
      <c r="A995" s="2"/>
      <c r="B995" s="34"/>
      <c r="C995" s="34"/>
      <c r="D995" s="34"/>
      <c r="E995" s="34"/>
      <c r="F995" s="34"/>
      <c r="G995" s="34"/>
      <c r="H995" s="34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476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34"/>
      <c r="AH995" s="34"/>
    </row>
    <row x14ac:dyDescent="0.25" r="996" customHeight="1" ht="15.75">
      <c r="A996" s="2"/>
      <c r="B996" s="34"/>
      <c r="C996" s="34"/>
      <c r="D996" s="34"/>
      <c r="E996" s="34"/>
      <c r="F996" s="34"/>
      <c r="G996" s="34"/>
      <c r="H996" s="34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476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34"/>
      <c r="AH996" s="34"/>
    </row>
    <row x14ac:dyDescent="0.25" r="997" customHeight="1" ht="15.75">
      <c r="A997" s="2"/>
      <c r="B997" s="34"/>
      <c r="C997" s="34"/>
      <c r="D997" s="34"/>
      <c r="E997" s="34"/>
      <c r="F997" s="34"/>
      <c r="G997" s="34"/>
      <c r="H997" s="34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476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34"/>
      <c r="AH997" s="34"/>
    </row>
    <row x14ac:dyDescent="0.25" r="998" customHeight="1" ht="15.75">
      <c r="A998" s="2"/>
      <c r="B998" s="34"/>
      <c r="C998" s="34"/>
      <c r="D998" s="34"/>
      <c r="E998" s="34"/>
      <c r="F998" s="34"/>
      <c r="G998" s="34"/>
      <c r="H998" s="34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476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34"/>
      <c r="AH998" s="34"/>
    </row>
    <row x14ac:dyDescent="0.25" r="999" customHeight="1" ht="15.75">
      <c r="A999" s="2"/>
      <c r="B999" s="34"/>
      <c r="C999" s="34"/>
      <c r="D999" s="34"/>
      <c r="E999" s="34"/>
      <c r="F999" s="34"/>
      <c r="G999" s="34"/>
      <c r="H999" s="34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476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34"/>
      <c r="AH999" s="34"/>
    </row>
    <row x14ac:dyDescent="0.25" r="1000" customHeight="1" ht="15.75">
      <c r="A1000" s="2"/>
      <c r="B1000" s="34"/>
      <c r="C1000" s="34"/>
      <c r="D1000" s="34"/>
      <c r="E1000" s="34"/>
      <c r="F1000" s="34"/>
      <c r="G1000" s="34"/>
      <c r="H1000" s="34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476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34"/>
      <c r="AH1000" s="34"/>
    </row>
    <row x14ac:dyDescent="0.25" r="1001" customHeight="1" ht="15.75">
      <c r="A1001" s="2"/>
      <c r="B1001" s="34"/>
      <c r="C1001" s="34"/>
      <c r="D1001" s="34"/>
      <c r="E1001" s="34"/>
      <c r="F1001" s="34"/>
      <c r="G1001" s="34"/>
      <c r="H1001" s="34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476"/>
      <c r="V1001" s="29"/>
      <c r="W1001" s="29"/>
      <c r="X1001" s="29"/>
      <c r="Y1001" s="29"/>
      <c r="Z1001" s="29"/>
      <c r="AA1001" s="29"/>
      <c r="AB1001" s="29"/>
      <c r="AC1001" s="29"/>
      <c r="AD1001" s="29"/>
      <c r="AE1001" s="29"/>
      <c r="AF1001" s="29"/>
      <c r="AG1001" s="34"/>
      <c r="AH1001" s="34"/>
    </row>
    <row x14ac:dyDescent="0.25" r="1002" customHeight="1" ht="15.75">
      <c r="A1002" s="2"/>
      <c r="B1002" s="34"/>
      <c r="C1002" s="34"/>
      <c r="D1002" s="34"/>
      <c r="E1002" s="34"/>
      <c r="F1002" s="34"/>
      <c r="G1002" s="34"/>
      <c r="H1002" s="34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476"/>
      <c r="V1002" s="29"/>
      <c r="W1002" s="29"/>
      <c r="X1002" s="29"/>
      <c r="Y1002" s="29"/>
      <c r="Z1002" s="29"/>
      <c r="AA1002" s="29"/>
      <c r="AB1002" s="29"/>
      <c r="AC1002" s="29"/>
      <c r="AD1002" s="29"/>
      <c r="AE1002" s="29"/>
      <c r="AF1002" s="29"/>
      <c r="AG1002" s="34"/>
      <c r="AH1002" s="34"/>
    </row>
    <row x14ac:dyDescent="0.25" r="1003" customHeight="1" ht="15.75">
      <c r="A1003" s="2"/>
      <c r="B1003" s="34"/>
      <c r="C1003" s="34"/>
      <c r="D1003" s="34"/>
      <c r="E1003" s="34"/>
      <c r="F1003" s="34"/>
      <c r="G1003" s="34"/>
      <c r="H1003" s="34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476"/>
      <c r="V1003" s="29"/>
      <c r="W1003" s="29"/>
      <c r="X1003" s="29"/>
      <c r="Y1003" s="29"/>
      <c r="Z1003" s="29"/>
      <c r="AA1003" s="29"/>
      <c r="AB1003" s="29"/>
      <c r="AC1003" s="29"/>
      <c r="AD1003" s="29"/>
      <c r="AE1003" s="29"/>
      <c r="AF1003" s="29"/>
      <c r="AG1003" s="34"/>
      <c r="AH1003" s="34"/>
    </row>
    <row x14ac:dyDescent="0.25" r="1004" customHeight="1" ht="15.75">
      <c r="A1004" s="2"/>
      <c r="B1004" s="34"/>
      <c r="C1004" s="34"/>
      <c r="D1004" s="34"/>
      <c r="E1004" s="34"/>
      <c r="F1004" s="34"/>
      <c r="G1004" s="34"/>
      <c r="H1004" s="34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476"/>
      <c r="V1004" s="29"/>
      <c r="W1004" s="29"/>
      <c r="X1004" s="29"/>
      <c r="Y1004" s="29"/>
      <c r="Z1004" s="29"/>
      <c r="AA1004" s="29"/>
      <c r="AB1004" s="29"/>
      <c r="AC1004" s="29"/>
      <c r="AD1004" s="29"/>
      <c r="AE1004" s="29"/>
      <c r="AF1004" s="29"/>
      <c r="AG1004" s="34"/>
      <c r="AH1004" s="34"/>
    </row>
    <row x14ac:dyDescent="0.25" r="1005" customHeight="1" ht="15.75">
      <c r="A1005" s="2"/>
      <c r="B1005" s="34"/>
      <c r="C1005" s="34"/>
      <c r="D1005" s="34"/>
      <c r="E1005" s="34"/>
      <c r="F1005" s="34"/>
      <c r="G1005" s="34"/>
      <c r="H1005" s="34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476"/>
      <c r="V1005" s="29"/>
      <c r="W1005" s="29"/>
      <c r="X1005" s="29"/>
      <c r="Y1005" s="29"/>
      <c r="Z1005" s="29"/>
      <c r="AA1005" s="29"/>
      <c r="AB1005" s="29"/>
      <c r="AC1005" s="29"/>
      <c r="AD1005" s="29"/>
      <c r="AE1005" s="29"/>
      <c r="AF1005" s="29"/>
      <c r="AG1005" s="34"/>
      <c r="AH1005" s="34"/>
    </row>
    <row x14ac:dyDescent="0.25" r="1006" customHeight="1" ht="15.75">
      <c r="A1006" s="2"/>
      <c r="B1006" s="34"/>
      <c r="C1006" s="34"/>
      <c r="D1006" s="34"/>
      <c r="E1006" s="34"/>
      <c r="F1006" s="34"/>
      <c r="G1006" s="34"/>
      <c r="H1006" s="34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476"/>
      <c r="V1006" s="29"/>
      <c r="W1006" s="29"/>
      <c r="X1006" s="29"/>
      <c r="Y1006" s="29"/>
      <c r="Z1006" s="29"/>
      <c r="AA1006" s="29"/>
      <c r="AB1006" s="29"/>
      <c r="AC1006" s="29"/>
      <c r="AD1006" s="29"/>
      <c r="AE1006" s="29"/>
      <c r="AF1006" s="29"/>
      <c r="AG1006" s="34"/>
      <c r="AH1006" s="34"/>
    </row>
    <row x14ac:dyDescent="0.25" r="1007" customHeight="1" ht="15.75">
      <c r="A1007" s="2"/>
      <c r="B1007" s="34"/>
      <c r="C1007" s="34"/>
      <c r="D1007" s="34"/>
      <c r="E1007" s="34"/>
      <c r="F1007" s="34"/>
      <c r="G1007" s="34"/>
      <c r="H1007" s="34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476"/>
      <c r="V1007" s="29"/>
      <c r="W1007" s="29"/>
      <c r="X1007" s="29"/>
      <c r="Y1007" s="29"/>
      <c r="Z1007" s="29"/>
      <c r="AA1007" s="29"/>
      <c r="AB1007" s="29"/>
      <c r="AC1007" s="29"/>
      <c r="AD1007" s="29"/>
      <c r="AE1007" s="29"/>
      <c r="AF1007" s="29"/>
      <c r="AG1007" s="34"/>
      <c r="AH1007" s="34"/>
    </row>
    <row x14ac:dyDescent="0.25" r="1008" customHeight="1" ht="15.75">
      <c r="A1008" s="2"/>
      <c r="B1008" s="34"/>
      <c r="C1008" s="34"/>
      <c r="D1008" s="34"/>
      <c r="E1008" s="34"/>
      <c r="F1008" s="34"/>
      <c r="G1008" s="34"/>
      <c r="H1008" s="34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476"/>
      <c r="V1008" s="29"/>
      <c r="W1008" s="29"/>
      <c r="X1008" s="29"/>
      <c r="Y1008" s="29"/>
      <c r="Z1008" s="29"/>
      <c r="AA1008" s="29"/>
      <c r="AB1008" s="29"/>
      <c r="AC1008" s="29"/>
      <c r="AD1008" s="29"/>
      <c r="AE1008" s="29"/>
      <c r="AF1008" s="29"/>
      <c r="AG1008" s="34"/>
      <c r="AH1008" s="34"/>
    </row>
    <row x14ac:dyDescent="0.25" r="1009" customHeight="1" ht="15.75">
      <c r="A1009" s="2"/>
      <c r="B1009" s="34"/>
      <c r="C1009" s="34"/>
      <c r="D1009" s="34"/>
      <c r="E1009" s="34"/>
      <c r="F1009" s="34"/>
      <c r="G1009" s="34"/>
      <c r="H1009" s="34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476"/>
      <c r="V1009" s="29"/>
      <c r="W1009" s="29"/>
      <c r="X1009" s="29"/>
      <c r="Y1009" s="29"/>
      <c r="Z1009" s="29"/>
      <c r="AA1009" s="29"/>
      <c r="AB1009" s="29"/>
      <c r="AC1009" s="29"/>
      <c r="AD1009" s="29"/>
      <c r="AE1009" s="29"/>
      <c r="AF1009" s="29"/>
      <c r="AG1009" s="34"/>
      <c r="AH1009" s="34"/>
    </row>
    <row x14ac:dyDescent="0.25" r="1010" customHeight="1" ht="15.75">
      <c r="A1010" s="2"/>
      <c r="B1010" s="34"/>
      <c r="C1010" s="34"/>
      <c r="D1010" s="34"/>
      <c r="E1010" s="34"/>
      <c r="F1010" s="34"/>
      <c r="G1010" s="34"/>
      <c r="H1010" s="34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476"/>
      <c r="V1010" s="29"/>
      <c r="W1010" s="29"/>
      <c r="X1010" s="29"/>
      <c r="Y1010" s="29"/>
      <c r="Z1010" s="29"/>
      <c r="AA1010" s="29"/>
      <c r="AB1010" s="29"/>
      <c r="AC1010" s="29"/>
      <c r="AD1010" s="29"/>
      <c r="AE1010" s="29"/>
      <c r="AF1010" s="29"/>
      <c r="AG1010" s="34"/>
      <c r="AH1010" s="34"/>
    </row>
    <row x14ac:dyDescent="0.25" r="1011" customHeight="1" ht="15.75">
      <c r="A1011" s="2"/>
      <c r="B1011" s="34"/>
      <c r="C1011" s="34"/>
      <c r="D1011" s="34"/>
      <c r="E1011" s="34"/>
      <c r="F1011" s="34"/>
      <c r="G1011" s="34"/>
      <c r="H1011" s="34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476"/>
      <c r="V1011" s="29"/>
      <c r="W1011" s="29"/>
      <c r="X1011" s="29"/>
      <c r="Y1011" s="29"/>
      <c r="Z1011" s="29"/>
      <c r="AA1011" s="29"/>
      <c r="AB1011" s="29"/>
      <c r="AC1011" s="29"/>
      <c r="AD1011" s="29"/>
      <c r="AE1011" s="29"/>
      <c r="AF1011" s="29"/>
      <c r="AG1011" s="34"/>
      <c r="AH1011" s="34"/>
    </row>
    <row x14ac:dyDescent="0.25" r="1012" customHeight="1" ht="15.75">
      <c r="A1012" s="2"/>
      <c r="B1012" s="34"/>
      <c r="C1012" s="34"/>
      <c r="D1012" s="34"/>
      <c r="E1012" s="34"/>
      <c r="F1012" s="34"/>
      <c r="G1012" s="34"/>
      <c r="H1012" s="34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476"/>
      <c r="V1012" s="29"/>
      <c r="W1012" s="29"/>
      <c r="X1012" s="29"/>
      <c r="Y1012" s="29"/>
      <c r="Z1012" s="29"/>
      <c r="AA1012" s="29"/>
      <c r="AB1012" s="29"/>
      <c r="AC1012" s="29"/>
      <c r="AD1012" s="29"/>
      <c r="AE1012" s="29"/>
      <c r="AF1012" s="29"/>
      <c r="AG1012" s="34"/>
      <c r="AH1012" s="34"/>
    </row>
    <row x14ac:dyDescent="0.25" r="1013" customHeight="1" ht="15.75">
      <c r="A1013" s="2"/>
      <c r="B1013" s="34"/>
      <c r="C1013" s="34"/>
      <c r="D1013" s="34"/>
      <c r="E1013" s="34"/>
      <c r="F1013" s="34"/>
      <c r="G1013" s="34"/>
      <c r="H1013" s="34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476"/>
      <c r="V1013" s="29"/>
      <c r="W1013" s="29"/>
      <c r="X1013" s="29"/>
      <c r="Y1013" s="29"/>
      <c r="Z1013" s="29"/>
      <c r="AA1013" s="29"/>
      <c r="AB1013" s="29"/>
      <c r="AC1013" s="29"/>
      <c r="AD1013" s="29"/>
      <c r="AE1013" s="29"/>
      <c r="AF1013" s="29"/>
      <c r="AG1013" s="34"/>
      <c r="AH1013" s="34"/>
    </row>
    <row x14ac:dyDescent="0.25" r="1014" customHeight="1" ht="15.75">
      <c r="A1014" s="2"/>
      <c r="B1014" s="34"/>
      <c r="C1014" s="34"/>
      <c r="D1014" s="34"/>
      <c r="E1014" s="34"/>
      <c r="F1014" s="34"/>
      <c r="G1014" s="34"/>
      <c r="H1014" s="34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476"/>
      <c r="V1014" s="29"/>
      <c r="W1014" s="29"/>
      <c r="X1014" s="29"/>
      <c r="Y1014" s="29"/>
      <c r="Z1014" s="29"/>
      <c r="AA1014" s="29"/>
      <c r="AB1014" s="29"/>
      <c r="AC1014" s="29"/>
      <c r="AD1014" s="29"/>
      <c r="AE1014" s="29"/>
      <c r="AF1014" s="29"/>
      <c r="AG1014" s="34"/>
      <c r="AH1014" s="34"/>
    </row>
    <row x14ac:dyDescent="0.25" r="1015" customHeight="1" ht="15.75">
      <c r="A1015" s="2"/>
      <c r="B1015" s="34"/>
      <c r="C1015" s="34"/>
      <c r="D1015" s="34"/>
      <c r="E1015" s="34"/>
      <c r="F1015" s="34"/>
      <c r="G1015" s="34"/>
      <c r="H1015" s="34"/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476"/>
      <c r="V1015" s="29"/>
      <c r="W1015" s="29"/>
      <c r="X1015" s="29"/>
      <c r="Y1015" s="29"/>
      <c r="Z1015" s="29"/>
      <c r="AA1015" s="29"/>
      <c r="AB1015" s="29"/>
      <c r="AC1015" s="29"/>
      <c r="AD1015" s="29"/>
      <c r="AE1015" s="29"/>
      <c r="AF1015" s="29"/>
      <c r="AG1015" s="34"/>
      <c r="AH1015" s="34"/>
    </row>
    <row x14ac:dyDescent="0.25" r="1016" customHeight="1" ht="15.75">
      <c r="A1016" s="2"/>
      <c r="B1016" s="34"/>
      <c r="C1016" s="34"/>
      <c r="D1016" s="34"/>
      <c r="E1016" s="34"/>
      <c r="F1016" s="34"/>
      <c r="G1016" s="34"/>
      <c r="H1016" s="34"/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476"/>
      <c r="V1016" s="29"/>
      <c r="W1016" s="29"/>
      <c r="X1016" s="29"/>
      <c r="Y1016" s="29"/>
      <c r="Z1016" s="29"/>
      <c r="AA1016" s="29"/>
      <c r="AB1016" s="29"/>
      <c r="AC1016" s="29"/>
      <c r="AD1016" s="29"/>
      <c r="AE1016" s="29"/>
      <c r="AF1016" s="29"/>
      <c r="AG1016" s="34"/>
      <c r="AH1016" s="34"/>
    </row>
    <row x14ac:dyDescent="0.25" r="1017" customHeight="1" ht="15.75">
      <c r="A1017" s="2"/>
      <c r="B1017" s="34"/>
      <c r="C1017" s="34"/>
      <c r="D1017" s="34"/>
      <c r="E1017" s="34"/>
      <c r="F1017" s="34"/>
      <c r="G1017" s="34"/>
      <c r="H1017" s="34"/>
      <c r="I1017" s="29"/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476"/>
      <c r="V1017" s="29"/>
      <c r="W1017" s="29"/>
      <c r="X1017" s="29"/>
      <c r="Y1017" s="29"/>
      <c r="Z1017" s="29"/>
      <c r="AA1017" s="29"/>
      <c r="AB1017" s="29"/>
      <c r="AC1017" s="29"/>
      <c r="AD1017" s="29"/>
      <c r="AE1017" s="29"/>
      <c r="AF1017" s="29"/>
      <c r="AG1017" s="34"/>
      <c r="AH1017" s="34"/>
    </row>
    <row x14ac:dyDescent="0.25" r="1018" customHeight="1" ht="15.75">
      <c r="A1018" s="2"/>
      <c r="B1018" s="34"/>
      <c r="C1018" s="34"/>
      <c r="D1018" s="34"/>
      <c r="E1018" s="34"/>
      <c r="F1018" s="34"/>
      <c r="G1018" s="34"/>
      <c r="H1018" s="34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476"/>
      <c r="V1018" s="29"/>
      <c r="W1018" s="29"/>
      <c r="X1018" s="29"/>
      <c r="Y1018" s="29"/>
      <c r="Z1018" s="29"/>
      <c r="AA1018" s="29"/>
      <c r="AB1018" s="29"/>
      <c r="AC1018" s="29"/>
      <c r="AD1018" s="29"/>
      <c r="AE1018" s="29"/>
      <c r="AF1018" s="29"/>
      <c r="AG1018" s="34"/>
      <c r="AH1018" s="34"/>
    </row>
    <row x14ac:dyDescent="0.25" r="1019" customHeight="1" ht="15.75">
      <c r="A1019" s="2"/>
      <c r="B1019" s="34"/>
      <c r="C1019" s="34"/>
      <c r="D1019" s="34"/>
      <c r="E1019" s="34"/>
      <c r="F1019" s="34"/>
      <c r="G1019" s="34"/>
      <c r="H1019" s="34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476"/>
      <c r="V1019" s="29"/>
      <c r="W1019" s="29"/>
      <c r="X1019" s="29"/>
      <c r="Y1019" s="29"/>
      <c r="Z1019" s="29"/>
      <c r="AA1019" s="29"/>
      <c r="AB1019" s="29"/>
      <c r="AC1019" s="29"/>
      <c r="AD1019" s="29"/>
      <c r="AE1019" s="29"/>
      <c r="AF1019" s="29"/>
      <c r="AG1019" s="34"/>
      <c r="AH1019" s="34"/>
    </row>
    <row x14ac:dyDescent="0.25" r="1020" customHeight="1" ht="15.75">
      <c r="A1020" s="2"/>
      <c r="B1020" s="34"/>
      <c r="C1020" s="34"/>
      <c r="D1020" s="34"/>
      <c r="E1020" s="34"/>
      <c r="F1020" s="34"/>
      <c r="G1020" s="34"/>
      <c r="H1020" s="34"/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476"/>
      <c r="V1020" s="29"/>
      <c r="W1020" s="29"/>
      <c r="X1020" s="29"/>
      <c r="Y1020" s="29"/>
      <c r="Z1020" s="29"/>
      <c r="AA1020" s="29"/>
      <c r="AB1020" s="29"/>
      <c r="AC1020" s="29"/>
      <c r="AD1020" s="29"/>
      <c r="AE1020" s="29"/>
      <c r="AF1020" s="29"/>
      <c r="AG1020" s="34"/>
      <c r="AH1020" s="34"/>
    </row>
  </sheetData>
  <mergeCells count="61">
    <mergeCell ref="S10:S12"/>
    <mergeCell ref="T10:T12"/>
    <mergeCell ref="U10:U12"/>
    <mergeCell ref="V10:V12"/>
    <mergeCell ref="S14:S15"/>
    <mergeCell ref="T14:T15"/>
    <mergeCell ref="U14:U15"/>
    <mergeCell ref="V14:V15"/>
    <mergeCell ref="P28:P29"/>
    <mergeCell ref="S28:S29"/>
    <mergeCell ref="T28:T29"/>
    <mergeCell ref="V28:V29"/>
    <mergeCell ref="S55:S56"/>
    <mergeCell ref="T55:T56"/>
    <mergeCell ref="U55:U56"/>
    <mergeCell ref="V55:V56"/>
    <mergeCell ref="P64:P67"/>
    <mergeCell ref="S64:S67"/>
    <mergeCell ref="T64:T67"/>
    <mergeCell ref="U64:U67"/>
    <mergeCell ref="V64:V67"/>
    <mergeCell ref="S70:S71"/>
    <mergeCell ref="T70:T71"/>
    <mergeCell ref="U70:U71"/>
    <mergeCell ref="V70:V71"/>
    <mergeCell ref="P81:P86"/>
    <mergeCell ref="Q81:Q86"/>
    <mergeCell ref="S81:S86"/>
    <mergeCell ref="T81:T86"/>
    <mergeCell ref="U81:U86"/>
    <mergeCell ref="V81:V86"/>
    <mergeCell ref="W81:W86"/>
    <mergeCell ref="S90:S91"/>
    <mergeCell ref="T90:T91"/>
    <mergeCell ref="U90:U91"/>
    <mergeCell ref="V90:V91"/>
    <mergeCell ref="S98:S99"/>
    <mergeCell ref="T98:T99"/>
    <mergeCell ref="U98:U99"/>
    <mergeCell ref="V98:V99"/>
    <mergeCell ref="J125:J126"/>
    <mergeCell ref="K125:K126"/>
    <mergeCell ref="L125:L126"/>
    <mergeCell ref="P125:P126"/>
    <mergeCell ref="Q125:Q126"/>
    <mergeCell ref="S125:S126"/>
    <mergeCell ref="T125:T126"/>
    <mergeCell ref="U125:U126"/>
    <mergeCell ref="V125:V126"/>
    <mergeCell ref="P132:P133"/>
    <mergeCell ref="Q132:Q133"/>
    <mergeCell ref="S132:S133"/>
    <mergeCell ref="T132:T133"/>
    <mergeCell ref="U132:U133"/>
    <mergeCell ref="V132:V133"/>
    <mergeCell ref="P144:P146"/>
    <mergeCell ref="S144:S146"/>
    <mergeCell ref="T144:T146"/>
    <mergeCell ref="U144:U146"/>
    <mergeCell ref="V144:V146"/>
    <mergeCell ref="W144:W14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946"/>
  <sheetViews>
    <sheetView workbookViewId="0"/>
  </sheetViews>
  <sheetFormatPr defaultRowHeight="15" x14ac:dyDescent="0.25"/>
  <cols>
    <col min="1" max="1" style="20" width="12.005" customWidth="1" bestFit="1"/>
    <col min="2" max="2" style="36" width="3.4335714285714283" customWidth="1" bestFit="1"/>
    <col min="3" max="3" style="36" width="11.43357142857143" customWidth="1" bestFit="1"/>
    <col min="4" max="4" style="36" width="13.005" customWidth="1" bestFit="1"/>
    <col min="5" max="5" style="36" width="11.576428571428572" customWidth="1" bestFit="1"/>
    <col min="6" max="6" style="36" width="17.576428571428572" customWidth="1" bestFit="1"/>
    <col min="7" max="7" style="22" width="40.005" customWidth="1" bestFit="1"/>
    <col min="8" max="8" style="22" width="13.576428571428572" customWidth="1" bestFit="1"/>
    <col min="9" max="9" style="37" width="10.862142857142858" customWidth="1" bestFit="1"/>
    <col min="10" max="10" style="37" width="13.576428571428572" customWidth="1" bestFit="1" hidden="1"/>
    <col min="11" max="11" style="37" width="13.576428571428572" customWidth="1" bestFit="1" hidden="1"/>
    <col min="12" max="12" style="37" width="13.576428571428572" customWidth="1" bestFit="1" hidden="1"/>
    <col min="13" max="13" style="37" width="13.576428571428572" customWidth="1" bestFit="1" hidden="1"/>
    <col min="14" max="14" style="37" width="10.719285714285713" customWidth="1" bestFit="1"/>
    <col min="15" max="15" style="37" width="11.576428571428572" customWidth="1" bestFit="1"/>
    <col min="16" max="16" style="67" width="12.005" customWidth="1" bestFit="1"/>
    <col min="17" max="17" style="36" width="12.147857142857141" customWidth="1" bestFit="1"/>
    <col min="18" max="18" style="36" width="20.719285714285714" customWidth="1" bestFit="1"/>
    <col min="19" max="19" style="37" width="7.862142857142857" customWidth="1" bestFit="1"/>
    <col min="20" max="20" style="37" width="13.43357142857143" customWidth="1" bestFit="1"/>
    <col min="21" max="21" style="37" width="11.43357142857143" customWidth="1" bestFit="1"/>
    <col min="22" max="22" style="37" width="11.43357142857143" customWidth="1" bestFit="1"/>
    <col min="23" max="23" style="37" width="11.43357142857143" customWidth="1" bestFit="1"/>
    <col min="24" max="24" style="67" width="11.43357142857143" customWidth="1" bestFit="1"/>
    <col min="25" max="25" style="21" width="12.576428571428572" customWidth="1" bestFit="1"/>
    <col min="26" max="26" style="36" width="11.43357142857143" customWidth="1" bestFit="1"/>
    <col min="27" max="27" style="21" width="12.005" customWidth="1" bestFit="1"/>
    <col min="28" max="28" style="37" width="11.43357142857143" customWidth="1" bestFit="1"/>
    <col min="29" max="29" style="37" width="13.147857142857141" customWidth="1" bestFit="1"/>
    <col min="30" max="30" style="37" width="11.43357142857143" customWidth="1" bestFit="1"/>
    <col min="31" max="31" style="37" width="11.43357142857143" customWidth="1" bestFit="1"/>
    <col min="32" max="32" style="37" width="11.43357142857143" customWidth="1" bestFit="1"/>
    <col min="33" max="33" style="37" width="11.43357142857143" customWidth="1" bestFit="1"/>
    <col min="34" max="34" style="37" width="11.43357142857143" customWidth="1" bestFit="1"/>
    <col min="35" max="35" style="37" width="13.576428571428572" customWidth="1" bestFit="1"/>
    <col min="36" max="36" style="36" width="13.576428571428572" customWidth="1" bestFit="1"/>
    <col min="37" max="37" style="36" width="13.576428571428572" customWidth="1" bestFit="1"/>
    <col min="38" max="38" style="37" width="14.43357142857143" customWidth="1" bestFit="1"/>
    <col min="39" max="39" style="37" width="13.576428571428572" customWidth="1" bestFit="1"/>
  </cols>
  <sheetData>
    <row x14ac:dyDescent="0.25" r="1" customHeight="1" ht="19.5">
      <c r="A1" s="25" t="s">
        <v>1</v>
      </c>
      <c r="B1" s="26" t="s">
        <v>3</v>
      </c>
      <c r="C1" s="26" t="s">
        <v>1200</v>
      </c>
      <c r="D1" s="26" t="s">
        <v>4</v>
      </c>
      <c r="E1" s="26" t="s">
        <v>5</v>
      </c>
      <c r="F1" s="26" t="s">
        <v>6</v>
      </c>
      <c r="G1" s="26" t="s">
        <v>7</v>
      </c>
      <c r="H1" s="26" t="s">
        <v>8</v>
      </c>
      <c r="I1" s="27" t="s">
        <v>9</v>
      </c>
      <c r="J1" s="27" t="s">
        <v>4080</v>
      </c>
      <c r="K1" s="27" t="s">
        <v>4081</v>
      </c>
      <c r="L1" s="27" t="s">
        <v>4082</v>
      </c>
      <c r="M1" s="27" t="s">
        <v>4083</v>
      </c>
      <c r="N1" s="27" t="s">
        <v>10</v>
      </c>
      <c r="O1" s="27" t="s">
        <v>11</v>
      </c>
      <c r="P1" s="26" t="s">
        <v>12</v>
      </c>
      <c r="Q1" s="26" t="s">
        <v>13</v>
      </c>
      <c r="R1" s="26" t="s">
        <v>14</v>
      </c>
      <c r="S1" s="27" t="s">
        <v>15</v>
      </c>
      <c r="T1" s="27" t="s">
        <v>511</v>
      </c>
      <c r="U1" s="27" t="s">
        <v>17</v>
      </c>
      <c r="V1" s="27" t="s">
        <v>1661</v>
      </c>
      <c r="W1" s="27" t="s">
        <v>1662</v>
      </c>
      <c r="X1" s="26" t="s">
        <v>1663</v>
      </c>
      <c r="Y1" s="152" t="s">
        <v>1664</v>
      </c>
      <c r="Z1" s="26" t="s">
        <v>1665</v>
      </c>
      <c r="AA1" s="152" t="s">
        <v>1666</v>
      </c>
      <c r="AB1" s="38" t="s">
        <v>11</v>
      </c>
      <c r="AC1" s="39" t="s">
        <v>165</v>
      </c>
      <c r="AD1" s="29">
        <v>17905765</v>
      </c>
      <c r="AE1" s="29"/>
      <c r="AF1" s="29">
        <v>17905765</v>
      </c>
      <c r="AG1" s="29"/>
      <c r="AH1" s="29"/>
      <c r="AI1" s="29">
        <v>2522688</v>
      </c>
      <c r="AJ1" s="34"/>
      <c r="AK1" s="34"/>
      <c r="AL1" s="29"/>
      <c r="AM1" s="29">
        <v>4143919</v>
      </c>
    </row>
    <row x14ac:dyDescent="0.25" r="2" customHeight="1" ht="18.75">
      <c r="A2" s="12">
        <v>45778</v>
      </c>
      <c r="B2" s="14" t="s">
        <v>111</v>
      </c>
      <c r="C2" s="14" t="s">
        <v>4084</v>
      </c>
      <c r="D2" s="14" t="s">
        <v>166</v>
      </c>
      <c r="E2" s="14" t="s">
        <v>167</v>
      </c>
      <c r="F2" s="14" t="s">
        <v>168</v>
      </c>
      <c r="G2" s="30" t="s">
        <v>169</v>
      </c>
      <c r="H2" s="30" t="s">
        <v>170</v>
      </c>
      <c r="I2" s="17">
        <v>32000</v>
      </c>
      <c r="J2" s="65"/>
      <c r="K2" s="65"/>
      <c r="L2" s="65"/>
      <c r="M2" s="65"/>
      <c r="N2" s="17">
        <v>426800</v>
      </c>
      <c r="O2" s="17">
        <v>394420</v>
      </c>
      <c r="P2" s="17">
        <f>N2-O2</f>
      </c>
      <c r="Q2" s="14" t="s">
        <v>50</v>
      </c>
      <c r="R2" s="31" t="s">
        <v>171</v>
      </c>
      <c r="S2" s="40">
        <v>4</v>
      </c>
      <c r="T2" s="65"/>
      <c r="U2" s="65"/>
      <c r="V2" s="65"/>
      <c r="W2" s="17">
        <v>426800</v>
      </c>
      <c r="X2" s="17">
        <f>N2-T2-W2</f>
      </c>
      <c r="Y2" s="293">
        <v>45778</v>
      </c>
      <c r="Z2" s="14" t="s">
        <v>2307</v>
      </c>
      <c r="AA2" s="161"/>
      <c r="AB2" s="32">
        <f>O2</f>
      </c>
      <c r="AC2" s="29"/>
      <c r="AD2" s="29">
        <v>18725205</v>
      </c>
      <c r="AE2" s="29">
        <v>1213860</v>
      </c>
      <c r="AF2" s="29">
        <f>AF1-AB2+AE2+AC2</f>
      </c>
      <c r="AG2" s="29"/>
      <c r="AH2" s="29"/>
      <c r="AI2" s="29">
        <f>AI1-AG2+AH2</f>
      </c>
      <c r="AJ2" s="34"/>
      <c r="AK2" s="34"/>
      <c r="AL2" s="29"/>
      <c r="AM2" s="29">
        <v>4143919</v>
      </c>
    </row>
    <row x14ac:dyDescent="0.25" r="3" customHeight="1" ht="18.75">
      <c r="A3" s="12">
        <v>45778</v>
      </c>
      <c r="B3" s="14" t="s">
        <v>62</v>
      </c>
      <c r="C3" s="14" t="s">
        <v>4085</v>
      </c>
      <c r="D3" s="14" t="s">
        <v>4086</v>
      </c>
      <c r="E3" s="14" t="s">
        <v>4087</v>
      </c>
      <c r="F3" s="14" t="s">
        <v>41</v>
      </c>
      <c r="G3" s="3" t="s">
        <v>4088</v>
      </c>
      <c r="H3" s="30" t="s">
        <v>26</v>
      </c>
      <c r="I3" s="65"/>
      <c r="J3" s="65"/>
      <c r="K3" s="65"/>
      <c r="L3" s="65"/>
      <c r="M3" s="65"/>
      <c r="N3" s="17">
        <v>2870920</v>
      </c>
      <c r="O3" s="17">
        <v>2570120</v>
      </c>
      <c r="P3" s="17">
        <f>N3-O3</f>
      </c>
      <c r="Q3" s="14" t="s">
        <v>3045</v>
      </c>
      <c r="R3" s="31" t="s">
        <v>4089</v>
      </c>
      <c r="S3" s="41" t="s">
        <v>43</v>
      </c>
      <c r="T3" s="17">
        <v>2500000</v>
      </c>
      <c r="U3" s="17"/>
      <c r="V3" s="17"/>
      <c r="W3" s="17">
        <v>370000</v>
      </c>
      <c r="X3" s="17">
        <f>N3-T3-W3</f>
      </c>
      <c r="Y3" s="294" t="s">
        <v>4090</v>
      </c>
      <c r="Z3" s="14" t="s">
        <v>1718</v>
      </c>
      <c r="AA3" s="161" t="s">
        <v>4091</v>
      </c>
      <c r="AB3" s="32">
        <v>0</v>
      </c>
      <c r="AC3" s="29"/>
      <c r="AD3" s="29"/>
      <c r="AE3" s="29"/>
      <c r="AF3" s="29">
        <f>AF2-AB3+AE3+AC3</f>
      </c>
      <c r="AG3" s="29"/>
      <c r="AH3" s="29"/>
      <c r="AI3" s="29">
        <f>AI2-AG3+AH3</f>
      </c>
      <c r="AJ3" s="34"/>
      <c r="AK3" s="34"/>
      <c r="AL3" s="29"/>
      <c r="AM3" s="29">
        <v>4143919</v>
      </c>
    </row>
    <row x14ac:dyDescent="0.25" r="4" customHeight="1" ht="18.75">
      <c r="A4" s="12">
        <v>45779</v>
      </c>
      <c r="B4" s="14" t="s">
        <v>66</v>
      </c>
      <c r="C4" s="14" t="s">
        <v>4092</v>
      </c>
      <c r="D4" s="14" t="s">
        <v>172</v>
      </c>
      <c r="E4" s="14" t="s">
        <v>173</v>
      </c>
      <c r="F4" s="14" t="s">
        <v>174</v>
      </c>
      <c r="G4" s="30" t="s">
        <v>175</v>
      </c>
      <c r="H4" s="30" t="s">
        <v>26</v>
      </c>
      <c r="I4" s="17">
        <v>705900</v>
      </c>
      <c r="J4" s="65"/>
      <c r="K4" s="65"/>
      <c r="L4" s="65"/>
      <c r="M4" s="65"/>
      <c r="N4" s="17">
        <v>1295920</v>
      </c>
      <c r="O4" s="17">
        <v>1135420</v>
      </c>
      <c r="P4" s="17">
        <f>N4-O4</f>
      </c>
      <c r="Q4" s="14" t="s">
        <v>50</v>
      </c>
      <c r="R4" s="31" t="s">
        <v>176</v>
      </c>
      <c r="S4" s="40">
        <v>2</v>
      </c>
      <c r="T4" s="65"/>
      <c r="U4" s="65"/>
      <c r="V4" s="65"/>
      <c r="W4" s="17">
        <v>1295920</v>
      </c>
      <c r="X4" s="17">
        <f>N4-T4-W4</f>
      </c>
      <c r="Y4" s="293">
        <v>45800</v>
      </c>
      <c r="Z4" s="14" t="s">
        <v>1718</v>
      </c>
      <c r="AA4" s="161"/>
      <c r="AB4" s="32">
        <f>O4</f>
      </c>
      <c r="AC4" s="29"/>
      <c r="AD4" s="29">
        <v>17589785</v>
      </c>
      <c r="AE4" s="29"/>
      <c r="AF4" s="29">
        <f>AF3-AB4+AE4+AC4</f>
      </c>
      <c r="AG4" s="29"/>
      <c r="AH4" s="29"/>
      <c r="AI4" s="29">
        <f>AI3-AG4+AH4</f>
      </c>
      <c r="AJ4" s="34"/>
      <c r="AK4" s="34"/>
      <c r="AL4" s="29"/>
      <c r="AM4" s="29">
        <v>4143919</v>
      </c>
    </row>
    <row x14ac:dyDescent="0.25" r="5" customHeight="1" ht="18.75">
      <c r="A5" s="12" t="s">
        <v>177</v>
      </c>
      <c r="B5" s="14" t="s">
        <v>46</v>
      </c>
      <c r="C5" s="14" t="s">
        <v>4093</v>
      </c>
      <c r="D5" s="14" t="s">
        <v>178</v>
      </c>
      <c r="E5" s="14" t="s">
        <v>179</v>
      </c>
      <c r="F5" s="14" t="s">
        <v>180</v>
      </c>
      <c r="G5" s="30" t="s">
        <v>181</v>
      </c>
      <c r="H5" s="30" t="s">
        <v>26</v>
      </c>
      <c r="I5" s="17">
        <v>605900</v>
      </c>
      <c r="J5" s="65"/>
      <c r="K5" s="65"/>
      <c r="L5" s="65"/>
      <c r="M5" s="65"/>
      <c r="N5" s="17">
        <v>1423700</v>
      </c>
      <c r="O5" s="17">
        <v>1160120</v>
      </c>
      <c r="P5" s="17">
        <f>N5-O5</f>
      </c>
      <c r="Q5" s="14" t="s">
        <v>50</v>
      </c>
      <c r="R5" s="31" t="s">
        <v>182</v>
      </c>
      <c r="S5" s="40">
        <v>4</v>
      </c>
      <c r="T5" s="65"/>
      <c r="U5" s="65"/>
      <c r="V5" s="65"/>
      <c r="W5" s="17">
        <v>1423700</v>
      </c>
      <c r="X5" s="17">
        <f>N5-T5-W5</f>
      </c>
      <c r="Y5" s="293">
        <v>45778</v>
      </c>
      <c r="Z5" s="14" t="s">
        <v>1718</v>
      </c>
      <c r="AA5" s="161"/>
      <c r="AB5" s="32">
        <f>O5</f>
      </c>
      <c r="AC5" s="29"/>
      <c r="AD5" s="29"/>
      <c r="AE5" s="29"/>
      <c r="AF5" s="29">
        <f>AF4-AB5+AE5+AC5</f>
      </c>
      <c r="AG5" s="29"/>
      <c r="AH5" s="29"/>
      <c r="AI5" s="29">
        <f>AI4-AG5+AH5</f>
      </c>
      <c r="AJ5" s="34"/>
      <c r="AK5" s="34"/>
      <c r="AL5" s="29"/>
      <c r="AM5" s="29">
        <v>4143919</v>
      </c>
    </row>
    <row x14ac:dyDescent="0.25" r="6" customHeight="1" ht="18.75">
      <c r="A6" s="12">
        <v>45779</v>
      </c>
      <c r="B6" s="14" t="s">
        <v>82</v>
      </c>
      <c r="C6" s="14" t="s">
        <v>4094</v>
      </c>
      <c r="D6" s="14" t="s">
        <v>546</v>
      </c>
      <c r="E6" s="14" t="s">
        <v>4095</v>
      </c>
      <c r="F6" s="14" t="s">
        <v>3750</v>
      </c>
      <c r="G6" s="30" t="s">
        <v>4096</v>
      </c>
      <c r="H6" s="30" t="s">
        <v>26</v>
      </c>
      <c r="I6" s="65"/>
      <c r="J6" s="65"/>
      <c r="K6" s="65"/>
      <c r="L6" s="65"/>
      <c r="M6" s="65"/>
      <c r="N6" s="17">
        <v>104700</v>
      </c>
      <c r="O6" s="295">
        <v>89340</v>
      </c>
      <c r="P6" s="17">
        <f>N6-O6</f>
      </c>
      <c r="Q6" s="14" t="s">
        <v>86</v>
      </c>
      <c r="R6" s="31" t="s">
        <v>4097</v>
      </c>
      <c r="S6" s="41"/>
      <c r="T6" s="65"/>
      <c r="U6" s="65"/>
      <c r="V6" s="65"/>
      <c r="W6" s="17">
        <v>104500</v>
      </c>
      <c r="X6" s="17">
        <f>N6-T6-W6</f>
      </c>
      <c r="Y6" s="293">
        <v>45817</v>
      </c>
      <c r="Z6" s="14" t="s">
        <v>1718</v>
      </c>
      <c r="AA6" s="18">
        <v>45785</v>
      </c>
      <c r="AB6" s="32">
        <v>0</v>
      </c>
      <c r="AC6" s="29"/>
      <c r="AD6" s="29"/>
      <c r="AE6" s="29"/>
      <c r="AF6" s="29">
        <f>AF5-AB6+AE6+AC6</f>
      </c>
      <c r="AG6" s="32">
        <v>89340</v>
      </c>
      <c r="AH6" s="29"/>
      <c r="AI6" s="29">
        <f>AI5-AG6+AH6</f>
      </c>
      <c r="AJ6" s="34"/>
      <c r="AK6" s="34"/>
      <c r="AL6" s="29"/>
      <c r="AM6" s="29">
        <v>4143919</v>
      </c>
    </row>
    <row x14ac:dyDescent="0.25" r="7" customHeight="1" ht="18.75">
      <c r="A7" s="12">
        <v>45779</v>
      </c>
      <c r="B7" s="14" t="s">
        <v>46</v>
      </c>
      <c r="C7" s="14" t="s">
        <v>4098</v>
      </c>
      <c r="D7" s="14" t="s">
        <v>183</v>
      </c>
      <c r="E7" s="14" t="s">
        <v>184</v>
      </c>
      <c r="F7" s="14" t="s">
        <v>185</v>
      </c>
      <c r="G7" s="30" t="s">
        <v>186</v>
      </c>
      <c r="H7" s="30" t="s">
        <v>26</v>
      </c>
      <c r="I7" s="65"/>
      <c r="J7" s="65"/>
      <c r="K7" s="65"/>
      <c r="L7" s="65"/>
      <c r="M7" s="65"/>
      <c r="N7" s="29">
        <v>5346800</v>
      </c>
      <c r="O7" s="17">
        <v>5248600</v>
      </c>
      <c r="P7" s="17">
        <f>N7-O7</f>
      </c>
      <c r="Q7" s="14" t="s">
        <v>187</v>
      </c>
      <c r="R7" s="3" t="s">
        <v>188</v>
      </c>
      <c r="S7" s="41"/>
      <c r="T7" s="65"/>
      <c r="U7" s="65"/>
      <c r="V7" s="65"/>
      <c r="W7" s="65"/>
      <c r="X7" s="17">
        <f>N7-T7-W7</f>
      </c>
      <c r="Y7" s="293"/>
      <c r="Z7" s="14"/>
      <c r="AA7" s="161"/>
      <c r="AB7" s="32">
        <f>O7</f>
      </c>
      <c r="AC7" s="29"/>
      <c r="AD7" s="29"/>
      <c r="AE7" s="29"/>
      <c r="AF7" s="29">
        <f>AF6-AB7+AE7+AC7</f>
      </c>
      <c r="AG7" s="29"/>
      <c r="AH7" s="29"/>
      <c r="AI7" s="29">
        <f>AI6-AG7+AH7</f>
      </c>
      <c r="AJ7" s="34"/>
      <c r="AK7" s="34"/>
      <c r="AL7" s="29"/>
      <c r="AM7" s="29">
        <v>4143919</v>
      </c>
    </row>
    <row x14ac:dyDescent="0.25" r="8" customHeight="1" ht="18.75">
      <c r="A8" s="12">
        <v>45780</v>
      </c>
      <c r="B8" s="14" t="s">
        <v>22</v>
      </c>
      <c r="C8" s="14" t="s">
        <v>4099</v>
      </c>
      <c r="D8" s="14" t="s">
        <v>23</v>
      </c>
      <c r="E8" s="14" t="s">
        <v>4100</v>
      </c>
      <c r="F8" s="14" t="s">
        <v>24</v>
      </c>
      <c r="G8" s="30" t="s">
        <v>4101</v>
      </c>
      <c r="H8" s="30" t="s">
        <v>26</v>
      </c>
      <c r="I8" s="17"/>
      <c r="J8" s="17">
        <v>98700</v>
      </c>
      <c r="K8" s="17">
        <v>35000</v>
      </c>
      <c r="L8" s="17">
        <v>63700</v>
      </c>
      <c r="M8" s="65" t="s">
        <v>22</v>
      </c>
      <c r="N8" s="17">
        <v>98700</v>
      </c>
      <c r="O8" s="17">
        <v>35000</v>
      </c>
      <c r="P8" s="17">
        <f>N8-O8</f>
      </c>
      <c r="Q8" s="14" t="s">
        <v>22</v>
      </c>
      <c r="R8" s="14" t="s">
        <v>4102</v>
      </c>
      <c r="S8" s="41" t="s">
        <v>251</v>
      </c>
      <c r="T8" s="65"/>
      <c r="U8" s="65"/>
      <c r="V8" s="65"/>
      <c r="W8" s="17">
        <v>98700</v>
      </c>
      <c r="X8" s="17">
        <f>N8-T8-W8</f>
      </c>
      <c r="Y8" s="293">
        <v>45842</v>
      </c>
      <c r="Z8" s="14" t="s">
        <v>2122</v>
      </c>
      <c r="AA8" s="161"/>
      <c r="AB8" s="32">
        <v>0</v>
      </c>
      <c r="AC8" s="29"/>
      <c r="AD8" s="29"/>
      <c r="AE8" s="29"/>
      <c r="AF8" s="29">
        <f>AF7-AB8+AE8+AC8</f>
      </c>
      <c r="AG8" s="29"/>
      <c r="AH8" s="29"/>
      <c r="AI8" s="29">
        <f>AI7-AG8+AH8</f>
      </c>
      <c r="AJ8" s="34"/>
      <c r="AK8" s="34"/>
      <c r="AL8" s="29"/>
      <c r="AM8" s="29">
        <v>4143919</v>
      </c>
    </row>
    <row x14ac:dyDescent="0.25" r="9" customHeight="1" ht="18.75">
      <c r="A9" s="12">
        <v>45751</v>
      </c>
      <c r="B9" s="14" t="s">
        <v>111</v>
      </c>
      <c r="C9" s="14" t="s">
        <v>4103</v>
      </c>
      <c r="D9" s="14" t="s">
        <v>189</v>
      </c>
      <c r="E9" s="14" t="s">
        <v>190</v>
      </c>
      <c r="F9" s="14" t="s">
        <v>84</v>
      </c>
      <c r="G9" s="30" t="s">
        <v>191</v>
      </c>
      <c r="H9" s="30" t="s">
        <v>26</v>
      </c>
      <c r="I9" s="17">
        <v>32100</v>
      </c>
      <c r="J9" s="65"/>
      <c r="K9" s="65"/>
      <c r="L9" s="65"/>
      <c r="M9" s="65"/>
      <c r="N9" s="17">
        <v>498920</v>
      </c>
      <c r="O9" s="17">
        <v>343655</v>
      </c>
      <c r="P9" s="17">
        <f>N9-O9</f>
      </c>
      <c r="Q9" s="14" t="s">
        <v>50</v>
      </c>
      <c r="R9" s="31" t="s">
        <v>192</v>
      </c>
      <c r="S9" s="40">
        <v>2</v>
      </c>
      <c r="T9" s="65"/>
      <c r="U9" s="65"/>
      <c r="V9" s="65"/>
      <c r="W9" s="17">
        <v>498920</v>
      </c>
      <c r="X9" s="17">
        <f>N9-T9-W9</f>
      </c>
      <c r="Y9" s="293">
        <v>45799</v>
      </c>
      <c r="Z9" s="14" t="s">
        <v>2122</v>
      </c>
      <c r="AA9" s="161"/>
      <c r="AB9" s="32">
        <f>O9</f>
      </c>
      <c r="AC9" s="29"/>
      <c r="AD9" s="29">
        <v>10986710</v>
      </c>
      <c r="AE9" s="29">
        <v>149300</v>
      </c>
      <c r="AF9" s="29">
        <f>AF8-AB9+AE9+AC9</f>
      </c>
      <c r="AG9" s="29"/>
      <c r="AH9" s="29"/>
      <c r="AI9" s="29">
        <f>AI8-AG9+AH9</f>
      </c>
      <c r="AJ9" s="34"/>
      <c r="AK9" s="34"/>
      <c r="AL9" s="29"/>
      <c r="AM9" s="29">
        <v>4143919</v>
      </c>
    </row>
    <row x14ac:dyDescent="0.25" r="10" customHeight="1" ht="18.75">
      <c r="A10" s="12">
        <v>45782</v>
      </c>
      <c r="B10" s="14" t="s">
        <v>46</v>
      </c>
      <c r="C10" s="14" t="s">
        <v>3900</v>
      </c>
      <c r="D10" s="14" t="s">
        <v>63</v>
      </c>
      <c r="E10" s="14" t="s">
        <v>193</v>
      </c>
      <c r="F10" s="14" t="s">
        <v>194</v>
      </c>
      <c r="G10" s="30" t="s">
        <v>195</v>
      </c>
      <c r="H10" s="30" t="s">
        <v>26</v>
      </c>
      <c r="I10" s="17">
        <v>983300</v>
      </c>
      <c r="J10" s="65"/>
      <c r="K10" s="65"/>
      <c r="L10" s="65"/>
      <c r="M10" s="65"/>
      <c r="N10" s="17">
        <v>1258900</v>
      </c>
      <c r="O10" s="17">
        <v>1223800</v>
      </c>
      <c r="P10" s="17">
        <f>N10-O10</f>
      </c>
      <c r="Q10" s="14" t="s">
        <v>50</v>
      </c>
      <c r="R10" s="31" t="s">
        <v>196</v>
      </c>
      <c r="S10" s="40">
        <v>2</v>
      </c>
      <c r="T10" s="65"/>
      <c r="U10" s="65"/>
      <c r="V10" s="65"/>
      <c r="W10" s="17">
        <v>1258900</v>
      </c>
      <c r="X10" s="17">
        <f>N10-T10-W10</f>
      </c>
      <c r="Y10" s="293">
        <v>45779</v>
      </c>
      <c r="Z10" s="14" t="s">
        <v>2122</v>
      </c>
      <c r="AA10" s="161"/>
      <c r="AB10" s="32">
        <f>O10</f>
      </c>
      <c r="AC10" s="29"/>
      <c r="AD10" s="29"/>
      <c r="AE10" s="29"/>
      <c r="AF10" s="29">
        <f>AF9-AB10+AE10+AC10</f>
      </c>
      <c r="AG10" s="29"/>
      <c r="AH10" s="29"/>
      <c r="AI10" s="29">
        <f>AI9-AG10+AH10</f>
      </c>
      <c r="AJ10" s="34"/>
      <c r="AK10" s="34"/>
      <c r="AL10" s="29"/>
      <c r="AM10" s="29">
        <v>4143919</v>
      </c>
    </row>
    <row x14ac:dyDescent="0.25" r="11" customHeight="1" ht="18.75">
      <c r="A11" s="12">
        <v>45782</v>
      </c>
      <c r="B11" s="14" t="s">
        <v>46</v>
      </c>
      <c r="C11" s="14" t="s">
        <v>4104</v>
      </c>
      <c r="D11" s="14" t="s">
        <v>197</v>
      </c>
      <c r="E11" s="14" t="s">
        <v>198</v>
      </c>
      <c r="F11" s="14" t="s">
        <v>194</v>
      </c>
      <c r="G11" s="30" t="s">
        <v>199</v>
      </c>
      <c r="H11" s="30" t="s">
        <v>26</v>
      </c>
      <c r="I11" s="17">
        <v>1639000</v>
      </c>
      <c r="J11" s="65"/>
      <c r="K11" s="65"/>
      <c r="L11" s="65"/>
      <c r="M11" s="65"/>
      <c r="N11" s="17">
        <v>2389900</v>
      </c>
      <c r="O11" s="17">
        <v>2326200</v>
      </c>
      <c r="P11" s="17">
        <f>N11-O11</f>
      </c>
      <c r="Q11" s="14" t="s">
        <v>50</v>
      </c>
      <c r="R11" s="31" t="s">
        <v>200</v>
      </c>
      <c r="S11" s="40">
        <v>4</v>
      </c>
      <c r="T11" s="65"/>
      <c r="U11" s="65"/>
      <c r="V11" s="65"/>
      <c r="W11" s="17">
        <v>2389900</v>
      </c>
      <c r="X11" s="17">
        <f>N11-T11-W11</f>
      </c>
      <c r="Y11" s="293">
        <v>45779</v>
      </c>
      <c r="Z11" s="14" t="s">
        <v>2122</v>
      </c>
      <c r="AA11" s="161"/>
      <c r="AB11" s="32">
        <f>O11</f>
      </c>
      <c r="AC11" s="29"/>
      <c r="AD11" s="29"/>
      <c r="AE11" s="29"/>
      <c r="AF11" s="29">
        <f>AF10-AB11+AE11+AC11</f>
      </c>
      <c r="AG11" s="29"/>
      <c r="AH11" s="29"/>
      <c r="AI11" s="29">
        <f>AI10-AG11+AH11</f>
      </c>
      <c r="AJ11" s="34"/>
      <c r="AK11" s="34"/>
      <c r="AL11" s="29"/>
      <c r="AM11" s="29">
        <v>4143919</v>
      </c>
    </row>
    <row x14ac:dyDescent="0.25" r="12" customHeight="1" ht="18.75">
      <c r="A12" s="12">
        <v>45782</v>
      </c>
      <c r="B12" s="14" t="s">
        <v>66</v>
      </c>
      <c r="C12" s="14" t="s">
        <v>4105</v>
      </c>
      <c r="D12" s="14" t="s">
        <v>166</v>
      </c>
      <c r="E12" s="14" t="s">
        <v>201</v>
      </c>
      <c r="F12" s="14" t="s">
        <v>84</v>
      </c>
      <c r="G12" s="30" t="s">
        <v>202</v>
      </c>
      <c r="H12" s="30" t="s">
        <v>26</v>
      </c>
      <c r="I12" s="17">
        <v>140600</v>
      </c>
      <c r="J12" s="65"/>
      <c r="K12" s="65"/>
      <c r="L12" s="65"/>
      <c r="M12" s="65"/>
      <c r="N12" s="17">
        <v>590800</v>
      </c>
      <c r="O12" s="17">
        <v>490120</v>
      </c>
      <c r="P12" s="17">
        <f>N12-O12</f>
      </c>
      <c r="Q12" s="14" t="s">
        <v>50</v>
      </c>
      <c r="R12" s="31" t="s">
        <v>203</v>
      </c>
      <c r="S12" s="40">
        <v>2</v>
      </c>
      <c r="T12" s="65"/>
      <c r="U12" s="65"/>
      <c r="V12" s="65"/>
      <c r="W12" s="65"/>
      <c r="X12" s="17">
        <f>N12-T12-W12</f>
      </c>
      <c r="Y12" s="293"/>
      <c r="Z12" s="14"/>
      <c r="AA12" s="161"/>
      <c r="AB12" s="32">
        <f>O12</f>
      </c>
      <c r="AC12" s="29"/>
      <c r="AD12" s="29">
        <v>6946590</v>
      </c>
      <c r="AE12" s="29"/>
      <c r="AF12" s="29">
        <f>AF11-AB12+AE12+AC12</f>
      </c>
      <c r="AG12" s="29"/>
      <c r="AH12" s="29"/>
      <c r="AI12" s="29">
        <f>AI11-AG12+AH12</f>
      </c>
      <c r="AJ12" s="34"/>
      <c r="AK12" s="34"/>
      <c r="AL12" s="29"/>
      <c r="AM12" s="29">
        <v>4143919</v>
      </c>
    </row>
    <row x14ac:dyDescent="0.25" r="13" customHeight="1" ht="18.75">
      <c r="A13" s="12">
        <v>45782</v>
      </c>
      <c r="B13" s="14"/>
      <c r="C13" s="14"/>
      <c r="D13" s="14"/>
      <c r="E13" s="14" t="s">
        <v>4106</v>
      </c>
      <c r="F13" s="14" t="s">
        <v>1160</v>
      </c>
      <c r="G13" s="30" t="s">
        <v>4107</v>
      </c>
      <c r="H13" s="30"/>
      <c r="I13" s="65"/>
      <c r="J13" s="65"/>
      <c r="K13" s="65"/>
      <c r="L13" s="65"/>
      <c r="M13" s="65"/>
      <c r="N13" s="17">
        <v>20000</v>
      </c>
      <c r="O13" s="17">
        <v>0</v>
      </c>
      <c r="P13" s="17">
        <f>N13-O13</f>
      </c>
      <c r="Q13" s="14"/>
      <c r="R13" s="31" t="s">
        <v>4108</v>
      </c>
      <c r="S13" s="41"/>
      <c r="T13" s="65"/>
      <c r="U13" s="65"/>
      <c r="V13" s="65"/>
      <c r="W13" s="17">
        <v>20000</v>
      </c>
      <c r="X13" s="17">
        <f>N13-T13-W13</f>
      </c>
      <c r="Y13" s="293">
        <v>45849</v>
      </c>
      <c r="Z13" s="14" t="s">
        <v>2216</v>
      </c>
      <c r="AA13" s="161" t="s">
        <v>4109</v>
      </c>
      <c r="AB13" s="32">
        <f>O13</f>
      </c>
      <c r="AC13" s="29"/>
      <c r="AD13" s="29"/>
      <c r="AE13" s="29"/>
      <c r="AF13" s="29"/>
      <c r="AG13" s="29"/>
      <c r="AH13" s="29"/>
      <c r="AI13" s="29"/>
      <c r="AJ13" s="34"/>
      <c r="AK13" s="34"/>
      <c r="AL13" s="29"/>
      <c r="AM13" s="29"/>
    </row>
    <row x14ac:dyDescent="0.25" r="14" customHeight="1" ht="18.75">
      <c r="A14" s="12">
        <v>45783</v>
      </c>
      <c r="B14" s="14" t="s">
        <v>46</v>
      </c>
      <c r="C14" s="14" t="s">
        <v>4110</v>
      </c>
      <c r="D14" s="14" t="s">
        <v>204</v>
      </c>
      <c r="E14" s="14" t="s">
        <v>205</v>
      </c>
      <c r="F14" s="14" t="s">
        <v>84</v>
      </c>
      <c r="G14" s="30" t="s">
        <v>206</v>
      </c>
      <c r="H14" s="30" t="s">
        <v>26</v>
      </c>
      <c r="I14" s="17">
        <v>594900</v>
      </c>
      <c r="J14" s="65"/>
      <c r="K14" s="65"/>
      <c r="L14" s="65"/>
      <c r="M14" s="65"/>
      <c r="N14" s="17">
        <v>1227980</v>
      </c>
      <c r="O14" s="17">
        <v>949620</v>
      </c>
      <c r="P14" s="17">
        <f>N14-O14</f>
      </c>
      <c r="Q14" s="14" t="s">
        <v>50</v>
      </c>
      <c r="R14" s="31" t="s">
        <v>207</v>
      </c>
      <c r="S14" s="40">
        <v>4</v>
      </c>
      <c r="T14" s="65"/>
      <c r="U14" s="65"/>
      <c r="V14" s="65"/>
      <c r="W14" s="17">
        <v>1227980</v>
      </c>
      <c r="X14" s="17">
        <f>N14-T14-W14</f>
      </c>
      <c r="Y14" s="293">
        <v>45813</v>
      </c>
      <c r="Z14" s="14" t="s">
        <v>2122</v>
      </c>
      <c r="AA14" s="161"/>
      <c r="AB14" s="32">
        <f>O14</f>
      </c>
      <c r="AC14" s="29"/>
      <c r="AD14" s="29"/>
      <c r="AE14" s="29"/>
      <c r="AF14" s="29">
        <f>AF12-AB14+AE14+AC14</f>
      </c>
      <c r="AG14" s="29"/>
      <c r="AH14" s="29"/>
      <c r="AI14" s="29">
        <f>AI12-AG14+AH14</f>
      </c>
      <c r="AJ14" s="34"/>
      <c r="AK14" s="34"/>
      <c r="AL14" s="29"/>
      <c r="AM14" s="29">
        <v>4143919</v>
      </c>
    </row>
    <row x14ac:dyDescent="0.25" r="15" customHeight="1" ht="18.75">
      <c r="A15" s="12">
        <v>45783</v>
      </c>
      <c r="B15" s="14" t="s">
        <v>46</v>
      </c>
      <c r="C15" s="14" t="s">
        <v>4111</v>
      </c>
      <c r="D15" s="14" t="s">
        <v>118</v>
      </c>
      <c r="E15" s="14" t="s">
        <v>208</v>
      </c>
      <c r="F15" s="14" t="s">
        <v>209</v>
      </c>
      <c r="G15" s="30" t="s">
        <v>210</v>
      </c>
      <c r="H15" s="30" t="s">
        <v>26</v>
      </c>
      <c r="I15" s="17">
        <v>466800</v>
      </c>
      <c r="J15" s="65"/>
      <c r="K15" s="65"/>
      <c r="L15" s="65"/>
      <c r="M15" s="65"/>
      <c r="N15" s="17">
        <v>997520</v>
      </c>
      <c r="O15" s="17">
        <v>941620</v>
      </c>
      <c r="P15" s="17">
        <f>N15-O15</f>
      </c>
      <c r="Q15" s="14" t="s">
        <v>50</v>
      </c>
      <c r="R15" s="14" t="s">
        <v>211</v>
      </c>
      <c r="S15" s="40">
        <v>4</v>
      </c>
      <c r="T15" s="65"/>
      <c r="U15" s="65"/>
      <c r="V15" s="65"/>
      <c r="W15" s="17">
        <v>997520</v>
      </c>
      <c r="X15" s="17">
        <f>N15-T15-W15</f>
      </c>
      <c r="Y15" s="293">
        <v>45783</v>
      </c>
      <c r="Z15" s="14" t="s">
        <v>1718</v>
      </c>
      <c r="AA15" s="161"/>
      <c r="AB15" s="32">
        <f>O15</f>
      </c>
      <c r="AC15" s="29"/>
      <c r="AD15" s="29">
        <v>5055350</v>
      </c>
      <c r="AE15" s="29"/>
      <c r="AF15" s="29">
        <f>AF14-AB15+AE15+AC15</f>
      </c>
      <c r="AG15" s="29"/>
      <c r="AH15" s="29"/>
      <c r="AI15" s="29">
        <f>AI14-AG15+AH15</f>
      </c>
      <c r="AJ15" s="34"/>
      <c r="AK15" s="34"/>
      <c r="AL15" s="29"/>
      <c r="AM15" s="29">
        <v>4143919</v>
      </c>
    </row>
    <row x14ac:dyDescent="0.25" r="16" customHeight="1" ht="18.75">
      <c r="A16" s="12">
        <v>45783</v>
      </c>
      <c r="B16" s="14" t="s">
        <v>22</v>
      </c>
      <c r="C16" s="14" t="s">
        <v>4112</v>
      </c>
      <c r="D16" s="14" t="s">
        <v>508</v>
      </c>
      <c r="E16" s="14" t="s">
        <v>4113</v>
      </c>
      <c r="F16" s="14" t="s">
        <v>548</v>
      </c>
      <c r="G16" s="30" t="s">
        <v>4114</v>
      </c>
      <c r="H16" s="30" t="s">
        <v>26</v>
      </c>
      <c r="I16" s="65"/>
      <c r="J16" s="65"/>
      <c r="K16" s="65"/>
      <c r="L16" s="65"/>
      <c r="M16" s="65"/>
      <c r="N16" s="17">
        <v>230000</v>
      </c>
      <c r="O16" s="17">
        <v>170000</v>
      </c>
      <c r="P16" s="17">
        <f>N16-O16</f>
      </c>
      <c r="Q16" s="14" t="s">
        <v>22</v>
      </c>
      <c r="R16" s="14" t="s">
        <v>4115</v>
      </c>
      <c r="S16" s="41"/>
      <c r="T16" s="65"/>
      <c r="U16" s="65"/>
      <c r="V16" s="65"/>
      <c r="W16" s="65"/>
      <c r="X16" s="17">
        <f>N16-T16-W16</f>
      </c>
      <c r="Y16" s="293"/>
      <c r="Z16" s="14"/>
      <c r="AA16" s="161"/>
      <c r="AB16" s="32">
        <v>0</v>
      </c>
      <c r="AC16" s="29"/>
      <c r="AD16" s="29"/>
      <c r="AE16" s="29"/>
      <c r="AF16" s="29">
        <f>AF15-AB16+AE16+AC16</f>
      </c>
      <c r="AG16" s="29"/>
      <c r="AH16" s="29"/>
      <c r="AI16" s="29">
        <f>AI15-AG16+AH16</f>
      </c>
      <c r="AJ16" s="34"/>
      <c r="AK16" s="34"/>
      <c r="AL16" s="29"/>
      <c r="AM16" s="29">
        <v>4143919</v>
      </c>
    </row>
    <row x14ac:dyDescent="0.25" r="17" customHeight="1" ht="18.75">
      <c r="A17" s="12">
        <v>45784</v>
      </c>
      <c r="B17" s="14" t="s">
        <v>111</v>
      </c>
      <c r="C17" s="14" t="s">
        <v>4116</v>
      </c>
      <c r="D17" s="14" t="s">
        <v>212</v>
      </c>
      <c r="E17" s="14" t="s">
        <v>213</v>
      </c>
      <c r="F17" s="14" t="s">
        <v>84</v>
      </c>
      <c r="G17" s="30" t="s">
        <v>214</v>
      </c>
      <c r="H17" s="30" t="s">
        <v>26</v>
      </c>
      <c r="I17" s="17">
        <v>96300</v>
      </c>
      <c r="J17" s="65"/>
      <c r="K17" s="65"/>
      <c r="L17" s="65"/>
      <c r="M17" s="65"/>
      <c r="N17" s="17">
        <v>443920</v>
      </c>
      <c r="O17" s="17">
        <v>348005</v>
      </c>
      <c r="P17" s="17">
        <f>N17-O17</f>
      </c>
      <c r="Q17" s="14" t="s">
        <v>50</v>
      </c>
      <c r="R17" s="31" t="s">
        <v>215</v>
      </c>
      <c r="S17" s="40">
        <v>2</v>
      </c>
      <c r="T17" s="65"/>
      <c r="U17" s="65"/>
      <c r="V17" s="65"/>
      <c r="W17" s="17">
        <v>443920</v>
      </c>
      <c r="X17" s="17">
        <f>N17-T17-W17</f>
      </c>
      <c r="Y17" s="293">
        <v>45821</v>
      </c>
      <c r="Z17" s="14" t="s">
        <v>2122</v>
      </c>
      <c r="AA17" s="161"/>
      <c r="AB17" s="32">
        <f>O17</f>
      </c>
      <c r="AC17" s="29"/>
      <c r="AD17" s="29"/>
      <c r="AE17" s="29"/>
      <c r="AF17" s="29">
        <f>AF16-AB17+AE17+AC17</f>
      </c>
      <c r="AG17" s="29"/>
      <c r="AH17" s="29"/>
      <c r="AI17" s="29">
        <f>AI16-AG17+AH17</f>
      </c>
      <c r="AJ17" s="34"/>
      <c r="AK17" s="34"/>
      <c r="AL17" s="29"/>
      <c r="AM17" s="29">
        <v>4143919</v>
      </c>
    </row>
    <row x14ac:dyDescent="0.25" r="18" customHeight="1" ht="18.75">
      <c r="A18" s="12">
        <v>45784</v>
      </c>
      <c r="B18" s="14" t="s">
        <v>111</v>
      </c>
      <c r="C18" s="14" t="s">
        <v>4117</v>
      </c>
      <c r="D18" s="14" t="s">
        <v>216</v>
      </c>
      <c r="E18" s="14" t="s">
        <v>217</v>
      </c>
      <c r="F18" s="14" t="s">
        <v>84</v>
      </c>
      <c r="G18" s="30" t="s">
        <v>218</v>
      </c>
      <c r="H18" s="30" t="s">
        <v>26</v>
      </c>
      <c r="I18" s="17">
        <v>88300</v>
      </c>
      <c r="J18" s="65"/>
      <c r="K18" s="65"/>
      <c r="L18" s="65"/>
      <c r="M18" s="65"/>
      <c r="N18" s="17">
        <v>449920</v>
      </c>
      <c r="O18" s="17">
        <v>341305</v>
      </c>
      <c r="P18" s="17">
        <f>N18-O18</f>
      </c>
      <c r="Q18" s="14" t="s">
        <v>50</v>
      </c>
      <c r="R18" s="31" t="s">
        <v>219</v>
      </c>
      <c r="S18" s="40">
        <v>2</v>
      </c>
      <c r="T18" s="65"/>
      <c r="U18" s="65"/>
      <c r="V18" s="65"/>
      <c r="W18" s="17">
        <v>449920</v>
      </c>
      <c r="X18" s="17">
        <f>N18-T18-W18</f>
      </c>
      <c r="Y18" s="293">
        <v>45821</v>
      </c>
      <c r="Z18" s="14" t="s">
        <v>2122</v>
      </c>
      <c r="AA18" s="161"/>
      <c r="AB18" s="32">
        <f>O18</f>
      </c>
      <c r="AC18" s="29"/>
      <c r="AD18" s="29"/>
      <c r="AE18" s="29"/>
      <c r="AF18" s="29">
        <f>AF17-AB18+AE18+AC18</f>
      </c>
      <c r="AG18" s="29"/>
      <c r="AH18" s="29"/>
      <c r="AI18" s="29">
        <f>AI17-AG18+AH18</f>
      </c>
      <c r="AJ18" s="34"/>
      <c r="AK18" s="34"/>
      <c r="AL18" s="29"/>
      <c r="AM18" s="29">
        <v>4143919</v>
      </c>
    </row>
    <row x14ac:dyDescent="0.25" r="19" customHeight="1" ht="18.75">
      <c r="A19" s="12">
        <v>45784</v>
      </c>
      <c r="B19" s="14" t="s">
        <v>111</v>
      </c>
      <c r="C19" s="14" t="s">
        <v>4118</v>
      </c>
      <c r="D19" s="14" t="s">
        <v>112</v>
      </c>
      <c r="E19" s="14" t="s">
        <v>220</v>
      </c>
      <c r="F19" s="14" t="s">
        <v>84</v>
      </c>
      <c r="G19" s="30" t="s">
        <v>221</v>
      </c>
      <c r="H19" s="30" t="s">
        <v>26</v>
      </c>
      <c r="I19" s="17">
        <v>159200</v>
      </c>
      <c r="J19" s="65"/>
      <c r="K19" s="65"/>
      <c r="L19" s="65"/>
      <c r="M19" s="65"/>
      <c r="N19" s="17">
        <v>529700</v>
      </c>
      <c r="O19" s="17">
        <v>428805</v>
      </c>
      <c r="P19" s="17">
        <f>N19-O19</f>
      </c>
      <c r="Q19" s="14" t="s">
        <v>50</v>
      </c>
      <c r="R19" s="31" t="s">
        <v>222</v>
      </c>
      <c r="S19" s="40">
        <v>2</v>
      </c>
      <c r="T19" s="65"/>
      <c r="U19" s="65"/>
      <c r="V19" s="65"/>
      <c r="W19" s="17">
        <v>529700</v>
      </c>
      <c r="X19" s="17">
        <f>N19-T19-W19</f>
      </c>
      <c r="Y19" s="293">
        <v>45821</v>
      </c>
      <c r="Z19" s="14" t="s">
        <v>2122</v>
      </c>
      <c r="AA19" s="161"/>
      <c r="AB19" s="32">
        <f>O19</f>
      </c>
      <c r="AC19" s="29"/>
      <c r="AD19" s="29"/>
      <c r="AE19" s="29"/>
      <c r="AF19" s="29">
        <f>AF18-AB19+AE19+AC19</f>
      </c>
      <c r="AG19" s="29"/>
      <c r="AH19" s="29"/>
      <c r="AI19" s="29">
        <f>AI18-AG19+AH19</f>
      </c>
      <c r="AJ19" s="34"/>
      <c r="AK19" s="34"/>
      <c r="AL19" s="29"/>
      <c r="AM19" s="29">
        <v>4143919</v>
      </c>
    </row>
    <row x14ac:dyDescent="0.25" r="20" customHeight="1" ht="18.75">
      <c r="A20" s="12">
        <v>45784</v>
      </c>
      <c r="B20" s="14" t="s">
        <v>46</v>
      </c>
      <c r="C20" s="14" t="s">
        <v>4119</v>
      </c>
      <c r="D20" s="14" t="s">
        <v>54</v>
      </c>
      <c r="E20" s="14" t="s">
        <v>223</v>
      </c>
      <c r="F20" s="14" t="s">
        <v>84</v>
      </c>
      <c r="G20" s="30" t="s">
        <v>224</v>
      </c>
      <c r="H20" s="30" t="s">
        <v>26</v>
      </c>
      <c r="I20" s="17">
        <v>387200</v>
      </c>
      <c r="J20" s="17">
        <v>387200</v>
      </c>
      <c r="K20" s="17">
        <v>387200</v>
      </c>
      <c r="L20" s="17">
        <v>387200</v>
      </c>
      <c r="M20" s="17">
        <v>387200</v>
      </c>
      <c r="N20" s="17">
        <v>940850</v>
      </c>
      <c r="O20" s="17">
        <v>702420</v>
      </c>
      <c r="P20" s="17">
        <f>N20-O20</f>
      </c>
      <c r="Q20" s="14" t="s">
        <v>50</v>
      </c>
      <c r="R20" s="31" t="s">
        <v>225</v>
      </c>
      <c r="S20" s="40">
        <v>2</v>
      </c>
      <c r="T20" s="65"/>
      <c r="U20" s="65"/>
      <c r="V20" s="65"/>
      <c r="W20" s="65"/>
      <c r="X20" s="17">
        <f>N20-T20-W20</f>
      </c>
      <c r="Y20" s="293"/>
      <c r="Z20" s="14"/>
      <c r="AA20" s="161"/>
      <c r="AB20" s="32">
        <f>O20</f>
      </c>
      <c r="AC20" s="29"/>
      <c r="AD20" s="29"/>
      <c r="AE20" s="29"/>
      <c r="AF20" s="29">
        <f>AF19-AB20+AE20+AC20</f>
      </c>
      <c r="AG20" s="29"/>
      <c r="AH20" s="29"/>
      <c r="AI20" s="29">
        <f>AI19-AG20+AH20</f>
      </c>
      <c r="AJ20" s="34"/>
      <c r="AK20" s="34"/>
      <c r="AL20" s="29"/>
      <c r="AM20" s="29">
        <v>4143919</v>
      </c>
    </row>
    <row x14ac:dyDescent="0.25" r="21" customHeight="1" ht="18.75">
      <c r="A21" s="12">
        <v>45784</v>
      </c>
      <c r="B21" s="14" t="s">
        <v>46</v>
      </c>
      <c r="C21" s="14" t="s">
        <v>4120</v>
      </c>
      <c r="D21" s="14" t="s">
        <v>226</v>
      </c>
      <c r="E21" s="14" t="s">
        <v>227</v>
      </c>
      <c r="F21" s="14" t="s">
        <v>174</v>
      </c>
      <c r="G21" s="30" t="s">
        <v>228</v>
      </c>
      <c r="H21" s="30" t="s">
        <v>26</v>
      </c>
      <c r="I21" s="65"/>
      <c r="J21" s="65"/>
      <c r="K21" s="65"/>
      <c r="L21" s="65"/>
      <c r="M21" s="65"/>
      <c r="N21" s="17">
        <v>8796800</v>
      </c>
      <c r="O21" s="17">
        <v>8566200</v>
      </c>
      <c r="P21" s="17">
        <f>N21-O21</f>
      </c>
      <c r="Q21" s="14" t="s">
        <v>187</v>
      </c>
      <c r="R21" s="31" t="s">
        <v>229</v>
      </c>
      <c r="S21" s="41"/>
      <c r="T21" s="17">
        <v>1146525</v>
      </c>
      <c r="U21" s="17"/>
      <c r="V21" s="17"/>
      <c r="W21" s="17">
        <v>7650275</v>
      </c>
      <c r="X21" s="17">
        <f>N21-T21-W21</f>
      </c>
      <c r="Y21" s="294" t="s">
        <v>4121</v>
      </c>
      <c r="Z21" s="14" t="s">
        <v>1718</v>
      </c>
      <c r="AA21" s="161"/>
      <c r="AB21" s="32">
        <f>O21</f>
      </c>
      <c r="AC21" s="29">
        <v>15000000</v>
      </c>
      <c r="AD21" s="29"/>
      <c r="AE21" s="29"/>
      <c r="AF21" s="29">
        <f>AF20-AB21+AE21+AC21</f>
      </c>
      <c r="AG21" s="29"/>
      <c r="AH21" s="29"/>
      <c r="AI21" s="29">
        <f>AI20-AG21+AH21</f>
      </c>
      <c r="AJ21" s="34"/>
      <c r="AK21" s="34"/>
      <c r="AL21" s="29"/>
      <c r="AM21" s="29">
        <v>4143919</v>
      </c>
    </row>
    <row x14ac:dyDescent="0.25" r="22" customHeight="1" ht="15.75">
      <c r="A22" s="12">
        <v>45784</v>
      </c>
      <c r="B22" s="14" t="s">
        <v>82</v>
      </c>
      <c r="C22" s="14" t="s">
        <v>4122</v>
      </c>
      <c r="D22" s="14" t="s">
        <v>4123</v>
      </c>
      <c r="E22" s="14" t="s">
        <v>4124</v>
      </c>
      <c r="F22" s="14" t="s">
        <v>4125</v>
      </c>
      <c r="G22" s="220" t="s">
        <v>4126</v>
      </c>
      <c r="H22" s="30" t="s">
        <v>4127</v>
      </c>
      <c r="I22" s="65"/>
      <c r="J22" s="65"/>
      <c r="K22" s="65"/>
      <c r="L22" s="65"/>
      <c r="M22" s="65"/>
      <c r="N22" s="17">
        <v>66970</v>
      </c>
      <c r="O22" s="295">
        <v>64470</v>
      </c>
      <c r="P22" s="17">
        <f>N22-O22</f>
      </c>
      <c r="Q22" s="14" t="s">
        <v>86</v>
      </c>
      <c r="R22" s="31" t="s">
        <v>4128</v>
      </c>
      <c r="S22" s="41"/>
      <c r="T22" s="65"/>
      <c r="U22" s="65"/>
      <c r="V22" s="65"/>
      <c r="W22" s="17">
        <v>66970</v>
      </c>
      <c r="X22" s="17">
        <f>N22-T22-W22</f>
      </c>
      <c r="Y22" s="293">
        <v>45785</v>
      </c>
      <c r="Z22" s="14" t="s">
        <v>1718</v>
      </c>
      <c r="AA22" s="161"/>
      <c r="AB22" s="32">
        <v>0</v>
      </c>
      <c r="AC22" s="29"/>
      <c r="AD22" s="29"/>
      <c r="AE22" s="29"/>
      <c r="AF22" s="29">
        <f>AF21-AB22+AE22+AC22</f>
      </c>
      <c r="AG22" s="32">
        <v>64470</v>
      </c>
      <c r="AH22" s="29"/>
      <c r="AI22" s="29">
        <f>AI21-AG22+AH22</f>
      </c>
      <c r="AJ22" s="34"/>
      <c r="AK22" s="34"/>
      <c r="AL22" s="29"/>
      <c r="AM22" s="29">
        <v>4143919</v>
      </c>
    </row>
    <row x14ac:dyDescent="0.25" r="23" customHeight="1" ht="15.75">
      <c r="A23" s="12">
        <v>45784</v>
      </c>
      <c r="B23" s="14" t="s">
        <v>82</v>
      </c>
      <c r="C23" s="14" t="s">
        <v>4129</v>
      </c>
      <c r="D23" s="14" t="s">
        <v>83</v>
      </c>
      <c r="E23" s="14" t="s">
        <v>4130</v>
      </c>
      <c r="F23" s="14" t="s">
        <v>4131</v>
      </c>
      <c r="G23" s="220" t="s">
        <v>4132</v>
      </c>
      <c r="H23" s="30" t="s">
        <v>4127</v>
      </c>
      <c r="I23" s="65"/>
      <c r="J23" s="65"/>
      <c r="K23" s="65"/>
      <c r="L23" s="65"/>
      <c r="M23" s="65"/>
      <c r="N23" s="17">
        <v>84000</v>
      </c>
      <c r="O23" s="296">
        <v>81540</v>
      </c>
      <c r="P23" s="17">
        <f>N23-O23</f>
      </c>
      <c r="Q23" s="14" t="s">
        <v>86</v>
      </c>
      <c r="R23" s="31" t="s">
        <v>4133</v>
      </c>
      <c r="S23" s="41"/>
      <c r="T23" s="65"/>
      <c r="U23" s="65"/>
      <c r="V23" s="65"/>
      <c r="W23" s="17">
        <v>84000</v>
      </c>
      <c r="X23" s="17">
        <f>N23-T23-W23</f>
      </c>
      <c r="Y23" s="293">
        <v>45785</v>
      </c>
      <c r="Z23" s="14" t="s">
        <v>1718</v>
      </c>
      <c r="AA23" s="161"/>
      <c r="AB23" s="32">
        <v>0</v>
      </c>
      <c r="AC23" s="29"/>
      <c r="AD23" s="29"/>
      <c r="AE23" s="29"/>
      <c r="AF23" s="29">
        <f>AF22-AB23+AE23+AC23</f>
      </c>
      <c r="AG23" s="32">
        <v>81540</v>
      </c>
      <c r="AH23" s="29"/>
      <c r="AI23" s="29">
        <f>AI22-AG23+AH23</f>
      </c>
      <c r="AJ23" s="34"/>
      <c r="AK23" s="34"/>
      <c r="AL23" s="29"/>
      <c r="AM23" s="29">
        <v>4143919</v>
      </c>
    </row>
    <row x14ac:dyDescent="0.25" r="24" customHeight="1" ht="15.75">
      <c r="A24" s="42">
        <v>45784</v>
      </c>
      <c r="B24" s="43" t="s">
        <v>46</v>
      </c>
      <c r="C24" s="43" t="s">
        <v>3753</v>
      </c>
      <c r="D24" s="43" t="s">
        <v>54</v>
      </c>
      <c r="E24" s="261" t="s">
        <v>4134</v>
      </c>
      <c r="F24" s="43" t="s">
        <v>84</v>
      </c>
      <c r="G24" s="43" t="s">
        <v>202</v>
      </c>
      <c r="H24" s="43" t="s">
        <v>26</v>
      </c>
      <c r="I24" s="297"/>
      <c r="J24" s="297"/>
      <c r="K24" s="297"/>
      <c r="L24" s="297"/>
      <c r="M24" s="297"/>
      <c r="N24" s="44">
        <v>1012900</v>
      </c>
      <c r="O24" s="44">
        <v>1012900</v>
      </c>
      <c r="P24" s="44">
        <f>N24-O24</f>
      </c>
      <c r="Q24" s="43" t="s">
        <v>230</v>
      </c>
      <c r="R24" s="45" t="s">
        <v>225</v>
      </c>
      <c r="S24" s="46" t="s">
        <v>231</v>
      </c>
      <c r="T24" s="65"/>
      <c r="U24" s="65"/>
      <c r="V24" s="65"/>
      <c r="W24" s="65"/>
      <c r="X24" s="17">
        <f>N24-T24-W24</f>
      </c>
      <c r="Y24" s="293"/>
      <c r="Z24" s="14"/>
      <c r="AA24" s="161"/>
      <c r="AB24" s="32">
        <f>O24</f>
      </c>
      <c r="AC24" s="29"/>
      <c r="AD24" s="29"/>
      <c r="AE24" s="29"/>
      <c r="AF24" s="29">
        <f>AF23-AB24+AE24+AC24</f>
      </c>
      <c r="AG24" s="29"/>
      <c r="AH24" s="29"/>
      <c r="AI24" s="29">
        <f>AI23-AG24+AH24</f>
      </c>
      <c r="AJ24" s="34"/>
      <c r="AK24" s="34"/>
      <c r="AL24" s="29"/>
      <c r="AM24" s="29">
        <v>4143919</v>
      </c>
    </row>
    <row x14ac:dyDescent="0.25" r="25" customHeight="1" ht="29.25">
      <c r="A25" s="12">
        <v>45785</v>
      </c>
      <c r="B25" s="14" t="s">
        <v>53</v>
      </c>
      <c r="C25" s="14" t="s">
        <v>4135</v>
      </c>
      <c r="D25" s="14" t="s">
        <v>232</v>
      </c>
      <c r="E25" s="14" t="s">
        <v>4136</v>
      </c>
      <c r="F25" s="14" t="s">
        <v>90</v>
      </c>
      <c r="G25" s="30" t="s">
        <v>233</v>
      </c>
      <c r="H25" s="30"/>
      <c r="I25" s="17">
        <v>1129100</v>
      </c>
      <c r="J25" s="65"/>
      <c r="K25" s="65"/>
      <c r="L25" s="65"/>
      <c r="M25" s="65"/>
      <c r="N25" s="17">
        <v>1945920</v>
      </c>
      <c r="O25" s="17">
        <v>1517820</v>
      </c>
      <c r="P25" s="17">
        <f>N25-O25</f>
      </c>
      <c r="Q25" s="14" t="s">
        <v>137</v>
      </c>
      <c r="R25" s="47" t="s">
        <v>234</v>
      </c>
      <c r="S25" s="41"/>
      <c r="T25" s="17">
        <v>1000000</v>
      </c>
      <c r="U25" s="17"/>
      <c r="V25" s="17"/>
      <c r="W25" s="17">
        <v>945920</v>
      </c>
      <c r="X25" s="17">
        <f>N25-T25-W25</f>
      </c>
      <c r="Y25" s="294" t="s">
        <v>4137</v>
      </c>
      <c r="Z25" s="14" t="s">
        <v>2122</v>
      </c>
      <c r="AA25" s="161"/>
      <c r="AB25" s="32">
        <f>O25</f>
      </c>
      <c r="AC25" s="29"/>
      <c r="AD25" s="29"/>
      <c r="AE25" s="29"/>
      <c r="AF25" s="29">
        <f>AF24-AB25+AE25+AC25</f>
      </c>
      <c r="AG25" s="29"/>
      <c r="AH25" s="29"/>
      <c r="AI25" s="29">
        <f>AI24-AG25+AH25</f>
      </c>
      <c r="AJ25" s="34"/>
      <c r="AK25" s="34"/>
      <c r="AL25" s="29"/>
      <c r="AM25" s="29">
        <v>4143919</v>
      </c>
    </row>
    <row x14ac:dyDescent="0.25" r="26" customHeight="1" ht="27.75">
      <c r="A26" s="12">
        <v>45785</v>
      </c>
      <c r="B26" s="14" t="s">
        <v>53</v>
      </c>
      <c r="C26" s="14" t="s">
        <v>4135</v>
      </c>
      <c r="D26" s="14" t="s">
        <v>232</v>
      </c>
      <c r="E26" s="218" t="s">
        <v>4138</v>
      </c>
      <c r="F26" s="14" t="s">
        <v>90</v>
      </c>
      <c r="G26" s="30" t="s">
        <v>235</v>
      </c>
      <c r="H26" s="30"/>
      <c r="I26" s="17">
        <v>1129100</v>
      </c>
      <c r="J26" s="65"/>
      <c r="K26" s="65"/>
      <c r="L26" s="65"/>
      <c r="M26" s="65"/>
      <c r="N26" s="17">
        <v>1945920</v>
      </c>
      <c r="O26" s="17">
        <v>1517820</v>
      </c>
      <c r="P26" s="17">
        <f>N26-O26</f>
      </c>
      <c r="Q26" s="14" t="s">
        <v>137</v>
      </c>
      <c r="R26" s="47" t="s">
        <v>236</v>
      </c>
      <c r="S26" s="41"/>
      <c r="T26" s="17">
        <v>1000000</v>
      </c>
      <c r="U26" s="17"/>
      <c r="V26" s="17"/>
      <c r="W26" s="17">
        <v>945920</v>
      </c>
      <c r="X26" s="17">
        <f>N26-T26-W26</f>
      </c>
      <c r="Y26" s="294" t="s">
        <v>4137</v>
      </c>
      <c r="Z26" s="14" t="s">
        <v>2122</v>
      </c>
      <c r="AA26" s="161"/>
      <c r="AB26" s="32">
        <f>O26</f>
      </c>
      <c r="AC26" s="29"/>
      <c r="AD26" s="29"/>
      <c r="AE26" s="29"/>
      <c r="AF26" s="29">
        <f>AF25-AB26+AE26+AC26</f>
      </c>
      <c r="AG26" s="29"/>
      <c r="AH26" s="29"/>
      <c r="AI26" s="29">
        <f>AI25-AG26+AH26</f>
      </c>
      <c r="AJ26" s="34"/>
      <c r="AK26" s="34"/>
      <c r="AL26" s="29"/>
      <c r="AM26" s="29">
        <v>4143919</v>
      </c>
    </row>
    <row x14ac:dyDescent="0.25" r="27" customHeight="1" ht="15.75">
      <c r="A27" s="12">
        <v>45785</v>
      </c>
      <c r="B27" s="14" t="s">
        <v>53</v>
      </c>
      <c r="C27" s="14" t="s">
        <v>4139</v>
      </c>
      <c r="D27" s="14" t="s">
        <v>237</v>
      </c>
      <c r="E27" s="14" t="s">
        <v>4140</v>
      </c>
      <c r="F27" s="14" t="s">
        <v>185</v>
      </c>
      <c r="G27" s="48" t="s">
        <v>238</v>
      </c>
      <c r="H27" s="30" t="s">
        <v>26</v>
      </c>
      <c r="I27" s="17">
        <v>1281100</v>
      </c>
      <c r="J27" s="65"/>
      <c r="K27" s="65"/>
      <c r="L27" s="65"/>
      <c r="M27" s="65"/>
      <c r="N27" s="17">
        <v>1579800</v>
      </c>
      <c r="O27" s="17">
        <v>1449600</v>
      </c>
      <c r="P27" s="17">
        <f>N27-O27</f>
      </c>
      <c r="Q27" s="14" t="s">
        <v>137</v>
      </c>
      <c r="R27" s="47" t="s">
        <v>239</v>
      </c>
      <c r="S27" s="41"/>
      <c r="T27" s="65"/>
      <c r="U27" s="65"/>
      <c r="V27" s="65"/>
      <c r="W27" s="65"/>
      <c r="X27" s="17">
        <f>N27-T27-W27</f>
      </c>
      <c r="Y27" s="293"/>
      <c r="Z27" s="14"/>
      <c r="AA27" s="161"/>
      <c r="AB27" s="32">
        <f>O27</f>
      </c>
      <c r="AC27" s="29"/>
      <c r="AD27" s="29"/>
      <c r="AE27" s="29"/>
      <c r="AF27" s="29">
        <f>AF26-AB27+AE27+AC27</f>
      </c>
      <c r="AG27" s="29"/>
      <c r="AH27" s="29"/>
      <c r="AI27" s="29">
        <f>AI26-AG27+AH27</f>
      </c>
      <c r="AJ27" s="34"/>
      <c r="AK27" s="34"/>
      <c r="AL27" s="29"/>
      <c r="AM27" s="29">
        <v>4143919</v>
      </c>
    </row>
    <row x14ac:dyDescent="0.25" r="28" customHeight="1" ht="15.75">
      <c r="A28" s="12">
        <v>45785</v>
      </c>
      <c r="B28" s="14" t="s">
        <v>240</v>
      </c>
      <c r="C28" s="14" t="s">
        <v>4141</v>
      </c>
      <c r="D28" s="14" t="s">
        <v>241</v>
      </c>
      <c r="E28" s="14" t="s">
        <v>4142</v>
      </c>
      <c r="F28" s="14" t="s">
        <v>242</v>
      </c>
      <c r="G28" s="30" t="s">
        <v>243</v>
      </c>
      <c r="H28" s="30" t="s">
        <v>26</v>
      </c>
      <c r="I28" s="17">
        <v>2659300</v>
      </c>
      <c r="J28" s="65"/>
      <c r="K28" s="65"/>
      <c r="L28" s="65"/>
      <c r="M28" s="65"/>
      <c r="N28" s="17">
        <v>3040300</v>
      </c>
      <c r="O28" s="17">
        <v>2940300</v>
      </c>
      <c r="P28" s="17">
        <f>N28-O28</f>
      </c>
      <c r="Q28" s="14" t="s">
        <v>137</v>
      </c>
      <c r="R28" s="31" t="s">
        <v>244</v>
      </c>
      <c r="S28" s="41"/>
      <c r="T28" s="65"/>
      <c r="U28" s="65"/>
      <c r="V28" s="65"/>
      <c r="W28" s="17">
        <v>3040300</v>
      </c>
      <c r="X28" s="17">
        <f>N28-T28-W28</f>
      </c>
      <c r="Y28" s="293">
        <v>45800</v>
      </c>
      <c r="Z28" s="14" t="s">
        <v>1718</v>
      </c>
      <c r="AA28" s="161"/>
      <c r="AB28" s="32">
        <f>O28</f>
      </c>
      <c r="AC28" s="29"/>
      <c r="AD28" s="29"/>
      <c r="AE28" s="29"/>
      <c r="AF28" s="29">
        <f>AF27-AB28+AE28+AC28</f>
      </c>
      <c r="AG28" s="29"/>
      <c r="AH28" s="29"/>
      <c r="AI28" s="29">
        <f>AI27-AG28+AH28</f>
      </c>
      <c r="AJ28" s="34"/>
      <c r="AK28" s="34"/>
      <c r="AL28" s="29"/>
      <c r="AM28" s="29">
        <v>4143919</v>
      </c>
    </row>
    <row x14ac:dyDescent="0.25" r="29" customHeight="1" ht="15.75">
      <c r="A29" s="12">
        <v>45785</v>
      </c>
      <c r="B29" s="14" t="s">
        <v>46</v>
      </c>
      <c r="C29" s="14" t="s">
        <v>4143</v>
      </c>
      <c r="D29" s="14" t="s">
        <v>3331</v>
      </c>
      <c r="E29" s="14" t="s">
        <v>4144</v>
      </c>
      <c r="F29" s="14" t="s">
        <v>185</v>
      </c>
      <c r="G29" s="30" t="s">
        <v>351</v>
      </c>
      <c r="H29" s="30" t="s">
        <v>26</v>
      </c>
      <c r="I29" s="17">
        <v>4896900</v>
      </c>
      <c r="J29" s="65"/>
      <c r="K29" s="65"/>
      <c r="L29" s="65"/>
      <c r="M29" s="65"/>
      <c r="N29" s="17">
        <v>6433100</v>
      </c>
      <c r="O29" s="17">
        <v>5641300</v>
      </c>
      <c r="P29" s="17">
        <f>N29-O29</f>
      </c>
      <c r="Q29" s="14" t="s">
        <v>4145</v>
      </c>
      <c r="R29" s="31" t="s">
        <v>4146</v>
      </c>
      <c r="S29" s="41"/>
      <c r="T29" s="65"/>
      <c r="U29" s="65"/>
      <c r="V29" s="65"/>
      <c r="W29" s="65"/>
      <c r="X29" s="17">
        <f>N29-T29-W29</f>
      </c>
      <c r="Y29" s="293"/>
      <c r="Z29" s="14"/>
      <c r="AA29" s="161"/>
      <c r="AB29" s="32">
        <v>0</v>
      </c>
      <c r="AC29" s="29"/>
      <c r="AD29" s="29"/>
      <c r="AE29" s="29"/>
      <c r="AF29" s="29">
        <f>AF28-AB29+AE29+AC29</f>
      </c>
      <c r="AG29" s="29"/>
      <c r="AH29" s="29"/>
      <c r="AI29" s="29">
        <f>AI28-AG29+AH29</f>
      </c>
      <c r="AJ29" s="34"/>
      <c r="AK29" s="34"/>
      <c r="AL29" s="29"/>
      <c r="AM29" s="29">
        <v>4143919</v>
      </c>
    </row>
    <row x14ac:dyDescent="0.25" r="30" customHeight="1" ht="15.75">
      <c r="A30" s="12">
        <v>45785</v>
      </c>
      <c r="B30" s="14" t="s">
        <v>46</v>
      </c>
      <c r="C30" s="14" t="s">
        <v>4147</v>
      </c>
      <c r="D30" s="14" t="s">
        <v>4148</v>
      </c>
      <c r="E30" s="14" t="s">
        <v>4149</v>
      </c>
      <c r="F30" s="14" t="s">
        <v>185</v>
      </c>
      <c r="G30" s="30" t="s">
        <v>351</v>
      </c>
      <c r="H30" s="30" t="s">
        <v>26</v>
      </c>
      <c r="I30" s="17">
        <v>2463700</v>
      </c>
      <c r="J30" s="65"/>
      <c r="K30" s="65"/>
      <c r="L30" s="65"/>
      <c r="M30" s="65"/>
      <c r="N30" s="17">
        <v>2895800</v>
      </c>
      <c r="O30" s="17">
        <v>2794400</v>
      </c>
      <c r="P30" s="17">
        <f>N30-O30</f>
      </c>
      <c r="Q30" s="14" t="s">
        <v>4145</v>
      </c>
      <c r="R30" s="31" t="s">
        <v>4150</v>
      </c>
      <c r="S30" s="41"/>
      <c r="T30" s="65"/>
      <c r="U30" s="65"/>
      <c r="V30" s="65"/>
      <c r="W30" s="65"/>
      <c r="X30" s="17">
        <f>N30-T30-W30</f>
      </c>
      <c r="Y30" s="293"/>
      <c r="Z30" s="14"/>
      <c r="AA30" s="161"/>
      <c r="AB30" s="32">
        <v>0</v>
      </c>
      <c r="AC30" s="29"/>
      <c r="AD30" s="29"/>
      <c r="AE30" s="29"/>
      <c r="AF30" s="29">
        <f>AF29-AB30+AE30+AC30</f>
      </c>
      <c r="AG30" s="29"/>
      <c r="AH30" s="29"/>
      <c r="AI30" s="29">
        <f>AI29-AG30+AH30</f>
      </c>
      <c r="AJ30" s="34"/>
      <c r="AK30" s="34"/>
      <c r="AL30" s="29"/>
      <c r="AM30" s="29">
        <v>4143919</v>
      </c>
    </row>
    <row x14ac:dyDescent="0.25" r="31" customHeight="1" ht="15.75">
      <c r="A31" s="12">
        <v>45785</v>
      </c>
      <c r="B31" s="14" t="s">
        <v>46</v>
      </c>
      <c r="C31" s="14" t="s">
        <v>4151</v>
      </c>
      <c r="D31" s="14" t="s">
        <v>237</v>
      </c>
      <c r="E31" s="14" t="s">
        <v>4152</v>
      </c>
      <c r="F31" s="14" t="s">
        <v>185</v>
      </c>
      <c r="G31" s="30" t="s">
        <v>4153</v>
      </c>
      <c r="H31" s="30" t="s">
        <v>26</v>
      </c>
      <c r="I31" s="65"/>
      <c r="J31" s="65"/>
      <c r="K31" s="65"/>
      <c r="L31" s="65"/>
      <c r="M31" s="65"/>
      <c r="N31" s="17">
        <v>3246300</v>
      </c>
      <c r="O31" s="17">
        <v>3166300</v>
      </c>
      <c r="P31" s="17">
        <f>N31-O31</f>
      </c>
      <c r="Q31" s="14" t="s">
        <v>4145</v>
      </c>
      <c r="R31" s="31" t="s">
        <v>4154</v>
      </c>
      <c r="S31" s="41"/>
      <c r="T31" s="65"/>
      <c r="U31" s="65"/>
      <c r="V31" s="65"/>
      <c r="W31" s="65"/>
      <c r="X31" s="17">
        <f>N31-T31-W31</f>
      </c>
      <c r="Y31" s="293"/>
      <c r="Z31" s="14"/>
      <c r="AA31" s="161"/>
      <c r="AB31" s="32">
        <v>0</v>
      </c>
      <c r="AC31" s="29"/>
      <c r="AD31" s="29"/>
      <c r="AE31" s="29"/>
      <c r="AF31" s="29">
        <f>AF30-AB31+AE31+AC31</f>
      </c>
      <c r="AG31" s="29"/>
      <c r="AH31" s="29"/>
      <c r="AI31" s="29">
        <f>AI30-AG31+AH31</f>
      </c>
      <c r="AJ31" s="34"/>
      <c r="AK31" s="34"/>
      <c r="AL31" s="29"/>
      <c r="AM31" s="29">
        <v>4143919</v>
      </c>
    </row>
    <row x14ac:dyDescent="0.25" r="32" customHeight="1" ht="15.75">
      <c r="A32" s="12">
        <v>45785</v>
      </c>
      <c r="B32" s="14" t="s">
        <v>66</v>
      </c>
      <c r="C32" s="14" t="s">
        <v>4155</v>
      </c>
      <c r="D32" s="14" t="s">
        <v>166</v>
      </c>
      <c r="E32" s="14" t="s">
        <v>4156</v>
      </c>
      <c r="F32" s="14" t="s">
        <v>185</v>
      </c>
      <c r="G32" s="30" t="s">
        <v>245</v>
      </c>
      <c r="H32" s="30" t="s">
        <v>26</v>
      </c>
      <c r="I32" s="65"/>
      <c r="J32" s="65"/>
      <c r="K32" s="65"/>
      <c r="L32" s="65"/>
      <c r="M32" s="65"/>
      <c r="N32" s="17">
        <v>564800</v>
      </c>
      <c r="O32" s="17">
        <v>504800</v>
      </c>
      <c r="P32" s="17">
        <f>N32-O32</f>
      </c>
      <c r="Q32" s="14" t="s">
        <v>246</v>
      </c>
      <c r="R32" s="31" t="s">
        <v>247</v>
      </c>
      <c r="S32" s="41"/>
      <c r="T32" s="65"/>
      <c r="U32" s="65"/>
      <c r="V32" s="65"/>
      <c r="W32" s="65"/>
      <c r="X32" s="17">
        <f>N32-T32-W32</f>
      </c>
      <c r="Y32" s="293"/>
      <c r="Z32" s="14"/>
      <c r="AA32" s="161"/>
      <c r="AB32" s="32">
        <f>O32</f>
      </c>
      <c r="AC32" s="29"/>
      <c r="AD32" s="29">
        <v>1738255</v>
      </c>
      <c r="AE32" s="29"/>
      <c r="AF32" s="29">
        <f>AF31-AB32+AE32+AC32</f>
      </c>
      <c r="AG32" s="29"/>
      <c r="AH32" s="29"/>
      <c r="AI32" s="29">
        <f>AI31-AG32+AH32</f>
      </c>
      <c r="AJ32" s="34"/>
      <c r="AK32" s="34"/>
      <c r="AL32" s="29"/>
      <c r="AM32" s="29">
        <v>4143919</v>
      </c>
    </row>
    <row x14ac:dyDescent="0.25" r="33" customHeight="1" ht="15.75">
      <c r="A33" s="12">
        <v>45786</v>
      </c>
      <c r="B33" s="14" t="s">
        <v>46</v>
      </c>
      <c r="C33" s="14" t="s">
        <v>4157</v>
      </c>
      <c r="D33" s="14" t="s">
        <v>248</v>
      </c>
      <c r="E33" s="14" t="s">
        <v>249</v>
      </c>
      <c r="F33" s="14" t="s">
        <v>185</v>
      </c>
      <c r="G33" s="30" t="s">
        <v>186</v>
      </c>
      <c r="H33" s="30" t="s">
        <v>26</v>
      </c>
      <c r="I33" s="65"/>
      <c r="J33" s="65"/>
      <c r="K33" s="65"/>
      <c r="L33" s="65"/>
      <c r="M33" s="65"/>
      <c r="N33" s="17">
        <v>22000</v>
      </c>
      <c r="O33" s="17">
        <v>0</v>
      </c>
      <c r="P33" s="17">
        <f>N33-O33</f>
      </c>
      <c r="Q33" s="14" t="s">
        <v>246</v>
      </c>
      <c r="R33" s="31" t="s">
        <v>250</v>
      </c>
      <c r="S33" s="41" t="s">
        <v>251</v>
      </c>
      <c r="T33" s="65"/>
      <c r="U33" s="65"/>
      <c r="V33" s="65"/>
      <c r="W33" s="65"/>
      <c r="X33" s="17">
        <f>N33-T33-W33</f>
      </c>
      <c r="Y33" s="293"/>
      <c r="Z33" s="14"/>
      <c r="AA33" s="161"/>
      <c r="AB33" s="32">
        <f>O33</f>
      </c>
      <c r="AC33" s="29"/>
      <c r="AD33" s="29"/>
      <c r="AE33" s="29"/>
      <c r="AF33" s="29">
        <f>AF32-AB33+AE33+AC33</f>
      </c>
      <c r="AG33" s="29"/>
      <c r="AH33" s="29"/>
      <c r="AI33" s="29">
        <f>AI32-AG33+AH33</f>
      </c>
      <c r="AJ33" s="34"/>
      <c r="AK33" s="34"/>
      <c r="AL33" s="29"/>
      <c r="AM33" s="29">
        <v>4143919</v>
      </c>
    </row>
    <row x14ac:dyDescent="0.25" r="34" customHeight="1" ht="31.5">
      <c r="A34" s="12">
        <v>45786</v>
      </c>
      <c r="B34" s="14" t="s">
        <v>252</v>
      </c>
      <c r="C34" s="14" t="s">
        <v>4158</v>
      </c>
      <c r="D34" s="14" t="s">
        <v>253</v>
      </c>
      <c r="E34" s="14" t="s">
        <v>254</v>
      </c>
      <c r="F34" s="14" t="s">
        <v>255</v>
      </c>
      <c r="G34" s="30" t="s">
        <v>256</v>
      </c>
      <c r="H34" s="30" t="s">
        <v>76</v>
      </c>
      <c r="I34" s="65"/>
      <c r="J34" s="65"/>
      <c r="K34" s="65"/>
      <c r="L34" s="65"/>
      <c r="M34" s="65"/>
      <c r="N34" s="17">
        <v>359700</v>
      </c>
      <c r="O34" s="17">
        <v>350420</v>
      </c>
      <c r="P34" s="17">
        <f>N34-O34</f>
      </c>
      <c r="Q34" s="14" t="s">
        <v>246</v>
      </c>
      <c r="R34" s="31" t="s">
        <v>257</v>
      </c>
      <c r="S34" s="41"/>
      <c r="T34" s="17">
        <v>300000</v>
      </c>
      <c r="U34" s="17"/>
      <c r="V34" s="17"/>
      <c r="W34" s="17">
        <v>59700</v>
      </c>
      <c r="X34" s="17">
        <f>N34-T34-W34</f>
      </c>
      <c r="Y34" s="294" t="s">
        <v>4159</v>
      </c>
      <c r="Z34" s="14" t="s">
        <v>1718</v>
      </c>
      <c r="AA34" s="161"/>
      <c r="AB34" s="32">
        <f>O34</f>
      </c>
      <c r="AC34" s="29"/>
      <c r="AD34" s="29"/>
      <c r="AE34" s="29"/>
      <c r="AF34" s="29">
        <f>AF33-AB34+AE34+AC34</f>
      </c>
      <c r="AG34" s="29"/>
      <c r="AH34" s="29"/>
      <c r="AI34" s="29">
        <f>AI33-AG34+AH34</f>
      </c>
      <c r="AJ34" s="34"/>
      <c r="AK34" s="34"/>
      <c r="AL34" s="29"/>
      <c r="AM34" s="29">
        <v>4143919</v>
      </c>
    </row>
    <row x14ac:dyDescent="0.25" r="35" customHeight="1" ht="15.75">
      <c r="A35" s="12">
        <v>45786</v>
      </c>
      <c r="B35" s="14" t="s">
        <v>111</v>
      </c>
      <c r="C35" s="14" t="s">
        <v>4160</v>
      </c>
      <c r="D35" s="14" t="s">
        <v>258</v>
      </c>
      <c r="E35" s="14" t="s">
        <v>259</v>
      </c>
      <c r="F35" s="14" t="s">
        <v>260</v>
      </c>
      <c r="G35" s="3" t="s">
        <v>261</v>
      </c>
      <c r="H35" s="30" t="s">
        <v>262</v>
      </c>
      <c r="I35" s="17">
        <v>232800</v>
      </c>
      <c r="J35" s="65"/>
      <c r="K35" s="65"/>
      <c r="L35" s="65"/>
      <c r="M35" s="65"/>
      <c r="N35" s="17">
        <v>480620</v>
      </c>
      <c r="O35" s="17">
        <v>465620</v>
      </c>
      <c r="P35" s="17">
        <f>N35-O35</f>
      </c>
      <c r="Q35" s="14" t="s">
        <v>50</v>
      </c>
      <c r="R35" s="31" t="s">
        <v>263</v>
      </c>
      <c r="S35" s="40">
        <v>1</v>
      </c>
      <c r="T35" s="65"/>
      <c r="U35" s="65"/>
      <c r="V35" s="65"/>
      <c r="W35" s="17">
        <v>480620</v>
      </c>
      <c r="X35" s="17">
        <f>N35-T35-W35</f>
      </c>
      <c r="Y35" s="293">
        <v>45789</v>
      </c>
      <c r="Z35" s="14" t="s">
        <v>1718</v>
      </c>
      <c r="AA35" s="161"/>
      <c r="AB35" s="32">
        <f>O35</f>
      </c>
      <c r="AC35" s="29"/>
      <c r="AD35" s="29"/>
      <c r="AE35" s="29"/>
      <c r="AF35" s="29">
        <f>AF34-AB35+AE35+AC35</f>
      </c>
      <c r="AG35" s="29"/>
      <c r="AH35" s="29"/>
      <c r="AI35" s="29">
        <f>AI34-AG35+AH35</f>
      </c>
      <c r="AJ35" s="34"/>
      <c r="AK35" s="34"/>
      <c r="AL35" s="29"/>
      <c r="AM35" s="29">
        <f>AM34-AL35</f>
      </c>
    </row>
    <row x14ac:dyDescent="0.25" r="36" customHeight="1" ht="15.75">
      <c r="A36" s="12">
        <v>45786</v>
      </c>
      <c r="B36" s="14" t="s">
        <v>72</v>
      </c>
      <c r="C36" s="14" t="s">
        <v>4161</v>
      </c>
      <c r="D36" s="14" t="s">
        <v>150</v>
      </c>
      <c r="E36" s="14" t="s">
        <v>151</v>
      </c>
      <c r="F36" s="14" t="s">
        <v>152</v>
      </c>
      <c r="G36" s="30" t="s">
        <v>153</v>
      </c>
      <c r="H36" s="30" t="s">
        <v>26</v>
      </c>
      <c r="I36" s="65"/>
      <c r="J36" s="65"/>
      <c r="K36" s="65"/>
      <c r="L36" s="65"/>
      <c r="M36" s="65"/>
      <c r="N36" s="17">
        <v>673220</v>
      </c>
      <c r="O36" s="17">
        <v>668220</v>
      </c>
      <c r="P36" s="17">
        <f>N36-O36</f>
      </c>
      <c r="Q36" s="14" t="s">
        <v>154</v>
      </c>
      <c r="R36" s="31" t="s">
        <v>155</v>
      </c>
      <c r="S36" s="41"/>
      <c r="T36" s="65"/>
      <c r="U36" s="65"/>
      <c r="V36" s="65"/>
      <c r="W36" s="17">
        <v>673220</v>
      </c>
      <c r="X36" s="17">
        <f>N36-T36-W36</f>
      </c>
      <c r="Y36" s="293">
        <v>45786</v>
      </c>
      <c r="Z36" s="14" t="s">
        <v>1718</v>
      </c>
      <c r="AA36" s="161"/>
      <c r="AB36" s="32">
        <v>0</v>
      </c>
      <c r="AC36" s="29"/>
      <c r="AD36" s="29"/>
      <c r="AE36" s="29"/>
      <c r="AF36" s="29">
        <f>AF35-AB36+AE36+AC36</f>
      </c>
      <c r="AG36" s="29"/>
      <c r="AH36" s="29"/>
      <c r="AI36" s="29">
        <f>AI35-AG36+AH36</f>
      </c>
      <c r="AJ36" s="34"/>
      <c r="AK36" s="34"/>
      <c r="AL36" s="32">
        <v>668220</v>
      </c>
      <c r="AM36" s="29">
        <f>AM35-AL36</f>
      </c>
    </row>
    <row x14ac:dyDescent="0.25" r="37" customHeight="1" ht="15.75">
      <c r="A37" s="12">
        <v>45786</v>
      </c>
      <c r="B37" s="14" t="s">
        <v>46</v>
      </c>
      <c r="C37" s="14" t="s">
        <v>4162</v>
      </c>
      <c r="D37" s="14" t="s">
        <v>264</v>
      </c>
      <c r="E37" s="14" t="s">
        <v>265</v>
      </c>
      <c r="F37" s="14" t="s">
        <v>266</v>
      </c>
      <c r="G37" s="30" t="s">
        <v>267</v>
      </c>
      <c r="H37" s="30" t="s">
        <v>26</v>
      </c>
      <c r="I37" s="65" t="s">
        <v>4163</v>
      </c>
      <c r="J37" s="65"/>
      <c r="K37" s="65"/>
      <c r="L37" s="65"/>
      <c r="M37" s="65"/>
      <c r="N37" s="17">
        <v>91900</v>
      </c>
      <c r="O37" s="17">
        <v>23200</v>
      </c>
      <c r="P37" s="17">
        <f>N37-O37</f>
      </c>
      <c r="Q37" s="14" t="s">
        <v>50</v>
      </c>
      <c r="R37" s="31" t="s">
        <v>268</v>
      </c>
      <c r="S37" s="41" t="s">
        <v>251</v>
      </c>
      <c r="T37" s="65"/>
      <c r="U37" s="65"/>
      <c r="V37" s="65"/>
      <c r="W37" s="17">
        <v>91900</v>
      </c>
      <c r="X37" s="17">
        <f>N37-T37-W37</f>
      </c>
      <c r="Y37" s="293">
        <v>45818</v>
      </c>
      <c r="Z37" s="14" t="s">
        <v>2216</v>
      </c>
      <c r="AA37" s="161" t="s">
        <v>3674</v>
      </c>
      <c r="AB37" s="32">
        <f>O37</f>
      </c>
      <c r="AC37" s="29"/>
      <c r="AD37" s="29"/>
      <c r="AE37" s="29"/>
      <c r="AF37" s="29">
        <f>AF36-AB37+AE37+AC37</f>
      </c>
      <c r="AG37" s="29"/>
      <c r="AH37" s="29"/>
      <c r="AI37" s="29">
        <f>AI36-AG37+AH37</f>
      </c>
      <c r="AJ37" s="34"/>
      <c r="AK37" s="34"/>
      <c r="AL37" s="29"/>
      <c r="AM37" s="29">
        <f>AM36-AL37</f>
      </c>
    </row>
    <row x14ac:dyDescent="0.25" r="38" customHeight="1" ht="15.75">
      <c r="A38" s="12">
        <v>45786</v>
      </c>
      <c r="B38" s="14" t="s">
        <v>72</v>
      </c>
      <c r="C38" s="14" t="s">
        <v>4164</v>
      </c>
      <c r="D38" s="14" t="s">
        <v>156</v>
      </c>
      <c r="E38" s="14" t="s">
        <v>157</v>
      </c>
      <c r="F38" s="14" t="s">
        <v>158</v>
      </c>
      <c r="G38" s="30" t="s">
        <v>159</v>
      </c>
      <c r="H38" s="30" t="s">
        <v>26</v>
      </c>
      <c r="I38" s="65"/>
      <c r="J38" s="65"/>
      <c r="K38" s="65"/>
      <c r="L38" s="65"/>
      <c r="M38" s="65"/>
      <c r="N38" s="17">
        <v>497920</v>
      </c>
      <c r="O38" s="17">
        <v>471920</v>
      </c>
      <c r="P38" s="17">
        <f>N38-O38</f>
      </c>
      <c r="Q38" s="14" t="s">
        <v>154</v>
      </c>
      <c r="R38" s="31" t="s">
        <v>160</v>
      </c>
      <c r="S38" s="41"/>
      <c r="T38" s="65"/>
      <c r="U38" s="65"/>
      <c r="V38" s="65"/>
      <c r="W38" s="17">
        <v>497920</v>
      </c>
      <c r="X38" s="17">
        <f>N38-T38-W38</f>
      </c>
      <c r="Y38" s="293">
        <v>45807</v>
      </c>
      <c r="Z38" s="14" t="s">
        <v>2122</v>
      </c>
      <c r="AA38" s="161"/>
      <c r="AB38" s="32">
        <v>0</v>
      </c>
      <c r="AC38" s="29"/>
      <c r="AD38" s="29"/>
      <c r="AE38" s="29"/>
      <c r="AF38" s="29">
        <f>AF37-AB38+AE38+AC38</f>
      </c>
      <c r="AG38" s="29"/>
      <c r="AH38" s="29"/>
      <c r="AI38" s="29">
        <f>AI37-AG38+AH38</f>
      </c>
      <c r="AJ38" s="34"/>
      <c r="AK38" s="34"/>
      <c r="AL38" s="32">
        <v>471920</v>
      </c>
      <c r="AM38" s="29">
        <f>AM37-AL38</f>
      </c>
    </row>
    <row x14ac:dyDescent="0.25" r="39" customHeight="1" ht="15.75">
      <c r="A39" s="12">
        <v>45787</v>
      </c>
      <c r="B39" s="14" t="s">
        <v>111</v>
      </c>
      <c r="C39" s="14" t="s">
        <v>4165</v>
      </c>
      <c r="D39" s="14" t="s">
        <v>269</v>
      </c>
      <c r="E39" s="14" t="s">
        <v>270</v>
      </c>
      <c r="F39" s="14" t="s">
        <v>271</v>
      </c>
      <c r="G39" s="30" t="s">
        <v>272</v>
      </c>
      <c r="H39" s="30" t="s">
        <v>26</v>
      </c>
      <c r="I39" s="17">
        <v>194300</v>
      </c>
      <c r="J39" s="65"/>
      <c r="K39" s="65"/>
      <c r="L39" s="65"/>
      <c r="M39" s="65"/>
      <c r="N39" s="17">
        <v>469920</v>
      </c>
      <c r="O39" s="17">
        <v>416320</v>
      </c>
      <c r="P39" s="17">
        <f>N39-O39</f>
      </c>
      <c r="Q39" s="14" t="s">
        <v>50</v>
      </c>
      <c r="R39" s="31" t="s">
        <v>273</v>
      </c>
      <c r="S39" s="40">
        <v>2</v>
      </c>
      <c r="T39" s="65"/>
      <c r="U39" s="65"/>
      <c r="V39" s="65"/>
      <c r="W39" s="17">
        <v>469920</v>
      </c>
      <c r="X39" s="17">
        <f>N39-T39-W39</f>
      </c>
      <c r="Y39" s="293">
        <v>45793</v>
      </c>
      <c r="Z39" s="14" t="s">
        <v>2216</v>
      </c>
      <c r="AA39" s="161" t="s">
        <v>4166</v>
      </c>
      <c r="AB39" s="32">
        <f>O39</f>
      </c>
      <c r="AC39" s="29"/>
      <c r="AD39" s="29"/>
      <c r="AE39" s="29"/>
      <c r="AF39" s="29">
        <f>AF38-AB39+AE39+AC39</f>
      </c>
      <c r="AG39" s="29"/>
      <c r="AH39" s="29"/>
      <c r="AI39" s="29">
        <f>AI38-AG39+AH39</f>
      </c>
      <c r="AJ39" s="34"/>
      <c r="AK39" s="34"/>
      <c r="AL39" s="29"/>
      <c r="AM39" s="29">
        <f>AM38-AL39</f>
      </c>
    </row>
    <row x14ac:dyDescent="0.25" r="40" customHeight="1" ht="27.75">
      <c r="A40" s="12">
        <v>45787</v>
      </c>
      <c r="B40" s="14" t="s">
        <v>46</v>
      </c>
      <c r="C40" s="14" t="s">
        <v>4167</v>
      </c>
      <c r="D40" s="14" t="s">
        <v>54</v>
      </c>
      <c r="E40" s="14" t="s">
        <v>274</v>
      </c>
      <c r="F40" s="14" t="s">
        <v>41</v>
      </c>
      <c r="G40" s="30" t="s">
        <v>275</v>
      </c>
      <c r="H40" s="30" t="s">
        <v>26</v>
      </c>
      <c r="I40" s="17">
        <v>1900100</v>
      </c>
      <c r="J40" s="65"/>
      <c r="K40" s="65"/>
      <c r="L40" s="65"/>
      <c r="M40" s="65"/>
      <c r="N40" s="17">
        <v>3019800</v>
      </c>
      <c r="O40" s="17">
        <v>2737620</v>
      </c>
      <c r="P40" s="17">
        <f>N40-O40</f>
      </c>
      <c r="Q40" s="14" t="s">
        <v>50</v>
      </c>
      <c r="R40" s="31" t="s">
        <v>276</v>
      </c>
      <c r="S40" s="40">
        <v>2</v>
      </c>
      <c r="T40" s="17">
        <v>2490000</v>
      </c>
      <c r="U40" s="17"/>
      <c r="V40" s="17"/>
      <c r="W40" s="17">
        <v>529800</v>
      </c>
      <c r="X40" s="17">
        <f>N40-T40-W40</f>
      </c>
      <c r="Y40" s="294" t="s">
        <v>4168</v>
      </c>
      <c r="Z40" s="14" t="s">
        <v>1718</v>
      </c>
      <c r="AA40" s="161"/>
      <c r="AB40" s="32">
        <f>O40</f>
      </c>
      <c r="AC40" s="29"/>
      <c r="AD40" s="29"/>
      <c r="AE40" s="29"/>
      <c r="AF40" s="29">
        <f>AF39-AB40+AE40+AC40</f>
      </c>
      <c r="AG40" s="29"/>
      <c r="AH40" s="29"/>
      <c r="AI40" s="29">
        <f>AI39-AG40+AH40</f>
      </c>
      <c r="AJ40" s="34"/>
      <c r="AK40" s="34"/>
      <c r="AL40" s="29"/>
      <c r="AM40" s="29">
        <f>AM39-AL40</f>
      </c>
    </row>
    <row x14ac:dyDescent="0.25" r="41" customHeight="1" ht="57">
      <c r="A41" s="12">
        <v>45787</v>
      </c>
      <c r="B41" s="14" t="s">
        <v>46</v>
      </c>
      <c r="C41" s="14" t="s">
        <v>4169</v>
      </c>
      <c r="D41" s="14" t="s">
        <v>47</v>
      </c>
      <c r="E41" s="14" t="s">
        <v>277</v>
      </c>
      <c r="F41" s="14" t="s">
        <v>278</v>
      </c>
      <c r="G41" s="30" t="s">
        <v>279</v>
      </c>
      <c r="H41" s="30" t="s">
        <v>26</v>
      </c>
      <c r="I41" s="17">
        <v>383300</v>
      </c>
      <c r="J41" s="65"/>
      <c r="K41" s="65"/>
      <c r="L41" s="65"/>
      <c r="M41" s="65"/>
      <c r="N41" s="17">
        <v>767920</v>
      </c>
      <c r="O41" s="17">
        <v>717920</v>
      </c>
      <c r="P41" s="17">
        <f>N41-O41</f>
      </c>
      <c r="Q41" s="14" t="s">
        <v>280</v>
      </c>
      <c r="R41" s="31" t="s">
        <v>281</v>
      </c>
      <c r="S41" s="40">
        <v>5</v>
      </c>
      <c r="T41" s="17">
        <v>200000</v>
      </c>
      <c r="U41" s="17">
        <v>200000</v>
      </c>
      <c r="V41" s="17">
        <v>300000</v>
      </c>
      <c r="W41" s="17">
        <v>67920</v>
      </c>
      <c r="X41" s="17">
        <f>N41-T41-W41-U41-V41</f>
      </c>
      <c r="Y41" s="294" t="s">
        <v>4170</v>
      </c>
      <c r="Z41" s="14" t="s">
        <v>1718</v>
      </c>
      <c r="AA41" s="161"/>
      <c r="AB41" s="32">
        <f>O41</f>
      </c>
      <c r="AC41" s="29"/>
      <c r="AD41" s="29"/>
      <c r="AE41" s="29"/>
      <c r="AF41" s="29">
        <f>AF40-AB41+AE41+AC41</f>
      </c>
      <c r="AG41" s="29"/>
      <c r="AH41" s="29"/>
      <c r="AI41" s="29">
        <f>AI40-AG41+AH41</f>
      </c>
      <c r="AJ41" s="34"/>
      <c r="AK41" s="34"/>
      <c r="AL41" s="29"/>
      <c r="AM41" s="29">
        <f>AM40-AL41</f>
      </c>
    </row>
    <row x14ac:dyDescent="0.25" r="42" customHeight="1" ht="15.75">
      <c r="A42" s="12">
        <v>45787</v>
      </c>
      <c r="B42" s="14" t="s">
        <v>53</v>
      </c>
      <c r="C42" s="14" t="s">
        <v>122</v>
      </c>
      <c r="D42" s="14" t="s">
        <v>282</v>
      </c>
      <c r="E42" s="14" t="s">
        <v>283</v>
      </c>
      <c r="F42" s="14" t="s">
        <v>284</v>
      </c>
      <c r="G42" s="30" t="s">
        <v>285</v>
      </c>
      <c r="H42" s="30" t="s">
        <v>26</v>
      </c>
      <c r="I42" s="49">
        <v>793800</v>
      </c>
      <c r="J42" s="298"/>
      <c r="K42" s="65"/>
      <c r="L42" s="65"/>
      <c r="M42" s="65"/>
      <c r="N42" s="17">
        <v>1140790</v>
      </c>
      <c r="O42" s="49">
        <v>1055820</v>
      </c>
      <c r="P42" s="17">
        <f>N42-O42</f>
      </c>
      <c r="Q42" s="14" t="s">
        <v>137</v>
      </c>
      <c r="R42" s="31" t="s">
        <v>286</v>
      </c>
      <c r="S42" s="41"/>
      <c r="T42" s="65"/>
      <c r="U42" s="65"/>
      <c r="V42" s="65"/>
      <c r="W42" s="17">
        <v>1140790</v>
      </c>
      <c r="X42" s="17">
        <f>N42-T42-W42</f>
      </c>
      <c r="Y42" s="293">
        <v>45770</v>
      </c>
      <c r="Z42" s="14" t="s">
        <v>1718</v>
      </c>
      <c r="AA42" s="161"/>
      <c r="AB42" s="32">
        <f>O42</f>
      </c>
      <c r="AC42" s="29"/>
      <c r="AD42" s="29"/>
      <c r="AE42" s="29"/>
      <c r="AF42" s="29">
        <f>AF41-AB42+AE42+AC42</f>
      </c>
      <c r="AG42" s="29"/>
      <c r="AH42" s="29"/>
      <c r="AI42" s="29">
        <f>AI41-AG42+AH42</f>
      </c>
      <c r="AJ42" s="34"/>
      <c r="AK42" s="34"/>
      <c r="AL42" s="29"/>
      <c r="AM42" s="29">
        <f>AM41-AL42</f>
      </c>
    </row>
    <row x14ac:dyDescent="0.25" r="43" customHeight="1" ht="32.25">
      <c r="A43" s="50">
        <v>45788</v>
      </c>
      <c r="B43" s="51" t="s">
        <v>111</v>
      </c>
      <c r="C43" s="51" t="s">
        <v>4171</v>
      </c>
      <c r="D43" s="51" t="s">
        <v>429</v>
      </c>
      <c r="E43" s="51" t="s">
        <v>4172</v>
      </c>
      <c r="F43" s="51" t="s">
        <v>4173</v>
      </c>
      <c r="G43" s="51" t="s">
        <v>4174</v>
      </c>
      <c r="H43" s="51" t="s">
        <v>26</v>
      </c>
      <c r="I43" s="299"/>
      <c r="J43" s="65"/>
      <c r="K43" s="65"/>
      <c r="L43" s="65"/>
      <c r="M43" s="65"/>
      <c r="N43" s="52">
        <v>1753620</v>
      </c>
      <c r="O43" s="52">
        <v>1656664</v>
      </c>
      <c r="P43" s="52">
        <f>N43-O43</f>
      </c>
      <c r="Q43" s="51" t="s">
        <v>3033</v>
      </c>
      <c r="R43" s="300" t="s">
        <v>4175</v>
      </c>
      <c r="S43" s="54"/>
      <c r="T43" s="52">
        <v>1750000</v>
      </c>
      <c r="U43" s="52"/>
      <c r="V43" s="52"/>
      <c r="W43" s="52">
        <v>3620</v>
      </c>
      <c r="X43" s="52">
        <f>N43-T43-W43</f>
      </c>
      <c r="Y43" s="301">
        <v>45789</v>
      </c>
      <c r="Z43" s="302" t="s">
        <v>2433</v>
      </c>
      <c r="AA43" s="303"/>
      <c r="AB43" s="32">
        <v>0</v>
      </c>
      <c r="AC43" s="29"/>
      <c r="AD43" s="29"/>
      <c r="AE43" s="29"/>
      <c r="AF43" s="29">
        <f>AF42-AB43+AE43+AC43</f>
      </c>
      <c r="AG43" s="29"/>
      <c r="AH43" s="29"/>
      <c r="AI43" s="29">
        <f>AI42-AG43+AH43</f>
      </c>
      <c r="AJ43" s="34"/>
      <c r="AK43" s="34"/>
      <c r="AL43" s="29"/>
      <c r="AM43" s="29">
        <f>AM42-AL43</f>
      </c>
    </row>
    <row x14ac:dyDescent="0.25" r="44" customHeight="1" ht="15.75">
      <c r="A44" s="12">
        <v>45788</v>
      </c>
      <c r="B44" s="14" t="s">
        <v>66</v>
      </c>
      <c r="C44" s="14" t="s">
        <v>4176</v>
      </c>
      <c r="D44" s="14" t="s">
        <v>166</v>
      </c>
      <c r="E44" s="14" t="s">
        <v>287</v>
      </c>
      <c r="F44" s="14" t="s">
        <v>284</v>
      </c>
      <c r="G44" s="30" t="s">
        <v>288</v>
      </c>
      <c r="H44" s="30" t="s">
        <v>26</v>
      </c>
      <c r="I44" s="65"/>
      <c r="J44" s="65"/>
      <c r="K44" s="65"/>
      <c r="L44" s="65"/>
      <c r="M44" s="65"/>
      <c r="N44" s="17">
        <v>490980</v>
      </c>
      <c r="O44" s="17">
        <v>435620</v>
      </c>
      <c r="P44" s="17">
        <f>N44-O44</f>
      </c>
      <c r="Q44" s="14" t="s">
        <v>50</v>
      </c>
      <c r="R44" s="31" t="s">
        <v>289</v>
      </c>
      <c r="S44" s="40">
        <v>2</v>
      </c>
      <c r="T44" s="65"/>
      <c r="U44" s="65"/>
      <c r="V44" s="65"/>
      <c r="W44" s="17">
        <v>490980</v>
      </c>
      <c r="X44" s="17">
        <f>N44-T44-W44</f>
      </c>
      <c r="Y44" s="293">
        <v>45804</v>
      </c>
      <c r="Z44" s="14" t="s">
        <v>1718</v>
      </c>
      <c r="AA44" s="161"/>
      <c r="AB44" s="32">
        <f>O44</f>
      </c>
      <c r="AC44" s="29"/>
      <c r="AD44" s="29"/>
      <c r="AE44" s="29"/>
      <c r="AF44" s="29">
        <f>AF43-AB44+AE44+AC44</f>
      </c>
      <c r="AG44" s="29"/>
      <c r="AH44" s="29"/>
      <c r="AI44" s="29">
        <f>AI43-AG44+AH44</f>
      </c>
      <c r="AJ44" s="34"/>
      <c r="AK44" s="34" t="s">
        <v>4177</v>
      </c>
      <c r="AL44" s="29"/>
      <c r="AM44" s="29">
        <f>AM43-AL44</f>
      </c>
    </row>
    <row x14ac:dyDescent="0.25" r="45" customHeight="1" ht="15.75">
      <c r="A45" s="12"/>
      <c r="B45" s="14"/>
      <c r="C45" s="14"/>
      <c r="D45" s="14"/>
      <c r="E45" s="14"/>
      <c r="F45" s="14"/>
      <c r="G45" s="30"/>
      <c r="H45" s="30"/>
      <c r="I45" s="65"/>
      <c r="J45" s="65"/>
      <c r="K45" s="65"/>
      <c r="L45" s="65"/>
      <c r="M45" s="65"/>
      <c r="N45" s="17"/>
      <c r="O45" s="17"/>
      <c r="P45" s="17"/>
      <c r="Q45" s="14"/>
      <c r="R45" s="31"/>
      <c r="S45" s="41"/>
      <c r="T45" s="65"/>
      <c r="U45" s="65"/>
      <c r="V45" s="65"/>
      <c r="W45" s="65"/>
      <c r="X45" s="17">
        <f>N45-T45-W45</f>
      </c>
      <c r="Y45" s="293"/>
      <c r="Z45" s="14"/>
      <c r="AA45" s="161"/>
      <c r="AB45" s="32">
        <f>O45</f>
      </c>
      <c r="AC45" s="29"/>
      <c r="AD45" s="29"/>
      <c r="AE45" s="29"/>
      <c r="AF45" s="29">
        <f>AF44-AB45+AE45+AC45</f>
      </c>
      <c r="AG45" s="29"/>
      <c r="AH45" s="29"/>
      <c r="AI45" s="29">
        <f>AI44-AG45+AH45</f>
      </c>
      <c r="AJ45" s="34"/>
      <c r="AK45" s="34"/>
      <c r="AL45" s="29"/>
      <c r="AM45" s="29">
        <f>AM44-AL45</f>
      </c>
    </row>
    <row x14ac:dyDescent="0.25" r="46" customHeight="1" ht="15.75">
      <c r="A46" s="12">
        <v>45789</v>
      </c>
      <c r="B46" s="14" t="s">
        <v>290</v>
      </c>
      <c r="C46" s="14" t="s">
        <v>4178</v>
      </c>
      <c r="D46" s="14" t="s">
        <v>291</v>
      </c>
      <c r="E46" s="14" t="s">
        <v>4179</v>
      </c>
      <c r="F46" s="14" t="s">
        <v>292</v>
      </c>
      <c r="G46" s="14" t="s">
        <v>293</v>
      </c>
      <c r="H46" s="14" t="s">
        <v>26</v>
      </c>
      <c r="I46" s="65" t="s">
        <v>4180</v>
      </c>
      <c r="J46" s="17">
        <v>477900</v>
      </c>
      <c r="K46" s="17">
        <v>189420</v>
      </c>
      <c r="L46" s="17">
        <f>J46-K46</f>
      </c>
      <c r="M46" s="65" t="s">
        <v>50</v>
      </c>
      <c r="N46" s="17">
        <v>477900</v>
      </c>
      <c r="O46" s="17">
        <v>327520</v>
      </c>
      <c r="P46" s="17">
        <f>N46-O46</f>
      </c>
      <c r="Q46" s="14" t="s">
        <v>50</v>
      </c>
      <c r="R46" s="14" t="s">
        <v>294</v>
      </c>
      <c r="S46" s="40">
        <v>2</v>
      </c>
      <c r="T46" s="65"/>
      <c r="U46" s="65"/>
      <c r="V46" s="65"/>
      <c r="W46" s="65"/>
      <c r="X46" s="17">
        <f>N46-T46-W46</f>
      </c>
      <c r="Y46" s="293"/>
      <c r="Z46" s="14"/>
      <c r="AA46" s="161"/>
      <c r="AB46" s="32">
        <f>O46</f>
      </c>
      <c r="AC46" s="29"/>
      <c r="AD46" s="29"/>
      <c r="AE46" s="29"/>
      <c r="AF46" s="29">
        <f>AF45-AB46+AE46+AC46</f>
      </c>
      <c r="AG46" s="29"/>
      <c r="AH46" s="29"/>
      <c r="AI46" s="29">
        <f>AI45-AG46+AH46</f>
      </c>
      <c r="AJ46" s="34"/>
      <c r="AK46" s="34"/>
      <c r="AL46" s="29"/>
      <c r="AM46" s="29">
        <f>AM45-AL46</f>
      </c>
    </row>
    <row x14ac:dyDescent="0.25" r="47" customHeight="1" ht="15.75">
      <c r="A47" s="12">
        <v>45790</v>
      </c>
      <c r="B47" s="14" t="s">
        <v>53</v>
      </c>
      <c r="C47" s="14" t="s">
        <v>4181</v>
      </c>
      <c r="D47" s="14" t="s">
        <v>295</v>
      </c>
      <c r="E47" s="14" t="s">
        <v>4182</v>
      </c>
      <c r="F47" s="14" t="s">
        <v>84</v>
      </c>
      <c r="G47" s="14" t="s">
        <v>296</v>
      </c>
      <c r="H47" s="14" t="s">
        <v>26</v>
      </c>
      <c r="I47" s="17">
        <v>613300</v>
      </c>
      <c r="J47" s="17">
        <v>1120800</v>
      </c>
      <c r="K47" s="17">
        <v>833620</v>
      </c>
      <c r="L47" s="17">
        <f>J47-K47</f>
      </c>
      <c r="M47" s="65" t="s">
        <v>137</v>
      </c>
      <c r="N47" s="17">
        <v>1120800</v>
      </c>
      <c r="O47" s="17">
        <v>833620</v>
      </c>
      <c r="P47" s="17">
        <f>N47-O47</f>
      </c>
      <c r="Q47" s="14" t="s">
        <v>137</v>
      </c>
      <c r="R47" s="14" t="s">
        <v>297</v>
      </c>
      <c r="S47" s="41"/>
      <c r="T47" s="65"/>
      <c r="U47" s="65"/>
      <c r="V47" s="65"/>
      <c r="W47" s="17">
        <v>1120800</v>
      </c>
      <c r="X47" s="17">
        <f>N47-T47-W47</f>
      </c>
      <c r="Y47" s="293">
        <v>45821</v>
      </c>
      <c r="Z47" s="14" t="s">
        <v>2122</v>
      </c>
      <c r="AA47" s="161"/>
      <c r="AB47" s="32">
        <f>O47</f>
      </c>
      <c r="AC47" s="29"/>
      <c r="AD47" s="29"/>
      <c r="AE47" s="29"/>
      <c r="AF47" s="29">
        <f>AF46-AB47+AE47+AC47</f>
      </c>
      <c r="AG47" s="29"/>
      <c r="AH47" s="29"/>
      <c r="AI47" s="29">
        <f>AI46-AG47+AH47</f>
      </c>
      <c r="AJ47" s="34"/>
      <c r="AK47" s="34"/>
      <c r="AL47" s="29"/>
      <c r="AM47" s="29">
        <f>AM46-AL47</f>
      </c>
    </row>
    <row x14ac:dyDescent="0.25" r="48" customHeight="1" ht="15.75">
      <c r="A48" s="12">
        <v>45790</v>
      </c>
      <c r="B48" s="14" t="s">
        <v>46</v>
      </c>
      <c r="C48" s="14" t="s">
        <v>4183</v>
      </c>
      <c r="D48" s="14" t="s">
        <v>298</v>
      </c>
      <c r="E48" s="14" t="s">
        <v>4184</v>
      </c>
      <c r="F48" s="14" t="s">
        <v>266</v>
      </c>
      <c r="G48" s="14" t="s">
        <v>299</v>
      </c>
      <c r="H48" s="14" t="s">
        <v>26</v>
      </c>
      <c r="I48" s="17">
        <v>855200</v>
      </c>
      <c r="J48" s="17">
        <v>91900</v>
      </c>
      <c r="K48" s="17">
        <v>30400</v>
      </c>
      <c r="L48" s="17">
        <f>J48-K48</f>
      </c>
      <c r="M48" s="65" t="s">
        <v>50</v>
      </c>
      <c r="N48" s="17">
        <v>91900</v>
      </c>
      <c r="O48" s="17">
        <v>30400</v>
      </c>
      <c r="P48" s="17">
        <f>N48-O48</f>
      </c>
      <c r="Q48" s="14" t="s">
        <v>50</v>
      </c>
      <c r="R48" s="14" t="s">
        <v>300</v>
      </c>
      <c r="S48" s="41" t="s">
        <v>251</v>
      </c>
      <c r="T48" s="65"/>
      <c r="U48" s="65"/>
      <c r="V48" s="65"/>
      <c r="W48" s="17">
        <v>91900</v>
      </c>
      <c r="X48" s="17">
        <f>N48-T48-W48</f>
      </c>
      <c r="Y48" s="293">
        <v>45818</v>
      </c>
      <c r="Z48" s="14" t="s">
        <v>2216</v>
      </c>
      <c r="AA48" s="161" t="s">
        <v>3674</v>
      </c>
      <c r="AB48" s="32">
        <f>O48</f>
      </c>
      <c r="AC48" s="29"/>
      <c r="AD48" s="29"/>
      <c r="AE48" s="29"/>
      <c r="AF48" s="29">
        <f>AF47-AB48+AE48+AC48</f>
      </c>
      <c r="AG48" s="29"/>
      <c r="AH48" s="29"/>
      <c r="AI48" s="29">
        <f>AI47-AG48+AH48</f>
      </c>
      <c r="AJ48" s="34"/>
      <c r="AK48" s="34"/>
      <c r="AL48" s="29"/>
      <c r="AM48" s="29">
        <f>AM47-AL48</f>
      </c>
    </row>
    <row x14ac:dyDescent="0.25" r="49" customHeight="1" ht="15.75">
      <c r="A49" s="12">
        <v>45790</v>
      </c>
      <c r="B49" s="14" t="s">
        <v>46</v>
      </c>
      <c r="C49" s="14" t="s">
        <v>4185</v>
      </c>
      <c r="D49" s="14" t="s">
        <v>417</v>
      </c>
      <c r="E49" s="14" t="s">
        <v>4186</v>
      </c>
      <c r="F49" s="14" t="s">
        <v>418</v>
      </c>
      <c r="G49" s="14" t="s">
        <v>4187</v>
      </c>
      <c r="H49" s="14" t="s">
        <v>26</v>
      </c>
      <c r="I49" s="17">
        <v>1153800</v>
      </c>
      <c r="J49" s="17">
        <v>1715920</v>
      </c>
      <c r="K49" s="17">
        <v>1636020</v>
      </c>
      <c r="L49" s="17">
        <f>J49-K49</f>
      </c>
      <c r="M49" s="65" t="s">
        <v>3045</v>
      </c>
      <c r="N49" s="17">
        <v>1715920</v>
      </c>
      <c r="O49" s="17">
        <v>1636020</v>
      </c>
      <c r="P49" s="17">
        <f>N49-O49</f>
      </c>
      <c r="Q49" s="14" t="s">
        <v>3045</v>
      </c>
      <c r="R49" s="14" t="s">
        <v>4188</v>
      </c>
      <c r="S49" s="40">
        <v>4</v>
      </c>
      <c r="T49" s="65"/>
      <c r="U49" s="65"/>
      <c r="V49" s="65"/>
      <c r="W49" s="65"/>
      <c r="X49" s="17">
        <f>N49-T49-W49</f>
      </c>
      <c r="Y49" s="293"/>
      <c r="Z49" s="14"/>
      <c r="AA49" s="161"/>
      <c r="AB49" s="32">
        <v>0</v>
      </c>
      <c r="AC49" s="29"/>
      <c r="AD49" s="29"/>
      <c r="AE49" s="29"/>
      <c r="AF49" s="29">
        <f>AF48-AB49+AE49+AC49</f>
      </c>
      <c r="AG49" s="29"/>
      <c r="AH49" s="29"/>
      <c r="AI49" s="29">
        <f>AI48-AG49+AH49</f>
      </c>
      <c r="AJ49" s="34"/>
      <c r="AK49" s="34"/>
      <c r="AL49" s="29"/>
      <c r="AM49" s="29">
        <f>AM48-AL49</f>
      </c>
    </row>
    <row x14ac:dyDescent="0.25" r="50" customHeight="1" ht="15.75">
      <c r="A50" s="12">
        <v>45790</v>
      </c>
      <c r="B50" s="14" t="s">
        <v>111</v>
      </c>
      <c r="C50" s="14" t="s">
        <v>4189</v>
      </c>
      <c r="D50" s="14" t="s">
        <v>4190</v>
      </c>
      <c r="E50" s="14" t="s">
        <v>4191</v>
      </c>
      <c r="F50" s="14" t="s">
        <v>4192</v>
      </c>
      <c r="G50" s="14" t="s">
        <v>4193</v>
      </c>
      <c r="H50" s="14" t="s">
        <v>26</v>
      </c>
      <c r="I50" s="17">
        <v>465400</v>
      </c>
      <c r="J50" s="17">
        <v>871755</v>
      </c>
      <c r="K50" s="17">
        <v>771755</v>
      </c>
      <c r="L50" s="17">
        <f>J50-K50</f>
      </c>
      <c r="M50" s="65" t="s">
        <v>3045</v>
      </c>
      <c r="N50" s="17">
        <v>871755</v>
      </c>
      <c r="O50" s="17">
        <v>771755</v>
      </c>
      <c r="P50" s="17">
        <f>N50-O50</f>
      </c>
      <c r="Q50" s="14" t="s">
        <v>3045</v>
      </c>
      <c r="R50" s="14" t="s">
        <v>4194</v>
      </c>
      <c r="S50" s="40">
        <v>2</v>
      </c>
      <c r="T50" s="65"/>
      <c r="U50" s="65"/>
      <c r="V50" s="65"/>
      <c r="W50" s="65"/>
      <c r="X50" s="17">
        <f>N50-T50-W50</f>
      </c>
      <c r="Y50" s="293"/>
      <c r="Z50" s="14"/>
      <c r="AA50" s="161"/>
      <c r="AB50" s="32">
        <v>0</v>
      </c>
      <c r="AC50" s="29"/>
      <c r="AD50" s="29"/>
      <c r="AE50" s="29"/>
      <c r="AF50" s="29">
        <f>AF49-AB50+AE50+AC50</f>
      </c>
      <c r="AG50" s="29"/>
      <c r="AH50" s="29"/>
      <c r="AI50" s="29">
        <f>AI49-AG50+AH50</f>
      </c>
      <c r="AJ50" s="34"/>
      <c r="AK50" s="34"/>
      <c r="AL50" s="29"/>
      <c r="AM50" s="29">
        <f>AM49-AL50</f>
      </c>
    </row>
    <row x14ac:dyDescent="0.25" r="51" customHeight="1" ht="15.75">
      <c r="A51" s="12">
        <v>45790</v>
      </c>
      <c r="B51" s="14" t="s">
        <v>46</v>
      </c>
      <c r="C51" s="14" t="s">
        <v>4195</v>
      </c>
      <c r="D51" s="14" t="s">
        <v>4196</v>
      </c>
      <c r="E51" s="14" t="s">
        <v>4197</v>
      </c>
      <c r="F51" s="14" t="s">
        <v>1160</v>
      </c>
      <c r="G51" s="14" t="s">
        <v>4107</v>
      </c>
      <c r="H51" s="14" t="s">
        <v>26</v>
      </c>
      <c r="I51" s="65"/>
      <c r="J51" s="17">
        <v>2362920</v>
      </c>
      <c r="K51" s="65"/>
      <c r="L51" s="17">
        <f>J51-K51</f>
      </c>
      <c r="M51" s="65" t="s">
        <v>46</v>
      </c>
      <c r="N51" s="17">
        <v>2362920</v>
      </c>
      <c r="O51" s="17">
        <v>2241420</v>
      </c>
      <c r="P51" s="17">
        <f>N51-O51</f>
      </c>
      <c r="Q51" s="14" t="s">
        <v>46</v>
      </c>
      <c r="R51" s="14" t="s">
        <v>4198</v>
      </c>
      <c r="S51" s="41"/>
      <c r="T51" s="17">
        <v>1479960</v>
      </c>
      <c r="U51" s="65"/>
      <c r="V51" s="65"/>
      <c r="W51" s="17">
        <v>882960</v>
      </c>
      <c r="X51" s="17">
        <f>N51-T51-W51</f>
      </c>
      <c r="Y51" s="293">
        <v>45849</v>
      </c>
      <c r="Z51" s="14" t="s">
        <v>2216</v>
      </c>
      <c r="AA51" s="304" t="s">
        <v>4109</v>
      </c>
      <c r="AB51" s="32">
        <f>O51</f>
      </c>
      <c r="AC51" s="29"/>
      <c r="AD51" s="29"/>
      <c r="AE51" s="29"/>
      <c r="AF51" s="29">
        <f>AF50-AB51+AE51+AC51</f>
      </c>
      <c r="AG51" s="29"/>
      <c r="AH51" s="29"/>
      <c r="AI51" s="29">
        <f>AI50-AG51+AH51</f>
      </c>
      <c r="AJ51" s="34"/>
      <c r="AK51" s="34"/>
      <c r="AL51" s="29"/>
      <c r="AM51" s="29">
        <f>AM50-AL51</f>
      </c>
    </row>
    <row x14ac:dyDescent="0.25" r="52" customHeight="1" ht="15.75">
      <c r="A52" s="12">
        <v>45791</v>
      </c>
      <c r="B52" s="14" t="s">
        <v>72</v>
      </c>
      <c r="C52" s="14" t="s">
        <v>4199</v>
      </c>
      <c r="D52" s="14" t="s">
        <v>295</v>
      </c>
      <c r="E52" s="14" t="s">
        <v>4200</v>
      </c>
      <c r="F52" s="14" t="s">
        <v>301</v>
      </c>
      <c r="G52" s="14" t="s">
        <v>302</v>
      </c>
      <c r="H52" s="14" t="s">
        <v>26</v>
      </c>
      <c r="I52" s="17">
        <v>205900</v>
      </c>
      <c r="J52" s="17">
        <v>595</v>
      </c>
      <c r="K52" s="17">
        <v>516820</v>
      </c>
      <c r="L52" s="17">
        <f>J52-K52</f>
      </c>
      <c r="M52" s="65" t="s">
        <v>50</v>
      </c>
      <c r="N52" s="17">
        <v>595820</v>
      </c>
      <c r="O52" s="17">
        <v>516820</v>
      </c>
      <c r="P52" s="17">
        <f>N52-O52</f>
      </c>
      <c r="Q52" s="14" t="s">
        <v>50</v>
      </c>
      <c r="R52" s="14" t="s">
        <v>303</v>
      </c>
      <c r="S52" s="40">
        <v>4</v>
      </c>
      <c r="T52" s="65"/>
      <c r="U52" s="65"/>
      <c r="V52" s="65"/>
      <c r="W52" s="65"/>
      <c r="X52" s="17">
        <f>N52-T52-W52</f>
      </c>
      <c r="Y52" s="293"/>
      <c r="Z52" s="14"/>
      <c r="AA52" s="305"/>
      <c r="AB52" s="32">
        <f>O52</f>
      </c>
      <c r="AC52" s="29"/>
      <c r="AD52" s="29"/>
      <c r="AE52" s="29"/>
      <c r="AF52" s="29">
        <f>AF51-AB52+AE52+AC52</f>
      </c>
      <c r="AG52" s="29"/>
      <c r="AH52" s="29"/>
      <c r="AI52" s="29">
        <f>AI51-AG52+AH52</f>
      </c>
      <c r="AJ52" s="34"/>
      <c r="AK52" s="34"/>
      <c r="AL52" s="29"/>
      <c r="AM52" s="29">
        <f>AM51-AL52</f>
      </c>
    </row>
    <row x14ac:dyDescent="0.25" r="53" customHeight="1" ht="15.75">
      <c r="A53" s="12">
        <v>45791</v>
      </c>
      <c r="B53" s="14"/>
      <c r="C53" s="14"/>
      <c r="D53" s="14"/>
      <c r="E53" s="14"/>
      <c r="F53" s="14"/>
      <c r="G53" s="14" t="s">
        <v>4201</v>
      </c>
      <c r="H53" s="14" t="s">
        <v>26</v>
      </c>
      <c r="I53" s="65"/>
      <c r="J53" s="17">
        <v>155000</v>
      </c>
      <c r="K53" s="17">
        <v>125000</v>
      </c>
      <c r="L53" s="17">
        <f>J53-K53</f>
      </c>
      <c r="M53" s="65"/>
      <c r="N53" s="17">
        <v>155000</v>
      </c>
      <c r="O53" s="17">
        <v>125000</v>
      </c>
      <c r="P53" s="17">
        <f>N53-O53</f>
      </c>
      <c r="Q53" s="14"/>
      <c r="R53" s="14"/>
      <c r="S53" s="41" t="s">
        <v>1328</v>
      </c>
      <c r="T53" s="65"/>
      <c r="U53" s="65"/>
      <c r="V53" s="65"/>
      <c r="W53" s="65"/>
      <c r="X53" s="17">
        <f>N53-T53-W53</f>
      </c>
      <c r="Y53" s="293"/>
      <c r="Z53" s="14"/>
      <c r="AA53" s="306"/>
      <c r="AB53" s="32">
        <v>0</v>
      </c>
      <c r="AC53" s="29"/>
      <c r="AD53" s="29"/>
      <c r="AE53" s="29"/>
      <c r="AF53" s="29">
        <f>AF52-AB53+AE53+AC53</f>
      </c>
      <c r="AG53" s="29"/>
      <c r="AH53" s="29"/>
      <c r="AI53" s="29">
        <f>AI52-AG53+AH53</f>
      </c>
      <c r="AJ53" s="34"/>
      <c r="AK53" s="34"/>
      <c r="AL53" s="29"/>
      <c r="AM53" s="29">
        <f>AM52-AL53</f>
      </c>
    </row>
    <row x14ac:dyDescent="0.25" r="54" customHeight="1" ht="15.75">
      <c r="A54" s="12">
        <v>45791</v>
      </c>
      <c r="B54" s="14"/>
      <c r="C54" s="14"/>
      <c r="D54" s="14"/>
      <c r="E54" s="14"/>
      <c r="F54" s="14"/>
      <c r="G54" s="14" t="s">
        <v>4202</v>
      </c>
      <c r="H54" s="14" t="s">
        <v>26</v>
      </c>
      <c r="I54" s="65"/>
      <c r="J54" s="17">
        <v>155000</v>
      </c>
      <c r="K54" s="17">
        <v>125000</v>
      </c>
      <c r="L54" s="17">
        <f>J54-K54</f>
      </c>
      <c r="M54" s="65"/>
      <c r="N54" s="17">
        <v>155000</v>
      </c>
      <c r="O54" s="17">
        <v>125000</v>
      </c>
      <c r="P54" s="17">
        <f>N54-O54</f>
      </c>
      <c r="Q54" s="14"/>
      <c r="R54" s="14"/>
      <c r="S54" s="41" t="s">
        <v>1328</v>
      </c>
      <c r="T54" s="65"/>
      <c r="U54" s="65"/>
      <c r="V54" s="65"/>
      <c r="W54" s="65"/>
      <c r="X54" s="17">
        <f>N54-T54-W54</f>
      </c>
      <c r="Y54" s="293"/>
      <c r="Z54" s="14"/>
      <c r="AA54" s="161"/>
      <c r="AB54" s="32">
        <v>0</v>
      </c>
      <c r="AC54" s="29"/>
      <c r="AD54" s="29"/>
      <c r="AE54" s="29"/>
      <c r="AF54" s="29">
        <f>AF53-AB54+AE54+AC54</f>
      </c>
      <c r="AG54" s="29"/>
      <c r="AH54" s="29"/>
      <c r="AI54" s="29">
        <f>AI53-AG54+AH54</f>
      </c>
      <c r="AJ54" s="34"/>
      <c r="AK54" s="34"/>
      <c r="AL54" s="29"/>
      <c r="AM54" s="29">
        <f>AM53-AL54</f>
      </c>
    </row>
    <row x14ac:dyDescent="0.25" r="55" customHeight="1" ht="15.75">
      <c r="A55" s="12">
        <v>45791</v>
      </c>
      <c r="B55" s="14" t="s">
        <v>111</v>
      </c>
      <c r="C55" s="14" t="s">
        <v>4203</v>
      </c>
      <c r="D55" s="14" t="s">
        <v>112</v>
      </c>
      <c r="E55" s="218" t="s">
        <v>4204</v>
      </c>
      <c r="F55" s="14" t="s">
        <v>84</v>
      </c>
      <c r="G55" s="30" t="s">
        <v>304</v>
      </c>
      <c r="H55" s="14" t="s">
        <v>26</v>
      </c>
      <c r="I55" s="17">
        <v>317400</v>
      </c>
      <c r="J55" s="65"/>
      <c r="K55" s="65"/>
      <c r="L55" s="65"/>
      <c r="M55" s="65"/>
      <c r="N55" s="17">
        <v>719800</v>
      </c>
      <c r="O55" s="17">
        <v>619005</v>
      </c>
      <c r="P55" s="17">
        <f>N55-O55</f>
      </c>
      <c r="Q55" s="14" t="s">
        <v>50</v>
      </c>
      <c r="R55" s="31" t="s">
        <v>305</v>
      </c>
      <c r="S55" s="40">
        <v>2</v>
      </c>
      <c r="T55" s="65"/>
      <c r="U55" s="65"/>
      <c r="V55" s="65"/>
      <c r="W55" s="17">
        <v>719800</v>
      </c>
      <c r="X55" s="17">
        <f>N55-T55-W55</f>
      </c>
      <c r="Y55" s="293">
        <v>45821</v>
      </c>
      <c r="Z55" s="14" t="s">
        <v>2122</v>
      </c>
      <c r="AA55" s="161"/>
      <c r="AB55" s="32">
        <f>O55</f>
      </c>
      <c r="AC55" s="29"/>
      <c r="AD55" s="29"/>
      <c r="AE55" s="29"/>
      <c r="AF55" s="29">
        <f>AF54-AB55+AE55+AC55</f>
      </c>
      <c r="AG55" s="29"/>
      <c r="AH55" s="29"/>
      <c r="AI55" s="29">
        <f>AI54-AG55+AH55</f>
      </c>
      <c r="AJ55" s="34"/>
      <c r="AK55" s="34"/>
      <c r="AL55" s="29"/>
      <c r="AM55" s="29">
        <f>AM54-AL55</f>
      </c>
    </row>
    <row x14ac:dyDescent="0.25" r="56" customHeight="1" ht="15.75">
      <c r="A56" s="12">
        <v>45791</v>
      </c>
      <c r="B56" s="14" t="s">
        <v>66</v>
      </c>
      <c r="C56" s="14" t="s">
        <v>4205</v>
      </c>
      <c r="D56" s="14" t="s">
        <v>306</v>
      </c>
      <c r="E56" s="307" t="s">
        <v>4206</v>
      </c>
      <c r="F56" s="14" t="s">
        <v>84</v>
      </c>
      <c r="G56" s="30" t="s">
        <v>307</v>
      </c>
      <c r="H56" s="14" t="s">
        <v>26</v>
      </c>
      <c r="I56" s="17">
        <v>155300</v>
      </c>
      <c r="J56" s="65"/>
      <c r="K56" s="65"/>
      <c r="L56" s="65"/>
      <c r="M56" s="65"/>
      <c r="N56" s="17">
        <v>604900</v>
      </c>
      <c r="O56" s="17">
        <v>504820</v>
      </c>
      <c r="P56" s="17">
        <f>N56-O56</f>
      </c>
      <c r="Q56" s="14" t="s">
        <v>50</v>
      </c>
      <c r="R56" s="31" t="s">
        <v>308</v>
      </c>
      <c r="S56" s="40">
        <v>2</v>
      </c>
      <c r="T56" s="65"/>
      <c r="U56" s="65"/>
      <c r="V56" s="65"/>
      <c r="W56" s="17">
        <v>604900</v>
      </c>
      <c r="X56" s="17">
        <f>N56-T56-W56</f>
      </c>
      <c r="Y56" s="293">
        <v>45821</v>
      </c>
      <c r="Z56" s="14" t="s">
        <v>2122</v>
      </c>
      <c r="AA56" s="161"/>
      <c r="AB56" s="32">
        <f>O56</f>
      </c>
      <c r="AC56" s="29"/>
      <c r="AD56" s="29"/>
      <c r="AE56" s="29"/>
      <c r="AF56" s="29">
        <f>AF55-AB56+AE56+AC56</f>
      </c>
      <c r="AG56" s="29"/>
      <c r="AH56" s="29"/>
      <c r="AI56" s="29">
        <f>AI55-AG56+AH56</f>
      </c>
      <c r="AJ56" s="34"/>
      <c r="AK56" s="34"/>
      <c r="AL56" s="29"/>
      <c r="AM56" s="29">
        <f>AM55-AL56</f>
      </c>
    </row>
    <row x14ac:dyDescent="0.25" r="57" customHeight="1" ht="15.75">
      <c r="A57" s="12">
        <v>45791</v>
      </c>
      <c r="B57" s="14" t="s">
        <v>46</v>
      </c>
      <c r="C57" s="14" t="s">
        <v>4207</v>
      </c>
      <c r="D57" s="14" t="s">
        <v>309</v>
      </c>
      <c r="E57" s="14" t="s">
        <v>4208</v>
      </c>
      <c r="F57" s="14" t="s">
        <v>310</v>
      </c>
      <c r="G57" s="30" t="s">
        <v>311</v>
      </c>
      <c r="H57" s="14" t="s">
        <v>26</v>
      </c>
      <c r="I57" s="17">
        <v>571000</v>
      </c>
      <c r="J57" s="65"/>
      <c r="K57" s="65"/>
      <c r="L57" s="65"/>
      <c r="M57" s="65"/>
      <c r="N57" s="17">
        <v>946920</v>
      </c>
      <c r="O57" s="17">
        <v>906720</v>
      </c>
      <c r="P57" s="17">
        <f>N57-O57</f>
      </c>
      <c r="Q57" s="14" t="s">
        <v>50</v>
      </c>
      <c r="R57" s="31" t="s">
        <v>312</v>
      </c>
      <c r="S57" s="40">
        <v>4</v>
      </c>
      <c r="T57" s="65"/>
      <c r="U57" s="65"/>
      <c r="V57" s="65"/>
      <c r="W57" s="17">
        <v>946920</v>
      </c>
      <c r="X57" s="17">
        <f>N57-T57-W57</f>
      </c>
      <c r="Y57" s="293">
        <v>45793</v>
      </c>
      <c r="Z57" s="14" t="s">
        <v>1718</v>
      </c>
      <c r="AA57" s="161"/>
      <c r="AB57" s="32">
        <f>O57</f>
      </c>
      <c r="AC57" s="29"/>
      <c r="AD57" s="29"/>
      <c r="AE57" s="29"/>
      <c r="AF57" s="29">
        <f>AF56-AB57+AE57+AC57</f>
      </c>
      <c r="AG57" s="29"/>
      <c r="AH57" s="29"/>
      <c r="AI57" s="29">
        <f>AI56-AG57+AH57</f>
      </c>
      <c r="AJ57" s="34"/>
      <c r="AK57" s="34"/>
      <c r="AL57" s="29"/>
      <c r="AM57" s="29">
        <f>AM56-AL57</f>
      </c>
    </row>
    <row x14ac:dyDescent="0.25" r="58" customHeight="1" ht="15.75">
      <c r="A58" s="12">
        <v>45791</v>
      </c>
      <c r="B58" s="14" t="s">
        <v>82</v>
      </c>
      <c r="C58" s="14" t="s">
        <v>4209</v>
      </c>
      <c r="D58" s="14" t="s">
        <v>83</v>
      </c>
      <c r="E58" s="14" t="s">
        <v>4210</v>
      </c>
      <c r="F58" s="14" t="s">
        <v>4211</v>
      </c>
      <c r="G58" s="30" t="s">
        <v>4212</v>
      </c>
      <c r="H58" s="14" t="s">
        <v>26</v>
      </c>
      <c r="I58" s="65"/>
      <c r="J58" s="65"/>
      <c r="K58" s="65"/>
      <c r="L58" s="65"/>
      <c r="M58" s="65"/>
      <c r="N58" s="17">
        <v>101920</v>
      </c>
      <c r="O58" s="17">
        <v>81540</v>
      </c>
      <c r="P58" s="17">
        <f>N58-O58</f>
      </c>
      <c r="Q58" s="14" t="s">
        <v>86</v>
      </c>
      <c r="R58" s="31" t="s">
        <v>4213</v>
      </c>
      <c r="S58" s="41"/>
      <c r="T58" s="65"/>
      <c r="U58" s="65"/>
      <c r="V58" s="65"/>
      <c r="W58" s="17">
        <v>101920</v>
      </c>
      <c r="X58" s="17">
        <f>N58-T58-W58</f>
      </c>
      <c r="Y58" s="293">
        <v>45817</v>
      </c>
      <c r="Z58" s="14" t="s">
        <v>1718</v>
      </c>
      <c r="AA58" s="161"/>
      <c r="AB58" s="32">
        <v>0</v>
      </c>
      <c r="AC58" s="29"/>
      <c r="AD58" s="29"/>
      <c r="AE58" s="29"/>
      <c r="AF58" s="29">
        <f>AF57-AB58+AE58+AC58</f>
      </c>
      <c r="AG58" s="32">
        <v>81540</v>
      </c>
      <c r="AH58" s="29">
        <v>0</v>
      </c>
      <c r="AI58" s="29">
        <f>AI57-AG58+AH58</f>
      </c>
      <c r="AJ58" s="34"/>
      <c r="AK58" s="34"/>
      <c r="AL58" s="29"/>
      <c r="AM58" s="29">
        <f>AM57-AL58</f>
      </c>
    </row>
    <row x14ac:dyDescent="0.25" r="59" customHeight="1" ht="15.75">
      <c r="A59" s="12">
        <v>45791</v>
      </c>
      <c r="B59" s="14" t="s">
        <v>106</v>
      </c>
      <c r="C59" s="14" t="s">
        <v>4165</v>
      </c>
      <c r="D59" s="14" t="s">
        <v>313</v>
      </c>
      <c r="E59" s="14" t="s">
        <v>4214</v>
      </c>
      <c r="F59" s="14" t="s">
        <v>314</v>
      </c>
      <c r="G59" s="30" t="s">
        <v>315</v>
      </c>
      <c r="H59" s="14" t="s">
        <v>76</v>
      </c>
      <c r="I59" s="17">
        <v>74900</v>
      </c>
      <c r="J59" s="65"/>
      <c r="K59" s="65"/>
      <c r="L59" s="65"/>
      <c r="M59" s="65"/>
      <c r="N59" s="17">
        <v>328800</v>
      </c>
      <c r="O59" s="17">
        <v>278520</v>
      </c>
      <c r="P59" s="17">
        <f>N59-O59</f>
      </c>
      <c r="Q59" s="14" t="s">
        <v>50</v>
      </c>
      <c r="R59" s="31" t="s">
        <v>316</v>
      </c>
      <c r="S59" s="40">
        <v>2</v>
      </c>
      <c r="T59" s="65"/>
      <c r="U59" s="65"/>
      <c r="V59" s="65"/>
      <c r="W59" s="17">
        <v>328800</v>
      </c>
      <c r="X59" s="17">
        <f>N59-T59-W59</f>
      </c>
      <c r="Y59" s="293">
        <v>45791</v>
      </c>
      <c r="Z59" s="14" t="s">
        <v>1718</v>
      </c>
      <c r="AA59" s="161"/>
      <c r="AB59" s="32">
        <f>O59</f>
      </c>
      <c r="AC59" s="29"/>
      <c r="AD59" s="29"/>
      <c r="AE59" s="29"/>
      <c r="AF59" s="29">
        <f>AF58-AB59+AE59+AC59</f>
      </c>
      <c r="AG59" s="29"/>
      <c r="AH59" s="29"/>
      <c r="AI59" s="29">
        <f>AI58-AG59+AH59</f>
      </c>
      <c r="AJ59" s="34"/>
      <c r="AK59" s="34"/>
      <c r="AL59" s="29"/>
      <c r="AM59" s="29">
        <f>AM58-AL59</f>
      </c>
    </row>
    <row x14ac:dyDescent="0.25" r="60" customHeight="1" ht="15.75">
      <c r="A60" s="12">
        <v>45791</v>
      </c>
      <c r="B60" s="14" t="s">
        <v>106</v>
      </c>
      <c r="C60" s="14" t="s">
        <v>4165</v>
      </c>
      <c r="D60" s="14" t="s">
        <v>313</v>
      </c>
      <c r="E60" s="14" t="s">
        <v>4214</v>
      </c>
      <c r="F60" s="14" t="s">
        <v>314</v>
      </c>
      <c r="G60" s="30" t="s">
        <v>317</v>
      </c>
      <c r="H60" s="14" t="s">
        <v>76</v>
      </c>
      <c r="I60" s="17">
        <v>56200</v>
      </c>
      <c r="J60" s="65"/>
      <c r="K60" s="65"/>
      <c r="L60" s="65"/>
      <c r="M60" s="65"/>
      <c r="N60" s="17">
        <v>309760</v>
      </c>
      <c r="O60" s="17">
        <v>259820</v>
      </c>
      <c r="P60" s="17">
        <f>N60-O60</f>
      </c>
      <c r="Q60" s="14" t="s">
        <v>50</v>
      </c>
      <c r="R60" s="31" t="s">
        <v>318</v>
      </c>
      <c r="S60" s="40">
        <v>2</v>
      </c>
      <c r="T60" s="65"/>
      <c r="U60" s="65"/>
      <c r="V60" s="65"/>
      <c r="W60" s="17">
        <v>309760</v>
      </c>
      <c r="X60" s="17">
        <f>N60-T60-W60</f>
      </c>
      <c r="Y60" s="293">
        <v>45791</v>
      </c>
      <c r="Z60" s="14" t="s">
        <v>1718</v>
      </c>
      <c r="AA60" s="161"/>
      <c r="AB60" s="32">
        <f>O60</f>
      </c>
      <c r="AC60" s="29"/>
      <c r="AD60" s="29"/>
      <c r="AE60" s="29"/>
      <c r="AF60" s="29">
        <f>AF59-AB60+AE60+AC60</f>
      </c>
      <c r="AG60" s="29"/>
      <c r="AH60" s="29"/>
      <c r="AI60" s="29">
        <f>AI59-AG60+AH60</f>
      </c>
      <c r="AJ60" s="34"/>
      <c r="AK60" s="34"/>
      <c r="AL60" s="29"/>
      <c r="AM60" s="29">
        <f>AM59-AL60</f>
      </c>
    </row>
    <row x14ac:dyDescent="0.25" r="61" customHeight="1" ht="15.75">
      <c r="A61" s="12">
        <v>45791</v>
      </c>
      <c r="B61" s="14" t="s">
        <v>72</v>
      </c>
      <c r="C61" s="14" t="s">
        <v>4215</v>
      </c>
      <c r="D61" s="14" t="s">
        <v>867</v>
      </c>
      <c r="E61" s="14" t="s">
        <v>4216</v>
      </c>
      <c r="F61" s="14" t="s">
        <v>320</v>
      </c>
      <c r="G61" s="30" t="s">
        <v>4217</v>
      </c>
      <c r="H61" s="30" t="s">
        <v>26</v>
      </c>
      <c r="I61" s="17">
        <v>2627300</v>
      </c>
      <c r="J61" s="65"/>
      <c r="K61" s="65"/>
      <c r="L61" s="65"/>
      <c r="M61" s="65"/>
      <c r="N61" s="17">
        <v>2867900</v>
      </c>
      <c r="O61" s="17">
        <v>2627300</v>
      </c>
      <c r="P61" s="17">
        <f>N61-O61</f>
      </c>
      <c r="Q61" s="14" t="s">
        <v>3033</v>
      </c>
      <c r="R61" s="31" t="s">
        <v>4218</v>
      </c>
      <c r="S61" s="40">
        <v>2</v>
      </c>
      <c r="T61" s="17">
        <v>1800280</v>
      </c>
      <c r="U61" s="65"/>
      <c r="V61" s="65"/>
      <c r="W61" s="17">
        <v>1067620</v>
      </c>
      <c r="X61" s="17">
        <f>N61-T61-W61</f>
      </c>
      <c r="Y61" s="293">
        <v>45810</v>
      </c>
      <c r="Z61" s="14" t="s">
        <v>1718</v>
      </c>
      <c r="AA61" s="161"/>
      <c r="AB61" s="32">
        <v>0</v>
      </c>
      <c r="AC61" s="29"/>
      <c r="AD61" s="29"/>
      <c r="AE61" s="29"/>
      <c r="AF61" s="29">
        <f>AF60-AB61+AE61+AC61</f>
      </c>
      <c r="AG61" s="29"/>
      <c r="AH61" s="29"/>
      <c r="AI61" s="29">
        <f>AI60-AG61+AH61</f>
      </c>
      <c r="AJ61" s="34"/>
      <c r="AK61" s="34"/>
      <c r="AL61" s="29"/>
      <c r="AM61" s="29">
        <f>AM60-AL61</f>
      </c>
    </row>
    <row x14ac:dyDescent="0.25" r="62" customHeight="1" ht="15.75">
      <c r="A62" s="12">
        <v>45791</v>
      </c>
      <c r="B62" s="14" t="s">
        <v>46</v>
      </c>
      <c r="C62" s="14" t="s">
        <v>4215</v>
      </c>
      <c r="D62" s="14" t="s">
        <v>319</v>
      </c>
      <c r="E62" s="14" t="s">
        <v>4219</v>
      </c>
      <c r="F62" s="14" t="s">
        <v>320</v>
      </c>
      <c r="G62" s="30" t="s">
        <v>321</v>
      </c>
      <c r="H62" s="30" t="s">
        <v>26</v>
      </c>
      <c r="I62" s="17">
        <v>457000</v>
      </c>
      <c r="J62" s="65"/>
      <c r="K62" s="65"/>
      <c r="L62" s="65"/>
      <c r="M62" s="65"/>
      <c r="N62" s="17">
        <v>789920</v>
      </c>
      <c r="O62" s="17">
        <v>559600</v>
      </c>
      <c r="P62" s="17">
        <f>N62-O62</f>
      </c>
      <c r="Q62" s="14" t="s">
        <v>50</v>
      </c>
      <c r="R62" s="31" t="s">
        <v>322</v>
      </c>
      <c r="S62" s="40">
        <v>1</v>
      </c>
      <c r="T62" s="65"/>
      <c r="U62" s="65"/>
      <c r="V62" s="65"/>
      <c r="W62" s="17">
        <v>789920</v>
      </c>
      <c r="X62" s="17">
        <f>N62-T62-W62</f>
      </c>
      <c r="Y62" s="293">
        <v>45791</v>
      </c>
      <c r="Z62" s="14" t="s">
        <v>1718</v>
      </c>
      <c r="AA62" s="161"/>
      <c r="AB62" s="32">
        <f>O62</f>
      </c>
      <c r="AC62" s="29"/>
      <c r="AD62" s="29"/>
      <c r="AE62" s="29"/>
      <c r="AF62" s="29">
        <f>AF61-AB62+AE62+AC62</f>
      </c>
      <c r="AG62" s="29"/>
      <c r="AH62" s="29"/>
      <c r="AI62" s="29">
        <f>AI61-AG62+AH62</f>
      </c>
      <c r="AJ62" s="34"/>
      <c r="AK62" s="34"/>
      <c r="AL62" s="29"/>
      <c r="AM62" s="29">
        <f>AM61-AL62</f>
      </c>
    </row>
    <row x14ac:dyDescent="0.25" r="63" customHeight="1" ht="15.75">
      <c r="A63" s="12">
        <v>45792</v>
      </c>
      <c r="B63" s="14" t="s">
        <v>82</v>
      </c>
      <c r="C63" s="14" t="s">
        <v>4215</v>
      </c>
      <c r="D63" s="14" t="s">
        <v>624</v>
      </c>
      <c r="E63" s="14" t="s">
        <v>4220</v>
      </c>
      <c r="F63" s="14" t="s">
        <v>194</v>
      </c>
      <c r="G63" s="30" t="s">
        <v>4221</v>
      </c>
      <c r="H63" s="30" t="s">
        <v>26</v>
      </c>
      <c r="I63" s="65"/>
      <c r="J63" s="65"/>
      <c r="K63" s="65"/>
      <c r="L63" s="65"/>
      <c r="M63" s="65"/>
      <c r="N63" s="17">
        <v>25000</v>
      </c>
      <c r="O63" s="17">
        <v>13000</v>
      </c>
      <c r="P63" s="17">
        <f>N63-O63</f>
      </c>
      <c r="Q63" s="14" t="s">
        <v>82</v>
      </c>
      <c r="R63" s="3" t="s">
        <v>4222</v>
      </c>
      <c r="S63" s="41"/>
      <c r="T63" s="65"/>
      <c r="U63" s="65"/>
      <c r="V63" s="65"/>
      <c r="W63" s="17">
        <v>25000</v>
      </c>
      <c r="X63" s="17">
        <f>N63-T63-W63</f>
      </c>
      <c r="Y63" s="293">
        <v>45855</v>
      </c>
      <c r="Z63" s="14" t="s">
        <v>2122</v>
      </c>
      <c r="AA63" s="161"/>
      <c r="AB63" s="32">
        <v>0</v>
      </c>
      <c r="AC63" s="29"/>
      <c r="AD63" s="29"/>
      <c r="AE63" s="29"/>
      <c r="AF63" s="29">
        <f>AF62-AB63+AE63+AC63</f>
      </c>
      <c r="AG63" s="29"/>
      <c r="AH63" s="29"/>
      <c r="AI63" s="29">
        <f>AI62-AG63+AH63</f>
      </c>
      <c r="AJ63" s="34"/>
      <c r="AK63" s="34"/>
      <c r="AL63" s="29"/>
      <c r="AM63" s="29">
        <f>AM62-AL63</f>
      </c>
    </row>
    <row x14ac:dyDescent="0.25" r="64" customHeight="1" ht="15.75">
      <c r="A64" s="12">
        <v>45792</v>
      </c>
      <c r="B64" s="14" t="s">
        <v>72</v>
      </c>
      <c r="C64" s="14" t="s">
        <v>4223</v>
      </c>
      <c r="D64" s="14" t="s">
        <v>54</v>
      </c>
      <c r="E64" s="14" t="s">
        <v>4224</v>
      </c>
      <c r="F64" s="14" t="s">
        <v>323</v>
      </c>
      <c r="G64" s="30" t="s">
        <v>324</v>
      </c>
      <c r="H64" s="30" t="s">
        <v>26</v>
      </c>
      <c r="I64" s="52">
        <v>274500</v>
      </c>
      <c r="J64" s="65"/>
      <c r="K64" s="65"/>
      <c r="L64" s="65"/>
      <c r="M64" s="65"/>
      <c r="N64" s="17">
        <v>641900</v>
      </c>
      <c r="O64" s="17">
        <v>585920</v>
      </c>
      <c r="P64" s="17">
        <f>N64-O64</f>
      </c>
      <c r="Q64" s="14" t="s">
        <v>50</v>
      </c>
      <c r="R64" s="33" t="s">
        <v>325</v>
      </c>
      <c r="S64" s="40">
        <v>4</v>
      </c>
      <c r="T64" s="65"/>
      <c r="U64" s="65"/>
      <c r="V64" s="65"/>
      <c r="W64" s="17">
        <v>641900</v>
      </c>
      <c r="X64" s="17">
        <f>N64-T64-W64</f>
      </c>
      <c r="Y64" s="293">
        <v>45799</v>
      </c>
      <c r="Z64" s="14" t="s">
        <v>2216</v>
      </c>
      <c r="AA64" s="161" t="s">
        <v>4225</v>
      </c>
      <c r="AB64" s="32">
        <f>O64</f>
      </c>
      <c r="AC64" s="29"/>
      <c r="AD64" s="29"/>
      <c r="AE64" s="29"/>
      <c r="AF64" s="29">
        <f>AF63-AB64+AE64+AC64</f>
      </c>
      <c r="AG64" s="29"/>
      <c r="AH64" s="29"/>
      <c r="AI64" s="29">
        <f>AI63-AG64+AH64</f>
      </c>
      <c r="AJ64" s="34"/>
      <c r="AK64" s="34"/>
      <c r="AL64" s="29"/>
      <c r="AM64" s="29">
        <f>AM63-AL64</f>
      </c>
    </row>
    <row x14ac:dyDescent="0.25" r="65" customHeight="1" ht="15.75">
      <c r="A65" s="12">
        <v>45792</v>
      </c>
      <c r="B65" s="14" t="s">
        <v>82</v>
      </c>
      <c r="C65" s="14" t="s">
        <v>4226</v>
      </c>
      <c r="D65" s="14" t="s">
        <v>585</v>
      </c>
      <c r="E65" s="14" t="s">
        <v>4227</v>
      </c>
      <c r="F65" s="14" t="s">
        <v>4228</v>
      </c>
      <c r="G65" s="30" t="s">
        <v>4229</v>
      </c>
      <c r="H65" s="30" t="s">
        <v>26</v>
      </c>
      <c r="I65" s="65"/>
      <c r="J65" s="65"/>
      <c r="K65" s="65"/>
      <c r="L65" s="65"/>
      <c r="M65" s="65"/>
      <c r="N65" s="17">
        <v>469930</v>
      </c>
      <c r="O65" s="17">
        <v>439930</v>
      </c>
      <c r="P65" s="17">
        <f>N65-O65</f>
      </c>
      <c r="Q65" s="14" t="s">
        <v>86</v>
      </c>
      <c r="R65" s="33" t="s">
        <v>4230</v>
      </c>
      <c r="S65" s="41"/>
      <c r="T65" s="65"/>
      <c r="U65" s="65"/>
      <c r="V65" s="65"/>
      <c r="W65" s="17">
        <v>469930</v>
      </c>
      <c r="X65" s="17">
        <f>N65-T65-W65</f>
      </c>
      <c r="Y65" s="293">
        <v>45818</v>
      </c>
      <c r="Z65" s="14" t="s">
        <v>2122</v>
      </c>
      <c r="AA65" s="161"/>
      <c r="AB65" s="32">
        <v>0</v>
      </c>
      <c r="AC65" s="29"/>
      <c r="AD65" s="29"/>
      <c r="AE65" s="29"/>
      <c r="AF65" s="29">
        <f>AF64-AB65+AE65+AC65</f>
      </c>
      <c r="AG65" s="32">
        <v>439920</v>
      </c>
      <c r="AH65" s="29"/>
      <c r="AI65" s="29">
        <f>AI64-AG65+AH65</f>
      </c>
      <c r="AJ65" s="34"/>
      <c r="AK65" s="34"/>
      <c r="AL65" s="29"/>
      <c r="AM65" s="29">
        <f>AM64-AL65</f>
      </c>
    </row>
    <row x14ac:dyDescent="0.25" r="66" customHeight="1" ht="15.75">
      <c r="A66" s="12">
        <v>45793</v>
      </c>
      <c r="B66" s="14" t="s">
        <v>72</v>
      </c>
      <c r="C66" s="14" t="s">
        <v>4104</v>
      </c>
      <c r="D66" s="14" t="s">
        <v>326</v>
      </c>
      <c r="E66" s="14" t="s">
        <v>4231</v>
      </c>
      <c r="F66" s="14" t="s">
        <v>327</v>
      </c>
      <c r="G66" s="30" t="s">
        <v>328</v>
      </c>
      <c r="H66" s="30" t="s">
        <v>26</v>
      </c>
      <c r="I66" s="65"/>
      <c r="J66" s="65"/>
      <c r="K66" s="65"/>
      <c r="L66" s="65"/>
      <c r="M66" s="65"/>
      <c r="N66" s="17">
        <v>1752920</v>
      </c>
      <c r="O66" s="17">
        <v>1667620</v>
      </c>
      <c r="P66" s="17">
        <f>N66-O66</f>
      </c>
      <c r="Q66" s="14" t="s">
        <v>50</v>
      </c>
      <c r="R66" s="33" t="s">
        <v>329</v>
      </c>
      <c r="S66" s="40">
        <v>2</v>
      </c>
      <c r="T66" s="65"/>
      <c r="U66" s="65"/>
      <c r="V66" s="65"/>
      <c r="W66" s="17">
        <v>1752920</v>
      </c>
      <c r="X66" s="17">
        <f>N66-T66-W66</f>
      </c>
      <c r="Y66" s="293">
        <v>45827</v>
      </c>
      <c r="Z66" s="14" t="s">
        <v>2216</v>
      </c>
      <c r="AA66" s="161" t="s">
        <v>4232</v>
      </c>
      <c r="AB66" s="32">
        <f>O66</f>
      </c>
      <c r="AC66" s="29"/>
      <c r="AD66" s="29"/>
      <c r="AE66" s="29"/>
      <c r="AF66" s="29">
        <f>AF65-AB66+AE66+AC66</f>
      </c>
      <c r="AG66" s="29"/>
      <c r="AH66" s="29"/>
      <c r="AI66" s="29">
        <f>AI65-AG66+AH66</f>
      </c>
      <c r="AJ66" s="34"/>
      <c r="AK66" s="34"/>
      <c r="AL66" s="29"/>
      <c r="AM66" s="29">
        <f>AM65-AL66</f>
      </c>
    </row>
    <row x14ac:dyDescent="0.25" r="67" customHeight="1" ht="15.75">
      <c r="A67" s="50">
        <v>45793</v>
      </c>
      <c r="B67" s="51" t="s">
        <v>46</v>
      </c>
      <c r="C67" s="51" t="s">
        <v>4233</v>
      </c>
      <c r="D67" s="51" t="s">
        <v>118</v>
      </c>
      <c r="E67" s="51" t="s">
        <v>4234</v>
      </c>
      <c r="F67" s="51" t="s">
        <v>209</v>
      </c>
      <c r="G67" s="51" t="s">
        <v>330</v>
      </c>
      <c r="H67" s="51" t="s">
        <v>26</v>
      </c>
      <c r="I67" s="299"/>
      <c r="J67" s="65"/>
      <c r="K67" s="65"/>
      <c r="L67" s="65"/>
      <c r="M67" s="65"/>
      <c r="N67" s="52">
        <v>326900</v>
      </c>
      <c r="O67" s="52">
        <v>306400</v>
      </c>
      <c r="P67" s="52">
        <f>N67-O67</f>
      </c>
      <c r="Q67" s="51" t="s">
        <v>50</v>
      </c>
      <c r="R67" s="53" t="s">
        <v>331</v>
      </c>
      <c r="S67" s="54" t="s">
        <v>251</v>
      </c>
      <c r="T67" s="299"/>
      <c r="U67" s="299"/>
      <c r="V67" s="299"/>
      <c r="W67" s="52">
        <v>326900</v>
      </c>
      <c r="X67" s="17">
        <f>N67-T67-W67</f>
      </c>
      <c r="Y67" s="301">
        <v>45799</v>
      </c>
      <c r="Z67" s="51" t="s">
        <v>1718</v>
      </c>
      <c r="AA67" s="303"/>
      <c r="AB67" s="32">
        <f>O67</f>
      </c>
      <c r="AC67" s="29"/>
      <c r="AD67" s="29"/>
      <c r="AE67" s="29"/>
      <c r="AF67" s="29">
        <f>AF66-AB67+AE67+AC67</f>
      </c>
      <c r="AG67" s="29"/>
      <c r="AH67" s="29"/>
      <c r="AI67" s="29">
        <f>AI66-AG67+AH67</f>
      </c>
      <c r="AJ67" s="34"/>
      <c r="AK67" s="34"/>
      <c r="AL67" s="29"/>
      <c r="AM67" s="29">
        <f>AM66-AL67</f>
      </c>
    </row>
    <row x14ac:dyDescent="0.25" r="68" customHeight="1" ht="15.75">
      <c r="A68" s="12">
        <v>45794</v>
      </c>
      <c r="B68" s="14" t="s">
        <v>82</v>
      </c>
      <c r="C68" s="14" t="s">
        <v>4165</v>
      </c>
      <c r="D68" s="14" t="s">
        <v>4235</v>
      </c>
      <c r="E68" s="14" t="s">
        <v>4236</v>
      </c>
      <c r="F68" s="14" t="s">
        <v>4237</v>
      </c>
      <c r="G68" s="30" t="s">
        <v>4238</v>
      </c>
      <c r="H68" s="30" t="s">
        <v>4239</v>
      </c>
      <c r="I68" s="65"/>
      <c r="J68" s="65"/>
      <c r="K68" s="65"/>
      <c r="L68" s="65"/>
      <c r="M68" s="65"/>
      <c r="N68" s="17">
        <v>142500</v>
      </c>
      <c r="O68" s="17">
        <v>139670</v>
      </c>
      <c r="P68" s="17">
        <f>N68-O68</f>
      </c>
      <c r="Q68" s="14" t="s">
        <v>86</v>
      </c>
      <c r="R68" s="33" t="s">
        <v>4240</v>
      </c>
      <c r="S68" s="41"/>
      <c r="T68" s="65"/>
      <c r="U68" s="65"/>
      <c r="V68" s="65"/>
      <c r="W68" s="17">
        <v>142500</v>
      </c>
      <c r="X68" s="17">
        <f>N68-T68-W68</f>
      </c>
      <c r="Y68" s="293">
        <v>45799</v>
      </c>
      <c r="Z68" s="14" t="s">
        <v>1718</v>
      </c>
      <c r="AA68" s="161"/>
      <c r="AB68" s="32">
        <v>0</v>
      </c>
      <c r="AC68" s="29"/>
      <c r="AD68" s="29"/>
      <c r="AE68" s="29"/>
      <c r="AF68" s="29">
        <f>AF67-AB68+AE68+AC68</f>
      </c>
      <c r="AG68" s="32">
        <v>139670</v>
      </c>
      <c r="AH68" s="29"/>
      <c r="AI68" s="29">
        <f>AI67-AG68+AH68</f>
      </c>
      <c r="AJ68" s="34"/>
      <c r="AK68" s="34"/>
      <c r="AL68" s="29"/>
      <c r="AM68" s="29">
        <f>AM67-AL68</f>
      </c>
    </row>
    <row x14ac:dyDescent="0.25" r="69" customHeight="1" ht="15.75">
      <c r="A69" s="12">
        <v>45794</v>
      </c>
      <c r="B69" s="14" t="s">
        <v>66</v>
      </c>
      <c r="C69" s="14" t="s">
        <v>4241</v>
      </c>
      <c r="D69" s="14" t="s">
        <v>166</v>
      </c>
      <c r="E69" s="14" t="s">
        <v>4242</v>
      </c>
      <c r="F69" s="14" t="s">
        <v>332</v>
      </c>
      <c r="G69" s="14" t="s">
        <v>333</v>
      </c>
      <c r="H69" s="30" t="s">
        <v>26</v>
      </c>
      <c r="I69" s="17">
        <v>86100</v>
      </c>
      <c r="J69" s="65"/>
      <c r="K69" s="65"/>
      <c r="L69" s="65"/>
      <c r="M69" s="65"/>
      <c r="N69" s="17">
        <v>475900</v>
      </c>
      <c r="O69" s="17">
        <v>435620</v>
      </c>
      <c r="P69" s="17">
        <f>N69-O69</f>
      </c>
      <c r="Q69" s="14" t="s">
        <v>50</v>
      </c>
      <c r="R69" s="33" t="s">
        <v>334</v>
      </c>
      <c r="S69" s="41"/>
      <c r="T69" s="65"/>
      <c r="U69" s="65"/>
      <c r="V69" s="65"/>
      <c r="W69" s="17">
        <v>475900</v>
      </c>
      <c r="X69" s="17">
        <f>N69-T69-W69</f>
      </c>
      <c r="Y69" s="293">
        <v>45798</v>
      </c>
      <c r="Z69" s="14" t="s">
        <v>1718</v>
      </c>
      <c r="AA69" s="161"/>
      <c r="AB69" s="32">
        <f>O69</f>
      </c>
      <c r="AC69" s="29"/>
      <c r="AD69" s="29"/>
      <c r="AE69" s="29"/>
      <c r="AF69" s="29">
        <f>AF68-AB69+AE69+AC69</f>
      </c>
      <c r="AG69" s="29"/>
      <c r="AH69" s="29"/>
      <c r="AI69" s="29">
        <f>AI68-AG69+AH69</f>
      </c>
      <c r="AJ69" s="34"/>
      <c r="AK69" s="34"/>
      <c r="AL69" s="29"/>
      <c r="AM69" s="29">
        <f>AM68-AL69</f>
      </c>
    </row>
    <row x14ac:dyDescent="0.25" r="70" customHeight="1" ht="15.75">
      <c r="A70" s="12">
        <v>45794</v>
      </c>
      <c r="B70" s="14" t="s">
        <v>66</v>
      </c>
      <c r="C70" s="14" t="s">
        <v>4241</v>
      </c>
      <c r="D70" s="14" t="s">
        <v>166</v>
      </c>
      <c r="E70" s="14" t="s">
        <v>4242</v>
      </c>
      <c r="F70" s="14" t="s">
        <v>332</v>
      </c>
      <c r="G70" s="14" t="s">
        <v>332</v>
      </c>
      <c r="H70" s="30" t="s">
        <v>26</v>
      </c>
      <c r="I70" s="17">
        <v>86100</v>
      </c>
      <c r="J70" s="65"/>
      <c r="K70" s="65"/>
      <c r="L70" s="65"/>
      <c r="M70" s="65"/>
      <c r="N70" s="17">
        <v>475900</v>
      </c>
      <c r="O70" s="17">
        <v>435620</v>
      </c>
      <c r="P70" s="17">
        <f>N70-O70</f>
      </c>
      <c r="Q70" s="14" t="s">
        <v>50</v>
      </c>
      <c r="R70" s="33" t="s">
        <v>335</v>
      </c>
      <c r="S70" s="41"/>
      <c r="T70" s="65"/>
      <c r="U70" s="65"/>
      <c r="V70" s="65"/>
      <c r="W70" s="17">
        <v>475900</v>
      </c>
      <c r="X70" s="17">
        <f>N70-T70-W70</f>
      </c>
      <c r="Y70" s="293">
        <v>45798</v>
      </c>
      <c r="Z70" s="14" t="s">
        <v>1718</v>
      </c>
      <c r="AA70" s="161"/>
      <c r="AB70" s="32">
        <f>O70</f>
      </c>
      <c r="AC70" s="29"/>
      <c r="AD70" s="29"/>
      <c r="AE70" s="29"/>
      <c r="AF70" s="29">
        <f>AF69-AB70+AE70+AC70</f>
      </c>
      <c r="AG70" s="29"/>
      <c r="AH70" s="29"/>
      <c r="AI70" s="29">
        <f>AI69-AG70+AH70</f>
      </c>
      <c r="AJ70" s="34"/>
      <c r="AK70" s="34"/>
      <c r="AL70" s="29"/>
      <c r="AM70" s="29">
        <f>AM69-AL70</f>
      </c>
    </row>
    <row x14ac:dyDescent="0.25" r="71" customHeight="1" ht="15.75">
      <c r="A71" s="12">
        <v>45794</v>
      </c>
      <c r="B71" s="14" t="s">
        <v>66</v>
      </c>
      <c r="C71" s="14" t="s">
        <v>4241</v>
      </c>
      <c r="D71" s="14" t="s">
        <v>166</v>
      </c>
      <c r="E71" s="14" t="s">
        <v>4242</v>
      </c>
      <c r="F71" s="14" t="s">
        <v>332</v>
      </c>
      <c r="G71" s="14" t="s">
        <v>333</v>
      </c>
      <c r="H71" s="30" t="s">
        <v>26</v>
      </c>
      <c r="I71" s="17">
        <v>0</v>
      </c>
      <c r="J71" s="65"/>
      <c r="K71" s="65"/>
      <c r="L71" s="65"/>
      <c r="M71" s="65"/>
      <c r="N71" s="17">
        <v>75000</v>
      </c>
      <c r="O71" s="17">
        <v>60000</v>
      </c>
      <c r="P71" s="17">
        <f>N71-O71</f>
      </c>
      <c r="Q71" s="14" t="s">
        <v>50</v>
      </c>
      <c r="R71" s="33" t="s">
        <v>336</v>
      </c>
      <c r="S71" s="41" t="s">
        <v>337</v>
      </c>
      <c r="T71" s="65"/>
      <c r="U71" s="65"/>
      <c r="V71" s="65"/>
      <c r="W71" s="17">
        <v>75000</v>
      </c>
      <c r="X71" s="17">
        <f>N71-T71-W71</f>
      </c>
      <c r="Y71" s="293">
        <v>45798</v>
      </c>
      <c r="Z71" s="14" t="s">
        <v>1718</v>
      </c>
      <c r="AA71" s="161"/>
      <c r="AB71" s="32">
        <v>0</v>
      </c>
      <c r="AC71" s="29"/>
      <c r="AD71" s="29"/>
      <c r="AE71" s="29"/>
      <c r="AF71" s="29">
        <f>AF70-AB71+AE71+AC71</f>
      </c>
      <c r="AG71" s="29"/>
      <c r="AH71" s="29"/>
      <c r="AI71" s="29">
        <f>AI70-AG71+AH71</f>
      </c>
      <c r="AJ71" s="34"/>
      <c r="AK71" s="34"/>
      <c r="AL71" s="29"/>
      <c r="AM71" s="29">
        <f>AM70-AL71</f>
      </c>
    </row>
    <row x14ac:dyDescent="0.25" r="72" customHeight="1" ht="15.75">
      <c r="A72" s="12">
        <v>45794</v>
      </c>
      <c r="B72" s="14" t="s">
        <v>66</v>
      </c>
      <c r="C72" s="14" t="s">
        <v>4241</v>
      </c>
      <c r="D72" s="14" t="s">
        <v>166</v>
      </c>
      <c r="E72" s="14" t="s">
        <v>4242</v>
      </c>
      <c r="F72" s="14" t="s">
        <v>332</v>
      </c>
      <c r="G72" s="14" t="s">
        <v>332</v>
      </c>
      <c r="H72" s="30" t="s">
        <v>26</v>
      </c>
      <c r="I72" s="17">
        <v>0</v>
      </c>
      <c r="J72" s="65"/>
      <c r="K72" s="65"/>
      <c r="L72" s="65"/>
      <c r="M72" s="65"/>
      <c r="N72" s="17">
        <v>75000</v>
      </c>
      <c r="O72" s="17">
        <v>60000</v>
      </c>
      <c r="P72" s="17">
        <f>N72-O72</f>
      </c>
      <c r="Q72" s="14" t="s">
        <v>50</v>
      </c>
      <c r="R72" s="33" t="s">
        <v>336</v>
      </c>
      <c r="S72" s="41" t="s">
        <v>337</v>
      </c>
      <c r="T72" s="65"/>
      <c r="U72" s="65"/>
      <c r="V72" s="65"/>
      <c r="W72" s="17">
        <v>75000</v>
      </c>
      <c r="X72" s="17">
        <f>N72-T72-W72</f>
      </c>
      <c r="Y72" s="293">
        <v>45798</v>
      </c>
      <c r="Z72" s="14" t="s">
        <v>1718</v>
      </c>
      <c r="AA72" s="161"/>
      <c r="AB72" s="32">
        <v>0</v>
      </c>
      <c r="AC72" s="29"/>
      <c r="AD72" s="29"/>
      <c r="AE72" s="29"/>
      <c r="AF72" s="29">
        <f>AF71-AB72+AE72+AC72</f>
      </c>
      <c r="AG72" s="29"/>
      <c r="AH72" s="29"/>
      <c r="AI72" s="29">
        <f>AI71-AG72+AH72</f>
      </c>
      <c r="AJ72" s="34"/>
      <c r="AK72" s="34"/>
      <c r="AL72" s="29"/>
      <c r="AM72" s="29">
        <f>AM71-AL72</f>
      </c>
    </row>
    <row x14ac:dyDescent="0.25" r="73" customHeight="1" ht="15.75">
      <c r="A73" s="12">
        <v>45795</v>
      </c>
      <c r="B73" s="14" t="s">
        <v>22</v>
      </c>
      <c r="C73" s="14" t="s">
        <v>4243</v>
      </c>
      <c r="D73" s="14" t="s">
        <v>508</v>
      </c>
      <c r="E73" s="14" t="s">
        <v>4244</v>
      </c>
      <c r="F73" s="14" t="s">
        <v>548</v>
      </c>
      <c r="G73" s="30" t="s">
        <v>675</v>
      </c>
      <c r="H73" s="30" t="s">
        <v>26</v>
      </c>
      <c r="I73" s="65"/>
      <c r="J73" s="65"/>
      <c r="K73" s="65"/>
      <c r="L73" s="65"/>
      <c r="M73" s="65"/>
      <c r="N73" s="17">
        <v>283000</v>
      </c>
      <c r="O73" s="17">
        <v>223000</v>
      </c>
      <c r="P73" s="17">
        <f>N73-O73</f>
      </c>
      <c r="Q73" s="14" t="s">
        <v>22</v>
      </c>
      <c r="R73" s="33" t="s">
        <v>4245</v>
      </c>
      <c r="S73" s="41"/>
      <c r="T73" s="65"/>
      <c r="U73" s="65"/>
      <c r="V73" s="65"/>
      <c r="W73" s="65"/>
      <c r="X73" s="17">
        <f>N73-T73-W73</f>
      </c>
      <c r="Y73" s="293"/>
      <c r="Z73" s="14"/>
      <c r="AA73" s="161"/>
      <c r="AB73" s="32">
        <v>0</v>
      </c>
      <c r="AC73" s="29"/>
      <c r="AD73" s="29"/>
      <c r="AE73" s="29"/>
      <c r="AF73" s="29">
        <f>AF72-AB73+AE73+AC73</f>
      </c>
      <c r="AG73" s="29"/>
      <c r="AH73" s="29"/>
      <c r="AI73" s="29">
        <f>AI72-AG73+AH73</f>
      </c>
      <c r="AJ73" s="34"/>
      <c r="AK73" s="34"/>
      <c r="AL73" s="29"/>
      <c r="AM73" s="29">
        <f>AM72-AL73</f>
      </c>
    </row>
    <row x14ac:dyDescent="0.25" r="74" customHeight="1" ht="15.75">
      <c r="A74" s="12">
        <v>45795</v>
      </c>
      <c r="B74" s="14" t="s">
        <v>72</v>
      </c>
      <c r="C74" s="14" t="s">
        <v>4243</v>
      </c>
      <c r="D74" s="14" t="s">
        <v>161</v>
      </c>
      <c r="E74" s="14" t="s">
        <v>4246</v>
      </c>
      <c r="F74" s="14" t="s">
        <v>162</v>
      </c>
      <c r="G74" s="30" t="s">
        <v>163</v>
      </c>
      <c r="H74" s="30" t="s">
        <v>26</v>
      </c>
      <c r="I74" s="17">
        <v>2568500</v>
      </c>
      <c r="J74" s="65"/>
      <c r="K74" s="65"/>
      <c r="L74" s="65"/>
      <c r="M74" s="65"/>
      <c r="N74" s="17">
        <v>2849900</v>
      </c>
      <c r="O74" s="17">
        <v>2799600</v>
      </c>
      <c r="P74" s="17">
        <f>N74-O74</f>
      </c>
      <c r="Q74" s="14" t="s">
        <v>154</v>
      </c>
      <c r="R74" s="33" t="s">
        <v>164</v>
      </c>
      <c r="S74" s="41"/>
      <c r="T74" s="65"/>
      <c r="U74" s="65"/>
      <c r="V74" s="65"/>
      <c r="W74" s="65"/>
      <c r="X74" s="17">
        <f>N74-T74-W74</f>
      </c>
      <c r="Y74" s="293"/>
      <c r="Z74" s="14"/>
      <c r="AA74" s="161"/>
      <c r="AB74" s="32">
        <v>0</v>
      </c>
      <c r="AC74" s="29"/>
      <c r="AD74" s="29"/>
      <c r="AE74" s="29"/>
      <c r="AF74" s="29">
        <f>AF73-AB74+AE74+AC74</f>
      </c>
      <c r="AG74" s="29"/>
      <c r="AH74" s="29"/>
      <c r="AI74" s="29">
        <f>AI73-AG74+AH74</f>
      </c>
      <c r="AJ74" s="34"/>
      <c r="AK74" s="34"/>
      <c r="AL74" s="32">
        <v>2799600</v>
      </c>
      <c r="AM74" s="29">
        <f>AM73-AL74</f>
      </c>
    </row>
    <row x14ac:dyDescent="0.25" r="75" customHeight="1" ht="15.75">
      <c r="A75" s="12">
        <v>45795</v>
      </c>
      <c r="B75" s="14" t="s">
        <v>46</v>
      </c>
      <c r="C75" s="14" t="s">
        <v>4247</v>
      </c>
      <c r="D75" s="14" t="s">
        <v>338</v>
      </c>
      <c r="E75" s="14" t="s">
        <v>4248</v>
      </c>
      <c r="F75" s="14" t="s">
        <v>162</v>
      </c>
      <c r="G75" s="30" t="s">
        <v>163</v>
      </c>
      <c r="H75" s="30" t="s">
        <v>26</v>
      </c>
      <c r="I75" s="65"/>
      <c r="J75" s="65"/>
      <c r="K75" s="65"/>
      <c r="L75" s="65"/>
      <c r="M75" s="65"/>
      <c r="N75" s="17">
        <v>6685900</v>
      </c>
      <c r="O75" s="17">
        <v>6583000</v>
      </c>
      <c r="P75" s="17">
        <f>N75-O75</f>
      </c>
      <c r="Q75" s="14" t="s">
        <v>50</v>
      </c>
      <c r="R75" s="33" t="s">
        <v>339</v>
      </c>
      <c r="S75" s="40">
        <v>4</v>
      </c>
      <c r="T75" s="65"/>
      <c r="U75" s="65"/>
      <c r="V75" s="65"/>
      <c r="W75" s="65"/>
      <c r="X75" s="17">
        <f>N75-T75-W75</f>
      </c>
      <c r="Y75" s="293"/>
      <c r="Z75" s="14"/>
      <c r="AA75" s="161"/>
      <c r="AB75" s="32">
        <f>O75</f>
      </c>
      <c r="AC75" s="29"/>
      <c r="AD75" s="29"/>
      <c r="AE75" s="29"/>
      <c r="AF75" s="29">
        <f>AF74-AB75+AE75+AC75</f>
      </c>
      <c r="AG75" s="29"/>
      <c r="AH75" s="29"/>
      <c r="AI75" s="29">
        <f>AI74-AG75+AH75</f>
      </c>
      <c r="AJ75" s="34"/>
      <c r="AK75" s="34"/>
      <c r="AL75" s="29"/>
      <c r="AM75" s="29">
        <f>AM74-AL75</f>
      </c>
    </row>
    <row x14ac:dyDescent="0.25" r="76" customHeight="1" ht="15.75">
      <c r="A76" s="55">
        <v>45796</v>
      </c>
      <c r="B76" s="56" t="s">
        <v>46</v>
      </c>
      <c r="C76" s="56" t="s">
        <v>4249</v>
      </c>
      <c r="D76" s="56" t="s">
        <v>340</v>
      </c>
      <c r="E76" s="56" t="s">
        <v>4250</v>
      </c>
      <c r="F76" s="56" t="s">
        <v>162</v>
      </c>
      <c r="G76" s="56" t="s">
        <v>341</v>
      </c>
      <c r="H76" s="56" t="s">
        <v>26</v>
      </c>
      <c r="I76" s="180"/>
      <c r="J76" s="180"/>
      <c r="K76" s="180"/>
      <c r="L76" s="180"/>
      <c r="M76" s="180"/>
      <c r="N76" s="57">
        <v>326800</v>
      </c>
      <c r="O76" s="57">
        <v>200</v>
      </c>
      <c r="P76" s="57">
        <f>N76-O76</f>
      </c>
      <c r="Q76" s="56" t="s">
        <v>187</v>
      </c>
      <c r="R76" s="58" t="s">
        <v>342</v>
      </c>
      <c r="S76" s="59" t="s">
        <v>343</v>
      </c>
      <c r="T76" s="65"/>
      <c r="U76" s="65"/>
      <c r="V76" s="65"/>
      <c r="W76" s="65"/>
      <c r="X76" s="17">
        <f>N76-T76-W76</f>
      </c>
      <c r="Y76" s="293"/>
      <c r="Z76" s="14"/>
      <c r="AA76" s="161"/>
      <c r="AB76" s="32">
        <f>O76</f>
      </c>
      <c r="AC76" s="29"/>
      <c r="AD76" s="29"/>
      <c r="AE76" s="29"/>
      <c r="AF76" s="29">
        <f>AF75-AB76+AE76+AC76</f>
      </c>
      <c r="AG76" s="29"/>
      <c r="AH76" s="29"/>
      <c r="AI76" s="29">
        <f>AI75-AG76+AH76</f>
      </c>
      <c r="AJ76" s="34"/>
      <c r="AK76" s="34"/>
      <c r="AL76" s="29"/>
      <c r="AM76" s="29">
        <f>AM75-AL76</f>
      </c>
    </row>
    <row x14ac:dyDescent="0.25" r="77" customHeight="1" ht="15.75">
      <c r="A77" s="12">
        <v>45796</v>
      </c>
      <c r="B77" s="14" t="s">
        <v>106</v>
      </c>
      <c r="C77" s="14" t="s">
        <v>4251</v>
      </c>
      <c r="D77" s="14" t="s">
        <v>313</v>
      </c>
      <c r="E77" s="14" t="s">
        <v>4252</v>
      </c>
      <c r="F77" s="14" t="s">
        <v>344</v>
      </c>
      <c r="G77" s="30" t="s">
        <v>345</v>
      </c>
      <c r="H77" s="30" t="s">
        <v>26</v>
      </c>
      <c r="I77" s="17">
        <v>240100</v>
      </c>
      <c r="J77" s="65"/>
      <c r="K77" s="65"/>
      <c r="L77" s="65"/>
      <c r="M77" s="65"/>
      <c r="N77" s="17">
        <v>503920</v>
      </c>
      <c r="O77" s="17">
        <v>443620</v>
      </c>
      <c r="P77" s="17">
        <f>N77-O77</f>
      </c>
      <c r="Q77" s="14" t="s">
        <v>50</v>
      </c>
      <c r="R77" s="33" t="s">
        <v>346</v>
      </c>
      <c r="S77" s="40">
        <v>2</v>
      </c>
      <c r="T77" s="17">
        <v>402280</v>
      </c>
      <c r="U77" s="65"/>
      <c r="V77" s="65"/>
      <c r="W77" s="17">
        <v>101640</v>
      </c>
      <c r="X77" s="17">
        <f>N77-T77-W77</f>
      </c>
      <c r="Y77" s="293">
        <v>45792</v>
      </c>
      <c r="Z77" s="14" t="s">
        <v>2122</v>
      </c>
      <c r="AA77" s="161"/>
      <c r="AB77" s="32">
        <f>O77</f>
      </c>
      <c r="AC77" s="29"/>
      <c r="AD77" s="29"/>
      <c r="AE77" s="29"/>
      <c r="AF77" s="29">
        <f>AF76-AB77+AE77+AC77</f>
      </c>
      <c r="AG77" s="29"/>
      <c r="AH77" s="29"/>
      <c r="AI77" s="29">
        <f>AI76-AG77+AH77</f>
      </c>
      <c r="AJ77" s="34"/>
      <c r="AK77" s="34"/>
      <c r="AL77" s="29"/>
      <c r="AM77" s="29">
        <f>AM76-AL77</f>
      </c>
    </row>
    <row x14ac:dyDescent="0.25" r="78" customHeight="1" ht="15.75">
      <c r="A78" s="12">
        <v>45796</v>
      </c>
      <c r="B78" s="14" t="s">
        <v>62</v>
      </c>
      <c r="C78" s="14" t="s">
        <v>4158</v>
      </c>
      <c r="D78" s="14" t="s">
        <v>4253</v>
      </c>
      <c r="E78" s="14" t="s">
        <v>4254</v>
      </c>
      <c r="F78" s="14" t="s">
        <v>162</v>
      </c>
      <c r="G78" s="30" t="s">
        <v>351</v>
      </c>
      <c r="H78" s="30" t="s">
        <v>26</v>
      </c>
      <c r="I78" s="65"/>
      <c r="J78" s="65"/>
      <c r="K78" s="65"/>
      <c r="L78" s="65"/>
      <c r="M78" s="65"/>
      <c r="N78" s="17">
        <v>2605980</v>
      </c>
      <c r="O78" s="17">
        <v>2496335</v>
      </c>
      <c r="P78" s="17">
        <f>N78-O78</f>
      </c>
      <c r="Q78" s="14" t="s">
        <v>3045</v>
      </c>
      <c r="R78" s="33" t="s">
        <v>4255</v>
      </c>
      <c r="S78" s="41"/>
      <c r="T78" s="65"/>
      <c r="U78" s="65"/>
      <c r="V78" s="65"/>
      <c r="W78" s="65"/>
      <c r="X78" s="17">
        <f>N78-T78-W78</f>
      </c>
      <c r="Y78" s="293"/>
      <c r="Z78" s="14"/>
      <c r="AA78" s="161"/>
      <c r="AB78" s="32">
        <v>0</v>
      </c>
      <c r="AC78" s="29"/>
      <c r="AD78" s="29"/>
      <c r="AE78" s="29"/>
      <c r="AF78" s="29">
        <f>AF77-AB78+AE78+AC78</f>
      </c>
      <c r="AG78" s="29"/>
      <c r="AH78" s="29"/>
      <c r="AI78" s="29">
        <f>AI77-AG78+AH78</f>
      </c>
      <c r="AJ78" s="34"/>
      <c r="AK78" s="34"/>
      <c r="AL78" s="29"/>
      <c r="AM78" s="29">
        <f>AM77-AL78</f>
      </c>
    </row>
    <row x14ac:dyDescent="0.25" r="79" customHeight="1" ht="15.75">
      <c r="A79" s="55">
        <v>45796</v>
      </c>
      <c r="B79" s="56" t="s">
        <v>347</v>
      </c>
      <c r="C79" s="56" t="s">
        <v>4158</v>
      </c>
      <c r="D79" s="56" t="s">
        <v>348</v>
      </c>
      <c r="E79" s="56" t="s">
        <v>4256</v>
      </c>
      <c r="F79" s="56" t="s">
        <v>162</v>
      </c>
      <c r="G79" s="56" t="s">
        <v>341</v>
      </c>
      <c r="H79" s="56" t="s">
        <v>26</v>
      </c>
      <c r="I79" s="180"/>
      <c r="J79" s="180"/>
      <c r="K79" s="180"/>
      <c r="L79" s="180"/>
      <c r="M79" s="180"/>
      <c r="N79" s="57">
        <v>315800</v>
      </c>
      <c r="O79" s="57">
        <v>99700</v>
      </c>
      <c r="P79" s="57">
        <f>N79-O79</f>
      </c>
      <c r="Q79" s="56" t="s">
        <v>187</v>
      </c>
      <c r="R79" s="58" t="s">
        <v>349</v>
      </c>
      <c r="S79" s="59" t="s">
        <v>343</v>
      </c>
      <c r="T79" s="65"/>
      <c r="U79" s="65"/>
      <c r="V79" s="65"/>
      <c r="W79" s="65"/>
      <c r="X79" s="17">
        <f>N79-T79-W79</f>
      </c>
      <c r="Y79" s="293"/>
      <c r="Z79" s="14"/>
      <c r="AA79" s="161"/>
      <c r="AB79" s="32">
        <f>O79</f>
      </c>
      <c r="AC79" s="29"/>
      <c r="AD79" s="29"/>
      <c r="AE79" s="29"/>
      <c r="AF79" s="29">
        <f>AF78-AB79+AE79+AC79</f>
      </c>
      <c r="AG79" s="29"/>
      <c r="AH79" s="29"/>
      <c r="AI79" s="29">
        <f>AI78-AG79+AH79</f>
      </c>
      <c r="AJ79" s="34"/>
      <c r="AK79" s="34"/>
      <c r="AL79" s="29"/>
      <c r="AM79" s="29">
        <f>AM78-AL79</f>
      </c>
    </row>
    <row x14ac:dyDescent="0.25" r="80" customHeight="1" ht="15.75">
      <c r="A80" s="12">
        <v>45796</v>
      </c>
      <c r="B80" s="14" t="s">
        <v>46</v>
      </c>
      <c r="C80" s="14" t="s">
        <v>4249</v>
      </c>
      <c r="D80" s="14" t="s">
        <v>350</v>
      </c>
      <c r="E80" s="14" t="s">
        <v>4250</v>
      </c>
      <c r="F80" s="14" t="s">
        <v>162</v>
      </c>
      <c r="G80" s="30" t="s">
        <v>351</v>
      </c>
      <c r="H80" s="30" t="s">
        <v>26</v>
      </c>
      <c r="I80" s="17">
        <v>1812500</v>
      </c>
      <c r="J80" s="65"/>
      <c r="K80" s="65"/>
      <c r="L80" s="65"/>
      <c r="M80" s="65"/>
      <c r="N80" s="17">
        <v>2295920</v>
      </c>
      <c r="O80" s="17">
        <v>2200000</v>
      </c>
      <c r="P80" s="17">
        <f>N80-O80</f>
      </c>
      <c r="Q80" s="14" t="s">
        <v>50</v>
      </c>
      <c r="R80" s="33" t="s">
        <v>352</v>
      </c>
      <c r="S80" s="40">
        <v>2</v>
      </c>
      <c r="T80" s="65"/>
      <c r="U80" s="65"/>
      <c r="V80" s="65"/>
      <c r="W80" s="65"/>
      <c r="X80" s="17">
        <f>N80-T80-W80</f>
      </c>
      <c r="Y80" s="293"/>
      <c r="Z80" s="14"/>
      <c r="AA80" s="161"/>
      <c r="AB80" s="32">
        <f>O80</f>
      </c>
      <c r="AC80" s="29"/>
      <c r="AD80" s="29"/>
      <c r="AE80" s="29"/>
      <c r="AF80" s="29">
        <f>AF79-AB80+AE80+AC80</f>
      </c>
      <c r="AG80" s="29"/>
      <c r="AH80" s="29"/>
      <c r="AI80" s="29">
        <f>AI79-AG80+AH80</f>
      </c>
      <c r="AJ80" s="34"/>
      <c r="AK80" s="34"/>
      <c r="AL80" s="29"/>
      <c r="AM80" s="29">
        <f>AM79-AL80</f>
      </c>
    </row>
    <row x14ac:dyDescent="0.25" r="81" customHeight="1" ht="15.75">
      <c r="A81" s="12">
        <v>45796</v>
      </c>
      <c r="B81" s="14" t="s">
        <v>72</v>
      </c>
      <c r="C81" s="14" t="s">
        <v>4104</v>
      </c>
      <c r="D81" s="14" t="s">
        <v>326</v>
      </c>
      <c r="E81" s="14" t="s">
        <v>4257</v>
      </c>
      <c r="F81" s="14" t="s">
        <v>327</v>
      </c>
      <c r="G81" s="30" t="s">
        <v>328</v>
      </c>
      <c r="H81" s="30" t="s">
        <v>26</v>
      </c>
      <c r="I81" s="65"/>
      <c r="J81" s="65"/>
      <c r="K81" s="65"/>
      <c r="L81" s="65"/>
      <c r="M81" s="65"/>
      <c r="N81" s="17">
        <v>169500</v>
      </c>
      <c r="O81" s="17">
        <v>65900</v>
      </c>
      <c r="P81" s="17">
        <f>N81-O81</f>
      </c>
      <c r="Q81" s="14" t="s">
        <v>50</v>
      </c>
      <c r="R81" s="33" t="s">
        <v>353</v>
      </c>
      <c r="S81" s="41" t="s">
        <v>251</v>
      </c>
      <c r="T81" s="65"/>
      <c r="U81" s="65"/>
      <c r="V81" s="65"/>
      <c r="W81" s="17">
        <v>169500</v>
      </c>
      <c r="X81" s="17">
        <f>N81-T81-W81</f>
      </c>
      <c r="Y81" s="293">
        <v>45827</v>
      </c>
      <c r="Z81" s="14" t="s">
        <v>2216</v>
      </c>
      <c r="AA81" s="161" t="s">
        <v>4258</v>
      </c>
      <c r="AB81" s="32">
        <f>O81</f>
      </c>
      <c r="AC81" s="29"/>
      <c r="AD81" s="29"/>
      <c r="AE81" s="29"/>
      <c r="AF81" s="29">
        <f>AF80-AB81+AE81+AC81</f>
      </c>
      <c r="AG81" s="29"/>
      <c r="AH81" s="29"/>
      <c r="AI81" s="29">
        <f>AI80-AG81+AH81</f>
      </c>
      <c r="AJ81" s="34"/>
      <c r="AK81" s="34"/>
      <c r="AL81" s="29"/>
      <c r="AM81" s="29">
        <f>AM80-AL81</f>
      </c>
    </row>
    <row x14ac:dyDescent="0.25" r="82" customHeight="1" ht="15.75">
      <c r="A82" s="12">
        <v>45797</v>
      </c>
      <c r="B82" s="14" t="s">
        <v>53</v>
      </c>
      <c r="C82" s="14" t="s">
        <v>4259</v>
      </c>
      <c r="D82" s="14" t="s">
        <v>354</v>
      </c>
      <c r="E82" s="14" t="s">
        <v>4260</v>
      </c>
      <c r="F82" s="14" t="s">
        <v>162</v>
      </c>
      <c r="G82" s="30" t="s">
        <v>355</v>
      </c>
      <c r="H82" s="30" t="s">
        <v>26</v>
      </c>
      <c r="I82" s="65"/>
      <c r="J82" s="65"/>
      <c r="K82" s="65"/>
      <c r="L82" s="65"/>
      <c r="M82" s="65"/>
      <c r="N82" s="17">
        <v>3748600</v>
      </c>
      <c r="O82" s="17">
        <v>3633800</v>
      </c>
      <c r="P82" s="17">
        <f>N82-O82</f>
      </c>
      <c r="Q82" s="14" t="s">
        <v>187</v>
      </c>
      <c r="R82" s="33" t="s">
        <v>356</v>
      </c>
      <c r="S82" s="41"/>
      <c r="T82" s="65"/>
      <c r="U82" s="65"/>
      <c r="V82" s="65"/>
      <c r="W82" s="65"/>
      <c r="X82" s="17">
        <f>N82-T82-W82</f>
      </c>
      <c r="Y82" s="293"/>
      <c r="Z82" s="14"/>
      <c r="AA82" s="161"/>
      <c r="AB82" s="32">
        <f>O82</f>
      </c>
      <c r="AC82" s="29"/>
      <c r="AD82" s="29"/>
      <c r="AE82" s="29"/>
      <c r="AF82" s="29">
        <f>AF81-AB82+AE82+AC82</f>
      </c>
      <c r="AG82" s="29"/>
      <c r="AH82" s="29"/>
      <c r="AI82" s="29">
        <f>AI81-AG82+AH82</f>
      </c>
      <c r="AJ82" s="34"/>
      <c r="AK82" s="34"/>
      <c r="AL82" s="29"/>
      <c r="AM82" s="29">
        <f>AM81-AL82</f>
      </c>
    </row>
    <row x14ac:dyDescent="0.25" r="83" customHeight="1" ht="15.75">
      <c r="A83" s="12">
        <v>45797</v>
      </c>
      <c r="B83" s="14" t="s">
        <v>53</v>
      </c>
      <c r="C83" s="14" t="s">
        <v>4261</v>
      </c>
      <c r="D83" s="14" t="s">
        <v>282</v>
      </c>
      <c r="E83" s="14" t="s">
        <v>4262</v>
      </c>
      <c r="F83" s="14" t="s">
        <v>357</v>
      </c>
      <c r="G83" s="30" t="s">
        <v>358</v>
      </c>
      <c r="H83" s="30" t="s">
        <v>26</v>
      </c>
      <c r="I83" s="17">
        <v>635700</v>
      </c>
      <c r="J83" s="65"/>
      <c r="K83" s="65"/>
      <c r="L83" s="65"/>
      <c r="M83" s="65"/>
      <c r="N83" s="17">
        <v>949720</v>
      </c>
      <c r="O83" s="17">
        <v>897720</v>
      </c>
      <c r="P83" s="17">
        <f>N83-O83</f>
      </c>
      <c r="Q83" s="14" t="s">
        <v>137</v>
      </c>
      <c r="R83" s="33" t="s">
        <v>359</v>
      </c>
      <c r="S83" s="41"/>
      <c r="T83" s="65"/>
      <c r="U83" s="65"/>
      <c r="V83" s="65"/>
      <c r="W83" s="17">
        <v>949720</v>
      </c>
      <c r="X83" s="17">
        <f>N83-T83-W83</f>
      </c>
      <c r="Y83" s="293">
        <v>45817</v>
      </c>
      <c r="Z83" s="14" t="s">
        <v>1718</v>
      </c>
      <c r="AA83" s="161"/>
      <c r="AB83" s="32">
        <f>O83</f>
      </c>
      <c r="AC83" s="29"/>
      <c r="AD83" s="29"/>
      <c r="AE83" s="29"/>
      <c r="AF83" s="29">
        <f>AF82-AB83+AE83+AC83</f>
      </c>
      <c r="AG83" s="29"/>
      <c r="AH83" s="29"/>
      <c r="AI83" s="29">
        <f>AI82-AG83+AH83</f>
      </c>
      <c r="AJ83" s="34"/>
      <c r="AK83" s="34"/>
      <c r="AL83" s="29"/>
      <c r="AM83" s="29">
        <f>AM82-AL83</f>
      </c>
    </row>
    <row x14ac:dyDescent="0.25" r="84" customHeight="1" ht="15.75">
      <c r="A84" s="12">
        <v>45797</v>
      </c>
      <c r="B84" s="14" t="s">
        <v>53</v>
      </c>
      <c r="C84" s="14" t="s">
        <v>4261</v>
      </c>
      <c r="D84" s="14" t="s">
        <v>282</v>
      </c>
      <c r="E84" s="14" t="s">
        <v>4262</v>
      </c>
      <c r="F84" s="14" t="s">
        <v>357</v>
      </c>
      <c r="G84" s="30" t="s">
        <v>360</v>
      </c>
      <c r="H84" s="30" t="s">
        <v>26</v>
      </c>
      <c r="I84" s="17">
        <v>635700</v>
      </c>
      <c r="J84" s="65"/>
      <c r="K84" s="65"/>
      <c r="L84" s="65"/>
      <c r="M84" s="65"/>
      <c r="N84" s="17">
        <v>949720</v>
      </c>
      <c r="O84" s="17">
        <v>897720</v>
      </c>
      <c r="P84" s="17">
        <f>N84-O84</f>
      </c>
      <c r="Q84" s="14" t="s">
        <v>137</v>
      </c>
      <c r="R84" s="33" t="s">
        <v>361</v>
      </c>
      <c r="S84" s="41"/>
      <c r="T84" s="65"/>
      <c r="U84" s="65"/>
      <c r="V84" s="65"/>
      <c r="W84" s="17">
        <v>949720</v>
      </c>
      <c r="X84" s="17">
        <f>N84-T84-W84</f>
      </c>
      <c r="Y84" s="293">
        <v>45817</v>
      </c>
      <c r="Z84" s="14" t="s">
        <v>1718</v>
      </c>
      <c r="AA84" s="161"/>
      <c r="AB84" s="32">
        <f>O84</f>
      </c>
      <c r="AC84" s="29"/>
      <c r="AD84" s="29"/>
      <c r="AE84" s="29"/>
      <c r="AF84" s="29">
        <f>AF83-AB84+AE84+AC84</f>
      </c>
      <c r="AG84" s="29"/>
      <c r="AH84" s="29"/>
      <c r="AI84" s="29">
        <f>AI83-AG84+AH84</f>
      </c>
      <c r="AJ84" s="34"/>
      <c r="AK84" s="34"/>
      <c r="AL84" s="29"/>
      <c r="AM84" s="29">
        <f>AM83-AL84</f>
      </c>
    </row>
    <row x14ac:dyDescent="0.25" r="85" customHeight="1" ht="15.75">
      <c r="A85" s="12">
        <v>45797</v>
      </c>
      <c r="B85" s="14" t="s">
        <v>106</v>
      </c>
      <c r="C85" s="14" t="s">
        <v>4263</v>
      </c>
      <c r="D85" s="14" t="s">
        <v>118</v>
      </c>
      <c r="E85" s="14" t="s">
        <v>4264</v>
      </c>
      <c r="F85" s="14" t="s">
        <v>362</v>
      </c>
      <c r="G85" s="30" t="s">
        <v>363</v>
      </c>
      <c r="H85" s="30" t="s">
        <v>26</v>
      </c>
      <c r="I85" s="17">
        <v>306000</v>
      </c>
      <c r="J85" s="65"/>
      <c r="K85" s="65"/>
      <c r="L85" s="65"/>
      <c r="M85" s="65"/>
      <c r="N85" s="17">
        <v>821820</v>
      </c>
      <c r="O85" s="17">
        <v>735720</v>
      </c>
      <c r="P85" s="17">
        <f>N85-O85</f>
      </c>
      <c r="Q85" s="14" t="s">
        <v>50</v>
      </c>
      <c r="R85" s="33" t="s">
        <v>364</v>
      </c>
      <c r="S85" s="41"/>
      <c r="T85" s="65"/>
      <c r="U85" s="65"/>
      <c r="V85" s="65"/>
      <c r="W85" s="17">
        <v>821820</v>
      </c>
      <c r="X85" s="17">
        <f>N85-T85-W85</f>
      </c>
      <c r="Y85" s="293">
        <v>45798</v>
      </c>
      <c r="Z85" s="14" t="s">
        <v>1718</v>
      </c>
      <c r="AA85" s="161"/>
      <c r="AB85" s="32">
        <f>O85</f>
      </c>
      <c r="AC85" s="29"/>
      <c r="AD85" s="29"/>
      <c r="AE85" s="29"/>
      <c r="AF85" s="29">
        <f>AF84-AB85+AE85+AC85</f>
      </c>
      <c r="AG85" s="29"/>
      <c r="AH85" s="29"/>
      <c r="AI85" s="29">
        <f>AI84-AG85+AH85</f>
      </c>
      <c r="AJ85" s="34"/>
      <c r="AK85" s="34"/>
      <c r="AL85" s="29"/>
      <c r="AM85" s="29">
        <f>AM84-AL85</f>
      </c>
    </row>
    <row x14ac:dyDescent="0.25" r="86" customHeight="1" ht="18.75">
      <c r="A86" s="12">
        <v>45797</v>
      </c>
      <c r="B86" s="14" t="s">
        <v>106</v>
      </c>
      <c r="C86" s="14" t="s">
        <v>3185</v>
      </c>
      <c r="D86" s="14" t="s">
        <v>365</v>
      </c>
      <c r="E86" s="14" t="s">
        <v>4265</v>
      </c>
      <c r="F86" s="14" t="s">
        <v>362</v>
      </c>
      <c r="G86" s="30" t="s">
        <v>366</v>
      </c>
      <c r="H86" s="30" t="s">
        <v>26</v>
      </c>
      <c r="I86" s="17">
        <v>0</v>
      </c>
      <c r="J86" s="65"/>
      <c r="K86" s="65"/>
      <c r="L86" s="65"/>
      <c r="M86" s="65"/>
      <c r="N86" s="17">
        <v>263400</v>
      </c>
      <c r="O86" s="17">
        <v>183700</v>
      </c>
      <c r="P86" s="17">
        <f>N86-O86</f>
      </c>
      <c r="Q86" s="14" t="s">
        <v>50</v>
      </c>
      <c r="R86" s="33" t="s">
        <v>367</v>
      </c>
      <c r="S86" s="40">
        <v>2</v>
      </c>
      <c r="T86" s="17">
        <v>178180</v>
      </c>
      <c r="U86" s="17">
        <v>300000</v>
      </c>
      <c r="V86" s="65"/>
      <c r="W86" s="65"/>
      <c r="X86" s="17">
        <f>N86-T86-U86-W86</f>
      </c>
      <c r="Y86" s="294" t="s">
        <v>4266</v>
      </c>
      <c r="Z86" s="14" t="s">
        <v>1718</v>
      </c>
      <c r="AA86" s="161"/>
      <c r="AB86" s="32">
        <f>O86</f>
      </c>
      <c r="AC86" s="29"/>
      <c r="AD86" s="29"/>
      <c r="AE86" s="29"/>
      <c r="AF86" s="29">
        <f>AF85-AB86+AE86+AC86</f>
      </c>
      <c r="AG86" s="29"/>
      <c r="AH86" s="29"/>
      <c r="AI86" s="29">
        <f>AI85-AG86+AH86</f>
      </c>
      <c r="AJ86" s="34"/>
      <c r="AK86" s="34"/>
      <c r="AL86" s="29"/>
      <c r="AM86" s="29">
        <f>AM85-AL86</f>
      </c>
    </row>
    <row x14ac:dyDescent="0.25" r="87" customHeight="1" ht="15.75">
      <c r="A87" s="12">
        <v>45797</v>
      </c>
      <c r="B87" s="14" t="s">
        <v>46</v>
      </c>
      <c r="C87" s="14" t="s">
        <v>4267</v>
      </c>
      <c r="D87" s="14" t="s">
        <v>368</v>
      </c>
      <c r="E87" s="14" t="s">
        <v>4265</v>
      </c>
      <c r="F87" s="14" t="s">
        <v>162</v>
      </c>
      <c r="G87" s="30" t="s">
        <v>369</v>
      </c>
      <c r="H87" s="30" t="s">
        <v>26</v>
      </c>
      <c r="I87" s="65"/>
      <c r="J87" s="65"/>
      <c r="K87" s="65"/>
      <c r="L87" s="65"/>
      <c r="M87" s="65"/>
      <c r="N87" s="17">
        <v>660600</v>
      </c>
      <c r="O87" s="17">
        <v>590600</v>
      </c>
      <c r="P87" s="17">
        <f>N87-O87</f>
      </c>
      <c r="Q87" s="14" t="s">
        <v>50</v>
      </c>
      <c r="R87" s="33" t="s">
        <v>370</v>
      </c>
      <c r="S87" s="41" t="s">
        <v>251</v>
      </c>
      <c r="T87" s="65"/>
      <c r="U87" s="65"/>
      <c r="V87" s="65"/>
      <c r="W87" s="65"/>
      <c r="X87" s="17">
        <f>N87-T87-W87</f>
      </c>
      <c r="Y87" s="293"/>
      <c r="Z87" s="14"/>
      <c r="AA87" s="161"/>
      <c r="AB87" s="32">
        <f>O87</f>
      </c>
      <c r="AC87" s="29"/>
      <c r="AD87" s="29"/>
      <c r="AE87" s="29"/>
      <c r="AF87" s="29">
        <f>AF86-AB87+AE87+AC87</f>
      </c>
      <c r="AG87" s="29"/>
      <c r="AH87" s="29"/>
      <c r="AI87" s="29">
        <f>AI86-AG87+AH87</f>
      </c>
      <c r="AJ87" s="34"/>
      <c r="AK87" s="34"/>
      <c r="AL87" s="29"/>
      <c r="AM87" s="29">
        <f>AM86-AL87</f>
      </c>
    </row>
    <row x14ac:dyDescent="0.25" r="88" customHeight="1" ht="15.75">
      <c r="A88" s="12">
        <v>45798</v>
      </c>
      <c r="B88" s="14" t="s">
        <v>22</v>
      </c>
      <c r="C88" s="14" t="s">
        <v>4268</v>
      </c>
      <c r="D88" s="14" t="s">
        <v>4269</v>
      </c>
      <c r="E88" s="14" t="s">
        <v>4270</v>
      </c>
      <c r="F88" s="14" t="s">
        <v>548</v>
      </c>
      <c r="G88" s="30" t="s">
        <v>675</v>
      </c>
      <c r="H88" s="30" t="s">
        <v>26</v>
      </c>
      <c r="I88" s="65"/>
      <c r="J88" s="65"/>
      <c r="K88" s="65"/>
      <c r="L88" s="65"/>
      <c r="M88" s="65"/>
      <c r="N88" s="17">
        <v>529980</v>
      </c>
      <c r="O88" s="17">
        <v>438201</v>
      </c>
      <c r="P88" s="17">
        <f>N88-O88</f>
      </c>
      <c r="Q88" s="14" t="s">
        <v>22</v>
      </c>
      <c r="R88" s="33" t="s">
        <v>4271</v>
      </c>
      <c r="S88" s="41"/>
      <c r="T88" s="65"/>
      <c r="U88" s="65"/>
      <c r="V88" s="65"/>
      <c r="W88" s="65"/>
      <c r="X88" s="17">
        <f>N88-T88-W88</f>
      </c>
      <c r="Y88" s="293"/>
      <c r="Z88" s="14"/>
      <c r="AA88" s="161"/>
      <c r="AB88" s="32">
        <v>0</v>
      </c>
      <c r="AC88" s="29"/>
      <c r="AD88" s="29"/>
      <c r="AE88" s="29"/>
      <c r="AF88" s="29">
        <f>AF87-AB88+AE88+AC88</f>
      </c>
      <c r="AG88" s="29"/>
      <c r="AH88" s="29"/>
      <c r="AI88" s="29">
        <f>AI87-AG88+AH88</f>
      </c>
      <c r="AJ88" s="34"/>
      <c r="AK88" s="34"/>
      <c r="AL88" s="29"/>
      <c r="AM88" s="29">
        <f>AM87-AL88</f>
      </c>
    </row>
    <row x14ac:dyDescent="0.25" r="89" customHeight="1" ht="15.75">
      <c r="A89" s="12">
        <v>45798</v>
      </c>
      <c r="B89" s="14" t="s">
        <v>53</v>
      </c>
      <c r="C89" s="14" t="s">
        <v>4272</v>
      </c>
      <c r="D89" s="14" t="s">
        <v>371</v>
      </c>
      <c r="E89" s="14" t="s">
        <v>4273</v>
      </c>
      <c r="F89" s="14" t="s">
        <v>162</v>
      </c>
      <c r="G89" s="30" t="s">
        <v>351</v>
      </c>
      <c r="H89" s="30" t="s">
        <v>26</v>
      </c>
      <c r="I89" s="17">
        <v>1749500</v>
      </c>
      <c r="J89" s="65"/>
      <c r="K89" s="65"/>
      <c r="L89" s="65"/>
      <c r="M89" s="65"/>
      <c r="N89" s="17">
        <v>2180920</v>
      </c>
      <c r="O89" s="17">
        <v>2072600</v>
      </c>
      <c r="P89" s="17">
        <f>N89-O89</f>
      </c>
      <c r="Q89" s="14" t="s">
        <v>137</v>
      </c>
      <c r="R89" s="33" t="s">
        <v>372</v>
      </c>
      <c r="S89" s="41"/>
      <c r="T89" s="65"/>
      <c r="U89" s="65"/>
      <c r="V89" s="65"/>
      <c r="W89" s="65"/>
      <c r="X89" s="17">
        <f>N89-T89-W89</f>
      </c>
      <c r="Y89" s="293"/>
      <c r="Z89" s="14"/>
      <c r="AA89" s="161"/>
      <c r="AB89" s="32">
        <f>O89</f>
      </c>
      <c r="AC89" s="29"/>
      <c r="AD89" s="29"/>
      <c r="AE89" s="29"/>
      <c r="AF89" s="29">
        <f>AF88-AB89+AE89+AC89</f>
      </c>
      <c r="AG89" s="29"/>
      <c r="AH89" s="29"/>
      <c r="AI89" s="29">
        <f>AI88-AG89+AH89</f>
      </c>
      <c r="AJ89" s="34"/>
      <c r="AK89" s="34"/>
      <c r="AL89" s="29"/>
      <c r="AM89" s="29">
        <f>AM88-AL89</f>
      </c>
    </row>
    <row x14ac:dyDescent="0.25" r="90" customHeight="1" ht="15.75">
      <c r="A90" s="12">
        <v>45798</v>
      </c>
      <c r="B90" s="14" t="s">
        <v>66</v>
      </c>
      <c r="C90" s="14" t="s">
        <v>4274</v>
      </c>
      <c r="D90" s="14" t="s">
        <v>373</v>
      </c>
      <c r="E90" s="14" t="s">
        <v>4275</v>
      </c>
      <c r="F90" s="14" t="s">
        <v>162</v>
      </c>
      <c r="G90" s="30" t="s">
        <v>351</v>
      </c>
      <c r="H90" s="30" t="s">
        <v>26</v>
      </c>
      <c r="I90" s="17">
        <v>605800</v>
      </c>
      <c r="J90" s="65"/>
      <c r="K90" s="65"/>
      <c r="L90" s="65"/>
      <c r="M90" s="65"/>
      <c r="N90" s="17">
        <v>941800</v>
      </c>
      <c r="O90" s="17">
        <v>861720</v>
      </c>
      <c r="P90" s="17">
        <f>N90-O90</f>
      </c>
      <c r="Q90" s="14" t="s">
        <v>50</v>
      </c>
      <c r="R90" s="33" t="s">
        <v>374</v>
      </c>
      <c r="S90" s="40">
        <v>2</v>
      </c>
      <c r="T90" s="65"/>
      <c r="U90" s="65"/>
      <c r="V90" s="65"/>
      <c r="W90" s="65"/>
      <c r="X90" s="17">
        <f>N90-T90-W90</f>
      </c>
      <c r="Y90" s="293"/>
      <c r="Z90" s="14"/>
      <c r="AA90" s="161"/>
      <c r="AB90" s="32">
        <f>O90</f>
      </c>
      <c r="AC90" s="29"/>
      <c r="AD90" s="29"/>
      <c r="AE90" s="29"/>
      <c r="AF90" s="29">
        <f>AF89-AB90+AE90+AC90</f>
      </c>
      <c r="AG90" s="29"/>
      <c r="AH90" s="29"/>
      <c r="AI90" s="29">
        <f>AI89-AG90+AH90</f>
      </c>
      <c r="AJ90" s="34"/>
      <c r="AK90" s="34"/>
      <c r="AL90" s="29"/>
      <c r="AM90" s="29">
        <f>AM89-AL90</f>
      </c>
    </row>
    <row x14ac:dyDescent="0.25" r="91" customHeight="1" ht="26.25">
      <c r="A91" s="12">
        <v>45798</v>
      </c>
      <c r="B91" s="14" t="s">
        <v>46</v>
      </c>
      <c r="C91" s="14" t="s">
        <v>4276</v>
      </c>
      <c r="D91" s="14" t="s">
        <v>375</v>
      </c>
      <c r="E91" s="14" t="s">
        <v>4277</v>
      </c>
      <c r="F91" s="14" t="s">
        <v>320</v>
      </c>
      <c r="G91" s="30" t="s">
        <v>376</v>
      </c>
      <c r="H91" s="30" t="s">
        <v>26</v>
      </c>
      <c r="I91" s="17">
        <v>353200</v>
      </c>
      <c r="J91" s="65"/>
      <c r="K91" s="65"/>
      <c r="L91" s="65"/>
      <c r="M91" s="65"/>
      <c r="N91" s="17">
        <v>898520</v>
      </c>
      <c r="O91" s="17">
        <v>661420</v>
      </c>
      <c r="P91" s="17">
        <f>N91-O91</f>
      </c>
      <c r="Q91" s="14" t="s">
        <v>50</v>
      </c>
      <c r="R91" s="33" t="s">
        <v>377</v>
      </c>
      <c r="S91" s="40">
        <v>2</v>
      </c>
      <c r="T91" s="17">
        <v>793000</v>
      </c>
      <c r="U91" s="65"/>
      <c r="V91" s="65"/>
      <c r="W91" s="17">
        <v>105520</v>
      </c>
      <c r="X91" s="17">
        <f>N91-T91-W91</f>
      </c>
      <c r="Y91" s="294" t="s">
        <v>4278</v>
      </c>
      <c r="Z91" s="14" t="s">
        <v>1718</v>
      </c>
      <c r="AA91" s="161"/>
      <c r="AB91" s="32">
        <f>O91</f>
      </c>
      <c r="AC91" s="29"/>
      <c r="AD91" s="29"/>
      <c r="AE91" s="29"/>
      <c r="AF91" s="29">
        <f>AF90-AB91+AE91+AC91</f>
      </c>
      <c r="AG91" s="29"/>
      <c r="AH91" s="29"/>
      <c r="AI91" s="29">
        <f>AI90-AG91+AH91</f>
      </c>
      <c r="AJ91" s="34"/>
      <c r="AK91" s="34"/>
      <c r="AL91" s="29"/>
      <c r="AM91" s="29">
        <f>AM90-AL91</f>
      </c>
    </row>
    <row x14ac:dyDescent="0.25" r="92" customHeight="1" ht="15.75">
      <c r="A92" s="12">
        <v>45798</v>
      </c>
      <c r="B92" s="14" t="s">
        <v>82</v>
      </c>
      <c r="C92" s="14" t="s">
        <v>4279</v>
      </c>
      <c r="D92" s="14" t="s">
        <v>83</v>
      </c>
      <c r="E92" s="14" t="s">
        <v>4280</v>
      </c>
      <c r="F92" s="14" t="s">
        <v>174</v>
      </c>
      <c r="G92" s="30" t="s">
        <v>4281</v>
      </c>
      <c r="H92" s="30" t="s">
        <v>26</v>
      </c>
      <c r="I92" s="65"/>
      <c r="J92" s="65"/>
      <c r="K92" s="65"/>
      <c r="L92" s="65"/>
      <c r="M92" s="65"/>
      <c r="N92" s="17">
        <v>131500</v>
      </c>
      <c r="O92" s="17">
        <v>111340</v>
      </c>
      <c r="P92" s="17">
        <f>N92-O92</f>
      </c>
      <c r="Q92" s="14" t="s">
        <v>82</v>
      </c>
      <c r="R92" s="33" t="s">
        <v>4282</v>
      </c>
      <c r="S92" s="41" t="s">
        <v>4283</v>
      </c>
      <c r="T92" s="65"/>
      <c r="U92" s="65"/>
      <c r="V92" s="65"/>
      <c r="W92" s="17">
        <v>131500</v>
      </c>
      <c r="X92" s="17">
        <f>N92-T92-W92</f>
      </c>
      <c r="Y92" s="293">
        <v>45821</v>
      </c>
      <c r="Z92" s="14" t="s">
        <v>1718</v>
      </c>
      <c r="AA92" s="161"/>
      <c r="AB92" s="32">
        <v>0</v>
      </c>
      <c r="AC92" s="29"/>
      <c r="AD92" s="29"/>
      <c r="AE92" s="29"/>
      <c r="AF92" s="29">
        <f>AF91-AB92+AE92+AC92</f>
      </c>
      <c r="AG92" s="29"/>
      <c r="AH92" s="29"/>
      <c r="AI92" s="29">
        <f>AI91-AG92+AH92</f>
      </c>
      <c r="AJ92" s="34"/>
      <c r="AK92" s="34"/>
      <c r="AL92" s="29"/>
      <c r="AM92" s="29">
        <f>AM91-AL92</f>
      </c>
    </row>
    <row x14ac:dyDescent="0.25" r="93" customHeight="1" ht="15.75">
      <c r="A93" s="12">
        <v>45798</v>
      </c>
      <c r="B93" s="14" t="s">
        <v>82</v>
      </c>
      <c r="C93" s="14" t="s">
        <v>4284</v>
      </c>
      <c r="D93" s="14" t="s">
        <v>83</v>
      </c>
      <c r="E93" s="14" t="s">
        <v>4285</v>
      </c>
      <c r="F93" s="14" t="s">
        <v>24</v>
      </c>
      <c r="G93" s="30" t="s">
        <v>3031</v>
      </c>
      <c r="H93" s="30" t="s">
        <v>26</v>
      </c>
      <c r="I93" s="65"/>
      <c r="J93" s="65"/>
      <c r="K93" s="65"/>
      <c r="L93" s="65"/>
      <c r="M93" s="65"/>
      <c r="N93" s="17">
        <v>117500</v>
      </c>
      <c r="O93" s="17">
        <v>97140</v>
      </c>
      <c r="P93" s="17">
        <f>N93-O93</f>
      </c>
      <c r="Q93" s="14" t="s">
        <v>86</v>
      </c>
      <c r="R93" s="33" t="s">
        <v>4286</v>
      </c>
      <c r="S93" s="41"/>
      <c r="T93" s="65"/>
      <c r="U93" s="65"/>
      <c r="V93" s="65"/>
      <c r="W93" s="17">
        <v>117500</v>
      </c>
      <c r="X93" s="17">
        <f>N93-T93-W93</f>
      </c>
      <c r="Y93" s="293">
        <v>45842</v>
      </c>
      <c r="Z93" s="14" t="s">
        <v>2122</v>
      </c>
      <c r="AA93" s="161"/>
      <c r="AB93" s="32">
        <v>0</v>
      </c>
      <c r="AC93" s="29"/>
      <c r="AD93" s="29"/>
      <c r="AE93" s="29"/>
      <c r="AF93" s="29">
        <f>AF92-AB93+AE93+AC93</f>
      </c>
      <c r="AG93" s="32">
        <v>117500</v>
      </c>
      <c r="AH93" s="29"/>
      <c r="AI93" s="29">
        <f>AI92-AG93+AH93</f>
      </c>
      <c r="AJ93" s="34"/>
      <c r="AK93" s="34"/>
      <c r="AL93" s="29"/>
      <c r="AM93" s="29">
        <f>AM92-AL93</f>
      </c>
    </row>
    <row x14ac:dyDescent="0.25" r="94" customHeight="1" ht="15.75">
      <c r="A94" s="12">
        <v>45798</v>
      </c>
      <c r="B94" s="14" t="s">
        <v>66</v>
      </c>
      <c r="C94" s="14" t="s">
        <v>4287</v>
      </c>
      <c r="D94" s="14" t="s">
        <v>166</v>
      </c>
      <c r="E94" s="14" t="s">
        <v>4288</v>
      </c>
      <c r="F94" s="14" t="s">
        <v>378</v>
      </c>
      <c r="G94" s="30" t="s">
        <v>379</v>
      </c>
      <c r="H94" s="30" t="s">
        <v>26</v>
      </c>
      <c r="I94" s="65"/>
      <c r="J94" s="65"/>
      <c r="K94" s="65"/>
      <c r="L94" s="65"/>
      <c r="M94" s="65"/>
      <c r="N94" s="17">
        <v>45000</v>
      </c>
      <c r="O94" s="17">
        <v>30000</v>
      </c>
      <c r="P94" s="17">
        <f>N94-O94</f>
      </c>
      <c r="Q94" s="14" t="s">
        <v>50</v>
      </c>
      <c r="R94" s="33" t="s">
        <v>380</v>
      </c>
      <c r="S94" s="41" t="s">
        <v>251</v>
      </c>
      <c r="T94" s="65"/>
      <c r="U94" s="65"/>
      <c r="V94" s="65"/>
      <c r="W94" s="65"/>
      <c r="X94" s="17">
        <f>N94-T94-W94</f>
      </c>
      <c r="Y94" s="293"/>
      <c r="Z94" s="14"/>
      <c r="AA94" s="161"/>
      <c r="AB94" s="32">
        <f>O94</f>
      </c>
      <c r="AC94" s="29"/>
      <c r="AD94" s="29"/>
      <c r="AE94" s="29"/>
      <c r="AF94" s="29">
        <f>AF93-AB94+AE94+AC94</f>
      </c>
      <c r="AG94" s="29"/>
      <c r="AH94" s="29"/>
      <c r="AI94" s="29">
        <f>AI93-AG94+AH94</f>
      </c>
      <c r="AJ94" s="34"/>
      <c r="AK94" s="34"/>
      <c r="AL94" s="29"/>
      <c r="AM94" s="29">
        <f>AM93-AL94</f>
      </c>
    </row>
    <row x14ac:dyDescent="0.25" r="95" customHeight="1" ht="15.75">
      <c r="A95" s="12">
        <v>45799</v>
      </c>
      <c r="B95" s="14" t="s">
        <v>66</v>
      </c>
      <c r="C95" s="14" t="s">
        <v>4289</v>
      </c>
      <c r="D95" s="14" t="s">
        <v>306</v>
      </c>
      <c r="E95" s="14" t="s">
        <v>4290</v>
      </c>
      <c r="F95" s="14" t="s">
        <v>84</v>
      </c>
      <c r="G95" s="30" t="s">
        <v>381</v>
      </c>
      <c r="H95" s="30" t="s">
        <v>26</v>
      </c>
      <c r="I95" s="17">
        <v>254900</v>
      </c>
      <c r="J95" s="65"/>
      <c r="K95" s="65"/>
      <c r="L95" s="65"/>
      <c r="M95" s="65"/>
      <c r="N95" s="17">
        <v>694900</v>
      </c>
      <c r="O95" s="17">
        <v>604420</v>
      </c>
      <c r="P95" s="17">
        <f>N95-O95</f>
      </c>
      <c r="Q95" s="14" t="s">
        <v>50</v>
      </c>
      <c r="R95" s="33" t="s">
        <v>382</v>
      </c>
      <c r="S95" s="40">
        <v>2</v>
      </c>
      <c r="T95" s="65"/>
      <c r="U95" s="65"/>
      <c r="V95" s="65"/>
      <c r="W95" s="17">
        <v>694900</v>
      </c>
      <c r="X95" s="17">
        <f>N95-T95-W95</f>
      </c>
      <c r="Y95" s="293">
        <v>45828</v>
      </c>
      <c r="Z95" s="14" t="s">
        <v>2122</v>
      </c>
      <c r="AA95" s="161"/>
      <c r="AB95" s="32">
        <f>O95</f>
      </c>
      <c r="AC95" s="29"/>
      <c r="AD95" s="29"/>
      <c r="AE95" s="29"/>
      <c r="AF95" s="29">
        <f>AF94-AB95+AE95+AC95</f>
      </c>
      <c r="AG95" s="29"/>
      <c r="AH95" s="29"/>
      <c r="AI95" s="29">
        <f>AI94-AG95+AH95</f>
      </c>
      <c r="AJ95" s="34"/>
      <c r="AK95" s="34"/>
      <c r="AL95" s="29"/>
      <c r="AM95" s="29">
        <f>AM94-AL95</f>
      </c>
    </row>
    <row x14ac:dyDescent="0.25" r="96" customHeight="1" ht="15.75">
      <c r="A96" s="12">
        <v>45799</v>
      </c>
      <c r="B96" s="14" t="s">
        <v>66</v>
      </c>
      <c r="C96" s="14" t="s">
        <v>4289</v>
      </c>
      <c r="D96" s="14" t="s">
        <v>166</v>
      </c>
      <c r="E96" s="14" t="s">
        <v>4291</v>
      </c>
      <c r="F96" s="14" t="s">
        <v>84</v>
      </c>
      <c r="G96" s="30" t="s">
        <v>383</v>
      </c>
      <c r="H96" s="30" t="s">
        <v>26</v>
      </c>
      <c r="I96" s="17">
        <v>204800</v>
      </c>
      <c r="J96" s="65"/>
      <c r="K96" s="65"/>
      <c r="L96" s="65"/>
      <c r="M96" s="65"/>
      <c r="N96" s="17">
        <v>644800</v>
      </c>
      <c r="O96" s="17">
        <v>554320</v>
      </c>
      <c r="P96" s="17">
        <f>N96-O96</f>
      </c>
      <c r="Q96" s="14" t="s">
        <v>50</v>
      </c>
      <c r="R96" s="33" t="s">
        <v>384</v>
      </c>
      <c r="S96" s="40">
        <v>2</v>
      </c>
      <c r="T96" s="65"/>
      <c r="U96" s="65"/>
      <c r="V96" s="65"/>
      <c r="W96" s="17">
        <v>644800</v>
      </c>
      <c r="X96" s="17">
        <f>N96-T96-W96</f>
      </c>
      <c r="Y96" s="293">
        <v>45828</v>
      </c>
      <c r="Z96" s="14" t="s">
        <v>2122</v>
      </c>
      <c r="AA96" s="161"/>
      <c r="AB96" s="32">
        <f>O96</f>
      </c>
      <c r="AC96" s="29"/>
      <c r="AD96" s="29"/>
      <c r="AE96" s="29"/>
      <c r="AF96" s="29">
        <f>AF95-AB96+AE96+AC96</f>
      </c>
      <c r="AG96" s="29"/>
      <c r="AH96" s="29"/>
      <c r="AI96" s="29">
        <f>AI95-AG96+AH96</f>
      </c>
      <c r="AJ96" s="34"/>
      <c r="AK96" s="34"/>
      <c r="AL96" s="29"/>
      <c r="AM96" s="29">
        <f>AM95-AL96</f>
      </c>
    </row>
    <row x14ac:dyDescent="0.25" r="97" customHeight="1" ht="15.75">
      <c r="A97" s="12">
        <v>45799</v>
      </c>
      <c r="B97" s="14" t="s">
        <v>111</v>
      </c>
      <c r="C97" s="14" t="s">
        <v>4155</v>
      </c>
      <c r="D97" s="14" t="s">
        <v>306</v>
      </c>
      <c r="E97" s="14" t="s">
        <v>4292</v>
      </c>
      <c r="F97" s="14" t="s">
        <v>162</v>
      </c>
      <c r="G97" s="30" t="s">
        <v>385</v>
      </c>
      <c r="H97" s="30" t="s">
        <v>26</v>
      </c>
      <c r="I97" s="17">
        <v>124800</v>
      </c>
      <c r="J97" s="65"/>
      <c r="K97" s="65"/>
      <c r="L97" s="65"/>
      <c r="M97" s="65"/>
      <c r="N97" s="17">
        <v>546820</v>
      </c>
      <c r="O97" s="17">
        <v>496820</v>
      </c>
      <c r="P97" s="17">
        <f>N97-O97</f>
      </c>
      <c r="Q97" s="14" t="s">
        <v>50</v>
      </c>
      <c r="R97" s="31" t="s">
        <v>386</v>
      </c>
      <c r="S97" s="40">
        <v>4</v>
      </c>
      <c r="T97" s="65"/>
      <c r="U97" s="65"/>
      <c r="V97" s="65"/>
      <c r="W97" s="65"/>
      <c r="X97" s="17">
        <f>N97-T97-W97</f>
      </c>
      <c r="Y97" s="293"/>
      <c r="Z97" s="14"/>
      <c r="AA97" s="161"/>
      <c r="AB97" s="32">
        <f>O97</f>
      </c>
      <c r="AC97" s="29"/>
      <c r="AD97" s="29"/>
      <c r="AE97" s="29"/>
      <c r="AF97" s="29">
        <f>AF96-AB97+AE97+AC97</f>
      </c>
      <c r="AG97" s="29"/>
      <c r="AH97" s="29"/>
      <c r="AI97" s="29">
        <f>AI96-AG97+AH97</f>
      </c>
      <c r="AJ97" s="34"/>
      <c r="AK97" s="34"/>
      <c r="AL97" s="29"/>
      <c r="AM97" s="29">
        <f>AM96-AL97</f>
      </c>
    </row>
    <row x14ac:dyDescent="0.25" r="98" customHeight="1" ht="15.75">
      <c r="A98" s="12">
        <v>45799</v>
      </c>
      <c r="B98" s="14" t="s">
        <v>111</v>
      </c>
      <c r="C98" s="14" t="s">
        <v>4293</v>
      </c>
      <c r="D98" s="14" t="s">
        <v>112</v>
      </c>
      <c r="E98" s="14" t="s">
        <v>4294</v>
      </c>
      <c r="F98" s="14" t="s">
        <v>84</v>
      </c>
      <c r="G98" s="30" t="s">
        <v>387</v>
      </c>
      <c r="H98" s="30" t="s">
        <v>26</v>
      </c>
      <c r="I98" s="17">
        <v>145800</v>
      </c>
      <c r="J98" s="65"/>
      <c r="K98" s="65"/>
      <c r="L98" s="65"/>
      <c r="M98" s="65"/>
      <c r="N98" s="17">
        <v>513900</v>
      </c>
      <c r="O98" s="17">
        <v>413405</v>
      </c>
      <c r="P98" s="17">
        <f>N98-O98</f>
      </c>
      <c r="Q98" s="14" t="s">
        <v>50</v>
      </c>
      <c r="R98" s="31" t="s">
        <v>388</v>
      </c>
      <c r="S98" s="40">
        <v>2</v>
      </c>
      <c r="T98" s="65"/>
      <c r="U98" s="65"/>
      <c r="V98" s="65"/>
      <c r="W98" s="17">
        <v>513900</v>
      </c>
      <c r="X98" s="17">
        <f>N98-T98-W98</f>
      </c>
      <c r="Y98" s="293">
        <v>45828</v>
      </c>
      <c r="Z98" s="14" t="s">
        <v>2122</v>
      </c>
      <c r="AA98" s="161"/>
      <c r="AB98" s="32">
        <f>O98</f>
      </c>
      <c r="AC98" s="29"/>
      <c r="AD98" s="29"/>
      <c r="AE98" s="29"/>
      <c r="AF98" s="29">
        <f>AF97-AB98+AE98+AC98</f>
      </c>
      <c r="AG98" s="29"/>
      <c r="AH98" s="29"/>
      <c r="AI98" s="29">
        <f>AI97-AG98+AH98</f>
      </c>
      <c r="AJ98" s="34"/>
      <c r="AK98" s="34"/>
      <c r="AL98" s="29"/>
      <c r="AM98" s="29">
        <f>AM97-AL98</f>
      </c>
    </row>
    <row x14ac:dyDescent="0.25" r="99" customHeight="1" ht="15.75">
      <c r="A99" s="12">
        <v>45799</v>
      </c>
      <c r="B99" s="14" t="s">
        <v>111</v>
      </c>
      <c r="C99" s="14" t="s">
        <v>4295</v>
      </c>
      <c r="D99" s="14" t="s">
        <v>112</v>
      </c>
      <c r="E99" s="14" t="s">
        <v>4296</v>
      </c>
      <c r="F99" s="14" t="s">
        <v>84</v>
      </c>
      <c r="G99" s="30" t="s">
        <v>389</v>
      </c>
      <c r="H99" s="30" t="s">
        <v>26</v>
      </c>
      <c r="I99" s="17">
        <v>145800</v>
      </c>
      <c r="J99" s="65"/>
      <c r="K99" s="65"/>
      <c r="L99" s="65"/>
      <c r="M99" s="65"/>
      <c r="N99" s="17">
        <v>513900</v>
      </c>
      <c r="O99" s="17">
        <v>413405</v>
      </c>
      <c r="P99" s="17">
        <f>N99-O99</f>
      </c>
      <c r="Q99" s="14" t="s">
        <v>50</v>
      </c>
      <c r="R99" s="31" t="s">
        <v>390</v>
      </c>
      <c r="S99" s="40">
        <v>2</v>
      </c>
      <c r="T99" s="65"/>
      <c r="U99" s="65"/>
      <c r="V99" s="65"/>
      <c r="W99" s="17">
        <v>513900</v>
      </c>
      <c r="X99" s="17">
        <f>N99-T99-W99</f>
      </c>
      <c r="Y99" s="293">
        <v>45828</v>
      </c>
      <c r="Z99" s="14" t="s">
        <v>2122</v>
      </c>
      <c r="AA99" s="161"/>
      <c r="AB99" s="32">
        <f>O99</f>
      </c>
      <c r="AC99" s="29"/>
      <c r="AD99" s="29"/>
      <c r="AE99" s="29"/>
      <c r="AF99" s="29">
        <f>AF98-AB99+AE99+AC99</f>
      </c>
      <c r="AG99" s="29"/>
      <c r="AH99" s="29"/>
      <c r="AI99" s="29">
        <f>AI98-AG99+AH99</f>
      </c>
      <c r="AJ99" s="34"/>
      <c r="AK99" s="34"/>
      <c r="AL99" s="29"/>
      <c r="AM99" s="29">
        <f>AM98-AL99</f>
      </c>
    </row>
    <row x14ac:dyDescent="0.25" r="100" customHeight="1" ht="15.75">
      <c r="A100" s="12">
        <v>45799</v>
      </c>
      <c r="B100" s="14" t="s">
        <v>72</v>
      </c>
      <c r="C100" s="14" t="s">
        <v>3900</v>
      </c>
      <c r="D100" s="14" t="s">
        <v>156</v>
      </c>
      <c r="E100" s="14" t="s">
        <v>4297</v>
      </c>
      <c r="F100" s="14" t="s">
        <v>391</v>
      </c>
      <c r="G100" s="3" t="s">
        <v>392</v>
      </c>
      <c r="H100" s="30" t="s">
        <v>26</v>
      </c>
      <c r="I100" s="17">
        <v>234600</v>
      </c>
      <c r="J100" s="65"/>
      <c r="K100" s="65"/>
      <c r="L100" s="65"/>
      <c r="M100" s="65"/>
      <c r="N100" s="17">
        <v>562920</v>
      </c>
      <c r="O100" s="17">
        <v>512020</v>
      </c>
      <c r="P100" s="17">
        <f>N100-O100</f>
      </c>
      <c r="Q100" s="14" t="s">
        <v>50</v>
      </c>
      <c r="R100" s="31" t="s">
        <v>393</v>
      </c>
      <c r="S100" s="40">
        <v>4</v>
      </c>
      <c r="T100" s="65"/>
      <c r="U100" s="65"/>
      <c r="V100" s="65"/>
      <c r="W100" s="17">
        <v>562920</v>
      </c>
      <c r="X100" s="17">
        <f>N100-T100-W100</f>
      </c>
      <c r="Y100" s="293">
        <v>45807</v>
      </c>
      <c r="Z100" s="14" t="s">
        <v>2122</v>
      </c>
      <c r="AA100" s="161"/>
      <c r="AB100" s="32">
        <f>O100</f>
      </c>
      <c r="AC100" s="29"/>
      <c r="AD100" s="29"/>
      <c r="AE100" s="29"/>
      <c r="AF100" s="29">
        <f>AF99-AB100+AE100+AC100</f>
      </c>
      <c r="AG100" s="29"/>
      <c r="AH100" s="29"/>
      <c r="AI100" s="29">
        <f>AI99-AG100+AH100</f>
      </c>
      <c r="AJ100" s="34"/>
      <c r="AK100" s="34"/>
      <c r="AL100" s="29"/>
      <c r="AM100" s="29">
        <f>AM99-AL100</f>
      </c>
    </row>
    <row x14ac:dyDescent="0.25" r="101" customHeight="1" ht="15.75">
      <c r="A101" s="12">
        <v>45799</v>
      </c>
      <c r="B101" s="14" t="s">
        <v>72</v>
      </c>
      <c r="C101" s="14" t="s">
        <v>4298</v>
      </c>
      <c r="D101" s="14" t="s">
        <v>867</v>
      </c>
      <c r="E101" s="14" t="s">
        <v>4299</v>
      </c>
      <c r="F101" s="14" t="s">
        <v>2318</v>
      </c>
      <c r="G101" s="30" t="s">
        <v>4300</v>
      </c>
      <c r="H101" s="30" t="s">
        <v>127</v>
      </c>
      <c r="I101" s="65"/>
      <c r="J101" s="65"/>
      <c r="K101" s="65"/>
      <c r="L101" s="65"/>
      <c r="M101" s="65"/>
      <c r="N101" s="17">
        <v>2799920</v>
      </c>
      <c r="O101" s="17">
        <v>2599700</v>
      </c>
      <c r="P101" s="17">
        <f>N101-O101</f>
      </c>
      <c r="Q101" s="14" t="s">
        <v>3033</v>
      </c>
      <c r="R101" s="31" t="s">
        <v>4301</v>
      </c>
      <c r="S101" s="40">
        <v>2</v>
      </c>
      <c r="T101" s="65"/>
      <c r="U101" s="65"/>
      <c r="V101" s="65"/>
      <c r="W101" s="17">
        <v>2799520</v>
      </c>
      <c r="X101" s="17">
        <f>N101-T101-W101</f>
      </c>
      <c r="Y101" s="293">
        <v>45810</v>
      </c>
      <c r="Z101" s="14" t="s">
        <v>1718</v>
      </c>
      <c r="AA101" s="161"/>
      <c r="AB101" s="32">
        <v>0</v>
      </c>
      <c r="AC101" s="29"/>
      <c r="AD101" s="29"/>
      <c r="AE101" s="29"/>
      <c r="AF101" s="29">
        <f>AF100-AB101+AE101+AC101</f>
      </c>
      <c r="AG101" s="29"/>
      <c r="AH101" s="29"/>
      <c r="AI101" s="29">
        <f>AI100-AG101+AH101</f>
      </c>
      <c r="AJ101" s="34"/>
      <c r="AK101" s="34"/>
      <c r="AL101" s="29"/>
      <c r="AM101" s="29">
        <f>AM100-AL101</f>
      </c>
    </row>
    <row x14ac:dyDescent="0.25" r="102" customHeight="1" ht="15.75">
      <c r="A102" s="12">
        <v>45800</v>
      </c>
      <c r="B102" s="14" t="s">
        <v>66</v>
      </c>
      <c r="C102" s="14" t="s">
        <v>4302</v>
      </c>
      <c r="D102" s="14" t="s">
        <v>166</v>
      </c>
      <c r="E102" s="14" t="s">
        <v>4303</v>
      </c>
      <c r="F102" s="14" t="s">
        <v>4304</v>
      </c>
      <c r="G102" s="30" t="s">
        <v>394</v>
      </c>
      <c r="H102" s="30" t="s">
        <v>26</v>
      </c>
      <c r="I102" s="17">
        <v>140600</v>
      </c>
      <c r="J102" s="65"/>
      <c r="K102" s="65"/>
      <c r="L102" s="65"/>
      <c r="M102" s="65"/>
      <c r="N102" s="17">
        <v>515900</v>
      </c>
      <c r="O102" s="17">
        <v>490120</v>
      </c>
      <c r="P102" s="17">
        <f>N102-O102</f>
      </c>
      <c r="Q102" s="14" t="s">
        <v>50</v>
      </c>
      <c r="R102" s="31" t="s">
        <v>395</v>
      </c>
      <c r="S102" s="40">
        <v>2</v>
      </c>
      <c r="T102" s="65"/>
      <c r="U102" s="65"/>
      <c r="V102" s="65"/>
      <c r="W102" s="17">
        <v>515900</v>
      </c>
      <c r="X102" s="17">
        <f>N102-T102-W102</f>
      </c>
      <c r="Y102" s="293">
        <v>45849</v>
      </c>
      <c r="Z102" s="14" t="s">
        <v>2122</v>
      </c>
      <c r="AA102" s="161"/>
      <c r="AB102" s="32">
        <f>O102</f>
      </c>
      <c r="AC102" s="29"/>
      <c r="AD102" s="29"/>
      <c r="AE102" s="29"/>
      <c r="AF102" s="29">
        <f>AF101-AB102+AE102+AC102</f>
      </c>
      <c r="AG102" s="29"/>
      <c r="AH102" s="29"/>
      <c r="AI102" s="29">
        <f>AI101-AG102+AH102</f>
      </c>
      <c r="AJ102" s="34"/>
      <c r="AK102" s="34"/>
      <c r="AL102" s="29"/>
      <c r="AM102" s="29">
        <f>AM101-AL102</f>
      </c>
    </row>
    <row x14ac:dyDescent="0.25" r="103" customHeight="1" ht="15.75">
      <c r="A103" s="12">
        <v>45800</v>
      </c>
      <c r="B103" s="14" t="s">
        <v>22</v>
      </c>
      <c r="C103" s="14" t="s">
        <v>4165</v>
      </c>
      <c r="D103" s="14" t="s">
        <v>508</v>
      </c>
      <c r="E103" s="14" t="s">
        <v>4305</v>
      </c>
      <c r="F103" s="14" t="s">
        <v>548</v>
      </c>
      <c r="G103" s="308" t="s">
        <v>4306</v>
      </c>
      <c r="H103" s="30" t="s">
        <v>26</v>
      </c>
      <c r="I103" s="65"/>
      <c r="J103" s="65"/>
      <c r="K103" s="65"/>
      <c r="L103" s="65"/>
      <c r="M103" s="65"/>
      <c r="N103" s="17">
        <v>235920</v>
      </c>
      <c r="O103" s="17">
        <v>191500</v>
      </c>
      <c r="P103" s="17">
        <f>N103-O103</f>
      </c>
      <c r="Q103" s="14" t="s">
        <v>22</v>
      </c>
      <c r="R103" s="31" t="s">
        <v>4307</v>
      </c>
      <c r="S103" s="41"/>
      <c r="T103" s="65"/>
      <c r="U103" s="65"/>
      <c r="V103" s="65"/>
      <c r="W103" s="65"/>
      <c r="X103" s="17">
        <f>N103-T103-W103</f>
      </c>
      <c r="Y103" s="293"/>
      <c r="Z103" s="14"/>
      <c r="AA103" s="161"/>
      <c r="AB103" s="32">
        <v>0</v>
      </c>
      <c r="AC103" s="29"/>
      <c r="AD103" s="29"/>
      <c r="AE103" s="29"/>
      <c r="AF103" s="29">
        <f>AF102-AB103+AE103+AC103</f>
      </c>
      <c r="AG103" s="29"/>
      <c r="AH103" s="29"/>
      <c r="AI103" s="29">
        <f>AI102-AG103+AH103</f>
      </c>
      <c r="AJ103" s="34"/>
      <c r="AK103" s="34"/>
      <c r="AL103" s="29"/>
      <c r="AM103" s="29">
        <f>AM102-AL103</f>
      </c>
    </row>
    <row x14ac:dyDescent="0.25" r="104" customHeight="1" ht="15.75">
      <c r="A104" s="12">
        <v>45800</v>
      </c>
      <c r="B104" s="14" t="s">
        <v>475</v>
      </c>
      <c r="C104" s="14" t="s">
        <v>4308</v>
      </c>
      <c r="D104" s="14" t="s">
        <v>485</v>
      </c>
      <c r="E104" s="14" t="s">
        <v>4309</v>
      </c>
      <c r="F104" s="14" t="s">
        <v>548</v>
      </c>
      <c r="G104" s="308" t="s">
        <v>4306</v>
      </c>
      <c r="H104" s="30" t="s">
        <v>26</v>
      </c>
      <c r="I104" s="65"/>
      <c r="J104" s="65"/>
      <c r="K104" s="65"/>
      <c r="L104" s="65"/>
      <c r="M104" s="65"/>
      <c r="N104" s="17">
        <v>212000</v>
      </c>
      <c r="O104" s="17">
        <v>25000</v>
      </c>
      <c r="P104" s="17">
        <f>N104-O104</f>
      </c>
      <c r="Q104" s="14" t="s">
        <v>475</v>
      </c>
      <c r="R104" s="31" t="s">
        <v>4310</v>
      </c>
      <c r="S104" s="41" t="s">
        <v>4311</v>
      </c>
      <c r="T104" s="65"/>
      <c r="U104" s="65"/>
      <c r="V104" s="65"/>
      <c r="W104" s="65"/>
      <c r="X104" s="17">
        <f>N104-T104-W104</f>
      </c>
      <c r="Y104" s="293"/>
      <c r="Z104" s="14"/>
      <c r="AA104" s="161"/>
      <c r="AB104" s="32">
        <v>0</v>
      </c>
      <c r="AC104" s="29"/>
      <c r="AD104" s="29"/>
      <c r="AE104" s="29"/>
      <c r="AF104" s="29">
        <f>AF103-AB104+AE104+AC104</f>
      </c>
      <c r="AG104" s="29"/>
      <c r="AH104" s="29"/>
      <c r="AI104" s="29">
        <f>AI103-AG104+AH104</f>
      </c>
      <c r="AJ104" s="34"/>
      <c r="AK104" s="34"/>
      <c r="AL104" s="29"/>
      <c r="AM104" s="29">
        <f>AM103-AL104</f>
      </c>
    </row>
    <row x14ac:dyDescent="0.25" r="105" customHeight="1" ht="15.75">
      <c r="A105" s="12">
        <v>45800</v>
      </c>
      <c r="B105" s="14" t="s">
        <v>72</v>
      </c>
      <c r="C105" s="14" t="s">
        <v>4104</v>
      </c>
      <c r="D105" s="14" t="s">
        <v>156</v>
      </c>
      <c r="E105" s="14" t="s">
        <v>4312</v>
      </c>
      <c r="F105" s="14" t="s">
        <v>391</v>
      </c>
      <c r="G105" s="30" t="s">
        <v>392</v>
      </c>
      <c r="H105" s="30" t="s">
        <v>26</v>
      </c>
      <c r="I105" s="65"/>
      <c r="J105" s="65"/>
      <c r="K105" s="65"/>
      <c r="L105" s="65"/>
      <c r="M105" s="65"/>
      <c r="N105" s="17">
        <v>115700</v>
      </c>
      <c r="O105" s="17">
        <v>73100</v>
      </c>
      <c r="P105" s="17">
        <f>N105-O105</f>
      </c>
      <c r="Q105" s="14" t="s">
        <v>50</v>
      </c>
      <c r="R105" s="31" t="s">
        <v>396</v>
      </c>
      <c r="S105" s="41" t="s">
        <v>251</v>
      </c>
      <c r="T105" s="65"/>
      <c r="U105" s="65"/>
      <c r="V105" s="65"/>
      <c r="W105" s="17">
        <v>115700</v>
      </c>
      <c r="X105" s="17">
        <f>N105-T105-W105</f>
      </c>
      <c r="Y105" s="293">
        <v>45807</v>
      </c>
      <c r="Z105" s="14" t="s">
        <v>2122</v>
      </c>
      <c r="AA105" s="161"/>
      <c r="AB105" s="32">
        <f>O105</f>
      </c>
      <c r="AC105" s="29"/>
      <c r="AD105" s="29"/>
      <c r="AE105" s="29"/>
      <c r="AF105" s="29">
        <f>AF104-AB105+AE105+AC105</f>
      </c>
      <c r="AG105" s="29"/>
      <c r="AH105" s="29"/>
      <c r="AI105" s="29">
        <f>AI104-AG105+AH105</f>
      </c>
      <c r="AJ105" s="34"/>
      <c r="AK105" s="34"/>
      <c r="AL105" s="29"/>
      <c r="AM105" s="29">
        <f>AM104-AL105</f>
      </c>
    </row>
    <row x14ac:dyDescent="0.25" r="106" customHeight="1" ht="15.75">
      <c r="A106" s="12">
        <v>45800</v>
      </c>
      <c r="B106" s="14" t="s">
        <v>66</v>
      </c>
      <c r="C106" s="14" t="s">
        <v>4287</v>
      </c>
      <c r="D106" s="14" t="s">
        <v>166</v>
      </c>
      <c r="E106" s="14"/>
      <c r="F106" s="14" t="s">
        <v>378</v>
      </c>
      <c r="G106" s="30" t="s">
        <v>379</v>
      </c>
      <c r="H106" s="30" t="s">
        <v>26</v>
      </c>
      <c r="I106" s="65"/>
      <c r="J106" s="65"/>
      <c r="K106" s="65"/>
      <c r="L106" s="65"/>
      <c r="M106" s="65"/>
      <c r="N106" s="17">
        <v>45000</v>
      </c>
      <c r="O106" s="17">
        <v>30000</v>
      </c>
      <c r="P106" s="17">
        <f>N106-O106</f>
      </c>
      <c r="Q106" s="14" t="s">
        <v>50</v>
      </c>
      <c r="R106" s="33" t="s">
        <v>397</v>
      </c>
      <c r="S106" s="41" t="s">
        <v>251</v>
      </c>
      <c r="T106" s="65"/>
      <c r="U106" s="65"/>
      <c r="V106" s="65"/>
      <c r="W106" s="65"/>
      <c r="X106" s="17">
        <f>N106-T106-W106</f>
      </c>
      <c r="Y106" s="293"/>
      <c r="Z106" s="14"/>
      <c r="AA106" s="161"/>
      <c r="AB106" s="32">
        <f>O106</f>
      </c>
      <c r="AC106" s="29"/>
      <c r="AD106" s="29"/>
      <c r="AE106" s="29"/>
      <c r="AF106" s="29">
        <f>AF105-AB106+AE106+AC106</f>
      </c>
      <c r="AG106" s="29"/>
      <c r="AH106" s="29"/>
      <c r="AI106" s="29">
        <f>AI105-AG106+AH106</f>
      </c>
      <c r="AJ106" s="34"/>
      <c r="AK106" s="34"/>
      <c r="AL106" s="29"/>
      <c r="AM106" s="29">
        <f>AM105-AL106</f>
      </c>
    </row>
    <row x14ac:dyDescent="0.25" r="107" customHeight="1" ht="15.75">
      <c r="A107" s="12">
        <v>45800</v>
      </c>
      <c r="B107" s="14" t="s">
        <v>111</v>
      </c>
      <c r="C107" s="14" t="s">
        <v>4313</v>
      </c>
      <c r="D107" s="14" t="s">
        <v>398</v>
      </c>
      <c r="E107" s="14"/>
      <c r="F107" s="14" t="s">
        <v>84</v>
      </c>
      <c r="G107" s="60" t="s">
        <v>399</v>
      </c>
      <c r="H107" s="60" t="s">
        <v>26</v>
      </c>
      <c r="I107" s="65"/>
      <c r="J107" s="65"/>
      <c r="K107" s="65"/>
      <c r="L107" s="65"/>
      <c r="M107" s="65"/>
      <c r="N107" s="17">
        <v>119700</v>
      </c>
      <c r="O107" s="17">
        <v>0</v>
      </c>
      <c r="P107" s="17">
        <f>N107-O107</f>
      </c>
      <c r="Q107" s="14" t="s">
        <v>50</v>
      </c>
      <c r="R107" s="31" t="s">
        <v>400</v>
      </c>
      <c r="S107" s="41" t="s">
        <v>401</v>
      </c>
      <c r="T107" s="65"/>
      <c r="U107" s="65"/>
      <c r="V107" s="65"/>
      <c r="W107" s="65"/>
      <c r="X107" s="17">
        <f>N107-T107-W107</f>
      </c>
      <c r="Y107" s="293"/>
      <c r="Z107" s="14"/>
      <c r="AA107" s="161"/>
      <c r="AB107" s="32">
        <f>O107</f>
      </c>
      <c r="AC107" s="29"/>
      <c r="AD107" s="29"/>
      <c r="AE107" s="29"/>
      <c r="AF107" s="29">
        <f>AF106-AB107+AE107+AC107</f>
      </c>
      <c r="AG107" s="29"/>
      <c r="AH107" s="29"/>
      <c r="AI107" s="29">
        <f>AI106-AG107+AH107</f>
      </c>
      <c r="AJ107" s="34"/>
      <c r="AK107" s="34"/>
      <c r="AL107" s="29"/>
      <c r="AM107" s="29">
        <f>AM106-AL107</f>
      </c>
    </row>
    <row x14ac:dyDescent="0.25" r="108" customHeight="1" ht="15.75">
      <c r="A108" s="12">
        <v>45800</v>
      </c>
      <c r="B108" s="14" t="s">
        <v>111</v>
      </c>
      <c r="C108" s="14" t="s">
        <v>4314</v>
      </c>
      <c r="D108" s="14" t="s">
        <v>402</v>
      </c>
      <c r="E108" s="14"/>
      <c r="F108" s="14" t="s">
        <v>403</v>
      </c>
      <c r="G108" s="30" t="s">
        <v>404</v>
      </c>
      <c r="H108" s="30" t="s">
        <v>26</v>
      </c>
      <c r="I108" s="17">
        <v>109200</v>
      </c>
      <c r="J108" s="65"/>
      <c r="K108" s="65"/>
      <c r="L108" s="65"/>
      <c r="M108" s="65"/>
      <c r="N108" s="17">
        <v>339600</v>
      </c>
      <c r="O108" s="17">
        <v>314800</v>
      </c>
      <c r="P108" s="17">
        <f>N108-O108</f>
      </c>
      <c r="Q108" s="14" t="s">
        <v>50</v>
      </c>
      <c r="R108" s="31" t="s">
        <v>405</v>
      </c>
      <c r="S108" s="40">
        <v>2</v>
      </c>
      <c r="T108" s="65"/>
      <c r="U108" s="65"/>
      <c r="V108" s="65"/>
      <c r="W108" s="17">
        <v>339600</v>
      </c>
      <c r="X108" s="17">
        <f>N108-T108-W108</f>
      </c>
      <c r="Y108" s="293">
        <v>45803</v>
      </c>
      <c r="Z108" s="14" t="s">
        <v>1718</v>
      </c>
      <c r="AA108" s="161"/>
      <c r="AB108" s="32">
        <f>O108</f>
      </c>
      <c r="AC108" s="29"/>
      <c r="AD108" s="29"/>
      <c r="AE108" s="29"/>
      <c r="AF108" s="29">
        <f>AF107-AB108+AE108+AC108</f>
      </c>
      <c r="AG108" s="29"/>
      <c r="AH108" s="29"/>
      <c r="AI108" s="29">
        <f>AI107-AG108+AH108</f>
      </c>
      <c r="AJ108" s="34"/>
      <c r="AK108" s="34"/>
      <c r="AL108" s="29"/>
      <c r="AM108" s="29">
        <f>AM107-AL108</f>
      </c>
    </row>
    <row x14ac:dyDescent="0.25" r="109" customHeight="1" ht="15.75">
      <c r="A109" s="12">
        <v>45801</v>
      </c>
      <c r="B109" s="14" t="s">
        <v>72</v>
      </c>
      <c r="C109" s="14" t="s">
        <v>4315</v>
      </c>
      <c r="D109" s="14" t="s">
        <v>867</v>
      </c>
      <c r="E109" s="14" t="s">
        <v>4316</v>
      </c>
      <c r="F109" s="14" t="s">
        <v>2318</v>
      </c>
      <c r="G109" s="30" t="s">
        <v>4300</v>
      </c>
      <c r="H109" s="30" t="s">
        <v>127</v>
      </c>
      <c r="I109" s="65"/>
      <c r="J109" s="65"/>
      <c r="K109" s="65"/>
      <c r="L109" s="65"/>
      <c r="M109" s="65"/>
      <c r="N109" s="17">
        <v>130000</v>
      </c>
      <c r="O109" s="17">
        <v>59500</v>
      </c>
      <c r="P109" s="17">
        <f>N109-O109</f>
      </c>
      <c r="Q109" s="14" t="s">
        <v>3033</v>
      </c>
      <c r="R109" s="31" t="s">
        <v>4317</v>
      </c>
      <c r="S109" s="41" t="s">
        <v>251</v>
      </c>
      <c r="T109" s="65"/>
      <c r="U109" s="65"/>
      <c r="V109" s="65"/>
      <c r="W109" s="17">
        <v>130000</v>
      </c>
      <c r="X109" s="17">
        <f>N109-T109-W109</f>
      </c>
      <c r="Y109" s="293">
        <v>45813</v>
      </c>
      <c r="Z109" s="14" t="s">
        <v>1718</v>
      </c>
      <c r="AA109" s="161"/>
      <c r="AB109" s="32">
        <v>0</v>
      </c>
      <c r="AC109" s="29"/>
      <c r="AD109" s="29"/>
      <c r="AE109" s="29"/>
      <c r="AF109" s="29">
        <f>AF108-AB109+AE109+AC109</f>
      </c>
      <c r="AG109" s="29"/>
      <c r="AH109" s="29"/>
      <c r="AI109" s="29">
        <f>AI108-AG109+AH109</f>
      </c>
      <c r="AJ109" s="34"/>
      <c r="AK109" s="34"/>
      <c r="AL109" s="29"/>
      <c r="AM109" s="29">
        <f>AM108-AL109</f>
      </c>
    </row>
    <row x14ac:dyDescent="0.25" r="110" customHeight="1" ht="15.75">
      <c r="A110" s="12">
        <v>45802</v>
      </c>
      <c r="B110" s="14" t="s">
        <v>46</v>
      </c>
      <c r="C110" s="14" t="s">
        <v>4318</v>
      </c>
      <c r="D110" s="14" t="s">
        <v>2882</v>
      </c>
      <c r="E110" s="14" t="s">
        <v>4319</v>
      </c>
      <c r="F110" s="14" t="s">
        <v>2229</v>
      </c>
      <c r="G110" s="14" t="s">
        <v>4187</v>
      </c>
      <c r="H110" s="14" t="s">
        <v>26</v>
      </c>
      <c r="I110" s="65"/>
      <c r="J110" s="17">
        <v>1715920</v>
      </c>
      <c r="K110" s="17">
        <v>1636020</v>
      </c>
      <c r="L110" s="17">
        <v>79900</v>
      </c>
      <c r="M110" s="65" t="s">
        <v>3045</v>
      </c>
      <c r="N110" s="17">
        <v>159800</v>
      </c>
      <c r="O110" s="17">
        <v>131200</v>
      </c>
      <c r="P110" s="17">
        <f>N110-O110</f>
      </c>
      <c r="Q110" s="14" t="s">
        <v>3033</v>
      </c>
      <c r="R110" s="31" t="s">
        <v>4320</v>
      </c>
      <c r="S110" s="41" t="s">
        <v>251</v>
      </c>
      <c r="T110" s="65"/>
      <c r="U110" s="65"/>
      <c r="V110" s="65"/>
      <c r="W110" s="17">
        <v>159800</v>
      </c>
      <c r="X110" s="17">
        <f>N110-T110-W110</f>
      </c>
      <c r="Y110" s="293">
        <v>45826</v>
      </c>
      <c r="Z110" s="14" t="s">
        <v>2216</v>
      </c>
      <c r="AA110" s="161" t="s">
        <v>4321</v>
      </c>
      <c r="AB110" s="32">
        <v>0</v>
      </c>
      <c r="AC110" s="29"/>
      <c r="AD110" s="29"/>
      <c r="AE110" s="29"/>
      <c r="AF110" s="29">
        <f>AF109-AB110+AE110+AC110</f>
      </c>
      <c r="AG110" s="29"/>
      <c r="AH110" s="29"/>
      <c r="AI110" s="29">
        <f>AI109-AG110+AH110</f>
      </c>
      <c r="AJ110" s="34"/>
      <c r="AK110" s="34"/>
      <c r="AL110" s="29"/>
      <c r="AM110" s="29">
        <f>AM109-AL110</f>
      </c>
    </row>
    <row x14ac:dyDescent="0.25" r="111" customHeight="1" ht="15.75">
      <c r="A111" s="12">
        <v>45802</v>
      </c>
      <c r="B111" s="14" t="s">
        <v>62</v>
      </c>
      <c r="C111" s="14" t="s">
        <v>4322</v>
      </c>
      <c r="D111" s="14" t="s">
        <v>63</v>
      </c>
      <c r="E111" s="14" t="s">
        <v>4323</v>
      </c>
      <c r="F111" s="14" t="s">
        <v>162</v>
      </c>
      <c r="G111" s="30" t="s">
        <v>4324</v>
      </c>
      <c r="H111" s="30" t="s">
        <v>3032</v>
      </c>
      <c r="I111" s="65"/>
      <c r="J111" s="65"/>
      <c r="K111" s="65"/>
      <c r="L111" s="65"/>
      <c r="M111" s="65"/>
      <c r="N111" s="17">
        <v>3674700</v>
      </c>
      <c r="O111" s="17">
        <v>3138000</v>
      </c>
      <c r="P111" s="17">
        <f>N111-O111</f>
      </c>
      <c r="Q111" s="14" t="s">
        <v>3045</v>
      </c>
      <c r="R111" s="31" t="s">
        <v>4325</v>
      </c>
      <c r="S111" s="41"/>
      <c r="T111" s="65"/>
      <c r="U111" s="65"/>
      <c r="V111" s="65"/>
      <c r="W111" s="65"/>
      <c r="X111" s="17">
        <f>N111-T111-W111</f>
      </c>
      <c r="Y111" s="293"/>
      <c r="Z111" s="14"/>
      <c r="AA111" s="161"/>
      <c r="AB111" s="32">
        <f>O111</f>
      </c>
      <c r="AC111" s="29"/>
      <c r="AD111" s="29"/>
      <c r="AE111" s="29"/>
      <c r="AF111" s="29">
        <f>AF110-AB111+AE111+AC111</f>
      </c>
      <c r="AG111" s="29"/>
      <c r="AH111" s="29"/>
      <c r="AI111" s="29">
        <f>AI110-AG111+AH111</f>
      </c>
      <c r="AJ111" s="34"/>
      <c r="AK111" s="34"/>
      <c r="AL111" s="29"/>
      <c r="AM111" s="29">
        <f>AM110-AL111</f>
      </c>
    </row>
    <row x14ac:dyDescent="0.25" r="112" customHeight="1" ht="15.75">
      <c r="A112" s="12">
        <v>45802</v>
      </c>
      <c r="B112" s="14" t="s">
        <v>22</v>
      </c>
      <c r="C112" s="14" t="s">
        <v>4165</v>
      </c>
      <c r="D112" s="14" t="s">
        <v>508</v>
      </c>
      <c r="E112" s="14" t="s">
        <v>4326</v>
      </c>
      <c r="F112" s="14" t="s">
        <v>548</v>
      </c>
      <c r="G112" s="30" t="s">
        <v>4327</v>
      </c>
      <c r="H112" s="30" t="s">
        <v>3032</v>
      </c>
      <c r="I112" s="65"/>
      <c r="J112" s="65"/>
      <c r="K112" s="65"/>
      <c r="L112" s="65"/>
      <c r="M112" s="65"/>
      <c r="N112" s="17">
        <v>217000</v>
      </c>
      <c r="O112" s="17">
        <v>172300</v>
      </c>
      <c r="P112" s="17">
        <f>N112-O112</f>
      </c>
      <c r="Q112" s="14" t="s">
        <v>22</v>
      </c>
      <c r="R112" s="31" t="s">
        <v>4328</v>
      </c>
      <c r="S112" s="41"/>
      <c r="T112" s="65"/>
      <c r="U112" s="65"/>
      <c r="V112" s="65"/>
      <c r="W112" s="65"/>
      <c r="X112" s="17">
        <f>N112-T112-W112</f>
      </c>
      <c r="Y112" s="293"/>
      <c r="Z112" s="14"/>
      <c r="AA112" s="161"/>
      <c r="AB112" s="32">
        <v>0</v>
      </c>
      <c r="AC112" s="29"/>
      <c r="AD112" s="29"/>
      <c r="AE112" s="29"/>
      <c r="AF112" s="29">
        <f>AF111-AB112+AE112+AC112</f>
      </c>
      <c r="AG112" s="29"/>
      <c r="AH112" s="29"/>
      <c r="AI112" s="29">
        <f>AI111-AG112+AH112</f>
      </c>
      <c r="AJ112" s="34"/>
      <c r="AK112" s="34"/>
      <c r="AL112" s="29"/>
      <c r="AM112" s="29">
        <f>AM111-AL112</f>
      </c>
    </row>
    <row x14ac:dyDescent="0.25" r="113" customHeight="1" ht="15.75">
      <c r="A113" s="12">
        <v>45802</v>
      </c>
      <c r="B113" s="14" t="s">
        <v>22</v>
      </c>
      <c r="C113" s="14" t="s">
        <v>4165</v>
      </c>
      <c r="D113" s="14" t="s">
        <v>508</v>
      </c>
      <c r="E113" s="14" t="s">
        <v>4329</v>
      </c>
      <c r="F113" s="14" t="s">
        <v>548</v>
      </c>
      <c r="G113" s="30" t="s">
        <v>675</v>
      </c>
      <c r="H113" s="30" t="s">
        <v>3032</v>
      </c>
      <c r="I113" s="65"/>
      <c r="J113" s="65"/>
      <c r="K113" s="65"/>
      <c r="L113" s="65"/>
      <c r="M113" s="65"/>
      <c r="N113" s="17">
        <v>217000</v>
      </c>
      <c r="O113" s="17">
        <v>172300</v>
      </c>
      <c r="P113" s="17">
        <f>N113-O113</f>
      </c>
      <c r="Q113" s="14" t="s">
        <v>22</v>
      </c>
      <c r="R113" s="31" t="s">
        <v>4328</v>
      </c>
      <c r="S113" s="41"/>
      <c r="T113" s="65"/>
      <c r="U113" s="65"/>
      <c r="V113" s="65"/>
      <c r="W113" s="65"/>
      <c r="X113" s="17">
        <f>N113-T113-W113</f>
      </c>
      <c r="Y113" s="293"/>
      <c r="Z113" s="14"/>
      <c r="AA113" s="161"/>
      <c r="AB113" s="32">
        <v>0</v>
      </c>
      <c r="AC113" s="29"/>
      <c r="AD113" s="29"/>
      <c r="AE113" s="29"/>
      <c r="AF113" s="29">
        <f>AF112-AB113+AE113+AC113</f>
      </c>
      <c r="AG113" s="29"/>
      <c r="AH113" s="29"/>
      <c r="AI113" s="29">
        <f>AI112-AG113+AH113</f>
      </c>
      <c r="AJ113" s="34"/>
      <c r="AK113" s="34"/>
      <c r="AL113" s="29"/>
      <c r="AM113" s="29">
        <f>AM112-AL113</f>
      </c>
    </row>
    <row x14ac:dyDescent="0.25" r="114" customHeight="1" ht="15.75">
      <c r="A114" s="12">
        <v>45802</v>
      </c>
      <c r="B114" s="14" t="s">
        <v>22</v>
      </c>
      <c r="C114" s="14" t="s">
        <v>4165</v>
      </c>
      <c r="D114" s="14" t="s">
        <v>508</v>
      </c>
      <c r="E114" s="14" t="s">
        <v>4330</v>
      </c>
      <c r="F114" s="14" t="s">
        <v>548</v>
      </c>
      <c r="G114" s="30" t="s">
        <v>522</v>
      </c>
      <c r="H114" s="30" t="s">
        <v>3032</v>
      </c>
      <c r="I114" s="65"/>
      <c r="J114" s="65"/>
      <c r="K114" s="65"/>
      <c r="L114" s="65"/>
      <c r="M114" s="65"/>
      <c r="N114" s="17">
        <v>217000</v>
      </c>
      <c r="O114" s="17">
        <v>172300</v>
      </c>
      <c r="P114" s="17">
        <f>N114-O114</f>
      </c>
      <c r="Q114" s="14" t="s">
        <v>22</v>
      </c>
      <c r="R114" s="31" t="s">
        <v>4328</v>
      </c>
      <c r="S114" s="41"/>
      <c r="T114" s="65"/>
      <c r="U114" s="65"/>
      <c r="V114" s="65"/>
      <c r="W114" s="65"/>
      <c r="X114" s="17">
        <f>N114-T114-W114</f>
      </c>
      <c r="Y114" s="293"/>
      <c r="Z114" s="14"/>
      <c r="AA114" s="161"/>
      <c r="AB114" s="32">
        <v>0</v>
      </c>
      <c r="AC114" s="29"/>
      <c r="AD114" s="29"/>
      <c r="AE114" s="29"/>
      <c r="AF114" s="29">
        <f>AF113-AB114+AE114+AC114</f>
      </c>
      <c r="AG114" s="29"/>
      <c r="AH114" s="29"/>
      <c r="AI114" s="29">
        <f>AI113-AG114+AH114</f>
      </c>
      <c r="AJ114" s="34"/>
      <c r="AK114" s="34"/>
      <c r="AL114" s="29"/>
      <c r="AM114" s="29">
        <f>AM113-AL114</f>
      </c>
    </row>
    <row x14ac:dyDescent="0.25" r="115" customHeight="1" ht="15.75">
      <c r="A115" s="12"/>
      <c r="B115" s="14"/>
      <c r="C115" s="14"/>
      <c r="D115" s="14"/>
      <c r="E115" s="14"/>
      <c r="F115" s="14"/>
      <c r="G115" s="30"/>
      <c r="H115" s="30"/>
      <c r="I115" s="65"/>
      <c r="J115" s="65"/>
      <c r="K115" s="65"/>
      <c r="L115" s="65"/>
      <c r="M115" s="65"/>
      <c r="N115" s="17"/>
      <c r="O115" s="17"/>
      <c r="P115" s="17">
        <f>N115-O115</f>
      </c>
      <c r="Q115" s="14"/>
      <c r="R115" s="31"/>
      <c r="S115" s="41"/>
      <c r="T115" s="65"/>
      <c r="U115" s="65"/>
      <c r="V115" s="65"/>
      <c r="W115" s="65"/>
      <c r="X115" s="17">
        <f>N115-T115-W115</f>
      </c>
      <c r="Y115" s="293"/>
      <c r="Z115" s="14"/>
      <c r="AA115" s="161"/>
      <c r="AB115" s="32">
        <f>O115</f>
      </c>
      <c r="AC115" s="29"/>
      <c r="AD115" s="29"/>
      <c r="AE115" s="29"/>
      <c r="AF115" s="29">
        <f>AF114-AB115+AE115+AC115</f>
      </c>
      <c r="AG115" s="29"/>
      <c r="AH115" s="29"/>
      <c r="AI115" s="29">
        <f>AI114-AG115+AH115</f>
      </c>
      <c r="AJ115" s="34"/>
      <c r="AK115" s="34"/>
      <c r="AL115" s="29"/>
      <c r="AM115" s="29">
        <f>AM114-AL115</f>
      </c>
    </row>
    <row x14ac:dyDescent="0.25" r="116" customHeight="1" ht="15.75">
      <c r="A116" s="12">
        <v>45803</v>
      </c>
      <c r="B116" s="14" t="s">
        <v>72</v>
      </c>
      <c r="C116" s="14" t="s">
        <v>4315</v>
      </c>
      <c r="D116" s="14" t="s">
        <v>406</v>
      </c>
      <c r="E116" s="14" t="s">
        <v>4331</v>
      </c>
      <c r="F116" s="14" t="s">
        <v>327</v>
      </c>
      <c r="G116" s="30" t="s">
        <v>407</v>
      </c>
      <c r="H116" s="30" t="s">
        <v>26</v>
      </c>
      <c r="I116" s="65"/>
      <c r="J116" s="65"/>
      <c r="K116" s="65"/>
      <c r="L116" s="65"/>
      <c r="M116" s="65"/>
      <c r="N116" s="17">
        <v>176000</v>
      </c>
      <c r="O116" s="17">
        <v>136500</v>
      </c>
      <c r="P116" s="17">
        <f>N116-O116</f>
      </c>
      <c r="Q116" s="14" t="s">
        <v>50</v>
      </c>
      <c r="R116" s="31" t="s">
        <v>408</v>
      </c>
      <c r="S116" s="41" t="s">
        <v>251</v>
      </c>
      <c r="T116" s="65"/>
      <c r="U116" s="65"/>
      <c r="V116" s="65"/>
      <c r="W116" s="17">
        <v>176000</v>
      </c>
      <c r="X116" s="17">
        <f>N116-T116-W116</f>
      </c>
      <c r="Y116" s="293">
        <v>45827</v>
      </c>
      <c r="Z116" s="14" t="s">
        <v>2216</v>
      </c>
      <c r="AA116" s="161" t="s">
        <v>4332</v>
      </c>
      <c r="AB116" s="32">
        <f>O116</f>
      </c>
      <c r="AC116" s="29"/>
      <c r="AD116" s="29"/>
      <c r="AE116" s="29"/>
      <c r="AF116" s="29">
        <f>AF115-AB116+AE116+AC116</f>
      </c>
      <c r="AG116" s="29"/>
      <c r="AH116" s="29"/>
      <c r="AI116" s="29">
        <f>AI115-AG116+AH116</f>
      </c>
      <c r="AJ116" s="34"/>
      <c r="AK116" s="34"/>
      <c r="AL116" s="29"/>
      <c r="AM116" s="29">
        <f>AM115-AL116</f>
      </c>
    </row>
    <row x14ac:dyDescent="0.25" r="117" customHeight="1" ht="15.75">
      <c r="A117" s="12">
        <v>45803</v>
      </c>
      <c r="B117" s="14" t="s">
        <v>82</v>
      </c>
      <c r="C117" s="14" t="s">
        <v>4155</v>
      </c>
      <c r="D117" s="14" t="s">
        <v>546</v>
      </c>
      <c r="E117" s="14" t="s">
        <v>4333</v>
      </c>
      <c r="F117" s="14" t="s">
        <v>548</v>
      </c>
      <c r="G117" s="30" t="s">
        <v>4334</v>
      </c>
      <c r="H117" s="30" t="s">
        <v>26</v>
      </c>
      <c r="I117" s="65"/>
      <c r="J117" s="65"/>
      <c r="K117" s="65"/>
      <c r="L117" s="65"/>
      <c r="M117" s="65"/>
      <c r="N117" s="17">
        <v>136940</v>
      </c>
      <c r="O117" s="17">
        <v>109540</v>
      </c>
      <c r="P117" s="17">
        <f>N117-O117</f>
      </c>
      <c r="Q117" s="14" t="s">
        <v>86</v>
      </c>
      <c r="R117" s="31" t="s">
        <v>4335</v>
      </c>
      <c r="S117" s="41"/>
      <c r="T117" s="65"/>
      <c r="U117" s="65"/>
      <c r="V117" s="65"/>
      <c r="W117" s="65"/>
      <c r="X117" s="17">
        <f>N117-T117-W117</f>
      </c>
      <c r="Y117" s="293"/>
      <c r="Z117" s="14"/>
      <c r="AA117" s="161"/>
      <c r="AB117" s="32">
        <v>0</v>
      </c>
      <c r="AC117" s="29"/>
      <c r="AD117" s="29"/>
      <c r="AE117" s="29"/>
      <c r="AF117" s="29">
        <f>AF116-AB117+AE117+AC117</f>
      </c>
      <c r="AG117" s="29"/>
      <c r="AH117" s="29"/>
      <c r="AI117" s="29">
        <f>AI116-AG117+AH117</f>
      </c>
      <c r="AJ117" s="34"/>
      <c r="AK117" s="34"/>
      <c r="AL117" s="29"/>
      <c r="AM117" s="29">
        <f>AM116-AL117</f>
      </c>
    </row>
    <row x14ac:dyDescent="0.25" r="118" customHeight="1" ht="15.75">
      <c r="A118" s="12">
        <v>45803</v>
      </c>
      <c r="B118" s="14" t="s">
        <v>46</v>
      </c>
      <c r="C118" s="14" t="s">
        <v>4336</v>
      </c>
      <c r="D118" s="14" t="s">
        <v>375</v>
      </c>
      <c r="E118" s="14" t="s">
        <v>4337</v>
      </c>
      <c r="F118" s="14" t="s">
        <v>320</v>
      </c>
      <c r="G118" s="60" t="s">
        <v>409</v>
      </c>
      <c r="H118" s="30" t="s">
        <v>26</v>
      </c>
      <c r="I118" s="65"/>
      <c r="J118" s="65"/>
      <c r="K118" s="65"/>
      <c r="L118" s="65"/>
      <c r="M118" s="65"/>
      <c r="N118" s="17">
        <v>425900</v>
      </c>
      <c r="O118" s="17">
        <v>362300</v>
      </c>
      <c r="P118" s="17">
        <f>N118-O118</f>
      </c>
      <c r="Q118" s="14" t="s">
        <v>50</v>
      </c>
      <c r="R118" s="31" t="s">
        <v>410</v>
      </c>
      <c r="S118" s="41" t="s">
        <v>251</v>
      </c>
      <c r="T118" s="65"/>
      <c r="U118" s="65"/>
      <c r="V118" s="65"/>
      <c r="W118" s="17">
        <v>425900</v>
      </c>
      <c r="X118" s="17">
        <f>N118-T118-W118</f>
      </c>
      <c r="Y118" s="293">
        <v>45813</v>
      </c>
      <c r="Z118" s="14" t="s">
        <v>1718</v>
      </c>
      <c r="AA118" s="161"/>
      <c r="AB118" s="32">
        <f>O118</f>
      </c>
      <c r="AC118" s="29"/>
      <c r="AD118" s="29"/>
      <c r="AE118" s="29"/>
      <c r="AF118" s="29">
        <f>AF117-AB118+AE118+AC118</f>
      </c>
      <c r="AG118" s="32">
        <v>109540</v>
      </c>
      <c r="AH118" s="29"/>
      <c r="AI118" s="29">
        <f>AI117-AG118+AH118</f>
      </c>
      <c r="AJ118" s="34"/>
      <c r="AK118" s="34"/>
      <c r="AL118" s="29"/>
      <c r="AM118" s="29">
        <f>AM117-AL118</f>
      </c>
    </row>
    <row x14ac:dyDescent="0.25" r="119" customHeight="1" ht="15.75">
      <c r="A119" s="163">
        <v>45803</v>
      </c>
      <c r="B119" s="30" t="s">
        <v>72</v>
      </c>
      <c r="C119" s="30" t="s">
        <v>4338</v>
      </c>
      <c r="D119" s="30" t="s">
        <v>867</v>
      </c>
      <c r="E119" s="30" t="s">
        <v>4339</v>
      </c>
      <c r="F119" s="14" t="s">
        <v>2318</v>
      </c>
      <c r="G119" s="60" t="s">
        <v>4340</v>
      </c>
      <c r="H119" s="30" t="s">
        <v>4341</v>
      </c>
      <c r="I119" s="217"/>
      <c r="J119" s="217"/>
      <c r="K119" s="217"/>
      <c r="L119" s="217"/>
      <c r="M119" s="217"/>
      <c r="N119" s="69">
        <v>117500</v>
      </c>
      <c r="O119" s="69">
        <v>65700</v>
      </c>
      <c r="P119" s="69">
        <f>N119-O119</f>
      </c>
      <c r="Q119" s="30" t="s">
        <v>3033</v>
      </c>
      <c r="R119" s="248" t="s">
        <v>4301</v>
      </c>
      <c r="S119" s="309" t="s">
        <v>251</v>
      </c>
      <c r="T119" s="65"/>
      <c r="U119" s="65"/>
      <c r="V119" s="65"/>
      <c r="W119" s="17">
        <v>115700</v>
      </c>
      <c r="X119" s="17">
        <f>N119-T119-W119</f>
      </c>
      <c r="Y119" s="293">
        <v>45813</v>
      </c>
      <c r="Z119" s="14" t="s">
        <v>1718</v>
      </c>
      <c r="AA119" s="161"/>
      <c r="AB119" s="32">
        <v>0</v>
      </c>
      <c r="AC119" s="29"/>
      <c r="AD119" s="29"/>
      <c r="AE119" s="29"/>
      <c r="AF119" s="29">
        <f>AF118-AB119+AE119+AC119</f>
      </c>
      <c r="AG119" s="29"/>
      <c r="AH119" s="29"/>
      <c r="AI119" s="29">
        <f>AI118-AG119+AH119</f>
      </c>
      <c r="AJ119" s="34"/>
      <c r="AK119" s="34"/>
      <c r="AL119" s="29"/>
      <c r="AM119" s="29">
        <f>AM118-AL119</f>
      </c>
    </row>
    <row x14ac:dyDescent="0.25" r="120" customHeight="1" ht="15.75">
      <c r="A120" s="12">
        <v>45804</v>
      </c>
      <c r="B120" s="14" t="s">
        <v>82</v>
      </c>
      <c r="C120" s="14" t="s">
        <v>4342</v>
      </c>
      <c r="D120" s="14" t="s">
        <v>546</v>
      </c>
      <c r="E120" s="14" t="s">
        <v>4343</v>
      </c>
      <c r="F120" s="14" t="s">
        <v>174</v>
      </c>
      <c r="G120" s="310" t="s">
        <v>4344</v>
      </c>
      <c r="H120" s="30" t="s">
        <v>26</v>
      </c>
      <c r="I120" s="65"/>
      <c r="J120" s="65"/>
      <c r="K120" s="65"/>
      <c r="L120" s="65"/>
      <c r="M120" s="65"/>
      <c r="N120" s="17">
        <v>129740</v>
      </c>
      <c r="O120" s="17">
        <v>101740</v>
      </c>
      <c r="P120" s="17">
        <f>N120-O120</f>
      </c>
      <c r="Q120" s="14" t="s">
        <v>86</v>
      </c>
      <c r="R120" s="31" t="s">
        <v>4345</v>
      </c>
      <c r="S120" s="41"/>
      <c r="T120" s="65"/>
      <c r="U120" s="65"/>
      <c r="V120" s="65"/>
      <c r="W120" s="17">
        <v>129740</v>
      </c>
      <c r="X120" s="17">
        <f>N120-T120-W120</f>
      </c>
      <c r="Y120" s="293">
        <v>45821</v>
      </c>
      <c r="Z120" s="14" t="s">
        <v>1718</v>
      </c>
      <c r="AA120" s="161"/>
      <c r="AB120" s="32">
        <v>0</v>
      </c>
      <c r="AC120" s="29"/>
      <c r="AD120" s="29"/>
      <c r="AE120" s="29"/>
      <c r="AF120" s="29">
        <f>AF119-AB120+AE120+AC120</f>
      </c>
      <c r="AG120" s="32">
        <v>101740</v>
      </c>
      <c r="AH120" s="29"/>
      <c r="AI120" s="29">
        <f>AI119-AG120+AH120</f>
      </c>
      <c r="AJ120" s="34"/>
      <c r="AK120" s="34"/>
      <c r="AL120" s="29"/>
      <c r="AM120" s="29">
        <f>AM119-AL120</f>
      </c>
    </row>
    <row x14ac:dyDescent="0.25" r="121" customHeight="1" ht="15.75">
      <c r="A121" s="12">
        <v>45804</v>
      </c>
      <c r="B121" s="14" t="s">
        <v>111</v>
      </c>
      <c r="C121" s="14" t="s">
        <v>4295</v>
      </c>
      <c r="D121" s="14" t="s">
        <v>112</v>
      </c>
      <c r="E121" s="14" t="s">
        <v>4346</v>
      </c>
      <c r="F121" s="14" t="s">
        <v>84</v>
      </c>
      <c r="G121" s="30" t="s">
        <v>411</v>
      </c>
      <c r="H121" s="30" t="s">
        <v>26</v>
      </c>
      <c r="I121" s="17">
        <v>145800</v>
      </c>
      <c r="J121" s="17">
        <v>145800</v>
      </c>
      <c r="K121" s="17">
        <v>145800</v>
      </c>
      <c r="L121" s="17">
        <v>145800</v>
      </c>
      <c r="M121" s="17">
        <v>145800</v>
      </c>
      <c r="N121" s="17">
        <v>528750</v>
      </c>
      <c r="O121" s="17">
        <v>412405</v>
      </c>
      <c r="P121" s="17">
        <f>N121-O121</f>
      </c>
      <c r="Q121" s="14" t="s">
        <v>50</v>
      </c>
      <c r="R121" s="31" t="s">
        <v>412</v>
      </c>
      <c r="S121" s="40">
        <v>2</v>
      </c>
      <c r="T121" s="65"/>
      <c r="U121" s="65"/>
      <c r="V121" s="65"/>
      <c r="W121" s="65"/>
      <c r="X121" s="17">
        <f>N121-T121-W121</f>
      </c>
      <c r="Y121" s="293"/>
      <c r="Z121" s="14"/>
      <c r="AA121" s="161"/>
      <c r="AB121" s="32">
        <f>O121</f>
      </c>
      <c r="AC121" s="29"/>
      <c r="AD121" s="29"/>
      <c r="AE121" s="29"/>
      <c r="AF121" s="29">
        <f>AF120-AB121+AE121+AC121</f>
      </c>
      <c r="AG121" s="29"/>
      <c r="AH121" s="29"/>
      <c r="AI121" s="29">
        <f>AI120-AG121+AH121</f>
      </c>
      <c r="AJ121" s="34"/>
      <c r="AK121" s="34"/>
      <c r="AL121" s="29"/>
      <c r="AM121" s="29">
        <f>AM120-AL121</f>
      </c>
    </row>
    <row x14ac:dyDescent="0.25" r="122" customHeight="1" ht="15.75">
      <c r="A122" s="12">
        <v>45804</v>
      </c>
      <c r="B122" s="14" t="s">
        <v>111</v>
      </c>
      <c r="C122" s="14" t="s">
        <v>4293</v>
      </c>
      <c r="D122" s="14" t="s">
        <v>112</v>
      </c>
      <c r="E122" s="14" t="s">
        <v>4347</v>
      </c>
      <c r="F122" s="14" t="s">
        <v>84</v>
      </c>
      <c r="G122" s="30" t="s">
        <v>413</v>
      </c>
      <c r="H122" s="30" t="s">
        <v>26</v>
      </c>
      <c r="I122" s="17">
        <v>145800</v>
      </c>
      <c r="J122" s="65"/>
      <c r="K122" s="65"/>
      <c r="L122" s="65"/>
      <c r="M122" s="65"/>
      <c r="N122" s="17">
        <v>528750</v>
      </c>
      <c r="O122" s="17">
        <v>412405</v>
      </c>
      <c r="P122" s="17">
        <f>N122-O122</f>
      </c>
      <c r="Q122" s="14" t="s">
        <v>50</v>
      </c>
      <c r="R122" s="31" t="s">
        <v>414</v>
      </c>
      <c r="S122" s="40">
        <v>2</v>
      </c>
      <c r="T122" s="65"/>
      <c r="U122" s="65"/>
      <c r="V122" s="65"/>
      <c r="W122" s="17">
        <v>528750</v>
      </c>
      <c r="X122" s="17">
        <f>N122-T122-W122</f>
      </c>
      <c r="Y122" s="293">
        <v>45828</v>
      </c>
      <c r="Z122" s="14" t="s">
        <v>2122</v>
      </c>
      <c r="AA122" s="161"/>
      <c r="AB122" s="32">
        <f>O122</f>
      </c>
      <c r="AC122" s="29"/>
      <c r="AD122" s="29"/>
      <c r="AE122" s="29"/>
      <c r="AF122" s="29">
        <f>AF121-AB122+AE122+AC122</f>
      </c>
      <c r="AG122" s="29"/>
      <c r="AH122" s="29"/>
      <c r="AI122" s="29">
        <f>AI121-AG122+AH122</f>
      </c>
      <c r="AJ122" s="34"/>
      <c r="AK122" s="34"/>
      <c r="AL122" s="29"/>
      <c r="AM122" s="29">
        <f>AM121-AL122</f>
      </c>
    </row>
    <row x14ac:dyDescent="0.25" r="123" customHeight="1" ht="15.75">
      <c r="A123" s="12">
        <v>45804</v>
      </c>
      <c r="B123" s="14" t="s">
        <v>66</v>
      </c>
      <c r="C123" s="14" t="s">
        <v>4308</v>
      </c>
      <c r="D123" s="14" t="s">
        <v>415</v>
      </c>
      <c r="E123" s="14" t="s">
        <v>4348</v>
      </c>
      <c r="F123" s="14" t="s">
        <v>84</v>
      </c>
      <c r="G123" s="30" t="s">
        <v>383</v>
      </c>
      <c r="H123" s="30" t="s">
        <v>26</v>
      </c>
      <c r="I123" s="65"/>
      <c r="J123" s="65"/>
      <c r="K123" s="65"/>
      <c r="L123" s="65"/>
      <c r="M123" s="65"/>
      <c r="N123" s="17">
        <v>70000</v>
      </c>
      <c r="O123" s="17">
        <v>30000</v>
      </c>
      <c r="P123" s="17">
        <f>N123-O123</f>
      </c>
      <c r="Q123" s="14" t="s">
        <v>50</v>
      </c>
      <c r="R123" s="31" t="s">
        <v>416</v>
      </c>
      <c r="S123" s="41" t="s">
        <v>251</v>
      </c>
      <c r="T123" s="65"/>
      <c r="U123" s="65"/>
      <c r="V123" s="65"/>
      <c r="W123" s="17">
        <v>70000</v>
      </c>
      <c r="X123" s="17">
        <f>N123-T123-W123</f>
      </c>
      <c r="Y123" s="293">
        <v>45828</v>
      </c>
      <c r="Z123" s="14" t="s">
        <v>2122</v>
      </c>
      <c r="AA123" s="161"/>
      <c r="AB123" s="32">
        <f>O123</f>
      </c>
      <c r="AC123" s="29"/>
      <c r="AD123" s="29"/>
      <c r="AE123" s="29"/>
      <c r="AF123" s="29">
        <f>AF122-AB123+AE123+AC123</f>
      </c>
      <c r="AG123" s="29"/>
      <c r="AH123" s="29"/>
      <c r="AI123" s="29">
        <f>AI122-AG123+AH123</f>
      </c>
      <c r="AJ123" s="34"/>
      <c r="AK123" s="34"/>
      <c r="AL123" s="29"/>
      <c r="AM123" s="29">
        <f>AM122-AL123</f>
      </c>
    </row>
    <row x14ac:dyDescent="0.25" r="124" customHeight="1" ht="30">
      <c r="A124" s="12">
        <v>45804</v>
      </c>
      <c r="B124" s="14" t="s">
        <v>46</v>
      </c>
      <c r="C124" s="14" t="s">
        <v>4349</v>
      </c>
      <c r="D124" s="14" t="s">
        <v>417</v>
      </c>
      <c r="E124" s="14" t="s">
        <v>4350</v>
      </c>
      <c r="F124" s="14" t="s">
        <v>2229</v>
      </c>
      <c r="G124" s="30" t="s">
        <v>419</v>
      </c>
      <c r="H124" s="30" t="s">
        <v>26</v>
      </c>
      <c r="I124" s="17">
        <v>1874000</v>
      </c>
      <c r="J124" s="65"/>
      <c r="K124" s="65"/>
      <c r="L124" s="65"/>
      <c r="M124" s="65"/>
      <c r="N124" s="17">
        <v>2459020</v>
      </c>
      <c r="O124" s="17">
        <v>2391020</v>
      </c>
      <c r="P124" s="17">
        <f>N124-O124</f>
      </c>
      <c r="Q124" s="14" t="s">
        <v>50</v>
      </c>
      <c r="R124" s="31" t="s">
        <v>420</v>
      </c>
      <c r="S124" s="40">
        <v>4</v>
      </c>
      <c r="T124" s="17">
        <v>1459020</v>
      </c>
      <c r="U124" s="65"/>
      <c r="V124" s="65"/>
      <c r="W124" s="17">
        <v>1000000</v>
      </c>
      <c r="X124" s="17">
        <f>N124-T124-W124</f>
      </c>
      <c r="Y124" s="294" t="s">
        <v>4351</v>
      </c>
      <c r="Z124" s="14" t="s">
        <v>2216</v>
      </c>
      <c r="AA124" s="294" t="s">
        <v>4352</v>
      </c>
      <c r="AB124" s="32">
        <f>O124</f>
      </c>
      <c r="AC124" s="29"/>
      <c r="AD124" s="29"/>
      <c r="AE124" s="29"/>
      <c r="AF124" s="29">
        <f>AF123-AB124+AE124+AC124</f>
      </c>
      <c r="AG124" s="29"/>
      <c r="AH124" s="29"/>
      <c r="AI124" s="29">
        <f>AI123-AG124+AH124</f>
      </c>
      <c r="AJ124" s="34"/>
      <c r="AK124" s="34"/>
      <c r="AL124" s="29"/>
      <c r="AM124" s="29">
        <f>AM123-AL124</f>
      </c>
    </row>
    <row x14ac:dyDescent="0.25" r="125" customHeight="1" ht="15.75">
      <c r="A125" s="12">
        <v>45804</v>
      </c>
      <c r="B125" s="14" t="s">
        <v>46</v>
      </c>
      <c r="C125" s="14" t="s">
        <v>4349</v>
      </c>
      <c r="D125" s="14" t="s">
        <v>417</v>
      </c>
      <c r="E125" s="14" t="s">
        <v>4350</v>
      </c>
      <c r="F125" s="14" t="s">
        <v>2229</v>
      </c>
      <c r="G125" s="30" t="s">
        <v>421</v>
      </c>
      <c r="H125" s="30" t="s">
        <v>26</v>
      </c>
      <c r="I125" s="17">
        <v>1405500</v>
      </c>
      <c r="J125" s="65"/>
      <c r="K125" s="65"/>
      <c r="L125" s="65"/>
      <c r="M125" s="65"/>
      <c r="N125" s="17">
        <v>1989620</v>
      </c>
      <c r="O125" s="17">
        <v>1922520</v>
      </c>
      <c r="P125" s="17">
        <f>N125-O125</f>
      </c>
      <c r="Q125" s="14" t="s">
        <v>50</v>
      </c>
      <c r="R125" s="31" t="s">
        <v>422</v>
      </c>
      <c r="S125" s="40">
        <v>4</v>
      </c>
      <c r="T125" s="65"/>
      <c r="U125" s="65"/>
      <c r="V125" s="65"/>
      <c r="W125" s="17">
        <v>1989620</v>
      </c>
      <c r="X125" s="17">
        <f>N125-T125-W125</f>
      </c>
      <c r="Y125" s="293">
        <v>45826</v>
      </c>
      <c r="Z125" s="14" t="s">
        <v>2216</v>
      </c>
      <c r="AA125" s="161" t="s">
        <v>4321</v>
      </c>
      <c r="AB125" s="32">
        <f>O125</f>
      </c>
      <c r="AC125" s="29"/>
      <c r="AD125" s="29"/>
      <c r="AE125" s="29"/>
      <c r="AF125" s="29">
        <f>AF124-AB125+AE125+AC125</f>
      </c>
      <c r="AG125" s="29"/>
      <c r="AH125" s="29"/>
      <c r="AI125" s="29">
        <f>AI124-AG125+AH125</f>
      </c>
      <c r="AJ125" s="34"/>
      <c r="AK125" s="34"/>
      <c r="AL125" s="29"/>
      <c r="AM125" s="29">
        <f>AM124-AL125</f>
      </c>
    </row>
    <row x14ac:dyDescent="0.25" r="126" customHeight="1" ht="15.75">
      <c r="A126" s="12">
        <v>45804</v>
      </c>
      <c r="B126" s="14" t="s">
        <v>111</v>
      </c>
      <c r="C126" s="14" t="s">
        <v>4293</v>
      </c>
      <c r="D126" s="14" t="s">
        <v>112</v>
      </c>
      <c r="E126" s="14" t="s">
        <v>4353</v>
      </c>
      <c r="F126" s="14" t="s">
        <v>84</v>
      </c>
      <c r="G126" s="30" t="s">
        <v>423</v>
      </c>
      <c r="H126" s="30" t="s">
        <v>26</v>
      </c>
      <c r="I126" s="17">
        <v>317400</v>
      </c>
      <c r="J126" s="65"/>
      <c r="K126" s="65"/>
      <c r="L126" s="65"/>
      <c r="M126" s="65"/>
      <c r="N126" s="17">
        <v>717500</v>
      </c>
      <c r="O126" s="17">
        <v>617005</v>
      </c>
      <c r="P126" s="17">
        <f>N126-O126</f>
      </c>
      <c r="Q126" s="14" t="s">
        <v>50</v>
      </c>
      <c r="R126" s="31" t="s">
        <v>424</v>
      </c>
      <c r="S126" s="40">
        <v>2</v>
      </c>
      <c r="T126" s="65"/>
      <c r="U126" s="65"/>
      <c r="V126" s="65"/>
      <c r="W126" s="17">
        <v>717500</v>
      </c>
      <c r="X126" s="17">
        <f>N126-T126-W126</f>
      </c>
      <c r="Y126" s="293">
        <v>45828</v>
      </c>
      <c r="Z126" s="14" t="s">
        <v>2122</v>
      </c>
      <c r="AA126" s="161"/>
      <c r="AB126" s="32">
        <f>O126</f>
      </c>
      <c r="AC126" s="29"/>
      <c r="AD126" s="29"/>
      <c r="AE126" s="29"/>
      <c r="AF126" s="29">
        <f>AF125-AB126+AE126+AC126</f>
      </c>
      <c r="AG126" s="29"/>
      <c r="AH126" s="29"/>
      <c r="AI126" s="29">
        <f>AI125-AG126+AH126</f>
      </c>
      <c r="AJ126" s="34"/>
      <c r="AK126" s="34"/>
      <c r="AL126" s="29"/>
      <c r="AM126" s="29">
        <f>AM125-AL126</f>
      </c>
    </row>
    <row x14ac:dyDescent="0.25" r="127" customHeight="1" ht="15.75">
      <c r="A127" s="12">
        <v>45804</v>
      </c>
      <c r="B127" s="14" t="s">
        <v>111</v>
      </c>
      <c r="C127" s="14" t="s">
        <v>4293</v>
      </c>
      <c r="D127" s="14" t="s">
        <v>112</v>
      </c>
      <c r="E127" s="14" t="s">
        <v>4354</v>
      </c>
      <c r="F127" s="14" t="s">
        <v>84</v>
      </c>
      <c r="G127" s="30" t="s">
        <v>425</v>
      </c>
      <c r="H127" s="30" t="s">
        <v>26</v>
      </c>
      <c r="I127" s="17">
        <v>354900</v>
      </c>
      <c r="J127" s="65"/>
      <c r="K127" s="65"/>
      <c r="L127" s="65"/>
      <c r="M127" s="65"/>
      <c r="N127" s="17">
        <v>761805</v>
      </c>
      <c r="O127" s="17">
        <v>661805</v>
      </c>
      <c r="P127" s="17">
        <f>N127-O127</f>
      </c>
      <c r="Q127" s="14" t="s">
        <v>50</v>
      </c>
      <c r="R127" s="31" t="s">
        <v>426</v>
      </c>
      <c r="S127" s="40">
        <v>2</v>
      </c>
      <c r="T127" s="65"/>
      <c r="U127" s="65"/>
      <c r="V127" s="65"/>
      <c r="W127" s="17">
        <v>761805</v>
      </c>
      <c r="X127" s="17">
        <f>N127-T127-W127</f>
      </c>
      <c r="Y127" s="293">
        <v>45828</v>
      </c>
      <c r="Z127" s="14" t="s">
        <v>2122</v>
      </c>
      <c r="AA127" s="161"/>
      <c r="AB127" s="32">
        <f>O127</f>
      </c>
      <c r="AC127" s="29"/>
      <c r="AD127" s="29"/>
      <c r="AE127" s="29"/>
      <c r="AF127" s="29">
        <f>AF126-AB127+AE127+AC127</f>
      </c>
      <c r="AG127" s="29"/>
      <c r="AH127" s="29"/>
      <c r="AI127" s="29">
        <f>AI126-AG127+AH127</f>
      </c>
      <c r="AJ127" s="34"/>
      <c r="AK127" s="34"/>
      <c r="AL127" s="29"/>
      <c r="AM127" s="29">
        <f>AM126-AL127</f>
      </c>
    </row>
    <row x14ac:dyDescent="0.25" r="128" customHeight="1" ht="15.75">
      <c r="A128" s="12">
        <v>45804</v>
      </c>
      <c r="B128" s="14" t="s">
        <v>111</v>
      </c>
      <c r="C128" s="14" t="s">
        <v>4293</v>
      </c>
      <c r="D128" s="14" t="s">
        <v>112</v>
      </c>
      <c r="E128" s="14" t="s">
        <v>4355</v>
      </c>
      <c r="F128" s="14" t="s">
        <v>84</v>
      </c>
      <c r="G128" s="30" t="s">
        <v>427</v>
      </c>
      <c r="H128" s="30" t="s">
        <v>26</v>
      </c>
      <c r="I128" s="17">
        <v>330900</v>
      </c>
      <c r="J128" s="65"/>
      <c r="K128" s="65"/>
      <c r="L128" s="65"/>
      <c r="M128" s="65"/>
      <c r="N128" s="17">
        <v>733805</v>
      </c>
      <c r="O128" s="17">
        <v>633105</v>
      </c>
      <c r="P128" s="17">
        <f>N128-O128</f>
      </c>
      <c r="Q128" s="14" t="s">
        <v>50</v>
      </c>
      <c r="R128" s="31" t="s">
        <v>428</v>
      </c>
      <c r="S128" s="40">
        <v>2</v>
      </c>
      <c r="T128" s="65"/>
      <c r="U128" s="65"/>
      <c r="V128" s="65"/>
      <c r="W128" s="65"/>
      <c r="X128" s="17">
        <f>N128-T128-W128</f>
      </c>
      <c r="Y128" s="293"/>
      <c r="Z128" s="14"/>
      <c r="AA128" s="161"/>
      <c r="AB128" s="32">
        <f>O128</f>
      </c>
      <c r="AC128" s="29"/>
      <c r="AD128" s="29"/>
      <c r="AE128" s="29"/>
      <c r="AF128" s="29">
        <f>AF127-AB128+AE128+AC128</f>
      </c>
      <c r="AG128" s="29"/>
      <c r="AH128" s="29"/>
      <c r="AI128" s="29">
        <f>AI127-AG128+AH128</f>
      </c>
      <c r="AJ128" s="34"/>
      <c r="AK128" s="34"/>
      <c r="AL128" s="29"/>
      <c r="AM128" s="29">
        <f>AM127-AL128</f>
      </c>
    </row>
    <row x14ac:dyDescent="0.25" r="129" customHeight="1" ht="15.75">
      <c r="A129" s="12">
        <v>45805</v>
      </c>
      <c r="B129" s="14" t="s">
        <v>82</v>
      </c>
      <c r="C129" s="14" t="s">
        <v>4356</v>
      </c>
      <c r="D129" s="14" t="s">
        <v>112</v>
      </c>
      <c r="E129" s="14" t="s">
        <v>4357</v>
      </c>
      <c r="F129" s="14" t="s">
        <v>84</v>
      </c>
      <c r="G129" s="30" t="s">
        <v>1964</v>
      </c>
      <c r="H129" s="30" t="s">
        <v>26</v>
      </c>
      <c r="I129" s="65"/>
      <c r="J129" s="65"/>
      <c r="K129" s="65"/>
      <c r="L129" s="65"/>
      <c r="M129" s="65"/>
      <c r="N129" s="17">
        <v>439800</v>
      </c>
      <c r="O129" s="245">
        <v>312905</v>
      </c>
      <c r="P129" s="17">
        <f>N129-O129</f>
      </c>
      <c r="Q129" s="14" t="s">
        <v>86</v>
      </c>
      <c r="R129" s="31" t="s">
        <v>4358</v>
      </c>
      <c r="S129" s="41"/>
      <c r="T129" s="65"/>
      <c r="U129" s="65"/>
      <c r="V129" s="65"/>
      <c r="W129" s="17">
        <v>439800</v>
      </c>
      <c r="X129" s="17">
        <f>N129-T129-W129</f>
      </c>
      <c r="Y129" s="293">
        <v>45828</v>
      </c>
      <c r="Z129" s="14" t="s">
        <v>2122</v>
      </c>
      <c r="AA129" s="161"/>
      <c r="AB129" s="32">
        <v>0</v>
      </c>
      <c r="AC129" s="29"/>
      <c r="AD129" s="29"/>
      <c r="AE129" s="29"/>
      <c r="AF129" s="29">
        <f>AF128-AB129+AE129+AC129</f>
      </c>
      <c r="AG129" s="32">
        <v>312905</v>
      </c>
      <c r="AH129" s="29"/>
      <c r="AI129" s="29">
        <f>AI128-AG129+AH129</f>
      </c>
      <c r="AJ129" s="34"/>
      <c r="AK129" s="34"/>
      <c r="AL129" s="29"/>
      <c r="AM129" s="29">
        <f>AM128-AL129</f>
      </c>
    </row>
    <row x14ac:dyDescent="0.25" r="130" customHeight="1" ht="15.75">
      <c r="A130" s="12">
        <v>45805</v>
      </c>
      <c r="B130" s="14" t="s">
        <v>82</v>
      </c>
      <c r="C130" s="14" t="s">
        <v>4356</v>
      </c>
      <c r="D130" s="14" t="s">
        <v>112</v>
      </c>
      <c r="E130" s="14" t="s">
        <v>4359</v>
      </c>
      <c r="F130" s="14" t="s">
        <v>84</v>
      </c>
      <c r="G130" s="30" t="s">
        <v>4360</v>
      </c>
      <c r="H130" s="30" t="s">
        <v>26</v>
      </c>
      <c r="I130" s="65"/>
      <c r="J130" s="65"/>
      <c r="K130" s="65"/>
      <c r="L130" s="65"/>
      <c r="M130" s="65"/>
      <c r="N130" s="17">
        <v>439800</v>
      </c>
      <c r="O130" s="245">
        <v>312905</v>
      </c>
      <c r="P130" s="17">
        <f>N130-O130</f>
      </c>
      <c r="Q130" s="14" t="s">
        <v>86</v>
      </c>
      <c r="R130" s="31" t="s">
        <v>4361</v>
      </c>
      <c r="S130" s="41"/>
      <c r="T130" s="65"/>
      <c r="U130" s="65"/>
      <c r="V130" s="65"/>
      <c r="W130" s="17">
        <v>439800</v>
      </c>
      <c r="X130" s="17">
        <f>N130-T130-W130</f>
      </c>
      <c r="Y130" s="293">
        <v>45828</v>
      </c>
      <c r="Z130" s="14" t="s">
        <v>2122</v>
      </c>
      <c r="AA130" s="161"/>
      <c r="AB130" s="32">
        <v>0</v>
      </c>
      <c r="AC130" s="29"/>
      <c r="AD130" s="29"/>
      <c r="AE130" s="29"/>
      <c r="AF130" s="29">
        <f>AF129-AB130+AE130+AC130</f>
      </c>
      <c r="AG130" s="32">
        <v>312905</v>
      </c>
      <c r="AH130" s="29"/>
      <c r="AI130" s="29">
        <f>AI129-AG130+AH130</f>
      </c>
      <c r="AJ130" s="34"/>
      <c r="AK130" s="34"/>
      <c r="AL130" s="29"/>
      <c r="AM130" s="29">
        <f>AM129-AL130</f>
      </c>
    </row>
    <row x14ac:dyDescent="0.25" r="131" customHeight="1" ht="15.75">
      <c r="A131" s="12">
        <v>45805</v>
      </c>
      <c r="B131" s="14" t="s">
        <v>82</v>
      </c>
      <c r="C131" s="14" t="s">
        <v>4362</v>
      </c>
      <c r="D131" s="14" t="s">
        <v>805</v>
      </c>
      <c r="E131" s="14"/>
      <c r="F131" s="14" t="s">
        <v>147</v>
      </c>
      <c r="G131" s="311" t="s">
        <v>4363</v>
      </c>
      <c r="H131" s="30" t="s">
        <v>26</v>
      </c>
      <c r="I131" s="65"/>
      <c r="J131" s="65"/>
      <c r="K131" s="65"/>
      <c r="L131" s="65"/>
      <c r="M131" s="65"/>
      <c r="N131" s="17">
        <v>826520</v>
      </c>
      <c r="O131" s="245">
        <v>726520</v>
      </c>
      <c r="P131" s="17">
        <f>N131-O131</f>
      </c>
      <c r="Q131" s="14" t="s">
        <v>86</v>
      </c>
      <c r="R131" s="31" t="s">
        <v>4364</v>
      </c>
      <c r="S131" s="41"/>
      <c r="T131" s="65"/>
      <c r="U131" s="65"/>
      <c r="V131" s="65"/>
      <c r="W131" s="17">
        <v>320000</v>
      </c>
      <c r="X131" s="17">
        <f>N131-T131-W131</f>
      </c>
      <c r="Y131" s="293">
        <v>45828</v>
      </c>
      <c r="Z131" s="14" t="s">
        <v>1718</v>
      </c>
      <c r="AA131" s="161"/>
      <c r="AB131" s="32">
        <v>0</v>
      </c>
      <c r="AC131" s="29"/>
      <c r="AD131" s="29"/>
      <c r="AE131" s="29"/>
      <c r="AF131" s="29">
        <f>AF130-AB131+AE131+AC131</f>
      </c>
      <c r="AG131" s="32">
        <v>726520</v>
      </c>
      <c r="AH131" s="29"/>
      <c r="AI131" s="29">
        <f>AI130-AG131+AH131</f>
      </c>
      <c r="AJ131" s="34"/>
      <c r="AK131" s="34"/>
      <c r="AL131" s="29"/>
      <c r="AM131" s="29">
        <f>AM130-AL131</f>
      </c>
    </row>
    <row x14ac:dyDescent="0.25" r="132" customHeight="1" ht="15.75">
      <c r="A132" s="12">
        <v>45805</v>
      </c>
      <c r="B132" s="14" t="s">
        <v>111</v>
      </c>
      <c r="C132" s="14" t="s">
        <v>4365</v>
      </c>
      <c r="D132" s="14" t="s">
        <v>429</v>
      </c>
      <c r="E132" s="14" t="s">
        <v>4366</v>
      </c>
      <c r="F132" s="14" t="s">
        <v>430</v>
      </c>
      <c r="G132" s="30" t="s">
        <v>431</v>
      </c>
      <c r="H132" s="30" t="s">
        <v>26</v>
      </c>
      <c r="I132" s="65"/>
      <c r="J132" s="65"/>
      <c r="K132" s="65"/>
      <c r="L132" s="65"/>
      <c r="M132" s="65"/>
      <c r="N132" s="17">
        <v>731900</v>
      </c>
      <c r="O132" s="17">
        <v>705920</v>
      </c>
      <c r="P132" s="17">
        <f>N132-O132</f>
      </c>
      <c r="Q132" s="14" t="s">
        <v>187</v>
      </c>
      <c r="R132" s="61" t="s">
        <v>432</v>
      </c>
      <c r="S132" s="41"/>
      <c r="T132" s="65"/>
      <c r="U132" s="65"/>
      <c r="V132" s="65"/>
      <c r="W132" s="17">
        <v>731900</v>
      </c>
      <c r="X132" s="17">
        <f>N132-T132-W132</f>
      </c>
      <c r="Y132" s="293">
        <v>45805</v>
      </c>
      <c r="Z132" s="14" t="s">
        <v>1718</v>
      </c>
      <c r="AA132" s="161"/>
      <c r="AB132" s="32">
        <f>O132</f>
      </c>
      <c r="AC132" s="29"/>
      <c r="AD132" s="29"/>
      <c r="AE132" s="29"/>
      <c r="AF132" s="29">
        <f>AF131-AB132+AE132+AC132</f>
      </c>
      <c r="AG132" s="29"/>
      <c r="AH132" s="29"/>
      <c r="AI132" s="29">
        <f>AI131-AG132+AH132</f>
      </c>
      <c r="AJ132" s="34"/>
      <c r="AK132" s="34"/>
      <c r="AL132" s="29"/>
      <c r="AM132" s="29">
        <f>AM131-AL132</f>
      </c>
    </row>
    <row x14ac:dyDescent="0.25" r="133" customHeight="1" ht="15.75">
      <c r="A133" s="12">
        <v>45805</v>
      </c>
      <c r="B133" s="14" t="s">
        <v>46</v>
      </c>
      <c r="C133" s="14" t="s">
        <v>4367</v>
      </c>
      <c r="D133" s="14" t="s">
        <v>54</v>
      </c>
      <c r="E133" s="14" t="s">
        <v>4368</v>
      </c>
      <c r="F133" s="14" t="s">
        <v>1160</v>
      </c>
      <c r="G133" s="30" t="s">
        <v>434</v>
      </c>
      <c r="H133" s="30" t="s">
        <v>26</v>
      </c>
      <c r="I133" s="17">
        <v>1516500</v>
      </c>
      <c r="J133" s="65"/>
      <c r="K133" s="65"/>
      <c r="L133" s="65"/>
      <c r="M133" s="65"/>
      <c r="N133" s="17">
        <v>2494820</v>
      </c>
      <c r="O133" s="17">
        <v>2354020</v>
      </c>
      <c r="P133" s="17">
        <f>N133-O133</f>
      </c>
      <c r="Q133" s="14" t="s">
        <v>50</v>
      </c>
      <c r="R133" s="31" t="s">
        <v>435</v>
      </c>
      <c r="S133" s="40">
        <v>2</v>
      </c>
      <c r="T133" s="17">
        <v>617040</v>
      </c>
      <c r="U133" s="65"/>
      <c r="V133" s="65"/>
      <c r="W133" s="17"/>
      <c r="X133" s="17">
        <f>N133-T133-W133</f>
      </c>
      <c r="Y133" s="293">
        <v>45901</v>
      </c>
      <c r="Z133" s="14" t="s">
        <v>1718</v>
      </c>
      <c r="AA133" s="161"/>
      <c r="AB133" s="32">
        <f>O133</f>
      </c>
      <c r="AC133" s="29"/>
      <c r="AD133" s="29"/>
      <c r="AE133" s="29"/>
      <c r="AF133" s="29">
        <f>AF132-AB133+AE133+AC133</f>
      </c>
      <c r="AG133" s="29"/>
      <c r="AH133" s="29"/>
      <c r="AI133" s="29">
        <f>AI132-AG133+AH133</f>
      </c>
      <c r="AJ133" s="34"/>
      <c r="AK133" s="34"/>
      <c r="AL133" s="29"/>
      <c r="AM133" s="29">
        <f>AM132-AL133</f>
      </c>
    </row>
    <row x14ac:dyDescent="0.25" r="134" customHeight="1" ht="15.75">
      <c r="A134" s="12">
        <v>45806</v>
      </c>
      <c r="B134" s="14" t="s">
        <v>53</v>
      </c>
      <c r="C134" s="14" t="s">
        <v>4369</v>
      </c>
      <c r="D134" s="14" t="s">
        <v>54</v>
      </c>
      <c r="E134" s="14" t="s">
        <v>4370</v>
      </c>
      <c r="F134" s="14" t="s">
        <v>418</v>
      </c>
      <c r="G134" s="259" t="s">
        <v>436</v>
      </c>
      <c r="H134" s="30" t="s">
        <v>26</v>
      </c>
      <c r="I134" s="65"/>
      <c r="J134" s="65"/>
      <c r="K134" s="65"/>
      <c r="L134" s="65"/>
      <c r="M134" s="65"/>
      <c r="N134" s="17">
        <v>1650920</v>
      </c>
      <c r="O134" s="17">
        <v>1520920</v>
      </c>
      <c r="P134" s="17">
        <f>N134-O134</f>
      </c>
      <c r="Q134" s="14" t="s">
        <v>137</v>
      </c>
      <c r="R134" s="31" t="s">
        <v>437</v>
      </c>
      <c r="S134" s="41"/>
      <c r="T134" s="65"/>
      <c r="U134" s="65"/>
      <c r="V134" s="65"/>
      <c r="W134" s="65"/>
      <c r="X134" s="17">
        <f>N134-T134-W134</f>
      </c>
      <c r="Y134" s="293"/>
      <c r="Z134" s="14"/>
      <c r="AA134" s="161"/>
      <c r="AB134" s="32">
        <f>O134</f>
      </c>
      <c r="AC134" s="29"/>
      <c r="AD134" s="29"/>
      <c r="AE134" s="29"/>
      <c r="AF134" s="29">
        <f>AF133-AB134+AE134+AC134</f>
      </c>
      <c r="AG134" s="29"/>
      <c r="AH134" s="29"/>
      <c r="AI134" s="29">
        <f>AI133-AG134+AH134</f>
      </c>
      <c r="AJ134" s="34"/>
      <c r="AK134" s="34"/>
      <c r="AL134" s="29"/>
      <c r="AM134" s="29">
        <f>AM133-AL134</f>
      </c>
    </row>
    <row x14ac:dyDescent="0.25" r="135" customHeight="1" ht="15.75">
      <c r="A135" s="12">
        <v>45806</v>
      </c>
      <c r="B135" s="14" t="s">
        <v>46</v>
      </c>
      <c r="C135" s="14" t="s">
        <v>4371</v>
      </c>
      <c r="D135" s="14" t="s">
        <v>438</v>
      </c>
      <c r="E135" s="14" t="s">
        <v>4372</v>
      </c>
      <c r="F135" s="14" t="s">
        <v>162</v>
      </c>
      <c r="G135" s="30" t="s">
        <v>439</v>
      </c>
      <c r="H135" s="30" t="s">
        <v>26</v>
      </c>
      <c r="I135" s="65"/>
      <c r="J135" s="65"/>
      <c r="K135" s="65"/>
      <c r="L135" s="65"/>
      <c r="M135" s="65"/>
      <c r="N135" s="17">
        <v>3456900</v>
      </c>
      <c r="O135" s="17">
        <v>3356500</v>
      </c>
      <c r="P135" s="17">
        <f>N135-O135</f>
      </c>
      <c r="Q135" s="14" t="s">
        <v>137</v>
      </c>
      <c r="R135" s="31" t="s">
        <v>440</v>
      </c>
      <c r="S135" s="41"/>
      <c r="T135" s="65"/>
      <c r="U135" s="65"/>
      <c r="V135" s="65"/>
      <c r="W135" s="65"/>
      <c r="X135" s="17">
        <f>N135-T135-W135</f>
      </c>
      <c r="Y135" s="293"/>
      <c r="Z135" s="14"/>
      <c r="AA135" s="161"/>
      <c r="AB135" s="32">
        <f>O135</f>
      </c>
      <c r="AC135" s="29"/>
      <c r="AD135" s="29"/>
      <c r="AE135" s="29"/>
      <c r="AF135" s="29">
        <f>AF134-AB135+AE135+AC135</f>
      </c>
      <c r="AG135" s="29"/>
      <c r="AH135" s="29"/>
      <c r="AI135" s="29">
        <f>AI134-AG135+AH135</f>
      </c>
      <c r="AJ135" s="34"/>
      <c r="AK135" s="34"/>
      <c r="AL135" s="29"/>
      <c r="AM135" s="29">
        <f>AM134-AL135</f>
      </c>
    </row>
    <row x14ac:dyDescent="0.25" r="136" customHeight="1" ht="15.75">
      <c r="A136" s="12">
        <v>45806</v>
      </c>
      <c r="B136" s="14" t="s">
        <v>53</v>
      </c>
      <c r="C136" s="14" t="s">
        <v>4373</v>
      </c>
      <c r="D136" s="14" t="s">
        <v>441</v>
      </c>
      <c r="E136" s="14" t="s">
        <v>4374</v>
      </c>
      <c r="F136" s="14" t="s">
        <v>442</v>
      </c>
      <c r="G136" s="30" t="s">
        <v>443</v>
      </c>
      <c r="H136" s="30" t="s">
        <v>76</v>
      </c>
      <c r="I136" s="65"/>
      <c r="J136" s="65"/>
      <c r="K136" s="65"/>
      <c r="L136" s="65"/>
      <c r="M136" s="65"/>
      <c r="N136" s="17">
        <v>570800</v>
      </c>
      <c r="O136" s="17">
        <v>535020</v>
      </c>
      <c r="P136" s="17">
        <f>N136-O136</f>
      </c>
      <c r="Q136" s="14" t="s">
        <v>187</v>
      </c>
      <c r="R136" s="61" t="s">
        <v>444</v>
      </c>
      <c r="S136" s="41"/>
      <c r="T136" s="65"/>
      <c r="U136" s="65"/>
      <c r="V136" s="65"/>
      <c r="W136" s="17">
        <v>570800</v>
      </c>
      <c r="X136" s="17">
        <f>N136-T136-W136</f>
      </c>
      <c r="Y136" s="293">
        <v>45807</v>
      </c>
      <c r="Z136" s="14" t="s">
        <v>2216</v>
      </c>
      <c r="AA136" s="161"/>
      <c r="AB136" s="32">
        <f>O136</f>
      </c>
      <c r="AC136" s="29"/>
      <c r="AD136" s="29"/>
      <c r="AE136" s="29"/>
      <c r="AF136" s="29">
        <f>AF135-AB136+AE136+AC136</f>
      </c>
      <c r="AG136" s="29"/>
      <c r="AH136" s="29"/>
      <c r="AI136" s="29">
        <f>AI135-AG136+AH136</f>
      </c>
      <c r="AJ136" s="34"/>
      <c r="AK136" s="34"/>
      <c r="AL136" s="29"/>
      <c r="AM136" s="29">
        <f>AM135-AL136</f>
      </c>
    </row>
    <row x14ac:dyDescent="0.25" r="137" customHeight="1" ht="15.75">
      <c r="A137" s="12">
        <v>45807</v>
      </c>
      <c r="B137" s="14" t="s">
        <v>123</v>
      </c>
      <c r="C137" s="14" t="s">
        <v>4365</v>
      </c>
      <c r="D137" s="14" t="s">
        <v>445</v>
      </c>
      <c r="E137" s="14" t="s">
        <v>4375</v>
      </c>
      <c r="F137" s="14" t="s">
        <v>174</v>
      </c>
      <c r="G137" s="30" t="s">
        <v>446</v>
      </c>
      <c r="H137" s="30" t="s">
        <v>26</v>
      </c>
      <c r="I137" s="17">
        <v>1864900</v>
      </c>
      <c r="J137" s="65"/>
      <c r="K137" s="65"/>
      <c r="L137" s="65"/>
      <c r="M137" s="65"/>
      <c r="N137" s="17">
        <v>2458720</v>
      </c>
      <c r="O137" s="17">
        <v>2258720</v>
      </c>
      <c r="P137" s="17">
        <f>N137-O137</f>
      </c>
      <c r="Q137" s="14" t="s">
        <v>50</v>
      </c>
      <c r="R137" s="31" t="s">
        <v>447</v>
      </c>
      <c r="S137" s="40">
        <v>2</v>
      </c>
      <c r="T137" s="65"/>
      <c r="U137" s="65"/>
      <c r="V137" s="65"/>
      <c r="W137" s="17">
        <v>2458720</v>
      </c>
      <c r="X137" s="17">
        <f>N137-T137-W137</f>
      </c>
      <c r="Y137" s="293">
        <v>45821</v>
      </c>
      <c r="Z137" s="14" t="s">
        <v>1718</v>
      </c>
      <c r="AA137" s="161"/>
      <c r="AB137" s="32">
        <f>O137</f>
      </c>
      <c r="AC137" s="29"/>
      <c r="AD137" s="29"/>
      <c r="AE137" s="29"/>
      <c r="AF137" s="29">
        <f>AF136-AB137+AE137+AC137</f>
      </c>
      <c r="AG137" s="29"/>
      <c r="AH137" s="29"/>
      <c r="AI137" s="29">
        <f>AI136-AG137+AH137</f>
      </c>
      <c r="AJ137" s="34"/>
      <c r="AK137" s="34"/>
      <c r="AL137" s="29"/>
      <c r="AM137" s="29">
        <f>AM136-AL137</f>
      </c>
    </row>
    <row x14ac:dyDescent="0.25" r="138" customHeight="1" ht="15.75">
      <c r="A138" s="12">
        <v>45807</v>
      </c>
      <c r="B138" s="14" t="s">
        <v>252</v>
      </c>
      <c r="C138" s="14" t="s">
        <v>4376</v>
      </c>
      <c r="D138" s="14" t="s">
        <v>448</v>
      </c>
      <c r="E138" s="14" t="s">
        <v>4377</v>
      </c>
      <c r="F138" s="14" t="s">
        <v>449</v>
      </c>
      <c r="G138" s="30" t="s">
        <v>450</v>
      </c>
      <c r="H138" s="30" t="s">
        <v>26</v>
      </c>
      <c r="I138" s="17">
        <v>804700</v>
      </c>
      <c r="J138" s="65"/>
      <c r="K138" s="65"/>
      <c r="L138" s="65"/>
      <c r="M138" s="65"/>
      <c r="N138" s="17">
        <v>1410820</v>
      </c>
      <c r="O138" s="17">
        <v>1312820</v>
      </c>
      <c r="P138" s="17">
        <f>N138-O138</f>
      </c>
      <c r="Q138" s="14" t="s">
        <v>50</v>
      </c>
      <c r="R138" s="31" t="s">
        <v>451</v>
      </c>
      <c r="S138" s="40">
        <v>4</v>
      </c>
      <c r="T138" s="65"/>
      <c r="U138" s="65"/>
      <c r="V138" s="65"/>
      <c r="W138" s="17">
        <v>1410820</v>
      </c>
      <c r="X138" s="17">
        <f>N138-T138-W138</f>
      </c>
      <c r="Y138" s="293">
        <v>45827</v>
      </c>
      <c r="Z138" s="14" t="s">
        <v>2216</v>
      </c>
      <c r="AA138" s="161" t="s">
        <v>4378</v>
      </c>
      <c r="AB138" s="32">
        <f>O138</f>
      </c>
      <c r="AC138" s="29"/>
      <c r="AD138" s="29"/>
      <c r="AE138" s="29"/>
      <c r="AF138" s="29">
        <f>AF137-AB138+AE138+AC138</f>
      </c>
      <c r="AG138" s="29"/>
      <c r="AH138" s="29"/>
      <c r="AI138" s="29">
        <f>AI137-AG138+AH138</f>
      </c>
      <c r="AJ138" s="34"/>
      <c r="AK138" s="34"/>
      <c r="AL138" s="29"/>
      <c r="AM138" s="29">
        <f>AM137-AL138</f>
      </c>
    </row>
    <row x14ac:dyDescent="0.25" r="139" customHeight="1" ht="15.75">
      <c r="A139" s="12">
        <v>45807</v>
      </c>
      <c r="B139" s="14" t="s">
        <v>22</v>
      </c>
      <c r="C139" s="14" t="s">
        <v>4356</v>
      </c>
      <c r="D139" s="14" t="s">
        <v>4269</v>
      </c>
      <c r="E139" s="14" t="s">
        <v>4379</v>
      </c>
      <c r="F139" s="14" t="s">
        <v>548</v>
      </c>
      <c r="G139" s="30" t="s">
        <v>4380</v>
      </c>
      <c r="H139" s="30" t="s">
        <v>26</v>
      </c>
      <c r="I139" s="65"/>
      <c r="J139" s="65"/>
      <c r="K139" s="65"/>
      <c r="L139" s="65"/>
      <c r="M139" s="65"/>
      <c r="N139" s="17">
        <v>475700</v>
      </c>
      <c r="O139" s="17">
        <v>415700</v>
      </c>
      <c r="P139" s="17">
        <f>N139-O139</f>
      </c>
      <c r="Q139" s="14" t="s">
        <v>22</v>
      </c>
      <c r="R139" s="31" t="s">
        <v>4381</v>
      </c>
      <c r="S139" s="41"/>
      <c r="T139" s="65"/>
      <c r="U139" s="65"/>
      <c r="V139" s="65"/>
      <c r="W139" s="65"/>
      <c r="X139" s="17">
        <f>N139-T139-W139</f>
      </c>
      <c r="Y139" s="293"/>
      <c r="Z139" s="14"/>
      <c r="AA139" s="161"/>
      <c r="AB139" s="32">
        <f>O139</f>
      </c>
      <c r="AC139" s="29"/>
      <c r="AD139" s="29"/>
      <c r="AE139" s="29"/>
      <c r="AF139" s="29">
        <f>AF138-AB139+AE139+AC139</f>
      </c>
      <c r="AG139" s="29"/>
      <c r="AH139" s="29"/>
      <c r="AI139" s="29">
        <f>AI138-AG139+AH139</f>
      </c>
      <c r="AJ139" s="34"/>
      <c r="AK139" s="34"/>
      <c r="AL139" s="29"/>
      <c r="AM139" s="29">
        <f>AM138-AL139</f>
      </c>
    </row>
    <row x14ac:dyDescent="0.25" r="140" customHeight="1" ht="15.75">
      <c r="A140" s="12">
        <v>45807</v>
      </c>
      <c r="B140" s="14" t="s">
        <v>22</v>
      </c>
      <c r="C140" s="14" t="s">
        <v>4356</v>
      </c>
      <c r="D140" s="14" t="s">
        <v>4269</v>
      </c>
      <c r="E140" s="14" t="s">
        <v>4379</v>
      </c>
      <c r="F140" s="14" t="s">
        <v>548</v>
      </c>
      <c r="G140" s="30" t="s">
        <v>4382</v>
      </c>
      <c r="H140" s="30" t="s">
        <v>26</v>
      </c>
      <c r="I140" s="65"/>
      <c r="J140" s="65"/>
      <c r="K140" s="65"/>
      <c r="L140" s="65"/>
      <c r="M140" s="65"/>
      <c r="N140" s="17">
        <v>475700</v>
      </c>
      <c r="O140" s="17">
        <v>415700</v>
      </c>
      <c r="P140" s="17">
        <f>N140-O140</f>
      </c>
      <c r="Q140" s="14" t="s">
        <v>22</v>
      </c>
      <c r="R140" s="31" t="s">
        <v>4381</v>
      </c>
      <c r="S140" s="41"/>
      <c r="T140" s="65"/>
      <c r="U140" s="65"/>
      <c r="V140" s="65"/>
      <c r="W140" s="65"/>
      <c r="X140" s="17">
        <f>N140-T140-W140</f>
      </c>
      <c r="Y140" s="293"/>
      <c r="Z140" s="14"/>
      <c r="AA140" s="161"/>
      <c r="AB140" s="32">
        <f>O140</f>
      </c>
      <c r="AC140" s="29"/>
      <c r="AD140" s="29"/>
      <c r="AE140" s="29"/>
      <c r="AF140" s="29">
        <f>AF139-AB140+AE140+AC140</f>
      </c>
      <c r="AG140" s="29"/>
      <c r="AH140" s="29"/>
      <c r="AI140" s="29">
        <f>AI139-AG140+AH140</f>
      </c>
      <c r="AJ140" s="34"/>
      <c r="AK140" s="34"/>
      <c r="AL140" s="29"/>
      <c r="AM140" s="29">
        <f>AM139-AL140</f>
      </c>
    </row>
    <row x14ac:dyDescent="0.25" r="141" customHeight="1" ht="15.75">
      <c r="A141" s="12">
        <v>45807</v>
      </c>
      <c r="B141" s="14" t="s">
        <v>22</v>
      </c>
      <c r="C141" s="14" t="s">
        <v>4356</v>
      </c>
      <c r="D141" s="14" t="s">
        <v>4269</v>
      </c>
      <c r="E141" s="14" t="s">
        <v>4379</v>
      </c>
      <c r="F141" s="14" t="s">
        <v>548</v>
      </c>
      <c r="G141" s="30" t="s">
        <v>4383</v>
      </c>
      <c r="H141" s="30" t="s">
        <v>26</v>
      </c>
      <c r="I141" s="65"/>
      <c r="J141" s="65"/>
      <c r="K141" s="65"/>
      <c r="L141" s="65"/>
      <c r="M141" s="65"/>
      <c r="N141" s="17">
        <v>475700</v>
      </c>
      <c r="O141" s="17">
        <v>415700</v>
      </c>
      <c r="P141" s="17">
        <f>N141-O141</f>
      </c>
      <c r="Q141" s="14" t="s">
        <v>22</v>
      </c>
      <c r="R141" s="31" t="s">
        <v>4381</v>
      </c>
      <c r="S141" s="41"/>
      <c r="T141" s="65"/>
      <c r="U141" s="65"/>
      <c r="V141" s="65"/>
      <c r="W141" s="65"/>
      <c r="X141" s="17">
        <f>N141-T141-W141</f>
      </c>
      <c r="Y141" s="293"/>
      <c r="Z141" s="14"/>
      <c r="AA141" s="161"/>
      <c r="AB141" s="32">
        <f>O141</f>
      </c>
      <c r="AC141" s="29"/>
      <c r="AD141" s="29"/>
      <c r="AE141" s="29"/>
      <c r="AF141" s="29">
        <f>AF140-AB141+AE141+AC141</f>
      </c>
      <c r="AG141" s="29"/>
      <c r="AH141" s="29"/>
      <c r="AI141" s="29">
        <f>AI140-AG141+AH141</f>
      </c>
      <c r="AJ141" s="34"/>
      <c r="AK141" s="34"/>
      <c r="AL141" s="29"/>
      <c r="AM141" s="29">
        <f>AM140-AL141</f>
      </c>
    </row>
    <row x14ac:dyDescent="0.25" r="142" customHeight="1" ht="15.75">
      <c r="A142" s="12">
        <v>45807</v>
      </c>
      <c r="B142" s="14" t="s">
        <v>66</v>
      </c>
      <c r="C142" s="14" t="s">
        <v>4384</v>
      </c>
      <c r="D142" s="14" t="s">
        <v>166</v>
      </c>
      <c r="E142" s="14" t="s">
        <v>4385</v>
      </c>
      <c r="F142" s="14" t="s">
        <v>2318</v>
      </c>
      <c r="G142" s="30" t="s">
        <v>453</v>
      </c>
      <c r="H142" s="30" t="s">
        <v>127</v>
      </c>
      <c r="I142" s="17">
        <v>828500</v>
      </c>
      <c r="J142" s="65"/>
      <c r="K142" s="65"/>
      <c r="L142" s="65"/>
      <c r="M142" s="65"/>
      <c r="N142" s="17">
        <v>1398900</v>
      </c>
      <c r="O142" s="17">
        <v>1258020</v>
      </c>
      <c r="P142" s="17">
        <f>N142-O142</f>
      </c>
      <c r="Q142" s="14" t="s">
        <v>50</v>
      </c>
      <c r="R142" s="31" t="s">
        <v>454</v>
      </c>
      <c r="S142" s="40">
        <v>2</v>
      </c>
      <c r="T142" s="65"/>
      <c r="U142" s="65"/>
      <c r="V142" s="65"/>
      <c r="W142" s="17">
        <v>1398900</v>
      </c>
      <c r="X142" s="17">
        <f>N142-T142-W142</f>
      </c>
      <c r="Y142" s="293">
        <v>45813</v>
      </c>
      <c r="Z142" s="14" t="s">
        <v>1718</v>
      </c>
      <c r="AA142" s="161"/>
      <c r="AB142" s="32">
        <f>O142</f>
      </c>
      <c r="AC142" s="29"/>
      <c r="AD142" s="29"/>
      <c r="AE142" s="29"/>
      <c r="AF142" s="29">
        <f>AF141-AB142+AE142+AC142</f>
      </c>
      <c r="AG142" s="29"/>
      <c r="AH142" s="29"/>
      <c r="AI142" s="29">
        <f>AI141-AG142+AH142</f>
      </c>
      <c r="AJ142" s="34"/>
      <c r="AK142" s="34"/>
      <c r="AL142" s="29"/>
      <c r="AM142" s="29">
        <f>AM141-AL142</f>
      </c>
    </row>
    <row x14ac:dyDescent="0.25" r="143" customHeight="1" ht="15.75">
      <c r="A143" s="12">
        <v>45807</v>
      </c>
      <c r="B143" s="14" t="s">
        <v>72</v>
      </c>
      <c r="C143" s="14" t="s">
        <v>4295</v>
      </c>
      <c r="D143" s="14" t="s">
        <v>455</v>
      </c>
      <c r="E143" s="14" t="s">
        <v>4386</v>
      </c>
      <c r="F143" s="14" t="s">
        <v>456</v>
      </c>
      <c r="G143" s="30" t="s">
        <v>457</v>
      </c>
      <c r="H143" s="30" t="s">
        <v>127</v>
      </c>
      <c r="I143" s="17">
        <v>516400</v>
      </c>
      <c r="J143" s="65"/>
      <c r="K143" s="65"/>
      <c r="L143" s="65"/>
      <c r="M143" s="65"/>
      <c r="N143" s="17">
        <v>900000</v>
      </c>
      <c r="O143" s="17">
        <v>840020</v>
      </c>
      <c r="P143" s="17">
        <f>N143-O143</f>
      </c>
      <c r="Q143" s="14" t="s">
        <v>50</v>
      </c>
      <c r="R143" s="31" t="s">
        <v>458</v>
      </c>
      <c r="S143" s="40">
        <v>4</v>
      </c>
      <c r="T143" s="65"/>
      <c r="U143" s="65"/>
      <c r="V143" s="65"/>
      <c r="W143" s="17">
        <v>900000</v>
      </c>
      <c r="X143" s="17">
        <f>N143-T143-W143</f>
      </c>
      <c r="Y143" s="293">
        <v>45811</v>
      </c>
      <c r="Z143" s="14" t="s">
        <v>1718</v>
      </c>
      <c r="AA143" s="161"/>
      <c r="AB143" s="32">
        <f>O143</f>
      </c>
      <c r="AC143" s="29"/>
      <c r="AD143" s="29"/>
      <c r="AE143" s="29"/>
      <c r="AF143" s="29">
        <f>AF142-AB143+AE143+AC143</f>
      </c>
      <c r="AG143" s="29"/>
      <c r="AH143" s="29"/>
      <c r="AI143" s="29">
        <f>AI142-AG143+AH143</f>
      </c>
      <c r="AJ143" s="34"/>
      <c r="AK143" s="34"/>
      <c r="AL143" s="29"/>
      <c r="AM143" s="29">
        <f>AM142-AL143</f>
      </c>
    </row>
    <row x14ac:dyDescent="0.25" r="144" customHeight="1" ht="15.75">
      <c r="A144" s="12">
        <v>45808</v>
      </c>
      <c r="B144" s="14" t="s">
        <v>46</v>
      </c>
      <c r="C144" s="14" t="s">
        <v>3636</v>
      </c>
      <c r="D144" s="14" t="s">
        <v>264</v>
      </c>
      <c r="E144" s="14" t="s">
        <v>4387</v>
      </c>
      <c r="F144" s="14" t="s">
        <v>1160</v>
      </c>
      <c r="G144" s="30" t="s">
        <v>4107</v>
      </c>
      <c r="H144" s="30" t="s">
        <v>26</v>
      </c>
      <c r="I144" s="65"/>
      <c r="J144" s="65"/>
      <c r="K144" s="65"/>
      <c r="L144" s="65"/>
      <c r="M144" s="65"/>
      <c r="N144" s="17">
        <v>369900</v>
      </c>
      <c r="O144" s="17">
        <v>350300</v>
      </c>
      <c r="P144" s="17">
        <f>N144-O144</f>
      </c>
      <c r="Q144" s="14" t="s">
        <v>46</v>
      </c>
      <c r="R144" s="31" t="s">
        <v>4388</v>
      </c>
      <c r="S144" s="41" t="s">
        <v>251</v>
      </c>
      <c r="T144" s="17">
        <v>247680</v>
      </c>
      <c r="U144" s="65"/>
      <c r="V144" s="65"/>
      <c r="W144" s="65"/>
      <c r="X144" s="17">
        <f>N144-T144-W144</f>
      </c>
      <c r="Y144" s="293">
        <v>45901</v>
      </c>
      <c r="Z144" s="14" t="s">
        <v>1718</v>
      </c>
      <c r="AA144" s="161"/>
      <c r="AB144" s="29"/>
      <c r="AC144" s="29"/>
      <c r="AD144" s="29"/>
      <c r="AE144" s="29"/>
      <c r="AF144" s="29">
        <f>AF143-AB144+AE144+AC144</f>
      </c>
      <c r="AG144" s="29"/>
      <c r="AH144" s="29"/>
      <c r="AI144" s="29">
        <f>AI143-AG144+AH144</f>
      </c>
      <c r="AJ144" s="34"/>
      <c r="AK144" s="34"/>
      <c r="AL144" s="29"/>
      <c r="AM144" s="29">
        <f>AM143-AL144</f>
      </c>
    </row>
    <row x14ac:dyDescent="0.25" r="145" customHeight="1" ht="15.75">
      <c r="A145" s="12"/>
      <c r="B145" s="14"/>
      <c r="C145" s="14"/>
      <c r="D145" s="14"/>
      <c r="E145" s="14"/>
      <c r="F145" s="14"/>
      <c r="G145" s="30"/>
      <c r="H145" s="30"/>
      <c r="I145" s="65"/>
      <c r="J145" s="65"/>
      <c r="K145" s="65"/>
      <c r="L145" s="65"/>
      <c r="M145" s="65"/>
      <c r="N145" s="17"/>
      <c r="O145" s="17"/>
      <c r="P145" s="17"/>
      <c r="Q145" s="14"/>
      <c r="R145" s="31"/>
      <c r="S145" s="41"/>
      <c r="T145" s="65"/>
      <c r="U145" s="65"/>
      <c r="V145" s="65"/>
      <c r="W145" s="65"/>
      <c r="X145" s="17">
        <f>N145-T145-W145</f>
      </c>
      <c r="Y145" s="293"/>
      <c r="Z145" s="14"/>
      <c r="AA145" s="161"/>
      <c r="AB145" s="29"/>
      <c r="AC145" s="29"/>
      <c r="AD145" s="29"/>
      <c r="AE145" s="29"/>
      <c r="AF145" s="29">
        <f>AF144-AB145+AE145+AC145</f>
      </c>
      <c r="AG145" s="29"/>
      <c r="AH145" s="29"/>
      <c r="AI145" s="29">
        <f>AI144-AG145+AH145</f>
      </c>
      <c r="AJ145" s="34"/>
      <c r="AK145" s="34"/>
      <c r="AL145" s="29"/>
      <c r="AM145" s="29">
        <f>AM144-AL145</f>
      </c>
    </row>
    <row x14ac:dyDescent="0.25" r="146" customHeight="1" ht="15.75">
      <c r="A146" s="12"/>
      <c r="B146" s="14"/>
      <c r="C146" s="14"/>
      <c r="D146" s="14"/>
      <c r="E146" s="14"/>
      <c r="F146" s="14"/>
      <c r="G146" s="30"/>
      <c r="H146" s="30"/>
      <c r="I146" s="65"/>
      <c r="J146" s="65"/>
      <c r="K146" s="65"/>
      <c r="L146" s="65"/>
      <c r="M146" s="65"/>
      <c r="N146" s="17"/>
      <c r="O146" s="17"/>
      <c r="P146" s="17"/>
      <c r="Q146" s="14"/>
      <c r="R146" s="31"/>
      <c r="S146" s="41"/>
      <c r="T146" s="65"/>
      <c r="U146" s="65"/>
      <c r="V146" s="65"/>
      <c r="W146" s="65"/>
      <c r="X146" s="17">
        <f>N146-T146-W146</f>
      </c>
      <c r="Y146" s="293"/>
      <c r="Z146" s="14"/>
      <c r="AA146" s="161"/>
      <c r="AB146" s="29"/>
      <c r="AC146" s="29"/>
      <c r="AD146" s="29"/>
      <c r="AE146" s="29"/>
      <c r="AF146" s="29">
        <f>AF145-AB146+AE146+AC146</f>
      </c>
      <c r="AG146" s="29"/>
      <c r="AH146" s="29"/>
      <c r="AI146" s="29">
        <f>AI145-AG146+AH146</f>
      </c>
      <c r="AJ146" s="34"/>
      <c r="AK146" s="34"/>
      <c r="AL146" s="29"/>
      <c r="AM146" s="29">
        <f>AM145-AL146</f>
      </c>
    </row>
    <row x14ac:dyDescent="0.25" r="147" customHeight="1" ht="15.75">
      <c r="A147" s="12"/>
      <c r="B147" s="14"/>
      <c r="C147" s="14"/>
      <c r="D147" s="14"/>
      <c r="E147" s="14"/>
      <c r="F147" s="14"/>
      <c r="G147" s="30"/>
      <c r="H147" s="30"/>
      <c r="I147" s="65"/>
      <c r="J147" s="65"/>
      <c r="K147" s="65"/>
      <c r="L147" s="65"/>
      <c r="M147" s="65"/>
      <c r="N147" s="17"/>
      <c r="O147" s="17"/>
      <c r="P147" s="17"/>
      <c r="Q147" s="14"/>
      <c r="R147" s="31"/>
      <c r="S147" s="41"/>
      <c r="T147" s="65"/>
      <c r="U147" s="65"/>
      <c r="V147" s="65"/>
      <c r="W147" s="65"/>
      <c r="X147" s="17">
        <f>N147-T147-W147</f>
      </c>
      <c r="Y147" s="293"/>
      <c r="Z147" s="14"/>
      <c r="AA147" s="161"/>
      <c r="AB147" s="29"/>
      <c r="AC147" s="29"/>
      <c r="AD147" s="29"/>
      <c r="AE147" s="29"/>
      <c r="AF147" s="29"/>
      <c r="AG147" s="29"/>
      <c r="AH147" s="29"/>
      <c r="AI147" s="29"/>
      <c r="AJ147" s="34"/>
      <c r="AK147" s="34"/>
      <c r="AL147" s="29"/>
      <c r="AM147" s="29"/>
    </row>
    <row x14ac:dyDescent="0.25" r="148" customHeight="1" ht="15.75">
      <c r="A148" s="12"/>
      <c r="B148" s="14"/>
      <c r="C148" s="14"/>
      <c r="D148" s="14"/>
      <c r="E148" s="14"/>
      <c r="F148" s="14"/>
      <c r="G148" s="30"/>
      <c r="H148" s="30"/>
      <c r="I148" s="65"/>
      <c r="J148" s="65"/>
      <c r="K148" s="65"/>
      <c r="L148" s="65"/>
      <c r="M148" s="65"/>
      <c r="N148" s="17"/>
      <c r="O148" s="17"/>
      <c r="P148" s="17"/>
      <c r="Q148" s="14"/>
      <c r="R148" s="31"/>
      <c r="S148" s="41"/>
      <c r="T148" s="65"/>
      <c r="U148" s="65"/>
      <c r="V148" s="65"/>
      <c r="W148" s="65"/>
      <c r="X148" s="17">
        <f>N148-T148-W148</f>
      </c>
      <c r="Y148" s="293"/>
      <c r="Z148" s="14"/>
      <c r="AA148" s="161"/>
      <c r="AB148" s="29"/>
      <c r="AC148" s="29"/>
      <c r="AD148" s="29"/>
      <c r="AE148" s="29"/>
      <c r="AF148" s="29"/>
      <c r="AG148" s="29"/>
      <c r="AH148" s="29"/>
      <c r="AI148" s="29"/>
      <c r="AJ148" s="34"/>
      <c r="AK148" s="34"/>
      <c r="AL148" s="29"/>
      <c r="AM148" s="29"/>
    </row>
    <row x14ac:dyDescent="0.25" r="149" customHeight="1" ht="15.75">
      <c r="A149" s="312"/>
      <c r="B149" s="79"/>
      <c r="C149" s="79"/>
      <c r="D149" s="79"/>
      <c r="E149" s="79"/>
      <c r="F149" s="79"/>
      <c r="G149" s="80"/>
      <c r="H149" s="313"/>
      <c r="I149" s="65"/>
      <c r="J149" s="65"/>
      <c r="K149" s="65"/>
      <c r="L149" s="65"/>
      <c r="M149" s="65"/>
      <c r="N149" s="17">
        <f>SUM(N2:N148)</f>
      </c>
      <c r="O149" s="314">
        <f>SUM(O2:O148)</f>
      </c>
      <c r="P149" s="17">
        <f>SUM(P2:P144)</f>
      </c>
      <c r="Q149" s="14"/>
      <c r="R149" s="31"/>
      <c r="S149" s="41"/>
      <c r="T149" s="65"/>
      <c r="U149" s="65"/>
      <c r="V149" s="65"/>
      <c r="W149" s="65"/>
      <c r="X149" s="17">
        <f>SUM(X2:X148)</f>
      </c>
      <c r="Y149" s="293"/>
      <c r="Z149" s="14"/>
      <c r="AA149" s="161"/>
      <c r="AB149" s="29"/>
      <c r="AC149" s="29"/>
      <c r="AD149" s="29"/>
      <c r="AE149" s="29"/>
      <c r="AF149" s="29"/>
      <c r="AG149" s="29"/>
      <c r="AH149" s="29"/>
      <c r="AI149" s="29"/>
      <c r="AJ149" s="34"/>
      <c r="AK149" s="34"/>
      <c r="AL149" s="29"/>
      <c r="AM149" s="29"/>
    </row>
    <row x14ac:dyDescent="0.25" r="150" customHeight="1" ht="15.75">
      <c r="A150" s="1"/>
      <c r="B150" s="34"/>
      <c r="C150" s="34"/>
      <c r="D150" s="34"/>
      <c r="E150" s="34"/>
      <c r="F150" s="34"/>
      <c r="G150" s="60"/>
      <c r="H150" s="60"/>
      <c r="I150" s="29"/>
      <c r="J150" s="29"/>
      <c r="K150" s="29"/>
      <c r="L150" s="29"/>
      <c r="M150" s="29"/>
      <c r="N150" s="29"/>
      <c r="O150" s="29"/>
      <c r="P150" s="17"/>
      <c r="Q150" s="34"/>
      <c r="R150" s="34"/>
      <c r="S150" s="29"/>
      <c r="T150" s="29"/>
      <c r="U150" s="29"/>
      <c r="V150" s="29"/>
      <c r="W150" s="29"/>
      <c r="X150" s="29"/>
      <c r="Y150" s="2"/>
      <c r="Z150" s="34"/>
      <c r="AA150" s="2"/>
      <c r="AB150" s="29"/>
      <c r="AC150" s="29"/>
      <c r="AD150" s="29"/>
      <c r="AE150" s="29"/>
      <c r="AF150" s="29"/>
      <c r="AG150" s="29"/>
      <c r="AH150" s="29"/>
      <c r="AI150" s="29"/>
      <c r="AJ150" s="34"/>
      <c r="AK150" s="34"/>
      <c r="AL150" s="29"/>
      <c r="AM150" s="29"/>
    </row>
    <row x14ac:dyDescent="0.25" r="151" customHeight="1" ht="15.75">
      <c r="A151" s="1"/>
      <c r="B151" s="34"/>
      <c r="C151" s="34"/>
      <c r="D151" s="34"/>
      <c r="E151" s="34"/>
      <c r="F151" s="34"/>
      <c r="G151" s="60"/>
      <c r="H151" s="60"/>
      <c r="I151" s="29"/>
      <c r="J151" s="29"/>
      <c r="K151" s="29"/>
      <c r="L151" s="29"/>
      <c r="M151" s="29"/>
      <c r="N151" s="29"/>
      <c r="O151" s="29"/>
      <c r="P151" s="29">
        <f>SUM(P2:P150)</f>
      </c>
      <c r="Q151" s="34"/>
      <c r="R151" s="34"/>
      <c r="S151" s="29"/>
      <c r="T151" s="29"/>
      <c r="U151" s="29"/>
      <c r="V151" s="29"/>
      <c r="W151" s="29"/>
      <c r="X151" s="29"/>
      <c r="Y151" s="2"/>
      <c r="Z151" s="34"/>
      <c r="AA151" s="2"/>
      <c r="AB151" s="29"/>
      <c r="AC151" s="29"/>
      <c r="AD151" s="29"/>
      <c r="AE151" s="29"/>
      <c r="AF151" s="29"/>
      <c r="AG151" s="29"/>
      <c r="AH151" s="29"/>
      <c r="AI151" s="29"/>
      <c r="AJ151" s="34"/>
      <c r="AK151" s="34"/>
      <c r="AL151" s="29"/>
      <c r="AM151" s="29"/>
    </row>
    <row x14ac:dyDescent="0.25" r="152" customHeight="1" ht="15.75">
      <c r="A152" s="1"/>
      <c r="B152" s="34"/>
      <c r="C152" s="34"/>
      <c r="D152" s="34"/>
      <c r="E152" s="34"/>
      <c r="F152" s="34"/>
      <c r="G152" s="60"/>
      <c r="H152" s="60"/>
      <c r="I152" s="29"/>
      <c r="J152" s="29"/>
      <c r="K152" s="29"/>
      <c r="L152" s="29"/>
      <c r="M152" s="29"/>
      <c r="N152" s="29"/>
      <c r="O152" s="29"/>
      <c r="P152" s="29"/>
      <c r="Q152" s="34"/>
      <c r="R152" s="34"/>
      <c r="S152" s="29"/>
      <c r="T152" s="29"/>
      <c r="U152" s="29"/>
      <c r="V152" s="29"/>
      <c r="W152" s="29"/>
      <c r="X152" s="29"/>
      <c r="Y152" s="2"/>
      <c r="Z152" s="34"/>
      <c r="AA152" s="2"/>
      <c r="AB152" s="29"/>
      <c r="AC152" s="29"/>
      <c r="AD152" s="29"/>
      <c r="AE152" s="29"/>
      <c r="AF152" s="29"/>
      <c r="AG152" s="29"/>
      <c r="AH152" s="29"/>
      <c r="AI152" s="29"/>
      <c r="AJ152" s="34"/>
      <c r="AK152" s="34"/>
      <c r="AL152" s="29"/>
      <c r="AM152" s="29"/>
    </row>
    <row x14ac:dyDescent="0.25" r="153" customHeight="1" ht="15.75">
      <c r="A153" s="1"/>
      <c r="B153" s="34"/>
      <c r="C153" s="34"/>
      <c r="D153" s="34"/>
      <c r="E153" s="34"/>
      <c r="F153" s="34"/>
      <c r="G153" s="60"/>
      <c r="H153" s="60"/>
      <c r="I153" s="29"/>
      <c r="J153" s="29"/>
      <c r="K153" s="29"/>
      <c r="L153" s="29"/>
      <c r="M153" s="29"/>
      <c r="N153" s="29"/>
      <c r="O153" s="29"/>
      <c r="P153" s="29"/>
      <c r="Q153" s="34"/>
      <c r="R153" s="34"/>
      <c r="S153" s="29"/>
      <c r="T153" s="29"/>
      <c r="U153" s="29"/>
      <c r="V153" s="29"/>
      <c r="W153" s="29"/>
      <c r="X153" s="29"/>
      <c r="Y153" s="2"/>
      <c r="Z153" s="34"/>
      <c r="AA153" s="2"/>
      <c r="AB153" s="29"/>
      <c r="AC153" s="29"/>
      <c r="AD153" s="29"/>
      <c r="AE153" s="29"/>
      <c r="AF153" s="29"/>
      <c r="AG153" s="29"/>
      <c r="AH153" s="29"/>
      <c r="AI153" s="29"/>
      <c r="AJ153" s="34"/>
      <c r="AK153" s="34"/>
      <c r="AL153" s="29"/>
      <c r="AM153" s="29"/>
    </row>
    <row x14ac:dyDescent="0.25" r="154" customHeight="1" ht="15.75">
      <c r="A154" s="1"/>
      <c r="B154" s="34"/>
      <c r="C154" s="34"/>
      <c r="D154" s="34"/>
      <c r="E154" s="34"/>
      <c r="F154" s="34"/>
      <c r="G154" s="60"/>
      <c r="H154" s="60"/>
      <c r="I154" s="29"/>
      <c r="J154" s="29"/>
      <c r="K154" s="29"/>
      <c r="L154" s="29"/>
      <c r="M154" s="29"/>
      <c r="N154" s="29"/>
      <c r="O154" s="29"/>
      <c r="P154" s="29"/>
      <c r="Q154" s="34"/>
      <c r="R154" s="34"/>
      <c r="S154" s="29"/>
      <c r="T154" s="29"/>
      <c r="U154" s="29"/>
      <c r="V154" s="29"/>
      <c r="W154" s="29"/>
      <c r="X154" s="29"/>
      <c r="Y154" s="2"/>
      <c r="Z154" s="34"/>
      <c r="AA154" s="2"/>
      <c r="AB154" s="29"/>
      <c r="AC154" s="29"/>
      <c r="AD154" s="29"/>
      <c r="AE154" s="29"/>
      <c r="AF154" s="29"/>
      <c r="AG154" s="29"/>
      <c r="AH154" s="29"/>
      <c r="AI154" s="29"/>
      <c r="AJ154" s="34"/>
      <c r="AK154" s="34"/>
      <c r="AL154" s="29"/>
      <c r="AM154" s="29"/>
    </row>
    <row x14ac:dyDescent="0.25" r="155" customHeight="1" ht="15.75">
      <c r="A155" s="1"/>
      <c r="B155" s="34"/>
      <c r="C155" s="34"/>
      <c r="D155" s="34"/>
      <c r="E155" s="34"/>
      <c r="F155" s="34"/>
      <c r="G155" s="60"/>
      <c r="H155" s="60"/>
      <c r="I155" s="29"/>
      <c r="J155" s="29"/>
      <c r="K155" s="29"/>
      <c r="L155" s="29"/>
      <c r="M155" s="29"/>
      <c r="N155" s="29"/>
      <c r="O155" s="29"/>
      <c r="P155" s="29"/>
      <c r="Q155" s="34"/>
      <c r="R155" s="34"/>
      <c r="S155" s="29"/>
      <c r="T155" s="29"/>
      <c r="U155" s="29"/>
      <c r="V155" s="29"/>
      <c r="W155" s="29"/>
      <c r="X155" s="29"/>
      <c r="Y155" s="2"/>
      <c r="Z155" s="34"/>
      <c r="AA155" s="2"/>
      <c r="AB155" s="29"/>
      <c r="AC155" s="29"/>
      <c r="AD155" s="29"/>
      <c r="AE155" s="29"/>
      <c r="AF155" s="29"/>
      <c r="AG155" s="29"/>
      <c r="AH155" s="29"/>
      <c r="AI155" s="29"/>
      <c r="AJ155" s="34"/>
      <c r="AK155" s="34"/>
      <c r="AL155" s="29"/>
      <c r="AM155" s="29"/>
    </row>
    <row x14ac:dyDescent="0.25" r="156" customHeight="1" ht="15.75">
      <c r="A156" s="1"/>
      <c r="B156" s="34"/>
      <c r="C156" s="34"/>
      <c r="D156" s="34"/>
      <c r="E156" s="34"/>
      <c r="F156" s="34"/>
      <c r="G156" s="60"/>
      <c r="H156" s="60"/>
      <c r="I156" s="29"/>
      <c r="J156" s="29"/>
      <c r="K156" s="29"/>
      <c r="L156" s="29"/>
      <c r="M156" s="29"/>
      <c r="N156" s="29"/>
      <c r="O156" s="29"/>
      <c r="P156" s="29"/>
      <c r="Q156" s="34"/>
      <c r="R156" s="34"/>
      <c r="S156" s="29"/>
      <c r="T156" s="29"/>
      <c r="U156" s="29"/>
      <c r="V156" s="29"/>
      <c r="W156" s="29"/>
      <c r="X156" s="29"/>
      <c r="Y156" s="2"/>
      <c r="Z156" s="34"/>
      <c r="AA156" s="2"/>
      <c r="AB156" s="29"/>
      <c r="AC156" s="29"/>
      <c r="AD156" s="29"/>
      <c r="AE156" s="29"/>
      <c r="AF156" s="29"/>
      <c r="AG156" s="29"/>
      <c r="AH156" s="29"/>
      <c r="AI156" s="29"/>
      <c r="AJ156" s="34"/>
      <c r="AK156" s="34"/>
      <c r="AL156" s="29"/>
      <c r="AM156" s="29"/>
    </row>
    <row x14ac:dyDescent="0.25" r="157" customHeight="1" ht="15.75">
      <c r="A157" s="1"/>
      <c r="B157" s="34"/>
      <c r="C157" s="34"/>
      <c r="D157" s="34"/>
      <c r="E157" s="34"/>
      <c r="F157" s="34"/>
      <c r="G157" s="60"/>
      <c r="H157" s="60"/>
      <c r="I157" s="29"/>
      <c r="J157" s="29"/>
      <c r="K157" s="29"/>
      <c r="L157" s="29"/>
      <c r="M157" s="29"/>
      <c r="N157" s="29"/>
      <c r="O157" s="29"/>
      <c r="P157" s="29"/>
      <c r="Q157" s="34"/>
      <c r="R157" s="34"/>
      <c r="S157" s="29"/>
      <c r="T157" s="29"/>
      <c r="U157" s="29"/>
      <c r="V157" s="29"/>
      <c r="W157" s="29"/>
      <c r="X157" s="29"/>
      <c r="Y157" s="2"/>
      <c r="Z157" s="34"/>
      <c r="AA157" s="2"/>
      <c r="AB157" s="29"/>
      <c r="AC157" s="29"/>
      <c r="AD157" s="29"/>
      <c r="AE157" s="29"/>
      <c r="AF157" s="29"/>
      <c r="AG157" s="29"/>
      <c r="AH157" s="29"/>
      <c r="AI157" s="29"/>
      <c r="AJ157" s="34"/>
      <c r="AK157" s="34"/>
      <c r="AL157" s="29"/>
      <c r="AM157" s="29"/>
    </row>
    <row x14ac:dyDescent="0.25" r="158" customHeight="1" ht="15.75">
      <c r="A158" s="1"/>
      <c r="B158" s="34"/>
      <c r="C158" s="34"/>
      <c r="D158" s="34"/>
      <c r="E158" s="34"/>
      <c r="F158" s="34"/>
      <c r="G158" s="60"/>
      <c r="H158" s="60"/>
      <c r="I158" s="29"/>
      <c r="J158" s="29"/>
      <c r="K158" s="29"/>
      <c r="L158" s="29"/>
      <c r="M158" s="29"/>
      <c r="N158" s="29"/>
      <c r="O158" s="29"/>
      <c r="P158" s="29"/>
      <c r="Q158" s="34"/>
      <c r="R158" s="34"/>
      <c r="S158" s="29"/>
      <c r="T158" s="29"/>
      <c r="U158" s="29"/>
      <c r="V158" s="29"/>
      <c r="W158" s="29"/>
      <c r="X158" s="29"/>
      <c r="Y158" s="2"/>
      <c r="Z158" s="34"/>
      <c r="AA158" s="2"/>
      <c r="AB158" s="29"/>
      <c r="AC158" s="29"/>
      <c r="AD158" s="29"/>
      <c r="AE158" s="29"/>
      <c r="AF158" s="29"/>
      <c r="AG158" s="29"/>
      <c r="AH158" s="29"/>
      <c r="AI158" s="29"/>
      <c r="AJ158" s="34"/>
      <c r="AK158" s="34"/>
      <c r="AL158" s="29"/>
      <c r="AM158" s="29"/>
    </row>
    <row x14ac:dyDescent="0.25" r="159" customHeight="1" ht="15.75">
      <c r="A159" s="1"/>
      <c r="B159" s="34"/>
      <c r="C159" s="34"/>
      <c r="D159" s="34"/>
      <c r="E159" s="34"/>
      <c r="F159" s="34"/>
      <c r="G159" s="60"/>
      <c r="H159" s="60"/>
      <c r="I159" s="29"/>
      <c r="J159" s="29"/>
      <c r="K159" s="29"/>
      <c r="L159" s="29"/>
      <c r="M159" s="29"/>
      <c r="N159" s="29"/>
      <c r="O159" s="29"/>
      <c r="P159" s="29"/>
      <c r="Q159" s="34"/>
      <c r="R159" s="34"/>
      <c r="S159" s="29"/>
      <c r="T159" s="29"/>
      <c r="U159" s="29"/>
      <c r="V159" s="29"/>
      <c r="W159" s="29"/>
      <c r="X159" s="29"/>
      <c r="Y159" s="2"/>
      <c r="Z159" s="34"/>
      <c r="AA159" s="2"/>
      <c r="AB159" s="29"/>
      <c r="AC159" s="29"/>
      <c r="AD159" s="29"/>
      <c r="AE159" s="29"/>
      <c r="AF159" s="29"/>
      <c r="AG159" s="29"/>
      <c r="AH159" s="29"/>
      <c r="AI159" s="29"/>
      <c r="AJ159" s="34"/>
      <c r="AK159" s="34"/>
      <c r="AL159" s="29"/>
      <c r="AM159" s="29"/>
    </row>
    <row x14ac:dyDescent="0.25" r="160" customHeight="1" ht="15.75">
      <c r="A160" s="1"/>
      <c r="B160" s="34"/>
      <c r="C160" s="34"/>
      <c r="D160" s="34"/>
      <c r="E160" s="34"/>
      <c r="F160" s="34"/>
      <c r="G160" s="60"/>
      <c r="H160" s="60"/>
      <c r="I160" s="29"/>
      <c r="J160" s="29"/>
      <c r="K160" s="29"/>
      <c r="L160" s="29"/>
      <c r="M160" s="29"/>
      <c r="N160" s="29"/>
      <c r="O160" s="29"/>
      <c r="P160" s="29"/>
      <c r="Q160" s="34"/>
      <c r="R160" s="34"/>
      <c r="S160" s="29"/>
      <c r="T160" s="29"/>
      <c r="U160" s="29"/>
      <c r="V160" s="29"/>
      <c r="W160" s="29"/>
      <c r="X160" s="29"/>
      <c r="Y160" s="2"/>
      <c r="Z160" s="34"/>
      <c r="AA160" s="2"/>
      <c r="AB160" s="29"/>
      <c r="AC160" s="29"/>
      <c r="AD160" s="29"/>
      <c r="AE160" s="29"/>
      <c r="AF160" s="29"/>
      <c r="AG160" s="29"/>
      <c r="AH160" s="29"/>
      <c r="AI160" s="29"/>
      <c r="AJ160" s="34"/>
      <c r="AK160" s="34"/>
      <c r="AL160" s="29"/>
      <c r="AM160" s="29"/>
    </row>
    <row x14ac:dyDescent="0.25" r="161" customHeight="1" ht="15.75">
      <c r="A161" s="1"/>
      <c r="B161" s="34"/>
      <c r="C161" s="34"/>
      <c r="D161" s="34"/>
      <c r="E161" s="34"/>
      <c r="F161" s="34"/>
      <c r="G161" s="60"/>
      <c r="H161" s="60"/>
      <c r="I161" s="29"/>
      <c r="J161" s="29"/>
      <c r="K161" s="29"/>
      <c r="L161" s="29"/>
      <c r="M161" s="29"/>
      <c r="N161" s="29"/>
      <c r="O161" s="29"/>
      <c r="P161" s="29"/>
      <c r="Q161" s="34"/>
      <c r="R161" s="34"/>
      <c r="S161" s="29"/>
      <c r="T161" s="29"/>
      <c r="U161" s="29"/>
      <c r="V161" s="29"/>
      <c r="W161" s="29"/>
      <c r="X161" s="29"/>
      <c r="Y161" s="2"/>
      <c r="Z161" s="34"/>
      <c r="AA161" s="2"/>
      <c r="AB161" s="29"/>
      <c r="AC161" s="29"/>
      <c r="AD161" s="29"/>
      <c r="AE161" s="29"/>
      <c r="AF161" s="29"/>
      <c r="AG161" s="29"/>
      <c r="AH161" s="29"/>
      <c r="AI161" s="29"/>
      <c r="AJ161" s="34"/>
      <c r="AK161" s="34"/>
      <c r="AL161" s="29"/>
      <c r="AM161" s="29"/>
    </row>
    <row x14ac:dyDescent="0.25" r="162" customHeight="1" ht="15.75">
      <c r="A162" s="1"/>
      <c r="B162" s="34"/>
      <c r="C162" s="34"/>
      <c r="D162" s="34"/>
      <c r="E162" s="34"/>
      <c r="F162" s="34"/>
      <c r="G162" s="60"/>
      <c r="H162" s="60"/>
      <c r="I162" s="29"/>
      <c r="J162" s="29"/>
      <c r="K162" s="29"/>
      <c r="L162" s="29"/>
      <c r="M162" s="29"/>
      <c r="N162" s="29"/>
      <c r="O162" s="29"/>
      <c r="P162" s="29"/>
      <c r="Q162" s="34"/>
      <c r="R162" s="34"/>
      <c r="S162" s="29"/>
      <c r="T162" s="29"/>
      <c r="U162" s="29"/>
      <c r="V162" s="29"/>
      <c r="W162" s="29"/>
      <c r="X162" s="29"/>
      <c r="Y162" s="2"/>
      <c r="Z162" s="34"/>
      <c r="AA162" s="2"/>
      <c r="AB162" s="29"/>
      <c r="AC162" s="29"/>
      <c r="AD162" s="29"/>
      <c r="AE162" s="29"/>
      <c r="AF162" s="29"/>
      <c r="AG162" s="29"/>
      <c r="AH162" s="29"/>
      <c r="AI162" s="29"/>
      <c r="AJ162" s="34"/>
      <c r="AK162" s="34"/>
      <c r="AL162" s="29"/>
      <c r="AM162" s="29"/>
    </row>
    <row x14ac:dyDescent="0.25" r="163" customHeight="1" ht="15.75">
      <c r="A163" s="1"/>
      <c r="B163" s="34"/>
      <c r="C163" s="34"/>
      <c r="D163" s="34"/>
      <c r="E163" s="34"/>
      <c r="F163" s="34"/>
      <c r="G163" s="60"/>
      <c r="H163" s="60"/>
      <c r="I163" s="29"/>
      <c r="J163" s="29"/>
      <c r="K163" s="29"/>
      <c r="L163" s="29"/>
      <c r="M163" s="29"/>
      <c r="N163" s="29"/>
      <c r="O163" s="29"/>
      <c r="P163" s="29"/>
      <c r="Q163" s="34"/>
      <c r="R163" s="34"/>
      <c r="S163" s="29"/>
      <c r="T163" s="29"/>
      <c r="U163" s="29"/>
      <c r="V163" s="29"/>
      <c r="W163" s="29"/>
      <c r="X163" s="29"/>
      <c r="Y163" s="2"/>
      <c r="Z163" s="34"/>
      <c r="AA163" s="2"/>
      <c r="AB163" s="29"/>
      <c r="AC163" s="29"/>
      <c r="AD163" s="29"/>
      <c r="AE163" s="29"/>
      <c r="AF163" s="29"/>
      <c r="AG163" s="29"/>
      <c r="AH163" s="29"/>
      <c r="AI163" s="29"/>
      <c r="AJ163" s="34"/>
      <c r="AK163" s="34"/>
      <c r="AL163" s="29"/>
      <c r="AM163" s="29"/>
    </row>
    <row x14ac:dyDescent="0.25" r="164" customHeight="1" ht="15.75">
      <c r="A164" s="1"/>
      <c r="B164" s="34"/>
      <c r="C164" s="34"/>
      <c r="D164" s="34"/>
      <c r="E164" s="34"/>
      <c r="F164" s="34"/>
      <c r="G164" s="60"/>
      <c r="H164" s="60"/>
      <c r="I164" s="29"/>
      <c r="J164" s="29"/>
      <c r="K164" s="29"/>
      <c r="L164" s="29"/>
      <c r="M164" s="29"/>
      <c r="N164" s="29"/>
      <c r="O164" s="29"/>
      <c r="P164" s="29"/>
      <c r="Q164" s="34"/>
      <c r="R164" s="34"/>
      <c r="S164" s="29"/>
      <c r="T164" s="29"/>
      <c r="U164" s="29"/>
      <c r="V164" s="29"/>
      <c r="W164" s="29"/>
      <c r="X164" s="29"/>
      <c r="Y164" s="2"/>
      <c r="Z164" s="34"/>
      <c r="AA164" s="2"/>
      <c r="AB164" s="29"/>
      <c r="AC164" s="29"/>
      <c r="AD164" s="29"/>
      <c r="AE164" s="29"/>
      <c r="AF164" s="29"/>
      <c r="AG164" s="29"/>
      <c r="AH164" s="29"/>
      <c r="AI164" s="29"/>
      <c r="AJ164" s="34"/>
      <c r="AK164" s="34"/>
      <c r="AL164" s="29"/>
      <c r="AM164" s="29"/>
    </row>
    <row x14ac:dyDescent="0.25" r="165" customHeight="1" ht="15.75">
      <c r="A165" s="1"/>
      <c r="B165" s="34"/>
      <c r="C165" s="34"/>
      <c r="D165" s="34"/>
      <c r="E165" s="34"/>
      <c r="F165" s="34"/>
      <c r="G165" s="60"/>
      <c r="H165" s="60"/>
      <c r="I165" s="29"/>
      <c r="J165" s="29"/>
      <c r="K165" s="29"/>
      <c r="L165" s="29"/>
      <c r="M165" s="29"/>
      <c r="N165" s="29"/>
      <c r="O165" s="29"/>
      <c r="P165" s="29"/>
      <c r="Q165" s="34"/>
      <c r="R165" s="34"/>
      <c r="S165" s="29"/>
      <c r="T165" s="29"/>
      <c r="U165" s="29"/>
      <c r="V165" s="29"/>
      <c r="W165" s="29"/>
      <c r="X165" s="29"/>
      <c r="Y165" s="2"/>
      <c r="Z165" s="34"/>
      <c r="AA165" s="2"/>
      <c r="AB165" s="29"/>
      <c r="AC165" s="29"/>
      <c r="AD165" s="29"/>
      <c r="AE165" s="29"/>
      <c r="AF165" s="29"/>
      <c r="AG165" s="29"/>
      <c r="AH165" s="29"/>
      <c r="AI165" s="29"/>
      <c r="AJ165" s="34"/>
      <c r="AK165" s="34"/>
      <c r="AL165" s="29"/>
      <c r="AM165" s="29"/>
    </row>
    <row x14ac:dyDescent="0.25" r="166" customHeight="1" ht="15.75">
      <c r="A166" s="1"/>
      <c r="B166" s="34"/>
      <c r="C166" s="34"/>
      <c r="D166" s="34"/>
      <c r="E166" s="34"/>
      <c r="F166" s="34"/>
      <c r="G166" s="60"/>
      <c r="H166" s="60"/>
      <c r="I166" s="29"/>
      <c r="J166" s="29"/>
      <c r="K166" s="29"/>
      <c r="L166" s="29"/>
      <c r="M166" s="29"/>
      <c r="N166" s="29"/>
      <c r="O166" s="29"/>
      <c r="P166" s="29"/>
      <c r="Q166" s="34"/>
      <c r="R166" s="34"/>
      <c r="S166" s="29"/>
      <c r="T166" s="29"/>
      <c r="U166" s="29"/>
      <c r="V166" s="29"/>
      <c r="W166" s="29"/>
      <c r="X166" s="29"/>
      <c r="Y166" s="2"/>
      <c r="Z166" s="34"/>
      <c r="AA166" s="2"/>
      <c r="AB166" s="29"/>
      <c r="AC166" s="29"/>
      <c r="AD166" s="29"/>
      <c r="AE166" s="29"/>
      <c r="AF166" s="29"/>
      <c r="AG166" s="29"/>
      <c r="AH166" s="29"/>
      <c r="AI166" s="29"/>
      <c r="AJ166" s="34"/>
      <c r="AK166" s="34"/>
      <c r="AL166" s="29"/>
      <c r="AM166" s="29"/>
    </row>
    <row x14ac:dyDescent="0.25" r="167" customHeight="1" ht="15.75">
      <c r="A167" s="1"/>
      <c r="B167" s="34"/>
      <c r="C167" s="34"/>
      <c r="D167" s="34"/>
      <c r="E167" s="34"/>
      <c r="F167" s="34"/>
      <c r="G167" s="60"/>
      <c r="H167" s="60"/>
      <c r="I167" s="29"/>
      <c r="J167" s="29"/>
      <c r="K167" s="29"/>
      <c r="L167" s="29"/>
      <c r="M167" s="29"/>
      <c r="N167" s="29"/>
      <c r="O167" s="29"/>
      <c r="P167" s="29"/>
      <c r="Q167" s="34"/>
      <c r="R167" s="34"/>
      <c r="S167" s="29"/>
      <c r="T167" s="29"/>
      <c r="U167" s="29"/>
      <c r="V167" s="29"/>
      <c r="W167" s="29"/>
      <c r="X167" s="29"/>
      <c r="Y167" s="2"/>
      <c r="Z167" s="34"/>
      <c r="AA167" s="2"/>
      <c r="AB167" s="29"/>
      <c r="AC167" s="29"/>
      <c r="AD167" s="29"/>
      <c r="AE167" s="29"/>
      <c r="AF167" s="29"/>
      <c r="AG167" s="29"/>
      <c r="AH167" s="29"/>
      <c r="AI167" s="29"/>
      <c r="AJ167" s="34"/>
      <c r="AK167" s="34"/>
      <c r="AL167" s="29"/>
      <c r="AM167" s="29"/>
    </row>
    <row x14ac:dyDescent="0.25" r="168" customHeight="1" ht="15.75">
      <c r="A168" s="1"/>
      <c r="B168" s="34"/>
      <c r="C168" s="34"/>
      <c r="D168" s="34"/>
      <c r="E168" s="34"/>
      <c r="F168" s="34"/>
      <c r="G168" s="60"/>
      <c r="H168" s="60"/>
      <c r="I168" s="29"/>
      <c r="J168" s="29"/>
      <c r="K168" s="29"/>
      <c r="L168" s="29"/>
      <c r="M168" s="29"/>
      <c r="N168" s="29"/>
      <c r="O168" s="29"/>
      <c r="P168" s="29"/>
      <c r="Q168" s="34"/>
      <c r="R168" s="34"/>
      <c r="S168" s="29"/>
      <c r="T168" s="29"/>
      <c r="U168" s="29"/>
      <c r="V168" s="29"/>
      <c r="W168" s="29"/>
      <c r="X168" s="29"/>
      <c r="Y168" s="2"/>
      <c r="Z168" s="34"/>
      <c r="AA168" s="2"/>
      <c r="AB168" s="29"/>
      <c r="AC168" s="29"/>
      <c r="AD168" s="29"/>
      <c r="AE168" s="29"/>
      <c r="AF168" s="29"/>
      <c r="AG168" s="29"/>
      <c r="AH168" s="29"/>
      <c r="AI168" s="29"/>
      <c r="AJ168" s="34"/>
      <c r="AK168" s="34"/>
      <c r="AL168" s="29"/>
      <c r="AM168" s="29"/>
    </row>
    <row x14ac:dyDescent="0.25" r="169" customHeight="1" ht="15.75">
      <c r="A169" s="1"/>
      <c r="B169" s="34"/>
      <c r="C169" s="34"/>
      <c r="D169" s="34"/>
      <c r="E169" s="34"/>
      <c r="F169" s="34"/>
      <c r="G169" s="60"/>
      <c r="H169" s="60"/>
      <c r="I169" s="29"/>
      <c r="J169" s="29"/>
      <c r="K169" s="29"/>
      <c r="L169" s="29"/>
      <c r="M169" s="29"/>
      <c r="N169" s="29"/>
      <c r="O169" s="29"/>
      <c r="P169" s="29"/>
      <c r="Q169" s="34"/>
      <c r="R169" s="34"/>
      <c r="S169" s="29"/>
      <c r="T169" s="29"/>
      <c r="U169" s="29"/>
      <c r="V169" s="29"/>
      <c r="W169" s="29"/>
      <c r="X169" s="29"/>
      <c r="Y169" s="2"/>
      <c r="Z169" s="34"/>
      <c r="AA169" s="2"/>
      <c r="AB169" s="29"/>
      <c r="AC169" s="29"/>
      <c r="AD169" s="29"/>
      <c r="AE169" s="29"/>
      <c r="AF169" s="29"/>
      <c r="AG169" s="29"/>
      <c r="AH169" s="29"/>
      <c r="AI169" s="29"/>
      <c r="AJ169" s="34"/>
      <c r="AK169" s="34"/>
      <c r="AL169" s="29"/>
      <c r="AM169" s="29"/>
    </row>
    <row x14ac:dyDescent="0.25" r="170" customHeight="1" ht="15.75">
      <c r="A170" s="1"/>
      <c r="B170" s="34"/>
      <c r="C170" s="34"/>
      <c r="D170" s="34"/>
      <c r="E170" s="34"/>
      <c r="F170" s="34"/>
      <c r="G170" s="60"/>
      <c r="H170" s="60"/>
      <c r="I170" s="29"/>
      <c r="J170" s="29"/>
      <c r="K170" s="29"/>
      <c r="L170" s="29"/>
      <c r="M170" s="29"/>
      <c r="N170" s="29"/>
      <c r="O170" s="29"/>
      <c r="P170" s="29"/>
      <c r="Q170" s="34"/>
      <c r="R170" s="34"/>
      <c r="S170" s="29"/>
      <c r="T170" s="29"/>
      <c r="U170" s="29"/>
      <c r="V170" s="29"/>
      <c r="W170" s="29"/>
      <c r="X170" s="29"/>
      <c r="Y170" s="2"/>
      <c r="Z170" s="34"/>
      <c r="AA170" s="2"/>
      <c r="AB170" s="29"/>
      <c r="AC170" s="29"/>
      <c r="AD170" s="29"/>
      <c r="AE170" s="29"/>
      <c r="AF170" s="29"/>
      <c r="AG170" s="29"/>
      <c r="AH170" s="29"/>
      <c r="AI170" s="29"/>
      <c r="AJ170" s="34"/>
      <c r="AK170" s="34"/>
      <c r="AL170" s="29"/>
      <c r="AM170" s="29"/>
    </row>
    <row x14ac:dyDescent="0.25" r="171" customHeight="1" ht="15.75">
      <c r="A171" s="1"/>
      <c r="B171" s="34"/>
      <c r="C171" s="34"/>
      <c r="D171" s="34"/>
      <c r="E171" s="34"/>
      <c r="F171" s="34"/>
      <c r="G171" s="60"/>
      <c r="H171" s="60"/>
      <c r="I171" s="29"/>
      <c r="J171" s="29"/>
      <c r="K171" s="29"/>
      <c r="L171" s="29"/>
      <c r="M171" s="29"/>
      <c r="N171" s="29"/>
      <c r="O171" s="29"/>
      <c r="P171" s="29"/>
      <c r="Q171" s="34"/>
      <c r="R171" s="34"/>
      <c r="S171" s="29"/>
      <c r="T171" s="29"/>
      <c r="U171" s="29"/>
      <c r="V171" s="29"/>
      <c r="W171" s="29"/>
      <c r="X171" s="29"/>
      <c r="Y171" s="2"/>
      <c r="Z171" s="34"/>
      <c r="AA171" s="2"/>
      <c r="AB171" s="29"/>
      <c r="AC171" s="29"/>
      <c r="AD171" s="29"/>
      <c r="AE171" s="29"/>
      <c r="AF171" s="29"/>
      <c r="AG171" s="29"/>
      <c r="AH171" s="29"/>
      <c r="AI171" s="29"/>
      <c r="AJ171" s="34"/>
      <c r="AK171" s="34"/>
      <c r="AL171" s="29"/>
      <c r="AM171" s="29"/>
    </row>
    <row x14ac:dyDescent="0.25" r="172" customHeight="1" ht="15.75">
      <c r="A172" s="1"/>
      <c r="B172" s="34"/>
      <c r="C172" s="34"/>
      <c r="D172" s="34"/>
      <c r="E172" s="34"/>
      <c r="F172" s="34"/>
      <c r="G172" s="60"/>
      <c r="H172" s="60"/>
      <c r="I172" s="29"/>
      <c r="J172" s="29"/>
      <c r="K172" s="29"/>
      <c r="L172" s="29"/>
      <c r="M172" s="29"/>
      <c r="N172" s="29"/>
      <c r="O172" s="29"/>
      <c r="P172" s="29"/>
      <c r="Q172" s="34"/>
      <c r="R172" s="34"/>
      <c r="S172" s="29"/>
      <c r="T172" s="29"/>
      <c r="U172" s="29"/>
      <c r="V172" s="29"/>
      <c r="W172" s="29"/>
      <c r="X172" s="29"/>
      <c r="Y172" s="2"/>
      <c r="Z172" s="34"/>
      <c r="AA172" s="2"/>
      <c r="AB172" s="29"/>
      <c r="AC172" s="29"/>
      <c r="AD172" s="29"/>
      <c r="AE172" s="29"/>
      <c r="AF172" s="29"/>
      <c r="AG172" s="29"/>
      <c r="AH172" s="29"/>
      <c r="AI172" s="29"/>
      <c r="AJ172" s="34"/>
      <c r="AK172" s="34"/>
      <c r="AL172" s="29"/>
      <c r="AM172" s="29"/>
    </row>
    <row x14ac:dyDescent="0.25" r="173" customHeight="1" ht="15.75">
      <c r="A173" s="1"/>
      <c r="B173" s="34"/>
      <c r="C173" s="34"/>
      <c r="D173" s="34"/>
      <c r="E173" s="34"/>
      <c r="F173" s="34"/>
      <c r="G173" s="60"/>
      <c r="H173" s="60"/>
      <c r="I173" s="29"/>
      <c r="J173" s="29"/>
      <c r="K173" s="29"/>
      <c r="L173" s="29"/>
      <c r="M173" s="29"/>
      <c r="N173" s="29"/>
      <c r="O173" s="29"/>
      <c r="P173" s="29"/>
      <c r="Q173" s="34"/>
      <c r="R173" s="34"/>
      <c r="S173" s="29"/>
      <c r="T173" s="29"/>
      <c r="U173" s="29"/>
      <c r="V173" s="29"/>
      <c r="W173" s="29"/>
      <c r="X173" s="29"/>
      <c r="Y173" s="2"/>
      <c r="Z173" s="34"/>
      <c r="AA173" s="2"/>
      <c r="AB173" s="29"/>
      <c r="AC173" s="29"/>
      <c r="AD173" s="29"/>
      <c r="AE173" s="29"/>
      <c r="AF173" s="29"/>
      <c r="AG173" s="29"/>
      <c r="AH173" s="29"/>
      <c r="AI173" s="29"/>
      <c r="AJ173" s="34"/>
      <c r="AK173" s="34"/>
      <c r="AL173" s="29"/>
      <c r="AM173" s="29"/>
    </row>
    <row x14ac:dyDescent="0.25" r="174" customHeight="1" ht="15.75">
      <c r="A174" s="1"/>
      <c r="B174" s="34"/>
      <c r="C174" s="34"/>
      <c r="D174" s="34"/>
      <c r="E174" s="34"/>
      <c r="F174" s="34"/>
      <c r="G174" s="60"/>
      <c r="H174" s="60"/>
      <c r="I174" s="29"/>
      <c r="J174" s="29"/>
      <c r="K174" s="29"/>
      <c r="L174" s="29"/>
      <c r="M174" s="29"/>
      <c r="N174" s="29"/>
      <c r="O174" s="29"/>
      <c r="P174" s="29"/>
      <c r="Q174" s="34"/>
      <c r="R174" s="34"/>
      <c r="S174" s="29"/>
      <c r="T174" s="29"/>
      <c r="U174" s="29"/>
      <c r="V174" s="29"/>
      <c r="W174" s="29"/>
      <c r="X174" s="29"/>
      <c r="Y174" s="2"/>
      <c r="Z174" s="34"/>
      <c r="AA174" s="2"/>
      <c r="AB174" s="29"/>
      <c r="AC174" s="29"/>
      <c r="AD174" s="29"/>
      <c r="AE174" s="29"/>
      <c r="AF174" s="29"/>
      <c r="AG174" s="29"/>
      <c r="AH174" s="29"/>
      <c r="AI174" s="29"/>
      <c r="AJ174" s="34"/>
      <c r="AK174" s="34"/>
      <c r="AL174" s="29"/>
      <c r="AM174" s="29"/>
    </row>
    <row x14ac:dyDescent="0.25" r="175" customHeight="1" ht="15.75">
      <c r="A175" s="1"/>
      <c r="B175" s="34"/>
      <c r="C175" s="34"/>
      <c r="D175" s="34"/>
      <c r="E175" s="34"/>
      <c r="F175" s="34"/>
      <c r="G175" s="60"/>
      <c r="H175" s="60"/>
      <c r="I175" s="29"/>
      <c r="J175" s="29"/>
      <c r="K175" s="29"/>
      <c r="L175" s="29"/>
      <c r="M175" s="29"/>
      <c r="N175" s="29"/>
      <c r="O175" s="29"/>
      <c r="P175" s="29"/>
      <c r="Q175" s="34"/>
      <c r="R175" s="34"/>
      <c r="S175" s="29"/>
      <c r="T175" s="29"/>
      <c r="U175" s="29"/>
      <c r="V175" s="29"/>
      <c r="W175" s="29"/>
      <c r="X175" s="29"/>
      <c r="Y175" s="2"/>
      <c r="Z175" s="34"/>
      <c r="AA175" s="2"/>
      <c r="AB175" s="29"/>
      <c r="AC175" s="29"/>
      <c r="AD175" s="29"/>
      <c r="AE175" s="29"/>
      <c r="AF175" s="29"/>
      <c r="AG175" s="29"/>
      <c r="AH175" s="29"/>
      <c r="AI175" s="29"/>
      <c r="AJ175" s="34"/>
      <c r="AK175" s="34"/>
      <c r="AL175" s="29"/>
      <c r="AM175" s="29"/>
    </row>
    <row x14ac:dyDescent="0.25" r="176" customHeight="1" ht="15.75">
      <c r="A176" s="1"/>
      <c r="B176" s="34"/>
      <c r="C176" s="34"/>
      <c r="D176" s="34"/>
      <c r="E176" s="34"/>
      <c r="F176" s="34"/>
      <c r="G176" s="60"/>
      <c r="H176" s="60"/>
      <c r="I176" s="29"/>
      <c r="J176" s="29"/>
      <c r="K176" s="29"/>
      <c r="L176" s="29"/>
      <c r="M176" s="29"/>
      <c r="N176" s="29"/>
      <c r="O176" s="29"/>
      <c r="P176" s="29"/>
      <c r="Q176" s="34"/>
      <c r="R176" s="34"/>
      <c r="S176" s="29"/>
      <c r="T176" s="29"/>
      <c r="U176" s="29"/>
      <c r="V176" s="29"/>
      <c r="W176" s="29"/>
      <c r="X176" s="29"/>
      <c r="Y176" s="2"/>
      <c r="Z176" s="34"/>
      <c r="AA176" s="2"/>
      <c r="AB176" s="29"/>
      <c r="AC176" s="29"/>
      <c r="AD176" s="29"/>
      <c r="AE176" s="29"/>
      <c r="AF176" s="29"/>
      <c r="AG176" s="29"/>
      <c r="AH176" s="29"/>
      <c r="AI176" s="29"/>
      <c r="AJ176" s="34"/>
      <c r="AK176" s="34"/>
      <c r="AL176" s="29"/>
      <c r="AM176" s="29"/>
    </row>
    <row x14ac:dyDescent="0.25" r="177" customHeight="1" ht="15.75">
      <c r="A177" s="1"/>
      <c r="B177" s="34"/>
      <c r="C177" s="34"/>
      <c r="D177" s="34"/>
      <c r="E177" s="34"/>
      <c r="F177" s="34"/>
      <c r="G177" s="60"/>
      <c r="H177" s="60"/>
      <c r="I177" s="29"/>
      <c r="J177" s="29"/>
      <c r="K177" s="29"/>
      <c r="L177" s="29"/>
      <c r="M177" s="29"/>
      <c r="N177" s="29"/>
      <c r="O177" s="29"/>
      <c r="P177" s="29"/>
      <c r="Q177" s="34"/>
      <c r="R177" s="34"/>
      <c r="S177" s="29"/>
      <c r="T177" s="29"/>
      <c r="U177" s="29"/>
      <c r="V177" s="29"/>
      <c r="W177" s="29"/>
      <c r="X177" s="29"/>
      <c r="Y177" s="2"/>
      <c r="Z177" s="34"/>
      <c r="AA177" s="2"/>
      <c r="AB177" s="29"/>
      <c r="AC177" s="29"/>
      <c r="AD177" s="29"/>
      <c r="AE177" s="29"/>
      <c r="AF177" s="29"/>
      <c r="AG177" s="29"/>
      <c r="AH177" s="29"/>
      <c r="AI177" s="29"/>
      <c r="AJ177" s="34"/>
      <c r="AK177" s="34"/>
      <c r="AL177" s="29"/>
      <c r="AM177" s="29"/>
    </row>
    <row x14ac:dyDescent="0.25" r="178" customHeight="1" ht="15.75">
      <c r="A178" s="1"/>
      <c r="B178" s="34"/>
      <c r="C178" s="34"/>
      <c r="D178" s="34"/>
      <c r="E178" s="34"/>
      <c r="F178" s="34"/>
      <c r="G178" s="60"/>
      <c r="H178" s="60"/>
      <c r="I178" s="29"/>
      <c r="J178" s="29"/>
      <c r="K178" s="29"/>
      <c r="L178" s="29"/>
      <c r="M178" s="29"/>
      <c r="N178" s="29"/>
      <c r="O178" s="29"/>
      <c r="P178" s="29"/>
      <c r="Q178" s="34"/>
      <c r="R178" s="34"/>
      <c r="S178" s="29"/>
      <c r="T178" s="29"/>
      <c r="U178" s="29"/>
      <c r="V178" s="29"/>
      <c r="W178" s="29"/>
      <c r="X178" s="29"/>
      <c r="Y178" s="2"/>
      <c r="Z178" s="34"/>
      <c r="AA178" s="2"/>
      <c r="AB178" s="29"/>
      <c r="AC178" s="29"/>
      <c r="AD178" s="29"/>
      <c r="AE178" s="29"/>
      <c r="AF178" s="29"/>
      <c r="AG178" s="29"/>
      <c r="AH178" s="29"/>
      <c r="AI178" s="29"/>
      <c r="AJ178" s="34"/>
      <c r="AK178" s="34"/>
      <c r="AL178" s="29"/>
      <c r="AM178" s="29"/>
    </row>
    <row x14ac:dyDescent="0.25" r="179" customHeight="1" ht="15.75">
      <c r="A179" s="1"/>
      <c r="B179" s="34"/>
      <c r="C179" s="34"/>
      <c r="D179" s="34"/>
      <c r="E179" s="34"/>
      <c r="F179" s="34"/>
      <c r="G179" s="60"/>
      <c r="H179" s="60"/>
      <c r="I179" s="29"/>
      <c r="J179" s="29"/>
      <c r="K179" s="29"/>
      <c r="L179" s="29"/>
      <c r="M179" s="29"/>
      <c r="N179" s="29"/>
      <c r="O179" s="29"/>
      <c r="P179" s="29"/>
      <c r="Q179" s="34"/>
      <c r="R179" s="34"/>
      <c r="S179" s="29"/>
      <c r="T179" s="29"/>
      <c r="U179" s="29"/>
      <c r="V179" s="29"/>
      <c r="W179" s="29"/>
      <c r="X179" s="29"/>
      <c r="Y179" s="2"/>
      <c r="Z179" s="34"/>
      <c r="AA179" s="2"/>
      <c r="AB179" s="29"/>
      <c r="AC179" s="29"/>
      <c r="AD179" s="29"/>
      <c r="AE179" s="29"/>
      <c r="AF179" s="29"/>
      <c r="AG179" s="29"/>
      <c r="AH179" s="29"/>
      <c r="AI179" s="29"/>
      <c r="AJ179" s="34"/>
      <c r="AK179" s="34"/>
      <c r="AL179" s="29"/>
      <c r="AM179" s="29"/>
    </row>
    <row x14ac:dyDescent="0.25" r="180" customHeight="1" ht="15.75">
      <c r="A180" s="1"/>
      <c r="B180" s="34"/>
      <c r="C180" s="34"/>
      <c r="D180" s="34"/>
      <c r="E180" s="34"/>
      <c r="F180" s="34"/>
      <c r="G180" s="60"/>
      <c r="H180" s="60"/>
      <c r="I180" s="29"/>
      <c r="J180" s="29"/>
      <c r="K180" s="29"/>
      <c r="L180" s="29"/>
      <c r="M180" s="29"/>
      <c r="N180" s="29"/>
      <c r="O180" s="29"/>
      <c r="P180" s="29"/>
      <c r="Q180" s="34"/>
      <c r="R180" s="34"/>
      <c r="S180" s="29"/>
      <c r="T180" s="29"/>
      <c r="U180" s="29"/>
      <c r="V180" s="29"/>
      <c r="W180" s="29"/>
      <c r="X180" s="29"/>
      <c r="Y180" s="2"/>
      <c r="Z180" s="34"/>
      <c r="AA180" s="2"/>
      <c r="AB180" s="29"/>
      <c r="AC180" s="29"/>
      <c r="AD180" s="29"/>
      <c r="AE180" s="29"/>
      <c r="AF180" s="29"/>
      <c r="AG180" s="29"/>
      <c r="AH180" s="29"/>
      <c r="AI180" s="29"/>
      <c r="AJ180" s="34"/>
      <c r="AK180" s="34"/>
      <c r="AL180" s="29"/>
      <c r="AM180" s="29"/>
    </row>
    <row x14ac:dyDescent="0.25" r="181" customHeight="1" ht="15.75">
      <c r="A181" s="1"/>
      <c r="B181" s="34"/>
      <c r="C181" s="34"/>
      <c r="D181" s="34"/>
      <c r="E181" s="34"/>
      <c r="F181" s="34"/>
      <c r="G181" s="60"/>
      <c r="H181" s="60"/>
      <c r="I181" s="29"/>
      <c r="J181" s="29"/>
      <c r="K181" s="29"/>
      <c r="L181" s="29"/>
      <c r="M181" s="29"/>
      <c r="N181" s="29"/>
      <c r="O181" s="29"/>
      <c r="P181" s="29"/>
      <c r="Q181" s="34"/>
      <c r="R181" s="34"/>
      <c r="S181" s="29"/>
      <c r="T181" s="29"/>
      <c r="U181" s="29"/>
      <c r="V181" s="29"/>
      <c r="W181" s="29"/>
      <c r="X181" s="29"/>
      <c r="Y181" s="2"/>
      <c r="Z181" s="34"/>
      <c r="AA181" s="2"/>
      <c r="AB181" s="29"/>
      <c r="AC181" s="29"/>
      <c r="AD181" s="29"/>
      <c r="AE181" s="29"/>
      <c r="AF181" s="29"/>
      <c r="AG181" s="29"/>
      <c r="AH181" s="29"/>
      <c r="AI181" s="29"/>
      <c r="AJ181" s="34"/>
      <c r="AK181" s="34"/>
      <c r="AL181" s="29"/>
      <c r="AM181" s="29"/>
    </row>
    <row x14ac:dyDescent="0.25" r="182" customHeight="1" ht="15.75">
      <c r="A182" s="1"/>
      <c r="B182" s="34"/>
      <c r="C182" s="34"/>
      <c r="D182" s="34"/>
      <c r="E182" s="34"/>
      <c r="F182" s="34"/>
      <c r="G182" s="60"/>
      <c r="H182" s="60"/>
      <c r="I182" s="29"/>
      <c r="J182" s="29"/>
      <c r="K182" s="29"/>
      <c r="L182" s="29"/>
      <c r="M182" s="29"/>
      <c r="N182" s="29"/>
      <c r="O182" s="29"/>
      <c r="P182" s="29"/>
      <c r="Q182" s="34"/>
      <c r="R182" s="34"/>
      <c r="S182" s="29"/>
      <c r="T182" s="29"/>
      <c r="U182" s="29"/>
      <c r="V182" s="29"/>
      <c r="W182" s="29"/>
      <c r="X182" s="29"/>
      <c r="Y182" s="2"/>
      <c r="Z182" s="34"/>
      <c r="AA182" s="2"/>
      <c r="AB182" s="29"/>
      <c r="AC182" s="29"/>
      <c r="AD182" s="29"/>
      <c r="AE182" s="29"/>
      <c r="AF182" s="29"/>
      <c r="AG182" s="29"/>
      <c r="AH182" s="29"/>
      <c r="AI182" s="29"/>
      <c r="AJ182" s="34"/>
      <c r="AK182" s="34"/>
      <c r="AL182" s="29"/>
      <c r="AM182" s="29"/>
    </row>
    <row x14ac:dyDescent="0.25" r="183" customHeight="1" ht="15.75">
      <c r="A183" s="1"/>
      <c r="B183" s="34"/>
      <c r="C183" s="34"/>
      <c r="D183" s="34"/>
      <c r="E183" s="34"/>
      <c r="F183" s="34"/>
      <c r="G183" s="60"/>
      <c r="H183" s="60"/>
      <c r="I183" s="29"/>
      <c r="J183" s="29"/>
      <c r="K183" s="29"/>
      <c r="L183" s="29"/>
      <c r="M183" s="29"/>
      <c r="N183" s="29"/>
      <c r="O183" s="29"/>
      <c r="P183" s="29"/>
      <c r="Q183" s="34"/>
      <c r="R183" s="34"/>
      <c r="S183" s="29"/>
      <c r="T183" s="29"/>
      <c r="U183" s="29"/>
      <c r="V183" s="29"/>
      <c r="W183" s="29"/>
      <c r="X183" s="29"/>
      <c r="Y183" s="2"/>
      <c r="Z183" s="34"/>
      <c r="AA183" s="2"/>
      <c r="AB183" s="29"/>
      <c r="AC183" s="29"/>
      <c r="AD183" s="29"/>
      <c r="AE183" s="29"/>
      <c r="AF183" s="29"/>
      <c r="AG183" s="29"/>
      <c r="AH183" s="29"/>
      <c r="AI183" s="29"/>
      <c r="AJ183" s="34"/>
      <c r="AK183" s="34"/>
      <c r="AL183" s="29"/>
      <c r="AM183" s="29"/>
    </row>
    <row x14ac:dyDescent="0.25" r="184" customHeight="1" ht="15.75">
      <c r="A184" s="1"/>
      <c r="B184" s="34"/>
      <c r="C184" s="34"/>
      <c r="D184" s="34"/>
      <c r="E184" s="34"/>
      <c r="F184" s="34"/>
      <c r="G184" s="60"/>
      <c r="H184" s="60"/>
      <c r="I184" s="29"/>
      <c r="J184" s="29"/>
      <c r="K184" s="29"/>
      <c r="L184" s="29"/>
      <c r="M184" s="29"/>
      <c r="N184" s="29"/>
      <c r="O184" s="29"/>
      <c r="P184" s="29"/>
      <c r="Q184" s="34"/>
      <c r="R184" s="34"/>
      <c r="S184" s="29"/>
      <c r="T184" s="29"/>
      <c r="U184" s="29"/>
      <c r="V184" s="29"/>
      <c r="W184" s="29"/>
      <c r="X184" s="29"/>
      <c r="Y184" s="2"/>
      <c r="Z184" s="34"/>
      <c r="AA184" s="2"/>
      <c r="AB184" s="29"/>
      <c r="AC184" s="29"/>
      <c r="AD184" s="29"/>
      <c r="AE184" s="29"/>
      <c r="AF184" s="29"/>
      <c r="AG184" s="29"/>
      <c r="AH184" s="29"/>
      <c r="AI184" s="29"/>
      <c r="AJ184" s="34"/>
      <c r="AK184" s="34"/>
      <c r="AL184" s="29"/>
      <c r="AM184" s="29"/>
    </row>
    <row x14ac:dyDescent="0.25" r="185" customHeight="1" ht="15.75">
      <c r="A185" s="1"/>
      <c r="B185" s="34"/>
      <c r="C185" s="34"/>
      <c r="D185" s="34"/>
      <c r="E185" s="34"/>
      <c r="F185" s="34"/>
      <c r="G185" s="60"/>
      <c r="H185" s="60"/>
      <c r="I185" s="29"/>
      <c r="J185" s="29"/>
      <c r="K185" s="29"/>
      <c r="L185" s="29"/>
      <c r="M185" s="29"/>
      <c r="N185" s="29"/>
      <c r="O185" s="29"/>
      <c r="P185" s="29"/>
      <c r="Q185" s="34"/>
      <c r="R185" s="34"/>
      <c r="S185" s="29"/>
      <c r="T185" s="29"/>
      <c r="U185" s="29"/>
      <c r="V185" s="29"/>
      <c r="W185" s="29"/>
      <c r="X185" s="29"/>
      <c r="Y185" s="2"/>
      <c r="Z185" s="34"/>
      <c r="AA185" s="2"/>
      <c r="AB185" s="29"/>
      <c r="AC185" s="29"/>
      <c r="AD185" s="29"/>
      <c r="AE185" s="29"/>
      <c r="AF185" s="29"/>
      <c r="AG185" s="29"/>
      <c r="AH185" s="29"/>
      <c r="AI185" s="29"/>
      <c r="AJ185" s="34"/>
      <c r="AK185" s="34"/>
      <c r="AL185" s="29"/>
      <c r="AM185" s="29"/>
    </row>
    <row x14ac:dyDescent="0.25" r="186" customHeight="1" ht="15.75">
      <c r="A186" s="1"/>
      <c r="B186" s="34"/>
      <c r="C186" s="34"/>
      <c r="D186" s="34"/>
      <c r="E186" s="34"/>
      <c r="F186" s="34"/>
      <c r="G186" s="60"/>
      <c r="H186" s="60"/>
      <c r="I186" s="29"/>
      <c r="J186" s="29"/>
      <c r="K186" s="29"/>
      <c r="L186" s="29"/>
      <c r="M186" s="29"/>
      <c r="N186" s="29"/>
      <c r="O186" s="29"/>
      <c r="P186" s="29"/>
      <c r="Q186" s="34"/>
      <c r="R186" s="34"/>
      <c r="S186" s="29"/>
      <c r="T186" s="29"/>
      <c r="U186" s="29"/>
      <c r="V186" s="29"/>
      <c r="W186" s="29"/>
      <c r="X186" s="29"/>
      <c r="Y186" s="2"/>
      <c r="Z186" s="34"/>
      <c r="AA186" s="2"/>
      <c r="AB186" s="29"/>
      <c r="AC186" s="29"/>
      <c r="AD186" s="29"/>
      <c r="AE186" s="29"/>
      <c r="AF186" s="29"/>
      <c r="AG186" s="29"/>
      <c r="AH186" s="29"/>
      <c r="AI186" s="29"/>
      <c r="AJ186" s="34"/>
      <c r="AK186" s="34"/>
      <c r="AL186" s="29"/>
      <c r="AM186" s="29"/>
    </row>
    <row x14ac:dyDescent="0.25" r="187" customHeight="1" ht="15.75">
      <c r="A187" s="1"/>
      <c r="B187" s="34"/>
      <c r="C187" s="34"/>
      <c r="D187" s="34"/>
      <c r="E187" s="34"/>
      <c r="F187" s="34"/>
      <c r="G187" s="60"/>
      <c r="H187" s="60"/>
      <c r="I187" s="29"/>
      <c r="J187" s="29"/>
      <c r="K187" s="29"/>
      <c r="L187" s="29"/>
      <c r="M187" s="29"/>
      <c r="N187" s="29"/>
      <c r="O187" s="29"/>
      <c r="P187" s="29"/>
      <c r="Q187" s="34"/>
      <c r="R187" s="34"/>
      <c r="S187" s="29"/>
      <c r="T187" s="29"/>
      <c r="U187" s="29"/>
      <c r="V187" s="29"/>
      <c r="W187" s="29"/>
      <c r="X187" s="29"/>
      <c r="Y187" s="2"/>
      <c r="Z187" s="34"/>
      <c r="AA187" s="2"/>
      <c r="AB187" s="29"/>
      <c r="AC187" s="29"/>
      <c r="AD187" s="29"/>
      <c r="AE187" s="29"/>
      <c r="AF187" s="29"/>
      <c r="AG187" s="29"/>
      <c r="AH187" s="29"/>
      <c r="AI187" s="29"/>
      <c r="AJ187" s="34"/>
      <c r="AK187" s="34"/>
      <c r="AL187" s="29"/>
      <c r="AM187" s="29"/>
    </row>
    <row x14ac:dyDescent="0.25" r="188" customHeight="1" ht="15.75">
      <c r="A188" s="1"/>
      <c r="B188" s="34"/>
      <c r="C188" s="34"/>
      <c r="D188" s="34"/>
      <c r="E188" s="34"/>
      <c r="F188" s="34"/>
      <c r="G188" s="60"/>
      <c r="H188" s="60"/>
      <c r="I188" s="29"/>
      <c r="J188" s="29"/>
      <c r="K188" s="29"/>
      <c r="L188" s="29"/>
      <c r="M188" s="29"/>
      <c r="N188" s="29"/>
      <c r="O188" s="29"/>
      <c r="P188" s="29"/>
      <c r="Q188" s="34"/>
      <c r="R188" s="34"/>
      <c r="S188" s="29"/>
      <c r="T188" s="29"/>
      <c r="U188" s="29"/>
      <c r="V188" s="29"/>
      <c r="W188" s="29"/>
      <c r="X188" s="29"/>
      <c r="Y188" s="2"/>
      <c r="Z188" s="34"/>
      <c r="AA188" s="2"/>
      <c r="AB188" s="29"/>
      <c r="AC188" s="29"/>
      <c r="AD188" s="29"/>
      <c r="AE188" s="29"/>
      <c r="AF188" s="29"/>
      <c r="AG188" s="29"/>
      <c r="AH188" s="29"/>
      <c r="AI188" s="29"/>
      <c r="AJ188" s="34"/>
      <c r="AK188" s="34"/>
      <c r="AL188" s="29"/>
      <c r="AM188" s="29"/>
    </row>
    <row x14ac:dyDescent="0.25" r="189" customHeight="1" ht="15.75">
      <c r="A189" s="1"/>
      <c r="B189" s="34"/>
      <c r="C189" s="34"/>
      <c r="D189" s="34"/>
      <c r="E189" s="34"/>
      <c r="F189" s="34"/>
      <c r="G189" s="60"/>
      <c r="H189" s="60"/>
      <c r="I189" s="29"/>
      <c r="J189" s="29"/>
      <c r="K189" s="29"/>
      <c r="L189" s="29"/>
      <c r="M189" s="29"/>
      <c r="N189" s="29"/>
      <c r="O189" s="29"/>
      <c r="P189" s="29"/>
      <c r="Q189" s="34"/>
      <c r="R189" s="34"/>
      <c r="S189" s="29"/>
      <c r="T189" s="29"/>
      <c r="U189" s="29"/>
      <c r="V189" s="29"/>
      <c r="W189" s="29"/>
      <c r="X189" s="29"/>
      <c r="Y189" s="2"/>
      <c r="Z189" s="34"/>
      <c r="AA189" s="2"/>
      <c r="AB189" s="29"/>
      <c r="AC189" s="29"/>
      <c r="AD189" s="29"/>
      <c r="AE189" s="29"/>
      <c r="AF189" s="29"/>
      <c r="AG189" s="29"/>
      <c r="AH189" s="29"/>
      <c r="AI189" s="29"/>
      <c r="AJ189" s="34"/>
      <c r="AK189" s="34"/>
      <c r="AL189" s="29"/>
      <c r="AM189" s="29"/>
    </row>
    <row x14ac:dyDescent="0.25" r="190" customHeight="1" ht="15.75">
      <c r="A190" s="1"/>
      <c r="B190" s="34"/>
      <c r="C190" s="34"/>
      <c r="D190" s="34"/>
      <c r="E190" s="34"/>
      <c r="F190" s="34"/>
      <c r="G190" s="60"/>
      <c r="H190" s="60"/>
      <c r="I190" s="29"/>
      <c r="J190" s="29"/>
      <c r="K190" s="29"/>
      <c r="L190" s="29"/>
      <c r="M190" s="29"/>
      <c r="N190" s="29"/>
      <c r="O190" s="29"/>
      <c r="P190" s="29"/>
      <c r="Q190" s="34"/>
      <c r="R190" s="34"/>
      <c r="S190" s="29"/>
      <c r="T190" s="29"/>
      <c r="U190" s="29"/>
      <c r="V190" s="29"/>
      <c r="W190" s="29"/>
      <c r="X190" s="29"/>
      <c r="Y190" s="2"/>
      <c r="Z190" s="34"/>
      <c r="AA190" s="2"/>
      <c r="AB190" s="29"/>
      <c r="AC190" s="29"/>
      <c r="AD190" s="29"/>
      <c r="AE190" s="29"/>
      <c r="AF190" s="29"/>
      <c r="AG190" s="29"/>
      <c r="AH190" s="29"/>
      <c r="AI190" s="29"/>
      <c r="AJ190" s="34"/>
      <c r="AK190" s="34"/>
      <c r="AL190" s="29"/>
      <c r="AM190" s="29"/>
    </row>
    <row x14ac:dyDescent="0.25" r="191" customHeight="1" ht="15.75">
      <c r="A191" s="1"/>
      <c r="B191" s="34"/>
      <c r="C191" s="34"/>
      <c r="D191" s="34"/>
      <c r="E191" s="34"/>
      <c r="F191" s="34"/>
      <c r="G191" s="60"/>
      <c r="H191" s="60"/>
      <c r="I191" s="29"/>
      <c r="J191" s="29"/>
      <c r="K191" s="29"/>
      <c r="L191" s="29"/>
      <c r="M191" s="29"/>
      <c r="N191" s="29"/>
      <c r="O191" s="29"/>
      <c r="P191" s="29"/>
      <c r="Q191" s="34"/>
      <c r="R191" s="34"/>
      <c r="S191" s="29"/>
      <c r="T191" s="29"/>
      <c r="U191" s="29"/>
      <c r="V191" s="29"/>
      <c r="W191" s="29"/>
      <c r="X191" s="29"/>
      <c r="Y191" s="2"/>
      <c r="Z191" s="34"/>
      <c r="AA191" s="2"/>
      <c r="AB191" s="29"/>
      <c r="AC191" s="29"/>
      <c r="AD191" s="29"/>
      <c r="AE191" s="29"/>
      <c r="AF191" s="29"/>
      <c r="AG191" s="29"/>
      <c r="AH191" s="29"/>
      <c r="AI191" s="29"/>
      <c r="AJ191" s="34"/>
      <c r="AK191" s="34"/>
      <c r="AL191" s="29"/>
      <c r="AM191" s="29"/>
    </row>
    <row x14ac:dyDescent="0.25" r="192" customHeight="1" ht="15.75">
      <c r="A192" s="1"/>
      <c r="B192" s="34"/>
      <c r="C192" s="34"/>
      <c r="D192" s="34"/>
      <c r="E192" s="34"/>
      <c r="F192" s="34"/>
      <c r="G192" s="60"/>
      <c r="H192" s="60"/>
      <c r="I192" s="29"/>
      <c r="J192" s="29"/>
      <c r="K192" s="29"/>
      <c r="L192" s="29"/>
      <c r="M192" s="29"/>
      <c r="N192" s="29"/>
      <c r="O192" s="29"/>
      <c r="P192" s="29"/>
      <c r="Q192" s="34"/>
      <c r="R192" s="34"/>
      <c r="S192" s="29"/>
      <c r="T192" s="29"/>
      <c r="U192" s="29"/>
      <c r="V192" s="29"/>
      <c r="W192" s="29"/>
      <c r="X192" s="29"/>
      <c r="Y192" s="2"/>
      <c r="Z192" s="34"/>
      <c r="AA192" s="2"/>
      <c r="AB192" s="29"/>
      <c r="AC192" s="29"/>
      <c r="AD192" s="29"/>
      <c r="AE192" s="29"/>
      <c r="AF192" s="29"/>
      <c r="AG192" s="29"/>
      <c r="AH192" s="29"/>
      <c r="AI192" s="29"/>
      <c r="AJ192" s="34"/>
      <c r="AK192" s="34"/>
      <c r="AL192" s="29"/>
      <c r="AM192" s="29"/>
    </row>
    <row x14ac:dyDescent="0.25" r="193" customHeight="1" ht="15.75">
      <c r="A193" s="1"/>
      <c r="B193" s="34"/>
      <c r="C193" s="34"/>
      <c r="D193" s="34"/>
      <c r="E193" s="34"/>
      <c r="F193" s="34"/>
      <c r="G193" s="60"/>
      <c r="H193" s="60"/>
      <c r="I193" s="29"/>
      <c r="J193" s="29"/>
      <c r="K193" s="29"/>
      <c r="L193" s="29"/>
      <c r="M193" s="29"/>
      <c r="N193" s="29"/>
      <c r="O193" s="29"/>
      <c r="P193" s="29"/>
      <c r="Q193" s="34"/>
      <c r="R193" s="34"/>
      <c r="S193" s="29"/>
      <c r="T193" s="29"/>
      <c r="U193" s="29"/>
      <c r="V193" s="29"/>
      <c r="W193" s="29"/>
      <c r="X193" s="29"/>
      <c r="Y193" s="2"/>
      <c r="Z193" s="34"/>
      <c r="AA193" s="2"/>
      <c r="AB193" s="29"/>
      <c r="AC193" s="29"/>
      <c r="AD193" s="29"/>
      <c r="AE193" s="29"/>
      <c r="AF193" s="29"/>
      <c r="AG193" s="29"/>
      <c r="AH193" s="29"/>
      <c r="AI193" s="29"/>
      <c r="AJ193" s="34"/>
      <c r="AK193" s="34"/>
      <c r="AL193" s="29"/>
      <c r="AM193" s="29"/>
    </row>
    <row x14ac:dyDescent="0.25" r="194" customHeight="1" ht="15.75">
      <c r="A194" s="1"/>
      <c r="B194" s="34"/>
      <c r="C194" s="34"/>
      <c r="D194" s="34"/>
      <c r="E194" s="34"/>
      <c r="F194" s="34"/>
      <c r="G194" s="60"/>
      <c r="H194" s="60"/>
      <c r="I194" s="29"/>
      <c r="J194" s="29"/>
      <c r="K194" s="29"/>
      <c r="L194" s="29"/>
      <c r="M194" s="29"/>
      <c r="N194" s="29"/>
      <c r="O194" s="29"/>
      <c r="P194" s="29"/>
      <c r="Q194" s="34"/>
      <c r="R194" s="34"/>
      <c r="S194" s="29"/>
      <c r="T194" s="29"/>
      <c r="U194" s="29"/>
      <c r="V194" s="29"/>
      <c r="W194" s="29"/>
      <c r="X194" s="29"/>
      <c r="Y194" s="2"/>
      <c r="Z194" s="34"/>
      <c r="AA194" s="2"/>
      <c r="AB194" s="29"/>
      <c r="AC194" s="29"/>
      <c r="AD194" s="29"/>
      <c r="AE194" s="29"/>
      <c r="AF194" s="29"/>
      <c r="AG194" s="29"/>
      <c r="AH194" s="29"/>
      <c r="AI194" s="29"/>
      <c r="AJ194" s="34"/>
      <c r="AK194" s="34"/>
      <c r="AL194" s="29"/>
      <c r="AM194" s="29"/>
    </row>
    <row x14ac:dyDescent="0.25" r="195" customHeight="1" ht="15.75">
      <c r="A195" s="1"/>
      <c r="B195" s="34"/>
      <c r="C195" s="34"/>
      <c r="D195" s="34"/>
      <c r="E195" s="34"/>
      <c r="F195" s="34"/>
      <c r="G195" s="60"/>
      <c r="H195" s="60"/>
      <c r="I195" s="29"/>
      <c r="J195" s="29"/>
      <c r="K195" s="29"/>
      <c r="L195" s="29"/>
      <c r="M195" s="29"/>
      <c r="N195" s="29"/>
      <c r="O195" s="29"/>
      <c r="P195" s="29"/>
      <c r="Q195" s="34"/>
      <c r="R195" s="34"/>
      <c r="S195" s="29"/>
      <c r="T195" s="29"/>
      <c r="U195" s="29"/>
      <c r="V195" s="29"/>
      <c r="W195" s="29"/>
      <c r="X195" s="29"/>
      <c r="Y195" s="2"/>
      <c r="Z195" s="34"/>
      <c r="AA195" s="2"/>
      <c r="AB195" s="29"/>
      <c r="AC195" s="29"/>
      <c r="AD195" s="29"/>
      <c r="AE195" s="29"/>
      <c r="AF195" s="29"/>
      <c r="AG195" s="29"/>
      <c r="AH195" s="29"/>
      <c r="AI195" s="29"/>
      <c r="AJ195" s="34"/>
      <c r="AK195" s="34"/>
      <c r="AL195" s="29"/>
      <c r="AM195" s="29"/>
    </row>
    <row x14ac:dyDescent="0.25" r="196" customHeight="1" ht="15.75">
      <c r="A196" s="1"/>
      <c r="B196" s="34"/>
      <c r="C196" s="34"/>
      <c r="D196" s="34"/>
      <c r="E196" s="34"/>
      <c r="F196" s="34"/>
      <c r="G196" s="60"/>
      <c r="H196" s="60"/>
      <c r="I196" s="29"/>
      <c r="J196" s="29"/>
      <c r="K196" s="29"/>
      <c r="L196" s="29"/>
      <c r="M196" s="29"/>
      <c r="N196" s="29"/>
      <c r="O196" s="29"/>
      <c r="P196" s="29"/>
      <c r="Q196" s="34"/>
      <c r="R196" s="34"/>
      <c r="S196" s="29"/>
      <c r="T196" s="29"/>
      <c r="U196" s="29"/>
      <c r="V196" s="29"/>
      <c r="W196" s="29"/>
      <c r="X196" s="29"/>
      <c r="Y196" s="2"/>
      <c r="Z196" s="34"/>
      <c r="AA196" s="2"/>
      <c r="AB196" s="29"/>
      <c r="AC196" s="29"/>
      <c r="AD196" s="29"/>
      <c r="AE196" s="29"/>
      <c r="AF196" s="29"/>
      <c r="AG196" s="29"/>
      <c r="AH196" s="29"/>
      <c r="AI196" s="29"/>
      <c r="AJ196" s="34"/>
      <c r="AK196" s="34"/>
      <c r="AL196" s="29"/>
      <c r="AM196" s="29"/>
    </row>
    <row x14ac:dyDescent="0.25" r="197" customHeight="1" ht="15.75">
      <c r="A197" s="1"/>
      <c r="B197" s="34"/>
      <c r="C197" s="34"/>
      <c r="D197" s="34"/>
      <c r="E197" s="34"/>
      <c r="F197" s="34"/>
      <c r="G197" s="60"/>
      <c r="H197" s="60"/>
      <c r="I197" s="29"/>
      <c r="J197" s="29"/>
      <c r="K197" s="29"/>
      <c r="L197" s="29"/>
      <c r="M197" s="29"/>
      <c r="N197" s="29"/>
      <c r="O197" s="29"/>
      <c r="P197" s="29"/>
      <c r="Q197" s="34"/>
      <c r="R197" s="34"/>
      <c r="S197" s="29"/>
      <c r="T197" s="29"/>
      <c r="U197" s="29"/>
      <c r="V197" s="29"/>
      <c r="W197" s="29"/>
      <c r="X197" s="29"/>
      <c r="Y197" s="2"/>
      <c r="Z197" s="34"/>
      <c r="AA197" s="2"/>
      <c r="AB197" s="29"/>
      <c r="AC197" s="29"/>
      <c r="AD197" s="29"/>
      <c r="AE197" s="29"/>
      <c r="AF197" s="29"/>
      <c r="AG197" s="29"/>
      <c r="AH197" s="29"/>
      <c r="AI197" s="29"/>
      <c r="AJ197" s="34"/>
      <c r="AK197" s="34"/>
      <c r="AL197" s="29"/>
      <c r="AM197" s="29"/>
    </row>
    <row x14ac:dyDescent="0.25" r="198" customHeight="1" ht="15.75">
      <c r="A198" s="1"/>
      <c r="B198" s="34"/>
      <c r="C198" s="34"/>
      <c r="D198" s="34"/>
      <c r="E198" s="34"/>
      <c r="F198" s="34"/>
      <c r="G198" s="60"/>
      <c r="H198" s="60"/>
      <c r="I198" s="29"/>
      <c r="J198" s="29"/>
      <c r="K198" s="29"/>
      <c r="L198" s="29"/>
      <c r="M198" s="29"/>
      <c r="N198" s="29"/>
      <c r="O198" s="29"/>
      <c r="P198" s="29"/>
      <c r="Q198" s="34"/>
      <c r="R198" s="34"/>
      <c r="S198" s="29"/>
      <c r="T198" s="29"/>
      <c r="U198" s="29"/>
      <c r="V198" s="29"/>
      <c r="W198" s="29"/>
      <c r="X198" s="29"/>
      <c r="Y198" s="2"/>
      <c r="Z198" s="34"/>
      <c r="AA198" s="2"/>
      <c r="AB198" s="29"/>
      <c r="AC198" s="29"/>
      <c r="AD198" s="29"/>
      <c r="AE198" s="29"/>
      <c r="AF198" s="29"/>
      <c r="AG198" s="29"/>
      <c r="AH198" s="29"/>
      <c r="AI198" s="29"/>
      <c r="AJ198" s="34"/>
      <c r="AK198" s="34"/>
      <c r="AL198" s="29"/>
      <c r="AM198" s="29"/>
    </row>
    <row x14ac:dyDescent="0.25" r="199" customHeight="1" ht="15.75">
      <c r="A199" s="1"/>
      <c r="B199" s="34"/>
      <c r="C199" s="34"/>
      <c r="D199" s="34"/>
      <c r="E199" s="34"/>
      <c r="F199" s="34"/>
      <c r="G199" s="60"/>
      <c r="H199" s="60"/>
      <c r="I199" s="29"/>
      <c r="J199" s="29"/>
      <c r="K199" s="29"/>
      <c r="L199" s="29"/>
      <c r="M199" s="29"/>
      <c r="N199" s="29"/>
      <c r="O199" s="29"/>
      <c r="P199" s="29"/>
      <c r="Q199" s="34"/>
      <c r="R199" s="34"/>
      <c r="S199" s="29"/>
      <c r="T199" s="29"/>
      <c r="U199" s="29"/>
      <c r="V199" s="29"/>
      <c r="W199" s="29"/>
      <c r="X199" s="29"/>
      <c r="Y199" s="2"/>
      <c r="Z199" s="34"/>
      <c r="AA199" s="2"/>
      <c r="AB199" s="29"/>
      <c r="AC199" s="29"/>
      <c r="AD199" s="29"/>
      <c r="AE199" s="29"/>
      <c r="AF199" s="29"/>
      <c r="AG199" s="29"/>
      <c r="AH199" s="29"/>
      <c r="AI199" s="29"/>
      <c r="AJ199" s="34"/>
      <c r="AK199" s="34"/>
      <c r="AL199" s="29"/>
      <c r="AM199" s="29"/>
    </row>
    <row x14ac:dyDescent="0.25" r="200" customHeight="1" ht="15.75">
      <c r="A200" s="1"/>
      <c r="B200" s="34"/>
      <c r="C200" s="34"/>
      <c r="D200" s="34"/>
      <c r="E200" s="34"/>
      <c r="F200" s="34"/>
      <c r="G200" s="60"/>
      <c r="H200" s="60"/>
      <c r="I200" s="29"/>
      <c r="J200" s="29"/>
      <c r="K200" s="29"/>
      <c r="L200" s="29"/>
      <c r="M200" s="29"/>
      <c r="N200" s="29"/>
      <c r="O200" s="29"/>
      <c r="P200" s="29"/>
      <c r="Q200" s="34"/>
      <c r="R200" s="34"/>
      <c r="S200" s="29"/>
      <c r="T200" s="29"/>
      <c r="U200" s="29"/>
      <c r="V200" s="29"/>
      <c r="W200" s="29"/>
      <c r="X200" s="29"/>
      <c r="Y200" s="2"/>
      <c r="Z200" s="34"/>
      <c r="AA200" s="2"/>
      <c r="AB200" s="29"/>
      <c r="AC200" s="29"/>
      <c r="AD200" s="29"/>
      <c r="AE200" s="29"/>
      <c r="AF200" s="29"/>
      <c r="AG200" s="29"/>
      <c r="AH200" s="29"/>
      <c r="AI200" s="29"/>
      <c r="AJ200" s="34"/>
      <c r="AK200" s="34"/>
      <c r="AL200" s="29"/>
      <c r="AM200" s="29"/>
    </row>
    <row x14ac:dyDescent="0.25" r="201" customHeight="1" ht="15.75">
      <c r="A201" s="1"/>
      <c r="B201" s="34"/>
      <c r="C201" s="34"/>
      <c r="D201" s="34"/>
      <c r="E201" s="34"/>
      <c r="F201" s="34"/>
      <c r="G201" s="60"/>
      <c r="H201" s="60"/>
      <c r="I201" s="29"/>
      <c r="J201" s="29"/>
      <c r="K201" s="29"/>
      <c r="L201" s="29"/>
      <c r="M201" s="29"/>
      <c r="N201" s="29"/>
      <c r="O201" s="29"/>
      <c r="P201" s="29"/>
      <c r="Q201" s="34"/>
      <c r="R201" s="34"/>
      <c r="S201" s="29"/>
      <c r="T201" s="29"/>
      <c r="U201" s="29"/>
      <c r="V201" s="29"/>
      <c r="W201" s="29"/>
      <c r="X201" s="29"/>
      <c r="Y201" s="2"/>
      <c r="Z201" s="34"/>
      <c r="AA201" s="2"/>
      <c r="AB201" s="29"/>
      <c r="AC201" s="29"/>
      <c r="AD201" s="29"/>
      <c r="AE201" s="29"/>
      <c r="AF201" s="29"/>
      <c r="AG201" s="29"/>
      <c r="AH201" s="29"/>
      <c r="AI201" s="29"/>
      <c r="AJ201" s="34"/>
      <c r="AK201" s="34"/>
      <c r="AL201" s="29"/>
      <c r="AM201" s="29"/>
    </row>
    <row x14ac:dyDescent="0.25" r="202" customHeight="1" ht="15.75">
      <c r="A202" s="1"/>
      <c r="B202" s="34"/>
      <c r="C202" s="34"/>
      <c r="D202" s="34"/>
      <c r="E202" s="34"/>
      <c r="F202" s="34"/>
      <c r="G202" s="60"/>
      <c r="H202" s="60"/>
      <c r="I202" s="29"/>
      <c r="J202" s="29"/>
      <c r="K202" s="29"/>
      <c r="L202" s="29"/>
      <c r="M202" s="29"/>
      <c r="N202" s="29"/>
      <c r="O202" s="29"/>
      <c r="P202" s="29"/>
      <c r="Q202" s="34"/>
      <c r="R202" s="34"/>
      <c r="S202" s="29"/>
      <c r="T202" s="29"/>
      <c r="U202" s="29"/>
      <c r="V202" s="29"/>
      <c r="W202" s="29"/>
      <c r="X202" s="29"/>
      <c r="Y202" s="2"/>
      <c r="Z202" s="34"/>
      <c r="AA202" s="2"/>
      <c r="AB202" s="29"/>
      <c r="AC202" s="29"/>
      <c r="AD202" s="29"/>
      <c r="AE202" s="29"/>
      <c r="AF202" s="29"/>
      <c r="AG202" s="29"/>
      <c r="AH202" s="29"/>
      <c r="AI202" s="29"/>
      <c r="AJ202" s="34"/>
      <c r="AK202" s="34"/>
      <c r="AL202" s="29"/>
      <c r="AM202" s="29"/>
    </row>
    <row x14ac:dyDescent="0.25" r="203" customHeight="1" ht="15.75">
      <c r="A203" s="1"/>
      <c r="B203" s="34"/>
      <c r="C203" s="34"/>
      <c r="D203" s="34"/>
      <c r="E203" s="34"/>
      <c r="F203" s="34"/>
      <c r="G203" s="60"/>
      <c r="H203" s="60"/>
      <c r="I203" s="29"/>
      <c r="J203" s="29"/>
      <c r="K203" s="29"/>
      <c r="L203" s="29"/>
      <c r="M203" s="29"/>
      <c r="N203" s="29"/>
      <c r="O203" s="29"/>
      <c r="P203" s="29"/>
      <c r="Q203" s="34"/>
      <c r="R203" s="34"/>
      <c r="S203" s="29"/>
      <c r="T203" s="29"/>
      <c r="U203" s="29"/>
      <c r="V203" s="29"/>
      <c r="W203" s="29"/>
      <c r="X203" s="29"/>
      <c r="Y203" s="2"/>
      <c r="Z203" s="34"/>
      <c r="AA203" s="2"/>
      <c r="AB203" s="29"/>
      <c r="AC203" s="29"/>
      <c r="AD203" s="29"/>
      <c r="AE203" s="29"/>
      <c r="AF203" s="29"/>
      <c r="AG203" s="29"/>
      <c r="AH203" s="29"/>
      <c r="AI203" s="29"/>
      <c r="AJ203" s="34"/>
      <c r="AK203" s="34"/>
      <c r="AL203" s="29"/>
      <c r="AM203" s="29"/>
    </row>
    <row x14ac:dyDescent="0.25" r="204" customHeight="1" ht="15.75">
      <c r="A204" s="1"/>
      <c r="B204" s="34"/>
      <c r="C204" s="34"/>
      <c r="D204" s="34"/>
      <c r="E204" s="34"/>
      <c r="F204" s="34"/>
      <c r="G204" s="60"/>
      <c r="H204" s="60"/>
      <c r="I204" s="29"/>
      <c r="J204" s="29"/>
      <c r="K204" s="29"/>
      <c r="L204" s="29"/>
      <c r="M204" s="29"/>
      <c r="N204" s="29"/>
      <c r="O204" s="29"/>
      <c r="P204" s="29"/>
      <c r="Q204" s="34"/>
      <c r="R204" s="34"/>
      <c r="S204" s="29"/>
      <c r="T204" s="29"/>
      <c r="U204" s="29"/>
      <c r="V204" s="29"/>
      <c r="W204" s="29"/>
      <c r="X204" s="29"/>
      <c r="Y204" s="2"/>
      <c r="Z204" s="34"/>
      <c r="AA204" s="2"/>
      <c r="AB204" s="29"/>
      <c r="AC204" s="29"/>
      <c r="AD204" s="29"/>
      <c r="AE204" s="29"/>
      <c r="AF204" s="29"/>
      <c r="AG204" s="29"/>
      <c r="AH204" s="29"/>
      <c r="AI204" s="29"/>
      <c r="AJ204" s="34"/>
      <c r="AK204" s="34"/>
      <c r="AL204" s="29"/>
      <c r="AM204" s="29"/>
    </row>
    <row x14ac:dyDescent="0.25" r="205" customHeight="1" ht="15.75">
      <c r="A205" s="1"/>
      <c r="B205" s="34"/>
      <c r="C205" s="34"/>
      <c r="D205" s="34"/>
      <c r="E205" s="34"/>
      <c r="F205" s="34"/>
      <c r="G205" s="60"/>
      <c r="H205" s="60"/>
      <c r="I205" s="29"/>
      <c r="J205" s="29"/>
      <c r="K205" s="29"/>
      <c r="L205" s="29"/>
      <c r="M205" s="29"/>
      <c r="N205" s="29"/>
      <c r="O205" s="29"/>
      <c r="P205" s="29"/>
      <c r="Q205" s="34"/>
      <c r="R205" s="34"/>
      <c r="S205" s="29"/>
      <c r="T205" s="29"/>
      <c r="U205" s="29"/>
      <c r="V205" s="29"/>
      <c r="W205" s="29"/>
      <c r="X205" s="29"/>
      <c r="Y205" s="2"/>
      <c r="Z205" s="34"/>
      <c r="AA205" s="2"/>
      <c r="AB205" s="29"/>
      <c r="AC205" s="29"/>
      <c r="AD205" s="29"/>
      <c r="AE205" s="29"/>
      <c r="AF205" s="29"/>
      <c r="AG205" s="29"/>
      <c r="AH205" s="29"/>
      <c r="AI205" s="29"/>
      <c r="AJ205" s="34"/>
      <c r="AK205" s="34"/>
      <c r="AL205" s="29"/>
      <c r="AM205" s="29"/>
    </row>
    <row x14ac:dyDescent="0.25" r="206" customHeight="1" ht="15.75">
      <c r="A206" s="1"/>
      <c r="B206" s="34"/>
      <c r="C206" s="34"/>
      <c r="D206" s="34"/>
      <c r="E206" s="34"/>
      <c r="F206" s="34"/>
      <c r="G206" s="60"/>
      <c r="H206" s="60"/>
      <c r="I206" s="29"/>
      <c r="J206" s="29"/>
      <c r="K206" s="29"/>
      <c r="L206" s="29"/>
      <c r="M206" s="29"/>
      <c r="N206" s="29"/>
      <c r="O206" s="29"/>
      <c r="P206" s="29"/>
      <c r="Q206" s="34"/>
      <c r="R206" s="34"/>
      <c r="S206" s="29"/>
      <c r="T206" s="29"/>
      <c r="U206" s="29"/>
      <c r="V206" s="29"/>
      <c r="W206" s="29"/>
      <c r="X206" s="29"/>
      <c r="Y206" s="2"/>
      <c r="Z206" s="34"/>
      <c r="AA206" s="2"/>
      <c r="AB206" s="29"/>
      <c r="AC206" s="29"/>
      <c r="AD206" s="29"/>
      <c r="AE206" s="29"/>
      <c r="AF206" s="29"/>
      <c r="AG206" s="29"/>
      <c r="AH206" s="29"/>
      <c r="AI206" s="29"/>
      <c r="AJ206" s="34"/>
      <c r="AK206" s="34"/>
      <c r="AL206" s="29"/>
      <c r="AM206" s="29"/>
    </row>
    <row x14ac:dyDescent="0.25" r="207" customHeight="1" ht="15.75">
      <c r="A207" s="1"/>
      <c r="B207" s="34"/>
      <c r="C207" s="34"/>
      <c r="D207" s="34"/>
      <c r="E207" s="34"/>
      <c r="F207" s="34"/>
      <c r="G207" s="60"/>
      <c r="H207" s="60"/>
      <c r="I207" s="29"/>
      <c r="J207" s="29"/>
      <c r="K207" s="29"/>
      <c r="L207" s="29"/>
      <c r="M207" s="29"/>
      <c r="N207" s="29"/>
      <c r="O207" s="29"/>
      <c r="P207" s="29"/>
      <c r="Q207" s="34"/>
      <c r="R207" s="34"/>
      <c r="S207" s="29"/>
      <c r="T207" s="29"/>
      <c r="U207" s="29"/>
      <c r="V207" s="29"/>
      <c r="W207" s="29"/>
      <c r="X207" s="29"/>
      <c r="Y207" s="2"/>
      <c r="Z207" s="34"/>
      <c r="AA207" s="2"/>
      <c r="AB207" s="29"/>
      <c r="AC207" s="29"/>
      <c r="AD207" s="29"/>
      <c r="AE207" s="29"/>
      <c r="AF207" s="29"/>
      <c r="AG207" s="29"/>
      <c r="AH207" s="29"/>
      <c r="AI207" s="29"/>
      <c r="AJ207" s="34"/>
      <c r="AK207" s="34"/>
      <c r="AL207" s="29"/>
      <c r="AM207" s="29"/>
    </row>
    <row x14ac:dyDescent="0.25" r="208" customHeight="1" ht="15.75">
      <c r="A208" s="1"/>
      <c r="B208" s="34"/>
      <c r="C208" s="34"/>
      <c r="D208" s="34"/>
      <c r="E208" s="34"/>
      <c r="F208" s="34"/>
      <c r="G208" s="60"/>
      <c r="H208" s="60"/>
      <c r="I208" s="29"/>
      <c r="J208" s="29"/>
      <c r="K208" s="29"/>
      <c r="L208" s="29"/>
      <c r="M208" s="29"/>
      <c r="N208" s="29"/>
      <c r="O208" s="29"/>
      <c r="P208" s="29"/>
      <c r="Q208" s="34"/>
      <c r="R208" s="34"/>
      <c r="S208" s="29"/>
      <c r="T208" s="29"/>
      <c r="U208" s="29"/>
      <c r="V208" s="29"/>
      <c r="W208" s="29"/>
      <c r="X208" s="29"/>
      <c r="Y208" s="2"/>
      <c r="Z208" s="34"/>
      <c r="AA208" s="2"/>
      <c r="AB208" s="29"/>
      <c r="AC208" s="29"/>
      <c r="AD208" s="29"/>
      <c r="AE208" s="29"/>
      <c r="AF208" s="29"/>
      <c r="AG208" s="29"/>
      <c r="AH208" s="29"/>
      <c r="AI208" s="29"/>
      <c r="AJ208" s="34"/>
      <c r="AK208" s="34"/>
      <c r="AL208" s="29"/>
      <c r="AM208" s="29"/>
    </row>
    <row x14ac:dyDescent="0.25" r="209" customHeight="1" ht="15.75">
      <c r="A209" s="1"/>
      <c r="B209" s="34"/>
      <c r="C209" s="34"/>
      <c r="D209" s="34"/>
      <c r="E209" s="34"/>
      <c r="F209" s="34"/>
      <c r="G209" s="60"/>
      <c r="H209" s="60"/>
      <c r="I209" s="29"/>
      <c r="J209" s="29"/>
      <c r="K209" s="29"/>
      <c r="L209" s="29"/>
      <c r="M209" s="29"/>
      <c r="N209" s="29"/>
      <c r="O209" s="29"/>
      <c r="P209" s="29"/>
      <c r="Q209" s="34"/>
      <c r="R209" s="34"/>
      <c r="S209" s="29"/>
      <c r="T209" s="29"/>
      <c r="U209" s="29"/>
      <c r="V209" s="29"/>
      <c r="W209" s="29"/>
      <c r="X209" s="29"/>
      <c r="Y209" s="2"/>
      <c r="Z209" s="34"/>
      <c r="AA209" s="2"/>
      <c r="AB209" s="29"/>
      <c r="AC209" s="29"/>
      <c r="AD209" s="29"/>
      <c r="AE209" s="29"/>
      <c r="AF209" s="29"/>
      <c r="AG209" s="29"/>
      <c r="AH209" s="29"/>
      <c r="AI209" s="29"/>
      <c r="AJ209" s="34"/>
      <c r="AK209" s="34"/>
      <c r="AL209" s="29"/>
      <c r="AM209" s="29"/>
    </row>
    <row x14ac:dyDescent="0.25" r="210" customHeight="1" ht="15.75">
      <c r="A210" s="1"/>
      <c r="B210" s="34"/>
      <c r="C210" s="34"/>
      <c r="D210" s="34"/>
      <c r="E210" s="34"/>
      <c r="F210" s="34"/>
      <c r="G210" s="60"/>
      <c r="H210" s="60"/>
      <c r="I210" s="29"/>
      <c r="J210" s="29"/>
      <c r="K210" s="29"/>
      <c r="L210" s="29"/>
      <c r="M210" s="29"/>
      <c r="N210" s="29"/>
      <c r="O210" s="29"/>
      <c r="P210" s="29"/>
      <c r="Q210" s="34"/>
      <c r="R210" s="34"/>
      <c r="S210" s="29"/>
      <c r="T210" s="29"/>
      <c r="U210" s="29"/>
      <c r="V210" s="29"/>
      <c r="W210" s="29"/>
      <c r="X210" s="29"/>
      <c r="Y210" s="2"/>
      <c r="Z210" s="34"/>
      <c r="AA210" s="2"/>
      <c r="AB210" s="29"/>
      <c r="AC210" s="29"/>
      <c r="AD210" s="29"/>
      <c r="AE210" s="29"/>
      <c r="AF210" s="29"/>
      <c r="AG210" s="29"/>
      <c r="AH210" s="29"/>
      <c r="AI210" s="29"/>
      <c r="AJ210" s="34"/>
      <c r="AK210" s="34"/>
      <c r="AL210" s="29"/>
      <c r="AM210" s="29"/>
    </row>
    <row x14ac:dyDescent="0.25" r="211" customHeight="1" ht="15.75">
      <c r="A211" s="1"/>
      <c r="B211" s="34"/>
      <c r="C211" s="34"/>
      <c r="D211" s="34"/>
      <c r="E211" s="34"/>
      <c r="F211" s="34"/>
      <c r="G211" s="60"/>
      <c r="H211" s="60"/>
      <c r="I211" s="29"/>
      <c r="J211" s="29"/>
      <c r="K211" s="29"/>
      <c r="L211" s="29"/>
      <c r="M211" s="29"/>
      <c r="N211" s="29"/>
      <c r="O211" s="29"/>
      <c r="P211" s="29"/>
      <c r="Q211" s="34"/>
      <c r="R211" s="34"/>
      <c r="S211" s="29"/>
      <c r="T211" s="29"/>
      <c r="U211" s="29"/>
      <c r="V211" s="29"/>
      <c r="W211" s="29"/>
      <c r="X211" s="29"/>
      <c r="Y211" s="2"/>
      <c r="Z211" s="34"/>
      <c r="AA211" s="2"/>
      <c r="AB211" s="29"/>
      <c r="AC211" s="29"/>
      <c r="AD211" s="29"/>
      <c r="AE211" s="29"/>
      <c r="AF211" s="29"/>
      <c r="AG211" s="29"/>
      <c r="AH211" s="29"/>
      <c r="AI211" s="29"/>
      <c r="AJ211" s="34"/>
      <c r="AK211" s="34"/>
      <c r="AL211" s="29"/>
      <c r="AM211" s="29"/>
    </row>
    <row x14ac:dyDescent="0.25" r="212" customHeight="1" ht="15.75">
      <c r="A212" s="1"/>
      <c r="B212" s="34"/>
      <c r="C212" s="34"/>
      <c r="D212" s="34"/>
      <c r="E212" s="34"/>
      <c r="F212" s="34"/>
      <c r="G212" s="60"/>
      <c r="H212" s="60"/>
      <c r="I212" s="29"/>
      <c r="J212" s="29"/>
      <c r="K212" s="29"/>
      <c r="L212" s="29"/>
      <c r="M212" s="29"/>
      <c r="N212" s="29"/>
      <c r="O212" s="29"/>
      <c r="P212" s="29"/>
      <c r="Q212" s="34"/>
      <c r="R212" s="34"/>
      <c r="S212" s="29"/>
      <c r="T212" s="29"/>
      <c r="U212" s="29"/>
      <c r="V212" s="29"/>
      <c r="W212" s="29"/>
      <c r="X212" s="29"/>
      <c r="Y212" s="2"/>
      <c r="Z212" s="34"/>
      <c r="AA212" s="2"/>
      <c r="AB212" s="29"/>
      <c r="AC212" s="29"/>
      <c r="AD212" s="29"/>
      <c r="AE212" s="29"/>
      <c r="AF212" s="29"/>
      <c r="AG212" s="29"/>
      <c r="AH212" s="29"/>
      <c r="AI212" s="29"/>
      <c r="AJ212" s="34"/>
      <c r="AK212" s="34"/>
      <c r="AL212" s="29"/>
      <c r="AM212" s="29"/>
    </row>
    <row x14ac:dyDescent="0.25" r="213" customHeight="1" ht="15.75">
      <c r="A213" s="1"/>
      <c r="B213" s="34"/>
      <c r="C213" s="34"/>
      <c r="D213" s="34"/>
      <c r="E213" s="34"/>
      <c r="F213" s="34"/>
      <c r="G213" s="60"/>
      <c r="H213" s="60"/>
      <c r="I213" s="29"/>
      <c r="J213" s="29"/>
      <c r="K213" s="29"/>
      <c r="L213" s="29"/>
      <c r="M213" s="29"/>
      <c r="N213" s="29"/>
      <c r="O213" s="29"/>
      <c r="P213" s="29"/>
      <c r="Q213" s="34"/>
      <c r="R213" s="34"/>
      <c r="S213" s="29"/>
      <c r="T213" s="29"/>
      <c r="U213" s="29"/>
      <c r="V213" s="29"/>
      <c r="W213" s="29"/>
      <c r="X213" s="29"/>
      <c r="Y213" s="2"/>
      <c r="Z213" s="34"/>
      <c r="AA213" s="2"/>
      <c r="AB213" s="29"/>
      <c r="AC213" s="29"/>
      <c r="AD213" s="29"/>
      <c r="AE213" s="29"/>
      <c r="AF213" s="29"/>
      <c r="AG213" s="29"/>
      <c r="AH213" s="29"/>
      <c r="AI213" s="29"/>
      <c r="AJ213" s="34"/>
      <c r="AK213" s="34"/>
      <c r="AL213" s="29"/>
      <c r="AM213" s="29"/>
    </row>
    <row x14ac:dyDescent="0.25" r="214" customHeight="1" ht="15.75">
      <c r="A214" s="1"/>
      <c r="B214" s="34"/>
      <c r="C214" s="34"/>
      <c r="D214" s="34"/>
      <c r="E214" s="34"/>
      <c r="F214" s="34"/>
      <c r="G214" s="60"/>
      <c r="H214" s="60"/>
      <c r="I214" s="29"/>
      <c r="J214" s="29"/>
      <c r="K214" s="29"/>
      <c r="L214" s="29"/>
      <c r="M214" s="29"/>
      <c r="N214" s="29"/>
      <c r="O214" s="29"/>
      <c r="P214" s="29"/>
      <c r="Q214" s="34"/>
      <c r="R214" s="34"/>
      <c r="S214" s="29"/>
      <c r="T214" s="29"/>
      <c r="U214" s="29"/>
      <c r="V214" s="29"/>
      <c r="W214" s="29"/>
      <c r="X214" s="29"/>
      <c r="Y214" s="2"/>
      <c r="Z214" s="34"/>
      <c r="AA214" s="2"/>
      <c r="AB214" s="29"/>
      <c r="AC214" s="29"/>
      <c r="AD214" s="29"/>
      <c r="AE214" s="29"/>
      <c r="AF214" s="29"/>
      <c r="AG214" s="29"/>
      <c r="AH214" s="29"/>
      <c r="AI214" s="29"/>
      <c r="AJ214" s="34"/>
      <c r="AK214" s="34"/>
      <c r="AL214" s="29"/>
      <c r="AM214" s="29"/>
    </row>
    <row x14ac:dyDescent="0.25" r="215" customHeight="1" ht="15.75">
      <c r="A215" s="1"/>
      <c r="B215" s="34"/>
      <c r="C215" s="34"/>
      <c r="D215" s="34"/>
      <c r="E215" s="34"/>
      <c r="F215" s="34"/>
      <c r="G215" s="60"/>
      <c r="H215" s="60"/>
      <c r="I215" s="29"/>
      <c r="J215" s="29"/>
      <c r="K215" s="29"/>
      <c r="L215" s="29"/>
      <c r="M215" s="29"/>
      <c r="N215" s="29"/>
      <c r="O215" s="29"/>
      <c r="P215" s="29"/>
      <c r="Q215" s="34"/>
      <c r="R215" s="34"/>
      <c r="S215" s="29"/>
      <c r="T215" s="29"/>
      <c r="U215" s="29"/>
      <c r="V215" s="29"/>
      <c r="W215" s="29"/>
      <c r="X215" s="29"/>
      <c r="Y215" s="2"/>
      <c r="Z215" s="34"/>
      <c r="AA215" s="2"/>
      <c r="AB215" s="29"/>
      <c r="AC215" s="29"/>
      <c r="AD215" s="29"/>
      <c r="AE215" s="29"/>
      <c r="AF215" s="29"/>
      <c r="AG215" s="29"/>
      <c r="AH215" s="29"/>
      <c r="AI215" s="29"/>
      <c r="AJ215" s="34"/>
      <c r="AK215" s="34"/>
      <c r="AL215" s="29"/>
      <c r="AM215" s="29"/>
    </row>
    <row x14ac:dyDescent="0.25" r="216" customHeight="1" ht="15.75">
      <c r="A216" s="1"/>
      <c r="B216" s="34"/>
      <c r="C216" s="34"/>
      <c r="D216" s="34"/>
      <c r="E216" s="34"/>
      <c r="F216" s="34"/>
      <c r="G216" s="60"/>
      <c r="H216" s="60"/>
      <c r="I216" s="29"/>
      <c r="J216" s="29"/>
      <c r="K216" s="29"/>
      <c r="L216" s="29"/>
      <c r="M216" s="29"/>
      <c r="N216" s="29"/>
      <c r="O216" s="29"/>
      <c r="P216" s="29"/>
      <c r="Q216" s="34"/>
      <c r="R216" s="34"/>
      <c r="S216" s="29"/>
      <c r="T216" s="29"/>
      <c r="U216" s="29"/>
      <c r="V216" s="29"/>
      <c r="W216" s="29"/>
      <c r="X216" s="29"/>
      <c r="Y216" s="2"/>
      <c r="Z216" s="34"/>
      <c r="AA216" s="2"/>
      <c r="AB216" s="29"/>
      <c r="AC216" s="29"/>
      <c r="AD216" s="29"/>
      <c r="AE216" s="29"/>
      <c r="AF216" s="29"/>
      <c r="AG216" s="29"/>
      <c r="AH216" s="29"/>
      <c r="AI216" s="29"/>
      <c r="AJ216" s="34"/>
      <c r="AK216" s="34"/>
      <c r="AL216" s="29"/>
      <c r="AM216" s="29"/>
    </row>
    <row x14ac:dyDescent="0.25" r="217" customHeight="1" ht="15.75">
      <c r="A217" s="1"/>
      <c r="B217" s="34"/>
      <c r="C217" s="34"/>
      <c r="D217" s="34"/>
      <c r="E217" s="34"/>
      <c r="F217" s="34"/>
      <c r="G217" s="60"/>
      <c r="H217" s="60"/>
      <c r="I217" s="29"/>
      <c r="J217" s="29"/>
      <c r="K217" s="29"/>
      <c r="L217" s="29"/>
      <c r="M217" s="29"/>
      <c r="N217" s="29"/>
      <c r="O217" s="29"/>
      <c r="P217" s="29"/>
      <c r="Q217" s="34"/>
      <c r="R217" s="34"/>
      <c r="S217" s="29"/>
      <c r="T217" s="29"/>
      <c r="U217" s="29"/>
      <c r="V217" s="29"/>
      <c r="W217" s="29"/>
      <c r="X217" s="29"/>
      <c r="Y217" s="2"/>
      <c r="Z217" s="34"/>
      <c r="AA217" s="2"/>
      <c r="AB217" s="29"/>
      <c r="AC217" s="29"/>
      <c r="AD217" s="29"/>
      <c r="AE217" s="29"/>
      <c r="AF217" s="29"/>
      <c r="AG217" s="29"/>
      <c r="AH217" s="29"/>
      <c r="AI217" s="29"/>
      <c r="AJ217" s="34"/>
      <c r="AK217" s="34"/>
      <c r="AL217" s="29"/>
      <c r="AM217" s="29"/>
    </row>
    <row x14ac:dyDescent="0.25" r="218" customHeight="1" ht="15.75">
      <c r="A218" s="1"/>
      <c r="B218" s="34"/>
      <c r="C218" s="34"/>
      <c r="D218" s="34"/>
      <c r="E218" s="34"/>
      <c r="F218" s="34"/>
      <c r="G218" s="60"/>
      <c r="H218" s="60"/>
      <c r="I218" s="29"/>
      <c r="J218" s="29"/>
      <c r="K218" s="29"/>
      <c r="L218" s="29"/>
      <c r="M218" s="29"/>
      <c r="N218" s="29"/>
      <c r="O218" s="29"/>
      <c r="P218" s="29"/>
      <c r="Q218" s="34"/>
      <c r="R218" s="34"/>
      <c r="S218" s="29"/>
      <c r="T218" s="29"/>
      <c r="U218" s="29"/>
      <c r="V218" s="29"/>
      <c r="W218" s="29"/>
      <c r="X218" s="29"/>
      <c r="Y218" s="2"/>
      <c r="Z218" s="34"/>
      <c r="AA218" s="2"/>
      <c r="AB218" s="29"/>
      <c r="AC218" s="29"/>
      <c r="AD218" s="29"/>
      <c r="AE218" s="29"/>
      <c r="AF218" s="29"/>
      <c r="AG218" s="29"/>
      <c r="AH218" s="29"/>
      <c r="AI218" s="29"/>
      <c r="AJ218" s="34"/>
      <c r="AK218" s="34"/>
      <c r="AL218" s="29"/>
      <c r="AM218" s="29"/>
    </row>
    <row x14ac:dyDescent="0.25" r="219" customHeight="1" ht="15.75">
      <c r="A219" s="1"/>
      <c r="B219" s="34"/>
      <c r="C219" s="34"/>
      <c r="D219" s="34"/>
      <c r="E219" s="34"/>
      <c r="F219" s="34"/>
      <c r="G219" s="60"/>
      <c r="H219" s="60"/>
      <c r="I219" s="29"/>
      <c r="J219" s="29"/>
      <c r="K219" s="29"/>
      <c r="L219" s="29"/>
      <c r="M219" s="29"/>
      <c r="N219" s="29"/>
      <c r="O219" s="29"/>
      <c r="P219" s="29"/>
      <c r="Q219" s="34"/>
      <c r="R219" s="34"/>
      <c r="S219" s="29"/>
      <c r="T219" s="29"/>
      <c r="U219" s="29"/>
      <c r="V219" s="29"/>
      <c r="W219" s="29"/>
      <c r="X219" s="29"/>
      <c r="Y219" s="2"/>
      <c r="Z219" s="34"/>
      <c r="AA219" s="2"/>
      <c r="AB219" s="29"/>
      <c r="AC219" s="29"/>
      <c r="AD219" s="29"/>
      <c r="AE219" s="29"/>
      <c r="AF219" s="29"/>
      <c r="AG219" s="29"/>
      <c r="AH219" s="29"/>
      <c r="AI219" s="29"/>
      <c r="AJ219" s="34"/>
      <c r="AK219" s="34"/>
      <c r="AL219" s="29"/>
      <c r="AM219" s="29"/>
    </row>
    <row x14ac:dyDescent="0.25" r="220" customHeight="1" ht="15.75">
      <c r="A220" s="1"/>
      <c r="B220" s="34"/>
      <c r="C220" s="34"/>
      <c r="D220" s="34"/>
      <c r="E220" s="34"/>
      <c r="F220" s="34"/>
      <c r="G220" s="60"/>
      <c r="H220" s="60"/>
      <c r="I220" s="29"/>
      <c r="J220" s="29"/>
      <c r="K220" s="29"/>
      <c r="L220" s="29"/>
      <c r="M220" s="29"/>
      <c r="N220" s="29"/>
      <c r="O220" s="29"/>
      <c r="P220" s="29"/>
      <c r="Q220" s="34"/>
      <c r="R220" s="34"/>
      <c r="S220" s="29"/>
      <c r="T220" s="29"/>
      <c r="U220" s="29"/>
      <c r="V220" s="29"/>
      <c r="W220" s="29"/>
      <c r="X220" s="29"/>
      <c r="Y220" s="2"/>
      <c r="Z220" s="34"/>
      <c r="AA220" s="2"/>
      <c r="AB220" s="29"/>
      <c r="AC220" s="29"/>
      <c r="AD220" s="29"/>
      <c r="AE220" s="29"/>
      <c r="AF220" s="29"/>
      <c r="AG220" s="29"/>
      <c r="AH220" s="29"/>
      <c r="AI220" s="29"/>
      <c r="AJ220" s="34"/>
      <c r="AK220" s="34"/>
      <c r="AL220" s="29"/>
      <c r="AM220" s="29"/>
    </row>
    <row x14ac:dyDescent="0.25" r="221" customHeight="1" ht="15.75">
      <c r="A221" s="1"/>
      <c r="B221" s="34"/>
      <c r="C221" s="34"/>
      <c r="D221" s="34"/>
      <c r="E221" s="34"/>
      <c r="F221" s="34"/>
      <c r="G221" s="60"/>
      <c r="H221" s="60"/>
      <c r="I221" s="29"/>
      <c r="J221" s="29"/>
      <c r="K221" s="29"/>
      <c r="L221" s="29"/>
      <c r="M221" s="29"/>
      <c r="N221" s="29"/>
      <c r="O221" s="29"/>
      <c r="P221" s="29"/>
      <c r="Q221" s="34"/>
      <c r="R221" s="34"/>
      <c r="S221" s="29"/>
      <c r="T221" s="29"/>
      <c r="U221" s="29"/>
      <c r="V221" s="29"/>
      <c r="W221" s="29"/>
      <c r="X221" s="29"/>
      <c r="Y221" s="2"/>
      <c r="Z221" s="34"/>
      <c r="AA221" s="2"/>
      <c r="AB221" s="29"/>
      <c r="AC221" s="29"/>
      <c r="AD221" s="29"/>
      <c r="AE221" s="29"/>
      <c r="AF221" s="29"/>
      <c r="AG221" s="29"/>
      <c r="AH221" s="29"/>
      <c r="AI221" s="29"/>
      <c r="AJ221" s="34"/>
      <c r="AK221" s="34"/>
      <c r="AL221" s="29"/>
      <c r="AM221" s="29"/>
    </row>
    <row x14ac:dyDescent="0.25" r="222" customHeight="1" ht="15.75">
      <c r="A222" s="1"/>
      <c r="B222" s="34"/>
      <c r="C222" s="34"/>
      <c r="D222" s="34"/>
      <c r="E222" s="34"/>
      <c r="F222" s="34"/>
      <c r="G222" s="60"/>
      <c r="H222" s="60"/>
      <c r="I222" s="29"/>
      <c r="J222" s="29"/>
      <c r="K222" s="29"/>
      <c r="L222" s="29"/>
      <c r="M222" s="29"/>
      <c r="N222" s="29"/>
      <c r="O222" s="29"/>
      <c r="P222" s="29"/>
      <c r="Q222" s="34"/>
      <c r="R222" s="34"/>
      <c r="S222" s="29"/>
      <c r="T222" s="29"/>
      <c r="U222" s="29"/>
      <c r="V222" s="29"/>
      <c r="W222" s="29"/>
      <c r="X222" s="29"/>
      <c r="Y222" s="2"/>
      <c r="Z222" s="34"/>
      <c r="AA222" s="2"/>
      <c r="AB222" s="29"/>
      <c r="AC222" s="29"/>
      <c r="AD222" s="29"/>
      <c r="AE222" s="29"/>
      <c r="AF222" s="29"/>
      <c r="AG222" s="29"/>
      <c r="AH222" s="29"/>
      <c r="AI222" s="29"/>
      <c r="AJ222" s="34"/>
      <c r="AK222" s="34"/>
      <c r="AL222" s="29"/>
      <c r="AM222" s="29"/>
    </row>
    <row x14ac:dyDescent="0.25" r="223" customHeight="1" ht="15.75">
      <c r="A223" s="1"/>
      <c r="B223" s="34"/>
      <c r="C223" s="34"/>
      <c r="D223" s="34"/>
      <c r="E223" s="34"/>
      <c r="F223" s="34"/>
      <c r="G223" s="60"/>
      <c r="H223" s="60"/>
      <c r="I223" s="29"/>
      <c r="J223" s="29"/>
      <c r="K223" s="29"/>
      <c r="L223" s="29"/>
      <c r="M223" s="29"/>
      <c r="N223" s="29"/>
      <c r="O223" s="29"/>
      <c r="P223" s="29"/>
      <c r="Q223" s="34"/>
      <c r="R223" s="34"/>
      <c r="S223" s="29"/>
      <c r="T223" s="29"/>
      <c r="U223" s="29"/>
      <c r="V223" s="29"/>
      <c r="W223" s="29"/>
      <c r="X223" s="29"/>
      <c r="Y223" s="2"/>
      <c r="Z223" s="34"/>
      <c r="AA223" s="2"/>
      <c r="AB223" s="29"/>
      <c r="AC223" s="29"/>
      <c r="AD223" s="29"/>
      <c r="AE223" s="29"/>
      <c r="AF223" s="29"/>
      <c r="AG223" s="29"/>
      <c r="AH223" s="29"/>
      <c r="AI223" s="29"/>
      <c r="AJ223" s="34"/>
      <c r="AK223" s="34"/>
      <c r="AL223" s="29"/>
      <c r="AM223" s="29"/>
    </row>
    <row x14ac:dyDescent="0.25" r="224" customHeight="1" ht="15.75">
      <c r="A224" s="1"/>
      <c r="B224" s="34"/>
      <c r="C224" s="34"/>
      <c r="D224" s="34"/>
      <c r="E224" s="34"/>
      <c r="F224" s="34"/>
      <c r="G224" s="60"/>
      <c r="H224" s="60"/>
      <c r="I224" s="29"/>
      <c r="J224" s="29"/>
      <c r="K224" s="29"/>
      <c r="L224" s="29"/>
      <c r="M224" s="29"/>
      <c r="N224" s="29"/>
      <c r="O224" s="29"/>
      <c r="P224" s="29"/>
      <c r="Q224" s="34"/>
      <c r="R224" s="34"/>
      <c r="S224" s="29"/>
      <c r="T224" s="29"/>
      <c r="U224" s="29"/>
      <c r="V224" s="29"/>
      <c r="W224" s="29"/>
      <c r="X224" s="29"/>
      <c r="Y224" s="2"/>
      <c r="Z224" s="34"/>
      <c r="AA224" s="2"/>
      <c r="AB224" s="29"/>
      <c r="AC224" s="29"/>
      <c r="AD224" s="29"/>
      <c r="AE224" s="29"/>
      <c r="AF224" s="29"/>
      <c r="AG224" s="29"/>
      <c r="AH224" s="29"/>
      <c r="AI224" s="29"/>
      <c r="AJ224" s="34"/>
      <c r="AK224" s="34"/>
      <c r="AL224" s="29"/>
      <c r="AM224" s="29"/>
    </row>
    <row x14ac:dyDescent="0.25" r="225" customHeight="1" ht="15.75">
      <c r="A225" s="1"/>
      <c r="B225" s="34"/>
      <c r="C225" s="34"/>
      <c r="D225" s="34"/>
      <c r="E225" s="34"/>
      <c r="F225" s="34"/>
      <c r="G225" s="60"/>
      <c r="H225" s="60"/>
      <c r="I225" s="29"/>
      <c r="J225" s="29"/>
      <c r="K225" s="29"/>
      <c r="L225" s="29"/>
      <c r="M225" s="29"/>
      <c r="N225" s="29"/>
      <c r="O225" s="29"/>
      <c r="P225" s="29"/>
      <c r="Q225" s="34"/>
      <c r="R225" s="34"/>
      <c r="S225" s="29"/>
      <c r="T225" s="29"/>
      <c r="U225" s="29"/>
      <c r="V225" s="29"/>
      <c r="W225" s="29"/>
      <c r="X225" s="29"/>
      <c r="Y225" s="2"/>
      <c r="Z225" s="34"/>
      <c r="AA225" s="2"/>
      <c r="AB225" s="29"/>
      <c r="AC225" s="29"/>
      <c r="AD225" s="29"/>
      <c r="AE225" s="29"/>
      <c r="AF225" s="29"/>
      <c r="AG225" s="29"/>
      <c r="AH225" s="29"/>
      <c r="AI225" s="29"/>
      <c r="AJ225" s="34"/>
      <c r="AK225" s="34"/>
      <c r="AL225" s="29"/>
      <c r="AM225" s="29"/>
    </row>
    <row x14ac:dyDescent="0.25" r="226" customHeight="1" ht="15.75">
      <c r="A226" s="1"/>
      <c r="B226" s="34"/>
      <c r="C226" s="34"/>
      <c r="D226" s="34"/>
      <c r="E226" s="34"/>
      <c r="F226" s="34"/>
      <c r="G226" s="60"/>
      <c r="H226" s="60"/>
      <c r="I226" s="29"/>
      <c r="J226" s="29"/>
      <c r="K226" s="29"/>
      <c r="L226" s="29"/>
      <c r="M226" s="29"/>
      <c r="N226" s="29"/>
      <c r="O226" s="29"/>
      <c r="P226" s="29"/>
      <c r="Q226" s="34"/>
      <c r="R226" s="34"/>
      <c r="S226" s="29"/>
      <c r="T226" s="29"/>
      <c r="U226" s="29"/>
      <c r="V226" s="29"/>
      <c r="W226" s="29"/>
      <c r="X226" s="29"/>
      <c r="Y226" s="2"/>
      <c r="Z226" s="34"/>
      <c r="AA226" s="2"/>
      <c r="AB226" s="29"/>
      <c r="AC226" s="29"/>
      <c r="AD226" s="29"/>
      <c r="AE226" s="29"/>
      <c r="AF226" s="29"/>
      <c r="AG226" s="29"/>
      <c r="AH226" s="29"/>
      <c r="AI226" s="29"/>
      <c r="AJ226" s="34"/>
      <c r="AK226" s="34"/>
      <c r="AL226" s="29"/>
      <c r="AM226" s="29"/>
    </row>
    <row x14ac:dyDescent="0.25" r="227" customHeight="1" ht="15.75">
      <c r="A227" s="1"/>
      <c r="B227" s="34"/>
      <c r="C227" s="34"/>
      <c r="D227" s="34"/>
      <c r="E227" s="34"/>
      <c r="F227" s="34"/>
      <c r="G227" s="60"/>
      <c r="H227" s="60"/>
      <c r="I227" s="29"/>
      <c r="J227" s="29"/>
      <c r="K227" s="29"/>
      <c r="L227" s="29"/>
      <c r="M227" s="29"/>
      <c r="N227" s="29"/>
      <c r="O227" s="29"/>
      <c r="P227" s="29"/>
      <c r="Q227" s="34"/>
      <c r="R227" s="34"/>
      <c r="S227" s="29"/>
      <c r="T227" s="29"/>
      <c r="U227" s="29"/>
      <c r="V227" s="29"/>
      <c r="W227" s="29"/>
      <c r="X227" s="29"/>
      <c r="Y227" s="2"/>
      <c r="Z227" s="34"/>
      <c r="AA227" s="2"/>
      <c r="AB227" s="29"/>
      <c r="AC227" s="29"/>
      <c r="AD227" s="29"/>
      <c r="AE227" s="29"/>
      <c r="AF227" s="29"/>
      <c r="AG227" s="29"/>
      <c r="AH227" s="29"/>
      <c r="AI227" s="29"/>
      <c r="AJ227" s="34"/>
      <c r="AK227" s="34"/>
      <c r="AL227" s="29"/>
      <c r="AM227" s="29"/>
    </row>
    <row x14ac:dyDescent="0.25" r="228" customHeight="1" ht="15.75">
      <c r="A228" s="1"/>
      <c r="B228" s="34"/>
      <c r="C228" s="34"/>
      <c r="D228" s="34"/>
      <c r="E228" s="34"/>
      <c r="F228" s="34"/>
      <c r="G228" s="60"/>
      <c r="H228" s="60"/>
      <c r="I228" s="29"/>
      <c r="J228" s="29"/>
      <c r="K228" s="29"/>
      <c r="L228" s="29"/>
      <c r="M228" s="29"/>
      <c r="N228" s="29"/>
      <c r="O228" s="29"/>
      <c r="P228" s="29"/>
      <c r="Q228" s="34"/>
      <c r="R228" s="34"/>
      <c r="S228" s="29"/>
      <c r="T228" s="29"/>
      <c r="U228" s="29"/>
      <c r="V228" s="29"/>
      <c r="W228" s="29"/>
      <c r="X228" s="29"/>
      <c r="Y228" s="2"/>
      <c r="Z228" s="34"/>
      <c r="AA228" s="2"/>
      <c r="AB228" s="29"/>
      <c r="AC228" s="29"/>
      <c r="AD228" s="29"/>
      <c r="AE228" s="29"/>
      <c r="AF228" s="29"/>
      <c r="AG228" s="29"/>
      <c r="AH228" s="29"/>
      <c r="AI228" s="29"/>
      <c r="AJ228" s="34"/>
      <c r="AK228" s="34"/>
      <c r="AL228" s="29"/>
      <c r="AM228" s="29"/>
    </row>
    <row x14ac:dyDescent="0.25" r="229" customHeight="1" ht="15.75">
      <c r="A229" s="1"/>
      <c r="B229" s="34"/>
      <c r="C229" s="34"/>
      <c r="D229" s="34"/>
      <c r="E229" s="34"/>
      <c r="F229" s="34"/>
      <c r="G229" s="60"/>
      <c r="H229" s="60"/>
      <c r="I229" s="29"/>
      <c r="J229" s="29"/>
      <c r="K229" s="29"/>
      <c r="L229" s="29"/>
      <c r="M229" s="29"/>
      <c r="N229" s="29"/>
      <c r="O229" s="29"/>
      <c r="P229" s="29"/>
      <c r="Q229" s="34"/>
      <c r="R229" s="34"/>
      <c r="S229" s="29"/>
      <c r="T229" s="29"/>
      <c r="U229" s="29"/>
      <c r="V229" s="29"/>
      <c r="W229" s="29"/>
      <c r="X229" s="29"/>
      <c r="Y229" s="2"/>
      <c r="Z229" s="34"/>
      <c r="AA229" s="2"/>
      <c r="AB229" s="29"/>
      <c r="AC229" s="29"/>
      <c r="AD229" s="29"/>
      <c r="AE229" s="29"/>
      <c r="AF229" s="29"/>
      <c r="AG229" s="29"/>
      <c r="AH229" s="29"/>
      <c r="AI229" s="29"/>
      <c r="AJ229" s="34"/>
      <c r="AK229" s="34"/>
      <c r="AL229" s="29"/>
      <c r="AM229" s="29"/>
    </row>
    <row x14ac:dyDescent="0.25" r="230" customHeight="1" ht="15.75">
      <c r="A230" s="1"/>
      <c r="B230" s="34"/>
      <c r="C230" s="34"/>
      <c r="D230" s="34"/>
      <c r="E230" s="34"/>
      <c r="F230" s="34"/>
      <c r="G230" s="60"/>
      <c r="H230" s="60"/>
      <c r="I230" s="29"/>
      <c r="J230" s="29"/>
      <c r="K230" s="29"/>
      <c r="L230" s="29"/>
      <c r="M230" s="29"/>
      <c r="N230" s="29"/>
      <c r="O230" s="29"/>
      <c r="P230" s="29"/>
      <c r="Q230" s="34"/>
      <c r="R230" s="34"/>
      <c r="S230" s="29"/>
      <c r="T230" s="29"/>
      <c r="U230" s="29"/>
      <c r="V230" s="29"/>
      <c r="W230" s="29"/>
      <c r="X230" s="29"/>
      <c r="Y230" s="2"/>
      <c r="Z230" s="34"/>
      <c r="AA230" s="2"/>
      <c r="AB230" s="29"/>
      <c r="AC230" s="29"/>
      <c r="AD230" s="29"/>
      <c r="AE230" s="29"/>
      <c r="AF230" s="29"/>
      <c r="AG230" s="29"/>
      <c r="AH230" s="29"/>
      <c r="AI230" s="29"/>
      <c r="AJ230" s="34"/>
      <c r="AK230" s="34"/>
      <c r="AL230" s="29"/>
      <c r="AM230" s="29"/>
    </row>
    <row x14ac:dyDescent="0.25" r="231" customHeight="1" ht="15.75">
      <c r="A231" s="1"/>
      <c r="B231" s="34"/>
      <c r="C231" s="34"/>
      <c r="D231" s="34"/>
      <c r="E231" s="34"/>
      <c r="F231" s="34"/>
      <c r="G231" s="60"/>
      <c r="H231" s="60"/>
      <c r="I231" s="29"/>
      <c r="J231" s="29"/>
      <c r="K231" s="29"/>
      <c r="L231" s="29"/>
      <c r="M231" s="29"/>
      <c r="N231" s="29"/>
      <c r="O231" s="29"/>
      <c r="P231" s="29"/>
      <c r="Q231" s="34"/>
      <c r="R231" s="34"/>
      <c r="S231" s="29"/>
      <c r="T231" s="29"/>
      <c r="U231" s="29"/>
      <c r="V231" s="29"/>
      <c r="W231" s="29"/>
      <c r="X231" s="29"/>
      <c r="Y231" s="2"/>
      <c r="Z231" s="34"/>
      <c r="AA231" s="2"/>
      <c r="AB231" s="29"/>
      <c r="AC231" s="29"/>
      <c r="AD231" s="29"/>
      <c r="AE231" s="29"/>
      <c r="AF231" s="29"/>
      <c r="AG231" s="29"/>
      <c r="AH231" s="29"/>
      <c r="AI231" s="29"/>
      <c r="AJ231" s="34"/>
      <c r="AK231" s="34"/>
      <c r="AL231" s="29"/>
      <c r="AM231" s="29"/>
    </row>
    <row x14ac:dyDescent="0.25" r="232" customHeight="1" ht="15.75">
      <c r="A232" s="1"/>
      <c r="B232" s="34"/>
      <c r="C232" s="34"/>
      <c r="D232" s="34"/>
      <c r="E232" s="34"/>
      <c r="F232" s="34"/>
      <c r="G232" s="60"/>
      <c r="H232" s="60"/>
      <c r="I232" s="29"/>
      <c r="J232" s="29"/>
      <c r="K232" s="29"/>
      <c r="L232" s="29"/>
      <c r="M232" s="29"/>
      <c r="N232" s="29"/>
      <c r="O232" s="29"/>
      <c r="P232" s="29"/>
      <c r="Q232" s="34"/>
      <c r="R232" s="34"/>
      <c r="S232" s="29"/>
      <c r="T232" s="29"/>
      <c r="U232" s="29"/>
      <c r="V232" s="29"/>
      <c r="W232" s="29"/>
      <c r="X232" s="29"/>
      <c r="Y232" s="2"/>
      <c r="Z232" s="34"/>
      <c r="AA232" s="2"/>
      <c r="AB232" s="29"/>
      <c r="AC232" s="29"/>
      <c r="AD232" s="29"/>
      <c r="AE232" s="29"/>
      <c r="AF232" s="29"/>
      <c r="AG232" s="29"/>
      <c r="AH232" s="29"/>
      <c r="AI232" s="29"/>
      <c r="AJ232" s="34"/>
      <c r="AK232" s="34"/>
      <c r="AL232" s="29"/>
      <c r="AM232" s="29"/>
    </row>
    <row x14ac:dyDescent="0.25" r="233" customHeight="1" ht="15.75">
      <c r="A233" s="1"/>
      <c r="B233" s="34"/>
      <c r="C233" s="34"/>
      <c r="D233" s="34"/>
      <c r="E233" s="34"/>
      <c r="F233" s="34"/>
      <c r="G233" s="60"/>
      <c r="H233" s="60"/>
      <c r="I233" s="29"/>
      <c r="J233" s="29"/>
      <c r="K233" s="29"/>
      <c r="L233" s="29"/>
      <c r="M233" s="29"/>
      <c r="N233" s="29"/>
      <c r="O233" s="29"/>
      <c r="P233" s="29"/>
      <c r="Q233" s="34"/>
      <c r="R233" s="34"/>
      <c r="S233" s="29"/>
      <c r="T233" s="29"/>
      <c r="U233" s="29"/>
      <c r="V233" s="29"/>
      <c r="W233" s="29"/>
      <c r="X233" s="29"/>
      <c r="Y233" s="2"/>
      <c r="Z233" s="34"/>
      <c r="AA233" s="2"/>
      <c r="AB233" s="29"/>
      <c r="AC233" s="29"/>
      <c r="AD233" s="29"/>
      <c r="AE233" s="29"/>
      <c r="AF233" s="29"/>
      <c r="AG233" s="29"/>
      <c r="AH233" s="29"/>
      <c r="AI233" s="29"/>
      <c r="AJ233" s="34"/>
      <c r="AK233" s="34"/>
      <c r="AL233" s="29"/>
      <c r="AM233" s="29"/>
    </row>
    <row x14ac:dyDescent="0.25" r="234" customHeight="1" ht="15.75">
      <c r="A234" s="1"/>
      <c r="B234" s="34"/>
      <c r="C234" s="34"/>
      <c r="D234" s="34"/>
      <c r="E234" s="34"/>
      <c r="F234" s="34"/>
      <c r="G234" s="60"/>
      <c r="H234" s="60"/>
      <c r="I234" s="29"/>
      <c r="J234" s="29"/>
      <c r="K234" s="29"/>
      <c r="L234" s="29"/>
      <c r="M234" s="29"/>
      <c r="N234" s="29"/>
      <c r="O234" s="29"/>
      <c r="P234" s="29"/>
      <c r="Q234" s="34"/>
      <c r="R234" s="34"/>
      <c r="S234" s="29"/>
      <c r="T234" s="29"/>
      <c r="U234" s="29"/>
      <c r="V234" s="29"/>
      <c r="W234" s="29"/>
      <c r="X234" s="29"/>
      <c r="Y234" s="2"/>
      <c r="Z234" s="34"/>
      <c r="AA234" s="2"/>
      <c r="AB234" s="29"/>
      <c r="AC234" s="29"/>
      <c r="AD234" s="29"/>
      <c r="AE234" s="29"/>
      <c r="AF234" s="29"/>
      <c r="AG234" s="29"/>
      <c r="AH234" s="29"/>
      <c r="AI234" s="29"/>
      <c r="AJ234" s="34"/>
      <c r="AK234" s="34"/>
      <c r="AL234" s="29"/>
      <c r="AM234" s="29"/>
    </row>
    <row x14ac:dyDescent="0.25" r="235" customHeight="1" ht="15.75">
      <c r="A235" s="1"/>
      <c r="B235" s="34"/>
      <c r="C235" s="34"/>
      <c r="D235" s="34"/>
      <c r="E235" s="34"/>
      <c r="F235" s="34"/>
      <c r="G235" s="60"/>
      <c r="H235" s="60"/>
      <c r="I235" s="29"/>
      <c r="J235" s="29"/>
      <c r="K235" s="29"/>
      <c r="L235" s="29"/>
      <c r="M235" s="29"/>
      <c r="N235" s="29"/>
      <c r="O235" s="29"/>
      <c r="P235" s="29"/>
      <c r="Q235" s="34"/>
      <c r="R235" s="34"/>
      <c r="S235" s="29"/>
      <c r="T235" s="29"/>
      <c r="U235" s="29"/>
      <c r="V235" s="29"/>
      <c r="W235" s="29"/>
      <c r="X235" s="29"/>
      <c r="Y235" s="2"/>
      <c r="Z235" s="34"/>
      <c r="AA235" s="2"/>
      <c r="AB235" s="29"/>
      <c r="AC235" s="29"/>
      <c r="AD235" s="29"/>
      <c r="AE235" s="29"/>
      <c r="AF235" s="29"/>
      <c r="AG235" s="29"/>
      <c r="AH235" s="29"/>
      <c r="AI235" s="29"/>
      <c r="AJ235" s="34"/>
      <c r="AK235" s="34"/>
      <c r="AL235" s="29"/>
      <c r="AM235" s="29"/>
    </row>
    <row x14ac:dyDescent="0.25" r="236" customHeight="1" ht="15.75">
      <c r="A236" s="1"/>
      <c r="B236" s="34"/>
      <c r="C236" s="34"/>
      <c r="D236" s="34"/>
      <c r="E236" s="34"/>
      <c r="F236" s="34"/>
      <c r="G236" s="60"/>
      <c r="H236" s="60"/>
      <c r="I236" s="29"/>
      <c r="J236" s="29"/>
      <c r="K236" s="29"/>
      <c r="L236" s="29"/>
      <c r="M236" s="29"/>
      <c r="N236" s="29"/>
      <c r="O236" s="29"/>
      <c r="P236" s="29"/>
      <c r="Q236" s="34"/>
      <c r="R236" s="34"/>
      <c r="S236" s="29"/>
      <c r="T236" s="29"/>
      <c r="U236" s="29"/>
      <c r="V236" s="29"/>
      <c r="W236" s="29"/>
      <c r="X236" s="29"/>
      <c r="Y236" s="2"/>
      <c r="Z236" s="34"/>
      <c r="AA236" s="2"/>
      <c r="AB236" s="29"/>
      <c r="AC236" s="29"/>
      <c r="AD236" s="29"/>
      <c r="AE236" s="29"/>
      <c r="AF236" s="29"/>
      <c r="AG236" s="29"/>
      <c r="AH236" s="29"/>
      <c r="AI236" s="29"/>
      <c r="AJ236" s="34"/>
      <c r="AK236" s="34"/>
      <c r="AL236" s="29"/>
      <c r="AM236" s="29"/>
    </row>
    <row x14ac:dyDescent="0.25" r="237" customHeight="1" ht="15.75">
      <c r="A237" s="1"/>
      <c r="B237" s="34"/>
      <c r="C237" s="34"/>
      <c r="D237" s="34"/>
      <c r="E237" s="34"/>
      <c r="F237" s="34"/>
      <c r="G237" s="60"/>
      <c r="H237" s="60"/>
      <c r="I237" s="29"/>
      <c r="J237" s="29"/>
      <c r="K237" s="29"/>
      <c r="L237" s="29"/>
      <c r="M237" s="29"/>
      <c r="N237" s="29"/>
      <c r="O237" s="29"/>
      <c r="P237" s="29"/>
      <c r="Q237" s="34"/>
      <c r="R237" s="34"/>
      <c r="S237" s="29"/>
      <c r="T237" s="29"/>
      <c r="U237" s="29"/>
      <c r="V237" s="29"/>
      <c r="W237" s="29"/>
      <c r="X237" s="29"/>
      <c r="Y237" s="2"/>
      <c r="Z237" s="34"/>
      <c r="AA237" s="2"/>
      <c r="AB237" s="29"/>
      <c r="AC237" s="29"/>
      <c r="AD237" s="29"/>
      <c r="AE237" s="29"/>
      <c r="AF237" s="29"/>
      <c r="AG237" s="29"/>
      <c r="AH237" s="29"/>
      <c r="AI237" s="29"/>
      <c r="AJ237" s="34"/>
      <c r="AK237" s="34"/>
      <c r="AL237" s="29"/>
      <c r="AM237" s="29"/>
    </row>
    <row x14ac:dyDescent="0.25" r="238" customHeight="1" ht="15.75">
      <c r="A238" s="1"/>
      <c r="B238" s="34"/>
      <c r="C238" s="34"/>
      <c r="D238" s="34"/>
      <c r="E238" s="34"/>
      <c r="F238" s="34"/>
      <c r="G238" s="60"/>
      <c r="H238" s="60"/>
      <c r="I238" s="29"/>
      <c r="J238" s="29"/>
      <c r="K238" s="29"/>
      <c r="L238" s="29"/>
      <c r="M238" s="29"/>
      <c r="N238" s="29"/>
      <c r="O238" s="29"/>
      <c r="P238" s="29"/>
      <c r="Q238" s="34"/>
      <c r="R238" s="34"/>
      <c r="S238" s="29"/>
      <c r="T238" s="29"/>
      <c r="U238" s="29"/>
      <c r="V238" s="29"/>
      <c r="W238" s="29"/>
      <c r="X238" s="29"/>
      <c r="Y238" s="2"/>
      <c r="Z238" s="34"/>
      <c r="AA238" s="2"/>
      <c r="AB238" s="29"/>
      <c r="AC238" s="29"/>
      <c r="AD238" s="29"/>
      <c r="AE238" s="29"/>
      <c r="AF238" s="29"/>
      <c r="AG238" s="29"/>
      <c r="AH238" s="29"/>
      <c r="AI238" s="29"/>
      <c r="AJ238" s="34"/>
      <c r="AK238" s="34"/>
      <c r="AL238" s="29"/>
      <c r="AM238" s="29"/>
    </row>
    <row x14ac:dyDescent="0.25" r="239" customHeight="1" ht="15.75">
      <c r="A239" s="1"/>
      <c r="B239" s="34"/>
      <c r="C239" s="34"/>
      <c r="D239" s="34"/>
      <c r="E239" s="34"/>
      <c r="F239" s="34"/>
      <c r="G239" s="60"/>
      <c r="H239" s="60"/>
      <c r="I239" s="29"/>
      <c r="J239" s="29"/>
      <c r="K239" s="29"/>
      <c r="L239" s="29"/>
      <c r="M239" s="29"/>
      <c r="N239" s="29"/>
      <c r="O239" s="29"/>
      <c r="P239" s="29"/>
      <c r="Q239" s="34"/>
      <c r="R239" s="34"/>
      <c r="S239" s="29"/>
      <c r="T239" s="29"/>
      <c r="U239" s="29"/>
      <c r="V239" s="29"/>
      <c r="W239" s="29"/>
      <c r="X239" s="29"/>
      <c r="Y239" s="2"/>
      <c r="Z239" s="34"/>
      <c r="AA239" s="2"/>
      <c r="AB239" s="29"/>
      <c r="AC239" s="29"/>
      <c r="AD239" s="29"/>
      <c r="AE239" s="29"/>
      <c r="AF239" s="29"/>
      <c r="AG239" s="29"/>
      <c r="AH239" s="29"/>
      <c r="AI239" s="29"/>
      <c r="AJ239" s="34"/>
      <c r="AK239" s="34"/>
      <c r="AL239" s="29"/>
      <c r="AM239" s="29"/>
    </row>
    <row x14ac:dyDescent="0.25" r="240" customHeight="1" ht="15.75">
      <c r="A240" s="1"/>
      <c r="B240" s="34"/>
      <c r="C240" s="34"/>
      <c r="D240" s="34"/>
      <c r="E240" s="34"/>
      <c r="F240" s="34"/>
      <c r="G240" s="60"/>
      <c r="H240" s="60"/>
      <c r="I240" s="29"/>
      <c r="J240" s="29"/>
      <c r="K240" s="29"/>
      <c r="L240" s="29"/>
      <c r="M240" s="29"/>
      <c r="N240" s="29"/>
      <c r="O240" s="29"/>
      <c r="P240" s="29"/>
      <c r="Q240" s="34"/>
      <c r="R240" s="34"/>
      <c r="S240" s="29"/>
      <c r="T240" s="29"/>
      <c r="U240" s="29"/>
      <c r="V240" s="29"/>
      <c r="W240" s="29"/>
      <c r="X240" s="29"/>
      <c r="Y240" s="2"/>
      <c r="Z240" s="34"/>
      <c r="AA240" s="2"/>
      <c r="AB240" s="29"/>
      <c r="AC240" s="29"/>
      <c r="AD240" s="29"/>
      <c r="AE240" s="29"/>
      <c r="AF240" s="29"/>
      <c r="AG240" s="29"/>
      <c r="AH240" s="29"/>
      <c r="AI240" s="29"/>
      <c r="AJ240" s="34"/>
      <c r="AK240" s="34"/>
      <c r="AL240" s="29"/>
      <c r="AM240" s="29"/>
    </row>
    <row x14ac:dyDescent="0.25" r="241" customHeight="1" ht="15.75">
      <c r="A241" s="1"/>
      <c r="B241" s="34"/>
      <c r="C241" s="34"/>
      <c r="D241" s="34"/>
      <c r="E241" s="34"/>
      <c r="F241" s="34"/>
      <c r="G241" s="60"/>
      <c r="H241" s="60"/>
      <c r="I241" s="29"/>
      <c r="J241" s="29"/>
      <c r="K241" s="29"/>
      <c r="L241" s="29"/>
      <c r="M241" s="29"/>
      <c r="N241" s="29"/>
      <c r="O241" s="29"/>
      <c r="P241" s="29"/>
      <c r="Q241" s="34"/>
      <c r="R241" s="34"/>
      <c r="S241" s="29"/>
      <c r="T241" s="29"/>
      <c r="U241" s="29"/>
      <c r="V241" s="29"/>
      <c r="W241" s="29"/>
      <c r="X241" s="29"/>
      <c r="Y241" s="2"/>
      <c r="Z241" s="34"/>
      <c r="AA241" s="2"/>
      <c r="AB241" s="29"/>
      <c r="AC241" s="29"/>
      <c r="AD241" s="29"/>
      <c r="AE241" s="29"/>
      <c r="AF241" s="29"/>
      <c r="AG241" s="29"/>
      <c r="AH241" s="29"/>
      <c r="AI241" s="29"/>
      <c r="AJ241" s="34"/>
      <c r="AK241" s="34"/>
      <c r="AL241" s="29"/>
      <c r="AM241" s="29"/>
    </row>
    <row x14ac:dyDescent="0.25" r="242" customHeight="1" ht="15.75">
      <c r="A242" s="1"/>
      <c r="B242" s="34"/>
      <c r="C242" s="34"/>
      <c r="D242" s="34"/>
      <c r="E242" s="34"/>
      <c r="F242" s="34"/>
      <c r="G242" s="60"/>
      <c r="H242" s="60"/>
      <c r="I242" s="29"/>
      <c r="J242" s="29"/>
      <c r="K242" s="29"/>
      <c r="L242" s="29"/>
      <c r="M242" s="29"/>
      <c r="N242" s="29"/>
      <c r="O242" s="29"/>
      <c r="P242" s="29"/>
      <c r="Q242" s="34"/>
      <c r="R242" s="34"/>
      <c r="S242" s="29"/>
      <c r="T242" s="29"/>
      <c r="U242" s="29"/>
      <c r="V242" s="29"/>
      <c r="W242" s="29"/>
      <c r="X242" s="29"/>
      <c r="Y242" s="2"/>
      <c r="Z242" s="34"/>
      <c r="AA242" s="2"/>
      <c r="AB242" s="29"/>
      <c r="AC242" s="29"/>
      <c r="AD242" s="29"/>
      <c r="AE242" s="29"/>
      <c r="AF242" s="29"/>
      <c r="AG242" s="29"/>
      <c r="AH242" s="29"/>
      <c r="AI242" s="29"/>
      <c r="AJ242" s="34"/>
      <c r="AK242" s="34"/>
      <c r="AL242" s="29"/>
      <c r="AM242" s="29"/>
    </row>
    <row x14ac:dyDescent="0.25" r="243" customHeight="1" ht="15.75">
      <c r="A243" s="1"/>
      <c r="B243" s="34"/>
      <c r="C243" s="34"/>
      <c r="D243" s="34"/>
      <c r="E243" s="34"/>
      <c r="F243" s="34"/>
      <c r="G243" s="60"/>
      <c r="H243" s="60"/>
      <c r="I243" s="29"/>
      <c r="J243" s="29"/>
      <c r="K243" s="29"/>
      <c r="L243" s="29"/>
      <c r="M243" s="29"/>
      <c r="N243" s="29"/>
      <c r="O243" s="29"/>
      <c r="P243" s="29"/>
      <c r="Q243" s="34"/>
      <c r="R243" s="34"/>
      <c r="S243" s="29"/>
      <c r="T243" s="29"/>
      <c r="U243" s="29"/>
      <c r="V243" s="29"/>
      <c r="W243" s="29"/>
      <c r="X243" s="29"/>
      <c r="Y243" s="2"/>
      <c r="Z243" s="34"/>
      <c r="AA243" s="2"/>
      <c r="AB243" s="29"/>
      <c r="AC243" s="29"/>
      <c r="AD243" s="29"/>
      <c r="AE243" s="29"/>
      <c r="AF243" s="29"/>
      <c r="AG243" s="29"/>
      <c r="AH243" s="29"/>
      <c r="AI243" s="29"/>
      <c r="AJ243" s="34"/>
      <c r="AK243" s="34"/>
      <c r="AL243" s="29"/>
      <c r="AM243" s="29"/>
    </row>
    <row x14ac:dyDescent="0.25" r="244" customHeight="1" ht="15.75">
      <c r="A244" s="1"/>
      <c r="B244" s="34"/>
      <c r="C244" s="34"/>
      <c r="D244" s="34"/>
      <c r="E244" s="34"/>
      <c r="F244" s="34"/>
      <c r="G244" s="60"/>
      <c r="H244" s="60"/>
      <c r="I244" s="29"/>
      <c r="J244" s="29"/>
      <c r="K244" s="29"/>
      <c r="L244" s="29"/>
      <c r="M244" s="29"/>
      <c r="N244" s="29"/>
      <c r="O244" s="29"/>
      <c r="P244" s="29"/>
      <c r="Q244" s="34"/>
      <c r="R244" s="34"/>
      <c r="S244" s="29"/>
      <c r="T244" s="29"/>
      <c r="U244" s="29"/>
      <c r="V244" s="29"/>
      <c r="W244" s="29"/>
      <c r="X244" s="29"/>
      <c r="Y244" s="2"/>
      <c r="Z244" s="34"/>
      <c r="AA244" s="2"/>
      <c r="AB244" s="29"/>
      <c r="AC244" s="29"/>
      <c r="AD244" s="29"/>
      <c r="AE244" s="29"/>
      <c r="AF244" s="29"/>
      <c r="AG244" s="29"/>
      <c r="AH244" s="29"/>
      <c r="AI244" s="29"/>
      <c r="AJ244" s="34"/>
      <c r="AK244" s="34"/>
      <c r="AL244" s="29"/>
      <c r="AM244" s="29"/>
    </row>
    <row x14ac:dyDescent="0.25" r="245" customHeight="1" ht="15.75">
      <c r="A245" s="1"/>
      <c r="B245" s="34"/>
      <c r="C245" s="34"/>
      <c r="D245" s="34"/>
      <c r="E245" s="34"/>
      <c r="F245" s="34"/>
      <c r="G245" s="60"/>
      <c r="H245" s="60"/>
      <c r="I245" s="29"/>
      <c r="J245" s="29"/>
      <c r="K245" s="29"/>
      <c r="L245" s="29"/>
      <c r="M245" s="29"/>
      <c r="N245" s="29"/>
      <c r="O245" s="29"/>
      <c r="P245" s="29"/>
      <c r="Q245" s="34"/>
      <c r="R245" s="34"/>
      <c r="S245" s="29"/>
      <c r="T245" s="29"/>
      <c r="U245" s="29"/>
      <c r="V245" s="29"/>
      <c r="W245" s="29"/>
      <c r="X245" s="29"/>
      <c r="Y245" s="2"/>
      <c r="Z245" s="34"/>
      <c r="AA245" s="2"/>
      <c r="AB245" s="29"/>
      <c r="AC245" s="29"/>
      <c r="AD245" s="29"/>
      <c r="AE245" s="29"/>
      <c r="AF245" s="29"/>
      <c r="AG245" s="29"/>
      <c r="AH245" s="29"/>
      <c r="AI245" s="29"/>
      <c r="AJ245" s="34"/>
      <c r="AK245" s="34"/>
      <c r="AL245" s="29"/>
      <c r="AM245" s="29"/>
    </row>
    <row x14ac:dyDescent="0.25" r="246" customHeight="1" ht="15.75">
      <c r="A246" s="1"/>
      <c r="B246" s="34"/>
      <c r="C246" s="34"/>
      <c r="D246" s="34"/>
      <c r="E246" s="34"/>
      <c r="F246" s="34"/>
      <c r="G246" s="60"/>
      <c r="H246" s="60"/>
      <c r="I246" s="29"/>
      <c r="J246" s="29"/>
      <c r="K246" s="29"/>
      <c r="L246" s="29"/>
      <c r="M246" s="29"/>
      <c r="N246" s="29"/>
      <c r="O246" s="29"/>
      <c r="P246" s="29"/>
      <c r="Q246" s="34"/>
      <c r="R246" s="34"/>
      <c r="S246" s="29"/>
      <c r="T246" s="29"/>
      <c r="U246" s="29"/>
      <c r="V246" s="29"/>
      <c r="W246" s="29"/>
      <c r="X246" s="29"/>
      <c r="Y246" s="2"/>
      <c r="Z246" s="34"/>
      <c r="AA246" s="2"/>
      <c r="AB246" s="29"/>
      <c r="AC246" s="29"/>
      <c r="AD246" s="29"/>
      <c r="AE246" s="29"/>
      <c r="AF246" s="29"/>
      <c r="AG246" s="29"/>
      <c r="AH246" s="29"/>
      <c r="AI246" s="29"/>
      <c r="AJ246" s="34"/>
      <c r="AK246" s="34"/>
      <c r="AL246" s="29"/>
      <c r="AM246" s="29"/>
    </row>
    <row x14ac:dyDescent="0.25" r="247" customHeight="1" ht="15.75">
      <c r="A247" s="1"/>
      <c r="B247" s="34"/>
      <c r="C247" s="34"/>
      <c r="D247" s="34"/>
      <c r="E247" s="34"/>
      <c r="F247" s="34"/>
      <c r="G247" s="60"/>
      <c r="H247" s="60"/>
      <c r="I247" s="29"/>
      <c r="J247" s="29"/>
      <c r="K247" s="29"/>
      <c r="L247" s="29"/>
      <c r="M247" s="29"/>
      <c r="N247" s="29"/>
      <c r="O247" s="29"/>
      <c r="P247" s="29"/>
      <c r="Q247" s="34"/>
      <c r="R247" s="34"/>
      <c r="S247" s="29"/>
      <c r="T247" s="29"/>
      <c r="U247" s="29"/>
      <c r="V247" s="29"/>
      <c r="W247" s="29"/>
      <c r="X247" s="29"/>
      <c r="Y247" s="2"/>
      <c r="Z247" s="34"/>
      <c r="AA247" s="2"/>
      <c r="AB247" s="29"/>
      <c r="AC247" s="29"/>
      <c r="AD247" s="29"/>
      <c r="AE247" s="29"/>
      <c r="AF247" s="29"/>
      <c r="AG247" s="29"/>
      <c r="AH247" s="29"/>
      <c r="AI247" s="29"/>
      <c r="AJ247" s="34"/>
      <c r="AK247" s="34"/>
      <c r="AL247" s="29"/>
      <c r="AM247" s="29"/>
    </row>
    <row x14ac:dyDescent="0.25" r="248" customHeight="1" ht="15.75">
      <c r="A248" s="1"/>
      <c r="B248" s="34"/>
      <c r="C248" s="34"/>
      <c r="D248" s="34"/>
      <c r="E248" s="34"/>
      <c r="F248" s="34"/>
      <c r="G248" s="60"/>
      <c r="H248" s="60"/>
      <c r="I248" s="29"/>
      <c r="J248" s="29"/>
      <c r="K248" s="29"/>
      <c r="L248" s="29"/>
      <c r="M248" s="29"/>
      <c r="N248" s="29"/>
      <c r="O248" s="29"/>
      <c r="P248" s="29"/>
      <c r="Q248" s="34"/>
      <c r="R248" s="34"/>
      <c r="S248" s="29"/>
      <c r="T248" s="29"/>
      <c r="U248" s="29"/>
      <c r="V248" s="29"/>
      <c r="W248" s="29"/>
      <c r="X248" s="29"/>
      <c r="Y248" s="2"/>
      <c r="Z248" s="34"/>
      <c r="AA248" s="2"/>
      <c r="AB248" s="29"/>
      <c r="AC248" s="29"/>
      <c r="AD248" s="29"/>
      <c r="AE248" s="29"/>
      <c r="AF248" s="29"/>
      <c r="AG248" s="29"/>
      <c r="AH248" s="29"/>
      <c r="AI248" s="29"/>
      <c r="AJ248" s="34"/>
      <c r="AK248" s="34"/>
      <c r="AL248" s="29"/>
      <c r="AM248" s="29"/>
    </row>
    <row x14ac:dyDescent="0.25" r="249" customHeight="1" ht="15.75">
      <c r="A249" s="1"/>
      <c r="B249" s="34"/>
      <c r="C249" s="34"/>
      <c r="D249" s="34"/>
      <c r="E249" s="34"/>
      <c r="F249" s="34"/>
      <c r="G249" s="60"/>
      <c r="H249" s="60"/>
      <c r="I249" s="29"/>
      <c r="J249" s="29"/>
      <c r="K249" s="29"/>
      <c r="L249" s="29"/>
      <c r="M249" s="29"/>
      <c r="N249" s="29"/>
      <c r="O249" s="29"/>
      <c r="P249" s="29"/>
      <c r="Q249" s="34"/>
      <c r="R249" s="34"/>
      <c r="S249" s="29"/>
      <c r="T249" s="29"/>
      <c r="U249" s="29"/>
      <c r="V249" s="29"/>
      <c r="W249" s="29"/>
      <c r="X249" s="29"/>
      <c r="Y249" s="2"/>
      <c r="Z249" s="34"/>
      <c r="AA249" s="2"/>
      <c r="AB249" s="29"/>
      <c r="AC249" s="29"/>
      <c r="AD249" s="29"/>
      <c r="AE249" s="29"/>
      <c r="AF249" s="29"/>
      <c r="AG249" s="29"/>
      <c r="AH249" s="29"/>
      <c r="AI249" s="29"/>
      <c r="AJ249" s="34"/>
      <c r="AK249" s="34"/>
      <c r="AL249" s="29"/>
      <c r="AM249" s="29"/>
    </row>
    <row x14ac:dyDescent="0.25" r="250" customHeight="1" ht="15.75">
      <c r="A250" s="1"/>
      <c r="B250" s="34"/>
      <c r="C250" s="34"/>
      <c r="D250" s="34"/>
      <c r="E250" s="34"/>
      <c r="F250" s="34"/>
      <c r="G250" s="60"/>
      <c r="H250" s="60"/>
      <c r="I250" s="29"/>
      <c r="J250" s="29"/>
      <c r="K250" s="29"/>
      <c r="L250" s="29"/>
      <c r="M250" s="29"/>
      <c r="N250" s="29"/>
      <c r="O250" s="29"/>
      <c r="P250" s="29"/>
      <c r="Q250" s="34"/>
      <c r="R250" s="34"/>
      <c r="S250" s="29"/>
      <c r="T250" s="29"/>
      <c r="U250" s="29"/>
      <c r="V250" s="29"/>
      <c r="W250" s="29"/>
      <c r="X250" s="29"/>
      <c r="Y250" s="2"/>
      <c r="Z250" s="34"/>
      <c r="AA250" s="2"/>
      <c r="AB250" s="29"/>
      <c r="AC250" s="29"/>
      <c r="AD250" s="29"/>
      <c r="AE250" s="29"/>
      <c r="AF250" s="29"/>
      <c r="AG250" s="29"/>
      <c r="AH250" s="29"/>
      <c r="AI250" s="29"/>
      <c r="AJ250" s="34"/>
      <c r="AK250" s="34"/>
      <c r="AL250" s="29"/>
      <c r="AM250" s="29"/>
    </row>
    <row x14ac:dyDescent="0.25" r="251" customHeight="1" ht="15.75">
      <c r="A251" s="1"/>
      <c r="B251" s="34"/>
      <c r="C251" s="34"/>
      <c r="D251" s="34"/>
      <c r="E251" s="34"/>
      <c r="F251" s="34"/>
      <c r="G251" s="60"/>
      <c r="H251" s="60"/>
      <c r="I251" s="29"/>
      <c r="J251" s="29"/>
      <c r="K251" s="29"/>
      <c r="L251" s="29"/>
      <c r="M251" s="29"/>
      <c r="N251" s="29"/>
      <c r="O251" s="29"/>
      <c r="P251" s="29"/>
      <c r="Q251" s="34"/>
      <c r="R251" s="34"/>
      <c r="S251" s="29"/>
      <c r="T251" s="29"/>
      <c r="U251" s="29"/>
      <c r="V251" s="29"/>
      <c r="W251" s="29"/>
      <c r="X251" s="29"/>
      <c r="Y251" s="2"/>
      <c r="Z251" s="34"/>
      <c r="AA251" s="2"/>
      <c r="AB251" s="29"/>
      <c r="AC251" s="29"/>
      <c r="AD251" s="29"/>
      <c r="AE251" s="29"/>
      <c r="AF251" s="29"/>
      <c r="AG251" s="29"/>
      <c r="AH251" s="29"/>
      <c r="AI251" s="29"/>
      <c r="AJ251" s="34"/>
      <c r="AK251" s="34"/>
      <c r="AL251" s="29"/>
      <c r="AM251" s="29"/>
    </row>
    <row x14ac:dyDescent="0.25" r="252" customHeight="1" ht="15.75">
      <c r="A252" s="1"/>
      <c r="B252" s="34"/>
      <c r="C252" s="34"/>
      <c r="D252" s="34"/>
      <c r="E252" s="34"/>
      <c r="F252" s="34"/>
      <c r="G252" s="60"/>
      <c r="H252" s="60"/>
      <c r="I252" s="29"/>
      <c r="J252" s="29"/>
      <c r="K252" s="29"/>
      <c r="L252" s="29"/>
      <c r="M252" s="29"/>
      <c r="N252" s="29"/>
      <c r="O252" s="29"/>
      <c r="P252" s="29"/>
      <c r="Q252" s="34"/>
      <c r="R252" s="34"/>
      <c r="S252" s="29"/>
      <c r="T252" s="29"/>
      <c r="U252" s="29"/>
      <c r="V252" s="29"/>
      <c r="W252" s="29"/>
      <c r="X252" s="29"/>
      <c r="Y252" s="2"/>
      <c r="Z252" s="34"/>
      <c r="AA252" s="2"/>
      <c r="AB252" s="29"/>
      <c r="AC252" s="29"/>
      <c r="AD252" s="29"/>
      <c r="AE252" s="29"/>
      <c r="AF252" s="29"/>
      <c r="AG252" s="29"/>
      <c r="AH252" s="29"/>
      <c r="AI252" s="29"/>
      <c r="AJ252" s="34"/>
      <c r="AK252" s="34"/>
      <c r="AL252" s="29"/>
      <c r="AM252" s="29"/>
    </row>
    <row x14ac:dyDescent="0.25" r="253" customHeight="1" ht="15.75">
      <c r="A253" s="1"/>
      <c r="B253" s="34"/>
      <c r="C253" s="34"/>
      <c r="D253" s="34"/>
      <c r="E253" s="34"/>
      <c r="F253" s="34"/>
      <c r="G253" s="60"/>
      <c r="H253" s="60"/>
      <c r="I253" s="29"/>
      <c r="J253" s="29"/>
      <c r="K253" s="29"/>
      <c r="L253" s="29"/>
      <c r="M253" s="29"/>
      <c r="N253" s="29"/>
      <c r="O253" s="29"/>
      <c r="P253" s="29"/>
      <c r="Q253" s="34"/>
      <c r="R253" s="34"/>
      <c r="S253" s="29"/>
      <c r="T253" s="29"/>
      <c r="U253" s="29"/>
      <c r="V253" s="29"/>
      <c r="W253" s="29"/>
      <c r="X253" s="29"/>
      <c r="Y253" s="2"/>
      <c r="Z253" s="34"/>
      <c r="AA253" s="2"/>
      <c r="AB253" s="29"/>
      <c r="AC253" s="29"/>
      <c r="AD253" s="29"/>
      <c r="AE253" s="29"/>
      <c r="AF253" s="29"/>
      <c r="AG253" s="29"/>
      <c r="AH253" s="29"/>
      <c r="AI253" s="29"/>
      <c r="AJ253" s="34"/>
      <c r="AK253" s="34"/>
      <c r="AL253" s="29"/>
      <c r="AM253" s="29"/>
    </row>
    <row x14ac:dyDescent="0.25" r="254" customHeight="1" ht="15.75">
      <c r="A254" s="1"/>
      <c r="B254" s="34"/>
      <c r="C254" s="34"/>
      <c r="D254" s="34"/>
      <c r="E254" s="34"/>
      <c r="F254" s="34"/>
      <c r="G254" s="60"/>
      <c r="H254" s="60"/>
      <c r="I254" s="29"/>
      <c r="J254" s="29"/>
      <c r="K254" s="29"/>
      <c r="L254" s="29"/>
      <c r="M254" s="29"/>
      <c r="N254" s="29"/>
      <c r="O254" s="29"/>
      <c r="P254" s="29"/>
      <c r="Q254" s="34"/>
      <c r="R254" s="34"/>
      <c r="S254" s="29"/>
      <c r="T254" s="29"/>
      <c r="U254" s="29"/>
      <c r="V254" s="29"/>
      <c r="W254" s="29"/>
      <c r="X254" s="29"/>
      <c r="Y254" s="2"/>
      <c r="Z254" s="34"/>
      <c r="AA254" s="2"/>
      <c r="AB254" s="29"/>
      <c r="AC254" s="29"/>
      <c r="AD254" s="29"/>
      <c r="AE254" s="29"/>
      <c r="AF254" s="29"/>
      <c r="AG254" s="29"/>
      <c r="AH254" s="29"/>
      <c r="AI254" s="29"/>
      <c r="AJ254" s="34"/>
      <c r="AK254" s="34"/>
      <c r="AL254" s="29"/>
      <c r="AM254" s="29"/>
    </row>
    <row x14ac:dyDescent="0.25" r="255" customHeight="1" ht="15.75">
      <c r="A255" s="1"/>
      <c r="B255" s="34"/>
      <c r="C255" s="34"/>
      <c r="D255" s="34"/>
      <c r="E255" s="34"/>
      <c r="F255" s="34"/>
      <c r="G255" s="60"/>
      <c r="H255" s="60"/>
      <c r="I255" s="29"/>
      <c r="J255" s="29"/>
      <c r="K255" s="29"/>
      <c r="L255" s="29"/>
      <c r="M255" s="29"/>
      <c r="N255" s="29"/>
      <c r="O255" s="29"/>
      <c r="P255" s="29"/>
      <c r="Q255" s="34"/>
      <c r="R255" s="34"/>
      <c r="S255" s="29"/>
      <c r="T255" s="29"/>
      <c r="U255" s="29"/>
      <c r="V255" s="29"/>
      <c r="W255" s="29"/>
      <c r="X255" s="29"/>
      <c r="Y255" s="2"/>
      <c r="Z255" s="34"/>
      <c r="AA255" s="2"/>
      <c r="AB255" s="29"/>
      <c r="AC255" s="29"/>
      <c r="AD255" s="29"/>
      <c r="AE255" s="29"/>
      <c r="AF255" s="29"/>
      <c r="AG255" s="29"/>
      <c r="AH255" s="29"/>
      <c r="AI255" s="29"/>
      <c r="AJ255" s="34"/>
      <c r="AK255" s="34"/>
      <c r="AL255" s="29"/>
      <c r="AM255" s="29"/>
    </row>
    <row x14ac:dyDescent="0.25" r="256" customHeight="1" ht="15.75">
      <c r="A256" s="1"/>
      <c r="B256" s="34"/>
      <c r="C256" s="34"/>
      <c r="D256" s="34"/>
      <c r="E256" s="34"/>
      <c r="F256" s="34"/>
      <c r="G256" s="60"/>
      <c r="H256" s="60"/>
      <c r="I256" s="29"/>
      <c r="J256" s="29"/>
      <c r="K256" s="29"/>
      <c r="L256" s="29"/>
      <c r="M256" s="29"/>
      <c r="N256" s="29"/>
      <c r="O256" s="29"/>
      <c r="P256" s="29"/>
      <c r="Q256" s="34"/>
      <c r="R256" s="34"/>
      <c r="S256" s="29"/>
      <c r="T256" s="29"/>
      <c r="U256" s="29"/>
      <c r="V256" s="29"/>
      <c r="W256" s="29"/>
      <c r="X256" s="29"/>
      <c r="Y256" s="2"/>
      <c r="Z256" s="34"/>
      <c r="AA256" s="2"/>
      <c r="AB256" s="29"/>
      <c r="AC256" s="29"/>
      <c r="AD256" s="29"/>
      <c r="AE256" s="29"/>
      <c r="AF256" s="29"/>
      <c r="AG256" s="29"/>
      <c r="AH256" s="29"/>
      <c r="AI256" s="29"/>
      <c r="AJ256" s="34"/>
      <c r="AK256" s="34"/>
      <c r="AL256" s="29"/>
      <c r="AM256" s="29"/>
    </row>
    <row x14ac:dyDescent="0.25" r="257" customHeight="1" ht="15.75">
      <c r="A257" s="1"/>
      <c r="B257" s="34"/>
      <c r="C257" s="34"/>
      <c r="D257" s="34"/>
      <c r="E257" s="34"/>
      <c r="F257" s="34"/>
      <c r="G257" s="60"/>
      <c r="H257" s="60"/>
      <c r="I257" s="29"/>
      <c r="J257" s="29"/>
      <c r="K257" s="29"/>
      <c r="L257" s="29"/>
      <c r="M257" s="29"/>
      <c r="N257" s="29"/>
      <c r="O257" s="29"/>
      <c r="P257" s="29"/>
      <c r="Q257" s="34"/>
      <c r="R257" s="34"/>
      <c r="S257" s="29"/>
      <c r="T257" s="29"/>
      <c r="U257" s="29"/>
      <c r="V257" s="29"/>
      <c r="W257" s="29"/>
      <c r="X257" s="29"/>
      <c r="Y257" s="2"/>
      <c r="Z257" s="34"/>
      <c r="AA257" s="2"/>
      <c r="AB257" s="29"/>
      <c r="AC257" s="29"/>
      <c r="AD257" s="29"/>
      <c r="AE257" s="29"/>
      <c r="AF257" s="29"/>
      <c r="AG257" s="29"/>
      <c r="AH257" s="29"/>
      <c r="AI257" s="29"/>
      <c r="AJ257" s="34"/>
      <c r="AK257" s="34"/>
      <c r="AL257" s="29"/>
      <c r="AM257" s="29"/>
    </row>
    <row x14ac:dyDescent="0.25" r="258" customHeight="1" ht="15.75">
      <c r="A258" s="1"/>
      <c r="B258" s="34"/>
      <c r="C258" s="34"/>
      <c r="D258" s="34"/>
      <c r="E258" s="34"/>
      <c r="F258" s="34"/>
      <c r="G258" s="60"/>
      <c r="H258" s="60"/>
      <c r="I258" s="29"/>
      <c r="J258" s="29"/>
      <c r="K258" s="29"/>
      <c r="L258" s="29"/>
      <c r="M258" s="29"/>
      <c r="N258" s="29"/>
      <c r="O258" s="29"/>
      <c r="P258" s="29"/>
      <c r="Q258" s="34"/>
      <c r="R258" s="34"/>
      <c r="S258" s="29"/>
      <c r="T258" s="29"/>
      <c r="U258" s="29"/>
      <c r="V258" s="29"/>
      <c r="W258" s="29"/>
      <c r="X258" s="29"/>
      <c r="Y258" s="2"/>
      <c r="Z258" s="34"/>
      <c r="AA258" s="2"/>
      <c r="AB258" s="29"/>
      <c r="AC258" s="29"/>
      <c r="AD258" s="29"/>
      <c r="AE258" s="29"/>
      <c r="AF258" s="29"/>
      <c r="AG258" s="29"/>
      <c r="AH258" s="29"/>
      <c r="AI258" s="29"/>
      <c r="AJ258" s="34"/>
      <c r="AK258" s="34"/>
      <c r="AL258" s="29"/>
      <c r="AM258" s="29"/>
    </row>
    <row x14ac:dyDescent="0.25" r="259" customHeight="1" ht="15.75">
      <c r="A259" s="1"/>
      <c r="B259" s="34"/>
      <c r="C259" s="34"/>
      <c r="D259" s="34"/>
      <c r="E259" s="34"/>
      <c r="F259" s="34"/>
      <c r="G259" s="60"/>
      <c r="H259" s="60"/>
      <c r="I259" s="29"/>
      <c r="J259" s="29"/>
      <c r="K259" s="29"/>
      <c r="L259" s="29"/>
      <c r="M259" s="29"/>
      <c r="N259" s="29"/>
      <c r="O259" s="29"/>
      <c r="P259" s="29"/>
      <c r="Q259" s="34"/>
      <c r="R259" s="34"/>
      <c r="S259" s="29"/>
      <c r="T259" s="29"/>
      <c r="U259" s="29"/>
      <c r="V259" s="29"/>
      <c r="W259" s="29"/>
      <c r="X259" s="29"/>
      <c r="Y259" s="2"/>
      <c r="Z259" s="34"/>
      <c r="AA259" s="2"/>
      <c r="AB259" s="29"/>
      <c r="AC259" s="29"/>
      <c r="AD259" s="29"/>
      <c r="AE259" s="29"/>
      <c r="AF259" s="29"/>
      <c r="AG259" s="29"/>
      <c r="AH259" s="29"/>
      <c r="AI259" s="29"/>
      <c r="AJ259" s="34"/>
      <c r="AK259" s="34"/>
      <c r="AL259" s="29"/>
      <c r="AM259" s="29"/>
    </row>
    <row x14ac:dyDescent="0.25" r="260" customHeight="1" ht="15.75">
      <c r="A260" s="1"/>
      <c r="B260" s="34"/>
      <c r="C260" s="34"/>
      <c r="D260" s="34"/>
      <c r="E260" s="34"/>
      <c r="F260" s="34"/>
      <c r="G260" s="60"/>
      <c r="H260" s="60"/>
      <c r="I260" s="29"/>
      <c r="J260" s="29"/>
      <c r="K260" s="29"/>
      <c r="L260" s="29"/>
      <c r="M260" s="29"/>
      <c r="N260" s="29"/>
      <c r="O260" s="29"/>
      <c r="P260" s="29"/>
      <c r="Q260" s="34"/>
      <c r="R260" s="34"/>
      <c r="S260" s="29"/>
      <c r="T260" s="29"/>
      <c r="U260" s="29"/>
      <c r="V260" s="29"/>
      <c r="W260" s="29"/>
      <c r="X260" s="29"/>
      <c r="Y260" s="2"/>
      <c r="Z260" s="34"/>
      <c r="AA260" s="2"/>
      <c r="AB260" s="29"/>
      <c r="AC260" s="29"/>
      <c r="AD260" s="29"/>
      <c r="AE260" s="29"/>
      <c r="AF260" s="29"/>
      <c r="AG260" s="29"/>
      <c r="AH260" s="29"/>
      <c r="AI260" s="29"/>
      <c r="AJ260" s="34"/>
      <c r="AK260" s="34"/>
      <c r="AL260" s="29"/>
      <c r="AM260" s="29"/>
    </row>
    <row x14ac:dyDescent="0.25" r="261" customHeight="1" ht="15.75">
      <c r="A261" s="1"/>
      <c r="B261" s="34"/>
      <c r="C261" s="34"/>
      <c r="D261" s="34"/>
      <c r="E261" s="34"/>
      <c r="F261" s="34"/>
      <c r="G261" s="60"/>
      <c r="H261" s="60"/>
      <c r="I261" s="29"/>
      <c r="J261" s="29"/>
      <c r="K261" s="29"/>
      <c r="L261" s="29"/>
      <c r="M261" s="29"/>
      <c r="N261" s="29"/>
      <c r="O261" s="29"/>
      <c r="P261" s="29"/>
      <c r="Q261" s="34"/>
      <c r="R261" s="34"/>
      <c r="S261" s="29"/>
      <c r="T261" s="29"/>
      <c r="U261" s="29"/>
      <c r="V261" s="29"/>
      <c r="W261" s="29"/>
      <c r="X261" s="29"/>
      <c r="Y261" s="2"/>
      <c r="Z261" s="34"/>
      <c r="AA261" s="2"/>
      <c r="AB261" s="29"/>
      <c r="AC261" s="29"/>
      <c r="AD261" s="29"/>
      <c r="AE261" s="29"/>
      <c r="AF261" s="29"/>
      <c r="AG261" s="29"/>
      <c r="AH261" s="29"/>
      <c r="AI261" s="29"/>
      <c r="AJ261" s="34"/>
      <c r="AK261" s="34"/>
      <c r="AL261" s="29"/>
      <c r="AM261" s="29"/>
    </row>
    <row x14ac:dyDescent="0.25" r="262" customHeight="1" ht="15.75">
      <c r="A262" s="1"/>
      <c r="B262" s="34"/>
      <c r="C262" s="34"/>
      <c r="D262" s="34"/>
      <c r="E262" s="34"/>
      <c r="F262" s="34"/>
      <c r="G262" s="60"/>
      <c r="H262" s="60"/>
      <c r="I262" s="29"/>
      <c r="J262" s="29"/>
      <c r="K262" s="29"/>
      <c r="L262" s="29"/>
      <c r="M262" s="29"/>
      <c r="N262" s="29"/>
      <c r="O262" s="29"/>
      <c r="P262" s="29"/>
      <c r="Q262" s="34"/>
      <c r="R262" s="34"/>
      <c r="S262" s="29"/>
      <c r="T262" s="29"/>
      <c r="U262" s="29"/>
      <c r="V262" s="29"/>
      <c r="W262" s="29"/>
      <c r="X262" s="29"/>
      <c r="Y262" s="2"/>
      <c r="Z262" s="34"/>
      <c r="AA262" s="2"/>
      <c r="AB262" s="29"/>
      <c r="AC262" s="29"/>
      <c r="AD262" s="29"/>
      <c r="AE262" s="29"/>
      <c r="AF262" s="29"/>
      <c r="AG262" s="29"/>
      <c r="AH262" s="29"/>
      <c r="AI262" s="29"/>
      <c r="AJ262" s="34"/>
      <c r="AK262" s="34"/>
      <c r="AL262" s="29"/>
      <c r="AM262" s="29"/>
    </row>
    <row x14ac:dyDescent="0.25" r="263" customHeight="1" ht="15.75">
      <c r="A263" s="1"/>
      <c r="B263" s="34"/>
      <c r="C263" s="34"/>
      <c r="D263" s="34"/>
      <c r="E263" s="34"/>
      <c r="F263" s="34"/>
      <c r="G263" s="60"/>
      <c r="H263" s="60"/>
      <c r="I263" s="29"/>
      <c r="J263" s="29"/>
      <c r="K263" s="29"/>
      <c r="L263" s="29"/>
      <c r="M263" s="29"/>
      <c r="N263" s="29"/>
      <c r="O263" s="29"/>
      <c r="P263" s="29"/>
      <c r="Q263" s="34"/>
      <c r="R263" s="34"/>
      <c r="S263" s="29"/>
      <c r="T263" s="29"/>
      <c r="U263" s="29"/>
      <c r="V263" s="29"/>
      <c r="W263" s="29"/>
      <c r="X263" s="29"/>
      <c r="Y263" s="2"/>
      <c r="Z263" s="34"/>
      <c r="AA263" s="2"/>
      <c r="AB263" s="29"/>
      <c r="AC263" s="29"/>
      <c r="AD263" s="29"/>
      <c r="AE263" s="29"/>
      <c r="AF263" s="29"/>
      <c r="AG263" s="29"/>
      <c r="AH263" s="29"/>
      <c r="AI263" s="29"/>
      <c r="AJ263" s="34"/>
      <c r="AK263" s="34"/>
      <c r="AL263" s="29"/>
      <c r="AM263" s="29"/>
    </row>
    <row x14ac:dyDescent="0.25" r="264" customHeight="1" ht="15.75">
      <c r="A264" s="1"/>
      <c r="B264" s="34"/>
      <c r="C264" s="34"/>
      <c r="D264" s="34"/>
      <c r="E264" s="34"/>
      <c r="F264" s="34"/>
      <c r="G264" s="60"/>
      <c r="H264" s="60"/>
      <c r="I264" s="29"/>
      <c r="J264" s="29"/>
      <c r="K264" s="29"/>
      <c r="L264" s="29"/>
      <c r="M264" s="29"/>
      <c r="N264" s="29"/>
      <c r="O264" s="29"/>
      <c r="P264" s="29"/>
      <c r="Q264" s="34"/>
      <c r="R264" s="34"/>
      <c r="S264" s="29"/>
      <c r="T264" s="29"/>
      <c r="U264" s="29"/>
      <c r="V264" s="29"/>
      <c r="W264" s="29"/>
      <c r="X264" s="29"/>
      <c r="Y264" s="2"/>
      <c r="Z264" s="34"/>
      <c r="AA264" s="2"/>
      <c r="AB264" s="29"/>
      <c r="AC264" s="29"/>
      <c r="AD264" s="29"/>
      <c r="AE264" s="29"/>
      <c r="AF264" s="29"/>
      <c r="AG264" s="29"/>
      <c r="AH264" s="29"/>
      <c r="AI264" s="29"/>
      <c r="AJ264" s="34"/>
      <c r="AK264" s="34"/>
      <c r="AL264" s="29"/>
      <c r="AM264" s="29"/>
    </row>
    <row x14ac:dyDescent="0.25" r="265" customHeight="1" ht="15.75">
      <c r="A265" s="1"/>
      <c r="B265" s="34"/>
      <c r="C265" s="34"/>
      <c r="D265" s="34"/>
      <c r="E265" s="34"/>
      <c r="F265" s="34"/>
      <c r="G265" s="60"/>
      <c r="H265" s="60"/>
      <c r="I265" s="29"/>
      <c r="J265" s="29"/>
      <c r="K265" s="29"/>
      <c r="L265" s="29"/>
      <c r="M265" s="29"/>
      <c r="N265" s="29"/>
      <c r="O265" s="29"/>
      <c r="P265" s="29"/>
      <c r="Q265" s="34"/>
      <c r="R265" s="34"/>
      <c r="S265" s="29"/>
      <c r="T265" s="29"/>
      <c r="U265" s="29"/>
      <c r="V265" s="29"/>
      <c r="W265" s="29"/>
      <c r="X265" s="29"/>
      <c r="Y265" s="2"/>
      <c r="Z265" s="34"/>
      <c r="AA265" s="2"/>
      <c r="AB265" s="29"/>
      <c r="AC265" s="29"/>
      <c r="AD265" s="29"/>
      <c r="AE265" s="29"/>
      <c r="AF265" s="29"/>
      <c r="AG265" s="29"/>
      <c r="AH265" s="29"/>
      <c r="AI265" s="29"/>
      <c r="AJ265" s="34"/>
      <c r="AK265" s="34"/>
      <c r="AL265" s="29"/>
      <c r="AM265" s="29"/>
    </row>
    <row x14ac:dyDescent="0.25" r="266" customHeight="1" ht="15.75">
      <c r="A266" s="1"/>
      <c r="B266" s="34"/>
      <c r="C266" s="34"/>
      <c r="D266" s="34"/>
      <c r="E266" s="34"/>
      <c r="F266" s="34"/>
      <c r="G266" s="60"/>
      <c r="H266" s="60"/>
      <c r="I266" s="29"/>
      <c r="J266" s="29"/>
      <c r="K266" s="29"/>
      <c r="L266" s="29"/>
      <c r="M266" s="29"/>
      <c r="N266" s="29"/>
      <c r="O266" s="29"/>
      <c r="P266" s="29"/>
      <c r="Q266" s="34"/>
      <c r="R266" s="34"/>
      <c r="S266" s="29"/>
      <c r="T266" s="29"/>
      <c r="U266" s="29"/>
      <c r="V266" s="29"/>
      <c r="W266" s="29"/>
      <c r="X266" s="29"/>
      <c r="Y266" s="2"/>
      <c r="Z266" s="34"/>
      <c r="AA266" s="2"/>
      <c r="AB266" s="29"/>
      <c r="AC266" s="29"/>
      <c r="AD266" s="29"/>
      <c r="AE266" s="29"/>
      <c r="AF266" s="29"/>
      <c r="AG266" s="29"/>
      <c r="AH266" s="29"/>
      <c r="AI266" s="29"/>
      <c r="AJ266" s="34"/>
      <c r="AK266" s="34"/>
      <c r="AL266" s="29"/>
      <c r="AM266" s="29"/>
    </row>
    <row x14ac:dyDescent="0.25" r="267" customHeight="1" ht="15.75">
      <c r="A267" s="1"/>
      <c r="B267" s="34"/>
      <c r="C267" s="34"/>
      <c r="D267" s="34"/>
      <c r="E267" s="34"/>
      <c r="F267" s="34"/>
      <c r="G267" s="60"/>
      <c r="H267" s="60"/>
      <c r="I267" s="29"/>
      <c r="J267" s="29"/>
      <c r="K267" s="29"/>
      <c r="L267" s="29"/>
      <c r="M267" s="29"/>
      <c r="N267" s="29"/>
      <c r="O267" s="29"/>
      <c r="P267" s="29"/>
      <c r="Q267" s="34"/>
      <c r="R267" s="34"/>
      <c r="S267" s="29"/>
      <c r="T267" s="29"/>
      <c r="U267" s="29"/>
      <c r="V267" s="29"/>
      <c r="W267" s="29"/>
      <c r="X267" s="29"/>
      <c r="Y267" s="2"/>
      <c r="Z267" s="34"/>
      <c r="AA267" s="2"/>
      <c r="AB267" s="29"/>
      <c r="AC267" s="29"/>
      <c r="AD267" s="29"/>
      <c r="AE267" s="29"/>
      <c r="AF267" s="29"/>
      <c r="AG267" s="29"/>
      <c r="AH267" s="29"/>
      <c r="AI267" s="29"/>
      <c r="AJ267" s="34"/>
      <c r="AK267" s="34"/>
      <c r="AL267" s="29"/>
      <c r="AM267" s="29"/>
    </row>
    <row x14ac:dyDescent="0.25" r="268" customHeight="1" ht="15.75">
      <c r="A268" s="1"/>
      <c r="B268" s="34"/>
      <c r="C268" s="34"/>
      <c r="D268" s="34"/>
      <c r="E268" s="34"/>
      <c r="F268" s="34"/>
      <c r="G268" s="60"/>
      <c r="H268" s="60"/>
      <c r="I268" s="29"/>
      <c r="J268" s="29"/>
      <c r="K268" s="29"/>
      <c r="L268" s="29"/>
      <c r="M268" s="29"/>
      <c r="N268" s="29"/>
      <c r="O268" s="29"/>
      <c r="P268" s="29"/>
      <c r="Q268" s="34"/>
      <c r="R268" s="34"/>
      <c r="S268" s="29"/>
      <c r="T268" s="29"/>
      <c r="U268" s="29"/>
      <c r="V268" s="29"/>
      <c r="W268" s="29"/>
      <c r="X268" s="29"/>
      <c r="Y268" s="2"/>
      <c r="Z268" s="34"/>
      <c r="AA268" s="2"/>
      <c r="AB268" s="29"/>
      <c r="AC268" s="29"/>
      <c r="AD268" s="29"/>
      <c r="AE268" s="29"/>
      <c r="AF268" s="29"/>
      <c r="AG268" s="29"/>
      <c r="AH268" s="29"/>
      <c r="AI268" s="29"/>
      <c r="AJ268" s="34"/>
      <c r="AK268" s="34"/>
      <c r="AL268" s="29"/>
      <c r="AM268" s="29"/>
    </row>
    <row x14ac:dyDescent="0.25" r="269" customHeight="1" ht="15.75">
      <c r="A269" s="1"/>
      <c r="B269" s="34"/>
      <c r="C269" s="34"/>
      <c r="D269" s="34"/>
      <c r="E269" s="34"/>
      <c r="F269" s="34"/>
      <c r="G269" s="60"/>
      <c r="H269" s="60"/>
      <c r="I269" s="29"/>
      <c r="J269" s="29"/>
      <c r="K269" s="29"/>
      <c r="L269" s="29"/>
      <c r="M269" s="29"/>
      <c r="N269" s="29"/>
      <c r="O269" s="29"/>
      <c r="P269" s="29"/>
      <c r="Q269" s="34"/>
      <c r="R269" s="34"/>
      <c r="S269" s="29"/>
      <c r="T269" s="29"/>
      <c r="U269" s="29"/>
      <c r="V269" s="29"/>
      <c r="W269" s="29"/>
      <c r="X269" s="29"/>
      <c r="Y269" s="2"/>
      <c r="Z269" s="34"/>
      <c r="AA269" s="2"/>
      <c r="AB269" s="29"/>
      <c r="AC269" s="29"/>
      <c r="AD269" s="29"/>
      <c r="AE269" s="29"/>
      <c r="AF269" s="29"/>
      <c r="AG269" s="29"/>
      <c r="AH269" s="29"/>
      <c r="AI269" s="29"/>
      <c r="AJ269" s="34"/>
      <c r="AK269" s="34"/>
      <c r="AL269" s="29"/>
      <c r="AM269" s="29"/>
    </row>
    <row x14ac:dyDescent="0.25" r="270" customHeight="1" ht="15.75">
      <c r="A270" s="1"/>
      <c r="B270" s="34"/>
      <c r="C270" s="34"/>
      <c r="D270" s="34"/>
      <c r="E270" s="34"/>
      <c r="F270" s="34"/>
      <c r="G270" s="60"/>
      <c r="H270" s="60"/>
      <c r="I270" s="29"/>
      <c r="J270" s="29"/>
      <c r="K270" s="29"/>
      <c r="L270" s="29"/>
      <c r="M270" s="29"/>
      <c r="N270" s="29"/>
      <c r="O270" s="29"/>
      <c r="P270" s="29"/>
      <c r="Q270" s="34"/>
      <c r="R270" s="34"/>
      <c r="S270" s="29"/>
      <c r="T270" s="29"/>
      <c r="U270" s="29"/>
      <c r="V270" s="29"/>
      <c r="W270" s="29"/>
      <c r="X270" s="29"/>
      <c r="Y270" s="2"/>
      <c r="Z270" s="34"/>
      <c r="AA270" s="2"/>
      <c r="AB270" s="29"/>
      <c r="AC270" s="29"/>
      <c r="AD270" s="29"/>
      <c r="AE270" s="29"/>
      <c r="AF270" s="29"/>
      <c r="AG270" s="29"/>
      <c r="AH270" s="29"/>
      <c r="AI270" s="29"/>
      <c r="AJ270" s="34"/>
      <c r="AK270" s="34"/>
      <c r="AL270" s="29"/>
      <c r="AM270" s="29"/>
    </row>
    <row x14ac:dyDescent="0.25" r="271" customHeight="1" ht="15.75">
      <c r="A271" s="1"/>
      <c r="B271" s="34"/>
      <c r="C271" s="34"/>
      <c r="D271" s="34"/>
      <c r="E271" s="34"/>
      <c r="F271" s="34"/>
      <c r="G271" s="60"/>
      <c r="H271" s="60"/>
      <c r="I271" s="29"/>
      <c r="J271" s="29"/>
      <c r="K271" s="29"/>
      <c r="L271" s="29"/>
      <c r="M271" s="29"/>
      <c r="N271" s="29"/>
      <c r="O271" s="29"/>
      <c r="P271" s="29"/>
      <c r="Q271" s="34"/>
      <c r="R271" s="34"/>
      <c r="S271" s="29"/>
      <c r="T271" s="29"/>
      <c r="U271" s="29"/>
      <c r="V271" s="29"/>
      <c r="W271" s="29"/>
      <c r="X271" s="29"/>
      <c r="Y271" s="2"/>
      <c r="Z271" s="34"/>
      <c r="AA271" s="2"/>
      <c r="AB271" s="29"/>
      <c r="AC271" s="29"/>
      <c r="AD271" s="29"/>
      <c r="AE271" s="29"/>
      <c r="AF271" s="29"/>
      <c r="AG271" s="29"/>
      <c r="AH271" s="29"/>
      <c r="AI271" s="29"/>
      <c r="AJ271" s="34"/>
      <c r="AK271" s="34"/>
      <c r="AL271" s="29"/>
      <c r="AM271" s="29"/>
    </row>
    <row x14ac:dyDescent="0.25" r="272" customHeight="1" ht="15.75">
      <c r="A272" s="1"/>
      <c r="B272" s="34"/>
      <c r="C272" s="34"/>
      <c r="D272" s="34"/>
      <c r="E272" s="34"/>
      <c r="F272" s="34"/>
      <c r="G272" s="60"/>
      <c r="H272" s="60"/>
      <c r="I272" s="29"/>
      <c r="J272" s="29"/>
      <c r="K272" s="29"/>
      <c r="L272" s="29"/>
      <c r="M272" s="29"/>
      <c r="N272" s="29"/>
      <c r="O272" s="29"/>
      <c r="P272" s="29"/>
      <c r="Q272" s="34"/>
      <c r="R272" s="34"/>
      <c r="S272" s="29"/>
      <c r="T272" s="29"/>
      <c r="U272" s="29"/>
      <c r="V272" s="29"/>
      <c r="W272" s="29"/>
      <c r="X272" s="29"/>
      <c r="Y272" s="2"/>
      <c r="Z272" s="34"/>
      <c r="AA272" s="2"/>
      <c r="AB272" s="29"/>
      <c r="AC272" s="29"/>
      <c r="AD272" s="29"/>
      <c r="AE272" s="29"/>
      <c r="AF272" s="29"/>
      <c r="AG272" s="29"/>
      <c r="AH272" s="29"/>
      <c r="AI272" s="29"/>
      <c r="AJ272" s="34"/>
      <c r="AK272" s="34"/>
      <c r="AL272" s="29"/>
      <c r="AM272" s="29"/>
    </row>
    <row x14ac:dyDescent="0.25" r="273" customHeight="1" ht="15.75">
      <c r="A273" s="1"/>
      <c r="B273" s="34"/>
      <c r="C273" s="34"/>
      <c r="D273" s="34"/>
      <c r="E273" s="34"/>
      <c r="F273" s="34"/>
      <c r="G273" s="60"/>
      <c r="H273" s="60"/>
      <c r="I273" s="29"/>
      <c r="J273" s="29"/>
      <c r="K273" s="29"/>
      <c r="L273" s="29"/>
      <c r="M273" s="29"/>
      <c r="N273" s="29"/>
      <c r="O273" s="29"/>
      <c r="P273" s="29"/>
      <c r="Q273" s="34"/>
      <c r="R273" s="34"/>
      <c r="S273" s="29"/>
      <c r="T273" s="29"/>
      <c r="U273" s="29"/>
      <c r="V273" s="29"/>
      <c r="W273" s="29"/>
      <c r="X273" s="29"/>
      <c r="Y273" s="2"/>
      <c r="Z273" s="34"/>
      <c r="AA273" s="2"/>
      <c r="AB273" s="29"/>
      <c r="AC273" s="29"/>
      <c r="AD273" s="29"/>
      <c r="AE273" s="29"/>
      <c r="AF273" s="29"/>
      <c r="AG273" s="29"/>
      <c r="AH273" s="29"/>
      <c r="AI273" s="29"/>
      <c r="AJ273" s="34"/>
      <c r="AK273" s="34"/>
      <c r="AL273" s="29"/>
      <c r="AM273" s="29"/>
    </row>
    <row x14ac:dyDescent="0.25" r="274" customHeight="1" ht="15.75">
      <c r="A274" s="1"/>
      <c r="B274" s="34"/>
      <c r="C274" s="34"/>
      <c r="D274" s="34"/>
      <c r="E274" s="34"/>
      <c r="F274" s="34"/>
      <c r="G274" s="60"/>
      <c r="H274" s="60"/>
      <c r="I274" s="29"/>
      <c r="J274" s="29"/>
      <c r="K274" s="29"/>
      <c r="L274" s="29"/>
      <c r="M274" s="29"/>
      <c r="N274" s="29"/>
      <c r="O274" s="29"/>
      <c r="P274" s="29"/>
      <c r="Q274" s="34"/>
      <c r="R274" s="34"/>
      <c r="S274" s="29"/>
      <c r="T274" s="29"/>
      <c r="U274" s="29"/>
      <c r="V274" s="29"/>
      <c r="W274" s="29"/>
      <c r="X274" s="29"/>
      <c r="Y274" s="2"/>
      <c r="Z274" s="34"/>
      <c r="AA274" s="2"/>
      <c r="AB274" s="29"/>
      <c r="AC274" s="29"/>
      <c r="AD274" s="29"/>
      <c r="AE274" s="29"/>
      <c r="AF274" s="29"/>
      <c r="AG274" s="29"/>
      <c r="AH274" s="29"/>
      <c r="AI274" s="29"/>
      <c r="AJ274" s="34"/>
      <c r="AK274" s="34"/>
      <c r="AL274" s="29"/>
      <c r="AM274" s="29"/>
    </row>
    <row x14ac:dyDescent="0.25" r="275" customHeight="1" ht="15.75">
      <c r="A275" s="1"/>
      <c r="B275" s="34"/>
      <c r="C275" s="34"/>
      <c r="D275" s="34"/>
      <c r="E275" s="34"/>
      <c r="F275" s="34"/>
      <c r="G275" s="60"/>
      <c r="H275" s="60"/>
      <c r="I275" s="29"/>
      <c r="J275" s="29"/>
      <c r="K275" s="29"/>
      <c r="L275" s="29"/>
      <c r="M275" s="29"/>
      <c r="N275" s="29"/>
      <c r="O275" s="29"/>
      <c r="P275" s="29"/>
      <c r="Q275" s="34"/>
      <c r="R275" s="34"/>
      <c r="S275" s="29"/>
      <c r="T275" s="29"/>
      <c r="U275" s="29"/>
      <c r="V275" s="29"/>
      <c r="W275" s="29"/>
      <c r="X275" s="29"/>
      <c r="Y275" s="2"/>
      <c r="Z275" s="34"/>
      <c r="AA275" s="2"/>
      <c r="AB275" s="29"/>
      <c r="AC275" s="29"/>
      <c r="AD275" s="29"/>
      <c r="AE275" s="29"/>
      <c r="AF275" s="29"/>
      <c r="AG275" s="29"/>
      <c r="AH275" s="29"/>
      <c r="AI275" s="29"/>
      <c r="AJ275" s="34"/>
      <c r="AK275" s="34"/>
      <c r="AL275" s="29"/>
      <c r="AM275" s="29"/>
    </row>
    <row x14ac:dyDescent="0.25" r="276" customHeight="1" ht="15.75">
      <c r="A276" s="1"/>
      <c r="B276" s="34"/>
      <c r="C276" s="34"/>
      <c r="D276" s="34"/>
      <c r="E276" s="34"/>
      <c r="F276" s="34"/>
      <c r="G276" s="60"/>
      <c r="H276" s="60"/>
      <c r="I276" s="29"/>
      <c r="J276" s="29"/>
      <c r="K276" s="29"/>
      <c r="L276" s="29"/>
      <c r="M276" s="29"/>
      <c r="N276" s="29"/>
      <c r="O276" s="29"/>
      <c r="P276" s="29"/>
      <c r="Q276" s="34"/>
      <c r="R276" s="34"/>
      <c r="S276" s="29"/>
      <c r="T276" s="29"/>
      <c r="U276" s="29"/>
      <c r="V276" s="29"/>
      <c r="W276" s="29"/>
      <c r="X276" s="29"/>
      <c r="Y276" s="2"/>
      <c r="Z276" s="34"/>
      <c r="AA276" s="2"/>
      <c r="AB276" s="29"/>
      <c r="AC276" s="29"/>
      <c r="AD276" s="29"/>
      <c r="AE276" s="29"/>
      <c r="AF276" s="29"/>
      <c r="AG276" s="29"/>
      <c r="AH276" s="29"/>
      <c r="AI276" s="29"/>
      <c r="AJ276" s="34"/>
      <c r="AK276" s="34"/>
      <c r="AL276" s="29"/>
      <c r="AM276" s="29"/>
    </row>
    <row x14ac:dyDescent="0.25" r="277" customHeight="1" ht="15.75">
      <c r="A277" s="1"/>
      <c r="B277" s="34"/>
      <c r="C277" s="34"/>
      <c r="D277" s="34"/>
      <c r="E277" s="34"/>
      <c r="F277" s="34"/>
      <c r="G277" s="60"/>
      <c r="H277" s="60"/>
      <c r="I277" s="29"/>
      <c r="J277" s="29"/>
      <c r="K277" s="29"/>
      <c r="L277" s="29"/>
      <c r="M277" s="29"/>
      <c r="N277" s="29"/>
      <c r="O277" s="29"/>
      <c r="P277" s="29"/>
      <c r="Q277" s="34"/>
      <c r="R277" s="34"/>
      <c r="S277" s="29"/>
      <c r="T277" s="29"/>
      <c r="U277" s="29"/>
      <c r="V277" s="29"/>
      <c r="W277" s="29"/>
      <c r="X277" s="29"/>
      <c r="Y277" s="2"/>
      <c r="Z277" s="34"/>
      <c r="AA277" s="2"/>
      <c r="AB277" s="29"/>
      <c r="AC277" s="29"/>
      <c r="AD277" s="29"/>
      <c r="AE277" s="29"/>
      <c r="AF277" s="29"/>
      <c r="AG277" s="29"/>
      <c r="AH277" s="29"/>
      <c r="AI277" s="29"/>
      <c r="AJ277" s="34"/>
      <c r="AK277" s="34"/>
      <c r="AL277" s="29"/>
      <c r="AM277" s="29"/>
    </row>
    <row x14ac:dyDescent="0.25" r="278" customHeight="1" ht="15.75">
      <c r="A278" s="1"/>
      <c r="B278" s="34"/>
      <c r="C278" s="34"/>
      <c r="D278" s="34"/>
      <c r="E278" s="34"/>
      <c r="F278" s="34"/>
      <c r="G278" s="60"/>
      <c r="H278" s="60"/>
      <c r="I278" s="29"/>
      <c r="J278" s="29"/>
      <c r="K278" s="29"/>
      <c r="L278" s="29"/>
      <c r="M278" s="29"/>
      <c r="N278" s="29"/>
      <c r="O278" s="29"/>
      <c r="P278" s="29"/>
      <c r="Q278" s="34"/>
      <c r="R278" s="34"/>
      <c r="S278" s="29"/>
      <c r="T278" s="29"/>
      <c r="U278" s="29"/>
      <c r="V278" s="29"/>
      <c r="W278" s="29"/>
      <c r="X278" s="29"/>
      <c r="Y278" s="2"/>
      <c r="Z278" s="34"/>
      <c r="AA278" s="2"/>
      <c r="AB278" s="29"/>
      <c r="AC278" s="29"/>
      <c r="AD278" s="29"/>
      <c r="AE278" s="29"/>
      <c r="AF278" s="29"/>
      <c r="AG278" s="29"/>
      <c r="AH278" s="29"/>
      <c r="AI278" s="29"/>
      <c r="AJ278" s="34"/>
      <c r="AK278" s="34"/>
      <c r="AL278" s="29"/>
      <c r="AM278" s="29"/>
    </row>
    <row x14ac:dyDescent="0.25" r="279" customHeight="1" ht="15.75">
      <c r="A279" s="1"/>
      <c r="B279" s="34"/>
      <c r="C279" s="34"/>
      <c r="D279" s="34"/>
      <c r="E279" s="34"/>
      <c r="F279" s="34"/>
      <c r="G279" s="60"/>
      <c r="H279" s="60"/>
      <c r="I279" s="29"/>
      <c r="J279" s="29"/>
      <c r="K279" s="29"/>
      <c r="L279" s="29"/>
      <c r="M279" s="29"/>
      <c r="N279" s="29"/>
      <c r="O279" s="29"/>
      <c r="P279" s="29"/>
      <c r="Q279" s="34"/>
      <c r="R279" s="34"/>
      <c r="S279" s="29"/>
      <c r="T279" s="29"/>
      <c r="U279" s="29"/>
      <c r="V279" s="29"/>
      <c r="W279" s="29"/>
      <c r="X279" s="29"/>
      <c r="Y279" s="2"/>
      <c r="Z279" s="34"/>
      <c r="AA279" s="2"/>
      <c r="AB279" s="29"/>
      <c r="AC279" s="29"/>
      <c r="AD279" s="29"/>
      <c r="AE279" s="29"/>
      <c r="AF279" s="29"/>
      <c r="AG279" s="29"/>
      <c r="AH279" s="29"/>
      <c r="AI279" s="29"/>
      <c r="AJ279" s="34"/>
      <c r="AK279" s="34"/>
      <c r="AL279" s="29"/>
      <c r="AM279" s="29"/>
    </row>
    <row x14ac:dyDescent="0.25" r="280" customHeight="1" ht="15.75">
      <c r="A280" s="1"/>
      <c r="B280" s="34"/>
      <c r="C280" s="34"/>
      <c r="D280" s="34"/>
      <c r="E280" s="34"/>
      <c r="F280" s="34"/>
      <c r="G280" s="60"/>
      <c r="H280" s="60"/>
      <c r="I280" s="29"/>
      <c r="J280" s="29"/>
      <c r="K280" s="29"/>
      <c r="L280" s="29"/>
      <c r="M280" s="29"/>
      <c r="N280" s="29"/>
      <c r="O280" s="29"/>
      <c r="P280" s="29"/>
      <c r="Q280" s="34"/>
      <c r="R280" s="34"/>
      <c r="S280" s="29"/>
      <c r="T280" s="29"/>
      <c r="U280" s="29"/>
      <c r="V280" s="29"/>
      <c r="W280" s="29"/>
      <c r="X280" s="29"/>
      <c r="Y280" s="2"/>
      <c r="Z280" s="34"/>
      <c r="AA280" s="2"/>
      <c r="AB280" s="29"/>
      <c r="AC280" s="29"/>
      <c r="AD280" s="29"/>
      <c r="AE280" s="29"/>
      <c r="AF280" s="29"/>
      <c r="AG280" s="29"/>
      <c r="AH280" s="29"/>
      <c r="AI280" s="29"/>
      <c r="AJ280" s="34"/>
      <c r="AK280" s="34"/>
      <c r="AL280" s="29"/>
      <c r="AM280" s="29"/>
    </row>
    <row x14ac:dyDescent="0.25" r="281" customHeight="1" ht="15.75">
      <c r="A281" s="1"/>
      <c r="B281" s="34"/>
      <c r="C281" s="34"/>
      <c r="D281" s="34"/>
      <c r="E281" s="34"/>
      <c r="F281" s="34"/>
      <c r="G281" s="60"/>
      <c r="H281" s="60"/>
      <c r="I281" s="29"/>
      <c r="J281" s="29"/>
      <c r="K281" s="29"/>
      <c r="L281" s="29"/>
      <c r="M281" s="29"/>
      <c r="N281" s="29"/>
      <c r="O281" s="29"/>
      <c r="P281" s="29"/>
      <c r="Q281" s="34"/>
      <c r="R281" s="34"/>
      <c r="S281" s="29"/>
      <c r="T281" s="29"/>
      <c r="U281" s="29"/>
      <c r="V281" s="29"/>
      <c r="W281" s="29"/>
      <c r="X281" s="29"/>
      <c r="Y281" s="2"/>
      <c r="Z281" s="34"/>
      <c r="AA281" s="2"/>
      <c r="AB281" s="29"/>
      <c r="AC281" s="29"/>
      <c r="AD281" s="29"/>
      <c r="AE281" s="29"/>
      <c r="AF281" s="29"/>
      <c r="AG281" s="29"/>
      <c r="AH281" s="29"/>
      <c r="AI281" s="29"/>
      <c r="AJ281" s="34"/>
      <c r="AK281" s="34"/>
      <c r="AL281" s="29"/>
      <c r="AM281" s="29"/>
    </row>
    <row x14ac:dyDescent="0.25" r="282" customHeight="1" ht="15.75">
      <c r="A282" s="1"/>
      <c r="B282" s="34"/>
      <c r="C282" s="34"/>
      <c r="D282" s="34"/>
      <c r="E282" s="34"/>
      <c r="F282" s="34"/>
      <c r="G282" s="60"/>
      <c r="H282" s="60"/>
      <c r="I282" s="29"/>
      <c r="J282" s="29"/>
      <c r="K282" s="29"/>
      <c r="L282" s="29"/>
      <c r="M282" s="29"/>
      <c r="N282" s="29"/>
      <c r="O282" s="29"/>
      <c r="P282" s="29"/>
      <c r="Q282" s="34"/>
      <c r="R282" s="34"/>
      <c r="S282" s="29"/>
      <c r="T282" s="29"/>
      <c r="U282" s="29"/>
      <c r="V282" s="29"/>
      <c r="W282" s="29"/>
      <c r="X282" s="29"/>
      <c r="Y282" s="2"/>
      <c r="Z282" s="34"/>
      <c r="AA282" s="2"/>
      <c r="AB282" s="29"/>
      <c r="AC282" s="29"/>
      <c r="AD282" s="29"/>
      <c r="AE282" s="29"/>
      <c r="AF282" s="29"/>
      <c r="AG282" s="29"/>
      <c r="AH282" s="29"/>
      <c r="AI282" s="29"/>
      <c r="AJ282" s="34"/>
      <c r="AK282" s="34"/>
      <c r="AL282" s="29"/>
      <c r="AM282" s="29"/>
    </row>
    <row x14ac:dyDescent="0.25" r="283" customHeight="1" ht="15.75">
      <c r="A283" s="1"/>
      <c r="B283" s="34"/>
      <c r="C283" s="34"/>
      <c r="D283" s="34"/>
      <c r="E283" s="34"/>
      <c r="F283" s="34"/>
      <c r="G283" s="60"/>
      <c r="H283" s="60"/>
      <c r="I283" s="29"/>
      <c r="J283" s="29"/>
      <c r="K283" s="29"/>
      <c r="L283" s="29"/>
      <c r="M283" s="29"/>
      <c r="N283" s="29"/>
      <c r="O283" s="29"/>
      <c r="P283" s="29"/>
      <c r="Q283" s="34"/>
      <c r="R283" s="34"/>
      <c r="S283" s="29"/>
      <c r="T283" s="29"/>
      <c r="U283" s="29"/>
      <c r="V283" s="29"/>
      <c r="W283" s="29"/>
      <c r="X283" s="29"/>
      <c r="Y283" s="2"/>
      <c r="Z283" s="34"/>
      <c r="AA283" s="2"/>
      <c r="AB283" s="29"/>
      <c r="AC283" s="29"/>
      <c r="AD283" s="29"/>
      <c r="AE283" s="29"/>
      <c r="AF283" s="29"/>
      <c r="AG283" s="29"/>
      <c r="AH283" s="29"/>
      <c r="AI283" s="29"/>
      <c r="AJ283" s="34"/>
      <c r="AK283" s="34"/>
      <c r="AL283" s="29"/>
      <c r="AM283" s="29"/>
    </row>
    <row x14ac:dyDescent="0.25" r="284" customHeight="1" ht="15.75">
      <c r="A284" s="1"/>
      <c r="B284" s="34"/>
      <c r="C284" s="34"/>
      <c r="D284" s="34"/>
      <c r="E284" s="34"/>
      <c r="F284" s="34"/>
      <c r="G284" s="60"/>
      <c r="H284" s="60"/>
      <c r="I284" s="29"/>
      <c r="J284" s="29"/>
      <c r="K284" s="29"/>
      <c r="L284" s="29"/>
      <c r="M284" s="29"/>
      <c r="N284" s="29"/>
      <c r="O284" s="29"/>
      <c r="P284" s="29"/>
      <c r="Q284" s="34"/>
      <c r="R284" s="34"/>
      <c r="S284" s="29"/>
      <c r="T284" s="29"/>
      <c r="U284" s="29"/>
      <c r="V284" s="29"/>
      <c r="W284" s="29"/>
      <c r="X284" s="29"/>
      <c r="Y284" s="2"/>
      <c r="Z284" s="34"/>
      <c r="AA284" s="2"/>
      <c r="AB284" s="29"/>
      <c r="AC284" s="29"/>
      <c r="AD284" s="29"/>
      <c r="AE284" s="29"/>
      <c r="AF284" s="29"/>
      <c r="AG284" s="29"/>
      <c r="AH284" s="29"/>
      <c r="AI284" s="29"/>
      <c r="AJ284" s="34"/>
      <c r="AK284" s="34"/>
      <c r="AL284" s="29"/>
      <c r="AM284" s="29"/>
    </row>
    <row x14ac:dyDescent="0.25" r="285" customHeight="1" ht="15.75">
      <c r="A285" s="1"/>
      <c r="B285" s="34"/>
      <c r="C285" s="34"/>
      <c r="D285" s="34"/>
      <c r="E285" s="34"/>
      <c r="F285" s="34"/>
      <c r="G285" s="60"/>
      <c r="H285" s="60"/>
      <c r="I285" s="29"/>
      <c r="J285" s="29"/>
      <c r="K285" s="29"/>
      <c r="L285" s="29"/>
      <c r="M285" s="29"/>
      <c r="N285" s="29"/>
      <c r="O285" s="29"/>
      <c r="P285" s="29"/>
      <c r="Q285" s="34"/>
      <c r="R285" s="34"/>
      <c r="S285" s="29"/>
      <c r="T285" s="29"/>
      <c r="U285" s="29"/>
      <c r="V285" s="29"/>
      <c r="W285" s="29"/>
      <c r="X285" s="29"/>
      <c r="Y285" s="2"/>
      <c r="Z285" s="34"/>
      <c r="AA285" s="2"/>
      <c r="AB285" s="29"/>
      <c r="AC285" s="29"/>
      <c r="AD285" s="29"/>
      <c r="AE285" s="29"/>
      <c r="AF285" s="29"/>
      <c r="AG285" s="29"/>
      <c r="AH285" s="29"/>
      <c r="AI285" s="29"/>
      <c r="AJ285" s="34"/>
      <c r="AK285" s="34"/>
      <c r="AL285" s="29"/>
      <c r="AM285" s="29"/>
    </row>
    <row x14ac:dyDescent="0.25" r="286" customHeight="1" ht="15.75">
      <c r="A286" s="1"/>
      <c r="B286" s="34"/>
      <c r="C286" s="34"/>
      <c r="D286" s="34"/>
      <c r="E286" s="34"/>
      <c r="F286" s="34"/>
      <c r="G286" s="60"/>
      <c r="H286" s="60"/>
      <c r="I286" s="29"/>
      <c r="J286" s="29"/>
      <c r="K286" s="29"/>
      <c r="L286" s="29"/>
      <c r="M286" s="29"/>
      <c r="N286" s="29"/>
      <c r="O286" s="29"/>
      <c r="P286" s="29"/>
      <c r="Q286" s="34"/>
      <c r="R286" s="34"/>
      <c r="S286" s="29"/>
      <c r="T286" s="29"/>
      <c r="U286" s="29"/>
      <c r="V286" s="29"/>
      <c r="W286" s="29"/>
      <c r="X286" s="29"/>
      <c r="Y286" s="2"/>
      <c r="Z286" s="34"/>
      <c r="AA286" s="2"/>
      <c r="AB286" s="29"/>
      <c r="AC286" s="29"/>
      <c r="AD286" s="29"/>
      <c r="AE286" s="29"/>
      <c r="AF286" s="29"/>
      <c r="AG286" s="29"/>
      <c r="AH286" s="29"/>
      <c r="AI286" s="29"/>
      <c r="AJ286" s="34"/>
      <c r="AK286" s="34"/>
      <c r="AL286" s="29"/>
      <c r="AM286" s="29"/>
    </row>
    <row x14ac:dyDescent="0.25" r="287" customHeight="1" ht="15.75">
      <c r="A287" s="1"/>
      <c r="B287" s="34"/>
      <c r="C287" s="34"/>
      <c r="D287" s="34"/>
      <c r="E287" s="34"/>
      <c r="F287" s="34"/>
      <c r="G287" s="60"/>
      <c r="H287" s="60"/>
      <c r="I287" s="29"/>
      <c r="J287" s="29"/>
      <c r="K287" s="29"/>
      <c r="L287" s="29"/>
      <c r="M287" s="29"/>
      <c r="N287" s="29"/>
      <c r="O287" s="29"/>
      <c r="P287" s="29"/>
      <c r="Q287" s="34"/>
      <c r="R287" s="34"/>
      <c r="S287" s="29"/>
      <c r="T287" s="29"/>
      <c r="U287" s="29"/>
      <c r="V287" s="29"/>
      <c r="W287" s="29"/>
      <c r="X287" s="29"/>
      <c r="Y287" s="2"/>
      <c r="Z287" s="34"/>
      <c r="AA287" s="2"/>
      <c r="AB287" s="29"/>
      <c r="AC287" s="29"/>
      <c r="AD287" s="29"/>
      <c r="AE287" s="29"/>
      <c r="AF287" s="29"/>
      <c r="AG287" s="29"/>
      <c r="AH287" s="29"/>
      <c r="AI287" s="29"/>
      <c r="AJ287" s="34"/>
      <c r="AK287" s="34"/>
      <c r="AL287" s="29"/>
      <c r="AM287" s="29"/>
    </row>
    <row x14ac:dyDescent="0.25" r="288" customHeight="1" ht="15.75">
      <c r="A288" s="1"/>
      <c r="B288" s="34"/>
      <c r="C288" s="34"/>
      <c r="D288" s="34"/>
      <c r="E288" s="34"/>
      <c r="F288" s="34"/>
      <c r="G288" s="60"/>
      <c r="H288" s="60"/>
      <c r="I288" s="29"/>
      <c r="J288" s="29"/>
      <c r="K288" s="29"/>
      <c r="L288" s="29"/>
      <c r="M288" s="29"/>
      <c r="N288" s="29"/>
      <c r="O288" s="29"/>
      <c r="P288" s="29"/>
      <c r="Q288" s="34"/>
      <c r="R288" s="34"/>
      <c r="S288" s="29"/>
      <c r="T288" s="29"/>
      <c r="U288" s="29"/>
      <c r="V288" s="29"/>
      <c r="W288" s="29"/>
      <c r="X288" s="29"/>
      <c r="Y288" s="2"/>
      <c r="Z288" s="34"/>
      <c r="AA288" s="2"/>
      <c r="AB288" s="29"/>
      <c r="AC288" s="29"/>
      <c r="AD288" s="29"/>
      <c r="AE288" s="29"/>
      <c r="AF288" s="29"/>
      <c r="AG288" s="29"/>
      <c r="AH288" s="29"/>
      <c r="AI288" s="29"/>
      <c r="AJ288" s="34"/>
      <c r="AK288" s="34"/>
      <c r="AL288" s="29"/>
      <c r="AM288" s="29"/>
    </row>
    <row x14ac:dyDescent="0.25" r="289" customHeight="1" ht="15.75">
      <c r="A289" s="1"/>
      <c r="B289" s="34"/>
      <c r="C289" s="34"/>
      <c r="D289" s="34"/>
      <c r="E289" s="34"/>
      <c r="F289" s="34"/>
      <c r="G289" s="60"/>
      <c r="H289" s="60"/>
      <c r="I289" s="29"/>
      <c r="J289" s="29"/>
      <c r="K289" s="29"/>
      <c r="L289" s="29"/>
      <c r="M289" s="29"/>
      <c r="N289" s="29"/>
      <c r="O289" s="29"/>
      <c r="P289" s="29"/>
      <c r="Q289" s="34"/>
      <c r="R289" s="34"/>
      <c r="S289" s="29"/>
      <c r="T289" s="29"/>
      <c r="U289" s="29"/>
      <c r="V289" s="29"/>
      <c r="W289" s="29"/>
      <c r="X289" s="29"/>
      <c r="Y289" s="2"/>
      <c r="Z289" s="34"/>
      <c r="AA289" s="2"/>
      <c r="AB289" s="29"/>
      <c r="AC289" s="29"/>
      <c r="AD289" s="29"/>
      <c r="AE289" s="29"/>
      <c r="AF289" s="29"/>
      <c r="AG289" s="29"/>
      <c r="AH289" s="29"/>
      <c r="AI289" s="29"/>
      <c r="AJ289" s="34"/>
      <c r="AK289" s="34"/>
      <c r="AL289" s="29"/>
      <c r="AM289" s="29"/>
    </row>
    <row x14ac:dyDescent="0.25" r="290" customHeight="1" ht="15.75">
      <c r="A290" s="1"/>
      <c r="B290" s="34"/>
      <c r="C290" s="34"/>
      <c r="D290" s="34"/>
      <c r="E290" s="34"/>
      <c r="F290" s="34"/>
      <c r="G290" s="60"/>
      <c r="H290" s="60"/>
      <c r="I290" s="29"/>
      <c r="J290" s="29"/>
      <c r="K290" s="29"/>
      <c r="L290" s="29"/>
      <c r="M290" s="29"/>
      <c r="N290" s="29"/>
      <c r="O290" s="29"/>
      <c r="P290" s="29"/>
      <c r="Q290" s="34"/>
      <c r="R290" s="34"/>
      <c r="S290" s="29"/>
      <c r="T290" s="29"/>
      <c r="U290" s="29"/>
      <c r="V290" s="29"/>
      <c r="W290" s="29"/>
      <c r="X290" s="29"/>
      <c r="Y290" s="2"/>
      <c r="Z290" s="34"/>
      <c r="AA290" s="2"/>
      <c r="AB290" s="29"/>
      <c r="AC290" s="29"/>
      <c r="AD290" s="29"/>
      <c r="AE290" s="29"/>
      <c r="AF290" s="29"/>
      <c r="AG290" s="29"/>
      <c r="AH290" s="29"/>
      <c r="AI290" s="29"/>
      <c r="AJ290" s="34"/>
      <c r="AK290" s="34"/>
      <c r="AL290" s="29"/>
      <c r="AM290" s="29"/>
    </row>
    <row x14ac:dyDescent="0.25" r="291" customHeight="1" ht="15.75">
      <c r="A291" s="1"/>
      <c r="B291" s="34"/>
      <c r="C291" s="34"/>
      <c r="D291" s="34"/>
      <c r="E291" s="34"/>
      <c r="F291" s="34"/>
      <c r="G291" s="60"/>
      <c r="H291" s="60"/>
      <c r="I291" s="29"/>
      <c r="J291" s="29"/>
      <c r="K291" s="29"/>
      <c r="L291" s="29"/>
      <c r="M291" s="29"/>
      <c r="N291" s="29"/>
      <c r="O291" s="29"/>
      <c r="P291" s="29"/>
      <c r="Q291" s="34"/>
      <c r="R291" s="34"/>
      <c r="S291" s="29"/>
      <c r="T291" s="29"/>
      <c r="U291" s="29"/>
      <c r="V291" s="29"/>
      <c r="W291" s="29"/>
      <c r="X291" s="29"/>
      <c r="Y291" s="2"/>
      <c r="Z291" s="34"/>
      <c r="AA291" s="2"/>
      <c r="AB291" s="29"/>
      <c r="AC291" s="29"/>
      <c r="AD291" s="29"/>
      <c r="AE291" s="29"/>
      <c r="AF291" s="29"/>
      <c r="AG291" s="29"/>
      <c r="AH291" s="29"/>
      <c r="AI291" s="29"/>
      <c r="AJ291" s="34"/>
      <c r="AK291" s="34"/>
      <c r="AL291" s="29"/>
      <c r="AM291" s="29"/>
    </row>
    <row x14ac:dyDescent="0.25" r="292" customHeight="1" ht="15.75">
      <c r="A292" s="1"/>
      <c r="B292" s="34"/>
      <c r="C292" s="34"/>
      <c r="D292" s="34"/>
      <c r="E292" s="34"/>
      <c r="F292" s="34"/>
      <c r="G292" s="60"/>
      <c r="H292" s="60"/>
      <c r="I292" s="29"/>
      <c r="J292" s="29"/>
      <c r="K292" s="29"/>
      <c r="L292" s="29"/>
      <c r="M292" s="29"/>
      <c r="N292" s="29"/>
      <c r="O292" s="29"/>
      <c r="P292" s="29"/>
      <c r="Q292" s="34"/>
      <c r="R292" s="34"/>
      <c r="S292" s="29"/>
      <c r="T292" s="29"/>
      <c r="U292" s="29"/>
      <c r="V292" s="29"/>
      <c r="W292" s="29"/>
      <c r="X292" s="29"/>
      <c r="Y292" s="2"/>
      <c r="Z292" s="34"/>
      <c r="AA292" s="2"/>
      <c r="AB292" s="29"/>
      <c r="AC292" s="29"/>
      <c r="AD292" s="29"/>
      <c r="AE292" s="29"/>
      <c r="AF292" s="29"/>
      <c r="AG292" s="29"/>
      <c r="AH292" s="29"/>
      <c r="AI292" s="29"/>
      <c r="AJ292" s="34"/>
      <c r="AK292" s="34"/>
      <c r="AL292" s="29"/>
      <c r="AM292" s="29"/>
    </row>
    <row x14ac:dyDescent="0.25" r="293" customHeight="1" ht="15.75">
      <c r="A293" s="1"/>
      <c r="B293" s="34"/>
      <c r="C293" s="34"/>
      <c r="D293" s="34"/>
      <c r="E293" s="34"/>
      <c r="F293" s="34"/>
      <c r="G293" s="60"/>
      <c r="H293" s="60"/>
      <c r="I293" s="29"/>
      <c r="J293" s="29"/>
      <c r="K293" s="29"/>
      <c r="L293" s="29"/>
      <c r="M293" s="29"/>
      <c r="N293" s="29"/>
      <c r="O293" s="29"/>
      <c r="P293" s="29"/>
      <c r="Q293" s="34"/>
      <c r="R293" s="34"/>
      <c r="S293" s="29"/>
      <c r="T293" s="29"/>
      <c r="U293" s="29"/>
      <c r="V293" s="29"/>
      <c r="W293" s="29"/>
      <c r="X293" s="29"/>
      <c r="Y293" s="2"/>
      <c r="Z293" s="34"/>
      <c r="AA293" s="2"/>
      <c r="AB293" s="29"/>
      <c r="AC293" s="29"/>
      <c r="AD293" s="29"/>
      <c r="AE293" s="29"/>
      <c r="AF293" s="29"/>
      <c r="AG293" s="29"/>
      <c r="AH293" s="29"/>
      <c r="AI293" s="29"/>
      <c r="AJ293" s="34"/>
      <c r="AK293" s="34"/>
      <c r="AL293" s="29"/>
      <c r="AM293" s="29"/>
    </row>
    <row x14ac:dyDescent="0.25" r="294" customHeight="1" ht="15.75">
      <c r="A294" s="1"/>
      <c r="B294" s="34"/>
      <c r="C294" s="34"/>
      <c r="D294" s="34"/>
      <c r="E294" s="34"/>
      <c r="F294" s="34"/>
      <c r="G294" s="60"/>
      <c r="H294" s="60"/>
      <c r="I294" s="29"/>
      <c r="J294" s="29"/>
      <c r="K294" s="29"/>
      <c r="L294" s="29"/>
      <c r="M294" s="29"/>
      <c r="N294" s="29"/>
      <c r="O294" s="29"/>
      <c r="P294" s="29"/>
      <c r="Q294" s="34"/>
      <c r="R294" s="34"/>
      <c r="S294" s="29"/>
      <c r="T294" s="29"/>
      <c r="U294" s="29"/>
      <c r="V294" s="29"/>
      <c r="W294" s="29"/>
      <c r="X294" s="29"/>
      <c r="Y294" s="2"/>
      <c r="Z294" s="34"/>
      <c r="AA294" s="2"/>
      <c r="AB294" s="29"/>
      <c r="AC294" s="29"/>
      <c r="AD294" s="29"/>
      <c r="AE294" s="29"/>
      <c r="AF294" s="29"/>
      <c r="AG294" s="29"/>
      <c r="AH294" s="29"/>
      <c r="AI294" s="29"/>
      <c r="AJ294" s="34"/>
      <c r="AK294" s="34"/>
      <c r="AL294" s="29"/>
      <c r="AM294" s="29"/>
    </row>
    <row x14ac:dyDescent="0.25" r="295" customHeight="1" ht="15.75">
      <c r="A295" s="1"/>
      <c r="B295" s="34"/>
      <c r="C295" s="34"/>
      <c r="D295" s="34"/>
      <c r="E295" s="34"/>
      <c r="F295" s="34"/>
      <c r="G295" s="60"/>
      <c r="H295" s="60"/>
      <c r="I295" s="29"/>
      <c r="J295" s="29"/>
      <c r="K295" s="29"/>
      <c r="L295" s="29"/>
      <c r="M295" s="29"/>
      <c r="N295" s="29"/>
      <c r="O295" s="29"/>
      <c r="P295" s="29"/>
      <c r="Q295" s="34"/>
      <c r="R295" s="34"/>
      <c r="S295" s="29"/>
      <c r="T295" s="29"/>
      <c r="U295" s="29"/>
      <c r="V295" s="29"/>
      <c r="W295" s="29"/>
      <c r="X295" s="29"/>
      <c r="Y295" s="2"/>
      <c r="Z295" s="34"/>
      <c r="AA295" s="2"/>
      <c r="AB295" s="29"/>
      <c r="AC295" s="29"/>
      <c r="AD295" s="29"/>
      <c r="AE295" s="29"/>
      <c r="AF295" s="29"/>
      <c r="AG295" s="29"/>
      <c r="AH295" s="29"/>
      <c r="AI295" s="29"/>
      <c r="AJ295" s="34"/>
      <c r="AK295" s="34"/>
      <c r="AL295" s="29"/>
      <c r="AM295" s="29"/>
    </row>
    <row x14ac:dyDescent="0.25" r="296" customHeight="1" ht="15.75">
      <c r="A296" s="1"/>
      <c r="B296" s="34"/>
      <c r="C296" s="34"/>
      <c r="D296" s="34"/>
      <c r="E296" s="34"/>
      <c r="F296" s="34"/>
      <c r="G296" s="60"/>
      <c r="H296" s="60"/>
      <c r="I296" s="29"/>
      <c r="J296" s="29"/>
      <c r="K296" s="29"/>
      <c r="L296" s="29"/>
      <c r="M296" s="29"/>
      <c r="N296" s="29"/>
      <c r="O296" s="29"/>
      <c r="P296" s="29"/>
      <c r="Q296" s="34"/>
      <c r="R296" s="34"/>
      <c r="S296" s="29"/>
      <c r="T296" s="29"/>
      <c r="U296" s="29"/>
      <c r="V296" s="29"/>
      <c r="W296" s="29"/>
      <c r="X296" s="29"/>
      <c r="Y296" s="2"/>
      <c r="Z296" s="34"/>
      <c r="AA296" s="2"/>
      <c r="AB296" s="29"/>
      <c r="AC296" s="29"/>
      <c r="AD296" s="29"/>
      <c r="AE296" s="29"/>
      <c r="AF296" s="29"/>
      <c r="AG296" s="29"/>
      <c r="AH296" s="29"/>
      <c r="AI296" s="29"/>
      <c r="AJ296" s="34"/>
      <c r="AK296" s="34"/>
      <c r="AL296" s="29"/>
      <c r="AM296" s="29"/>
    </row>
    <row x14ac:dyDescent="0.25" r="297" customHeight="1" ht="15.75">
      <c r="A297" s="1"/>
      <c r="B297" s="34"/>
      <c r="C297" s="34"/>
      <c r="D297" s="34"/>
      <c r="E297" s="34"/>
      <c r="F297" s="34"/>
      <c r="G297" s="60"/>
      <c r="H297" s="60"/>
      <c r="I297" s="29"/>
      <c r="J297" s="29"/>
      <c r="K297" s="29"/>
      <c r="L297" s="29"/>
      <c r="M297" s="29"/>
      <c r="N297" s="29"/>
      <c r="O297" s="29"/>
      <c r="P297" s="29"/>
      <c r="Q297" s="34"/>
      <c r="R297" s="34"/>
      <c r="S297" s="29"/>
      <c r="T297" s="29"/>
      <c r="U297" s="29"/>
      <c r="V297" s="29"/>
      <c r="W297" s="29"/>
      <c r="X297" s="29"/>
      <c r="Y297" s="2"/>
      <c r="Z297" s="34"/>
      <c r="AA297" s="2"/>
      <c r="AB297" s="29"/>
      <c r="AC297" s="29"/>
      <c r="AD297" s="29"/>
      <c r="AE297" s="29"/>
      <c r="AF297" s="29"/>
      <c r="AG297" s="29"/>
      <c r="AH297" s="29"/>
      <c r="AI297" s="29"/>
      <c r="AJ297" s="34"/>
      <c r="AK297" s="34"/>
      <c r="AL297" s="29"/>
      <c r="AM297" s="29"/>
    </row>
    <row x14ac:dyDescent="0.25" r="298" customHeight="1" ht="15.75">
      <c r="A298" s="1"/>
      <c r="B298" s="34"/>
      <c r="C298" s="34"/>
      <c r="D298" s="34"/>
      <c r="E298" s="34"/>
      <c r="F298" s="34"/>
      <c r="G298" s="60"/>
      <c r="H298" s="60"/>
      <c r="I298" s="29"/>
      <c r="J298" s="29"/>
      <c r="K298" s="29"/>
      <c r="L298" s="29"/>
      <c r="M298" s="29"/>
      <c r="N298" s="29"/>
      <c r="O298" s="29"/>
      <c r="P298" s="29"/>
      <c r="Q298" s="34"/>
      <c r="R298" s="34"/>
      <c r="S298" s="29"/>
      <c r="T298" s="29"/>
      <c r="U298" s="29"/>
      <c r="V298" s="29"/>
      <c r="W298" s="29"/>
      <c r="X298" s="29"/>
      <c r="Y298" s="2"/>
      <c r="Z298" s="34"/>
      <c r="AA298" s="2"/>
      <c r="AB298" s="29"/>
      <c r="AC298" s="29"/>
      <c r="AD298" s="29"/>
      <c r="AE298" s="29"/>
      <c r="AF298" s="29"/>
      <c r="AG298" s="29"/>
      <c r="AH298" s="29"/>
      <c r="AI298" s="29"/>
      <c r="AJ298" s="34"/>
      <c r="AK298" s="34"/>
      <c r="AL298" s="29"/>
      <c r="AM298" s="29"/>
    </row>
    <row x14ac:dyDescent="0.25" r="299" customHeight="1" ht="15.75">
      <c r="A299" s="1"/>
      <c r="B299" s="34"/>
      <c r="C299" s="34"/>
      <c r="D299" s="34"/>
      <c r="E299" s="34"/>
      <c r="F299" s="34"/>
      <c r="G299" s="60"/>
      <c r="H299" s="60"/>
      <c r="I299" s="29"/>
      <c r="J299" s="29"/>
      <c r="K299" s="29"/>
      <c r="L299" s="29"/>
      <c r="M299" s="29"/>
      <c r="N299" s="29"/>
      <c r="O299" s="29"/>
      <c r="P299" s="29"/>
      <c r="Q299" s="34"/>
      <c r="R299" s="34"/>
      <c r="S299" s="29"/>
      <c r="T299" s="29"/>
      <c r="U299" s="29"/>
      <c r="V299" s="29"/>
      <c r="W299" s="29"/>
      <c r="X299" s="29"/>
      <c r="Y299" s="2"/>
      <c r="Z299" s="34"/>
      <c r="AA299" s="2"/>
      <c r="AB299" s="29"/>
      <c r="AC299" s="29"/>
      <c r="AD299" s="29"/>
      <c r="AE299" s="29"/>
      <c r="AF299" s="29"/>
      <c r="AG299" s="29"/>
      <c r="AH299" s="29"/>
      <c r="AI299" s="29"/>
      <c r="AJ299" s="34"/>
      <c r="AK299" s="34"/>
      <c r="AL299" s="29"/>
      <c r="AM299" s="29"/>
    </row>
    <row x14ac:dyDescent="0.25" r="300" customHeight="1" ht="15.75">
      <c r="A300" s="1"/>
      <c r="B300" s="34"/>
      <c r="C300" s="34"/>
      <c r="D300" s="34"/>
      <c r="E300" s="34"/>
      <c r="F300" s="34"/>
      <c r="G300" s="60"/>
      <c r="H300" s="60"/>
      <c r="I300" s="29"/>
      <c r="J300" s="29"/>
      <c r="K300" s="29"/>
      <c r="L300" s="29"/>
      <c r="M300" s="29"/>
      <c r="N300" s="29"/>
      <c r="O300" s="29"/>
      <c r="P300" s="29"/>
      <c r="Q300" s="34"/>
      <c r="R300" s="34"/>
      <c r="S300" s="29"/>
      <c r="T300" s="29"/>
      <c r="U300" s="29"/>
      <c r="V300" s="29"/>
      <c r="W300" s="29"/>
      <c r="X300" s="29"/>
      <c r="Y300" s="2"/>
      <c r="Z300" s="34"/>
      <c r="AA300" s="2"/>
      <c r="AB300" s="29"/>
      <c r="AC300" s="29"/>
      <c r="AD300" s="29"/>
      <c r="AE300" s="29"/>
      <c r="AF300" s="29"/>
      <c r="AG300" s="29"/>
      <c r="AH300" s="29"/>
      <c r="AI300" s="29"/>
      <c r="AJ300" s="34"/>
      <c r="AK300" s="34"/>
      <c r="AL300" s="29"/>
      <c r="AM300" s="29"/>
    </row>
    <row x14ac:dyDescent="0.25" r="301" customHeight="1" ht="15.75">
      <c r="A301" s="1"/>
      <c r="B301" s="34"/>
      <c r="C301" s="34"/>
      <c r="D301" s="34"/>
      <c r="E301" s="34"/>
      <c r="F301" s="34"/>
      <c r="G301" s="60"/>
      <c r="H301" s="60"/>
      <c r="I301" s="29"/>
      <c r="J301" s="29"/>
      <c r="K301" s="29"/>
      <c r="L301" s="29"/>
      <c r="M301" s="29"/>
      <c r="N301" s="29"/>
      <c r="O301" s="29"/>
      <c r="P301" s="29"/>
      <c r="Q301" s="34"/>
      <c r="R301" s="34"/>
      <c r="S301" s="29"/>
      <c r="T301" s="29"/>
      <c r="U301" s="29"/>
      <c r="V301" s="29"/>
      <c r="W301" s="29"/>
      <c r="X301" s="29"/>
      <c r="Y301" s="2"/>
      <c r="Z301" s="34"/>
      <c r="AA301" s="2"/>
      <c r="AB301" s="29"/>
      <c r="AC301" s="29"/>
      <c r="AD301" s="29"/>
      <c r="AE301" s="29"/>
      <c r="AF301" s="29"/>
      <c r="AG301" s="29"/>
      <c r="AH301" s="29"/>
      <c r="AI301" s="29"/>
      <c r="AJ301" s="34"/>
      <c r="AK301" s="34"/>
      <c r="AL301" s="29"/>
      <c r="AM301" s="29"/>
    </row>
    <row x14ac:dyDescent="0.25" r="302" customHeight="1" ht="15.75">
      <c r="A302" s="1"/>
      <c r="B302" s="34"/>
      <c r="C302" s="34"/>
      <c r="D302" s="34"/>
      <c r="E302" s="34"/>
      <c r="F302" s="34"/>
      <c r="G302" s="60"/>
      <c r="H302" s="60"/>
      <c r="I302" s="29"/>
      <c r="J302" s="29"/>
      <c r="K302" s="29"/>
      <c r="L302" s="29"/>
      <c r="M302" s="29"/>
      <c r="N302" s="29"/>
      <c r="O302" s="29"/>
      <c r="P302" s="29"/>
      <c r="Q302" s="34"/>
      <c r="R302" s="34"/>
      <c r="S302" s="29"/>
      <c r="T302" s="29"/>
      <c r="U302" s="29"/>
      <c r="V302" s="29"/>
      <c r="W302" s="29"/>
      <c r="X302" s="29"/>
      <c r="Y302" s="2"/>
      <c r="Z302" s="34"/>
      <c r="AA302" s="2"/>
      <c r="AB302" s="29"/>
      <c r="AC302" s="29"/>
      <c r="AD302" s="29"/>
      <c r="AE302" s="29"/>
      <c r="AF302" s="29"/>
      <c r="AG302" s="29"/>
      <c r="AH302" s="29"/>
      <c r="AI302" s="29"/>
      <c r="AJ302" s="34"/>
      <c r="AK302" s="34"/>
      <c r="AL302" s="29"/>
      <c r="AM302" s="29"/>
    </row>
    <row x14ac:dyDescent="0.25" r="303" customHeight="1" ht="15.75">
      <c r="A303" s="1"/>
      <c r="B303" s="34"/>
      <c r="C303" s="34"/>
      <c r="D303" s="34"/>
      <c r="E303" s="34"/>
      <c r="F303" s="34"/>
      <c r="G303" s="60"/>
      <c r="H303" s="60"/>
      <c r="I303" s="29"/>
      <c r="J303" s="29"/>
      <c r="K303" s="29"/>
      <c r="L303" s="29"/>
      <c r="M303" s="29"/>
      <c r="N303" s="29"/>
      <c r="O303" s="29"/>
      <c r="P303" s="29"/>
      <c r="Q303" s="34"/>
      <c r="R303" s="34"/>
      <c r="S303" s="29"/>
      <c r="T303" s="29"/>
      <c r="U303" s="29"/>
      <c r="V303" s="29"/>
      <c r="W303" s="29"/>
      <c r="X303" s="29"/>
      <c r="Y303" s="2"/>
      <c r="Z303" s="34"/>
      <c r="AA303" s="2"/>
      <c r="AB303" s="29"/>
      <c r="AC303" s="29"/>
      <c r="AD303" s="29"/>
      <c r="AE303" s="29"/>
      <c r="AF303" s="29"/>
      <c r="AG303" s="29"/>
      <c r="AH303" s="29"/>
      <c r="AI303" s="29"/>
      <c r="AJ303" s="34"/>
      <c r="AK303" s="34"/>
      <c r="AL303" s="29"/>
      <c r="AM303" s="29"/>
    </row>
    <row x14ac:dyDescent="0.25" r="304" customHeight="1" ht="15.75">
      <c r="A304" s="1"/>
      <c r="B304" s="34"/>
      <c r="C304" s="34"/>
      <c r="D304" s="34"/>
      <c r="E304" s="34"/>
      <c r="F304" s="34"/>
      <c r="G304" s="60"/>
      <c r="H304" s="60"/>
      <c r="I304" s="29"/>
      <c r="J304" s="29"/>
      <c r="K304" s="29"/>
      <c r="L304" s="29"/>
      <c r="M304" s="29"/>
      <c r="N304" s="29"/>
      <c r="O304" s="29"/>
      <c r="P304" s="29"/>
      <c r="Q304" s="34"/>
      <c r="R304" s="34"/>
      <c r="S304" s="29"/>
      <c r="T304" s="29"/>
      <c r="U304" s="29"/>
      <c r="V304" s="29"/>
      <c r="W304" s="29"/>
      <c r="X304" s="29"/>
      <c r="Y304" s="2"/>
      <c r="Z304" s="34"/>
      <c r="AA304" s="2"/>
      <c r="AB304" s="29"/>
      <c r="AC304" s="29"/>
      <c r="AD304" s="29"/>
      <c r="AE304" s="29"/>
      <c r="AF304" s="29"/>
      <c r="AG304" s="29"/>
      <c r="AH304" s="29"/>
      <c r="AI304" s="29"/>
      <c r="AJ304" s="34"/>
      <c r="AK304" s="34"/>
      <c r="AL304" s="29"/>
      <c r="AM304" s="29"/>
    </row>
    <row x14ac:dyDescent="0.25" r="305" customHeight="1" ht="15.75">
      <c r="A305" s="1"/>
      <c r="B305" s="34"/>
      <c r="C305" s="34"/>
      <c r="D305" s="34"/>
      <c r="E305" s="34"/>
      <c r="F305" s="34"/>
      <c r="G305" s="60"/>
      <c r="H305" s="60"/>
      <c r="I305" s="29"/>
      <c r="J305" s="29"/>
      <c r="K305" s="29"/>
      <c r="L305" s="29"/>
      <c r="M305" s="29"/>
      <c r="N305" s="29"/>
      <c r="O305" s="29"/>
      <c r="P305" s="29"/>
      <c r="Q305" s="34"/>
      <c r="R305" s="34"/>
      <c r="S305" s="29"/>
      <c r="T305" s="29"/>
      <c r="U305" s="29"/>
      <c r="V305" s="29"/>
      <c r="W305" s="29"/>
      <c r="X305" s="29"/>
      <c r="Y305" s="2"/>
      <c r="Z305" s="34"/>
      <c r="AA305" s="2"/>
      <c r="AB305" s="29"/>
      <c r="AC305" s="29"/>
      <c r="AD305" s="29"/>
      <c r="AE305" s="29"/>
      <c r="AF305" s="29"/>
      <c r="AG305" s="29"/>
      <c r="AH305" s="29"/>
      <c r="AI305" s="29"/>
      <c r="AJ305" s="34"/>
      <c r="AK305" s="34"/>
      <c r="AL305" s="29"/>
      <c r="AM305" s="29"/>
    </row>
    <row x14ac:dyDescent="0.25" r="306" customHeight="1" ht="15.75">
      <c r="A306" s="1"/>
      <c r="B306" s="34"/>
      <c r="C306" s="34"/>
      <c r="D306" s="34"/>
      <c r="E306" s="34"/>
      <c r="F306" s="34"/>
      <c r="G306" s="60"/>
      <c r="H306" s="60"/>
      <c r="I306" s="29"/>
      <c r="J306" s="29"/>
      <c r="K306" s="29"/>
      <c r="L306" s="29"/>
      <c r="M306" s="29"/>
      <c r="N306" s="29"/>
      <c r="O306" s="29"/>
      <c r="P306" s="29"/>
      <c r="Q306" s="34"/>
      <c r="R306" s="34"/>
      <c r="S306" s="29"/>
      <c r="T306" s="29"/>
      <c r="U306" s="29"/>
      <c r="V306" s="29"/>
      <c r="W306" s="29"/>
      <c r="X306" s="29"/>
      <c r="Y306" s="2"/>
      <c r="Z306" s="34"/>
      <c r="AA306" s="2"/>
      <c r="AB306" s="29"/>
      <c r="AC306" s="29"/>
      <c r="AD306" s="29"/>
      <c r="AE306" s="29"/>
      <c r="AF306" s="29"/>
      <c r="AG306" s="29"/>
      <c r="AH306" s="29"/>
      <c r="AI306" s="29"/>
      <c r="AJ306" s="34"/>
      <c r="AK306" s="34"/>
      <c r="AL306" s="29"/>
      <c r="AM306" s="29"/>
    </row>
    <row x14ac:dyDescent="0.25" r="307" customHeight="1" ht="15.75">
      <c r="A307" s="1"/>
      <c r="B307" s="34"/>
      <c r="C307" s="34"/>
      <c r="D307" s="34"/>
      <c r="E307" s="34"/>
      <c r="F307" s="34"/>
      <c r="G307" s="60"/>
      <c r="H307" s="60"/>
      <c r="I307" s="29"/>
      <c r="J307" s="29"/>
      <c r="K307" s="29"/>
      <c r="L307" s="29"/>
      <c r="M307" s="29"/>
      <c r="N307" s="29"/>
      <c r="O307" s="29"/>
      <c r="P307" s="29"/>
      <c r="Q307" s="34"/>
      <c r="R307" s="34"/>
      <c r="S307" s="29"/>
      <c r="T307" s="29"/>
      <c r="U307" s="29"/>
      <c r="V307" s="29"/>
      <c r="W307" s="29"/>
      <c r="X307" s="29"/>
      <c r="Y307" s="2"/>
      <c r="Z307" s="34"/>
      <c r="AA307" s="2"/>
      <c r="AB307" s="29"/>
      <c r="AC307" s="29"/>
      <c r="AD307" s="29"/>
      <c r="AE307" s="29"/>
      <c r="AF307" s="29"/>
      <c r="AG307" s="29"/>
      <c r="AH307" s="29"/>
      <c r="AI307" s="29"/>
      <c r="AJ307" s="34"/>
      <c r="AK307" s="34"/>
      <c r="AL307" s="29"/>
      <c r="AM307" s="29"/>
    </row>
    <row x14ac:dyDescent="0.25" r="308" customHeight="1" ht="15.75">
      <c r="A308" s="1"/>
      <c r="B308" s="34"/>
      <c r="C308" s="34"/>
      <c r="D308" s="34"/>
      <c r="E308" s="34"/>
      <c r="F308" s="34"/>
      <c r="G308" s="60"/>
      <c r="H308" s="60"/>
      <c r="I308" s="29"/>
      <c r="J308" s="29"/>
      <c r="K308" s="29"/>
      <c r="L308" s="29"/>
      <c r="M308" s="29"/>
      <c r="N308" s="29"/>
      <c r="O308" s="29"/>
      <c r="P308" s="29"/>
      <c r="Q308" s="34"/>
      <c r="R308" s="34"/>
      <c r="S308" s="29"/>
      <c r="T308" s="29"/>
      <c r="U308" s="29"/>
      <c r="V308" s="29"/>
      <c r="W308" s="29"/>
      <c r="X308" s="29"/>
      <c r="Y308" s="2"/>
      <c r="Z308" s="34"/>
      <c r="AA308" s="2"/>
      <c r="AB308" s="29"/>
      <c r="AC308" s="29"/>
      <c r="AD308" s="29"/>
      <c r="AE308" s="29"/>
      <c r="AF308" s="29"/>
      <c r="AG308" s="29"/>
      <c r="AH308" s="29"/>
      <c r="AI308" s="29"/>
      <c r="AJ308" s="34"/>
      <c r="AK308" s="34"/>
      <c r="AL308" s="29"/>
      <c r="AM308" s="29"/>
    </row>
    <row x14ac:dyDescent="0.25" r="309" customHeight="1" ht="15.75">
      <c r="A309" s="1"/>
      <c r="B309" s="34"/>
      <c r="C309" s="34"/>
      <c r="D309" s="34"/>
      <c r="E309" s="34"/>
      <c r="F309" s="34"/>
      <c r="G309" s="60"/>
      <c r="H309" s="60"/>
      <c r="I309" s="29"/>
      <c r="J309" s="29"/>
      <c r="K309" s="29"/>
      <c r="L309" s="29"/>
      <c r="M309" s="29"/>
      <c r="N309" s="29"/>
      <c r="O309" s="29"/>
      <c r="P309" s="29"/>
      <c r="Q309" s="34"/>
      <c r="R309" s="34"/>
      <c r="S309" s="29"/>
      <c r="T309" s="29"/>
      <c r="U309" s="29"/>
      <c r="V309" s="29"/>
      <c r="W309" s="29"/>
      <c r="X309" s="29"/>
      <c r="Y309" s="2"/>
      <c r="Z309" s="34"/>
      <c r="AA309" s="2"/>
      <c r="AB309" s="29"/>
      <c r="AC309" s="29"/>
      <c r="AD309" s="29"/>
      <c r="AE309" s="29"/>
      <c r="AF309" s="29"/>
      <c r="AG309" s="29"/>
      <c r="AH309" s="29"/>
      <c r="AI309" s="29"/>
      <c r="AJ309" s="34"/>
      <c r="AK309" s="34"/>
      <c r="AL309" s="29"/>
      <c r="AM309" s="29"/>
    </row>
    <row x14ac:dyDescent="0.25" r="310" customHeight="1" ht="15.75">
      <c r="A310" s="1"/>
      <c r="B310" s="34"/>
      <c r="C310" s="34"/>
      <c r="D310" s="34"/>
      <c r="E310" s="34"/>
      <c r="F310" s="34"/>
      <c r="G310" s="60"/>
      <c r="H310" s="60"/>
      <c r="I310" s="29"/>
      <c r="J310" s="29"/>
      <c r="K310" s="29"/>
      <c r="L310" s="29"/>
      <c r="M310" s="29"/>
      <c r="N310" s="29"/>
      <c r="O310" s="29"/>
      <c r="P310" s="29"/>
      <c r="Q310" s="34"/>
      <c r="R310" s="34"/>
      <c r="S310" s="29"/>
      <c r="T310" s="29"/>
      <c r="U310" s="29"/>
      <c r="V310" s="29"/>
      <c r="W310" s="29"/>
      <c r="X310" s="29"/>
      <c r="Y310" s="2"/>
      <c r="Z310" s="34"/>
      <c r="AA310" s="2"/>
      <c r="AB310" s="29"/>
      <c r="AC310" s="29"/>
      <c r="AD310" s="29"/>
      <c r="AE310" s="29"/>
      <c r="AF310" s="29"/>
      <c r="AG310" s="29"/>
      <c r="AH310" s="29"/>
      <c r="AI310" s="29"/>
      <c r="AJ310" s="34"/>
      <c r="AK310" s="34"/>
      <c r="AL310" s="29"/>
      <c r="AM310" s="29"/>
    </row>
    <row x14ac:dyDescent="0.25" r="311" customHeight="1" ht="15.75">
      <c r="A311" s="1"/>
      <c r="B311" s="34"/>
      <c r="C311" s="34"/>
      <c r="D311" s="34"/>
      <c r="E311" s="34"/>
      <c r="F311" s="34"/>
      <c r="G311" s="60"/>
      <c r="H311" s="60"/>
      <c r="I311" s="29"/>
      <c r="J311" s="29"/>
      <c r="K311" s="29"/>
      <c r="L311" s="29"/>
      <c r="M311" s="29"/>
      <c r="N311" s="29"/>
      <c r="O311" s="29"/>
      <c r="P311" s="29"/>
      <c r="Q311" s="34"/>
      <c r="R311" s="34"/>
      <c r="S311" s="29"/>
      <c r="T311" s="29"/>
      <c r="U311" s="29"/>
      <c r="V311" s="29"/>
      <c r="W311" s="29"/>
      <c r="X311" s="29"/>
      <c r="Y311" s="2"/>
      <c r="Z311" s="34"/>
      <c r="AA311" s="2"/>
      <c r="AB311" s="29"/>
      <c r="AC311" s="29"/>
      <c r="AD311" s="29"/>
      <c r="AE311" s="29"/>
      <c r="AF311" s="29"/>
      <c r="AG311" s="29"/>
      <c r="AH311" s="29"/>
      <c r="AI311" s="29"/>
      <c r="AJ311" s="34"/>
      <c r="AK311" s="34"/>
      <c r="AL311" s="29"/>
      <c r="AM311" s="29"/>
    </row>
    <row x14ac:dyDescent="0.25" r="312" customHeight="1" ht="15.75">
      <c r="A312" s="1"/>
      <c r="B312" s="34"/>
      <c r="C312" s="34"/>
      <c r="D312" s="34"/>
      <c r="E312" s="34"/>
      <c r="F312" s="34"/>
      <c r="G312" s="60"/>
      <c r="H312" s="60"/>
      <c r="I312" s="29"/>
      <c r="J312" s="29"/>
      <c r="K312" s="29"/>
      <c r="L312" s="29"/>
      <c r="M312" s="29"/>
      <c r="N312" s="29"/>
      <c r="O312" s="29"/>
      <c r="P312" s="29"/>
      <c r="Q312" s="34"/>
      <c r="R312" s="34"/>
      <c r="S312" s="29"/>
      <c r="T312" s="29"/>
      <c r="U312" s="29"/>
      <c r="V312" s="29"/>
      <c r="W312" s="29"/>
      <c r="X312" s="29"/>
      <c r="Y312" s="2"/>
      <c r="Z312" s="34"/>
      <c r="AA312" s="2"/>
      <c r="AB312" s="29"/>
      <c r="AC312" s="29"/>
      <c r="AD312" s="29"/>
      <c r="AE312" s="29"/>
      <c r="AF312" s="29"/>
      <c r="AG312" s="29"/>
      <c r="AH312" s="29"/>
      <c r="AI312" s="29"/>
      <c r="AJ312" s="34"/>
      <c r="AK312" s="34"/>
      <c r="AL312" s="29"/>
      <c r="AM312" s="29"/>
    </row>
    <row x14ac:dyDescent="0.25" r="313" customHeight="1" ht="15.75">
      <c r="A313" s="1"/>
      <c r="B313" s="34"/>
      <c r="C313" s="34"/>
      <c r="D313" s="34"/>
      <c r="E313" s="34"/>
      <c r="F313" s="34"/>
      <c r="G313" s="60"/>
      <c r="H313" s="60"/>
      <c r="I313" s="29"/>
      <c r="J313" s="29"/>
      <c r="K313" s="29"/>
      <c r="L313" s="29"/>
      <c r="M313" s="29"/>
      <c r="N313" s="29"/>
      <c r="O313" s="29"/>
      <c r="P313" s="29"/>
      <c r="Q313" s="34"/>
      <c r="R313" s="34"/>
      <c r="S313" s="29"/>
      <c r="T313" s="29"/>
      <c r="U313" s="29"/>
      <c r="V313" s="29"/>
      <c r="W313" s="29"/>
      <c r="X313" s="29"/>
      <c r="Y313" s="2"/>
      <c r="Z313" s="34"/>
      <c r="AA313" s="2"/>
      <c r="AB313" s="29"/>
      <c r="AC313" s="29"/>
      <c r="AD313" s="29"/>
      <c r="AE313" s="29"/>
      <c r="AF313" s="29"/>
      <c r="AG313" s="29"/>
      <c r="AH313" s="29"/>
      <c r="AI313" s="29"/>
      <c r="AJ313" s="34"/>
      <c r="AK313" s="34"/>
      <c r="AL313" s="29"/>
      <c r="AM313" s="29"/>
    </row>
    <row x14ac:dyDescent="0.25" r="314" customHeight="1" ht="15.75">
      <c r="A314" s="1"/>
      <c r="B314" s="34"/>
      <c r="C314" s="34"/>
      <c r="D314" s="34"/>
      <c r="E314" s="34"/>
      <c r="F314" s="34"/>
      <c r="G314" s="60"/>
      <c r="H314" s="60"/>
      <c r="I314" s="29"/>
      <c r="J314" s="29"/>
      <c r="K314" s="29"/>
      <c r="L314" s="29"/>
      <c r="M314" s="29"/>
      <c r="N314" s="29"/>
      <c r="O314" s="29"/>
      <c r="P314" s="29"/>
      <c r="Q314" s="34"/>
      <c r="R314" s="34"/>
      <c r="S314" s="29"/>
      <c r="T314" s="29"/>
      <c r="U314" s="29"/>
      <c r="V314" s="29"/>
      <c r="W314" s="29"/>
      <c r="X314" s="29"/>
      <c r="Y314" s="2"/>
      <c r="Z314" s="34"/>
      <c r="AA314" s="2"/>
      <c r="AB314" s="29"/>
      <c r="AC314" s="29"/>
      <c r="AD314" s="29"/>
      <c r="AE314" s="29"/>
      <c r="AF314" s="29"/>
      <c r="AG314" s="29"/>
      <c r="AH314" s="29"/>
      <c r="AI314" s="29"/>
      <c r="AJ314" s="34"/>
      <c r="AK314" s="34"/>
      <c r="AL314" s="29"/>
      <c r="AM314" s="29"/>
    </row>
    <row x14ac:dyDescent="0.25" r="315" customHeight="1" ht="15.75">
      <c r="A315" s="1"/>
      <c r="B315" s="34"/>
      <c r="C315" s="34"/>
      <c r="D315" s="34"/>
      <c r="E315" s="34"/>
      <c r="F315" s="34"/>
      <c r="G315" s="60"/>
      <c r="H315" s="60"/>
      <c r="I315" s="29"/>
      <c r="J315" s="29"/>
      <c r="K315" s="29"/>
      <c r="L315" s="29"/>
      <c r="M315" s="29"/>
      <c r="N315" s="29"/>
      <c r="O315" s="29"/>
      <c r="P315" s="29"/>
      <c r="Q315" s="34"/>
      <c r="R315" s="34"/>
      <c r="S315" s="29"/>
      <c r="T315" s="29"/>
      <c r="U315" s="29"/>
      <c r="V315" s="29"/>
      <c r="W315" s="29"/>
      <c r="X315" s="29"/>
      <c r="Y315" s="2"/>
      <c r="Z315" s="34"/>
      <c r="AA315" s="2"/>
      <c r="AB315" s="29"/>
      <c r="AC315" s="29"/>
      <c r="AD315" s="29"/>
      <c r="AE315" s="29"/>
      <c r="AF315" s="29"/>
      <c r="AG315" s="29"/>
      <c r="AH315" s="29"/>
      <c r="AI315" s="29"/>
      <c r="AJ315" s="34"/>
      <c r="AK315" s="34"/>
      <c r="AL315" s="29"/>
      <c r="AM315" s="29"/>
    </row>
    <row x14ac:dyDescent="0.25" r="316" customHeight="1" ht="15.75">
      <c r="A316" s="1"/>
      <c r="B316" s="34"/>
      <c r="C316" s="34"/>
      <c r="D316" s="34"/>
      <c r="E316" s="34"/>
      <c r="F316" s="34"/>
      <c r="G316" s="60"/>
      <c r="H316" s="60"/>
      <c r="I316" s="29"/>
      <c r="J316" s="29"/>
      <c r="K316" s="29"/>
      <c r="L316" s="29"/>
      <c r="M316" s="29"/>
      <c r="N316" s="29"/>
      <c r="O316" s="29"/>
      <c r="P316" s="29"/>
      <c r="Q316" s="34"/>
      <c r="R316" s="34"/>
      <c r="S316" s="29"/>
      <c r="T316" s="29"/>
      <c r="U316" s="29"/>
      <c r="V316" s="29"/>
      <c r="W316" s="29"/>
      <c r="X316" s="29"/>
      <c r="Y316" s="2"/>
      <c r="Z316" s="34"/>
      <c r="AA316" s="2"/>
      <c r="AB316" s="29"/>
      <c r="AC316" s="29"/>
      <c r="AD316" s="29"/>
      <c r="AE316" s="29"/>
      <c r="AF316" s="29"/>
      <c r="AG316" s="29"/>
      <c r="AH316" s="29"/>
      <c r="AI316" s="29"/>
      <c r="AJ316" s="34"/>
      <c r="AK316" s="34"/>
      <c r="AL316" s="29"/>
      <c r="AM316" s="29"/>
    </row>
    <row x14ac:dyDescent="0.25" r="317" customHeight="1" ht="15.75">
      <c r="A317" s="1"/>
      <c r="B317" s="34"/>
      <c r="C317" s="34"/>
      <c r="D317" s="34"/>
      <c r="E317" s="34"/>
      <c r="F317" s="34"/>
      <c r="G317" s="60"/>
      <c r="H317" s="60"/>
      <c r="I317" s="29"/>
      <c r="J317" s="29"/>
      <c r="K317" s="29"/>
      <c r="L317" s="29"/>
      <c r="M317" s="29"/>
      <c r="N317" s="29"/>
      <c r="O317" s="29"/>
      <c r="P317" s="29"/>
      <c r="Q317" s="34"/>
      <c r="R317" s="34"/>
      <c r="S317" s="29"/>
      <c r="T317" s="29"/>
      <c r="U317" s="29"/>
      <c r="V317" s="29"/>
      <c r="W317" s="29"/>
      <c r="X317" s="29"/>
      <c r="Y317" s="2"/>
      <c r="Z317" s="34"/>
      <c r="AA317" s="2"/>
      <c r="AB317" s="29"/>
      <c r="AC317" s="29"/>
      <c r="AD317" s="29"/>
      <c r="AE317" s="29"/>
      <c r="AF317" s="29"/>
      <c r="AG317" s="29"/>
      <c r="AH317" s="29"/>
      <c r="AI317" s="29"/>
      <c r="AJ317" s="34"/>
      <c r="AK317" s="34"/>
      <c r="AL317" s="29"/>
      <c r="AM317" s="29"/>
    </row>
    <row x14ac:dyDescent="0.25" r="318" customHeight="1" ht="15.75">
      <c r="A318" s="1"/>
      <c r="B318" s="34"/>
      <c r="C318" s="34"/>
      <c r="D318" s="34"/>
      <c r="E318" s="34"/>
      <c r="F318" s="34"/>
      <c r="G318" s="60"/>
      <c r="H318" s="60"/>
      <c r="I318" s="29"/>
      <c r="J318" s="29"/>
      <c r="K318" s="29"/>
      <c r="L318" s="29"/>
      <c r="M318" s="29"/>
      <c r="N318" s="29"/>
      <c r="O318" s="29"/>
      <c r="P318" s="29"/>
      <c r="Q318" s="34"/>
      <c r="R318" s="34"/>
      <c r="S318" s="29"/>
      <c r="T318" s="29"/>
      <c r="U318" s="29"/>
      <c r="V318" s="29"/>
      <c r="W318" s="29"/>
      <c r="X318" s="29"/>
      <c r="Y318" s="2"/>
      <c r="Z318" s="34"/>
      <c r="AA318" s="2"/>
      <c r="AB318" s="29"/>
      <c r="AC318" s="29"/>
      <c r="AD318" s="29"/>
      <c r="AE318" s="29"/>
      <c r="AF318" s="29"/>
      <c r="AG318" s="29"/>
      <c r="AH318" s="29"/>
      <c r="AI318" s="29"/>
      <c r="AJ318" s="34"/>
      <c r="AK318" s="34"/>
      <c r="AL318" s="29"/>
      <c r="AM318" s="29"/>
    </row>
    <row x14ac:dyDescent="0.25" r="319" customHeight="1" ht="15.75">
      <c r="A319" s="1"/>
      <c r="B319" s="34"/>
      <c r="C319" s="34"/>
      <c r="D319" s="34"/>
      <c r="E319" s="34"/>
      <c r="F319" s="34"/>
      <c r="G319" s="60"/>
      <c r="H319" s="60"/>
      <c r="I319" s="29"/>
      <c r="J319" s="29"/>
      <c r="K319" s="29"/>
      <c r="L319" s="29"/>
      <c r="M319" s="29"/>
      <c r="N319" s="29"/>
      <c r="O319" s="29"/>
      <c r="P319" s="29"/>
      <c r="Q319" s="34"/>
      <c r="R319" s="34"/>
      <c r="S319" s="29"/>
      <c r="T319" s="29"/>
      <c r="U319" s="29"/>
      <c r="V319" s="29"/>
      <c r="W319" s="29"/>
      <c r="X319" s="29"/>
      <c r="Y319" s="2"/>
      <c r="Z319" s="34"/>
      <c r="AA319" s="2"/>
      <c r="AB319" s="29"/>
      <c r="AC319" s="29"/>
      <c r="AD319" s="29"/>
      <c r="AE319" s="29"/>
      <c r="AF319" s="29"/>
      <c r="AG319" s="29"/>
      <c r="AH319" s="29"/>
      <c r="AI319" s="29"/>
      <c r="AJ319" s="34"/>
      <c r="AK319" s="34"/>
      <c r="AL319" s="29"/>
      <c r="AM319" s="29"/>
    </row>
    <row x14ac:dyDescent="0.25" r="320" customHeight="1" ht="15.75">
      <c r="A320" s="1"/>
      <c r="B320" s="34"/>
      <c r="C320" s="34"/>
      <c r="D320" s="34"/>
      <c r="E320" s="34"/>
      <c r="F320" s="34"/>
      <c r="G320" s="60"/>
      <c r="H320" s="60"/>
      <c r="I320" s="29"/>
      <c r="J320" s="29"/>
      <c r="K320" s="29"/>
      <c r="L320" s="29"/>
      <c r="M320" s="29"/>
      <c r="N320" s="29"/>
      <c r="O320" s="29"/>
      <c r="P320" s="29"/>
      <c r="Q320" s="34"/>
      <c r="R320" s="34"/>
      <c r="S320" s="29"/>
      <c r="T320" s="29"/>
      <c r="U320" s="29"/>
      <c r="V320" s="29"/>
      <c r="W320" s="29"/>
      <c r="X320" s="29"/>
      <c r="Y320" s="2"/>
      <c r="Z320" s="34"/>
      <c r="AA320" s="2"/>
      <c r="AB320" s="29"/>
      <c r="AC320" s="29"/>
      <c r="AD320" s="29"/>
      <c r="AE320" s="29"/>
      <c r="AF320" s="29"/>
      <c r="AG320" s="29"/>
      <c r="AH320" s="29"/>
      <c r="AI320" s="29"/>
      <c r="AJ320" s="34"/>
      <c r="AK320" s="34"/>
      <c r="AL320" s="29"/>
      <c r="AM320" s="29"/>
    </row>
    <row x14ac:dyDescent="0.25" r="321" customHeight="1" ht="15.75">
      <c r="A321" s="1"/>
      <c r="B321" s="34"/>
      <c r="C321" s="34"/>
      <c r="D321" s="34"/>
      <c r="E321" s="34"/>
      <c r="F321" s="34"/>
      <c r="G321" s="60"/>
      <c r="H321" s="60"/>
      <c r="I321" s="29"/>
      <c r="J321" s="29"/>
      <c r="K321" s="29"/>
      <c r="L321" s="29"/>
      <c r="M321" s="29"/>
      <c r="N321" s="29"/>
      <c r="O321" s="29"/>
      <c r="P321" s="29"/>
      <c r="Q321" s="34"/>
      <c r="R321" s="34"/>
      <c r="S321" s="29"/>
      <c r="T321" s="29"/>
      <c r="U321" s="29"/>
      <c r="V321" s="29"/>
      <c r="W321" s="29"/>
      <c r="X321" s="29"/>
      <c r="Y321" s="2"/>
      <c r="Z321" s="34"/>
      <c r="AA321" s="2"/>
      <c r="AB321" s="29"/>
      <c r="AC321" s="29"/>
      <c r="AD321" s="29"/>
      <c r="AE321" s="29"/>
      <c r="AF321" s="29"/>
      <c r="AG321" s="29"/>
      <c r="AH321" s="29"/>
      <c r="AI321" s="29"/>
      <c r="AJ321" s="34"/>
      <c r="AK321" s="34"/>
      <c r="AL321" s="29"/>
      <c r="AM321" s="29"/>
    </row>
    <row x14ac:dyDescent="0.25" r="322" customHeight="1" ht="15.75">
      <c r="A322" s="1"/>
      <c r="B322" s="34"/>
      <c r="C322" s="34"/>
      <c r="D322" s="34"/>
      <c r="E322" s="34"/>
      <c r="F322" s="34"/>
      <c r="G322" s="60"/>
      <c r="H322" s="60"/>
      <c r="I322" s="29"/>
      <c r="J322" s="29"/>
      <c r="K322" s="29"/>
      <c r="L322" s="29"/>
      <c r="M322" s="29"/>
      <c r="N322" s="29"/>
      <c r="O322" s="29"/>
      <c r="P322" s="29"/>
      <c r="Q322" s="34"/>
      <c r="R322" s="34"/>
      <c r="S322" s="29"/>
      <c r="T322" s="29"/>
      <c r="U322" s="29"/>
      <c r="V322" s="29"/>
      <c r="W322" s="29"/>
      <c r="X322" s="29"/>
      <c r="Y322" s="2"/>
      <c r="Z322" s="34"/>
      <c r="AA322" s="2"/>
      <c r="AB322" s="29"/>
      <c r="AC322" s="29"/>
      <c r="AD322" s="29"/>
      <c r="AE322" s="29"/>
      <c r="AF322" s="29"/>
      <c r="AG322" s="29"/>
      <c r="AH322" s="29"/>
      <c r="AI322" s="29"/>
      <c r="AJ322" s="34"/>
      <c r="AK322" s="34"/>
      <c r="AL322" s="29"/>
      <c r="AM322" s="29"/>
    </row>
    <row x14ac:dyDescent="0.25" r="323" customHeight="1" ht="15.75">
      <c r="A323" s="1"/>
      <c r="B323" s="34"/>
      <c r="C323" s="34"/>
      <c r="D323" s="34"/>
      <c r="E323" s="34"/>
      <c r="F323" s="34"/>
      <c r="G323" s="60"/>
      <c r="H323" s="60"/>
      <c r="I323" s="29"/>
      <c r="J323" s="29"/>
      <c r="K323" s="29"/>
      <c r="L323" s="29"/>
      <c r="M323" s="29"/>
      <c r="N323" s="29"/>
      <c r="O323" s="29"/>
      <c r="P323" s="29"/>
      <c r="Q323" s="34"/>
      <c r="R323" s="34"/>
      <c r="S323" s="29"/>
      <c r="T323" s="29"/>
      <c r="U323" s="29"/>
      <c r="V323" s="29"/>
      <c r="W323" s="29"/>
      <c r="X323" s="29"/>
      <c r="Y323" s="2"/>
      <c r="Z323" s="34"/>
      <c r="AA323" s="2"/>
      <c r="AB323" s="29"/>
      <c r="AC323" s="29"/>
      <c r="AD323" s="29"/>
      <c r="AE323" s="29"/>
      <c r="AF323" s="29"/>
      <c r="AG323" s="29"/>
      <c r="AH323" s="29"/>
      <c r="AI323" s="29"/>
      <c r="AJ323" s="34"/>
      <c r="AK323" s="34"/>
      <c r="AL323" s="29"/>
      <c r="AM323" s="29"/>
    </row>
    <row x14ac:dyDescent="0.25" r="324" customHeight="1" ht="15.75">
      <c r="A324" s="1"/>
      <c r="B324" s="34"/>
      <c r="C324" s="34"/>
      <c r="D324" s="34"/>
      <c r="E324" s="34"/>
      <c r="F324" s="34"/>
      <c r="G324" s="60"/>
      <c r="H324" s="60"/>
      <c r="I324" s="29"/>
      <c r="J324" s="29"/>
      <c r="K324" s="29"/>
      <c r="L324" s="29"/>
      <c r="M324" s="29"/>
      <c r="N324" s="29"/>
      <c r="O324" s="29"/>
      <c r="P324" s="29"/>
      <c r="Q324" s="34"/>
      <c r="R324" s="34"/>
      <c r="S324" s="29"/>
      <c r="T324" s="29"/>
      <c r="U324" s="29"/>
      <c r="V324" s="29"/>
      <c r="W324" s="29"/>
      <c r="X324" s="29"/>
      <c r="Y324" s="2"/>
      <c r="Z324" s="34"/>
      <c r="AA324" s="2"/>
      <c r="AB324" s="29"/>
      <c r="AC324" s="29"/>
      <c r="AD324" s="29"/>
      <c r="AE324" s="29"/>
      <c r="AF324" s="29"/>
      <c r="AG324" s="29"/>
      <c r="AH324" s="29"/>
      <c r="AI324" s="29"/>
      <c r="AJ324" s="34"/>
      <c r="AK324" s="34"/>
      <c r="AL324" s="29"/>
      <c r="AM324" s="29"/>
    </row>
    <row x14ac:dyDescent="0.25" r="325" customHeight="1" ht="15.75">
      <c r="A325" s="1"/>
      <c r="B325" s="34"/>
      <c r="C325" s="34"/>
      <c r="D325" s="34"/>
      <c r="E325" s="34"/>
      <c r="F325" s="34"/>
      <c r="G325" s="60"/>
      <c r="H325" s="60"/>
      <c r="I325" s="29"/>
      <c r="J325" s="29"/>
      <c r="K325" s="29"/>
      <c r="L325" s="29"/>
      <c r="M325" s="29"/>
      <c r="N325" s="29"/>
      <c r="O325" s="29"/>
      <c r="P325" s="29"/>
      <c r="Q325" s="34"/>
      <c r="R325" s="34"/>
      <c r="S325" s="29"/>
      <c r="T325" s="29"/>
      <c r="U325" s="29"/>
      <c r="V325" s="29"/>
      <c r="W325" s="29"/>
      <c r="X325" s="29"/>
      <c r="Y325" s="2"/>
      <c r="Z325" s="34"/>
      <c r="AA325" s="2"/>
      <c r="AB325" s="29"/>
      <c r="AC325" s="29"/>
      <c r="AD325" s="29"/>
      <c r="AE325" s="29"/>
      <c r="AF325" s="29"/>
      <c r="AG325" s="29"/>
      <c r="AH325" s="29"/>
      <c r="AI325" s="29"/>
      <c r="AJ325" s="34"/>
      <c r="AK325" s="34"/>
      <c r="AL325" s="29"/>
      <c r="AM325" s="29"/>
    </row>
    <row x14ac:dyDescent="0.25" r="326" customHeight="1" ht="15.75">
      <c r="A326" s="1"/>
      <c r="B326" s="34"/>
      <c r="C326" s="34"/>
      <c r="D326" s="34"/>
      <c r="E326" s="34"/>
      <c r="F326" s="34"/>
      <c r="G326" s="60"/>
      <c r="H326" s="60"/>
      <c r="I326" s="29"/>
      <c r="J326" s="29"/>
      <c r="K326" s="29"/>
      <c r="L326" s="29"/>
      <c r="M326" s="29"/>
      <c r="N326" s="29"/>
      <c r="O326" s="29"/>
      <c r="P326" s="29"/>
      <c r="Q326" s="34"/>
      <c r="R326" s="34"/>
      <c r="S326" s="29"/>
      <c r="T326" s="29"/>
      <c r="U326" s="29"/>
      <c r="V326" s="29"/>
      <c r="W326" s="29"/>
      <c r="X326" s="29"/>
      <c r="Y326" s="2"/>
      <c r="Z326" s="34"/>
      <c r="AA326" s="2"/>
      <c r="AB326" s="29"/>
      <c r="AC326" s="29"/>
      <c r="AD326" s="29"/>
      <c r="AE326" s="29"/>
      <c r="AF326" s="29"/>
      <c r="AG326" s="29"/>
      <c r="AH326" s="29"/>
      <c r="AI326" s="29"/>
      <c r="AJ326" s="34"/>
      <c r="AK326" s="34"/>
      <c r="AL326" s="29"/>
      <c r="AM326" s="29"/>
    </row>
    <row x14ac:dyDescent="0.25" r="327" customHeight="1" ht="15.75">
      <c r="A327" s="1"/>
      <c r="B327" s="34"/>
      <c r="C327" s="34"/>
      <c r="D327" s="34"/>
      <c r="E327" s="34"/>
      <c r="F327" s="34"/>
      <c r="G327" s="60"/>
      <c r="H327" s="60"/>
      <c r="I327" s="29"/>
      <c r="J327" s="29"/>
      <c r="K327" s="29"/>
      <c r="L327" s="29"/>
      <c r="M327" s="29"/>
      <c r="N327" s="29"/>
      <c r="O327" s="29"/>
      <c r="P327" s="29"/>
      <c r="Q327" s="34"/>
      <c r="R327" s="34"/>
      <c r="S327" s="29"/>
      <c r="T327" s="29"/>
      <c r="U327" s="29"/>
      <c r="V327" s="29"/>
      <c r="W327" s="29"/>
      <c r="X327" s="29"/>
      <c r="Y327" s="2"/>
      <c r="Z327" s="34"/>
      <c r="AA327" s="2"/>
      <c r="AB327" s="29"/>
      <c r="AC327" s="29"/>
      <c r="AD327" s="29"/>
      <c r="AE327" s="29"/>
      <c r="AF327" s="29"/>
      <c r="AG327" s="29"/>
      <c r="AH327" s="29"/>
      <c r="AI327" s="29"/>
      <c r="AJ327" s="34"/>
      <c r="AK327" s="34"/>
      <c r="AL327" s="29"/>
      <c r="AM327" s="29"/>
    </row>
    <row x14ac:dyDescent="0.25" r="328" customHeight="1" ht="15.75">
      <c r="A328" s="1"/>
      <c r="B328" s="34"/>
      <c r="C328" s="34"/>
      <c r="D328" s="34"/>
      <c r="E328" s="34"/>
      <c r="F328" s="34"/>
      <c r="G328" s="60"/>
      <c r="H328" s="60"/>
      <c r="I328" s="29"/>
      <c r="J328" s="29"/>
      <c r="K328" s="29"/>
      <c r="L328" s="29"/>
      <c r="M328" s="29"/>
      <c r="N328" s="29"/>
      <c r="O328" s="29"/>
      <c r="P328" s="29"/>
      <c r="Q328" s="34"/>
      <c r="R328" s="34"/>
      <c r="S328" s="29"/>
      <c r="T328" s="29"/>
      <c r="U328" s="29"/>
      <c r="V328" s="29"/>
      <c r="W328" s="29"/>
      <c r="X328" s="29"/>
      <c r="Y328" s="2"/>
      <c r="Z328" s="34"/>
      <c r="AA328" s="2"/>
      <c r="AB328" s="29"/>
      <c r="AC328" s="29"/>
      <c r="AD328" s="29"/>
      <c r="AE328" s="29"/>
      <c r="AF328" s="29"/>
      <c r="AG328" s="29"/>
      <c r="AH328" s="29"/>
      <c r="AI328" s="29"/>
      <c r="AJ328" s="34"/>
      <c r="AK328" s="34"/>
      <c r="AL328" s="29"/>
      <c r="AM328" s="29"/>
    </row>
    <row x14ac:dyDescent="0.25" r="329" customHeight="1" ht="15.75">
      <c r="A329" s="1"/>
      <c r="B329" s="34"/>
      <c r="C329" s="34"/>
      <c r="D329" s="34"/>
      <c r="E329" s="34"/>
      <c r="F329" s="34"/>
      <c r="G329" s="60"/>
      <c r="H329" s="60"/>
      <c r="I329" s="29"/>
      <c r="J329" s="29"/>
      <c r="K329" s="29"/>
      <c r="L329" s="29"/>
      <c r="M329" s="29"/>
      <c r="N329" s="29"/>
      <c r="O329" s="29"/>
      <c r="P329" s="29"/>
      <c r="Q329" s="34"/>
      <c r="R329" s="34"/>
      <c r="S329" s="29"/>
      <c r="T329" s="29"/>
      <c r="U329" s="29"/>
      <c r="V329" s="29"/>
      <c r="W329" s="29"/>
      <c r="X329" s="29"/>
      <c r="Y329" s="2"/>
      <c r="Z329" s="34"/>
      <c r="AA329" s="2"/>
      <c r="AB329" s="29"/>
      <c r="AC329" s="29"/>
      <c r="AD329" s="29"/>
      <c r="AE329" s="29"/>
      <c r="AF329" s="29"/>
      <c r="AG329" s="29"/>
      <c r="AH329" s="29"/>
      <c r="AI329" s="29"/>
      <c r="AJ329" s="34"/>
      <c r="AK329" s="34"/>
      <c r="AL329" s="29"/>
      <c r="AM329" s="29"/>
    </row>
    <row x14ac:dyDescent="0.25" r="330" customHeight="1" ht="15.75">
      <c r="A330" s="1"/>
      <c r="B330" s="34"/>
      <c r="C330" s="34"/>
      <c r="D330" s="34"/>
      <c r="E330" s="34"/>
      <c r="F330" s="34"/>
      <c r="G330" s="60"/>
      <c r="H330" s="60"/>
      <c r="I330" s="29"/>
      <c r="J330" s="29"/>
      <c r="K330" s="29"/>
      <c r="L330" s="29"/>
      <c r="M330" s="29"/>
      <c r="N330" s="29"/>
      <c r="O330" s="29"/>
      <c r="P330" s="29"/>
      <c r="Q330" s="34"/>
      <c r="R330" s="34"/>
      <c r="S330" s="29"/>
      <c r="T330" s="29"/>
      <c r="U330" s="29"/>
      <c r="V330" s="29"/>
      <c r="W330" s="29"/>
      <c r="X330" s="29"/>
      <c r="Y330" s="2"/>
      <c r="Z330" s="34"/>
      <c r="AA330" s="2"/>
      <c r="AB330" s="29"/>
      <c r="AC330" s="29"/>
      <c r="AD330" s="29"/>
      <c r="AE330" s="29"/>
      <c r="AF330" s="29"/>
      <c r="AG330" s="29"/>
      <c r="AH330" s="29"/>
      <c r="AI330" s="29"/>
      <c r="AJ330" s="34"/>
      <c r="AK330" s="34"/>
      <c r="AL330" s="29"/>
      <c r="AM330" s="29"/>
    </row>
    <row x14ac:dyDescent="0.25" r="331" customHeight="1" ht="15.75">
      <c r="A331" s="1"/>
      <c r="B331" s="34"/>
      <c r="C331" s="34"/>
      <c r="D331" s="34"/>
      <c r="E331" s="34"/>
      <c r="F331" s="34"/>
      <c r="G331" s="60"/>
      <c r="H331" s="60"/>
      <c r="I331" s="29"/>
      <c r="J331" s="29"/>
      <c r="K331" s="29"/>
      <c r="L331" s="29"/>
      <c r="M331" s="29"/>
      <c r="N331" s="29"/>
      <c r="O331" s="29"/>
      <c r="P331" s="29"/>
      <c r="Q331" s="34"/>
      <c r="R331" s="34"/>
      <c r="S331" s="29"/>
      <c r="T331" s="29"/>
      <c r="U331" s="29"/>
      <c r="V331" s="29"/>
      <c r="W331" s="29"/>
      <c r="X331" s="29"/>
      <c r="Y331" s="2"/>
      <c r="Z331" s="34"/>
      <c r="AA331" s="2"/>
      <c r="AB331" s="29"/>
      <c r="AC331" s="29"/>
      <c r="AD331" s="29"/>
      <c r="AE331" s="29"/>
      <c r="AF331" s="29"/>
      <c r="AG331" s="29"/>
      <c r="AH331" s="29"/>
      <c r="AI331" s="29"/>
      <c r="AJ331" s="34"/>
      <c r="AK331" s="34"/>
      <c r="AL331" s="29"/>
      <c r="AM331" s="29"/>
    </row>
    <row x14ac:dyDescent="0.25" r="332" customHeight="1" ht="15.75">
      <c r="A332" s="1"/>
      <c r="B332" s="34"/>
      <c r="C332" s="34"/>
      <c r="D332" s="34"/>
      <c r="E332" s="34"/>
      <c r="F332" s="34"/>
      <c r="G332" s="60"/>
      <c r="H332" s="60"/>
      <c r="I332" s="29"/>
      <c r="J332" s="29"/>
      <c r="K332" s="29"/>
      <c r="L332" s="29"/>
      <c r="M332" s="29"/>
      <c r="N332" s="29"/>
      <c r="O332" s="29"/>
      <c r="P332" s="29"/>
      <c r="Q332" s="34"/>
      <c r="R332" s="34"/>
      <c r="S332" s="29"/>
      <c r="T332" s="29"/>
      <c r="U332" s="29"/>
      <c r="V332" s="29"/>
      <c r="W332" s="29"/>
      <c r="X332" s="29"/>
      <c r="Y332" s="2"/>
      <c r="Z332" s="34"/>
      <c r="AA332" s="2"/>
      <c r="AB332" s="29"/>
      <c r="AC332" s="29"/>
      <c r="AD332" s="29"/>
      <c r="AE332" s="29"/>
      <c r="AF332" s="29"/>
      <c r="AG332" s="29"/>
      <c r="AH332" s="29"/>
      <c r="AI332" s="29"/>
      <c r="AJ332" s="34"/>
      <c r="AK332" s="34"/>
      <c r="AL332" s="29"/>
      <c r="AM332" s="29"/>
    </row>
    <row x14ac:dyDescent="0.25" r="333" customHeight="1" ht="15.75">
      <c r="A333" s="1"/>
      <c r="B333" s="34"/>
      <c r="C333" s="34"/>
      <c r="D333" s="34"/>
      <c r="E333" s="34"/>
      <c r="F333" s="34"/>
      <c r="G333" s="60"/>
      <c r="H333" s="60"/>
      <c r="I333" s="29"/>
      <c r="J333" s="29"/>
      <c r="K333" s="29"/>
      <c r="L333" s="29"/>
      <c r="M333" s="29"/>
      <c r="N333" s="29"/>
      <c r="O333" s="29"/>
      <c r="P333" s="29"/>
      <c r="Q333" s="34"/>
      <c r="R333" s="34"/>
      <c r="S333" s="29"/>
      <c r="T333" s="29"/>
      <c r="U333" s="29"/>
      <c r="V333" s="29"/>
      <c r="W333" s="29"/>
      <c r="X333" s="29"/>
      <c r="Y333" s="2"/>
      <c r="Z333" s="34"/>
      <c r="AA333" s="2"/>
      <c r="AB333" s="29"/>
      <c r="AC333" s="29"/>
      <c r="AD333" s="29"/>
      <c r="AE333" s="29"/>
      <c r="AF333" s="29"/>
      <c r="AG333" s="29"/>
      <c r="AH333" s="29"/>
      <c r="AI333" s="29"/>
      <c r="AJ333" s="34"/>
      <c r="AK333" s="34"/>
      <c r="AL333" s="29"/>
      <c r="AM333" s="29"/>
    </row>
    <row x14ac:dyDescent="0.25" r="334" customHeight="1" ht="15.75">
      <c r="A334" s="1"/>
      <c r="B334" s="34"/>
      <c r="C334" s="34"/>
      <c r="D334" s="34"/>
      <c r="E334" s="34"/>
      <c r="F334" s="34"/>
      <c r="G334" s="60"/>
      <c r="H334" s="60"/>
      <c r="I334" s="29"/>
      <c r="J334" s="29"/>
      <c r="K334" s="29"/>
      <c r="L334" s="29"/>
      <c r="M334" s="29"/>
      <c r="N334" s="29"/>
      <c r="O334" s="29"/>
      <c r="P334" s="29"/>
      <c r="Q334" s="34"/>
      <c r="R334" s="34"/>
      <c r="S334" s="29"/>
      <c r="T334" s="29"/>
      <c r="U334" s="29"/>
      <c r="V334" s="29"/>
      <c r="W334" s="29"/>
      <c r="X334" s="29"/>
      <c r="Y334" s="2"/>
      <c r="Z334" s="34"/>
      <c r="AA334" s="2"/>
      <c r="AB334" s="29"/>
      <c r="AC334" s="29"/>
      <c r="AD334" s="29"/>
      <c r="AE334" s="29"/>
      <c r="AF334" s="29"/>
      <c r="AG334" s="29"/>
      <c r="AH334" s="29"/>
      <c r="AI334" s="29"/>
      <c r="AJ334" s="34"/>
      <c r="AK334" s="34"/>
      <c r="AL334" s="29"/>
      <c r="AM334" s="29"/>
    </row>
    <row x14ac:dyDescent="0.25" r="335" customHeight="1" ht="15.75">
      <c r="A335" s="1"/>
      <c r="B335" s="34"/>
      <c r="C335" s="34"/>
      <c r="D335" s="34"/>
      <c r="E335" s="34"/>
      <c r="F335" s="34"/>
      <c r="G335" s="60"/>
      <c r="H335" s="60"/>
      <c r="I335" s="29"/>
      <c r="J335" s="29"/>
      <c r="K335" s="29"/>
      <c r="L335" s="29"/>
      <c r="M335" s="29"/>
      <c r="N335" s="29"/>
      <c r="O335" s="29"/>
      <c r="P335" s="29"/>
      <c r="Q335" s="34"/>
      <c r="R335" s="34"/>
      <c r="S335" s="29"/>
      <c r="T335" s="29"/>
      <c r="U335" s="29"/>
      <c r="V335" s="29"/>
      <c r="W335" s="29"/>
      <c r="X335" s="29"/>
      <c r="Y335" s="2"/>
      <c r="Z335" s="34"/>
      <c r="AA335" s="2"/>
      <c r="AB335" s="29"/>
      <c r="AC335" s="29"/>
      <c r="AD335" s="29"/>
      <c r="AE335" s="29"/>
      <c r="AF335" s="29"/>
      <c r="AG335" s="29"/>
      <c r="AH335" s="29"/>
      <c r="AI335" s="29"/>
      <c r="AJ335" s="34"/>
      <c r="AK335" s="34"/>
      <c r="AL335" s="29"/>
      <c r="AM335" s="29"/>
    </row>
    <row x14ac:dyDescent="0.25" r="336" customHeight="1" ht="15.75">
      <c r="A336" s="1"/>
      <c r="B336" s="34"/>
      <c r="C336" s="34"/>
      <c r="D336" s="34"/>
      <c r="E336" s="34"/>
      <c r="F336" s="34"/>
      <c r="G336" s="60"/>
      <c r="H336" s="60"/>
      <c r="I336" s="29"/>
      <c r="J336" s="29"/>
      <c r="K336" s="29"/>
      <c r="L336" s="29"/>
      <c r="M336" s="29"/>
      <c r="N336" s="29"/>
      <c r="O336" s="29"/>
      <c r="P336" s="29"/>
      <c r="Q336" s="34"/>
      <c r="R336" s="34"/>
      <c r="S336" s="29"/>
      <c r="T336" s="29"/>
      <c r="U336" s="29"/>
      <c r="V336" s="29"/>
      <c r="W336" s="29"/>
      <c r="X336" s="29"/>
      <c r="Y336" s="2"/>
      <c r="Z336" s="34"/>
      <c r="AA336" s="2"/>
      <c r="AB336" s="29"/>
      <c r="AC336" s="29"/>
      <c r="AD336" s="29"/>
      <c r="AE336" s="29"/>
      <c r="AF336" s="29"/>
      <c r="AG336" s="29"/>
      <c r="AH336" s="29"/>
      <c r="AI336" s="29"/>
      <c r="AJ336" s="34"/>
      <c r="AK336" s="34"/>
      <c r="AL336" s="29"/>
      <c r="AM336" s="29"/>
    </row>
    <row x14ac:dyDescent="0.25" r="337" customHeight="1" ht="15.75">
      <c r="A337" s="1"/>
      <c r="B337" s="34"/>
      <c r="C337" s="34"/>
      <c r="D337" s="34"/>
      <c r="E337" s="34"/>
      <c r="F337" s="34"/>
      <c r="G337" s="60"/>
      <c r="H337" s="60"/>
      <c r="I337" s="29"/>
      <c r="J337" s="29"/>
      <c r="K337" s="29"/>
      <c r="L337" s="29"/>
      <c r="M337" s="29"/>
      <c r="N337" s="29"/>
      <c r="O337" s="29"/>
      <c r="P337" s="29"/>
      <c r="Q337" s="34"/>
      <c r="R337" s="34"/>
      <c r="S337" s="29"/>
      <c r="T337" s="29"/>
      <c r="U337" s="29"/>
      <c r="V337" s="29"/>
      <c r="W337" s="29"/>
      <c r="X337" s="29"/>
      <c r="Y337" s="2"/>
      <c r="Z337" s="34"/>
      <c r="AA337" s="2"/>
      <c r="AB337" s="29"/>
      <c r="AC337" s="29"/>
      <c r="AD337" s="29"/>
      <c r="AE337" s="29"/>
      <c r="AF337" s="29"/>
      <c r="AG337" s="29"/>
      <c r="AH337" s="29"/>
      <c r="AI337" s="29"/>
      <c r="AJ337" s="34"/>
      <c r="AK337" s="34"/>
      <c r="AL337" s="29"/>
      <c r="AM337" s="29"/>
    </row>
    <row x14ac:dyDescent="0.25" r="338" customHeight="1" ht="15.75">
      <c r="A338" s="1"/>
      <c r="B338" s="34"/>
      <c r="C338" s="34"/>
      <c r="D338" s="34"/>
      <c r="E338" s="34"/>
      <c r="F338" s="34"/>
      <c r="G338" s="60"/>
      <c r="H338" s="60"/>
      <c r="I338" s="29"/>
      <c r="J338" s="29"/>
      <c r="K338" s="29"/>
      <c r="L338" s="29"/>
      <c r="M338" s="29"/>
      <c r="N338" s="29"/>
      <c r="O338" s="29"/>
      <c r="P338" s="29"/>
      <c r="Q338" s="34"/>
      <c r="R338" s="34"/>
      <c r="S338" s="29"/>
      <c r="T338" s="29"/>
      <c r="U338" s="29"/>
      <c r="V338" s="29"/>
      <c r="W338" s="29"/>
      <c r="X338" s="29"/>
      <c r="Y338" s="2"/>
      <c r="Z338" s="34"/>
      <c r="AA338" s="2"/>
      <c r="AB338" s="29"/>
      <c r="AC338" s="29"/>
      <c r="AD338" s="29"/>
      <c r="AE338" s="29"/>
      <c r="AF338" s="29"/>
      <c r="AG338" s="29"/>
      <c r="AH338" s="29"/>
      <c r="AI338" s="29"/>
      <c r="AJ338" s="34"/>
      <c r="AK338" s="34"/>
      <c r="AL338" s="29"/>
      <c r="AM338" s="29"/>
    </row>
    <row x14ac:dyDescent="0.25" r="339" customHeight="1" ht="15.75">
      <c r="A339" s="1"/>
      <c r="B339" s="34"/>
      <c r="C339" s="34"/>
      <c r="D339" s="34"/>
      <c r="E339" s="34"/>
      <c r="F339" s="34"/>
      <c r="G339" s="60"/>
      <c r="H339" s="60"/>
      <c r="I339" s="29"/>
      <c r="J339" s="29"/>
      <c r="K339" s="29"/>
      <c r="L339" s="29"/>
      <c r="M339" s="29"/>
      <c r="N339" s="29"/>
      <c r="O339" s="29"/>
      <c r="P339" s="29"/>
      <c r="Q339" s="34"/>
      <c r="R339" s="34"/>
      <c r="S339" s="29"/>
      <c r="T339" s="29"/>
      <c r="U339" s="29"/>
      <c r="V339" s="29"/>
      <c r="W339" s="29"/>
      <c r="X339" s="29"/>
      <c r="Y339" s="2"/>
      <c r="Z339" s="34"/>
      <c r="AA339" s="2"/>
      <c r="AB339" s="29"/>
      <c r="AC339" s="29"/>
      <c r="AD339" s="29"/>
      <c r="AE339" s="29"/>
      <c r="AF339" s="29"/>
      <c r="AG339" s="29"/>
      <c r="AH339" s="29"/>
      <c r="AI339" s="29"/>
      <c r="AJ339" s="34"/>
      <c r="AK339" s="34"/>
      <c r="AL339" s="29"/>
      <c r="AM339" s="29"/>
    </row>
    <row x14ac:dyDescent="0.25" r="340" customHeight="1" ht="15.75">
      <c r="A340" s="1"/>
      <c r="B340" s="34"/>
      <c r="C340" s="34"/>
      <c r="D340" s="34"/>
      <c r="E340" s="34"/>
      <c r="F340" s="34"/>
      <c r="G340" s="60"/>
      <c r="H340" s="60"/>
      <c r="I340" s="29"/>
      <c r="J340" s="29"/>
      <c r="K340" s="29"/>
      <c r="L340" s="29"/>
      <c r="M340" s="29"/>
      <c r="N340" s="29"/>
      <c r="O340" s="29"/>
      <c r="P340" s="29"/>
      <c r="Q340" s="34"/>
      <c r="R340" s="34"/>
      <c r="S340" s="29"/>
      <c r="T340" s="29"/>
      <c r="U340" s="29"/>
      <c r="V340" s="29"/>
      <c r="W340" s="29"/>
      <c r="X340" s="29"/>
      <c r="Y340" s="2"/>
      <c r="Z340" s="34"/>
      <c r="AA340" s="2"/>
      <c r="AB340" s="29"/>
      <c r="AC340" s="29"/>
      <c r="AD340" s="29"/>
      <c r="AE340" s="29"/>
      <c r="AF340" s="29"/>
      <c r="AG340" s="29"/>
      <c r="AH340" s="29"/>
      <c r="AI340" s="29"/>
      <c r="AJ340" s="34"/>
      <c r="AK340" s="34"/>
      <c r="AL340" s="29"/>
      <c r="AM340" s="29"/>
    </row>
    <row x14ac:dyDescent="0.25" r="341" customHeight="1" ht="15.75">
      <c r="A341" s="1"/>
      <c r="B341" s="34"/>
      <c r="C341" s="34"/>
      <c r="D341" s="34"/>
      <c r="E341" s="34"/>
      <c r="F341" s="34"/>
      <c r="G341" s="60"/>
      <c r="H341" s="60"/>
      <c r="I341" s="29"/>
      <c r="J341" s="29"/>
      <c r="K341" s="29"/>
      <c r="L341" s="29"/>
      <c r="M341" s="29"/>
      <c r="N341" s="29"/>
      <c r="O341" s="29"/>
      <c r="P341" s="29"/>
      <c r="Q341" s="34"/>
      <c r="R341" s="34"/>
      <c r="S341" s="29"/>
      <c r="T341" s="29"/>
      <c r="U341" s="29"/>
      <c r="V341" s="29"/>
      <c r="W341" s="29"/>
      <c r="X341" s="29"/>
      <c r="Y341" s="2"/>
      <c r="Z341" s="34"/>
      <c r="AA341" s="2"/>
      <c r="AB341" s="29"/>
      <c r="AC341" s="29"/>
      <c r="AD341" s="29"/>
      <c r="AE341" s="29"/>
      <c r="AF341" s="29"/>
      <c r="AG341" s="29"/>
      <c r="AH341" s="29"/>
      <c r="AI341" s="29"/>
      <c r="AJ341" s="34"/>
      <c r="AK341" s="34"/>
      <c r="AL341" s="29"/>
      <c r="AM341" s="29"/>
    </row>
    <row x14ac:dyDescent="0.25" r="342" customHeight="1" ht="15.75">
      <c r="A342" s="1"/>
      <c r="B342" s="34"/>
      <c r="C342" s="34"/>
      <c r="D342" s="34"/>
      <c r="E342" s="34"/>
      <c r="F342" s="34"/>
      <c r="G342" s="60"/>
      <c r="H342" s="60"/>
      <c r="I342" s="29"/>
      <c r="J342" s="29"/>
      <c r="K342" s="29"/>
      <c r="L342" s="29"/>
      <c r="M342" s="29"/>
      <c r="N342" s="29"/>
      <c r="O342" s="29"/>
      <c r="P342" s="29"/>
      <c r="Q342" s="34"/>
      <c r="R342" s="34"/>
      <c r="S342" s="29"/>
      <c r="T342" s="29"/>
      <c r="U342" s="29"/>
      <c r="V342" s="29"/>
      <c r="W342" s="29"/>
      <c r="X342" s="29"/>
      <c r="Y342" s="2"/>
      <c r="Z342" s="34"/>
      <c r="AA342" s="2"/>
      <c r="AB342" s="29"/>
      <c r="AC342" s="29"/>
      <c r="AD342" s="29"/>
      <c r="AE342" s="29"/>
      <c r="AF342" s="29"/>
      <c r="AG342" s="29"/>
      <c r="AH342" s="29"/>
      <c r="AI342" s="29"/>
      <c r="AJ342" s="34"/>
      <c r="AK342" s="34"/>
      <c r="AL342" s="29"/>
      <c r="AM342" s="29"/>
    </row>
    <row x14ac:dyDescent="0.25" r="343" customHeight="1" ht="15.75">
      <c r="A343" s="1"/>
      <c r="B343" s="34"/>
      <c r="C343" s="34"/>
      <c r="D343" s="34"/>
      <c r="E343" s="34"/>
      <c r="F343" s="34"/>
      <c r="G343" s="60"/>
      <c r="H343" s="60"/>
      <c r="I343" s="29"/>
      <c r="J343" s="29"/>
      <c r="K343" s="29"/>
      <c r="L343" s="29"/>
      <c r="M343" s="29"/>
      <c r="N343" s="29"/>
      <c r="O343" s="29"/>
      <c r="P343" s="29"/>
      <c r="Q343" s="34"/>
      <c r="R343" s="34"/>
      <c r="S343" s="29"/>
      <c r="T343" s="29"/>
      <c r="U343" s="29"/>
      <c r="V343" s="29"/>
      <c r="W343" s="29"/>
      <c r="X343" s="29"/>
      <c r="Y343" s="2"/>
      <c r="Z343" s="34"/>
      <c r="AA343" s="2"/>
      <c r="AB343" s="29"/>
      <c r="AC343" s="29"/>
      <c r="AD343" s="29"/>
      <c r="AE343" s="29"/>
      <c r="AF343" s="29"/>
      <c r="AG343" s="29"/>
      <c r="AH343" s="29"/>
      <c r="AI343" s="29"/>
      <c r="AJ343" s="34"/>
      <c r="AK343" s="34"/>
      <c r="AL343" s="29"/>
      <c r="AM343" s="29"/>
    </row>
    <row x14ac:dyDescent="0.25" r="344" customHeight="1" ht="15.75">
      <c r="A344" s="1"/>
      <c r="B344" s="34"/>
      <c r="C344" s="34"/>
      <c r="D344" s="34"/>
      <c r="E344" s="34"/>
      <c r="F344" s="34"/>
      <c r="G344" s="60"/>
      <c r="H344" s="60"/>
      <c r="I344" s="29"/>
      <c r="J344" s="29"/>
      <c r="K344" s="29"/>
      <c r="L344" s="29"/>
      <c r="M344" s="29"/>
      <c r="N344" s="29"/>
      <c r="O344" s="29"/>
      <c r="P344" s="29"/>
      <c r="Q344" s="34"/>
      <c r="R344" s="34"/>
      <c r="S344" s="29"/>
      <c r="T344" s="29"/>
      <c r="U344" s="29"/>
      <c r="V344" s="29"/>
      <c r="W344" s="29"/>
      <c r="X344" s="29"/>
      <c r="Y344" s="2"/>
      <c r="Z344" s="34"/>
      <c r="AA344" s="2"/>
      <c r="AB344" s="29"/>
      <c r="AC344" s="29"/>
      <c r="AD344" s="29"/>
      <c r="AE344" s="29"/>
      <c r="AF344" s="29"/>
      <c r="AG344" s="29"/>
      <c r="AH344" s="29"/>
      <c r="AI344" s="29"/>
      <c r="AJ344" s="34"/>
      <c r="AK344" s="34"/>
      <c r="AL344" s="29"/>
      <c r="AM344" s="29"/>
    </row>
    <row x14ac:dyDescent="0.25" r="345" customHeight="1" ht="15.75">
      <c r="A345" s="1"/>
      <c r="B345" s="34"/>
      <c r="C345" s="34"/>
      <c r="D345" s="34"/>
      <c r="E345" s="34"/>
      <c r="F345" s="34"/>
      <c r="G345" s="60"/>
      <c r="H345" s="60"/>
      <c r="I345" s="29"/>
      <c r="J345" s="29"/>
      <c r="K345" s="29"/>
      <c r="L345" s="29"/>
      <c r="M345" s="29"/>
      <c r="N345" s="29"/>
      <c r="O345" s="29"/>
      <c r="P345" s="29"/>
      <c r="Q345" s="34"/>
      <c r="R345" s="34"/>
      <c r="S345" s="29"/>
      <c r="T345" s="29"/>
      <c r="U345" s="29"/>
      <c r="V345" s="29"/>
      <c r="W345" s="29"/>
      <c r="X345" s="29"/>
      <c r="Y345" s="2"/>
      <c r="Z345" s="34"/>
      <c r="AA345" s="2"/>
      <c r="AB345" s="29"/>
      <c r="AC345" s="29"/>
      <c r="AD345" s="29"/>
      <c r="AE345" s="29"/>
      <c r="AF345" s="29"/>
      <c r="AG345" s="29"/>
      <c r="AH345" s="29"/>
      <c r="AI345" s="29"/>
      <c r="AJ345" s="34"/>
      <c r="AK345" s="34"/>
      <c r="AL345" s="29"/>
      <c r="AM345" s="29"/>
    </row>
    <row x14ac:dyDescent="0.25" r="346" customHeight="1" ht="15.75">
      <c r="A346" s="1"/>
      <c r="B346" s="34"/>
      <c r="C346" s="34"/>
      <c r="D346" s="34"/>
      <c r="E346" s="34"/>
      <c r="F346" s="34"/>
      <c r="G346" s="60"/>
      <c r="H346" s="60"/>
      <c r="I346" s="29"/>
      <c r="J346" s="29"/>
      <c r="K346" s="29"/>
      <c r="L346" s="29"/>
      <c r="M346" s="29"/>
      <c r="N346" s="29"/>
      <c r="O346" s="29"/>
      <c r="P346" s="29"/>
      <c r="Q346" s="34"/>
      <c r="R346" s="34"/>
      <c r="S346" s="29"/>
      <c r="T346" s="29"/>
      <c r="U346" s="29"/>
      <c r="V346" s="29"/>
      <c r="W346" s="29"/>
      <c r="X346" s="29"/>
      <c r="Y346" s="2"/>
      <c r="Z346" s="34"/>
      <c r="AA346" s="2"/>
      <c r="AB346" s="29"/>
      <c r="AC346" s="29"/>
      <c r="AD346" s="29"/>
      <c r="AE346" s="29"/>
      <c r="AF346" s="29"/>
      <c r="AG346" s="29"/>
      <c r="AH346" s="29"/>
      <c r="AI346" s="29"/>
      <c r="AJ346" s="34"/>
      <c r="AK346" s="34"/>
      <c r="AL346" s="29"/>
      <c r="AM346" s="29"/>
    </row>
    <row x14ac:dyDescent="0.25" r="347" customHeight="1" ht="15.75">
      <c r="A347" s="1"/>
      <c r="B347" s="34"/>
      <c r="C347" s="34"/>
      <c r="D347" s="34"/>
      <c r="E347" s="34"/>
      <c r="F347" s="34"/>
      <c r="G347" s="60"/>
      <c r="H347" s="60"/>
      <c r="I347" s="29"/>
      <c r="J347" s="29"/>
      <c r="K347" s="29"/>
      <c r="L347" s="29"/>
      <c r="M347" s="29"/>
      <c r="N347" s="29"/>
      <c r="O347" s="29"/>
      <c r="P347" s="29"/>
      <c r="Q347" s="34"/>
      <c r="R347" s="34"/>
      <c r="S347" s="29"/>
      <c r="T347" s="29"/>
      <c r="U347" s="29"/>
      <c r="V347" s="29"/>
      <c r="W347" s="29"/>
      <c r="X347" s="29"/>
      <c r="Y347" s="2"/>
      <c r="Z347" s="34"/>
      <c r="AA347" s="2"/>
      <c r="AB347" s="29"/>
      <c r="AC347" s="29"/>
      <c r="AD347" s="29"/>
      <c r="AE347" s="29"/>
      <c r="AF347" s="29"/>
      <c r="AG347" s="29"/>
      <c r="AH347" s="29"/>
      <c r="AI347" s="29"/>
      <c r="AJ347" s="34"/>
      <c r="AK347" s="34"/>
      <c r="AL347" s="29"/>
      <c r="AM347" s="29"/>
    </row>
    <row x14ac:dyDescent="0.25" r="348" customHeight="1" ht="15.75">
      <c r="A348" s="1"/>
      <c r="B348" s="34"/>
      <c r="C348" s="34"/>
      <c r="D348" s="34"/>
      <c r="E348" s="34"/>
      <c r="F348" s="34"/>
      <c r="G348" s="60"/>
      <c r="H348" s="60"/>
      <c r="I348" s="29"/>
      <c r="J348" s="29"/>
      <c r="K348" s="29"/>
      <c r="L348" s="29"/>
      <c r="M348" s="29"/>
      <c r="N348" s="29"/>
      <c r="O348" s="29"/>
      <c r="P348" s="29"/>
      <c r="Q348" s="34"/>
      <c r="R348" s="34"/>
      <c r="S348" s="29"/>
      <c r="T348" s="29"/>
      <c r="U348" s="29"/>
      <c r="V348" s="29"/>
      <c r="W348" s="29"/>
      <c r="X348" s="29"/>
      <c r="Y348" s="2"/>
      <c r="Z348" s="34"/>
      <c r="AA348" s="2"/>
      <c r="AB348" s="29"/>
      <c r="AC348" s="29"/>
      <c r="AD348" s="29"/>
      <c r="AE348" s="29"/>
      <c r="AF348" s="29"/>
      <c r="AG348" s="29"/>
      <c r="AH348" s="29"/>
      <c r="AI348" s="29"/>
      <c r="AJ348" s="34"/>
      <c r="AK348" s="34"/>
      <c r="AL348" s="29"/>
      <c r="AM348" s="29"/>
    </row>
    <row x14ac:dyDescent="0.25" r="349" customHeight="1" ht="15.75">
      <c r="A349" s="1"/>
      <c r="B349" s="34"/>
      <c r="C349" s="34"/>
      <c r="D349" s="34"/>
      <c r="E349" s="34"/>
      <c r="F349" s="34"/>
      <c r="G349" s="60"/>
      <c r="H349" s="60"/>
      <c r="I349" s="29"/>
      <c r="J349" s="29"/>
      <c r="K349" s="29"/>
      <c r="L349" s="29"/>
      <c r="M349" s="29"/>
      <c r="N349" s="29"/>
      <c r="O349" s="29"/>
      <c r="P349" s="29"/>
      <c r="Q349" s="34"/>
      <c r="R349" s="34"/>
      <c r="S349" s="29"/>
      <c r="T349" s="29"/>
      <c r="U349" s="29"/>
      <c r="V349" s="29"/>
      <c r="W349" s="29"/>
      <c r="X349" s="29"/>
      <c r="Y349" s="2"/>
      <c r="Z349" s="34"/>
      <c r="AA349" s="2"/>
      <c r="AB349" s="29"/>
      <c r="AC349" s="29"/>
      <c r="AD349" s="29"/>
      <c r="AE349" s="29"/>
      <c r="AF349" s="29"/>
      <c r="AG349" s="29"/>
      <c r="AH349" s="29"/>
      <c r="AI349" s="29"/>
      <c r="AJ349" s="34"/>
      <c r="AK349" s="34"/>
      <c r="AL349" s="29"/>
      <c r="AM349" s="29"/>
    </row>
    <row x14ac:dyDescent="0.25" r="350" customHeight="1" ht="15.75">
      <c r="A350" s="1"/>
      <c r="B350" s="34"/>
      <c r="C350" s="34"/>
      <c r="D350" s="34"/>
      <c r="E350" s="34"/>
      <c r="F350" s="34"/>
      <c r="G350" s="60"/>
      <c r="H350" s="60"/>
      <c r="I350" s="29"/>
      <c r="J350" s="29"/>
      <c r="K350" s="29"/>
      <c r="L350" s="29"/>
      <c r="M350" s="29"/>
      <c r="N350" s="29"/>
      <c r="O350" s="29"/>
      <c r="P350" s="29"/>
      <c r="Q350" s="34"/>
      <c r="R350" s="34"/>
      <c r="S350" s="29"/>
      <c r="T350" s="29"/>
      <c r="U350" s="29"/>
      <c r="V350" s="29"/>
      <c r="W350" s="29"/>
      <c r="X350" s="29"/>
      <c r="Y350" s="2"/>
      <c r="Z350" s="34"/>
      <c r="AA350" s="2"/>
      <c r="AB350" s="29"/>
      <c r="AC350" s="29"/>
      <c r="AD350" s="29"/>
      <c r="AE350" s="29"/>
      <c r="AF350" s="29"/>
      <c r="AG350" s="29"/>
      <c r="AH350" s="29"/>
      <c r="AI350" s="29"/>
      <c r="AJ350" s="34"/>
      <c r="AK350" s="34"/>
      <c r="AL350" s="29"/>
      <c r="AM350" s="29"/>
    </row>
    <row x14ac:dyDescent="0.25" r="351" customHeight="1" ht="15.75">
      <c r="A351" s="1"/>
      <c r="B351" s="34"/>
      <c r="C351" s="34"/>
      <c r="D351" s="34"/>
      <c r="E351" s="34"/>
      <c r="F351" s="34"/>
      <c r="G351" s="60"/>
      <c r="H351" s="60"/>
      <c r="I351" s="29"/>
      <c r="J351" s="29"/>
      <c r="K351" s="29"/>
      <c r="L351" s="29"/>
      <c r="M351" s="29"/>
      <c r="N351" s="29"/>
      <c r="O351" s="29"/>
      <c r="P351" s="29"/>
      <c r="Q351" s="34"/>
      <c r="R351" s="34"/>
      <c r="S351" s="29"/>
      <c r="T351" s="29"/>
      <c r="U351" s="29"/>
      <c r="V351" s="29"/>
      <c r="W351" s="29"/>
      <c r="X351" s="29"/>
      <c r="Y351" s="2"/>
      <c r="Z351" s="34"/>
      <c r="AA351" s="2"/>
      <c r="AB351" s="29"/>
      <c r="AC351" s="29"/>
      <c r="AD351" s="29"/>
      <c r="AE351" s="29"/>
      <c r="AF351" s="29"/>
      <c r="AG351" s="29"/>
      <c r="AH351" s="29"/>
      <c r="AI351" s="29"/>
      <c r="AJ351" s="34"/>
      <c r="AK351" s="34"/>
      <c r="AL351" s="29"/>
      <c r="AM351" s="29"/>
    </row>
    <row x14ac:dyDescent="0.25" r="352" customHeight="1" ht="15.75">
      <c r="A352" s="1"/>
      <c r="B352" s="34"/>
      <c r="C352" s="34"/>
      <c r="D352" s="34"/>
      <c r="E352" s="34"/>
      <c r="F352" s="34"/>
      <c r="G352" s="60"/>
      <c r="H352" s="60"/>
      <c r="I352" s="29"/>
      <c r="J352" s="29"/>
      <c r="K352" s="29"/>
      <c r="L352" s="29"/>
      <c r="M352" s="29"/>
      <c r="N352" s="29"/>
      <c r="O352" s="29"/>
      <c r="P352" s="29"/>
      <c r="Q352" s="34"/>
      <c r="R352" s="34"/>
      <c r="S352" s="29"/>
      <c r="T352" s="29"/>
      <c r="U352" s="29"/>
      <c r="V352" s="29"/>
      <c r="W352" s="29"/>
      <c r="X352" s="29"/>
      <c r="Y352" s="2"/>
      <c r="Z352" s="34"/>
      <c r="AA352" s="2"/>
      <c r="AB352" s="29"/>
      <c r="AC352" s="29"/>
      <c r="AD352" s="29"/>
      <c r="AE352" s="29"/>
      <c r="AF352" s="29"/>
      <c r="AG352" s="29"/>
      <c r="AH352" s="29"/>
      <c r="AI352" s="29"/>
      <c r="AJ352" s="34"/>
      <c r="AK352" s="34"/>
      <c r="AL352" s="29"/>
      <c r="AM352" s="29"/>
    </row>
    <row x14ac:dyDescent="0.25" r="353" customHeight="1" ht="15.75">
      <c r="A353" s="1"/>
      <c r="B353" s="34"/>
      <c r="C353" s="34"/>
      <c r="D353" s="34"/>
      <c r="E353" s="34"/>
      <c r="F353" s="34"/>
      <c r="G353" s="60"/>
      <c r="H353" s="60"/>
      <c r="I353" s="29"/>
      <c r="J353" s="29"/>
      <c r="K353" s="29"/>
      <c r="L353" s="29"/>
      <c r="M353" s="29"/>
      <c r="N353" s="29"/>
      <c r="O353" s="29"/>
      <c r="P353" s="29"/>
      <c r="Q353" s="34"/>
      <c r="R353" s="34"/>
      <c r="S353" s="29"/>
      <c r="T353" s="29"/>
      <c r="U353" s="29"/>
      <c r="V353" s="29"/>
      <c r="W353" s="29"/>
      <c r="X353" s="29"/>
      <c r="Y353" s="2"/>
      <c r="Z353" s="34"/>
      <c r="AA353" s="2"/>
      <c r="AB353" s="29"/>
      <c r="AC353" s="29"/>
      <c r="AD353" s="29"/>
      <c r="AE353" s="29"/>
      <c r="AF353" s="29"/>
      <c r="AG353" s="29"/>
      <c r="AH353" s="29"/>
      <c r="AI353" s="29"/>
      <c r="AJ353" s="34"/>
      <c r="AK353" s="34"/>
      <c r="AL353" s="29"/>
      <c r="AM353" s="29"/>
    </row>
    <row x14ac:dyDescent="0.25" r="354" customHeight="1" ht="15.75">
      <c r="A354" s="1"/>
      <c r="B354" s="34"/>
      <c r="C354" s="34"/>
      <c r="D354" s="34"/>
      <c r="E354" s="34"/>
      <c r="F354" s="34"/>
      <c r="G354" s="60"/>
      <c r="H354" s="60"/>
      <c r="I354" s="29"/>
      <c r="J354" s="29"/>
      <c r="K354" s="29"/>
      <c r="L354" s="29"/>
      <c r="M354" s="29"/>
      <c r="N354" s="29"/>
      <c r="O354" s="29"/>
      <c r="P354" s="29"/>
      <c r="Q354" s="34"/>
      <c r="R354" s="34"/>
      <c r="S354" s="29"/>
      <c r="T354" s="29"/>
      <c r="U354" s="29"/>
      <c r="V354" s="29"/>
      <c r="W354" s="29"/>
      <c r="X354" s="29"/>
      <c r="Y354" s="2"/>
      <c r="Z354" s="34"/>
      <c r="AA354" s="2"/>
      <c r="AB354" s="29"/>
      <c r="AC354" s="29"/>
      <c r="AD354" s="29"/>
      <c r="AE354" s="29"/>
      <c r="AF354" s="29"/>
      <c r="AG354" s="29"/>
      <c r="AH354" s="29"/>
      <c r="AI354" s="29"/>
      <c r="AJ354" s="34"/>
      <c r="AK354" s="34"/>
      <c r="AL354" s="29"/>
      <c r="AM354" s="29"/>
    </row>
    <row x14ac:dyDescent="0.25" r="355" customHeight="1" ht="15.75">
      <c r="A355" s="1"/>
      <c r="B355" s="34"/>
      <c r="C355" s="34"/>
      <c r="D355" s="34"/>
      <c r="E355" s="34"/>
      <c r="F355" s="34"/>
      <c r="G355" s="60"/>
      <c r="H355" s="60"/>
      <c r="I355" s="29"/>
      <c r="J355" s="29"/>
      <c r="K355" s="29"/>
      <c r="L355" s="29"/>
      <c r="M355" s="29"/>
      <c r="N355" s="29"/>
      <c r="O355" s="29"/>
      <c r="P355" s="29"/>
      <c r="Q355" s="34"/>
      <c r="R355" s="34"/>
      <c r="S355" s="29"/>
      <c r="T355" s="29"/>
      <c r="U355" s="29"/>
      <c r="V355" s="29"/>
      <c r="W355" s="29"/>
      <c r="X355" s="29"/>
      <c r="Y355" s="2"/>
      <c r="Z355" s="34"/>
      <c r="AA355" s="2"/>
      <c r="AB355" s="29"/>
      <c r="AC355" s="29"/>
      <c r="AD355" s="29"/>
      <c r="AE355" s="29"/>
      <c r="AF355" s="29"/>
      <c r="AG355" s="29"/>
      <c r="AH355" s="29"/>
      <c r="AI355" s="29"/>
      <c r="AJ355" s="34"/>
      <c r="AK355" s="34"/>
      <c r="AL355" s="29"/>
      <c r="AM355" s="29"/>
    </row>
    <row x14ac:dyDescent="0.25" r="356" customHeight="1" ht="15.75">
      <c r="A356" s="1"/>
      <c r="B356" s="34"/>
      <c r="C356" s="34"/>
      <c r="D356" s="34"/>
      <c r="E356" s="34"/>
      <c r="F356" s="34"/>
      <c r="G356" s="60"/>
      <c r="H356" s="60"/>
      <c r="I356" s="29"/>
      <c r="J356" s="29"/>
      <c r="K356" s="29"/>
      <c r="L356" s="29"/>
      <c r="M356" s="29"/>
      <c r="N356" s="29"/>
      <c r="O356" s="29"/>
      <c r="P356" s="29"/>
      <c r="Q356" s="34"/>
      <c r="R356" s="34"/>
      <c r="S356" s="29"/>
      <c r="T356" s="29"/>
      <c r="U356" s="29"/>
      <c r="V356" s="29"/>
      <c r="W356" s="29"/>
      <c r="X356" s="29"/>
      <c r="Y356" s="2"/>
      <c r="Z356" s="34"/>
      <c r="AA356" s="2"/>
      <c r="AB356" s="29"/>
      <c r="AC356" s="29"/>
      <c r="AD356" s="29"/>
      <c r="AE356" s="29"/>
      <c r="AF356" s="29"/>
      <c r="AG356" s="29"/>
      <c r="AH356" s="29"/>
      <c r="AI356" s="29"/>
      <c r="AJ356" s="34"/>
      <c r="AK356" s="34"/>
      <c r="AL356" s="29"/>
      <c r="AM356" s="29"/>
    </row>
    <row x14ac:dyDescent="0.25" r="357" customHeight="1" ht="15.75">
      <c r="A357" s="1"/>
      <c r="B357" s="34"/>
      <c r="C357" s="34"/>
      <c r="D357" s="34"/>
      <c r="E357" s="34"/>
      <c r="F357" s="34"/>
      <c r="G357" s="60"/>
      <c r="H357" s="60"/>
      <c r="I357" s="29"/>
      <c r="J357" s="29"/>
      <c r="K357" s="29"/>
      <c r="L357" s="29"/>
      <c r="M357" s="29"/>
      <c r="N357" s="29"/>
      <c r="O357" s="29"/>
      <c r="P357" s="29"/>
      <c r="Q357" s="34"/>
      <c r="R357" s="34"/>
      <c r="S357" s="29"/>
      <c r="T357" s="29"/>
      <c r="U357" s="29"/>
      <c r="V357" s="29"/>
      <c r="W357" s="29"/>
      <c r="X357" s="29"/>
      <c r="Y357" s="2"/>
      <c r="Z357" s="34"/>
      <c r="AA357" s="2"/>
      <c r="AB357" s="29"/>
      <c r="AC357" s="29"/>
      <c r="AD357" s="29"/>
      <c r="AE357" s="29"/>
      <c r="AF357" s="29"/>
      <c r="AG357" s="29"/>
      <c r="AH357" s="29"/>
      <c r="AI357" s="29"/>
      <c r="AJ357" s="34"/>
      <c r="AK357" s="34"/>
      <c r="AL357" s="29"/>
      <c r="AM357" s="29"/>
    </row>
    <row x14ac:dyDescent="0.25" r="358" customHeight="1" ht="15.75">
      <c r="A358" s="1"/>
      <c r="B358" s="34"/>
      <c r="C358" s="34"/>
      <c r="D358" s="34"/>
      <c r="E358" s="34"/>
      <c r="F358" s="34"/>
      <c r="G358" s="60"/>
      <c r="H358" s="60"/>
      <c r="I358" s="29"/>
      <c r="J358" s="29"/>
      <c r="K358" s="29"/>
      <c r="L358" s="29"/>
      <c r="M358" s="29"/>
      <c r="N358" s="29"/>
      <c r="O358" s="29"/>
      <c r="P358" s="29"/>
      <c r="Q358" s="34"/>
      <c r="R358" s="34"/>
      <c r="S358" s="29"/>
      <c r="T358" s="29"/>
      <c r="U358" s="29"/>
      <c r="V358" s="29"/>
      <c r="W358" s="29"/>
      <c r="X358" s="29"/>
      <c r="Y358" s="2"/>
      <c r="Z358" s="34"/>
      <c r="AA358" s="2"/>
      <c r="AB358" s="29"/>
      <c r="AC358" s="29"/>
      <c r="AD358" s="29"/>
      <c r="AE358" s="29"/>
      <c r="AF358" s="29"/>
      <c r="AG358" s="29"/>
      <c r="AH358" s="29"/>
      <c r="AI358" s="29"/>
      <c r="AJ358" s="34"/>
      <c r="AK358" s="34"/>
      <c r="AL358" s="29"/>
      <c r="AM358" s="29"/>
    </row>
    <row x14ac:dyDescent="0.25" r="359" customHeight="1" ht="15.75">
      <c r="A359" s="1"/>
      <c r="B359" s="34"/>
      <c r="C359" s="34"/>
      <c r="D359" s="34"/>
      <c r="E359" s="34"/>
      <c r="F359" s="34"/>
      <c r="G359" s="60"/>
      <c r="H359" s="60"/>
      <c r="I359" s="29"/>
      <c r="J359" s="29"/>
      <c r="K359" s="29"/>
      <c r="L359" s="29"/>
      <c r="M359" s="29"/>
      <c r="N359" s="29"/>
      <c r="O359" s="29"/>
      <c r="P359" s="29"/>
      <c r="Q359" s="34"/>
      <c r="R359" s="34"/>
      <c r="S359" s="29"/>
      <c r="T359" s="29"/>
      <c r="U359" s="29"/>
      <c r="V359" s="29"/>
      <c r="W359" s="29"/>
      <c r="X359" s="29"/>
      <c r="Y359" s="2"/>
      <c r="Z359" s="34"/>
      <c r="AA359" s="2"/>
      <c r="AB359" s="29"/>
      <c r="AC359" s="29"/>
      <c r="AD359" s="29"/>
      <c r="AE359" s="29"/>
      <c r="AF359" s="29"/>
      <c r="AG359" s="29"/>
      <c r="AH359" s="29"/>
      <c r="AI359" s="29"/>
      <c r="AJ359" s="34"/>
      <c r="AK359" s="34"/>
      <c r="AL359" s="29"/>
      <c r="AM359" s="29"/>
    </row>
    <row x14ac:dyDescent="0.25" r="360" customHeight="1" ht="15.75">
      <c r="A360" s="1"/>
      <c r="B360" s="34"/>
      <c r="C360" s="34"/>
      <c r="D360" s="34"/>
      <c r="E360" s="34"/>
      <c r="F360" s="34"/>
      <c r="G360" s="60"/>
      <c r="H360" s="60"/>
      <c r="I360" s="29"/>
      <c r="J360" s="29"/>
      <c r="K360" s="29"/>
      <c r="L360" s="29"/>
      <c r="M360" s="29"/>
      <c r="N360" s="29"/>
      <c r="O360" s="29"/>
      <c r="P360" s="29"/>
      <c r="Q360" s="34"/>
      <c r="R360" s="34"/>
      <c r="S360" s="29"/>
      <c r="T360" s="29"/>
      <c r="U360" s="29"/>
      <c r="V360" s="29"/>
      <c r="W360" s="29"/>
      <c r="X360" s="29"/>
      <c r="Y360" s="2"/>
      <c r="Z360" s="34"/>
      <c r="AA360" s="2"/>
      <c r="AB360" s="29"/>
      <c r="AC360" s="29"/>
      <c r="AD360" s="29"/>
      <c r="AE360" s="29"/>
      <c r="AF360" s="29"/>
      <c r="AG360" s="29"/>
      <c r="AH360" s="29"/>
      <c r="AI360" s="29"/>
      <c r="AJ360" s="34"/>
      <c r="AK360" s="34"/>
      <c r="AL360" s="29"/>
      <c r="AM360" s="29"/>
    </row>
    <row x14ac:dyDescent="0.25" r="361" customHeight="1" ht="15.75">
      <c r="A361" s="1"/>
      <c r="B361" s="34"/>
      <c r="C361" s="34"/>
      <c r="D361" s="34"/>
      <c r="E361" s="34"/>
      <c r="F361" s="34"/>
      <c r="G361" s="60"/>
      <c r="H361" s="60"/>
      <c r="I361" s="29"/>
      <c r="J361" s="29"/>
      <c r="K361" s="29"/>
      <c r="L361" s="29"/>
      <c r="M361" s="29"/>
      <c r="N361" s="29"/>
      <c r="O361" s="29"/>
      <c r="P361" s="29"/>
      <c r="Q361" s="34"/>
      <c r="R361" s="34"/>
      <c r="S361" s="29"/>
      <c r="T361" s="29"/>
      <c r="U361" s="29"/>
      <c r="V361" s="29"/>
      <c r="W361" s="29"/>
      <c r="X361" s="29"/>
      <c r="Y361" s="2"/>
      <c r="Z361" s="34"/>
      <c r="AA361" s="2"/>
      <c r="AB361" s="29"/>
      <c r="AC361" s="29"/>
      <c r="AD361" s="29"/>
      <c r="AE361" s="29"/>
      <c r="AF361" s="29"/>
      <c r="AG361" s="29"/>
      <c r="AH361" s="29"/>
      <c r="AI361" s="29"/>
      <c r="AJ361" s="34"/>
      <c r="AK361" s="34"/>
      <c r="AL361" s="29"/>
      <c r="AM361" s="29"/>
    </row>
    <row x14ac:dyDescent="0.25" r="362" customHeight="1" ht="15.75">
      <c r="A362" s="1"/>
      <c r="B362" s="34"/>
      <c r="C362" s="34"/>
      <c r="D362" s="34"/>
      <c r="E362" s="34"/>
      <c r="F362" s="34"/>
      <c r="G362" s="60"/>
      <c r="H362" s="60"/>
      <c r="I362" s="29"/>
      <c r="J362" s="29"/>
      <c r="K362" s="29"/>
      <c r="L362" s="29"/>
      <c r="M362" s="29"/>
      <c r="N362" s="29"/>
      <c r="O362" s="29"/>
      <c r="P362" s="29"/>
      <c r="Q362" s="34"/>
      <c r="R362" s="34"/>
      <c r="S362" s="29"/>
      <c r="T362" s="29"/>
      <c r="U362" s="29"/>
      <c r="V362" s="29"/>
      <c r="W362" s="29"/>
      <c r="X362" s="29"/>
      <c r="Y362" s="2"/>
      <c r="Z362" s="34"/>
      <c r="AA362" s="2"/>
      <c r="AB362" s="29"/>
      <c r="AC362" s="29"/>
      <c r="AD362" s="29"/>
      <c r="AE362" s="29"/>
      <c r="AF362" s="29"/>
      <c r="AG362" s="29"/>
      <c r="AH362" s="29"/>
      <c r="AI362" s="29"/>
      <c r="AJ362" s="34"/>
      <c r="AK362" s="34"/>
      <c r="AL362" s="29"/>
      <c r="AM362" s="29"/>
    </row>
    <row x14ac:dyDescent="0.25" r="363" customHeight="1" ht="15.75">
      <c r="A363" s="1"/>
      <c r="B363" s="34"/>
      <c r="C363" s="34"/>
      <c r="D363" s="34"/>
      <c r="E363" s="34"/>
      <c r="F363" s="34"/>
      <c r="G363" s="60"/>
      <c r="H363" s="60"/>
      <c r="I363" s="29"/>
      <c r="J363" s="29"/>
      <c r="K363" s="29"/>
      <c r="L363" s="29"/>
      <c r="M363" s="29"/>
      <c r="N363" s="29"/>
      <c r="O363" s="29"/>
      <c r="P363" s="29"/>
      <c r="Q363" s="34"/>
      <c r="R363" s="34"/>
      <c r="S363" s="29"/>
      <c r="T363" s="29"/>
      <c r="U363" s="29"/>
      <c r="V363" s="29"/>
      <c r="W363" s="29"/>
      <c r="X363" s="29"/>
      <c r="Y363" s="2"/>
      <c r="Z363" s="34"/>
      <c r="AA363" s="2"/>
      <c r="AB363" s="29"/>
      <c r="AC363" s="29"/>
      <c r="AD363" s="29"/>
      <c r="AE363" s="29"/>
      <c r="AF363" s="29"/>
      <c r="AG363" s="29"/>
      <c r="AH363" s="29"/>
      <c r="AI363" s="29"/>
      <c r="AJ363" s="34"/>
      <c r="AK363" s="34"/>
      <c r="AL363" s="29"/>
      <c r="AM363" s="29"/>
    </row>
    <row x14ac:dyDescent="0.25" r="364" customHeight="1" ht="15.75">
      <c r="A364" s="1"/>
      <c r="B364" s="34"/>
      <c r="C364" s="34"/>
      <c r="D364" s="34"/>
      <c r="E364" s="34"/>
      <c r="F364" s="34"/>
      <c r="G364" s="60"/>
      <c r="H364" s="60"/>
      <c r="I364" s="29"/>
      <c r="J364" s="29"/>
      <c r="K364" s="29"/>
      <c r="L364" s="29"/>
      <c r="M364" s="29"/>
      <c r="N364" s="29"/>
      <c r="O364" s="29"/>
      <c r="P364" s="29"/>
      <c r="Q364" s="34"/>
      <c r="R364" s="34"/>
      <c r="S364" s="29"/>
      <c r="T364" s="29"/>
      <c r="U364" s="29"/>
      <c r="V364" s="29"/>
      <c r="W364" s="29"/>
      <c r="X364" s="29"/>
      <c r="Y364" s="2"/>
      <c r="Z364" s="34"/>
      <c r="AA364" s="2"/>
      <c r="AB364" s="29"/>
      <c r="AC364" s="29"/>
      <c r="AD364" s="29"/>
      <c r="AE364" s="29"/>
      <c r="AF364" s="29"/>
      <c r="AG364" s="29"/>
      <c r="AH364" s="29"/>
      <c r="AI364" s="29"/>
      <c r="AJ364" s="34"/>
      <c r="AK364" s="34"/>
      <c r="AL364" s="29"/>
      <c r="AM364" s="29"/>
    </row>
    <row x14ac:dyDescent="0.25" r="365" customHeight="1" ht="15.75">
      <c r="A365" s="1"/>
      <c r="B365" s="34"/>
      <c r="C365" s="34"/>
      <c r="D365" s="34"/>
      <c r="E365" s="34"/>
      <c r="F365" s="34"/>
      <c r="G365" s="60"/>
      <c r="H365" s="60"/>
      <c r="I365" s="29"/>
      <c r="J365" s="29"/>
      <c r="K365" s="29"/>
      <c r="L365" s="29"/>
      <c r="M365" s="29"/>
      <c r="N365" s="29"/>
      <c r="O365" s="29"/>
      <c r="P365" s="29"/>
      <c r="Q365" s="34"/>
      <c r="R365" s="34"/>
      <c r="S365" s="29"/>
      <c r="T365" s="29"/>
      <c r="U365" s="29"/>
      <c r="V365" s="29"/>
      <c r="W365" s="29"/>
      <c r="X365" s="29"/>
      <c r="Y365" s="2"/>
      <c r="Z365" s="34"/>
      <c r="AA365" s="2"/>
      <c r="AB365" s="29"/>
      <c r="AC365" s="29"/>
      <c r="AD365" s="29"/>
      <c r="AE365" s="29"/>
      <c r="AF365" s="29"/>
      <c r="AG365" s="29"/>
      <c r="AH365" s="29"/>
      <c r="AI365" s="29"/>
      <c r="AJ365" s="34"/>
      <c r="AK365" s="34"/>
      <c r="AL365" s="29"/>
      <c r="AM365" s="29"/>
    </row>
    <row x14ac:dyDescent="0.25" r="366" customHeight="1" ht="15.75">
      <c r="A366" s="1"/>
      <c r="B366" s="34"/>
      <c r="C366" s="34"/>
      <c r="D366" s="34"/>
      <c r="E366" s="34"/>
      <c r="F366" s="34"/>
      <c r="G366" s="60"/>
      <c r="H366" s="60"/>
      <c r="I366" s="29"/>
      <c r="J366" s="29"/>
      <c r="K366" s="29"/>
      <c r="L366" s="29"/>
      <c r="M366" s="29"/>
      <c r="N366" s="29"/>
      <c r="O366" s="29"/>
      <c r="P366" s="29"/>
      <c r="Q366" s="34"/>
      <c r="R366" s="34"/>
      <c r="S366" s="29"/>
      <c r="T366" s="29"/>
      <c r="U366" s="29"/>
      <c r="V366" s="29"/>
      <c r="W366" s="29"/>
      <c r="X366" s="29"/>
      <c r="Y366" s="2"/>
      <c r="Z366" s="34"/>
      <c r="AA366" s="2"/>
      <c r="AB366" s="29"/>
      <c r="AC366" s="29"/>
      <c r="AD366" s="29"/>
      <c r="AE366" s="29"/>
      <c r="AF366" s="29"/>
      <c r="AG366" s="29"/>
      <c r="AH366" s="29"/>
      <c r="AI366" s="29"/>
      <c r="AJ366" s="34"/>
      <c r="AK366" s="34"/>
      <c r="AL366" s="29"/>
      <c r="AM366" s="29"/>
    </row>
    <row x14ac:dyDescent="0.25" r="367" customHeight="1" ht="15.75">
      <c r="A367" s="1"/>
      <c r="B367" s="34"/>
      <c r="C367" s="34"/>
      <c r="D367" s="34"/>
      <c r="E367" s="34"/>
      <c r="F367" s="34"/>
      <c r="G367" s="60"/>
      <c r="H367" s="60"/>
      <c r="I367" s="29"/>
      <c r="J367" s="29"/>
      <c r="K367" s="29"/>
      <c r="L367" s="29"/>
      <c r="M367" s="29"/>
      <c r="N367" s="29"/>
      <c r="O367" s="29"/>
      <c r="P367" s="29"/>
      <c r="Q367" s="34"/>
      <c r="R367" s="34"/>
      <c r="S367" s="29"/>
      <c r="T367" s="29"/>
      <c r="U367" s="29"/>
      <c r="V367" s="29"/>
      <c r="W367" s="29"/>
      <c r="X367" s="29"/>
      <c r="Y367" s="2"/>
      <c r="Z367" s="34"/>
      <c r="AA367" s="2"/>
      <c r="AB367" s="29"/>
      <c r="AC367" s="29"/>
      <c r="AD367" s="29"/>
      <c r="AE367" s="29"/>
      <c r="AF367" s="29"/>
      <c r="AG367" s="29"/>
      <c r="AH367" s="29"/>
      <c r="AI367" s="29"/>
      <c r="AJ367" s="34"/>
      <c r="AK367" s="34"/>
      <c r="AL367" s="29"/>
      <c r="AM367" s="29"/>
    </row>
    <row x14ac:dyDescent="0.25" r="368" customHeight="1" ht="15.75">
      <c r="A368" s="1"/>
      <c r="B368" s="34"/>
      <c r="C368" s="34"/>
      <c r="D368" s="34"/>
      <c r="E368" s="34"/>
      <c r="F368" s="34"/>
      <c r="G368" s="60"/>
      <c r="H368" s="60"/>
      <c r="I368" s="29"/>
      <c r="J368" s="29"/>
      <c r="K368" s="29"/>
      <c r="L368" s="29"/>
      <c r="M368" s="29"/>
      <c r="N368" s="29"/>
      <c r="O368" s="29"/>
      <c r="P368" s="29"/>
      <c r="Q368" s="34"/>
      <c r="R368" s="34"/>
      <c r="S368" s="29"/>
      <c r="T368" s="29"/>
      <c r="U368" s="29"/>
      <c r="V368" s="29"/>
      <c r="W368" s="29"/>
      <c r="X368" s="29"/>
      <c r="Y368" s="2"/>
      <c r="Z368" s="34"/>
      <c r="AA368" s="2"/>
      <c r="AB368" s="29"/>
      <c r="AC368" s="29"/>
      <c r="AD368" s="29"/>
      <c r="AE368" s="29"/>
      <c r="AF368" s="29"/>
      <c r="AG368" s="29"/>
      <c r="AH368" s="29"/>
      <c r="AI368" s="29"/>
      <c r="AJ368" s="34"/>
      <c r="AK368" s="34"/>
      <c r="AL368" s="29"/>
      <c r="AM368" s="29"/>
    </row>
    <row x14ac:dyDescent="0.25" r="369" customHeight="1" ht="15.75">
      <c r="A369" s="1"/>
      <c r="B369" s="34"/>
      <c r="C369" s="34"/>
      <c r="D369" s="34"/>
      <c r="E369" s="34"/>
      <c r="F369" s="34"/>
      <c r="G369" s="60"/>
      <c r="H369" s="60"/>
      <c r="I369" s="29"/>
      <c r="J369" s="29"/>
      <c r="K369" s="29"/>
      <c r="L369" s="29"/>
      <c r="M369" s="29"/>
      <c r="N369" s="29"/>
      <c r="O369" s="29"/>
      <c r="P369" s="29"/>
      <c r="Q369" s="34"/>
      <c r="R369" s="34"/>
      <c r="S369" s="29"/>
      <c r="T369" s="29"/>
      <c r="U369" s="29"/>
      <c r="V369" s="29"/>
      <c r="W369" s="29"/>
      <c r="X369" s="29"/>
      <c r="Y369" s="2"/>
      <c r="Z369" s="34"/>
      <c r="AA369" s="2"/>
      <c r="AB369" s="29"/>
      <c r="AC369" s="29"/>
      <c r="AD369" s="29"/>
      <c r="AE369" s="29"/>
      <c r="AF369" s="29"/>
      <c r="AG369" s="29"/>
      <c r="AH369" s="29"/>
      <c r="AI369" s="29"/>
      <c r="AJ369" s="34"/>
      <c r="AK369" s="34"/>
      <c r="AL369" s="29"/>
      <c r="AM369" s="29"/>
    </row>
    <row x14ac:dyDescent="0.25" r="370" customHeight="1" ht="15.75">
      <c r="A370" s="1"/>
      <c r="B370" s="34"/>
      <c r="C370" s="34"/>
      <c r="D370" s="34"/>
      <c r="E370" s="34"/>
      <c r="F370" s="34"/>
      <c r="G370" s="60"/>
      <c r="H370" s="60"/>
      <c r="I370" s="29"/>
      <c r="J370" s="29"/>
      <c r="K370" s="29"/>
      <c r="L370" s="29"/>
      <c r="M370" s="29"/>
      <c r="N370" s="29"/>
      <c r="O370" s="29"/>
      <c r="P370" s="29"/>
      <c r="Q370" s="34"/>
      <c r="R370" s="34"/>
      <c r="S370" s="29"/>
      <c r="T370" s="29"/>
      <c r="U370" s="29"/>
      <c r="V370" s="29"/>
      <c r="W370" s="29"/>
      <c r="X370" s="29"/>
      <c r="Y370" s="2"/>
      <c r="Z370" s="34"/>
      <c r="AA370" s="2"/>
      <c r="AB370" s="29"/>
      <c r="AC370" s="29"/>
      <c r="AD370" s="29"/>
      <c r="AE370" s="29"/>
      <c r="AF370" s="29"/>
      <c r="AG370" s="29"/>
      <c r="AH370" s="29"/>
      <c r="AI370" s="29"/>
      <c r="AJ370" s="34"/>
      <c r="AK370" s="34"/>
      <c r="AL370" s="29"/>
      <c r="AM370" s="29"/>
    </row>
    <row x14ac:dyDescent="0.25" r="371" customHeight="1" ht="15.75">
      <c r="A371" s="1"/>
      <c r="B371" s="34"/>
      <c r="C371" s="34"/>
      <c r="D371" s="34"/>
      <c r="E371" s="34"/>
      <c r="F371" s="34"/>
      <c r="G371" s="60"/>
      <c r="H371" s="60"/>
      <c r="I371" s="29"/>
      <c r="J371" s="29"/>
      <c r="K371" s="29"/>
      <c r="L371" s="29"/>
      <c r="M371" s="29"/>
      <c r="N371" s="29"/>
      <c r="O371" s="29"/>
      <c r="P371" s="29"/>
      <c r="Q371" s="34"/>
      <c r="R371" s="34"/>
      <c r="S371" s="29"/>
      <c r="T371" s="29"/>
      <c r="U371" s="29"/>
      <c r="V371" s="29"/>
      <c r="W371" s="29"/>
      <c r="X371" s="29"/>
      <c r="Y371" s="2"/>
      <c r="Z371" s="34"/>
      <c r="AA371" s="2"/>
      <c r="AB371" s="29"/>
      <c r="AC371" s="29"/>
      <c r="AD371" s="29"/>
      <c r="AE371" s="29"/>
      <c r="AF371" s="29"/>
      <c r="AG371" s="29"/>
      <c r="AH371" s="29"/>
      <c r="AI371" s="29"/>
      <c r="AJ371" s="34"/>
      <c r="AK371" s="34"/>
      <c r="AL371" s="29"/>
      <c r="AM371" s="29"/>
    </row>
    <row x14ac:dyDescent="0.25" r="372" customHeight="1" ht="15.75">
      <c r="A372" s="1"/>
      <c r="B372" s="34"/>
      <c r="C372" s="34"/>
      <c r="D372" s="34"/>
      <c r="E372" s="34"/>
      <c r="F372" s="34"/>
      <c r="G372" s="60"/>
      <c r="H372" s="60"/>
      <c r="I372" s="29"/>
      <c r="J372" s="29"/>
      <c r="K372" s="29"/>
      <c r="L372" s="29"/>
      <c r="M372" s="29"/>
      <c r="N372" s="29"/>
      <c r="O372" s="29"/>
      <c r="P372" s="29"/>
      <c r="Q372" s="34"/>
      <c r="R372" s="34"/>
      <c r="S372" s="29"/>
      <c r="T372" s="29"/>
      <c r="U372" s="29"/>
      <c r="V372" s="29"/>
      <c r="W372" s="29"/>
      <c r="X372" s="29"/>
      <c r="Y372" s="2"/>
      <c r="Z372" s="34"/>
      <c r="AA372" s="2"/>
      <c r="AB372" s="29"/>
      <c r="AC372" s="29"/>
      <c r="AD372" s="29"/>
      <c r="AE372" s="29"/>
      <c r="AF372" s="29"/>
      <c r="AG372" s="29"/>
      <c r="AH372" s="29"/>
      <c r="AI372" s="29"/>
      <c r="AJ372" s="34"/>
      <c r="AK372" s="34"/>
      <c r="AL372" s="29"/>
      <c r="AM372" s="29"/>
    </row>
    <row x14ac:dyDescent="0.25" r="373" customHeight="1" ht="15.75">
      <c r="A373" s="1"/>
      <c r="B373" s="34"/>
      <c r="C373" s="34"/>
      <c r="D373" s="34"/>
      <c r="E373" s="34"/>
      <c r="F373" s="34"/>
      <c r="G373" s="60"/>
      <c r="H373" s="60"/>
      <c r="I373" s="29"/>
      <c r="J373" s="29"/>
      <c r="K373" s="29"/>
      <c r="L373" s="29"/>
      <c r="M373" s="29"/>
      <c r="N373" s="29"/>
      <c r="O373" s="29"/>
      <c r="P373" s="29"/>
      <c r="Q373" s="34"/>
      <c r="R373" s="34"/>
      <c r="S373" s="29"/>
      <c r="T373" s="29"/>
      <c r="U373" s="29"/>
      <c r="V373" s="29"/>
      <c r="W373" s="29"/>
      <c r="X373" s="29"/>
      <c r="Y373" s="2"/>
      <c r="Z373" s="34"/>
      <c r="AA373" s="2"/>
      <c r="AB373" s="29"/>
      <c r="AC373" s="29"/>
      <c r="AD373" s="29"/>
      <c r="AE373" s="29"/>
      <c r="AF373" s="29"/>
      <c r="AG373" s="29"/>
      <c r="AH373" s="29"/>
      <c r="AI373" s="29"/>
      <c r="AJ373" s="34"/>
      <c r="AK373" s="34"/>
      <c r="AL373" s="29"/>
      <c r="AM373" s="29"/>
    </row>
    <row x14ac:dyDescent="0.25" r="374" customHeight="1" ht="15.75">
      <c r="A374" s="1"/>
      <c r="B374" s="34"/>
      <c r="C374" s="34"/>
      <c r="D374" s="34"/>
      <c r="E374" s="34"/>
      <c r="F374" s="34"/>
      <c r="G374" s="60"/>
      <c r="H374" s="60"/>
      <c r="I374" s="29"/>
      <c r="J374" s="29"/>
      <c r="K374" s="29"/>
      <c r="L374" s="29"/>
      <c r="M374" s="29"/>
      <c r="N374" s="29"/>
      <c r="O374" s="29"/>
      <c r="P374" s="29"/>
      <c r="Q374" s="34"/>
      <c r="R374" s="34"/>
      <c r="S374" s="29"/>
      <c r="T374" s="29"/>
      <c r="U374" s="29"/>
      <c r="V374" s="29"/>
      <c r="W374" s="29"/>
      <c r="X374" s="29"/>
      <c r="Y374" s="2"/>
      <c r="Z374" s="34"/>
      <c r="AA374" s="2"/>
      <c r="AB374" s="29"/>
      <c r="AC374" s="29"/>
      <c r="AD374" s="29"/>
      <c r="AE374" s="29"/>
      <c r="AF374" s="29"/>
      <c r="AG374" s="29"/>
      <c r="AH374" s="29"/>
      <c r="AI374" s="29"/>
      <c r="AJ374" s="34"/>
      <c r="AK374" s="34"/>
      <c r="AL374" s="29"/>
      <c r="AM374" s="29"/>
    </row>
    <row x14ac:dyDescent="0.25" r="375" customHeight="1" ht="15.75">
      <c r="A375" s="1"/>
      <c r="B375" s="34"/>
      <c r="C375" s="34"/>
      <c r="D375" s="34"/>
      <c r="E375" s="34"/>
      <c r="F375" s="34"/>
      <c r="G375" s="60"/>
      <c r="H375" s="60"/>
      <c r="I375" s="29"/>
      <c r="J375" s="29"/>
      <c r="K375" s="29"/>
      <c r="L375" s="29"/>
      <c r="M375" s="29"/>
      <c r="N375" s="29"/>
      <c r="O375" s="29"/>
      <c r="P375" s="29"/>
      <c r="Q375" s="34"/>
      <c r="R375" s="34"/>
      <c r="S375" s="29"/>
      <c r="T375" s="29"/>
      <c r="U375" s="29"/>
      <c r="V375" s="29"/>
      <c r="W375" s="29"/>
      <c r="X375" s="29"/>
      <c r="Y375" s="2"/>
      <c r="Z375" s="34"/>
      <c r="AA375" s="2"/>
      <c r="AB375" s="29"/>
      <c r="AC375" s="29"/>
      <c r="AD375" s="29"/>
      <c r="AE375" s="29"/>
      <c r="AF375" s="29"/>
      <c r="AG375" s="29"/>
      <c r="AH375" s="29"/>
      <c r="AI375" s="29"/>
      <c r="AJ375" s="34"/>
      <c r="AK375" s="34"/>
      <c r="AL375" s="29"/>
      <c r="AM375" s="29"/>
    </row>
    <row x14ac:dyDescent="0.25" r="376" customHeight="1" ht="15.75">
      <c r="A376" s="1"/>
      <c r="B376" s="34"/>
      <c r="C376" s="34"/>
      <c r="D376" s="34"/>
      <c r="E376" s="34"/>
      <c r="F376" s="34"/>
      <c r="G376" s="60"/>
      <c r="H376" s="60"/>
      <c r="I376" s="29"/>
      <c r="J376" s="29"/>
      <c r="K376" s="29"/>
      <c r="L376" s="29"/>
      <c r="M376" s="29"/>
      <c r="N376" s="29"/>
      <c r="O376" s="29"/>
      <c r="P376" s="29"/>
      <c r="Q376" s="34"/>
      <c r="R376" s="34"/>
      <c r="S376" s="29"/>
      <c r="T376" s="29"/>
      <c r="U376" s="29"/>
      <c r="V376" s="29"/>
      <c r="W376" s="29"/>
      <c r="X376" s="29"/>
      <c r="Y376" s="2"/>
      <c r="Z376" s="34"/>
      <c r="AA376" s="2"/>
      <c r="AB376" s="29"/>
      <c r="AC376" s="29"/>
      <c r="AD376" s="29"/>
      <c r="AE376" s="29"/>
      <c r="AF376" s="29"/>
      <c r="AG376" s="29"/>
      <c r="AH376" s="29"/>
      <c r="AI376" s="29"/>
      <c r="AJ376" s="34"/>
      <c r="AK376" s="34"/>
      <c r="AL376" s="29"/>
      <c r="AM376" s="29"/>
    </row>
    <row x14ac:dyDescent="0.25" r="377" customHeight="1" ht="15.75">
      <c r="A377" s="1"/>
      <c r="B377" s="34"/>
      <c r="C377" s="34"/>
      <c r="D377" s="34"/>
      <c r="E377" s="34"/>
      <c r="F377" s="34"/>
      <c r="G377" s="60"/>
      <c r="H377" s="60"/>
      <c r="I377" s="29"/>
      <c r="J377" s="29"/>
      <c r="K377" s="29"/>
      <c r="L377" s="29"/>
      <c r="M377" s="29"/>
      <c r="N377" s="29"/>
      <c r="O377" s="29"/>
      <c r="P377" s="29"/>
      <c r="Q377" s="34"/>
      <c r="R377" s="34"/>
      <c r="S377" s="29"/>
      <c r="T377" s="29"/>
      <c r="U377" s="29"/>
      <c r="V377" s="29"/>
      <c r="W377" s="29"/>
      <c r="X377" s="29"/>
      <c r="Y377" s="2"/>
      <c r="Z377" s="34"/>
      <c r="AA377" s="2"/>
      <c r="AB377" s="29"/>
      <c r="AC377" s="29"/>
      <c r="AD377" s="29"/>
      <c r="AE377" s="29"/>
      <c r="AF377" s="29"/>
      <c r="AG377" s="29"/>
      <c r="AH377" s="29"/>
      <c r="AI377" s="29"/>
      <c r="AJ377" s="34"/>
      <c r="AK377" s="34"/>
      <c r="AL377" s="29"/>
      <c r="AM377" s="29"/>
    </row>
    <row x14ac:dyDescent="0.25" r="378" customHeight="1" ht="15.75">
      <c r="A378" s="1"/>
      <c r="B378" s="34"/>
      <c r="C378" s="34"/>
      <c r="D378" s="34"/>
      <c r="E378" s="34"/>
      <c r="F378" s="34"/>
      <c r="G378" s="60"/>
      <c r="H378" s="60"/>
      <c r="I378" s="29"/>
      <c r="J378" s="29"/>
      <c r="K378" s="29"/>
      <c r="L378" s="29"/>
      <c r="M378" s="29"/>
      <c r="N378" s="29"/>
      <c r="O378" s="29"/>
      <c r="P378" s="29"/>
      <c r="Q378" s="34"/>
      <c r="R378" s="34"/>
      <c r="S378" s="29"/>
      <c r="T378" s="29"/>
      <c r="U378" s="29"/>
      <c r="V378" s="29"/>
      <c r="W378" s="29"/>
      <c r="X378" s="29"/>
      <c r="Y378" s="2"/>
      <c r="Z378" s="34"/>
      <c r="AA378" s="2"/>
      <c r="AB378" s="29"/>
      <c r="AC378" s="29"/>
      <c r="AD378" s="29"/>
      <c r="AE378" s="29"/>
      <c r="AF378" s="29"/>
      <c r="AG378" s="29"/>
      <c r="AH378" s="29"/>
      <c r="AI378" s="29"/>
      <c r="AJ378" s="34"/>
      <c r="AK378" s="34"/>
      <c r="AL378" s="29"/>
      <c r="AM378" s="29"/>
    </row>
    <row x14ac:dyDescent="0.25" r="379" customHeight="1" ht="15.75">
      <c r="A379" s="1"/>
      <c r="B379" s="34"/>
      <c r="C379" s="34"/>
      <c r="D379" s="34"/>
      <c r="E379" s="34"/>
      <c r="F379" s="34"/>
      <c r="G379" s="60"/>
      <c r="H379" s="60"/>
      <c r="I379" s="29"/>
      <c r="J379" s="29"/>
      <c r="K379" s="29"/>
      <c r="L379" s="29"/>
      <c r="M379" s="29"/>
      <c r="N379" s="29"/>
      <c r="O379" s="29"/>
      <c r="P379" s="29"/>
      <c r="Q379" s="34"/>
      <c r="R379" s="34"/>
      <c r="S379" s="29"/>
      <c r="T379" s="29"/>
      <c r="U379" s="29"/>
      <c r="V379" s="29"/>
      <c r="W379" s="29"/>
      <c r="X379" s="29"/>
      <c r="Y379" s="2"/>
      <c r="Z379" s="34"/>
      <c r="AA379" s="2"/>
      <c r="AB379" s="29"/>
      <c r="AC379" s="29"/>
      <c r="AD379" s="29"/>
      <c r="AE379" s="29"/>
      <c r="AF379" s="29"/>
      <c r="AG379" s="29"/>
      <c r="AH379" s="29"/>
      <c r="AI379" s="29"/>
      <c r="AJ379" s="34"/>
      <c r="AK379" s="34"/>
      <c r="AL379" s="29"/>
      <c r="AM379" s="29"/>
    </row>
    <row x14ac:dyDescent="0.25" r="380" customHeight="1" ht="15.75">
      <c r="A380" s="1"/>
      <c r="B380" s="34"/>
      <c r="C380" s="34"/>
      <c r="D380" s="34"/>
      <c r="E380" s="34"/>
      <c r="F380" s="34"/>
      <c r="G380" s="60"/>
      <c r="H380" s="60"/>
      <c r="I380" s="29"/>
      <c r="J380" s="29"/>
      <c r="K380" s="29"/>
      <c r="L380" s="29"/>
      <c r="M380" s="29"/>
      <c r="N380" s="29"/>
      <c r="O380" s="29"/>
      <c r="P380" s="29"/>
      <c r="Q380" s="34"/>
      <c r="R380" s="34"/>
      <c r="S380" s="29"/>
      <c r="T380" s="29"/>
      <c r="U380" s="29"/>
      <c r="V380" s="29"/>
      <c r="W380" s="29"/>
      <c r="X380" s="29"/>
      <c r="Y380" s="2"/>
      <c r="Z380" s="34"/>
      <c r="AA380" s="2"/>
      <c r="AB380" s="29"/>
      <c r="AC380" s="29"/>
      <c r="AD380" s="29"/>
      <c r="AE380" s="29"/>
      <c r="AF380" s="29"/>
      <c r="AG380" s="29"/>
      <c r="AH380" s="29"/>
      <c r="AI380" s="29"/>
      <c r="AJ380" s="34"/>
      <c r="AK380" s="34"/>
      <c r="AL380" s="29"/>
      <c r="AM380" s="29"/>
    </row>
    <row x14ac:dyDescent="0.25" r="381" customHeight="1" ht="15.75">
      <c r="A381" s="1"/>
      <c r="B381" s="34"/>
      <c r="C381" s="34"/>
      <c r="D381" s="34"/>
      <c r="E381" s="34"/>
      <c r="F381" s="34"/>
      <c r="G381" s="60"/>
      <c r="H381" s="60"/>
      <c r="I381" s="29"/>
      <c r="J381" s="29"/>
      <c r="K381" s="29"/>
      <c r="L381" s="29"/>
      <c r="M381" s="29"/>
      <c r="N381" s="29"/>
      <c r="O381" s="29"/>
      <c r="P381" s="29"/>
      <c r="Q381" s="34"/>
      <c r="R381" s="34"/>
      <c r="S381" s="29"/>
      <c r="T381" s="29"/>
      <c r="U381" s="29"/>
      <c r="V381" s="29"/>
      <c r="W381" s="29"/>
      <c r="X381" s="29"/>
      <c r="Y381" s="2"/>
      <c r="Z381" s="34"/>
      <c r="AA381" s="2"/>
      <c r="AB381" s="29"/>
      <c r="AC381" s="29"/>
      <c r="AD381" s="29"/>
      <c r="AE381" s="29"/>
      <c r="AF381" s="29"/>
      <c r="AG381" s="29"/>
      <c r="AH381" s="29"/>
      <c r="AI381" s="29"/>
      <c r="AJ381" s="34"/>
      <c r="AK381" s="34"/>
      <c r="AL381" s="29"/>
      <c r="AM381" s="29"/>
    </row>
    <row x14ac:dyDescent="0.25" r="382" customHeight="1" ht="15.75">
      <c r="A382" s="1"/>
      <c r="B382" s="34"/>
      <c r="C382" s="34"/>
      <c r="D382" s="34"/>
      <c r="E382" s="34"/>
      <c r="F382" s="34"/>
      <c r="G382" s="60"/>
      <c r="H382" s="60"/>
      <c r="I382" s="29"/>
      <c r="J382" s="29"/>
      <c r="K382" s="29"/>
      <c r="L382" s="29"/>
      <c r="M382" s="29"/>
      <c r="N382" s="29"/>
      <c r="O382" s="29"/>
      <c r="P382" s="29"/>
      <c r="Q382" s="34"/>
      <c r="R382" s="34"/>
      <c r="S382" s="29"/>
      <c r="T382" s="29"/>
      <c r="U382" s="29"/>
      <c r="V382" s="29"/>
      <c r="W382" s="29"/>
      <c r="X382" s="29"/>
      <c r="Y382" s="2"/>
      <c r="Z382" s="34"/>
      <c r="AA382" s="2"/>
      <c r="AB382" s="29"/>
      <c r="AC382" s="29"/>
      <c r="AD382" s="29"/>
      <c r="AE382" s="29"/>
      <c r="AF382" s="29"/>
      <c r="AG382" s="29"/>
      <c r="AH382" s="29"/>
      <c r="AI382" s="29"/>
      <c r="AJ382" s="34"/>
      <c r="AK382" s="34"/>
      <c r="AL382" s="29"/>
      <c r="AM382" s="29"/>
    </row>
    <row x14ac:dyDescent="0.25" r="383" customHeight="1" ht="15.75">
      <c r="A383" s="1"/>
      <c r="B383" s="34"/>
      <c r="C383" s="34"/>
      <c r="D383" s="34"/>
      <c r="E383" s="34"/>
      <c r="F383" s="34"/>
      <c r="G383" s="60"/>
      <c r="H383" s="60"/>
      <c r="I383" s="29"/>
      <c r="J383" s="29"/>
      <c r="K383" s="29"/>
      <c r="L383" s="29"/>
      <c r="M383" s="29"/>
      <c r="N383" s="29"/>
      <c r="O383" s="29"/>
      <c r="P383" s="29"/>
      <c r="Q383" s="34"/>
      <c r="R383" s="34"/>
      <c r="S383" s="29"/>
      <c r="T383" s="29"/>
      <c r="U383" s="29"/>
      <c r="V383" s="29"/>
      <c r="W383" s="29"/>
      <c r="X383" s="29"/>
      <c r="Y383" s="2"/>
      <c r="Z383" s="34"/>
      <c r="AA383" s="2"/>
      <c r="AB383" s="29"/>
      <c r="AC383" s="29"/>
      <c r="AD383" s="29"/>
      <c r="AE383" s="29"/>
      <c r="AF383" s="29"/>
      <c r="AG383" s="29"/>
      <c r="AH383" s="29"/>
      <c r="AI383" s="29"/>
      <c r="AJ383" s="34"/>
      <c r="AK383" s="34"/>
      <c r="AL383" s="29"/>
      <c r="AM383" s="29"/>
    </row>
    <row x14ac:dyDescent="0.25" r="384" customHeight="1" ht="15.75">
      <c r="A384" s="1"/>
      <c r="B384" s="34"/>
      <c r="C384" s="34"/>
      <c r="D384" s="34"/>
      <c r="E384" s="34"/>
      <c r="F384" s="34"/>
      <c r="G384" s="60"/>
      <c r="H384" s="60"/>
      <c r="I384" s="29"/>
      <c r="J384" s="29"/>
      <c r="K384" s="29"/>
      <c r="L384" s="29"/>
      <c r="M384" s="29"/>
      <c r="N384" s="29"/>
      <c r="O384" s="29"/>
      <c r="P384" s="29"/>
      <c r="Q384" s="34"/>
      <c r="R384" s="34"/>
      <c r="S384" s="29"/>
      <c r="T384" s="29"/>
      <c r="U384" s="29"/>
      <c r="V384" s="29"/>
      <c r="W384" s="29"/>
      <c r="X384" s="29"/>
      <c r="Y384" s="2"/>
      <c r="Z384" s="34"/>
      <c r="AA384" s="2"/>
      <c r="AB384" s="29"/>
      <c r="AC384" s="29"/>
      <c r="AD384" s="29"/>
      <c r="AE384" s="29"/>
      <c r="AF384" s="29"/>
      <c r="AG384" s="29"/>
      <c r="AH384" s="29"/>
      <c r="AI384" s="29"/>
      <c r="AJ384" s="34"/>
      <c r="AK384" s="34"/>
      <c r="AL384" s="29"/>
      <c r="AM384" s="29"/>
    </row>
    <row x14ac:dyDescent="0.25" r="385" customHeight="1" ht="15.75">
      <c r="A385" s="1"/>
      <c r="B385" s="34"/>
      <c r="C385" s="34"/>
      <c r="D385" s="34"/>
      <c r="E385" s="34"/>
      <c r="F385" s="34"/>
      <c r="G385" s="60"/>
      <c r="H385" s="60"/>
      <c r="I385" s="29"/>
      <c r="J385" s="29"/>
      <c r="K385" s="29"/>
      <c r="L385" s="29"/>
      <c r="M385" s="29"/>
      <c r="N385" s="29"/>
      <c r="O385" s="29"/>
      <c r="P385" s="29"/>
      <c r="Q385" s="34"/>
      <c r="R385" s="34"/>
      <c r="S385" s="29"/>
      <c r="T385" s="29"/>
      <c r="U385" s="29"/>
      <c r="V385" s="29"/>
      <c r="W385" s="29"/>
      <c r="X385" s="29"/>
      <c r="Y385" s="2"/>
      <c r="Z385" s="34"/>
      <c r="AA385" s="2"/>
      <c r="AB385" s="29"/>
      <c r="AC385" s="29"/>
      <c r="AD385" s="29"/>
      <c r="AE385" s="29"/>
      <c r="AF385" s="29"/>
      <c r="AG385" s="29"/>
      <c r="AH385" s="29"/>
      <c r="AI385" s="29"/>
      <c r="AJ385" s="34"/>
      <c r="AK385" s="34"/>
      <c r="AL385" s="29"/>
      <c r="AM385" s="29"/>
    </row>
    <row x14ac:dyDescent="0.25" r="386" customHeight="1" ht="15.75">
      <c r="A386" s="1"/>
      <c r="B386" s="34"/>
      <c r="C386" s="34"/>
      <c r="D386" s="34"/>
      <c r="E386" s="34"/>
      <c r="F386" s="34"/>
      <c r="G386" s="60"/>
      <c r="H386" s="60"/>
      <c r="I386" s="29"/>
      <c r="J386" s="29"/>
      <c r="K386" s="29"/>
      <c r="L386" s="29"/>
      <c r="M386" s="29"/>
      <c r="N386" s="29"/>
      <c r="O386" s="29"/>
      <c r="P386" s="29"/>
      <c r="Q386" s="34"/>
      <c r="R386" s="34"/>
      <c r="S386" s="29"/>
      <c r="T386" s="29"/>
      <c r="U386" s="29"/>
      <c r="V386" s="29"/>
      <c r="W386" s="29"/>
      <c r="X386" s="29"/>
      <c r="Y386" s="2"/>
      <c r="Z386" s="34"/>
      <c r="AA386" s="2"/>
      <c r="AB386" s="29"/>
      <c r="AC386" s="29"/>
      <c r="AD386" s="29"/>
      <c r="AE386" s="29"/>
      <c r="AF386" s="29"/>
      <c r="AG386" s="29"/>
      <c r="AH386" s="29"/>
      <c r="AI386" s="29"/>
      <c r="AJ386" s="34"/>
      <c r="AK386" s="34"/>
      <c r="AL386" s="29"/>
      <c r="AM386" s="29"/>
    </row>
    <row x14ac:dyDescent="0.25" r="387" customHeight="1" ht="15.75">
      <c r="A387" s="1"/>
      <c r="B387" s="34"/>
      <c r="C387" s="34"/>
      <c r="D387" s="34"/>
      <c r="E387" s="34"/>
      <c r="F387" s="34"/>
      <c r="G387" s="60"/>
      <c r="H387" s="60"/>
      <c r="I387" s="29"/>
      <c r="J387" s="29"/>
      <c r="K387" s="29"/>
      <c r="L387" s="29"/>
      <c r="M387" s="29"/>
      <c r="N387" s="29"/>
      <c r="O387" s="29"/>
      <c r="P387" s="29"/>
      <c r="Q387" s="34"/>
      <c r="R387" s="34"/>
      <c r="S387" s="29"/>
      <c r="T387" s="29"/>
      <c r="U387" s="29"/>
      <c r="V387" s="29"/>
      <c r="W387" s="29"/>
      <c r="X387" s="29"/>
      <c r="Y387" s="2"/>
      <c r="Z387" s="34"/>
      <c r="AA387" s="2"/>
      <c r="AB387" s="29"/>
      <c r="AC387" s="29"/>
      <c r="AD387" s="29"/>
      <c r="AE387" s="29"/>
      <c r="AF387" s="29"/>
      <c r="AG387" s="29"/>
      <c r="AH387" s="29"/>
      <c r="AI387" s="29"/>
      <c r="AJ387" s="34"/>
      <c r="AK387" s="34"/>
      <c r="AL387" s="29"/>
      <c r="AM387" s="29"/>
    </row>
    <row x14ac:dyDescent="0.25" r="388" customHeight="1" ht="15.75">
      <c r="A388" s="1"/>
      <c r="B388" s="34"/>
      <c r="C388" s="34"/>
      <c r="D388" s="34"/>
      <c r="E388" s="34"/>
      <c r="F388" s="34"/>
      <c r="G388" s="60"/>
      <c r="H388" s="60"/>
      <c r="I388" s="29"/>
      <c r="J388" s="29"/>
      <c r="K388" s="29"/>
      <c r="L388" s="29"/>
      <c r="M388" s="29"/>
      <c r="N388" s="29"/>
      <c r="O388" s="29"/>
      <c r="P388" s="29"/>
      <c r="Q388" s="34"/>
      <c r="R388" s="34"/>
      <c r="S388" s="29"/>
      <c r="T388" s="29"/>
      <c r="U388" s="29"/>
      <c r="V388" s="29"/>
      <c r="W388" s="29"/>
      <c r="X388" s="29"/>
      <c r="Y388" s="2"/>
      <c r="Z388" s="34"/>
      <c r="AA388" s="2"/>
      <c r="AB388" s="29"/>
      <c r="AC388" s="29"/>
      <c r="AD388" s="29"/>
      <c r="AE388" s="29"/>
      <c r="AF388" s="29"/>
      <c r="AG388" s="29"/>
      <c r="AH388" s="29"/>
      <c r="AI388" s="29"/>
      <c r="AJ388" s="34"/>
      <c r="AK388" s="34"/>
      <c r="AL388" s="29"/>
      <c r="AM388" s="29"/>
    </row>
    <row x14ac:dyDescent="0.25" r="389" customHeight="1" ht="15.75">
      <c r="A389" s="1"/>
      <c r="B389" s="34"/>
      <c r="C389" s="34"/>
      <c r="D389" s="34"/>
      <c r="E389" s="34"/>
      <c r="F389" s="34"/>
      <c r="G389" s="60"/>
      <c r="H389" s="60"/>
      <c r="I389" s="29"/>
      <c r="J389" s="29"/>
      <c r="K389" s="29"/>
      <c r="L389" s="29"/>
      <c r="M389" s="29"/>
      <c r="N389" s="29"/>
      <c r="O389" s="29"/>
      <c r="P389" s="29"/>
      <c r="Q389" s="34"/>
      <c r="R389" s="34"/>
      <c r="S389" s="29"/>
      <c r="T389" s="29"/>
      <c r="U389" s="29"/>
      <c r="V389" s="29"/>
      <c r="W389" s="29"/>
      <c r="X389" s="29"/>
      <c r="Y389" s="2"/>
      <c r="Z389" s="34"/>
      <c r="AA389" s="2"/>
      <c r="AB389" s="29"/>
      <c r="AC389" s="29"/>
      <c r="AD389" s="29"/>
      <c r="AE389" s="29"/>
      <c r="AF389" s="29"/>
      <c r="AG389" s="29"/>
      <c r="AH389" s="29"/>
      <c r="AI389" s="29"/>
      <c r="AJ389" s="34"/>
      <c r="AK389" s="34"/>
      <c r="AL389" s="29"/>
      <c r="AM389" s="29"/>
    </row>
    <row x14ac:dyDescent="0.25" r="390" customHeight="1" ht="15.75">
      <c r="A390" s="1"/>
      <c r="B390" s="34"/>
      <c r="C390" s="34"/>
      <c r="D390" s="34"/>
      <c r="E390" s="34"/>
      <c r="F390" s="34"/>
      <c r="G390" s="60"/>
      <c r="H390" s="60"/>
      <c r="I390" s="29"/>
      <c r="J390" s="29"/>
      <c r="K390" s="29"/>
      <c r="L390" s="29"/>
      <c r="M390" s="29"/>
      <c r="N390" s="29"/>
      <c r="O390" s="29"/>
      <c r="P390" s="29"/>
      <c r="Q390" s="34"/>
      <c r="R390" s="34"/>
      <c r="S390" s="29"/>
      <c r="T390" s="29"/>
      <c r="U390" s="29"/>
      <c r="V390" s="29"/>
      <c r="W390" s="29"/>
      <c r="X390" s="29"/>
      <c r="Y390" s="2"/>
      <c r="Z390" s="34"/>
      <c r="AA390" s="2"/>
      <c r="AB390" s="29"/>
      <c r="AC390" s="29"/>
      <c r="AD390" s="29"/>
      <c r="AE390" s="29"/>
      <c r="AF390" s="29"/>
      <c r="AG390" s="29"/>
      <c r="AH390" s="29"/>
      <c r="AI390" s="29"/>
      <c r="AJ390" s="34"/>
      <c r="AK390" s="34"/>
      <c r="AL390" s="29"/>
      <c r="AM390" s="29"/>
    </row>
    <row x14ac:dyDescent="0.25" r="391" customHeight="1" ht="15.75">
      <c r="A391" s="1"/>
      <c r="B391" s="34"/>
      <c r="C391" s="34"/>
      <c r="D391" s="34"/>
      <c r="E391" s="34"/>
      <c r="F391" s="34"/>
      <c r="G391" s="60"/>
      <c r="H391" s="60"/>
      <c r="I391" s="29"/>
      <c r="J391" s="29"/>
      <c r="K391" s="29"/>
      <c r="L391" s="29"/>
      <c r="M391" s="29"/>
      <c r="N391" s="29"/>
      <c r="O391" s="29"/>
      <c r="P391" s="29"/>
      <c r="Q391" s="34"/>
      <c r="R391" s="34"/>
      <c r="S391" s="29"/>
      <c r="T391" s="29"/>
      <c r="U391" s="29"/>
      <c r="V391" s="29"/>
      <c r="W391" s="29"/>
      <c r="X391" s="29"/>
      <c r="Y391" s="2"/>
      <c r="Z391" s="34"/>
      <c r="AA391" s="2"/>
      <c r="AB391" s="29"/>
      <c r="AC391" s="29"/>
      <c r="AD391" s="29"/>
      <c r="AE391" s="29"/>
      <c r="AF391" s="29"/>
      <c r="AG391" s="29"/>
      <c r="AH391" s="29"/>
      <c r="AI391" s="29"/>
      <c r="AJ391" s="34"/>
      <c r="AK391" s="34"/>
      <c r="AL391" s="29"/>
      <c r="AM391" s="29"/>
    </row>
    <row x14ac:dyDescent="0.25" r="392" customHeight="1" ht="15.75">
      <c r="A392" s="1"/>
      <c r="B392" s="34"/>
      <c r="C392" s="34"/>
      <c r="D392" s="34"/>
      <c r="E392" s="34"/>
      <c r="F392" s="34"/>
      <c r="G392" s="60"/>
      <c r="H392" s="60"/>
      <c r="I392" s="29"/>
      <c r="J392" s="29"/>
      <c r="K392" s="29"/>
      <c r="L392" s="29"/>
      <c r="M392" s="29"/>
      <c r="N392" s="29"/>
      <c r="O392" s="29"/>
      <c r="P392" s="29"/>
      <c r="Q392" s="34"/>
      <c r="R392" s="34"/>
      <c r="S392" s="29"/>
      <c r="T392" s="29"/>
      <c r="U392" s="29"/>
      <c r="V392" s="29"/>
      <c r="W392" s="29"/>
      <c r="X392" s="29"/>
      <c r="Y392" s="2"/>
      <c r="Z392" s="34"/>
      <c r="AA392" s="2"/>
      <c r="AB392" s="29"/>
      <c r="AC392" s="29"/>
      <c r="AD392" s="29"/>
      <c r="AE392" s="29"/>
      <c r="AF392" s="29"/>
      <c r="AG392" s="29"/>
      <c r="AH392" s="29"/>
      <c r="AI392" s="29"/>
      <c r="AJ392" s="34"/>
      <c r="AK392" s="34"/>
      <c r="AL392" s="29"/>
      <c r="AM392" s="29"/>
    </row>
    <row x14ac:dyDescent="0.25" r="393" customHeight="1" ht="15.75">
      <c r="A393" s="1"/>
      <c r="B393" s="34"/>
      <c r="C393" s="34"/>
      <c r="D393" s="34"/>
      <c r="E393" s="34"/>
      <c r="F393" s="34"/>
      <c r="G393" s="60"/>
      <c r="H393" s="60"/>
      <c r="I393" s="29"/>
      <c r="J393" s="29"/>
      <c r="K393" s="29"/>
      <c r="L393" s="29"/>
      <c r="M393" s="29"/>
      <c r="N393" s="29"/>
      <c r="O393" s="29"/>
      <c r="P393" s="29"/>
      <c r="Q393" s="34"/>
      <c r="R393" s="34"/>
      <c r="S393" s="29"/>
      <c r="T393" s="29"/>
      <c r="U393" s="29"/>
      <c r="V393" s="29"/>
      <c r="W393" s="29"/>
      <c r="X393" s="29"/>
      <c r="Y393" s="2"/>
      <c r="Z393" s="34"/>
      <c r="AA393" s="2"/>
      <c r="AB393" s="29"/>
      <c r="AC393" s="29"/>
      <c r="AD393" s="29"/>
      <c r="AE393" s="29"/>
      <c r="AF393" s="29"/>
      <c r="AG393" s="29"/>
      <c r="AH393" s="29"/>
      <c r="AI393" s="29"/>
      <c r="AJ393" s="34"/>
      <c r="AK393" s="34"/>
      <c r="AL393" s="29"/>
      <c r="AM393" s="29"/>
    </row>
    <row x14ac:dyDescent="0.25" r="394" customHeight="1" ht="15.75">
      <c r="A394" s="1"/>
      <c r="B394" s="34"/>
      <c r="C394" s="34"/>
      <c r="D394" s="34"/>
      <c r="E394" s="34"/>
      <c r="F394" s="34"/>
      <c r="G394" s="60"/>
      <c r="H394" s="60"/>
      <c r="I394" s="29"/>
      <c r="J394" s="29"/>
      <c r="K394" s="29"/>
      <c r="L394" s="29"/>
      <c r="M394" s="29"/>
      <c r="N394" s="29"/>
      <c r="O394" s="29"/>
      <c r="P394" s="29"/>
      <c r="Q394" s="34"/>
      <c r="R394" s="34"/>
      <c r="S394" s="29"/>
      <c r="T394" s="29"/>
      <c r="U394" s="29"/>
      <c r="V394" s="29"/>
      <c r="W394" s="29"/>
      <c r="X394" s="29"/>
      <c r="Y394" s="2"/>
      <c r="Z394" s="34"/>
      <c r="AA394" s="2"/>
      <c r="AB394" s="29"/>
      <c r="AC394" s="29"/>
      <c r="AD394" s="29"/>
      <c r="AE394" s="29"/>
      <c r="AF394" s="29"/>
      <c r="AG394" s="29"/>
      <c r="AH394" s="29"/>
      <c r="AI394" s="29"/>
      <c r="AJ394" s="34"/>
      <c r="AK394" s="34"/>
      <c r="AL394" s="29"/>
      <c r="AM394" s="29"/>
    </row>
    <row x14ac:dyDescent="0.25" r="395" customHeight="1" ht="15.75">
      <c r="A395" s="1"/>
      <c r="B395" s="34"/>
      <c r="C395" s="34"/>
      <c r="D395" s="34"/>
      <c r="E395" s="34"/>
      <c r="F395" s="34"/>
      <c r="G395" s="60"/>
      <c r="H395" s="60"/>
      <c r="I395" s="29"/>
      <c r="J395" s="29"/>
      <c r="K395" s="29"/>
      <c r="L395" s="29"/>
      <c r="M395" s="29"/>
      <c r="N395" s="29"/>
      <c r="O395" s="29"/>
      <c r="P395" s="29"/>
      <c r="Q395" s="34"/>
      <c r="R395" s="34"/>
      <c r="S395" s="29"/>
      <c r="T395" s="29"/>
      <c r="U395" s="29"/>
      <c r="V395" s="29"/>
      <c r="W395" s="29"/>
      <c r="X395" s="29"/>
      <c r="Y395" s="2"/>
      <c r="Z395" s="34"/>
      <c r="AA395" s="2"/>
      <c r="AB395" s="29"/>
      <c r="AC395" s="29"/>
      <c r="AD395" s="29"/>
      <c r="AE395" s="29"/>
      <c r="AF395" s="29"/>
      <c r="AG395" s="29"/>
      <c r="AH395" s="29"/>
      <c r="AI395" s="29"/>
      <c r="AJ395" s="34"/>
      <c r="AK395" s="34"/>
      <c r="AL395" s="29"/>
      <c r="AM395" s="29"/>
    </row>
    <row x14ac:dyDescent="0.25" r="396" customHeight="1" ht="15.75">
      <c r="A396" s="1"/>
      <c r="B396" s="34"/>
      <c r="C396" s="34"/>
      <c r="D396" s="34"/>
      <c r="E396" s="34"/>
      <c r="F396" s="34"/>
      <c r="G396" s="60"/>
      <c r="H396" s="60"/>
      <c r="I396" s="29"/>
      <c r="J396" s="29"/>
      <c r="K396" s="29"/>
      <c r="L396" s="29"/>
      <c r="M396" s="29"/>
      <c r="N396" s="29"/>
      <c r="O396" s="29"/>
      <c r="P396" s="29"/>
      <c r="Q396" s="34"/>
      <c r="R396" s="34"/>
      <c r="S396" s="29"/>
      <c r="T396" s="29"/>
      <c r="U396" s="29"/>
      <c r="V396" s="29"/>
      <c r="W396" s="29"/>
      <c r="X396" s="29"/>
      <c r="Y396" s="2"/>
      <c r="Z396" s="34"/>
      <c r="AA396" s="2"/>
      <c r="AB396" s="29"/>
      <c r="AC396" s="29"/>
      <c r="AD396" s="29"/>
      <c r="AE396" s="29"/>
      <c r="AF396" s="29"/>
      <c r="AG396" s="29"/>
      <c r="AH396" s="29"/>
      <c r="AI396" s="29"/>
      <c r="AJ396" s="34"/>
      <c r="AK396" s="34"/>
      <c r="AL396" s="29"/>
      <c r="AM396" s="29"/>
    </row>
    <row x14ac:dyDescent="0.25" r="397" customHeight="1" ht="15.75">
      <c r="A397" s="1"/>
      <c r="B397" s="34"/>
      <c r="C397" s="34"/>
      <c r="D397" s="34"/>
      <c r="E397" s="34"/>
      <c r="F397" s="34"/>
      <c r="G397" s="60"/>
      <c r="H397" s="60"/>
      <c r="I397" s="29"/>
      <c r="J397" s="29"/>
      <c r="K397" s="29"/>
      <c r="L397" s="29"/>
      <c r="M397" s="29"/>
      <c r="N397" s="29"/>
      <c r="O397" s="29"/>
      <c r="P397" s="29"/>
      <c r="Q397" s="34"/>
      <c r="R397" s="34"/>
      <c r="S397" s="29"/>
      <c r="T397" s="29"/>
      <c r="U397" s="29"/>
      <c r="V397" s="29"/>
      <c r="W397" s="29"/>
      <c r="X397" s="29"/>
      <c r="Y397" s="2"/>
      <c r="Z397" s="34"/>
      <c r="AA397" s="2"/>
      <c r="AB397" s="29"/>
      <c r="AC397" s="29"/>
      <c r="AD397" s="29"/>
      <c r="AE397" s="29"/>
      <c r="AF397" s="29"/>
      <c r="AG397" s="29"/>
      <c r="AH397" s="29"/>
      <c r="AI397" s="29"/>
      <c r="AJ397" s="34"/>
      <c r="AK397" s="34"/>
      <c r="AL397" s="29"/>
      <c r="AM397" s="29"/>
    </row>
    <row x14ac:dyDescent="0.25" r="398" customHeight="1" ht="15.75">
      <c r="A398" s="1"/>
      <c r="B398" s="34"/>
      <c r="C398" s="34"/>
      <c r="D398" s="34"/>
      <c r="E398" s="34"/>
      <c r="F398" s="34"/>
      <c r="G398" s="60"/>
      <c r="H398" s="60"/>
      <c r="I398" s="29"/>
      <c r="J398" s="29"/>
      <c r="K398" s="29"/>
      <c r="L398" s="29"/>
      <c r="M398" s="29"/>
      <c r="N398" s="29"/>
      <c r="O398" s="29"/>
      <c r="P398" s="29"/>
      <c r="Q398" s="34"/>
      <c r="R398" s="34"/>
      <c r="S398" s="29"/>
      <c r="T398" s="29"/>
      <c r="U398" s="29"/>
      <c r="V398" s="29"/>
      <c r="W398" s="29"/>
      <c r="X398" s="29"/>
      <c r="Y398" s="2"/>
      <c r="Z398" s="34"/>
      <c r="AA398" s="2"/>
      <c r="AB398" s="29"/>
      <c r="AC398" s="29"/>
      <c r="AD398" s="29"/>
      <c r="AE398" s="29"/>
      <c r="AF398" s="29"/>
      <c r="AG398" s="29"/>
      <c r="AH398" s="29"/>
      <c r="AI398" s="29"/>
      <c r="AJ398" s="34"/>
      <c r="AK398" s="34"/>
      <c r="AL398" s="29"/>
      <c r="AM398" s="29"/>
    </row>
    <row x14ac:dyDescent="0.25" r="399" customHeight="1" ht="15.75">
      <c r="A399" s="1"/>
      <c r="B399" s="34"/>
      <c r="C399" s="34"/>
      <c r="D399" s="34"/>
      <c r="E399" s="34"/>
      <c r="F399" s="34"/>
      <c r="G399" s="60"/>
      <c r="H399" s="60"/>
      <c r="I399" s="29"/>
      <c r="J399" s="29"/>
      <c r="K399" s="29"/>
      <c r="L399" s="29"/>
      <c r="M399" s="29"/>
      <c r="N399" s="29"/>
      <c r="O399" s="29"/>
      <c r="P399" s="29"/>
      <c r="Q399" s="34"/>
      <c r="R399" s="34"/>
      <c r="S399" s="29"/>
      <c r="T399" s="29"/>
      <c r="U399" s="29"/>
      <c r="V399" s="29"/>
      <c r="W399" s="29"/>
      <c r="X399" s="29"/>
      <c r="Y399" s="2"/>
      <c r="Z399" s="34"/>
      <c r="AA399" s="2"/>
      <c r="AB399" s="29"/>
      <c r="AC399" s="29"/>
      <c r="AD399" s="29"/>
      <c r="AE399" s="29"/>
      <c r="AF399" s="29"/>
      <c r="AG399" s="29"/>
      <c r="AH399" s="29"/>
      <c r="AI399" s="29"/>
      <c r="AJ399" s="34"/>
      <c r="AK399" s="34"/>
      <c r="AL399" s="29"/>
      <c r="AM399" s="29"/>
    </row>
    <row x14ac:dyDescent="0.25" r="400" customHeight="1" ht="15.75">
      <c r="A400" s="1"/>
      <c r="B400" s="34"/>
      <c r="C400" s="34"/>
      <c r="D400" s="34"/>
      <c r="E400" s="34"/>
      <c r="F400" s="34"/>
      <c r="G400" s="60"/>
      <c r="H400" s="60"/>
      <c r="I400" s="29"/>
      <c r="J400" s="29"/>
      <c r="K400" s="29"/>
      <c r="L400" s="29"/>
      <c r="M400" s="29"/>
      <c r="N400" s="29"/>
      <c r="O400" s="29"/>
      <c r="P400" s="29"/>
      <c r="Q400" s="34"/>
      <c r="R400" s="34"/>
      <c r="S400" s="29"/>
      <c r="T400" s="29"/>
      <c r="U400" s="29"/>
      <c r="V400" s="29"/>
      <c r="W400" s="29"/>
      <c r="X400" s="29"/>
      <c r="Y400" s="2"/>
      <c r="Z400" s="34"/>
      <c r="AA400" s="2"/>
      <c r="AB400" s="29"/>
      <c r="AC400" s="29"/>
      <c r="AD400" s="29"/>
      <c r="AE400" s="29"/>
      <c r="AF400" s="29"/>
      <c r="AG400" s="29"/>
      <c r="AH400" s="29"/>
      <c r="AI400" s="29"/>
      <c r="AJ400" s="34"/>
      <c r="AK400" s="34"/>
      <c r="AL400" s="29"/>
      <c r="AM400" s="29"/>
    </row>
    <row x14ac:dyDescent="0.25" r="401" customHeight="1" ht="15.75">
      <c r="A401" s="1"/>
      <c r="B401" s="34"/>
      <c r="C401" s="34"/>
      <c r="D401" s="34"/>
      <c r="E401" s="34"/>
      <c r="F401" s="34"/>
      <c r="G401" s="60"/>
      <c r="H401" s="60"/>
      <c r="I401" s="29"/>
      <c r="J401" s="29"/>
      <c r="K401" s="29"/>
      <c r="L401" s="29"/>
      <c r="M401" s="29"/>
      <c r="N401" s="29"/>
      <c r="O401" s="29"/>
      <c r="P401" s="29"/>
      <c r="Q401" s="34"/>
      <c r="R401" s="34"/>
      <c r="S401" s="29"/>
      <c r="T401" s="29"/>
      <c r="U401" s="29"/>
      <c r="V401" s="29"/>
      <c r="W401" s="29"/>
      <c r="X401" s="29"/>
      <c r="Y401" s="2"/>
      <c r="Z401" s="34"/>
      <c r="AA401" s="2"/>
      <c r="AB401" s="29"/>
      <c r="AC401" s="29"/>
      <c r="AD401" s="29"/>
      <c r="AE401" s="29"/>
      <c r="AF401" s="29"/>
      <c r="AG401" s="29"/>
      <c r="AH401" s="29"/>
      <c r="AI401" s="29"/>
      <c r="AJ401" s="34"/>
      <c r="AK401" s="34"/>
      <c r="AL401" s="29"/>
      <c r="AM401" s="29"/>
    </row>
    <row x14ac:dyDescent="0.25" r="402" customHeight="1" ht="15.75">
      <c r="A402" s="1"/>
      <c r="B402" s="34"/>
      <c r="C402" s="34"/>
      <c r="D402" s="34"/>
      <c r="E402" s="34"/>
      <c r="F402" s="34"/>
      <c r="G402" s="60"/>
      <c r="H402" s="60"/>
      <c r="I402" s="29"/>
      <c r="J402" s="29"/>
      <c r="K402" s="29"/>
      <c r="L402" s="29"/>
      <c r="M402" s="29"/>
      <c r="N402" s="29"/>
      <c r="O402" s="29"/>
      <c r="P402" s="29"/>
      <c r="Q402" s="34"/>
      <c r="R402" s="34"/>
      <c r="S402" s="29"/>
      <c r="T402" s="29"/>
      <c r="U402" s="29"/>
      <c r="V402" s="29"/>
      <c r="W402" s="29"/>
      <c r="X402" s="29"/>
      <c r="Y402" s="2"/>
      <c r="Z402" s="34"/>
      <c r="AA402" s="2"/>
      <c r="AB402" s="29"/>
      <c r="AC402" s="29"/>
      <c r="AD402" s="29"/>
      <c r="AE402" s="29"/>
      <c r="AF402" s="29"/>
      <c r="AG402" s="29"/>
      <c r="AH402" s="29"/>
      <c r="AI402" s="29"/>
      <c r="AJ402" s="34"/>
      <c r="AK402" s="34"/>
      <c r="AL402" s="29"/>
      <c r="AM402" s="29"/>
    </row>
    <row x14ac:dyDescent="0.25" r="403" customHeight="1" ht="15.75">
      <c r="A403" s="1"/>
      <c r="B403" s="34"/>
      <c r="C403" s="34"/>
      <c r="D403" s="34"/>
      <c r="E403" s="34"/>
      <c r="F403" s="34"/>
      <c r="G403" s="60"/>
      <c r="H403" s="60"/>
      <c r="I403" s="29"/>
      <c r="J403" s="29"/>
      <c r="K403" s="29"/>
      <c r="L403" s="29"/>
      <c r="M403" s="29"/>
      <c r="N403" s="29"/>
      <c r="O403" s="29"/>
      <c r="P403" s="29"/>
      <c r="Q403" s="34"/>
      <c r="R403" s="34"/>
      <c r="S403" s="29"/>
      <c r="T403" s="29"/>
      <c r="U403" s="29"/>
      <c r="V403" s="29"/>
      <c r="W403" s="29"/>
      <c r="X403" s="29"/>
      <c r="Y403" s="2"/>
      <c r="Z403" s="34"/>
      <c r="AA403" s="2"/>
      <c r="AB403" s="29"/>
      <c r="AC403" s="29"/>
      <c r="AD403" s="29"/>
      <c r="AE403" s="29"/>
      <c r="AF403" s="29"/>
      <c r="AG403" s="29"/>
      <c r="AH403" s="29"/>
      <c r="AI403" s="29"/>
      <c r="AJ403" s="34"/>
      <c r="AK403" s="34"/>
      <c r="AL403" s="29"/>
      <c r="AM403" s="29"/>
    </row>
    <row x14ac:dyDescent="0.25" r="404" customHeight="1" ht="15.75">
      <c r="A404" s="1"/>
      <c r="B404" s="34"/>
      <c r="C404" s="34"/>
      <c r="D404" s="34"/>
      <c r="E404" s="34"/>
      <c r="F404" s="34"/>
      <c r="G404" s="60"/>
      <c r="H404" s="60"/>
      <c r="I404" s="29"/>
      <c r="J404" s="29"/>
      <c r="K404" s="29"/>
      <c r="L404" s="29"/>
      <c r="M404" s="29"/>
      <c r="N404" s="29"/>
      <c r="O404" s="29"/>
      <c r="P404" s="29"/>
      <c r="Q404" s="34"/>
      <c r="R404" s="34"/>
      <c r="S404" s="29"/>
      <c r="T404" s="29"/>
      <c r="U404" s="29"/>
      <c r="V404" s="29"/>
      <c r="W404" s="29"/>
      <c r="X404" s="29"/>
      <c r="Y404" s="2"/>
      <c r="Z404" s="34"/>
      <c r="AA404" s="2"/>
      <c r="AB404" s="29"/>
      <c r="AC404" s="29"/>
      <c r="AD404" s="29"/>
      <c r="AE404" s="29"/>
      <c r="AF404" s="29"/>
      <c r="AG404" s="29"/>
      <c r="AH404" s="29"/>
      <c r="AI404" s="29"/>
      <c r="AJ404" s="34"/>
      <c r="AK404" s="34"/>
      <c r="AL404" s="29"/>
      <c r="AM404" s="29"/>
    </row>
    <row x14ac:dyDescent="0.25" r="405" customHeight="1" ht="15.75">
      <c r="A405" s="1"/>
      <c r="B405" s="34"/>
      <c r="C405" s="34"/>
      <c r="D405" s="34"/>
      <c r="E405" s="34"/>
      <c r="F405" s="34"/>
      <c r="G405" s="60"/>
      <c r="H405" s="60"/>
      <c r="I405" s="29"/>
      <c r="J405" s="29"/>
      <c r="K405" s="29"/>
      <c r="L405" s="29"/>
      <c r="M405" s="29"/>
      <c r="N405" s="29"/>
      <c r="O405" s="29"/>
      <c r="P405" s="29"/>
      <c r="Q405" s="34"/>
      <c r="R405" s="34"/>
      <c r="S405" s="29"/>
      <c r="T405" s="29"/>
      <c r="U405" s="29"/>
      <c r="V405" s="29"/>
      <c r="W405" s="29"/>
      <c r="X405" s="29"/>
      <c r="Y405" s="2"/>
      <c r="Z405" s="34"/>
      <c r="AA405" s="2"/>
      <c r="AB405" s="29"/>
      <c r="AC405" s="29"/>
      <c r="AD405" s="29"/>
      <c r="AE405" s="29"/>
      <c r="AF405" s="29"/>
      <c r="AG405" s="29"/>
      <c r="AH405" s="29"/>
      <c r="AI405" s="29"/>
      <c r="AJ405" s="34"/>
      <c r="AK405" s="34"/>
      <c r="AL405" s="29"/>
      <c r="AM405" s="29"/>
    </row>
    <row x14ac:dyDescent="0.25" r="406" customHeight="1" ht="15.75">
      <c r="A406" s="1"/>
      <c r="B406" s="34"/>
      <c r="C406" s="34"/>
      <c r="D406" s="34"/>
      <c r="E406" s="34"/>
      <c r="F406" s="34"/>
      <c r="G406" s="60"/>
      <c r="H406" s="60"/>
      <c r="I406" s="29"/>
      <c r="J406" s="29"/>
      <c r="K406" s="29"/>
      <c r="L406" s="29"/>
      <c r="M406" s="29"/>
      <c r="N406" s="29"/>
      <c r="O406" s="29"/>
      <c r="P406" s="29"/>
      <c r="Q406" s="34"/>
      <c r="R406" s="34"/>
      <c r="S406" s="29"/>
      <c r="T406" s="29"/>
      <c r="U406" s="29"/>
      <c r="V406" s="29"/>
      <c r="W406" s="29"/>
      <c r="X406" s="29"/>
      <c r="Y406" s="2"/>
      <c r="Z406" s="34"/>
      <c r="AA406" s="2"/>
      <c r="AB406" s="29"/>
      <c r="AC406" s="29"/>
      <c r="AD406" s="29"/>
      <c r="AE406" s="29"/>
      <c r="AF406" s="29"/>
      <c r="AG406" s="29"/>
      <c r="AH406" s="29"/>
      <c r="AI406" s="29"/>
      <c r="AJ406" s="34"/>
      <c r="AK406" s="34"/>
      <c r="AL406" s="29"/>
      <c r="AM406" s="29"/>
    </row>
    <row x14ac:dyDescent="0.25" r="407" customHeight="1" ht="15.75">
      <c r="A407" s="1"/>
      <c r="B407" s="34"/>
      <c r="C407" s="34"/>
      <c r="D407" s="34"/>
      <c r="E407" s="34"/>
      <c r="F407" s="34"/>
      <c r="G407" s="60"/>
      <c r="H407" s="60"/>
      <c r="I407" s="29"/>
      <c r="J407" s="29"/>
      <c r="K407" s="29"/>
      <c r="L407" s="29"/>
      <c r="M407" s="29"/>
      <c r="N407" s="29"/>
      <c r="O407" s="29"/>
      <c r="P407" s="29"/>
      <c r="Q407" s="34"/>
      <c r="R407" s="34"/>
      <c r="S407" s="29"/>
      <c r="T407" s="29"/>
      <c r="U407" s="29"/>
      <c r="V407" s="29"/>
      <c r="W407" s="29"/>
      <c r="X407" s="29"/>
      <c r="Y407" s="2"/>
      <c r="Z407" s="34"/>
      <c r="AA407" s="2"/>
      <c r="AB407" s="29"/>
      <c r="AC407" s="29"/>
      <c r="AD407" s="29"/>
      <c r="AE407" s="29"/>
      <c r="AF407" s="29"/>
      <c r="AG407" s="29"/>
      <c r="AH407" s="29"/>
      <c r="AI407" s="29"/>
      <c r="AJ407" s="34"/>
      <c r="AK407" s="34"/>
      <c r="AL407" s="29"/>
      <c r="AM407" s="29"/>
    </row>
    <row x14ac:dyDescent="0.25" r="408" customHeight="1" ht="15.75">
      <c r="A408" s="1"/>
      <c r="B408" s="34"/>
      <c r="C408" s="34"/>
      <c r="D408" s="34"/>
      <c r="E408" s="34"/>
      <c r="F408" s="34"/>
      <c r="G408" s="60"/>
      <c r="H408" s="60"/>
      <c r="I408" s="29"/>
      <c r="J408" s="29"/>
      <c r="K408" s="29"/>
      <c r="L408" s="29"/>
      <c r="M408" s="29"/>
      <c r="N408" s="29"/>
      <c r="O408" s="29"/>
      <c r="P408" s="29"/>
      <c r="Q408" s="34"/>
      <c r="R408" s="34"/>
      <c r="S408" s="29"/>
      <c r="T408" s="29"/>
      <c r="U408" s="29"/>
      <c r="V408" s="29"/>
      <c r="W408" s="29"/>
      <c r="X408" s="29"/>
      <c r="Y408" s="2"/>
      <c r="Z408" s="34"/>
      <c r="AA408" s="2"/>
      <c r="AB408" s="29"/>
      <c r="AC408" s="29"/>
      <c r="AD408" s="29"/>
      <c r="AE408" s="29"/>
      <c r="AF408" s="29"/>
      <c r="AG408" s="29"/>
      <c r="AH408" s="29"/>
      <c r="AI408" s="29"/>
      <c r="AJ408" s="34"/>
      <c r="AK408" s="34"/>
      <c r="AL408" s="29"/>
      <c r="AM408" s="29"/>
    </row>
    <row x14ac:dyDescent="0.25" r="409" customHeight="1" ht="15.75">
      <c r="A409" s="1"/>
      <c r="B409" s="34"/>
      <c r="C409" s="34"/>
      <c r="D409" s="34"/>
      <c r="E409" s="34"/>
      <c r="F409" s="34"/>
      <c r="G409" s="60"/>
      <c r="H409" s="60"/>
      <c r="I409" s="29"/>
      <c r="J409" s="29"/>
      <c r="K409" s="29"/>
      <c r="L409" s="29"/>
      <c r="M409" s="29"/>
      <c r="N409" s="29"/>
      <c r="O409" s="29"/>
      <c r="P409" s="29"/>
      <c r="Q409" s="34"/>
      <c r="R409" s="34"/>
      <c r="S409" s="29"/>
      <c r="T409" s="29"/>
      <c r="U409" s="29"/>
      <c r="V409" s="29"/>
      <c r="W409" s="29"/>
      <c r="X409" s="29"/>
      <c r="Y409" s="2"/>
      <c r="Z409" s="34"/>
      <c r="AA409" s="2"/>
      <c r="AB409" s="29"/>
      <c r="AC409" s="29"/>
      <c r="AD409" s="29"/>
      <c r="AE409" s="29"/>
      <c r="AF409" s="29"/>
      <c r="AG409" s="29"/>
      <c r="AH409" s="29"/>
      <c r="AI409" s="29"/>
      <c r="AJ409" s="34"/>
      <c r="AK409" s="34"/>
      <c r="AL409" s="29"/>
      <c r="AM409" s="29"/>
    </row>
    <row x14ac:dyDescent="0.25" r="410" customHeight="1" ht="15.75">
      <c r="A410" s="1"/>
      <c r="B410" s="34"/>
      <c r="C410" s="34"/>
      <c r="D410" s="34"/>
      <c r="E410" s="34"/>
      <c r="F410" s="34"/>
      <c r="G410" s="60"/>
      <c r="H410" s="60"/>
      <c r="I410" s="29"/>
      <c r="J410" s="29"/>
      <c r="K410" s="29"/>
      <c r="L410" s="29"/>
      <c r="M410" s="29"/>
      <c r="N410" s="29"/>
      <c r="O410" s="29"/>
      <c r="P410" s="29"/>
      <c r="Q410" s="34"/>
      <c r="R410" s="34"/>
      <c r="S410" s="29"/>
      <c r="T410" s="29"/>
      <c r="U410" s="29"/>
      <c r="V410" s="29"/>
      <c r="W410" s="29"/>
      <c r="X410" s="29"/>
      <c r="Y410" s="2"/>
      <c r="Z410" s="34"/>
      <c r="AA410" s="2"/>
      <c r="AB410" s="29"/>
      <c r="AC410" s="29"/>
      <c r="AD410" s="29"/>
      <c r="AE410" s="29"/>
      <c r="AF410" s="29"/>
      <c r="AG410" s="29"/>
      <c r="AH410" s="29"/>
      <c r="AI410" s="29"/>
      <c r="AJ410" s="34"/>
      <c r="AK410" s="34"/>
      <c r="AL410" s="29"/>
      <c r="AM410" s="29"/>
    </row>
    <row x14ac:dyDescent="0.25" r="411" customHeight="1" ht="15.75">
      <c r="A411" s="1"/>
      <c r="B411" s="34"/>
      <c r="C411" s="34"/>
      <c r="D411" s="34"/>
      <c r="E411" s="34"/>
      <c r="F411" s="34"/>
      <c r="G411" s="60"/>
      <c r="H411" s="60"/>
      <c r="I411" s="29"/>
      <c r="J411" s="29"/>
      <c r="K411" s="29"/>
      <c r="L411" s="29"/>
      <c r="M411" s="29"/>
      <c r="N411" s="29"/>
      <c r="O411" s="29"/>
      <c r="P411" s="29"/>
      <c r="Q411" s="34"/>
      <c r="R411" s="34"/>
      <c r="S411" s="29"/>
      <c r="T411" s="29"/>
      <c r="U411" s="29"/>
      <c r="V411" s="29"/>
      <c r="W411" s="29"/>
      <c r="X411" s="29"/>
      <c r="Y411" s="2"/>
      <c r="Z411" s="34"/>
      <c r="AA411" s="2"/>
      <c r="AB411" s="29"/>
      <c r="AC411" s="29"/>
      <c r="AD411" s="29"/>
      <c r="AE411" s="29"/>
      <c r="AF411" s="29"/>
      <c r="AG411" s="29"/>
      <c r="AH411" s="29"/>
      <c r="AI411" s="29"/>
      <c r="AJ411" s="34"/>
      <c r="AK411" s="34"/>
      <c r="AL411" s="29"/>
      <c r="AM411" s="29"/>
    </row>
    <row x14ac:dyDescent="0.25" r="412" customHeight="1" ht="15.75">
      <c r="A412" s="1"/>
      <c r="B412" s="34"/>
      <c r="C412" s="34"/>
      <c r="D412" s="34"/>
      <c r="E412" s="34"/>
      <c r="F412" s="34"/>
      <c r="G412" s="60"/>
      <c r="H412" s="60"/>
      <c r="I412" s="29"/>
      <c r="J412" s="29"/>
      <c r="K412" s="29"/>
      <c r="L412" s="29"/>
      <c r="M412" s="29"/>
      <c r="N412" s="29"/>
      <c r="O412" s="29"/>
      <c r="P412" s="29"/>
      <c r="Q412" s="34"/>
      <c r="R412" s="34"/>
      <c r="S412" s="29"/>
      <c r="T412" s="29"/>
      <c r="U412" s="29"/>
      <c r="V412" s="29"/>
      <c r="W412" s="29"/>
      <c r="X412" s="29"/>
      <c r="Y412" s="2"/>
      <c r="Z412" s="34"/>
      <c r="AA412" s="2"/>
      <c r="AB412" s="29"/>
      <c r="AC412" s="29"/>
      <c r="AD412" s="29"/>
      <c r="AE412" s="29"/>
      <c r="AF412" s="29"/>
      <c r="AG412" s="29"/>
      <c r="AH412" s="29"/>
      <c r="AI412" s="29"/>
      <c r="AJ412" s="34"/>
      <c r="AK412" s="34"/>
      <c r="AL412" s="29"/>
      <c r="AM412" s="29"/>
    </row>
    <row x14ac:dyDescent="0.25" r="413" customHeight="1" ht="15.75">
      <c r="A413" s="1"/>
      <c r="B413" s="34"/>
      <c r="C413" s="34"/>
      <c r="D413" s="34"/>
      <c r="E413" s="34"/>
      <c r="F413" s="34"/>
      <c r="G413" s="60"/>
      <c r="H413" s="60"/>
      <c r="I413" s="29"/>
      <c r="J413" s="29"/>
      <c r="K413" s="29"/>
      <c r="L413" s="29"/>
      <c r="M413" s="29"/>
      <c r="N413" s="29"/>
      <c r="O413" s="29"/>
      <c r="P413" s="29"/>
      <c r="Q413" s="34"/>
      <c r="R413" s="34"/>
      <c r="S413" s="29"/>
      <c r="T413" s="29"/>
      <c r="U413" s="29"/>
      <c r="V413" s="29"/>
      <c r="W413" s="29"/>
      <c r="X413" s="29"/>
      <c r="Y413" s="2"/>
      <c r="Z413" s="34"/>
      <c r="AA413" s="2"/>
      <c r="AB413" s="29"/>
      <c r="AC413" s="29"/>
      <c r="AD413" s="29"/>
      <c r="AE413" s="29"/>
      <c r="AF413" s="29"/>
      <c r="AG413" s="29"/>
      <c r="AH413" s="29"/>
      <c r="AI413" s="29"/>
      <c r="AJ413" s="34"/>
      <c r="AK413" s="34"/>
      <c r="AL413" s="29"/>
      <c r="AM413" s="29"/>
    </row>
    <row x14ac:dyDescent="0.25" r="414" customHeight="1" ht="15.75">
      <c r="A414" s="1"/>
      <c r="B414" s="34"/>
      <c r="C414" s="34"/>
      <c r="D414" s="34"/>
      <c r="E414" s="34"/>
      <c r="F414" s="34"/>
      <c r="G414" s="60"/>
      <c r="H414" s="60"/>
      <c r="I414" s="29"/>
      <c r="J414" s="29"/>
      <c r="K414" s="29"/>
      <c r="L414" s="29"/>
      <c r="M414" s="29"/>
      <c r="N414" s="29"/>
      <c r="O414" s="29"/>
      <c r="P414" s="29"/>
      <c r="Q414" s="34"/>
      <c r="R414" s="34"/>
      <c r="S414" s="29"/>
      <c r="T414" s="29"/>
      <c r="U414" s="29"/>
      <c r="V414" s="29"/>
      <c r="W414" s="29"/>
      <c r="X414" s="29"/>
      <c r="Y414" s="2"/>
      <c r="Z414" s="34"/>
      <c r="AA414" s="2"/>
      <c r="AB414" s="29"/>
      <c r="AC414" s="29"/>
      <c r="AD414" s="29"/>
      <c r="AE414" s="29"/>
      <c r="AF414" s="29"/>
      <c r="AG414" s="29"/>
      <c r="AH414" s="29"/>
      <c r="AI414" s="29"/>
      <c r="AJ414" s="34"/>
      <c r="AK414" s="34"/>
      <c r="AL414" s="29"/>
      <c r="AM414" s="29"/>
    </row>
    <row x14ac:dyDescent="0.25" r="415" customHeight="1" ht="15.75">
      <c r="A415" s="1"/>
      <c r="B415" s="34"/>
      <c r="C415" s="34"/>
      <c r="D415" s="34"/>
      <c r="E415" s="34"/>
      <c r="F415" s="34"/>
      <c r="G415" s="60"/>
      <c r="H415" s="60"/>
      <c r="I415" s="29"/>
      <c r="J415" s="29"/>
      <c r="K415" s="29"/>
      <c r="L415" s="29"/>
      <c r="M415" s="29"/>
      <c r="N415" s="29"/>
      <c r="O415" s="29"/>
      <c r="P415" s="29"/>
      <c r="Q415" s="34"/>
      <c r="R415" s="34"/>
      <c r="S415" s="29"/>
      <c r="T415" s="29"/>
      <c r="U415" s="29"/>
      <c r="V415" s="29"/>
      <c r="W415" s="29"/>
      <c r="X415" s="29"/>
      <c r="Y415" s="2"/>
      <c r="Z415" s="34"/>
      <c r="AA415" s="2"/>
      <c r="AB415" s="29"/>
      <c r="AC415" s="29"/>
      <c r="AD415" s="29"/>
      <c r="AE415" s="29"/>
      <c r="AF415" s="29"/>
      <c r="AG415" s="29"/>
      <c r="AH415" s="29"/>
      <c r="AI415" s="29"/>
      <c r="AJ415" s="34"/>
      <c r="AK415" s="34"/>
      <c r="AL415" s="29"/>
      <c r="AM415" s="29"/>
    </row>
    <row x14ac:dyDescent="0.25" r="416" customHeight="1" ht="15.75">
      <c r="A416" s="1"/>
      <c r="B416" s="34"/>
      <c r="C416" s="34"/>
      <c r="D416" s="34"/>
      <c r="E416" s="34"/>
      <c r="F416" s="34"/>
      <c r="G416" s="60"/>
      <c r="H416" s="60"/>
      <c r="I416" s="29"/>
      <c r="J416" s="29"/>
      <c r="K416" s="29"/>
      <c r="L416" s="29"/>
      <c r="M416" s="29"/>
      <c r="N416" s="29"/>
      <c r="O416" s="29"/>
      <c r="P416" s="29"/>
      <c r="Q416" s="34"/>
      <c r="R416" s="34"/>
      <c r="S416" s="29"/>
      <c r="T416" s="29"/>
      <c r="U416" s="29"/>
      <c r="V416" s="29"/>
      <c r="W416" s="29"/>
      <c r="X416" s="29"/>
      <c r="Y416" s="2"/>
      <c r="Z416" s="34"/>
      <c r="AA416" s="2"/>
      <c r="AB416" s="29"/>
      <c r="AC416" s="29"/>
      <c r="AD416" s="29"/>
      <c r="AE416" s="29"/>
      <c r="AF416" s="29"/>
      <c r="AG416" s="29"/>
      <c r="AH416" s="29"/>
      <c r="AI416" s="29"/>
      <c r="AJ416" s="34"/>
      <c r="AK416" s="34"/>
      <c r="AL416" s="29"/>
      <c r="AM416" s="29"/>
    </row>
    <row x14ac:dyDescent="0.25" r="417" customHeight="1" ht="15.75">
      <c r="A417" s="1"/>
      <c r="B417" s="34"/>
      <c r="C417" s="34"/>
      <c r="D417" s="34"/>
      <c r="E417" s="34"/>
      <c r="F417" s="34"/>
      <c r="G417" s="60"/>
      <c r="H417" s="60"/>
      <c r="I417" s="29"/>
      <c r="J417" s="29"/>
      <c r="K417" s="29"/>
      <c r="L417" s="29"/>
      <c r="M417" s="29"/>
      <c r="N417" s="29"/>
      <c r="O417" s="29"/>
      <c r="P417" s="29"/>
      <c r="Q417" s="34"/>
      <c r="R417" s="34"/>
      <c r="S417" s="29"/>
      <c r="T417" s="29"/>
      <c r="U417" s="29"/>
      <c r="V417" s="29"/>
      <c r="W417" s="29"/>
      <c r="X417" s="29"/>
      <c r="Y417" s="2"/>
      <c r="Z417" s="34"/>
      <c r="AA417" s="2"/>
      <c r="AB417" s="29"/>
      <c r="AC417" s="29"/>
      <c r="AD417" s="29"/>
      <c r="AE417" s="29"/>
      <c r="AF417" s="29"/>
      <c r="AG417" s="29"/>
      <c r="AH417" s="29"/>
      <c r="AI417" s="29"/>
      <c r="AJ417" s="34"/>
      <c r="AK417" s="34"/>
      <c r="AL417" s="29"/>
      <c r="AM417" s="29"/>
    </row>
    <row x14ac:dyDescent="0.25" r="418" customHeight="1" ht="15.75">
      <c r="A418" s="1"/>
      <c r="B418" s="34"/>
      <c r="C418" s="34"/>
      <c r="D418" s="34"/>
      <c r="E418" s="34"/>
      <c r="F418" s="34"/>
      <c r="G418" s="60"/>
      <c r="H418" s="60"/>
      <c r="I418" s="29"/>
      <c r="J418" s="29"/>
      <c r="K418" s="29"/>
      <c r="L418" s="29"/>
      <c r="M418" s="29"/>
      <c r="N418" s="29"/>
      <c r="O418" s="29"/>
      <c r="P418" s="29"/>
      <c r="Q418" s="34"/>
      <c r="R418" s="34"/>
      <c r="S418" s="29"/>
      <c r="T418" s="29"/>
      <c r="U418" s="29"/>
      <c r="V418" s="29"/>
      <c r="W418" s="29"/>
      <c r="X418" s="29"/>
      <c r="Y418" s="2"/>
      <c r="Z418" s="34"/>
      <c r="AA418" s="2"/>
      <c r="AB418" s="29"/>
      <c r="AC418" s="29"/>
      <c r="AD418" s="29"/>
      <c r="AE418" s="29"/>
      <c r="AF418" s="29"/>
      <c r="AG418" s="29"/>
      <c r="AH418" s="29"/>
      <c r="AI418" s="29"/>
      <c r="AJ418" s="34"/>
      <c r="AK418" s="34"/>
      <c r="AL418" s="29"/>
      <c r="AM418" s="29"/>
    </row>
    <row x14ac:dyDescent="0.25" r="419" customHeight="1" ht="15.75">
      <c r="A419" s="1"/>
      <c r="B419" s="34"/>
      <c r="C419" s="34"/>
      <c r="D419" s="34"/>
      <c r="E419" s="34"/>
      <c r="F419" s="34"/>
      <c r="G419" s="60"/>
      <c r="H419" s="60"/>
      <c r="I419" s="29"/>
      <c r="J419" s="29"/>
      <c r="K419" s="29"/>
      <c r="L419" s="29"/>
      <c r="M419" s="29"/>
      <c r="N419" s="29"/>
      <c r="O419" s="29"/>
      <c r="P419" s="29"/>
      <c r="Q419" s="34"/>
      <c r="R419" s="34"/>
      <c r="S419" s="29"/>
      <c r="T419" s="29"/>
      <c r="U419" s="29"/>
      <c r="V419" s="29"/>
      <c r="W419" s="29"/>
      <c r="X419" s="29"/>
      <c r="Y419" s="2"/>
      <c r="Z419" s="34"/>
      <c r="AA419" s="2"/>
      <c r="AB419" s="29"/>
      <c r="AC419" s="29"/>
      <c r="AD419" s="29"/>
      <c r="AE419" s="29"/>
      <c r="AF419" s="29"/>
      <c r="AG419" s="29"/>
      <c r="AH419" s="29"/>
      <c r="AI419" s="29"/>
      <c r="AJ419" s="34"/>
      <c r="AK419" s="34"/>
      <c r="AL419" s="29"/>
      <c r="AM419" s="29"/>
    </row>
    <row x14ac:dyDescent="0.25" r="420" customHeight="1" ht="15.75">
      <c r="A420" s="1"/>
      <c r="B420" s="34"/>
      <c r="C420" s="34"/>
      <c r="D420" s="34"/>
      <c r="E420" s="34"/>
      <c r="F420" s="34"/>
      <c r="G420" s="60"/>
      <c r="H420" s="60"/>
      <c r="I420" s="29"/>
      <c r="J420" s="29"/>
      <c r="K420" s="29"/>
      <c r="L420" s="29"/>
      <c r="M420" s="29"/>
      <c r="N420" s="29"/>
      <c r="O420" s="29"/>
      <c r="P420" s="29"/>
      <c r="Q420" s="34"/>
      <c r="R420" s="34"/>
      <c r="S420" s="29"/>
      <c r="T420" s="29"/>
      <c r="U420" s="29"/>
      <c r="V420" s="29"/>
      <c r="W420" s="29"/>
      <c r="X420" s="29"/>
      <c r="Y420" s="2"/>
      <c r="Z420" s="34"/>
      <c r="AA420" s="2"/>
      <c r="AB420" s="29"/>
      <c r="AC420" s="29"/>
      <c r="AD420" s="29"/>
      <c r="AE420" s="29"/>
      <c r="AF420" s="29"/>
      <c r="AG420" s="29"/>
      <c r="AH420" s="29"/>
      <c r="AI420" s="29"/>
      <c r="AJ420" s="34"/>
      <c r="AK420" s="34"/>
      <c r="AL420" s="29"/>
      <c r="AM420" s="29"/>
    </row>
    <row x14ac:dyDescent="0.25" r="421" customHeight="1" ht="15.75">
      <c r="A421" s="1"/>
      <c r="B421" s="34"/>
      <c r="C421" s="34"/>
      <c r="D421" s="34"/>
      <c r="E421" s="34"/>
      <c r="F421" s="34"/>
      <c r="G421" s="60"/>
      <c r="H421" s="60"/>
      <c r="I421" s="29"/>
      <c r="J421" s="29"/>
      <c r="K421" s="29"/>
      <c r="L421" s="29"/>
      <c r="M421" s="29"/>
      <c r="N421" s="29"/>
      <c r="O421" s="29"/>
      <c r="P421" s="29"/>
      <c r="Q421" s="34"/>
      <c r="R421" s="34"/>
      <c r="S421" s="29"/>
      <c r="T421" s="29"/>
      <c r="U421" s="29"/>
      <c r="V421" s="29"/>
      <c r="W421" s="29"/>
      <c r="X421" s="29"/>
      <c r="Y421" s="2"/>
      <c r="Z421" s="34"/>
      <c r="AA421" s="2"/>
      <c r="AB421" s="29"/>
      <c r="AC421" s="29"/>
      <c r="AD421" s="29"/>
      <c r="AE421" s="29"/>
      <c r="AF421" s="29"/>
      <c r="AG421" s="29"/>
      <c r="AH421" s="29"/>
      <c r="AI421" s="29"/>
      <c r="AJ421" s="34"/>
      <c r="AK421" s="34"/>
      <c r="AL421" s="29"/>
      <c r="AM421" s="29"/>
    </row>
    <row x14ac:dyDescent="0.25" r="422" customHeight="1" ht="15.75">
      <c r="A422" s="1"/>
      <c r="B422" s="34"/>
      <c r="C422" s="34"/>
      <c r="D422" s="34"/>
      <c r="E422" s="34"/>
      <c r="F422" s="34"/>
      <c r="G422" s="60"/>
      <c r="H422" s="60"/>
      <c r="I422" s="29"/>
      <c r="J422" s="29"/>
      <c r="K422" s="29"/>
      <c r="L422" s="29"/>
      <c r="M422" s="29"/>
      <c r="N422" s="29"/>
      <c r="O422" s="29"/>
      <c r="P422" s="29"/>
      <c r="Q422" s="34"/>
      <c r="R422" s="34"/>
      <c r="S422" s="29"/>
      <c r="T422" s="29"/>
      <c r="U422" s="29"/>
      <c r="V422" s="29"/>
      <c r="W422" s="29"/>
      <c r="X422" s="29"/>
      <c r="Y422" s="2"/>
      <c r="Z422" s="34"/>
      <c r="AA422" s="2"/>
      <c r="AB422" s="29"/>
      <c r="AC422" s="29"/>
      <c r="AD422" s="29"/>
      <c r="AE422" s="29"/>
      <c r="AF422" s="29"/>
      <c r="AG422" s="29"/>
      <c r="AH422" s="29"/>
      <c r="AI422" s="29"/>
      <c r="AJ422" s="34"/>
      <c r="AK422" s="34"/>
      <c r="AL422" s="29"/>
      <c r="AM422" s="29"/>
    </row>
    <row x14ac:dyDescent="0.25" r="423" customHeight="1" ht="15.75">
      <c r="A423" s="1"/>
      <c r="B423" s="34"/>
      <c r="C423" s="34"/>
      <c r="D423" s="34"/>
      <c r="E423" s="34"/>
      <c r="F423" s="34"/>
      <c r="G423" s="60"/>
      <c r="H423" s="60"/>
      <c r="I423" s="29"/>
      <c r="J423" s="29"/>
      <c r="K423" s="29"/>
      <c r="L423" s="29"/>
      <c r="M423" s="29"/>
      <c r="N423" s="29"/>
      <c r="O423" s="29"/>
      <c r="P423" s="29"/>
      <c r="Q423" s="34"/>
      <c r="R423" s="34"/>
      <c r="S423" s="29"/>
      <c r="T423" s="29"/>
      <c r="U423" s="29"/>
      <c r="V423" s="29"/>
      <c r="W423" s="29"/>
      <c r="X423" s="29"/>
      <c r="Y423" s="2"/>
      <c r="Z423" s="34"/>
      <c r="AA423" s="2"/>
      <c r="AB423" s="29"/>
      <c r="AC423" s="29"/>
      <c r="AD423" s="29"/>
      <c r="AE423" s="29"/>
      <c r="AF423" s="29"/>
      <c r="AG423" s="29"/>
      <c r="AH423" s="29"/>
      <c r="AI423" s="29"/>
      <c r="AJ423" s="34"/>
      <c r="AK423" s="34"/>
      <c r="AL423" s="29"/>
      <c r="AM423" s="29"/>
    </row>
    <row x14ac:dyDescent="0.25" r="424" customHeight="1" ht="15.75">
      <c r="A424" s="1"/>
      <c r="B424" s="34"/>
      <c r="C424" s="34"/>
      <c r="D424" s="34"/>
      <c r="E424" s="34"/>
      <c r="F424" s="34"/>
      <c r="G424" s="60"/>
      <c r="H424" s="60"/>
      <c r="I424" s="29"/>
      <c r="J424" s="29"/>
      <c r="K424" s="29"/>
      <c r="L424" s="29"/>
      <c r="M424" s="29"/>
      <c r="N424" s="29"/>
      <c r="O424" s="29"/>
      <c r="P424" s="29"/>
      <c r="Q424" s="34"/>
      <c r="R424" s="34"/>
      <c r="S424" s="29"/>
      <c r="T424" s="29"/>
      <c r="U424" s="29"/>
      <c r="V424" s="29"/>
      <c r="W424" s="29"/>
      <c r="X424" s="29"/>
      <c r="Y424" s="2"/>
      <c r="Z424" s="34"/>
      <c r="AA424" s="2"/>
      <c r="AB424" s="29"/>
      <c r="AC424" s="29"/>
      <c r="AD424" s="29"/>
      <c r="AE424" s="29"/>
      <c r="AF424" s="29"/>
      <c r="AG424" s="29"/>
      <c r="AH424" s="29"/>
      <c r="AI424" s="29"/>
      <c r="AJ424" s="34"/>
      <c r="AK424" s="34"/>
      <c r="AL424" s="29"/>
      <c r="AM424" s="29"/>
    </row>
    <row x14ac:dyDescent="0.25" r="425" customHeight="1" ht="15.75">
      <c r="A425" s="1"/>
      <c r="B425" s="34"/>
      <c r="C425" s="34"/>
      <c r="D425" s="34"/>
      <c r="E425" s="34"/>
      <c r="F425" s="34"/>
      <c r="G425" s="60"/>
      <c r="H425" s="60"/>
      <c r="I425" s="29"/>
      <c r="J425" s="29"/>
      <c r="K425" s="29"/>
      <c r="L425" s="29"/>
      <c r="M425" s="29"/>
      <c r="N425" s="29"/>
      <c r="O425" s="29"/>
      <c r="P425" s="29"/>
      <c r="Q425" s="34"/>
      <c r="R425" s="34"/>
      <c r="S425" s="29"/>
      <c r="T425" s="29"/>
      <c r="U425" s="29"/>
      <c r="V425" s="29"/>
      <c r="W425" s="29"/>
      <c r="X425" s="29"/>
      <c r="Y425" s="2"/>
      <c r="Z425" s="34"/>
      <c r="AA425" s="2"/>
      <c r="AB425" s="29"/>
      <c r="AC425" s="29"/>
      <c r="AD425" s="29"/>
      <c r="AE425" s="29"/>
      <c r="AF425" s="29"/>
      <c r="AG425" s="29"/>
      <c r="AH425" s="29"/>
      <c r="AI425" s="29"/>
      <c r="AJ425" s="34"/>
      <c r="AK425" s="34"/>
      <c r="AL425" s="29"/>
      <c r="AM425" s="29"/>
    </row>
    <row x14ac:dyDescent="0.25" r="426" customHeight="1" ht="15.75">
      <c r="A426" s="1"/>
      <c r="B426" s="34"/>
      <c r="C426" s="34"/>
      <c r="D426" s="34"/>
      <c r="E426" s="34"/>
      <c r="F426" s="34"/>
      <c r="G426" s="60"/>
      <c r="H426" s="60"/>
      <c r="I426" s="29"/>
      <c r="J426" s="29"/>
      <c r="K426" s="29"/>
      <c r="L426" s="29"/>
      <c r="M426" s="29"/>
      <c r="N426" s="29"/>
      <c r="O426" s="29"/>
      <c r="P426" s="29"/>
      <c r="Q426" s="34"/>
      <c r="R426" s="34"/>
      <c r="S426" s="29"/>
      <c r="T426" s="29"/>
      <c r="U426" s="29"/>
      <c r="V426" s="29"/>
      <c r="W426" s="29"/>
      <c r="X426" s="29"/>
      <c r="Y426" s="2"/>
      <c r="Z426" s="34"/>
      <c r="AA426" s="2"/>
      <c r="AB426" s="29"/>
      <c r="AC426" s="29"/>
      <c r="AD426" s="29"/>
      <c r="AE426" s="29"/>
      <c r="AF426" s="29"/>
      <c r="AG426" s="29"/>
      <c r="AH426" s="29"/>
      <c r="AI426" s="29"/>
      <c r="AJ426" s="34"/>
      <c r="AK426" s="34"/>
      <c r="AL426" s="29"/>
      <c r="AM426" s="29"/>
    </row>
    <row x14ac:dyDescent="0.25" r="427" customHeight="1" ht="15.75">
      <c r="A427" s="1"/>
      <c r="B427" s="34"/>
      <c r="C427" s="34"/>
      <c r="D427" s="34"/>
      <c r="E427" s="34"/>
      <c r="F427" s="34"/>
      <c r="G427" s="60"/>
      <c r="H427" s="60"/>
      <c r="I427" s="29"/>
      <c r="J427" s="29"/>
      <c r="K427" s="29"/>
      <c r="L427" s="29"/>
      <c r="M427" s="29"/>
      <c r="N427" s="29"/>
      <c r="O427" s="29"/>
      <c r="P427" s="29"/>
      <c r="Q427" s="34"/>
      <c r="R427" s="34"/>
      <c r="S427" s="29"/>
      <c r="T427" s="29"/>
      <c r="U427" s="29"/>
      <c r="V427" s="29"/>
      <c r="W427" s="29"/>
      <c r="X427" s="29"/>
      <c r="Y427" s="2"/>
      <c r="Z427" s="34"/>
      <c r="AA427" s="2"/>
      <c r="AB427" s="29"/>
      <c r="AC427" s="29"/>
      <c r="AD427" s="29"/>
      <c r="AE427" s="29"/>
      <c r="AF427" s="29"/>
      <c r="AG427" s="29"/>
      <c r="AH427" s="29"/>
      <c r="AI427" s="29"/>
      <c r="AJ427" s="34"/>
      <c r="AK427" s="34"/>
      <c r="AL427" s="29"/>
      <c r="AM427" s="29"/>
    </row>
    <row x14ac:dyDescent="0.25" r="428" customHeight="1" ht="15.75">
      <c r="A428" s="1"/>
      <c r="B428" s="34"/>
      <c r="C428" s="34"/>
      <c r="D428" s="34"/>
      <c r="E428" s="34"/>
      <c r="F428" s="34"/>
      <c r="G428" s="60"/>
      <c r="H428" s="60"/>
      <c r="I428" s="29"/>
      <c r="J428" s="29"/>
      <c r="K428" s="29"/>
      <c r="L428" s="29"/>
      <c r="M428" s="29"/>
      <c r="N428" s="29"/>
      <c r="O428" s="29"/>
      <c r="P428" s="29"/>
      <c r="Q428" s="34"/>
      <c r="R428" s="34"/>
      <c r="S428" s="29"/>
      <c r="T428" s="29"/>
      <c r="U428" s="29"/>
      <c r="V428" s="29"/>
      <c r="W428" s="29"/>
      <c r="X428" s="29"/>
      <c r="Y428" s="2"/>
      <c r="Z428" s="34"/>
      <c r="AA428" s="2"/>
      <c r="AB428" s="29"/>
      <c r="AC428" s="29"/>
      <c r="AD428" s="29"/>
      <c r="AE428" s="29"/>
      <c r="AF428" s="29"/>
      <c r="AG428" s="29"/>
      <c r="AH428" s="29"/>
      <c r="AI428" s="29"/>
      <c r="AJ428" s="34"/>
      <c r="AK428" s="34"/>
      <c r="AL428" s="29"/>
      <c r="AM428" s="29"/>
    </row>
    <row x14ac:dyDescent="0.25" r="429" customHeight="1" ht="15.75">
      <c r="A429" s="1"/>
      <c r="B429" s="34"/>
      <c r="C429" s="34"/>
      <c r="D429" s="34"/>
      <c r="E429" s="34"/>
      <c r="F429" s="34"/>
      <c r="G429" s="60"/>
      <c r="H429" s="60"/>
      <c r="I429" s="29"/>
      <c r="J429" s="29"/>
      <c r="K429" s="29"/>
      <c r="L429" s="29"/>
      <c r="M429" s="29"/>
      <c r="N429" s="29"/>
      <c r="O429" s="29"/>
      <c r="P429" s="29"/>
      <c r="Q429" s="34"/>
      <c r="R429" s="34"/>
      <c r="S429" s="29"/>
      <c r="T429" s="29"/>
      <c r="U429" s="29"/>
      <c r="V429" s="29"/>
      <c r="W429" s="29"/>
      <c r="X429" s="29"/>
      <c r="Y429" s="2"/>
      <c r="Z429" s="34"/>
      <c r="AA429" s="2"/>
      <c r="AB429" s="29"/>
      <c r="AC429" s="29"/>
      <c r="AD429" s="29"/>
      <c r="AE429" s="29"/>
      <c r="AF429" s="29"/>
      <c r="AG429" s="29"/>
      <c r="AH429" s="29"/>
      <c r="AI429" s="29"/>
      <c r="AJ429" s="34"/>
      <c r="AK429" s="34"/>
      <c r="AL429" s="29"/>
      <c r="AM429" s="29"/>
    </row>
    <row x14ac:dyDescent="0.25" r="430" customHeight="1" ht="15.75">
      <c r="A430" s="1"/>
      <c r="B430" s="34"/>
      <c r="C430" s="34"/>
      <c r="D430" s="34"/>
      <c r="E430" s="34"/>
      <c r="F430" s="34"/>
      <c r="G430" s="60"/>
      <c r="H430" s="60"/>
      <c r="I430" s="29"/>
      <c r="J430" s="29"/>
      <c r="K430" s="29"/>
      <c r="L430" s="29"/>
      <c r="M430" s="29"/>
      <c r="N430" s="29"/>
      <c r="O430" s="29"/>
      <c r="P430" s="29"/>
      <c r="Q430" s="34"/>
      <c r="R430" s="34"/>
      <c r="S430" s="29"/>
      <c r="T430" s="29"/>
      <c r="U430" s="29"/>
      <c r="V430" s="29"/>
      <c r="W430" s="29"/>
      <c r="X430" s="29"/>
      <c r="Y430" s="2"/>
      <c r="Z430" s="34"/>
      <c r="AA430" s="2"/>
      <c r="AB430" s="29"/>
      <c r="AC430" s="29"/>
      <c r="AD430" s="29"/>
      <c r="AE430" s="29"/>
      <c r="AF430" s="29"/>
      <c r="AG430" s="29"/>
      <c r="AH430" s="29"/>
      <c r="AI430" s="29"/>
      <c r="AJ430" s="34"/>
      <c r="AK430" s="34"/>
      <c r="AL430" s="29"/>
      <c r="AM430" s="29"/>
    </row>
    <row x14ac:dyDescent="0.25" r="431" customHeight="1" ht="15.75">
      <c r="A431" s="1"/>
      <c r="B431" s="34"/>
      <c r="C431" s="34"/>
      <c r="D431" s="34"/>
      <c r="E431" s="34"/>
      <c r="F431" s="34"/>
      <c r="G431" s="60"/>
      <c r="H431" s="60"/>
      <c r="I431" s="29"/>
      <c r="J431" s="29"/>
      <c r="K431" s="29"/>
      <c r="L431" s="29"/>
      <c r="M431" s="29"/>
      <c r="N431" s="29"/>
      <c r="O431" s="29"/>
      <c r="P431" s="29"/>
      <c r="Q431" s="34"/>
      <c r="R431" s="34"/>
      <c r="S431" s="29"/>
      <c r="T431" s="29"/>
      <c r="U431" s="29"/>
      <c r="V431" s="29"/>
      <c r="W431" s="29"/>
      <c r="X431" s="29"/>
      <c r="Y431" s="2"/>
      <c r="Z431" s="34"/>
      <c r="AA431" s="2"/>
      <c r="AB431" s="29"/>
      <c r="AC431" s="29"/>
      <c r="AD431" s="29"/>
      <c r="AE431" s="29"/>
      <c r="AF431" s="29"/>
      <c r="AG431" s="29"/>
      <c r="AH431" s="29"/>
      <c r="AI431" s="29"/>
      <c r="AJ431" s="34"/>
      <c r="AK431" s="34"/>
      <c r="AL431" s="29"/>
      <c r="AM431" s="29"/>
    </row>
    <row x14ac:dyDescent="0.25" r="432" customHeight="1" ht="15.75">
      <c r="A432" s="1"/>
      <c r="B432" s="34"/>
      <c r="C432" s="34"/>
      <c r="D432" s="34"/>
      <c r="E432" s="34"/>
      <c r="F432" s="34"/>
      <c r="G432" s="60"/>
      <c r="H432" s="60"/>
      <c r="I432" s="29"/>
      <c r="J432" s="29"/>
      <c r="K432" s="29"/>
      <c r="L432" s="29"/>
      <c r="M432" s="29"/>
      <c r="N432" s="29"/>
      <c r="O432" s="29"/>
      <c r="P432" s="29"/>
      <c r="Q432" s="34"/>
      <c r="R432" s="34"/>
      <c r="S432" s="29"/>
      <c r="T432" s="29"/>
      <c r="U432" s="29"/>
      <c r="V432" s="29"/>
      <c r="W432" s="29"/>
      <c r="X432" s="29"/>
      <c r="Y432" s="2"/>
      <c r="Z432" s="34"/>
      <c r="AA432" s="2"/>
      <c r="AB432" s="29"/>
      <c r="AC432" s="29"/>
      <c r="AD432" s="29"/>
      <c r="AE432" s="29"/>
      <c r="AF432" s="29"/>
      <c r="AG432" s="29"/>
      <c r="AH432" s="29"/>
      <c r="AI432" s="29"/>
      <c r="AJ432" s="34"/>
      <c r="AK432" s="34"/>
      <c r="AL432" s="29"/>
      <c r="AM432" s="29"/>
    </row>
    <row x14ac:dyDescent="0.25" r="433" customHeight="1" ht="15.75">
      <c r="A433" s="1"/>
      <c r="B433" s="34"/>
      <c r="C433" s="34"/>
      <c r="D433" s="34"/>
      <c r="E433" s="34"/>
      <c r="F433" s="34"/>
      <c r="G433" s="60"/>
      <c r="H433" s="60"/>
      <c r="I433" s="29"/>
      <c r="J433" s="29"/>
      <c r="K433" s="29"/>
      <c r="L433" s="29"/>
      <c r="M433" s="29"/>
      <c r="N433" s="29"/>
      <c r="O433" s="29"/>
      <c r="P433" s="29"/>
      <c r="Q433" s="34"/>
      <c r="R433" s="34"/>
      <c r="S433" s="29"/>
      <c r="T433" s="29"/>
      <c r="U433" s="29"/>
      <c r="V433" s="29"/>
      <c r="W433" s="29"/>
      <c r="X433" s="29"/>
      <c r="Y433" s="2"/>
      <c r="Z433" s="34"/>
      <c r="AA433" s="2"/>
      <c r="AB433" s="29"/>
      <c r="AC433" s="29"/>
      <c r="AD433" s="29"/>
      <c r="AE433" s="29"/>
      <c r="AF433" s="29"/>
      <c r="AG433" s="29"/>
      <c r="AH433" s="29"/>
      <c r="AI433" s="29"/>
      <c r="AJ433" s="34"/>
      <c r="AK433" s="34"/>
      <c r="AL433" s="29"/>
      <c r="AM433" s="29"/>
    </row>
    <row x14ac:dyDescent="0.25" r="434" customHeight="1" ht="15.75">
      <c r="A434" s="1"/>
      <c r="B434" s="34"/>
      <c r="C434" s="34"/>
      <c r="D434" s="34"/>
      <c r="E434" s="34"/>
      <c r="F434" s="34"/>
      <c r="G434" s="60"/>
      <c r="H434" s="60"/>
      <c r="I434" s="29"/>
      <c r="J434" s="29"/>
      <c r="K434" s="29"/>
      <c r="L434" s="29"/>
      <c r="M434" s="29"/>
      <c r="N434" s="29"/>
      <c r="O434" s="29"/>
      <c r="P434" s="29"/>
      <c r="Q434" s="34"/>
      <c r="R434" s="34"/>
      <c r="S434" s="29"/>
      <c r="T434" s="29"/>
      <c r="U434" s="29"/>
      <c r="V434" s="29"/>
      <c r="W434" s="29"/>
      <c r="X434" s="29"/>
      <c r="Y434" s="2"/>
      <c r="Z434" s="34"/>
      <c r="AA434" s="2"/>
      <c r="AB434" s="29"/>
      <c r="AC434" s="29"/>
      <c r="AD434" s="29"/>
      <c r="AE434" s="29"/>
      <c r="AF434" s="29"/>
      <c r="AG434" s="29"/>
      <c r="AH434" s="29"/>
      <c r="AI434" s="29"/>
      <c r="AJ434" s="34"/>
      <c r="AK434" s="34"/>
      <c r="AL434" s="29"/>
      <c r="AM434" s="29"/>
    </row>
    <row x14ac:dyDescent="0.25" r="435" customHeight="1" ht="15.75">
      <c r="A435" s="1"/>
      <c r="B435" s="34"/>
      <c r="C435" s="34"/>
      <c r="D435" s="34"/>
      <c r="E435" s="34"/>
      <c r="F435" s="34"/>
      <c r="G435" s="60"/>
      <c r="H435" s="60"/>
      <c r="I435" s="29"/>
      <c r="J435" s="29"/>
      <c r="K435" s="29"/>
      <c r="L435" s="29"/>
      <c r="M435" s="29"/>
      <c r="N435" s="29"/>
      <c r="O435" s="29"/>
      <c r="P435" s="29"/>
      <c r="Q435" s="34"/>
      <c r="R435" s="34"/>
      <c r="S435" s="29"/>
      <c r="T435" s="29"/>
      <c r="U435" s="29"/>
      <c r="V435" s="29"/>
      <c r="W435" s="29"/>
      <c r="X435" s="29"/>
      <c r="Y435" s="2"/>
      <c r="Z435" s="34"/>
      <c r="AA435" s="2"/>
      <c r="AB435" s="29"/>
      <c r="AC435" s="29"/>
      <c r="AD435" s="29"/>
      <c r="AE435" s="29"/>
      <c r="AF435" s="29"/>
      <c r="AG435" s="29"/>
      <c r="AH435" s="29"/>
      <c r="AI435" s="29"/>
      <c r="AJ435" s="34"/>
      <c r="AK435" s="34"/>
      <c r="AL435" s="29"/>
      <c r="AM435" s="29"/>
    </row>
    <row x14ac:dyDescent="0.25" r="436" customHeight="1" ht="15.75">
      <c r="A436" s="1"/>
      <c r="B436" s="34"/>
      <c r="C436" s="34"/>
      <c r="D436" s="34"/>
      <c r="E436" s="34"/>
      <c r="F436" s="34"/>
      <c r="G436" s="60"/>
      <c r="H436" s="60"/>
      <c r="I436" s="29"/>
      <c r="J436" s="29"/>
      <c r="K436" s="29"/>
      <c r="L436" s="29"/>
      <c r="M436" s="29"/>
      <c r="N436" s="29"/>
      <c r="O436" s="29"/>
      <c r="P436" s="29"/>
      <c r="Q436" s="34"/>
      <c r="R436" s="34"/>
      <c r="S436" s="29"/>
      <c r="T436" s="29"/>
      <c r="U436" s="29"/>
      <c r="V436" s="29"/>
      <c r="W436" s="29"/>
      <c r="X436" s="29"/>
      <c r="Y436" s="2"/>
      <c r="Z436" s="34"/>
      <c r="AA436" s="2"/>
      <c r="AB436" s="29"/>
      <c r="AC436" s="29"/>
      <c r="AD436" s="29"/>
      <c r="AE436" s="29"/>
      <c r="AF436" s="29"/>
      <c r="AG436" s="29"/>
      <c r="AH436" s="29"/>
      <c r="AI436" s="29"/>
      <c r="AJ436" s="34"/>
      <c r="AK436" s="34"/>
      <c r="AL436" s="29"/>
      <c r="AM436" s="29"/>
    </row>
    <row x14ac:dyDescent="0.25" r="437" customHeight="1" ht="15.75">
      <c r="A437" s="1"/>
      <c r="B437" s="34"/>
      <c r="C437" s="34"/>
      <c r="D437" s="34"/>
      <c r="E437" s="34"/>
      <c r="F437" s="34"/>
      <c r="G437" s="60"/>
      <c r="H437" s="60"/>
      <c r="I437" s="29"/>
      <c r="J437" s="29"/>
      <c r="K437" s="29"/>
      <c r="L437" s="29"/>
      <c r="M437" s="29"/>
      <c r="N437" s="29"/>
      <c r="O437" s="29"/>
      <c r="P437" s="29"/>
      <c r="Q437" s="34"/>
      <c r="R437" s="34"/>
      <c r="S437" s="29"/>
      <c r="T437" s="29"/>
      <c r="U437" s="29"/>
      <c r="V437" s="29"/>
      <c r="W437" s="29"/>
      <c r="X437" s="29"/>
      <c r="Y437" s="2"/>
      <c r="Z437" s="34"/>
      <c r="AA437" s="2"/>
      <c r="AB437" s="29"/>
      <c r="AC437" s="29"/>
      <c r="AD437" s="29"/>
      <c r="AE437" s="29"/>
      <c r="AF437" s="29"/>
      <c r="AG437" s="29"/>
      <c r="AH437" s="29"/>
      <c r="AI437" s="29"/>
      <c r="AJ437" s="34"/>
      <c r="AK437" s="34"/>
      <c r="AL437" s="29"/>
      <c r="AM437" s="29"/>
    </row>
    <row x14ac:dyDescent="0.25" r="438" customHeight="1" ht="15.75">
      <c r="A438" s="1"/>
      <c r="B438" s="34"/>
      <c r="C438" s="34"/>
      <c r="D438" s="34"/>
      <c r="E438" s="34"/>
      <c r="F438" s="34"/>
      <c r="G438" s="60"/>
      <c r="H438" s="60"/>
      <c r="I438" s="29"/>
      <c r="J438" s="29"/>
      <c r="K438" s="29"/>
      <c r="L438" s="29"/>
      <c r="M438" s="29"/>
      <c r="N438" s="29"/>
      <c r="O438" s="29"/>
      <c r="P438" s="29"/>
      <c r="Q438" s="34"/>
      <c r="R438" s="34"/>
      <c r="S438" s="29"/>
      <c r="T438" s="29"/>
      <c r="U438" s="29"/>
      <c r="V438" s="29"/>
      <c r="W438" s="29"/>
      <c r="X438" s="29"/>
      <c r="Y438" s="2"/>
      <c r="Z438" s="34"/>
      <c r="AA438" s="2"/>
      <c r="AB438" s="29"/>
      <c r="AC438" s="29"/>
      <c r="AD438" s="29"/>
      <c r="AE438" s="29"/>
      <c r="AF438" s="29"/>
      <c r="AG438" s="29"/>
      <c r="AH438" s="29"/>
      <c r="AI438" s="29"/>
      <c r="AJ438" s="34"/>
      <c r="AK438" s="34"/>
      <c r="AL438" s="29"/>
      <c r="AM438" s="29"/>
    </row>
    <row x14ac:dyDescent="0.25" r="439" customHeight="1" ht="15.75">
      <c r="A439" s="1"/>
      <c r="B439" s="34"/>
      <c r="C439" s="34"/>
      <c r="D439" s="34"/>
      <c r="E439" s="34"/>
      <c r="F439" s="34"/>
      <c r="G439" s="60"/>
      <c r="H439" s="60"/>
      <c r="I439" s="29"/>
      <c r="J439" s="29"/>
      <c r="K439" s="29"/>
      <c r="L439" s="29"/>
      <c r="M439" s="29"/>
      <c r="N439" s="29"/>
      <c r="O439" s="29"/>
      <c r="P439" s="29"/>
      <c r="Q439" s="34"/>
      <c r="R439" s="34"/>
      <c r="S439" s="29"/>
      <c r="T439" s="29"/>
      <c r="U439" s="29"/>
      <c r="V439" s="29"/>
      <c r="W439" s="29"/>
      <c r="X439" s="29"/>
      <c r="Y439" s="2"/>
      <c r="Z439" s="34"/>
      <c r="AA439" s="2"/>
      <c r="AB439" s="29"/>
      <c r="AC439" s="29"/>
      <c r="AD439" s="29"/>
      <c r="AE439" s="29"/>
      <c r="AF439" s="29"/>
      <c r="AG439" s="29"/>
      <c r="AH439" s="29"/>
      <c r="AI439" s="29"/>
      <c r="AJ439" s="34"/>
      <c r="AK439" s="34"/>
      <c r="AL439" s="29"/>
      <c r="AM439" s="29"/>
    </row>
    <row x14ac:dyDescent="0.25" r="440" customHeight="1" ht="15.75">
      <c r="A440" s="1"/>
      <c r="B440" s="34"/>
      <c r="C440" s="34"/>
      <c r="D440" s="34"/>
      <c r="E440" s="34"/>
      <c r="F440" s="34"/>
      <c r="G440" s="60"/>
      <c r="H440" s="60"/>
      <c r="I440" s="29"/>
      <c r="J440" s="29"/>
      <c r="K440" s="29"/>
      <c r="L440" s="29"/>
      <c r="M440" s="29"/>
      <c r="N440" s="29"/>
      <c r="O440" s="29"/>
      <c r="P440" s="29"/>
      <c r="Q440" s="34"/>
      <c r="R440" s="34"/>
      <c r="S440" s="29"/>
      <c r="T440" s="29"/>
      <c r="U440" s="29"/>
      <c r="V440" s="29"/>
      <c r="W440" s="29"/>
      <c r="X440" s="29"/>
      <c r="Y440" s="2"/>
      <c r="Z440" s="34"/>
      <c r="AA440" s="2"/>
      <c r="AB440" s="29"/>
      <c r="AC440" s="29"/>
      <c r="AD440" s="29"/>
      <c r="AE440" s="29"/>
      <c r="AF440" s="29"/>
      <c r="AG440" s="29"/>
      <c r="AH440" s="29"/>
      <c r="AI440" s="29"/>
      <c r="AJ440" s="34"/>
      <c r="AK440" s="34"/>
      <c r="AL440" s="29"/>
      <c r="AM440" s="29"/>
    </row>
    <row x14ac:dyDescent="0.25" r="441" customHeight="1" ht="15.75">
      <c r="A441" s="1"/>
      <c r="B441" s="34"/>
      <c r="C441" s="34"/>
      <c r="D441" s="34"/>
      <c r="E441" s="34"/>
      <c r="F441" s="34"/>
      <c r="G441" s="60"/>
      <c r="H441" s="60"/>
      <c r="I441" s="29"/>
      <c r="J441" s="29"/>
      <c r="K441" s="29"/>
      <c r="L441" s="29"/>
      <c r="M441" s="29"/>
      <c r="N441" s="29"/>
      <c r="O441" s="29"/>
      <c r="P441" s="29"/>
      <c r="Q441" s="34"/>
      <c r="R441" s="34"/>
      <c r="S441" s="29"/>
      <c r="T441" s="29"/>
      <c r="U441" s="29"/>
      <c r="V441" s="29"/>
      <c r="W441" s="29"/>
      <c r="X441" s="29"/>
      <c r="Y441" s="2"/>
      <c r="Z441" s="34"/>
      <c r="AA441" s="2"/>
      <c r="AB441" s="29"/>
      <c r="AC441" s="29"/>
      <c r="AD441" s="29"/>
      <c r="AE441" s="29"/>
      <c r="AF441" s="29"/>
      <c r="AG441" s="29"/>
      <c r="AH441" s="29"/>
      <c r="AI441" s="29"/>
      <c r="AJ441" s="34"/>
      <c r="AK441" s="34"/>
      <c r="AL441" s="29"/>
      <c r="AM441" s="29"/>
    </row>
    <row x14ac:dyDescent="0.25" r="442" customHeight="1" ht="15.75">
      <c r="A442" s="1"/>
      <c r="B442" s="34"/>
      <c r="C442" s="34"/>
      <c r="D442" s="34"/>
      <c r="E442" s="34"/>
      <c r="F442" s="34"/>
      <c r="G442" s="60"/>
      <c r="H442" s="60"/>
      <c r="I442" s="29"/>
      <c r="J442" s="29"/>
      <c r="K442" s="29"/>
      <c r="L442" s="29"/>
      <c r="M442" s="29"/>
      <c r="N442" s="29"/>
      <c r="O442" s="29"/>
      <c r="P442" s="29"/>
      <c r="Q442" s="34"/>
      <c r="R442" s="34"/>
      <c r="S442" s="29"/>
      <c r="T442" s="29"/>
      <c r="U442" s="29"/>
      <c r="V442" s="29"/>
      <c r="W442" s="29"/>
      <c r="X442" s="29"/>
      <c r="Y442" s="2"/>
      <c r="Z442" s="34"/>
      <c r="AA442" s="2"/>
      <c r="AB442" s="29"/>
      <c r="AC442" s="29"/>
      <c r="AD442" s="29"/>
      <c r="AE442" s="29"/>
      <c r="AF442" s="29"/>
      <c r="AG442" s="29"/>
      <c r="AH442" s="29"/>
      <c r="AI442" s="29"/>
      <c r="AJ442" s="34"/>
      <c r="AK442" s="34"/>
      <c r="AL442" s="29"/>
      <c r="AM442" s="29"/>
    </row>
    <row x14ac:dyDescent="0.25" r="443" customHeight="1" ht="15.75">
      <c r="A443" s="1"/>
      <c r="B443" s="34"/>
      <c r="C443" s="34"/>
      <c r="D443" s="34"/>
      <c r="E443" s="34"/>
      <c r="F443" s="34"/>
      <c r="G443" s="60"/>
      <c r="H443" s="60"/>
      <c r="I443" s="29"/>
      <c r="J443" s="29"/>
      <c r="K443" s="29"/>
      <c r="L443" s="29"/>
      <c r="M443" s="29"/>
      <c r="N443" s="29"/>
      <c r="O443" s="29"/>
      <c r="P443" s="29"/>
      <c r="Q443" s="34"/>
      <c r="R443" s="34"/>
      <c r="S443" s="29"/>
      <c r="T443" s="29"/>
      <c r="U443" s="29"/>
      <c r="V443" s="29"/>
      <c r="W443" s="29"/>
      <c r="X443" s="29"/>
      <c r="Y443" s="2"/>
      <c r="Z443" s="34"/>
      <c r="AA443" s="2"/>
      <c r="AB443" s="29"/>
      <c r="AC443" s="29"/>
      <c r="AD443" s="29"/>
      <c r="AE443" s="29"/>
      <c r="AF443" s="29"/>
      <c r="AG443" s="29"/>
      <c r="AH443" s="29"/>
      <c r="AI443" s="29"/>
      <c r="AJ443" s="34"/>
      <c r="AK443" s="34"/>
      <c r="AL443" s="29"/>
      <c r="AM443" s="29"/>
    </row>
    <row x14ac:dyDescent="0.25" r="444" customHeight="1" ht="15.75">
      <c r="A444" s="1"/>
      <c r="B444" s="34"/>
      <c r="C444" s="34"/>
      <c r="D444" s="34"/>
      <c r="E444" s="34"/>
      <c r="F444" s="34"/>
      <c r="G444" s="60"/>
      <c r="H444" s="60"/>
      <c r="I444" s="29"/>
      <c r="J444" s="29"/>
      <c r="K444" s="29"/>
      <c r="L444" s="29"/>
      <c r="M444" s="29"/>
      <c r="N444" s="29"/>
      <c r="O444" s="29"/>
      <c r="P444" s="29"/>
      <c r="Q444" s="34"/>
      <c r="R444" s="34"/>
      <c r="S444" s="29"/>
      <c r="T444" s="29"/>
      <c r="U444" s="29"/>
      <c r="V444" s="29"/>
      <c r="W444" s="29"/>
      <c r="X444" s="29"/>
      <c r="Y444" s="2"/>
      <c r="Z444" s="34"/>
      <c r="AA444" s="2"/>
      <c r="AB444" s="29"/>
      <c r="AC444" s="29"/>
      <c r="AD444" s="29"/>
      <c r="AE444" s="29"/>
      <c r="AF444" s="29"/>
      <c r="AG444" s="29"/>
      <c r="AH444" s="29"/>
      <c r="AI444" s="29"/>
      <c r="AJ444" s="34"/>
      <c r="AK444" s="34"/>
      <c r="AL444" s="29"/>
      <c r="AM444" s="29"/>
    </row>
    <row x14ac:dyDescent="0.25" r="445" customHeight="1" ht="15.75">
      <c r="A445" s="1"/>
      <c r="B445" s="34"/>
      <c r="C445" s="34"/>
      <c r="D445" s="34"/>
      <c r="E445" s="34"/>
      <c r="F445" s="34"/>
      <c r="G445" s="60"/>
      <c r="H445" s="60"/>
      <c r="I445" s="29"/>
      <c r="J445" s="29"/>
      <c r="K445" s="29"/>
      <c r="L445" s="29"/>
      <c r="M445" s="29"/>
      <c r="N445" s="29"/>
      <c r="O445" s="29"/>
      <c r="P445" s="29"/>
      <c r="Q445" s="34"/>
      <c r="R445" s="34"/>
      <c r="S445" s="29"/>
      <c r="T445" s="29"/>
      <c r="U445" s="29"/>
      <c r="V445" s="29"/>
      <c r="W445" s="29"/>
      <c r="X445" s="29"/>
      <c r="Y445" s="2"/>
      <c r="Z445" s="34"/>
      <c r="AA445" s="2"/>
      <c r="AB445" s="29"/>
      <c r="AC445" s="29"/>
      <c r="AD445" s="29"/>
      <c r="AE445" s="29"/>
      <c r="AF445" s="29"/>
      <c r="AG445" s="29"/>
      <c r="AH445" s="29"/>
      <c r="AI445" s="29"/>
      <c r="AJ445" s="34"/>
      <c r="AK445" s="34"/>
      <c r="AL445" s="29"/>
      <c r="AM445" s="29"/>
    </row>
    <row x14ac:dyDescent="0.25" r="446" customHeight="1" ht="15.75">
      <c r="A446" s="1"/>
      <c r="B446" s="34"/>
      <c r="C446" s="34"/>
      <c r="D446" s="34"/>
      <c r="E446" s="34"/>
      <c r="F446" s="34"/>
      <c r="G446" s="60"/>
      <c r="H446" s="60"/>
      <c r="I446" s="29"/>
      <c r="J446" s="29"/>
      <c r="K446" s="29"/>
      <c r="L446" s="29"/>
      <c r="M446" s="29"/>
      <c r="N446" s="29"/>
      <c r="O446" s="29"/>
      <c r="P446" s="29"/>
      <c r="Q446" s="34"/>
      <c r="R446" s="34"/>
      <c r="S446" s="29"/>
      <c r="T446" s="29"/>
      <c r="U446" s="29"/>
      <c r="V446" s="29"/>
      <c r="W446" s="29"/>
      <c r="X446" s="29"/>
      <c r="Y446" s="2"/>
      <c r="Z446" s="34"/>
      <c r="AA446" s="2"/>
      <c r="AB446" s="29"/>
      <c r="AC446" s="29"/>
      <c r="AD446" s="29"/>
      <c r="AE446" s="29"/>
      <c r="AF446" s="29"/>
      <c r="AG446" s="29"/>
      <c r="AH446" s="29"/>
      <c r="AI446" s="29"/>
      <c r="AJ446" s="34"/>
      <c r="AK446" s="34"/>
      <c r="AL446" s="29"/>
      <c r="AM446" s="29"/>
    </row>
    <row x14ac:dyDescent="0.25" r="447" customHeight="1" ht="15.75">
      <c r="A447" s="1"/>
      <c r="B447" s="34"/>
      <c r="C447" s="34"/>
      <c r="D447" s="34"/>
      <c r="E447" s="34"/>
      <c r="F447" s="34"/>
      <c r="G447" s="60"/>
      <c r="H447" s="60"/>
      <c r="I447" s="29"/>
      <c r="J447" s="29"/>
      <c r="K447" s="29"/>
      <c r="L447" s="29"/>
      <c r="M447" s="29"/>
      <c r="N447" s="29"/>
      <c r="O447" s="29"/>
      <c r="P447" s="29"/>
      <c r="Q447" s="34"/>
      <c r="R447" s="34"/>
      <c r="S447" s="29"/>
      <c r="T447" s="29"/>
      <c r="U447" s="29"/>
      <c r="V447" s="29"/>
      <c r="W447" s="29"/>
      <c r="X447" s="29"/>
      <c r="Y447" s="2"/>
      <c r="Z447" s="34"/>
      <c r="AA447" s="2"/>
      <c r="AB447" s="29"/>
      <c r="AC447" s="29"/>
      <c r="AD447" s="29"/>
      <c r="AE447" s="29"/>
      <c r="AF447" s="29"/>
      <c r="AG447" s="29"/>
      <c r="AH447" s="29"/>
      <c r="AI447" s="29"/>
      <c r="AJ447" s="34"/>
      <c r="AK447" s="34"/>
      <c r="AL447" s="29"/>
      <c r="AM447" s="29"/>
    </row>
    <row x14ac:dyDescent="0.25" r="448" customHeight="1" ht="15.75">
      <c r="A448" s="1"/>
      <c r="B448" s="34"/>
      <c r="C448" s="34"/>
      <c r="D448" s="34"/>
      <c r="E448" s="34"/>
      <c r="F448" s="34"/>
      <c r="G448" s="60"/>
      <c r="H448" s="60"/>
      <c r="I448" s="29"/>
      <c r="J448" s="29"/>
      <c r="K448" s="29"/>
      <c r="L448" s="29"/>
      <c r="M448" s="29"/>
      <c r="N448" s="29"/>
      <c r="O448" s="29"/>
      <c r="P448" s="29"/>
      <c r="Q448" s="34"/>
      <c r="R448" s="34"/>
      <c r="S448" s="29"/>
      <c r="T448" s="29"/>
      <c r="U448" s="29"/>
      <c r="V448" s="29"/>
      <c r="W448" s="29"/>
      <c r="X448" s="29"/>
      <c r="Y448" s="2"/>
      <c r="Z448" s="34"/>
      <c r="AA448" s="2"/>
      <c r="AB448" s="29"/>
      <c r="AC448" s="29"/>
      <c r="AD448" s="29"/>
      <c r="AE448" s="29"/>
      <c r="AF448" s="29"/>
      <c r="AG448" s="29"/>
      <c r="AH448" s="29"/>
      <c r="AI448" s="29"/>
      <c r="AJ448" s="34"/>
      <c r="AK448" s="34"/>
      <c r="AL448" s="29"/>
      <c r="AM448" s="29"/>
    </row>
    <row x14ac:dyDescent="0.25" r="449" customHeight="1" ht="15.75">
      <c r="A449" s="1"/>
      <c r="B449" s="34"/>
      <c r="C449" s="34"/>
      <c r="D449" s="34"/>
      <c r="E449" s="34"/>
      <c r="F449" s="34"/>
      <c r="G449" s="60"/>
      <c r="H449" s="60"/>
      <c r="I449" s="29"/>
      <c r="J449" s="29"/>
      <c r="K449" s="29"/>
      <c r="L449" s="29"/>
      <c r="M449" s="29"/>
      <c r="N449" s="29"/>
      <c r="O449" s="29"/>
      <c r="P449" s="29"/>
      <c r="Q449" s="34"/>
      <c r="R449" s="34"/>
      <c r="S449" s="29"/>
      <c r="T449" s="29"/>
      <c r="U449" s="29"/>
      <c r="V449" s="29"/>
      <c r="W449" s="29"/>
      <c r="X449" s="29"/>
      <c r="Y449" s="2"/>
      <c r="Z449" s="34"/>
      <c r="AA449" s="2"/>
      <c r="AB449" s="29"/>
      <c r="AC449" s="29"/>
      <c r="AD449" s="29"/>
      <c r="AE449" s="29"/>
      <c r="AF449" s="29"/>
      <c r="AG449" s="29"/>
      <c r="AH449" s="29"/>
      <c r="AI449" s="29"/>
      <c r="AJ449" s="34"/>
      <c r="AK449" s="34"/>
      <c r="AL449" s="29"/>
      <c r="AM449" s="29"/>
    </row>
    <row x14ac:dyDescent="0.25" r="450" customHeight="1" ht="15.75">
      <c r="A450" s="1"/>
      <c r="B450" s="34"/>
      <c r="C450" s="34"/>
      <c r="D450" s="34"/>
      <c r="E450" s="34"/>
      <c r="F450" s="34"/>
      <c r="G450" s="60"/>
      <c r="H450" s="60"/>
      <c r="I450" s="29"/>
      <c r="J450" s="29"/>
      <c r="K450" s="29"/>
      <c r="L450" s="29"/>
      <c r="M450" s="29"/>
      <c r="N450" s="29"/>
      <c r="O450" s="29"/>
      <c r="P450" s="29"/>
      <c r="Q450" s="34"/>
      <c r="R450" s="34"/>
      <c r="S450" s="29"/>
      <c r="T450" s="29"/>
      <c r="U450" s="29"/>
      <c r="V450" s="29"/>
      <c r="W450" s="29"/>
      <c r="X450" s="29"/>
      <c r="Y450" s="2"/>
      <c r="Z450" s="34"/>
      <c r="AA450" s="2"/>
      <c r="AB450" s="29"/>
      <c r="AC450" s="29"/>
      <c r="AD450" s="29"/>
      <c r="AE450" s="29"/>
      <c r="AF450" s="29"/>
      <c r="AG450" s="29"/>
      <c r="AH450" s="29"/>
      <c r="AI450" s="29"/>
      <c r="AJ450" s="34"/>
      <c r="AK450" s="34"/>
      <c r="AL450" s="29"/>
      <c r="AM450" s="29"/>
    </row>
    <row x14ac:dyDescent="0.25" r="451" customHeight="1" ht="15.75">
      <c r="A451" s="1"/>
      <c r="B451" s="34"/>
      <c r="C451" s="34"/>
      <c r="D451" s="34"/>
      <c r="E451" s="34"/>
      <c r="F451" s="34"/>
      <c r="G451" s="60"/>
      <c r="H451" s="60"/>
      <c r="I451" s="29"/>
      <c r="J451" s="29"/>
      <c r="K451" s="29"/>
      <c r="L451" s="29"/>
      <c r="M451" s="29"/>
      <c r="N451" s="29"/>
      <c r="O451" s="29"/>
      <c r="P451" s="29"/>
      <c r="Q451" s="34"/>
      <c r="R451" s="34"/>
      <c r="S451" s="29"/>
      <c r="T451" s="29"/>
      <c r="U451" s="29"/>
      <c r="V451" s="29"/>
      <c r="W451" s="29"/>
      <c r="X451" s="29"/>
      <c r="Y451" s="2"/>
      <c r="Z451" s="34"/>
      <c r="AA451" s="2"/>
      <c r="AB451" s="29"/>
      <c r="AC451" s="29"/>
      <c r="AD451" s="29"/>
      <c r="AE451" s="29"/>
      <c r="AF451" s="29"/>
      <c r="AG451" s="29"/>
      <c r="AH451" s="29"/>
      <c r="AI451" s="29"/>
      <c r="AJ451" s="34"/>
      <c r="AK451" s="34"/>
      <c r="AL451" s="29"/>
      <c r="AM451" s="29"/>
    </row>
    <row x14ac:dyDescent="0.25" r="452" customHeight="1" ht="15.75">
      <c r="A452" s="1"/>
      <c r="B452" s="34"/>
      <c r="C452" s="34"/>
      <c r="D452" s="34"/>
      <c r="E452" s="34"/>
      <c r="F452" s="34"/>
      <c r="G452" s="60"/>
      <c r="H452" s="60"/>
      <c r="I452" s="29"/>
      <c r="J452" s="29"/>
      <c r="K452" s="29"/>
      <c r="L452" s="29"/>
      <c r="M452" s="29"/>
      <c r="N452" s="29"/>
      <c r="O452" s="29"/>
      <c r="P452" s="29"/>
      <c r="Q452" s="34"/>
      <c r="R452" s="34"/>
      <c r="S452" s="29"/>
      <c r="T452" s="29"/>
      <c r="U452" s="29"/>
      <c r="V452" s="29"/>
      <c r="W452" s="29"/>
      <c r="X452" s="29"/>
      <c r="Y452" s="2"/>
      <c r="Z452" s="34"/>
      <c r="AA452" s="2"/>
      <c r="AB452" s="29"/>
      <c r="AC452" s="29"/>
      <c r="AD452" s="29"/>
      <c r="AE452" s="29"/>
      <c r="AF452" s="29"/>
      <c r="AG452" s="29"/>
      <c r="AH452" s="29"/>
      <c r="AI452" s="29"/>
      <c r="AJ452" s="34"/>
      <c r="AK452" s="34"/>
      <c r="AL452" s="29"/>
      <c r="AM452" s="29"/>
    </row>
    <row x14ac:dyDescent="0.25" r="453" customHeight="1" ht="15.75">
      <c r="A453" s="1"/>
      <c r="B453" s="34"/>
      <c r="C453" s="34"/>
      <c r="D453" s="34"/>
      <c r="E453" s="34"/>
      <c r="F453" s="34"/>
      <c r="G453" s="60"/>
      <c r="H453" s="60"/>
      <c r="I453" s="29"/>
      <c r="J453" s="29"/>
      <c r="K453" s="29"/>
      <c r="L453" s="29"/>
      <c r="M453" s="29"/>
      <c r="N453" s="29"/>
      <c r="O453" s="29"/>
      <c r="P453" s="29"/>
      <c r="Q453" s="34"/>
      <c r="R453" s="34"/>
      <c r="S453" s="29"/>
      <c r="T453" s="29"/>
      <c r="U453" s="29"/>
      <c r="V453" s="29"/>
      <c r="W453" s="29"/>
      <c r="X453" s="29"/>
      <c r="Y453" s="2"/>
      <c r="Z453" s="34"/>
      <c r="AA453" s="2"/>
      <c r="AB453" s="29"/>
      <c r="AC453" s="29"/>
      <c r="AD453" s="29"/>
      <c r="AE453" s="29"/>
      <c r="AF453" s="29"/>
      <c r="AG453" s="29"/>
      <c r="AH453" s="29"/>
      <c r="AI453" s="29"/>
      <c r="AJ453" s="34"/>
      <c r="AK453" s="34"/>
      <c r="AL453" s="29"/>
      <c r="AM453" s="29"/>
    </row>
    <row x14ac:dyDescent="0.25" r="454" customHeight="1" ht="15.75">
      <c r="A454" s="1"/>
      <c r="B454" s="34"/>
      <c r="C454" s="34"/>
      <c r="D454" s="34"/>
      <c r="E454" s="34"/>
      <c r="F454" s="34"/>
      <c r="G454" s="60"/>
      <c r="H454" s="60"/>
      <c r="I454" s="29"/>
      <c r="J454" s="29"/>
      <c r="K454" s="29"/>
      <c r="L454" s="29"/>
      <c r="M454" s="29"/>
      <c r="N454" s="29"/>
      <c r="O454" s="29"/>
      <c r="P454" s="29"/>
      <c r="Q454" s="34"/>
      <c r="R454" s="34"/>
      <c r="S454" s="29"/>
      <c r="T454" s="29"/>
      <c r="U454" s="29"/>
      <c r="V454" s="29"/>
      <c r="W454" s="29"/>
      <c r="X454" s="29"/>
      <c r="Y454" s="2"/>
      <c r="Z454" s="34"/>
      <c r="AA454" s="2"/>
      <c r="AB454" s="29"/>
      <c r="AC454" s="29"/>
      <c r="AD454" s="29"/>
      <c r="AE454" s="29"/>
      <c r="AF454" s="29"/>
      <c r="AG454" s="29"/>
      <c r="AH454" s="29"/>
      <c r="AI454" s="29"/>
      <c r="AJ454" s="34"/>
      <c r="AK454" s="34"/>
      <c r="AL454" s="29"/>
      <c r="AM454" s="29"/>
    </row>
    <row x14ac:dyDescent="0.25" r="455" customHeight="1" ht="15.75">
      <c r="A455" s="1"/>
      <c r="B455" s="34"/>
      <c r="C455" s="34"/>
      <c r="D455" s="34"/>
      <c r="E455" s="34"/>
      <c r="F455" s="34"/>
      <c r="G455" s="60"/>
      <c r="H455" s="60"/>
      <c r="I455" s="29"/>
      <c r="J455" s="29"/>
      <c r="K455" s="29"/>
      <c r="L455" s="29"/>
      <c r="M455" s="29"/>
      <c r="N455" s="29"/>
      <c r="O455" s="29"/>
      <c r="P455" s="29"/>
      <c r="Q455" s="34"/>
      <c r="R455" s="34"/>
      <c r="S455" s="29"/>
      <c r="T455" s="29"/>
      <c r="U455" s="29"/>
      <c r="V455" s="29"/>
      <c r="W455" s="29"/>
      <c r="X455" s="29"/>
      <c r="Y455" s="2"/>
      <c r="Z455" s="34"/>
      <c r="AA455" s="2"/>
      <c r="AB455" s="29"/>
      <c r="AC455" s="29"/>
      <c r="AD455" s="29"/>
      <c r="AE455" s="29"/>
      <c r="AF455" s="29"/>
      <c r="AG455" s="29"/>
      <c r="AH455" s="29"/>
      <c r="AI455" s="29"/>
      <c r="AJ455" s="34"/>
      <c r="AK455" s="34"/>
      <c r="AL455" s="29"/>
      <c r="AM455" s="29"/>
    </row>
    <row x14ac:dyDescent="0.25" r="456" customHeight="1" ht="15.75">
      <c r="A456" s="1"/>
      <c r="B456" s="34"/>
      <c r="C456" s="34"/>
      <c r="D456" s="34"/>
      <c r="E456" s="34"/>
      <c r="F456" s="34"/>
      <c r="G456" s="60"/>
      <c r="H456" s="60"/>
      <c r="I456" s="29"/>
      <c r="J456" s="29"/>
      <c r="K456" s="29"/>
      <c r="L456" s="29"/>
      <c r="M456" s="29"/>
      <c r="N456" s="29"/>
      <c r="O456" s="29"/>
      <c r="P456" s="29"/>
      <c r="Q456" s="34"/>
      <c r="R456" s="34"/>
      <c r="S456" s="29"/>
      <c r="T456" s="29"/>
      <c r="U456" s="29"/>
      <c r="V456" s="29"/>
      <c r="W456" s="29"/>
      <c r="X456" s="29"/>
      <c r="Y456" s="2"/>
      <c r="Z456" s="34"/>
      <c r="AA456" s="2"/>
      <c r="AB456" s="29"/>
      <c r="AC456" s="29"/>
      <c r="AD456" s="29"/>
      <c r="AE456" s="29"/>
      <c r="AF456" s="29"/>
      <c r="AG456" s="29"/>
      <c r="AH456" s="29"/>
      <c r="AI456" s="29"/>
      <c r="AJ456" s="34"/>
      <c r="AK456" s="34"/>
      <c r="AL456" s="29"/>
      <c r="AM456" s="29"/>
    </row>
    <row x14ac:dyDescent="0.25" r="457" customHeight="1" ht="15.75">
      <c r="A457" s="1"/>
      <c r="B457" s="34"/>
      <c r="C457" s="34"/>
      <c r="D457" s="34"/>
      <c r="E457" s="34"/>
      <c r="F457" s="34"/>
      <c r="G457" s="60"/>
      <c r="H457" s="60"/>
      <c r="I457" s="29"/>
      <c r="J457" s="29"/>
      <c r="K457" s="29"/>
      <c r="L457" s="29"/>
      <c r="M457" s="29"/>
      <c r="N457" s="29"/>
      <c r="O457" s="29"/>
      <c r="P457" s="29"/>
      <c r="Q457" s="34"/>
      <c r="R457" s="34"/>
      <c r="S457" s="29"/>
      <c r="T457" s="29"/>
      <c r="U457" s="29"/>
      <c r="V457" s="29"/>
      <c r="W457" s="29"/>
      <c r="X457" s="29"/>
      <c r="Y457" s="2"/>
      <c r="Z457" s="34"/>
      <c r="AA457" s="2"/>
      <c r="AB457" s="29"/>
      <c r="AC457" s="29"/>
      <c r="AD457" s="29"/>
      <c r="AE457" s="29"/>
      <c r="AF457" s="29"/>
      <c r="AG457" s="29"/>
      <c r="AH457" s="29"/>
      <c r="AI457" s="29"/>
      <c r="AJ457" s="34"/>
      <c r="AK457" s="34"/>
      <c r="AL457" s="29"/>
      <c r="AM457" s="29"/>
    </row>
    <row x14ac:dyDescent="0.25" r="458" customHeight="1" ht="15.75">
      <c r="A458" s="1"/>
      <c r="B458" s="34"/>
      <c r="C458" s="34"/>
      <c r="D458" s="34"/>
      <c r="E458" s="34"/>
      <c r="F458" s="34"/>
      <c r="G458" s="60"/>
      <c r="H458" s="60"/>
      <c r="I458" s="29"/>
      <c r="J458" s="29"/>
      <c r="K458" s="29"/>
      <c r="L458" s="29"/>
      <c r="M458" s="29"/>
      <c r="N458" s="29"/>
      <c r="O458" s="29"/>
      <c r="P458" s="29"/>
      <c r="Q458" s="34"/>
      <c r="R458" s="34"/>
      <c r="S458" s="29"/>
      <c r="T458" s="29"/>
      <c r="U458" s="29"/>
      <c r="V458" s="29"/>
      <c r="W458" s="29"/>
      <c r="X458" s="29"/>
      <c r="Y458" s="2"/>
      <c r="Z458" s="34"/>
      <c r="AA458" s="2"/>
      <c r="AB458" s="29"/>
      <c r="AC458" s="29"/>
      <c r="AD458" s="29"/>
      <c r="AE458" s="29"/>
      <c r="AF458" s="29"/>
      <c r="AG458" s="29"/>
      <c r="AH458" s="29"/>
      <c r="AI458" s="29"/>
      <c r="AJ458" s="34"/>
      <c r="AK458" s="34"/>
      <c r="AL458" s="29"/>
      <c r="AM458" s="29"/>
    </row>
    <row x14ac:dyDescent="0.25" r="459" customHeight="1" ht="15.75">
      <c r="A459" s="1"/>
      <c r="B459" s="34"/>
      <c r="C459" s="34"/>
      <c r="D459" s="34"/>
      <c r="E459" s="34"/>
      <c r="F459" s="34"/>
      <c r="G459" s="60"/>
      <c r="H459" s="60"/>
      <c r="I459" s="29"/>
      <c r="J459" s="29"/>
      <c r="K459" s="29"/>
      <c r="L459" s="29"/>
      <c r="M459" s="29"/>
      <c r="N459" s="29"/>
      <c r="O459" s="29"/>
      <c r="P459" s="29"/>
      <c r="Q459" s="34"/>
      <c r="R459" s="34"/>
      <c r="S459" s="29"/>
      <c r="T459" s="29"/>
      <c r="U459" s="29"/>
      <c r="V459" s="29"/>
      <c r="W459" s="29"/>
      <c r="X459" s="29"/>
      <c r="Y459" s="2"/>
      <c r="Z459" s="34"/>
      <c r="AA459" s="2"/>
      <c r="AB459" s="29"/>
      <c r="AC459" s="29"/>
      <c r="AD459" s="29"/>
      <c r="AE459" s="29"/>
      <c r="AF459" s="29"/>
      <c r="AG459" s="29"/>
      <c r="AH459" s="29"/>
      <c r="AI459" s="29"/>
      <c r="AJ459" s="34"/>
      <c r="AK459" s="34"/>
      <c r="AL459" s="29"/>
      <c r="AM459" s="29"/>
    </row>
    <row x14ac:dyDescent="0.25" r="460" customHeight="1" ht="15.75">
      <c r="A460" s="1"/>
      <c r="B460" s="34"/>
      <c r="C460" s="34"/>
      <c r="D460" s="34"/>
      <c r="E460" s="34"/>
      <c r="F460" s="34"/>
      <c r="G460" s="60"/>
      <c r="H460" s="60"/>
      <c r="I460" s="29"/>
      <c r="J460" s="29"/>
      <c r="K460" s="29"/>
      <c r="L460" s="29"/>
      <c r="M460" s="29"/>
      <c r="N460" s="29"/>
      <c r="O460" s="29"/>
      <c r="P460" s="29"/>
      <c r="Q460" s="34"/>
      <c r="R460" s="34"/>
      <c r="S460" s="29"/>
      <c r="T460" s="29"/>
      <c r="U460" s="29"/>
      <c r="V460" s="29"/>
      <c r="W460" s="29"/>
      <c r="X460" s="29"/>
      <c r="Y460" s="2"/>
      <c r="Z460" s="34"/>
      <c r="AA460" s="2"/>
      <c r="AB460" s="29"/>
      <c r="AC460" s="29"/>
      <c r="AD460" s="29"/>
      <c r="AE460" s="29"/>
      <c r="AF460" s="29"/>
      <c r="AG460" s="29"/>
      <c r="AH460" s="29"/>
      <c r="AI460" s="29"/>
      <c r="AJ460" s="34"/>
      <c r="AK460" s="34"/>
      <c r="AL460" s="29"/>
      <c r="AM460" s="29"/>
    </row>
    <row x14ac:dyDescent="0.25" r="461" customHeight="1" ht="15.75">
      <c r="A461" s="1"/>
      <c r="B461" s="34"/>
      <c r="C461" s="34"/>
      <c r="D461" s="34"/>
      <c r="E461" s="34"/>
      <c r="F461" s="34"/>
      <c r="G461" s="60"/>
      <c r="H461" s="60"/>
      <c r="I461" s="29"/>
      <c r="J461" s="29"/>
      <c r="K461" s="29"/>
      <c r="L461" s="29"/>
      <c r="M461" s="29"/>
      <c r="N461" s="29"/>
      <c r="O461" s="29"/>
      <c r="P461" s="29"/>
      <c r="Q461" s="34"/>
      <c r="R461" s="34"/>
      <c r="S461" s="29"/>
      <c r="T461" s="29"/>
      <c r="U461" s="29"/>
      <c r="V461" s="29"/>
      <c r="W461" s="29"/>
      <c r="X461" s="29"/>
      <c r="Y461" s="2"/>
      <c r="Z461" s="34"/>
      <c r="AA461" s="2"/>
      <c r="AB461" s="29"/>
      <c r="AC461" s="29"/>
      <c r="AD461" s="29"/>
      <c r="AE461" s="29"/>
      <c r="AF461" s="29"/>
      <c r="AG461" s="29"/>
      <c r="AH461" s="29"/>
      <c r="AI461" s="29"/>
      <c r="AJ461" s="34"/>
      <c r="AK461" s="34"/>
      <c r="AL461" s="29"/>
      <c r="AM461" s="29"/>
    </row>
    <row x14ac:dyDescent="0.25" r="462" customHeight="1" ht="15.75">
      <c r="A462" s="1"/>
      <c r="B462" s="34"/>
      <c r="C462" s="34"/>
      <c r="D462" s="34"/>
      <c r="E462" s="34"/>
      <c r="F462" s="34"/>
      <c r="G462" s="60"/>
      <c r="H462" s="60"/>
      <c r="I462" s="29"/>
      <c r="J462" s="29"/>
      <c r="K462" s="29"/>
      <c r="L462" s="29"/>
      <c r="M462" s="29"/>
      <c r="N462" s="29"/>
      <c r="O462" s="29"/>
      <c r="P462" s="29"/>
      <c r="Q462" s="34"/>
      <c r="R462" s="34"/>
      <c r="S462" s="29"/>
      <c r="T462" s="29"/>
      <c r="U462" s="29"/>
      <c r="V462" s="29"/>
      <c r="W462" s="29"/>
      <c r="X462" s="29"/>
      <c r="Y462" s="2"/>
      <c r="Z462" s="34"/>
      <c r="AA462" s="2"/>
      <c r="AB462" s="29"/>
      <c r="AC462" s="29"/>
      <c r="AD462" s="29"/>
      <c r="AE462" s="29"/>
      <c r="AF462" s="29"/>
      <c r="AG462" s="29"/>
      <c r="AH462" s="29"/>
      <c r="AI462" s="29"/>
      <c r="AJ462" s="34"/>
      <c r="AK462" s="34"/>
      <c r="AL462" s="29"/>
      <c r="AM462" s="29"/>
    </row>
    <row x14ac:dyDescent="0.25" r="463" customHeight="1" ht="15.75">
      <c r="A463" s="1"/>
      <c r="B463" s="34"/>
      <c r="C463" s="34"/>
      <c r="D463" s="34"/>
      <c r="E463" s="34"/>
      <c r="F463" s="34"/>
      <c r="G463" s="60"/>
      <c r="H463" s="60"/>
      <c r="I463" s="29"/>
      <c r="J463" s="29"/>
      <c r="K463" s="29"/>
      <c r="L463" s="29"/>
      <c r="M463" s="29"/>
      <c r="N463" s="29"/>
      <c r="O463" s="29"/>
      <c r="P463" s="29"/>
      <c r="Q463" s="34"/>
      <c r="R463" s="34"/>
      <c r="S463" s="29"/>
      <c r="T463" s="29"/>
      <c r="U463" s="29"/>
      <c r="V463" s="29"/>
      <c r="W463" s="29"/>
      <c r="X463" s="29"/>
      <c r="Y463" s="2"/>
      <c r="Z463" s="34"/>
      <c r="AA463" s="2"/>
      <c r="AB463" s="29"/>
      <c r="AC463" s="29"/>
      <c r="AD463" s="29"/>
      <c r="AE463" s="29"/>
      <c r="AF463" s="29"/>
      <c r="AG463" s="29"/>
      <c r="AH463" s="29"/>
      <c r="AI463" s="29"/>
      <c r="AJ463" s="34"/>
      <c r="AK463" s="34"/>
      <c r="AL463" s="29"/>
      <c r="AM463" s="29"/>
    </row>
    <row x14ac:dyDescent="0.25" r="464" customHeight="1" ht="15.75">
      <c r="A464" s="1"/>
      <c r="B464" s="34"/>
      <c r="C464" s="34"/>
      <c r="D464" s="34"/>
      <c r="E464" s="34"/>
      <c r="F464" s="34"/>
      <c r="G464" s="60"/>
      <c r="H464" s="60"/>
      <c r="I464" s="29"/>
      <c r="J464" s="29"/>
      <c r="K464" s="29"/>
      <c r="L464" s="29"/>
      <c r="M464" s="29"/>
      <c r="N464" s="29"/>
      <c r="O464" s="29"/>
      <c r="P464" s="29"/>
      <c r="Q464" s="34"/>
      <c r="R464" s="34"/>
      <c r="S464" s="29"/>
      <c r="T464" s="29"/>
      <c r="U464" s="29"/>
      <c r="V464" s="29"/>
      <c r="W464" s="29"/>
      <c r="X464" s="29"/>
      <c r="Y464" s="2"/>
      <c r="Z464" s="34"/>
      <c r="AA464" s="2"/>
      <c r="AB464" s="29"/>
      <c r="AC464" s="29"/>
      <c r="AD464" s="29"/>
      <c r="AE464" s="29"/>
      <c r="AF464" s="29"/>
      <c r="AG464" s="29"/>
      <c r="AH464" s="29"/>
      <c r="AI464" s="29"/>
      <c r="AJ464" s="34"/>
      <c r="AK464" s="34"/>
      <c r="AL464" s="29"/>
      <c r="AM464" s="29"/>
    </row>
    <row x14ac:dyDescent="0.25" r="465" customHeight="1" ht="15.75">
      <c r="A465" s="1"/>
      <c r="B465" s="34"/>
      <c r="C465" s="34"/>
      <c r="D465" s="34"/>
      <c r="E465" s="34"/>
      <c r="F465" s="34"/>
      <c r="G465" s="60"/>
      <c r="H465" s="60"/>
      <c r="I465" s="29"/>
      <c r="J465" s="29"/>
      <c r="K465" s="29"/>
      <c r="L465" s="29"/>
      <c r="M465" s="29"/>
      <c r="N465" s="29"/>
      <c r="O465" s="29"/>
      <c r="P465" s="29"/>
      <c r="Q465" s="34"/>
      <c r="R465" s="34"/>
      <c r="S465" s="29"/>
      <c r="T465" s="29"/>
      <c r="U465" s="29"/>
      <c r="V465" s="29"/>
      <c r="W465" s="29"/>
      <c r="X465" s="29"/>
      <c r="Y465" s="2"/>
      <c r="Z465" s="34"/>
      <c r="AA465" s="2"/>
      <c r="AB465" s="29"/>
      <c r="AC465" s="29"/>
      <c r="AD465" s="29"/>
      <c r="AE465" s="29"/>
      <c r="AF465" s="29"/>
      <c r="AG465" s="29"/>
      <c r="AH465" s="29"/>
      <c r="AI465" s="29"/>
      <c r="AJ465" s="34"/>
      <c r="AK465" s="34"/>
      <c r="AL465" s="29"/>
      <c r="AM465" s="29"/>
    </row>
    <row x14ac:dyDescent="0.25" r="466" customHeight="1" ht="15.75">
      <c r="A466" s="1"/>
      <c r="B466" s="34"/>
      <c r="C466" s="34"/>
      <c r="D466" s="34"/>
      <c r="E466" s="34"/>
      <c r="F466" s="34"/>
      <c r="G466" s="60"/>
      <c r="H466" s="60"/>
      <c r="I466" s="29"/>
      <c r="J466" s="29"/>
      <c r="K466" s="29"/>
      <c r="L466" s="29"/>
      <c r="M466" s="29"/>
      <c r="N466" s="29"/>
      <c r="O466" s="29"/>
      <c r="P466" s="29"/>
      <c r="Q466" s="34"/>
      <c r="R466" s="34"/>
      <c r="S466" s="29"/>
      <c r="T466" s="29"/>
      <c r="U466" s="29"/>
      <c r="V466" s="29"/>
      <c r="W466" s="29"/>
      <c r="X466" s="29"/>
      <c r="Y466" s="2"/>
      <c r="Z466" s="34"/>
      <c r="AA466" s="2"/>
      <c r="AB466" s="29"/>
      <c r="AC466" s="29"/>
      <c r="AD466" s="29"/>
      <c r="AE466" s="29"/>
      <c r="AF466" s="29"/>
      <c r="AG466" s="29"/>
      <c r="AH466" s="29"/>
      <c r="AI466" s="29"/>
      <c r="AJ466" s="34"/>
      <c r="AK466" s="34"/>
      <c r="AL466" s="29"/>
      <c r="AM466" s="29"/>
    </row>
    <row x14ac:dyDescent="0.25" r="467" customHeight="1" ht="15.75">
      <c r="A467" s="1"/>
      <c r="B467" s="34"/>
      <c r="C467" s="34"/>
      <c r="D467" s="34"/>
      <c r="E467" s="34"/>
      <c r="F467" s="34"/>
      <c r="G467" s="60"/>
      <c r="H467" s="60"/>
      <c r="I467" s="29"/>
      <c r="J467" s="29"/>
      <c r="K467" s="29"/>
      <c r="L467" s="29"/>
      <c r="M467" s="29"/>
      <c r="N467" s="29"/>
      <c r="O467" s="29"/>
      <c r="P467" s="29"/>
      <c r="Q467" s="34"/>
      <c r="R467" s="34"/>
      <c r="S467" s="29"/>
      <c r="T467" s="29"/>
      <c r="U467" s="29"/>
      <c r="V467" s="29"/>
      <c r="W467" s="29"/>
      <c r="X467" s="29"/>
      <c r="Y467" s="2"/>
      <c r="Z467" s="34"/>
      <c r="AA467" s="2"/>
      <c r="AB467" s="29"/>
      <c r="AC467" s="29"/>
      <c r="AD467" s="29"/>
      <c r="AE467" s="29"/>
      <c r="AF467" s="29"/>
      <c r="AG467" s="29"/>
      <c r="AH467" s="29"/>
      <c r="AI467" s="29"/>
      <c r="AJ467" s="34"/>
      <c r="AK467" s="34"/>
      <c r="AL467" s="29"/>
      <c r="AM467" s="29"/>
    </row>
    <row x14ac:dyDescent="0.25" r="468" customHeight="1" ht="15.75">
      <c r="A468" s="1"/>
      <c r="B468" s="34"/>
      <c r="C468" s="34"/>
      <c r="D468" s="34"/>
      <c r="E468" s="34"/>
      <c r="F468" s="34"/>
      <c r="G468" s="60"/>
      <c r="H468" s="60"/>
      <c r="I468" s="29"/>
      <c r="J468" s="29"/>
      <c r="K468" s="29"/>
      <c r="L468" s="29"/>
      <c r="M468" s="29"/>
      <c r="N468" s="29"/>
      <c r="O468" s="29"/>
      <c r="P468" s="29"/>
      <c r="Q468" s="34"/>
      <c r="R468" s="34"/>
      <c r="S468" s="29"/>
      <c r="T468" s="29"/>
      <c r="U468" s="29"/>
      <c r="V468" s="29"/>
      <c r="W468" s="29"/>
      <c r="X468" s="29"/>
      <c r="Y468" s="2"/>
      <c r="Z468" s="34"/>
      <c r="AA468" s="2"/>
      <c r="AB468" s="29"/>
      <c r="AC468" s="29"/>
      <c r="AD468" s="29"/>
      <c r="AE468" s="29"/>
      <c r="AF468" s="29"/>
      <c r="AG468" s="29"/>
      <c r="AH468" s="29"/>
      <c r="AI468" s="29"/>
      <c r="AJ468" s="34"/>
      <c r="AK468" s="34"/>
      <c r="AL468" s="29"/>
      <c r="AM468" s="29"/>
    </row>
    <row x14ac:dyDescent="0.25" r="469" customHeight="1" ht="15.75">
      <c r="A469" s="1"/>
      <c r="B469" s="34"/>
      <c r="C469" s="34"/>
      <c r="D469" s="34"/>
      <c r="E469" s="34"/>
      <c r="F469" s="34"/>
      <c r="G469" s="60"/>
      <c r="H469" s="60"/>
      <c r="I469" s="29"/>
      <c r="J469" s="29"/>
      <c r="K469" s="29"/>
      <c r="L469" s="29"/>
      <c r="M469" s="29"/>
      <c r="N469" s="29"/>
      <c r="O469" s="29"/>
      <c r="P469" s="29"/>
      <c r="Q469" s="34"/>
      <c r="R469" s="34"/>
      <c r="S469" s="29"/>
      <c r="T469" s="29"/>
      <c r="U469" s="29"/>
      <c r="V469" s="29"/>
      <c r="W469" s="29"/>
      <c r="X469" s="29"/>
      <c r="Y469" s="2"/>
      <c r="Z469" s="34"/>
      <c r="AA469" s="2"/>
      <c r="AB469" s="29"/>
      <c r="AC469" s="29"/>
      <c r="AD469" s="29"/>
      <c r="AE469" s="29"/>
      <c r="AF469" s="29"/>
      <c r="AG469" s="29"/>
      <c r="AH469" s="29"/>
      <c r="AI469" s="29"/>
      <c r="AJ469" s="34"/>
      <c r="AK469" s="34"/>
      <c r="AL469" s="29"/>
      <c r="AM469" s="29"/>
    </row>
    <row x14ac:dyDescent="0.25" r="470" customHeight="1" ht="15.75">
      <c r="A470" s="1"/>
      <c r="B470" s="34"/>
      <c r="C470" s="34"/>
      <c r="D470" s="34"/>
      <c r="E470" s="34"/>
      <c r="F470" s="34"/>
      <c r="G470" s="60"/>
      <c r="H470" s="60"/>
      <c r="I470" s="29"/>
      <c r="J470" s="29"/>
      <c r="K470" s="29"/>
      <c r="L470" s="29"/>
      <c r="M470" s="29"/>
      <c r="N470" s="29"/>
      <c r="O470" s="29"/>
      <c r="P470" s="29"/>
      <c r="Q470" s="34"/>
      <c r="R470" s="34"/>
      <c r="S470" s="29"/>
      <c r="T470" s="29"/>
      <c r="U470" s="29"/>
      <c r="V470" s="29"/>
      <c r="W470" s="29"/>
      <c r="X470" s="29"/>
      <c r="Y470" s="2"/>
      <c r="Z470" s="34"/>
      <c r="AA470" s="2"/>
      <c r="AB470" s="29"/>
      <c r="AC470" s="29"/>
      <c r="AD470" s="29"/>
      <c r="AE470" s="29"/>
      <c r="AF470" s="29"/>
      <c r="AG470" s="29"/>
      <c r="AH470" s="29"/>
      <c r="AI470" s="29"/>
      <c r="AJ470" s="34"/>
      <c r="AK470" s="34"/>
      <c r="AL470" s="29"/>
      <c r="AM470" s="29"/>
    </row>
    <row x14ac:dyDescent="0.25" r="471" customHeight="1" ht="15.75">
      <c r="A471" s="1"/>
      <c r="B471" s="34"/>
      <c r="C471" s="34"/>
      <c r="D471" s="34"/>
      <c r="E471" s="34"/>
      <c r="F471" s="34"/>
      <c r="G471" s="60"/>
      <c r="H471" s="60"/>
      <c r="I471" s="29"/>
      <c r="J471" s="29"/>
      <c r="K471" s="29"/>
      <c r="L471" s="29"/>
      <c r="M471" s="29"/>
      <c r="N471" s="29"/>
      <c r="O471" s="29"/>
      <c r="P471" s="29"/>
      <c r="Q471" s="34"/>
      <c r="R471" s="34"/>
      <c r="S471" s="29"/>
      <c r="T471" s="29"/>
      <c r="U471" s="29"/>
      <c r="V471" s="29"/>
      <c r="W471" s="29"/>
      <c r="X471" s="29"/>
      <c r="Y471" s="2"/>
      <c r="Z471" s="34"/>
      <c r="AA471" s="2"/>
      <c r="AB471" s="29"/>
      <c r="AC471" s="29"/>
      <c r="AD471" s="29"/>
      <c r="AE471" s="29"/>
      <c r="AF471" s="29"/>
      <c r="AG471" s="29"/>
      <c r="AH471" s="29"/>
      <c r="AI471" s="29"/>
      <c r="AJ471" s="34"/>
      <c r="AK471" s="34"/>
      <c r="AL471" s="29"/>
      <c r="AM471" s="29"/>
    </row>
    <row x14ac:dyDescent="0.25" r="472" customHeight="1" ht="15.75">
      <c r="A472" s="1"/>
      <c r="B472" s="34"/>
      <c r="C472" s="34"/>
      <c r="D472" s="34"/>
      <c r="E472" s="34"/>
      <c r="F472" s="34"/>
      <c r="G472" s="60"/>
      <c r="H472" s="60"/>
      <c r="I472" s="29"/>
      <c r="J472" s="29"/>
      <c r="K472" s="29"/>
      <c r="L472" s="29"/>
      <c r="M472" s="29"/>
      <c r="N472" s="29"/>
      <c r="O472" s="29"/>
      <c r="P472" s="29"/>
      <c r="Q472" s="34"/>
      <c r="R472" s="34"/>
      <c r="S472" s="29"/>
      <c r="T472" s="29"/>
      <c r="U472" s="29"/>
      <c r="V472" s="29"/>
      <c r="W472" s="29"/>
      <c r="X472" s="29"/>
      <c r="Y472" s="2"/>
      <c r="Z472" s="34"/>
      <c r="AA472" s="2"/>
      <c r="AB472" s="29"/>
      <c r="AC472" s="29"/>
      <c r="AD472" s="29"/>
      <c r="AE472" s="29"/>
      <c r="AF472" s="29"/>
      <c r="AG472" s="29"/>
      <c r="AH472" s="29"/>
      <c r="AI472" s="29"/>
      <c r="AJ472" s="34"/>
      <c r="AK472" s="34"/>
      <c r="AL472" s="29"/>
      <c r="AM472" s="29"/>
    </row>
    <row x14ac:dyDescent="0.25" r="473" customHeight="1" ht="15.75">
      <c r="A473" s="1"/>
      <c r="B473" s="34"/>
      <c r="C473" s="34"/>
      <c r="D473" s="34"/>
      <c r="E473" s="34"/>
      <c r="F473" s="34"/>
      <c r="G473" s="60"/>
      <c r="H473" s="60"/>
      <c r="I473" s="29"/>
      <c r="J473" s="29"/>
      <c r="K473" s="29"/>
      <c r="L473" s="29"/>
      <c r="M473" s="29"/>
      <c r="N473" s="29"/>
      <c r="O473" s="29"/>
      <c r="P473" s="29"/>
      <c r="Q473" s="34"/>
      <c r="R473" s="34"/>
      <c r="S473" s="29"/>
      <c r="T473" s="29"/>
      <c r="U473" s="29"/>
      <c r="V473" s="29"/>
      <c r="W473" s="29"/>
      <c r="X473" s="29"/>
      <c r="Y473" s="2"/>
      <c r="Z473" s="34"/>
      <c r="AA473" s="2"/>
      <c r="AB473" s="29"/>
      <c r="AC473" s="29"/>
      <c r="AD473" s="29"/>
      <c r="AE473" s="29"/>
      <c r="AF473" s="29"/>
      <c r="AG473" s="29"/>
      <c r="AH473" s="29"/>
      <c r="AI473" s="29"/>
      <c r="AJ473" s="34"/>
      <c r="AK473" s="34"/>
      <c r="AL473" s="29"/>
      <c r="AM473" s="29"/>
    </row>
    <row x14ac:dyDescent="0.25" r="474" customHeight="1" ht="15.75">
      <c r="A474" s="1"/>
      <c r="B474" s="34"/>
      <c r="C474" s="34"/>
      <c r="D474" s="34"/>
      <c r="E474" s="34"/>
      <c r="F474" s="34"/>
      <c r="G474" s="60"/>
      <c r="H474" s="60"/>
      <c r="I474" s="29"/>
      <c r="J474" s="29"/>
      <c r="K474" s="29"/>
      <c r="L474" s="29"/>
      <c r="M474" s="29"/>
      <c r="N474" s="29"/>
      <c r="O474" s="29"/>
      <c r="P474" s="29"/>
      <c r="Q474" s="34"/>
      <c r="R474" s="34"/>
      <c r="S474" s="29"/>
      <c r="T474" s="29"/>
      <c r="U474" s="29"/>
      <c r="V474" s="29"/>
      <c r="W474" s="29"/>
      <c r="X474" s="29"/>
      <c r="Y474" s="2"/>
      <c r="Z474" s="34"/>
      <c r="AA474" s="2"/>
      <c r="AB474" s="29"/>
      <c r="AC474" s="29"/>
      <c r="AD474" s="29"/>
      <c r="AE474" s="29"/>
      <c r="AF474" s="29"/>
      <c r="AG474" s="29"/>
      <c r="AH474" s="29"/>
      <c r="AI474" s="29"/>
      <c r="AJ474" s="34"/>
      <c r="AK474" s="34"/>
      <c r="AL474" s="29"/>
      <c r="AM474" s="29"/>
    </row>
    <row x14ac:dyDescent="0.25" r="475" customHeight="1" ht="15.75">
      <c r="A475" s="1"/>
      <c r="B475" s="34"/>
      <c r="C475" s="34"/>
      <c r="D475" s="34"/>
      <c r="E475" s="34"/>
      <c r="F475" s="34"/>
      <c r="G475" s="60"/>
      <c r="H475" s="60"/>
      <c r="I475" s="29"/>
      <c r="J475" s="29"/>
      <c r="K475" s="29"/>
      <c r="L475" s="29"/>
      <c r="M475" s="29"/>
      <c r="N475" s="29"/>
      <c r="O475" s="29"/>
      <c r="P475" s="29"/>
      <c r="Q475" s="34"/>
      <c r="R475" s="34"/>
      <c r="S475" s="29"/>
      <c r="T475" s="29"/>
      <c r="U475" s="29"/>
      <c r="V475" s="29"/>
      <c r="W475" s="29"/>
      <c r="X475" s="29"/>
      <c r="Y475" s="2"/>
      <c r="Z475" s="34"/>
      <c r="AA475" s="2"/>
      <c r="AB475" s="29"/>
      <c r="AC475" s="29"/>
      <c r="AD475" s="29"/>
      <c r="AE475" s="29"/>
      <c r="AF475" s="29"/>
      <c r="AG475" s="29"/>
      <c r="AH475" s="29"/>
      <c r="AI475" s="29"/>
      <c r="AJ475" s="34"/>
      <c r="AK475" s="34"/>
      <c r="AL475" s="29"/>
      <c r="AM475" s="29"/>
    </row>
    <row x14ac:dyDescent="0.25" r="476" customHeight="1" ht="15.75">
      <c r="A476" s="1"/>
      <c r="B476" s="34"/>
      <c r="C476" s="34"/>
      <c r="D476" s="34"/>
      <c r="E476" s="34"/>
      <c r="F476" s="34"/>
      <c r="G476" s="60"/>
      <c r="H476" s="60"/>
      <c r="I476" s="29"/>
      <c r="J476" s="29"/>
      <c r="K476" s="29"/>
      <c r="L476" s="29"/>
      <c r="M476" s="29"/>
      <c r="N476" s="29"/>
      <c r="O476" s="29"/>
      <c r="P476" s="29"/>
      <c r="Q476" s="34"/>
      <c r="R476" s="34"/>
      <c r="S476" s="29"/>
      <c r="T476" s="29"/>
      <c r="U476" s="29"/>
      <c r="V476" s="29"/>
      <c r="W476" s="29"/>
      <c r="X476" s="29"/>
      <c r="Y476" s="2"/>
      <c r="Z476" s="34"/>
      <c r="AA476" s="2"/>
      <c r="AB476" s="29"/>
      <c r="AC476" s="29"/>
      <c r="AD476" s="29"/>
      <c r="AE476" s="29"/>
      <c r="AF476" s="29"/>
      <c r="AG476" s="29"/>
      <c r="AH476" s="29"/>
      <c r="AI476" s="29"/>
      <c r="AJ476" s="34"/>
      <c r="AK476" s="34"/>
      <c r="AL476" s="29"/>
      <c r="AM476" s="29"/>
    </row>
    <row x14ac:dyDescent="0.25" r="477" customHeight="1" ht="15.75">
      <c r="A477" s="1"/>
      <c r="B477" s="34"/>
      <c r="C477" s="34"/>
      <c r="D477" s="34"/>
      <c r="E477" s="34"/>
      <c r="F477" s="34"/>
      <c r="G477" s="60"/>
      <c r="H477" s="60"/>
      <c r="I477" s="29"/>
      <c r="J477" s="29"/>
      <c r="K477" s="29"/>
      <c r="L477" s="29"/>
      <c r="M477" s="29"/>
      <c r="N477" s="29"/>
      <c r="O477" s="29"/>
      <c r="P477" s="29"/>
      <c r="Q477" s="34"/>
      <c r="R477" s="34"/>
      <c r="S477" s="29"/>
      <c r="T477" s="29"/>
      <c r="U477" s="29"/>
      <c r="V477" s="29"/>
      <c r="W477" s="29"/>
      <c r="X477" s="29"/>
      <c r="Y477" s="2"/>
      <c r="Z477" s="34"/>
      <c r="AA477" s="2"/>
      <c r="AB477" s="29"/>
      <c r="AC477" s="29"/>
      <c r="AD477" s="29"/>
      <c r="AE477" s="29"/>
      <c r="AF477" s="29"/>
      <c r="AG477" s="29"/>
      <c r="AH477" s="29"/>
      <c r="AI477" s="29"/>
      <c r="AJ477" s="34"/>
      <c r="AK477" s="34"/>
      <c r="AL477" s="29"/>
      <c r="AM477" s="29"/>
    </row>
    <row x14ac:dyDescent="0.25" r="478" customHeight="1" ht="15.75">
      <c r="A478" s="1"/>
      <c r="B478" s="34"/>
      <c r="C478" s="34"/>
      <c r="D478" s="34"/>
      <c r="E478" s="34"/>
      <c r="F478" s="34"/>
      <c r="G478" s="60"/>
      <c r="H478" s="60"/>
      <c r="I478" s="29"/>
      <c r="J478" s="29"/>
      <c r="K478" s="29"/>
      <c r="L478" s="29"/>
      <c r="M478" s="29"/>
      <c r="N478" s="29"/>
      <c r="O478" s="29"/>
      <c r="P478" s="29"/>
      <c r="Q478" s="34"/>
      <c r="R478" s="34"/>
      <c r="S478" s="29"/>
      <c r="T478" s="29"/>
      <c r="U478" s="29"/>
      <c r="V478" s="29"/>
      <c r="W478" s="29"/>
      <c r="X478" s="29"/>
      <c r="Y478" s="2"/>
      <c r="Z478" s="34"/>
      <c r="AA478" s="2"/>
      <c r="AB478" s="29"/>
      <c r="AC478" s="29"/>
      <c r="AD478" s="29"/>
      <c r="AE478" s="29"/>
      <c r="AF478" s="29"/>
      <c r="AG478" s="29"/>
      <c r="AH478" s="29"/>
      <c r="AI478" s="29"/>
      <c r="AJ478" s="34"/>
      <c r="AK478" s="34"/>
      <c r="AL478" s="29"/>
      <c r="AM478" s="29"/>
    </row>
    <row x14ac:dyDescent="0.25" r="479" customHeight="1" ht="15.75">
      <c r="A479" s="1"/>
      <c r="B479" s="34"/>
      <c r="C479" s="34"/>
      <c r="D479" s="34"/>
      <c r="E479" s="34"/>
      <c r="F479" s="34"/>
      <c r="G479" s="60"/>
      <c r="H479" s="60"/>
      <c r="I479" s="29"/>
      <c r="J479" s="29"/>
      <c r="K479" s="29"/>
      <c r="L479" s="29"/>
      <c r="M479" s="29"/>
      <c r="N479" s="29"/>
      <c r="O479" s="29"/>
      <c r="P479" s="29"/>
      <c r="Q479" s="34"/>
      <c r="R479" s="34"/>
      <c r="S479" s="29"/>
      <c r="T479" s="29"/>
      <c r="U479" s="29"/>
      <c r="V479" s="29"/>
      <c r="W479" s="29"/>
      <c r="X479" s="29"/>
      <c r="Y479" s="2"/>
      <c r="Z479" s="34"/>
      <c r="AA479" s="2"/>
      <c r="AB479" s="29"/>
      <c r="AC479" s="29"/>
      <c r="AD479" s="29"/>
      <c r="AE479" s="29"/>
      <c r="AF479" s="29"/>
      <c r="AG479" s="29"/>
      <c r="AH479" s="29"/>
      <c r="AI479" s="29"/>
      <c r="AJ479" s="34"/>
      <c r="AK479" s="34"/>
      <c r="AL479" s="29"/>
      <c r="AM479" s="29"/>
    </row>
    <row x14ac:dyDescent="0.25" r="480" customHeight="1" ht="15.75">
      <c r="A480" s="1"/>
      <c r="B480" s="34"/>
      <c r="C480" s="34"/>
      <c r="D480" s="34"/>
      <c r="E480" s="34"/>
      <c r="F480" s="34"/>
      <c r="G480" s="60"/>
      <c r="H480" s="60"/>
      <c r="I480" s="29"/>
      <c r="J480" s="29"/>
      <c r="K480" s="29"/>
      <c r="L480" s="29"/>
      <c r="M480" s="29"/>
      <c r="N480" s="29"/>
      <c r="O480" s="29"/>
      <c r="P480" s="29"/>
      <c r="Q480" s="34"/>
      <c r="R480" s="34"/>
      <c r="S480" s="29"/>
      <c r="T480" s="29"/>
      <c r="U480" s="29"/>
      <c r="V480" s="29"/>
      <c r="W480" s="29"/>
      <c r="X480" s="29"/>
      <c r="Y480" s="2"/>
      <c r="Z480" s="34"/>
      <c r="AA480" s="2"/>
      <c r="AB480" s="29"/>
      <c r="AC480" s="29"/>
      <c r="AD480" s="29"/>
      <c r="AE480" s="29"/>
      <c r="AF480" s="29"/>
      <c r="AG480" s="29"/>
      <c r="AH480" s="29"/>
      <c r="AI480" s="29"/>
      <c r="AJ480" s="34"/>
      <c r="AK480" s="34"/>
      <c r="AL480" s="29"/>
      <c r="AM480" s="29"/>
    </row>
    <row x14ac:dyDescent="0.25" r="481" customHeight="1" ht="15.75">
      <c r="A481" s="1"/>
      <c r="B481" s="34"/>
      <c r="C481" s="34"/>
      <c r="D481" s="34"/>
      <c r="E481" s="34"/>
      <c r="F481" s="34"/>
      <c r="G481" s="60"/>
      <c r="H481" s="60"/>
      <c r="I481" s="29"/>
      <c r="J481" s="29"/>
      <c r="K481" s="29"/>
      <c r="L481" s="29"/>
      <c r="M481" s="29"/>
      <c r="N481" s="29"/>
      <c r="O481" s="29"/>
      <c r="P481" s="29"/>
      <c r="Q481" s="34"/>
      <c r="R481" s="34"/>
      <c r="S481" s="29"/>
      <c r="T481" s="29"/>
      <c r="U481" s="29"/>
      <c r="V481" s="29"/>
      <c r="W481" s="29"/>
      <c r="X481" s="29"/>
      <c r="Y481" s="2"/>
      <c r="Z481" s="34"/>
      <c r="AA481" s="2"/>
      <c r="AB481" s="29"/>
      <c r="AC481" s="29"/>
      <c r="AD481" s="29"/>
      <c r="AE481" s="29"/>
      <c r="AF481" s="29"/>
      <c r="AG481" s="29"/>
      <c r="AH481" s="29"/>
      <c r="AI481" s="29"/>
      <c r="AJ481" s="34"/>
      <c r="AK481" s="34"/>
      <c r="AL481" s="29"/>
      <c r="AM481" s="29"/>
    </row>
    <row x14ac:dyDescent="0.25" r="482" customHeight="1" ht="15.75">
      <c r="A482" s="1"/>
      <c r="B482" s="34"/>
      <c r="C482" s="34"/>
      <c r="D482" s="34"/>
      <c r="E482" s="34"/>
      <c r="F482" s="34"/>
      <c r="G482" s="60"/>
      <c r="H482" s="60"/>
      <c r="I482" s="29"/>
      <c r="J482" s="29"/>
      <c r="K482" s="29"/>
      <c r="L482" s="29"/>
      <c r="M482" s="29"/>
      <c r="N482" s="29"/>
      <c r="O482" s="29"/>
      <c r="P482" s="29"/>
      <c r="Q482" s="34"/>
      <c r="R482" s="34"/>
      <c r="S482" s="29"/>
      <c r="T482" s="29"/>
      <c r="U482" s="29"/>
      <c r="V482" s="29"/>
      <c r="W482" s="29"/>
      <c r="X482" s="29"/>
      <c r="Y482" s="2"/>
      <c r="Z482" s="34"/>
      <c r="AA482" s="2"/>
      <c r="AB482" s="29"/>
      <c r="AC482" s="29"/>
      <c r="AD482" s="29"/>
      <c r="AE482" s="29"/>
      <c r="AF482" s="29"/>
      <c r="AG482" s="29"/>
      <c r="AH482" s="29"/>
      <c r="AI482" s="29"/>
      <c r="AJ482" s="34"/>
      <c r="AK482" s="34"/>
      <c r="AL482" s="29"/>
      <c r="AM482" s="29"/>
    </row>
    <row x14ac:dyDescent="0.25" r="483" customHeight="1" ht="15.75">
      <c r="A483" s="1"/>
      <c r="B483" s="34"/>
      <c r="C483" s="34"/>
      <c r="D483" s="34"/>
      <c r="E483" s="34"/>
      <c r="F483" s="34"/>
      <c r="G483" s="60"/>
      <c r="H483" s="60"/>
      <c r="I483" s="29"/>
      <c r="J483" s="29"/>
      <c r="K483" s="29"/>
      <c r="L483" s="29"/>
      <c r="M483" s="29"/>
      <c r="N483" s="29"/>
      <c r="O483" s="29"/>
      <c r="P483" s="29"/>
      <c r="Q483" s="34"/>
      <c r="R483" s="34"/>
      <c r="S483" s="29"/>
      <c r="T483" s="29"/>
      <c r="U483" s="29"/>
      <c r="V483" s="29"/>
      <c r="W483" s="29"/>
      <c r="X483" s="29"/>
      <c r="Y483" s="2"/>
      <c r="Z483" s="34"/>
      <c r="AA483" s="2"/>
      <c r="AB483" s="29"/>
      <c r="AC483" s="29"/>
      <c r="AD483" s="29"/>
      <c r="AE483" s="29"/>
      <c r="AF483" s="29"/>
      <c r="AG483" s="29"/>
      <c r="AH483" s="29"/>
      <c r="AI483" s="29"/>
      <c r="AJ483" s="34"/>
      <c r="AK483" s="34"/>
      <c r="AL483" s="29"/>
      <c r="AM483" s="29"/>
    </row>
    <row x14ac:dyDescent="0.25" r="484" customHeight="1" ht="15.75">
      <c r="A484" s="1"/>
      <c r="B484" s="34"/>
      <c r="C484" s="34"/>
      <c r="D484" s="34"/>
      <c r="E484" s="34"/>
      <c r="F484" s="34"/>
      <c r="G484" s="60"/>
      <c r="H484" s="60"/>
      <c r="I484" s="29"/>
      <c r="J484" s="29"/>
      <c r="K484" s="29"/>
      <c r="L484" s="29"/>
      <c r="M484" s="29"/>
      <c r="N484" s="29"/>
      <c r="O484" s="29"/>
      <c r="P484" s="29"/>
      <c r="Q484" s="34"/>
      <c r="R484" s="34"/>
      <c r="S484" s="29"/>
      <c r="T484" s="29"/>
      <c r="U484" s="29"/>
      <c r="V484" s="29"/>
      <c r="W484" s="29"/>
      <c r="X484" s="29"/>
      <c r="Y484" s="2"/>
      <c r="Z484" s="34"/>
      <c r="AA484" s="2"/>
      <c r="AB484" s="29"/>
      <c r="AC484" s="29"/>
      <c r="AD484" s="29"/>
      <c r="AE484" s="29"/>
      <c r="AF484" s="29"/>
      <c r="AG484" s="29"/>
      <c r="AH484" s="29"/>
      <c r="AI484" s="29"/>
      <c r="AJ484" s="34"/>
      <c r="AK484" s="34"/>
      <c r="AL484" s="29"/>
      <c r="AM484" s="29"/>
    </row>
    <row x14ac:dyDescent="0.25" r="485" customHeight="1" ht="15.75">
      <c r="A485" s="1"/>
      <c r="B485" s="34"/>
      <c r="C485" s="34"/>
      <c r="D485" s="34"/>
      <c r="E485" s="34"/>
      <c r="F485" s="34"/>
      <c r="G485" s="60"/>
      <c r="H485" s="60"/>
      <c r="I485" s="29"/>
      <c r="J485" s="29"/>
      <c r="K485" s="29"/>
      <c r="L485" s="29"/>
      <c r="M485" s="29"/>
      <c r="N485" s="29"/>
      <c r="O485" s="29"/>
      <c r="P485" s="29"/>
      <c r="Q485" s="34"/>
      <c r="R485" s="34"/>
      <c r="S485" s="29"/>
      <c r="T485" s="29"/>
      <c r="U485" s="29"/>
      <c r="V485" s="29"/>
      <c r="W485" s="29"/>
      <c r="X485" s="29"/>
      <c r="Y485" s="2"/>
      <c r="Z485" s="34"/>
      <c r="AA485" s="2"/>
      <c r="AB485" s="29"/>
      <c r="AC485" s="29"/>
      <c r="AD485" s="29"/>
      <c r="AE485" s="29"/>
      <c r="AF485" s="29"/>
      <c r="AG485" s="29"/>
      <c r="AH485" s="29"/>
      <c r="AI485" s="29"/>
      <c r="AJ485" s="34"/>
      <c r="AK485" s="34"/>
      <c r="AL485" s="29"/>
      <c r="AM485" s="29"/>
    </row>
    <row x14ac:dyDescent="0.25" r="486" customHeight="1" ht="15.75">
      <c r="A486" s="1"/>
      <c r="B486" s="34"/>
      <c r="C486" s="34"/>
      <c r="D486" s="34"/>
      <c r="E486" s="34"/>
      <c r="F486" s="34"/>
      <c r="G486" s="60"/>
      <c r="H486" s="60"/>
      <c r="I486" s="29"/>
      <c r="J486" s="29"/>
      <c r="K486" s="29"/>
      <c r="L486" s="29"/>
      <c r="M486" s="29"/>
      <c r="N486" s="29"/>
      <c r="O486" s="29"/>
      <c r="P486" s="29"/>
      <c r="Q486" s="34"/>
      <c r="R486" s="34"/>
      <c r="S486" s="29"/>
      <c r="T486" s="29"/>
      <c r="U486" s="29"/>
      <c r="V486" s="29"/>
      <c r="W486" s="29"/>
      <c r="X486" s="29"/>
      <c r="Y486" s="2"/>
      <c r="Z486" s="34"/>
      <c r="AA486" s="2"/>
      <c r="AB486" s="29"/>
      <c r="AC486" s="29"/>
      <c r="AD486" s="29"/>
      <c r="AE486" s="29"/>
      <c r="AF486" s="29"/>
      <c r="AG486" s="29"/>
      <c r="AH486" s="29"/>
      <c r="AI486" s="29"/>
      <c r="AJ486" s="34"/>
      <c r="AK486" s="34"/>
      <c r="AL486" s="29"/>
      <c r="AM486" s="29"/>
    </row>
    <row x14ac:dyDescent="0.25" r="487" customHeight="1" ht="15.75">
      <c r="A487" s="1"/>
      <c r="B487" s="34"/>
      <c r="C487" s="34"/>
      <c r="D487" s="34"/>
      <c r="E487" s="34"/>
      <c r="F487" s="34"/>
      <c r="G487" s="60"/>
      <c r="H487" s="60"/>
      <c r="I487" s="29"/>
      <c r="J487" s="29"/>
      <c r="K487" s="29"/>
      <c r="L487" s="29"/>
      <c r="M487" s="29"/>
      <c r="N487" s="29"/>
      <c r="O487" s="29"/>
      <c r="P487" s="29"/>
      <c r="Q487" s="34"/>
      <c r="R487" s="34"/>
      <c r="S487" s="29"/>
      <c r="T487" s="29"/>
      <c r="U487" s="29"/>
      <c r="V487" s="29"/>
      <c r="W487" s="29"/>
      <c r="X487" s="29"/>
      <c r="Y487" s="2"/>
      <c r="Z487" s="34"/>
      <c r="AA487" s="2"/>
      <c r="AB487" s="29"/>
      <c r="AC487" s="29"/>
      <c r="AD487" s="29"/>
      <c r="AE487" s="29"/>
      <c r="AF487" s="29"/>
      <c r="AG487" s="29"/>
      <c r="AH487" s="29"/>
      <c r="AI487" s="29"/>
      <c r="AJ487" s="34"/>
      <c r="AK487" s="34"/>
      <c r="AL487" s="29"/>
      <c r="AM487" s="29"/>
    </row>
    <row x14ac:dyDescent="0.25" r="488" customHeight="1" ht="15.75">
      <c r="A488" s="1"/>
      <c r="B488" s="34"/>
      <c r="C488" s="34"/>
      <c r="D488" s="34"/>
      <c r="E488" s="34"/>
      <c r="F488" s="34"/>
      <c r="G488" s="60"/>
      <c r="H488" s="60"/>
      <c r="I488" s="29"/>
      <c r="J488" s="29"/>
      <c r="K488" s="29"/>
      <c r="L488" s="29"/>
      <c r="M488" s="29"/>
      <c r="N488" s="29"/>
      <c r="O488" s="29"/>
      <c r="P488" s="29"/>
      <c r="Q488" s="34"/>
      <c r="R488" s="34"/>
      <c r="S488" s="29"/>
      <c r="T488" s="29"/>
      <c r="U488" s="29"/>
      <c r="V488" s="29"/>
      <c r="W488" s="29"/>
      <c r="X488" s="29"/>
      <c r="Y488" s="2"/>
      <c r="Z488" s="34"/>
      <c r="AA488" s="2"/>
      <c r="AB488" s="29"/>
      <c r="AC488" s="29"/>
      <c r="AD488" s="29"/>
      <c r="AE488" s="29"/>
      <c r="AF488" s="29"/>
      <c r="AG488" s="29"/>
      <c r="AH488" s="29"/>
      <c r="AI488" s="29"/>
      <c r="AJ488" s="34"/>
      <c r="AK488" s="34"/>
      <c r="AL488" s="29"/>
      <c r="AM488" s="29"/>
    </row>
    <row x14ac:dyDescent="0.25" r="489" customHeight="1" ht="15.75">
      <c r="A489" s="1"/>
      <c r="B489" s="34"/>
      <c r="C489" s="34"/>
      <c r="D489" s="34"/>
      <c r="E489" s="34"/>
      <c r="F489" s="34"/>
      <c r="G489" s="60"/>
      <c r="H489" s="60"/>
      <c r="I489" s="29"/>
      <c r="J489" s="29"/>
      <c r="K489" s="29"/>
      <c r="L489" s="29"/>
      <c r="M489" s="29"/>
      <c r="N489" s="29"/>
      <c r="O489" s="29"/>
      <c r="P489" s="29"/>
      <c r="Q489" s="34"/>
      <c r="R489" s="34"/>
      <c r="S489" s="29"/>
      <c r="T489" s="29"/>
      <c r="U489" s="29"/>
      <c r="V489" s="29"/>
      <c r="W489" s="29"/>
      <c r="X489" s="29"/>
      <c r="Y489" s="2"/>
      <c r="Z489" s="34"/>
      <c r="AA489" s="2"/>
      <c r="AB489" s="29"/>
      <c r="AC489" s="29"/>
      <c r="AD489" s="29"/>
      <c r="AE489" s="29"/>
      <c r="AF489" s="29"/>
      <c r="AG489" s="29"/>
      <c r="AH489" s="29"/>
      <c r="AI489" s="29"/>
      <c r="AJ489" s="34"/>
      <c r="AK489" s="34"/>
      <c r="AL489" s="29"/>
      <c r="AM489" s="29"/>
    </row>
    <row x14ac:dyDescent="0.25" r="490" customHeight="1" ht="15.75">
      <c r="A490" s="1"/>
      <c r="B490" s="34"/>
      <c r="C490" s="34"/>
      <c r="D490" s="34"/>
      <c r="E490" s="34"/>
      <c r="F490" s="34"/>
      <c r="G490" s="60"/>
      <c r="H490" s="60"/>
      <c r="I490" s="29"/>
      <c r="J490" s="29"/>
      <c r="K490" s="29"/>
      <c r="L490" s="29"/>
      <c r="M490" s="29"/>
      <c r="N490" s="29"/>
      <c r="O490" s="29"/>
      <c r="P490" s="29"/>
      <c r="Q490" s="34"/>
      <c r="R490" s="34"/>
      <c r="S490" s="29"/>
      <c r="T490" s="29"/>
      <c r="U490" s="29"/>
      <c r="V490" s="29"/>
      <c r="W490" s="29"/>
      <c r="X490" s="29"/>
      <c r="Y490" s="2"/>
      <c r="Z490" s="34"/>
      <c r="AA490" s="2"/>
      <c r="AB490" s="29"/>
      <c r="AC490" s="29"/>
      <c r="AD490" s="29"/>
      <c r="AE490" s="29"/>
      <c r="AF490" s="29"/>
      <c r="AG490" s="29"/>
      <c r="AH490" s="29"/>
      <c r="AI490" s="29"/>
      <c r="AJ490" s="34"/>
      <c r="AK490" s="34"/>
      <c r="AL490" s="29"/>
      <c r="AM490" s="29"/>
    </row>
    <row x14ac:dyDescent="0.25" r="491" customHeight="1" ht="15.75">
      <c r="A491" s="1"/>
      <c r="B491" s="34"/>
      <c r="C491" s="34"/>
      <c r="D491" s="34"/>
      <c r="E491" s="34"/>
      <c r="F491" s="34"/>
      <c r="G491" s="60"/>
      <c r="H491" s="60"/>
      <c r="I491" s="29"/>
      <c r="J491" s="29"/>
      <c r="K491" s="29"/>
      <c r="L491" s="29"/>
      <c r="M491" s="29"/>
      <c r="N491" s="29"/>
      <c r="O491" s="29"/>
      <c r="P491" s="29"/>
      <c r="Q491" s="34"/>
      <c r="R491" s="34"/>
      <c r="S491" s="29"/>
      <c r="T491" s="29"/>
      <c r="U491" s="29"/>
      <c r="V491" s="29"/>
      <c r="W491" s="29"/>
      <c r="X491" s="29"/>
      <c r="Y491" s="2"/>
      <c r="Z491" s="34"/>
      <c r="AA491" s="2"/>
      <c r="AB491" s="29"/>
      <c r="AC491" s="29"/>
      <c r="AD491" s="29"/>
      <c r="AE491" s="29"/>
      <c r="AF491" s="29"/>
      <c r="AG491" s="29"/>
      <c r="AH491" s="29"/>
      <c r="AI491" s="29"/>
      <c r="AJ491" s="34"/>
      <c r="AK491" s="34"/>
      <c r="AL491" s="29"/>
      <c r="AM491" s="29"/>
    </row>
    <row x14ac:dyDescent="0.25" r="492" customHeight="1" ht="15.75">
      <c r="A492" s="1"/>
      <c r="B492" s="34"/>
      <c r="C492" s="34"/>
      <c r="D492" s="34"/>
      <c r="E492" s="34"/>
      <c r="F492" s="34"/>
      <c r="G492" s="60"/>
      <c r="H492" s="60"/>
      <c r="I492" s="29"/>
      <c r="J492" s="29"/>
      <c r="K492" s="29"/>
      <c r="L492" s="29"/>
      <c r="M492" s="29"/>
      <c r="N492" s="29"/>
      <c r="O492" s="29"/>
      <c r="P492" s="29"/>
      <c r="Q492" s="34"/>
      <c r="R492" s="34"/>
      <c r="S492" s="29"/>
      <c r="T492" s="29"/>
      <c r="U492" s="29"/>
      <c r="V492" s="29"/>
      <c r="W492" s="29"/>
      <c r="X492" s="29"/>
      <c r="Y492" s="2"/>
      <c r="Z492" s="34"/>
      <c r="AA492" s="2"/>
      <c r="AB492" s="29"/>
      <c r="AC492" s="29"/>
      <c r="AD492" s="29"/>
      <c r="AE492" s="29"/>
      <c r="AF492" s="29"/>
      <c r="AG492" s="29"/>
      <c r="AH492" s="29"/>
      <c r="AI492" s="29"/>
      <c r="AJ492" s="34"/>
      <c r="AK492" s="34"/>
      <c r="AL492" s="29"/>
      <c r="AM492" s="29"/>
    </row>
    <row x14ac:dyDescent="0.25" r="493" customHeight="1" ht="15.75">
      <c r="A493" s="1"/>
      <c r="B493" s="34"/>
      <c r="C493" s="34"/>
      <c r="D493" s="34"/>
      <c r="E493" s="34"/>
      <c r="F493" s="34"/>
      <c r="G493" s="60"/>
      <c r="H493" s="60"/>
      <c r="I493" s="29"/>
      <c r="J493" s="29"/>
      <c r="K493" s="29"/>
      <c r="L493" s="29"/>
      <c r="M493" s="29"/>
      <c r="N493" s="29"/>
      <c r="O493" s="29"/>
      <c r="P493" s="29"/>
      <c r="Q493" s="34"/>
      <c r="R493" s="34"/>
      <c r="S493" s="29"/>
      <c r="T493" s="29"/>
      <c r="U493" s="29"/>
      <c r="V493" s="29"/>
      <c r="W493" s="29"/>
      <c r="X493" s="29"/>
      <c r="Y493" s="2"/>
      <c r="Z493" s="34"/>
      <c r="AA493" s="2"/>
      <c r="AB493" s="29"/>
      <c r="AC493" s="29"/>
      <c r="AD493" s="29"/>
      <c r="AE493" s="29"/>
      <c r="AF493" s="29"/>
      <c r="AG493" s="29"/>
      <c r="AH493" s="29"/>
      <c r="AI493" s="29"/>
      <c r="AJ493" s="34"/>
      <c r="AK493" s="34"/>
      <c r="AL493" s="29"/>
      <c r="AM493" s="29"/>
    </row>
    <row x14ac:dyDescent="0.25" r="494" customHeight="1" ht="15.75">
      <c r="A494" s="1"/>
      <c r="B494" s="34"/>
      <c r="C494" s="34"/>
      <c r="D494" s="34"/>
      <c r="E494" s="34"/>
      <c r="F494" s="34"/>
      <c r="G494" s="60"/>
      <c r="H494" s="60"/>
      <c r="I494" s="29"/>
      <c r="J494" s="29"/>
      <c r="K494" s="29"/>
      <c r="L494" s="29"/>
      <c r="M494" s="29"/>
      <c r="N494" s="29"/>
      <c r="O494" s="29"/>
      <c r="P494" s="29"/>
      <c r="Q494" s="34"/>
      <c r="R494" s="34"/>
      <c r="S494" s="29"/>
      <c r="T494" s="29"/>
      <c r="U494" s="29"/>
      <c r="V494" s="29"/>
      <c r="W494" s="29"/>
      <c r="X494" s="29"/>
      <c r="Y494" s="2"/>
      <c r="Z494" s="34"/>
      <c r="AA494" s="2"/>
      <c r="AB494" s="29"/>
      <c r="AC494" s="29"/>
      <c r="AD494" s="29"/>
      <c r="AE494" s="29"/>
      <c r="AF494" s="29"/>
      <c r="AG494" s="29"/>
      <c r="AH494" s="29"/>
      <c r="AI494" s="29"/>
      <c r="AJ494" s="34"/>
      <c r="AK494" s="34"/>
      <c r="AL494" s="29"/>
      <c r="AM494" s="29"/>
    </row>
    <row x14ac:dyDescent="0.25" r="495" customHeight="1" ht="15.75">
      <c r="A495" s="1"/>
      <c r="B495" s="34"/>
      <c r="C495" s="34"/>
      <c r="D495" s="34"/>
      <c r="E495" s="34"/>
      <c r="F495" s="34"/>
      <c r="G495" s="60"/>
      <c r="H495" s="60"/>
      <c r="I495" s="29"/>
      <c r="J495" s="29"/>
      <c r="K495" s="29"/>
      <c r="L495" s="29"/>
      <c r="M495" s="29"/>
      <c r="N495" s="29"/>
      <c r="O495" s="29"/>
      <c r="P495" s="29"/>
      <c r="Q495" s="34"/>
      <c r="R495" s="34"/>
      <c r="S495" s="29"/>
      <c r="T495" s="29"/>
      <c r="U495" s="29"/>
      <c r="V495" s="29"/>
      <c r="W495" s="29"/>
      <c r="X495" s="29"/>
      <c r="Y495" s="2"/>
      <c r="Z495" s="34"/>
      <c r="AA495" s="2"/>
      <c r="AB495" s="29"/>
      <c r="AC495" s="29"/>
      <c r="AD495" s="29"/>
      <c r="AE495" s="29"/>
      <c r="AF495" s="29"/>
      <c r="AG495" s="29"/>
      <c r="AH495" s="29"/>
      <c r="AI495" s="29"/>
      <c r="AJ495" s="34"/>
      <c r="AK495" s="34"/>
      <c r="AL495" s="29"/>
      <c r="AM495" s="29"/>
    </row>
    <row x14ac:dyDescent="0.25" r="496" customHeight="1" ht="15.75">
      <c r="A496" s="1"/>
      <c r="B496" s="34"/>
      <c r="C496" s="34"/>
      <c r="D496" s="34"/>
      <c r="E496" s="34"/>
      <c r="F496" s="34"/>
      <c r="G496" s="60"/>
      <c r="H496" s="60"/>
      <c r="I496" s="29"/>
      <c r="J496" s="29"/>
      <c r="K496" s="29"/>
      <c r="L496" s="29"/>
      <c r="M496" s="29"/>
      <c r="N496" s="29"/>
      <c r="O496" s="29"/>
      <c r="P496" s="29"/>
      <c r="Q496" s="34"/>
      <c r="R496" s="34"/>
      <c r="S496" s="29"/>
      <c r="T496" s="29"/>
      <c r="U496" s="29"/>
      <c r="V496" s="29"/>
      <c r="W496" s="29"/>
      <c r="X496" s="29"/>
      <c r="Y496" s="2"/>
      <c r="Z496" s="34"/>
      <c r="AA496" s="2"/>
      <c r="AB496" s="29"/>
      <c r="AC496" s="29"/>
      <c r="AD496" s="29"/>
      <c r="AE496" s="29"/>
      <c r="AF496" s="29"/>
      <c r="AG496" s="29"/>
      <c r="AH496" s="29"/>
      <c r="AI496" s="29"/>
      <c r="AJ496" s="34"/>
      <c r="AK496" s="34"/>
      <c r="AL496" s="29"/>
      <c r="AM496" s="29"/>
    </row>
    <row x14ac:dyDescent="0.25" r="497" customHeight="1" ht="15.75">
      <c r="A497" s="1"/>
      <c r="B497" s="34"/>
      <c r="C497" s="34"/>
      <c r="D497" s="34"/>
      <c r="E497" s="34"/>
      <c r="F497" s="34"/>
      <c r="G497" s="60"/>
      <c r="H497" s="60"/>
      <c r="I497" s="29"/>
      <c r="J497" s="29"/>
      <c r="K497" s="29"/>
      <c r="L497" s="29"/>
      <c r="M497" s="29"/>
      <c r="N497" s="29"/>
      <c r="O497" s="29"/>
      <c r="P497" s="29"/>
      <c r="Q497" s="34"/>
      <c r="R497" s="34"/>
      <c r="S497" s="29"/>
      <c r="T497" s="29"/>
      <c r="U497" s="29"/>
      <c r="V497" s="29"/>
      <c r="W497" s="29"/>
      <c r="X497" s="29"/>
      <c r="Y497" s="2"/>
      <c r="Z497" s="34"/>
      <c r="AA497" s="2"/>
      <c r="AB497" s="29"/>
      <c r="AC497" s="29"/>
      <c r="AD497" s="29"/>
      <c r="AE497" s="29"/>
      <c r="AF497" s="29"/>
      <c r="AG497" s="29"/>
      <c r="AH497" s="29"/>
      <c r="AI497" s="29"/>
      <c r="AJ497" s="34"/>
      <c r="AK497" s="34"/>
      <c r="AL497" s="29"/>
      <c r="AM497" s="29"/>
    </row>
    <row x14ac:dyDescent="0.25" r="498" customHeight="1" ht="15.75">
      <c r="A498" s="1"/>
      <c r="B498" s="34"/>
      <c r="C498" s="34"/>
      <c r="D498" s="34"/>
      <c r="E498" s="34"/>
      <c r="F498" s="34"/>
      <c r="G498" s="60"/>
      <c r="H498" s="60"/>
      <c r="I498" s="29"/>
      <c r="J498" s="29"/>
      <c r="K498" s="29"/>
      <c r="L498" s="29"/>
      <c r="M498" s="29"/>
      <c r="N498" s="29"/>
      <c r="O498" s="29"/>
      <c r="P498" s="29"/>
      <c r="Q498" s="34"/>
      <c r="R498" s="34"/>
      <c r="S498" s="29"/>
      <c r="T498" s="29"/>
      <c r="U498" s="29"/>
      <c r="V498" s="29"/>
      <c r="W498" s="29"/>
      <c r="X498" s="29"/>
      <c r="Y498" s="2"/>
      <c r="Z498" s="34"/>
      <c r="AA498" s="2"/>
      <c r="AB498" s="29"/>
      <c r="AC498" s="29"/>
      <c r="AD498" s="29"/>
      <c r="AE498" s="29"/>
      <c r="AF498" s="29"/>
      <c r="AG498" s="29"/>
      <c r="AH498" s="29"/>
      <c r="AI498" s="29"/>
      <c r="AJ498" s="34"/>
      <c r="AK498" s="34"/>
      <c r="AL498" s="29"/>
      <c r="AM498" s="29"/>
    </row>
    <row x14ac:dyDescent="0.25" r="499" customHeight="1" ht="15.75">
      <c r="A499" s="1"/>
      <c r="B499" s="34"/>
      <c r="C499" s="34"/>
      <c r="D499" s="34"/>
      <c r="E499" s="34"/>
      <c r="F499" s="34"/>
      <c r="G499" s="60"/>
      <c r="H499" s="60"/>
      <c r="I499" s="29"/>
      <c r="J499" s="29"/>
      <c r="K499" s="29"/>
      <c r="L499" s="29"/>
      <c r="M499" s="29"/>
      <c r="N499" s="29"/>
      <c r="O499" s="29"/>
      <c r="P499" s="29"/>
      <c r="Q499" s="34"/>
      <c r="R499" s="34"/>
      <c r="S499" s="29"/>
      <c r="T499" s="29"/>
      <c r="U499" s="29"/>
      <c r="V499" s="29"/>
      <c r="W499" s="29"/>
      <c r="X499" s="29"/>
      <c r="Y499" s="2"/>
      <c r="Z499" s="34"/>
      <c r="AA499" s="2"/>
      <c r="AB499" s="29"/>
      <c r="AC499" s="29"/>
      <c r="AD499" s="29"/>
      <c r="AE499" s="29"/>
      <c r="AF499" s="29"/>
      <c r="AG499" s="29"/>
      <c r="AH499" s="29"/>
      <c r="AI499" s="29"/>
      <c r="AJ499" s="34"/>
      <c r="AK499" s="34"/>
      <c r="AL499" s="29"/>
      <c r="AM499" s="29"/>
    </row>
    <row x14ac:dyDescent="0.25" r="500" customHeight="1" ht="15.75">
      <c r="A500" s="1"/>
      <c r="B500" s="34"/>
      <c r="C500" s="34"/>
      <c r="D500" s="34"/>
      <c r="E500" s="34"/>
      <c r="F500" s="34"/>
      <c r="G500" s="60"/>
      <c r="H500" s="60"/>
      <c r="I500" s="29"/>
      <c r="J500" s="29"/>
      <c r="K500" s="29"/>
      <c r="L500" s="29"/>
      <c r="M500" s="29"/>
      <c r="N500" s="29"/>
      <c r="O500" s="29"/>
      <c r="P500" s="29"/>
      <c r="Q500" s="34"/>
      <c r="R500" s="34"/>
      <c r="S500" s="29"/>
      <c r="T500" s="29"/>
      <c r="U500" s="29"/>
      <c r="V500" s="29"/>
      <c r="W500" s="29"/>
      <c r="X500" s="29"/>
      <c r="Y500" s="2"/>
      <c r="Z500" s="34"/>
      <c r="AA500" s="2"/>
      <c r="AB500" s="29"/>
      <c r="AC500" s="29"/>
      <c r="AD500" s="29"/>
      <c r="AE500" s="29"/>
      <c r="AF500" s="29"/>
      <c r="AG500" s="29"/>
      <c r="AH500" s="29"/>
      <c r="AI500" s="29"/>
      <c r="AJ500" s="34"/>
      <c r="AK500" s="34"/>
      <c r="AL500" s="29"/>
      <c r="AM500" s="29"/>
    </row>
    <row x14ac:dyDescent="0.25" r="501" customHeight="1" ht="15.75">
      <c r="A501" s="1"/>
      <c r="B501" s="34"/>
      <c r="C501" s="34"/>
      <c r="D501" s="34"/>
      <c r="E501" s="34"/>
      <c r="F501" s="34"/>
      <c r="G501" s="60"/>
      <c r="H501" s="60"/>
      <c r="I501" s="29"/>
      <c r="J501" s="29"/>
      <c r="K501" s="29"/>
      <c r="L501" s="29"/>
      <c r="M501" s="29"/>
      <c r="N501" s="29"/>
      <c r="O501" s="29"/>
      <c r="P501" s="29"/>
      <c r="Q501" s="34"/>
      <c r="R501" s="34"/>
      <c r="S501" s="29"/>
      <c r="T501" s="29"/>
      <c r="U501" s="29"/>
      <c r="V501" s="29"/>
      <c r="W501" s="29"/>
      <c r="X501" s="29"/>
      <c r="Y501" s="2"/>
      <c r="Z501" s="34"/>
      <c r="AA501" s="2"/>
      <c r="AB501" s="29"/>
      <c r="AC501" s="29"/>
      <c r="AD501" s="29"/>
      <c r="AE501" s="29"/>
      <c r="AF501" s="29"/>
      <c r="AG501" s="29"/>
      <c r="AH501" s="29"/>
      <c r="AI501" s="29"/>
      <c r="AJ501" s="34"/>
      <c r="AK501" s="34"/>
      <c r="AL501" s="29"/>
      <c r="AM501" s="29"/>
    </row>
    <row x14ac:dyDescent="0.25" r="502" customHeight="1" ht="15.75">
      <c r="A502" s="1"/>
      <c r="B502" s="34"/>
      <c r="C502" s="34"/>
      <c r="D502" s="34"/>
      <c r="E502" s="34"/>
      <c r="F502" s="34"/>
      <c r="G502" s="60"/>
      <c r="H502" s="60"/>
      <c r="I502" s="29"/>
      <c r="J502" s="29"/>
      <c r="K502" s="29"/>
      <c r="L502" s="29"/>
      <c r="M502" s="29"/>
      <c r="N502" s="29"/>
      <c r="O502" s="29"/>
      <c r="P502" s="29"/>
      <c r="Q502" s="34"/>
      <c r="R502" s="34"/>
      <c r="S502" s="29"/>
      <c r="T502" s="29"/>
      <c r="U502" s="29"/>
      <c r="V502" s="29"/>
      <c r="W502" s="29"/>
      <c r="X502" s="29"/>
      <c r="Y502" s="2"/>
      <c r="Z502" s="34"/>
      <c r="AA502" s="2"/>
      <c r="AB502" s="29"/>
      <c r="AC502" s="29"/>
      <c r="AD502" s="29"/>
      <c r="AE502" s="29"/>
      <c r="AF502" s="29"/>
      <c r="AG502" s="29"/>
      <c r="AH502" s="29"/>
      <c r="AI502" s="29"/>
      <c r="AJ502" s="34"/>
      <c r="AK502" s="34"/>
      <c r="AL502" s="29"/>
      <c r="AM502" s="29"/>
    </row>
    <row x14ac:dyDescent="0.25" r="503" customHeight="1" ht="15.75">
      <c r="A503" s="1"/>
      <c r="B503" s="34"/>
      <c r="C503" s="34"/>
      <c r="D503" s="34"/>
      <c r="E503" s="34"/>
      <c r="F503" s="34"/>
      <c r="G503" s="60"/>
      <c r="H503" s="60"/>
      <c r="I503" s="29"/>
      <c r="J503" s="29"/>
      <c r="K503" s="29"/>
      <c r="L503" s="29"/>
      <c r="M503" s="29"/>
      <c r="N503" s="29"/>
      <c r="O503" s="29"/>
      <c r="P503" s="29"/>
      <c r="Q503" s="34"/>
      <c r="R503" s="34"/>
      <c r="S503" s="29"/>
      <c r="T503" s="29"/>
      <c r="U503" s="29"/>
      <c r="V503" s="29"/>
      <c r="W503" s="29"/>
      <c r="X503" s="29"/>
      <c r="Y503" s="2"/>
      <c r="Z503" s="34"/>
      <c r="AA503" s="2"/>
      <c r="AB503" s="29"/>
      <c r="AC503" s="29"/>
      <c r="AD503" s="29"/>
      <c r="AE503" s="29"/>
      <c r="AF503" s="29"/>
      <c r="AG503" s="29"/>
      <c r="AH503" s="29"/>
      <c r="AI503" s="29"/>
      <c r="AJ503" s="34"/>
      <c r="AK503" s="34"/>
      <c r="AL503" s="29"/>
      <c r="AM503" s="29"/>
    </row>
    <row x14ac:dyDescent="0.25" r="504" customHeight="1" ht="15.75">
      <c r="A504" s="1"/>
      <c r="B504" s="34"/>
      <c r="C504" s="34"/>
      <c r="D504" s="34"/>
      <c r="E504" s="34"/>
      <c r="F504" s="34"/>
      <c r="G504" s="60"/>
      <c r="H504" s="60"/>
      <c r="I504" s="29"/>
      <c r="J504" s="29"/>
      <c r="K504" s="29"/>
      <c r="L504" s="29"/>
      <c r="M504" s="29"/>
      <c r="N504" s="29"/>
      <c r="O504" s="29"/>
      <c r="P504" s="29"/>
      <c r="Q504" s="34"/>
      <c r="R504" s="34"/>
      <c r="S504" s="29"/>
      <c r="T504" s="29"/>
      <c r="U504" s="29"/>
      <c r="V504" s="29"/>
      <c r="W504" s="29"/>
      <c r="X504" s="29"/>
      <c r="Y504" s="2"/>
      <c r="Z504" s="34"/>
      <c r="AA504" s="2"/>
      <c r="AB504" s="29"/>
      <c r="AC504" s="29"/>
      <c r="AD504" s="29"/>
      <c r="AE504" s="29"/>
      <c r="AF504" s="29"/>
      <c r="AG504" s="29"/>
      <c r="AH504" s="29"/>
      <c r="AI504" s="29"/>
      <c r="AJ504" s="34"/>
      <c r="AK504" s="34"/>
      <c r="AL504" s="29"/>
      <c r="AM504" s="29"/>
    </row>
    <row x14ac:dyDescent="0.25" r="505" customHeight="1" ht="15.75">
      <c r="A505" s="1"/>
      <c r="B505" s="34"/>
      <c r="C505" s="34"/>
      <c r="D505" s="34"/>
      <c r="E505" s="34"/>
      <c r="F505" s="34"/>
      <c r="G505" s="60"/>
      <c r="H505" s="60"/>
      <c r="I505" s="29"/>
      <c r="J505" s="29"/>
      <c r="K505" s="29"/>
      <c r="L505" s="29"/>
      <c r="M505" s="29"/>
      <c r="N505" s="29"/>
      <c r="O505" s="29"/>
      <c r="P505" s="29"/>
      <c r="Q505" s="34"/>
      <c r="R505" s="34"/>
      <c r="S505" s="29"/>
      <c r="T505" s="29"/>
      <c r="U505" s="29"/>
      <c r="V505" s="29"/>
      <c r="W505" s="29"/>
      <c r="X505" s="29"/>
      <c r="Y505" s="2"/>
      <c r="Z505" s="34"/>
      <c r="AA505" s="2"/>
      <c r="AB505" s="29"/>
      <c r="AC505" s="29"/>
      <c r="AD505" s="29"/>
      <c r="AE505" s="29"/>
      <c r="AF505" s="29"/>
      <c r="AG505" s="29"/>
      <c r="AH505" s="29"/>
      <c r="AI505" s="29"/>
      <c r="AJ505" s="34"/>
      <c r="AK505" s="34"/>
      <c r="AL505" s="29"/>
      <c r="AM505" s="29"/>
    </row>
    <row x14ac:dyDescent="0.25" r="506" customHeight="1" ht="15.75">
      <c r="A506" s="1"/>
      <c r="B506" s="34"/>
      <c r="C506" s="34"/>
      <c r="D506" s="34"/>
      <c r="E506" s="34"/>
      <c r="F506" s="34"/>
      <c r="G506" s="60"/>
      <c r="H506" s="60"/>
      <c r="I506" s="29"/>
      <c r="J506" s="29"/>
      <c r="K506" s="29"/>
      <c r="L506" s="29"/>
      <c r="M506" s="29"/>
      <c r="N506" s="29"/>
      <c r="O506" s="29"/>
      <c r="P506" s="29"/>
      <c r="Q506" s="34"/>
      <c r="R506" s="34"/>
      <c r="S506" s="29"/>
      <c r="T506" s="29"/>
      <c r="U506" s="29"/>
      <c r="V506" s="29"/>
      <c r="W506" s="29"/>
      <c r="X506" s="29"/>
      <c r="Y506" s="2"/>
      <c r="Z506" s="34"/>
      <c r="AA506" s="2"/>
      <c r="AB506" s="29"/>
      <c r="AC506" s="29"/>
      <c r="AD506" s="29"/>
      <c r="AE506" s="29"/>
      <c r="AF506" s="29"/>
      <c r="AG506" s="29"/>
      <c r="AH506" s="29"/>
      <c r="AI506" s="29"/>
      <c r="AJ506" s="34"/>
      <c r="AK506" s="34"/>
      <c r="AL506" s="29"/>
      <c r="AM506" s="29"/>
    </row>
    <row x14ac:dyDescent="0.25" r="507" customHeight="1" ht="15.75">
      <c r="A507" s="1"/>
      <c r="B507" s="34"/>
      <c r="C507" s="34"/>
      <c r="D507" s="34"/>
      <c r="E507" s="34"/>
      <c r="F507" s="34"/>
      <c r="G507" s="60"/>
      <c r="H507" s="60"/>
      <c r="I507" s="29"/>
      <c r="J507" s="29"/>
      <c r="K507" s="29"/>
      <c r="L507" s="29"/>
      <c r="M507" s="29"/>
      <c r="N507" s="29"/>
      <c r="O507" s="29"/>
      <c r="P507" s="29"/>
      <c r="Q507" s="34"/>
      <c r="R507" s="34"/>
      <c r="S507" s="29"/>
      <c r="T507" s="29"/>
      <c r="U507" s="29"/>
      <c r="V507" s="29"/>
      <c r="W507" s="29"/>
      <c r="X507" s="29"/>
      <c r="Y507" s="2"/>
      <c r="Z507" s="34"/>
      <c r="AA507" s="2"/>
      <c r="AB507" s="29"/>
      <c r="AC507" s="29"/>
      <c r="AD507" s="29"/>
      <c r="AE507" s="29"/>
      <c r="AF507" s="29"/>
      <c r="AG507" s="29"/>
      <c r="AH507" s="29"/>
      <c r="AI507" s="29"/>
      <c r="AJ507" s="34"/>
      <c r="AK507" s="34"/>
      <c r="AL507" s="29"/>
      <c r="AM507" s="29"/>
    </row>
    <row x14ac:dyDescent="0.25" r="508" customHeight="1" ht="15.75">
      <c r="A508" s="1"/>
      <c r="B508" s="34"/>
      <c r="C508" s="34"/>
      <c r="D508" s="34"/>
      <c r="E508" s="34"/>
      <c r="F508" s="34"/>
      <c r="G508" s="60"/>
      <c r="H508" s="60"/>
      <c r="I508" s="29"/>
      <c r="J508" s="29"/>
      <c r="K508" s="29"/>
      <c r="L508" s="29"/>
      <c r="M508" s="29"/>
      <c r="N508" s="29"/>
      <c r="O508" s="29"/>
      <c r="P508" s="29"/>
      <c r="Q508" s="34"/>
      <c r="R508" s="34"/>
      <c r="S508" s="29"/>
      <c r="T508" s="29"/>
      <c r="U508" s="29"/>
      <c r="V508" s="29"/>
      <c r="W508" s="29"/>
      <c r="X508" s="29"/>
      <c r="Y508" s="2"/>
      <c r="Z508" s="34"/>
      <c r="AA508" s="2"/>
      <c r="AB508" s="29"/>
      <c r="AC508" s="29"/>
      <c r="AD508" s="29"/>
      <c r="AE508" s="29"/>
      <c r="AF508" s="29"/>
      <c r="AG508" s="29"/>
      <c r="AH508" s="29"/>
      <c r="AI508" s="29"/>
      <c r="AJ508" s="34"/>
      <c r="AK508" s="34"/>
      <c r="AL508" s="29"/>
      <c r="AM508" s="29"/>
    </row>
    <row x14ac:dyDescent="0.25" r="509" customHeight="1" ht="15.75">
      <c r="A509" s="1"/>
      <c r="B509" s="34"/>
      <c r="C509" s="34"/>
      <c r="D509" s="34"/>
      <c r="E509" s="34"/>
      <c r="F509" s="34"/>
      <c r="G509" s="60"/>
      <c r="H509" s="60"/>
      <c r="I509" s="29"/>
      <c r="J509" s="29"/>
      <c r="K509" s="29"/>
      <c r="L509" s="29"/>
      <c r="M509" s="29"/>
      <c r="N509" s="29"/>
      <c r="O509" s="29"/>
      <c r="P509" s="29"/>
      <c r="Q509" s="34"/>
      <c r="R509" s="34"/>
      <c r="S509" s="29"/>
      <c r="T509" s="29"/>
      <c r="U509" s="29"/>
      <c r="V509" s="29"/>
      <c r="W509" s="29"/>
      <c r="X509" s="29"/>
      <c r="Y509" s="2"/>
      <c r="Z509" s="34"/>
      <c r="AA509" s="2"/>
      <c r="AB509" s="29"/>
      <c r="AC509" s="29"/>
      <c r="AD509" s="29"/>
      <c r="AE509" s="29"/>
      <c r="AF509" s="29"/>
      <c r="AG509" s="29"/>
      <c r="AH509" s="29"/>
      <c r="AI509" s="29"/>
      <c r="AJ509" s="34"/>
      <c r="AK509" s="34"/>
      <c r="AL509" s="29"/>
      <c r="AM509" s="29"/>
    </row>
    <row x14ac:dyDescent="0.25" r="510" customHeight="1" ht="15.75">
      <c r="A510" s="1"/>
      <c r="B510" s="34"/>
      <c r="C510" s="34"/>
      <c r="D510" s="34"/>
      <c r="E510" s="34"/>
      <c r="F510" s="34"/>
      <c r="G510" s="60"/>
      <c r="H510" s="60"/>
      <c r="I510" s="29"/>
      <c r="J510" s="29"/>
      <c r="K510" s="29"/>
      <c r="L510" s="29"/>
      <c r="M510" s="29"/>
      <c r="N510" s="29"/>
      <c r="O510" s="29"/>
      <c r="P510" s="29"/>
      <c r="Q510" s="34"/>
      <c r="R510" s="34"/>
      <c r="S510" s="29"/>
      <c r="T510" s="29"/>
      <c r="U510" s="29"/>
      <c r="V510" s="29"/>
      <c r="W510" s="29"/>
      <c r="X510" s="29"/>
      <c r="Y510" s="2"/>
      <c r="Z510" s="34"/>
      <c r="AA510" s="2"/>
      <c r="AB510" s="29"/>
      <c r="AC510" s="29"/>
      <c r="AD510" s="29"/>
      <c r="AE510" s="29"/>
      <c r="AF510" s="29"/>
      <c r="AG510" s="29"/>
      <c r="AH510" s="29"/>
      <c r="AI510" s="29"/>
      <c r="AJ510" s="34"/>
      <c r="AK510" s="34"/>
      <c r="AL510" s="29"/>
      <c r="AM510" s="29"/>
    </row>
    <row x14ac:dyDescent="0.25" r="511" customHeight="1" ht="15.75">
      <c r="A511" s="1"/>
      <c r="B511" s="34"/>
      <c r="C511" s="34"/>
      <c r="D511" s="34"/>
      <c r="E511" s="34"/>
      <c r="F511" s="34"/>
      <c r="G511" s="60"/>
      <c r="H511" s="60"/>
      <c r="I511" s="29"/>
      <c r="J511" s="29"/>
      <c r="K511" s="29"/>
      <c r="L511" s="29"/>
      <c r="M511" s="29"/>
      <c r="N511" s="29"/>
      <c r="O511" s="29"/>
      <c r="P511" s="29"/>
      <c r="Q511" s="34"/>
      <c r="R511" s="34"/>
      <c r="S511" s="29"/>
      <c r="T511" s="29"/>
      <c r="U511" s="29"/>
      <c r="V511" s="29"/>
      <c r="W511" s="29"/>
      <c r="X511" s="29"/>
      <c r="Y511" s="2"/>
      <c r="Z511" s="34"/>
      <c r="AA511" s="2"/>
      <c r="AB511" s="29"/>
      <c r="AC511" s="29"/>
      <c r="AD511" s="29"/>
      <c r="AE511" s="29"/>
      <c r="AF511" s="29"/>
      <c r="AG511" s="29"/>
      <c r="AH511" s="29"/>
      <c r="AI511" s="29"/>
      <c r="AJ511" s="34"/>
      <c r="AK511" s="34"/>
      <c r="AL511" s="29"/>
      <c r="AM511" s="29"/>
    </row>
    <row x14ac:dyDescent="0.25" r="512" customHeight="1" ht="15.75">
      <c r="A512" s="1"/>
      <c r="B512" s="34"/>
      <c r="C512" s="34"/>
      <c r="D512" s="34"/>
      <c r="E512" s="34"/>
      <c r="F512" s="34"/>
      <c r="G512" s="60"/>
      <c r="H512" s="60"/>
      <c r="I512" s="29"/>
      <c r="J512" s="29"/>
      <c r="K512" s="29"/>
      <c r="L512" s="29"/>
      <c r="M512" s="29"/>
      <c r="N512" s="29"/>
      <c r="O512" s="29"/>
      <c r="P512" s="29"/>
      <c r="Q512" s="34"/>
      <c r="R512" s="34"/>
      <c r="S512" s="29"/>
      <c r="T512" s="29"/>
      <c r="U512" s="29"/>
      <c r="V512" s="29"/>
      <c r="W512" s="29"/>
      <c r="X512" s="29"/>
      <c r="Y512" s="2"/>
      <c r="Z512" s="34"/>
      <c r="AA512" s="2"/>
      <c r="AB512" s="29"/>
      <c r="AC512" s="29"/>
      <c r="AD512" s="29"/>
      <c r="AE512" s="29"/>
      <c r="AF512" s="29"/>
      <c r="AG512" s="29"/>
      <c r="AH512" s="29"/>
      <c r="AI512" s="29"/>
      <c r="AJ512" s="34"/>
      <c r="AK512" s="34"/>
      <c r="AL512" s="29"/>
      <c r="AM512" s="29"/>
    </row>
    <row x14ac:dyDescent="0.25" r="513" customHeight="1" ht="15.75">
      <c r="A513" s="1"/>
      <c r="B513" s="34"/>
      <c r="C513" s="34"/>
      <c r="D513" s="34"/>
      <c r="E513" s="34"/>
      <c r="F513" s="34"/>
      <c r="G513" s="60"/>
      <c r="H513" s="60"/>
      <c r="I513" s="29"/>
      <c r="J513" s="29"/>
      <c r="K513" s="29"/>
      <c r="L513" s="29"/>
      <c r="M513" s="29"/>
      <c r="N513" s="29"/>
      <c r="O513" s="29"/>
      <c r="P513" s="29"/>
      <c r="Q513" s="34"/>
      <c r="R513" s="34"/>
      <c r="S513" s="29"/>
      <c r="T513" s="29"/>
      <c r="U513" s="29"/>
      <c r="V513" s="29"/>
      <c r="W513" s="29"/>
      <c r="X513" s="29"/>
      <c r="Y513" s="2"/>
      <c r="Z513" s="34"/>
      <c r="AA513" s="2"/>
      <c r="AB513" s="29"/>
      <c r="AC513" s="29"/>
      <c r="AD513" s="29"/>
      <c r="AE513" s="29"/>
      <c r="AF513" s="29"/>
      <c r="AG513" s="29"/>
      <c r="AH513" s="29"/>
      <c r="AI513" s="29"/>
      <c r="AJ513" s="34"/>
      <c r="AK513" s="34"/>
      <c r="AL513" s="29"/>
      <c r="AM513" s="29"/>
    </row>
    <row x14ac:dyDescent="0.25" r="514" customHeight="1" ht="15.75">
      <c r="A514" s="1"/>
      <c r="B514" s="34"/>
      <c r="C514" s="34"/>
      <c r="D514" s="34"/>
      <c r="E514" s="34"/>
      <c r="F514" s="34"/>
      <c r="G514" s="60"/>
      <c r="H514" s="60"/>
      <c r="I514" s="29"/>
      <c r="J514" s="29"/>
      <c r="K514" s="29"/>
      <c r="L514" s="29"/>
      <c r="M514" s="29"/>
      <c r="N514" s="29"/>
      <c r="O514" s="29"/>
      <c r="P514" s="29"/>
      <c r="Q514" s="34"/>
      <c r="R514" s="34"/>
      <c r="S514" s="29"/>
      <c r="T514" s="29"/>
      <c r="U514" s="29"/>
      <c r="V514" s="29"/>
      <c r="W514" s="29"/>
      <c r="X514" s="29"/>
      <c r="Y514" s="2"/>
      <c r="Z514" s="34"/>
      <c r="AA514" s="2"/>
      <c r="AB514" s="29"/>
      <c r="AC514" s="29"/>
      <c r="AD514" s="29"/>
      <c r="AE514" s="29"/>
      <c r="AF514" s="29"/>
      <c r="AG514" s="29"/>
      <c r="AH514" s="29"/>
      <c r="AI514" s="29"/>
      <c r="AJ514" s="34"/>
      <c r="AK514" s="34"/>
      <c r="AL514" s="29"/>
      <c r="AM514" s="29"/>
    </row>
    <row x14ac:dyDescent="0.25" r="515" customHeight="1" ht="15.75">
      <c r="A515" s="1"/>
      <c r="B515" s="34"/>
      <c r="C515" s="34"/>
      <c r="D515" s="34"/>
      <c r="E515" s="34"/>
      <c r="F515" s="34"/>
      <c r="G515" s="60"/>
      <c r="H515" s="60"/>
      <c r="I515" s="29"/>
      <c r="J515" s="29"/>
      <c r="K515" s="29"/>
      <c r="L515" s="29"/>
      <c r="M515" s="29"/>
      <c r="N515" s="29"/>
      <c r="O515" s="29"/>
      <c r="P515" s="29"/>
      <c r="Q515" s="34"/>
      <c r="R515" s="34"/>
      <c r="S515" s="29"/>
      <c r="T515" s="29"/>
      <c r="U515" s="29"/>
      <c r="V515" s="29"/>
      <c r="W515" s="29"/>
      <c r="X515" s="29"/>
      <c r="Y515" s="2"/>
      <c r="Z515" s="34"/>
      <c r="AA515" s="2"/>
      <c r="AB515" s="29"/>
      <c r="AC515" s="29"/>
      <c r="AD515" s="29"/>
      <c r="AE515" s="29"/>
      <c r="AF515" s="29"/>
      <c r="AG515" s="29"/>
      <c r="AH515" s="29"/>
      <c r="AI515" s="29"/>
      <c r="AJ515" s="34"/>
      <c r="AK515" s="34"/>
      <c r="AL515" s="29"/>
      <c r="AM515" s="29"/>
    </row>
    <row x14ac:dyDescent="0.25" r="516" customHeight="1" ht="15.75">
      <c r="A516" s="1"/>
      <c r="B516" s="34"/>
      <c r="C516" s="34"/>
      <c r="D516" s="34"/>
      <c r="E516" s="34"/>
      <c r="F516" s="34"/>
      <c r="G516" s="60"/>
      <c r="H516" s="60"/>
      <c r="I516" s="29"/>
      <c r="J516" s="29"/>
      <c r="K516" s="29"/>
      <c r="L516" s="29"/>
      <c r="M516" s="29"/>
      <c r="N516" s="29"/>
      <c r="O516" s="29"/>
      <c r="P516" s="29"/>
      <c r="Q516" s="34"/>
      <c r="R516" s="34"/>
      <c r="S516" s="29"/>
      <c r="T516" s="29"/>
      <c r="U516" s="29"/>
      <c r="V516" s="29"/>
      <c r="W516" s="29"/>
      <c r="X516" s="29"/>
      <c r="Y516" s="2"/>
      <c r="Z516" s="34"/>
      <c r="AA516" s="2"/>
      <c r="AB516" s="29"/>
      <c r="AC516" s="29"/>
      <c r="AD516" s="29"/>
      <c r="AE516" s="29"/>
      <c r="AF516" s="29"/>
      <c r="AG516" s="29"/>
      <c r="AH516" s="29"/>
      <c r="AI516" s="29"/>
      <c r="AJ516" s="34"/>
      <c r="AK516" s="34"/>
      <c r="AL516" s="29"/>
      <c r="AM516" s="29"/>
    </row>
    <row x14ac:dyDescent="0.25" r="517" customHeight="1" ht="15.75">
      <c r="A517" s="1"/>
      <c r="B517" s="34"/>
      <c r="C517" s="34"/>
      <c r="D517" s="34"/>
      <c r="E517" s="34"/>
      <c r="F517" s="34"/>
      <c r="G517" s="60"/>
      <c r="H517" s="60"/>
      <c r="I517" s="29"/>
      <c r="J517" s="29"/>
      <c r="K517" s="29"/>
      <c r="L517" s="29"/>
      <c r="M517" s="29"/>
      <c r="N517" s="29"/>
      <c r="O517" s="29"/>
      <c r="P517" s="29"/>
      <c r="Q517" s="34"/>
      <c r="R517" s="34"/>
      <c r="S517" s="29"/>
      <c r="T517" s="29"/>
      <c r="U517" s="29"/>
      <c r="V517" s="29"/>
      <c r="W517" s="29"/>
      <c r="X517" s="29"/>
      <c r="Y517" s="2"/>
      <c r="Z517" s="34"/>
      <c r="AA517" s="2"/>
      <c r="AB517" s="29"/>
      <c r="AC517" s="29"/>
      <c r="AD517" s="29"/>
      <c r="AE517" s="29"/>
      <c r="AF517" s="29"/>
      <c r="AG517" s="29"/>
      <c r="AH517" s="29"/>
      <c r="AI517" s="29"/>
      <c r="AJ517" s="34"/>
      <c r="AK517" s="34"/>
      <c r="AL517" s="29"/>
      <c r="AM517" s="29"/>
    </row>
    <row x14ac:dyDescent="0.25" r="518" customHeight="1" ht="15.75">
      <c r="A518" s="1"/>
      <c r="B518" s="34"/>
      <c r="C518" s="34"/>
      <c r="D518" s="34"/>
      <c r="E518" s="34"/>
      <c r="F518" s="34"/>
      <c r="G518" s="60"/>
      <c r="H518" s="60"/>
      <c r="I518" s="29"/>
      <c r="J518" s="29"/>
      <c r="K518" s="29"/>
      <c r="L518" s="29"/>
      <c r="M518" s="29"/>
      <c r="N518" s="29"/>
      <c r="O518" s="29"/>
      <c r="P518" s="29"/>
      <c r="Q518" s="34"/>
      <c r="R518" s="34"/>
      <c r="S518" s="29"/>
      <c r="T518" s="29"/>
      <c r="U518" s="29"/>
      <c r="V518" s="29"/>
      <c r="W518" s="29"/>
      <c r="X518" s="29"/>
      <c r="Y518" s="2"/>
      <c r="Z518" s="34"/>
      <c r="AA518" s="2"/>
      <c r="AB518" s="29"/>
      <c r="AC518" s="29"/>
      <c r="AD518" s="29"/>
      <c r="AE518" s="29"/>
      <c r="AF518" s="29"/>
      <c r="AG518" s="29"/>
      <c r="AH518" s="29"/>
      <c r="AI518" s="29"/>
      <c r="AJ518" s="34"/>
      <c r="AK518" s="34"/>
      <c r="AL518" s="29"/>
      <c r="AM518" s="29"/>
    </row>
    <row x14ac:dyDescent="0.25" r="519" customHeight="1" ht="15.75">
      <c r="A519" s="1"/>
      <c r="B519" s="34"/>
      <c r="C519" s="34"/>
      <c r="D519" s="34"/>
      <c r="E519" s="34"/>
      <c r="F519" s="34"/>
      <c r="G519" s="60"/>
      <c r="H519" s="60"/>
      <c r="I519" s="29"/>
      <c r="J519" s="29"/>
      <c r="K519" s="29"/>
      <c r="L519" s="29"/>
      <c r="M519" s="29"/>
      <c r="N519" s="29"/>
      <c r="O519" s="29"/>
      <c r="P519" s="29"/>
      <c r="Q519" s="34"/>
      <c r="R519" s="34"/>
      <c r="S519" s="29"/>
      <c r="T519" s="29"/>
      <c r="U519" s="29"/>
      <c r="V519" s="29"/>
      <c r="W519" s="29"/>
      <c r="X519" s="29"/>
      <c r="Y519" s="2"/>
      <c r="Z519" s="34"/>
      <c r="AA519" s="2"/>
      <c r="AB519" s="29"/>
      <c r="AC519" s="29"/>
      <c r="AD519" s="29"/>
      <c r="AE519" s="29"/>
      <c r="AF519" s="29"/>
      <c r="AG519" s="29"/>
      <c r="AH519" s="29"/>
      <c r="AI519" s="29"/>
      <c r="AJ519" s="34"/>
      <c r="AK519" s="34"/>
      <c r="AL519" s="29"/>
      <c r="AM519" s="29"/>
    </row>
    <row x14ac:dyDescent="0.25" r="520" customHeight="1" ht="15.75">
      <c r="A520" s="1"/>
      <c r="B520" s="34"/>
      <c r="C520" s="34"/>
      <c r="D520" s="34"/>
      <c r="E520" s="34"/>
      <c r="F520" s="34"/>
      <c r="G520" s="60"/>
      <c r="H520" s="60"/>
      <c r="I520" s="29"/>
      <c r="J520" s="29"/>
      <c r="K520" s="29"/>
      <c r="L520" s="29"/>
      <c r="M520" s="29"/>
      <c r="N520" s="29"/>
      <c r="O520" s="29"/>
      <c r="P520" s="29"/>
      <c r="Q520" s="34"/>
      <c r="R520" s="34"/>
      <c r="S520" s="29"/>
      <c r="T520" s="29"/>
      <c r="U520" s="29"/>
      <c r="V520" s="29"/>
      <c r="W520" s="29"/>
      <c r="X520" s="29"/>
      <c r="Y520" s="2"/>
      <c r="Z520" s="34"/>
      <c r="AA520" s="2"/>
      <c r="AB520" s="29"/>
      <c r="AC520" s="29"/>
      <c r="AD520" s="29"/>
      <c r="AE520" s="29"/>
      <c r="AF520" s="29"/>
      <c r="AG520" s="29"/>
      <c r="AH520" s="29"/>
      <c r="AI520" s="29"/>
      <c r="AJ520" s="34"/>
      <c r="AK520" s="34"/>
      <c r="AL520" s="29"/>
      <c r="AM520" s="29"/>
    </row>
    <row x14ac:dyDescent="0.25" r="521" customHeight="1" ht="15.75">
      <c r="A521" s="1"/>
      <c r="B521" s="34"/>
      <c r="C521" s="34"/>
      <c r="D521" s="34"/>
      <c r="E521" s="34"/>
      <c r="F521" s="34"/>
      <c r="G521" s="60"/>
      <c r="H521" s="60"/>
      <c r="I521" s="29"/>
      <c r="J521" s="29"/>
      <c r="K521" s="29"/>
      <c r="L521" s="29"/>
      <c r="M521" s="29"/>
      <c r="N521" s="29"/>
      <c r="O521" s="29"/>
      <c r="P521" s="29"/>
      <c r="Q521" s="34"/>
      <c r="R521" s="34"/>
      <c r="S521" s="29"/>
      <c r="T521" s="29"/>
      <c r="U521" s="29"/>
      <c r="V521" s="29"/>
      <c r="W521" s="29"/>
      <c r="X521" s="29"/>
      <c r="Y521" s="2"/>
      <c r="Z521" s="34"/>
      <c r="AA521" s="2"/>
      <c r="AB521" s="29"/>
      <c r="AC521" s="29"/>
      <c r="AD521" s="29"/>
      <c r="AE521" s="29"/>
      <c r="AF521" s="29"/>
      <c r="AG521" s="29"/>
      <c r="AH521" s="29"/>
      <c r="AI521" s="29"/>
      <c r="AJ521" s="34"/>
      <c r="AK521" s="34"/>
      <c r="AL521" s="29"/>
      <c r="AM521" s="29"/>
    </row>
    <row x14ac:dyDescent="0.25" r="522" customHeight="1" ht="15.75">
      <c r="A522" s="1"/>
      <c r="B522" s="34"/>
      <c r="C522" s="34"/>
      <c r="D522" s="34"/>
      <c r="E522" s="34"/>
      <c r="F522" s="34"/>
      <c r="G522" s="60"/>
      <c r="H522" s="60"/>
      <c r="I522" s="29"/>
      <c r="J522" s="29"/>
      <c r="K522" s="29"/>
      <c r="L522" s="29"/>
      <c r="M522" s="29"/>
      <c r="N522" s="29"/>
      <c r="O522" s="29"/>
      <c r="P522" s="29"/>
      <c r="Q522" s="34"/>
      <c r="R522" s="34"/>
      <c r="S522" s="29"/>
      <c r="T522" s="29"/>
      <c r="U522" s="29"/>
      <c r="V522" s="29"/>
      <c r="W522" s="29"/>
      <c r="X522" s="29"/>
      <c r="Y522" s="2"/>
      <c r="Z522" s="34"/>
      <c r="AA522" s="2"/>
      <c r="AB522" s="29"/>
      <c r="AC522" s="29"/>
      <c r="AD522" s="29"/>
      <c r="AE522" s="29"/>
      <c r="AF522" s="29"/>
      <c r="AG522" s="29"/>
      <c r="AH522" s="29"/>
      <c r="AI522" s="29"/>
      <c r="AJ522" s="34"/>
      <c r="AK522" s="34"/>
      <c r="AL522" s="29"/>
      <c r="AM522" s="29"/>
    </row>
    <row x14ac:dyDescent="0.25" r="523" customHeight="1" ht="15.75">
      <c r="A523" s="1"/>
      <c r="B523" s="34"/>
      <c r="C523" s="34"/>
      <c r="D523" s="34"/>
      <c r="E523" s="34"/>
      <c r="F523" s="34"/>
      <c r="G523" s="60"/>
      <c r="H523" s="60"/>
      <c r="I523" s="29"/>
      <c r="J523" s="29"/>
      <c r="K523" s="29"/>
      <c r="L523" s="29"/>
      <c r="M523" s="29"/>
      <c r="N523" s="29"/>
      <c r="O523" s="29"/>
      <c r="P523" s="29"/>
      <c r="Q523" s="34"/>
      <c r="R523" s="34"/>
      <c r="S523" s="29"/>
      <c r="T523" s="29"/>
      <c r="U523" s="29"/>
      <c r="V523" s="29"/>
      <c r="W523" s="29"/>
      <c r="X523" s="29"/>
      <c r="Y523" s="2"/>
      <c r="Z523" s="34"/>
      <c r="AA523" s="2"/>
      <c r="AB523" s="29"/>
      <c r="AC523" s="29"/>
      <c r="AD523" s="29"/>
      <c r="AE523" s="29"/>
      <c r="AF523" s="29"/>
      <c r="AG523" s="29"/>
      <c r="AH523" s="29"/>
      <c r="AI523" s="29"/>
      <c r="AJ523" s="34"/>
      <c r="AK523" s="34"/>
      <c r="AL523" s="29"/>
      <c r="AM523" s="29"/>
    </row>
    <row x14ac:dyDescent="0.25" r="524" customHeight="1" ht="15.75">
      <c r="A524" s="1"/>
      <c r="B524" s="34"/>
      <c r="C524" s="34"/>
      <c r="D524" s="34"/>
      <c r="E524" s="34"/>
      <c r="F524" s="34"/>
      <c r="G524" s="60"/>
      <c r="H524" s="60"/>
      <c r="I524" s="29"/>
      <c r="J524" s="29"/>
      <c r="K524" s="29"/>
      <c r="L524" s="29"/>
      <c r="M524" s="29"/>
      <c r="N524" s="29"/>
      <c r="O524" s="29"/>
      <c r="P524" s="29"/>
      <c r="Q524" s="34"/>
      <c r="R524" s="34"/>
      <c r="S524" s="29"/>
      <c r="T524" s="29"/>
      <c r="U524" s="29"/>
      <c r="V524" s="29"/>
      <c r="W524" s="29"/>
      <c r="X524" s="29"/>
      <c r="Y524" s="2"/>
      <c r="Z524" s="34"/>
      <c r="AA524" s="2"/>
      <c r="AB524" s="29"/>
      <c r="AC524" s="29"/>
      <c r="AD524" s="29"/>
      <c r="AE524" s="29"/>
      <c r="AF524" s="29"/>
      <c r="AG524" s="29"/>
      <c r="AH524" s="29"/>
      <c r="AI524" s="29"/>
      <c r="AJ524" s="34"/>
      <c r="AK524" s="34"/>
      <c r="AL524" s="29"/>
      <c r="AM524" s="29"/>
    </row>
    <row x14ac:dyDescent="0.25" r="525" customHeight="1" ht="15.75">
      <c r="A525" s="1"/>
      <c r="B525" s="34"/>
      <c r="C525" s="34"/>
      <c r="D525" s="34"/>
      <c r="E525" s="34"/>
      <c r="F525" s="34"/>
      <c r="G525" s="60"/>
      <c r="H525" s="60"/>
      <c r="I525" s="29"/>
      <c r="J525" s="29"/>
      <c r="K525" s="29"/>
      <c r="L525" s="29"/>
      <c r="M525" s="29"/>
      <c r="N525" s="29"/>
      <c r="O525" s="29"/>
      <c r="P525" s="29"/>
      <c r="Q525" s="34"/>
      <c r="R525" s="34"/>
      <c r="S525" s="29"/>
      <c r="T525" s="29"/>
      <c r="U525" s="29"/>
      <c r="V525" s="29"/>
      <c r="W525" s="29"/>
      <c r="X525" s="29"/>
      <c r="Y525" s="2"/>
      <c r="Z525" s="34"/>
      <c r="AA525" s="2"/>
      <c r="AB525" s="29"/>
      <c r="AC525" s="29"/>
      <c r="AD525" s="29"/>
      <c r="AE525" s="29"/>
      <c r="AF525" s="29"/>
      <c r="AG525" s="29"/>
      <c r="AH525" s="29"/>
      <c r="AI525" s="29"/>
      <c r="AJ525" s="34"/>
      <c r="AK525" s="34"/>
      <c r="AL525" s="29"/>
      <c r="AM525" s="29"/>
    </row>
    <row x14ac:dyDescent="0.25" r="526" customHeight="1" ht="15.75">
      <c r="A526" s="1"/>
      <c r="B526" s="34"/>
      <c r="C526" s="34"/>
      <c r="D526" s="34"/>
      <c r="E526" s="34"/>
      <c r="F526" s="34"/>
      <c r="G526" s="60"/>
      <c r="H526" s="60"/>
      <c r="I526" s="29"/>
      <c r="J526" s="29"/>
      <c r="K526" s="29"/>
      <c r="L526" s="29"/>
      <c r="M526" s="29"/>
      <c r="N526" s="29"/>
      <c r="O526" s="29"/>
      <c r="P526" s="29"/>
      <c r="Q526" s="34"/>
      <c r="R526" s="34"/>
      <c r="S526" s="29"/>
      <c r="T526" s="29"/>
      <c r="U526" s="29"/>
      <c r="V526" s="29"/>
      <c r="W526" s="29"/>
      <c r="X526" s="29"/>
      <c r="Y526" s="2"/>
      <c r="Z526" s="34"/>
      <c r="AA526" s="2"/>
      <c r="AB526" s="29"/>
      <c r="AC526" s="29"/>
      <c r="AD526" s="29"/>
      <c r="AE526" s="29"/>
      <c r="AF526" s="29"/>
      <c r="AG526" s="29"/>
      <c r="AH526" s="29"/>
      <c r="AI526" s="29"/>
      <c r="AJ526" s="34"/>
      <c r="AK526" s="34"/>
      <c r="AL526" s="29"/>
      <c r="AM526" s="29"/>
    </row>
    <row x14ac:dyDescent="0.25" r="527" customHeight="1" ht="15.75">
      <c r="A527" s="1"/>
      <c r="B527" s="34"/>
      <c r="C527" s="34"/>
      <c r="D527" s="34"/>
      <c r="E527" s="34"/>
      <c r="F527" s="34"/>
      <c r="G527" s="60"/>
      <c r="H527" s="60"/>
      <c r="I527" s="29"/>
      <c r="J527" s="29"/>
      <c r="K527" s="29"/>
      <c r="L527" s="29"/>
      <c r="M527" s="29"/>
      <c r="N527" s="29"/>
      <c r="O527" s="29"/>
      <c r="P527" s="29"/>
      <c r="Q527" s="34"/>
      <c r="R527" s="34"/>
      <c r="S527" s="29"/>
      <c r="T527" s="29"/>
      <c r="U527" s="29"/>
      <c r="V527" s="29"/>
      <c r="W527" s="29"/>
      <c r="X527" s="29"/>
      <c r="Y527" s="2"/>
      <c r="Z527" s="34"/>
      <c r="AA527" s="2"/>
      <c r="AB527" s="29"/>
      <c r="AC527" s="29"/>
      <c r="AD527" s="29"/>
      <c r="AE527" s="29"/>
      <c r="AF527" s="29"/>
      <c r="AG527" s="29"/>
      <c r="AH527" s="29"/>
      <c r="AI527" s="29"/>
      <c r="AJ527" s="34"/>
      <c r="AK527" s="34"/>
      <c r="AL527" s="29"/>
      <c r="AM527" s="29"/>
    </row>
    <row x14ac:dyDescent="0.25" r="528" customHeight="1" ht="15.75">
      <c r="A528" s="1"/>
      <c r="B528" s="34"/>
      <c r="C528" s="34"/>
      <c r="D528" s="34"/>
      <c r="E528" s="34"/>
      <c r="F528" s="34"/>
      <c r="G528" s="60"/>
      <c r="H528" s="60"/>
      <c r="I528" s="29"/>
      <c r="J528" s="29"/>
      <c r="K528" s="29"/>
      <c r="L528" s="29"/>
      <c r="M528" s="29"/>
      <c r="N528" s="29"/>
      <c r="O528" s="29"/>
      <c r="P528" s="29"/>
      <c r="Q528" s="34"/>
      <c r="R528" s="34"/>
      <c r="S528" s="29"/>
      <c r="T528" s="29"/>
      <c r="U528" s="29"/>
      <c r="V528" s="29"/>
      <c r="W528" s="29"/>
      <c r="X528" s="29"/>
      <c r="Y528" s="2"/>
      <c r="Z528" s="34"/>
      <c r="AA528" s="2"/>
      <c r="AB528" s="29"/>
      <c r="AC528" s="29"/>
      <c r="AD528" s="29"/>
      <c r="AE528" s="29"/>
      <c r="AF528" s="29"/>
      <c r="AG528" s="29"/>
      <c r="AH528" s="29"/>
      <c r="AI528" s="29"/>
      <c r="AJ528" s="34"/>
      <c r="AK528" s="34"/>
      <c r="AL528" s="29"/>
      <c r="AM528" s="29"/>
    </row>
    <row x14ac:dyDescent="0.25" r="529" customHeight="1" ht="15.75">
      <c r="A529" s="1"/>
      <c r="B529" s="34"/>
      <c r="C529" s="34"/>
      <c r="D529" s="34"/>
      <c r="E529" s="34"/>
      <c r="F529" s="34"/>
      <c r="G529" s="60"/>
      <c r="H529" s="60"/>
      <c r="I529" s="29"/>
      <c r="J529" s="29"/>
      <c r="K529" s="29"/>
      <c r="L529" s="29"/>
      <c r="M529" s="29"/>
      <c r="N529" s="29"/>
      <c r="O529" s="29"/>
      <c r="P529" s="29"/>
      <c r="Q529" s="34"/>
      <c r="R529" s="34"/>
      <c r="S529" s="29"/>
      <c r="T529" s="29"/>
      <c r="U529" s="29"/>
      <c r="V529" s="29"/>
      <c r="W529" s="29"/>
      <c r="X529" s="29"/>
      <c r="Y529" s="2"/>
      <c r="Z529" s="34"/>
      <c r="AA529" s="2"/>
      <c r="AB529" s="29"/>
      <c r="AC529" s="29"/>
      <c r="AD529" s="29"/>
      <c r="AE529" s="29"/>
      <c r="AF529" s="29"/>
      <c r="AG529" s="29"/>
      <c r="AH529" s="29"/>
      <c r="AI529" s="29"/>
      <c r="AJ529" s="34"/>
      <c r="AK529" s="34"/>
      <c r="AL529" s="29"/>
      <c r="AM529" s="29"/>
    </row>
    <row x14ac:dyDescent="0.25" r="530" customHeight="1" ht="15.75">
      <c r="A530" s="1"/>
      <c r="B530" s="34"/>
      <c r="C530" s="34"/>
      <c r="D530" s="34"/>
      <c r="E530" s="34"/>
      <c r="F530" s="34"/>
      <c r="G530" s="60"/>
      <c r="H530" s="60"/>
      <c r="I530" s="29"/>
      <c r="J530" s="29"/>
      <c r="K530" s="29"/>
      <c r="L530" s="29"/>
      <c r="M530" s="29"/>
      <c r="N530" s="29"/>
      <c r="O530" s="29"/>
      <c r="P530" s="29"/>
      <c r="Q530" s="34"/>
      <c r="R530" s="34"/>
      <c r="S530" s="29"/>
      <c r="T530" s="29"/>
      <c r="U530" s="29"/>
      <c r="V530" s="29"/>
      <c r="W530" s="29"/>
      <c r="X530" s="29"/>
      <c r="Y530" s="2"/>
      <c r="Z530" s="34"/>
      <c r="AA530" s="2"/>
      <c r="AB530" s="29"/>
      <c r="AC530" s="29"/>
      <c r="AD530" s="29"/>
      <c r="AE530" s="29"/>
      <c r="AF530" s="29"/>
      <c r="AG530" s="29"/>
      <c r="AH530" s="29"/>
      <c r="AI530" s="29"/>
      <c r="AJ530" s="34"/>
      <c r="AK530" s="34"/>
      <c r="AL530" s="29"/>
      <c r="AM530" s="29"/>
    </row>
    <row x14ac:dyDescent="0.25" r="531" customHeight="1" ht="15.75">
      <c r="A531" s="1"/>
      <c r="B531" s="34"/>
      <c r="C531" s="34"/>
      <c r="D531" s="34"/>
      <c r="E531" s="34"/>
      <c r="F531" s="34"/>
      <c r="G531" s="60"/>
      <c r="H531" s="60"/>
      <c r="I531" s="29"/>
      <c r="J531" s="29"/>
      <c r="K531" s="29"/>
      <c r="L531" s="29"/>
      <c r="M531" s="29"/>
      <c r="N531" s="29"/>
      <c r="O531" s="29"/>
      <c r="P531" s="29"/>
      <c r="Q531" s="34"/>
      <c r="R531" s="34"/>
      <c r="S531" s="29"/>
      <c r="T531" s="29"/>
      <c r="U531" s="29"/>
      <c r="V531" s="29"/>
      <c r="W531" s="29"/>
      <c r="X531" s="29"/>
      <c r="Y531" s="2"/>
      <c r="Z531" s="34"/>
      <c r="AA531" s="2"/>
      <c r="AB531" s="29"/>
      <c r="AC531" s="29"/>
      <c r="AD531" s="29"/>
      <c r="AE531" s="29"/>
      <c r="AF531" s="29"/>
      <c r="AG531" s="29"/>
      <c r="AH531" s="29"/>
      <c r="AI531" s="29"/>
      <c r="AJ531" s="34"/>
      <c r="AK531" s="34"/>
      <c r="AL531" s="29"/>
      <c r="AM531" s="29"/>
    </row>
    <row x14ac:dyDescent="0.25" r="532" customHeight="1" ht="15.75">
      <c r="A532" s="1"/>
      <c r="B532" s="34"/>
      <c r="C532" s="34"/>
      <c r="D532" s="34"/>
      <c r="E532" s="34"/>
      <c r="F532" s="34"/>
      <c r="G532" s="60"/>
      <c r="H532" s="60"/>
      <c r="I532" s="29"/>
      <c r="J532" s="29"/>
      <c r="K532" s="29"/>
      <c r="L532" s="29"/>
      <c r="M532" s="29"/>
      <c r="N532" s="29"/>
      <c r="O532" s="29"/>
      <c r="P532" s="29"/>
      <c r="Q532" s="34"/>
      <c r="R532" s="34"/>
      <c r="S532" s="29"/>
      <c r="T532" s="29"/>
      <c r="U532" s="29"/>
      <c r="V532" s="29"/>
      <c r="W532" s="29"/>
      <c r="X532" s="29"/>
      <c r="Y532" s="2"/>
      <c r="Z532" s="34"/>
      <c r="AA532" s="2"/>
      <c r="AB532" s="29"/>
      <c r="AC532" s="29"/>
      <c r="AD532" s="29"/>
      <c r="AE532" s="29"/>
      <c r="AF532" s="29"/>
      <c r="AG532" s="29"/>
      <c r="AH532" s="29"/>
      <c r="AI532" s="29"/>
      <c r="AJ532" s="34"/>
      <c r="AK532" s="34"/>
      <c r="AL532" s="29"/>
      <c r="AM532" s="29"/>
    </row>
    <row x14ac:dyDescent="0.25" r="533" customHeight="1" ht="15.75">
      <c r="A533" s="1"/>
      <c r="B533" s="34"/>
      <c r="C533" s="34"/>
      <c r="D533" s="34"/>
      <c r="E533" s="34"/>
      <c r="F533" s="34"/>
      <c r="G533" s="60"/>
      <c r="H533" s="60"/>
      <c r="I533" s="29"/>
      <c r="J533" s="29"/>
      <c r="K533" s="29"/>
      <c r="L533" s="29"/>
      <c r="M533" s="29"/>
      <c r="N533" s="29"/>
      <c r="O533" s="29"/>
      <c r="P533" s="29"/>
      <c r="Q533" s="34"/>
      <c r="R533" s="34"/>
      <c r="S533" s="29"/>
      <c r="T533" s="29"/>
      <c r="U533" s="29"/>
      <c r="V533" s="29"/>
      <c r="W533" s="29"/>
      <c r="X533" s="29"/>
      <c r="Y533" s="2"/>
      <c r="Z533" s="34"/>
      <c r="AA533" s="2"/>
      <c r="AB533" s="29"/>
      <c r="AC533" s="29"/>
      <c r="AD533" s="29"/>
      <c r="AE533" s="29"/>
      <c r="AF533" s="29"/>
      <c r="AG533" s="29"/>
      <c r="AH533" s="29"/>
      <c r="AI533" s="29"/>
      <c r="AJ533" s="34"/>
      <c r="AK533" s="34"/>
      <c r="AL533" s="29"/>
      <c r="AM533" s="29"/>
    </row>
    <row x14ac:dyDescent="0.25" r="534" customHeight="1" ht="15.75">
      <c r="A534" s="1"/>
      <c r="B534" s="34"/>
      <c r="C534" s="34"/>
      <c r="D534" s="34"/>
      <c r="E534" s="34"/>
      <c r="F534" s="34"/>
      <c r="G534" s="60"/>
      <c r="H534" s="60"/>
      <c r="I534" s="29"/>
      <c r="J534" s="29"/>
      <c r="K534" s="29"/>
      <c r="L534" s="29"/>
      <c r="M534" s="29"/>
      <c r="N534" s="29"/>
      <c r="O534" s="29"/>
      <c r="P534" s="29"/>
      <c r="Q534" s="34"/>
      <c r="R534" s="34"/>
      <c r="S534" s="29"/>
      <c r="T534" s="29"/>
      <c r="U534" s="29"/>
      <c r="V534" s="29"/>
      <c r="W534" s="29"/>
      <c r="X534" s="29"/>
      <c r="Y534" s="2"/>
      <c r="Z534" s="34"/>
      <c r="AA534" s="2"/>
      <c r="AB534" s="29"/>
      <c r="AC534" s="29"/>
      <c r="AD534" s="29"/>
      <c r="AE534" s="29"/>
      <c r="AF534" s="29"/>
      <c r="AG534" s="29"/>
      <c r="AH534" s="29"/>
      <c r="AI534" s="29"/>
      <c r="AJ534" s="34"/>
      <c r="AK534" s="34"/>
      <c r="AL534" s="29"/>
      <c r="AM534" s="29"/>
    </row>
    <row x14ac:dyDescent="0.25" r="535" customHeight="1" ht="15.75">
      <c r="A535" s="1"/>
      <c r="B535" s="34"/>
      <c r="C535" s="34"/>
      <c r="D535" s="34"/>
      <c r="E535" s="34"/>
      <c r="F535" s="34"/>
      <c r="G535" s="60"/>
      <c r="H535" s="60"/>
      <c r="I535" s="29"/>
      <c r="J535" s="29"/>
      <c r="K535" s="29"/>
      <c r="L535" s="29"/>
      <c r="M535" s="29"/>
      <c r="N535" s="29"/>
      <c r="O535" s="29"/>
      <c r="P535" s="29"/>
      <c r="Q535" s="34"/>
      <c r="R535" s="34"/>
      <c r="S535" s="29"/>
      <c r="T535" s="29"/>
      <c r="U535" s="29"/>
      <c r="V535" s="29"/>
      <c r="W535" s="29"/>
      <c r="X535" s="29"/>
      <c r="Y535" s="2"/>
      <c r="Z535" s="34"/>
      <c r="AA535" s="2"/>
      <c r="AB535" s="29"/>
      <c r="AC535" s="29"/>
      <c r="AD535" s="29"/>
      <c r="AE535" s="29"/>
      <c r="AF535" s="29"/>
      <c r="AG535" s="29"/>
      <c r="AH535" s="29"/>
      <c r="AI535" s="29"/>
      <c r="AJ535" s="34"/>
      <c r="AK535" s="34"/>
      <c r="AL535" s="29"/>
      <c r="AM535" s="29"/>
    </row>
    <row x14ac:dyDescent="0.25" r="536" customHeight="1" ht="15.75">
      <c r="A536" s="1"/>
      <c r="B536" s="34"/>
      <c r="C536" s="34"/>
      <c r="D536" s="34"/>
      <c r="E536" s="34"/>
      <c r="F536" s="34"/>
      <c r="G536" s="60"/>
      <c r="H536" s="60"/>
      <c r="I536" s="29"/>
      <c r="J536" s="29"/>
      <c r="K536" s="29"/>
      <c r="L536" s="29"/>
      <c r="M536" s="29"/>
      <c r="N536" s="29"/>
      <c r="O536" s="29"/>
      <c r="P536" s="29"/>
      <c r="Q536" s="34"/>
      <c r="R536" s="34"/>
      <c r="S536" s="29"/>
      <c r="T536" s="29"/>
      <c r="U536" s="29"/>
      <c r="V536" s="29"/>
      <c r="W536" s="29"/>
      <c r="X536" s="29"/>
      <c r="Y536" s="2"/>
      <c r="Z536" s="34"/>
      <c r="AA536" s="2"/>
      <c r="AB536" s="29"/>
      <c r="AC536" s="29"/>
      <c r="AD536" s="29"/>
      <c r="AE536" s="29"/>
      <c r="AF536" s="29"/>
      <c r="AG536" s="29"/>
      <c r="AH536" s="29"/>
      <c r="AI536" s="29"/>
      <c r="AJ536" s="34"/>
      <c r="AK536" s="34"/>
      <c r="AL536" s="29"/>
      <c r="AM536" s="29"/>
    </row>
    <row x14ac:dyDescent="0.25" r="537" customHeight="1" ht="15.75">
      <c r="A537" s="1"/>
      <c r="B537" s="34"/>
      <c r="C537" s="34"/>
      <c r="D537" s="34"/>
      <c r="E537" s="34"/>
      <c r="F537" s="34"/>
      <c r="G537" s="60"/>
      <c r="H537" s="60"/>
      <c r="I537" s="29"/>
      <c r="J537" s="29"/>
      <c r="K537" s="29"/>
      <c r="L537" s="29"/>
      <c r="M537" s="29"/>
      <c r="N537" s="29"/>
      <c r="O537" s="29"/>
      <c r="P537" s="29"/>
      <c r="Q537" s="34"/>
      <c r="R537" s="34"/>
      <c r="S537" s="29"/>
      <c r="T537" s="29"/>
      <c r="U537" s="29"/>
      <c r="V537" s="29"/>
      <c r="W537" s="29"/>
      <c r="X537" s="29"/>
      <c r="Y537" s="2"/>
      <c r="Z537" s="34"/>
      <c r="AA537" s="2"/>
      <c r="AB537" s="29"/>
      <c r="AC537" s="29"/>
      <c r="AD537" s="29"/>
      <c r="AE537" s="29"/>
      <c r="AF537" s="29"/>
      <c r="AG537" s="29"/>
      <c r="AH537" s="29"/>
      <c r="AI537" s="29"/>
      <c r="AJ537" s="34"/>
      <c r="AK537" s="34"/>
      <c r="AL537" s="29"/>
      <c r="AM537" s="29"/>
    </row>
    <row x14ac:dyDescent="0.25" r="538" customHeight="1" ht="15.75">
      <c r="A538" s="1"/>
      <c r="B538" s="34"/>
      <c r="C538" s="34"/>
      <c r="D538" s="34"/>
      <c r="E538" s="34"/>
      <c r="F538" s="34"/>
      <c r="G538" s="60"/>
      <c r="H538" s="60"/>
      <c r="I538" s="29"/>
      <c r="J538" s="29"/>
      <c r="K538" s="29"/>
      <c r="L538" s="29"/>
      <c r="M538" s="29"/>
      <c r="N538" s="29"/>
      <c r="O538" s="29"/>
      <c r="P538" s="29"/>
      <c r="Q538" s="34"/>
      <c r="R538" s="34"/>
      <c r="S538" s="29"/>
      <c r="T538" s="29"/>
      <c r="U538" s="29"/>
      <c r="V538" s="29"/>
      <c r="W538" s="29"/>
      <c r="X538" s="29"/>
      <c r="Y538" s="2"/>
      <c r="Z538" s="34"/>
      <c r="AA538" s="2"/>
      <c r="AB538" s="29"/>
      <c r="AC538" s="29"/>
      <c r="AD538" s="29"/>
      <c r="AE538" s="29"/>
      <c r="AF538" s="29"/>
      <c r="AG538" s="29"/>
      <c r="AH538" s="29"/>
      <c r="AI538" s="29"/>
      <c r="AJ538" s="34"/>
      <c r="AK538" s="34"/>
      <c r="AL538" s="29"/>
      <c r="AM538" s="29"/>
    </row>
    <row x14ac:dyDescent="0.25" r="539" customHeight="1" ht="15.75">
      <c r="A539" s="1"/>
      <c r="B539" s="34"/>
      <c r="C539" s="34"/>
      <c r="D539" s="34"/>
      <c r="E539" s="34"/>
      <c r="F539" s="34"/>
      <c r="G539" s="60"/>
      <c r="H539" s="60"/>
      <c r="I539" s="29"/>
      <c r="J539" s="29"/>
      <c r="K539" s="29"/>
      <c r="L539" s="29"/>
      <c r="M539" s="29"/>
      <c r="N539" s="29"/>
      <c r="O539" s="29"/>
      <c r="P539" s="29"/>
      <c r="Q539" s="34"/>
      <c r="R539" s="34"/>
      <c r="S539" s="29"/>
      <c r="T539" s="29"/>
      <c r="U539" s="29"/>
      <c r="V539" s="29"/>
      <c r="W539" s="29"/>
      <c r="X539" s="29"/>
      <c r="Y539" s="2"/>
      <c r="Z539" s="34"/>
      <c r="AA539" s="2"/>
      <c r="AB539" s="29"/>
      <c r="AC539" s="29"/>
      <c r="AD539" s="29"/>
      <c r="AE539" s="29"/>
      <c r="AF539" s="29"/>
      <c r="AG539" s="29"/>
      <c r="AH539" s="29"/>
      <c r="AI539" s="29"/>
      <c r="AJ539" s="34"/>
      <c r="AK539" s="34"/>
      <c r="AL539" s="29"/>
      <c r="AM539" s="29"/>
    </row>
    <row x14ac:dyDescent="0.25" r="540" customHeight="1" ht="15.75">
      <c r="A540" s="1"/>
      <c r="B540" s="34"/>
      <c r="C540" s="34"/>
      <c r="D540" s="34"/>
      <c r="E540" s="34"/>
      <c r="F540" s="34"/>
      <c r="G540" s="60"/>
      <c r="H540" s="60"/>
      <c r="I540" s="29"/>
      <c r="J540" s="29"/>
      <c r="K540" s="29"/>
      <c r="L540" s="29"/>
      <c r="M540" s="29"/>
      <c r="N540" s="29"/>
      <c r="O540" s="29"/>
      <c r="P540" s="29"/>
      <c r="Q540" s="34"/>
      <c r="R540" s="34"/>
      <c r="S540" s="29"/>
      <c r="T540" s="29"/>
      <c r="U540" s="29"/>
      <c r="V540" s="29"/>
      <c r="W540" s="29"/>
      <c r="X540" s="29"/>
      <c r="Y540" s="2"/>
      <c r="Z540" s="34"/>
      <c r="AA540" s="2"/>
      <c r="AB540" s="29"/>
      <c r="AC540" s="29"/>
      <c r="AD540" s="29"/>
      <c r="AE540" s="29"/>
      <c r="AF540" s="29"/>
      <c r="AG540" s="29"/>
      <c r="AH540" s="29"/>
      <c r="AI540" s="29"/>
      <c r="AJ540" s="34"/>
      <c r="AK540" s="34"/>
      <c r="AL540" s="29"/>
      <c r="AM540" s="29"/>
    </row>
    <row x14ac:dyDescent="0.25" r="541" customHeight="1" ht="15.75">
      <c r="A541" s="1"/>
      <c r="B541" s="34"/>
      <c r="C541" s="34"/>
      <c r="D541" s="34"/>
      <c r="E541" s="34"/>
      <c r="F541" s="34"/>
      <c r="G541" s="60"/>
      <c r="H541" s="60"/>
      <c r="I541" s="29"/>
      <c r="J541" s="29"/>
      <c r="K541" s="29"/>
      <c r="L541" s="29"/>
      <c r="M541" s="29"/>
      <c r="N541" s="29"/>
      <c r="O541" s="29"/>
      <c r="P541" s="29"/>
      <c r="Q541" s="34"/>
      <c r="R541" s="34"/>
      <c r="S541" s="29"/>
      <c r="T541" s="29"/>
      <c r="U541" s="29"/>
      <c r="V541" s="29"/>
      <c r="W541" s="29"/>
      <c r="X541" s="29"/>
      <c r="Y541" s="2"/>
      <c r="Z541" s="34"/>
      <c r="AA541" s="2"/>
      <c r="AB541" s="29"/>
      <c r="AC541" s="29"/>
      <c r="AD541" s="29"/>
      <c r="AE541" s="29"/>
      <c r="AF541" s="29"/>
      <c r="AG541" s="29"/>
      <c r="AH541" s="29"/>
      <c r="AI541" s="29"/>
      <c r="AJ541" s="34"/>
      <c r="AK541" s="34"/>
      <c r="AL541" s="29"/>
      <c r="AM541" s="29"/>
    </row>
    <row x14ac:dyDescent="0.25" r="542" customHeight="1" ht="15.75">
      <c r="A542" s="1"/>
      <c r="B542" s="34"/>
      <c r="C542" s="34"/>
      <c r="D542" s="34"/>
      <c r="E542" s="34"/>
      <c r="F542" s="34"/>
      <c r="G542" s="60"/>
      <c r="H542" s="60"/>
      <c r="I542" s="29"/>
      <c r="J542" s="29"/>
      <c r="K542" s="29"/>
      <c r="L542" s="29"/>
      <c r="M542" s="29"/>
      <c r="N542" s="29"/>
      <c r="O542" s="29"/>
      <c r="P542" s="29"/>
      <c r="Q542" s="34"/>
      <c r="R542" s="34"/>
      <c r="S542" s="29"/>
      <c r="T542" s="29"/>
      <c r="U542" s="29"/>
      <c r="V542" s="29"/>
      <c r="W542" s="29"/>
      <c r="X542" s="29"/>
      <c r="Y542" s="2"/>
      <c r="Z542" s="34"/>
      <c r="AA542" s="2"/>
      <c r="AB542" s="29"/>
      <c r="AC542" s="29"/>
      <c r="AD542" s="29"/>
      <c r="AE542" s="29"/>
      <c r="AF542" s="29"/>
      <c r="AG542" s="29"/>
      <c r="AH542" s="29"/>
      <c r="AI542" s="29"/>
      <c r="AJ542" s="34"/>
      <c r="AK542" s="34"/>
      <c r="AL542" s="29"/>
      <c r="AM542" s="29"/>
    </row>
    <row x14ac:dyDescent="0.25" r="543" customHeight="1" ht="15.75">
      <c r="A543" s="1"/>
      <c r="B543" s="34"/>
      <c r="C543" s="34"/>
      <c r="D543" s="34"/>
      <c r="E543" s="34"/>
      <c r="F543" s="34"/>
      <c r="G543" s="60"/>
      <c r="H543" s="60"/>
      <c r="I543" s="29"/>
      <c r="J543" s="29"/>
      <c r="K543" s="29"/>
      <c r="L543" s="29"/>
      <c r="M543" s="29"/>
      <c r="N543" s="29"/>
      <c r="O543" s="29"/>
      <c r="P543" s="29"/>
      <c r="Q543" s="34"/>
      <c r="R543" s="34"/>
      <c r="S543" s="29"/>
      <c r="T543" s="29"/>
      <c r="U543" s="29"/>
      <c r="V543" s="29"/>
      <c r="W543" s="29"/>
      <c r="X543" s="29"/>
      <c r="Y543" s="2"/>
      <c r="Z543" s="34"/>
      <c r="AA543" s="2"/>
      <c r="AB543" s="29"/>
      <c r="AC543" s="29"/>
      <c r="AD543" s="29"/>
      <c r="AE543" s="29"/>
      <c r="AF543" s="29"/>
      <c r="AG543" s="29"/>
      <c r="AH543" s="29"/>
      <c r="AI543" s="29"/>
      <c r="AJ543" s="34"/>
      <c r="AK543" s="34"/>
      <c r="AL543" s="29"/>
      <c r="AM543" s="29"/>
    </row>
    <row x14ac:dyDescent="0.25" r="544" customHeight="1" ht="15.75">
      <c r="A544" s="1"/>
      <c r="B544" s="34"/>
      <c r="C544" s="34"/>
      <c r="D544" s="34"/>
      <c r="E544" s="34"/>
      <c r="F544" s="34"/>
      <c r="G544" s="60"/>
      <c r="H544" s="60"/>
      <c r="I544" s="29"/>
      <c r="J544" s="29"/>
      <c r="K544" s="29"/>
      <c r="L544" s="29"/>
      <c r="M544" s="29"/>
      <c r="N544" s="29"/>
      <c r="O544" s="29"/>
      <c r="P544" s="29"/>
      <c r="Q544" s="34"/>
      <c r="R544" s="34"/>
      <c r="S544" s="29"/>
      <c r="T544" s="29"/>
      <c r="U544" s="29"/>
      <c r="V544" s="29"/>
      <c r="W544" s="29"/>
      <c r="X544" s="29"/>
      <c r="Y544" s="2"/>
      <c r="Z544" s="34"/>
      <c r="AA544" s="2"/>
      <c r="AB544" s="29"/>
      <c r="AC544" s="29"/>
      <c r="AD544" s="29"/>
      <c r="AE544" s="29"/>
      <c r="AF544" s="29"/>
      <c r="AG544" s="29"/>
      <c r="AH544" s="29"/>
      <c r="AI544" s="29"/>
      <c r="AJ544" s="34"/>
      <c r="AK544" s="34"/>
      <c r="AL544" s="29"/>
      <c r="AM544" s="29"/>
    </row>
    <row x14ac:dyDescent="0.25" r="545" customHeight="1" ht="15.75">
      <c r="A545" s="1"/>
      <c r="B545" s="34"/>
      <c r="C545" s="34"/>
      <c r="D545" s="34"/>
      <c r="E545" s="34"/>
      <c r="F545" s="34"/>
      <c r="G545" s="60"/>
      <c r="H545" s="60"/>
      <c r="I545" s="29"/>
      <c r="J545" s="29"/>
      <c r="K545" s="29"/>
      <c r="L545" s="29"/>
      <c r="M545" s="29"/>
      <c r="N545" s="29"/>
      <c r="O545" s="29"/>
      <c r="P545" s="29"/>
      <c r="Q545" s="34"/>
      <c r="R545" s="34"/>
      <c r="S545" s="29"/>
      <c r="T545" s="29"/>
      <c r="U545" s="29"/>
      <c r="V545" s="29"/>
      <c r="W545" s="29"/>
      <c r="X545" s="29"/>
      <c r="Y545" s="2"/>
      <c r="Z545" s="34"/>
      <c r="AA545" s="2"/>
      <c r="AB545" s="29"/>
      <c r="AC545" s="29"/>
      <c r="AD545" s="29"/>
      <c r="AE545" s="29"/>
      <c r="AF545" s="29"/>
      <c r="AG545" s="29"/>
      <c r="AH545" s="29"/>
      <c r="AI545" s="29"/>
      <c r="AJ545" s="34"/>
      <c r="AK545" s="34"/>
      <c r="AL545" s="29"/>
      <c r="AM545" s="29"/>
    </row>
    <row x14ac:dyDescent="0.25" r="546" customHeight="1" ht="15.75">
      <c r="A546" s="1"/>
      <c r="B546" s="34"/>
      <c r="C546" s="34"/>
      <c r="D546" s="34"/>
      <c r="E546" s="34"/>
      <c r="F546" s="34"/>
      <c r="G546" s="60"/>
      <c r="H546" s="60"/>
      <c r="I546" s="29"/>
      <c r="J546" s="29"/>
      <c r="K546" s="29"/>
      <c r="L546" s="29"/>
      <c r="M546" s="29"/>
      <c r="N546" s="29"/>
      <c r="O546" s="29"/>
      <c r="P546" s="29"/>
      <c r="Q546" s="34"/>
      <c r="R546" s="34"/>
      <c r="S546" s="29"/>
      <c r="T546" s="29"/>
      <c r="U546" s="29"/>
      <c r="V546" s="29"/>
      <c r="W546" s="29"/>
      <c r="X546" s="29"/>
      <c r="Y546" s="2"/>
      <c r="Z546" s="34"/>
      <c r="AA546" s="2"/>
      <c r="AB546" s="29"/>
      <c r="AC546" s="29"/>
      <c r="AD546" s="29"/>
      <c r="AE546" s="29"/>
      <c r="AF546" s="29"/>
      <c r="AG546" s="29"/>
      <c r="AH546" s="29"/>
      <c r="AI546" s="29"/>
      <c r="AJ546" s="34"/>
      <c r="AK546" s="34"/>
      <c r="AL546" s="29"/>
      <c r="AM546" s="29"/>
    </row>
    <row x14ac:dyDescent="0.25" r="547" customHeight="1" ht="15.75">
      <c r="A547" s="1"/>
      <c r="B547" s="34"/>
      <c r="C547" s="34"/>
      <c r="D547" s="34"/>
      <c r="E547" s="34"/>
      <c r="F547" s="34"/>
      <c r="G547" s="60"/>
      <c r="H547" s="60"/>
      <c r="I547" s="29"/>
      <c r="J547" s="29"/>
      <c r="K547" s="29"/>
      <c r="L547" s="29"/>
      <c r="M547" s="29"/>
      <c r="N547" s="29"/>
      <c r="O547" s="29"/>
      <c r="P547" s="29"/>
      <c r="Q547" s="34"/>
      <c r="R547" s="34"/>
      <c r="S547" s="29"/>
      <c r="T547" s="29"/>
      <c r="U547" s="29"/>
      <c r="V547" s="29"/>
      <c r="W547" s="29"/>
      <c r="X547" s="29"/>
      <c r="Y547" s="2"/>
      <c r="Z547" s="34"/>
      <c r="AA547" s="2"/>
      <c r="AB547" s="29"/>
      <c r="AC547" s="29"/>
      <c r="AD547" s="29"/>
      <c r="AE547" s="29"/>
      <c r="AF547" s="29"/>
      <c r="AG547" s="29"/>
      <c r="AH547" s="29"/>
      <c r="AI547" s="29"/>
      <c r="AJ547" s="34"/>
      <c r="AK547" s="34"/>
      <c r="AL547" s="29"/>
      <c r="AM547" s="29"/>
    </row>
    <row x14ac:dyDescent="0.25" r="548" customHeight="1" ht="15.75">
      <c r="A548" s="1"/>
      <c r="B548" s="34"/>
      <c r="C548" s="34"/>
      <c r="D548" s="34"/>
      <c r="E548" s="34"/>
      <c r="F548" s="34"/>
      <c r="G548" s="60"/>
      <c r="H548" s="60"/>
      <c r="I548" s="29"/>
      <c r="J548" s="29"/>
      <c r="K548" s="29"/>
      <c r="L548" s="29"/>
      <c r="M548" s="29"/>
      <c r="N548" s="29"/>
      <c r="O548" s="29"/>
      <c r="P548" s="29"/>
      <c r="Q548" s="34"/>
      <c r="R548" s="34"/>
      <c r="S548" s="29"/>
      <c r="T548" s="29"/>
      <c r="U548" s="29"/>
      <c r="V548" s="29"/>
      <c r="W548" s="29"/>
      <c r="X548" s="29"/>
      <c r="Y548" s="2"/>
      <c r="Z548" s="34"/>
      <c r="AA548" s="2"/>
      <c r="AB548" s="29"/>
      <c r="AC548" s="29"/>
      <c r="AD548" s="29"/>
      <c r="AE548" s="29"/>
      <c r="AF548" s="29"/>
      <c r="AG548" s="29"/>
      <c r="AH548" s="29"/>
      <c r="AI548" s="29"/>
      <c r="AJ548" s="34"/>
      <c r="AK548" s="34"/>
      <c r="AL548" s="29"/>
      <c r="AM548" s="29"/>
    </row>
    <row x14ac:dyDescent="0.25" r="549" customHeight="1" ht="15.75">
      <c r="A549" s="1"/>
      <c r="B549" s="34"/>
      <c r="C549" s="34"/>
      <c r="D549" s="34"/>
      <c r="E549" s="34"/>
      <c r="F549" s="34"/>
      <c r="G549" s="60"/>
      <c r="H549" s="60"/>
      <c r="I549" s="29"/>
      <c r="J549" s="29"/>
      <c r="K549" s="29"/>
      <c r="L549" s="29"/>
      <c r="M549" s="29"/>
      <c r="N549" s="29"/>
      <c r="O549" s="29"/>
      <c r="P549" s="29"/>
      <c r="Q549" s="34"/>
      <c r="R549" s="34"/>
      <c r="S549" s="29"/>
      <c r="T549" s="29"/>
      <c r="U549" s="29"/>
      <c r="V549" s="29"/>
      <c r="W549" s="29"/>
      <c r="X549" s="29"/>
      <c r="Y549" s="2"/>
      <c r="Z549" s="34"/>
      <c r="AA549" s="2"/>
      <c r="AB549" s="29"/>
      <c r="AC549" s="29"/>
      <c r="AD549" s="29"/>
      <c r="AE549" s="29"/>
      <c r="AF549" s="29"/>
      <c r="AG549" s="29"/>
      <c r="AH549" s="29"/>
      <c r="AI549" s="29"/>
      <c r="AJ549" s="34"/>
      <c r="AK549" s="34"/>
      <c r="AL549" s="29"/>
      <c r="AM549" s="29"/>
    </row>
    <row x14ac:dyDescent="0.25" r="550" customHeight="1" ht="15.75">
      <c r="A550" s="1"/>
      <c r="B550" s="34"/>
      <c r="C550" s="34"/>
      <c r="D550" s="34"/>
      <c r="E550" s="34"/>
      <c r="F550" s="34"/>
      <c r="G550" s="60"/>
      <c r="H550" s="60"/>
      <c r="I550" s="29"/>
      <c r="J550" s="29"/>
      <c r="K550" s="29"/>
      <c r="L550" s="29"/>
      <c r="M550" s="29"/>
      <c r="N550" s="29"/>
      <c r="O550" s="29"/>
      <c r="P550" s="29"/>
      <c r="Q550" s="34"/>
      <c r="R550" s="34"/>
      <c r="S550" s="29"/>
      <c r="T550" s="29"/>
      <c r="U550" s="29"/>
      <c r="V550" s="29"/>
      <c r="W550" s="29"/>
      <c r="X550" s="29"/>
      <c r="Y550" s="2"/>
      <c r="Z550" s="34"/>
      <c r="AA550" s="2"/>
      <c r="AB550" s="29"/>
      <c r="AC550" s="29"/>
      <c r="AD550" s="29"/>
      <c r="AE550" s="29"/>
      <c r="AF550" s="29"/>
      <c r="AG550" s="29"/>
      <c r="AH550" s="29"/>
      <c r="AI550" s="29"/>
      <c r="AJ550" s="34"/>
      <c r="AK550" s="34"/>
      <c r="AL550" s="29"/>
      <c r="AM550" s="29"/>
    </row>
    <row x14ac:dyDescent="0.25" r="551" customHeight="1" ht="15.75">
      <c r="A551" s="1"/>
      <c r="B551" s="34"/>
      <c r="C551" s="34"/>
      <c r="D551" s="34"/>
      <c r="E551" s="34"/>
      <c r="F551" s="34"/>
      <c r="G551" s="60"/>
      <c r="H551" s="60"/>
      <c r="I551" s="29"/>
      <c r="J551" s="29"/>
      <c r="K551" s="29"/>
      <c r="L551" s="29"/>
      <c r="M551" s="29"/>
      <c r="N551" s="29"/>
      <c r="O551" s="29"/>
      <c r="P551" s="29"/>
      <c r="Q551" s="34"/>
      <c r="R551" s="34"/>
      <c r="S551" s="29"/>
      <c r="T551" s="29"/>
      <c r="U551" s="29"/>
      <c r="V551" s="29"/>
      <c r="W551" s="29"/>
      <c r="X551" s="29"/>
      <c r="Y551" s="2"/>
      <c r="Z551" s="34"/>
      <c r="AA551" s="2"/>
      <c r="AB551" s="29"/>
      <c r="AC551" s="29"/>
      <c r="AD551" s="29"/>
      <c r="AE551" s="29"/>
      <c r="AF551" s="29"/>
      <c r="AG551" s="29"/>
      <c r="AH551" s="29"/>
      <c r="AI551" s="29"/>
      <c r="AJ551" s="34"/>
      <c r="AK551" s="34"/>
      <c r="AL551" s="29"/>
      <c r="AM551" s="29"/>
    </row>
    <row x14ac:dyDescent="0.25" r="552" customHeight="1" ht="15.75">
      <c r="A552" s="1"/>
      <c r="B552" s="34"/>
      <c r="C552" s="34"/>
      <c r="D552" s="34"/>
      <c r="E552" s="34"/>
      <c r="F552" s="34"/>
      <c r="G552" s="60"/>
      <c r="H552" s="60"/>
      <c r="I552" s="29"/>
      <c r="J552" s="29"/>
      <c r="K552" s="29"/>
      <c r="L552" s="29"/>
      <c r="M552" s="29"/>
      <c r="N552" s="29"/>
      <c r="O552" s="29"/>
      <c r="P552" s="29"/>
      <c r="Q552" s="34"/>
      <c r="R552" s="34"/>
      <c r="S552" s="29"/>
      <c r="T552" s="29"/>
      <c r="U552" s="29"/>
      <c r="V552" s="29"/>
      <c r="W552" s="29"/>
      <c r="X552" s="29"/>
      <c r="Y552" s="2"/>
      <c r="Z552" s="34"/>
      <c r="AA552" s="2"/>
      <c r="AB552" s="29"/>
      <c r="AC552" s="29"/>
      <c r="AD552" s="29"/>
      <c r="AE552" s="29"/>
      <c r="AF552" s="29"/>
      <c r="AG552" s="29"/>
      <c r="AH552" s="29"/>
      <c r="AI552" s="29"/>
      <c r="AJ552" s="34"/>
      <c r="AK552" s="34"/>
      <c r="AL552" s="29"/>
      <c r="AM552" s="29"/>
    </row>
    <row x14ac:dyDescent="0.25" r="553" customHeight="1" ht="15.75">
      <c r="A553" s="1"/>
      <c r="B553" s="34"/>
      <c r="C553" s="34"/>
      <c r="D553" s="34"/>
      <c r="E553" s="34"/>
      <c r="F553" s="34"/>
      <c r="G553" s="60"/>
      <c r="H553" s="60"/>
      <c r="I553" s="29"/>
      <c r="J553" s="29"/>
      <c r="K553" s="29"/>
      <c r="L553" s="29"/>
      <c r="M553" s="29"/>
      <c r="N553" s="29"/>
      <c r="O553" s="29"/>
      <c r="P553" s="29"/>
      <c r="Q553" s="34"/>
      <c r="R553" s="34"/>
      <c r="S553" s="29"/>
      <c r="T553" s="29"/>
      <c r="U553" s="29"/>
      <c r="V553" s="29"/>
      <c r="W553" s="29"/>
      <c r="X553" s="29"/>
      <c r="Y553" s="2"/>
      <c r="Z553" s="34"/>
      <c r="AA553" s="2"/>
      <c r="AB553" s="29"/>
      <c r="AC553" s="29"/>
      <c r="AD553" s="29"/>
      <c r="AE553" s="29"/>
      <c r="AF553" s="29"/>
      <c r="AG553" s="29"/>
      <c r="AH553" s="29"/>
      <c r="AI553" s="29"/>
      <c r="AJ553" s="34"/>
      <c r="AK553" s="34"/>
      <c r="AL553" s="29"/>
      <c r="AM553" s="29"/>
    </row>
    <row x14ac:dyDescent="0.25" r="554" customHeight="1" ht="15.75">
      <c r="A554" s="1"/>
      <c r="B554" s="34"/>
      <c r="C554" s="34"/>
      <c r="D554" s="34"/>
      <c r="E554" s="34"/>
      <c r="F554" s="34"/>
      <c r="G554" s="60"/>
      <c r="H554" s="60"/>
      <c r="I554" s="29"/>
      <c r="J554" s="29"/>
      <c r="K554" s="29"/>
      <c r="L554" s="29"/>
      <c r="M554" s="29"/>
      <c r="N554" s="29"/>
      <c r="O554" s="29"/>
      <c r="P554" s="29"/>
      <c r="Q554" s="34"/>
      <c r="R554" s="34"/>
      <c r="S554" s="29"/>
      <c r="T554" s="29"/>
      <c r="U554" s="29"/>
      <c r="V554" s="29"/>
      <c r="W554" s="29"/>
      <c r="X554" s="29"/>
      <c r="Y554" s="2"/>
      <c r="Z554" s="34"/>
      <c r="AA554" s="2"/>
      <c r="AB554" s="29"/>
      <c r="AC554" s="29"/>
      <c r="AD554" s="29"/>
      <c r="AE554" s="29"/>
      <c r="AF554" s="29"/>
      <c r="AG554" s="29"/>
      <c r="AH554" s="29"/>
      <c r="AI554" s="29"/>
      <c r="AJ554" s="34"/>
      <c r="AK554" s="34"/>
      <c r="AL554" s="29"/>
      <c r="AM554" s="29"/>
    </row>
    <row x14ac:dyDescent="0.25" r="555" customHeight="1" ht="15.75">
      <c r="A555" s="1"/>
      <c r="B555" s="34"/>
      <c r="C555" s="34"/>
      <c r="D555" s="34"/>
      <c r="E555" s="34"/>
      <c r="F555" s="34"/>
      <c r="G555" s="60"/>
      <c r="H555" s="60"/>
      <c r="I555" s="29"/>
      <c r="J555" s="29"/>
      <c r="K555" s="29"/>
      <c r="L555" s="29"/>
      <c r="M555" s="29"/>
      <c r="N555" s="29"/>
      <c r="O555" s="29"/>
      <c r="P555" s="29"/>
      <c r="Q555" s="34"/>
      <c r="R555" s="34"/>
      <c r="S555" s="29"/>
      <c r="T555" s="29"/>
      <c r="U555" s="29"/>
      <c r="V555" s="29"/>
      <c r="W555" s="29"/>
      <c r="X555" s="29"/>
      <c r="Y555" s="2"/>
      <c r="Z555" s="34"/>
      <c r="AA555" s="2"/>
      <c r="AB555" s="29"/>
      <c r="AC555" s="29"/>
      <c r="AD555" s="29"/>
      <c r="AE555" s="29"/>
      <c r="AF555" s="29"/>
      <c r="AG555" s="29"/>
      <c r="AH555" s="29"/>
      <c r="AI555" s="29"/>
      <c r="AJ555" s="34"/>
      <c r="AK555" s="34"/>
      <c r="AL555" s="29"/>
      <c r="AM555" s="29"/>
    </row>
    <row x14ac:dyDescent="0.25" r="556" customHeight="1" ht="15.75">
      <c r="A556" s="1"/>
      <c r="B556" s="34"/>
      <c r="C556" s="34"/>
      <c r="D556" s="34"/>
      <c r="E556" s="34"/>
      <c r="F556" s="34"/>
      <c r="G556" s="60"/>
      <c r="H556" s="60"/>
      <c r="I556" s="29"/>
      <c r="J556" s="29"/>
      <c r="K556" s="29"/>
      <c r="L556" s="29"/>
      <c r="M556" s="29"/>
      <c r="N556" s="29"/>
      <c r="O556" s="29"/>
      <c r="P556" s="29"/>
      <c r="Q556" s="34"/>
      <c r="R556" s="34"/>
      <c r="S556" s="29"/>
      <c r="T556" s="29"/>
      <c r="U556" s="29"/>
      <c r="V556" s="29"/>
      <c r="W556" s="29"/>
      <c r="X556" s="29"/>
      <c r="Y556" s="2"/>
      <c r="Z556" s="34"/>
      <c r="AA556" s="2"/>
      <c r="AB556" s="29"/>
      <c r="AC556" s="29"/>
      <c r="AD556" s="29"/>
      <c r="AE556" s="29"/>
      <c r="AF556" s="29"/>
      <c r="AG556" s="29"/>
      <c r="AH556" s="29"/>
      <c r="AI556" s="29"/>
      <c r="AJ556" s="34"/>
      <c r="AK556" s="34"/>
      <c r="AL556" s="29"/>
      <c r="AM556" s="29"/>
    </row>
    <row x14ac:dyDescent="0.25" r="557" customHeight="1" ht="15.75">
      <c r="A557" s="1"/>
      <c r="B557" s="34"/>
      <c r="C557" s="34"/>
      <c r="D557" s="34"/>
      <c r="E557" s="34"/>
      <c r="F557" s="34"/>
      <c r="G557" s="60"/>
      <c r="H557" s="60"/>
      <c r="I557" s="29"/>
      <c r="J557" s="29"/>
      <c r="K557" s="29"/>
      <c r="L557" s="29"/>
      <c r="M557" s="29"/>
      <c r="N557" s="29"/>
      <c r="O557" s="29"/>
      <c r="P557" s="29"/>
      <c r="Q557" s="34"/>
      <c r="R557" s="34"/>
      <c r="S557" s="29"/>
      <c r="T557" s="29"/>
      <c r="U557" s="29"/>
      <c r="V557" s="29"/>
      <c r="W557" s="29"/>
      <c r="X557" s="29"/>
      <c r="Y557" s="2"/>
      <c r="Z557" s="34"/>
      <c r="AA557" s="2"/>
      <c r="AB557" s="29"/>
      <c r="AC557" s="29"/>
      <c r="AD557" s="29"/>
      <c r="AE557" s="29"/>
      <c r="AF557" s="29"/>
      <c r="AG557" s="29"/>
      <c r="AH557" s="29"/>
      <c r="AI557" s="29"/>
      <c r="AJ557" s="34"/>
      <c r="AK557" s="34"/>
      <c r="AL557" s="29"/>
      <c r="AM557" s="29"/>
    </row>
    <row x14ac:dyDescent="0.25" r="558" customHeight="1" ht="15.75">
      <c r="A558" s="1"/>
      <c r="B558" s="34"/>
      <c r="C558" s="34"/>
      <c r="D558" s="34"/>
      <c r="E558" s="34"/>
      <c r="F558" s="34"/>
      <c r="G558" s="60"/>
      <c r="H558" s="60"/>
      <c r="I558" s="29"/>
      <c r="J558" s="29"/>
      <c r="K558" s="29"/>
      <c r="L558" s="29"/>
      <c r="M558" s="29"/>
      <c r="N558" s="29"/>
      <c r="O558" s="29"/>
      <c r="P558" s="29"/>
      <c r="Q558" s="34"/>
      <c r="R558" s="34"/>
      <c r="S558" s="29"/>
      <c r="T558" s="29"/>
      <c r="U558" s="29"/>
      <c r="V558" s="29"/>
      <c r="W558" s="29"/>
      <c r="X558" s="29"/>
      <c r="Y558" s="2"/>
      <c r="Z558" s="34"/>
      <c r="AA558" s="2"/>
      <c r="AB558" s="29"/>
      <c r="AC558" s="29"/>
      <c r="AD558" s="29"/>
      <c r="AE558" s="29"/>
      <c r="AF558" s="29"/>
      <c r="AG558" s="29"/>
      <c r="AH558" s="29"/>
      <c r="AI558" s="29"/>
      <c r="AJ558" s="34"/>
      <c r="AK558" s="34"/>
      <c r="AL558" s="29"/>
      <c r="AM558" s="29"/>
    </row>
    <row x14ac:dyDescent="0.25" r="559" customHeight="1" ht="15.75">
      <c r="A559" s="1"/>
      <c r="B559" s="34"/>
      <c r="C559" s="34"/>
      <c r="D559" s="34"/>
      <c r="E559" s="34"/>
      <c r="F559" s="34"/>
      <c r="G559" s="60"/>
      <c r="H559" s="60"/>
      <c r="I559" s="29"/>
      <c r="J559" s="29"/>
      <c r="K559" s="29"/>
      <c r="L559" s="29"/>
      <c r="M559" s="29"/>
      <c r="N559" s="29"/>
      <c r="O559" s="29"/>
      <c r="P559" s="29"/>
      <c r="Q559" s="34"/>
      <c r="R559" s="34"/>
      <c r="S559" s="29"/>
      <c r="T559" s="29"/>
      <c r="U559" s="29"/>
      <c r="V559" s="29"/>
      <c r="W559" s="29"/>
      <c r="X559" s="29"/>
      <c r="Y559" s="2"/>
      <c r="Z559" s="34"/>
      <c r="AA559" s="2"/>
      <c r="AB559" s="29"/>
      <c r="AC559" s="29"/>
      <c r="AD559" s="29"/>
      <c r="AE559" s="29"/>
      <c r="AF559" s="29"/>
      <c r="AG559" s="29"/>
      <c r="AH559" s="29"/>
      <c r="AI559" s="29"/>
      <c r="AJ559" s="34"/>
      <c r="AK559" s="34"/>
      <c r="AL559" s="29"/>
      <c r="AM559" s="29"/>
    </row>
    <row x14ac:dyDescent="0.25" r="560" customHeight="1" ht="15.75">
      <c r="A560" s="1"/>
      <c r="B560" s="34"/>
      <c r="C560" s="34"/>
      <c r="D560" s="34"/>
      <c r="E560" s="34"/>
      <c r="F560" s="34"/>
      <c r="G560" s="60"/>
      <c r="H560" s="60"/>
      <c r="I560" s="29"/>
      <c r="J560" s="29"/>
      <c r="K560" s="29"/>
      <c r="L560" s="29"/>
      <c r="M560" s="29"/>
      <c r="N560" s="29"/>
      <c r="O560" s="29"/>
      <c r="P560" s="29"/>
      <c r="Q560" s="34"/>
      <c r="R560" s="34"/>
      <c r="S560" s="29"/>
      <c r="T560" s="29"/>
      <c r="U560" s="29"/>
      <c r="V560" s="29"/>
      <c r="W560" s="29"/>
      <c r="X560" s="29"/>
      <c r="Y560" s="2"/>
      <c r="Z560" s="34"/>
      <c r="AA560" s="2"/>
      <c r="AB560" s="29"/>
      <c r="AC560" s="29"/>
      <c r="AD560" s="29"/>
      <c r="AE560" s="29"/>
      <c r="AF560" s="29"/>
      <c r="AG560" s="29"/>
      <c r="AH560" s="29"/>
      <c r="AI560" s="29"/>
      <c r="AJ560" s="34"/>
      <c r="AK560" s="34"/>
      <c r="AL560" s="29"/>
      <c r="AM560" s="29"/>
    </row>
    <row x14ac:dyDescent="0.25" r="561" customHeight="1" ht="15.75">
      <c r="A561" s="1"/>
      <c r="B561" s="34"/>
      <c r="C561" s="34"/>
      <c r="D561" s="34"/>
      <c r="E561" s="34"/>
      <c r="F561" s="34"/>
      <c r="G561" s="60"/>
      <c r="H561" s="60"/>
      <c r="I561" s="29"/>
      <c r="J561" s="29"/>
      <c r="K561" s="29"/>
      <c r="L561" s="29"/>
      <c r="M561" s="29"/>
      <c r="N561" s="29"/>
      <c r="O561" s="29"/>
      <c r="P561" s="29"/>
      <c r="Q561" s="34"/>
      <c r="R561" s="34"/>
      <c r="S561" s="29"/>
      <c r="T561" s="29"/>
      <c r="U561" s="29"/>
      <c r="V561" s="29"/>
      <c r="W561" s="29"/>
      <c r="X561" s="29"/>
      <c r="Y561" s="2"/>
      <c r="Z561" s="34"/>
      <c r="AA561" s="2"/>
      <c r="AB561" s="29"/>
      <c r="AC561" s="29"/>
      <c r="AD561" s="29"/>
      <c r="AE561" s="29"/>
      <c r="AF561" s="29"/>
      <c r="AG561" s="29"/>
      <c r="AH561" s="29"/>
      <c r="AI561" s="29"/>
      <c r="AJ561" s="34"/>
      <c r="AK561" s="34"/>
      <c r="AL561" s="29"/>
      <c r="AM561" s="29"/>
    </row>
    <row x14ac:dyDescent="0.25" r="562" customHeight="1" ht="15.75">
      <c r="A562" s="1"/>
      <c r="B562" s="34"/>
      <c r="C562" s="34"/>
      <c r="D562" s="34"/>
      <c r="E562" s="34"/>
      <c r="F562" s="34"/>
      <c r="G562" s="60"/>
      <c r="H562" s="60"/>
      <c r="I562" s="29"/>
      <c r="J562" s="29"/>
      <c r="K562" s="29"/>
      <c r="L562" s="29"/>
      <c r="M562" s="29"/>
      <c r="N562" s="29"/>
      <c r="O562" s="29"/>
      <c r="P562" s="29"/>
      <c r="Q562" s="34"/>
      <c r="R562" s="34"/>
      <c r="S562" s="29"/>
      <c r="T562" s="29"/>
      <c r="U562" s="29"/>
      <c r="V562" s="29"/>
      <c r="W562" s="29"/>
      <c r="X562" s="29"/>
      <c r="Y562" s="2"/>
      <c r="Z562" s="34"/>
      <c r="AA562" s="2"/>
      <c r="AB562" s="29"/>
      <c r="AC562" s="29"/>
      <c r="AD562" s="29"/>
      <c r="AE562" s="29"/>
      <c r="AF562" s="29"/>
      <c r="AG562" s="29"/>
      <c r="AH562" s="29"/>
      <c r="AI562" s="29"/>
      <c r="AJ562" s="34"/>
      <c r="AK562" s="34"/>
      <c r="AL562" s="29"/>
      <c r="AM562" s="29"/>
    </row>
    <row x14ac:dyDescent="0.25" r="563" customHeight="1" ht="15.75">
      <c r="A563" s="1"/>
      <c r="B563" s="34"/>
      <c r="C563" s="34"/>
      <c r="D563" s="34"/>
      <c r="E563" s="34"/>
      <c r="F563" s="34"/>
      <c r="G563" s="60"/>
      <c r="H563" s="60"/>
      <c r="I563" s="29"/>
      <c r="J563" s="29"/>
      <c r="K563" s="29"/>
      <c r="L563" s="29"/>
      <c r="M563" s="29"/>
      <c r="N563" s="29"/>
      <c r="O563" s="29"/>
      <c r="P563" s="29"/>
      <c r="Q563" s="34"/>
      <c r="R563" s="34"/>
      <c r="S563" s="29"/>
      <c r="T563" s="29"/>
      <c r="U563" s="29"/>
      <c r="V563" s="29"/>
      <c r="W563" s="29"/>
      <c r="X563" s="29"/>
      <c r="Y563" s="2"/>
      <c r="Z563" s="34"/>
      <c r="AA563" s="2"/>
      <c r="AB563" s="29"/>
      <c r="AC563" s="29"/>
      <c r="AD563" s="29"/>
      <c r="AE563" s="29"/>
      <c r="AF563" s="29"/>
      <c r="AG563" s="29"/>
      <c r="AH563" s="29"/>
      <c r="AI563" s="29"/>
      <c r="AJ563" s="34"/>
      <c r="AK563" s="34"/>
      <c r="AL563" s="29"/>
      <c r="AM563" s="29"/>
    </row>
    <row x14ac:dyDescent="0.25" r="564" customHeight="1" ht="15.75">
      <c r="A564" s="1"/>
      <c r="B564" s="34"/>
      <c r="C564" s="34"/>
      <c r="D564" s="34"/>
      <c r="E564" s="34"/>
      <c r="F564" s="34"/>
      <c r="G564" s="60"/>
      <c r="H564" s="60"/>
      <c r="I564" s="29"/>
      <c r="J564" s="29"/>
      <c r="K564" s="29"/>
      <c r="L564" s="29"/>
      <c r="M564" s="29"/>
      <c r="N564" s="29"/>
      <c r="O564" s="29"/>
      <c r="P564" s="29"/>
      <c r="Q564" s="34"/>
      <c r="R564" s="34"/>
      <c r="S564" s="29"/>
      <c r="T564" s="29"/>
      <c r="U564" s="29"/>
      <c r="V564" s="29"/>
      <c r="W564" s="29"/>
      <c r="X564" s="29"/>
      <c r="Y564" s="2"/>
      <c r="Z564" s="34"/>
      <c r="AA564" s="2"/>
      <c r="AB564" s="29"/>
      <c r="AC564" s="29"/>
      <c r="AD564" s="29"/>
      <c r="AE564" s="29"/>
      <c r="AF564" s="29"/>
      <c r="AG564" s="29"/>
      <c r="AH564" s="29"/>
      <c r="AI564" s="29"/>
      <c r="AJ564" s="34"/>
      <c r="AK564" s="34"/>
      <c r="AL564" s="29"/>
      <c r="AM564" s="29"/>
    </row>
    <row x14ac:dyDescent="0.25" r="565" customHeight="1" ht="15.75">
      <c r="A565" s="1"/>
      <c r="B565" s="34"/>
      <c r="C565" s="34"/>
      <c r="D565" s="34"/>
      <c r="E565" s="34"/>
      <c r="F565" s="34"/>
      <c r="G565" s="60"/>
      <c r="H565" s="60"/>
      <c r="I565" s="29"/>
      <c r="J565" s="29"/>
      <c r="K565" s="29"/>
      <c r="L565" s="29"/>
      <c r="M565" s="29"/>
      <c r="N565" s="29"/>
      <c r="O565" s="29"/>
      <c r="P565" s="29"/>
      <c r="Q565" s="34"/>
      <c r="R565" s="34"/>
      <c r="S565" s="29"/>
      <c r="T565" s="29"/>
      <c r="U565" s="29"/>
      <c r="V565" s="29"/>
      <c r="W565" s="29"/>
      <c r="X565" s="29"/>
      <c r="Y565" s="2"/>
      <c r="Z565" s="34"/>
      <c r="AA565" s="2"/>
      <c r="AB565" s="29"/>
      <c r="AC565" s="29"/>
      <c r="AD565" s="29"/>
      <c r="AE565" s="29"/>
      <c r="AF565" s="29"/>
      <c r="AG565" s="29"/>
      <c r="AH565" s="29"/>
      <c r="AI565" s="29"/>
      <c r="AJ565" s="34"/>
      <c r="AK565" s="34"/>
      <c r="AL565" s="29"/>
      <c r="AM565" s="29"/>
    </row>
    <row x14ac:dyDescent="0.25" r="566" customHeight="1" ht="15.75">
      <c r="A566" s="1"/>
      <c r="B566" s="34"/>
      <c r="C566" s="34"/>
      <c r="D566" s="34"/>
      <c r="E566" s="34"/>
      <c r="F566" s="34"/>
      <c r="G566" s="60"/>
      <c r="H566" s="60"/>
      <c r="I566" s="29"/>
      <c r="J566" s="29"/>
      <c r="K566" s="29"/>
      <c r="L566" s="29"/>
      <c r="M566" s="29"/>
      <c r="N566" s="29"/>
      <c r="O566" s="29"/>
      <c r="P566" s="29"/>
      <c r="Q566" s="34"/>
      <c r="R566" s="34"/>
      <c r="S566" s="29"/>
      <c r="T566" s="29"/>
      <c r="U566" s="29"/>
      <c r="V566" s="29"/>
      <c r="W566" s="29"/>
      <c r="X566" s="29"/>
      <c r="Y566" s="2"/>
      <c r="Z566" s="34"/>
      <c r="AA566" s="2"/>
      <c r="AB566" s="29"/>
      <c r="AC566" s="29"/>
      <c r="AD566" s="29"/>
      <c r="AE566" s="29"/>
      <c r="AF566" s="29"/>
      <c r="AG566" s="29"/>
      <c r="AH566" s="29"/>
      <c r="AI566" s="29"/>
      <c r="AJ566" s="34"/>
      <c r="AK566" s="34"/>
      <c r="AL566" s="29"/>
      <c r="AM566" s="29"/>
    </row>
    <row x14ac:dyDescent="0.25" r="567" customHeight="1" ht="15.75">
      <c r="A567" s="1"/>
      <c r="B567" s="34"/>
      <c r="C567" s="34"/>
      <c r="D567" s="34"/>
      <c r="E567" s="34"/>
      <c r="F567" s="34"/>
      <c r="G567" s="60"/>
      <c r="H567" s="60"/>
      <c r="I567" s="29"/>
      <c r="J567" s="29"/>
      <c r="K567" s="29"/>
      <c r="L567" s="29"/>
      <c r="M567" s="29"/>
      <c r="N567" s="29"/>
      <c r="O567" s="29"/>
      <c r="P567" s="29"/>
      <c r="Q567" s="34"/>
      <c r="R567" s="34"/>
      <c r="S567" s="29"/>
      <c r="T567" s="29"/>
      <c r="U567" s="29"/>
      <c r="V567" s="29"/>
      <c r="W567" s="29"/>
      <c r="X567" s="29"/>
      <c r="Y567" s="2"/>
      <c r="Z567" s="34"/>
      <c r="AA567" s="2"/>
      <c r="AB567" s="29"/>
      <c r="AC567" s="29"/>
      <c r="AD567" s="29"/>
      <c r="AE567" s="29"/>
      <c r="AF567" s="29"/>
      <c r="AG567" s="29"/>
      <c r="AH567" s="29"/>
      <c r="AI567" s="29"/>
      <c r="AJ567" s="34"/>
      <c r="AK567" s="34"/>
      <c r="AL567" s="29"/>
      <c r="AM567" s="29"/>
    </row>
    <row x14ac:dyDescent="0.25" r="568" customHeight="1" ht="15.75">
      <c r="A568" s="1"/>
      <c r="B568" s="34"/>
      <c r="C568" s="34"/>
      <c r="D568" s="34"/>
      <c r="E568" s="34"/>
      <c r="F568" s="34"/>
      <c r="G568" s="60"/>
      <c r="H568" s="60"/>
      <c r="I568" s="29"/>
      <c r="J568" s="29"/>
      <c r="K568" s="29"/>
      <c r="L568" s="29"/>
      <c r="M568" s="29"/>
      <c r="N568" s="29"/>
      <c r="O568" s="29"/>
      <c r="P568" s="29"/>
      <c r="Q568" s="34"/>
      <c r="R568" s="34"/>
      <c r="S568" s="29"/>
      <c r="T568" s="29"/>
      <c r="U568" s="29"/>
      <c r="V568" s="29"/>
      <c r="W568" s="29"/>
      <c r="X568" s="29"/>
      <c r="Y568" s="2"/>
      <c r="Z568" s="34"/>
      <c r="AA568" s="2"/>
      <c r="AB568" s="29"/>
      <c r="AC568" s="29"/>
      <c r="AD568" s="29"/>
      <c r="AE568" s="29"/>
      <c r="AF568" s="29"/>
      <c r="AG568" s="29"/>
      <c r="AH568" s="29"/>
      <c r="AI568" s="29"/>
      <c r="AJ568" s="34"/>
      <c r="AK568" s="34"/>
      <c r="AL568" s="29"/>
      <c r="AM568" s="29"/>
    </row>
    <row x14ac:dyDescent="0.25" r="569" customHeight="1" ht="15.75">
      <c r="A569" s="1"/>
      <c r="B569" s="34"/>
      <c r="C569" s="34"/>
      <c r="D569" s="34"/>
      <c r="E569" s="34"/>
      <c r="F569" s="34"/>
      <c r="G569" s="60"/>
      <c r="H569" s="60"/>
      <c r="I569" s="29"/>
      <c r="J569" s="29"/>
      <c r="K569" s="29"/>
      <c r="L569" s="29"/>
      <c r="M569" s="29"/>
      <c r="N569" s="29"/>
      <c r="O569" s="29"/>
      <c r="P569" s="29"/>
      <c r="Q569" s="34"/>
      <c r="R569" s="34"/>
      <c r="S569" s="29"/>
      <c r="T569" s="29"/>
      <c r="U569" s="29"/>
      <c r="V569" s="29"/>
      <c r="W569" s="29"/>
      <c r="X569" s="29"/>
      <c r="Y569" s="2"/>
      <c r="Z569" s="34"/>
      <c r="AA569" s="2"/>
      <c r="AB569" s="29"/>
      <c r="AC569" s="29"/>
      <c r="AD569" s="29"/>
      <c r="AE569" s="29"/>
      <c r="AF569" s="29"/>
      <c r="AG569" s="29"/>
      <c r="AH569" s="29"/>
      <c r="AI569" s="29"/>
      <c r="AJ569" s="34"/>
      <c r="AK569" s="34"/>
      <c r="AL569" s="29"/>
      <c r="AM569" s="29"/>
    </row>
    <row x14ac:dyDescent="0.25" r="570" customHeight="1" ht="15.75">
      <c r="A570" s="1"/>
      <c r="B570" s="34"/>
      <c r="C570" s="34"/>
      <c r="D570" s="34"/>
      <c r="E570" s="34"/>
      <c r="F570" s="34"/>
      <c r="G570" s="60"/>
      <c r="H570" s="60"/>
      <c r="I570" s="29"/>
      <c r="J570" s="29"/>
      <c r="K570" s="29"/>
      <c r="L570" s="29"/>
      <c r="M570" s="29"/>
      <c r="N570" s="29"/>
      <c r="O570" s="29"/>
      <c r="P570" s="29"/>
      <c r="Q570" s="34"/>
      <c r="R570" s="34"/>
      <c r="S570" s="29"/>
      <c r="T570" s="29"/>
      <c r="U570" s="29"/>
      <c r="V570" s="29"/>
      <c r="W570" s="29"/>
      <c r="X570" s="29"/>
      <c r="Y570" s="2"/>
      <c r="Z570" s="34"/>
      <c r="AA570" s="2"/>
      <c r="AB570" s="29"/>
      <c r="AC570" s="29"/>
      <c r="AD570" s="29"/>
      <c r="AE570" s="29"/>
      <c r="AF570" s="29"/>
      <c r="AG570" s="29"/>
      <c r="AH570" s="29"/>
      <c r="AI570" s="29"/>
      <c r="AJ570" s="34"/>
      <c r="AK570" s="34"/>
      <c r="AL570" s="29"/>
      <c r="AM570" s="29"/>
    </row>
    <row x14ac:dyDescent="0.25" r="571" customHeight="1" ht="15.75">
      <c r="A571" s="1"/>
      <c r="B571" s="34"/>
      <c r="C571" s="34"/>
      <c r="D571" s="34"/>
      <c r="E571" s="34"/>
      <c r="F571" s="34"/>
      <c r="G571" s="60"/>
      <c r="H571" s="60"/>
      <c r="I571" s="29"/>
      <c r="J571" s="29"/>
      <c r="K571" s="29"/>
      <c r="L571" s="29"/>
      <c r="M571" s="29"/>
      <c r="N571" s="29"/>
      <c r="O571" s="29"/>
      <c r="P571" s="29"/>
      <c r="Q571" s="34"/>
      <c r="R571" s="34"/>
      <c r="S571" s="29"/>
      <c r="T571" s="29"/>
      <c r="U571" s="29"/>
      <c r="V571" s="29"/>
      <c r="W571" s="29"/>
      <c r="X571" s="29"/>
      <c r="Y571" s="2"/>
      <c r="Z571" s="34"/>
      <c r="AA571" s="2"/>
      <c r="AB571" s="29"/>
      <c r="AC571" s="29"/>
      <c r="AD571" s="29"/>
      <c r="AE571" s="29"/>
      <c r="AF571" s="29"/>
      <c r="AG571" s="29"/>
      <c r="AH571" s="29"/>
      <c r="AI571" s="29"/>
      <c r="AJ571" s="34"/>
      <c r="AK571" s="34"/>
      <c r="AL571" s="29"/>
      <c r="AM571" s="29"/>
    </row>
    <row x14ac:dyDescent="0.25" r="572" customHeight="1" ht="15.75">
      <c r="A572" s="1"/>
      <c r="B572" s="34"/>
      <c r="C572" s="34"/>
      <c r="D572" s="34"/>
      <c r="E572" s="34"/>
      <c r="F572" s="34"/>
      <c r="G572" s="60"/>
      <c r="H572" s="60"/>
      <c r="I572" s="29"/>
      <c r="J572" s="29"/>
      <c r="K572" s="29"/>
      <c r="L572" s="29"/>
      <c r="M572" s="29"/>
      <c r="N572" s="29"/>
      <c r="O572" s="29"/>
      <c r="P572" s="29"/>
      <c r="Q572" s="34"/>
      <c r="R572" s="34"/>
      <c r="S572" s="29"/>
      <c r="T572" s="29"/>
      <c r="U572" s="29"/>
      <c r="V572" s="29"/>
      <c r="W572" s="29"/>
      <c r="X572" s="29"/>
      <c r="Y572" s="2"/>
      <c r="Z572" s="34"/>
      <c r="AA572" s="2"/>
      <c r="AB572" s="29"/>
      <c r="AC572" s="29"/>
      <c r="AD572" s="29"/>
      <c r="AE572" s="29"/>
      <c r="AF572" s="29"/>
      <c r="AG572" s="29"/>
      <c r="AH572" s="29"/>
      <c r="AI572" s="29"/>
      <c r="AJ572" s="34"/>
      <c r="AK572" s="34"/>
      <c r="AL572" s="29"/>
      <c r="AM572" s="29"/>
    </row>
    <row x14ac:dyDescent="0.25" r="573" customHeight="1" ht="15.75">
      <c r="A573" s="1"/>
      <c r="B573" s="34"/>
      <c r="C573" s="34"/>
      <c r="D573" s="34"/>
      <c r="E573" s="34"/>
      <c r="F573" s="34"/>
      <c r="G573" s="60"/>
      <c r="H573" s="60"/>
      <c r="I573" s="29"/>
      <c r="J573" s="29"/>
      <c r="K573" s="29"/>
      <c r="L573" s="29"/>
      <c r="M573" s="29"/>
      <c r="N573" s="29"/>
      <c r="O573" s="29"/>
      <c r="P573" s="29"/>
      <c r="Q573" s="34"/>
      <c r="R573" s="34"/>
      <c r="S573" s="29"/>
      <c r="T573" s="29"/>
      <c r="U573" s="29"/>
      <c r="V573" s="29"/>
      <c r="W573" s="29"/>
      <c r="X573" s="29"/>
      <c r="Y573" s="2"/>
      <c r="Z573" s="34"/>
      <c r="AA573" s="2"/>
      <c r="AB573" s="29"/>
      <c r="AC573" s="29"/>
      <c r="AD573" s="29"/>
      <c r="AE573" s="29"/>
      <c r="AF573" s="29"/>
      <c r="AG573" s="29"/>
      <c r="AH573" s="29"/>
      <c r="AI573" s="29"/>
      <c r="AJ573" s="34"/>
      <c r="AK573" s="34"/>
      <c r="AL573" s="29"/>
      <c r="AM573" s="29"/>
    </row>
    <row x14ac:dyDescent="0.25" r="574" customHeight="1" ht="15.75">
      <c r="A574" s="1"/>
      <c r="B574" s="34"/>
      <c r="C574" s="34"/>
      <c r="D574" s="34"/>
      <c r="E574" s="34"/>
      <c r="F574" s="34"/>
      <c r="G574" s="60"/>
      <c r="H574" s="60"/>
      <c r="I574" s="29"/>
      <c r="J574" s="29"/>
      <c r="K574" s="29"/>
      <c r="L574" s="29"/>
      <c r="M574" s="29"/>
      <c r="N574" s="29"/>
      <c r="O574" s="29"/>
      <c r="P574" s="29"/>
      <c r="Q574" s="34"/>
      <c r="R574" s="34"/>
      <c r="S574" s="29"/>
      <c r="T574" s="29"/>
      <c r="U574" s="29"/>
      <c r="V574" s="29"/>
      <c r="W574" s="29"/>
      <c r="X574" s="29"/>
      <c r="Y574" s="2"/>
      <c r="Z574" s="34"/>
      <c r="AA574" s="2"/>
      <c r="AB574" s="29"/>
      <c r="AC574" s="29"/>
      <c r="AD574" s="29"/>
      <c r="AE574" s="29"/>
      <c r="AF574" s="29"/>
      <c r="AG574" s="29"/>
      <c r="AH574" s="29"/>
      <c r="AI574" s="29"/>
      <c r="AJ574" s="34"/>
      <c r="AK574" s="34"/>
      <c r="AL574" s="29"/>
      <c r="AM574" s="29"/>
    </row>
    <row x14ac:dyDescent="0.25" r="575" customHeight="1" ht="15.75">
      <c r="A575" s="1"/>
      <c r="B575" s="34"/>
      <c r="C575" s="34"/>
      <c r="D575" s="34"/>
      <c r="E575" s="34"/>
      <c r="F575" s="34"/>
      <c r="G575" s="60"/>
      <c r="H575" s="60"/>
      <c r="I575" s="29"/>
      <c r="J575" s="29"/>
      <c r="K575" s="29"/>
      <c r="L575" s="29"/>
      <c r="M575" s="29"/>
      <c r="N575" s="29"/>
      <c r="O575" s="29"/>
      <c r="P575" s="29"/>
      <c r="Q575" s="34"/>
      <c r="R575" s="34"/>
      <c r="S575" s="29"/>
      <c r="T575" s="29"/>
      <c r="U575" s="29"/>
      <c r="V575" s="29"/>
      <c r="W575" s="29"/>
      <c r="X575" s="29"/>
      <c r="Y575" s="2"/>
      <c r="Z575" s="34"/>
      <c r="AA575" s="2"/>
      <c r="AB575" s="29"/>
      <c r="AC575" s="29"/>
      <c r="AD575" s="29"/>
      <c r="AE575" s="29"/>
      <c r="AF575" s="29"/>
      <c r="AG575" s="29"/>
      <c r="AH575" s="29"/>
      <c r="AI575" s="29"/>
      <c r="AJ575" s="34"/>
      <c r="AK575" s="34"/>
      <c r="AL575" s="29"/>
      <c r="AM575" s="29"/>
    </row>
    <row x14ac:dyDescent="0.25" r="576" customHeight="1" ht="15.75">
      <c r="A576" s="1"/>
      <c r="B576" s="34"/>
      <c r="C576" s="34"/>
      <c r="D576" s="34"/>
      <c r="E576" s="34"/>
      <c r="F576" s="34"/>
      <c r="G576" s="60"/>
      <c r="H576" s="60"/>
      <c r="I576" s="29"/>
      <c r="J576" s="29"/>
      <c r="K576" s="29"/>
      <c r="L576" s="29"/>
      <c r="M576" s="29"/>
      <c r="N576" s="29"/>
      <c r="O576" s="29"/>
      <c r="P576" s="29"/>
      <c r="Q576" s="34"/>
      <c r="R576" s="34"/>
      <c r="S576" s="29"/>
      <c r="T576" s="29"/>
      <c r="U576" s="29"/>
      <c r="V576" s="29"/>
      <c r="W576" s="29"/>
      <c r="X576" s="29"/>
      <c r="Y576" s="2"/>
      <c r="Z576" s="34"/>
      <c r="AA576" s="2"/>
      <c r="AB576" s="29"/>
      <c r="AC576" s="29"/>
      <c r="AD576" s="29"/>
      <c r="AE576" s="29"/>
      <c r="AF576" s="29"/>
      <c r="AG576" s="29"/>
      <c r="AH576" s="29"/>
      <c r="AI576" s="29"/>
      <c r="AJ576" s="34"/>
      <c r="AK576" s="34"/>
      <c r="AL576" s="29"/>
      <c r="AM576" s="29"/>
    </row>
    <row x14ac:dyDescent="0.25" r="577" customHeight="1" ht="15.75">
      <c r="A577" s="1"/>
      <c r="B577" s="34"/>
      <c r="C577" s="34"/>
      <c r="D577" s="34"/>
      <c r="E577" s="34"/>
      <c r="F577" s="34"/>
      <c r="G577" s="60"/>
      <c r="H577" s="60"/>
      <c r="I577" s="29"/>
      <c r="J577" s="29"/>
      <c r="K577" s="29"/>
      <c r="L577" s="29"/>
      <c r="M577" s="29"/>
      <c r="N577" s="29"/>
      <c r="O577" s="29"/>
      <c r="P577" s="29"/>
      <c r="Q577" s="34"/>
      <c r="R577" s="34"/>
      <c r="S577" s="29"/>
      <c r="T577" s="29"/>
      <c r="U577" s="29"/>
      <c r="V577" s="29"/>
      <c r="W577" s="29"/>
      <c r="X577" s="29"/>
      <c r="Y577" s="2"/>
      <c r="Z577" s="34"/>
      <c r="AA577" s="2"/>
      <c r="AB577" s="29"/>
      <c r="AC577" s="29"/>
      <c r="AD577" s="29"/>
      <c r="AE577" s="29"/>
      <c r="AF577" s="29"/>
      <c r="AG577" s="29"/>
      <c r="AH577" s="29"/>
      <c r="AI577" s="29"/>
      <c r="AJ577" s="34"/>
      <c r="AK577" s="34"/>
      <c r="AL577" s="29"/>
      <c r="AM577" s="29"/>
    </row>
    <row x14ac:dyDescent="0.25" r="578" customHeight="1" ht="15.75">
      <c r="A578" s="1"/>
      <c r="B578" s="34"/>
      <c r="C578" s="34"/>
      <c r="D578" s="34"/>
      <c r="E578" s="34"/>
      <c r="F578" s="34"/>
      <c r="G578" s="60"/>
      <c r="H578" s="60"/>
      <c r="I578" s="29"/>
      <c r="J578" s="29"/>
      <c r="K578" s="29"/>
      <c r="L578" s="29"/>
      <c r="M578" s="29"/>
      <c r="N578" s="29"/>
      <c r="O578" s="29"/>
      <c r="P578" s="29"/>
      <c r="Q578" s="34"/>
      <c r="R578" s="34"/>
      <c r="S578" s="29"/>
      <c r="T578" s="29"/>
      <c r="U578" s="29"/>
      <c r="V578" s="29"/>
      <c r="W578" s="29"/>
      <c r="X578" s="29"/>
      <c r="Y578" s="2"/>
      <c r="Z578" s="34"/>
      <c r="AA578" s="2"/>
      <c r="AB578" s="29"/>
      <c r="AC578" s="29"/>
      <c r="AD578" s="29"/>
      <c r="AE578" s="29"/>
      <c r="AF578" s="29"/>
      <c r="AG578" s="29"/>
      <c r="AH578" s="29"/>
      <c r="AI578" s="29"/>
      <c r="AJ578" s="34"/>
      <c r="AK578" s="34"/>
      <c r="AL578" s="29"/>
      <c r="AM578" s="29"/>
    </row>
    <row x14ac:dyDescent="0.25" r="579" customHeight="1" ht="15.75">
      <c r="A579" s="1"/>
      <c r="B579" s="34"/>
      <c r="C579" s="34"/>
      <c r="D579" s="34"/>
      <c r="E579" s="34"/>
      <c r="F579" s="34"/>
      <c r="G579" s="60"/>
      <c r="H579" s="60"/>
      <c r="I579" s="29"/>
      <c r="J579" s="29"/>
      <c r="K579" s="29"/>
      <c r="L579" s="29"/>
      <c r="M579" s="29"/>
      <c r="N579" s="29"/>
      <c r="O579" s="29"/>
      <c r="P579" s="29"/>
      <c r="Q579" s="34"/>
      <c r="R579" s="34"/>
      <c r="S579" s="29"/>
      <c r="T579" s="29"/>
      <c r="U579" s="29"/>
      <c r="V579" s="29"/>
      <c r="W579" s="29"/>
      <c r="X579" s="29"/>
      <c r="Y579" s="2"/>
      <c r="Z579" s="34"/>
      <c r="AA579" s="2"/>
      <c r="AB579" s="29"/>
      <c r="AC579" s="29"/>
      <c r="AD579" s="29"/>
      <c r="AE579" s="29"/>
      <c r="AF579" s="29"/>
      <c r="AG579" s="29"/>
      <c r="AH579" s="29"/>
      <c r="AI579" s="29"/>
      <c r="AJ579" s="34"/>
      <c r="AK579" s="34"/>
      <c r="AL579" s="29"/>
      <c r="AM579" s="29"/>
    </row>
    <row x14ac:dyDescent="0.25" r="580" customHeight="1" ht="15.75">
      <c r="A580" s="1"/>
      <c r="B580" s="34"/>
      <c r="C580" s="34"/>
      <c r="D580" s="34"/>
      <c r="E580" s="34"/>
      <c r="F580" s="34"/>
      <c r="G580" s="60"/>
      <c r="H580" s="60"/>
      <c r="I580" s="29"/>
      <c r="J580" s="29"/>
      <c r="K580" s="29"/>
      <c r="L580" s="29"/>
      <c r="M580" s="29"/>
      <c r="N580" s="29"/>
      <c r="O580" s="29"/>
      <c r="P580" s="29"/>
      <c r="Q580" s="34"/>
      <c r="R580" s="34"/>
      <c r="S580" s="29"/>
      <c r="T580" s="29"/>
      <c r="U580" s="29"/>
      <c r="V580" s="29"/>
      <c r="W580" s="29"/>
      <c r="X580" s="29"/>
      <c r="Y580" s="2"/>
      <c r="Z580" s="34"/>
      <c r="AA580" s="2"/>
      <c r="AB580" s="29"/>
      <c r="AC580" s="29"/>
      <c r="AD580" s="29"/>
      <c r="AE580" s="29"/>
      <c r="AF580" s="29"/>
      <c r="AG580" s="29"/>
      <c r="AH580" s="29"/>
      <c r="AI580" s="29"/>
      <c r="AJ580" s="34"/>
      <c r="AK580" s="34"/>
      <c r="AL580" s="29"/>
      <c r="AM580" s="29"/>
    </row>
    <row x14ac:dyDescent="0.25" r="581" customHeight="1" ht="15.75">
      <c r="A581" s="1"/>
      <c r="B581" s="34"/>
      <c r="C581" s="34"/>
      <c r="D581" s="34"/>
      <c r="E581" s="34"/>
      <c r="F581" s="34"/>
      <c r="G581" s="60"/>
      <c r="H581" s="60"/>
      <c r="I581" s="29"/>
      <c r="J581" s="29"/>
      <c r="K581" s="29"/>
      <c r="L581" s="29"/>
      <c r="M581" s="29"/>
      <c r="N581" s="29"/>
      <c r="O581" s="29"/>
      <c r="P581" s="29"/>
      <c r="Q581" s="34"/>
      <c r="R581" s="34"/>
      <c r="S581" s="29"/>
      <c r="T581" s="29"/>
      <c r="U581" s="29"/>
      <c r="V581" s="29"/>
      <c r="W581" s="29"/>
      <c r="X581" s="29"/>
      <c r="Y581" s="2"/>
      <c r="Z581" s="34"/>
      <c r="AA581" s="2"/>
      <c r="AB581" s="29"/>
      <c r="AC581" s="29"/>
      <c r="AD581" s="29"/>
      <c r="AE581" s="29"/>
      <c r="AF581" s="29"/>
      <c r="AG581" s="29"/>
      <c r="AH581" s="29"/>
      <c r="AI581" s="29"/>
      <c r="AJ581" s="34"/>
      <c r="AK581" s="34"/>
      <c r="AL581" s="29"/>
      <c r="AM581" s="29"/>
    </row>
    <row x14ac:dyDescent="0.25" r="582" customHeight="1" ht="15.75">
      <c r="A582" s="1"/>
      <c r="B582" s="34"/>
      <c r="C582" s="34"/>
      <c r="D582" s="34"/>
      <c r="E582" s="34"/>
      <c r="F582" s="34"/>
      <c r="G582" s="60"/>
      <c r="H582" s="60"/>
      <c r="I582" s="29"/>
      <c r="J582" s="29"/>
      <c r="K582" s="29"/>
      <c r="L582" s="29"/>
      <c r="M582" s="29"/>
      <c r="N582" s="29"/>
      <c r="O582" s="29"/>
      <c r="P582" s="29"/>
      <c r="Q582" s="34"/>
      <c r="R582" s="34"/>
      <c r="S582" s="29"/>
      <c r="T582" s="29"/>
      <c r="U582" s="29"/>
      <c r="V582" s="29"/>
      <c r="W582" s="29"/>
      <c r="X582" s="29"/>
      <c r="Y582" s="2"/>
      <c r="Z582" s="34"/>
      <c r="AA582" s="2"/>
      <c r="AB582" s="29"/>
      <c r="AC582" s="29"/>
      <c r="AD582" s="29"/>
      <c r="AE582" s="29"/>
      <c r="AF582" s="29"/>
      <c r="AG582" s="29"/>
      <c r="AH582" s="29"/>
      <c r="AI582" s="29"/>
      <c r="AJ582" s="34"/>
      <c r="AK582" s="34"/>
      <c r="AL582" s="29"/>
      <c r="AM582" s="29"/>
    </row>
    <row x14ac:dyDescent="0.25" r="583" customHeight="1" ht="15.75">
      <c r="A583" s="1"/>
      <c r="B583" s="34"/>
      <c r="C583" s="34"/>
      <c r="D583" s="34"/>
      <c r="E583" s="34"/>
      <c r="F583" s="34"/>
      <c r="G583" s="60"/>
      <c r="H583" s="60"/>
      <c r="I583" s="29"/>
      <c r="J583" s="29"/>
      <c r="K583" s="29"/>
      <c r="L583" s="29"/>
      <c r="M583" s="29"/>
      <c r="N583" s="29"/>
      <c r="O583" s="29"/>
      <c r="P583" s="29"/>
      <c r="Q583" s="34"/>
      <c r="R583" s="34"/>
      <c r="S583" s="29"/>
      <c r="T583" s="29"/>
      <c r="U583" s="29"/>
      <c r="V583" s="29"/>
      <c r="W583" s="29"/>
      <c r="X583" s="29"/>
      <c r="Y583" s="2"/>
      <c r="Z583" s="34"/>
      <c r="AA583" s="2"/>
      <c r="AB583" s="29"/>
      <c r="AC583" s="29"/>
      <c r="AD583" s="29"/>
      <c r="AE583" s="29"/>
      <c r="AF583" s="29"/>
      <c r="AG583" s="29"/>
      <c r="AH583" s="29"/>
      <c r="AI583" s="29"/>
      <c r="AJ583" s="34"/>
      <c r="AK583" s="34"/>
      <c r="AL583" s="29"/>
      <c r="AM583" s="29"/>
    </row>
    <row x14ac:dyDescent="0.25" r="584" customHeight="1" ht="15.75">
      <c r="A584" s="1"/>
      <c r="B584" s="34"/>
      <c r="C584" s="34"/>
      <c r="D584" s="34"/>
      <c r="E584" s="34"/>
      <c r="F584" s="34"/>
      <c r="G584" s="60"/>
      <c r="H584" s="60"/>
      <c r="I584" s="29"/>
      <c r="J584" s="29"/>
      <c r="K584" s="29"/>
      <c r="L584" s="29"/>
      <c r="M584" s="29"/>
      <c r="N584" s="29"/>
      <c r="O584" s="29"/>
      <c r="P584" s="29"/>
      <c r="Q584" s="34"/>
      <c r="R584" s="34"/>
      <c r="S584" s="29"/>
      <c r="T584" s="29"/>
      <c r="U584" s="29"/>
      <c r="V584" s="29"/>
      <c r="W584" s="29"/>
      <c r="X584" s="29"/>
      <c r="Y584" s="2"/>
      <c r="Z584" s="34"/>
      <c r="AA584" s="2"/>
      <c r="AB584" s="29"/>
      <c r="AC584" s="29"/>
      <c r="AD584" s="29"/>
      <c r="AE584" s="29"/>
      <c r="AF584" s="29"/>
      <c r="AG584" s="29"/>
      <c r="AH584" s="29"/>
      <c r="AI584" s="29"/>
      <c r="AJ584" s="34"/>
      <c r="AK584" s="34"/>
      <c r="AL584" s="29"/>
      <c r="AM584" s="29"/>
    </row>
    <row x14ac:dyDescent="0.25" r="585" customHeight="1" ht="15.75">
      <c r="A585" s="1"/>
      <c r="B585" s="34"/>
      <c r="C585" s="34"/>
      <c r="D585" s="34"/>
      <c r="E585" s="34"/>
      <c r="F585" s="34"/>
      <c r="G585" s="60"/>
      <c r="H585" s="60"/>
      <c r="I585" s="29"/>
      <c r="J585" s="29"/>
      <c r="K585" s="29"/>
      <c r="L585" s="29"/>
      <c r="M585" s="29"/>
      <c r="N585" s="29"/>
      <c r="O585" s="29"/>
      <c r="P585" s="29"/>
      <c r="Q585" s="34"/>
      <c r="R585" s="34"/>
      <c r="S585" s="29"/>
      <c r="T585" s="29"/>
      <c r="U585" s="29"/>
      <c r="V585" s="29"/>
      <c r="W585" s="29"/>
      <c r="X585" s="29"/>
      <c r="Y585" s="2"/>
      <c r="Z585" s="34"/>
      <c r="AA585" s="2"/>
      <c r="AB585" s="29"/>
      <c r="AC585" s="29"/>
      <c r="AD585" s="29"/>
      <c r="AE585" s="29"/>
      <c r="AF585" s="29"/>
      <c r="AG585" s="29"/>
      <c r="AH585" s="29"/>
      <c r="AI585" s="29"/>
      <c r="AJ585" s="34"/>
      <c r="AK585" s="34"/>
      <c r="AL585" s="29"/>
      <c r="AM585" s="29"/>
    </row>
    <row x14ac:dyDescent="0.25" r="586" customHeight="1" ht="15.75">
      <c r="A586" s="1"/>
      <c r="B586" s="34"/>
      <c r="C586" s="34"/>
      <c r="D586" s="34"/>
      <c r="E586" s="34"/>
      <c r="F586" s="34"/>
      <c r="G586" s="60"/>
      <c r="H586" s="60"/>
      <c r="I586" s="29"/>
      <c r="J586" s="29"/>
      <c r="K586" s="29"/>
      <c r="L586" s="29"/>
      <c r="M586" s="29"/>
      <c r="N586" s="29"/>
      <c r="O586" s="29"/>
      <c r="P586" s="29"/>
      <c r="Q586" s="34"/>
      <c r="R586" s="34"/>
      <c r="S586" s="29"/>
      <c r="T586" s="29"/>
      <c r="U586" s="29"/>
      <c r="V586" s="29"/>
      <c r="W586" s="29"/>
      <c r="X586" s="29"/>
      <c r="Y586" s="2"/>
      <c r="Z586" s="34"/>
      <c r="AA586" s="2"/>
      <c r="AB586" s="29"/>
      <c r="AC586" s="29"/>
      <c r="AD586" s="29"/>
      <c r="AE586" s="29"/>
      <c r="AF586" s="29"/>
      <c r="AG586" s="29"/>
      <c r="AH586" s="29"/>
      <c r="AI586" s="29"/>
      <c r="AJ586" s="34"/>
      <c r="AK586" s="34"/>
      <c r="AL586" s="29"/>
      <c r="AM586" s="29"/>
    </row>
    <row x14ac:dyDescent="0.25" r="587" customHeight="1" ht="15.75">
      <c r="A587" s="1"/>
      <c r="B587" s="34"/>
      <c r="C587" s="34"/>
      <c r="D587" s="34"/>
      <c r="E587" s="34"/>
      <c r="F587" s="34"/>
      <c r="G587" s="60"/>
      <c r="H587" s="60"/>
      <c r="I587" s="29"/>
      <c r="J587" s="29"/>
      <c r="K587" s="29"/>
      <c r="L587" s="29"/>
      <c r="M587" s="29"/>
      <c r="N587" s="29"/>
      <c r="O587" s="29"/>
      <c r="P587" s="29"/>
      <c r="Q587" s="34"/>
      <c r="R587" s="34"/>
      <c r="S587" s="29"/>
      <c r="T587" s="29"/>
      <c r="U587" s="29"/>
      <c r="V587" s="29"/>
      <c r="W587" s="29"/>
      <c r="X587" s="29"/>
      <c r="Y587" s="2"/>
      <c r="Z587" s="34"/>
      <c r="AA587" s="2"/>
      <c r="AB587" s="29"/>
      <c r="AC587" s="29"/>
      <c r="AD587" s="29"/>
      <c r="AE587" s="29"/>
      <c r="AF587" s="29"/>
      <c r="AG587" s="29"/>
      <c r="AH587" s="29"/>
      <c r="AI587" s="29"/>
      <c r="AJ587" s="34"/>
      <c r="AK587" s="34"/>
      <c r="AL587" s="29"/>
      <c r="AM587" s="29"/>
    </row>
    <row x14ac:dyDescent="0.25" r="588" customHeight="1" ht="15.75">
      <c r="A588" s="1"/>
      <c r="B588" s="34"/>
      <c r="C588" s="34"/>
      <c r="D588" s="34"/>
      <c r="E588" s="34"/>
      <c r="F588" s="34"/>
      <c r="G588" s="60"/>
      <c r="H588" s="60"/>
      <c r="I588" s="29"/>
      <c r="J588" s="29"/>
      <c r="K588" s="29"/>
      <c r="L588" s="29"/>
      <c r="M588" s="29"/>
      <c r="N588" s="29"/>
      <c r="O588" s="29"/>
      <c r="P588" s="29"/>
      <c r="Q588" s="34"/>
      <c r="R588" s="34"/>
      <c r="S588" s="29"/>
      <c r="T588" s="29"/>
      <c r="U588" s="29"/>
      <c r="V588" s="29"/>
      <c r="W588" s="29"/>
      <c r="X588" s="29"/>
      <c r="Y588" s="2"/>
      <c r="Z588" s="34"/>
      <c r="AA588" s="2"/>
      <c r="AB588" s="29"/>
      <c r="AC588" s="29"/>
      <c r="AD588" s="29"/>
      <c r="AE588" s="29"/>
      <c r="AF588" s="29"/>
      <c r="AG588" s="29"/>
      <c r="AH588" s="29"/>
      <c r="AI588" s="29"/>
      <c r="AJ588" s="34"/>
      <c r="AK588" s="34"/>
      <c r="AL588" s="29"/>
      <c r="AM588" s="29"/>
    </row>
    <row x14ac:dyDescent="0.25" r="589" customHeight="1" ht="15.75">
      <c r="A589" s="1"/>
      <c r="B589" s="34"/>
      <c r="C589" s="34"/>
      <c r="D589" s="34"/>
      <c r="E589" s="34"/>
      <c r="F589" s="34"/>
      <c r="G589" s="60"/>
      <c r="H589" s="60"/>
      <c r="I589" s="29"/>
      <c r="J589" s="29"/>
      <c r="K589" s="29"/>
      <c r="L589" s="29"/>
      <c r="M589" s="29"/>
      <c r="N589" s="29"/>
      <c r="O589" s="29"/>
      <c r="P589" s="29"/>
      <c r="Q589" s="34"/>
      <c r="R589" s="34"/>
      <c r="S589" s="29"/>
      <c r="T589" s="29"/>
      <c r="U589" s="29"/>
      <c r="V589" s="29"/>
      <c r="W589" s="29"/>
      <c r="X589" s="29"/>
      <c r="Y589" s="2"/>
      <c r="Z589" s="34"/>
      <c r="AA589" s="2"/>
      <c r="AB589" s="29"/>
      <c r="AC589" s="29"/>
      <c r="AD589" s="29"/>
      <c r="AE589" s="29"/>
      <c r="AF589" s="29"/>
      <c r="AG589" s="29"/>
      <c r="AH589" s="29"/>
      <c r="AI589" s="29"/>
      <c r="AJ589" s="34"/>
      <c r="AK589" s="34"/>
      <c r="AL589" s="29"/>
      <c r="AM589" s="29"/>
    </row>
    <row x14ac:dyDescent="0.25" r="590" customHeight="1" ht="15.75">
      <c r="A590" s="1"/>
      <c r="B590" s="34"/>
      <c r="C590" s="34"/>
      <c r="D590" s="34"/>
      <c r="E590" s="34"/>
      <c r="F590" s="34"/>
      <c r="G590" s="60"/>
      <c r="H590" s="60"/>
      <c r="I590" s="29"/>
      <c r="J590" s="29"/>
      <c r="K590" s="29"/>
      <c r="L590" s="29"/>
      <c r="M590" s="29"/>
      <c r="N590" s="29"/>
      <c r="O590" s="29"/>
      <c r="P590" s="29"/>
      <c r="Q590" s="34"/>
      <c r="R590" s="34"/>
      <c r="S590" s="29"/>
      <c r="T590" s="29"/>
      <c r="U590" s="29"/>
      <c r="V590" s="29"/>
      <c r="W590" s="29"/>
      <c r="X590" s="29"/>
      <c r="Y590" s="2"/>
      <c r="Z590" s="34"/>
      <c r="AA590" s="2"/>
      <c r="AB590" s="29"/>
      <c r="AC590" s="29"/>
      <c r="AD590" s="29"/>
      <c r="AE590" s="29"/>
      <c r="AF590" s="29"/>
      <c r="AG590" s="29"/>
      <c r="AH590" s="29"/>
      <c r="AI590" s="29"/>
      <c r="AJ590" s="34"/>
      <c r="AK590" s="34"/>
      <c r="AL590" s="29"/>
      <c r="AM590" s="29"/>
    </row>
    <row x14ac:dyDescent="0.25" r="591" customHeight="1" ht="15.75">
      <c r="A591" s="1"/>
      <c r="B591" s="34"/>
      <c r="C591" s="34"/>
      <c r="D591" s="34"/>
      <c r="E591" s="34"/>
      <c r="F591" s="34"/>
      <c r="G591" s="60"/>
      <c r="H591" s="60"/>
      <c r="I591" s="29"/>
      <c r="J591" s="29"/>
      <c r="K591" s="29"/>
      <c r="L591" s="29"/>
      <c r="M591" s="29"/>
      <c r="N591" s="29"/>
      <c r="O591" s="29"/>
      <c r="P591" s="29"/>
      <c r="Q591" s="34"/>
      <c r="R591" s="34"/>
      <c r="S591" s="29"/>
      <c r="T591" s="29"/>
      <c r="U591" s="29"/>
      <c r="V591" s="29"/>
      <c r="W591" s="29"/>
      <c r="X591" s="29"/>
      <c r="Y591" s="2"/>
      <c r="Z591" s="34"/>
      <c r="AA591" s="2"/>
      <c r="AB591" s="29"/>
      <c r="AC591" s="29"/>
      <c r="AD591" s="29"/>
      <c r="AE591" s="29"/>
      <c r="AF591" s="29"/>
      <c r="AG591" s="29"/>
      <c r="AH591" s="29"/>
      <c r="AI591" s="29"/>
      <c r="AJ591" s="34"/>
      <c r="AK591" s="34"/>
      <c r="AL591" s="29"/>
      <c r="AM591" s="29"/>
    </row>
    <row x14ac:dyDescent="0.25" r="592" customHeight="1" ht="15.75">
      <c r="A592" s="1"/>
      <c r="B592" s="34"/>
      <c r="C592" s="34"/>
      <c r="D592" s="34"/>
      <c r="E592" s="34"/>
      <c r="F592" s="34"/>
      <c r="G592" s="60"/>
      <c r="H592" s="60"/>
      <c r="I592" s="29"/>
      <c r="J592" s="29"/>
      <c r="K592" s="29"/>
      <c r="L592" s="29"/>
      <c r="M592" s="29"/>
      <c r="N592" s="29"/>
      <c r="O592" s="29"/>
      <c r="P592" s="29"/>
      <c r="Q592" s="34"/>
      <c r="R592" s="34"/>
      <c r="S592" s="29"/>
      <c r="T592" s="29"/>
      <c r="U592" s="29"/>
      <c r="V592" s="29"/>
      <c r="W592" s="29"/>
      <c r="X592" s="29"/>
      <c r="Y592" s="2"/>
      <c r="Z592" s="34"/>
      <c r="AA592" s="2"/>
      <c r="AB592" s="29"/>
      <c r="AC592" s="29"/>
      <c r="AD592" s="29"/>
      <c r="AE592" s="29"/>
      <c r="AF592" s="29"/>
      <c r="AG592" s="29"/>
      <c r="AH592" s="29"/>
      <c r="AI592" s="29"/>
      <c r="AJ592" s="34"/>
      <c r="AK592" s="34"/>
      <c r="AL592" s="29"/>
      <c r="AM592" s="29"/>
    </row>
    <row x14ac:dyDescent="0.25" r="593" customHeight="1" ht="15.75">
      <c r="A593" s="1"/>
      <c r="B593" s="34"/>
      <c r="C593" s="34"/>
      <c r="D593" s="34"/>
      <c r="E593" s="34"/>
      <c r="F593" s="34"/>
      <c r="G593" s="60"/>
      <c r="H593" s="60"/>
      <c r="I593" s="29"/>
      <c r="J593" s="29"/>
      <c r="K593" s="29"/>
      <c r="L593" s="29"/>
      <c r="M593" s="29"/>
      <c r="N593" s="29"/>
      <c r="O593" s="29"/>
      <c r="P593" s="29"/>
      <c r="Q593" s="34"/>
      <c r="R593" s="34"/>
      <c r="S593" s="29"/>
      <c r="T593" s="29"/>
      <c r="U593" s="29"/>
      <c r="V593" s="29"/>
      <c r="W593" s="29"/>
      <c r="X593" s="29"/>
      <c r="Y593" s="2"/>
      <c r="Z593" s="34"/>
      <c r="AA593" s="2"/>
      <c r="AB593" s="29"/>
      <c r="AC593" s="29"/>
      <c r="AD593" s="29"/>
      <c r="AE593" s="29"/>
      <c r="AF593" s="29"/>
      <c r="AG593" s="29"/>
      <c r="AH593" s="29"/>
      <c r="AI593" s="29"/>
      <c r="AJ593" s="34"/>
      <c r="AK593" s="34"/>
      <c r="AL593" s="29"/>
      <c r="AM593" s="29"/>
    </row>
    <row x14ac:dyDescent="0.25" r="594" customHeight="1" ht="15.75">
      <c r="A594" s="1"/>
      <c r="B594" s="34"/>
      <c r="C594" s="34"/>
      <c r="D594" s="34"/>
      <c r="E594" s="34"/>
      <c r="F594" s="34"/>
      <c r="G594" s="60"/>
      <c r="H594" s="60"/>
      <c r="I594" s="29"/>
      <c r="J594" s="29"/>
      <c r="K594" s="29"/>
      <c r="L594" s="29"/>
      <c r="M594" s="29"/>
      <c r="N594" s="29"/>
      <c r="O594" s="29"/>
      <c r="P594" s="29"/>
      <c r="Q594" s="34"/>
      <c r="R594" s="34"/>
      <c r="S594" s="29"/>
      <c r="T594" s="29"/>
      <c r="U594" s="29"/>
      <c r="V594" s="29"/>
      <c r="W594" s="29"/>
      <c r="X594" s="29"/>
      <c r="Y594" s="2"/>
      <c r="Z594" s="34"/>
      <c r="AA594" s="2"/>
      <c r="AB594" s="29"/>
      <c r="AC594" s="29"/>
      <c r="AD594" s="29"/>
      <c r="AE594" s="29"/>
      <c r="AF594" s="29"/>
      <c r="AG594" s="29"/>
      <c r="AH594" s="29"/>
      <c r="AI594" s="29"/>
      <c r="AJ594" s="34"/>
      <c r="AK594" s="34"/>
      <c r="AL594" s="29"/>
      <c r="AM594" s="29"/>
    </row>
    <row x14ac:dyDescent="0.25" r="595" customHeight="1" ht="15.75">
      <c r="A595" s="1"/>
      <c r="B595" s="34"/>
      <c r="C595" s="34"/>
      <c r="D595" s="34"/>
      <c r="E595" s="34"/>
      <c r="F595" s="34"/>
      <c r="G595" s="60"/>
      <c r="H595" s="60"/>
      <c r="I595" s="29"/>
      <c r="J595" s="29"/>
      <c r="K595" s="29"/>
      <c r="L595" s="29"/>
      <c r="M595" s="29"/>
      <c r="N595" s="29"/>
      <c r="O595" s="29"/>
      <c r="P595" s="29"/>
      <c r="Q595" s="34"/>
      <c r="R595" s="34"/>
      <c r="S595" s="29"/>
      <c r="T595" s="29"/>
      <c r="U595" s="29"/>
      <c r="V595" s="29"/>
      <c r="W595" s="29"/>
      <c r="X595" s="29"/>
      <c r="Y595" s="2"/>
      <c r="Z595" s="34"/>
      <c r="AA595" s="2"/>
      <c r="AB595" s="29"/>
      <c r="AC595" s="29"/>
      <c r="AD595" s="29"/>
      <c r="AE595" s="29"/>
      <c r="AF595" s="29"/>
      <c r="AG595" s="29"/>
      <c r="AH595" s="29"/>
      <c r="AI595" s="29"/>
      <c r="AJ595" s="34"/>
      <c r="AK595" s="34"/>
      <c r="AL595" s="29"/>
      <c r="AM595" s="29"/>
    </row>
    <row x14ac:dyDescent="0.25" r="596" customHeight="1" ht="15.75">
      <c r="A596" s="1"/>
      <c r="B596" s="34"/>
      <c r="C596" s="34"/>
      <c r="D596" s="34"/>
      <c r="E596" s="34"/>
      <c r="F596" s="34"/>
      <c r="G596" s="60"/>
      <c r="H596" s="60"/>
      <c r="I596" s="29"/>
      <c r="J596" s="29"/>
      <c r="K596" s="29"/>
      <c r="L596" s="29"/>
      <c r="M596" s="29"/>
      <c r="N596" s="29"/>
      <c r="O596" s="29"/>
      <c r="P596" s="29"/>
      <c r="Q596" s="34"/>
      <c r="R596" s="34"/>
      <c r="S596" s="29"/>
      <c r="T596" s="29"/>
      <c r="U596" s="29"/>
      <c r="V596" s="29"/>
      <c r="W596" s="29"/>
      <c r="X596" s="29"/>
      <c r="Y596" s="2"/>
      <c r="Z596" s="34"/>
      <c r="AA596" s="2"/>
      <c r="AB596" s="29"/>
      <c r="AC596" s="29"/>
      <c r="AD596" s="29"/>
      <c r="AE596" s="29"/>
      <c r="AF596" s="29"/>
      <c r="AG596" s="29"/>
      <c r="AH596" s="29"/>
      <c r="AI596" s="29"/>
      <c r="AJ596" s="34"/>
      <c r="AK596" s="34"/>
      <c r="AL596" s="29"/>
      <c r="AM596" s="29"/>
    </row>
    <row x14ac:dyDescent="0.25" r="597" customHeight="1" ht="15.75">
      <c r="A597" s="1"/>
      <c r="B597" s="34"/>
      <c r="C597" s="34"/>
      <c r="D597" s="34"/>
      <c r="E597" s="34"/>
      <c r="F597" s="34"/>
      <c r="G597" s="60"/>
      <c r="H597" s="60"/>
      <c r="I597" s="29"/>
      <c r="J597" s="29"/>
      <c r="K597" s="29"/>
      <c r="L597" s="29"/>
      <c r="M597" s="29"/>
      <c r="N597" s="29"/>
      <c r="O597" s="29"/>
      <c r="P597" s="29"/>
      <c r="Q597" s="34"/>
      <c r="R597" s="34"/>
      <c r="S597" s="29"/>
      <c r="T597" s="29"/>
      <c r="U597" s="29"/>
      <c r="V597" s="29"/>
      <c r="W597" s="29"/>
      <c r="X597" s="29"/>
      <c r="Y597" s="2"/>
      <c r="Z597" s="34"/>
      <c r="AA597" s="2"/>
      <c r="AB597" s="29"/>
      <c r="AC597" s="29"/>
      <c r="AD597" s="29"/>
      <c r="AE597" s="29"/>
      <c r="AF597" s="29"/>
      <c r="AG597" s="29"/>
      <c r="AH597" s="29"/>
      <c r="AI597" s="29"/>
      <c r="AJ597" s="34"/>
      <c r="AK597" s="34"/>
      <c r="AL597" s="29"/>
      <c r="AM597" s="29"/>
    </row>
    <row x14ac:dyDescent="0.25" r="598" customHeight="1" ht="15.75">
      <c r="A598" s="1"/>
      <c r="B598" s="34"/>
      <c r="C598" s="34"/>
      <c r="D598" s="34"/>
      <c r="E598" s="34"/>
      <c r="F598" s="34"/>
      <c r="G598" s="60"/>
      <c r="H598" s="60"/>
      <c r="I598" s="29"/>
      <c r="J598" s="29"/>
      <c r="K598" s="29"/>
      <c r="L598" s="29"/>
      <c r="M598" s="29"/>
      <c r="N598" s="29"/>
      <c r="O598" s="29"/>
      <c r="P598" s="29"/>
      <c r="Q598" s="34"/>
      <c r="R598" s="34"/>
      <c r="S598" s="29"/>
      <c r="T598" s="29"/>
      <c r="U598" s="29"/>
      <c r="V598" s="29"/>
      <c r="W598" s="29"/>
      <c r="X598" s="29"/>
      <c r="Y598" s="2"/>
      <c r="Z598" s="34"/>
      <c r="AA598" s="2"/>
      <c r="AB598" s="29"/>
      <c r="AC598" s="29"/>
      <c r="AD598" s="29"/>
      <c r="AE598" s="29"/>
      <c r="AF598" s="29"/>
      <c r="AG598" s="29"/>
      <c r="AH598" s="29"/>
      <c r="AI598" s="29"/>
      <c r="AJ598" s="34"/>
      <c r="AK598" s="34"/>
      <c r="AL598" s="29"/>
      <c r="AM598" s="29"/>
    </row>
    <row x14ac:dyDescent="0.25" r="599" customHeight="1" ht="15.75">
      <c r="A599" s="1"/>
      <c r="B599" s="34"/>
      <c r="C599" s="34"/>
      <c r="D599" s="34"/>
      <c r="E599" s="34"/>
      <c r="F599" s="34"/>
      <c r="G599" s="60"/>
      <c r="H599" s="60"/>
      <c r="I599" s="29"/>
      <c r="J599" s="29"/>
      <c r="K599" s="29"/>
      <c r="L599" s="29"/>
      <c r="M599" s="29"/>
      <c r="N599" s="29"/>
      <c r="O599" s="29"/>
      <c r="P599" s="29"/>
      <c r="Q599" s="34"/>
      <c r="R599" s="34"/>
      <c r="S599" s="29"/>
      <c r="T599" s="29"/>
      <c r="U599" s="29"/>
      <c r="V599" s="29"/>
      <c r="W599" s="29"/>
      <c r="X599" s="29"/>
      <c r="Y599" s="2"/>
      <c r="Z599" s="34"/>
      <c r="AA599" s="2"/>
      <c r="AB599" s="29"/>
      <c r="AC599" s="29"/>
      <c r="AD599" s="29"/>
      <c r="AE599" s="29"/>
      <c r="AF599" s="29"/>
      <c r="AG599" s="29"/>
      <c r="AH599" s="29"/>
      <c r="AI599" s="29"/>
      <c r="AJ599" s="34"/>
      <c r="AK599" s="34"/>
      <c r="AL599" s="29"/>
      <c r="AM599" s="29"/>
    </row>
    <row x14ac:dyDescent="0.25" r="600" customHeight="1" ht="15.75">
      <c r="A600" s="1"/>
      <c r="B600" s="34"/>
      <c r="C600" s="34"/>
      <c r="D600" s="34"/>
      <c r="E600" s="34"/>
      <c r="F600" s="34"/>
      <c r="G600" s="60"/>
      <c r="H600" s="60"/>
      <c r="I600" s="29"/>
      <c r="J600" s="29"/>
      <c r="K600" s="29"/>
      <c r="L600" s="29"/>
      <c r="M600" s="29"/>
      <c r="N600" s="29"/>
      <c r="O600" s="29"/>
      <c r="P600" s="29"/>
      <c r="Q600" s="34"/>
      <c r="R600" s="34"/>
      <c r="S600" s="29"/>
      <c r="T600" s="29"/>
      <c r="U600" s="29"/>
      <c r="V600" s="29"/>
      <c r="W600" s="29"/>
      <c r="X600" s="29"/>
      <c r="Y600" s="2"/>
      <c r="Z600" s="34"/>
      <c r="AA600" s="2"/>
      <c r="AB600" s="29"/>
      <c r="AC600" s="29"/>
      <c r="AD600" s="29"/>
      <c r="AE600" s="29"/>
      <c r="AF600" s="29"/>
      <c r="AG600" s="29"/>
      <c r="AH600" s="29"/>
      <c r="AI600" s="29"/>
      <c r="AJ600" s="34"/>
      <c r="AK600" s="34"/>
      <c r="AL600" s="29"/>
      <c r="AM600" s="29"/>
    </row>
    <row x14ac:dyDescent="0.25" r="601" customHeight="1" ht="15.75">
      <c r="A601" s="1"/>
      <c r="B601" s="34"/>
      <c r="C601" s="34"/>
      <c r="D601" s="34"/>
      <c r="E601" s="34"/>
      <c r="F601" s="34"/>
      <c r="G601" s="60"/>
      <c r="H601" s="60"/>
      <c r="I601" s="29"/>
      <c r="J601" s="29"/>
      <c r="K601" s="29"/>
      <c r="L601" s="29"/>
      <c r="M601" s="29"/>
      <c r="N601" s="29"/>
      <c r="O601" s="29"/>
      <c r="P601" s="29"/>
      <c r="Q601" s="34"/>
      <c r="R601" s="34"/>
      <c r="S601" s="29"/>
      <c r="T601" s="29"/>
      <c r="U601" s="29"/>
      <c r="V601" s="29"/>
      <c r="W601" s="29"/>
      <c r="X601" s="29"/>
      <c r="Y601" s="2"/>
      <c r="Z601" s="34"/>
      <c r="AA601" s="2"/>
      <c r="AB601" s="29"/>
      <c r="AC601" s="29"/>
      <c r="AD601" s="29"/>
      <c r="AE601" s="29"/>
      <c r="AF601" s="29"/>
      <c r="AG601" s="29"/>
      <c r="AH601" s="29"/>
      <c r="AI601" s="29"/>
      <c r="AJ601" s="34"/>
      <c r="AK601" s="34"/>
      <c r="AL601" s="29"/>
      <c r="AM601" s="29"/>
    </row>
    <row x14ac:dyDescent="0.25" r="602" customHeight="1" ht="15.75">
      <c r="A602" s="1"/>
      <c r="B602" s="34"/>
      <c r="C602" s="34"/>
      <c r="D602" s="34"/>
      <c r="E602" s="34"/>
      <c r="F602" s="34"/>
      <c r="G602" s="60"/>
      <c r="H602" s="60"/>
      <c r="I602" s="29"/>
      <c r="J602" s="29"/>
      <c r="K602" s="29"/>
      <c r="L602" s="29"/>
      <c r="M602" s="29"/>
      <c r="N602" s="29"/>
      <c r="O602" s="29"/>
      <c r="P602" s="29"/>
      <c r="Q602" s="34"/>
      <c r="R602" s="34"/>
      <c r="S602" s="29"/>
      <c r="T602" s="29"/>
      <c r="U602" s="29"/>
      <c r="V602" s="29"/>
      <c r="W602" s="29"/>
      <c r="X602" s="29"/>
      <c r="Y602" s="2"/>
      <c r="Z602" s="34"/>
      <c r="AA602" s="2"/>
      <c r="AB602" s="29"/>
      <c r="AC602" s="29"/>
      <c r="AD602" s="29"/>
      <c r="AE602" s="29"/>
      <c r="AF602" s="29"/>
      <c r="AG602" s="29"/>
      <c r="AH602" s="29"/>
      <c r="AI602" s="29"/>
      <c r="AJ602" s="34"/>
      <c r="AK602" s="34"/>
      <c r="AL602" s="29"/>
      <c r="AM602" s="29"/>
    </row>
    <row x14ac:dyDescent="0.25" r="603" customHeight="1" ht="15.75">
      <c r="A603" s="1"/>
      <c r="B603" s="34"/>
      <c r="C603" s="34"/>
      <c r="D603" s="34"/>
      <c r="E603" s="34"/>
      <c r="F603" s="34"/>
      <c r="G603" s="60"/>
      <c r="H603" s="60"/>
      <c r="I603" s="29"/>
      <c r="J603" s="29"/>
      <c r="K603" s="29"/>
      <c r="L603" s="29"/>
      <c r="M603" s="29"/>
      <c r="N603" s="29"/>
      <c r="O603" s="29"/>
      <c r="P603" s="29"/>
      <c r="Q603" s="34"/>
      <c r="R603" s="34"/>
      <c r="S603" s="29"/>
      <c r="T603" s="29"/>
      <c r="U603" s="29"/>
      <c r="V603" s="29"/>
      <c r="W603" s="29"/>
      <c r="X603" s="29"/>
      <c r="Y603" s="2"/>
      <c r="Z603" s="34"/>
      <c r="AA603" s="2"/>
      <c r="AB603" s="29"/>
      <c r="AC603" s="29"/>
      <c r="AD603" s="29"/>
      <c r="AE603" s="29"/>
      <c r="AF603" s="29"/>
      <c r="AG603" s="29"/>
      <c r="AH603" s="29"/>
      <c r="AI603" s="29"/>
      <c r="AJ603" s="34"/>
      <c r="AK603" s="34"/>
      <c r="AL603" s="29"/>
      <c r="AM603" s="29"/>
    </row>
    <row x14ac:dyDescent="0.25" r="604" customHeight="1" ht="15.75">
      <c r="A604" s="1"/>
      <c r="B604" s="34"/>
      <c r="C604" s="34"/>
      <c r="D604" s="34"/>
      <c r="E604" s="34"/>
      <c r="F604" s="34"/>
      <c r="G604" s="60"/>
      <c r="H604" s="60"/>
      <c r="I604" s="29"/>
      <c r="J604" s="29"/>
      <c r="K604" s="29"/>
      <c r="L604" s="29"/>
      <c r="M604" s="29"/>
      <c r="N604" s="29"/>
      <c r="O604" s="29"/>
      <c r="P604" s="29"/>
      <c r="Q604" s="34"/>
      <c r="R604" s="34"/>
      <c r="S604" s="29"/>
      <c r="T604" s="29"/>
      <c r="U604" s="29"/>
      <c r="V604" s="29"/>
      <c r="W604" s="29"/>
      <c r="X604" s="29"/>
      <c r="Y604" s="2"/>
      <c r="Z604" s="34"/>
      <c r="AA604" s="2"/>
      <c r="AB604" s="29"/>
      <c r="AC604" s="29"/>
      <c r="AD604" s="29"/>
      <c r="AE604" s="29"/>
      <c r="AF604" s="29"/>
      <c r="AG604" s="29"/>
      <c r="AH604" s="29"/>
      <c r="AI604" s="29"/>
      <c r="AJ604" s="34"/>
      <c r="AK604" s="34"/>
      <c r="AL604" s="29"/>
      <c r="AM604" s="29"/>
    </row>
    <row x14ac:dyDescent="0.25" r="605" customHeight="1" ht="15.75">
      <c r="A605" s="1"/>
      <c r="B605" s="34"/>
      <c r="C605" s="34"/>
      <c r="D605" s="34"/>
      <c r="E605" s="34"/>
      <c r="F605" s="34"/>
      <c r="G605" s="60"/>
      <c r="H605" s="60"/>
      <c r="I605" s="29"/>
      <c r="J605" s="29"/>
      <c r="K605" s="29"/>
      <c r="L605" s="29"/>
      <c r="M605" s="29"/>
      <c r="N605" s="29"/>
      <c r="O605" s="29"/>
      <c r="P605" s="29"/>
      <c r="Q605" s="34"/>
      <c r="R605" s="34"/>
      <c r="S605" s="29"/>
      <c r="T605" s="29"/>
      <c r="U605" s="29"/>
      <c r="V605" s="29"/>
      <c r="W605" s="29"/>
      <c r="X605" s="29"/>
      <c r="Y605" s="2"/>
      <c r="Z605" s="34"/>
      <c r="AA605" s="2"/>
      <c r="AB605" s="29"/>
      <c r="AC605" s="29"/>
      <c r="AD605" s="29"/>
      <c r="AE605" s="29"/>
      <c r="AF605" s="29"/>
      <c r="AG605" s="29"/>
      <c r="AH605" s="29"/>
      <c r="AI605" s="29"/>
      <c r="AJ605" s="34"/>
      <c r="AK605" s="34"/>
      <c r="AL605" s="29"/>
      <c r="AM605" s="29"/>
    </row>
    <row x14ac:dyDescent="0.25" r="606" customHeight="1" ht="15.75">
      <c r="A606" s="1"/>
      <c r="B606" s="34"/>
      <c r="C606" s="34"/>
      <c r="D606" s="34"/>
      <c r="E606" s="34"/>
      <c r="F606" s="34"/>
      <c r="G606" s="60"/>
      <c r="H606" s="60"/>
      <c r="I606" s="29"/>
      <c r="J606" s="29"/>
      <c r="K606" s="29"/>
      <c r="L606" s="29"/>
      <c r="M606" s="29"/>
      <c r="N606" s="29"/>
      <c r="O606" s="29"/>
      <c r="P606" s="29"/>
      <c r="Q606" s="34"/>
      <c r="R606" s="34"/>
      <c r="S606" s="29"/>
      <c r="T606" s="29"/>
      <c r="U606" s="29"/>
      <c r="V606" s="29"/>
      <c r="W606" s="29"/>
      <c r="X606" s="29"/>
      <c r="Y606" s="2"/>
      <c r="Z606" s="34"/>
      <c r="AA606" s="2"/>
      <c r="AB606" s="29"/>
      <c r="AC606" s="29"/>
      <c r="AD606" s="29"/>
      <c r="AE606" s="29"/>
      <c r="AF606" s="29"/>
      <c r="AG606" s="29"/>
      <c r="AH606" s="29"/>
      <c r="AI606" s="29"/>
      <c r="AJ606" s="34"/>
      <c r="AK606" s="34"/>
      <c r="AL606" s="29"/>
      <c r="AM606" s="29"/>
    </row>
    <row x14ac:dyDescent="0.25" r="607" customHeight="1" ht="15.75">
      <c r="A607" s="1"/>
      <c r="B607" s="34"/>
      <c r="C607" s="34"/>
      <c r="D607" s="34"/>
      <c r="E607" s="34"/>
      <c r="F607" s="34"/>
      <c r="G607" s="60"/>
      <c r="H607" s="60"/>
      <c r="I607" s="29"/>
      <c r="J607" s="29"/>
      <c r="K607" s="29"/>
      <c r="L607" s="29"/>
      <c r="M607" s="29"/>
      <c r="N607" s="29"/>
      <c r="O607" s="29"/>
      <c r="P607" s="29"/>
      <c r="Q607" s="34"/>
      <c r="R607" s="34"/>
      <c r="S607" s="29"/>
      <c r="T607" s="29"/>
      <c r="U607" s="29"/>
      <c r="V607" s="29"/>
      <c r="W607" s="29"/>
      <c r="X607" s="29"/>
      <c r="Y607" s="2"/>
      <c r="Z607" s="34"/>
      <c r="AA607" s="2"/>
      <c r="AB607" s="29"/>
      <c r="AC607" s="29"/>
      <c r="AD607" s="29"/>
      <c r="AE607" s="29"/>
      <c r="AF607" s="29"/>
      <c r="AG607" s="29"/>
      <c r="AH607" s="29"/>
      <c r="AI607" s="29"/>
      <c r="AJ607" s="34"/>
      <c r="AK607" s="34"/>
      <c r="AL607" s="29"/>
      <c r="AM607" s="29"/>
    </row>
    <row x14ac:dyDescent="0.25" r="608" customHeight="1" ht="15.75">
      <c r="A608" s="1"/>
      <c r="B608" s="34"/>
      <c r="C608" s="34"/>
      <c r="D608" s="34"/>
      <c r="E608" s="34"/>
      <c r="F608" s="34"/>
      <c r="G608" s="60"/>
      <c r="H608" s="60"/>
      <c r="I608" s="29"/>
      <c r="J608" s="29"/>
      <c r="K608" s="29"/>
      <c r="L608" s="29"/>
      <c r="M608" s="29"/>
      <c r="N608" s="29"/>
      <c r="O608" s="29"/>
      <c r="P608" s="29"/>
      <c r="Q608" s="34"/>
      <c r="R608" s="34"/>
      <c r="S608" s="29"/>
      <c r="T608" s="29"/>
      <c r="U608" s="29"/>
      <c r="V608" s="29"/>
      <c r="W608" s="29"/>
      <c r="X608" s="29"/>
      <c r="Y608" s="2"/>
      <c r="Z608" s="34"/>
      <c r="AA608" s="2"/>
      <c r="AB608" s="29"/>
      <c r="AC608" s="29"/>
      <c r="AD608" s="29"/>
      <c r="AE608" s="29"/>
      <c r="AF608" s="29"/>
      <c r="AG608" s="29"/>
      <c r="AH608" s="29"/>
      <c r="AI608" s="29"/>
      <c r="AJ608" s="34"/>
      <c r="AK608" s="34"/>
      <c r="AL608" s="29"/>
      <c r="AM608" s="29"/>
    </row>
    <row x14ac:dyDescent="0.25" r="609" customHeight="1" ht="15.75">
      <c r="A609" s="1"/>
      <c r="B609" s="34"/>
      <c r="C609" s="34"/>
      <c r="D609" s="34"/>
      <c r="E609" s="34"/>
      <c r="F609" s="34"/>
      <c r="G609" s="60"/>
      <c r="H609" s="60"/>
      <c r="I609" s="29"/>
      <c r="J609" s="29"/>
      <c r="K609" s="29"/>
      <c r="L609" s="29"/>
      <c r="M609" s="29"/>
      <c r="N609" s="29"/>
      <c r="O609" s="29"/>
      <c r="P609" s="29"/>
      <c r="Q609" s="34"/>
      <c r="R609" s="34"/>
      <c r="S609" s="29"/>
      <c r="T609" s="29"/>
      <c r="U609" s="29"/>
      <c r="V609" s="29"/>
      <c r="W609" s="29"/>
      <c r="X609" s="29"/>
      <c r="Y609" s="2"/>
      <c r="Z609" s="34"/>
      <c r="AA609" s="2"/>
      <c r="AB609" s="29"/>
      <c r="AC609" s="29"/>
      <c r="AD609" s="29"/>
      <c r="AE609" s="29"/>
      <c r="AF609" s="29"/>
      <c r="AG609" s="29"/>
      <c r="AH609" s="29"/>
      <c r="AI609" s="29"/>
      <c r="AJ609" s="34"/>
      <c r="AK609" s="34"/>
      <c r="AL609" s="29"/>
      <c r="AM609" s="29"/>
    </row>
    <row x14ac:dyDescent="0.25" r="610" customHeight="1" ht="15.75">
      <c r="A610" s="1"/>
      <c r="B610" s="34"/>
      <c r="C610" s="34"/>
      <c r="D610" s="34"/>
      <c r="E610" s="34"/>
      <c r="F610" s="34"/>
      <c r="G610" s="60"/>
      <c r="H610" s="60"/>
      <c r="I610" s="29"/>
      <c r="J610" s="29"/>
      <c r="K610" s="29"/>
      <c r="L610" s="29"/>
      <c r="M610" s="29"/>
      <c r="N610" s="29"/>
      <c r="O610" s="29"/>
      <c r="P610" s="29"/>
      <c r="Q610" s="34"/>
      <c r="R610" s="34"/>
      <c r="S610" s="29"/>
      <c r="T610" s="29"/>
      <c r="U610" s="29"/>
      <c r="V610" s="29"/>
      <c r="W610" s="29"/>
      <c r="X610" s="29"/>
      <c r="Y610" s="2"/>
      <c r="Z610" s="34"/>
      <c r="AA610" s="2"/>
      <c r="AB610" s="29"/>
      <c r="AC610" s="29"/>
      <c r="AD610" s="29"/>
      <c r="AE610" s="29"/>
      <c r="AF610" s="29"/>
      <c r="AG610" s="29"/>
      <c r="AH610" s="29"/>
      <c r="AI610" s="29"/>
      <c r="AJ610" s="34"/>
      <c r="AK610" s="34"/>
      <c r="AL610" s="29"/>
      <c r="AM610" s="29"/>
    </row>
    <row x14ac:dyDescent="0.25" r="611" customHeight="1" ht="15.75">
      <c r="A611" s="1"/>
      <c r="B611" s="34"/>
      <c r="C611" s="34"/>
      <c r="D611" s="34"/>
      <c r="E611" s="34"/>
      <c r="F611" s="34"/>
      <c r="G611" s="60"/>
      <c r="H611" s="60"/>
      <c r="I611" s="29"/>
      <c r="J611" s="29"/>
      <c r="K611" s="29"/>
      <c r="L611" s="29"/>
      <c r="M611" s="29"/>
      <c r="N611" s="29"/>
      <c r="O611" s="29"/>
      <c r="P611" s="29"/>
      <c r="Q611" s="34"/>
      <c r="R611" s="34"/>
      <c r="S611" s="29"/>
      <c r="T611" s="29"/>
      <c r="U611" s="29"/>
      <c r="V611" s="29"/>
      <c r="W611" s="29"/>
      <c r="X611" s="29"/>
      <c r="Y611" s="2"/>
      <c r="Z611" s="34"/>
      <c r="AA611" s="2"/>
      <c r="AB611" s="29"/>
      <c r="AC611" s="29"/>
      <c r="AD611" s="29"/>
      <c r="AE611" s="29"/>
      <c r="AF611" s="29"/>
      <c r="AG611" s="29"/>
      <c r="AH611" s="29"/>
      <c r="AI611" s="29"/>
      <c r="AJ611" s="34"/>
      <c r="AK611" s="34"/>
      <c r="AL611" s="29"/>
      <c r="AM611" s="29"/>
    </row>
    <row x14ac:dyDescent="0.25" r="612" customHeight="1" ht="15.75">
      <c r="A612" s="1"/>
      <c r="B612" s="34"/>
      <c r="C612" s="34"/>
      <c r="D612" s="34"/>
      <c r="E612" s="34"/>
      <c r="F612" s="34"/>
      <c r="G612" s="60"/>
      <c r="H612" s="60"/>
      <c r="I612" s="29"/>
      <c r="J612" s="29"/>
      <c r="K612" s="29"/>
      <c r="L612" s="29"/>
      <c r="M612" s="29"/>
      <c r="N612" s="29"/>
      <c r="O612" s="29"/>
      <c r="P612" s="29"/>
      <c r="Q612" s="34"/>
      <c r="R612" s="34"/>
      <c r="S612" s="29"/>
      <c r="T612" s="29"/>
      <c r="U612" s="29"/>
      <c r="V612" s="29"/>
      <c r="W612" s="29"/>
      <c r="X612" s="29"/>
      <c r="Y612" s="2"/>
      <c r="Z612" s="34"/>
      <c r="AA612" s="2"/>
      <c r="AB612" s="29"/>
      <c r="AC612" s="29"/>
      <c r="AD612" s="29"/>
      <c r="AE612" s="29"/>
      <c r="AF612" s="29"/>
      <c r="AG612" s="29"/>
      <c r="AH612" s="29"/>
      <c r="AI612" s="29"/>
      <c r="AJ612" s="34"/>
      <c r="AK612" s="34"/>
      <c r="AL612" s="29"/>
      <c r="AM612" s="29"/>
    </row>
    <row x14ac:dyDescent="0.25" r="613" customHeight="1" ht="15.75">
      <c r="A613" s="1"/>
      <c r="B613" s="34"/>
      <c r="C613" s="34"/>
      <c r="D613" s="34"/>
      <c r="E613" s="34"/>
      <c r="F613" s="34"/>
      <c r="G613" s="60"/>
      <c r="H613" s="60"/>
      <c r="I613" s="29"/>
      <c r="J613" s="29"/>
      <c r="K613" s="29"/>
      <c r="L613" s="29"/>
      <c r="M613" s="29"/>
      <c r="N613" s="29"/>
      <c r="O613" s="29"/>
      <c r="P613" s="29"/>
      <c r="Q613" s="34"/>
      <c r="R613" s="34"/>
      <c r="S613" s="29"/>
      <c r="T613" s="29"/>
      <c r="U613" s="29"/>
      <c r="V613" s="29"/>
      <c r="W613" s="29"/>
      <c r="X613" s="29"/>
      <c r="Y613" s="2"/>
      <c r="Z613" s="34"/>
      <c r="AA613" s="2"/>
      <c r="AB613" s="29"/>
      <c r="AC613" s="29"/>
      <c r="AD613" s="29"/>
      <c r="AE613" s="29"/>
      <c r="AF613" s="29"/>
      <c r="AG613" s="29"/>
      <c r="AH613" s="29"/>
      <c r="AI613" s="29"/>
      <c r="AJ613" s="34"/>
      <c r="AK613" s="34"/>
      <c r="AL613" s="29"/>
      <c r="AM613" s="29"/>
    </row>
    <row x14ac:dyDescent="0.25" r="614" customHeight="1" ht="15.75">
      <c r="A614" s="1"/>
      <c r="B614" s="34"/>
      <c r="C614" s="34"/>
      <c r="D614" s="34"/>
      <c r="E614" s="34"/>
      <c r="F614" s="34"/>
      <c r="G614" s="60"/>
      <c r="H614" s="60"/>
      <c r="I614" s="29"/>
      <c r="J614" s="29"/>
      <c r="K614" s="29"/>
      <c r="L614" s="29"/>
      <c r="M614" s="29"/>
      <c r="N614" s="29"/>
      <c r="O614" s="29"/>
      <c r="P614" s="29"/>
      <c r="Q614" s="34"/>
      <c r="R614" s="34"/>
      <c r="S614" s="29"/>
      <c r="T614" s="29"/>
      <c r="U614" s="29"/>
      <c r="V614" s="29"/>
      <c r="W614" s="29"/>
      <c r="X614" s="29"/>
      <c r="Y614" s="2"/>
      <c r="Z614" s="34"/>
      <c r="AA614" s="2"/>
      <c r="AB614" s="29"/>
      <c r="AC614" s="29"/>
      <c r="AD614" s="29"/>
      <c r="AE614" s="29"/>
      <c r="AF614" s="29"/>
      <c r="AG614" s="29"/>
      <c r="AH614" s="29"/>
      <c r="AI614" s="29"/>
      <c r="AJ614" s="34"/>
      <c r="AK614" s="34"/>
      <c r="AL614" s="29"/>
      <c r="AM614" s="29"/>
    </row>
    <row x14ac:dyDescent="0.25" r="615" customHeight="1" ht="15.75">
      <c r="A615" s="1"/>
      <c r="B615" s="34"/>
      <c r="C615" s="34"/>
      <c r="D615" s="34"/>
      <c r="E615" s="34"/>
      <c r="F615" s="34"/>
      <c r="G615" s="60"/>
      <c r="H615" s="60"/>
      <c r="I615" s="29"/>
      <c r="J615" s="29"/>
      <c r="K615" s="29"/>
      <c r="L615" s="29"/>
      <c r="M615" s="29"/>
      <c r="N615" s="29"/>
      <c r="O615" s="29"/>
      <c r="P615" s="29"/>
      <c r="Q615" s="34"/>
      <c r="R615" s="34"/>
      <c r="S615" s="29"/>
      <c r="T615" s="29"/>
      <c r="U615" s="29"/>
      <c r="V615" s="29"/>
      <c r="W615" s="29"/>
      <c r="X615" s="29"/>
      <c r="Y615" s="2"/>
      <c r="Z615" s="34"/>
      <c r="AA615" s="2"/>
      <c r="AB615" s="29"/>
      <c r="AC615" s="29"/>
      <c r="AD615" s="29"/>
      <c r="AE615" s="29"/>
      <c r="AF615" s="29"/>
      <c r="AG615" s="29"/>
      <c r="AH615" s="29"/>
      <c r="AI615" s="29"/>
      <c r="AJ615" s="34"/>
      <c r="AK615" s="34"/>
      <c r="AL615" s="29"/>
      <c r="AM615" s="29"/>
    </row>
    <row x14ac:dyDescent="0.25" r="616" customHeight="1" ht="15.75">
      <c r="A616" s="1"/>
      <c r="B616" s="34"/>
      <c r="C616" s="34"/>
      <c r="D616" s="34"/>
      <c r="E616" s="34"/>
      <c r="F616" s="34"/>
      <c r="G616" s="60"/>
      <c r="H616" s="60"/>
      <c r="I616" s="29"/>
      <c r="J616" s="29"/>
      <c r="K616" s="29"/>
      <c r="L616" s="29"/>
      <c r="M616" s="29"/>
      <c r="N616" s="29"/>
      <c r="O616" s="29"/>
      <c r="P616" s="29"/>
      <c r="Q616" s="34"/>
      <c r="R616" s="34"/>
      <c r="S616" s="29"/>
      <c r="T616" s="29"/>
      <c r="U616" s="29"/>
      <c r="V616" s="29"/>
      <c r="W616" s="29"/>
      <c r="X616" s="29"/>
      <c r="Y616" s="2"/>
      <c r="Z616" s="34"/>
      <c r="AA616" s="2"/>
      <c r="AB616" s="29"/>
      <c r="AC616" s="29"/>
      <c r="AD616" s="29"/>
      <c r="AE616" s="29"/>
      <c r="AF616" s="29"/>
      <c r="AG616" s="29"/>
      <c r="AH616" s="29"/>
      <c r="AI616" s="29"/>
      <c r="AJ616" s="34"/>
      <c r="AK616" s="34"/>
      <c r="AL616" s="29"/>
      <c r="AM616" s="29"/>
    </row>
    <row x14ac:dyDescent="0.25" r="617" customHeight="1" ht="15.75">
      <c r="A617" s="1"/>
      <c r="B617" s="34"/>
      <c r="C617" s="34"/>
      <c r="D617" s="34"/>
      <c r="E617" s="34"/>
      <c r="F617" s="34"/>
      <c r="G617" s="60"/>
      <c r="H617" s="60"/>
      <c r="I617" s="29"/>
      <c r="J617" s="29"/>
      <c r="K617" s="29"/>
      <c r="L617" s="29"/>
      <c r="M617" s="29"/>
      <c r="N617" s="29"/>
      <c r="O617" s="29"/>
      <c r="P617" s="29"/>
      <c r="Q617" s="34"/>
      <c r="R617" s="34"/>
      <c r="S617" s="29"/>
      <c r="T617" s="29"/>
      <c r="U617" s="29"/>
      <c r="V617" s="29"/>
      <c r="W617" s="29"/>
      <c r="X617" s="29"/>
      <c r="Y617" s="2"/>
      <c r="Z617" s="34"/>
      <c r="AA617" s="2"/>
      <c r="AB617" s="29"/>
      <c r="AC617" s="29"/>
      <c r="AD617" s="29"/>
      <c r="AE617" s="29"/>
      <c r="AF617" s="29"/>
      <c r="AG617" s="29"/>
      <c r="AH617" s="29"/>
      <c r="AI617" s="29"/>
      <c r="AJ617" s="34"/>
      <c r="AK617" s="34"/>
      <c r="AL617" s="29"/>
      <c r="AM617" s="29"/>
    </row>
    <row x14ac:dyDescent="0.25" r="618" customHeight="1" ht="15.75">
      <c r="A618" s="1"/>
      <c r="B618" s="34"/>
      <c r="C618" s="34"/>
      <c r="D618" s="34"/>
      <c r="E618" s="34"/>
      <c r="F618" s="34"/>
      <c r="G618" s="60"/>
      <c r="H618" s="60"/>
      <c r="I618" s="29"/>
      <c r="J618" s="29"/>
      <c r="K618" s="29"/>
      <c r="L618" s="29"/>
      <c r="M618" s="29"/>
      <c r="N618" s="29"/>
      <c r="O618" s="29"/>
      <c r="P618" s="29"/>
      <c r="Q618" s="34"/>
      <c r="R618" s="34"/>
      <c r="S618" s="29"/>
      <c r="T618" s="29"/>
      <c r="U618" s="29"/>
      <c r="V618" s="29"/>
      <c r="W618" s="29"/>
      <c r="X618" s="29"/>
      <c r="Y618" s="2"/>
      <c r="Z618" s="34"/>
      <c r="AA618" s="2"/>
      <c r="AB618" s="29"/>
      <c r="AC618" s="29"/>
      <c r="AD618" s="29"/>
      <c r="AE618" s="29"/>
      <c r="AF618" s="29"/>
      <c r="AG618" s="29"/>
      <c r="AH618" s="29"/>
      <c r="AI618" s="29"/>
      <c r="AJ618" s="34"/>
      <c r="AK618" s="34"/>
      <c r="AL618" s="29"/>
      <c r="AM618" s="29"/>
    </row>
    <row x14ac:dyDescent="0.25" r="619" customHeight="1" ht="15.75">
      <c r="A619" s="1"/>
      <c r="B619" s="34"/>
      <c r="C619" s="34"/>
      <c r="D619" s="34"/>
      <c r="E619" s="34"/>
      <c r="F619" s="34"/>
      <c r="G619" s="60"/>
      <c r="H619" s="60"/>
      <c r="I619" s="29"/>
      <c r="J619" s="29"/>
      <c r="K619" s="29"/>
      <c r="L619" s="29"/>
      <c r="M619" s="29"/>
      <c r="N619" s="29"/>
      <c r="O619" s="29"/>
      <c r="P619" s="29"/>
      <c r="Q619" s="34"/>
      <c r="R619" s="34"/>
      <c r="S619" s="29"/>
      <c r="T619" s="29"/>
      <c r="U619" s="29"/>
      <c r="V619" s="29"/>
      <c r="W619" s="29"/>
      <c r="X619" s="29"/>
      <c r="Y619" s="2"/>
      <c r="Z619" s="34"/>
      <c r="AA619" s="2"/>
      <c r="AB619" s="29"/>
      <c r="AC619" s="29"/>
      <c r="AD619" s="29"/>
      <c r="AE619" s="29"/>
      <c r="AF619" s="29"/>
      <c r="AG619" s="29"/>
      <c r="AH619" s="29"/>
      <c r="AI619" s="29"/>
      <c r="AJ619" s="34"/>
      <c r="AK619" s="34"/>
      <c r="AL619" s="29"/>
      <c r="AM619" s="29"/>
    </row>
    <row x14ac:dyDescent="0.25" r="620" customHeight="1" ht="15.75">
      <c r="A620" s="1"/>
      <c r="B620" s="34"/>
      <c r="C620" s="34"/>
      <c r="D620" s="34"/>
      <c r="E620" s="34"/>
      <c r="F620" s="34"/>
      <c r="G620" s="60"/>
      <c r="H620" s="60"/>
      <c r="I620" s="29"/>
      <c r="J620" s="29"/>
      <c r="K620" s="29"/>
      <c r="L620" s="29"/>
      <c r="M620" s="29"/>
      <c r="N620" s="29"/>
      <c r="O620" s="29"/>
      <c r="P620" s="29"/>
      <c r="Q620" s="34"/>
      <c r="R620" s="34"/>
      <c r="S620" s="29"/>
      <c r="T620" s="29"/>
      <c r="U620" s="29"/>
      <c r="V620" s="29"/>
      <c r="W620" s="29"/>
      <c r="X620" s="29"/>
      <c r="Y620" s="2"/>
      <c r="Z620" s="34"/>
      <c r="AA620" s="2"/>
      <c r="AB620" s="29"/>
      <c r="AC620" s="29"/>
      <c r="AD620" s="29"/>
      <c r="AE620" s="29"/>
      <c r="AF620" s="29"/>
      <c r="AG620" s="29"/>
      <c r="AH620" s="29"/>
      <c r="AI620" s="29"/>
      <c r="AJ620" s="34"/>
      <c r="AK620" s="34"/>
      <c r="AL620" s="29"/>
      <c r="AM620" s="29"/>
    </row>
    <row x14ac:dyDescent="0.25" r="621" customHeight="1" ht="15.75">
      <c r="A621" s="1"/>
      <c r="B621" s="34"/>
      <c r="C621" s="34"/>
      <c r="D621" s="34"/>
      <c r="E621" s="34"/>
      <c r="F621" s="34"/>
      <c r="G621" s="60"/>
      <c r="H621" s="60"/>
      <c r="I621" s="29"/>
      <c r="J621" s="29"/>
      <c r="K621" s="29"/>
      <c r="L621" s="29"/>
      <c r="M621" s="29"/>
      <c r="N621" s="29"/>
      <c r="O621" s="29"/>
      <c r="P621" s="29"/>
      <c r="Q621" s="34"/>
      <c r="R621" s="34"/>
      <c r="S621" s="29"/>
      <c r="T621" s="29"/>
      <c r="U621" s="29"/>
      <c r="V621" s="29"/>
      <c r="W621" s="29"/>
      <c r="X621" s="29"/>
      <c r="Y621" s="2"/>
      <c r="Z621" s="34"/>
      <c r="AA621" s="2"/>
      <c r="AB621" s="29"/>
      <c r="AC621" s="29"/>
      <c r="AD621" s="29"/>
      <c r="AE621" s="29"/>
      <c r="AF621" s="29"/>
      <c r="AG621" s="29"/>
      <c r="AH621" s="29"/>
      <c r="AI621" s="29"/>
      <c r="AJ621" s="34"/>
      <c r="AK621" s="34"/>
      <c r="AL621" s="29"/>
      <c r="AM621" s="29"/>
    </row>
    <row x14ac:dyDescent="0.25" r="622" customHeight="1" ht="15.75">
      <c r="A622" s="1"/>
      <c r="B622" s="34"/>
      <c r="C622" s="34"/>
      <c r="D622" s="34"/>
      <c r="E622" s="34"/>
      <c r="F622" s="34"/>
      <c r="G622" s="60"/>
      <c r="H622" s="60"/>
      <c r="I622" s="29"/>
      <c r="J622" s="29"/>
      <c r="K622" s="29"/>
      <c r="L622" s="29"/>
      <c r="M622" s="29"/>
      <c r="N622" s="29"/>
      <c r="O622" s="29"/>
      <c r="P622" s="29"/>
      <c r="Q622" s="34"/>
      <c r="R622" s="34"/>
      <c r="S622" s="29"/>
      <c r="T622" s="29"/>
      <c r="U622" s="29"/>
      <c r="V622" s="29"/>
      <c r="W622" s="29"/>
      <c r="X622" s="29"/>
      <c r="Y622" s="2"/>
      <c r="Z622" s="34"/>
      <c r="AA622" s="2"/>
      <c r="AB622" s="29"/>
      <c r="AC622" s="29"/>
      <c r="AD622" s="29"/>
      <c r="AE622" s="29"/>
      <c r="AF622" s="29"/>
      <c r="AG622" s="29"/>
      <c r="AH622" s="29"/>
      <c r="AI622" s="29"/>
      <c r="AJ622" s="34"/>
      <c r="AK622" s="34"/>
      <c r="AL622" s="29"/>
      <c r="AM622" s="29"/>
    </row>
    <row x14ac:dyDescent="0.25" r="623" customHeight="1" ht="15.75">
      <c r="A623" s="1"/>
      <c r="B623" s="34"/>
      <c r="C623" s="34"/>
      <c r="D623" s="34"/>
      <c r="E623" s="34"/>
      <c r="F623" s="34"/>
      <c r="G623" s="60"/>
      <c r="H623" s="60"/>
      <c r="I623" s="29"/>
      <c r="J623" s="29"/>
      <c r="K623" s="29"/>
      <c r="L623" s="29"/>
      <c r="M623" s="29"/>
      <c r="N623" s="29"/>
      <c r="O623" s="29"/>
      <c r="P623" s="29"/>
      <c r="Q623" s="34"/>
      <c r="R623" s="34"/>
      <c r="S623" s="29"/>
      <c r="T623" s="29"/>
      <c r="U623" s="29"/>
      <c r="V623" s="29"/>
      <c r="W623" s="29"/>
      <c r="X623" s="29"/>
      <c r="Y623" s="2"/>
      <c r="Z623" s="34"/>
      <c r="AA623" s="2"/>
      <c r="AB623" s="29"/>
      <c r="AC623" s="29"/>
      <c r="AD623" s="29"/>
      <c r="AE623" s="29"/>
      <c r="AF623" s="29"/>
      <c r="AG623" s="29"/>
      <c r="AH623" s="29"/>
      <c r="AI623" s="29"/>
      <c r="AJ623" s="34"/>
      <c r="AK623" s="34"/>
      <c r="AL623" s="29"/>
      <c r="AM623" s="29"/>
    </row>
    <row x14ac:dyDescent="0.25" r="624" customHeight="1" ht="15.75">
      <c r="A624" s="1"/>
      <c r="B624" s="34"/>
      <c r="C624" s="34"/>
      <c r="D624" s="34"/>
      <c r="E624" s="34"/>
      <c r="F624" s="34"/>
      <c r="G624" s="60"/>
      <c r="H624" s="60"/>
      <c r="I624" s="29"/>
      <c r="J624" s="29"/>
      <c r="K624" s="29"/>
      <c r="L624" s="29"/>
      <c r="M624" s="29"/>
      <c r="N624" s="29"/>
      <c r="O624" s="29"/>
      <c r="P624" s="29"/>
      <c r="Q624" s="34"/>
      <c r="R624" s="34"/>
      <c r="S624" s="29"/>
      <c r="T624" s="29"/>
      <c r="U624" s="29"/>
      <c r="V624" s="29"/>
      <c r="W624" s="29"/>
      <c r="X624" s="29"/>
      <c r="Y624" s="2"/>
      <c r="Z624" s="34"/>
      <c r="AA624" s="2"/>
      <c r="AB624" s="29"/>
      <c r="AC624" s="29"/>
      <c r="AD624" s="29"/>
      <c r="AE624" s="29"/>
      <c r="AF624" s="29"/>
      <c r="AG624" s="29"/>
      <c r="AH624" s="29"/>
      <c r="AI624" s="29"/>
      <c r="AJ624" s="34"/>
      <c r="AK624" s="34"/>
      <c r="AL624" s="29"/>
      <c r="AM624" s="29"/>
    </row>
    <row x14ac:dyDescent="0.25" r="625" customHeight="1" ht="15.75">
      <c r="A625" s="1"/>
      <c r="B625" s="34"/>
      <c r="C625" s="34"/>
      <c r="D625" s="34"/>
      <c r="E625" s="34"/>
      <c r="F625" s="34"/>
      <c r="G625" s="60"/>
      <c r="H625" s="60"/>
      <c r="I625" s="29"/>
      <c r="J625" s="29"/>
      <c r="K625" s="29"/>
      <c r="L625" s="29"/>
      <c r="M625" s="29"/>
      <c r="N625" s="29"/>
      <c r="O625" s="29"/>
      <c r="P625" s="29"/>
      <c r="Q625" s="34"/>
      <c r="R625" s="34"/>
      <c r="S625" s="29"/>
      <c r="T625" s="29"/>
      <c r="U625" s="29"/>
      <c r="V625" s="29"/>
      <c r="W625" s="29"/>
      <c r="X625" s="29"/>
      <c r="Y625" s="2"/>
      <c r="Z625" s="34"/>
      <c r="AA625" s="2"/>
      <c r="AB625" s="29"/>
      <c r="AC625" s="29"/>
      <c r="AD625" s="29"/>
      <c r="AE625" s="29"/>
      <c r="AF625" s="29"/>
      <c r="AG625" s="29"/>
      <c r="AH625" s="29"/>
      <c r="AI625" s="29"/>
      <c r="AJ625" s="34"/>
      <c r="AK625" s="34"/>
      <c r="AL625" s="29"/>
      <c r="AM625" s="29"/>
    </row>
    <row x14ac:dyDescent="0.25" r="626" customHeight="1" ht="15.75">
      <c r="A626" s="1"/>
      <c r="B626" s="34"/>
      <c r="C626" s="34"/>
      <c r="D626" s="34"/>
      <c r="E626" s="34"/>
      <c r="F626" s="34"/>
      <c r="G626" s="60"/>
      <c r="H626" s="60"/>
      <c r="I626" s="29"/>
      <c r="J626" s="29"/>
      <c r="K626" s="29"/>
      <c r="L626" s="29"/>
      <c r="M626" s="29"/>
      <c r="N626" s="29"/>
      <c r="O626" s="29"/>
      <c r="P626" s="29"/>
      <c r="Q626" s="34"/>
      <c r="R626" s="34"/>
      <c r="S626" s="29"/>
      <c r="T626" s="29"/>
      <c r="U626" s="29"/>
      <c r="V626" s="29"/>
      <c r="W626" s="29"/>
      <c r="X626" s="29"/>
      <c r="Y626" s="2"/>
      <c r="Z626" s="34"/>
      <c r="AA626" s="2"/>
      <c r="AB626" s="29"/>
      <c r="AC626" s="29"/>
      <c r="AD626" s="29"/>
      <c r="AE626" s="29"/>
      <c r="AF626" s="29"/>
      <c r="AG626" s="29"/>
      <c r="AH626" s="29"/>
      <c r="AI626" s="29"/>
      <c r="AJ626" s="34"/>
      <c r="AK626" s="34"/>
      <c r="AL626" s="29"/>
      <c r="AM626" s="29"/>
    </row>
    <row x14ac:dyDescent="0.25" r="627" customHeight="1" ht="15.75">
      <c r="A627" s="1"/>
      <c r="B627" s="34"/>
      <c r="C627" s="34"/>
      <c r="D627" s="34"/>
      <c r="E627" s="34"/>
      <c r="F627" s="34"/>
      <c r="G627" s="60"/>
      <c r="H627" s="60"/>
      <c r="I627" s="29"/>
      <c r="J627" s="29"/>
      <c r="K627" s="29"/>
      <c r="L627" s="29"/>
      <c r="M627" s="29"/>
      <c r="N627" s="29"/>
      <c r="O627" s="29"/>
      <c r="P627" s="29"/>
      <c r="Q627" s="34"/>
      <c r="R627" s="34"/>
      <c r="S627" s="29"/>
      <c r="T627" s="29"/>
      <c r="U627" s="29"/>
      <c r="V627" s="29"/>
      <c r="W627" s="29"/>
      <c r="X627" s="29"/>
      <c r="Y627" s="2"/>
      <c r="Z627" s="34"/>
      <c r="AA627" s="2"/>
      <c r="AB627" s="29"/>
      <c r="AC627" s="29"/>
      <c r="AD627" s="29"/>
      <c r="AE627" s="29"/>
      <c r="AF627" s="29"/>
      <c r="AG627" s="29"/>
      <c r="AH627" s="29"/>
      <c r="AI627" s="29"/>
      <c r="AJ627" s="34"/>
      <c r="AK627" s="34"/>
      <c r="AL627" s="29"/>
      <c r="AM627" s="29"/>
    </row>
    <row x14ac:dyDescent="0.25" r="628" customHeight="1" ht="15.75">
      <c r="A628" s="1"/>
      <c r="B628" s="34"/>
      <c r="C628" s="34"/>
      <c r="D628" s="34"/>
      <c r="E628" s="34"/>
      <c r="F628" s="34"/>
      <c r="G628" s="60"/>
      <c r="H628" s="60"/>
      <c r="I628" s="29"/>
      <c r="J628" s="29"/>
      <c r="K628" s="29"/>
      <c r="L628" s="29"/>
      <c r="M628" s="29"/>
      <c r="N628" s="29"/>
      <c r="O628" s="29"/>
      <c r="P628" s="29"/>
      <c r="Q628" s="34"/>
      <c r="R628" s="34"/>
      <c r="S628" s="29"/>
      <c r="T628" s="29"/>
      <c r="U628" s="29"/>
      <c r="V628" s="29"/>
      <c r="W628" s="29"/>
      <c r="X628" s="29"/>
      <c r="Y628" s="2"/>
      <c r="Z628" s="34"/>
      <c r="AA628" s="2"/>
      <c r="AB628" s="29"/>
      <c r="AC628" s="29"/>
      <c r="AD628" s="29"/>
      <c r="AE628" s="29"/>
      <c r="AF628" s="29"/>
      <c r="AG628" s="29"/>
      <c r="AH628" s="29"/>
      <c r="AI628" s="29"/>
      <c r="AJ628" s="34"/>
      <c r="AK628" s="34"/>
      <c r="AL628" s="29"/>
      <c r="AM628" s="29"/>
    </row>
    <row x14ac:dyDescent="0.25" r="629" customHeight="1" ht="15.75">
      <c r="A629" s="1"/>
      <c r="B629" s="34"/>
      <c r="C629" s="34"/>
      <c r="D629" s="34"/>
      <c r="E629" s="34"/>
      <c r="F629" s="34"/>
      <c r="G629" s="60"/>
      <c r="H629" s="60"/>
      <c r="I629" s="29"/>
      <c r="J629" s="29"/>
      <c r="K629" s="29"/>
      <c r="L629" s="29"/>
      <c r="M629" s="29"/>
      <c r="N629" s="29"/>
      <c r="O629" s="29"/>
      <c r="P629" s="29"/>
      <c r="Q629" s="34"/>
      <c r="R629" s="34"/>
      <c r="S629" s="29"/>
      <c r="T629" s="29"/>
      <c r="U629" s="29"/>
      <c r="V629" s="29"/>
      <c r="W629" s="29"/>
      <c r="X629" s="29"/>
      <c r="Y629" s="2"/>
      <c r="Z629" s="34"/>
      <c r="AA629" s="2"/>
      <c r="AB629" s="29"/>
      <c r="AC629" s="29"/>
      <c r="AD629" s="29"/>
      <c r="AE629" s="29"/>
      <c r="AF629" s="29"/>
      <c r="AG629" s="29"/>
      <c r="AH629" s="29"/>
      <c r="AI629" s="29"/>
      <c r="AJ629" s="34"/>
      <c r="AK629" s="34"/>
      <c r="AL629" s="29"/>
      <c r="AM629" s="29"/>
    </row>
    <row x14ac:dyDescent="0.25" r="630" customHeight="1" ht="15.75">
      <c r="A630" s="1"/>
      <c r="B630" s="34"/>
      <c r="C630" s="34"/>
      <c r="D630" s="34"/>
      <c r="E630" s="34"/>
      <c r="F630" s="34"/>
      <c r="G630" s="60"/>
      <c r="H630" s="60"/>
      <c r="I630" s="29"/>
      <c r="J630" s="29"/>
      <c r="K630" s="29"/>
      <c r="L630" s="29"/>
      <c r="M630" s="29"/>
      <c r="N630" s="29"/>
      <c r="O630" s="29"/>
      <c r="P630" s="29"/>
      <c r="Q630" s="34"/>
      <c r="R630" s="34"/>
      <c r="S630" s="29"/>
      <c r="T630" s="29"/>
      <c r="U630" s="29"/>
      <c r="V630" s="29"/>
      <c r="W630" s="29"/>
      <c r="X630" s="29"/>
      <c r="Y630" s="2"/>
      <c r="Z630" s="34"/>
      <c r="AA630" s="2"/>
      <c r="AB630" s="29"/>
      <c r="AC630" s="29"/>
      <c r="AD630" s="29"/>
      <c r="AE630" s="29"/>
      <c r="AF630" s="29"/>
      <c r="AG630" s="29"/>
      <c r="AH630" s="29"/>
      <c r="AI630" s="29"/>
      <c r="AJ630" s="34"/>
      <c r="AK630" s="34"/>
      <c r="AL630" s="29"/>
      <c r="AM630" s="29"/>
    </row>
    <row x14ac:dyDescent="0.25" r="631" customHeight="1" ht="15.75">
      <c r="A631" s="1"/>
      <c r="B631" s="34"/>
      <c r="C631" s="34"/>
      <c r="D631" s="34"/>
      <c r="E631" s="34"/>
      <c r="F631" s="34"/>
      <c r="G631" s="60"/>
      <c r="H631" s="60"/>
      <c r="I631" s="29"/>
      <c r="J631" s="29"/>
      <c r="K631" s="29"/>
      <c r="L631" s="29"/>
      <c r="M631" s="29"/>
      <c r="N631" s="29"/>
      <c r="O631" s="29"/>
      <c r="P631" s="29"/>
      <c r="Q631" s="34"/>
      <c r="R631" s="34"/>
      <c r="S631" s="29"/>
      <c r="T631" s="29"/>
      <c r="U631" s="29"/>
      <c r="V631" s="29"/>
      <c r="W631" s="29"/>
      <c r="X631" s="29"/>
      <c r="Y631" s="2"/>
      <c r="Z631" s="34"/>
      <c r="AA631" s="2"/>
      <c r="AB631" s="29"/>
      <c r="AC631" s="29"/>
      <c r="AD631" s="29"/>
      <c r="AE631" s="29"/>
      <c r="AF631" s="29"/>
      <c r="AG631" s="29"/>
      <c r="AH631" s="29"/>
      <c r="AI631" s="29"/>
      <c r="AJ631" s="34"/>
      <c r="AK631" s="34"/>
      <c r="AL631" s="29"/>
      <c r="AM631" s="29"/>
    </row>
    <row x14ac:dyDescent="0.25" r="632" customHeight="1" ht="15.75">
      <c r="A632" s="1"/>
      <c r="B632" s="34"/>
      <c r="C632" s="34"/>
      <c r="D632" s="34"/>
      <c r="E632" s="34"/>
      <c r="F632" s="34"/>
      <c r="G632" s="60"/>
      <c r="H632" s="60"/>
      <c r="I632" s="29"/>
      <c r="J632" s="29"/>
      <c r="K632" s="29"/>
      <c r="L632" s="29"/>
      <c r="M632" s="29"/>
      <c r="N632" s="29"/>
      <c r="O632" s="29"/>
      <c r="P632" s="29"/>
      <c r="Q632" s="34"/>
      <c r="R632" s="34"/>
      <c r="S632" s="29"/>
      <c r="T632" s="29"/>
      <c r="U632" s="29"/>
      <c r="V632" s="29"/>
      <c r="W632" s="29"/>
      <c r="X632" s="29"/>
      <c r="Y632" s="2"/>
      <c r="Z632" s="34"/>
      <c r="AA632" s="2"/>
      <c r="AB632" s="29"/>
      <c r="AC632" s="29"/>
      <c r="AD632" s="29"/>
      <c r="AE632" s="29"/>
      <c r="AF632" s="29"/>
      <c r="AG632" s="29"/>
      <c r="AH632" s="29"/>
      <c r="AI632" s="29"/>
      <c r="AJ632" s="34"/>
      <c r="AK632" s="34"/>
      <c r="AL632" s="29"/>
      <c r="AM632" s="29"/>
    </row>
    <row x14ac:dyDescent="0.25" r="633" customHeight="1" ht="15.75">
      <c r="A633" s="1"/>
      <c r="B633" s="34"/>
      <c r="C633" s="34"/>
      <c r="D633" s="34"/>
      <c r="E633" s="34"/>
      <c r="F633" s="34"/>
      <c r="G633" s="60"/>
      <c r="H633" s="60"/>
      <c r="I633" s="29"/>
      <c r="J633" s="29"/>
      <c r="K633" s="29"/>
      <c r="L633" s="29"/>
      <c r="M633" s="29"/>
      <c r="N633" s="29"/>
      <c r="O633" s="29"/>
      <c r="P633" s="29"/>
      <c r="Q633" s="34"/>
      <c r="R633" s="34"/>
      <c r="S633" s="29"/>
      <c r="T633" s="29"/>
      <c r="U633" s="29"/>
      <c r="V633" s="29"/>
      <c r="W633" s="29"/>
      <c r="X633" s="29"/>
      <c r="Y633" s="2"/>
      <c r="Z633" s="34"/>
      <c r="AA633" s="2"/>
      <c r="AB633" s="29"/>
      <c r="AC633" s="29"/>
      <c r="AD633" s="29"/>
      <c r="AE633" s="29"/>
      <c r="AF633" s="29"/>
      <c r="AG633" s="29"/>
      <c r="AH633" s="29"/>
      <c r="AI633" s="29"/>
      <c r="AJ633" s="34"/>
      <c r="AK633" s="34"/>
      <c r="AL633" s="29"/>
      <c r="AM633" s="29"/>
    </row>
    <row x14ac:dyDescent="0.25" r="634" customHeight="1" ht="15.75">
      <c r="A634" s="1"/>
      <c r="B634" s="34"/>
      <c r="C634" s="34"/>
      <c r="D634" s="34"/>
      <c r="E634" s="34"/>
      <c r="F634" s="34"/>
      <c r="G634" s="60"/>
      <c r="H634" s="60"/>
      <c r="I634" s="29"/>
      <c r="J634" s="29"/>
      <c r="K634" s="29"/>
      <c r="L634" s="29"/>
      <c r="M634" s="29"/>
      <c r="N634" s="29"/>
      <c r="O634" s="29"/>
      <c r="P634" s="29"/>
      <c r="Q634" s="34"/>
      <c r="R634" s="34"/>
      <c r="S634" s="29"/>
      <c r="T634" s="29"/>
      <c r="U634" s="29"/>
      <c r="V634" s="29"/>
      <c r="W634" s="29"/>
      <c r="X634" s="29"/>
      <c r="Y634" s="2"/>
      <c r="Z634" s="34"/>
      <c r="AA634" s="2"/>
      <c r="AB634" s="29"/>
      <c r="AC634" s="29"/>
      <c r="AD634" s="29"/>
      <c r="AE634" s="29"/>
      <c r="AF634" s="29"/>
      <c r="AG634" s="29"/>
      <c r="AH634" s="29"/>
      <c r="AI634" s="29"/>
      <c r="AJ634" s="34"/>
      <c r="AK634" s="34"/>
      <c r="AL634" s="29"/>
      <c r="AM634" s="29"/>
    </row>
    <row x14ac:dyDescent="0.25" r="635" customHeight="1" ht="15.75">
      <c r="A635" s="1"/>
      <c r="B635" s="34"/>
      <c r="C635" s="34"/>
      <c r="D635" s="34"/>
      <c r="E635" s="34"/>
      <c r="F635" s="34"/>
      <c r="G635" s="60"/>
      <c r="H635" s="60"/>
      <c r="I635" s="29"/>
      <c r="J635" s="29"/>
      <c r="K635" s="29"/>
      <c r="L635" s="29"/>
      <c r="M635" s="29"/>
      <c r="N635" s="29"/>
      <c r="O635" s="29"/>
      <c r="P635" s="29"/>
      <c r="Q635" s="34"/>
      <c r="R635" s="34"/>
      <c r="S635" s="29"/>
      <c r="T635" s="29"/>
      <c r="U635" s="29"/>
      <c r="V635" s="29"/>
      <c r="W635" s="29"/>
      <c r="X635" s="29"/>
      <c r="Y635" s="2"/>
      <c r="Z635" s="34"/>
      <c r="AA635" s="2"/>
      <c r="AB635" s="29"/>
      <c r="AC635" s="29"/>
      <c r="AD635" s="29"/>
      <c r="AE635" s="29"/>
      <c r="AF635" s="29"/>
      <c r="AG635" s="29"/>
      <c r="AH635" s="29"/>
      <c r="AI635" s="29"/>
      <c r="AJ635" s="34"/>
      <c r="AK635" s="34"/>
      <c r="AL635" s="29"/>
      <c r="AM635" s="29"/>
    </row>
    <row x14ac:dyDescent="0.25" r="636" customHeight="1" ht="15.75">
      <c r="A636" s="1"/>
      <c r="B636" s="34"/>
      <c r="C636" s="34"/>
      <c r="D636" s="34"/>
      <c r="E636" s="34"/>
      <c r="F636" s="34"/>
      <c r="G636" s="60"/>
      <c r="H636" s="60"/>
      <c r="I636" s="29"/>
      <c r="J636" s="29"/>
      <c r="K636" s="29"/>
      <c r="L636" s="29"/>
      <c r="M636" s="29"/>
      <c r="N636" s="29"/>
      <c r="O636" s="29"/>
      <c r="P636" s="29"/>
      <c r="Q636" s="34"/>
      <c r="R636" s="34"/>
      <c r="S636" s="29"/>
      <c r="T636" s="29"/>
      <c r="U636" s="29"/>
      <c r="V636" s="29"/>
      <c r="W636" s="29"/>
      <c r="X636" s="29"/>
      <c r="Y636" s="2"/>
      <c r="Z636" s="34"/>
      <c r="AA636" s="2"/>
      <c r="AB636" s="29"/>
      <c r="AC636" s="29"/>
      <c r="AD636" s="29"/>
      <c r="AE636" s="29"/>
      <c r="AF636" s="29"/>
      <c r="AG636" s="29"/>
      <c r="AH636" s="29"/>
      <c r="AI636" s="29"/>
      <c r="AJ636" s="34"/>
      <c r="AK636" s="34"/>
      <c r="AL636" s="29"/>
      <c r="AM636" s="29"/>
    </row>
    <row x14ac:dyDescent="0.25" r="637" customHeight="1" ht="15.75">
      <c r="A637" s="1"/>
      <c r="B637" s="34"/>
      <c r="C637" s="34"/>
      <c r="D637" s="34"/>
      <c r="E637" s="34"/>
      <c r="F637" s="34"/>
      <c r="G637" s="60"/>
      <c r="H637" s="60"/>
      <c r="I637" s="29"/>
      <c r="J637" s="29"/>
      <c r="K637" s="29"/>
      <c r="L637" s="29"/>
      <c r="M637" s="29"/>
      <c r="N637" s="29"/>
      <c r="O637" s="29"/>
      <c r="P637" s="29"/>
      <c r="Q637" s="34"/>
      <c r="R637" s="34"/>
      <c r="S637" s="29"/>
      <c r="T637" s="29"/>
      <c r="U637" s="29"/>
      <c r="V637" s="29"/>
      <c r="W637" s="29"/>
      <c r="X637" s="29"/>
      <c r="Y637" s="2"/>
      <c r="Z637" s="34"/>
      <c r="AA637" s="2"/>
      <c r="AB637" s="29"/>
      <c r="AC637" s="29"/>
      <c r="AD637" s="29"/>
      <c r="AE637" s="29"/>
      <c r="AF637" s="29"/>
      <c r="AG637" s="29"/>
      <c r="AH637" s="29"/>
      <c r="AI637" s="29"/>
      <c r="AJ637" s="34"/>
      <c r="AK637" s="34"/>
      <c r="AL637" s="29"/>
      <c r="AM637" s="29"/>
    </row>
    <row x14ac:dyDescent="0.25" r="638" customHeight="1" ht="15.75">
      <c r="A638" s="1"/>
      <c r="B638" s="34"/>
      <c r="C638" s="34"/>
      <c r="D638" s="34"/>
      <c r="E638" s="34"/>
      <c r="F638" s="34"/>
      <c r="G638" s="60"/>
      <c r="H638" s="60"/>
      <c r="I638" s="29"/>
      <c r="J638" s="29"/>
      <c r="K638" s="29"/>
      <c r="L638" s="29"/>
      <c r="M638" s="29"/>
      <c r="N638" s="29"/>
      <c r="O638" s="29"/>
      <c r="P638" s="29"/>
      <c r="Q638" s="34"/>
      <c r="R638" s="34"/>
      <c r="S638" s="29"/>
      <c r="T638" s="29"/>
      <c r="U638" s="29"/>
      <c r="V638" s="29"/>
      <c r="W638" s="29"/>
      <c r="X638" s="29"/>
      <c r="Y638" s="2"/>
      <c r="Z638" s="34"/>
      <c r="AA638" s="2"/>
      <c r="AB638" s="29"/>
      <c r="AC638" s="29"/>
      <c r="AD638" s="29"/>
      <c r="AE638" s="29"/>
      <c r="AF638" s="29"/>
      <c r="AG638" s="29"/>
      <c r="AH638" s="29"/>
      <c r="AI638" s="29"/>
      <c r="AJ638" s="34"/>
      <c r="AK638" s="34"/>
      <c r="AL638" s="29"/>
      <c r="AM638" s="29"/>
    </row>
    <row x14ac:dyDescent="0.25" r="639" customHeight="1" ht="15.75">
      <c r="A639" s="1"/>
      <c r="B639" s="34"/>
      <c r="C639" s="34"/>
      <c r="D639" s="34"/>
      <c r="E639" s="34"/>
      <c r="F639" s="34"/>
      <c r="G639" s="60"/>
      <c r="H639" s="60"/>
      <c r="I639" s="29"/>
      <c r="J639" s="29"/>
      <c r="K639" s="29"/>
      <c r="L639" s="29"/>
      <c r="M639" s="29"/>
      <c r="N639" s="29"/>
      <c r="O639" s="29"/>
      <c r="P639" s="29"/>
      <c r="Q639" s="34"/>
      <c r="R639" s="34"/>
      <c r="S639" s="29"/>
      <c r="T639" s="29"/>
      <c r="U639" s="29"/>
      <c r="V639" s="29"/>
      <c r="W639" s="29"/>
      <c r="X639" s="29"/>
      <c r="Y639" s="2"/>
      <c r="Z639" s="34"/>
      <c r="AA639" s="2"/>
      <c r="AB639" s="29"/>
      <c r="AC639" s="29"/>
      <c r="AD639" s="29"/>
      <c r="AE639" s="29"/>
      <c r="AF639" s="29"/>
      <c r="AG639" s="29"/>
      <c r="AH639" s="29"/>
      <c r="AI639" s="29"/>
      <c r="AJ639" s="34"/>
      <c r="AK639" s="34"/>
      <c r="AL639" s="29"/>
      <c r="AM639" s="29"/>
    </row>
    <row x14ac:dyDescent="0.25" r="640" customHeight="1" ht="15.75">
      <c r="A640" s="1"/>
      <c r="B640" s="34"/>
      <c r="C640" s="34"/>
      <c r="D640" s="34"/>
      <c r="E640" s="34"/>
      <c r="F640" s="34"/>
      <c r="G640" s="60"/>
      <c r="H640" s="60"/>
      <c r="I640" s="29"/>
      <c r="J640" s="29"/>
      <c r="K640" s="29"/>
      <c r="L640" s="29"/>
      <c r="M640" s="29"/>
      <c r="N640" s="29"/>
      <c r="O640" s="29"/>
      <c r="P640" s="29"/>
      <c r="Q640" s="34"/>
      <c r="R640" s="34"/>
      <c r="S640" s="29"/>
      <c r="T640" s="29"/>
      <c r="U640" s="29"/>
      <c r="V640" s="29"/>
      <c r="W640" s="29"/>
      <c r="X640" s="29"/>
      <c r="Y640" s="2"/>
      <c r="Z640" s="34"/>
      <c r="AA640" s="2"/>
      <c r="AB640" s="29"/>
      <c r="AC640" s="29"/>
      <c r="AD640" s="29"/>
      <c r="AE640" s="29"/>
      <c r="AF640" s="29"/>
      <c r="AG640" s="29"/>
      <c r="AH640" s="29"/>
      <c r="AI640" s="29"/>
      <c r="AJ640" s="34"/>
      <c r="AK640" s="34"/>
      <c r="AL640" s="29"/>
      <c r="AM640" s="29"/>
    </row>
    <row x14ac:dyDescent="0.25" r="641" customHeight="1" ht="15.75">
      <c r="A641" s="1"/>
      <c r="B641" s="34"/>
      <c r="C641" s="34"/>
      <c r="D641" s="34"/>
      <c r="E641" s="34"/>
      <c r="F641" s="34"/>
      <c r="G641" s="60"/>
      <c r="H641" s="60"/>
      <c r="I641" s="29"/>
      <c r="J641" s="29"/>
      <c r="K641" s="29"/>
      <c r="L641" s="29"/>
      <c r="M641" s="29"/>
      <c r="N641" s="29"/>
      <c r="O641" s="29"/>
      <c r="P641" s="29"/>
      <c r="Q641" s="34"/>
      <c r="R641" s="34"/>
      <c r="S641" s="29"/>
      <c r="T641" s="29"/>
      <c r="U641" s="29"/>
      <c r="V641" s="29"/>
      <c r="W641" s="29"/>
      <c r="X641" s="29"/>
      <c r="Y641" s="2"/>
      <c r="Z641" s="34"/>
      <c r="AA641" s="2"/>
      <c r="AB641" s="29"/>
      <c r="AC641" s="29"/>
      <c r="AD641" s="29"/>
      <c r="AE641" s="29"/>
      <c r="AF641" s="29"/>
      <c r="AG641" s="29"/>
      <c r="AH641" s="29"/>
      <c r="AI641" s="29"/>
      <c r="AJ641" s="34"/>
      <c r="AK641" s="34"/>
      <c r="AL641" s="29"/>
      <c r="AM641" s="29"/>
    </row>
    <row x14ac:dyDescent="0.25" r="642" customHeight="1" ht="15.75">
      <c r="A642" s="1"/>
      <c r="B642" s="34"/>
      <c r="C642" s="34"/>
      <c r="D642" s="34"/>
      <c r="E642" s="34"/>
      <c r="F642" s="34"/>
      <c r="G642" s="60"/>
      <c r="H642" s="60"/>
      <c r="I642" s="29"/>
      <c r="J642" s="29"/>
      <c r="K642" s="29"/>
      <c r="L642" s="29"/>
      <c r="M642" s="29"/>
      <c r="N642" s="29"/>
      <c r="O642" s="29"/>
      <c r="P642" s="29"/>
      <c r="Q642" s="34"/>
      <c r="R642" s="34"/>
      <c r="S642" s="29"/>
      <c r="T642" s="29"/>
      <c r="U642" s="29"/>
      <c r="V642" s="29"/>
      <c r="W642" s="29"/>
      <c r="X642" s="29"/>
      <c r="Y642" s="2"/>
      <c r="Z642" s="34"/>
      <c r="AA642" s="2"/>
      <c r="AB642" s="29"/>
      <c r="AC642" s="29"/>
      <c r="AD642" s="29"/>
      <c r="AE642" s="29"/>
      <c r="AF642" s="29"/>
      <c r="AG642" s="29"/>
      <c r="AH642" s="29"/>
      <c r="AI642" s="29"/>
      <c r="AJ642" s="34"/>
      <c r="AK642" s="34"/>
      <c r="AL642" s="29"/>
      <c r="AM642" s="29"/>
    </row>
    <row x14ac:dyDescent="0.25" r="643" customHeight="1" ht="15.75">
      <c r="A643" s="1"/>
      <c r="B643" s="34"/>
      <c r="C643" s="34"/>
      <c r="D643" s="34"/>
      <c r="E643" s="34"/>
      <c r="F643" s="34"/>
      <c r="G643" s="60"/>
      <c r="H643" s="60"/>
      <c r="I643" s="29"/>
      <c r="J643" s="29"/>
      <c r="K643" s="29"/>
      <c r="L643" s="29"/>
      <c r="M643" s="29"/>
      <c r="N643" s="29"/>
      <c r="O643" s="29"/>
      <c r="P643" s="29"/>
      <c r="Q643" s="34"/>
      <c r="R643" s="34"/>
      <c r="S643" s="29"/>
      <c r="T643" s="29"/>
      <c r="U643" s="29"/>
      <c r="V643" s="29"/>
      <c r="W643" s="29"/>
      <c r="X643" s="29"/>
      <c r="Y643" s="2"/>
      <c r="Z643" s="34"/>
      <c r="AA643" s="2"/>
      <c r="AB643" s="29"/>
      <c r="AC643" s="29"/>
      <c r="AD643" s="29"/>
      <c r="AE643" s="29"/>
      <c r="AF643" s="29"/>
      <c r="AG643" s="29"/>
      <c r="AH643" s="29"/>
      <c r="AI643" s="29"/>
      <c r="AJ643" s="34"/>
      <c r="AK643" s="34"/>
      <c r="AL643" s="29"/>
      <c r="AM643" s="29"/>
    </row>
    <row x14ac:dyDescent="0.25" r="644" customHeight="1" ht="15.75">
      <c r="A644" s="1"/>
      <c r="B644" s="34"/>
      <c r="C644" s="34"/>
      <c r="D644" s="34"/>
      <c r="E644" s="34"/>
      <c r="F644" s="34"/>
      <c r="G644" s="60"/>
      <c r="H644" s="60"/>
      <c r="I644" s="29"/>
      <c r="J644" s="29"/>
      <c r="K644" s="29"/>
      <c r="L644" s="29"/>
      <c r="M644" s="29"/>
      <c r="N644" s="29"/>
      <c r="O644" s="29"/>
      <c r="P644" s="29"/>
      <c r="Q644" s="34"/>
      <c r="R644" s="34"/>
      <c r="S644" s="29"/>
      <c r="T644" s="29"/>
      <c r="U644" s="29"/>
      <c r="V644" s="29"/>
      <c r="W644" s="29"/>
      <c r="X644" s="29"/>
      <c r="Y644" s="2"/>
      <c r="Z644" s="34"/>
      <c r="AA644" s="2"/>
      <c r="AB644" s="29"/>
      <c r="AC644" s="29"/>
      <c r="AD644" s="29"/>
      <c r="AE644" s="29"/>
      <c r="AF644" s="29"/>
      <c r="AG644" s="29"/>
      <c r="AH644" s="29"/>
      <c r="AI644" s="29"/>
      <c r="AJ644" s="34"/>
      <c r="AK644" s="34"/>
      <c r="AL644" s="29"/>
      <c r="AM644" s="29"/>
    </row>
    <row x14ac:dyDescent="0.25" r="645" customHeight="1" ht="15.75">
      <c r="A645" s="1"/>
      <c r="B645" s="34"/>
      <c r="C645" s="34"/>
      <c r="D645" s="34"/>
      <c r="E645" s="34"/>
      <c r="F645" s="34"/>
      <c r="G645" s="60"/>
      <c r="H645" s="60"/>
      <c r="I645" s="29"/>
      <c r="J645" s="29"/>
      <c r="K645" s="29"/>
      <c r="L645" s="29"/>
      <c r="M645" s="29"/>
      <c r="N645" s="29"/>
      <c r="O645" s="29"/>
      <c r="P645" s="29"/>
      <c r="Q645" s="34"/>
      <c r="R645" s="34"/>
      <c r="S645" s="29"/>
      <c r="T645" s="29"/>
      <c r="U645" s="29"/>
      <c r="V645" s="29"/>
      <c r="W645" s="29"/>
      <c r="X645" s="29"/>
      <c r="Y645" s="2"/>
      <c r="Z645" s="34"/>
      <c r="AA645" s="2"/>
      <c r="AB645" s="29"/>
      <c r="AC645" s="29"/>
      <c r="AD645" s="29"/>
      <c r="AE645" s="29"/>
      <c r="AF645" s="29"/>
      <c r="AG645" s="29"/>
      <c r="AH645" s="29"/>
      <c r="AI645" s="29"/>
      <c r="AJ645" s="34"/>
      <c r="AK645" s="34"/>
      <c r="AL645" s="29"/>
      <c r="AM645" s="29"/>
    </row>
    <row x14ac:dyDescent="0.25" r="646" customHeight="1" ht="15.75">
      <c r="A646" s="1"/>
      <c r="B646" s="34"/>
      <c r="C646" s="34"/>
      <c r="D646" s="34"/>
      <c r="E646" s="34"/>
      <c r="F646" s="34"/>
      <c r="G646" s="60"/>
      <c r="H646" s="60"/>
      <c r="I646" s="29"/>
      <c r="J646" s="29"/>
      <c r="K646" s="29"/>
      <c r="L646" s="29"/>
      <c r="M646" s="29"/>
      <c r="N646" s="29"/>
      <c r="O646" s="29"/>
      <c r="P646" s="29"/>
      <c r="Q646" s="34"/>
      <c r="R646" s="34"/>
      <c r="S646" s="29"/>
      <c r="T646" s="29"/>
      <c r="U646" s="29"/>
      <c r="V646" s="29"/>
      <c r="W646" s="29"/>
      <c r="X646" s="29"/>
      <c r="Y646" s="2"/>
      <c r="Z646" s="34"/>
      <c r="AA646" s="2"/>
      <c r="AB646" s="29"/>
      <c r="AC646" s="29"/>
      <c r="AD646" s="29"/>
      <c r="AE646" s="29"/>
      <c r="AF646" s="29"/>
      <c r="AG646" s="29"/>
      <c r="AH646" s="29"/>
      <c r="AI646" s="29"/>
      <c r="AJ646" s="34"/>
      <c r="AK646" s="34"/>
      <c r="AL646" s="29"/>
      <c r="AM646" s="29"/>
    </row>
    <row x14ac:dyDescent="0.25" r="647" customHeight="1" ht="15.75">
      <c r="A647" s="1"/>
      <c r="B647" s="34"/>
      <c r="C647" s="34"/>
      <c r="D647" s="34"/>
      <c r="E647" s="34"/>
      <c r="F647" s="34"/>
      <c r="G647" s="60"/>
      <c r="H647" s="60"/>
      <c r="I647" s="29"/>
      <c r="J647" s="29"/>
      <c r="K647" s="29"/>
      <c r="L647" s="29"/>
      <c r="M647" s="29"/>
      <c r="N647" s="29"/>
      <c r="O647" s="29"/>
      <c r="P647" s="29"/>
      <c r="Q647" s="34"/>
      <c r="R647" s="34"/>
      <c r="S647" s="29"/>
      <c r="T647" s="29"/>
      <c r="U647" s="29"/>
      <c r="V647" s="29"/>
      <c r="W647" s="29"/>
      <c r="X647" s="29"/>
      <c r="Y647" s="2"/>
      <c r="Z647" s="34"/>
      <c r="AA647" s="2"/>
      <c r="AB647" s="29"/>
      <c r="AC647" s="29"/>
      <c r="AD647" s="29"/>
      <c r="AE647" s="29"/>
      <c r="AF647" s="29"/>
      <c r="AG647" s="29"/>
      <c r="AH647" s="29"/>
      <c r="AI647" s="29"/>
      <c r="AJ647" s="34"/>
      <c r="AK647" s="34"/>
      <c r="AL647" s="29"/>
      <c r="AM647" s="29"/>
    </row>
    <row x14ac:dyDescent="0.25" r="648" customHeight="1" ht="15.75">
      <c r="A648" s="1"/>
      <c r="B648" s="34"/>
      <c r="C648" s="34"/>
      <c r="D648" s="34"/>
      <c r="E648" s="34"/>
      <c r="F648" s="34"/>
      <c r="G648" s="60"/>
      <c r="H648" s="60"/>
      <c r="I648" s="29"/>
      <c r="J648" s="29"/>
      <c r="K648" s="29"/>
      <c r="L648" s="29"/>
      <c r="M648" s="29"/>
      <c r="N648" s="29"/>
      <c r="O648" s="29"/>
      <c r="P648" s="29"/>
      <c r="Q648" s="34"/>
      <c r="R648" s="34"/>
      <c r="S648" s="29"/>
      <c r="T648" s="29"/>
      <c r="U648" s="29"/>
      <c r="V648" s="29"/>
      <c r="W648" s="29"/>
      <c r="X648" s="29"/>
      <c r="Y648" s="2"/>
      <c r="Z648" s="34"/>
      <c r="AA648" s="2"/>
      <c r="AB648" s="29"/>
      <c r="AC648" s="29"/>
      <c r="AD648" s="29"/>
      <c r="AE648" s="29"/>
      <c r="AF648" s="29"/>
      <c r="AG648" s="29"/>
      <c r="AH648" s="29"/>
      <c r="AI648" s="29"/>
      <c r="AJ648" s="34"/>
      <c r="AK648" s="34"/>
      <c r="AL648" s="29"/>
      <c r="AM648" s="29"/>
    </row>
    <row x14ac:dyDescent="0.25" r="649" customHeight="1" ht="15.75">
      <c r="A649" s="1"/>
      <c r="B649" s="34"/>
      <c r="C649" s="34"/>
      <c r="D649" s="34"/>
      <c r="E649" s="34"/>
      <c r="F649" s="34"/>
      <c r="G649" s="60"/>
      <c r="H649" s="60"/>
      <c r="I649" s="29"/>
      <c r="J649" s="29"/>
      <c r="K649" s="29"/>
      <c r="L649" s="29"/>
      <c r="M649" s="29"/>
      <c r="N649" s="29"/>
      <c r="O649" s="29"/>
      <c r="P649" s="29"/>
      <c r="Q649" s="34"/>
      <c r="R649" s="34"/>
      <c r="S649" s="29"/>
      <c r="T649" s="29"/>
      <c r="U649" s="29"/>
      <c r="V649" s="29"/>
      <c r="W649" s="29"/>
      <c r="X649" s="29"/>
      <c r="Y649" s="2"/>
      <c r="Z649" s="34"/>
      <c r="AA649" s="2"/>
      <c r="AB649" s="29"/>
      <c r="AC649" s="29"/>
      <c r="AD649" s="29"/>
      <c r="AE649" s="29"/>
      <c r="AF649" s="29"/>
      <c r="AG649" s="29"/>
      <c r="AH649" s="29"/>
      <c r="AI649" s="29"/>
      <c r="AJ649" s="34"/>
      <c r="AK649" s="34"/>
      <c r="AL649" s="29"/>
      <c r="AM649" s="29"/>
    </row>
    <row x14ac:dyDescent="0.25" r="650" customHeight="1" ht="15.75">
      <c r="A650" s="1"/>
      <c r="B650" s="34"/>
      <c r="C650" s="34"/>
      <c r="D650" s="34"/>
      <c r="E650" s="34"/>
      <c r="F650" s="34"/>
      <c r="G650" s="60"/>
      <c r="H650" s="60"/>
      <c r="I650" s="29"/>
      <c r="J650" s="29"/>
      <c r="K650" s="29"/>
      <c r="L650" s="29"/>
      <c r="M650" s="29"/>
      <c r="N650" s="29"/>
      <c r="O650" s="29"/>
      <c r="P650" s="29"/>
      <c r="Q650" s="34"/>
      <c r="R650" s="34"/>
      <c r="S650" s="29"/>
      <c r="T650" s="29"/>
      <c r="U650" s="29"/>
      <c r="V650" s="29"/>
      <c r="W650" s="29"/>
      <c r="X650" s="29"/>
      <c r="Y650" s="2"/>
      <c r="Z650" s="34"/>
      <c r="AA650" s="2"/>
      <c r="AB650" s="29"/>
      <c r="AC650" s="29"/>
      <c r="AD650" s="29"/>
      <c r="AE650" s="29"/>
      <c r="AF650" s="29"/>
      <c r="AG650" s="29"/>
      <c r="AH650" s="29"/>
      <c r="AI650" s="29"/>
      <c r="AJ650" s="34"/>
      <c r="AK650" s="34"/>
      <c r="AL650" s="29"/>
      <c r="AM650" s="29"/>
    </row>
    <row x14ac:dyDescent="0.25" r="651" customHeight="1" ht="15.75">
      <c r="A651" s="1"/>
      <c r="B651" s="34"/>
      <c r="C651" s="34"/>
      <c r="D651" s="34"/>
      <c r="E651" s="34"/>
      <c r="F651" s="34"/>
      <c r="G651" s="60"/>
      <c r="H651" s="60"/>
      <c r="I651" s="29"/>
      <c r="J651" s="29"/>
      <c r="K651" s="29"/>
      <c r="L651" s="29"/>
      <c r="M651" s="29"/>
      <c r="N651" s="29"/>
      <c r="O651" s="29"/>
      <c r="P651" s="29"/>
      <c r="Q651" s="34"/>
      <c r="R651" s="34"/>
      <c r="S651" s="29"/>
      <c r="T651" s="29"/>
      <c r="U651" s="29"/>
      <c r="V651" s="29"/>
      <c r="W651" s="29"/>
      <c r="X651" s="29"/>
      <c r="Y651" s="2"/>
      <c r="Z651" s="34"/>
      <c r="AA651" s="2"/>
      <c r="AB651" s="29"/>
      <c r="AC651" s="29"/>
      <c r="AD651" s="29"/>
      <c r="AE651" s="29"/>
      <c r="AF651" s="29"/>
      <c r="AG651" s="29"/>
      <c r="AH651" s="29"/>
      <c r="AI651" s="29"/>
      <c r="AJ651" s="34"/>
      <c r="AK651" s="34"/>
      <c r="AL651" s="29"/>
      <c r="AM651" s="29"/>
    </row>
    <row x14ac:dyDescent="0.25" r="652" customHeight="1" ht="15.75">
      <c r="A652" s="1"/>
      <c r="B652" s="34"/>
      <c r="C652" s="34"/>
      <c r="D652" s="34"/>
      <c r="E652" s="34"/>
      <c r="F652" s="34"/>
      <c r="G652" s="60"/>
      <c r="H652" s="60"/>
      <c r="I652" s="29"/>
      <c r="J652" s="29"/>
      <c r="K652" s="29"/>
      <c r="L652" s="29"/>
      <c r="M652" s="29"/>
      <c r="N652" s="29"/>
      <c r="O652" s="29"/>
      <c r="P652" s="29"/>
      <c r="Q652" s="34"/>
      <c r="R652" s="34"/>
      <c r="S652" s="29"/>
      <c r="T652" s="29"/>
      <c r="U652" s="29"/>
      <c r="V652" s="29"/>
      <c r="W652" s="29"/>
      <c r="X652" s="29"/>
      <c r="Y652" s="2"/>
      <c r="Z652" s="34"/>
      <c r="AA652" s="2"/>
      <c r="AB652" s="29"/>
      <c r="AC652" s="29"/>
      <c r="AD652" s="29"/>
      <c r="AE652" s="29"/>
      <c r="AF652" s="29"/>
      <c r="AG652" s="29"/>
      <c r="AH652" s="29"/>
      <c r="AI652" s="29"/>
      <c r="AJ652" s="34"/>
      <c r="AK652" s="34"/>
      <c r="AL652" s="29"/>
      <c r="AM652" s="29"/>
    </row>
    <row x14ac:dyDescent="0.25" r="653" customHeight="1" ht="15.75">
      <c r="A653" s="1"/>
      <c r="B653" s="34"/>
      <c r="C653" s="34"/>
      <c r="D653" s="34"/>
      <c r="E653" s="34"/>
      <c r="F653" s="34"/>
      <c r="G653" s="60"/>
      <c r="H653" s="60"/>
      <c r="I653" s="29"/>
      <c r="J653" s="29"/>
      <c r="K653" s="29"/>
      <c r="L653" s="29"/>
      <c r="M653" s="29"/>
      <c r="N653" s="29"/>
      <c r="O653" s="29"/>
      <c r="P653" s="29"/>
      <c r="Q653" s="34"/>
      <c r="R653" s="34"/>
      <c r="S653" s="29"/>
      <c r="T653" s="29"/>
      <c r="U653" s="29"/>
      <c r="V653" s="29"/>
      <c r="W653" s="29"/>
      <c r="X653" s="29"/>
      <c r="Y653" s="2"/>
      <c r="Z653" s="34"/>
      <c r="AA653" s="2"/>
      <c r="AB653" s="29"/>
      <c r="AC653" s="29"/>
      <c r="AD653" s="29"/>
      <c r="AE653" s="29"/>
      <c r="AF653" s="29"/>
      <c r="AG653" s="29"/>
      <c r="AH653" s="29"/>
      <c r="AI653" s="29"/>
      <c r="AJ653" s="34"/>
      <c r="AK653" s="34"/>
      <c r="AL653" s="29"/>
      <c r="AM653" s="29"/>
    </row>
    <row x14ac:dyDescent="0.25" r="654" customHeight="1" ht="15.75">
      <c r="A654" s="1"/>
      <c r="B654" s="34"/>
      <c r="C654" s="34"/>
      <c r="D654" s="34"/>
      <c r="E654" s="34"/>
      <c r="F654" s="34"/>
      <c r="G654" s="60"/>
      <c r="H654" s="60"/>
      <c r="I654" s="29"/>
      <c r="J654" s="29"/>
      <c r="K654" s="29"/>
      <c r="L654" s="29"/>
      <c r="M654" s="29"/>
      <c r="N654" s="29"/>
      <c r="O654" s="29"/>
      <c r="P654" s="29"/>
      <c r="Q654" s="34"/>
      <c r="R654" s="34"/>
      <c r="S654" s="29"/>
      <c r="T654" s="29"/>
      <c r="U654" s="29"/>
      <c r="V654" s="29"/>
      <c r="W654" s="29"/>
      <c r="X654" s="29"/>
      <c r="Y654" s="2"/>
      <c r="Z654" s="34"/>
      <c r="AA654" s="2"/>
      <c r="AB654" s="29"/>
      <c r="AC654" s="29"/>
      <c r="AD654" s="29"/>
      <c r="AE654" s="29"/>
      <c r="AF654" s="29"/>
      <c r="AG654" s="29"/>
      <c r="AH654" s="29"/>
      <c r="AI654" s="29"/>
      <c r="AJ654" s="34"/>
      <c r="AK654" s="34"/>
      <c r="AL654" s="29"/>
      <c r="AM654" s="29"/>
    </row>
    <row x14ac:dyDescent="0.25" r="655" customHeight="1" ht="15.75">
      <c r="A655" s="1"/>
      <c r="B655" s="34"/>
      <c r="C655" s="34"/>
      <c r="D655" s="34"/>
      <c r="E655" s="34"/>
      <c r="F655" s="34"/>
      <c r="G655" s="60"/>
      <c r="H655" s="60"/>
      <c r="I655" s="29"/>
      <c r="J655" s="29"/>
      <c r="K655" s="29"/>
      <c r="L655" s="29"/>
      <c r="M655" s="29"/>
      <c r="N655" s="29"/>
      <c r="O655" s="29"/>
      <c r="P655" s="29"/>
      <c r="Q655" s="34"/>
      <c r="R655" s="34"/>
      <c r="S655" s="29"/>
      <c r="T655" s="29"/>
      <c r="U655" s="29"/>
      <c r="V655" s="29"/>
      <c r="W655" s="29"/>
      <c r="X655" s="29"/>
      <c r="Y655" s="2"/>
      <c r="Z655" s="34"/>
      <c r="AA655" s="2"/>
      <c r="AB655" s="29"/>
      <c r="AC655" s="29"/>
      <c r="AD655" s="29"/>
      <c r="AE655" s="29"/>
      <c r="AF655" s="29"/>
      <c r="AG655" s="29"/>
      <c r="AH655" s="29"/>
      <c r="AI655" s="29"/>
      <c r="AJ655" s="34"/>
      <c r="AK655" s="34"/>
      <c r="AL655" s="29"/>
      <c r="AM655" s="29"/>
    </row>
    <row x14ac:dyDescent="0.25" r="656" customHeight="1" ht="15.75">
      <c r="A656" s="1"/>
      <c r="B656" s="34"/>
      <c r="C656" s="34"/>
      <c r="D656" s="34"/>
      <c r="E656" s="34"/>
      <c r="F656" s="34"/>
      <c r="G656" s="60"/>
      <c r="H656" s="60"/>
      <c r="I656" s="29"/>
      <c r="J656" s="29"/>
      <c r="K656" s="29"/>
      <c r="L656" s="29"/>
      <c r="M656" s="29"/>
      <c r="N656" s="29"/>
      <c r="O656" s="29"/>
      <c r="P656" s="29"/>
      <c r="Q656" s="34"/>
      <c r="R656" s="34"/>
      <c r="S656" s="29"/>
      <c r="T656" s="29"/>
      <c r="U656" s="29"/>
      <c r="V656" s="29"/>
      <c r="W656" s="29"/>
      <c r="X656" s="29"/>
      <c r="Y656" s="2"/>
      <c r="Z656" s="34"/>
      <c r="AA656" s="2"/>
      <c r="AB656" s="29"/>
      <c r="AC656" s="29"/>
      <c r="AD656" s="29"/>
      <c r="AE656" s="29"/>
      <c r="AF656" s="29"/>
      <c r="AG656" s="29"/>
      <c r="AH656" s="29"/>
      <c r="AI656" s="29"/>
      <c r="AJ656" s="34"/>
      <c r="AK656" s="34"/>
      <c r="AL656" s="29"/>
      <c r="AM656" s="29"/>
    </row>
    <row x14ac:dyDescent="0.25" r="657" customHeight="1" ht="15.75">
      <c r="A657" s="1"/>
      <c r="B657" s="34"/>
      <c r="C657" s="34"/>
      <c r="D657" s="34"/>
      <c r="E657" s="34"/>
      <c r="F657" s="34"/>
      <c r="G657" s="60"/>
      <c r="H657" s="60"/>
      <c r="I657" s="29"/>
      <c r="J657" s="29"/>
      <c r="K657" s="29"/>
      <c r="L657" s="29"/>
      <c r="M657" s="29"/>
      <c r="N657" s="29"/>
      <c r="O657" s="29"/>
      <c r="P657" s="29"/>
      <c r="Q657" s="34"/>
      <c r="R657" s="34"/>
      <c r="S657" s="29"/>
      <c r="T657" s="29"/>
      <c r="U657" s="29"/>
      <c r="V657" s="29"/>
      <c r="W657" s="29"/>
      <c r="X657" s="29"/>
      <c r="Y657" s="2"/>
      <c r="Z657" s="34"/>
      <c r="AA657" s="2"/>
      <c r="AB657" s="29"/>
      <c r="AC657" s="29"/>
      <c r="AD657" s="29"/>
      <c r="AE657" s="29"/>
      <c r="AF657" s="29"/>
      <c r="AG657" s="29"/>
      <c r="AH657" s="29"/>
      <c r="AI657" s="29"/>
      <c r="AJ657" s="34"/>
      <c r="AK657" s="34"/>
      <c r="AL657" s="29"/>
      <c r="AM657" s="29"/>
    </row>
    <row x14ac:dyDescent="0.25" r="658" customHeight="1" ht="15.75">
      <c r="A658" s="1"/>
      <c r="B658" s="34"/>
      <c r="C658" s="34"/>
      <c r="D658" s="34"/>
      <c r="E658" s="34"/>
      <c r="F658" s="34"/>
      <c r="G658" s="60"/>
      <c r="H658" s="60"/>
      <c r="I658" s="29"/>
      <c r="J658" s="29"/>
      <c r="K658" s="29"/>
      <c r="L658" s="29"/>
      <c r="M658" s="29"/>
      <c r="N658" s="29"/>
      <c r="O658" s="29"/>
      <c r="P658" s="29"/>
      <c r="Q658" s="34"/>
      <c r="R658" s="34"/>
      <c r="S658" s="29"/>
      <c r="T658" s="29"/>
      <c r="U658" s="29"/>
      <c r="V658" s="29"/>
      <c r="W658" s="29"/>
      <c r="X658" s="29"/>
      <c r="Y658" s="2"/>
      <c r="Z658" s="34"/>
      <c r="AA658" s="2"/>
      <c r="AB658" s="29"/>
      <c r="AC658" s="29"/>
      <c r="AD658" s="29"/>
      <c r="AE658" s="29"/>
      <c r="AF658" s="29"/>
      <c r="AG658" s="29"/>
      <c r="AH658" s="29"/>
      <c r="AI658" s="29"/>
      <c r="AJ658" s="34"/>
      <c r="AK658" s="34"/>
      <c r="AL658" s="29"/>
      <c r="AM658" s="29"/>
    </row>
    <row x14ac:dyDescent="0.25" r="659" customHeight="1" ht="15.75">
      <c r="A659" s="1"/>
      <c r="B659" s="34"/>
      <c r="C659" s="34"/>
      <c r="D659" s="34"/>
      <c r="E659" s="34"/>
      <c r="F659" s="34"/>
      <c r="G659" s="60"/>
      <c r="H659" s="60"/>
      <c r="I659" s="29"/>
      <c r="J659" s="29"/>
      <c r="K659" s="29"/>
      <c r="L659" s="29"/>
      <c r="M659" s="29"/>
      <c r="N659" s="29"/>
      <c r="O659" s="29"/>
      <c r="P659" s="29"/>
      <c r="Q659" s="34"/>
      <c r="R659" s="34"/>
      <c r="S659" s="29"/>
      <c r="T659" s="29"/>
      <c r="U659" s="29"/>
      <c r="V659" s="29"/>
      <c r="W659" s="29"/>
      <c r="X659" s="29"/>
      <c r="Y659" s="2"/>
      <c r="Z659" s="34"/>
      <c r="AA659" s="2"/>
      <c r="AB659" s="29"/>
      <c r="AC659" s="29"/>
      <c r="AD659" s="29"/>
      <c r="AE659" s="29"/>
      <c r="AF659" s="29"/>
      <c r="AG659" s="29"/>
      <c r="AH659" s="29"/>
      <c r="AI659" s="29"/>
      <c r="AJ659" s="34"/>
      <c r="AK659" s="34"/>
      <c r="AL659" s="29"/>
      <c r="AM659" s="29"/>
    </row>
    <row x14ac:dyDescent="0.25" r="660" customHeight="1" ht="15.75">
      <c r="A660" s="1"/>
      <c r="B660" s="34"/>
      <c r="C660" s="34"/>
      <c r="D660" s="34"/>
      <c r="E660" s="34"/>
      <c r="F660" s="34"/>
      <c r="G660" s="60"/>
      <c r="H660" s="60"/>
      <c r="I660" s="29"/>
      <c r="J660" s="29"/>
      <c r="K660" s="29"/>
      <c r="L660" s="29"/>
      <c r="M660" s="29"/>
      <c r="N660" s="29"/>
      <c r="O660" s="29"/>
      <c r="P660" s="29"/>
      <c r="Q660" s="34"/>
      <c r="R660" s="34"/>
      <c r="S660" s="29"/>
      <c r="T660" s="29"/>
      <c r="U660" s="29"/>
      <c r="V660" s="29"/>
      <c r="W660" s="29"/>
      <c r="X660" s="29"/>
      <c r="Y660" s="2"/>
      <c r="Z660" s="34"/>
      <c r="AA660" s="2"/>
      <c r="AB660" s="29"/>
      <c r="AC660" s="29"/>
      <c r="AD660" s="29"/>
      <c r="AE660" s="29"/>
      <c r="AF660" s="29"/>
      <c r="AG660" s="29"/>
      <c r="AH660" s="29"/>
      <c r="AI660" s="29"/>
      <c r="AJ660" s="34"/>
      <c r="AK660" s="34"/>
      <c r="AL660" s="29"/>
      <c r="AM660" s="29"/>
    </row>
    <row x14ac:dyDescent="0.25" r="661" customHeight="1" ht="15.75">
      <c r="A661" s="1"/>
      <c r="B661" s="34"/>
      <c r="C661" s="34"/>
      <c r="D661" s="34"/>
      <c r="E661" s="34"/>
      <c r="F661" s="34"/>
      <c r="G661" s="60"/>
      <c r="H661" s="60"/>
      <c r="I661" s="29"/>
      <c r="J661" s="29"/>
      <c r="K661" s="29"/>
      <c r="L661" s="29"/>
      <c r="M661" s="29"/>
      <c r="N661" s="29"/>
      <c r="O661" s="29"/>
      <c r="P661" s="29"/>
      <c r="Q661" s="34"/>
      <c r="R661" s="34"/>
      <c r="S661" s="29"/>
      <c r="T661" s="29"/>
      <c r="U661" s="29"/>
      <c r="V661" s="29"/>
      <c r="W661" s="29"/>
      <c r="X661" s="29"/>
      <c r="Y661" s="2"/>
      <c r="Z661" s="34"/>
      <c r="AA661" s="2"/>
      <c r="AB661" s="29"/>
      <c r="AC661" s="29"/>
      <c r="AD661" s="29"/>
      <c r="AE661" s="29"/>
      <c r="AF661" s="29"/>
      <c r="AG661" s="29"/>
      <c r="AH661" s="29"/>
      <c r="AI661" s="29"/>
      <c r="AJ661" s="34"/>
      <c r="AK661" s="34"/>
      <c r="AL661" s="29"/>
      <c r="AM661" s="29"/>
    </row>
    <row x14ac:dyDescent="0.25" r="662" customHeight="1" ht="15.75">
      <c r="A662" s="1"/>
      <c r="B662" s="34"/>
      <c r="C662" s="34"/>
      <c r="D662" s="34"/>
      <c r="E662" s="34"/>
      <c r="F662" s="34"/>
      <c r="G662" s="60"/>
      <c r="H662" s="60"/>
      <c r="I662" s="29"/>
      <c r="J662" s="29"/>
      <c r="K662" s="29"/>
      <c r="L662" s="29"/>
      <c r="M662" s="29"/>
      <c r="N662" s="29"/>
      <c r="O662" s="29"/>
      <c r="P662" s="29"/>
      <c r="Q662" s="34"/>
      <c r="R662" s="34"/>
      <c r="S662" s="29"/>
      <c r="T662" s="29"/>
      <c r="U662" s="29"/>
      <c r="V662" s="29"/>
      <c r="W662" s="29"/>
      <c r="X662" s="29"/>
      <c r="Y662" s="2"/>
      <c r="Z662" s="34"/>
      <c r="AA662" s="2"/>
      <c r="AB662" s="29"/>
      <c r="AC662" s="29"/>
      <c r="AD662" s="29"/>
      <c r="AE662" s="29"/>
      <c r="AF662" s="29"/>
      <c r="AG662" s="29"/>
      <c r="AH662" s="29"/>
      <c r="AI662" s="29"/>
      <c r="AJ662" s="34"/>
      <c r="AK662" s="34"/>
      <c r="AL662" s="29"/>
      <c r="AM662" s="29"/>
    </row>
    <row x14ac:dyDescent="0.25" r="663" customHeight="1" ht="15.75">
      <c r="A663" s="1"/>
      <c r="B663" s="34"/>
      <c r="C663" s="34"/>
      <c r="D663" s="34"/>
      <c r="E663" s="34"/>
      <c r="F663" s="34"/>
      <c r="G663" s="60"/>
      <c r="H663" s="60"/>
      <c r="I663" s="29"/>
      <c r="J663" s="29"/>
      <c r="K663" s="29"/>
      <c r="L663" s="29"/>
      <c r="M663" s="29"/>
      <c r="N663" s="29"/>
      <c r="O663" s="29"/>
      <c r="P663" s="29"/>
      <c r="Q663" s="34"/>
      <c r="R663" s="34"/>
      <c r="S663" s="29"/>
      <c r="T663" s="29"/>
      <c r="U663" s="29"/>
      <c r="V663" s="29"/>
      <c r="W663" s="29"/>
      <c r="X663" s="29"/>
      <c r="Y663" s="2"/>
      <c r="Z663" s="34"/>
      <c r="AA663" s="2"/>
      <c r="AB663" s="29"/>
      <c r="AC663" s="29"/>
      <c r="AD663" s="29"/>
      <c r="AE663" s="29"/>
      <c r="AF663" s="29"/>
      <c r="AG663" s="29"/>
      <c r="AH663" s="29"/>
      <c r="AI663" s="29"/>
      <c r="AJ663" s="34"/>
      <c r="AK663" s="34"/>
      <c r="AL663" s="29"/>
      <c r="AM663" s="29"/>
    </row>
    <row x14ac:dyDescent="0.25" r="664" customHeight="1" ht="15.75">
      <c r="A664" s="1"/>
      <c r="B664" s="34"/>
      <c r="C664" s="34"/>
      <c r="D664" s="34"/>
      <c r="E664" s="34"/>
      <c r="F664" s="34"/>
      <c r="G664" s="60"/>
      <c r="H664" s="60"/>
      <c r="I664" s="29"/>
      <c r="J664" s="29"/>
      <c r="K664" s="29"/>
      <c r="L664" s="29"/>
      <c r="M664" s="29"/>
      <c r="N664" s="29"/>
      <c r="O664" s="29"/>
      <c r="P664" s="29"/>
      <c r="Q664" s="34"/>
      <c r="R664" s="34"/>
      <c r="S664" s="29"/>
      <c r="T664" s="29"/>
      <c r="U664" s="29"/>
      <c r="V664" s="29"/>
      <c r="W664" s="29"/>
      <c r="X664" s="29"/>
      <c r="Y664" s="2"/>
      <c r="Z664" s="34"/>
      <c r="AA664" s="2"/>
      <c r="AB664" s="29"/>
      <c r="AC664" s="29"/>
      <c r="AD664" s="29"/>
      <c r="AE664" s="29"/>
      <c r="AF664" s="29"/>
      <c r="AG664" s="29"/>
      <c r="AH664" s="29"/>
      <c r="AI664" s="29"/>
      <c r="AJ664" s="34"/>
      <c r="AK664" s="34"/>
      <c r="AL664" s="29"/>
      <c r="AM664" s="29"/>
    </row>
    <row x14ac:dyDescent="0.25" r="665" customHeight="1" ht="15.75">
      <c r="A665" s="1"/>
      <c r="B665" s="34"/>
      <c r="C665" s="34"/>
      <c r="D665" s="34"/>
      <c r="E665" s="34"/>
      <c r="F665" s="34"/>
      <c r="G665" s="60"/>
      <c r="H665" s="60"/>
      <c r="I665" s="29"/>
      <c r="J665" s="29"/>
      <c r="K665" s="29"/>
      <c r="L665" s="29"/>
      <c r="M665" s="29"/>
      <c r="N665" s="29"/>
      <c r="O665" s="29"/>
      <c r="P665" s="29"/>
      <c r="Q665" s="34"/>
      <c r="R665" s="34"/>
      <c r="S665" s="29"/>
      <c r="T665" s="29"/>
      <c r="U665" s="29"/>
      <c r="V665" s="29"/>
      <c r="W665" s="29"/>
      <c r="X665" s="29"/>
      <c r="Y665" s="2"/>
      <c r="Z665" s="34"/>
      <c r="AA665" s="2"/>
      <c r="AB665" s="29"/>
      <c r="AC665" s="29"/>
      <c r="AD665" s="29"/>
      <c r="AE665" s="29"/>
      <c r="AF665" s="29"/>
      <c r="AG665" s="29"/>
      <c r="AH665" s="29"/>
      <c r="AI665" s="29"/>
      <c r="AJ665" s="34"/>
      <c r="AK665" s="34"/>
      <c r="AL665" s="29"/>
      <c r="AM665" s="29"/>
    </row>
    <row x14ac:dyDescent="0.25" r="666" customHeight="1" ht="15.75">
      <c r="A666" s="1"/>
      <c r="B666" s="34"/>
      <c r="C666" s="34"/>
      <c r="D666" s="34"/>
      <c r="E666" s="34"/>
      <c r="F666" s="34"/>
      <c r="G666" s="60"/>
      <c r="H666" s="60"/>
      <c r="I666" s="29"/>
      <c r="J666" s="29"/>
      <c r="K666" s="29"/>
      <c r="L666" s="29"/>
      <c r="M666" s="29"/>
      <c r="N666" s="29"/>
      <c r="O666" s="29"/>
      <c r="P666" s="29"/>
      <c r="Q666" s="34"/>
      <c r="R666" s="34"/>
      <c r="S666" s="29"/>
      <c r="T666" s="29"/>
      <c r="U666" s="29"/>
      <c r="V666" s="29"/>
      <c r="W666" s="29"/>
      <c r="X666" s="29"/>
      <c r="Y666" s="2"/>
      <c r="Z666" s="34"/>
      <c r="AA666" s="2"/>
      <c r="AB666" s="29"/>
      <c r="AC666" s="29"/>
      <c r="AD666" s="29"/>
      <c r="AE666" s="29"/>
      <c r="AF666" s="29"/>
      <c r="AG666" s="29"/>
      <c r="AH666" s="29"/>
      <c r="AI666" s="29"/>
      <c r="AJ666" s="34"/>
      <c r="AK666" s="34"/>
      <c r="AL666" s="29"/>
      <c r="AM666" s="29"/>
    </row>
    <row x14ac:dyDescent="0.25" r="667" customHeight="1" ht="15.75">
      <c r="A667" s="1"/>
      <c r="B667" s="34"/>
      <c r="C667" s="34"/>
      <c r="D667" s="34"/>
      <c r="E667" s="34"/>
      <c r="F667" s="34"/>
      <c r="G667" s="60"/>
      <c r="H667" s="60"/>
      <c r="I667" s="29"/>
      <c r="J667" s="29"/>
      <c r="K667" s="29"/>
      <c r="L667" s="29"/>
      <c r="M667" s="29"/>
      <c r="N667" s="29"/>
      <c r="O667" s="29"/>
      <c r="P667" s="29"/>
      <c r="Q667" s="34"/>
      <c r="R667" s="34"/>
      <c r="S667" s="29"/>
      <c r="T667" s="29"/>
      <c r="U667" s="29"/>
      <c r="V667" s="29"/>
      <c r="W667" s="29"/>
      <c r="X667" s="29"/>
      <c r="Y667" s="2"/>
      <c r="Z667" s="34"/>
      <c r="AA667" s="2"/>
      <c r="AB667" s="29"/>
      <c r="AC667" s="29"/>
      <c r="AD667" s="29"/>
      <c r="AE667" s="29"/>
      <c r="AF667" s="29"/>
      <c r="AG667" s="29"/>
      <c r="AH667" s="29"/>
      <c r="AI667" s="29"/>
      <c r="AJ667" s="34"/>
      <c r="AK667" s="34"/>
      <c r="AL667" s="29"/>
      <c r="AM667" s="29"/>
    </row>
    <row x14ac:dyDescent="0.25" r="668" customHeight="1" ht="15.75">
      <c r="A668" s="1"/>
      <c r="B668" s="34"/>
      <c r="C668" s="34"/>
      <c r="D668" s="34"/>
      <c r="E668" s="34"/>
      <c r="F668" s="34"/>
      <c r="G668" s="60"/>
      <c r="H668" s="60"/>
      <c r="I668" s="29"/>
      <c r="J668" s="29"/>
      <c r="K668" s="29"/>
      <c r="L668" s="29"/>
      <c r="M668" s="29"/>
      <c r="N668" s="29"/>
      <c r="O668" s="29"/>
      <c r="P668" s="29"/>
      <c r="Q668" s="34"/>
      <c r="R668" s="34"/>
      <c r="S668" s="29"/>
      <c r="T668" s="29"/>
      <c r="U668" s="29"/>
      <c r="V668" s="29"/>
      <c r="W668" s="29"/>
      <c r="X668" s="29"/>
      <c r="Y668" s="2"/>
      <c r="Z668" s="34"/>
      <c r="AA668" s="2"/>
      <c r="AB668" s="29"/>
      <c r="AC668" s="29"/>
      <c r="AD668" s="29"/>
      <c r="AE668" s="29"/>
      <c r="AF668" s="29"/>
      <c r="AG668" s="29"/>
      <c r="AH668" s="29"/>
      <c r="AI668" s="29"/>
      <c r="AJ668" s="34"/>
      <c r="AK668" s="34"/>
      <c r="AL668" s="29"/>
      <c r="AM668" s="29"/>
    </row>
    <row x14ac:dyDescent="0.25" r="669" customHeight="1" ht="15.75">
      <c r="A669" s="1"/>
      <c r="B669" s="34"/>
      <c r="C669" s="34"/>
      <c r="D669" s="34"/>
      <c r="E669" s="34"/>
      <c r="F669" s="34"/>
      <c r="G669" s="60"/>
      <c r="H669" s="60"/>
      <c r="I669" s="29"/>
      <c r="J669" s="29"/>
      <c r="K669" s="29"/>
      <c r="L669" s="29"/>
      <c r="M669" s="29"/>
      <c r="N669" s="29"/>
      <c r="O669" s="29"/>
      <c r="P669" s="29"/>
      <c r="Q669" s="34"/>
      <c r="R669" s="34"/>
      <c r="S669" s="29"/>
      <c r="T669" s="29"/>
      <c r="U669" s="29"/>
      <c r="V669" s="29"/>
      <c r="W669" s="29"/>
      <c r="X669" s="29"/>
      <c r="Y669" s="2"/>
      <c r="Z669" s="34"/>
      <c r="AA669" s="2"/>
      <c r="AB669" s="29"/>
      <c r="AC669" s="29"/>
      <c r="AD669" s="29"/>
      <c r="AE669" s="29"/>
      <c r="AF669" s="29"/>
      <c r="AG669" s="29"/>
      <c r="AH669" s="29"/>
      <c r="AI669" s="29"/>
      <c r="AJ669" s="34"/>
      <c r="AK669" s="34"/>
      <c r="AL669" s="29"/>
      <c r="AM669" s="29"/>
    </row>
    <row x14ac:dyDescent="0.25" r="670" customHeight="1" ht="15.75">
      <c r="A670" s="1"/>
      <c r="B670" s="34"/>
      <c r="C670" s="34"/>
      <c r="D670" s="34"/>
      <c r="E670" s="34"/>
      <c r="F670" s="34"/>
      <c r="G670" s="60"/>
      <c r="H670" s="60"/>
      <c r="I670" s="29"/>
      <c r="J670" s="29"/>
      <c r="K670" s="29"/>
      <c r="L670" s="29"/>
      <c r="M670" s="29"/>
      <c r="N670" s="29"/>
      <c r="O670" s="29"/>
      <c r="P670" s="29"/>
      <c r="Q670" s="34"/>
      <c r="R670" s="34"/>
      <c r="S670" s="29"/>
      <c r="T670" s="29"/>
      <c r="U670" s="29"/>
      <c r="V670" s="29"/>
      <c r="W670" s="29"/>
      <c r="X670" s="29"/>
      <c r="Y670" s="2"/>
      <c r="Z670" s="34"/>
      <c r="AA670" s="2"/>
      <c r="AB670" s="29"/>
      <c r="AC670" s="29"/>
      <c r="AD670" s="29"/>
      <c r="AE670" s="29"/>
      <c r="AF670" s="29"/>
      <c r="AG670" s="29"/>
      <c r="AH670" s="29"/>
      <c r="AI670" s="29"/>
      <c r="AJ670" s="34"/>
      <c r="AK670" s="34"/>
      <c r="AL670" s="29"/>
      <c r="AM670" s="29"/>
    </row>
    <row x14ac:dyDescent="0.25" r="671" customHeight="1" ht="15.75">
      <c r="A671" s="1"/>
      <c r="B671" s="34"/>
      <c r="C671" s="34"/>
      <c r="D671" s="34"/>
      <c r="E671" s="34"/>
      <c r="F671" s="34"/>
      <c r="G671" s="60"/>
      <c r="H671" s="60"/>
      <c r="I671" s="29"/>
      <c r="J671" s="29"/>
      <c r="K671" s="29"/>
      <c r="L671" s="29"/>
      <c r="M671" s="29"/>
      <c r="N671" s="29"/>
      <c r="O671" s="29"/>
      <c r="P671" s="29"/>
      <c r="Q671" s="34"/>
      <c r="R671" s="34"/>
      <c r="S671" s="29"/>
      <c r="T671" s="29"/>
      <c r="U671" s="29"/>
      <c r="V671" s="29"/>
      <c r="W671" s="29"/>
      <c r="X671" s="29"/>
      <c r="Y671" s="2"/>
      <c r="Z671" s="34"/>
      <c r="AA671" s="2"/>
      <c r="AB671" s="29"/>
      <c r="AC671" s="29"/>
      <c r="AD671" s="29"/>
      <c r="AE671" s="29"/>
      <c r="AF671" s="29"/>
      <c r="AG671" s="29"/>
      <c r="AH671" s="29"/>
      <c r="AI671" s="29"/>
      <c r="AJ671" s="34"/>
      <c r="AK671" s="34"/>
      <c r="AL671" s="29"/>
      <c r="AM671" s="29"/>
    </row>
    <row x14ac:dyDescent="0.25" r="672" customHeight="1" ht="15.75">
      <c r="A672" s="1"/>
      <c r="B672" s="34"/>
      <c r="C672" s="34"/>
      <c r="D672" s="34"/>
      <c r="E672" s="34"/>
      <c r="F672" s="34"/>
      <c r="G672" s="60"/>
      <c r="H672" s="60"/>
      <c r="I672" s="29"/>
      <c r="J672" s="29"/>
      <c r="K672" s="29"/>
      <c r="L672" s="29"/>
      <c r="M672" s="29"/>
      <c r="N672" s="29"/>
      <c r="O672" s="29"/>
      <c r="P672" s="29"/>
      <c r="Q672" s="34"/>
      <c r="R672" s="34"/>
      <c r="S672" s="29"/>
      <c r="T672" s="29"/>
      <c r="U672" s="29"/>
      <c r="V672" s="29"/>
      <c r="W672" s="29"/>
      <c r="X672" s="29"/>
      <c r="Y672" s="2"/>
      <c r="Z672" s="34"/>
      <c r="AA672" s="2"/>
      <c r="AB672" s="29"/>
      <c r="AC672" s="29"/>
      <c r="AD672" s="29"/>
      <c r="AE672" s="29"/>
      <c r="AF672" s="29"/>
      <c r="AG672" s="29"/>
      <c r="AH672" s="29"/>
      <c r="AI672" s="29"/>
      <c r="AJ672" s="34"/>
      <c r="AK672" s="34"/>
      <c r="AL672" s="29"/>
      <c r="AM672" s="29"/>
    </row>
    <row x14ac:dyDescent="0.25" r="673" customHeight="1" ht="15.75">
      <c r="A673" s="1"/>
      <c r="B673" s="34"/>
      <c r="C673" s="34"/>
      <c r="D673" s="34"/>
      <c r="E673" s="34"/>
      <c r="F673" s="34"/>
      <c r="G673" s="60"/>
      <c r="H673" s="60"/>
      <c r="I673" s="29"/>
      <c r="J673" s="29"/>
      <c r="K673" s="29"/>
      <c r="L673" s="29"/>
      <c r="M673" s="29"/>
      <c r="N673" s="29"/>
      <c r="O673" s="29"/>
      <c r="P673" s="29"/>
      <c r="Q673" s="34"/>
      <c r="R673" s="34"/>
      <c r="S673" s="29"/>
      <c r="T673" s="29"/>
      <c r="U673" s="29"/>
      <c r="V673" s="29"/>
      <c r="W673" s="29"/>
      <c r="X673" s="29"/>
      <c r="Y673" s="2"/>
      <c r="Z673" s="34"/>
      <c r="AA673" s="2"/>
      <c r="AB673" s="29"/>
      <c r="AC673" s="29"/>
      <c r="AD673" s="29"/>
      <c r="AE673" s="29"/>
      <c r="AF673" s="29"/>
      <c r="AG673" s="29"/>
      <c r="AH673" s="29"/>
      <c r="AI673" s="29"/>
      <c r="AJ673" s="34"/>
      <c r="AK673" s="34"/>
      <c r="AL673" s="29"/>
      <c r="AM673" s="29"/>
    </row>
    <row x14ac:dyDescent="0.25" r="674" customHeight="1" ht="15.75">
      <c r="A674" s="1"/>
      <c r="B674" s="34"/>
      <c r="C674" s="34"/>
      <c r="D674" s="34"/>
      <c r="E674" s="34"/>
      <c r="F674" s="34"/>
      <c r="G674" s="60"/>
      <c r="H674" s="60"/>
      <c r="I674" s="29"/>
      <c r="J674" s="29"/>
      <c r="K674" s="29"/>
      <c r="L674" s="29"/>
      <c r="M674" s="29"/>
      <c r="N674" s="29"/>
      <c r="O674" s="29"/>
      <c r="P674" s="29"/>
      <c r="Q674" s="34"/>
      <c r="R674" s="34"/>
      <c r="S674" s="29"/>
      <c r="T674" s="29"/>
      <c r="U674" s="29"/>
      <c r="V674" s="29"/>
      <c r="W674" s="29"/>
      <c r="X674" s="29"/>
      <c r="Y674" s="2"/>
      <c r="Z674" s="34"/>
      <c r="AA674" s="2"/>
      <c r="AB674" s="29"/>
      <c r="AC674" s="29"/>
      <c r="AD674" s="29"/>
      <c r="AE674" s="29"/>
      <c r="AF674" s="29"/>
      <c r="AG674" s="29"/>
      <c r="AH674" s="29"/>
      <c r="AI674" s="29"/>
      <c r="AJ674" s="34"/>
      <c r="AK674" s="34"/>
      <c r="AL674" s="29"/>
      <c r="AM674" s="29"/>
    </row>
    <row x14ac:dyDescent="0.25" r="675" customHeight="1" ht="15.75">
      <c r="A675" s="1"/>
      <c r="B675" s="34"/>
      <c r="C675" s="34"/>
      <c r="D675" s="34"/>
      <c r="E675" s="34"/>
      <c r="F675" s="34"/>
      <c r="G675" s="60"/>
      <c r="H675" s="60"/>
      <c r="I675" s="29"/>
      <c r="J675" s="29"/>
      <c r="K675" s="29"/>
      <c r="L675" s="29"/>
      <c r="M675" s="29"/>
      <c r="N675" s="29"/>
      <c r="O675" s="29"/>
      <c r="P675" s="29"/>
      <c r="Q675" s="34"/>
      <c r="R675" s="34"/>
      <c r="S675" s="29"/>
      <c r="T675" s="29"/>
      <c r="U675" s="29"/>
      <c r="V675" s="29"/>
      <c r="W675" s="29"/>
      <c r="X675" s="29"/>
      <c r="Y675" s="2"/>
      <c r="Z675" s="34"/>
      <c r="AA675" s="2"/>
      <c r="AB675" s="29"/>
      <c r="AC675" s="29"/>
      <c r="AD675" s="29"/>
      <c r="AE675" s="29"/>
      <c r="AF675" s="29"/>
      <c r="AG675" s="29"/>
      <c r="AH675" s="29"/>
      <c r="AI675" s="29"/>
      <c r="AJ675" s="34"/>
      <c r="AK675" s="34"/>
      <c r="AL675" s="29"/>
      <c r="AM675" s="29"/>
    </row>
    <row x14ac:dyDescent="0.25" r="676" customHeight="1" ht="15.75">
      <c r="A676" s="1"/>
      <c r="B676" s="34"/>
      <c r="C676" s="34"/>
      <c r="D676" s="34"/>
      <c r="E676" s="34"/>
      <c r="F676" s="34"/>
      <c r="G676" s="60"/>
      <c r="H676" s="60"/>
      <c r="I676" s="29"/>
      <c r="J676" s="29"/>
      <c r="K676" s="29"/>
      <c r="L676" s="29"/>
      <c r="M676" s="29"/>
      <c r="N676" s="29"/>
      <c r="O676" s="29"/>
      <c r="P676" s="29"/>
      <c r="Q676" s="34"/>
      <c r="R676" s="34"/>
      <c r="S676" s="29"/>
      <c r="T676" s="29"/>
      <c r="U676" s="29"/>
      <c r="V676" s="29"/>
      <c r="W676" s="29"/>
      <c r="X676" s="29"/>
      <c r="Y676" s="2"/>
      <c r="Z676" s="34"/>
      <c r="AA676" s="2"/>
      <c r="AB676" s="29"/>
      <c r="AC676" s="29"/>
      <c r="AD676" s="29"/>
      <c r="AE676" s="29"/>
      <c r="AF676" s="29"/>
      <c r="AG676" s="29"/>
      <c r="AH676" s="29"/>
      <c r="AI676" s="29"/>
      <c r="AJ676" s="34"/>
      <c r="AK676" s="34"/>
      <c r="AL676" s="29"/>
      <c r="AM676" s="29"/>
    </row>
    <row x14ac:dyDescent="0.25" r="677" customHeight="1" ht="15.75">
      <c r="A677" s="1"/>
      <c r="B677" s="34"/>
      <c r="C677" s="34"/>
      <c r="D677" s="34"/>
      <c r="E677" s="34"/>
      <c r="F677" s="34"/>
      <c r="G677" s="60"/>
      <c r="H677" s="60"/>
      <c r="I677" s="29"/>
      <c r="J677" s="29"/>
      <c r="K677" s="29"/>
      <c r="L677" s="29"/>
      <c r="M677" s="29"/>
      <c r="N677" s="29"/>
      <c r="O677" s="29"/>
      <c r="P677" s="29"/>
      <c r="Q677" s="34"/>
      <c r="R677" s="34"/>
      <c r="S677" s="29"/>
      <c r="T677" s="29"/>
      <c r="U677" s="29"/>
      <c r="V677" s="29"/>
      <c r="W677" s="29"/>
      <c r="X677" s="29"/>
      <c r="Y677" s="2"/>
      <c r="Z677" s="34"/>
      <c r="AA677" s="2"/>
      <c r="AB677" s="29"/>
      <c r="AC677" s="29"/>
      <c r="AD677" s="29"/>
      <c r="AE677" s="29"/>
      <c r="AF677" s="29"/>
      <c r="AG677" s="29"/>
      <c r="AH677" s="29"/>
      <c r="AI677" s="29"/>
      <c r="AJ677" s="34"/>
      <c r="AK677" s="34"/>
      <c r="AL677" s="29"/>
      <c r="AM677" s="29"/>
    </row>
    <row x14ac:dyDescent="0.25" r="678" customHeight="1" ht="15.75">
      <c r="A678" s="1"/>
      <c r="B678" s="34"/>
      <c r="C678" s="34"/>
      <c r="D678" s="34"/>
      <c r="E678" s="34"/>
      <c r="F678" s="34"/>
      <c r="G678" s="60"/>
      <c r="H678" s="60"/>
      <c r="I678" s="29"/>
      <c r="J678" s="29"/>
      <c r="K678" s="29"/>
      <c r="L678" s="29"/>
      <c r="M678" s="29"/>
      <c r="N678" s="29"/>
      <c r="O678" s="29"/>
      <c r="P678" s="29"/>
      <c r="Q678" s="34"/>
      <c r="R678" s="34"/>
      <c r="S678" s="29"/>
      <c r="T678" s="29"/>
      <c r="U678" s="29"/>
      <c r="V678" s="29"/>
      <c r="W678" s="29"/>
      <c r="X678" s="29"/>
      <c r="Y678" s="2"/>
      <c r="Z678" s="34"/>
      <c r="AA678" s="2"/>
      <c r="AB678" s="29"/>
      <c r="AC678" s="29"/>
      <c r="AD678" s="29"/>
      <c r="AE678" s="29"/>
      <c r="AF678" s="29"/>
      <c r="AG678" s="29"/>
      <c r="AH678" s="29"/>
      <c r="AI678" s="29"/>
      <c r="AJ678" s="34"/>
      <c r="AK678" s="34"/>
      <c r="AL678" s="29"/>
      <c r="AM678" s="29"/>
    </row>
    <row x14ac:dyDescent="0.25" r="679" customHeight="1" ht="15.75">
      <c r="A679" s="1"/>
      <c r="B679" s="34"/>
      <c r="C679" s="34"/>
      <c r="D679" s="34"/>
      <c r="E679" s="34"/>
      <c r="F679" s="34"/>
      <c r="G679" s="60"/>
      <c r="H679" s="60"/>
      <c r="I679" s="29"/>
      <c r="J679" s="29"/>
      <c r="K679" s="29"/>
      <c r="L679" s="29"/>
      <c r="M679" s="29"/>
      <c r="N679" s="29"/>
      <c r="O679" s="29"/>
      <c r="P679" s="29"/>
      <c r="Q679" s="34"/>
      <c r="R679" s="34"/>
      <c r="S679" s="29"/>
      <c r="T679" s="29"/>
      <c r="U679" s="29"/>
      <c r="V679" s="29"/>
      <c r="W679" s="29"/>
      <c r="X679" s="29"/>
      <c r="Y679" s="2"/>
      <c r="Z679" s="34"/>
      <c r="AA679" s="2"/>
      <c r="AB679" s="29"/>
      <c r="AC679" s="29"/>
      <c r="AD679" s="29"/>
      <c r="AE679" s="29"/>
      <c r="AF679" s="29"/>
      <c r="AG679" s="29"/>
      <c r="AH679" s="29"/>
      <c r="AI679" s="29"/>
      <c r="AJ679" s="34"/>
      <c r="AK679" s="34"/>
      <c r="AL679" s="29"/>
      <c r="AM679" s="29"/>
    </row>
    <row x14ac:dyDescent="0.25" r="680" customHeight="1" ht="15.75">
      <c r="A680" s="1"/>
      <c r="B680" s="34"/>
      <c r="C680" s="34"/>
      <c r="D680" s="34"/>
      <c r="E680" s="34"/>
      <c r="F680" s="34"/>
      <c r="G680" s="60"/>
      <c r="H680" s="60"/>
      <c r="I680" s="29"/>
      <c r="J680" s="29"/>
      <c r="K680" s="29"/>
      <c r="L680" s="29"/>
      <c r="M680" s="29"/>
      <c r="N680" s="29"/>
      <c r="O680" s="29"/>
      <c r="P680" s="29"/>
      <c r="Q680" s="34"/>
      <c r="R680" s="34"/>
      <c r="S680" s="29"/>
      <c r="T680" s="29"/>
      <c r="U680" s="29"/>
      <c r="V680" s="29"/>
      <c r="W680" s="29"/>
      <c r="X680" s="29"/>
      <c r="Y680" s="2"/>
      <c r="Z680" s="34"/>
      <c r="AA680" s="2"/>
      <c r="AB680" s="29"/>
      <c r="AC680" s="29"/>
      <c r="AD680" s="29"/>
      <c r="AE680" s="29"/>
      <c r="AF680" s="29"/>
      <c r="AG680" s="29"/>
      <c r="AH680" s="29"/>
      <c r="AI680" s="29"/>
      <c r="AJ680" s="34"/>
      <c r="AK680" s="34"/>
      <c r="AL680" s="29"/>
      <c r="AM680" s="29"/>
    </row>
    <row x14ac:dyDescent="0.25" r="681" customHeight="1" ht="15.75">
      <c r="A681" s="1"/>
      <c r="B681" s="34"/>
      <c r="C681" s="34"/>
      <c r="D681" s="34"/>
      <c r="E681" s="34"/>
      <c r="F681" s="34"/>
      <c r="G681" s="60"/>
      <c r="H681" s="60"/>
      <c r="I681" s="29"/>
      <c r="J681" s="29"/>
      <c r="K681" s="29"/>
      <c r="L681" s="29"/>
      <c r="M681" s="29"/>
      <c r="N681" s="29"/>
      <c r="O681" s="29"/>
      <c r="P681" s="29"/>
      <c r="Q681" s="34"/>
      <c r="R681" s="34"/>
      <c r="S681" s="29"/>
      <c r="T681" s="29"/>
      <c r="U681" s="29"/>
      <c r="V681" s="29"/>
      <c r="W681" s="29"/>
      <c r="X681" s="29"/>
      <c r="Y681" s="2"/>
      <c r="Z681" s="34"/>
      <c r="AA681" s="2"/>
      <c r="AB681" s="29"/>
      <c r="AC681" s="29"/>
      <c r="AD681" s="29"/>
      <c r="AE681" s="29"/>
      <c r="AF681" s="29"/>
      <c r="AG681" s="29"/>
      <c r="AH681" s="29"/>
      <c r="AI681" s="29"/>
      <c r="AJ681" s="34"/>
      <c r="AK681" s="34"/>
      <c r="AL681" s="29"/>
      <c r="AM681" s="29"/>
    </row>
    <row x14ac:dyDescent="0.25" r="682" customHeight="1" ht="15.75">
      <c r="A682" s="1"/>
      <c r="B682" s="34"/>
      <c r="C682" s="34"/>
      <c r="D682" s="34"/>
      <c r="E682" s="34"/>
      <c r="F682" s="34"/>
      <c r="G682" s="60"/>
      <c r="H682" s="60"/>
      <c r="I682" s="29"/>
      <c r="J682" s="29"/>
      <c r="K682" s="29"/>
      <c r="L682" s="29"/>
      <c r="M682" s="29"/>
      <c r="N682" s="29"/>
      <c r="O682" s="29"/>
      <c r="P682" s="29"/>
      <c r="Q682" s="34"/>
      <c r="R682" s="34"/>
      <c r="S682" s="29"/>
      <c r="T682" s="29"/>
      <c r="U682" s="29"/>
      <c r="V682" s="29"/>
      <c r="W682" s="29"/>
      <c r="X682" s="29"/>
      <c r="Y682" s="2"/>
      <c r="Z682" s="34"/>
      <c r="AA682" s="2"/>
      <c r="AB682" s="29"/>
      <c r="AC682" s="29"/>
      <c r="AD682" s="29"/>
      <c r="AE682" s="29"/>
      <c r="AF682" s="29"/>
      <c r="AG682" s="29"/>
      <c r="AH682" s="29"/>
      <c r="AI682" s="29"/>
      <c r="AJ682" s="34"/>
      <c r="AK682" s="34"/>
      <c r="AL682" s="29"/>
      <c r="AM682" s="29"/>
    </row>
    <row x14ac:dyDescent="0.25" r="683" customHeight="1" ht="15.75">
      <c r="A683" s="1"/>
      <c r="B683" s="34"/>
      <c r="C683" s="34"/>
      <c r="D683" s="34"/>
      <c r="E683" s="34"/>
      <c r="F683" s="34"/>
      <c r="G683" s="60"/>
      <c r="H683" s="60"/>
      <c r="I683" s="29"/>
      <c r="J683" s="29"/>
      <c r="K683" s="29"/>
      <c r="L683" s="29"/>
      <c r="M683" s="29"/>
      <c r="N683" s="29"/>
      <c r="O683" s="29"/>
      <c r="P683" s="29"/>
      <c r="Q683" s="34"/>
      <c r="R683" s="34"/>
      <c r="S683" s="29"/>
      <c r="T683" s="29"/>
      <c r="U683" s="29"/>
      <c r="V683" s="29"/>
      <c r="W683" s="29"/>
      <c r="X683" s="29"/>
      <c r="Y683" s="2"/>
      <c r="Z683" s="34"/>
      <c r="AA683" s="2"/>
      <c r="AB683" s="29"/>
      <c r="AC683" s="29"/>
      <c r="AD683" s="29"/>
      <c r="AE683" s="29"/>
      <c r="AF683" s="29"/>
      <c r="AG683" s="29"/>
      <c r="AH683" s="29"/>
      <c r="AI683" s="29"/>
      <c r="AJ683" s="34"/>
      <c r="AK683" s="34"/>
      <c r="AL683" s="29"/>
      <c r="AM683" s="29"/>
    </row>
    <row x14ac:dyDescent="0.25" r="684" customHeight="1" ht="15.75">
      <c r="A684" s="1"/>
      <c r="B684" s="34"/>
      <c r="C684" s="34"/>
      <c r="D684" s="34"/>
      <c r="E684" s="34"/>
      <c r="F684" s="34"/>
      <c r="G684" s="60"/>
      <c r="H684" s="60"/>
      <c r="I684" s="29"/>
      <c r="J684" s="29"/>
      <c r="K684" s="29"/>
      <c r="L684" s="29"/>
      <c r="M684" s="29"/>
      <c r="N684" s="29"/>
      <c r="O684" s="29"/>
      <c r="P684" s="29"/>
      <c r="Q684" s="34"/>
      <c r="R684" s="34"/>
      <c r="S684" s="29"/>
      <c r="T684" s="29"/>
      <c r="U684" s="29"/>
      <c r="V684" s="29"/>
      <c r="W684" s="29"/>
      <c r="X684" s="29"/>
      <c r="Y684" s="2"/>
      <c r="Z684" s="34"/>
      <c r="AA684" s="2"/>
      <c r="AB684" s="29"/>
      <c r="AC684" s="29"/>
      <c r="AD684" s="29"/>
      <c r="AE684" s="29"/>
      <c r="AF684" s="29"/>
      <c r="AG684" s="29"/>
      <c r="AH684" s="29"/>
      <c r="AI684" s="29"/>
      <c r="AJ684" s="34"/>
      <c r="AK684" s="34"/>
      <c r="AL684" s="29"/>
      <c r="AM684" s="29"/>
    </row>
    <row x14ac:dyDescent="0.25" r="685" customHeight="1" ht="15.75">
      <c r="A685" s="1"/>
      <c r="B685" s="34"/>
      <c r="C685" s="34"/>
      <c r="D685" s="34"/>
      <c r="E685" s="34"/>
      <c r="F685" s="34"/>
      <c r="G685" s="60"/>
      <c r="H685" s="60"/>
      <c r="I685" s="29"/>
      <c r="J685" s="29"/>
      <c r="K685" s="29"/>
      <c r="L685" s="29"/>
      <c r="M685" s="29"/>
      <c r="N685" s="29"/>
      <c r="O685" s="29"/>
      <c r="P685" s="29"/>
      <c r="Q685" s="34"/>
      <c r="R685" s="34"/>
      <c r="S685" s="29"/>
      <c r="T685" s="29"/>
      <c r="U685" s="29"/>
      <c r="V685" s="29"/>
      <c r="W685" s="29"/>
      <c r="X685" s="29"/>
      <c r="Y685" s="2"/>
      <c r="Z685" s="34"/>
      <c r="AA685" s="2"/>
      <c r="AB685" s="29"/>
      <c r="AC685" s="29"/>
      <c r="AD685" s="29"/>
      <c r="AE685" s="29"/>
      <c r="AF685" s="29"/>
      <c r="AG685" s="29"/>
      <c r="AH685" s="29"/>
      <c r="AI685" s="29"/>
      <c r="AJ685" s="34"/>
      <c r="AK685" s="34"/>
      <c r="AL685" s="29"/>
      <c r="AM685" s="29"/>
    </row>
    <row x14ac:dyDescent="0.25" r="686" customHeight="1" ht="15.75">
      <c r="A686" s="1"/>
      <c r="B686" s="34"/>
      <c r="C686" s="34"/>
      <c r="D686" s="34"/>
      <c r="E686" s="34"/>
      <c r="F686" s="34"/>
      <c r="G686" s="60"/>
      <c r="H686" s="60"/>
      <c r="I686" s="29"/>
      <c r="J686" s="29"/>
      <c r="K686" s="29"/>
      <c r="L686" s="29"/>
      <c r="M686" s="29"/>
      <c r="N686" s="29"/>
      <c r="O686" s="29"/>
      <c r="P686" s="29"/>
      <c r="Q686" s="34"/>
      <c r="R686" s="34"/>
      <c r="S686" s="29"/>
      <c r="T686" s="29"/>
      <c r="U686" s="29"/>
      <c r="V686" s="29"/>
      <c r="W686" s="29"/>
      <c r="X686" s="29"/>
      <c r="Y686" s="2"/>
      <c r="Z686" s="34"/>
      <c r="AA686" s="2"/>
      <c r="AB686" s="29"/>
      <c r="AC686" s="29"/>
      <c r="AD686" s="29"/>
      <c r="AE686" s="29"/>
      <c r="AF686" s="29"/>
      <c r="AG686" s="29"/>
      <c r="AH686" s="29"/>
      <c r="AI686" s="29"/>
      <c r="AJ686" s="34"/>
      <c r="AK686" s="34"/>
      <c r="AL686" s="29"/>
      <c r="AM686" s="29"/>
    </row>
    <row x14ac:dyDescent="0.25" r="687" customHeight="1" ht="15.75">
      <c r="A687" s="1"/>
      <c r="B687" s="34"/>
      <c r="C687" s="34"/>
      <c r="D687" s="34"/>
      <c r="E687" s="34"/>
      <c r="F687" s="34"/>
      <c r="G687" s="60"/>
      <c r="H687" s="60"/>
      <c r="I687" s="29"/>
      <c r="J687" s="29"/>
      <c r="K687" s="29"/>
      <c r="L687" s="29"/>
      <c r="M687" s="29"/>
      <c r="N687" s="29"/>
      <c r="O687" s="29"/>
      <c r="P687" s="29"/>
      <c r="Q687" s="34"/>
      <c r="R687" s="34"/>
      <c r="S687" s="29"/>
      <c r="T687" s="29"/>
      <c r="U687" s="29"/>
      <c r="V687" s="29"/>
      <c r="W687" s="29"/>
      <c r="X687" s="29"/>
      <c r="Y687" s="2"/>
      <c r="Z687" s="34"/>
      <c r="AA687" s="2"/>
      <c r="AB687" s="29"/>
      <c r="AC687" s="29"/>
      <c r="AD687" s="29"/>
      <c r="AE687" s="29"/>
      <c r="AF687" s="29"/>
      <c r="AG687" s="29"/>
      <c r="AH687" s="29"/>
      <c r="AI687" s="29"/>
      <c r="AJ687" s="34"/>
      <c r="AK687" s="34"/>
      <c r="AL687" s="29"/>
      <c r="AM687" s="29"/>
    </row>
    <row x14ac:dyDescent="0.25" r="688" customHeight="1" ht="15.75">
      <c r="A688" s="1"/>
      <c r="B688" s="34"/>
      <c r="C688" s="34"/>
      <c r="D688" s="34"/>
      <c r="E688" s="34"/>
      <c r="F688" s="34"/>
      <c r="G688" s="60"/>
      <c r="H688" s="60"/>
      <c r="I688" s="29"/>
      <c r="J688" s="29"/>
      <c r="K688" s="29"/>
      <c r="L688" s="29"/>
      <c r="M688" s="29"/>
      <c r="N688" s="29"/>
      <c r="O688" s="29"/>
      <c r="P688" s="29"/>
      <c r="Q688" s="34"/>
      <c r="R688" s="34"/>
      <c r="S688" s="29"/>
      <c r="T688" s="29"/>
      <c r="U688" s="29"/>
      <c r="V688" s="29"/>
      <c r="W688" s="29"/>
      <c r="X688" s="29"/>
      <c r="Y688" s="2"/>
      <c r="Z688" s="34"/>
      <c r="AA688" s="2"/>
      <c r="AB688" s="29"/>
      <c r="AC688" s="29"/>
      <c r="AD688" s="29"/>
      <c r="AE688" s="29"/>
      <c r="AF688" s="29"/>
      <c r="AG688" s="29"/>
      <c r="AH688" s="29"/>
      <c r="AI688" s="29"/>
      <c r="AJ688" s="34"/>
      <c r="AK688" s="34"/>
      <c r="AL688" s="29"/>
      <c r="AM688" s="29"/>
    </row>
    <row x14ac:dyDescent="0.25" r="689" customHeight="1" ht="15.75">
      <c r="A689" s="1"/>
      <c r="B689" s="34"/>
      <c r="C689" s="34"/>
      <c r="D689" s="34"/>
      <c r="E689" s="34"/>
      <c r="F689" s="34"/>
      <c r="G689" s="60"/>
      <c r="H689" s="60"/>
      <c r="I689" s="29"/>
      <c r="J689" s="29"/>
      <c r="K689" s="29"/>
      <c r="L689" s="29"/>
      <c r="M689" s="29"/>
      <c r="N689" s="29"/>
      <c r="O689" s="29"/>
      <c r="P689" s="29"/>
      <c r="Q689" s="34"/>
      <c r="R689" s="34"/>
      <c r="S689" s="29"/>
      <c r="T689" s="29"/>
      <c r="U689" s="29"/>
      <c r="V689" s="29"/>
      <c r="W689" s="29"/>
      <c r="X689" s="29"/>
      <c r="Y689" s="2"/>
      <c r="Z689" s="34"/>
      <c r="AA689" s="2"/>
      <c r="AB689" s="29"/>
      <c r="AC689" s="29"/>
      <c r="AD689" s="29"/>
      <c r="AE689" s="29"/>
      <c r="AF689" s="29"/>
      <c r="AG689" s="29"/>
      <c r="AH689" s="29"/>
      <c r="AI689" s="29"/>
      <c r="AJ689" s="34"/>
      <c r="AK689" s="34"/>
      <c r="AL689" s="29"/>
      <c r="AM689" s="29"/>
    </row>
    <row x14ac:dyDescent="0.25" r="690" customHeight="1" ht="15.75">
      <c r="A690" s="1"/>
      <c r="B690" s="34"/>
      <c r="C690" s="34"/>
      <c r="D690" s="34"/>
      <c r="E690" s="34"/>
      <c r="F690" s="34"/>
      <c r="G690" s="60"/>
      <c r="H690" s="60"/>
      <c r="I690" s="29"/>
      <c r="J690" s="29"/>
      <c r="K690" s="29"/>
      <c r="L690" s="29"/>
      <c r="M690" s="29"/>
      <c r="N690" s="29"/>
      <c r="O690" s="29"/>
      <c r="P690" s="29"/>
      <c r="Q690" s="34"/>
      <c r="R690" s="34"/>
      <c r="S690" s="29"/>
      <c r="T690" s="29"/>
      <c r="U690" s="29"/>
      <c r="V690" s="29"/>
      <c r="W690" s="29"/>
      <c r="X690" s="29"/>
      <c r="Y690" s="2"/>
      <c r="Z690" s="34"/>
      <c r="AA690" s="2"/>
      <c r="AB690" s="29"/>
      <c r="AC690" s="29"/>
      <c r="AD690" s="29"/>
      <c r="AE690" s="29"/>
      <c r="AF690" s="29"/>
      <c r="AG690" s="29"/>
      <c r="AH690" s="29"/>
      <c r="AI690" s="29"/>
      <c r="AJ690" s="34"/>
      <c r="AK690" s="34"/>
      <c r="AL690" s="29"/>
      <c r="AM690" s="29"/>
    </row>
    <row x14ac:dyDescent="0.25" r="691" customHeight="1" ht="15.75">
      <c r="A691" s="1"/>
      <c r="B691" s="34"/>
      <c r="C691" s="34"/>
      <c r="D691" s="34"/>
      <c r="E691" s="34"/>
      <c r="F691" s="34"/>
      <c r="G691" s="60"/>
      <c r="H691" s="60"/>
      <c r="I691" s="29"/>
      <c r="J691" s="29"/>
      <c r="K691" s="29"/>
      <c r="L691" s="29"/>
      <c r="M691" s="29"/>
      <c r="N691" s="29"/>
      <c r="O691" s="29"/>
      <c r="P691" s="29"/>
      <c r="Q691" s="34"/>
      <c r="R691" s="34"/>
      <c r="S691" s="29"/>
      <c r="T691" s="29"/>
      <c r="U691" s="29"/>
      <c r="V691" s="29"/>
      <c r="W691" s="29"/>
      <c r="X691" s="29"/>
      <c r="Y691" s="2"/>
      <c r="Z691" s="34"/>
      <c r="AA691" s="2"/>
      <c r="AB691" s="29"/>
      <c r="AC691" s="29"/>
      <c r="AD691" s="29"/>
      <c r="AE691" s="29"/>
      <c r="AF691" s="29"/>
      <c r="AG691" s="29"/>
      <c r="AH691" s="29"/>
      <c r="AI691" s="29"/>
      <c r="AJ691" s="34"/>
      <c r="AK691" s="34"/>
      <c r="AL691" s="29"/>
      <c r="AM691" s="29"/>
    </row>
    <row x14ac:dyDescent="0.25" r="692" customHeight="1" ht="15.75">
      <c r="A692" s="1"/>
      <c r="B692" s="34"/>
      <c r="C692" s="34"/>
      <c r="D692" s="34"/>
      <c r="E692" s="34"/>
      <c r="F692" s="34"/>
      <c r="G692" s="60"/>
      <c r="H692" s="60"/>
      <c r="I692" s="29"/>
      <c r="J692" s="29"/>
      <c r="K692" s="29"/>
      <c r="L692" s="29"/>
      <c r="M692" s="29"/>
      <c r="N692" s="29"/>
      <c r="O692" s="29"/>
      <c r="P692" s="29"/>
      <c r="Q692" s="34"/>
      <c r="R692" s="34"/>
      <c r="S692" s="29"/>
      <c r="T692" s="29"/>
      <c r="U692" s="29"/>
      <c r="V692" s="29"/>
      <c r="W692" s="29"/>
      <c r="X692" s="29"/>
      <c r="Y692" s="2"/>
      <c r="Z692" s="34"/>
      <c r="AA692" s="2"/>
      <c r="AB692" s="29"/>
      <c r="AC692" s="29"/>
      <c r="AD692" s="29"/>
      <c r="AE692" s="29"/>
      <c r="AF692" s="29"/>
      <c r="AG692" s="29"/>
      <c r="AH692" s="29"/>
      <c r="AI692" s="29"/>
      <c r="AJ692" s="34"/>
      <c r="AK692" s="34"/>
      <c r="AL692" s="29"/>
      <c r="AM692" s="29"/>
    </row>
    <row x14ac:dyDescent="0.25" r="693" customHeight="1" ht="15.75">
      <c r="A693" s="1"/>
      <c r="B693" s="34"/>
      <c r="C693" s="34"/>
      <c r="D693" s="34"/>
      <c r="E693" s="34"/>
      <c r="F693" s="34"/>
      <c r="G693" s="60"/>
      <c r="H693" s="60"/>
      <c r="I693" s="29"/>
      <c r="J693" s="29"/>
      <c r="K693" s="29"/>
      <c r="L693" s="29"/>
      <c r="M693" s="29"/>
      <c r="N693" s="29"/>
      <c r="O693" s="29"/>
      <c r="P693" s="29"/>
      <c r="Q693" s="34"/>
      <c r="R693" s="34"/>
      <c r="S693" s="29"/>
      <c r="T693" s="29"/>
      <c r="U693" s="29"/>
      <c r="V693" s="29"/>
      <c r="W693" s="29"/>
      <c r="X693" s="29"/>
      <c r="Y693" s="2"/>
      <c r="Z693" s="34"/>
      <c r="AA693" s="2"/>
      <c r="AB693" s="29"/>
      <c r="AC693" s="29"/>
      <c r="AD693" s="29"/>
      <c r="AE693" s="29"/>
      <c r="AF693" s="29"/>
      <c r="AG693" s="29"/>
      <c r="AH693" s="29"/>
      <c r="AI693" s="29"/>
      <c r="AJ693" s="34"/>
      <c r="AK693" s="34"/>
      <c r="AL693" s="29"/>
      <c r="AM693" s="29"/>
    </row>
    <row x14ac:dyDescent="0.25" r="694" customHeight="1" ht="15.75">
      <c r="A694" s="1"/>
      <c r="B694" s="34"/>
      <c r="C694" s="34"/>
      <c r="D694" s="34"/>
      <c r="E694" s="34"/>
      <c r="F694" s="34"/>
      <c r="G694" s="60"/>
      <c r="H694" s="60"/>
      <c r="I694" s="29"/>
      <c r="J694" s="29"/>
      <c r="K694" s="29"/>
      <c r="L694" s="29"/>
      <c r="M694" s="29"/>
      <c r="N694" s="29"/>
      <c r="O694" s="29"/>
      <c r="P694" s="29"/>
      <c r="Q694" s="34"/>
      <c r="R694" s="34"/>
      <c r="S694" s="29"/>
      <c r="T694" s="29"/>
      <c r="U694" s="29"/>
      <c r="V694" s="29"/>
      <c r="W694" s="29"/>
      <c r="X694" s="29"/>
      <c r="Y694" s="2"/>
      <c r="Z694" s="34"/>
      <c r="AA694" s="2"/>
      <c r="AB694" s="29"/>
      <c r="AC694" s="29"/>
      <c r="AD694" s="29"/>
      <c r="AE694" s="29"/>
      <c r="AF694" s="29"/>
      <c r="AG694" s="29"/>
      <c r="AH694" s="29"/>
      <c r="AI694" s="29"/>
      <c r="AJ694" s="34"/>
      <c r="AK694" s="34"/>
      <c r="AL694" s="29"/>
      <c r="AM694" s="29"/>
    </row>
    <row x14ac:dyDescent="0.25" r="695" customHeight="1" ht="15.75">
      <c r="A695" s="1"/>
      <c r="B695" s="34"/>
      <c r="C695" s="34"/>
      <c r="D695" s="34"/>
      <c r="E695" s="34"/>
      <c r="F695" s="34"/>
      <c r="G695" s="60"/>
      <c r="H695" s="60"/>
      <c r="I695" s="29"/>
      <c r="J695" s="29"/>
      <c r="K695" s="29"/>
      <c r="L695" s="29"/>
      <c r="M695" s="29"/>
      <c r="N695" s="29"/>
      <c r="O695" s="29"/>
      <c r="P695" s="29"/>
      <c r="Q695" s="34"/>
      <c r="R695" s="34"/>
      <c r="S695" s="29"/>
      <c r="T695" s="29"/>
      <c r="U695" s="29"/>
      <c r="V695" s="29"/>
      <c r="W695" s="29"/>
      <c r="X695" s="29"/>
      <c r="Y695" s="2"/>
      <c r="Z695" s="34"/>
      <c r="AA695" s="2"/>
      <c r="AB695" s="29"/>
      <c r="AC695" s="29"/>
      <c r="AD695" s="29"/>
      <c r="AE695" s="29"/>
      <c r="AF695" s="29"/>
      <c r="AG695" s="29"/>
      <c r="AH695" s="29"/>
      <c r="AI695" s="29"/>
      <c r="AJ695" s="34"/>
      <c r="AK695" s="34"/>
      <c r="AL695" s="29"/>
      <c r="AM695" s="29"/>
    </row>
    <row x14ac:dyDescent="0.25" r="696" customHeight="1" ht="15.75">
      <c r="A696" s="1"/>
      <c r="B696" s="34"/>
      <c r="C696" s="34"/>
      <c r="D696" s="34"/>
      <c r="E696" s="34"/>
      <c r="F696" s="34"/>
      <c r="G696" s="60"/>
      <c r="H696" s="60"/>
      <c r="I696" s="29"/>
      <c r="J696" s="29"/>
      <c r="K696" s="29"/>
      <c r="L696" s="29"/>
      <c r="M696" s="29"/>
      <c r="N696" s="29"/>
      <c r="O696" s="29"/>
      <c r="P696" s="29"/>
      <c r="Q696" s="34"/>
      <c r="R696" s="34"/>
      <c r="S696" s="29"/>
      <c r="T696" s="29"/>
      <c r="U696" s="29"/>
      <c r="V696" s="29"/>
      <c r="W696" s="29"/>
      <c r="X696" s="29"/>
      <c r="Y696" s="2"/>
      <c r="Z696" s="34"/>
      <c r="AA696" s="2"/>
      <c r="AB696" s="29"/>
      <c r="AC696" s="29"/>
      <c r="AD696" s="29"/>
      <c r="AE696" s="29"/>
      <c r="AF696" s="29"/>
      <c r="AG696" s="29"/>
      <c r="AH696" s="29"/>
      <c r="AI696" s="29"/>
      <c r="AJ696" s="34"/>
      <c r="AK696" s="34"/>
      <c r="AL696" s="29"/>
      <c r="AM696" s="29"/>
    </row>
    <row x14ac:dyDescent="0.25" r="697" customHeight="1" ht="15.75">
      <c r="A697" s="1"/>
      <c r="B697" s="34"/>
      <c r="C697" s="34"/>
      <c r="D697" s="34"/>
      <c r="E697" s="34"/>
      <c r="F697" s="34"/>
      <c r="G697" s="60"/>
      <c r="H697" s="60"/>
      <c r="I697" s="29"/>
      <c r="J697" s="29"/>
      <c r="K697" s="29"/>
      <c r="L697" s="29"/>
      <c r="M697" s="29"/>
      <c r="N697" s="29"/>
      <c r="O697" s="29"/>
      <c r="P697" s="29"/>
      <c r="Q697" s="34"/>
      <c r="R697" s="34"/>
      <c r="S697" s="29"/>
      <c r="T697" s="29"/>
      <c r="U697" s="29"/>
      <c r="V697" s="29"/>
      <c r="W697" s="29"/>
      <c r="X697" s="29"/>
      <c r="Y697" s="2"/>
      <c r="Z697" s="34"/>
      <c r="AA697" s="2"/>
      <c r="AB697" s="29"/>
      <c r="AC697" s="29"/>
      <c r="AD697" s="29"/>
      <c r="AE697" s="29"/>
      <c r="AF697" s="29"/>
      <c r="AG697" s="29"/>
      <c r="AH697" s="29"/>
      <c r="AI697" s="29"/>
      <c r="AJ697" s="34"/>
      <c r="AK697" s="34"/>
      <c r="AL697" s="29"/>
      <c r="AM697" s="29"/>
    </row>
    <row x14ac:dyDescent="0.25" r="698" customHeight="1" ht="15.75">
      <c r="A698" s="1"/>
      <c r="B698" s="34"/>
      <c r="C698" s="34"/>
      <c r="D698" s="34"/>
      <c r="E698" s="34"/>
      <c r="F698" s="34"/>
      <c r="G698" s="60"/>
      <c r="H698" s="60"/>
      <c r="I698" s="29"/>
      <c r="J698" s="29"/>
      <c r="K698" s="29"/>
      <c r="L698" s="29"/>
      <c r="M698" s="29"/>
      <c r="N698" s="29"/>
      <c r="O698" s="29"/>
      <c r="P698" s="29"/>
      <c r="Q698" s="34"/>
      <c r="R698" s="34"/>
      <c r="S698" s="29"/>
      <c r="T698" s="29"/>
      <c r="U698" s="29"/>
      <c r="V698" s="29"/>
      <c r="W698" s="29"/>
      <c r="X698" s="29"/>
      <c r="Y698" s="2"/>
      <c r="Z698" s="34"/>
      <c r="AA698" s="2"/>
      <c r="AB698" s="29"/>
      <c r="AC698" s="29"/>
      <c r="AD698" s="29"/>
      <c r="AE698" s="29"/>
      <c r="AF698" s="29"/>
      <c r="AG698" s="29"/>
      <c r="AH698" s="29"/>
      <c r="AI698" s="29"/>
      <c r="AJ698" s="34"/>
      <c r="AK698" s="34"/>
      <c r="AL698" s="29"/>
      <c r="AM698" s="29"/>
    </row>
    <row x14ac:dyDescent="0.25" r="699" customHeight="1" ht="15.75">
      <c r="A699" s="1"/>
      <c r="B699" s="34"/>
      <c r="C699" s="34"/>
      <c r="D699" s="34"/>
      <c r="E699" s="34"/>
      <c r="F699" s="34"/>
      <c r="G699" s="60"/>
      <c r="H699" s="60"/>
      <c r="I699" s="29"/>
      <c r="J699" s="29"/>
      <c r="K699" s="29"/>
      <c r="L699" s="29"/>
      <c r="M699" s="29"/>
      <c r="N699" s="29"/>
      <c r="O699" s="29"/>
      <c r="P699" s="29"/>
      <c r="Q699" s="34"/>
      <c r="R699" s="34"/>
      <c r="S699" s="29"/>
      <c r="T699" s="29"/>
      <c r="U699" s="29"/>
      <c r="V699" s="29"/>
      <c r="W699" s="29"/>
      <c r="X699" s="29"/>
      <c r="Y699" s="2"/>
      <c r="Z699" s="34"/>
      <c r="AA699" s="2"/>
      <c r="AB699" s="29"/>
      <c r="AC699" s="29"/>
      <c r="AD699" s="29"/>
      <c r="AE699" s="29"/>
      <c r="AF699" s="29"/>
      <c r="AG699" s="29"/>
      <c r="AH699" s="29"/>
      <c r="AI699" s="29"/>
      <c r="AJ699" s="34"/>
      <c r="AK699" s="34"/>
      <c r="AL699" s="29"/>
      <c r="AM699" s="29"/>
    </row>
    <row x14ac:dyDescent="0.25" r="700" customHeight="1" ht="15.75">
      <c r="A700" s="1"/>
      <c r="B700" s="34"/>
      <c r="C700" s="34"/>
      <c r="D700" s="34"/>
      <c r="E700" s="34"/>
      <c r="F700" s="34"/>
      <c r="G700" s="60"/>
      <c r="H700" s="60"/>
      <c r="I700" s="29"/>
      <c r="J700" s="29"/>
      <c r="K700" s="29"/>
      <c r="L700" s="29"/>
      <c r="M700" s="29"/>
      <c r="N700" s="29"/>
      <c r="O700" s="29"/>
      <c r="P700" s="29"/>
      <c r="Q700" s="34"/>
      <c r="R700" s="34"/>
      <c r="S700" s="29"/>
      <c r="T700" s="29"/>
      <c r="U700" s="29"/>
      <c r="V700" s="29"/>
      <c r="W700" s="29"/>
      <c r="X700" s="29"/>
      <c r="Y700" s="2"/>
      <c r="Z700" s="34"/>
      <c r="AA700" s="2"/>
      <c r="AB700" s="29"/>
      <c r="AC700" s="29"/>
      <c r="AD700" s="29"/>
      <c r="AE700" s="29"/>
      <c r="AF700" s="29"/>
      <c r="AG700" s="29"/>
      <c r="AH700" s="29"/>
      <c r="AI700" s="29"/>
      <c r="AJ700" s="34"/>
      <c r="AK700" s="34"/>
      <c r="AL700" s="29"/>
      <c r="AM700" s="29"/>
    </row>
    <row x14ac:dyDescent="0.25" r="701" customHeight="1" ht="15.75">
      <c r="A701" s="1"/>
      <c r="B701" s="34"/>
      <c r="C701" s="34"/>
      <c r="D701" s="34"/>
      <c r="E701" s="34"/>
      <c r="F701" s="34"/>
      <c r="G701" s="60"/>
      <c r="H701" s="60"/>
      <c r="I701" s="29"/>
      <c r="J701" s="29"/>
      <c r="K701" s="29"/>
      <c r="L701" s="29"/>
      <c r="M701" s="29"/>
      <c r="N701" s="29"/>
      <c r="O701" s="29"/>
      <c r="P701" s="29"/>
      <c r="Q701" s="34"/>
      <c r="R701" s="34"/>
      <c r="S701" s="29"/>
      <c r="T701" s="29"/>
      <c r="U701" s="29"/>
      <c r="V701" s="29"/>
      <c r="W701" s="29"/>
      <c r="X701" s="29"/>
      <c r="Y701" s="2"/>
      <c r="Z701" s="34"/>
      <c r="AA701" s="2"/>
      <c r="AB701" s="29"/>
      <c r="AC701" s="29"/>
      <c r="AD701" s="29"/>
      <c r="AE701" s="29"/>
      <c r="AF701" s="29"/>
      <c r="AG701" s="29"/>
      <c r="AH701" s="29"/>
      <c r="AI701" s="29"/>
      <c r="AJ701" s="34"/>
      <c r="AK701" s="34"/>
      <c r="AL701" s="29"/>
      <c r="AM701" s="29"/>
    </row>
    <row x14ac:dyDescent="0.25" r="702" customHeight="1" ht="15.75">
      <c r="A702" s="1"/>
      <c r="B702" s="34"/>
      <c r="C702" s="34"/>
      <c r="D702" s="34"/>
      <c r="E702" s="34"/>
      <c r="F702" s="34"/>
      <c r="G702" s="60"/>
      <c r="H702" s="60"/>
      <c r="I702" s="29"/>
      <c r="J702" s="29"/>
      <c r="K702" s="29"/>
      <c r="L702" s="29"/>
      <c r="M702" s="29"/>
      <c r="N702" s="29"/>
      <c r="O702" s="29"/>
      <c r="P702" s="29"/>
      <c r="Q702" s="34"/>
      <c r="R702" s="34"/>
      <c r="S702" s="29"/>
      <c r="T702" s="29"/>
      <c r="U702" s="29"/>
      <c r="V702" s="29"/>
      <c r="W702" s="29"/>
      <c r="X702" s="29"/>
      <c r="Y702" s="2"/>
      <c r="Z702" s="34"/>
      <c r="AA702" s="2"/>
      <c r="AB702" s="29"/>
      <c r="AC702" s="29"/>
      <c r="AD702" s="29"/>
      <c r="AE702" s="29"/>
      <c r="AF702" s="29"/>
      <c r="AG702" s="29"/>
      <c r="AH702" s="29"/>
      <c r="AI702" s="29"/>
      <c r="AJ702" s="34"/>
      <c r="AK702" s="34"/>
      <c r="AL702" s="29"/>
      <c r="AM702" s="29"/>
    </row>
    <row x14ac:dyDescent="0.25" r="703" customHeight="1" ht="15.75">
      <c r="A703" s="1"/>
      <c r="B703" s="34"/>
      <c r="C703" s="34"/>
      <c r="D703" s="34"/>
      <c r="E703" s="34"/>
      <c r="F703" s="34"/>
      <c r="G703" s="60"/>
      <c r="H703" s="60"/>
      <c r="I703" s="29"/>
      <c r="J703" s="29"/>
      <c r="K703" s="29"/>
      <c r="L703" s="29"/>
      <c r="M703" s="29"/>
      <c r="N703" s="29"/>
      <c r="O703" s="29"/>
      <c r="P703" s="29"/>
      <c r="Q703" s="34"/>
      <c r="R703" s="34"/>
      <c r="S703" s="29"/>
      <c r="T703" s="29"/>
      <c r="U703" s="29"/>
      <c r="V703" s="29"/>
      <c r="W703" s="29"/>
      <c r="X703" s="29"/>
      <c r="Y703" s="2"/>
      <c r="Z703" s="34"/>
      <c r="AA703" s="2"/>
      <c r="AB703" s="29"/>
      <c r="AC703" s="29"/>
      <c r="AD703" s="29"/>
      <c r="AE703" s="29"/>
      <c r="AF703" s="29"/>
      <c r="AG703" s="29"/>
      <c r="AH703" s="29"/>
      <c r="AI703" s="29"/>
      <c r="AJ703" s="34"/>
      <c r="AK703" s="34"/>
      <c r="AL703" s="29"/>
      <c r="AM703" s="29"/>
    </row>
    <row x14ac:dyDescent="0.25" r="704" customHeight="1" ht="15.75">
      <c r="A704" s="1"/>
      <c r="B704" s="34"/>
      <c r="C704" s="34"/>
      <c r="D704" s="34"/>
      <c r="E704" s="34"/>
      <c r="F704" s="34"/>
      <c r="G704" s="60"/>
      <c r="H704" s="60"/>
      <c r="I704" s="29"/>
      <c r="J704" s="29"/>
      <c r="K704" s="29"/>
      <c r="L704" s="29"/>
      <c r="M704" s="29"/>
      <c r="N704" s="29"/>
      <c r="O704" s="29"/>
      <c r="P704" s="29"/>
      <c r="Q704" s="34"/>
      <c r="R704" s="34"/>
      <c r="S704" s="29"/>
      <c r="T704" s="29"/>
      <c r="U704" s="29"/>
      <c r="V704" s="29"/>
      <c r="W704" s="29"/>
      <c r="X704" s="29"/>
      <c r="Y704" s="2"/>
      <c r="Z704" s="34"/>
      <c r="AA704" s="2"/>
      <c r="AB704" s="29"/>
      <c r="AC704" s="29"/>
      <c r="AD704" s="29"/>
      <c r="AE704" s="29"/>
      <c r="AF704" s="29"/>
      <c r="AG704" s="29"/>
      <c r="AH704" s="29"/>
      <c r="AI704" s="29"/>
      <c r="AJ704" s="34"/>
      <c r="AK704" s="34"/>
      <c r="AL704" s="29"/>
      <c r="AM704" s="29"/>
    </row>
    <row x14ac:dyDescent="0.25" r="705" customHeight="1" ht="15.75">
      <c r="A705" s="1"/>
      <c r="B705" s="34"/>
      <c r="C705" s="34"/>
      <c r="D705" s="34"/>
      <c r="E705" s="34"/>
      <c r="F705" s="34"/>
      <c r="G705" s="60"/>
      <c r="H705" s="60"/>
      <c r="I705" s="29"/>
      <c r="J705" s="29"/>
      <c r="K705" s="29"/>
      <c r="L705" s="29"/>
      <c r="M705" s="29"/>
      <c r="N705" s="29"/>
      <c r="O705" s="29"/>
      <c r="P705" s="29"/>
      <c r="Q705" s="34"/>
      <c r="R705" s="34"/>
      <c r="S705" s="29"/>
      <c r="T705" s="29"/>
      <c r="U705" s="29"/>
      <c r="V705" s="29"/>
      <c r="W705" s="29"/>
      <c r="X705" s="29"/>
      <c r="Y705" s="2"/>
      <c r="Z705" s="34"/>
      <c r="AA705" s="2"/>
      <c r="AB705" s="29"/>
      <c r="AC705" s="29"/>
      <c r="AD705" s="29"/>
      <c r="AE705" s="29"/>
      <c r="AF705" s="29"/>
      <c r="AG705" s="29"/>
      <c r="AH705" s="29"/>
      <c r="AI705" s="29"/>
      <c r="AJ705" s="34"/>
      <c r="AK705" s="34"/>
      <c r="AL705" s="29"/>
      <c r="AM705" s="29"/>
    </row>
    <row x14ac:dyDescent="0.25" r="706" customHeight="1" ht="15.75">
      <c r="A706" s="1"/>
      <c r="B706" s="34"/>
      <c r="C706" s="34"/>
      <c r="D706" s="34"/>
      <c r="E706" s="34"/>
      <c r="F706" s="34"/>
      <c r="G706" s="60"/>
      <c r="H706" s="60"/>
      <c r="I706" s="29"/>
      <c r="J706" s="29"/>
      <c r="K706" s="29"/>
      <c r="L706" s="29"/>
      <c r="M706" s="29"/>
      <c r="N706" s="29"/>
      <c r="O706" s="29"/>
      <c r="P706" s="29"/>
      <c r="Q706" s="34"/>
      <c r="R706" s="34"/>
      <c r="S706" s="29"/>
      <c r="T706" s="29"/>
      <c r="U706" s="29"/>
      <c r="V706" s="29"/>
      <c r="W706" s="29"/>
      <c r="X706" s="29"/>
      <c r="Y706" s="2"/>
      <c r="Z706" s="34"/>
      <c r="AA706" s="2"/>
      <c r="AB706" s="29"/>
      <c r="AC706" s="29"/>
      <c r="AD706" s="29"/>
      <c r="AE706" s="29"/>
      <c r="AF706" s="29"/>
      <c r="AG706" s="29"/>
      <c r="AH706" s="29"/>
      <c r="AI706" s="29"/>
      <c r="AJ706" s="34"/>
      <c r="AK706" s="34"/>
      <c r="AL706" s="29"/>
      <c r="AM706" s="29"/>
    </row>
    <row x14ac:dyDescent="0.25" r="707" customHeight="1" ht="15.75">
      <c r="A707" s="1"/>
      <c r="B707" s="34"/>
      <c r="C707" s="34"/>
      <c r="D707" s="34"/>
      <c r="E707" s="34"/>
      <c r="F707" s="34"/>
      <c r="G707" s="60"/>
      <c r="H707" s="60"/>
      <c r="I707" s="29"/>
      <c r="J707" s="29"/>
      <c r="K707" s="29"/>
      <c r="L707" s="29"/>
      <c r="M707" s="29"/>
      <c r="N707" s="29"/>
      <c r="O707" s="29"/>
      <c r="P707" s="29"/>
      <c r="Q707" s="34"/>
      <c r="R707" s="34"/>
      <c r="S707" s="29"/>
      <c r="T707" s="29"/>
      <c r="U707" s="29"/>
      <c r="V707" s="29"/>
      <c r="W707" s="29"/>
      <c r="X707" s="29"/>
      <c r="Y707" s="2"/>
      <c r="Z707" s="34"/>
      <c r="AA707" s="2"/>
      <c r="AB707" s="29"/>
      <c r="AC707" s="29"/>
      <c r="AD707" s="29"/>
      <c r="AE707" s="29"/>
      <c r="AF707" s="29"/>
      <c r="AG707" s="29"/>
      <c r="AH707" s="29"/>
      <c r="AI707" s="29"/>
      <c r="AJ707" s="34"/>
      <c r="AK707" s="34"/>
      <c r="AL707" s="29"/>
      <c r="AM707" s="29"/>
    </row>
    <row x14ac:dyDescent="0.25" r="708" customHeight="1" ht="15.75">
      <c r="A708" s="1"/>
      <c r="B708" s="34"/>
      <c r="C708" s="34"/>
      <c r="D708" s="34"/>
      <c r="E708" s="34"/>
      <c r="F708" s="34"/>
      <c r="G708" s="60"/>
      <c r="H708" s="60"/>
      <c r="I708" s="29"/>
      <c r="J708" s="29"/>
      <c r="K708" s="29"/>
      <c r="L708" s="29"/>
      <c r="M708" s="29"/>
      <c r="N708" s="29"/>
      <c r="O708" s="29"/>
      <c r="P708" s="29"/>
      <c r="Q708" s="34"/>
      <c r="R708" s="34"/>
      <c r="S708" s="29"/>
      <c r="T708" s="29"/>
      <c r="U708" s="29"/>
      <c r="V708" s="29"/>
      <c r="W708" s="29"/>
      <c r="X708" s="29"/>
      <c r="Y708" s="2"/>
      <c r="Z708" s="34"/>
      <c r="AA708" s="2"/>
      <c r="AB708" s="29"/>
      <c r="AC708" s="29"/>
      <c r="AD708" s="29"/>
      <c r="AE708" s="29"/>
      <c r="AF708" s="29"/>
      <c r="AG708" s="29"/>
      <c r="AH708" s="29"/>
      <c r="AI708" s="29"/>
      <c r="AJ708" s="34"/>
      <c r="AK708" s="34"/>
      <c r="AL708" s="29"/>
      <c r="AM708" s="29"/>
    </row>
    <row x14ac:dyDescent="0.25" r="709" customHeight="1" ht="15.75">
      <c r="A709" s="1"/>
      <c r="B709" s="34"/>
      <c r="C709" s="34"/>
      <c r="D709" s="34"/>
      <c r="E709" s="34"/>
      <c r="F709" s="34"/>
      <c r="G709" s="60"/>
      <c r="H709" s="60"/>
      <c r="I709" s="29"/>
      <c r="J709" s="29"/>
      <c r="K709" s="29"/>
      <c r="L709" s="29"/>
      <c r="M709" s="29"/>
      <c r="N709" s="29"/>
      <c r="O709" s="29"/>
      <c r="P709" s="29"/>
      <c r="Q709" s="34"/>
      <c r="R709" s="34"/>
      <c r="S709" s="29"/>
      <c r="T709" s="29"/>
      <c r="U709" s="29"/>
      <c r="V709" s="29"/>
      <c r="W709" s="29"/>
      <c r="X709" s="29"/>
      <c r="Y709" s="2"/>
      <c r="Z709" s="34"/>
      <c r="AA709" s="2"/>
      <c r="AB709" s="29"/>
      <c r="AC709" s="29"/>
      <c r="AD709" s="29"/>
      <c r="AE709" s="29"/>
      <c r="AF709" s="29"/>
      <c r="AG709" s="29"/>
      <c r="AH709" s="29"/>
      <c r="AI709" s="29"/>
      <c r="AJ709" s="34"/>
      <c r="AK709" s="34"/>
      <c r="AL709" s="29"/>
      <c r="AM709" s="29"/>
    </row>
    <row x14ac:dyDescent="0.25" r="710" customHeight="1" ht="15.75">
      <c r="A710" s="1"/>
      <c r="B710" s="34"/>
      <c r="C710" s="34"/>
      <c r="D710" s="34"/>
      <c r="E710" s="34"/>
      <c r="F710" s="34"/>
      <c r="G710" s="60"/>
      <c r="H710" s="60"/>
      <c r="I710" s="29"/>
      <c r="J710" s="29"/>
      <c r="K710" s="29"/>
      <c r="L710" s="29"/>
      <c r="M710" s="29"/>
      <c r="N710" s="29"/>
      <c r="O710" s="29"/>
      <c r="P710" s="29"/>
      <c r="Q710" s="34"/>
      <c r="R710" s="34"/>
      <c r="S710" s="29"/>
      <c r="T710" s="29"/>
      <c r="U710" s="29"/>
      <c r="V710" s="29"/>
      <c r="W710" s="29"/>
      <c r="X710" s="29"/>
      <c r="Y710" s="2"/>
      <c r="Z710" s="34"/>
      <c r="AA710" s="2"/>
      <c r="AB710" s="29"/>
      <c r="AC710" s="29"/>
      <c r="AD710" s="29"/>
      <c r="AE710" s="29"/>
      <c r="AF710" s="29"/>
      <c r="AG710" s="29"/>
      <c r="AH710" s="29"/>
      <c r="AI710" s="29"/>
      <c r="AJ710" s="34"/>
      <c r="AK710" s="34"/>
      <c r="AL710" s="29"/>
      <c r="AM710" s="29"/>
    </row>
    <row x14ac:dyDescent="0.25" r="711" customHeight="1" ht="15.75">
      <c r="A711" s="1"/>
      <c r="B711" s="34"/>
      <c r="C711" s="34"/>
      <c r="D711" s="34"/>
      <c r="E711" s="34"/>
      <c r="F711" s="34"/>
      <c r="G711" s="60"/>
      <c r="H711" s="60"/>
      <c r="I711" s="29"/>
      <c r="J711" s="29"/>
      <c r="K711" s="29"/>
      <c r="L711" s="29"/>
      <c r="M711" s="29"/>
      <c r="N711" s="29"/>
      <c r="O711" s="29"/>
      <c r="P711" s="29"/>
      <c r="Q711" s="34"/>
      <c r="R711" s="34"/>
      <c r="S711" s="29"/>
      <c r="T711" s="29"/>
      <c r="U711" s="29"/>
      <c r="V711" s="29"/>
      <c r="W711" s="29"/>
      <c r="X711" s="29"/>
      <c r="Y711" s="2"/>
      <c r="Z711" s="34"/>
      <c r="AA711" s="2"/>
      <c r="AB711" s="29"/>
      <c r="AC711" s="29"/>
      <c r="AD711" s="29"/>
      <c r="AE711" s="29"/>
      <c r="AF711" s="29"/>
      <c r="AG711" s="29"/>
      <c r="AH711" s="29"/>
      <c r="AI711" s="29"/>
      <c r="AJ711" s="34"/>
      <c r="AK711" s="34"/>
      <c r="AL711" s="29"/>
      <c r="AM711" s="29"/>
    </row>
    <row x14ac:dyDescent="0.25" r="712" customHeight="1" ht="15.75">
      <c r="A712" s="1"/>
      <c r="B712" s="34"/>
      <c r="C712" s="34"/>
      <c r="D712" s="34"/>
      <c r="E712" s="34"/>
      <c r="F712" s="34"/>
      <c r="G712" s="60"/>
      <c r="H712" s="60"/>
      <c r="I712" s="29"/>
      <c r="J712" s="29"/>
      <c r="K712" s="29"/>
      <c r="L712" s="29"/>
      <c r="M712" s="29"/>
      <c r="N712" s="29"/>
      <c r="O712" s="29"/>
      <c r="P712" s="29"/>
      <c r="Q712" s="34"/>
      <c r="R712" s="34"/>
      <c r="S712" s="29"/>
      <c r="T712" s="29"/>
      <c r="U712" s="29"/>
      <c r="V712" s="29"/>
      <c r="W712" s="29"/>
      <c r="X712" s="29"/>
      <c r="Y712" s="2"/>
      <c r="Z712" s="34"/>
      <c r="AA712" s="2"/>
      <c r="AB712" s="29"/>
      <c r="AC712" s="29"/>
      <c r="AD712" s="29"/>
      <c r="AE712" s="29"/>
      <c r="AF712" s="29"/>
      <c r="AG712" s="29"/>
      <c r="AH712" s="29"/>
      <c r="AI712" s="29"/>
      <c r="AJ712" s="34"/>
      <c r="AK712" s="34"/>
      <c r="AL712" s="29"/>
      <c r="AM712" s="29"/>
    </row>
    <row x14ac:dyDescent="0.25" r="713" customHeight="1" ht="15.75">
      <c r="A713" s="1"/>
      <c r="B713" s="34"/>
      <c r="C713" s="34"/>
      <c r="D713" s="34"/>
      <c r="E713" s="34"/>
      <c r="F713" s="34"/>
      <c r="G713" s="60"/>
      <c r="H713" s="60"/>
      <c r="I713" s="29"/>
      <c r="J713" s="29"/>
      <c r="K713" s="29"/>
      <c r="L713" s="29"/>
      <c r="M713" s="29"/>
      <c r="N713" s="29"/>
      <c r="O713" s="29"/>
      <c r="P713" s="29"/>
      <c r="Q713" s="34"/>
      <c r="R713" s="34"/>
      <c r="S713" s="29"/>
      <c r="T713" s="29"/>
      <c r="U713" s="29"/>
      <c r="V713" s="29"/>
      <c r="W713" s="29"/>
      <c r="X713" s="29"/>
      <c r="Y713" s="2"/>
      <c r="Z713" s="34"/>
      <c r="AA713" s="2"/>
      <c r="AB713" s="29"/>
      <c r="AC713" s="29"/>
      <c r="AD713" s="29"/>
      <c r="AE713" s="29"/>
      <c r="AF713" s="29"/>
      <c r="AG713" s="29"/>
      <c r="AH713" s="29"/>
      <c r="AI713" s="29"/>
      <c r="AJ713" s="34"/>
      <c r="AK713" s="34"/>
      <c r="AL713" s="29"/>
      <c r="AM713" s="29"/>
    </row>
    <row x14ac:dyDescent="0.25" r="714" customHeight="1" ht="15.75">
      <c r="A714" s="1"/>
      <c r="B714" s="34"/>
      <c r="C714" s="34"/>
      <c r="D714" s="34"/>
      <c r="E714" s="34"/>
      <c r="F714" s="34"/>
      <c r="G714" s="60"/>
      <c r="H714" s="60"/>
      <c r="I714" s="29"/>
      <c r="J714" s="29"/>
      <c r="K714" s="29"/>
      <c r="L714" s="29"/>
      <c r="M714" s="29"/>
      <c r="N714" s="29"/>
      <c r="O714" s="29"/>
      <c r="P714" s="29"/>
      <c r="Q714" s="34"/>
      <c r="R714" s="34"/>
      <c r="S714" s="29"/>
      <c r="T714" s="29"/>
      <c r="U714" s="29"/>
      <c r="V714" s="29"/>
      <c r="W714" s="29"/>
      <c r="X714" s="29"/>
      <c r="Y714" s="2"/>
      <c r="Z714" s="34"/>
      <c r="AA714" s="2"/>
      <c r="AB714" s="29"/>
      <c r="AC714" s="29"/>
      <c r="AD714" s="29"/>
      <c r="AE714" s="29"/>
      <c r="AF714" s="29"/>
      <c r="AG714" s="29"/>
      <c r="AH714" s="29"/>
      <c r="AI714" s="29"/>
      <c r="AJ714" s="34"/>
      <c r="AK714" s="34"/>
      <c r="AL714" s="29"/>
      <c r="AM714" s="29"/>
    </row>
    <row x14ac:dyDescent="0.25" r="715" customHeight="1" ht="15.75">
      <c r="A715" s="1"/>
      <c r="B715" s="34"/>
      <c r="C715" s="34"/>
      <c r="D715" s="34"/>
      <c r="E715" s="34"/>
      <c r="F715" s="34"/>
      <c r="G715" s="60"/>
      <c r="H715" s="60"/>
      <c r="I715" s="29"/>
      <c r="J715" s="29"/>
      <c r="K715" s="29"/>
      <c r="L715" s="29"/>
      <c r="M715" s="29"/>
      <c r="N715" s="29"/>
      <c r="O715" s="29"/>
      <c r="P715" s="29"/>
      <c r="Q715" s="34"/>
      <c r="R715" s="34"/>
      <c r="S715" s="29"/>
      <c r="T715" s="29"/>
      <c r="U715" s="29"/>
      <c r="V715" s="29"/>
      <c r="W715" s="29"/>
      <c r="X715" s="29"/>
      <c r="Y715" s="2"/>
      <c r="Z715" s="34"/>
      <c r="AA715" s="2"/>
      <c r="AB715" s="29"/>
      <c r="AC715" s="29"/>
      <c r="AD715" s="29"/>
      <c r="AE715" s="29"/>
      <c r="AF715" s="29"/>
      <c r="AG715" s="29"/>
      <c r="AH715" s="29"/>
      <c r="AI715" s="29"/>
      <c r="AJ715" s="34"/>
      <c r="AK715" s="34"/>
      <c r="AL715" s="29"/>
      <c r="AM715" s="29"/>
    </row>
    <row x14ac:dyDescent="0.25" r="716" customHeight="1" ht="15.75">
      <c r="A716" s="1"/>
      <c r="B716" s="34"/>
      <c r="C716" s="34"/>
      <c r="D716" s="34"/>
      <c r="E716" s="34"/>
      <c r="F716" s="34"/>
      <c r="G716" s="60"/>
      <c r="H716" s="60"/>
      <c r="I716" s="29"/>
      <c r="J716" s="29"/>
      <c r="K716" s="29"/>
      <c r="L716" s="29"/>
      <c r="M716" s="29"/>
      <c r="N716" s="29"/>
      <c r="O716" s="29"/>
      <c r="P716" s="29"/>
      <c r="Q716" s="34"/>
      <c r="R716" s="34"/>
      <c r="S716" s="29"/>
      <c r="T716" s="29"/>
      <c r="U716" s="29"/>
      <c r="V716" s="29"/>
      <c r="W716" s="29"/>
      <c r="X716" s="29"/>
      <c r="Y716" s="2"/>
      <c r="Z716" s="34"/>
      <c r="AA716" s="2"/>
      <c r="AB716" s="29"/>
      <c r="AC716" s="29"/>
      <c r="AD716" s="29"/>
      <c r="AE716" s="29"/>
      <c r="AF716" s="29"/>
      <c r="AG716" s="29"/>
      <c r="AH716" s="29"/>
      <c r="AI716" s="29"/>
      <c r="AJ716" s="34"/>
      <c r="AK716" s="34"/>
      <c r="AL716" s="29"/>
      <c r="AM716" s="29"/>
    </row>
    <row x14ac:dyDescent="0.25" r="717" customHeight="1" ht="15.75">
      <c r="A717" s="1"/>
      <c r="B717" s="34"/>
      <c r="C717" s="34"/>
      <c r="D717" s="34"/>
      <c r="E717" s="34"/>
      <c r="F717" s="34"/>
      <c r="G717" s="60"/>
      <c r="H717" s="60"/>
      <c r="I717" s="29"/>
      <c r="J717" s="29"/>
      <c r="K717" s="29"/>
      <c r="L717" s="29"/>
      <c r="M717" s="29"/>
      <c r="N717" s="29"/>
      <c r="O717" s="29"/>
      <c r="P717" s="29"/>
      <c r="Q717" s="34"/>
      <c r="R717" s="34"/>
      <c r="S717" s="29"/>
      <c r="T717" s="29"/>
      <c r="U717" s="29"/>
      <c r="V717" s="29"/>
      <c r="W717" s="29"/>
      <c r="X717" s="29"/>
      <c r="Y717" s="2"/>
      <c r="Z717" s="34"/>
      <c r="AA717" s="2"/>
      <c r="AB717" s="29"/>
      <c r="AC717" s="29"/>
      <c r="AD717" s="29"/>
      <c r="AE717" s="29"/>
      <c r="AF717" s="29"/>
      <c r="AG717" s="29"/>
      <c r="AH717" s="29"/>
      <c r="AI717" s="29"/>
      <c r="AJ717" s="34"/>
      <c r="AK717" s="34"/>
      <c r="AL717" s="29"/>
      <c r="AM717" s="29"/>
    </row>
    <row x14ac:dyDescent="0.25" r="718" customHeight="1" ht="15.75">
      <c r="A718" s="1"/>
      <c r="B718" s="34"/>
      <c r="C718" s="34"/>
      <c r="D718" s="34"/>
      <c r="E718" s="34"/>
      <c r="F718" s="34"/>
      <c r="G718" s="60"/>
      <c r="H718" s="60"/>
      <c r="I718" s="29"/>
      <c r="J718" s="29"/>
      <c r="K718" s="29"/>
      <c r="L718" s="29"/>
      <c r="M718" s="29"/>
      <c r="N718" s="29"/>
      <c r="O718" s="29"/>
      <c r="P718" s="29"/>
      <c r="Q718" s="34"/>
      <c r="R718" s="34"/>
      <c r="S718" s="29"/>
      <c r="T718" s="29"/>
      <c r="U718" s="29"/>
      <c r="V718" s="29"/>
      <c r="W718" s="29"/>
      <c r="X718" s="29"/>
      <c r="Y718" s="2"/>
      <c r="Z718" s="34"/>
      <c r="AA718" s="2"/>
      <c r="AB718" s="29"/>
      <c r="AC718" s="29"/>
      <c r="AD718" s="29"/>
      <c r="AE718" s="29"/>
      <c r="AF718" s="29"/>
      <c r="AG718" s="29"/>
      <c r="AH718" s="29"/>
      <c r="AI718" s="29"/>
      <c r="AJ718" s="34"/>
      <c r="AK718" s="34"/>
      <c r="AL718" s="29"/>
      <c r="AM718" s="29"/>
    </row>
    <row x14ac:dyDescent="0.25" r="719" customHeight="1" ht="15.75">
      <c r="A719" s="1"/>
      <c r="B719" s="34"/>
      <c r="C719" s="34"/>
      <c r="D719" s="34"/>
      <c r="E719" s="34"/>
      <c r="F719" s="34"/>
      <c r="G719" s="60"/>
      <c r="H719" s="60"/>
      <c r="I719" s="29"/>
      <c r="J719" s="29"/>
      <c r="K719" s="29"/>
      <c r="L719" s="29"/>
      <c r="M719" s="29"/>
      <c r="N719" s="29"/>
      <c r="O719" s="29"/>
      <c r="P719" s="29"/>
      <c r="Q719" s="34"/>
      <c r="R719" s="34"/>
      <c r="S719" s="29"/>
      <c r="T719" s="29"/>
      <c r="U719" s="29"/>
      <c r="V719" s="29"/>
      <c r="W719" s="29"/>
      <c r="X719" s="29"/>
      <c r="Y719" s="2"/>
      <c r="Z719" s="34"/>
      <c r="AA719" s="2"/>
      <c r="AB719" s="29"/>
      <c r="AC719" s="29"/>
      <c r="AD719" s="29"/>
      <c r="AE719" s="29"/>
      <c r="AF719" s="29"/>
      <c r="AG719" s="29"/>
      <c r="AH719" s="29"/>
      <c r="AI719" s="29"/>
      <c r="AJ719" s="34"/>
      <c r="AK719" s="34"/>
      <c r="AL719" s="29"/>
      <c r="AM719" s="29"/>
    </row>
    <row x14ac:dyDescent="0.25" r="720" customHeight="1" ht="15.75">
      <c r="A720" s="1"/>
      <c r="B720" s="34"/>
      <c r="C720" s="34"/>
      <c r="D720" s="34"/>
      <c r="E720" s="34"/>
      <c r="F720" s="34"/>
      <c r="G720" s="60"/>
      <c r="H720" s="60"/>
      <c r="I720" s="29"/>
      <c r="J720" s="29"/>
      <c r="K720" s="29"/>
      <c r="L720" s="29"/>
      <c r="M720" s="29"/>
      <c r="N720" s="29"/>
      <c r="O720" s="29"/>
      <c r="P720" s="29"/>
      <c r="Q720" s="34"/>
      <c r="R720" s="34"/>
      <c r="S720" s="29"/>
      <c r="T720" s="29"/>
      <c r="U720" s="29"/>
      <c r="V720" s="29"/>
      <c r="W720" s="29"/>
      <c r="X720" s="29"/>
      <c r="Y720" s="2"/>
      <c r="Z720" s="34"/>
      <c r="AA720" s="2"/>
      <c r="AB720" s="29"/>
      <c r="AC720" s="29"/>
      <c r="AD720" s="29"/>
      <c r="AE720" s="29"/>
      <c r="AF720" s="29"/>
      <c r="AG720" s="29"/>
      <c r="AH720" s="29"/>
      <c r="AI720" s="29"/>
      <c r="AJ720" s="34"/>
      <c r="AK720" s="34"/>
      <c r="AL720" s="29"/>
      <c r="AM720" s="29"/>
    </row>
    <row x14ac:dyDescent="0.25" r="721" customHeight="1" ht="15.75">
      <c r="A721" s="1"/>
      <c r="B721" s="34"/>
      <c r="C721" s="34"/>
      <c r="D721" s="34"/>
      <c r="E721" s="34"/>
      <c r="F721" s="34"/>
      <c r="G721" s="60"/>
      <c r="H721" s="60"/>
      <c r="I721" s="29"/>
      <c r="J721" s="29"/>
      <c r="K721" s="29"/>
      <c r="L721" s="29"/>
      <c r="M721" s="29"/>
      <c r="N721" s="29"/>
      <c r="O721" s="29"/>
      <c r="P721" s="29"/>
      <c r="Q721" s="34"/>
      <c r="R721" s="34"/>
      <c r="S721" s="29"/>
      <c r="T721" s="29"/>
      <c r="U721" s="29"/>
      <c r="V721" s="29"/>
      <c r="W721" s="29"/>
      <c r="X721" s="29"/>
      <c r="Y721" s="2"/>
      <c r="Z721" s="34"/>
      <c r="AA721" s="2"/>
      <c r="AB721" s="29"/>
      <c r="AC721" s="29"/>
      <c r="AD721" s="29"/>
      <c r="AE721" s="29"/>
      <c r="AF721" s="29"/>
      <c r="AG721" s="29"/>
      <c r="AH721" s="29"/>
      <c r="AI721" s="29"/>
      <c r="AJ721" s="34"/>
      <c r="AK721" s="34"/>
      <c r="AL721" s="29"/>
      <c r="AM721" s="29"/>
    </row>
    <row x14ac:dyDescent="0.25" r="722" customHeight="1" ht="15.75">
      <c r="A722" s="1"/>
      <c r="B722" s="34"/>
      <c r="C722" s="34"/>
      <c r="D722" s="34"/>
      <c r="E722" s="34"/>
      <c r="F722" s="34"/>
      <c r="G722" s="60"/>
      <c r="H722" s="60"/>
      <c r="I722" s="29"/>
      <c r="J722" s="29"/>
      <c r="K722" s="29"/>
      <c r="L722" s="29"/>
      <c r="M722" s="29"/>
      <c r="N722" s="29"/>
      <c r="O722" s="29"/>
      <c r="P722" s="29"/>
      <c r="Q722" s="34"/>
      <c r="R722" s="34"/>
      <c r="S722" s="29"/>
      <c r="T722" s="29"/>
      <c r="U722" s="29"/>
      <c r="V722" s="29"/>
      <c r="W722" s="29"/>
      <c r="X722" s="29"/>
      <c r="Y722" s="2"/>
      <c r="Z722" s="34"/>
      <c r="AA722" s="2"/>
      <c r="AB722" s="29"/>
      <c r="AC722" s="29"/>
      <c r="AD722" s="29"/>
      <c r="AE722" s="29"/>
      <c r="AF722" s="29"/>
      <c r="AG722" s="29"/>
      <c r="AH722" s="29"/>
      <c r="AI722" s="29"/>
      <c r="AJ722" s="34"/>
      <c r="AK722" s="34"/>
      <c r="AL722" s="29"/>
      <c r="AM722" s="29"/>
    </row>
    <row x14ac:dyDescent="0.25" r="723" customHeight="1" ht="15.75">
      <c r="A723" s="1"/>
      <c r="B723" s="34"/>
      <c r="C723" s="34"/>
      <c r="D723" s="34"/>
      <c r="E723" s="34"/>
      <c r="F723" s="34"/>
      <c r="G723" s="60"/>
      <c r="H723" s="60"/>
      <c r="I723" s="29"/>
      <c r="J723" s="29"/>
      <c r="K723" s="29"/>
      <c r="L723" s="29"/>
      <c r="M723" s="29"/>
      <c r="N723" s="29"/>
      <c r="O723" s="29"/>
      <c r="P723" s="29"/>
      <c r="Q723" s="34"/>
      <c r="R723" s="34"/>
      <c r="S723" s="29"/>
      <c r="T723" s="29"/>
      <c r="U723" s="29"/>
      <c r="V723" s="29"/>
      <c r="W723" s="29"/>
      <c r="X723" s="29"/>
      <c r="Y723" s="2"/>
      <c r="Z723" s="34"/>
      <c r="AA723" s="2"/>
      <c r="AB723" s="29"/>
      <c r="AC723" s="29"/>
      <c r="AD723" s="29"/>
      <c r="AE723" s="29"/>
      <c r="AF723" s="29"/>
      <c r="AG723" s="29"/>
      <c r="AH723" s="29"/>
      <c r="AI723" s="29"/>
      <c r="AJ723" s="34"/>
      <c r="AK723" s="34"/>
      <c r="AL723" s="29"/>
      <c r="AM723" s="29"/>
    </row>
    <row x14ac:dyDescent="0.25" r="724" customHeight="1" ht="15.75">
      <c r="A724" s="1"/>
      <c r="B724" s="34"/>
      <c r="C724" s="34"/>
      <c r="D724" s="34"/>
      <c r="E724" s="34"/>
      <c r="F724" s="34"/>
      <c r="G724" s="60"/>
      <c r="H724" s="60"/>
      <c r="I724" s="29"/>
      <c r="J724" s="29"/>
      <c r="K724" s="29"/>
      <c r="L724" s="29"/>
      <c r="M724" s="29"/>
      <c r="N724" s="29"/>
      <c r="O724" s="29"/>
      <c r="P724" s="29"/>
      <c r="Q724" s="34"/>
      <c r="R724" s="34"/>
      <c r="S724" s="29"/>
      <c r="T724" s="29"/>
      <c r="U724" s="29"/>
      <c r="V724" s="29"/>
      <c r="W724" s="29"/>
      <c r="X724" s="29"/>
      <c r="Y724" s="2"/>
      <c r="Z724" s="34"/>
      <c r="AA724" s="2"/>
      <c r="AB724" s="29"/>
      <c r="AC724" s="29"/>
      <c r="AD724" s="29"/>
      <c r="AE724" s="29"/>
      <c r="AF724" s="29"/>
      <c r="AG724" s="29"/>
      <c r="AH724" s="29"/>
      <c r="AI724" s="29"/>
      <c r="AJ724" s="34"/>
      <c r="AK724" s="34"/>
      <c r="AL724" s="29"/>
      <c r="AM724" s="29"/>
    </row>
    <row x14ac:dyDescent="0.25" r="725" customHeight="1" ht="15.75">
      <c r="A725" s="1"/>
      <c r="B725" s="34"/>
      <c r="C725" s="34"/>
      <c r="D725" s="34"/>
      <c r="E725" s="34"/>
      <c r="F725" s="34"/>
      <c r="G725" s="60"/>
      <c r="H725" s="60"/>
      <c r="I725" s="29"/>
      <c r="J725" s="29"/>
      <c r="K725" s="29"/>
      <c r="L725" s="29"/>
      <c r="M725" s="29"/>
      <c r="N725" s="29"/>
      <c r="O725" s="29"/>
      <c r="P725" s="29"/>
      <c r="Q725" s="34"/>
      <c r="R725" s="34"/>
      <c r="S725" s="29"/>
      <c r="T725" s="29"/>
      <c r="U725" s="29"/>
      <c r="V725" s="29"/>
      <c r="W725" s="29"/>
      <c r="X725" s="29"/>
      <c r="Y725" s="2"/>
      <c r="Z725" s="34"/>
      <c r="AA725" s="2"/>
      <c r="AB725" s="29"/>
      <c r="AC725" s="29"/>
      <c r="AD725" s="29"/>
      <c r="AE725" s="29"/>
      <c r="AF725" s="29"/>
      <c r="AG725" s="29"/>
      <c r="AH725" s="29"/>
      <c r="AI725" s="29"/>
      <c r="AJ725" s="34"/>
      <c r="AK725" s="34"/>
      <c r="AL725" s="29"/>
      <c r="AM725" s="29"/>
    </row>
    <row x14ac:dyDescent="0.25" r="726" customHeight="1" ht="15.75">
      <c r="A726" s="1"/>
      <c r="B726" s="34"/>
      <c r="C726" s="34"/>
      <c r="D726" s="34"/>
      <c r="E726" s="34"/>
      <c r="F726" s="34"/>
      <c r="G726" s="60"/>
      <c r="H726" s="60"/>
      <c r="I726" s="29"/>
      <c r="J726" s="29"/>
      <c r="K726" s="29"/>
      <c r="L726" s="29"/>
      <c r="M726" s="29"/>
      <c r="N726" s="29"/>
      <c r="O726" s="29"/>
      <c r="P726" s="29"/>
      <c r="Q726" s="34"/>
      <c r="R726" s="34"/>
      <c r="S726" s="29"/>
      <c r="T726" s="29"/>
      <c r="U726" s="29"/>
      <c r="V726" s="29"/>
      <c r="W726" s="29"/>
      <c r="X726" s="29"/>
      <c r="Y726" s="2"/>
      <c r="Z726" s="34"/>
      <c r="AA726" s="2"/>
      <c r="AB726" s="29"/>
      <c r="AC726" s="29"/>
      <c r="AD726" s="29"/>
      <c r="AE726" s="29"/>
      <c r="AF726" s="29"/>
      <c r="AG726" s="29"/>
      <c r="AH726" s="29"/>
      <c r="AI726" s="29"/>
      <c r="AJ726" s="34"/>
      <c r="AK726" s="34"/>
      <c r="AL726" s="29"/>
      <c r="AM726" s="29"/>
    </row>
    <row x14ac:dyDescent="0.25" r="727" customHeight="1" ht="15.75">
      <c r="A727" s="1"/>
      <c r="B727" s="34"/>
      <c r="C727" s="34"/>
      <c r="D727" s="34"/>
      <c r="E727" s="34"/>
      <c r="F727" s="34"/>
      <c r="G727" s="60"/>
      <c r="H727" s="60"/>
      <c r="I727" s="29"/>
      <c r="J727" s="29"/>
      <c r="K727" s="29"/>
      <c r="L727" s="29"/>
      <c r="M727" s="29"/>
      <c r="N727" s="29"/>
      <c r="O727" s="29"/>
      <c r="P727" s="29"/>
      <c r="Q727" s="34"/>
      <c r="R727" s="34"/>
      <c r="S727" s="29"/>
      <c r="T727" s="29"/>
      <c r="U727" s="29"/>
      <c r="V727" s="29"/>
      <c r="W727" s="29"/>
      <c r="X727" s="29"/>
      <c r="Y727" s="2"/>
      <c r="Z727" s="34"/>
      <c r="AA727" s="2"/>
      <c r="AB727" s="29"/>
      <c r="AC727" s="29"/>
      <c r="AD727" s="29"/>
      <c r="AE727" s="29"/>
      <c r="AF727" s="29"/>
      <c r="AG727" s="29"/>
      <c r="AH727" s="29"/>
      <c r="AI727" s="29"/>
      <c r="AJ727" s="34"/>
      <c r="AK727" s="34"/>
      <c r="AL727" s="29"/>
      <c r="AM727" s="29"/>
    </row>
    <row x14ac:dyDescent="0.25" r="728" customHeight="1" ht="15.75">
      <c r="A728" s="1"/>
      <c r="B728" s="34"/>
      <c r="C728" s="34"/>
      <c r="D728" s="34"/>
      <c r="E728" s="34"/>
      <c r="F728" s="34"/>
      <c r="G728" s="60"/>
      <c r="H728" s="60"/>
      <c r="I728" s="29"/>
      <c r="J728" s="29"/>
      <c r="K728" s="29"/>
      <c r="L728" s="29"/>
      <c r="M728" s="29"/>
      <c r="N728" s="29"/>
      <c r="O728" s="29"/>
      <c r="P728" s="29"/>
      <c r="Q728" s="34"/>
      <c r="R728" s="34"/>
      <c r="S728" s="29"/>
      <c r="T728" s="29"/>
      <c r="U728" s="29"/>
      <c r="V728" s="29"/>
      <c r="W728" s="29"/>
      <c r="X728" s="29"/>
      <c r="Y728" s="2"/>
      <c r="Z728" s="34"/>
      <c r="AA728" s="2"/>
      <c r="AB728" s="29"/>
      <c r="AC728" s="29"/>
      <c r="AD728" s="29"/>
      <c r="AE728" s="29"/>
      <c r="AF728" s="29"/>
      <c r="AG728" s="29"/>
      <c r="AH728" s="29"/>
      <c r="AI728" s="29"/>
      <c r="AJ728" s="34"/>
      <c r="AK728" s="34"/>
      <c r="AL728" s="29"/>
      <c r="AM728" s="29"/>
    </row>
    <row x14ac:dyDescent="0.25" r="729" customHeight="1" ht="15.75">
      <c r="A729" s="1"/>
      <c r="B729" s="34"/>
      <c r="C729" s="34"/>
      <c r="D729" s="34"/>
      <c r="E729" s="34"/>
      <c r="F729" s="34"/>
      <c r="G729" s="60"/>
      <c r="H729" s="60"/>
      <c r="I729" s="29"/>
      <c r="J729" s="29"/>
      <c r="K729" s="29"/>
      <c r="L729" s="29"/>
      <c r="M729" s="29"/>
      <c r="N729" s="29"/>
      <c r="O729" s="29"/>
      <c r="P729" s="29"/>
      <c r="Q729" s="34"/>
      <c r="R729" s="34"/>
      <c r="S729" s="29"/>
      <c r="T729" s="29"/>
      <c r="U729" s="29"/>
      <c r="V729" s="29"/>
      <c r="W729" s="29"/>
      <c r="X729" s="29"/>
      <c r="Y729" s="2"/>
      <c r="Z729" s="34"/>
      <c r="AA729" s="2"/>
      <c r="AB729" s="29"/>
      <c r="AC729" s="29"/>
      <c r="AD729" s="29"/>
      <c r="AE729" s="29"/>
      <c r="AF729" s="29"/>
      <c r="AG729" s="29"/>
      <c r="AH729" s="29"/>
      <c r="AI729" s="29"/>
      <c r="AJ729" s="34"/>
      <c r="AK729" s="34"/>
      <c r="AL729" s="29"/>
      <c r="AM729" s="29"/>
    </row>
    <row x14ac:dyDescent="0.25" r="730" customHeight="1" ht="15.75">
      <c r="A730" s="1"/>
      <c r="B730" s="34"/>
      <c r="C730" s="34"/>
      <c r="D730" s="34"/>
      <c r="E730" s="34"/>
      <c r="F730" s="34"/>
      <c r="G730" s="60"/>
      <c r="H730" s="60"/>
      <c r="I730" s="29"/>
      <c r="J730" s="29"/>
      <c r="K730" s="29"/>
      <c r="L730" s="29"/>
      <c r="M730" s="29"/>
      <c r="N730" s="29"/>
      <c r="O730" s="29"/>
      <c r="P730" s="29"/>
      <c r="Q730" s="34"/>
      <c r="R730" s="34"/>
      <c r="S730" s="29"/>
      <c r="T730" s="29"/>
      <c r="U730" s="29"/>
      <c r="V730" s="29"/>
      <c r="W730" s="29"/>
      <c r="X730" s="29"/>
      <c r="Y730" s="2"/>
      <c r="Z730" s="34"/>
      <c r="AA730" s="2"/>
      <c r="AB730" s="29"/>
      <c r="AC730" s="29"/>
      <c r="AD730" s="29"/>
      <c r="AE730" s="29"/>
      <c r="AF730" s="29"/>
      <c r="AG730" s="29"/>
      <c r="AH730" s="29"/>
      <c r="AI730" s="29"/>
      <c r="AJ730" s="34"/>
      <c r="AK730" s="34"/>
      <c r="AL730" s="29"/>
      <c r="AM730" s="29"/>
    </row>
    <row x14ac:dyDescent="0.25" r="731" customHeight="1" ht="15.75">
      <c r="A731" s="1"/>
      <c r="B731" s="34"/>
      <c r="C731" s="34"/>
      <c r="D731" s="34"/>
      <c r="E731" s="34"/>
      <c r="F731" s="34"/>
      <c r="G731" s="60"/>
      <c r="H731" s="60"/>
      <c r="I731" s="29"/>
      <c r="J731" s="29"/>
      <c r="K731" s="29"/>
      <c r="L731" s="29"/>
      <c r="M731" s="29"/>
      <c r="N731" s="29"/>
      <c r="O731" s="29"/>
      <c r="P731" s="29"/>
      <c r="Q731" s="34"/>
      <c r="R731" s="34"/>
      <c r="S731" s="29"/>
      <c r="T731" s="29"/>
      <c r="U731" s="29"/>
      <c r="V731" s="29"/>
      <c r="W731" s="29"/>
      <c r="X731" s="29"/>
      <c r="Y731" s="2"/>
      <c r="Z731" s="34"/>
      <c r="AA731" s="2"/>
      <c r="AB731" s="29"/>
      <c r="AC731" s="29"/>
      <c r="AD731" s="29"/>
      <c r="AE731" s="29"/>
      <c r="AF731" s="29"/>
      <c r="AG731" s="29"/>
      <c r="AH731" s="29"/>
      <c r="AI731" s="29"/>
      <c r="AJ731" s="34"/>
      <c r="AK731" s="34"/>
      <c r="AL731" s="29"/>
      <c r="AM731" s="29"/>
    </row>
    <row x14ac:dyDescent="0.25" r="732" customHeight="1" ht="15.75">
      <c r="A732" s="1"/>
      <c r="B732" s="34"/>
      <c r="C732" s="34"/>
      <c r="D732" s="34"/>
      <c r="E732" s="34"/>
      <c r="F732" s="34"/>
      <c r="G732" s="60"/>
      <c r="H732" s="60"/>
      <c r="I732" s="29"/>
      <c r="J732" s="29"/>
      <c r="K732" s="29"/>
      <c r="L732" s="29"/>
      <c r="M732" s="29"/>
      <c r="N732" s="29"/>
      <c r="O732" s="29"/>
      <c r="P732" s="29"/>
      <c r="Q732" s="34"/>
      <c r="R732" s="34"/>
      <c r="S732" s="29"/>
      <c r="T732" s="29"/>
      <c r="U732" s="29"/>
      <c r="V732" s="29"/>
      <c r="W732" s="29"/>
      <c r="X732" s="29"/>
      <c r="Y732" s="2"/>
      <c r="Z732" s="34"/>
      <c r="AA732" s="2"/>
      <c r="AB732" s="29"/>
      <c r="AC732" s="29"/>
      <c r="AD732" s="29"/>
      <c r="AE732" s="29"/>
      <c r="AF732" s="29"/>
      <c r="AG732" s="29"/>
      <c r="AH732" s="29"/>
      <c r="AI732" s="29"/>
      <c r="AJ732" s="34"/>
      <c r="AK732" s="34"/>
      <c r="AL732" s="29"/>
      <c r="AM732" s="29"/>
    </row>
    <row x14ac:dyDescent="0.25" r="733" customHeight="1" ht="15.75">
      <c r="A733" s="1"/>
      <c r="B733" s="34"/>
      <c r="C733" s="34"/>
      <c r="D733" s="34"/>
      <c r="E733" s="34"/>
      <c r="F733" s="34"/>
      <c r="G733" s="60"/>
      <c r="H733" s="60"/>
      <c r="I733" s="29"/>
      <c r="J733" s="29"/>
      <c r="K733" s="29"/>
      <c r="L733" s="29"/>
      <c r="M733" s="29"/>
      <c r="N733" s="29"/>
      <c r="O733" s="29"/>
      <c r="P733" s="29"/>
      <c r="Q733" s="34"/>
      <c r="R733" s="34"/>
      <c r="S733" s="29"/>
      <c r="T733" s="29"/>
      <c r="U733" s="29"/>
      <c r="V733" s="29"/>
      <c r="W733" s="29"/>
      <c r="X733" s="29"/>
      <c r="Y733" s="2"/>
      <c r="Z733" s="34"/>
      <c r="AA733" s="2"/>
      <c r="AB733" s="29"/>
      <c r="AC733" s="29"/>
      <c r="AD733" s="29"/>
      <c r="AE733" s="29"/>
      <c r="AF733" s="29"/>
      <c r="AG733" s="29"/>
      <c r="AH733" s="29"/>
      <c r="AI733" s="29"/>
      <c r="AJ733" s="34"/>
      <c r="AK733" s="34"/>
      <c r="AL733" s="29"/>
      <c r="AM733" s="29"/>
    </row>
    <row x14ac:dyDescent="0.25" r="734" customHeight="1" ht="15.75">
      <c r="A734" s="1"/>
      <c r="B734" s="34"/>
      <c r="C734" s="34"/>
      <c r="D734" s="34"/>
      <c r="E734" s="34"/>
      <c r="F734" s="34"/>
      <c r="G734" s="60"/>
      <c r="H734" s="60"/>
      <c r="I734" s="29"/>
      <c r="J734" s="29"/>
      <c r="K734" s="29"/>
      <c r="L734" s="29"/>
      <c r="M734" s="29"/>
      <c r="N734" s="29"/>
      <c r="O734" s="29"/>
      <c r="P734" s="29"/>
      <c r="Q734" s="34"/>
      <c r="R734" s="34"/>
      <c r="S734" s="29"/>
      <c r="T734" s="29"/>
      <c r="U734" s="29"/>
      <c r="V734" s="29"/>
      <c r="W734" s="29"/>
      <c r="X734" s="29"/>
      <c r="Y734" s="2"/>
      <c r="Z734" s="34"/>
      <c r="AA734" s="2"/>
      <c r="AB734" s="29"/>
      <c r="AC734" s="29"/>
      <c r="AD734" s="29"/>
      <c r="AE734" s="29"/>
      <c r="AF734" s="29"/>
      <c r="AG734" s="29"/>
      <c r="AH734" s="29"/>
      <c r="AI734" s="29"/>
      <c r="AJ734" s="34"/>
      <c r="AK734" s="34"/>
      <c r="AL734" s="29"/>
      <c r="AM734" s="29"/>
    </row>
    <row x14ac:dyDescent="0.25" r="735" customHeight="1" ht="15.75">
      <c r="A735" s="1"/>
      <c r="B735" s="34"/>
      <c r="C735" s="34"/>
      <c r="D735" s="34"/>
      <c r="E735" s="34"/>
      <c r="F735" s="34"/>
      <c r="G735" s="60"/>
      <c r="H735" s="60"/>
      <c r="I735" s="29"/>
      <c r="J735" s="29"/>
      <c r="K735" s="29"/>
      <c r="L735" s="29"/>
      <c r="M735" s="29"/>
      <c r="N735" s="29"/>
      <c r="O735" s="29"/>
      <c r="P735" s="29"/>
      <c r="Q735" s="34"/>
      <c r="R735" s="34"/>
      <c r="S735" s="29"/>
      <c r="T735" s="29"/>
      <c r="U735" s="29"/>
      <c r="V735" s="29"/>
      <c r="W735" s="29"/>
      <c r="X735" s="29"/>
      <c r="Y735" s="2"/>
      <c r="Z735" s="34"/>
      <c r="AA735" s="2"/>
      <c r="AB735" s="29"/>
      <c r="AC735" s="29"/>
      <c r="AD735" s="29"/>
      <c r="AE735" s="29"/>
      <c r="AF735" s="29"/>
      <c r="AG735" s="29"/>
      <c r="AH735" s="29"/>
      <c r="AI735" s="29"/>
      <c r="AJ735" s="34"/>
      <c r="AK735" s="34"/>
      <c r="AL735" s="29"/>
      <c r="AM735" s="29"/>
    </row>
    <row x14ac:dyDescent="0.25" r="736" customHeight="1" ht="15.75">
      <c r="A736" s="1"/>
      <c r="B736" s="34"/>
      <c r="C736" s="34"/>
      <c r="D736" s="34"/>
      <c r="E736" s="34"/>
      <c r="F736" s="34"/>
      <c r="G736" s="60"/>
      <c r="H736" s="60"/>
      <c r="I736" s="29"/>
      <c r="J736" s="29"/>
      <c r="K736" s="29"/>
      <c r="L736" s="29"/>
      <c r="M736" s="29"/>
      <c r="N736" s="29"/>
      <c r="O736" s="29"/>
      <c r="P736" s="29"/>
      <c r="Q736" s="34"/>
      <c r="R736" s="34"/>
      <c r="S736" s="29"/>
      <c r="T736" s="29"/>
      <c r="U736" s="29"/>
      <c r="V736" s="29"/>
      <c r="W736" s="29"/>
      <c r="X736" s="29"/>
      <c r="Y736" s="2"/>
      <c r="Z736" s="34"/>
      <c r="AA736" s="2"/>
      <c r="AB736" s="29"/>
      <c r="AC736" s="29"/>
      <c r="AD736" s="29"/>
      <c r="AE736" s="29"/>
      <c r="AF736" s="29"/>
      <c r="AG736" s="29"/>
      <c r="AH736" s="29"/>
      <c r="AI736" s="29"/>
      <c r="AJ736" s="34"/>
      <c r="AK736" s="34"/>
      <c r="AL736" s="29"/>
      <c r="AM736" s="29"/>
    </row>
    <row x14ac:dyDescent="0.25" r="737" customHeight="1" ht="15.75">
      <c r="A737" s="1"/>
      <c r="B737" s="34"/>
      <c r="C737" s="34"/>
      <c r="D737" s="34"/>
      <c r="E737" s="34"/>
      <c r="F737" s="34"/>
      <c r="G737" s="60"/>
      <c r="H737" s="60"/>
      <c r="I737" s="29"/>
      <c r="J737" s="29"/>
      <c r="K737" s="29"/>
      <c r="L737" s="29"/>
      <c r="M737" s="29"/>
      <c r="N737" s="29"/>
      <c r="O737" s="29"/>
      <c r="P737" s="29"/>
      <c r="Q737" s="34"/>
      <c r="R737" s="34"/>
      <c r="S737" s="29"/>
      <c r="T737" s="29"/>
      <c r="U737" s="29"/>
      <c r="V737" s="29"/>
      <c r="W737" s="29"/>
      <c r="X737" s="29"/>
      <c r="Y737" s="2"/>
      <c r="Z737" s="34"/>
      <c r="AA737" s="2"/>
      <c r="AB737" s="29"/>
      <c r="AC737" s="29"/>
      <c r="AD737" s="29"/>
      <c r="AE737" s="29"/>
      <c r="AF737" s="29"/>
      <c r="AG737" s="29"/>
      <c r="AH737" s="29"/>
      <c r="AI737" s="29"/>
      <c r="AJ737" s="34"/>
      <c r="AK737" s="34"/>
      <c r="AL737" s="29"/>
      <c r="AM737" s="29"/>
    </row>
    <row x14ac:dyDescent="0.25" r="738" customHeight="1" ht="15.75">
      <c r="A738" s="1"/>
      <c r="B738" s="34"/>
      <c r="C738" s="34"/>
      <c r="D738" s="34"/>
      <c r="E738" s="34"/>
      <c r="F738" s="34"/>
      <c r="G738" s="60"/>
      <c r="H738" s="60"/>
      <c r="I738" s="29"/>
      <c r="J738" s="29"/>
      <c r="K738" s="29"/>
      <c r="L738" s="29"/>
      <c r="M738" s="29"/>
      <c r="N738" s="29"/>
      <c r="O738" s="29"/>
      <c r="P738" s="29"/>
      <c r="Q738" s="34"/>
      <c r="R738" s="34"/>
      <c r="S738" s="29"/>
      <c r="T738" s="29"/>
      <c r="U738" s="29"/>
      <c r="V738" s="29"/>
      <c r="W738" s="29"/>
      <c r="X738" s="29"/>
      <c r="Y738" s="2"/>
      <c r="Z738" s="34"/>
      <c r="AA738" s="2"/>
      <c r="AB738" s="29"/>
      <c r="AC738" s="29"/>
      <c r="AD738" s="29"/>
      <c r="AE738" s="29"/>
      <c r="AF738" s="29"/>
      <c r="AG738" s="29"/>
      <c r="AH738" s="29"/>
      <c r="AI738" s="29"/>
      <c r="AJ738" s="34"/>
      <c r="AK738" s="34"/>
      <c r="AL738" s="29"/>
      <c r="AM738" s="29"/>
    </row>
    <row x14ac:dyDescent="0.25" r="739" customHeight="1" ht="15.75">
      <c r="A739" s="1"/>
      <c r="B739" s="34"/>
      <c r="C739" s="34"/>
      <c r="D739" s="34"/>
      <c r="E739" s="34"/>
      <c r="F739" s="34"/>
      <c r="G739" s="60"/>
      <c r="H739" s="60"/>
      <c r="I739" s="29"/>
      <c r="J739" s="29"/>
      <c r="K739" s="29"/>
      <c r="L739" s="29"/>
      <c r="M739" s="29"/>
      <c r="N739" s="29"/>
      <c r="O739" s="29"/>
      <c r="P739" s="29"/>
      <c r="Q739" s="34"/>
      <c r="R739" s="34"/>
      <c r="S739" s="29"/>
      <c r="T739" s="29"/>
      <c r="U739" s="29"/>
      <c r="V739" s="29"/>
      <c r="W739" s="29"/>
      <c r="X739" s="29"/>
      <c r="Y739" s="2"/>
      <c r="Z739" s="34"/>
      <c r="AA739" s="2"/>
      <c r="AB739" s="29"/>
      <c r="AC739" s="29"/>
      <c r="AD739" s="29"/>
      <c r="AE739" s="29"/>
      <c r="AF739" s="29"/>
      <c r="AG739" s="29"/>
      <c r="AH739" s="29"/>
      <c r="AI739" s="29"/>
      <c r="AJ739" s="34"/>
      <c r="AK739" s="34"/>
      <c r="AL739" s="29"/>
      <c r="AM739" s="29"/>
    </row>
    <row x14ac:dyDescent="0.25" r="740" customHeight="1" ht="15.75">
      <c r="A740" s="1"/>
      <c r="B740" s="34"/>
      <c r="C740" s="34"/>
      <c r="D740" s="34"/>
      <c r="E740" s="34"/>
      <c r="F740" s="34"/>
      <c r="G740" s="60"/>
      <c r="H740" s="60"/>
      <c r="I740" s="29"/>
      <c r="J740" s="29"/>
      <c r="K740" s="29"/>
      <c r="L740" s="29"/>
      <c r="M740" s="29"/>
      <c r="N740" s="29"/>
      <c r="O740" s="29"/>
      <c r="P740" s="29"/>
      <c r="Q740" s="34"/>
      <c r="R740" s="34"/>
      <c r="S740" s="29"/>
      <c r="T740" s="29"/>
      <c r="U740" s="29"/>
      <c r="V740" s="29"/>
      <c r="W740" s="29"/>
      <c r="X740" s="29"/>
      <c r="Y740" s="2"/>
      <c r="Z740" s="34"/>
      <c r="AA740" s="2"/>
      <c r="AB740" s="29"/>
      <c r="AC740" s="29"/>
      <c r="AD740" s="29"/>
      <c r="AE740" s="29"/>
      <c r="AF740" s="29"/>
      <c r="AG740" s="29"/>
      <c r="AH740" s="29"/>
      <c r="AI740" s="29"/>
      <c r="AJ740" s="34"/>
      <c r="AK740" s="34"/>
      <c r="AL740" s="29"/>
      <c r="AM740" s="29"/>
    </row>
    <row x14ac:dyDescent="0.25" r="741" customHeight="1" ht="15.75">
      <c r="A741" s="1"/>
      <c r="B741" s="34"/>
      <c r="C741" s="34"/>
      <c r="D741" s="34"/>
      <c r="E741" s="34"/>
      <c r="F741" s="34"/>
      <c r="G741" s="60"/>
      <c r="H741" s="60"/>
      <c r="I741" s="29"/>
      <c r="J741" s="29"/>
      <c r="K741" s="29"/>
      <c r="L741" s="29"/>
      <c r="M741" s="29"/>
      <c r="N741" s="29"/>
      <c r="O741" s="29"/>
      <c r="P741" s="29"/>
      <c r="Q741" s="34"/>
      <c r="R741" s="34"/>
      <c r="S741" s="29"/>
      <c r="T741" s="29"/>
      <c r="U741" s="29"/>
      <c r="V741" s="29"/>
      <c r="W741" s="29"/>
      <c r="X741" s="29"/>
      <c r="Y741" s="2"/>
      <c r="Z741" s="34"/>
      <c r="AA741" s="2"/>
      <c r="AB741" s="29"/>
      <c r="AC741" s="29"/>
      <c r="AD741" s="29"/>
      <c r="AE741" s="29"/>
      <c r="AF741" s="29"/>
      <c r="AG741" s="29"/>
      <c r="AH741" s="29"/>
      <c r="AI741" s="29"/>
      <c r="AJ741" s="34"/>
      <c r="AK741" s="34"/>
      <c r="AL741" s="29"/>
      <c r="AM741" s="29"/>
    </row>
    <row x14ac:dyDescent="0.25" r="742" customHeight="1" ht="15.75">
      <c r="A742" s="1"/>
      <c r="B742" s="34"/>
      <c r="C742" s="34"/>
      <c r="D742" s="34"/>
      <c r="E742" s="34"/>
      <c r="F742" s="34"/>
      <c r="G742" s="60"/>
      <c r="H742" s="60"/>
      <c r="I742" s="29"/>
      <c r="J742" s="29"/>
      <c r="K742" s="29"/>
      <c r="L742" s="29"/>
      <c r="M742" s="29"/>
      <c r="N742" s="29"/>
      <c r="O742" s="29"/>
      <c r="P742" s="29"/>
      <c r="Q742" s="34"/>
      <c r="R742" s="34"/>
      <c r="S742" s="29"/>
      <c r="T742" s="29"/>
      <c r="U742" s="29"/>
      <c r="V742" s="29"/>
      <c r="W742" s="29"/>
      <c r="X742" s="29"/>
      <c r="Y742" s="2"/>
      <c r="Z742" s="34"/>
      <c r="AA742" s="2"/>
      <c r="AB742" s="29"/>
      <c r="AC742" s="29"/>
      <c r="AD742" s="29"/>
      <c r="AE742" s="29"/>
      <c r="AF742" s="29"/>
      <c r="AG742" s="29"/>
      <c r="AH742" s="29"/>
      <c r="AI742" s="29"/>
      <c r="AJ742" s="34"/>
      <c r="AK742" s="34"/>
      <c r="AL742" s="29"/>
      <c r="AM742" s="29"/>
    </row>
    <row x14ac:dyDescent="0.25" r="743" customHeight="1" ht="15.75">
      <c r="A743" s="1"/>
      <c r="B743" s="34"/>
      <c r="C743" s="34"/>
      <c r="D743" s="34"/>
      <c r="E743" s="34"/>
      <c r="F743" s="34"/>
      <c r="G743" s="60"/>
      <c r="H743" s="60"/>
      <c r="I743" s="29"/>
      <c r="J743" s="29"/>
      <c r="K743" s="29"/>
      <c r="L743" s="29"/>
      <c r="M743" s="29"/>
      <c r="N743" s="29"/>
      <c r="O743" s="29"/>
      <c r="P743" s="29"/>
      <c r="Q743" s="34"/>
      <c r="R743" s="34"/>
      <c r="S743" s="29"/>
      <c r="T743" s="29"/>
      <c r="U743" s="29"/>
      <c r="V743" s="29"/>
      <c r="W743" s="29"/>
      <c r="X743" s="29"/>
      <c r="Y743" s="2"/>
      <c r="Z743" s="34"/>
      <c r="AA743" s="2"/>
      <c r="AB743" s="29"/>
      <c r="AC743" s="29"/>
      <c r="AD743" s="29"/>
      <c r="AE743" s="29"/>
      <c r="AF743" s="29"/>
      <c r="AG743" s="29"/>
      <c r="AH743" s="29"/>
      <c r="AI743" s="29"/>
      <c r="AJ743" s="34"/>
      <c r="AK743" s="34"/>
      <c r="AL743" s="29"/>
      <c r="AM743" s="29"/>
    </row>
    <row x14ac:dyDescent="0.25" r="744" customHeight="1" ht="15.75">
      <c r="A744" s="1"/>
      <c r="B744" s="34"/>
      <c r="C744" s="34"/>
      <c r="D744" s="34"/>
      <c r="E744" s="34"/>
      <c r="F744" s="34"/>
      <c r="G744" s="60"/>
      <c r="H744" s="60"/>
      <c r="I744" s="29"/>
      <c r="J744" s="29"/>
      <c r="K744" s="29"/>
      <c r="L744" s="29"/>
      <c r="M744" s="29"/>
      <c r="N744" s="29"/>
      <c r="O744" s="29"/>
      <c r="P744" s="29"/>
      <c r="Q744" s="34"/>
      <c r="R744" s="34"/>
      <c r="S744" s="29"/>
      <c r="T744" s="29"/>
      <c r="U744" s="29"/>
      <c r="V744" s="29"/>
      <c r="W744" s="29"/>
      <c r="X744" s="29"/>
      <c r="Y744" s="2"/>
      <c r="Z744" s="34"/>
      <c r="AA744" s="2"/>
      <c r="AB744" s="29"/>
      <c r="AC744" s="29"/>
      <c r="AD744" s="29"/>
      <c r="AE744" s="29"/>
      <c r="AF744" s="29"/>
      <c r="AG744" s="29"/>
      <c r="AH744" s="29"/>
      <c r="AI744" s="29"/>
      <c r="AJ744" s="34"/>
      <c r="AK744" s="34"/>
      <c r="AL744" s="29"/>
      <c r="AM744" s="29"/>
    </row>
    <row x14ac:dyDescent="0.25" r="745" customHeight="1" ht="15.75">
      <c r="A745" s="1"/>
      <c r="B745" s="34"/>
      <c r="C745" s="34"/>
      <c r="D745" s="34"/>
      <c r="E745" s="34"/>
      <c r="F745" s="34"/>
      <c r="G745" s="60"/>
      <c r="H745" s="60"/>
      <c r="I745" s="29"/>
      <c r="J745" s="29"/>
      <c r="K745" s="29"/>
      <c r="L745" s="29"/>
      <c r="M745" s="29"/>
      <c r="N745" s="29"/>
      <c r="O745" s="29"/>
      <c r="P745" s="29"/>
      <c r="Q745" s="34"/>
      <c r="R745" s="34"/>
      <c r="S745" s="29"/>
      <c r="T745" s="29"/>
      <c r="U745" s="29"/>
      <c r="V745" s="29"/>
      <c r="W745" s="29"/>
      <c r="X745" s="29"/>
      <c r="Y745" s="2"/>
      <c r="Z745" s="34"/>
      <c r="AA745" s="2"/>
      <c r="AB745" s="29"/>
      <c r="AC745" s="29"/>
      <c r="AD745" s="29"/>
      <c r="AE745" s="29"/>
      <c r="AF745" s="29"/>
      <c r="AG745" s="29"/>
      <c r="AH745" s="29"/>
      <c r="AI745" s="29"/>
      <c r="AJ745" s="34"/>
      <c r="AK745" s="34"/>
      <c r="AL745" s="29"/>
      <c r="AM745" s="29"/>
    </row>
    <row x14ac:dyDescent="0.25" r="746" customHeight="1" ht="15.75">
      <c r="A746" s="1"/>
      <c r="B746" s="34"/>
      <c r="C746" s="34"/>
      <c r="D746" s="34"/>
      <c r="E746" s="34"/>
      <c r="F746" s="34"/>
      <c r="G746" s="60"/>
      <c r="H746" s="60"/>
      <c r="I746" s="29"/>
      <c r="J746" s="29"/>
      <c r="K746" s="29"/>
      <c r="L746" s="29"/>
      <c r="M746" s="29"/>
      <c r="N746" s="29"/>
      <c r="O746" s="29"/>
      <c r="P746" s="29"/>
      <c r="Q746" s="34"/>
      <c r="R746" s="34"/>
      <c r="S746" s="29"/>
      <c r="T746" s="29"/>
      <c r="U746" s="29"/>
      <c r="V746" s="29"/>
      <c r="W746" s="29"/>
      <c r="X746" s="29"/>
      <c r="Y746" s="2"/>
      <c r="Z746" s="34"/>
      <c r="AA746" s="2"/>
      <c r="AB746" s="29"/>
      <c r="AC746" s="29"/>
      <c r="AD746" s="29"/>
      <c r="AE746" s="29"/>
      <c r="AF746" s="29"/>
      <c r="AG746" s="29"/>
      <c r="AH746" s="29"/>
      <c r="AI746" s="29"/>
      <c r="AJ746" s="34"/>
      <c r="AK746" s="34"/>
      <c r="AL746" s="29"/>
      <c r="AM746" s="29"/>
    </row>
    <row x14ac:dyDescent="0.25" r="747" customHeight="1" ht="15.75">
      <c r="A747" s="1"/>
      <c r="B747" s="34"/>
      <c r="C747" s="34"/>
      <c r="D747" s="34"/>
      <c r="E747" s="34"/>
      <c r="F747" s="34"/>
      <c r="G747" s="60"/>
      <c r="H747" s="60"/>
      <c r="I747" s="29"/>
      <c r="J747" s="29"/>
      <c r="K747" s="29"/>
      <c r="L747" s="29"/>
      <c r="M747" s="29"/>
      <c r="N747" s="29"/>
      <c r="O747" s="29"/>
      <c r="P747" s="29"/>
      <c r="Q747" s="34"/>
      <c r="R747" s="34"/>
      <c r="S747" s="29"/>
      <c r="T747" s="29"/>
      <c r="U747" s="29"/>
      <c r="V747" s="29"/>
      <c r="W747" s="29"/>
      <c r="X747" s="29"/>
      <c r="Y747" s="2"/>
      <c r="Z747" s="34"/>
      <c r="AA747" s="2"/>
      <c r="AB747" s="29"/>
      <c r="AC747" s="29"/>
      <c r="AD747" s="29"/>
      <c r="AE747" s="29"/>
      <c r="AF747" s="29"/>
      <c r="AG747" s="29"/>
      <c r="AH747" s="29"/>
      <c r="AI747" s="29"/>
      <c r="AJ747" s="34"/>
      <c r="AK747" s="34"/>
      <c r="AL747" s="29"/>
      <c r="AM747" s="29"/>
    </row>
    <row x14ac:dyDescent="0.25" r="748" customHeight="1" ht="15.75">
      <c r="A748" s="1"/>
      <c r="B748" s="34"/>
      <c r="C748" s="34"/>
      <c r="D748" s="34"/>
      <c r="E748" s="34"/>
      <c r="F748" s="34"/>
      <c r="G748" s="60"/>
      <c r="H748" s="60"/>
      <c r="I748" s="29"/>
      <c r="J748" s="29"/>
      <c r="K748" s="29"/>
      <c r="L748" s="29"/>
      <c r="M748" s="29"/>
      <c r="N748" s="29"/>
      <c r="O748" s="29"/>
      <c r="P748" s="29"/>
      <c r="Q748" s="34"/>
      <c r="R748" s="34"/>
      <c r="S748" s="29"/>
      <c r="T748" s="29"/>
      <c r="U748" s="29"/>
      <c r="V748" s="29"/>
      <c r="W748" s="29"/>
      <c r="X748" s="29"/>
      <c r="Y748" s="2"/>
      <c r="Z748" s="34"/>
      <c r="AA748" s="2"/>
      <c r="AB748" s="29"/>
      <c r="AC748" s="29"/>
      <c r="AD748" s="29"/>
      <c r="AE748" s="29"/>
      <c r="AF748" s="29"/>
      <c r="AG748" s="29"/>
      <c r="AH748" s="29"/>
      <c r="AI748" s="29"/>
      <c r="AJ748" s="34"/>
      <c r="AK748" s="34"/>
      <c r="AL748" s="29"/>
      <c r="AM748" s="29"/>
    </row>
    <row x14ac:dyDescent="0.25" r="749" customHeight="1" ht="15.75">
      <c r="A749" s="1"/>
      <c r="B749" s="34"/>
      <c r="C749" s="34"/>
      <c r="D749" s="34"/>
      <c r="E749" s="34"/>
      <c r="F749" s="34"/>
      <c r="G749" s="60"/>
      <c r="H749" s="60"/>
      <c r="I749" s="29"/>
      <c r="J749" s="29"/>
      <c r="K749" s="29"/>
      <c r="L749" s="29"/>
      <c r="M749" s="29"/>
      <c r="N749" s="29"/>
      <c r="O749" s="29"/>
      <c r="P749" s="29"/>
      <c r="Q749" s="34"/>
      <c r="R749" s="34"/>
      <c r="S749" s="29"/>
      <c r="T749" s="29"/>
      <c r="U749" s="29"/>
      <c r="V749" s="29"/>
      <c r="W749" s="29"/>
      <c r="X749" s="29"/>
      <c r="Y749" s="2"/>
      <c r="Z749" s="34"/>
      <c r="AA749" s="2"/>
      <c r="AB749" s="29"/>
      <c r="AC749" s="29"/>
      <c r="AD749" s="29"/>
      <c r="AE749" s="29"/>
      <c r="AF749" s="29"/>
      <c r="AG749" s="29"/>
      <c r="AH749" s="29"/>
      <c r="AI749" s="29"/>
      <c r="AJ749" s="34"/>
      <c r="AK749" s="34"/>
      <c r="AL749" s="29"/>
      <c r="AM749" s="29"/>
    </row>
    <row x14ac:dyDescent="0.25" r="750" customHeight="1" ht="15.75">
      <c r="A750" s="1"/>
      <c r="B750" s="34"/>
      <c r="C750" s="34"/>
      <c r="D750" s="34"/>
      <c r="E750" s="34"/>
      <c r="F750" s="34"/>
      <c r="G750" s="60"/>
      <c r="H750" s="60"/>
      <c r="I750" s="29"/>
      <c r="J750" s="29"/>
      <c r="K750" s="29"/>
      <c r="L750" s="29"/>
      <c r="M750" s="29"/>
      <c r="N750" s="29"/>
      <c r="O750" s="29"/>
      <c r="P750" s="29"/>
      <c r="Q750" s="34"/>
      <c r="R750" s="34"/>
      <c r="S750" s="29"/>
      <c r="T750" s="29"/>
      <c r="U750" s="29"/>
      <c r="V750" s="29"/>
      <c r="W750" s="29"/>
      <c r="X750" s="29"/>
      <c r="Y750" s="2"/>
      <c r="Z750" s="34"/>
      <c r="AA750" s="2"/>
      <c r="AB750" s="29"/>
      <c r="AC750" s="29"/>
      <c r="AD750" s="29"/>
      <c r="AE750" s="29"/>
      <c r="AF750" s="29"/>
      <c r="AG750" s="29"/>
      <c r="AH750" s="29"/>
      <c r="AI750" s="29"/>
      <c r="AJ750" s="34"/>
      <c r="AK750" s="34"/>
      <c r="AL750" s="29"/>
      <c r="AM750" s="29"/>
    </row>
    <row x14ac:dyDescent="0.25" r="751" customHeight="1" ht="15.75">
      <c r="A751" s="1"/>
      <c r="B751" s="34"/>
      <c r="C751" s="34"/>
      <c r="D751" s="34"/>
      <c r="E751" s="34"/>
      <c r="F751" s="34"/>
      <c r="G751" s="60"/>
      <c r="H751" s="60"/>
      <c r="I751" s="29"/>
      <c r="J751" s="29"/>
      <c r="K751" s="29"/>
      <c r="L751" s="29"/>
      <c r="M751" s="29"/>
      <c r="N751" s="29"/>
      <c r="O751" s="29"/>
      <c r="P751" s="29"/>
      <c r="Q751" s="34"/>
      <c r="R751" s="34"/>
      <c r="S751" s="29"/>
      <c r="T751" s="29"/>
      <c r="U751" s="29"/>
      <c r="V751" s="29"/>
      <c r="W751" s="29"/>
      <c r="X751" s="29"/>
      <c r="Y751" s="2"/>
      <c r="Z751" s="34"/>
      <c r="AA751" s="2"/>
      <c r="AB751" s="29"/>
      <c r="AC751" s="29"/>
      <c r="AD751" s="29"/>
      <c r="AE751" s="29"/>
      <c r="AF751" s="29"/>
      <c r="AG751" s="29"/>
      <c r="AH751" s="29"/>
      <c r="AI751" s="29"/>
      <c r="AJ751" s="34"/>
      <c r="AK751" s="34"/>
      <c r="AL751" s="29"/>
      <c r="AM751" s="29"/>
    </row>
    <row x14ac:dyDescent="0.25" r="752" customHeight="1" ht="15.75">
      <c r="A752" s="1"/>
      <c r="B752" s="34"/>
      <c r="C752" s="34"/>
      <c r="D752" s="34"/>
      <c r="E752" s="34"/>
      <c r="F752" s="34"/>
      <c r="G752" s="60"/>
      <c r="H752" s="60"/>
      <c r="I752" s="29"/>
      <c r="J752" s="29"/>
      <c r="K752" s="29"/>
      <c r="L752" s="29"/>
      <c r="M752" s="29"/>
      <c r="N752" s="29"/>
      <c r="O752" s="29"/>
      <c r="P752" s="29"/>
      <c r="Q752" s="34"/>
      <c r="R752" s="34"/>
      <c r="S752" s="29"/>
      <c r="T752" s="29"/>
      <c r="U752" s="29"/>
      <c r="V752" s="29"/>
      <c r="W752" s="29"/>
      <c r="X752" s="29"/>
      <c r="Y752" s="2"/>
      <c r="Z752" s="34"/>
      <c r="AA752" s="2"/>
      <c r="AB752" s="29"/>
      <c r="AC752" s="29"/>
      <c r="AD752" s="29"/>
      <c r="AE752" s="29"/>
      <c r="AF752" s="29"/>
      <c r="AG752" s="29"/>
      <c r="AH752" s="29"/>
      <c r="AI752" s="29"/>
      <c r="AJ752" s="34"/>
      <c r="AK752" s="34"/>
      <c r="AL752" s="29"/>
      <c r="AM752" s="29"/>
    </row>
    <row x14ac:dyDescent="0.25" r="753" customHeight="1" ht="15.75">
      <c r="A753" s="1"/>
      <c r="B753" s="34"/>
      <c r="C753" s="34"/>
      <c r="D753" s="34"/>
      <c r="E753" s="34"/>
      <c r="F753" s="34"/>
      <c r="G753" s="60"/>
      <c r="H753" s="60"/>
      <c r="I753" s="29"/>
      <c r="J753" s="29"/>
      <c r="K753" s="29"/>
      <c r="L753" s="29"/>
      <c r="M753" s="29"/>
      <c r="N753" s="29"/>
      <c r="O753" s="29"/>
      <c r="P753" s="29"/>
      <c r="Q753" s="34"/>
      <c r="R753" s="34"/>
      <c r="S753" s="29"/>
      <c r="T753" s="29"/>
      <c r="U753" s="29"/>
      <c r="V753" s="29"/>
      <c r="W753" s="29"/>
      <c r="X753" s="29"/>
      <c r="Y753" s="2"/>
      <c r="Z753" s="34"/>
      <c r="AA753" s="2"/>
      <c r="AB753" s="29"/>
      <c r="AC753" s="29"/>
      <c r="AD753" s="29"/>
      <c r="AE753" s="29"/>
      <c r="AF753" s="29"/>
      <c r="AG753" s="29"/>
      <c r="AH753" s="29"/>
      <c r="AI753" s="29"/>
      <c r="AJ753" s="34"/>
      <c r="AK753" s="34"/>
      <c r="AL753" s="29"/>
      <c r="AM753" s="29"/>
    </row>
    <row x14ac:dyDescent="0.25" r="754" customHeight="1" ht="15.75">
      <c r="A754" s="1"/>
      <c r="B754" s="34"/>
      <c r="C754" s="34"/>
      <c r="D754" s="34"/>
      <c r="E754" s="34"/>
      <c r="F754" s="34"/>
      <c r="G754" s="60"/>
      <c r="H754" s="60"/>
      <c r="I754" s="29"/>
      <c r="J754" s="29"/>
      <c r="K754" s="29"/>
      <c r="L754" s="29"/>
      <c r="M754" s="29"/>
      <c r="N754" s="29"/>
      <c r="O754" s="29"/>
      <c r="P754" s="29"/>
      <c r="Q754" s="34"/>
      <c r="R754" s="34"/>
      <c r="S754" s="29"/>
      <c r="T754" s="29"/>
      <c r="U754" s="29"/>
      <c r="V754" s="29"/>
      <c r="W754" s="29"/>
      <c r="X754" s="29"/>
      <c r="Y754" s="2"/>
      <c r="Z754" s="34"/>
      <c r="AA754" s="2"/>
      <c r="AB754" s="29"/>
      <c r="AC754" s="29"/>
      <c r="AD754" s="29"/>
      <c r="AE754" s="29"/>
      <c r="AF754" s="29"/>
      <c r="AG754" s="29"/>
      <c r="AH754" s="29"/>
      <c r="AI754" s="29"/>
      <c r="AJ754" s="34"/>
      <c r="AK754" s="34"/>
      <c r="AL754" s="29"/>
      <c r="AM754" s="29"/>
    </row>
    <row x14ac:dyDescent="0.25" r="755" customHeight="1" ht="15.75">
      <c r="A755" s="1"/>
      <c r="B755" s="34"/>
      <c r="C755" s="34"/>
      <c r="D755" s="34"/>
      <c r="E755" s="34"/>
      <c r="F755" s="34"/>
      <c r="G755" s="60"/>
      <c r="H755" s="60"/>
      <c r="I755" s="29"/>
      <c r="J755" s="29"/>
      <c r="K755" s="29"/>
      <c r="L755" s="29"/>
      <c r="M755" s="29"/>
      <c r="N755" s="29"/>
      <c r="O755" s="29"/>
      <c r="P755" s="29"/>
      <c r="Q755" s="34"/>
      <c r="R755" s="34"/>
      <c r="S755" s="29"/>
      <c r="T755" s="29"/>
      <c r="U755" s="29"/>
      <c r="V755" s="29"/>
      <c r="W755" s="29"/>
      <c r="X755" s="29"/>
      <c r="Y755" s="2"/>
      <c r="Z755" s="34"/>
      <c r="AA755" s="2"/>
      <c r="AB755" s="29"/>
      <c r="AC755" s="29"/>
      <c r="AD755" s="29"/>
      <c r="AE755" s="29"/>
      <c r="AF755" s="29"/>
      <c r="AG755" s="29"/>
      <c r="AH755" s="29"/>
      <c r="AI755" s="29"/>
      <c r="AJ755" s="34"/>
      <c r="AK755" s="34"/>
      <c r="AL755" s="29"/>
      <c r="AM755" s="29"/>
    </row>
    <row x14ac:dyDescent="0.25" r="756" customHeight="1" ht="15.75">
      <c r="A756" s="1"/>
      <c r="B756" s="34"/>
      <c r="C756" s="34"/>
      <c r="D756" s="34"/>
      <c r="E756" s="34"/>
      <c r="F756" s="34"/>
      <c r="G756" s="60"/>
      <c r="H756" s="60"/>
      <c r="I756" s="29"/>
      <c r="J756" s="29"/>
      <c r="K756" s="29"/>
      <c r="L756" s="29"/>
      <c r="M756" s="29"/>
      <c r="N756" s="29"/>
      <c r="O756" s="29"/>
      <c r="P756" s="29"/>
      <c r="Q756" s="34"/>
      <c r="R756" s="34"/>
      <c r="S756" s="29"/>
      <c r="T756" s="29"/>
      <c r="U756" s="29"/>
      <c r="V756" s="29"/>
      <c r="W756" s="29"/>
      <c r="X756" s="29"/>
      <c r="Y756" s="2"/>
      <c r="Z756" s="34"/>
      <c r="AA756" s="2"/>
      <c r="AB756" s="29"/>
      <c r="AC756" s="29"/>
      <c r="AD756" s="29"/>
      <c r="AE756" s="29"/>
      <c r="AF756" s="29"/>
      <c r="AG756" s="29"/>
      <c r="AH756" s="29"/>
      <c r="AI756" s="29"/>
      <c r="AJ756" s="34"/>
      <c r="AK756" s="34"/>
      <c r="AL756" s="29"/>
      <c r="AM756" s="29"/>
    </row>
    <row x14ac:dyDescent="0.25" r="757" customHeight="1" ht="15.75">
      <c r="A757" s="1"/>
      <c r="B757" s="34"/>
      <c r="C757" s="34"/>
      <c r="D757" s="34"/>
      <c r="E757" s="34"/>
      <c r="F757" s="34"/>
      <c r="G757" s="60"/>
      <c r="H757" s="60"/>
      <c r="I757" s="29"/>
      <c r="J757" s="29"/>
      <c r="K757" s="29"/>
      <c r="L757" s="29"/>
      <c r="M757" s="29"/>
      <c r="N757" s="29"/>
      <c r="O757" s="29"/>
      <c r="P757" s="29"/>
      <c r="Q757" s="34"/>
      <c r="R757" s="34"/>
      <c r="S757" s="29"/>
      <c r="T757" s="29"/>
      <c r="U757" s="29"/>
      <c r="V757" s="29"/>
      <c r="W757" s="29"/>
      <c r="X757" s="29"/>
      <c r="Y757" s="2"/>
      <c r="Z757" s="34"/>
      <c r="AA757" s="2"/>
      <c r="AB757" s="29"/>
      <c r="AC757" s="29"/>
      <c r="AD757" s="29"/>
      <c r="AE757" s="29"/>
      <c r="AF757" s="29"/>
      <c r="AG757" s="29"/>
      <c r="AH757" s="29"/>
      <c r="AI757" s="29"/>
      <c r="AJ757" s="34"/>
      <c r="AK757" s="34"/>
      <c r="AL757" s="29"/>
      <c r="AM757" s="29"/>
    </row>
    <row x14ac:dyDescent="0.25" r="758" customHeight="1" ht="15.75">
      <c r="A758" s="1"/>
      <c r="B758" s="34"/>
      <c r="C758" s="34"/>
      <c r="D758" s="34"/>
      <c r="E758" s="34"/>
      <c r="F758" s="34"/>
      <c r="G758" s="60"/>
      <c r="H758" s="60"/>
      <c r="I758" s="29"/>
      <c r="J758" s="29"/>
      <c r="K758" s="29"/>
      <c r="L758" s="29"/>
      <c r="M758" s="29"/>
      <c r="N758" s="29"/>
      <c r="O758" s="29"/>
      <c r="P758" s="29"/>
      <c r="Q758" s="34"/>
      <c r="R758" s="34"/>
      <c r="S758" s="29"/>
      <c r="T758" s="29"/>
      <c r="U758" s="29"/>
      <c r="V758" s="29"/>
      <c r="W758" s="29"/>
      <c r="X758" s="29"/>
      <c r="Y758" s="2"/>
      <c r="Z758" s="34"/>
      <c r="AA758" s="2"/>
      <c r="AB758" s="29"/>
      <c r="AC758" s="29"/>
      <c r="AD758" s="29"/>
      <c r="AE758" s="29"/>
      <c r="AF758" s="29"/>
      <c r="AG758" s="29"/>
      <c r="AH758" s="29"/>
      <c r="AI758" s="29"/>
      <c r="AJ758" s="34"/>
      <c r="AK758" s="34"/>
      <c r="AL758" s="29"/>
      <c r="AM758" s="29"/>
    </row>
    <row x14ac:dyDescent="0.25" r="759" customHeight="1" ht="15.75">
      <c r="A759" s="1"/>
      <c r="B759" s="34"/>
      <c r="C759" s="34"/>
      <c r="D759" s="34"/>
      <c r="E759" s="34"/>
      <c r="F759" s="34"/>
      <c r="G759" s="60"/>
      <c r="H759" s="60"/>
      <c r="I759" s="29"/>
      <c r="J759" s="29"/>
      <c r="K759" s="29"/>
      <c r="L759" s="29"/>
      <c r="M759" s="29"/>
      <c r="N759" s="29"/>
      <c r="O759" s="29"/>
      <c r="P759" s="29"/>
      <c r="Q759" s="34"/>
      <c r="R759" s="34"/>
      <c r="S759" s="29"/>
      <c r="T759" s="29"/>
      <c r="U759" s="29"/>
      <c r="V759" s="29"/>
      <c r="W759" s="29"/>
      <c r="X759" s="29"/>
      <c r="Y759" s="2"/>
      <c r="Z759" s="34"/>
      <c r="AA759" s="2"/>
      <c r="AB759" s="29"/>
      <c r="AC759" s="29"/>
      <c r="AD759" s="29"/>
      <c r="AE759" s="29"/>
      <c r="AF759" s="29"/>
      <c r="AG759" s="29"/>
      <c r="AH759" s="29"/>
      <c r="AI759" s="29"/>
      <c r="AJ759" s="34"/>
      <c r="AK759" s="34"/>
      <c r="AL759" s="29"/>
      <c r="AM759" s="29"/>
    </row>
    <row x14ac:dyDescent="0.25" r="760" customHeight="1" ht="15.75">
      <c r="A760" s="1"/>
      <c r="B760" s="34"/>
      <c r="C760" s="34"/>
      <c r="D760" s="34"/>
      <c r="E760" s="34"/>
      <c r="F760" s="34"/>
      <c r="G760" s="60"/>
      <c r="H760" s="60"/>
      <c r="I760" s="29"/>
      <c r="J760" s="29"/>
      <c r="K760" s="29"/>
      <c r="L760" s="29"/>
      <c r="M760" s="29"/>
      <c r="N760" s="29"/>
      <c r="O760" s="29"/>
      <c r="P760" s="29"/>
      <c r="Q760" s="34"/>
      <c r="R760" s="34"/>
      <c r="S760" s="29"/>
      <c r="T760" s="29"/>
      <c r="U760" s="29"/>
      <c r="V760" s="29"/>
      <c r="W760" s="29"/>
      <c r="X760" s="29"/>
      <c r="Y760" s="2"/>
      <c r="Z760" s="34"/>
      <c r="AA760" s="2"/>
      <c r="AB760" s="29"/>
      <c r="AC760" s="29"/>
      <c r="AD760" s="29"/>
      <c r="AE760" s="29"/>
      <c r="AF760" s="29"/>
      <c r="AG760" s="29"/>
      <c r="AH760" s="29"/>
      <c r="AI760" s="29"/>
      <c r="AJ760" s="34"/>
      <c r="AK760" s="34"/>
      <c r="AL760" s="29"/>
      <c r="AM760" s="29"/>
    </row>
    <row x14ac:dyDescent="0.25" r="761" customHeight="1" ht="15.75">
      <c r="A761" s="1"/>
      <c r="B761" s="34"/>
      <c r="C761" s="34"/>
      <c r="D761" s="34"/>
      <c r="E761" s="34"/>
      <c r="F761" s="34"/>
      <c r="G761" s="60"/>
      <c r="H761" s="60"/>
      <c r="I761" s="29"/>
      <c r="J761" s="29"/>
      <c r="K761" s="29"/>
      <c r="L761" s="29"/>
      <c r="M761" s="29"/>
      <c r="N761" s="29"/>
      <c r="O761" s="29"/>
      <c r="P761" s="29"/>
      <c r="Q761" s="34"/>
      <c r="R761" s="34"/>
      <c r="S761" s="29"/>
      <c r="T761" s="29"/>
      <c r="U761" s="29"/>
      <c r="V761" s="29"/>
      <c r="W761" s="29"/>
      <c r="X761" s="29"/>
      <c r="Y761" s="2"/>
      <c r="Z761" s="34"/>
      <c r="AA761" s="2"/>
      <c r="AB761" s="29"/>
      <c r="AC761" s="29"/>
      <c r="AD761" s="29"/>
      <c r="AE761" s="29"/>
      <c r="AF761" s="29"/>
      <c r="AG761" s="29"/>
      <c r="AH761" s="29"/>
      <c r="AI761" s="29"/>
      <c r="AJ761" s="34"/>
      <c r="AK761" s="34"/>
      <c r="AL761" s="29"/>
      <c r="AM761" s="29"/>
    </row>
    <row x14ac:dyDescent="0.25" r="762" customHeight="1" ht="15.75">
      <c r="A762" s="1"/>
      <c r="B762" s="34"/>
      <c r="C762" s="34"/>
      <c r="D762" s="34"/>
      <c r="E762" s="34"/>
      <c r="F762" s="34"/>
      <c r="G762" s="60"/>
      <c r="H762" s="60"/>
      <c r="I762" s="29"/>
      <c r="J762" s="29"/>
      <c r="K762" s="29"/>
      <c r="L762" s="29"/>
      <c r="M762" s="29"/>
      <c r="N762" s="29"/>
      <c r="O762" s="29"/>
      <c r="P762" s="29"/>
      <c r="Q762" s="34"/>
      <c r="R762" s="34"/>
      <c r="S762" s="29"/>
      <c r="T762" s="29"/>
      <c r="U762" s="29"/>
      <c r="V762" s="29"/>
      <c r="W762" s="29"/>
      <c r="X762" s="29"/>
      <c r="Y762" s="2"/>
      <c r="Z762" s="34"/>
      <c r="AA762" s="2"/>
      <c r="AB762" s="29"/>
      <c r="AC762" s="29"/>
      <c r="AD762" s="29"/>
      <c r="AE762" s="29"/>
      <c r="AF762" s="29"/>
      <c r="AG762" s="29"/>
      <c r="AH762" s="29"/>
      <c r="AI762" s="29"/>
      <c r="AJ762" s="34"/>
      <c r="AK762" s="34"/>
      <c r="AL762" s="29"/>
      <c r="AM762" s="29"/>
    </row>
    <row x14ac:dyDescent="0.25" r="763" customHeight="1" ht="15.75">
      <c r="A763" s="1"/>
      <c r="B763" s="34"/>
      <c r="C763" s="34"/>
      <c r="D763" s="34"/>
      <c r="E763" s="34"/>
      <c r="F763" s="34"/>
      <c r="G763" s="60"/>
      <c r="H763" s="60"/>
      <c r="I763" s="29"/>
      <c r="J763" s="29"/>
      <c r="K763" s="29"/>
      <c r="L763" s="29"/>
      <c r="M763" s="29"/>
      <c r="N763" s="29"/>
      <c r="O763" s="29"/>
      <c r="P763" s="29"/>
      <c r="Q763" s="34"/>
      <c r="R763" s="34"/>
      <c r="S763" s="29"/>
      <c r="T763" s="29"/>
      <c r="U763" s="29"/>
      <c r="V763" s="29"/>
      <c r="W763" s="29"/>
      <c r="X763" s="29"/>
      <c r="Y763" s="2"/>
      <c r="Z763" s="34"/>
      <c r="AA763" s="2"/>
      <c r="AB763" s="29"/>
      <c r="AC763" s="29"/>
      <c r="AD763" s="29"/>
      <c r="AE763" s="29"/>
      <c r="AF763" s="29"/>
      <c r="AG763" s="29"/>
      <c r="AH763" s="29"/>
      <c r="AI763" s="29"/>
      <c r="AJ763" s="34"/>
      <c r="AK763" s="34"/>
      <c r="AL763" s="29"/>
      <c r="AM763" s="29"/>
    </row>
    <row x14ac:dyDescent="0.25" r="764" customHeight="1" ht="15.75">
      <c r="A764" s="1"/>
      <c r="B764" s="34"/>
      <c r="C764" s="34"/>
      <c r="D764" s="34"/>
      <c r="E764" s="34"/>
      <c r="F764" s="34"/>
      <c r="G764" s="60"/>
      <c r="H764" s="60"/>
      <c r="I764" s="29"/>
      <c r="J764" s="29"/>
      <c r="K764" s="29"/>
      <c r="L764" s="29"/>
      <c r="M764" s="29"/>
      <c r="N764" s="29"/>
      <c r="O764" s="29"/>
      <c r="P764" s="29"/>
      <c r="Q764" s="34"/>
      <c r="R764" s="34"/>
      <c r="S764" s="29"/>
      <c r="T764" s="29"/>
      <c r="U764" s="29"/>
      <c r="V764" s="29"/>
      <c r="W764" s="29"/>
      <c r="X764" s="29"/>
      <c r="Y764" s="2"/>
      <c r="Z764" s="34"/>
      <c r="AA764" s="2"/>
      <c r="AB764" s="29"/>
      <c r="AC764" s="29"/>
      <c r="AD764" s="29"/>
      <c r="AE764" s="29"/>
      <c r="AF764" s="29"/>
      <c r="AG764" s="29"/>
      <c r="AH764" s="29"/>
      <c r="AI764" s="29"/>
      <c r="AJ764" s="34"/>
      <c r="AK764" s="34"/>
      <c r="AL764" s="29"/>
      <c r="AM764" s="29"/>
    </row>
    <row x14ac:dyDescent="0.25" r="765" customHeight="1" ht="15.75">
      <c r="A765" s="1"/>
      <c r="B765" s="34"/>
      <c r="C765" s="34"/>
      <c r="D765" s="34"/>
      <c r="E765" s="34"/>
      <c r="F765" s="34"/>
      <c r="G765" s="60"/>
      <c r="H765" s="60"/>
      <c r="I765" s="29"/>
      <c r="J765" s="29"/>
      <c r="K765" s="29"/>
      <c r="L765" s="29"/>
      <c r="M765" s="29"/>
      <c r="N765" s="29"/>
      <c r="O765" s="29"/>
      <c r="P765" s="29"/>
      <c r="Q765" s="34"/>
      <c r="R765" s="34"/>
      <c r="S765" s="29"/>
      <c r="T765" s="29"/>
      <c r="U765" s="29"/>
      <c r="V765" s="29"/>
      <c r="W765" s="29"/>
      <c r="X765" s="29"/>
      <c r="Y765" s="2"/>
      <c r="Z765" s="34"/>
      <c r="AA765" s="2"/>
      <c r="AB765" s="29"/>
      <c r="AC765" s="29"/>
      <c r="AD765" s="29"/>
      <c r="AE765" s="29"/>
      <c r="AF765" s="29"/>
      <c r="AG765" s="29"/>
      <c r="AH765" s="29"/>
      <c r="AI765" s="29"/>
      <c r="AJ765" s="34"/>
      <c r="AK765" s="34"/>
      <c r="AL765" s="29"/>
      <c r="AM765" s="29"/>
    </row>
    <row x14ac:dyDescent="0.25" r="766" customHeight="1" ht="15.75">
      <c r="A766" s="1"/>
      <c r="B766" s="34"/>
      <c r="C766" s="34"/>
      <c r="D766" s="34"/>
      <c r="E766" s="34"/>
      <c r="F766" s="34"/>
      <c r="G766" s="60"/>
      <c r="H766" s="60"/>
      <c r="I766" s="29"/>
      <c r="J766" s="29"/>
      <c r="K766" s="29"/>
      <c r="L766" s="29"/>
      <c r="M766" s="29"/>
      <c r="N766" s="29"/>
      <c r="O766" s="29"/>
      <c r="P766" s="29"/>
      <c r="Q766" s="34"/>
      <c r="R766" s="34"/>
      <c r="S766" s="29"/>
      <c r="T766" s="29"/>
      <c r="U766" s="29"/>
      <c r="V766" s="29"/>
      <c r="W766" s="29"/>
      <c r="X766" s="29"/>
      <c r="Y766" s="2"/>
      <c r="Z766" s="34"/>
      <c r="AA766" s="2"/>
      <c r="AB766" s="29"/>
      <c r="AC766" s="29"/>
      <c r="AD766" s="29"/>
      <c r="AE766" s="29"/>
      <c r="AF766" s="29"/>
      <c r="AG766" s="29"/>
      <c r="AH766" s="29"/>
      <c r="AI766" s="29"/>
      <c r="AJ766" s="34"/>
      <c r="AK766" s="34"/>
      <c r="AL766" s="29"/>
      <c r="AM766" s="29"/>
    </row>
    <row x14ac:dyDescent="0.25" r="767" customHeight="1" ht="15.75">
      <c r="A767" s="1"/>
      <c r="B767" s="34"/>
      <c r="C767" s="34"/>
      <c r="D767" s="34"/>
      <c r="E767" s="34"/>
      <c r="F767" s="34"/>
      <c r="G767" s="60"/>
      <c r="H767" s="60"/>
      <c r="I767" s="29"/>
      <c r="J767" s="29"/>
      <c r="K767" s="29"/>
      <c r="L767" s="29"/>
      <c r="M767" s="29"/>
      <c r="N767" s="29"/>
      <c r="O767" s="29"/>
      <c r="P767" s="29"/>
      <c r="Q767" s="34"/>
      <c r="R767" s="34"/>
      <c r="S767" s="29"/>
      <c r="T767" s="29"/>
      <c r="U767" s="29"/>
      <c r="V767" s="29"/>
      <c r="W767" s="29"/>
      <c r="X767" s="29"/>
      <c r="Y767" s="2"/>
      <c r="Z767" s="34"/>
      <c r="AA767" s="2"/>
      <c r="AB767" s="29"/>
      <c r="AC767" s="29"/>
      <c r="AD767" s="29"/>
      <c r="AE767" s="29"/>
      <c r="AF767" s="29"/>
      <c r="AG767" s="29"/>
      <c r="AH767" s="29"/>
      <c r="AI767" s="29"/>
      <c r="AJ767" s="34"/>
      <c r="AK767" s="34"/>
      <c r="AL767" s="29"/>
      <c r="AM767" s="29"/>
    </row>
    <row x14ac:dyDescent="0.25" r="768" customHeight="1" ht="15.75">
      <c r="A768" s="1"/>
      <c r="B768" s="34"/>
      <c r="C768" s="34"/>
      <c r="D768" s="34"/>
      <c r="E768" s="34"/>
      <c r="F768" s="34"/>
      <c r="G768" s="60"/>
      <c r="H768" s="60"/>
      <c r="I768" s="29"/>
      <c r="J768" s="29"/>
      <c r="K768" s="29"/>
      <c r="L768" s="29"/>
      <c r="M768" s="29"/>
      <c r="N768" s="29"/>
      <c r="O768" s="29"/>
      <c r="P768" s="29"/>
      <c r="Q768" s="34"/>
      <c r="R768" s="34"/>
      <c r="S768" s="29"/>
      <c r="T768" s="29"/>
      <c r="U768" s="29"/>
      <c r="V768" s="29"/>
      <c r="W768" s="29"/>
      <c r="X768" s="29"/>
      <c r="Y768" s="2"/>
      <c r="Z768" s="34"/>
      <c r="AA768" s="2"/>
      <c r="AB768" s="29"/>
      <c r="AC768" s="29"/>
      <c r="AD768" s="29"/>
      <c r="AE768" s="29"/>
      <c r="AF768" s="29"/>
      <c r="AG768" s="29"/>
      <c r="AH768" s="29"/>
      <c r="AI768" s="29"/>
      <c r="AJ768" s="34"/>
      <c r="AK768" s="34"/>
      <c r="AL768" s="29"/>
      <c r="AM768" s="29"/>
    </row>
    <row x14ac:dyDescent="0.25" r="769" customHeight="1" ht="15.75">
      <c r="A769" s="1"/>
      <c r="B769" s="34"/>
      <c r="C769" s="34"/>
      <c r="D769" s="34"/>
      <c r="E769" s="34"/>
      <c r="F769" s="34"/>
      <c r="G769" s="60"/>
      <c r="H769" s="60"/>
      <c r="I769" s="29"/>
      <c r="J769" s="29"/>
      <c r="K769" s="29"/>
      <c r="L769" s="29"/>
      <c r="M769" s="29"/>
      <c r="N769" s="29"/>
      <c r="O769" s="29"/>
      <c r="P769" s="29"/>
      <c r="Q769" s="34"/>
      <c r="R769" s="34"/>
      <c r="S769" s="29"/>
      <c r="T769" s="29"/>
      <c r="U769" s="29"/>
      <c r="V769" s="29"/>
      <c r="W769" s="29"/>
      <c r="X769" s="29"/>
      <c r="Y769" s="2"/>
      <c r="Z769" s="34"/>
      <c r="AA769" s="2"/>
      <c r="AB769" s="29"/>
      <c r="AC769" s="29"/>
      <c r="AD769" s="29"/>
      <c r="AE769" s="29"/>
      <c r="AF769" s="29"/>
      <c r="AG769" s="29"/>
      <c r="AH769" s="29"/>
      <c r="AI769" s="29"/>
      <c r="AJ769" s="34"/>
      <c r="AK769" s="34"/>
      <c r="AL769" s="29"/>
      <c r="AM769" s="29"/>
    </row>
    <row x14ac:dyDescent="0.25" r="770" customHeight="1" ht="15.75">
      <c r="A770" s="1"/>
      <c r="B770" s="34"/>
      <c r="C770" s="34"/>
      <c r="D770" s="34"/>
      <c r="E770" s="34"/>
      <c r="F770" s="34"/>
      <c r="G770" s="60"/>
      <c r="H770" s="60"/>
      <c r="I770" s="29"/>
      <c r="J770" s="29"/>
      <c r="K770" s="29"/>
      <c r="L770" s="29"/>
      <c r="M770" s="29"/>
      <c r="N770" s="29"/>
      <c r="O770" s="29"/>
      <c r="P770" s="29"/>
      <c r="Q770" s="34"/>
      <c r="R770" s="34"/>
      <c r="S770" s="29"/>
      <c r="T770" s="29"/>
      <c r="U770" s="29"/>
      <c r="V770" s="29"/>
      <c r="W770" s="29"/>
      <c r="X770" s="29"/>
      <c r="Y770" s="2"/>
      <c r="Z770" s="34"/>
      <c r="AA770" s="2"/>
      <c r="AB770" s="29"/>
      <c r="AC770" s="29"/>
      <c r="AD770" s="29"/>
      <c r="AE770" s="29"/>
      <c r="AF770" s="29"/>
      <c r="AG770" s="29"/>
      <c r="AH770" s="29"/>
      <c r="AI770" s="29"/>
      <c r="AJ770" s="34"/>
      <c r="AK770" s="34"/>
      <c r="AL770" s="29"/>
      <c r="AM770" s="29"/>
    </row>
    <row x14ac:dyDescent="0.25" r="771" customHeight="1" ht="15.75">
      <c r="A771" s="1"/>
      <c r="B771" s="34"/>
      <c r="C771" s="34"/>
      <c r="D771" s="34"/>
      <c r="E771" s="34"/>
      <c r="F771" s="34"/>
      <c r="G771" s="60"/>
      <c r="H771" s="60"/>
      <c r="I771" s="29"/>
      <c r="J771" s="29"/>
      <c r="K771" s="29"/>
      <c r="L771" s="29"/>
      <c r="M771" s="29"/>
      <c r="N771" s="29"/>
      <c r="O771" s="29"/>
      <c r="P771" s="29"/>
      <c r="Q771" s="34"/>
      <c r="R771" s="34"/>
      <c r="S771" s="29"/>
      <c r="T771" s="29"/>
      <c r="U771" s="29"/>
      <c r="V771" s="29"/>
      <c r="W771" s="29"/>
      <c r="X771" s="29"/>
      <c r="Y771" s="2"/>
      <c r="Z771" s="34"/>
      <c r="AA771" s="2"/>
      <c r="AB771" s="29"/>
      <c r="AC771" s="29"/>
      <c r="AD771" s="29"/>
      <c r="AE771" s="29"/>
      <c r="AF771" s="29"/>
      <c r="AG771" s="29"/>
      <c r="AH771" s="29"/>
      <c r="AI771" s="29"/>
      <c r="AJ771" s="34"/>
      <c r="AK771" s="34"/>
      <c r="AL771" s="29"/>
      <c r="AM771" s="29"/>
    </row>
    <row x14ac:dyDescent="0.25" r="772" customHeight="1" ht="15.75">
      <c r="A772" s="1"/>
      <c r="B772" s="34"/>
      <c r="C772" s="34"/>
      <c r="D772" s="34"/>
      <c r="E772" s="34"/>
      <c r="F772" s="34"/>
      <c r="G772" s="60"/>
      <c r="H772" s="60"/>
      <c r="I772" s="29"/>
      <c r="J772" s="29"/>
      <c r="K772" s="29"/>
      <c r="L772" s="29"/>
      <c r="M772" s="29"/>
      <c r="N772" s="29"/>
      <c r="O772" s="29"/>
      <c r="P772" s="29"/>
      <c r="Q772" s="34"/>
      <c r="R772" s="34"/>
      <c r="S772" s="29"/>
      <c r="T772" s="29"/>
      <c r="U772" s="29"/>
      <c r="V772" s="29"/>
      <c r="W772" s="29"/>
      <c r="X772" s="29"/>
      <c r="Y772" s="2"/>
      <c r="Z772" s="34"/>
      <c r="AA772" s="2"/>
      <c r="AB772" s="29"/>
      <c r="AC772" s="29"/>
      <c r="AD772" s="29"/>
      <c r="AE772" s="29"/>
      <c r="AF772" s="29"/>
      <c r="AG772" s="29"/>
      <c r="AH772" s="29"/>
      <c r="AI772" s="29"/>
      <c r="AJ772" s="34"/>
      <c r="AK772" s="34"/>
      <c r="AL772" s="29"/>
      <c r="AM772" s="29"/>
    </row>
    <row x14ac:dyDescent="0.25" r="773" customHeight="1" ht="15.75">
      <c r="A773" s="1"/>
      <c r="B773" s="34"/>
      <c r="C773" s="34"/>
      <c r="D773" s="34"/>
      <c r="E773" s="34"/>
      <c r="F773" s="34"/>
      <c r="G773" s="60"/>
      <c r="H773" s="60"/>
      <c r="I773" s="29"/>
      <c r="J773" s="29"/>
      <c r="K773" s="29"/>
      <c r="L773" s="29"/>
      <c r="M773" s="29"/>
      <c r="N773" s="29"/>
      <c r="O773" s="29"/>
      <c r="P773" s="29"/>
      <c r="Q773" s="34"/>
      <c r="R773" s="34"/>
      <c r="S773" s="29"/>
      <c r="T773" s="29"/>
      <c r="U773" s="29"/>
      <c r="V773" s="29"/>
      <c r="W773" s="29"/>
      <c r="X773" s="29"/>
      <c r="Y773" s="2"/>
      <c r="Z773" s="34"/>
      <c r="AA773" s="2"/>
      <c r="AB773" s="29"/>
      <c r="AC773" s="29"/>
      <c r="AD773" s="29"/>
      <c r="AE773" s="29"/>
      <c r="AF773" s="29"/>
      <c r="AG773" s="29"/>
      <c r="AH773" s="29"/>
      <c r="AI773" s="29"/>
      <c r="AJ773" s="34"/>
      <c r="AK773" s="34"/>
      <c r="AL773" s="29"/>
      <c r="AM773" s="29"/>
    </row>
    <row x14ac:dyDescent="0.25" r="774" customHeight="1" ht="15.75">
      <c r="A774" s="1"/>
      <c r="B774" s="34"/>
      <c r="C774" s="34"/>
      <c r="D774" s="34"/>
      <c r="E774" s="34"/>
      <c r="F774" s="34"/>
      <c r="G774" s="60"/>
      <c r="H774" s="60"/>
      <c r="I774" s="29"/>
      <c r="J774" s="29"/>
      <c r="K774" s="29"/>
      <c r="L774" s="29"/>
      <c r="M774" s="29"/>
      <c r="N774" s="29"/>
      <c r="O774" s="29"/>
      <c r="P774" s="29"/>
      <c r="Q774" s="34"/>
      <c r="R774" s="34"/>
      <c r="S774" s="29"/>
      <c r="T774" s="29"/>
      <c r="U774" s="29"/>
      <c r="V774" s="29"/>
      <c r="W774" s="29"/>
      <c r="X774" s="29"/>
      <c r="Y774" s="2"/>
      <c r="Z774" s="34"/>
      <c r="AA774" s="2"/>
      <c r="AB774" s="29"/>
      <c r="AC774" s="29"/>
      <c r="AD774" s="29"/>
      <c r="AE774" s="29"/>
      <c r="AF774" s="29"/>
      <c r="AG774" s="29"/>
      <c r="AH774" s="29"/>
      <c r="AI774" s="29"/>
      <c r="AJ774" s="34"/>
      <c r="AK774" s="34"/>
      <c r="AL774" s="29"/>
      <c r="AM774" s="29"/>
    </row>
    <row x14ac:dyDescent="0.25" r="775" customHeight="1" ht="15.75">
      <c r="A775" s="1"/>
      <c r="B775" s="34"/>
      <c r="C775" s="34"/>
      <c r="D775" s="34"/>
      <c r="E775" s="34"/>
      <c r="F775" s="34"/>
      <c r="G775" s="60"/>
      <c r="H775" s="60"/>
      <c r="I775" s="29"/>
      <c r="J775" s="29"/>
      <c r="K775" s="29"/>
      <c r="L775" s="29"/>
      <c r="M775" s="29"/>
      <c r="N775" s="29"/>
      <c r="O775" s="29"/>
      <c r="P775" s="29"/>
      <c r="Q775" s="34"/>
      <c r="R775" s="34"/>
      <c r="S775" s="29"/>
      <c r="T775" s="29"/>
      <c r="U775" s="29"/>
      <c r="V775" s="29"/>
      <c r="W775" s="29"/>
      <c r="X775" s="29"/>
      <c r="Y775" s="2"/>
      <c r="Z775" s="34"/>
      <c r="AA775" s="2"/>
      <c r="AB775" s="29"/>
      <c r="AC775" s="29"/>
      <c r="AD775" s="29"/>
      <c r="AE775" s="29"/>
      <c r="AF775" s="29"/>
      <c r="AG775" s="29"/>
      <c r="AH775" s="29"/>
      <c r="AI775" s="29"/>
      <c r="AJ775" s="34"/>
      <c r="AK775" s="34"/>
      <c r="AL775" s="29"/>
      <c r="AM775" s="29"/>
    </row>
    <row x14ac:dyDescent="0.25" r="776" customHeight="1" ht="15.75">
      <c r="A776" s="1"/>
      <c r="B776" s="34"/>
      <c r="C776" s="34"/>
      <c r="D776" s="34"/>
      <c r="E776" s="34"/>
      <c r="F776" s="34"/>
      <c r="G776" s="60"/>
      <c r="H776" s="60"/>
      <c r="I776" s="29"/>
      <c r="J776" s="29"/>
      <c r="K776" s="29"/>
      <c r="L776" s="29"/>
      <c r="M776" s="29"/>
      <c r="N776" s="29"/>
      <c r="O776" s="29"/>
      <c r="P776" s="29"/>
      <c r="Q776" s="34"/>
      <c r="R776" s="34"/>
      <c r="S776" s="29"/>
      <c r="T776" s="29"/>
      <c r="U776" s="29"/>
      <c r="V776" s="29"/>
      <c r="W776" s="29"/>
      <c r="X776" s="29"/>
      <c r="Y776" s="2"/>
      <c r="Z776" s="34"/>
      <c r="AA776" s="2"/>
      <c r="AB776" s="29"/>
      <c r="AC776" s="29"/>
      <c r="AD776" s="29"/>
      <c r="AE776" s="29"/>
      <c r="AF776" s="29"/>
      <c r="AG776" s="29"/>
      <c r="AH776" s="29"/>
      <c r="AI776" s="29"/>
      <c r="AJ776" s="34"/>
      <c r="AK776" s="34"/>
      <c r="AL776" s="29"/>
      <c r="AM776" s="29"/>
    </row>
    <row x14ac:dyDescent="0.25" r="777" customHeight="1" ht="15.75">
      <c r="A777" s="1"/>
      <c r="B777" s="34"/>
      <c r="C777" s="34"/>
      <c r="D777" s="34"/>
      <c r="E777" s="34"/>
      <c r="F777" s="34"/>
      <c r="G777" s="60"/>
      <c r="H777" s="60"/>
      <c r="I777" s="29"/>
      <c r="J777" s="29"/>
      <c r="K777" s="29"/>
      <c r="L777" s="29"/>
      <c r="M777" s="29"/>
      <c r="N777" s="29"/>
      <c r="O777" s="29"/>
      <c r="P777" s="29"/>
      <c r="Q777" s="34"/>
      <c r="R777" s="34"/>
      <c r="S777" s="29"/>
      <c r="T777" s="29"/>
      <c r="U777" s="29"/>
      <c r="V777" s="29"/>
      <c r="W777" s="29"/>
      <c r="X777" s="29"/>
      <c r="Y777" s="2"/>
      <c r="Z777" s="34"/>
      <c r="AA777" s="2"/>
      <c r="AB777" s="29"/>
      <c r="AC777" s="29"/>
      <c r="AD777" s="29"/>
      <c r="AE777" s="29"/>
      <c r="AF777" s="29"/>
      <c r="AG777" s="29"/>
      <c r="AH777" s="29"/>
      <c r="AI777" s="29"/>
      <c r="AJ777" s="34"/>
      <c r="AK777" s="34"/>
      <c r="AL777" s="29"/>
      <c r="AM777" s="29"/>
    </row>
    <row x14ac:dyDescent="0.25" r="778" customHeight="1" ht="15.75">
      <c r="A778" s="1"/>
      <c r="B778" s="34"/>
      <c r="C778" s="34"/>
      <c r="D778" s="34"/>
      <c r="E778" s="34"/>
      <c r="F778" s="34"/>
      <c r="G778" s="60"/>
      <c r="H778" s="60"/>
      <c r="I778" s="29"/>
      <c r="J778" s="29"/>
      <c r="K778" s="29"/>
      <c r="L778" s="29"/>
      <c r="M778" s="29"/>
      <c r="N778" s="29"/>
      <c r="O778" s="29"/>
      <c r="P778" s="29"/>
      <c r="Q778" s="34"/>
      <c r="R778" s="34"/>
      <c r="S778" s="29"/>
      <c r="T778" s="29"/>
      <c r="U778" s="29"/>
      <c r="V778" s="29"/>
      <c r="W778" s="29"/>
      <c r="X778" s="29"/>
      <c r="Y778" s="2"/>
      <c r="Z778" s="34"/>
      <c r="AA778" s="2"/>
      <c r="AB778" s="29"/>
      <c r="AC778" s="29"/>
      <c r="AD778" s="29"/>
      <c r="AE778" s="29"/>
      <c r="AF778" s="29"/>
      <c r="AG778" s="29"/>
      <c r="AH778" s="29"/>
      <c r="AI778" s="29"/>
      <c r="AJ778" s="34"/>
      <c r="AK778" s="34"/>
      <c r="AL778" s="29"/>
      <c r="AM778" s="29"/>
    </row>
    <row x14ac:dyDescent="0.25" r="779" customHeight="1" ht="15.75">
      <c r="A779" s="1"/>
      <c r="B779" s="34"/>
      <c r="C779" s="34"/>
      <c r="D779" s="34"/>
      <c r="E779" s="34"/>
      <c r="F779" s="34"/>
      <c r="G779" s="60"/>
      <c r="H779" s="60"/>
      <c r="I779" s="29"/>
      <c r="J779" s="29"/>
      <c r="K779" s="29"/>
      <c r="L779" s="29"/>
      <c r="M779" s="29"/>
      <c r="N779" s="29"/>
      <c r="O779" s="29"/>
      <c r="P779" s="29"/>
      <c r="Q779" s="34"/>
      <c r="R779" s="34"/>
      <c r="S779" s="29"/>
      <c r="T779" s="29"/>
      <c r="U779" s="29"/>
      <c r="V779" s="29"/>
      <c r="W779" s="29"/>
      <c r="X779" s="29"/>
      <c r="Y779" s="2"/>
      <c r="Z779" s="34"/>
      <c r="AA779" s="2"/>
      <c r="AB779" s="29"/>
      <c r="AC779" s="29"/>
      <c r="AD779" s="29"/>
      <c r="AE779" s="29"/>
      <c r="AF779" s="29"/>
      <c r="AG779" s="29"/>
      <c r="AH779" s="29"/>
      <c r="AI779" s="29"/>
      <c r="AJ779" s="34"/>
      <c r="AK779" s="34"/>
      <c r="AL779" s="29"/>
      <c r="AM779" s="29"/>
    </row>
    <row x14ac:dyDescent="0.25" r="780" customHeight="1" ht="15.75">
      <c r="A780" s="1"/>
      <c r="B780" s="34"/>
      <c r="C780" s="34"/>
      <c r="D780" s="34"/>
      <c r="E780" s="34"/>
      <c r="F780" s="34"/>
      <c r="G780" s="60"/>
      <c r="H780" s="60"/>
      <c r="I780" s="29"/>
      <c r="J780" s="29"/>
      <c r="K780" s="29"/>
      <c r="L780" s="29"/>
      <c r="M780" s="29"/>
      <c r="N780" s="29"/>
      <c r="O780" s="29"/>
      <c r="P780" s="29"/>
      <c r="Q780" s="34"/>
      <c r="R780" s="34"/>
      <c r="S780" s="29"/>
      <c r="T780" s="29"/>
      <c r="U780" s="29"/>
      <c r="V780" s="29"/>
      <c r="W780" s="29"/>
      <c r="X780" s="29"/>
      <c r="Y780" s="2"/>
      <c r="Z780" s="34"/>
      <c r="AA780" s="2"/>
      <c r="AB780" s="29"/>
      <c r="AC780" s="29"/>
      <c r="AD780" s="29"/>
      <c r="AE780" s="29"/>
      <c r="AF780" s="29"/>
      <c r="AG780" s="29"/>
      <c r="AH780" s="29"/>
      <c r="AI780" s="29"/>
      <c r="AJ780" s="34"/>
      <c r="AK780" s="34"/>
      <c r="AL780" s="29"/>
      <c r="AM780" s="29"/>
    </row>
    <row x14ac:dyDescent="0.25" r="781" customHeight="1" ht="15.75">
      <c r="A781" s="1"/>
      <c r="B781" s="34"/>
      <c r="C781" s="34"/>
      <c r="D781" s="34"/>
      <c r="E781" s="34"/>
      <c r="F781" s="34"/>
      <c r="G781" s="60"/>
      <c r="H781" s="60"/>
      <c r="I781" s="29"/>
      <c r="J781" s="29"/>
      <c r="K781" s="29"/>
      <c r="L781" s="29"/>
      <c r="M781" s="29"/>
      <c r="N781" s="29"/>
      <c r="O781" s="29"/>
      <c r="P781" s="29"/>
      <c r="Q781" s="34"/>
      <c r="R781" s="34"/>
      <c r="S781" s="29"/>
      <c r="T781" s="29"/>
      <c r="U781" s="29"/>
      <c r="V781" s="29"/>
      <c r="W781" s="29"/>
      <c r="X781" s="29"/>
      <c r="Y781" s="2"/>
      <c r="Z781" s="34"/>
      <c r="AA781" s="2"/>
      <c r="AB781" s="29"/>
      <c r="AC781" s="29"/>
      <c r="AD781" s="29"/>
      <c r="AE781" s="29"/>
      <c r="AF781" s="29"/>
      <c r="AG781" s="29"/>
      <c r="AH781" s="29"/>
      <c r="AI781" s="29"/>
      <c r="AJ781" s="34"/>
      <c r="AK781" s="34"/>
      <c r="AL781" s="29"/>
      <c r="AM781" s="29"/>
    </row>
    <row x14ac:dyDescent="0.25" r="782" customHeight="1" ht="15.75">
      <c r="A782" s="1"/>
      <c r="B782" s="34"/>
      <c r="C782" s="34"/>
      <c r="D782" s="34"/>
      <c r="E782" s="34"/>
      <c r="F782" s="34"/>
      <c r="G782" s="60"/>
      <c r="H782" s="60"/>
      <c r="I782" s="29"/>
      <c r="J782" s="29"/>
      <c r="K782" s="29"/>
      <c r="L782" s="29"/>
      <c r="M782" s="29"/>
      <c r="N782" s="29"/>
      <c r="O782" s="29"/>
      <c r="P782" s="29"/>
      <c r="Q782" s="34"/>
      <c r="R782" s="34"/>
      <c r="S782" s="29"/>
      <c r="T782" s="29"/>
      <c r="U782" s="29"/>
      <c r="V782" s="29"/>
      <c r="W782" s="29"/>
      <c r="X782" s="29"/>
      <c r="Y782" s="2"/>
      <c r="Z782" s="34"/>
      <c r="AA782" s="2"/>
      <c r="AB782" s="29"/>
      <c r="AC782" s="29"/>
      <c r="AD782" s="29"/>
      <c r="AE782" s="29"/>
      <c r="AF782" s="29"/>
      <c r="AG782" s="29"/>
      <c r="AH782" s="29"/>
      <c r="AI782" s="29"/>
      <c r="AJ782" s="34"/>
      <c r="AK782" s="34"/>
      <c r="AL782" s="29"/>
      <c r="AM782" s="29"/>
    </row>
    <row x14ac:dyDescent="0.25" r="783" customHeight="1" ht="15.75">
      <c r="A783" s="1"/>
      <c r="B783" s="34"/>
      <c r="C783" s="34"/>
      <c r="D783" s="34"/>
      <c r="E783" s="34"/>
      <c r="F783" s="34"/>
      <c r="G783" s="60"/>
      <c r="H783" s="60"/>
      <c r="I783" s="29"/>
      <c r="J783" s="29"/>
      <c r="K783" s="29"/>
      <c r="L783" s="29"/>
      <c r="M783" s="29"/>
      <c r="N783" s="29"/>
      <c r="O783" s="29"/>
      <c r="P783" s="29"/>
      <c r="Q783" s="34"/>
      <c r="R783" s="34"/>
      <c r="S783" s="29"/>
      <c r="T783" s="29"/>
      <c r="U783" s="29"/>
      <c r="V783" s="29"/>
      <c r="W783" s="29"/>
      <c r="X783" s="29"/>
      <c r="Y783" s="2"/>
      <c r="Z783" s="34"/>
      <c r="AA783" s="2"/>
      <c r="AB783" s="29"/>
      <c r="AC783" s="29"/>
      <c r="AD783" s="29"/>
      <c r="AE783" s="29"/>
      <c r="AF783" s="29"/>
      <c r="AG783" s="29"/>
      <c r="AH783" s="29"/>
      <c r="AI783" s="29"/>
      <c r="AJ783" s="34"/>
      <c r="AK783" s="34"/>
      <c r="AL783" s="29"/>
      <c r="AM783" s="29"/>
    </row>
    <row x14ac:dyDescent="0.25" r="784" customHeight="1" ht="15.75">
      <c r="A784" s="1"/>
      <c r="B784" s="34"/>
      <c r="C784" s="34"/>
      <c r="D784" s="34"/>
      <c r="E784" s="34"/>
      <c r="F784" s="34"/>
      <c r="G784" s="60"/>
      <c r="H784" s="60"/>
      <c r="I784" s="29"/>
      <c r="J784" s="29"/>
      <c r="K784" s="29"/>
      <c r="L784" s="29"/>
      <c r="M784" s="29"/>
      <c r="N784" s="29"/>
      <c r="O784" s="29"/>
      <c r="P784" s="29"/>
      <c r="Q784" s="34"/>
      <c r="R784" s="34"/>
      <c r="S784" s="29"/>
      <c r="T784" s="29"/>
      <c r="U784" s="29"/>
      <c r="V784" s="29"/>
      <c r="W784" s="29"/>
      <c r="X784" s="29"/>
      <c r="Y784" s="2"/>
      <c r="Z784" s="34"/>
      <c r="AA784" s="2"/>
      <c r="AB784" s="29"/>
      <c r="AC784" s="29"/>
      <c r="AD784" s="29"/>
      <c r="AE784" s="29"/>
      <c r="AF784" s="29"/>
      <c r="AG784" s="29"/>
      <c r="AH784" s="29"/>
      <c r="AI784" s="29"/>
      <c r="AJ784" s="34"/>
      <c r="AK784" s="34"/>
      <c r="AL784" s="29"/>
      <c r="AM784" s="29"/>
    </row>
    <row x14ac:dyDescent="0.25" r="785" customHeight="1" ht="15.75">
      <c r="A785" s="1"/>
      <c r="B785" s="34"/>
      <c r="C785" s="34"/>
      <c r="D785" s="34"/>
      <c r="E785" s="34"/>
      <c r="F785" s="34"/>
      <c r="G785" s="60"/>
      <c r="H785" s="60"/>
      <c r="I785" s="29"/>
      <c r="J785" s="29"/>
      <c r="K785" s="29"/>
      <c r="L785" s="29"/>
      <c r="M785" s="29"/>
      <c r="N785" s="29"/>
      <c r="O785" s="29"/>
      <c r="P785" s="29"/>
      <c r="Q785" s="34"/>
      <c r="R785" s="34"/>
      <c r="S785" s="29"/>
      <c r="T785" s="29"/>
      <c r="U785" s="29"/>
      <c r="V785" s="29"/>
      <c r="W785" s="29"/>
      <c r="X785" s="29"/>
      <c r="Y785" s="2"/>
      <c r="Z785" s="34"/>
      <c r="AA785" s="2"/>
      <c r="AB785" s="29"/>
      <c r="AC785" s="29"/>
      <c r="AD785" s="29"/>
      <c r="AE785" s="29"/>
      <c r="AF785" s="29"/>
      <c r="AG785" s="29"/>
      <c r="AH785" s="29"/>
      <c r="AI785" s="29"/>
      <c r="AJ785" s="34"/>
      <c r="AK785" s="34"/>
      <c r="AL785" s="29"/>
      <c r="AM785" s="29"/>
    </row>
    <row x14ac:dyDescent="0.25" r="786" customHeight="1" ht="15.75">
      <c r="A786" s="1"/>
      <c r="B786" s="34"/>
      <c r="C786" s="34"/>
      <c r="D786" s="34"/>
      <c r="E786" s="34"/>
      <c r="F786" s="34"/>
      <c r="G786" s="60"/>
      <c r="H786" s="60"/>
      <c r="I786" s="29"/>
      <c r="J786" s="29"/>
      <c r="K786" s="29"/>
      <c r="L786" s="29"/>
      <c r="M786" s="29"/>
      <c r="N786" s="29"/>
      <c r="O786" s="29"/>
      <c r="P786" s="29"/>
      <c r="Q786" s="34"/>
      <c r="R786" s="34"/>
      <c r="S786" s="29"/>
      <c r="T786" s="29"/>
      <c r="U786" s="29"/>
      <c r="V786" s="29"/>
      <c r="W786" s="29"/>
      <c r="X786" s="29"/>
      <c r="Y786" s="2"/>
      <c r="Z786" s="34"/>
      <c r="AA786" s="2"/>
      <c r="AB786" s="29"/>
      <c r="AC786" s="29"/>
      <c r="AD786" s="29"/>
      <c r="AE786" s="29"/>
      <c r="AF786" s="29"/>
      <c r="AG786" s="29"/>
      <c r="AH786" s="29"/>
      <c r="AI786" s="29"/>
      <c r="AJ786" s="34"/>
      <c r="AK786" s="34"/>
      <c r="AL786" s="29"/>
      <c r="AM786" s="29"/>
    </row>
    <row x14ac:dyDescent="0.25" r="787" customHeight="1" ht="15.75">
      <c r="A787" s="1"/>
      <c r="B787" s="34"/>
      <c r="C787" s="34"/>
      <c r="D787" s="34"/>
      <c r="E787" s="34"/>
      <c r="F787" s="34"/>
      <c r="G787" s="60"/>
      <c r="H787" s="60"/>
      <c r="I787" s="29"/>
      <c r="J787" s="29"/>
      <c r="K787" s="29"/>
      <c r="L787" s="29"/>
      <c r="M787" s="29"/>
      <c r="N787" s="29"/>
      <c r="O787" s="29"/>
      <c r="P787" s="29"/>
      <c r="Q787" s="34"/>
      <c r="R787" s="34"/>
      <c r="S787" s="29"/>
      <c r="T787" s="29"/>
      <c r="U787" s="29"/>
      <c r="V787" s="29"/>
      <c r="W787" s="29"/>
      <c r="X787" s="29"/>
      <c r="Y787" s="2"/>
      <c r="Z787" s="34"/>
      <c r="AA787" s="2"/>
      <c r="AB787" s="29"/>
      <c r="AC787" s="29"/>
      <c r="AD787" s="29"/>
      <c r="AE787" s="29"/>
      <c r="AF787" s="29"/>
      <c r="AG787" s="29"/>
      <c r="AH787" s="29"/>
      <c r="AI787" s="29"/>
      <c r="AJ787" s="34"/>
      <c r="AK787" s="34"/>
      <c r="AL787" s="29"/>
      <c r="AM787" s="29"/>
    </row>
    <row x14ac:dyDescent="0.25" r="788" customHeight="1" ht="15.75">
      <c r="A788" s="1"/>
      <c r="B788" s="34"/>
      <c r="C788" s="34"/>
      <c r="D788" s="34"/>
      <c r="E788" s="34"/>
      <c r="F788" s="34"/>
      <c r="G788" s="60"/>
      <c r="H788" s="60"/>
      <c r="I788" s="29"/>
      <c r="J788" s="29"/>
      <c r="K788" s="29"/>
      <c r="L788" s="29"/>
      <c r="M788" s="29"/>
      <c r="N788" s="29"/>
      <c r="O788" s="29"/>
      <c r="P788" s="29"/>
      <c r="Q788" s="34"/>
      <c r="R788" s="34"/>
      <c r="S788" s="29"/>
      <c r="T788" s="29"/>
      <c r="U788" s="29"/>
      <c r="V788" s="29"/>
      <c r="W788" s="29"/>
      <c r="X788" s="29"/>
      <c r="Y788" s="2"/>
      <c r="Z788" s="34"/>
      <c r="AA788" s="2"/>
      <c r="AB788" s="29"/>
      <c r="AC788" s="29"/>
      <c r="AD788" s="29"/>
      <c r="AE788" s="29"/>
      <c r="AF788" s="29"/>
      <c r="AG788" s="29"/>
      <c r="AH788" s="29"/>
      <c r="AI788" s="29"/>
      <c r="AJ788" s="34"/>
      <c r="AK788" s="34"/>
      <c r="AL788" s="29"/>
      <c r="AM788" s="29"/>
    </row>
    <row x14ac:dyDescent="0.25" r="789" customHeight="1" ht="15.75">
      <c r="A789" s="1"/>
      <c r="B789" s="34"/>
      <c r="C789" s="34"/>
      <c r="D789" s="34"/>
      <c r="E789" s="34"/>
      <c r="F789" s="34"/>
      <c r="G789" s="60"/>
      <c r="H789" s="60"/>
      <c r="I789" s="29"/>
      <c r="J789" s="29"/>
      <c r="K789" s="29"/>
      <c r="L789" s="29"/>
      <c r="M789" s="29"/>
      <c r="N789" s="29"/>
      <c r="O789" s="29"/>
      <c r="P789" s="29"/>
      <c r="Q789" s="34"/>
      <c r="R789" s="34"/>
      <c r="S789" s="29"/>
      <c r="T789" s="29"/>
      <c r="U789" s="29"/>
      <c r="V789" s="29"/>
      <c r="W789" s="29"/>
      <c r="X789" s="29"/>
      <c r="Y789" s="2"/>
      <c r="Z789" s="34"/>
      <c r="AA789" s="2"/>
      <c r="AB789" s="29"/>
      <c r="AC789" s="29"/>
      <c r="AD789" s="29"/>
      <c r="AE789" s="29"/>
      <c r="AF789" s="29"/>
      <c r="AG789" s="29"/>
      <c r="AH789" s="29"/>
      <c r="AI789" s="29"/>
      <c r="AJ789" s="34"/>
      <c r="AK789" s="34"/>
      <c r="AL789" s="29"/>
      <c r="AM789" s="29"/>
    </row>
    <row x14ac:dyDescent="0.25" r="790" customHeight="1" ht="15.75">
      <c r="A790" s="1"/>
      <c r="B790" s="34"/>
      <c r="C790" s="34"/>
      <c r="D790" s="34"/>
      <c r="E790" s="34"/>
      <c r="F790" s="34"/>
      <c r="G790" s="60"/>
      <c r="H790" s="60"/>
      <c r="I790" s="29"/>
      <c r="J790" s="29"/>
      <c r="K790" s="29"/>
      <c r="L790" s="29"/>
      <c r="M790" s="29"/>
      <c r="N790" s="29"/>
      <c r="O790" s="29"/>
      <c r="P790" s="29"/>
      <c r="Q790" s="34"/>
      <c r="R790" s="34"/>
      <c r="S790" s="29"/>
      <c r="T790" s="29"/>
      <c r="U790" s="29"/>
      <c r="V790" s="29"/>
      <c r="W790" s="29"/>
      <c r="X790" s="29"/>
      <c r="Y790" s="2"/>
      <c r="Z790" s="34"/>
      <c r="AA790" s="2"/>
      <c r="AB790" s="29"/>
      <c r="AC790" s="29"/>
      <c r="AD790" s="29"/>
      <c r="AE790" s="29"/>
      <c r="AF790" s="29"/>
      <c r="AG790" s="29"/>
      <c r="AH790" s="29"/>
      <c r="AI790" s="29"/>
      <c r="AJ790" s="34"/>
      <c r="AK790" s="34"/>
      <c r="AL790" s="29"/>
      <c r="AM790" s="29"/>
    </row>
    <row x14ac:dyDescent="0.25" r="791" customHeight="1" ht="15.75">
      <c r="A791" s="1"/>
      <c r="B791" s="34"/>
      <c r="C791" s="34"/>
      <c r="D791" s="34"/>
      <c r="E791" s="34"/>
      <c r="F791" s="34"/>
      <c r="G791" s="60"/>
      <c r="H791" s="60"/>
      <c r="I791" s="29"/>
      <c r="J791" s="29"/>
      <c r="K791" s="29"/>
      <c r="L791" s="29"/>
      <c r="M791" s="29"/>
      <c r="N791" s="29"/>
      <c r="O791" s="29"/>
      <c r="P791" s="29"/>
      <c r="Q791" s="34"/>
      <c r="R791" s="34"/>
      <c r="S791" s="29"/>
      <c r="T791" s="29"/>
      <c r="U791" s="29"/>
      <c r="V791" s="29"/>
      <c r="W791" s="29"/>
      <c r="X791" s="29"/>
      <c r="Y791" s="2"/>
      <c r="Z791" s="34"/>
      <c r="AA791" s="2"/>
      <c r="AB791" s="29"/>
      <c r="AC791" s="29"/>
      <c r="AD791" s="29"/>
      <c r="AE791" s="29"/>
      <c r="AF791" s="29"/>
      <c r="AG791" s="29"/>
      <c r="AH791" s="29"/>
      <c r="AI791" s="29"/>
      <c r="AJ791" s="34"/>
      <c r="AK791" s="34"/>
      <c r="AL791" s="29"/>
      <c r="AM791" s="29"/>
    </row>
    <row x14ac:dyDescent="0.25" r="792" customHeight="1" ht="15.75">
      <c r="A792" s="1"/>
      <c r="B792" s="34"/>
      <c r="C792" s="34"/>
      <c r="D792" s="34"/>
      <c r="E792" s="34"/>
      <c r="F792" s="34"/>
      <c r="G792" s="60"/>
      <c r="H792" s="60"/>
      <c r="I792" s="29"/>
      <c r="J792" s="29"/>
      <c r="K792" s="29"/>
      <c r="L792" s="29"/>
      <c r="M792" s="29"/>
      <c r="N792" s="29"/>
      <c r="O792" s="29"/>
      <c r="P792" s="29"/>
      <c r="Q792" s="34"/>
      <c r="R792" s="34"/>
      <c r="S792" s="29"/>
      <c r="T792" s="29"/>
      <c r="U792" s="29"/>
      <c r="V792" s="29"/>
      <c r="W792" s="29"/>
      <c r="X792" s="29"/>
      <c r="Y792" s="2"/>
      <c r="Z792" s="34"/>
      <c r="AA792" s="2"/>
      <c r="AB792" s="29"/>
      <c r="AC792" s="29"/>
      <c r="AD792" s="29"/>
      <c r="AE792" s="29"/>
      <c r="AF792" s="29"/>
      <c r="AG792" s="29"/>
      <c r="AH792" s="29"/>
      <c r="AI792" s="29"/>
      <c r="AJ792" s="34"/>
      <c r="AK792" s="34"/>
      <c r="AL792" s="29"/>
      <c r="AM792" s="29"/>
    </row>
    <row x14ac:dyDescent="0.25" r="793" customHeight="1" ht="15.75">
      <c r="A793" s="1"/>
      <c r="B793" s="34"/>
      <c r="C793" s="34"/>
      <c r="D793" s="34"/>
      <c r="E793" s="34"/>
      <c r="F793" s="34"/>
      <c r="G793" s="60"/>
      <c r="H793" s="60"/>
      <c r="I793" s="29"/>
      <c r="J793" s="29"/>
      <c r="K793" s="29"/>
      <c r="L793" s="29"/>
      <c r="M793" s="29"/>
      <c r="N793" s="29"/>
      <c r="O793" s="29"/>
      <c r="P793" s="29"/>
      <c r="Q793" s="34"/>
      <c r="R793" s="34"/>
      <c r="S793" s="29"/>
      <c r="T793" s="29"/>
      <c r="U793" s="29"/>
      <c r="V793" s="29"/>
      <c r="W793" s="29"/>
      <c r="X793" s="29"/>
      <c r="Y793" s="2"/>
      <c r="Z793" s="34"/>
      <c r="AA793" s="2"/>
      <c r="AB793" s="29"/>
      <c r="AC793" s="29"/>
      <c r="AD793" s="29"/>
      <c r="AE793" s="29"/>
      <c r="AF793" s="29"/>
      <c r="AG793" s="29"/>
      <c r="AH793" s="29"/>
      <c r="AI793" s="29"/>
      <c r="AJ793" s="34"/>
      <c r="AK793" s="34"/>
      <c r="AL793" s="29"/>
      <c r="AM793" s="29"/>
    </row>
    <row x14ac:dyDescent="0.25" r="794" customHeight="1" ht="15.75">
      <c r="A794" s="1"/>
      <c r="B794" s="34"/>
      <c r="C794" s="34"/>
      <c r="D794" s="34"/>
      <c r="E794" s="34"/>
      <c r="F794" s="34"/>
      <c r="G794" s="60"/>
      <c r="H794" s="60"/>
      <c r="I794" s="29"/>
      <c r="J794" s="29"/>
      <c r="K794" s="29"/>
      <c r="L794" s="29"/>
      <c r="M794" s="29"/>
      <c r="N794" s="29"/>
      <c r="O794" s="29"/>
      <c r="P794" s="29"/>
      <c r="Q794" s="34"/>
      <c r="R794" s="34"/>
      <c r="S794" s="29"/>
      <c r="T794" s="29"/>
      <c r="U794" s="29"/>
      <c r="V794" s="29"/>
      <c r="W794" s="29"/>
      <c r="X794" s="29"/>
      <c r="Y794" s="2"/>
      <c r="Z794" s="34"/>
      <c r="AA794" s="2"/>
      <c r="AB794" s="29"/>
      <c r="AC794" s="29"/>
      <c r="AD794" s="29"/>
      <c r="AE794" s="29"/>
      <c r="AF794" s="29"/>
      <c r="AG794" s="29"/>
      <c r="AH794" s="29"/>
      <c r="AI794" s="29"/>
      <c r="AJ794" s="34"/>
      <c r="AK794" s="34"/>
      <c r="AL794" s="29"/>
      <c r="AM794" s="29"/>
    </row>
    <row x14ac:dyDescent="0.25" r="795" customHeight="1" ht="15.75">
      <c r="A795" s="1"/>
      <c r="B795" s="34"/>
      <c r="C795" s="34"/>
      <c r="D795" s="34"/>
      <c r="E795" s="34"/>
      <c r="F795" s="34"/>
      <c r="G795" s="60"/>
      <c r="H795" s="60"/>
      <c r="I795" s="29"/>
      <c r="J795" s="29"/>
      <c r="K795" s="29"/>
      <c r="L795" s="29"/>
      <c r="M795" s="29"/>
      <c r="N795" s="29"/>
      <c r="O795" s="29"/>
      <c r="P795" s="29"/>
      <c r="Q795" s="34"/>
      <c r="R795" s="34"/>
      <c r="S795" s="29"/>
      <c r="T795" s="29"/>
      <c r="U795" s="29"/>
      <c r="V795" s="29"/>
      <c r="W795" s="29"/>
      <c r="X795" s="29"/>
      <c r="Y795" s="2"/>
      <c r="Z795" s="34"/>
      <c r="AA795" s="2"/>
      <c r="AB795" s="29"/>
      <c r="AC795" s="29"/>
      <c r="AD795" s="29"/>
      <c r="AE795" s="29"/>
      <c r="AF795" s="29"/>
      <c r="AG795" s="29"/>
      <c r="AH795" s="29"/>
      <c r="AI795" s="29"/>
      <c r="AJ795" s="34"/>
      <c r="AK795" s="34"/>
      <c r="AL795" s="29"/>
      <c r="AM795" s="29"/>
    </row>
    <row x14ac:dyDescent="0.25" r="796" customHeight="1" ht="15.75">
      <c r="A796" s="1"/>
      <c r="B796" s="34"/>
      <c r="C796" s="34"/>
      <c r="D796" s="34"/>
      <c r="E796" s="34"/>
      <c r="F796" s="34"/>
      <c r="G796" s="60"/>
      <c r="H796" s="60"/>
      <c r="I796" s="29"/>
      <c r="J796" s="29"/>
      <c r="K796" s="29"/>
      <c r="L796" s="29"/>
      <c r="M796" s="29"/>
      <c r="N796" s="29"/>
      <c r="O796" s="29"/>
      <c r="P796" s="29"/>
      <c r="Q796" s="34"/>
      <c r="R796" s="34"/>
      <c r="S796" s="29"/>
      <c r="T796" s="29"/>
      <c r="U796" s="29"/>
      <c r="V796" s="29"/>
      <c r="W796" s="29"/>
      <c r="X796" s="29"/>
      <c r="Y796" s="2"/>
      <c r="Z796" s="34"/>
      <c r="AA796" s="2"/>
      <c r="AB796" s="29"/>
      <c r="AC796" s="29"/>
      <c r="AD796" s="29"/>
      <c r="AE796" s="29"/>
      <c r="AF796" s="29"/>
      <c r="AG796" s="29"/>
      <c r="AH796" s="29"/>
      <c r="AI796" s="29"/>
      <c r="AJ796" s="34"/>
      <c r="AK796" s="34"/>
      <c r="AL796" s="29"/>
      <c r="AM796" s="29"/>
    </row>
    <row x14ac:dyDescent="0.25" r="797" customHeight="1" ht="15.75">
      <c r="A797" s="1"/>
      <c r="B797" s="34"/>
      <c r="C797" s="34"/>
      <c r="D797" s="34"/>
      <c r="E797" s="34"/>
      <c r="F797" s="34"/>
      <c r="G797" s="60"/>
      <c r="H797" s="60"/>
      <c r="I797" s="29"/>
      <c r="J797" s="29"/>
      <c r="K797" s="29"/>
      <c r="L797" s="29"/>
      <c r="M797" s="29"/>
      <c r="N797" s="29"/>
      <c r="O797" s="29"/>
      <c r="P797" s="29"/>
      <c r="Q797" s="34"/>
      <c r="R797" s="34"/>
      <c r="S797" s="29"/>
      <c r="T797" s="29"/>
      <c r="U797" s="29"/>
      <c r="V797" s="29"/>
      <c r="W797" s="29"/>
      <c r="X797" s="29"/>
      <c r="Y797" s="2"/>
      <c r="Z797" s="34"/>
      <c r="AA797" s="2"/>
      <c r="AB797" s="29"/>
      <c r="AC797" s="29"/>
      <c r="AD797" s="29"/>
      <c r="AE797" s="29"/>
      <c r="AF797" s="29"/>
      <c r="AG797" s="29"/>
      <c r="AH797" s="29"/>
      <c r="AI797" s="29"/>
      <c r="AJ797" s="34"/>
      <c r="AK797" s="34"/>
      <c r="AL797" s="29"/>
      <c r="AM797" s="29"/>
    </row>
    <row x14ac:dyDescent="0.25" r="798" customHeight="1" ht="15.75">
      <c r="A798" s="1"/>
      <c r="B798" s="34"/>
      <c r="C798" s="34"/>
      <c r="D798" s="34"/>
      <c r="E798" s="34"/>
      <c r="F798" s="34"/>
      <c r="G798" s="60"/>
      <c r="H798" s="60"/>
      <c r="I798" s="29"/>
      <c r="J798" s="29"/>
      <c r="K798" s="29"/>
      <c r="L798" s="29"/>
      <c r="M798" s="29"/>
      <c r="N798" s="29"/>
      <c r="O798" s="29"/>
      <c r="P798" s="29"/>
      <c r="Q798" s="34"/>
      <c r="R798" s="34"/>
      <c r="S798" s="29"/>
      <c r="T798" s="29"/>
      <c r="U798" s="29"/>
      <c r="V798" s="29"/>
      <c r="W798" s="29"/>
      <c r="X798" s="29"/>
      <c r="Y798" s="2"/>
      <c r="Z798" s="34"/>
      <c r="AA798" s="2"/>
      <c r="AB798" s="29"/>
      <c r="AC798" s="29"/>
      <c r="AD798" s="29"/>
      <c r="AE798" s="29"/>
      <c r="AF798" s="29"/>
      <c r="AG798" s="29"/>
      <c r="AH798" s="29"/>
      <c r="AI798" s="29"/>
      <c r="AJ798" s="34"/>
      <c r="AK798" s="34"/>
      <c r="AL798" s="29"/>
      <c r="AM798" s="29"/>
    </row>
    <row x14ac:dyDescent="0.25" r="799" customHeight="1" ht="15.75">
      <c r="A799" s="1"/>
      <c r="B799" s="34"/>
      <c r="C799" s="34"/>
      <c r="D799" s="34"/>
      <c r="E799" s="34"/>
      <c r="F799" s="34"/>
      <c r="G799" s="60"/>
      <c r="H799" s="60"/>
      <c r="I799" s="29"/>
      <c r="J799" s="29"/>
      <c r="K799" s="29"/>
      <c r="L799" s="29"/>
      <c r="M799" s="29"/>
      <c r="N799" s="29"/>
      <c r="O799" s="29"/>
      <c r="P799" s="29"/>
      <c r="Q799" s="34"/>
      <c r="R799" s="34"/>
      <c r="S799" s="29"/>
      <c r="T799" s="29"/>
      <c r="U799" s="29"/>
      <c r="V799" s="29"/>
      <c r="W799" s="29"/>
      <c r="X799" s="29"/>
      <c r="Y799" s="2"/>
      <c r="Z799" s="34"/>
      <c r="AA799" s="2"/>
      <c r="AB799" s="29"/>
      <c r="AC799" s="29"/>
      <c r="AD799" s="29"/>
      <c r="AE799" s="29"/>
      <c r="AF799" s="29"/>
      <c r="AG799" s="29"/>
      <c r="AH799" s="29"/>
      <c r="AI799" s="29"/>
      <c r="AJ799" s="34"/>
      <c r="AK799" s="34"/>
      <c r="AL799" s="29"/>
      <c r="AM799" s="29"/>
    </row>
    <row x14ac:dyDescent="0.25" r="800" customHeight="1" ht="15.75">
      <c r="A800" s="1"/>
      <c r="B800" s="34"/>
      <c r="C800" s="34"/>
      <c r="D800" s="34"/>
      <c r="E800" s="34"/>
      <c r="F800" s="34"/>
      <c r="G800" s="60"/>
      <c r="H800" s="60"/>
      <c r="I800" s="29"/>
      <c r="J800" s="29"/>
      <c r="K800" s="29"/>
      <c r="L800" s="29"/>
      <c r="M800" s="29"/>
      <c r="N800" s="29"/>
      <c r="O800" s="29"/>
      <c r="P800" s="29"/>
      <c r="Q800" s="34"/>
      <c r="R800" s="34"/>
      <c r="S800" s="29"/>
      <c r="T800" s="29"/>
      <c r="U800" s="29"/>
      <c r="V800" s="29"/>
      <c r="W800" s="29"/>
      <c r="X800" s="29"/>
      <c r="Y800" s="2"/>
      <c r="Z800" s="34"/>
      <c r="AA800" s="2"/>
      <c r="AB800" s="29"/>
      <c r="AC800" s="29"/>
      <c r="AD800" s="29"/>
      <c r="AE800" s="29"/>
      <c r="AF800" s="29"/>
      <c r="AG800" s="29"/>
      <c r="AH800" s="29"/>
      <c r="AI800" s="29"/>
      <c r="AJ800" s="34"/>
      <c r="AK800" s="34"/>
      <c r="AL800" s="29"/>
      <c r="AM800" s="29"/>
    </row>
    <row x14ac:dyDescent="0.25" r="801" customHeight="1" ht="15.75">
      <c r="A801" s="1"/>
      <c r="B801" s="34"/>
      <c r="C801" s="34"/>
      <c r="D801" s="34"/>
      <c r="E801" s="34"/>
      <c r="F801" s="34"/>
      <c r="G801" s="60"/>
      <c r="H801" s="60"/>
      <c r="I801" s="29"/>
      <c r="J801" s="29"/>
      <c r="K801" s="29"/>
      <c r="L801" s="29"/>
      <c r="M801" s="29"/>
      <c r="N801" s="29"/>
      <c r="O801" s="29"/>
      <c r="P801" s="29"/>
      <c r="Q801" s="34"/>
      <c r="R801" s="34"/>
      <c r="S801" s="29"/>
      <c r="T801" s="29"/>
      <c r="U801" s="29"/>
      <c r="V801" s="29"/>
      <c r="W801" s="29"/>
      <c r="X801" s="29"/>
      <c r="Y801" s="2"/>
      <c r="Z801" s="34"/>
      <c r="AA801" s="2"/>
      <c r="AB801" s="29"/>
      <c r="AC801" s="29"/>
      <c r="AD801" s="29"/>
      <c r="AE801" s="29"/>
      <c r="AF801" s="29"/>
      <c r="AG801" s="29"/>
      <c r="AH801" s="29"/>
      <c r="AI801" s="29"/>
      <c r="AJ801" s="34"/>
      <c r="AK801" s="34"/>
      <c r="AL801" s="29"/>
      <c r="AM801" s="29"/>
    </row>
    <row x14ac:dyDescent="0.25" r="802" customHeight="1" ht="15.75">
      <c r="A802" s="1"/>
      <c r="B802" s="34"/>
      <c r="C802" s="34"/>
      <c r="D802" s="34"/>
      <c r="E802" s="34"/>
      <c r="F802" s="34"/>
      <c r="G802" s="60"/>
      <c r="H802" s="60"/>
      <c r="I802" s="29"/>
      <c r="J802" s="29"/>
      <c r="K802" s="29"/>
      <c r="L802" s="29"/>
      <c r="M802" s="29"/>
      <c r="N802" s="29"/>
      <c r="O802" s="29"/>
      <c r="P802" s="29"/>
      <c r="Q802" s="34"/>
      <c r="R802" s="34"/>
      <c r="S802" s="29"/>
      <c r="T802" s="29"/>
      <c r="U802" s="29"/>
      <c r="V802" s="29"/>
      <c r="W802" s="29"/>
      <c r="X802" s="29"/>
      <c r="Y802" s="2"/>
      <c r="Z802" s="34"/>
      <c r="AA802" s="2"/>
      <c r="AB802" s="29"/>
      <c r="AC802" s="29"/>
      <c r="AD802" s="29"/>
      <c r="AE802" s="29"/>
      <c r="AF802" s="29"/>
      <c r="AG802" s="29"/>
      <c r="AH802" s="29"/>
      <c r="AI802" s="29"/>
      <c r="AJ802" s="34"/>
      <c r="AK802" s="34"/>
      <c r="AL802" s="29"/>
      <c r="AM802" s="29"/>
    </row>
    <row x14ac:dyDescent="0.25" r="803" customHeight="1" ht="15.75">
      <c r="A803" s="1"/>
      <c r="B803" s="34"/>
      <c r="C803" s="34"/>
      <c r="D803" s="34"/>
      <c r="E803" s="34"/>
      <c r="F803" s="34"/>
      <c r="G803" s="60"/>
      <c r="H803" s="60"/>
      <c r="I803" s="29"/>
      <c r="J803" s="29"/>
      <c r="K803" s="29"/>
      <c r="L803" s="29"/>
      <c r="M803" s="29"/>
      <c r="N803" s="29"/>
      <c r="O803" s="29"/>
      <c r="P803" s="29"/>
      <c r="Q803" s="34"/>
      <c r="R803" s="34"/>
      <c r="S803" s="29"/>
      <c r="T803" s="29"/>
      <c r="U803" s="29"/>
      <c r="V803" s="29"/>
      <c r="W803" s="29"/>
      <c r="X803" s="29"/>
      <c r="Y803" s="2"/>
      <c r="Z803" s="34"/>
      <c r="AA803" s="2"/>
      <c r="AB803" s="29"/>
      <c r="AC803" s="29"/>
      <c r="AD803" s="29"/>
      <c r="AE803" s="29"/>
      <c r="AF803" s="29"/>
      <c r="AG803" s="29"/>
      <c r="AH803" s="29"/>
      <c r="AI803" s="29"/>
      <c r="AJ803" s="34"/>
      <c r="AK803" s="34"/>
      <c r="AL803" s="29"/>
      <c r="AM803" s="29"/>
    </row>
    <row x14ac:dyDescent="0.25" r="804" customHeight="1" ht="15.75">
      <c r="A804" s="1"/>
      <c r="B804" s="34"/>
      <c r="C804" s="34"/>
      <c r="D804" s="34"/>
      <c r="E804" s="34"/>
      <c r="F804" s="34"/>
      <c r="G804" s="60"/>
      <c r="H804" s="60"/>
      <c r="I804" s="29"/>
      <c r="J804" s="29"/>
      <c r="K804" s="29"/>
      <c r="L804" s="29"/>
      <c r="M804" s="29"/>
      <c r="N804" s="29"/>
      <c r="O804" s="29"/>
      <c r="P804" s="29"/>
      <c r="Q804" s="34"/>
      <c r="R804" s="34"/>
      <c r="S804" s="29"/>
      <c r="T804" s="29"/>
      <c r="U804" s="29"/>
      <c r="V804" s="29"/>
      <c r="W804" s="29"/>
      <c r="X804" s="29"/>
      <c r="Y804" s="2"/>
      <c r="Z804" s="34"/>
      <c r="AA804" s="2"/>
      <c r="AB804" s="29"/>
      <c r="AC804" s="29"/>
      <c r="AD804" s="29"/>
      <c r="AE804" s="29"/>
      <c r="AF804" s="29"/>
      <c r="AG804" s="29"/>
      <c r="AH804" s="29"/>
      <c r="AI804" s="29"/>
      <c r="AJ804" s="34"/>
      <c r="AK804" s="34"/>
      <c r="AL804" s="29"/>
      <c r="AM804" s="29"/>
    </row>
    <row x14ac:dyDescent="0.25" r="805" customHeight="1" ht="15.75">
      <c r="A805" s="1"/>
      <c r="B805" s="34"/>
      <c r="C805" s="34"/>
      <c r="D805" s="34"/>
      <c r="E805" s="34"/>
      <c r="F805" s="34"/>
      <c r="G805" s="60"/>
      <c r="H805" s="60"/>
      <c r="I805" s="29"/>
      <c r="J805" s="29"/>
      <c r="K805" s="29"/>
      <c r="L805" s="29"/>
      <c r="M805" s="29"/>
      <c r="N805" s="29"/>
      <c r="O805" s="29"/>
      <c r="P805" s="29"/>
      <c r="Q805" s="34"/>
      <c r="R805" s="34"/>
      <c r="S805" s="29"/>
      <c r="T805" s="29"/>
      <c r="U805" s="29"/>
      <c r="V805" s="29"/>
      <c r="W805" s="29"/>
      <c r="X805" s="29"/>
      <c r="Y805" s="2"/>
      <c r="Z805" s="34"/>
      <c r="AA805" s="2"/>
      <c r="AB805" s="29"/>
      <c r="AC805" s="29"/>
      <c r="AD805" s="29"/>
      <c r="AE805" s="29"/>
      <c r="AF805" s="29"/>
      <c r="AG805" s="29"/>
      <c r="AH805" s="29"/>
      <c r="AI805" s="29"/>
      <c r="AJ805" s="34"/>
      <c r="AK805" s="34"/>
      <c r="AL805" s="29"/>
      <c r="AM805" s="29"/>
    </row>
    <row x14ac:dyDescent="0.25" r="806" customHeight="1" ht="15.75">
      <c r="A806" s="1"/>
      <c r="B806" s="34"/>
      <c r="C806" s="34"/>
      <c r="D806" s="34"/>
      <c r="E806" s="34"/>
      <c r="F806" s="34"/>
      <c r="G806" s="60"/>
      <c r="H806" s="60"/>
      <c r="I806" s="29"/>
      <c r="J806" s="29"/>
      <c r="K806" s="29"/>
      <c r="L806" s="29"/>
      <c r="M806" s="29"/>
      <c r="N806" s="29"/>
      <c r="O806" s="29"/>
      <c r="P806" s="29"/>
      <c r="Q806" s="34"/>
      <c r="R806" s="34"/>
      <c r="S806" s="29"/>
      <c r="T806" s="29"/>
      <c r="U806" s="29"/>
      <c r="V806" s="29"/>
      <c r="W806" s="29"/>
      <c r="X806" s="29"/>
      <c r="Y806" s="2"/>
      <c r="Z806" s="34"/>
      <c r="AA806" s="2"/>
      <c r="AB806" s="29"/>
      <c r="AC806" s="29"/>
      <c r="AD806" s="29"/>
      <c r="AE806" s="29"/>
      <c r="AF806" s="29"/>
      <c r="AG806" s="29"/>
      <c r="AH806" s="29"/>
      <c r="AI806" s="29"/>
      <c r="AJ806" s="34"/>
      <c r="AK806" s="34"/>
      <c r="AL806" s="29"/>
      <c r="AM806" s="29"/>
    </row>
    <row x14ac:dyDescent="0.25" r="807" customHeight="1" ht="15.75">
      <c r="A807" s="1"/>
      <c r="B807" s="34"/>
      <c r="C807" s="34"/>
      <c r="D807" s="34"/>
      <c r="E807" s="34"/>
      <c r="F807" s="34"/>
      <c r="G807" s="60"/>
      <c r="H807" s="60"/>
      <c r="I807" s="29"/>
      <c r="J807" s="29"/>
      <c r="K807" s="29"/>
      <c r="L807" s="29"/>
      <c r="M807" s="29"/>
      <c r="N807" s="29"/>
      <c r="O807" s="29"/>
      <c r="P807" s="29"/>
      <c r="Q807" s="34"/>
      <c r="R807" s="34"/>
      <c r="S807" s="29"/>
      <c r="T807" s="29"/>
      <c r="U807" s="29"/>
      <c r="V807" s="29"/>
      <c r="W807" s="29"/>
      <c r="X807" s="29"/>
      <c r="Y807" s="2"/>
      <c r="Z807" s="34"/>
      <c r="AA807" s="2"/>
      <c r="AB807" s="29"/>
      <c r="AC807" s="29"/>
      <c r="AD807" s="29"/>
      <c r="AE807" s="29"/>
      <c r="AF807" s="29"/>
      <c r="AG807" s="29"/>
      <c r="AH807" s="29"/>
      <c r="AI807" s="29"/>
      <c r="AJ807" s="34"/>
      <c r="AK807" s="34"/>
      <c r="AL807" s="29"/>
      <c r="AM807" s="29"/>
    </row>
    <row x14ac:dyDescent="0.25" r="808" customHeight="1" ht="15.75">
      <c r="A808" s="1"/>
      <c r="B808" s="34"/>
      <c r="C808" s="34"/>
      <c r="D808" s="34"/>
      <c r="E808" s="34"/>
      <c r="F808" s="34"/>
      <c r="G808" s="60"/>
      <c r="H808" s="60"/>
      <c r="I808" s="29"/>
      <c r="J808" s="29"/>
      <c r="K808" s="29"/>
      <c r="L808" s="29"/>
      <c r="M808" s="29"/>
      <c r="N808" s="29"/>
      <c r="O808" s="29"/>
      <c r="P808" s="29"/>
      <c r="Q808" s="34"/>
      <c r="R808" s="34"/>
      <c r="S808" s="29"/>
      <c r="T808" s="29"/>
      <c r="U808" s="29"/>
      <c r="V808" s="29"/>
      <c r="W808" s="29"/>
      <c r="X808" s="29"/>
      <c r="Y808" s="2"/>
      <c r="Z808" s="34"/>
      <c r="AA808" s="2"/>
      <c r="AB808" s="29"/>
      <c r="AC808" s="29"/>
      <c r="AD808" s="29"/>
      <c r="AE808" s="29"/>
      <c r="AF808" s="29"/>
      <c r="AG808" s="29"/>
      <c r="AH808" s="29"/>
      <c r="AI808" s="29"/>
      <c r="AJ808" s="34"/>
      <c r="AK808" s="34"/>
      <c r="AL808" s="29"/>
      <c r="AM808" s="29"/>
    </row>
    <row x14ac:dyDescent="0.25" r="809" customHeight="1" ht="15.75">
      <c r="A809" s="1"/>
      <c r="B809" s="34"/>
      <c r="C809" s="34"/>
      <c r="D809" s="34"/>
      <c r="E809" s="34"/>
      <c r="F809" s="34"/>
      <c r="G809" s="60"/>
      <c r="H809" s="60"/>
      <c r="I809" s="29"/>
      <c r="J809" s="29"/>
      <c r="K809" s="29"/>
      <c r="L809" s="29"/>
      <c r="M809" s="29"/>
      <c r="N809" s="29"/>
      <c r="O809" s="29"/>
      <c r="P809" s="29"/>
      <c r="Q809" s="34"/>
      <c r="R809" s="34"/>
      <c r="S809" s="29"/>
      <c r="T809" s="29"/>
      <c r="U809" s="29"/>
      <c r="V809" s="29"/>
      <c r="W809" s="29"/>
      <c r="X809" s="29"/>
      <c r="Y809" s="2"/>
      <c r="Z809" s="34"/>
      <c r="AA809" s="2"/>
      <c r="AB809" s="29"/>
      <c r="AC809" s="29"/>
      <c r="AD809" s="29"/>
      <c r="AE809" s="29"/>
      <c r="AF809" s="29"/>
      <c r="AG809" s="29"/>
      <c r="AH809" s="29"/>
      <c r="AI809" s="29"/>
      <c r="AJ809" s="34"/>
      <c r="AK809" s="34"/>
      <c r="AL809" s="29"/>
      <c r="AM809" s="29"/>
    </row>
    <row x14ac:dyDescent="0.25" r="810" customHeight="1" ht="15.75">
      <c r="A810" s="1"/>
      <c r="B810" s="34"/>
      <c r="C810" s="34"/>
      <c r="D810" s="34"/>
      <c r="E810" s="34"/>
      <c r="F810" s="34"/>
      <c r="G810" s="60"/>
      <c r="H810" s="60"/>
      <c r="I810" s="29"/>
      <c r="J810" s="29"/>
      <c r="K810" s="29"/>
      <c r="L810" s="29"/>
      <c r="M810" s="29"/>
      <c r="N810" s="29"/>
      <c r="O810" s="29"/>
      <c r="P810" s="29"/>
      <c r="Q810" s="34"/>
      <c r="R810" s="34"/>
      <c r="S810" s="29"/>
      <c r="T810" s="29"/>
      <c r="U810" s="29"/>
      <c r="V810" s="29"/>
      <c r="W810" s="29"/>
      <c r="X810" s="29"/>
      <c r="Y810" s="2"/>
      <c r="Z810" s="34"/>
      <c r="AA810" s="2"/>
      <c r="AB810" s="29"/>
      <c r="AC810" s="29"/>
      <c r="AD810" s="29"/>
      <c r="AE810" s="29"/>
      <c r="AF810" s="29"/>
      <c r="AG810" s="29"/>
      <c r="AH810" s="29"/>
      <c r="AI810" s="29"/>
      <c r="AJ810" s="34"/>
      <c r="AK810" s="34"/>
      <c r="AL810" s="29"/>
      <c r="AM810" s="29"/>
    </row>
    <row x14ac:dyDescent="0.25" r="811" customHeight="1" ht="15.75">
      <c r="A811" s="1"/>
      <c r="B811" s="34"/>
      <c r="C811" s="34"/>
      <c r="D811" s="34"/>
      <c r="E811" s="34"/>
      <c r="F811" s="34"/>
      <c r="G811" s="60"/>
      <c r="H811" s="60"/>
      <c r="I811" s="29"/>
      <c r="J811" s="29"/>
      <c r="K811" s="29"/>
      <c r="L811" s="29"/>
      <c r="M811" s="29"/>
      <c r="N811" s="29"/>
      <c r="O811" s="29"/>
      <c r="P811" s="29"/>
      <c r="Q811" s="34"/>
      <c r="R811" s="34"/>
      <c r="S811" s="29"/>
      <c r="T811" s="29"/>
      <c r="U811" s="29"/>
      <c r="V811" s="29"/>
      <c r="W811" s="29"/>
      <c r="X811" s="29"/>
      <c r="Y811" s="2"/>
      <c r="Z811" s="34"/>
      <c r="AA811" s="2"/>
      <c r="AB811" s="29"/>
      <c r="AC811" s="29"/>
      <c r="AD811" s="29"/>
      <c r="AE811" s="29"/>
      <c r="AF811" s="29"/>
      <c r="AG811" s="29"/>
      <c r="AH811" s="29"/>
      <c r="AI811" s="29"/>
      <c r="AJ811" s="34"/>
      <c r="AK811" s="34"/>
      <c r="AL811" s="29"/>
      <c r="AM811" s="29"/>
    </row>
    <row x14ac:dyDescent="0.25" r="812" customHeight="1" ht="15.75">
      <c r="A812" s="1"/>
      <c r="B812" s="34"/>
      <c r="C812" s="34"/>
      <c r="D812" s="34"/>
      <c r="E812" s="34"/>
      <c r="F812" s="34"/>
      <c r="G812" s="60"/>
      <c r="H812" s="60"/>
      <c r="I812" s="29"/>
      <c r="J812" s="29"/>
      <c r="K812" s="29"/>
      <c r="L812" s="29"/>
      <c r="M812" s="29"/>
      <c r="N812" s="29"/>
      <c r="O812" s="29"/>
      <c r="P812" s="29"/>
      <c r="Q812" s="34"/>
      <c r="R812" s="34"/>
      <c r="S812" s="29"/>
      <c r="T812" s="29"/>
      <c r="U812" s="29"/>
      <c r="V812" s="29"/>
      <c r="W812" s="29"/>
      <c r="X812" s="29"/>
      <c r="Y812" s="2"/>
      <c r="Z812" s="34"/>
      <c r="AA812" s="2"/>
      <c r="AB812" s="29"/>
      <c r="AC812" s="29"/>
      <c r="AD812" s="29"/>
      <c r="AE812" s="29"/>
      <c r="AF812" s="29"/>
      <c r="AG812" s="29"/>
      <c r="AH812" s="29"/>
      <c r="AI812" s="29"/>
      <c r="AJ812" s="34"/>
      <c r="AK812" s="34"/>
      <c r="AL812" s="29"/>
      <c r="AM812" s="29"/>
    </row>
    <row x14ac:dyDescent="0.25" r="813" customHeight="1" ht="15.75">
      <c r="A813" s="1"/>
      <c r="B813" s="34"/>
      <c r="C813" s="34"/>
      <c r="D813" s="34"/>
      <c r="E813" s="34"/>
      <c r="F813" s="34"/>
      <c r="G813" s="60"/>
      <c r="H813" s="60"/>
      <c r="I813" s="29"/>
      <c r="J813" s="29"/>
      <c r="K813" s="29"/>
      <c r="L813" s="29"/>
      <c r="M813" s="29"/>
      <c r="N813" s="29"/>
      <c r="O813" s="29"/>
      <c r="P813" s="29"/>
      <c r="Q813" s="34"/>
      <c r="R813" s="34"/>
      <c r="S813" s="29"/>
      <c r="T813" s="29"/>
      <c r="U813" s="29"/>
      <c r="V813" s="29"/>
      <c r="W813" s="29"/>
      <c r="X813" s="29"/>
      <c r="Y813" s="2"/>
      <c r="Z813" s="34"/>
      <c r="AA813" s="2"/>
      <c r="AB813" s="29"/>
      <c r="AC813" s="29"/>
      <c r="AD813" s="29"/>
      <c r="AE813" s="29"/>
      <c r="AF813" s="29"/>
      <c r="AG813" s="29"/>
      <c r="AH813" s="29"/>
      <c r="AI813" s="29"/>
      <c r="AJ813" s="34"/>
      <c r="AK813" s="34"/>
      <c r="AL813" s="29"/>
      <c r="AM813" s="29"/>
    </row>
    <row x14ac:dyDescent="0.25" r="814" customHeight="1" ht="15.75">
      <c r="A814" s="1"/>
      <c r="B814" s="34"/>
      <c r="C814" s="34"/>
      <c r="D814" s="34"/>
      <c r="E814" s="34"/>
      <c r="F814" s="34"/>
      <c r="G814" s="60"/>
      <c r="H814" s="60"/>
      <c r="I814" s="29"/>
      <c r="J814" s="29"/>
      <c r="K814" s="29"/>
      <c r="L814" s="29"/>
      <c r="M814" s="29"/>
      <c r="N814" s="29"/>
      <c r="O814" s="29"/>
      <c r="P814" s="29"/>
      <c r="Q814" s="34"/>
      <c r="R814" s="34"/>
      <c r="S814" s="29"/>
      <c r="T814" s="29"/>
      <c r="U814" s="29"/>
      <c r="V814" s="29"/>
      <c r="W814" s="29"/>
      <c r="X814" s="29"/>
      <c r="Y814" s="2"/>
      <c r="Z814" s="34"/>
      <c r="AA814" s="2"/>
      <c r="AB814" s="29"/>
      <c r="AC814" s="29"/>
      <c r="AD814" s="29"/>
      <c r="AE814" s="29"/>
      <c r="AF814" s="29"/>
      <c r="AG814" s="29"/>
      <c r="AH814" s="29"/>
      <c r="AI814" s="29"/>
      <c r="AJ814" s="34"/>
      <c r="AK814" s="34"/>
      <c r="AL814" s="29"/>
      <c r="AM814" s="29"/>
    </row>
    <row x14ac:dyDescent="0.25" r="815" customHeight="1" ht="15.75">
      <c r="A815" s="1"/>
      <c r="B815" s="34"/>
      <c r="C815" s="34"/>
      <c r="D815" s="34"/>
      <c r="E815" s="34"/>
      <c r="F815" s="34"/>
      <c r="G815" s="60"/>
      <c r="H815" s="60"/>
      <c r="I815" s="29"/>
      <c r="J815" s="29"/>
      <c r="K815" s="29"/>
      <c r="L815" s="29"/>
      <c r="M815" s="29"/>
      <c r="N815" s="29"/>
      <c r="O815" s="29"/>
      <c r="P815" s="29"/>
      <c r="Q815" s="34"/>
      <c r="R815" s="34"/>
      <c r="S815" s="29"/>
      <c r="T815" s="29"/>
      <c r="U815" s="29"/>
      <c r="V815" s="29"/>
      <c r="W815" s="29"/>
      <c r="X815" s="29"/>
      <c r="Y815" s="2"/>
      <c r="Z815" s="34"/>
      <c r="AA815" s="2"/>
      <c r="AB815" s="29"/>
      <c r="AC815" s="29"/>
      <c r="AD815" s="29"/>
      <c r="AE815" s="29"/>
      <c r="AF815" s="29"/>
      <c r="AG815" s="29"/>
      <c r="AH815" s="29"/>
      <c r="AI815" s="29"/>
      <c r="AJ815" s="34"/>
      <c r="AK815" s="34"/>
      <c r="AL815" s="29"/>
      <c r="AM815" s="29"/>
    </row>
    <row x14ac:dyDescent="0.25" r="816" customHeight="1" ht="15.75">
      <c r="A816" s="1"/>
      <c r="B816" s="34"/>
      <c r="C816" s="34"/>
      <c r="D816" s="34"/>
      <c r="E816" s="34"/>
      <c r="F816" s="34"/>
      <c r="G816" s="60"/>
      <c r="H816" s="60"/>
      <c r="I816" s="29"/>
      <c r="J816" s="29"/>
      <c r="K816" s="29"/>
      <c r="L816" s="29"/>
      <c r="M816" s="29"/>
      <c r="N816" s="29"/>
      <c r="O816" s="29"/>
      <c r="P816" s="29"/>
      <c r="Q816" s="34"/>
      <c r="R816" s="34"/>
      <c r="S816" s="29"/>
      <c r="T816" s="29"/>
      <c r="U816" s="29"/>
      <c r="V816" s="29"/>
      <c r="W816" s="29"/>
      <c r="X816" s="29"/>
      <c r="Y816" s="2"/>
      <c r="Z816" s="34"/>
      <c r="AA816" s="2"/>
      <c r="AB816" s="29"/>
      <c r="AC816" s="29"/>
      <c r="AD816" s="29"/>
      <c r="AE816" s="29"/>
      <c r="AF816" s="29"/>
      <c r="AG816" s="29"/>
      <c r="AH816" s="29"/>
      <c r="AI816" s="29"/>
      <c r="AJ816" s="34"/>
      <c r="AK816" s="34"/>
      <c r="AL816" s="29"/>
      <c r="AM816" s="29"/>
    </row>
    <row x14ac:dyDescent="0.25" r="817" customHeight="1" ht="15.75">
      <c r="A817" s="1"/>
      <c r="B817" s="34"/>
      <c r="C817" s="34"/>
      <c r="D817" s="34"/>
      <c r="E817" s="34"/>
      <c r="F817" s="34"/>
      <c r="G817" s="60"/>
      <c r="H817" s="60"/>
      <c r="I817" s="29"/>
      <c r="J817" s="29"/>
      <c r="K817" s="29"/>
      <c r="L817" s="29"/>
      <c r="M817" s="29"/>
      <c r="N817" s="29"/>
      <c r="O817" s="29"/>
      <c r="P817" s="29"/>
      <c r="Q817" s="34"/>
      <c r="R817" s="34"/>
      <c r="S817" s="29"/>
      <c r="T817" s="29"/>
      <c r="U817" s="29"/>
      <c r="V817" s="29"/>
      <c r="W817" s="29"/>
      <c r="X817" s="29"/>
      <c r="Y817" s="2"/>
      <c r="Z817" s="34"/>
      <c r="AA817" s="2"/>
      <c r="AB817" s="29"/>
      <c r="AC817" s="29"/>
      <c r="AD817" s="29"/>
      <c r="AE817" s="29"/>
      <c r="AF817" s="29"/>
      <c r="AG817" s="29"/>
      <c r="AH817" s="29"/>
      <c r="AI817" s="29"/>
      <c r="AJ817" s="34"/>
      <c r="AK817" s="34"/>
      <c r="AL817" s="29"/>
      <c r="AM817" s="29"/>
    </row>
    <row x14ac:dyDescent="0.25" r="818" customHeight="1" ht="15.75">
      <c r="A818" s="1"/>
      <c r="B818" s="34"/>
      <c r="C818" s="34"/>
      <c r="D818" s="34"/>
      <c r="E818" s="34"/>
      <c r="F818" s="34"/>
      <c r="G818" s="60"/>
      <c r="H818" s="60"/>
      <c r="I818" s="29"/>
      <c r="J818" s="29"/>
      <c r="K818" s="29"/>
      <c r="L818" s="29"/>
      <c r="M818" s="29"/>
      <c r="N818" s="29"/>
      <c r="O818" s="29"/>
      <c r="P818" s="29"/>
      <c r="Q818" s="34"/>
      <c r="R818" s="34"/>
      <c r="S818" s="29"/>
      <c r="T818" s="29"/>
      <c r="U818" s="29"/>
      <c r="V818" s="29"/>
      <c r="W818" s="29"/>
      <c r="X818" s="29"/>
      <c r="Y818" s="2"/>
      <c r="Z818" s="34"/>
      <c r="AA818" s="2"/>
      <c r="AB818" s="29"/>
      <c r="AC818" s="29"/>
      <c r="AD818" s="29"/>
      <c r="AE818" s="29"/>
      <c r="AF818" s="29"/>
      <c r="AG818" s="29"/>
      <c r="AH818" s="29"/>
      <c r="AI818" s="29"/>
      <c r="AJ818" s="34"/>
      <c r="AK818" s="34"/>
      <c r="AL818" s="29"/>
      <c r="AM818" s="29"/>
    </row>
    <row x14ac:dyDescent="0.25" r="819" customHeight="1" ht="15.75">
      <c r="A819" s="1"/>
      <c r="B819" s="34"/>
      <c r="C819" s="34"/>
      <c r="D819" s="34"/>
      <c r="E819" s="34"/>
      <c r="F819" s="34"/>
      <c r="G819" s="60"/>
      <c r="H819" s="60"/>
      <c r="I819" s="29"/>
      <c r="J819" s="29"/>
      <c r="K819" s="29"/>
      <c r="L819" s="29"/>
      <c r="M819" s="29"/>
      <c r="N819" s="29"/>
      <c r="O819" s="29"/>
      <c r="P819" s="29"/>
      <c r="Q819" s="34"/>
      <c r="R819" s="34"/>
      <c r="S819" s="29"/>
      <c r="T819" s="29"/>
      <c r="U819" s="29"/>
      <c r="V819" s="29"/>
      <c r="W819" s="29"/>
      <c r="X819" s="29"/>
      <c r="Y819" s="2"/>
      <c r="Z819" s="34"/>
      <c r="AA819" s="2"/>
      <c r="AB819" s="29"/>
      <c r="AC819" s="29"/>
      <c r="AD819" s="29"/>
      <c r="AE819" s="29"/>
      <c r="AF819" s="29"/>
      <c r="AG819" s="29"/>
      <c r="AH819" s="29"/>
      <c r="AI819" s="29"/>
      <c r="AJ819" s="34"/>
      <c r="AK819" s="34"/>
      <c r="AL819" s="29"/>
      <c r="AM819" s="29"/>
    </row>
    <row x14ac:dyDescent="0.25" r="820" customHeight="1" ht="15.75">
      <c r="A820" s="1"/>
      <c r="B820" s="34"/>
      <c r="C820" s="34"/>
      <c r="D820" s="34"/>
      <c r="E820" s="34"/>
      <c r="F820" s="34"/>
      <c r="G820" s="60"/>
      <c r="H820" s="60"/>
      <c r="I820" s="29"/>
      <c r="J820" s="29"/>
      <c r="K820" s="29"/>
      <c r="L820" s="29"/>
      <c r="M820" s="29"/>
      <c r="N820" s="29"/>
      <c r="O820" s="29"/>
      <c r="P820" s="29"/>
      <c r="Q820" s="34"/>
      <c r="R820" s="34"/>
      <c r="S820" s="29"/>
      <c r="T820" s="29"/>
      <c r="U820" s="29"/>
      <c r="V820" s="29"/>
      <c r="W820" s="29"/>
      <c r="X820" s="29"/>
      <c r="Y820" s="2"/>
      <c r="Z820" s="34"/>
      <c r="AA820" s="2"/>
      <c r="AB820" s="29"/>
      <c r="AC820" s="29"/>
      <c r="AD820" s="29"/>
      <c r="AE820" s="29"/>
      <c r="AF820" s="29"/>
      <c r="AG820" s="29"/>
      <c r="AH820" s="29"/>
      <c r="AI820" s="29"/>
      <c r="AJ820" s="34"/>
      <c r="AK820" s="34"/>
      <c r="AL820" s="29"/>
      <c r="AM820" s="29"/>
    </row>
    <row x14ac:dyDescent="0.25" r="821" customHeight="1" ht="15.75">
      <c r="A821" s="1"/>
      <c r="B821" s="34"/>
      <c r="C821" s="34"/>
      <c r="D821" s="34"/>
      <c r="E821" s="34"/>
      <c r="F821" s="34"/>
      <c r="G821" s="60"/>
      <c r="H821" s="60"/>
      <c r="I821" s="29"/>
      <c r="J821" s="29"/>
      <c r="K821" s="29"/>
      <c r="L821" s="29"/>
      <c r="M821" s="29"/>
      <c r="N821" s="29"/>
      <c r="O821" s="29"/>
      <c r="P821" s="29"/>
      <c r="Q821" s="34"/>
      <c r="R821" s="34"/>
      <c r="S821" s="29"/>
      <c r="T821" s="29"/>
      <c r="U821" s="29"/>
      <c r="V821" s="29"/>
      <c r="W821" s="29"/>
      <c r="X821" s="29"/>
      <c r="Y821" s="2"/>
      <c r="Z821" s="34"/>
      <c r="AA821" s="2"/>
      <c r="AB821" s="29"/>
      <c r="AC821" s="29"/>
      <c r="AD821" s="29"/>
      <c r="AE821" s="29"/>
      <c r="AF821" s="29"/>
      <c r="AG821" s="29"/>
      <c r="AH821" s="29"/>
      <c r="AI821" s="29"/>
      <c r="AJ821" s="34"/>
      <c r="AK821" s="34"/>
      <c r="AL821" s="29"/>
      <c r="AM821" s="29"/>
    </row>
    <row x14ac:dyDescent="0.25" r="822" customHeight="1" ht="15.75">
      <c r="A822" s="1"/>
      <c r="B822" s="34"/>
      <c r="C822" s="34"/>
      <c r="D822" s="34"/>
      <c r="E822" s="34"/>
      <c r="F822" s="34"/>
      <c r="G822" s="60"/>
      <c r="H822" s="60"/>
      <c r="I822" s="29"/>
      <c r="J822" s="29"/>
      <c r="K822" s="29"/>
      <c r="L822" s="29"/>
      <c r="M822" s="29"/>
      <c r="N822" s="29"/>
      <c r="O822" s="29"/>
      <c r="P822" s="29"/>
      <c r="Q822" s="34"/>
      <c r="R822" s="34"/>
      <c r="S822" s="29"/>
      <c r="T822" s="29"/>
      <c r="U822" s="29"/>
      <c r="V822" s="29"/>
      <c r="W822" s="29"/>
      <c r="X822" s="29"/>
      <c r="Y822" s="2"/>
      <c r="Z822" s="34"/>
      <c r="AA822" s="2"/>
      <c r="AB822" s="29"/>
      <c r="AC822" s="29"/>
      <c r="AD822" s="29"/>
      <c r="AE822" s="29"/>
      <c r="AF822" s="29"/>
      <c r="AG822" s="29"/>
      <c r="AH822" s="29"/>
      <c r="AI822" s="29"/>
      <c r="AJ822" s="34"/>
      <c r="AK822" s="34"/>
      <c r="AL822" s="29"/>
      <c r="AM822" s="29"/>
    </row>
    <row x14ac:dyDescent="0.25" r="823" customHeight="1" ht="15.75">
      <c r="A823" s="1"/>
      <c r="B823" s="34"/>
      <c r="C823" s="34"/>
      <c r="D823" s="34"/>
      <c r="E823" s="34"/>
      <c r="F823" s="34"/>
      <c r="G823" s="60"/>
      <c r="H823" s="60"/>
      <c r="I823" s="29"/>
      <c r="J823" s="29"/>
      <c r="K823" s="29"/>
      <c r="L823" s="29"/>
      <c r="M823" s="29"/>
      <c r="N823" s="29"/>
      <c r="O823" s="29"/>
      <c r="P823" s="29"/>
      <c r="Q823" s="34"/>
      <c r="R823" s="34"/>
      <c r="S823" s="29"/>
      <c r="T823" s="29"/>
      <c r="U823" s="29"/>
      <c r="V823" s="29"/>
      <c r="W823" s="29"/>
      <c r="X823" s="29"/>
      <c r="Y823" s="2"/>
      <c r="Z823" s="34"/>
      <c r="AA823" s="2"/>
      <c r="AB823" s="29"/>
      <c r="AC823" s="29"/>
      <c r="AD823" s="29"/>
      <c r="AE823" s="29"/>
      <c r="AF823" s="29"/>
      <c r="AG823" s="29"/>
      <c r="AH823" s="29"/>
      <c r="AI823" s="29"/>
      <c r="AJ823" s="34"/>
      <c r="AK823" s="34"/>
      <c r="AL823" s="29"/>
      <c r="AM823" s="29"/>
    </row>
    <row x14ac:dyDescent="0.25" r="824" customHeight="1" ht="15.75">
      <c r="A824" s="1"/>
      <c r="B824" s="34"/>
      <c r="C824" s="34"/>
      <c r="D824" s="34"/>
      <c r="E824" s="34"/>
      <c r="F824" s="34"/>
      <c r="G824" s="60"/>
      <c r="H824" s="60"/>
      <c r="I824" s="29"/>
      <c r="J824" s="29"/>
      <c r="K824" s="29"/>
      <c r="L824" s="29"/>
      <c r="M824" s="29"/>
      <c r="N824" s="29"/>
      <c r="O824" s="29"/>
      <c r="P824" s="29"/>
      <c r="Q824" s="34"/>
      <c r="R824" s="34"/>
      <c r="S824" s="29"/>
      <c r="T824" s="29"/>
      <c r="U824" s="29"/>
      <c r="V824" s="29"/>
      <c r="W824" s="29"/>
      <c r="X824" s="29"/>
      <c r="Y824" s="2"/>
      <c r="Z824" s="34"/>
      <c r="AA824" s="2"/>
      <c r="AB824" s="29"/>
      <c r="AC824" s="29"/>
      <c r="AD824" s="29"/>
      <c r="AE824" s="29"/>
      <c r="AF824" s="29"/>
      <c r="AG824" s="29"/>
      <c r="AH824" s="29"/>
      <c r="AI824" s="29"/>
      <c r="AJ824" s="34"/>
      <c r="AK824" s="34"/>
      <c r="AL824" s="29"/>
      <c r="AM824" s="29"/>
    </row>
    <row x14ac:dyDescent="0.25" r="825" customHeight="1" ht="15.75">
      <c r="A825" s="1"/>
      <c r="B825" s="34"/>
      <c r="C825" s="34"/>
      <c r="D825" s="34"/>
      <c r="E825" s="34"/>
      <c r="F825" s="34"/>
      <c r="G825" s="60"/>
      <c r="H825" s="60"/>
      <c r="I825" s="29"/>
      <c r="J825" s="29"/>
      <c r="K825" s="29"/>
      <c r="L825" s="29"/>
      <c r="M825" s="29"/>
      <c r="N825" s="29"/>
      <c r="O825" s="29"/>
      <c r="P825" s="29"/>
      <c r="Q825" s="34"/>
      <c r="R825" s="34"/>
      <c r="S825" s="29"/>
      <c r="T825" s="29"/>
      <c r="U825" s="29"/>
      <c r="V825" s="29"/>
      <c r="W825" s="29"/>
      <c r="X825" s="29"/>
      <c r="Y825" s="2"/>
      <c r="Z825" s="34"/>
      <c r="AA825" s="2"/>
      <c r="AB825" s="29"/>
      <c r="AC825" s="29"/>
      <c r="AD825" s="29"/>
      <c r="AE825" s="29"/>
      <c r="AF825" s="29"/>
      <c r="AG825" s="29"/>
      <c r="AH825" s="29"/>
      <c r="AI825" s="29"/>
      <c r="AJ825" s="34"/>
      <c r="AK825" s="34"/>
      <c r="AL825" s="29"/>
      <c r="AM825" s="29"/>
    </row>
    <row x14ac:dyDescent="0.25" r="826" customHeight="1" ht="15.75">
      <c r="A826" s="1"/>
      <c r="B826" s="34"/>
      <c r="C826" s="34"/>
      <c r="D826" s="34"/>
      <c r="E826" s="34"/>
      <c r="F826" s="34"/>
      <c r="G826" s="60"/>
      <c r="H826" s="60"/>
      <c r="I826" s="29"/>
      <c r="J826" s="29"/>
      <c r="K826" s="29"/>
      <c r="L826" s="29"/>
      <c r="M826" s="29"/>
      <c r="N826" s="29"/>
      <c r="O826" s="29"/>
      <c r="P826" s="29"/>
      <c r="Q826" s="34"/>
      <c r="R826" s="34"/>
      <c r="S826" s="29"/>
      <c r="T826" s="29"/>
      <c r="U826" s="29"/>
      <c r="V826" s="29"/>
      <c r="W826" s="29"/>
      <c r="X826" s="29"/>
      <c r="Y826" s="2"/>
      <c r="Z826" s="34"/>
      <c r="AA826" s="2"/>
      <c r="AB826" s="29"/>
      <c r="AC826" s="29"/>
      <c r="AD826" s="29"/>
      <c r="AE826" s="29"/>
      <c r="AF826" s="29"/>
      <c r="AG826" s="29"/>
      <c r="AH826" s="29"/>
      <c r="AI826" s="29"/>
      <c r="AJ826" s="34"/>
      <c r="AK826" s="34"/>
      <c r="AL826" s="29"/>
      <c r="AM826" s="29"/>
    </row>
    <row x14ac:dyDescent="0.25" r="827" customHeight="1" ht="15.75">
      <c r="A827" s="1"/>
      <c r="B827" s="34"/>
      <c r="C827" s="34"/>
      <c r="D827" s="34"/>
      <c r="E827" s="34"/>
      <c r="F827" s="34"/>
      <c r="G827" s="60"/>
      <c r="H827" s="60"/>
      <c r="I827" s="29"/>
      <c r="J827" s="29"/>
      <c r="K827" s="29"/>
      <c r="L827" s="29"/>
      <c r="M827" s="29"/>
      <c r="N827" s="29"/>
      <c r="O827" s="29"/>
      <c r="P827" s="29"/>
      <c r="Q827" s="34"/>
      <c r="R827" s="34"/>
      <c r="S827" s="29"/>
      <c r="T827" s="29"/>
      <c r="U827" s="29"/>
      <c r="V827" s="29"/>
      <c r="W827" s="29"/>
      <c r="X827" s="29"/>
      <c r="Y827" s="2"/>
      <c r="Z827" s="34"/>
      <c r="AA827" s="2"/>
      <c r="AB827" s="29"/>
      <c r="AC827" s="29"/>
      <c r="AD827" s="29"/>
      <c r="AE827" s="29"/>
      <c r="AF827" s="29"/>
      <c r="AG827" s="29"/>
      <c r="AH827" s="29"/>
      <c r="AI827" s="29"/>
      <c r="AJ827" s="34"/>
      <c r="AK827" s="34"/>
      <c r="AL827" s="29"/>
      <c r="AM827" s="29"/>
    </row>
    <row x14ac:dyDescent="0.25" r="828" customHeight="1" ht="15.75">
      <c r="A828" s="1"/>
      <c r="B828" s="34"/>
      <c r="C828" s="34"/>
      <c r="D828" s="34"/>
      <c r="E828" s="34"/>
      <c r="F828" s="34"/>
      <c r="G828" s="60"/>
      <c r="H828" s="60"/>
      <c r="I828" s="29"/>
      <c r="J828" s="29"/>
      <c r="K828" s="29"/>
      <c r="L828" s="29"/>
      <c r="M828" s="29"/>
      <c r="N828" s="29"/>
      <c r="O828" s="29"/>
      <c r="P828" s="29"/>
      <c r="Q828" s="34"/>
      <c r="R828" s="34"/>
      <c r="S828" s="29"/>
      <c r="T828" s="29"/>
      <c r="U828" s="29"/>
      <c r="V828" s="29"/>
      <c r="W828" s="29"/>
      <c r="X828" s="29"/>
      <c r="Y828" s="2"/>
      <c r="Z828" s="34"/>
      <c r="AA828" s="2"/>
      <c r="AB828" s="29"/>
      <c r="AC828" s="29"/>
      <c r="AD828" s="29"/>
      <c r="AE828" s="29"/>
      <c r="AF828" s="29"/>
      <c r="AG828" s="29"/>
      <c r="AH828" s="29"/>
      <c r="AI828" s="29"/>
      <c r="AJ828" s="34"/>
      <c r="AK828" s="34"/>
      <c r="AL828" s="29"/>
      <c r="AM828" s="29"/>
    </row>
    <row x14ac:dyDescent="0.25" r="829" customHeight="1" ht="15.75">
      <c r="A829" s="1"/>
      <c r="B829" s="34"/>
      <c r="C829" s="34"/>
      <c r="D829" s="34"/>
      <c r="E829" s="34"/>
      <c r="F829" s="34"/>
      <c r="G829" s="60"/>
      <c r="H829" s="60"/>
      <c r="I829" s="29"/>
      <c r="J829" s="29"/>
      <c r="K829" s="29"/>
      <c r="L829" s="29"/>
      <c r="M829" s="29"/>
      <c r="N829" s="29"/>
      <c r="O829" s="29"/>
      <c r="P829" s="29"/>
      <c r="Q829" s="34"/>
      <c r="R829" s="34"/>
      <c r="S829" s="29"/>
      <c r="T829" s="29"/>
      <c r="U829" s="29"/>
      <c r="V829" s="29"/>
      <c r="W829" s="29"/>
      <c r="X829" s="29"/>
      <c r="Y829" s="2"/>
      <c r="Z829" s="34"/>
      <c r="AA829" s="2"/>
      <c r="AB829" s="29"/>
      <c r="AC829" s="29"/>
      <c r="AD829" s="29"/>
      <c r="AE829" s="29"/>
      <c r="AF829" s="29"/>
      <c r="AG829" s="29"/>
      <c r="AH829" s="29"/>
      <c r="AI829" s="29"/>
      <c r="AJ829" s="34"/>
      <c r="AK829" s="34"/>
      <c r="AL829" s="29"/>
      <c r="AM829" s="29"/>
    </row>
    <row x14ac:dyDescent="0.25" r="830" customHeight="1" ht="15.75">
      <c r="A830" s="1"/>
      <c r="B830" s="34"/>
      <c r="C830" s="34"/>
      <c r="D830" s="34"/>
      <c r="E830" s="34"/>
      <c r="F830" s="34"/>
      <c r="G830" s="60"/>
      <c r="H830" s="60"/>
      <c r="I830" s="29"/>
      <c r="J830" s="29"/>
      <c r="K830" s="29"/>
      <c r="L830" s="29"/>
      <c r="M830" s="29"/>
      <c r="N830" s="29"/>
      <c r="O830" s="29"/>
      <c r="P830" s="29"/>
      <c r="Q830" s="34"/>
      <c r="R830" s="34"/>
      <c r="S830" s="29"/>
      <c r="T830" s="29"/>
      <c r="U830" s="29"/>
      <c r="V830" s="29"/>
      <c r="W830" s="29"/>
      <c r="X830" s="29"/>
      <c r="Y830" s="2"/>
      <c r="Z830" s="34"/>
      <c r="AA830" s="2"/>
      <c r="AB830" s="29"/>
      <c r="AC830" s="29"/>
      <c r="AD830" s="29"/>
      <c r="AE830" s="29"/>
      <c r="AF830" s="29"/>
      <c r="AG830" s="29"/>
      <c r="AH830" s="29"/>
      <c r="AI830" s="29"/>
      <c r="AJ830" s="34"/>
      <c r="AK830" s="34"/>
      <c r="AL830" s="29"/>
      <c r="AM830" s="29"/>
    </row>
    <row x14ac:dyDescent="0.25" r="831" customHeight="1" ht="15.75">
      <c r="A831" s="1"/>
      <c r="B831" s="34"/>
      <c r="C831" s="34"/>
      <c r="D831" s="34"/>
      <c r="E831" s="34"/>
      <c r="F831" s="34"/>
      <c r="G831" s="60"/>
      <c r="H831" s="60"/>
      <c r="I831" s="29"/>
      <c r="J831" s="29"/>
      <c r="K831" s="29"/>
      <c r="L831" s="29"/>
      <c r="M831" s="29"/>
      <c r="N831" s="29"/>
      <c r="O831" s="29"/>
      <c r="P831" s="29"/>
      <c r="Q831" s="34"/>
      <c r="R831" s="34"/>
      <c r="S831" s="29"/>
      <c r="T831" s="29"/>
      <c r="U831" s="29"/>
      <c r="V831" s="29"/>
      <c r="W831" s="29"/>
      <c r="X831" s="29"/>
      <c r="Y831" s="2"/>
      <c r="Z831" s="34"/>
      <c r="AA831" s="2"/>
      <c r="AB831" s="29"/>
      <c r="AC831" s="29"/>
      <c r="AD831" s="29"/>
      <c r="AE831" s="29"/>
      <c r="AF831" s="29"/>
      <c r="AG831" s="29"/>
      <c r="AH831" s="29"/>
      <c r="AI831" s="29"/>
      <c r="AJ831" s="34"/>
      <c r="AK831" s="34"/>
      <c r="AL831" s="29"/>
      <c r="AM831" s="29"/>
    </row>
    <row x14ac:dyDescent="0.25" r="832" customHeight="1" ht="15.75">
      <c r="A832" s="1"/>
      <c r="B832" s="34"/>
      <c r="C832" s="34"/>
      <c r="D832" s="34"/>
      <c r="E832" s="34"/>
      <c r="F832" s="34"/>
      <c r="G832" s="60"/>
      <c r="H832" s="60"/>
      <c r="I832" s="29"/>
      <c r="J832" s="29"/>
      <c r="K832" s="29"/>
      <c r="L832" s="29"/>
      <c r="M832" s="29"/>
      <c r="N832" s="29"/>
      <c r="O832" s="29"/>
      <c r="P832" s="29"/>
      <c r="Q832" s="34"/>
      <c r="R832" s="34"/>
      <c r="S832" s="29"/>
      <c r="T832" s="29"/>
      <c r="U832" s="29"/>
      <c r="V832" s="29"/>
      <c r="W832" s="29"/>
      <c r="X832" s="29"/>
      <c r="Y832" s="2"/>
      <c r="Z832" s="34"/>
      <c r="AA832" s="2"/>
      <c r="AB832" s="29"/>
      <c r="AC832" s="29"/>
      <c r="AD832" s="29"/>
      <c r="AE832" s="29"/>
      <c r="AF832" s="29"/>
      <c r="AG832" s="29"/>
      <c r="AH832" s="29"/>
      <c r="AI832" s="29"/>
      <c r="AJ832" s="34"/>
      <c r="AK832" s="34"/>
      <c r="AL832" s="29"/>
      <c r="AM832" s="29"/>
    </row>
    <row x14ac:dyDescent="0.25" r="833" customHeight="1" ht="15.75">
      <c r="A833" s="1"/>
      <c r="B833" s="34"/>
      <c r="C833" s="34"/>
      <c r="D833" s="34"/>
      <c r="E833" s="34"/>
      <c r="F833" s="34"/>
      <c r="G833" s="60"/>
      <c r="H833" s="60"/>
      <c r="I833" s="29"/>
      <c r="J833" s="29"/>
      <c r="K833" s="29"/>
      <c r="L833" s="29"/>
      <c r="M833" s="29"/>
      <c r="N833" s="29"/>
      <c r="O833" s="29"/>
      <c r="P833" s="29"/>
      <c r="Q833" s="34"/>
      <c r="R833" s="34"/>
      <c r="S833" s="29"/>
      <c r="T833" s="29"/>
      <c r="U833" s="29"/>
      <c r="V833" s="29"/>
      <c r="W833" s="29"/>
      <c r="X833" s="29"/>
      <c r="Y833" s="2"/>
      <c r="Z833" s="34"/>
      <c r="AA833" s="2"/>
      <c r="AB833" s="29"/>
      <c r="AC833" s="29"/>
      <c r="AD833" s="29"/>
      <c r="AE833" s="29"/>
      <c r="AF833" s="29"/>
      <c r="AG833" s="29"/>
      <c r="AH833" s="29"/>
      <c r="AI833" s="29"/>
      <c r="AJ833" s="34"/>
      <c r="AK833" s="34"/>
      <c r="AL833" s="29"/>
      <c r="AM833" s="29"/>
    </row>
    <row x14ac:dyDescent="0.25" r="834" customHeight="1" ht="15.75">
      <c r="A834" s="1"/>
      <c r="B834" s="34"/>
      <c r="C834" s="34"/>
      <c r="D834" s="34"/>
      <c r="E834" s="34"/>
      <c r="F834" s="34"/>
      <c r="G834" s="60"/>
      <c r="H834" s="60"/>
      <c r="I834" s="29"/>
      <c r="J834" s="29"/>
      <c r="K834" s="29"/>
      <c r="L834" s="29"/>
      <c r="M834" s="29"/>
      <c r="N834" s="29"/>
      <c r="O834" s="29"/>
      <c r="P834" s="29"/>
      <c r="Q834" s="34"/>
      <c r="R834" s="34"/>
      <c r="S834" s="29"/>
      <c r="T834" s="29"/>
      <c r="U834" s="29"/>
      <c r="V834" s="29"/>
      <c r="W834" s="29"/>
      <c r="X834" s="29"/>
      <c r="Y834" s="2"/>
      <c r="Z834" s="34"/>
      <c r="AA834" s="2"/>
      <c r="AB834" s="29"/>
      <c r="AC834" s="29"/>
      <c r="AD834" s="29"/>
      <c r="AE834" s="29"/>
      <c r="AF834" s="29"/>
      <c r="AG834" s="29"/>
      <c r="AH834" s="29"/>
      <c r="AI834" s="29"/>
      <c r="AJ834" s="34"/>
      <c r="AK834" s="34"/>
      <c r="AL834" s="29"/>
      <c r="AM834" s="29"/>
    </row>
    <row x14ac:dyDescent="0.25" r="835" customHeight="1" ht="15.75">
      <c r="A835" s="1"/>
      <c r="B835" s="34"/>
      <c r="C835" s="34"/>
      <c r="D835" s="34"/>
      <c r="E835" s="34"/>
      <c r="F835" s="34"/>
      <c r="G835" s="60"/>
      <c r="H835" s="60"/>
      <c r="I835" s="29"/>
      <c r="J835" s="29"/>
      <c r="K835" s="29"/>
      <c r="L835" s="29"/>
      <c r="M835" s="29"/>
      <c r="N835" s="29"/>
      <c r="O835" s="29"/>
      <c r="P835" s="29"/>
      <c r="Q835" s="34"/>
      <c r="R835" s="34"/>
      <c r="S835" s="29"/>
      <c r="T835" s="29"/>
      <c r="U835" s="29"/>
      <c r="V835" s="29"/>
      <c r="W835" s="29"/>
      <c r="X835" s="29"/>
      <c r="Y835" s="2"/>
      <c r="Z835" s="34"/>
      <c r="AA835" s="2"/>
      <c r="AB835" s="29"/>
      <c r="AC835" s="29"/>
      <c r="AD835" s="29"/>
      <c r="AE835" s="29"/>
      <c r="AF835" s="29"/>
      <c r="AG835" s="29"/>
      <c r="AH835" s="29"/>
      <c r="AI835" s="29"/>
      <c r="AJ835" s="34"/>
      <c r="AK835" s="34"/>
      <c r="AL835" s="29"/>
      <c r="AM835" s="29"/>
    </row>
    <row x14ac:dyDescent="0.25" r="836" customHeight="1" ht="15.75">
      <c r="A836" s="1"/>
      <c r="B836" s="34"/>
      <c r="C836" s="34"/>
      <c r="D836" s="34"/>
      <c r="E836" s="34"/>
      <c r="F836" s="34"/>
      <c r="G836" s="60"/>
      <c r="H836" s="60"/>
      <c r="I836" s="29"/>
      <c r="J836" s="29"/>
      <c r="K836" s="29"/>
      <c r="L836" s="29"/>
      <c r="M836" s="29"/>
      <c r="N836" s="29"/>
      <c r="O836" s="29"/>
      <c r="P836" s="29"/>
      <c r="Q836" s="34"/>
      <c r="R836" s="34"/>
      <c r="S836" s="29"/>
      <c r="T836" s="29"/>
      <c r="U836" s="29"/>
      <c r="V836" s="29"/>
      <c r="W836" s="29"/>
      <c r="X836" s="29"/>
      <c r="Y836" s="2"/>
      <c r="Z836" s="34"/>
      <c r="AA836" s="2"/>
      <c r="AB836" s="29"/>
      <c r="AC836" s="29"/>
      <c r="AD836" s="29"/>
      <c r="AE836" s="29"/>
      <c r="AF836" s="29"/>
      <c r="AG836" s="29"/>
      <c r="AH836" s="29"/>
      <c r="AI836" s="29"/>
      <c r="AJ836" s="34"/>
      <c r="AK836" s="34"/>
      <c r="AL836" s="29"/>
      <c r="AM836" s="29"/>
    </row>
    <row x14ac:dyDescent="0.25" r="837" customHeight="1" ht="15.75">
      <c r="A837" s="1"/>
      <c r="B837" s="34"/>
      <c r="C837" s="34"/>
      <c r="D837" s="34"/>
      <c r="E837" s="34"/>
      <c r="F837" s="34"/>
      <c r="G837" s="60"/>
      <c r="H837" s="60"/>
      <c r="I837" s="29"/>
      <c r="J837" s="29"/>
      <c r="K837" s="29"/>
      <c r="L837" s="29"/>
      <c r="M837" s="29"/>
      <c r="N837" s="29"/>
      <c r="O837" s="29"/>
      <c r="P837" s="29"/>
      <c r="Q837" s="34"/>
      <c r="R837" s="34"/>
      <c r="S837" s="29"/>
      <c r="T837" s="29"/>
      <c r="U837" s="29"/>
      <c r="V837" s="29"/>
      <c r="W837" s="29"/>
      <c r="X837" s="29"/>
      <c r="Y837" s="2"/>
      <c r="Z837" s="34"/>
      <c r="AA837" s="2"/>
      <c r="AB837" s="29"/>
      <c r="AC837" s="29"/>
      <c r="AD837" s="29"/>
      <c r="AE837" s="29"/>
      <c r="AF837" s="29"/>
      <c r="AG837" s="29"/>
      <c r="AH837" s="29"/>
      <c r="AI837" s="29"/>
      <c r="AJ837" s="34"/>
      <c r="AK837" s="34"/>
      <c r="AL837" s="29"/>
      <c r="AM837" s="29"/>
    </row>
    <row x14ac:dyDescent="0.25" r="838" customHeight="1" ht="15.75">
      <c r="A838" s="1"/>
      <c r="B838" s="34"/>
      <c r="C838" s="34"/>
      <c r="D838" s="34"/>
      <c r="E838" s="34"/>
      <c r="F838" s="34"/>
      <c r="G838" s="60"/>
      <c r="H838" s="60"/>
      <c r="I838" s="29"/>
      <c r="J838" s="29"/>
      <c r="K838" s="29"/>
      <c r="L838" s="29"/>
      <c r="M838" s="29"/>
      <c r="N838" s="29"/>
      <c r="O838" s="29"/>
      <c r="P838" s="29"/>
      <c r="Q838" s="34"/>
      <c r="R838" s="34"/>
      <c r="S838" s="29"/>
      <c r="T838" s="29"/>
      <c r="U838" s="29"/>
      <c r="V838" s="29"/>
      <c r="W838" s="29"/>
      <c r="X838" s="29"/>
      <c r="Y838" s="2"/>
      <c r="Z838" s="34"/>
      <c r="AA838" s="2"/>
      <c r="AB838" s="29"/>
      <c r="AC838" s="29"/>
      <c r="AD838" s="29"/>
      <c r="AE838" s="29"/>
      <c r="AF838" s="29"/>
      <c r="AG838" s="29"/>
      <c r="AH838" s="29"/>
      <c r="AI838" s="29"/>
      <c r="AJ838" s="34"/>
      <c r="AK838" s="34"/>
      <c r="AL838" s="29"/>
      <c r="AM838" s="29"/>
    </row>
    <row x14ac:dyDescent="0.25" r="839" customHeight="1" ht="15.75">
      <c r="A839" s="1"/>
      <c r="B839" s="34"/>
      <c r="C839" s="34"/>
      <c r="D839" s="34"/>
      <c r="E839" s="34"/>
      <c r="F839" s="34"/>
      <c r="G839" s="60"/>
      <c r="H839" s="60"/>
      <c r="I839" s="29"/>
      <c r="J839" s="29"/>
      <c r="K839" s="29"/>
      <c r="L839" s="29"/>
      <c r="M839" s="29"/>
      <c r="N839" s="29"/>
      <c r="O839" s="29"/>
      <c r="P839" s="29"/>
      <c r="Q839" s="34"/>
      <c r="R839" s="34"/>
      <c r="S839" s="29"/>
      <c r="T839" s="29"/>
      <c r="U839" s="29"/>
      <c r="V839" s="29"/>
      <c r="W839" s="29"/>
      <c r="X839" s="29"/>
      <c r="Y839" s="2"/>
      <c r="Z839" s="34"/>
      <c r="AA839" s="2"/>
      <c r="AB839" s="29"/>
      <c r="AC839" s="29"/>
      <c r="AD839" s="29"/>
      <c r="AE839" s="29"/>
      <c r="AF839" s="29"/>
      <c r="AG839" s="29"/>
      <c r="AH839" s="29"/>
      <c r="AI839" s="29"/>
      <c r="AJ839" s="34"/>
      <c r="AK839" s="34"/>
      <c r="AL839" s="29"/>
      <c r="AM839" s="29"/>
    </row>
    <row x14ac:dyDescent="0.25" r="840" customHeight="1" ht="15.75">
      <c r="A840" s="1"/>
      <c r="B840" s="34"/>
      <c r="C840" s="34"/>
      <c r="D840" s="34"/>
      <c r="E840" s="34"/>
      <c r="F840" s="34"/>
      <c r="G840" s="60"/>
      <c r="H840" s="60"/>
      <c r="I840" s="29"/>
      <c r="J840" s="29"/>
      <c r="K840" s="29"/>
      <c r="L840" s="29"/>
      <c r="M840" s="29"/>
      <c r="N840" s="29"/>
      <c r="O840" s="29"/>
      <c r="P840" s="29"/>
      <c r="Q840" s="34"/>
      <c r="R840" s="34"/>
      <c r="S840" s="29"/>
      <c r="T840" s="29"/>
      <c r="U840" s="29"/>
      <c r="V840" s="29"/>
      <c r="W840" s="29"/>
      <c r="X840" s="29"/>
      <c r="Y840" s="2"/>
      <c r="Z840" s="34"/>
      <c r="AA840" s="2"/>
      <c r="AB840" s="29"/>
      <c r="AC840" s="29"/>
      <c r="AD840" s="29"/>
      <c r="AE840" s="29"/>
      <c r="AF840" s="29"/>
      <c r="AG840" s="29"/>
      <c r="AH840" s="29"/>
      <c r="AI840" s="29"/>
      <c r="AJ840" s="34"/>
      <c r="AK840" s="34"/>
      <c r="AL840" s="29"/>
      <c r="AM840" s="29"/>
    </row>
    <row x14ac:dyDescent="0.25" r="841" customHeight="1" ht="15.75">
      <c r="A841" s="1"/>
      <c r="B841" s="34"/>
      <c r="C841" s="34"/>
      <c r="D841" s="34"/>
      <c r="E841" s="34"/>
      <c r="F841" s="34"/>
      <c r="G841" s="60"/>
      <c r="H841" s="60"/>
      <c r="I841" s="29"/>
      <c r="J841" s="29"/>
      <c r="K841" s="29"/>
      <c r="L841" s="29"/>
      <c r="M841" s="29"/>
      <c r="N841" s="29"/>
      <c r="O841" s="29"/>
      <c r="P841" s="29"/>
      <c r="Q841" s="34"/>
      <c r="R841" s="34"/>
      <c r="S841" s="29"/>
      <c r="T841" s="29"/>
      <c r="U841" s="29"/>
      <c r="V841" s="29"/>
      <c r="W841" s="29"/>
      <c r="X841" s="29"/>
      <c r="Y841" s="2"/>
      <c r="Z841" s="34"/>
      <c r="AA841" s="2"/>
      <c r="AB841" s="29"/>
      <c r="AC841" s="29"/>
      <c r="AD841" s="29"/>
      <c r="AE841" s="29"/>
      <c r="AF841" s="29"/>
      <c r="AG841" s="29"/>
      <c r="AH841" s="29"/>
      <c r="AI841" s="29"/>
      <c r="AJ841" s="34"/>
      <c r="AK841" s="34"/>
      <c r="AL841" s="29"/>
      <c r="AM841" s="29"/>
    </row>
    <row x14ac:dyDescent="0.25" r="842" customHeight="1" ht="15.75">
      <c r="A842" s="1"/>
      <c r="B842" s="34"/>
      <c r="C842" s="34"/>
      <c r="D842" s="34"/>
      <c r="E842" s="34"/>
      <c r="F842" s="34"/>
      <c r="G842" s="60"/>
      <c r="H842" s="60"/>
      <c r="I842" s="29"/>
      <c r="J842" s="29"/>
      <c r="K842" s="29"/>
      <c r="L842" s="29"/>
      <c r="M842" s="29"/>
      <c r="N842" s="29"/>
      <c r="O842" s="29"/>
      <c r="P842" s="29"/>
      <c r="Q842" s="34"/>
      <c r="R842" s="34"/>
      <c r="S842" s="29"/>
      <c r="T842" s="29"/>
      <c r="U842" s="29"/>
      <c r="V842" s="29"/>
      <c r="W842" s="29"/>
      <c r="X842" s="29"/>
      <c r="Y842" s="2"/>
      <c r="Z842" s="34"/>
      <c r="AA842" s="2"/>
      <c r="AB842" s="29"/>
      <c r="AC842" s="29"/>
      <c r="AD842" s="29"/>
      <c r="AE842" s="29"/>
      <c r="AF842" s="29"/>
      <c r="AG842" s="29"/>
      <c r="AH842" s="29"/>
      <c r="AI842" s="29"/>
      <c r="AJ842" s="34"/>
      <c r="AK842" s="34"/>
      <c r="AL842" s="29"/>
      <c r="AM842" s="29"/>
    </row>
    <row x14ac:dyDescent="0.25" r="843" customHeight="1" ht="15.75">
      <c r="A843" s="1"/>
      <c r="B843" s="34"/>
      <c r="C843" s="34"/>
      <c r="D843" s="34"/>
      <c r="E843" s="34"/>
      <c r="F843" s="34"/>
      <c r="G843" s="60"/>
      <c r="H843" s="60"/>
      <c r="I843" s="29"/>
      <c r="J843" s="29"/>
      <c r="K843" s="29"/>
      <c r="L843" s="29"/>
      <c r="M843" s="29"/>
      <c r="N843" s="29"/>
      <c r="O843" s="29"/>
      <c r="P843" s="29"/>
      <c r="Q843" s="34"/>
      <c r="R843" s="34"/>
      <c r="S843" s="29"/>
      <c r="T843" s="29"/>
      <c r="U843" s="29"/>
      <c r="V843" s="29"/>
      <c r="W843" s="29"/>
      <c r="X843" s="29"/>
      <c r="Y843" s="2"/>
      <c r="Z843" s="34"/>
      <c r="AA843" s="2"/>
      <c r="AB843" s="29"/>
      <c r="AC843" s="29"/>
      <c r="AD843" s="29"/>
      <c r="AE843" s="29"/>
      <c r="AF843" s="29"/>
      <c r="AG843" s="29"/>
      <c r="AH843" s="29"/>
      <c r="AI843" s="29"/>
      <c r="AJ843" s="34"/>
      <c r="AK843" s="34"/>
      <c r="AL843" s="29"/>
      <c r="AM843" s="29"/>
    </row>
    <row x14ac:dyDescent="0.25" r="844" customHeight="1" ht="15.75">
      <c r="A844" s="1"/>
      <c r="B844" s="34"/>
      <c r="C844" s="34"/>
      <c r="D844" s="34"/>
      <c r="E844" s="34"/>
      <c r="F844" s="34"/>
      <c r="G844" s="60"/>
      <c r="H844" s="60"/>
      <c r="I844" s="29"/>
      <c r="J844" s="29"/>
      <c r="K844" s="29"/>
      <c r="L844" s="29"/>
      <c r="M844" s="29"/>
      <c r="N844" s="29"/>
      <c r="O844" s="29"/>
      <c r="P844" s="29"/>
      <c r="Q844" s="34"/>
      <c r="R844" s="34"/>
      <c r="S844" s="29"/>
      <c r="T844" s="29"/>
      <c r="U844" s="29"/>
      <c r="V844" s="29"/>
      <c r="W844" s="29"/>
      <c r="X844" s="29"/>
      <c r="Y844" s="2"/>
      <c r="Z844" s="34"/>
      <c r="AA844" s="2"/>
      <c r="AB844" s="29"/>
      <c r="AC844" s="29"/>
      <c r="AD844" s="29"/>
      <c r="AE844" s="29"/>
      <c r="AF844" s="29"/>
      <c r="AG844" s="29"/>
      <c r="AH844" s="29"/>
      <c r="AI844" s="29"/>
      <c r="AJ844" s="34"/>
      <c r="AK844" s="34"/>
      <c r="AL844" s="29"/>
      <c r="AM844" s="29"/>
    </row>
    <row x14ac:dyDescent="0.25" r="845" customHeight="1" ht="15.75">
      <c r="A845" s="1"/>
      <c r="B845" s="34"/>
      <c r="C845" s="34"/>
      <c r="D845" s="34"/>
      <c r="E845" s="34"/>
      <c r="F845" s="34"/>
      <c r="G845" s="60"/>
      <c r="H845" s="60"/>
      <c r="I845" s="29"/>
      <c r="J845" s="29"/>
      <c r="K845" s="29"/>
      <c r="L845" s="29"/>
      <c r="M845" s="29"/>
      <c r="N845" s="29"/>
      <c r="O845" s="29"/>
      <c r="P845" s="29"/>
      <c r="Q845" s="34"/>
      <c r="R845" s="34"/>
      <c r="S845" s="29"/>
      <c r="T845" s="29"/>
      <c r="U845" s="29"/>
      <c r="V845" s="29"/>
      <c r="W845" s="29"/>
      <c r="X845" s="29"/>
      <c r="Y845" s="2"/>
      <c r="Z845" s="34"/>
      <c r="AA845" s="2"/>
      <c r="AB845" s="29"/>
      <c r="AC845" s="29"/>
      <c r="AD845" s="29"/>
      <c r="AE845" s="29"/>
      <c r="AF845" s="29"/>
      <c r="AG845" s="29"/>
      <c r="AH845" s="29"/>
      <c r="AI845" s="29"/>
      <c r="AJ845" s="34"/>
      <c r="AK845" s="34"/>
      <c r="AL845" s="29"/>
      <c r="AM845" s="29"/>
    </row>
    <row x14ac:dyDescent="0.25" r="846" customHeight="1" ht="15.75">
      <c r="A846" s="1"/>
      <c r="B846" s="34"/>
      <c r="C846" s="34"/>
      <c r="D846" s="34"/>
      <c r="E846" s="34"/>
      <c r="F846" s="34"/>
      <c r="G846" s="60"/>
      <c r="H846" s="60"/>
      <c r="I846" s="29"/>
      <c r="J846" s="29"/>
      <c r="K846" s="29"/>
      <c r="L846" s="29"/>
      <c r="M846" s="29"/>
      <c r="N846" s="29"/>
      <c r="O846" s="29"/>
      <c r="P846" s="29"/>
      <c r="Q846" s="34"/>
      <c r="R846" s="34"/>
      <c r="S846" s="29"/>
      <c r="T846" s="29"/>
      <c r="U846" s="29"/>
      <c r="V846" s="29"/>
      <c r="W846" s="29"/>
      <c r="X846" s="29"/>
      <c r="Y846" s="2"/>
      <c r="Z846" s="34"/>
      <c r="AA846" s="2"/>
      <c r="AB846" s="29"/>
      <c r="AC846" s="29"/>
      <c r="AD846" s="29"/>
      <c r="AE846" s="29"/>
      <c r="AF846" s="29"/>
      <c r="AG846" s="29"/>
      <c r="AH846" s="29"/>
      <c r="AI846" s="29"/>
      <c r="AJ846" s="34"/>
      <c r="AK846" s="34"/>
      <c r="AL846" s="29"/>
      <c r="AM846" s="29"/>
    </row>
    <row x14ac:dyDescent="0.25" r="847" customHeight="1" ht="15.75">
      <c r="A847" s="1"/>
      <c r="B847" s="34"/>
      <c r="C847" s="34"/>
      <c r="D847" s="34"/>
      <c r="E847" s="34"/>
      <c r="F847" s="34"/>
      <c r="G847" s="60"/>
      <c r="H847" s="60"/>
      <c r="I847" s="29"/>
      <c r="J847" s="29"/>
      <c r="K847" s="29"/>
      <c r="L847" s="29"/>
      <c r="M847" s="29"/>
      <c r="N847" s="29"/>
      <c r="O847" s="29"/>
      <c r="P847" s="29"/>
      <c r="Q847" s="34"/>
      <c r="R847" s="34"/>
      <c r="S847" s="29"/>
      <c r="T847" s="29"/>
      <c r="U847" s="29"/>
      <c r="V847" s="29"/>
      <c r="W847" s="29"/>
      <c r="X847" s="29"/>
      <c r="Y847" s="2"/>
      <c r="Z847" s="34"/>
      <c r="AA847" s="2"/>
      <c r="AB847" s="29"/>
      <c r="AC847" s="29"/>
      <c r="AD847" s="29"/>
      <c r="AE847" s="29"/>
      <c r="AF847" s="29"/>
      <c r="AG847" s="29"/>
      <c r="AH847" s="29"/>
      <c r="AI847" s="29"/>
      <c r="AJ847" s="34"/>
      <c r="AK847" s="34"/>
      <c r="AL847" s="29"/>
      <c r="AM847" s="29"/>
    </row>
    <row x14ac:dyDescent="0.25" r="848" customHeight="1" ht="15.75">
      <c r="A848" s="1"/>
      <c r="B848" s="34"/>
      <c r="C848" s="34"/>
      <c r="D848" s="34"/>
      <c r="E848" s="34"/>
      <c r="F848" s="34"/>
      <c r="G848" s="60"/>
      <c r="H848" s="60"/>
      <c r="I848" s="29"/>
      <c r="J848" s="29"/>
      <c r="K848" s="29"/>
      <c r="L848" s="29"/>
      <c r="M848" s="29"/>
      <c r="N848" s="29"/>
      <c r="O848" s="29"/>
      <c r="P848" s="29"/>
      <c r="Q848" s="34"/>
      <c r="R848" s="34"/>
      <c r="S848" s="29"/>
      <c r="T848" s="29"/>
      <c r="U848" s="29"/>
      <c r="V848" s="29"/>
      <c r="W848" s="29"/>
      <c r="X848" s="29"/>
      <c r="Y848" s="2"/>
      <c r="Z848" s="34"/>
      <c r="AA848" s="2"/>
      <c r="AB848" s="29"/>
      <c r="AC848" s="29"/>
      <c r="AD848" s="29"/>
      <c r="AE848" s="29"/>
      <c r="AF848" s="29"/>
      <c r="AG848" s="29"/>
      <c r="AH848" s="29"/>
      <c r="AI848" s="29"/>
      <c r="AJ848" s="34"/>
      <c r="AK848" s="34"/>
      <c r="AL848" s="29"/>
      <c r="AM848" s="29"/>
    </row>
    <row x14ac:dyDescent="0.25" r="849" customHeight="1" ht="15.75">
      <c r="A849" s="1"/>
      <c r="B849" s="34"/>
      <c r="C849" s="34"/>
      <c r="D849" s="34"/>
      <c r="E849" s="34"/>
      <c r="F849" s="34"/>
      <c r="G849" s="60"/>
      <c r="H849" s="60"/>
      <c r="I849" s="29"/>
      <c r="J849" s="29"/>
      <c r="K849" s="29"/>
      <c r="L849" s="29"/>
      <c r="M849" s="29"/>
      <c r="N849" s="29"/>
      <c r="O849" s="29"/>
      <c r="P849" s="29"/>
      <c r="Q849" s="34"/>
      <c r="R849" s="34"/>
      <c r="S849" s="29"/>
      <c r="T849" s="29"/>
      <c r="U849" s="29"/>
      <c r="V849" s="29"/>
      <c r="W849" s="29"/>
      <c r="X849" s="29"/>
      <c r="Y849" s="2"/>
      <c r="Z849" s="34"/>
      <c r="AA849" s="2"/>
      <c r="AB849" s="29"/>
      <c r="AC849" s="29"/>
      <c r="AD849" s="29"/>
      <c r="AE849" s="29"/>
      <c r="AF849" s="29"/>
      <c r="AG849" s="29"/>
      <c r="AH849" s="29"/>
      <c r="AI849" s="29"/>
      <c r="AJ849" s="34"/>
      <c r="AK849" s="34"/>
      <c r="AL849" s="29"/>
      <c r="AM849" s="29"/>
    </row>
    <row x14ac:dyDescent="0.25" r="850" customHeight="1" ht="15.75">
      <c r="A850" s="1"/>
      <c r="B850" s="34"/>
      <c r="C850" s="34"/>
      <c r="D850" s="34"/>
      <c r="E850" s="34"/>
      <c r="F850" s="34"/>
      <c r="G850" s="60"/>
      <c r="H850" s="60"/>
      <c r="I850" s="29"/>
      <c r="J850" s="29"/>
      <c r="K850" s="29"/>
      <c r="L850" s="29"/>
      <c r="M850" s="29"/>
      <c r="N850" s="29"/>
      <c r="O850" s="29"/>
      <c r="P850" s="29"/>
      <c r="Q850" s="34"/>
      <c r="R850" s="34"/>
      <c r="S850" s="29"/>
      <c r="T850" s="29"/>
      <c r="U850" s="29"/>
      <c r="V850" s="29"/>
      <c r="W850" s="29"/>
      <c r="X850" s="29"/>
      <c r="Y850" s="2"/>
      <c r="Z850" s="34"/>
      <c r="AA850" s="2"/>
      <c r="AB850" s="29"/>
      <c r="AC850" s="29"/>
      <c r="AD850" s="29"/>
      <c r="AE850" s="29"/>
      <c r="AF850" s="29"/>
      <c r="AG850" s="29"/>
      <c r="AH850" s="29"/>
      <c r="AI850" s="29"/>
      <c r="AJ850" s="34"/>
      <c r="AK850" s="34"/>
      <c r="AL850" s="29"/>
      <c r="AM850" s="29"/>
    </row>
    <row x14ac:dyDescent="0.25" r="851" customHeight="1" ht="15.75">
      <c r="A851" s="1"/>
      <c r="B851" s="34"/>
      <c r="C851" s="34"/>
      <c r="D851" s="34"/>
      <c r="E851" s="34"/>
      <c r="F851" s="34"/>
      <c r="G851" s="60"/>
      <c r="H851" s="60"/>
      <c r="I851" s="29"/>
      <c r="J851" s="29"/>
      <c r="K851" s="29"/>
      <c r="L851" s="29"/>
      <c r="M851" s="29"/>
      <c r="N851" s="29"/>
      <c r="O851" s="29"/>
      <c r="P851" s="29"/>
      <c r="Q851" s="34"/>
      <c r="R851" s="34"/>
      <c r="S851" s="29"/>
      <c r="T851" s="29"/>
      <c r="U851" s="29"/>
      <c r="V851" s="29"/>
      <c r="W851" s="29"/>
      <c r="X851" s="29"/>
      <c r="Y851" s="2"/>
      <c r="Z851" s="34"/>
      <c r="AA851" s="2"/>
      <c r="AB851" s="29"/>
      <c r="AC851" s="29"/>
      <c r="AD851" s="29"/>
      <c r="AE851" s="29"/>
      <c r="AF851" s="29"/>
      <c r="AG851" s="29"/>
      <c r="AH851" s="29"/>
      <c r="AI851" s="29"/>
      <c r="AJ851" s="34"/>
      <c r="AK851" s="34"/>
      <c r="AL851" s="29"/>
      <c r="AM851" s="29"/>
    </row>
    <row x14ac:dyDescent="0.25" r="852" customHeight="1" ht="15.75">
      <c r="A852" s="1"/>
      <c r="B852" s="34"/>
      <c r="C852" s="34"/>
      <c r="D852" s="34"/>
      <c r="E852" s="34"/>
      <c r="F852" s="34"/>
      <c r="G852" s="60"/>
      <c r="H852" s="60"/>
      <c r="I852" s="29"/>
      <c r="J852" s="29"/>
      <c r="K852" s="29"/>
      <c r="L852" s="29"/>
      <c r="M852" s="29"/>
      <c r="N852" s="29"/>
      <c r="O852" s="29"/>
      <c r="P852" s="29"/>
      <c r="Q852" s="34"/>
      <c r="R852" s="34"/>
      <c r="S852" s="29"/>
      <c r="T852" s="29"/>
      <c r="U852" s="29"/>
      <c r="V852" s="29"/>
      <c r="W852" s="29"/>
      <c r="X852" s="29"/>
      <c r="Y852" s="2"/>
      <c r="Z852" s="34"/>
      <c r="AA852" s="2"/>
      <c r="AB852" s="29"/>
      <c r="AC852" s="29"/>
      <c r="AD852" s="29"/>
      <c r="AE852" s="29"/>
      <c r="AF852" s="29"/>
      <c r="AG852" s="29"/>
      <c r="AH852" s="29"/>
      <c r="AI852" s="29"/>
      <c r="AJ852" s="34"/>
      <c r="AK852" s="34"/>
      <c r="AL852" s="29"/>
      <c r="AM852" s="29"/>
    </row>
    <row x14ac:dyDescent="0.25" r="853" customHeight="1" ht="15.75">
      <c r="A853" s="1"/>
      <c r="B853" s="34"/>
      <c r="C853" s="34"/>
      <c r="D853" s="34"/>
      <c r="E853" s="34"/>
      <c r="F853" s="34"/>
      <c r="G853" s="60"/>
      <c r="H853" s="60"/>
      <c r="I853" s="29"/>
      <c r="J853" s="29"/>
      <c r="K853" s="29"/>
      <c r="L853" s="29"/>
      <c r="M853" s="29"/>
      <c r="N853" s="29"/>
      <c r="O853" s="29"/>
      <c r="P853" s="29"/>
      <c r="Q853" s="34"/>
      <c r="R853" s="34"/>
      <c r="S853" s="29"/>
      <c r="T853" s="29"/>
      <c r="U853" s="29"/>
      <c r="V853" s="29"/>
      <c r="W853" s="29"/>
      <c r="X853" s="29"/>
      <c r="Y853" s="2"/>
      <c r="Z853" s="34"/>
      <c r="AA853" s="2"/>
      <c r="AB853" s="29"/>
      <c r="AC853" s="29"/>
      <c r="AD853" s="29"/>
      <c r="AE853" s="29"/>
      <c r="AF853" s="29"/>
      <c r="AG853" s="29"/>
      <c r="AH853" s="29"/>
      <c r="AI853" s="29"/>
      <c r="AJ853" s="34"/>
      <c r="AK853" s="34"/>
      <c r="AL853" s="29"/>
      <c r="AM853" s="29"/>
    </row>
    <row x14ac:dyDescent="0.25" r="854" customHeight="1" ht="15.75">
      <c r="A854" s="1"/>
      <c r="B854" s="34"/>
      <c r="C854" s="34"/>
      <c r="D854" s="34"/>
      <c r="E854" s="34"/>
      <c r="F854" s="34"/>
      <c r="G854" s="60"/>
      <c r="H854" s="60"/>
      <c r="I854" s="29"/>
      <c r="J854" s="29"/>
      <c r="K854" s="29"/>
      <c r="L854" s="29"/>
      <c r="M854" s="29"/>
      <c r="N854" s="29"/>
      <c r="O854" s="29"/>
      <c r="P854" s="29"/>
      <c r="Q854" s="34"/>
      <c r="R854" s="34"/>
      <c r="S854" s="29"/>
      <c r="T854" s="29"/>
      <c r="U854" s="29"/>
      <c r="V854" s="29"/>
      <c r="W854" s="29"/>
      <c r="X854" s="29"/>
      <c r="Y854" s="2"/>
      <c r="Z854" s="34"/>
      <c r="AA854" s="2"/>
      <c r="AB854" s="29"/>
      <c r="AC854" s="29"/>
      <c r="AD854" s="29"/>
      <c r="AE854" s="29"/>
      <c r="AF854" s="29"/>
      <c r="AG854" s="29"/>
      <c r="AH854" s="29"/>
      <c r="AI854" s="29"/>
      <c r="AJ854" s="34"/>
      <c r="AK854" s="34"/>
      <c r="AL854" s="29"/>
      <c r="AM854" s="29"/>
    </row>
    <row x14ac:dyDescent="0.25" r="855" customHeight="1" ht="15.75">
      <c r="A855" s="1"/>
      <c r="B855" s="34"/>
      <c r="C855" s="34"/>
      <c r="D855" s="34"/>
      <c r="E855" s="34"/>
      <c r="F855" s="34"/>
      <c r="G855" s="60"/>
      <c r="H855" s="60"/>
      <c r="I855" s="29"/>
      <c r="J855" s="29"/>
      <c r="K855" s="29"/>
      <c r="L855" s="29"/>
      <c r="M855" s="29"/>
      <c r="N855" s="29"/>
      <c r="O855" s="29"/>
      <c r="P855" s="29"/>
      <c r="Q855" s="34"/>
      <c r="R855" s="34"/>
      <c r="S855" s="29"/>
      <c r="T855" s="29"/>
      <c r="U855" s="29"/>
      <c r="V855" s="29"/>
      <c r="W855" s="29"/>
      <c r="X855" s="29"/>
      <c r="Y855" s="2"/>
      <c r="Z855" s="34"/>
      <c r="AA855" s="2"/>
      <c r="AB855" s="29"/>
      <c r="AC855" s="29"/>
      <c r="AD855" s="29"/>
      <c r="AE855" s="29"/>
      <c r="AF855" s="29"/>
      <c r="AG855" s="29"/>
      <c r="AH855" s="29"/>
      <c r="AI855" s="29"/>
      <c r="AJ855" s="34"/>
      <c r="AK855" s="34"/>
      <c r="AL855" s="29"/>
      <c r="AM855" s="29"/>
    </row>
    <row x14ac:dyDescent="0.25" r="856" customHeight="1" ht="15.75">
      <c r="A856" s="1"/>
      <c r="B856" s="34"/>
      <c r="C856" s="34"/>
      <c r="D856" s="34"/>
      <c r="E856" s="34"/>
      <c r="F856" s="34"/>
      <c r="G856" s="60"/>
      <c r="H856" s="60"/>
      <c r="I856" s="29"/>
      <c r="J856" s="29"/>
      <c r="K856" s="29"/>
      <c r="L856" s="29"/>
      <c r="M856" s="29"/>
      <c r="N856" s="29"/>
      <c r="O856" s="29"/>
      <c r="P856" s="29"/>
      <c r="Q856" s="34"/>
      <c r="R856" s="34"/>
      <c r="S856" s="29"/>
      <c r="T856" s="29"/>
      <c r="U856" s="29"/>
      <c r="V856" s="29"/>
      <c r="W856" s="29"/>
      <c r="X856" s="29"/>
      <c r="Y856" s="2"/>
      <c r="Z856" s="34"/>
      <c r="AA856" s="2"/>
      <c r="AB856" s="29"/>
      <c r="AC856" s="29"/>
      <c r="AD856" s="29"/>
      <c r="AE856" s="29"/>
      <c r="AF856" s="29"/>
      <c r="AG856" s="29"/>
      <c r="AH856" s="29"/>
      <c r="AI856" s="29"/>
      <c r="AJ856" s="34"/>
      <c r="AK856" s="34"/>
      <c r="AL856" s="29"/>
      <c r="AM856" s="29"/>
    </row>
    <row x14ac:dyDescent="0.25" r="857" customHeight="1" ht="15.75">
      <c r="A857" s="1"/>
      <c r="B857" s="34"/>
      <c r="C857" s="34"/>
      <c r="D857" s="34"/>
      <c r="E857" s="34"/>
      <c r="F857" s="34"/>
      <c r="G857" s="60"/>
      <c r="H857" s="60"/>
      <c r="I857" s="29"/>
      <c r="J857" s="29"/>
      <c r="K857" s="29"/>
      <c r="L857" s="29"/>
      <c r="M857" s="29"/>
      <c r="N857" s="29"/>
      <c r="O857" s="29"/>
      <c r="P857" s="29"/>
      <c r="Q857" s="34"/>
      <c r="R857" s="34"/>
      <c r="S857" s="29"/>
      <c r="T857" s="29"/>
      <c r="U857" s="29"/>
      <c r="V857" s="29"/>
      <c r="W857" s="29"/>
      <c r="X857" s="29"/>
      <c r="Y857" s="2"/>
      <c r="Z857" s="34"/>
      <c r="AA857" s="2"/>
      <c r="AB857" s="29"/>
      <c r="AC857" s="29"/>
      <c r="AD857" s="29"/>
      <c r="AE857" s="29"/>
      <c r="AF857" s="29"/>
      <c r="AG857" s="29"/>
      <c r="AH857" s="29"/>
      <c r="AI857" s="29"/>
      <c r="AJ857" s="34"/>
      <c r="AK857" s="34"/>
      <c r="AL857" s="29"/>
      <c r="AM857" s="29"/>
    </row>
    <row x14ac:dyDescent="0.25" r="858" customHeight="1" ht="15.75">
      <c r="A858" s="1"/>
      <c r="B858" s="34"/>
      <c r="C858" s="34"/>
      <c r="D858" s="34"/>
      <c r="E858" s="34"/>
      <c r="F858" s="34"/>
      <c r="G858" s="60"/>
      <c r="H858" s="60"/>
      <c r="I858" s="29"/>
      <c r="J858" s="29"/>
      <c r="K858" s="29"/>
      <c r="L858" s="29"/>
      <c r="M858" s="29"/>
      <c r="N858" s="29"/>
      <c r="O858" s="29"/>
      <c r="P858" s="29"/>
      <c r="Q858" s="34"/>
      <c r="R858" s="34"/>
      <c r="S858" s="29"/>
      <c r="T858" s="29"/>
      <c r="U858" s="29"/>
      <c r="V858" s="29"/>
      <c r="W858" s="29"/>
      <c r="X858" s="29"/>
      <c r="Y858" s="2"/>
      <c r="Z858" s="34"/>
      <c r="AA858" s="2"/>
      <c r="AB858" s="29"/>
      <c r="AC858" s="29"/>
      <c r="AD858" s="29"/>
      <c r="AE858" s="29"/>
      <c r="AF858" s="29"/>
      <c r="AG858" s="29"/>
      <c r="AH858" s="29"/>
      <c r="AI858" s="29"/>
      <c r="AJ858" s="34"/>
      <c r="AK858" s="34"/>
      <c r="AL858" s="29"/>
      <c r="AM858" s="29"/>
    </row>
    <row x14ac:dyDescent="0.25" r="859" customHeight="1" ht="15.75">
      <c r="A859" s="1"/>
      <c r="B859" s="34"/>
      <c r="C859" s="34"/>
      <c r="D859" s="34"/>
      <c r="E859" s="34"/>
      <c r="F859" s="34"/>
      <c r="G859" s="60"/>
      <c r="H859" s="60"/>
      <c r="I859" s="29"/>
      <c r="J859" s="29"/>
      <c r="K859" s="29"/>
      <c r="L859" s="29"/>
      <c r="M859" s="29"/>
      <c r="N859" s="29"/>
      <c r="O859" s="29"/>
      <c r="P859" s="29"/>
      <c r="Q859" s="34"/>
      <c r="R859" s="34"/>
      <c r="S859" s="29"/>
      <c r="T859" s="29"/>
      <c r="U859" s="29"/>
      <c r="V859" s="29"/>
      <c r="W859" s="29"/>
      <c r="X859" s="29"/>
      <c r="Y859" s="2"/>
      <c r="Z859" s="34"/>
      <c r="AA859" s="2"/>
      <c r="AB859" s="29"/>
      <c r="AC859" s="29"/>
      <c r="AD859" s="29"/>
      <c r="AE859" s="29"/>
      <c r="AF859" s="29"/>
      <c r="AG859" s="29"/>
      <c r="AH859" s="29"/>
      <c r="AI859" s="29"/>
      <c r="AJ859" s="34"/>
      <c r="AK859" s="34"/>
      <c r="AL859" s="29"/>
      <c r="AM859" s="29"/>
    </row>
    <row x14ac:dyDescent="0.25" r="860" customHeight="1" ht="15.75">
      <c r="A860" s="1"/>
      <c r="B860" s="34"/>
      <c r="C860" s="34"/>
      <c r="D860" s="34"/>
      <c r="E860" s="34"/>
      <c r="F860" s="34"/>
      <c r="G860" s="60"/>
      <c r="H860" s="60"/>
      <c r="I860" s="29"/>
      <c r="J860" s="29"/>
      <c r="K860" s="29"/>
      <c r="L860" s="29"/>
      <c r="M860" s="29"/>
      <c r="N860" s="29"/>
      <c r="O860" s="29"/>
      <c r="P860" s="29"/>
      <c r="Q860" s="34"/>
      <c r="R860" s="34"/>
      <c r="S860" s="29"/>
      <c r="T860" s="29"/>
      <c r="U860" s="29"/>
      <c r="V860" s="29"/>
      <c r="W860" s="29"/>
      <c r="X860" s="29"/>
      <c r="Y860" s="2"/>
      <c r="Z860" s="34"/>
      <c r="AA860" s="2"/>
      <c r="AB860" s="29"/>
      <c r="AC860" s="29"/>
      <c r="AD860" s="29"/>
      <c r="AE860" s="29"/>
      <c r="AF860" s="29"/>
      <c r="AG860" s="29"/>
      <c r="AH860" s="29"/>
      <c r="AI860" s="29"/>
      <c r="AJ860" s="34"/>
      <c r="AK860" s="34"/>
      <c r="AL860" s="29"/>
      <c r="AM860" s="29"/>
    </row>
    <row x14ac:dyDescent="0.25" r="861" customHeight="1" ht="15.75">
      <c r="A861" s="1"/>
      <c r="B861" s="34"/>
      <c r="C861" s="34"/>
      <c r="D861" s="34"/>
      <c r="E861" s="34"/>
      <c r="F861" s="34"/>
      <c r="G861" s="60"/>
      <c r="H861" s="60"/>
      <c r="I861" s="29"/>
      <c r="J861" s="29"/>
      <c r="K861" s="29"/>
      <c r="L861" s="29"/>
      <c r="M861" s="29"/>
      <c r="N861" s="29"/>
      <c r="O861" s="29"/>
      <c r="P861" s="29"/>
      <c r="Q861" s="34"/>
      <c r="R861" s="34"/>
      <c r="S861" s="29"/>
      <c r="T861" s="29"/>
      <c r="U861" s="29"/>
      <c r="V861" s="29"/>
      <c r="W861" s="29"/>
      <c r="X861" s="29"/>
      <c r="Y861" s="2"/>
      <c r="Z861" s="34"/>
      <c r="AA861" s="2"/>
      <c r="AB861" s="29"/>
      <c r="AC861" s="29"/>
      <c r="AD861" s="29"/>
      <c r="AE861" s="29"/>
      <c r="AF861" s="29"/>
      <c r="AG861" s="29"/>
      <c r="AH861" s="29"/>
      <c r="AI861" s="29"/>
      <c r="AJ861" s="34"/>
      <c r="AK861" s="34"/>
      <c r="AL861" s="29"/>
      <c r="AM861" s="29"/>
    </row>
    <row x14ac:dyDescent="0.25" r="862" customHeight="1" ht="15.75">
      <c r="A862" s="1"/>
      <c r="B862" s="34"/>
      <c r="C862" s="34"/>
      <c r="D862" s="34"/>
      <c r="E862" s="34"/>
      <c r="F862" s="34"/>
      <c r="G862" s="60"/>
      <c r="H862" s="60"/>
      <c r="I862" s="29"/>
      <c r="J862" s="29"/>
      <c r="K862" s="29"/>
      <c r="L862" s="29"/>
      <c r="M862" s="29"/>
      <c r="N862" s="29"/>
      <c r="O862" s="29"/>
      <c r="P862" s="29"/>
      <c r="Q862" s="34"/>
      <c r="R862" s="34"/>
      <c r="S862" s="29"/>
      <c r="T862" s="29"/>
      <c r="U862" s="29"/>
      <c r="V862" s="29"/>
      <c r="W862" s="29"/>
      <c r="X862" s="29"/>
      <c r="Y862" s="2"/>
      <c r="Z862" s="34"/>
      <c r="AA862" s="2"/>
      <c r="AB862" s="29"/>
      <c r="AC862" s="29"/>
      <c r="AD862" s="29"/>
      <c r="AE862" s="29"/>
      <c r="AF862" s="29"/>
      <c r="AG862" s="29"/>
      <c r="AH862" s="29"/>
      <c r="AI862" s="29"/>
      <c r="AJ862" s="34"/>
      <c r="AK862" s="34"/>
      <c r="AL862" s="29"/>
      <c r="AM862" s="29"/>
    </row>
    <row x14ac:dyDescent="0.25" r="863" customHeight="1" ht="15.75">
      <c r="A863" s="1"/>
      <c r="B863" s="34"/>
      <c r="C863" s="34"/>
      <c r="D863" s="34"/>
      <c r="E863" s="34"/>
      <c r="F863" s="34"/>
      <c r="G863" s="60"/>
      <c r="H863" s="60"/>
      <c r="I863" s="29"/>
      <c r="J863" s="29"/>
      <c r="K863" s="29"/>
      <c r="L863" s="29"/>
      <c r="M863" s="29"/>
      <c r="N863" s="29"/>
      <c r="O863" s="29"/>
      <c r="P863" s="29"/>
      <c r="Q863" s="34"/>
      <c r="R863" s="34"/>
      <c r="S863" s="29"/>
      <c r="T863" s="29"/>
      <c r="U863" s="29"/>
      <c r="V863" s="29"/>
      <c r="W863" s="29"/>
      <c r="X863" s="29"/>
      <c r="Y863" s="2"/>
      <c r="Z863" s="34"/>
      <c r="AA863" s="2"/>
      <c r="AB863" s="29"/>
      <c r="AC863" s="29"/>
      <c r="AD863" s="29"/>
      <c r="AE863" s="29"/>
      <c r="AF863" s="29"/>
      <c r="AG863" s="29"/>
      <c r="AH863" s="29"/>
      <c r="AI863" s="29"/>
      <c r="AJ863" s="34"/>
      <c r="AK863" s="34"/>
      <c r="AL863" s="29"/>
      <c r="AM863" s="29"/>
    </row>
    <row x14ac:dyDescent="0.25" r="864" customHeight="1" ht="15.75">
      <c r="A864" s="1"/>
      <c r="B864" s="34"/>
      <c r="C864" s="34"/>
      <c r="D864" s="34"/>
      <c r="E864" s="34"/>
      <c r="F864" s="34"/>
      <c r="G864" s="60"/>
      <c r="H864" s="60"/>
      <c r="I864" s="29"/>
      <c r="J864" s="29"/>
      <c r="K864" s="29"/>
      <c r="L864" s="29"/>
      <c r="M864" s="29"/>
      <c r="N864" s="29"/>
      <c r="O864" s="29"/>
      <c r="P864" s="29"/>
      <c r="Q864" s="34"/>
      <c r="R864" s="34"/>
      <c r="S864" s="29"/>
      <c r="T864" s="29"/>
      <c r="U864" s="29"/>
      <c r="V864" s="29"/>
      <c r="W864" s="29"/>
      <c r="X864" s="29"/>
      <c r="Y864" s="2"/>
      <c r="Z864" s="34"/>
      <c r="AA864" s="2"/>
      <c r="AB864" s="29"/>
      <c r="AC864" s="29"/>
      <c r="AD864" s="29"/>
      <c r="AE864" s="29"/>
      <c r="AF864" s="29"/>
      <c r="AG864" s="29"/>
      <c r="AH864" s="29"/>
      <c r="AI864" s="29"/>
      <c r="AJ864" s="34"/>
      <c r="AK864" s="34"/>
      <c r="AL864" s="29"/>
      <c r="AM864" s="29"/>
    </row>
    <row x14ac:dyDescent="0.25" r="865" customHeight="1" ht="15.75">
      <c r="A865" s="1"/>
      <c r="B865" s="34"/>
      <c r="C865" s="34"/>
      <c r="D865" s="34"/>
      <c r="E865" s="34"/>
      <c r="F865" s="34"/>
      <c r="G865" s="60"/>
      <c r="H865" s="60"/>
      <c r="I865" s="29"/>
      <c r="J865" s="29"/>
      <c r="K865" s="29"/>
      <c r="L865" s="29"/>
      <c r="M865" s="29"/>
      <c r="N865" s="29"/>
      <c r="O865" s="29"/>
      <c r="P865" s="29"/>
      <c r="Q865" s="34"/>
      <c r="R865" s="34"/>
      <c r="S865" s="29"/>
      <c r="T865" s="29"/>
      <c r="U865" s="29"/>
      <c r="V865" s="29"/>
      <c r="W865" s="29"/>
      <c r="X865" s="29"/>
      <c r="Y865" s="2"/>
      <c r="Z865" s="34"/>
      <c r="AA865" s="2"/>
      <c r="AB865" s="29"/>
      <c r="AC865" s="29"/>
      <c r="AD865" s="29"/>
      <c r="AE865" s="29"/>
      <c r="AF865" s="29"/>
      <c r="AG865" s="29"/>
      <c r="AH865" s="29"/>
      <c r="AI865" s="29"/>
      <c r="AJ865" s="34"/>
      <c r="AK865" s="34"/>
      <c r="AL865" s="29"/>
      <c r="AM865" s="29"/>
    </row>
    <row x14ac:dyDescent="0.25" r="866" customHeight="1" ht="15.75">
      <c r="A866" s="1"/>
      <c r="B866" s="34"/>
      <c r="C866" s="34"/>
      <c r="D866" s="34"/>
      <c r="E866" s="34"/>
      <c r="F866" s="34"/>
      <c r="G866" s="60"/>
      <c r="H866" s="60"/>
      <c r="I866" s="29"/>
      <c r="J866" s="29"/>
      <c r="K866" s="29"/>
      <c r="L866" s="29"/>
      <c r="M866" s="29"/>
      <c r="N866" s="29"/>
      <c r="O866" s="29"/>
      <c r="P866" s="29"/>
      <c r="Q866" s="34"/>
      <c r="R866" s="34"/>
      <c r="S866" s="29"/>
      <c r="T866" s="29"/>
      <c r="U866" s="29"/>
      <c r="V866" s="29"/>
      <c r="W866" s="29"/>
      <c r="X866" s="29"/>
      <c r="Y866" s="2"/>
      <c r="Z866" s="34"/>
      <c r="AA866" s="2"/>
      <c r="AB866" s="29"/>
      <c r="AC866" s="29"/>
      <c r="AD866" s="29"/>
      <c r="AE866" s="29"/>
      <c r="AF866" s="29"/>
      <c r="AG866" s="29"/>
      <c r="AH866" s="29"/>
      <c r="AI866" s="29"/>
      <c r="AJ866" s="34"/>
      <c r="AK866" s="34"/>
      <c r="AL866" s="29"/>
      <c r="AM866" s="29"/>
    </row>
    <row x14ac:dyDescent="0.25" r="867" customHeight="1" ht="15.75">
      <c r="A867" s="1"/>
      <c r="B867" s="34"/>
      <c r="C867" s="34"/>
      <c r="D867" s="34"/>
      <c r="E867" s="34"/>
      <c r="F867" s="34"/>
      <c r="G867" s="60"/>
      <c r="H867" s="60"/>
      <c r="I867" s="29"/>
      <c r="J867" s="29"/>
      <c r="K867" s="29"/>
      <c r="L867" s="29"/>
      <c r="M867" s="29"/>
      <c r="N867" s="29"/>
      <c r="O867" s="29"/>
      <c r="P867" s="29"/>
      <c r="Q867" s="34"/>
      <c r="R867" s="34"/>
      <c r="S867" s="29"/>
      <c r="T867" s="29"/>
      <c r="U867" s="29"/>
      <c r="V867" s="29"/>
      <c r="W867" s="29"/>
      <c r="X867" s="29"/>
      <c r="Y867" s="2"/>
      <c r="Z867" s="34"/>
      <c r="AA867" s="2"/>
      <c r="AB867" s="29"/>
      <c r="AC867" s="29"/>
      <c r="AD867" s="29"/>
      <c r="AE867" s="29"/>
      <c r="AF867" s="29"/>
      <c r="AG867" s="29"/>
      <c r="AH867" s="29"/>
      <c r="AI867" s="29"/>
      <c r="AJ867" s="34"/>
      <c r="AK867" s="34"/>
      <c r="AL867" s="29"/>
      <c r="AM867" s="29"/>
    </row>
    <row x14ac:dyDescent="0.25" r="868" customHeight="1" ht="15.75">
      <c r="A868" s="1"/>
      <c r="B868" s="34"/>
      <c r="C868" s="34"/>
      <c r="D868" s="34"/>
      <c r="E868" s="34"/>
      <c r="F868" s="34"/>
      <c r="G868" s="60"/>
      <c r="H868" s="60"/>
      <c r="I868" s="29"/>
      <c r="J868" s="29"/>
      <c r="K868" s="29"/>
      <c r="L868" s="29"/>
      <c r="M868" s="29"/>
      <c r="N868" s="29"/>
      <c r="O868" s="29"/>
      <c r="P868" s="29"/>
      <c r="Q868" s="34"/>
      <c r="R868" s="34"/>
      <c r="S868" s="29"/>
      <c r="T868" s="29"/>
      <c r="U868" s="29"/>
      <c r="V868" s="29"/>
      <c r="W868" s="29"/>
      <c r="X868" s="29"/>
      <c r="Y868" s="2"/>
      <c r="Z868" s="34"/>
      <c r="AA868" s="2"/>
      <c r="AB868" s="29"/>
      <c r="AC868" s="29"/>
      <c r="AD868" s="29"/>
      <c r="AE868" s="29"/>
      <c r="AF868" s="29"/>
      <c r="AG868" s="29"/>
      <c r="AH868" s="29"/>
      <c r="AI868" s="29"/>
      <c r="AJ868" s="34"/>
      <c r="AK868" s="34"/>
      <c r="AL868" s="29"/>
      <c r="AM868" s="29"/>
    </row>
    <row x14ac:dyDescent="0.25" r="869" customHeight="1" ht="15.75">
      <c r="A869" s="1"/>
      <c r="B869" s="34"/>
      <c r="C869" s="34"/>
      <c r="D869" s="34"/>
      <c r="E869" s="34"/>
      <c r="F869" s="34"/>
      <c r="G869" s="60"/>
      <c r="H869" s="60"/>
      <c r="I869" s="29"/>
      <c r="J869" s="29"/>
      <c r="K869" s="29"/>
      <c r="L869" s="29"/>
      <c r="M869" s="29"/>
      <c r="N869" s="29"/>
      <c r="O869" s="29"/>
      <c r="P869" s="29"/>
      <c r="Q869" s="34"/>
      <c r="R869" s="34"/>
      <c r="S869" s="29"/>
      <c r="T869" s="29"/>
      <c r="U869" s="29"/>
      <c r="V869" s="29"/>
      <c r="W869" s="29"/>
      <c r="X869" s="29"/>
      <c r="Y869" s="2"/>
      <c r="Z869" s="34"/>
      <c r="AA869" s="2"/>
      <c r="AB869" s="29"/>
      <c r="AC869" s="29"/>
      <c r="AD869" s="29"/>
      <c r="AE869" s="29"/>
      <c r="AF869" s="29"/>
      <c r="AG869" s="29"/>
      <c r="AH869" s="29"/>
      <c r="AI869" s="29"/>
      <c r="AJ869" s="34"/>
      <c r="AK869" s="34"/>
      <c r="AL869" s="29"/>
      <c r="AM869" s="29"/>
    </row>
    <row x14ac:dyDescent="0.25" r="870" customHeight="1" ht="15.75">
      <c r="A870" s="1"/>
      <c r="B870" s="34"/>
      <c r="C870" s="34"/>
      <c r="D870" s="34"/>
      <c r="E870" s="34"/>
      <c r="F870" s="34"/>
      <c r="G870" s="60"/>
      <c r="H870" s="60"/>
      <c r="I870" s="29"/>
      <c r="J870" s="29"/>
      <c r="K870" s="29"/>
      <c r="L870" s="29"/>
      <c r="M870" s="29"/>
      <c r="N870" s="29"/>
      <c r="O870" s="29"/>
      <c r="P870" s="29"/>
      <c r="Q870" s="34"/>
      <c r="R870" s="34"/>
      <c r="S870" s="29"/>
      <c r="T870" s="29"/>
      <c r="U870" s="29"/>
      <c r="V870" s="29"/>
      <c r="W870" s="29"/>
      <c r="X870" s="29"/>
      <c r="Y870" s="2"/>
      <c r="Z870" s="34"/>
      <c r="AA870" s="2"/>
      <c r="AB870" s="29"/>
      <c r="AC870" s="29"/>
      <c r="AD870" s="29"/>
      <c r="AE870" s="29"/>
      <c r="AF870" s="29"/>
      <c r="AG870" s="29"/>
      <c r="AH870" s="29"/>
      <c r="AI870" s="29"/>
      <c r="AJ870" s="34"/>
      <c r="AK870" s="34"/>
      <c r="AL870" s="29"/>
      <c r="AM870" s="29"/>
    </row>
    <row x14ac:dyDescent="0.25" r="871" customHeight="1" ht="15.75">
      <c r="A871" s="1"/>
      <c r="B871" s="34"/>
      <c r="C871" s="34"/>
      <c r="D871" s="34"/>
      <c r="E871" s="34"/>
      <c r="F871" s="34"/>
      <c r="G871" s="60"/>
      <c r="H871" s="60"/>
      <c r="I871" s="29"/>
      <c r="J871" s="29"/>
      <c r="K871" s="29"/>
      <c r="L871" s="29"/>
      <c r="M871" s="29"/>
      <c r="N871" s="29"/>
      <c r="O871" s="29"/>
      <c r="P871" s="29"/>
      <c r="Q871" s="34"/>
      <c r="R871" s="34"/>
      <c r="S871" s="29"/>
      <c r="T871" s="29"/>
      <c r="U871" s="29"/>
      <c r="V871" s="29"/>
      <c r="W871" s="29"/>
      <c r="X871" s="29"/>
      <c r="Y871" s="2"/>
      <c r="Z871" s="34"/>
      <c r="AA871" s="2"/>
      <c r="AB871" s="29"/>
      <c r="AC871" s="29"/>
      <c r="AD871" s="29"/>
      <c r="AE871" s="29"/>
      <c r="AF871" s="29"/>
      <c r="AG871" s="29"/>
      <c r="AH871" s="29"/>
      <c r="AI871" s="29"/>
      <c r="AJ871" s="34"/>
      <c r="AK871" s="34"/>
      <c r="AL871" s="29"/>
      <c r="AM871" s="29"/>
    </row>
    <row x14ac:dyDescent="0.25" r="872" customHeight="1" ht="15.75">
      <c r="A872" s="1"/>
      <c r="B872" s="34"/>
      <c r="C872" s="34"/>
      <c r="D872" s="34"/>
      <c r="E872" s="34"/>
      <c r="F872" s="34"/>
      <c r="G872" s="60"/>
      <c r="H872" s="60"/>
      <c r="I872" s="29"/>
      <c r="J872" s="29"/>
      <c r="K872" s="29"/>
      <c r="L872" s="29"/>
      <c r="M872" s="29"/>
      <c r="N872" s="29"/>
      <c r="O872" s="29"/>
      <c r="P872" s="29"/>
      <c r="Q872" s="34"/>
      <c r="R872" s="34"/>
      <c r="S872" s="29"/>
      <c r="T872" s="29"/>
      <c r="U872" s="29"/>
      <c r="V872" s="29"/>
      <c r="W872" s="29"/>
      <c r="X872" s="29"/>
      <c r="Y872" s="2"/>
      <c r="Z872" s="34"/>
      <c r="AA872" s="2"/>
      <c r="AB872" s="29"/>
      <c r="AC872" s="29"/>
      <c r="AD872" s="29"/>
      <c r="AE872" s="29"/>
      <c r="AF872" s="29"/>
      <c r="AG872" s="29"/>
      <c r="AH872" s="29"/>
      <c r="AI872" s="29"/>
      <c r="AJ872" s="34"/>
      <c r="AK872" s="34"/>
      <c r="AL872" s="29"/>
      <c r="AM872" s="29"/>
    </row>
    <row x14ac:dyDescent="0.25" r="873" customHeight="1" ht="15.75">
      <c r="A873" s="1"/>
      <c r="B873" s="34"/>
      <c r="C873" s="34"/>
      <c r="D873" s="34"/>
      <c r="E873" s="34"/>
      <c r="F873" s="34"/>
      <c r="G873" s="60"/>
      <c r="H873" s="60"/>
      <c r="I873" s="29"/>
      <c r="J873" s="29"/>
      <c r="K873" s="29"/>
      <c r="L873" s="29"/>
      <c r="M873" s="29"/>
      <c r="N873" s="29"/>
      <c r="O873" s="29"/>
      <c r="P873" s="29"/>
      <c r="Q873" s="34"/>
      <c r="R873" s="34"/>
      <c r="S873" s="29"/>
      <c r="T873" s="29"/>
      <c r="U873" s="29"/>
      <c r="V873" s="29"/>
      <c r="W873" s="29"/>
      <c r="X873" s="29"/>
      <c r="Y873" s="2"/>
      <c r="Z873" s="34"/>
      <c r="AA873" s="2"/>
      <c r="AB873" s="29"/>
      <c r="AC873" s="29"/>
      <c r="AD873" s="29"/>
      <c r="AE873" s="29"/>
      <c r="AF873" s="29"/>
      <c r="AG873" s="29"/>
      <c r="AH873" s="29"/>
      <c r="AI873" s="29"/>
      <c r="AJ873" s="34"/>
      <c r="AK873" s="34"/>
      <c r="AL873" s="29"/>
      <c r="AM873" s="29"/>
    </row>
    <row x14ac:dyDescent="0.25" r="874" customHeight="1" ht="15.75">
      <c r="A874" s="1"/>
      <c r="B874" s="34"/>
      <c r="C874" s="34"/>
      <c r="D874" s="34"/>
      <c r="E874" s="34"/>
      <c r="F874" s="34"/>
      <c r="G874" s="60"/>
      <c r="H874" s="60"/>
      <c r="I874" s="29"/>
      <c r="J874" s="29"/>
      <c r="K874" s="29"/>
      <c r="L874" s="29"/>
      <c r="M874" s="29"/>
      <c r="N874" s="29"/>
      <c r="O874" s="29"/>
      <c r="P874" s="29"/>
      <c r="Q874" s="34"/>
      <c r="R874" s="34"/>
      <c r="S874" s="29"/>
      <c r="T874" s="29"/>
      <c r="U874" s="29"/>
      <c r="V874" s="29"/>
      <c r="W874" s="29"/>
      <c r="X874" s="29"/>
      <c r="Y874" s="2"/>
      <c r="Z874" s="34"/>
      <c r="AA874" s="2"/>
      <c r="AB874" s="29"/>
      <c r="AC874" s="29"/>
      <c r="AD874" s="29"/>
      <c r="AE874" s="29"/>
      <c r="AF874" s="29"/>
      <c r="AG874" s="29"/>
      <c r="AH874" s="29"/>
      <c r="AI874" s="29"/>
      <c r="AJ874" s="34"/>
      <c r="AK874" s="34"/>
      <c r="AL874" s="29"/>
      <c r="AM874" s="29"/>
    </row>
    <row x14ac:dyDescent="0.25" r="875" customHeight="1" ht="15.75">
      <c r="A875" s="1"/>
      <c r="B875" s="34"/>
      <c r="C875" s="34"/>
      <c r="D875" s="34"/>
      <c r="E875" s="34"/>
      <c r="F875" s="34"/>
      <c r="G875" s="60"/>
      <c r="H875" s="60"/>
      <c r="I875" s="29"/>
      <c r="J875" s="29"/>
      <c r="K875" s="29"/>
      <c r="L875" s="29"/>
      <c r="M875" s="29"/>
      <c r="N875" s="29"/>
      <c r="O875" s="29"/>
      <c r="P875" s="29"/>
      <c r="Q875" s="34"/>
      <c r="R875" s="34"/>
      <c r="S875" s="29"/>
      <c r="T875" s="29"/>
      <c r="U875" s="29"/>
      <c r="V875" s="29"/>
      <c r="W875" s="29"/>
      <c r="X875" s="29"/>
      <c r="Y875" s="2"/>
      <c r="Z875" s="34"/>
      <c r="AA875" s="2"/>
      <c r="AB875" s="29"/>
      <c r="AC875" s="29"/>
      <c r="AD875" s="29"/>
      <c r="AE875" s="29"/>
      <c r="AF875" s="29"/>
      <c r="AG875" s="29"/>
      <c r="AH875" s="29"/>
      <c r="AI875" s="29"/>
      <c r="AJ875" s="34"/>
      <c r="AK875" s="34"/>
      <c r="AL875" s="29"/>
      <c r="AM875" s="29"/>
    </row>
    <row x14ac:dyDescent="0.25" r="876" customHeight="1" ht="15.75">
      <c r="A876" s="1"/>
      <c r="B876" s="34"/>
      <c r="C876" s="34"/>
      <c r="D876" s="34"/>
      <c r="E876" s="34"/>
      <c r="F876" s="34"/>
      <c r="G876" s="60"/>
      <c r="H876" s="60"/>
      <c r="I876" s="29"/>
      <c r="J876" s="29"/>
      <c r="K876" s="29"/>
      <c r="L876" s="29"/>
      <c r="M876" s="29"/>
      <c r="N876" s="29"/>
      <c r="O876" s="29"/>
      <c r="P876" s="29"/>
      <c r="Q876" s="34"/>
      <c r="R876" s="34"/>
      <c r="S876" s="29"/>
      <c r="T876" s="29"/>
      <c r="U876" s="29"/>
      <c r="V876" s="29"/>
      <c r="W876" s="29"/>
      <c r="X876" s="29"/>
      <c r="Y876" s="2"/>
      <c r="Z876" s="34"/>
      <c r="AA876" s="2"/>
      <c r="AB876" s="29"/>
      <c r="AC876" s="29"/>
      <c r="AD876" s="29"/>
      <c r="AE876" s="29"/>
      <c r="AF876" s="29"/>
      <c r="AG876" s="29"/>
      <c r="AH876" s="29"/>
      <c r="AI876" s="29"/>
      <c r="AJ876" s="34"/>
      <c r="AK876" s="34"/>
      <c r="AL876" s="29"/>
      <c r="AM876" s="29"/>
    </row>
    <row x14ac:dyDescent="0.25" r="877" customHeight="1" ht="15.75">
      <c r="A877" s="1"/>
      <c r="B877" s="34"/>
      <c r="C877" s="34"/>
      <c r="D877" s="34"/>
      <c r="E877" s="34"/>
      <c r="F877" s="34"/>
      <c r="G877" s="60"/>
      <c r="H877" s="60"/>
      <c r="I877" s="29"/>
      <c r="J877" s="29"/>
      <c r="K877" s="29"/>
      <c r="L877" s="29"/>
      <c r="M877" s="29"/>
      <c r="N877" s="29"/>
      <c r="O877" s="29"/>
      <c r="P877" s="29"/>
      <c r="Q877" s="34"/>
      <c r="R877" s="34"/>
      <c r="S877" s="29"/>
      <c r="T877" s="29"/>
      <c r="U877" s="29"/>
      <c r="V877" s="29"/>
      <c r="W877" s="29"/>
      <c r="X877" s="29"/>
      <c r="Y877" s="2"/>
      <c r="Z877" s="34"/>
      <c r="AA877" s="2"/>
      <c r="AB877" s="29"/>
      <c r="AC877" s="29"/>
      <c r="AD877" s="29"/>
      <c r="AE877" s="29"/>
      <c r="AF877" s="29"/>
      <c r="AG877" s="29"/>
      <c r="AH877" s="29"/>
      <c r="AI877" s="29"/>
      <c r="AJ877" s="34"/>
      <c r="AK877" s="34"/>
      <c r="AL877" s="29"/>
      <c r="AM877" s="29"/>
    </row>
    <row x14ac:dyDescent="0.25" r="878" customHeight="1" ht="15.75">
      <c r="A878" s="1"/>
      <c r="B878" s="34"/>
      <c r="C878" s="34"/>
      <c r="D878" s="34"/>
      <c r="E878" s="34"/>
      <c r="F878" s="34"/>
      <c r="G878" s="60"/>
      <c r="H878" s="60"/>
      <c r="I878" s="29"/>
      <c r="J878" s="29"/>
      <c r="K878" s="29"/>
      <c r="L878" s="29"/>
      <c r="M878" s="29"/>
      <c r="N878" s="29"/>
      <c r="O878" s="29"/>
      <c r="P878" s="29"/>
      <c r="Q878" s="34"/>
      <c r="R878" s="34"/>
      <c r="S878" s="29"/>
      <c r="T878" s="29"/>
      <c r="U878" s="29"/>
      <c r="V878" s="29"/>
      <c r="W878" s="29"/>
      <c r="X878" s="29"/>
      <c r="Y878" s="2"/>
      <c r="Z878" s="34"/>
      <c r="AA878" s="2"/>
      <c r="AB878" s="29"/>
      <c r="AC878" s="29"/>
      <c r="AD878" s="29"/>
      <c r="AE878" s="29"/>
      <c r="AF878" s="29"/>
      <c r="AG878" s="29"/>
      <c r="AH878" s="29"/>
      <c r="AI878" s="29"/>
      <c r="AJ878" s="34"/>
      <c r="AK878" s="34"/>
      <c r="AL878" s="29"/>
      <c r="AM878" s="29"/>
    </row>
    <row x14ac:dyDescent="0.25" r="879" customHeight="1" ht="15.75">
      <c r="A879" s="1"/>
      <c r="B879" s="34"/>
      <c r="C879" s="34"/>
      <c r="D879" s="34"/>
      <c r="E879" s="34"/>
      <c r="F879" s="34"/>
      <c r="G879" s="60"/>
      <c r="H879" s="60"/>
      <c r="I879" s="29"/>
      <c r="J879" s="29"/>
      <c r="K879" s="29"/>
      <c r="L879" s="29"/>
      <c r="M879" s="29"/>
      <c r="N879" s="29"/>
      <c r="O879" s="29"/>
      <c r="P879" s="29"/>
      <c r="Q879" s="34"/>
      <c r="R879" s="34"/>
      <c r="S879" s="29"/>
      <c r="T879" s="29"/>
      <c r="U879" s="29"/>
      <c r="V879" s="29"/>
      <c r="W879" s="29"/>
      <c r="X879" s="29"/>
      <c r="Y879" s="2"/>
      <c r="Z879" s="34"/>
      <c r="AA879" s="2"/>
      <c r="AB879" s="29"/>
      <c r="AC879" s="29"/>
      <c r="AD879" s="29"/>
      <c r="AE879" s="29"/>
      <c r="AF879" s="29"/>
      <c r="AG879" s="29"/>
      <c r="AH879" s="29"/>
      <c r="AI879" s="29"/>
      <c r="AJ879" s="34"/>
      <c r="AK879" s="34"/>
      <c r="AL879" s="29"/>
      <c r="AM879" s="29"/>
    </row>
    <row x14ac:dyDescent="0.25" r="880" customHeight="1" ht="15.75">
      <c r="A880" s="1"/>
      <c r="B880" s="34"/>
      <c r="C880" s="34"/>
      <c r="D880" s="34"/>
      <c r="E880" s="34"/>
      <c r="F880" s="34"/>
      <c r="G880" s="60"/>
      <c r="H880" s="60"/>
      <c r="I880" s="29"/>
      <c r="J880" s="29"/>
      <c r="K880" s="29"/>
      <c r="L880" s="29"/>
      <c r="M880" s="29"/>
      <c r="N880" s="29"/>
      <c r="O880" s="29"/>
      <c r="P880" s="29"/>
      <c r="Q880" s="34"/>
      <c r="R880" s="34"/>
      <c r="S880" s="29"/>
      <c r="T880" s="29"/>
      <c r="U880" s="29"/>
      <c r="V880" s="29"/>
      <c r="W880" s="29"/>
      <c r="X880" s="29"/>
      <c r="Y880" s="2"/>
      <c r="Z880" s="34"/>
      <c r="AA880" s="2"/>
      <c r="AB880" s="29"/>
      <c r="AC880" s="29"/>
      <c r="AD880" s="29"/>
      <c r="AE880" s="29"/>
      <c r="AF880" s="29"/>
      <c r="AG880" s="29"/>
      <c r="AH880" s="29"/>
      <c r="AI880" s="29"/>
      <c r="AJ880" s="34"/>
      <c r="AK880" s="34"/>
      <c r="AL880" s="29"/>
      <c r="AM880" s="29"/>
    </row>
    <row x14ac:dyDescent="0.25" r="881" customHeight="1" ht="15.75">
      <c r="A881" s="1"/>
      <c r="B881" s="34"/>
      <c r="C881" s="34"/>
      <c r="D881" s="34"/>
      <c r="E881" s="34"/>
      <c r="F881" s="34"/>
      <c r="G881" s="60"/>
      <c r="H881" s="60"/>
      <c r="I881" s="29"/>
      <c r="J881" s="29"/>
      <c r="K881" s="29"/>
      <c r="L881" s="29"/>
      <c r="M881" s="29"/>
      <c r="N881" s="29"/>
      <c r="O881" s="29"/>
      <c r="P881" s="29"/>
      <c r="Q881" s="34"/>
      <c r="R881" s="34"/>
      <c r="S881" s="29"/>
      <c r="T881" s="29"/>
      <c r="U881" s="29"/>
      <c r="V881" s="29"/>
      <c r="W881" s="29"/>
      <c r="X881" s="29"/>
      <c r="Y881" s="2"/>
      <c r="Z881" s="34"/>
      <c r="AA881" s="2"/>
      <c r="AB881" s="29"/>
      <c r="AC881" s="29"/>
      <c r="AD881" s="29"/>
      <c r="AE881" s="29"/>
      <c r="AF881" s="29"/>
      <c r="AG881" s="29"/>
      <c r="AH881" s="29"/>
      <c r="AI881" s="29"/>
      <c r="AJ881" s="34"/>
      <c r="AK881" s="34"/>
      <c r="AL881" s="29"/>
      <c r="AM881" s="29"/>
    </row>
    <row x14ac:dyDescent="0.25" r="882" customHeight="1" ht="15.75">
      <c r="A882" s="1"/>
      <c r="B882" s="34"/>
      <c r="C882" s="34"/>
      <c r="D882" s="34"/>
      <c r="E882" s="34"/>
      <c r="F882" s="34"/>
      <c r="G882" s="60"/>
      <c r="H882" s="60"/>
      <c r="I882" s="29"/>
      <c r="J882" s="29"/>
      <c r="K882" s="29"/>
      <c r="L882" s="29"/>
      <c r="M882" s="29"/>
      <c r="N882" s="29"/>
      <c r="O882" s="29"/>
      <c r="P882" s="29"/>
      <c r="Q882" s="34"/>
      <c r="R882" s="34"/>
      <c r="S882" s="29"/>
      <c r="T882" s="29"/>
      <c r="U882" s="29"/>
      <c r="V882" s="29"/>
      <c r="W882" s="29"/>
      <c r="X882" s="29"/>
      <c r="Y882" s="2"/>
      <c r="Z882" s="34"/>
      <c r="AA882" s="2"/>
      <c r="AB882" s="29"/>
      <c r="AC882" s="29"/>
      <c r="AD882" s="29"/>
      <c r="AE882" s="29"/>
      <c r="AF882" s="29"/>
      <c r="AG882" s="29"/>
      <c r="AH882" s="29"/>
      <c r="AI882" s="29"/>
      <c r="AJ882" s="34"/>
      <c r="AK882" s="34"/>
      <c r="AL882" s="29"/>
      <c r="AM882" s="29"/>
    </row>
    <row x14ac:dyDescent="0.25" r="883" customHeight="1" ht="15.75">
      <c r="A883" s="1"/>
      <c r="B883" s="34"/>
      <c r="C883" s="34"/>
      <c r="D883" s="34"/>
      <c r="E883" s="34"/>
      <c r="F883" s="34"/>
      <c r="G883" s="60"/>
      <c r="H883" s="60"/>
      <c r="I883" s="29"/>
      <c r="J883" s="29"/>
      <c r="K883" s="29"/>
      <c r="L883" s="29"/>
      <c r="M883" s="29"/>
      <c r="N883" s="29"/>
      <c r="O883" s="29"/>
      <c r="P883" s="29"/>
      <c r="Q883" s="34"/>
      <c r="R883" s="34"/>
      <c r="S883" s="29"/>
      <c r="T883" s="29"/>
      <c r="U883" s="29"/>
      <c r="V883" s="29"/>
      <c r="W883" s="29"/>
      <c r="X883" s="29"/>
      <c r="Y883" s="2"/>
      <c r="Z883" s="34"/>
      <c r="AA883" s="2"/>
      <c r="AB883" s="29"/>
      <c r="AC883" s="29"/>
      <c r="AD883" s="29"/>
      <c r="AE883" s="29"/>
      <c r="AF883" s="29"/>
      <c r="AG883" s="29"/>
      <c r="AH883" s="29"/>
      <c r="AI883" s="29"/>
      <c r="AJ883" s="34"/>
      <c r="AK883" s="34"/>
      <c r="AL883" s="29"/>
      <c r="AM883" s="29"/>
    </row>
    <row x14ac:dyDescent="0.25" r="884" customHeight="1" ht="15.75">
      <c r="A884" s="1"/>
      <c r="B884" s="34"/>
      <c r="C884" s="34"/>
      <c r="D884" s="34"/>
      <c r="E884" s="34"/>
      <c r="F884" s="34"/>
      <c r="G884" s="60"/>
      <c r="H884" s="60"/>
      <c r="I884" s="29"/>
      <c r="J884" s="29"/>
      <c r="K884" s="29"/>
      <c r="L884" s="29"/>
      <c r="M884" s="29"/>
      <c r="N884" s="29"/>
      <c r="O884" s="29"/>
      <c r="P884" s="29"/>
      <c r="Q884" s="34"/>
      <c r="R884" s="34"/>
      <c r="S884" s="29"/>
      <c r="T884" s="29"/>
      <c r="U884" s="29"/>
      <c r="V884" s="29"/>
      <c r="W884" s="29"/>
      <c r="X884" s="29"/>
      <c r="Y884" s="2"/>
      <c r="Z884" s="34"/>
      <c r="AA884" s="2"/>
      <c r="AB884" s="29"/>
      <c r="AC884" s="29"/>
      <c r="AD884" s="29"/>
      <c r="AE884" s="29"/>
      <c r="AF884" s="29"/>
      <c r="AG884" s="29"/>
      <c r="AH884" s="29"/>
      <c r="AI884" s="29"/>
      <c r="AJ884" s="34"/>
      <c r="AK884" s="34"/>
      <c r="AL884" s="29"/>
      <c r="AM884" s="29"/>
    </row>
    <row x14ac:dyDescent="0.25" r="885" customHeight="1" ht="15.75">
      <c r="A885" s="1"/>
      <c r="B885" s="34"/>
      <c r="C885" s="34"/>
      <c r="D885" s="34"/>
      <c r="E885" s="34"/>
      <c r="F885" s="34"/>
      <c r="G885" s="60"/>
      <c r="H885" s="60"/>
      <c r="I885" s="29"/>
      <c r="J885" s="29"/>
      <c r="K885" s="29"/>
      <c r="L885" s="29"/>
      <c r="M885" s="29"/>
      <c r="N885" s="29"/>
      <c r="O885" s="29"/>
      <c r="P885" s="29"/>
      <c r="Q885" s="34"/>
      <c r="R885" s="34"/>
      <c r="S885" s="29"/>
      <c r="T885" s="29"/>
      <c r="U885" s="29"/>
      <c r="V885" s="29"/>
      <c r="W885" s="29"/>
      <c r="X885" s="29"/>
      <c r="Y885" s="2"/>
      <c r="Z885" s="34"/>
      <c r="AA885" s="2"/>
      <c r="AB885" s="29"/>
      <c r="AC885" s="29"/>
      <c r="AD885" s="29"/>
      <c r="AE885" s="29"/>
      <c r="AF885" s="29"/>
      <c r="AG885" s="29"/>
      <c r="AH885" s="29"/>
      <c r="AI885" s="29"/>
      <c r="AJ885" s="34"/>
      <c r="AK885" s="34"/>
      <c r="AL885" s="29"/>
      <c r="AM885" s="29"/>
    </row>
    <row x14ac:dyDescent="0.25" r="886" customHeight="1" ht="15.75">
      <c r="A886" s="1"/>
      <c r="B886" s="34"/>
      <c r="C886" s="34"/>
      <c r="D886" s="34"/>
      <c r="E886" s="34"/>
      <c r="F886" s="34"/>
      <c r="G886" s="60"/>
      <c r="H886" s="60"/>
      <c r="I886" s="29"/>
      <c r="J886" s="29"/>
      <c r="K886" s="29"/>
      <c r="L886" s="29"/>
      <c r="M886" s="29"/>
      <c r="N886" s="29"/>
      <c r="O886" s="29"/>
      <c r="P886" s="29"/>
      <c r="Q886" s="34"/>
      <c r="R886" s="34"/>
      <c r="S886" s="29"/>
      <c r="T886" s="29"/>
      <c r="U886" s="29"/>
      <c r="V886" s="29"/>
      <c r="W886" s="29"/>
      <c r="X886" s="29"/>
      <c r="Y886" s="2"/>
      <c r="Z886" s="34"/>
      <c r="AA886" s="2"/>
      <c r="AB886" s="29"/>
      <c r="AC886" s="29"/>
      <c r="AD886" s="29"/>
      <c r="AE886" s="29"/>
      <c r="AF886" s="29"/>
      <c r="AG886" s="29"/>
      <c r="AH886" s="29"/>
      <c r="AI886" s="29"/>
      <c r="AJ886" s="34"/>
      <c r="AK886" s="34"/>
      <c r="AL886" s="29"/>
      <c r="AM886" s="29"/>
    </row>
    <row x14ac:dyDescent="0.25" r="887" customHeight="1" ht="15.75">
      <c r="A887" s="1"/>
      <c r="B887" s="34"/>
      <c r="C887" s="34"/>
      <c r="D887" s="34"/>
      <c r="E887" s="34"/>
      <c r="F887" s="34"/>
      <c r="G887" s="60"/>
      <c r="H887" s="60"/>
      <c r="I887" s="29"/>
      <c r="J887" s="29"/>
      <c r="K887" s="29"/>
      <c r="L887" s="29"/>
      <c r="M887" s="29"/>
      <c r="N887" s="29"/>
      <c r="O887" s="29"/>
      <c r="P887" s="29"/>
      <c r="Q887" s="34"/>
      <c r="R887" s="34"/>
      <c r="S887" s="29"/>
      <c r="T887" s="29"/>
      <c r="U887" s="29"/>
      <c r="V887" s="29"/>
      <c r="W887" s="29"/>
      <c r="X887" s="29"/>
      <c r="Y887" s="2"/>
      <c r="Z887" s="34"/>
      <c r="AA887" s="2"/>
      <c r="AB887" s="29"/>
      <c r="AC887" s="29"/>
      <c r="AD887" s="29"/>
      <c r="AE887" s="29"/>
      <c r="AF887" s="29"/>
      <c r="AG887" s="29"/>
      <c r="AH887" s="29"/>
      <c r="AI887" s="29"/>
      <c r="AJ887" s="34"/>
      <c r="AK887" s="34"/>
      <c r="AL887" s="29"/>
      <c r="AM887" s="29"/>
    </row>
    <row x14ac:dyDescent="0.25" r="888" customHeight="1" ht="15.75">
      <c r="A888" s="1"/>
      <c r="B888" s="34"/>
      <c r="C888" s="34"/>
      <c r="D888" s="34"/>
      <c r="E888" s="34"/>
      <c r="F888" s="34"/>
      <c r="G888" s="60"/>
      <c r="H888" s="60"/>
      <c r="I888" s="29"/>
      <c r="J888" s="29"/>
      <c r="K888" s="29"/>
      <c r="L888" s="29"/>
      <c r="M888" s="29"/>
      <c r="N888" s="29"/>
      <c r="O888" s="29"/>
      <c r="P888" s="29"/>
      <c r="Q888" s="34"/>
      <c r="R888" s="34"/>
      <c r="S888" s="29"/>
      <c r="T888" s="29"/>
      <c r="U888" s="29"/>
      <c r="V888" s="29"/>
      <c r="W888" s="29"/>
      <c r="X888" s="29"/>
      <c r="Y888" s="2"/>
      <c r="Z888" s="34"/>
      <c r="AA888" s="2"/>
      <c r="AB888" s="29"/>
      <c r="AC888" s="29"/>
      <c r="AD888" s="29"/>
      <c r="AE888" s="29"/>
      <c r="AF888" s="29"/>
      <c r="AG888" s="29"/>
      <c r="AH888" s="29"/>
      <c r="AI888" s="29"/>
      <c r="AJ888" s="34"/>
      <c r="AK888" s="34"/>
      <c r="AL888" s="29"/>
      <c r="AM888" s="29"/>
    </row>
    <row x14ac:dyDescent="0.25" r="889" customHeight="1" ht="15.75">
      <c r="A889" s="1"/>
      <c r="B889" s="34"/>
      <c r="C889" s="34"/>
      <c r="D889" s="34"/>
      <c r="E889" s="34"/>
      <c r="F889" s="34"/>
      <c r="G889" s="60"/>
      <c r="H889" s="60"/>
      <c r="I889" s="29"/>
      <c r="J889" s="29"/>
      <c r="K889" s="29"/>
      <c r="L889" s="29"/>
      <c r="M889" s="29"/>
      <c r="N889" s="29"/>
      <c r="O889" s="29"/>
      <c r="P889" s="29"/>
      <c r="Q889" s="34"/>
      <c r="R889" s="34"/>
      <c r="S889" s="29"/>
      <c r="T889" s="29"/>
      <c r="U889" s="29"/>
      <c r="V889" s="29"/>
      <c r="W889" s="29"/>
      <c r="X889" s="29"/>
      <c r="Y889" s="2"/>
      <c r="Z889" s="34"/>
      <c r="AA889" s="2"/>
      <c r="AB889" s="29"/>
      <c r="AC889" s="29"/>
      <c r="AD889" s="29"/>
      <c r="AE889" s="29"/>
      <c r="AF889" s="29"/>
      <c r="AG889" s="29"/>
      <c r="AH889" s="29"/>
      <c r="AI889" s="29"/>
      <c r="AJ889" s="34"/>
      <c r="AK889" s="34"/>
      <c r="AL889" s="29"/>
      <c r="AM889" s="29"/>
    </row>
    <row x14ac:dyDescent="0.25" r="890" customHeight="1" ht="15.75">
      <c r="A890" s="1"/>
      <c r="B890" s="34"/>
      <c r="C890" s="34"/>
      <c r="D890" s="34"/>
      <c r="E890" s="34"/>
      <c r="F890" s="34"/>
      <c r="G890" s="60"/>
      <c r="H890" s="60"/>
      <c r="I890" s="29"/>
      <c r="J890" s="29"/>
      <c r="K890" s="29"/>
      <c r="L890" s="29"/>
      <c r="M890" s="29"/>
      <c r="N890" s="29"/>
      <c r="O890" s="29"/>
      <c r="P890" s="29"/>
      <c r="Q890" s="34"/>
      <c r="R890" s="34"/>
      <c r="S890" s="29"/>
      <c r="T890" s="29"/>
      <c r="U890" s="29"/>
      <c r="V890" s="29"/>
      <c r="W890" s="29"/>
      <c r="X890" s="29"/>
      <c r="Y890" s="2"/>
      <c r="Z890" s="34"/>
      <c r="AA890" s="2"/>
      <c r="AB890" s="29"/>
      <c r="AC890" s="29"/>
      <c r="AD890" s="29"/>
      <c r="AE890" s="29"/>
      <c r="AF890" s="29"/>
      <c r="AG890" s="29"/>
      <c r="AH890" s="29"/>
      <c r="AI890" s="29"/>
      <c r="AJ890" s="34"/>
      <c r="AK890" s="34"/>
      <c r="AL890" s="29"/>
      <c r="AM890" s="29"/>
    </row>
    <row x14ac:dyDescent="0.25" r="891" customHeight="1" ht="15.75">
      <c r="A891" s="1"/>
      <c r="B891" s="34"/>
      <c r="C891" s="34"/>
      <c r="D891" s="34"/>
      <c r="E891" s="34"/>
      <c r="F891" s="34"/>
      <c r="G891" s="60"/>
      <c r="H891" s="60"/>
      <c r="I891" s="29"/>
      <c r="J891" s="29"/>
      <c r="K891" s="29"/>
      <c r="L891" s="29"/>
      <c r="M891" s="29"/>
      <c r="N891" s="29"/>
      <c r="O891" s="29"/>
      <c r="P891" s="29"/>
      <c r="Q891" s="34"/>
      <c r="R891" s="34"/>
      <c r="S891" s="29"/>
      <c r="T891" s="29"/>
      <c r="U891" s="29"/>
      <c r="V891" s="29"/>
      <c r="W891" s="29"/>
      <c r="X891" s="29"/>
      <c r="Y891" s="2"/>
      <c r="Z891" s="34"/>
      <c r="AA891" s="2"/>
      <c r="AB891" s="29"/>
      <c r="AC891" s="29"/>
      <c r="AD891" s="29"/>
      <c r="AE891" s="29"/>
      <c r="AF891" s="29"/>
      <c r="AG891" s="29"/>
      <c r="AH891" s="29"/>
      <c r="AI891" s="29"/>
      <c r="AJ891" s="34"/>
      <c r="AK891" s="34"/>
      <c r="AL891" s="29"/>
      <c r="AM891" s="29"/>
    </row>
    <row x14ac:dyDescent="0.25" r="892" customHeight="1" ht="15.75">
      <c r="A892" s="1"/>
      <c r="B892" s="34"/>
      <c r="C892" s="34"/>
      <c r="D892" s="34"/>
      <c r="E892" s="34"/>
      <c r="F892" s="34"/>
      <c r="G892" s="60"/>
      <c r="H892" s="60"/>
      <c r="I892" s="29"/>
      <c r="J892" s="29"/>
      <c r="K892" s="29"/>
      <c r="L892" s="29"/>
      <c r="M892" s="29"/>
      <c r="N892" s="29"/>
      <c r="O892" s="29"/>
      <c r="P892" s="29"/>
      <c r="Q892" s="34"/>
      <c r="R892" s="34"/>
      <c r="S892" s="29"/>
      <c r="T892" s="29"/>
      <c r="U892" s="29"/>
      <c r="V892" s="29"/>
      <c r="W892" s="29"/>
      <c r="X892" s="29"/>
      <c r="Y892" s="2"/>
      <c r="Z892" s="34"/>
      <c r="AA892" s="2"/>
      <c r="AB892" s="29"/>
      <c r="AC892" s="29"/>
      <c r="AD892" s="29"/>
      <c r="AE892" s="29"/>
      <c r="AF892" s="29"/>
      <c r="AG892" s="29"/>
      <c r="AH892" s="29"/>
      <c r="AI892" s="29"/>
      <c r="AJ892" s="34"/>
      <c r="AK892" s="34"/>
      <c r="AL892" s="29"/>
      <c r="AM892" s="29"/>
    </row>
    <row x14ac:dyDescent="0.25" r="893" customHeight="1" ht="15.75">
      <c r="A893" s="1"/>
      <c r="B893" s="34"/>
      <c r="C893" s="34"/>
      <c r="D893" s="34"/>
      <c r="E893" s="34"/>
      <c r="F893" s="34"/>
      <c r="G893" s="60"/>
      <c r="H893" s="60"/>
      <c r="I893" s="29"/>
      <c r="J893" s="29"/>
      <c r="K893" s="29"/>
      <c r="L893" s="29"/>
      <c r="M893" s="29"/>
      <c r="N893" s="29"/>
      <c r="O893" s="29"/>
      <c r="P893" s="29"/>
      <c r="Q893" s="34"/>
      <c r="R893" s="34"/>
      <c r="S893" s="29"/>
      <c r="T893" s="29"/>
      <c r="U893" s="29"/>
      <c r="V893" s="29"/>
      <c r="W893" s="29"/>
      <c r="X893" s="29"/>
      <c r="Y893" s="2"/>
      <c r="Z893" s="34"/>
      <c r="AA893" s="2"/>
      <c r="AB893" s="29"/>
      <c r="AC893" s="29"/>
      <c r="AD893" s="29"/>
      <c r="AE893" s="29"/>
      <c r="AF893" s="29"/>
      <c r="AG893" s="29"/>
      <c r="AH893" s="29"/>
      <c r="AI893" s="29"/>
      <c r="AJ893" s="34"/>
      <c r="AK893" s="34"/>
      <c r="AL893" s="29"/>
      <c r="AM893" s="29"/>
    </row>
    <row x14ac:dyDescent="0.25" r="894" customHeight="1" ht="15.75">
      <c r="A894" s="1"/>
      <c r="B894" s="34"/>
      <c r="C894" s="34"/>
      <c r="D894" s="34"/>
      <c r="E894" s="34"/>
      <c r="F894" s="34"/>
      <c r="G894" s="60"/>
      <c r="H894" s="60"/>
      <c r="I894" s="29"/>
      <c r="J894" s="29"/>
      <c r="K894" s="29"/>
      <c r="L894" s="29"/>
      <c r="M894" s="29"/>
      <c r="N894" s="29"/>
      <c r="O894" s="29"/>
      <c r="P894" s="29"/>
      <c r="Q894" s="34"/>
      <c r="R894" s="34"/>
      <c r="S894" s="29"/>
      <c r="T894" s="29"/>
      <c r="U894" s="29"/>
      <c r="V894" s="29"/>
      <c r="W894" s="29"/>
      <c r="X894" s="29"/>
      <c r="Y894" s="2"/>
      <c r="Z894" s="34"/>
      <c r="AA894" s="2"/>
      <c r="AB894" s="29"/>
      <c r="AC894" s="29"/>
      <c r="AD894" s="29"/>
      <c r="AE894" s="29"/>
      <c r="AF894" s="29"/>
      <c r="AG894" s="29"/>
      <c r="AH894" s="29"/>
      <c r="AI894" s="29"/>
      <c r="AJ894" s="34"/>
      <c r="AK894" s="34"/>
      <c r="AL894" s="29"/>
      <c r="AM894" s="29"/>
    </row>
    <row x14ac:dyDescent="0.25" r="895" customHeight="1" ht="15.75">
      <c r="A895" s="1"/>
      <c r="B895" s="34"/>
      <c r="C895" s="34"/>
      <c r="D895" s="34"/>
      <c r="E895" s="34"/>
      <c r="F895" s="34"/>
      <c r="G895" s="60"/>
      <c r="H895" s="60"/>
      <c r="I895" s="29"/>
      <c r="J895" s="29"/>
      <c r="K895" s="29"/>
      <c r="L895" s="29"/>
      <c r="M895" s="29"/>
      <c r="N895" s="29"/>
      <c r="O895" s="29"/>
      <c r="P895" s="29"/>
      <c r="Q895" s="34"/>
      <c r="R895" s="34"/>
      <c r="S895" s="29"/>
      <c r="T895" s="29"/>
      <c r="U895" s="29"/>
      <c r="V895" s="29"/>
      <c r="W895" s="29"/>
      <c r="X895" s="29"/>
      <c r="Y895" s="2"/>
      <c r="Z895" s="34"/>
      <c r="AA895" s="2"/>
      <c r="AB895" s="29"/>
      <c r="AC895" s="29"/>
      <c r="AD895" s="29"/>
      <c r="AE895" s="29"/>
      <c r="AF895" s="29"/>
      <c r="AG895" s="29"/>
      <c r="AH895" s="29"/>
      <c r="AI895" s="29"/>
      <c r="AJ895" s="34"/>
      <c r="AK895" s="34"/>
      <c r="AL895" s="29"/>
      <c r="AM895" s="29"/>
    </row>
    <row x14ac:dyDescent="0.25" r="896" customHeight="1" ht="15.75">
      <c r="A896" s="1"/>
      <c r="B896" s="34"/>
      <c r="C896" s="34"/>
      <c r="D896" s="34"/>
      <c r="E896" s="34"/>
      <c r="F896" s="34"/>
      <c r="G896" s="60"/>
      <c r="H896" s="60"/>
      <c r="I896" s="29"/>
      <c r="J896" s="29"/>
      <c r="K896" s="29"/>
      <c r="L896" s="29"/>
      <c r="M896" s="29"/>
      <c r="N896" s="29"/>
      <c r="O896" s="29"/>
      <c r="P896" s="29"/>
      <c r="Q896" s="34"/>
      <c r="R896" s="34"/>
      <c r="S896" s="29"/>
      <c r="T896" s="29"/>
      <c r="U896" s="29"/>
      <c r="V896" s="29"/>
      <c r="W896" s="29"/>
      <c r="X896" s="29"/>
      <c r="Y896" s="2"/>
      <c r="Z896" s="34"/>
      <c r="AA896" s="2"/>
      <c r="AB896" s="29"/>
      <c r="AC896" s="29"/>
      <c r="AD896" s="29"/>
      <c r="AE896" s="29"/>
      <c r="AF896" s="29"/>
      <c r="AG896" s="29"/>
      <c r="AH896" s="29"/>
      <c r="AI896" s="29"/>
      <c r="AJ896" s="34"/>
      <c r="AK896" s="34"/>
      <c r="AL896" s="29"/>
      <c r="AM896" s="29"/>
    </row>
    <row x14ac:dyDescent="0.25" r="897" customHeight="1" ht="15.75">
      <c r="A897" s="1"/>
      <c r="B897" s="34"/>
      <c r="C897" s="34"/>
      <c r="D897" s="34"/>
      <c r="E897" s="34"/>
      <c r="F897" s="34"/>
      <c r="G897" s="60"/>
      <c r="H897" s="60"/>
      <c r="I897" s="29"/>
      <c r="J897" s="29"/>
      <c r="K897" s="29"/>
      <c r="L897" s="29"/>
      <c r="M897" s="29"/>
      <c r="N897" s="29"/>
      <c r="O897" s="29"/>
      <c r="P897" s="29"/>
      <c r="Q897" s="34"/>
      <c r="R897" s="34"/>
      <c r="S897" s="29"/>
      <c r="T897" s="29"/>
      <c r="U897" s="29"/>
      <c r="V897" s="29"/>
      <c r="W897" s="29"/>
      <c r="X897" s="29"/>
      <c r="Y897" s="2"/>
      <c r="Z897" s="34"/>
      <c r="AA897" s="2"/>
      <c r="AB897" s="29"/>
      <c r="AC897" s="29"/>
      <c r="AD897" s="29"/>
      <c r="AE897" s="29"/>
      <c r="AF897" s="29"/>
      <c r="AG897" s="29"/>
      <c r="AH897" s="29"/>
      <c r="AI897" s="29"/>
      <c r="AJ897" s="34"/>
      <c r="AK897" s="34"/>
      <c r="AL897" s="29"/>
      <c r="AM897" s="29"/>
    </row>
    <row x14ac:dyDescent="0.25" r="898" customHeight="1" ht="15.75">
      <c r="A898" s="1"/>
      <c r="B898" s="34"/>
      <c r="C898" s="34"/>
      <c r="D898" s="34"/>
      <c r="E898" s="34"/>
      <c r="F898" s="34"/>
      <c r="G898" s="60"/>
      <c r="H898" s="60"/>
      <c r="I898" s="29"/>
      <c r="J898" s="29"/>
      <c r="K898" s="29"/>
      <c r="L898" s="29"/>
      <c r="M898" s="29"/>
      <c r="N898" s="29"/>
      <c r="O898" s="29"/>
      <c r="P898" s="29"/>
      <c r="Q898" s="34"/>
      <c r="R898" s="34"/>
      <c r="S898" s="29"/>
      <c r="T898" s="29"/>
      <c r="U898" s="29"/>
      <c r="V898" s="29"/>
      <c r="W898" s="29"/>
      <c r="X898" s="29"/>
      <c r="Y898" s="2"/>
      <c r="Z898" s="34"/>
      <c r="AA898" s="2"/>
      <c r="AB898" s="29"/>
      <c r="AC898" s="29"/>
      <c r="AD898" s="29"/>
      <c r="AE898" s="29"/>
      <c r="AF898" s="29"/>
      <c r="AG898" s="29"/>
      <c r="AH898" s="29"/>
      <c r="AI898" s="29"/>
      <c r="AJ898" s="34"/>
      <c r="AK898" s="34"/>
      <c r="AL898" s="29"/>
      <c r="AM898" s="29"/>
    </row>
    <row x14ac:dyDescent="0.25" r="899" customHeight="1" ht="15.75">
      <c r="A899" s="1"/>
      <c r="B899" s="34"/>
      <c r="C899" s="34"/>
      <c r="D899" s="34"/>
      <c r="E899" s="34"/>
      <c r="F899" s="34"/>
      <c r="G899" s="60"/>
      <c r="H899" s="60"/>
      <c r="I899" s="29"/>
      <c r="J899" s="29"/>
      <c r="K899" s="29"/>
      <c r="L899" s="29"/>
      <c r="M899" s="29"/>
      <c r="N899" s="29"/>
      <c r="O899" s="29"/>
      <c r="P899" s="29"/>
      <c r="Q899" s="34"/>
      <c r="R899" s="34"/>
      <c r="S899" s="29"/>
      <c r="T899" s="29"/>
      <c r="U899" s="29"/>
      <c r="V899" s="29"/>
      <c r="W899" s="29"/>
      <c r="X899" s="29"/>
      <c r="Y899" s="2"/>
      <c r="Z899" s="34"/>
      <c r="AA899" s="2"/>
      <c r="AB899" s="29"/>
      <c r="AC899" s="29"/>
      <c r="AD899" s="29"/>
      <c r="AE899" s="29"/>
      <c r="AF899" s="29"/>
      <c r="AG899" s="29"/>
      <c r="AH899" s="29"/>
      <c r="AI899" s="29"/>
      <c r="AJ899" s="34"/>
      <c r="AK899" s="34"/>
      <c r="AL899" s="29"/>
      <c r="AM899" s="29"/>
    </row>
    <row x14ac:dyDescent="0.25" r="900" customHeight="1" ht="15.75">
      <c r="A900" s="1"/>
      <c r="B900" s="34"/>
      <c r="C900" s="34"/>
      <c r="D900" s="34"/>
      <c r="E900" s="34"/>
      <c r="F900" s="34"/>
      <c r="G900" s="60"/>
      <c r="H900" s="60"/>
      <c r="I900" s="29"/>
      <c r="J900" s="29"/>
      <c r="K900" s="29"/>
      <c r="L900" s="29"/>
      <c r="M900" s="29"/>
      <c r="N900" s="29"/>
      <c r="O900" s="29"/>
      <c r="P900" s="29"/>
      <c r="Q900" s="34"/>
      <c r="R900" s="34"/>
      <c r="S900" s="29"/>
      <c r="T900" s="29"/>
      <c r="U900" s="29"/>
      <c r="V900" s="29"/>
      <c r="W900" s="29"/>
      <c r="X900" s="29"/>
      <c r="Y900" s="2"/>
      <c r="Z900" s="34"/>
      <c r="AA900" s="2"/>
      <c r="AB900" s="29"/>
      <c r="AC900" s="29"/>
      <c r="AD900" s="29"/>
      <c r="AE900" s="29"/>
      <c r="AF900" s="29"/>
      <c r="AG900" s="29"/>
      <c r="AH900" s="29"/>
      <c r="AI900" s="29"/>
      <c r="AJ900" s="34"/>
      <c r="AK900" s="34"/>
      <c r="AL900" s="29"/>
      <c r="AM900" s="29"/>
    </row>
    <row x14ac:dyDescent="0.25" r="901" customHeight="1" ht="15.75">
      <c r="A901" s="1"/>
      <c r="B901" s="34"/>
      <c r="C901" s="34"/>
      <c r="D901" s="34"/>
      <c r="E901" s="34"/>
      <c r="F901" s="34"/>
      <c r="G901" s="60"/>
      <c r="H901" s="60"/>
      <c r="I901" s="29"/>
      <c r="J901" s="29"/>
      <c r="K901" s="29"/>
      <c r="L901" s="29"/>
      <c r="M901" s="29"/>
      <c r="N901" s="29"/>
      <c r="O901" s="29"/>
      <c r="P901" s="29"/>
      <c r="Q901" s="34"/>
      <c r="R901" s="34"/>
      <c r="S901" s="29"/>
      <c r="T901" s="29"/>
      <c r="U901" s="29"/>
      <c r="V901" s="29"/>
      <c r="W901" s="29"/>
      <c r="X901" s="29"/>
      <c r="Y901" s="2"/>
      <c r="Z901" s="34"/>
      <c r="AA901" s="2"/>
      <c r="AB901" s="29"/>
      <c r="AC901" s="29"/>
      <c r="AD901" s="29"/>
      <c r="AE901" s="29"/>
      <c r="AF901" s="29"/>
      <c r="AG901" s="29"/>
      <c r="AH901" s="29"/>
      <c r="AI901" s="29"/>
      <c r="AJ901" s="34"/>
      <c r="AK901" s="34"/>
      <c r="AL901" s="29"/>
      <c r="AM901" s="29"/>
    </row>
    <row x14ac:dyDescent="0.25" r="902" customHeight="1" ht="15.75">
      <c r="A902" s="1"/>
      <c r="B902" s="34"/>
      <c r="C902" s="34"/>
      <c r="D902" s="34"/>
      <c r="E902" s="34"/>
      <c r="F902" s="34"/>
      <c r="G902" s="60"/>
      <c r="H902" s="60"/>
      <c r="I902" s="29"/>
      <c r="J902" s="29"/>
      <c r="K902" s="29"/>
      <c r="L902" s="29"/>
      <c r="M902" s="29"/>
      <c r="N902" s="29"/>
      <c r="O902" s="29"/>
      <c r="P902" s="29"/>
      <c r="Q902" s="34"/>
      <c r="R902" s="34"/>
      <c r="S902" s="29"/>
      <c r="T902" s="29"/>
      <c r="U902" s="29"/>
      <c r="V902" s="29"/>
      <c r="W902" s="29"/>
      <c r="X902" s="29"/>
      <c r="Y902" s="2"/>
      <c r="Z902" s="34"/>
      <c r="AA902" s="2"/>
      <c r="AB902" s="29"/>
      <c r="AC902" s="29"/>
      <c r="AD902" s="29"/>
      <c r="AE902" s="29"/>
      <c r="AF902" s="29"/>
      <c r="AG902" s="29"/>
      <c r="AH902" s="29"/>
      <c r="AI902" s="29"/>
      <c r="AJ902" s="34"/>
      <c r="AK902" s="34"/>
      <c r="AL902" s="29"/>
      <c r="AM902" s="29"/>
    </row>
    <row x14ac:dyDescent="0.25" r="903" customHeight="1" ht="15.75">
      <c r="A903" s="1"/>
      <c r="B903" s="34"/>
      <c r="C903" s="34"/>
      <c r="D903" s="34"/>
      <c r="E903" s="34"/>
      <c r="F903" s="34"/>
      <c r="G903" s="60"/>
      <c r="H903" s="60"/>
      <c r="I903" s="29"/>
      <c r="J903" s="29"/>
      <c r="K903" s="29"/>
      <c r="L903" s="29"/>
      <c r="M903" s="29"/>
      <c r="N903" s="29"/>
      <c r="O903" s="29"/>
      <c r="P903" s="29"/>
      <c r="Q903" s="34"/>
      <c r="R903" s="34"/>
      <c r="S903" s="29"/>
      <c r="T903" s="29"/>
      <c r="U903" s="29"/>
      <c r="V903" s="29"/>
      <c r="W903" s="29"/>
      <c r="X903" s="29"/>
      <c r="Y903" s="2"/>
      <c r="Z903" s="34"/>
      <c r="AA903" s="2"/>
      <c r="AB903" s="29"/>
      <c r="AC903" s="29"/>
      <c r="AD903" s="29"/>
      <c r="AE903" s="29"/>
      <c r="AF903" s="29"/>
      <c r="AG903" s="29"/>
      <c r="AH903" s="29"/>
      <c r="AI903" s="29"/>
      <c r="AJ903" s="34"/>
      <c r="AK903" s="34"/>
      <c r="AL903" s="29"/>
      <c r="AM903" s="29"/>
    </row>
    <row x14ac:dyDescent="0.25" r="904" customHeight="1" ht="15.75">
      <c r="A904" s="1"/>
      <c r="B904" s="34"/>
      <c r="C904" s="34"/>
      <c r="D904" s="34"/>
      <c r="E904" s="34"/>
      <c r="F904" s="34"/>
      <c r="G904" s="60"/>
      <c r="H904" s="60"/>
      <c r="I904" s="29"/>
      <c r="J904" s="29"/>
      <c r="K904" s="29"/>
      <c r="L904" s="29"/>
      <c r="M904" s="29"/>
      <c r="N904" s="29"/>
      <c r="O904" s="29"/>
      <c r="P904" s="29"/>
      <c r="Q904" s="34"/>
      <c r="R904" s="34"/>
      <c r="S904" s="29"/>
      <c r="T904" s="29"/>
      <c r="U904" s="29"/>
      <c r="V904" s="29"/>
      <c r="W904" s="29"/>
      <c r="X904" s="29"/>
      <c r="Y904" s="2"/>
      <c r="Z904" s="34"/>
      <c r="AA904" s="2"/>
      <c r="AB904" s="29"/>
      <c r="AC904" s="29"/>
      <c r="AD904" s="29"/>
      <c r="AE904" s="29"/>
      <c r="AF904" s="29"/>
      <c r="AG904" s="29"/>
      <c r="AH904" s="29"/>
      <c r="AI904" s="29"/>
      <c r="AJ904" s="34"/>
      <c r="AK904" s="34"/>
      <c r="AL904" s="29"/>
      <c r="AM904" s="29"/>
    </row>
    <row x14ac:dyDescent="0.25" r="905" customHeight="1" ht="15.75">
      <c r="A905" s="1"/>
      <c r="B905" s="34"/>
      <c r="C905" s="34"/>
      <c r="D905" s="34"/>
      <c r="E905" s="34"/>
      <c r="F905" s="34"/>
      <c r="G905" s="60"/>
      <c r="H905" s="60"/>
      <c r="I905" s="29"/>
      <c r="J905" s="29"/>
      <c r="K905" s="29"/>
      <c r="L905" s="29"/>
      <c r="M905" s="29"/>
      <c r="N905" s="29"/>
      <c r="O905" s="29"/>
      <c r="P905" s="29"/>
      <c r="Q905" s="34"/>
      <c r="R905" s="34"/>
      <c r="S905" s="29"/>
      <c r="T905" s="29"/>
      <c r="U905" s="29"/>
      <c r="V905" s="29"/>
      <c r="W905" s="29"/>
      <c r="X905" s="29"/>
      <c r="Y905" s="2"/>
      <c r="Z905" s="34"/>
      <c r="AA905" s="2"/>
      <c r="AB905" s="29"/>
      <c r="AC905" s="29"/>
      <c r="AD905" s="29"/>
      <c r="AE905" s="29"/>
      <c r="AF905" s="29"/>
      <c r="AG905" s="29"/>
      <c r="AH905" s="29"/>
      <c r="AI905" s="29"/>
      <c r="AJ905" s="34"/>
      <c r="AK905" s="34"/>
      <c r="AL905" s="29"/>
      <c r="AM905" s="29"/>
    </row>
    <row x14ac:dyDescent="0.25" r="906" customHeight="1" ht="15.75">
      <c r="A906" s="1"/>
      <c r="B906" s="34"/>
      <c r="C906" s="34"/>
      <c r="D906" s="34"/>
      <c r="E906" s="34"/>
      <c r="F906" s="34"/>
      <c r="G906" s="60"/>
      <c r="H906" s="60"/>
      <c r="I906" s="29"/>
      <c r="J906" s="29"/>
      <c r="K906" s="29"/>
      <c r="L906" s="29"/>
      <c r="M906" s="29"/>
      <c r="N906" s="29"/>
      <c r="O906" s="29"/>
      <c r="P906" s="29"/>
      <c r="Q906" s="34"/>
      <c r="R906" s="34"/>
      <c r="S906" s="29"/>
      <c r="T906" s="29"/>
      <c r="U906" s="29"/>
      <c r="V906" s="29"/>
      <c r="W906" s="29"/>
      <c r="X906" s="29"/>
      <c r="Y906" s="2"/>
      <c r="Z906" s="34"/>
      <c r="AA906" s="2"/>
      <c r="AB906" s="29"/>
      <c r="AC906" s="29"/>
      <c r="AD906" s="29"/>
      <c r="AE906" s="29"/>
      <c r="AF906" s="29"/>
      <c r="AG906" s="29"/>
      <c r="AH906" s="29"/>
      <c r="AI906" s="29"/>
      <c r="AJ906" s="34"/>
      <c r="AK906" s="34"/>
      <c r="AL906" s="29"/>
      <c r="AM906" s="29"/>
    </row>
    <row x14ac:dyDescent="0.25" r="907" customHeight="1" ht="15.75">
      <c r="A907" s="1"/>
      <c r="B907" s="34"/>
      <c r="C907" s="34"/>
      <c r="D907" s="34"/>
      <c r="E907" s="34"/>
      <c r="F907" s="34"/>
      <c r="G907" s="60"/>
      <c r="H907" s="60"/>
      <c r="I907" s="29"/>
      <c r="J907" s="29"/>
      <c r="K907" s="29"/>
      <c r="L907" s="29"/>
      <c r="M907" s="29"/>
      <c r="N907" s="29"/>
      <c r="O907" s="29"/>
      <c r="P907" s="29"/>
      <c r="Q907" s="34"/>
      <c r="R907" s="34"/>
      <c r="S907" s="29"/>
      <c r="T907" s="29"/>
      <c r="U907" s="29"/>
      <c r="V907" s="29"/>
      <c r="W907" s="29"/>
      <c r="X907" s="29"/>
      <c r="Y907" s="2"/>
      <c r="Z907" s="34"/>
      <c r="AA907" s="2"/>
      <c r="AB907" s="29"/>
      <c r="AC907" s="29"/>
      <c r="AD907" s="29"/>
      <c r="AE907" s="29"/>
      <c r="AF907" s="29"/>
      <c r="AG907" s="29"/>
      <c r="AH907" s="29"/>
      <c r="AI907" s="29"/>
      <c r="AJ907" s="34"/>
      <c r="AK907" s="34"/>
      <c r="AL907" s="29"/>
      <c r="AM907" s="29"/>
    </row>
    <row x14ac:dyDescent="0.25" r="908" customHeight="1" ht="15.75">
      <c r="A908" s="1"/>
      <c r="B908" s="34"/>
      <c r="C908" s="34"/>
      <c r="D908" s="34"/>
      <c r="E908" s="34"/>
      <c r="F908" s="34"/>
      <c r="G908" s="60"/>
      <c r="H908" s="60"/>
      <c r="I908" s="29"/>
      <c r="J908" s="29"/>
      <c r="K908" s="29"/>
      <c r="L908" s="29"/>
      <c r="M908" s="29"/>
      <c r="N908" s="29"/>
      <c r="O908" s="29"/>
      <c r="P908" s="29"/>
      <c r="Q908" s="34"/>
      <c r="R908" s="34"/>
      <c r="S908" s="29"/>
      <c r="T908" s="29"/>
      <c r="U908" s="29"/>
      <c r="V908" s="29"/>
      <c r="W908" s="29"/>
      <c r="X908" s="29"/>
      <c r="Y908" s="2"/>
      <c r="Z908" s="34"/>
      <c r="AA908" s="2"/>
      <c r="AB908" s="29"/>
      <c r="AC908" s="29"/>
      <c r="AD908" s="29"/>
      <c r="AE908" s="29"/>
      <c r="AF908" s="29"/>
      <c r="AG908" s="29"/>
      <c r="AH908" s="29"/>
      <c r="AI908" s="29"/>
      <c r="AJ908" s="34"/>
      <c r="AK908" s="34"/>
      <c r="AL908" s="29"/>
      <c r="AM908" s="29"/>
    </row>
    <row x14ac:dyDescent="0.25" r="909" customHeight="1" ht="15.75">
      <c r="A909" s="1"/>
      <c r="B909" s="34"/>
      <c r="C909" s="34"/>
      <c r="D909" s="34"/>
      <c r="E909" s="34"/>
      <c r="F909" s="34"/>
      <c r="G909" s="60"/>
      <c r="H909" s="60"/>
      <c r="I909" s="29"/>
      <c r="J909" s="29"/>
      <c r="K909" s="29"/>
      <c r="L909" s="29"/>
      <c r="M909" s="29"/>
      <c r="N909" s="29"/>
      <c r="O909" s="29"/>
      <c r="P909" s="29"/>
      <c r="Q909" s="34"/>
      <c r="R909" s="34"/>
      <c r="S909" s="29"/>
      <c r="T909" s="29"/>
      <c r="U909" s="29"/>
      <c r="V909" s="29"/>
      <c r="W909" s="29"/>
      <c r="X909" s="29"/>
      <c r="Y909" s="2"/>
      <c r="Z909" s="34"/>
      <c r="AA909" s="2"/>
      <c r="AB909" s="29"/>
      <c r="AC909" s="29"/>
      <c r="AD909" s="29"/>
      <c r="AE909" s="29"/>
      <c r="AF909" s="29"/>
      <c r="AG909" s="29"/>
      <c r="AH909" s="29"/>
      <c r="AI909" s="29"/>
      <c r="AJ909" s="34"/>
      <c r="AK909" s="34"/>
      <c r="AL909" s="29"/>
      <c r="AM909" s="29"/>
    </row>
    <row x14ac:dyDescent="0.25" r="910" customHeight="1" ht="15.75">
      <c r="A910" s="1"/>
      <c r="B910" s="34"/>
      <c r="C910" s="34"/>
      <c r="D910" s="34"/>
      <c r="E910" s="34"/>
      <c r="F910" s="34"/>
      <c r="G910" s="60"/>
      <c r="H910" s="60"/>
      <c r="I910" s="29"/>
      <c r="J910" s="29"/>
      <c r="K910" s="29"/>
      <c r="L910" s="29"/>
      <c r="M910" s="29"/>
      <c r="N910" s="29"/>
      <c r="O910" s="29"/>
      <c r="P910" s="29"/>
      <c r="Q910" s="34"/>
      <c r="R910" s="34"/>
      <c r="S910" s="29"/>
      <c r="T910" s="29"/>
      <c r="U910" s="29"/>
      <c r="V910" s="29"/>
      <c r="W910" s="29"/>
      <c r="X910" s="29"/>
      <c r="Y910" s="2"/>
      <c r="Z910" s="34"/>
      <c r="AA910" s="2"/>
      <c r="AB910" s="29"/>
      <c r="AC910" s="29"/>
      <c r="AD910" s="29"/>
      <c r="AE910" s="29"/>
      <c r="AF910" s="29"/>
      <c r="AG910" s="29"/>
      <c r="AH910" s="29"/>
      <c r="AI910" s="29"/>
      <c r="AJ910" s="34"/>
      <c r="AK910" s="34"/>
      <c r="AL910" s="29"/>
      <c r="AM910" s="29"/>
    </row>
    <row x14ac:dyDescent="0.25" r="911" customHeight="1" ht="15.75">
      <c r="A911" s="1"/>
      <c r="B911" s="34"/>
      <c r="C911" s="34"/>
      <c r="D911" s="34"/>
      <c r="E911" s="34"/>
      <c r="F911" s="34"/>
      <c r="G911" s="60"/>
      <c r="H911" s="60"/>
      <c r="I911" s="29"/>
      <c r="J911" s="29"/>
      <c r="K911" s="29"/>
      <c r="L911" s="29"/>
      <c r="M911" s="29"/>
      <c r="N911" s="29"/>
      <c r="O911" s="29"/>
      <c r="P911" s="29"/>
      <c r="Q911" s="34"/>
      <c r="R911" s="34"/>
      <c r="S911" s="29"/>
      <c r="T911" s="29"/>
      <c r="U911" s="29"/>
      <c r="V911" s="29"/>
      <c r="W911" s="29"/>
      <c r="X911" s="29"/>
      <c r="Y911" s="2"/>
      <c r="Z911" s="34"/>
      <c r="AA911" s="2"/>
      <c r="AB911" s="29"/>
      <c r="AC911" s="29"/>
      <c r="AD911" s="29"/>
      <c r="AE911" s="29"/>
      <c r="AF911" s="29"/>
      <c r="AG911" s="29"/>
      <c r="AH911" s="29"/>
      <c r="AI911" s="29"/>
      <c r="AJ911" s="34"/>
      <c r="AK911" s="34"/>
      <c r="AL911" s="29"/>
      <c r="AM911" s="29"/>
    </row>
    <row x14ac:dyDescent="0.25" r="912" customHeight="1" ht="15.75">
      <c r="A912" s="1"/>
      <c r="B912" s="34"/>
      <c r="C912" s="34"/>
      <c r="D912" s="34"/>
      <c r="E912" s="34"/>
      <c r="F912" s="34"/>
      <c r="G912" s="60"/>
      <c r="H912" s="60"/>
      <c r="I912" s="29"/>
      <c r="J912" s="29"/>
      <c r="K912" s="29"/>
      <c r="L912" s="29"/>
      <c r="M912" s="29"/>
      <c r="N912" s="29"/>
      <c r="O912" s="29"/>
      <c r="P912" s="29"/>
      <c r="Q912" s="34"/>
      <c r="R912" s="34"/>
      <c r="S912" s="29"/>
      <c r="T912" s="29"/>
      <c r="U912" s="29"/>
      <c r="V912" s="29"/>
      <c r="W912" s="29"/>
      <c r="X912" s="29"/>
      <c r="Y912" s="2"/>
      <c r="Z912" s="34"/>
      <c r="AA912" s="2"/>
      <c r="AB912" s="29"/>
      <c r="AC912" s="29"/>
      <c r="AD912" s="29"/>
      <c r="AE912" s="29"/>
      <c r="AF912" s="29"/>
      <c r="AG912" s="29"/>
      <c r="AH912" s="29"/>
      <c r="AI912" s="29"/>
      <c r="AJ912" s="34"/>
      <c r="AK912" s="34"/>
      <c r="AL912" s="29"/>
      <c r="AM912" s="29"/>
    </row>
    <row x14ac:dyDescent="0.25" r="913" customHeight="1" ht="15.75">
      <c r="A913" s="1"/>
      <c r="B913" s="34"/>
      <c r="C913" s="34"/>
      <c r="D913" s="34"/>
      <c r="E913" s="34"/>
      <c r="F913" s="34"/>
      <c r="G913" s="60"/>
      <c r="H913" s="60"/>
      <c r="I913" s="29"/>
      <c r="J913" s="29"/>
      <c r="K913" s="29"/>
      <c r="L913" s="29"/>
      <c r="M913" s="29"/>
      <c r="N913" s="29"/>
      <c r="O913" s="29"/>
      <c r="P913" s="29"/>
      <c r="Q913" s="34"/>
      <c r="R913" s="34"/>
      <c r="S913" s="29"/>
      <c r="T913" s="29"/>
      <c r="U913" s="29"/>
      <c r="V913" s="29"/>
      <c r="W913" s="29"/>
      <c r="X913" s="29"/>
      <c r="Y913" s="2"/>
      <c r="Z913" s="34"/>
      <c r="AA913" s="2"/>
      <c r="AB913" s="29"/>
      <c r="AC913" s="29"/>
      <c r="AD913" s="29"/>
      <c r="AE913" s="29"/>
      <c r="AF913" s="29"/>
      <c r="AG913" s="29"/>
      <c r="AH913" s="29"/>
      <c r="AI913" s="29"/>
      <c r="AJ913" s="34"/>
      <c r="AK913" s="34"/>
      <c r="AL913" s="29"/>
      <c r="AM913" s="29"/>
    </row>
    <row x14ac:dyDescent="0.25" r="914" customHeight="1" ht="15.75">
      <c r="A914" s="1"/>
      <c r="B914" s="34"/>
      <c r="C914" s="34"/>
      <c r="D914" s="34"/>
      <c r="E914" s="34"/>
      <c r="F914" s="34"/>
      <c r="G914" s="60"/>
      <c r="H914" s="60"/>
      <c r="I914" s="29"/>
      <c r="J914" s="29"/>
      <c r="K914" s="29"/>
      <c r="L914" s="29"/>
      <c r="M914" s="29"/>
      <c r="N914" s="29"/>
      <c r="O914" s="29"/>
      <c r="P914" s="29"/>
      <c r="Q914" s="34"/>
      <c r="R914" s="34"/>
      <c r="S914" s="29"/>
      <c r="T914" s="29"/>
      <c r="U914" s="29"/>
      <c r="V914" s="29"/>
      <c r="W914" s="29"/>
      <c r="X914" s="29"/>
      <c r="Y914" s="2"/>
      <c r="Z914" s="34"/>
      <c r="AA914" s="2"/>
      <c r="AB914" s="29"/>
      <c r="AC914" s="29"/>
      <c r="AD914" s="29"/>
      <c r="AE914" s="29"/>
      <c r="AF914" s="29"/>
      <c r="AG914" s="29"/>
      <c r="AH914" s="29"/>
      <c r="AI914" s="29"/>
      <c r="AJ914" s="34"/>
      <c r="AK914" s="34"/>
      <c r="AL914" s="29"/>
      <c r="AM914" s="29"/>
    </row>
    <row x14ac:dyDescent="0.25" r="915" customHeight="1" ht="15.75">
      <c r="A915" s="1"/>
      <c r="B915" s="34"/>
      <c r="C915" s="34"/>
      <c r="D915" s="34"/>
      <c r="E915" s="34"/>
      <c r="F915" s="34"/>
      <c r="G915" s="60"/>
      <c r="H915" s="60"/>
      <c r="I915" s="29"/>
      <c r="J915" s="29"/>
      <c r="K915" s="29"/>
      <c r="L915" s="29"/>
      <c r="M915" s="29"/>
      <c r="N915" s="29"/>
      <c r="O915" s="29"/>
      <c r="P915" s="29"/>
      <c r="Q915" s="34"/>
      <c r="R915" s="34"/>
      <c r="S915" s="29"/>
      <c r="T915" s="29"/>
      <c r="U915" s="29"/>
      <c r="V915" s="29"/>
      <c r="W915" s="29"/>
      <c r="X915" s="29"/>
      <c r="Y915" s="2"/>
      <c r="Z915" s="34"/>
      <c r="AA915" s="2"/>
      <c r="AB915" s="29"/>
      <c r="AC915" s="29"/>
      <c r="AD915" s="29"/>
      <c r="AE915" s="29"/>
      <c r="AF915" s="29"/>
      <c r="AG915" s="29"/>
      <c r="AH915" s="29"/>
      <c r="AI915" s="29"/>
      <c r="AJ915" s="34"/>
      <c r="AK915" s="34"/>
      <c r="AL915" s="29"/>
      <c r="AM915" s="29"/>
    </row>
    <row x14ac:dyDescent="0.25" r="916" customHeight="1" ht="15.75">
      <c r="A916" s="1"/>
      <c r="B916" s="34"/>
      <c r="C916" s="34"/>
      <c r="D916" s="34"/>
      <c r="E916" s="34"/>
      <c r="F916" s="34"/>
      <c r="G916" s="60"/>
      <c r="H916" s="60"/>
      <c r="I916" s="29"/>
      <c r="J916" s="29"/>
      <c r="K916" s="29"/>
      <c r="L916" s="29"/>
      <c r="M916" s="29"/>
      <c r="N916" s="29"/>
      <c r="O916" s="29"/>
      <c r="P916" s="29"/>
      <c r="Q916" s="34"/>
      <c r="R916" s="34"/>
      <c r="S916" s="29"/>
      <c r="T916" s="29"/>
      <c r="U916" s="29"/>
      <c r="V916" s="29"/>
      <c r="W916" s="29"/>
      <c r="X916" s="29"/>
      <c r="Y916" s="2"/>
      <c r="Z916" s="34"/>
      <c r="AA916" s="2"/>
      <c r="AB916" s="29"/>
      <c r="AC916" s="29"/>
      <c r="AD916" s="29"/>
      <c r="AE916" s="29"/>
      <c r="AF916" s="29"/>
      <c r="AG916" s="29"/>
      <c r="AH916" s="29"/>
      <c r="AI916" s="29"/>
      <c r="AJ916" s="34"/>
      <c r="AK916" s="34"/>
      <c r="AL916" s="29"/>
      <c r="AM916" s="29"/>
    </row>
    <row x14ac:dyDescent="0.25" r="917" customHeight="1" ht="15.75">
      <c r="A917" s="1"/>
      <c r="B917" s="34"/>
      <c r="C917" s="34"/>
      <c r="D917" s="34"/>
      <c r="E917" s="34"/>
      <c r="F917" s="34"/>
      <c r="G917" s="60"/>
      <c r="H917" s="60"/>
      <c r="I917" s="29"/>
      <c r="J917" s="29"/>
      <c r="K917" s="29"/>
      <c r="L917" s="29"/>
      <c r="M917" s="29"/>
      <c r="N917" s="29"/>
      <c r="O917" s="29"/>
      <c r="P917" s="29"/>
      <c r="Q917" s="34"/>
      <c r="R917" s="34"/>
      <c r="S917" s="29"/>
      <c r="T917" s="29"/>
      <c r="U917" s="29"/>
      <c r="V917" s="29"/>
      <c r="W917" s="29"/>
      <c r="X917" s="29"/>
      <c r="Y917" s="2"/>
      <c r="Z917" s="34"/>
      <c r="AA917" s="2"/>
      <c r="AB917" s="29"/>
      <c r="AC917" s="29"/>
      <c r="AD917" s="29"/>
      <c r="AE917" s="29"/>
      <c r="AF917" s="29"/>
      <c r="AG917" s="29"/>
      <c r="AH917" s="29"/>
      <c r="AI917" s="29"/>
      <c r="AJ917" s="34"/>
      <c r="AK917" s="34"/>
      <c r="AL917" s="29"/>
      <c r="AM917" s="29"/>
    </row>
    <row x14ac:dyDescent="0.25" r="918" customHeight="1" ht="15.75">
      <c r="A918" s="1"/>
      <c r="B918" s="34"/>
      <c r="C918" s="34"/>
      <c r="D918" s="34"/>
      <c r="E918" s="34"/>
      <c r="F918" s="34"/>
      <c r="G918" s="60"/>
      <c r="H918" s="60"/>
      <c r="I918" s="29"/>
      <c r="J918" s="29"/>
      <c r="K918" s="29"/>
      <c r="L918" s="29"/>
      <c r="M918" s="29"/>
      <c r="N918" s="29"/>
      <c r="O918" s="29"/>
      <c r="P918" s="29"/>
      <c r="Q918" s="34"/>
      <c r="R918" s="34"/>
      <c r="S918" s="29"/>
      <c r="T918" s="29"/>
      <c r="U918" s="29"/>
      <c r="V918" s="29"/>
      <c r="W918" s="29"/>
      <c r="X918" s="29"/>
      <c r="Y918" s="2"/>
      <c r="Z918" s="34"/>
      <c r="AA918" s="2"/>
      <c r="AB918" s="29"/>
      <c r="AC918" s="29"/>
      <c r="AD918" s="29"/>
      <c r="AE918" s="29"/>
      <c r="AF918" s="29"/>
      <c r="AG918" s="29"/>
      <c r="AH918" s="29"/>
      <c r="AI918" s="29"/>
      <c r="AJ918" s="34"/>
      <c r="AK918" s="34"/>
      <c r="AL918" s="29"/>
      <c r="AM918" s="29"/>
    </row>
    <row x14ac:dyDescent="0.25" r="919" customHeight="1" ht="15.75">
      <c r="A919" s="1"/>
      <c r="B919" s="34"/>
      <c r="C919" s="34"/>
      <c r="D919" s="34"/>
      <c r="E919" s="34"/>
      <c r="F919" s="34"/>
      <c r="G919" s="60"/>
      <c r="H919" s="60"/>
      <c r="I919" s="29"/>
      <c r="J919" s="29"/>
      <c r="K919" s="29"/>
      <c r="L919" s="29"/>
      <c r="M919" s="29"/>
      <c r="N919" s="29"/>
      <c r="O919" s="29"/>
      <c r="P919" s="29"/>
      <c r="Q919" s="34"/>
      <c r="R919" s="34"/>
      <c r="S919" s="29"/>
      <c r="T919" s="29"/>
      <c r="U919" s="29"/>
      <c r="V919" s="29"/>
      <c r="W919" s="29"/>
      <c r="X919" s="29"/>
      <c r="Y919" s="2"/>
      <c r="Z919" s="34"/>
      <c r="AA919" s="2"/>
      <c r="AB919" s="29"/>
      <c r="AC919" s="29"/>
      <c r="AD919" s="29"/>
      <c r="AE919" s="29"/>
      <c r="AF919" s="29"/>
      <c r="AG919" s="29"/>
      <c r="AH919" s="29"/>
      <c r="AI919" s="29"/>
      <c r="AJ919" s="34"/>
      <c r="AK919" s="34"/>
      <c r="AL919" s="29"/>
      <c r="AM919" s="29"/>
    </row>
    <row x14ac:dyDescent="0.25" r="920" customHeight="1" ht="15.75">
      <c r="A920" s="1"/>
      <c r="B920" s="34"/>
      <c r="C920" s="34"/>
      <c r="D920" s="34"/>
      <c r="E920" s="34"/>
      <c r="F920" s="34"/>
      <c r="G920" s="60"/>
      <c r="H920" s="60"/>
      <c r="I920" s="29"/>
      <c r="J920" s="29"/>
      <c r="K920" s="29"/>
      <c r="L920" s="29"/>
      <c r="M920" s="29"/>
      <c r="N920" s="29"/>
      <c r="O920" s="29"/>
      <c r="P920" s="29"/>
      <c r="Q920" s="34"/>
      <c r="R920" s="34"/>
      <c r="S920" s="29"/>
      <c r="T920" s="29"/>
      <c r="U920" s="29"/>
      <c r="V920" s="29"/>
      <c r="W920" s="29"/>
      <c r="X920" s="29"/>
      <c r="Y920" s="2"/>
      <c r="Z920" s="34"/>
      <c r="AA920" s="2"/>
      <c r="AB920" s="29"/>
      <c r="AC920" s="29"/>
      <c r="AD920" s="29"/>
      <c r="AE920" s="29"/>
      <c r="AF920" s="29"/>
      <c r="AG920" s="29"/>
      <c r="AH920" s="29"/>
      <c r="AI920" s="29"/>
      <c r="AJ920" s="34"/>
      <c r="AK920" s="34"/>
      <c r="AL920" s="29"/>
      <c r="AM920" s="29"/>
    </row>
    <row x14ac:dyDescent="0.25" r="921" customHeight="1" ht="15.75">
      <c r="A921" s="1"/>
      <c r="B921" s="34"/>
      <c r="C921" s="34"/>
      <c r="D921" s="34"/>
      <c r="E921" s="34"/>
      <c r="F921" s="34"/>
      <c r="G921" s="60"/>
      <c r="H921" s="60"/>
      <c r="I921" s="29"/>
      <c r="J921" s="29"/>
      <c r="K921" s="29"/>
      <c r="L921" s="29"/>
      <c r="M921" s="29"/>
      <c r="N921" s="29"/>
      <c r="O921" s="29"/>
      <c r="P921" s="29"/>
      <c r="Q921" s="34"/>
      <c r="R921" s="34"/>
      <c r="S921" s="29"/>
      <c r="T921" s="29"/>
      <c r="U921" s="29"/>
      <c r="V921" s="29"/>
      <c r="W921" s="29"/>
      <c r="X921" s="29"/>
      <c r="Y921" s="2"/>
      <c r="Z921" s="34"/>
      <c r="AA921" s="2"/>
      <c r="AB921" s="29"/>
      <c r="AC921" s="29"/>
      <c r="AD921" s="29"/>
      <c r="AE921" s="29"/>
      <c r="AF921" s="29"/>
      <c r="AG921" s="29"/>
      <c r="AH921" s="29"/>
      <c r="AI921" s="29"/>
      <c r="AJ921" s="34"/>
      <c r="AK921" s="34"/>
      <c r="AL921" s="29"/>
      <c r="AM921" s="29"/>
    </row>
    <row x14ac:dyDescent="0.25" r="922" customHeight="1" ht="15.75">
      <c r="A922" s="1"/>
      <c r="B922" s="34"/>
      <c r="C922" s="34"/>
      <c r="D922" s="34"/>
      <c r="E922" s="34"/>
      <c r="F922" s="34"/>
      <c r="G922" s="60"/>
      <c r="H922" s="60"/>
      <c r="I922" s="29"/>
      <c r="J922" s="29"/>
      <c r="K922" s="29"/>
      <c r="L922" s="29"/>
      <c r="M922" s="29"/>
      <c r="N922" s="29"/>
      <c r="O922" s="29"/>
      <c r="P922" s="29"/>
      <c r="Q922" s="34"/>
      <c r="R922" s="34"/>
      <c r="S922" s="29"/>
      <c r="T922" s="29"/>
      <c r="U922" s="29"/>
      <c r="V922" s="29"/>
      <c r="W922" s="29"/>
      <c r="X922" s="29"/>
      <c r="Y922" s="2"/>
      <c r="Z922" s="34"/>
      <c r="AA922" s="2"/>
      <c r="AB922" s="29"/>
      <c r="AC922" s="29"/>
      <c r="AD922" s="29"/>
      <c r="AE922" s="29"/>
      <c r="AF922" s="29"/>
      <c r="AG922" s="29"/>
      <c r="AH922" s="29"/>
      <c r="AI922" s="29"/>
      <c r="AJ922" s="34"/>
      <c r="AK922" s="34"/>
      <c r="AL922" s="29"/>
      <c r="AM922" s="29"/>
    </row>
    <row x14ac:dyDescent="0.25" r="923" customHeight="1" ht="15.75">
      <c r="A923" s="1"/>
      <c r="B923" s="34"/>
      <c r="C923" s="34"/>
      <c r="D923" s="34"/>
      <c r="E923" s="34"/>
      <c r="F923" s="34"/>
      <c r="G923" s="60"/>
      <c r="H923" s="60"/>
      <c r="I923" s="29"/>
      <c r="J923" s="29"/>
      <c r="K923" s="29"/>
      <c r="L923" s="29"/>
      <c r="M923" s="29"/>
      <c r="N923" s="29"/>
      <c r="O923" s="29"/>
      <c r="P923" s="29"/>
      <c r="Q923" s="34"/>
      <c r="R923" s="34"/>
      <c r="S923" s="29"/>
      <c r="T923" s="29"/>
      <c r="U923" s="29"/>
      <c r="V923" s="29"/>
      <c r="W923" s="29"/>
      <c r="X923" s="29"/>
      <c r="Y923" s="2"/>
      <c r="Z923" s="34"/>
      <c r="AA923" s="2"/>
      <c r="AB923" s="29"/>
      <c r="AC923" s="29"/>
      <c r="AD923" s="29"/>
      <c r="AE923" s="29"/>
      <c r="AF923" s="29"/>
      <c r="AG923" s="29"/>
      <c r="AH923" s="29"/>
      <c r="AI923" s="29"/>
      <c r="AJ923" s="34"/>
      <c r="AK923" s="34"/>
      <c r="AL923" s="29"/>
      <c r="AM923" s="29"/>
    </row>
    <row x14ac:dyDescent="0.25" r="924" customHeight="1" ht="15.75">
      <c r="A924" s="1"/>
      <c r="B924" s="34"/>
      <c r="C924" s="34"/>
      <c r="D924" s="34"/>
      <c r="E924" s="34"/>
      <c r="F924" s="34"/>
      <c r="G924" s="60"/>
      <c r="H924" s="60"/>
      <c r="I924" s="29"/>
      <c r="J924" s="29"/>
      <c r="K924" s="29"/>
      <c r="L924" s="29"/>
      <c r="M924" s="29"/>
      <c r="N924" s="29"/>
      <c r="O924" s="29"/>
      <c r="P924" s="29"/>
      <c r="Q924" s="34"/>
      <c r="R924" s="34"/>
      <c r="S924" s="29"/>
      <c r="T924" s="29"/>
      <c r="U924" s="29"/>
      <c r="V924" s="29"/>
      <c r="W924" s="29"/>
      <c r="X924" s="29"/>
      <c r="Y924" s="2"/>
      <c r="Z924" s="34"/>
      <c r="AA924" s="2"/>
      <c r="AB924" s="29"/>
      <c r="AC924" s="29"/>
      <c r="AD924" s="29"/>
      <c r="AE924" s="29"/>
      <c r="AF924" s="29"/>
      <c r="AG924" s="29"/>
      <c r="AH924" s="29"/>
      <c r="AI924" s="29"/>
      <c r="AJ924" s="34"/>
      <c r="AK924" s="34"/>
      <c r="AL924" s="29"/>
      <c r="AM924" s="29"/>
    </row>
    <row x14ac:dyDescent="0.25" r="925" customHeight="1" ht="15.75">
      <c r="A925" s="1"/>
      <c r="B925" s="34"/>
      <c r="C925" s="34"/>
      <c r="D925" s="34"/>
      <c r="E925" s="34"/>
      <c r="F925" s="34"/>
      <c r="G925" s="60"/>
      <c r="H925" s="60"/>
      <c r="I925" s="29"/>
      <c r="J925" s="29"/>
      <c r="K925" s="29"/>
      <c r="L925" s="29"/>
      <c r="M925" s="29"/>
      <c r="N925" s="29"/>
      <c r="O925" s="29"/>
      <c r="P925" s="29"/>
      <c r="Q925" s="34"/>
      <c r="R925" s="34"/>
      <c r="S925" s="29"/>
      <c r="T925" s="29"/>
      <c r="U925" s="29"/>
      <c r="V925" s="29"/>
      <c r="W925" s="29"/>
      <c r="X925" s="29"/>
      <c r="Y925" s="2"/>
      <c r="Z925" s="34"/>
      <c r="AA925" s="2"/>
      <c r="AB925" s="29"/>
      <c r="AC925" s="29"/>
      <c r="AD925" s="29"/>
      <c r="AE925" s="29"/>
      <c r="AF925" s="29"/>
      <c r="AG925" s="29"/>
      <c r="AH925" s="29"/>
      <c r="AI925" s="29"/>
      <c r="AJ925" s="34"/>
      <c r="AK925" s="34"/>
      <c r="AL925" s="29"/>
      <c r="AM925" s="29"/>
    </row>
    <row x14ac:dyDescent="0.25" r="926" customHeight="1" ht="15.75">
      <c r="A926" s="1"/>
      <c r="B926" s="34"/>
      <c r="C926" s="34"/>
      <c r="D926" s="34"/>
      <c r="E926" s="34"/>
      <c r="F926" s="34"/>
      <c r="G926" s="60"/>
      <c r="H926" s="60"/>
      <c r="I926" s="29"/>
      <c r="J926" s="29"/>
      <c r="K926" s="29"/>
      <c r="L926" s="29"/>
      <c r="M926" s="29"/>
      <c r="N926" s="29"/>
      <c r="O926" s="29"/>
      <c r="P926" s="29"/>
      <c r="Q926" s="34"/>
      <c r="R926" s="34"/>
      <c r="S926" s="29"/>
      <c r="T926" s="29"/>
      <c r="U926" s="29"/>
      <c r="V926" s="29"/>
      <c r="W926" s="29"/>
      <c r="X926" s="29"/>
      <c r="Y926" s="2"/>
      <c r="Z926" s="34"/>
      <c r="AA926" s="2"/>
      <c r="AB926" s="29"/>
      <c r="AC926" s="29"/>
      <c r="AD926" s="29"/>
      <c r="AE926" s="29"/>
      <c r="AF926" s="29"/>
      <c r="AG926" s="29"/>
      <c r="AH926" s="29"/>
      <c r="AI926" s="29"/>
      <c r="AJ926" s="34"/>
      <c r="AK926" s="34"/>
      <c r="AL926" s="29"/>
      <c r="AM926" s="29"/>
    </row>
    <row x14ac:dyDescent="0.25" r="927" customHeight="1" ht="15.75">
      <c r="A927" s="1"/>
      <c r="B927" s="34"/>
      <c r="C927" s="34"/>
      <c r="D927" s="34"/>
      <c r="E927" s="34"/>
      <c r="F927" s="34"/>
      <c r="G927" s="60"/>
      <c r="H927" s="60"/>
      <c r="I927" s="29"/>
      <c r="J927" s="29"/>
      <c r="K927" s="29"/>
      <c r="L927" s="29"/>
      <c r="M927" s="29"/>
      <c r="N927" s="29"/>
      <c r="O927" s="29"/>
      <c r="P927" s="29"/>
      <c r="Q927" s="34"/>
      <c r="R927" s="34"/>
      <c r="S927" s="29"/>
      <c r="T927" s="29"/>
      <c r="U927" s="29"/>
      <c r="V927" s="29"/>
      <c r="W927" s="29"/>
      <c r="X927" s="29"/>
      <c r="Y927" s="2"/>
      <c r="Z927" s="34"/>
      <c r="AA927" s="2"/>
      <c r="AB927" s="29"/>
      <c r="AC927" s="29"/>
      <c r="AD927" s="29"/>
      <c r="AE927" s="29"/>
      <c r="AF927" s="29"/>
      <c r="AG927" s="29"/>
      <c r="AH927" s="29"/>
      <c r="AI927" s="29"/>
      <c r="AJ927" s="34"/>
      <c r="AK927" s="34"/>
      <c r="AL927" s="29"/>
      <c r="AM927" s="29"/>
    </row>
    <row x14ac:dyDescent="0.25" r="928" customHeight="1" ht="15.75">
      <c r="A928" s="1"/>
      <c r="B928" s="34"/>
      <c r="C928" s="34"/>
      <c r="D928" s="34"/>
      <c r="E928" s="34"/>
      <c r="F928" s="34"/>
      <c r="G928" s="60"/>
      <c r="H928" s="60"/>
      <c r="I928" s="29"/>
      <c r="J928" s="29"/>
      <c r="K928" s="29"/>
      <c r="L928" s="29"/>
      <c r="M928" s="29"/>
      <c r="N928" s="29"/>
      <c r="O928" s="29"/>
      <c r="P928" s="29"/>
      <c r="Q928" s="34"/>
      <c r="R928" s="34"/>
      <c r="S928" s="29"/>
      <c r="T928" s="29"/>
      <c r="U928" s="29"/>
      <c r="V928" s="29"/>
      <c r="W928" s="29"/>
      <c r="X928" s="29"/>
      <c r="Y928" s="2"/>
      <c r="Z928" s="34"/>
      <c r="AA928" s="2"/>
      <c r="AB928" s="29"/>
      <c r="AC928" s="29"/>
      <c r="AD928" s="29"/>
      <c r="AE928" s="29"/>
      <c r="AF928" s="29"/>
      <c r="AG928" s="29"/>
      <c r="AH928" s="29"/>
      <c r="AI928" s="29"/>
      <c r="AJ928" s="34"/>
      <c r="AK928" s="34"/>
      <c r="AL928" s="29"/>
      <c r="AM928" s="29"/>
    </row>
    <row x14ac:dyDescent="0.25" r="929" customHeight="1" ht="15.75">
      <c r="A929" s="1"/>
      <c r="B929" s="34"/>
      <c r="C929" s="34"/>
      <c r="D929" s="34"/>
      <c r="E929" s="34"/>
      <c r="F929" s="34"/>
      <c r="G929" s="60"/>
      <c r="H929" s="60"/>
      <c r="I929" s="29"/>
      <c r="J929" s="29"/>
      <c r="K929" s="29"/>
      <c r="L929" s="29"/>
      <c r="M929" s="29"/>
      <c r="N929" s="29"/>
      <c r="O929" s="29"/>
      <c r="P929" s="29"/>
      <c r="Q929" s="34"/>
      <c r="R929" s="34"/>
      <c r="S929" s="29"/>
      <c r="T929" s="29"/>
      <c r="U929" s="29"/>
      <c r="V929" s="29"/>
      <c r="W929" s="29"/>
      <c r="X929" s="29"/>
      <c r="Y929" s="2"/>
      <c r="Z929" s="34"/>
      <c r="AA929" s="2"/>
      <c r="AB929" s="29"/>
      <c r="AC929" s="29"/>
      <c r="AD929" s="29"/>
      <c r="AE929" s="29"/>
      <c r="AF929" s="29"/>
      <c r="AG929" s="29"/>
      <c r="AH929" s="29"/>
      <c r="AI929" s="29"/>
      <c r="AJ929" s="34"/>
      <c r="AK929" s="34"/>
      <c r="AL929" s="29"/>
      <c r="AM929" s="29"/>
    </row>
    <row x14ac:dyDescent="0.25" r="930" customHeight="1" ht="15.75">
      <c r="A930" s="1"/>
      <c r="B930" s="34"/>
      <c r="C930" s="34"/>
      <c r="D930" s="34"/>
      <c r="E930" s="34"/>
      <c r="F930" s="34"/>
      <c r="G930" s="60"/>
      <c r="H930" s="60"/>
      <c r="I930" s="29"/>
      <c r="J930" s="29"/>
      <c r="K930" s="29"/>
      <c r="L930" s="29"/>
      <c r="M930" s="29"/>
      <c r="N930" s="29"/>
      <c r="O930" s="29"/>
      <c r="P930" s="29"/>
      <c r="Q930" s="34"/>
      <c r="R930" s="34"/>
      <c r="S930" s="29"/>
      <c r="T930" s="29"/>
      <c r="U930" s="29"/>
      <c r="V930" s="29"/>
      <c r="W930" s="29"/>
      <c r="X930" s="29"/>
      <c r="Y930" s="2"/>
      <c r="Z930" s="34"/>
      <c r="AA930" s="2"/>
      <c r="AB930" s="29"/>
      <c r="AC930" s="29"/>
      <c r="AD930" s="29"/>
      <c r="AE930" s="29"/>
      <c r="AF930" s="29"/>
      <c r="AG930" s="29"/>
      <c r="AH930" s="29"/>
      <c r="AI930" s="29"/>
      <c r="AJ930" s="34"/>
      <c r="AK930" s="34"/>
      <c r="AL930" s="29"/>
      <c r="AM930" s="29"/>
    </row>
    <row x14ac:dyDescent="0.25" r="931" customHeight="1" ht="15.75">
      <c r="A931" s="1"/>
      <c r="B931" s="34"/>
      <c r="C931" s="34"/>
      <c r="D931" s="34"/>
      <c r="E931" s="34"/>
      <c r="F931" s="34"/>
      <c r="G931" s="60"/>
      <c r="H931" s="60"/>
      <c r="I931" s="29"/>
      <c r="J931" s="29"/>
      <c r="K931" s="29"/>
      <c r="L931" s="29"/>
      <c r="M931" s="29"/>
      <c r="N931" s="29"/>
      <c r="O931" s="29"/>
      <c r="P931" s="29"/>
      <c r="Q931" s="34"/>
      <c r="R931" s="34"/>
      <c r="S931" s="29"/>
      <c r="T931" s="29"/>
      <c r="U931" s="29"/>
      <c r="V931" s="29"/>
      <c r="W931" s="29"/>
      <c r="X931" s="29"/>
      <c r="Y931" s="2"/>
      <c r="Z931" s="34"/>
      <c r="AA931" s="2"/>
      <c r="AB931" s="29"/>
      <c r="AC931" s="29"/>
      <c r="AD931" s="29"/>
      <c r="AE931" s="29"/>
      <c r="AF931" s="29"/>
      <c r="AG931" s="29"/>
      <c r="AH931" s="29"/>
      <c r="AI931" s="29"/>
      <c r="AJ931" s="34"/>
      <c r="AK931" s="34"/>
      <c r="AL931" s="29"/>
      <c r="AM931" s="29"/>
    </row>
    <row x14ac:dyDescent="0.25" r="932" customHeight="1" ht="15.75">
      <c r="A932" s="1"/>
      <c r="B932" s="34"/>
      <c r="C932" s="34"/>
      <c r="D932" s="34"/>
      <c r="E932" s="34"/>
      <c r="F932" s="34"/>
      <c r="G932" s="60"/>
      <c r="H932" s="60"/>
      <c r="I932" s="29"/>
      <c r="J932" s="29"/>
      <c r="K932" s="29"/>
      <c r="L932" s="29"/>
      <c r="M932" s="29"/>
      <c r="N932" s="29"/>
      <c r="O932" s="29"/>
      <c r="P932" s="29"/>
      <c r="Q932" s="34"/>
      <c r="R932" s="34"/>
      <c r="S932" s="29"/>
      <c r="T932" s="29"/>
      <c r="U932" s="29"/>
      <c r="V932" s="29"/>
      <c r="W932" s="29"/>
      <c r="X932" s="29"/>
      <c r="Y932" s="2"/>
      <c r="Z932" s="34"/>
      <c r="AA932" s="2"/>
      <c r="AB932" s="29"/>
      <c r="AC932" s="29"/>
      <c r="AD932" s="29"/>
      <c r="AE932" s="29"/>
      <c r="AF932" s="29"/>
      <c r="AG932" s="29"/>
      <c r="AH932" s="29"/>
      <c r="AI932" s="29"/>
      <c r="AJ932" s="34"/>
      <c r="AK932" s="34"/>
      <c r="AL932" s="29"/>
      <c r="AM932" s="29"/>
    </row>
    <row x14ac:dyDescent="0.25" r="933" customHeight="1" ht="15.75">
      <c r="A933" s="1"/>
      <c r="B933" s="34"/>
      <c r="C933" s="34"/>
      <c r="D933" s="34"/>
      <c r="E933" s="34"/>
      <c r="F933" s="34"/>
      <c r="G933" s="60"/>
      <c r="H933" s="60"/>
      <c r="I933" s="29"/>
      <c r="J933" s="29"/>
      <c r="K933" s="29"/>
      <c r="L933" s="29"/>
      <c r="M933" s="29"/>
      <c r="N933" s="29"/>
      <c r="O933" s="29"/>
      <c r="P933" s="29"/>
      <c r="Q933" s="34"/>
      <c r="R933" s="34"/>
      <c r="S933" s="29"/>
      <c r="T933" s="29"/>
      <c r="U933" s="29"/>
      <c r="V933" s="29"/>
      <c r="W933" s="29"/>
      <c r="X933" s="29"/>
      <c r="Y933" s="2"/>
      <c r="Z933" s="34"/>
      <c r="AA933" s="2"/>
      <c r="AB933" s="29"/>
      <c r="AC933" s="29"/>
      <c r="AD933" s="29"/>
      <c r="AE933" s="29"/>
      <c r="AF933" s="29"/>
      <c r="AG933" s="29"/>
      <c r="AH933" s="29"/>
      <c r="AI933" s="29"/>
      <c r="AJ933" s="34"/>
      <c r="AK933" s="34"/>
      <c r="AL933" s="29"/>
      <c r="AM933" s="29"/>
    </row>
    <row x14ac:dyDescent="0.25" r="934" customHeight="1" ht="15.75">
      <c r="A934" s="1"/>
      <c r="B934" s="34"/>
      <c r="C934" s="34"/>
      <c r="D934" s="34"/>
      <c r="E934" s="34"/>
      <c r="F934" s="34"/>
      <c r="G934" s="60"/>
      <c r="H934" s="60"/>
      <c r="I934" s="29"/>
      <c r="J934" s="29"/>
      <c r="K934" s="29"/>
      <c r="L934" s="29"/>
      <c r="M934" s="29"/>
      <c r="N934" s="29"/>
      <c r="O934" s="29"/>
      <c r="P934" s="29"/>
      <c r="Q934" s="34"/>
      <c r="R934" s="34"/>
      <c r="S934" s="29"/>
      <c r="T934" s="29"/>
      <c r="U934" s="29"/>
      <c r="V934" s="29"/>
      <c r="W934" s="29"/>
      <c r="X934" s="29"/>
      <c r="Y934" s="2"/>
      <c r="Z934" s="34"/>
      <c r="AA934" s="2"/>
      <c r="AB934" s="29"/>
      <c r="AC934" s="29"/>
      <c r="AD934" s="29"/>
      <c r="AE934" s="29"/>
      <c r="AF934" s="29"/>
      <c r="AG934" s="29"/>
      <c r="AH934" s="29"/>
      <c r="AI934" s="29"/>
      <c r="AJ934" s="34"/>
      <c r="AK934" s="34"/>
      <c r="AL934" s="29"/>
      <c r="AM934" s="29"/>
    </row>
    <row x14ac:dyDescent="0.25" r="935" customHeight="1" ht="15.75">
      <c r="A935" s="1"/>
      <c r="B935" s="34"/>
      <c r="C935" s="34"/>
      <c r="D935" s="34"/>
      <c r="E935" s="34"/>
      <c r="F935" s="34"/>
      <c r="G935" s="60"/>
      <c r="H935" s="60"/>
      <c r="I935" s="29"/>
      <c r="J935" s="29"/>
      <c r="K935" s="29"/>
      <c r="L935" s="29"/>
      <c r="M935" s="29"/>
      <c r="N935" s="29"/>
      <c r="O935" s="29"/>
      <c r="P935" s="29"/>
      <c r="Q935" s="34"/>
      <c r="R935" s="34"/>
      <c r="S935" s="29"/>
      <c r="T935" s="29"/>
      <c r="U935" s="29"/>
      <c r="V935" s="29"/>
      <c r="W935" s="29"/>
      <c r="X935" s="29"/>
      <c r="Y935" s="2"/>
      <c r="Z935" s="34"/>
      <c r="AA935" s="2"/>
      <c r="AB935" s="29"/>
      <c r="AC935" s="29"/>
      <c r="AD935" s="29"/>
      <c r="AE935" s="29"/>
      <c r="AF935" s="29"/>
      <c r="AG935" s="29"/>
      <c r="AH935" s="29"/>
      <c r="AI935" s="29"/>
      <c r="AJ935" s="34"/>
      <c r="AK935" s="34"/>
      <c r="AL935" s="29"/>
      <c r="AM935" s="29"/>
    </row>
    <row x14ac:dyDescent="0.25" r="936" customHeight="1" ht="15.75">
      <c r="A936" s="1"/>
      <c r="B936" s="34"/>
      <c r="C936" s="34"/>
      <c r="D936" s="34"/>
      <c r="E936" s="34"/>
      <c r="F936" s="34"/>
      <c r="G936" s="60"/>
      <c r="H936" s="60"/>
      <c r="I936" s="29"/>
      <c r="J936" s="29"/>
      <c r="K936" s="29"/>
      <c r="L936" s="29"/>
      <c r="M936" s="29"/>
      <c r="N936" s="29"/>
      <c r="O936" s="29"/>
      <c r="P936" s="29"/>
      <c r="Q936" s="34"/>
      <c r="R936" s="34"/>
      <c r="S936" s="29"/>
      <c r="T936" s="29"/>
      <c r="U936" s="29"/>
      <c r="V936" s="29"/>
      <c r="W936" s="29"/>
      <c r="X936" s="29"/>
      <c r="Y936" s="2"/>
      <c r="Z936" s="34"/>
      <c r="AA936" s="2"/>
      <c r="AB936" s="29"/>
      <c r="AC936" s="29"/>
      <c r="AD936" s="29"/>
      <c r="AE936" s="29"/>
      <c r="AF936" s="29"/>
      <c r="AG936" s="29"/>
      <c r="AH936" s="29"/>
      <c r="AI936" s="29"/>
      <c r="AJ936" s="34"/>
      <c r="AK936" s="34"/>
      <c r="AL936" s="29"/>
      <c r="AM936" s="29"/>
    </row>
    <row x14ac:dyDescent="0.25" r="937" customHeight="1" ht="15.75">
      <c r="A937" s="1"/>
      <c r="B937" s="34"/>
      <c r="C937" s="34"/>
      <c r="D937" s="34"/>
      <c r="E937" s="34"/>
      <c r="F937" s="34"/>
      <c r="G937" s="60"/>
      <c r="H937" s="60"/>
      <c r="I937" s="29"/>
      <c r="J937" s="29"/>
      <c r="K937" s="29"/>
      <c r="L937" s="29"/>
      <c r="M937" s="29"/>
      <c r="N937" s="29"/>
      <c r="O937" s="29"/>
      <c r="P937" s="29"/>
      <c r="Q937" s="34"/>
      <c r="R937" s="34"/>
      <c r="S937" s="29"/>
      <c r="T937" s="29"/>
      <c r="U937" s="29"/>
      <c r="V937" s="29"/>
      <c r="W937" s="29"/>
      <c r="X937" s="29"/>
      <c r="Y937" s="2"/>
      <c r="Z937" s="34"/>
      <c r="AA937" s="2"/>
      <c r="AB937" s="29"/>
      <c r="AC937" s="29"/>
      <c r="AD937" s="29"/>
      <c r="AE937" s="29"/>
      <c r="AF937" s="29"/>
      <c r="AG937" s="29"/>
      <c r="AH937" s="29"/>
      <c r="AI937" s="29"/>
      <c r="AJ937" s="34"/>
      <c r="AK937" s="34"/>
      <c r="AL937" s="29"/>
      <c r="AM937" s="29"/>
    </row>
    <row x14ac:dyDescent="0.25" r="938" customHeight="1" ht="15.75">
      <c r="A938" s="1"/>
      <c r="B938" s="34"/>
      <c r="C938" s="34"/>
      <c r="D938" s="34"/>
      <c r="E938" s="34"/>
      <c r="F938" s="34"/>
      <c r="G938" s="60"/>
      <c r="H938" s="60"/>
      <c r="I938" s="29"/>
      <c r="J938" s="29"/>
      <c r="K938" s="29"/>
      <c r="L938" s="29"/>
      <c r="M938" s="29"/>
      <c r="N938" s="29"/>
      <c r="O938" s="29"/>
      <c r="P938" s="29"/>
      <c r="Q938" s="34"/>
      <c r="R938" s="34"/>
      <c r="S938" s="29"/>
      <c r="T938" s="29"/>
      <c r="U938" s="29"/>
      <c r="V938" s="29"/>
      <c r="W938" s="29"/>
      <c r="X938" s="29"/>
      <c r="Y938" s="2"/>
      <c r="Z938" s="34"/>
      <c r="AA938" s="2"/>
      <c r="AB938" s="29"/>
      <c r="AC938" s="29"/>
      <c r="AD938" s="29"/>
      <c r="AE938" s="29"/>
      <c r="AF938" s="29"/>
      <c r="AG938" s="29"/>
      <c r="AH938" s="29"/>
      <c r="AI938" s="29"/>
      <c r="AJ938" s="34"/>
      <c r="AK938" s="34"/>
      <c r="AL938" s="29"/>
      <c r="AM938" s="29"/>
    </row>
    <row x14ac:dyDescent="0.25" r="939" customHeight="1" ht="15.75">
      <c r="A939" s="1"/>
      <c r="B939" s="34"/>
      <c r="C939" s="34"/>
      <c r="D939" s="34"/>
      <c r="E939" s="34"/>
      <c r="F939" s="34"/>
      <c r="G939" s="60"/>
      <c r="H939" s="60"/>
      <c r="I939" s="29"/>
      <c r="J939" s="29"/>
      <c r="K939" s="29"/>
      <c r="L939" s="29"/>
      <c r="M939" s="29"/>
      <c r="N939" s="29"/>
      <c r="O939" s="29"/>
      <c r="P939" s="29"/>
      <c r="Q939" s="34"/>
      <c r="R939" s="34"/>
      <c r="S939" s="29"/>
      <c r="T939" s="29"/>
      <c r="U939" s="29"/>
      <c r="V939" s="29"/>
      <c r="W939" s="29"/>
      <c r="X939" s="29"/>
      <c r="Y939" s="2"/>
      <c r="Z939" s="34"/>
      <c r="AA939" s="2"/>
      <c r="AB939" s="29"/>
      <c r="AC939" s="29"/>
      <c r="AD939" s="29"/>
      <c r="AE939" s="29"/>
      <c r="AF939" s="29"/>
      <c r="AG939" s="29"/>
      <c r="AH939" s="29"/>
      <c r="AI939" s="29"/>
      <c r="AJ939" s="34"/>
      <c r="AK939" s="34"/>
      <c r="AL939" s="29"/>
      <c r="AM939" s="29"/>
    </row>
    <row x14ac:dyDescent="0.25" r="940" customHeight="1" ht="15.75">
      <c r="A940" s="1"/>
      <c r="B940" s="34"/>
      <c r="C940" s="34"/>
      <c r="D940" s="34"/>
      <c r="E940" s="34"/>
      <c r="F940" s="34"/>
      <c r="G940" s="60"/>
      <c r="H940" s="60"/>
      <c r="I940" s="29"/>
      <c r="J940" s="29"/>
      <c r="K940" s="29"/>
      <c r="L940" s="29"/>
      <c r="M940" s="29"/>
      <c r="N940" s="29"/>
      <c r="O940" s="29"/>
      <c r="P940" s="29"/>
      <c r="Q940" s="34"/>
      <c r="R940" s="34"/>
      <c r="S940" s="29"/>
      <c r="T940" s="29"/>
      <c r="U940" s="29"/>
      <c r="V940" s="29"/>
      <c r="W940" s="29"/>
      <c r="X940" s="29"/>
      <c r="Y940" s="2"/>
      <c r="Z940" s="34"/>
      <c r="AA940" s="2"/>
      <c r="AB940" s="29"/>
      <c r="AC940" s="29"/>
      <c r="AD940" s="29"/>
      <c r="AE940" s="29"/>
      <c r="AF940" s="29"/>
      <c r="AG940" s="29"/>
      <c r="AH940" s="29"/>
      <c r="AI940" s="29"/>
      <c r="AJ940" s="34"/>
      <c r="AK940" s="34"/>
      <c r="AL940" s="29"/>
      <c r="AM940" s="29"/>
    </row>
    <row x14ac:dyDescent="0.25" r="941" customHeight="1" ht="15.75">
      <c r="A941" s="1"/>
      <c r="B941" s="34"/>
      <c r="C941" s="34"/>
      <c r="D941" s="34"/>
      <c r="E941" s="34"/>
      <c r="F941" s="34"/>
      <c r="G941" s="60"/>
      <c r="H941" s="60"/>
      <c r="I941" s="29"/>
      <c r="J941" s="29"/>
      <c r="K941" s="29"/>
      <c r="L941" s="29"/>
      <c r="M941" s="29"/>
      <c r="N941" s="29"/>
      <c r="O941" s="29"/>
      <c r="P941" s="29"/>
      <c r="Q941" s="34"/>
      <c r="R941" s="34"/>
      <c r="S941" s="29"/>
      <c r="T941" s="29"/>
      <c r="U941" s="29"/>
      <c r="V941" s="29"/>
      <c r="W941" s="29"/>
      <c r="X941" s="29"/>
      <c r="Y941" s="2"/>
      <c r="Z941" s="34"/>
      <c r="AA941" s="2"/>
      <c r="AB941" s="29"/>
      <c r="AC941" s="29"/>
      <c r="AD941" s="29"/>
      <c r="AE941" s="29"/>
      <c r="AF941" s="29"/>
      <c r="AG941" s="29"/>
      <c r="AH941" s="29"/>
      <c r="AI941" s="29"/>
      <c r="AJ941" s="34"/>
      <c r="AK941" s="34"/>
      <c r="AL941" s="29"/>
      <c r="AM941" s="29"/>
    </row>
    <row x14ac:dyDescent="0.25" r="942" customHeight="1" ht="15.75">
      <c r="A942" s="1"/>
      <c r="B942" s="34"/>
      <c r="C942" s="34"/>
      <c r="D942" s="34"/>
      <c r="E942" s="34"/>
      <c r="F942" s="34"/>
      <c r="G942" s="60"/>
      <c r="H942" s="60"/>
      <c r="I942" s="29"/>
      <c r="J942" s="29"/>
      <c r="K942" s="29"/>
      <c r="L942" s="29"/>
      <c r="M942" s="29"/>
      <c r="N942" s="29"/>
      <c r="O942" s="29"/>
      <c r="P942" s="29"/>
      <c r="Q942" s="34"/>
      <c r="R942" s="34"/>
      <c r="S942" s="29"/>
      <c r="T942" s="29"/>
      <c r="U942" s="29"/>
      <c r="V942" s="29"/>
      <c r="W942" s="29"/>
      <c r="X942" s="29"/>
      <c r="Y942" s="2"/>
      <c r="Z942" s="34"/>
      <c r="AA942" s="2"/>
      <c r="AB942" s="29"/>
      <c r="AC942" s="29"/>
      <c r="AD942" s="29"/>
      <c r="AE942" s="29"/>
      <c r="AF942" s="29"/>
      <c r="AG942" s="29"/>
      <c r="AH942" s="29"/>
      <c r="AI942" s="29"/>
      <c r="AJ942" s="34"/>
      <c r="AK942" s="34"/>
      <c r="AL942" s="29"/>
      <c r="AM942" s="29"/>
    </row>
    <row x14ac:dyDescent="0.25" r="943" customHeight="1" ht="15.75">
      <c r="A943" s="1"/>
      <c r="B943" s="34"/>
      <c r="C943" s="34"/>
      <c r="D943" s="34"/>
      <c r="E943" s="34"/>
      <c r="F943" s="34"/>
      <c r="G943" s="60"/>
      <c r="H943" s="60"/>
      <c r="I943" s="29"/>
      <c r="J943" s="29"/>
      <c r="K943" s="29"/>
      <c r="L943" s="29"/>
      <c r="M943" s="29"/>
      <c r="N943" s="29"/>
      <c r="O943" s="29"/>
      <c r="P943" s="29"/>
      <c r="Q943" s="34"/>
      <c r="R943" s="34"/>
      <c r="S943" s="29"/>
      <c r="T943" s="29"/>
      <c r="U943" s="29"/>
      <c r="V943" s="29"/>
      <c r="W943" s="29"/>
      <c r="X943" s="29"/>
      <c r="Y943" s="2"/>
      <c r="Z943" s="34"/>
      <c r="AA943" s="2"/>
      <c r="AB943" s="29"/>
      <c r="AC943" s="29"/>
      <c r="AD943" s="29"/>
      <c r="AE943" s="29"/>
      <c r="AF943" s="29"/>
      <c r="AG943" s="29"/>
      <c r="AH943" s="29"/>
      <c r="AI943" s="29"/>
      <c r="AJ943" s="34"/>
      <c r="AK943" s="34"/>
      <c r="AL943" s="29"/>
      <c r="AM943" s="29"/>
    </row>
    <row x14ac:dyDescent="0.25" r="944" customHeight="1" ht="15">
      <c r="A944" s="1"/>
      <c r="B944" s="34"/>
      <c r="C944" s="34"/>
      <c r="D944" s="34"/>
      <c r="E944" s="34"/>
      <c r="F944" s="34"/>
      <c r="G944" s="60"/>
      <c r="H944" s="60"/>
      <c r="I944" s="29"/>
      <c r="J944" s="29"/>
      <c r="K944" s="29"/>
      <c r="L944" s="29"/>
      <c r="M944" s="29"/>
      <c r="N944" s="29"/>
      <c r="O944" s="29"/>
      <c r="P944" s="29"/>
      <c r="Q944" s="34"/>
      <c r="R944" s="34"/>
      <c r="S944" s="29"/>
      <c r="T944" s="29"/>
      <c r="U944" s="29"/>
      <c r="V944" s="29"/>
      <c r="W944" s="29"/>
      <c r="X944" s="29"/>
      <c r="Y944" s="2"/>
      <c r="Z944" s="34"/>
      <c r="AA944" s="2"/>
      <c r="AB944" s="29"/>
      <c r="AC944" s="29"/>
      <c r="AD944" s="29"/>
      <c r="AE944" s="29"/>
      <c r="AF944" s="29"/>
      <c r="AG944" s="29"/>
      <c r="AH944" s="29"/>
      <c r="AI944" s="29"/>
      <c r="AJ944" s="34"/>
      <c r="AK944" s="34"/>
      <c r="AL944" s="29"/>
      <c r="AM944" s="29"/>
    </row>
    <row x14ac:dyDescent="0.25" r="945" customHeight="1" ht="15">
      <c r="A945" s="1"/>
      <c r="B945" s="34"/>
      <c r="C945" s="34"/>
      <c r="D945" s="34"/>
      <c r="E945" s="34"/>
      <c r="F945" s="34"/>
      <c r="G945" s="60"/>
      <c r="H945" s="60"/>
      <c r="I945" s="29"/>
      <c r="J945" s="29"/>
      <c r="K945" s="29"/>
      <c r="L945" s="29"/>
      <c r="M945" s="29"/>
      <c r="N945" s="29"/>
      <c r="O945" s="29"/>
      <c r="P945" s="29"/>
      <c r="Q945" s="34"/>
      <c r="R945" s="34"/>
      <c r="S945" s="29"/>
      <c r="T945" s="29"/>
      <c r="U945" s="29"/>
      <c r="V945" s="29"/>
      <c r="W945" s="29"/>
      <c r="X945" s="29"/>
      <c r="Y945" s="2"/>
      <c r="Z945" s="34"/>
      <c r="AA945" s="2"/>
      <c r="AB945" s="29"/>
      <c r="AC945" s="29"/>
      <c r="AD945" s="29"/>
      <c r="AE945" s="29"/>
      <c r="AF945" s="29"/>
      <c r="AG945" s="29"/>
      <c r="AH945" s="29"/>
      <c r="AI945" s="29"/>
      <c r="AJ945" s="34"/>
      <c r="AK945" s="34"/>
      <c r="AL945" s="29"/>
      <c r="AM945" s="29"/>
    </row>
    <row x14ac:dyDescent="0.25" r="946" customHeight="1" ht="15">
      <c r="A946" s="1"/>
      <c r="B946" s="34"/>
      <c r="C946" s="34"/>
      <c r="D946" s="34"/>
      <c r="E946" s="34"/>
      <c r="F946" s="34"/>
      <c r="G946" s="60"/>
      <c r="H946" s="60"/>
      <c r="I946" s="29"/>
      <c r="J946" s="29"/>
      <c r="K946" s="29"/>
      <c r="L946" s="29"/>
      <c r="M946" s="29"/>
      <c r="N946" s="29"/>
      <c r="O946" s="29"/>
      <c r="P946" s="29"/>
      <c r="Q946" s="34"/>
      <c r="R946" s="34"/>
      <c r="S946" s="29"/>
      <c r="T946" s="29"/>
      <c r="U946" s="29"/>
      <c r="V946" s="29"/>
      <c r="W946" s="29"/>
      <c r="X946" s="29"/>
      <c r="Y946" s="2"/>
      <c r="Z946" s="34"/>
      <c r="AA946" s="2"/>
      <c r="AB946" s="29"/>
      <c r="AC946" s="29"/>
      <c r="AD946" s="29"/>
      <c r="AE946" s="29"/>
      <c r="AF946" s="29"/>
      <c r="AG946" s="29"/>
      <c r="AH946" s="29"/>
      <c r="AI946" s="29"/>
      <c r="AJ946" s="34"/>
      <c r="AK946" s="34"/>
      <c r="AL946" s="29"/>
      <c r="AM946" s="29"/>
    </row>
  </sheetData>
  <mergeCells count="2">
    <mergeCell ref="AA51:AA53"/>
    <mergeCell ref="A149:G14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237"/>
  <sheetViews>
    <sheetView workbookViewId="0"/>
  </sheetViews>
  <sheetFormatPr defaultRowHeight="15" x14ac:dyDescent="0.25"/>
  <cols>
    <col min="1" max="1" style="20" width="11.43357142857143" customWidth="1" bestFit="1"/>
    <col min="2" max="2" style="36" width="4.2907142857142855" customWidth="1" bestFit="1"/>
    <col min="3" max="3" style="36" width="11.43357142857143" customWidth="1" bestFit="1"/>
    <col min="4" max="4" style="36" width="11.862142857142858" customWidth="1" bestFit="1"/>
    <col min="5" max="5" style="22" width="11.862142857142858" customWidth="1" bestFit="1"/>
    <col min="6" max="6" style="36" width="12.862142857142858" customWidth="1" bestFit="1"/>
    <col min="7" max="7" style="36" width="36.005" customWidth="1" bestFit="1"/>
    <col min="8" max="8" style="36" width="8.290714285714287" customWidth="1" bestFit="1"/>
    <col min="9" max="9" style="37" width="12.005" customWidth="1" bestFit="1"/>
    <col min="10" max="10" style="37" width="13.005" customWidth="1" bestFit="1"/>
    <col min="11" max="11" style="37" width="12.290714285714287" customWidth="1" bestFit="1"/>
    <col min="12" max="12" style="37" width="13.147857142857141" customWidth="1" bestFit="1"/>
    <col min="13" max="13" style="36" width="11.43357142857143" customWidth="1" bestFit="1"/>
    <col min="14" max="14" style="36" width="21.433571428571426" customWidth="1" bestFit="1"/>
    <col min="15" max="15" style="37" width="11.43357142857143" customWidth="1" bestFit="1"/>
    <col min="16" max="16" style="37" width="12.43357142857143" customWidth="1" bestFit="1"/>
    <col min="17" max="17" style="37" width="11.43357142857143" customWidth="1" bestFit="1"/>
    <col min="18" max="18" style="37" width="11.43357142857143" customWidth="1" bestFit="1"/>
    <col min="19" max="19" style="37" width="11.43357142857143" customWidth="1" bestFit="1"/>
    <col min="20" max="20" style="37" width="11.43357142857143" customWidth="1" bestFit="1"/>
    <col min="21" max="21" style="67" width="13.576428571428572" customWidth="1" bestFit="1"/>
    <col min="22" max="22" style="20" width="11.43357142857143" customWidth="1" bestFit="1"/>
    <col min="23" max="23" style="36" width="13.576428571428572" customWidth="1" bestFit="1"/>
    <col min="24" max="24" style="36" width="13.576428571428572" customWidth="1" bestFit="1"/>
    <col min="25" max="25" style="37" width="13.576428571428572" customWidth="1" bestFit="1"/>
    <col min="26" max="26" style="36" width="13.576428571428572" customWidth="1" bestFit="1"/>
  </cols>
  <sheetData>
    <row x14ac:dyDescent="0.25" r="1" customHeight="1" ht="19.5">
      <c r="A1" s="25" t="s">
        <v>1</v>
      </c>
      <c r="B1" s="26" t="s">
        <v>3</v>
      </c>
      <c r="C1" s="26"/>
      <c r="D1" s="26" t="s">
        <v>4</v>
      </c>
      <c r="E1" s="26" t="s">
        <v>5</v>
      </c>
      <c r="F1" s="26" t="s">
        <v>6</v>
      </c>
      <c r="G1" s="26" t="s">
        <v>7</v>
      </c>
      <c r="H1" s="26" t="s">
        <v>8</v>
      </c>
      <c r="I1" s="27" t="s">
        <v>9</v>
      </c>
      <c r="J1" s="27" t="s">
        <v>10</v>
      </c>
      <c r="K1" s="27" t="s">
        <v>11</v>
      </c>
      <c r="L1" s="27" t="s">
        <v>12</v>
      </c>
      <c r="M1" s="26" t="s">
        <v>13</v>
      </c>
      <c r="N1" s="26" t="s">
        <v>14</v>
      </c>
      <c r="O1" s="27" t="s">
        <v>15</v>
      </c>
      <c r="P1" s="27" t="s">
        <v>16</v>
      </c>
      <c r="Q1" s="27" t="s">
        <v>17</v>
      </c>
      <c r="R1" s="27" t="s">
        <v>1661</v>
      </c>
      <c r="S1" s="27" t="s">
        <v>3532</v>
      </c>
      <c r="T1" s="27" t="s">
        <v>1662</v>
      </c>
      <c r="U1" s="26" t="s">
        <v>1663</v>
      </c>
      <c r="V1" s="25" t="s">
        <v>1664</v>
      </c>
      <c r="W1" s="26" t="s">
        <v>3533</v>
      </c>
      <c r="X1" s="26" t="s">
        <v>19</v>
      </c>
      <c r="Y1" s="29"/>
      <c r="Z1" s="34"/>
    </row>
    <row x14ac:dyDescent="0.25" r="2" customHeight="1" ht="15">
      <c r="A2" s="12">
        <v>45809</v>
      </c>
      <c r="B2" s="14" t="s">
        <v>46</v>
      </c>
      <c r="C2" s="14" t="s">
        <v>3534</v>
      </c>
      <c r="D2" s="14" t="s">
        <v>54</v>
      </c>
      <c r="E2" s="14" t="s">
        <v>3535</v>
      </c>
      <c r="F2" s="14" t="s">
        <v>84</v>
      </c>
      <c r="G2" s="14" t="s">
        <v>1505</v>
      </c>
      <c r="H2" s="14" t="s">
        <v>26</v>
      </c>
      <c r="I2" s="17">
        <v>1005000</v>
      </c>
      <c r="J2" s="17">
        <v>1868700</v>
      </c>
      <c r="K2" s="17">
        <v>1357820</v>
      </c>
      <c r="L2" s="17">
        <f>J2-K2</f>
      </c>
      <c r="M2" s="14" t="s">
        <v>50</v>
      </c>
      <c r="N2" s="14" t="s">
        <v>3536</v>
      </c>
      <c r="O2" s="17">
        <v>2</v>
      </c>
      <c r="P2" s="65"/>
      <c r="Q2" s="65"/>
      <c r="R2" s="65"/>
      <c r="S2" s="65"/>
      <c r="T2" s="17">
        <v>1868700</v>
      </c>
      <c r="U2" s="17">
        <f>J2-P2-T2</f>
      </c>
      <c r="V2" s="12">
        <v>45845</v>
      </c>
      <c r="W2" s="14" t="s">
        <v>2785</v>
      </c>
      <c r="X2" s="14"/>
      <c r="Y2" s="29"/>
      <c r="Z2" s="34"/>
    </row>
    <row x14ac:dyDescent="0.25" r="3" customHeight="1" ht="15">
      <c r="A3" s="12">
        <v>45809</v>
      </c>
      <c r="B3" s="14" t="s">
        <v>46</v>
      </c>
      <c r="C3" s="14" t="s">
        <v>3537</v>
      </c>
      <c r="D3" s="14" t="s">
        <v>172</v>
      </c>
      <c r="E3" s="14" t="s">
        <v>3538</v>
      </c>
      <c r="F3" s="14" t="s">
        <v>162</v>
      </c>
      <c r="G3" s="14" t="s">
        <v>3539</v>
      </c>
      <c r="H3" s="14" t="s">
        <v>26</v>
      </c>
      <c r="I3" s="17"/>
      <c r="J3" s="17">
        <v>1255800</v>
      </c>
      <c r="K3" s="17">
        <v>1135300</v>
      </c>
      <c r="L3" s="17">
        <f>J3-K3</f>
      </c>
      <c r="M3" s="14" t="s">
        <v>187</v>
      </c>
      <c r="N3" s="14" t="s">
        <v>3540</v>
      </c>
      <c r="O3" s="65"/>
      <c r="P3" s="65"/>
      <c r="Q3" s="65"/>
      <c r="R3" s="65"/>
      <c r="S3" s="65"/>
      <c r="T3" s="65"/>
      <c r="U3" s="17">
        <f>J3-P3-T3</f>
      </c>
      <c r="V3" s="12"/>
      <c r="W3" s="14"/>
      <c r="X3" s="14"/>
      <c r="Y3" s="29"/>
      <c r="Z3" s="34"/>
    </row>
    <row x14ac:dyDescent="0.25" r="4" customHeight="1" ht="29.25">
      <c r="A4" s="12">
        <v>45810</v>
      </c>
      <c r="B4" s="14" t="s">
        <v>53</v>
      </c>
      <c r="C4" s="14" t="s">
        <v>3541</v>
      </c>
      <c r="D4" s="14" t="s">
        <v>3542</v>
      </c>
      <c r="E4" s="14" t="s">
        <v>3543</v>
      </c>
      <c r="F4" s="14" t="s">
        <v>3544</v>
      </c>
      <c r="G4" s="14" t="s">
        <v>3545</v>
      </c>
      <c r="H4" s="14" t="s">
        <v>26</v>
      </c>
      <c r="I4" s="17"/>
      <c r="J4" s="17">
        <v>1067800</v>
      </c>
      <c r="K4" s="17">
        <v>978220</v>
      </c>
      <c r="L4" s="17">
        <f>J4-K4</f>
      </c>
      <c r="M4" s="14" t="s">
        <v>137</v>
      </c>
      <c r="N4" s="14" t="s">
        <v>3546</v>
      </c>
      <c r="O4" s="65"/>
      <c r="P4" s="17">
        <v>1000000</v>
      </c>
      <c r="Q4" s="65"/>
      <c r="R4" s="65"/>
      <c r="S4" s="65"/>
      <c r="T4" s="17">
        <v>67800</v>
      </c>
      <c r="U4" s="17">
        <f>J4-P4-T4</f>
      </c>
      <c r="V4" s="175" t="s">
        <v>3547</v>
      </c>
      <c r="W4" s="14" t="s">
        <v>1718</v>
      </c>
      <c r="X4" s="14"/>
      <c r="Y4" s="29"/>
      <c r="Z4" s="34"/>
    </row>
    <row x14ac:dyDescent="0.25" r="5" customHeight="1" ht="15">
      <c r="A5" s="12">
        <v>45810</v>
      </c>
      <c r="B5" s="14" t="s">
        <v>53</v>
      </c>
      <c r="C5" s="14" t="s">
        <v>3541</v>
      </c>
      <c r="D5" s="14" t="s">
        <v>3542</v>
      </c>
      <c r="E5" s="14" t="s">
        <v>3543</v>
      </c>
      <c r="F5" s="14" t="s">
        <v>3544</v>
      </c>
      <c r="G5" s="14" t="s">
        <v>3548</v>
      </c>
      <c r="H5" s="14" t="s">
        <v>26</v>
      </c>
      <c r="I5" s="17"/>
      <c r="J5" s="17">
        <v>1067800</v>
      </c>
      <c r="K5" s="17">
        <v>978220</v>
      </c>
      <c r="L5" s="17">
        <f>J5-K5</f>
      </c>
      <c r="M5" s="14" t="s">
        <v>137</v>
      </c>
      <c r="N5" s="14" t="s">
        <v>3549</v>
      </c>
      <c r="O5" s="65"/>
      <c r="P5" s="17">
        <v>932200</v>
      </c>
      <c r="Q5" s="65"/>
      <c r="R5" s="65"/>
      <c r="S5" s="65"/>
      <c r="T5" s="65"/>
      <c r="U5" s="17">
        <f>J5-P5-T5</f>
      </c>
      <c r="V5" s="12">
        <v>45855</v>
      </c>
      <c r="W5" s="14" t="s">
        <v>1718</v>
      </c>
      <c r="X5" s="14"/>
      <c r="Y5" s="29"/>
      <c r="Z5" s="34"/>
    </row>
    <row x14ac:dyDescent="0.25" r="6" customHeight="1" ht="15">
      <c r="A6" s="12">
        <v>45810</v>
      </c>
      <c r="B6" s="14" t="s">
        <v>53</v>
      </c>
      <c r="C6" s="14" t="s">
        <v>3550</v>
      </c>
      <c r="D6" s="14" t="s">
        <v>101</v>
      </c>
      <c r="E6" s="14" t="s">
        <v>3551</v>
      </c>
      <c r="F6" s="14" t="s">
        <v>3552</v>
      </c>
      <c r="G6" s="34" t="s">
        <v>3553</v>
      </c>
      <c r="H6" s="14" t="s">
        <v>26</v>
      </c>
      <c r="I6" s="17"/>
      <c r="J6" s="17">
        <v>562000</v>
      </c>
      <c r="K6" s="17">
        <v>557020</v>
      </c>
      <c r="L6" s="17">
        <f>J6-K6</f>
      </c>
      <c r="M6" s="14" t="s">
        <v>137</v>
      </c>
      <c r="N6" s="14" t="s">
        <v>3554</v>
      </c>
      <c r="O6" s="65"/>
      <c r="P6" s="65"/>
      <c r="Q6" s="65"/>
      <c r="R6" s="65"/>
      <c r="S6" s="65"/>
      <c r="T6" s="17">
        <v>562000</v>
      </c>
      <c r="U6" s="17">
        <f>J6-P6-T6</f>
      </c>
      <c r="V6" s="12">
        <v>45838</v>
      </c>
      <c r="W6" s="14" t="s">
        <v>1718</v>
      </c>
      <c r="X6" s="14"/>
      <c r="Y6" s="29"/>
      <c r="Z6" s="34"/>
    </row>
    <row x14ac:dyDescent="0.25" r="7" customHeight="1" ht="15">
      <c r="A7" s="12">
        <v>45810</v>
      </c>
      <c r="B7" s="14" t="s">
        <v>1323</v>
      </c>
      <c r="C7" s="14" t="s">
        <v>3555</v>
      </c>
      <c r="D7" s="14" t="s">
        <v>3556</v>
      </c>
      <c r="E7" s="14" t="s">
        <v>3557</v>
      </c>
      <c r="F7" s="14" t="s">
        <v>3558</v>
      </c>
      <c r="G7" s="14" t="s">
        <v>3559</v>
      </c>
      <c r="H7" s="14" t="s">
        <v>26</v>
      </c>
      <c r="I7" s="17"/>
      <c r="J7" s="17">
        <v>786900</v>
      </c>
      <c r="K7" s="17">
        <v>678055</v>
      </c>
      <c r="L7" s="17">
        <f>J7-K7</f>
      </c>
      <c r="M7" s="14" t="s">
        <v>187</v>
      </c>
      <c r="N7" s="14" t="s">
        <v>3560</v>
      </c>
      <c r="O7" s="17">
        <v>1</v>
      </c>
      <c r="P7" s="65"/>
      <c r="Q7" s="65"/>
      <c r="R7" s="65"/>
      <c r="S7" s="65"/>
      <c r="T7" s="17">
        <v>786800</v>
      </c>
      <c r="U7" s="17">
        <f>J7-P7-T7</f>
      </c>
      <c r="V7" s="12">
        <v>45810</v>
      </c>
      <c r="W7" s="14" t="s">
        <v>1718</v>
      </c>
      <c r="X7" s="14"/>
      <c r="Y7" s="29"/>
      <c r="Z7" s="34"/>
    </row>
    <row x14ac:dyDescent="0.25" r="8" customHeight="1" ht="15">
      <c r="A8" s="12">
        <v>45810</v>
      </c>
      <c r="B8" s="14" t="s">
        <v>106</v>
      </c>
      <c r="C8" s="14" t="s">
        <v>3561</v>
      </c>
      <c r="D8" s="14" t="s">
        <v>3562</v>
      </c>
      <c r="E8" s="14" t="s">
        <v>3563</v>
      </c>
      <c r="F8" s="14" t="s">
        <v>292</v>
      </c>
      <c r="G8" s="14" t="s">
        <v>912</v>
      </c>
      <c r="H8" s="14" t="s">
        <v>26</v>
      </c>
      <c r="I8" s="17"/>
      <c r="J8" s="17">
        <v>947000</v>
      </c>
      <c r="K8" s="17">
        <v>796920</v>
      </c>
      <c r="L8" s="17">
        <f>J8-K8</f>
      </c>
      <c r="M8" s="14" t="s">
        <v>187</v>
      </c>
      <c r="N8" s="34" t="s">
        <v>3564</v>
      </c>
      <c r="O8" s="65"/>
      <c r="P8" s="65"/>
      <c r="Q8" s="65"/>
      <c r="R8" s="65"/>
      <c r="S8" s="65"/>
      <c r="T8" s="65"/>
      <c r="U8" s="17">
        <f>J8-P8-T8</f>
      </c>
      <c r="V8" s="12"/>
      <c r="W8" s="14"/>
      <c r="X8" s="14"/>
      <c r="Y8" s="29"/>
      <c r="Z8" s="34"/>
    </row>
    <row x14ac:dyDescent="0.25" r="9" customHeight="1" ht="18.75">
      <c r="A9" s="12">
        <v>45810</v>
      </c>
      <c r="B9" s="14" t="s">
        <v>22</v>
      </c>
      <c r="C9" s="14" t="s">
        <v>3555</v>
      </c>
      <c r="D9" s="14" t="s">
        <v>485</v>
      </c>
      <c r="E9" s="14" t="s">
        <v>3565</v>
      </c>
      <c r="F9" s="14" t="s">
        <v>548</v>
      </c>
      <c r="G9" s="14" t="s">
        <v>2575</v>
      </c>
      <c r="H9" s="14" t="s">
        <v>26</v>
      </c>
      <c r="I9" s="17"/>
      <c r="J9" s="17">
        <v>120920</v>
      </c>
      <c r="K9" s="17">
        <v>61800</v>
      </c>
      <c r="L9" s="17">
        <f>J9-K9</f>
      </c>
      <c r="M9" s="14" t="s">
        <v>22</v>
      </c>
      <c r="N9" s="14" t="s">
        <v>3566</v>
      </c>
      <c r="O9" s="65" t="s">
        <v>251</v>
      </c>
      <c r="P9" s="65"/>
      <c r="Q9" s="65"/>
      <c r="R9" s="65"/>
      <c r="S9" s="65"/>
      <c r="T9" s="65"/>
      <c r="U9" s="17">
        <f>J9-P9-T9</f>
      </c>
      <c r="V9" s="12"/>
      <c r="W9" s="14"/>
      <c r="X9" s="14"/>
      <c r="Y9" s="29"/>
      <c r="Z9" s="34"/>
    </row>
    <row x14ac:dyDescent="0.25" r="10" customHeight="1" ht="18.75">
      <c r="A10" s="12">
        <v>45810</v>
      </c>
      <c r="B10" s="14" t="s">
        <v>22</v>
      </c>
      <c r="C10" s="14" t="s">
        <v>3555</v>
      </c>
      <c r="D10" s="14" t="s">
        <v>485</v>
      </c>
      <c r="E10" s="14" t="s">
        <v>3565</v>
      </c>
      <c r="F10" s="14" t="s">
        <v>548</v>
      </c>
      <c r="G10" s="14" t="s">
        <v>3567</v>
      </c>
      <c r="H10" s="14" t="s">
        <v>26</v>
      </c>
      <c r="I10" s="17"/>
      <c r="J10" s="17">
        <v>120920</v>
      </c>
      <c r="K10" s="17">
        <v>61800</v>
      </c>
      <c r="L10" s="17">
        <f>J10-K10</f>
      </c>
      <c r="M10" s="14" t="s">
        <v>22</v>
      </c>
      <c r="N10" s="14" t="s">
        <v>3566</v>
      </c>
      <c r="O10" s="65" t="s">
        <v>251</v>
      </c>
      <c r="P10" s="65"/>
      <c r="Q10" s="65"/>
      <c r="R10" s="65"/>
      <c r="S10" s="65"/>
      <c r="T10" s="65"/>
      <c r="U10" s="17">
        <f>J10-P10-T10</f>
      </c>
      <c r="V10" s="12"/>
      <c r="W10" s="14"/>
      <c r="X10" s="14"/>
      <c r="Y10" s="29"/>
      <c r="Z10" s="34"/>
    </row>
    <row x14ac:dyDescent="0.25" r="11" customHeight="1" ht="18.75">
      <c r="A11" s="12">
        <v>45810</v>
      </c>
      <c r="B11" s="14" t="s">
        <v>22</v>
      </c>
      <c r="C11" s="14" t="s">
        <v>3555</v>
      </c>
      <c r="D11" s="14" t="s">
        <v>485</v>
      </c>
      <c r="E11" s="14" t="s">
        <v>3565</v>
      </c>
      <c r="F11" s="14" t="s">
        <v>548</v>
      </c>
      <c r="G11" s="14" t="s">
        <v>3568</v>
      </c>
      <c r="H11" s="14" t="s">
        <v>26</v>
      </c>
      <c r="I11" s="17"/>
      <c r="J11" s="17">
        <v>120920</v>
      </c>
      <c r="K11" s="17">
        <v>61800</v>
      </c>
      <c r="L11" s="17">
        <f>J11-K11</f>
      </c>
      <c r="M11" s="14" t="s">
        <v>22</v>
      </c>
      <c r="N11" s="14" t="s">
        <v>3566</v>
      </c>
      <c r="O11" s="65" t="s">
        <v>251</v>
      </c>
      <c r="P11" s="65"/>
      <c r="Q11" s="65"/>
      <c r="R11" s="65"/>
      <c r="S11" s="65"/>
      <c r="T11" s="65"/>
      <c r="U11" s="17">
        <f>J11-P11-T11</f>
      </c>
      <c r="V11" s="12"/>
      <c r="W11" s="14"/>
      <c r="X11" s="14"/>
      <c r="Y11" s="29"/>
      <c r="Z11" s="34"/>
    </row>
    <row x14ac:dyDescent="0.25" r="12" customHeight="1" ht="15">
      <c r="A12" s="12">
        <v>45811</v>
      </c>
      <c r="B12" s="14" t="s">
        <v>46</v>
      </c>
      <c r="C12" s="14" t="s">
        <v>3569</v>
      </c>
      <c r="D12" s="14" t="s">
        <v>3570</v>
      </c>
      <c r="E12" s="14" t="s">
        <v>3571</v>
      </c>
      <c r="F12" s="14" t="s">
        <v>174</v>
      </c>
      <c r="G12" s="14" t="s">
        <v>3572</v>
      </c>
      <c r="H12" s="14" t="s">
        <v>26</v>
      </c>
      <c r="I12" s="17">
        <v>4004700</v>
      </c>
      <c r="J12" s="17">
        <v>4989920</v>
      </c>
      <c r="K12" s="17">
        <v>4839920</v>
      </c>
      <c r="L12" s="17">
        <f>J12-K12</f>
      </c>
      <c r="M12" s="14" t="s">
        <v>50</v>
      </c>
      <c r="N12" s="14" t="s">
        <v>3573</v>
      </c>
      <c r="O12" s="17">
        <v>3</v>
      </c>
      <c r="P12" s="65"/>
      <c r="Q12" s="65"/>
      <c r="R12" s="65"/>
      <c r="S12" s="65"/>
      <c r="T12" s="17">
        <v>4989920</v>
      </c>
      <c r="U12" s="17">
        <f>J12-P12-T12</f>
      </c>
      <c r="V12" s="12">
        <v>45811</v>
      </c>
      <c r="W12" s="14" t="s">
        <v>1718</v>
      </c>
      <c r="X12" s="14"/>
      <c r="Y12" s="29"/>
      <c r="Z12" s="34"/>
    </row>
    <row x14ac:dyDescent="0.25" r="13" customHeight="1" ht="15">
      <c r="A13" s="12">
        <v>45811</v>
      </c>
      <c r="B13" s="14" t="s">
        <v>111</v>
      </c>
      <c r="C13" s="14" t="s">
        <v>3574</v>
      </c>
      <c r="D13" s="14" t="s">
        <v>3575</v>
      </c>
      <c r="E13" s="14" t="s">
        <v>3576</v>
      </c>
      <c r="F13" s="14" t="s">
        <v>41</v>
      </c>
      <c r="G13" s="14" t="s">
        <v>3577</v>
      </c>
      <c r="H13" s="14" t="s">
        <v>26</v>
      </c>
      <c r="I13" s="17">
        <v>505300</v>
      </c>
      <c r="J13" s="17">
        <v>970600</v>
      </c>
      <c r="K13" s="17">
        <v>870600</v>
      </c>
      <c r="L13" s="17">
        <f>J13-K13</f>
      </c>
      <c r="M13" s="14" t="s">
        <v>50</v>
      </c>
      <c r="N13" s="14" t="s">
        <v>3578</v>
      </c>
      <c r="O13" s="17">
        <v>4</v>
      </c>
      <c r="P13" s="65"/>
      <c r="Q13" s="65"/>
      <c r="R13" s="65"/>
      <c r="S13" s="65"/>
      <c r="T13" s="17">
        <v>970600</v>
      </c>
      <c r="U13" s="17">
        <f>J13-P13-T13</f>
      </c>
      <c r="V13" s="12">
        <v>45813</v>
      </c>
      <c r="W13" s="14" t="s">
        <v>1718</v>
      </c>
      <c r="X13" s="14"/>
      <c r="Y13" s="29"/>
      <c r="Z13" s="34"/>
    </row>
    <row x14ac:dyDescent="0.25" r="14" customHeight="1" ht="15">
      <c r="A14" s="12">
        <v>45812</v>
      </c>
      <c r="B14" s="14" t="s">
        <v>22</v>
      </c>
      <c r="C14" s="14" t="s">
        <v>3579</v>
      </c>
      <c r="D14" s="14" t="s">
        <v>23</v>
      </c>
      <c r="E14" s="14" t="s">
        <v>3580</v>
      </c>
      <c r="F14" s="14" t="s">
        <v>344</v>
      </c>
      <c r="G14" s="14" t="s">
        <v>598</v>
      </c>
      <c r="H14" s="14" t="s">
        <v>26</v>
      </c>
      <c r="I14" s="17"/>
      <c r="J14" s="17">
        <v>395700</v>
      </c>
      <c r="K14" s="17">
        <v>382144</v>
      </c>
      <c r="L14" s="17">
        <f>J14-K14</f>
      </c>
      <c r="M14" s="14" t="s">
        <v>22</v>
      </c>
      <c r="N14" s="14" t="s">
        <v>3581</v>
      </c>
      <c r="O14" s="65"/>
      <c r="P14" s="65"/>
      <c r="Q14" s="65"/>
      <c r="R14" s="65"/>
      <c r="S14" s="65"/>
      <c r="T14" s="17">
        <v>395700</v>
      </c>
      <c r="U14" s="17">
        <f>J14-P14-T14</f>
      </c>
      <c r="V14" s="12">
        <v>45880</v>
      </c>
      <c r="W14" s="14" t="s">
        <v>2216</v>
      </c>
      <c r="X14" s="14" t="s">
        <v>3582</v>
      </c>
      <c r="Y14" s="29"/>
      <c r="Z14" s="34"/>
    </row>
    <row x14ac:dyDescent="0.25" r="15" customHeight="1" ht="18.75">
      <c r="A15" s="12">
        <v>45812</v>
      </c>
      <c r="B15" s="14" t="s">
        <v>53</v>
      </c>
      <c r="C15" s="14" t="s">
        <v>3583</v>
      </c>
      <c r="D15" s="14" t="s">
        <v>295</v>
      </c>
      <c r="E15" s="14" t="s">
        <v>3584</v>
      </c>
      <c r="F15" s="14" t="s">
        <v>3585</v>
      </c>
      <c r="G15" s="14" t="s">
        <v>3586</v>
      </c>
      <c r="H15" s="14" t="s">
        <v>26</v>
      </c>
      <c r="I15" s="17"/>
      <c r="J15" s="17">
        <v>1326920</v>
      </c>
      <c r="K15" s="17">
        <v>1226920</v>
      </c>
      <c r="L15" s="17">
        <f>J15-K15</f>
      </c>
      <c r="M15" s="14" t="s">
        <v>137</v>
      </c>
      <c r="N15" s="14" t="s">
        <v>3587</v>
      </c>
      <c r="O15" s="65"/>
      <c r="P15" s="17">
        <v>533000</v>
      </c>
      <c r="Q15" s="17">
        <v>198500</v>
      </c>
      <c r="R15" s="17">
        <v>147500</v>
      </c>
      <c r="S15" s="17">
        <v>239000</v>
      </c>
      <c r="T15" s="17"/>
      <c r="U15" s="17">
        <f>J15-P15-R15-Q15-T15-S15</f>
      </c>
      <c r="V15" s="175" t="s">
        <v>3588</v>
      </c>
      <c r="W15" s="14" t="s">
        <v>1718</v>
      </c>
      <c r="X15" s="14"/>
      <c r="Y15" s="29"/>
      <c r="Z15" s="34"/>
    </row>
    <row x14ac:dyDescent="0.25" r="16" customHeight="1" ht="15">
      <c r="A16" s="12">
        <v>45812</v>
      </c>
      <c r="B16" s="14" t="s">
        <v>111</v>
      </c>
      <c r="C16" s="14" t="s">
        <v>3589</v>
      </c>
      <c r="D16" s="14" t="s">
        <v>398</v>
      </c>
      <c r="E16" s="14" t="s">
        <v>3590</v>
      </c>
      <c r="F16" s="14" t="s">
        <v>84</v>
      </c>
      <c r="G16" s="259" t="s">
        <v>3591</v>
      </c>
      <c r="H16" s="14" t="s">
        <v>26</v>
      </c>
      <c r="I16" s="17"/>
      <c r="J16" s="17">
        <v>127920</v>
      </c>
      <c r="K16" s="17">
        <v>30000</v>
      </c>
      <c r="L16" s="17">
        <f>J16-K16</f>
      </c>
      <c r="M16" s="14" t="s">
        <v>280</v>
      </c>
      <c r="N16" s="14" t="s">
        <v>3592</v>
      </c>
      <c r="O16" s="65" t="s">
        <v>251</v>
      </c>
      <c r="P16" s="65"/>
      <c r="Q16" s="65"/>
      <c r="R16" s="65"/>
      <c r="S16" s="65"/>
      <c r="T16" s="17">
        <v>127920</v>
      </c>
      <c r="U16" s="17">
        <f>J16-P16-T16</f>
      </c>
      <c r="V16" s="12">
        <v>45828</v>
      </c>
      <c r="W16" s="14" t="s">
        <v>2785</v>
      </c>
      <c r="X16" s="14"/>
      <c r="Y16" s="29"/>
      <c r="Z16" s="34"/>
    </row>
    <row x14ac:dyDescent="0.25" r="17" customHeight="1" ht="15">
      <c r="A17" s="260">
        <v>45813</v>
      </c>
      <c r="B17" s="261" t="s">
        <v>1323</v>
      </c>
      <c r="C17" s="261" t="s">
        <v>3593</v>
      </c>
      <c r="D17" s="261" t="s">
        <v>3594</v>
      </c>
      <c r="E17" s="261"/>
      <c r="F17" s="261" t="s">
        <v>3595</v>
      </c>
      <c r="G17" s="261" t="s">
        <v>3596</v>
      </c>
      <c r="H17" s="261" t="s">
        <v>76</v>
      </c>
      <c r="I17" s="262"/>
      <c r="J17" s="262">
        <v>1037720</v>
      </c>
      <c r="K17" s="262">
        <v>1037720</v>
      </c>
      <c r="L17" s="262">
        <f>J17-K17</f>
      </c>
      <c r="M17" s="261" t="s">
        <v>280</v>
      </c>
      <c r="N17" s="261" t="s">
        <v>3597</v>
      </c>
      <c r="O17" s="263" t="s">
        <v>3598</v>
      </c>
      <c r="P17" s="65"/>
      <c r="Q17" s="65"/>
      <c r="R17" s="65"/>
      <c r="S17" s="65"/>
      <c r="T17" s="65"/>
      <c r="U17" s="17">
        <f>J17-P17-T17</f>
      </c>
      <c r="V17" s="12"/>
      <c r="W17" s="14"/>
      <c r="X17" s="14"/>
      <c r="Y17" s="29"/>
      <c r="Z17" s="34"/>
    </row>
    <row x14ac:dyDescent="0.25" r="18" customHeight="1" ht="15">
      <c r="A18" s="12">
        <v>45813</v>
      </c>
      <c r="B18" s="14" t="s">
        <v>66</v>
      </c>
      <c r="C18" s="14" t="s">
        <v>3599</v>
      </c>
      <c r="D18" s="14" t="s">
        <v>166</v>
      </c>
      <c r="E18" s="14" t="s">
        <v>3600</v>
      </c>
      <c r="F18" s="14" t="s">
        <v>41</v>
      </c>
      <c r="G18" s="14" t="s">
        <v>3601</v>
      </c>
      <c r="H18" s="14" t="s">
        <v>26</v>
      </c>
      <c r="I18" s="17">
        <v>527700</v>
      </c>
      <c r="J18" s="17">
        <v>1087900</v>
      </c>
      <c r="K18" s="17">
        <v>957220</v>
      </c>
      <c r="L18" s="17">
        <f>J18-K18</f>
      </c>
      <c r="M18" s="14" t="s">
        <v>50</v>
      </c>
      <c r="N18" s="14" t="s">
        <v>3602</v>
      </c>
      <c r="O18" s="17">
        <v>2</v>
      </c>
      <c r="P18" s="65"/>
      <c r="Q18" s="65"/>
      <c r="R18" s="65"/>
      <c r="S18" s="65"/>
      <c r="T18" s="17">
        <v>1087900</v>
      </c>
      <c r="U18" s="17">
        <f>J18-P18-T18</f>
      </c>
      <c r="V18" s="12">
        <v>45828</v>
      </c>
      <c r="W18" s="14" t="s">
        <v>1718</v>
      </c>
      <c r="X18" s="14"/>
      <c r="Y18" s="29"/>
      <c r="Z18" s="34"/>
    </row>
    <row x14ac:dyDescent="0.25" r="19" customHeight="1" ht="15">
      <c r="A19" s="12">
        <v>45813</v>
      </c>
      <c r="B19" s="14" t="s">
        <v>66</v>
      </c>
      <c r="C19" s="14" t="s">
        <v>3599</v>
      </c>
      <c r="D19" s="14" t="s">
        <v>166</v>
      </c>
      <c r="E19" s="14" t="s">
        <v>3600</v>
      </c>
      <c r="F19" s="14" t="s">
        <v>41</v>
      </c>
      <c r="G19" s="14" t="s">
        <v>3603</v>
      </c>
      <c r="H19" s="14" t="s">
        <v>26</v>
      </c>
      <c r="I19" s="17">
        <v>527700</v>
      </c>
      <c r="J19" s="17">
        <v>1087900</v>
      </c>
      <c r="K19" s="17">
        <v>957220</v>
      </c>
      <c r="L19" s="17">
        <f>J19-K19</f>
      </c>
      <c r="M19" s="14" t="s">
        <v>50</v>
      </c>
      <c r="N19" s="14" t="s">
        <v>3604</v>
      </c>
      <c r="O19" s="17">
        <v>2</v>
      </c>
      <c r="P19" s="65"/>
      <c r="Q19" s="65"/>
      <c r="R19" s="65"/>
      <c r="S19" s="65"/>
      <c r="T19" s="17">
        <v>1087900</v>
      </c>
      <c r="U19" s="17">
        <f>J19-P19-T19</f>
      </c>
      <c r="V19" s="12">
        <v>45828</v>
      </c>
      <c r="W19" s="14" t="s">
        <v>1718</v>
      </c>
      <c r="X19" s="14"/>
      <c r="Y19" s="29"/>
      <c r="Z19" s="34"/>
    </row>
    <row x14ac:dyDescent="0.25" r="20" customHeight="1" ht="15">
      <c r="A20" s="12">
        <v>45813</v>
      </c>
      <c r="B20" s="14" t="s">
        <v>46</v>
      </c>
      <c r="C20" s="14" t="s">
        <v>3605</v>
      </c>
      <c r="D20" s="14" t="s">
        <v>3606</v>
      </c>
      <c r="E20" s="14" t="s">
        <v>3607</v>
      </c>
      <c r="F20" s="14" t="s">
        <v>266</v>
      </c>
      <c r="G20" s="14" t="s">
        <v>3608</v>
      </c>
      <c r="H20" s="14" t="s">
        <v>26</v>
      </c>
      <c r="I20" s="17"/>
      <c r="J20" s="17">
        <v>4570920</v>
      </c>
      <c r="K20" s="17">
        <v>4393120</v>
      </c>
      <c r="L20" s="17">
        <f>J20-K20</f>
      </c>
      <c r="M20" s="14" t="s">
        <v>3033</v>
      </c>
      <c r="N20" s="14" t="s">
        <v>3609</v>
      </c>
      <c r="O20" s="17">
        <v>3</v>
      </c>
      <c r="P20" s="65"/>
      <c r="Q20" s="65"/>
      <c r="R20" s="65"/>
      <c r="S20" s="65"/>
      <c r="T20" s="17">
        <v>4570920</v>
      </c>
      <c r="U20" s="17">
        <f>J20-P20-T20</f>
      </c>
      <c r="V20" s="12">
        <v>45818</v>
      </c>
      <c r="W20" s="14" t="s">
        <v>2216</v>
      </c>
      <c r="X20" s="14" t="s">
        <v>3610</v>
      </c>
      <c r="Y20" s="29"/>
      <c r="Z20" s="34"/>
    </row>
    <row x14ac:dyDescent="0.25" r="21" customHeight="1" ht="15.75">
      <c r="A21" s="12">
        <v>45813</v>
      </c>
      <c r="B21" s="14" t="s">
        <v>46</v>
      </c>
      <c r="C21" s="14" t="s">
        <v>3605</v>
      </c>
      <c r="D21" s="14" t="s">
        <v>3606</v>
      </c>
      <c r="E21" s="14" t="s">
        <v>3607</v>
      </c>
      <c r="F21" s="14" t="s">
        <v>266</v>
      </c>
      <c r="G21" s="14" t="s">
        <v>3611</v>
      </c>
      <c r="H21" s="14" t="s">
        <v>26</v>
      </c>
      <c r="I21" s="17"/>
      <c r="J21" s="17">
        <v>4570920</v>
      </c>
      <c r="K21" s="17">
        <v>4393120</v>
      </c>
      <c r="L21" s="17">
        <f>J21-K21</f>
      </c>
      <c r="M21" s="14" t="s">
        <v>3033</v>
      </c>
      <c r="N21" s="14" t="s">
        <v>3612</v>
      </c>
      <c r="O21" s="17">
        <v>3</v>
      </c>
      <c r="P21" s="65"/>
      <c r="Q21" s="65"/>
      <c r="R21" s="65"/>
      <c r="S21" s="65"/>
      <c r="T21" s="17">
        <v>4570920</v>
      </c>
      <c r="U21" s="17">
        <f>J21-P21-T21</f>
      </c>
      <c r="V21" s="12">
        <v>45819</v>
      </c>
      <c r="W21" s="14" t="s">
        <v>2216</v>
      </c>
      <c r="X21" s="14" t="s">
        <v>3613</v>
      </c>
      <c r="Y21" s="29"/>
      <c r="Z21" s="34"/>
    </row>
    <row x14ac:dyDescent="0.25" r="22" customHeight="1" ht="31.2">
      <c r="A22" s="12">
        <v>45813</v>
      </c>
      <c r="B22" s="14" t="s">
        <v>46</v>
      </c>
      <c r="C22" s="14" t="s">
        <v>3605</v>
      </c>
      <c r="D22" s="14" t="s">
        <v>3606</v>
      </c>
      <c r="E22" s="14" t="s">
        <v>3614</v>
      </c>
      <c r="F22" s="14" t="s">
        <v>266</v>
      </c>
      <c r="G22" s="14" t="s">
        <v>3615</v>
      </c>
      <c r="H22" s="14" t="s">
        <v>26</v>
      </c>
      <c r="I22" s="17"/>
      <c r="J22" s="17">
        <v>4570920</v>
      </c>
      <c r="K22" s="17">
        <v>4393120</v>
      </c>
      <c r="L22" s="17">
        <f>J22-K22</f>
      </c>
      <c r="M22" s="14" t="s">
        <v>3033</v>
      </c>
      <c r="N22" s="14" t="s">
        <v>3616</v>
      </c>
      <c r="O22" s="17">
        <v>3</v>
      </c>
      <c r="P22" s="17">
        <v>858160</v>
      </c>
      <c r="Q22" s="65"/>
      <c r="R22" s="65"/>
      <c r="S22" s="65"/>
      <c r="T22" s="17">
        <v>3712760</v>
      </c>
      <c r="U22" s="17">
        <f>J22-P22-T22</f>
      </c>
      <c r="V22" s="175" t="s">
        <v>3617</v>
      </c>
      <c r="W22" s="14" t="s">
        <v>2216</v>
      </c>
      <c r="X22" s="70" t="s">
        <v>3618</v>
      </c>
      <c r="Y22" s="29"/>
      <c r="Z22" s="34"/>
    </row>
    <row x14ac:dyDescent="0.25" r="23" customHeight="1" ht="15.75">
      <c r="A23" s="55">
        <v>45813</v>
      </c>
      <c r="B23" s="56" t="s">
        <v>46</v>
      </c>
      <c r="C23" s="56" t="s">
        <v>3605</v>
      </c>
      <c r="D23" s="56" t="s">
        <v>3606</v>
      </c>
      <c r="E23" s="56" t="s">
        <v>3614</v>
      </c>
      <c r="F23" s="56" t="s">
        <v>266</v>
      </c>
      <c r="G23" s="56" t="s">
        <v>3619</v>
      </c>
      <c r="H23" s="56" t="s">
        <v>26</v>
      </c>
      <c r="I23" s="180" t="s">
        <v>343</v>
      </c>
      <c r="J23" s="57">
        <v>237800</v>
      </c>
      <c r="K23" s="57">
        <v>0</v>
      </c>
      <c r="L23" s="57">
        <f>J23-K23</f>
      </c>
      <c r="M23" s="56" t="s">
        <v>3033</v>
      </c>
      <c r="N23" s="56" t="s">
        <v>3620</v>
      </c>
      <c r="O23" s="57">
        <v>3</v>
      </c>
      <c r="P23" s="17">
        <v>0</v>
      </c>
      <c r="Q23" s="17"/>
      <c r="R23" s="17"/>
      <c r="S23" s="17"/>
      <c r="T23" s="17">
        <v>237800</v>
      </c>
      <c r="U23" s="17">
        <f>J23-P23-T23</f>
      </c>
      <c r="V23" s="12">
        <v>45880</v>
      </c>
      <c r="W23" s="218" t="s">
        <v>2216</v>
      </c>
      <c r="X23" s="218" t="s">
        <v>2122</v>
      </c>
      <c r="Y23" s="29"/>
      <c r="Z23" s="34"/>
    </row>
    <row x14ac:dyDescent="0.25" r="24" customHeight="1" ht="15.75">
      <c r="A24" s="12">
        <v>45813</v>
      </c>
      <c r="B24" s="14" t="s">
        <v>66</v>
      </c>
      <c r="C24" s="14" t="s">
        <v>3621</v>
      </c>
      <c r="D24" s="14" t="s">
        <v>3622</v>
      </c>
      <c r="E24" s="14" t="s">
        <v>3623</v>
      </c>
      <c r="F24" s="14" t="s">
        <v>162</v>
      </c>
      <c r="G24" s="14" t="s">
        <v>351</v>
      </c>
      <c r="H24" s="14" t="s">
        <v>26</v>
      </c>
      <c r="I24" s="17"/>
      <c r="J24" s="17">
        <v>218500</v>
      </c>
      <c r="K24" s="17">
        <v>150200</v>
      </c>
      <c r="L24" s="17">
        <f>J24-K24</f>
      </c>
      <c r="M24" s="14" t="s">
        <v>50</v>
      </c>
      <c r="N24" s="14" t="s">
        <v>3624</v>
      </c>
      <c r="O24" s="65" t="s">
        <v>251</v>
      </c>
      <c r="P24" s="65"/>
      <c r="Q24" s="65"/>
      <c r="R24" s="65"/>
      <c r="S24" s="65"/>
      <c r="T24" s="65"/>
      <c r="U24" s="17">
        <f>J24-P24-T24</f>
      </c>
      <c r="V24" s="12"/>
      <c r="W24" s="14"/>
      <c r="X24" s="14"/>
      <c r="Y24" s="29"/>
      <c r="Z24" s="34"/>
    </row>
    <row x14ac:dyDescent="0.25" r="25" customHeight="1" ht="18.75">
      <c r="A25" s="12">
        <v>45813</v>
      </c>
      <c r="B25" s="14" t="s">
        <v>53</v>
      </c>
      <c r="C25" s="14" t="s">
        <v>3625</v>
      </c>
      <c r="D25" s="14" t="s">
        <v>371</v>
      </c>
      <c r="E25" s="14" t="s">
        <v>3626</v>
      </c>
      <c r="F25" s="14" t="s">
        <v>162</v>
      </c>
      <c r="G25" s="14" t="s">
        <v>351</v>
      </c>
      <c r="H25" s="14" t="s">
        <v>26</v>
      </c>
      <c r="I25" s="65" t="s">
        <v>3627</v>
      </c>
      <c r="J25" s="17">
        <v>214800</v>
      </c>
      <c r="K25" s="17">
        <v>164000</v>
      </c>
      <c r="L25" s="17">
        <f>J25-K25</f>
      </c>
      <c r="M25" s="14" t="s">
        <v>137</v>
      </c>
      <c r="N25" s="14" t="s">
        <v>3628</v>
      </c>
      <c r="O25" s="65" t="s">
        <v>251</v>
      </c>
      <c r="P25" s="65"/>
      <c r="Q25" s="65"/>
      <c r="R25" s="65"/>
      <c r="S25" s="65"/>
      <c r="T25" s="65"/>
      <c r="U25" s="17">
        <f>J25-P25-T25</f>
      </c>
      <c r="V25" s="12"/>
      <c r="W25" s="14"/>
      <c r="X25" s="14"/>
      <c r="Y25" s="29"/>
      <c r="Z25" s="34"/>
    </row>
    <row x14ac:dyDescent="0.25" r="26" customHeight="1" ht="15.75">
      <c r="A26" s="12">
        <v>45813</v>
      </c>
      <c r="B26" s="14" t="s">
        <v>897</v>
      </c>
      <c r="C26" s="14" t="s">
        <v>3629</v>
      </c>
      <c r="D26" s="14" t="s">
        <v>54</v>
      </c>
      <c r="E26" s="14" t="s">
        <v>3630</v>
      </c>
      <c r="F26" s="14" t="s">
        <v>3631</v>
      </c>
      <c r="G26" s="14" t="s">
        <v>3632</v>
      </c>
      <c r="H26" s="14" t="s">
        <v>76</v>
      </c>
      <c r="I26" s="17"/>
      <c r="J26" s="17">
        <v>377600</v>
      </c>
      <c r="K26" s="17">
        <v>356420</v>
      </c>
      <c r="L26" s="17">
        <f>J26-K26</f>
      </c>
      <c r="M26" s="14" t="s">
        <v>187</v>
      </c>
      <c r="N26" s="14" t="s">
        <v>3633</v>
      </c>
      <c r="O26" s="65"/>
      <c r="P26" s="65"/>
      <c r="Q26" s="65"/>
      <c r="R26" s="65"/>
      <c r="S26" s="65"/>
      <c r="T26" s="17">
        <v>377600</v>
      </c>
      <c r="U26" s="17">
        <f>J26-P26-T26</f>
      </c>
      <c r="V26" s="12">
        <v>45813</v>
      </c>
      <c r="W26" s="14" t="s">
        <v>1718</v>
      </c>
      <c r="X26" s="14"/>
      <c r="Y26" s="29"/>
      <c r="Z26" s="34"/>
    </row>
    <row x14ac:dyDescent="0.25" r="27" customHeight="1" ht="15.75">
      <c r="A27" s="12">
        <v>45813</v>
      </c>
      <c r="B27" s="14" t="s">
        <v>897</v>
      </c>
      <c r="C27" s="14" t="s">
        <v>3629</v>
      </c>
      <c r="D27" s="14" t="s">
        <v>54</v>
      </c>
      <c r="E27" s="14" t="s">
        <v>3630</v>
      </c>
      <c r="F27" s="14" t="s">
        <v>3631</v>
      </c>
      <c r="G27" s="14" t="s">
        <v>3634</v>
      </c>
      <c r="H27" s="14" t="s">
        <v>76</v>
      </c>
      <c r="I27" s="17"/>
      <c r="J27" s="17">
        <v>377600</v>
      </c>
      <c r="K27" s="17">
        <v>356420</v>
      </c>
      <c r="L27" s="17">
        <f>J27-K27</f>
      </c>
      <c r="M27" s="14" t="s">
        <v>187</v>
      </c>
      <c r="N27" s="14" t="s">
        <v>3635</v>
      </c>
      <c r="O27" s="65"/>
      <c r="P27" s="65"/>
      <c r="Q27" s="65"/>
      <c r="R27" s="65"/>
      <c r="S27" s="65"/>
      <c r="T27" s="17">
        <v>377600</v>
      </c>
      <c r="U27" s="17">
        <f>J27-P27-T27</f>
      </c>
      <c r="V27" s="12">
        <v>45813</v>
      </c>
      <c r="W27" s="14" t="s">
        <v>1718</v>
      </c>
      <c r="X27" s="14"/>
      <c r="Y27" s="29"/>
      <c r="Z27" s="34"/>
    </row>
    <row x14ac:dyDescent="0.25" r="28" customHeight="1" ht="15.75">
      <c r="A28" s="12">
        <v>45813</v>
      </c>
      <c r="B28" s="14" t="s">
        <v>22</v>
      </c>
      <c r="C28" s="14" t="s">
        <v>3636</v>
      </c>
      <c r="D28" s="14" t="s">
        <v>508</v>
      </c>
      <c r="E28" s="14" t="s">
        <v>3637</v>
      </c>
      <c r="F28" s="14" t="s">
        <v>548</v>
      </c>
      <c r="G28" s="14" t="s">
        <v>3638</v>
      </c>
      <c r="H28" s="14" t="s">
        <v>26</v>
      </c>
      <c r="I28" s="17"/>
      <c r="J28" s="40">
        <v>247920</v>
      </c>
      <c r="K28" s="17">
        <v>191500</v>
      </c>
      <c r="L28" s="17">
        <f>J28-K28</f>
      </c>
      <c r="M28" s="14" t="s">
        <v>22</v>
      </c>
      <c r="N28" s="70" t="s">
        <v>3639</v>
      </c>
      <c r="O28" s="65"/>
      <c r="P28" s="65"/>
      <c r="Q28" s="65"/>
      <c r="R28" s="65"/>
      <c r="S28" s="65"/>
      <c r="T28" s="65"/>
      <c r="U28" s="17">
        <f>J28-P28-T28</f>
      </c>
      <c r="V28" s="12"/>
      <c r="W28" s="14"/>
      <c r="X28" s="14"/>
      <c r="Y28" s="29"/>
      <c r="Z28" s="34"/>
    </row>
    <row x14ac:dyDescent="0.25" r="29" customHeight="1" ht="23.25">
      <c r="A29" s="12">
        <v>45813</v>
      </c>
      <c r="B29" s="14" t="s">
        <v>1323</v>
      </c>
      <c r="C29" s="14" t="s">
        <v>3640</v>
      </c>
      <c r="D29" s="14" t="s">
        <v>3641</v>
      </c>
      <c r="E29" s="14" t="s">
        <v>3642</v>
      </c>
      <c r="F29" s="14" t="s">
        <v>3643</v>
      </c>
      <c r="G29" s="14" t="s">
        <v>3644</v>
      </c>
      <c r="H29" s="14" t="s">
        <v>26</v>
      </c>
      <c r="I29" s="17"/>
      <c r="J29" s="29">
        <v>985820</v>
      </c>
      <c r="K29" s="264">
        <v>908920</v>
      </c>
      <c r="L29" s="17">
        <f>J29-K29</f>
      </c>
      <c r="M29" s="14" t="s">
        <v>154</v>
      </c>
      <c r="N29" s="3" t="s">
        <v>3645</v>
      </c>
      <c r="O29" s="65"/>
      <c r="P29" s="65"/>
      <c r="Q29" s="65"/>
      <c r="R29" s="65"/>
      <c r="S29" s="65"/>
      <c r="T29" s="17">
        <v>985820</v>
      </c>
      <c r="U29" s="17">
        <f>J29-P29-T29</f>
      </c>
      <c r="V29" s="12">
        <v>45834</v>
      </c>
      <c r="W29" s="14" t="s">
        <v>2785</v>
      </c>
      <c r="X29" s="14"/>
      <c r="Y29" s="29"/>
      <c r="Z29" s="34"/>
    </row>
    <row x14ac:dyDescent="0.25" r="30" customHeight="1" ht="23.25">
      <c r="A30" s="12">
        <v>45813</v>
      </c>
      <c r="B30" s="14" t="s">
        <v>1323</v>
      </c>
      <c r="C30" s="14" t="s">
        <v>3640</v>
      </c>
      <c r="D30" s="14" t="s">
        <v>3641</v>
      </c>
      <c r="E30" s="14" t="s">
        <v>3642</v>
      </c>
      <c r="F30" s="14" t="s">
        <v>3643</v>
      </c>
      <c r="G30" s="14" t="s">
        <v>3646</v>
      </c>
      <c r="H30" s="14" t="s">
        <v>26</v>
      </c>
      <c r="I30" s="17"/>
      <c r="J30" s="29">
        <v>985820</v>
      </c>
      <c r="K30" s="264">
        <v>908920</v>
      </c>
      <c r="L30" s="17">
        <f>J30-K30</f>
      </c>
      <c r="M30" s="14" t="s">
        <v>154</v>
      </c>
      <c r="N30" s="3" t="s">
        <v>3647</v>
      </c>
      <c r="O30" s="65"/>
      <c r="P30" s="65"/>
      <c r="Q30" s="65"/>
      <c r="R30" s="65"/>
      <c r="S30" s="65"/>
      <c r="T30" s="17">
        <v>985820</v>
      </c>
      <c r="U30" s="17">
        <f>J30-P30-T30</f>
      </c>
      <c r="V30" s="12">
        <v>45834</v>
      </c>
      <c r="W30" s="14" t="s">
        <v>2785</v>
      </c>
      <c r="X30" s="14"/>
      <c r="Y30" s="29"/>
      <c r="Z30" s="34"/>
    </row>
    <row x14ac:dyDescent="0.25" r="31" customHeight="1" ht="18.75">
      <c r="A31" s="12">
        <v>45814</v>
      </c>
      <c r="B31" s="14" t="s">
        <v>53</v>
      </c>
      <c r="C31" s="14" t="s">
        <v>3648</v>
      </c>
      <c r="D31" s="14" t="s">
        <v>54</v>
      </c>
      <c r="E31" s="14" t="s">
        <v>3649</v>
      </c>
      <c r="F31" s="14" t="s">
        <v>84</v>
      </c>
      <c r="G31" s="14" t="s">
        <v>3650</v>
      </c>
      <c r="H31" s="14" t="s">
        <v>26</v>
      </c>
      <c r="I31" s="265">
        <v>1049600</v>
      </c>
      <c r="J31" s="40">
        <v>1889920</v>
      </c>
      <c r="K31" s="266">
        <v>1381420</v>
      </c>
      <c r="L31" s="17">
        <f>J31-K31</f>
      </c>
      <c r="M31" s="14" t="s">
        <v>137</v>
      </c>
      <c r="N31" s="14" t="s">
        <v>3651</v>
      </c>
      <c r="O31" s="65"/>
      <c r="P31" s="65"/>
      <c r="Q31" s="65"/>
      <c r="R31" s="65"/>
      <c r="S31" s="65"/>
      <c r="T31" s="17">
        <v>1889920</v>
      </c>
      <c r="U31" s="17">
        <f>J31-P31-T31</f>
      </c>
      <c r="V31" s="12">
        <v>45845</v>
      </c>
      <c r="W31" s="14" t="s">
        <v>2785</v>
      </c>
      <c r="X31" s="14"/>
      <c r="Y31" s="29"/>
      <c r="Z31" s="34"/>
    </row>
    <row x14ac:dyDescent="0.25" r="32" customHeight="1" ht="18.75">
      <c r="A32" s="12">
        <v>45814</v>
      </c>
      <c r="B32" s="14" t="s">
        <v>53</v>
      </c>
      <c r="C32" s="14" t="s">
        <v>3648</v>
      </c>
      <c r="D32" s="14" t="s">
        <v>54</v>
      </c>
      <c r="E32" s="14" t="s">
        <v>3649</v>
      </c>
      <c r="F32" s="14" t="s">
        <v>84</v>
      </c>
      <c r="G32" s="14" t="s">
        <v>3652</v>
      </c>
      <c r="H32" s="14" t="s">
        <v>26</v>
      </c>
      <c r="I32" s="265">
        <v>1049600</v>
      </c>
      <c r="J32" s="40">
        <v>1889920</v>
      </c>
      <c r="K32" s="266">
        <v>1381420</v>
      </c>
      <c r="L32" s="17">
        <f>J32-K32</f>
      </c>
      <c r="M32" s="14" t="s">
        <v>137</v>
      </c>
      <c r="N32" s="14" t="s">
        <v>3653</v>
      </c>
      <c r="O32" s="65"/>
      <c r="P32" s="65"/>
      <c r="Q32" s="65"/>
      <c r="R32" s="65"/>
      <c r="S32" s="65"/>
      <c r="T32" s="17">
        <v>1889920</v>
      </c>
      <c r="U32" s="17">
        <f>J32-P32-T32</f>
      </c>
      <c r="V32" s="12">
        <v>45845</v>
      </c>
      <c r="W32" s="14" t="s">
        <v>2122</v>
      </c>
      <c r="X32" s="14"/>
      <c r="Y32" s="29"/>
      <c r="Z32" s="34"/>
    </row>
    <row x14ac:dyDescent="0.25" r="33" customHeight="1" ht="18.75">
      <c r="A33" s="12">
        <v>45814</v>
      </c>
      <c r="B33" s="14" t="s">
        <v>53</v>
      </c>
      <c r="C33" s="14" t="s">
        <v>3648</v>
      </c>
      <c r="D33" s="14" t="s">
        <v>54</v>
      </c>
      <c r="E33" s="14" t="s">
        <v>3649</v>
      </c>
      <c r="F33" s="14" t="s">
        <v>84</v>
      </c>
      <c r="G33" s="14" t="s">
        <v>3654</v>
      </c>
      <c r="H33" s="14" t="s">
        <v>26</v>
      </c>
      <c r="I33" s="265">
        <v>1049600</v>
      </c>
      <c r="J33" s="40">
        <v>1889920</v>
      </c>
      <c r="K33" s="266">
        <v>1381420</v>
      </c>
      <c r="L33" s="17">
        <f>J33-K33</f>
      </c>
      <c r="M33" s="14" t="s">
        <v>137</v>
      </c>
      <c r="N33" s="14" t="s">
        <v>3655</v>
      </c>
      <c r="O33" s="65"/>
      <c r="P33" s="65"/>
      <c r="Q33" s="65"/>
      <c r="R33" s="65"/>
      <c r="S33" s="65"/>
      <c r="T33" s="17">
        <v>1889920</v>
      </c>
      <c r="U33" s="17">
        <f>J33-P33-T33</f>
      </c>
      <c r="V33" s="12">
        <v>45845</v>
      </c>
      <c r="W33" s="14" t="s">
        <v>2122</v>
      </c>
      <c r="X33" s="14"/>
      <c r="Y33" s="29"/>
      <c r="Z33" s="34"/>
    </row>
    <row x14ac:dyDescent="0.25" r="34" customHeight="1" ht="15.75">
      <c r="A34" s="12">
        <v>45814</v>
      </c>
      <c r="B34" s="261"/>
      <c r="C34" s="261"/>
      <c r="D34" s="261"/>
      <c r="E34" s="261"/>
      <c r="F34" s="261"/>
      <c r="G34" s="261"/>
      <c r="H34" s="14" t="s">
        <v>26</v>
      </c>
      <c r="I34" s="262"/>
      <c r="J34" s="267">
        <v>2650420</v>
      </c>
      <c r="K34" s="262">
        <v>2650420</v>
      </c>
      <c r="L34" s="262"/>
      <c r="M34" s="261" t="s">
        <v>50</v>
      </c>
      <c r="N34" s="261"/>
      <c r="O34" s="263" t="s">
        <v>3656</v>
      </c>
      <c r="P34" s="65"/>
      <c r="Q34" s="65"/>
      <c r="R34" s="65"/>
      <c r="S34" s="65"/>
      <c r="T34" s="65"/>
      <c r="U34" s="17">
        <f>J34-P34-T34</f>
      </c>
      <c r="V34" s="12"/>
      <c r="W34" s="14"/>
      <c r="X34" s="14"/>
      <c r="Y34" s="29"/>
      <c r="Z34" s="34"/>
    </row>
    <row x14ac:dyDescent="0.25" r="35" customHeight="1" ht="15.75">
      <c r="A35" s="12">
        <v>45814</v>
      </c>
      <c r="B35" s="14" t="s">
        <v>123</v>
      </c>
      <c r="C35" s="14" t="s">
        <v>3657</v>
      </c>
      <c r="D35" s="14" t="s">
        <v>3658</v>
      </c>
      <c r="E35" s="14" t="s">
        <v>3659</v>
      </c>
      <c r="F35" s="14" t="s">
        <v>327</v>
      </c>
      <c r="G35" s="14" t="s">
        <v>407</v>
      </c>
      <c r="H35" s="14" t="s">
        <v>26</v>
      </c>
      <c r="I35" s="17">
        <v>1910500</v>
      </c>
      <c r="J35" s="40">
        <v>2770920</v>
      </c>
      <c r="K35" s="17">
        <v>2650420</v>
      </c>
      <c r="L35" s="17">
        <f>J35-K35</f>
      </c>
      <c r="M35" s="14" t="s">
        <v>50</v>
      </c>
      <c r="N35" s="14" t="s">
        <v>3660</v>
      </c>
      <c r="O35" s="17">
        <v>4</v>
      </c>
      <c r="P35" s="65"/>
      <c r="Q35" s="65"/>
      <c r="R35" s="65"/>
      <c r="S35" s="65"/>
      <c r="T35" s="65"/>
      <c r="U35" s="17">
        <f>J35-P35-T35</f>
      </c>
      <c r="V35" s="12"/>
      <c r="W35" s="14"/>
      <c r="X35" s="14"/>
      <c r="Y35" s="29">
        <v>65701</v>
      </c>
      <c r="Z35" s="34" t="s">
        <v>3661</v>
      </c>
    </row>
    <row x14ac:dyDescent="0.25" r="36" customHeight="1" ht="15.75">
      <c r="A36" s="12">
        <v>45815</v>
      </c>
      <c r="B36" s="14" t="s">
        <v>66</v>
      </c>
      <c r="C36" s="14" t="s">
        <v>3636</v>
      </c>
      <c r="D36" s="14" t="s">
        <v>373</v>
      </c>
      <c r="E36" s="14" t="s">
        <v>3662</v>
      </c>
      <c r="F36" s="14" t="s">
        <v>3663</v>
      </c>
      <c r="G36" s="14" t="s">
        <v>3664</v>
      </c>
      <c r="H36" s="14" t="s">
        <v>262</v>
      </c>
      <c r="I36" s="17">
        <v>309600</v>
      </c>
      <c r="J36" s="40">
        <v>515920</v>
      </c>
      <c r="K36" s="17">
        <v>485320</v>
      </c>
      <c r="L36" s="17">
        <f>J36-K36</f>
      </c>
      <c r="M36" s="14" t="s">
        <v>50</v>
      </c>
      <c r="N36" s="14" t="s">
        <v>3665</v>
      </c>
      <c r="O36" s="17">
        <v>2</v>
      </c>
      <c r="P36" s="17">
        <v>277000</v>
      </c>
      <c r="Q36" s="65"/>
      <c r="R36" s="65"/>
      <c r="S36" s="65"/>
      <c r="T36" s="17">
        <v>238920</v>
      </c>
      <c r="U36" s="17">
        <f>J36-P36-T36</f>
      </c>
      <c r="V36" s="12">
        <v>45819</v>
      </c>
      <c r="W36" s="14" t="s">
        <v>1718</v>
      </c>
      <c r="X36" s="14"/>
      <c r="Y36" s="29"/>
      <c r="Z36" s="268" t="s">
        <v>3666</v>
      </c>
    </row>
    <row x14ac:dyDescent="0.25" r="37" customHeight="1" ht="15.75">
      <c r="A37" s="12">
        <v>45817</v>
      </c>
      <c r="B37" s="14" t="s">
        <v>66</v>
      </c>
      <c r="C37" s="14" t="s">
        <v>3667</v>
      </c>
      <c r="D37" s="14" t="s">
        <v>172</v>
      </c>
      <c r="E37" s="14" t="s">
        <v>3668</v>
      </c>
      <c r="F37" s="14" t="s">
        <v>162</v>
      </c>
      <c r="G37" s="14" t="s">
        <v>3539</v>
      </c>
      <c r="H37" s="14" t="s">
        <v>26</v>
      </c>
      <c r="I37" s="17"/>
      <c r="J37" s="40">
        <v>25000</v>
      </c>
      <c r="K37" s="17">
        <v>0</v>
      </c>
      <c r="L37" s="17">
        <f>J37-K37</f>
      </c>
      <c r="M37" s="14" t="s">
        <v>187</v>
      </c>
      <c r="N37" s="14" t="s">
        <v>3669</v>
      </c>
      <c r="O37" s="65" t="s">
        <v>251</v>
      </c>
      <c r="P37" s="65"/>
      <c r="Q37" s="65"/>
      <c r="R37" s="65"/>
      <c r="S37" s="65"/>
      <c r="T37" s="65"/>
      <c r="U37" s="17">
        <f>J37-P37-T37</f>
      </c>
      <c r="V37" s="12"/>
      <c r="W37" s="14"/>
      <c r="X37" s="14"/>
      <c r="Y37" s="29"/>
      <c r="Z37" s="34"/>
    </row>
    <row x14ac:dyDescent="0.25" r="38" customHeight="1" ht="15.75">
      <c r="A38" s="12">
        <v>45817</v>
      </c>
      <c r="B38" s="14" t="s">
        <v>66</v>
      </c>
      <c r="C38" s="14" t="s">
        <v>3670</v>
      </c>
      <c r="D38" s="14" t="s">
        <v>166</v>
      </c>
      <c r="E38" s="14" t="s">
        <v>3671</v>
      </c>
      <c r="F38" s="14" t="s">
        <v>266</v>
      </c>
      <c r="G38" s="14" t="s">
        <v>3672</v>
      </c>
      <c r="H38" s="14" t="s">
        <v>26</v>
      </c>
      <c r="I38" s="17">
        <v>447700</v>
      </c>
      <c r="J38" s="40">
        <v>882920</v>
      </c>
      <c r="K38" s="17">
        <v>797220</v>
      </c>
      <c r="L38" s="17">
        <f>J38-K38</f>
      </c>
      <c r="M38" s="14" t="s">
        <v>50</v>
      </c>
      <c r="N38" s="14" t="s">
        <v>3673</v>
      </c>
      <c r="O38" s="17">
        <v>2</v>
      </c>
      <c r="P38" s="65"/>
      <c r="Q38" s="65"/>
      <c r="R38" s="65"/>
      <c r="S38" s="65"/>
      <c r="T38" s="17">
        <v>882920</v>
      </c>
      <c r="U38" s="17">
        <f>J38-P38-T38</f>
      </c>
      <c r="V38" s="12">
        <v>45818</v>
      </c>
      <c r="W38" s="14" t="s">
        <v>2216</v>
      </c>
      <c r="X38" s="251" t="s">
        <v>3674</v>
      </c>
      <c r="Y38" s="29"/>
      <c r="Z38" s="34"/>
    </row>
    <row x14ac:dyDescent="0.25" r="39" customHeight="1" ht="15.75">
      <c r="A39" s="12">
        <v>45817</v>
      </c>
      <c r="B39" s="14" t="s">
        <v>66</v>
      </c>
      <c r="C39" s="14" t="s">
        <v>3670</v>
      </c>
      <c r="D39" s="14" t="s">
        <v>166</v>
      </c>
      <c r="E39" s="14" t="s">
        <v>3671</v>
      </c>
      <c r="F39" s="14" t="s">
        <v>266</v>
      </c>
      <c r="G39" s="14" t="s">
        <v>3675</v>
      </c>
      <c r="H39" s="14" t="s">
        <v>26</v>
      </c>
      <c r="I39" s="17">
        <v>447700</v>
      </c>
      <c r="J39" s="40">
        <v>882920</v>
      </c>
      <c r="K39" s="17">
        <v>797220</v>
      </c>
      <c r="L39" s="17">
        <f>J39-K39</f>
      </c>
      <c r="M39" s="14" t="s">
        <v>50</v>
      </c>
      <c r="N39" s="14" t="s">
        <v>3676</v>
      </c>
      <c r="O39" s="17">
        <v>2</v>
      </c>
      <c r="P39" s="65"/>
      <c r="Q39" s="65"/>
      <c r="R39" s="65"/>
      <c r="S39" s="65"/>
      <c r="T39" s="17">
        <v>882920</v>
      </c>
      <c r="U39" s="17">
        <f>J39-P39-T39</f>
      </c>
      <c r="V39" s="12">
        <v>45818</v>
      </c>
      <c r="W39" s="147" t="s">
        <v>2216</v>
      </c>
      <c r="X39" s="251" t="s">
        <v>3674</v>
      </c>
      <c r="Y39" s="29"/>
      <c r="Z39" s="34"/>
    </row>
    <row x14ac:dyDescent="0.25" r="40" customHeight="1" ht="15.75">
      <c r="A40" s="12">
        <v>45817</v>
      </c>
      <c r="B40" s="14" t="s">
        <v>111</v>
      </c>
      <c r="C40" s="14" t="s">
        <v>3677</v>
      </c>
      <c r="D40" s="14" t="s">
        <v>3678</v>
      </c>
      <c r="E40" s="14" t="s">
        <v>3679</v>
      </c>
      <c r="F40" s="14" t="s">
        <v>2318</v>
      </c>
      <c r="G40" s="14" t="s">
        <v>3680</v>
      </c>
      <c r="H40" s="14" t="s">
        <v>26</v>
      </c>
      <c r="I40" s="17">
        <v>386000</v>
      </c>
      <c r="J40" s="17">
        <v>722900</v>
      </c>
      <c r="K40" s="17">
        <v>622600</v>
      </c>
      <c r="L40" s="17">
        <f>J40-K40</f>
      </c>
      <c r="M40" s="14" t="s">
        <v>50</v>
      </c>
      <c r="N40" s="14" t="s">
        <v>3681</v>
      </c>
      <c r="O40" s="17">
        <v>2</v>
      </c>
      <c r="P40" s="65"/>
      <c r="Q40" s="65"/>
      <c r="R40" s="65"/>
      <c r="S40" s="65"/>
      <c r="T40" s="17">
        <v>722900</v>
      </c>
      <c r="U40" s="17">
        <f>J40-P40-T40</f>
      </c>
      <c r="V40" s="12">
        <v>45828</v>
      </c>
      <c r="W40" s="14" t="s">
        <v>1718</v>
      </c>
      <c r="X40" s="14"/>
      <c r="Y40" s="29"/>
      <c r="Z40" s="34"/>
    </row>
    <row x14ac:dyDescent="0.25" r="41" customHeight="1" ht="15.75">
      <c r="A41" s="12">
        <v>45819</v>
      </c>
      <c r="B41" s="14" t="s">
        <v>111</v>
      </c>
      <c r="C41" s="14" t="s">
        <v>3682</v>
      </c>
      <c r="D41" s="14" t="s">
        <v>112</v>
      </c>
      <c r="E41" s="14" t="s">
        <v>3683</v>
      </c>
      <c r="F41" s="14" t="s">
        <v>3684</v>
      </c>
      <c r="G41" s="14" t="s">
        <v>2735</v>
      </c>
      <c r="H41" s="14" t="s">
        <v>26</v>
      </c>
      <c r="I41" s="17">
        <v>145800</v>
      </c>
      <c r="J41" s="17">
        <v>756805</v>
      </c>
      <c r="K41" s="17">
        <v>412005</v>
      </c>
      <c r="L41" s="17">
        <f>J41-K41</f>
      </c>
      <c r="M41" s="14" t="s">
        <v>50</v>
      </c>
      <c r="N41" s="14" t="s">
        <v>3685</v>
      </c>
      <c r="O41" s="17">
        <v>2</v>
      </c>
      <c r="P41" s="65"/>
      <c r="Q41" s="65"/>
      <c r="R41" s="65"/>
      <c r="S41" s="65"/>
      <c r="T41" s="17">
        <v>756805</v>
      </c>
      <c r="U41" s="17">
        <f>J41-P41-T41</f>
      </c>
      <c r="V41" s="12">
        <v>45880</v>
      </c>
      <c r="W41" s="14" t="s">
        <v>2785</v>
      </c>
      <c r="X41" s="14"/>
      <c r="Y41" s="29"/>
      <c r="Z41" s="34"/>
    </row>
    <row x14ac:dyDescent="0.25" r="42" customHeight="1" ht="33">
      <c r="A42" s="12">
        <v>45819</v>
      </c>
      <c r="B42" s="14" t="s">
        <v>46</v>
      </c>
      <c r="C42" s="14" t="s">
        <v>3667</v>
      </c>
      <c r="D42" s="14" t="s">
        <v>54</v>
      </c>
      <c r="E42" s="14" t="s">
        <v>3686</v>
      </c>
      <c r="F42" s="14" t="s">
        <v>3687</v>
      </c>
      <c r="G42" s="14" t="s">
        <v>3688</v>
      </c>
      <c r="H42" s="14" t="s">
        <v>262</v>
      </c>
      <c r="I42" s="17">
        <v>387200</v>
      </c>
      <c r="J42" s="17">
        <v>770920</v>
      </c>
      <c r="K42" s="17">
        <v>702420</v>
      </c>
      <c r="L42" s="17">
        <f>J42-K42</f>
      </c>
      <c r="M42" s="14" t="s">
        <v>50</v>
      </c>
      <c r="N42" s="14" t="s">
        <v>3689</v>
      </c>
      <c r="O42" s="17">
        <v>2</v>
      </c>
      <c r="P42" s="17">
        <v>500000</v>
      </c>
      <c r="Q42" s="65"/>
      <c r="R42" s="65"/>
      <c r="S42" s="65"/>
      <c r="T42" s="17">
        <v>270920</v>
      </c>
      <c r="U42" s="17">
        <f>J42-P42-T42</f>
      </c>
      <c r="V42" s="237" t="s">
        <v>3690</v>
      </c>
      <c r="W42" s="14" t="s">
        <v>1718</v>
      </c>
      <c r="X42" s="14"/>
      <c r="Y42" s="29"/>
      <c r="Z42" s="34"/>
    </row>
    <row x14ac:dyDescent="0.25" r="43" customHeight="1" ht="15.75">
      <c r="A43" s="12">
        <v>45819</v>
      </c>
      <c r="B43" s="14" t="s">
        <v>897</v>
      </c>
      <c r="C43" s="14" t="s">
        <v>3691</v>
      </c>
      <c r="D43" s="14" t="s">
        <v>54</v>
      </c>
      <c r="E43" s="14" t="s">
        <v>3692</v>
      </c>
      <c r="F43" s="14" t="s">
        <v>3693</v>
      </c>
      <c r="G43" s="14" t="s">
        <v>3694</v>
      </c>
      <c r="H43" s="14" t="s">
        <v>76</v>
      </c>
      <c r="I43" s="17"/>
      <c r="J43" s="17">
        <v>457220</v>
      </c>
      <c r="K43" s="17">
        <v>427220</v>
      </c>
      <c r="L43" s="17">
        <f>J43-K43</f>
      </c>
      <c r="M43" s="14" t="s">
        <v>187</v>
      </c>
      <c r="N43" s="14" t="s">
        <v>3695</v>
      </c>
      <c r="O43" s="65"/>
      <c r="P43" s="65"/>
      <c r="Q43" s="65"/>
      <c r="R43" s="65"/>
      <c r="S43" s="65"/>
      <c r="T43" s="17">
        <v>457220</v>
      </c>
      <c r="U43" s="17">
        <f>J43-P43-T43</f>
      </c>
      <c r="V43" s="12">
        <v>45947</v>
      </c>
      <c r="W43" s="14" t="s">
        <v>1718</v>
      </c>
      <c r="X43" s="14"/>
      <c r="Y43" s="29"/>
      <c r="Z43" s="34"/>
    </row>
    <row x14ac:dyDescent="0.25" r="44" customHeight="1" ht="15.75">
      <c r="A44" s="12">
        <v>45819</v>
      </c>
      <c r="B44" s="14" t="s">
        <v>897</v>
      </c>
      <c r="C44" s="14" t="s">
        <v>3691</v>
      </c>
      <c r="D44" s="14" t="s">
        <v>54</v>
      </c>
      <c r="E44" s="14" t="s">
        <v>3692</v>
      </c>
      <c r="F44" s="14" t="s">
        <v>3693</v>
      </c>
      <c r="G44" s="14" t="s">
        <v>3696</v>
      </c>
      <c r="H44" s="14" t="s">
        <v>76</v>
      </c>
      <c r="I44" s="17"/>
      <c r="J44" s="17">
        <v>457220</v>
      </c>
      <c r="K44" s="17">
        <v>427220</v>
      </c>
      <c r="L44" s="17">
        <f>J44-K44</f>
      </c>
      <c r="M44" s="14" t="s">
        <v>187</v>
      </c>
      <c r="N44" s="14" t="s">
        <v>3697</v>
      </c>
      <c r="O44" s="65"/>
      <c r="P44" s="17">
        <v>42780</v>
      </c>
      <c r="Q44" s="65"/>
      <c r="R44" s="65"/>
      <c r="S44" s="65"/>
      <c r="T44" s="65"/>
      <c r="U44" s="17">
        <f>J44-P44-T44</f>
      </c>
      <c r="V44" s="12">
        <v>45947</v>
      </c>
      <c r="W44" s="14" t="s">
        <v>1718</v>
      </c>
      <c r="X44" s="14"/>
      <c r="Y44" s="29"/>
      <c r="Z44" s="34"/>
    </row>
    <row x14ac:dyDescent="0.25" r="45" customHeight="1" ht="15.75">
      <c r="A45" s="12">
        <v>45819</v>
      </c>
      <c r="B45" s="14" t="s">
        <v>897</v>
      </c>
      <c r="C45" s="14" t="s">
        <v>3691</v>
      </c>
      <c r="D45" s="14" t="s">
        <v>54</v>
      </c>
      <c r="E45" s="14" t="s">
        <v>3692</v>
      </c>
      <c r="F45" s="14" t="s">
        <v>3693</v>
      </c>
      <c r="G45" s="14" t="s">
        <v>3698</v>
      </c>
      <c r="H45" s="14" t="s">
        <v>76</v>
      </c>
      <c r="I45" s="17"/>
      <c r="J45" s="17">
        <v>457220</v>
      </c>
      <c r="K45" s="17">
        <v>427220</v>
      </c>
      <c r="L45" s="17">
        <f>J45-K45</f>
      </c>
      <c r="M45" s="14" t="s">
        <v>187</v>
      </c>
      <c r="N45" s="14" t="s">
        <v>3699</v>
      </c>
      <c r="O45" s="65"/>
      <c r="P45" s="65"/>
      <c r="Q45" s="65"/>
      <c r="R45" s="65"/>
      <c r="S45" s="65"/>
      <c r="T45" s="65"/>
      <c r="U45" s="17">
        <f>J45-P45-T45</f>
      </c>
      <c r="V45" s="12"/>
      <c r="W45" s="14"/>
      <c r="X45" s="14"/>
      <c r="Y45" s="29"/>
      <c r="Z45" s="34"/>
    </row>
    <row x14ac:dyDescent="0.25" r="46" customHeight="1" ht="28.95">
      <c r="A46" s="12">
        <v>45819</v>
      </c>
      <c r="B46" s="14" t="s">
        <v>46</v>
      </c>
      <c r="C46" s="14" t="s">
        <v>3700</v>
      </c>
      <c r="D46" s="14" t="s">
        <v>54</v>
      </c>
      <c r="E46" s="14" t="s">
        <v>3701</v>
      </c>
      <c r="F46" s="14" t="s">
        <v>3702</v>
      </c>
      <c r="G46" s="14" t="s">
        <v>3703</v>
      </c>
      <c r="H46" s="14" t="s">
        <v>26</v>
      </c>
      <c r="I46" s="17">
        <v>650200</v>
      </c>
      <c r="J46" s="17">
        <v>1028900</v>
      </c>
      <c r="K46" s="17">
        <v>958420</v>
      </c>
      <c r="L46" s="17">
        <f>J46-K46</f>
      </c>
      <c r="M46" s="14" t="s">
        <v>280</v>
      </c>
      <c r="N46" s="14" t="s">
        <v>3704</v>
      </c>
      <c r="O46" s="17">
        <v>2</v>
      </c>
      <c r="P46" s="65"/>
      <c r="Q46" s="17">
        <v>76500</v>
      </c>
      <c r="R46" s="17">
        <v>580000</v>
      </c>
      <c r="S46" s="17"/>
      <c r="T46" s="65"/>
      <c r="U46" s="17">
        <f>J46-P46-Q46-R46-T46</f>
      </c>
      <c r="V46" s="175" t="s">
        <v>3705</v>
      </c>
      <c r="W46" s="14" t="s">
        <v>1718</v>
      </c>
      <c r="X46" s="14"/>
      <c r="Y46" s="29"/>
      <c r="Z46" s="34"/>
    </row>
    <row x14ac:dyDescent="0.25" r="47" customHeight="1" ht="15.75">
      <c r="A47" s="12">
        <v>45819</v>
      </c>
      <c r="B47" s="14" t="s">
        <v>3706</v>
      </c>
      <c r="C47" s="14" t="s">
        <v>3707</v>
      </c>
      <c r="D47" s="14" t="s">
        <v>3708</v>
      </c>
      <c r="E47" s="14" t="s">
        <v>3709</v>
      </c>
      <c r="F47" s="14" t="s">
        <v>162</v>
      </c>
      <c r="G47" s="14" t="s">
        <v>439</v>
      </c>
      <c r="H47" s="14" t="s">
        <v>26</v>
      </c>
      <c r="I47" s="17"/>
      <c r="J47" s="17">
        <v>268600</v>
      </c>
      <c r="K47" s="17">
        <v>221000</v>
      </c>
      <c r="L47" s="17">
        <f>J47-K47</f>
      </c>
      <c r="M47" s="14" t="s">
        <v>2699</v>
      </c>
      <c r="N47" s="14" t="s">
        <v>3710</v>
      </c>
      <c r="O47" s="65"/>
      <c r="P47" s="65"/>
      <c r="Q47" s="65"/>
      <c r="R47" s="65"/>
      <c r="S47" s="65"/>
      <c r="T47" s="65"/>
      <c r="U47" s="17">
        <f>J47-P47-T47</f>
      </c>
      <c r="V47" s="12"/>
      <c r="W47" s="14"/>
      <c r="X47" s="14"/>
      <c r="Y47" s="29"/>
      <c r="Z47" s="34"/>
    </row>
    <row x14ac:dyDescent="0.25" r="48" customHeight="1" ht="15.75">
      <c r="A48" s="55">
        <v>45819</v>
      </c>
      <c r="B48" s="56" t="s">
        <v>46</v>
      </c>
      <c r="C48" s="56" t="s">
        <v>3711</v>
      </c>
      <c r="D48" s="56" t="s">
        <v>3712</v>
      </c>
      <c r="E48" s="56" t="s">
        <v>3713</v>
      </c>
      <c r="F48" s="56" t="s">
        <v>162</v>
      </c>
      <c r="G48" s="56" t="s">
        <v>439</v>
      </c>
      <c r="H48" s="56" t="s">
        <v>26</v>
      </c>
      <c r="I48" s="57"/>
      <c r="J48" s="57">
        <v>68900</v>
      </c>
      <c r="K48" s="57">
        <v>0</v>
      </c>
      <c r="L48" s="57">
        <f>J48-K48</f>
      </c>
      <c r="M48" s="56" t="s">
        <v>187</v>
      </c>
      <c r="N48" s="56" t="s">
        <v>3714</v>
      </c>
      <c r="O48" s="180" t="s">
        <v>343</v>
      </c>
      <c r="P48" s="17">
        <f>K48</f>
      </c>
      <c r="Q48" s="17"/>
      <c r="R48" s="17"/>
      <c r="S48" s="17"/>
      <c r="T48" s="65"/>
      <c r="U48" s="65"/>
      <c r="V48" s="12">
        <f>V47+T48+U48-P48</f>
        <v>25569.041666666668</v>
      </c>
      <c r="W48" s="14"/>
      <c r="X48" s="14"/>
      <c r="Y48" s="29"/>
      <c r="Z48" s="34"/>
    </row>
    <row x14ac:dyDescent="0.25" r="49" customHeight="1" ht="15.75">
      <c r="A49" s="12">
        <v>45819</v>
      </c>
      <c r="B49" s="14" t="s">
        <v>46</v>
      </c>
      <c r="C49" s="14" t="s">
        <v>3715</v>
      </c>
      <c r="D49" s="14" t="s">
        <v>54</v>
      </c>
      <c r="E49" s="14" t="s">
        <v>3716</v>
      </c>
      <c r="F49" s="14" t="s">
        <v>3687</v>
      </c>
      <c r="G49" s="14" t="s">
        <v>3688</v>
      </c>
      <c r="H49" s="14" t="s">
        <v>262</v>
      </c>
      <c r="I49" s="17">
        <v>0</v>
      </c>
      <c r="J49" s="17">
        <v>151200</v>
      </c>
      <c r="K49" s="17">
        <v>131200</v>
      </c>
      <c r="L49" s="17">
        <f>J49-K49</f>
      </c>
      <c r="M49" s="14" t="s">
        <v>50</v>
      </c>
      <c r="N49" s="14" t="s">
        <v>3717</v>
      </c>
      <c r="O49" s="65" t="s">
        <v>251</v>
      </c>
      <c r="P49" s="65"/>
      <c r="Q49" s="65"/>
      <c r="R49" s="65"/>
      <c r="S49" s="65"/>
      <c r="T49" s="17">
        <v>151200</v>
      </c>
      <c r="U49" s="17">
        <f>J49-P49-T49</f>
      </c>
      <c r="V49" s="12">
        <v>45834</v>
      </c>
      <c r="W49" s="14" t="s">
        <v>1718</v>
      </c>
      <c r="X49" s="14"/>
      <c r="Y49" s="29"/>
      <c r="Z49" s="34"/>
    </row>
    <row x14ac:dyDescent="0.25" r="50" customHeight="1" ht="25.2">
      <c r="A50" s="12">
        <v>45820</v>
      </c>
      <c r="B50" s="14" t="s">
        <v>46</v>
      </c>
      <c r="C50" s="14" t="s">
        <v>3718</v>
      </c>
      <c r="D50" s="14" t="s">
        <v>54</v>
      </c>
      <c r="E50" s="14" t="s">
        <v>3719</v>
      </c>
      <c r="F50" s="14" t="s">
        <v>24</v>
      </c>
      <c r="G50" s="34" t="s">
        <v>3720</v>
      </c>
      <c r="H50" s="14" t="s">
        <v>26</v>
      </c>
      <c r="I50" s="17"/>
      <c r="J50" s="17">
        <v>3489000</v>
      </c>
      <c r="K50" s="17">
        <v>822500</v>
      </c>
      <c r="L50" s="17">
        <f>J50-K50</f>
      </c>
      <c r="M50" s="14" t="s">
        <v>46</v>
      </c>
      <c r="N50" s="14" t="s">
        <v>3721</v>
      </c>
      <c r="O50" s="65"/>
      <c r="P50" s="17">
        <v>1672705</v>
      </c>
      <c r="Q50" s="65"/>
      <c r="R50" s="65"/>
      <c r="S50" s="65"/>
      <c r="T50" s="17">
        <v>1816295</v>
      </c>
      <c r="U50" s="17">
        <f>J50-P50-T50</f>
      </c>
      <c r="V50" s="175" t="s">
        <v>3722</v>
      </c>
      <c r="W50" s="14" t="s">
        <v>2785</v>
      </c>
      <c r="X50" s="14"/>
      <c r="Y50" s="29"/>
      <c r="Z50" s="34"/>
    </row>
    <row x14ac:dyDescent="0.25" r="51" customHeight="1" ht="15.75">
      <c r="A51" s="12">
        <v>45820</v>
      </c>
      <c r="B51" s="14" t="s">
        <v>46</v>
      </c>
      <c r="C51" s="14" t="s">
        <v>3723</v>
      </c>
      <c r="D51" s="14" t="s">
        <v>2560</v>
      </c>
      <c r="E51" s="14" t="s">
        <v>3724</v>
      </c>
      <c r="F51" s="14" t="s">
        <v>1160</v>
      </c>
      <c r="G51" s="14" t="s">
        <v>3725</v>
      </c>
      <c r="H51" s="14" t="s">
        <v>26</v>
      </c>
      <c r="I51" s="17"/>
      <c r="J51" s="17">
        <v>986700</v>
      </c>
      <c r="K51" s="17">
        <v>916700</v>
      </c>
      <c r="L51" s="17">
        <f>J51-K51</f>
      </c>
      <c r="M51" s="14" t="s">
        <v>187</v>
      </c>
      <c r="N51" s="14" t="s">
        <v>3726</v>
      </c>
      <c r="O51" s="65"/>
      <c r="P51" s="65"/>
      <c r="Q51" s="65"/>
      <c r="R51" s="65"/>
      <c r="S51" s="65"/>
      <c r="T51" s="17">
        <v>986700</v>
      </c>
      <c r="U51" s="17">
        <f>J51-P51-T51</f>
      </c>
      <c r="V51" s="12">
        <v>45901</v>
      </c>
      <c r="W51" s="14" t="s">
        <v>1718</v>
      </c>
      <c r="X51" s="14"/>
      <c r="Y51" s="29"/>
      <c r="Z51" s="34"/>
    </row>
    <row x14ac:dyDescent="0.25" r="52" customHeight="1" ht="23.25">
      <c r="A52" s="12">
        <v>45820</v>
      </c>
      <c r="B52" s="14" t="s">
        <v>72</v>
      </c>
      <c r="C52" s="14" t="s">
        <v>3727</v>
      </c>
      <c r="D52" s="14" t="s">
        <v>3728</v>
      </c>
      <c r="E52" s="14" t="s">
        <v>3729</v>
      </c>
      <c r="F52" s="14" t="s">
        <v>3643</v>
      </c>
      <c r="G52" s="34" t="s">
        <v>3730</v>
      </c>
      <c r="H52" s="14" t="s">
        <v>26</v>
      </c>
      <c r="I52" s="17"/>
      <c r="J52" s="17">
        <v>786800</v>
      </c>
      <c r="K52" s="17">
        <v>719720</v>
      </c>
      <c r="L52" s="17">
        <f>J52-K52</f>
      </c>
      <c r="M52" s="14" t="s">
        <v>154</v>
      </c>
      <c r="N52" s="70" t="s">
        <v>3731</v>
      </c>
      <c r="O52" s="65"/>
      <c r="P52" s="65"/>
      <c r="Q52" s="65"/>
      <c r="R52" s="65"/>
      <c r="S52" s="65"/>
      <c r="T52" s="17">
        <v>786800</v>
      </c>
      <c r="U52" s="17">
        <f>J52-P52-T52</f>
      </c>
      <c r="V52" s="12">
        <v>45845</v>
      </c>
      <c r="W52" s="14" t="s">
        <v>2785</v>
      </c>
      <c r="X52" s="14"/>
      <c r="Y52" s="29"/>
      <c r="Z52" s="34"/>
    </row>
    <row x14ac:dyDescent="0.25" r="53" customHeight="1" ht="15.75">
      <c r="A53" s="12">
        <v>45820</v>
      </c>
      <c r="B53" s="14" t="s">
        <v>252</v>
      </c>
      <c r="C53" s="14" t="s">
        <v>3732</v>
      </c>
      <c r="D53" s="14" t="s">
        <v>1610</v>
      </c>
      <c r="E53" s="14" t="s">
        <v>3733</v>
      </c>
      <c r="F53" s="14" t="s">
        <v>3643</v>
      </c>
      <c r="G53" s="14" t="s">
        <v>1612</v>
      </c>
      <c r="H53" s="14" t="s">
        <v>26</v>
      </c>
      <c r="I53" s="17"/>
      <c r="J53" s="17">
        <v>838920</v>
      </c>
      <c r="K53" s="17">
        <v>778220</v>
      </c>
      <c r="L53" s="17">
        <f>J53-K53</f>
      </c>
      <c r="M53" s="14" t="s">
        <v>187</v>
      </c>
      <c r="N53" s="14" t="s">
        <v>3734</v>
      </c>
      <c r="O53" s="65"/>
      <c r="P53" s="17"/>
      <c r="Q53" s="17"/>
      <c r="R53" s="17"/>
      <c r="S53" s="17"/>
      <c r="T53" s="17">
        <v>838920</v>
      </c>
      <c r="U53" s="17">
        <f>J53-P53-T53</f>
      </c>
      <c r="V53" s="12">
        <v>45834</v>
      </c>
      <c r="W53" s="14" t="s">
        <v>2785</v>
      </c>
      <c r="X53" s="14"/>
      <c r="Y53" s="29"/>
      <c r="Z53" s="34"/>
    </row>
    <row x14ac:dyDescent="0.25" r="54" customHeight="1" ht="15.75">
      <c r="A54" s="12">
        <v>45820</v>
      </c>
      <c r="B54" s="14" t="s">
        <v>82</v>
      </c>
      <c r="C54" s="14" t="s">
        <v>3735</v>
      </c>
      <c r="D54" s="14" t="s">
        <v>83</v>
      </c>
      <c r="E54" s="14" t="s">
        <v>3736</v>
      </c>
      <c r="F54" s="14" t="s">
        <v>84</v>
      </c>
      <c r="G54" s="14" t="s">
        <v>85</v>
      </c>
      <c r="H54" s="14" t="s">
        <v>26</v>
      </c>
      <c r="I54" s="17"/>
      <c r="J54" s="17">
        <v>119500</v>
      </c>
      <c r="K54" s="17">
        <v>69740</v>
      </c>
      <c r="L54" s="17">
        <f>J54-K54</f>
      </c>
      <c r="M54" s="14" t="s">
        <v>86</v>
      </c>
      <c r="N54" s="14" t="s">
        <v>3737</v>
      </c>
      <c r="O54" s="65"/>
      <c r="P54" s="65"/>
      <c r="Q54" s="65"/>
      <c r="R54" s="65"/>
      <c r="S54" s="65"/>
      <c r="T54" s="65"/>
      <c r="U54" s="17">
        <f>J54-P54-T54</f>
      </c>
      <c r="V54" s="12"/>
      <c r="W54" s="14" t="s">
        <v>2785</v>
      </c>
      <c r="X54" s="14"/>
      <c r="Y54" s="29"/>
      <c r="Z54" s="34"/>
    </row>
    <row x14ac:dyDescent="0.25" r="55" customHeight="1" ht="15.75">
      <c r="A55" s="12">
        <v>45820</v>
      </c>
      <c r="B55" s="14" t="s">
        <v>46</v>
      </c>
      <c r="C55" s="14" t="s">
        <v>3738</v>
      </c>
      <c r="D55" s="14" t="s">
        <v>3739</v>
      </c>
      <c r="E55" s="14" t="s">
        <v>3740</v>
      </c>
      <c r="F55" s="14" t="s">
        <v>84</v>
      </c>
      <c r="G55" s="14" t="s">
        <v>3741</v>
      </c>
      <c r="H55" s="14" t="s">
        <v>26</v>
      </c>
      <c r="I55" s="17">
        <v>556100</v>
      </c>
      <c r="J55" s="17">
        <v>1235920</v>
      </c>
      <c r="K55" s="17">
        <v>895220</v>
      </c>
      <c r="L55" s="17">
        <f>J55-K55</f>
      </c>
      <c r="M55" s="14" t="s">
        <v>50</v>
      </c>
      <c r="N55" s="14" t="s">
        <v>3742</v>
      </c>
      <c r="O55" s="17">
        <v>4</v>
      </c>
      <c r="P55" s="65"/>
      <c r="Q55" s="65"/>
      <c r="R55" s="65"/>
      <c r="S55" s="65"/>
      <c r="T55" s="17">
        <v>1235920</v>
      </c>
      <c r="U55" s="17">
        <f>J55-P55-T55</f>
      </c>
      <c r="V55" s="12">
        <v>45845</v>
      </c>
      <c r="W55" s="14" t="s">
        <v>2785</v>
      </c>
      <c r="X55" s="14"/>
      <c r="Y55" s="29"/>
      <c r="Z55" s="34"/>
    </row>
    <row x14ac:dyDescent="0.25" r="56" customHeight="1" ht="15.75">
      <c r="A56" s="12">
        <v>45820</v>
      </c>
      <c r="B56" s="14" t="s">
        <v>46</v>
      </c>
      <c r="C56" s="14" t="s">
        <v>3743</v>
      </c>
      <c r="D56" s="14" t="s">
        <v>1617</v>
      </c>
      <c r="E56" s="14" t="s">
        <v>3744</v>
      </c>
      <c r="F56" s="14" t="s">
        <v>2109</v>
      </c>
      <c r="G56" s="14" t="s">
        <v>3745</v>
      </c>
      <c r="H56" s="14" t="s">
        <v>26</v>
      </c>
      <c r="I56" s="17">
        <v>792400</v>
      </c>
      <c r="J56" s="17">
        <v>1379800</v>
      </c>
      <c r="K56" s="17">
        <v>1103220</v>
      </c>
      <c r="L56" s="17">
        <f>J56-K56</f>
      </c>
      <c r="M56" s="14" t="s">
        <v>3746</v>
      </c>
      <c r="N56" s="14" t="s">
        <v>3747</v>
      </c>
      <c r="O56" s="17">
        <v>2</v>
      </c>
      <c r="P56" s="65"/>
      <c r="Q56" s="65"/>
      <c r="R56" s="65"/>
      <c r="S56" s="65"/>
      <c r="T56" s="17">
        <v>1380000</v>
      </c>
      <c r="U56" s="17">
        <f>J56-P56-T56</f>
      </c>
      <c r="V56" s="12">
        <v>45828</v>
      </c>
      <c r="W56" s="14" t="s">
        <v>1718</v>
      </c>
      <c r="X56" s="14"/>
      <c r="Y56" s="29"/>
      <c r="Z56" s="34"/>
    </row>
    <row x14ac:dyDescent="0.25" r="57" customHeight="1" ht="18.75">
      <c r="A57" s="12">
        <v>45820</v>
      </c>
      <c r="B57" s="14" t="s">
        <v>53</v>
      </c>
      <c r="C57" s="14" t="s">
        <v>3748</v>
      </c>
      <c r="D57" s="14" t="s">
        <v>54</v>
      </c>
      <c r="E57" s="14" t="s">
        <v>3749</v>
      </c>
      <c r="F57" s="14" t="s">
        <v>3750</v>
      </c>
      <c r="G57" s="14" t="s">
        <v>3751</v>
      </c>
      <c r="H57" s="14" t="s">
        <v>26</v>
      </c>
      <c r="I57" s="269">
        <v>1716600</v>
      </c>
      <c r="J57" s="17">
        <v>2452920</v>
      </c>
      <c r="K57" s="269">
        <v>2208720</v>
      </c>
      <c r="L57" s="17">
        <f>J57-K57</f>
      </c>
      <c r="M57" s="14" t="s">
        <v>137</v>
      </c>
      <c r="N57" s="14" t="s">
        <v>3752</v>
      </c>
      <c r="O57" s="65"/>
      <c r="P57" s="17">
        <v>900000</v>
      </c>
      <c r="Q57" s="65"/>
      <c r="R57" s="65"/>
      <c r="S57" s="65"/>
      <c r="T57" s="65"/>
      <c r="U57" s="17">
        <f>J57-P57-T57</f>
      </c>
      <c r="V57" s="12">
        <v>45825</v>
      </c>
      <c r="W57" s="14" t="s">
        <v>1718</v>
      </c>
      <c r="X57" s="14"/>
      <c r="Y57" s="29"/>
      <c r="Z57" s="34"/>
    </row>
    <row x14ac:dyDescent="0.25" r="58" customHeight="1" ht="15.75">
      <c r="A58" s="12">
        <v>45821</v>
      </c>
      <c r="B58" s="14" t="s">
        <v>46</v>
      </c>
      <c r="C58" s="14" t="s">
        <v>3753</v>
      </c>
      <c r="D58" s="14" t="s">
        <v>54</v>
      </c>
      <c r="E58" s="14" t="s">
        <v>3754</v>
      </c>
      <c r="F58" s="14" t="s">
        <v>3687</v>
      </c>
      <c r="G58" s="14" t="s">
        <v>3688</v>
      </c>
      <c r="H58" s="14" t="s">
        <v>262</v>
      </c>
      <c r="I58" s="17">
        <v>0</v>
      </c>
      <c r="J58" s="17">
        <v>315700</v>
      </c>
      <c r="K58" s="17">
        <v>295700</v>
      </c>
      <c r="L58" s="17">
        <f>J58-K58</f>
      </c>
      <c r="M58" s="14" t="s">
        <v>50</v>
      </c>
      <c r="N58" s="14" t="s">
        <v>3755</v>
      </c>
      <c r="O58" s="65" t="s">
        <v>251</v>
      </c>
      <c r="P58" s="17"/>
      <c r="Q58" s="17"/>
      <c r="R58" s="17"/>
      <c r="S58" s="17"/>
      <c r="T58" s="17">
        <v>315700</v>
      </c>
      <c r="U58" s="17">
        <f>J58-P58-T58</f>
      </c>
      <c r="V58" s="12">
        <v>45824</v>
      </c>
      <c r="W58" s="14" t="s">
        <v>1718</v>
      </c>
      <c r="X58" s="14"/>
      <c r="Y58" s="29"/>
      <c r="Z58" s="34"/>
    </row>
    <row x14ac:dyDescent="0.25" r="59" customHeight="1" ht="26.25">
      <c r="A59" s="12">
        <v>45821</v>
      </c>
      <c r="B59" s="14" t="s">
        <v>46</v>
      </c>
      <c r="C59" s="14" t="s">
        <v>3756</v>
      </c>
      <c r="D59" s="14" t="s">
        <v>54</v>
      </c>
      <c r="E59" s="14"/>
      <c r="F59" s="14" t="s">
        <v>174</v>
      </c>
      <c r="G59" s="14" t="s">
        <v>3757</v>
      </c>
      <c r="H59" s="14" t="s">
        <v>26</v>
      </c>
      <c r="I59" s="17">
        <v>3666200</v>
      </c>
      <c r="J59" s="17">
        <v>5089320</v>
      </c>
      <c r="K59" s="17">
        <v>4503720</v>
      </c>
      <c r="L59" s="17">
        <f>J59-K59</f>
      </c>
      <c r="M59" s="14" t="s">
        <v>50</v>
      </c>
      <c r="N59" s="14" t="s">
        <v>3758</v>
      </c>
      <c r="O59" s="17">
        <v>2</v>
      </c>
      <c r="P59" s="17">
        <v>1300000</v>
      </c>
      <c r="Q59" s="17"/>
      <c r="R59" s="17"/>
      <c r="S59" s="17"/>
      <c r="T59" s="17">
        <v>3789320</v>
      </c>
      <c r="U59" s="17">
        <f>J59-P59-T59</f>
      </c>
      <c r="V59" s="175" t="s">
        <v>3759</v>
      </c>
      <c r="W59" s="14" t="s">
        <v>1718</v>
      </c>
      <c r="X59" s="14"/>
      <c r="Y59" s="29"/>
      <c r="Z59" s="34"/>
    </row>
    <row x14ac:dyDescent="0.25" r="60" customHeight="1" ht="18.75">
      <c r="A60" s="12">
        <v>45821</v>
      </c>
      <c r="B60" s="14" t="s">
        <v>53</v>
      </c>
      <c r="C60" s="14" t="s">
        <v>3760</v>
      </c>
      <c r="D60" s="14" t="s">
        <v>3521</v>
      </c>
      <c r="E60" s="14" t="s">
        <v>3761</v>
      </c>
      <c r="F60" s="14" t="s">
        <v>3762</v>
      </c>
      <c r="G60" s="14" t="s">
        <v>3763</v>
      </c>
      <c r="H60" s="14" t="s">
        <v>26</v>
      </c>
      <c r="I60" s="17"/>
      <c r="J60" s="17">
        <v>927920</v>
      </c>
      <c r="K60" s="17">
        <v>890320</v>
      </c>
      <c r="L60" s="17">
        <f>J60-K60</f>
      </c>
      <c r="M60" s="14" t="s">
        <v>137</v>
      </c>
      <c r="N60" s="14" t="s">
        <v>3764</v>
      </c>
      <c r="O60" s="65"/>
      <c r="P60" s="17"/>
      <c r="Q60" s="17"/>
      <c r="R60" s="17"/>
      <c r="S60" s="17"/>
      <c r="T60" s="17">
        <v>927920</v>
      </c>
      <c r="U60" s="17">
        <f>J60-P60-T60</f>
      </c>
      <c r="V60" s="12">
        <v>45820</v>
      </c>
      <c r="W60" s="14" t="s">
        <v>1718</v>
      </c>
      <c r="X60" s="14"/>
      <c r="Y60" s="29"/>
      <c r="Z60" s="34"/>
    </row>
    <row x14ac:dyDescent="0.25" r="61" customHeight="1" ht="18.75">
      <c r="A61" s="12">
        <v>45821</v>
      </c>
      <c r="B61" s="14" t="s">
        <v>53</v>
      </c>
      <c r="C61" s="14" t="s">
        <v>3765</v>
      </c>
      <c r="D61" s="14" t="s">
        <v>54</v>
      </c>
      <c r="E61" s="14" t="s">
        <v>3766</v>
      </c>
      <c r="F61" s="14" t="s">
        <v>194</v>
      </c>
      <c r="G61" s="14" t="s">
        <v>3767</v>
      </c>
      <c r="H61" s="14" t="s">
        <v>26</v>
      </c>
      <c r="I61" s="265">
        <v>1835100</v>
      </c>
      <c r="J61" s="17">
        <v>2387920</v>
      </c>
      <c r="K61" s="265">
        <v>2327220</v>
      </c>
      <c r="L61" s="17">
        <f>J61-K61</f>
      </c>
      <c r="M61" s="14" t="s">
        <v>137</v>
      </c>
      <c r="N61" s="14" t="s">
        <v>3768</v>
      </c>
      <c r="O61" s="65"/>
      <c r="P61" s="17"/>
      <c r="Q61" s="17"/>
      <c r="R61" s="17"/>
      <c r="S61" s="17"/>
      <c r="T61" s="17">
        <v>2387920</v>
      </c>
      <c r="U61" s="17">
        <f>J61-P61-T61</f>
      </c>
      <c r="V61" s="175">
        <v>45855</v>
      </c>
      <c r="W61" s="14" t="s">
        <v>2785</v>
      </c>
      <c r="X61" s="14"/>
      <c r="Y61" s="29"/>
      <c r="Z61" s="34"/>
    </row>
    <row x14ac:dyDescent="0.25" r="62" customHeight="1" ht="15.75">
      <c r="A62" s="12">
        <v>45822</v>
      </c>
      <c r="B62" s="14" t="s">
        <v>72</v>
      </c>
      <c r="C62" s="14" t="s">
        <v>3769</v>
      </c>
      <c r="D62" s="14" t="s">
        <v>3770</v>
      </c>
      <c r="E62" s="14" t="s">
        <v>3771</v>
      </c>
      <c r="F62" s="14" t="s">
        <v>3772</v>
      </c>
      <c r="G62" s="14" t="s">
        <v>2400</v>
      </c>
      <c r="H62" s="14" t="s">
        <v>26</v>
      </c>
      <c r="I62" s="17">
        <v>3528900</v>
      </c>
      <c r="J62" s="17">
        <v>4425700</v>
      </c>
      <c r="K62" s="17">
        <v>4226720</v>
      </c>
      <c r="L62" s="17">
        <f>J62-K62</f>
      </c>
      <c r="M62" s="14" t="s">
        <v>50</v>
      </c>
      <c r="N62" s="14" t="s">
        <v>3773</v>
      </c>
      <c r="O62" s="17">
        <v>4</v>
      </c>
      <c r="P62" s="17"/>
      <c r="Q62" s="17"/>
      <c r="R62" s="17"/>
      <c r="S62" s="17"/>
      <c r="T62" s="17">
        <v>4425700</v>
      </c>
      <c r="U62" s="17">
        <f>J62-P62-T62</f>
      </c>
      <c r="V62" s="12">
        <v>45840</v>
      </c>
      <c r="W62" s="14" t="s">
        <v>1718</v>
      </c>
      <c r="X62" s="14"/>
      <c r="Y62" s="29"/>
      <c r="Z62" s="34"/>
    </row>
    <row x14ac:dyDescent="0.25" r="63" customHeight="1" ht="15.75">
      <c r="A63" s="12">
        <v>45823</v>
      </c>
      <c r="B63" s="14" t="s">
        <v>111</v>
      </c>
      <c r="C63" s="14" t="s">
        <v>3774</v>
      </c>
      <c r="D63" s="14" t="s">
        <v>2321</v>
      </c>
      <c r="E63" s="14" t="s">
        <v>3775</v>
      </c>
      <c r="F63" s="14" t="s">
        <v>3684</v>
      </c>
      <c r="G63" s="14" t="s">
        <v>2735</v>
      </c>
      <c r="H63" s="14" t="s">
        <v>26</v>
      </c>
      <c r="I63" s="17">
        <v>0</v>
      </c>
      <c r="J63" s="17">
        <v>199900</v>
      </c>
      <c r="K63" s="17">
        <v>30000</v>
      </c>
      <c r="L63" s="17">
        <f>J63-K63</f>
      </c>
      <c r="M63" s="14" t="s">
        <v>50</v>
      </c>
      <c r="N63" s="14" t="s">
        <v>3776</v>
      </c>
      <c r="O63" s="65" t="s">
        <v>251</v>
      </c>
      <c r="P63" s="17"/>
      <c r="Q63" s="17"/>
      <c r="R63" s="17"/>
      <c r="S63" s="17"/>
      <c r="T63" s="17">
        <v>199900</v>
      </c>
      <c r="U63" s="17">
        <f>J63-P63-T63</f>
      </c>
      <c r="V63" s="12">
        <v>45880</v>
      </c>
      <c r="W63" s="14" t="s">
        <v>2785</v>
      </c>
      <c r="X63" s="14"/>
      <c r="Y63" s="29"/>
      <c r="Z63" s="34"/>
    </row>
    <row x14ac:dyDescent="0.25" r="64" customHeight="1" ht="42">
      <c r="A64" s="12">
        <v>45824</v>
      </c>
      <c r="B64" s="14" t="s">
        <v>46</v>
      </c>
      <c r="C64" s="14" t="s">
        <v>3777</v>
      </c>
      <c r="D64" s="14" t="s">
        <v>226</v>
      </c>
      <c r="E64" s="14" t="s">
        <v>3778</v>
      </c>
      <c r="F64" s="14" t="s">
        <v>3779</v>
      </c>
      <c r="G64" s="14" t="s">
        <v>3780</v>
      </c>
      <c r="H64" s="14" t="s">
        <v>26</v>
      </c>
      <c r="I64" s="17"/>
      <c r="J64" s="17">
        <v>871700</v>
      </c>
      <c r="K64" s="17">
        <v>827800</v>
      </c>
      <c r="L64" s="17">
        <f>J64-K64</f>
      </c>
      <c r="M64" s="14" t="s">
        <v>187</v>
      </c>
      <c r="N64" s="14" t="s">
        <v>3781</v>
      </c>
      <c r="O64" s="65"/>
      <c r="P64" s="17">
        <v>500000</v>
      </c>
      <c r="Q64" s="17">
        <v>275000</v>
      </c>
      <c r="R64" s="17"/>
      <c r="S64" s="17"/>
      <c r="T64" s="17">
        <v>96700</v>
      </c>
      <c r="U64" s="17">
        <f>J64-P64-Q64-T64</f>
      </c>
      <c r="V64" s="175" t="s">
        <v>3782</v>
      </c>
      <c r="W64" s="14" t="s">
        <v>1718</v>
      </c>
      <c r="X64" s="14"/>
      <c r="Y64" s="29"/>
      <c r="Z64" s="34"/>
    </row>
    <row x14ac:dyDescent="0.25" r="65" customHeight="1" ht="18.75">
      <c r="A65" s="12">
        <v>45825</v>
      </c>
      <c r="B65" s="14" t="s">
        <v>53</v>
      </c>
      <c r="C65" s="14" t="s">
        <v>3783</v>
      </c>
      <c r="D65" s="14" t="s">
        <v>54</v>
      </c>
      <c r="E65" s="14" t="s">
        <v>3784</v>
      </c>
      <c r="F65" s="14" t="s">
        <v>1673</v>
      </c>
      <c r="G65" s="62" t="s">
        <v>3785</v>
      </c>
      <c r="H65" s="14" t="s">
        <v>26</v>
      </c>
      <c r="I65" s="17"/>
      <c r="J65" s="17">
        <v>2027900</v>
      </c>
      <c r="K65" s="270">
        <v>1937420</v>
      </c>
      <c r="L65" s="271">
        <f>J65-K65</f>
      </c>
      <c r="M65" s="14" t="s">
        <v>137</v>
      </c>
      <c r="N65" s="14" t="s">
        <v>3786</v>
      </c>
      <c r="O65" s="65"/>
      <c r="P65" s="17">
        <v>2021500</v>
      </c>
      <c r="Q65" s="17"/>
      <c r="R65" s="17"/>
      <c r="S65" s="17"/>
      <c r="T65" s="17">
        <v>6400</v>
      </c>
      <c r="U65" s="17">
        <f>J65-P65-T65</f>
      </c>
      <c r="V65" s="12">
        <v>45840</v>
      </c>
      <c r="W65" s="14" t="s">
        <v>1718</v>
      </c>
      <c r="X65" s="14"/>
      <c r="Y65" s="29"/>
      <c r="Z65" s="34"/>
    </row>
    <row x14ac:dyDescent="0.25" r="66" customHeight="1" ht="15.75">
      <c r="A66" s="12">
        <v>45825</v>
      </c>
      <c r="B66" s="14" t="s">
        <v>111</v>
      </c>
      <c r="C66" s="14" t="s">
        <v>3787</v>
      </c>
      <c r="D66" s="14" t="s">
        <v>1267</v>
      </c>
      <c r="E66" s="14" t="s">
        <v>3788</v>
      </c>
      <c r="F66" s="14" t="s">
        <v>84</v>
      </c>
      <c r="G66" s="14" t="s">
        <v>3789</v>
      </c>
      <c r="H66" s="14" t="s">
        <v>26</v>
      </c>
      <c r="I66" s="17">
        <v>174000</v>
      </c>
      <c r="J66" s="17">
        <v>685920</v>
      </c>
      <c r="K66" s="17">
        <v>421220</v>
      </c>
      <c r="L66" s="17">
        <f>J66-K66</f>
      </c>
      <c r="M66" s="14"/>
      <c r="N66" s="14" t="s">
        <v>3790</v>
      </c>
      <c r="O66" s="17">
        <v>2</v>
      </c>
      <c r="P66" s="17"/>
      <c r="Q66" s="17"/>
      <c r="R66" s="17"/>
      <c r="S66" s="17"/>
      <c r="T66" s="17">
        <v>685920</v>
      </c>
      <c r="U66" s="17">
        <f>J66-P66-T66</f>
      </c>
      <c r="V66" s="12">
        <v>45845</v>
      </c>
      <c r="W66" s="14" t="s">
        <v>2785</v>
      </c>
      <c r="X66" s="14"/>
      <c r="Y66" s="29"/>
      <c r="Z66" s="34"/>
    </row>
    <row x14ac:dyDescent="0.25" r="67" customHeight="1" ht="15.75">
      <c r="A67" s="12">
        <v>45825</v>
      </c>
      <c r="B67" s="14" t="s">
        <v>111</v>
      </c>
      <c r="C67" s="14" t="s">
        <v>3791</v>
      </c>
      <c r="D67" s="14" t="s">
        <v>1267</v>
      </c>
      <c r="E67" s="14" t="s">
        <v>3788</v>
      </c>
      <c r="F67" s="14" t="s">
        <v>84</v>
      </c>
      <c r="G67" s="14" t="s">
        <v>3792</v>
      </c>
      <c r="H67" s="14" t="s">
        <v>26</v>
      </c>
      <c r="I67" s="17"/>
      <c r="J67" s="17">
        <v>685920</v>
      </c>
      <c r="K67" s="17">
        <v>525720</v>
      </c>
      <c r="L67" s="17">
        <f>J67-K67</f>
      </c>
      <c r="M67" s="14"/>
      <c r="N67" s="14" t="s">
        <v>3793</v>
      </c>
      <c r="O67" s="17">
        <v>2</v>
      </c>
      <c r="P67" s="17"/>
      <c r="Q67" s="17"/>
      <c r="R67" s="17"/>
      <c r="S67" s="17"/>
      <c r="T67" s="17">
        <v>685920</v>
      </c>
      <c r="U67" s="17">
        <f>J67-P67-T67</f>
      </c>
      <c r="V67" s="12">
        <v>45845</v>
      </c>
      <c r="W67" s="14" t="s">
        <v>2785</v>
      </c>
      <c r="X67" s="14"/>
      <c r="Y67" s="29"/>
      <c r="Z67" s="34"/>
    </row>
    <row x14ac:dyDescent="0.25" r="68" customHeight="1" ht="15.75">
      <c r="A68" s="12">
        <v>45825</v>
      </c>
      <c r="B68" s="14" t="s">
        <v>111</v>
      </c>
      <c r="C68" s="14" t="s">
        <v>3791</v>
      </c>
      <c r="D68" s="14" t="s">
        <v>1267</v>
      </c>
      <c r="E68" s="14" t="s">
        <v>3788</v>
      </c>
      <c r="F68" s="14" t="s">
        <v>84</v>
      </c>
      <c r="G68" s="14" t="s">
        <v>3794</v>
      </c>
      <c r="H68" s="14" t="s">
        <v>26</v>
      </c>
      <c r="I68" s="17"/>
      <c r="J68" s="17">
        <v>685920</v>
      </c>
      <c r="K68" s="17">
        <v>525720</v>
      </c>
      <c r="L68" s="17">
        <f>J68-K68</f>
      </c>
      <c r="M68" s="14"/>
      <c r="N68" s="14" t="s">
        <v>3795</v>
      </c>
      <c r="O68" s="17">
        <v>2</v>
      </c>
      <c r="P68" s="17"/>
      <c r="Q68" s="17"/>
      <c r="R68" s="17"/>
      <c r="S68" s="17"/>
      <c r="T68" s="17">
        <v>685920</v>
      </c>
      <c r="U68" s="17">
        <f>J68-P68-T68</f>
      </c>
      <c r="V68" s="12">
        <v>45845</v>
      </c>
      <c r="W68" s="14" t="s">
        <v>2785</v>
      </c>
      <c r="X68" s="14"/>
      <c r="Y68" s="29"/>
      <c r="Z68" s="34"/>
    </row>
    <row x14ac:dyDescent="0.25" r="69" customHeight="1" ht="15.75">
      <c r="A69" s="12">
        <v>45825</v>
      </c>
      <c r="B69" s="14" t="s">
        <v>111</v>
      </c>
      <c r="C69" s="14" t="s">
        <v>3791</v>
      </c>
      <c r="D69" s="14" t="s">
        <v>1267</v>
      </c>
      <c r="E69" s="14" t="s">
        <v>3788</v>
      </c>
      <c r="F69" s="14" t="s">
        <v>84</v>
      </c>
      <c r="G69" s="14" t="s">
        <v>3796</v>
      </c>
      <c r="H69" s="14" t="s">
        <v>26</v>
      </c>
      <c r="I69" s="17"/>
      <c r="J69" s="17">
        <v>588920</v>
      </c>
      <c r="K69" s="17">
        <v>443120</v>
      </c>
      <c r="L69" s="17">
        <f>J69-K69</f>
      </c>
      <c r="M69" s="14"/>
      <c r="N69" s="14" t="s">
        <v>3797</v>
      </c>
      <c r="O69" s="17">
        <v>2</v>
      </c>
      <c r="P69" s="17"/>
      <c r="Q69" s="17"/>
      <c r="R69" s="17"/>
      <c r="S69" s="17"/>
      <c r="T69" s="17">
        <v>588920</v>
      </c>
      <c r="U69" s="17">
        <f>J69-P69-T69</f>
      </c>
      <c r="V69" s="12">
        <v>45845</v>
      </c>
      <c r="W69" s="14" t="s">
        <v>2785</v>
      </c>
      <c r="X69" s="14"/>
      <c r="Y69" s="29"/>
      <c r="Z69" s="34"/>
    </row>
    <row x14ac:dyDescent="0.25" r="70" customHeight="1" ht="15.75">
      <c r="A70" s="12">
        <v>45825</v>
      </c>
      <c r="B70" s="14" t="s">
        <v>111</v>
      </c>
      <c r="C70" s="14" t="s">
        <v>3791</v>
      </c>
      <c r="D70" s="14" t="s">
        <v>1267</v>
      </c>
      <c r="E70" s="14" t="s">
        <v>3788</v>
      </c>
      <c r="F70" s="14" t="s">
        <v>84</v>
      </c>
      <c r="G70" s="14" t="s">
        <v>3798</v>
      </c>
      <c r="H70" s="14" t="s">
        <v>26</v>
      </c>
      <c r="I70" s="17"/>
      <c r="J70" s="17">
        <v>588920</v>
      </c>
      <c r="K70" s="17">
        <v>443120</v>
      </c>
      <c r="L70" s="17">
        <f>J70-K70</f>
      </c>
      <c r="M70" s="14"/>
      <c r="N70" s="14" t="s">
        <v>3799</v>
      </c>
      <c r="O70" s="17">
        <v>2</v>
      </c>
      <c r="P70" s="17"/>
      <c r="Q70" s="17"/>
      <c r="R70" s="17"/>
      <c r="S70" s="17"/>
      <c r="T70" s="17">
        <v>588920</v>
      </c>
      <c r="U70" s="17">
        <f>J70-P70-T70</f>
      </c>
      <c r="V70" s="12">
        <v>45845</v>
      </c>
      <c r="W70" s="14" t="s">
        <v>2785</v>
      </c>
      <c r="X70" s="14"/>
      <c r="Y70" s="29"/>
      <c r="Z70" s="34"/>
    </row>
    <row x14ac:dyDescent="0.25" r="71" customHeight="1" ht="29.25">
      <c r="A71" s="12">
        <v>45825</v>
      </c>
      <c r="B71" s="14" t="s">
        <v>62</v>
      </c>
      <c r="C71" s="14" t="s">
        <v>3800</v>
      </c>
      <c r="D71" s="14" t="s">
        <v>3801</v>
      </c>
      <c r="E71" s="14" t="s">
        <v>3802</v>
      </c>
      <c r="F71" s="14" t="s">
        <v>174</v>
      </c>
      <c r="G71" s="14" t="s">
        <v>3803</v>
      </c>
      <c r="H71" s="14" t="s">
        <v>26</v>
      </c>
      <c r="I71" s="17"/>
      <c r="J71" s="17">
        <v>10389900</v>
      </c>
      <c r="K71" s="17">
        <v>9900000</v>
      </c>
      <c r="L71" s="17">
        <f>J71-K71</f>
      </c>
      <c r="M71" s="14"/>
      <c r="N71" s="14" t="s">
        <v>3804</v>
      </c>
      <c r="O71" s="65"/>
      <c r="P71" s="272">
        <v>6210680</v>
      </c>
      <c r="Q71" s="17"/>
      <c r="R71" s="17"/>
      <c r="S71" s="17"/>
      <c r="T71" s="17">
        <v>4179220</v>
      </c>
      <c r="U71" s="17">
        <f>J71-P71-T71</f>
      </c>
      <c r="V71" s="175" t="s">
        <v>3805</v>
      </c>
      <c r="W71" s="14" t="s">
        <v>1718</v>
      </c>
      <c r="X71" s="14"/>
      <c r="Y71" s="29"/>
      <c r="Z71" s="34"/>
    </row>
    <row x14ac:dyDescent="0.25" r="72" customHeight="1" ht="15.75">
      <c r="A72" s="12">
        <v>45826</v>
      </c>
      <c r="B72" s="14" t="s">
        <v>111</v>
      </c>
      <c r="C72" s="14" t="s">
        <v>3806</v>
      </c>
      <c r="D72" s="14" t="s">
        <v>189</v>
      </c>
      <c r="E72" s="14" t="s">
        <v>3807</v>
      </c>
      <c r="F72" s="14" t="s">
        <v>548</v>
      </c>
      <c r="G72" s="14" t="s">
        <v>3808</v>
      </c>
      <c r="H72" s="14" t="s">
        <v>26</v>
      </c>
      <c r="I72" s="17">
        <v>161800</v>
      </c>
      <c r="J72" s="17">
        <v>597920</v>
      </c>
      <c r="K72" s="17">
        <v>494755</v>
      </c>
      <c r="L72" s="17">
        <f>J72-K72</f>
      </c>
      <c r="M72" s="14" t="s">
        <v>50</v>
      </c>
      <c r="N72" s="14" t="s">
        <v>3809</v>
      </c>
      <c r="O72" s="17">
        <v>2</v>
      </c>
      <c r="P72" s="273"/>
      <c r="Q72" s="17"/>
      <c r="R72" s="17"/>
      <c r="S72" s="17"/>
      <c r="T72" s="65"/>
      <c r="U72" s="17">
        <f>J72-P72-T72</f>
      </c>
      <c r="V72" s="12"/>
      <c r="W72" s="14"/>
      <c r="X72" s="14"/>
      <c r="Y72" s="29"/>
      <c r="Z72" s="34"/>
    </row>
    <row x14ac:dyDescent="0.25" r="73" customHeight="1" ht="15.75">
      <c r="A73" s="12">
        <v>45826</v>
      </c>
      <c r="B73" s="14" t="s">
        <v>111</v>
      </c>
      <c r="C73" s="14" t="s">
        <v>3806</v>
      </c>
      <c r="D73" s="14" t="s">
        <v>189</v>
      </c>
      <c r="E73" s="14" t="s">
        <v>3807</v>
      </c>
      <c r="F73" s="14" t="s">
        <v>548</v>
      </c>
      <c r="G73" s="14" t="s">
        <v>3810</v>
      </c>
      <c r="H73" s="14" t="s">
        <v>26</v>
      </c>
      <c r="I73" s="17">
        <v>161800</v>
      </c>
      <c r="J73" s="17">
        <v>597920</v>
      </c>
      <c r="K73" s="17">
        <v>494755</v>
      </c>
      <c r="L73" s="17">
        <f>J73-K73</f>
      </c>
      <c r="M73" s="14" t="s">
        <v>50</v>
      </c>
      <c r="N73" s="14" t="s">
        <v>3811</v>
      </c>
      <c r="O73" s="17">
        <v>2</v>
      </c>
      <c r="P73" s="17"/>
      <c r="Q73" s="17"/>
      <c r="R73" s="17"/>
      <c r="S73" s="17"/>
      <c r="T73" s="65"/>
      <c r="U73" s="17">
        <f>J73-P73-T73</f>
      </c>
      <c r="V73" s="12"/>
      <c r="W73" s="14"/>
      <c r="X73" s="14"/>
      <c r="Y73" s="29"/>
      <c r="Z73" s="34"/>
    </row>
    <row x14ac:dyDescent="0.25" r="74" customHeight="1" ht="15.75">
      <c r="A74" s="12">
        <v>45826</v>
      </c>
      <c r="B74" s="14" t="s">
        <v>897</v>
      </c>
      <c r="C74" s="14" t="s">
        <v>3812</v>
      </c>
      <c r="D74" s="14" t="s">
        <v>1873</v>
      </c>
      <c r="E74" s="14" t="s">
        <v>3813</v>
      </c>
      <c r="F74" s="14" t="s">
        <v>84</v>
      </c>
      <c r="G74" s="14" t="s">
        <v>3814</v>
      </c>
      <c r="H74" s="14" t="s">
        <v>26</v>
      </c>
      <c r="I74" s="17">
        <v>201500</v>
      </c>
      <c r="J74" s="17">
        <v>483820</v>
      </c>
      <c r="K74" s="17">
        <v>383020</v>
      </c>
      <c r="L74" s="17">
        <f>J74-K74</f>
      </c>
      <c r="M74" s="14" t="s">
        <v>50</v>
      </c>
      <c r="N74" s="14" t="s">
        <v>3815</v>
      </c>
      <c r="O74" s="17">
        <v>2</v>
      </c>
      <c r="P74" s="17"/>
      <c r="Q74" s="17"/>
      <c r="R74" s="17"/>
      <c r="S74" s="17"/>
      <c r="T74" s="65"/>
      <c r="U74" s="17">
        <f>J74-P74-T74</f>
      </c>
      <c r="V74" s="12"/>
      <c r="W74" s="14"/>
      <c r="X74" s="14"/>
      <c r="Y74" s="29"/>
      <c r="Z74" s="34"/>
    </row>
    <row x14ac:dyDescent="0.25" r="75" customHeight="1" ht="15.75">
      <c r="A75" s="12">
        <v>45826</v>
      </c>
      <c r="B75" s="14" t="s">
        <v>897</v>
      </c>
      <c r="C75" s="14" t="s">
        <v>3812</v>
      </c>
      <c r="D75" s="14" t="s">
        <v>1873</v>
      </c>
      <c r="E75" s="14" t="s">
        <v>3813</v>
      </c>
      <c r="F75" s="14" t="s">
        <v>84</v>
      </c>
      <c r="G75" s="14" t="s">
        <v>3816</v>
      </c>
      <c r="H75" s="14" t="s">
        <v>26</v>
      </c>
      <c r="I75" s="17">
        <v>201500</v>
      </c>
      <c r="J75" s="17">
        <v>483820</v>
      </c>
      <c r="K75" s="17">
        <v>383020</v>
      </c>
      <c r="L75" s="17">
        <f>J75-K75</f>
      </c>
      <c r="M75" s="14" t="s">
        <v>50</v>
      </c>
      <c r="N75" s="14" t="s">
        <v>3817</v>
      </c>
      <c r="O75" s="17">
        <v>2</v>
      </c>
      <c r="P75" s="17"/>
      <c r="Q75" s="17"/>
      <c r="R75" s="17"/>
      <c r="S75" s="17"/>
      <c r="T75" s="65"/>
      <c r="U75" s="17">
        <f>J75-P75-T75</f>
      </c>
      <c r="V75" s="12"/>
      <c r="W75" s="14"/>
      <c r="X75" s="14"/>
      <c r="Y75" s="29"/>
      <c r="Z75" s="34"/>
    </row>
    <row x14ac:dyDescent="0.25" r="76" customHeight="1" ht="15.75">
      <c r="A76" s="12">
        <v>45827</v>
      </c>
      <c r="B76" s="14" t="s">
        <v>111</v>
      </c>
      <c r="C76" s="14" t="s">
        <v>3818</v>
      </c>
      <c r="D76" s="14" t="s">
        <v>2381</v>
      </c>
      <c r="E76" s="14" t="s">
        <v>3819</v>
      </c>
      <c r="F76" s="14" t="s">
        <v>391</v>
      </c>
      <c r="G76" s="14" t="s">
        <v>3820</v>
      </c>
      <c r="H76" s="14" t="s">
        <v>26</v>
      </c>
      <c r="I76" s="17">
        <v>1504900</v>
      </c>
      <c r="J76" s="17">
        <v>1957500</v>
      </c>
      <c r="K76" s="17">
        <v>1897520</v>
      </c>
      <c r="L76" s="17">
        <f>J76-K76</f>
      </c>
      <c r="M76" s="14" t="s">
        <v>50</v>
      </c>
      <c r="N76" s="14" t="s">
        <v>3821</v>
      </c>
      <c r="O76" s="17">
        <v>4</v>
      </c>
      <c r="P76" s="17"/>
      <c r="Q76" s="17"/>
      <c r="R76" s="17"/>
      <c r="S76" s="17"/>
      <c r="T76" s="17">
        <v>1957500</v>
      </c>
      <c r="U76" s="17">
        <f>J76-P76-T76</f>
      </c>
      <c r="V76" s="12">
        <v>45833</v>
      </c>
      <c r="W76" s="14" t="s">
        <v>2785</v>
      </c>
      <c r="X76" s="14"/>
      <c r="Y76" s="29"/>
      <c r="Z76" s="34"/>
    </row>
    <row x14ac:dyDescent="0.25" r="77" customHeight="1" ht="15.75">
      <c r="A77" s="12">
        <v>45827</v>
      </c>
      <c r="B77" s="14" t="s">
        <v>111</v>
      </c>
      <c r="C77" s="14" t="s">
        <v>3818</v>
      </c>
      <c r="D77" s="14" t="s">
        <v>2381</v>
      </c>
      <c r="E77" s="14" t="s">
        <v>3822</v>
      </c>
      <c r="F77" s="14" t="s">
        <v>391</v>
      </c>
      <c r="G77" s="14" t="s">
        <v>3823</v>
      </c>
      <c r="H77" s="14" t="s">
        <v>26</v>
      </c>
      <c r="I77" s="17">
        <v>510000</v>
      </c>
      <c r="J77" s="17">
        <v>867820</v>
      </c>
      <c r="K77" s="17">
        <v>822620</v>
      </c>
      <c r="L77" s="17">
        <f>J77-K77</f>
      </c>
      <c r="M77" s="14" t="s">
        <v>50</v>
      </c>
      <c r="N77" s="14" t="s">
        <v>3824</v>
      </c>
      <c r="O77" s="17">
        <v>4</v>
      </c>
      <c r="P77" s="17"/>
      <c r="Q77" s="17"/>
      <c r="R77" s="17"/>
      <c r="S77" s="17"/>
      <c r="T77" s="17">
        <v>867820</v>
      </c>
      <c r="U77" s="17">
        <f>J77-P77-T77</f>
      </c>
      <c r="V77" s="12">
        <v>45833</v>
      </c>
      <c r="W77" s="14" t="s">
        <v>2785</v>
      </c>
      <c r="X77" s="14"/>
      <c r="Y77" s="29"/>
      <c r="Z77" s="34"/>
    </row>
    <row x14ac:dyDescent="0.25" r="78" customHeight="1" ht="15.75">
      <c r="A78" s="12">
        <v>45827</v>
      </c>
      <c r="B78" s="14" t="s">
        <v>111</v>
      </c>
      <c r="C78" s="14" t="s">
        <v>3818</v>
      </c>
      <c r="D78" s="14" t="s">
        <v>2381</v>
      </c>
      <c r="E78" s="14" t="s">
        <v>3825</v>
      </c>
      <c r="F78" s="14" t="s">
        <v>391</v>
      </c>
      <c r="G78" s="14" t="s">
        <v>3826</v>
      </c>
      <c r="H78" s="14" t="s">
        <v>26</v>
      </c>
      <c r="I78" s="17">
        <v>510000</v>
      </c>
      <c r="J78" s="17">
        <v>867820</v>
      </c>
      <c r="K78" s="17">
        <v>822620</v>
      </c>
      <c r="L78" s="17">
        <f>J78-K78</f>
      </c>
      <c r="M78" s="14" t="s">
        <v>50</v>
      </c>
      <c r="N78" s="14" t="s">
        <v>3827</v>
      </c>
      <c r="O78" s="17">
        <v>4</v>
      </c>
      <c r="P78" s="17"/>
      <c r="Q78" s="17"/>
      <c r="R78" s="17"/>
      <c r="S78" s="17"/>
      <c r="T78" s="17">
        <v>867820</v>
      </c>
      <c r="U78" s="17">
        <f>J78-P78-T78</f>
      </c>
      <c r="V78" s="12">
        <v>45833</v>
      </c>
      <c r="W78" s="14" t="s">
        <v>2785</v>
      </c>
      <c r="X78" s="14"/>
      <c r="Y78" s="29"/>
      <c r="Z78" s="34"/>
    </row>
    <row x14ac:dyDescent="0.25" r="79" customHeight="1" ht="15.75">
      <c r="A79" s="12">
        <v>45827</v>
      </c>
      <c r="B79" s="14" t="s">
        <v>111</v>
      </c>
      <c r="C79" s="14" t="s">
        <v>3828</v>
      </c>
      <c r="D79" s="14" t="s">
        <v>189</v>
      </c>
      <c r="E79" s="14" t="s">
        <v>3829</v>
      </c>
      <c r="F79" s="14" t="s">
        <v>548</v>
      </c>
      <c r="G79" s="14" t="s">
        <v>3808</v>
      </c>
      <c r="H79" s="14" t="s">
        <v>26</v>
      </c>
      <c r="I79" s="17"/>
      <c r="J79" s="17">
        <v>112900</v>
      </c>
      <c r="K79" s="17">
        <v>30000</v>
      </c>
      <c r="L79" s="17">
        <f>J79-K79</f>
      </c>
      <c r="M79" s="14" t="s">
        <v>50</v>
      </c>
      <c r="N79" s="14" t="s">
        <v>3830</v>
      </c>
      <c r="O79" s="65" t="s">
        <v>251</v>
      </c>
      <c r="P79" s="17"/>
      <c r="Q79" s="17"/>
      <c r="R79" s="17"/>
      <c r="S79" s="17"/>
      <c r="T79" s="65"/>
      <c r="U79" s="17">
        <f>J79-P79-T79</f>
      </c>
      <c r="V79" s="12"/>
      <c r="W79" s="14"/>
      <c r="X79" s="14"/>
      <c r="Y79" s="29"/>
      <c r="Z79" s="34"/>
    </row>
    <row x14ac:dyDescent="0.25" r="80" customHeight="1" ht="15.75">
      <c r="A80" s="12">
        <v>45827</v>
      </c>
      <c r="B80" s="14" t="s">
        <v>111</v>
      </c>
      <c r="C80" s="14" t="s">
        <v>3828</v>
      </c>
      <c r="D80" s="14" t="s">
        <v>189</v>
      </c>
      <c r="E80" s="14" t="s">
        <v>3829</v>
      </c>
      <c r="F80" s="14" t="s">
        <v>548</v>
      </c>
      <c r="G80" s="14" t="s">
        <v>3831</v>
      </c>
      <c r="H80" s="14" t="s">
        <v>26</v>
      </c>
      <c r="I80" s="17"/>
      <c r="J80" s="17">
        <v>112900</v>
      </c>
      <c r="K80" s="17">
        <v>30000</v>
      </c>
      <c r="L80" s="17">
        <f>J80-K80</f>
      </c>
      <c r="M80" s="14" t="s">
        <v>50</v>
      </c>
      <c r="N80" s="14" t="s">
        <v>3832</v>
      </c>
      <c r="O80" s="65" t="s">
        <v>251</v>
      </c>
      <c r="P80" s="17"/>
      <c r="Q80" s="17"/>
      <c r="R80" s="17"/>
      <c r="S80" s="17"/>
      <c r="T80" s="65"/>
      <c r="U80" s="17">
        <f>J80-P80-T80</f>
      </c>
      <c r="V80" s="12"/>
      <c r="W80" s="14"/>
      <c r="X80" s="14"/>
      <c r="Y80" s="29"/>
      <c r="Z80" s="34"/>
    </row>
    <row x14ac:dyDescent="0.25" r="81" customHeight="1" ht="15.75">
      <c r="A81" s="12">
        <v>45827</v>
      </c>
      <c r="B81" s="14" t="s">
        <v>72</v>
      </c>
      <c r="C81" s="14" t="s">
        <v>3833</v>
      </c>
      <c r="D81" s="14"/>
      <c r="E81" s="14" t="s">
        <v>3834</v>
      </c>
      <c r="F81" s="14" t="s">
        <v>781</v>
      </c>
      <c r="G81" s="14" t="s">
        <v>3835</v>
      </c>
      <c r="H81" s="14" t="s">
        <v>26</v>
      </c>
      <c r="I81" s="17"/>
      <c r="J81" s="17">
        <v>841900</v>
      </c>
      <c r="K81" s="17">
        <v>524820</v>
      </c>
      <c r="L81" s="17">
        <f>J81-K81</f>
      </c>
      <c r="M81" s="14" t="s">
        <v>187</v>
      </c>
      <c r="N81" s="14" t="s">
        <v>3836</v>
      </c>
      <c r="O81" s="65"/>
      <c r="P81" s="17"/>
      <c r="Q81" s="17"/>
      <c r="R81" s="17"/>
      <c r="S81" s="17"/>
      <c r="T81" s="17">
        <v>841900</v>
      </c>
      <c r="U81" s="17">
        <f>J81-P81-T81</f>
      </c>
      <c r="V81" s="12">
        <v>45863</v>
      </c>
      <c r="W81" s="14" t="s">
        <v>2785</v>
      </c>
      <c r="X81" s="14"/>
      <c r="Y81" s="29"/>
      <c r="Z81" s="34"/>
    </row>
    <row x14ac:dyDescent="0.25" r="82" customHeight="1" ht="15.75">
      <c r="A82" s="12">
        <v>45827</v>
      </c>
      <c r="B82" s="14" t="s">
        <v>3837</v>
      </c>
      <c r="C82" s="14" t="s">
        <v>3838</v>
      </c>
      <c r="D82" s="14" t="s">
        <v>3839</v>
      </c>
      <c r="E82" s="14" t="s">
        <v>3834</v>
      </c>
      <c r="F82" s="14" t="s">
        <v>781</v>
      </c>
      <c r="G82" s="14" t="s">
        <v>3835</v>
      </c>
      <c r="H82" s="14" t="s">
        <v>26</v>
      </c>
      <c r="I82" s="17"/>
      <c r="J82" s="17">
        <v>841900</v>
      </c>
      <c r="K82" s="17">
        <v>508350</v>
      </c>
      <c r="L82" s="17">
        <f>J82-K82</f>
      </c>
      <c r="M82" s="14" t="s">
        <v>3045</v>
      </c>
      <c r="N82" s="14" t="s">
        <v>3840</v>
      </c>
      <c r="O82" s="65"/>
      <c r="P82" s="17"/>
      <c r="Q82" s="17"/>
      <c r="R82" s="17"/>
      <c r="S82" s="17"/>
      <c r="T82" s="17">
        <v>841900</v>
      </c>
      <c r="U82" s="17">
        <f>J82-P82-T82</f>
      </c>
      <c r="V82" s="12">
        <v>45863</v>
      </c>
      <c r="W82" s="14" t="s">
        <v>2122</v>
      </c>
      <c r="X82" s="14"/>
      <c r="Y82" s="29"/>
      <c r="Z82" s="34"/>
    </row>
    <row x14ac:dyDescent="0.25" r="83" customHeight="1" ht="15.75">
      <c r="A83" s="12">
        <v>45827</v>
      </c>
      <c r="B83" s="14" t="s">
        <v>72</v>
      </c>
      <c r="C83" s="14" t="s">
        <v>3833</v>
      </c>
      <c r="D83" s="14"/>
      <c r="E83" s="14" t="s">
        <v>3834</v>
      </c>
      <c r="F83" s="14" t="s">
        <v>781</v>
      </c>
      <c r="G83" s="14" t="s">
        <v>3841</v>
      </c>
      <c r="H83" s="14" t="s">
        <v>26</v>
      </c>
      <c r="I83" s="17"/>
      <c r="J83" s="17">
        <v>841900</v>
      </c>
      <c r="K83" s="17">
        <v>524820</v>
      </c>
      <c r="L83" s="17">
        <f>J83-K83</f>
      </c>
      <c r="M83" s="14" t="s">
        <v>187</v>
      </c>
      <c r="N83" s="14" t="s">
        <v>3842</v>
      </c>
      <c r="O83" s="65"/>
      <c r="P83" s="17"/>
      <c r="Q83" s="17"/>
      <c r="R83" s="17"/>
      <c r="S83" s="17"/>
      <c r="T83" s="17">
        <v>841900</v>
      </c>
      <c r="U83" s="17">
        <f>J83-P83-T83</f>
      </c>
      <c r="V83" s="12">
        <v>45863</v>
      </c>
      <c r="W83" s="14" t="s">
        <v>2122</v>
      </c>
      <c r="X83" s="14"/>
      <c r="Y83" s="29"/>
      <c r="Z83" s="34"/>
    </row>
    <row x14ac:dyDescent="0.25" r="84" customHeight="1" ht="15.75">
      <c r="A84" s="12">
        <v>45827</v>
      </c>
      <c r="B84" s="14" t="s">
        <v>3837</v>
      </c>
      <c r="C84" s="14" t="s">
        <v>3838</v>
      </c>
      <c r="D84" s="14" t="s">
        <v>3839</v>
      </c>
      <c r="E84" s="14" t="s">
        <v>3834</v>
      </c>
      <c r="F84" s="14" t="s">
        <v>781</v>
      </c>
      <c r="G84" s="14" t="s">
        <v>3841</v>
      </c>
      <c r="H84" s="14" t="s">
        <v>26</v>
      </c>
      <c r="I84" s="17"/>
      <c r="J84" s="17">
        <v>841900</v>
      </c>
      <c r="K84" s="17">
        <v>508350</v>
      </c>
      <c r="L84" s="17">
        <f>J84-K84</f>
      </c>
      <c r="M84" s="14" t="s">
        <v>3045</v>
      </c>
      <c r="N84" s="14" t="s">
        <v>3843</v>
      </c>
      <c r="O84" s="65"/>
      <c r="P84" s="17"/>
      <c r="Q84" s="17"/>
      <c r="R84" s="17"/>
      <c r="S84" s="17"/>
      <c r="T84" s="17">
        <v>841900</v>
      </c>
      <c r="U84" s="17">
        <f>J84-P84-T84</f>
      </c>
      <c r="V84" s="12">
        <v>45863</v>
      </c>
      <c r="W84" s="14" t="s">
        <v>2785</v>
      </c>
      <c r="X84" s="14"/>
      <c r="Y84" s="29"/>
      <c r="Z84" s="34"/>
    </row>
    <row x14ac:dyDescent="0.25" r="85" customHeight="1" ht="15.75">
      <c r="A85" s="12">
        <v>45828</v>
      </c>
      <c r="B85" s="14" t="s">
        <v>66</v>
      </c>
      <c r="C85" s="14" t="s">
        <v>3844</v>
      </c>
      <c r="D85" s="14" t="s">
        <v>172</v>
      </c>
      <c r="E85" s="14" t="s">
        <v>3845</v>
      </c>
      <c r="F85" s="14" t="s">
        <v>147</v>
      </c>
      <c r="G85" s="14" t="s">
        <v>1134</v>
      </c>
      <c r="H85" s="14" t="s">
        <v>26</v>
      </c>
      <c r="I85" s="17">
        <v>447700</v>
      </c>
      <c r="J85" s="17">
        <v>897900</v>
      </c>
      <c r="K85" s="17">
        <v>797220</v>
      </c>
      <c r="L85" s="17">
        <f>J85-K85</f>
      </c>
      <c r="M85" s="14" t="s">
        <v>50</v>
      </c>
      <c r="N85" s="14" t="s">
        <v>3846</v>
      </c>
      <c r="O85" s="17">
        <v>2</v>
      </c>
      <c r="P85" s="17"/>
      <c r="Q85" s="17"/>
      <c r="R85" s="17"/>
      <c r="S85" s="17"/>
      <c r="T85" s="17">
        <v>897900</v>
      </c>
      <c r="U85" s="17">
        <f>J85-P85-T85</f>
      </c>
      <c r="V85" s="12">
        <v>45838</v>
      </c>
      <c r="W85" s="14" t="s">
        <v>1718</v>
      </c>
      <c r="X85" s="14"/>
      <c r="Y85" s="29"/>
      <c r="Z85" s="34"/>
    </row>
    <row x14ac:dyDescent="0.25" r="86" customHeight="1" ht="15.75">
      <c r="A86" s="12">
        <v>45828</v>
      </c>
      <c r="B86" s="14" t="s">
        <v>46</v>
      </c>
      <c r="C86" s="14" t="s">
        <v>3847</v>
      </c>
      <c r="D86" s="14" t="s">
        <v>54</v>
      </c>
      <c r="E86" s="14" t="s">
        <v>3848</v>
      </c>
      <c r="F86" s="14" t="s">
        <v>84</v>
      </c>
      <c r="G86" s="14" t="s">
        <v>3849</v>
      </c>
      <c r="H86" s="14" t="s">
        <v>26</v>
      </c>
      <c r="I86" s="17"/>
      <c r="J86" s="17">
        <v>299920</v>
      </c>
      <c r="K86" s="17">
        <v>199300</v>
      </c>
      <c r="L86" s="17">
        <f>J86-K86</f>
      </c>
      <c r="M86" s="14" t="s">
        <v>50</v>
      </c>
      <c r="N86" s="14" t="s">
        <v>3850</v>
      </c>
      <c r="O86" s="65" t="s">
        <v>251</v>
      </c>
      <c r="P86" s="17"/>
      <c r="Q86" s="17"/>
      <c r="R86" s="17"/>
      <c r="S86" s="17"/>
      <c r="T86" s="17"/>
      <c r="U86" s="17">
        <f>J86-P86-T86</f>
      </c>
      <c r="V86" s="12"/>
      <c r="W86" s="14"/>
      <c r="X86" s="14"/>
      <c r="Y86" s="29"/>
      <c r="Z86" s="34"/>
    </row>
    <row x14ac:dyDescent="0.25" r="87" customHeight="1" ht="15.75">
      <c r="A87" s="12">
        <v>45828</v>
      </c>
      <c r="B87" s="14" t="s">
        <v>46</v>
      </c>
      <c r="C87" s="14" t="s">
        <v>3851</v>
      </c>
      <c r="D87" s="14" t="s">
        <v>3606</v>
      </c>
      <c r="E87" s="14" t="s">
        <v>3852</v>
      </c>
      <c r="F87" s="14" t="s">
        <v>266</v>
      </c>
      <c r="G87" s="14" t="s">
        <v>3611</v>
      </c>
      <c r="H87" s="14" t="s">
        <v>26</v>
      </c>
      <c r="I87" s="17">
        <v>0</v>
      </c>
      <c r="J87" s="17">
        <v>199920</v>
      </c>
      <c r="K87" s="17">
        <v>0</v>
      </c>
      <c r="L87" s="17">
        <f>J87-K87</f>
      </c>
      <c r="M87" s="14" t="s">
        <v>3033</v>
      </c>
      <c r="N87" s="14" t="s">
        <v>3612</v>
      </c>
      <c r="O87" s="65" t="s">
        <v>251</v>
      </c>
      <c r="P87" s="17"/>
      <c r="Q87" s="17"/>
      <c r="R87" s="17"/>
      <c r="S87" s="17"/>
      <c r="T87" s="17">
        <v>199920</v>
      </c>
      <c r="U87" s="17">
        <f>J87-P87-T87</f>
      </c>
      <c r="V87" s="12">
        <v>45880</v>
      </c>
      <c r="W87" s="14" t="s">
        <v>2216</v>
      </c>
      <c r="X87" s="14" t="s">
        <v>2122</v>
      </c>
      <c r="Y87" s="29"/>
      <c r="Z87" s="34"/>
    </row>
    <row x14ac:dyDescent="0.25" r="88" customHeight="1" ht="15.75">
      <c r="A88" s="12">
        <v>45829</v>
      </c>
      <c r="B88" s="9" t="s">
        <v>66</v>
      </c>
      <c r="C88" s="14" t="s">
        <v>3853</v>
      </c>
      <c r="D88" s="14" t="s">
        <v>3854</v>
      </c>
      <c r="E88" s="14" t="s">
        <v>3855</v>
      </c>
      <c r="F88" s="14" t="s">
        <v>174</v>
      </c>
      <c r="G88" s="14" t="s">
        <v>3856</v>
      </c>
      <c r="H88" s="14" t="s">
        <v>26</v>
      </c>
      <c r="I88" s="17">
        <v>1238300</v>
      </c>
      <c r="J88" s="17">
        <v>1531450</v>
      </c>
      <c r="K88" s="17">
        <v>1431450</v>
      </c>
      <c r="L88" s="17">
        <f>J88-K88</f>
      </c>
      <c r="M88" s="14" t="s">
        <v>50</v>
      </c>
      <c r="N88" s="14" t="s">
        <v>3857</v>
      </c>
      <c r="O88" s="65"/>
      <c r="P88" s="17"/>
      <c r="Q88" s="17"/>
      <c r="R88" s="17"/>
      <c r="S88" s="17"/>
      <c r="T88" s="17">
        <v>1531450</v>
      </c>
      <c r="U88" s="17">
        <f>J88-P88-T88</f>
      </c>
      <c r="V88" s="12">
        <v>45848</v>
      </c>
      <c r="W88" s="14" t="s">
        <v>1718</v>
      </c>
      <c r="X88" s="14"/>
      <c r="Y88" s="29"/>
      <c r="Z88" s="34"/>
    </row>
    <row x14ac:dyDescent="0.25" r="89" customHeight="1" ht="15.75">
      <c r="A89" s="55">
        <v>45829</v>
      </c>
      <c r="B89" s="56" t="s">
        <v>66</v>
      </c>
      <c r="C89" s="56" t="s">
        <v>3858</v>
      </c>
      <c r="D89" s="56" t="s">
        <v>3859</v>
      </c>
      <c r="E89" s="56" t="s">
        <v>3855</v>
      </c>
      <c r="F89" s="56" t="s">
        <v>174</v>
      </c>
      <c r="G89" s="56" t="s">
        <v>3856</v>
      </c>
      <c r="H89" s="56" t="s">
        <v>26</v>
      </c>
      <c r="I89" s="57"/>
      <c r="J89" s="57">
        <v>175000</v>
      </c>
      <c r="K89" s="57">
        <v>95000</v>
      </c>
      <c r="L89" s="57">
        <v>80000</v>
      </c>
      <c r="M89" s="56" t="s">
        <v>50</v>
      </c>
      <c r="N89" s="56" t="s">
        <v>3860</v>
      </c>
      <c r="O89" s="180" t="s">
        <v>343</v>
      </c>
      <c r="P89" s="57"/>
      <c r="Q89" s="57"/>
      <c r="R89" s="57"/>
      <c r="S89" s="57"/>
      <c r="T89" s="57">
        <v>175000</v>
      </c>
      <c r="U89" s="17">
        <f>J89-P89-T89</f>
      </c>
      <c r="V89" s="55">
        <v>45848</v>
      </c>
      <c r="W89" s="14" t="s">
        <v>1718</v>
      </c>
      <c r="X89" s="14"/>
      <c r="Y89" s="29"/>
      <c r="Z89" s="34"/>
    </row>
    <row x14ac:dyDescent="0.25" r="90" customHeight="1" ht="15.75">
      <c r="A90" s="12">
        <v>45829</v>
      </c>
      <c r="B90" s="14" t="s">
        <v>46</v>
      </c>
      <c r="C90" s="14" t="s">
        <v>3861</v>
      </c>
      <c r="D90" s="14" t="s">
        <v>1348</v>
      </c>
      <c r="E90" s="14" t="s">
        <v>3862</v>
      </c>
      <c r="F90" s="14" t="s">
        <v>2962</v>
      </c>
      <c r="G90" s="14" t="s">
        <v>3863</v>
      </c>
      <c r="H90" s="14" t="s">
        <v>26</v>
      </c>
      <c r="I90" s="17">
        <v>531600</v>
      </c>
      <c r="J90" s="29">
        <v>1169220</v>
      </c>
      <c r="K90" s="17">
        <v>1093320</v>
      </c>
      <c r="L90" s="17">
        <f>J90-K90</f>
      </c>
      <c r="M90" s="14" t="s">
        <v>50</v>
      </c>
      <c r="N90" s="14" t="s">
        <v>3864</v>
      </c>
      <c r="O90" s="65"/>
      <c r="P90" s="17"/>
      <c r="Q90" s="17"/>
      <c r="R90" s="17"/>
      <c r="S90" s="17"/>
      <c r="T90" s="17">
        <v>1169220</v>
      </c>
      <c r="U90" s="17">
        <f>J90-P90-T90</f>
      </c>
      <c r="V90" s="12">
        <v>45838</v>
      </c>
      <c r="W90" s="14" t="s">
        <v>1718</v>
      </c>
      <c r="X90" s="14"/>
      <c r="Y90" s="29"/>
      <c r="Z90" s="34"/>
    </row>
    <row x14ac:dyDescent="0.25" r="91" customHeight="1" ht="29.25">
      <c r="A91" s="12">
        <v>45829</v>
      </c>
      <c r="B91" s="14" t="s">
        <v>46</v>
      </c>
      <c r="C91" s="14" t="s">
        <v>3861</v>
      </c>
      <c r="D91" s="14" t="s">
        <v>1348</v>
      </c>
      <c r="E91" s="14" t="s">
        <v>3862</v>
      </c>
      <c r="F91" s="14" t="s">
        <v>2962</v>
      </c>
      <c r="G91" s="14" t="s">
        <v>3865</v>
      </c>
      <c r="H91" s="14" t="s">
        <v>26</v>
      </c>
      <c r="I91" s="17">
        <v>400700</v>
      </c>
      <c r="J91" s="29">
        <v>998220</v>
      </c>
      <c r="K91" s="17">
        <v>962420</v>
      </c>
      <c r="L91" s="17">
        <f>J91-K91</f>
      </c>
      <c r="M91" s="14" t="s">
        <v>50</v>
      </c>
      <c r="N91" s="14" t="s">
        <v>3866</v>
      </c>
      <c r="O91" s="65"/>
      <c r="P91" s="17">
        <v>535900</v>
      </c>
      <c r="Q91" s="17"/>
      <c r="R91" s="17"/>
      <c r="S91" s="17"/>
      <c r="T91" s="17">
        <v>462320</v>
      </c>
      <c r="U91" s="17">
        <f>J91-P91-T91</f>
      </c>
      <c r="V91" s="175" t="s">
        <v>3867</v>
      </c>
      <c r="W91" s="14" t="s">
        <v>1718</v>
      </c>
      <c r="X91" s="14"/>
      <c r="Y91" s="29"/>
      <c r="Z91" s="34"/>
    </row>
    <row x14ac:dyDescent="0.25" r="92" customHeight="1" ht="26.399999999999995">
      <c r="A92" s="12">
        <v>45829</v>
      </c>
      <c r="B92" s="14" t="s">
        <v>46</v>
      </c>
      <c r="C92" s="14" t="s">
        <v>3861</v>
      </c>
      <c r="D92" s="14" t="s">
        <v>1348</v>
      </c>
      <c r="E92" s="14" t="s">
        <v>3862</v>
      </c>
      <c r="F92" s="14" t="s">
        <v>2962</v>
      </c>
      <c r="G92" s="14" t="s">
        <v>3868</v>
      </c>
      <c r="H92" s="14" t="s">
        <v>26</v>
      </c>
      <c r="I92" s="17">
        <v>400700</v>
      </c>
      <c r="J92" s="29">
        <v>998220</v>
      </c>
      <c r="K92" s="17">
        <v>962420</v>
      </c>
      <c r="L92" s="17">
        <f>J92-K92</f>
      </c>
      <c r="M92" s="14" t="s">
        <v>50</v>
      </c>
      <c r="N92" s="14" t="s">
        <v>3869</v>
      </c>
      <c r="O92" s="65"/>
      <c r="P92" s="17">
        <v>537680</v>
      </c>
      <c r="Q92" s="17"/>
      <c r="R92" s="17"/>
      <c r="S92" s="17"/>
      <c r="T92" s="17">
        <v>460540</v>
      </c>
      <c r="U92" s="17">
        <f>J92-P92-T92</f>
      </c>
      <c r="V92" s="175" t="s">
        <v>3870</v>
      </c>
      <c r="W92" s="14" t="s">
        <v>1718</v>
      </c>
      <c r="X92" s="14"/>
      <c r="Y92" s="29"/>
      <c r="Z92" s="34"/>
    </row>
    <row x14ac:dyDescent="0.25" r="93" customHeight="1" ht="15.75">
      <c r="A93" s="12">
        <v>45830</v>
      </c>
      <c r="B93" s="9" t="s">
        <v>46</v>
      </c>
      <c r="C93" s="14" t="s">
        <v>3871</v>
      </c>
      <c r="D93" s="14" t="s">
        <v>54</v>
      </c>
      <c r="E93" s="14" t="s">
        <v>3872</v>
      </c>
      <c r="F93" s="14" t="s">
        <v>174</v>
      </c>
      <c r="G93" s="14" t="s">
        <v>446</v>
      </c>
      <c r="H93" s="14" t="s">
        <v>26</v>
      </c>
      <c r="I93" s="17">
        <v>2357000</v>
      </c>
      <c r="J93" s="17">
        <v>3607720</v>
      </c>
      <c r="K93" s="17">
        <v>3194520</v>
      </c>
      <c r="L93" s="17">
        <f>J93-K93</f>
      </c>
      <c r="M93" s="14" t="s">
        <v>50</v>
      </c>
      <c r="N93" s="14" t="s">
        <v>3873</v>
      </c>
      <c r="O93" s="65"/>
      <c r="P93" s="17"/>
      <c r="Q93" s="17"/>
      <c r="R93" s="17"/>
      <c r="S93" s="17"/>
      <c r="T93" s="17">
        <v>3607720</v>
      </c>
      <c r="U93" s="17">
        <f>J93-P93-T93</f>
      </c>
      <c r="V93" s="12">
        <v>45848</v>
      </c>
      <c r="W93" s="14" t="s">
        <v>1718</v>
      </c>
      <c r="X93" s="14"/>
      <c r="Y93" s="29"/>
      <c r="Z93" s="34"/>
    </row>
    <row x14ac:dyDescent="0.25" r="94" customHeight="1" ht="15.75">
      <c r="A94" s="12">
        <v>45831</v>
      </c>
      <c r="B94" s="14" t="s">
        <v>82</v>
      </c>
      <c r="C94" s="14" t="s">
        <v>3874</v>
      </c>
      <c r="D94" s="14" t="s">
        <v>624</v>
      </c>
      <c r="E94" s="14"/>
      <c r="F94" s="14" t="s">
        <v>3875</v>
      </c>
      <c r="G94" s="14" t="s">
        <v>3876</v>
      </c>
      <c r="H94" s="14" t="s">
        <v>688</v>
      </c>
      <c r="I94" s="17"/>
      <c r="J94" s="17">
        <v>71870</v>
      </c>
      <c r="K94" s="17">
        <v>66870</v>
      </c>
      <c r="L94" s="17">
        <f>J94-K94</f>
      </c>
      <c r="M94" s="14" t="s">
        <v>86</v>
      </c>
      <c r="N94" s="14" t="s">
        <v>3877</v>
      </c>
      <c r="O94" s="65"/>
      <c r="P94" s="17"/>
      <c r="Q94" s="17"/>
      <c r="R94" s="17"/>
      <c r="S94" s="17"/>
      <c r="T94" s="17">
        <v>77090</v>
      </c>
      <c r="U94" s="17">
        <f>J94-P94-T94</f>
      </c>
      <c r="V94" s="12">
        <v>45831</v>
      </c>
      <c r="W94" s="14" t="s">
        <v>2307</v>
      </c>
      <c r="X94" s="14"/>
      <c r="Y94" s="29"/>
      <c r="Z94" s="34"/>
    </row>
    <row x14ac:dyDescent="0.25" r="95" customHeight="1" ht="23.25">
      <c r="A95" s="12">
        <v>45831</v>
      </c>
      <c r="B95" s="14" t="s">
        <v>72</v>
      </c>
      <c r="C95" s="14" t="s">
        <v>3878</v>
      </c>
      <c r="D95" s="14" t="s">
        <v>54</v>
      </c>
      <c r="E95" s="14" t="s">
        <v>3879</v>
      </c>
      <c r="F95" s="14" t="s">
        <v>3880</v>
      </c>
      <c r="G95" s="14" t="s">
        <v>3881</v>
      </c>
      <c r="H95" s="14" t="s">
        <v>26</v>
      </c>
      <c r="I95" s="17"/>
      <c r="J95" s="17">
        <v>769920</v>
      </c>
      <c r="K95" s="274">
        <v>681920</v>
      </c>
      <c r="L95" s="17">
        <f>J95-K95</f>
      </c>
      <c r="M95" s="14" t="s">
        <v>154</v>
      </c>
      <c r="N95" s="14" t="s">
        <v>3882</v>
      </c>
      <c r="O95" s="65"/>
      <c r="P95" s="17">
        <v>345250</v>
      </c>
      <c r="Q95" s="17">
        <v>400000</v>
      </c>
      <c r="R95" s="17"/>
      <c r="S95" s="17"/>
      <c r="T95" s="17">
        <v>24670</v>
      </c>
      <c r="U95" s="17">
        <f>J95-Q95-P95-T95</f>
      </c>
      <c r="V95" s="175" t="s">
        <v>3883</v>
      </c>
      <c r="W95" s="14" t="s">
        <v>2216</v>
      </c>
      <c r="X95" s="14" t="s">
        <v>3884</v>
      </c>
      <c r="Y95" s="29"/>
      <c r="Z95" s="34"/>
    </row>
    <row x14ac:dyDescent="0.25" r="96" customHeight="1" ht="15.75">
      <c r="A96" s="12">
        <v>45831</v>
      </c>
      <c r="B96" s="14" t="s">
        <v>46</v>
      </c>
      <c r="C96" s="14" t="s">
        <v>3885</v>
      </c>
      <c r="D96" s="14" t="s">
        <v>282</v>
      </c>
      <c r="E96" s="14" t="s">
        <v>3886</v>
      </c>
      <c r="F96" s="14" t="s">
        <v>3887</v>
      </c>
      <c r="G96" s="14" t="s">
        <v>3888</v>
      </c>
      <c r="H96" s="14" t="s">
        <v>26</v>
      </c>
      <c r="I96" s="17">
        <v>1307400</v>
      </c>
      <c r="J96" s="17">
        <v>1840900</v>
      </c>
      <c r="K96" s="17">
        <v>1615620</v>
      </c>
      <c r="L96" s="17">
        <f>J96-K96</f>
      </c>
      <c r="M96" s="14" t="s">
        <v>50</v>
      </c>
      <c r="N96" s="14" t="s">
        <v>3889</v>
      </c>
      <c r="O96" s="17">
        <v>2</v>
      </c>
      <c r="P96" s="17"/>
      <c r="Q96" s="17"/>
      <c r="R96" s="17"/>
      <c r="S96" s="17"/>
      <c r="T96" s="17">
        <v>1840900</v>
      </c>
      <c r="U96" s="17">
        <f>J96-P96-T96</f>
      </c>
      <c r="V96" s="12">
        <v>45835</v>
      </c>
      <c r="W96" s="14" t="s">
        <v>1718</v>
      </c>
      <c r="X96" s="14"/>
      <c r="Y96" s="29"/>
      <c r="Z96" s="34"/>
    </row>
    <row x14ac:dyDescent="0.25" r="97" customHeight="1" ht="15.75">
      <c r="A97" s="12">
        <v>45831</v>
      </c>
      <c r="B97" s="9" t="s">
        <v>72</v>
      </c>
      <c r="C97" s="14" t="s">
        <v>3890</v>
      </c>
      <c r="D97" s="14" t="s">
        <v>448</v>
      </c>
      <c r="E97" s="14" t="s">
        <v>3891</v>
      </c>
      <c r="F97" s="14" t="s">
        <v>3892</v>
      </c>
      <c r="G97" s="14" t="s">
        <v>3893</v>
      </c>
      <c r="H97" s="14" t="s">
        <v>26</v>
      </c>
      <c r="I97" s="17">
        <v>1300300</v>
      </c>
      <c r="J97" s="17">
        <v>1999520</v>
      </c>
      <c r="K97" s="17">
        <v>1869520</v>
      </c>
      <c r="L97" s="17">
        <f>J97-K97</f>
      </c>
      <c r="M97" s="14" t="s">
        <v>50</v>
      </c>
      <c r="N97" s="14" t="s">
        <v>3894</v>
      </c>
      <c r="O97" s="17">
        <v>4</v>
      </c>
      <c r="P97" s="17"/>
      <c r="Q97" s="17"/>
      <c r="R97" s="17"/>
      <c r="S97" s="17"/>
      <c r="T97" s="17">
        <v>1999520</v>
      </c>
      <c r="U97" s="17">
        <f>J97-P97-T97</f>
      </c>
      <c r="V97" s="12">
        <v>45832</v>
      </c>
      <c r="W97" s="14" t="s">
        <v>1718</v>
      </c>
      <c r="X97" s="14"/>
      <c r="Y97" s="29"/>
      <c r="Z97" s="34"/>
    </row>
    <row x14ac:dyDescent="0.25" r="98" customHeight="1" ht="15.75">
      <c r="A98" s="12">
        <v>45831</v>
      </c>
      <c r="B98" s="14" t="s">
        <v>111</v>
      </c>
      <c r="C98" s="14" t="s">
        <v>3895</v>
      </c>
      <c r="D98" s="14" t="s">
        <v>373</v>
      </c>
      <c r="E98" s="14" t="s">
        <v>3896</v>
      </c>
      <c r="F98" s="14" t="s">
        <v>3897</v>
      </c>
      <c r="G98" s="14" t="s">
        <v>3898</v>
      </c>
      <c r="H98" s="14" t="s">
        <v>26</v>
      </c>
      <c r="I98" s="17">
        <v>89400</v>
      </c>
      <c r="J98" s="17">
        <v>351520</v>
      </c>
      <c r="K98" s="17">
        <v>321520</v>
      </c>
      <c r="L98" s="17">
        <f>J98-K98</f>
      </c>
      <c r="M98" s="14" t="s">
        <v>50</v>
      </c>
      <c r="N98" s="14" t="s">
        <v>3899</v>
      </c>
      <c r="O98" s="17">
        <v>1</v>
      </c>
      <c r="P98" s="17"/>
      <c r="Q98" s="17"/>
      <c r="R98" s="17"/>
      <c r="S98" s="17"/>
      <c r="T98" s="17">
        <v>351520</v>
      </c>
      <c r="U98" s="17">
        <f>J98-P98-T98</f>
      </c>
      <c r="V98" s="12">
        <v>45841</v>
      </c>
      <c r="W98" s="14" t="s">
        <v>1718</v>
      </c>
      <c r="X98" s="14"/>
      <c r="Y98" s="29"/>
      <c r="Z98" s="34"/>
    </row>
    <row x14ac:dyDescent="0.25" r="99" customHeight="1" ht="15.75">
      <c r="A99" s="275">
        <v>45832</v>
      </c>
      <c r="B99" s="276" t="s">
        <v>46</v>
      </c>
      <c r="C99" s="276" t="s">
        <v>3900</v>
      </c>
      <c r="D99" s="276" t="s">
        <v>63</v>
      </c>
      <c r="E99" s="276" t="s">
        <v>3901</v>
      </c>
      <c r="F99" s="276" t="s">
        <v>194</v>
      </c>
      <c r="G99" s="276" t="s">
        <v>3902</v>
      </c>
      <c r="H99" s="276" t="s">
        <v>26</v>
      </c>
      <c r="I99" s="277"/>
      <c r="J99" s="277">
        <v>1213900</v>
      </c>
      <c r="K99" s="277">
        <v>1162900</v>
      </c>
      <c r="L99" s="277">
        <f>J99-K99</f>
      </c>
      <c r="M99" s="276" t="s">
        <v>46</v>
      </c>
      <c r="N99" s="276" t="s">
        <v>3903</v>
      </c>
      <c r="O99" s="278"/>
      <c r="P99" s="277"/>
      <c r="Q99" s="277"/>
      <c r="R99" s="277"/>
      <c r="S99" s="277"/>
      <c r="T99" s="277">
        <v>1213900</v>
      </c>
      <c r="U99" s="17">
        <f>J99-P99-T99</f>
      </c>
      <c r="V99" s="12">
        <v>45855</v>
      </c>
      <c r="W99" s="3" t="s">
        <v>2122</v>
      </c>
      <c r="X99" s="3"/>
      <c r="Y99" s="29"/>
      <c r="Z99" s="34"/>
    </row>
    <row x14ac:dyDescent="0.25" r="100" customHeight="1" ht="15.75">
      <c r="A100" s="55">
        <v>45832</v>
      </c>
      <c r="B100" s="56" t="s">
        <v>111</v>
      </c>
      <c r="C100" s="56" t="s">
        <v>3904</v>
      </c>
      <c r="D100" s="56" t="s">
        <v>1267</v>
      </c>
      <c r="E100" s="56" t="s">
        <v>3905</v>
      </c>
      <c r="F100" s="56" t="s">
        <v>3906</v>
      </c>
      <c r="G100" s="56" t="s">
        <v>3907</v>
      </c>
      <c r="H100" s="56" t="s">
        <v>26</v>
      </c>
      <c r="I100" s="57"/>
      <c r="J100" s="57">
        <v>42000</v>
      </c>
      <c r="K100" s="57">
        <v>42000</v>
      </c>
      <c r="L100" s="57">
        <f>J100-K100</f>
      </c>
      <c r="M100" s="56" t="s">
        <v>50</v>
      </c>
      <c r="N100" s="56" t="s">
        <v>3908</v>
      </c>
      <c r="O100" s="180" t="s">
        <v>3909</v>
      </c>
      <c r="P100" s="57"/>
      <c r="Q100" s="57"/>
      <c r="R100" s="57"/>
      <c r="S100" s="57"/>
      <c r="T100" s="180"/>
      <c r="U100" s="17">
        <f>J100-P100-T100</f>
      </c>
      <c r="V100" s="12"/>
      <c r="W100" s="14"/>
      <c r="X100" s="14"/>
      <c r="Y100" s="29"/>
      <c r="Z100" s="34"/>
    </row>
    <row x14ac:dyDescent="0.25" r="101" customHeight="1" ht="15.75">
      <c r="A101" s="12">
        <v>45832</v>
      </c>
      <c r="B101" s="14" t="s">
        <v>111</v>
      </c>
      <c r="C101" s="14" t="s">
        <v>3904</v>
      </c>
      <c r="D101" s="14" t="s">
        <v>1267</v>
      </c>
      <c r="E101" s="14" t="s">
        <v>3905</v>
      </c>
      <c r="F101" s="14" t="s">
        <v>3906</v>
      </c>
      <c r="G101" s="14" t="s">
        <v>3910</v>
      </c>
      <c r="H101" s="14" t="s">
        <v>26</v>
      </c>
      <c r="I101" s="17">
        <v>100300</v>
      </c>
      <c r="J101" s="17">
        <v>389920</v>
      </c>
      <c r="K101" s="17">
        <v>334720</v>
      </c>
      <c r="L101" s="17">
        <f>J101-K101</f>
      </c>
      <c r="M101" s="14" t="s">
        <v>50</v>
      </c>
      <c r="N101" s="14" t="s">
        <v>3911</v>
      </c>
      <c r="O101" s="17">
        <v>2</v>
      </c>
      <c r="P101" s="17">
        <v>296000</v>
      </c>
      <c r="Q101" s="17"/>
      <c r="R101" s="17"/>
      <c r="S101" s="17"/>
      <c r="T101" s="17">
        <v>93920</v>
      </c>
      <c r="U101" s="17">
        <f>J101-P101-T101</f>
      </c>
      <c r="V101" s="12">
        <v>45833</v>
      </c>
      <c r="W101" s="14" t="s">
        <v>1718</v>
      </c>
      <c r="X101" s="14"/>
      <c r="Y101" s="29"/>
      <c r="Z101" s="34"/>
    </row>
    <row x14ac:dyDescent="0.25" r="102" customHeight="1" ht="15.75">
      <c r="A102" s="12">
        <v>45832</v>
      </c>
      <c r="B102" s="14" t="s">
        <v>111</v>
      </c>
      <c r="C102" s="14" t="s">
        <v>3904</v>
      </c>
      <c r="D102" s="14" t="s">
        <v>1267</v>
      </c>
      <c r="E102" s="14" t="s">
        <v>3905</v>
      </c>
      <c r="F102" s="14" t="s">
        <v>3906</v>
      </c>
      <c r="G102" s="14" t="s">
        <v>3912</v>
      </c>
      <c r="H102" s="14" t="s">
        <v>26</v>
      </c>
      <c r="I102" s="17">
        <v>100300</v>
      </c>
      <c r="J102" s="17">
        <v>389920</v>
      </c>
      <c r="K102" s="17">
        <v>334720</v>
      </c>
      <c r="L102" s="17">
        <f>J102-K102</f>
      </c>
      <c r="M102" s="14" t="s">
        <v>50</v>
      </c>
      <c r="N102" s="14" t="s">
        <v>3913</v>
      </c>
      <c r="O102" s="17">
        <v>2</v>
      </c>
      <c r="P102" s="17"/>
      <c r="Q102" s="17"/>
      <c r="R102" s="17"/>
      <c r="S102" s="17"/>
      <c r="T102" s="17">
        <v>389920</v>
      </c>
      <c r="U102" s="17">
        <f>J102-P102-T102</f>
      </c>
      <c r="V102" s="12">
        <v>45833</v>
      </c>
      <c r="W102" s="14" t="s">
        <v>1718</v>
      </c>
      <c r="X102" s="14"/>
      <c r="Y102" s="29"/>
      <c r="Z102" s="34"/>
    </row>
    <row x14ac:dyDescent="0.25" r="103" customHeight="1" ht="15.75">
      <c r="A103" s="12">
        <v>45832</v>
      </c>
      <c r="B103" s="14" t="s">
        <v>46</v>
      </c>
      <c r="C103" s="14" t="s">
        <v>3914</v>
      </c>
      <c r="D103" s="14" t="s">
        <v>54</v>
      </c>
      <c r="E103" s="14" t="s">
        <v>3915</v>
      </c>
      <c r="F103" s="14" t="s">
        <v>3916</v>
      </c>
      <c r="G103" s="14" t="s">
        <v>3917</v>
      </c>
      <c r="H103" s="14" t="s">
        <v>26</v>
      </c>
      <c r="I103" s="17">
        <v>1162400</v>
      </c>
      <c r="J103" s="17">
        <v>1697620</v>
      </c>
      <c r="K103" s="17">
        <v>1477620</v>
      </c>
      <c r="L103" s="17">
        <f>J103-K103</f>
      </c>
      <c r="M103" s="14" t="s">
        <v>50</v>
      </c>
      <c r="N103" s="14" t="s">
        <v>3918</v>
      </c>
      <c r="O103" s="17">
        <v>2</v>
      </c>
      <c r="P103" s="17"/>
      <c r="Q103" s="17"/>
      <c r="R103" s="17"/>
      <c r="S103" s="17"/>
      <c r="T103" s="17">
        <v>1697620</v>
      </c>
      <c r="U103" s="17">
        <f>J103-P103-T103</f>
      </c>
      <c r="V103" s="12">
        <v>45835</v>
      </c>
      <c r="W103" s="14" t="s">
        <v>1718</v>
      </c>
      <c r="X103" s="14"/>
      <c r="Y103" s="29"/>
      <c r="Z103" s="34"/>
    </row>
    <row x14ac:dyDescent="0.25" r="104" customHeight="1" ht="15.75">
      <c r="A104" s="12">
        <v>45832</v>
      </c>
      <c r="B104" s="9" t="s">
        <v>66</v>
      </c>
      <c r="C104" s="14" t="s">
        <v>3919</v>
      </c>
      <c r="D104" s="14" t="s">
        <v>3920</v>
      </c>
      <c r="E104" s="14" t="s">
        <v>3921</v>
      </c>
      <c r="F104" s="14" t="s">
        <v>174</v>
      </c>
      <c r="G104" s="14" t="s">
        <v>3922</v>
      </c>
      <c r="H104" s="14" t="s">
        <v>26</v>
      </c>
      <c r="I104" s="17">
        <v>1075100</v>
      </c>
      <c r="J104" s="29">
        <v>1418900</v>
      </c>
      <c r="K104" s="17">
        <v>1298520</v>
      </c>
      <c r="L104" s="17">
        <f>J104-K104</f>
      </c>
      <c r="M104" s="14" t="s">
        <v>50</v>
      </c>
      <c r="N104" s="14" t="s">
        <v>3923</v>
      </c>
      <c r="O104" s="17">
        <v>2</v>
      </c>
      <c r="P104" s="17"/>
      <c r="Q104" s="17"/>
      <c r="R104" s="17"/>
      <c r="S104" s="17"/>
      <c r="T104" s="17">
        <v>1418900</v>
      </c>
      <c r="U104" s="17">
        <f>J104-P104-T104</f>
      </c>
      <c r="V104" s="12">
        <v>45855</v>
      </c>
      <c r="W104" s="14" t="s">
        <v>1718</v>
      </c>
      <c r="X104" s="14"/>
      <c r="Y104" s="29"/>
      <c r="Z104" s="34"/>
    </row>
    <row x14ac:dyDescent="0.25" r="105" customHeight="1" ht="15.75">
      <c r="A105" s="12">
        <v>45832</v>
      </c>
      <c r="B105" s="14" t="s">
        <v>82</v>
      </c>
      <c r="C105" s="14" t="s">
        <v>3924</v>
      </c>
      <c r="D105" s="14" t="s">
        <v>83</v>
      </c>
      <c r="E105" s="14" t="s">
        <v>3925</v>
      </c>
      <c r="F105" s="14" t="s">
        <v>3926</v>
      </c>
      <c r="G105" s="279" t="s">
        <v>1211</v>
      </c>
      <c r="H105" s="14" t="s">
        <v>26</v>
      </c>
      <c r="I105" s="17"/>
      <c r="J105" s="17">
        <v>111920</v>
      </c>
      <c r="K105" s="280">
        <v>93940</v>
      </c>
      <c r="L105" s="17">
        <f>J105-K105</f>
      </c>
      <c r="M105" s="14" t="s">
        <v>86</v>
      </c>
      <c r="N105" s="14" t="s">
        <v>3927</v>
      </c>
      <c r="O105" s="65"/>
      <c r="P105" s="17">
        <v>100000</v>
      </c>
      <c r="Q105" s="17"/>
      <c r="R105" s="17"/>
      <c r="S105" s="17"/>
      <c r="T105" s="65"/>
      <c r="U105" s="17">
        <f>J105-P105-T105</f>
      </c>
      <c r="V105" s="12">
        <v>45855</v>
      </c>
      <c r="W105" s="14" t="s">
        <v>1718</v>
      </c>
      <c r="X105" s="14"/>
      <c r="Y105" s="29"/>
      <c r="Z105" s="34"/>
    </row>
    <row x14ac:dyDescent="0.25" r="106" customHeight="1" ht="15.75">
      <c r="A106" s="12">
        <v>45833</v>
      </c>
      <c r="B106" s="14" t="s">
        <v>82</v>
      </c>
      <c r="C106" s="14" t="s">
        <v>3928</v>
      </c>
      <c r="D106" s="14" t="s">
        <v>546</v>
      </c>
      <c r="E106" s="14" t="s">
        <v>3929</v>
      </c>
      <c r="F106" s="14" t="s">
        <v>84</v>
      </c>
      <c r="G106" s="246" t="s">
        <v>3930</v>
      </c>
      <c r="H106" s="14" t="s">
        <v>26</v>
      </c>
      <c r="I106" s="17"/>
      <c r="J106" s="17">
        <v>136940</v>
      </c>
      <c r="K106" s="280">
        <v>101740</v>
      </c>
      <c r="L106" s="17">
        <f>J106-K106</f>
      </c>
      <c r="M106" s="14" t="s">
        <v>86</v>
      </c>
      <c r="N106" s="14" t="s">
        <v>3931</v>
      </c>
      <c r="O106" s="65"/>
      <c r="P106" s="17"/>
      <c r="Q106" s="17"/>
      <c r="R106" s="17"/>
      <c r="S106" s="17"/>
      <c r="T106" s="17">
        <v>136940</v>
      </c>
      <c r="U106" s="17">
        <f>J106-P106-T106</f>
      </c>
      <c r="V106" s="12">
        <v>45880</v>
      </c>
      <c r="W106" s="14" t="s">
        <v>2122</v>
      </c>
      <c r="X106" s="14"/>
      <c r="Y106" s="29"/>
      <c r="Z106" s="34"/>
    </row>
    <row x14ac:dyDescent="0.25" r="107" customHeight="1" ht="15.75">
      <c r="A107" s="12">
        <v>45833</v>
      </c>
      <c r="B107" s="14" t="s">
        <v>82</v>
      </c>
      <c r="C107" s="14" t="s">
        <v>3932</v>
      </c>
      <c r="D107" s="14" t="s">
        <v>525</v>
      </c>
      <c r="E107" s="14" t="s">
        <v>3933</v>
      </c>
      <c r="F107" s="14" t="s">
        <v>711</v>
      </c>
      <c r="G107" s="246" t="s">
        <v>3934</v>
      </c>
      <c r="H107" s="14" t="s">
        <v>26</v>
      </c>
      <c r="I107" s="17"/>
      <c r="J107" s="17">
        <v>135000</v>
      </c>
      <c r="K107" s="280">
        <v>102540</v>
      </c>
      <c r="L107" s="17">
        <f>J107-K107</f>
      </c>
      <c r="M107" s="14" t="s">
        <v>86</v>
      </c>
      <c r="N107" s="14" t="s">
        <v>3935</v>
      </c>
      <c r="O107" s="65"/>
      <c r="P107" s="17"/>
      <c r="Q107" s="17"/>
      <c r="R107" s="17"/>
      <c r="S107" s="17"/>
      <c r="T107" s="17">
        <v>135000</v>
      </c>
      <c r="U107" s="17">
        <f>J107-P107-T107</f>
      </c>
      <c r="V107" s="12">
        <v>45835</v>
      </c>
      <c r="W107" s="14" t="s">
        <v>1718</v>
      </c>
      <c r="X107" s="14"/>
      <c r="Y107" s="29"/>
      <c r="Z107" s="34"/>
    </row>
    <row x14ac:dyDescent="0.25" r="108" customHeight="1" ht="15.75">
      <c r="A108" s="12">
        <v>45833</v>
      </c>
      <c r="B108" s="14" t="s">
        <v>82</v>
      </c>
      <c r="C108" s="14" t="s">
        <v>3936</v>
      </c>
      <c r="D108" s="14" t="s">
        <v>3937</v>
      </c>
      <c r="E108" s="14" t="s">
        <v>3938</v>
      </c>
      <c r="F108" s="14" t="s">
        <v>3939</v>
      </c>
      <c r="G108" s="246" t="s">
        <v>3940</v>
      </c>
      <c r="H108" s="14" t="s">
        <v>262</v>
      </c>
      <c r="I108" s="17"/>
      <c r="J108" s="17">
        <v>205420</v>
      </c>
      <c r="K108" s="280">
        <v>188440</v>
      </c>
      <c r="L108" s="17">
        <f>J108-K108</f>
      </c>
      <c r="M108" s="14" t="s">
        <v>82</v>
      </c>
      <c r="N108" s="14" t="s">
        <v>3941</v>
      </c>
      <c r="O108" s="65"/>
      <c r="P108" s="17"/>
      <c r="Q108" s="17"/>
      <c r="R108" s="17"/>
      <c r="S108" s="17"/>
      <c r="T108" s="17">
        <v>205420</v>
      </c>
      <c r="U108" s="17">
        <f>J108-P108-T108</f>
      </c>
      <c r="V108" s="12">
        <v>45833</v>
      </c>
      <c r="W108" s="14" t="s">
        <v>1718</v>
      </c>
      <c r="X108" s="14"/>
      <c r="Y108" s="29"/>
      <c r="Z108" s="34"/>
    </row>
    <row x14ac:dyDescent="0.25" r="109" customHeight="1" ht="15.75">
      <c r="A109" s="12">
        <v>45833</v>
      </c>
      <c r="B109" s="9" t="s">
        <v>66</v>
      </c>
      <c r="C109" s="14" t="s">
        <v>2640</v>
      </c>
      <c r="D109" s="14" t="s">
        <v>3942</v>
      </c>
      <c r="E109" s="14" t="s">
        <v>3943</v>
      </c>
      <c r="F109" s="14" t="s">
        <v>2318</v>
      </c>
      <c r="G109" s="14" t="s">
        <v>453</v>
      </c>
      <c r="H109" s="14" t="s">
        <v>26</v>
      </c>
      <c r="I109" s="17">
        <v>444700</v>
      </c>
      <c r="J109" s="17">
        <v>342400</v>
      </c>
      <c r="K109" s="281">
        <v>242400</v>
      </c>
      <c r="L109" s="17">
        <f>J109-K109</f>
      </c>
      <c r="M109" s="14" t="s">
        <v>50</v>
      </c>
      <c r="N109" s="14" t="s">
        <v>3944</v>
      </c>
      <c r="O109" s="65" t="s">
        <v>3945</v>
      </c>
      <c r="P109" s="17"/>
      <c r="Q109" s="17"/>
      <c r="R109" s="17"/>
      <c r="S109" s="17"/>
      <c r="T109" s="17">
        <v>342400</v>
      </c>
      <c r="U109" s="17">
        <f>J109-P109-T109</f>
      </c>
      <c r="V109" s="12">
        <v>45842</v>
      </c>
      <c r="W109" s="14" t="s">
        <v>2307</v>
      </c>
      <c r="X109" s="14"/>
      <c r="Y109" s="29"/>
      <c r="Z109" s="34"/>
    </row>
    <row x14ac:dyDescent="0.25" r="110" customHeight="1" ht="15.75">
      <c r="A110" s="12">
        <v>45833</v>
      </c>
      <c r="B110" s="14" t="s">
        <v>72</v>
      </c>
      <c r="C110" s="14" t="s">
        <v>3188</v>
      </c>
      <c r="D110" s="14" t="s">
        <v>54</v>
      </c>
      <c r="E110" s="14" t="s">
        <v>3946</v>
      </c>
      <c r="F110" s="14" t="s">
        <v>3189</v>
      </c>
      <c r="G110" s="14" t="s">
        <v>3448</v>
      </c>
      <c r="H110" s="14" t="s">
        <v>26</v>
      </c>
      <c r="I110" s="17">
        <v>496800</v>
      </c>
      <c r="J110" s="17">
        <v>892900</v>
      </c>
      <c r="K110" s="17">
        <v>832420</v>
      </c>
      <c r="L110" s="17">
        <f>J110-K110</f>
      </c>
      <c r="M110" s="14" t="s">
        <v>50</v>
      </c>
      <c r="N110" s="14" t="s">
        <v>3947</v>
      </c>
      <c r="O110" s="17">
        <v>4</v>
      </c>
      <c r="P110" s="17"/>
      <c r="Q110" s="17"/>
      <c r="R110" s="17"/>
      <c r="S110" s="17"/>
      <c r="T110" s="17">
        <v>892900</v>
      </c>
      <c r="U110" s="17">
        <f>J110-P110-T110</f>
      </c>
      <c r="V110" s="12">
        <v>45846</v>
      </c>
      <c r="W110" s="14" t="s">
        <v>1718</v>
      </c>
      <c r="X110" s="14"/>
      <c r="Y110" s="29"/>
      <c r="Z110" s="34"/>
    </row>
    <row x14ac:dyDescent="0.25" r="111" customHeight="1" ht="15.75">
      <c r="A111" s="12">
        <v>45833</v>
      </c>
      <c r="B111" s="14" t="s">
        <v>72</v>
      </c>
      <c r="C111" s="14" t="s">
        <v>3188</v>
      </c>
      <c r="D111" s="14" t="s">
        <v>54</v>
      </c>
      <c r="E111" s="14" t="s">
        <v>3946</v>
      </c>
      <c r="F111" s="14" t="s">
        <v>3189</v>
      </c>
      <c r="G111" s="14" t="s">
        <v>3450</v>
      </c>
      <c r="H111" s="14" t="s">
        <v>26</v>
      </c>
      <c r="I111" s="17">
        <v>496800</v>
      </c>
      <c r="J111" s="17">
        <v>892900</v>
      </c>
      <c r="K111" s="17">
        <v>832420</v>
      </c>
      <c r="L111" s="17">
        <f>J111-K111</f>
      </c>
      <c r="M111" s="14" t="s">
        <v>50</v>
      </c>
      <c r="N111" s="14" t="s">
        <v>3948</v>
      </c>
      <c r="O111" s="17">
        <v>4</v>
      </c>
      <c r="P111" s="17"/>
      <c r="Q111" s="17"/>
      <c r="R111" s="17"/>
      <c r="S111" s="17"/>
      <c r="T111" s="17">
        <v>892900</v>
      </c>
      <c r="U111" s="17">
        <f>J111-P111-T111</f>
      </c>
      <c r="V111" s="12">
        <v>45846</v>
      </c>
      <c r="W111" s="14" t="s">
        <v>1718</v>
      </c>
      <c r="X111" s="14"/>
      <c r="Y111" s="29"/>
      <c r="Z111" s="34"/>
    </row>
    <row x14ac:dyDescent="0.25" r="112" customHeight="1" ht="15.75">
      <c r="A112" s="12">
        <v>45834</v>
      </c>
      <c r="B112" s="14" t="s">
        <v>475</v>
      </c>
      <c r="C112" s="14" t="s">
        <v>3949</v>
      </c>
      <c r="D112" s="14" t="s">
        <v>508</v>
      </c>
      <c r="E112" s="14" t="s">
        <v>3950</v>
      </c>
      <c r="F112" s="14" t="s">
        <v>548</v>
      </c>
      <c r="G112" s="14" t="s">
        <v>3831</v>
      </c>
      <c r="H112" s="14" t="s">
        <v>26</v>
      </c>
      <c r="I112" s="17"/>
      <c r="J112" s="17">
        <v>95000</v>
      </c>
      <c r="K112" s="17">
        <v>0</v>
      </c>
      <c r="L112" s="17">
        <f>J112-K112</f>
      </c>
      <c r="M112" s="14" t="s">
        <v>475</v>
      </c>
      <c r="N112" s="14" t="s">
        <v>3951</v>
      </c>
      <c r="O112" s="65" t="s">
        <v>251</v>
      </c>
      <c r="P112" s="17">
        <f>K112</f>
      </c>
      <c r="Q112" s="17"/>
      <c r="R112" s="17"/>
      <c r="S112" s="17"/>
      <c r="T112" s="65"/>
      <c r="U112" s="17">
        <f>J112-P112-T112</f>
      </c>
      <c r="V112" s="12"/>
      <c r="W112" s="14"/>
      <c r="X112" s="14"/>
      <c r="Y112" s="29"/>
      <c r="Z112" s="34"/>
    </row>
    <row x14ac:dyDescent="0.25" r="113" customHeight="1" ht="15.75">
      <c r="A113" s="12">
        <v>45834</v>
      </c>
      <c r="B113" s="14" t="s">
        <v>475</v>
      </c>
      <c r="C113" s="14" t="s">
        <v>3949</v>
      </c>
      <c r="D113" s="14" t="s">
        <v>508</v>
      </c>
      <c r="E113" s="14" t="s">
        <v>3950</v>
      </c>
      <c r="F113" s="14" t="s">
        <v>548</v>
      </c>
      <c r="G113" s="14" t="s">
        <v>3952</v>
      </c>
      <c r="H113" s="14" t="s">
        <v>26</v>
      </c>
      <c r="I113" s="65" t="s">
        <v>3953</v>
      </c>
      <c r="J113" s="17">
        <v>95000</v>
      </c>
      <c r="K113" s="17">
        <v>175000</v>
      </c>
      <c r="L113" s="17">
        <f>J113-K113</f>
      </c>
      <c r="M113" s="14" t="s">
        <v>475</v>
      </c>
      <c r="N113" s="14" t="s">
        <v>3954</v>
      </c>
      <c r="O113" s="65" t="s">
        <v>251</v>
      </c>
      <c r="P113" s="17"/>
      <c r="Q113" s="17"/>
      <c r="R113" s="17"/>
      <c r="S113" s="17"/>
      <c r="T113" s="65"/>
      <c r="U113" s="17">
        <f>J113-P113-T113</f>
      </c>
      <c r="V113" s="12"/>
      <c r="W113" s="14"/>
      <c r="X113" s="14"/>
      <c r="Y113" s="29"/>
      <c r="Z113" s="34"/>
    </row>
    <row x14ac:dyDescent="0.25" r="114" customHeight="1" ht="15.75">
      <c r="A114" s="12">
        <v>45834</v>
      </c>
      <c r="B114" s="14" t="s">
        <v>475</v>
      </c>
      <c r="C114" s="14" t="s">
        <v>3949</v>
      </c>
      <c r="D114" s="14" t="s">
        <v>508</v>
      </c>
      <c r="E114" s="14" t="s">
        <v>3955</v>
      </c>
      <c r="F114" s="14" t="s">
        <v>548</v>
      </c>
      <c r="G114" s="14" t="s">
        <v>142</v>
      </c>
      <c r="H114" s="14" t="s">
        <v>26</v>
      </c>
      <c r="I114" s="17"/>
      <c r="J114" s="17">
        <v>235920</v>
      </c>
      <c r="K114" s="17">
        <v>175000</v>
      </c>
      <c r="L114" s="17">
        <f>J114-K114</f>
      </c>
      <c r="M114" s="14" t="s">
        <v>475</v>
      </c>
      <c r="N114" s="14" t="s">
        <v>3956</v>
      </c>
      <c r="O114" s="65"/>
      <c r="P114" s="17"/>
      <c r="Q114" s="17"/>
      <c r="R114" s="17"/>
      <c r="S114" s="17"/>
      <c r="T114" s="65"/>
      <c r="U114" s="17">
        <f>J114-P114-T114</f>
      </c>
      <c r="V114" s="12"/>
      <c r="W114" s="14"/>
      <c r="X114" s="14"/>
      <c r="Y114" s="29"/>
      <c r="Z114" s="34"/>
    </row>
    <row x14ac:dyDescent="0.25" r="115" customHeight="1" ht="15.75">
      <c r="A115" s="12">
        <v>45834</v>
      </c>
      <c r="B115" s="14" t="s">
        <v>475</v>
      </c>
      <c r="C115" s="14" t="s">
        <v>3949</v>
      </c>
      <c r="D115" s="14" t="s">
        <v>508</v>
      </c>
      <c r="E115" s="14" t="s">
        <v>3957</v>
      </c>
      <c r="F115" s="14" t="s">
        <v>3958</v>
      </c>
      <c r="G115" s="14" t="s">
        <v>3959</v>
      </c>
      <c r="H115" s="14" t="s">
        <v>26</v>
      </c>
      <c r="I115" s="17"/>
      <c r="J115" s="17">
        <v>235920</v>
      </c>
      <c r="K115" s="17">
        <v>175000</v>
      </c>
      <c r="L115" s="17">
        <f>J115-K115</f>
      </c>
      <c r="M115" s="14" t="s">
        <v>475</v>
      </c>
      <c r="N115" s="14" t="s">
        <v>3960</v>
      </c>
      <c r="O115" s="65"/>
      <c r="P115" s="17"/>
      <c r="Q115" s="17"/>
      <c r="R115" s="17"/>
      <c r="S115" s="17"/>
      <c r="T115" s="17">
        <v>235920</v>
      </c>
      <c r="U115" s="17">
        <f>J115-P115-T115</f>
      </c>
      <c r="V115" s="12">
        <v>45870</v>
      </c>
      <c r="W115" s="14" t="s">
        <v>1718</v>
      </c>
      <c r="X115" s="14"/>
      <c r="Y115" s="29"/>
      <c r="Z115" s="34"/>
    </row>
    <row x14ac:dyDescent="0.25" r="116" customHeight="1" ht="15.75">
      <c r="A116" s="12">
        <v>45834</v>
      </c>
      <c r="B116" s="14" t="s">
        <v>111</v>
      </c>
      <c r="C116" s="14" t="s">
        <v>3961</v>
      </c>
      <c r="D116" s="14" t="s">
        <v>3059</v>
      </c>
      <c r="E116" s="14" t="s">
        <v>3962</v>
      </c>
      <c r="F116" s="14" t="s">
        <v>548</v>
      </c>
      <c r="G116" s="14" t="s">
        <v>3831</v>
      </c>
      <c r="H116" s="14" t="s">
        <v>26</v>
      </c>
      <c r="I116" s="17">
        <v>90600</v>
      </c>
      <c r="J116" s="17">
        <v>261920</v>
      </c>
      <c r="K116" s="17">
        <v>177400</v>
      </c>
      <c r="L116" s="17">
        <f>J116-K116</f>
      </c>
      <c r="M116" s="14" t="s">
        <v>50</v>
      </c>
      <c r="N116" s="14" t="s">
        <v>3963</v>
      </c>
      <c r="O116" s="17">
        <v>1</v>
      </c>
      <c r="P116" s="17"/>
      <c r="Q116" s="17"/>
      <c r="R116" s="17"/>
      <c r="S116" s="17"/>
      <c r="T116" s="65"/>
      <c r="U116" s="17">
        <f>J116-P116-T116</f>
      </c>
      <c r="V116" s="12"/>
      <c r="W116" s="14"/>
      <c r="X116" s="14"/>
      <c r="Y116" s="29"/>
      <c r="Z116" s="34"/>
    </row>
    <row x14ac:dyDescent="0.25" r="117" customHeight="1" ht="15.75">
      <c r="A117" s="12">
        <v>45834</v>
      </c>
      <c r="B117" s="14" t="s">
        <v>111</v>
      </c>
      <c r="C117" s="14" t="s">
        <v>3961</v>
      </c>
      <c r="D117" s="14" t="s">
        <v>3059</v>
      </c>
      <c r="E117" s="14" t="s">
        <v>3962</v>
      </c>
      <c r="F117" s="14" t="s">
        <v>548</v>
      </c>
      <c r="G117" s="14" t="s">
        <v>3952</v>
      </c>
      <c r="H117" s="14" t="s">
        <v>26</v>
      </c>
      <c r="I117" s="17">
        <v>90600</v>
      </c>
      <c r="J117" s="17">
        <v>261920</v>
      </c>
      <c r="K117" s="17">
        <v>177400</v>
      </c>
      <c r="L117" s="17">
        <f>J117-K117</f>
      </c>
      <c r="M117" s="14" t="s">
        <v>50</v>
      </c>
      <c r="N117" s="14" t="s">
        <v>3964</v>
      </c>
      <c r="O117" s="17">
        <v>1</v>
      </c>
      <c r="P117" s="17"/>
      <c r="Q117" s="17"/>
      <c r="R117" s="17"/>
      <c r="S117" s="17"/>
      <c r="T117" s="65"/>
      <c r="U117" s="17">
        <f>J117-P117-T117</f>
      </c>
      <c r="V117" s="12"/>
      <c r="W117" s="14"/>
      <c r="X117" s="14"/>
      <c r="Y117" s="29"/>
      <c r="Z117" s="34"/>
    </row>
    <row x14ac:dyDescent="0.25" r="118" customHeight="1" ht="15.75">
      <c r="A118" s="12">
        <v>45834</v>
      </c>
      <c r="B118" s="14" t="s">
        <v>53</v>
      </c>
      <c r="C118" s="14" t="s">
        <v>3965</v>
      </c>
      <c r="D118" s="14" t="s">
        <v>237</v>
      </c>
      <c r="E118" s="14" t="s">
        <v>3966</v>
      </c>
      <c r="F118" s="14" t="s">
        <v>162</v>
      </c>
      <c r="G118" s="14" t="s">
        <v>238</v>
      </c>
      <c r="H118" s="14" t="s">
        <v>26</v>
      </c>
      <c r="I118" s="17"/>
      <c r="J118" s="17">
        <v>1888600</v>
      </c>
      <c r="K118" s="17">
        <v>1820400</v>
      </c>
      <c r="L118" s="17">
        <f>J118-K118</f>
      </c>
      <c r="M118" s="14" t="s">
        <v>187</v>
      </c>
      <c r="N118" s="14" t="s">
        <v>3967</v>
      </c>
      <c r="O118" s="65" t="s">
        <v>3968</v>
      </c>
      <c r="P118" s="17"/>
      <c r="Q118" s="17"/>
      <c r="R118" s="17"/>
      <c r="S118" s="17"/>
      <c r="T118" s="65"/>
      <c r="U118" s="17">
        <f>J118-P118-T118</f>
      </c>
      <c r="V118" s="12"/>
      <c r="W118" s="14"/>
      <c r="X118" s="14"/>
      <c r="Y118" s="29"/>
      <c r="Z118" s="34"/>
    </row>
    <row x14ac:dyDescent="0.25" r="119" customHeight="1" ht="15.75">
      <c r="A119" s="12">
        <v>45834</v>
      </c>
      <c r="B119" s="14" t="s">
        <v>111</v>
      </c>
      <c r="C119" s="14" t="s">
        <v>3969</v>
      </c>
      <c r="D119" s="14" t="s">
        <v>1267</v>
      </c>
      <c r="E119" s="14" t="s">
        <v>3970</v>
      </c>
      <c r="F119" s="14" t="s">
        <v>3971</v>
      </c>
      <c r="G119" s="14" t="s">
        <v>3972</v>
      </c>
      <c r="H119" s="14" t="s">
        <v>26</v>
      </c>
      <c r="I119" s="17">
        <v>153900</v>
      </c>
      <c r="J119" s="17">
        <v>411920</v>
      </c>
      <c r="K119" s="17">
        <v>400520</v>
      </c>
      <c r="L119" s="17">
        <f>J119-K119</f>
      </c>
      <c r="M119" s="14" t="s">
        <v>50</v>
      </c>
      <c r="N119" s="14" t="s">
        <v>3973</v>
      </c>
      <c r="O119" s="17">
        <v>2</v>
      </c>
      <c r="P119" s="17"/>
      <c r="Q119" s="17"/>
      <c r="R119" s="17"/>
      <c r="S119" s="17"/>
      <c r="T119" s="17">
        <v>411920</v>
      </c>
      <c r="U119" s="17">
        <f>J119-P119-T119</f>
      </c>
      <c r="V119" s="12">
        <v>45834</v>
      </c>
      <c r="W119" s="14" t="s">
        <v>1718</v>
      </c>
      <c r="X119" s="14"/>
      <c r="Y119" s="29"/>
      <c r="Z119" s="34"/>
    </row>
    <row x14ac:dyDescent="0.25" r="120" customHeight="1" ht="15.75">
      <c r="A120" s="12">
        <v>45834</v>
      </c>
      <c r="B120" s="14" t="s">
        <v>46</v>
      </c>
      <c r="C120" s="14" t="s">
        <v>3974</v>
      </c>
      <c r="D120" s="14" t="s">
        <v>3521</v>
      </c>
      <c r="E120" s="14" t="s">
        <v>3975</v>
      </c>
      <c r="F120" s="14" t="s">
        <v>3887</v>
      </c>
      <c r="G120" s="14" t="s">
        <v>3976</v>
      </c>
      <c r="H120" s="14" t="s">
        <v>26</v>
      </c>
      <c r="I120" s="17"/>
      <c r="J120" s="17">
        <v>231920</v>
      </c>
      <c r="K120" s="17">
        <v>131200</v>
      </c>
      <c r="L120" s="17">
        <f>J120-K120</f>
      </c>
      <c r="M120" s="14" t="s">
        <v>50</v>
      </c>
      <c r="N120" s="14" t="s">
        <v>3977</v>
      </c>
      <c r="O120" s="65" t="s">
        <v>251</v>
      </c>
      <c r="P120" s="17"/>
      <c r="Q120" s="17"/>
      <c r="R120" s="17"/>
      <c r="S120" s="17"/>
      <c r="T120" s="17">
        <v>231920</v>
      </c>
      <c r="U120" s="17">
        <f>J120-P120-T120</f>
      </c>
      <c r="V120" s="12">
        <v>45835</v>
      </c>
      <c r="W120" s="14" t="s">
        <v>1718</v>
      </c>
      <c r="X120" s="14"/>
      <c r="Y120" s="29"/>
      <c r="Z120" s="34"/>
    </row>
    <row x14ac:dyDescent="0.25" r="121" customHeight="1" ht="15.75">
      <c r="A121" s="12">
        <v>45834</v>
      </c>
      <c r="B121" s="14" t="s">
        <v>475</v>
      </c>
      <c r="C121" s="14" t="s">
        <v>3974</v>
      </c>
      <c r="D121" s="14" t="s">
        <v>485</v>
      </c>
      <c r="E121" s="14" t="s">
        <v>3978</v>
      </c>
      <c r="F121" s="14" t="s">
        <v>3958</v>
      </c>
      <c r="G121" s="14" t="s">
        <v>3959</v>
      </c>
      <c r="H121" s="14" t="s">
        <v>26</v>
      </c>
      <c r="I121" s="17"/>
      <c r="J121" s="17">
        <v>235920</v>
      </c>
      <c r="K121" s="17">
        <v>177000</v>
      </c>
      <c r="L121" s="17">
        <f>J121-K121</f>
      </c>
      <c r="M121" s="14" t="s">
        <v>475</v>
      </c>
      <c r="N121" s="14" t="s">
        <v>3979</v>
      </c>
      <c r="O121" s="65"/>
      <c r="P121" s="17"/>
      <c r="Q121" s="17"/>
      <c r="R121" s="17"/>
      <c r="S121" s="17"/>
      <c r="T121" s="17">
        <v>235920</v>
      </c>
      <c r="U121" s="17">
        <f>J121-P121-T121</f>
      </c>
      <c r="V121" s="12">
        <v>45870</v>
      </c>
      <c r="W121" s="14" t="s">
        <v>1718</v>
      </c>
      <c r="X121" s="14"/>
      <c r="Y121" s="29"/>
      <c r="Z121" s="34"/>
    </row>
    <row x14ac:dyDescent="0.25" r="122" customHeight="1" ht="15.75">
      <c r="A122" s="12">
        <v>45834</v>
      </c>
      <c r="B122" s="14" t="s">
        <v>22</v>
      </c>
      <c r="C122" s="14" t="s">
        <v>3961</v>
      </c>
      <c r="D122" s="14" t="s">
        <v>485</v>
      </c>
      <c r="E122" s="14" t="s">
        <v>3980</v>
      </c>
      <c r="F122" s="14" t="s">
        <v>548</v>
      </c>
      <c r="G122" s="14" t="s">
        <v>142</v>
      </c>
      <c r="H122" s="14" t="s">
        <v>26</v>
      </c>
      <c r="I122" s="17"/>
      <c r="J122" s="17">
        <v>247920</v>
      </c>
      <c r="K122" s="17">
        <v>195400</v>
      </c>
      <c r="L122" s="17">
        <f>J122-K122</f>
      </c>
      <c r="M122" s="14" t="s">
        <v>22</v>
      </c>
      <c r="N122" s="14" t="s">
        <v>3981</v>
      </c>
      <c r="O122" s="65"/>
      <c r="P122" s="17"/>
      <c r="Q122" s="17"/>
      <c r="R122" s="17"/>
      <c r="S122" s="17"/>
      <c r="T122" s="65"/>
      <c r="U122" s="17">
        <f>J122-P122-T122</f>
      </c>
      <c r="V122" s="12"/>
      <c r="W122" s="14"/>
      <c r="X122" s="14"/>
      <c r="Y122" s="29"/>
      <c r="Z122" s="34"/>
    </row>
    <row x14ac:dyDescent="0.25" r="123" customHeight="1" ht="15.75">
      <c r="A123" s="12">
        <v>45834</v>
      </c>
      <c r="B123" s="14" t="s">
        <v>106</v>
      </c>
      <c r="C123" s="14" t="s">
        <v>1089</v>
      </c>
      <c r="D123" s="14" t="s">
        <v>1507</v>
      </c>
      <c r="E123" s="14" t="s">
        <v>3982</v>
      </c>
      <c r="F123" s="14" t="s">
        <v>242</v>
      </c>
      <c r="G123" s="14" t="s">
        <v>3983</v>
      </c>
      <c r="H123" s="14" t="s">
        <v>26</v>
      </c>
      <c r="I123" s="17"/>
      <c r="J123" s="17">
        <v>825820</v>
      </c>
      <c r="K123" s="17">
        <v>775820</v>
      </c>
      <c r="L123" s="17">
        <f>J123-K123</f>
      </c>
      <c r="M123" s="14" t="s">
        <v>187</v>
      </c>
      <c r="N123" s="14" t="s">
        <v>3984</v>
      </c>
      <c r="O123" s="65"/>
      <c r="P123" s="17"/>
      <c r="Q123" s="17"/>
      <c r="R123" s="17"/>
      <c r="S123" s="17"/>
      <c r="T123" s="17">
        <v>826000</v>
      </c>
      <c r="U123" s="17">
        <f>J123-P123-T123</f>
      </c>
      <c r="V123" s="12">
        <v>45861</v>
      </c>
      <c r="W123" s="14" t="s">
        <v>1718</v>
      </c>
      <c r="X123" s="14"/>
      <c r="Y123" s="29"/>
      <c r="Z123" s="34"/>
    </row>
    <row x14ac:dyDescent="0.25" r="124" customHeight="1" ht="30.75">
      <c r="A124" s="12">
        <v>45834</v>
      </c>
      <c r="B124" s="14" t="s">
        <v>53</v>
      </c>
      <c r="C124" s="14" t="s">
        <v>3985</v>
      </c>
      <c r="D124" s="14" t="s">
        <v>118</v>
      </c>
      <c r="E124" s="14" t="s">
        <v>3986</v>
      </c>
      <c r="F124" s="14" t="s">
        <v>2012</v>
      </c>
      <c r="G124" s="14" t="s">
        <v>2013</v>
      </c>
      <c r="H124" s="14" t="s">
        <v>26</v>
      </c>
      <c r="I124" s="17"/>
      <c r="J124" s="17">
        <v>1460900</v>
      </c>
      <c r="K124" s="17">
        <v>1372120</v>
      </c>
      <c r="L124" s="17">
        <f>J124-K124</f>
      </c>
      <c r="M124" s="14" t="s">
        <v>50</v>
      </c>
      <c r="N124" s="14" t="s">
        <v>3987</v>
      </c>
      <c r="O124" s="17">
        <v>6</v>
      </c>
      <c r="P124" s="17">
        <v>460900</v>
      </c>
      <c r="Q124" s="17"/>
      <c r="R124" s="17"/>
      <c r="S124" s="17"/>
      <c r="T124" s="17">
        <v>1000000</v>
      </c>
      <c r="U124" s="17">
        <f>J124-P124-T124</f>
      </c>
      <c r="V124" s="175" t="s">
        <v>3988</v>
      </c>
      <c r="W124" s="14" t="s">
        <v>2216</v>
      </c>
      <c r="X124" s="14" t="s">
        <v>3884</v>
      </c>
      <c r="Y124" s="29"/>
      <c r="Z124" s="34"/>
    </row>
    <row x14ac:dyDescent="0.25" r="125" customHeight="1" ht="15.75">
      <c r="A125" s="12">
        <v>45835</v>
      </c>
      <c r="B125" s="14" t="s">
        <v>82</v>
      </c>
      <c r="C125" s="14" t="s">
        <v>3989</v>
      </c>
      <c r="D125" s="14" t="s">
        <v>83</v>
      </c>
      <c r="E125" s="14"/>
      <c r="F125" s="14" t="s">
        <v>84</v>
      </c>
      <c r="G125" s="14" t="s">
        <v>85</v>
      </c>
      <c r="H125" s="14" t="s">
        <v>26</v>
      </c>
      <c r="I125" s="17"/>
      <c r="J125" s="17">
        <v>126500</v>
      </c>
      <c r="K125" s="17">
        <v>89340</v>
      </c>
      <c r="L125" s="17">
        <f>J125-K125</f>
      </c>
      <c r="M125" s="14" t="s">
        <v>86</v>
      </c>
      <c r="N125" s="14" t="s">
        <v>3990</v>
      </c>
      <c r="O125" s="65"/>
      <c r="P125" s="17"/>
      <c r="Q125" s="17"/>
      <c r="R125" s="17"/>
      <c r="S125" s="17"/>
      <c r="T125" s="65"/>
      <c r="U125" s="17">
        <f>J125-P125-T125</f>
      </c>
      <c r="V125" s="12"/>
      <c r="W125" s="14"/>
      <c r="X125" s="14"/>
      <c r="Y125" s="29"/>
      <c r="Z125" s="34"/>
    </row>
    <row x14ac:dyDescent="0.25" r="126" customHeight="1" ht="15.75">
      <c r="A126" s="12">
        <v>45835</v>
      </c>
      <c r="B126" s="14" t="s">
        <v>46</v>
      </c>
      <c r="C126" s="14" t="s">
        <v>2988</v>
      </c>
      <c r="D126" s="14" t="s">
        <v>2989</v>
      </c>
      <c r="E126" s="14" t="s">
        <v>3991</v>
      </c>
      <c r="F126" s="14" t="s">
        <v>3992</v>
      </c>
      <c r="G126" s="14" t="s">
        <v>3993</v>
      </c>
      <c r="H126" s="14" t="s">
        <v>26</v>
      </c>
      <c r="I126" s="17"/>
      <c r="J126" s="17">
        <v>278200</v>
      </c>
      <c r="K126" s="17">
        <v>261200</v>
      </c>
      <c r="L126" s="17">
        <f>J126-K126</f>
      </c>
      <c r="M126" s="14" t="s">
        <v>46</v>
      </c>
      <c r="N126" s="14" t="s">
        <v>3994</v>
      </c>
      <c r="O126" s="65" t="s">
        <v>251</v>
      </c>
      <c r="P126" s="17"/>
      <c r="Q126" s="17"/>
      <c r="R126" s="17"/>
      <c r="S126" s="17"/>
      <c r="T126" s="17">
        <v>278200</v>
      </c>
      <c r="U126" s="17">
        <f>J126-P126-T126</f>
      </c>
      <c r="V126" s="12">
        <v>45840</v>
      </c>
      <c r="W126" s="14" t="s">
        <v>1718</v>
      </c>
      <c r="X126" s="14"/>
      <c r="Y126" s="29"/>
      <c r="Z126" s="34"/>
    </row>
    <row x14ac:dyDescent="0.25" r="127" customHeight="1" ht="15.75">
      <c r="A127" s="12">
        <v>45835</v>
      </c>
      <c r="B127" s="14" t="s">
        <v>46</v>
      </c>
      <c r="C127" s="14" t="s">
        <v>3995</v>
      </c>
      <c r="D127" s="14" t="s">
        <v>2989</v>
      </c>
      <c r="E127" s="14" t="s">
        <v>3996</v>
      </c>
      <c r="F127" s="14" t="s">
        <v>3992</v>
      </c>
      <c r="G127" s="14" t="s">
        <v>3997</v>
      </c>
      <c r="H127" s="14" t="s">
        <v>26</v>
      </c>
      <c r="I127" s="17"/>
      <c r="J127" s="17">
        <v>274300</v>
      </c>
      <c r="K127" s="17">
        <v>254300</v>
      </c>
      <c r="L127" s="17">
        <f>J127-K127</f>
      </c>
      <c r="M127" s="14" t="s">
        <v>46</v>
      </c>
      <c r="N127" s="14" t="s">
        <v>3998</v>
      </c>
      <c r="O127" s="65" t="s">
        <v>251</v>
      </c>
      <c r="P127" s="17"/>
      <c r="Q127" s="17"/>
      <c r="R127" s="17"/>
      <c r="S127" s="17"/>
      <c r="T127" s="17">
        <v>274300</v>
      </c>
      <c r="U127" s="17">
        <f>J127-P127-T127</f>
      </c>
      <c r="V127" s="12">
        <v>45840</v>
      </c>
      <c r="W127" s="14" t="s">
        <v>1718</v>
      </c>
      <c r="X127" s="14"/>
      <c r="Y127" s="29"/>
      <c r="Z127" s="34"/>
    </row>
    <row x14ac:dyDescent="0.25" r="128" customHeight="1" ht="15.75">
      <c r="A128" s="12">
        <v>45835</v>
      </c>
      <c r="B128" s="14" t="s">
        <v>72</v>
      </c>
      <c r="C128" s="14" t="s">
        <v>3999</v>
      </c>
      <c r="D128" s="14" t="s">
        <v>4000</v>
      </c>
      <c r="E128" s="14" t="s">
        <v>4001</v>
      </c>
      <c r="F128" s="14" t="s">
        <v>4002</v>
      </c>
      <c r="G128" s="14" t="s">
        <v>4003</v>
      </c>
      <c r="H128" s="14" t="s">
        <v>26</v>
      </c>
      <c r="I128" s="17">
        <v>156600</v>
      </c>
      <c r="J128" s="17">
        <v>520820</v>
      </c>
      <c r="K128" s="17">
        <v>490220</v>
      </c>
      <c r="L128" s="17">
        <f>J128-K128</f>
      </c>
      <c r="M128" s="14" t="s">
        <v>50</v>
      </c>
      <c r="N128" s="14" t="s">
        <v>4004</v>
      </c>
      <c r="O128" s="17">
        <v>4</v>
      </c>
      <c r="P128" s="17"/>
      <c r="Q128" s="17"/>
      <c r="R128" s="17"/>
      <c r="S128" s="17"/>
      <c r="T128" s="17">
        <v>520820</v>
      </c>
      <c r="U128" s="17">
        <f>J128-P128-T128</f>
      </c>
      <c r="V128" s="12">
        <v>45835</v>
      </c>
      <c r="W128" s="14" t="s">
        <v>1718</v>
      </c>
      <c r="X128" s="14"/>
      <c r="Y128" s="29"/>
      <c r="Z128" s="34"/>
    </row>
    <row x14ac:dyDescent="0.25" r="129" customHeight="1" ht="15.75">
      <c r="A129" s="12">
        <v>45835</v>
      </c>
      <c r="B129" s="14" t="s">
        <v>72</v>
      </c>
      <c r="C129" s="14" t="s">
        <v>3999</v>
      </c>
      <c r="D129" s="14" t="s">
        <v>4000</v>
      </c>
      <c r="E129" s="14" t="s">
        <v>4001</v>
      </c>
      <c r="F129" s="14" t="s">
        <v>4002</v>
      </c>
      <c r="G129" s="14" t="s">
        <v>4005</v>
      </c>
      <c r="H129" s="14" t="s">
        <v>26</v>
      </c>
      <c r="I129" s="17">
        <v>117500</v>
      </c>
      <c r="J129" s="17">
        <v>481320</v>
      </c>
      <c r="K129" s="17">
        <v>451120</v>
      </c>
      <c r="L129" s="17">
        <f>J129-K129</f>
      </c>
      <c r="M129" s="14" t="s">
        <v>50</v>
      </c>
      <c r="N129" s="14" t="s">
        <v>4006</v>
      </c>
      <c r="O129" s="17">
        <v>4</v>
      </c>
      <c r="P129" s="17"/>
      <c r="Q129" s="17"/>
      <c r="R129" s="17"/>
      <c r="S129" s="17"/>
      <c r="T129" s="17">
        <v>481320</v>
      </c>
      <c r="U129" s="17">
        <f>J129-P129-T129</f>
      </c>
      <c r="V129" s="12">
        <v>45835</v>
      </c>
      <c r="W129" s="14" t="s">
        <v>1718</v>
      </c>
      <c r="X129" s="14"/>
      <c r="Y129" s="29"/>
      <c r="Z129" s="34"/>
    </row>
    <row x14ac:dyDescent="0.25" r="130" customHeight="1" ht="15.75">
      <c r="A130" s="12">
        <v>45835</v>
      </c>
      <c r="B130" s="14" t="s">
        <v>72</v>
      </c>
      <c r="C130" s="14" t="s">
        <v>3999</v>
      </c>
      <c r="D130" s="14" t="s">
        <v>4000</v>
      </c>
      <c r="E130" s="14" t="s">
        <v>4001</v>
      </c>
      <c r="F130" s="14" t="s">
        <v>4002</v>
      </c>
      <c r="G130" s="14" t="s">
        <v>4007</v>
      </c>
      <c r="H130" s="14" t="s">
        <v>26</v>
      </c>
      <c r="I130" s="17">
        <v>117500</v>
      </c>
      <c r="J130" s="17">
        <v>481320</v>
      </c>
      <c r="K130" s="17">
        <v>451120</v>
      </c>
      <c r="L130" s="17">
        <f>J130-K130</f>
      </c>
      <c r="M130" s="14" t="s">
        <v>50</v>
      </c>
      <c r="N130" s="14" t="s">
        <v>4008</v>
      </c>
      <c r="O130" s="17">
        <v>4</v>
      </c>
      <c r="P130" s="17"/>
      <c r="Q130" s="17"/>
      <c r="R130" s="17"/>
      <c r="S130" s="17"/>
      <c r="T130" s="17">
        <v>481320</v>
      </c>
      <c r="U130" s="17">
        <f>J130-P130-T130</f>
      </c>
      <c r="V130" s="12">
        <v>45835</v>
      </c>
      <c r="W130" s="14" t="s">
        <v>1718</v>
      </c>
      <c r="X130" s="14"/>
      <c r="Y130" s="29"/>
      <c r="Z130" s="34"/>
    </row>
    <row x14ac:dyDescent="0.25" r="131" customHeight="1" ht="15.75">
      <c r="A131" s="12">
        <v>45835</v>
      </c>
      <c r="B131" s="14" t="s">
        <v>72</v>
      </c>
      <c r="C131" s="14" t="s">
        <v>3999</v>
      </c>
      <c r="D131" s="14" t="s">
        <v>4000</v>
      </c>
      <c r="E131" s="14" t="s">
        <v>4001</v>
      </c>
      <c r="F131" s="14" t="s">
        <v>4002</v>
      </c>
      <c r="G131" s="14" t="s">
        <v>4009</v>
      </c>
      <c r="H131" s="14" t="s">
        <v>26</v>
      </c>
      <c r="I131" s="17">
        <v>156600</v>
      </c>
      <c r="J131" s="17">
        <v>520820</v>
      </c>
      <c r="K131" s="17">
        <v>490220</v>
      </c>
      <c r="L131" s="17">
        <f>J131-K131</f>
      </c>
      <c r="M131" s="14" t="s">
        <v>50</v>
      </c>
      <c r="N131" s="14" t="s">
        <v>4010</v>
      </c>
      <c r="O131" s="17">
        <v>4</v>
      </c>
      <c r="P131" s="17"/>
      <c r="Q131" s="17"/>
      <c r="R131" s="17"/>
      <c r="S131" s="17"/>
      <c r="T131" s="17">
        <v>520820</v>
      </c>
      <c r="U131" s="17">
        <f>J131-P131-T131</f>
      </c>
      <c r="V131" s="12">
        <v>45835</v>
      </c>
      <c r="W131" s="14" t="s">
        <v>1718</v>
      </c>
      <c r="X131" s="14"/>
      <c r="Y131" s="29"/>
      <c r="Z131" s="34"/>
    </row>
    <row x14ac:dyDescent="0.25" r="132" customHeight="1" ht="15.75">
      <c r="A132" s="12">
        <v>45836</v>
      </c>
      <c r="B132" s="14" t="s">
        <v>72</v>
      </c>
      <c r="C132" s="14" t="s">
        <v>4011</v>
      </c>
      <c r="D132" s="14" t="s">
        <v>833</v>
      </c>
      <c r="E132" s="14" t="s">
        <v>4012</v>
      </c>
      <c r="F132" s="14" t="s">
        <v>4013</v>
      </c>
      <c r="G132" s="14" t="s">
        <v>4014</v>
      </c>
      <c r="H132" s="14" t="s">
        <v>76</v>
      </c>
      <c r="I132" s="17"/>
      <c r="J132" s="17">
        <v>360900</v>
      </c>
      <c r="K132" s="17">
        <v>332120</v>
      </c>
      <c r="L132" s="17">
        <f>J132-K132</f>
      </c>
      <c r="M132" s="14" t="s">
        <v>187</v>
      </c>
      <c r="N132" s="14" t="s">
        <v>4015</v>
      </c>
      <c r="O132" s="65"/>
      <c r="P132" s="17"/>
      <c r="Q132" s="17"/>
      <c r="R132" s="17"/>
      <c r="S132" s="17"/>
      <c r="T132" s="17">
        <v>360900</v>
      </c>
      <c r="U132" s="17">
        <f>J132-P132-T132</f>
      </c>
      <c r="V132" s="12">
        <v>45838</v>
      </c>
      <c r="W132" s="14" t="s">
        <v>1718</v>
      </c>
      <c r="X132" s="14"/>
      <c r="Y132" s="29"/>
      <c r="Z132" s="34"/>
    </row>
    <row x14ac:dyDescent="0.25" r="133" customHeight="1" ht="15.75">
      <c r="A133" s="12">
        <v>45836</v>
      </c>
      <c r="B133" s="14" t="s">
        <v>46</v>
      </c>
      <c r="C133" s="14" t="s">
        <v>3974</v>
      </c>
      <c r="D133" s="14" t="s">
        <v>932</v>
      </c>
      <c r="E133" s="14" t="s">
        <v>4016</v>
      </c>
      <c r="F133" s="14" t="s">
        <v>4017</v>
      </c>
      <c r="G133" s="14" t="s">
        <v>1076</v>
      </c>
      <c r="H133" s="14" t="s">
        <v>76</v>
      </c>
      <c r="I133" s="17"/>
      <c r="J133" s="17">
        <v>458900</v>
      </c>
      <c r="K133" s="17">
        <v>428900</v>
      </c>
      <c r="L133" s="17">
        <f>J133-K133</f>
      </c>
      <c r="M133" s="14" t="s">
        <v>3045</v>
      </c>
      <c r="N133" s="14" t="s">
        <v>4018</v>
      </c>
      <c r="O133" s="65" t="s">
        <v>251</v>
      </c>
      <c r="P133" s="17"/>
      <c r="Q133" s="17"/>
      <c r="R133" s="17"/>
      <c r="S133" s="17"/>
      <c r="T133" s="17">
        <v>458900</v>
      </c>
      <c r="U133" s="17">
        <f>J133-P133-T133</f>
      </c>
      <c r="V133" s="12">
        <v>45838</v>
      </c>
      <c r="W133" s="14" t="s">
        <v>1718</v>
      </c>
      <c r="X133" s="14"/>
      <c r="Y133" s="29"/>
      <c r="Z133" s="34"/>
    </row>
    <row x14ac:dyDescent="0.25" r="134" customHeight="1" ht="18.75">
      <c r="A134" s="12">
        <v>45836</v>
      </c>
      <c r="B134" s="14" t="s">
        <v>53</v>
      </c>
      <c r="C134" s="14" t="s">
        <v>4019</v>
      </c>
      <c r="D134" s="14" t="s">
        <v>54</v>
      </c>
      <c r="E134" s="14" t="s">
        <v>4020</v>
      </c>
      <c r="F134" s="14" t="s">
        <v>4021</v>
      </c>
      <c r="G134" s="231" t="s">
        <v>4022</v>
      </c>
      <c r="H134" s="14" t="s">
        <v>26</v>
      </c>
      <c r="I134" s="17"/>
      <c r="J134" s="17">
        <v>719900</v>
      </c>
      <c r="K134" s="269">
        <v>683520</v>
      </c>
      <c r="L134" s="17">
        <f>J134-K134</f>
      </c>
      <c r="M134" s="14" t="s">
        <v>137</v>
      </c>
      <c r="N134" s="14" t="s">
        <v>4023</v>
      </c>
      <c r="O134" s="65"/>
      <c r="P134" s="17">
        <v>700000</v>
      </c>
      <c r="Q134" s="17"/>
      <c r="R134" s="17"/>
      <c r="S134" s="17"/>
      <c r="T134" s="65"/>
      <c r="U134" s="17">
        <f>J134-P134-T134</f>
      </c>
      <c r="V134" s="12">
        <v>45898</v>
      </c>
      <c r="W134" s="14" t="s">
        <v>1718</v>
      </c>
      <c r="X134" s="14"/>
      <c r="Y134" s="29"/>
      <c r="Z134" s="34"/>
    </row>
    <row x14ac:dyDescent="0.25" r="135" customHeight="1" ht="15.75">
      <c r="A135" s="12">
        <v>45836</v>
      </c>
      <c r="B135" s="9" t="s">
        <v>46</v>
      </c>
      <c r="C135" s="14" t="s">
        <v>3204</v>
      </c>
      <c r="D135" s="14" t="s">
        <v>54</v>
      </c>
      <c r="E135" s="14" t="s">
        <v>4024</v>
      </c>
      <c r="F135" s="14" t="s">
        <v>194</v>
      </c>
      <c r="G135" s="14" t="s">
        <v>4025</v>
      </c>
      <c r="H135" s="14" t="s">
        <v>26</v>
      </c>
      <c r="I135" s="17">
        <v>1385300</v>
      </c>
      <c r="J135" s="17">
        <v>2272920</v>
      </c>
      <c r="K135" s="17">
        <v>2222820</v>
      </c>
      <c r="L135" s="17">
        <f>J135-K135</f>
      </c>
      <c r="M135" s="14" t="s">
        <v>50</v>
      </c>
      <c r="N135" s="14" t="s">
        <v>4026</v>
      </c>
      <c r="O135" s="17">
        <v>2</v>
      </c>
      <c r="P135" s="65"/>
      <c r="Q135" s="65"/>
      <c r="R135" s="65"/>
      <c r="S135" s="65"/>
      <c r="T135" s="17">
        <v>2272920</v>
      </c>
      <c r="U135" s="17">
        <f>J135-P135-T135</f>
      </c>
      <c r="V135" s="12">
        <v>45873</v>
      </c>
      <c r="W135" s="3" t="s">
        <v>2122</v>
      </c>
      <c r="X135" s="14"/>
      <c r="Y135" s="29"/>
      <c r="Z135" s="34"/>
    </row>
    <row x14ac:dyDescent="0.25" r="136" customHeight="1" ht="15.75">
      <c r="A136" s="12">
        <v>45836</v>
      </c>
      <c r="B136" s="9" t="s">
        <v>46</v>
      </c>
      <c r="C136" s="14" t="s">
        <v>4027</v>
      </c>
      <c r="D136" s="14" t="s">
        <v>54</v>
      </c>
      <c r="E136" s="14" t="s">
        <v>4028</v>
      </c>
      <c r="F136" s="14" t="s">
        <v>194</v>
      </c>
      <c r="G136" s="14" t="s">
        <v>4025</v>
      </c>
      <c r="H136" s="14" t="s">
        <v>26</v>
      </c>
      <c r="I136" s="17">
        <v>1385300</v>
      </c>
      <c r="J136" s="17">
        <v>2272920</v>
      </c>
      <c r="K136" s="17">
        <v>2222820</v>
      </c>
      <c r="L136" s="17">
        <f>J136-K136</f>
      </c>
      <c r="M136" s="14" t="s">
        <v>50</v>
      </c>
      <c r="N136" s="14" t="s">
        <v>4029</v>
      </c>
      <c r="O136" s="17">
        <v>2</v>
      </c>
      <c r="P136" s="65"/>
      <c r="Q136" s="65"/>
      <c r="R136" s="65"/>
      <c r="S136" s="65"/>
      <c r="T136" s="17">
        <v>2272920</v>
      </c>
      <c r="U136" s="17">
        <f>J136-P136-T136</f>
      </c>
      <c r="V136" s="12">
        <v>45873</v>
      </c>
      <c r="W136" s="3" t="s">
        <v>2122</v>
      </c>
      <c r="X136" s="14"/>
      <c r="Y136" s="29"/>
      <c r="Z136" s="34"/>
    </row>
    <row x14ac:dyDescent="0.25" r="137" customHeight="1" ht="15.75">
      <c r="A137" s="12">
        <v>45836</v>
      </c>
      <c r="B137" s="14" t="s">
        <v>111</v>
      </c>
      <c r="C137" s="14" t="s">
        <v>4030</v>
      </c>
      <c r="D137" s="14" t="s">
        <v>189</v>
      </c>
      <c r="E137" s="30"/>
      <c r="F137" s="14" t="s">
        <v>84</v>
      </c>
      <c r="G137" s="14" t="s">
        <v>4031</v>
      </c>
      <c r="H137" s="14" t="s">
        <v>26</v>
      </c>
      <c r="I137" s="17">
        <v>161800</v>
      </c>
      <c r="J137" s="17">
        <v>634920</v>
      </c>
      <c r="K137" s="17">
        <v>492955</v>
      </c>
      <c r="L137" s="17">
        <f>J137-K137</f>
      </c>
      <c r="M137" s="14" t="s">
        <v>50</v>
      </c>
      <c r="N137" s="14" t="s">
        <v>4032</v>
      </c>
      <c r="O137" s="17">
        <v>2</v>
      </c>
      <c r="P137" s="65"/>
      <c r="Q137" s="65"/>
      <c r="R137" s="65"/>
      <c r="S137" s="65"/>
      <c r="T137" s="17">
        <v>634920</v>
      </c>
      <c r="U137" s="17">
        <f>J137-P137-T137</f>
      </c>
      <c r="V137" s="12">
        <v>45880</v>
      </c>
      <c r="W137" s="14" t="s">
        <v>2122</v>
      </c>
      <c r="X137" s="14"/>
      <c r="Y137" s="29"/>
      <c r="Z137" s="34"/>
    </row>
    <row x14ac:dyDescent="0.25" r="138" customHeight="1" ht="15.75">
      <c r="A138" s="163">
        <v>45836</v>
      </c>
      <c r="B138" s="30" t="s">
        <v>46</v>
      </c>
      <c r="C138" s="30" t="s">
        <v>3961</v>
      </c>
      <c r="D138" s="30" t="s">
        <v>313</v>
      </c>
      <c r="E138" s="30" t="s">
        <v>4033</v>
      </c>
      <c r="F138" s="30" t="s">
        <v>3887</v>
      </c>
      <c r="G138" s="30" t="s">
        <v>3888</v>
      </c>
      <c r="H138" s="30" t="s">
        <v>26</v>
      </c>
      <c r="I138" s="69"/>
      <c r="J138" s="69">
        <v>261920</v>
      </c>
      <c r="K138" s="69">
        <v>131200</v>
      </c>
      <c r="L138" s="69">
        <f>J138-K138</f>
      </c>
      <c r="M138" s="30" t="s">
        <v>50</v>
      </c>
      <c r="N138" s="30" t="s">
        <v>4034</v>
      </c>
      <c r="O138" s="217" t="s">
        <v>251</v>
      </c>
      <c r="P138" s="217"/>
      <c r="Q138" s="217"/>
      <c r="R138" s="217"/>
      <c r="S138" s="217"/>
      <c r="T138" s="69">
        <v>261920</v>
      </c>
      <c r="U138" s="69">
        <f>J138-P138-T138</f>
      </c>
      <c r="V138" s="163">
        <v>45842</v>
      </c>
      <c r="W138" s="30" t="s">
        <v>1718</v>
      </c>
      <c r="X138" s="30"/>
      <c r="Y138" s="282"/>
      <c r="Z138" s="34"/>
    </row>
    <row x14ac:dyDescent="0.25" r="139" customHeight="1" ht="15.75">
      <c r="A139" s="163">
        <v>45836</v>
      </c>
      <c r="B139" s="30" t="s">
        <v>46</v>
      </c>
      <c r="C139" s="30" t="s">
        <v>3974</v>
      </c>
      <c r="D139" s="30" t="s">
        <v>3469</v>
      </c>
      <c r="E139" s="30" t="s">
        <v>4035</v>
      </c>
      <c r="F139" s="30" t="s">
        <v>3916</v>
      </c>
      <c r="G139" s="30" t="s">
        <v>3917</v>
      </c>
      <c r="H139" s="30" t="s">
        <v>26</v>
      </c>
      <c r="I139" s="217" t="s">
        <v>4036</v>
      </c>
      <c r="J139" s="69">
        <v>0</v>
      </c>
      <c r="K139" s="69">
        <v>-7000</v>
      </c>
      <c r="L139" s="69">
        <f>J139-K139</f>
      </c>
      <c r="M139" s="30" t="s">
        <v>50</v>
      </c>
      <c r="N139" s="30" t="s">
        <v>4037</v>
      </c>
      <c r="O139" s="217" t="s">
        <v>251</v>
      </c>
      <c r="P139" s="217"/>
      <c r="Q139" s="217"/>
      <c r="R139" s="217"/>
      <c r="S139" s="217"/>
      <c r="T139" s="217"/>
      <c r="U139" s="69">
        <f>J139-P139-T139</f>
      </c>
      <c r="V139" s="163"/>
      <c r="W139" s="30"/>
      <c r="X139" s="30"/>
      <c r="Y139" s="282"/>
      <c r="Z139" s="34"/>
    </row>
    <row x14ac:dyDescent="0.25" r="140" customHeight="1" ht="40.5">
      <c r="A140" s="163">
        <v>45837</v>
      </c>
      <c r="B140" s="30" t="s">
        <v>46</v>
      </c>
      <c r="C140" s="30" t="s">
        <v>4038</v>
      </c>
      <c r="D140" s="30" t="s">
        <v>54</v>
      </c>
      <c r="E140" s="60" t="s">
        <v>4039</v>
      </c>
      <c r="F140" s="30" t="s">
        <v>1799</v>
      </c>
      <c r="G140" s="30" t="s">
        <v>4040</v>
      </c>
      <c r="H140" s="30" t="s">
        <v>26</v>
      </c>
      <c r="I140" s="69"/>
      <c r="J140" s="69">
        <v>2122800</v>
      </c>
      <c r="K140" s="69">
        <v>2022920</v>
      </c>
      <c r="L140" s="69">
        <f>J140-K140</f>
      </c>
      <c r="M140" s="30" t="s">
        <v>187</v>
      </c>
      <c r="N140" s="30" t="s">
        <v>4041</v>
      </c>
      <c r="O140" s="217"/>
      <c r="P140" s="69">
        <v>1000000</v>
      </c>
      <c r="Q140" s="69">
        <v>1000000</v>
      </c>
      <c r="R140" s="217"/>
      <c r="S140" s="217"/>
      <c r="T140" s="69">
        <v>122800</v>
      </c>
      <c r="U140" s="69">
        <f>J140-P140-Q140-R140-T140</f>
      </c>
      <c r="V140" s="283" t="s">
        <v>4042</v>
      </c>
      <c r="W140" s="30" t="s">
        <v>1718</v>
      </c>
      <c r="X140" s="30"/>
      <c r="Y140" s="282"/>
      <c r="Z140" s="34"/>
    </row>
    <row x14ac:dyDescent="0.25" r="141" customHeight="1" ht="18.75">
      <c r="A141" s="163">
        <v>45837</v>
      </c>
      <c r="B141" s="30" t="s">
        <v>53</v>
      </c>
      <c r="C141" s="30" t="s">
        <v>3248</v>
      </c>
      <c r="D141" s="30" t="s">
        <v>282</v>
      </c>
      <c r="E141" s="60" t="s">
        <v>4043</v>
      </c>
      <c r="F141" s="30" t="s">
        <v>344</v>
      </c>
      <c r="G141" s="284" t="s">
        <v>2991</v>
      </c>
      <c r="H141" s="30" t="s">
        <v>26</v>
      </c>
      <c r="I141" s="285">
        <v>426400</v>
      </c>
      <c r="J141" s="69">
        <v>720920</v>
      </c>
      <c r="K141" s="285">
        <v>688420</v>
      </c>
      <c r="L141" s="69">
        <f>J141-K141</f>
      </c>
      <c r="M141" s="30" t="s">
        <v>137</v>
      </c>
      <c r="N141" s="30" t="s">
        <v>4044</v>
      </c>
      <c r="O141" s="217"/>
      <c r="P141" s="217"/>
      <c r="Q141" s="217"/>
      <c r="R141" s="217"/>
      <c r="S141" s="217"/>
      <c r="T141" s="69">
        <v>720920</v>
      </c>
      <c r="U141" s="69">
        <f>J141-P141-T141</f>
      </c>
      <c r="V141" s="163">
        <v>45880</v>
      </c>
      <c r="W141" s="30" t="s">
        <v>2216</v>
      </c>
      <c r="X141" s="30" t="s">
        <v>3582</v>
      </c>
      <c r="Y141" s="282"/>
      <c r="Z141" s="34"/>
    </row>
    <row x14ac:dyDescent="0.25" r="142" customHeight="1" ht="18.75">
      <c r="A142" s="163">
        <v>45837</v>
      </c>
      <c r="B142" s="30" t="s">
        <v>53</v>
      </c>
      <c r="C142" s="30" t="s">
        <v>3248</v>
      </c>
      <c r="D142" s="30" t="s">
        <v>282</v>
      </c>
      <c r="E142" s="60" t="s">
        <v>4043</v>
      </c>
      <c r="F142" s="30" t="s">
        <v>344</v>
      </c>
      <c r="G142" s="284" t="s">
        <v>2993</v>
      </c>
      <c r="H142" s="30" t="s">
        <v>26</v>
      </c>
      <c r="I142" s="285">
        <v>426400</v>
      </c>
      <c r="J142" s="69">
        <v>720920</v>
      </c>
      <c r="K142" s="285">
        <v>688420</v>
      </c>
      <c r="L142" s="69">
        <f>J142-K142</f>
      </c>
      <c r="M142" s="30" t="s">
        <v>137</v>
      </c>
      <c r="N142" s="30" t="s">
        <v>4045</v>
      </c>
      <c r="O142" s="217"/>
      <c r="P142" s="217"/>
      <c r="Q142" s="217"/>
      <c r="R142" s="217"/>
      <c r="S142" s="217"/>
      <c r="T142" s="69">
        <v>720920</v>
      </c>
      <c r="U142" s="69">
        <f>J142-P142-T142</f>
      </c>
      <c r="V142" s="163">
        <v>45880</v>
      </c>
      <c r="W142" s="30" t="s">
        <v>2216</v>
      </c>
      <c r="X142" s="30" t="s">
        <v>3582</v>
      </c>
      <c r="Y142" s="282"/>
      <c r="Z142" s="34"/>
    </row>
    <row x14ac:dyDescent="0.25" r="143" customHeight="1" ht="15.75">
      <c r="A143" s="163">
        <v>45837</v>
      </c>
      <c r="B143" s="30" t="s">
        <v>53</v>
      </c>
      <c r="C143" s="30" t="s">
        <v>4046</v>
      </c>
      <c r="D143" s="30" t="s">
        <v>54</v>
      </c>
      <c r="E143" s="60" t="s">
        <v>4047</v>
      </c>
      <c r="F143" s="30" t="s">
        <v>2720</v>
      </c>
      <c r="G143" s="286" t="s">
        <v>4048</v>
      </c>
      <c r="H143" s="30" t="s">
        <v>26</v>
      </c>
      <c r="I143" s="285">
        <v>832600</v>
      </c>
      <c r="J143" s="69">
        <v>1244920</v>
      </c>
      <c r="K143" s="285">
        <v>1164420</v>
      </c>
      <c r="L143" s="69">
        <f>J143-K143</f>
      </c>
      <c r="M143" s="30" t="s">
        <v>137</v>
      </c>
      <c r="N143" s="30" t="s">
        <v>4049</v>
      </c>
      <c r="O143" s="217"/>
      <c r="P143" s="217"/>
      <c r="Q143" s="217"/>
      <c r="R143" s="217"/>
      <c r="S143" s="217"/>
      <c r="T143" s="69">
        <v>1244920</v>
      </c>
      <c r="U143" s="69">
        <f>J143-P143-T143</f>
      </c>
      <c r="V143" s="163">
        <v>45838</v>
      </c>
      <c r="W143" s="30" t="s">
        <v>1718</v>
      </c>
      <c r="X143" s="30"/>
      <c r="Y143" s="282"/>
      <c r="Z143" s="34"/>
    </row>
    <row x14ac:dyDescent="0.25" r="144" customHeight="1" ht="15.75">
      <c r="A144" s="163">
        <v>45838</v>
      </c>
      <c r="B144" s="30" t="s">
        <v>53</v>
      </c>
      <c r="C144" s="30" t="s">
        <v>4046</v>
      </c>
      <c r="D144" s="30" t="s">
        <v>295</v>
      </c>
      <c r="E144" s="30" t="s">
        <v>4050</v>
      </c>
      <c r="F144" s="30" t="s">
        <v>2720</v>
      </c>
      <c r="G144" s="286" t="s">
        <v>4048</v>
      </c>
      <c r="H144" s="30" t="s">
        <v>26</v>
      </c>
      <c r="I144" s="287"/>
      <c r="J144" s="69">
        <v>121400</v>
      </c>
      <c r="K144" s="285">
        <v>101400</v>
      </c>
      <c r="L144" s="69">
        <f>J144-K144</f>
      </c>
      <c r="M144" s="30" t="s">
        <v>137</v>
      </c>
      <c r="N144" s="30" t="s">
        <v>4049</v>
      </c>
      <c r="O144" s="217" t="s">
        <v>251</v>
      </c>
      <c r="P144" s="217"/>
      <c r="Q144" s="217"/>
      <c r="R144" s="217"/>
      <c r="S144" s="217"/>
      <c r="T144" s="69">
        <v>121400</v>
      </c>
      <c r="U144" s="69">
        <f>J144-P144-T144</f>
      </c>
      <c r="V144" s="163">
        <v>45838</v>
      </c>
      <c r="W144" s="30" t="s">
        <v>1718</v>
      </c>
      <c r="X144" s="30"/>
      <c r="Y144" s="282"/>
      <c r="Z144" s="34"/>
    </row>
    <row x14ac:dyDescent="0.25" r="145" customHeight="1" ht="15.75">
      <c r="A145" s="163">
        <v>45838</v>
      </c>
      <c r="B145" s="30" t="s">
        <v>53</v>
      </c>
      <c r="C145" s="30" t="s">
        <v>4046</v>
      </c>
      <c r="D145" s="30" t="s">
        <v>295</v>
      </c>
      <c r="E145" s="30" t="s">
        <v>4051</v>
      </c>
      <c r="F145" s="30" t="s">
        <v>2720</v>
      </c>
      <c r="G145" s="288" t="s">
        <v>4052</v>
      </c>
      <c r="H145" s="30" t="s">
        <v>26</v>
      </c>
      <c r="I145" s="287"/>
      <c r="J145" s="69">
        <v>968900</v>
      </c>
      <c r="K145" s="285">
        <v>868020</v>
      </c>
      <c r="L145" s="69">
        <f>J145-K145</f>
      </c>
      <c r="M145" s="30" t="s">
        <v>137</v>
      </c>
      <c r="N145" s="30" t="s">
        <v>4053</v>
      </c>
      <c r="O145" s="217"/>
      <c r="P145" s="217"/>
      <c r="Q145" s="217"/>
      <c r="R145" s="217"/>
      <c r="S145" s="217"/>
      <c r="T145" s="69">
        <v>968900</v>
      </c>
      <c r="U145" s="69">
        <f>J145-P145-T145</f>
      </c>
      <c r="V145" s="163">
        <v>45838</v>
      </c>
      <c r="W145" s="30" t="s">
        <v>1718</v>
      </c>
      <c r="X145" s="30"/>
      <c r="Y145" s="282"/>
      <c r="Z145" s="34"/>
    </row>
    <row x14ac:dyDescent="0.25" r="146" customHeight="1" ht="15.75">
      <c r="A146" s="163">
        <v>45838</v>
      </c>
      <c r="B146" s="30" t="s">
        <v>111</v>
      </c>
      <c r="C146" s="30" t="s">
        <v>3904</v>
      </c>
      <c r="D146" s="30" t="s">
        <v>1267</v>
      </c>
      <c r="E146" s="30" t="s">
        <v>4054</v>
      </c>
      <c r="F146" s="30" t="s">
        <v>4055</v>
      </c>
      <c r="G146" s="30" t="s">
        <v>3910</v>
      </c>
      <c r="H146" s="30"/>
      <c r="I146" s="217"/>
      <c r="J146" s="69">
        <v>82000</v>
      </c>
      <c r="K146" s="69">
        <v>82000</v>
      </c>
      <c r="L146" s="69">
        <f>J146-K146</f>
      </c>
      <c r="M146" s="30" t="s">
        <v>50</v>
      </c>
      <c r="N146" s="30" t="s">
        <v>4056</v>
      </c>
      <c r="O146" s="217" t="s">
        <v>251</v>
      </c>
      <c r="P146" s="217"/>
      <c r="Q146" s="217"/>
      <c r="R146" s="217"/>
      <c r="S146" s="217"/>
      <c r="T146" s="217"/>
      <c r="U146" s="69">
        <f>J146-P146-T146</f>
      </c>
      <c r="V146" s="163"/>
      <c r="W146" s="30"/>
      <c r="X146" s="30"/>
      <c r="Y146" s="282"/>
      <c r="Z146" s="34"/>
    </row>
    <row x14ac:dyDescent="0.25" r="147" customHeight="1" ht="15.75">
      <c r="A147" s="163">
        <v>45838</v>
      </c>
      <c r="B147" s="30" t="s">
        <v>111</v>
      </c>
      <c r="C147" s="30" t="s">
        <v>3904</v>
      </c>
      <c r="D147" s="30" t="s">
        <v>1267</v>
      </c>
      <c r="E147" s="30" t="s">
        <v>4054</v>
      </c>
      <c r="F147" s="30" t="s">
        <v>4055</v>
      </c>
      <c r="G147" s="30" t="s">
        <v>4057</v>
      </c>
      <c r="H147" s="30"/>
      <c r="I147" s="217"/>
      <c r="J147" s="69">
        <v>243900</v>
      </c>
      <c r="K147" s="69">
        <v>243900</v>
      </c>
      <c r="L147" s="69">
        <f>J147-K147</f>
      </c>
      <c r="M147" s="30" t="s">
        <v>50</v>
      </c>
      <c r="N147" s="289" t="s">
        <v>4058</v>
      </c>
      <c r="O147" s="217" t="s">
        <v>251</v>
      </c>
      <c r="P147" s="217"/>
      <c r="Q147" s="217"/>
      <c r="R147" s="217"/>
      <c r="S147" s="217"/>
      <c r="T147" s="217"/>
      <c r="U147" s="69">
        <f>J147-P147-T147</f>
      </c>
      <c r="V147" s="163"/>
      <c r="W147" s="30"/>
      <c r="X147" s="30"/>
      <c r="Y147" s="282"/>
      <c r="Z147" s="34"/>
    </row>
    <row x14ac:dyDescent="0.25" r="148" customHeight="1" ht="15.75">
      <c r="A148" s="163">
        <v>45838</v>
      </c>
      <c r="B148" s="289"/>
      <c r="C148" s="289"/>
      <c r="D148" s="289"/>
      <c r="E148" s="289" t="s">
        <v>4059</v>
      </c>
      <c r="F148" s="30" t="s">
        <v>24</v>
      </c>
      <c r="G148" s="30" t="s">
        <v>3067</v>
      </c>
      <c r="H148" s="30" t="s">
        <v>26</v>
      </c>
      <c r="I148" s="217"/>
      <c r="J148" s="69">
        <v>375000</v>
      </c>
      <c r="K148" s="69">
        <v>298460</v>
      </c>
      <c r="L148" s="69">
        <f>J148-K148</f>
      </c>
      <c r="M148" s="30"/>
      <c r="N148" s="289"/>
      <c r="O148" s="217" t="s">
        <v>2979</v>
      </c>
      <c r="P148" s="217"/>
      <c r="Q148" s="217"/>
      <c r="R148" s="217"/>
      <c r="S148" s="217"/>
      <c r="T148" s="69">
        <v>375000</v>
      </c>
      <c r="U148" s="69">
        <f>J148-P148-T148</f>
      </c>
      <c r="V148" s="163">
        <v>45856</v>
      </c>
      <c r="W148" s="30" t="s">
        <v>2122</v>
      </c>
      <c r="X148" s="30"/>
      <c r="Y148" s="282"/>
      <c r="Z148" s="34"/>
    </row>
    <row x14ac:dyDescent="0.25" r="149" customHeight="1" ht="15.75">
      <c r="A149" s="12">
        <v>45838</v>
      </c>
      <c r="B149" s="9" t="s">
        <v>72</v>
      </c>
      <c r="C149" s="9" t="s">
        <v>4060</v>
      </c>
      <c r="D149" s="9" t="s">
        <v>4061</v>
      </c>
      <c r="E149" s="289" t="s">
        <v>4062</v>
      </c>
      <c r="F149" s="9" t="s">
        <v>4063</v>
      </c>
      <c r="G149" s="14" t="s">
        <v>4064</v>
      </c>
      <c r="H149" s="14" t="s">
        <v>76</v>
      </c>
      <c r="I149" s="65"/>
      <c r="J149" s="17">
        <v>550800</v>
      </c>
      <c r="K149" s="17">
        <v>525120</v>
      </c>
      <c r="L149" s="17">
        <f>J149-K149</f>
      </c>
      <c r="M149" s="14" t="s">
        <v>187</v>
      </c>
      <c r="N149" s="9" t="s">
        <v>4065</v>
      </c>
      <c r="O149" s="65"/>
      <c r="P149" s="65"/>
      <c r="Q149" s="65"/>
      <c r="R149" s="65"/>
      <c r="S149" s="65"/>
      <c r="T149" s="17">
        <v>550800</v>
      </c>
      <c r="U149" s="17">
        <f>J149-P149-T149</f>
      </c>
      <c r="V149" s="12">
        <v>45840</v>
      </c>
      <c r="W149" s="14" t="s">
        <v>1718</v>
      </c>
      <c r="X149" s="14"/>
      <c r="Y149" s="29"/>
      <c r="Z149" s="34"/>
    </row>
    <row x14ac:dyDescent="0.25" r="150" customHeight="1" ht="15.75">
      <c r="A150" s="12">
        <v>45838</v>
      </c>
      <c r="B150" s="9" t="s">
        <v>53</v>
      </c>
      <c r="C150" s="9" t="s">
        <v>4066</v>
      </c>
      <c r="D150" s="9" t="s">
        <v>4067</v>
      </c>
      <c r="E150" s="289" t="s">
        <v>4068</v>
      </c>
      <c r="F150" s="14" t="s">
        <v>194</v>
      </c>
      <c r="G150" s="290" t="s">
        <v>4069</v>
      </c>
      <c r="H150" s="14" t="s">
        <v>26</v>
      </c>
      <c r="I150" s="249">
        <v>745200</v>
      </c>
      <c r="J150" s="17">
        <v>1041920</v>
      </c>
      <c r="K150" s="249">
        <v>1007220</v>
      </c>
      <c r="L150" s="17">
        <f>J150-K150</f>
      </c>
      <c r="M150" s="14" t="s">
        <v>137</v>
      </c>
      <c r="N150" s="9" t="s">
        <v>4070</v>
      </c>
      <c r="O150" s="65"/>
      <c r="P150" s="65"/>
      <c r="Q150" s="65"/>
      <c r="R150" s="65"/>
      <c r="S150" s="65"/>
      <c r="T150" s="17">
        <v>1041920</v>
      </c>
      <c r="U150" s="17">
        <f>J150-P150-T150</f>
      </c>
      <c r="V150" s="12">
        <v>45897</v>
      </c>
      <c r="W150" s="3" t="s">
        <v>2122</v>
      </c>
      <c r="X150" s="14"/>
      <c r="Y150" s="29"/>
      <c r="Z150" s="34"/>
    </row>
    <row x14ac:dyDescent="0.25" r="151" customHeight="1" ht="15.75">
      <c r="A151" s="12">
        <v>45838</v>
      </c>
      <c r="B151" s="9" t="s">
        <v>22</v>
      </c>
      <c r="C151" s="9" t="s">
        <v>4071</v>
      </c>
      <c r="D151" s="9" t="s">
        <v>144</v>
      </c>
      <c r="E151" s="289" t="s">
        <v>4072</v>
      </c>
      <c r="F151" s="14" t="s">
        <v>2318</v>
      </c>
      <c r="G151" s="14" t="s">
        <v>3015</v>
      </c>
      <c r="H151" s="14" t="s">
        <v>26</v>
      </c>
      <c r="I151" s="65"/>
      <c r="J151" s="17">
        <v>469000</v>
      </c>
      <c r="K151" s="17">
        <v>426200</v>
      </c>
      <c r="L151" s="17">
        <f>J151-K151</f>
      </c>
      <c r="M151" s="14" t="s">
        <v>22</v>
      </c>
      <c r="N151" s="9" t="s">
        <v>4073</v>
      </c>
      <c r="O151" s="65"/>
      <c r="P151" s="65"/>
      <c r="Q151" s="65"/>
      <c r="R151" s="65"/>
      <c r="S151" s="65"/>
      <c r="T151" s="17">
        <v>469000</v>
      </c>
      <c r="U151" s="17">
        <f>J151-P151-T151</f>
      </c>
      <c r="V151" s="12">
        <v>45842</v>
      </c>
      <c r="W151" s="14" t="s">
        <v>1718</v>
      </c>
      <c r="X151" s="14"/>
      <c r="Y151" s="29"/>
      <c r="Z151" s="34"/>
    </row>
    <row x14ac:dyDescent="0.25" r="152" customHeight="1" ht="28.5">
      <c r="A152" s="12">
        <v>45838</v>
      </c>
      <c r="B152" s="9" t="s">
        <v>22</v>
      </c>
      <c r="C152" s="9" t="s">
        <v>4071</v>
      </c>
      <c r="D152" s="9" t="s">
        <v>144</v>
      </c>
      <c r="E152" s="9" t="s">
        <v>4072</v>
      </c>
      <c r="F152" s="14" t="s">
        <v>147</v>
      </c>
      <c r="G152" s="14" t="s">
        <v>4074</v>
      </c>
      <c r="H152" s="14" t="s">
        <v>26</v>
      </c>
      <c r="I152" s="65"/>
      <c r="J152" s="17">
        <v>378000</v>
      </c>
      <c r="K152" s="17">
        <v>353800</v>
      </c>
      <c r="L152" s="17">
        <f>J152-K152</f>
      </c>
      <c r="M152" s="14" t="s">
        <v>22</v>
      </c>
      <c r="N152" s="9" t="s">
        <v>4075</v>
      </c>
      <c r="O152" s="65"/>
      <c r="P152" s="65"/>
      <c r="Q152" s="65"/>
      <c r="R152" s="65"/>
      <c r="S152" s="65"/>
      <c r="T152" s="17">
        <v>378000</v>
      </c>
      <c r="U152" s="17">
        <f>J152-P152-T152</f>
      </c>
      <c r="V152" s="175">
        <v>45842</v>
      </c>
      <c r="W152" s="14" t="s">
        <v>1718</v>
      </c>
      <c r="X152" s="14"/>
      <c r="Y152" s="29"/>
      <c r="Z152" s="34"/>
    </row>
    <row x14ac:dyDescent="0.25" r="153" customHeight="1" ht="15.75">
      <c r="A153" s="12">
        <v>45838</v>
      </c>
      <c r="B153" s="9" t="s">
        <v>22</v>
      </c>
      <c r="C153" s="9" t="s">
        <v>4071</v>
      </c>
      <c r="D153" s="9" t="s">
        <v>144</v>
      </c>
      <c r="E153" s="9" t="s">
        <v>4072</v>
      </c>
      <c r="F153" s="14" t="s">
        <v>147</v>
      </c>
      <c r="G153" s="14" t="s">
        <v>3017</v>
      </c>
      <c r="H153" s="14" t="s">
        <v>26</v>
      </c>
      <c r="I153" s="65"/>
      <c r="J153" s="17">
        <v>469000</v>
      </c>
      <c r="K153" s="17">
        <v>426200</v>
      </c>
      <c r="L153" s="17">
        <f>J153-K153</f>
      </c>
      <c r="M153" s="14" t="s">
        <v>22</v>
      </c>
      <c r="N153" s="9" t="s">
        <v>4076</v>
      </c>
      <c r="O153" s="65"/>
      <c r="P153" s="65"/>
      <c r="Q153" s="65"/>
      <c r="R153" s="65"/>
      <c r="S153" s="65"/>
      <c r="T153" s="17">
        <v>469000</v>
      </c>
      <c r="U153" s="17">
        <f>J153-P153-T153</f>
      </c>
      <c r="V153" s="12">
        <v>45842</v>
      </c>
      <c r="W153" s="14" t="s">
        <v>1718</v>
      </c>
      <c r="X153" s="14"/>
      <c r="Y153" s="29"/>
      <c r="Z153" s="34"/>
    </row>
    <row x14ac:dyDescent="0.25" r="154" customHeight="1" ht="15.75">
      <c r="A154" s="7">
        <v>45838</v>
      </c>
      <c r="B154" s="9" t="s">
        <v>46</v>
      </c>
      <c r="C154" s="9" t="s">
        <v>4077</v>
      </c>
      <c r="D154" s="9" t="s">
        <v>54</v>
      </c>
      <c r="E154" s="9" t="s">
        <v>4078</v>
      </c>
      <c r="F154" s="14" t="s">
        <v>24</v>
      </c>
      <c r="G154" s="9" t="s">
        <v>3031</v>
      </c>
      <c r="H154" s="9" t="s">
        <v>3032</v>
      </c>
      <c r="I154" s="65"/>
      <c r="J154" s="17">
        <v>3788920</v>
      </c>
      <c r="K154" s="17">
        <v>3668520</v>
      </c>
      <c r="L154" s="17">
        <f>J154-K154</f>
      </c>
      <c r="M154" s="14" t="s">
        <v>3033</v>
      </c>
      <c r="N154" s="9" t="s">
        <v>4079</v>
      </c>
      <c r="O154" s="17">
        <v>2</v>
      </c>
      <c r="P154" s="65"/>
      <c r="Q154" s="65"/>
      <c r="R154" s="65"/>
      <c r="S154" s="65"/>
      <c r="T154" s="17">
        <v>3788920</v>
      </c>
      <c r="U154" s="17">
        <f>J154-P154-T154</f>
      </c>
      <c r="V154" s="12">
        <v>45856</v>
      </c>
      <c r="W154" s="14" t="s">
        <v>2122</v>
      </c>
      <c r="X154" s="14"/>
      <c r="Y154" s="29"/>
      <c r="Z154" s="34"/>
    </row>
    <row x14ac:dyDescent="0.25" r="155" customHeight="1" ht="15.75">
      <c r="A155" s="12"/>
      <c r="B155" s="14"/>
      <c r="C155" s="14"/>
      <c r="D155" s="14"/>
      <c r="E155" s="14"/>
      <c r="F155" s="14"/>
      <c r="G155" s="14"/>
      <c r="H155" s="14"/>
      <c r="I155" s="17"/>
      <c r="J155" s="17"/>
      <c r="K155" s="17"/>
      <c r="L155" s="17"/>
      <c r="M155" s="14"/>
      <c r="N155" s="14"/>
      <c r="O155" s="65"/>
      <c r="P155" s="65"/>
      <c r="Q155" s="65"/>
      <c r="R155" s="65"/>
      <c r="S155" s="65"/>
      <c r="T155" s="65"/>
      <c r="U155" s="17">
        <f>J155-P155-T155</f>
      </c>
      <c r="V155" s="12"/>
      <c r="W155" s="14"/>
      <c r="X155" s="14"/>
      <c r="Y155" s="29"/>
      <c r="Z155" s="34"/>
    </row>
    <row x14ac:dyDescent="0.25" r="156" customHeight="1" ht="15.75">
      <c r="A156" s="12"/>
      <c r="B156" s="14"/>
      <c r="C156" s="14"/>
      <c r="D156" s="14"/>
      <c r="E156" s="14"/>
      <c r="F156" s="14"/>
      <c r="G156" s="14"/>
      <c r="H156" s="14"/>
      <c r="I156" s="17"/>
      <c r="J156" s="17"/>
      <c r="K156" s="17"/>
      <c r="L156" s="17"/>
      <c r="M156" s="14"/>
      <c r="N156" s="14"/>
      <c r="O156" s="65"/>
      <c r="P156" s="65"/>
      <c r="Q156" s="65"/>
      <c r="R156" s="65"/>
      <c r="S156" s="65"/>
      <c r="T156" s="65"/>
      <c r="U156" s="17">
        <f>J156-P156-T156</f>
      </c>
      <c r="V156" s="12"/>
      <c r="W156" s="14"/>
      <c r="X156" s="14"/>
      <c r="Y156" s="29"/>
      <c r="Z156" s="34"/>
    </row>
    <row x14ac:dyDescent="0.25" r="157" customHeight="1" ht="15.75">
      <c r="A157" s="12"/>
      <c r="B157" s="14"/>
      <c r="C157" s="14"/>
      <c r="D157" s="14"/>
      <c r="E157" s="14"/>
      <c r="F157" s="14"/>
      <c r="G157" s="14"/>
      <c r="H157" s="14"/>
      <c r="I157" s="17"/>
      <c r="J157" s="17"/>
      <c r="K157" s="17"/>
      <c r="L157" s="17"/>
      <c r="M157" s="14"/>
      <c r="N157" s="14"/>
      <c r="O157" s="65"/>
      <c r="P157" s="65"/>
      <c r="Q157" s="65"/>
      <c r="R157" s="65"/>
      <c r="S157" s="65"/>
      <c r="T157" s="65"/>
      <c r="U157" s="17">
        <f>J157-P157-T157</f>
      </c>
      <c r="V157" s="12"/>
      <c r="W157" s="14"/>
      <c r="X157" s="14"/>
      <c r="Y157" s="29"/>
      <c r="Z157" s="34"/>
    </row>
    <row x14ac:dyDescent="0.25" r="158" customHeight="1" ht="15.75">
      <c r="A158" s="12"/>
      <c r="B158" s="14"/>
      <c r="C158" s="14"/>
      <c r="D158" s="14"/>
      <c r="E158" s="14"/>
      <c r="F158" s="14"/>
      <c r="G158" s="14"/>
      <c r="H158" s="14"/>
      <c r="I158" s="17"/>
      <c r="J158" s="17"/>
      <c r="K158" s="17"/>
      <c r="L158" s="17"/>
      <c r="M158" s="14"/>
      <c r="N158" s="14"/>
      <c r="O158" s="65"/>
      <c r="P158" s="65"/>
      <c r="Q158" s="65"/>
      <c r="R158" s="65"/>
      <c r="S158" s="65"/>
      <c r="T158" s="65"/>
      <c r="U158" s="17">
        <f>J158-P158-T158</f>
      </c>
      <c r="V158" s="12"/>
      <c r="W158" s="14"/>
      <c r="X158" s="14"/>
      <c r="Y158" s="29"/>
      <c r="Z158" s="34"/>
    </row>
    <row x14ac:dyDescent="0.25" r="159" customHeight="1" ht="15.75">
      <c r="A159" s="12"/>
      <c r="B159" s="14"/>
      <c r="C159" s="14"/>
      <c r="D159" s="14"/>
      <c r="E159" s="14"/>
      <c r="F159" s="14"/>
      <c r="G159" s="14"/>
      <c r="H159" s="14"/>
      <c r="I159" s="17"/>
      <c r="J159" s="17"/>
      <c r="K159" s="17"/>
      <c r="L159" s="17"/>
      <c r="M159" s="14"/>
      <c r="N159" s="14"/>
      <c r="O159" s="65"/>
      <c r="P159" s="65"/>
      <c r="Q159" s="65"/>
      <c r="R159" s="65"/>
      <c r="S159" s="65"/>
      <c r="T159" s="65"/>
      <c r="U159" s="17">
        <f>J159-P159-T159</f>
      </c>
      <c r="V159" s="12"/>
      <c r="W159" s="14"/>
      <c r="X159" s="14"/>
      <c r="Y159" s="29"/>
      <c r="Z159" s="34"/>
    </row>
    <row x14ac:dyDescent="0.25" r="160" customHeight="1" ht="15.75">
      <c r="A160" s="12"/>
      <c r="B160" s="14"/>
      <c r="C160" s="14"/>
      <c r="D160" s="14"/>
      <c r="E160" s="14"/>
      <c r="F160" s="14"/>
      <c r="G160" s="14"/>
      <c r="H160" s="14"/>
      <c r="I160" s="17"/>
      <c r="J160" s="17"/>
      <c r="K160" s="17"/>
      <c r="L160" s="17"/>
      <c r="M160" s="14"/>
      <c r="N160" s="14"/>
      <c r="O160" s="65"/>
      <c r="P160" s="65"/>
      <c r="Q160" s="65"/>
      <c r="R160" s="65"/>
      <c r="S160" s="65"/>
      <c r="T160" s="65"/>
      <c r="U160" s="17">
        <f>J160-P160-T160</f>
      </c>
      <c r="V160" s="12"/>
      <c r="W160" s="14"/>
      <c r="X160" s="14"/>
      <c r="Y160" s="29"/>
      <c r="Z160" s="34"/>
    </row>
    <row x14ac:dyDescent="0.25" r="161" customHeight="1" ht="15.75">
      <c r="A161" s="12"/>
      <c r="B161" s="14"/>
      <c r="C161" s="14"/>
      <c r="D161" s="14"/>
      <c r="E161" s="14"/>
      <c r="F161" s="14"/>
      <c r="G161" s="14"/>
      <c r="H161" s="14"/>
      <c r="I161" s="17"/>
      <c r="J161" s="17"/>
      <c r="K161" s="17"/>
      <c r="L161" s="17"/>
      <c r="M161" s="14"/>
      <c r="N161" s="14"/>
      <c r="O161" s="65"/>
      <c r="P161" s="65"/>
      <c r="Q161" s="65"/>
      <c r="R161" s="65"/>
      <c r="S161" s="65"/>
      <c r="T161" s="65"/>
      <c r="U161" s="17">
        <f>J161-P161-T161</f>
      </c>
      <c r="V161" s="12"/>
      <c r="W161" s="14"/>
      <c r="X161" s="14"/>
      <c r="Y161" s="29"/>
      <c r="Z161" s="34"/>
    </row>
    <row x14ac:dyDescent="0.25" r="162" customHeight="1" ht="15.75">
      <c r="A162" s="12"/>
      <c r="B162" s="14"/>
      <c r="C162" s="14"/>
      <c r="D162" s="14"/>
      <c r="E162" s="14"/>
      <c r="F162" s="14"/>
      <c r="G162" s="14"/>
      <c r="H162" s="14"/>
      <c r="I162" s="17"/>
      <c r="J162" s="17">
        <f>SUM(J2:J161)</f>
      </c>
      <c r="K162" s="17">
        <f>SUM(K2:K161)</f>
      </c>
      <c r="L162" s="17">
        <f>J162-K162</f>
      </c>
      <c r="M162" s="14"/>
      <c r="N162" s="14"/>
      <c r="O162" s="65"/>
      <c r="P162" s="65"/>
      <c r="Q162" s="65"/>
      <c r="R162" s="65"/>
      <c r="S162" s="65"/>
      <c r="T162" s="65"/>
      <c r="U162" s="17">
        <f>SUM(U2:U161)</f>
      </c>
      <c r="V162" s="12"/>
      <c r="W162" s="14"/>
      <c r="X162" s="14"/>
      <c r="Y162" s="29"/>
      <c r="Z162" s="34"/>
    </row>
    <row x14ac:dyDescent="0.25" r="163" customHeight="1" ht="15.75">
      <c r="A163" s="1"/>
      <c r="B163" s="34"/>
      <c r="C163" s="34"/>
      <c r="D163" s="34"/>
      <c r="E163" s="3"/>
      <c r="F163" s="34"/>
      <c r="G163" s="34"/>
      <c r="H163" s="34"/>
      <c r="I163" s="29"/>
      <c r="J163" s="29"/>
      <c r="K163" s="29"/>
      <c r="L163" s="29"/>
      <c r="M163" s="34"/>
      <c r="N163" s="34"/>
      <c r="O163" s="29"/>
      <c r="P163" s="29"/>
      <c r="Q163" s="29"/>
      <c r="R163" s="29"/>
      <c r="S163" s="29"/>
      <c r="T163" s="29"/>
      <c r="U163" s="29"/>
      <c r="V163" s="1"/>
      <c r="W163" s="34"/>
      <c r="X163" s="34"/>
      <c r="Y163" s="29"/>
      <c r="Z163" s="34"/>
    </row>
    <row x14ac:dyDescent="0.25" r="164" customHeight="1" ht="15.75">
      <c r="A164" s="1"/>
      <c r="B164" s="34"/>
      <c r="C164" s="34"/>
      <c r="D164" s="34"/>
      <c r="E164" s="3"/>
      <c r="F164" s="34"/>
      <c r="G164" s="34"/>
      <c r="H164" s="34"/>
      <c r="I164" s="29"/>
      <c r="J164" s="29"/>
      <c r="K164" s="29"/>
      <c r="L164" s="29"/>
      <c r="M164" s="34"/>
      <c r="N164" s="34"/>
      <c r="O164" s="29"/>
      <c r="P164" s="29"/>
      <c r="Q164" s="29"/>
      <c r="R164" s="29"/>
      <c r="S164" s="29"/>
      <c r="T164" s="29"/>
      <c r="U164" s="29"/>
      <c r="V164" s="1"/>
      <c r="W164" s="34"/>
      <c r="X164" s="34"/>
      <c r="Y164" s="29"/>
      <c r="Z164" s="34"/>
    </row>
    <row x14ac:dyDescent="0.25" r="165" customHeight="1" ht="15.75">
      <c r="A165" s="1"/>
      <c r="B165" s="34"/>
      <c r="C165" s="34"/>
      <c r="D165" s="34"/>
      <c r="E165" s="3"/>
      <c r="F165" s="34"/>
      <c r="G165" s="34"/>
      <c r="H165" s="34"/>
      <c r="I165" s="29"/>
      <c r="J165" s="29"/>
      <c r="K165" s="29"/>
      <c r="L165" s="29"/>
      <c r="M165" s="34"/>
      <c r="N165" s="34"/>
      <c r="O165" s="29"/>
      <c r="P165" s="29"/>
      <c r="Q165" s="29"/>
      <c r="R165" s="29"/>
      <c r="S165" s="29"/>
      <c r="T165" s="29"/>
      <c r="U165" s="29"/>
      <c r="V165" s="1"/>
      <c r="W165" s="34"/>
      <c r="X165" s="34"/>
      <c r="Y165" s="29"/>
      <c r="Z165" s="34"/>
    </row>
    <row x14ac:dyDescent="0.25" r="166" customHeight="1" ht="15.75">
      <c r="A166" s="1"/>
      <c r="B166" s="34"/>
      <c r="C166" s="34"/>
      <c r="D166" s="34"/>
      <c r="E166" s="3"/>
      <c r="F166" s="34"/>
      <c r="G166" s="34"/>
      <c r="H166" s="34"/>
      <c r="I166" s="29"/>
      <c r="J166" s="29"/>
      <c r="K166" s="29"/>
      <c r="L166" s="29"/>
      <c r="M166" s="34"/>
      <c r="N166" s="34"/>
      <c r="O166" s="29"/>
      <c r="P166" s="29"/>
      <c r="Q166" s="29"/>
      <c r="R166" s="29"/>
      <c r="S166" s="29"/>
      <c r="T166" s="29"/>
      <c r="U166" s="29"/>
      <c r="V166" s="1"/>
      <c r="W166" s="34"/>
      <c r="X166" s="34"/>
      <c r="Y166" s="29"/>
      <c r="Z166" s="34"/>
    </row>
    <row x14ac:dyDescent="0.25" r="167" customHeight="1" ht="15.75">
      <c r="A167" s="1"/>
      <c r="B167" s="34"/>
      <c r="C167" s="34"/>
      <c r="D167" s="34"/>
      <c r="E167" s="3"/>
      <c r="F167" s="34"/>
      <c r="G167" s="34"/>
      <c r="H167" s="34"/>
      <c r="I167" s="29"/>
      <c r="J167" s="29"/>
      <c r="K167" s="29"/>
      <c r="L167" s="29"/>
      <c r="M167" s="34"/>
      <c r="N167" s="34"/>
      <c r="O167" s="29"/>
      <c r="P167" s="29"/>
      <c r="Q167" s="29"/>
      <c r="R167" s="29"/>
      <c r="S167" s="29"/>
      <c r="T167" s="29"/>
      <c r="U167" s="29"/>
      <c r="V167" s="1"/>
      <c r="W167" s="34"/>
      <c r="X167" s="34"/>
      <c r="Y167" s="29"/>
      <c r="Z167" s="34"/>
    </row>
    <row x14ac:dyDescent="0.25" r="168" customHeight="1" ht="15.75">
      <c r="A168" s="1"/>
      <c r="B168" s="34"/>
      <c r="C168" s="34"/>
      <c r="D168" s="34"/>
      <c r="E168" s="3"/>
      <c r="F168" s="34"/>
      <c r="G168" s="34"/>
      <c r="H168" s="34"/>
      <c r="I168" s="29"/>
      <c r="J168" s="29"/>
      <c r="K168" s="29"/>
      <c r="L168" s="29"/>
      <c r="M168" s="34"/>
      <c r="N168" s="34"/>
      <c r="O168" s="29"/>
      <c r="P168" s="29"/>
      <c r="Q168" s="29"/>
      <c r="R168" s="29"/>
      <c r="S168" s="29"/>
      <c r="T168" s="29"/>
      <c r="U168" s="29"/>
      <c r="V168" s="1"/>
      <c r="W168" s="34"/>
      <c r="X168" s="34"/>
      <c r="Y168" s="29"/>
      <c r="Z168" s="34"/>
    </row>
    <row x14ac:dyDescent="0.25" r="169" customHeight="1" ht="15.75">
      <c r="A169" s="1"/>
      <c r="B169" s="34"/>
      <c r="C169" s="34"/>
      <c r="D169" s="34"/>
      <c r="E169" s="3"/>
      <c r="F169" s="34"/>
      <c r="G169" s="34"/>
      <c r="H169" s="34"/>
      <c r="I169" s="29"/>
      <c r="J169" s="29"/>
      <c r="K169" s="29"/>
      <c r="L169" s="29"/>
      <c r="M169" s="34"/>
      <c r="N169" s="34"/>
      <c r="O169" s="29"/>
      <c r="P169" s="29"/>
      <c r="Q169" s="29"/>
      <c r="R169" s="29"/>
      <c r="S169" s="29"/>
      <c r="T169" s="29"/>
      <c r="U169" s="29"/>
      <c r="V169" s="1"/>
      <c r="W169" s="34"/>
      <c r="X169" s="34"/>
      <c r="Y169" s="29"/>
      <c r="Z169" s="34"/>
    </row>
    <row x14ac:dyDescent="0.25" r="170" customHeight="1" ht="15.75">
      <c r="A170" s="291"/>
      <c r="B170" s="292"/>
      <c r="C170" s="292"/>
      <c r="D170" s="292"/>
      <c r="E170" s="3"/>
      <c r="F170" s="34"/>
      <c r="G170" s="34"/>
      <c r="H170" s="34"/>
      <c r="I170" s="29"/>
      <c r="J170" s="29"/>
      <c r="K170" s="29"/>
      <c r="L170" s="29"/>
      <c r="M170" s="292"/>
      <c r="N170" s="34"/>
      <c r="O170" s="29"/>
      <c r="P170" s="29"/>
      <c r="Q170" s="29"/>
      <c r="R170" s="29"/>
      <c r="S170" s="29"/>
      <c r="T170" s="29"/>
      <c r="U170" s="29"/>
      <c r="V170" s="1"/>
      <c r="W170" s="34"/>
      <c r="X170" s="34"/>
      <c r="Y170" s="29"/>
      <c r="Z170" s="34"/>
    </row>
    <row x14ac:dyDescent="0.25" r="171" customHeight="1" ht="15.75">
      <c r="A171" s="291"/>
      <c r="B171" s="292"/>
      <c r="C171" s="292"/>
      <c r="D171" s="292"/>
      <c r="E171" s="3"/>
      <c r="F171" s="34"/>
      <c r="G171" s="34"/>
      <c r="H171" s="34"/>
      <c r="I171" s="29"/>
      <c r="J171" s="29"/>
      <c r="K171" s="29"/>
      <c r="L171" s="29"/>
      <c r="M171" s="292"/>
      <c r="N171" s="34"/>
      <c r="O171" s="29"/>
      <c r="P171" s="29"/>
      <c r="Q171" s="29"/>
      <c r="R171" s="29"/>
      <c r="S171" s="29"/>
      <c r="T171" s="29"/>
      <c r="U171" s="29"/>
      <c r="V171" s="1"/>
      <c r="W171" s="34"/>
      <c r="X171" s="34"/>
      <c r="Y171" s="29"/>
      <c r="Z171" s="34"/>
    </row>
    <row x14ac:dyDescent="0.25" r="172" customHeight="1" ht="15.75">
      <c r="A172" s="291"/>
      <c r="B172" s="292"/>
      <c r="C172" s="292"/>
      <c r="D172" s="292"/>
      <c r="E172" s="3"/>
      <c r="F172" s="34"/>
      <c r="G172" s="34"/>
      <c r="H172" s="34"/>
      <c r="I172" s="29"/>
      <c r="J172" s="29"/>
      <c r="K172" s="29"/>
      <c r="L172" s="29"/>
      <c r="M172" s="292"/>
      <c r="N172" s="34"/>
      <c r="O172" s="29"/>
      <c r="P172" s="29"/>
      <c r="Q172" s="29"/>
      <c r="R172" s="29"/>
      <c r="S172" s="29"/>
      <c r="T172" s="29"/>
      <c r="U172" s="29"/>
      <c r="V172" s="1"/>
      <c r="W172" s="34"/>
      <c r="X172" s="34"/>
      <c r="Y172" s="29"/>
      <c r="Z172" s="34"/>
    </row>
    <row x14ac:dyDescent="0.25" r="173" customHeight="1" ht="15.75">
      <c r="A173" s="291"/>
      <c r="B173" s="292"/>
      <c r="C173" s="292"/>
      <c r="D173" s="292"/>
      <c r="E173" s="3"/>
      <c r="F173" s="34"/>
      <c r="G173" s="34"/>
      <c r="H173" s="34"/>
      <c r="I173" s="29"/>
      <c r="J173" s="29"/>
      <c r="K173" s="29"/>
      <c r="L173" s="29"/>
      <c r="M173" s="292"/>
      <c r="N173" s="34"/>
      <c r="O173" s="29"/>
      <c r="P173" s="29"/>
      <c r="Q173" s="29"/>
      <c r="R173" s="29"/>
      <c r="S173" s="29"/>
      <c r="T173" s="29"/>
      <c r="U173" s="29"/>
      <c r="V173" s="1"/>
      <c r="W173" s="34"/>
      <c r="X173" s="34"/>
      <c r="Y173" s="29"/>
      <c r="Z173" s="34"/>
    </row>
    <row x14ac:dyDescent="0.25" r="174" customHeight="1" ht="15.75">
      <c r="A174" s="291"/>
      <c r="B174" s="292"/>
      <c r="C174" s="292"/>
      <c r="D174" s="292"/>
      <c r="E174" s="3"/>
      <c r="F174" s="34"/>
      <c r="G174" s="34"/>
      <c r="H174" s="34"/>
      <c r="I174" s="29"/>
      <c r="J174" s="29"/>
      <c r="K174" s="29"/>
      <c r="L174" s="29"/>
      <c r="M174" s="292"/>
      <c r="N174" s="34"/>
      <c r="O174" s="29"/>
      <c r="P174" s="29"/>
      <c r="Q174" s="29"/>
      <c r="R174" s="29"/>
      <c r="S174" s="29"/>
      <c r="T174" s="29"/>
      <c r="U174" s="29"/>
      <c r="V174" s="1"/>
      <c r="W174" s="34"/>
      <c r="X174" s="34"/>
      <c r="Y174" s="29"/>
      <c r="Z174" s="34"/>
    </row>
    <row x14ac:dyDescent="0.25" r="175" customHeight="1" ht="15.75">
      <c r="A175" s="291"/>
      <c r="B175" s="292"/>
      <c r="C175" s="292"/>
      <c r="D175" s="292"/>
      <c r="E175" s="3"/>
      <c r="F175" s="34"/>
      <c r="G175" s="34"/>
      <c r="H175" s="34"/>
      <c r="I175" s="29"/>
      <c r="J175" s="29"/>
      <c r="K175" s="29"/>
      <c r="L175" s="29"/>
      <c r="M175" s="292"/>
      <c r="N175" s="34"/>
      <c r="O175" s="29"/>
      <c r="P175" s="29"/>
      <c r="Q175" s="29"/>
      <c r="R175" s="29"/>
      <c r="S175" s="29"/>
      <c r="T175" s="29"/>
      <c r="U175" s="29"/>
      <c r="V175" s="1"/>
      <c r="W175" s="34"/>
      <c r="X175" s="34"/>
      <c r="Y175" s="29"/>
      <c r="Z175" s="34"/>
    </row>
    <row x14ac:dyDescent="0.25" r="176" customHeight="1" ht="15.75">
      <c r="A176" s="291"/>
      <c r="B176" s="292"/>
      <c r="C176" s="292"/>
      <c r="D176" s="292"/>
      <c r="E176" s="3"/>
      <c r="F176" s="34"/>
      <c r="G176" s="34"/>
      <c r="H176" s="34"/>
      <c r="I176" s="29"/>
      <c r="J176" s="29"/>
      <c r="K176" s="29"/>
      <c r="L176" s="29"/>
      <c r="M176" s="292"/>
      <c r="N176" s="34"/>
      <c r="O176" s="29"/>
      <c r="P176" s="29"/>
      <c r="Q176" s="29"/>
      <c r="R176" s="29"/>
      <c r="S176" s="29"/>
      <c r="T176" s="29"/>
      <c r="U176" s="29"/>
      <c r="V176" s="1"/>
      <c r="W176" s="34"/>
      <c r="X176" s="34"/>
      <c r="Y176" s="29"/>
      <c r="Z176" s="34"/>
    </row>
    <row x14ac:dyDescent="0.25" r="177" customHeight="1" ht="15.75">
      <c r="A177" s="291"/>
      <c r="B177" s="292"/>
      <c r="C177" s="292"/>
      <c r="D177" s="292"/>
      <c r="E177" s="3"/>
      <c r="F177" s="34"/>
      <c r="G177" s="34"/>
      <c r="H177" s="34"/>
      <c r="I177" s="29"/>
      <c r="J177" s="29"/>
      <c r="K177" s="29"/>
      <c r="L177" s="29"/>
      <c r="M177" s="292"/>
      <c r="N177" s="34"/>
      <c r="O177" s="29"/>
      <c r="P177" s="29"/>
      <c r="Q177" s="29"/>
      <c r="R177" s="29"/>
      <c r="S177" s="29"/>
      <c r="T177" s="29"/>
      <c r="U177" s="29"/>
      <c r="V177" s="1"/>
      <c r="W177" s="34"/>
      <c r="X177" s="34"/>
      <c r="Y177" s="29"/>
      <c r="Z177" s="34"/>
    </row>
    <row x14ac:dyDescent="0.25" r="178" customHeight="1" ht="15.75">
      <c r="A178" s="291"/>
      <c r="B178" s="292"/>
      <c r="C178" s="292"/>
      <c r="D178" s="292"/>
      <c r="E178" s="3"/>
      <c r="F178" s="34"/>
      <c r="G178" s="34"/>
      <c r="H178" s="34"/>
      <c r="I178" s="29"/>
      <c r="J178" s="29"/>
      <c r="K178" s="29"/>
      <c r="L178" s="29"/>
      <c r="M178" s="292"/>
      <c r="N178" s="34"/>
      <c r="O178" s="29"/>
      <c r="P178" s="29"/>
      <c r="Q178" s="29"/>
      <c r="R178" s="29"/>
      <c r="S178" s="29"/>
      <c r="T178" s="29"/>
      <c r="U178" s="29"/>
      <c r="V178" s="1"/>
      <c r="W178" s="34"/>
      <c r="X178" s="34"/>
      <c r="Y178" s="29"/>
      <c r="Z178" s="34"/>
    </row>
    <row x14ac:dyDescent="0.25" r="179" customHeight="1" ht="15.75">
      <c r="A179" s="291"/>
      <c r="B179" s="292"/>
      <c r="C179" s="292"/>
      <c r="D179" s="292"/>
      <c r="E179" s="3"/>
      <c r="F179" s="34"/>
      <c r="G179" s="34"/>
      <c r="H179" s="34"/>
      <c r="I179" s="29"/>
      <c r="J179" s="29"/>
      <c r="K179" s="29"/>
      <c r="L179" s="29"/>
      <c r="M179" s="292"/>
      <c r="N179" s="34"/>
      <c r="O179" s="29"/>
      <c r="P179" s="29"/>
      <c r="Q179" s="29"/>
      <c r="R179" s="29"/>
      <c r="S179" s="29"/>
      <c r="T179" s="29"/>
      <c r="U179" s="29"/>
      <c r="V179" s="1"/>
      <c r="W179" s="34"/>
      <c r="X179" s="34"/>
      <c r="Y179" s="29"/>
      <c r="Z179" s="34"/>
    </row>
    <row x14ac:dyDescent="0.25" r="180" customHeight="1" ht="15.75">
      <c r="A180" s="291"/>
      <c r="B180" s="292"/>
      <c r="C180" s="292"/>
      <c r="D180" s="292"/>
      <c r="E180" s="3"/>
      <c r="F180" s="34"/>
      <c r="G180" s="34"/>
      <c r="H180" s="34"/>
      <c r="I180" s="29"/>
      <c r="J180" s="29"/>
      <c r="K180" s="29"/>
      <c r="L180" s="29"/>
      <c r="M180" s="292"/>
      <c r="N180" s="34"/>
      <c r="O180" s="29"/>
      <c r="P180" s="29"/>
      <c r="Q180" s="29"/>
      <c r="R180" s="29"/>
      <c r="S180" s="29"/>
      <c r="T180" s="29"/>
      <c r="U180" s="29"/>
      <c r="V180" s="1"/>
      <c r="W180" s="34"/>
      <c r="X180" s="34"/>
      <c r="Y180" s="29"/>
      <c r="Z180" s="34"/>
    </row>
    <row x14ac:dyDescent="0.25" r="181" customHeight="1" ht="30">
      <c r="A181" s="291"/>
      <c r="B181" s="292"/>
      <c r="C181" s="292"/>
      <c r="D181" s="292"/>
      <c r="E181" s="3"/>
      <c r="F181" s="34"/>
      <c r="G181" s="34"/>
      <c r="H181" s="34"/>
      <c r="I181" s="29"/>
      <c r="J181" s="29"/>
      <c r="K181" s="29"/>
      <c r="L181" s="29"/>
      <c r="M181" s="292"/>
      <c r="N181" s="34"/>
      <c r="O181" s="29"/>
      <c r="P181" s="29"/>
      <c r="Q181" s="29"/>
      <c r="R181" s="29"/>
      <c r="S181" s="29"/>
      <c r="T181" s="29"/>
      <c r="U181" s="29"/>
      <c r="V181" s="1"/>
      <c r="W181" s="34"/>
      <c r="X181" s="34"/>
      <c r="Y181" s="29"/>
      <c r="Z181" s="34"/>
    </row>
    <row x14ac:dyDescent="0.25" r="182" customHeight="1" ht="15.75">
      <c r="A182" s="291"/>
      <c r="B182" s="292"/>
      <c r="C182" s="292"/>
      <c r="D182" s="292"/>
      <c r="E182" s="3"/>
      <c r="F182" s="34"/>
      <c r="G182" s="34"/>
      <c r="H182" s="34"/>
      <c r="I182" s="29"/>
      <c r="J182" s="29"/>
      <c r="K182" s="29"/>
      <c r="L182" s="29"/>
      <c r="M182" s="292"/>
      <c r="N182" s="34"/>
      <c r="O182" s="29"/>
      <c r="P182" s="29"/>
      <c r="Q182" s="29"/>
      <c r="R182" s="29"/>
      <c r="S182" s="29"/>
      <c r="T182" s="29"/>
      <c r="U182" s="29"/>
      <c r="V182" s="1"/>
      <c r="W182" s="34"/>
      <c r="X182" s="34"/>
      <c r="Y182" s="29"/>
      <c r="Z182" s="34"/>
    </row>
    <row x14ac:dyDescent="0.25" r="183" customHeight="1" ht="15.75">
      <c r="A183" s="291"/>
      <c r="B183" s="292"/>
      <c r="C183" s="292"/>
      <c r="D183" s="292"/>
      <c r="E183" s="3"/>
      <c r="F183" s="34"/>
      <c r="G183" s="34"/>
      <c r="H183" s="34"/>
      <c r="I183" s="29"/>
      <c r="J183" s="29"/>
      <c r="K183" s="29"/>
      <c r="L183" s="29"/>
      <c r="M183" s="292"/>
      <c r="N183" s="34"/>
      <c r="O183" s="29"/>
      <c r="P183" s="29"/>
      <c r="Q183" s="29"/>
      <c r="R183" s="29"/>
      <c r="S183" s="29"/>
      <c r="T183" s="29"/>
      <c r="U183" s="29"/>
      <c r="V183" s="1"/>
      <c r="W183" s="34"/>
      <c r="X183" s="34"/>
      <c r="Y183" s="29"/>
      <c r="Z183" s="34"/>
    </row>
    <row x14ac:dyDescent="0.25" r="184" customHeight="1" ht="15.75">
      <c r="A184" s="291"/>
      <c r="B184" s="292"/>
      <c r="C184" s="292"/>
      <c r="D184" s="292"/>
      <c r="E184" s="3"/>
      <c r="F184" s="34"/>
      <c r="G184" s="34"/>
      <c r="H184" s="34"/>
      <c r="I184" s="29"/>
      <c r="J184" s="29"/>
      <c r="K184" s="29"/>
      <c r="L184" s="29"/>
      <c r="M184" s="292"/>
      <c r="N184" s="34"/>
      <c r="O184" s="29"/>
      <c r="P184" s="29"/>
      <c r="Q184" s="29"/>
      <c r="R184" s="29"/>
      <c r="S184" s="29"/>
      <c r="T184" s="29"/>
      <c r="U184" s="29"/>
      <c r="V184" s="1"/>
      <c r="W184" s="34"/>
      <c r="X184" s="34"/>
      <c r="Y184" s="29"/>
      <c r="Z184" s="34"/>
    </row>
    <row x14ac:dyDescent="0.25" r="185" customHeight="1" ht="15.75">
      <c r="A185" s="291"/>
      <c r="B185" s="292"/>
      <c r="C185" s="292"/>
      <c r="D185" s="292"/>
      <c r="E185" s="3"/>
      <c r="F185" s="34"/>
      <c r="G185" s="34"/>
      <c r="H185" s="34"/>
      <c r="I185" s="29"/>
      <c r="J185" s="29"/>
      <c r="K185" s="29"/>
      <c r="L185" s="29"/>
      <c r="M185" s="292"/>
      <c r="N185" s="34"/>
      <c r="O185" s="29"/>
      <c r="P185" s="29"/>
      <c r="Q185" s="29"/>
      <c r="R185" s="29"/>
      <c r="S185" s="29"/>
      <c r="T185" s="29"/>
      <c r="U185" s="29"/>
      <c r="V185" s="1"/>
      <c r="W185" s="34"/>
      <c r="X185" s="34"/>
      <c r="Y185" s="29"/>
      <c r="Z185" s="34"/>
    </row>
    <row x14ac:dyDescent="0.25" r="186" customHeight="1" ht="15.75">
      <c r="A186" s="291"/>
      <c r="B186" s="292"/>
      <c r="C186" s="292"/>
      <c r="D186" s="292"/>
      <c r="E186" s="3"/>
      <c r="F186" s="34"/>
      <c r="G186" s="34"/>
      <c r="H186" s="34"/>
      <c r="I186" s="29"/>
      <c r="J186" s="29"/>
      <c r="K186" s="29"/>
      <c r="L186" s="29"/>
      <c r="M186" s="292"/>
      <c r="N186" s="34"/>
      <c r="O186" s="29"/>
      <c r="P186" s="29"/>
      <c r="Q186" s="29"/>
      <c r="R186" s="29"/>
      <c r="S186" s="29"/>
      <c r="T186" s="29"/>
      <c r="U186" s="29"/>
      <c r="V186" s="1"/>
      <c r="W186" s="34"/>
      <c r="X186" s="34"/>
      <c r="Y186" s="29"/>
      <c r="Z186" s="34"/>
    </row>
    <row x14ac:dyDescent="0.25" r="187" customHeight="1" ht="15.75">
      <c r="A187" s="291"/>
      <c r="B187" s="292"/>
      <c r="C187" s="292"/>
      <c r="D187" s="292"/>
      <c r="E187" s="3"/>
      <c r="F187" s="34"/>
      <c r="G187" s="34"/>
      <c r="H187" s="34"/>
      <c r="I187" s="29"/>
      <c r="J187" s="29"/>
      <c r="K187" s="29"/>
      <c r="L187" s="29"/>
      <c r="M187" s="292"/>
      <c r="N187" s="34"/>
      <c r="O187" s="29"/>
      <c r="P187" s="29"/>
      <c r="Q187" s="29"/>
      <c r="R187" s="29"/>
      <c r="S187" s="29"/>
      <c r="T187" s="29"/>
      <c r="U187" s="29"/>
      <c r="V187" s="1"/>
      <c r="W187" s="34"/>
      <c r="X187" s="34"/>
      <c r="Y187" s="29"/>
      <c r="Z187" s="34"/>
    </row>
    <row x14ac:dyDescent="0.25" r="188" customHeight="1" ht="15.75">
      <c r="A188" s="291"/>
      <c r="B188" s="292"/>
      <c r="C188" s="292"/>
      <c r="D188" s="292"/>
      <c r="E188" s="3"/>
      <c r="F188" s="34"/>
      <c r="G188" s="34"/>
      <c r="H188" s="34"/>
      <c r="I188" s="29"/>
      <c r="J188" s="29"/>
      <c r="K188" s="29"/>
      <c r="L188" s="29"/>
      <c r="M188" s="292"/>
      <c r="N188" s="34"/>
      <c r="O188" s="29"/>
      <c r="P188" s="29"/>
      <c r="Q188" s="29"/>
      <c r="R188" s="29"/>
      <c r="S188" s="29"/>
      <c r="T188" s="29"/>
      <c r="U188" s="29"/>
      <c r="V188" s="1"/>
      <c r="W188" s="34"/>
      <c r="X188" s="34"/>
      <c r="Y188" s="29"/>
      <c r="Z188" s="34"/>
    </row>
    <row x14ac:dyDescent="0.25" r="189" customHeight="1" ht="15.75">
      <c r="A189" s="291"/>
      <c r="B189" s="292"/>
      <c r="C189" s="292"/>
      <c r="D189" s="292"/>
      <c r="E189" s="3"/>
      <c r="F189" s="34"/>
      <c r="G189" s="34"/>
      <c r="H189" s="34"/>
      <c r="I189" s="29"/>
      <c r="J189" s="29"/>
      <c r="K189" s="29"/>
      <c r="L189" s="29"/>
      <c r="M189" s="292"/>
      <c r="N189" s="34"/>
      <c r="O189" s="29"/>
      <c r="P189" s="29"/>
      <c r="Q189" s="29"/>
      <c r="R189" s="29"/>
      <c r="S189" s="29"/>
      <c r="T189" s="29"/>
      <c r="U189" s="29"/>
      <c r="V189" s="1"/>
      <c r="W189" s="34"/>
      <c r="X189" s="34"/>
      <c r="Y189" s="29"/>
      <c r="Z189" s="34"/>
    </row>
    <row x14ac:dyDescent="0.25" r="190" customHeight="1" ht="15.75">
      <c r="A190" s="291"/>
      <c r="B190" s="292"/>
      <c r="C190" s="292"/>
      <c r="D190" s="292"/>
      <c r="E190" s="3"/>
      <c r="F190" s="34"/>
      <c r="G190" s="34"/>
      <c r="H190" s="34"/>
      <c r="I190" s="29"/>
      <c r="J190" s="29"/>
      <c r="K190" s="29"/>
      <c r="L190" s="29"/>
      <c r="M190" s="292"/>
      <c r="N190" s="34"/>
      <c r="O190" s="29"/>
      <c r="P190" s="29"/>
      <c r="Q190" s="29"/>
      <c r="R190" s="29"/>
      <c r="S190" s="29"/>
      <c r="T190" s="29"/>
      <c r="U190" s="29"/>
      <c r="V190" s="1"/>
      <c r="W190" s="34"/>
      <c r="X190" s="34"/>
      <c r="Y190" s="29"/>
      <c r="Z190" s="34"/>
    </row>
    <row x14ac:dyDescent="0.25" r="191" customHeight="1" ht="15.75">
      <c r="A191" s="291"/>
      <c r="B191" s="292"/>
      <c r="C191" s="292"/>
      <c r="D191" s="292"/>
      <c r="E191" s="3"/>
      <c r="F191" s="34"/>
      <c r="G191" s="34"/>
      <c r="H191" s="34"/>
      <c r="I191" s="29"/>
      <c r="J191" s="29"/>
      <c r="K191" s="29"/>
      <c r="L191" s="29"/>
      <c r="M191" s="292"/>
      <c r="N191" s="34"/>
      <c r="O191" s="29"/>
      <c r="P191" s="29"/>
      <c r="Q191" s="29"/>
      <c r="R191" s="29"/>
      <c r="S191" s="29"/>
      <c r="T191" s="29"/>
      <c r="U191" s="29"/>
      <c r="V191" s="1"/>
      <c r="W191" s="34"/>
      <c r="X191" s="34"/>
      <c r="Y191" s="29"/>
      <c r="Z191" s="34"/>
    </row>
    <row x14ac:dyDescent="0.25" r="192" customHeight="1" ht="15.75">
      <c r="A192" s="291"/>
      <c r="B192" s="292"/>
      <c r="C192" s="292"/>
      <c r="D192" s="292"/>
      <c r="E192" s="3"/>
      <c r="F192" s="34"/>
      <c r="G192" s="34"/>
      <c r="H192" s="34"/>
      <c r="I192" s="29"/>
      <c r="J192" s="29"/>
      <c r="K192" s="29"/>
      <c r="L192" s="29"/>
      <c r="M192" s="292"/>
      <c r="N192" s="34"/>
      <c r="O192" s="29"/>
      <c r="P192" s="29"/>
      <c r="Q192" s="29"/>
      <c r="R192" s="29"/>
      <c r="S192" s="29"/>
      <c r="T192" s="29"/>
      <c r="U192" s="29"/>
      <c r="V192" s="1"/>
      <c r="W192" s="34"/>
      <c r="X192" s="34"/>
      <c r="Y192" s="29"/>
      <c r="Z192" s="34"/>
    </row>
    <row x14ac:dyDescent="0.25" r="193" customHeight="1" ht="15.75">
      <c r="A193" s="291"/>
      <c r="B193" s="292"/>
      <c r="C193" s="292"/>
      <c r="D193" s="292"/>
      <c r="E193" s="3"/>
      <c r="F193" s="34"/>
      <c r="G193" s="34"/>
      <c r="H193" s="34"/>
      <c r="I193" s="29"/>
      <c r="J193" s="29"/>
      <c r="K193" s="29"/>
      <c r="L193" s="29"/>
      <c r="M193" s="292"/>
      <c r="N193" s="34"/>
      <c r="O193" s="29"/>
      <c r="P193" s="29"/>
      <c r="Q193" s="29"/>
      <c r="R193" s="29"/>
      <c r="S193" s="29"/>
      <c r="T193" s="29"/>
      <c r="U193" s="29"/>
      <c r="V193" s="1"/>
      <c r="W193" s="34"/>
      <c r="X193" s="34"/>
      <c r="Y193" s="29"/>
      <c r="Z193" s="34"/>
    </row>
    <row x14ac:dyDescent="0.25" r="194" customHeight="1" ht="15.75">
      <c r="A194" s="291"/>
      <c r="B194" s="292"/>
      <c r="C194" s="292"/>
      <c r="D194" s="292"/>
      <c r="E194" s="3"/>
      <c r="F194" s="34"/>
      <c r="G194" s="34"/>
      <c r="H194" s="34"/>
      <c r="I194" s="29"/>
      <c r="J194" s="29"/>
      <c r="K194" s="29"/>
      <c r="L194" s="29"/>
      <c r="M194" s="292"/>
      <c r="N194" s="34"/>
      <c r="O194" s="29"/>
      <c r="P194" s="29"/>
      <c r="Q194" s="29"/>
      <c r="R194" s="29"/>
      <c r="S194" s="29"/>
      <c r="T194" s="29"/>
      <c r="U194" s="29"/>
      <c r="V194" s="1"/>
      <c r="W194" s="34"/>
      <c r="X194" s="34"/>
      <c r="Y194" s="29"/>
      <c r="Z194" s="34"/>
    </row>
    <row x14ac:dyDescent="0.25" r="195" customHeight="1" ht="15.75">
      <c r="A195" s="291"/>
      <c r="B195" s="292"/>
      <c r="C195" s="292"/>
      <c r="D195" s="292"/>
      <c r="E195" s="3"/>
      <c r="F195" s="34"/>
      <c r="G195" s="34"/>
      <c r="H195" s="34"/>
      <c r="I195" s="29"/>
      <c r="J195" s="29"/>
      <c r="K195" s="29"/>
      <c r="L195" s="29"/>
      <c r="M195" s="292"/>
      <c r="N195" s="34"/>
      <c r="O195" s="29"/>
      <c r="P195" s="29"/>
      <c r="Q195" s="29"/>
      <c r="R195" s="29"/>
      <c r="S195" s="29"/>
      <c r="T195" s="29"/>
      <c r="U195" s="29"/>
      <c r="V195" s="1"/>
      <c r="W195" s="34"/>
      <c r="X195" s="34"/>
      <c r="Y195" s="29"/>
      <c r="Z195" s="34"/>
    </row>
    <row x14ac:dyDescent="0.25" r="196" customHeight="1" ht="15.75">
      <c r="A196" s="291"/>
      <c r="B196" s="292"/>
      <c r="C196" s="292"/>
      <c r="D196" s="292"/>
      <c r="E196" s="3"/>
      <c r="F196" s="34"/>
      <c r="G196" s="34"/>
      <c r="H196" s="34"/>
      <c r="I196" s="29"/>
      <c r="J196" s="29"/>
      <c r="K196" s="29"/>
      <c r="L196" s="29"/>
      <c r="M196" s="292"/>
      <c r="N196" s="34"/>
      <c r="O196" s="29"/>
      <c r="P196" s="29"/>
      <c r="Q196" s="29"/>
      <c r="R196" s="29"/>
      <c r="S196" s="29"/>
      <c r="T196" s="29"/>
      <c r="U196" s="29"/>
      <c r="V196" s="1"/>
      <c r="W196" s="34"/>
      <c r="X196" s="34"/>
      <c r="Y196" s="29"/>
      <c r="Z196" s="34"/>
    </row>
    <row x14ac:dyDescent="0.25" r="197" customHeight="1" ht="15.75">
      <c r="A197" s="291"/>
      <c r="B197" s="292"/>
      <c r="C197" s="292"/>
      <c r="D197" s="292"/>
      <c r="E197" s="3"/>
      <c r="F197" s="34"/>
      <c r="G197" s="34"/>
      <c r="H197" s="34"/>
      <c r="I197" s="29"/>
      <c r="J197" s="29"/>
      <c r="K197" s="29"/>
      <c r="L197" s="29"/>
      <c r="M197" s="292"/>
      <c r="N197" s="34"/>
      <c r="O197" s="29"/>
      <c r="P197" s="29"/>
      <c r="Q197" s="29"/>
      <c r="R197" s="29"/>
      <c r="S197" s="29"/>
      <c r="T197" s="29"/>
      <c r="U197" s="29"/>
      <c r="V197" s="1"/>
      <c r="W197" s="34"/>
      <c r="X197" s="34"/>
      <c r="Y197" s="29"/>
      <c r="Z197" s="34"/>
    </row>
    <row x14ac:dyDescent="0.25" r="198" customHeight="1" ht="15.75">
      <c r="A198" s="291"/>
      <c r="B198" s="3"/>
      <c r="C198" s="3"/>
      <c r="D198" s="3"/>
      <c r="E198" s="3"/>
      <c r="F198" s="34"/>
      <c r="G198" s="34"/>
      <c r="H198" s="34"/>
      <c r="I198" s="29"/>
      <c r="J198" s="29"/>
      <c r="K198" s="29"/>
      <c r="L198" s="29"/>
      <c r="M198" s="292"/>
      <c r="N198" s="34"/>
      <c r="O198" s="29"/>
      <c r="P198" s="29"/>
      <c r="Q198" s="29"/>
      <c r="R198" s="29"/>
      <c r="S198" s="29"/>
      <c r="T198" s="29"/>
      <c r="U198" s="29"/>
      <c r="V198" s="1"/>
      <c r="W198" s="34"/>
      <c r="X198" s="34"/>
      <c r="Y198" s="29"/>
      <c r="Z198" s="34"/>
    </row>
    <row x14ac:dyDescent="0.25" r="199" customHeight="1" ht="15.75">
      <c r="A199" s="291"/>
      <c r="B199" s="3"/>
      <c r="C199" s="3"/>
      <c r="D199" s="3"/>
      <c r="E199" s="3"/>
      <c r="F199" s="34"/>
      <c r="G199" s="34"/>
      <c r="H199" s="34"/>
      <c r="I199" s="29"/>
      <c r="J199" s="29"/>
      <c r="K199" s="29"/>
      <c r="L199" s="29"/>
      <c r="M199" s="292"/>
      <c r="N199" s="34"/>
      <c r="O199" s="29"/>
      <c r="P199" s="29"/>
      <c r="Q199" s="29"/>
      <c r="R199" s="29"/>
      <c r="S199" s="29"/>
      <c r="T199" s="29"/>
      <c r="U199" s="29"/>
      <c r="V199" s="1"/>
      <c r="W199" s="34"/>
      <c r="X199" s="34"/>
      <c r="Y199" s="29"/>
      <c r="Z199" s="34"/>
    </row>
    <row x14ac:dyDescent="0.25" r="200" customHeight="1" ht="15.75">
      <c r="A200" s="291"/>
      <c r="B200" s="3"/>
      <c r="C200" s="3"/>
      <c r="D200" s="3"/>
      <c r="E200" s="3"/>
      <c r="F200" s="34"/>
      <c r="G200" s="34"/>
      <c r="H200" s="34"/>
      <c r="I200" s="29"/>
      <c r="J200" s="29"/>
      <c r="K200" s="29"/>
      <c r="L200" s="29"/>
      <c r="M200" s="292"/>
      <c r="N200" s="34"/>
      <c r="O200" s="29"/>
      <c r="P200" s="29"/>
      <c r="Q200" s="29"/>
      <c r="R200" s="29"/>
      <c r="S200" s="29"/>
      <c r="T200" s="29"/>
      <c r="U200" s="29"/>
      <c r="V200" s="1"/>
      <c r="W200" s="34"/>
      <c r="X200" s="34"/>
      <c r="Y200" s="29"/>
      <c r="Z200" s="34"/>
    </row>
    <row x14ac:dyDescent="0.25" r="201" customHeight="1" ht="15.75">
      <c r="A201" s="291"/>
      <c r="B201" s="3"/>
      <c r="C201" s="3"/>
      <c r="D201" s="3"/>
      <c r="E201" s="3"/>
      <c r="F201" s="34"/>
      <c r="G201" s="34"/>
      <c r="H201" s="34"/>
      <c r="I201" s="29"/>
      <c r="J201" s="29"/>
      <c r="K201" s="29"/>
      <c r="L201" s="29"/>
      <c r="M201" s="34"/>
      <c r="N201" s="292"/>
      <c r="O201" s="29"/>
      <c r="P201" s="29"/>
      <c r="Q201" s="29"/>
      <c r="R201" s="29"/>
      <c r="S201" s="29"/>
      <c r="T201" s="29"/>
      <c r="U201" s="29"/>
      <c r="V201" s="1"/>
      <c r="W201" s="34"/>
      <c r="X201" s="34"/>
      <c r="Y201" s="29"/>
      <c r="Z201" s="34"/>
    </row>
    <row x14ac:dyDescent="0.25" r="202" customHeight="1" ht="15.75">
      <c r="A202" s="291"/>
      <c r="B202" s="3"/>
      <c r="C202" s="3"/>
      <c r="D202" s="3"/>
      <c r="E202" s="3"/>
      <c r="F202" s="34"/>
      <c r="G202" s="34"/>
      <c r="H202" s="34"/>
      <c r="I202" s="29"/>
      <c r="J202" s="29"/>
      <c r="K202" s="29"/>
      <c r="L202" s="29"/>
      <c r="M202" s="34"/>
      <c r="N202" s="292"/>
      <c r="O202" s="29"/>
      <c r="P202" s="29"/>
      <c r="Q202" s="29"/>
      <c r="R202" s="29"/>
      <c r="S202" s="29"/>
      <c r="T202" s="29"/>
      <c r="U202" s="29"/>
      <c r="V202" s="1"/>
      <c r="W202" s="34"/>
      <c r="X202" s="34"/>
      <c r="Y202" s="29"/>
      <c r="Z202" s="34"/>
    </row>
    <row x14ac:dyDescent="0.25" r="203" customHeight="1" ht="15.75">
      <c r="A203" s="291"/>
      <c r="B203" s="3"/>
      <c r="C203" s="3"/>
      <c r="D203" s="3"/>
      <c r="E203" s="292"/>
      <c r="F203" s="34"/>
      <c r="G203" s="34"/>
      <c r="H203" s="34"/>
      <c r="I203" s="29"/>
      <c r="J203" s="29"/>
      <c r="K203" s="29"/>
      <c r="L203" s="29"/>
      <c r="M203" s="34"/>
      <c r="N203" s="292"/>
      <c r="O203" s="29"/>
      <c r="P203" s="29"/>
      <c r="Q203" s="29"/>
      <c r="R203" s="29"/>
      <c r="S203" s="29"/>
      <c r="T203" s="29"/>
      <c r="U203" s="29"/>
      <c r="V203" s="1"/>
      <c r="W203" s="34"/>
      <c r="X203" s="34"/>
      <c r="Y203" s="29"/>
      <c r="Z203" s="34"/>
    </row>
    <row x14ac:dyDescent="0.25" r="204" customHeight="1" ht="15.75">
      <c r="A204" s="291"/>
      <c r="B204" s="3"/>
      <c r="C204" s="3"/>
      <c r="D204" s="3"/>
      <c r="E204" s="292"/>
      <c r="F204" s="34"/>
      <c r="G204" s="34"/>
      <c r="H204" s="34"/>
      <c r="I204" s="29"/>
      <c r="J204" s="29"/>
      <c r="K204" s="29"/>
      <c r="L204" s="29"/>
      <c r="M204" s="34"/>
      <c r="N204" s="292"/>
      <c r="O204" s="29"/>
      <c r="P204" s="29"/>
      <c r="Q204" s="29"/>
      <c r="R204" s="29"/>
      <c r="S204" s="29"/>
      <c r="T204" s="29"/>
      <c r="U204" s="29"/>
      <c r="V204" s="1"/>
      <c r="W204" s="34"/>
      <c r="X204" s="34"/>
      <c r="Y204" s="29"/>
      <c r="Z204" s="34"/>
    </row>
    <row x14ac:dyDescent="0.25" r="205" customHeight="1" ht="15">
      <c r="A205" s="1"/>
      <c r="B205" s="34"/>
      <c r="C205" s="34"/>
      <c r="D205" s="34"/>
      <c r="E205" s="292"/>
      <c r="F205" s="34"/>
      <c r="G205" s="34"/>
      <c r="H205" s="34"/>
      <c r="I205" s="29"/>
      <c r="J205" s="29"/>
      <c r="K205" s="29"/>
      <c r="L205" s="29"/>
      <c r="M205" s="34"/>
      <c r="N205" s="34"/>
      <c r="O205" s="29"/>
      <c r="P205" s="29"/>
      <c r="Q205" s="29"/>
      <c r="R205" s="29"/>
      <c r="S205" s="29"/>
      <c r="T205" s="29"/>
      <c r="U205" s="29"/>
      <c r="V205" s="1"/>
      <c r="W205" s="34"/>
      <c r="X205" s="34"/>
      <c r="Y205" s="29"/>
      <c r="Z205" s="34"/>
    </row>
    <row x14ac:dyDescent="0.25" r="206" customHeight="1" ht="15">
      <c r="A206" s="1"/>
      <c r="B206" s="34"/>
      <c r="C206" s="34"/>
      <c r="D206" s="34"/>
      <c r="E206" s="292"/>
      <c r="F206" s="34"/>
      <c r="G206" s="34"/>
      <c r="H206" s="34"/>
      <c r="I206" s="29"/>
      <c r="J206" s="29"/>
      <c r="K206" s="29"/>
      <c r="L206" s="29"/>
      <c r="M206" s="34"/>
      <c r="N206" s="34"/>
      <c r="O206" s="29"/>
      <c r="P206" s="29"/>
      <c r="Q206" s="29"/>
      <c r="R206" s="29"/>
      <c r="S206" s="29"/>
      <c r="T206" s="29"/>
      <c r="U206" s="29"/>
      <c r="V206" s="1"/>
      <c r="W206" s="34"/>
      <c r="X206" s="34"/>
      <c r="Y206" s="29"/>
      <c r="Z206" s="34"/>
    </row>
    <row x14ac:dyDescent="0.25" r="207" customHeight="1" ht="15">
      <c r="A207" s="1"/>
      <c r="B207" s="34"/>
      <c r="C207" s="34"/>
      <c r="D207" s="34"/>
      <c r="E207" s="292"/>
      <c r="F207" s="34"/>
      <c r="G207" s="34"/>
      <c r="H207" s="34"/>
      <c r="I207" s="29"/>
      <c r="J207" s="29"/>
      <c r="K207" s="29"/>
      <c r="L207" s="29"/>
      <c r="M207" s="34"/>
      <c r="N207" s="34"/>
      <c r="O207" s="29"/>
      <c r="P207" s="29"/>
      <c r="Q207" s="29"/>
      <c r="R207" s="29"/>
      <c r="S207" s="29"/>
      <c r="T207" s="29"/>
      <c r="U207" s="29"/>
      <c r="V207" s="1"/>
      <c r="W207" s="34"/>
      <c r="X207" s="34"/>
      <c r="Y207" s="29"/>
      <c r="Z207" s="34"/>
    </row>
    <row x14ac:dyDescent="0.25" r="208" customHeight="1" ht="15">
      <c r="A208" s="1"/>
      <c r="B208" s="34"/>
      <c r="C208" s="34"/>
      <c r="D208" s="34"/>
      <c r="E208" s="292"/>
      <c r="F208" s="34"/>
      <c r="G208" s="34"/>
      <c r="H208" s="34"/>
      <c r="I208" s="29"/>
      <c r="J208" s="29"/>
      <c r="K208" s="29"/>
      <c r="L208" s="29"/>
      <c r="M208" s="34"/>
      <c r="N208" s="34"/>
      <c r="O208" s="29"/>
      <c r="P208" s="29"/>
      <c r="Q208" s="29"/>
      <c r="R208" s="29"/>
      <c r="S208" s="29"/>
      <c r="T208" s="29"/>
      <c r="U208" s="29"/>
      <c r="V208" s="1"/>
      <c r="W208" s="34"/>
      <c r="X208" s="34"/>
      <c r="Y208" s="29"/>
      <c r="Z208" s="34"/>
    </row>
    <row x14ac:dyDescent="0.25" r="209" customHeight="1" ht="15">
      <c r="A209" s="1"/>
      <c r="B209" s="34"/>
      <c r="C209" s="34"/>
      <c r="D209" s="34"/>
      <c r="E209" s="292"/>
      <c r="F209" s="34"/>
      <c r="G209" s="34"/>
      <c r="H209" s="34"/>
      <c r="I209" s="29"/>
      <c r="J209" s="29"/>
      <c r="K209" s="29"/>
      <c r="L209" s="29"/>
      <c r="M209" s="34"/>
      <c r="N209" s="34"/>
      <c r="O209" s="29"/>
      <c r="P209" s="29"/>
      <c r="Q209" s="29"/>
      <c r="R209" s="29"/>
      <c r="S209" s="29"/>
      <c r="T209" s="29"/>
      <c r="U209" s="29"/>
      <c r="V209" s="1"/>
      <c r="W209" s="34"/>
      <c r="X209" s="34"/>
      <c r="Y209" s="29"/>
      <c r="Z209" s="34"/>
    </row>
    <row x14ac:dyDescent="0.25" r="210" customHeight="1" ht="15">
      <c r="A210" s="1"/>
      <c r="B210" s="34"/>
      <c r="C210" s="34"/>
      <c r="D210" s="34"/>
      <c r="E210" s="292"/>
      <c r="F210" s="34"/>
      <c r="G210" s="34"/>
      <c r="H210" s="34"/>
      <c r="I210" s="29"/>
      <c r="J210" s="29"/>
      <c r="K210" s="29"/>
      <c r="L210" s="29"/>
      <c r="M210" s="34"/>
      <c r="N210" s="34"/>
      <c r="O210" s="29"/>
      <c r="P210" s="29"/>
      <c r="Q210" s="29"/>
      <c r="R210" s="29"/>
      <c r="S210" s="29"/>
      <c r="T210" s="29"/>
      <c r="U210" s="29"/>
      <c r="V210" s="1"/>
      <c r="W210" s="34"/>
      <c r="X210" s="34"/>
      <c r="Y210" s="29"/>
      <c r="Z210" s="34"/>
    </row>
    <row x14ac:dyDescent="0.25" r="211" customHeight="1" ht="15">
      <c r="A211" s="1"/>
      <c r="B211" s="34"/>
      <c r="C211" s="34"/>
      <c r="D211" s="34"/>
      <c r="E211" s="292"/>
      <c r="F211" s="34"/>
      <c r="G211" s="34"/>
      <c r="H211" s="34"/>
      <c r="I211" s="29"/>
      <c r="J211" s="29"/>
      <c r="K211" s="29"/>
      <c r="L211" s="29"/>
      <c r="M211" s="34"/>
      <c r="N211" s="34"/>
      <c r="O211" s="29"/>
      <c r="P211" s="29"/>
      <c r="Q211" s="29"/>
      <c r="R211" s="29"/>
      <c r="S211" s="29"/>
      <c r="T211" s="29"/>
      <c r="U211" s="29"/>
      <c r="V211" s="1"/>
      <c r="W211" s="34"/>
      <c r="X211" s="34"/>
      <c r="Y211" s="29"/>
      <c r="Z211" s="34"/>
    </row>
    <row x14ac:dyDescent="0.25" r="212" customHeight="1" ht="15">
      <c r="A212" s="1"/>
      <c r="B212" s="34"/>
      <c r="C212" s="34"/>
      <c r="D212" s="34"/>
      <c r="E212" s="292"/>
      <c r="F212" s="34"/>
      <c r="G212" s="34"/>
      <c r="H212" s="34"/>
      <c r="I212" s="29"/>
      <c r="J212" s="29"/>
      <c r="K212" s="29"/>
      <c r="L212" s="29"/>
      <c r="M212" s="34"/>
      <c r="N212" s="34"/>
      <c r="O212" s="29"/>
      <c r="P212" s="29"/>
      <c r="Q212" s="29"/>
      <c r="R212" s="29"/>
      <c r="S212" s="29"/>
      <c r="T212" s="29"/>
      <c r="U212" s="29"/>
      <c r="V212" s="1"/>
      <c r="W212" s="34"/>
      <c r="X212" s="34"/>
      <c r="Y212" s="29"/>
      <c r="Z212" s="34"/>
    </row>
    <row x14ac:dyDescent="0.25" r="213" customHeight="1" ht="15">
      <c r="A213" s="1"/>
      <c r="B213" s="34"/>
      <c r="C213" s="34"/>
      <c r="D213" s="34"/>
      <c r="E213" s="292"/>
      <c r="F213" s="34"/>
      <c r="G213" s="34"/>
      <c r="H213" s="34"/>
      <c r="I213" s="29"/>
      <c r="J213" s="29"/>
      <c r="K213" s="29"/>
      <c r="L213" s="29"/>
      <c r="M213" s="34"/>
      <c r="N213" s="34"/>
      <c r="O213" s="29"/>
      <c r="P213" s="29"/>
      <c r="Q213" s="29"/>
      <c r="R213" s="29"/>
      <c r="S213" s="29"/>
      <c r="T213" s="29"/>
      <c r="U213" s="29"/>
      <c r="V213" s="1"/>
      <c r="W213" s="34"/>
      <c r="X213" s="34"/>
      <c r="Y213" s="29"/>
      <c r="Z213" s="34"/>
    </row>
    <row x14ac:dyDescent="0.25" r="214" customHeight="1" ht="15">
      <c r="A214" s="1"/>
      <c r="B214" s="34"/>
      <c r="C214" s="34"/>
      <c r="D214" s="34"/>
      <c r="E214" s="292"/>
      <c r="F214" s="34"/>
      <c r="G214" s="34"/>
      <c r="H214" s="34"/>
      <c r="I214" s="29"/>
      <c r="J214" s="29"/>
      <c r="K214" s="29"/>
      <c r="L214" s="29"/>
      <c r="M214" s="34"/>
      <c r="N214" s="34"/>
      <c r="O214" s="29"/>
      <c r="P214" s="29"/>
      <c r="Q214" s="29"/>
      <c r="R214" s="29"/>
      <c r="S214" s="29"/>
      <c r="T214" s="29"/>
      <c r="U214" s="29"/>
      <c r="V214" s="1"/>
      <c r="W214" s="34"/>
      <c r="X214" s="34"/>
      <c r="Y214" s="29"/>
      <c r="Z214" s="34"/>
    </row>
    <row x14ac:dyDescent="0.25" r="215" customHeight="1" ht="15">
      <c r="A215" s="1"/>
      <c r="B215" s="34"/>
      <c r="C215" s="34"/>
      <c r="D215" s="34"/>
      <c r="E215" s="292"/>
      <c r="F215" s="34"/>
      <c r="G215" s="34"/>
      <c r="H215" s="34"/>
      <c r="I215" s="29"/>
      <c r="J215" s="29"/>
      <c r="K215" s="29"/>
      <c r="L215" s="29"/>
      <c r="M215" s="34"/>
      <c r="N215" s="34"/>
      <c r="O215" s="29"/>
      <c r="P215" s="29"/>
      <c r="Q215" s="29"/>
      <c r="R215" s="29"/>
      <c r="S215" s="29"/>
      <c r="T215" s="29"/>
      <c r="U215" s="29"/>
      <c r="V215" s="1"/>
      <c r="W215" s="34"/>
      <c r="X215" s="34"/>
      <c r="Y215" s="29"/>
      <c r="Z215" s="34"/>
    </row>
    <row x14ac:dyDescent="0.25" r="216" customHeight="1" ht="15">
      <c r="A216" s="1"/>
      <c r="B216" s="34"/>
      <c r="C216" s="34"/>
      <c r="D216" s="34"/>
      <c r="E216" s="292"/>
      <c r="F216" s="34"/>
      <c r="G216" s="34"/>
      <c r="H216" s="34"/>
      <c r="I216" s="29"/>
      <c r="J216" s="29"/>
      <c r="K216" s="29"/>
      <c r="L216" s="29"/>
      <c r="M216" s="34"/>
      <c r="N216" s="34"/>
      <c r="O216" s="29"/>
      <c r="P216" s="29"/>
      <c r="Q216" s="29"/>
      <c r="R216" s="29"/>
      <c r="S216" s="29"/>
      <c r="T216" s="29"/>
      <c r="U216" s="29"/>
      <c r="V216" s="1"/>
      <c r="W216" s="34"/>
      <c r="X216" s="34"/>
      <c r="Y216" s="29"/>
      <c r="Z216" s="34"/>
    </row>
    <row x14ac:dyDescent="0.25" r="217" customHeight="1" ht="15">
      <c r="A217" s="1"/>
      <c r="B217" s="34"/>
      <c r="C217" s="34"/>
      <c r="D217" s="34"/>
      <c r="E217" s="292"/>
      <c r="F217" s="34"/>
      <c r="G217" s="34"/>
      <c r="H217" s="34"/>
      <c r="I217" s="29"/>
      <c r="J217" s="29"/>
      <c r="K217" s="29"/>
      <c r="L217" s="29"/>
      <c r="M217" s="34"/>
      <c r="N217" s="34"/>
      <c r="O217" s="29"/>
      <c r="P217" s="29"/>
      <c r="Q217" s="29"/>
      <c r="R217" s="29"/>
      <c r="S217" s="29"/>
      <c r="T217" s="29"/>
      <c r="U217" s="29"/>
      <c r="V217" s="1"/>
      <c r="W217" s="34"/>
      <c r="X217" s="34"/>
      <c r="Y217" s="29"/>
      <c r="Z217" s="34"/>
    </row>
    <row x14ac:dyDescent="0.25" r="218" customHeight="1" ht="15">
      <c r="A218" s="1"/>
      <c r="B218" s="34"/>
      <c r="C218" s="34"/>
      <c r="D218" s="34"/>
      <c r="E218" s="292"/>
      <c r="F218" s="34"/>
      <c r="G218" s="34"/>
      <c r="H218" s="34"/>
      <c r="I218" s="29"/>
      <c r="J218" s="29"/>
      <c r="K218" s="29"/>
      <c r="L218" s="29"/>
      <c r="M218" s="34"/>
      <c r="N218" s="34"/>
      <c r="O218" s="29"/>
      <c r="P218" s="29"/>
      <c r="Q218" s="29"/>
      <c r="R218" s="29"/>
      <c r="S218" s="29"/>
      <c r="T218" s="29"/>
      <c r="U218" s="29"/>
      <c r="V218" s="1"/>
      <c r="W218" s="34"/>
      <c r="X218" s="34"/>
      <c r="Y218" s="29"/>
      <c r="Z218" s="34"/>
    </row>
    <row x14ac:dyDescent="0.25" r="219" customHeight="1" ht="15">
      <c r="A219" s="1"/>
      <c r="B219" s="34"/>
      <c r="C219" s="34"/>
      <c r="D219" s="34"/>
      <c r="E219" s="292"/>
      <c r="F219" s="34"/>
      <c r="G219" s="34"/>
      <c r="H219" s="34"/>
      <c r="I219" s="29"/>
      <c r="J219" s="29"/>
      <c r="K219" s="29"/>
      <c r="L219" s="29"/>
      <c r="M219" s="34"/>
      <c r="N219" s="34"/>
      <c r="O219" s="29"/>
      <c r="P219" s="29"/>
      <c r="Q219" s="29"/>
      <c r="R219" s="29"/>
      <c r="S219" s="29"/>
      <c r="T219" s="29"/>
      <c r="U219" s="29"/>
      <c r="V219" s="1"/>
      <c r="W219" s="34"/>
      <c r="X219" s="34"/>
      <c r="Y219" s="29"/>
      <c r="Z219" s="34"/>
    </row>
    <row x14ac:dyDescent="0.25" r="220" customHeight="1" ht="15">
      <c r="A220" s="1"/>
      <c r="B220" s="34"/>
      <c r="C220" s="34"/>
      <c r="D220" s="34"/>
      <c r="E220" s="292"/>
      <c r="F220" s="34"/>
      <c r="G220" s="34"/>
      <c r="H220" s="34"/>
      <c r="I220" s="29"/>
      <c r="J220" s="29"/>
      <c r="K220" s="29"/>
      <c r="L220" s="29"/>
      <c r="M220" s="34"/>
      <c r="N220" s="34"/>
      <c r="O220" s="29"/>
      <c r="P220" s="29"/>
      <c r="Q220" s="29"/>
      <c r="R220" s="29"/>
      <c r="S220" s="29"/>
      <c r="T220" s="29"/>
      <c r="U220" s="29"/>
      <c r="V220" s="1"/>
      <c r="W220" s="34"/>
      <c r="X220" s="34"/>
      <c r="Y220" s="29"/>
      <c r="Z220" s="34"/>
    </row>
    <row x14ac:dyDescent="0.25" r="221" customHeight="1" ht="15">
      <c r="A221" s="1"/>
      <c r="B221" s="34"/>
      <c r="C221" s="34"/>
      <c r="D221" s="34"/>
      <c r="E221" s="292"/>
      <c r="F221" s="34"/>
      <c r="G221" s="34"/>
      <c r="H221" s="34"/>
      <c r="I221" s="29"/>
      <c r="J221" s="29"/>
      <c r="K221" s="29"/>
      <c r="L221" s="29"/>
      <c r="M221" s="34"/>
      <c r="N221" s="34"/>
      <c r="O221" s="29"/>
      <c r="P221" s="29"/>
      <c r="Q221" s="29"/>
      <c r="R221" s="29"/>
      <c r="S221" s="29"/>
      <c r="T221" s="29"/>
      <c r="U221" s="29"/>
      <c r="V221" s="1"/>
      <c r="W221" s="34"/>
      <c r="X221" s="34"/>
      <c r="Y221" s="29"/>
      <c r="Z221" s="34"/>
    </row>
    <row x14ac:dyDescent="0.25" r="222" customHeight="1" ht="15">
      <c r="A222" s="1"/>
      <c r="B222" s="34"/>
      <c r="C222" s="34"/>
      <c r="D222" s="34"/>
      <c r="E222" s="292"/>
      <c r="F222" s="34"/>
      <c r="G222" s="34"/>
      <c r="H222" s="34"/>
      <c r="I222" s="29"/>
      <c r="J222" s="29"/>
      <c r="K222" s="29"/>
      <c r="L222" s="29"/>
      <c r="M222" s="34"/>
      <c r="N222" s="34"/>
      <c r="O222" s="29"/>
      <c r="P222" s="29"/>
      <c r="Q222" s="29"/>
      <c r="R222" s="29"/>
      <c r="S222" s="29"/>
      <c r="T222" s="29"/>
      <c r="U222" s="29"/>
      <c r="V222" s="1"/>
      <c r="W222" s="34"/>
      <c r="X222" s="34"/>
      <c r="Y222" s="29"/>
      <c r="Z222" s="34"/>
    </row>
    <row x14ac:dyDescent="0.25" r="223" customHeight="1" ht="15">
      <c r="A223" s="1"/>
      <c r="B223" s="34"/>
      <c r="C223" s="34"/>
      <c r="D223" s="34"/>
      <c r="E223" s="292"/>
      <c r="F223" s="34"/>
      <c r="G223" s="34"/>
      <c r="H223" s="34"/>
      <c r="I223" s="29"/>
      <c r="J223" s="29"/>
      <c r="K223" s="29"/>
      <c r="L223" s="29"/>
      <c r="M223" s="34"/>
      <c r="N223" s="34"/>
      <c r="O223" s="29"/>
      <c r="P223" s="29"/>
      <c r="Q223" s="29"/>
      <c r="R223" s="29"/>
      <c r="S223" s="29"/>
      <c r="T223" s="29"/>
      <c r="U223" s="29"/>
      <c r="V223" s="1"/>
      <c r="W223" s="34"/>
      <c r="X223" s="34"/>
      <c r="Y223" s="29"/>
      <c r="Z223" s="34"/>
    </row>
    <row x14ac:dyDescent="0.25" r="224" customHeight="1" ht="15">
      <c r="A224" s="1"/>
      <c r="B224" s="34"/>
      <c r="C224" s="34"/>
      <c r="D224" s="34"/>
      <c r="E224" s="292"/>
      <c r="F224" s="34"/>
      <c r="G224" s="34"/>
      <c r="H224" s="34"/>
      <c r="I224" s="29"/>
      <c r="J224" s="29"/>
      <c r="K224" s="29"/>
      <c r="L224" s="29"/>
      <c r="M224" s="34"/>
      <c r="N224" s="34"/>
      <c r="O224" s="29"/>
      <c r="P224" s="29"/>
      <c r="Q224" s="29"/>
      <c r="R224" s="29"/>
      <c r="S224" s="29"/>
      <c r="T224" s="29"/>
      <c r="U224" s="29"/>
      <c r="V224" s="1"/>
      <c r="W224" s="34"/>
      <c r="X224" s="34"/>
      <c r="Y224" s="29"/>
      <c r="Z224" s="34"/>
    </row>
    <row x14ac:dyDescent="0.25" r="225" customHeight="1" ht="15">
      <c r="A225" s="1"/>
      <c r="B225" s="34"/>
      <c r="C225" s="34"/>
      <c r="D225" s="34"/>
      <c r="E225" s="292"/>
      <c r="F225" s="34"/>
      <c r="G225" s="34"/>
      <c r="H225" s="34"/>
      <c r="I225" s="29"/>
      <c r="J225" s="29"/>
      <c r="K225" s="29"/>
      <c r="L225" s="29"/>
      <c r="M225" s="34"/>
      <c r="N225" s="34"/>
      <c r="O225" s="29"/>
      <c r="P225" s="29"/>
      <c r="Q225" s="29"/>
      <c r="R225" s="29"/>
      <c r="S225" s="29"/>
      <c r="T225" s="29"/>
      <c r="U225" s="29"/>
      <c r="V225" s="1"/>
      <c r="W225" s="34"/>
      <c r="X225" s="34"/>
      <c r="Y225" s="29"/>
      <c r="Z225" s="34"/>
    </row>
    <row x14ac:dyDescent="0.25" r="226" customHeight="1" ht="15">
      <c r="A226" s="1"/>
      <c r="B226" s="34"/>
      <c r="C226" s="34"/>
      <c r="D226" s="34"/>
      <c r="E226" s="292"/>
      <c r="F226" s="34"/>
      <c r="G226" s="34"/>
      <c r="H226" s="34"/>
      <c r="I226" s="29"/>
      <c r="J226" s="29"/>
      <c r="K226" s="29"/>
      <c r="L226" s="29"/>
      <c r="M226" s="34"/>
      <c r="N226" s="34"/>
      <c r="O226" s="29"/>
      <c r="P226" s="29"/>
      <c r="Q226" s="29"/>
      <c r="R226" s="29"/>
      <c r="S226" s="29"/>
      <c r="T226" s="29"/>
      <c r="U226" s="29"/>
      <c r="V226" s="1"/>
      <c r="W226" s="34"/>
      <c r="X226" s="34"/>
      <c r="Y226" s="29"/>
      <c r="Z226" s="34"/>
    </row>
    <row x14ac:dyDescent="0.25" r="227" customHeight="1" ht="15">
      <c r="A227" s="1"/>
      <c r="B227" s="34"/>
      <c r="C227" s="34"/>
      <c r="D227" s="34"/>
      <c r="E227" s="292"/>
      <c r="F227" s="34"/>
      <c r="G227" s="34"/>
      <c r="H227" s="34"/>
      <c r="I227" s="29"/>
      <c r="J227" s="29"/>
      <c r="K227" s="29"/>
      <c r="L227" s="29"/>
      <c r="M227" s="34"/>
      <c r="N227" s="34"/>
      <c r="O227" s="29"/>
      <c r="P227" s="29"/>
      <c r="Q227" s="29"/>
      <c r="R227" s="29"/>
      <c r="S227" s="29"/>
      <c r="T227" s="29"/>
      <c r="U227" s="29"/>
      <c r="V227" s="1"/>
      <c r="W227" s="34"/>
      <c r="X227" s="34"/>
      <c r="Y227" s="29"/>
      <c r="Z227" s="34"/>
    </row>
    <row x14ac:dyDescent="0.25" r="228" customHeight="1" ht="15">
      <c r="A228" s="1"/>
      <c r="B228" s="34"/>
      <c r="C228" s="34"/>
      <c r="D228" s="34"/>
      <c r="E228" s="292"/>
      <c r="F228" s="34"/>
      <c r="G228" s="34"/>
      <c r="H228" s="34"/>
      <c r="I228" s="29"/>
      <c r="J228" s="29"/>
      <c r="K228" s="29"/>
      <c r="L228" s="29"/>
      <c r="M228" s="34"/>
      <c r="N228" s="34"/>
      <c r="O228" s="29"/>
      <c r="P228" s="29"/>
      <c r="Q228" s="29"/>
      <c r="R228" s="29"/>
      <c r="S228" s="29"/>
      <c r="T228" s="29"/>
      <c r="U228" s="29"/>
      <c r="V228" s="1"/>
      <c r="W228" s="34"/>
      <c r="X228" s="34"/>
      <c r="Y228" s="29"/>
      <c r="Z228" s="34"/>
    </row>
    <row x14ac:dyDescent="0.25" r="229" customHeight="1" ht="15">
      <c r="A229" s="1"/>
      <c r="B229" s="34"/>
      <c r="C229" s="34"/>
      <c r="D229" s="34"/>
      <c r="E229" s="292"/>
      <c r="F229" s="34"/>
      <c r="G229" s="34"/>
      <c r="H229" s="34"/>
      <c r="I229" s="29"/>
      <c r="J229" s="29"/>
      <c r="K229" s="29"/>
      <c r="L229" s="29"/>
      <c r="M229" s="34"/>
      <c r="N229" s="34"/>
      <c r="O229" s="29"/>
      <c r="P229" s="29"/>
      <c r="Q229" s="29"/>
      <c r="R229" s="29"/>
      <c r="S229" s="29"/>
      <c r="T229" s="29"/>
      <c r="U229" s="29"/>
      <c r="V229" s="1"/>
      <c r="W229" s="34"/>
      <c r="X229" s="34"/>
      <c r="Y229" s="29"/>
      <c r="Z229" s="34"/>
    </row>
    <row x14ac:dyDescent="0.25" r="230" customHeight="1" ht="15">
      <c r="A230" s="1"/>
      <c r="B230" s="34"/>
      <c r="C230" s="34"/>
      <c r="D230" s="34"/>
      <c r="E230" s="292"/>
      <c r="F230" s="34"/>
      <c r="G230" s="34"/>
      <c r="H230" s="34"/>
      <c r="I230" s="29"/>
      <c r="J230" s="29"/>
      <c r="K230" s="29"/>
      <c r="L230" s="29"/>
      <c r="M230" s="34"/>
      <c r="N230" s="34"/>
      <c r="O230" s="29"/>
      <c r="P230" s="29"/>
      <c r="Q230" s="29"/>
      <c r="R230" s="29"/>
      <c r="S230" s="29"/>
      <c r="T230" s="29"/>
      <c r="U230" s="29"/>
      <c r="V230" s="1"/>
      <c r="W230" s="34"/>
      <c r="X230" s="34"/>
      <c r="Y230" s="29"/>
      <c r="Z230" s="34"/>
    </row>
    <row x14ac:dyDescent="0.25" r="231" customHeight="1" ht="15">
      <c r="A231" s="1"/>
      <c r="B231" s="34"/>
      <c r="C231" s="34"/>
      <c r="D231" s="34"/>
      <c r="E231" s="292"/>
      <c r="F231" s="34"/>
      <c r="G231" s="34"/>
      <c r="H231" s="34"/>
      <c r="I231" s="29"/>
      <c r="J231" s="29"/>
      <c r="K231" s="29"/>
      <c r="L231" s="29"/>
      <c r="M231" s="34"/>
      <c r="N231" s="34"/>
      <c r="O231" s="29"/>
      <c r="P231" s="29"/>
      <c r="Q231" s="29"/>
      <c r="R231" s="29"/>
      <c r="S231" s="29"/>
      <c r="T231" s="29"/>
      <c r="U231" s="29"/>
      <c r="V231" s="1"/>
      <c r="W231" s="34"/>
      <c r="X231" s="34"/>
      <c r="Y231" s="29"/>
      <c r="Z231" s="34"/>
    </row>
    <row x14ac:dyDescent="0.25" r="232" customHeight="1" ht="15">
      <c r="A232" s="1"/>
      <c r="B232" s="34"/>
      <c r="C232" s="34"/>
      <c r="D232" s="34"/>
      <c r="E232" s="292"/>
      <c r="F232" s="34"/>
      <c r="G232" s="34"/>
      <c r="H232" s="34"/>
      <c r="I232" s="29"/>
      <c r="J232" s="29"/>
      <c r="K232" s="29"/>
      <c r="L232" s="29"/>
      <c r="M232" s="34"/>
      <c r="N232" s="34"/>
      <c r="O232" s="29"/>
      <c r="P232" s="29"/>
      <c r="Q232" s="29"/>
      <c r="R232" s="29"/>
      <c r="S232" s="29"/>
      <c r="T232" s="29"/>
      <c r="U232" s="29"/>
      <c r="V232" s="1"/>
      <c r="W232" s="34"/>
      <c r="X232" s="34"/>
      <c r="Y232" s="29"/>
      <c r="Z232" s="34"/>
    </row>
    <row x14ac:dyDescent="0.25" r="233" customHeight="1" ht="15">
      <c r="A233" s="1"/>
      <c r="B233" s="34"/>
      <c r="C233" s="34"/>
      <c r="D233" s="34"/>
      <c r="E233" s="292"/>
      <c r="F233" s="34"/>
      <c r="G233" s="34"/>
      <c r="H233" s="34"/>
      <c r="I233" s="29"/>
      <c r="J233" s="29"/>
      <c r="K233" s="29"/>
      <c r="L233" s="29"/>
      <c r="M233" s="34"/>
      <c r="N233" s="34"/>
      <c r="O233" s="29"/>
      <c r="P233" s="29"/>
      <c r="Q233" s="29"/>
      <c r="R233" s="29"/>
      <c r="S233" s="29"/>
      <c r="T233" s="29"/>
      <c r="U233" s="29"/>
      <c r="V233" s="1"/>
      <c r="W233" s="34"/>
      <c r="X233" s="34"/>
      <c r="Y233" s="29"/>
      <c r="Z233" s="34"/>
    </row>
    <row x14ac:dyDescent="0.25" r="234" customHeight="1" ht="15">
      <c r="A234" s="1"/>
      <c r="B234" s="34"/>
      <c r="C234" s="34"/>
      <c r="D234" s="34"/>
      <c r="E234" s="292"/>
      <c r="F234" s="34"/>
      <c r="G234" s="34"/>
      <c r="H234" s="34"/>
      <c r="I234" s="29"/>
      <c r="J234" s="29"/>
      <c r="K234" s="29"/>
      <c r="L234" s="29"/>
      <c r="M234" s="34"/>
      <c r="N234" s="34"/>
      <c r="O234" s="29"/>
      <c r="P234" s="29"/>
      <c r="Q234" s="29"/>
      <c r="R234" s="29"/>
      <c r="S234" s="29"/>
      <c r="T234" s="29"/>
      <c r="U234" s="29"/>
      <c r="V234" s="1"/>
      <c r="W234" s="34"/>
      <c r="X234" s="34"/>
      <c r="Y234" s="29"/>
      <c r="Z234" s="34"/>
    </row>
    <row x14ac:dyDescent="0.25" r="235" customHeight="1" ht="15">
      <c r="A235" s="1"/>
      <c r="B235" s="34"/>
      <c r="C235" s="34"/>
      <c r="D235" s="34"/>
      <c r="E235" s="292"/>
      <c r="F235" s="34"/>
      <c r="G235" s="34"/>
      <c r="H235" s="34"/>
      <c r="I235" s="29"/>
      <c r="J235" s="29"/>
      <c r="K235" s="29"/>
      <c r="L235" s="29"/>
      <c r="M235" s="34"/>
      <c r="N235" s="34"/>
      <c r="O235" s="29"/>
      <c r="P235" s="29"/>
      <c r="Q235" s="29"/>
      <c r="R235" s="29"/>
      <c r="S235" s="29"/>
      <c r="T235" s="29"/>
      <c r="U235" s="29"/>
      <c r="V235" s="1"/>
      <c r="W235" s="34"/>
      <c r="X235" s="34"/>
      <c r="Y235" s="29"/>
      <c r="Z235" s="34"/>
    </row>
    <row x14ac:dyDescent="0.25" r="236" customHeight="1" ht="15">
      <c r="A236" s="1"/>
      <c r="B236" s="34"/>
      <c r="C236" s="34"/>
      <c r="D236" s="34"/>
      <c r="E236" s="292"/>
      <c r="F236" s="34"/>
      <c r="G236" s="34"/>
      <c r="H236" s="34"/>
      <c r="I236" s="29"/>
      <c r="J236" s="29"/>
      <c r="K236" s="29"/>
      <c r="L236" s="29"/>
      <c r="M236" s="34"/>
      <c r="N236" s="34"/>
      <c r="O236" s="29"/>
      <c r="P236" s="29"/>
      <c r="Q236" s="29"/>
      <c r="R236" s="29"/>
      <c r="S236" s="29"/>
      <c r="T236" s="29"/>
      <c r="U236" s="29"/>
      <c r="V236" s="1"/>
      <c r="W236" s="34"/>
      <c r="X236" s="34"/>
      <c r="Y236" s="29"/>
      <c r="Z236" s="34"/>
    </row>
    <row x14ac:dyDescent="0.25" r="237" customHeight="1" ht="15">
      <c r="A237" s="1"/>
      <c r="B237" s="34"/>
      <c r="C237" s="34"/>
      <c r="D237" s="34"/>
      <c r="E237" s="292"/>
      <c r="F237" s="34"/>
      <c r="G237" s="34"/>
      <c r="H237" s="34"/>
      <c r="I237" s="29"/>
      <c r="J237" s="29"/>
      <c r="K237" s="29"/>
      <c r="L237" s="29"/>
      <c r="M237" s="34"/>
      <c r="N237" s="34"/>
      <c r="O237" s="29"/>
      <c r="P237" s="29"/>
      <c r="Q237" s="29"/>
      <c r="R237" s="29"/>
      <c r="S237" s="29"/>
      <c r="T237" s="29"/>
      <c r="U237" s="29"/>
      <c r="V237" s="1"/>
      <c r="W237" s="34"/>
      <c r="X237" s="34"/>
      <c r="Y237" s="29"/>
      <c r="Z237" s="34"/>
    </row>
  </sheetData>
  <mergeCells count="1">
    <mergeCell ref="P71:P7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1052"/>
  <sheetViews>
    <sheetView workbookViewId="0"/>
  </sheetViews>
  <sheetFormatPr defaultRowHeight="15" x14ac:dyDescent="0.25"/>
  <cols>
    <col min="1" max="1" style="20" width="12.005" customWidth="1" bestFit="1"/>
    <col min="2" max="2" style="37" width="8.005" customWidth="1" bestFit="1"/>
    <col min="3" max="3" style="37" width="13.576428571428572" customWidth="1" bestFit="1"/>
    <col min="4" max="4" style="36" width="13.147857142857141" customWidth="1" bestFit="1"/>
    <col min="5" max="5" style="36" width="12.147857142857141" customWidth="1" bestFit="1"/>
    <col min="6" max="6" style="36" width="13.147857142857141" customWidth="1" bestFit="1"/>
    <col min="7" max="7" style="36" width="40.43357142857143" customWidth="1" bestFit="1"/>
    <col min="8" max="8" style="36" width="8.576428571428572" customWidth="1" bestFit="1"/>
    <col min="9" max="9" style="37" width="10.43357142857143" customWidth="1" bestFit="1"/>
    <col min="10" max="10" style="37" width="13.576428571428572" customWidth="1" bestFit="1"/>
    <col min="11" max="11" style="37" width="14.147857142857141" customWidth="1" bestFit="1"/>
    <col min="12" max="12" style="37" width="13.576428571428572" customWidth="1" bestFit="1"/>
    <col min="13" max="13" style="36" width="14.005" customWidth="1" bestFit="1"/>
    <col min="14" max="14" style="36" width="24.862142857142857" customWidth="1" bestFit="1"/>
    <col min="15" max="15" style="37" width="13.576428571428572" customWidth="1" bestFit="1"/>
    <col min="16" max="16" style="37" width="10.147857142857141" customWidth="1" bestFit="1"/>
    <col min="17" max="17" style="37" width="10.147857142857141" customWidth="1" bestFit="1"/>
    <col min="18" max="18" style="37" width="10.147857142857141" customWidth="1" bestFit="1"/>
    <col min="19" max="19" style="37" width="12.576428571428572" customWidth="1" bestFit="1"/>
    <col min="20" max="20" style="20" width="12.576428571428572" customWidth="1" bestFit="1"/>
    <col min="21" max="21" style="36" width="11.290714285714287" customWidth="1" bestFit="1"/>
    <col min="22" max="22" style="36" width="19.005" customWidth="1" bestFit="1"/>
  </cols>
  <sheetData>
    <row x14ac:dyDescent="0.25" r="1" customHeight="1" ht="19.5">
      <c r="A1" s="25" t="s">
        <v>1</v>
      </c>
      <c r="B1" s="27" t="s">
        <v>3</v>
      </c>
      <c r="C1" s="27" t="s">
        <v>4</v>
      </c>
      <c r="D1" s="26" t="s">
        <v>505</v>
      </c>
      <c r="E1" s="26" t="s">
        <v>5</v>
      </c>
      <c r="F1" s="26" t="s">
        <v>6</v>
      </c>
      <c r="G1" s="26" t="s">
        <v>7</v>
      </c>
      <c r="H1" s="26" t="s">
        <v>8</v>
      </c>
      <c r="I1" s="27" t="s">
        <v>9</v>
      </c>
      <c r="J1" s="27" t="s">
        <v>10</v>
      </c>
      <c r="K1" s="27" t="s">
        <v>11</v>
      </c>
      <c r="L1" s="27" t="s">
        <v>12</v>
      </c>
      <c r="M1" s="26" t="s">
        <v>13</v>
      </c>
      <c r="N1" s="26" t="s">
        <v>14</v>
      </c>
      <c r="O1" s="27" t="s">
        <v>15</v>
      </c>
      <c r="P1" s="27" t="s">
        <v>511</v>
      </c>
      <c r="Q1" s="27" t="s">
        <v>17</v>
      </c>
      <c r="R1" s="27" t="s">
        <v>1662</v>
      </c>
      <c r="S1" s="27" t="s">
        <v>1663</v>
      </c>
      <c r="T1" s="25" t="s">
        <v>1664</v>
      </c>
      <c r="U1" s="26" t="s">
        <v>1665</v>
      </c>
      <c r="V1" s="26" t="s">
        <v>20</v>
      </c>
    </row>
    <row x14ac:dyDescent="0.25" r="2" customHeight="1" ht="18.75">
      <c r="A2" s="163">
        <v>45839</v>
      </c>
      <c r="B2" s="217" t="s">
        <v>46</v>
      </c>
      <c r="C2" s="217" t="s">
        <v>2975</v>
      </c>
      <c r="D2" s="30" t="s">
        <v>54</v>
      </c>
      <c r="E2" s="30" t="s">
        <v>2976</v>
      </c>
      <c r="F2" s="30" t="s">
        <v>24</v>
      </c>
      <c r="G2" s="30" t="s">
        <v>2977</v>
      </c>
      <c r="H2" s="30" t="s">
        <v>26</v>
      </c>
      <c r="I2" s="217"/>
      <c r="J2" s="69">
        <v>375000</v>
      </c>
      <c r="K2" s="69">
        <v>0</v>
      </c>
      <c r="L2" s="17">
        <f>J2-K2</f>
      </c>
      <c r="M2" s="30" t="s">
        <v>46</v>
      </c>
      <c r="N2" s="30" t="s">
        <v>2978</v>
      </c>
      <c r="O2" s="217" t="s">
        <v>2979</v>
      </c>
      <c r="P2" s="217"/>
      <c r="Q2" s="217"/>
      <c r="R2" s="17">
        <v>375000</v>
      </c>
      <c r="S2" s="17">
        <f>J2-P2-R2</f>
      </c>
      <c r="T2" s="12">
        <v>45856</v>
      </c>
      <c r="U2" s="14" t="s">
        <v>2122</v>
      </c>
      <c r="V2" s="14"/>
    </row>
    <row x14ac:dyDescent="0.25" r="3" customHeight="1" ht="18.75">
      <c r="A3" s="12">
        <v>45839</v>
      </c>
      <c r="B3" s="65" t="s">
        <v>53</v>
      </c>
      <c r="C3" s="65" t="s">
        <v>313</v>
      </c>
      <c r="D3" s="14"/>
      <c r="E3" s="14" t="s">
        <v>2980</v>
      </c>
      <c r="F3" s="14" t="s">
        <v>1513</v>
      </c>
      <c r="G3" s="231" t="s">
        <v>2981</v>
      </c>
      <c r="H3" s="30" t="s">
        <v>26</v>
      </c>
      <c r="I3" s="65"/>
      <c r="J3" s="17">
        <v>121900</v>
      </c>
      <c r="K3" s="17">
        <v>98400</v>
      </c>
      <c r="L3" s="17">
        <f>J3-K3</f>
      </c>
      <c r="M3" s="14" t="s">
        <v>137</v>
      </c>
      <c r="N3" s="14" t="s">
        <v>2982</v>
      </c>
      <c r="O3" s="65" t="s">
        <v>251</v>
      </c>
      <c r="P3" s="65"/>
      <c r="Q3" s="65"/>
      <c r="R3" s="65"/>
      <c r="S3" s="17">
        <f>J3-P3-R3</f>
      </c>
      <c r="T3" s="12"/>
      <c r="U3" s="17"/>
      <c r="V3" s="14"/>
    </row>
    <row x14ac:dyDescent="0.25" r="4" customHeight="1" ht="18.75">
      <c r="A4" s="163">
        <v>45840</v>
      </c>
      <c r="B4" s="217" t="s">
        <v>72</v>
      </c>
      <c r="C4" s="217" t="s">
        <v>2983</v>
      </c>
      <c r="D4" s="30" t="s">
        <v>448</v>
      </c>
      <c r="E4" s="30" t="s">
        <v>2984</v>
      </c>
      <c r="F4" s="30" t="s">
        <v>24</v>
      </c>
      <c r="G4" s="30" t="s">
        <v>2985</v>
      </c>
      <c r="H4" s="30" t="s">
        <v>26</v>
      </c>
      <c r="I4" s="217"/>
      <c r="J4" s="69">
        <v>130000</v>
      </c>
      <c r="K4" s="69">
        <v>70000</v>
      </c>
      <c r="L4" s="17">
        <f>J4-K4</f>
      </c>
      <c r="M4" s="30" t="s">
        <v>36</v>
      </c>
      <c r="N4" s="30" t="s">
        <v>2986</v>
      </c>
      <c r="O4" s="217" t="s">
        <v>2987</v>
      </c>
      <c r="P4" s="217"/>
      <c r="Q4" s="217"/>
      <c r="R4" s="17">
        <v>130000</v>
      </c>
      <c r="S4" s="17">
        <f>J4-P4-R4</f>
      </c>
      <c r="T4" s="12">
        <v>45856</v>
      </c>
      <c r="U4" s="14" t="s">
        <v>2122</v>
      </c>
      <c r="V4" s="14"/>
    </row>
    <row x14ac:dyDescent="0.25" r="5" customHeight="1" ht="13.5">
      <c r="A5" s="12">
        <v>45840</v>
      </c>
      <c r="B5" s="217" t="s">
        <v>53</v>
      </c>
      <c r="C5" s="217" t="s">
        <v>2988</v>
      </c>
      <c r="D5" s="30" t="s">
        <v>2989</v>
      </c>
      <c r="E5" s="30" t="s">
        <v>2990</v>
      </c>
      <c r="F5" s="30" t="s">
        <v>344</v>
      </c>
      <c r="G5" s="232" t="s">
        <v>2991</v>
      </c>
      <c r="H5" s="30" t="s">
        <v>26</v>
      </c>
      <c r="I5" s="233">
        <v>0</v>
      </c>
      <c r="J5" s="69">
        <v>118200</v>
      </c>
      <c r="K5" s="233">
        <v>118200</v>
      </c>
      <c r="L5" s="17">
        <f>J5-K5</f>
      </c>
      <c r="M5" s="30" t="s">
        <v>137</v>
      </c>
      <c r="N5" s="30" t="s">
        <v>2992</v>
      </c>
      <c r="O5" s="217"/>
      <c r="P5" s="217"/>
      <c r="Q5" s="217"/>
      <c r="R5" s="17">
        <v>118200</v>
      </c>
      <c r="S5" s="17">
        <f>J5-P5-R5</f>
      </c>
      <c r="T5" s="12">
        <v>45810</v>
      </c>
      <c r="U5" s="14" t="s">
        <v>1718</v>
      </c>
      <c r="V5" s="14"/>
    </row>
    <row x14ac:dyDescent="0.25" r="6" customHeight="1" ht="18.75">
      <c r="A6" s="12">
        <v>45840</v>
      </c>
      <c r="B6" s="217" t="s">
        <v>53</v>
      </c>
      <c r="C6" s="217" t="s">
        <v>2988</v>
      </c>
      <c r="D6" s="30" t="s">
        <v>2989</v>
      </c>
      <c r="E6" s="30" t="s">
        <v>2990</v>
      </c>
      <c r="F6" s="30" t="s">
        <v>344</v>
      </c>
      <c r="G6" s="232" t="s">
        <v>2993</v>
      </c>
      <c r="H6" s="30" t="s">
        <v>26</v>
      </c>
      <c r="I6" s="233">
        <v>0</v>
      </c>
      <c r="J6" s="69">
        <v>118200</v>
      </c>
      <c r="K6" s="233">
        <v>118200</v>
      </c>
      <c r="L6" s="17">
        <f>J6-K6</f>
      </c>
      <c r="M6" s="30" t="s">
        <v>137</v>
      </c>
      <c r="N6" s="30" t="s">
        <v>2992</v>
      </c>
      <c r="O6" s="217"/>
      <c r="P6" s="217"/>
      <c r="Q6" s="217"/>
      <c r="R6" s="17">
        <v>118200</v>
      </c>
      <c r="S6" s="17">
        <f>J6-P6-R6</f>
      </c>
      <c r="T6" s="12">
        <v>45810</v>
      </c>
      <c r="U6" s="14" t="s">
        <v>1718</v>
      </c>
      <c r="V6" s="14"/>
    </row>
    <row x14ac:dyDescent="0.25" r="7" customHeight="1" ht="18.75">
      <c r="A7" s="12">
        <v>45840</v>
      </c>
      <c r="B7" s="65" t="s">
        <v>106</v>
      </c>
      <c r="C7" s="65" t="s">
        <v>2994</v>
      </c>
      <c r="D7" s="14" t="s">
        <v>1416</v>
      </c>
      <c r="E7" s="14" t="s">
        <v>2995</v>
      </c>
      <c r="F7" s="14" t="s">
        <v>2996</v>
      </c>
      <c r="G7" s="30" t="s">
        <v>2997</v>
      </c>
      <c r="H7" s="30" t="s">
        <v>76</v>
      </c>
      <c r="I7" s="65"/>
      <c r="J7" s="17">
        <v>620820</v>
      </c>
      <c r="K7" s="17">
        <v>512220</v>
      </c>
      <c r="L7" s="17">
        <f>J7-K7</f>
      </c>
      <c r="M7" s="14" t="s">
        <v>187</v>
      </c>
      <c r="N7" s="14" t="s">
        <v>2998</v>
      </c>
      <c r="O7" s="65"/>
      <c r="P7" s="65"/>
      <c r="Q7" s="65"/>
      <c r="R7" s="17">
        <v>620820</v>
      </c>
      <c r="S7" s="17">
        <f>J7-P7-R7</f>
      </c>
      <c r="T7" s="12">
        <v>45840</v>
      </c>
      <c r="U7" s="14" t="s">
        <v>1718</v>
      </c>
      <c r="V7" s="14"/>
    </row>
    <row x14ac:dyDescent="0.25" r="8" customHeight="1" ht="18.75">
      <c r="A8" s="12">
        <v>45840</v>
      </c>
      <c r="B8" s="65" t="s">
        <v>106</v>
      </c>
      <c r="C8" s="65" t="s">
        <v>2994</v>
      </c>
      <c r="D8" s="14" t="s">
        <v>1416</v>
      </c>
      <c r="E8" s="14" t="s">
        <v>2995</v>
      </c>
      <c r="F8" s="14" t="s">
        <v>2996</v>
      </c>
      <c r="G8" s="30" t="s">
        <v>2999</v>
      </c>
      <c r="H8" s="30" t="s">
        <v>76</v>
      </c>
      <c r="I8" s="65"/>
      <c r="J8" s="17">
        <v>620820</v>
      </c>
      <c r="K8" s="17">
        <v>512220</v>
      </c>
      <c r="L8" s="17">
        <f>J8-K8</f>
      </c>
      <c r="M8" s="14" t="s">
        <v>187</v>
      </c>
      <c r="N8" s="14" t="s">
        <v>3000</v>
      </c>
      <c r="O8" s="65"/>
      <c r="P8" s="17">
        <v>379180</v>
      </c>
      <c r="Q8" s="65"/>
      <c r="R8" s="17">
        <v>241640</v>
      </c>
      <c r="S8" s="17">
        <f>J8-P8-R8</f>
      </c>
      <c r="T8" s="175" t="s">
        <v>3001</v>
      </c>
      <c r="U8" s="70" t="s">
        <v>3002</v>
      </c>
      <c r="V8" s="14" t="s">
        <v>3003</v>
      </c>
    </row>
    <row x14ac:dyDescent="0.25" r="9" customHeight="1" ht="18.75">
      <c r="A9" s="12">
        <v>45840</v>
      </c>
      <c r="B9" s="65" t="s">
        <v>106</v>
      </c>
      <c r="C9" s="65" t="s">
        <v>2994</v>
      </c>
      <c r="D9" s="14" t="s">
        <v>1416</v>
      </c>
      <c r="E9" s="14" t="s">
        <v>2995</v>
      </c>
      <c r="F9" s="14" t="s">
        <v>2996</v>
      </c>
      <c r="G9" s="30" t="s">
        <v>3004</v>
      </c>
      <c r="H9" s="30" t="s">
        <v>76</v>
      </c>
      <c r="I9" s="65"/>
      <c r="J9" s="17">
        <v>620820</v>
      </c>
      <c r="K9" s="17">
        <v>512220</v>
      </c>
      <c r="L9" s="17">
        <f>J9-K9</f>
      </c>
      <c r="M9" s="14" t="s">
        <v>187</v>
      </c>
      <c r="N9" s="14" t="s">
        <v>3005</v>
      </c>
      <c r="O9" s="65"/>
      <c r="P9" s="65"/>
      <c r="Q9" s="65"/>
      <c r="R9" s="17">
        <v>620820</v>
      </c>
      <c r="S9" s="17">
        <f>J9-P9-R9</f>
      </c>
      <c r="T9" s="12">
        <v>45926</v>
      </c>
      <c r="U9" s="14" t="s">
        <v>2216</v>
      </c>
      <c r="V9" s="14" t="s">
        <v>3003</v>
      </c>
    </row>
    <row x14ac:dyDescent="0.25" r="10" customHeight="1" ht="18.75">
      <c r="A10" s="12">
        <v>45841</v>
      </c>
      <c r="B10" s="65" t="s">
        <v>123</v>
      </c>
      <c r="C10" s="65" t="s">
        <v>3006</v>
      </c>
      <c r="D10" s="14" t="s">
        <v>448</v>
      </c>
      <c r="E10" s="14" t="s">
        <v>3007</v>
      </c>
      <c r="F10" s="14" t="s">
        <v>3008</v>
      </c>
      <c r="G10" s="30" t="s">
        <v>939</v>
      </c>
      <c r="H10" s="30" t="s">
        <v>26</v>
      </c>
      <c r="I10" s="65"/>
      <c r="J10" s="17">
        <v>1583520</v>
      </c>
      <c r="K10" s="17">
        <v>1481320</v>
      </c>
      <c r="L10" s="17">
        <f>J10-K10</f>
      </c>
      <c r="M10" s="14" t="s">
        <v>280</v>
      </c>
      <c r="N10" s="14" t="s">
        <v>3009</v>
      </c>
      <c r="O10" s="17">
        <v>4</v>
      </c>
      <c r="P10" s="65"/>
      <c r="Q10" s="65"/>
      <c r="R10" s="17">
        <v>1583520</v>
      </c>
      <c r="S10" s="17">
        <f>J10-P10-R10</f>
      </c>
      <c r="T10" s="12">
        <v>45873</v>
      </c>
      <c r="U10" s="14" t="s">
        <v>2216</v>
      </c>
      <c r="V10" s="14" t="s">
        <v>3010</v>
      </c>
    </row>
    <row x14ac:dyDescent="0.25" r="11" customHeight="1" ht="18.75">
      <c r="A11" s="12">
        <v>45841</v>
      </c>
      <c r="B11" s="217" t="s">
        <v>3011</v>
      </c>
      <c r="C11" s="217" t="s">
        <v>3012</v>
      </c>
      <c r="D11" s="30" t="s">
        <v>3013</v>
      </c>
      <c r="E11" s="30" t="s">
        <v>3014</v>
      </c>
      <c r="F11" s="30" t="s">
        <v>147</v>
      </c>
      <c r="G11" s="30" t="s">
        <v>3015</v>
      </c>
      <c r="H11" s="30" t="s">
        <v>26</v>
      </c>
      <c r="I11" s="217"/>
      <c r="J11" s="69">
        <v>392800</v>
      </c>
      <c r="K11" s="69">
        <v>270500</v>
      </c>
      <c r="L11" s="17">
        <f>J11-K11</f>
      </c>
      <c r="M11" s="30" t="s">
        <v>36</v>
      </c>
      <c r="N11" s="30" t="s">
        <v>3016</v>
      </c>
      <c r="O11" s="65"/>
      <c r="P11" s="65"/>
      <c r="Q11" s="65"/>
      <c r="R11" s="17">
        <v>392800</v>
      </c>
      <c r="S11" s="17">
        <f>J11-P11-R11</f>
      </c>
      <c r="T11" s="12">
        <v>45925</v>
      </c>
      <c r="U11" s="17"/>
      <c r="V11" s="14"/>
    </row>
    <row x14ac:dyDescent="0.25" r="12" customHeight="1" ht="18.75">
      <c r="A12" s="12">
        <v>45841</v>
      </c>
      <c r="B12" s="217" t="s">
        <v>3011</v>
      </c>
      <c r="C12" s="217" t="s">
        <v>3012</v>
      </c>
      <c r="D12" s="30" t="s">
        <v>3013</v>
      </c>
      <c r="E12" s="30" t="s">
        <v>3014</v>
      </c>
      <c r="F12" s="30" t="s">
        <v>147</v>
      </c>
      <c r="G12" s="14" t="s">
        <v>3017</v>
      </c>
      <c r="H12" s="14" t="s">
        <v>26</v>
      </c>
      <c r="I12" s="65"/>
      <c r="J12" s="69">
        <v>392800</v>
      </c>
      <c r="K12" s="69">
        <v>270500</v>
      </c>
      <c r="L12" s="17">
        <f>J12-K12</f>
      </c>
      <c r="M12" s="14" t="s">
        <v>36</v>
      </c>
      <c r="N12" s="30" t="s">
        <v>3018</v>
      </c>
      <c r="O12" s="65"/>
      <c r="P12" s="65"/>
      <c r="Q12" s="65"/>
      <c r="R12" s="17">
        <v>392800</v>
      </c>
      <c r="S12" s="17">
        <f>J12-P12-R12</f>
      </c>
      <c r="T12" s="12">
        <v>45925</v>
      </c>
      <c r="U12" s="17"/>
      <c r="V12" s="14"/>
    </row>
    <row x14ac:dyDescent="0.25" r="13" customHeight="1" ht="18.75">
      <c r="A13" s="12">
        <v>45841</v>
      </c>
      <c r="B13" s="65" t="s">
        <v>106</v>
      </c>
      <c r="C13" s="65" t="s">
        <v>2994</v>
      </c>
      <c r="D13" s="14" t="s">
        <v>54</v>
      </c>
      <c r="E13" s="14" t="s">
        <v>3019</v>
      </c>
      <c r="F13" s="14" t="s">
        <v>2996</v>
      </c>
      <c r="G13" s="30" t="s">
        <v>2997</v>
      </c>
      <c r="H13" s="30" t="s">
        <v>76</v>
      </c>
      <c r="I13" s="65"/>
      <c r="J13" s="17">
        <v>73100</v>
      </c>
      <c r="K13" s="17">
        <v>80800</v>
      </c>
      <c r="L13" s="17">
        <f>J13-K13</f>
      </c>
      <c r="M13" s="14" t="s">
        <v>187</v>
      </c>
      <c r="N13" s="14" t="s">
        <v>3020</v>
      </c>
      <c r="O13" s="65" t="s">
        <v>251</v>
      </c>
      <c r="P13" s="65"/>
      <c r="Q13" s="65"/>
      <c r="R13" s="17">
        <v>73100</v>
      </c>
      <c r="S13" s="17">
        <f>J13-P13-R13</f>
      </c>
      <c r="T13" s="12">
        <v>45926</v>
      </c>
      <c r="U13" s="14" t="s">
        <v>2216</v>
      </c>
      <c r="V13" s="14" t="s">
        <v>3003</v>
      </c>
    </row>
    <row x14ac:dyDescent="0.25" r="14" customHeight="1" ht="18.75">
      <c r="A14" s="12">
        <v>45841</v>
      </c>
      <c r="B14" s="65" t="s">
        <v>106</v>
      </c>
      <c r="C14" s="65" t="s">
        <v>2994</v>
      </c>
      <c r="D14" s="14" t="s">
        <v>54</v>
      </c>
      <c r="E14" s="14" t="s">
        <v>3019</v>
      </c>
      <c r="F14" s="14" t="s">
        <v>2996</v>
      </c>
      <c r="G14" s="30" t="s">
        <v>2999</v>
      </c>
      <c r="H14" s="30" t="s">
        <v>76</v>
      </c>
      <c r="I14" s="65"/>
      <c r="J14" s="17">
        <v>73100</v>
      </c>
      <c r="K14" s="17">
        <v>80800</v>
      </c>
      <c r="L14" s="17">
        <f>J14-K14</f>
      </c>
      <c r="M14" s="14" t="s">
        <v>187</v>
      </c>
      <c r="N14" s="14" t="s">
        <v>3021</v>
      </c>
      <c r="O14" s="65" t="s">
        <v>251</v>
      </c>
      <c r="P14" s="65"/>
      <c r="Q14" s="65"/>
      <c r="R14" s="17">
        <v>73100</v>
      </c>
      <c r="S14" s="17">
        <f>J14-P14-R14</f>
      </c>
      <c r="T14" s="12">
        <v>45926</v>
      </c>
      <c r="U14" s="14" t="s">
        <v>2216</v>
      </c>
      <c r="V14" s="14" t="s">
        <v>3003</v>
      </c>
    </row>
    <row x14ac:dyDescent="0.25" r="15" customHeight="1" ht="18.75">
      <c r="A15" s="12">
        <v>45841</v>
      </c>
      <c r="B15" s="65" t="s">
        <v>106</v>
      </c>
      <c r="C15" s="65" t="s">
        <v>2994</v>
      </c>
      <c r="D15" s="14" t="s">
        <v>54</v>
      </c>
      <c r="E15" s="14" t="s">
        <v>3019</v>
      </c>
      <c r="F15" s="14" t="s">
        <v>2996</v>
      </c>
      <c r="G15" s="30" t="s">
        <v>3004</v>
      </c>
      <c r="H15" s="30" t="s">
        <v>76</v>
      </c>
      <c r="I15" s="65"/>
      <c r="J15" s="17">
        <v>73100</v>
      </c>
      <c r="K15" s="17">
        <v>80800</v>
      </c>
      <c r="L15" s="17">
        <f>J15-K15</f>
      </c>
      <c r="M15" s="14" t="s">
        <v>187</v>
      </c>
      <c r="N15" s="14" t="s">
        <v>3022</v>
      </c>
      <c r="O15" s="65" t="s">
        <v>251</v>
      </c>
      <c r="P15" s="65"/>
      <c r="Q15" s="65"/>
      <c r="R15" s="17">
        <v>73100</v>
      </c>
      <c r="S15" s="17">
        <f>J15-P15-R15</f>
      </c>
      <c r="T15" s="12">
        <v>45926</v>
      </c>
      <c r="U15" s="14" t="s">
        <v>2216</v>
      </c>
      <c r="V15" s="14" t="s">
        <v>3003</v>
      </c>
    </row>
    <row x14ac:dyDescent="0.25" r="16" customHeight="1" ht="18.75">
      <c r="A16" s="12">
        <v>45842</v>
      </c>
      <c r="B16" s="65" t="s">
        <v>72</v>
      </c>
      <c r="C16" s="65" t="s">
        <v>3023</v>
      </c>
      <c r="D16" s="14" t="s">
        <v>3024</v>
      </c>
      <c r="E16" s="14" t="s">
        <v>3025</v>
      </c>
      <c r="F16" s="14" t="s">
        <v>3026</v>
      </c>
      <c r="G16" s="30" t="s">
        <v>3027</v>
      </c>
      <c r="H16" s="30" t="s">
        <v>26</v>
      </c>
      <c r="I16" s="17">
        <v>349000</v>
      </c>
      <c r="J16" s="17">
        <v>649920</v>
      </c>
      <c r="K16" s="17">
        <v>563920</v>
      </c>
      <c r="L16" s="17">
        <f>J16-K16</f>
      </c>
      <c r="M16" s="14" t="s">
        <v>280</v>
      </c>
      <c r="N16" s="14" t="s">
        <v>3028</v>
      </c>
      <c r="O16" s="17">
        <v>4</v>
      </c>
      <c r="P16" s="65"/>
      <c r="Q16" s="65"/>
      <c r="R16" s="17">
        <v>649920</v>
      </c>
      <c r="S16" s="17">
        <f>J16-P16-R16</f>
      </c>
      <c r="T16" s="12">
        <v>45846</v>
      </c>
      <c r="U16" s="14" t="s">
        <v>1718</v>
      </c>
      <c r="V16" s="14"/>
    </row>
    <row x14ac:dyDescent="0.25" r="17" customHeight="1" ht="18.75">
      <c r="A17" s="12">
        <v>45842</v>
      </c>
      <c r="B17" s="65" t="s">
        <v>46</v>
      </c>
      <c r="C17" s="65" t="s">
        <v>3029</v>
      </c>
      <c r="D17" s="14" t="s">
        <v>2989</v>
      </c>
      <c r="E17" s="14" t="s">
        <v>3030</v>
      </c>
      <c r="F17" s="14" t="s">
        <v>24</v>
      </c>
      <c r="G17" s="14" t="s">
        <v>3031</v>
      </c>
      <c r="H17" s="14" t="s">
        <v>3032</v>
      </c>
      <c r="I17" s="65"/>
      <c r="J17" s="17">
        <v>278800</v>
      </c>
      <c r="K17" s="17">
        <v>196800</v>
      </c>
      <c r="L17" s="17">
        <f>J17-K17</f>
      </c>
      <c r="M17" s="14" t="s">
        <v>3033</v>
      </c>
      <c r="N17" s="14" t="s">
        <v>3034</v>
      </c>
      <c r="O17" s="65" t="s">
        <v>251</v>
      </c>
      <c r="P17" s="65"/>
      <c r="Q17" s="65"/>
      <c r="R17" s="17">
        <v>278800</v>
      </c>
      <c r="S17" s="17">
        <f>J17-P17-R17</f>
      </c>
      <c r="T17" s="12">
        <v>45856</v>
      </c>
      <c r="U17" s="14" t="s">
        <v>2122</v>
      </c>
      <c r="V17" s="14"/>
    </row>
    <row x14ac:dyDescent="0.25" r="18" customHeight="1" ht="18.75">
      <c r="A18" s="12">
        <v>45842</v>
      </c>
      <c r="B18" s="217" t="s">
        <v>106</v>
      </c>
      <c r="C18" s="217" t="s">
        <v>3035</v>
      </c>
      <c r="D18" s="30" t="s">
        <v>1238</v>
      </c>
      <c r="E18" s="30" t="s">
        <v>3036</v>
      </c>
      <c r="F18" s="30" t="s">
        <v>3037</v>
      </c>
      <c r="G18" s="30" t="s">
        <v>3038</v>
      </c>
      <c r="H18" s="30" t="s">
        <v>3039</v>
      </c>
      <c r="I18" s="217"/>
      <c r="J18" s="69">
        <v>635000</v>
      </c>
      <c r="K18" s="69">
        <v>593420</v>
      </c>
      <c r="L18" s="17">
        <f>J18-K18</f>
      </c>
      <c r="M18" s="30" t="s">
        <v>187</v>
      </c>
      <c r="N18" s="30" t="s">
        <v>3040</v>
      </c>
      <c r="O18" s="217"/>
      <c r="P18" s="17">
        <v>300000</v>
      </c>
      <c r="Q18" s="65"/>
      <c r="R18" s="17">
        <v>335000</v>
      </c>
      <c r="S18" s="17">
        <f>J18-P18-R18</f>
      </c>
      <c r="T18" s="175" t="s">
        <v>3041</v>
      </c>
      <c r="U18" s="14" t="s">
        <v>1718</v>
      </c>
      <c r="V18" s="14"/>
    </row>
    <row x14ac:dyDescent="0.25" r="19" customHeight="1" ht="18.75">
      <c r="A19" s="12">
        <v>45843</v>
      </c>
      <c r="B19" s="217" t="s">
        <v>3042</v>
      </c>
      <c r="C19" s="217" t="s">
        <v>3043</v>
      </c>
      <c r="D19" s="30"/>
      <c r="E19" s="30" t="s">
        <v>3044</v>
      </c>
      <c r="F19" s="30" t="s">
        <v>162</v>
      </c>
      <c r="G19" s="30" t="s">
        <v>439</v>
      </c>
      <c r="H19" s="30" t="s">
        <v>26</v>
      </c>
      <c r="I19" s="217"/>
      <c r="J19" s="69">
        <v>65600</v>
      </c>
      <c r="K19" s="69">
        <v>4400</v>
      </c>
      <c r="L19" s="17">
        <f>J19-K19</f>
      </c>
      <c r="M19" s="30" t="s">
        <v>3045</v>
      </c>
      <c r="N19" s="30" t="s">
        <v>3046</v>
      </c>
      <c r="O19" s="217" t="s">
        <v>251</v>
      </c>
      <c r="P19" s="65"/>
      <c r="Q19" s="65"/>
      <c r="R19" s="65"/>
      <c r="S19" s="17">
        <f>J19-P19-R19</f>
      </c>
      <c r="T19" s="12"/>
      <c r="U19" s="17"/>
      <c r="V19" s="14"/>
    </row>
    <row x14ac:dyDescent="0.25" r="20" customHeight="1" ht="18.75">
      <c r="A20" s="12">
        <v>45844</v>
      </c>
      <c r="B20" s="65" t="s">
        <v>53</v>
      </c>
      <c r="C20" s="65" t="s">
        <v>3047</v>
      </c>
      <c r="D20" s="14" t="s">
        <v>282</v>
      </c>
      <c r="E20" s="14" t="s">
        <v>3048</v>
      </c>
      <c r="F20" s="14" t="s">
        <v>1673</v>
      </c>
      <c r="G20" s="30" t="s">
        <v>3049</v>
      </c>
      <c r="H20" s="30" t="s">
        <v>26</v>
      </c>
      <c r="I20" s="65"/>
      <c r="J20" s="17">
        <v>2221900</v>
      </c>
      <c r="K20" s="17">
        <v>2149820</v>
      </c>
      <c r="L20" s="17">
        <f>J20-K20</f>
      </c>
      <c r="M20" s="14" t="s">
        <v>137</v>
      </c>
      <c r="N20" s="14" t="s">
        <v>3050</v>
      </c>
      <c r="O20" s="65"/>
      <c r="P20" s="65"/>
      <c r="Q20" s="65"/>
      <c r="R20" s="17">
        <v>2221900</v>
      </c>
      <c r="S20" s="17">
        <f>J20-P20-R20</f>
      </c>
      <c r="T20" s="12">
        <v>45861</v>
      </c>
      <c r="U20" s="14" t="s">
        <v>1718</v>
      </c>
      <c r="V20" s="14"/>
    </row>
    <row x14ac:dyDescent="0.25" r="21" customHeight="1" ht="18.75">
      <c r="A21" s="55">
        <v>45844</v>
      </c>
      <c r="B21" s="180" t="s">
        <v>72</v>
      </c>
      <c r="C21" s="180" t="s">
        <v>3051</v>
      </c>
      <c r="D21" s="56" t="s">
        <v>3052</v>
      </c>
      <c r="E21" s="56" t="s">
        <v>3053</v>
      </c>
      <c r="F21" s="56" t="s">
        <v>3054</v>
      </c>
      <c r="G21" s="56" t="s">
        <v>3055</v>
      </c>
      <c r="H21" s="56" t="s">
        <v>26</v>
      </c>
      <c r="I21" s="57">
        <v>491500</v>
      </c>
      <c r="J21" s="57">
        <v>202000</v>
      </c>
      <c r="K21" s="57">
        <v>95500</v>
      </c>
      <c r="L21" s="57">
        <f>J21-K21</f>
      </c>
      <c r="M21" s="56" t="s">
        <v>280</v>
      </c>
      <c r="N21" s="56" t="s">
        <v>3056</v>
      </c>
      <c r="O21" s="180" t="s">
        <v>343</v>
      </c>
      <c r="P21" s="180"/>
      <c r="Q21" s="180"/>
      <c r="R21" s="57">
        <v>202000</v>
      </c>
      <c r="S21" s="57">
        <f>J21-P21-R21</f>
      </c>
      <c r="T21" s="55">
        <v>45915</v>
      </c>
      <c r="U21" s="56" t="s">
        <v>2216</v>
      </c>
      <c r="V21" s="56" t="s">
        <v>3057</v>
      </c>
    </row>
    <row x14ac:dyDescent="0.25" r="22" customHeight="1" ht="18.75">
      <c r="A22" s="12">
        <v>45845</v>
      </c>
      <c r="B22" s="65" t="s">
        <v>111</v>
      </c>
      <c r="C22" s="65" t="s">
        <v>3058</v>
      </c>
      <c r="D22" s="14" t="s">
        <v>3059</v>
      </c>
      <c r="E22" s="14" t="s">
        <v>3060</v>
      </c>
      <c r="F22" s="14" t="s">
        <v>141</v>
      </c>
      <c r="G22" s="30" t="s">
        <v>3061</v>
      </c>
      <c r="H22" s="30" t="s">
        <v>26</v>
      </c>
      <c r="I22" s="17">
        <v>137900</v>
      </c>
      <c r="J22" s="17">
        <v>324900</v>
      </c>
      <c r="K22" s="17">
        <v>224100</v>
      </c>
      <c r="L22" s="17">
        <f>J22-K22</f>
      </c>
      <c r="M22" s="14" t="s">
        <v>50</v>
      </c>
      <c r="N22" s="14" t="s">
        <v>3062</v>
      </c>
      <c r="O22" s="65"/>
      <c r="P22" s="17">
        <v>28160</v>
      </c>
      <c r="Q22" s="65"/>
      <c r="R22" s="17">
        <v>296740</v>
      </c>
      <c r="S22" s="17">
        <f>J22-P22-R22</f>
      </c>
      <c r="T22" s="175" t="s">
        <v>3063</v>
      </c>
      <c r="U22" s="70" t="s">
        <v>3064</v>
      </c>
      <c r="V22" s="14"/>
    </row>
    <row x14ac:dyDescent="0.25" r="23" customHeight="1" ht="15.75">
      <c r="A23" s="12">
        <v>45845</v>
      </c>
      <c r="B23" s="217" t="s">
        <v>46</v>
      </c>
      <c r="C23" s="217" t="s">
        <v>3065</v>
      </c>
      <c r="D23" s="30" t="s">
        <v>54</v>
      </c>
      <c r="E23" s="30" t="s">
        <v>3066</v>
      </c>
      <c r="F23" s="30" t="s">
        <v>24</v>
      </c>
      <c r="G23" s="30" t="s">
        <v>3067</v>
      </c>
      <c r="H23" s="30" t="s">
        <v>26</v>
      </c>
      <c r="I23" s="65"/>
      <c r="J23" s="17">
        <v>375000</v>
      </c>
      <c r="K23" s="17">
        <v>298460</v>
      </c>
      <c r="L23" s="17">
        <f>J23-K23</f>
      </c>
      <c r="M23" s="14" t="s">
        <v>46</v>
      </c>
      <c r="N23" s="14"/>
      <c r="O23" s="65" t="s">
        <v>3068</v>
      </c>
      <c r="P23" s="65"/>
      <c r="Q23" s="65"/>
      <c r="R23" s="17">
        <v>375000</v>
      </c>
      <c r="S23" s="17">
        <f>SUM(J23-P23-R23)</f>
      </c>
      <c r="T23" s="12">
        <v>45856</v>
      </c>
      <c r="U23" s="14" t="s">
        <v>2122</v>
      </c>
      <c r="V23" s="14"/>
    </row>
    <row x14ac:dyDescent="0.25" r="24" customHeight="1" ht="15.75">
      <c r="A24" s="12">
        <v>45845</v>
      </c>
      <c r="B24" s="65" t="s">
        <v>72</v>
      </c>
      <c r="C24" s="65" t="s">
        <v>3069</v>
      </c>
      <c r="D24" s="14" t="s">
        <v>3070</v>
      </c>
      <c r="E24" s="14" t="s">
        <v>3071</v>
      </c>
      <c r="F24" s="14" t="s">
        <v>292</v>
      </c>
      <c r="G24" s="30" t="s">
        <v>3072</v>
      </c>
      <c r="H24" s="30" t="s">
        <v>26</v>
      </c>
      <c r="I24" s="65"/>
      <c r="J24" s="17">
        <v>1403920</v>
      </c>
      <c r="K24" s="17">
        <v>1282320</v>
      </c>
      <c r="L24" s="17">
        <f>J24-K24</f>
      </c>
      <c r="M24" s="14" t="s">
        <v>2699</v>
      </c>
      <c r="N24" s="14" t="s">
        <v>3073</v>
      </c>
      <c r="O24" s="65"/>
      <c r="P24" s="65"/>
      <c r="Q24" s="65"/>
      <c r="R24" s="65"/>
      <c r="S24" s="17">
        <f>J24-P24-R24</f>
      </c>
      <c r="T24" s="12"/>
      <c r="U24" s="17"/>
      <c r="V24" s="14"/>
    </row>
    <row x14ac:dyDescent="0.25" r="25" customHeight="1" ht="15.75">
      <c r="A25" s="12">
        <v>45845</v>
      </c>
      <c r="B25" s="65" t="s">
        <v>72</v>
      </c>
      <c r="C25" s="65" t="s">
        <v>3074</v>
      </c>
      <c r="D25" s="14" t="s">
        <v>54</v>
      </c>
      <c r="E25" s="14" t="s">
        <v>3075</v>
      </c>
      <c r="F25" s="14" t="s">
        <v>3076</v>
      </c>
      <c r="G25" s="30" t="s">
        <v>3077</v>
      </c>
      <c r="H25" s="30" t="s">
        <v>26</v>
      </c>
      <c r="I25" s="17">
        <v>439200</v>
      </c>
      <c r="J25" s="17">
        <v>815620</v>
      </c>
      <c r="K25" s="17">
        <v>765920</v>
      </c>
      <c r="L25" s="17">
        <f>J25-K25</f>
      </c>
      <c r="M25" s="14" t="s">
        <v>50</v>
      </c>
      <c r="N25" s="14" t="s">
        <v>3078</v>
      </c>
      <c r="O25" s="17">
        <v>4</v>
      </c>
      <c r="P25" s="65"/>
      <c r="Q25" s="65"/>
      <c r="R25" s="17">
        <v>815620</v>
      </c>
      <c r="S25" s="17">
        <f>J25-P25-R25</f>
      </c>
      <c r="T25" s="12">
        <v>45845</v>
      </c>
      <c r="U25" s="14" t="s">
        <v>1718</v>
      </c>
      <c r="V25" s="14"/>
    </row>
    <row x14ac:dyDescent="0.25" r="26" customHeight="1" ht="15.75">
      <c r="A26" s="12">
        <v>45845</v>
      </c>
      <c r="B26" s="65" t="s">
        <v>72</v>
      </c>
      <c r="C26" s="65" t="s">
        <v>3079</v>
      </c>
      <c r="D26" s="14" t="s">
        <v>54</v>
      </c>
      <c r="E26" s="14" t="s">
        <v>3075</v>
      </c>
      <c r="F26" s="14" t="s">
        <v>3076</v>
      </c>
      <c r="G26" s="30" t="s">
        <v>3080</v>
      </c>
      <c r="H26" s="30" t="s">
        <v>26</v>
      </c>
      <c r="I26" s="17">
        <v>266600</v>
      </c>
      <c r="J26" s="17">
        <v>658520</v>
      </c>
      <c r="K26" s="17">
        <v>593320</v>
      </c>
      <c r="L26" s="17">
        <f>J26-K26</f>
      </c>
      <c r="M26" s="14" t="s">
        <v>50</v>
      </c>
      <c r="N26" s="14" t="s">
        <v>3081</v>
      </c>
      <c r="O26" s="17">
        <v>4</v>
      </c>
      <c r="P26" s="65"/>
      <c r="Q26" s="65"/>
      <c r="R26" s="17">
        <v>658520</v>
      </c>
      <c r="S26" s="17">
        <f>J26-P26-R26</f>
      </c>
      <c r="T26" s="12">
        <v>45845</v>
      </c>
      <c r="U26" s="14" t="s">
        <v>1718</v>
      </c>
      <c r="V26" s="14"/>
    </row>
    <row x14ac:dyDescent="0.25" r="27" customHeight="1" ht="15.75">
      <c r="A27" s="12">
        <v>45845</v>
      </c>
      <c r="B27" s="65" t="s">
        <v>72</v>
      </c>
      <c r="C27" s="65" t="s">
        <v>3079</v>
      </c>
      <c r="D27" s="14" t="s">
        <v>54</v>
      </c>
      <c r="E27" s="14" t="s">
        <v>3075</v>
      </c>
      <c r="F27" s="14" t="s">
        <v>3076</v>
      </c>
      <c r="G27" s="30" t="s">
        <v>3082</v>
      </c>
      <c r="H27" s="30" t="s">
        <v>26</v>
      </c>
      <c r="I27" s="17">
        <v>266600</v>
      </c>
      <c r="J27" s="17">
        <v>658520</v>
      </c>
      <c r="K27" s="17">
        <v>593320</v>
      </c>
      <c r="L27" s="17">
        <f>J27-K27</f>
      </c>
      <c r="M27" s="14" t="s">
        <v>50</v>
      </c>
      <c r="N27" s="14" t="s">
        <v>3083</v>
      </c>
      <c r="O27" s="17">
        <v>4</v>
      </c>
      <c r="P27" s="65"/>
      <c r="Q27" s="65"/>
      <c r="R27" s="17">
        <v>658520</v>
      </c>
      <c r="S27" s="17">
        <f>J27-P27-R27</f>
      </c>
      <c r="T27" s="12">
        <v>45845</v>
      </c>
      <c r="U27" s="14" t="s">
        <v>1718</v>
      </c>
      <c r="V27" s="14"/>
    </row>
    <row x14ac:dyDescent="0.25" r="28" customHeight="1" ht="15.75">
      <c r="A28" s="12">
        <v>45845</v>
      </c>
      <c r="B28" s="65" t="s">
        <v>72</v>
      </c>
      <c r="C28" s="65" t="s">
        <v>3079</v>
      </c>
      <c r="D28" s="14" t="s">
        <v>54</v>
      </c>
      <c r="E28" s="14" t="s">
        <v>3075</v>
      </c>
      <c r="F28" s="14" t="s">
        <v>3076</v>
      </c>
      <c r="G28" s="30" t="s">
        <v>3084</v>
      </c>
      <c r="H28" s="30" t="s">
        <v>26</v>
      </c>
      <c r="I28" s="17">
        <v>266600</v>
      </c>
      <c r="J28" s="17">
        <v>658520</v>
      </c>
      <c r="K28" s="17">
        <v>593320</v>
      </c>
      <c r="L28" s="17">
        <f>J28-K28</f>
      </c>
      <c r="M28" s="14" t="s">
        <v>50</v>
      </c>
      <c r="N28" s="14" t="s">
        <v>3085</v>
      </c>
      <c r="O28" s="17">
        <v>4</v>
      </c>
      <c r="P28" s="65"/>
      <c r="Q28" s="65"/>
      <c r="R28" s="17">
        <v>658520</v>
      </c>
      <c r="S28" s="17">
        <f>J28-P28-R28</f>
      </c>
      <c r="T28" s="12">
        <v>45845</v>
      </c>
      <c r="U28" s="14" t="s">
        <v>1718</v>
      </c>
      <c r="V28" s="14"/>
    </row>
    <row x14ac:dyDescent="0.25" r="29" customHeight="1" ht="29.25">
      <c r="A29" s="12">
        <v>45845</v>
      </c>
      <c r="B29" s="65" t="s">
        <v>3086</v>
      </c>
      <c r="C29" s="65" t="s">
        <v>3087</v>
      </c>
      <c r="D29" s="14" t="s">
        <v>3088</v>
      </c>
      <c r="E29" s="14" t="s">
        <v>3089</v>
      </c>
      <c r="F29" s="14" t="s">
        <v>2109</v>
      </c>
      <c r="G29" s="14" t="s">
        <v>3090</v>
      </c>
      <c r="H29" s="30" t="s">
        <v>26</v>
      </c>
      <c r="I29" s="65"/>
      <c r="J29" s="17">
        <v>1450000</v>
      </c>
      <c r="K29" s="17">
        <v>1200000</v>
      </c>
      <c r="L29" s="17">
        <f>J29-K29</f>
      </c>
      <c r="M29" s="14" t="s">
        <v>3045</v>
      </c>
      <c r="N29" s="14" t="s">
        <v>3091</v>
      </c>
      <c r="O29" s="65"/>
      <c r="P29" s="17">
        <v>1109500</v>
      </c>
      <c r="Q29" s="17">
        <v>201240</v>
      </c>
      <c r="R29" s="17">
        <v>139260</v>
      </c>
      <c r="S29" s="17">
        <f>J29-Q29-P29-R29</f>
      </c>
      <c r="T29" s="12">
        <v>45873</v>
      </c>
      <c r="U29" s="70" t="s">
        <v>3092</v>
      </c>
      <c r="V29" s="14"/>
    </row>
    <row x14ac:dyDescent="0.25" r="30" customHeight="1" ht="15.75">
      <c r="A30" s="12">
        <v>45845</v>
      </c>
      <c r="B30" s="65" t="s">
        <v>66</v>
      </c>
      <c r="C30" s="65" t="s">
        <v>3093</v>
      </c>
      <c r="D30" s="14" t="s">
        <v>3094</v>
      </c>
      <c r="E30" s="14" t="s">
        <v>3095</v>
      </c>
      <c r="F30" s="14" t="s">
        <v>327</v>
      </c>
      <c r="G30" s="30" t="s">
        <v>407</v>
      </c>
      <c r="H30" s="30" t="s">
        <v>26</v>
      </c>
      <c r="I30" s="17">
        <v>1347900</v>
      </c>
      <c r="J30" s="17">
        <v>1915820</v>
      </c>
      <c r="K30" s="17">
        <v>1835820</v>
      </c>
      <c r="L30" s="17">
        <f>J30-K30</f>
      </c>
      <c r="M30" s="14" t="s">
        <v>50</v>
      </c>
      <c r="N30" s="14" t="s">
        <v>3096</v>
      </c>
      <c r="O30" s="17">
        <v>4</v>
      </c>
      <c r="P30" s="65"/>
      <c r="Q30" s="65"/>
      <c r="R30" s="17">
        <v>1915820</v>
      </c>
      <c r="S30" s="17">
        <f>J30-P30-R30</f>
      </c>
      <c r="T30" s="12">
        <v>45862</v>
      </c>
      <c r="U30" s="14" t="s">
        <v>2216</v>
      </c>
      <c r="V30" s="14" t="s">
        <v>3097</v>
      </c>
    </row>
    <row x14ac:dyDescent="0.25" r="31" customHeight="1" ht="27.75">
      <c r="A31" s="12">
        <v>45845</v>
      </c>
      <c r="B31" s="65" t="s">
        <v>46</v>
      </c>
      <c r="C31" s="65" t="s">
        <v>3098</v>
      </c>
      <c r="D31" s="14" t="s">
        <v>3099</v>
      </c>
      <c r="E31" s="14" t="s">
        <v>3100</v>
      </c>
      <c r="F31" s="14"/>
      <c r="G31" s="30" t="s">
        <v>3101</v>
      </c>
      <c r="H31" s="30" t="s">
        <v>26</v>
      </c>
      <c r="I31" s="17">
        <v>938700</v>
      </c>
      <c r="J31" s="17">
        <v>1255700</v>
      </c>
      <c r="K31" s="17">
        <v>1201700</v>
      </c>
      <c r="L31" s="17">
        <f>J31-K31</f>
      </c>
      <c r="M31" s="14" t="s">
        <v>50</v>
      </c>
      <c r="N31" s="14" t="s">
        <v>3102</v>
      </c>
      <c r="O31" s="17">
        <v>2</v>
      </c>
      <c r="P31" s="65"/>
      <c r="Q31" s="65"/>
      <c r="R31" s="17">
        <v>1255700</v>
      </c>
      <c r="S31" s="17">
        <f>J31-P31-R31</f>
      </c>
      <c r="T31" s="12">
        <v>45846</v>
      </c>
      <c r="U31" s="14" t="s">
        <v>1718</v>
      </c>
      <c r="V31" s="14"/>
    </row>
    <row x14ac:dyDescent="0.25" r="32" customHeight="1" ht="15.75">
      <c r="A32" s="12">
        <v>45846</v>
      </c>
      <c r="B32" s="65" t="s">
        <v>475</v>
      </c>
      <c r="C32" s="65" t="s">
        <v>3103</v>
      </c>
      <c r="D32" s="14" t="s">
        <v>508</v>
      </c>
      <c r="E32" s="14" t="s">
        <v>3104</v>
      </c>
      <c r="F32" s="14" t="s">
        <v>548</v>
      </c>
      <c r="G32" s="30" t="s">
        <v>675</v>
      </c>
      <c r="H32" s="30" t="s">
        <v>26</v>
      </c>
      <c r="I32" s="65"/>
      <c r="J32" s="17">
        <v>235920</v>
      </c>
      <c r="K32" s="17">
        <v>185920</v>
      </c>
      <c r="L32" s="17">
        <f>J32-K32</f>
      </c>
      <c r="M32" s="14" t="s">
        <v>475</v>
      </c>
      <c r="N32" s="14" t="s">
        <v>3105</v>
      </c>
      <c r="O32" s="65"/>
      <c r="P32" s="65"/>
      <c r="Q32" s="65"/>
      <c r="R32" s="65"/>
      <c r="S32" s="17">
        <f>J32-P32-R32</f>
      </c>
      <c r="T32" s="12"/>
      <c r="U32" s="17"/>
      <c r="V32" s="14"/>
    </row>
    <row x14ac:dyDescent="0.25" r="33" customHeight="1" ht="15.75">
      <c r="A33" s="12">
        <v>45846</v>
      </c>
      <c r="B33" s="65" t="s">
        <v>22</v>
      </c>
      <c r="C33" s="65" t="s">
        <v>3058</v>
      </c>
      <c r="D33" s="14" t="s">
        <v>2000</v>
      </c>
      <c r="E33" s="14" t="s">
        <v>3104</v>
      </c>
      <c r="F33" s="14" t="s">
        <v>548</v>
      </c>
      <c r="G33" s="30" t="s">
        <v>675</v>
      </c>
      <c r="H33" s="30" t="s">
        <v>26</v>
      </c>
      <c r="I33" s="65"/>
      <c r="J33" s="17">
        <v>269920</v>
      </c>
      <c r="K33" s="17">
        <v>216920</v>
      </c>
      <c r="L33" s="17">
        <f>J33-K33</f>
      </c>
      <c r="M33" s="14" t="s">
        <v>22</v>
      </c>
      <c r="N33" s="14" t="s">
        <v>3106</v>
      </c>
      <c r="O33" s="65"/>
      <c r="P33" s="65"/>
      <c r="Q33" s="65"/>
      <c r="R33" s="65"/>
      <c r="S33" s="17">
        <f>J33-P33-R33</f>
      </c>
      <c r="T33" s="12"/>
      <c r="U33" s="17"/>
      <c r="V33" s="14"/>
    </row>
    <row x14ac:dyDescent="0.25" r="34" customHeight="1" ht="15.75">
      <c r="A34" s="12">
        <v>45846</v>
      </c>
      <c r="B34" s="65" t="s">
        <v>22</v>
      </c>
      <c r="C34" s="65" t="s">
        <v>3107</v>
      </c>
      <c r="D34" s="14" t="s">
        <v>2003</v>
      </c>
      <c r="E34" s="14" t="s">
        <v>3104</v>
      </c>
      <c r="F34" s="14" t="s">
        <v>548</v>
      </c>
      <c r="G34" s="30" t="s">
        <v>675</v>
      </c>
      <c r="H34" s="30" t="s">
        <v>26</v>
      </c>
      <c r="I34" s="65"/>
      <c r="J34" s="17">
        <v>297920</v>
      </c>
      <c r="K34" s="17">
        <v>236600</v>
      </c>
      <c r="L34" s="17">
        <f>J34-K34</f>
      </c>
      <c r="M34" s="14" t="s">
        <v>22</v>
      </c>
      <c r="N34" s="14" t="s">
        <v>3106</v>
      </c>
      <c r="O34" s="65"/>
      <c r="P34" s="65"/>
      <c r="Q34" s="65"/>
      <c r="R34" s="65"/>
      <c r="S34" s="17">
        <f>J34-P34-R34</f>
      </c>
      <c r="T34" s="12"/>
      <c r="U34" s="17"/>
      <c r="V34" s="14"/>
    </row>
    <row x14ac:dyDescent="0.25" r="35" customHeight="1" ht="15.75">
      <c r="A35" s="12">
        <v>45846</v>
      </c>
      <c r="B35" s="65" t="s">
        <v>66</v>
      </c>
      <c r="C35" s="65" t="s">
        <v>3108</v>
      </c>
      <c r="D35" s="14" t="s">
        <v>166</v>
      </c>
      <c r="E35" s="14" t="s">
        <v>3109</v>
      </c>
      <c r="F35" s="30" t="s">
        <v>24</v>
      </c>
      <c r="G35" s="30" t="s">
        <v>3067</v>
      </c>
      <c r="H35" s="30" t="s">
        <v>26</v>
      </c>
      <c r="I35" s="65"/>
      <c r="J35" s="17">
        <v>250000</v>
      </c>
      <c r="K35" s="17">
        <v>200000</v>
      </c>
      <c r="L35" s="17">
        <f>J35-K35</f>
      </c>
      <c r="M35" s="14"/>
      <c r="N35" s="14"/>
      <c r="O35" s="65" t="s">
        <v>2987</v>
      </c>
      <c r="P35" s="65"/>
      <c r="Q35" s="65"/>
      <c r="R35" s="17">
        <v>250000</v>
      </c>
      <c r="S35" s="17">
        <f>SUM(J35-P35-R35)</f>
      </c>
      <c r="T35" s="12">
        <v>45856</v>
      </c>
      <c r="U35" s="14" t="s">
        <v>2122</v>
      </c>
      <c r="V35" s="14"/>
    </row>
    <row x14ac:dyDescent="0.25" r="36" customHeight="1" ht="30.75">
      <c r="A36" s="12">
        <v>45846</v>
      </c>
      <c r="B36" s="65" t="s">
        <v>290</v>
      </c>
      <c r="C36" s="65" t="s">
        <v>3029</v>
      </c>
      <c r="D36" s="14" t="s">
        <v>3110</v>
      </c>
      <c r="E36" s="14" t="s">
        <v>3111</v>
      </c>
      <c r="F36" s="14" t="s">
        <v>2592</v>
      </c>
      <c r="G36" s="30" t="s">
        <v>3112</v>
      </c>
      <c r="H36" s="30" t="s">
        <v>26</v>
      </c>
      <c r="I36" s="65"/>
      <c r="J36" s="17">
        <v>231920</v>
      </c>
      <c r="K36" s="17">
        <v>226920</v>
      </c>
      <c r="L36" s="17">
        <f>J36-K36</f>
      </c>
      <c r="M36" s="14" t="s">
        <v>280</v>
      </c>
      <c r="N36" s="14" t="s">
        <v>3113</v>
      </c>
      <c r="O36" s="17">
        <v>2</v>
      </c>
      <c r="P36" s="65"/>
      <c r="Q36" s="65"/>
      <c r="R36" s="17">
        <v>231920</v>
      </c>
      <c r="S36" s="17">
        <f>J36-P36-R36</f>
      </c>
      <c r="T36" s="12">
        <v>45849</v>
      </c>
      <c r="U36" s="14" t="s">
        <v>1718</v>
      </c>
      <c r="V36" s="14"/>
    </row>
    <row x14ac:dyDescent="0.25" r="37" customHeight="1" ht="15.75">
      <c r="A37" s="12">
        <v>45846</v>
      </c>
      <c r="B37" s="65" t="s">
        <v>53</v>
      </c>
      <c r="C37" s="65" t="s">
        <v>3114</v>
      </c>
      <c r="D37" s="14" t="s">
        <v>232</v>
      </c>
      <c r="E37" s="14" t="s">
        <v>3115</v>
      </c>
      <c r="F37" s="14" t="s">
        <v>90</v>
      </c>
      <c r="G37" s="30" t="s">
        <v>233</v>
      </c>
      <c r="H37" s="30" t="s">
        <v>26</v>
      </c>
      <c r="I37" s="65"/>
      <c r="J37" s="17">
        <v>1483720</v>
      </c>
      <c r="K37" s="234">
        <v>1222820</v>
      </c>
      <c r="L37" s="17">
        <f>J37-K37</f>
      </c>
      <c r="M37" s="14" t="s">
        <v>137</v>
      </c>
      <c r="N37" s="14" t="s">
        <v>3116</v>
      </c>
      <c r="O37" s="65"/>
      <c r="P37" s="65"/>
      <c r="Q37" s="65"/>
      <c r="R37" s="17">
        <v>1483720</v>
      </c>
      <c r="S37" s="17">
        <f>J37-P37-R37</f>
      </c>
      <c r="T37" s="12">
        <v>45846</v>
      </c>
      <c r="U37" s="14" t="s">
        <v>1718</v>
      </c>
      <c r="V37" s="14"/>
    </row>
    <row x14ac:dyDescent="0.25" r="38" customHeight="1" ht="15.75">
      <c r="A38" s="12">
        <v>45846</v>
      </c>
      <c r="B38" s="65" t="s">
        <v>53</v>
      </c>
      <c r="C38" s="65" t="s">
        <v>3117</v>
      </c>
      <c r="D38" s="14" t="s">
        <v>3118</v>
      </c>
      <c r="E38" s="14" t="s">
        <v>3115</v>
      </c>
      <c r="F38" s="14" t="s">
        <v>90</v>
      </c>
      <c r="G38" s="30" t="s">
        <v>94</v>
      </c>
      <c r="H38" s="30" t="s">
        <v>26</v>
      </c>
      <c r="I38" s="65"/>
      <c r="J38" s="17">
        <v>1178920</v>
      </c>
      <c r="K38" s="235">
        <v>956620</v>
      </c>
      <c r="L38" s="17">
        <f>J38-K38</f>
      </c>
      <c r="M38" s="14" t="s">
        <v>137</v>
      </c>
      <c r="N38" s="14" t="s">
        <v>3119</v>
      </c>
      <c r="O38" s="65"/>
      <c r="P38" s="65"/>
      <c r="Q38" s="65"/>
      <c r="R38" s="17">
        <v>1178920</v>
      </c>
      <c r="S38" s="17">
        <f>J38-P38-R38</f>
      </c>
      <c r="T38" s="12">
        <v>45846</v>
      </c>
      <c r="U38" s="14" t="s">
        <v>1718</v>
      </c>
      <c r="V38" s="14"/>
    </row>
    <row x14ac:dyDescent="0.25" r="39" customHeight="1" ht="15.75">
      <c r="A39" s="12">
        <v>45846</v>
      </c>
      <c r="B39" s="65" t="s">
        <v>46</v>
      </c>
      <c r="C39" s="65" t="s">
        <v>3120</v>
      </c>
      <c r="D39" s="14" t="s">
        <v>3121</v>
      </c>
      <c r="E39" s="14" t="s">
        <v>3115</v>
      </c>
      <c r="F39" s="14" t="s">
        <v>90</v>
      </c>
      <c r="G39" s="30" t="s">
        <v>94</v>
      </c>
      <c r="H39" s="30" t="s">
        <v>26</v>
      </c>
      <c r="I39" s="65"/>
      <c r="J39" s="17">
        <v>1133920</v>
      </c>
      <c r="K39" s="235">
        <v>945000</v>
      </c>
      <c r="L39" s="17">
        <f>J39-K39</f>
      </c>
      <c r="M39" s="14" t="s">
        <v>50</v>
      </c>
      <c r="N39" s="14" t="s">
        <v>3122</v>
      </c>
      <c r="O39" s="17">
        <v>2</v>
      </c>
      <c r="P39" s="17">
        <v>1088860</v>
      </c>
      <c r="Q39" s="17"/>
      <c r="R39" s="17">
        <v>45000</v>
      </c>
      <c r="S39" s="17">
        <f>J39-P39-R39</f>
      </c>
      <c r="T39" s="175" t="s">
        <v>3123</v>
      </c>
      <c r="U39" s="14" t="s">
        <v>2122</v>
      </c>
      <c r="V39" s="14"/>
    </row>
    <row x14ac:dyDescent="0.25" r="40" customHeight="1" ht="15.75">
      <c r="A40" s="12">
        <v>45846</v>
      </c>
      <c r="B40" s="65" t="s">
        <v>72</v>
      </c>
      <c r="C40" s="65" t="s">
        <v>3124</v>
      </c>
      <c r="D40" s="14" t="s">
        <v>3125</v>
      </c>
      <c r="E40" s="14" t="s">
        <v>3126</v>
      </c>
      <c r="F40" s="14" t="s">
        <v>3127</v>
      </c>
      <c r="G40" s="30" t="s">
        <v>3128</v>
      </c>
      <c r="H40" s="30" t="s">
        <v>262</v>
      </c>
      <c r="I40" s="65"/>
      <c r="J40" s="17">
        <v>450920</v>
      </c>
      <c r="K40" s="17">
        <v>430620</v>
      </c>
      <c r="L40" s="17">
        <f>J40-K40</f>
      </c>
      <c r="M40" s="14" t="s">
        <v>50</v>
      </c>
      <c r="N40" s="14" t="s">
        <v>3129</v>
      </c>
      <c r="O40" s="17">
        <v>3</v>
      </c>
      <c r="P40" s="65"/>
      <c r="Q40" s="65"/>
      <c r="R40" s="17">
        <v>450920</v>
      </c>
      <c r="S40" s="17">
        <f>J40-P40-R40</f>
      </c>
      <c r="T40" s="12">
        <v>45846</v>
      </c>
      <c r="U40" s="14" t="s">
        <v>1718</v>
      </c>
      <c r="V40" s="14"/>
    </row>
    <row x14ac:dyDescent="0.25" r="41" customHeight="1" ht="15.75">
      <c r="A41" s="12">
        <v>45846</v>
      </c>
      <c r="B41" s="65" t="s">
        <v>46</v>
      </c>
      <c r="C41" s="65" t="s">
        <v>3130</v>
      </c>
      <c r="D41" s="14" t="s">
        <v>282</v>
      </c>
      <c r="E41" s="14" t="s">
        <v>3131</v>
      </c>
      <c r="F41" s="14" t="s">
        <v>174</v>
      </c>
      <c r="G41" s="30" t="s">
        <v>3132</v>
      </c>
      <c r="H41" s="30" t="s">
        <v>26</v>
      </c>
      <c r="I41" s="65"/>
      <c r="J41" s="17">
        <v>3997020</v>
      </c>
      <c r="K41" s="17">
        <v>3797020</v>
      </c>
      <c r="L41" s="17">
        <f>J41-K41</f>
      </c>
      <c r="M41" s="14" t="s">
        <v>2699</v>
      </c>
      <c r="N41" s="14" t="s">
        <v>3133</v>
      </c>
      <c r="O41" s="65"/>
      <c r="P41" s="65"/>
      <c r="Q41" s="65"/>
      <c r="R41" s="17">
        <v>3997020</v>
      </c>
      <c r="S41" s="17">
        <f>J41-P41-R41</f>
      </c>
      <c r="T41" s="12">
        <v>45855</v>
      </c>
      <c r="U41" s="14" t="s">
        <v>1718</v>
      </c>
      <c r="V41" s="14"/>
    </row>
    <row x14ac:dyDescent="0.25" r="42" customHeight="1" ht="15.75">
      <c r="A42" s="12">
        <v>45846</v>
      </c>
      <c r="B42" s="65" t="s">
        <v>106</v>
      </c>
      <c r="C42" s="65" t="s">
        <v>3134</v>
      </c>
      <c r="D42" s="14" t="s">
        <v>3135</v>
      </c>
      <c r="E42" s="14" t="s">
        <v>3136</v>
      </c>
      <c r="F42" s="14" t="s">
        <v>3137</v>
      </c>
      <c r="G42" s="14" t="s">
        <v>3138</v>
      </c>
      <c r="H42" s="30" t="s">
        <v>26</v>
      </c>
      <c r="I42" s="65"/>
      <c r="J42" s="17">
        <v>765920</v>
      </c>
      <c r="K42" s="17">
        <v>705620</v>
      </c>
      <c r="L42" s="17">
        <f>J42-K42</f>
      </c>
      <c r="M42" s="14" t="s">
        <v>50</v>
      </c>
      <c r="N42" s="14" t="s">
        <v>3139</v>
      </c>
      <c r="O42" s="17">
        <v>3</v>
      </c>
      <c r="P42" s="65"/>
      <c r="Q42" s="65"/>
      <c r="R42" s="17">
        <v>765920</v>
      </c>
      <c r="S42" s="17">
        <f>J42-P42-R42</f>
      </c>
      <c r="T42" s="12">
        <v>45855</v>
      </c>
      <c r="U42" s="14" t="s">
        <v>1718</v>
      </c>
      <c r="V42" s="14"/>
    </row>
    <row x14ac:dyDescent="0.25" r="43" customHeight="1" ht="15.75">
      <c r="A43" s="205">
        <v>45846</v>
      </c>
      <c r="B43" s="211" t="s">
        <v>66</v>
      </c>
      <c r="C43" s="211" t="s">
        <v>3140</v>
      </c>
      <c r="D43" s="208" t="s">
        <v>2739</v>
      </c>
      <c r="E43" s="208" t="s">
        <v>3141</v>
      </c>
      <c r="F43" s="208" t="s">
        <v>3142</v>
      </c>
      <c r="G43" s="208" t="s">
        <v>3143</v>
      </c>
      <c r="H43" s="208" t="s">
        <v>26</v>
      </c>
      <c r="I43" s="209">
        <v>201500</v>
      </c>
      <c r="J43" s="209">
        <v>586900</v>
      </c>
      <c r="K43" s="209">
        <v>533220</v>
      </c>
      <c r="L43" s="209">
        <f>J43-K43</f>
      </c>
      <c r="M43" s="208" t="s">
        <v>187</v>
      </c>
      <c r="N43" s="208" t="s">
        <v>3144</v>
      </c>
      <c r="O43" s="211"/>
      <c r="P43" s="211"/>
      <c r="Q43" s="211"/>
      <c r="R43" s="209">
        <v>586900</v>
      </c>
      <c r="S43" s="209">
        <f>J43-P43-R43</f>
      </c>
      <c r="T43" s="205">
        <v>45846</v>
      </c>
      <c r="U43" s="208" t="s">
        <v>2122</v>
      </c>
      <c r="V43" s="208"/>
    </row>
    <row x14ac:dyDescent="0.25" r="44" customHeight="1" ht="15.75">
      <c r="A44" s="12">
        <v>45847</v>
      </c>
      <c r="B44" s="65" t="s">
        <v>46</v>
      </c>
      <c r="C44" s="65" t="s">
        <v>3145</v>
      </c>
      <c r="D44" s="14" t="s">
        <v>54</v>
      </c>
      <c r="E44" s="14"/>
      <c r="F44" s="30" t="s">
        <v>174</v>
      </c>
      <c r="G44" s="30" t="s">
        <v>3146</v>
      </c>
      <c r="H44" s="30" t="s">
        <v>26</v>
      </c>
      <c r="I44" s="65"/>
      <c r="J44" s="17">
        <v>3389000</v>
      </c>
      <c r="K44" s="17">
        <v>3036220</v>
      </c>
      <c r="L44" s="17">
        <v>352780</v>
      </c>
      <c r="M44" s="14" t="s">
        <v>246</v>
      </c>
      <c r="N44" s="14" t="s">
        <v>3147</v>
      </c>
      <c r="O44" s="65"/>
      <c r="P44" s="65"/>
      <c r="Q44" s="65"/>
      <c r="R44" s="17">
        <v>3389000</v>
      </c>
      <c r="S44" s="17">
        <f>J44-P44-R44</f>
      </c>
      <c r="T44" s="12">
        <v>45855</v>
      </c>
      <c r="U44" s="14" t="s">
        <v>1718</v>
      </c>
      <c r="V44" s="14"/>
    </row>
    <row x14ac:dyDescent="0.25" r="45" customHeight="1" ht="15.75">
      <c r="A45" s="12">
        <v>45848</v>
      </c>
      <c r="B45" s="65" t="s">
        <v>66</v>
      </c>
      <c r="C45" s="65" t="s">
        <v>3148</v>
      </c>
      <c r="D45" s="14" t="s">
        <v>429</v>
      </c>
      <c r="E45" s="14"/>
      <c r="F45" s="14" t="s">
        <v>84</v>
      </c>
      <c r="G45" s="231" t="s">
        <v>3149</v>
      </c>
      <c r="H45" s="30" t="s">
        <v>26</v>
      </c>
      <c r="I45" s="65"/>
      <c r="J45" s="236">
        <v>771620</v>
      </c>
      <c r="K45" s="17">
        <v>691820</v>
      </c>
      <c r="L45" s="17">
        <f>J45-K45</f>
      </c>
      <c r="M45" s="14" t="s">
        <v>246</v>
      </c>
      <c r="N45" s="14" t="s">
        <v>3150</v>
      </c>
      <c r="O45" s="65"/>
      <c r="P45" s="65"/>
      <c r="Q45" s="65"/>
      <c r="R45" s="65"/>
      <c r="S45" s="17">
        <f>J45-P45-R45</f>
      </c>
      <c r="T45" s="12"/>
      <c r="U45" s="17"/>
      <c r="V45" s="14"/>
    </row>
    <row x14ac:dyDescent="0.25" r="46" customHeight="1" ht="15.75">
      <c r="A46" s="12">
        <v>45848</v>
      </c>
      <c r="B46" s="65" t="s">
        <v>66</v>
      </c>
      <c r="C46" s="65" t="s">
        <v>3148</v>
      </c>
      <c r="D46" s="14" t="s">
        <v>429</v>
      </c>
      <c r="E46" s="14"/>
      <c r="F46" s="14" t="s">
        <v>84</v>
      </c>
      <c r="G46" s="231" t="s">
        <v>3151</v>
      </c>
      <c r="H46" s="30" t="s">
        <v>26</v>
      </c>
      <c r="I46" s="65"/>
      <c r="J46" s="236">
        <v>771620</v>
      </c>
      <c r="K46" s="17">
        <v>691820</v>
      </c>
      <c r="L46" s="17">
        <f>J46-K46</f>
      </c>
      <c r="M46" s="14" t="s">
        <v>246</v>
      </c>
      <c r="N46" s="14" t="s">
        <v>3152</v>
      </c>
      <c r="O46" s="65"/>
      <c r="P46" s="65"/>
      <c r="Q46" s="65"/>
      <c r="R46" s="65"/>
      <c r="S46" s="17">
        <f>SUM(J46-P46-R46)</f>
      </c>
      <c r="T46" s="12"/>
      <c r="U46" s="17"/>
      <c r="V46" s="14"/>
    </row>
    <row x14ac:dyDescent="0.25" r="47" customHeight="1" ht="15.75">
      <c r="A47" s="12">
        <v>45848</v>
      </c>
      <c r="B47" s="65" t="s">
        <v>66</v>
      </c>
      <c r="C47" s="65" t="s">
        <v>3148</v>
      </c>
      <c r="D47" s="14" t="s">
        <v>429</v>
      </c>
      <c r="E47" s="14"/>
      <c r="F47" s="14" t="s">
        <v>84</v>
      </c>
      <c r="G47" s="231" t="s">
        <v>3153</v>
      </c>
      <c r="H47" s="30" t="s">
        <v>26</v>
      </c>
      <c r="I47" s="65"/>
      <c r="J47" s="236">
        <v>689620</v>
      </c>
      <c r="K47" s="17">
        <v>599820</v>
      </c>
      <c r="L47" s="17">
        <f>J47-K47</f>
      </c>
      <c r="M47" s="14" t="s">
        <v>246</v>
      </c>
      <c r="N47" s="14" t="s">
        <v>3154</v>
      </c>
      <c r="O47" s="65"/>
      <c r="P47" s="65"/>
      <c r="Q47" s="65"/>
      <c r="R47" s="65"/>
      <c r="S47" s="17">
        <f>SUM(J47-P47-R47)</f>
      </c>
      <c r="T47" s="12"/>
      <c r="U47" s="17"/>
      <c r="V47" s="14"/>
    </row>
    <row x14ac:dyDescent="0.25" r="48" customHeight="1" ht="15.75">
      <c r="A48" s="12">
        <v>45848</v>
      </c>
      <c r="B48" s="65" t="s">
        <v>82</v>
      </c>
      <c r="C48" s="65" t="s">
        <v>3155</v>
      </c>
      <c r="D48" s="14" t="s">
        <v>3156</v>
      </c>
      <c r="E48" s="14"/>
      <c r="F48" s="14" t="s">
        <v>84</v>
      </c>
      <c r="G48" s="30" t="s">
        <v>3157</v>
      </c>
      <c r="H48" s="30" t="s">
        <v>26</v>
      </c>
      <c r="I48" s="65"/>
      <c r="J48" s="17">
        <v>199500</v>
      </c>
      <c r="K48" s="17">
        <v>165070</v>
      </c>
      <c r="L48" s="17">
        <v>34430</v>
      </c>
      <c r="M48" s="14" t="s">
        <v>86</v>
      </c>
      <c r="N48" s="14" t="s">
        <v>3158</v>
      </c>
      <c r="O48" s="65"/>
      <c r="P48" s="65"/>
      <c r="Q48" s="65"/>
      <c r="R48" s="65"/>
      <c r="S48" s="17">
        <f>SUM(J48-P48-R48)</f>
      </c>
      <c r="T48" s="12"/>
      <c r="U48" s="17"/>
      <c r="V48" s="14"/>
    </row>
    <row x14ac:dyDescent="0.25" r="49" customHeight="1" ht="15.75">
      <c r="A49" s="12">
        <v>45848</v>
      </c>
      <c r="B49" s="65" t="s">
        <v>111</v>
      </c>
      <c r="C49" s="65" t="s">
        <v>3159</v>
      </c>
      <c r="D49" s="14" t="s">
        <v>112</v>
      </c>
      <c r="E49" s="14"/>
      <c r="F49" s="14" t="s">
        <v>194</v>
      </c>
      <c r="G49" s="14" t="s">
        <v>3160</v>
      </c>
      <c r="H49" s="30" t="s">
        <v>26</v>
      </c>
      <c r="I49" s="17">
        <v>145800</v>
      </c>
      <c r="J49" s="17">
        <v>444900</v>
      </c>
      <c r="K49" s="17">
        <v>409405</v>
      </c>
      <c r="L49" s="17">
        <v>35495</v>
      </c>
      <c r="M49" s="14" t="s">
        <v>50</v>
      </c>
      <c r="N49" s="14" t="s">
        <v>3161</v>
      </c>
      <c r="O49" s="17">
        <v>2</v>
      </c>
      <c r="P49" s="65"/>
      <c r="Q49" s="65"/>
      <c r="R49" s="17">
        <v>444900</v>
      </c>
      <c r="S49" s="17">
        <f>SUM(J49-P49-R49)</f>
      </c>
      <c r="T49" s="12">
        <v>45895</v>
      </c>
      <c r="U49" s="14" t="s">
        <v>2122</v>
      </c>
      <c r="V49" s="14"/>
    </row>
    <row x14ac:dyDescent="0.25" r="50" customHeight="1" ht="15.75">
      <c r="A50" s="12">
        <v>45848</v>
      </c>
      <c r="B50" s="65" t="s">
        <v>46</v>
      </c>
      <c r="C50" s="65" t="s">
        <v>3162</v>
      </c>
      <c r="D50" s="14" t="s">
        <v>54</v>
      </c>
      <c r="E50" s="14"/>
      <c r="F50" s="14" t="s">
        <v>24</v>
      </c>
      <c r="G50" s="30" t="s">
        <v>3163</v>
      </c>
      <c r="H50" s="14" t="s">
        <v>3032</v>
      </c>
      <c r="I50" s="17">
        <v>1425000</v>
      </c>
      <c r="J50" s="17">
        <v>2389820</v>
      </c>
      <c r="K50" s="17">
        <v>2269520</v>
      </c>
      <c r="L50" s="17">
        <v>120300</v>
      </c>
      <c r="M50" s="14" t="s">
        <v>50</v>
      </c>
      <c r="N50" s="14" t="s">
        <v>3164</v>
      </c>
      <c r="O50" s="17">
        <v>2</v>
      </c>
      <c r="P50" s="65"/>
      <c r="Q50" s="65"/>
      <c r="R50" s="17">
        <v>2389820</v>
      </c>
      <c r="S50" s="17">
        <f>SUM(J50-P50-R50)</f>
      </c>
      <c r="T50" s="12">
        <v>45856</v>
      </c>
      <c r="U50" s="14" t="s">
        <v>2122</v>
      </c>
      <c r="V50" s="14"/>
    </row>
    <row x14ac:dyDescent="0.25" r="51" customHeight="1" ht="15.75">
      <c r="A51" s="12">
        <v>45848</v>
      </c>
      <c r="B51" s="65" t="s">
        <v>46</v>
      </c>
      <c r="C51" s="65" t="s">
        <v>3162</v>
      </c>
      <c r="D51" s="14" t="s">
        <v>54</v>
      </c>
      <c r="E51" s="14"/>
      <c r="F51" s="14" t="s">
        <v>24</v>
      </c>
      <c r="G51" s="30" t="s">
        <v>3165</v>
      </c>
      <c r="H51" s="14" t="s">
        <v>3032</v>
      </c>
      <c r="I51" s="17">
        <v>1900000</v>
      </c>
      <c r="J51" s="17">
        <v>2894820</v>
      </c>
      <c r="K51" s="17">
        <v>2744520</v>
      </c>
      <c r="L51" s="17">
        <v>150300</v>
      </c>
      <c r="M51" s="14" t="s">
        <v>50</v>
      </c>
      <c r="N51" s="14" t="s">
        <v>3166</v>
      </c>
      <c r="O51" s="17">
        <v>2</v>
      </c>
      <c r="P51" s="65"/>
      <c r="Q51" s="65"/>
      <c r="R51" s="17">
        <v>2894820</v>
      </c>
      <c r="S51" s="17">
        <f>SUM(J51-P51-R51)</f>
      </c>
      <c r="T51" s="12">
        <v>45856</v>
      </c>
      <c r="U51" s="14" t="s">
        <v>2122</v>
      </c>
      <c r="V51" s="14"/>
    </row>
    <row x14ac:dyDescent="0.25" r="52" customHeight="1" ht="15.75">
      <c r="A52" s="12">
        <v>45848</v>
      </c>
      <c r="B52" s="65" t="s">
        <v>46</v>
      </c>
      <c r="C52" s="65" t="s">
        <v>3167</v>
      </c>
      <c r="D52" s="14" t="s">
        <v>2989</v>
      </c>
      <c r="E52" s="14"/>
      <c r="F52" s="14" t="s">
        <v>24</v>
      </c>
      <c r="G52" s="14" t="s">
        <v>3031</v>
      </c>
      <c r="H52" s="14" t="s">
        <v>3032</v>
      </c>
      <c r="I52" s="65"/>
      <c r="J52" s="17">
        <v>278800</v>
      </c>
      <c r="K52" s="17">
        <v>196800</v>
      </c>
      <c r="L52" s="17">
        <v>82000</v>
      </c>
      <c r="M52" s="14" t="s">
        <v>3033</v>
      </c>
      <c r="N52" s="14" t="s">
        <v>3168</v>
      </c>
      <c r="O52" s="65" t="s">
        <v>251</v>
      </c>
      <c r="P52" s="65"/>
      <c r="Q52" s="65"/>
      <c r="R52" s="17">
        <v>278800</v>
      </c>
      <c r="S52" s="17">
        <f>SUM(J52-P52-R52)</f>
      </c>
      <c r="T52" s="12">
        <v>45856</v>
      </c>
      <c r="U52" s="14" t="s">
        <v>2122</v>
      </c>
      <c r="V52" s="14"/>
    </row>
    <row x14ac:dyDescent="0.25" r="53" customHeight="1" ht="15.75">
      <c r="A53" s="12">
        <v>45848</v>
      </c>
      <c r="B53" s="65" t="s">
        <v>46</v>
      </c>
      <c r="C53" s="65" t="s">
        <v>3162</v>
      </c>
      <c r="D53" s="14" t="s">
        <v>54</v>
      </c>
      <c r="E53" s="14"/>
      <c r="F53" s="14" t="s">
        <v>24</v>
      </c>
      <c r="G53" s="30" t="s">
        <v>3169</v>
      </c>
      <c r="H53" s="14" t="s">
        <v>3032</v>
      </c>
      <c r="I53" s="17">
        <v>1425000</v>
      </c>
      <c r="J53" s="17">
        <v>2389820</v>
      </c>
      <c r="K53" s="17">
        <v>2269520</v>
      </c>
      <c r="L53" s="17">
        <v>120300</v>
      </c>
      <c r="M53" s="14" t="s">
        <v>50</v>
      </c>
      <c r="N53" s="14" t="s">
        <v>3170</v>
      </c>
      <c r="O53" s="17">
        <v>2</v>
      </c>
      <c r="P53" s="65"/>
      <c r="Q53" s="65"/>
      <c r="R53" s="17">
        <v>2389820</v>
      </c>
      <c r="S53" s="17">
        <f>SUM(J53-P53-R53)</f>
      </c>
      <c r="T53" s="12">
        <v>45856</v>
      </c>
      <c r="U53" s="14" t="s">
        <v>2122</v>
      </c>
      <c r="V53" s="14"/>
    </row>
    <row x14ac:dyDescent="0.25" r="54" customHeight="1" ht="15.75">
      <c r="A54" s="12">
        <v>45848</v>
      </c>
      <c r="B54" s="65" t="s">
        <v>53</v>
      </c>
      <c r="C54" s="65" t="s">
        <v>3171</v>
      </c>
      <c r="D54" s="14" t="s">
        <v>282</v>
      </c>
      <c r="E54" s="14"/>
      <c r="F54" s="14" t="s">
        <v>3172</v>
      </c>
      <c r="G54" s="30" t="s">
        <v>358</v>
      </c>
      <c r="H54" s="30" t="s">
        <v>26</v>
      </c>
      <c r="I54" s="65"/>
      <c r="J54" s="17">
        <v>125920</v>
      </c>
      <c r="K54" s="17">
        <v>98400</v>
      </c>
      <c r="L54" s="17">
        <v>27520</v>
      </c>
      <c r="M54" s="14" t="s">
        <v>137</v>
      </c>
      <c r="N54" s="14" t="s">
        <v>3173</v>
      </c>
      <c r="O54" s="65" t="s">
        <v>251</v>
      </c>
      <c r="P54" s="65"/>
      <c r="Q54" s="65"/>
      <c r="R54" s="17">
        <v>125920</v>
      </c>
      <c r="S54" s="17">
        <f>SUM(J54-P54-R54)</f>
      </c>
      <c r="T54" s="12">
        <v>45876</v>
      </c>
      <c r="U54" s="14" t="s">
        <v>1718</v>
      </c>
      <c r="V54" s="14"/>
    </row>
    <row x14ac:dyDescent="0.25" r="55" customHeight="1" ht="15.75">
      <c r="A55" s="12">
        <v>45848</v>
      </c>
      <c r="B55" s="65" t="s">
        <v>46</v>
      </c>
      <c r="C55" s="65" t="s">
        <v>3174</v>
      </c>
      <c r="D55" s="14" t="s">
        <v>54</v>
      </c>
      <c r="E55" s="14"/>
      <c r="F55" s="14" t="s">
        <v>174</v>
      </c>
      <c r="G55" s="30" t="s">
        <v>3175</v>
      </c>
      <c r="H55" s="14" t="s">
        <v>3032</v>
      </c>
      <c r="I55" s="17">
        <v>1243300</v>
      </c>
      <c r="J55" s="17">
        <v>1796120</v>
      </c>
      <c r="K55" s="17">
        <v>1596120</v>
      </c>
      <c r="L55" s="17">
        <v>200000</v>
      </c>
      <c r="M55" s="14" t="s">
        <v>50</v>
      </c>
      <c r="N55" s="14" t="s">
        <v>3176</v>
      </c>
      <c r="O55" s="17">
        <v>2</v>
      </c>
      <c r="P55" s="17">
        <v>4070</v>
      </c>
      <c r="Q55" s="65"/>
      <c r="R55" s="17">
        <v>1792050</v>
      </c>
      <c r="S55" s="17">
        <f>SUM(J55-P55-R55)</f>
      </c>
      <c r="T55" s="175" t="s">
        <v>3177</v>
      </c>
      <c r="U55" s="14" t="s">
        <v>1718</v>
      </c>
      <c r="V55" s="14"/>
    </row>
    <row x14ac:dyDescent="0.25" r="56" customHeight="1" ht="15.75">
      <c r="A56" s="12">
        <v>45848</v>
      </c>
      <c r="B56" s="65" t="s">
        <v>72</v>
      </c>
      <c r="C56" s="65" t="s">
        <v>3178</v>
      </c>
      <c r="D56" s="14" t="s">
        <v>2971</v>
      </c>
      <c r="E56" s="14"/>
      <c r="F56" s="14" t="s">
        <v>3179</v>
      </c>
      <c r="G56" s="30" t="s">
        <v>434</v>
      </c>
      <c r="H56" s="30" t="s">
        <v>26</v>
      </c>
      <c r="I56" s="17">
        <v>813600</v>
      </c>
      <c r="J56" s="17">
        <v>1673800</v>
      </c>
      <c r="K56" s="17">
        <v>1383820</v>
      </c>
      <c r="L56" s="17">
        <v>289980</v>
      </c>
      <c r="M56" s="14" t="s">
        <v>50</v>
      </c>
      <c r="N56" s="14" t="s">
        <v>3180</v>
      </c>
      <c r="O56" s="17">
        <v>4</v>
      </c>
      <c r="P56" s="17">
        <v>1234380</v>
      </c>
      <c r="Q56" s="65"/>
      <c r="R56" s="65"/>
      <c r="S56" s="17">
        <f>SUM(J56-P56-R56)</f>
      </c>
      <c r="T56" s="12">
        <v>45901</v>
      </c>
      <c r="U56" s="14" t="s">
        <v>1718</v>
      </c>
      <c r="V56" s="14"/>
    </row>
    <row x14ac:dyDescent="0.25" r="57" customHeight="1" ht="20.25">
      <c r="A57" s="12">
        <v>45849</v>
      </c>
      <c r="B57" s="65" t="s">
        <v>72</v>
      </c>
      <c r="C57" s="65" t="s">
        <v>3181</v>
      </c>
      <c r="D57" s="14" t="s">
        <v>1735</v>
      </c>
      <c r="E57" s="14"/>
      <c r="F57" s="14" t="s">
        <v>2099</v>
      </c>
      <c r="G57" s="30" t="s">
        <v>3182</v>
      </c>
      <c r="H57" s="14" t="s">
        <v>26</v>
      </c>
      <c r="I57" s="17">
        <v>346500</v>
      </c>
      <c r="J57" s="17">
        <v>759900</v>
      </c>
      <c r="K57" s="17">
        <v>652920</v>
      </c>
      <c r="L57" s="17">
        <v>106980</v>
      </c>
      <c r="M57" s="14" t="s">
        <v>154</v>
      </c>
      <c r="N57" s="14" t="s">
        <v>3183</v>
      </c>
      <c r="O57" s="65"/>
      <c r="P57" s="17">
        <v>190000</v>
      </c>
      <c r="Q57" s="17">
        <v>400000</v>
      </c>
      <c r="R57" s="17">
        <v>169000</v>
      </c>
      <c r="S57" s="17">
        <f>SUM(J57-P57-Q57-R57)</f>
      </c>
      <c r="T57" s="237" t="s">
        <v>3184</v>
      </c>
      <c r="U57" s="14" t="s">
        <v>1718</v>
      </c>
      <c r="V57" s="14"/>
    </row>
    <row x14ac:dyDescent="0.25" r="58" customHeight="1" ht="15.75">
      <c r="A58" s="12">
        <v>45849</v>
      </c>
      <c r="B58" s="65" t="s">
        <v>53</v>
      </c>
      <c r="C58" s="65" t="s">
        <v>3185</v>
      </c>
      <c r="D58" s="14" t="s">
        <v>264</v>
      </c>
      <c r="E58" s="14"/>
      <c r="F58" s="14" t="s">
        <v>418</v>
      </c>
      <c r="G58" s="30" t="s">
        <v>3186</v>
      </c>
      <c r="H58" s="30" t="s">
        <v>26</v>
      </c>
      <c r="I58" s="65"/>
      <c r="J58" s="17">
        <v>38200</v>
      </c>
      <c r="K58" s="17">
        <v>0</v>
      </c>
      <c r="L58" s="17">
        <f>J58-K58</f>
      </c>
      <c r="M58" s="14" t="s">
        <v>53</v>
      </c>
      <c r="N58" s="14" t="s">
        <v>3187</v>
      </c>
      <c r="O58" s="65"/>
      <c r="P58" s="65"/>
      <c r="Q58" s="65"/>
      <c r="R58" s="65"/>
      <c r="S58" s="17">
        <f>SUM(J58-P58-R58)</f>
      </c>
      <c r="T58" s="12"/>
      <c r="U58" s="17"/>
      <c r="V58" s="14"/>
    </row>
    <row x14ac:dyDescent="0.25" r="59" customHeight="1" ht="15.75">
      <c r="A59" s="12">
        <v>45850</v>
      </c>
      <c r="B59" s="65" t="s">
        <v>72</v>
      </c>
      <c r="C59" s="65" t="s">
        <v>3188</v>
      </c>
      <c r="D59" s="14" t="s">
        <v>54</v>
      </c>
      <c r="E59" s="14"/>
      <c r="F59" s="14" t="s">
        <v>3189</v>
      </c>
      <c r="G59" s="30" t="s">
        <v>3190</v>
      </c>
      <c r="H59" s="30" t="s">
        <v>26</v>
      </c>
      <c r="I59" s="65"/>
      <c r="J59" s="17">
        <v>838920</v>
      </c>
      <c r="K59" s="17">
        <v>773920</v>
      </c>
      <c r="L59" s="17">
        <f>J59-K59</f>
      </c>
      <c r="M59" s="14" t="s">
        <v>50</v>
      </c>
      <c r="N59" s="14" t="s">
        <v>3191</v>
      </c>
      <c r="O59" s="17">
        <v>4</v>
      </c>
      <c r="P59" s="65"/>
      <c r="Q59" s="65"/>
      <c r="R59" s="17">
        <v>838920</v>
      </c>
      <c r="S59" s="17">
        <f>SUM(J59-P59-R59)</f>
      </c>
      <c r="T59" s="12">
        <v>45854</v>
      </c>
      <c r="U59" s="14" t="s">
        <v>1718</v>
      </c>
      <c r="V59" s="14"/>
    </row>
    <row x14ac:dyDescent="0.25" r="60" customHeight="1" ht="15.75">
      <c r="A60" s="12">
        <v>45851</v>
      </c>
      <c r="B60" s="65" t="s">
        <v>53</v>
      </c>
      <c r="C60" s="65" t="s">
        <v>3192</v>
      </c>
      <c r="D60" s="14" t="s">
        <v>3193</v>
      </c>
      <c r="E60" s="14"/>
      <c r="F60" s="14" t="s">
        <v>3142</v>
      </c>
      <c r="G60" s="30" t="s">
        <v>2751</v>
      </c>
      <c r="H60" s="30" t="s">
        <v>76</v>
      </c>
      <c r="I60" s="65"/>
      <c r="J60" s="17">
        <v>945920</v>
      </c>
      <c r="K60" s="17">
        <v>837120</v>
      </c>
      <c r="L60" s="17">
        <f>J60-K60</f>
      </c>
      <c r="M60" s="14" t="s">
        <v>137</v>
      </c>
      <c r="N60" s="14" t="s">
        <v>3194</v>
      </c>
      <c r="O60" s="65"/>
      <c r="P60" s="65"/>
      <c r="Q60" s="65"/>
      <c r="R60" s="17">
        <v>945920</v>
      </c>
      <c r="S60" s="17">
        <f>SUM(J60-P60-R60)</f>
      </c>
      <c r="T60" s="12">
        <v>45849</v>
      </c>
      <c r="U60" s="14" t="s">
        <v>1718</v>
      </c>
      <c r="V60" s="14"/>
    </row>
    <row x14ac:dyDescent="0.25" r="61" customHeight="1" ht="15.75">
      <c r="A61" s="12">
        <v>45851</v>
      </c>
      <c r="B61" s="65" t="s">
        <v>53</v>
      </c>
      <c r="C61" s="65" t="s">
        <v>3195</v>
      </c>
      <c r="D61" s="14" t="s">
        <v>3193</v>
      </c>
      <c r="E61" s="14"/>
      <c r="F61" s="14" t="s">
        <v>3142</v>
      </c>
      <c r="G61" s="30" t="s">
        <v>3196</v>
      </c>
      <c r="H61" s="30" t="s">
        <v>76</v>
      </c>
      <c r="I61" s="65"/>
      <c r="J61" s="17">
        <v>1173820</v>
      </c>
      <c r="K61" s="17">
        <v>1053120</v>
      </c>
      <c r="L61" s="17">
        <f>J61-K61</f>
      </c>
      <c r="M61" s="14" t="s">
        <v>137</v>
      </c>
      <c r="N61" s="14" t="s">
        <v>3197</v>
      </c>
      <c r="O61" s="65"/>
      <c r="P61" s="65"/>
      <c r="Q61" s="65"/>
      <c r="R61" s="17">
        <v>1173820</v>
      </c>
      <c r="S61" s="17">
        <f>SUM(J61-P61-R61)</f>
      </c>
      <c r="T61" s="12">
        <v>45849</v>
      </c>
      <c r="U61" s="14" t="s">
        <v>1718</v>
      </c>
      <c r="V61" s="14"/>
    </row>
    <row x14ac:dyDescent="0.25" r="62" customHeight="1" ht="15.75">
      <c r="A62" s="12">
        <v>45851</v>
      </c>
      <c r="B62" s="65" t="s">
        <v>111</v>
      </c>
      <c r="C62" s="65" t="s">
        <v>3198</v>
      </c>
      <c r="D62" s="14" t="s">
        <v>3199</v>
      </c>
      <c r="E62" s="14"/>
      <c r="F62" s="14" t="s">
        <v>162</v>
      </c>
      <c r="G62" s="30" t="s">
        <v>439</v>
      </c>
      <c r="H62" s="30" t="s">
        <v>26</v>
      </c>
      <c r="I62" s="65"/>
      <c r="J62" s="17">
        <v>723800</v>
      </c>
      <c r="K62" s="17">
        <v>603300</v>
      </c>
      <c r="L62" s="17">
        <f>J62-K62</f>
      </c>
      <c r="M62" s="14" t="s">
        <v>187</v>
      </c>
      <c r="N62" s="14" t="s">
        <v>3200</v>
      </c>
      <c r="O62" s="65"/>
      <c r="P62" s="65"/>
      <c r="Q62" s="65"/>
      <c r="R62" s="65"/>
      <c r="S62" s="17">
        <f>SUM(J62-P62-R62)</f>
      </c>
      <c r="T62" s="12"/>
      <c r="U62" s="17"/>
      <c r="V62" s="14"/>
    </row>
    <row x14ac:dyDescent="0.25" r="63" customHeight="1" ht="15.75">
      <c r="A63" s="12">
        <v>45852</v>
      </c>
      <c r="B63" s="65" t="s">
        <v>66</v>
      </c>
      <c r="C63" s="65" t="s">
        <v>3201</v>
      </c>
      <c r="D63" s="14" t="s">
        <v>2739</v>
      </c>
      <c r="E63" s="14"/>
      <c r="F63" s="14" t="s">
        <v>26</v>
      </c>
      <c r="G63" s="30" t="s">
        <v>3202</v>
      </c>
      <c r="H63" s="30" t="s">
        <v>26</v>
      </c>
      <c r="I63" s="65"/>
      <c r="J63" s="17">
        <v>606920</v>
      </c>
      <c r="K63" s="17">
        <v>606920</v>
      </c>
      <c r="L63" s="17"/>
      <c r="M63" s="14" t="s">
        <v>187</v>
      </c>
      <c r="N63" s="14" t="s">
        <v>3203</v>
      </c>
      <c r="O63" s="65"/>
      <c r="P63" s="65"/>
      <c r="Q63" s="65"/>
      <c r="R63" s="65"/>
      <c r="S63" s="17">
        <f>SUM(J63-P63-R63)</f>
      </c>
      <c r="T63" s="12"/>
      <c r="U63" s="17"/>
      <c r="V63" s="14"/>
    </row>
    <row x14ac:dyDescent="0.25" r="64" customHeight="1" ht="15.75">
      <c r="A64" s="12">
        <v>45852</v>
      </c>
      <c r="B64" s="65" t="s">
        <v>46</v>
      </c>
      <c r="C64" s="65" t="s">
        <v>3204</v>
      </c>
      <c r="D64" s="14" t="s">
        <v>54</v>
      </c>
      <c r="E64" s="14"/>
      <c r="F64" s="14" t="s">
        <v>24</v>
      </c>
      <c r="G64" s="30" t="s">
        <v>3205</v>
      </c>
      <c r="H64" s="30" t="s">
        <v>26</v>
      </c>
      <c r="I64" s="65"/>
      <c r="J64" s="17">
        <v>2887520</v>
      </c>
      <c r="K64" s="17">
        <v>2747520</v>
      </c>
      <c r="L64" s="17">
        <f>J64-K64</f>
      </c>
      <c r="M64" s="14" t="s">
        <v>3033</v>
      </c>
      <c r="N64" s="14" t="s">
        <v>3206</v>
      </c>
      <c r="O64" s="17">
        <v>2</v>
      </c>
      <c r="P64" s="17">
        <v>192305</v>
      </c>
      <c r="Q64" s="17">
        <v>1408800</v>
      </c>
      <c r="R64" s="17">
        <v>1286415</v>
      </c>
      <c r="S64" s="17">
        <f>SUM(J64-P64-Q64-R64)</f>
      </c>
      <c r="T64" s="175" t="s">
        <v>3207</v>
      </c>
      <c r="U64" s="14" t="s">
        <v>2122</v>
      </c>
      <c r="V64" s="14"/>
    </row>
    <row x14ac:dyDescent="0.25" r="65" customHeight="1" ht="15.75">
      <c r="A65" s="12">
        <v>45852</v>
      </c>
      <c r="B65" s="238" t="s">
        <v>53</v>
      </c>
      <c r="C65" s="65" t="s">
        <v>3208</v>
      </c>
      <c r="D65" s="14" t="s">
        <v>3193</v>
      </c>
      <c r="E65" s="14"/>
      <c r="F65" s="14" t="s">
        <v>3142</v>
      </c>
      <c r="G65" s="30" t="s">
        <v>3196</v>
      </c>
      <c r="H65" s="30" t="s">
        <v>76</v>
      </c>
      <c r="I65" s="65"/>
      <c r="J65" s="17">
        <v>999600</v>
      </c>
      <c r="K65" s="17">
        <v>959620</v>
      </c>
      <c r="L65" s="17">
        <f>J65-K65</f>
      </c>
      <c r="M65" s="70" t="s">
        <v>137</v>
      </c>
      <c r="N65" s="14" t="s">
        <v>3209</v>
      </c>
      <c r="O65" s="65"/>
      <c r="P65" s="17">
        <v>180260</v>
      </c>
      <c r="Q65" s="65"/>
      <c r="R65" s="17">
        <v>819340</v>
      </c>
      <c r="S65" s="17">
        <f>SUM(J65-P65-R65)</f>
      </c>
      <c r="T65" s="175" t="s">
        <v>3210</v>
      </c>
      <c r="U65" s="14" t="s">
        <v>1718</v>
      </c>
      <c r="V65" s="14"/>
    </row>
    <row x14ac:dyDescent="0.25" r="66" customHeight="1" ht="28.5">
      <c r="A66" s="12">
        <v>45852</v>
      </c>
      <c r="B66" s="238" t="s">
        <v>3211</v>
      </c>
      <c r="C66" s="238" t="s">
        <v>3212</v>
      </c>
      <c r="D66" s="70" t="s">
        <v>3213</v>
      </c>
      <c r="E66" s="14"/>
      <c r="F66" s="14" t="s">
        <v>162</v>
      </c>
      <c r="G66" s="30" t="s">
        <v>3214</v>
      </c>
      <c r="H66" s="30" t="s">
        <v>26</v>
      </c>
      <c r="I66" s="65"/>
      <c r="J66" s="17">
        <v>495800</v>
      </c>
      <c r="K66" s="17">
        <v>392570</v>
      </c>
      <c r="L66" s="17">
        <f>J66-K66</f>
      </c>
      <c r="M66" s="70" t="s">
        <v>3215</v>
      </c>
      <c r="N66" s="14" t="s">
        <v>3216</v>
      </c>
      <c r="O66" s="65"/>
      <c r="P66" s="65"/>
      <c r="Q66" s="65"/>
      <c r="R66" s="65"/>
      <c r="S66" s="17">
        <f>SUM(J66-P66-R66)</f>
      </c>
      <c r="T66" s="12"/>
      <c r="U66" s="17"/>
      <c r="V66" s="14"/>
    </row>
    <row x14ac:dyDescent="0.25" r="67" customHeight="1" ht="27.600000000000005">
      <c r="A67" s="12">
        <v>45852</v>
      </c>
      <c r="B67" s="238" t="s">
        <v>3217</v>
      </c>
      <c r="C67" s="238" t="s">
        <v>3218</v>
      </c>
      <c r="D67" s="70" t="s">
        <v>3219</v>
      </c>
      <c r="E67" s="14"/>
      <c r="F67" s="14" t="s">
        <v>162</v>
      </c>
      <c r="G67" s="30" t="s">
        <v>439</v>
      </c>
      <c r="H67" s="30" t="s">
        <v>26</v>
      </c>
      <c r="I67" s="65"/>
      <c r="J67" s="17">
        <v>1193100</v>
      </c>
      <c r="K67" s="17">
        <v>995870</v>
      </c>
      <c r="L67" s="17">
        <f>J67-K67</f>
      </c>
      <c r="M67" s="70" t="s">
        <v>3220</v>
      </c>
      <c r="N67" s="70" t="s">
        <v>3221</v>
      </c>
      <c r="O67" s="65"/>
      <c r="P67" s="65"/>
      <c r="Q67" s="65"/>
      <c r="R67" s="65"/>
      <c r="S67" s="17">
        <f>SUM(J67-P67-R67)</f>
      </c>
      <c r="T67" s="12"/>
      <c r="U67" s="17"/>
      <c r="V67" s="14"/>
    </row>
    <row x14ac:dyDescent="0.25" r="68" customHeight="1" ht="15.75">
      <c r="A68" s="12">
        <v>45852</v>
      </c>
      <c r="B68" s="65" t="s">
        <v>72</v>
      </c>
      <c r="C68" s="65" t="s">
        <v>3222</v>
      </c>
      <c r="D68" s="14" t="s">
        <v>2971</v>
      </c>
      <c r="E68" s="14"/>
      <c r="F68" s="14" t="s">
        <v>3179</v>
      </c>
      <c r="G68" s="30" t="s">
        <v>434</v>
      </c>
      <c r="H68" s="30" t="s">
        <v>26</v>
      </c>
      <c r="I68" s="65"/>
      <c r="J68" s="17">
        <v>201900</v>
      </c>
      <c r="K68" s="17">
        <v>151900</v>
      </c>
      <c r="L68" s="17">
        <f>J68-K68</f>
      </c>
      <c r="M68" s="14" t="s">
        <v>50</v>
      </c>
      <c r="N68" s="14" t="s">
        <v>3180</v>
      </c>
      <c r="O68" s="65" t="s">
        <v>251</v>
      </c>
      <c r="P68" s="65"/>
      <c r="Q68" s="65"/>
      <c r="R68" s="17">
        <v>201900</v>
      </c>
      <c r="S68" s="17">
        <f>SUM(J68-P68-R68)</f>
      </c>
      <c r="T68" s="12">
        <v>45853</v>
      </c>
      <c r="U68" s="14" t="s">
        <v>1718</v>
      </c>
      <c r="V68" s="14"/>
    </row>
    <row x14ac:dyDescent="0.25" r="69" customHeight="1" ht="15.75">
      <c r="A69" s="12">
        <v>45853</v>
      </c>
      <c r="B69" s="65" t="s">
        <v>66</v>
      </c>
      <c r="C69" s="65" t="s">
        <v>3223</v>
      </c>
      <c r="D69" s="14" t="s">
        <v>915</v>
      </c>
      <c r="E69" s="14"/>
      <c r="F69" s="14" t="s">
        <v>3224</v>
      </c>
      <c r="G69" s="30" t="s">
        <v>3225</v>
      </c>
      <c r="H69" s="30" t="s">
        <v>26</v>
      </c>
      <c r="I69" s="17">
        <v>175900</v>
      </c>
      <c r="J69" s="17">
        <v>498920</v>
      </c>
      <c r="K69" s="17">
        <v>483920</v>
      </c>
      <c r="L69" s="17">
        <f>J69-K69</f>
      </c>
      <c r="M69" s="14" t="s">
        <v>50</v>
      </c>
      <c r="N69" s="14" t="s">
        <v>3226</v>
      </c>
      <c r="O69" s="17">
        <v>4</v>
      </c>
      <c r="P69" s="65"/>
      <c r="Q69" s="65"/>
      <c r="R69" s="17">
        <v>498920</v>
      </c>
      <c r="S69" s="17">
        <f>SUM(J69-P69-R69)</f>
      </c>
      <c r="T69" s="12">
        <v>45853</v>
      </c>
      <c r="U69" s="14" t="s">
        <v>1718</v>
      </c>
      <c r="V69" s="14"/>
    </row>
    <row x14ac:dyDescent="0.25" r="70" customHeight="1" ht="15.75">
      <c r="A70" s="12">
        <v>45853</v>
      </c>
      <c r="B70" s="65" t="s">
        <v>72</v>
      </c>
      <c r="C70" s="65" t="s">
        <v>3227</v>
      </c>
      <c r="D70" s="14" t="s">
        <v>448</v>
      </c>
      <c r="E70" s="14"/>
      <c r="F70" s="14" t="s">
        <v>3228</v>
      </c>
      <c r="G70" s="30" t="s">
        <v>3229</v>
      </c>
      <c r="H70" s="30" t="s">
        <v>26</v>
      </c>
      <c r="I70" s="17">
        <v>205000</v>
      </c>
      <c r="J70" s="17">
        <v>481920</v>
      </c>
      <c r="K70" s="17">
        <v>472120</v>
      </c>
      <c r="L70" s="17">
        <f>J70-K70</f>
      </c>
      <c r="M70" s="14" t="s">
        <v>50</v>
      </c>
      <c r="N70" s="14" t="s">
        <v>3230</v>
      </c>
      <c r="O70" s="17">
        <v>4</v>
      </c>
      <c r="P70" s="65"/>
      <c r="Q70" s="65"/>
      <c r="R70" s="17">
        <v>481920</v>
      </c>
      <c r="S70" s="17">
        <f>SUM(J70-P70-R70)</f>
      </c>
      <c r="T70" s="12">
        <v>45849</v>
      </c>
      <c r="U70" s="14" t="s">
        <v>1718</v>
      </c>
      <c r="V70" s="14"/>
    </row>
    <row x14ac:dyDescent="0.25" r="71" customHeight="1" ht="15.75">
      <c r="A71" s="12">
        <v>45853</v>
      </c>
      <c r="B71" s="65" t="s">
        <v>72</v>
      </c>
      <c r="C71" s="65" t="s">
        <v>3227</v>
      </c>
      <c r="D71" s="14" t="s">
        <v>448</v>
      </c>
      <c r="E71" s="14"/>
      <c r="F71" s="14" t="s">
        <v>3228</v>
      </c>
      <c r="G71" s="30" t="s">
        <v>3231</v>
      </c>
      <c r="H71" s="30" t="s">
        <v>26</v>
      </c>
      <c r="I71" s="17">
        <v>153800</v>
      </c>
      <c r="J71" s="17">
        <v>433900</v>
      </c>
      <c r="K71" s="17">
        <v>420920</v>
      </c>
      <c r="L71" s="17">
        <f>J71-K71</f>
      </c>
      <c r="M71" s="14" t="s">
        <v>50</v>
      </c>
      <c r="N71" s="14" t="s">
        <v>3232</v>
      </c>
      <c r="O71" s="17">
        <v>4</v>
      </c>
      <c r="P71" s="65"/>
      <c r="Q71" s="65"/>
      <c r="R71" s="17">
        <v>433900</v>
      </c>
      <c r="S71" s="17">
        <f>SUM(J71-P71-R71)</f>
      </c>
      <c r="T71" s="12">
        <v>45849</v>
      </c>
      <c r="U71" s="14" t="s">
        <v>1718</v>
      </c>
      <c r="V71" s="14"/>
    </row>
    <row x14ac:dyDescent="0.25" r="72" customHeight="1" ht="15.75">
      <c r="A72" s="12">
        <v>45853</v>
      </c>
      <c r="B72" s="65" t="s">
        <v>72</v>
      </c>
      <c r="C72" s="65" t="s">
        <v>3227</v>
      </c>
      <c r="D72" s="14" t="s">
        <v>448</v>
      </c>
      <c r="E72" s="14"/>
      <c r="F72" s="14" t="s">
        <v>3228</v>
      </c>
      <c r="G72" s="30" t="s">
        <v>3233</v>
      </c>
      <c r="H72" s="30" t="s">
        <v>26</v>
      </c>
      <c r="I72" s="17">
        <v>205000</v>
      </c>
      <c r="J72" s="17">
        <v>481920</v>
      </c>
      <c r="K72" s="17">
        <v>472120</v>
      </c>
      <c r="L72" s="17">
        <f>J72-K72</f>
      </c>
      <c r="M72" s="14" t="s">
        <v>50</v>
      </c>
      <c r="N72" s="14" t="s">
        <v>3234</v>
      </c>
      <c r="O72" s="17">
        <v>4</v>
      </c>
      <c r="P72" s="65"/>
      <c r="Q72" s="65"/>
      <c r="R72" s="17">
        <v>481920</v>
      </c>
      <c r="S72" s="17">
        <f>SUM(J72-P72-R72)</f>
      </c>
      <c r="T72" s="12">
        <v>45849</v>
      </c>
      <c r="U72" s="14" t="s">
        <v>1718</v>
      </c>
      <c r="V72" s="14"/>
    </row>
    <row x14ac:dyDescent="0.25" r="73" customHeight="1" ht="15.75">
      <c r="A73" s="12">
        <v>45853</v>
      </c>
      <c r="B73" s="65" t="s">
        <v>72</v>
      </c>
      <c r="C73" s="65" t="s">
        <v>3227</v>
      </c>
      <c r="D73" s="14" t="s">
        <v>448</v>
      </c>
      <c r="E73" s="14"/>
      <c r="F73" s="14" t="s">
        <v>3228</v>
      </c>
      <c r="G73" s="30" t="s">
        <v>3235</v>
      </c>
      <c r="H73" s="30" t="s">
        <v>26</v>
      </c>
      <c r="I73" s="17">
        <v>205000</v>
      </c>
      <c r="J73" s="17">
        <v>481920</v>
      </c>
      <c r="K73" s="17">
        <v>472120</v>
      </c>
      <c r="L73" s="17">
        <f>J73-K73</f>
      </c>
      <c r="M73" s="14" t="s">
        <v>50</v>
      </c>
      <c r="N73" s="14" t="s">
        <v>3236</v>
      </c>
      <c r="O73" s="17">
        <v>4</v>
      </c>
      <c r="P73" s="65"/>
      <c r="Q73" s="65"/>
      <c r="R73" s="17">
        <v>481920</v>
      </c>
      <c r="S73" s="17">
        <f>SUM(J73-P73-R73)</f>
      </c>
      <c r="T73" s="12">
        <v>45849</v>
      </c>
      <c r="U73" s="14" t="s">
        <v>1718</v>
      </c>
      <c r="V73" s="14"/>
    </row>
    <row x14ac:dyDescent="0.25" r="74" customHeight="1" ht="34.5">
      <c r="A74" s="12">
        <v>45853</v>
      </c>
      <c r="B74" s="65" t="s">
        <v>46</v>
      </c>
      <c r="C74" s="65" t="s">
        <v>3124</v>
      </c>
      <c r="D74" s="14" t="s">
        <v>264</v>
      </c>
      <c r="E74" s="14"/>
      <c r="F74" s="30" t="s">
        <v>174</v>
      </c>
      <c r="G74" s="239" t="s">
        <v>3146</v>
      </c>
      <c r="H74" s="30" t="s">
        <v>26</v>
      </c>
      <c r="I74" s="65"/>
      <c r="J74" s="17">
        <v>99600</v>
      </c>
      <c r="K74" s="17">
        <v>69600</v>
      </c>
      <c r="L74" s="17">
        <f>J74-K74</f>
      </c>
      <c r="M74" s="14" t="s">
        <v>246</v>
      </c>
      <c r="N74" s="14" t="s">
        <v>3237</v>
      </c>
      <c r="O74" s="65" t="s">
        <v>3238</v>
      </c>
      <c r="P74" s="65"/>
      <c r="Q74" s="65"/>
      <c r="R74" s="17">
        <v>99600</v>
      </c>
      <c r="S74" s="17">
        <f>SUM(J74-P74-R74)</f>
      </c>
      <c r="T74" s="12">
        <v>45896</v>
      </c>
      <c r="U74" s="14" t="s">
        <v>1718</v>
      </c>
      <c r="V74" s="14"/>
    </row>
    <row x14ac:dyDescent="0.25" r="75" customHeight="1" ht="15.75">
      <c r="A75" s="12">
        <v>45853</v>
      </c>
      <c r="B75" s="65" t="s">
        <v>46</v>
      </c>
      <c r="C75" s="65" t="s">
        <v>3239</v>
      </c>
      <c r="D75" s="14" t="s">
        <v>54</v>
      </c>
      <c r="E75" s="14"/>
      <c r="F75" s="14" t="s">
        <v>1799</v>
      </c>
      <c r="G75" s="30" t="s">
        <v>3240</v>
      </c>
      <c r="H75" s="30" t="s">
        <v>26</v>
      </c>
      <c r="I75" s="17">
        <v>1834400</v>
      </c>
      <c r="J75" s="17">
        <v>2798920</v>
      </c>
      <c r="K75" s="17">
        <v>2678920</v>
      </c>
      <c r="L75" s="17">
        <f>J75-K75</f>
      </c>
      <c r="M75" s="14" t="s">
        <v>50</v>
      </c>
      <c r="N75" s="14" t="s">
        <v>3241</v>
      </c>
      <c r="O75" s="17">
        <v>2</v>
      </c>
      <c r="P75" s="17">
        <v>1377200</v>
      </c>
      <c r="Q75" s="17">
        <v>1000000</v>
      </c>
      <c r="R75" s="17">
        <v>421720</v>
      </c>
      <c r="S75" s="17">
        <f>SUM(J75-Q75-P75-R75)</f>
      </c>
      <c r="T75" s="175" t="s">
        <v>3242</v>
      </c>
      <c r="U75" s="14" t="s">
        <v>1718</v>
      </c>
      <c r="V75" s="14"/>
    </row>
    <row x14ac:dyDescent="0.25" r="76" customHeight="1" ht="15.75">
      <c r="A76" s="12">
        <v>45853</v>
      </c>
      <c r="B76" s="65" t="s">
        <v>72</v>
      </c>
      <c r="C76" s="65" t="s">
        <v>3243</v>
      </c>
      <c r="D76" s="14" t="s">
        <v>3244</v>
      </c>
      <c r="E76" s="14"/>
      <c r="F76" s="30" t="s">
        <v>3245</v>
      </c>
      <c r="G76" s="30" t="s">
        <v>3246</v>
      </c>
      <c r="H76" s="30" t="s">
        <v>76</v>
      </c>
      <c r="I76" s="65"/>
      <c r="J76" s="17">
        <v>268800</v>
      </c>
      <c r="K76" s="17">
        <v>243100</v>
      </c>
      <c r="L76" s="17">
        <f>J76-K76</f>
      </c>
      <c r="M76" s="14" t="s">
        <v>2699</v>
      </c>
      <c r="N76" s="14" t="s">
        <v>3247</v>
      </c>
      <c r="O76" s="65"/>
      <c r="P76" s="65"/>
      <c r="Q76" s="65"/>
      <c r="R76" s="17">
        <v>268800</v>
      </c>
      <c r="S76" s="17">
        <f>SUM(J76-P76-R76)</f>
      </c>
      <c r="T76" s="12">
        <v>45863</v>
      </c>
      <c r="U76" s="14" t="s">
        <v>1718</v>
      </c>
      <c r="V76" s="14"/>
    </row>
    <row x14ac:dyDescent="0.25" r="77" customHeight="1" ht="15.75">
      <c r="A77" s="12">
        <v>45854</v>
      </c>
      <c r="B77" s="65" t="s">
        <v>111</v>
      </c>
      <c r="C77" s="65" t="s">
        <v>3248</v>
      </c>
      <c r="D77" s="14" t="s">
        <v>112</v>
      </c>
      <c r="E77" s="14"/>
      <c r="F77" s="14" t="s">
        <v>84</v>
      </c>
      <c r="G77" s="30" t="s">
        <v>3249</v>
      </c>
      <c r="H77" s="30" t="s">
        <v>26</v>
      </c>
      <c r="I77" s="17">
        <v>145800</v>
      </c>
      <c r="J77" s="17">
        <v>559800</v>
      </c>
      <c r="K77" s="17">
        <v>409605</v>
      </c>
      <c r="L77" s="17">
        <f>J77-K77</f>
      </c>
      <c r="M77" s="14" t="s">
        <v>50</v>
      </c>
      <c r="N77" s="14" t="s">
        <v>3250</v>
      </c>
      <c r="O77" s="17">
        <v>2</v>
      </c>
      <c r="P77" s="65"/>
      <c r="Q77" s="65"/>
      <c r="R77" s="65"/>
      <c r="S77" s="17">
        <f>SUM(J77-P77-R77)</f>
      </c>
      <c r="T77" s="12"/>
      <c r="U77" s="17"/>
      <c r="V77" s="14"/>
    </row>
    <row x14ac:dyDescent="0.25" r="78" customHeight="1" ht="15.75">
      <c r="A78" s="12">
        <v>45854</v>
      </c>
      <c r="B78" s="17">
        <v>0</v>
      </c>
      <c r="C78" s="17">
        <v>0</v>
      </c>
      <c r="D78" s="14"/>
      <c r="E78" s="14"/>
      <c r="F78" s="14" t="s">
        <v>24</v>
      </c>
      <c r="G78" s="30" t="s">
        <v>3067</v>
      </c>
      <c r="H78" s="30" t="s">
        <v>26</v>
      </c>
      <c r="I78" s="65"/>
      <c r="J78" s="17">
        <v>300000</v>
      </c>
      <c r="K78" s="17">
        <v>250000</v>
      </c>
      <c r="L78" s="17">
        <f>J78-K78</f>
      </c>
      <c r="M78" s="14"/>
      <c r="N78" s="14"/>
      <c r="O78" s="65" t="s">
        <v>1328</v>
      </c>
      <c r="P78" s="65"/>
      <c r="Q78" s="65"/>
      <c r="R78" s="17">
        <v>300000</v>
      </c>
      <c r="S78" s="17">
        <f>SUM(J78-P78-R78)</f>
      </c>
      <c r="T78" s="12">
        <v>45895</v>
      </c>
      <c r="U78" s="14" t="s">
        <v>2122</v>
      </c>
      <c r="V78" s="14"/>
    </row>
    <row x14ac:dyDescent="0.25" r="79" customHeight="1" ht="15.75">
      <c r="A79" s="12">
        <v>45854</v>
      </c>
      <c r="B79" s="65"/>
      <c r="C79" s="65"/>
      <c r="D79" s="14"/>
      <c r="E79" s="14"/>
      <c r="F79" s="14" t="s">
        <v>24</v>
      </c>
      <c r="G79" s="30" t="s">
        <v>3067</v>
      </c>
      <c r="H79" s="30" t="s">
        <v>26</v>
      </c>
      <c r="I79" s="65"/>
      <c r="J79" s="17">
        <v>55000</v>
      </c>
      <c r="K79" s="17">
        <v>47500</v>
      </c>
      <c r="L79" s="17">
        <f>J79-K79</f>
      </c>
      <c r="M79" s="14"/>
      <c r="N79" s="14"/>
      <c r="O79" s="65" t="s">
        <v>3251</v>
      </c>
      <c r="P79" s="65"/>
      <c r="Q79" s="65"/>
      <c r="R79" s="17">
        <v>55000</v>
      </c>
      <c r="S79" s="17">
        <f>SUM(J79-P79-R79)</f>
      </c>
      <c r="T79" s="12">
        <v>45895</v>
      </c>
      <c r="U79" s="14" t="s">
        <v>2122</v>
      </c>
      <c r="V79" s="14"/>
    </row>
    <row x14ac:dyDescent="0.25" r="80" customHeight="1" ht="15.75">
      <c r="A80" s="12">
        <v>45854</v>
      </c>
      <c r="B80" s="65"/>
      <c r="C80" s="65"/>
      <c r="D80" s="14"/>
      <c r="E80" s="14"/>
      <c r="F80" s="14" t="s">
        <v>362</v>
      </c>
      <c r="G80" s="30" t="s">
        <v>3252</v>
      </c>
      <c r="H80" s="30" t="s">
        <v>26</v>
      </c>
      <c r="I80" s="65"/>
      <c r="J80" s="17">
        <v>135000</v>
      </c>
      <c r="K80" s="17">
        <v>125000</v>
      </c>
      <c r="L80" s="17">
        <f>J80-K80</f>
      </c>
      <c r="M80" s="14" t="s">
        <v>106</v>
      </c>
      <c r="N80" s="14" t="s">
        <v>3253</v>
      </c>
      <c r="O80" s="65" t="s">
        <v>3254</v>
      </c>
      <c r="P80" s="65"/>
      <c r="Q80" s="65"/>
      <c r="R80" s="17">
        <v>135000</v>
      </c>
      <c r="S80" s="17">
        <f>SUM(J80-P80-R80)</f>
      </c>
      <c r="T80" s="12">
        <v>45854</v>
      </c>
      <c r="U80" s="14" t="s">
        <v>1718</v>
      </c>
      <c r="V80" s="14"/>
    </row>
    <row x14ac:dyDescent="0.25" r="81" customHeight="1" ht="15.75">
      <c r="A81" s="12">
        <v>45854</v>
      </c>
      <c r="B81" s="65" t="s">
        <v>46</v>
      </c>
      <c r="C81" s="65" t="s">
        <v>3255</v>
      </c>
      <c r="D81" s="14" t="s">
        <v>282</v>
      </c>
      <c r="E81" s="14"/>
      <c r="F81" s="14" t="s">
        <v>41</v>
      </c>
      <c r="G81" s="30" t="s">
        <v>3256</v>
      </c>
      <c r="H81" s="30" t="s">
        <v>26</v>
      </c>
      <c r="I81" s="17">
        <v>1647800</v>
      </c>
      <c r="J81" s="17">
        <v>2483520</v>
      </c>
      <c r="K81" s="17">
        <v>2243520</v>
      </c>
      <c r="L81" s="17">
        <f>J81-K81</f>
      </c>
      <c r="M81" s="14" t="s">
        <v>50</v>
      </c>
      <c r="N81" s="14" t="s">
        <v>3257</v>
      </c>
      <c r="O81" s="17">
        <v>2</v>
      </c>
      <c r="P81" s="65"/>
      <c r="Q81" s="65"/>
      <c r="R81" s="17">
        <v>2483520</v>
      </c>
      <c r="S81" s="17">
        <f>SUM(J81-P81-R81)</f>
      </c>
      <c r="T81" s="12">
        <v>45860</v>
      </c>
      <c r="U81" s="14" t="s">
        <v>1718</v>
      </c>
      <c r="V81" s="14"/>
    </row>
    <row x14ac:dyDescent="0.25" r="82" customHeight="1" ht="15.75">
      <c r="A82" s="12">
        <v>45855</v>
      </c>
      <c r="B82" s="65" t="s">
        <v>475</v>
      </c>
      <c r="C82" s="65" t="s">
        <v>3258</v>
      </c>
      <c r="D82" s="14" t="s">
        <v>477</v>
      </c>
      <c r="E82" s="14"/>
      <c r="F82" s="14" t="s">
        <v>548</v>
      </c>
      <c r="G82" s="30" t="s">
        <v>3259</v>
      </c>
      <c r="H82" s="30" t="s">
        <v>26</v>
      </c>
      <c r="I82" s="65"/>
      <c r="J82" s="17">
        <v>319920</v>
      </c>
      <c r="K82" s="17">
        <v>258000</v>
      </c>
      <c r="L82" s="17">
        <f>J82-K82</f>
      </c>
      <c r="M82" s="14" t="s">
        <v>475</v>
      </c>
      <c r="N82" s="14" t="s">
        <v>3260</v>
      </c>
      <c r="O82" s="65"/>
      <c r="P82" s="65"/>
      <c r="Q82" s="65"/>
      <c r="R82" s="65"/>
      <c r="S82" s="17">
        <f>SUM(J82-P82-R82)</f>
      </c>
      <c r="T82" s="12"/>
      <c r="U82" s="17"/>
      <c r="V82" s="14"/>
    </row>
    <row x14ac:dyDescent="0.25" r="83" customHeight="1" ht="15.75">
      <c r="A83" s="12">
        <v>45855</v>
      </c>
      <c r="B83" s="65" t="s">
        <v>111</v>
      </c>
      <c r="C83" s="65" t="s">
        <v>3248</v>
      </c>
      <c r="D83" s="14" t="s">
        <v>112</v>
      </c>
      <c r="E83" s="14"/>
      <c r="F83" s="14" t="s">
        <v>84</v>
      </c>
      <c r="G83" s="30" t="s">
        <v>3261</v>
      </c>
      <c r="H83" s="30" t="s">
        <v>26</v>
      </c>
      <c r="I83" s="17">
        <v>145800</v>
      </c>
      <c r="J83" s="17">
        <v>559800</v>
      </c>
      <c r="K83" s="17">
        <v>410005</v>
      </c>
      <c r="L83" s="17">
        <f>J83-K83</f>
      </c>
      <c r="M83" s="14" t="s">
        <v>50</v>
      </c>
      <c r="N83" s="14" t="s">
        <v>3262</v>
      </c>
      <c r="O83" s="17">
        <v>2</v>
      </c>
      <c r="P83" s="65"/>
      <c r="Q83" s="65"/>
      <c r="R83" s="65"/>
      <c r="S83" s="17">
        <f>SUM(J83-P83-R83)</f>
      </c>
      <c r="T83" s="12"/>
      <c r="U83" s="17"/>
      <c r="V83" s="14"/>
    </row>
    <row x14ac:dyDescent="0.25" r="84" customHeight="1" ht="15.75">
      <c r="A84" s="12">
        <v>45855</v>
      </c>
      <c r="B84" s="65" t="s">
        <v>72</v>
      </c>
      <c r="C84" s="65" t="s">
        <v>3263</v>
      </c>
      <c r="D84" s="14" t="s">
        <v>455</v>
      </c>
      <c r="E84" s="14"/>
      <c r="F84" s="14" t="s">
        <v>84</v>
      </c>
      <c r="G84" s="30" t="s">
        <v>3264</v>
      </c>
      <c r="H84" s="30" t="s">
        <v>26</v>
      </c>
      <c r="I84" s="17">
        <v>319500</v>
      </c>
      <c r="J84" s="17">
        <v>695920</v>
      </c>
      <c r="K84" s="17">
        <v>635020</v>
      </c>
      <c r="L84" s="17">
        <f>J84-K84</f>
      </c>
      <c r="M84" s="14" t="s">
        <v>50</v>
      </c>
      <c r="N84" s="14" t="s">
        <v>3265</v>
      </c>
      <c r="O84" s="17">
        <v>4</v>
      </c>
      <c r="P84" s="65"/>
      <c r="Q84" s="65"/>
      <c r="R84" s="65"/>
      <c r="S84" s="17">
        <f>SUM(J84-P84-R84)</f>
      </c>
      <c r="T84" s="12"/>
      <c r="U84" s="17"/>
      <c r="V84" s="14"/>
    </row>
    <row x14ac:dyDescent="0.25" r="85" customHeight="1" ht="15.75">
      <c r="A85" s="12">
        <v>45855</v>
      </c>
      <c r="B85" s="65" t="s">
        <v>53</v>
      </c>
      <c r="C85" s="65" t="s">
        <v>3266</v>
      </c>
      <c r="D85" s="14" t="s">
        <v>3267</v>
      </c>
      <c r="E85" s="14"/>
      <c r="F85" s="14" t="s">
        <v>1673</v>
      </c>
      <c r="G85" s="14" t="s">
        <v>3268</v>
      </c>
      <c r="H85" s="30" t="s">
        <v>26</v>
      </c>
      <c r="I85" s="17">
        <v>1672100</v>
      </c>
      <c r="J85" s="17">
        <v>2239920</v>
      </c>
      <c r="K85" s="17">
        <v>2137520</v>
      </c>
      <c r="L85" s="17">
        <f>J85-K85</f>
      </c>
      <c r="M85" s="14" t="s">
        <v>137</v>
      </c>
      <c r="N85" s="14" t="s">
        <v>3269</v>
      </c>
      <c r="O85" s="65"/>
      <c r="P85" s="65"/>
      <c r="Q85" s="65"/>
      <c r="R85" s="17">
        <v>2239920</v>
      </c>
      <c r="S85" s="17">
        <f>SUM(J85-P85-R85)</f>
      </c>
      <c r="T85" s="12">
        <v>45861</v>
      </c>
      <c r="U85" s="14" t="s">
        <v>1718</v>
      </c>
      <c r="V85" s="14"/>
    </row>
    <row x14ac:dyDescent="0.25" r="86" customHeight="1" ht="15.75">
      <c r="A86" s="12">
        <v>45855</v>
      </c>
      <c r="B86" s="65" t="s">
        <v>53</v>
      </c>
      <c r="C86" s="65" t="s">
        <v>3270</v>
      </c>
      <c r="D86" s="14" t="s">
        <v>1892</v>
      </c>
      <c r="E86" s="14"/>
      <c r="F86" s="14" t="s">
        <v>1673</v>
      </c>
      <c r="G86" s="30" t="s">
        <v>3271</v>
      </c>
      <c r="H86" s="30" t="s">
        <v>26</v>
      </c>
      <c r="I86" s="235">
        <v>1474720</v>
      </c>
      <c r="J86" s="17">
        <v>1601920</v>
      </c>
      <c r="K86" s="235">
        <v>1474720</v>
      </c>
      <c r="L86" s="17">
        <f>J86-K86</f>
      </c>
      <c r="M86" s="14" t="s">
        <v>137</v>
      </c>
      <c r="N86" s="14" t="s">
        <v>3272</v>
      </c>
      <c r="O86" s="65"/>
      <c r="P86" s="65"/>
      <c r="Q86" s="65"/>
      <c r="R86" s="17">
        <v>1601920</v>
      </c>
      <c r="S86" s="17">
        <f>SUM(J86-P86-R86)</f>
      </c>
      <c r="T86" s="12">
        <v>45861</v>
      </c>
      <c r="U86" s="14" t="s">
        <v>1718</v>
      </c>
      <c r="V86" s="14"/>
    </row>
    <row x14ac:dyDescent="0.25" r="87" customHeight="1" ht="15.75">
      <c r="A87" s="12">
        <v>45855</v>
      </c>
      <c r="B87" s="65" t="s">
        <v>46</v>
      </c>
      <c r="C87" s="65" t="s">
        <v>3273</v>
      </c>
      <c r="D87" s="14" t="s">
        <v>3274</v>
      </c>
      <c r="E87" s="14"/>
      <c r="F87" s="14" t="s">
        <v>24</v>
      </c>
      <c r="G87" s="14" t="s">
        <v>3031</v>
      </c>
      <c r="H87" s="14" t="s">
        <v>3032</v>
      </c>
      <c r="I87" s="17">
        <v>842300</v>
      </c>
      <c r="J87" s="17">
        <v>991920</v>
      </c>
      <c r="K87" s="17">
        <v>963200</v>
      </c>
      <c r="L87" s="17">
        <f>J87-K87</f>
      </c>
      <c r="M87" s="14" t="s">
        <v>50</v>
      </c>
      <c r="N87" s="14" t="s">
        <v>3275</v>
      </c>
      <c r="O87" s="17">
        <v>2</v>
      </c>
      <c r="P87" s="65"/>
      <c r="Q87" s="65"/>
      <c r="R87" s="17">
        <v>991920</v>
      </c>
      <c r="S87" s="17">
        <f>SUM(J87-P87-R87)</f>
      </c>
      <c r="T87" s="12">
        <v>45895</v>
      </c>
      <c r="U87" s="14" t="s">
        <v>2122</v>
      </c>
      <c r="V87" s="14"/>
    </row>
    <row x14ac:dyDescent="0.25" r="88" customHeight="1" ht="15.75">
      <c r="A88" s="12">
        <v>45855</v>
      </c>
      <c r="B88" s="65" t="s">
        <v>46</v>
      </c>
      <c r="C88" s="65" t="s">
        <v>3273</v>
      </c>
      <c r="D88" s="14" t="s">
        <v>3274</v>
      </c>
      <c r="E88" s="14"/>
      <c r="F88" s="14" t="s">
        <v>24</v>
      </c>
      <c r="G88" s="30" t="s">
        <v>3165</v>
      </c>
      <c r="H88" s="14" t="s">
        <v>3032</v>
      </c>
      <c r="I88" s="17">
        <v>842300</v>
      </c>
      <c r="J88" s="17">
        <v>991920</v>
      </c>
      <c r="K88" s="17">
        <v>963200</v>
      </c>
      <c r="L88" s="17">
        <f>J88-K88</f>
      </c>
      <c r="M88" s="14" t="s">
        <v>50</v>
      </c>
      <c r="N88" s="14" t="s">
        <v>3276</v>
      </c>
      <c r="O88" s="17">
        <v>2</v>
      </c>
      <c r="P88" s="65"/>
      <c r="Q88" s="65"/>
      <c r="R88" s="17">
        <v>991920</v>
      </c>
      <c r="S88" s="17">
        <f>SUM(J88-P88-R88)</f>
      </c>
      <c r="T88" s="12">
        <v>45895</v>
      </c>
      <c r="U88" s="14" t="s">
        <v>2122</v>
      </c>
      <c r="V88" s="14"/>
    </row>
    <row x14ac:dyDescent="0.25" r="89" customHeight="1" ht="15.75">
      <c r="A89" s="12">
        <v>45855</v>
      </c>
      <c r="B89" s="65" t="s">
        <v>46</v>
      </c>
      <c r="C89" s="65" t="s">
        <v>3273</v>
      </c>
      <c r="D89" s="14" t="s">
        <v>3274</v>
      </c>
      <c r="E89" s="14"/>
      <c r="F89" s="14" t="s">
        <v>24</v>
      </c>
      <c r="G89" s="30" t="s">
        <v>3163</v>
      </c>
      <c r="H89" s="14" t="s">
        <v>3032</v>
      </c>
      <c r="I89" s="17">
        <v>674400</v>
      </c>
      <c r="J89" s="17">
        <v>873920</v>
      </c>
      <c r="K89" s="17">
        <v>795300</v>
      </c>
      <c r="L89" s="17">
        <f>J89-K89</f>
      </c>
      <c r="M89" s="14" t="s">
        <v>50</v>
      </c>
      <c r="N89" s="14" t="s">
        <v>3277</v>
      </c>
      <c r="O89" s="17">
        <v>2</v>
      </c>
      <c r="P89" s="65"/>
      <c r="Q89" s="65"/>
      <c r="R89" s="17">
        <v>873920</v>
      </c>
      <c r="S89" s="17">
        <f>SUM(J89-P89-R89)</f>
      </c>
      <c r="T89" s="12">
        <v>45895</v>
      </c>
      <c r="U89" s="14" t="s">
        <v>2122</v>
      </c>
      <c r="V89" s="14"/>
    </row>
    <row x14ac:dyDescent="0.25" r="90" customHeight="1" ht="15.75">
      <c r="A90" s="12">
        <v>45855</v>
      </c>
      <c r="B90" s="65" t="s">
        <v>46</v>
      </c>
      <c r="C90" s="65" t="s">
        <v>3273</v>
      </c>
      <c r="D90" s="14" t="s">
        <v>3274</v>
      </c>
      <c r="E90" s="14"/>
      <c r="F90" s="14" t="s">
        <v>24</v>
      </c>
      <c r="G90" s="30" t="s">
        <v>3169</v>
      </c>
      <c r="H90" s="14" t="s">
        <v>3032</v>
      </c>
      <c r="I90" s="17">
        <v>674400</v>
      </c>
      <c r="J90" s="17">
        <v>873920</v>
      </c>
      <c r="K90" s="17">
        <v>795300</v>
      </c>
      <c r="L90" s="17">
        <f>J90-K90</f>
      </c>
      <c r="M90" s="14" t="s">
        <v>50</v>
      </c>
      <c r="N90" s="14" t="s">
        <v>3278</v>
      </c>
      <c r="O90" s="17">
        <v>2</v>
      </c>
      <c r="P90" s="65"/>
      <c r="Q90" s="65"/>
      <c r="R90" s="17">
        <v>873920</v>
      </c>
      <c r="S90" s="17">
        <f>SUM(J90-P90-R90)</f>
      </c>
      <c r="T90" s="12">
        <v>45895</v>
      </c>
      <c r="U90" s="14" t="s">
        <v>2122</v>
      </c>
      <c r="V90" s="14"/>
    </row>
    <row x14ac:dyDescent="0.25" r="91" customHeight="1" ht="15.75">
      <c r="A91" s="12">
        <v>45855</v>
      </c>
      <c r="B91" s="65" t="s">
        <v>46</v>
      </c>
      <c r="C91" s="65" t="s">
        <v>3279</v>
      </c>
      <c r="D91" s="14" t="s">
        <v>3274</v>
      </c>
      <c r="E91" s="14"/>
      <c r="F91" s="14" t="s">
        <v>24</v>
      </c>
      <c r="G91" s="30" t="s">
        <v>3205</v>
      </c>
      <c r="H91" s="30" t="s">
        <v>26</v>
      </c>
      <c r="I91" s="17">
        <v>989900</v>
      </c>
      <c r="J91" s="17">
        <v>1240920</v>
      </c>
      <c r="K91" s="17">
        <v>1110800</v>
      </c>
      <c r="L91" s="17">
        <f>J91-K91</f>
      </c>
      <c r="M91" s="14" t="s">
        <v>50</v>
      </c>
      <c r="N91" s="14" t="s">
        <v>3280</v>
      </c>
      <c r="O91" s="17">
        <v>2</v>
      </c>
      <c r="P91" s="65"/>
      <c r="Q91" s="65"/>
      <c r="R91" s="17">
        <v>1240920</v>
      </c>
      <c r="S91" s="17">
        <f>SUM(J91-P91-R91)</f>
      </c>
      <c r="T91" s="12">
        <v>45895</v>
      </c>
      <c r="U91" s="14" t="s">
        <v>2122</v>
      </c>
      <c r="V91" s="14"/>
    </row>
    <row x14ac:dyDescent="0.25" r="92" customHeight="1" ht="15.75">
      <c r="A92" s="12">
        <v>45855</v>
      </c>
      <c r="B92" s="65" t="s">
        <v>66</v>
      </c>
      <c r="C92" s="65" t="s">
        <v>3281</v>
      </c>
      <c r="D92" s="14" t="s">
        <v>1261</v>
      </c>
      <c r="E92" s="14"/>
      <c r="F92" s="14" t="s">
        <v>3282</v>
      </c>
      <c r="G92" s="30" t="s">
        <v>3283</v>
      </c>
      <c r="H92" s="30" t="s">
        <v>3284</v>
      </c>
      <c r="I92" s="65"/>
      <c r="J92" s="17">
        <v>545520</v>
      </c>
      <c r="K92" s="17">
        <v>545520</v>
      </c>
      <c r="L92" s="17">
        <f>J92-K92</f>
      </c>
      <c r="M92" s="14" t="s">
        <v>50</v>
      </c>
      <c r="N92" s="14" t="s">
        <v>3285</v>
      </c>
      <c r="O92" s="17">
        <v>4</v>
      </c>
      <c r="P92" s="65"/>
      <c r="Q92" s="65"/>
      <c r="R92" s="17">
        <v>545520</v>
      </c>
      <c r="S92" s="17">
        <f>SUM(J92-P92-R92)</f>
      </c>
      <c r="T92" s="12">
        <v>45860</v>
      </c>
      <c r="U92" s="14" t="s">
        <v>1718</v>
      </c>
      <c r="V92" s="14"/>
    </row>
    <row x14ac:dyDescent="0.25" r="93" customHeight="1" ht="15.75">
      <c r="A93" s="12">
        <v>45855</v>
      </c>
      <c r="B93" s="65" t="s">
        <v>72</v>
      </c>
      <c r="C93" s="65" t="s">
        <v>3286</v>
      </c>
      <c r="D93" s="14" t="s">
        <v>455</v>
      </c>
      <c r="E93" s="14"/>
      <c r="F93" s="14" t="s">
        <v>3287</v>
      </c>
      <c r="G93" s="30" t="s">
        <v>3288</v>
      </c>
      <c r="H93" s="30" t="s">
        <v>26</v>
      </c>
      <c r="I93" s="17">
        <v>319500</v>
      </c>
      <c r="J93" s="17">
        <v>695920</v>
      </c>
      <c r="K93" s="17">
        <v>635020</v>
      </c>
      <c r="L93" s="17">
        <f>J93-K93</f>
      </c>
      <c r="M93" s="14" t="s">
        <v>50</v>
      </c>
      <c r="N93" s="14" t="s">
        <v>3289</v>
      </c>
      <c r="O93" s="17">
        <v>4</v>
      </c>
      <c r="P93" s="65"/>
      <c r="Q93" s="65"/>
      <c r="R93" s="65"/>
      <c r="S93" s="17">
        <f>SUM(J93-P93-R93)</f>
      </c>
      <c r="T93" s="12"/>
      <c r="U93" s="17"/>
      <c r="V93" s="14"/>
    </row>
    <row x14ac:dyDescent="0.25" r="94" customHeight="1" ht="15.75">
      <c r="A94" s="12">
        <v>45855</v>
      </c>
      <c r="B94" s="65" t="s">
        <v>53</v>
      </c>
      <c r="C94" s="65" t="s">
        <v>3290</v>
      </c>
      <c r="D94" s="14" t="s">
        <v>3291</v>
      </c>
      <c r="E94" s="14"/>
      <c r="F94" s="14" t="s">
        <v>3292</v>
      </c>
      <c r="G94" s="30" t="s">
        <v>3293</v>
      </c>
      <c r="H94" s="30" t="s">
        <v>26</v>
      </c>
      <c r="I94" s="65"/>
      <c r="J94" s="17">
        <v>1196920</v>
      </c>
      <c r="K94" s="17">
        <v>1187120</v>
      </c>
      <c r="L94" s="17">
        <f>J94-K94</f>
      </c>
      <c r="M94" s="14" t="s">
        <v>3045</v>
      </c>
      <c r="N94" s="14" t="s">
        <v>3294</v>
      </c>
      <c r="O94" s="17">
        <v>4</v>
      </c>
      <c r="P94" s="65"/>
      <c r="Q94" s="65"/>
      <c r="R94" s="17">
        <v>1196920</v>
      </c>
      <c r="S94" s="17">
        <f>SUM(J94-P94-R94)</f>
      </c>
      <c r="T94" s="12">
        <v>45856</v>
      </c>
      <c r="U94" s="14" t="s">
        <v>3295</v>
      </c>
      <c r="V94" s="14"/>
    </row>
    <row x14ac:dyDescent="0.25" r="95" customHeight="1" ht="15.75">
      <c r="A95" s="12">
        <v>45856</v>
      </c>
      <c r="B95" s="65" t="s">
        <v>123</v>
      </c>
      <c r="C95" s="65" t="s">
        <v>3296</v>
      </c>
      <c r="D95" s="14" t="s">
        <v>1892</v>
      </c>
      <c r="E95" s="14"/>
      <c r="F95" s="14" t="s">
        <v>1673</v>
      </c>
      <c r="G95" s="30" t="s">
        <v>2602</v>
      </c>
      <c r="H95" s="30" t="s">
        <v>26</v>
      </c>
      <c r="I95" s="65"/>
      <c r="J95" s="17">
        <v>789920</v>
      </c>
      <c r="K95" s="17">
        <v>733720</v>
      </c>
      <c r="L95" s="17">
        <f>J95-K95</f>
      </c>
      <c r="M95" s="14" t="s">
        <v>3033</v>
      </c>
      <c r="N95" s="14" t="s">
        <v>3297</v>
      </c>
      <c r="O95" s="17">
        <v>4</v>
      </c>
      <c r="P95" s="65"/>
      <c r="Q95" s="65"/>
      <c r="R95" s="17">
        <v>789920</v>
      </c>
      <c r="S95" s="17">
        <f>SUM(J95-P95-R95)</f>
      </c>
      <c r="T95" s="12">
        <v>45861</v>
      </c>
      <c r="U95" s="14" t="s">
        <v>1718</v>
      </c>
      <c r="V95" s="14"/>
    </row>
    <row x14ac:dyDescent="0.25" r="96" customHeight="1" ht="15.75">
      <c r="A96" s="12">
        <v>45856</v>
      </c>
      <c r="B96" s="65" t="s">
        <v>123</v>
      </c>
      <c r="C96" s="65" t="s">
        <v>3296</v>
      </c>
      <c r="D96" s="14" t="s">
        <v>1892</v>
      </c>
      <c r="E96" s="14"/>
      <c r="F96" s="14" t="s">
        <v>1673</v>
      </c>
      <c r="G96" s="30" t="s">
        <v>3298</v>
      </c>
      <c r="H96" s="30" t="s">
        <v>26</v>
      </c>
      <c r="I96" s="65"/>
      <c r="J96" s="17">
        <v>788920</v>
      </c>
      <c r="K96" s="17">
        <v>733720</v>
      </c>
      <c r="L96" s="17">
        <f>J96-K96</f>
      </c>
      <c r="M96" s="14" t="s">
        <v>3033</v>
      </c>
      <c r="N96" s="14" t="s">
        <v>3299</v>
      </c>
      <c r="O96" s="17">
        <v>4</v>
      </c>
      <c r="P96" s="65"/>
      <c r="Q96" s="65"/>
      <c r="R96" s="17">
        <v>788920</v>
      </c>
      <c r="S96" s="17">
        <f>SUM(J96-P96-R96)</f>
      </c>
      <c r="T96" s="12">
        <v>45861</v>
      </c>
      <c r="U96" s="14" t="s">
        <v>1718</v>
      </c>
      <c r="V96" s="14"/>
    </row>
    <row x14ac:dyDescent="0.25" r="97" customHeight="1" ht="15.75">
      <c r="A97" s="12">
        <v>45856</v>
      </c>
      <c r="B97" s="65" t="s">
        <v>123</v>
      </c>
      <c r="C97" s="65" t="s">
        <v>3296</v>
      </c>
      <c r="D97" s="14" t="s">
        <v>1892</v>
      </c>
      <c r="E97" s="14"/>
      <c r="F97" s="14" t="s">
        <v>1673</v>
      </c>
      <c r="G97" s="30" t="s">
        <v>3300</v>
      </c>
      <c r="H97" s="30" t="s">
        <v>26</v>
      </c>
      <c r="I97" s="65"/>
      <c r="J97" s="17">
        <v>788920</v>
      </c>
      <c r="K97" s="17">
        <v>733720</v>
      </c>
      <c r="L97" s="17">
        <f>J97-K97</f>
      </c>
      <c r="M97" s="14" t="s">
        <v>3033</v>
      </c>
      <c r="N97" s="14" t="s">
        <v>3301</v>
      </c>
      <c r="O97" s="17">
        <v>4</v>
      </c>
      <c r="P97" s="65"/>
      <c r="Q97" s="65"/>
      <c r="R97" s="17">
        <v>788920</v>
      </c>
      <c r="S97" s="17">
        <f>SUM(J97-P97-R97)</f>
      </c>
      <c r="T97" s="12">
        <v>45861</v>
      </c>
      <c r="U97" s="14" t="s">
        <v>1718</v>
      </c>
      <c r="V97" s="14"/>
    </row>
    <row x14ac:dyDescent="0.25" r="98" customHeight="1" ht="15.75">
      <c r="A98" s="12">
        <v>45856</v>
      </c>
      <c r="B98" s="65" t="s">
        <v>22</v>
      </c>
      <c r="C98" s="65" t="s">
        <v>3302</v>
      </c>
      <c r="D98" s="14" t="s">
        <v>477</v>
      </c>
      <c r="E98" s="14"/>
      <c r="F98" s="14" t="s">
        <v>194</v>
      </c>
      <c r="G98" s="231" t="s">
        <v>3303</v>
      </c>
      <c r="H98" s="30" t="s">
        <v>26</v>
      </c>
      <c r="I98" s="65"/>
      <c r="J98" s="240">
        <v>259920</v>
      </c>
      <c r="K98" s="17">
        <v>243700</v>
      </c>
      <c r="L98" s="17">
        <f>J98-K98</f>
      </c>
      <c r="M98" s="14" t="s">
        <v>22</v>
      </c>
      <c r="N98" s="14" t="s">
        <v>3304</v>
      </c>
      <c r="O98" s="65"/>
      <c r="P98" s="65"/>
      <c r="Q98" s="65"/>
      <c r="R98" s="17">
        <v>259920</v>
      </c>
      <c r="S98" s="17">
        <f>SUM(J98-P98-R98)</f>
      </c>
      <c r="T98" s="12">
        <v>45895</v>
      </c>
      <c r="U98" s="14" t="s">
        <v>2122</v>
      </c>
      <c r="V98" s="14"/>
    </row>
    <row x14ac:dyDescent="0.25" r="99" customHeight="1" ht="15.75">
      <c r="A99" s="12">
        <v>45856</v>
      </c>
      <c r="B99" s="65" t="s">
        <v>22</v>
      </c>
      <c r="C99" s="65" t="s">
        <v>3302</v>
      </c>
      <c r="D99" s="14" t="s">
        <v>477</v>
      </c>
      <c r="E99" s="14"/>
      <c r="F99" s="14" t="s">
        <v>194</v>
      </c>
      <c r="G99" s="231" t="s">
        <v>3305</v>
      </c>
      <c r="H99" s="30" t="s">
        <v>26</v>
      </c>
      <c r="I99" s="65"/>
      <c r="J99" s="240">
        <v>259920</v>
      </c>
      <c r="K99" s="17">
        <v>243700</v>
      </c>
      <c r="L99" s="17">
        <f>J99-K99</f>
      </c>
      <c r="M99" s="14" t="s">
        <v>22</v>
      </c>
      <c r="N99" s="14" t="s">
        <v>3304</v>
      </c>
      <c r="O99" s="65"/>
      <c r="P99" s="65"/>
      <c r="Q99" s="65"/>
      <c r="R99" s="17">
        <v>259920</v>
      </c>
      <c r="S99" s="17">
        <f>SUM(J99-P99-R99)</f>
      </c>
      <c r="T99" s="12">
        <v>45895</v>
      </c>
      <c r="U99" s="14" t="s">
        <v>2122</v>
      </c>
      <c r="V99" s="14"/>
    </row>
    <row x14ac:dyDescent="0.25" r="100" customHeight="1" ht="15.75">
      <c r="A100" s="12">
        <v>45857</v>
      </c>
      <c r="B100" s="65" t="s">
        <v>46</v>
      </c>
      <c r="C100" s="65" t="s">
        <v>3306</v>
      </c>
      <c r="D100" s="14" t="s">
        <v>3307</v>
      </c>
      <c r="E100" s="14"/>
      <c r="F100" s="14" t="s">
        <v>24</v>
      </c>
      <c r="G100" s="14" t="s">
        <v>3067</v>
      </c>
      <c r="H100" s="30" t="s">
        <v>26</v>
      </c>
      <c r="I100" s="65"/>
      <c r="J100" s="17">
        <v>998900</v>
      </c>
      <c r="K100" s="17">
        <v>694000</v>
      </c>
      <c r="L100" s="17">
        <f>J100-K100</f>
      </c>
      <c r="M100" s="14" t="s">
        <v>3045</v>
      </c>
      <c r="N100" s="14" t="s">
        <v>3308</v>
      </c>
      <c r="O100" s="65"/>
      <c r="P100" s="65"/>
      <c r="Q100" s="65"/>
      <c r="R100" s="17">
        <v>998900</v>
      </c>
      <c r="S100" s="17">
        <f>SUM(J100-P100-R100)</f>
      </c>
      <c r="T100" s="12">
        <v>45895</v>
      </c>
      <c r="U100" s="14" t="s">
        <v>2122</v>
      </c>
      <c r="V100" s="14"/>
    </row>
    <row x14ac:dyDescent="0.25" r="101" customHeight="1" ht="15.75">
      <c r="A101" s="12">
        <v>45857</v>
      </c>
      <c r="B101" s="65" t="s">
        <v>46</v>
      </c>
      <c r="C101" s="65" t="s">
        <v>3306</v>
      </c>
      <c r="D101" s="14" t="s">
        <v>3307</v>
      </c>
      <c r="E101" s="14"/>
      <c r="F101" s="14" t="s">
        <v>174</v>
      </c>
      <c r="G101" s="14" t="s">
        <v>3309</v>
      </c>
      <c r="H101" s="30" t="s">
        <v>26</v>
      </c>
      <c r="I101" s="65"/>
      <c r="J101" s="17">
        <v>998900</v>
      </c>
      <c r="K101" s="17">
        <v>694000</v>
      </c>
      <c r="L101" s="17">
        <f>J101-K101</f>
      </c>
      <c r="M101" s="14" t="s">
        <v>3045</v>
      </c>
      <c r="N101" s="14" t="s">
        <v>3310</v>
      </c>
      <c r="O101" s="65"/>
      <c r="P101" s="65"/>
      <c r="Q101" s="65"/>
      <c r="R101" s="17">
        <v>998900</v>
      </c>
      <c r="S101" s="17">
        <f>SUM(J101-P101-R101)</f>
      </c>
      <c r="T101" s="12">
        <v>45896</v>
      </c>
      <c r="U101" s="14" t="s">
        <v>1718</v>
      </c>
      <c r="V101" s="14"/>
    </row>
    <row x14ac:dyDescent="0.25" r="102" customHeight="1" ht="15.75">
      <c r="A102" s="12">
        <v>45858</v>
      </c>
      <c r="B102" s="65" t="s">
        <v>106</v>
      </c>
      <c r="C102" s="65" t="s">
        <v>3311</v>
      </c>
      <c r="D102" s="14" t="s">
        <v>54</v>
      </c>
      <c r="E102" s="14"/>
      <c r="F102" s="14" t="s">
        <v>781</v>
      </c>
      <c r="G102" s="30" t="s">
        <v>3312</v>
      </c>
      <c r="H102" s="30" t="s">
        <v>26</v>
      </c>
      <c r="I102" s="17">
        <v>269400</v>
      </c>
      <c r="J102" s="17">
        <v>682920</v>
      </c>
      <c r="K102" s="17">
        <v>622120</v>
      </c>
      <c r="L102" s="17">
        <f>J102-K102</f>
      </c>
      <c r="M102" s="14" t="s">
        <v>50</v>
      </c>
      <c r="N102" s="14" t="s">
        <v>3313</v>
      </c>
      <c r="O102" s="17">
        <v>4</v>
      </c>
      <c r="P102" s="65"/>
      <c r="Q102" s="65"/>
      <c r="R102" s="65"/>
      <c r="S102" s="17">
        <f>SUM(J102-P102-R102)</f>
      </c>
      <c r="T102" s="12"/>
      <c r="U102" s="17"/>
      <c r="V102" s="14"/>
    </row>
    <row x14ac:dyDescent="0.25" r="103" customHeight="1" ht="15.75">
      <c r="A103" s="12">
        <v>45858</v>
      </c>
      <c r="B103" s="65" t="s">
        <v>66</v>
      </c>
      <c r="C103" s="65" t="s">
        <v>3314</v>
      </c>
      <c r="D103" s="14" t="s">
        <v>166</v>
      </c>
      <c r="E103" s="14"/>
      <c r="F103" s="14" t="s">
        <v>3315</v>
      </c>
      <c r="G103" s="30" t="s">
        <v>3316</v>
      </c>
      <c r="H103" s="30" t="s">
        <v>26</v>
      </c>
      <c r="I103" s="65"/>
      <c r="J103" s="17">
        <v>25000</v>
      </c>
      <c r="K103" s="17">
        <v>0</v>
      </c>
      <c r="L103" s="17">
        <f>J103-K103</f>
      </c>
      <c r="M103" s="14" t="s">
        <v>66</v>
      </c>
      <c r="N103" s="14" t="s">
        <v>3317</v>
      </c>
      <c r="O103" s="65" t="s">
        <v>251</v>
      </c>
      <c r="P103" s="65"/>
      <c r="Q103" s="65"/>
      <c r="R103" s="65"/>
      <c r="S103" s="17">
        <f>SUM(J103-P103-R103)</f>
      </c>
      <c r="T103" s="12"/>
      <c r="U103" s="17"/>
      <c r="V103" s="14"/>
    </row>
    <row x14ac:dyDescent="0.25" r="104" customHeight="1" ht="15.75">
      <c r="A104" s="12">
        <v>45858</v>
      </c>
      <c r="B104" s="65" t="s">
        <v>66</v>
      </c>
      <c r="C104" s="65" t="s">
        <v>3314</v>
      </c>
      <c r="D104" s="14" t="s">
        <v>166</v>
      </c>
      <c r="E104" s="14"/>
      <c r="F104" s="14" t="s">
        <v>3315</v>
      </c>
      <c r="G104" s="14" t="s">
        <v>3318</v>
      </c>
      <c r="H104" s="30" t="s">
        <v>26</v>
      </c>
      <c r="I104" s="65"/>
      <c r="J104" s="17">
        <v>25000</v>
      </c>
      <c r="K104" s="17">
        <v>0</v>
      </c>
      <c r="L104" s="17">
        <v>25000</v>
      </c>
      <c r="M104" s="14" t="s">
        <v>66</v>
      </c>
      <c r="N104" s="14" t="s">
        <v>3319</v>
      </c>
      <c r="O104" s="65" t="s">
        <v>251</v>
      </c>
      <c r="P104" s="65"/>
      <c r="Q104" s="65"/>
      <c r="R104" s="65"/>
      <c r="S104" s="17">
        <f>SUM(J104-P104-R104)</f>
      </c>
      <c r="T104" s="12"/>
      <c r="U104" s="17"/>
      <c r="V104" s="14"/>
    </row>
    <row x14ac:dyDescent="0.25" r="105" customHeight="1" ht="15.75">
      <c r="A105" s="12">
        <v>45859</v>
      </c>
      <c r="B105" s="241" t="s">
        <v>72</v>
      </c>
      <c r="C105" s="65" t="s">
        <v>3320</v>
      </c>
      <c r="D105" s="14" t="s">
        <v>3321</v>
      </c>
      <c r="E105" s="14"/>
      <c r="F105" s="14" t="s">
        <v>3322</v>
      </c>
      <c r="G105" s="30" t="s">
        <v>3323</v>
      </c>
      <c r="H105" s="30" t="s">
        <v>26</v>
      </c>
      <c r="I105" s="17">
        <v>525100</v>
      </c>
      <c r="J105" s="17">
        <v>878900</v>
      </c>
      <c r="K105" s="17">
        <v>828120</v>
      </c>
      <c r="L105" s="17">
        <f>J105-K105</f>
      </c>
      <c r="M105" s="14" t="s">
        <v>50</v>
      </c>
      <c r="N105" s="14" t="s">
        <v>3324</v>
      </c>
      <c r="O105" s="17">
        <v>2</v>
      </c>
      <c r="P105" s="65"/>
      <c r="Q105" s="65"/>
      <c r="R105" s="17">
        <v>878900</v>
      </c>
      <c r="S105" s="17">
        <f>SUM(J105-P105-R105)</f>
      </c>
      <c r="T105" s="12">
        <v>45859</v>
      </c>
      <c r="U105" s="14" t="s">
        <v>1718</v>
      </c>
      <c r="V105" s="14"/>
    </row>
    <row x14ac:dyDescent="0.25" r="106" customHeight="1" ht="30">
      <c r="A106" s="12">
        <v>45859</v>
      </c>
      <c r="B106" s="65" t="s">
        <v>66</v>
      </c>
      <c r="C106" s="65" t="s">
        <v>3325</v>
      </c>
      <c r="D106" s="14" t="s">
        <v>73</v>
      </c>
      <c r="E106" s="14"/>
      <c r="F106" s="14" t="s">
        <v>894</v>
      </c>
      <c r="G106" s="30" t="s">
        <v>3326</v>
      </c>
      <c r="H106" s="30" t="s">
        <v>26</v>
      </c>
      <c r="I106" s="17">
        <v>177100</v>
      </c>
      <c r="J106" s="17">
        <v>466900</v>
      </c>
      <c r="K106" s="17">
        <v>436820</v>
      </c>
      <c r="L106" s="17">
        <f>J106-K106</f>
      </c>
      <c r="M106" s="14" t="s">
        <v>50</v>
      </c>
      <c r="N106" s="14" t="s">
        <v>3327</v>
      </c>
      <c r="O106" s="17">
        <v>4</v>
      </c>
      <c r="P106" s="65"/>
      <c r="Q106" s="65"/>
      <c r="R106" s="17">
        <v>466900</v>
      </c>
      <c r="S106" s="17">
        <f>SUM(J106-P106-R106)</f>
      </c>
      <c r="T106" s="12">
        <v>45859</v>
      </c>
      <c r="U106" s="14" t="s">
        <v>1718</v>
      </c>
      <c r="V106" s="14"/>
    </row>
    <row x14ac:dyDescent="0.25" r="107" customHeight="1" ht="15.75">
      <c r="A107" s="12">
        <v>45859</v>
      </c>
      <c r="B107" s="65" t="s">
        <v>66</v>
      </c>
      <c r="C107" s="65" t="s">
        <v>3325</v>
      </c>
      <c r="D107" s="14" t="s">
        <v>73</v>
      </c>
      <c r="E107" s="14"/>
      <c r="F107" s="14" t="s">
        <v>894</v>
      </c>
      <c r="G107" s="30" t="s">
        <v>3328</v>
      </c>
      <c r="H107" s="30" t="s">
        <v>26</v>
      </c>
      <c r="I107" s="17">
        <v>177100</v>
      </c>
      <c r="J107" s="17">
        <v>466900</v>
      </c>
      <c r="K107" s="17">
        <v>436820</v>
      </c>
      <c r="L107" s="17">
        <f>J107-K107</f>
      </c>
      <c r="M107" s="14" t="s">
        <v>50</v>
      </c>
      <c r="N107" s="14" t="s">
        <v>3329</v>
      </c>
      <c r="O107" s="17">
        <v>4</v>
      </c>
      <c r="P107" s="107"/>
      <c r="Q107" s="65"/>
      <c r="R107" s="17">
        <v>466900</v>
      </c>
      <c r="S107" s="17">
        <f>SUM(J107-P107-R107)</f>
      </c>
      <c r="T107" s="12">
        <v>45859</v>
      </c>
      <c r="U107" s="14" t="s">
        <v>1718</v>
      </c>
      <c r="V107" s="14"/>
    </row>
    <row x14ac:dyDescent="0.25" r="108" customHeight="1" ht="15.75">
      <c r="A108" s="12">
        <v>45859</v>
      </c>
      <c r="B108" s="65" t="s">
        <v>53</v>
      </c>
      <c r="C108" s="65" t="s">
        <v>3330</v>
      </c>
      <c r="D108" s="14" t="s">
        <v>3331</v>
      </c>
      <c r="E108" s="14"/>
      <c r="F108" s="14" t="s">
        <v>162</v>
      </c>
      <c r="G108" s="30" t="s">
        <v>238</v>
      </c>
      <c r="H108" s="30" t="s">
        <v>26</v>
      </c>
      <c r="I108" s="65"/>
      <c r="J108" s="17">
        <v>2148800</v>
      </c>
      <c r="K108" s="17">
        <v>1946700</v>
      </c>
      <c r="L108" s="17">
        <f>J108-K108</f>
      </c>
      <c r="M108" s="14" t="s">
        <v>137</v>
      </c>
      <c r="N108" s="14" t="s">
        <v>3332</v>
      </c>
      <c r="O108" s="65"/>
      <c r="P108" s="65"/>
      <c r="Q108" s="65"/>
      <c r="R108" s="65"/>
      <c r="S108" s="17">
        <f>SUM(J108-P108-R108)</f>
      </c>
      <c r="T108" s="12"/>
      <c r="U108" s="17"/>
      <c r="V108" s="14"/>
    </row>
    <row x14ac:dyDescent="0.25" r="109" customHeight="1" ht="15.75">
      <c r="A109" s="242">
        <v>45859</v>
      </c>
      <c r="B109" s="243" t="s">
        <v>53</v>
      </c>
      <c r="C109" s="243" t="s">
        <v>3330</v>
      </c>
      <c r="D109" s="244" t="s">
        <v>172</v>
      </c>
      <c r="E109" s="244" t="s">
        <v>3333</v>
      </c>
      <c r="F109" s="244" t="s">
        <v>162</v>
      </c>
      <c r="G109" s="244" t="s">
        <v>3334</v>
      </c>
      <c r="H109" s="244" t="s">
        <v>26</v>
      </c>
      <c r="I109" s="243"/>
      <c r="J109" s="184">
        <v>2148800</v>
      </c>
      <c r="K109" s="184">
        <v>1946700</v>
      </c>
      <c r="L109" s="184">
        <v>202100</v>
      </c>
      <c r="M109" s="244" t="s">
        <v>137</v>
      </c>
      <c r="N109" s="244" t="s">
        <v>3332</v>
      </c>
      <c r="O109" s="243"/>
      <c r="P109" s="243"/>
      <c r="Q109" s="243"/>
      <c r="R109" s="243"/>
      <c r="S109" s="184">
        <v>2148800</v>
      </c>
      <c r="T109" s="242"/>
      <c r="U109" s="184"/>
      <c r="V109" s="244"/>
    </row>
    <row x14ac:dyDescent="0.25" r="110" customHeight="1" ht="15.75">
      <c r="A110" s="12">
        <v>45860</v>
      </c>
      <c r="B110" s="65" t="s">
        <v>82</v>
      </c>
      <c r="C110" s="65" t="s">
        <v>3335</v>
      </c>
      <c r="D110" s="14" t="s">
        <v>3336</v>
      </c>
      <c r="E110" s="14"/>
      <c r="F110" s="14" t="s">
        <v>84</v>
      </c>
      <c r="G110" s="30" t="s">
        <v>3337</v>
      </c>
      <c r="H110" s="30" t="s">
        <v>26</v>
      </c>
      <c r="I110" s="65"/>
      <c r="J110" s="17">
        <v>244500</v>
      </c>
      <c r="K110" s="245">
        <v>183440</v>
      </c>
      <c r="L110" s="17">
        <f>J110-K110</f>
      </c>
      <c r="M110" s="14" t="s">
        <v>86</v>
      </c>
      <c r="N110" s="14" t="s">
        <v>3338</v>
      </c>
      <c r="O110" s="65"/>
      <c r="P110" s="65"/>
      <c r="Q110" s="65"/>
      <c r="R110" s="65"/>
      <c r="S110" s="17">
        <f>SUM(J110-P110-R110)</f>
      </c>
      <c r="T110" s="12"/>
      <c r="U110" s="17"/>
      <c r="V110" s="14"/>
    </row>
    <row x14ac:dyDescent="0.25" r="111" customHeight="1" ht="15.75">
      <c r="A111" s="12">
        <v>45860</v>
      </c>
      <c r="B111" s="65" t="s">
        <v>82</v>
      </c>
      <c r="C111" s="65" t="s">
        <v>3335</v>
      </c>
      <c r="D111" s="14" t="s">
        <v>3336</v>
      </c>
      <c r="E111" s="14"/>
      <c r="F111" s="14" t="s">
        <v>84</v>
      </c>
      <c r="G111" s="30" t="s">
        <v>3339</v>
      </c>
      <c r="H111" s="30" t="s">
        <v>26</v>
      </c>
      <c r="I111" s="65"/>
      <c r="J111" s="17">
        <v>244500</v>
      </c>
      <c r="K111" s="245">
        <v>183440</v>
      </c>
      <c r="L111" s="17">
        <f>J111-K111</f>
      </c>
      <c r="M111" s="14" t="s">
        <v>86</v>
      </c>
      <c r="N111" s="14" t="s">
        <v>3340</v>
      </c>
      <c r="O111" s="65"/>
      <c r="P111" s="65"/>
      <c r="Q111" s="65"/>
      <c r="R111" s="65"/>
      <c r="S111" s="17">
        <f>SUM(J111-P111-R111)</f>
      </c>
      <c r="T111" s="12"/>
      <c r="U111" s="17"/>
      <c r="V111" s="14"/>
    </row>
    <row x14ac:dyDescent="0.25" r="112" customHeight="1" ht="15.75">
      <c r="A112" s="12">
        <v>45860</v>
      </c>
      <c r="B112" s="65" t="s">
        <v>82</v>
      </c>
      <c r="C112" s="65" t="s">
        <v>3335</v>
      </c>
      <c r="D112" s="14" t="s">
        <v>3336</v>
      </c>
      <c r="E112" s="14"/>
      <c r="F112" s="14" t="s">
        <v>84</v>
      </c>
      <c r="G112" s="30" t="s">
        <v>3341</v>
      </c>
      <c r="H112" s="30" t="s">
        <v>26</v>
      </c>
      <c r="I112" s="65"/>
      <c r="J112" s="17">
        <v>244500</v>
      </c>
      <c r="K112" s="245">
        <v>183440</v>
      </c>
      <c r="L112" s="17">
        <f>J112-K112</f>
      </c>
      <c r="M112" s="14" t="s">
        <v>86</v>
      </c>
      <c r="N112" s="14" t="s">
        <v>3342</v>
      </c>
      <c r="O112" s="65"/>
      <c r="P112" s="65"/>
      <c r="Q112" s="65"/>
      <c r="R112" s="65"/>
      <c r="S112" s="17">
        <f>SUM(J112-P112-R112)</f>
      </c>
      <c r="T112" s="12"/>
      <c r="U112" s="17"/>
      <c r="V112" s="14"/>
    </row>
    <row x14ac:dyDescent="0.25" r="113" customHeight="1" ht="15.75">
      <c r="A113" s="12">
        <v>45860</v>
      </c>
      <c r="B113" s="65" t="s">
        <v>82</v>
      </c>
      <c r="C113" s="65" t="s">
        <v>3335</v>
      </c>
      <c r="D113" s="14" t="s">
        <v>3336</v>
      </c>
      <c r="E113" s="14"/>
      <c r="F113" s="14" t="s">
        <v>84</v>
      </c>
      <c r="G113" s="30" t="s">
        <v>3343</v>
      </c>
      <c r="H113" s="30" t="s">
        <v>26</v>
      </c>
      <c r="I113" s="65"/>
      <c r="J113" s="17">
        <v>244500</v>
      </c>
      <c r="K113" s="245">
        <v>183440</v>
      </c>
      <c r="L113" s="17">
        <f>J113-K113</f>
      </c>
      <c r="M113" s="14" t="s">
        <v>86</v>
      </c>
      <c r="N113" s="14" t="s">
        <v>3344</v>
      </c>
      <c r="O113" s="65"/>
      <c r="P113" s="65"/>
      <c r="Q113" s="65"/>
      <c r="R113" s="65"/>
      <c r="S113" s="17">
        <f>SUM(J113-P113-R113)</f>
      </c>
      <c r="T113" s="12"/>
      <c r="U113" s="17"/>
      <c r="V113" s="14"/>
    </row>
    <row x14ac:dyDescent="0.25" r="114" customHeight="1" ht="15.75">
      <c r="A114" s="12">
        <v>45860</v>
      </c>
      <c r="B114" s="65" t="s">
        <v>82</v>
      </c>
      <c r="C114" s="65" t="s">
        <v>3335</v>
      </c>
      <c r="D114" s="14" t="s">
        <v>3336</v>
      </c>
      <c r="E114" s="14"/>
      <c r="F114" s="14" t="s">
        <v>84</v>
      </c>
      <c r="G114" s="30" t="s">
        <v>3345</v>
      </c>
      <c r="H114" s="30" t="s">
        <v>26</v>
      </c>
      <c r="I114" s="65"/>
      <c r="J114" s="17">
        <v>244500</v>
      </c>
      <c r="K114" s="245">
        <v>183440</v>
      </c>
      <c r="L114" s="17">
        <f>J114-K114</f>
      </c>
      <c r="M114" s="14" t="s">
        <v>86</v>
      </c>
      <c r="N114" s="14" t="s">
        <v>3346</v>
      </c>
      <c r="O114" s="65"/>
      <c r="P114" s="65"/>
      <c r="Q114" s="65"/>
      <c r="R114" s="65"/>
      <c r="S114" s="17">
        <f>SUM(J114-P114-R114)</f>
      </c>
      <c r="T114" s="12"/>
      <c r="U114" s="17"/>
      <c r="V114" s="14"/>
    </row>
    <row x14ac:dyDescent="0.25" r="115" customHeight="1" ht="15.75">
      <c r="A115" s="12">
        <v>45860</v>
      </c>
      <c r="B115" s="65" t="s">
        <v>82</v>
      </c>
      <c r="C115" s="65" t="s">
        <v>3347</v>
      </c>
      <c r="D115" s="14" t="s">
        <v>3348</v>
      </c>
      <c r="E115" s="14"/>
      <c r="F115" s="14" t="s">
        <v>84</v>
      </c>
      <c r="G115" s="246" t="s">
        <v>3349</v>
      </c>
      <c r="H115" s="30" t="s">
        <v>26</v>
      </c>
      <c r="I115" s="65"/>
      <c r="J115" s="17">
        <v>252500</v>
      </c>
      <c r="K115" s="245">
        <v>180340</v>
      </c>
      <c r="L115" s="17">
        <f>J115-K115</f>
      </c>
      <c r="M115" s="14" t="s">
        <v>86</v>
      </c>
      <c r="N115" s="14" t="s">
        <v>3350</v>
      </c>
      <c r="O115" s="65"/>
      <c r="P115" s="65"/>
      <c r="Q115" s="65"/>
      <c r="R115" s="65"/>
      <c r="S115" s="17">
        <f>SUM(J115-P115-R115)</f>
      </c>
      <c r="T115" s="12"/>
      <c r="U115" s="17"/>
      <c r="V115" s="14"/>
    </row>
    <row x14ac:dyDescent="0.25" r="116" customHeight="1" ht="15.75">
      <c r="A116" s="12">
        <v>45860</v>
      </c>
      <c r="B116" s="65" t="s">
        <v>66</v>
      </c>
      <c r="C116" s="65" t="s">
        <v>3351</v>
      </c>
      <c r="D116" s="14" t="s">
        <v>166</v>
      </c>
      <c r="E116" s="14"/>
      <c r="F116" s="14" t="s">
        <v>3032</v>
      </c>
      <c r="G116" s="30" t="s">
        <v>3352</v>
      </c>
      <c r="H116" s="30"/>
      <c r="I116" s="17">
        <v>86100</v>
      </c>
      <c r="J116" s="17">
        <v>435620</v>
      </c>
      <c r="K116" s="17">
        <v>435620</v>
      </c>
      <c r="L116" s="17">
        <f>J116-K116</f>
      </c>
      <c r="M116" s="14" t="s">
        <v>50</v>
      </c>
      <c r="N116" s="14" t="s">
        <v>3353</v>
      </c>
      <c r="O116" s="17">
        <v>2</v>
      </c>
      <c r="P116" s="65"/>
      <c r="Q116" s="65"/>
      <c r="R116" s="65"/>
      <c r="S116" s="17">
        <f>SUM(J116-P116-R116)</f>
      </c>
      <c r="T116" s="12"/>
      <c r="U116" s="17"/>
      <c r="V116" s="14"/>
    </row>
    <row x14ac:dyDescent="0.25" r="117" customHeight="1" ht="15.75">
      <c r="A117" s="12">
        <v>45860</v>
      </c>
      <c r="B117" s="65" t="s">
        <v>46</v>
      </c>
      <c r="C117" s="65" t="s">
        <v>3354</v>
      </c>
      <c r="D117" s="14" t="s">
        <v>264</v>
      </c>
      <c r="E117" s="14"/>
      <c r="F117" s="14" t="s">
        <v>24</v>
      </c>
      <c r="G117" s="30" t="s">
        <v>3205</v>
      </c>
      <c r="H117" s="30" t="s">
        <v>26</v>
      </c>
      <c r="I117" s="65"/>
      <c r="J117" s="17">
        <v>298800</v>
      </c>
      <c r="K117" s="17">
        <v>208800</v>
      </c>
      <c r="L117" s="17">
        <f>J117-K117</f>
      </c>
      <c r="M117" s="14" t="s">
        <v>3033</v>
      </c>
      <c r="N117" s="14" t="s">
        <v>3355</v>
      </c>
      <c r="O117" s="65" t="s">
        <v>251</v>
      </c>
      <c r="P117" s="65"/>
      <c r="Q117" s="65"/>
      <c r="R117" s="17">
        <v>298800</v>
      </c>
      <c r="S117" s="17">
        <f>SUM(J117-P117-R117)</f>
      </c>
      <c r="T117" s="12">
        <v>45895</v>
      </c>
      <c r="U117" s="14" t="s">
        <v>2122</v>
      </c>
      <c r="V117" s="14"/>
    </row>
    <row x14ac:dyDescent="0.25" r="118" customHeight="1" ht="15.75">
      <c r="A118" s="12">
        <v>45860</v>
      </c>
      <c r="B118" s="65" t="s">
        <v>72</v>
      </c>
      <c r="C118" s="65" t="s">
        <v>2983</v>
      </c>
      <c r="D118" s="14" t="s">
        <v>448</v>
      </c>
      <c r="E118" s="14"/>
      <c r="F118" s="14" t="s">
        <v>24</v>
      </c>
      <c r="G118" s="30" t="s">
        <v>3356</v>
      </c>
      <c r="H118" s="30" t="s">
        <v>26</v>
      </c>
      <c r="I118" s="17">
        <v>2509700</v>
      </c>
      <c r="J118" s="17">
        <v>3195920</v>
      </c>
      <c r="K118" s="17">
        <v>3080920</v>
      </c>
      <c r="L118" s="17">
        <f>J118-K118</f>
      </c>
      <c r="M118" s="14" t="s">
        <v>50</v>
      </c>
      <c r="N118" s="14" t="s">
        <v>3357</v>
      </c>
      <c r="O118" s="17">
        <v>4</v>
      </c>
      <c r="P118" s="65"/>
      <c r="Q118" s="65"/>
      <c r="R118" s="17">
        <v>3195920</v>
      </c>
      <c r="S118" s="17">
        <f>SUM(J118-P118-R118)</f>
      </c>
      <c r="T118" s="12">
        <v>45895</v>
      </c>
      <c r="U118" s="14" t="s">
        <v>2122</v>
      </c>
      <c r="V118" s="14"/>
    </row>
    <row x14ac:dyDescent="0.25" r="119" customHeight="1" ht="15.75">
      <c r="A119" s="12">
        <v>45861</v>
      </c>
      <c r="B119" s="65" t="s">
        <v>82</v>
      </c>
      <c r="C119" s="65" t="s">
        <v>3358</v>
      </c>
      <c r="D119" s="14" t="s">
        <v>3359</v>
      </c>
      <c r="E119" s="14"/>
      <c r="F119" s="14" t="s">
        <v>84</v>
      </c>
      <c r="G119" s="30" t="s">
        <v>3360</v>
      </c>
      <c r="H119" s="30" t="s">
        <v>26</v>
      </c>
      <c r="I119" s="65"/>
      <c r="J119" s="17">
        <v>252500</v>
      </c>
      <c r="K119" s="17">
        <v>203340</v>
      </c>
      <c r="L119" s="17">
        <f>J119-K119</f>
      </c>
      <c r="M119" s="14" t="s">
        <v>82</v>
      </c>
      <c r="N119" s="14" t="s">
        <v>3361</v>
      </c>
      <c r="O119" s="65"/>
      <c r="P119" s="65"/>
      <c r="Q119" s="65"/>
      <c r="R119" s="65"/>
      <c r="S119" s="17">
        <f>SUM(J119-P119-R119)</f>
      </c>
      <c r="T119" s="12"/>
      <c r="U119" s="17"/>
      <c r="V119" s="14"/>
    </row>
    <row x14ac:dyDescent="0.25" r="120" customHeight="1" ht="15.75">
      <c r="A120" s="12">
        <v>45861</v>
      </c>
      <c r="B120" s="65" t="s">
        <v>46</v>
      </c>
      <c r="C120" s="65" t="s">
        <v>3362</v>
      </c>
      <c r="D120" s="14" t="s">
        <v>54</v>
      </c>
      <c r="E120" s="14"/>
      <c r="F120" s="14" t="s">
        <v>194</v>
      </c>
      <c r="G120" s="30" t="s">
        <v>3363</v>
      </c>
      <c r="H120" s="30" t="s">
        <v>26</v>
      </c>
      <c r="I120" s="65"/>
      <c r="J120" s="17">
        <v>349000</v>
      </c>
      <c r="K120" s="17">
        <v>295200</v>
      </c>
      <c r="L120" s="17">
        <f>J120-K120</f>
      </c>
      <c r="M120" s="14" t="s">
        <v>50</v>
      </c>
      <c r="N120" s="14" t="s">
        <v>3364</v>
      </c>
      <c r="O120" s="65" t="s">
        <v>251</v>
      </c>
      <c r="P120" s="65"/>
      <c r="Q120" s="65"/>
      <c r="R120" s="17">
        <v>349000</v>
      </c>
      <c r="S120" s="17">
        <f>SUM(J120-P120-R120)</f>
      </c>
      <c r="T120" s="12">
        <v>45909</v>
      </c>
      <c r="U120" s="14" t="s">
        <v>2122</v>
      </c>
      <c r="V120" s="14"/>
    </row>
    <row x14ac:dyDescent="0.25" r="121" customHeight="1" ht="15.75">
      <c r="A121" s="12">
        <v>45861</v>
      </c>
      <c r="B121" s="65" t="s">
        <v>46</v>
      </c>
      <c r="C121" s="65" t="s">
        <v>3365</v>
      </c>
      <c r="D121" s="14" t="s">
        <v>54</v>
      </c>
      <c r="E121" s="14"/>
      <c r="F121" s="14" t="s">
        <v>24</v>
      </c>
      <c r="G121" s="30" t="s">
        <v>3366</v>
      </c>
      <c r="H121" s="30" t="s">
        <v>26</v>
      </c>
      <c r="I121" s="65"/>
      <c r="J121" s="17">
        <v>3489900</v>
      </c>
      <c r="K121" s="17">
        <v>3439900</v>
      </c>
      <c r="L121" s="17">
        <f>J121-K121</f>
      </c>
      <c r="M121" s="14" t="s">
        <v>187</v>
      </c>
      <c r="N121" s="14" t="s">
        <v>3367</v>
      </c>
      <c r="O121" s="65"/>
      <c r="P121" s="65"/>
      <c r="Q121" s="65"/>
      <c r="R121" s="17">
        <v>3489900</v>
      </c>
      <c r="S121" s="17">
        <f>SUM(J121-P121-R121)</f>
      </c>
      <c r="T121" s="12">
        <v>45895</v>
      </c>
      <c r="U121" s="14" t="s">
        <v>2122</v>
      </c>
      <c r="V121" s="14"/>
    </row>
    <row x14ac:dyDescent="0.25" r="122" customHeight="1" ht="15.75">
      <c r="A122" s="12">
        <v>45861</v>
      </c>
      <c r="B122" s="65" t="s">
        <v>46</v>
      </c>
      <c r="C122" s="65" t="s">
        <v>3368</v>
      </c>
      <c r="D122" s="14" t="s">
        <v>54</v>
      </c>
      <c r="E122" s="14"/>
      <c r="F122" s="14" t="s">
        <v>3369</v>
      </c>
      <c r="G122" s="30" t="s">
        <v>3370</v>
      </c>
      <c r="H122" s="30" t="s">
        <v>76</v>
      </c>
      <c r="I122" s="65"/>
      <c r="J122" s="17">
        <v>1062800</v>
      </c>
      <c r="K122" s="17">
        <v>965420</v>
      </c>
      <c r="L122" s="17">
        <f>J122-K122</f>
      </c>
      <c r="M122" s="14" t="s">
        <v>187</v>
      </c>
      <c r="N122" s="14" t="s">
        <v>3371</v>
      </c>
      <c r="O122" s="65"/>
      <c r="P122" s="65"/>
      <c r="Q122" s="65"/>
      <c r="R122" s="17">
        <v>1062800</v>
      </c>
      <c r="S122" s="17">
        <f>SUM(J122-P122-R122)</f>
      </c>
      <c r="T122" s="12">
        <v>45862</v>
      </c>
      <c r="U122" s="14" t="s">
        <v>2216</v>
      </c>
      <c r="V122" s="14"/>
    </row>
    <row x14ac:dyDescent="0.25" r="123" customHeight="1" ht="15.75">
      <c r="A123" s="12">
        <v>45861</v>
      </c>
      <c r="B123" s="65" t="s">
        <v>46</v>
      </c>
      <c r="C123" s="65" t="s">
        <v>3368</v>
      </c>
      <c r="D123" s="14" t="s">
        <v>54</v>
      </c>
      <c r="E123" s="14"/>
      <c r="F123" s="14" t="s">
        <v>3369</v>
      </c>
      <c r="G123" s="30" t="s">
        <v>3372</v>
      </c>
      <c r="H123" s="30" t="s">
        <v>76</v>
      </c>
      <c r="I123" s="65"/>
      <c r="J123" s="17">
        <v>1062800</v>
      </c>
      <c r="K123" s="17">
        <v>965420</v>
      </c>
      <c r="L123" s="17">
        <f>J123-K123</f>
      </c>
      <c r="M123" s="14" t="s">
        <v>187</v>
      </c>
      <c r="N123" s="14" t="s">
        <v>3373</v>
      </c>
      <c r="O123" s="65"/>
      <c r="P123" s="65"/>
      <c r="Q123" s="65"/>
      <c r="R123" s="17">
        <v>1062800</v>
      </c>
      <c r="S123" s="17">
        <f>SUM(J123-P123-R123)</f>
      </c>
      <c r="T123" s="12">
        <v>45862</v>
      </c>
      <c r="U123" s="14" t="s">
        <v>2216</v>
      </c>
      <c r="V123" s="14"/>
    </row>
    <row x14ac:dyDescent="0.25" r="124" customHeight="1" ht="15.75">
      <c r="A124" s="12">
        <v>45861</v>
      </c>
      <c r="B124" s="65" t="s">
        <v>46</v>
      </c>
      <c r="C124" s="65" t="s">
        <v>3368</v>
      </c>
      <c r="D124" s="14" t="s">
        <v>54</v>
      </c>
      <c r="E124" s="14"/>
      <c r="F124" s="14" t="s">
        <v>3369</v>
      </c>
      <c r="G124" s="30" t="s">
        <v>3374</v>
      </c>
      <c r="H124" s="30" t="s">
        <v>76</v>
      </c>
      <c r="I124" s="65"/>
      <c r="J124" s="17">
        <v>890800</v>
      </c>
      <c r="K124" s="17">
        <v>802920</v>
      </c>
      <c r="L124" s="17">
        <f>J124-K124</f>
      </c>
      <c r="M124" s="14" t="s">
        <v>187</v>
      </c>
      <c r="N124" s="14" t="s">
        <v>3375</v>
      </c>
      <c r="O124" s="65"/>
      <c r="P124" s="65"/>
      <c r="Q124" s="65"/>
      <c r="R124" s="17">
        <v>890800</v>
      </c>
      <c r="S124" s="17">
        <f>SUM(J124-P124-R124)</f>
      </c>
      <c r="T124" s="12">
        <v>45862</v>
      </c>
      <c r="U124" s="14" t="s">
        <v>2216</v>
      </c>
      <c r="V124" s="14"/>
    </row>
    <row x14ac:dyDescent="0.25" r="125" customHeight="1" ht="15.75">
      <c r="A125" s="12">
        <v>45861</v>
      </c>
      <c r="B125" s="65" t="s">
        <v>46</v>
      </c>
      <c r="C125" s="65" t="s">
        <v>3368</v>
      </c>
      <c r="D125" s="14" t="s">
        <v>54</v>
      </c>
      <c r="E125" s="14"/>
      <c r="F125" s="14" t="s">
        <v>3369</v>
      </c>
      <c r="G125" s="30" t="s">
        <v>3376</v>
      </c>
      <c r="H125" s="30" t="s">
        <v>76</v>
      </c>
      <c r="I125" s="65"/>
      <c r="J125" s="17">
        <v>890800</v>
      </c>
      <c r="K125" s="17">
        <v>802920</v>
      </c>
      <c r="L125" s="17">
        <f>J125-K125</f>
      </c>
      <c r="M125" s="14" t="s">
        <v>187</v>
      </c>
      <c r="N125" s="14" t="s">
        <v>3377</v>
      </c>
      <c r="O125" s="65"/>
      <c r="P125" s="65"/>
      <c r="Q125" s="65"/>
      <c r="R125" s="17">
        <v>890800</v>
      </c>
      <c r="S125" s="17">
        <f>SUM(J125-P125-R125)</f>
      </c>
      <c r="T125" s="12">
        <v>45862</v>
      </c>
      <c r="U125" s="14" t="s">
        <v>2216</v>
      </c>
      <c r="V125" s="14"/>
    </row>
    <row x14ac:dyDescent="0.25" r="126" customHeight="1" ht="24.600000000000005">
      <c r="A126" s="12">
        <v>45861</v>
      </c>
      <c r="B126" s="65" t="s">
        <v>46</v>
      </c>
      <c r="C126" s="65" t="s">
        <v>3368</v>
      </c>
      <c r="D126" s="14" t="s">
        <v>54</v>
      </c>
      <c r="E126" s="14"/>
      <c r="F126" s="14" t="s">
        <v>3369</v>
      </c>
      <c r="G126" s="30" t="s">
        <v>3378</v>
      </c>
      <c r="H126" s="30" t="s">
        <v>76</v>
      </c>
      <c r="I126" s="65"/>
      <c r="J126" s="17">
        <v>890800</v>
      </c>
      <c r="K126" s="17">
        <v>802920</v>
      </c>
      <c r="L126" s="17">
        <f>J126-K126</f>
      </c>
      <c r="M126" s="14" t="s">
        <v>187</v>
      </c>
      <c r="N126" s="14" t="s">
        <v>3379</v>
      </c>
      <c r="O126" s="65"/>
      <c r="P126" s="65"/>
      <c r="Q126" s="65"/>
      <c r="R126" s="17">
        <v>890800</v>
      </c>
      <c r="S126" s="17">
        <f>SUM(J126-P126-R126)</f>
      </c>
      <c r="T126" s="12">
        <v>45862</v>
      </c>
      <c r="U126" s="14" t="s">
        <v>2216</v>
      </c>
      <c r="V126" s="14"/>
    </row>
    <row x14ac:dyDescent="0.25" r="127" customHeight="1" ht="15.75">
      <c r="A127" s="12">
        <v>45861</v>
      </c>
      <c r="B127" s="65" t="s">
        <v>46</v>
      </c>
      <c r="C127" s="65" t="s">
        <v>3380</v>
      </c>
      <c r="D127" s="14" t="s">
        <v>54</v>
      </c>
      <c r="E127" s="14"/>
      <c r="F127" s="14" t="s">
        <v>1771</v>
      </c>
      <c r="G127" s="30" t="s">
        <v>1134</v>
      </c>
      <c r="H127" s="30" t="s">
        <v>26</v>
      </c>
      <c r="I127" s="17">
        <v>584200</v>
      </c>
      <c r="J127" s="17">
        <v>1204920</v>
      </c>
      <c r="K127" s="17">
        <v>899420</v>
      </c>
      <c r="L127" s="17">
        <f>J127-K127</f>
      </c>
      <c r="M127" s="14" t="s">
        <v>50</v>
      </c>
      <c r="N127" s="14" t="s">
        <v>3381</v>
      </c>
      <c r="O127" s="65"/>
      <c r="P127" s="65"/>
      <c r="Q127" s="65"/>
      <c r="R127" s="17">
        <v>1204920</v>
      </c>
      <c r="S127" s="17">
        <f>SUM(J127-P127-R127)</f>
      </c>
      <c r="T127" s="12">
        <v>45873</v>
      </c>
      <c r="U127" s="14" t="s">
        <v>1718</v>
      </c>
      <c r="V127" s="14"/>
    </row>
    <row x14ac:dyDescent="0.25" r="128" customHeight="1" ht="15.75">
      <c r="A128" s="12">
        <v>45861</v>
      </c>
      <c r="B128" s="65" t="s">
        <v>53</v>
      </c>
      <c r="C128" s="65" t="s">
        <v>3382</v>
      </c>
      <c r="D128" s="14" t="s">
        <v>54</v>
      </c>
      <c r="E128" s="14"/>
      <c r="F128" s="14" t="s">
        <v>2720</v>
      </c>
      <c r="G128" s="30" t="s">
        <v>3383</v>
      </c>
      <c r="H128" s="30" t="s">
        <v>26</v>
      </c>
      <c r="I128" s="65"/>
      <c r="J128" s="17">
        <v>178700</v>
      </c>
      <c r="K128" s="17">
        <v>131200</v>
      </c>
      <c r="L128" s="17">
        <f>J128-K128</f>
      </c>
      <c r="M128" s="14" t="s">
        <v>53</v>
      </c>
      <c r="N128" s="14" t="s">
        <v>3384</v>
      </c>
      <c r="O128" s="65" t="s">
        <v>251</v>
      </c>
      <c r="P128" s="17">
        <v>100000</v>
      </c>
      <c r="Q128" s="65"/>
      <c r="R128" s="17">
        <v>78700</v>
      </c>
      <c r="S128" s="17">
        <f>SUM(J128-P128-R128)</f>
      </c>
      <c r="T128" s="12">
        <v>45873</v>
      </c>
      <c r="U128" s="14" t="s">
        <v>1718</v>
      </c>
      <c r="V128" s="14"/>
    </row>
    <row x14ac:dyDescent="0.25" r="129" customHeight="1" ht="15.75">
      <c r="A129" s="12">
        <v>45861</v>
      </c>
      <c r="B129" s="65" t="s">
        <v>53</v>
      </c>
      <c r="C129" s="65" t="s">
        <v>3385</v>
      </c>
      <c r="D129" s="14" t="s">
        <v>3386</v>
      </c>
      <c r="E129" s="14"/>
      <c r="F129" s="14" t="s">
        <v>2720</v>
      </c>
      <c r="G129" s="30" t="s">
        <v>3383</v>
      </c>
      <c r="H129" s="30" t="s">
        <v>26</v>
      </c>
      <c r="I129" s="65"/>
      <c r="J129" s="17">
        <v>169800</v>
      </c>
      <c r="K129" s="17">
        <v>118100</v>
      </c>
      <c r="L129" s="17">
        <f>J129-K129</f>
      </c>
      <c r="M129" s="14" t="s">
        <v>53</v>
      </c>
      <c r="N129" s="14" t="s">
        <v>3387</v>
      </c>
      <c r="O129" s="65" t="s">
        <v>251</v>
      </c>
      <c r="P129" s="65"/>
      <c r="Q129" s="65"/>
      <c r="R129" s="17">
        <v>169800</v>
      </c>
      <c r="S129" s="17">
        <f>SUM(J129-P129-R129)</f>
      </c>
      <c r="T129" s="12">
        <v>45889</v>
      </c>
      <c r="U129" s="14" t="s">
        <v>1718</v>
      </c>
      <c r="V129" s="14"/>
    </row>
    <row x14ac:dyDescent="0.25" r="130" customHeight="1" ht="30">
      <c r="A130" s="12">
        <v>45861</v>
      </c>
      <c r="B130" s="65" t="s">
        <v>53</v>
      </c>
      <c r="C130" s="65" t="s">
        <v>3388</v>
      </c>
      <c r="D130" s="14" t="s">
        <v>134</v>
      </c>
      <c r="E130" s="14"/>
      <c r="F130" s="14" t="s">
        <v>2720</v>
      </c>
      <c r="G130" s="30" t="s">
        <v>3389</v>
      </c>
      <c r="H130" s="30" t="s">
        <v>26</v>
      </c>
      <c r="I130" s="65"/>
      <c r="J130" s="17">
        <v>199800</v>
      </c>
      <c r="K130" s="17">
        <v>169800</v>
      </c>
      <c r="L130" s="17">
        <f>J130-K130</f>
      </c>
      <c r="M130" s="14" t="s">
        <v>53</v>
      </c>
      <c r="N130" s="14" t="s">
        <v>3390</v>
      </c>
      <c r="O130" s="65" t="s">
        <v>251</v>
      </c>
      <c r="P130" s="65"/>
      <c r="Q130" s="65"/>
      <c r="R130" s="17">
        <v>199800</v>
      </c>
      <c r="S130" s="17">
        <f>SUM(J130-P130-R130)</f>
      </c>
      <c r="T130" s="12">
        <v>45889</v>
      </c>
      <c r="U130" s="14" t="s">
        <v>1718</v>
      </c>
      <c r="V130" s="14"/>
    </row>
    <row x14ac:dyDescent="0.25" r="131" customHeight="1" ht="15.75">
      <c r="A131" s="12">
        <v>45861</v>
      </c>
      <c r="B131" s="65" t="s">
        <v>53</v>
      </c>
      <c r="C131" s="65" t="s">
        <v>3320</v>
      </c>
      <c r="D131" s="14" t="s">
        <v>2387</v>
      </c>
      <c r="E131" s="14"/>
      <c r="F131" s="14" t="s">
        <v>162</v>
      </c>
      <c r="G131" s="30" t="s">
        <v>439</v>
      </c>
      <c r="H131" s="30" t="s">
        <v>26</v>
      </c>
      <c r="I131" s="65"/>
      <c r="J131" s="17">
        <v>2273800</v>
      </c>
      <c r="K131" s="17">
        <v>2173720</v>
      </c>
      <c r="L131" s="17">
        <f>J131-K131</f>
      </c>
      <c r="M131" s="14" t="s">
        <v>187</v>
      </c>
      <c r="N131" s="14" t="s">
        <v>3391</v>
      </c>
      <c r="O131" s="65"/>
      <c r="P131" s="65"/>
      <c r="Q131" s="65"/>
      <c r="R131" s="65"/>
      <c r="S131" s="17">
        <f>SUM(J131-P131-R131)</f>
      </c>
      <c r="T131" s="12"/>
      <c r="U131" s="17"/>
      <c r="V131" s="14"/>
    </row>
    <row x14ac:dyDescent="0.25" r="132" customHeight="1" ht="15.75">
      <c r="A132" s="12">
        <v>45862</v>
      </c>
      <c r="B132" s="65" t="s">
        <v>82</v>
      </c>
      <c r="C132" s="65" t="s">
        <v>3347</v>
      </c>
      <c r="D132" s="14" t="s">
        <v>3348</v>
      </c>
      <c r="E132" s="14"/>
      <c r="F132" s="14" t="s">
        <v>84</v>
      </c>
      <c r="G132" s="30" t="s">
        <v>3392</v>
      </c>
      <c r="H132" s="30" t="s">
        <v>26</v>
      </c>
      <c r="I132" s="65"/>
      <c r="J132" s="17">
        <v>252500</v>
      </c>
      <c r="K132" s="245">
        <v>180340</v>
      </c>
      <c r="L132" s="17">
        <f>J132-K132</f>
      </c>
      <c r="M132" s="14" t="s">
        <v>86</v>
      </c>
      <c r="N132" s="14" t="s">
        <v>3393</v>
      </c>
      <c r="O132" s="65"/>
      <c r="P132" s="65"/>
      <c r="Q132" s="65"/>
      <c r="R132" s="65"/>
      <c r="S132" s="17">
        <f>SUM(J132-P132-R132)</f>
      </c>
      <c r="T132" s="12"/>
      <c r="U132" s="14"/>
      <c r="V132" s="14"/>
    </row>
    <row x14ac:dyDescent="0.25" r="133" customHeight="1" ht="15.75">
      <c r="A133" s="12">
        <v>45862</v>
      </c>
      <c r="B133" s="65" t="s">
        <v>82</v>
      </c>
      <c r="C133" s="65" t="s">
        <v>3347</v>
      </c>
      <c r="D133" s="14" t="s">
        <v>3348</v>
      </c>
      <c r="E133" s="14"/>
      <c r="F133" s="14" t="s">
        <v>84</v>
      </c>
      <c r="G133" s="30" t="s">
        <v>3394</v>
      </c>
      <c r="H133" s="30" t="s">
        <v>26</v>
      </c>
      <c r="I133" s="65"/>
      <c r="J133" s="17">
        <v>252500</v>
      </c>
      <c r="K133" s="245">
        <v>180340</v>
      </c>
      <c r="L133" s="17">
        <f>J133-K133</f>
      </c>
      <c r="M133" s="14" t="s">
        <v>86</v>
      </c>
      <c r="N133" s="14" t="s">
        <v>3395</v>
      </c>
      <c r="O133" s="65"/>
      <c r="P133" s="65"/>
      <c r="Q133" s="65"/>
      <c r="R133" s="65"/>
      <c r="S133" s="17">
        <f>SUM(J133-P133-R133)</f>
      </c>
      <c r="T133" s="12"/>
      <c r="U133" s="14"/>
      <c r="V133" s="14"/>
    </row>
    <row x14ac:dyDescent="0.25" r="134" customHeight="1" ht="15.75">
      <c r="A134" s="12">
        <v>45862</v>
      </c>
      <c r="B134" s="65" t="s">
        <v>82</v>
      </c>
      <c r="C134" s="65" t="s">
        <v>3347</v>
      </c>
      <c r="D134" s="14" t="s">
        <v>3348</v>
      </c>
      <c r="E134" s="14"/>
      <c r="F134" s="14" t="s">
        <v>84</v>
      </c>
      <c r="G134" s="30" t="s">
        <v>3396</v>
      </c>
      <c r="H134" s="30" t="s">
        <v>26</v>
      </c>
      <c r="I134" s="65"/>
      <c r="J134" s="17">
        <v>252500</v>
      </c>
      <c r="K134" s="245">
        <v>191640</v>
      </c>
      <c r="L134" s="17">
        <f>J134-K134</f>
      </c>
      <c r="M134" s="14" t="s">
        <v>86</v>
      </c>
      <c r="N134" s="14" t="s">
        <v>3397</v>
      </c>
      <c r="O134" s="65"/>
      <c r="P134" s="65"/>
      <c r="Q134" s="65"/>
      <c r="R134" s="65"/>
      <c r="S134" s="17">
        <f>SUM(J134-P134-R134)</f>
      </c>
      <c r="T134" s="12"/>
      <c r="U134" s="14"/>
      <c r="V134" s="14"/>
    </row>
    <row x14ac:dyDescent="0.25" r="135" customHeight="1" ht="15.75">
      <c r="A135" s="12">
        <v>45862</v>
      </c>
      <c r="B135" s="65" t="s">
        <v>82</v>
      </c>
      <c r="C135" s="65" t="s">
        <v>3347</v>
      </c>
      <c r="D135" s="14" t="s">
        <v>3348</v>
      </c>
      <c r="E135" s="14"/>
      <c r="F135" s="14" t="s">
        <v>84</v>
      </c>
      <c r="G135" s="30" t="s">
        <v>3398</v>
      </c>
      <c r="H135" s="30" t="s">
        <v>26</v>
      </c>
      <c r="I135" s="65"/>
      <c r="J135" s="17">
        <v>252500</v>
      </c>
      <c r="K135" s="245">
        <v>180340</v>
      </c>
      <c r="L135" s="17">
        <f>J135-K135</f>
      </c>
      <c r="M135" s="14" t="s">
        <v>86</v>
      </c>
      <c r="N135" s="14" t="s">
        <v>3399</v>
      </c>
      <c r="O135" s="65"/>
      <c r="P135" s="65"/>
      <c r="Q135" s="65"/>
      <c r="R135" s="65"/>
      <c r="S135" s="17">
        <f>SUM(J135-P135-R135)</f>
      </c>
      <c r="T135" s="12"/>
      <c r="U135" s="14"/>
      <c r="V135" s="14"/>
    </row>
    <row x14ac:dyDescent="0.25" r="136" customHeight="1" ht="15.75">
      <c r="A136" s="12">
        <v>45862</v>
      </c>
      <c r="B136" s="65" t="s">
        <v>82</v>
      </c>
      <c r="C136" s="65" t="s">
        <v>3400</v>
      </c>
      <c r="D136" s="14" t="s">
        <v>717</v>
      </c>
      <c r="E136" s="14"/>
      <c r="F136" s="14" t="s">
        <v>84</v>
      </c>
      <c r="G136" s="30" t="s">
        <v>3401</v>
      </c>
      <c r="H136" s="30" t="s">
        <v>26</v>
      </c>
      <c r="I136" s="65"/>
      <c r="J136" s="17">
        <v>125500</v>
      </c>
      <c r="K136" s="17">
        <v>50240</v>
      </c>
      <c r="L136" s="17">
        <f>J136-K136</f>
      </c>
      <c r="M136" s="14" t="s">
        <v>86</v>
      </c>
      <c r="N136" s="14" t="s">
        <v>3402</v>
      </c>
      <c r="O136" s="65"/>
      <c r="P136" s="65"/>
      <c r="Q136" s="65"/>
      <c r="R136" s="65"/>
      <c r="S136" s="17">
        <f>SUM(J136-P136-R136)</f>
      </c>
      <c r="T136" s="12"/>
      <c r="U136" s="14"/>
      <c r="V136" s="14"/>
    </row>
    <row x14ac:dyDescent="0.25" r="137" customHeight="1" ht="15.75">
      <c r="A137" s="12">
        <v>45862</v>
      </c>
      <c r="B137" s="65" t="s">
        <v>82</v>
      </c>
      <c r="C137" s="65" t="s">
        <v>3400</v>
      </c>
      <c r="D137" s="14" t="s">
        <v>717</v>
      </c>
      <c r="E137" s="14"/>
      <c r="F137" s="14" t="s">
        <v>84</v>
      </c>
      <c r="G137" s="30" t="s">
        <v>3403</v>
      </c>
      <c r="H137" s="30" t="s">
        <v>26</v>
      </c>
      <c r="I137" s="65"/>
      <c r="J137" s="17">
        <v>125500</v>
      </c>
      <c r="K137" s="17">
        <v>50240</v>
      </c>
      <c r="L137" s="17">
        <f>J137-K137</f>
      </c>
      <c r="M137" s="14" t="s">
        <v>86</v>
      </c>
      <c r="N137" s="14" t="s">
        <v>3404</v>
      </c>
      <c r="O137" s="65"/>
      <c r="P137" s="65"/>
      <c r="Q137" s="65"/>
      <c r="R137" s="65"/>
      <c r="S137" s="17">
        <f>SUM(J137-P137-R137)</f>
      </c>
      <c r="T137" s="12"/>
      <c r="U137" s="14"/>
      <c r="V137" s="14"/>
    </row>
    <row x14ac:dyDescent="0.25" r="138" customHeight="1" ht="15.75">
      <c r="A138" s="12">
        <v>45862</v>
      </c>
      <c r="B138" s="65" t="s">
        <v>82</v>
      </c>
      <c r="C138" s="65" t="s">
        <v>3400</v>
      </c>
      <c r="D138" s="14" t="s">
        <v>717</v>
      </c>
      <c r="E138" s="14"/>
      <c r="F138" s="14" t="s">
        <v>84</v>
      </c>
      <c r="G138" s="30" t="s">
        <v>3405</v>
      </c>
      <c r="H138" s="30" t="s">
        <v>26</v>
      </c>
      <c r="I138" s="65"/>
      <c r="J138" s="17">
        <v>125500</v>
      </c>
      <c r="K138" s="17">
        <v>50240</v>
      </c>
      <c r="L138" s="17">
        <f>J138-K138</f>
      </c>
      <c r="M138" s="14" t="s">
        <v>86</v>
      </c>
      <c r="N138" s="14" t="s">
        <v>3406</v>
      </c>
      <c r="O138" s="65"/>
      <c r="P138" s="65"/>
      <c r="Q138" s="65"/>
      <c r="R138" s="65"/>
      <c r="S138" s="17">
        <f>SUM(J138-P138-R138)</f>
      </c>
      <c r="T138" s="12"/>
      <c r="U138" s="14"/>
      <c r="V138" s="14"/>
    </row>
    <row x14ac:dyDescent="0.25" r="139" customHeight="1" ht="25.95">
      <c r="A139" s="12">
        <v>45862</v>
      </c>
      <c r="B139" s="65" t="s">
        <v>82</v>
      </c>
      <c r="C139" s="65" t="s">
        <v>3400</v>
      </c>
      <c r="D139" s="14" t="s">
        <v>717</v>
      </c>
      <c r="E139" s="14"/>
      <c r="F139" s="14" t="s">
        <v>84</v>
      </c>
      <c r="G139" s="30" t="s">
        <v>3407</v>
      </c>
      <c r="H139" s="30" t="s">
        <v>26</v>
      </c>
      <c r="I139" s="65"/>
      <c r="J139" s="17">
        <v>125500</v>
      </c>
      <c r="K139" s="17">
        <v>55240</v>
      </c>
      <c r="L139" s="17">
        <f>J139-K139</f>
      </c>
      <c r="M139" s="14" t="s">
        <v>86</v>
      </c>
      <c r="N139" s="14" t="s">
        <v>3408</v>
      </c>
      <c r="O139" s="65"/>
      <c r="P139" s="65"/>
      <c r="Q139" s="65"/>
      <c r="R139" s="65"/>
      <c r="S139" s="17">
        <f>SUM(J139-P139-R139)</f>
      </c>
      <c r="T139" s="12"/>
      <c r="U139" s="14"/>
      <c r="V139" s="14"/>
    </row>
    <row x14ac:dyDescent="0.25" r="140" customHeight="1" ht="15.75">
      <c r="A140" s="12">
        <v>45862</v>
      </c>
      <c r="B140" s="65" t="s">
        <v>82</v>
      </c>
      <c r="C140" s="65" t="s">
        <v>3400</v>
      </c>
      <c r="D140" s="14" t="s">
        <v>717</v>
      </c>
      <c r="E140" s="14"/>
      <c r="F140" s="14" t="s">
        <v>84</v>
      </c>
      <c r="G140" s="30" t="s">
        <v>3409</v>
      </c>
      <c r="H140" s="30" t="s">
        <v>26</v>
      </c>
      <c r="I140" s="65"/>
      <c r="J140" s="17">
        <v>125500</v>
      </c>
      <c r="K140" s="17">
        <v>60240</v>
      </c>
      <c r="L140" s="17">
        <f>J140-K140</f>
      </c>
      <c r="M140" s="14" t="s">
        <v>86</v>
      </c>
      <c r="N140" s="14" t="s">
        <v>3410</v>
      </c>
      <c r="O140" s="65"/>
      <c r="P140" s="65"/>
      <c r="Q140" s="65"/>
      <c r="R140" s="65"/>
      <c r="S140" s="17">
        <f>SUM(J140-P140-R140)</f>
      </c>
      <c r="T140" s="12"/>
      <c r="U140" s="14"/>
      <c r="V140" s="14"/>
    </row>
    <row x14ac:dyDescent="0.25" r="141" customHeight="1" ht="15.75">
      <c r="A141" s="12">
        <v>45862</v>
      </c>
      <c r="B141" s="65" t="s">
        <v>82</v>
      </c>
      <c r="C141" s="65" t="s">
        <v>3400</v>
      </c>
      <c r="D141" s="14" t="s">
        <v>717</v>
      </c>
      <c r="E141" s="14"/>
      <c r="F141" s="14" t="s">
        <v>84</v>
      </c>
      <c r="G141" s="30" t="s">
        <v>3411</v>
      </c>
      <c r="H141" s="30" t="s">
        <v>26</v>
      </c>
      <c r="I141" s="65"/>
      <c r="J141" s="17">
        <v>125500</v>
      </c>
      <c r="K141" s="17">
        <v>60240</v>
      </c>
      <c r="L141" s="17">
        <f>J141-K141</f>
      </c>
      <c r="M141" s="14" t="s">
        <v>86</v>
      </c>
      <c r="N141" s="14" t="s">
        <v>3412</v>
      </c>
      <c r="O141" s="65"/>
      <c r="P141" s="65"/>
      <c r="Q141" s="65"/>
      <c r="R141" s="65"/>
      <c r="S141" s="17">
        <f>SUM(J141-P141-R141)</f>
      </c>
      <c r="T141" s="12"/>
      <c r="U141" s="14"/>
      <c r="V141" s="14"/>
    </row>
    <row x14ac:dyDescent="0.25" r="142" customHeight="1" ht="15.75">
      <c r="A142" s="12">
        <v>45862</v>
      </c>
      <c r="B142" s="65" t="s">
        <v>82</v>
      </c>
      <c r="C142" s="65" t="s">
        <v>3400</v>
      </c>
      <c r="D142" s="14" t="s">
        <v>717</v>
      </c>
      <c r="E142" s="14"/>
      <c r="F142" s="14" t="s">
        <v>84</v>
      </c>
      <c r="G142" s="30" t="s">
        <v>3413</v>
      </c>
      <c r="H142" s="30" t="s">
        <v>26</v>
      </c>
      <c r="I142" s="65"/>
      <c r="J142" s="17">
        <v>125500</v>
      </c>
      <c r="K142" s="17">
        <v>60240</v>
      </c>
      <c r="L142" s="17">
        <f>J142-K142</f>
      </c>
      <c r="M142" s="14" t="s">
        <v>86</v>
      </c>
      <c r="N142" s="14" t="s">
        <v>3414</v>
      </c>
      <c r="O142" s="65"/>
      <c r="P142" s="65"/>
      <c r="Q142" s="65"/>
      <c r="R142" s="65"/>
      <c r="S142" s="17">
        <f>SUM(J142-P142-R142)</f>
      </c>
      <c r="T142" s="12"/>
      <c r="U142" s="14"/>
      <c r="V142" s="14"/>
    </row>
    <row x14ac:dyDescent="0.25" r="143" customHeight="1" ht="15.75">
      <c r="A143" s="12">
        <v>45862</v>
      </c>
      <c r="B143" s="65" t="s">
        <v>82</v>
      </c>
      <c r="C143" s="65" t="s">
        <v>3400</v>
      </c>
      <c r="D143" s="14" t="s">
        <v>717</v>
      </c>
      <c r="E143" s="14"/>
      <c r="F143" s="14" t="s">
        <v>84</v>
      </c>
      <c r="G143" s="30" t="s">
        <v>3415</v>
      </c>
      <c r="H143" s="30" t="s">
        <v>26</v>
      </c>
      <c r="I143" s="65"/>
      <c r="J143" s="17">
        <v>125500</v>
      </c>
      <c r="K143" s="17">
        <v>60240</v>
      </c>
      <c r="L143" s="17">
        <f>J143-K143</f>
      </c>
      <c r="M143" s="14" t="s">
        <v>86</v>
      </c>
      <c r="N143" s="14" t="s">
        <v>3416</v>
      </c>
      <c r="O143" s="65"/>
      <c r="P143" s="65"/>
      <c r="Q143" s="65"/>
      <c r="R143" s="65"/>
      <c r="S143" s="17">
        <f>SUM(J143-P143-R143)</f>
      </c>
      <c r="T143" s="12"/>
      <c r="U143" s="14"/>
      <c r="V143" s="14"/>
    </row>
    <row x14ac:dyDescent="0.25" r="144" customHeight="1" ht="15.75">
      <c r="A144" s="12">
        <v>45862</v>
      </c>
      <c r="B144" s="65" t="s">
        <v>46</v>
      </c>
      <c r="C144" s="65" t="s">
        <v>3417</v>
      </c>
      <c r="D144" s="14" t="s">
        <v>264</v>
      </c>
      <c r="E144" s="14"/>
      <c r="F144" s="14" t="s">
        <v>3032</v>
      </c>
      <c r="G144" s="14" t="s">
        <v>3418</v>
      </c>
      <c r="H144" s="30" t="s">
        <v>26</v>
      </c>
      <c r="I144" s="65"/>
      <c r="J144" s="17">
        <v>24000</v>
      </c>
      <c r="K144" s="17">
        <v>0</v>
      </c>
      <c r="L144" s="17">
        <f>J144-K144</f>
      </c>
      <c r="M144" s="14" t="s">
        <v>46</v>
      </c>
      <c r="N144" s="14" t="s">
        <v>3419</v>
      </c>
      <c r="O144" s="65" t="s">
        <v>251</v>
      </c>
      <c r="P144" s="65"/>
      <c r="Q144" s="65"/>
      <c r="R144" s="65"/>
      <c r="S144" s="17">
        <f>SUM(J144-P144-R144)</f>
      </c>
      <c r="T144" s="12"/>
      <c r="U144" s="14"/>
      <c r="V144" s="14"/>
    </row>
    <row x14ac:dyDescent="0.25" r="145" customHeight="1" ht="15.75">
      <c r="A145" s="12">
        <v>45862</v>
      </c>
      <c r="B145" s="65" t="s">
        <v>46</v>
      </c>
      <c r="C145" s="65" t="s">
        <v>3420</v>
      </c>
      <c r="D145" s="14" t="s">
        <v>3421</v>
      </c>
      <c r="E145" s="14"/>
      <c r="F145" s="14" t="s">
        <v>1771</v>
      </c>
      <c r="G145" s="30" t="s">
        <v>1134</v>
      </c>
      <c r="H145" s="30" t="s">
        <v>26</v>
      </c>
      <c r="I145" s="17">
        <v>145700</v>
      </c>
      <c r="J145" s="17">
        <v>398920</v>
      </c>
      <c r="K145" s="17">
        <v>217300</v>
      </c>
      <c r="L145" s="17">
        <f>J145-K145</f>
      </c>
      <c r="M145" s="14" t="s">
        <v>280</v>
      </c>
      <c r="N145" s="14" t="s">
        <v>3422</v>
      </c>
      <c r="O145" s="17">
        <v>2</v>
      </c>
      <c r="P145" s="65"/>
      <c r="Q145" s="65"/>
      <c r="R145" s="17">
        <v>398920</v>
      </c>
      <c r="S145" s="17">
        <f>SUM(J145-P145-R145)</f>
      </c>
      <c r="T145" s="12">
        <v>45873</v>
      </c>
      <c r="U145" s="14" t="s">
        <v>1718</v>
      </c>
      <c r="V145" s="14"/>
    </row>
    <row x14ac:dyDescent="0.25" r="146" customHeight="1" ht="15.75">
      <c r="A146" s="12">
        <v>45862</v>
      </c>
      <c r="B146" s="65" t="s">
        <v>53</v>
      </c>
      <c r="C146" s="65" t="s">
        <v>3423</v>
      </c>
      <c r="D146" s="14" t="s">
        <v>3424</v>
      </c>
      <c r="E146" s="14"/>
      <c r="F146" s="14" t="s">
        <v>162</v>
      </c>
      <c r="G146" s="30" t="s">
        <v>3425</v>
      </c>
      <c r="H146" s="30" t="s">
        <v>26</v>
      </c>
      <c r="I146" s="65"/>
      <c r="J146" s="17">
        <v>464000</v>
      </c>
      <c r="K146" s="17"/>
      <c r="L146" s="17">
        <f>J146-K146</f>
      </c>
      <c r="M146" s="14" t="s">
        <v>137</v>
      </c>
      <c r="N146" s="14"/>
      <c r="O146" s="65" t="s">
        <v>251</v>
      </c>
      <c r="P146" s="65"/>
      <c r="Q146" s="65"/>
      <c r="R146" s="65"/>
      <c r="S146" s="17">
        <f>SUM(J146-P146-R146)</f>
      </c>
      <c r="T146" s="12"/>
      <c r="U146" s="17"/>
      <c r="V146" s="14"/>
    </row>
    <row x14ac:dyDescent="0.25" r="147" customHeight="1" ht="15.75">
      <c r="A147" s="137">
        <v>45862</v>
      </c>
      <c r="B147" s="247" t="s">
        <v>53</v>
      </c>
      <c r="C147" s="247" t="s">
        <v>3426</v>
      </c>
      <c r="D147" s="139" t="s">
        <v>415</v>
      </c>
      <c r="E147" s="139" t="s">
        <v>3427</v>
      </c>
      <c r="F147" s="139" t="s">
        <v>3428</v>
      </c>
      <c r="G147" s="139" t="s">
        <v>3429</v>
      </c>
      <c r="H147" s="139" t="s">
        <v>26</v>
      </c>
      <c r="I147" s="247"/>
      <c r="J147" s="176">
        <v>464000</v>
      </c>
      <c r="K147" s="176">
        <v>364880</v>
      </c>
      <c r="L147" s="176">
        <v>99120</v>
      </c>
      <c r="M147" s="139" t="s">
        <v>137</v>
      </c>
      <c r="N147" s="139" t="s">
        <v>3430</v>
      </c>
      <c r="O147" s="247"/>
      <c r="P147" s="247"/>
      <c r="Q147" s="247"/>
      <c r="R147" s="247"/>
      <c r="S147" s="176"/>
      <c r="T147" s="137"/>
      <c r="U147" s="176"/>
      <c r="V147" s="139"/>
    </row>
    <row x14ac:dyDescent="0.25" r="148" customHeight="1" ht="15.75">
      <c r="A148" s="12">
        <v>45863</v>
      </c>
      <c r="B148" s="65" t="s">
        <v>46</v>
      </c>
      <c r="C148" s="65" t="s">
        <v>3431</v>
      </c>
      <c r="D148" s="14" t="s">
        <v>3274</v>
      </c>
      <c r="E148" s="14"/>
      <c r="F148" s="14" t="s">
        <v>24</v>
      </c>
      <c r="G148" s="30" t="s">
        <v>3366</v>
      </c>
      <c r="H148" s="30" t="s">
        <v>26</v>
      </c>
      <c r="I148" s="17">
        <v>989900</v>
      </c>
      <c r="J148" s="17">
        <v>1210800</v>
      </c>
      <c r="K148" s="17">
        <v>1111000</v>
      </c>
      <c r="L148" s="17">
        <f>J148-K148</f>
      </c>
      <c r="M148" s="14" t="s">
        <v>187</v>
      </c>
      <c r="N148" s="14" t="s">
        <v>3367</v>
      </c>
      <c r="O148" s="65"/>
      <c r="P148" s="65"/>
      <c r="Q148" s="65"/>
      <c r="R148" s="17">
        <v>1210800</v>
      </c>
      <c r="S148" s="17">
        <f>SUM(J148-P148-R148)</f>
      </c>
      <c r="T148" s="12">
        <v>45895</v>
      </c>
      <c r="U148" s="14" t="s">
        <v>2122</v>
      </c>
      <c r="V148" s="14"/>
    </row>
    <row x14ac:dyDescent="0.25" r="149" customHeight="1" ht="15.75">
      <c r="A149" s="12">
        <v>45863</v>
      </c>
      <c r="B149" s="65" t="s">
        <v>46</v>
      </c>
      <c r="C149" s="65" t="s">
        <v>3431</v>
      </c>
      <c r="D149" s="14" t="s">
        <v>3274</v>
      </c>
      <c r="E149" s="14"/>
      <c r="F149" s="14" t="s">
        <v>24</v>
      </c>
      <c r="G149" s="30" t="s">
        <v>3366</v>
      </c>
      <c r="H149" s="30" t="s">
        <v>26</v>
      </c>
      <c r="I149" s="65"/>
      <c r="J149" s="17">
        <v>2920444</v>
      </c>
      <c r="K149" s="17">
        <v>2479600</v>
      </c>
      <c r="L149" s="17">
        <f>J149-K149</f>
      </c>
      <c r="M149" s="14" t="s">
        <v>46</v>
      </c>
      <c r="N149" s="14"/>
      <c r="O149" s="65" t="s">
        <v>2979</v>
      </c>
      <c r="P149" s="65"/>
      <c r="Q149" s="65"/>
      <c r="R149" s="65"/>
      <c r="S149" s="17">
        <f>SUM(J149-P149-R149)</f>
      </c>
      <c r="T149" s="12"/>
      <c r="U149" s="14"/>
      <c r="V149" s="14"/>
    </row>
    <row x14ac:dyDescent="0.25" r="150" customHeight="1" ht="15.75">
      <c r="A150" s="12">
        <v>45863</v>
      </c>
      <c r="B150" s="65" t="s">
        <v>46</v>
      </c>
      <c r="C150" s="65" t="s">
        <v>3431</v>
      </c>
      <c r="D150" s="14" t="s">
        <v>3274</v>
      </c>
      <c r="E150" s="14"/>
      <c r="F150" s="14" t="s">
        <v>24</v>
      </c>
      <c r="G150" s="30" t="s">
        <v>3432</v>
      </c>
      <c r="H150" s="30" t="s">
        <v>26</v>
      </c>
      <c r="I150" s="17">
        <v>989900</v>
      </c>
      <c r="J150" s="17">
        <v>1190920</v>
      </c>
      <c r="K150" s="17">
        <v>1110800</v>
      </c>
      <c r="L150" s="17">
        <f>J150-K150</f>
      </c>
      <c r="M150" s="14" t="s">
        <v>50</v>
      </c>
      <c r="N150" s="14" t="s">
        <v>3433</v>
      </c>
      <c r="O150" s="17">
        <v>2</v>
      </c>
      <c r="P150" s="65"/>
      <c r="Q150" s="65"/>
      <c r="R150" s="65"/>
      <c r="S150" s="17">
        <f>SUM(J150-P150-R150)</f>
      </c>
      <c r="T150" s="12"/>
      <c r="U150" s="14"/>
      <c r="V150" s="14"/>
    </row>
    <row x14ac:dyDescent="0.25" r="151" customHeight="1" ht="15.75">
      <c r="A151" s="12">
        <v>45863</v>
      </c>
      <c r="B151" s="65" t="s">
        <v>53</v>
      </c>
      <c r="C151" s="65" t="s">
        <v>3434</v>
      </c>
      <c r="D151" s="14" t="s">
        <v>134</v>
      </c>
      <c r="E151" s="14"/>
      <c r="F151" s="14" t="s">
        <v>3435</v>
      </c>
      <c r="G151" s="30" t="s">
        <v>3436</v>
      </c>
      <c r="H151" s="30" t="s">
        <v>76</v>
      </c>
      <c r="I151" s="65"/>
      <c r="J151" s="17">
        <v>438800</v>
      </c>
      <c r="K151" s="17">
        <v>399900</v>
      </c>
      <c r="L151" s="17">
        <f>J151-K151</f>
      </c>
      <c r="M151" s="14" t="s">
        <v>137</v>
      </c>
      <c r="N151" s="14" t="s">
        <v>3437</v>
      </c>
      <c r="O151" s="65"/>
      <c r="P151" s="65"/>
      <c r="Q151" s="65"/>
      <c r="R151" s="17">
        <v>438800</v>
      </c>
      <c r="S151" s="17">
        <f>SUM(J151-P151-R151)</f>
      </c>
      <c r="T151" s="12">
        <v>45863</v>
      </c>
      <c r="U151" s="14" t="s">
        <v>1718</v>
      </c>
      <c r="V151" s="14"/>
    </row>
    <row x14ac:dyDescent="0.25" r="152" customHeight="1" ht="15.75">
      <c r="A152" s="12">
        <v>45863</v>
      </c>
      <c r="B152" s="65" t="s">
        <v>53</v>
      </c>
      <c r="C152" s="65" t="s">
        <v>3438</v>
      </c>
      <c r="D152" s="14" t="s">
        <v>3424</v>
      </c>
      <c r="E152" s="14"/>
      <c r="F152" s="14" t="s">
        <v>162</v>
      </c>
      <c r="G152" s="231" t="s">
        <v>3429</v>
      </c>
      <c r="H152" s="30" t="s">
        <v>26</v>
      </c>
      <c r="I152" s="65"/>
      <c r="J152" s="17">
        <v>263900</v>
      </c>
      <c r="K152" s="17">
        <v>163900</v>
      </c>
      <c r="L152" s="17">
        <f>J152-K152</f>
      </c>
      <c r="M152" s="14" t="s">
        <v>137</v>
      </c>
      <c r="N152" s="14" t="s">
        <v>3439</v>
      </c>
      <c r="O152" s="65" t="s">
        <v>251</v>
      </c>
      <c r="P152" s="65"/>
      <c r="Q152" s="65"/>
      <c r="R152" s="65"/>
      <c r="S152" s="17">
        <f>SUM(J152-P152-R152)</f>
      </c>
      <c r="T152" s="12"/>
      <c r="U152" s="14"/>
      <c r="V152" s="14"/>
    </row>
    <row x14ac:dyDescent="0.25" r="153" customHeight="1" ht="15.75">
      <c r="A153" s="137">
        <v>45863</v>
      </c>
      <c r="B153" s="247" t="s">
        <v>53</v>
      </c>
      <c r="C153" s="247" t="s">
        <v>3438</v>
      </c>
      <c r="D153" s="139" t="s">
        <v>3440</v>
      </c>
      <c r="E153" s="139" t="s">
        <v>3441</v>
      </c>
      <c r="F153" s="139" t="s">
        <v>3428</v>
      </c>
      <c r="G153" s="139" t="s">
        <v>3429</v>
      </c>
      <c r="H153" s="139" t="s">
        <v>26</v>
      </c>
      <c r="I153" s="247"/>
      <c r="J153" s="176">
        <v>263900</v>
      </c>
      <c r="K153" s="176">
        <v>163900</v>
      </c>
      <c r="L153" s="176">
        <f>J153-K153</f>
      </c>
      <c r="M153" s="139" t="s">
        <v>137</v>
      </c>
      <c r="N153" s="139" t="s">
        <v>3442</v>
      </c>
      <c r="O153" s="247" t="s">
        <v>251</v>
      </c>
      <c r="P153" s="247"/>
      <c r="Q153" s="247"/>
      <c r="R153" s="247"/>
      <c r="S153" s="176">
        <f>SUM(J153-P153-R153)</f>
      </c>
      <c r="T153" s="137"/>
      <c r="U153" s="139"/>
      <c r="V153" s="139"/>
    </row>
    <row x14ac:dyDescent="0.25" r="154" customHeight="1" ht="15.75">
      <c r="A154" s="12">
        <v>45864</v>
      </c>
      <c r="B154" s="65" t="s">
        <v>46</v>
      </c>
      <c r="C154" s="65" t="s">
        <v>3443</v>
      </c>
      <c r="D154" s="14" t="s">
        <v>264</v>
      </c>
      <c r="E154" s="14"/>
      <c r="F154" s="14" t="s">
        <v>3444</v>
      </c>
      <c r="G154" s="14" t="s">
        <v>3445</v>
      </c>
      <c r="H154" s="30" t="s">
        <v>26</v>
      </c>
      <c r="I154" s="65"/>
      <c r="J154" s="17">
        <v>85000</v>
      </c>
      <c r="K154" s="17">
        <v>0</v>
      </c>
      <c r="L154" s="17">
        <f>J154-K154</f>
      </c>
      <c r="M154" s="14" t="s">
        <v>46</v>
      </c>
      <c r="N154" s="14" t="s">
        <v>3446</v>
      </c>
      <c r="O154" s="65" t="s">
        <v>251</v>
      </c>
      <c r="P154" s="65"/>
      <c r="Q154" s="65"/>
      <c r="R154" s="65"/>
      <c r="S154" s="17">
        <f>SUM(J154-P154-R154)</f>
      </c>
      <c r="T154" s="12"/>
      <c r="U154" s="14"/>
      <c r="V154" s="14"/>
    </row>
    <row x14ac:dyDescent="0.25" r="155" customHeight="1" ht="15.75">
      <c r="A155" s="12">
        <v>45864</v>
      </c>
      <c r="B155" s="65" t="s">
        <v>72</v>
      </c>
      <c r="C155" s="65" t="s">
        <v>3443</v>
      </c>
      <c r="D155" s="14" t="s">
        <v>264</v>
      </c>
      <c r="E155" s="14"/>
      <c r="F155" s="14" t="s">
        <v>3447</v>
      </c>
      <c r="G155" s="14" t="s">
        <v>3448</v>
      </c>
      <c r="H155" s="30" t="s">
        <v>26</v>
      </c>
      <c r="I155" s="65"/>
      <c r="J155" s="17">
        <v>189500</v>
      </c>
      <c r="K155" s="17">
        <v>106400</v>
      </c>
      <c r="L155" s="17">
        <f>J155-K155</f>
      </c>
      <c r="M155" s="14" t="s">
        <v>50</v>
      </c>
      <c r="N155" s="14" t="s">
        <v>3449</v>
      </c>
      <c r="O155" s="65" t="s">
        <v>251</v>
      </c>
      <c r="P155" s="65"/>
      <c r="Q155" s="65"/>
      <c r="R155" s="17">
        <v>185000</v>
      </c>
      <c r="S155" s="17">
        <f>SUM(J155-P155-R155)</f>
      </c>
      <c r="T155" s="12">
        <v>45930</v>
      </c>
      <c r="U155" s="14" t="s">
        <v>1718</v>
      </c>
      <c r="V155" s="14"/>
    </row>
    <row x14ac:dyDescent="0.25" r="156" customHeight="1" ht="15.75">
      <c r="A156" s="12">
        <v>45864</v>
      </c>
      <c r="B156" s="65" t="s">
        <v>72</v>
      </c>
      <c r="C156" s="65" t="s">
        <v>3443</v>
      </c>
      <c r="D156" s="14" t="s">
        <v>264</v>
      </c>
      <c r="E156" s="14"/>
      <c r="F156" s="14" t="s">
        <v>3447</v>
      </c>
      <c r="G156" s="30" t="s">
        <v>3450</v>
      </c>
      <c r="H156" s="30" t="s">
        <v>26</v>
      </c>
      <c r="I156" s="65"/>
      <c r="J156" s="17">
        <v>189500</v>
      </c>
      <c r="K156" s="17">
        <v>55800</v>
      </c>
      <c r="L156" s="17">
        <f>J156-K156</f>
      </c>
      <c r="M156" s="14" t="s">
        <v>50</v>
      </c>
      <c r="N156" s="14" t="s">
        <v>3451</v>
      </c>
      <c r="O156" s="65" t="s">
        <v>251</v>
      </c>
      <c r="P156" s="65"/>
      <c r="Q156" s="65"/>
      <c r="R156" s="65"/>
      <c r="S156" s="17">
        <f>SUM(J156-P156-R156)</f>
      </c>
      <c r="T156" s="12"/>
      <c r="U156" s="14"/>
      <c r="V156" s="14"/>
    </row>
    <row x14ac:dyDescent="0.25" r="157" customHeight="1" ht="15.75">
      <c r="A157" s="12">
        <v>45864</v>
      </c>
      <c r="B157" s="65" t="s">
        <v>72</v>
      </c>
      <c r="C157" s="65" t="s">
        <v>3443</v>
      </c>
      <c r="D157" s="14" t="s">
        <v>264</v>
      </c>
      <c r="E157" s="14"/>
      <c r="F157" s="14" t="s">
        <v>3447</v>
      </c>
      <c r="G157" s="30" t="s">
        <v>3452</v>
      </c>
      <c r="H157" s="30" t="s">
        <v>26</v>
      </c>
      <c r="I157" s="65"/>
      <c r="J157" s="17">
        <v>189500</v>
      </c>
      <c r="K157" s="17">
        <v>55800</v>
      </c>
      <c r="L157" s="17">
        <f>J157-K157</f>
      </c>
      <c r="M157" s="14" t="s">
        <v>50</v>
      </c>
      <c r="N157" s="14" t="s">
        <v>3453</v>
      </c>
      <c r="O157" s="65" t="s">
        <v>251</v>
      </c>
      <c r="P157" s="65"/>
      <c r="Q157" s="65"/>
      <c r="R157" s="17">
        <v>185000</v>
      </c>
      <c r="S157" s="17">
        <f>SUM(J157-P157-R157)</f>
      </c>
      <c r="T157" s="12">
        <v>45930</v>
      </c>
      <c r="U157" s="14" t="s">
        <v>1718</v>
      </c>
      <c r="V157" s="14"/>
    </row>
    <row x14ac:dyDescent="0.25" r="158" customHeight="1" ht="15.75">
      <c r="A158" s="12">
        <v>45864</v>
      </c>
      <c r="B158" s="65" t="s">
        <v>46</v>
      </c>
      <c r="C158" s="65" t="s">
        <v>3454</v>
      </c>
      <c r="D158" s="14" t="s">
        <v>118</v>
      </c>
      <c r="E158" s="14"/>
      <c r="F158" s="14" t="s">
        <v>3455</v>
      </c>
      <c r="G158" s="30" t="s">
        <v>2914</v>
      </c>
      <c r="H158" s="30" t="s">
        <v>26</v>
      </c>
      <c r="I158" s="65"/>
      <c r="J158" s="17">
        <v>1395800</v>
      </c>
      <c r="K158" s="17">
        <v>1273720</v>
      </c>
      <c r="L158" s="17">
        <f>J158-K158</f>
      </c>
      <c r="M158" s="14" t="s">
        <v>187</v>
      </c>
      <c r="N158" s="14" t="s">
        <v>3456</v>
      </c>
      <c r="O158" s="65"/>
      <c r="P158" s="65"/>
      <c r="Q158" s="65"/>
      <c r="R158" s="17">
        <v>1395800</v>
      </c>
      <c r="S158" s="17">
        <f>SUM(J158-P158-R158)</f>
      </c>
      <c r="T158" s="12">
        <v>45864</v>
      </c>
      <c r="U158" s="14" t="s">
        <v>1718</v>
      </c>
      <c r="V158" s="14"/>
    </row>
    <row x14ac:dyDescent="0.25" r="159" customHeight="1" ht="15.75">
      <c r="A159" s="12">
        <v>45865</v>
      </c>
      <c r="B159" s="65" t="s">
        <v>72</v>
      </c>
      <c r="C159" s="65" t="s">
        <v>3457</v>
      </c>
      <c r="D159" s="14" t="s">
        <v>455</v>
      </c>
      <c r="E159" s="14"/>
      <c r="F159" s="14" t="s">
        <v>3458</v>
      </c>
      <c r="G159" s="30" t="s">
        <v>3264</v>
      </c>
      <c r="H159" s="30" t="s">
        <v>26</v>
      </c>
      <c r="I159" s="65"/>
      <c r="J159" s="17">
        <v>93700</v>
      </c>
      <c r="K159" s="17">
        <v>83700</v>
      </c>
      <c r="L159" s="17">
        <f>J159-K159</f>
      </c>
      <c r="M159" s="14" t="s">
        <v>50</v>
      </c>
      <c r="N159" s="14" t="s">
        <v>3459</v>
      </c>
      <c r="O159" s="65" t="s">
        <v>251</v>
      </c>
      <c r="P159" s="65"/>
      <c r="Q159" s="65"/>
      <c r="R159" s="65"/>
      <c r="S159" s="17">
        <f>SUM(J159-P159-R159)</f>
      </c>
      <c r="T159" s="12"/>
      <c r="U159" s="14"/>
      <c r="V159" s="14"/>
    </row>
    <row x14ac:dyDescent="0.25" r="160" customHeight="1" ht="15.75">
      <c r="A160" s="12">
        <v>45865</v>
      </c>
      <c r="B160" s="65" t="s">
        <v>72</v>
      </c>
      <c r="C160" s="65" t="s">
        <v>3460</v>
      </c>
      <c r="D160" s="14" t="s">
        <v>455</v>
      </c>
      <c r="E160" s="14"/>
      <c r="F160" s="14" t="s">
        <v>3287</v>
      </c>
      <c r="G160" s="30" t="s">
        <v>3288</v>
      </c>
      <c r="H160" s="30" t="s">
        <v>26</v>
      </c>
      <c r="I160" s="65"/>
      <c r="J160" s="17">
        <v>93700</v>
      </c>
      <c r="K160" s="17">
        <v>83700</v>
      </c>
      <c r="L160" s="17">
        <f>J160-K160</f>
      </c>
      <c r="M160" s="14" t="s">
        <v>50</v>
      </c>
      <c r="N160" s="14" t="s">
        <v>3461</v>
      </c>
      <c r="O160" s="65" t="s">
        <v>251</v>
      </c>
      <c r="P160" s="65"/>
      <c r="Q160" s="65"/>
      <c r="R160" s="17">
        <v>93700</v>
      </c>
      <c r="S160" s="17">
        <f>SUM(J160-P160-R160)</f>
      </c>
      <c r="T160" s="12">
        <v>45867</v>
      </c>
      <c r="U160" s="14" t="s">
        <v>3462</v>
      </c>
      <c r="V160" s="14"/>
    </row>
    <row x14ac:dyDescent="0.25" r="161" customHeight="1" ht="15.75">
      <c r="A161" s="12">
        <v>45866</v>
      </c>
      <c r="B161" s="65" t="s">
        <v>53</v>
      </c>
      <c r="C161" s="65" t="s">
        <v>3463</v>
      </c>
      <c r="D161" s="14" t="s">
        <v>282</v>
      </c>
      <c r="E161" s="80"/>
      <c r="F161" s="80" t="s">
        <v>344</v>
      </c>
      <c r="G161" s="30" t="s">
        <v>3464</v>
      </c>
      <c r="H161" s="248" t="s">
        <v>26</v>
      </c>
      <c r="I161" s="249">
        <v>185000</v>
      </c>
      <c r="J161" s="17">
        <v>529800</v>
      </c>
      <c r="K161" s="17">
        <v>447020</v>
      </c>
      <c r="L161" s="17">
        <f>J161-K161</f>
      </c>
      <c r="M161" s="14" t="s">
        <v>137</v>
      </c>
      <c r="N161" s="14" t="s">
        <v>3465</v>
      </c>
      <c r="O161" s="65"/>
      <c r="P161" s="65"/>
      <c r="Q161" s="65"/>
      <c r="R161" s="17">
        <v>529800</v>
      </c>
      <c r="S161" s="17">
        <f>SUM(J161-P161-R161)</f>
      </c>
      <c r="T161" s="12">
        <v>45880</v>
      </c>
      <c r="U161" s="14" t="s">
        <v>1718</v>
      </c>
      <c r="V161" s="14"/>
    </row>
    <row x14ac:dyDescent="0.25" r="162" customHeight="1" ht="15.75">
      <c r="A162" s="145">
        <v>45866</v>
      </c>
      <c r="B162" s="250" t="s">
        <v>53</v>
      </c>
      <c r="C162" s="250" t="s">
        <v>3463</v>
      </c>
      <c r="D162" s="147" t="s">
        <v>282</v>
      </c>
      <c r="E162" s="251"/>
      <c r="F162" s="251" t="s">
        <v>344</v>
      </c>
      <c r="G162" s="252" t="s">
        <v>3466</v>
      </c>
      <c r="H162" s="253" t="s">
        <v>26</v>
      </c>
      <c r="I162" s="254">
        <v>185000</v>
      </c>
      <c r="J162" s="255">
        <v>529800</v>
      </c>
      <c r="K162" s="255">
        <v>447020</v>
      </c>
      <c r="L162" s="255">
        <f>J162-K162</f>
      </c>
      <c r="M162" s="147" t="s">
        <v>137</v>
      </c>
      <c r="N162" s="147" t="s">
        <v>3467</v>
      </c>
      <c r="O162" s="250"/>
      <c r="P162" s="65"/>
      <c r="Q162" s="65"/>
      <c r="R162" s="17">
        <v>529800</v>
      </c>
      <c r="S162" s="17">
        <f>SUM(J162-P162-R162)</f>
      </c>
      <c r="T162" s="12">
        <v>45880</v>
      </c>
      <c r="U162" s="14" t="s">
        <v>1718</v>
      </c>
      <c r="V162" s="14"/>
    </row>
    <row x14ac:dyDescent="0.25" r="163" customHeight="1" ht="15.75">
      <c r="A163" s="12">
        <v>45866</v>
      </c>
      <c r="B163" s="65" t="s">
        <v>106</v>
      </c>
      <c r="C163" s="65" t="s">
        <v>3468</v>
      </c>
      <c r="D163" s="14" t="s">
        <v>3469</v>
      </c>
      <c r="E163" s="14"/>
      <c r="F163" s="14" t="s">
        <v>76</v>
      </c>
      <c r="G163" s="256" t="s">
        <v>3470</v>
      </c>
      <c r="H163" s="30" t="s">
        <v>76</v>
      </c>
      <c r="I163" s="65"/>
      <c r="J163" s="17">
        <v>330620</v>
      </c>
      <c r="K163" s="17">
        <v>330620</v>
      </c>
      <c r="L163" s="17">
        <f>J163-K163</f>
      </c>
      <c r="M163" s="14" t="s">
        <v>187</v>
      </c>
      <c r="N163" s="14" t="s">
        <v>3471</v>
      </c>
      <c r="O163" s="65"/>
      <c r="P163" s="65"/>
      <c r="Q163" s="65"/>
      <c r="R163" s="65"/>
      <c r="S163" s="17">
        <f>SUM(J163-P163-R163)</f>
      </c>
      <c r="T163" s="12"/>
      <c r="U163" s="14"/>
      <c r="V163" s="14"/>
    </row>
    <row x14ac:dyDescent="0.25" r="164" customHeight="1" ht="15.75">
      <c r="A164" s="12">
        <v>45866</v>
      </c>
      <c r="B164" s="65" t="s">
        <v>46</v>
      </c>
      <c r="C164" s="65" t="s">
        <v>3472</v>
      </c>
      <c r="D164" s="14" t="s">
        <v>3473</v>
      </c>
      <c r="E164" s="14"/>
      <c r="F164" s="14" t="s">
        <v>1771</v>
      </c>
      <c r="G164" s="30" t="s">
        <v>1134</v>
      </c>
      <c r="H164" s="30" t="s">
        <v>26</v>
      </c>
      <c r="I164" s="65"/>
      <c r="J164" s="17">
        <v>194920</v>
      </c>
      <c r="K164" s="17">
        <v>74300</v>
      </c>
      <c r="L164" s="17">
        <f>J164-K164</f>
      </c>
      <c r="M164" s="14" t="s">
        <v>280</v>
      </c>
      <c r="N164" s="14" t="s">
        <v>3474</v>
      </c>
      <c r="O164" s="65" t="s">
        <v>251</v>
      </c>
      <c r="P164" s="65"/>
      <c r="Q164" s="65"/>
      <c r="R164" s="17">
        <v>194920</v>
      </c>
      <c r="S164" s="17">
        <f>SUM(J164-P164-R164)</f>
      </c>
      <c r="T164" s="12">
        <v>45873</v>
      </c>
      <c r="U164" s="14" t="s">
        <v>1718</v>
      </c>
      <c r="V164" s="14"/>
    </row>
    <row x14ac:dyDescent="0.25" r="165" customHeight="1" ht="15.75">
      <c r="A165" s="12">
        <v>45866</v>
      </c>
      <c r="B165" s="65" t="s">
        <v>46</v>
      </c>
      <c r="C165" s="65" t="s">
        <v>3475</v>
      </c>
      <c r="D165" s="14" t="s">
        <v>264</v>
      </c>
      <c r="E165" s="14"/>
      <c r="F165" s="14" t="s">
        <v>1799</v>
      </c>
      <c r="G165" s="30" t="s">
        <v>3240</v>
      </c>
      <c r="H165" s="30" t="s">
        <v>26</v>
      </c>
      <c r="I165" s="65"/>
      <c r="J165" s="17">
        <v>256920</v>
      </c>
      <c r="K165" s="17">
        <v>196800</v>
      </c>
      <c r="L165" s="17">
        <f>J165-K165</f>
      </c>
      <c r="M165" s="14" t="s">
        <v>50</v>
      </c>
      <c r="N165" s="14" t="s">
        <v>3476</v>
      </c>
      <c r="O165" s="65" t="s">
        <v>251</v>
      </c>
      <c r="P165" s="65"/>
      <c r="Q165" s="65"/>
      <c r="R165" s="17">
        <v>256920</v>
      </c>
      <c r="S165" s="17">
        <f>SUM(J165-P165-R165)</f>
      </c>
      <c r="T165" s="12">
        <v>45891</v>
      </c>
      <c r="U165" s="14" t="s">
        <v>1718</v>
      </c>
      <c r="V165" s="14"/>
    </row>
    <row x14ac:dyDescent="0.25" r="166" customHeight="1" ht="15.75">
      <c r="A166" s="12">
        <v>45866</v>
      </c>
      <c r="B166" s="65" t="s">
        <v>66</v>
      </c>
      <c r="C166" s="65" t="s">
        <v>3477</v>
      </c>
      <c r="D166" s="14" t="s">
        <v>3478</v>
      </c>
      <c r="E166" s="14"/>
      <c r="F166" s="14" t="s">
        <v>162</v>
      </c>
      <c r="G166" s="30" t="s">
        <v>1767</v>
      </c>
      <c r="H166" s="30" t="s">
        <v>26</v>
      </c>
      <c r="I166" s="17">
        <v>444700</v>
      </c>
      <c r="J166" s="17">
        <v>816900</v>
      </c>
      <c r="K166" s="17">
        <v>726620</v>
      </c>
      <c r="L166" s="17">
        <f>J166-K166</f>
      </c>
      <c r="M166" s="14" t="s">
        <v>50</v>
      </c>
      <c r="N166" s="14" t="s">
        <v>3479</v>
      </c>
      <c r="O166" s="17">
        <v>1</v>
      </c>
      <c r="P166" s="65"/>
      <c r="Q166" s="65"/>
      <c r="R166" s="65"/>
      <c r="S166" s="17">
        <f>SUM(J166-P166-R166)</f>
      </c>
      <c r="T166" s="12"/>
      <c r="U166" s="14"/>
      <c r="V166" s="14"/>
    </row>
    <row x14ac:dyDescent="0.25" r="167" customHeight="1" ht="15.75">
      <c r="A167" s="12">
        <v>45866</v>
      </c>
      <c r="B167" s="65" t="s">
        <v>66</v>
      </c>
      <c r="C167" s="65" t="s">
        <v>3477</v>
      </c>
      <c r="D167" s="14" t="s">
        <v>3478</v>
      </c>
      <c r="E167" s="14"/>
      <c r="F167" s="14" t="s">
        <v>162</v>
      </c>
      <c r="G167" s="30" t="s">
        <v>3425</v>
      </c>
      <c r="H167" s="30" t="s">
        <v>26</v>
      </c>
      <c r="I167" s="17">
        <v>444700</v>
      </c>
      <c r="J167" s="17">
        <v>816900</v>
      </c>
      <c r="K167" s="17">
        <v>726620</v>
      </c>
      <c r="L167" s="17">
        <f>J167-K167</f>
      </c>
      <c r="M167" s="14" t="s">
        <v>50</v>
      </c>
      <c r="N167" s="14" t="s">
        <v>3480</v>
      </c>
      <c r="O167" s="17">
        <v>1</v>
      </c>
      <c r="P167" s="65"/>
      <c r="Q167" s="65"/>
      <c r="R167" s="65"/>
      <c r="S167" s="17">
        <f>SUM(J167-P167-R167)</f>
      </c>
      <c r="T167" s="12"/>
      <c r="U167" s="14"/>
      <c r="V167" s="14"/>
    </row>
    <row x14ac:dyDescent="0.25" r="168" customHeight="1" ht="15.75">
      <c r="A168" s="163">
        <v>45866</v>
      </c>
      <c r="B168" s="217"/>
      <c r="C168" s="217"/>
      <c r="D168" s="30"/>
      <c r="E168" s="30"/>
      <c r="F168" s="30" t="s">
        <v>3481</v>
      </c>
      <c r="G168" s="30" t="s">
        <v>3482</v>
      </c>
      <c r="H168" s="30" t="s">
        <v>26</v>
      </c>
      <c r="I168" s="217"/>
      <c r="J168" s="69">
        <v>65000</v>
      </c>
      <c r="K168" s="69">
        <v>50000</v>
      </c>
      <c r="L168" s="69">
        <f>J168-K168</f>
      </c>
      <c r="M168" s="30" t="s">
        <v>36</v>
      </c>
      <c r="N168" s="30"/>
      <c r="O168" s="217" t="s">
        <v>3483</v>
      </c>
      <c r="P168" s="65"/>
      <c r="Q168" s="65"/>
      <c r="R168" s="65"/>
      <c r="S168" s="17">
        <f>SUM(J168-P168-R168)</f>
      </c>
      <c r="T168" s="12"/>
      <c r="U168" s="14"/>
      <c r="V168" s="14"/>
    </row>
    <row x14ac:dyDescent="0.25" r="169" customHeight="1" ht="15.75">
      <c r="A169" s="12">
        <v>45866</v>
      </c>
      <c r="B169" s="65"/>
      <c r="C169" s="65"/>
      <c r="D169" s="14"/>
      <c r="E169" s="14"/>
      <c r="F169" s="14"/>
      <c r="G169" s="30" t="s">
        <v>3484</v>
      </c>
      <c r="H169" s="30" t="s">
        <v>26</v>
      </c>
      <c r="I169" s="65"/>
      <c r="J169" s="17">
        <v>65000</v>
      </c>
      <c r="K169" s="17">
        <v>50000</v>
      </c>
      <c r="L169" s="17">
        <f>J169-K169</f>
      </c>
      <c r="M169" s="14" t="s">
        <v>36</v>
      </c>
      <c r="N169" s="14"/>
      <c r="O169" s="65" t="s">
        <v>3483</v>
      </c>
      <c r="P169" s="65"/>
      <c r="Q169" s="65"/>
      <c r="R169" s="65"/>
      <c r="S169" s="17">
        <f>SUM(J169-P169-R169)</f>
      </c>
      <c r="T169" s="12"/>
      <c r="U169" s="14"/>
      <c r="V169" s="14"/>
    </row>
    <row x14ac:dyDescent="0.25" r="170" customHeight="1" ht="15.75">
      <c r="A170" s="12">
        <v>45866</v>
      </c>
      <c r="B170" s="65"/>
      <c r="C170" s="65"/>
      <c r="D170" s="14"/>
      <c r="E170" s="14"/>
      <c r="F170" s="14" t="s">
        <v>3481</v>
      </c>
      <c r="G170" s="30" t="s">
        <v>3482</v>
      </c>
      <c r="H170" s="30" t="s">
        <v>26</v>
      </c>
      <c r="I170" s="65"/>
      <c r="J170" s="17">
        <v>48000</v>
      </c>
      <c r="K170" s="17">
        <v>35000</v>
      </c>
      <c r="L170" s="17">
        <f>J170-K170</f>
      </c>
      <c r="M170" s="14" t="s">
        <v>36</v>
      </c>
      <c r="N170" s="14"/>
      <c r="O170" s="65" t="s">
        <v>3485</v>
      </c>
      <c r="P170" s="65"/>
      <c r="Q170" s="65"/>
      <c r="R170" s="65"/>
      <c r="S170" s="17">
        <f>SUM(J170-P170-R170)</f>
      </c>
      <c r="T170" s="12"/>
      <c r="U170" s="14"/>
      <c r="V170" s="14"/>
    </row>
    <row x14ac:dyDescent="0.25" r="171" customHeight="1" ht="15.75">
      <c r="A171" s="12">
        <v>45867</v>
      </c>
      <c r="B171" s="65" t="s">
        <v>66</v>
      </c>
      <c r="C171" s="65" t="s">
        <v>3486</v>
      </c>
      <c r="D171" s="14" t="s">
        <v>2608</v>
      </c>
      <c r="E171" s="14"/>
      <c r="F171" s="14" t="s">
        <v>26</v>
      </c>
      <c r="G171" s="14" t="s">
        <v>2610</v>
      </c>
      <c r="H171" s="30" t="s">
        <v>26</v>
      </c>
      <c r="I171" s="65"/>
      <c r="J171" s="17">
        <v>387800</v>
      </c>
      <c r="K171" s="17">
        <v>329220</v>
      </c>
      <c r="L171" s="17">
        <f>J171-K171</f>
      </c>
      <c r="M171" s="14" t="s">
        <v>187</v>
      </c>
      <c r="N171" s="14" t="s">
        <v>3487</v>
      </c>
      <c r="O171" s="65"/>
      <c r="P171" s="65"/>
      <c r="Q171" s="65"/>
      <c r="R171" s="17">
        <v>387800</v>
      </c>
      <c r="S171" s="17">
        <f>SUM(J171-P171-R171)</f>
      </c>
      <c r="T171" s="12">
        <v>45876</v>
      </c>
      <c r="U171" s="14" t="s">
        <v>1718</v>
      </c>
      <c r="V171" s="14"/>
    </row>
    <row x14ac:dyDescent="0.25" r="172" customHeight="1" ht="15.75">
      <c r="A172" s="12">
        <v>45867</v>
      </c>
      <c r="B172" s="65" t="s">
        <v>46</v>
      </c>
      <c r="C172" s="65" t="s">
        <v>3488</v>
      </c>
      <c r="D172" s="14" t="s">
        <v>63</v>
      </c>
      <c r="E172" s="14"/>
      <c r="F172" s="14" t="s">
        <v>24</v>
      </c>
      <c r="G172" s="30" t="s">
        <v>2618</v>
      </c>
      <c r="H172" s="30" t="s">
        <v>26</v>
      </c>
      <c r="I172" s="17">
        <v>5391400</v>
      </c>
      <c r="J172" s="17">
        <v>6197920</v>
      </c>
      <c r="K172" s="17">
        <v>6097600</v>
      </c>
      <c r="L172" s="17">
        <f>J172-K172</f>
      </c>
      <c r="M172" s="14" t="s">
        <v>50</v>
      </c>
      <c r="N172" s="14" t="s">
        <v>3489</v>
      </c>
      <c r="O172" s="17">
        <v>2</v>
      </c>
      <c r="P172" s="65"/>
      <c r="Q172" s="65"/>
      <c r="R172" s="17">
        <v>6197920</v>
      </c>
      <c r="S172" s="17">
        <f>SUM(J172-P172-R172)</f>
      </c>
      <c r="T172" s="12">
        <v>45897</v>
      </c>
      <c r="U172" s="14" t="s">
        <v>2122</v>
      </c>
      <c r="V172" s="14"/>
    </row>
    <row x14ac:dyDescent="0.25" r="173" customHeight="1" ht="15.75">
      <c r="A173" s="12">
        <v>45867</v>
      </c>
      <c r="B173" s="65" t="s">
        <v>123</v>
      </c>
      <c r="C173" s="65" t="s">
        <v>3490</v>
      </c>
      <c r="D173" s="14" t="s">
        <v>3491</v>
      </c>
      <c r="E173" s="14"/>
      <c r="F173" s="14" t="s">
        <v>2567</v>
      </c>
      <c r="G173" s="257" t="s">
        <v>3492</v>
      </c>
      <c r="H173" s="30" t="s">
        <v>26</v>
      </c>
      <c r="I173" s="65"/>
      <c r="J173" s="17">
        <v>1890800</v>
      </c>
      <c r="K173" s="258">
        <v>1708359</v>
      </c>
      <c r="L173" s="17">
        <f>J173-K173</f>
      </c>
      <c r="M173" s="14" t="s">
        <v>3045</v>
      </c>
      <c r="N173" s="14" t="s">
        <v>3493</v>
      </c>
      <c r="O173" s="65"/>
      <c r="P173" s="65"/>
      <c r="Q173" s="65"/>
      <c r="R173" s="17">
        <v>1890800</v>
      </c>
      <c r="S173" s="17">
        <f>SUM(J173-P173-R173)</f>
      </c>
      <c r="T173" s="12">
        <v>45867</v>
      </c>
      <c r="U173" s="14" t="s">
        <v>1718</v>
      </c>
      <c r="V173" s="14"/>
    </row>
    <row x14ac:dyDescent="0.25" r="174" customHeight="1" ht="15.75">
      <c r="A174" s="12">
        <v>45868</v>
      </c>
      <c r="B174" s="65" t="s">
        <v>82</v>
      </c>
      <c r="C174" s="65" t="s">
        <v>3400</v>
      </c>
      <c r="D174" s="14" t="s">
        <v>717</v>
      </c>
      <c r="E174" s="14"/>
      <c r="F174" s="14" t="s">
        <v>84</v>
      </c>
      <c r="G174" s="30" t="s">
        <v>3494</v>
      </c>
      <c r="H174" s="30" t="s">
        <v>26</v>
      </c>
      <c r="I174" s="65"/>
      <c r="J174" s="17">
        <v>125500</v>
      </c>
      <c r="K174" s="17">
        <v>60240</v>
      </c>
      <c r="L174" s="17">
        <f>J174-K174</f>
      </c>
      <c r="M174" s="14" t="s">
        <v>86</v>
      </c>
      <c r="N174" s="14" t="s">
        <v>3495</v>
      </c>
      <c r="O174" s="65"/>
      <c r="P174" s="65"/>
      <c r="Q174" s="65"/>
      <c r="R174" s="65"/>
      <c r="S174" s="17">
        <f>SUM(J174-P174-R174)</f>
      </c>
      <c r="T174" s="12"/>
      <c r="U174" s="14"/>
      <c r="V174" s="14"/>
    </row>
    <row x14ac:dyDescent="0.25" r="175" customHeight="1" ht="15.75">
      <c r="A175" s="12">
        <v>45868</v>
      </c>
      <c r="B175" s="65" t="s">
        <v>123</v>
      </c>
      <c r="C175" s="65" t="s">
        <v>3490</v>
      </c>
      <c r="D175" s="14" t="s">
        <v>3491</v>
      </c>
      <c r="E175" s="14"/>
      <c r="F175" s="14" t="s">
        <v>2567</v>
      </c>
      <c r="G175" s="257" t="s">
        <v>3492</v>
      </c>
      <c r="H175" s="30" t="s">
        <v>26</v>
      </c>
      <c r="I175" s="65"/>
      <c r="J175" s="17">
        <v>378900</v>
      </c>
      <c r="K175" s="17">
        <v>217550</v>
      </c>
      <c r="L175" s="17">
        <f>J175-K175</f>
      </c>
      <c r="M175" s="14" t="s">
        <v>3045</v>
      </c>
      <c r="N175" s="14" t="s">
        <v>3493</v>
      </c>
      <c r="O175" s="65" t="s">
        <v>251</v>
      </c>
      <c r="P175" s="65"/>
      <c r="Q175" s="65"/>
      <c r="R175" s="17">
        <v>378900</v>
      </c>
      <c r="S175" s="17">
        <f>SUM(J175-P175-R175)</f>
      </c>
      <c r="T175" s="12">
        <v>45873</v>
      </c>
      <c r="U175" s="14" t="s">
        <v>1718</v>
      </c>
      <c r="V175" s="14"/>
    </row>
    <row x14ac:dyDescent="0.25" r="176" customHeight="1" ht="15.75">
      <c r="A176" s="12">
        <v>45868</v>
      </c>
      <c r="B176" s="65" t="s">
        <v>46</v>
      </c>
      <c r="C176" s="65" t="s">
        <v>3454</v>
      </c>
      <c r="D176" s="14" t="s">
        <v>118</v>
      </c>
      <c r="E176" s="14"/>
      <c r="F176" s="14" t="s">
        <v>3455</v>
      </c>
      <c r="G176" s="30" t="s">
        <v>2914</v>
      </c>
      <c r="H176" s="30" t="s">
        <v>26</v>
      </c>
      <c r="I176" s="65"/>
      <c r="J176" s="17">
        <v>128300</v>
      </c>
      <c r="K176" s="17">
        <v>128300</v>
      </c>
      <c r="L176" s="17">
        <f>J176-K176</f>
      </c>
      <c r="M176" s="14" t="s">
        <v>187</v>
      </c>
      <c r="N176" s="14" t="s">
        <v>3456</v>
      </c>
      <c r="O176" s="65" t="s">
        <v>3496</v>
      </c>
      <c r="P176" s="65"/>
      <c r="Q176" s="65"/>
      <c r="R176" s="17">
        <v>128300</v>
      </c>
      <c r="S176" s="17">
        <f>SUM(J176-P176-R176)</f>
      </c>
      <c r="T176" s="12">
        <v>45869</v>
      </c>
      <c r="U176" s="14" t="s">
        <v>1718</v>
      </c>
      <c r="V176" s="14"/>
    </row>
    <row x14ac:dyDescent="0.25" r="177" customHeight="1" ht="15.75">
      <c r="A177" s="12">
        <v>45868</v>
      </c>
      <c r="B177" s="65" t="s">
        <v>53</v>
      </c>
      <c r="C177" s="65" t="s">
        <v>3497</v>
      </c>
      <c r="D177" s="14" t="s">
        <v>295</v>
      </c>
      <c r="E177" s="14"/>
      <c r="F177" s="14" t="s">
        <v>3498</v>
      </c>
      <c r="G177" s="30" t="s">
        <v>3499</v>
      </c>
      <c r="H177" s="30" t="s">
        <v>26</v>
      </c>
      <c r="I177" s="17">
        <v>421700</v>
      </c>
      <c r="J177" s="17">
        <v>734900</v>
      </c>
      <c r="K177" s="17">
        <v>642620</v>
      </c>
      <c r="L177" s="17">
        <f>J177-K177</f>
      </c>
      <c r="M177" s="14" t="s">
        <v>137</v>
      </c>
      <c r="N177" s="14" t="s">
        <v>3500</v>
      </c>
      <c r="O177" s="65"/>
      <c r="P177" s="65"/>
      <c r="Q177" s="65"/>
      <c r="R177" s="17">
        <v>734900</v>
      </c>
      <c r="S177" s="17">
        <f>SUM(J177-P177-R177)</f>
      </c>
      <c r="T177" s="12">
        <v>45868</v>
      </c>
      <c r="U177" s="14" t="s">
        <v>2122</v>
      </c>
      <c r="V177" s="14"/>
    </row>
    <row x14ac:dyDescent="0.25" r="178" customHeight="1" ht="15.75">
      <c r="A178" s="12">
        <v>45869</v>
      </c>
      <c r="B178" s="65" t="s">
        <v>111</v>
      </c>
      <c r="C178" s="65" t="s">
        <v>3501</v>
      </c>
      <c r="D178" s="14" t="s">
        <v>2512</v>
      </c>
      <c r="E178" s="14"/>
      <c r="F178" s="14" t="s">
        <v>84</v>
      </c>
      <c r="G178" s="30" t="s">
        <v>3502</v>
      </c>
      <c r="H178" s="30" t="s">
        <v>26</v>
      </c>
      <c r="I178" s="17">
        <v>345200</v>
      </c>
      <c r="J178" s="17">
        <v>702920</v>
      </c>
      <c r="K178" s="17">
        <v>583820</v>
      </c>
      <c r="L178" s="17">
        <f>J178-K178</f>
      </c>
      <c r="M178" s="14" t="s">
        <v>50</v>
      </c>
      <c r="N178" s="14" t="s">
        <v>3503</v>
      </c>
      <c r="O178" s="17">
        <v>2</v>
      </c>
      <c r="P178" s="65"/>
      <c r="Q178" s="65"/>
      <c r="R178" s="65"/>
      <c r="S178" s="17">
        <f>SUM(J178-P178-R178)</f>
      </c>
      <c r="T178" s="12"/>
      <c r="U178" s="14"/>
      <c r="V178" s="14"/>
    </row>
    <row x14ac:dyDescent="0.25" r="179" customHeight="1" ht="15.75">
      <c r="A179" s="12">
        <v>45869</v>
      </c>
      <c r="B179" s="65" t="s">
        <v>111</v>
      </c>
      <c r="C179" s="65" t="s">
        <v>3501</v>
      </c>
      <c r="D179" s="14" t="s">
        <v>2512</v>
      </c>
      <c r="E179" s="14"/>
      <c r="F179" s="14" t="s">
        <v>84</v>
      </c>
      <c r="G179" s="30" t="s">
        <v>2514</v>
      </c>
      <c r="H179" s="30" t="s">
        <v>26</v>
      </c>
      <c r="I179" s="17">
        <v>345200</v>
      </c>
      <c r="J179" s="17">
        <v>702920</v>
      </c>
      <c r="K179" s="17">
        <v>583820</v>
      </c>
      <c r="L179" s="17">
        <f>J179-K179</f>
      </c>
      <c r="M179" s="14" t="s">
        <v>50</v>
      </c>
      <c r="N179" s="14" t="s">
        <v>3504</v>
      </c>
      <c r="O179" s="17">
        <v>2</v>
      </c>
      <c r="P179" s="65"/>
      <c r="Q179" s="65"/>
      <c r="R179" s="65"/>
      <c r="S179" s="17">
        <f>SUM(J179-P179-R179)</f>
      </c>
      <c r="T179" s="12"/>
      <c r="U179" s="14"/>
      <c r="V179" s="14"/>
    </row>
    <row x14ac:dyDescent="0.25" r="180" customHeight="1" ht="15.75">
      <c r="A180" s="12">
        <v>45869</v>
      </c>
      <c r="B180" s="65" t="s">
        <v>111</v>
      </c>
      <c r="C180" s="65" t="s">
        <v>3501</v>
      </c>
      <c r="D180" s="14" t="s">
        <v>2512</v>
      </c>
      <c r="E180" s="14"/>
      <c r="F180" s="14" t="s">
        <v>84</v>
      </c>
      <c r="G180" s="30" t="s">
        <v>3505</v>
      </c>
      <c r="H180" s="30" t="s">
        <v>26</v>
      </c>
      <c r="I180" s="17">
        <v>345200</v>
      </c>
      <c r="J180" s="17">
        <v>702920</v>
      </c>
      <c r="K180" s="17">
        <v>583820</v>
      </c>
      <c r="L180" s="17">
        <f>J180-K180</f>
      </c>
      <c r="M180" s="14" t="s">
        <v>50</v>
      </c>
      <c r="N180" s="14" t="s">
        <v>3506</v>
      </c>
      <c r="O180" s="17">
        <v>2</v>
      </c>
      <c r="P180" s="65"/>
      <c r="Q180" s="65"/>
      <c r="R180" s="65"/>
      <c r="S180" s="17">
        <f>SUM(J180-P180-R180)</f>
      </c>
      <c r="T180" s="12"/>
      <c r="U180" s="14"/>
      <c r="V180" s="14"/>
    </row>
    <row x14ac:dyDescent="0.25" r="181" customHeight="1" ht="15.75">
      <c r="A181" s="12">
        <v>45869</v>
      </c>
      <c r="B181" s="65" t="s">
        <v>111</v>
      </c>
      <c r="C181" s="65" t="s">
        <v>3507</v>
      </c>
      <c r="D181" s="14" t="s">
        <v>1925</v>
      </c>
      <c r="E181" s="14"/>
      <c r="F181" s="14" t="s">
        <v>84</v>
      </c>
      <c r="G181" s="30" t="s">
        <v>1505</v>
      </c>
      <c r="H181" s="30" t="s">
        <v>26</v>
      </c>
      <c r="I181" s="17">
        <v>652700</v>
      </c>
      <c r="J181" s="17">
        <v>1190920</v>
      </c>
      <c r="K181" s="17">
        <v>1077720</v>
      </c>
      <c r="L181" s="17">
        <f>J181-K181</f>
      </c>
      <c r="M181" s="14" t="s">
        <v>50</v>
      </c>
      <c r="N181" s="14" t="s">
        <v>3508</v>
      </c>
      <c r="O181" s="17">
        <v>4</v>
      </c>
      <c r="P181" s="65"/>
      <c r="Q181" s="65"/>
      <c r="R181" s="65"/>
      <c r="S181" s="17">
        <f>SUM(J181-P181-R181)</f>
      </c>
      <c r="T181" s="12"/>
      <c r="U181" s="14"/>
      <c r="V181" s="14"/>
    </row>
    <row x14ac:dyDescent="0.25" r="182" customHeight="1" ht="15.75">
      <c r="A182" s="12">
        <v>45869</v>
      </c>
      <c r="B182" s="65" t="s">
        <v>72</v>
      </c>
      <c r="C182" s="65" t="s">
        <v>3509</v>
      </c>
      <c r="D182" s="14" t="s">
        <v>264</v>
      </c>
      <c r="E182" s="14"/>
      <c r="F182" s="14" t="s">
        <v>3510</v>
      </c>
      <c r="G182" s="30" t="s">
        <v>3511</v>
      </c>
      <c r="H182" s="30" t="s">
        <v>26</v>
      </c>
      <c r="I182" s="65"/>
      <c r="J182" s="17">
        <v>198800</v>
      </c>
      <c r="K182" s="17">
        <v>135800</v>
      </c>
      <c r="L182" s="17">
        <f>J182-K182</f>
      </c>
      <c r="M182" s="14" t="s">
        <v>50</v>
      </c>
      <c r="N182" s="14" t="s">
        <v>3512</v>
      </c>
      <c r="O182" s="65" t="s">
        <v>251</v>
      </c>
      <c r="P182" s="65"/>
      <c r="Q182" s="65"/>
      <c r="R182" s="65"/>
      <c r="S182" s="17">
        <f>SUM(J182-P182-R182)</f>
      </c>
      <c r="T182" s="12"/>
      <c r="U182" s="14"/>
      <c r="V182" s="14"/>
    </row>
    <row x14ac:dyDescent="0.25" r="183" customHeight="1" ht="15.75">
      <c r="A183" s="12">
        <v>45869</v>
      </c>
      <c r="B183" s="65" t="s">
        <v>72</v>
      </c>
      <c r="C183" s="65" t="s">
        <v>3513</v>
      </c>
      <c r="D183" s="14" t="s">
        <v>3514</v>
      </c>
      <c r="E183" s="14"/>
      <c r="F183" s="14" t="s">
        <v>3481</v>
      </c>
      <c r="G183" s="30" t="s">
        <v>3515</v>
      </c>
      <c r="H183" s="30" t="s">
        <v>26</v>
      </c>
      <c r="I183" s="65"/>
      <c r="J183" s="17">
        <v>156800</v>
      </c>
      <c r="K183" s="17">
        <v>155400</v>
      </c>
      <c r="L183" s="17">
        <f>J183-K183</f>
      </c>
      <c r="M183" s="14" t="s">
        <v>72</v>
      </c>
      <c r="N183" s="14" t="s">
        <v>3516</v>
      </c>
      <c r="O183" s="65" t="s">
        <v>251</v>
      </c>
      <c r="P183" s="65"/>
      <c r="Q183" s="65"/>
      <c r="R183" s="65"/>
      <c r="S183" s="17">
        <f>SUM(J183-P183-R183)</f>
      </c>
      <c r="T183" s="12"/>
      <c r="U183" s="14"/>
      <c r="V183" s="14"/>
    </row>
    <row x14ac:dyDescent="0.25" r="184" customHeight="1" ht="15.75">
      <c r="A184" s="12">
        <v>45869</v>
      </c>
      <c r="B184" s="65" t="s">
        <v>290</v>
      </c>
      <c r="C184" s="65" t="s">
        <v>3517</v>
      </c>
      <c r="D184" s="14" t="s">
        <v>282</v>
      </c>
      <c r="E184" s="14"/>
      <c r="F184" s="14" t="s">
        <v>3518</v>
      </c>
      <c r="G184" s="14" t="s">
        <v>3519</v>
      </c>
      <c r="H184" s="30" t="s">
        <v>26</v>
      </c>
      <c r="I184" s="17">
        <v>227700</v>
      </c>
      <c r="J184" s="17">
        <v>565920</v>
      </c>
      <c r="K184" s="17">
        <v>486720</v>
      </c>
      <c r="L184" s="17">
        <f>J184-K184</f>
      </c>
      <c r="M184" s="14" t="s">
        <v>50</v>
      </c>
      <c r="N184" s="14" t="s">
        <v>3520</v>
      </c>
      <c r="O184" s="17">
        <v>4</v>
      </c>
      <c r="P184" s="65"/>
      <c r="Q184" s="65"/>
      <c r="R184" s="17">
        <v>565920</v>
      </c>
      <c r="S184" s="17">
        <f>SUM(J184-P184-R184)</f>
      </c>
      <c r="T184" s="12">
        <v>45887</v>
      </c>
      <c r="U184" s="14" t="s">
        <v>1718</v>
      </c>
      <c r="V184" s="14"/>
    </row>
    <row x14ac:dyDescent="0.25" r="185" customHeight="1" ht="15.75">
      <c r="A185" s="12">
        <v>45869</v>
      </c>
      <c r="B185" s="65" t="s">
        <v>53</v>
      </c>
      <c r="C185" s="65" t="s">
        <v>2807</v>
      </c>
      <c r="D185" s="14" t="s">
        <v>3521</v>
      </c>
      <c r="E185" s="14"/>
      <c r="F185" s="14" t="s">
        <v>3522</v>
      </c>
      <c r="G185" s="30" t="s">
        <v>3523</v>
      </c>
      <c r="H185" s="30" t="s">
        <v>3522</v>
      </c>
      <c r="I185" s="17">
        <v>749800</v>
      </c>
      <c r="J185" s="17">
        <v>962920</v>
      </c>
      <c r="K185" s="17">
        <v>922920</v>
      </c>
      <c r="L185" s="17">
        <f>J185-K185</f>
      </c>
      <c r="M185" s="14" t="s">
        <v>50</v>
      </c>
      <c r="N185" s="14" t="s">
        <v>3524</v>
      </c>
      <c r="O185" s="17">
        <v>2</v>
      </c>
      <c r="P185" s="65"/>
      <c r="Q185" s="65"/>
      <c r="R185" s="17">
        <v>962920</v>
      </c>
      <c r="S185" s="17">
        <f>SUM(J185-P185-R185)</f>
      </c>
      <c r="T185" s="12">
        <v>45869</v>
      </c>
      <c r="U185" s="14" t="s">
        <v>1718</v>
      </c>
      <c r="V185" s="14"/>
    </row>
    <row x14ac:dyDescent="0.25" r="186" customHeight="1" ht="15.75">
      <c r="A186" s="12">
        <v>45869</v>
      </c>
      <c r="B186" s="65" t="s">
        <v>53</v>
      </c>
      <c r="C186" s="65" t="s">
        <v>3525</v>
      </c>
      <c r="D186" s="14" t="s">
        <v>264</v>
      </c>
      <c r="E186" s="14"/>
      <c r="F186" s="14" t="s">
        <v>2720</v>
      </c>
      <c r="G186" s="30" t="s">
        <v>3526</v>
      </c>
      <c r="H186" s="30" t="s">
        <v>26</v>
      </c>
      <c r="I186" s="65"/>
      <c r="J186" s="17">
        <v>78800</v>
      </c>
      <c r="K186" s="17">
        <v>39400</v>
      </c>
      <c r="L186" s="17">
        <f>J186-K186</f>
      </c>
      <c r="M186" s="14" t="s">
        <v>53</v>
      </c>
      <c r="N186" s="14" t="s">
        <v>3527</v>
      </c>
      <c r="O186" s="65" t="s">
        <v>3528</v>
      </c>
      <c r="P186" s="65"/>
      <c r="Q186" s="65"/>
      <c r="R186" s="17">
        <v>78800</v>
      </c>
      <c r="S186" s="17">
        <f>SUM(J186-P186-R186)</f>
      </c>
      <c r="T186" s="12">
        <v>45889</v>
      </c>
      <c r="U186" s="14" t="s">
        <v>1718</v>
      </c>
      <c r="V186" s="14"/>
    </row>
    <row x14ac:dyDescent="0.25" r="187" customHeight="1" ht="15.75">
      <c r="A187" s="12">
        <v>45869</v>
      </c>
      <c r="B187" s="65" t="s">
        <v>53</v>
      </c>
      <c r="C187" s="65" t="s">
        <v>3525</v>
      </c>
      <c r="D187" s="14" t="s">
        <v>264</v>
      </c>
      <c r="E187" s="14"/>
      <c r="F187" s="14" t="s">
        <v>2720</v>
      </c>
      <c r="G187" s="30" t="s">
        <v>3529</v>
      </c>
      <c r="H187" s="30" t="s">
        <v>26</v>
      </c>
      <c r="I187" s="65"/>
      <c r="J187" s="17">
        <v>78800</v>
      </c>
      <c r="K187" s="17">
        <v>78800</v>
      </c>
      <c r="L187" s="17">
        <f>J187-K187</f>
      </c>
      <c r="M187" s="14" t="s">
        <v>137</v>
      </c>
      <c r="N187" s="14" t="s">
        <v>3527</v>
      </c>
      <c r="O187" s="65" t="s">
        <v>3528</v>
      </c>
      <c r="P187" s="65"/>
      <c r="Q187" s="65"/>
      <c r="R187" s="17">
        <v>78800</v>
      </c>
      <c r="S187" s="17">
        <f>SUM(J187-P187-R187)</f>
      </c>
      <c r="T187" s="12">
        <v>45889</v>
      </c>
      <c r="U187" s="14" t="s">
        <v>1718</v>
      </c>
      <c r="V187" s="14"/>
    </row>
    <row x14ac:dyDescent="0.25" r="188" customHeight="1" ht="15.75">
      <c r="A188" s="12">
        <v>45869</v>
      </c>
      <c r="B188" s="65" t="s">
        <v>46</v>
      </c>
      <c r="C188" s="65" t="s">
        <v>3454</v>
      </c>
      <c r="D188" s="14" t="s">
        <v>118</v>
      </c>
      <c r="E188" s="14"/>
      <c r="F188" s="14" t="s">
        <v>3455</v>
      </c>
      <c r="G188" s="30" t="s">
        <v>2914</v>
      </c>
      <c r="H188" s="30" t="s">
        <v>26</v>
      </c>
      <c r="I188" s="65"/>
      <c r="J188" s="17">
        <v>161800</v>
      </c>
      <c r="K188" s="17">
        <v>161800</v>
      </c>
      <c r="L188" s="17">
        <f>J188-K188</f>
      </c>
      <c r="M188" s="14" t="s">
        <v>187</v>
      </c>
      <c r="N188" s="14" t="s">
        <v>3456</v>
      </c>
      <c r="O188" s="65" t="s">
        <v>3530</v>
      </c>
      <c r="P188" s="17">
        <v>128300</v>
      </c>
      <c r="Q188" s="65"/>
      <c r="R188" s="17">
        <v>169</v>
      </c>
      <c r="S188" s="17">
        <f>SUM(J188-P188-R188)</f>
      </c>
      <c r="T188" s="12">
        <v>45872</v>
      </c>
      <c r="U188" s="14" t="s">
        <v>1718</v>
      </c>
      <c r="V188" s="14"/>
    </row>
    <row x14ac:dyDescent="0.25" r="189" customHeight="1" ht="15.75">
      <c r="A189" s="12">
        <v>45869</v>
      </c>
      <c r="B189" s="65" t="s">
        <v>72</v>
      </c>
      <c r="C189" s="65" t="s">
        <v>3513</v>
      </c>
      <c r="D189" s="14" t="s">
        <v>3514</v>
      </c>
      <c r="E189" s="14"/>
      <c r="F189" s="14" t="s">
        <v>3179</v>
      </c>
      <c r="G189" s="30" t="s">
        <v>3531</v>
      </c>
      <c r="H189" s="30" t="s">
        <v>26</v>
      </c>
      <c r="I189" s="65"/>
      <c r="J189" s="17">
        <v>156800</v>
      </c>
      <c r="K189" s="17">
        <v>56800</v>
      </c>
      <c r="L189" s="17">
        <f>J189-K189</f>
      </c>
      <c r="M189" s="14" t="s">
        <v>50</v>
      </c>
      <c r="N189" s="14" t="s">
        <v>3516</v>
      </c>
      <c r="O189" s="65" t="s">
        <v>251</v>
      </c>
      <c r="P189" s="65"/>
      <c r="Q189" s="65"/>
      <c r="R189" s="65"/>
      <c r="S189" s="17">
        <f>SUM(J189-P189-R189)</f>
      </c>
      <c r="T189" s="12"/>
      <c r="U189" s="14"/>
      <c r="V189" s="14"/>
    </row>
    <row x14ac:dyDescent="0.25" r="190" customHeight="1" ht="15.75">
      <c r="A190" s="12"/>
      <c r="B190" s="65"/>
      <c r="C190" s="65"/>
      <c r="D190" s="14"/>
      <c r="E190" s="14"/>
      <c r="F190" s="14"/>
      <c r="G190" s="30"/>
      <c r="H190" s="30"/>
      <c r="I190" s="65"/>
      <c r="J190" s="17"/>
      <c r="K190" s="17"/>
      <c r="L190" s="17">
        <f>J190-K190</f>
      </c>
      <c r="M190" s="14"/>
      <c r="N190" s="14"/>
      <c r="O190" s="65"/>
      <c r="P190" s="65"/>
      <c r="Q190" s="65"/>
      <c r="R190" s="65"/>
      <c r="S190" s="17">
        <f>SUM(J190-P190-R190)</f>
      </c>
      <c r="T190" s="12"/>
      <c r="U190" s="17"/>
      <c r="V190" s="14"/>
    </row>
    <row x14ac:dyDescent="0.25" r="191" customHeight="1" ht="15.75">
      <c r="A191" s="12"/>
      <c r="B191" s="65"/>
      <c r="C191" s="65"/>
      <c r="D191" s="14"/>
      <c r="E191" s="14"/>
      <c r="F191" s="14"/>
      <c r="G191" s="30"/>
      <c r="H191" s="30"/>
      <c r="I191" s="65"/>
      <c r="J191" s="17"/>
      <c r="K191" s="17"/>
      <c r="L191" s="17">
        <f>J191-K191</f>
      </c>
      <c r="M191" s="14"/>
      <c r="N191" s="14"/>
      <c r="O191" s="65"/>
      <c r="P191" s="65"/>
      <c r="Q191" s="65"/>
      <c r="R191" s="65"/>
      <c r="S191" s="17">
        <f>SUM(J191-P191-R191)</f>
      </c>
      <c r="T191" s="12"/>
      <c r="U191" s="17"/>
      <c r="V191" s="14"/>
    </row>
    <row x14ac:dyDescent="0.25" r="192" customHeight="1" ht="15.75">
      <c r="A192" s="12"/>
      <c r="B192" s="65"/>
      <c r="C192" s="65"/>
      <c r="D192" s="14"/>
      <c r="E192" s="14"/>
      <c r="F192" s="14"/>
      <c r="G192" s="30"/>
      <c r="H192" s="30"/>
      <c r="I192" s="65"/>
      <c r="J192" s="17"/>
      <c r="K192" s="17"/>
      <c r="L192" s="17">
        <f>J192-K192</f>
      </c>
      <c r="M192" s="14"/>
      <c r="N192" s="14"/>
      <c r="O192" s="65"/>
      <c r="P192" s="65"/>
      <c r="Q192" s="65"/>
      <c r="R192" s="65"/>
      <c r="S192" s="17">
        <f>SUM(J192-P192-R192)</f>
      </c>
      <c r="T192" s="12"/>
      <c r="U192" s="17"/>
      <c r="V192" s="14"/>
    </row>
    <row x14ac:dyDescent="0.25" r="193" customHeight="1" ht="15.75">
      <c r="A193" s="12"/>
      <c r="B193" s="65"/>
      <c r="C193" s="65"/>
      <c r="D193" s="14"/>
      <c r="E193" s="14"/>
      <c r="F193" s="14"/>
      <c r="G193" s="30"/>
      <c r="H193" s="30"/>
      <c r="I193" s="65"/>
      <c r="J193" s="17"/>
      <c r="K193" s="17"/>
      <c r="L193" s="17">
        <f>J193-K193</f>
      </c>
      <c r="M193" s="14"/>
      <c r="N193" s="14"/>
      <c r="O193" s="65"/>
      <c r="P193" s="65"/>
      <c r="Q193" s="65"/>
      <c r="R193" s="65"/>
      <c r="S193" s="17">
        <f>SUM(J193-P193-R193)</f>
      </c>
      <c r="T193" s="12"/>
      <c r="U193" s="17"/>
      <c r="V193" s="14"/>
    </row>
    <row x14ac:dyDescent="0.25" r="194" customHeight="1" ht="15.75">
      <c r="A194" s="12"/>
      <c r="B194" s="65"/>
      <c r="C194" s="65"/>
      <c r="D194" s="14"/>
      <c r="E194" s="14"/>
      <c r="F194" s="14"/>
      <c r="G194" s="30"/>
      <c r="H194" s="30"/>
      <c r="I194" s="65"/>
      <c r="J194" s="17"/>
      <c r="K194" s="17"/>
      <c r="L194" s="17">
        <f>J194-K194</f>
      </c>
      <c r="M194" s="14"/>
      <c r="N194" s="14"/>
      <c r="O194" s="65"/>
      <c r="P194" s="65"/>
      <c r="Q194" s="65"/>
      <c r="R194" s="65"/>
      <c r="S194" s="17">
        <f>SUM(J194-P194-R194)</f>
      </c>
      <c r="T194" s="12"/>
      <c r="U194" s="17"/>
      <c r="V194" s="14"/>
    </row>
    <row x14ac:dyDescent="0.25" r="195" customHeight="1" ht="15.75">
      <c r="A195" s="12"/>
      <c r="B195" s="65"/>
      <c r="C195" s="65"/>
      <c r="D195" s="14"/>
      <c r="E195" s="14"/>
      <c r="F195" s="14"/>
      <c r="G195" s="30"/>
      <c r="H195" s="30"/>
      <c r="I195" s="65"/>
      <c r="J195" s="17"/>
      <c r="K195" s="17"/>
      <c r="L195" s="17">
        <f>J195-K195</f>
      </c>
      <c r="M195" s="14"/>
      <c r="N195" s="14"/>
      <c r="O195" s="65"/>
      <c r="P195" s="65"/>
      <c r="Q195" s="65"/>
      <c r="R195" s="65"/>
      <c r="S195" s="17">
        <f>SUM(J195-P195-R195)</f>
      </c>
      <c r="T195" s="12"/>
      <c r="U195" s="17"/>
      <c r="V195" s="14"/>
    </row>
    <row x14ac:dyDescent="0.25" r="196" customHeight="1" ht="15.75">
      <c r="A196" s="12"/>
      <c r="B196" s="65"/>
      <c r="C196" s="65"/>
      <c r="D196" s="14"/>
      <c r="E196" s="14"/>
      <c r="F196" s="14"/>
      <c r="G196" s="30"/>
      <c r="H196" s="30"/>
      <c r="I196" s="65"/>
      <c r="J196" s="17"/>
      <c r="K196" s="17"/>
      <c r="L196" s="17">
        <f>J196-K196</f>
      </c>
      <c r="M196" s="14"/>
      <c r="N196" s="14"/>
      <c r="O196" s="65"/>
      <c r="P196" s="65"/>
      <c r="Q196" s="65"/>
      <c r="R196" s="65"/>
      <c r="S196" s="17">
        <f>SUM(J196-P196-R196)</f>
      </c>
      <c r="T196" s="12"/>
      <c r="U196" s="17"/>
      <c r="V196" s="14"/>
    </row>
    <row x14ac:dyDescent="0.25" r="197" customHeight="1" ht="15.75">
      <c r="A197" s="12"/>
      <c r="B197" s="65"/>
      <c r="C197" s="65"/>
      <c r="D197" s="14"/>
      <c r="E197" s="14"/>
      <c r="F197" s="14"/>
      <c r="G197" s="30"/>
      <c r="H197" s="30"/>
      <c r="I197" s="65"/>
      <c r="J197" s="17"/>
      <c r="K197" s="17"/>
      <c r="L197" s="17">
        <f>J197-K197</f>
      </c>
      <c r="M197" s="14"/>
      <c r="N197" s="14"/>
      <c r="O197" s="65"/>
      <c r="P197" s="65"/>
      <c r="Q197" s="65"/>
      <c r="R197" s="65"/>
      <c r="S197" s="17">
        <f>SUM(J197-P197-R197)</f>
      </c>
      <c r="T197" s="12"/>
      <c r="U197" s="17"/>
      <c r="V197" s="14"/>
    </row>
    <row x14ac:dyDescent="0.25" r="198" customHeight="1" ht="15.75">
      <c r="A198" s="12"/>
      <c r="B198" s="65"/>
      <c r="C198" s="65"/>
      <c r="D198" s="14"/>
      <c r="E198" s="14"/>
      <c r="F198" s="14"/>
      <c r="G198" s="30"/>
      <c r="H198" s="30"/>
      <c r="I198" s="17">
        <f>SUM(I2:I190)</f>
      </c>
      <c r="J198" s="17">
        <f>SUM(J2:J197)</f>
      </c>
      <c r="K198" s="17">
        <f>SUM(K2:K190)</f>
      </c>
      <c r="L198" s="17">
        <f>J198-K198</f>
      </c>
      <c r="M198" s="14"/>
      <c r="N198" s="14"/>
      <c r="O198" s="65"/>
      <c r="P198" s="65"/>
      <c r="Q198" s="65"/>
      <c r="R198" s="65"/>
      <c r="S198" s="17">
        <f>SUM(S2:S197)</f>
      </c>
      <c r="T198" s="12"/>
      <c r="U198" s="17"/>
      <c r="V198" s="14"/>
    </row>
    <row x14ac:dyDescent="0.25" r="199" customHeight="1" ht="15.75">
      <c r="A199" s="1"/>
      <c r="B199" s="29"/>
      <c r="C199" s="29"/>
      <c r="D199" s="34"/>
      <c r="E199" s="34"/>
      <c r="F199" s="34"/>
      <c r="G199" s="60"/>
      <c r="H199" s="60"/>
      <c r="I199" s="29"/>
      <c r="J199" s="29"/>
      <c r="K199" s="29"/>
      <c r="L199" s="29"/>
      <c r="M199" s="34"/>
      <c r="N199" s="29"/>
      <c r="O199" s="29"/>
      <c r="P199" s="29"/>
      <c r="Q199" s="29"/>
      <c r="R199" s="29"/>
      <c r="S199" s="29"/>
      <c r="T199" s="1"/>
      <c r="U199" s="34"/>
      <c r="V199" s="34"/>
    </row>
    <row x14ac:dyDescent="0.25" r="200" customHeight="1" ht="15.75">
      <c r="A200" s="1"/>
      <c r="B200" s="29"/>
      <c r="C200" s="29"/>
      <c r="D200" s="34"/>
      <c r="E200" s="34"/>
      <c r="F200" s="34"/>
      <c r="G200" s="60"/>
      <c r="H200" s="60"/>
      <c r="I200" s="29"/>
      <c r="J200" s="29"/>
      <c r="K200" s="29"/>
      <c r="L200" s="29"/>
      <c r="M200" s="34"/>
      <c r="N200" s="29"/>
      <c r="O200" s="29"/>
      <c r="P200" s="29"/>
      <c r="Q200" s="29"/>
      <c r="R200" s="29"/>
      <c r="S200" s="29"/>
      <c r="T200" s="1"/>
      <c r="U200" s="34"/>
      <c r="V200" s="34"/>
    </row>
    <row x14ac:dyDescent="0.25" r="201" customHeight="1" ht="15.75">
      <c r="A201" s="1"/>
      <c r="B201" s="29"/>
      <c r="C201" s="29"/>
      <c r="D201" s="34"/>
      <c r="E201" s="34"/>
      <c r="F201" s="34"/>
      <c r="G201" s="60"/>
      <c r="H201" s="60"/>
      <c r="I201" s="29"/>
      <c r="J201" s="29"/>
      <c r="K201" s="29"/>
      <c r="L201" s="29"/>
      <c r="M201" s="34"/>
      <c r="N201" s="29"/>
      <c r="O201" s="29"/>
      <c r="P201" s="29"/>
      <c r="Q201" s="29"/>
      <c r="R201" s="29"/>
      <c r="S201" s="29"/>
      <c r="T201" s="1"/>
      <c r="U201" s="34"/>
      <c r="V201" s="34"/>
    </row>
    <row x14ac:dyDescent="0.25" r="202" customHeight="1" ht="15.75">
      <c r="A202" s="1"/>
      <c r="B202" s="29"/>
      <c r="C202" s="29"/>
      <c r="D202" s="34"/>
      <c r="E202" s="34"/>
      <c r="F202" s="34"/>
      <c r="G202" s="60"/>
      <c r="H202" s="60"/>
      <c r="I202" s="29"/>
      <c r="J202" s="29"/>
      <c r="K202" s="29"/>
      <c r="L202" s="29"/>
      <c r="M202" s="34"/>
      <c r="N202" s="29"/>
      <c r="O202" s="29"/>
      <c r="P202" s="29"/>
      <c r="Q202" s="29"/>
      <c r="R202" s="29"/>
      <c r="S202" s="29"/>
      <c r="T202" s="1"/>
      <c r="U202" s="34"/>
      <c r="V202" s="34"/>
    </row>
    <row x14ac:dyDescent="0.25" r="203" customHeight="1" ht="15.75">
      <c r="A203" s="1"/>
      <c r="B203" s="29"/>
      <c r="C203" s="29"/>
      <c r="D203" s="34"/>
      <c r="E203" s="34"/>
      <c r="F203" s="34"/>
      <c r="G203" s="60"/>
      <c r="H203" s="60"/>
      <c r="I203" s="29"/>
      <c r="J203" s="29"/>
      <c r="K203" s="29"/>
      <c r="L203" s="29"/>
      <c r="M203" s="34"/>
      <c r="N203" s="29"/>
      <c r="O203" s="29"/>
      <c r="P203" s="29"/>
      <c r="Q203" s="29"/>
      <c r="R203" s="29"/>
      <c r="S203" s="29"/>
      <c r="T203" s="1"/>
      <c r="U203" s="34"/>
      <c r="V203" s="34"/>
    </row>
    <row x14ac:dyDescent="0.25" r="204" customHeight="1" ht="15.75">
      <c r="A204" s="1"/>
      <c r="B204" s="29"/>
      <c r="C204" s="29"/>
      <c r="D204" s="34"/>
      <c r="E204" s="34"/>
      <c r="F204" s="34"/>
      <c r="G204" s="60"/>
      <c r="H204" s="60"/>
      <c r="I204" s="29"/>
      <c r="J204" s="29"/>
      <c r="K204" s="29"/>
      <c r="L204" s="29"/>
      <c r="M204" s="34"/>
      <c r="N204" s="29"/>
      <c r="O204" s="29"/>
      <c r="P204" s="29"/>
      <c r="Q204" s="29"/>
      <c r="R204" s="29"/>
      <c r="S204" s="29"/>
      <c r="T204" s="1"/>
      <c r="U204" s="34"/>
      <c r="V204" s="34"/>
    </row>
    <row x14ac:dyDescent="0.25" r="205" customHeight="1" ht="15.75">
      <c r="A205" s="1"/>
      <c r="B205" s="29"/>
      <c r="C205" s="29"/>
      <c r="D205" s="34"/>
      <c r="E205" s="34"/>
      <c r="F205" s="34"/>
      <c r="G205" s="60"/>
      <c r="H205" s="60"/>
      <c r="I205" s="29"/>
      <c r="J205" s="29"/>
      <c r="K205" s="29"/>
      <c r="L205" s="29"/>
      <c r="M205" s="34"/>
      <c r="N205" s="29"/>
      <c r="O205" s="29"/>
      <c r="P205" s="29"/>
      <c r="Q205" s="29"/>
      <c r="R205" s="29"/>
      <c r="S205" s="29"/>
      <c r="T205" s="1"/>
      <c r="U205" s="34"/>
      <c r="V205" s="34"/>
    </row>
    <row x14ac:dyDescent="0.25" r="206" customHeight="1" ht="15.75">
      <c r="A206" s="1"/>
      <c r="B206" s="29"/>
      <c r="C206" s="29"/>
      <c r="D206" s="34"/>
      <c r="E206" s="34"/>
      <c r="F206" s="34"/>
      <c r="G206" s="60"/>
      <c r="H206" s="60"/>
      <c r="I206" s="29"/>
      <c r="J206" s="29"/>
      <c r="K206" s="29"/>
      <c r="L206" s="29"/>
      <c r="M206" s="34"/>
      <c r="N206" s="29"/>
      <c r="O206" s="29"/>
      <c r="P206" s="29"/>
      <c r="Q206" s="29"/>
      <c r="R206" s="29"/>
      <c r="S206" s="29"/>
      <c r="T206" s="1"/>
      <c r="U206" s="34"/>
      <c r="V206" s="34"/>
    </row>
    <row x14ac:dyDescent="0.25" r="207" customHeight="1" ht="15.75">
      <c r="A207" s="1"/>
      <c r="B207" s="29"/>
      <c r="C207" s="29"/>
      <c r="D207" s="34"/>
      <c r="E207" s="34"/>
      <c r="F207" s="34"/>
      <c r="G207" s="60"/>
      <c r="H207" s="60"/>
      <c r="I207" s="29"/>
      <c r="J207" s="29"/>
      <c r="K207" s="29"/>
      <c r="L207" s="29"/>
      <c r="M207" s="34"/>
      <c r="N207" s="29"/>
      <c r="O207" s="29"/>
      <c r="P207" s="29"/>
      <c r="Q207" s="29"/>
      <c r="R207" s="29"/>
      <c r="S207" s="29"/>
      <c r="T207" s="1"/>
      <c r="U207" s="34"/>
      <c r="V207" s="34"/>
    </row>
    <row x14ac:dyDescent="0.25" r="208" customHeight="1" ht="15.75">
      <c r="A208" s="1"/>
      <c r="B208" s="29"/>
      <c r="C208" s="29"/>
      <c r="D208" s="34"/>
      <c r="E208" s="34"/>
      <c r="F208" s="34"/>
      <c r="G208" s="60"/>
      <c r="H208" s="60"/>
      <c r="I208" s="29"/>
      <c r="J208" s="29"/>
      <c r="K208" s="29"/>
      <c r="L208" s="29"/>
      <c r="M208" s="34"/>
      <c r="N208" s="29"/>
      <c r="O208" s="29"/>
      <c r="P208" s="29"/>
      <c r="Q208" s="29"/>
      <c r="R208" s="29"/>
      <c r="S208" s="29"/>
      <c r="T208" s="1"/>
      <c r="U208" s="34"/>
      <c r="V208" s="34"/>
    </row>
    <row x14ac:dyDescent="0.25" r="209" customHeight="1" ht="15.75">
      <c r="A209" s="1"/>
      <c r="B209" s="29"/>
      <c r="C209" s="29"/>
      <c r="D209" s="34"/>
      <c r="E209" s="34"/>
      <c r="F209" s="34"/>
      <c r="G209" s="60"/>
      <c r="H209" s="60"/>
      <c r="I209" s="29"/>
      <c r="J209" s="29"/>
      <c r="K209" s="29"/>
      <c r="L209" s="29"/>
      <c r="M209" s="34"/>
      <c r="N209" s="29"/>
      <c r="O209" s="29"/>
      <c r="P209" s="29"/>
      <c r="Q209" s="29"/>
      <c r="R209" s="29"/>
      <c r="S209" s="29"/>
      <c r="T209" s="1"/>
      <c r="U209" s="34"/>
      <c r="V209" s="34"/>
    </row>
    <row x14ac:dyDescent="0.25" r="210" customHeight="1" ht="15.75">
      <c r="A210" s="1"/>
      <c r="B210" s="29"/>
      <c r="C210" s="29"/>
      <c r="D210" s="34"/>
      <c r="E210" s="34"/>
      <c r="F210" s="34"/>
      <c r="G210" s="60"/>
      <c r="H210" s="60"/>
      <c r="I210" s="29"/>
      <c r="J210" s="29"/>
      <c r="K210" s="29"/>
      <c r="L210" s="29"/>
      <c r="M210" s="34"/>
      <c r="N210" s="29"/>
      <c r="O210" s="29"/>
      <c r="P210" s="29"/>
      <c r="Q210" s="29"/>
      <c r="R210" s="29"/>
      <c r="S210" s="29"/>
      <c r="T210" s="1"/>
      <c r="U210" s="34"/>
      <c r="V210" s="34"/>
    </row>
    <row x14ac:dyDescent="0.25" r="211" customHeight="1" ht="15.75">
      <c r="A211" s="1"/>
      <c r="B211" s="29"/>
      <c r="C211" s="29"/>
      <c r="D211" s="34"/>
      <c r="E211" s="34"/>
      <c r="F211" s="34"/>
      <c r="G211" s="60"/>
      <c r="H211" s="60"/>
      <c r="I211" s="29"/>
      <c r="J211" s="29"/>
      <c r="K211" s="29"/>
      <c r="L211" s="29"/>
      <c r="M211" s="34"/>
      <c r="N211" s="29"/>
      <c r="O211" s="29"/>
      <c r="P211" s="29"/>
      <c r="Q211" s="29"/>
      <c r="R211" s="29"/>
      <c r="S211" s="29"/>
      <c r="T211" s="1"/>
      <c r="U211" s="34"/>
      <c r="V211" s="34"/>
    </row>
    <row x14ac:dyDescent="0.25" r="212" customHeight="1" ht="15.75">
      <c r="A212" s="1"/>
      <c r="B212" s="29"/>
      <c r="C212" s="29"/>
      <c r="D212" s="34"/>
      <c r="E212" s="34"/>
      <c r="F212" s="34"/>
      <c r="G212" s="60"/>
      <c r="H212" s="60"/>
      <c r="I212" s="29"/>
      <c r="J212" s="29"/>
      <c r="K212" s="29"/>
      <c r="L212" s="29"/>
      <c r="M212" s="34"/>
      <c r="N212" s="29"/>
      <c r="O212" s="29"/>
      <c r="P212" s="29"/>
      <c r="Q212" s="29"/>
      <c r="R212" s="29"/>
      <c r="S212" s="29"/>
      <c r="T212" s="1"/>
      <c r="U212" s="34"/>
      <c r="V212" s="34"/>
    </row>
    <row x14ac:dyDescent="0.25" r="213" customHeight="1" ht="15.75">
      <c r="A213" s="1"/>
      <c r="B213" s="29"/>
      <c r="C213" s="29"/>
      <c r="D213" s="34"/>
      <c r="E213" s="34"/>
      <c r="F213" s="34"/>
      <c r="G213" s="60"/>
      <c r="H213" s="60"/>
      <c r="I213" s="29"/>
      <c r="J213" s="29"/>
      <c r="K213" s="29"/>
      <c r="L213" s="29"/>
      <c r="M213" s="34"/>
      <c r="N213" s="29"/>
      <c r="O213" s="29"/>
      <c r="P213" s="29"/>
      <c r="Q213" s="29"/>
      <c r="R213" s="29"/>
      <c r="S213" s="29"/>
      <c r="T213" s="1"/>
      <c r="U213" s="34"/>
      <c r="V213" s="34"/>
    </row>
    <row x14ac:dyDescent="0.25" r="214" customHeight="1" ht="15.75">
      <c r="A214" s="1"/>
      <c r="B214" s="29"/>
      <c r="C214" s="29"/>
      <c r="D214" s="34"/>
      <c r="E214" s="34"/>
      <c r="F214" s="34"/>
      <c r="G214" s="60"/>
      <c r="H214" s="60"/>
      <c r="I214" s="29"/>
      <c r="J214" s="29"/>
      <c r="K214" s="29"/>
      <c r="L214" s="29"/>
      <c r="M214" s="34"/>
      <c r="N214" s="29"/>
      <c r="O214" s="29"/>
      <c r="P214" s="29"/>
      <c r="Q214" s="29"/>
      <c r="R214" s="29"/>
      <c r="S214" s="29"/>
      <c r="T214" s="1"/>
      <c r="U214" s="34"/>
      <c r="V214" s="34"/>
    </row>
    <row x14ac:dyDescent="0.25" r="215" customHeight="1" ht="15.75">
      <c r="A215" s="1"/>
      <c r="B215" s="29"/>
      <c r="C215" s="29"/>
      <c r="D215" s="34"/>
      <c r="E215" s="34"/>
      <c r="F215" s="34"/>
      <c r="G215" s="60"/>
      <c r="H215" s="60"/>
      <c r="I215" s="29"/>
      <c r="J215" s="29"/>
      <c r="K215" s="29"/>
      <c r="L215" s="29"/>
      <c r="M215" s="34"/>
      <c r="N215" s="29"/>
      <c r="O215" s="29"/>
      <c r="P215" s="29"/>
      <c r="Q215" s="29"/>
      <c r="R215" s="29"/>
      <c r="S215" s="29"/>
      <c r="T215" s="1"/>
      <c r="U215" s="34"/>
      <c r="V215" s="34"/>
    </row>
    <row x14ac:dyDescent="0.25" r="216" customHeight="1" ht="15.75">
      <c r="A216" s="1"/>
      <c r="B216" s="29"/>
      <c r="C216" s="29"/>
      <c r="D216" s="34"/>
      <c r="E216" s="34"/>
      <c r="F216" s="34"/>
      <c r="G216" s="60"/>
      <c r="H216" s="60"/>
      <c r="I216" s="29"/>
      <c r="J216" s="29"/>
      <c r="K216" s="29"/>
      <c r="L216" s="29"/>
      <c r="M216" s="34"/>
      <c r="N216" s="29"/>
      <c r="O216" s="29"/>
      <c r="P216" s="29"/>
      <c r="Q216" s="29"/>
      <c r="R216" s="29"/>
      <c r="S216" s="29"/>
      <c r="T216" s="1"/>
      <c r="U216" s="34"/>
      <c r="V216" s="34"/>
    </row>
    <row x14ac:dyDescent="0.25" r="217" customHeight="1" ht="15.75">
      <c r="A217" s="1"/>
      <c r="B217" s="29"/>
      <c r="C217" s="29"/>
      <c r="D217" s="34"/>
      <c r="E217" s="34"/>
      <c r="F217" s="34"/>
      <c r="G217" s="60"/>
      <c r="H217" s="60"/>
      <c r="I217" s="29"/>
      <c r="J217" s="29"/>
      <c r="K217" s="29"/>
      <c r="L217" s="29"/>
      <c r="M217" s="34"/>
      <c r="N217" s="29"/>
      <c r="O217" s="29"/>
      <c r="P217" s="29"/>
      <c r="Q217" s="29"/>
      <c r="R217" s="29"/>
      <c r="S217" s="29"/>
      <c r="T217" s="1"/>
      <c r="U217" s="34"/>
      <c r="V217" s="34"/>
    </row>
    <row x14ac:dyDescent="0.25" r="218" customHeight="1" ht="15.75">
      <c r="A218" s="1"/>
      <c r="B218" s="29"/>
      <c r="C218" s="29"/>
      <c r="D218" s="34"/>
      <c r="E218" s="34"/>
      <c r="F218" s="34"/>
      <c r="G218" s="60"/>
      <c r="H218" s="60"/>
      <c r="I218" s="29"/>
      <c r="J218" s="29"/>
      <c r="K218" s="29"/>
      <c r="L218" s="29"/>
      <c r="M218" s="34"/>
      <c r="N218" s="29"/>
      <c r="O218" s="29"/>
      <c r="P218" s="29"/>
      <c r="Q218" s="29"/>
      <c r="R218" s="29"/>
      <c r="S218" s="29"/>
      <c r="T218" s="1"/>
      <c r="U218" s="34"/>
      <c r="V218" s="34"/>
    </row>
    <row x14ac:dyDescent="0.25" r="219" customHeight="1" ht="15.75">
      <c r="A219" s="1"/>
      <c r="B219" s="29"/>
      <c r="C219" s="29"/>
      <c r="D219" s="34"/>
      <c r="E219" s="34"/>
      <c r="F219" s="34"/>
      <c r="G219" s="60"/>
      <c r="H219" s="60"/>
      <c r="I219" s="29"/>
      <c r="J219" s="29"/>
      <c r="K219" s="29"/>
      <c r="L219" s="29"/>
      <c r="M219" s="34"/>
      <c r="N219" s="29"/>
      <c r="O219" s="29"/>
      <c r="P219" s="29"/>
      <c r="Q219" s="29"/>
      <c r="R219" s="29"/>
      <c r="S219" s="29"/>
      <c r="T219" s="1"/>
      <c r="U219" s="34"/>
      <c r="V219" s="34"/>
    </row>
    <row x14ac:dyDescent="0.25" r="220" customHeight="1" ht="15.75">
      <c r="A220" s="1"/>
      <c r="B220" s="29"/>
      <c r="C220" s="29"/>
      <c r="D220" s="34"/>
      <c r="E220" s="34"/>
      <c r="F220" s="34"/>
      <c r="G220" s="60"/>
      <c r="H220" s="60"/>
      <c r="I220" s="29"/>
      <c r="J220" s="29"/>
      <c r="K220" s="29"/>
      <c r="L220" s="29"/>
      <c r="M220" s="34"/>
      <c r="N220" s="29"/>
      <c r="O220" s="29"/>
      <c r="P220" s="29"/>
      <c r="Q220" s="29"/>
      <c r="R220" s="29"/>
      <c r="S220" s="29"/>
      <c r="T220" s="1"/>
      <c r="U220" s="34"/>
      <c r="V220" s="34"/>
    </row>
    <row x14ac:dyDescent="0.25" r="221" customHeight="1" ht="15.75">
      <c r="A221" s="1"/>
      <c r="B221" s="29"/>
      <c r="C221" s="29"/>
      <c r="D221" s="34"/>
      <c r="E221" s="34"/>
      <c r="F221" s="34"/>
      <c r="G221" s="60"/>
      <c r="H221" s="60"/>
      <c r="I221" s="29"/>
      <c r="J221" s="29"/>
      <c r="K221" s="29"/>
      <c r="L221" s="29"/>
      <c r="M221" s="34"/>
      <c r="N221" s="29"/>
      <c r="O221" s="29"/>
      <c r="P221" s="29"/>
      <c r="Q221" s="29"/>
      <c r="R221" s="29"/>
      <c r="S221" s="29"/>
      <c r="T221" s="1"/>
      <c r="U221" s="34"/>
      <c r="V221" s="34"/>
    </row>
    <row x14ac:dyDescent="0.25" r="222" customHeight="1" ht="15.75">
      <c r="A222" s="1"/>
      <c r="B222" s="29"/>
      <c r="C222" s="29"/>
      <c r="D222" s="34"/>
      <c r="E222" s="34"/>
      <c r="F222" s="34"/>
      <c r="G222" s="60"/>
      <c r="H222" s="60"/>
      <c r="I222" s="29"/>
      <c r="J222" s="29"/>
      <c r="K222" s="29"/>
      <c r="L222" s="29"/>
      <c r="M222" s="34"/>
      <c r="N222" s="29"/>
      <c r="O222" s="29"/>
      <c r="P222" s="29"/>
      <c r="Q222" s="29"/>
      <c r="R222" s="29"/>
      <c r="S222" s="29"/>
      <c r="T222" s="1"/>
      <c r="U222" s="34"/>
      <c r="V222" s="34"/>
    </row>
    <row x14ac:dyDescent="0.25" r="223" customHeight="1" ht="15.75">
      <c r="A223" s="1"/>
      <c r="B223" s="29"/>
      <c r="C223" s="29"/>
      <c r="D223" s="34"/>
      <c r="E223" s="34"/>
      <c r="F223" s="34"/>
      <c r="G223" s="60"/>
      <c r="H223" s="60"/>
      <c r="I223" s="29"/>
      <c r="J223" s="29"/>
      <c r="K223" s="29"/>
      <c r="L223" s="29"/>
      <c r="M223" s="34"/>
      <c r="N223" s="29"/>
      <c r="O223" s="29"/>
      <c r="P223" s="29"/>
      <c r="Q223" s="29"/>
      <c r="R223" s="29"/>
      <c r="S223" s="29"/>
      <c r="T223" s="1"/>
      <c r="U223" s="34"/>
      <c r="V223" s="34"/>
    </row>
    <row x14ac:dyDescent="0.25" r="224" customHeight="1" ht="15.75">
      <c r="A224" s="1"/>
      <c r="B224" s="29"/>
      <c r="C224" s="29"/>
      <c r="D224" s="34"/>
      <c r="E224" s="34"/>
      <c r="F224" s="34"/>
      <c r="G224" s="60"/>
      <c r="H224" s="60"/>
      <c r="I224" s="29"/>
      <c r="J224" s="29"/>
      <c r="K224" s="29"/>
      <c r="L224" s="29"/>
      <c r="M224" s="34"/>
      <c r="N224" s="29"/>
      <c r="O224" s="29"/>
      <c r="P224" s="29"/>
      <c r="Q224" s="29"/>
      <c r="R224" s="29"/>
      <c r="S224" s="29"/>
      <c r="T224" s="1"/>
      <c r="U224" s="34"/>
      <c r="V224" s="34"/>
    </row>
    <row x14ac:dyDescent="0.25" r="225" customHeight="1" ht="15.75">
      <c r="A225" s="1"/>
      <c r="B225" s="29"/>
      <c r="C225" s="29"/>
      <c r="D225" s="34"/>
      <c r="E225" s="34"/>
      <c r="F225" s="34"/>
      <c r="G225" s="60"/>
      <c r="H225" s="60"/>
      <c r="I225" s="29"/>
      <c r="J225" s="29"/>
      <c r="K225" s="29"/>
      <c r="L225" s="29"/>
      <c r="M225" s="34"/>
      <c r="N225" s="29"/>
      <c r="O225" s="29"/>
      <c r="P225" s="29"/>
      <c r="Q225" s="29"/>
      <c r="R225" s="29"/>
      <c r="S225" s="29"/>
      <c r="T225" s="1"/>
      <c r="U225" s="34"/>
      <c r="V225" s="34"/>
    </row>
    <row x14ac:dyDescent="0.25" r="226" customHeight="1" ht="15.75">
      <c r="A226" s="1"/>
      <c r="B226" s="29"/>
      <c r="C226" s="29"/>
      <c r="D226" s="34"/>
      <c r="E226" s="34"/>
      <c r="F226" s="34"/>
      <c r="G226" s="60"/>
      <c r="H226" s="60"/>
      <c r="I226" s="29"/>
      <c r="J226" s="29"/>
      <c r="K226" s="29"/>
      <c r="L226" s="29"/>
      <c r="M226" s="34"/>
      <c r="N226" s="29"/>
      <c r="O226" s="29"/>
      <c r="P226" s="29"/>
      <c r="Q226" s="29"/>
      <c r="R226" s="29"/>
      <c r="S226" s="29"/>
      <c r="T226" s="1"/>
      <c r="U226" s="34"/>
      <c r="V226" s="34"/>
    </row>
    <row x14ac:dyDescent="0.25" r="227" customHeight="1" ht="15.75">
      <c r="A227" s="1"/>
      <c r="B227" s="29"/>
      <c r="C227" s="29"/>
      <c r="D227" s="34"/>
      <c r="E227" s="34"/>
      <c r="F227" s="34"/>
      <c r="G227" s="60"/>
      <c r="H227" s="60"/>
      <c r="I227" s="29"/>
      <c r="J227" s="29"/>
      <c r="K227" s="29"/>
      <c r="L227" s="29"/>
      <c r="M227" s="34"/>
      <c r="N227" s="29"/>
      <c r="O227" s="29"/>
      <c r="P227" s="29"/>
      <c r="Q227" s="29"/>
      <c r="R227" s="29"/>
      <c r="S227" s="29"/>
      <c r="T227" s="1"/>
      <c r="U227" s="34"/>
      <c r="V227" s="34"/>
    </row>
    <row x14ac:dyDescent="0.25" r="228" customHeight="1" ht="15.75">
      <c r="A228" s="1"/>
      <c r="B228" s="29"/>
      <c r="C228" s="29"/>
      <c r="D228" s="34"/>
      <c r="E228" s="34"/>
      <c r="F228" s="34"/>
      <c r="G228" s="60"/>
      <c r="H228" s="60"/>
      <c r="I228" s="29"/>
      <c r="J228" s="29"/>
      <c r="K228" s="29"/>
      <c r="L228" s="29"/>
      <c r="M228" s="34"/>
      <c r="N228" s="29"/>
      <c r="O228" s="29"/>
      <c r="P228" s="29"/>
      <c r="Q228" s="29"/>
      <c r="R228" s="29"/>
      <c r="S228" s="29"/>
      <c r="T228" s="1"/>
      <c r="U228" s="34"/>
      <c r="V228" s="34"/>
    </row>
    <row x14ac:dyDescent="0.25" r="229" customHeight="1" ht="15.75">
      <c r="A229" s="1"/>
      <c r="B229" s="29"/>
      <c r="C229" s="29"/>
      <c r="D229" s="34"/>
      <c r="E229" s="34"/>
      <c r="F229" s="34"/>
      <c r="G229" s="60"/>
      <c r="H229" s="60"/>
      <c r="I229" s="29"/>
      <c r="J229" s="29"/>
      <c r="K229" s="29"/>
      <c r="L229" s="29"/>
      <c r="M229" s="34"/>
      <c r="N229" s="29"/>
      <c r="O229" s="29"/>
      <c r="P229" s="29"/>
      <c r="Q229" s="29"/>
      <c r="R229" s="29"/>
      <c r="S229" s="29"/>
      <c r="T229" s="1"/>
      <c r="U229" s="34"/>
      <c r="V229" s="34"/>
    </row>
    <row x14ac:dyDescent="0.25" r="230" customHeight="1" ht="15.75">
      <c r="A230" s="1"/>
      <c r="B230" s="29"/>
      <c r="C230" s="29"/>
      <c r="D230" s="34"/>
      <c r="E230" s="34"/>
      <c r="F230" s="34"/>
      <c r="G230" s="60"/>
      <c r="H230" s="60"/>
      <c r="I230" s="29"/>
      <c r="J230" s="29"/>
      <c r="K230" s="29"/>
      <c r="L230" s="29"/>
      <c r="M230" s="34"/>
      <c r="N230" s="29"/>
      <c r="O230" s="29"/>
      <c r="P230" s="29"/>
      <c r="Q230" s="29"/>
      <c r="R230" s="29"/>
      <c r="S230" s="29"/>
      <c r="T230" s="1"/>
      <c r="U230" s="34"/>
      <c r="V230" s="34"/>
    </row>
    <row x14ac:dyDescent="0.25" r="231" customHeight="1" ht="15.75">
      <c r="A231" s="1"/>
      <c r="B231" s="29"/>
      <c r="C231" s="29"/>
      <c r="D231" s="34"/>
      <c r="E231" s="34"/>
      <c r="F231" s="34"/>
      <c r="G231" s="60"/>
      <c r="H231" s="60"/>
      <c r="I231" s="29"/>
      <c r="J231" s="29"/>
      <c r="K231" s="29"/>
      <c r="L231" s="29"/>
      <c r="M231" s="34"/>
      <c r="N231" s="29"/>
      <c r="O231" s="29"/>
      <c r="P231" s="29"/>
      <c r="Q231" s="29"/>
      <c r="R231" s="29"/>
      <c r="S231" s="29"/>
      <c r="T231" s="1"/>
      <c r="U231" s="34"/>
      <c r="V231" s="34"/>
    </row>
    <row x14ac:dyDescent="0.25" r="232" customHeight="1" ht="15.75">
      <c r="A232" s="1"/>
      <c r="B232" s="29"/>
      <c r="C232" s="29"/>
      <c r="D232" s="34"/>
      <c r="E232" s="34"/>
      <c r="F232" s="34"/>
      <c r="G232" s="60"/>
      <c r="H232" s="60"/>
      <c r="I232" s="29"/>
      <c r="J232" s="29"/>
      <c r="K232" s="29"/>
      <c r="L232" s="29"/>
      <c r="M232" s="34"/>
      <c r="N232" s="29"/>
      <c r="O232" s="29"/>
      <c r="P232" s="29"/>
      <c r="Q232" s="29"/>
      <c r="R232" s="29"/>
      <c r="S232" s="29"/>
      <c r="T232" s="1"/>
      <c r="U232" s="34"/>
      <c r="V232" s="34"/>
    </row>
    <row x14ac:dyDescent="0.25" r="233" customHeight="1" ht="15.75">
      <c r="A233" s="1"/>
      <c r="B233" s="29"/>
      <c r="C233" s="29"/>
      <c r="D233" s="34"/>
      <c r="E233" s="34"/>
      <c r="F233" s="34"/>
      <c r="G233" s="60"/>
      <c r="H233" s="60"/>
      <c r="I233" s="29"/>
      <c r="J233" s="29"/>
      <c r="K233" s="29"/>
      <c r="L233" s="29"/>
      <c r="M233" s="34"/>
      <c r="N233" s="29"/>
      <c r="O233" s="29"/>
      <c r="P233" s="29"/>
      <c r="Q233" s="29"/>
      <c r="R233" s="29"/>
      <c r="S233" s="29"/>
      <c r="T233" s="1"/>
      <c r="U233" s="34"/>
      <c r="V233" s="34"/>
    </row>
    <row x14ac:dyDescent="0.25" r="234" customHeight="1" ht="15.75">
      <c r="A234" s="1"/>
      <c r="B234" s="29"/>
      <c r="C234" s="29"/>
      <c r="D234" s="34"/>
      <c r="E234" s="34"/>
      <c r="F234" s="34"/>
      <c r="G234" s="60"/>
      <c r="H234" s="60"/>
      <c r="I234" s="29"/>
      <c r="J234" s="29"/>
      <c r="K234" s="29"/>
      <c r="L234" s="29"/>
      <c r="M234" s="34"/>
      <c r="N234" s="29"/>
      <c r="O234" s="29"/>
      <c r="P234" s="29"/>
      <c r="Q234" s="29"/>
      <c r="R234" s="29"/>
      <c r="S234" s="29"/>
      <c r="T234" s="1"/>
      <c r="U234" s="34"/>
      <c r="V234" s="34"/>
    </row>
    <row x14ac:dyDescent="0.25" r="235" customHeight="1" ht="15.75">
      <c r="A235" s="1"/>
      <c r="B235" s="29"/>
      <c r="C235" s="29"/>
      <c r="D235" s="34"/>
      <c r="E235" s="34"/>
      <c r="F235" s="34"/>
      <c r="G235" s="60"/>
      <c r="H235" s="60"/>
      <c r="I235" s="29"/>
      <c r="J235" s="29"/>
      <c r="K235" s="29"/>
      <c r="L235" s="29"/>
      <c r="M235" s="34"/>
      <c r="N235" s="29"/>
      <c r="O235" s="29"/>
      <c r="P235" s="29"/>
      <c r="Q235" s="29"/>
      <c r="R235" s="29"/>
      <c r="S235" s="29"/>
      <c r="T235" s="1"/>
      <c r="U235" s="34"/>
      <c r="V235" s="34"/>
    </row>
    <row x14ac:dyDescent="0.25" r="236" customHeight="1" ht="15.75">
      <c r="A236" s="1"/>
      <c r="B236" s="29"/>
      <c r="C236" s="29"/>
      <c r="D236" s="34"/>
      <c r="E236" s="34"/>
      <c r="F236" s="34"/>
      <c r="G236" s="60"/>
      <c r="H236" s="60"/>
      <c r="I236" s="29"/>
      <c r="J236" s="29"/>
      <c r="K236" s="29"/>
      <c r="L236" s="29"/>
      <c r="M236" s="34"/>
      <c r="N236" s="29"/>
      <c r="O236" s="29"/>
      <c r="P236" s="29"/>
      <c r="Q236" s="29"/>
      <c r="R236" s="29"/>
      <c r="S236" s="29"/>
      <c r="T236" s="1"/>
      <c r="U236" s="34"/>
      <c r="V236" s="34"/>
    </row>
    <row x14ac:dyDescent="0.25" r="237" customHeight="1" ht="15.75">
      <c r="A237" s="1"/>
      <c r="B237" s="29"/>
      <c r="C237" s="29"/>
      <c r="D237" s="34"/>
      <c r="E237" s="34"/>
      <c r="F237" s="34"/>
      <c r="G237" s="60"/>
      <c r="H237" s="60"/>
      <c r="I237" s="29"/>
      <c r="J237" s="29"/>
      <c r="K237" s="29"/>
      <c r="L237" s="29"/>
      <c r="M237" s="34"/>
      <c r="N237" s="29"/>
      <c r="O237" s="29"/>
      <c r="P237" s="29"/>
      <c r="Q237" s="29"/>
      <c r="R237" s="29"/>
      <c r="S237" s="29"/>
      <c r="T237" s="1"/>
      <c r="U237" s="34"/>
      <c r="V237" s="34"/>
    </row>
    <row x14ac:dyDescent="0.25" r="238" customHeight="1" ht="15.75">
      <c r="A238" s="1"/>
      <c r="B238" s="29"/>
      <c r="C238" s="29"/>
      <c r="D238" s="34"/>
      <c r="E238" s="34"/>
      <c r="F238" s="34"/>
      <c r="G238" s="60"/>
      <c r="H238" s="60"/>
      <c r="I238" s="29"/>
      <c r="J238" s="29"/>
      <c r="K238" s="29"/>
      <c r="L238" s="29"/>
      <c r="M238" s="34"/>
      <c r="N238" s="29"/>
      <c r="O238" s="29"/>
      <c r="P238" s="29"/>
      <c r="Q238" s="29"/>
      <c r="R238" s="29"/>
      <c r="S238" s="29"/>
      <c r="T238" s="1"/>
      <c r="U238" s="34"/>
      <c r="V238" s="34"/>
    </row>
    <row x14ac:dyDescent="0.25" r="239" customHeight="1" ht="15.75">
      <c r="A239" s="1"/>
      <c r="B239" s="29"/>
      <c r="C239" s="29"/>
      <c r="D239" s="34"/>
      <c r="E239" s="34"/>
      <c r="F239" s="34"/>
      <c r="G239" s="60"/>
      <c r="H239" s="60"/>
      <c r="I239" s="29"/>
      <c r="J239" s="29"/>
      <c r="K239" s="29"/>
      <c r="L239" s="29"/>
      <c r="M239" s="34"/>
      <c r="N239" s="29"/>
      <c r="O239" s="29"/>
      <c r="P239" s="29"/>
      <c r="Q239" s="29"/>
      <c r="R239" s="29"/>
      <c r="S239" s="29"/>
      <c r="T239" s="1"/>
      <c r="U239" s="34"/>
      <c r="V239" s="34"/>
    </row>
    <row x14ac:dyDescent="0.25" r="240" customHeight="1" ht="15.75">
      <c r="A240" s="1"/>
      <c r="B240" s="29"/>
      <c r="C240" s="29"/>
      <c r="D240" s="34"/>
      <c r="E240" s="34"/>
      <c r="F240" s="34"/>
      <c r="G240" s="60"/>
      <c r="H240" s="60"/>
      <c r="I240" s="29"/>
      <c r="J240" s="29"/>
      <c r="K240" s="29"/>
      <c r="L240" s="29"/>
      <c r="M240" s="34"/>
      <c r="N240" s="29"/>
      <c r="O240" s="29"/>
      <c r="P240" s="29"/>
      <c r="Q240" s="29"/>
      <c r="R240" s="29"/>
      <c r="S240" s="29"/>
      <c r="T240" s="1"/>
      <c r="U240" s="34"/>
      <c r="V240" s="34"/>
    </row>
    <row x14ac:dyDescent="0.25" r="241" customHeight="1" ht="15.75">
      <c r="A241" s="1"/>
      <c r="B241" s="29"/>
      <c r="C241" s="29"/>
      <c r="D241" s="34"/>
      <c r="E241" s="34"/>
      <c r="F241" s="34"/>
      <c r="G241" s="60"/>
      <c r="H241" s="60"/>
      <c r="I241" s="29"/>
      <c r="J241" s="29"/>
      <c r="K241" s="29"/>
      <c r="L241" s="29"/>
      <c r="M241" s="34"/>
      <c r="N241" s="29"/>
      <c r="O241" s="29"/>
      <c r="P241" s="29"/>
      <c r="Q241" s="29"/>
      <c r="R241" s="29"/>
      <c r="S241" s="29"/>
      <c r="T241" s="1"/>
      <c r="U241" s="34"/>
      <c r="V241" s="34"/>
    </row>
    <row x14ac:dyDescent="0.25" r="242" customHeight="1" ht="15.75">
      <c r="A242" s="1"/>
      <c r="B242" s="29"/>
      <c r="C242" s="29"/>
      <c r="D242" s="34"/>
      <c r="E242" s="34"/>
      <c r="F242" s="34"/>
      <c r="G242" s="60"/>
      <c r="H242" s="60"/>
      <c r="I242" s="29"/>
      <c r="J242" s="29"/>
      <c r="K242" s="29"/>
      <c r="L242" s="29"/>
      <c r="M242" s="34"/>
      <c r="N242" s="29"/>
      <c r="O242" s="29"/>
      <c r="P242" s="29"/>
      <c r="Q242" s="29"/>
      <c r="R242" s="29"/>
      <c r="S242" s="29"/>
      <c r="T242" s="1"/>
      <c r="U242" s="34"/>
      <c r="V242" s="34"/>
    </row>
    <row x14ac:dyDescent="0.25" r="243" customHeight="1" ht="15.75">
      <c r="A243" s="1"/>
      <c r="B243" s="29"/>
      <c r="C243" s="29"/>
      <c r="D243" s="34"/>
      <c r="E243" s="34"/>
      <c r="F243" s="34"/>
      <c r="G243" s="60"/>
      <c r="H243" s="60"/>
      <c r="I243" s="29"/>
      <c r="J243" s="29"/>
      <c r="K243" s="29"/>
      <c r="L243" s="29"/>
      <c r="M243" s="34"/>
      <c r="N243" s="29"/>
      <c r="O243" s="29"/>
      <c r="P243" s="29"/>
      <c r="Q243" s="29"/>
      <c r="R243" s="29"/>
      <c r="S243" s="29"/>
      <c r="T243" s="1"/>
      <c r="U243" s="34"/>
      <c r="V243" s="34"/>
    </row>
    <row x14ac:dyDescent="0.25" r="244" customHeight="1" ht="15.75">
      <c r="A244" s="1"/>
      <c r="B244" s="29"/>
      <c r="C244" s="29"/>
      <c r="D244" s="34"/>
      <c r="E244" s="34"/>
      <c r="F244" s="34"/>
      <c r="G244" s="60"/>
      <c r="H244" s="60"/>
      <c r="I244" s="29"/>
      <c r="J244" s="29"/>
      <c r="K244" s="29"/>
      <c r="L244" s="29"/>
      <c r="M244" s="34"/>
      <c r="N244" s="29"/>
      <c r="O244" s="29"/>
      <c r="P244" s="29"/>
      <c r="Q244" s="29"/>
      <c r="R244" s="29"/>
      <c r="S244" s="29"/>
      <c r="T244" s="1"/>
      <c r="U244" s="34"/>
      <c r="V244" s="34"/>
    </row>
    <row x14ac:dyDescent="0.25" r="245" customHeight="1" ht="15.75">
      <c r="A245" s="1"/>
      <c r="B245" s="29"/>
      <c r="C245" s="29"/>
      <c r="D245" s="34"/>
      <c r="E245" s="34"/>
      <c r="F245" s="34"/>
      <c r="G245" s="60"/>
      <c r="H245" s="60"/>
      <c r="I245" s="29"/>
      <c r="J245" s="29"/>
      <c r="K245" s="29"/>
      <c r="L245" s="29"/>
      <c r="M245" s="34"/>
      <c r="N245" s="29"/>
      <c r="O245" s="29"/>
      <c r="P245" s="29"/>
      <c r="Q245" s="29"/>
      <c r="R245" s="29"/>
      <c r="S245" s="29"/>
      <c r="T245" s="1"/>
      <c r="U245" s="34"/>
      <c r="V245" s="34"/>
    </row>
    <row x14ac:dyDescent="0.25" r="246" customHeight="1" ht="15.75">
      <c r="A246" s="1"/>
      <c r="B246" s="29"/>
      <c r="C246" s="29"/>
      <c r="D246" s="34"/>
      <c r="E246" s="34"/>
      <c r="F246" s="34"/>
      <c r="G246" s="60"/>
      <c r="H246" s="60"/>
      <c r="I246" s="29"/>
      <c r="J246" s="29"/>
      <c r="K246" s="29"/>
      <c r="L246" s="29"/>
      <c r="M246" s="34"/>
      <c r="N246" s="29"/>
      <c r="O246" s="29"/>
      <c r="P246" s="29"/>
      <c r="Q246" s="29"/>
      <c r="R246" s="29"/>
      <c r="S246" s="29"/>
      <c r="T246" s="1"/>
      <c r="U246" s="34"/>
      <c r="V246" s="34"/>
    </row>
    <row x14ac:dyDescent="0.25" r="247" customHeight="1" ht="15.75">
      <c r="A247" s="1"/>
      <c r="B247" s="29"/>
      <c r="C247" s="29"/>
      <c r="D247" s="34"/>
      <c r="E247" s="34"/>
      <c r="F247" s="34"/>
      <c r="G247" s="60"/>
      <c r="H247" s="60"/>
      <c r="I247" s="29"/>
      <c r="J247" s="29"/>
      <c r="K247" s="29"/>
      <c r="L247" s="29"/>
      <c r="M247" s="34"/>
      <c r="N247" s="29"/>
      <c r="O247" s="29"/>
      <c r="P247" s="29"/>
      <c r="Q247" s="29"/>
      <c r="R247" s="29"/>
      <c r="S247" s="29"/>
      <c r="T247" s="1"/>
      <c r="U247" s="34"/>
      <c r="V247" s="34"/>
    </row>
    <row x14ac:dyDescent="0.25" r="248" customHeight="1" ht="15.75">
      <c r="A248" s="1"/>
      <c r="B248" s="29"/>
      <c r="C248" s="29"/>
      <c r="D248" s="34"/>
      <c r="E248" s="34"/>
      <c r="F248" s="34"/>
      <c r="G248" s="60"/>
      <c r="H248" s="60"/>
      <c r="I248" s="29"/>
      <c r="J248" s="29"/>
      <c r="K248" s="29"/>
      <c r="L248" s="29"/>
      <c r="M248" s="34"/>
      <c r="N248" s="29"/>
      <c r="O248" s="29"/>
      <c r="P248" s="29"/>
      <c r="Q248" s="29"/>
      <c r="R248" s="29"/>
      <c r="S248" s="29"/>
      <c r="T248" s="1"/>
      <c r="U248" s="34"/>
      <c r="V248" s="34"/>
    </row>
    <row x14ac:dyDescent="0.25" r="249" customHeight="1" ht="15.75">
      <c r="A249" s="1"/>
      <c r="B249" s="29"/>
      <c r="C249" s="29"/>
      <c r="D249" s="34"/>
      <c r="E249" s="34"/>
      <c r="F249" s="34"/>
      <c r="G249" s="60"/>
      <c r="H249" s="60"/>
      <c r="I249" s="29"/>
      <c r="J249" s="29"/>
      <c r="K249" s="29"/>
      <c r="L249" s="29"/>
      <c r="M249" s="34"/>
      <c r="N249" s="29"/>
      <c r="O249" s="29"/>
      <c r="P249" s="29"/>
      <c r="Q249" s="29"/>
      <c r="R249" s="29"/>
      <c r="S249" s="29"/>
      <c r="T249" s="1"/>
      <c r="U249" s="34"/>
      <c r="V249" s="34"/>
    </row>
    <row x14ac:dyDescent="0.25" r="250" customHeight="1" ht="15.75">
      <c r="A250" s="1"/>
      <c r="B250" s="29"/>
      <c r="C250" s="29"/>
      <c r="D250" s="34"/>
      <c r="E250" s="34"/>
      <c r="F250" s="34"/>
      <c r="G250" s="60"/>
      <c r="H250" s="60"/>
      <c r="I250" s="29"/>
      <c r="J250" s="29"/>
      <c r="K250" s="29"/>
      <c r="L250" s="29"/>
      <c r="M250" s="34"/>
      <c r="N250" s="29"/>
      <c r="O250" s="29"/>
      <c r="P250" s="29"/>
      <c r="Q250" s="29"/>
      <c r="R250" s="29"/>
      <c r="S250" s="29"/>
      <c r="T250" s="1"/>
      <c r="U250" s="34"/>
      <c r="V250" s="34"/>
    </row>
    <row x14ac:dyDescent="0.25" r="251" customHeight="1" ht="15.75">
      <c r="A251" s="1"/>
      <c r="B251" s="29"/>
      <c r="C251" s="29"/>
      <c r="D251" s="34"/>
      <c r="E251" s="34"/>
      <c r="F251" s="34"/>
      <c r="G251" s="60"/>
      <c r="H251" s="60"/>
      <c r="I251" s="29"/>
      <c r="J251" s="29"/>
      <c r="K251" s="29"/>
      <c r="L251" s="29"/>
      <c r="M251" s="34"/>
      <c r="N251" s="29"/>
      <c r="O251" s="29"/>
      <c r="P251" s="29"/>
      <c r="Q251" s="29"/>
      <c r="R251" s="29"/>
      <c r="S251" s="29"/>
      <c r="T251" s="1"/>
      <c r="U251" s="34"/>
      <c r="V251" s="34"/>
    </row>
    <row x14ac:dyDescent="0.25" r="252" customHeight="1" ht="15.75">
      <c r="A252" s="1"/>
      <c r="B252" s="29"/>
      <c r="C252" s="29"/>
      <c r="D252" s="34"/>
      <c r="E252" s="34"/>
      <c r="F252" s="34"/>
      <c r="G252" s="60"/>
      <c r="H252" s="60"/>
      <c r="I252" s="29"/>
      <c r="J252" s="29"/>
      <c r="K252" s="29"/>
      <c r="L252" s="29"/>
      <c r="M252" s="34"/>
      <c r="N252" s="29"/>
      <c r="O252" s="29"/>
      <c r="P252" s="29"/>
      <c r="Q252" s="29"/>
      <c r="R252" s="29"/>
      <c r="S252" s="29"/>
      <c r="T252" s="1"/>
      <c r="U252" s="34"/>
      <c r="V252" s="34"/>
    </row>
    <row x14ac:dyDescent="0.25" r="253" customHeight="1" ht="15.75">
      <c r="A253" s="1"/>
      <c r="B253" s="29"/>
      <c r="C253" s="29"/>
      <c r="D253" s="34"/>
      <c r="E253" s="34"/>
      <c r="F253" s="34"/>
      <c r="G253" s="60"/>
      <c r="H253" s="60"/>
      <c r="I253" s="29"/>
      <c r="J253" s="29"/>
      <c r="K253" s="29"/>
      <c r="L253" s="29"/>
      <c r="M253" s="34"/>
      <c r="N253" s="29"/>
      <c r="O253" s="29"/>
      <c r="P253" s="29"/>
      <c r="Q253" s="29"/>
      <c r="R253" s="29"/>
      <c r="S253" s="29"/>
      <c r="T253" s="1"/>
      <c r="U253" s="34"/>
      <c r="V253" s="34"/>
    </row>
    <row x14ac:dyDescent="0.25" r="254" customHeight="1" ht="15.75">
      <c r="A254" s="1"/>
      <c r="B254" s="29"/>
      <c r="C254" s="29"/>
      <c r="D254" s="34"/>
      <c r="E254" s="34"/>
      <c r="F254" s="34"/>
      <c r="G254" s="60"/>
      <c r="H254" s="60"/>
      <c r="I254" s="29"/>
      <c r="J254" s="29"/>
      <c r="K254" s="29"/>
      <c r="L254" s="29"/>
      <c r="M254" s="34"/>
      <c r="N254" s="29"/>
      <c r="O254" s="29"/>
      <c r="P254" s="29"/>
      <c r="Q254" s="29"/>
      <c r="R254" s="29"/>
      <c r="S254" s="29"/>
      <c r="T254" s="1"/>
      <c r="U254" s="34"/>
      <c r="V254" s="34"/>
    </row>
    <row x14ac:dyDescent="0.25" r="255" customHeight="1" ht="15.75">
      <c r="A255" s="1"/>
      <c r="B255" s="29"/>
      <c r="C255" s="29"/>
      <c r="D255" s="34"/>
      <c r="E255" s="34"/>
      <c r="F255" s="34"/>
      <c r="G255" s="60"/>
      <c r="H255" s="60"/>
      <c r="I255" s="29"/>
      <c r="J255" s="29"/>
      <c r="K255" s="29"/>
      <c r="L255" s="29"/>
      <c r="M255" s="34"/>
      <c r="N255" s="29"/>
      <c r="O255" s="29"/>
      <c r="P255" s="29"/>
      <c r="Q255" s="29"/>
      <c r="R255" s="29"/>
      <c r="S255" s="29"/>
      <c r="T255" s="1"/>
      <c r="U255" s="34"/>
      <c r="V255" s="34"/>
    </row>
    <row x14ac:dyDescent="0.25" r="256" customHeight="1" ht="15.75">
      <c r="A256" s="1"/>
      <c r="B256" s="29"/>
      <c r="C256" s="29"/>
      <c r="D256" s="34"/>
      <c r="E256" s="34"/>
      <c r="F256" s="34"/>
      <c r="G256" s="60"/>
      <c r="H256" s="60"/>
      <c r="I256" s="29"/>
      <c r="J256" s="29"/>
      <c r="K256" s="29"/>
      <c r="L256" s="29"/>
      <c r="M256" s="34"/>
      <c r="N256" s="29"/>
      <c r="O256" s="29"/>
      <c r="P256" s="29"/>
      <c r="Q256" s="29"/>
      <c r="R256" s="29"/>
      <c r="S256" s="29"/>
      <c r="T256" s="1"/>
      <c r="U256" s="34"/>
      <c r="V256" s="34"/>
    </row>
    <row x14ac:dyDescent="0.25" r="257" customHeight="1" ht="15.75">
      <c r="A257" s="1"/>
      <c r="B257" s="29"/>
      <c r="C257" s="29"/>
      <c r="D257" s="34"/>
      <c r="E257" s="34"/>
      <c r="F257" s="34"/>
      <c r="G257" s="60"/>
      <c r="H257" s="60"/>
      <c r="I257" s="29"/>
      <c r="J257" s="29"/>
      <c r="K257" s="29"/>
      <c r="L257" s="29"/>
      <c r="M257" s="34"/>
      <c r="N257" s="29"/>
      <c r="O257" s="29"/>
      <c r="P257" s="29"/>
      <c r="Q257" s="29"/>
      <c r="R257" s="29"/>
      <c r="S257" s="29"/>
      <c r="T257" s="1"/>
      <c r="U257" s="34"/>
      <c r="V257" s="34"/>
    </row>
    <row x14ac:dyDescent="0.25" r="258" customHeight="1" ht="15.75">
      <c r="A258" s="1"/>
      <c r="B258" s="29"/>
      <c r="C258" s="29"/>
      <c r="D258" s="34"/>
      <c r="E258" s="34"/>
      <c r="F258" s="34"/>
      <c r="G258" s="60"/>
      <c r="H258" s="60"/>
      <c r="I258" s="29"/>
      <c r="J258" s="29"/>
      <c r="K258" s="29"/>
      <c r="L258" s="29"/>
      <c r="M258" s="34"/>
      <c r="N258" s="29"/>
      <c r="O258" s="29"/>
      <c r="P258" s="29"/>
      <c r="Q258" s="29"/>
      <c r="R258" s="29"/>
      <c r="S258" s="29"/>
      <c r="T258" s="1"/>
      <c r="U258" s="34"/>
      <c r="V258" s="34"/>
    </row>
    <row x14ac:dyDescent="0.25" r="259" customHeight="1" ht="15.75">
      <c r="A259" s="1"/>
      <c r="B259" s="29"/>
      <c r="C259" s="29"/>
      <c r="D259" s="34"/>
      <c r="E259" s="34"/>
      <c r="F259" s="34"/>
      <c r="G259" s="60"/>
      <c r="H259" s="60"/>
      <c r="I259" s="29"/>
      <c r="J259" s="29"/>
      <c r="K259" s="29"/>
      <c r="L259" s="29"/>
      <c r="M259" s="34"/>
      <c r="N259" s="29"/>
      <c r="O259" s="29"/>
      <c r="P259" s="29"/>
      <c r="Q259" s="29"/>
      <c r="R259" s="29"/>
      <c r="S259" s="29"/>
      <c r="T259" s="1"/>
      <c r="U259" s="34"/>
      <c r="V259" s="34"/>
    </row>
    <row x14ac:dyDescent="0.25" r="260" customHeight="1" ht="15.75">
      <c r="A260" s="1"/>
      <c r="B260" s="29"/>
      <c r="C260" s="29"/>
      <c r="D260" s="34"/>
      <c r="E260" s="34"/>
      <c r="F260" s="34"/>
      <c r="G260" s="60"/>
      <c r="H260" s="60"/>
      <c r="I260" s="29"/>
      <c r="J260" s="29"/>
      <c r="K260" s="29"/>
      <c r="L260" s="29"/>
      <c r="M260" s="34"/>
      <c r="N260" s="29"/>
      <c r="O260" s="29"/>
      <c r="P260" s="29"/>
      <c r="Q260" s="29"/>
      <c r="R260" s="29"/>
      <c r="S260" s="29"/>
      <c r="T260" s="1"/>
      <c r="U260" s="34"/>
      <c r="V260" s="34"/>
    </row>
    <row x14ac:dyDescent="0.25" r="261" customHeight="1" ht="15.75">
      <c r="A261" s="1"/>
      <c r="B261" s="29"/>
      <c r="C261" s="29"/>
      <c r="D261" s="34"/>
      <c r="E261" s="34"/>
      <c r="F261" s="34"/>
      <c r="G261" s="60"/>
      <c r="H261" s="60"/>
      <c r="I261" s="29"/>
      <c r="J261" s="29"/>
      <c r="K261" s="29"/>
      <c r="L261" s="29"/>
      <c r="M261" s="34"/>
      <c r="N261" s="29"/>
      <c r="O261" s="29"/>
      <c r="P261" s="29"/>
      <c r="Q261" s="29"/>
      <c r="R261" s="29"/>
      <c r="S261" s="29"/>
      <c r="T261" s="1"/>
      <c r="U261" s="34"/>
      <c r="V261" s="34"/>
    </row>
    <row x14ac:dyDescent="0.25" r="262" customHeight="1" ht="15.75">
      <c r="A262" s="1"/>
      <c r="B262" s="29"/>
      <c r="C262" s="29"/>
      <c r="D262" s="34"/>
      <c r="E262" s="34"/>
      <c r="F262" s="34"/>
      <c r="G262" s="60"/>
      <c r="H262" s="60"/>
      <c r="I262" s="29"/>
      <c r="J262" s="29"/>
      <c r="K262" s="29"/>
      <c r="L262" s="29"/>
      <c r="M262" s="34"/>
      <c r="N262" s="29"/>
      <c r="O262" s="29"/>
      <c r="P262" s="29"/>
      <c r="Q262" s="29"/>
      <c r="R262" s="29"/>
      <c r="S262" s="29"/>
      <c r="T262" s="1"/>
      <c r="U262" s="34"/>
      <c r="V262" s="34"/>
    </row>
    <row x14ac:dyDescent="0.25" r="263" customHeight="1" ht="15.75">
      <c r="A263" s="1"/>
      <c r="B263" s="29"/>
      <c r="C263" s="29"/>
      <c r="D263" s="34"/>
      <c r="E263" s="34"/>
      <c r="F263" s="34"/>
      <c r="G263" s="60"/>
      <c r="H263" s="60"/>
      <c r="I263" s="29"/>
      <c r="J263" s="29"/>
      <c r="K263" s="29"/>
      <c r="L263" s="29"/>
      <c r="M263" s="34"/>
      <c r="N263" s="29"/>
      <c r="O263" s="29"/>
      <c r="P263" s="29"/>
      <c r="Q263" s="29"/>
      <c r="R263" s="29"/>
      <c r="S263" s="29"/>
      <c r="T263" s="1"/>
      <c r="U263" s="34"/>
      <c r="V263" s="34"/>
    </row>
    <row x14ac:dyDescent="0.25" r="264" customHeight="1" ht="15.75">
      <c r="A264" s="1"/>
      <c r="B264" s="29"/>
      <c r="C264" s="29"/>
      <c r="D264" s="34"/>
      <c r="E264" s="34"/>
      <c r="F264" s="34"/>
      <c r="G264" s="60"/>
      <c r="H264" s="60"/>
      <c r="I264" s="29"/>
      <c r="J264" s="29"/>
      <c r="K264" s="29"/>
      <c r="L264" s="29"/>
      <c r="M264" s="34"/>
      <c r="N264" s="29"/>
      <c r="O264" s="29"/>
      <c r="P264" s="29"/>
      <c r="Q264" s="29"/>
      <c r="R264" s="29"/>
      <c r="S264" s="29"/>
      <c r="T264" s="1"/>
      <c r="U264" s="34"/>
      <c r="V264" s="34"/>
    </row>
    <row x14ac:dyDescent="0.25" r="265" customHeight="1" ht="15.75">
      <c r="A265" s="1"/>
      <c r="B265" s="29"/>
      <c r="C265" s="29"/>
      <c r="D265" s="34"/>
      <c r="E265" s="34"/>
      <c r="F265" s="34"/>
      <c r="G265" s="60"/>
      <c r="H265" s="60"/>
      <c r="I265" s="29"/>
      <c r="J265" s="29"/>
      <c r="K265" s="29"/>
      <c r="L265" s="29"/>
      <c r="M265" s="34"/>
      <c r="N265" s="29"/>
      <c r="O265" s="29"/>
      <c r="P265" s="29"/>
      <c r="Q265" s="29"/>
      <c r="R265" s="29"/>
      <c r="S265" s="29"/>
      <c r="T265" s="1"/>
      <c r="U265" s="34"/>
      <c r="V265" s="34"/>
    </row>
    <row x14ac:dyDescent="0.25" r="266" customHeight="1" ht="15.75">
      <c r="A266" s="1"/>
      <c r="B266" s="29"/>
      <c r="C266" s="29"/>
      <c r="D266" s="34"/>
      <c r="E266" s="34"/>
      <c r="F266" s="34"/>
      <c r="G266" s="60"/>
      <c r="H266" s="60"/>
      <c r="I266" s="29"/>
      <c r="J266" s="29"/>
      <c r="K266" s="29"/>
      <c r="L266" s="29"/>
      <c r="M266" s="34"/>
      <c r="N266" s="29"/>
      <c r="O266" s="29"/>
      <c r="P266" s="29"/>
      <c r="Q266" s="29"/>
      <c r="R266" s="29"/>
      <c r="S266" s="29"/>
      <c r="T266" s="1"/>
      <c r="U266" s="34"/>
      <c r="V266" s="34"/>
    </row>
    <row x14ac:dyDescent="0.25" r="267" customHeight="1" ht="15.75">
      <c r="A267" s="1"/>
      <c r="B267" s="29"/>
      <c r="C267" s="29"/>
      <c r="D267" s="34"/>
      <c r="E267" s="34"/>
      <c r="F267" s="34"/>
      <c r="G267" s="60"/>
      <c r="H267" s="60"/>
      <c r="I267" s="29"/>
      <c r="J267" s="29"/>
      <c r="K267" s="29"/>
      <c r="L267" s="29"/>
      <c r="M267" s="34"/>
      <c r="N267" s="29"/>
      <c r="O267" s="29"/>
      <c r="P267" s="29"/>
      <c r="Q267" s="29"/>
      <c r="R267" s="29"/>
      <c r="S267" s="29"/>
      <c r="T267" s="1"/>
      <c r="U267" s="34"/>
      <c r="V267" s="34"/>
    </row>
    <row x14ac:dyDescent="0.25" r="268" customHeight="1" ht="15.75">
      <c r="A268" s="1"/>
      <c r="B268" s="29"/>
      <c r="C268" s="29"/>
      <c r="D268" s="34"/>
      <c r="E268" s="34"/>
      <c r="F268" s="34"/>
      <c r="G268" s="60"/>
      <c r="H268" s="60"/>
      <c r="I268" s="29"/>
      <c r="J268" s="29"/>
      <c r="K268" s="29"/>
      <c r="L268" s="29"/>
      <c r="M268" s="34"/>
      <c r="N268" s="29"/>
      <c r="O268" s="29"/>
      <c r="P268" s="29"/>
      <c r="Q268" s="29"/>
      <c r="R268" s="29"/>
      <c r="S268" s="29"/>
      <c r="T268" s="1"/>
      <c r="U268" s="34"/>
      <c r="V268" s="34"/>
    </row>
    <row x14ac:dyDescent="0.25" r="269" customHeight="1" ht="15.75">
      <c r="A269" s="1"/>
      <c r="B269" s="29"/>
      <c r="C269" s="29"/>
      <c r="D269" s="34"/>
      <c r="E269" s="34"/>
      <c r="F269" s="34"/>
      <c r="G269" s="60"/>
      <c r="H269" s="60"/>
      <c r="I269" s="29"/>
      <c r="J269" s="29"/>
      <c r="K269" s="29"/>
      <c r="L269" s="29"/>
      <c r="M269" s="34"/>
      <c r="N269" s="29"/>
      <c r="O269" s="29"/>
      <c r="P269" s="29"/>
      <c r="Q269" s="29"/>
      <c r="R269" s="29"/>
      <c r="S269" s="29"/>
      <c r="T269" s="1"/>
      <c r="U269" s="34"/>
      <c r="V269" s="34"/>
    </row>
    <row x14ac:dyDescent="0.25" r="270" customHeight="1" ht="15.75">
      <c r="A270" s="1"/>
      <c r="B270" s="29"/>
      <c r="C270" s="29"/>
      <c r="D270" s="34"/>
      <c r="E270" s="34"/>
      <c r="F270" s="34"/>
      <c r="G270" s="60"/>
      <c r="H270" s="60"/>
      <c r="I270" s="29"/>
      <c r="J270" s="29"/>
      <c r="K270" s="29"/>
      <c r="L270" s="29"/>
      <c r="M270" s="34"/>
      <c r="N270" s="29"/>
      <c r="O270" s="29"/>
      <c r="P270" s="29"/>
      <c r="Q270" s="29"/>
      <c r="R270" s="29"/>
      <c r="S270" s="29"/>
      <c r="T270" s="1"/>
      <c r="U270" s="34"/>
      <c r="V270" s="34"/>
    </row>
    <row x14ac:dyDescent="0.25" r="271" customHeight="1" ht="15.75">
      <c r="A271" s="1"/>
      <c r="B271" s="29"/>
      <c r="C271" s="29"/>
      <c r="D271" s="34"/>
      <c r="E271" s="34"/>
      <c r="F271" s="34"/>
      <c r="G271" s="60"/>
      <c r="H271" s="60"/>
      <c r="I271" s="29"/>
      <c r="J271" s="29"/>
      <c r="K271" s="29"/>
      <c r="L271" s="29"/>
      <c r="M271" s="34"/>
      <c r="N271" s="29"/>
      <c r="O271" s="29"/>
      <c r="P271" s="29"/>
      <c r="Q271" s="29"/>
      <c r="R271" s="29"/>
      <c r="S271" s="29"/>
      <c r="T271" s="1"/>
      <c r="U271" s="34"/>
      <c r="V271" s="34"/>
    </row>
    <row x14ac:dyDescent="0.25" r="272" customHeight="1" ht="15.75">
      <c r="A272" s="1"/>
      <c r="B272" s="29"/>
      <c r="C272" s="29"/>
      <c r="D272" s="34"/>
      <c r="E272" s="34"/>
      <c r="F272" s="34"/>
      <c r="G272" s="60"/>
      <c r="H272" s="60"/>
      <c r="I272" s="29"/>
      <c r="J272" s="29"/>
      <c r="K272" s="29"/>
      <c r="L272" s="29"/>
      <c r="M272" s="34"/>
      <c r="N272" s="29"/>
      <c r="O272" s="29"/>
      <c r="P272" s="29"/>
      <c r="Q272" s="29"/>
      <c r="R272" s="29"/>
      <c r="S272" s="29"/>
      <c r="T272" s="1"/>
      <c r="U272" s="34"/>
      <c r="V272" s="34"/>
    </row>
    <row x14ac:dyDescent="0.25" r="273" customHeight="1" ht="15.75">
      <c r="A273" s="1"/>
      <c r="B273" s="29"/>
      <c r="C273" s="29"/>
      <c r="D273" s="34"/>
      <c r="E273" s="34"/>
      <c r="F273" s="34"/>
      <c r="G273" s="60"/>
      <c r="H273" s="60"/>
      <c r="I273" s="29"/>
      <c r="J273" s="29"/>
      <c r="K273" s="29"/>
      <c r="L273" s="29"/>
      <c r="M273" s="34"/>
      <c r="N273" s="29"/>
      <c r="O273" s="29"/>
      <c r="P273" s="29"/>
      <c r="Q273" s="29"/>
      <c r="R273" s="29"/>
      <c r="S273" s="29"/>
      <c r="T273" s="1"/>
      <c r="U273" s="34"/>
      <c r="V273" s="34"/>
    </row>
    <row x14ac:dyDescent="0.25" r="274" customHeight="1" ht="15.75">
      <c r="A274" s="1"/>
      <c r="B274" s="29"/>
      <c r="C274" s="29"/>
      <c r="D274" s="34"/>
      <c r="E274" s="34"/>
      <c r="F274" s="34"/>
      <c r="G274" s="60"/>
      <c r="H274" s="60"/>
      <c r="I274" s="29"/>
      <c r="J274" s="29"/>
      <c r="K274" s="29"/>
      <c r="L274" s="29"/>
      <c r="M274" s="34"/>
      <c r="N274" s="29"/>
      <c r="O274" s="29"/>
      <c r="P274" s="29"/>
      <c r="Q274" s="29"/>
      <c r="R274" s="29"/>
      <c r="S274" s="29"/>
      <c r="T274" s="1"/>
      <c r="U274" s="34"/>
      <c r="V274" s="34"/>
    </row>
    <row x14ac:dyDescent="0.25" r="275" customHeight="1" ht="15.75">
      <c r="A275" s="1"/>
      <c r="B275" s="29"/>
      <c r="C275" s="29"/>
      <c r="D275" s="34"/>
      <c r="E275" s="34"/>
      <c r="F275" s="34"/>
      <c r="G275" s="60"/>
      <c r="H275" s="60"/>
      <c r="I275" s="29"/>
      <c r="J275" s="29"/>
      <c r="K275" s="29"/>
      <c r="L275" s="29"/>
      <c r="M275" s="34"/>
      <c r="N275" s="29"/>
      <c r="O275" s="29"/>
      <c r="P275" s="29"/>
      <c r="Q275" s="29"/>
      <c r="R275" s="29"/>
      <c r="S275" s="29"/>
      <c r="T275" s="1"/>
      <c r="U275" s="34"/>
      <c r="V275" s="34"/>
    </row>
    <row x14ac:dyDescent="0.25" r="276" customHeight="1" ht="15.75">
      <c r="A276" s="1"/>
      <c r="B276" s="29"/>
      <c r="C276" s="29"/>
      <c r="D276" s="34"/>
      <c r="E276" s="34"/>
      <c r="F276" s="34"/>
      <c r="G276" s="60"/>
      <c r="H276" s="60"/>
      <c r="I276" s="29"/>
      <c r="J276" s="29"/>
      <c r="K276" s="29"/>
      <c r="L276" s="29"/>
      <c r="M276" s="34"/>
      <c r="N276" s="29"/>
      <c r="O276" s="29"/>
      <c r="P276" s="29"/>
      <c r="Q276" s="29"/>
      <c r="R276" s="29"/>
      <c r="S276" s="29"/>
      <c r="T276" s="1"/>
      <c r="U276" s="34"/>
      <c r="V276" s="34"/>
    </row>
    <row x14ac:dyDescent="0.25" r="277" customHeight="1" ht="15.75">
      <c r="A277" s="1"/>
      <c r="B277" s="29"/>
      <c r="C277" s="29"/>
      <c r="D277" s="34"/>
      <c r="E277" s="34"/>
      <c r="F277" s="34"/>
      <c r="G277" s="60"/>
      <c r="H277" s="60"/>
      <c r="I277" s="29"/>
      <c r="J277" s="29"/>
      <c r="K277" s="29"/>
      <c r="L277" s="29"/>
      <c r="M277" s="34"/>
      <c r="N277" s="29"/>
      <c r="O277" s="29"/>
      <c r="P277" s="29"/>
      <c r="Q277" s="29"/>
      <c r="R277" s="29"/>
      <c r="S277" s="29"/>
      <c r="T277" s="1"/>
      <c r="U277" s="34"/>
      <c r="V277" s="34"/>
    </row>
    <row x14ac:dyDescent="0.25" r="278" customHeight="1" ht="15.75">
      <c r="A278" s="1"/>
      <c r="B278" s="29"/>
      <c r="C278" s="29"/>
      <c r="D278" s="34"/>
      <c r="E278" s="34"/>
      <c r="F278" s="34"/>
      <c r="G278" s="60"/>
      <c r="H278" s="60"/>
      <c r="I278" s="29"/>
      <c r="J278" s="29"/>
      <c r="K278" s="29"/>
      <c r="L278" s="29"/>
      <c r="M278" s="34"/>
      <c r="N278" s="29"/>
      <c r="O278" s="29"/>
      <c r="P278" s="29"/>
      <c r="Q278" s="29"/>
      <c r="R278" s="29"/>
      <c r="S278" s="29"/>
      <c r="T278" s="1"/>
      <c r="U278" s="34"/>
      <c r="V278" s="34"/>
    </row>
    <row x14ac:dyDescent="0.25" r="279" customHeight="1" ht="15.75">
      <c r="A279" s="1"/>
      <c r="B279" s="29"/>
      <c r="C279" s="29"/>
      <c r="D279" s="34"/>
      <c r="E279" s="34"/>
      <c r="F279" s="34"/>
      <c r="G279" s="60"/>
      <c r="H279" s="60"/>
      <c r="I279" s="29"/>
      <c r="J279" s="29"/>
      <c r="K279" s="29"/>
      <c r="L279" s="29"/>
      <c r="M279" s="34"/>
      <c r="N279" s="29"/>
      <c r="O279" s="29"/>
      <c r="P279" s="29"/>
      <c r="Q279" s="29"/>
      <c r="R279" s="29"/>
      <c r="S279" s="29"/>
      <c r="T279" s="1"/>
      <c r="U279" s="34"/>
      <c r="V279" s="34"/>
    </row>
    <row x14ac:dyDescent="0.25" r="280" customHeight="1" ht="15.75">
      <c r="A280" s="1"/>
      <c r="B280" s="29"/>
      <c r="C280" s="29"/>
      <c r="D280" s="34"/>
      <c r="E280" s="34"/>
      <c r="F280" s="34"/>
      <c r="G280" s="60"/>
      <c r="H280" s="60"/>
      <c r="I280" s="29"/>
      <c r="J280" s="29"/>
      <c r="K280" s="29"/>
      <c r="L280" s="29"/>
      <c r="M280" s="34"/>
      <c r="N280" s="29"/>
      <c r="O280" s="29"/>
      <c r="P280" s="29"/>
      <c r="Q280" s="29"/>
      <c r="R280" s="29"/>
      <c r="S280" s="29"/>
      <c r="T280" s="1"/>
      <c r="U280" s="34"/>
      <c r="V280" s="34"/>
    </row>
    <row x14ac:dyDescent="0.25" r="281" customHeight="1" ht="15.75">
      <c r="A281" s="1"/>
      <c r="B281" s="29"/>
      <c r="C281" s="29"/>
      <c r="D281" s="34"/>
      <c r="E281" s="34"/>
      <c r="F281" s="34"/>
      <c r="G281" s="60"/>
      <c r="H281" s="60"/>
      <c r="I281" s="29"/>
      <c r="J281" s="29"/>
      <c r="K281" s="29"/>
      <c r="L281" s="29"/>
      <c r="M281" s="34"/>
      <c r="N281" s="29"/>
      <c r="O281" s="29"/>
      <c r="P281" s="29"/>
      <c r="Q281" s="29"/>
      <c r="R281" s="29"/>
      <c r="S281" s="29"/>
      <c r="T281" s="1"/>
      <c r="U281" s="34"/>
      <c r="V281" s="34"/>
    </row>
    <row x14ac:dyDescent="0.25" r="282" customHeight="1" ht="15.75">
      <c r="A282" s="1"/>
      <c r="B282" s="29"/>
      <c r="C282" s="29"/>
      <c r="D282" s="34"/>
      <c r="E282" s="34"/>
      <c r="F282" s="34"/>
      <c r="G282" s="60"/>
      <c r="H282" s="60"/>
      <c r="I282" s="29"/>
      <c r="J282" s="29"/>
      <c r="K282" s="29"/>
      <c r="L282" s="29"/>
      <c r="M282" s="34"/>
      <c r="N282" s="29"/>
      <c r="O282" s="29"/>
      <c r="P282" s="29"/>
      <c r="Q282" s="29"/>
      <c r="R282" s="29"/>
      <c r="S282" s="29"/>
      <c r="T282" s="1"/>
      <c r="U282" s="34"/>
      <c r="V282" s="34"/>
    </row>
    <row x14ac:dyDescent="0.25" r="283" customHeight="1" ht="15.75">
      <c r="A283" s="1"/>
      <c r="B283" s="29"/>
      <c r="C283" s="29"/>
      <c r="D283" s="34"/>
      <c r="E283" s="34"/>
      <c r="F283" s="34"/>
      <c r="G283" s="60"/>
      <c r="H283" s="60"/>
      <c r="I283" s="29"/>
      <c r="J283" s="29"/>
      <c r="K283" s="29"/>
      <c r="L283" s="29"/>
      <c r="M283" s="34"/>
      <c r="N283" s="29"/>
      <c r="O283" s="29"/>
      <c r="P283" s="29"/>
      <c r="Q283" s="29"/>
      <c r="R283" s="29"/>
      <c r="S283" s="29"/>
      <c r="T283" s="1"/>
      <c r="U283" s="34"/>
      <c r="V283" s="34"/>
    </row>
    <row x14ac:dyDescent="0.25" r="284" customHeight="1" ht="15.75">
      <c r="A284" s="1"/>
      <c r="B284" s="29"/>
      <c r="C284" s="29"/>
      <c r="D284" s="34"/>
      <c r="E284" s="34"/>
      <c r="F284" s="34"/>
      <c r="G284" s="60"/>
      <c r="H284" s="60"/>
      <c r="I284" s="29"/>
      <c r="J284" s="29"/>
      <c r="K284" s="29"/>
      <c r="L284" s="29"/>
      <c r="M284" s="34"/>
      <c r="N284" s="29"/>
      <c r="O284" s="29"/>
      <c r="P284" s="29"/>
      <c r="Q284" s="29"/>
      <c r="R284" s="29"/>
      <c r="S284" s="29"/>
      <c r="T284" s="1"/>
      <c r="U284" s="34"/>
      <c r="V284" s="34"/>
    </row>
    <row x14ac:dyDescent="0.25" r="285" customHeight="1" ht="15.75">
      <c r="A285" s="1"/>
      <c r="B285" s="29"/>
      <c r="C285" s="29"/>
      <c r="D285" s="34"/>
      <c r="E285" s="34"/>
      <c r="F285" s="34"/>
      <c r="G285" s="60"/>
      <c r="H285" s="60"/>
      <c r="I285" s="29"/>
      <c r="J285" s="29"/>
      <c r="K285" s="29"/>
      <c r="L285" s="29"/>
      <c r="M285" s="34"/>
      <c r="N285" s="29"/>
      <c r="O285" s="29"/>
      <c r="P285" s="29"/>
      <c r="Q285" s="29"/>
      <c r="R285" s="29"/>
      <c r="S285" s="29"/>
      <c r="T285" s="1"/>
      <c r="U285" s="34"/>
      <c r="V285" s="34"/>
    </row>
    <row x14ac:dyDescent="0.25" r="286" customHeight="1" ht="15.75">
      <c r="A286" s="1"/>
      <c r="B286" s="29"/>
      <c r="C286" s="29"/>
      <c r="D286" s="34"/>
      <c r="E286" s="34"/>
      <c r="F286" s="34"/>
      <c r="G286" s="60"/>
      <c r="H286" s="60"/>
      <c r="I286" s="29"/>
      <c r="J286" s="29"/>
      <c r="K286" s="29"/>
      <c r="L286" s="29"/>
      <c r="M286" s="34"/>
      <c r="N286" s="29"/>
      <c r="O286" s="29"/>
      <c r="P286" s="29"/>
      <c r="Q286" s="29"/>
      <c r="R286" s="29"/>
      <c r="S286" s="29"/>
      <c r="T286" s="1"/>
      <c r="U286" s="34"/>
      <c r="V286" s="34"/>
    </row>
    <row x14ac:dyDescent="0.25" r="287" customHeight="1" ht="15.75">
      <c r="A287" s="1"/>
      <c r="B287" s="29"/>
      <c r="C287" s="29"/>
      <c r="D287" s="34"/>
      <c r="E287" s="34"/>
      <c r="F287" s="34"/>
      <c r="G287" s="60"/>
      <c r="H287" s="60"/>
      <c r="I287" s="29"/>
      <c r="J287" s="29"/>
      <c r="K287" s="29"/>
      <c r="L287" s="29"/>
      <c r="M287" s="34"/>
      <c r="N287" s="29"/>
      <c r="O287" s="29"/>
      <c r="P287" s="29"/>
      <c r="Q287" s="29"/>
      <c r="R287" s="29"/>
      <c r="S287" s="29"/>
      <c r="T287" s="1"/>
      <c r="U287" s="34"/>
      <c r="V287" s="34"/>
    </row>
    <row x14ac:dyDescent="0.25" r="288" customHeight="1" ht="15.75">
      <c r="A288" s="1"/>
      <c r="B288" s="29"/>
      <c r="C288" s="29"/>
      <c r="D288" s="34"/>
      <c r="E288" s="34"/>
      <c r="F288" s="34"/>
      <c r="G288" s="60"/>
      <c r="H288" s="60"/>
      <c r="I288" s="29"/>
      <c r="J288" s="29"/>
      <c r="K288" s="29"/>
      <c r="L288" s="29"/>
      <c r="M288" s="34"/>
      <c r="N288" s="29"/>
      <c r="O288" s="29"/>
      <c r="P288" s="29"/>
      <c r="Q288" s="29"/>
      <c r="R288" s="29"/>
      <c r="S288" s="29"/>
      <c r="T288" s="1"/>
      <c r="U288" s="34"/>
      <c r="V288" s="34"/>
    </row>
    <row x14ac:dyDescent="0.25" r="289" customHeight="1" ht="15.75">
      <c r="A289" s="1"/>
      <c r="B289" s="29"/>
      <c r="C289" s="29"/>
      <c r="D289" s="34"/>
      <c r="E289" s="34"/>
      <c r="F289" s="34"/>
      <c r="G289" s="60"/>
      <c r="H289" s="60"/>
      <c r="I289" s="29"/>
      <c r="J289" s="29"/>
      <c r="K289" s="29"/>
      <c r="L289" s="29"/>
      <c r="M289" s="34"/>
      <c r="N289" s="29"/>
      <c r="O289" s="29"/>
      <c r="P289" s="29"/>
      <c r="Q289" s="29"/>
      <c r="R289" s="29"/>
      <c r="S289" s="29"/>
      <c r="T289" s="1"/>
      <c r="U289" s="34"/>
      <c r="V289" s="34"/>
    </row>
    <row x14ac:dyDescent="0.25" r="290" customHeight="1" ht="15.75">
      <c r="A290" s="1"/>
      <c r="B290" s="29"/>
      <c r="C290" s="29"/>
      <c r="D290" s="34"/>
      <c r="E290" s="34"/>
      <c r="F290" s="34"/>
      <c r="G290" s="60"/>
      <c r="H290" s="60"/>
      <c r="I290" s="29"/>
      <c r="J290" s="29"/>
      <c r="K290" s="29"/>
      <c r="L290" s="29"/>
      <c r="M290" s="34"/>
      <c r="N290" s="29"/>
      <c r="O290" s="29"/>
      <c r="P290" s="29"/>
      <c r="Q290" s="29"/>
      <c r="R290" s="29"/>
      <c r="S290" s="29"/>
      <c r="T290" s="1"/>
      <c r="U290" s="34"/>
      <c r="V290" s="34"/>
    </row>
    <row x14ac:dyDescent="0.25" r="291" customHeight="1" ht="15.75">
      <c r="A291" s="1"/>
      <c r="B291" s="29"/>
      <c r="C291" s="29"/>
      <c r="D291" s="34"/>
      <c r="E291" s="34"/>
      <c r="F291" s="34"/>
      <c r="G291" s="60"/>
      <c r="H291" s="60"/>
      <c r="I291" s="29"/>
      <c r="J291" s="29"/>
      <c r="K291" s="29"/>
      <c r="L291" s="29"/>
      <c r="M291" s="34"/>
      <c r="N291" s="29"/>
      <c r="O291" s="29"/>
      <c r="P291" s="29"/>
      <c r="Q291" s="29"/>
      <c r="R291" s="29"/>
      <c r="S291" s="29"/>
      <c r="T291" s="1"/>
      <c r="U291" s="34"/>
      <c r="V291" s="34"/>
    </row>
    <row x14ac:dyDescent="0.25" r="292" customHeight="1" ht="15.75">
      <c r="A292" s="1"/>
      <c r="B292" s="29"/>
      <c r="C292" s="29"/>
      <c r="D292" s="34"/>
      <c r="E292" s="34"/>
      <c r="F292" s="34"/>
      <c r="G292" s="60"/>
      <c r="H292" s="60"/>
      <c r="I292" s="29"/>
      <c r="J292" s="29"/>
      <c r="K292" s="29"/>
      <c r="L292" s="29"/>
      <c r="M292" s="34"/>
      <c r="N292" s="29"/>
      <c r="O292" s="29"/>
      <c r="P292" s="29"/>
      <c r="Q292" s="29"/>
      <c r="R292" s="29"/>
      <c r="S292" s="29"/>
      <c r="T292" s="1"/>
      <c r="U292" s="34"/>
      <c r="V292" s="34"/>
    </row>
    <row x14ac:dyDescent="0.25" r="293" customHeight="1" ht="15.75">
      <c r="A293" s="1"/>
      <c r="B293" s="29"/>
      <c r="C293" s="29"/>
      <c r="D293" s="34"/>
      <c r="E293" s="34"/>
      <c r="F293" s="34"/>
      <c r="G293" s="60"/>
      <c r="H293" s="60"/>
      <c r="I293" s="29"/>
      <c r="J293" s="29"/>
      <c r="K293" s="29"/>
      <c r="L293" s="29"/>
      <c r="M293" s="34"/>
      <c r="N293" s="29"/>
      <c r="O293" s="29"/>
      <c r="P293" s="29"/>
      <c r="Q293" s="29"/>
      <c r="R293" s="29"/>
      <c r="S293" s="29"/>
      <c r="T293" s="1"/>
      <c r="U293" s="34"/>
      <c r="V293" s="34"/>
    </row>
    <row x14ac:dyDescent="0.25" r="294" customHeight="1" ht="15.75">
      <c r="A294" s="1"/>
      <c r="B294" s="29"/>
      <c r="C294" s="29"/>
      <c r="D294" s="34"/>
      <c r="E294" s="34"/>
      <c r="F294" s="34"/>
      <c r="G294" s="60"/>
      <c r="H294" s="60"/>
      <c r="I294" s="29"/>
      <c r="J294" s="29"/>
      <c r="K294" s="29"/>
      <c r="L294" s="29"/>
      <c r="M294" s="34"/>
      <c r="N294" s="29"/>
      <c r="O294" s="29"/>
      <c r="P294" s="29"/>
      <c r="Q294" s="29"/>
      <c r="R294" s="29"/>
      <c r="S294" s="29"/>
      <c r="T294" s="1"/>
      <c r="U294" s="34"/>
      <c r="V294" s="34"/>
    </row>
    <row x14ac:dyDescent="0.25" r="295" customHeight="1" ht="15.75">
      <c r="A295" s="1"/>
      <c r="B295" s="29"/>
      <c r="C295" s="29"/>
      <c r="D295" s="34"/>
      <c r="E295" s="34"/>
      <c r="F295" s="34"/>
      <c r="G295" s="60"/>
      <c r="H295" s="60"/>
      <c r="I295" s="29"/>
      <c r="J295" s="29"/>
      <c r="K295" s="29"/>
      <c r="L295" s="29"/>
      <c r="M295" s="34"/>
      <c r="N295" s="29"/>
      <c r="O295" s="29"/>
      <c r="P295" s="29"/>
      <c r="Q295" s="29"/>
      <c r="R295" s="29"/>
      <c r="S295" s="29"/>
      <c r="T295" s="1"/>
      <c r="U295" s="34"/>
      <c r="V295" s="34"/>
    </row>
    <row x14ac:dyDescent="0.25" r="296" customHeight="1" ht="15.75">
      <c r="A296" s="1"/>
      <c r="B296" s="29"/>
      <c r="C296" s="29"/>
      <c r="D296" s="34"/>
      <c r="E296" s="34"/>
      <c r="F296" s="34"/>
      <c r="G296" s="60"/>
      <c r="H296" s="60"/>
      <c r="I296" s="29"/>
      <c r="J296" s="29"/>
      <c r="K296" s="29"/>
      <c r="L296" s="29"/>
      <c r="M296" s="34"/>
      <c r="N296" s="29"/>
      <c r="O296" s="29"/>
      <c r="P296" s="29"/>
      <c r="Q296" s="29"/>
      <c r="R296" s="29"/>
      <c r="S296" s="29"/>
      <c r="T296" s="1"/>
      <c r="U296" s="34"/>
      <c r="V296" s="34"/>
    </row>
    <row x14ac:dyDescent="0.25" r="297" customHeight="1" ht="15.75">
      <c r="A297" s="1"/>
      <c r="B297" s="29"/>
      <c r="C297" s="29"/>
      <c r="D297" s="34"/>
      <c r="E297" s="34"/>
      <c r="F297" s="34"/>
      <c r="G297" s="60"/>
      <c r="H297" s="60"/>
      <c r="I297" s="29"/>
      <c r="J297" s="29"/>
      <c r="K297" s="29"/>
      <c r="L297" s="29"/>
      <c r="M297" s="34"/>
      <c r="N297" s="29"/>
      <c r="O297" s="29"/>
      <c r="P297" s="29"/>
      <c r="Q297" s="29"/>
      <c r="R297" s="29"/>
      <c r="S297" s="29"/>
      <c r="T297" s="1"/>
      <c r="U297" s="34"/>
      <c r="V297" s="34"/>
    </row>
    <row x14ac:dyDescent="0.25" r="298" customHeight="1" ht="15.75">
      <c r="A298" s="1"/>
      <c r="B298" s="29"/>
      <c r="C298" s="29"/>
      <c r="D298" s="34"/>
      <c r="E298" s="34"/>
      <c r="F298" s="34"/>
      <c r="G298" s="60"/>
      <c r="H298" s="60"/>
      <c r="I298" s="29"/>
      <c r="J298" s="29"/>
      <c r="K298" s="29"/>
      <c r="L298" s="29"/>
      <c r="M298" s="34"/>
      <c r="N298" s="29"/>
      <c r="O298" s="29"/>
      <c r="P298" s="29"/>
      <c r="Q298" s="29"/>
      <c r="R298" s="29"/>
      <c r="S298" s="29"/>
      <c r="T298" s="1"/>
      <c r="U298" s="34"/>
      <c r="V298" s="34"/>
    </row>
    <row x14ac:dyDescent="0.25" r="299" customHeight="1" ht="15.75">
      <c r="A299" s="1"/>
      <c r="B299" s="29"/>
      <c r="C299" s="29"/>
      <c r="D299" s="34"/>
      <c r="E299" s="34"/>
      <c r="F299" s="34"/>
      <c r="G299" s="60"/>
      <c r="H299" s="60"/>
      <c r="I299" s="29"/>
      <c r="J299" s="29"/>
      <c r="K299" s="29"/>
      <c r="L299" s="29"/>
      <c r="M299" s="34"/>
      <c r="N299" s="29"/>
      <c r="O299" s="29"/>
      <c r="P299" s="29"/>
      <c r="Q299" s="29"/>
      <c r="R299" s="29"/>
      <c r="S299" s="29"/>
      <c r="T299" s="1"/>
      <c r="U299" s="34"/>
      <c r="V299" s="34"/>
    </row>
    <row x14ac:dyDescent="0.25" r="300" customHeight="1" ht="15.75">
      <c r="A300" s="1"/>
      <c r="B300" s="29"/>
      <c r="C300" s="29"/>
      <c r="D300" s="34"/>
      <c r="E300" s="34"/>
      <c r="F300" s="34"/>
      <c r="G300" s="60"/>
      <c r="H300" s="60"/>
      <c r="I300" s="29"/>
      <c r="J300" s="29"/>
      <c r="K300" s="29"/>
      <c r="L300" s="29"/>
      <c r="M300" s="34"/>
      <c r="N300" s="29"/>
      <c r="O300" s="29"/>
      <c r="P300" s="29"/>
      <c r="Q300" s="29"/>
      <c r="R300" s="29"/>
      <c r="S300" s="29"/>
      <c r="T300" s="1"/>
      <c r="U300" s="34"/>
      <c r="V300" s="34"/>
    </row>
    <row x14ac:dyDescent="0.25" r="301" customHeight="1" ht="15.75">
      <c r="A301" s="1"/>
      <c r="B301" s="29"/>
      <c r="C301" s="29"/>
      <c r="D301" s="34"/>
      <c r="E301" s="34"/>
      <c r="F301" s="34"/>
      <c r="G301" s="60"/>
      <c r="H301" s="60"/>
      <c r="I301" s="29"/>
      <c r="J301" s="29"/>
      <c r="K301" s="29"/>
      <c r="L301" s="29"/>
      <c r="M301" s="34"/>
      <c r="N301" s="29"/>
      <c r="O301" s="29"/>
      <c r="P301" s="29"/>
      <c r="Q301" s="29"/>
      <c r="R301" s="29"/>
      <c r="S301" s="29"/>
      <c r="T301" s="1"/>
      <c r="U301" s="34"/>
      <c r="V301" s="34"/>
    </row>
    <row x14ac:dyDescent="0.25" r="302" customHeight="1" ht="15.75">
      <c r="A302" s="1"/>
      <c r="B302" s="29"/>
      <c r="C302" s="29"/>
      <c r="D302" s="34"/>
      <c r="E302" s="34"/>
      <c r="F302" s="34"/>
      <c r="G302" s="60"/>
      <c r="H302" s="60"/>
      <c r="I302" s="29"/>
      <c r="J302" s="29"/>
      <c r="K302" s="29"/>
      <c r="L302" s="29"/>
      <c r="M302" s="34"/>
      <c r="N302" s="29"/>
      <c r="O302" s="29"/>
      <c r="P302" s="29"/>
      <c r="Q302" s="29"/>
      <c r="R302" s="29"/>
      <c r="S302" s="29"/>
      <c r="T302" s="1"/>
      <c r="U302" s="34"/>
      <c r="V302" s="34"/>
    </row>
    <row x14ac:dyDescent="0.25" r="303" customHeight="1" ht="15.75">
      <c r="A303" s="1"/>
      <c r="B303" s="29"/>
      <c r="C303" s="29"/>
      <c r="D303" s="34"/>
      <c r="E303" s="34"/>
      <c r="F303" s="34"/>
      <c r="G303" s="60"/>
      <c r="H303" s="60"/>
      <c r="I303" s="29"/>
      <c r="J303" s="29"/>
      <c r="K303" s="29"/>
      <c r="L303" s="29"/>
      <c r="M303" s="34"/>
      <c r="N303" s="29"/>
      <c r="O303" s="29"/>
      <c r="P303" s="29"/>
      <c r="Q303" s="29"/>
      <c r="R303" s="29"/>
      <c r="S303" s="29"/>
      <c r="T303" s="1"/>
      <c r="U303" s="34"/>
      <c r="V303" s="34"/>
    </row>
    <row x14ac:dyDescent="0.25" r="304" customHeight="1" ht="15.75">
      <c r="A304" s="1"/>
      <c r="B304" s="29"/>
      <c r="C304" s="29"/>
      <c r="D304" s="34"/>
      <c r="E304" s="34"/>
      <c r="F304" s="34"/>
      <c r="G304" s="60"/>
      <c r="H304" s="60"/>
      <c r="I304" s="29"/>
      <c r="J304" s="29"/>
      <c r="K304" s="29"/>
      <c r="L304" s="29"/>
      <c r="M304" s="34"/>
      <c r="N304" s="29"/>
      <c r="O304" s="29"/>
      <c r="P304" s="29"/>
      <c r="Q304" s="29"/>
      <c r="R304" s="29"/>
      <c r="S304" s="29"/>
      <c r="T304" s="1"/>
      <c r="U304" s="34"/>
      <c r="V304" s="34"/>
    </row>
    <row x14ac:dyDescent="0.25" r="305" customHeight="1" ht="15.75">
      <c r="A305" s="1"/>
      <c r="B305" s="29"/>
      <c r="C305" s="29"/>
      <c r="D305" s="34"/>
      <c r="E305" s="34"/>
      <c r="F305" s="34"/>
      <c r="G305" s="60"/>
      <c r="H305" s="60"/>
      <c r="I305" s="29"/>
      <c r="J305" s="29"/>
      <c r="K305" s="29"/>
      <c r="L305" s="29"/>
      <c r="M305" s="34"/>
      <c r="N305" s="29"/>
      <c r="O305" s="29"/>
      <c r="P305" s="29"/>
      <c r="Q305" s="29"/>
      <c r="R305" s="29"/>
      <c r="S305" s="29"/>
      <c r="T305" s="1"/>
      <c r="U305" s="34"/>
      <c r="V305" s="34"/>
    </row>
    <row x14ac:dyDescent="0.25" r="306" customHeight="1" ht="15.75">
      <c r="A306" s="1"/>
      <c r="B306" s="29"/>
      <c r="C306" s="29"/>
      <c r="D306" s="34"/>
      <c r="E306" s="34"/>
      <c r="F306" s="34"/>
      <c r="G306" s="60"/>
      <c r="H306" s="60"/>
      <c r="I306" s="29"/>
      <c r="J306" s="29"/>
      <c r="K306" s="29"/>
      <c r="L306" s="29"/>
      <c r="M306" s="34"/>
      <c r="N306" s="29"/>
      <c r="O306" s="29"/>
      <c r="P306" s="29"/>
      <c r="Q306" s="29"/>
      <c r="R306" s="29"/>
      <c r="S306" s="29"/>
      <c r="T306" s="1"/>
      <c r="U306" s="34"/>
      <c r="V306" s="34"/>
    </row>
    <row x14ac:dyDescent="0.25" r="307" customHeight="1" ht="15.75">
      <c r="A307" s="1"/>
      <c r="B307" s="29"/>
      <c r="C307" s="29"/>
      <c r="D307" s="34"/>
      <c r="E307" s="34"/>
      <c r="F307" s="34"/>
      <c r="G307" s="60"/>
      <c r="H307" s="60"/>
      <c r="I307" s="29"/>
      <c r="J307" s="29"/>
      <c r="K307" s="29"/>
      <c r="L307" s="29"/>
      <c r="M307" s="34"/>
      <c r="N307" s="29"/>
      <c r="O307" s="29"/>
      <c r="P307" s="29"/>
      <c r="Q307" s="29"/>
      <c r="R307" s="29"/>
      <c r="S307" s="29"/>
      <c r="T307" s="1"/>
      <c r="U307" s="34"/>
      <c r="V307" s="34"/>
    </row>
    <row x14ac:dyDescent="0.25" r="308" customHeight="1" ht="15.75">
      <c r="A308" s="1"/>
      <c r="B308" s="29"/>
      <c r="C308" s="29"/>
      <c r="D308" s="34"/>
      <c r="E308" s="34"/>
      <c r="F308" s="34"/>
      <c r="G308" s="60"/>
      <c r="H308" s="60"/>
      <c r="I308" s="29"/>
      <c r="J308" s="29"/>
      <c r="K308" s="29"/>
      <c r="L308" s="29"/>
      <c r="M308" s="34"/>
      <c r="N308" s="29"/>
      <c r="O308" s="29"/>
      <c r="P308" s="29"/>
      <c r="Q308" s="29"/>
      <c r="R308" s="29"/>
      <c r="S308" s="29"/>
      <c r="T308" s="1"/>
      <c r="U308" s="34"/>
      <c r="V308" s="34"/>
    </row>
    <row x14ac:dyDescent="0.25" r="309" customHeight="1" ht="15.75">
      <c r="A309" s="1"/>
      <c r="B309" s="29"/>
      <c r="C309" s="29"/>
      <c r="D309" s="34"/>
      <c r="E309" s="34"/>
      <c r="F309" s="34"/>
      <c r="G309" s="60"/>
      <c r="H309" s="60"/>
      <c r="I309" s="29"/>
      <c r="J309" s="29"/>
      <c r="K309" s="29"/>
      <c r="L309" s="29"/>
      <c r="M309" s="34"/>
      <c r="N309" s="29"/>
      <c r="O309" s="29"/>
      <c r="P309" s="29"/>
      <c r="Q309" s="29"/>
      <c r="R309" s="29"/>
      <c r="S309" s="29"/>
      <c r="T309" s="1"/>
      <c r="U309" s="34"/>
      <c r="V309" s="34"/>
    </row>
    <row x14ac:dyDescent="0.25" r="310" customHeight="1" ht="15.75">
      <c r="A310" s="1"/>
      <c r="B310" s="29"/>
      <c r="C310" s="29"/>
      <c r="D310" s="34"/>
      <c r="E310" s="34"/>
      <c r="F310" s="34"/>
      <c r="G310" s="60"/>
      <c r="H310" s="60"/>
      <c r="I310" s="29"/>
      <c r="J310" s="29"/>
      <c r="K310" s="29"/>
      <c r="L310" s="29"/>
      <c r="M310" s="34"/>
      <c r="N310" s="29"/>
      <c r="O310" s="29"/>
      <c r="P310" s="29"/>
      <c r="Q310" s="29"/>
      <c r="R310" s="29"/>
      <c r="S310" s="29"/>
      <c r="T310" s="1"/>
      <c r="U310" s="34"/>
      <c r="V310" s="34"/>
    </row>
    <row x14ac:dyDescent="0.25" r="311" customHeight="1" ht="15.75">
      <c r="A311" s="1"/>
      <c r="B311" s="29"/>
      <c r="C311" s="29"/>
      <c r="D311" s="34"/>
      <c r="E311" s="34"/>
      <c r="F311" s="34"/>
      <c r="G311" s="60"/>
      <c r="H311" s="60"/>
      <c r="I311" s="29"/>
      <c r="J311" s="29"/>
      <c r="K311" s="29"/>
      <c r="L311" s="29"/>
      <c r="M311" s="34"/>
      <c r="N311" s="29"/>
      <c r="O311" s="29"/>
      <c r="P311" s="29"/>
      <c r="Q311" s="29"/>
      <c r="R311" s="29"/>
      <c r="S311" s="29"/>
      <c r="T311" s="1"/>
      <c r="U311" s="34"/>
      <c r="V311" s="34"/>
    </row>
    <row x14ac:dyDescent="0.25" r="312" customHeight="1" ht="15.75">
      <c r="A312" s="1"/>
      <c r="B312" s="29"/>
      <c r="C312" s="29"/>
      <c r="D312" s="34"/>
      <c r="E312" s="34"/>
      <c r="F312" s="34"/>
      <c r="G312" s="60"/>
      <c r="H312" s="60"/>
      <c r="I312" s="29"/>
      <c r="J312" s="29"/>
      <c r="K312" s="29"/>
      <c r="L312" s="29"/>
      <c r="M312" s="34"/>
      <c r="N312" s="29"/>
      <c r="O312" s="29"/>
      <c r="P312" s="29"/>
      <c r="Q312" s="29"/>
      <c r="R312" s="29"/>
      <c r="S312" s="29"/>
      <c r="T312" s="1"/>
      <c r="U312" s="34"/>
      <c r="V312" s="34"/>
    </row>
    <row x14ac:dyDescent="0.25" r="313" customHeight="1" ht="15.75">
      <c r="A313" s="1"/>
      <c r="B313" s="29"/>
      <c r="C313" s="29"/>
      <c r="D313" s="34"/>
      <c r="E313" s="34"/>
      <c r="F313" s="34"/>
      <c r="G313" s="60"/>
      <c r="H313" s="60"/>
      <c r="I313" s="29"/>
      <c r="J313" s="29"/>
      <c r="K313" s="29"/>
      <c r="L313" s="29"/>
      <c r="M313" s="34"/>
      <c r="N313" s="29"/>
      <c r="O313" s="29"/>
      <c r="P313" s="29"/>
      <c r="Q313" s="29"/>
      <c r="R313" s="29"/>
      <c r="S313" s="29"/>
      <c r="T313" s="1"/>
      <c r="U313" s="34"/>
      <c r="V313" s="34"/>
    </row>
    <row x14ac:dyDescent="0.25" r="314" customHeight="1" ht="15.75">
      <c r="A314" s="1"/>
      <c r="B314" s="29"/>
      <c r="C314" s="29"/>
      <c r="D314" s="34"/>
      <c r="E314" s="34"/>
      <c r="F314" s="34"/>
      <c r="G314" s="60"/>
      <c r="H314" s="60"/>
      <c r="I314" s="29"/>
      <c r="J314" s="29"/>
      <c r="K314" s="29"/>
      <c r="L314" s="29"/>
      <c r="M314" s="34"/>
      <c r="N314" s="29"/>
      <c r="O314" s="29"/>
      <c r="P314" s="29"/>
      <c r="Q314" s="29"/>
      <c r="R314" s="29"/>
      <c r="S314" s="29"/>
      <c r="T314" s="1"/>
      <c r="U314" s="34"/>
      <c r="V314" s="34"/>
    </row>
    <row x14ac:dyDescent="0.25" r="315" customHeight="1" ht="15.75">
      <c r="A315" s="1"/>
      <c r="B315" s="29"/>
      <c r="C315" s="29"/>
      <c r="D315" s="34"/>
      <c r="E315" s="34"/>
      <c r="F315" s="34"/>
      <c r="G315" s="60"/>
      <c r="H315" s="60"/>
      <c r="I315" s="29"/>
      <c r="J315" s="29"/>
      <c r="K315" s="29"/>
      <c r="L315" s="29"/>
      <c r="M315" s="34"/>
      <c r="N315" s="29"/>
      <c r="O315" s="29"/>
      <c r="P315" s="29"/>
      <c r="Q315" s="29"/>
      <c r="R315" s="29"/>
      <c r="S315" s="29"/>
      <c r="T315" s="1"/>
      <c r="U315" s="34"/>
      <c r="V315" s="34"/>
    </row>
    <row x14ac:dyDescent="0.25" r="316" customHeight="1" ht="15.75">
      <c r="A316" s="1"/>
      <c r="B316" s="29"/>
      <c r="C316" s="29"/>
      <c r="D316" s="34"/>
      <c r="E316" s="34"/>
      <c r="F316" s="34"/>
      <c r="G316" s="60"/>
      <c r="H316" s="60"/>
      <c r="I316" s="29"/>
      <c r="J316" s="29"/>
      <c r="K316" s="29"/>
      <c r="L316" s="29"/>
      <c r="M316" s="34"/>
      <c r="N316" s="29"/>
      <c r="O316" s="29"/>
      <c r="P316" s="29"/>
      <c r="Q316" s="29"/>
      <c r="R316" s="29"/>
      <c r="S316" s="29"/>
      <c r="T316" s="1"/>
      <c r="U316" s="34"/>
      <c r="V316" s="34"/>
    </row>
    <row x14ac:dyDescent="0.25" r="317" customHeight="1" ht="15.75">
      <c r="A317" s="1"/>
      <c r="B317" s="29"/>
      <c r="C317" s="29"/>
      <c r="D317" s="34"/>
      <c r="E317" s="34"/>
      <c r="F317" s="34"/>
      <c r="G317" s="60"/>
      <c r="H317" s="60"/>
      <c r="I317" s="29"/>
      <c r="J317" s="29"/>
      <c r="K317" s="29"/>
      <c r="L317" s="29"/>
      <c r="M317" s="34"/>
      <c r="N317" s="29"/>
      <c r="O317" s="29"/>
      <c r="P317" s="29"/>
      <c r="Q317" s="29"/>
      <c r="R317" s="29"/>
      <c r="S317" s="29"/>
      <c r="T317" s="1"/>
      <c r="U317" s="34"/>
      <c r="V317" s="34"/>
    </row>
    <row x14ac:dyDescent="0.25" r="318" customHeight="1" ht="15.75">
      <c r="A318" s="1"/>
      <c r="B318" s="29"/>
      <c r="C318" s="29"/>
      <c r="D318" s="34"/>
      <c r="E318" s="34"/>
      <c r="F318" s="34"/>
      <c r="G318" s="60"/>
      <c r="H318" s="60"/>
      <c r="I318" s="29"/>
      <c r="J318" s="29"/>
      <c r="K318" s="29"/>
      <c r="L318" s="29"/>
      <c r="M318" s="34"/>
      <c r="N318" s="29"/>
      <c r="O318" s="29"/>
      <c r="P318" s="29"/>
      <c r="Q318" s="29"/>
      <c r="R318" s="29"/>
      <c r="S318" s="29"/>
      <c r="T318" s="1"/>
      <c r="U318" s="34"/>
      <c r="V318" s="34"/>
    </row>
    <row x14ac:dyDescent="0.25" r="319" customHeight="1" ht="15.75">
      <c r="A319" s="1"/>
      <c r="B319" s="29"/>
      <c r="C319" s="29"/>
      <c r="D319" s="34"/>
      <c r="E319" s="34"/>
      <c r="F319" s="34"/>
      <c r="G319" s="60"/>
      <c r="H319" s="60"/>
      <c r="I319" s="29"/>
      <c r="J319" s="29"/>
      <c r="K319" s="29"/>
      <c r="L319" s="29"/>
      <c r="M319" s="34"/>
      <c r="N319" s="29"/>
      <c r="O319" s="29"/>
      <c r="P319" s="29"/>
      <c r="Q319" s="29"/>
      <c r="R319" s="29"/>
      <c r="S319" s="29"/>
      <c r="T319" s="1"/>
      <c r="U319" s="34"/>
      <c r="V319" s="34"/>
    </row>
    <row x14ac:dyDescent="0.25" r="320" customHeight="1" ht="15.75">
      <c r="A320" s="1"/>
      <c r="B320" s="29"/>
      <c r="C320" s="29"/>
      <c r="D320" s="34"/>
      <c r="E320" s="34"/>
      <c r="F320" s="34"/>
      <c r="G320" s="60"/>
      <c r="H320" s="60"/>
      <c r="I320" s="29"/>
      <c r="J320" s="29"/>
      <c r="K320" s="29"/>
      <c r="L320" s="29"/>
      <c r="M320" s="34"/>
      <c r="N320" s="29"/>
      <c r="O320" s="29"/>
      <c r="P320" s="29"/>
      <c r="Q320" s="29"/>
      <c r="R320" s="29"/>
      <c r="S320" s="29"/>
      <c r="T320" s="1"/>
      <c r="U320" s="34"/>
      <c r="V320" s="34"/>
    </row>
    <row x14ac:dyDescent="0.25" r="321" customHeight="1" ht="15.75">
      <c r="A321" s="1"/>
      <c r="B321" s="29"/>
      <c r="C321" s="29"/>
      <c r="D321" s="34"/>
      <c r="E321" s="34"/>
      <c r="F321" s="34"/>
      <c r="G321" s="60"/>
      <c r="H321" s="60"/>
      <c r="I321" s="29"/>
      <c r="J321" s="29"/>
      <c r="K321" s="29"/>
      <c r="L321" s="29"/>
      <c r="M321" s="34"/>
      <c r="N321" s="29"/>
      <c r="O321" s="29"/>
      <c r="P321" s="29"/>
      <c r="Q321" s="29"/>
      <c r="R321" s="29"/>
      <c r="S321" s="29"/>
      <c r="T321" s="1"/>
      <c r="U321" s="34"/>
      <c r="V321" s="34"/>
    </row>
    <row x14ac:dyDescent="0.25" r="322" customHeight="1" ht="15.75">
      <c r="A322" s="1"/>
      <c r="B322" s="29"/>
      <c r="C322" s="29"/>
      <c r="D322" s="34"/>
      <c r="E322" s="34"/>
      <c r="F322" s="34"/>
      <c r="G322" s="60"/>
      <c r="H322" s="60"/>
      <c r="I322" s="29"/>
      <c r="J322" s="29"/>
      <c r="K322" s="29"/>
      <c r="L322" s="29"/>
      <c r="M322" s="34"/>
      <c r="N322" s="29"/>
      <c r="O322" s="29"/>
      <c r="P322" s="29"/>
      <c r="Q322" s="29"/>
      <c r="R322" s="29"/>
      <c r="S322" s="29"/>
      <c r="T322" s="1"/>
      <c r="U322" s="34"/>
      <c r="V322" s="34"/>
    </row>
    <row x14ac:dyDescent="0.25" r="323" customHeight="1" ht="15.75">
      <c r="A323" s="1"/>
      <c r="B323" s="29"/>
      <c r="C323" s="29"/>
      <c r="D323" s="34"/>
      <c r="E323" s="34"/>
      <c r="F323" s="34"/>
      <c r="G323" s="60"/>
      <c r="H323" s="60"/>
      <c r="I323" s="29"/>
      <c r="J323" s="29"/>
      <c r="K323" s="29"/>
      <c r="L323" s="29"/>
      <c r="M323" s="34"/>
      <c r="N323" s="29"/>
      <c r="O323" s="29"/>
      <c r="P323" s="29"/>
      <c r="Q323" s="29"/>
      <c r="R323" s="29"/>
      <c r="S323" s="29"/>
      <c r="T323" s="1"/>
      <c r="U323" s="34"/>
      <c r="V323" s="34"/>
    </row>
    <row x14ac:dyDescent="0.25" r="324" customHeight="1" ht="15.75">
      <c r="A324" s="1"/>
      <c r="B324" s="29"/>
      <c r="C324" s="29"/>
      <c r="D324" s="34"/>
      <c r="E324" s="34"/>
      <c r="F324" s="34"/>
      <c r="G324" s="60"/>
      <c r="H324" s="60"/>
      <c r="I324" s="29"/>
      <c r="J324" s="29"/>
      <c r="K324" s="29"/>
      <c r="L324" s="29"/>
      <c r="M324" s="34"/>
      <c r="N324" s="29"/>
      <c r="O324" s="29"/>
      <c r="P324" s="29"/>
      <c r="Q324" s="29"/>
      <c r="R324" s="29"/>
      <c r="S324" s="29"/>
      <c r="T324" s="1"/>
      <c r="U324" s="34"/>
      <c r="V324" s="34"/>
    </row>
    <row x14ac:dyDescent="0.25" r="325" customHeight="1" ht="15.75">
      <c r="A325" s="1"/>
      <c r="B325" s="29"/>
      <c r="C325" s="29"/>
      <c r="D325" s="34"/>
      <c r="E325" s="34"/>
      <c r="F325" s="34"/>
      <c r="G325" s="60"/>
      <c r="H325" s="60"/>
      <c r="I325" s="29"/>
      <c r="J325" s="29"/>
      <c r="K325" s="29"/>
      <c r="L325" s="29"/>
      <c r="M325" s="34"/>
      <c r="N325" s="29"/>
      <c r="O325" s="29"/>
      <c r="P325" s="29"/>
      <c r="Q325" s="29"/>
      <c r="R325" s="29"/>
      <c r="S325" s="29"/>
      <c r="T325" s="1"/>
      <c r="U325" s="34"/>
      <c r="V325" s="34"/>
    </row>
    <row x14ac:dyDescent="0.25" r="326" customHeight="1" ht="15.75">
      <c r="A326" s="1"/>
      <c r="B326" s="29"/>
      <c r="C326" s="29"/>
      <c r="D326" s="34"/>
      <c r="E326" s="34"/>
      <c r="F326" s="34"/>
      <c r="G326" s="60"/>
      <c r="H326" s="60"/>
      <c r="I326" s="29"/>
      <c r="J326" s="29"/>
      <c r="K326" s="29"/>
      <c r="L326" s="29"/>
      <c r="M326" s="34"/>
      <c r="N326" s="29"/>
      <c r="O326" s="29"/>
      <c r="P326" s="29"/>
      <c r="Q326" s="29"/>
      <c r="R326" s="29"/>
      <c r="S326" s="29"/>
      <c r="T326" s="1"/>
      <c r="U326" s="34"/>
      <c r="V326" s="34"/>
    </row>
    <row x14ac:dyDescent="0.25" r="327" customHeight="1" ht="15.75">
      <c r="A327" s="1"/>
      <c r="B327" s="29"/>
      <c r="C327" s="29"/>
      <c r="D327" s="34"/>
      <c r="E327" s="34"/>
      <c r="F327" s="34"/>
      <c r="G327" s="60"/>
      <c r="H327" s="60"/>
      <c r="I327" s="29"/>
      <c r="J327" s="29"/>
      <c r="K327" s="29"/>
      <c r="L327" s="29"/>
      <c r="M327" s="34"/>
      <c r="N327" s="29"/>
      <c r="O327" s="29"/>
      <c r="P327" s="29"/>
      <c r="Q327" s="29"/>
      <c r="R327" s="29"/>
      <c r="S327" s="29"/>
      <c r="T327" s="1"/>
      <c r="U327" s="34"/>
      <c r="V327" s="34"/>
    </row>
    <row x14ac:dyDescent="0.25" r="328" customHeight="1" ht="15.75">
      <c r="A328" s="1"/>
      <c r="B328" s="29"/>
      <c r="C328" s="29"/>
      <c r="D328" s="34"/>
      <c r="E328" s="34"/>
      <c r="F328" s="34"/>
      <c r="G328" s="60"/>
      <c r="H328" s="60"/>
      <c r="I328" s="29"/>
      <c r="J328" s="29"/>
      <c r="K328" s="29"/>
      <c r="L328" s="29"/>
      <c r="M328" s="34"/>
      <c r="N328" s="29"/>
      <c r="O328" s="29"/>
      <c r="P328" s="29"/>
      <c r="Q328" s="29"/>
      <c r="R328" s="29"/>
      <c r="S328" s="29"/>
      <c r="T328" s="1"/>
      <c r="U328" s="34"/>
      <c r="V328" s="34"/>
    </row>
    <row x14ac:dyDescent="0.25" r="329" customHeight="1" ht="15.75">
      <c r="A329" s="1"/>
      <c r="B329" s="29"/>
      <c r="C329" s="29"/>
      <c r="D329" s="34"/>
      <c r="E329" s="34"/>
      <c r="F329" s="34"/>
      <c r="G329" s="60"/>
      <c r="H329" s="60"/>
      <c r="I329" s="29"/>
      <c r="J329" s="29"/>
      <c r="K329" s="29"/>
      <c r="L329" s="29"/>
      <c r="M329" s="34"/>
      <c r="N329" s="29"/>
      <c r="O329" s="29"/>
      <c r="P329" s="29"/>
      <c r="Q329" s="29"/>
      <c r="R329" s="29"/>
      <c r="S329" s="29"/>
      <c r="T329" s="1"/>
      <c r="U329" s="34"/>
      <c r="V329" s="34"/>
    </row>
    <row x14ac:dyDescent="0.25" r="330" customHeight="1" ht="15.75">
      <c r="A330" s="1"/>
      <c r="B330" s="29"/>
      <c r="C330" s="29"/>
      <c r="D330" s="34"/>
      <c r="E330" s="34"/>
      <c r="F330" s="34"/>
      <c r="G330" s="60"/>
      <c r="H330" s="60"/>
      <c r="I330" s="29"/>
      <c r="J330" s="29"/>
      <c r="K330" s="29"/>
      <c r="L330" s="29"/>
      <c r="M330" s="34"/>
      <c r="N330" s="29"/>
      <c r="O330" s="29"/>
      <c r="P330" s="29"/>
      <c r="Q330" s="29"/>
      <c r="R330" s="29"/>
      <c r="S330" s="29"/>
      <c r="T330" s="1"/>
      <c r="U330" s="34"/>
      <c r="V330" s="34"/>
    </row>
    <row x14ac:dyDescent="0.25" r="331" customHeight="1" ht="15.75">
      <c r="A331" s="1"/>
      <c r="B331" s="29"/>
      <c r="C331" s="29"/>
      <c r="D331" s="34"/>
      <c r="E331" s="34"/>
      <c r="F331" s="34"/>
      <c r="G331" s="60"/>
      <c r="H331" s="60"/>
      <c r="I331" s="29"/>
      <c r="J331" s="29"/>
      <c r="K331" s="29"/>
      <c r="L331" s="29"/>
      <c r="M331" s="34"/>
      <c r="N331" s="29"/>
      <c r="O331" s="29"/>
      <c r="P331" s="29"/>
      <c r="Q331" s="29"/>
      <c r="R331" s="29"/>
      <c r="S331" s="29"/>
      <c r="T331" s="1"/>
      <c r="U331" s="34"/>
      <c r="V331" s="34"/>
    </row>
    <row x14ac:dyDescent="0.25" r="332" customHeight="1" ht="15.75">
      <c r="A332" s="1"/>
      <c r="B332" s="29"/>
      <c r="C332" s="29"/>
      <c r="D332" s="34"/>
      <c r="E332" s="34"/>
      <c r="F332" s="34"/>
      <c r="G332" s="60"/>
      <c r="H332" s="60"/>
      <c r="I332" s="29"/>
      <c r="J332" s="29"/>
      <c r="K332" s="29"/>
      <c r="L332" s="29"/>
      <c r="M332" s="34"/>
      <c r="N332" s="29"/>
      <c r="O332" s="29"/>
      <c r="P332" s="29"/>
      <c r="Q332" s="29"/>
      <c r="R332" s="29"/>
      <c r="S332" s="29"/>
      <c r="T332" s="1"/>
      <c r="U332" s="34"/>
      <c r="V332" s="34"/>
    </row>
    <row x14ac:dyDescent="0.25" r="333" customHeight="1" ht="15.75">
      <c r="A333" s="1"/>
      <c r="B333" s="29"/>
      <c r="C333" s="29"/>
      <c r="D333" s="34"/>
      <c r="E333" s="34"/>
      <c r="F333" s="34"/>
      <c r="G333" s="60"/>
      <c r="H333" s="60"/>
      <c r="I333" s="29"/>
      <c r="J333" s="29"/>
      <c r="K333" s="29"/>
      <c r="L333" s="29"/>
      <c r="M333" s="34"/>
      <c r="N333" s="29"/>
      <c r="O333" s="29"/>
      <c r="P333" s="29"/>
      <c r="Q333" s="29"/>
      <c r="R333" s="29"/>
      <c r="S333" s="29"/>
      <c r="T333" s="1"/>
      <c r="U333" s="34"/>
      <c r="V333" s="34"/>
    </row>
    <row x14ac:dyDescent="0.25" r="334" customHeight="1" ht="15.75">
      <c r="A334" s="1"/>
      <c r="B334" s="29"/>
      <c r="C334" s="29"/>
      <c r="D334" s="34"/>
      <c r="E334" s="34"/>
      <c r="F334" s="34"/>
      <c r="G334" s="60"/>
      <c r="H334" s="60"/>
      <c r="I334" s="29"/>
      <c r="J334" s="29"/>
      <c r="K334" s="29"/>
      <c r="L334" s="29"/>
      <c r="M334" s="34"/>
      <c r="N334" s="29"/>
      <c r="O334" s="29"/>
      <c r="P334" s="29"/>
      <c r="Q334" s="29"/>
      <c r="R334" s="29"/>
      <c r="S334" s="29"/>
      <c r="T334" s="1"/>
      <c r="U334" s="34"/>
      <c r="V334" s="34"/>
    </row>
    <row x14ac:dyDescent="0.25" r="335" customHeight="1" ht="15.75">
      <c r="A335" s="1"/>
      <c r="B335" s="29"/>
      <c r="C335" s="29"/>
      <c r="D335" s="34"/>
      <c r="E335" s="34"/>
      <c r="F335" s="34"/>
      <c r="G335" s="60"/>
      <c r="H335" s="60"/>
      <c r="I335" s="29"/>
      <c r="J335" s="29"/>
      <c r="K335" s="29"/>
      <c r="L335" s="29"/>
      <c r="M335" s="34"/>
      <c r="N335" s="29"/>
      <c r="O335" s="29"/>
      <c r="P335" s="29"/>
      <c r="Q335" s="29"/>
      <c r="R335" s="29"/>
      <c r="S335" s="29"/>
      <c r="T335" s="1"/>
      <c r="U335" s="34"/>
      <c r="V335" s="34"/>
    </row>
    <row x14ac:dyDescent="0.25" r="336" customHeight="1" ht="15.75">
      <c r="A336" s="1"/>
      <c r="B336" s="29"/>
      <c r="C336" s="29"/>
      <c r="D336" s="34"/>
      <c r="E336" s="34"/>
      <c r="F336" s="34"/>
      <c r="G336" s="60"/>
      <c r="H336" s="60"/>
      <c r="I336" s="29"/>
      <c r="J336" s="29"/>
      <c r="K336" s="29"/>
      <c r="L336" s="29"/>
      <c r="M336" s="34"/>
      <c r="N336" s="29"/>
      <c r="O336" s="29"/>
      <c r="P336" s="29"/>
      <c r="Q336" s="29"/>
      <c r="R336" s="29"/>
      <c r="S336" s="29"/>
      <c r="T336" s="1"/>
      <c r="U336" s="34"/>
      <c r="V336" s="34"/>
    </row>
    <row x14ac:dyDescent="0.25" r="337" customHeight="1" ht="15.75">
      <c r="A337" s="1"/>
      <c r="B337" s="29"/>
      <c r="C337" s="29"/>
      <c r="D337" s="34"/>
      <c r="E337" s="34"/>
      <c r="F337" s="34"/>
      <c r="G337" s="60"/>
      <c r="H337" s="60"/>
      <c r="I337" s="29"/>
      <c r="J337" s="29"/>
      <c r="K337" s="29"/>
      <c r="L337" s="29"/>
      <c r="M337" s="34"/>
      <c r="N337" s="29"/>
      <c r="O337" s="29"/>
      <c r="P337" s="29"/>
      <c r="Q337" s="29"/>
      <c r="R337" s="29"/>
      <c r="S337" s="29"/>
      <c r="T337" s="1"/>
      <c r="U337" s="34"/>
      <c r="V337" s="34"/>
    </row>
    <row x14ac:dyDescent="0.25" r="338" customHeight="1" ht="15.75">
      <c r="A338" s="1"/>
      <c r="B338" s="29"/>
      <c r="C338" s="29"/>
      <c r="D338" s="34"/>
      <c r="E338" s="34"/>
      <c r="F338" s="34"/>
      <c r="G338" s="60"/>
      <c r="H338" s="60"/>
      <c r="I338" s="29"/>
      <c r="J338" s="29"/>
      <c r="K338" s="29"/>
      <c r="L338" s="29"/>
      <c r="M338" s="34"/>
      <c r="N338" s="29"/>
      <c r="O338" s="29"/>
      <c r="P338" s="29"/>
      <c r="Q338" s="29"/>
      <c r="R338" s="29"/>
      <c r="S338" s="29"/>
      <c r="T338" s="1"/>
      <c r="U338" s="34"/>
      <c r="V338" s="34"/>
    </row>
    <row x14ac:dyDescent="0.25" r="339" customHeight="1" ht="15.75">
      <c r="A339" s="1"/>
      <c r="B339" s="29"/>
      <c r="C339" s="29"/>
      <c r="D339" s="34"/>
      <c r="E339" s="34"/>
      <c r="F339" s="34"/>
      <c r="G339" s="60"/>
      <c r="H339" s="60"/>
      <c r="I339" s="29"/>
      <c r="J339" s="29"/>
      <c r="K339" s="29"/>
      <c r="L339" s="29"/>
      <c r="M339" s="34"/>
      <c r="N339" s="29"/>
      <c r="O339" s="29"/>
      <c r="P339" s="29"/>
      <c r="Q339" s="29"/>
      <c r="R339" s="29"/>
      <c r="S339" s="29"/>
      <c r="T339" s="1"/>
      <c r="U339" s="34"/>
      <c r="V339" s="34"/>
    </row>
    <row x14ac:dyDescent="0.25" r="340" customHeight="1" ht="15.75">
      <c r="A340" s="1"/>
      <c r="B340" s="29"/>
      <c r="C340" s="29"/>
      <c r="D340" s="34"/>
      <c r="E340" s="34"/>
      <c r="F340" s="34"/>
      <c r="G340" s="60"/>
      <c r="H340" s="60"/>
      <c r="I340" s="29"/>
      <c r="J340" s="29"/>
      <c r="K340" s="29"/>
      <c r="L340" s="29"/>
      <c r="M340" s="34"/>
      <c r="N340" s="29"/>
      <c r="O340" s="29"/>
      <c r="P340" s="29"/>
      <c r="Q340" s="29"/>
      <c r="R340" s="29"/>
      <c r="S340" s="29"/>
      <c r="T340" s="1"/>
      <c r="U340" s="34"/>
      <c r="V340" s="34"/>
    </row>
    <row x14ac:dyDescent="0.25" r="341" customHeight="1" ht="15.75">
      <c r="A341" s="1"/>
      <c r="B341" s="29"/>
      <c r="C341" s="29"/>
      <c r="D341" s="34"/>
      <c r="E341" s="34"/>
      <c r="F341" s="34"/>
      <c r="G341" s="60"/>
      <c r="H341" s="60"/>
      <c r="I341" s="29"/>
      <c r="J341" s="29"/>
      <c r="K341" s="29"/>
      <c r="L341" s="29"/>
      <c r="M341" s="34"/>
      <c r="N341" s="29"/>
      <c r="O341" s="29"/>
      <c r="P341" s="29"/>
      <c r="Q341" s="29"/>
      <c r="R341" s="29"/>
      <c r="S341" s="29"/>
      <c r="T341" s="1"/>
      <c r="U341" s="34"/>
      <c r="V341" s="34"/>
    </row>
    <row x14ac:dyDescent="0.25" r="342" customHeight="1" ht="15.75">
      <c r="A342" s="1"/>
      <c r="B342" s="29"/>
      <c r="C342" s="29"/>
      <c r="D342" s="34"/>
      <c r="E342" s="34"/>
      <c r="F342" s="34"/>
      <c r="G342" s="60"/>
      <c r="H342" s="60"/>
      <c r="I342" s="29"/>
      <c r="J342" s="29"/>
      <c r="K342" s="29"/>
      <c r="L342" s="29"/>
      <c r="M342" s="34"/>
      <c r="N342" s="29"/>
      <c r="O342" s="29"/>
      <c r="P342" s="29"/>
      <c r="Q342" s="29"/>
      <c r="R342" s="29"/>
      <c r="S342" s="29"/>
      <c r="T342" s="1"/>
      <c r="U342" s="34"/>
      <c r="V342" s="34"/>
    </row>
    <row x14ac:dyDescent="0.25" r="343" customHeight="1" ht="15.75">
      <c r="A343" s="1"/>
      <c r="B343" s="29"/>
      <c r="C343" s="29"/>
      <c r="D343" s="34"/>
      <c r="E343" s="34"/>
      <c r="F343" s="34"/>
      <c r="G343" s="60"/>
      <c r="H343" s="60"/>
      <c r="I343" s="29"/>
      <c r="J343" s="29"/>
      <c r="K343" s="29"/>
      <c r="L343" s="29"/>
      <c r="M343" s="34"/>
      <c r="N343" s="29"/>
      <c r="O343" s="29"/>
      <c r="P343" s="29"/>
      <c r="Q343" s="29"/>
      <c r="R343" s="29"/>
      <c r="S343" s="29"/>
      <c r="T343" s="1"/>
      <c r="U343" s="34"/>
      <c r="V343" s="34"/>
    </row>
    <row x14ac:dyDescent="0.25" r="344" customHeight="1" ht="15.75">
      <c r="A344" s="1"/>
      <c r="B344" s="29"/>
      <c r="C344" s="29"/>
      <c r="D344" s="34"/>
      <c r="E344" s="34"/>
      <c r="F344" s="34"/>
      <c r="G344" s="60"/>
      <c r="H344" s="60"/>
      <c r="I344" s="29"/>
      <c r="J344" s="29"/>
      <c r="K344" s="29"/>
      <c r="L344" s="29"/>
      <c r="M344" s="34"/>
      <c r="N344" s="29"/>
      <c r="O344" s="29"/>
      <c r="P344" s="29"/>
      <c r="Q344" s="29"/>
      <c r="R344" s="29"/>
      <c r="S344" s="29"/>
      <c r="T344" s="1"/>
      <c r="U344" s="34"/>
      <c r="V344" s="34"/>
    </row>
    <row x14ac:dyDescent="0.25" r="345" customHeight="1" ht="15.75">
      <c r="A345" s="1"/>
      <c r="B345" s="29"/>
      <c r="C345" s="29"/>
      <c r="D345" s="34"/>
      <c r="E345" s="34"/>
      <c r="F345" s="34"/>
      <c r="G345" s="60"/>
      <c r="H345" s="60"/>
      <c r="I345" s="29"/>
      <c r="J345" s="29"/>
      <c r="K345" s="29"/>
      <c r="L345" s="29"/>
      <c r="M345" s="34"/>
      <c r="N345" s="29"/>
      <c r="O345" s="29"/>
      <c r="P345" s="29"/>
      <c r="Q345" s="29"/>
      <c r="R345" s="29"/>
      <c r="S345" s="29"/>
      <c r="T345" s="1"/>
      <c r="U345" s="34"/>
      <c r="V345" s="34"/>
    </row>
    <row x14ac:dyDescent="0.25" r="346" customHeight="1" ht="15.75">
      <c r="A346" s="1"/>
      <c r="B346" s="29"/>
      <c r="C346" s="29"/>
      <c r="D346" s="34"/>
      <c r="E346" s="34"/>
      <c r="F346" s="34"/>
      <c r="G346" s="60"/>
      <c r="H346" s="60"/>
      <c r="I346" s="29"/>
      <c r="J346" s="29"/>
      <c r="K346" s="29"/>
      <c r="L346" s="29"/>
      <c r="M346" s="34"/>
      <c r="N346" s="29"/>
      <c r="O346" s="29"/>
      <c r="P346" s="29"/>
      <c r="Q346" s="29"/>
      <c r="R346" s="29"/>
      <c r="S346" s="29"/>
      <c r="T346" s="1"/>
      <c r="U346" s="34"/>
      <c r="V346" s="34"/>
    </row>
    <row x14ac:dyDescent="0.25" r="347" customHeight="1" ht="15.75">
      <c r="A347" s="1"/>
      <c r="B347" s="29"/>
      <c r="C347" s="29"/>
      <c r="D347" s="34"/>
      <c r="E347" s="34"/>
      <c r="F347" s="34"/>
      <c r="G347" s="60"/>
      <c r="H347" s="60"/>
      <c r="I347" s="29"/>
      <c r="J347" s="29"/>
      <c r="K347" s="29"/>
      <c r="L347" s="29"/>
      <c r="M347" s="34"/>
      <c r="N347" s="29"/>
      <c r="O347" s="29"/>
      <c r="P347" s="29"/>
      <c r="Q347" s="29"/>
      <c r="R347" s="29"/>
      <c r="S347" s="29"/>
      <c r="T347" s="1"/>
      <c r="U347" s="34"/>
      <c r="V347" s="34"/>
    </row>
    <row x14ac:dyDescent="0.25" r="348" customHeight="1" ht="15.75">
      <c r="A348" s="1"/>
      <c r="B348" s="29"/>
      <c r="C348" s="29"/>
      <c r="D348" s="34"/>
      <c r="E348" s="34"/>
      <c r="F348" s="34"/>
      <c r="G348" s="60"/>
      <c r="H348" s="60"/>
      <c r="I348" s="29"/>
      <c r="J348" s="29"/>
      <c r="K348" s="29"/>
      <c r="L348" s="29"/>
      <c r="M348" s="34"/>
      <c r="N348" s="29"/>
      <c r="O348" s="29"/>
      <c r="P348" s="29"/>
      <c r="Q348" s="29"/>
      <c r="R348" s="29"/>
      <c r="S348" s="29"/>
      <c r="T348" s="1"/>
      <c r="U348" s="34"/>
      <c r="V348" s="34"/>
    </row>
    <row x14ac:dyDescent="0.25" r="349" customHeight="1" ht="15.75">
      <c r="A349" s="1"/>
      <c r="B349" s="29"/>
      <c r="C349" s="29"/>
      <c r="D349" s="34"/>
      <c r="E349" s="34"/>
      <c r="F349" s="34"/>
      <c r="G349" s="60"/>
      <c r="H349" s="60"/>
      <c r="I349" s="29"/>
      <c r="J349" s="29"/>
      <c r="K349" s="29"/>
      <c r="L349" s="29"/>
      <c r="M349" s="34"/>
      <c r="N349" s="29"/>
      <c r="O349" s="29"/>
      <c r="P349" s="29"/>
      <c r="Q349" s="29"/>
      <c r="R349" s="29"/>
      <c r="S349" s="29"/>
      <c r="T349" s="1"/>
      <c r="U349" s="34"/>
      <c r="V349" s="34"/>
    </row>
    <row x14ac:dyDescent="0.25" r="350" customHeight="1" ht="15.75">
      <c r="A350" s="1"/>
      <c r="B350" s="29"/>
      <c r="C350" s="29"/>
      <c r="D350" s="34"/>
      <c r="E350" s="34"/>
      <c r="F350" s="34"/>
      <c r="G350" s="60"/>
      <c r="H350" s="60"/>
      <c r="I350" s="29"/>
      <c r="J350" s="29"/>
      <c r="K350" s="29"/>
      <c r="L350" s="29"/>
      <c r="M350" s="34"/>
      <c r="N350" s="29"/>
      <c r="O350" s="29"/>
      <c r="P350" s="29"/>
      <c r="Q350" s="29"/>
      <c r="R350" s="29"/>
      <c r="S350" s="29"/>
      <c r="T350" s="1"/>
      <c r="U350" s="34"/>
      <c r="V350" s="34"/>
    </row>
    <row x14ac:dyDescent="0.25" r="351" customHeight="1" ht="15.75">
      <c r="A351" s="1"/>
      <c r="B351" s="29"/>
      <c r="C351" s="29"/>
      <c r="D351" s="34"/>
      <c r="E351" s="34"/>
      <c r="F351" s="34"/>
      <c r="G351" s="60"/>
      <c r="H351" s="60"/>
      <c r="I351" s="29"/>
      <c r="J351" s="29"/>
      <c r="K351" s="29"/>
      <c r="L351" s="29"/>
      <c r="M351" s="34"/>
      <c r="N351" s="29"/>
      <c r="O351" s="29"/>
      <c r="P351" s="29"/>
      <c r="Q351" s="29"/>
      <c r="R351" s="29"/>
      <c r="S351" s="29"/>
      <c r="T351" s="1"/>
      <c r="U351" s="34"/>
      <c r="V351" s="34"/>
    </row>
    <row x14ac:dyDescent="0.25" r="352" customHeight="1" ht="15.75">
      <c r="A352" s="1"/>
      <c r="B352" s="29"/>
      <c r="C352" s="29"/>
      <c r="D352" s="34"/>
      <c r="E352" s="34"/>
      <c r="F352" s="34"/>
      <c r="G352" s="60"/>
      <c r="H352" s="60"/>
      <c r="I352" s="29"/>
      <c r="J352" s="29"/>
      <c r="K352" s="29"/>
      <c r="L352" s="29"/>
      <c r="M352" s="34"/>
      <c r="N352" s="29"/>
      <c r="O352" s="29"/>
      <c r="P352" s="29"/>
      <c r="Q352" s="29"/>
      <c r="R352" s="29"/>
      <c r="S352" s="29"/>
      <c r="T352" s="1"/>
      <c r="U352" s="34"/>
      <c r="V352" s="34"/>
    </row>
    <row x14ac:dyDescent="0.25" r="353" customHeight="1" ht="15.75">
      <c r="A353" s="1"/>
      <c r="B353" s="29"/>
      <c r="C353" s="29"/>
      <c r="D353" s="34"/>
      <c r="E353" s="34"/>
      <c r="F353" s="34"/>
      <c r="G353" s="60"/>
      <c r="H353" s="60"/>
      <c r="I353" s="29"/>
      <c r="J353" s="29"/>
      <c r="K353" s="29"/>
      <c r="L353" s="29"/>
      <c r="M353" s="34"/>
      <c r="N353" s="29"/>
      <c r="O353" s="29"/>
      <c r="P353" s="29"/>
      <c r="Q353" s="29"/>
      <c r="R353" s="29"/>
      <c r="S353" s="29"/>
      <c r="T353" s="1"/>
      <c r="U353" s="34"/>
      <c r="V353" s="34"/>
    </row>
    <row x14ac:dyDescent="0.25" r="354" customHeight="1" ht="15.75">
      <c r="A354" s="1"/>
      <c r="B354" s="29"/>
      <c r="C354" s="29"/>
      <c r="D354" s="34"/>
      <c r="E354" s="34"/>
      <c r="F354" s="34"/>
      <c r="G354" s="60"/>
      <c r="H354" s="60"/>
      <c r="I354" s="29"/>
      <c r="J354" s="29"/>
      <c r="K354" s="29"/>
      <c r="L354" s="29"/>
      <c r="M354" s="34"/>
      <c r="N354" s="29"/>
      <c r="O354" s="29"/>
      <c r="P354" s="29"/>
      <c r="Q354" s="29"/>
      <c r="R354" s="29"/>
      <c r="S354" s="29"/>
      <c r="T354" s="1"/>
      <c r="U354" s="34"/>
      <c r="V354" s="34"/>
    </row>
    <row x14ac:dyDescent="0.25" r="355" customHeight="1" ht="15.75">
      <c r="A355" s="1"/>
      <c r="B355" s="29"/>
      <c r="C355" s="29"/>
      <c r="D355" s="34"/>
      <c r="E355" s="34"/>
      <c r="F355" s="34"/>
      <c r="G355" s="60"/>
      <c r="H355" s="60"/>
      <c r="I355" s="29"/>
      <c r="J355" s="29"/>
      <c r="K355" s="29"/>
      <c r="L355" s="29"/>
      <c r="M355" s="34"/>
      <c r="N355" s="29"/>
      <c r="O355" s="29"/>
      <c r="P355" s="29"/>
      <c r="Q355" s="29"/>
      <c r="R355" s="29"/>
      <c r="S355" s="29"/>
      <c r="T355" s="1"/>
      <c r="U355" s="34"/>
      <c r="V355" s="34"/>
    </row>
    <row x14ac:dyDescent="0.25" r="356" customHeight="1" ht="15.75">
      <c r="A356" s="1"/>
      <c r="B356" s="29"/>
      <c r="C356" s="29"/>
      <c r="D356" s="34"/>
      <c r="E356" s="34"/>
      <c r="F356" s="34"/>
      <c r="G356" s="60"/>
      <c r="H356" s="60"/>
      <c r="I356" s="29"/>
      <c r="J356" s="29"/>
      <c r="K356" s="29"/>
      <c r="L356" s="29"/>
      <c r="M356" s="34"/>
      <c r="N356" s="29"/>
      <c r="O356" s="29"/>
      <c r="P356" s="29"/>
      <c r="Q356" s="29"/>
      <c r="R356" s="29"/>
      <c r="S356" s="29"/>
      <c r="T356" s="1"/>
      <c r="U356" s="34"/>
      <c r="V356" s="34"/>
    </row>
    <row x14ac:dyDescent="0.25" r="357" customHeight="1" ht="15.75">
      <c r="A357" s="1"/>
      <c r="B357" s="29"/>
      <c r="C357" s="29"/>
      <c r="D357" s="34"/>
      <c r="E357" s="34"/>
      <c r="F357" s="34"/>
      <c r="G357" s="60"/>
      <c r="H357" s="60"/>
      <c r="I357" s="29"/>
      <c r="J357" s="29"/>
      <c r="K357" s="29"/>
      <c r="L357" s="29"/>
      <c r="M357" s="34"/>
      <c r="N357" s="29"/>
      <c r="O357" s="29"/>
      <c r="P357" s="29"/>
      <c r="Q357" s="29"/>
      <c r="R357" s="29"/>
      <c r="S357" s="29"/>
      <c r="T357" s="1"/>
      <c r="U357" s="34"/>
      <c r="V357" s="34"/>
    </row>
    <row x14ac:dyDescent="0.25" r="358" customHeight="1" ht="15.75">
      <c r="A358" s="1"/>
      <c r="B358" s="29"/>
      <c r="C358" s="29"/>
      <c r="D358" s="34"/>
      <c r="E358" s="34"/>
      <c r="F358" s="34"/>
      <c r="G358" s="60"/>
      <c r="H358" s="60"/>
      <c r="I358" s="29"/>
      <c r="J358" s="29"/>
      <c r="K358" s="29"/>
      <c r="L358" s="29"/>
      <c r="M358" s="34"/>
      <c r="N358" s="29"/>
      <c r="O358" s="29"/>
      <c r="P358" s="29"/>
      <c r="Q358" s="29"/>
      <c r="R358" s="29"/>
      <c r="S358" s="29"/>
      <c r="T358" s="1"/>
      <c r="U358" s="34"/>
      <c r="V358" s="34"/>
    </row>
    <row x14ac:dyDescent="0.25" r="359" customHeight="1" ht="15.75">
      <c r="A359" s="1"/>
      <c r="B359" s="29"/>
      <c r="C359" s="29"/>
      <c r="D359" s="34"/>
      <c r="E359" s="34"/>
      <c r="F359" s="34"/>
      <c r="G359" s="60"/>
      <c r="H359" s="60"/>
      <c r="I359" s="29"/>
      <c r="J359" s="29"/>
      <c r="K359" s="29"/>
      <c r="L359" s="29"/>
      <c r="M359" s="34"/>
      <c r="N359" s="29"/>
      <c r="O359" s="29"/>
      <c r="P359" s="29"/>
      <c r="Q359" s="29"/>
      <c r="R359" s="29"/>
      <c r="S359" s="29"/>
      <c r="T359" s="1"/>
      <c r="U359" s="34"/>
      <c r="V359" s="34"/>
    </row>
    <row x14ac:dyDescent="0.25" r="360" customHeight="1" ht="15.75">
      <c r="A360" s="1"/>
      <c r="B360" s="29"/>
      <c r="C360" s="29"/>
      <c r="D360" s="34"/>
      <c r="E360" s="34"/>
      <c r="F360" s="34"/>
      <c r="G360" s="60"/>
      <c r="H360" s="60"/>
      <c r="I360" s="29"/>
      <c r="J360" s="29"/>
      <c r="K360" s="29"/>
      <c r="L360" s="29"/>
      <c r="M360" s="34"/>
      <c r="N360" s="29"/>
      <c r="O360" s="29"/>
      <c r="P360" s="29"/>
      <c r="Q360" s="29"/>
      <c r="R360" s="29"/>
      <c r="S360" s="29"/>
      <c r="T360" s="1"/>
      <c r="U360" s="34"/>
      <c r="V360" s="34"/>
    </row>
    <row x14ac:dyDescent="0.25" r="361" customHeight="1" ht="15.75">
      <c r="A361" s="1"/>
      <c r="B361" s="29"/>
      <c r="C361" s="29"/>
      <c r="D361" s="34"/>
      <c r="E361" s="34"/>
      <c r="F361" s="34"/>
      <c r="G361" s="60"/>
      <c r="H361" s="60"/>
      <c r="I361" s="29"/>
      <c r="J361" s="29"/>
      <c r="K361" s="29"/>
      <c r="L361" s="29"/>
      <c r="M361" s="34"/>
      <c r="N361" s="29"/>
      <c r="O361" s="29"/>
      <c r="P361" s="29"/>
      <c r="Q361" s="29"/>
      <c r="R361" s="29"/>
      <c r="S361" s="29"/>
      <c r="T361" s="1"/>
      <c r="U361" s="34"/>
      <c r="V361" s="34"/>
    </row>
    <row x14ac:dyDescent="0.25" r="362" customHeight="1" ht="15.75">
      <c r="A362" s="1"/>
      <c r="B362" s="29"/>
      <c r="C362" s="29"/>
      <c r="D362" s="34"/>
      <c r="E362" s="34"/>
      <c r="F362" s="34"/>
      <c r="G362" s="60"/>
      <c r="H362" s="60"/>
      <c r="I362" s="29"/>
      <c r="J362" s="29"/>
      <c r="K362" s="29"/>
      <c r="L362" s="29"/>
      <c r="M362" s="34"/>
      <c r="N362" s="29"/>
      <c r="O362" s="29"/>
      <c r="P362" s="29"/>
      <c r="Q362" s="29"/>
      <c r="R362" s="29"/>
      <c r="S362" s="29"/>
      <c r="T362" s="1"/>
      <c r="U362" s="34"/>
      <c r="V362" s="34"/>
    </row>
    <row x14ac:dyDescent="0.25" r="363" customHeight="1" ht="15.75">
      <c r="A363" s="1"/>
      <c r="B363" s="29"/>
      <c r="C363" s="29"/>
      <c r="D363" s="34"/>
      <c r="E363" s="34"/>
      <c r="F363" s="34"/>
      <c r="G363" s="60"/>
      <c r="H363" s="60"/>
      <c r="I363" s="29"/>
      <c r="J363" s="29"/>
      <c r="K363" s="29"/>
      <c r="L363" s="29"/>
      <c r="M363" s="34"/>
      <c r="N363" s="29"/>
      <c r="O363" s="29"/>
      <c r="P363" s="29"/>
      <c r="Q363" s="29"/>
      <c r="R363" s="29"/>
      <c r="S363" s="29"/>
      <c r="T363" s="1"/>
      <c r="U363" s="34"/>
      <c r="V363" s="34"/>
    </row>
    <row x14ac:dyDescent="0.25" r="364" customHeight="1" ht="15.75">
      <c r="A364" s="1"/>
      <c r="B364" s="29"/>
      <c r="C364" s="29"/>
      <c r="D364" s="34"/>
      <c r="E364" s="34"/>
      <c r="F364" s="34"/>
      <c r="G364" s="60"/>
      <c r="H364" s="60"/>
      <c r="I364" s="29"/>
      <c r="J364" s="29"/>
      <c r="K364" s="29"/>
      <c r="L364" s="29"/>
      <c r="M364" s="34"/>
      <c r="N364" s="29"/>
      <c r="O364" s="29"/>
      <c r="P364" s="29"/>
      <c r="Q364" s="29"/>
      <c r="R364" s="29"/>
      <c r="S364" s="29"/>
      <c r="T364" s="1"/>
      <c r="U364" s="34"/>
      <c r="V364" s="34"/>
    </row>
    <row x14ac:dyDescent="0.25" r="365" customHeight="1" ht="15.75">
      <c r="A365" s="1"/>
      <c r="B365" s="29"/>
      <c r="C365" s="29"/>
      <c r="D365" s="34"/>
      <c r="E365" s="34"/>
      <c r="F365" s="34"/>
      <c r="G365" s="60"/>
      <c r="H365" s="60"/>
      <c r="I365" s="29"/>
      <c r="J365" s="29"/>
      <c r="K365" s="29"/>
      <c r="L365" s="29"/>
      <c r="M365" s="34"/>
      <c r="N365" s="29"/>
      <c r="O365" s="29"/>
      <c r="P365" s="29"/>
      <c r="Q365" s="29"/>
      <c r="R365" s="29"/>
      <c r="S365" s="29"/>
      <c r="T365" s="1"/>
      <c r="U365" s="34"/>
      <c r="V365" s="34"/>
    </row>
    <row x14ac:dyDescent="0.25" r="366" customHeight="1" ht="15.75">
      <c r="A366" s="1"/>
      <c r="B366" s="29"/>
      <c r="C366" s="29"/>
      <c r="D366" s="34"/>
      <c r="E366" s="34"/>
      <c r="F366" s="34"/>
      <c r="G366" s="60"/>
      <c r="H366" s="60"/>
      <c r="I366" s="29"/>
      <c r="J366" s="29"/>
      <c r="K366" s="29"/>
      <c r="L366" s="29"/>
      <c r="M366" s="34"/>
      <c r="N366" s="29"/>
      <c r="O366" s="29"/>
      <c r="P366" s="29"/>
      <c r="Q366" s="29"/>
      <c r="R366" s="29"/>
      <c r="S366" s="29"/>
      <c r="T366" s="1"/>
      <c r="U366" s="34"/>
      <c r="V366" s="34"/>
    </row>
    <row x14ac:dyDescent="0.25" r="367" customHeight="1" ht="15.75">
      <c r="A367" s="1"/>
      <c r="B367" s="29"/>
      <c r="C367" s="29"/>
      <c r="D367" s="34"/>
      <c r="E367" s="34"/>
      <c r="F367" s="34"/>
      <c r="G367" s="60"/>
      <c r="H367" s="60"/>
      <c r="I367" s="29"/>
      <c r="J367" s="29"/>
      <c r="K367" s="29"/>
      <c r="L367" s="29"/>
      <c r="M367" s="34"/>
      <c r="N367" s="29"/>
      <c r="O367" s="29"/>
      <c r="P367" s="29"/>
      <c r="Q367" s="29"/>
      <c r="R367" s="29"/>
      <c r="S367" s="29"/>
      <c r="T367" s="1"/>
      <c r="U367" s="34"/>
      <c r="V367" s="34"/>
    </row>
    <row x14ac:dyDescent="0.25" r="368" customHeight="1" ht="15.75">
      <c r="A368" s="1"/>
      <c r="B368" s="29"/>
      <c r="C368" s="29"/>
      <c r="D368" s="34"/>
      <c r="E368" s="34"/>
      <c r="F368" s="34"/>
      <c r="G368" s="60"/>
      <c r="H368" s="60"/>
      <c r="I368" s="29"/>
      <c r="J368" s="29"/>
      <c r="K368" s="29"/>
      <c r="L368" s="29"/>
      <c r="M368" s="34"/>
      <c r="N368" s="29"/>
      <c r="O368" s="29"/>
      <c r="P368" s="29"/>
      <c r="Q368" s="29"/>
      <c r="R368" s="29"/>
      <c r="S368" s="29"/>
      <c r="T368" s="1"/>
      <c r="U368" s="34"/>
      <c r="V368" s="34"/>
    </row>
    <row x14ac:dyDescent="0.25" r="369" customHeight="1" ht="15.75">
      <c r="A369" s="1"/>
      <c r="B369" s="29"/>
      <c r="C369" s="29"/>
      <c r="D369" s="34"/>
      <c r="E369" s="34"/>
      <c r="F369" s="34"/>
      <c r="G369" s="60"/>
      <c r="H369" s="60"/>
      <c r="I369" s="29"/>
      <c r="J369" s="29"/>
      <c r="K369" s="29"/>
      <c r="L369" s="29"/>
      <c r="M369" s="34"/>
      <c r="N369" s="29"/>
      <c r="O369" s="29"/>
      <c r="P369" s="29"/>
      <c r="Q369" s="29"/>
      <c r="R369" s="29"/>
      <c r="S369" s="29"/>
      <c r="T369" s="1"/>
      <c r="U369" s="34"/>
      <c r="V369" s="34"/>
    </row>
    <row x14ac:dyDescent="0.25" r="370" customHeight="1" ht="15.75">
      <c r="A370" s="1"/>
      <c r="B370" s="29"/>
      <c r="C370" s="29"/>
      <c r="D370" s="34"/>
      <c r="E370" s="34"/>
      <c r="F370" s="34"/>
      <c r="G370" s="60"/>
      <c r="H370" s="60"/>
      <c r="I370" s="29"/>
      <c r="J370" s="29"/>
      <c r="K370" s="29"/>
      <c r="L370" s="29"/>
      <c r="M370" s="34"/>
      <c r="N370" s="29"/>
      <c r="O370" s="29"/>
      <c r="P370" s="29"/>
      <c r="Q370" s="29"/>
      <c r="R370" s="29"/>
      <c r="S370" s="29"/>
      <c r="T370" s="1"/>
      <c r="U370" s="34"/>
      <c r="V370" s="34"/>
    </row>
    <row x14ac:dyDescent="0.25" r="371" customHeight="1" ht="15.75">
      <c r="A371" s="1"/>
      <c r="B371" s="29"/>
      <c r="C371" s="29"/>
      <c r="D371" s="34"/>
      <c r="E371" s="34"/>
      <c r="F371" s="34"/>
      <c r="G371" s="60"/>
      <c r="H371" s="60"/>
      <c r="I371" s="29"/>
      <c r="J371" s="29"/>
      <c r="K371" s="29"/>
      <c r="L371" s="29"/>
      <c r="M371" s="34"/>
      <c r="N371" s="29"/>
      <c r="O371" s="29"/>
      <c r="P371" s="29"/>
      <c r="Q371" s="29"/>
      <c r="R371" s="29"/>
      <c r="S371" s="29"/>
      <c r="T371" s="1"/>
      <c r="U371" s="34"/>
      <c r="V371" s="34"/>
    </row>
    <row x14ac:dyDescent="0.25" r="372" customHeight="1" ht="15.75">
      <c r="A372" s="1"/>
      <c r="B372" s="29"/>
      <c r="C372" s="29"/>
      <c r="D372" s="34"/>
      <c r="E372" s="34"/>
      <c r="F372" s="34"/>
      <c r="G372" s="60"/>
      <c r="H372" s="60"/>
      <c r="I372" s="29"/>
      <c r="J372" s="29"/>
      <c r="K372" s="29"/>
      <c r="L372" s="29"/>
      <c r="M372" s="34"/>
      <c r="N372" s="29"/>
      <c r="O372" s="29"/>
      <c r="P372" s="29"/>
      <c r="Q372" s="29"/>
      <c r="R372" s="29"/>
      <c r="S372" s="29"/>
      <c r="T372" s="1"/>
      <c r="U372" s="34"/>
      <c r="V372" s="34"/>
    </row>
    <row x14ac:dyDescent="0.25" r="373" customHeight="1" ht="15.75">
      <c r="A373" s="1"/>
      <c r="B373" s="29"/>
      <c r="C373" s="29"/>
      <c r="D373" s="34"/>
      <c r="E373" s="34"/>
      <c r="F373" s="34"/>
      <c r="G373" s="60"/>
      <c r="H373" s="60"/>
      <c r="I373" s="29"/>
      <c r="J373" s="29"/>
      <c r="K373" s="29"/>
      <c r="L373" s="29"/>
      <c r="M373" s="34"/>
      <c r="N373" s="29"/>
      <c r="O373" s="29"/>
      <c r="P373" s="29"/>
      <c r="Q373" s="29"/>
      <c r="R373" s="29"/>
      <c r="S373" s="29"/>
      <c r="T373" s="1"/>
      <c r="U373" s="34"/>
      <c r="V373" s="34"/>
    </row>
    <row x14ac:dyDescent="0.25" r="374" customHeight="1" ht="15.75">
      <c r="A374" s="1"/>
      <c r="B374" s="29"/>
      <c r="C374" s="29"/>
      <c r="D374" s="34"/>
      <c r="E374" s="34"/>
      <c r="F374" s="34"/>
      <c r="G374" s="60"/>
      <c r="H374" s="60"/>
      <c r="I374" s="29"/>
      <c r="J374" s="29"/>
      <c r="K374" s="29"/>
      <c r="L374" s="29"/>
      <c r="M374" s="34"/>
      <c r="N374" s="29"/>
      <c r="O374" s="29"/>
      <c r="P374" s="29"/>
      <c r="Q374" s="29"/>
      <c r="R374" s="29"/>
      <c r="S374" s="29"/>
      <c r="T374" s="1"/>
      <c r="U374" s="34"/>
      <c r="V374" s="34"/>
    </row>
    <row x14ac:dyDescent="0.25" r="375" customHeight="1" ht="15.75">
      <c r="A375" s="1"/>
      <c r="B375" s="29"/>
      <c r="C375" s="29"/>
      <c r="D375" s="34"/>
      <c r="E375" s="34"/>
      <c r="F375" s="34"/>
      <c r="G375" s="60"/>
      <c r="H375" s="60"/>
      <c r="I375" s="29"/>
      <c r="J375" s="29"/>
      <c r="K375" s="29"/>
      <c r="L375" s="29"/>
      <c r="M375" s="34"/>
      <c r="N375" s="29"/>
      <c r="O375" s="29"/>
      <c r="P375" s="29"/>
      <c r="Q375" s="29"/>
      <c r="R375" s="29"/>
      <c r="S375" s="29"/>
      <c r="T375" s="1"/>
      <c r="U375" s="34"/>
      <c r="V375" s="34"/>
    </row>
    <row x14ac:dyDescent="0.25" r="376" customHeight="1" ht="15.75">
      <c r="A376" s="1"/>
      <c r="B376" s="29"/>
      <c r="C376" s="29"/>
      <c r="D376" s="34"/>
      <c r="E376" s="34"/>
      <c r="F376" s="34"/>
      <c r="G376" s="60"/>
      <c r="H376" s="60"/>
      <c r="I376" s="29"/>
      <c r="J376" s="29"/>
      <c r="K376" s="29"/>
      <c r="L376" s="29"/>
      <c r="M376" s="34"/>
      <c r="N376" s="29"/>
      <c r="O376" s="29"/>
      <c r="P376" s="29"/>
      <c r="Q376" s="29"/>
      <c r="R376" s="29"/>
      <c r="S376" s="29"/>
      <c r="T376" s="1"/>
      <c r="U376" s="34"/>
      <c r="V376" s="34"/>
    </row>
    <row x14ac:dyDescent="0.25" r="377" customHeight="1" ht="15.75">
      <c r="A377" s="1"/>
      <c r="B377" s="29"/>
      <c r="C377" s="29"/>
      <c r="D377" s="34"/>
      <c r="E377" s="34"/>
      <c r="F377" s="34"/>
      <c r="G377" s="60"/>
      <c r="H377" s="60"/>
      <c r="I377" s="29"/>
      <c r="J377" s="29"/>
      <c r="K377" s="29"/>
      <c r="L377" s="29"/>
      <c r="M377" s="34"/>
      <c r="N377" s="29"/>
      <c r="O377" s="29"/>
      <c r="P377" s="29"/>
      <c r="Q377" s="29"/>
      <c r="R377" s="29"/>
      <c r="S377" s="29"/>
      <c r="T377" s="1"/>
      <c r="U377" s="34"/>
      <c r="V377" s="34"/>
    </row>
    <row x14ac:dyDescent="0.25" r="378" customHeight="1" ht="15.75">
      <c r="A378" s="1"/>
      <c r="B378" s="29"/>
      <c r="C378" s="29"/>
      <c r="D378" s="34"/>
      <c r="E378" s="34"/>
      <c r="F378" s="34"/>
      <c r="G378" s="60"/>
      <c r="H378" s="60"/>
      <c r="I378" s="29"/>
      <c r="J378" s="29"/>
      <c r="K378" s="29"/>
      <c r="L378" s="29"/>
      <c r="M378" s="34"/>
      <c r="N378" s="29"/>
      <c r="O378" s="29"/>
      <c r="P378" s="29"/>
      <c r="Q378" s="29"/>
      <c r="R378" s="29"/>
      <c r="S378" s="29"/>
      <c r="T378" s="1"/>
      <c r="U378" s="34"/>
      <c r="V378" s="34"/>
    </row>
    <row x14ac:dyDescent="0.25" r="379" customHeight="1" ht="15.75">
      <c r="A379" s="1"/>
      <c r="B379" s="29"/>
      <c r="C379" s="29"/>
      <c r="D379" s="34"/>
      <c r="E379" s="34"/>
      <c r="F379" s="34"/>
      <c r="G379" s="60"/>
      <c r="H379" s="60"/>
      <c r="I379" s="29"/>
      <c r="J379" s="29"/>
      <c r="K379" s="29"/>
      <c r="L379" s="29"/>
      <c r="M379" s="34"/>
      <c r="N379" s="29"/>
      <c r="O379" s="29"/>
      <c r="P379" s="29"/>
      <c r="Q379" s="29"/>
      <c r="R379" s="29"/>
      <c r="S379" s="29"/>
      <c r="T379" s="1"/>
      <c r="U379" s="34"/>
      <c r="V379" s="34"/>
    </row>
    <row x14ac:dyDescent="0.25" r="380" customHeight="1" ht="15.75">
      <c r="A380" s="1"/>
      <c r="B380" s="29"/>
      <c r="C380" s="29"/>
      <c r="D380" s="34"/>
      <c r="E380" s="34"/>
      <c r="F380" s="34"/>
      <c r="G380" s="60"/>
      <c r="H380" s="60"/>
      <c r="I380" s="29"/>
      <c r="J380" s="29"/>
      <c r="K380" s="29"/>
      <c r="L380" s="29"/>
      <c r="M380" s="34"/>
      <c r="N380" s="29"/>
      <c r="O380" s="29"/>
      <c r="P380" s="29"/>
      <c r="Q380" s="29"/>
      <c r="R380" s="29"/>
      <c r="S380" s="29"/>
      <c r="T380" s="1"/>
      <c r="U380" s="34"/>
      <c r="V380" s="34"/>
    </row>
    <row x14ac:dyDescent="0.25" r="381" customHeight="1" ht="15.75">
      <c r="A381" s="1"/>
      <c r="B381" s="29"/>
      <c r="C381" s="29"/>
      <c r="D381" s="34"/>
      <c r="E381" s="34"/>
      <c r="F381" s="34"/>
      <c r="G381" s="60"/>
      <c r="H381" s="60"/>
      <c r="I381" s="29"/>
      <c r="J381" s="29"/>
      <c r="K381" s="29"/>
      <c r="L381" s="29"/>
      <c r="M381" s="34"/>
      <c r="N381" s="29"/>
      <c r="O381" s="29"/>
      <c r="P381" s="29"/>
      <c r="Q381" s="29"/>
      <c r="R381" s="29"/>
      <c r="S381" s="29"/>
      <c r="T381" s="1"/>
      <c r="U381" s="34"/>
      <c r="V381" s="34"/>
    </row>
    <row x14ac:dyDescent="0.25" r="382" customHeight="1" ht="15.75">
      <c r="A382" s="1"/>
      <c r="B382" s="29"/>
      <c r="C382" s="29"/>
      <c r="D382" s="34"/>
      <c r="E382" s="34"/>
      <c r="F382" s="34"/>
      <c r="G382" s="60"/>
      <c r="H382" s="60"/>
      <c r="I382" s="29"/>
      <c r="J382" s="29"/>
      <c r="K382" s="29"/>
      <c r="L382" s="29"/>
      <c r="M382" s="34"/>
      <c r="N382" s="29"/>
      <c r="O382" s="29"/>
      <c r="P382" s="29"/>
      <c r="Q382" s="29"/>
      <c r="R382" s="29"/>
      <c r="S382" s="29"/>
      <c r="T382" s="1"/>
      <c r="U382" s="34"/>
      <c r="V382" s="34"/>
    </row>
    <row x14ac:dyDescent="0.25" r="383" customHeight="1" ht="15.75">
      <c r="A383" s="1"/>
      <c r="B383" s="29"/>
      <c r="C383" s="29"/>
      <c r="D383" s="34"/>
      <c r="E383" s="34"/>
      <c r="F383" s="34"/>
      <c r="G383" s="60"/>
      <c r="H383" s="60"/>
      <c r="I383" s="29"/>
      <c r="J383" s="29"/>
      <c r="K383" s="29"/>
      <c r="L383" s="29"/>
      <c r="M383" s="34"/>
      <c r="N383" s="29"/>
      <c r="O383" s="29"/>
      <c r="P383" s="29"/>
      <c r="Q383" s="29"/>
      <c r="R383" s="29"/>
      <c r="S383" s="29"/>
      <c r="T383" s="1"/>
      <c r="U383" s="34"/>
      <c r="V383" s="34"/>
    </row>
    <row x14ac:dyDescent="0.25" r="384" customHeight="1" ht="15.75">
      <c r="A384" s="1"/>
      <c r="B384" s="29"/>
      <c r="C384" s="29"/>
      <c r="D384" s="34"/>
      <c r="E384" s="34"/>
      <c r="F384" s="34"/>
      <c r="G384" s="60"/>
      <c r="H384" s="60"/>
      <c r="I384" s="29"/>
      <c r="J384" s="29"/>
      <c r="K384" s="29"/>
      <c r="L384" s="29"/>
      <c r="M384" s="34"/>
      <c r="N384" s="29"/>
      <c r="O384" s="29"/>
      <c r="P384" s="29"/>
      <c r="Q384" s="29"/>
      <c r="R384" s="29"/>
      <c r="S384" s="29"/>
      <c r="T384" s="1"/>
      <c r="U384" s="34"/>
      <c r="V384" s="34"/>
    </row>
    <row x14ac:dyDescent="0.25" r="385" customHeight="1" ht="15.75">
      <c r="A385" s="1"/>
      <c r="B385" s="29"/>
      <c r="C385" s="29"/>
      <c r="D385" s="34"/>
      <c r="E385" s="34"/>
      <c r="F385" s="34"/>
      <c r="G385" s="60"/>
      <c r="H385" s="60"/>
      <c r="I385" s="29"/>
      <c r="J385" s="29"/>
      <c r="K385" s="29"/>
      <c r="L385" s="29"/>
      <c r="M385" s="34"/>
      <c r="N385" s="29"/>
      <c r="O385" s="29"/>
      <c r="P385" s="29"/>
      <c r="Q385" s="29"/>
      <c r="R385" s="29"/>
      <c r="S385" s="29"/>
      <c r="T385" s="1"/>
      <c r="U385" s="34"/>
      <c r="V385" s="34"/>
    </row>
    <row x14ac:dyDescent="0.25" r="386" customHeight="1" ht="15.75">
      <c r="A386" s="1"/>
      <c r="B386" s="29"/>
      <c r="C386" s="29"/>
      <c r="D386" s="34"/>
      <c r="E386" s="34"/>
      <c r="F386" s="34"/>
      <c r="G386" s="60"/>
      <c r="H386" s="60"/>
      <c r="I386" s="29"/>
      <c r="J386" s="29"/>
      <c r="K386" s="29"/>
      <c r="L386" s="29"/>
      <c r="M386" s="34"/>
      <c r="N386" s="29"/>
      <c r="O386" s="29"/>
      <c r="P386" s="29"/>
      <c r="Q386" s="29"/>
      <c r="R386" s="29"/>
      <c r="S386" s="29"/>
      <c r="T386" s="1"/>
      <c r="U386" s="34"/>
      <c r="V386" s="34"/>
    </row>
    <row x14ac:dyDescent="0.25" r="387" customHeight="1" ht="15.75">
      <c r="A387" s="1"/>
      <c r="B387" s="29"/>
      <c r="C387" s="29"/>
      <c r="D387" s="34"/>
      <c r="E387" s="34"/>
      <c r="F387" s="34"/>
      <c r="G387" s="60"/>
      <c r="H387" s="60"/>
      <c r="I387" s="29"/>
      <c r="J387" s="29"/>
      <c r="K387" s="29"/>
      <c r="L387" s="29"/>
      <c r="M387" s="34"/>
      <c r="N387" s="29"/>
      <c r="O387" s="29"/>
      <c r="P387" s="29"/>
      <c r="Q387" s="29"/>
      <c r="R387" s="29"/>
      <c r="S387" s="29"/>
      <c r="T387" s="1"/>
      <c r="U387" s="34"/>
      <c r="V387" s="34"/>
    </row>
    <row x14ac:dyDescent="0.25" r="388" customHeight="1" ht="15.75">
      <c r="A388" s="1"/>
      <c r="B388" s="29"/>
      <c r="C388" s="29"/>
      <c r="D388" s="34"/>
      <c r="E388" s="34"/>
      <c r="F388" s="34"/>
      <c r="G388" s="60"/>
      <c r="H388" s="60"/>
      <c r="I388" s="29"/>
      <c r="J388" s="29"/>
      <c r="K388" s="29"/>
      <c r="L388" s="29"/>
      <c r="M388" s="34"/>
      <c r="N388" s="29"/>
      <c r="O388" s="29"/>
      <c r="P388" s="29"/>
      <c r="Q388" s="29"/>
      <c r="R388" s="29"/>
      <c r="S388" s="29"/>
      <c r="T388" s="1"/>
      <c r="U388" s="34"/>
      <c r="V388" s="34"/>
    </row>
    <row x14ac:dyDescent="0.25" r="389" customHeight="1" ht="15.75">
      <c r="A389" s="1"/>
      <c r="B389" s="29"/>
      <c r="C389" s="29"/>
      <c r="D389" s="34"/>
      <c r="E389" s="34"/>
      <c r="F389" s="34"/>
      <c r="G389" s="60"/>
      <c r="H389" s="60"/>
      <c r="I389" s="29"/>
      <c r="J389" s="29"/>
      <c r="K389" s="29"/>
      <c r="L389" s="29"/>
      <c r="M389" s="34"/>
      <c r="N389" s="29"/>
      <c r="O389" s="29"/>
      <c r="P389" s="29"/>
      <c r="Q389" s="29"/>
      <c r="R389" s="29"/>
      <c r="S389" s="29"/>
      <c r="T389" s="1"/>
      <c r="U389" s="34"/>
      <c r="V389" s="34"/>
    </row>
    <row x14ac:dyDescent="0.25" r="390" customHeight="1" ht="15.75">
      <c r="A390" s="1"/>
      <c r="B390" s="29"/>
      <c r="C390" s="29"/>
      <c r="D390" s="34"/>
      <c r="E390" s="34"/>
      <c r="F390" s="34"/>
      <c r="G390" s="60"/>
      <c r="H390" s="60"/>
      <c r="I390" s="29"/>
      <c r="J390" s="29"/>
      <c r="K390" s="29"/>
      <c r="L390" s="29"/>
      <c r="M390" s="34"/>
      <c r="N390" s="29"/>
      <c r="O390" s="29"/>
      <c r="P390" s="29"/>
      <c r="Q390" s="29"/>
      <c r="R390" s="29"/>
      <c r="S390" s="29"/>
      <c r="T390" s="1"/>
      <c r="U390" s="34"/>
      <c r="V390" s="34"/>
    </row>
    <row x14ac:dyDescent="0.25" r="391" customHeight="1" ht="15.75">
      <c r="A391" s="1"/>
      <c r="B391" s="29"/>
      <c r="C391" s="29"/>
      <c r="D391" s="34"/>
      <c r="E391" s="34"/>
      <c r="F391" s="34"/>
      <c r="G391" s="60"/>
      <c r="H391" s="60"/>
      <c r="I391" s="29"/>
      <c r="J391" s="29"/>
      <c r="K391" s="29"/>
      <c r="L391" s="29"/>
      <c r="M391" s="34"/>
      <c r="N391" s="29"/>
      <c r="O391" s="29"/>
      <c r="P391" s="29"/>
      <c r="Q391" s="29"/>
      <c r="R391" s="29"/>
      <c r="S391" s="29"/>
      <c r="T391" s="1"/>
      <c r="U391" s="34"/>
      <c r="V391" s="34"/>
    </row>
    <row x14ac:dyDescent="0.25" r="392" customHeight="1" ht="15.75">
      <c r="A392" s="1"/>
      <c r="B392" s="29"/>
      <c r="C392" s="29"/>
      <c r="D392" s="34"/>
      <c r="E392" s="34"/>
      <c r="F392" s="34"/>
      <c r="G392" s="60"/>
      <c r="H392" s="60"/>
      <c r="I392" s="29"/>
      <c r="J392" s="29"/>
      <c r="K392" s="29"/>
      <c r="L392" s="29"/>
      <c r="M392" s="34"/>
      <c r="N392" s="29"/>
      <c r="O392" s="29"/>
      <c r="P392" s="29"/>
      <c r="Q392" s="29"/>
      <c r="R392" s="29"/>
      <c r="S392" s="29"/>
      <c r="T392" s="1"/>
      <c r="U392" s="34"/>
      <c r="V392" s="34"/>
    </row>
    <row x14ac:dyDescent="0.25" r="393" customHeight="1" ht="15.75">
      <c r="A393" s="1"/>
      <c r="B393" s="29"/>
      <c r="C393" s="29"/>
      <c r="D393" s="34"/>
      <c r="E393" s="34"/>
      <c r="F393" s="34"/>
      <c r="G393" s="60"/>
      <c r="H393" s="60"/>
      <c r="I393" s="29"/>
      <c r="J393" s="29"/>
      <c r="K393" s="29"/>
      <c r="L393" s="29"/>
      <c r="M393" s="34"/>
      <c r="N393" s="29"/>
      <c r="O393" s="29"/>
      <c r="P393" s="29"/>
      <c r="Q393" s="29"/>
      <c r="R393" s="29"/>
      <c r="S393" s="29"/>
      <c r="T393" s="1"/>
      <c r="U393" s="34"/>
      <c r="V393" s="34"/>
    </row>
    <row x14ac:dyDescent="0.25" r="394" customHeight="1" ht="15.75">
      <c r="A394" s="1"/>
      <c r="B394" s="29"/>
      <c r="C394" s="29"/>
      <c r="D394" s="34"/>
      <c r="E394" s="34"/>
      <c r="F394" s="34"/>
      <c r="G394" s="60"/>
      <c r="H394" s="60"/>
      <c r="I394" s="29"/>
      <c r="J394" s="29"/>
      <c r="K394" s="29"/>
      <c r="L394" s="29"/>
      <c r="M394" s="34"/>
      <c r="N394" s="29"/>
      <c r="O394" s="29"/>
      <c r="P394" s="29"/>
      <c r="Q394" s="29"/>
      <c r="R394" s="29"/>
      <c r="S394" s="29"/>
      <c r="T394" s="1"/>
      <c r="U394" s="34"/>
      <c r="V394" s="34"/>
    </row>
    <row x14ac:dyDescent="0.25" r="395" customHeight="1" ht="15.75">
      <c r="A395" s="1"/>
      <c r="B395" s="29"/>
      <c r="C395" s="29"/>
      <c r="D395" s="34"/>
      <c r="E395" s="34"/>
      <c r="F395" s="34"/>
      <c r="G395" s="60"/>
      <c r="H395" s="60"/>
      <c r="I395" s="29"/>
      <c r="J395" s="29"/>
      <c r="K395" s="29"/>
      <c r="L395" s="29"/>
      <c r="M395" s="34"/>
      <c r="N395" s="29"/>
      <c r="O395" s="29"/>
      <c r="P395" s="29"/>
      <c r="Q395" s="29"/>
      <c r="R395" s="29"/>
      <c r="S395" s="29"/>
      <c r="T395" s="1"/>
      <c r="U395" s="34"/>
      <c r="V395" s="34"/>
    </row>
    <row x14ac:dyDescent="0.25" r="396" customHeight="1" ht="15.75">
      <c r="A396" s="1"/>
      <c r="B396" s="29"/>
      <c r="C396" s="29"/>
      <c r="D396" s="34"/>
      <c r="E396" s="34"/>
      <c r="F396" s="34"/>
      <c r="G396" s="60"/>
      <c r="H396" s="60"/>
      <c r="I396" s="29"/>
      <c r="J396" s="29"/>
      <c r="K396" s="29"/>
      <c r="L396" s="29"/>
      <c r="M396" s="34"/>
      <c r="N396" s="29"/>
      <c r="O396" s="29"/>
      <c r="P396" s="29"/>
      <c r="Q396" s="29"/>
      <c r="R396" s="29"/>
      <c r="S396" s="29"/>
      <c r="T396" s="1"/>
      <c r="U396" s="34"/>
      <c r="V396" s="34"/>
    </row>
    <row x14ac:dyDescent="0.25" r="397" customHeight="1" ht="15.75">
      <c r="A397" s="1"/>
      <c r="B397" s="29"/>
      <c r="C397" s="29"/>
      <c r="D397" s="34"/>
      <c r="E397" s="34"/>
      <c r="F397" s="34"/>
      <c r="G397" s="60"/>
      <c r="H397" s="60"/>
      <c r="I397" s="29"/>
      <c r="J397" s="29"/>
      <c r="K397" s="29"/>
      <c r="L397" s="29"/>
      <c r="M397" s="34"/>
      <c r="N397" s="29"/>
      <c r="O397" s="29"/>
      <c r="P397" s="29"/>
      <c r="Q397" s="29"/>
      <c r="R397" s="29"/>
      <c r="S397" s="29"/>
      <c r="T397" s="1"/>
      <c r="U397" s="34"/>
      <c r="V397" s="34"/>
    </row>
    <row x14ac:dyDescent="0.25" r="398" customHeight="1" ht="15.75">
      <c r="A398" s="1"/>
      <c r="B398" s="29"/>
      <c r="C398" s="29"/>
      <c r="D398" s="34"/>
      <c r="E398" s="34"/>
      <c r="F398" s="34"/>
      <c r="G398" s="60"/>
      <c r="H398" s="60"/>
      <c r="I398" s="29"/>
      <c r="J398" s="29"/>
      <c r="K398" s="29"/>
      <c r="L398" s="29"/>
      <c r="M398" s="34"/>
      <c r="N398" s="29"/>
      <c r="O398" s="29"/>
      <c r="P398" s="29"/>
      <c r="Q398" s="29"/>
      <c r="R398" s="29"/>
      <c r="S398" s="29"/>
      <c r="T398" s="1"/>
      <c r="U398" s="34"/>
      <c r="V398" s="34"/>
    </row>
    <row x14ac:dyDescent="0.25" r="399" customHeight="1" ht="15.75">
      <c r="A399" s="1"/>
      <c r="B399" s="29"/>
      <c r="C399" s="29"/>
      <c r="D399" s="34"/>
      <c r="E399" s="34"/>
      <c r="F399" s="34"/>
      <c r="G399" s="60"/>
      <c r="H399" s="60"/>
      <c r="I399" s="29"/>
      <c r="J399" s="29"/>
      <c r="K399" s="29"/>
      <c r="L399" s="29"/>
      <c r="M399" s="34"/>
      <c r="N399" s="29"/>
      <c r="O399" s="29"/>
      <c r="P399" s="29"/>
      <c r="Q399" s="29"/>
      <c r="R399" s="29"/>
      <c r="S399" s="29"/>
      <c r="T399" s="1"/>
      <c r="U399" s="34"/>
      <c r="V399" s="34"/>
    </row>
    <row x14ac:dyDescent="0.25" r="400" customHeight="1" ht="15.75">
      <c r="A400" s="1"/>
      <c r="B400" s="29"/>
      <c r="C400" s="29"/>
      <c r="D400" s="34"/>
      <c r="E400" s="34"/>
      <c r="F400" s="34"/>
      <c r="G400" s="60"/>
      <c r="H400" s="60"/>
      <c r="I400" s="29"/>
      <c r="J400" s="29"/>
      <c r="K400" s="29"/>
      <c r="L400" s="29"/>
      <c r="M400" s="34"/>
      <c r="N400" s="29"/>
      <c r="O400" s="29"/>
      <c r="P400" s="29"/>
      <c r="Q400" s="29"/>
      <c r="R400" s="29"/>
      <c r="S400" s="29"/>
      <c r="T400" s="1"/>
      <c r="U400" s="34"/>
      <c r="V400" s="34"/>
    </row>
    <row x14ac:dyDescent="0.25" r="401" customHeight="1" ht="15.75">
      <c r="A401" s="1"/>
      <c r="B401" s="29"/>
      <c r="C401" s="29"/>
      <c r="D401" s="34"/>
      <c r="E401" s="34"/>
      <c r="F401" s="34"/>
      <c r="G401" s="60"/>
      <c r="H401" s="60"/>
      <c r="I401" s="29"/>
      <c r="J401" s="29"/>
      <c r="K401" s="29"/>
      <c r="L401" s="29"/>
      <c r="M401" s="34"/>
      <c r="N401" s="29"/>
      <c r="O401" s="29"/>
      <c r="P401" s="29"/>
      <c r="Q401" s="29"/>
      <c r="R401" s="29"/>
      <c r="S401" s="29"/>
      <c r="T401" s="1"/>
      <c r="U401" s="34"/>
      <c r="V401" s="34"/>
    </row>
    <row x14ac:dyDescent="0.25" r="402" customHeight="1" ht="15.75">
      <c r="A402" s="1"/>
      <c r="B402" s="29"/>
      <c r="C402" s="29"/>
      <c r="D402" s="34"/>
      <c r="E402" s="34"/>
      <c r="F402" s="34"/>
      <c r="G402" s="60"/>
      <c r="H402" s="60"/>
      <c r="I402" s="29"/>
      <c r="J402" s="29"/>
      <c r="K402" s="29"/>
      <c r="L402" s="29"/>
      <c r="M402" s="34"/>
      <c r="N402" s="29"/>
      <c r="O402" s="29"/>
      <c r="P402" s="29"/>
      <c r="Q402" s="29"/>
      <c r="R402" s="29"/>
      <c r="S402" s="29"/>
      <c r="T402" s="1"/>
      <c r="U402" s="34"/>
      <c r="V402" s="34"/>
    </row>
    <row x14ac:dyDescent="0.25" r="403" customHeight="1" ht="15.75">
      <c r="A403" s="1"/>
      <c r="B403" s="29"/>
      <c r="C403" s="29"/>
      <c r="D403" s="34"/>
      <c r="E403" s="34"/>
      <c r="F403" s="34"/>
      <c r="G403" s="60"/>
      <c r="H403" s="60"/>
      <c r="I403" s="29"/>
      <c r="J403" s="29"/>
      <c r="K403" s="29"/>
      <c r="L403" s="29"/>
      <c r="M403" s="34"/>
      <c r="N403" s="29"/>
      <c r="O403" s="29"/>
      <c r="P403" s="29"/>
      <c r="Q403" s="29"/>
      <c r="R403" s="29"/>
      <c r="S403" s="29"/>
      <c r="T403" s="1"/>
      <c r="U403" s="34"/>
      <c r="V403" s="34"/>
    </row>
    <row x14ac:dyDescent="0.25" r="404" customHeight="1" ht="15.75">
      <c r="A404" s="1"/>
      <c r="B404" s="29"/>
      <c r="C404" s="29"/>
      <c r="D404" s="34"/>
      <c r="E404" s="34"/>
      <c r="F404" s="34"/>
      <c r="G404" s="60"/>
      <c r="H404" s="60"/>
      <c r="I404" s="29"/>
      <c r="J404" s="29"/>
      <c r="K404" s="29"/>
      <c r="L404" s="29"/>
      <c r="M404" s="34"/>
      <c r="N404" s="29"/>
      <c r="O404" s="29"/>
      <c r="P404" s="29"/>
      <c r="Q404" s="29"/>
      <c r="R404" s="29"/>
      <c r="S404" s="29"/>
      <c r="T404" s="1"/>
      <c r="U404" s="34"/>
      <c r="V404" s="34"/>
    </row>
    <row x14ac:dyDescent="0.25" r="405" customHeight="1" ht="15.75">
      <c r="A405" s="1"/>
      <c r="B405" s="29"/>
      <c r="C405" s="29"/>
      <c r="D405" s="34"/>
      <c r="E405" s="34"/>
      <c r="F405" s="34"/>
      <c r="G405" s="60"/>
      <c r="H405" s="60"/>
      <c r="I405" s="29"/>
      <c r="J405" s="29"/>
      <c r="K405" s="29"/>
      <c r="L405" s="29"/>
      <c r="M405" s="34"/>
      <c r="N405" s="29"/>
      <c r="O405" s="29"/>
      <c r="P405" s="29"/>
      <c r="Q405" s="29"/>
      <c r="R405" s="29"/>
      <c r="S405" s="29"/>
      <c r="T405" s="1"/>
      <c r="U405" s="34"/>
      <c r="V405" s="34"/>
    </row>
    <row x14ac:dyDescent="0.25" r="406" customHeight="1" ht="15.75">
      <c r="A406" s="1"/>
      <c r="B406" s="29"/>
      <c r="C406" s="29"/>
      <c r="D406" s="34"/>
      <c r="E406" s="34"/>
      <c r="F406" s="34"/>
      <c r="G406" s="60"/>
      <c r="H406" s="60"/>
      <c r="I406" s="29"/>
      <c r="J406" s="29"/>
      <c r="K406" s="29"/>
      <c r="L406" s="29"/>
      <c r="M406" s="34"/>
      <c r="N406" s="29"/>
      <c r="O406" s="29"/>
      <c r="P406" s="29"/>
      <c r="Q406" s="29"/>
      <c r="R406" s="29"/>
      <c r="S406" s="29"/>
      <c r="T406" s="1"/>
      <c r="U406" s="34"/>
      <c r="V406" s="34"/>
    </row>
    <row x14ac:dyDescent="0.25" r="407" customHeight="1" ht="15.75">
      <c r="A407" s="1"/>
      <c r="B407" s="29"/>
      <c r="C407" s="29"/>
      <c r="D407" s="34"/>
      <c r="E407" s="34"/>
      <c r="F407" s="34"/>
      <c r="G407" s="60"/>
      <c r="H407" s="60"/>
      <c r="I407" s="29"/>
      <c r="J407" s="29"/>
      <c r="K407" s="29"/>
      <c r="L407" s="29"/>
      <c r="M407" s="34"/>
      <c r="N407" s="29"/>
      <c r="O407" s="29"/>
      <c r="P407" s="29"/>
      <c r="Q407" s="29"/>
      <c r="R407" s="29"/>
      <c r="S407" s="29"/>
      <c r="T407" s="1"/>
      <c r="U407" s="34"/>
      <c r="V407" s="34"/>
    </row>
    <row x14ac:dyDescent="0.25" r="408" customHeight="1" ht="15.75">
      <c r="A408" s="1"/>
      <c r="B408" s="29"/>
      <c r="C408" s="29"/>
      <c r="D408" s="34"/>
      <c r="E408" s="34"/>
      <c r="F408" s="34"/>
      <c r="G408" s="60"/>
      <c r="H408" s="60"/>
      <c r="I408" s="29"/>
      <c r="J408" s="29"/>
      <c r="K408" s="29"/>
      <c r="L408" s="29"/>
      <c r="M408" s="34"/>
      <c r="N408" s="29"/>
      <c r="O408" s="29"/>
      <c r="P408" s="29"/>
      <c r="Q408" s="29"/>
      <c r="R408" s="29"/>
      <c r="S408" s="29"/>
      <c r="T408" s="1"/>
      <c r="U408" s="34"/>
      <c r="V408" s="34"/>
    </row>
    <row x14ac:dyDescent="0.25" r="409" customHeight="1" ht="15.75">
      <c r="A409" s="1"/>
      <c r="B409" s="29"/>
      <c r="C409" s="29"/>
      <c r="D409" s="34"/>
      <c r="E409" s="34"/>
      <c r="F409" s="34"/>
      <c r="G409" s="60"/>
      <c r="H409" s="60"/>
      <c r="I409" s="29"/>
      <c r="J409" s="29"/>
      <c r="K409" s="29"/>
      <c r="L409" s="29"/>
      <c r="M409" s="34"/>
      <c r="N409" s="29"/>
      <c r="O409" s="29"/>
      <c r="P409" s="29"/>
      <c r="Q409" s="29"/>
      <c r="R409" s="29"/>
      <c r="S409" s="29"/>
      <c r="T409" s="1"/>
      <c r="U409" s="34"/>
      <c r="V409" s="34"/>
    </row>
    <row x14ac:dyDescent="0.25" r="410" customHeight="1" ht="15.75">
      <c r="A410" s="1"/>
      <c r="B410" s="29"/>
      <c r="C410" s="29"/>
      <c r="D410" s="34"/>
      <c r="E410" s="34"/>
      <c r="F410" s="34"/>
      <c r="G410" s="60"/>
      <c r="H410" s="60"/>
      <c r="I410" s="29"/>
      <c r="J410" s="29"/>
      <c r="K410" s="29"/>
      <c r="L410" s="29"/>
      <c r="M410" s="34"/>
      <c r="N410" s="29"/>
      <c r="O410" s="29"/>
      <c r="P410" s="29"/>
      <c r="Q410" s="29"/>
      <c r="R410" s="29"/>
      <c r="S410" s="29"/>
      <c r="T410" s="1"/>
      <c r="U410" s="34"/>
      <c r="V410" s="34"/>
    </row>
    <row x14ac:dyDescent="0.25" r="411" customHeight="1" ht="15.75">
      <c r="A411" s="1"/>
      <c r="B411" s="29"/>
      <c r="C411" s="29"/>
      <c r="D411" s="34"/>
      <c r="E411" s="34"/>
      <c r="F411" s="34"/>
      <c r="G411" s="60"/>
      <c r="H411" s="60"/>
      <c r="I411" s="29"/>
      <c r="J411" s="29"/>
      <c r="K411" s="29"/>
      <c r="L411" s="29"/>
      <c r="M411" s="34"/>
      <c r="N411" s="29"/>
      <c r="O411" s="29"/>
      <c r="P411" s="29"/>
      <c r="Q411" s="29"/>
      <c r="R411" s="29"/>
      <c r="S411" s="29"/>
      <c r="T411" s="1"/>
      <c r="U411" s="34"/>
      <c r="V411" s="34"/>
    </row>
    <row x14ac:dyDescent="0.25" r="412" customHeight="1" ht="15.75">
      <c r="A412" s="1"/>
      <c r="B412" s="29"/>
      <c r="C412" s="29"/>
      <c r="D412" s="34"/>
      <c r="E412" s="34"/>
      <c r="F412" s="34"/>
      <c r="G412" s="60"/>
      <c r="H412" s="60"/>
      <c r="I412" s="29"/>
      <c r="J412" s="29"/>
      <c r="K412" s="29"/>
      <c r="L412" s="29"/>
      <c r="M412" s="34"/>
      <c r="N412" s="29"/>
      <c r="O412" s="29"/>
      <c r="P412" s="29"/>
      <c r="Q412" s="29"/>
      <c r="R412" s="29"/>
      <c r="S412" s="29"/>
      <c r="T412" s="1"/>
      <c r="U412" s="34"/>
      <c r="V412" s="34"/>
    </row>
    <row x14ac:dyDescent="0.25" r="413" customHeight="1" ht="15.75">
      <c r="A413" s="1"/>
      <c r="B413" s="29"/>
      <c r="C413" s="29"/>
      <c r="D413" s="34"/>
      <c r="E413" s="34"/>
      <c r="F413" s="34"/>
      <c r="G413" s="60"/>
      <c r="H413" s="60"/>
      <c r="I413" s="29"/>
      <c r="J413" s="29"/>
      <c r="K413" s="29"/>
      <c r="L413" s="29"/>
      <c r="M413" s="34"/>
      <c r="N413" s="29"/>
      <c r="O413" s="29"/>
      <c r="P413" s="29"/>
      <c r="Q413" s="29"/>
      <c r="R413" s="29"/>
      <c r="S413" s="29"/>
      <c r="T413" s="1"/>
      <c r="U413" s="34"/>
      <c r="V413" s="34"/>
    </row>
    <row x14ac:dyDescent="0.25" r="414" customHeight="1" ht="15.75">
      <c r="A414" s="1"/>
      <c r="B414" s="29"/>
      <c r="C414" s="29"/>
      <c r="D414" s="34"/>
      <c r="E414" s="34"/>
      <c r="F414" s="34"/>
      <c r="G414" s="60"/>
      <c r="H414" s="60"/>
      <c r="I414" s="29"/>
      <c r="J414" s="29"/>
      <c r="K414" s="29"/>
      <c r="L414" s="29"/>
      <c r="M414" s="34"/>
      <c r="N414" s="29"/>
      <c r="O414" s="29"/>
      <c r="P414" s="29"/>
      <c r="Q414" s="29"/>
      <c r="R414" s="29"/>
      <c r="S414" s="29"/>
      <c r="T414" s="1"/>
      <c r="U414" s="34"/>
      <c r="V414" s="34"/>
    </row>
    <row x14ac:dyDescent="0.25" r="415" customHeight="1" ht="15.75">
      <c r="A415" s="1"/>
      <c r="B415" s="29"/>
      <c r="C415" s="29"/>
      <c r="D415" s="34"/>
      <c r="E415" s="34"/>
      <c r="F415" s="34"/>
      <c r="G415" s="60"/>
      <c r="H415" s="60"/>
      <c r="I415" s="29"/>
      <c r="J415" s="29"/>
      <c r="K415" s="29"/>
      <c r="L415" s="29"/>
      <c r="M415" s="34"/>
      <c r="N415" s="29"/>
      <c r="O415" s="29"/>
      <c r="P415" s="29"/>
      <c r="Q415" s="29"/>
      <c r="R415" s="29"/>
      <c r="S415" s="29"/>
      <c r="T415" s="1"/>
      <c r="U415" s="34"/>
      <c r="V415" s="34"/>
    </row>
    <row x14ac:dyDescent="0.25" r="416" customHeight="1" ht="15.75">
      <c r="A416" s="1"/>
      <c r="B416" s="29"/>
      <c r="C416" s="29"/>
      <c r="D416" s="34"/>
      <c r="E416" s="34"/>
      <c r="F416" s="34"/>
      <c r="G416" s="60"/>
      <c r="H416" s="60"/>
      <c r="I416" s="29"/>
      <c r="J416" s="29"/>
      <c r="K416" s="29"/>
      <c r="L416" s="29"/>
      <c r="M416" s="34"/>
      <c r="N416" s="29"/>
      <c r="O416" s="29"/>
      <c r="P416" s="29"/>
      <c r="Q416" s="29"/>
      <c r="R416" s="29"/>
      <c r="S416" s="29"/>
      <c r="T416" s="1"/>
      <c r="U416" s="34"/>
      <c r="V416" s="34"/>
    </row>
    <row x14ac:dyDescent="0.25" r="417" customHeight="1" ht="15.75">
      <c r="A417" s="1"/>
      <c r="B417" s="29"/>
      <c r="C417" s="29"/>
      <c r="D417" s="34"/>
      <c r="E417" s="34"/>
      <c r="F417" s="34"/>
      <c r="G417" s="60"/>
      <c r="H417" s="60"/>
      <c r="I417" s="29"/>
      <c r="J417" s="29"/>
      <c r="K417" s="29"/>
      <c r="L417" s="29"/>
      <c r="M417" s="34"/>
      <c r="N417" s="29"/>
      <c r="O417" s="29"/>
      <c r="P417" s="29"/>
      <c r="Q417" s="29"/>
      <c r="R417" s="29"/>
      <c r="S417" s="29"/>
      <c r="T417" s="1"/>
      <c r="U417" s="34"/>
      <c r="V417" s="34"/>
    </row>
    <row x14ac:dyDescent="0.25" r="418" customHeight="1" ht="15.75">
      <c r="A418" s="1"/>
      <c r="B418" s="29"/>
      <c r="C418" s="29"/>
      <c r="D418" s="34"/>
      <c r="E418" s="34"/>
      <c r="F418" s="34"/>
      <c r="G418" s="60"/>
      <c r="H418" s="60"/>
      <c r="I418" s="29"/>
      <c r="J418" s="29"/>
      <c r="K418" s="29"/>
      <c r="L418" s="29"/>
      <c r="M418" s="34"/>
      <c r="N418" s="29"/>
      <c r="O418" s="29"/>
      <c r="P418" s="29"/>
      <c r="Q418" s="29"/>
      <c r="R418" s="29"/>
      <c r="S418" s="29"/>
      <c r="T418" s="1"/>
      <c r="U418" s="34"/>
      <c r="V418" s="34"/>
    </row>
    <row x14ac:dyDescent="0.25" r="419" customHeight="1" ht="15.75">
      <c r="A419" s="1"/>
      <c r="B419" s="29"/>
      <c r="C419" s="29"/>
      <c r="D419" s="34"/>
      <c r="E419" s="34"/>
      <c r="F419" s="34"/>
      <c r="G419" s="60"/>
      <c r="H419" s="60"/>
      <c r="I419" s="29"/>
      <c r="J419" s="29"/>
      <c r="K419" s="29"/>
      <c r="L419" s="29"/>
      <c r="M419" s="34"/>
      <c r="N419" s="29"/>
      <c r="O419" s="29"/>
      <c r="P419" s="29"/>
      <c r="Q419" s="29"/>
      <c r="R419" s="29"/>
      <c r="S419" s="29"/>
      <c r="T419" s="1"/>
      <c r="U419" s="34"/>
      <c r="V419" s="34"/>
    </row>
    <row x14ac:dyDescent="0.25" r="420" customHeight="1" ht="15.75">
      <c r="A420" s="1"/>
      <c r="B420" s="29"/>
      <c r="C420" s="29"/>
      <c r="D420" s="34"/>
      <c r="E420" s="34"/>
      <c r="F420" s="34"/>
      <c r="G420" s="60"/>
      <c r="H420" s="60"/>
      <c r="I420" s="29"/>
      <c r="J420" s="29"/>
      <c r="K420" s="29"/>
      <c r="L420" s="29"/>
      <c r="M420" s="34"/>
      <c r="N420" s="29"/>
      <c r="O420" s="29"/>
      <c r="P420" s="29"/>
      <c r="Q420" s="29"/>
      <c r="R420" s="29"/>
      <c r="S420" s="29"/>
      <c r="T420" s="1"/>
      <c r="U420" s="34"/>
      <c r="V420" s="34"/>
    </row>
    <row x14ac:dyDescent="0.25" r="421" customHeight="1" ht="15.75">
      <c r="A421" s="1"/>
      <c r="B421" s="29"/>
      <c r="C421" s="29"/>
      <c r="D421" s="34"/>
      <c r="E421" s="34"/>
      <c r="F421" s="34"/>
      <c r="G421" s="60"/>
      <c r="H421" s="60"/>
      <c r="I421" s="29"/>
      <c r="J421" s="29"/>
      <c r="K421" s="29"/>
      <c r="L421" s="29"/>
      <c r="M421" s="34"/>
      <c r="N421" s="29"/>
      <c r="O421" s="29"/>
      <c r="P421" s="29"/>
      <c r="Q421" s="29"/>
      <c r="R421" s="29"/>
      <c r="S421" s="29"/>
      <c r="T421" s="1"/>
      <c r="U421" s="34"/>
      <c r="V421" s="34"/>
    </row>
    <row x14ac:dyDescent="0.25" r="422" customHeight="1" ht="15.75">
      <c r="A422" s="1"/>
      <c r="B422" s="29"/>
      <c r="C422" s="29"/>
      <c r="D422" s="34"/>
      <c r="E422" s="34"/>
      <c r="F422" s="34"/>
      <c r="G422" s="60"/>
      <c r="H422" s="60"/>
      <c r="I422" s="29"/>
      <c r="J422" s="29"/>
      <c r="K422" s="29"/>
      <c r="L422" s="29"/>
      <c r="M422" s="34"/>
      <c r="N422" s="29"/>
      <c r="O422" s="29"/>
      <c r="P422" s="29"/>
      <c r="Q422" s="29"/>
      <c r="R422" s="29"/>
      <c r="S422" s="29"/>
      <c r="T422" s="1"/>
      <c r="U422" s="34"/>
      <c r="V422" s="34"/>
    </row>
    <row x14ac:dyDescent="0.25" r="423" customHeight="1" ht="15.75">
      <c r="A423" s="1"/>
      <c r="B423" s="29"/>
      <c r="C423" s="29"/>
      <c r="D423" s="34"/>
      <c r="E423" s="34"/>
      <c r="F423" s="34"/>
      <c r="G423" s="60"/>
      <c r="H423" s="60"/>
      <c r="I423" s="29"/>
      <c r="J423" s="29"/>
      <c r="K423" s="29"/>
      <c r="L423" s="29"/>
      <c r="M423" s="34"/>
      <c r="N423" s="29"/>
      <c r="O423" s="29"/>
      <c r="P423" s="29"/>
      <c r="Q423" s="29"/>
      <c r="R423" s="29"/>
      <c r="S423" s="29"/>
      <c r="T423" s="1"/>
      <c r="U423" s="34"/>
      <c r="V423" s="34"/>
    </row>
    <row x14ac:dyDescent="0.25" r="424" customHeight="1" ht="15.75">
      <c r="A424" s="1"/>
      <c r="B424" s="29"/>
      <c r="C424" s="29"/>
      <c r="D424" s="34"/>
      <c r="E424" s="34"/>
      <c r="F424" s="34"/>
      <c r="G424" s="60"/>
      <c r="H424" s="60"/>
      <c r="I424" s="29"/>
      <c r="J424" s="29"/>
      <c r="K424" s="29"/>
      <c r="L424" s="29"/>
      <c r="M424" s="34"/>
      <c r="N424" s="29"/>
      <c r="O424" s="29"/>
      <c r="P424" s="29"/>
      <c r="Q424" s="29"/>
      <c r="R424" s="29"/>
      <c r="S424" s="29"/>
      <c r="T424" s="1"/>
      <c r="U424" s="34"/>
      <c r="V424" s="34"/>
    </row>
    <row x14ac:dyDescent="0.25" r="425" customHeight="1" ht="15.75">
      <c r="A425" s="1"/>
      <c r="B425" s="29"/>
      <c r="C425" s="29"/>
      <c r="D425" s="34"/>
      <c r="E425" s="34"/>
      <c r="F425" s="34"/>
      <c r="G425" s="60"/>
      <c r="H425" s="60"/>
      <c r="I425" s="29"/>
      <c r="J425" s="29"/>
      <c r="K425" s="29"/>
      <c r="L425" s="29"/>
      <c r="M425" s="34"/>
      <c r="N425" s="29"/>
      <c r="O425" s="29"/>
      <c r="P425" s="29"/>
      <c r="Q425" s="29"/>
      <c r="R425" s="29"/>
      <c r="S425" s="29"/>
      <c r="T425" s="1"/>
      <c r="U425" s="34"/>
      <c r="V425" s="34"/>
    </row>
    <row x14ac:dyDescent="0.25" r="426" customHeight="1" ht="15.75">
      <c r="A426" s="1"/>
      <c r="B426" s="29"/>
      <c r="C426" s="29"/>
      <c r="D426" s="34"/>
      <c r="E426" s="34"/>
      <c r="F426" s="34"/>
      <c r="G426" s="60"/>
      <c r="H426" s="60"/>
      <c r="I426" s="29"/>
      <c r="J426" s="29"/>
      <c r="K426" s="29"/>
      <c r="L426" s="29"/>
      <c r="M426" s="34"/>
      <c r="N426" s="29"/>
      <c r="O426" s="29"/>
      <c r="P426" s="29"/>
      <c r="Q426" s="29"/>
      <c r="R426" s="29"/>
      <c r="S426" s="29"/>
      <c r="T426" s="1"/>
      <c r="U426" s="34"/>
      <c r="V426" s="34"/>
    </row>
    <row x14ac:dyDescent="0.25" r="427" customHeight="1" ht="15.75">
      <c r="A427" s="1"/>
      <c r="B427" s="29"/>
      <c r="C427" s="29"/>
      <c r="D427" s="34"/>
      <c r="E427" s="34"/>
      <c r="F427" s="34"/>
      <c r="G427" s="60"/>
      <c r="H427" s="60"/>
      <c r="I427" s="29"/>
      <c r="J427" s="29"/>
      <c r="K427" s="29"/>
      <c r="L427" s="29"/>
      <c r="M427" s="34"/>
      <c r="N427" s="29"/>
      <c r="O427" s="29"/>
      <c r="P427" s="29"/>
      <c r="Q427" s="29"/>
      <c r="R427" s="29"/>
      <c r="S427" s="29"/>
      <c r="T427" s="1"/>
      <c r="U427" s="34"/>
      <c r="V427" s="34"/>
    </row>
    <row x14ac:dyDescent="0.25" r="428" customHeight="1" ht="15.75">
      <c r="A428" s="1"/>
      <c r="B428" s="29"/>
      <c r="C428" s="29"/>
      <c r="D428" s="34"/>
      <c r="E428" s="34"/>
      <c r="F428" s="34"/>
      <c r="G428" s="60"/>
      <c r="H428" s="60"/>
      <c r="I428" s="29"/>
      <c r="J428" s="29"/>
      <c r="K428" s="29"/>
      <c r="L428" s="29"/>
      <c r="M428" s="34"/>
      <c r="N428" s="29"/>
      <c r="O428" s="29"/>
      <c r="P428" s="29"/>
      <c r="Q428" s="29"/>
      <c r="R428" s="29"/>
      <c r="S428" s="29"/>
      <c r="T428" s="1"/>
      <c r="U428" s="34"/>
      <c r="V428" s="34"/>
    </row>
    <row x14ac:dyDescent="0.25" r="429" customHeight="1" ht="15.75">
      <c r="A429" s="1"/>
      <c r="B429" s="29"/>
      <c r="C429" s="29"/>
      <c r="D429" s="34"/>
      <c r="E429" s="34"/>
      <c r="F429" s="34"/>
      <c r="G429" s="60"/>
      <c r="H429" s="60"/>
      <c r="I429" s="29"/>
      <c r="J429" s="29"/>
      <c r="K429" s="29"/>
      <c r="L429" s="29"/>
      <c r="M429" s="34"/>
      <c r="N429" s="29"/>
      <c r="O429" s="29"/>
      <c r="P429" s="29"/>
      <c r="Q429" s="29"/>
      <c r="R429" s="29"/>
      <c r="S429" s="29"/>
      <c r="T429" s="1"/>
      <c r="U429" s="34"/>
      <c r="V429" s="34"/>
    </row>
    <row x14ac:dyDescent="0.25" r="430" customHeight="1" ht="15.75">
      <c r="A430" s="1"/>
      <c r="B430" s="29"/>
      <c r="C430" s="29"/>
      <c r="D430" s="34"/>
      <c r="E430" s="34"/>
      <c r="F430" s="34"/>
      <c r="G430" s="60"/>
      <c r="H430" s="60"/>
      <c r="I430" s="29"/>
      <c r="J430" s="29"/>
      <c r="K430" s="29"/>
      <c r="L430" s="29"/>
      <c r="M430" s="34"/>
      <c r="N430" s="29"/>
      <c r="O430" s="29"/>
      <c r="P430" s="29"/>
      <c r="Q430" s="29"/>
      <c r="R430" s="29"/>
      <c r="S430" s="29"/>
      <c r="T430" s="1"/>
      <c r="U430" s="34"/>
      <c r="V430" s="34"/>
    </row>
    <row x14ac:dyDescent="0.25" r="431" customHeight="1" ht="15.75">
      <c r="A431" s="1"/>
      <c r="B431" s="29"/>
      <c r="C431" s="29"/>
      <c r="D431" s="34"/>
      <c r="E431" s="34"/>
      <c r="F431" s="34"/>
      <c r="G431" s="60"/>
      <c r="H431" s="60"/>
      <c r="I431" s="29"/>
      <c r="J431" s="29"/>
      <c r="K431" s="29"/>
      <c r="L431" s="29"/>
      <c r="M431" s="34"/>
      <c r="N431" s="29"/>
      <c r="O431" s="29"/>
      <c r="P431" s="29"/>
      <c r="Q431" s="29"/>
      <c r="R431" s="29"/>
      <c r="S431" s="29"/>
      <c r="T431" s="1"/>
      <c r="U431" s="34"/>
      <c r="V431" s="34"/>
    </row>
    <row x14ac:dyDescent="0.25" r="432" customHeight="1" ht="15.75">
      <c r="A432" s="1"/>
      <c r="B432" s="29"/>
      <c r="C432" s="29"/>
      <c r="D432" s="34"/>
      <c r="E432" s="34"/>
      <c r="F432" s="34"/>
      <c r="G432" s="60"/>
      <c r="H432" s="60"/>
      <c r="I432" s="29"/>
      <c r="J432" s="29"/>
      <c r="K432" s="29"/>
      <c r="L432" s="29"/>
      <c r="M432" s="34"/>
      <c r="N432" s="29"/>
      <c r="O432" s="29"/>
      <c r="P432" s="29"/>
      <c r="Q432" s="29"/>
      <c r="R432" s="29"/>
      <c r="S432" s="29"/>
      <c r="T432" s="1"/>
      <c r="U432" s="34"/>
      <c r="V432" s="34"/>
    </row>
    <row x14ac:dyDescent="0.25" r="433" customHeight="1" ht="15.75">
      <c r="A433" s="1"/>
      <c r="B433" s="29"/>
      <c r="C433" s="29"/>
      <c r="D433" s="34"/>
      <c r="E433" s="34"/>
      <c r="F433" s="34"/>
      <c r="G433" s="60"/>
      <c r="H433" s="60"/>
      <c r="I433" s="29"/>
      <c r="J433" s="29"/>
      <c r="K433" s="29"/>
      <c r="L433" s="29"/>
      <c r="M433" s="34"/>
      <c r="N433" s="29"/>
      <c r="O433" s="29"/>
      <c r="P433" s="29"/>
      <c r="Q433" s="29"/>
      <c r="R433" s="29"/>
      <c r="S433" s="29"/>
      <c r="T433" s="1"/>
      <c r="U433" s="34"/>
      <c r="V433" s="34"/>
    </row>
    <row x14ac:dyDescent="0.25" r="434" customHeight="1" ht="15.75">
      <c r="A434" s="1"/>
      <c r="B434" s="29"/>
      <c r="C434" s="29"/>
      <c r="D434" s="34"/>
      <c r="E434" s="34"/>
      <c r="F434" s="34"/>
      <c r="G434" s="60"/>
      <c r="H434" s="60"/>
      <c r="I434" s="29"/>
      <c r="J434" s="29"/>
      <c r="K434" s="29"/>
      <c r="L434" s="29"/>
      <c r="M434" s="34"/>
      <c r="N434" s="29"/>
      <c r="O434" s="29"/>
      <c r="P434" s="29"/>
      <c r="Q434" s="29"/>
      <c r="R434" s="29"/>
      <c r="S434" s="29"/>
      <c r="T434" s="1"/>
      <c r="U434" s="34"/>
      <c r="V434" s="34"/>
    </row>
    <row x14ac:dyDescent="0.25" r="435" customHeight="1" ht="15.75">
      <c r="A435" s="1"/>
      <c r="B435" s="29"/>
      <c r="C435" s="29"/>
      <c r="D435" s="34"/>
      <c r="E435" s="34"/>
      <c r="F435" s="34"/>
      <c r="G435" s="60"/>
      <c r="H435" s="60"/>
      <c r="I435" s="29"/>
      <c r="J435" s="29"/>
      <c r="K435" s="29"/>
      <c r="L435" s="29"/>
      <c r="M435" s="34"/>
      <c r="N435" s="29"/>
      <c r="O435" s="29"/>
      <c r="P435" s="29"/>
      <c r="Q435" s="29"/>
      <c r="R435" s="29"/>
      <c r="S435" s="29"/>
      <c r="T435" s="1"/>
      <c r="U435" s="34"/>
      <c r="V435" s="34"/>
    </row>
    <row x14ac:dyDescent="0.25" r="436" customHeight="1" ht="15.75">
      <c r="A436" s="1"/>
      <c r="B436" s="29"/>
      <c r="C436" s="29"/>
      <c r="D436" s="34"/>
      <c r="E436" s="34"/>
      <c r="F436" s="34"/>
      <c r="G436" s="60"/>
      <c r="H436" s="60"/>
      <c r="I436" s="29"/>
      <c r="J436" s="29"/>
      <c r="K436" s="29"/>
      <c r="L436" s="29"/>
      <c r="M436" s="34"/>
      <c r="N436" s="29"/>
      <c r="O436" s="29"/>
      <c r="P436" s="29"/>
      <c r="Q436" s="29"/>
      <c r="R436" s="29"/>
      <c r="S436" s="29"/>
      <c r="T436" s="1"/>
      <c r="U436" s="34"/>
      <c r="V436" s="34"/>
    </row>
    <row x14ac:dyDescent="0.25" r="437" customHeight="1" ht="15.75">
      <c r="A437" s="1"/>
      <c r="B437" s="29"/>
      <c r="C437" s="29"/>
      <c r="D437" s="34"/>
      <c r="E437" s="34"/>
      <c r="F437" s="34"/>
      <c r="G437" s="60"/>
      <c r="H437" s="60"/>
      <c r="I437" s="29"/>
      <c r="J437" s="29"/>
      <c r="K437" s="29"/>
      <c r="L437" s="29"/>
      <c r="M437" s="34"/>
      <c r="N437" s="29"/>
      <c r="O437" s="29"/>
      <c r="P437" s="29"/>
      <c r="Q437" s="29"/>
      <c r="R437" s="29"/>
      <c r="S437" s="29"/>
      <c r="T437" s="1"/>
      <c r="U437" s="34"/>
      <c r="V437" s="34"/>
    </row>
    <row x14ac:dyDescent="0.25" r="438" customHeight="1" ht="15.75">
      <c r="A438" s="1"/>
      <c r="B438" s="29"/>
      <c r="C438" s="29"/>
      <c r="D438" s="34"/>
      <c r="E438" s="34"/>
      <c r="F438" s="34"/>
      <c r="G438" s="60"/>
      <c r="H438" s="60"/>
      <c r="I438" s="29"/>
      <c r="J438" s="29"/>
      <c r="K438" s="29"/>
      <c r="L438" s="29"/>
      <c r="M438" s="34"/>
      <c r="N438" s="29"/>
      <c r="O438" s="29"/>
      <c r="P438" s="29"/>
      <c r="Q438" s="29"/>
      <c r="R438" s="29"/>
      <c r="S438" s="29"/>
      <c r="T438" s="1"/>
      <c r="U438" s="34"/>
      <c r="V438" s="34"/>
    </row>
    <row x14ac:dyDescent="0.25" r="439" customHeight="1" ht="15.75">
      <c r="A439" s="1"/>
      <c r="B439" s="29"/>
      <c r="C439" s="29"/>
      <c r="D439" s="34"/>
      <c r="E439" s="34"/>
      <c r="F439" s="34"/>
      <c r="G439" s="60"/>
      <c r="H439" s="60"/>
      <c r="I439" s="29"/>
      <c r="J439" s="29"/>
      <c r="K439" s="29"/>
      <c r="L439" s="29"/>
      <c r="M439" s="34"/>
      <c r="N439" s="29"/>
      <c r="O439" s="29"/>
      <c r="P439" s="29"/>
      <c r="Q439" s="29"/>
      <c r="R439" s="29"/>
      <c r="S439" s="29"/>
      <c r="T439" s="1"/>
      <c r="U439" s="34"/>
      <c r="V439" s="34"/>
    </row>
    <row x14ac:dyDescent="0.25" r="440" customHeight="1" ht="15.75">
      <c r="A440" s="1"/>
      <c r="B440" s="29"/>
      <c r="C440" s="29"/>
      <c r="D440" s="34"/>
      <c r="E440" s="34"/>
      <c r="F440" s="34"/>
      <c r="G440" s="60"/>
      <c r="H440" s="60"/>
      <c r="I440" s="29"/>
      <c r="J440" s="29"/>
      <c r="K440" s="29"/>
      <c r="L440" s="29"/>
      <c r="M440" s="34"/>
      <c r="N440" s="29"/>
      <c r="O440" s="29"/>
      <c r="P440" s="29"/>
      <c r="Q440" s="29"/>
      <c r="R440" s="29"/>
      <c r="S440" s="29"/>
      <c r="T440" s="1"/>
      <c r="U440" s="34"/>
      <c r="V440" s="34"/>
    </row>
    <row x14ac:dyDescent="0.25" r="441" customHeight="1" ht="15.75">
      <c r="A441" s="1"/>
      <c r="B441" s="29"/>
      <c r="C441" s="29"/>
      <c r="D441" s="34"/>
      <c r="E441" s="34"/>
      <c r="F441" s="34"/>
      <c r="G441" s="60"/>
      <c r="H441" s="60"/>
      <c r="I441" s="29"/>
      <c r="J441" s="29"/>
      <c r="K441" s="29"/>
      <c r="L441" s="29"/>
      <c r="M441" s="34"/>
      <c r="N441" s="29"/>
      <c r="O441" s="29"/>
      <c r="P441" s="29"/>
      <c r="Q441" s="29"/>
      <c r="R441" s="29"/>
      <c r="S441" s="29"/>
      <c r="T441" s="1"/>
      <c r="U441" s="34"/>
      <c r="V441" s="34"/>
    </row>
    <row x14ac:dyDescent="0.25" r="442" customHeight="1" ht="15.75">
      <c r="A442" s="1"/>
      <c r="B442" s="29"/>
      <c r="C442" s="29"/>
      <c r="D442" s="34"/>
      <c r="E442" s="34"/>
      <c r="F442" s="34"/>
      <c r="G442" s="60"/>
      <c r="H442" s="60"/>
      <c r="I442" s="29"/>
      <c r="J442" s="29"/>
      <c r="K442" s="29"/>
      <c r="L442" s="29"/>
      <c r="M442" s="34"/>
      <c r="N442" s="29"/>
      <c r="O442" s="29"/>
      <c r="P442" s="29"/>
      <c r="Q442" s="29"/>
      <c r="R442" s="29"/>
      <c r="S442" s="29"/>
      <c r="T442" s="1"/>
      <c r="U442" s="34"/>
      <c r="V442" s="34"/>
    </row>
    <row x14ac:dyDescent="0.25" r="443" customHeight="1" ht="15.75">
      <c r="A443" s="1"/>
      <c r="B443" s="29"/>
      <c r="C443" s="29"/>
      <c r="D443" s="34"/>
      <c r="E443" s="34"/>
      <c r="F443" s="34"/>
      <c r="G443" s="60"/>
      <c r="H443" s="60"/>
      <c r="I443" s="29"/>
      <c r="J443" s="29"/>
      <c r="K443" s="29"/>
      <c r="L443" s="29"/>
      <c r="M443" s="34"/>
      <c r="N443" s="29"/>
      <c r="O443" s="29"/>
      <c r="P443" s="29"/>
      <c r="Q443" s="29"/>
      <c r="R443" s="29"/>
      <c r="S443" s="29"/>
      <c r="T443" s="1"/>
      <c r="U443" s="34"/>
      <c r="V443" s="34"/>
    </row>
    <row x14ac:dyDescent="0.25" r="444" customHeight="1" ht="15.75">
      <c r="A444" s="1"/>
      <c r="B444" s="29"/>
      <c r="C444" s="29"/>
      <c r="D444" s="34"/>
      <c r="E444" s="34"/>
      <c r="F444" s="34"/>
      <c r="G444" s="60"/>
      <c r="H444" s="60"/>
      <c r="I444" s="29"/>
      <c r="J444" s="29"/>
      <c r="K444" s="29"/>
      <c r="L444" s="29"/>
      <c r="M444" s="34"/>
      <c r="N444" s="29"/>
      <c r="O444" s="29"/>
      <c r="P444" s="29"/>
      <c r="Q444" s="29"/>
      <c r="R444" s="29"/>
      <c r="S444" s="29"/>
      <c r="T444" s="1"/>
      <c r="U444" s="34"/>
      <c r="V444" s="34"/>
    </row>
    <row x14ac:dyDescent="0.25" r="445" customHeight="1" ht="15.75">
      <c r="A445" s="1"/>
      <c r="B445" s="29"/>
      <c r="C445" s="29"/>
      <c r="D445" s="34"/>
      <c r="E445" s="34"/>
      <c r="F445" s="34"/>
      <c r="G445" s="60"/>
      <c r="H445" s="60"/>
      <c r="I445" s="29"/>
      <c r="J445" s="29"/>
      <c r="K445" s="29"/>
      <c r="L445" s="29"/>
      <c r="M445" s="34"/>
      <c r="N445" s="29"/>
      <c r="O445" s="29"/>
      <c r="P445" s="29"/>
      <c r="Q445" s="29"/>
      <c r="R445" s="29"/>
      <c r="S445" s="29"/>
      <c r="T445" s="1"/>
      <c r="U445" s="34"/>
      <c r="V445" s="34"/>
    </row>
    <row x14ac:dyDescent="0.25" r="446" customHeight="1" ht="15.75">
      <c r="A446" s="1"/>
      <c r="B446" s="29"/>
      <c r="C446" s="29"/>
      <c r="D446" s="34"/>
      <c r="E446" s="34"/>
      <c r="F446" s="34"/>
      <c r="G446" s="60"/>
      <c r="H446" s="60"/>
      <c r="I446" s="29"/>
      <c r="J446" s="29"/>
      <c r="K446" s="29"/>
      <c r="L446" s="29"/>
      <c r="M446" s="34"/>
      <c r="N446" s="29"/>
      <c r="O446" s="29"/>
      <c r="P446" s="29"/>
      <c r="Q446" s="29"/>
      <c r="R446" s="29"/>
      <c r="S446" s="29"/>
      <c r="T446" s="1"/>
      <c r="U446" s="34"/>
      <c r="V446" s="34"/>
    </row>
    <row x14ac:dyDescent="0.25" r="447" customHeight="1" ht="15.75">
      <c r="A447" s="1"/>
      <c r="B447" s="29"/>
      <c r="C447" s="29"/>
      <c r="D447" s="34"/>
      <c r="E447" s="34"/>
      <c r="F447" s="34"/>
      <c r="G447" s="60"/>
      <c r="H447" s="60"/>
      <c r="I447" s="29"/>
      <c r="J447" s="29"/>
      <c r="K447" s="29"/>
      <c r="L447" s="29"/>
      <c r="M447" s="34"/>
      <c r="N447" s="29"/>
      <c r="O447" s="29"/>
      <c r="P447" s="29"/>
      <c r="Q447" s="29"/>
      <c r="R447" s="29"/>
      <c r="S447" s="29"/>
      <c r="T447" s="1"/>
      <c r="U447" s="34"/>
      <c r="V447" s="34"/>
    </row>
    <row x14ac:dyDescent="0.25" r="448" customHeight="1" ht="15.75">
      <c r="A448" s="1"/>
      <c r="B448" s="29"/>
      <c r="C448" s="29"/>
      <c r="D448" s="34"/>
      <c r="E448" s="34"/>
      <c r="F448" s="34"/>
      <c r="G448" s="60"/>
      <c r="H448" s="60"/>
      <c r="I448" s="29"/>
      <c r="J448" s="29"/>
      <c r="K448" s="29"/>
      <c r="L448" s="29"/>
      <c r="M448" s="34"/>
      <c r="N448" s="29"/>
      <c r="O448" s="29"/>
      <c r="P448" s="29"/>
      <c r="Q448" s="29"/>
      <c r="R448" s="29"/>
      <c r="S448" s="29"/>
      <c r="T448" s="1"/>
      <c r="U448" s="34"/>
      <c r="V448" s="34"/>
    </row>
    <row x14ac:dyDescent="0.25" r="449" customHeight="1" ht="15.75">
      <c r="A449" s="1"/>
      <c r="B449" s="29"/>
      <c r="C449" s="29"/>
      <c r="D449" s="34"/>
      <c r="E449" s="34"/>
      <c r="F449" s="34"/>
      <c r="G449" s="60"/>
      <c r="H449" s="60"/>
      <c r="I449" s="29"/>
      <c r="J449" s="29"/>
      <c r="K449" s="29"/>
      <c r="L449" s="29"/>
      <c r="M449" s="34"/>
      <c r="N449" s="29"/>
      <c r="O449" s="29"/>
      <c r="P449" s="29"/>
      <c r="Q449" s="29"/>
      <c r="R449" s="29"/>
      <c r="S449" s="29"/>
      <c r="T449" s="1"/>
      <c r="U449" s="34"/>
      <c r="V449" s="34"/>
    </row>
    <row x14ac:dyDescent="0.25" r="450" customHeight="1" ht="15.75">
      <c r="A450" s="1"/>
      <c r="B450" s="29"/>
      <c r="C450" s="29"/>
      <c r="D450" s="34"/>
      <c r="E450" s="34"/>
      <c r="F450" s="34"/>
      <c r="G450" s="60"/>
      <c r="H450" s="60"/>
      <c r="I450" s="29"/>
      <c r="J450" s="29"/>
      <c r="K450" s="29"/>
      <c r="L450" s="29"/>
      <c r="M450" s="34"/>
      <c r="N450" s="29"/>
      <c r="O450" s="29"/>
      <c r="P450" s="29"/>
      <c r="Q450" s="29"/>
      <c r="R450" s="29"/>
      <c r="S450" s="29"/>
      <c r="T450" s="1"/>
      <c r="U450" s="34"/>
      <c r="V450" s="34"/>
    </row>
    <row x14ac:dyDescent="0.25" r="451" customHeight="1" ht="15.75">
      <c r="A451" s="1"/>
      <c r="B451" s="29"/>
      <c r="C451" s="29"/>
      <c r="D451" s="34"/>
      <c r="E451" s="34"/>
      <c r="F451" s="34"/>
      <c r="G451" s="60"/>
      <c r="H451" s="60"/>
      <c r="I451" s="29"/>
      <c r="J451" s="29"/>
      <c r="K451" s="29"/>
      <c r="L451" s="29"/>
      <c r="M451" s="34"/>
      <c r="N451" s="29"/>
      <c r="O451" s="29"/>
      <c r="P451" s="29"/>
      <c r="Q451" s="29"/>
      <c r="R451" s="29"/>
      <c r="S451" s="29"/>
      <c r="T451" s="1"/>
      <c r="U451" s="34"/>
      <c r="V451" s="34"/>
    </row>
    <row x14ac:dyDescent="0.25" r="452" customHeight="1" ht="15.75">
      <c r="A452" s="1"/>
      <c r="B452" s="29"/>
      <c r="C452" s="29"/>
      <c r="D452" s="34"/>
      <c r="E452" s="34"/>
      <c r="F452" s="34"/>
      <c r="G452" s="60"/>
      <c r="H452" s="60"/>
      <c r="I452" s="29"/>
      <c r="J452" s="29"/>
      <c r="K452" s="29"/>
      <c r="L452" s="29"/>
      <c r="M452" s="34"/>
      <c r="N452" s="29"/>
      <c r="O452" s="29"/>
      <c r="P452" s="29"/>
      <c r="Q452" s="29"/>
      <c r="R452" s="29"/>
      <c r="S452" s="29"/>
      <c r="T452" s="1"/>
      <c r="U452" s="34"/>
      <c r="V452" s="34"/>
    </row>
    <row x14ac:dyDescent="0.25" r="453" customHeight="1" ht="15.75">
      <c r="A453" s="1"/>
      <c r="B453" s="29"/>
      <c r="C453" s="29"/>
      <c r="D453" s="34"/>
      <c r="E453" s="34"/>
      <c r="F453" s="34"/>
      <c r="G453" s="60"/>
      <c r="H453" s="60"/>
      <c r="I453" s="29"/>
      <c r="J453" s="29"/>
      <c r="K453" s="29"/>
      <c r="L453" s="29"/>
      <c r="M453" s="34"/>
      <c r="N453" s="29"/>
      <c r="O453" s="29"/>
      <c r="P453" s="29"/>
      <c r="Q453" s="29"/>
      <c r="R453" s="29"/>
      <c r="S453" s="29"/>
      <c r="T453" s="1"/>
      <c r="U453" s="34"/>
      <c r="V453" s="34"/>
    </row>
    <row x14ac:dyDescent="0.25" r="454" customHeight="1" ht="15.75">
      <c r="A454" s="1"/>
      <c r="B454" s="29"/>
      <c r="C454" s="29"/>
      <c r="D454" s="34"/>
      <c r="E454" s="34"/>
      <c r="F454" s="34"/>
      <c r="G454" s="60"/>
      <c r="H454" s="60"/>
      <c r="I454" s="29"/>
      <c r="J454" s="29"/>
      <c r="K454" s="29"/>
      <c r="L454" s="29"/>
      <c r="M454" s="34"/>
      <c r="N454" s="29"/>
      <c r="O454" s="29"/>
      <c r="P454" s="29"/>
      <c r="Q454" s="29"/>
      <c r="R454" s="29"/>
      <c r="S454" s="29"/>
      <c r="T454" s="1"/>
      <c r="U454" s="34"/>
      <c r="V454" s="34"/>
    </row>
    <row x14ac:dyDescent="0.25" r="455" customHeight="1" ht="15.75">
      <c r="A455" s="1"/>
      <c r="B455" s="29"/>
      <c r="C455" s="29"/>
      <c r="D455" s="34"/>
      <c r="E455" s="34"/>
      <c r="F455" s="34"/>
      <c r="G455" s="60"/>
      <c r="H455" s="60"/>
      <c r="I455" s="29"/>
      <c r="J455" s="29"/>
      <c r="K455" s="29"/>
      <c r="L455" s="29"/>
      <c r="M455" s="34"/>
      <c r="N455" s="29"/>
      <c r="O455" s="29"/>
      <c r="P455" s="29"/>
      <c r="Q455" s="29"/>
      <c r="R455" s="29"/>
      <c r="S455" s="29"/>
      <c r="T455" s="1"/>
      <c r="U455" s="34"/>
      <c r="V455" s="34"/>
    </row>
    <row x14ac:dyDescent="0.25" r="456" customHeight="1" ht="15.75">
      <c r="A456" s="1"/>
      <c r="B456" s="29"/>
      <c r="C456" s="29"/>
      <c r="D456" s="34"/>
      <c r="E456" s="34"/>
      <c r="F456" s="34"/>
      <c r="G456" s="60"/>
      <c r="H456" s="60"/>
      <c r="I456" s="29"/>
      <c r="J456" s="29"/>
      <c r="K456" s="29"/>
      <c r="L456" s="29"/>
      <c r="M456" s="34"/>
      <c r="N456" s="29"/>
      <c r="O456" s="29"/>
      <c r="P456" s="29"/>
      <c r="Q456" s="29"/>
      <c r="R456" s="29"/>
      <c r="S456" s="29"/>
      <c r="T456" s="1"/>
      <c r="U456" s="34"/>
      <c r="V456" s="34"/>
    </row>
    <row x14ac:dyDescent="0.25" r="457" customHeight="1" ht="15.75">
      <c r="A457" s="1"/>
      <c r="B457" s="29"/>
      <c r="C457" s="29"/>
      <c r="D457" s="34"/>
      <c r="E457" s="34"/>
      <c r="F457" s="34"/>
      <c r="G457" s="60"/>
      <c r="H457" s="60"/>
      <c r="I457" s="29"/>
      <c r="J457" s="29"/>
      <c r="K457" s="29"/>
      <c r="L457" s="29"/>
      <c r="M457" s="34"/>
      <c r="N457" s="29"/>
      <c r="O457" s="29"/>
      <c r="P457" s="29"/>
      <c r="Q457" s="29"/>
      <c r="R457" s="29"/>
      <c r="S457" s="29"/>
      <c r="T457" s="1"/>
      <c r="U457" s="34"/>
      <c r="V457" s="34"/>
    </row>
    <row x14ac:dyDescent="0.25" r="458" customHeight="1" ht="15.75">
      <c r="A458" s="1"/>
      <c r="B458" s="29"/>
      <c r="C458" s="29"/>
      <c r="D458" s="34"/>
      <c r="E458" s="34"/>
      <c r="F458" s="34"/>
      <c r="G458" s="60"/>
      <c r="H458" s="60"/>
      <c r="I458" s="29"/>
      <c r="J458" s="29"/>
      <c r="K458" s="29"/>
      <c r="L458" s="29"/>
      <c r="M458" s="34"/>
      <c r="N458" s="29"/>
      <c r="O458" s="29"/>
      <c r="P458" s="29"/>
      <c r="Q458" s="29"/>
      <c r="R458" s="29"/>
      <c r="S458" s="29"/>
      <c r="T458" s="1"/>
      <c r="U458" s="34"/>
      <c r="V458" s="34"/>
    </row>
    <row x14ac:dyDescent="0.25" r="459" customHeight="1" ht="15.75">
      <c r="A459" s="1"/>
      <c r="B459" s="29"/>
      <c r="C459" s="29"/>
      <c r="D459" s="34"/>
      <c r="E459" s="34"/>
      <c r="F459" s="34"/>
      <c r="G459" s="60"/>
      <c r="H459" s="60"/>
      <c r="I459" s="29"/>
      <c r="J459" s="29"/>
      <c r="K459" s="29"/>
      <c r="L459" s="29"/>
      <c r="M459" s="34"/>
      <c r="N459" s="29"/>
      <c r="O459" s="29"/>
      <c r="P459" s="29"/>
      <c r="Q459" s="29"/>
      <c r="R459" s="29"/>
      <c r="S459" s="29"/>
      <c r="T459" s="1"/>
      <c r="U459" s="34"/>
      <c r="V459" s="34"/>
    </row>
    <row x14ac:dyDescent="0.25" r="460" customHeight="1" ht="15.75">
      <c r="A460" s="1"/>
      <c r="B460" s="29"/>
      <c r="C460" s="29"/>
      <c r="D460" s="34"/>
      <c r="E460" s="34"/>
      <c r="F460" s="34"/>
      <c r="G460" s="60"/>
      <c r="H460" s="60"/>
      <c r="I460" s="29"/>
      <c r="J460" s="29"/>
      <c r="K460" s="29"/>
      <c r="L460" s="29"/>
      <c r="M460" s="34"/>
      <c r="N460" s="29"/>
      <c r="O460" s="29"/>
      <c r="P460" s="29"/>
      <c r="Q460" s="29"/>
      <c r="R460" s="29"/>
      <c r="S460" s="29"/>
      <c r="T460" s="1"/>
      <c r="U460" s="34"/>
      <c r="V460" s="34"/>
    </row>
    <row x14ac:dyDescent="0.25" r="461" customHeight="1" ht="15.75">
      <c r="A461" s="1"/>
      <c r="B461" s="29"/>
      <c r="C461" s="29"/>
      <c r="D461" s="34"/>
      <c r="E461" s="34"/>
      <c r="F461" s="34"/>
      <c r="G461" s="60"/>
      <c r="H461" s="60"/>
      <c r="I461" s="29"/>
      <c r="J461" s="29"/>
      <c r="K461" s="29"/>
      <c r="L461" s="29"/>
      <c r="M461" s="34"/>
      <c r="N461" s="29"/>
      <c r="O461" s="29"/>
      <c r="P461" s="29"/>
      <c r="Q461" s="29"/>
      <c r="R461" s="29"/>
      <c r="S461" s="29"/>
      <c r="T461" s="1"/>
      <c r="U461" s="34"/>
      <c r="V461" s="34"/>
    </row>
    <row x14ac:dyDescent="0.25" r="462" customHeight="1" ht="15.75">
      <c r="A462" s="1"/>
      <c r="B462" s="29"/>
      <c r="C462" s="29"/>
      <c r="D462" s="34"/>
      <c r="E462" s="34"/>
      <c r="F462" s="34"/>
      <c r="G462" s="60"/>
      <c r="H462" s="60"/>
      <c r="I462" s="29"/>
      <c r="J462" s="29"/>
      <c r="K462" s="29"/>
      <c r="L462" s="29"/>
      <c r="M462" s="34"/>
      <c r="N462" s="29"/>
      <c r="O462" s="29"/>
      <c r="P462" s="29"/>
      <c r="Q462" s="29"/>
      <c r="R462" s="29"/>
      <c r="S462" s="29"/>
      <c r="T462" s="1"/>
      <c r="U462" s="34"/>
      <c r="V462" s="34"/>
    </row>
    <row x14ac:dyDescent="0.25" r="463" customHeight="1" ht="15.75">
      <c r="A463" s="1"/>
      <c r="B463" s="29"/>
      <c r="C463" s="29"/>
      <c r="D463" s="34"/>
      <c r="E463" s="34"/>
      <c r="F463" s="34"/>
      <c r="G463" s="60"/>
      <c r="H463" s="60"/>
      <c r="I463" s="29"/>
      <c r="J463" s="29"/>
      <c r="K463" s="29"/>
      <c r="L463" s="29"/>
      <c r="M463" s="34"/>
      <c r="N463" s="29"/>
      <c r="O463" s="29"/>
      <c r="P463" s="29"/>
      <c r="Q463" s="29"/>
      <c r="R463" s="29"/>
      <c r="S463" s="29"/>
      <c r="T463" s="1"/>
      <c r="U463" s="34"/>
      <c r="V463" s="34"/>
    </row>
    <row x14ac:dyDescent="0.25" r="464" customHeight="1" ht="15.75">
      <c r="A464" s="1"/>
      <c r="B464" s="29"/>
      <c r="C464" s="29"/>
      <c r="D464" s="34"/>
      <c r="E464" s="34"/>
      <c r="F464" s="34"/>
      <c r="G464" s="60"/>
      <c r="H464" s="60"/>
      <c r="I464" s="29"/>
      <c r="J464" s="29"/>
      <c r="K464" s="29"/>
      <c r="L464" s="29"/>
      <c r="M464" s="34"/>
      <c r="N464" s="29"/>
      <c r="O464" s="29"/>
      <c r="P464" s="29"/>
      <c r="Q464" s="29"/>
      <c r="R464" s="29"/>
      <c r="S464" s="29"/>
      <c r="T464" s="1"/>
      <c r="U464" s="34"/>
      <c r="V464" s="34"/>
    </row>
    <row x14ac:dyDescent="0.25" r="465" customHeight="1" ht="15.75">
      <c r="A465" s="1"/>
      <c r="B465" s="29"/>
      <c r="C465" s="29"/>
      <c r="D465" s="34"/>
      <c r="E465" s="34"/>
      <c r="F465" s="34"/>
      <c r="G465" s="60"/>
      <c r="H465" s="60"/>
      <c r="I465" s="29"/>
      <c r="J465" s="29"/>
      <c r="K465" s="29"/>
      <c r="L465" s="29"/>
      <c r="M465" s="34"/>
      <c r="N465" s="29"/>
      <c r="O465" s="29"/>
      <c r="P465" s="29"/>
      <c r="Q465" s="29"/>
      <c r="R465" s="29"/>
      <c r="S465" s="29"/>
      <c r="T465" s="1"/>
      <c r="U465" s="34"/>
      <c r="V465" s="34"/>
    </row>
    <row x14ac:dyDescent="0.25" r="466" customHeight="1" ht="15.75">
      <c r="A466" s="1"/>
      <c r="B466" s="29"/>
      <c r="C466" s="29"/>
      <c r="D466" s="34"/>
      <c r="E466" s="34"/>
      <c r="F466" s="34"/>
      <c r="G466" s="60"/>
      <c r="H466" s="60"/>
      <c r="I466" s="29"/>
      <c r="J466" s="29"/>
      <c r="K466" s="29"/>
      <c r="L466" s="29"/>
      <c r="M466" s="34"/>
      <c r="N466" s="29"/>
      <c r="O466" s="29"/>
      <c r="P466" s="29"/>
      <c r="Q466" s="29"/>
      <c r="R466" s="29"/>
      <c r="S466" s="29"/>
      <c r="T466" s="1"/>
      <c r="U466" s="34"/>
      <c r="V466" s="34"/>
    </row>
    <row x14ac:dyDescent="0.25" r="467" customHeight="1" ht="15.75">
      <c r="A467" s="1"/>
      <c r="B467" s="29"/>
      <c r="C467" s="29"/>
      <c r="D467" s="34"/>
      <c r="E467" s="34"/>
      <c r="F467" s="34"/>
      <c r="G467" s="60"/>
      <c r="H467" s="60"/>
      <c r="I467" s="29"/>
      <c r="J467" s="29"/>
      <c r="K467" s="29"/>
      <c r="L467" s="29"/>
      <c r="M467" s="34"/>
      <c r="N467" s="29"/>
      <c r="O467" s="29"/>
      <c r="P467" s="29"/>
      <c r="Q467" s="29"/>
      <c r="R467" s="29"/>
      <c r="S467" s="29"/>
      <c r="T467" s="1"/>
      <c r="U467" s="34"/>
      <c r="V467" s="34"/>
    </row>
    <row x14ac:dyDescent="0.25" r="468" customHeight="1" ht="15.75">
      <c r="A468" s="1"/>
      <c r="B468" s="29"/>
      <c r="C468" s="29"/>
      <c r="D468" s="34"/>
      <c r="E468" s="34"/>
      <c r="F468" s="34"/>
      <c r="G468" s="60"/>
      <c r="H468" s="60"/>
      <c r="I468" s="29"/>
      <c r="J468" s="29"/>
      <c r="K468" s="29"/>
      <c r="L468" s="29"/>
      <c r="M468" s="34"/>
      <c r="N468" s="29"/>
      <c r="O468" s="29"/>
      <c r="P468" s="29"/>
      <c r="Q468" s="29"/>
      <c r="R468" s="29"/>
      <c r="S468" s="29"/>
      <c r="T468" s="1"/>
      <c r="U468" s="34"/>
      <c r="V468" s="34"/>
    </row>
    <row x14ac:dyDescent="0.25" r="469" customHeight="1" ht="15.75">
      <c r="A469" s="1"/>
      <c r="B469" s="29"/>
      <c r="C469" s="29"/>
      <c r="D469" s="34"/>
      <c r="E469" s="34"/>
      <c r="F469" s="34"/>
      <c r="G469" s="60"/>
      <c r="H469" s="60"/>
      <c r="I469" s="29"/>
      <c r="J469" s="29"/>
      <c r="K469" s="29"/>
      <c r="L469" s="29"/>
      <c r="M469" s="34"/>
      <c r="N469" s="29"/>
      <c r="O469" s="29"/>
      <c r="P469" s="29"/>
      <c r="Q469" s="29"/>
      <c r="R469" s="29"/>
      <c r="S469" s="29"/>
      <c r="T469" s="1"/>
      <c r="U469" s="34"/>
      <c r="V469" s="34"/>
    </row>
    <row x14ac:dyDescent="0.25" r="470" customHeight="1" ht="15.75">
      <c r="A470" s="1"/>
      <c r="B470" s="29"/>
      <c r="C470" s="29"/>
      <c r="D470" s="34"/>
      <c r="E470" s="34"/>
      <c r="F470" s="34"/>
      <c r="G470" s="60"/>
      <c r="H470" s="60"/>
      <c r="I470" s="29"/>
      <c r="J470" s="29"/>
      <c r="K470" s="29"/>
      <c r="L470" s="29"/>
      <c r="M470" s="34"/>
      <c r="N470" s="29"/>
      <c r="O470" s="29"/>
      <c r="P470" s="29"/>
      <c r="Q470" s="29"/>
      <c r="R470" s="29"/>
      <c r="S470" s="29"/>
      <c r="T470" s="1"/>
      <c r="U470" s="34"/>
      <c r="V470" s="34"/>
    </row>
    <row x14ac:dyDescent="0.25" r="471" customHeight="1" ht="15.75">
      <c r="A471" s="1"/>
      <c r="B471" s="29"/>
      <c r="C471" s="29"/>
      <c r="D471" s="34"/>
      <c r="E471" s="34"/>
      <c r="F471" s="34"/>
      <c r="G471" s="60"/>
      <c r="H471" s="60"/>
      <c r="I471" s="29"/>
      <c r="J471" s="29"/>
      <c r="K471" s="29"/>
      <c r="L471" s="29"/>
      <c r="M471" s="34"/>
      <c r="N471" s="29"/>
      <c r="O471" s="29"/>
      <c r="P471" s="29"/>
      <c r="Q471" s="29"/>
      <c r="R471" s="29"/>
      <c r="S471" s="29"/>
      <c r="T471" s="1"/>
      <c r="U471" s="34"/>
      <c r="V471" s="34"/>
    </row>
    <row x14ac:dyDescent="0.25" r="472" customHeight="1" ht="15.75">
      <c r="A472" s="1"/>
      <c r="B472" s="29"/>
      <c r="C472" s="29"/>
      <c r="D472" s="34"/>
      <c r="E472" s="34"/>
      <c r="F472" s="34"/>
      <c r="G472" s="60"/>
      <c r="H472" s="60"/>
      <c r="I472" s="29"/>
      <c r="J472" s="29"/>
      <c r="K472" s="29"/>
      <c r="L472" s="29"/>
      <c r="M472" s="34"/>
      <c r="N472" s="29"/>
      <c r="O472" s="29"/>
      <c r="P472" s="29"/>
      <c r="Q472" s="29"/>
      <c r="R472" s="29"/>
      <c r="S472" s="29"/>
      <c r="T472" s="1"/>
      <c r="U472" s="34"/>
      <c r="V472" s="34"/>
    </row>
    <row x14ac:dyDescent="0.25" r="473" customHeight="1" ht="15.75">
      <c r="A473" s="1"/>
      <c r="B473" s="29"/>
      <c r="C473" s="29"/>
      <c r="D473" s="34"/>
      <c r="E473" s="34"/>
      <c r="F473" s="34"/>
      <c r="G473" s="60"/>
      <c r="H473" s="60"/>
      <c r="I473" s="29"/>
      <c r="J473" s="29"/>
      <c r="K473" s="29"/>
      <c r="L473" s="29"/>
      <c r="M473" s="34"/>
      <c r="N473" s="29"/>
      <c r="O473" s="29"/>
      <c r="P473" s="29"/>
      <c r="Q473" s="29"/>
      <c r="R473" s="29"/>
      <c r="S473" s="29"/>
      <c r="T473" s="1"/>
      <c r="U473" s="34"/>
      <c r="V473" s="34"/>
    </row>
    <row x14ac:dyDescent="0.25" r="474" customHeight="1" ht="15.75">
      <c r="A474" s="1"/>
      <c r="B474" s="29"/>
      <c r="C474" s="29"/>
      <c r="D474" s="34"/>
      <c r="E474" s="34"/>
      <c r="F474" s="34"/>
      <c r="G474" s="60"/>
      <c r="H474" s="60"/>
      <c r="I474" s="29"/>
      <c r="J474" s="29"/>
      <c r="K474" s="29"/>
      <c r="L474" s="29"/>
      <c r="M474" s="34"/>
      <c r="N474" s="29"/>
      <c r="O474" s="29"/>
      <c r="P474" s="29"/>
      <c r="Q474" s="29"/>
      <c r="R474" s="29"/>
      <c r="S474" s="29"/>
      <c r="T474" s="1"/>
      <c r="U474" s="34"/>
      <c r="V474" s="34"/>
    </row>
    <row x14ac:dyDescent="0.25" r="475" customHeight="1" ht="15.75">
      <c r="A475" s="1"/>
      <c r="B475" s="29"/>
      <c r="C475" s="29"/>
      <c r="D475" s="34"/>
      <c r="E475" s="34"/>
      <c r="F475" s="34"/>
      <c r="G475" s="60"/>
      <c r="H475" s="60"/>
      <c r="I475" s="29"/>
      <c r="J475" s="29"/>
      <c r="K475" s="29"/>
      <c r="L475" s="29"/>
      <c r="M475" s="34"/>
      <c r="N475" s="29"/>
      <c r="O475" s="29"/>
      <c r="P475" s="29"/>
      <c r="Q475" s="29"/>
      <c r="R475" s="29"/>
      <c r="S475" s="29"/>
      <c r="T475" s="1"/>
      <c r="U475" s="34"/>
      <c r="V475" s="34"/>
    </row>
    <row x14ac:dyDescent="0.25" r="476" customHeight="1" ht="15.75">
      <c r="A476" s="1"/>
      <c r="B476" s="29"/>
      <c r="C476" s="29"/>
      <c r="D476" s="34"/>
      <c r="E476" s="34"/>
      <c r="F476" s="34"/>
      <c r="G476" s="60"/>
      <c r="H476" s="60"/>
      <c r="I476" s="29"/>
      <c r="J476" s="29"/>
      <c r="K476" s="29"/>
      <c r="L476" s="29"/>
      <c r="M476" s="34"/>
      <c r="N476" s="29"/>
      <c r="O476" s="29"/>
      <c r="P476" s="29"/>
      <c r="Q476" s="29"/>
      <c r="R476" s="29"/>
      <c r="S476" s="29"/>
      <c r="T476" s="1"/>
      <c r="U476" s="34"/>
      <c r="V476" s="34"/>
    </row>
    <row x14ac:dyDescent="0.25" r="477" customHeight="1" ht="15.75">
      <c r="A477" s="1"/>
      <c r="B477" s="29"/>
      <c r="C477" s="29"/>
      <c r="D477" s="34"/>
      <c r="E477" s="34"/>
      <c r="F477" s="34"/>
      <c r="G477" s="60"/>
      <c r="H477" s="60"/>
      <c r="I477" s="29"/>
      <c r="J477" s="29"/>
      <c r="K477" s="29"/>
      <c r="L477" s="29"/>
      <c r="M477" s="34"/>
      <c r="N477" s="29"/>
      <c r="O477" s="29"/>
      <c r="P477" s="29"/>
      <c r="Q477" s="29"/>
      <c r="R477" s="29"/>
      <c r="S477" s="29"/>
      <c r="T477" s="1"/>
      <c r="U477" s="34"/>
      <c r="V477" s="34"/>
    </row>
    <row x14ac:dyDescent="0.25" r="478" customHeight="1" ht="15.75">
      <c r="A478" s="1"/>
      <c r="B478" s="29"/>
      <c r="C478" s="29"/>
      <c r="D478" s="34"/>
      <c r="E478" s="34"/>
      <c r="F478" s="34"/>
      <c r="G478" s="60"/>
      <c r="H478" s="60"/>
      <c r="I478" s="29"/>
      <c r="J478" s="29"/>
      <c r="K478" s="29"/>
      <c r="L478" s="29"/>
      <c r="M478" s="34"/>
      <c r="N478" s="29"/>
      <c r="O478" s="29"/>
      <c r="P478" s="29"/>
      <c r="Q478" s="29"/>
      <c r="R478" s="29"/>
      <c r="S478" s="29"/>
      <c r="T478" s="1"/>
      <c r="U478" s="34"/>
      <c r="V478" s="34"/>
    </row>
    <row x14ac:dyDescent="0.25" r="479" customHeight="1" ht="15.75">
      <c r="A479" s="1"/>
      <c r="B479" s="29"/>
      <c r="C479" s="29"/>
      <c r="D479" s="34"/>
      <c r="E479" s="34"/>
      <c r="F479" s="34"/>
      <c r="G479" s="60"/>
      <c r="H479" s="60"/>
      <c r="I479" s="29"/>
      <c r="J479" s="29"/>
      <c r="K479" s="29"/>
      <c r="L479" s="29"/>
      <c r="M479" s="34"/>
      <c r="N479" s="29"/>
      <c r="O479" s="29"/>
      <c r="P479" s="29"/>
      <c r="Q479" s="29"/>
      <c r="R479" s="29"/>
      <c r="S479" s="29"/>
      <c r="T479" s="1"/>
      <c r="U479" s="34"/>
      <c r="V479" s="34"/>
    </row>
    <row x14ac:dyDescent="0.25" r="480" customHeight="1" ht="15.75">
      <c r="A480" s="1"/>
      <c r="B480" s="29"/>
      <c r="C480" s="29"/>
      <c r="D480" s="34"/>
      <c r="E480" s="34"/>
      <c r="F480" s="34"/>
      <c r="G480" s="60"/>
      <c r="H480" s="60"/>
      <c r="I480" s="29"/>
      <c r="J480" s="29"/>
      <c r="K480" s="29"/>
      <c r="L480" s="29"/>
      <c r="M480" s="34"/>
      <c r="N480" s="29"/>
      <c r="O480" s="29"/>
      <c r="P480" s="29"/>
      <c r="Q480" s="29"/>
      <c r="R480" s="29"/>
      <c r="S480" s="29"/>
      <c r="T480" s="1"/>
      <c r="U480" s="34"/>
      <c r="V480" s="34"/>
    </row>
    <row x14ac:dyDescent="0.25" r="481" customHeight="1" ht="15.75">
      <c r="A481" s="1"/>
      <c r="B481" s="29"/>
      <c r="C481" s="29"/>
      <c r="D481" s="34"/>
      <c r="E481" s="34"/>
      <c r="F481" s="34"/>
      <c r="G481" s="60"/>
      <c r="H481" s="60"/>
      <c r="I481" s="29"/>
      <c r="J481" s="29"/>
      <c r="K481" s="29"/>
      <c r="L481" s="29"/>
      <c r="M481" s="34"/>
      <c r="N481" s="29"/>
      <c r="O481" s="29"/>
      <c r="P481" s="29"/>
      <c r="Q481" s="29"/>
      <c r="R481" s="29"/>
      <c r="S481" s="29"/>
      <c r="T481" s="1"/>
      <c r="U481" s="34"/>
      <c r="V481" s="34"/>
    </row>
    <row x14ac:dyDescent="0.25" r="482" customHeight="1" ht="15.75">
      <c r="A482" s="1"/>
      <c r="B482" s="29"/>
      <c r="C482" s="29"/>
      <c r="D482" s="34"/>
      <c r="E482" s="34"/>
      <c r="F482" s="34"/>
      <c r="G482" s="60"/>
      <c r="H482" s="60"/>
      <c r="I482" s="29"/>
      <c r="J482" s="29"/>
      <c r="K482" s="29"/>
      <c r="L482" s="29"/>
      <c r="M482" s="34"/>
      <c r="N482" s="29"/>
      <c r="O482" s="29"/>
      <c r="P482" s="29"/>
      <c r="Q482" s="29"/>
      <c r="R482" s="29"/>
      <c r="S482" s="29"/>
      <c r="T482" s="1"/>
      <c r="U482" s="34"/>
      <c r="V482" s="34"/>
    </row>
    <row x14ac:dyDescent="0.25" r="483" customHeight="1" ht="15.75">
      <c r="A483" s="1"/>
      <c r="B483" s="29"/>
      <c r="C483" s="29"/>
      <c r="D483" s="34"/>
      <c r="E483" s="34"/>
      <c r="F483" s="34"/>
      <c r="G483" s="60"/>
      <c r="H483" s="60"/>
      <c r="I483" s="29"/>
      <c r="J483" s="29"/>
      <c r="K483" s="29"/>
      <c r="L483" s="29"/>
      <c r="M483" s="34"/>
      <c r="N483" s="29"/>
      <c r="O483" s="29"/>
      <c r="P483" s="29"/>
      <c r="Q483" s="29"/>
      <c r="R483" s="29"/>
      <c r="S483" s="29"/>
      <c r="T483" s="1"/>
      <c r="U483" s="34"/>
      <c r="V483" s="34"/>
    </row>
    <row x14ac:dyDescent="0.25" r="484" customHeight="1" ht="15.75">
      <c r="A484" s="1"/>
      <c r="B484" s="29"/>
      <c r="C484" s="29"/>
      <c r="D484" s="34"/>
      <c r="E484" s="34"/>
      <c r="F484" s="34"/>
      <c r="G484" s="60"/>
      <c r="H484" s="60"/>
      <c r="I484" s="29"/>
      <c r="J484" s="29"/>
      <c r="K484" s="29"/>
      <c r="L484" s="29"/>
      <c r="M484" s="34"/>
      <c r="N484" s="29"/>
      <c r="O484" s="29"/>
      <c r="P484" s="29"/>
      <c r="Q484" s="29"/>
      <c r="R484" s="29"/>
      <c r="S484" s="29"/>
      <c r="T484" s="1"/>
      <c r="U484" s="34"/>
      <c r="V484" s="34"/>
    </row>
    <row x14ac:dyDescent="0.25" r="485" customHeight="1" ht="15.75">
      <c r="A485" s="1"/>
      <c r="B485" s="29"/>
      <c r="C485" s="29"/>
      <c r="D485" s="34"/>
      <c r="E485" s="34"/>
      <c r="F485" s="34"/>
      <c r="G485" s="60"/>
      <c r="H485" s="60"/>
      <c r="I485" s="29"/>
      <c r="J485" s="29"/>
      <c r="K485" s="29"/>
      <c r="L485" s="29"/>
      <c r="M485" s="34"/>
      <c r="N485" s="29"/>
      <c r="O485" s="29"/>
      <c r="P485" s="29"/>
      <c r="Q485" s="29"/>
      <c r="R485" s="29"/>
      <c r="S485" s="29"/>
      <c r="T485" s="1"/>
      <c r="U485" s="34"/>
      <c r="V485" s="34"/>
    </row>
    <row x14ac:dyDescent="0.25" r="486" customHeight="1" ht="15.75">
      <c r="A486" s="1"/>
      <c r="B486" s="29"/>
      <c r="C486" s="29"/>
      <c r="D486" s="34"/>
      <c r="E486" s="34"/>
      <c r="F486" s="34"/>
      <c r="G486" s="60"/>
      <c r="H486" s="60"/>
      <c r="I486" s="29"/>
      <c r="J486" s="29"/>
      <c r="K486" s="29"/>
      <c r="L486" s="29"/>
      <c r="M486" s="34"/>
      <c r="N486" s="29"/>
      <c r="O486" s="29"/>
      <c r="P486" s="29"/>
      <c r="Q486" s="29"/>
      <c r="R486" s="29"/>
      <c r="S486" s="29"/>
      <c r="T486" s="1"/>
      <c r="U486" s="34"/>
      <c r="V486" s="34"/>
    </row>
    <row x14ac:dyDescent="0.25" r="487" customHeight="1" ht="15.75">
      <c r="A487" s="1"/>
      <c r="B487" s="29"/>
      <c r="C487" s="29"/>
      <c r="D487" s="34"/>
      <c r="E487" s="34"/>
      <c r="F487" s="34"/>
      <c r="G487" s="60"/>
      <c r="H487" s="60"/>
      <c r="I487" s="29"/>
      <c r="J487" s="29"/>
      <c r="K487" s="29"/>
      <c r="L487" s="29"/>
      <c r="M487" s="34"/>
      <c r="N487" s="29"/>
      <c r="O487" s="29"/>
      <c r="P487" s="29"/>
      <c r="Q487" s="29"/>
      <c r="R487" s="29"/>
      <c r="S487" s="29"/>
      <c r="T487" s="1"/>
      <c r="U487" s="34"/>
      <c r="V487" s="34"/>
    </row>
    <row x14ac:dyDescent="0.25" r="488" customHeight="1" ht="15.75">
      <c r="A488" s="1"/>
      <c r="B488" s="29"/>
      <c r="C488" s="29"/>
      <c r="D488" s="34"/>
      <c r="E488" s="34"/>
      <c r="F488" s="34"/>
      <c r="G488" s="60"/>
      <c r="H488" s="60"/>
      <c r="I488" s="29"/>
      <c r="J488" s="29"/>
      <c r="K488" s="29"/>
      <c r="L488" s="29"/>
      <c r="M488" s="34"/>
      <c r="N488" s="29"/>
      <c r="O488" s="29"/>
      <c r="P488" s="29"/>
      <c r="Q488" s="29"/>
      <c r="R488" s="29"/>
      <c r="S488" s="29"/>
      <c r="T488" s="1"/>
      <c r="U488" s="34"/>
      <c r="V488" s="34"/>
    </row>
    <row x14ac:dyDescent="0.25" r="489" customHeight="1" ht="15.75">
      <c r="A489" s="1"/>
      <c r="B489" s="29"/>
      <c r="C489" s="29"/>
      <c r="D489" s="34"/>
      <c r="E489" s="34"/>
      <c r="F489" s="34"/>
      <c r="G489" s="60"/>
      <c r="H489" s="60"/>
      <c r="I489" s="29"/>
      <c r="J489" s="29"/>
      <c r="K489" s="29"/>
      <c r="L489" s="29"/>
      <c r="M489" s="34"/>
      <c r="N489" s="29"/>
      <c r="O489" s="29"/>
      <c r="P489" s="29"/>
      <c r="Q489" s="29"/>
      <c r="R489" s="29"/>
      <c r="S489" s="29"/>
      <c r="T489" s="1"/>
      <c r="U489" s="34"/>
      <c r="V489" s="34"/>
    </row>
    <row x14ac:dyDescent="0.25" r="490" customHeight="1" ht="15.75">
      <c r="A490" s="1"/>
      <c r="B490" s="29"/>
      <c r="C490" s="29"/>
      <c r="D490" s="34"/>
      <c r="E490" s="34"/>
      <c r="F490" s="34"/>
      <c r="G490" s="60"/>
      <c r="H490" s="60"/>
      <c r="I490" s="29"/>
      <c r="J490" s="29"/>
      <c r="K490" s="29"/>
      <c r="L490" s="29"/>
      <c r="M490" s="34"/>
      <c r="N490" s="29"/>
      <c r="O490" s="29"/>
      <c r="P490" s="29"/>
      <c r="Q490" s="29"/>
      <c r="R490" s="29"/>
      <c r="S490" s="29"/>
      <c r="T490" s="1"/>
      <c r="U490" s="34"/>
      <c r="V490" s="34"/>
    </row>
    <row x14ac:dyDescent="0.25" r="491" customHeight="1" ht="15.75">
      <c r="A491" s="1"/>
      <c r="B491" s="29"/>
      <c r="C491" s="29"/>
      <c r="D491" s="34"/>
      <c r="E491" s="34"/>
      <c r="F491" s="34"/>
      <c r="G491" s="60"/>
      <c r="H491" s="60"/>
      <c r="I491" s="29"/>
      <c r="J491" s="29"/>
      <c r="K491" s="29"/>
      <c r="L491" s="29"/>
      <c r="M491" s="34"/>
      <c r="N491" s="29"/>
      <c r="O491" s="29"/>
      <c r="P491" s="29"/>
      <c r="Q491" s="29"/>
      <c r="R491" s="29"/>
      <c r="S491" s="29"/>
      <c r="T491" s="1"/>
      <c r="U491" s="34"/>
      <c r="V491" s="34"/>
    </row>
    <row x14ac:dyDescent="0.25" r="492" customHeight="1" ht="15.75">
      <c r="A492" s="1"/>
      <c r="B492" s="29"/>
      <c r="C492" s="29"/>
      <c r="D492" s="34"/>
      <c r="E492" s="34"/>
      <c r="F492" s="34"/>
      <c r="G492" s="60"/>
      <c r="H492" s="60"/>
      <c r="I492" s="29"/>
      <c r="J492" s="29"/>
      <c r="K492" s="29"/>
      <c r="L492" s="29"/>
      <c r="M492" s="34"/>
      <c r="N492" s="29"/>
      <c r="O492" s="29"/>
      <c r="P492" s="29"/>
      <c r="Q492" s="29"/>
      <c r="R492" s="29"/>
      <c r="S492" s="29"/>
      <c r="T492" s="1"/>
      <c r="U492" s="34"/>
      <c r="V492" s="34"/>
    </row>
    <row x14ac:dyDescent="0.25" r="493" customHeight="1" ht="15.75">
      <c r="A493" s="1"/>
      <c r="B493" s="29"/>
      <c r="C493" s="29"/>
      <c r="D493" s="34"/>
      <c r="E493" s="34"/>
      <c r="F493" s="34"/>
      <c r="G493" s="60"/>
      <c r="H493" s="60"/>
      <c r="I493" s="29"/>
      <c r="J493" s="29"/>
      <c r="K493" s="29"/>
      <c r="L493" s="29"/>
      <c r="M493" s="34"/>
      <c r="N493" s="29"/>
      <c r="O493" s="29"/>
      <c r="P493" s="29"/>
      <c r="Q493" s="29"/>
      <c r="R493" s="29"/>
      <c r="S493" s="29"/>
      <c r="T493" s="1"/>
      <c r="U493" s="34"/>
      <c r="V493" s="34"/>
    </row>
    <row x14ac:dyDescent="0.25" r="494" customHeight="1" ht="15.75">
      <c r="A494" s="1"/>
      <c r="B494" s="29"/>
      <c r="C494" s="29"/>
      <c r="D494" s="34"/>
      <c r="E494" s="34"/>
      <c r="F494" s="34"/>
      <c r="G494" s="60"/>
      <c r="H494" s="60"/>
      <c r="I494" s="29"/>
      <c r="J494" s="29"/>
      <c r="K494" s="29"/>
      <c r="L494" s="29"/>
      <c r="M494" s="34"/>
      <c r="N494" s="29"/>
      <c r="O494" s="29"/>
      <c r="P494" s="29"/>
      <c r="Q494" s="29"/>
      <c r="R494" s="29"/>
      <c r="S494" s="29"/>
      <c r="T494" s="1"/>
      <c r="U494" s="34"/>
      <c r="V494" s="34"/>
    </row>
    <row x14ac:dyDescent="0.25" r="495" customHeight="1" ht="15.75">
      <c r="A495" s="1"/>
      <c r="B495" s="29"/>
      <c r="C495" s="29"/>
      <c r="D495" s="34"/>
      <c r="E495" s="34"/>
      <c r="F495" s="34"/>
      <c r="G495" s="60"/>
      <c r="H495" s="60"/>
      <c r="I495" s="29"/>
      <c r="J495" s="29"/>
      <c r="K495" s="29"/>
      <c r="L495" s="29"/>
      <c r="M495" s="34"/>
      <c r="N495" s="29"/>
      <c r="O495" s="29"/>
      <c r="P495" s="29"/>
      <c r="Q495" s="29"/>
      <c r="R495" s="29"/>
      <c r="S495" s="29"/>
      <c r="T495" s="1"/>
      <c r="U495" s="34"/>
      <c r="V495" s="34"/>
    </row>
    <row x14ac:dyDescent="0.25" r="496" customHeight="1" ht="15.75">
      <c r="A496" s="1"/>
      <c r="B496" s="29"/>
      <c r="C496" s="29"/>
      <c r="D496" s="34"/>
      <c r="E496" s="34"/>
      <c r="F496" s="34"/>
      <c r="G496" s="60"/>
      <c r="H496" s="60"/>
      <c r="I496" s="29"/>
      <c r="J496" s="29"/>
      <c r="K496" s="29"/>
      <c r="L496" s="29"/>
      <c r="M496" s="34"/>
      <c r="N496" s="29"/>
      <c r="O496" s="29"/>
      <c r="P496" s="29"/>
      <c r="Q496" s="29"/>
      <c r="R496" s="29"/>
      <c r="S496" s="29"/>
      <c r="T496" s="1"/>
      <c r="U496" s="34"/>
      <c r="V496" s="34"/>
    </row>
    <row x14ac:dyDescent="0.25" r="497" customHeight="1" ht="15.75">
      <c r="A497" s="1"/>
      <c r="B497" s="29"/>
      <c r="C497" s="29"/>
      <c r="D497" s="34"/>
      <c r="E497" s="34"/>
      <c r="F497" s="34"/>
      <c r="G497" s="60"/>
      <c r="H497" s="60"/>
      <c r="I497" s="29"/>
      <c r="J497" s="29"/>
      <c r="K497" s="29"/>
      <c r="L497" s="29"/>
      <c r="M497" s="34"/>
      <c r="N497" s="29"/>
      <c r="O497" s="29"/>
      <c r="P497" s="29"/>
      <c r="Q497" s="29"/>
      <c r="R497" s="29"/>
      <c r="S497" s="29"/>
      <c r="T497" s="1"/>
      <c r="U497" s="34"/>
      <c r="V497" s="34"/>
    </row>
    <row x14ac:dyDescent="0.25" r="498" customHeight="1" ht="15.75">
      <c r="A498" s="1"/>
      <c r="B498" s="29"/>
      <c r="C498" s="29"/>
      <c r="D498" s="34"/>
      <c r="E498" s="34"/>
      <c r="F498" s="34"/>
      <c r="G498" s="60"/>
      <c r="H498" s="60"/>
      <c r="I498" s="29"/>
      <c r="J498" s="29"/>
      <c r="K498" s="29"/>
      <c r="L498" s="29"/>
      <c r="M498" s="34"/>
      <c r="N498" s="29"/>
      <c r="O498" s="29"/>
      <c r="P498" s="29"/>
      <c r="Q498" s="29"/>
      <c r="R498" s="29"/>
      <c r="S498" s="29"/>
      <c r="T498" s="1"/>
      <c r="U498" s="34"/>
      <c r="V498" s="34"/>
    </row>
    <row x14ac:dyDescent="0.25" r="499" customHeight="1" ht="15.75">
      <c r="A499" s="1"/>
      <c r="B499" s="29"/>
      <c r="C499" s="29"/>
      <c r="D499" s="34"/>
      <c r="E499" s="34"/>
      <c r="F499" s="34"/>
      <c r="G499" s="60"/>
      <c r="H499" s="60"/>
      <c r="I499" s="29"/>
      <c r="J499" s="29"/>
      <c r="K499" s="29"/>
      <c r="L499" s="29"/>
      <c r="M499" s="34"/>
      <c r="N499" s="29"/>
      <c r="O499" s="29"/>
      <c r="P499" s="29"/>
      <c r="Q499" s="29"/>
      <c r="R499" s="29"/>
      <c r="S499" s="29"/>
      <c r="T499" s="1"/>
      <c r="U499" s="34"/>
      <c r="V499" s="34"/>
    </row>
    <row x14ac:dyDescent="0.25" r="500" customHeight="1" ht="15.75">
      <c r="A500" s="1"/>
      <c r="B500" s="29"/>
      <c r="C500" s="29"/>
      <c r="D500" s="34"/>
      <c r="E500" s="34"/>
      <c r="F500" s="34"/>
      <c r="G500" s="60"/>
      <c r="H500" s="60"/>
      <c r="I500" s="29"/>
      <c r="J500" s="29"/>
      <c r="K500" s="29"/>
      <c r="L500" s="29"/>
      <c r="M500" s="34"/>
      <c r="N500" s="29"/>
      <c r="O500" s="29"/>
      <c r="P500" s="29"/>
      <c r="Q500" s="29"/>
      <c r="R500" s="29"/>
      <c r="S500" s="29"/>
      <c r="T500" s="1"/>
      <c r="U500" s="34"/>
      <c r="V500" s="34"/>
    </row>
    <row x14ac:dyDescent="0.25" r="501" customHeight="1" ht="15.75">
      <c r="A501" s="1"/>
      <c r="B501" s="29"/>
      <c r="C501" s="29"/>
      <c r="D501" s="34"/>
      <c r="E501" s="34"/>
      <c r="F501" s="34"/>
      <c r="G501" s="60"/>
      <c r="H501" s="60"/>
      <c r="I501" s="29"/>
      <c r="J501" s="29"/>
      <c r="K501" s="29"/>
      <c r="L501" s="29"/>
      <c r="M501" s="34"/>
      <c r="N501" s="29"/>
      <c r="O501" s="29"/>
      <c r="P501" s="29"/>
      <c r="Q501" s="29"/>
      <c r="R501" s="29"/>
      <c r="S501" s="29"/>
      <c r="T501" s="1"/>
      <c r="U501" s="34"/>
      <c r="V501" s="34"/>
    </row>
    <row x14ac:dyDescent="0.25" r="502" customHeight="1" ht="15.75">
      <c r="A502" s="1"/>
      <c r="B502" s="29"/>
      <c r="C502" s="29"/>
      <c r="D502" s="34"/>
      <c r="E502" s="34"/>
      <c r="F502" s="34"/>
      <c r="G502" s="60"/>
      <c r="H502" s="60"/>
      <c r="I502" s="29"/>
      <c r="J502" s="29"/>
      <c r="K502" s="29"/>
      <c r="L502" s="29"/>
      <c r="M502" s="34"/>
      <c r="N502" s="29"/>
      <c r="O502" s="29"/>
      <c r="P502" s="29"/>
      <c r="Q502" s="29"/>
      <c r="R502" s="29"/>
      <c r="S502" s="29"/>
      <c r="T502" s="1"/>
      <c r="U502" s="34"/>
      <c r="V502" s="34"/>
    </row>
    <row x14ac:dyDescent="0.25" r="503" customHeight="1" ht="15.75">
      <c r="A503" s="1"/>
      <c r="B503" s="29"/>
      <c r="C503" s="29"/>
      <c r="D503" s="34"/>
      <c r="E503" s="34"/>
      <c r="F503" s="34"/>
      <c r="G503" s="60"/>
      <c r="H503" s="60"/>
      <c r="I503" s="29"/>
      <c r="J503" s="29"/>
      <c r="K503" s="29"/>
      <c r="L503" s="29"/>
      <c r="M503" s="34"/>
      <c r="N503" s="29"/>
      <c r="O503" s="29"/>
      <c r="P503" s="29"/>
      <c r="Q503" s="29"/>
      <c r="R503" s="29"/>
      <c r="S503" s="29"/>
      <c r="T503" s="1"/>
      <c r="U503" s="34"/>
      <c r="V503" s="34"/>
    </row>
    <row x14ac:dyDescent="0.25" r="504" customHeight="1" ht="15.75">
      <c r="A504" s="1"/>
      <c r="B504" s="29"/>
      <c r="C504" s="29"/>
      <c r="D504" s="34"/>
      <c r="E504" s="34"/>
      <c r="F504" s="34"/>
      <c r="G504" s="60"/>
      <c r="H504" s="60"/>
      <c r="I504" s="29"/>
      <c r="J504" s="29"/>
      <c r="K504" s="29"/>
      <c r="L504" s="29"/>
      <c r="M504" s="34"/>
      <c r="N504" s="29"/>
      <c r="O504" s="29"/>
      <c r="P504" s="29"/>
      <c r="Q504" s="29"/>
      <c r="R504" s="29"/>
      <c r="S504" s="29"/>
      <c r="T504" s="1"/>
      <c r="U504" s="34"/>
      <c r="V504" s="34"/>
    </row>
    <row x14ac:dyDescent="0.25" r="505" customHeight="1" ht="15.75">
      <c r="A505" s="1"/>
      <c r="B505" s="29"/>
      <c r="C505" s="29"/>
      <c r="D505" s="34"/>
      <c r="E505" s="34"/>
      <c r="F505" s="34"/>
      <c r="G505" s="60"/>
      <c r="H505" s="60"/>
      <c r="I505" s="29"/>
      <c r="J505" s="29"/>
      <c r="K505" s="29"/>
      <c r="L505" s="29"/>
      <c r="M505" s="34"/>
      <c r="N505" s="29"/>
      <c r="O505" s="29"/>
      <c r="P505" s="29"/>
      <c r="Q505" s="29"/>
      <c r="R505" s="29"/>
      <c r="S505" s="29"/>
      <c r="T505" s="1"/>
      <c r="U505" s="34"/>
      <c r="V505" s="34"/>
    </row>
    <row x14ac:dyDescent="0.25" r="506" customHeight="1" ht="15.75">
      <c r="A506" s="1"/>
      <c r="B506" s="29"/>
      <c r="C506" s="29"/>
      <c r="D506" s="34"/>
      <c r="E506" s="34"/>
      <c r="F506" s="34"/>
      <c r="G506" s="60"/>
      <c r="H506" s="60"/>
      <c r="I506" s="29"/>
      <c r="J506" s="29"/>
      <c r="K506" s="29"/>
      <c r="L506" s="29"/>
      <c r="M506" s="34"/>
      <c r="N506" s="29"/>
      <c r="O506" s="29"/>
      <c r="P506" s="29"/>
      <c r="Q506" s="29"/>
      <c r="R506" s="29"/>
      <c r="S506" s="29"/>
      <c r="T506" s="1"/>
      <c r="U506" s="34"/>
      <c r="V506" s="34"/>
    </row>
    <row x14ac:dyDescent="0.25" r="507" customHeight="1" ht="15.75">
      <c r="A507" s="1"/>
      <c r="B507" s="29"/>
      <c r="C507" s="29"/>
      <c r="D507" s="34"/>
      <c r="E507" s="34"/>
      <c r="F507" s="34"/>
      <c r="G507" s="60"/>
      <c r="H507" s="60"/>
      <c r="I507" s="29"/>
      <c r="J507" s="29"/>
      <c r="K507" s="29"/>
      <c r="L507" s="29"/>
      <c r="M507" s="34"/>
      <c r="N507" s="29"/>
      <c r="O507" s="29"/>
      <c r="P507" s="29"/>
      <c r="Q507" s="29"/>
      <c r="R507" s="29"/>
      <c r="S507" s="29"/>
      <c r="T507" s="1"/>
      <c r="U507" s="34"/>
      <c r="V507" s="34"/>
    </row>
    <row x14ac:dyDescent="0.25" r="508" customHeight="1" ht="15.75">
      <c r="A508" s="1"/>
      <c r="B508" s="29"/>
      <c r="C508" s="29"/>
      <c r="D508" s="34"/>
      <c r="E508" s="34"/>
      <c r="F508" s="34"/>
      <c r="G508" s="60"/>
      <c r="H508" s="60"/>
      <c r="I508" s="29"/>
      <c r="J508" s="29"/>
      <c r="K508" s="29"/>
      <c r="L508" s="29"/>
      <c r="M508" s="34"/>
      <c r="N508" s="29"/>
      <c r="O508" s="29"/>
      <c r="P508" s="29"/>
      <c r="Q508" s="29"/>
      <c r="R508" s="29"/>
      <c r="S508" s="29"/>
      <c r="T508" s="1"/>
      <c r="U508" s="34"/>
      <c r="V508" s="34"/>
    </row>
    <row x14ac:dyDescent="0.25" r="509" customHeight="1" ht="15.75">
      <c r="A509" s="1"/>
      <c r="B509" s="29"/>
      <c r="C509" s="29"/>
      <c r="D509" s="34"/>
      <c r="E509" s="34"/>
      <c r="F509" s="34"/>
      <c r="G509" s="60"/>
      <c r="H509" s="60"/>
      <c r="I509" s="29"/>
      <c r="J509" s="29"/>
      <c r="K509" s="29"/>
      <c r="L509" s="29"/>
      <c r="M509" s="34"/>
      <c r="N509" s="29"/>
      <c r="O509" s="29"/>
      <c r="P509" s="29"/>
      <c r="Q509" s="29"/>
      <c r="R509" s="29"/>
      <c r="S509" s="29"/>
      <c r="T509" s="1"/>
      <c r="U509" s="34"/>
      <c r="V509" s="34"/>
    </row>
    <row x14ac:dyDescent="0.25" r="510" customHeight="1" ht="15.75">
      <c r="A510" s="1"/>
      <c r="B510" s="29"/>
      <c r="C510" s="29"/>
      <c r="D510" s="34"/>
      <c r="E510" s="34"/>
      <c r="F510" s="34"/>
      <c r="G510" s="60"/>
      <c r="H510" s="60"/>
      <c r="I510" s="29"/>
      <c r="J510" s="29"/>
      <c r="K510" s="29"/>
      <c r="L510" s="29"/>
      <c r="M510" s="34"/>
      <c r="N510" s="29"/>
      <c r="O510" s="29"/>
      <c r="P510" s="29"/>
      <c r="Q510" s="29"/>
      <c r="R510" s="29"/>
      <c r="S510" s="29"/>
      <c r="T510" s="1"/>
      <c r="U510" s="34"/>
      <c r="V510" s="34"/>
    </row>
    <row x14ac:dyDescent="0.25" r="511" customHeight="1" ht="15.75">
      <c r="A511" s="1"/>
      <c r="B511" s="29"/>
      <c r="C511" s="29"/>
      <c r="D511" s="34"/>
      <c r="E511" s="34"/>
      <c r="F511" s="34"/>
      <c r="G511" s="60"/>
      <c r="H511" s="60"/>
      <c r="I511" s="29"/>
      <c r="J511" s="29"/>
      <c r="K511" s="29"/>
      <c r="L511" s="29"/>
      <c r="M511" s="34"/>
      <c r="N511" s="29"/>
      <c r="O511" s="29"/>
      <c r="P511" s="29"/>
      <c r="Q511" s="29"/>
      <c r="R511" s="29"/>
      <c r="S511" s="29"/>
      <c r="T511" s="1"/>
      <c r="U511" s="34"/>
      <c r="V511" s="34"/>
    </row>
    <row x14ac:dyDescent="0.25" r="512" customHeight="1" ht="15.75">
      <c r="A512" s="1"/>
      <c r="B512" s="29"/>
      <c r="C512" s="29"/>
      <c r="D512" s="34"/>
      <c r="E512" s="34"/>
      <c r="F512" s="34"/>
      <c r="G512" s="60"/>
      <c r="H512" s="60"/>
      <c r="I512" s="29"/>
      <c r="J512" s="29"/>
      <c r="K512" s="29"/>
      <c r="L512" s="29"/>
      <c r="M512" s="34"/>
      <c r="N512" s="29"/>
      <c r="O512" s="29"/>
      <c r="P512" s="29"/>
      <c r="Q512" s="29"/>
      <c r="R512" s="29"/>
      <c r="S512" s="29"/>
      <c r="T512" s="1"/>
      <c r="U512" s="34"/>
      <c r="V512" s="34"/>
    </row>
    <row x14ac:dyDescent="0.25" r="513" customHeight="1" ht="15.75">
      <c r="A513" s="1"/>
      <c r="B513" s="29"/>
      <c r="C513" s="29"/>
      <c r="D513" s="34"/>
      <c r="E513" s="34"/>
      <c r="F513" s="34"/>
      <c r="G513" s="60"/>
      <c r="H513" s="60"/>
      <c r="I513" s="29"/>
      <c r="J513" s="29"/>
      <c r="K513" s="29"/>
      <c r="L513" s="29"/>
      <c r="M513" s="34"/>
      <c r="N513" s="29"/>
      <c r="O513" s="29"/>
      <c r="P513" s="29"/>
      <c r="Q513" s="29"/>
      <c r="R513" s="29"/>
      <c r="S513" s="29"/>
      <c r="T513" s="1"/>
      <c r="U513" s="34"/>
      <c r="V513" s="34"/>
    </row>
    <row x14ac:dyDescent="0.25" r="514" customHeight="1" ht="15.75">
      <c r="A514" s="1"/>
      <c r="B514" s="29"/>
      <c r="C514" s="29"/>
      <c r="D514" s="34"/>
      <c r="E514" s="34"/>
      <c r="F514" s="34"/>
      <c r="G514" s="60"/>
      <c r="H514" s="60"/>
      <c r="I514" s="29"/>
      <c r="J514" s="29"/>
      <c r="K514" s="29"/>
      <c r="L514" s="29"/>
      <c r="M514" s="34"/>
      <c r="N514" s="29"/>
      <c r="O514" s="29"/>
      <c r="P514" s="29"/>
      <c r="Q514" s="29"/>
      <c r="R514" s="29"/>
      <c r="S514" s="29"/>
      <c r="T514" s="1"/>
      <c r="U514" s="34"/>
      <c r="V514" s="34"/>
    </row>
    <row x14ac:dyDescent="0.25" r="515" customHeight="1" ht="15.75">
      <c r="A515" s="1"/>
      <c r="B515" s="29"/>
      <c r="C515" s="29"/>
      <c r="D515" s="34"/>
      <c r="E515" s="34"/>
      <c r="F515" s="34"/>
      <c r="G515" s="60"/>
      <c r="H515" s="60"/>
      <c r="I515" s="29"/>
      <c r="J515" s="29"/>
      <c r="K515" s="29"/>
      <c r="L515" s="29"/>
      <c r="M515" s="34"/>
      <c r="N515" s="29"/>
      <c r="O515" s="29"/>
      <c r="P515" s="29"/>
      <c r="Q515" s="29"/>
      <c r="R515" s="29"/>
      <c r="S515" s="29"/>
      <c r="T515" s="1"/>
      <c r="U515" s="34"/>
      <c r="V515" s="34"/>
    </row>
    <row x14ac:dyDescent="0.25" r="516" customHeight="1" ht="15.75">
      <c r="A516" s="1"/>
      <c r="B516" s="29"/>
      <c r="C516" s="29"/>
      <c r="D516" s="34"/>
      <c r="E516" s="34"/>
      <c r="F516" s="34"/>
      <c r="G516" s="60"/>
      <c r="H516" s="60"/>
      <c r="I516" s="29"/>
      <c r="J516" s="29"/>
      <c r="K516" s="29"/>
      <c r="L516" s="29"/>
      <c r="M516" s="34"/>
      <c r="N516" s="29"/>
      <c r="O516" s="29"/>
      <c r="P516" s="29"/>
      <c r="Q516" s="29"/>
      <c r="R516" s="29"/>
      <c r="S516" s="29"/>
      <c r="T516" s="1"/>
      <c r="U516" s="34"/>
      <c r="V516" s="34"/>
    </row>
    <row x14ac:dyDescent="0.25" r="517" customHeight="1" ht="15.75">
      <c r="A517" s="1"/>
      <c r="B517" s="29"/>
      <c r="C517" s="29"/>
      <c r="D517" s="34"/>
      <c r="E517" s="34"/>
      <c r="F517" s="34"/>
      <c r="G517" s="60"/>
      <c r="H517" s="60"/>
      <c r="I517" s="29"/>
      <c r="J517" s="29"/>
      <c r="K517" s="29"/>
      <c r="L517" s="29"/>
      <c r="M517" s="34"/>
      <c r="N517" s="29"/>
      <c r="O517" s="29"/>
      <c r="P517" s="29"/>
      <c r="Q517" s="29"/>
      <c r="R517" s="29"/>
      <c r="S517" s="29"/>
      <c r="T517" s="1"/>
      <c r="U517" s="34"/>
      <c r="V517" s="34"/>
    </row>
    <row x14ac:dyDescent="0.25" r="518" customHeight="1" ht="15.75">
      <c r="A518" s="1"/>
      <c r="B518" s="29"/>
      <c r="C518" s="29"/>
      <c r="D518" s="34"/>
      <c r="E518" s="34"/>
      <c r="F518" s="34"/>
      <c r="G518" s="60"/>
      <c r="H518" s="60"/>
      <c r="I518" s="29"/>
      <c r="J518" s="29"/>
      <c r="K518" s="29"/>
      <c r="L518" s="29"/>
      <c r="M518" s="34"/>
      <c r="N518" s="29"/>
      <c r="O518" s="29"/>
      <c r="P518" s="29"/>
      <c r="Q518" s="29"/>
      <c r="R518" s="29"/>
      <c r="S518" s="29"/>
      <c r="T518" s="1"/>
      <c r="U518" s="34"/>
      <c r="V518" s="34"/>
    </row>
    <row x14ac:dyDescent="0.25" r="519" customHeight="1" ht="15.75">
      <c r="A519" s="1"/>
      <c r="B519" s="29"/>
      <c r="C519" s="29"/>
      <c r="D519" s="34"/>
      <c r="E519" s="34"/>
      <c r="F519" s="34"/>
      <c r="G519" s="60"/>
      <c r="H519" s="60"/>
      <c r="I519" s="29"/>
      <c r="J519" s="29"/>
      <c r="K519" s="29"/>
      <c r="L519" s="29"/>
      <c r="M519" s="34"/>
      <c r="N519" s="29"/>
      <c r="O519" s="29"/>
      <c r="P519" s="29"/>
      <c r="Q519" s="29"/>
      <c r="R519" s="29"/>
      <c r="S519" s="29"/>
      <c r="T519" s="1"/>
      <c r="U519" s="34"/>
      <c r="V519" s="34"/>
    </row>
    <row x14ac:dyDescent="0.25" r="520" customHeight="1" ht="15.75">
      <c r="A520" s="1"/>
      <c r="B520" s="29"/>
      <c r="C520" s="29"/>
      <c r="D520" s="34"/>
      <c r="E520" s="34"/>
      <c r="F520" s="34"/>
      <c r="G520" s="60"/>
      <c r="H520" s="60"/>
      <c r="I520" s="29"/>
      <c r="J520" s="29"/>
      <c r="K520" s="29"/>
      <c r="L520" s="29"/>
      <c r="M520" s="34"/>
      <c r="N520" s="29"/>
      <c r="O520" s="29"/>
      <c r="P520" s="29"/>
      <c r="Q520" s="29"/>
      <c r="R520" s="29"/>
      <c r="S520" s="29"/>
      <c r="T520" s="1"/>
      <c r="U520" s="34"/>
      <c r="V520" s="34"/>
    </row>
    <row x14ac:dyDescent="0.25" r="521" customHeight="1" ht="15.75">
      <c r="A521" s="1"/>
      <c r="B521" s="29"/>
      <c r="C521" s="29"/>
      <c r="D521" s="34"/>
      <c r="E521" s="34"/>
      <c r="F521" s="34"/>
      <c r="G521" s="60"/>
      <c r="H521" s="60"/>
      <c r="I521" s="29"/>
      <c r="J521" s="29"/>
      <c r="K521" s="29"/>
      <c r="L521" s="29"/>
      <c r="M521" s="34"/>
      <c r="N521" s="29"/>
      <c r="O521" s="29"/>
      <c r="P521" s="29"/>
      <c r="Q521" s="29"/>
      <c r="R521" s="29"/>
      <c r="S521" s="29"/>
      <c r="T521" s="1"/>
      <c r="U521" s="34"/>
      <c r="V521" s="34"/>
    </row>
    <row x14ac:dyDescent="0.25" r="522" customHeight="1" ht="15.75">
      <c r="A522" s="1"/>
      <c r="B522" s="29"/>
      <c r="C522" s="29"/>
      <c r="D522" s="34"/>
      <c r="E522" s="34"/>
      <c r="F522" s="34"/>
      <c r="G522" s="60"/>
      <c r="H522" s="60"/>
      <c r="I522" s="29"/>
      <c r="J522" s="29"/>
      <c r="K522" s="29"/>
      <c r="L522" s="29"/>
      <c r="M522" s="34"/>
      <c r="N522" s="29"/>
      <c r="O522" s="29"/>
      <c r="P522" s="29"/>
      <c r="Q522" s="29"/>
      <c r="R522" s="29"/>
      <c r="S522" s="29"/>
      <c r="T522" s="1"/>
      <c r="U522" s="34"/>
      <c r="V522" s="34"/>
    </row>
    <row x14ac:dyDescent="0.25" r="523" customHeight="1" ht="15.75">
      <c r="A523" s="1"/>
      <c r="B523" s="29"/>
      <c r="C523" s="29"/>
      <c r="D523" s="34"/>
      <c r="E523" s="34"/>
      <c r="F523" s="34"/>
      <c r="G523" s="60"/>
      <c r="H523" s="60"/>
      <c r="I523" s="29"/>
      <c r="J523" s="29"/>
      <c r="K523" s="29"/>
      <c r="L523" s="29"/>
      <c r="M523" s="34"/>
      <c r="N523" s="29"/>
      <c r="O523" s="29"/>
      <c r="P523" s="29"/>
      <c r="Q523" s="29"/>
      <c r="R523" s="29"/>
      <c r="S523" s="29"/>
      <c r="T523" s="1"/>
      <c r="U523" s="34"/>
      <c r="V523" s="34"/>
    </row>
    <row x14ac:dyDescent="0.25" r="524" customHeight="1" ht="15.75">
      <c r="A524" s="1"/>
      <c r="B524" s="29"/>
      <c r="C524" s="29"/>
      <c r="D524" s="34"/>
      <c r="E524" s="34"/>
      <c r="F524" s="34"/>
      <c r="G524" s="60"/>
      <c r="H524" s="60"/>
      <c r="I524" s="29"/>
      <c r="J524" s="29"/>
      <c r="K524" s="29"/>
      <c r="L524" s="29"/>
      <c r="M524" s="34"/>
      <c r="N524" s="29"/>
      <c r="O524" s="29"/>
      <c r="P524" s="29"/>
      <c r="Q524" s="29"/>
      <c r="R524" s="29"/>
      <c r="S524" s="29"/>
      <c r="T524" s="1"/>
      <c r="U524" s="34"/>
      <c r="V524" s="34"/>
    </row>
    <row x14ac:dyDescent="0.25" r="525" customHeight="1" ht="15.75">
      <c r="A525" s="1"/>
      <c r="B525" s="29"/>
      <c r="C525" s="29"/>
      <c r="D525" s="34"/>
      <c r="E525" s="34"/>
      <c r="F525" s="34"/>
      <c r="G525" s="60"/>
      <c r="H525" s="60"/>
      <c r="I525" s="29"/>
      <c r="J525" s="29"/>
      <c r="K525" s="29"/>
      <c r="L525" s="29"/>
      <c r="M525" s="34"/>
      <c r="N525" s="29"/>
      <c r="O525" s="29"/>
      <c r="P525" s="29"/>
      <c r="Q525" s="29"/>
      <c r="R525" s="29"/>
      <c r="S525" s="29"/>
      <c r="T525" s="1"/>
      <c r="U525" s="34"/>
      <c r="V525" s="34"/>
    </row>
    <row x14ac:dyDescent="0.25" r="526" customHeight="1" ht="15.75">
      <c r="A526" s="1"/>
      <c r="B526" s="29"/>
      <c r="C526" s="29"/>
      <c r="D526" s="34"/>
      <c r="E526" s="34"/>
      <c r="F526" s="34"/>
      <c r="G526" s="60"/>
      <c r="H526" s="60"/>
      <c r="I526" s="29"/>
      <c r="J526" s="29"/>
      <c r="K526" s="29"/>
      <c r="L526" s="29"/>
      <c r="M526" s="34"/>
      <c r="N526" s="29"/>
      <c r="O526" s="29"/>
      <c r="P526" s="29"/>
      <c r="Q526" s="29"/>
      <c r="R526" s="29"/>
      <c r="S526" s="29"/>
      <c r="T526" s="1"/>
      <c r="U526" s="34"/>
      <c r="V526" s="34"/>
    </row>
    <row x14ac:dyDescent="0.25" r="527" customHeight="1" ht="15.75">
      <c r="A527" s="1"/>
      <c r="B527" s="29"/>
      <c r="C527" s="29"/>
      <c r="D527" s="34"/>
      <c r="E527" s="34"/>
      <c r="F527" s="34"/>
      <c r="G527" s="60"/>
      <c r="H527" s="60"/>
      <c r="I527" s="29"/>
      <c r="J527" s="29"/>
      <c r="K527" s="29"/>
      <c r="L527" s="29"/>
      <c r="M527" s="34"/>
      <c r="N527" s="29"/>
      <c r="O527" s="29"/>
      <c r="P527" s="29"/>
      <c r="Q527" s="29"/>
      <c r="R527" s="29"/>
      <c r="S527" s="29"/>
      <c r="T527" s="1"/>
      <c r="U527" s="34"/>
      <c r="V527" s="34"/>
    </row>
    <row x14ac:dyDescent="0.25" r="528" customHeight="1" ht="15.75">
      <c r="A528" s="1"/>
      <c r="B528" s="29"/>
      <c r="C528" s="29"/>
      <c r="D528" s="34"/>
      <c r="E528" s="34"/>
      <c r="F528" s="34"/>
      <c r="G528" s="60"/>
      <c r="H528" s="60"/>
      <c r="I528" s="29"/>
      <c r="J528" s="29"/>
      <c r="K528" s="29"/>
      <c r="L528" s="29"/>
      <c r="M528" s="34"/>
      <c r="N528" s="29"/>
      <c r="O528" s="29"/>
      <c r="P528" s="29"/>
      <c r="Q528" s="29"/>
      <c r="R528" s="29"/>
      <c r="S528" s="29"/>
      <c r="T528" s="1"/>
      <c r="U528" s="34"/>
      <c r="V528" s="34"/>
    </row>
    <row x14ac:dyDescent="0.25" r="529" customHeight="1" ht="15.75">
      <c r="A529" s="1"/>
      <c r="B529" s="29"/>
      <c r="C529" s="29"/>
      <c r="D529" s="34"/>
      <c r="E529" s="34"/>
      <c r="F529" s="34"/>
      <c r="G529" s="60"/>
      <c r="H529" s="60"/>
      <c r="I529" s="29"/>
      <c r="J529" s="29"/>
      <c r="K529" s="29"/>
      <c r="L529" s="29"/>
      <c r="M529" s="34"/>
      <c r="N529" s="29"/>
      <c r="O529" s="29"/>
      <c r="P529" s="29"/>
      <c r="Q529" s="29"/>
      <c r="R529" s="29"/>
      <c r="S529" s="29"/>
      <c r="T529" s="1"/>
      <c r="U529" s="34"/>
      <c r="V529" s="34"/>
    </row>
    <row x14ac:dyDescent="0.25" r="530" customHeight="1" ht="15.75">
      <c r="A530" s="1"/>
      <c r="B530" s="29"/>
      <c r="C530" s="29"/>
      <c r="D530" s="34"/>
      <c r="E530" s="34"/>
      <c r="F530" s="34"/>
      <c r="G530" s="60"/>
      <c r="H530" s="60"/>
      <c r="I530" s="29"/>
      <c r="J530" s="29"/>
      <c r="K530" s="29"/>
      <c r="L530" s="29"/>
      <c r="M530" s="34"/>
      <c r="N530" s="29"/>
      <c r="O530" s="29"/>
      <c r="P530" s="29"/>
      <c r="Q530" s="29"/>
      <c r="R530" s="29"/>
      <c r="S530" s="29"/>
      <c r="T530" s="1"/>
      <c r="U530" s="34"/>
      <c r="V530" s="34"/>
    </row>
    <row x14ac:dyDescent="0.25" r="531" customHeight="1" ht="15.75">
      <c r="A531" s="1"/>
      <c r="B531" s="29"/>
      <c r="C531" s="29"/>
      <c r="D531" s="34"/>
      <c r="E531" s="34"/>
      <c r="F531" s="34"/>
      <c r="G531" s="60"/>
      <c r="H531" s="60"/>
      <c r="I531" s="29"/>
      <c r="J531" s="29"/>
      <c r="K531" s="29"/>
      <c r="L531" s="29"/>
      <c r="M531" s="34"/>
      <c r="N531" s="29"/>
      <c r="O531" s="29"/>
      <c r="P531" s="29"/>
      <c r="Q531" s="29"/>
      <c r="R531" s="29"/>
      <c r="S531" s="29"/>
      <c r="T531" s="1"/>
      <c r="U531" s="34"/>
      <c r="V531" s="34"/>
    </row>
    <row x14ac:dyDescent="0.25" r="532" customHeight="1" ht="15.75">
      <c r="A532" s="1"/>
      <c r="B532" s="29"/>
      <c r="C532" s="29"/>
      <c r="D532" s="34"/>
      <c r="E532" s="34"/>
      <c r="F532" s="34"/>
      <c r="G532" s="60"/>
      <c r="H532" s="60"/>
      <c r="I532" s="29"/>
      <c r="J532" s="29"/>
      <c r="K532" s="29"/>
      <c r="L532" s="29"/>
      <c r="M532" s="34"/>
      <c r="N532" s="29"/>
      <c r="O532" s="29"/>
      <c r="P532" s="29"/>
      <c r="Q532" s="29"/>
      <c r="R532" s="29"/>
      <c r="S532" s="29"/>
      <c r="T532" s="1"/>
      <c r="U532" s="34"/>
      <c r="V532" s="34"/>
    </row>
    <row x14ac:dyDescent="0.25" r="533" customHeight="1" ht="15.75">
      <c r="A533" s="1"/>
      <c r="B533" s="29"/>
      <c r="C533" s="29"/>
      <c r="D533" s="34"/>
      <c r="E533" s="34"/>
      <c r="F533" s="34"/>
      <c r="G533" s="60"/>
      <c r="H533" s="60"/>
      <c r="I533" s="29"/>
      <c r="J533" s="29"/>
      <c r="K533" s="29"/>
      <c r="L533" s="29"/>
      <c r="M533" s="34"/>
      <c r="N533" s="29"/>
      <c r="O533" s="29"/>
      <c r="P533" s="29"/>
      <c r="Q533" s="29"/>
      <c r="R533" s="29"/>
      <c r="S533" s="29"/>
      <c r="T533" s="1"/>
      <c r="U533" s="34"/>
      <c r="V533" s="34"/>
    </row>
    <row x14ac:dyDescent="0.25" r="534" customHeight="1" ht="15.75">
      <c r="A534" s="1"/>
      <c r="B534" s="29"/>
      <c r="C534" s="29"/>
      <c r="D534" s="34"/>
      <c r="E534" s="34"/>
      <c r="F534" s="34"/>
      <c r="G534" s="60"/>
      <c r="H534" s="60"/>
      <c r="I534" s="29"/>
      <c r="J534" s="29"/>
      <c r="K534" s="29"/>
      <c r="L534" s="29"/>
      <c r="M534" s="34"/>
      <c r="N534" s="29"/>
      <c r="O534" s="29"/>
      <c r="P534" s="29"/>
      <c r="Q534" s="29"/>
      <c r="R534" s="29"/>
      <c r="S534" s="29"/>
      <c r="T534" s="1"/>
      <c r="U534" s="34"/>
      <c r="V534" s="34"/>
    </row>
    <row x14ac:dyDescent="0.25" r="535" customHeight="1" ht="15.75">
      <c r="A535" s="1"/>
      <c r="B535" s="29"/>
      <c r="C535" s="29"/>
      <c r="D535" s="34"/>
      <c r="E535" s="34"/>
      <c r="F535" s="34"/>
      <c r="G535" s="60"/>
      <c r="H535" s="60"/>
      <c r="I535" s="29"/>
      <c r="J535" s="29"/>
      <c r="K535" s="29"/>
      <c r="L535" s="29"/>
      <c r="M535" s="34"/>
      <c r="N535" s="29"/>
      <c r="O535" s="29"/>
      <c r="P535" s="29"/>
      <c r="Q535" s="29"/>
      <c r="R535" s="29"/>
      <c r="S535" s="29"/>
      <c r="T535" s="1"/>
      <c r="U535" s="34"/>
      <c r="V535" s="34"/>
    </row>
    <row x14ac:dyDescent="0.25" r="536" customHeight="1" ht="15.75">
      <c r="A536" s="1"/>
      <c r="B536" s="29"/>
      <c r="C536" s="29"/>
      <c r="D536" s="34"/>
      <c r="E536" s="34"/>
      <c r="F536" s="34"/>
      <c r="G536" s="60"/>
      <c r="H536" s="60"/>
      <c r="I536" s="29"/>
      <c r="J536" s="29"/>
      <c r="K536" s="29"/>
      <c r="L536" s="29"/>
      <c r="M536" s="34"/>
      <c r="N536" s="29"/>
      <c r="O536" s="29"/>
      <c r="P536" s="29"/>
      <c r="Q536" s="29"/>
      <c r="R536" s="29"/>
      <c r="S536" s="29"/>
      <c r="T536" s="1"/>
      <c r="U536" s="34"/>
      <c r="V536" s="34"/>
    </row>
    <row x14ac:dyDescent="0.25" r="537" customHeight="1" ht="15.75">
      <c r="A537" s="1"/>
      <c r="B537" s="29"/>
      <c r="C537" s="29"/>
      <c r="D537" s="34"/>
      <c r="E537" s="34"/>
      <c r="F537" s="34"/>
      <c r="G537" s="60"/>
      <c r="H537" s="60"/>
      <c r="I537" s="29"/>
      <c r="J537" s="29"/>
      <c r="K537" s="29"/>
      <c r="L537" s="29"/>
      <c r="M537" s="34"/>
      <c r="N537" s="29"/>
      <c r="O537" s="29"/>
      <c r="P537" s="29"/>
      <c r="Q537" s="29"/>
      <c r="R537" s="29"/>
      <c r="S537" s="29"/>
      <c r="T537" s="1"/>
      <c r="U537" s="34"/>
      <c r="V537" s="34"/>
    </row>
    <row x14ac:dyDescent="0.25" r="538" customHeight="1" ht="15.75">
      <c r="A538" s="1"/>
      <c r="B538" s="29"/>
      <c r="C538" s="29"/>
      <c r="D538" s="34"/>
      <c r="E538" s="34"/>
      <c r="F538" s="34"/>
      <c r="G538" s="60"/>
      <c r="H538" s="60"/>
      <c r="I538" s="29"/>
      <c r="J538" s="29"/>
      <c r="K538" s="29"/>
      <c r="L538" s="29"/>
      <c r="M538" s="34"/>
      <c r="N538" s="29"/>
      <c r="O538" s="29"/>
      <c r="P538" s="29"/>
      <c r="Q538" s="29"/>
      <c r="R538" s="29"/>
      <c r="S538" s="29"/>
      <c r="T538" s="1"/>
      <c r="U538" s="34"/>
      <c r="V538" s="34"/>
    </row>
    <row x14ac:dyDescent="0.25" r="539" customHeight="1" ht="15.75">
      <c r="A539" s="1"/>
      <c r="B539" s="29"/>
      <c r="C539" s="29"/>
      <c r="D539" s="34"/>
      <c r="E539" s="34"/>
      <c r="F539" s="34"/>
      <c r="G539" s="60"/>
      <c r="H539" s="60"/>
      <c r="I539" s="29"/>
      <c r="J539" s="29"/>
      <c r="K539" s="29"/>
      <c r="L539" s="29"/>
      <c r="M539" s="34"/>
      <c r="N539" s="29"/>
      <c r="O539" s="29"/>
      <c r="P539" s="29"/>
      <c r="Q539" s="29"/>
      <c r="R539" s="29"/>
      <c r="S539" s="29"/>
      <c r="T539" s="1"/>
      <c r="U539" s="34"/>
      <c r="V539" s="34"/>
    </row>
    <row x14ac:dyDescent="0.25" r="540" customHeight="1" ht="15.75">
      <c r="A540" s="1"/>
      <c r="B540" s="29"/>
      <c r="C540" s="29"/>
      <c r="D540" s="34"/>
      <c r="E540" s="34"/>
      <c r="F540" s="34"/>
      <c r="G540" s="60"/>
      <c r="H540" s="60"/>
      <c r="I540" s="29"/>
      <c r="J540" s="29"/>
      <c r="K540" s="29"/>
      <c r="L540" s="29"/>
      <c r="M540" s="34"/>
      <c r="N540" s="29"/>
      <c r="O540" s="29"/>
      <c r="P540" s="29"/>
      <c r="Q540" s="29"/>
      <c r="R540" s="29"/>
      <c r="S540" s="29"/>
      <c r="T540" s="1"/>
      <c r="U540" s="34"/>
      <c r="V540" s="34"/>
    </row>
    <row x14ac:dyDescent="0.25" r="541" customHeight="1" ht="15.75">
      <c r="A541" s="1"/>
      <c r="B541" s="29"/>
      <c r="C541" s="29"/>
      <c r="D541" s="34"/>
      <c r="E541" s="34"/>
      <c r="F541" s="34"/>
      <c r="G541" s="60"/>
      <c r="H541" s="60"/>
      <c r="I541" s="29"/>
      <c r="J541" s="29"/>
      <c r="K541" s="29"/>
      <c r="L541" s="29"/>
      <c r="M541" s="34"/>
      <c r="N541" s="29"/>
      <c r="O541" s="29"/>
      <c r="P541" s="29"/>
      <c r="Q541" s="29"/>
      <c r="R541" s="29"/>
      <c r="S541" s="29"/>
      <c r="T541" s="1"/>
      <c r="U541" s="34"/>
      <c r="V541" s="34"/>
    </row>
    <row x14ac:dyDescent="0.25" r="542" customHeight="1" ht="15.75">
      <c r="A542" s="1"/>
      <c r="B542" s="29"/>
      <c r="C542" s="29"/>
      <c r="D542" s="34"/>
      <c r="E542" s="34"/>
      <c r="F542" s="34"/>
      <c r="G542" s="60"/>
      <c r="H542" s="60"/>
      <c r="I542" s="29"/>
      <c r="J542" s="29"/>
      <c r="K542" s="29"/>
      <c r="L542" s="29"/>
      <c r="M542" s="34"/>
      <c r="N542" s="29"/>
      <c r="O542" s="29"/>
      <c r="P542" s="29"/>
      <c r="Q542" s="29"/>
      <c r="R542" s="29"/>
      <c r="S542" s="29"/>
      <c r="T542" s="1"/>
      <c r="U542" s="34"/>
      <c r="V542" s="34"/>
    </row>
    <row x14ac:dyDescent="0.25" r="543" customHeight="1" ht="15.75">
      <c r="A543" s="1"/>
      <c r="B543" s="29"/>
      <c r="C543" s="29"/>
      <c r="D543" s="34"/>
      <c r="E543" s="34"/>
      <c r="F543" s="34"/>
      <c r="G543" s="60"/>
      <c r="H543" s="60"/>
      <c r="I543" s="29"/>
      <c r="J543" s="29"/>
      <c r="K543" s="29"/>
      <c r="L543" s="29"/>
      <c r="M543" s="34"/>
      <c r="N543" s="29"/>
      <c r="O543" s="29"/>
      <c r="P543" s="29"/>
      <c r="Q543" s="29"/>
      <c r="R543" s="29"/>
      <c r="S543" s="29"/>
      <c r="T543" s="1"/>
      <c r="U543" s="34"/>
      <c r="V543" s="34"/>
    </row>
    <row x14ac:dyDescent="0.25" r="544" customHeight="1" ht="15.75">
      <c r="A544" s="1"/>
      <c r="B544" s="29"/>
      <c r="C544" s="29"/>
      <c r="D544" s="34"/>
      <c r="E544" s="34"/>
      <c r="F544" s="34"/>
      <c r="G544" s="60"/>
      <c r="H544" s="60"/>
      <c r="I544" s="29"/>
      <c r="J544" s="29"/>
      <c r="K544" s="29"/>
      <c r="L544" s="29"/>
      <c r="M544" s="34"/>
      <c r="N544" s="29"/>
      <c r="O544" s="29"/>
      <c r="P544" s="29"/>
      <c r="Q544" s="29"/>
      <c r="R544" s="29"/>
      <c r="S544" s="29"/>
      <c r="T544" s="1"/>
      <c r="U544" s="34"/>
      <c r="V544" s="34"/>
    </row>
    <row x14ac:dyDescent="0.25" r="545" customHeight="1" ht="15.75">
      <c r="A545" s="1"/>
      <c r="B545" s="29"/>
      <c r="C545" s="29"/>
      <c r="D545" s="34"/>
      <c r="E545" s="34"/>
      <c r="F545" s="34"/>
      <c r="G545" s="60"/>
      <c r="H545" s="60"/>
      <c r="I545" s="29"/>
      <c r="J545" s="29"/>
      <c r="K545" s="29"/>
      <c r="L545" s="29"/>
      <c r="M545" s="34"/>
      <c r="N545" s="29"/>
      <c r="O545" s="29"/>
      <c r="P545" s="29"/>
      <c r="Q545" s="29"/>
      <c r="R545" s="29"/>
      <c r="S545" s="29"/>
      <c r="T545" s="1"/>
      <c r="U545" s="34"/>
      <c r="V545" s="34"/>
    </row>
    <row x14ac:dyDescent="0.25" r="546" customHeight="1" ht="15.75">
      <c r="A546" s="1"/>
      <c r="B546" s="29"/>
      <c r="C546" s="29"/>
      <c r="D546" s="34"/>
      <c r="E546" s="34"/>
      <c r="F546" s="34"/>
      <c r="G546" s="60"/>
      <c r="H546" s="60"/>
      <c r="I546" s="29"/>
      <c r="J546" s="29"/>
      <c r="K546" s="29"/>
      <c r="L546" s="29"/>
      <c r="M546" s="34"/>
      <c r="N546" s="29"/>
      <c r="O546" s="29"/>
      <c r="P546" s="29"/>
      <c r="Q546" s="29"/>
      <c r="R546" s="29"/>
      <c r="S546" s="29"/>
      <c r="T546" s="1"/>
      <c r="U546" s="34"/>
      <c r="V546" s="34"/>
    </row>
    <row x14ac:dyDescent="0.25" r="547" customHeight="1" ht="15.75">
      <c r="A547" s="1"/>
      <c r="B547" s="29"/>
      <c r="C547" s="29"/>
      <c r="D547" s="34"/>
      <c r="E547" s="34"/>
      <c r="F547" s="34"/>
      <c r="G547" s="60"/>
      <c r="H547" s="60"/>
      <c r="I547" s="29"/>
      <c r="J547" s="29"/>
      <c r="K547" s="29"/>
      <c r="L547" s="29"/>
      <c r="M547" s="34"/>
      <c r="N547" s="29"/>
      <c r="O547" s="29"/>
      <c r="P547" s="29"/>
      <c r="Q547" s="29"/>
      <c r="R547" s="29"/>
      <c r="S547" s="29"/>
      <c r="T547" s="1"/>
      <c r="U547" s="34"/>
      <c r="V547" s="34"/>
    </row>
    <row x14ac:dyDescent="0.25" r="548" customHeight="1" ht="15.75">
      <c r="A548" s="1"/>
      <c r="B548" s="29"/>
      <c r="C548" s="29"/>
      <c r="D548" s="34"/>
      <c r="E548" s="34"/>
      <c r="F548" s="34"/>
      <c r="G548" s="60"/>
      <c r="H548" s="60"/>
      <c r="I548" s="29"/>
      <c r="J548" s="29"/>
      <c r="K548" s="29"/>
      <c r="L548" s="29"/>
      <c r="M548" s="34"/>
      <c r="N548" s="29"/>
      <c r="O548" s="29"/>
      <c r="P548" s="29"/>
      <c r="Q548" s="29"/>
      <c r="R548" s="29"/>
      <c r="S548" s="29"/>
      <c r="T548" s="1"/>
      <c r="U548" s="34"/>
      <c r="V548" s="34"/>
    </row>
    <row x14ac:dyDescent="0.25" r="549" customHeight="1" ht="15.75">
      <c r="A549" s="1"/>
      <c r="B549" s="29"/>
      <c r="C549" s="29"/>
      <c r="D549" s="34"/>
      <c r="E549" s="34"/>
      <c r="F549" s="34"/>
      <c r="G549" s="60"/>
      <c r="H549" s="60"/>
      <c r="I549" s="29"/>
      <c r="J549" s="29"/>
      <c r="K549" s="29"/>
      <c r="L549" s="29"/>
      <c r="M549" s="34"/>
      <c r="N549" s="29"/>
      <c r="O549" s="29"/>
      <c r="P549" s="29"/>
      <c r="Q549" s="29"/>
      <c r="R549" s="29"/>
      <c r="S549" s="29"/>
      <c r="T549" s="1"/>
      <c r="U549" s="34"/>
      <c r="V549" s="34"/>
    </row>
    <row x14ac:dyDescent="0.25" r="550" customHeight="1" ht="15.75">
      <c r="A550" s="1"/>
      <c r="B550" s="29"/>
      <c r="C550" s="29"/>
      <c r="D550" s="34"/>
      <c r="E550" s="34"/>
      <c r="F550" s="34"/>
      <c r="G550" s="60"/>
      <c r="H550" s="60"/>
      <c r="I550" s="29"/>
      <c r="J550" s="29"/>
      <c r="K550" s="29"/>
      <c r="L550" s="29"/>
      <c r="M550" s="34"/>
      <c r="N550" s="29"/>
      <c r="O550" s="29"/>
      <c r="P550" s="29"/>
      <c r="Q550" s="29"/>
      <c r="R550" s="29"/>
      <c r="S550" s="29"/>
      <c r="T550" s="1"/>
      <c r="U550" s="34"/>
      <c r="V550" s="34"/>
    </row>
    <row x14ac:dyDescent="0.25" r="551" customHeight="1" ht="15.75">
      <c r="A551" s="1"/>
      <c r="B551" s="29"/>
      <c r="C551" s="29"/>
      <c r="D551" s="34"/>
      <c r="E551" s="34"/>
      <c r="F551" s="34"/>
      <c r="G551" s="60"/>
      <c r="H551" s="60"/>
      <c r="I551" s="29"/>
      <c r="J551" s="29"/>
      <c r="K551" s="29"/>
      <c r="L551" s="29"/>
      <c r="M551" s="34"/>
      <c r="N551" s="29"/>
      <c r="O551" s="29"/>
      <c r="P551" s="29"/>
      <c r="Q551" s="29"/>
      <c r="R551" s="29"/>
      <c r="S551" s="29"/>
      <c r="T551" s="1"/>
      <c r="U551" s="34"/>
      <c r="V551" s="34"/>
    </row>
    <row x14ac:dyDescent="0.25" r="552" customHeight="1" ht="15.75">
      <c r="A552" s="1"/>
      <c r="B552" s="29"/>
      <c r="C552" s="29"/>
      <c r="D552" s="34"/>
      <c r="E552" s="34"/>
      <c r="F552" s="34"/>
      <c r="G552" s="60"/>
      <c r="H552" s="60"/>
      <c r="I552" s="29"/>
      <c r="J552" s="29"/>
      <c r="K552" s="29"/>
      <c r="L552" s="29"/>
      <c r="M552" s="34"/>
      <c r="N552" s="29"/>
      <c r="O552" s="29"/>
      <c r="P552" s="29"/>
      <c r="Q552" s="29"/>
      <c r="R552" s="29"/>
      <c r="S552" s="29"/>
      <c r="T552" s="1"/>
      <c r="U552" s="34"/>
      <c r="V552" s="34"/>
    </row>
    <row x14ac:dyDescent="0.25" r="553" customHeight="1" ht="15.75">
      <c r="A553" s="1"/>
      <c r="B553" s="29"/>
      <c r="C553" s="29"/>
      <c r="D553" s="34"/>
      <c r="E553" s="34"/>
      <c r="F553" s="34"/>
      <c r="G553" s="60"/>
      <c r="H553" s="60"/>
      <c r="I553" s="29"/>
      <c r="J553" s="29"/>
      <c r="K553" s="29"/>
      <c r="L553" s="29"/>
      <c r="M553" s="34"/>
      <c r="N553" s="29"/>
      <c r="O553" s="29"/>
      <c r="P553" s="29"/>
      <c r="Q553" s="29"/>
      <c r="R553" s="29"/>
      <c r="S553" s="29"/>
      <c r="T553" s="1"/>
      <c r="U553" s="34"/>
      <c r="V553" s="34"/>
    </row>
    <row x14ac:dyDescent="0.25" r="554" customHeight="1" ht="15.75">
      <c r="A554" s="1"/>
      <c r="B554" s="29"/>
      <c r="C554" s="29"/>
      <c r="D554" s="34"/>
      <c r="E554" s="34"/>
      <c r="F554" s="34"/>
      <c r="G554" s="60"/>
      <c r="H554" s="60"/>
      <c r="I554" s="29"/>
      <c r="J554" s="29"/>
      <c r="K554" s="29"/>
      <c r="L554" s="29"/>
      <c r="M554" s="34"/>
      <c r="N554" s="29"/>
      <c r="O554" s="29"/>
      <c r="P554" s="29"/>
      <c r="Q554" s="29"/>
      <c r="R554" s="29"/>
      <c r="S554" s="29"/>
      <c r="T554" s="1"/>
      <c r="U554" s="34"/>
      <c r="V554" s="34"/>
    </row>
    <row x14ac:dyDescent="0.25" r="555" customHeight="1" ht="15.75">
      <c r="A555" s="1"/>
      <c r="B555" s="29"/>
      <c r="C555" s="29"/>
      <c r="D555" s="34"/>
      <c r="E555" s="34"/>
      <c r="F555" s="34"/>
      <c r="G555" s="60"/>
      <c r="H555" s="60"/>
      <c r="I555" s="29"/>
      <c r="J555" s="29"/>
      <c r="K555" s="29"/>
      <c r="L555" s="29"/>
      <c r="M555" s="34"/>
      <c r="N555" s="29"/>
      <c r="O555" s="29"/>
      <c r="P555" s="29"/>
      <c r="Q555" s="29"/>
      <c r="R555" s="29"/>
      <c r="S555" s="29"/>
      <c r="T555" s="1"/>
      <c r="U555" s="34"/>
      <c r="V555" s="34"/>
    </row>
    <row x14ac:dyDescent="0.25" r="556" customHeight="1" ht="15.75">
      <c r="A556" s="1"/>
      <c r="B556" s="29"/>
      <c r="C556" s="29"/>
      <c r="D556" s="34"/>
      <c r="E556" s="34"/>
      <c r="F556" s="34"/>
      <c r="G556" s="60"/>
      <c r="H556" s="60"/>
      <c r="I556" s="29"/>
      <c r="J556" s="29"/>
      <c r="K556" s="29"/>
      <c r="L556" s="29"/>
      <c r="M556" s="34"/>
      <c r="N556" s="29"/>
      <c r="O556" s="29"/>
      <c r="P556" s="29"/>
      <c r="Q556" s="29"/>
      <c r="R556" s="29"/>
      <c r="S556" s="29"/>
      <c r="T556" s="1"/>
      <c r="U556" s="34"/>
      <c r="V556" s="34"/>
    </row>
    <row x14ac:dyDescent="0.25" r="557" customHeight="1" ht="15.75">
      <c r="A557" s="1"/>
      <c r="B557" s="29"/>
      <c r="C557" s="29"/>
      <c r="D557" s="34"/>
      <c r="E557" s="34"/>
      <c r="F557" s="34"/>
      <c r="G557" s="60"/>
      <c r="H557" s="60"/>
      <c r="I557" s="29"/>
      <c r="J557" s="29"/>
      <c r="K557" s="29"/>
      <c r="L557" s="29"/>
      <c r="M557" s="34"/>
      <c r="N557" s="29"/>
      <c r="O557" s="29"/>
      <c r="P557" s="29"/>
      <c r="Q557" s="29"/>
      <c r="R557" s="29"/>
      <c r="S557" s="29"/>
      <c r="T557" s="1"/>
      <c r="U557" s="34"/>
      <c r="V557" s="34"/>
    </row>
    <row x14ac:dyDescent="0.25" r="558" customHeight="1" ht="15.75">
      <c r="A558" s="1"/>
      <c r="B558" s="29"/>
      <c r="C558" s="29"/>
      <c r="D558" s="34"/>
      <c r="E558" s="34"/>
      <c r="F558" s="34"/>
      <c r="G558" s="60"/>
      <c r="H558" s="60"/>
      <c r="I558" s="29"/>
      <c r="J558" s="29"/>
      <c r="K558" s="29"/>
      <c r="L558" s="29"/>
      <c r="M558" s="34"/>
      <c r="N558" s="29"/>
      <c r="O558" s="29"/>
      <c r="P558" s="29"/>
      <c r="Q558" s="29"/>
      <c r="R558" s="29"/>
      <c r="S558" s="29"/>
      <c r="T558" s="1"/>
      <c r="U558" s="34"/>
      <c r="V558" s="34"/>
    </row>
    <row x14ac:dyDescent="0.25" r="559" customHeight="1" ht="15.75">
      <c r="A559" s="1"/>
      <c r="B559" s="29"/>
      <c r="C559" s="29"/>
      <c r="D559" s="34"/>
      <c r="E559" s="34"/>
      <c r="F559" s="34"/>
      <c r="G559" s="60"/>
      <c r="H559" s="60"/>
      <c r="I559" s="29"/>
      <c r="J559" s="29"/>
      <c r="K559" s="29"/>
      <c r="L559" s="29"/>
      <c r="M559" s="34"/>
      <c r="N559" s="29"/>
      <c r="O559" s="29"/>
      <c r="P559" s="29"/>
      <c r="Q559" s="29"/>
      <c r="R559" s="29"/>
      <c r="S559" s="29"/>
      <c r="T559" s="1"/>
      <c r="U559" s="34"/>
      <c r="V559" s="34"/>
    </row>
    <row x14ac:dyDescent="0.25" r="560" customHeight="1" ht="15.75">
      <c r="A560" s="1"/>
      <c r="B560" s="29"/>
      <c r="C560" s="29"/>
      <c r="D560" s="34"/>
      <c r="E560" s="34"/>
      <c r="F560" s="34"/>
      <c r="G560" s="60"/>
      <c r="H560" s="60"/>
      <c r="I560" s="29"/>
      <c r="J560" s="29"/>
      <c r="K560" s="29"/>
      <c r="L560" s="29"/>
      <c r="M560" s="34"/>
      <c r="N560" s="29"/>
      <c r="O560" s="29"/>
      <c r="P560" s="29"/>
      <c r="Q560" s="29"/>
      <c r="R560" s="29"/>
      <c r="S560" s="29"/>
      <c r="T560" s="1"/>
      <c r="U560" s="34"/>
      <c r="V560" s="34"/>
    </row>
    <row x14ac:dyDescent="0.25" r="561" customHeight="1" ht="15.75">
      <c r="A561" s="1"/>
      <c r="B561" s="29"/>
      <c r="C561" s="29"/>
      <c r="D561" s="34"/>
      <c r="E561" s="34"/>
      <c r="F561" s="34"/>
      <c r="G561" s="60"/>
      <c r="H561" s="60"/>
      <c r="I561" s="29"/>
      <c r="J561" s="29"/>
      <c r="K561" s="29"/>
      <c r="L561" s="29"/>
      <c r="M561" s="34"/>
      <c r="N561" s="29"/>
      <c r="O561" s="29"/>
      <c r="P561" s="29"/>
      <c r="Q561" s="29"/>
      <c r="R561" s="29"/>
      <c r="S561" s="29"/>
      <c r="T561" s="1"/>
      <c r="U561" s="34"/>
      <c r="V561" s="34"/>
    </row>
    <row x14ac:dyDescent="0.25" r="562" customHeight="1" ht="15.75">
      <c r="A562" s="1"/>
      <c r="B562" s="29"/>
      <c r="C562" s="29"/>
      <c r="D562" s="34"/>
      <c r="E562" s="34"/>
      <c r="F562" s="34"/>
      <c r="G562" s="60"/>
      <c r="H562" s="60"/>
      <c r="I562" s="29"/>
      <c r="J562" s="29"/>
      <c r="K562" s="29"/>
      <c r="L562" s="29"/>
      <c r="M562" s="34"/>
      <c r="N562" s="29"/>
      <c r="O562" s="29"/>
      <c r="P562" s="29"/>
      <c r="Q562" s="29"/>
      <c r="R562" s="29"/>
      <c r="S562" s="29"/>
      <c r="T562" s="1"/>
      <c r="U562" s="34"/>
      <c r="V562" s="34"/>
    </row>
    <row x14ac:dyDescent="0.25" r="563" customHeight="1" ht="15.75">
      <c r="A563" s="1"/>
      <c r="B563" s="29"/>
      <c r="C563" s="29"/>
      <c r="D563" s="34"/>
      <c r="E563" s="34"/>
      <c r="F563" s="34"/>
      <c r="G563" s="60"/>
      <c r="H563" s="60"/>
      <c r="I563" s="29"/>
      <c r="J563" s="29"/>
      <c r="K563" s="29"/>
      <c r="L563" s="29"/>
      <c r="M563" s="34"/>
      <c r="N563" s="29"/>
      <c r="O563" s="29"/>
      <c r="P563" s="29"/>
      <c r="Q563" s="29"/>
      <c r="R563" s="29"/>
      <c r="S563" s="29"/>
      <c r="T563" s="1"/>
      <c r="U563" s="34"/>
      <c r="V563" s="34"/>
    </row>
    <row x14ac:dyDescent="0.25" r="564" customHeight="1" ht="15.75">
      <c r="A564" s="1"/>
      <c r="B564" s="29"/>
      <c r="C564" s="29"/>
      <c r="D564" s="34"/>
      <c r="E564" s="34"/>
      <c r="F564" s="34"/>
      <c r="G564" s="60"/>
      <c r="H564" s="60"/>
      <c r="I564" s="29"/>
      <c r="J564" s="29"/>
      <c r="K564" s="29"/>
      <c r="L564" s="29"/>
      <c r="M564" s="34"/>
      <c r="N564" s="29"/>
      <c r="O564" s="29"/>
      <c r="P564" s="29"/>
      <c r="Q564" s="29"/>
      <c r="R564" s="29"/>
      <c r="S564" s="29"/>
      <c r="T564" s="1"/>
      <c r="U564" s="34"/>
      <c r="V564" s="34"/>
    </row>
    <row x14ac:dyDescent="0.25" r="565" customHeight="1" ht="15.75">
      <c r="A565" s="1"/>
      <c r="B565" s="29"/>
      <c r="C565" s="29"/>
      <c r="D565" s="34"/>
      <c r="E565" s="34"/>
      <c r="F565" s="34"/>
      <c r="G565" s="60"/>
      <c r="H565" s="60"/>
      <c r="I565" s="29"/>
      <c r="J565" s="29"/>
      <c r="K565" s="29"/>
      <c r="L565" s="29"/>
      <c r="M565" s="34"/>
      <c r="N565" s="29"/>
      <c r="O565" s="29"/>
      <c r="P565" s="29"/>
      <c r="Q565" s="29"/>
      <c r="R565" s="29"/>
      <c r="S565" s="29"/>
      <c r="T565" s="1"/>
      <c r="U565" s="34"/>
      <c r="V565" s="34"/>
    </row>
    <row x14ac:dyDescent="0.25" r="566" customHeight="1" ht="15.75">
      <c r="A566" s="1"/>
      <c r="B566" s="29"/>
      <c r="C566" s="29"/>
      <c r="D566" s="34"/>
      <c r="E566" s="34"/>
      <c r="F566" s="34"/>
      <c r="G566" s="60"/>
      <c r="H566" s="60"/>
      <c r="I566" s="29"/>
      <c r="J566" s="29"/>
      <c r="K566" s="29"/>
      <c r="L566" s="29"/>
      <c r="M566" s="34"/>
      <c r="N566" s="29"/>
      <c r="O566" s="29"/>
      <c r="P566" s="29"/>
      <c r="Q566" s="29"/>
      <c r="R566" s="29"/>
      <c r="S566" s="29"/>
      <c r="T566" s="1"/>
      <c r="U566" s="34"/>
      <c r="V566" s="34"/>
    </row>
    <row x14ac:dyDescent="0.25" r="567" customHeight="1" ht="15.75">
      <c r="A567" s="1"/>
      <c r="B567" s="29"/>
      <c r="C567" s="29"/>
      <c r="D567" s="34"/>
      <c r="E567" s="34"/>
      <c r="F567" s="34"/>
      <c r="G567" s="60"/>
      <c r="H567" s="60"/>
      <c r="I567" s="29"/>
      <c r="J567" s="29"/>
      <c r="K567" s="29"/>
      <c r="L567" s="29"/>
      <c r="M567" s="34"/>
      <c r="N567" s="29"/>
      <c r="O567" s="29"/>
      <c r="P567" s="29"/>
      <c r="Q567" s="29"/>
      <c r="R567" s="29"/>
      <c r="S567" s="29"/>
      <c r="T567" s="1"/>
      <c r="U567" s="34"/>
      <c r="V567" s="34"/>
    </row>
    <row x14ac:dyDescent="0.25" r="568" customHeight="1" ht="15.75">
      <c r="A568" s="1"/>
      <c r="B568" s="29"/>
      <c r="C568" s="29"/>
      <c r="D568" s="34"/>
      <c r="E568" s="34"/>
      <c r="F568" s="34"/>
      <c r="G568" s="60"/>
      <c r="H568" s="60"/>
      <c r="I568" s="29"/>
      <c r="J568" s="29"/>
      <c r="K568" s="29"/>
      <c r="L568" s="29"/>
      <c r="M568" s="34"/>
      <c r="N568" s="29"/>
      <c r="O568" s="29"/>
      <c r="P568" s="29"/>
      <c r="Q568" s="29"/>
      <c r="R568" s="29"/>
      <c r="S568" s="29"/>
      <c r="T568" s="1"/>
      <c r="U568" s="34"/>
      <c r="V568" s="34"/>
    </row>
    <row x14ac:dyDescent="0.25" r="569" customHeight="1" ht="15.75">
      <c r="A569" s="1"/>
      <c r="B569" s="29"/>
      <c r="C569" s="29"/>
      <c r="D569" s="34"/>
      <c r="E569" s="34"/>
      <c r="F569" s="34"/>
      <c r="G569" s="60"/>
      <c r="H569" s="60"/>
      <c r="I569" s="29"/>
      <c r="J569" s="29"/>
      <c r="K569" s="29"/>
      <c r="L569" s="29"/>
      <c r="M569" s="34"/>
      <c r="N569" s="29"/>
      <c r="O569" s="29"/>
      <c r="P569" s="29"/>
      <c r="Q569" s="29"/>
      <c r="R569" s="29"/>
      <c r="S569" s="29"/>
      <c r="T569" s="1"/>
      <c r="U569" s="34"/>
      <c r="V569" s="34"/>
    </row>
    <row x14ac:dyDescent="0.25" r="570" customHeight="1" ht="15.75">
      <c r="A570" s="1"/>
      <c r="B570" s="29"/>
      <c r="C570" s="29"/>
      <c r="D570" s="34"/>
      <c r="E570" s="34"/>
      <c r="F570" s="34"/>
      <c r="G570" s="60"/>
      <c r="H570" s="60"/>
      <c r="I570" s="29"/>
      <c r="J570" s="29"/>
      <c r="K570" s="29"/>
      <c r="L570" s="29"/>
      <c r="M570" s="34"/>
      <c r="N570" s="29"/>
      <c r="O570" s="29"/>
      <c r="P570" s="29"/>
      <c r="Q570" s="29"/>
      <c r="R570" s="29"/>
      <c r="S570" s="29"/>
      <c r="T570" s="1"/>
      <c r="U570" s="34"/>
      <c r="V570" s="34"/>
    </row>
    <row x14ac:dyDescent="0.25" r="571" customHeight="1" ht="15.75">
      <c r="A571" s="1"/>
      <c r="B571" s="29"/>
      <c r="C571" s="29"/>
      <c r="D571" s="34"/>
      <c r="E571" s="34"/>
      <c r="F571" s="34"/>
      <c r="G571" s="60"/>
      <c r="H571" s="60"/>
      <c r="I571" s="29"/>
      <c r="J571" s="29"/>
      <c r="K571" s="29"/>
      <c r="L571" s="29"/>
      <c r="M571" s="34"/>
      <c r="N571" s="29"/>
      <c r="O571" s="29"/>
      <c r="P571" s="29"/>
      <c r="Q571" s="29"/>
      <c r="R571" s="29"/>
      <c r="S571" s="29"/>
      <c r="T571" s="1"/>
      <c r="U571" s="34"/>
      <c r="V571" s="34"/>
    </row>
    <row x14ac:dyDescent="0.25" r="572" customHeight="1" ht="15.75">
      <c r="A572" s="1"/>
      <c r="B572" s="29"/>
      <c r="C572" s="29"/>
      <c r="D572" s="34"/>
      <c r="E572" s="34"/>
      <c r="F572" s="34"/>
      <c r="G572" s="60"/>
      <c r="H572" s="60"/>
      <c r="I572" s="29"/>
      <c r="J572" s="29"/>
      <c r="K572" s="29"/>
      <c r="L572" s="29"/>
      <c r="M572" s="34"/>
      <c r="N572" s="29"/>
      <c r="O572" s="29"/>
      <c r="P572" s="29"/>
      <c r="Q572" s="29"/>
      <c r="R572" s="29"/>
      <c r="S572" s="29"/>
      <c r="T572" s="1"/>
      <c r="U572" s="34"/>
      <c r="V572" s="34"/>
    </row>
    <row x14ac:dyDescent="0.25" r="573" customHeight="1" ht="15.75">
      <c r="A573" s="1"/>
      <c r="B573" s="29"/>
      <c r="C573" s="29"/>
      <c r="D573" s="34"/>
      <c r="E573" s="34"/>
      <c r="F573" s="34"/>
      <c r="G573" s="60"/>
      <c r="H573" s="60"/>
      <c r="I573" s="29"/>
      <c r="J573" s="29"/>
      <c r="K573" s="29"/>
      <c r="L573" s="29"/>
      <c r="M573" s="34"/>
      <c r="N573" s="29"/>
      <c r="O573" s="29"/>
      <c r="P573" s="29"/>
      <c r="Q573" s="29"/>
      <c r="R573" s="29"/>
      <c r="S573" s="29"/>
      <c r="T573" s="1"/>
      <c r="U573" s="34"/>
      <c r="V573" s="34"/>
    </row>
    <row x14ac:dyDescent="0.25" r="574" customHeight="1" ht="15.75">
      <c r="A574" s="1"/>
      <c r="B574" s="29"/>
      <c r="C574" s="29"/>
      <c r="D574" s="34"/>
      <c r="E574" s="34"/>
      <c r="F574" s="34"/>
      <c r="G574" s="60"/>
      <c r="H574" s="60"/>
      <c r="I574" s="29"/>
      <c r="J574" s="29"/>
      <c r="K574" s="29"/>
      <c r="L574" s="29"/>
      <c r="M574" s="34"/>
      <c r="N574" s="29"/>
      <c r="O574" s="29"/>
      <c r="P574" s="29"/>
      <c r="Q574" s="29"/>
      <c r="R574" s="29"/>
      <c r="S574" s="29"/>
      <c r="T574" s="1"/>
      <c r="U574" s="34"/>
      <c r="V574" s="34"/>
    </row>
    <row x14ac:dyDescent="0.25" r="575" customHeight="1" ht="15.75">
      <c r="A575" s="1"/>
      <c r="B575" s="29"/>
      <c r="C575" s="29"/>
      <c r="D575" s="34"/>
      <c r="E575" s="34"/>
      <c r="F575" s="34"/>
      <c r="G575" s="60"/>
      <c r="H575" s="60"/>
      <c r="I575" s="29"/>
      <c r="J575" s="29"/>
      <c r="K575" s="29"/>
      <c r="L575" s="29"/>
      <c r="M575" s="34"/>
      <c r="N575" s="29"/>
      <c r="O575" s="29"/>
      <c r="P575" s="29"/>
      <c r="Q575" s="29"/>
      <c r="R575" s="29"/>
      <c r="S575" s="29"/>
      <c r="T575" s="1"/>
      <c r="U575" s="34"/>
      <c r="V575" s="34"/>
    </row>
    <row x14ac:dyDescent="0.25" r="576" customHeight="1" ht="15.75">
      <c r="A576" s="1"/>
      <c r="B576" s="29"/>
      <c r="C576" s="29"/>
      <c r="D576" s="34"/>
      <c r="E576" s="34"/>
      <c r="F576" s="34"/>
      <c r="G576" s="60"/>
      <c r="H576" s="60"/>
      <c r="I576" s="29"/>
      <c r="J576" s="29"/>
      <c r="K576" s="29"/>
      <c r="L576" s="29"/>
      <c r="M576" s="34"/>
      <c r="N576" s="29"/>
      <c r="O576" s="29"/>
      <c r="P576" s="29"/>
      <c r="Q576" s="29"/>
      <c r="R576" s="29"/>
      <c r="S576" s="29"/>
      <c r="T576" s="1"/>
      <c r="U576" s="34"/>
      <c r="V576" s="34"/>
    </row>
    <row x14ac:dyDescent="0.25" r="577" customHeight="1" ht="15.75">
      <c r="A577" s="1"/>
      <c r="B577" s="29"/>
      <c r="C577" s="29"/>
      <c r="D577" s="34"/>
      <c r="E577" s="34"/>
      <c r="F577" s="34"/>
      <c r="G577" s="60"/>
      <c r="H577" s="60"/>
      <c r="I577" s="29"/>
      <c r="J577" s="29"/>
      <c r="K577" s="29"/>
      <c r="L577" s="29"/>
      <c r="M577" s="34"/>
      <c r="N577" s="29"/>
      <c r="O577" s="29"/>
      <c r="P577" s="29"/>
      <c r="Q577" s="29"/>
      <c r="R577" s="29"/>
      <c r="S577" s="29"/>
      <c r="T577" s="1"/>
      <c r="U577" s="34"/>
      <c r="V577" s="34"/>
    </row>
    <row x14ac:dyDescent="0.25" r="578" customHeight="1" ht="15.75">
      <c r="A578" s="1"/>
      <c r="B578" s="29"/>
      <c r="C578" s="29"/>
      <c r="D578" s="34"/>
      <c r="E578" s="34"/>
      <c r="F578" s="34"/>
      <c r="G578" s="60"/>
      <c r="H578" s="60"/>
      <c r="I578" s="29"/>
      <c r="J578" s="29"/>
      <c r="K578" s="29"/>
      <c r="L578" s="29"/>
      <c r="M578" s="34"/>
      <c r="N578" s="29"/>
      <c r="O578" s="29"/>
      <c r="P578" s="29"/>
      <c r="Q578" s="29"/>
      <c r="R578" s="29"/>
      <c r="S578" s="29"/>
      <c r="T578" s="1"/>
      <c r="U578" s="34"/>
      <c r="V578" s="34"/>
    </row>
    <row x14ac:dyDescent="0.25" r="579" customHeight="1" ht="15.75">
      <c r="A579" s="1"/>
      <c r="B579" s="29"/>
      <c r="C579" s="29"/>
      <c r="D579" s="34"/>
      <c r="E579" s="34"/>
      <c r="F579" s="34"/>
      <c r="G579" s="60"/>
      <c r="H579" s="60"/>
      <c r="I579" s="29"/>
      <c r="J579" s="29"/>
      <c r="K579" s="29"/>
      <c r="L579" s="29"/>
      <c r="M579" s="34"/>
      <c r="N579" s="29"/>
      <c r="O579" s="29"/>
      <c r="P579" s="29"/>
      <c r="Q579" s="29"/>
      <c r="R579" s="29"/>
      <c r="S579" s="29"/>
      <c r="T579" s="1"/>
      <c r="U579" s="34"/>
      <c r="V579" s="34"/>
    </row>
    <row x14ac:dyDescent="0.25" r="580" customHeight="1" ht="15.75">
      <c r="A580" s="1"/>
      <c r="B580" s="29"/>
      <c r="C580" s="29"/>
      <c r="D580" s="34"/>
      <c r="E580" s="34"/>
      <c r="F580" s="34"/>
      <c r="G580" s="60"/>
      <c r="H580" s="60"/>
      <c r="I580" s="29"/>
      <c r="J580" s="29"/>
      <c r="K580" s="29"/>
      <c r="L580" s="29"/>
      <c r="M580" s="34"/>
      <c r="N580" s="29"/>
      <c r="O580" s="29"/>
      <c r="P580" s="29"/>
      <c r="Q580" s="29"/>
      <c r="R580" s="29"/>
      <c r="S580" s="29"/>
      <c r="T580" s="1"/>
      <c r="U580" s="34"/>
      <c r="V580" s="34"/>
    </row>
    <row x14ac:dyDescent="0.25" r="581" customHeight="1" ht="15.75">
      <c r="A581" s="1"/>
      <c r="B581" s="29"/>
      <c r="C581" s="29"/>
      <c r="D581" s="34"/>
      <c r="E581" s="34"/>
      <c r="F581" s="34"/>
      <c r="G581" s="60"/>
      <c r="H581" s="60"/>
      <c r="I581" s="29"/>
      <c r="J581" s="29"/>
      <c r="K581" s="29"/>
      <c r="L581" s="29"/>
      <c r="M581" s="34"/>
      <c r="N581" s="29"/>
      <c r="O581" s="29"/>
      <c r="P581" s="29"/>
      <c r="Q581" s="29"/>
      <c r="R581" s="29"/>
      <c r="S581" s="29"/>
      <c r="T581" s="1"/>
      <c r="U581" s="34"/>
      <c r="V581" s="34"/>
    </row>
    <row x14ac:dyDescent="0.25" r="582" customHeight="1" ht="15.75">
      <c r="A582" s="1"/>
      <c r="B582" s="29"/>
      <c r="C582" s="29"/>
      <c r="D582" s="34"/>
      <c r="E582" s="34"/>
      <c r="F582" s="34"/>
      <c r="G582" s="60"/>
      <c r="H582" s="60"/>
      <c r="I582" s="29"/>
      <c r="J582" s="29"/>
      <c r="K582" s="29"/>
      <c r="L582" s="29"/>
      <c r="M582" s="34"/>
      <c r="N582" s="29"/>
      <c r="O582" s="29"/>
      <c r="P582" s="29"/>
      <c r="Q582" s="29"/>
      <c r="R582" s="29"/>
      <c r="S582" s="29"/>
      <c r="T582" s="1"/>
      <c r="U582" s="34"/>
      <c r="V582" s="34"/>
    </row>
    <row x14ac:dyDescent="0.25" r="583" customHeight="1" ht="15.75">
      <c r="A583" s="1"/>
      <c r="B583" s="29"/>
      <c r="C583" s="29"/>
      <c r="D583" s="34"/>
      <c r="E583" s="34"/>
      <c r="F583" s="34"/>
      <c r="G583" s="60"/>
      <c r="H583" s="60"/>
      <c r="I583" s="29"/>
      <c r="J583" s="29"/>
      <c r="K583" s="29"/>
      <c r="L583" s="29"/>
      <c r="M583" s="34"/>
      <c r="N583" s="29"/>
      <c r="O583" s="29"/>
      <c r="P583" s="29"/>
      <c r="Q583" s="29"/>
      <c r="R583" s="29"/>
      <c r="S583" s="29"/>
      <c r="T583" s="1"/>
      <c r="U583" s="34"/>
      <c r="V583" s="34"/>
    </row>
    <row x14ac:dyDescent="0.25" r="584" customHeight="1" ht="15.75">
      <c r="A584" s="1"/>
      <c r="B584" s="29"/>
      <c r="C584" s="29"/>
      <c r="D584" s="34"/>
      <c r="E584" s="34"/>
      <c r="F584" s="34"/>
      <c r="G584" s="60"/>
      <c r="H584" s="60"/>
      <c r="I584" s="29"/>
      <c r="J584" s="29"/>
      <c r="K584" s="29"/>
      <c r="L584" s="29"/>
      <c r="M584" s="34"/>
      <c r="N584" s="29"/>
      <c r="O584" s="29"/>
      <c r="P584" s="29"/>
      <c r="Q584" s="29"/>
      <c r="R584" s="29"/>
      <c r="S584" s="29"/>
      <c r="T584" s="1"/>
      <c r="U584" s="34"/>
      <c r="V584" s="34"/>
    </row>
    <row x14ac:dyDescent="0.25" r="585" customHeight="1" ht="15.75">
      <c r="A585" s="1"/>
      <c r="B585" s="29"/>
      <c r="C585" s="29"/>
      <c r="D585" s="34"/>
      <c r="E585" s="34"/>
      <c r="F585" s="34"/>
      <c r="G585" s="60"/>
      <c r="H585" s="60"/>
      <c r="I585" s="29"/>
      <c r="J585" s="29"/>
      <c r="K585" s="29"/>
      <c r="L585" s="29"/>
      <c r="M585" s="34"/>
      <c r="N585" s="29"/>
      <c r="O585" s="29"/>
      <c r="P585" s="29"/>
      <c r="Q585" s="29"/>
      <c r="R585" s="29"/>
      <c r="S585" s="29"/>
      <c r="T585" s="1"/>
      <c r="U585" s="34"/>
      <c r="V585" s="34"/>
    </row>
    <row x14ac:dyDescent="0.25" r="586" customHeight="1" ht="15.75">
      <c r="A586" s="1"/>
      <c r="B586" s="29"/>
      <c r="C586" s="29"/>
      <c r="D586" s="34"/>
      <c r="E586" s="34"/>
      <c r="F586" s="34"/>
      <c r="G586" s="60"/>
      <c r="H586" s="60"/>
      <c r="I586" s="29"/>
      <c r="J586" s="29"/>
      <c r="K586" s="29"/>
      <c r="L586" s="29"/>
      <c r="M586" s="34"/>
      <c r="N586" s="29"/>
      <c r="O586" s="29"/>
      <c r="P586" s="29"/>
      <c r="Q586" s="29"/>
      <c r="R586" s="29"/>
      <c r="S586" s="29"/>
      <c r="T586" s="1"/>
      <c r="U586" s="34"/>
      <c r="V586" s="34"/>
    </row>
    <row x14ac:dyDescent="0.25" r="587" customHeight="1" ht="15.75">
      <c r="A587" s="1"/>
      <c r="B587" s="29"/>
      <c r="C587" s="29"/>
      <c r="D587" s="34"/>
      <c r="E587" s="34"/>
      <c r="F587" s="34"/>
      <c r="G587" s="60"/>
      <c r="H587" s="60"/>
      <c r="I587" s="29"/>
      <c r="J587" s="29"/>
      <c r="K587" s="29"/>
      <c r="L587" s="29"/>
      <c r="M587" s="34"/>
      <c r="N587" s="29"/>
      <c r="O587" s="29"/>
      <c r="P587" s="29"/>
      <c r="Q587" s="29"/>
      <c r="R587" s="29"/>
      <c r="S587" s="29"/>
      <c r="T587" s="1"/>
      <c r="U587" s="34"/>
      <c r="V587" s="34"/>
    </row>
    <row x14ac:dyDescent="0.25" r="588" customHeight="1" ht="15.75">
      <c r="A588" s="1"/>
      <c r="B588" s="29"/>
      <c r="C588" s="29"/>
      <c r="D588" s="34"/>
      <c r="E588" s="34"/>
      <c r="F588" s="34"/>
      <c r="G588" s="60"/>
      <c r="H588" s="60"/>
      <c r="I588" s="29"/>
      <c r="J588" s="29"/>
      <c r="K588" s="29"/>
      <c r="L588" s="29"/>
      <c r="M588" s="34"/>
      <c r="N588" s="29"/>
      <c r="O588" s="29"/>
      <c r="P588" s="29"/>
      <c r="Q588" s="29"/>
      <c r="R588" s="29"/>
      <c r="S588" s="29"/>
      <c r="T588" s="1"/>
      <c r="U588" s="34"/>
      <c r="V588" s="34"/>
    </row>
    <row x14ac:dyDescent="0.25" r="589" customHeight="1" ht="15.75">
      <c r="A589" s="1"/>
      <c r="B589" s="29"/>
      <c r="C589" s="29"/>
      <c r="D589" s="34"/>
      <c r="E589" s="34"/>
      <c r="F589" s="34"/>
      <c r="G589" s="60"/>
      <c r="H589" s="60"/>
      <c r="I589" s="29"/>
      <c r="J589" s="29"/>
      <c r="K589" s="29"/>
      <c r="L589" s="29"/>
      <c r="M589" s="34"/>
      <c r="N589" s="29"/>
      <c r="O589" s="29"/>
      <c r="P589" s="29"/>
      <c r="Q589" s="29"/>
      <c r="R589" s="29"/>
      <c r="S589" s="29"/>
      <c r="T589" s="1"/>
      <c r="U589" s="34"/>
      <c r="V589" s="34"/>
    </row>
    <row x14ac:dyDescent="0.25" r="590" customHeight="1" ht="15.75">
      <c r="A590" s="1"/>
      <c r="B590" s="29"/>
      <c r="C590" s="29"/>
      <c r="D590" s="34"/>
      <c r="E590" s="34"/>
      <c r="F590" s="34"/>
      <c r="G590" s="60"/>
      <c r="H590" s="60"/>
      <c r="I590" s="29"/>
      <c r="J590" s="29"/>
      <c r="K590" s="29"/>
      <c r="L590" s="29"/>
      <c r="M590" s="34"/>
      <c r="N590" s="29"/>
      <c r="O590" s="29"/>
      <c r="P590" s="29"/>
      <c r="Q590" s="29"/>
      <c r="R590" s="29"/>
      <c r="S590" s="29"/>
      <c r="T590" s="1"/>
      <c r="U590" s="34"/>
      <c r="V590" s="34"/>
    </row>
    <row x14ac:dyDescent="0.25" r="591" customHeight="1" ht="15.75">
      <c r="A591" s="1"/>
      <c r="B591" s="29"/>
      <c r="C591" s="29"/>
      <c r="D591" s="34"/>
      <c r="E591" s="34"/>
      <c r="F591" s="34"/>
      <c r="G591" s="60"/>
      <c r="H591" s="60"/>
      <c r="I591" s="29"/>
      <c r="J591" s="29"/>
      <c r="K591" s="29"/>
      <c r="L591" s="29"/>
      <c r="M591" s="34"/>
      <c r="N591" s="29"/>
      <c r="O591" s="29"/>
      <c r="P591" s="29"/>
      <c r="Q591" s="29"/>
      <c r="R591" s="29"/>
      <c r="S591" s="29"/>
      <c r="T591" s="1"/>
      <c r="U591" s="34"/>
      <c r="V591" s="34"/>
    </row>
    <row x14ac:dyDescent="0.25" r="592" customHeight="1" ht="15.75">
      <c r="A592" s="1"/>
      <c r="B592" s="29"/>
      <c r="C592" s="29"/>
      <c r="D592" s="34"/>
      <c r="E592" s="34"/>
      <c r="F592" s="34"/>
      <c r="G592" s="60"/>
      <c r="H592" s="60"/>
      <c r="I592" s="29"/>
      <c r="J592" s="29"/>
      <c r="K592" s="29"/>
      <c r="L592" s="29"/>
      <c r="M592" s="34"/>
      <c r="N592" s="29"/>
      <c r="O592" s="29"/>
      <c r="P592" s="29"/>
      <c r="Q592" s="29"/>
      <c r="R592" s="29"/>
      <c r="S592" s="29"/>
      <c r="T592" s="1"/>
      <c r="U592" s="34"/>
      <c r="V592" s="34"/>
    </row>
    <row x14ac:dyDescent="0.25" r="593" customHeight="1" ht="15.75">
      <c r="A593" s="1"/>
      <c r="B593" s="29"/>
      <c r="C593" s="29"/>
      <c r="D593" s="34"/>
      <c r="E593" s="34"/>
      <c r="F593" s="34"/>
      <c r="G593" s="60"/>
      <c r="H593" s="60"/>
      <c r="I593" s="29"/>
      <c r="J593" s="29"/>
      <c r="K593" s="29"/>
      <c r="L593" s="29"/>
      <c r="M593" s="34"/>
      <c r="N593" s="29"/>
      <c r="O593" s="29"/>
      <c r="P593" s="29"/>
      <c r="Q593" s="29"/>
      <c r="R593" s="29"/>
      <c r="S593" s="29"/>
      <c r="T593" s="1"/>
      <c r="U593" s="34"/>
      <c r="V593" s="34"/>
    </row>
    <row x14ac:dyDescent="0.25" r="594" customHeight="1" ht="15.75">
      <c r="A594" s="1"/>
      <c r="B594" s="29"/>
      <c r="C594" s="29"/>
      <c r="D594" s="34"/>
      <c r="E594" s="34"/>
      <c r="F594" s="34"/>
      <c r="G594" s="60"/>
      <c r="H594" s="60"/>
      <c r="I594" s="29"/>
      <c r="J594" s="29"/>
      <c r="K594" s="29"/>
      <c r="L594" s="29"/>
      <c r="M594" s="34"/>
      <c r="N594" s="29"/>
      <c r="O594" s="29"/>
      <c r="P594" s="29"/>
      <c r="Q594" s="29"/>
      <c r="R594" s="29"/>
      <c r="S594" s="29"/>
      <c r="T594" s="1"/>
      <c r="U594" s="34"/>
      <c r="V594" s="34"/>
    </row>
    <row x14ac:dyDescent="0.25" r="595" customHeight="1" ht="15.75">
      <c r="A595" s="1"/>
      <c r="B595" s="29"/>
      <c r="C595" s="29"/>
      <c r="D595" s="34"/>
      <c r="E595" s="34"/>
      <c r="F595" s="34"/>
      <c r="G595" s="60"/>
      <c r="H595" s="60"/>
      <c r="I595" s="29"/>
      <c r="J595" s="29"/>
      <c r="K595" s="29"/>
      <c r="L595" s="29"/>
      <c r="M595" s="34"/>
      <c r="N595" s="29"/>
      <c r="O595" s="29"/>
      <c r="P595" s="29"/>
      <c r="Q595" s="29"/>
      <c r="R595" s="29"/>
      <c r="S595" s="29"/>
      <c r="T595" s="1"/>
      <c r="U595" s="34"/>
      <c r="V595" s="34"/>
    </row>
    <row x14ac:dyDescent="0.25" r="596" customHeight="1" ht="15.75">
      <c r="A596" s="1"/>
      <c r="B596" s="29"/>
      <c r="C596" s="29"/>
      <c r="D596" s="34"/>
      <c r="E596" s="34"/>
      <c r="F596" s="34"/>
      <c r="G596" s="60"/>
      <c r="H596" s="60"/>
      <c r="I596" s="29"/>
      <c r="J596" s="29"/>
      <c r="K596" s="29"/>
      <c r="L596" s="29"/>
      <c r="M596" s="34"/>
      <c r="N596" s="29"/>
      <c r="O596" s="29"/>
      <c r="P596" s="29"/>
      <c r="Q596" s="29"/>
      <c r="R596" s="29"/>
      <c r="S596" s="29"/>
      <c r="T596" s="1"/>
      <c r="U596" s="34"/>
      <c r="V596" s="34"/>
    </row>
    <row x14ac:dyDescent="0.25" r="597" customHeight="1" ht="15.75">
      <c r="A597" s="1"/>
      <c r="B597" s="29"/>
      <c r="C597" s="29"/>
      <c r="D597" s="34"/>
      <c r="E597" s="34"/>
      <c r="F597" s="34"/>
      <c r="G597" s="60"/>
      <c r="H597" s="60"/>
      <c r="I597" s="29"/>
      <c r="J597" s="29"/>
      <c r="K597" s="29"/>
      <c r="L597" s="29"/>
      <c r="M597" s="34"/>
      <c r="N597" s="29"/>
      <c r="O597" s="29"/>
      <c r="P597" s="29"/>
      <c r="Q597" s="29"/>
      <c r="R597" s="29"/>
      <c r="S597" s="29"/>
      <c r="T597" s="1"/>
      <c r="U597" s="34"/>
      <c r="V597" s="34"/>
    </row>
    <row x14ac:dyDescent="0.25" r="598" customHeight="1" ht="15.75">
      <c r="A598" s="1"/>
      <c r="B598" s="29"/>
      <c r="C598" s="29"/>
      <c r="D598" s="34"/>
      <c r="E598" s="34"/>
      <c r="F598" s="34"/>
      <c r="G598" s="60"/>
      <c r="H598" s="60"/>
      <c r="I598" s="29"/>
      <c r="J598" s="29"/>
      <c r="K598" s="29"/>
      <c r="L598" s="29"/>
      <c r="M598" s="34"/>
      <c r="N598" s="29"/>
      <c r="O598" s="29"/>
      <c r="P598" s="29"/>
      <c r="Q598" s="29"/>
      <c r="R598" s="29"/>
      <c r="S598" s="29"/>
      <c r="T598" s="1"/>
      <c r="U598" s="34"/>
      <c r="V598" s="34"/>
    </row>
    <row x14ac:dyDescent="0.25" r="599" customHeight="1" ht="15.75">
      <c r="A599" s="1"/>
      <c r="B599" s="29"/>
      <c r="C599" s="29"/>
      <c r="D599" s="34"/>
      <c r="E599" s="34"/>
      <c r="F599" s="34"/>
      <c r="G599" s="60"/>
      <c r="H599" s="60"/>
      <c r="I599" s="29"/>
      <c r="J599" s="29"/>
      <c r="K599" s="29"/>
      <c r="L599" s="29"/>
      <c r="M599" s="34"/>
      <c r="N599" s="29"/>
      <c r="O599" s="29"/>
      <c r="P599" s="29"/>
      <c r="Q599" s="29"/>
      <c r="R599" s="29"/>
      <c r="S599" s="29"/>
      <c r="T599" s="1"/>
      <c r="U599" s="34"/>
      <c r="V599" s="34"/>
    </row>
    <row x14ac:dyDescent="0.25" r="600" customHeight="1" ht="15.75">
      <c r="A600" s="1"/>
      <c r="B600" s="29"/>
      <c r="C600" s="29"/>
      <c r="D600" s="34"/>
      <c r="E600" s="34"/>
      <c r="F600" s="34"/>
      <c r="G600" s="60"/>
      <c r="H600" s="60"/>
      <c r="I600" s="29"/>
      <c r="J600" s="29"/>
      <c r="K600" s="29"/>
      <c r="L600" s="29"/>
      <c r="M600" s="34"/>
      <c r="N600" s="29"/>
      <c r="O600" s="29"/>
      <c r="P600" s="29"/>
      <c r="Q600" s="29"/>
      <c r="R600" s="29"/>
      <c r="S600" s="29"/>
      <c r="T600" s="1"/>
      <c r="U600" s="34"/>
      <c r="V600" s="34"/>
    </row>
    <row x14ac:dyDescent="0.25" r="601" customHeight="1" ht="15.75">
      <c r="A601" s="1"/>
      <c r="B601" s="29"/>
      <c r="C601" s="29"/>
      <c r="D601" s="34"/>
      <c r="E601" s="34"/>
      <c r="F601" s="34"/>
      <c r="G601" s="60"/>
      <c r="H601" s="60"/>
      <c r="I601" s="29"/>
      <c r="J601" s="29"/>
      <c r="K601" s="29"/>
      <c r="L601" s="29"/>
      <c r="M601" s="34"/>
      <c r="N601" s="29"/>
      <c r="O601" s="29"/>
      <c r="P601" s="29"/>
      <c r="Q601" s="29"/>
      <c r="R601" s="29"/>
      <c r="S601" s="29"/>
      <c r="T601" s="1"/>
      <c r="U601" s="34"/>
      <c r="V601" s="34"/>
    </row>
    <row x14ac:dyDescent="0.25" r="602" customHeight="1" ht="15.75">
      <c r="A602" s="1"/>
      <c r="B602" s="29"/>
      <c r="C602" s="29"/>
      <c r="D602" s="34"/>
      <c r="E602" s="34"/>
      <c r="F602" s="34"/>
      <c r="G602" s="60"/>
      <c r="H602" s="60"/>
      <c r="I602" s="29"/>
      <c r="J602" s="29"/>
      <c r="K602" s="29"/>
      <c r="L602" s="29"/>
      <c r="M602" s="34"/>
      <c r="N602" s="29"/>
      <c r="O602" s="29"/>
      <c r="P602" s="29"/>
      <c r="Q602" s="29"/>
      <c r="R602" s="29"/>
      <c r="S602" s="29"/>
      <c r="T602" s="1"/>
      <c r="U602" s="34"/>
      <c r="V602" s="34"/>
    </row>
    <row x14ac:dyDescent="0.25" r="603" customHeight="1" ht="15.75">
      <c r="A603" s="1"/>
      <c r="B603" s="29"/>
      <c r="C603" s="29"/>
      <c r="D603" s="34"/>
      <c r="E603" s="34"/>
      <c r="F603" s="34"/>
      <c r="G603" s="60"/>
      <c r="H603" s="60"/>
      <c r="I603" s="29"/>
      <c r="J603" s="29"/>
      <c r="K603" s="29"/>
      <c r="L603" s="29"/>
      <c r="M603" s="34"/>
      <c r="N603" s="29"/>
      <c r="O603" s="29"/>
      <c r="P603" s="29"/>
      <c r="Q603" s="29"/>
      <c r="R603" s="29"/>
      <c r="S603" s="29"/>
      <c r="T603" s="1"/>
      <c r="U603" s="34"/>
      <c r="V603" s="34"/>
    </row>
    <row x14ac:dyDescent="0.25" r="604" customHeight="1" ht="15.75">
      <c r="A604" s="1"/>
      <c r="B604" s="29"/>
      <c r="C604" s="29"/>
      <c r="D604" s="34"/>
      <c r="E604" s="34"/>
      <c r="F604" s="34"/>
      <c r="G604" s="60"/>
      <c r="H604" s="60"/>
      <c r="I604" s="29"/>
      <c r="J604" s="29"/>
      <c r="K604" s="29"/>
      <c r="L604" s="29"/>
      <c r="M604" s="34"/>
      <c r="N604" s="29"/>
      <c r="O604" s="29"/>
      <c r="P604" s="29"/>
      <c r="Q604" s="29"/>
      <c r="R604" s="29"/>
      <c r="S604" s="29"/>
      <c r="T604" s="1"/>
      <c r="U604" s="34"/>
      <c r="V604" s="34"/>
    </row>
    <row x14ac:dyDescent="0.25" r="605" customHeight="1" ht="15.75">
      <c r="A605" s="1"/>
      <c r="B605" s="29"/>
      <c r="C605" s="29"/>
      <c r="D605" s="34"/>
      <c r="E605" s="34"/>
      <c r="F605" s="34"/>
      <c r="G605" s="60"/>
      <c r="H605" s="60"/>
      <c r="I605" s="29"/>
      <c r="J605" s="29"/>
      <c r="K605" s="29"/>
      <c r="L605" s="29"/>
      <c r="M605" s="34"/>
      <c r="N605" s="29"/>
      <c r="O605" s="29"/>
      <c r="P605" s="29"/>
      <c r="Q605" s="29"/>
      <c r="R605" s="29"/>
      <c r="S605" s="29"/>
      <c r="T605" s="1"/>
      <c r="U605" s="34"/>
      <c r="V605" s="34"/>
    </row>
    <row x14ac:dyDescent="0.25" r="606" customHeight="1" ht="15.75">
      <c r="A606" s="1"/>
      <c r="B606" s="29"/>
      <c r="C606" s="29"/>
      <c r="D606" s="34"/>
      <c r="E606" s="34"/>
      <c r="F606" s="34"/>
      <c r="G606" s="60"/>
      <c r="H606" s="60"/>
      <c r="I606" s="29"/>
      <c r="J606" s="29"/>
      <c r="K606" s="29"/>
      <c r="L606" s="29"/>
      <c r="M606" s="34"/>
      <c r="N606" s="29"/>
      <c r="O606" s="29"/>
      <c r="P606" s="29"/>
      <c r="Q606" s="29"/>
      <c r="R606" s="29"/>
      <c r="S606" s="29"/>
      <c r="T606" s="1"/>
      <c r="U606" s="34"/>
      <c r="V606" s="34"/>
    </row>
    <row x14ac:dyDescent="0.25" r="607" customHeight="1" ht="15.75">
      <c r="A607" s="1"/>
      <c r="B607" s="29"/>
      <c r="C607" s="29"/>
      <c r="D607" s="34"/>
      <c r="E607" s="34"/>
      <c r="F607" s="34"/>
      <c r="G607" s="60"/>
      <c r="H607" s="60"/>
      <c r="I607" s="29"/>
      <c r="J607" s="29"/>
      <c r="K607" s="29"/>
      <c r="L607" s="29"/>
      <c r="M607" s="34"/>
      <c r="N607" s="29"/>
      <c r="O607" s="29"/>
      <c r="P607" s="29"/>
      <c r="Q607" s="29"/>
      <c r="R607" s="29"/>
      <c r="S607" s="29"/>
      <c r="T607" s="1"/>
      <c r="U607" s="34"/>
      <c r="V607" s="34"/>
    </row>
    <row x14ac:dyDescent="0.25" r="608" customHeight="1" ht="15.75">
      <c r="A608" s="1"/>
      <c r="B608" s="29"/>
      <c r="C608" s="29"/>
      <c r="D608" s="34"/>
      <c r="E608" s="34"/>
      <c r="F608" s="34"/>
      <c r="G608" s="60"/>
      <c r="H608" s="60"/>
      <c r="I608" s="29"/>
      <c r="J608" s="29"/>
      <c r="K608" s="29"/>
      <c r="L608" s="29"/>
      <c r="M608" s="34"/>
      <c r="N608" s="29"/>
      <c r="O608" s="29"/>
      <c r="P608" s="29"/>
      <c r="Q608" s="29"/>
      <c r="R608" s="29"/>
      <c r="S608" s="29"/>
      <c r="T608" s="1"/>
      <c r="U608" s="34"/>
      <c r="V608" s="34"/>
    </row>
    <row x14ac:dyDescent="0.25" r="609" customHeight="1" ht="15.75">
      <c r="A609" s="1"/>
      <c r="B609" s="29"/>
      <c r="C609" s="29"/>
      <c r="D609" s="34"/>
      <c r="E609" s="34"/>
      <c r="F609" s="34"/>
      <c r="G609" s="60"/>
      <c r="H609" s="60"/>
      <c r="I609" s="29"/>
      <c r="J609" s="29"/>
      <c r="K609" s="29"/>
      <c r="L609" s="29"/>
      <c r="M609" s="34"/>
      <c r="N609" s="29"/>
      <c r="O609" s="29"/>
      <c r="P609" s="29"/>
      <c r="Q609" s="29"/>
      <c r="R609" s="29"/>
      <c r="S609" s="29"/>
      <c r="T609" s="1"/>
      <c r="U609" s="34"/>
      <c r="V609" s="34"/>
    </row>
    <row x14ac:dyDescent="0.25" r="610" customHeight="1" ht="15.75">
      <c r="A610" s="1"/>
      <c r="B610" s="29"/>
      <c r="C610" s="29"/>
      <c r="D610" s="34"/>
      <c r="E610" s="34"/>
      <c r="F610" s="34"/>
      <c r="G610" s="60"/>
      <c r="H610" s="60"/>
      <c r="I610" s="29"/>
      <c r="J610" s="29"/>
      <c r="K610" s="29"/>
      <c r="L610" s="29"/>
      <c r="M610" s="34"/>
      <c r="N610" s="29"/>
      <c r="O610" s="29"/>
      <c r="P610" s="29"/>
      <c r="Q610" s="29"/>
      <c r="R610" s="29"/>
      <c r="S610" s="29"/>
      <c r="T610" s="1"/>
      <c r="U610" s="34"/>
      <c r="V610" s="34"/>
    </row>
    <row x14ac:dyDescent="0.25" r="611" customHeight="1" ht="15.75">
      <c r="A611" s="1"/>
      <c r="B611" s="29"/>
      <c r="C611" s="29"/>
      <c r="D611" s="34"/>
      <c r="E611" s="34"/>
      <c r="F611" s="34"/>
      <c r="G611" s="60"/>
      <c r="H611" s="60"/>
      <c r="I611" s="29"/>
      <c r="J611" s="29"/>
      <c r="K611" s="29"/>
      <c r="L611" s="29"/>
      <c r="M611" s="34"/>
      <c r="N611" s="29"/>
      <c r="O611" s="29"/>
      <c r="P611" s="29"/>
      <c r="Q611" s="29"/>
      <c r="R611" s="29"/>
      <c r="S611" s="29"/>
      <c r="T611" s="1"/>
      <c r="U611" s="34"/>
      <c r="V611" s="34"/>
    </row>
    <row x14ac:dyDescent="0.25" r="612" customHeight="1" ht="15.75">
      <c r="A612" s="1"/>
      <c r="B612" s="29"/>
      <c r="C612" s="29"/>
      <c r="D612" s="34"/>
      <c r="E612" s="34"/>
      <c r="F612" s="34"/>
      <c r="G612" s="60"/>
      <c r="H612" s="60"/>
      <c r="I612" s="29"/>
      <c r="J612" s="29"/>
      <c r="K612" s="29"/>
      <c r="L612" s="29"/>
      <c r="M612" s="34"/>
      <c r="N612" s="29"/>
      <c r="O612" s="29"/>
      <c r="P612" s="29"/>
      <c r="Q612" s="29"/>
      <c r="R612" s="29"/>
      <c r="S612" s="29"/>
      <c r="T612" s="1"/>
      <c r="U612" s="34"/>
      <c r="V612" s="34"/>
    </row>
    <row x14ac:dyDescent="0.25" r="613" customHeight="1" ht="15.75">
      <c r="A613" s="1"/>
      <c r="B613" s="29"/>
      <c r="C613" s="29"/>
      <c r="D613" s="34"/>
      <c r="E613" s="34"/>
      <c r="F613" s="34"/>
      <c r="G613" s="60"/>
      <c r="H613" s="60"/>
      <c r="I613" s="29"/>
      <c r="J613" s="29"/>
      <c r="K613" s="29"/>
      <c r="L613" s="29"/>
      <c r="M613" s="34"/>
      <c r="N613" s="29"/>
      <c r="O613" s="29"/>
      <c r="P613" s="29"/>
      <c r="Q613" s="29"/>
      <c r="R613" s="29"/>
      <c r="S613" s="29"/>
      <c r="T613" s="1"/>
      <c r="U613" s="34"/>
      <c r="V613" s="34"/>
    </row>
    <row x14ac:dyDescent="0.25" r="614" customHeight="1" ht="15.75">
      <c r="A614" s="1"/>
      <c r="B614" s="29"/>
      <c r="C614" s="29"/>
      <c r="D614" s="34"/>
      <c r="E614" s="34"/>
      <c r="F614" s="34"/>
      <c r="G614" s="60"/>
      <c r="H614" s="60"/>
      <c r="I614" s="29"/>
      <c r="J614" s="29"/>
      <c r="K614" s="29"/>
      <c r="L614" s="29"/>
      <c r="M614" s="34"/>
      <c r="N614" s="29"/>
      <c r="O614" s="29"/>
      <c r="P614" s="29"/>
      <c r="Q614" s="29"/>
      <c r="R614" s="29"/>
      <c r="S614" s="29"/>
      <c r="T614" s="1"/>
      <c r="U614" s="34"/>
      <c r="V614" s="34"/>
    </row>
    <row x14ac:dyDescent="0.25" r="615" customHeight="1" ht="15.75">
      <c r="A615" s="1"/>
      <c r="B615" s="29"/>
      <c r="C615" s="29"/>
      <c r="D615" s="34"/>
      <c r="E615" s="34"/>
      <c r="F615" s="34"/>
      <c r="G615" s="60"/>
      <c r="H615" s="60"/>
      <c r="I615" s="29"/>
      <c r="J615" s="29"/>
      <c r="K615" s="29"/>
      <c r="L615" s="29"/>
      <c r="M615" s="34"/>
      <c r="N615" s="29"/>
      <c r="O615" s="29"/>
      <c r="P615" s="29"/>
      <c r="Q615" s="29"/>
      <c r="R615" s="29"/>
      <c r="S615" s="29"/>
      <c r="T615" s="1"/>
      <c r="U615" s="34"/>
      <c r="V615" s="34"/>
    </row>
    <row x14ac:dyDescent="0.25" r="616" customHeight="1" ht="15.75">
      <c r="A616" s="1"/>
      <c r="B616" s="29"/>
      <c r="C616" s="29"/>
      <c r="D616" s="34"/>
      <c r="E616" s="34"/>
      <c r="F616" s="34"/>
      <c r="G616" s="60"/>
      <c r="H616" s="60"/>
      <c r="I616" s="29"/>
      <c r="J616" s="29"/>
      <c r="K616" s="29"/>
      <c r="L616" s="29"/>
      <c r="M616" s="34"/>
      <c r="N616" s="29"/>
      <c r="O616" s="29"/>
      <c r="P616" s="29"/>
      <c r="Q616" s="29"/>
      <c r="R616" s="29"/>
      <c r="S616" s="29"/>
      <c r="T616" s="1"/>
      <c r="U616" s="34"/>
      <c r="V616" s="34"/>
    </row>
    <row x14ac:dyDescent="0.25" r="617" customHeight="1" ht="15.75">
      <c r="A617" s="1"/>
      <c r="B617" s="29"/>
      <c r="C617" s="29"/>
      <c r="D617" s="34"/>
      <c r="E617" s="34"/>
      <c r="F617" s="34"/>
      <c r="G617" s="60"/>
      <c r="H617" s="60"/>
      <c r="I617" s="29"/>
      <c r="J617" s="29"/>
      <c r="K617" s="29"/>
      <c r="L617" s="29"/>
      <c r="M617" s="34"/>
      <c r="N617" s="29"/>
      <c r="O617" s="29"/>
      <c r="P617" s="29"/>
      <c r="Q617" s="29"/>
      <c r="R617" s="29"/>
      <c r="S617" s="29"/>
      <c r="T617" s="1"/>
      <c r="U617" s="34"/>
      <c r="V617" s="34"/>
    </row>
    <row x14ac:dyDescent="0.25" r="618" customHeight="1" ht="15.75">
      <c r="A618" s="1"/>
      <c r="B618" s="29"/>
      <c r="C618" s="29"/>
      <c r="D618" s="34"/>
      <c r="E618" s="34"/>
      <c r="F618" s="34"/>
      <c r="G618" s="60"/>
      <c r="H618" s="60"/>
      <c r="I618" s="29"/>
      <c r="J618" s="29"/>
      <c r="K618" s="29"/>
      <c r="L618" s="29"/>
      <c r="M618" s="34"/>
      <c r="N618" s="29"/>
      <c r="O618" s="29"/>
      <c r="P618" s="29"/>
      <c r="Q618" s="29"/>
      <c r="R618" s="29"/>
      <c r="S618" s="29"/>
      <c r="T618" s="1"/>
      <c r="U618" s="34"/>
      <c r="V618" s="34"/>
    </row>
    <row x14ac:dyDescent="0.25" r="619" customHeight="1" ht="15.75">
      <c r="A619" s="1"/>
      <c r="B619" s="29"/>
      <c r="C619" s="29"/>
      <c r="D619" s="34"/>
      <c r="E619" s="34"/>
      <c r="F619" s="34"/>
      <c r="G619" s="60"/>
      <c r="H619" s="60"/>
      <c r="I619" s="29"/>
      <c r="J619" s="29"/>
      <c r="K619" s="29"/>
      <c r="L619" s="29"/>
      <c r="M619" s="34"/>
      <c r="N619" s="29"/>
      <c r="O619" s="29"/>
      <c r="P619" s="29"/>
      <c r="Q619" s="29"/>
      <c r="R619" s="29"/>
      <c r="S619" s="29"/>
      <c r="T619" s="1"/>
      <c r="U619" s="34"/>
      <c r="V619" s="34"/>
    </row>
    <row x14ac:dyDescent="0.25" r="620" customHeight="1" ht="15.75">
      <c r="A620" s="1"/>
      <c r="B620" s="29"/>
      <c r="C620" s="29"/>
      <c r="D620" s="34"/>
      <c r="E620" s="34"/>
      <c r="F620" s="34"/>
      <c r="G620" s="60"/>
      <c r="H620" s="60"/>
      <c r="I620" s="29"/>
      <c r="J620" s="29"/>
      <c r="K620" s="29"/>
      <c r="L620" s="29"/>
      <c r="M620" s="34"/>
      <c r="N620" s="29"/>
      <c r="O620" s="29"/>
      <c r="P620" s="29"/>
      <c r="Q620" s="29"/>
      <c r="R620" s="29"/>
      <c r="S620" s="29"/>
      <c r="T620" s="1"/>
      <c r="U620" s="34"/>
      <c r="V620" s="34"/>
    </row>
    <row x14ac:dyDescent="0.25" r="621" customHeight="1" ht="15.75">
      <c r="A621" s="1"/>
      <c r="B621" s="29"/>
      <c r="C621" s="29"/>
      <c r="D621" s="34"/>
      <c r="E621" s="34"/>
      <c r="F621" s="34"/>
      <c r="G621" s="60"/>
      <c r="H621" s="60"/>
      <c r="I621" s="29"/>
      <c r="J621" s="29"/>
      <c r="K621" s="29"/>
      <c r="L621" s="29"/>
      <c r="M621" s="34"/>
      <c r="N621" s="29"/>
      <c r="O621" s="29"/>
      <c r="P621" s="29"/>
      <c r="Q621" s="29"/>
      <c r="R621" s="29"/>
      <c r="S621" s="29"/>
      <c r="T621" s="1"/>
      <c r="U621" s="34"/>
      <c r="V621" s="34"/>
    </row>
    <row x14ac:dyDescent="0.25" r="622" customHeight="1" ht="15.75">
      <c r="A622" s="1"/>
      <c r="B622" s="29"/>
      <c r="C622" s="29"/>
      <c r="D622" s="34"/>
      <c r="E622" s="34"/>
      <c r="F622" s="34"/>
      <c r="G622" s="60"/>
      <c r="H622" s="60"/>
      <c r="I622" s="29"/>
      <c r="J622" s="29"/>
      <c r="K622" s="29"/>
      <c r="L622" s="29"/>
      <c r="M622" s="34"/>
      <c r="N622" s="29"/>
      <c r="O622" s="29"/>
      <c r="P622" s="29"/>
      <c r="Q622" s="29"/>
      <c r="R622" s="29"/>
      <c r="S622" s="29"/>
      <c r="T622" s="1"/>
      <c r="U622" s="34"/>
      <c r="V622" s="34"/>
    </row>
    <row x14ac:dyDescent="0.25" r="623" customHeight="1" ht="15.75">
      <c r="A623" s="1"/>
      <c r="B623" s="29"/>
      <c r="C623" s="29"/>
      <c r="D623" s="34"/>
      <c r="E623" s="34"/>
      <c r="F623" s="34"/>
      <c r="G623" s="60"/>
      <c r="H623" s="60"/>
      <c r="I623" s="29"/>
      <c r="J623" s="29"/>
      <c r="K623" s="29"/>
      <c r="L623" s="29"/>
      <c r="M623" s="34"/>
      <c r="N623" s="29"/>
      <c r="O623" s="29"/>
      <c r="P623" s="29"/>
      <c r="Q623" s="29"/>
      <c r="R623" s="29"/>
      <c r="S623" s="29"/>
      <c r="T623" s="1"/>
      <c r="U623" s="34"/>
      <c r="V623" s="34"/>
    </row>
    <row x14ac:dyDescent="0.25" r="624" customHeight="1" ht="15.75">
      <c r="A624" s="1"/>
      <c r="B624" s="29"/>
      <c r="C624" s="29"/>
      <c r="D624" s="34"/>
      <c r="E624" s="34"/>
      <c r="F624" s="34"/>
      <c r="G624" s="60"/>
      <c r="H624" s="60"/>
      <c r="I624" s="29"/>
      <c r="J624" s="29"/>
      <c r="K624" s="29"/>
      <c r="L624" s="29"/>
      <c r="M624" s="34"/>
      <c r="N624" s="29"/>
      <c r="O624" s="29"/>
      <c r="P624" s="29"/>
      <c r="Q624" s="29"/>
      <c r="R624" s="29"/>
      <c r="S624" s="29"/>
      <c r="T624" s="1"/>
      <c r="U624" s="34"/>
      <c r="V624" s="34"/>
    </row>
    <row x14ac:dyDescent="0.25" r="625" customHeight="1" ht="15.75">
      <c r="A625" s="1"/>
      <c r="B625" s="29"/>
      <c r="C625" s="29"/>
      <c r="D625" s="34"/>
      <c r="E625" s="34"/>
      <c r="F625" s="34"/>
      <c r="G625" s="60"/>
      <c r="H625" s="60"/>
      <c r="I625" s="29"/>
      <c r="J625" s="29"/>
      <c r="K625" s="29"/>
      <c r="L625" s="29"/>
      <c r="M625" s="34"/>
      <c r="N625" s="29"/>
      <c r="O625" s="29"/>
      <c r="P625" s="29"/>
      <c r="Q625" s="29"/>
      <c r="R625" s="29"/>
      <c r="S625" s="29"/>
      <c r="T625" s="1"/>
      <c r="U625" s="34"/>
      <c r="V625" s="34"/>
    </row>
    <row x14ac:dyDescent="0.25" r="626" customHeight="1" ht="15.75">
      <c r="A626" s="1"/>
      <c r="B626" s="29"/>
      <c r="C626" s="29"/>
      <c r="D626" s="34"/>
      <c r="E626" s="34"/>
      <c r="F626" s="34"/>
      <c r="G626" s="60"/>
      <c r="H626" s="60"/>
      <c r="I626" s="29"/>
      <c r="J626" s="29"/>
      <c r="K626" s="29"/>
      <c r="L626" s="29"/>
      <c r="M626" s="34"/>
      <c r="N626" s="29"/>
      <c r="O626" s="29"/>
      <c r="P626" s="29"/>
      <c r="Q626" s="29"/>
      <c r="R626" s="29"/>
      <c r="S626" s="29"/>
      <c r="T626" s="1"/>
      <c r="U626" s="34"/>
      <c r="V626" s="34"/>
    </row>
    <row x14ac:dyDescent="0.25" r="627" customHeight="1" ht="15.75">
      <c r="A627" s="1"/>
      <c r="B627" s="29"/>
      <c r="C627" s="29"/>
      <c r="D627" s="34"/>
      <c r="E627" s="34"/>
      <c r="F627" s="34"/>
      <c r="G627" s="60"/>
      <c r="H627" s="60"/>
      <c r="I627" s="29"/>
      <c r="J627" s="29"/>
      <c r="K627" s="29"/>
      <c r="L627" s="29"/>
      <c r="M627" s="34"/>
      <c r="N627" s="29"/>
      <c r="O627" s="29"/>
      <c r="P627" s="29"/>
      <c r="Q627" s="29"/>
      <c r="R627" s="29"/>
      <c r="S627" s="29"/>
      <c r="T627" s="1"/>
      <c r="U627" s="34"/>
      <c r="V627" s="34"/>
    </row>
    <row x14ac:dyDescent="0.25" r="628" customHeight="1" ht="15.75">
      <c r="A628" s="1"/>
      <c r="B628" s="29"/>
      <c r="C628" s="29"/>
      <c r="D628" s="34"/>
      <c r="E628" s="34"/>
      <c r="F628" s="34"/>
      <c r="G628" s="60"/>
      <c r="H628" s="60"/>
      <c r="I628" s="29"/>
      <c r="J628" s="29"/>
      <c r="K628" s="29"/>
      <c r="L628" s="29"/>
      <c r="M628" s="34"/>
      <c r="N628" s="29"/>
      <c r="O628" s="29"/>
      <c r="P628" s="29"/>
      <c r="Q628" s="29"/>
      <c r="R628" s="29"/>
      <c r="S628" s="29"/>
      <c r="T628" s="1"/>
      <c r="U628" s="34"/>
      <c r="V628" s="34"/>
    </row>
    <row x14ac:dyDescent="0.25" r="629" customHeight="1" ht="15.75">
      <c r="A629" s="1"/>
      <c r="B629" s="29"/>
      <c r="C629" s="29"/>
      <c r="D629" s="34"/>
      <c r="E629" s="34"/>
      <c r="F629" s="34"/>
      <c r="G629" s="60"/>
      <c r="H629" s="60"/>
      <c r="I629" s="29"/>
      <c r="J629" s="29"/>
      <c r="K629" s="29"/>
      <c r="L629" s="29"/>
      <c r="M629" s="34"/>
      <c r="N629" s="29"/>
      <c r="O629" s="29"/>
      <c r="P629" s="29"/>
      <c r="Q629" s="29"/>
      <c r="R629" s="29"/>
      <c r="S629" s="29"/>
      <c r="T629" s="1"/>
      <c r="U629" s="34"/>
      <c r="V629" s="34"/>
    </row>
    <row x14ac:dyDescent="0.25" r="630" customHeight="1" ht="15.75">
      <c r="A630" s="1"/>
      <c r="B630" s="29"/>
      <c r="C630" s="29"/>
      <c r="D630" s="34"/>
      <c r="E630" s="34"/>
      <c r="F630" s="34"/>
      <c r="G630" s="60"/>
      <c r="H630" s="60"/>
      <c r="I630" s="29"/>
      <c r="J630" s="29"/>
      <c r="K630" s="29"/>
      <c r="L630" s="29"/>
      <c r="M630" s="34"/>
      <c r="N630" s="29"/>
      <c r="O630" s="29"/>
      <c r="P630" s="29"/>
      <c r="Q630" s="29"/>
      <c r="R630" s="29"/>
      <c r="S630" s="29"/>
      <c r="T630" s="1"/>
      <c r="U630" s="34"/>
      <c r="V630" s="34"/>
    </row>
    <row x14ac:dyDescent="0.25" r="631" customHeight="1" ht="15.75">
      <c r="A631" s="1"/>
      <c r="B631" s="29"/>
      <c r="C631" s="29"/>
      <c r="D631" s="34"/>
      <c r="E631" s="34"/>
      <c r="F631" s="34"/>
      <c r="G631" s="60"/>
      <c r="H631" s="60"/>
      <c r="I631" s="29"/>
      <c r="J631" s="29"/>
      <c r="K631" s="29"/>
      <c r="L631" s="29"/>
      <c r="M631" s="34"/>
      <c r="N631" s="29"/>
      <c r="O631" s="29"/>
      <c r="P631" s="29"/>
      <c r="Q631" s="29"/>
      <c r="R631" s="29"/>
      <c r="S631" s="29"/>
      <c r="T631" s="1"/>
      <c r="U631" s="34"/>
      <c r="V631" s="34"/>
    </row>
    <row x14ac:dyDescent="0.25" r="632" customHeight="1" ht="15.75">
      <c r="A632" s="1"/>
      <c r="B632" s="29"/>
      <c r="C632" s="29"/>
      <c r="D632" s="34"/>
      <c r="E632" s="34"/>
      <c r="F632" s="34"/>
      <c r="G632" s="60"/>
      <c r="H632" s="60"/>
      <c r="I632" s="29"/>
      <c r="J632" s="29"/>
      <c r="K632" s="29"/>
      <c r="L632" s="29"/>
      <c r="M632" s="34"/>
      <c r="N632" s="29"/>
      <c r="O632" s="29"/>
      <c r="P632" s="29"/>
      <c r="Q632" s="29"/>
      <c r="R632" s="29"/>
      <c r="S632" s="29"/>
      <c r="T632" s="1"/>
      <c r="U632" s="34"/>
      <c r="V632" s="34"/>
    </row>
    <row x14ac:dyDescent="0.25" r="633" customHeight="1" ht="15.75">
      <c r="A633" s="1"/>
      <c r="B633" s="29"/>
      <c r="C633" s="29"/>
      <c r="D633" s="34"/>
      <c r="E633" s="34"/>
      <c r="F633" s="34"/>
      <c r="G633" s="60"/>
      <c r="H633" s="60"/>
      <c r="I633" s="29"/>
      <c r="J633" s="29"/>
      <c r="K633" s="29"/>
      <c r="L633" s="29"/>
      <c r="M633" s="34"/>
      <c r="N633" s="29"/>
      <c r="O633" s="29"/>
      <c r="P633" s="29"/>
      <c r="Q633" s="29"/>
      <c r="R633" s="29"/>
      <c r="S633" s="29"/>
      <c r="T633" s="1"/>
      <c r="U633" s="34"/>
      <c r="V633" s="34"/>
    </row>
    <row x14ac:dyDescent="0.25" r="634" customHeight="1" ht="15.75">
      <c r="A634" s="1"/>
      <c r="B634" s="29"/>
      <c r="C634" s="29"/>
      <c r="D634" s="34"/>
      <c r="E634" s="34"/>
      <c r="F634" s="34"/>
      <c r="G634" s="60"/>
      <c r="H634" s="60"/>
      <c r="I634" s="29"/>
      <c r="J634" s="29"/>
      <c r="K634" s="29"/>
      <c r="L634" s="29"/>
      <c r="M634" s="34"/>
      <c r="N634" s="29"/>
      <c r="O634" s="29"/>
      <c r="P634" s="29"/>
      <c r="Q634" s="29"/>
      <c r="R634" s="29"/>
      <c r="S634" s="29"/>
      <c r="T634" s="1"/>
      <c r="U634" s="34"/>
      <c r="V634" s="34"/>
    </row>
    <row x14ac:dyDescent="0.25" r="635" customHeight="1" ht="15.75">
      <c r="A635" s="1"/>
      <c r="B635" s="29"/>
      <c r="C635" s="29"/>
      <c r="D635" s="34"/>
      <c r="E635" s="34"/>
      <c r="F635" s="34"/>
      <c r="G635" s="60"/>
      <c r="H635" s="60"/>
      <c r="I635" s="29"/>
      <c r="J635" s="29"/>
      <c r="K635" s="29"/>
      <c r="L635" s="29"/>
      <c r="M635" s="34"/>
      <c r="N635" s="29"/>
      <c r="O635" s="29"/>
      <c r="P635" s="29"/>
      <c r="Q635" s="29"/>
      <c r="R635" s="29"/>
      <c r="S635" s="29"/>
      <c r="T635" s="1"/>
      <c r="U635" s="34"/>
      <c r="V635" s="34"/>
    </row>
    <row x14ac:dyDescent="0.25" r="636" customHeight="1" ht="15.75">
      <c r="A636" s="1"/>
      <c r="B636" s="29"/>
      <c r="C636" s="29"/>
      <c r="D636" s="34"/>
      <c r="E636" s="34"/>
      <c r="F636" s="34"/>
      <c r="G636" s="60"/>
      <c r="H636" s="60"/>
      <c r="I636" s="29"/>
      <c r="J636" s="29"/>
      <c r="K636" s="29"/>
      <c r="L636" s="29"/>
      <c r="M636" s="34"/>
      <c r="N636" s="29"/>
      <c r="O636" s="29"/>
      <c r="P636" s="29"/>
      <c r="Q636" s="29"/>
      <c r="R636" s="29"/>
      <c r="S636" s="29"/>
      <c r="T636" s="1"/>
      <c r="U636" s="34"/>
      <c r="V636" s="34"/>
    </row>
    <row x14ac:dyDescent="0.25" r="637" customHeight="1" ht="15.75">
      <c r="A637" s="1"/>
      <c r="B637" s="29"/>
      <c r="C637" s="29"/>
      <c r="D637" s="34"/>
      <c r="E637" s="34"/>
      <c r="F637" s="34"/>
      <c r="G637" s="60"/>
      <c r="H637" s="60"/>
      <c r="I637" s="29"/>
      <c r="J637" s="29"/>
      <c r="K637" s="29"/>
      <c r="L637" s="29"/>
      <c r="M637" s="34"/>
      <c r="N637" s="29"/>
      <c r="O637" s="29"/>
      <c r="P637" s="29"/>
      <c r="Q637" s="29"/>
      <c r="R637" s="29"/>
      <c r="S637" s="29"/>
      <c r="T637" s="1"/>
      <c r="U637" s="34"/>
      <c r="V637" s="34"/>
    </row>
    <row x14ac:dyDescent="0.25" r="638" customHeight="1" ht="15.75">
      <c r="A638" s="1"/>
      <c r="B638" s="29"/>
      <c r="C638" s="29"/>
      <c r="D638" s="34"/>
      <c r="E638" s="34"/>
      <c r="F638" s="34"/>
      <c r="G638" s="60"/>
      <c r="H638" s="60"/>
      <c r="I638" s="29"/>
      <c r="J638" s="29"/>
      <c r="K638" s="29"/>
      <c r="L638" s="29"/>
      <c r="M638" s="34"/>
      <c r="N638" s="29"/>
      <c r="O638" s="29"/>
      <c r="P638" s="29"/>
      <c r="Q638" s="29"/>
      <c r="R638" s="29"/>
      <c r="S638" s="29"/>
      <c r="T638" s="1"/>
      <c r="U638" s="34"/>
      <c r="V638" s="34"/>
    </row>
    <row x14ac:dyDescent="0.25" r="639" customHeight="1" ht="15.75">
      <c r="A639" s="1"/>
      <c r="B639" s="29"/>
      <c r="C639" s="29"/>
      <c r="D639" s="34"/>
      <c r="E639" s="34"/>
      <c r="F639" s="34"/>
      <c r="G639" s="60"/>
      <c r="H639" s="60"/>
      <c r="I639" s="29"/>
      <c r="J639" s="29"/>
      <c r="K639" s="29"/>
      <c r="L639" s="29"/>
      <c r="M639" s="34"/>
      <c r="N639" s="29"/>
      <c r="O639" s="29"/>
      <c r="P639" s="29"/>
      <c r="Q639" s="29"/>
      <c r="R639" s="29"/>
      <c r="S639" s="29"/>
      <c r="T639" s="1"/>
      <c r="U639" s="34"/>
      <c r="V639" s="34"/>
    </row>
    <row x14ac:dyDescent="0.25" r="640" customHeight="1" ht="15.75">
      <c r="A640" s="1"/>
      <c r="B640" s="29"/>
      <c r="C640" s="29"/>
      <c r="D640" s="34"/>
      <c r="E640" s="34"/>
      <c r="F640" s="34"/>
      <c r="G640" s="60"/>
      <c r="H640" s="60"/>
      <c r="I640" s="29"/>
      <c r="J640" s="29"/>
      <c r="K640" s="29"/>
      <c r="L640" s="29"/>
      <c r="M640" s="34"/>
      <c r="N640" s="29"/>
      <c r="O640" s="29"/>
      <c r="P640" s="29"/>
      <c r="Q640" s="29"/>
      <c r="R640" s="29"/>
      <c r="S640" s="29"/>
      <c r="T640" s="1"/>
      <c r="U640" s="34"/>
      <c r="V640" s="34"/>
    </row>
    <row x14ac:dyDescent="0.25" r="641" customHeight="1" ht="15.75">
      <c r="A641" s="1"/>
      <c r="B641" s="29"/>
      <c r="C641" s="29"/>
      <c r="D641" s="34"/>
      <c r="E641" s="34"/>
      <c r="F641" s="34"/>
      <c r="G641" s="60"/>
      <c r="H641" s="60"/>
      <c r="I641" s="29"/>
      <c r="J641" s="29"/>
      <c r="K641" s="29"/>
      <c r="L641" s="29"/>
      <c r="M641" s="34"/>
      <c r="N641" s="29"/>
      <c r="O641" s="29"/>
      <c r="P641" s="29"/>
      <c r="Q641" s="29"/>
      <c r="R641" s="29"/>
      <c r="S641" s="29"/>
      <c r="T641" s="1"/>
      <c r="U641" s="34"/>
      <c r="V641" s="34"/>
    </row>
    <row x14ac:dyDescent="0.25" r="642" customHeight="1" ht="15.75">
      <c r="A642" s="1"/>
      <c r="B642" s="29"/>
      <c r="C642" s="29"/>
      <c r="D642" s="34"/>
      <c r="E642" s="34"/>
      <c r="F642" s="34"/>
      <c r="G642" s="60"/>
      <c r="H642" s="60"/>
      <c r="I642" s="29"/>
      <c r="J642" s="29"/>
      <c r="K642" s="29"/>
      <c r="L642" s="29"/>
      <c r="M642" s="34"/>
      <c r="N642" s="29"/>
      <c r="O642" s="29"/>
      <c r="P642" s="29"/>
      <c r="Q642" s="29"/>
      <c r="R642" s="29"/>
      <c r="S642" s="29"/>
      <c r="T642" s="1"/>
      <c r="U642" s="34"/>
      <c r="V642" s="34"/>
    </row>
    <row x14ac:dyDescent="0.25" r="643" customHeight="1" ht="15.75">
      <c r="A643" s="1"/>
      <c r="B643" s="29"/>
      <c r="C643" s="29"/>
      <c r="D643" s="34"/>
      <c r="E643" s="34"/>
      <c r="F643" s="34"/>
      <c r="G643" s="60"/>
      <c r="H643" s="60"/>
      <c r="I643" s="29"/>
      <c r="J643" s="29"/>
      <c r="K643" s="29"/>
      <c r="L643" s="29"/>
      <c r="M643" s="34"/>
      <c r="N643" s="29"/>
      <c r="O643" s="29"/>
      <c r="P643" s="29"/>
      <c r="Q643" s="29"/>
      <c r="R643" s="29"/>
      <c r="S643" s="29"/>
      <c r="T643" s="1"/>
      <c r="U643" s="34"/>
      <c r="V643" s="34"/>
    </row>
    <row x14ac:dyDescent="0.25" r="644" customHeight="1" ht="15.75">
      <c r="A644" s="1"/>
      <c r="B644" s="29"/>
      <c r="C644" s="29"/>
      <c r="D644" s="34"/>
      <c r="E644" s="34"/>
      <c r="F644" s="34"/>
      <c r="G644" s="60"/>
      <c r="H644" s="60"/>
      <c r="I644" s="29"/>
      <c r="J644" s="29"/>
      <c r="K644" s="29"/>
      <c r="L644" s="29"/>
      <c r="M644" s="34"/>
      <c r="N644" s="29"/>
      <c r="O644" s="29"/>
      <c r="P644" s="29"/>
      <c r="Q644" s="29"/>
      <c r="R644" s="29"/>
      <c r="S644" s="29"/>
      <c r="T644" s="1"/>
      <c r="U644" s="34"/>
      <c r="V644" s="34"/>
    </row>
    <row x14ac:dyDescent="0.25" r="645" customHeight="1" ht="15.75">
      <c r="A645" s="1"/>
      <c r="B645" s="29"/>
      <c r="C645" s="29"/>
      <c r="D645" s="34"/>
      <c r="E645" s="34"/>
      <c r="F645" s="34"/>
      <c r="G645" s="60"/>
      <c r="H645" s="60"/>
      <c r="I645" s="29"/>
      <c r="J645" s="29"/>
      <c r="K645" s="29"/>
      <c r="L645" s="29"/>
      <c r="M645" s="34"/>
      <c r="N645" s="29"/>
      <c r="O645" s="29"/>
      <c r="P645" s="29"/>
      <c r="Q645" s="29"/>
      <c r="R645" s="29"/>
      <c r="S645" s="29"/>
      <c r="T645" s="1"/>
      <c r="U645" s="34"/>
      <c r="V645" s="34"/>
    </row>
    <row x14ac:dyDescent="0.25" r="646" customHeight="1" ht="15.75">
      <c r="A646" s="1"/>
      <c r="B646" s="29"/>
      <c r="C646" s="29"/>
      <c r="D646" s="34"/>
      <c r="E646" s="34"/>
      <c r="F646" s="34"/>
      <c r="G646" s="60"/>
      <c r="H646" s="60"/>
      <c r="I646" s="29"/>
      <c r="J646" s="29"/>
      <c r="K646" s="29"/>
      <c r="L646" s="29"/>
      <c r="M646" s="34"/>
      <c r="N646" s="29"/>
      <c r="O646" s="29"/>
      <c r="P646" s="29"/>
      <c r="Q646" s="29"/>
      <c r="R646" s="29"/>
      <c r="S646" s="29"/>
      <c r="T646" s="1"/>
      <c r="U646" s="34"/>
      <c r="V646" s="34"/>
    </row>
    <row x14ac:dyDescent="0.25" r="647" customHeight="1" ht="15.75">
      <c r="A647" s="1"/>
      <c r="B647" s="29"/>
      <c r="C647" s="29"/>
      <c r="D647" s="34"/>
      <c r="E647" s="34"/>
      <c r="F647" s="34"/>
      <c r="G647" s="60"/>
      <c r="H647" s="60"/>
      <c r="I647" s="29"/>
      <c r="J647" s="29"/>
      <c r="K647" s="29"/>
      <c r="L647" s="29"/>
      <c r="M647" s="34"/>
      <c r="N647" s="29"/>
      <c r="O647" s="29"/>
      <c r="P647" s="29"/>
      <c r="Q647" s="29"/>
      <c r="R647" s="29"/>
      <c r="S647" s="29"/>
      <c r="T647" s="1"/>
      <c r="U647" s="34"/>
      <c r="V647" s="34"/>
    </row>
    <row x14ac:dyDescent="0.25" r="648" customHeight="1" ht="15.75">
      <c r="A648" s="1"/>
      <c r="B648" s="29"/>
      <c r="C648" s="29"/>
      <c r="D648" s="34"/>
      <c r="E648" s="34"/>
      <c r="F648" s="34"/>
      <c r="G648" s="60"/>
      <c r="H648" s="60"/>
      <c r="I648" s="29"/>
      <c r="J648" s="29"/>
      <c r="K648" s="29"/>
      <c r="L648" s="29"/>
      <c r="M648" s="34"/>
      <c r="N648" s="29"/>
      <c r="O648" s="29"/>
      <c r="P648" s="29"/>
      <c r="Q648" s="29"/>
      <c r="R648" s="29"/>
      <c r="S648" s="29"/>
      <c r="T648" s="1"/>
      <c r="U648" s="34"/>
      <c r="V648" s="34"/>
    </row>
    <row x14ac:dyDescent="0.25" r="649" customHeight="1" ht="15.75">
      <c r="A649" s="1"/>
      <c r="B649" s="29"/>
      <c r="C649" s="29"/>
      <c r="D649" s="34"/>
      <c r="E649" s="34"/>
      <c r="F649" s="34"/>
      <c r="G649" s="60"/>
      <c r="H649" s="60"/>
      <c r="I649" s="29"/>
      <c r="J649" s="29"/>
      <c r="K649" s="29"/>
      <c r="L649" s="29"/>
      <c r="M649" s="34"/>
      <c r="N649" s="29"/>
      <c r="O649" s="29"/>
      <c r="P649" s="29"/>
      <c r="Q649" s="29"/>
      <c r="R649" s="29"/>
      <c r="S649" s="29"/>
      <c r="T649" s="1"/>
      <c r="U649" s="34"/>
      <c r="V649" s="34"/>
    </row>
    <row x14ac:dyDescent="0.25" r="650" customHeight="1" ht="15.75">
      <c r="A650" s="1"/>
      <c r="B650" s="29"/>
      <c r="C650" s="29"/>
      <c r="D650" s="34"/>
      <c r="E650" s="34"/>
      <c r="F650" s="34"/>
      <c r="G650" s="60"/>
      <c r="H650" s="60"/>
      <c r="I650" s="29"/>
      <c r="J650" s="29"/>
      <c r="K650" s="29"/>
      <c r="L650" s="29"/>
      <c r="M650" s="34"/>
      <c r="N650" s="29"/>
      <c r="O650" s="29"/>
      <c r="P650" s="29"/>
      <c r="Q650" s="29"/>
      <c r="R650" s="29"/>
      <c r="S650" s="29"/>
      <c r="T650" s="1"/>
      <c r="U650" s="34"/>
      <c r="V650" s="34"/>
    </row>
    <row x14ac:dyDescent="0.25" r="651" customHeight="1" ht="15.75">
      <c r="A651" s="1"/>
      <c r="B651" s="29"/>
      <c r="C651" s="29"/>
      <c r="D651" s="34"/>
      <c r="E651" s="34"/>
      <c r="F651" s="34"/>
      <c r="G651" s="60"/>
      <c r="H651" s="60"/>
      <c r="I651" s="29"/>
      <c r="J651" s="29"/>
      <c r="K651" s="29"/>
      <c r="L651" s="29"/>
      <c r="M651" s="34"/>
      <c r="N651" s="29"/>
      <c r="O651" s="29"/>
      <c r="P651" s="29"/>
      <c r="Q651" s="29"/>
      <c r="R651" s="29"/>
      <c r="S651" s="29"/>
      <c r="T651" s="1"/>
      <c r="U651" s="34"/>
      <c r="V651" s="34"/>
    </row>
    <row x14ac:dyDescent="0.25" r="652" customHeight="1" ht="15.75">
      <c r="A652" s="1"/>
      <c r="B652" s="29"/>
      <c r="C652" s="29"/>
      <c r="D652" s="34"/>
      <c r="E652" s="34"/>
      <c r="F652" s="34"/>
      <c r="G652" s="60"/>
      <c r="H652" s="60"/>
      <c r="I652" s="29"/>
      <c r="J652" s="29"/>
      <c r="K652" s="29"/>
      <c r="L652" s="29"/>
      <c r="M652" s="34"/>
      <c r="N652" s="29"/>
      <c r="O652" s="29"/>
      <c r="P652" s="29"/>
      <c r="Q652" s="29"/>
      <c r="R652" s="29"/>
      <c r="S652" s="29"/>
      <c r="T652" s="1"/>
      <c r="U652" s="34"/>
      <c r="V652" s="34"/>
    </row>
    <row x14ac:dyDescent="0.25" r="653" customHeight="1" ht="15.75">
      <c r="A653" s="1"/>
      <c r="B653" s="29"/>
      <c r="C653" s="29"/>
      <c r="D653" s="34"/>
      <c r="E653" s="34"/>
      <c r="F653" s="34"/>
      <c r="G653" s="60"/>
      <c r="H653" s="60"/>
      <c r="I653" s="29"/>
      <c r="J653" s="29"/>
      <c r="K653" s="29"/>
      <c r="L653" s="29"/>
      <c r="M653" s="34"/>
      <c r="N653" s="29"/>
      <c r="O653" s="29"/>
      <c r="P653" s="29"/>
      <c r="Q653" s="29"/>
      <c r="R653" s="29"/>
      <c r="S653" s="29"/>
      <c r="T653" s="1"/>
      <c r="U653" s="34"/>
      <c r="V653" s="34"/>
    </row>
    <row x14ac:dyDescent="0.25" r="654" customHeight="1" ht="15.75">
      <c r="A654" s="1"/>
      <c r="B654" s="29"/>
      <c r="C654" s="29"/>
      <c r="D654" s="34"/>
      <c r="E654" s="34"/>
      <c r="F654" s="34"/>
      <c r="G654" s="60"/>
      <c r="H654" s="60"/>
      <c r="I654" s="29"/>
      <c r="J654" s="29"/>
      <c r="K654" s="29"/>
      <c r="L654" s="29"/>
      <c r="M654" s="34"/>
      <c r="N654" s="29"/>
      <c r="O654" s="29"/>
      <c r="P654" s="29"/>
      <c r="Q654" s="29"/>
      <c r="R654" s="29"/>
      <c r="S654" s="29"/>
      <c r="T654" s="1"/>
      <c r="U654" s="34"/>
      <c r="V654" s="34"/>
    </row>
    <row x14ac:dyDescent="0.25" r="655" customHeight="1" ht="15.75">
      <c r="A655" s="1"/>
      <c r="B655" s="29"/>
      <c r="C655" s="29"/>
      <c r="D655" s="34"/>
      <c r="E655" s="34"/>
      <c r="F655" s="34"/>
      <c r="G655" s="60"/>
      <c r="H655" s="60"/>
      <c r="I655" s="29"/>
      <c r="J655" s="29"/>
      <c r="K655" s="29"/>
      <c r="L655" s="29"/>
      <c r="M655" s="34"/>
      <c r="N655" s="29"/>
      <c r="O655" s="29"/>
      <c r="P655" s="29"/>
      <c r="Q655" s="29"/>
      <c r="R655" s="29"/>
      <c r="S655" s="29"/>
      <c r="T655" s="1"/>
      <c r="U655" s="34"/>
      <c r="V655" s="34"/>
    </row>
    <row x14ac:dyDescent="0.25" r="656" customHeight="1" ht="15.75">
      <c r="A656" s="1"/>
      <c r="B656" s="29"/>
      <c r="C656" s="29"/>
      <c r="D656" s="34"/>
      <c r="E656" s="34"/>
      <c r="F656" s="34"/>
      <c r="G656" s="60"/>
      <c r="H656" s="60"/>
      <c r="I656" s="29"/>
      <c r="J656" s="29"/>
      <c r="K656" s="29"/>
      <c r="L656" s="29"/>
      <c r="M656" s="34"/>
      <c r="N656" s="29"/>
      <c r="O656" s="29"/>
      <c r="P656" s="29"/>
      <c r="Q656" s="29"/>
      <c r="R656" s="29"/>
      <c r="S656" s="29"/>
      <c r="T656" s="1"/>
      <c r="U656" s="34"/>
      <c r="V656" s="34"/>
    </row>
    <row x14ac:dyDescent="0.25" r="657" customHeight="1" ht="15.75">
      <c r="A657" s="1"/>
      <c r="B657" s="29"/>
      <c r="C657" s="29"/>
      <c r="D657" s="34"/>
      <c r="E657" s="34"/>
      <c r="F657" s="34"/>
      <c r="G657" s="60"/>
      <c r="H657" s="60"/>
      <c r="I657" s="29"/>
      <c r="J657" s="29"/>
      <c r="K657" s="29"/>
      <c r="L657" s="29"/>
      <c r="M657" s="34"/>
      <c r="N657" s="29"/>
      <c r="O657" s="29"/>
      <c r="P657" s="29"/>
      <c r="Q657" s="29"/>
      <c r="R657" s="29"/>
      <c r="S657" s="29"/>
      <c r="T657" s="1"/>
      <c r="U657" s="34"/>
      <c r="V657" s="34"/>
    </row>
    <row x14ac:dyDescent="0.25" r="658" customHeight="1" ht="15.75">
      <c r="A658" s="1"/>
      <c r="B658" s="29"/>
      <c r="C658" s="29"/>
      <c r="D658" s="34"/>
      <c r="E658" s="34"/>
      <c r="F658" s="34"/>
      <c r="G658" s="60"/>
      <c r="H658" s="60"/>
      <c r="I658" s="29"/>
      <c r="J658" s="29"/>
      <c r="K658" s="29"/>
      <c r="L658" s="29"/>
      <c r="M658" s="34"/>
      <c r="N658" s="29"/>
      <c r="O658" s="29"/>
      <c r="P658" s="29"/>
      <c r="Q658" s="29"/>
      <c r="R658" s="29"/>
      <c r="S658" s="29"/>
      <c r="T658" s="1"/>
      <c r="U658" s="34"/>
      <c r="V658" s="34"/>
    </row>
    <row x14ac:dyDescent="0.25" r="659" customHeight="1" ht="15.75">
      <c r="A659" s="1"/>
      <c r="B659" s="29"/>
      <c r="C659" s="29"/>
      <c r="D659" s="34"/>
      <c r="E659" s="34"/>
      <c r="F659" s="34"/>
      <c r="G659" s="60"/>
      <c r="H659" s="60"/>
      <c r="I659" s="29"/>
      <c r="J659" s="29"/>
      <c r="K659" s="29"/>
      <c r="L659" s="29"/>
      <c r="M659" s="34"/>
      <c r="N659" s="29"/>
      <c r="O659" s="29"/>
      <c r="P659" s="29"/>
      <c r="Q659" s="29"/>
      <c r="R659" s="29"/>
      <c r="S659" s="29"/>
      <c r="T659" s="1"/>
      <c r="U659" s="34"/>
      <c r="V659" s="34"/>
    </row>
    <row x14ac:dyDescent="0.25" r="660" customHeight="1" ht="15.75">
      <c r="A660" s="1"/>
      <c r="B660" s="29"/>
      <c r="C660" s="29"/>
      <c r="D660" s="34"/>
      <c r="E660" s="34"/>
      <c r="F660" s="34"/>
      <c r="G660" s="60"/>
      <c r="H660" s="60"/>
      <c r="I660" s="29"/>
      <c r="J660" s="29"/>
      <c r="K660" s="29"/>
      <c r="L660" s="29"/>
      <c r="M660" s="34"/>
      <c r="N660" s="29"/>
      <c r="O660" s="29"/>
      <c r="P660" s="29"/>
      <c r="Q660" s="29"/>
      <c r="R660" s="29"/>
      <c r="S660" s="29"/>
      <c r="T660" s="1"/>
      <c r="U660" s="34"/>
      <c r="V660" s="34"/>
    </row>
    <row x14ac:dyDescent="0.25" r="661" customHeight="1" ht="15.75">
      <c r="A661" s="1"/>
      <c r="B661" s="29"/>
      <c r="C661" s="29"/>
      <c r="D661" s="34"/>
      <c r="E661" s="34"/>
      <c r="F661" s="34"/>
      <c r="G661" s="60"/>
      <c r="H661" s="60"/>
      <c r="I661" s="29"/>
      <c r="J661" s="29"/>
      <c r="K661" s="29"/>
      <c r="L661" s="29"/>
      <c r="M661" s="34"/>
      <c r="N661" s="29"/>
      <c r="O661" s="29"/>
      <c r="P661" s="29"/>
      <c r="Q661" s="29"/>
      <c r="R661" s="29"/>
      <c r="S661" s="29"/>
      <c r="T661" s="1"/>
      <c r="U661" s="34"/>
      <c r="V661" s="34"/>
    </row>
    <row x14ac:dyDescent="0.25" r="662" customHeight="1" ht="15.75">
      <c r="A662" s="1"/>
      <c r="B662" s="29"/>
      <c r="C662" s="29"/>
      <c r="D662" s="34"/>
      <c r="E662" s="34"/>
      <c r="F662" s="34"/>
      <c r="G662" s="60"/>
      <c r="H662" s="60"/>
      <c r="I662" s="29"/>
      <c r="J662" s="29"/>
      <c r="K662" s="29"/>
      <c r="L662" s="29"/>
      <c r="M662" s="34"/>
      <c r="N662" s="29"/>
      <c r="O662" s="29"/>
      <c r="P662" s="29"/>
      <c r="Q662" s="29"/>
      <c r="R662" s="29"/>
      <c r="S662" s="29"/>
      <c r="T662" s="1"/>
      <c r="U662" s="34"/>
      <c r="V662" s="34"/>
    </row>
    <row x14ac:dyDescent="0.25" r="663" customHeight="1" ht="15.75">
      <c r="A663" s="1"/>
      <c r="B663" s="29"/>
      <c r="C663" s="29"/>
      <c r="D663" s="34"/>
      <c r="E663" s="34"/>
      <c r="F663" s="34"/>
      <c r="G663" s="60"/>
      <c r="H663" s="60"/>
      <c r="I663" s="29"/>
      <c r="J663" s="29"/>
      <c r="K663" s="29"/>
      <c r="L663" s="29"/>
      <c r="M663" s="34"/>
      <c r="N663" s="29"/>
      <c r="O663" s="29"/>
      <c r="P663" s="29"/>
      <c r="Q663" s="29"/>
      <c r="R663" s="29"/>
      <c r="S663" s="29"/>
      <c r="T663" s="1"/>
      <c r="U663" s="34"/>
      <c r="V663" s="34"/>
    </row>
    <row x14ac:dyDescent="0.25" r="664" customHeight="1" ht="15.75">
      <c r="A664" s="1"/>
      <c r="B664" s="29"/>
      <c r="C664" s="29"/>
      <c r="D664" s="34"/>
      <c r="E664" s="34"/>
      <c r="F664" s="34"/>
      <c r="G664" s="60"/>
      <c r="H664" s="60"/>
      <c r="I664" s="29"/>
      <c r="J664" s="29"/>
      <c r="K664" s="29"/>
      <c r="L664" s="29"/>
      <c r="M664" s="34"/>
      <c r="N664" s="29"/>
      <c r="O664" s="29"/>
      <c r="P664" s="29"/>
      <c r="Q664" s="29"/>
      <c r="R664" s="29"/>
      <c r="S664" s="29"/>
      <c r="T664" s="1"/>
      <c r="U664" s="34"/>
      <c r="V664" s="34"/>
    </row>
    <row x14ac:dyDescent="0.25" r="665" customHeight="1" ht="15.75">
      <c r="A665" s="1"/>
      <c r="B665" s="29"/>
      <c r="C665" s="29"/>
      <c r="D665" s="34"/>
      <c r="E665" s="34"/>
      <c r="F665" s="34"/>
      <c r="G665" s="60"/>
      <c r="H665" s="60"/>
      <c r="I665" s="29"/>
      <c r="J665" s="29"/>
      <c r="K665" s="29"/>
      <c r="L665" s="29"/>
      <c r="M665" s="34"/>
      <c r="N665" s="29"/>
      <c r="O665" s="29"/>
      <c r="P665" s="29"/>
      <c r="Q665" s="29"/>
      <c r="R665" s="29"/>
      <c r="S665" s="29"/>
      <c r="T665" s="1"/>
      <c r="U665" s="34"/>
      <c r="V665" s="34"/>
    </row>
    <row x14ac:dyDescent="0.25" r="666" customHeight="1" ht="15.75">
      <c r="A666" s="1"/>
      <c r="B666" s="29"/>
      <c r="C666" s="29"/>
      <c r="D666" s="34"/>
      <c r="E666" s="34"/>
      <c r="F666" s="34"/>
      <c r="G666" s="60"/>
      <c r="H666" s="60"/>
      <c r="I666" s="29"/>
      <c r="J666" s="29"/>
      <c r="K666" s="29"/>
      <c r="L666" s="29"/>
      <c r="M666" s="34"/>
      <c r="N666" s="29"/>
      <c r="O666" s="29"/>
      <c r="P666" s="29"/>
      <c r="Q666" s="29"/>
      <c r="R666" s="29"/>
      <c r="S666" s="29"/>
      <c r="T666" s="1"/>
      <c r="U666" s="34"/>
      <c r="V666" s="34"/>
    </row>
    <row x14ac:dyDescent="0.25" r="667" customHeight="1" ht="15.75">
      <c r="A667" s="1"/>
      <c r="B667" s="29"/>
      <c r="C667" s="29"/>
      <c r="D667" s="34"/>
      <c r="E667" s="34"/>
      <c r="F667" s="34"/>
      <c r="G667" s="60"/>
      <c r="H667" s="60"/>
      <c r="I667" s="29"/>
      <c r="J667" s="29"/>
      <c r="K667" s="29"/>
      <c r="L667" s="29"/>
      <c r="M667" s="34"/>
      <c r="N667" s="29"/>
      <c r="O667" s="29"/>
      <c r="P667" s="29"/>
      <c r="Q667" s="29"/>
      <c r="R667" s="29"/>
      <c r="S667" s="29"/>
      <c r="T667" s="1"/>
      <c r="U667" s="34"/>
      <c r="V667" s="34"/>
    </row>
    <row x14ac:dyDescent="0.25" r="668" customHeight="1" ht="15.75">
      <c r="A668" s="1"/>
      <c r="B668" s="29"/>
      <c r="C668" s="29"/>
      <c r="D668" s="34"/>
      <c r="E668" s="34"/>
      <c r="F668" s="34"/>
      <c r="G668" s="60"/>
      <c r="H668" s="60"/>
      <c r="I668" s="29"/>
      <c r="J668" s="29"/>
      <c r="K668" s="29"/>
      <c r="L668" s="29"/>
      <c r="M668" s="34"/>
      <c r="N668" s="29"/>
      <c r="O668" s="29"/>
      <c r="P668" s="29"/>
      <c r="Q668" s="29"/>
      <c r="R668" s="29"/>
      <c r="S668" s="29"/>
      <c r="T668" s="1"/>
      <c r="U668" s="34"/>
      <c r="V668" s="34"/>
    </row>
    <row x14ac:dyDescent="0.25" r="669" customHeight="1" ht="15.75">
      <c r="A669" s="1"/>
      <c r="B669" s="29"/>
      <c r="C669" s="29"/>
      <c r="D669" s="34"/>
      <c r="E669" s="34"/>
      <c r="F669" s="34"/>
      <c r="G669" s="60"/>
      <c r="H669" s="60"/>
      <c r="I669" s="29"/>
      <c r="J669" s="29"/>
      <c r="K669" s="29"/>
      <c r="L669" s="29"/>
      <c r="M669" s="34"/>
      <c r="N669" s="29"/>
      <c r="O669" s="29"/>
      <c r="P669" s="29"/>
      <c r="Q669" s="29"/>
      <c r="R669" s="29"/>
      <c r="S669" s="29"/>
      <c r="T669" s="1"/>
      <c r="U669" s="34"/>
      <c r="V669" s="34"/>
    </row>
    <row x14ac:dyDescent="0.25" r="670" customHeight="1" ht="15.75">
      <c r="A670" s="1"/>
      <c r="B670" s="29"/>
      <c r="C670" s="29"/>
      <c r="D670" s="34"/>
      <c r="E670" s="34"/>
      <c r="F670" s="34"/>
      <c r="G670" s="60"/>
      <c r="H670" s="60"/>
      <c r="I670" s="29"/>
      <c r="J670" s="29"/>
      <c r="K670" s="29"/>
      <c r="L670" s="29"/>
      <c r="M670" s="34"/>
      <c r="N670" s="29"/>
      <c r="O670" s="29"/>
      <c r="P670" s="29"/>
      <c r="Q670" s="29"/>
      <c r="R670" s="29"/>
      <c r="S670" s="29"/>
      <c r="T670" s="1"/>
      <c r="U670" s="34"/>
      <c r="V670" s="34"/>
    </row>
    <row x14ac:dyDescent="0.25" r="671" customHeight="1" ht="15.75">
      <c r="A671" s="1"/>
      <c r="B671" s="29"/>
      <c r="C671" s="29"/>
      <c r="D671" s="34"/>
      <c r="E671" s="34"/>
      <c r="F671" s="34"/>
      <c r="G671" s="60"/>
      <c r="H671" s="60"/>
      <c r="I671" s="29"/>
      <c r="J671" s="29"/>
      <c r="K671" s="29"/>
      <c r="L671" s="29"/>
      <c r="M671" s="34"/>
      <c r="N671" s="29"/>
      <c r="O671" s="29"/>
      <c r="P671" s="29"/>
      <c r="Q671" s="29"/>
      <c r="R671" s="29"/>
      <c r="S671" s="29"/>
      <c r="T671" s="1"/>
      <c r="U671" s="34"/>
      <c r="V671" s="34"/>
    </row>
    <row x14ac:dyDescent="0.25" r="672" customHeight="1" ht="15.75">
      <c r="A672" s="1"/>
      <c r="B672" s="29"/>
      <c r="C672" s="29"/>
      <c r="D672" s="34"/>
      <c r="E672" s="34"/>
      <c r="F672" s="34"/>
      <c r="G672" s="60"/>
      <c r="H672" s="60"/>
      <c r="I672" s="29"/>
      <c r="J672" s="29"/>
      <c r="K672" s="29"/>
      <c r="L672" s="29"/>
      <c r="M672" s="34"/>
      <c r="N672" s="29"/>
      <c r="O672" s="29"/>
      <c r="P672" s="29"/>
      <c r="Q672" s="29"/>
      <c r="R672" s="29"/>
      <c r="S672" s="29"/>
      <c r="T672" s="1"/>
      <c r="U672" s="34"/>
      <c r="V672" s="34"/>
    </row>
    <row x14ac:dyDescent="0.25" r="673" customHeight="1" ht="15.75">
      <c r="A673" s="1"/>
      <c r="B673" s="29"/>
      <c r="C673" s="29"/>
      <c r="D673" s="34"/>
      <c r="E673" s="34"/>
      <c r="F673" s="34"/>
      <c r="G673" s="60"/>
      <c r="H673" s="60"/>
      <c r="I673" s="29"/>
      <c r="J673" s="29"/>
      <c r="K673" s="29"/>
      <c r="L673" s="29"/>
      <c r="M673" s="34"/>
      <c r="N673" s="29"/>
      <c r="O673" s="29"/>
      <c r="P673" s="29"/>
      <c r="Q673" s="29"/>
      <c r="R673" s="29"/>
      <c r="S673" s="29"/>
      <c r="T673" s="1"/>
      <c r="U673" s="34"/>
      <c r="V673" s="34"/>
    </row>
    <row x14ac:dyDescent="0.25" r="674" customHeight="1" ht="15.75">
      <c r="A674" s="1"/>
      <c r="B674" s="29"/>
      <c r="C674" s="29"/>
      <c r="D674" s="34"/>
      <c r="E674" s="34"/>
      <c r="F674" s="34"/>
      <c r="G674" s="60"/>
      <c r="H674" s="60"/>
      <c r="I674" s="29"/>
      <c r="J674" s="29"/>
      <c r="K674" s="29"/>
      <c r="L674" s="29"/>
      <c r="M674" s="34"/>
      <c r="N674" s="29"/>
      <c r="O674" s="29"/>
      <c r="P674" s="29"/>
      <c r="Q674" s="29"/>
      <c r="R674" s="29"/>
      <c r="S674" s="29"/>
      <c r="T674" s="1"/>
      <c r="U674" s="34"/>
      <c r="V674" s="34"/>
    </row>
    <row x14ac:dyDescent="0.25" r="675" customHeight="1" ht="15.75">
      <c r="A675" s="1"/>
      <c r="B675" s="29"/>
      <c r="C675" s="29"/>
      <c r="D675" s="34"/>
      <c r="E675" s="34"/>
      <c r="F675" s="34"/>
      <c r="G675" s="60"/>
      <c r="H675" s="60"/>
      <c r="I675" s="29"/>
      <c r="J675" s="29"/>
      <c r="K675" s="29"/>
      <c r="L675" s="29"/>
      <c r="M675" s="34"/>
      <c r="N675" s="29"/>
      <c r="O675" s="29"/>
      <c r="P675" s="29"/>
      <c r="Q675" s="29"/>
      <c r="R675" s="29"/>
      <c r="S675" s="29"/>
      <c r="T675" s="1"/>
      <c r="U675" s="34"/>
      <c r="V675" s="34"/>
    </row>
    <row x14ac:dyDescent="0.25" r="676" customHeight="1" ht="15.75">
      <c r="A676" s="1"/>
      <c r="B676" s="29"/>
      <c r="C676" s="29"/>
      <c r="D676" s="34"/>
      <c r="E676" s="34"/>
      <c r="F676" s="34"/>
      <c r="G676" s="60"/>
      <c r="H676" s="60"/>
      <c r="I676" s="29"/>
      <c r="J676" s="29"/>
      <c r="K676" s="29"/>
      <c r="L676" s="29"/>
      <c r="M676" s="34"/>
      <c r="N676" s="29"/>
      <c r="O676" s="29"/>
      <c r="P676" s="29"/>
      <c r="Q676" s="29"/>
      <c r="R676" s="29"/>
      <c r="S676" s="29"/>
      <c r="T676" s="1"/>
      <c r="U676" s="34"/>
      <c r="V676" s="34"/>
    </row>
    <row x14ac:dyDescent="0.25" r="677" customHeight="1" ht="15.75">
      <c r="A677" s="1"/>
      <c r="B677" s="29"/>
      <c r="C677" s="29"/>
      <c r="D677" s="34"/>
      <c r="E677" s="34"/>
      <c r="F677" s="34"/>
      <c r="G677" s="60"/>
      <c r="H677" s="60"/>
      <c r="I677" s="29"/>
      <c r="J677" s="29"/>
      <c r="K677" s="29"/>
      <c r="L677" s="29"/>
      <c r="M677" s="34"/>
      <c r="N677" s="29"/>
      <c r="O677" s="29"/>
      <c r="P677" s="29"/>
      <c r="Q677" s="29"/>
      <c r="R677" s="29"/>
      <c r="S677" s="29"/>
      <c r="T677" s="1"/>
      <c r="U677" s="34"/>
      <c r="V677" s="34"/>
    </row>
    <row x14ac:dyDescent="0.25" r="678" customHeight="1" ht="15.75">
      <c r="A678" s="1"/>
      <c r="B678" s="29"/>
      <c r="C678" s="29"/>
      <c r="D678" s="34"/>
      <c r="E678" s="34"/>
      <c r="F678" s="34"/>
      <c r="G678" s="60"/>
      <c r="H678" s="60"/>
      <c r="I678" s="29"/>
      <c r="J678" s="29"/>
      <c r="K678" s="29"/>
      <c r="L678" s="29"/>
      <c r="M678" s="34"/>
      <c r="N678" s="29"/>
      <c r="O678" s="29"/>
      <c r="P678" s="29"/>
      <c r="Q678" s="29"/>
      <c r="R678" s="29"/>
      <c r="S678" s="29"/>
      <c r="T678" s="1"/>
      <c r="U678" s="34"/>
      <c r="V678" s="34"/>
    </row>
    <row x14ac:dyDescent="0.25" r="679" customHeight="1" ht="15.75">
      <c r="A679" s="1"/>
      <c r="B679" s="29"/>
      <c r="C679" s="29"/>
      <c r="D679" s="34"/>
      <c r="E679" s="34"/>
      <c r="F679" s="34"/>
      <c r="G679" s="60"/>
      <c r="H679" s="60"/>
      <c r="I679" s="29"/>
      <c r="J679" s="29"/>
      <c r="K679" s="29"/>
      <c r="L679" s="29"/>
      <c r="M679" s="34"/>
      <c r="N679" s="29"/>
      <c r="O679" s="29"/>
      <c r="P679" s="29"/>
      <c r="Q679" s="29"/>
      <c r="R679" s="29"/>
      <c r="S679" s="29"/>
      <c r="T679" s="1"/>
      <c r="U679" s="34"/>
      <c r="V679" s="34"/>
    </row>
    <row x14ac:dyDescent="0.25" r="680" customHeight="1" ht="15.75">
      <c r="A680" s="1"/>
      <c r="B680" s="29"/>
      <c r="C680" s="29"/>
      <c r="D680" s="34"/>
      <c r="E680" s="34"/>
      <c r="F680" s="34"/>
      <c r="G680" s="60"/>
      <c r="H680" s="60"/>
      <c r="I680" s="29"/>
      <c r="J680" s="29"/>
      <c r="K680" s="29"/>
      <c r="L680" s="29"/>
      <c r="M680" s="34"/>
      <c r="N680" s="29"/>
      <c r="O680" s="29"/>
      <c r="P680" s="29"/>
      <c r="Q680" s="29"/>
      <c r="R680" s="29"/>
      <c r="S680" s="29"/>
      <c r="T680" s="1"/>
      <c r="U680" s="34"/>
      <c r="V680" s="34"/>
    </row>
    <row x14ac:dyDescent="0.25" r="681" customHeight="1" ht="15.75">
      <c r="A681" s="1"/>
      <c r="B681" s="29"/>
      <c r="C681" s="29"/>
      <c r="D681" s="34"/>
      <c r="E681" s="34"/>
      <c r="F681" s="34"/>
      <c r="G681" s="60"/>
      <c r="H681" s="60"/>
      <c r="I681" s="29"/>
      <c r="J681" s="29"/>
      <c r="K681" s="29"/>
      <c r="L681" s="29"/>
      <c r="M681" s="34"/>
      <c r="N681" s="29"/>
      <c r="O681" s="29"/>
      <c r="P681" s="29"/>
      <c r="Q681" s="29"/>
      <c r="R681" s="29"/>
      <c r="S681" s="29"/>
      <c r="T681" s="1"/>
      <c r="U681" s="34"/>
      <c r="V681" s="34"/>
    </row>
    <row x14ac:dyDescent="0.25" r="682" customHeight="1" ht="15.75">
      <c r="A682" s="1"/>
      <c r="B682" s="29"/>
      <c r="C682" s="29"/>
      <c r="D682" s="34"/>
      <c r="E682" s="34"/>
      <c r="F682" s="34"/>
      <c r="G682" s="60"/>
      <c r="H682" s="60"/>
      <c r="I682" s="29"/>
      <c r="J682" s="29"/>
      <c r="K682" s="29"/>
      <c r="L682" s="29"/>
      <c r="M682" s="34"/>
      <c r="N682" s="29"/>
      <c r="O682" s="29"/>
      <c r="P682" s="29"/>
      <c r="Q682" s="29"/>
      <c r="R682" s="29"/>
      <c r="S682" s="29"/>
      <c r="T682" s="1"/>
      <c r="U682" s="34"/>
      <c r="V682" s="34"/>
    </row>
    <row x14ac:dyDescent="0.25" r="683" customHeight="1" ht="15.75">
      <c r="A683" s="1"/>
      <c r="B683" s="29"/>
      <c r="C683" s="29"/>
      <c r="D683" s="34"/>
      <c r="E683" s="34"/>
      <c r="F683" s="34"/>
      <c r="G683" s="60"/>
      <c r="H683" s="60"/>
      <c r="I683" s="29"/>
      <c r="J683" s="29"/>
      <c r="K683" s="29"/>
      <c r="L683" s="29"/>
      <c r="M683" s="34"/>
      <c r="N683" s="29"/>
      <c r="O683" s="29"/>
      <c r="P683" s="29"/>
      <c r="Q683" s="29"/>
      <c r="R683" s="29"/>
      <c r="S683" s="29"/>
      <c r="T683" s="1"/>
      <c r="U683" s="34"/>
      <c r="V683" s="34"/>
    </row>
    <row x14ac:dyDescent="0.25" r="684" customHeight="1" ht="15.75">
      <c r="A684" s="1"/>
      <c r="B684" s="29"/>
      <c r="C684" s="29"/>
      <c r="D684" s="34"/>
      <c r="E684" s="34"/>
      <c r="F684" s="34"/>
      <c r="G684" s="60"/>
      <c r="H684" s="60"/>
      <c r="I684" s="29"/>
      <c r="J684" s="29"/>
      <c r="K684" s="29"/>
      <c r="L684" s="29"/>
      <c r="M684" s="34"/>
      <c r="N684" s="29"/>
      <c r="O684" s="29"/>
      <c r="P684" s="29"/>
      <c r="Q684" s="29"/>
      <c r="R684" s="29"/>
      <c r="S684" s="29"/>
      <c r="T684" s="1"/>
      <c r="U684" s="34"/>
      <c r="V684" s="34"/>
    </row>
    <row x14ac:dyDescent="0.25" r="685" customHeight="1" ht="15.75">
      <c r="A685" s="1"/>
      <c r="B685" s="29"/>
      <c r="C685" s="29"/>
      <c r="D685" s="34"/>
      <c r="E685" s="34"/>
      <c r="F685" s="34"/>
      <c r="G685" s="60"/>
      <c r="H685" s="60"/>
      <c r="I685" s="29"/>
      <c r="J685" s="29"/>
      <c r="K685" s="29"/>
      <c r="L685" s="29"/>
      <c r="M685" s="34"/>
      <c r="N685" s="29"/>
      <c r="O685" s="29"/>
      <c r="P685" s="29"/>
      <c r="Q685" s="29"/>
      <c r="R685" s="29"/>
      <c r="S685" s="29"/>
      <c r="T685" s="1"/>
      <c r="U685" s="34"/>
      <c r="V685" s="34"/>
    </row>
    <row x14ac:dyDescent="0.25" r="686" customHeight="1" ht="15.75">
      <c r="A686" s="1"/>
      <c r="B686" s="29"/>
      <c r="C686" s="29"/>
      <c r="D686" s="34"/>
      <c r="E686" s="34"/>
      <c r="F686" s="34"/>
      <c r="G686" s="60"/>
      <c r="H686" s="60"/>
      <c r="I686" s="29"/>
      <c r="J686" s="29"/>
      <c r="K686" s="29"/>
      <c r="L686" s="29"/>
      <c r="M686" s="34"/>
      <c r="N686" s="29"/>
      <c r="O686" s="29"/>
      <c r="P686" s="29"/>
      <c r="Q686" s="29"/>
      <c r="R686" s="29"/>
      <c r="S686" s="29"/>
      <c r="T686" s="1"/>
      <c r="U686" s="34"/>
      <c r="V686" s="34"/>
    </row>
    <row x14ac:dyDescent="0.25" r="687" customHeight="1" ht="15.75">
      <c r="A687" s="1"/>
      <c r="B687" s="29"/>
      <c r="C687" s="29"/>
      <c r="D687" s="34"/>
      <c r="E687" s="34"/>
      <c r="F687" s="34"/>
      <c r="G687" s="60"/>
      <c r="H687" s="60"/>
      <c r="I687" s="29"/>
      <c r="J687" s="29"/>
      <c r="K687" s="29"/>
      <c r="L687" s="29"/>
      <c r="M687" s="34"/>
      <c r="N687" s="29"/>
      <c r="O687" s="29"/>
      <c r="P687" s="29"/>
      <c r="Q687" s="29"/>
      <c r="R687" s="29"/>
      <c r="S687" s="29"/>
      <c r="T687" s="1"/>
      <c r="U687" s="34"/>
      <c r="V687" s="34"/>
    </row>
    <row x14ac:dyDescent="0.25" r="688" customHeight="1" ht="15.75">
      <c r="A688" s="1"/>
      <c r="B688" s="29"/>
      <c r="C688" s="29"/>
      <c r="D688" s="34"/>
      <c r="E688" s="34"/>
      <c r="F688" s="34"/>
      <c r="G688" s="60"/>
      <c r="H688" s="60"/>
      <c r="I688" s="29"/>
      <c r="J688" s="29"/>
      <c r="K688" s="29"/>
      <c r="L688" s="29"/>
      <c r="M688" s="34"/>
      <c r="N688" s="29"/>
      <c r="O688" s="29"/>
      <c r="P688" s="29"/>
      <c r="Q688" s="29"/>
      <c r="R688" s="29"/>
      <c r="S688" s="29"/>
      <c r="T688" s="1"/>
      <c r="U688" s="34"/>
      <c r="V688" s="34"/>
    </row>
    <row x14ac:dyDescent="0.25" r="689" customHeight="1" ht="15.75">
      <c r="A689" s="1"/>
      <c r="B689" s="29"/>
      <c r="C689" s="29"/>
      <c r="D689" s="34"/>
      <c r="E689" s="34"/>
      <c r="F689" s="34"/>
      <c r="G689" s="60"/>
      <c r="H689" s="60"/>
      <c r="I689" s="29"/>
      <c r="J689" s="29"/>
      <c r="K689" s="29"/>
      <c r="L689" s="29"/>
      <c r="M689" s="34"/>
      <c r="N689" s="29"/>
      <c r="O689" s="29"/>
      <c r="P689" s="29"/>
      <c r="Q689" s="29"/>
      <c r="R689" s="29"/>
      <c r="S689" s="29"/>
      <c r="T689" s="1"/>
      <c r="U689" s="34"/>
      <c r="V689" s="34"/>
    </row>
    <row x14ac:dyDescent="0.25" r="690" customHeight="1" ht="15.75">
      <c r="A690" s="1"/>
      <c r="B690" s="29"/>
      <c r="C690" s="29"/>
      <c r="D690" s="34"/>
      <c r="E690" s="34"/>
      <c r="F690" s="34"/>
      <c r="G690" s="60"/>
      <c r="H690" s="60"/>
      <c r="I690" s="29"/>
      <c r="J690" s="29"/>
      <c r="K690" s="29"/>
      <c r="L690" s="29"/>
      <c r="M690" s="34"/>
      <c r="N690" s="29"/>
      <c r="O690" s="29"/>
      <c r="P690" s="29"/>
      <c r="Q690" s="29"/>
      <c r="R690" s="29"/>
      <c r="S690" s="29"/>
      <c r="T690" s="1"/>
      <c r="U690" s="34"/>
      <c r="V690" s="34"/>
    </row>
    <row x14ac:dyDescent="0.25" r="691" customHeight="1" ht="15.75">
      <c r="A691" s="1"/>
      <c r="B691" s="29"/>
      <c r="C691" s="29"/>
      <c r="D691" s="34"/>
      <c r="E691" s="34"/>
      <c r="F691" s="34"/>
      <c r="G691" s="60"/>
      <c r="H691" s="60"/>
      <c r="I691" s="29"/>
      <c r="J691" s="29"/>
      <c r="K691" s="29"/>
      <c r="L691" s="29"/>
      <c r="M691" s="34"/>
      <c r="N691" s="29"/>
      <c r="O691" s="29"/>
      <c r="P691" s="29"/>
      <c r="Q691" s="29"/>
      <c r="R691" s="29"/>
      <c r="S691" s="29"/>
      <c r="T691" s="1"/>
      <c r="U691" s="34"/>
      <c r="V691" s="34"/>
    </row>
    <row x14ac:dyDescent="0.25" r="692" customHeight="1" ht="15.75">
      <c r="A692" s="1"/>
      <c r="B692" s="29"/>
      <c r="C692" s="29"/>
      <c r="D692" s="34"/>
      <c r="E692" s="34"/>
      <c r="F692" s="34"/>
      <c r="G692" s="60"/>
      <c r="H692" s="60"/>
      <c r="I692" s="29"/>
      <c r="J692" s="29"/>
      <c r="K692" s="29"/>
      <c r="L692" s="29"/>
      <c r="M692" s="34"/>
      <c r="N692" s="29"/>
      <c r="O692" s="29"/>
      <c r="P692" s="29"/>
      <c r="Q692" s="29"/>
      <c r="R692" s="29"/>
      <c r="S692" s="29"/>
      <c r="T692" s="1"/>
      <c r="U692" s="34"/>
      <c r="V692" s="34"/>
    </row>
    <row x14ac:dyDescent="0.25" r="693" customHeight="1" ht="15.75">
      <c r="A693" s="1"/>
      <c r="B693" s="29"/>
      <c r="C693" s="29"/>
      <c r="D693" s="34"/>
      <c r="E693" s="34"/>
      <c r="F693" s="34"/>
      <c r="G693" s="60"/>
      <c r="H693" s="60"/>
      <c r="I693" s="29"/>
      <c r="J693" s="29"/>
      <c r="K693" s="29"/>
      <c r="L693" s="29"/>
      <c r="M693" s="34"/>
      <c r="N693" s="29"/>
      <c r="O693" s="29"/>
      <c r="P693" s="29"/>
      <c r="Q693" s="29"/>
      <c r="R693" s="29"/>
      <c r="S693" s="29"/>
      <c r="T693" s="1"/>
      <c r="U693" s="34"/>
      <c r="V693" s="34"/>
    </row>
    <row x14ac:dyDescent="0.25" r="694" customHeight="1" ht="15.75">
      <c r="A694" s="1"/>
      <c r="B694" s="29"/>
      <c r="C694" s="29"/>
      <c r="D694" s="34"/>
      <c r="E694" s="34"/>
      <c r="F694" s="34"/>
      <c r="G694" s="60"/>
      <c r="H694" s="60"/>
      <c r="I694" s="29"/>
      <c r="J694" s="29"/>
      <c r="K694" s="29"/>
      <c r="L694" s="29"/>
      <c r="M694" s="34"/>
      <c r="N694" s="29"/>
      <c r="O694" s="29"/>
      <c r="P694" s="29"/>
      <c r="Q694" s="29"/>
      <c r="R694" s="29"/>
      <c r="S694" s="29"/>
      <c r="T694" s="1"/>
      <c r="U694" s="34"/>
      <c r="V694" s="34"/>
    </row>
    <row x14ac:dyDescent="0.25" r="695" customHeight="1" ht="15.75">
      <c r="A695" s="1"/>
      <c r="B695" s="29"/>
      <c r="C695" s="29"/>
      <c r="D695" s="34"/>
      <c r="E695" s="34"/>
      <c r="F695" s="34"/>
      <c r="G695" s="60"/>
      <c r="H695" s="60"/>
      <c r="I695" s="29"/>
      <c r="J695" s="29"/>
      <c r="K695" s="29"/>
      <c r="L695" s="29"/>
      <c r="M695" s="34"/>
      <c r="N695" s="29"/>
      <c r="O695" s="29"/>
      <c r="P695" s="29"/>
      <c r="Q695" s="29"/>
      <c r="R695" s="29"/>
      <c r="S695" s="29"/>
      <c r="T695" s="1"/>
      <c r="U695" s="34"/>
      <c r="V695" s="34"/>
    </row>
    <row x14ac:dyDescent="0.25" r="696" customHeight="1" ht="15.75">
      <c r="A696" s="1"/>
      <c r="B696" s="29"/>
      <c r="C696" s="29"/>
      <c r="D696" s="34"/>
      <c r="E696" s="34"/>
      <c r="F696" s="34"/>
      <c r="G696" s="60"/>
      <c r="H696" s="60"/>
      <c r="I696" s="29"/>
      <c r="J696" s="29"/>
      <c r="K696" s="29"/>
      <c r="L696" s="29"/>
      <c r="M696" s="34"/>
      <c r="N696" s="29"/>
      <c r="O696" s="29"/>
      <c r="P696" s="29"/>
      <c r="Q696" s="29"/>
      <c r="R696" s="29"/>
      <c r="S696" s="29"/>
      <c r="T696" s="1"/>
      <c r="U696" s="34"/>
      <c r="V696" s="34"/>
    </row>
    <row x14ac:dyDescent="0.25" r="697" customHeight="1" ht="15.75">
      <c r="A697" s="1"/>
      <c r="B697" s="29"/>
      <c r="C697" s="29"/>
      <c r="D697" s="34"/>
      <c r="E697" s="34"/>
      <c r="F697" s="34"/>
      <c r="G697" s="60"/>
      <c r="H697" s="60"/>
      <c r="I697" s="29"/>
      <c r="J697" s="29"/>
      <c r="K697" s="29"/>
      <c r="L697" s="29"/>
      <c r="M697" s="34"/>
      <c r="N697" s="29"/>
      <c r="O697" s="29"/>
      <c r="P697" s="29"/>
      <c r="Q697" s="29"/>
      <c r="R697" s="29"/>
      <c r="S697" s="29"/>
      <c r="T697" s="1"/>
      <c r="U697" s="34"/>
      <c r="V697" s="34"/>
    </row>
    <row x14ac:dyDescent="0.25" r="698" customHeight="1" ht="15.75">
      <c r="A698" s="1"/>
      <c r="B698" s="29"/>
      <c r="C698" s="29"/>
      <c r="D698" s="34"/>
      <c r="E698" s="34"/>
      <c r="F698" s="34"/>
      <c r="G698" s="60"/>
      <c r="H698" s="60"/>
      <c r="I698" s="29"/>
      <c r="J698" s="29"/>
      <c r="K698" s="29"/>
      <c r="L698" s="29"/>
      <c r="M698" s="34"/>
      <c r="N698" s="29"/>
      <c r="O698" s="29"/>
      <c r="P698" s="29"/>
      <c r="Q698" s="29"/>
      <c r="R698" s="29"/>
      <c r="S698" s="29"/>
      <c r="T698" s="1"/>
      <c r="U698" s="34"/>
      <c r="V698" s="34"/>
    </row>
    <row x14ac:dyDescent="0.25" r="699" customHeight="1" ht="15.75">
      <c r="A699" s="1"/>
      <c r="B699" s="29"/>
      <c r="C699" s="29"/>
      <c r="D699" s="34"/>
      <c r="E699" s="34"/>
      <c r="F699" s="34"/>
      <c r="G699" s="60"/>
      <c r="H699" s="60"/>
      <c r="I699" s="29"/>
      <c r="J699" s="29"/>
      <c r="K699" s="29"/>
      <c r="L699" s="29"/>
      <c r="M699" s="34"/>
      <c r="N699" s="29"/>
      <c r="O699" s="29"/>
      <c r="P699" s="29"/>
      <c r="Q699" s="29"/>
      <c r="R699" s="29"/>
      <c r="S699" s="29"/>
      <c r="T699" s="1"/>
      <c r="U699" s="34"/>
      <c r="V699" s="34"/>
    </row>
    <row x14ac:dyDescent="0.25" r="700" customHeight="1" ht="15.75">
      <c r="A700" s="1"/>
      <c r="B700" s="29"/>
      <c r="C700" s="29"/>
      <c r="D700" s="34"/>
      <c r="E700" s="34"/>
      <c r="F700" s="34"/>
      <c r="G700" s="60"/>
      <c r="H700" s="60"/>
      <c r="I700" s="29"/>
      <c r="J700" s="29"/>
      <c r="K700" s="29"/>
      <c r="L700" s="29"/>
      <c r="M700" s="34"/>
      <c r="N700" s="29"/>
      <c r="O700" s="29"/>
      <c r="P700" s="29"/>
      <c r="Q700" s="29"/>
      <c r="R700" s="29"/>
      <c r="S700" s="29"/>
      <c r="T700" s="1"/>
      <c r="U700" s="34"/>
      <c r="V700" s="34"/>
    </row>
    <row x14ac:dyDescent="0.25" r="701" customHeight="1" ht="15.75">
      <c r="A701" s="1"/>
      <c r="B701" s="29"/>
      <c r="C701" s="29"/>
      <c r="D701" s="34"/>
      <c r="E701" s="34"/>
      <c r="F701" s="34"/>
      <c r="G701" s="60"/>
      <c r="H701" s="60"/>
      <c r="I701" s="29"/>
      <c r="J701" s="29"/>
      <c r="K701" s="29"/>
      <c r="L701" s="29"/>
      <c r="M701" s="34"/>
      <c r="N701" s="29"/>
      <c r="O701" s="29"/>
      <c r="P701" s="29"/>
      <c r="Q701" s="29"/>
      <c r="R701" s="29"/>
      <c r="S701" s="29"/>
      <c r="T701" s="1"/>
      <c r="U701" s="34"/>
      <c r="V701" s="34"/>
    </row>
    <row x14ac:dyDescent="0.25" r="702" customHeight="1" ht="15.75">
      <c r="A702" s="1"/>
      <c r="B702" s="29"/>
      <c r="C702" s="29"/>
      <c r="D702" s="34"/>
      <c r="E702" s="34"/>
      <c r="F702" s="34"/>
      <c r="G702" s="60"/>
      <c r="H702" s="60"/>
      <c r="I702" s="29"/>
      <c r="J702" s="29"/>
      <c r="K702" s="29"/>
      <c r="L702" s="29"/>
      <c r="M702" s="34"/>
      <c r="N702" s="29"/>
      <c r="O702" s="29"/>
      <c r="P702" s="29"/>
      <c r="Q702" s="29"/>
      <c r="R702" s="29"/>
      <c r="S702" s="29"/>
      <c r="T702" s="1"/>
      <c r="U702" s="34"/>
      <c r="V702" s="34"/>
    </row>
    <row x14ac:dyDescent="0.25" r="703" customHeight="1" ht="15.75">
      <c r="A703" s="1"/>
      <c r="B703" s="29"/>
      <c r="C703" s="29"/>
      <c r="D703" s="34"/>
      <c r="E703" s="34"/>
      <c r="F703" s="34"/>
      <c r="G703" s="60"/>
      <c r="H703" s="60"/>
      <c r="I703" s="29"/>
      <c r="J703" s="29"/>
      <c r="K703" s="29"/>
      <c r="L703" s="29"/>
      <c r="M703" s="34"/>
      <c r="N703" s="29"/>
      <c r="O703" s="29"/>
      <c r="P703" s="29"/>
      <c r="Q703" s="29"/>
      <c r="R703" s="29"/>
      <c r="S703" s="29"/>
      <c r="T703" s="1"/>
      <c r="U703" s="34"/>
      <c r="V703" s="34"/>
    </row>
    <row x14ac:dyDescent="0.25" r="704" customHeight="1" ht="15.75">
      <c r="A704" s="1"/>
      <c r="B704" s="29"/>
      <c r="C704" s="29"/>
      <c r="D704" s="34"/>
      <c r="E704" s="34"/>
      <c r="F704" s="34"/>
      <c r="G704" s="60"/>
      <c r="H704" s="60"/>
      <c r="I704" s="29"/>
      <c r="J704" s="29"/>
      <c r="K704" s="29"/>
      <c r="L704" s="29"/>
      <c r="M704" s="34"/>
      <c r="N704" s="29"/>
      <c r="O704" s="29"/>
      <c r="P704" s="29"/>
      <c r="Q704" s="29"/>
      <c r="R704" s="29"/>
      <c r="S704" s="29"/>
      <c r="T704" s="1"/>
      <c r="U704" s="34"/>
      <c r="V704" s="34"/>
    </row>
    <row x14ac:dyDescent="0.25" r="705" customHeight="1" ht="15.75">
      <c r="A705" s="1"/>
      <c r="B705" s="29"/>
      <c r="C705" s="29"/>
      <c r="D705" s="34"/>
      <c r="E705" s="34"/>
      <c r="F705" s="34"/>
      <c r="G705" s="60"/>
      <c r="H705" s="60"/>
      <c r="I705" s="29"/>
      <c r="J705" s="29"/>
      <c r="K705" s="29"/>
      <c r="L705" s="29"/>
      <c r="M705" s="34"/>
      <c r="N705" s="29"/>
      <c r="O705" s="29"/>
      <c r="P705" s="29"/>
      <c r="Q705" s="29"/>
      <c r="R705" s="29"/>
      <c r="S705" s="29"/>
      <c r="T705" s="1"/>
      <c r="U705" s="34"/>
      <c r="V705" s="34"/>
    </row>
    <row x14ac:dyDescent="0.25" r="706" customHeight="1" ht="15.75">
      <c r="A706" s="1"/>
      <c r="B706" s="29"/>
      <c r="C706" s="29"/>
      <c r="D706" s="34"/>
      <c r="E706" s="34"/>
      <c r="F706" s="34"/>
      <c r="G706" s="60"/>
      <c r="H706" s="60"/>
      <c r="I706" s="29"/>
      <c r="J706" s="29"/>
      <c r="K706" s="29"/>
      <c r="L706" s="29"/>
      <c r="M706" s="34"/>
      <c r="N706" s="29"/>
      <c r="O706" s="29"/>
      <c r="P706" s="29"/>
      <c r="Q706" s="29"/>
      <c r="R706" s="29"/>
      <c r="S706" s="29"/>
      <c r="T706" s="1"/>
      <c r="U706" s="34"/>
      <c r="V706" s="34"/>
    </row>
    <row x14ac:dyDescent="0.25" r="707" customHeight="1" ht="15.75">
      <c r="A707" s="1"/>
      <c r="B707" s="29"/>
      <c r="C707" s="29"/>
      <c r="D707" s="34"/>
      <c r="E707" s="34"/>
      <c r="F707" s="34"/>
      <c r="G707" s="60"/>
      <c r="H707" s="60"/>
      <c r="I707" s="29"/>
      <c r="J707" s="29"/>
      <c r="K707" s="29"/>
      <c r="L707" s="29"/>
      <c r="M707" s="34"/>
      <c r="N707" s="29"/>
      <c r="O707" s="29"/>
      <c r="P707" s="29"/>
      <c r="Q707" s="29"/>
      <c r="R707" s="29"/>
      <c r="S707" s="29"/>
      <c r="T707" s="1"/>
      <c r="U707" s="34"/>
      <c r="V707" s="34"/>
    </row>
    <row x14ac:dyDescent="0.25" r="708" customHeight="1" ht="15.75">
      <c r="A708" s="1"/>
      <c r="B708" s="29"/>
      <c r="C708" s="29"/>
      <c r="D708" s="34"/>
      <c r="E708" s="34"/>
      <c r="F708" s="34"/>
      <c r="G708" s="60"/>
      <c r="H708" s="60"/>
      <c r="I708" s="29"/>
      <c r="J708" s="29"/>
      <c r="K708" s="29"/>
      <c r="L708" s="29"/>
      <c r="M708" s="34"/>
      <c r="N708" s="29"/>
      <c r="O708" s="29"/>
      <c r="P708" s="29"/>
      <c r="Q708" s="29"/>
      <c r="R708" s="29"/>
      <c r="S708" s="29"/>
      <c r="T708" s="1"/>
      <c r="U708" s="34"/>
      <c r="V708" s="34"/>
    </row>
    <row x14ac:dyDescent="0.25" r="709" customHeight="1" ht="15.75">
      <c r="A709" s="1"/>
      <c r="B709" s="29"/>
      <c r="C709" s="29"/>
      <c r="D709" s="34"/>
      <c r="E709" s="34"/>
      <c r="F709" s="34"/>
      <c r="G709" s="60"/>
      <c r="H709" s="60"/>
      <c r="I709" s="29"/>
      <c r="J709" s="29"/>
      <c r="K709" s="29"/>
      <c r="L709" s="29"/>
      <c r="M709" s="34"/>
      <c r="N709" s="29"/>
      <c r="O709" s="29"/>
      <c r="P709" s="29"/>
      <c r="Q709" s="29"/>
      <c r="R709" s="29"/>
      <c r="S709" s="29"/>
      <c r="T709" s="1"/>
      <c r="U709" s="34"/>
      <c r="V709" s="34"/>
    </row>
    <row x14ac:dyDescent="0.25" r="710" customHeight="1" ht="15.75">
      <c r="A710" s="1"/>
      <c r="B710" s="29"/>
      <c r="C710" s="29"/>
      <c r="D710" s="34"/>
      <c r="E710" s="34"/>
      <c r="F710" s="34"/>
      <c r="G710" s="60"/>
      <c r="H710" s="60"/>
      <c r="I710" s="29"/>
      <c r="J710" s="29"/>
      <c r="K710" s="29"/>
      <c r="L710" s="29"/>
      <c r="M710" s="34"/>
      <c r="N710" s="29"/>
      <c r="O710" s="29"/>
      <c r="P710" s="29"/>
      <c r="Q710" s="29"/>
      <c r="R710" s="29"/>
      <c r="S710" s="29"/>
      <c r="T710" s="1"/>
      <c r="U710" s="34"/>
      <c r="V710" s="34"/>
    </row>
    <row x14ac:dyDescent="0.25" r="711" customHeight="1" ht="15.75">
      <c r="A711" s="1"/>
      <c r="B711" s="29"/>
      <c r="C711" s="29"/>
      <c r="D711" s="34"/>
      <c r="E711" s="34"/>
      <c r="F711" s="34"/>
      <c r="G711" s="60"/>
      <c r="H711" s="60"/>
      <c r="I711" s="29"/>
      <c r="J711" s="29"/>
      <c r="K711" s="29"/>
      <c r="L711" s="29"/>
      <c r="M711" s="34"/>
      <c r="N711" s="29"/>
      <c r="O711" s="29"/>
      <c r="P711" s="29"/>
      <c r="Q711" s="29"/>
      <c r="R711" s="29"/>
      <c r="S711" s="29"/>
      <c r="T711" s="1"/>
      <c r="U711" s="34"/>
      <c r="V711" s="34"/>
    </row>
    <row x14ac:dyDescent="0.25" r="712" customHeight="1" ht="15.75">
      <c r="A712" s="1"/>
      <c r="B712" s="29"/>
      <c r="C712" s="29"/>
      <c r="D712" s="34"/>
      <c r="E712" s="34"/>
      <c r="F712" s="34"/>
      <c r="G712" s="60"/>
      <c r="H712" s="60"/>
      <c r="I712" s="29"/>
      <c r="J712" s="29"/>
      <c r="K712" s="29"/>
      <c r="L712" s="29"/>
      <c r="M712" s="34"/>
      <c r="N712" s="29"/>
      <c r="O712" s="29"/>
      <c r="P712" s="29"/>
      <c r="Q712" s="29"/>
      <c r="R712" s="29"/>
      <c r="S712" s="29"/>
      <c r="T712" s="1"/>
      <c r="U712" s="34"/>
      <c r="V712" s="34"/>
    </row>
    <row x14ac:dyDescent="0.25" r="713" customHeight="1" ht="15.75">
      <c r="A713" s="1"/>
      <c r="B713" s="29"/>
      <c r="C713" s="29"/>
      <c r="D713" s="34"/>
      <c r="E713" s="34"/>
      <c r="F713" s="34"/>
      <c r="G713" s="60"/>
      <c r="H713" s="60"/>
      <c r="I713" s="29"/>
      <c r="J713" s="29"/>
      <c r="K713" s="29"/>
      <c r="L713" s="29"/>
      <c r="M713" s="34"/>
      <c r="N713" s="29"/>
      <c r="O713" s="29"/>
      <c r="P713" s="29"/>
      <c r="Q713" s="29"/>
      <c r="R713" s="29"/>
      <c r="S713" s="29"/>
      <c r="T713" s="1"/>
      <c r="U713" s="34"/>
      <c r="V713" s="34"/>
    </row>
    <row x14ac:dyDescent="0.25" r="714" customHeight="1" ht="15.75">
      <c r="A714" s="1"/>
      <c r="B714" s="29"/>
      <c r="C714" s="29"/>
      <c r="D714" s="34"/>
      <c r="E714" s="34"/>
      <c r="F714" s="34"/>
      <c r="G714" s="60"/>
      <c r="H714" s="60"/>
      <c r="I714" s="29"/>
      <c r="J714" s="29"/>
      <c r="K714" s="29"/>
      <c r="L714" s="29"/>
      <c r="M714" s="34"/>
      <c r="N714" s="29"/>
      <c r="O714" s="29"/>
      <c r="P714" s="29"/>
      <c r="Q714" s="29"/>
      <c r="R714" s="29"/>
      <c r="S714" s="29"/>
      <c r="T714" s="1"/>
      <c r="U714" s="34"/>
      <c r="V714" s="34"/>
    </row>
    <row x14ac:dyDescent="0.25" r="715" customHeight="1" ht="15.75">
      <c r="A715" s="1"/>
      <c r="B715" s="29"/>
      <c r="C715" s="29"/>
      <c r="D715" s="34"/>
      <c r="E715" s="34"/>
      <c r="F715" s="34"/>
      <c r="G715" s="60"/>
      <c r="H715" s="60"/>
      <c r="I715" s="29"/>
      <c r="J715" s="29"/>
      <c r="K715" s="29"/>
      <c r="L715" s="29"/>
      <c r="M715" s="34"/>
      <c r="N715" s="29"/>
      <c r="O715" s="29"/>
      <c r="P715" s="29"/>
      <c r="Q715" s="29"/>
      <c r="R715" s="29"/>
      <c r="S715" s="29"/>
      <c r="T715" s="1"/>
      <c r="U715" s="34"/>
      <c r="V715" s="34"/>
    </row>
    <row x14ac:dyDescent="0.25" r="716" customHeight="1" ht="15.75">
      <c r="A716" s="1"/>
      <c r="B716" s="29"/>
      <c r="C716" s="29"/>
      <c r="D716" s="34"/>
      <c r="E716" s="34"/>
      <c r="F716" s="34"/>
      <c r="G716" s="60"/>
      <c r="H716" s="60"/>
      <c r="I716" s="29"/>
      <c r="J716" s="29"/>
      <c r="K716" s="29"/>
      <c r="L716" s="29"/>
      <c r="M716" s="34"/>
      <c r="N716" s="29"/>
      <c r="O716" s="29"/>
      <c r="P716" s="29"/>
      <c r="Q716" s="29"/>
      <c r="R716" s="29"/>
      <c r="S716" s="29"/>
      <c r="T716" s="1"/>
      <c r="U716" s="34"/>
      <c r="V716" s="34"/>
    </row>
    <row x14ac:dyDescent="0.25" r="717" customHeight="1" ht="15.75">
      <c r="A717" s="1"/>
      <c r="B717" s="29"/>
      <c r="C717" s="29"/>
      <c r="D717" s="34"/>
      <c r="E717" s="34"/>
      <c r="F717" s="34"/>
      <c r="G717" s="60"/>
      <c r="H717" s="60"/>
      <c r="I717" s="29"/>
      <c r="J717" s="29"/>
      <c r="K717" s="29"/>
      <c r="L717" s="29"/>
      <c r="M717" s="34"/>
      <c r="N717" s="29"/>
      <c r="O717" s="29"/>
      <c r="P717" s="29"/>
      <c r="Q717" s="29"/>
      <c r="R717" s="29"/>
      <c r="S717" s="29"/>
      <c r="T717" s="1"/>
      <c r="U717" s="34"/>
      <c r="V717" s="34"/>
    </row>
    <row x14ac:dyDescent="0.25" r="718" customHeight="1" ht="15.75">
      <c r="A718" s="1"/>
      <c r="B718" s="29"/>
      <c r="C718" s="29"/>
      <c r="D718" s="34"/>
      <c r="E718" s="34"/>
      <c r="F718" s="34"/>
      <c r="G718" s="60"/>
      <c r="H718" s="60"/>
      <c r="I718" s="29"/>
      <c r="J718" s="29"/>
      <c r="K718" s="29"/>
      <c r="L718" s="29"/>
      <c r="M718" s="34"/>
      <c r="N718" s="29"/>
      <c r="O718" s="29"/>
      <c r="P718" s="29"/>
      <c r="Q718" s="29"/>
      <c r="R718" s="29"/>
      <c r="S718" s="29"/>
      <c r="T718" s="1"/>
      <c r="U718" s="34"/>
      <c r="V718" s="34"/>
    </row>
    <row x14ac:dyDescent="0.25" r="719" customHeight="1" ht="15.75">
      <c r="A719" s="1"/>
      <c r="B719" s="29"/>
      <c r="C719" s="29"/>
      <c r="D719" s="34"/>
      <c r="E719" s="34"/>
      <c r="F719" s="34"/>
      <c r="G719" s="60"/>
      <c r="H719" s="60"/>
      <c r="I719" s="29"/>
      <c r="J719" s="29"/>
      <c r="K719" s="29"/>
      <c r="L719" s="29"/>
      <c r="M719" s="34"/>
      <c r="N719" s="29"/>
      <c r="O719" s="29"/>
      <c r="P719" s="29"/>
      <c r="Q719" s="29"/>
      <c r="R719" s="29"/>
      <c r="S719" s="29"/>
      <c r="T719" s="1"/>
      <c r="U719" s="34"/>
      <c r="V719" s="34"/>
    </row>
    <row x14ac:dyDescent="0.25" r="720" customHeight="1" ht="15.75">
      <c r="A720" s="1"/>
      <c r="B720" s="29"/>
      <c r="C720" s="29"/>
      <c r="D720" s="34"/>
      <c r="E720" s="34"/>
      <c r="F720" s="34"/>
      <c r="G720" s="60"/>
      <c r="H720" s="60"/>
      <c r="I720" s="29"/>
      <c r="J720" s="29"/>
      <c r="K720" s="29"/>
      <c r="L720" s="29"/>
      <c r="M720" s="34"/>
      <c r="N720" s="29"/>
      <c r="O720" s="29"/>
      <c r="P720" s="29"/>
      <c r="Q720" s="29"/>
      <c r="R720" s="29"/>
      <c r="S720" s="29"/>
      <c r="T720" s="1"/>
      <c r="U720" s="34"/>
      <c r="V720" s="34"/>
    </row>
    <row x14ac:dyDescent="0.25" r="721" customHeight="1" ht="15.75">
      <c r="A721" s="1"/>
      <c r="B721" s="29"/>
      <c r="C721" s="29"/>
      <c r="D721" s="34"/>
      <c r="E721" s="34"/>
      <c r="F721" s="34"/>
      <c r="G721" s="60"/>
      <c r="H721" s="60"/>
      <c r="I721" s="29"/>
      <c r="J721" s="29"/>
      <c r="K721" s="29"/>
      <c r="L721" s="29"/>
      <c r="M721" s="34"/>
      <c r="N721" s="29"/>
      <c r="O721" s="29"/>
      <c r="P721" s="29"/>
      <c r="Q721" s="29"/>
      <c r="R721" s="29"/>
      <c r="S721" s="29"/>
      <c r="T721" s="1"/>
      <c r="U721" s="34"/>
      <c r="V721" s="34"/>
    </row>
    <row x14ac:dyDescent="0.25" r="722" customHeight="1" ht="15.75">
      <c r="A722" s="1"/>
      <c r="B722" s="29"/>
      <c r="C722" s="29"/>
      <c r="D722" s="34"/>
      <c r="E722" s="34"/>
      <c r="F722" s="34"/>
      <c r="G722" s="60"/>
      <c r="H722" s="60"/>
      <c r="I722" s="29"/>
      <c r="J722" s="29"/>
      <c r="K722" s="29"/>
      <c r="L722" s="29"/>
      <c r="M722" s="34"/>
      <c r="N722" s="29"/>
      <c r="O722" s="29"/>
      <c r="P722" s="29"/>
      <c r="Q722" s="29"/>
      <c r="R722" s="29"/>
      <c r="S722" s="29"/>
      <c r="T722" s="1"/>
      <c r="U722" s="34"/>
      <c r="V722" s="34"/>
    </row>
    <row x14ac:dyDescent="0.25" r="723" customHeight="1" ht="15.75">
      <c r="A723" s="1"/>
      <c r="B723" s="29"/>
      <c r="C723" s="29"/>
      <c r="D723" s="34"/>
      <c r="E723" s="34"/>
      <c r="F723" s="34"/>
      <c r="G723" s="60"/>
      <c r="H723" s="60"/>
      <c r="I723" s="29"/>
      <c r="J723" s="29"/>
      <c r="K723" s="29"/>
      <c r="L723" s="29"/>
      <c r="M723" s="34"/>
      <c r="N723" s="29"/>
      <c r="O723" s="29"/>
      <c r="P723" s="29"/>
      <c r="Q723" s="29"/>
      <c r="R723" s="29"/>
      <c r="S723" s="29"/>
      <c r="T723" s="1"/>
      <c r="U723" s="34"/>
      <c r="V723" s="34"/>
    </row>
    <row x14ac:dyDescent="0.25" r="724" customHeight="1" ht="15.75">
      <c r="A724" s="1"/>
      <c r="B724" s="29"/>
      <c r="C724" s="29"/>
      <c r="D724" s="34"/>
      <c r="E724" s="34"/>
      <c r="F724" s="34"/>
      <c r="G724" s="60"/>
      <c r="H724" s="60"/>
      <c r="I724" s="29"/>
      <c r="J724" s="29"/>
      <c r="K724" s="29"/>
      <c r="L724" s="29"/>
      <c r="M724" s="34"/>
      <c r="N724" s="29"/>
      <c r="O724" s="29"/>
      <c r="P724" s="29"/>
      <c r="Q724" s="29"/>
      <c r="R724" s="29"/>
      <c r="S724" s="29"/>
      <c r="T724" s="1"/>
      <c r="U724" s="34"/>
      <c r="V724" s="34"/>
    </row>
    <row x14ac:dyDescent="0.25" r="725" customHeight="1" ht="15.75">
      <c r="A725" s="1"/>
      <c r="B725" s="29"/>
      <c r="C725" s="29"/>
      <c r="D725" s="34"/>
      <c r="E725" s="34"/>
      <c r="F725" s="34"/>
      <c r="G725" s="60"/>
      <c r="H725" s="60"/>
      <c r="I725" s="29"/>
      <c r="J725" s="29"/>
      <c r="K725" s="29"/>
      <c r="L725" s="29"/>
      <c r="M725" s="34"/>
      <c r="N725" s="29"/>
      <c r="O725" s="29"/>
      <c r="P725" s="29"/>
      <c r="Q725" s="29"/>
      <c r="R725" s="29"/>
      <c r="S725" s="29"/>
      <c r="T725" s="1"/>
      <c r="U725" s="34"/>
      <c r="V725" s="34"/>
    </row>
    <row x14ac:dyDescent="0.25" r="726" customHeight="1" ht="15.75">
      <c r="A726" s="1"/>
      <c r="B726" s="29"/>
      <c r="C726" s="29"/>
      <c r="D726" s="34"/>
      <c r="E726" s="34"/>
      <c r="F726" s="34"/>
      <c r="G726" s="60"/>
      <c r="H726" s="60"/>
      <c r="I726" s="29"/>
      <c r="J726" s="29"/>
      <c r="K726" s="29"/>
      <c r="L726" s="29"/>
      <c r="M726" s="34"/>
      <c r="N726" s="29"/>
      <c r="O726" s="29"/>
      <c r="P726" s="29"/>
      <c r="Q726" s="29"/>
      <c r="R726" s="29"/>
      <c r="S726" s="29"/>
      <c r="T726" s="1"/>
      <c r="U726" s="34"/>
      <c r="V726" s="34"/>
    </row>
    <row x14ac:dyDescent="0.25" r="727" customHeight="1" ht="15.75">
      <c r="A727" s="1"/>
      <c r="B727" s="29"/>
      <c r="C727" s="29"/>
      <c r="D727" s="34"/>
      <c r="E727" s="34"/>
      <c r="F727" s="34"/>
      <c r="G727" s="60"/>
      <c r="H727" s="60"/>
      <c r="I727" s="29"/>
      <c r="J727" s="29"/>
      <c r="K727" s="29"/>
      <c r="L727" s="29"/>
      <c r="M727" s="34"/>
      <c r="N727" s="29"/>
      <c r="O727" s="29"/>
      <c r="P727" s="29"/>
      <c r="Q727" s="29"/>
      <c r="R727" s="29"/>
      <c r="S727" s="29"/>
      <c r="T727" s="1"/>
      <c r="U727" s="34"/>
      <c r="V727" s="34"/>
    </row>
    <row x14ac:dyDescent="0.25" r="728" customHeight="1" ht="15.75">
      <c r="A728" s="1"/>
      <c r="B728" s="29"/>
      <c r="C728" s="29"/>
      <c r="D728" s="34"/>
      <c r="E728" s="34"/>
      <c r="F728" s="34"/>
      <c r="G728" s="60"/>
      <c r="H728" s="60"/>
      <c r="I728" s="29"/>
      <c r="J728" s="29"/>
      <c r="K728" s="29"/>
      <c r="L728" s="29"/>
      <c r="M728" s="34"/>
      <c r="N728" s="29"/>
      <c r="O728" s="29"/>
      <c r="P728" s="29"/>
      <c r="Q728" s="29"/>
      <c r="R728" s="29"/>
      <c r="S728" s="29"/>
      <c r="T728" s="1"/>
      <c r="U728" s="34"/>
      <c r="V728" s="34"/>
    </row>
    <row x14ac:dyDescent="0.25" r="729" customHeight="1" ht="15.75">
      <c r="A729" s="1"/>
      <c r="B729" s="29"/>
      <c r="C729" s="29"/>
      <c r="D729" s="34"/>
      <c r="E729" s="34"/>
      <c r="F729" s="34"/>
      <c r="G729" s="60"/>
      <c r="H729" s="60"/>
      <c r="I729" s="29"/>
      <c r="J729" s="29"/>
      <c r="K729" s="29"/>
      <c r="L729" s="29"/>
      <c r="M729" s="34"/>
      <c r="N729" s="29"/>
      <c r="O729" s="29"/>
      <c r="P729" s="29"/>
      <c r="Q729" s="29"/>
      <c r="R729" s="29"/>
      <c r="S729" s="29"/>
      <c r="T729" s="1"/>
      <c r="U729" s="34"/>
      <c r="V729" s="34"/>
    </row>
    <row x14ac:dyDescent="0.25" r="730" customHeight="1" ht="15.75">
      <c r="A730" s="1"/>
      <c r="B730" s="29"/>
      <c r="C730" s="29"/>
      <c r="D730" s="34"/>
      <c r="E730" s="34"/>
      <c r="F730" s="34"/>
      <c r="G730" s="60"/>
      <c r="H730" s="60"/>
      <c r="I730" s="29"/>
      <c r="J730" s="29"/>
      <c r="K730" s="29"/>
      <c r="L730" s="29"/>
      <c r="M730" s="34"/>
      <c r="N730" s="29"/>
      <c r="O730" s="29"/>
      <c r="P730" s="29"/>
      <c r="Q730" s="29"/>
      <c r="R730" s="29"/>
      <c r="S730" s="29"/>
      <c r="T730" s="1"/>
      <c r="U730" s="34"/>
      <c r="V730" s="34"/>
    </row>
    <row x14ac:dyDescent="0.25" r="731" customHeight="1" ht="15.75">
      <c r="A731" s="1"/>
      <c r="B731" s="29"/>
      <c r="C731" s="29"/>
      <c r="D731" s="34"/>
      <c r="E731" s="34"/>
      <c r="F731" s="34"/>
      <c r="G731" s="60"/>
      <c r="H731" s="60"/>
      <c r="I731" s="29"/>
      <c r="J731" s="29"/>
      <c r="K731" s="29"/>
      <c r="L731" s="29"/>
      <c r="M731" s="34"/>
      <c r="N731" s="29"/>
      <c r="O731" s="29"/>
      <c r="P731" s="29"/>
      <c r="Q731" s="29"/>
      <c r="R731" s="29"/>
      <c r="S731" s="29"/>
      <c r="T731" s="1"/>
      <c r="U731" s="34"/>
      <c r="V731" s="34"/>
    </row>
    <row x14ac:dyDescent="0.25" r="732" customHeight="1" ht="15.75">
      <c r="A732" s="1"/>
      <c r="B732" s="29"/>
      <c r="C732" s="29"/>
      <c r="D732" s="34"/>
      <c r="E732" s="34"/>
      <c r="F732" s="34"/>
      <c r="G732" s="60"/>
      <c r="H732" s="60"/>
      <c r="I732" s="29"/>
      <c r="J732" s="29"/>
      <c r="K732" s="29"/>
      <c r="L732" s="29"/>
      <c r="M732" s="34"/>
      <c r="N732" s="29"/>
      <c r="O732" s="29"/>
      <c r="P732" s="29"/>
      <c r="Q732" s="29"/>
      <c r="R732" s="29"/>
      <c r="S732" s="29"/>
      <c r="T732" s="1"/>
      <c r="U732" s="34"/>
      <c r="V732" s="34"/>
    </row>
    <row x14ac:dyDescent="0.25" r="733" customHeight="1" ht="15.75">
      <c r="A733" s="1"/>
      <c r="B733" s="29"/>
      <c r="C733" s="29"/>
      <c r="D733" s="34"/>
      <c r="E733" s="34"/>
      <c r="F733" s="34"/>
      <c r="G733" s="60"/>
      <c r="H733" s="60"/>
      <c r="I733" s="29"/>
      <c r="J733" s="29"/>
      <c r="K733" s="29"/>
      <c r="L733" s="29"/>
      <c r="M733" s="34"/>
      <c r="N733" s="29"/>
      <c r="O733" s="29"/>
      <c r="P733" s="29"/>
      <c r="Q733" s="29"/>
      <c r="R733" s="29"/>
      <c r="S733" s="29"/>
      <c r="T733" s="1"/>
      <c r="U733" s="34"/>
      <c r="V733" s="34"/>
    </row>
    <row x14ac:dyDescent="0.25" r="734" customHeight="1" ht="15.75">
      <c r="A734" s="1"/>
      <c r="B734" s="29"/>
      <c r="C734" s="29"/>
      <c r="D734" s="34"/>
      <c r="E734" s="34"/>
      <c r="F734" s="34"/>
      <c r="G734" s="60"/>
      <c r="H734" s="60"/>
      <c r="I734" s="29"/>
      <c r="J734" s="29"/>
      <c r="K734" s="29"/>
      <c r="L734" s="29"/>
      <c r="M734" s="34"/>
      <c r="N734" s="29"/>
      <c r="O734" s="29"/>
      <c r="P734" s="29"/>
      <c r="Q734" s="29"/>
      <c r="R734" s="29"/>
      <c r="S734" s="29"/>
      <c r="T734" s="1"/>
      <c r="U734" s="34"/>
      <c r="V734" s="34"/>
    </row>
    <row x14ac:dyDescent="0.25" r="735" customHeight="1" ht="15.75">
      <c r="A735" s="1"/>
      <c r="B735" s="29"/>
      <c r="C735" s="29"/>
      <c r="D735" s="34"/>
      <c r="E735" s="34"/>
      <c r="F735" s="34"/>
      <c r="G735" s="60"/>
      <c r="H735" s="60"/>
      <c r="I735" s="29"/>
      <c r="J735" s="29"/>
      <c r="K735" s="29"/>
      <c r="L735" s="29"/>
      <c r="M735" s="34"/>
      <c r="N735" s="29"/>
      <c r="O735" s="29"/>
      <c r="P735" s="29"/>
      <c r="Q735" s="29"/>
      <c r="R735" s="29"/>
      <c r="S735" s="29"/>
      <c r="T735" s="1"/>
      <c r="U735" s="34"/>
      <c r="V735" s="34"/>
    </row>
    <row x14ac:dyDescent="0.25" r="736" customHeight="1" ht="15.75">
      <c r="A736" s="1"/>
      <c r="B736" s="29"/>
      <c r="C736" s="29"/>
      <c r="D736" s="34"/>
      <c r="E736" s="34"/>
      <c r="F736" s="34"/>
      <c r="G736" s="60"/>
      <c r="H736" s="60"/>
      <c r="I736" s="29"/>
      <c r="J736" s="29"/>
      <c r="K736" s="29"/>
      <c r="L736" s="29"/>
      <c r="M736" s="34"/>
      <c r="N736" s="29"/>
      <c r="O736" s="29"/>
      <c r="P736" s="29"/>
      <c r="Q736" s="29"/>
      <c r="R736" s="29"/>
      <c r="S736" s="29"/>
      <c r="T736" s="1"/>
      <c r="U736" s="34"/>
      <c r="V736" s="34"/>
    </row>
    <row x14ac:dyDescent="0.25" r="737" customHeight="1" ht="15.75">
      <c r="A737" s="1"/>
      <c r="B737" s="29"/>
      <c r="C737" s="29"/>
      <c r="D737" s="34"/>
      <c r="E737" s="34"/>
      <c r="F737" s="34"/>
      <c r="G737" s="60"/>
      <c r="H737" s="60"/>
      <c r="I737" s="29"/>
      <c r="J737" s="29"/>
      <c r="K737" s="29"/>
      <c r="L737" s="29"/>
      <c r="M737" s="34"/>
      <c r="N737" s="29"/>
      <c r="O737" s="29"/>
      <c r="P737" s="29"/>
      <c r="Q737" s="29"/>
      <c r="R737" s="29"/>
      <c r="S737" s="29"/>
      <c r="T737" s="1"/>
      <c r="U737" s="34"/>
      <c r="V737" s="34"/>
    </row>
    <row x14ac:dyDescent="0.25" r="738" customHeight="1" ht="15.75">
      <c r="A738" s="1"/>
      <c r="B738" s="29"/>
      <c r="C738" s="29"/>
      <c r="D738" s="34"/>
      <c r="E738" s="34"/>
      <c r="F738" s="34"/>
      <c r="G738" s="60"/>
      <c r="H738" s="60"/>
      <c r="I738" s="29"/>
      <c r="J738" s="29"/>
      <c r="K738" s="29"/>
      <c r="L738" s="29"/>
      <c r="M738" s="34"/>
      <c r="N738" s="29"/>
      <c r="O738" s="29"/>
      <c r="P738" s="29"/>
      <c r="Q738" s="29"/>
      <c r="R738" s="29"/>
      <c r="S738" s="29"/>
      <c r="T738" s="1"/>
      <c r="U738" s="34"/>
      <c r="V738" s="34"/>
    </row>
    <row x14ac:dyDescent="0.25" r="739" customHeight="1" ht="15.75">
      <c r="A739" s="1"/>
      <c r="B739" s="29"/>
      <c r="C739" s="29"/>
      <c r="D739" s="34"/>
      <c r="E739" s="34"/>
      <c r="F739" s="34"/>
      <c r="G739" s="60"/>
      <c r="H739" s="60"/>
      <c r="I739" s="29"/>
      <c r="J739" s="29"/>
      <c r="K739" s="29"/>
      <c r="L739" s="29"/>
      <c r="M739" s="34"/>
      <c r="N739" s="29"/>
      <c r="O739" s="29"/>
      <c r="P739" s="29"/>
      <c r="Q739" s="29"/>
      <c r="R739" s="29"/>
      <c r="S739" s="29"/>
      <c r="T739" s="1"/>
      <c r="U739" s="34"/>
      <c r="V739" s="34"/>
    </row>
    <row x14ac:dyDescent="0.25" r="740" customHeight="1" ht="15.75">
      <c r="A740" s="1"/>
      <c r="B740" s="29"/>
      <c r="C740" s="29"/>
      <c r="D740" s="34"/>
      <c r="E740" s="34"/>
      <c r="F740" s="34"/>
      <c r="G740" s="60"/>
      <c r="H740" s="60"/>
      <c r="I740" s="29"/>
      <c r="J740" s="29"/>
      <c r="K740" s="29"/>
      <c r="L740" s="29"/>
      <c r="M740" s="34"/>
      <c r="N740" s="29"/>
      <c r="O740" s="29"/>
      <c r="P740" s="29"/>
      <c r="Q740" s="29"/>
      <c r="R740" s="29"/>
      <c r="S740" s="29"/>
      <c r="T740" s="1"/>
      <c r="U740" s="34"/>
      <c r="V740" s="34"/>
    </row>
    <row x14ac:dyDescent="0.25" r="741" customHeight="1" ht="15.75">
      <c r="A741" s="1"/>
      <c r="B741" s="29"/>
      <c r="C741" s="29"/>
      <c r="D741" s="34"/>
      <c r="E741" s="34"/>
      <c r="F741" s="34"/>
      <c r="G741" s="60"/>
      <c r="H741" s="60"/>
      <c r="I741" s="29"/>
      <c r="J741" s="29"/>
      <c r="K741" s="29"/>
      <c r="L741" s="29"/>
      <c r="M741" s="34"/>
      <c r="N741" s="29"/>
      <c r="O741" s="29"/>
      <c r="P741" s="29"/>
      <c r="Q741" s="29"/>
      <c r="R741" s="29"/>
      <c r="S741" s="29"/>
      <c r="T741" s="1"/>
      <c r="U741" s="34"/>
      <c r="V741" s="34"/>
    </row>
    <row x14ac:dyDescent="0.25" r="742" customHeight="1" ht="15.75">
      <c r="A742" s="1"/>
      <c r="B742" s="29"/>
      <c r="C742" s="29"/>
      <c r="D742" s="34"/>
      <c r="E742" s="34"/>
      <c r="F742" s="34"/>
      <c r="G742" s="60"/>
      <c r="H742" s="60"/>
      <c r="I742" s="29"/>
      <c r="J742" s="29"/>
      <c r="K742" s="29"/>
      <c r="L742" s="29"/>
      <c r="M742" s="34"/>
      <c r="N742" s="29"/>
      <c r="O742" s="29"/>
      <c r="P742" s="29"/>
      <c r="Q742" s="29"/>
      <c r="R742" s="29"/>
      <c r="S742" s="29"/>
      <c r="T742" s="1"/>
      <c r="U742" s="34"/>
      <c r="V742" s="34"/>
    </row>
    <row x14ac:dyDescent="0.25" r="743" customHeight="1" ht="15.75">
      <c r="A743" s="1"/>
      <c r="B743" s="29"/>
      <c r="C743" s="29"/>
      <c r="D743" s="34"/>
      <c r="E743" s="34"/>
      <c r="F743" s="34"/>
      <c r="G743" s="60"/>
      <c r="H743" s="60"/>
      <c r="I743" s="29"/>
      <c r="J743" s="29"/>
      <c r="K743" s="29"/>
      <c r="L743" s="29"/>
      <c r="M743" s="34"/>
      <c r="N743" s="29"/>
      <c r="O743" s="29"/>
      <c r="P743" s="29"/>
      <c r="Q743" s="29"/>
      <c r="R743" s="29"/>
      <c r="S743" s="29"/>
      <c r="T743" s="1"/>
      <c r="U743" s="34"/>
      <c r="V743" s="34"/>
    </row>
    <row x14ac:dyDescent="0.25" r="744" customHeight="1" ht="15.75">
      <c r="A744" s="1"/>
      <c r="B744" s="29"/>
      <c r="C744" s="29"/>
      <c r="D744" s="34"/>
      <c r="E744" s="34"/>
      <c r="F744" s="34"/>
      <c r="G744" s="60"/>
      <c r="H744" s="60"/>
      <c r="I744" s="29"/>
      <c r="J744" s="29"/>
      <c r="K744" s="29"/>
      <c r="L744" s="29"/>
      <c r="M744" s="34"/>
      <c r="N744" s="29"/>
      <c r="O744" s="29"/>
      <c r="P744" s="29"/>
      <c r="Q744" s="29"/>
      <c r="R744" s="29"/>
      <c r="S744" s="29"/>
      <c r="T744" s="1"/>
      <c r="U744" s="34"/>
      <c r="V744" s="34"/>
    </row>
    <row x14ac:dyDescent="0.25" r="745" customHeight="1" ht="15.75">
      <c r="A745" s="1"/>
      <c r="B745" s="29"/>
      <c r="C745" s="29"/>
      <c r="D745" s="34"/>
      <c r="E745" s="34"/>
      <c r="F745" s="34"/>
      <c r="G745" s="60"/>
      <c r="H745" s="60"/>
      <c r="I745" s="29"/>
      <c r="J745" s="29"/>
      <c r="K745" s="29"/>
      <c r="L745" s="29"/>
      <c r="M745" s="34"/>
      <c r="N745" s="29"/>
      <c r="O745" s="29"/>
      <c r="P745" s="29"/>
      <c r="Q745" s="29"/>
      <c r="R745" s="29"/>
      <c r="S745" s="29"/>
      <c r="T745" s="1"/>
      <c r="U745" s="34"/>
      <c r="V745" s="34"/>
    </row>
    <row x14ac:dyDescent="0.25" r="746" customHeight="1" ht="15.75">
      <c r="A746" s="1"/>
      <c r="B746" s="29"/>
      <c r="C746" s="29"/>
      <c r="D746" s="34"/>
      <c r="E746" s="34"/>
      <c r="F746" s="34"/>
      <c r="G746" s="60"/>
      <c r="H746" s="60"/>
      <c r="I746" s="29"/>
      <c r="J746" s="29"/>
      <c r="K746" s="29"/>
      <c r="L746" s="29"/>
      <c r="M746" s="34"/>
      <c r="N746" s="29"/>
      <c r="O746" s="29"/>
      <c r="P746" s="29"/>
      <c r="Q746" s="29"/>
      <c r="R746" s="29"/>
      <c r="S746" s="29"/>
      <c r="T746" s="1"/>
      <c r="U746" s="34"/>
      <c r="V746" s="34"/>
    </row>
    <row x14ac:dyDescent="0.25" r="747" customHeight="1" ht="15.75">
      <c r="A747" s="1"/>
      <c r="B747" s="29"/>
      <c r="C747" s="29"/>
      <c r="D747" s="34"/>
      <c r="E747" s="34"/>
      <c r="F747" s="34"/>
      <c r="G747" s="60"/>
      <c r="H747" s="60"/>
      <c r="I747" s="29"/>
      <c r="J747" s="29"/>
      <c r="K747" s="29"/>
      <c r="L747" s="29"/>
      <c r="M747" s="34"/>
      <c r="N747" s="29"/>
      <c r="O747" s="29"/>
      <c r="P747" s="29"/>
      <c r="Q747" s="29"/>
      <c r="R747" s="29"/>
      <c r="S747" s="29"/>
      <c r="T747" s="1"/>
      <c r="U747" s="34"/>
      <c r="V747" s="34"/>
    </row>
    <row x14ac:dyDescent="0.25" r="748" customHeight="1" ht="15.75">
      <c r="A748" s="1"/>
      <c r="B748" s="29"/>
      <c r="C748" s="29"/>
      <c r="D748" s="34"/>
      <c r="E748" s="34"/>
      <c r="F748" s="34"/>
      <c r="G748" s="60"/>
      <c r="H748" s="60"/>
      <c r="I748" s="29"/>
      <c r="J748" s="29"/>
      <c r="K748" s="29"/>
      <c r="L748" s="29"/>
      <c r="M748" s="34"/>
      <c r="N748" s="29"/>
      <c r="O748" s="29"/>
      <c r="P748" s="29"/>
      <c r="Q748" s="29"/>
      <c r="R748" s="29"/>
      <c r="S748" s="29"/>
      <c r="T748" s="1"/>
      <c r="U748" s="34"/>
      <c r="V748" s="34"/>
    </row>
    <row x14ac:dyDescent="0.25" r="749" customHeight="1" ht="15.75">
      <c r="A749" s="1"/>
      <c r="B749" s="29"/>
      <c r="C749" s="29"/>
      <c r="D749" s="34"/>
      <c r="E749" s="34"/>
      <c r="F749" s="34"/>
      <c r="G749" s="60"/>
      <c r="H749" s="60"/>
      <c r="I749" s="29"/>
      <c r="J749" s="29"/>
      <c r="K749" s="29"/>
      <c r="L749" s="29"/>
      <c r="M749" s="34"/>
      <c r="N749" s="29"/>
      <c r="O749" s="29"/>
      <c r="P749" s="29"/>
      <c r="Q749" s="29"/>
      <c r="R749" s="29"/>
      <c r="S749" s="29"/>
      <c r="T749" s="1"/>
      <c r="U749" s="34"/>
      <c r="V749" s="34"/>
    </row>
    <row x14ac:dyDescent="0.25" r="750" customHeight="1" ht="15.75">
      <c r="A750" s="1"/>
      <c r="B750" s="29"/>
      <c r="C750" s="29"/>
      <c r="D750" s="34"/>
      <c r="E750" s="34"/>
      <c r="F750" s="34"/>
      <c r="G750" s="60"/>
      <c r="H750" s="60"/>
      <c r="I750" s="29"/>
      <c r="J750" s="29"/>
      <c r="K750" s="29"/>
      <c r="L750" s="29"/>
      <c r="M750" s="34"/>
      <c r="N750" s="29"/>
      <c r="O750" s="29"/>
      <c r="P750" s="29"/>
      <c r="Q750" s="29"/>
      <c r="R750" s="29"/>
      <c r="S750" s="29"/>
      <c r="T750" s="1"/>
      <c r="U750" s="34"/>
      <c r="V750" s="34"/>
    </row>
    <row x14ac:dyDescent="0.25" r="751" customHeight="1" ht="15.75">
      <c r="A751" s="1"/>
      <c r="B751" s="29"/>
      <c r="C751" s="29"/>
      <c r="D751" s="34"/>
      <c r="E751" s="34"/>
      <c r="F751" s="34"/>
      <c r="G751" s="60"/>
      <c r="H751" s="60"/>
      <c r="I751" s="29"/>
      <c r="J751" s="29"/>
      <c r="K751" s="29"/>
      <c r="L751" s="29"/>
      <c r="M751" s="34"/>
      <c r="N751" s="29"/>
      <c r="O751" s="29"/>
      <c r="P751" s="29"/>
      <c r="Q751" s="29"/>
      <c r="R751" s="29"/>
      <c r="S751" s="29"/>
      <c r="T751" s="1"/>
      <c r="U751" s="34"/>
      <c r="V751" s="34"/>
    </row>
    <row x14ac:dyDescent="0.25" r="752" customHeight="1" ht="15.75">
      <c r="A752" s="1"/>
      <c r="B752" s="29"/>
      <c r="C752" s="29"/>
      <c r="D752" s="34"/>
      <c r="E752" s="34"/>
      <c r="F752" s="34"/>
      <c r="G752" s="60"/>
      <c r="H752" s="60"/>
      <c r="I752" s="29"/>
      <c r="J752" s="29"/>
      <c r="K752" s="29"/>
      <c r="L752" s="29"/>
      <c r="M752" s="34"/>
      <c r="N752" s="29"/>
      <c r="O752" s="29"/>
      <c r="P752" s="29"/>
      <c r="Q752" s="29"/>
      <c r="R752" s="29"/>
      <c r="S752" s="29"/>
      <c r="T752" s="1"/>
      <c r="U752" s="34"/>
      <c r="V752" s="34"/>
    </row>
    <row x14ac:dyDescent="0.25" r="753" customHeight="1" ht="15.75">
      <c r="A753" s="1"/>
      <c r="B753" s="29"/>
      <c r="C753" s="29"/>
      <c r="D753" s="34"/>
      <c r="E753" s="34"/>
      <c r="F753" s="34"/>
      <c r="G753" s="60"/>
      <c r="H753" s="60"/>
      <c r="I753" s="29"/>
      <c r="J753" s="29"/>
      <c r="K753" s="29"/>
      <c r="L753" s="29"/>
      <c r="M753" s="34"/>
      <c r="N753" s="29"/>
      <c r="O753" s="29"/>
      <c r="P753" s="29"/>
      <c r="Q753" s="29"/>
      <c r="R753" s="29"/>
      <c r="S753" s="29"/>
      <c r="T753" s="1"/>
      <c r="U753" s="34"/>
      <c r="V753" s="34"/>
    </row>
    <row x14ac:dyDescent="0.25" r="754" customHeight="1" ht="15.75">
      <c r="A754" s="1"/>
      <c r="B754" s="29"/>
      <c r="C754" s="29"/>
      <c r="D754" s="34"/>
      <c r="E754" s="34"/>
      <c r="F754" s="34"/>
      <c r="G754" s="60"/>
      <c r="H754" s="60"/>
      <c r="I754" s="29"/>
      <c r="J754" s="29"/>
      <c r="K754" s="29"/>
      <c r="L754" s="29"/>
      <c r="M754" s="34"/>
      <c r="N754" s="29"/>
      <c r="O754" s="29"/>
      <c r="P754" s="29"/>
      <c r="Q754" s="29"/>
      <c r="R754" s="29"/>
      <c r="S754" s="29"/>
      <c r="T754" s="1"/>
      <c r="U754" s="34"/>
      <c r="V754" s="34"/>
    </row>
    <row x14ac:dyDescent="0.25" r="755" customHeight="1" ht="15.75">
      <c r="A755" s="1"/>
      <c r="B755" s="29"/>
      <c r="C755" s="29"/>
      <c r="D755" s="34"/>
      <c r="E755" s="34"/>
      <c r="F755" s="34"/>
      <c r="G755" s="60"/>
      <c r="H755" s="60"/>
      <c r="I755" s="29"/>
      <c r="J755" s="29"/>
      <c r="K755" s="29"/>
      <c r="L755" s="29"/>
      <c r="M755" s="34"/>
      <c r="N755" s="29"/>
      <c r="O755" s="29"/>
      <c r="P755" s="29"/>
      <c r="Q755" s="29"/>
      <c r="R755" s="29"/>
      <c r="S755" s="29"/>
      <c r="T755" s="1"/>
      <c r="U755" s="34"/>
      <c r="V755" s="34"/>
    </row>
    <row x14ac:dyDescent="0.25" r="756" customHeight="1" ht="15.75">
      <c r="A756" s="1"/>
      <c r="B756" s="29"/>
      <c r="C756" s="29"/>
      <c r="D756" s="34"/>
      <c r="E756" s="34"/>
      <c r="F756" s="34"/>
      <c r="G756" s="60"/>
      <c r="H756" s="60"/>
      <c r="I756" s="29"/>
      <c r="J756" s="29"/>
      <c r="K756" s="29"/>
      <c r="L756" s="29"/>
      <c r="M756" s="34"/>
      <c r="N756" s="29"/>
      <c r="O756" s="29"/>
      <c r="P756" s="29"/>
      <c r="Q756" s="29"/>
      <c r="R756" s="29"/>
      <c r="S756" s="29"/>
      <c r="T756" s="1"/>
      <c r="U756" s="34"/>
      <c r="V756" s="34"/>
    </row>
    <row x14ac:dyDescent="0.25" r="757" customHeight="1" ht="15.75">
      <c r="A757" s="1"/>
      <c r="B757" s="29"/>
      <c r="C757" s="29"/>
      <c r="D757" s="34"/>
      <c r="E757" s="34"/>
      <c r="F757" s="34"/>
      <c r="G757" s="60"/>
      <c r="H757" s="60"/>
      <c r="I757" s="29"/>
      <c r="J757" s="29"/>
      <c r="K757" s="29"/>
      <c r="L757" s="29"/>
      <c r="M757" s="34"/>
      <c r="N757" s="29"/>
      <c r="O757" s="29"/>
      <c r="P757" s="29"/>
      <c r="Q757" s="29"/>
      <c r="R757" s="29"/>
      <c r="S757" s="29"/>
      <c r="T757" s="1"/>
      <c r="U757" s="34"/>
      <c r="V757" s="34"/>
    </row>
    <row x14ac:dyDescent="0.25" r="758" customHeight="1" ht="15.75">
      <c r="A758" s="1"/>
      <c r="B758" s="29"/>
      <c r="C758" s="29"/>
      <c r="D758" s="34"/>
      <c r="E758" s="34"/>
      <c r="F758" s="34"/>
      <c r="G758" s="60"/>
      <c r="H758" s="60"/>
      <c r="I758" s="29"/>
      <c r="J758" s="29"/>
      <c r="K758" s="29"/>
      <c r="L758" s="29"/>
      <c r="M758" s="34"/>
      <c r="N758" s="29"/>
      <c r="O758" s="29"/>
      <c r="P758" s="29"/>
      <c r="Q758" s="29"/>
      <c r="R758" s="29"/>
      <c r="S758" s="29"/>
      <c r="T758" s="1"/>
      <c r="U758" s="34"/>
      <c r="V758" s="34"/>
    </row>
    <row x14ac:dyDescent="0.25" r="759" customHeight="1" ht="15.75">
      <c r="A759" s="1"/>
      <c r="B759" s="29"/>
      <c r="C759" s="29"/>
      <c r="D759" s="34"/>
      <c r="E759" s="34"/>
      <c r="F759" s="34"/>
      <c r="G759" s="60"/>
      <c r="H759" s="60"/>
      <c r="I759" s="29"/>
      <c r="J759" s="29"/>
      <c r="K759" s="29"/>
      <c r="L759" s="29"/>
      <c r="M759" s="34"/>
      <c r="N759" s="29"/>
      <c r="O759" s="29"/>
      <c r="P759" s="29"/>
      <c r="Q759" s="29"/>
      <c r="R759" s="29"/>
      <c r="S759" s="29"/>
      <c r="T759" s="1"/>
      <c r="U759" s="34"/>
      <c r="V759" s="34"/>
    </row>
    <row x14ac:dyDescent="0.25" r="760" customHeight="1" ht="15.75">
      <c r="A760" s="1"/>
      <c r="B760" s="29"/>
      <c r="C760" s="29"/>
      <c r="D760" s="34"/>
      <c r="E760" s="34"/>
      <c r="F760" s="34"/>
      <c r="G760" s="60"/>
      <c r="H760" s="60"/>
      <c r="I760" s="29"/>
      <c r="J760" s="29"/>
      <c r="K760" s="29"/>
      <c r="L760" s="29"/>
      <c r="M760" s="34"/>
      <c r="N760" s="29"/>
      <c r="O760" s="29"/>
      <c r="P760" s="29"/>
      <c r="Q760" s="29"/>
      <c r="R760" s="29"/>
      <c r="S760" s="29"/>
      <c r="T760" s="1"/>
      <c r="U760" s="34"/>
      <c r="V760" s="34"/>
    </row>
    <row x14ac:dyDescent="0.25" r="761" customHeight="1" ht="15.75">
      <c r="A761" s="1"/>
      <c r="B761" s="29"/>
      <c r="C761" s="29"/>
      <c r="D761" s="34"/>
      <c r="E761" s="34"/>
      <c r="F761" s="34"/>
      <c r="G761" s="60"/>
      <c r="H761" s="60"/>
      <c r="I761" s="29"/>
      <c r="J761" s="29"/>
      <c r="K761" s="29"/>
      <c r="L761" s="29"/>
      <c r="M761" s="34"/>
      <c r="N761" s="29"/>
      <c r="O761" s="29"/>
      <c r="P761" s="29"/>
      <c r="Q761" s="29"/>
      <c r="R761" s="29"/>
      <c r="S761" s="29"/>
      <c r="T761" s="1"/>
      <c r="U761" s="34"/>
      <c r="V761" s="34"/>
    </row>
    <row x14ac:dyDescent="0.25" r="762" customHeight="1" ht="15.75">
      <c r="A762" s="1"/>
      <c r="B762" s="29"/>
      <c r="C762" s="29"/>
      <c r="D762" s="34"/>
      <c r="E762" s="34"/>
      <c r="F762" s="34"/>
      <c r="G762" s="60"/>
      <c r="H762" s="60"/>
      <c r="I762" s="29"/>
      <c r="J762" s="29"/>
      <c r="K762" s="29"/>
      <c r="L762" s="29"/>
      <c r="M762" s="34"/>
      <c r="N762" s="29"/>
      <c r="O762" s="29"/>
      <c r="P762" s="29"/>
      <c r="Q762" s="29"/>
      <c r="R762" s="29"/>
      <c r="S762" s="29"/>
      <c r="T762" s="1"/>
      <c r="U762" s="34"/>
      <c r="V762" s="34"/>
    </row>
    <row x14ac:dyDescent="0.25" r="763" customHeight="1" ht="15.75">
      <c r="A763" s="1"/>
      <c r="B763" s="29"/>
      <c r="C763" s="29"/>
      <c r="D763" s="34"/>
      <c r="E763" s="34"/>
      <c r="F763" s="34"/>
      <c r="G763" s="60"/>
      <c r="H763" s="60"/>
      <c r="I763" s="29"/>
      <c r="J763" s="29"/>
      <c r="K763" s="29"/>
      <c r="L763" s="29"/>
      <c r="M763" s="34"/>
      <c r="N763" s="29"/>
      <c r="O763" s="29"/>
      <c r="P763" s="29"/>
      <c r="Q763" s="29"/>
      <c r="R763" s="29"/>
      <c r="S763" s="29"/>
      <c r="T763" s="1"/>
      <c r="U763" s="34"/>
      <c r="V763" s="34"/>
    </row>
    <row x14ac:dyDescent="0.25" r="764" customHeight="1" ht="15.75">
      <c r="A764" s="1"/>
      <c r="B764" s="29"/>
      <c r="C764" s="29"/>
      <c r="D764" s="34"/>
      <c r="E764" s="34"/>
      <c r="F764" s="34"/>
      <c r="G764" s="60"/>
      <c r="H764" s="60"/>
      <c r="I764" s="29"/>
      <c r="J764" s="29"/>
      <c r="K764" s="29"/>
      <c r="L764" s="29"/>
      <c r="M764" s="34"/>
      <c r="N764" s="29"/>
      <c r="O764" s="29"/>
      <c r="P764" s="29"/>
      <c r="Q764" s="29"/>
      <c r="R764" s="29"/>
      <c r="S764" s="29"/>
      <c r="T764" s="1"/>
      <c r="U764" s="34"/>
      <c r="V764" s="34"/>
    </row>
    <row x14ac:dyDescent="0.25" r="765" customHeight="1" ht="15.75">
      <c r="A765" s="1"/>
      <c r="B765" s="29"/>
      <c r="C765" s="29"/>
      <c r="D765" s="34"/>
      <c r="E765" s="34"/>
      <c r="F765" s="34"/>
      <c r="G765" s="60"/>
      <c r="H765" s="60"/>
      <c r="I765" s="29"/>
      <c r="J765" s="29"/>
      <c r="K765" s="29"/>
      <c r="L765" s="29"/>
      <c r="M765" s="34"/>
      <c r="N765" s="29"/>
      <c r="O765" s="29"/>
      <c r="P765" s="29"/>
      <c r="Q765" s="29"/>
      <c r="R765" s="29"/>
      <c r="S765" s="29"/>
      <c r="T765" s="1"/>
      <c r="U765" s="34"/>
      <c r="V765" s="34"/>
    </row>
    <row x14ac:dyDescent="0.25" r="766" customHeight="1" ht="15.75">
      <c r="A766" s="1"/>
      <c r="B766" s="29"/>
      <c r="C766" s="29"/>
      <c r="D766" s="34"/>
      <c r="E766" s="34"/>
      <c r="F766" s="34"/>
      <c r="G766" s="60"/>
      <c r="H766" s="60"/>
      <c r="I766" s="29"/>
      <c r="J766" s="29"/>
      <c r="K766" s="29"/>
      <c r="L766" s="29"/>
      <c r="M766" s="34"/>
      <c r="N766" s="29"/>
      <c r="O766" s="29"/>
      <c r="P766" s="29"/>
      <c r="Q766" s="29"/>
      <c r="R766" s="29"/>
      <c r="S766" s="29"/>
      <c r="T766" s="1"/>
      <c r="U766" s="34"/>
      <c r="V766" s="34"/>
    </row>
    <row x14ac:dyDescent="0.25" r="767" customHeight="1" ht="15.75">
      <c r="A767" s="1"/>
      <c r="B767" s="29"/>
      <c r="C767" s="29"/>
      <c r="D767" s="34"/>
      <c r="E767" s="34"/>
      <c r="F767" s="34"/>
      <c r="G767" s="60"/>
      <c r="H767" s="60"/>
      <c r="I767" s="29"/>
      <c r="J767" s="29"/>
      <c r="K767" s="29"/>
      <c r="L767" s="29"/>
      <c r="M767" s="34"/>
      <c r="N767" s="29"/>
      <c r="O767" s="29"/>
      <c r="P767" s="29"/>
      <c r="Q767" s="29"/>
      <c r="R767" s="29"/>
      <c r="S767" s="29"/>
      <c r="T767" s="1"/>
      <c r="U767" s="34"/>
      <c r="V767" s="34"/>
    </row>
    <row x14ac:dyDescent="0.25" r="768" customHeight="1" ht="15.75">
      <c r="A768" s="1"/>
      <c r="B768" s="29"/>
      <c r="C768" s="29"/>
      <c r="D768" s="34"/>
      <c r="E768" s="34"/>
      <c r="F768" s="34"/>
      <c r="G768" s="60"/>
      <c r="H768" s="60"/>
      <c r="I768" s="29"/>
      <c r="J768" s="29"/>
      <c r="K768" s="29"/>
      <c r="L768" s="29"/>
      <c r="M768" s="34"/>
      <c r="N768" s="29"/>
      <c r="O768" s="29"/>
      <c r="P768" s="29"/>
      <c r="Q768" s="29"/>
      <c r="R768" s="29"/>
      <c r="S768" s="29"/>
      <c r="T768" s="1"/>
      <c r="U768" s="34"/>
      <c r="V768" s="34"/>
    </row>
    <row x14ac:dyDescent="0.25" r="769" customHeight="1" ht="15.75">
      <c r="A769" s="1"/>
      <c r="B769" s="29"/>
      <c r="C769" s="29"/>
      <c r="D769" s="34"/>
      <c r="E769" s="34"/>
      <c r="F769" s="34"/>
      <c r="G769" s="60"/>
      <c r="H769" s="60"/>
      <c r="I769" s="29"/>
      <c r="J769" s="29"/>
      <c r="K769" s="29"/>
      <c r="L769" s="29"/>
      <c r="M769" s="34"/>
      <c r="N769" s="29"/>
      <c r="O769" s="29"/>
      <c r="P769" s="29"/>
      <c r="Q769" s="29"/>
      <c r="R769" s="29"/>
      <c r="S769" s="29"/>
      <c r="T769" s="1"/>
      <c r="U769" s="34"/>
      <c r="V769" s="34"/>
    </row>
    <row x14ac:dyDescent="0.25" r="770" customHeight="1" ht="15.75">
      <c r="A770" s="1"/>
      <c r="B770" s="29"/>
      <c r="C770" s="29"/>
      <c r="D770" s="34"/>
      <c r="E770" s="34"/>
      <c r="F770" s="34"/>
      <c r="G770" s="60"/>
      <c r="H770" s="60"/>
      <c r="I770" s="29"/>
      <c r="J770" s="29"/>
      <c r="K770" s="29"/>
      <c r="L770" s="29"/>
      <c r="M770" s="34"/>
      <c r="N770" s="29"/>
      <c r="O770" s="29"/>
      <c r="P770" s="29"/>
      <c r="Q770" s="29"/>
      <c r="R770" s="29"/>
      <c r="S770" s="29"/>
      <c r="T770" s="1"/>
      <c r="U770" s="34"/>
      <c r="V770" s="34"/>
    </row>
    <row x14ac:dyDescent="0.25" r="771" customHeight="1" ht="15.75">
      <c r="A771" s="1"/>
      <c r="B771" s="29"/>
      <c r="C771" s="29"/>
      <c r="D771" s="34"/>
      <c r="E771" s="34"/>
      <c r="F771" s="34"/>
      <c r="G771" s="60"/>
      <c r="H771" s="60"/>
      <c r="I771" s="29"/>
      <c r="J771" s="29"/>
      <c r="K771" s="29"/>
      <c r="L771" s="29"/>
      <c r="M771" s="34"/>
      <c r="N771" s="29"/>
      <c r="O771" s="29"/>
      <c r="P771" s="29"/>
      <c r="Q771" s="29"/>
      <c r="R771" s="29"/>
      <c r="S771" s="29"/>
      <c r="T771" s="1"/>
      <c r="U771" s="34"/>
      <c r="V771" s="34"/>
    </row>
    <row x14ac:dyDescent="0.25" r="772" customHeight="1" ht="15.75">
      <c r="A772" s="1"/>
      <c r="B772" s="29"/>
      <c r="C772" s="29"/>
      <c r="D772" s="34"/>
      <c r="E772" s="34"/>
      <c r="F772" s="34"/>
      <c r="G772" s="60"/>
      <c r="H772" s="60"/>
      <c r="I772" s="29"/>
      <c r="J772" s="29"/>
      <c r="K772" s="29"/>
      <c r="L772" s="29"/>
      <c r="M772" s="34"/>
      <c r="N772" s="29"/>
      <c r="O772" s="29"/>
      <c r="P772" s="29"/>
      <c r="Q772" s="29"/>
      <c r="R772" s="29"/>
      <c r="S772" s="29"/>
      <c r="T772" s="1"/>
      <c r="U772" s="34"/>
      <c r="V772" s="34"/>
    </row>
    <row x14ac:dyDescent="0.25" r="773" customHeight="1" ht="15.75">
      <c r="A773" s="1"/>
      <c r="B773" s="29"/>
      <c r="C773" s="29"/>
      <c r="D773" s="34"/>
      <c r="E773" s="34"/>
      <c r="F773" s="34"/>
      <c r="G773" s="60"/>
      <c r="H773" s="60"/>
      <c r="I773" s="29"/>
      <c r="J773" s="29"/>
      <c r="K773" s="29"/>
      <c r="L773" s="29"/>
      <c r="M773" s="34"/>
      <c r="N773" s="29"/>
      <c r="O773" s="29"/>
      <c r="P773" s="29"/>
      <c r="Q773" s="29"/>
      <c r="R773" s="29"/>
      <c r="S773" s="29"/>
      <c r="T773" s="1"/>
      <c r="U773" s="34"/>
      <c r="V773" s="34"/>
    </row>
    <row x14ac:dyDescent="0.25" r="774" customHeight="1" ht="15.75">
      <c r="A774" s="1"/>
      <c r="B774" s="29"/>
      <c r="C774" s="29"/>
      <c r="D774" s="34"/>
      <c r="E774" s="34"/>
      <c r="F774" s="34"/>
      <c r="G774" s="60"/>
      <c r="H774" s="60"/>
      <c r="I774" s="29"/>
      <c r="J774" s="29"/>
      <c r="K774" s="29"/>
      <c r="L774" s="29"/>
      <c r="M774" s="34"/>
      <c r="N774" s="29"/>
      <c r="O774" s="29"/>
      <c r="P774" s="29"/>
      <c r="Q774" s="29"/>
      <c r="R774" s="29"/>
      <c r="S774" s="29"/>
      <c r="T774" s="1"/>
      <c r="U774" s="34"/>
      <c r="V774" s="34"/>
    </row>
    <row x14ac:dyDescent="0.25" r="775" customHeight="1" ht="15.75">
      <c r="A775" s="1"/>
      <c r="B775" s="29"/>
      <c r="C775" s="29"/>
      <c r="D775" s="34"/>
      <c r="E775" s="34"/>
      <c r="F775" s="34"/>
      <c r="G775" s="60"/>
      <c r="H775" s="60"/>
      <c r="I775" s="29"/>
      <c r="J775" s="29"/>
      <c r="K775" s="29"/>
      <c r="L775" s="29"/>
      <c r="M775" s="34"/>
      <c r="N775" s="29"/>
      <c r="O775" s="29"/>
      <c r="P775" s="29"/>
      <c r="Q775" s="29"/>
      <c r="R775" s="29"/>
      <c r="S775" s="29"/>
      <c r="T775" s="1"/>
      <c r="U775" s="34"/>
      <c r="V775" s="34"/>
    </row>
    <row x14ac:dyDescent="0.25" r="776" customHeight="1" ht="15.75">
      <c r="A776" s="1"/>
      <c r="B776" s="29"/>
      <c r="C776" s="29"/>
      <c r="D776" s="34"/>
      <c r="E776" s="34"/>
      <c r="F776" s="34"/>
      <c r="G776" s="60"/>
      <c r="H776" s="60"/>
      <c r="I776" s="29"/>
      <c r="J776" s="29"/>
      <c r="K776" s="29"/>
      <c r="L776" s="29"/>
      <c r="M776" s="34"/>
      <c r="N776" s="29"/>
      <c r="O776" s="29"/>
      <c r="P776" s="29"/>
      <c r="Q776" s="29"/>
      <c r="R776" s="29"/>
      <c r="S776" s="29"/>
      <c r="T776" s="1"/>
      <c r="U776" s="34"/>
      <c r="V776" s="34"/>
    </row>
    <row x14ac:dyDescent="0.25" r="777" customHeight="1" ht="15.75">
      <c r="A777" s="1"/>
      <c r="B777" s="29"/>
      <c r="C777" s="29"/>
      <c r="D777" s="34"/>
      <c r="E777" s="34"/>
      <c r="F777" s="34"/>
      <c r="G777" s="60"/>
      <c r="H777" s="60"/>
      <c r="I777" s="29"/>
      <c r="J777" s="29"/>
      <c r="K777" s="29"/>
      <c r="L777" s="29"/>
      <c r="M777" s="34"/>
      <c r="N777" s="29"/>
      <c r="O777" s="29"/>
      <c r="P777" s="29"/>
      <c r="Q777" s="29"/>
      <c r="R777" s="29"/>
      <c r="S777" s="29"/>
      <c r="T777" s="1"/>
      <c r="U777" s="34"/>
      <c r="V777" s="34"/>
    </row>
    <row x14ac:dyDescent="0.25" r="778" customHeight="1" ht="15.75">
      <c r="A778" s="1"/>
      <c r="B778" s="29"/>
      <c r="C778" s="29"/>
      <c r="D778" s="34"/>
      <c r="E778" s="34"/>
      <c r="F778" s="34"/>
      <c r="G778" s="60"/>
      <c r="H778" s="60"/>
      <c r="I778" s="29"/>
      <c r="J778" s="29"/>
      <c r="K778" s="29"/>
      <c r="L778" s="29"/>
      <c r="M778" s="34"/>
      <c r="N778" s="29"/>
      <c r="O778" s="29"/>
      <c r="P778" s="29"/>
      <c r="Q778" s="29"/>
      <c r="R778" s="29"/>
      <c r="S778" s="29"/>
      <c r="T778" s="1"/>
      <c r="U778" s="34"/>
      <c r="V778" s="34"/>
    </row>
    <row x14ac:dyDescent="0.25" r="779" customHeight="1" ht="15.75">
      <c r="A779" s="1"/>
      <c r="B779" s="29"/>
      <c r="C779" s="29"/>
      <c r="D779" s="34"/>
      <c r="E779" s="34"/>
      <c r="F779" s="34"/>
      <c r="G779" s="60"/>
      <c r="H779" s="60"/>
      <c r="I779" s="29"/>
      <c r="J779" s="29"/>
      <c r="K779" s="29"/>
      <c r="L779" s="29"/>
      <c r="M779" s="34"/>
      <c r="N779" s="29"/>
      <c r="O779" s="29"/>
      <c r="P779" s="29"/>
      <c r="Q779" s="29"/>
      <c r="R779" s="29"/>
      <c r="S779" s="29"/>
      <c r="T779" s="1"/>
      <c r="U779" s="34"/>
      <c r="V779" s="34"/>
    </row>
    <row x14ac:dyDescent="0.25" r="780" customHeight="1" ht="15.75">
      <c r="A780" s="1"/>
      <c r="B780" s="29"/>
      <c r="C780" s="29"/>
      <c r="D780" s="34"/>
      <c r="E780" s="34"/>
      <c r="F780" s="34"/>
      <c r="G780" s="60"/>
      <c r="H780" s="60"/>
      <c r="I780" s="29"/>
      <c r="J780" s="29"/>
      <c r="K780" s="29"/>
      <c r="L780" s="29"/>
      <c r="M780" s="34"/>
      <c r="N780" s="29"/>
      <c r="O780" s="29"/>
      <c r="P780" s="29"/>
      <c r="Q780" s="29"/>
      <c r="R780" s="29"/>
      <c r="S780" s="29"/>
      <c r="T780" s="1"/>
      <c r="U780" s="34"/>
      <c r="V780" s="34"/>
    </row>
    <row x14ac:dyDescent="0.25" r="781" customHeight="1" ht="15.75">
      <c r="A781" s="1"/>
      <c r="B781" s="29"/>
      <c r="C781" s="29"/>
      <c r="D781" s="34"/>
      <c r="E781" s="34"/>
      <c r="F781" s="34"/>
      <c r="G781" s="60"/>
      <c r="H781" s="60"/>
      <c r="I781" s="29"/>
      <c r="J781" s="29"/>
      <c r="K781" s="29"/>
      <c r="L781" s="29"/>
      <c r="M781" s="34"/>
      <c r="N781" s="29"/>
      <c r="O781" s="29"/>
      <c r="P781" s="29"/>
      <c r="Q781" s="29"/>
      <c r="R781" s="29"/>
      <c r="S781" s="29"/>
      <c r="T781" s="1"/>
      <c r="U781" s="34"/>
      <c r="V781" s="34"/>
    </row>
    <row x14ac:dyDescent="0.25" r="782" customHeight="1" ht="15.75">
      <c r="A782" s="1"/>
      <c r="B782" s="29"/>
      <c r="C782" s="29"/>
      <c r="D782" s="34"/>
      <c r="E782" s="34"/>
      <c r="F782" s="34"/>
      <c r="G782" s="60"/>
      <c r="H782" s="60"/>
      <c r="I782" s="29"/>
      <c r="J782" s="29"/>
      <c r="K782" s="29"/>
      <c r="L782" s="29"/>
      <c r="M782" s="34"/>
      <c r="N782" s="29"/>
      <c r="O782" s="29"/>
      <c r="P782" s="29"/>
      <c r="Q782" s="29"/>
      <c r="R782" s="29"/>
      <c r="S782" s="29"/>
      <c r="T782" s="1"/>
      <c r="U782" s="34"/>
      <c r="V782" s="34"/>
    </row>
    <row x14ac:dyDescent="0.25" r="783" customHeight="1" ht="15.75">
      <c r="A783" s="1"/>
      <c r="B783" s="29"/>
      <c r="C783" s="29"/>
      <c r="D783" s="34"/>
      <c r="E783" s="34"/>
      <c r="F783" s="34"/>
      <c r="G783" s="60"/>
      <c r="H783" s="60"/>
      <c r="I783" s="29"/>
      <c r="J783" s="29"/>
      <c r="K783" s="29"/>
      <c r="L783" s="29"/>
      <c r="M783" s="34"/>
      <c r="N783" s="29"/>
      <c r="O783" s="29"/>
      <c r="P783" s="29"/>
      <c r="Q783" s="29"/>
      <c r="R783" s="29"/>
      <c r="S783" s="29"/>
      <c r="T783" s="1"/>
      <c r="U783" s="34"/>
      <c r="V783" s="34"/>
    </row>
    <row x14ac:dyDescent="0.25" r="784" customHeight="1" ht="15.75">
      <c r="A784" s="1"/>
      <c r="B784" s="29"/>
      <c r="C784" s="29"/>
      <c r="D784" s="34"/>
      <c r="E784" s="34"/>
      <c r="F784" s="34"/>
      <c r="G784" s="60"/>
      <c r="H784" s="60"/>
      <c r="I784" s="29"/>
      <c r="J784" s="29"/>
      <c r="K784" s="29"/>
      <c r="L784" s="29"/>
      <c r="M784" s="34"/>
      <c r="N784" s="29"/>
      <c r="O784" s="29"/>
      <c r="P784" s="29"/>
      <c r="Q784" s="29"/>
      <c r="R784" s="29"/>
      <c r="S784" s="29"/>
      <c r="T784" s="1"/>
      <c r="U784" s="34"/>
      <c r="V784" s="34"/>
    </row>
    <row x14ac:dyDescent="0.25" r="785" customHeight="1" ht="15.75">
      <c r="A785" s="1"/>
      <c r="B785" s="29"/>
      <c r="C785" s="29"/>
      <c r="D785" s="34"/>
      <c r="E785" s="34"/>
      <c r="F785" s="34"/>
      <c r="G785" s="60"/>
      <c r="H785" s="60"/>
      <c r="I785" s="29"/>
      <c r="J785" s="29"/>
      <c r="K785" s="29"/>
      <c r="L785" s="29"/>
      <c r="M785" s="34"/>
      <c r="N785" s="29"/>
      <c r="O785" s="29"/>
      <c r="P785" s="29"/>
      <c r="Q785" s="29"/>
      <c r="R785" s="29"/>
      <c r="S785" s="29"/>
      <c r="T785" s="1"/>
      <c r="U785" s="34"/>
      <c r="V785" s="34"/>
    </row>
    <row x14ac:dyDescent="0.25" r="786" customHeight="1" ht="15.75">
      <c r="A786" s="1"/>
      <c r="B786" s="29"/>
      <c r="C786" s="29"/>
      <c r="D786" s="34"/>
      <c r="E786" s="34"/>
      <c r="F786" s="34"/>
      <c r="G786" s="60"/>
      <c r="H786" s="60"/>
      <c r="I786" s="29"/>
      <c r="J786" s="29"/>
      <c r="K786" s="29"/>
      <c r="L786" s="29"/>
      <c r="M786" s="34"/>
      <c r="N786" s="29"/>
      <c r="O786" s="29"/>
      <c r="P786" s="29"/>
      <c r="Q786" s="29"/>
      <c r="R786" s="29"/>
      <c r="S786" s="29"/>
      <c r="T786" s="1"/>
      <c r="U786" s="34"/>
      <c r="V786" s="34"/>
    </row>
    <row x14ac:dyDescent="0.25" r="787" customHeight="1" ht="15.75">
      <c r="A787" s="1"/>
      <c r="B787" s="29"/>
      <c r="C787" s="29"/>
      <c r="D787" s="34"/>
      <c r="E787" s="34"/>
      <c r="F787" s="34"/>
      <c r="G787" s="60"/>
      <c r="H787" s="60"/>
      <c r="I787" s="29"/>
      <c r="J787" s="29"/>
      <c r="K787" s="29"/>
      <c r="L787" s="29"/>
      <c r="M787" s="34"/>
      <c r="N787" s="29"/>
      <c r="O787" s="29"/>
      <c r="P787" s="29"/>
      <c r="Q787" s="29"/>
      <c r="R787" s="29"/>
      <c r="S787" s="29"/>
      <c r="T787" s="1"/>
      <c r="U787" s="34"/>
      <c r="V787" s="34"/>
    </row>
    <row x14ac:dyDescent="0.25" r="788" customHeight="1" ht="15.75">
      <c r="A788" s="1"/>
      <c r="B788" s="29"/>
      <c r="C788" s="29"/>
      <c r="D788" s="34"/>
      <c r="E788" s="34"/>
      <c r="F788" s="34"/>
      <c r="G788" s="60"/>
      <c r="H788" s="60"/>
      <c r="I788" s="29"/>
      <c r="J788" s="29"/>
      <c r="K788" s="29"/>
      <c r="L788" s="29"/>
      <c r="M788" s="34"/>
      <c r="N788" s="29"/>
      <c r="O788" s="29"/>
      <c r="P788" s="29"/>
      <c r="Q788" s="29"/>
      <c r="R788" s="29"/>
      <c r="S788" s="29"/>
      <c r="T788" s="1"/>
      <c r="U788" s="34"/>
      <c r="V788" s="34"/>
    </row>
    <row x14ac:dyDescent="0.25" r="789" customHeight="1" ht="15.75">
      <c r="A789" s="1"/>
      <c r="B789" s="29"/>
      <c r="C789" s="29"/>
      <c r="D789" s="34"/>
      <c r="E789" s="34"/>
      <c r="F789" s="34"/>
      <c r="G789" s="60"/>
      <c r="H789" s="60"/>
      <c r="I789" s="29"/>
      <c r="J789" s="29"/>
      <c r="K789" s="29"/>
      <c r="L789" s="29"/>
      <c r="M789" s="34"/>
      <c r="N789" s="29"/>
      <c r="O789" s="29"/>
      <c r="P789" s="29"/>
      <c r="Q789" s="29"/>
      <c r="R789" s="29"/>
      <c r="S789" s="29"/>
      <c r="T789" s="1"/>
      <c r="U789" s="34"/>
      <c r="V789" s="34"/>
    </row>
    <row x14ac:dyDescent="0.25" r="790" customHeight="1" ht="15.75">
      <c r="A790" s="1"/>
      <c r="B790" s="29"/>
      <c r="C790" s="29"/>
      <c r="D790" s="34"/>
      <c r="E790" s="34"/>
      <c r="F790" s="34"/>
      <c r="G790" s="60"/>
      <c r="H790" s="60"/>
      <c r="I790" s="29"/>
      <c r="J790" s="29"/>
      <c r="K790" s="29"/>
      <c r="L790" s="29"/>
      <c r="M790" s="34"/>
      <c r="N790" s="29"/>
      <c r="O790" s="29"/>
      <c r="P790" s="29"/>
      <c r="Q790" s="29"/>
      <c r="R790" s="29"/>
      <c r="S790" s="29"/>
      <c r="T790" s="1"/>
      <c r="U790" s="34"/>
      <c r="V790" s="34"/>
    </row>
    <row x14ac:dyDescent="0.25" r="791" customHeight="1" ht="15.75">
      <c r="A791" s="1"/>
      <c r="B791" s="29"/>
      <c r="C791" s="29"/>
      <c r="D791" s="34"/>
      <c r="E791" s="34"/>
      <c r="F791" s="34"/>
      <c r="G791" s="60"/>
      <c r="H791" s="60"/>
      <c r="I791" s="29"/>
      <c r="J791" s="29"/>
      <c r="K791" s="29"/>
      <c r="L791" s="29"/>
      <c r="M791" s="34"/>
      <c r="N791" s="29"/>
      <c r="O791" s="29"/>
      <c r="P791" s="29"/>
      <c r="Q791" s="29"/>
      <c r="R791" s="29"/>
      <c r="S791" s="29"/>
      <c r="T791" s="1"/>
      <c r="U791" s="34"/>
      <c r="V791" s="34"/>
    </row>
    <row x14ac:dyDescent="0.25" r="792" customHeight="1" ht="15.75">
      <c r="A792" s="1"/>
      <c r="B792" s="29"/>
      <c r="C792" s="29"/>
      <c r="D792" s="34"/>
      <c r="E792" s="34"/>
      <c r="F792" s="34"/>
      <c r="G792" s="60"/>
      <c r="H792" s="60"/>
      <c r="I792" s="29"/>
      <c r="J792" s="29"/>
      <c r="K792" s="29"/>
      <c r="L792" s="29"/>
      <c r="M792" s="34"/>
      <c r="N792" s="29"/>
      <c r="O792" s="29"/>
      <c r="P792" s="29"/>
      <c r="Q792" s="29"/>
      <c r="R792" s="29"/>
      <c r="S792" s="29"/>
      <c r="T792" s="1"/>
      <c r="U792" s="34"/>
      <c r="V792" s="34"/>
    </row>
    <row x14ac:dyDescent="0.25" r="793" customHeight="1" ht="15.75">
      <c r="A793" s="1"/>
      <c r="B793" s="29"/>
      <c r="C793" s="29"/>
      <c r="D793" s="34"/>
      <c r="E793" s="34"/>
      <c r="F793" s="34"/>
      <c r="G793" s="60"/>
      <c r="H793" s="60"/>
      <c r="I793" s="29"/>
      <c r="J793" s="29"/>
      <c r="K793" s="29"/>
      <c r="L793" s="29"/>
      <c r="M793" s="34"/>
      <c r="N793" s="29"/>
      <c r="O793" s="29"/>
      <c r="P793" s="29"/>
      <c r="Q793" s="29"/>
      <c r="R793" s="29"/>
      <c r="S793" s="29"/>
      <c r="T793" s="1"/>
      <c r="U793" s="34"/>
      <c r="V793" s="34"/>
    </row>
    <row x14ac:dyDescent="0.25" r="794" customHeight="1" ht="15.75">
      <c r="A794" s="1"/>
      <c r="B794" s="29"/>
      <c r="C794" s="29"/>
      <c r="D794" s="34"/>
      <c r="E794" s="34"/>
      <c r="F794" s="34"/>
      <c r="G794" s="60"/>
      <c r="H794" s="60"/>
      <c r="I794" s="29"/>
      <c r="J794" s="29"/>
      <c r="K794" s="29"/>
      <c r="L794" s="29"/>
      <c r="M794" s="34"/>
      <c r="N794" s="29"/>
      <c r="O794" s="29"/>
      <c r="P794" s="29"/>
      <c r="Q794" s="29"/>
      <c r="R794" s="29"/>
      <c r="S794" s="29"/>
      <c r="T794" s="1"/>
      <c r="U794" s="34"/>
      <c r="V794" s="34"/>
    </row>
    <row x14ac:dyDescent="0.25" r="795" customHeight="1" ht="15.75">
      <c r="A795" s="1"/>
      <c r="B795" s="29"/>
      <c r="C795" s="29"/>
      <c r="D795" s="34"/>
      <c r="E795" s="34"/>
      <c r="F795" s="34"/>
      <c r="G795" s="60"/>
      <c r="H795" s="60"/>
      <c r="I795" s="29"/>
      <c r="J795" s="29"/>
      <c r="K795" s="29"/>
      <c r="L795" s="29"/>
      <c r="M795" s="34"/>
      <c r="N795" s="29"/>
      <c r="O795" s="29"/>
      <c r="P795" s="29"/>
      <c r="Q795" s="29"/>
      <c r="R795" s="29"/>
      <c r="S795" s="29"/>
      <c r="T795" s="1"/>
      <c r="U795" s="34"/>
      <c r="V795" s="34"/>
    </row>
    <row x14ac:dyDescent="0.25" r="796" customHeight="1" ht="15.75">
      <c r="A796" s="1"/>
      <c r="B796" s="29"/>
      <c r="C796" s="29"/>
      <c r="D796" s="34"/>
      <c r="E796" s="34"/>
      <c r="F796" s="34"/>
      <c r="G796" s="60"/>
      <c r="H796" s="60"/>
      <c r="I796" s="29"/>
      <c r="J796" s="29"/>
      <c r="K796" s="29"/>
      <c r="L796" s="29"/>
      <c r="M796" s="34"/>
      <c r="N796" s="29"/>
      <c r="O796" s="29"/>
      <c r="P796" s="29"/>
      <c r="Q796" s="29"/>
      <c r="R796" s="29"/>
      <c r="S796" s="29"/>
      <c r="T796" s="1"/>
      <c r="U796" s="34"/>
      <c r="V796" s="34"/>
    </row>
    <row x14ac:dyDescent="0.25" r="797" customHeight="1" ht="15.75">
      <c r="A797" s="1"/>
      <c r="B797" s="29"/>
      <c r="C797" s="29"/>
      <c r="D797" s="34"/>
      <c r="E797" s="34"/>
      <c r="F797" s="34"/>
      <c r="G797" s="60"/>
      <c r="H797" s="60"/>
      <c r="I797" s="29"/>
      <c r="J797" s="29"/>
      <c r="K797" s="29"/>
      <c r="L797" s="29"/>
      <c r="M797" s="34"/>
      <c r="N797" s="29"/>
      <c r="O797" s="29"/>
      <c r="P797" s="29"/>
      <c r="Q797" s="29"/>
      <c r="R797" s="29"/>
      <c r="S797" s="29"/>
      <c r="T797" s="1"/>
      <c r="U797" s="34"/>
      <c r="V797" s="34"/>
    </row>
    <row x14ac:dyDescent="0.25" r="798" customHeight="1" ht="15.75">
      <c r="A798" s="1"/>
      <c r="B798" s="29"/>
      <c r="C798" s="29"/>
      <c r="D798" s="34"/>
      <c r="E798" s="34"/>
      <c r="F798" s="34"/>
      <c r="G798" s="60"/>
      <c r="H798" s="60"/>
      <c r="I798" s="29"/>
      <c r="J798" s="29"/>
      <c r="K798" s="29"/>
      <c r="L798" s="29"/>
      <c r="M798" s="34"/>
      <c r="N798" s="29"/>
      <c r="O798" s="29"/>
      <c r="P798" s="29"/>
      <c r="Q798" s="29"/>
      <c r="R798" s="29"/>
      <c r="S798" s="29"/>
      <c r="T798" s="1"/>
      <c r="U798" s="34"/>
      <c r="V798" s="34"/>
    </row>
    <row x14ac:dyDescent="0.25" r="799" customHeight="1" ht="15.75">
      <c r="A799" s="1"/>
      <c r="B799" s="29"/>
      <c r="C799" s="29"/>
      <c r="D799" s="34"/>
      <c r="E799" s="34"/>
      <c r="F799" s="34"/>
      <c r="G799" s="60"/>
      <c r="H799" s="60"/>
      <c r="I799" s="29"/>
      <c r="J799" s="29"/>
      <c r="K799" s="29"/>
      <c r="L799" s="29"/>
      <c r="M799" s="34"/>
      <c r="N799" s="29"/>
      <c r="O799" s="29"/>
      <c r="P799" s="29"/>
      <c r="Q799" s="29"/>
      <c r="R799" s="29"/>
      <c r="S799" s="29"/>
      <c r="T799" s="1"/>
      <c r="U799" s="34"/>
      <c r="V799" s="34"/>
    </row>
    <row x14ac:dyDescent="0.25" r="800" customHeight="1" ht="15.75">
      <c r="A800" s="1"/>
      <c r="B800" s="29"/>
      <c r="C800" s="29"/>
      <c r="D800" s="34"/>
      <c r="E800" s="34"/>
      <c r="F800" s="34"/>
      <c r="G800" s="60"/>
      <c r="H800" s="60"/>
      <c r="I800" s="29"/>
      <c r="J800" s="29"/>
      <c r="K800" s="29"/>
      <c r="L800" s="29"/>
      <c r="M800" s="34"/>
      <c r="N800" s="29"/>
      <c r="O800" s="29"/>
      <c r="P800" s="29"/>
      <c r="Q800" s="29"/>
      <c r="R800" s="29"/>
      <c r="S800" s="29"/>
      <c r="T800" s="1"/>
      <c r="U800" s="34"/>
      <c r="V800" s="34"/>
    </row>
    <row x14ac:dyDescent="0.25" r="801" customHeight="1" ht="15.75">
      <c r="A801" s="1"/>
      <c r="B801" s="29"/>
      <c r="C801" s="29"/>
      <c r="D801" s="34"/>
      <c r="E801" s="34"/>
      <c r="F801" s="34"/>
      <c r="G801" s="60"/>
      <c r="H801" s="60"/>
      <c r="I801" s="29"/>
      <c r="J801" s="29"/>
      <c r="K801" s="29"/>
      <c r="L801" s="29"/>
      <c r="M801" s="34"/>
      <c r="N801" s="29"/>
      <c r="O801" s="29"/>
      <c r="P801" s="29"/>
      <c r="Q801" s="29"/>
      <c r="R801" s="29"/>
      <c r="S801" s="29"/>
      <c r="T801" s="1"/>
      <c r="U801" s="34"/>
      <c r="V801" s="34"/>
    </row>
    <row x14ac:dyDescent="0.25" r="802" customHeight="1" ht="15.75">
      <c r="A802" s="1"/>
      <c r="B802" s="29"/>
      <c r="C802" s="29"/>
      <c r="D802" s="34"/>
      <c r="E802" s="34"/>
      <c r="F802" s="34"/>
      <c r="G802" s="60"/>
      <c r="H802" s="60"/>
      <c r="I802" s="29"/>
      <c r="J802" s="29"/>
      <c r="K802" s="29"/>
      <c r="L802" s="29"/>
      <c r="M802" s="34"/>
      <c r="N802" s="29"/>
      <c r="O802" s="29"/>
      <c r="P802" s="29"/>
      <c r="Q802" s="29"/>
      <c r="R802" s="29"/>
      <c r="S802" s="29"/>
      <c r="T802" s="1"/>
      <c r="U802" s="34"/>
      <c r="V802" s="34"/>
    </row>
    <row x14ac:dyDescent="0.25" r="803" customHeight="1" ht="15.75">
      <c r="A803" s="1"/>
      <c r="B803" s="29"/>
      <c r="C803" s="29"/>
      <c r="D803" s="34"/>
      <c r="E803" s="34"/>
      <c r="F803" s="34"/>
      <c r="G803" s="60"/>
      <c r="H803" s="60"/>
      <c r="I803" s="29"/>
      <c r="J803" s="29"/>
      <c r="K803" s="29"/>
      <c r="L803" s="29"/>
      <c r="M803" s="34"/>
      <c r="N803" s="29"/>
      <c r="O803" s="29"/>
      <c r="P803" s="29"/>
      <c r="Q803" s="29"/>
      <c r="R803" s="29"/>
      <c r="S803" s="29"/>
      <c r="T803" s="1"/>
      <c r="U803" s="34"/>
      <c r="V803" s="34"/>
    </row>
    <row x14ac:dyDescent="0.25" r="804" customHeight="1" ht="15.75">
      <c r="A804" s="1"/>
      <c r="B804" s="29"/>
      <c r="C804" s="29"/>
      <c r="D804" s="34"/>
      <c r="E804" s="34"/>
      <c r="F804" s="34"/>
      <c r="G804" s="60"/>
      <c r="H804" s="60"/>
      <c r="I804" s="29"/>
      <c r="J804" s="29"/>
      <c r="K804" s="29"/>
      <c r="L804" s="29"/>
      <c r="M804" s="34"/>
      <c r="N804" s="29"/>
      <c r="O804" s="29"/>
      <c r="P804" s="29"/>
      <c r="Q804" s="29"/>
      <c r="R804" s="29"/>
      <c r="S804" s="29"/>
      <c r="T804" s="1"/>
      <c r="U804" s="34"/>
      <c r="V804" s="34"/>
    </row>
    <row x14ac:dyDescent="0.25" r="805" customHeight="1" ht="15.75">
      <c r="A805" s="1"/>
      <c r="B805" s="29"/>
      <c r="C805" s="29"/>
      <c r="D805" s="34"/>
      <c r="E805" s="34"/>
      <c r="F805" s="34"/>
      <c r="G805" s="60"/>
      <c r="H805" s="60"/>
      <c r="I805" s="29"/>
      <c r="J805" s="29"/>
      <c r="K805" s="29"/>
      <c r="L805" s="29"/>
      <c r="M805" s="34"/>
      <c r="N805" s="29"/>
      <c r="O805" s="29"/>
      <c r="P805" s="29"/>
      <c r="Q805" s="29"/>
      <c r="R805" s="29"/>
      <c r="S805" s="29"/>
      <c r="T805" s="1"/>
      <c r="U805" s="34"/>
      <c r="V805" s="34"/>
    </row>
    <row x14ac:dyDescent="0.25" r="806" customHeight="1" ht="15.75">
      <c r="A806" s="1"/>
      <c r="B806" s="29"/>
      <c r="C806" s="29"/>
      <c r="D806" s="34"/>
      <c r="E806" s="34"/>
      <c r="F806" s="34"/>
      <c r="G806" s="60"/>
      <c r="H806" s="60"/>
      <c r="I806" s="29"/>
      <c r="J806" s="29"/>
      <c r="K806" s="29"/>
      <c r="L806" s="29"/>
      <c r="M806" s="34"/>
      <c r="N806" s="29"/>
      <c r="O806" s="29"/>
      <c r="P806" s="29"/>
      <c r="Q806" s="29"/>
      <c r="R806" s="29"/>
      <c r="S806" s="29"/>
      <c r="T806" s="1"/>
      <c r="U806" s="34"/>
      <c r="V806" s="34"/>
    </row>
    <row x14ac:dyDescent="0.25" r="807" customHeight="1" ht="15.75">
      <c r="A807" s="1"/>
      <c r="B807" s="29"/>
      <c r="C807" s="29"/>
      <c r="D807" s="34"/>
      <c r="E807" s="34"/>
      <c r="F807" s="34"/>
      <c r="G807" s="60"/>
      <c r="H807" s="60"/>
      <c r="I807" s="29"/>
      <c r="J807" s="29"/>
      <c r="K807" s="29"/>
      <c r="L807" s="29"/>
      <c r="M807" s="34"/>
      <c r="N807" s="29"/>
      <c r="O807" s="29"/>
      <c r="P807" s="29"/>
      <c r="Q807" s="29"/>
      <c r="R807" s="29"/>
      <c r="S807" s="29"/>
      <c r="T807" s="1"/>
      <c r="U807" s="34"/>
      <c r="V807" s="34"/>
    </row>
    <row x14ac:dyDescent="0.25" r="808" customHeight="1" ht="15.75">
      <c r="A808" s="1"/>
      <c r="B808" s="29"/>
      <c r="C808" s="29"/>
      <c r="D808" s="34"/>
      <c r="E808" s="34"/>
      <c r="F808" s="34"/>
      <c r="G808" s="60"/>
      <c r="H808" s="60"/>
      <c r="I808" s="29"/>
      <c r="J808" s="29"/>
      <c r="K808" s="29"/>
      <c r="L808" s="29"/>
      <c r="M808" s="34"/>
      <c r="N808" s="29"/>
      <c r="O808" s="29"/>
      <c r="P808" s="29"/>
      <c r="Q808" s="29"/>
      <c r="R808" s="29"/>
      <c r="S808" s="29"/>
      <c r="T808" s="1"/>
      <c r="U808" s="34"/>
      <c r="V808" s="34"/>
    </row>
    <row x14ac:dyDescent="0.25" r="809" customHeight="1" ht="15.75">
      <c r="A809" s="1"/>
      <c r="B809" s="29"/>
      <c r="C809" s="29"/>
      <c r="D809" s="34"/>
      <c r="E809" s="34"/>
      <c r="F809" s="34"/>
      <c r="G809" s="60"/>
      <c r="H809" s="60"/>
      <c r="I809" s="29"/>
      <c r="J809" s="29"/>
      <c r="K809" s="29"/>
      <c r="L809" s="29"/>
      <c r="M809" s="34"/>
      <c r="N809" s="29"/>
      <c r="O809" s="29"/>
      <c r="P809" s="29"/>
      <c r="Q809" s="29"/>
      <c r="R809" s="29"/>
      <c r="S809" s="29"/>
      <c r="T809" s="1"/>
      <c r="U809" s="34"/>
      <c r="V809" s="34"/>
    </row>
    <row x14ac:dyDescent="0.25" r="810" customHeight="1" ht="15.75">
      <c r="A810" s="1"/>
      <c r="B810" s="29"/>
      <c r="C810" s="29"/>
      <c r="D810" s="34"/>
      <c r="E810" s="34"/>
      <c r="F810" s="34"/>
      <c r="G810" s="60"/>
      <c r="H810" s="60"/>
      <c r="I810" s="29"/>
      <c r="J810" s="29"/>
      <c r="K810" s="29"/>
      <c r="L810" s="29"/>
      <c r="M810" s="34"/>
      <c r="N810" s="29"/>
      <c r="O810" s="29"/>
      <c r="P810" s="29"/>
      <c r="Q810" s="29"/>
      <c r="R810" s="29"/>
      <c r="S810" s="29"/>
      <c r="T810" s="1"/>
      <c r="U810" s="34"/>
      <c r="V810" s="34"/>
    </row>
    <row x14ac:dyDescent="0.25" r="811" customHeight="1" ht="15.75">
      <c r="A811" s="1"/>
      <c r="B811" s="29"/>
      <c r="C811" s="29"/>
      <c r="D811" s="34"/>
      <c r="E811" s="34"/>
      <c r="F811" s="34"/>
      <c r="G811" s="60"/>
      <c r="H811" s="60"/>
      <c r="I811" s="29"/>
      <c r="J811" s="29"/>
      <c r="K811" s="29"/>
      <c r="L811" s="29"/>
      <c r="M811" s="34"/>
      <c r="N811" s="29"/>
      <c r="O811" s="29"/>
      <c r="P811" s="29"/>
      <c r="Q811" s="29"/>
      <c r="R811" s="29"/>
      <c r="S811" s="29"/>
      <c r="T811" s="1"/>
      <c r="U811" s="34"/>
      <c r="V811" s="34"/>
    </row>
    <row x14ac:dyDescent="0.25" r="812" customHeight="1" ht="15.75">
      <c r="A812" s="1"/>
      <c r="B812" s="29"/>
      <c r="C812" s="29"/>
      <c r="D812" s="34"/>
      <c r="E812" s="34"/>
      <c r="F812" s="34"/>
      <c r="G812" s="60"/>
      <c r="H812" s="60"/>
      <c r="I812" s="29"/>
      <c r="J812" s="29"/>
      <c r="K812" s="29"/>
      <c r="L812" s="29"/>
      <c r="M812" s="34"/>
      <c r="N812" s="29"/>
      <c r="O812" s="29"/>
      <c r="P812" s="29"/>
      <c r="Q812" s="29"/>
      <c r="R812" s="29"/>
      <c r="S812" s="29"/>
      <c r="T812" s="1"/>
      <c r="U812" s="34"/>
      <c r="V812" s="34"/>
    </row>
    <row x14ac:dyDescent="0.25" r="813" customHeight="1" ht="15.75">
      <c r="A813" s="1"/>
      <c r="B813" s="29"/>
      <c r="C813" s="29"/>
      <c r="D813" s="34"/>
      <c r="E813" s="34"/>
      <c r="F813" s="34"/>
      <c r="G813" s="60"/>
      <c r="H813" s="60"/>
      <c r="I813" s="29"/>
      <c r="J813" s="29"/>
      <c r="K813" s="29"/>
      <c r="L813" s="29"/>
      <c r="M813" s="34"/>
      <c r="N813" s="29"/>
      <c r="O813" s="29"/>
      <c r="P813" s="29"/>
      <c r="Q813" s="29"/>
      <c r="R813" s="29"/>
      <c r="S813" s="29"/>
      <c r="T813" s="1"/>
      <c r="U813" s="34"/>
      <c r="V813" s="34"/>
    </row>
    <row x14ac:dyDescent="0.25" r="814" customHeight="1" ht="15.75">
      <c r="A814" s="1"/>
      <c r="B814" s="29"/>
      <c r="C814" s="29"/>
      <c r="D814" s="34"/>
      <c r="E814" s="34"/>
      <c r="F814" s="34"/>
      <c r="G814" s="60"/>
      <c r="H814" s="60"/>
      <c r="I814" s="29"/>
      <c r="J814" s="29"/>
      <c r="K814" s="29"/>
      <c r="L814" s="29"/>
      <c r="M814" s="34"/>
      <c r="N814" s="29"/>
      <c r="O814" s="29"/>
      <c r="P814" s="29"/>
      <c r="Q814" s="29"/>
      <c r="R814" s="29"/>
      <c r="S814" s="29"/>
      <c r="T814" s="1"/>
      <c r="U814" s="34"/>
      <c r="V814" s="34"/>
    </row>
    <row x14ac:dyDescent="0.25" r="815" customHeight="1" ht="15.75">
      <c r="A815" s="1"/>
      <c r="B815" s="29"/>
      <c r="C815" s="29"/>
      <c r="D815" s="34"/>
      <c r="E815" s="34"/>
      <c r="F815" s="34"/>
      <c r="G815" s="60"/>
      <c r="H815" s="60"/>
      <c r="I815" s="29"/>
      <c r="J815" s="29"/>
      <c r="K815" s="29"/>
      <c r="L815" s="29"/>
      <c r="M815" s="34"/>
      <c r="N815" s="29"/>
      <c r="O815" s="29"/>
      <c r="P815" s="29"/>
      <c r="Q815" s="29"/>
      <c r="R815" s="29"/>
      <c r="S815" s="29"/>
      <c r="T815" s="1"/>
      <c r="U815" s="34"/>
      <c r="V815" s="34"/>
    </row>
    <row x14ac:dyDescent="0.25" r="816" customHeight="1" ht="15.75">
      <c r="A816" s="1"/>
      <c r="B816" s="29"/>
      <c r="C816" s="29"/>
      <c r="D816" s="34"/>
      <c r="E816" s="34"/>
      <c r="F816" s="34"/>
      <c r="G816" s="60"/>
      <c r="H816" s="60"/>
      <c r="I816" s="29"/>
      <c r="J816" s="29"/>
      <c r="K816" s="29"/>
      <c r="L816" s="29"/>
      <c r="M816" s="34"/>
      <c r="N816" s="29"/>
      <c r="O816" s="29"/>
      <c r="P816" s="29"/>
      <c r="Q816" s="29"/>
      <c r="R816" s="29"/>
      <c r="S816" s="29"/>
      <c r="T816" s="1"/>
      <c r="U816" s="34"/>
      <c r="V816" s="34"/>
    </row>
    <row x14ac:dyDescent="0.25" r="817" customHeight="1" ht="15.75">
      <c r="A817" s="1"/>
      <c r="B817" s="29"/>
      <c r="C817" s="29"/>
      <c r="D817" s="34"/>
      <c r="E817" s="34"/>
      <c r="F817" s="34"/>
      <c r="G817" s="60"/>
      <c r="H817" s="60"/>
      <c r="I817" s="29"/>
      <c r="J817" s="29"/>
      <c r="K817" s="29"/>
      <c r="L817" s="29"/>
      <c r="M817" s="34"/>
      <c r="N817" s="29"/>
      <c r="O817" s="29"/>
      <c r="P817" s="29"/>
      <c r="Q817" s="29"/>
      <c r="R817" s="29"/>
      <c r="S817" s="29"/>
      <c r="T817" s="1"/>
      <c r="U817" s="34"/>
      <c r="V817" s="34"/>
    </row>
    <row x14ac:dyDescent="0.25" r="818" customHeight="1" ht="15.75">
      <c r="A818" s="1"/>
      <c r="B818" s="29"/>
      <c r="C818" s="29"/>
      <c r="D818" s="34"/>
      <c r="E818" s="34"/>
      <c r="F818" s="34"/>
      <c r="G818" s="60"/>
      <c r="H818" s="60"/>
      <c r="I818" s="29"/>
      <c r="J818" s="29"/>
      <c r="K818" s="29"/>
      <c r="L818" s="29"/>
      <c r="M818" s="34"/>
      <c r="N818" s="29"/>
      <c r="O818" s="29"/>
      <c r="P818" s="29"/>
      <c r="Q818" s="29"/>
      <c r="R818" s="29"/>
      <c r="S818" s="29"/>
      <c r="T818" s="1"/>
      <c r="U818" s="34"/>
      <c r="V818" s="34"/>
    </row>
    <row x14ac:dyDescent="0.25" r="819" customHeight="1" ht="15.75">
      <c r="A819" s="1"/>
      <c r="B819" s="29"/>
      <c r="C819" s="29"/>
      <c r="D819" s="34"/>
      <c r="E819" s="34"/>
      <c r="F819" s="34"/>
      <c r="G819" s="60"/>
      <c r="H819" s="60"/>
      <c r="I819" s="29"/>
      <c r="J819" s="29"/>
      <c r="K819" s="29"/>
      <c r="L819" s="29"/>
      <c r="M819" s="34"/>
      <c r="N819" s="29"/>
      <c r="O819" s="29"/>
      <c r="P819" s="29"/>
      <c r="Q819" s="29"/>
      <c r="R819" s="29"/>
      <c r="S819" s="29"/>
      <c r="T819" s="1"/>
      <c r="U819" s="34"/>
      <c r="V819" s="34"/>
    </row>
    <row x14ac:dyDescent="0.25" r="820" customHeight="1" ht="15.75">
      <c r="A820" s="1"/>
      <c r="B820" s="29"/>
      <c r="C820" s="29"/>
      <c r="D820" s="34"/>
      <c r="E820" s="34"/>
      <c r="F820" s="34"/>
      <c r="G820" s="60"/>
      <c r="H820" s="60"/>
      <c r="I820" s="29"/>
      <c r="J820" s="29"/>
      <c r="K820" s="29"/>
      <c r="L820" s="29"/>
      <c r="M820" s="34"/>
      <c r="N820" s="29"/>
      <c r="O820" s="29"/>
      <c r="P820" s="29"/>
      <c r="Q820" s="29"/>
      <c r="R820" s="29"/>
      <c r="S820" s="29"/>
      <c r="T820" s="1"/>
      <c r="U820" s="34"/>
      <c r="V820" s="34"/>
    </row>
    <row x14ac:dyDescent="0.25" r="821" customHeight="1" ht="15.75">
      <c r="A821" s="1"/>
      <c r="B821" s="29"/>
      <c r="C821" s="29"/>
      <c r="D821" s="34"/>
      <c r="E821" s="34"/>
      <c r="F821" s="34"/>
      <c r="G821" s="60"/>
      <c r="H821" s="60"/>
      <c r="I821" s="29"/>
      <c r="J821" s="29"/>
      <c r="K821" s="29"/>
      <c r="L821" s="29"/>
      <c r="M821" s="34"/>
      <c r="N821" s="29"/>
      <c r="O821" s="29"/>
      <c r="P821" s="29"/>
      <c r="Q821" s="29"/>
      <c r="R821" s="29"/>
      <c r="S821" s="29"/>
      <c r="T821" s="1"/>
      <c r="U821" s="34"/>
      <c r="V821" s="34"/>
    </row>
    <row x14ac:dyDescent="0.25" r="822" customHeight="1" ht="15.75">
      <c r="A822" s="1"/>
      <c r="B822" s="29"/>
      <c r="C822" s="29"/>
      <c r="D822" s="34"/>
      <c r="E822" s="34"/>
      <c r="F822" s="34"/>
      <c r="G822" s="60"/>
      <c r="H822" s="60"/>
      <c r="I822" s="29"/>
      <c r="J822" s="29"/>
      <c r="K822" s="29"/>
      <c r="L822" s="29"/>
      <c r="M822" s="34"/>
      <c r="N822" s="29"/>
      <c r="O822" s="29"/>
      <c r="P822" s="29"/>
      <c r="Q822" s="29"/>
      <c r="R822" s="29"/>
      <c r="S822" s="29"/>
      <c r="T822" s="1"/>
      <c r="U822" s="34"/>
      <c r="V822" s="34"/>
    </row>
    <row x14ac:dyDescent="0.25" r="823" customHeight="1" ht="15.75">
      <c r="A823" s="1"/>
      <c r="B823" s="29"/>
      <c r="C823" s="29"/>
      <c r="D823" s="34"/>
      <c r="E823" s="34"/>
      <c r="F823" s="34"/>
      <c r="G823" s="60"/>
      <c r="H823" s="60"/>
      <c r="I823" s="29"/>
      <c r="J823" s="29"/>
      <c r="K823" s="29"/>
      <c r="L823" s="29"/>
      <c r="M823" s="34"/>
      <c r="N823" s="29"/>
      <c r="O823" s="29"/>
      <c r="P823" s="29"/>
      <c r="Q823" s="29"/>
      <c r="R823" s="29"/>
      <c r="S823" s="29"/>
      <c r="T823" s="1"/>
      <c r="U823" s="34"/>
      <c r="V823" s="34"/>
    </row>
    <row x14ac:dyDescent="0.25" r="824" customHeight="1" ht="15.75">
      <c r="A824" s="1"/>
      <c r="B824" s="29"/>
      <c r="C824" s="29"/>
      <c r="D824" s="34"/>
      <c r="E824" s="34"/>
      <c r="F824" s="34"/>
      <c r="G824" s="60"/>
      <c r="H824" s="60"/>
      <c r="I824" s="29"/>
      <c r="J824" s="29"/>
      <c r="K824" s="29"/>
      <c r="L824" s="29"/>
      <c r="M824" s="34"/>
      <c r="N824" s="29"/>
      <c r="O824" s="29"/>
      <c r="P824" s="29"/>
      <c r="Q824" s="29"/>
      <c r="R824" s="29"/>
      <c r="S824" s="29"/>
      <c r="T824" s="1"/>
      <c r="U824" s="34"/>
      <c r="V824" s="34"/>
    </row>
    <row x14ac:dyDescent="0.25" r="825" customHeight="1" ht="15.75">
      <c r="A825" s="1"/>
      <c r="B825" s="29"/>
      <c r="C825" s="29"/>
      <c r="D825" s="34"/>
      <c r="E825" s="34"/>
      <c r="F825" s="34"/>
      <c r="G825" s="60"/>
      <c r="H825" s="60"/>
      <c r="I825" s="29"/>
      <c r="J825" s="29"/>
      <c r="K825" s="29"/>
      <c r="L825" s="29"/>
      <c r="M825" s="34"/>
      <c r="N825" s="29"/>
      <c r="O825" s="29"/>
      <c r="P825" s="29"/>
      <c r="Q825" s="29"/>
      <c r="R825" s="29"/>
      <c r="S825" s="29"/>
      <c r="T825" s="1"/>
      <c r="U825" s="34"/>
      <c r="V825" s="34"/>
    </row>
    <row x14ac:dyDescent="0.25" r="826" customHeight="1" ht="15.75">
      <c r="A826" s="1"/>
      <c r="B826" s="29"/>
      <c r="C826" s="29"/>
      <c r="D826" s="34"/>
      <c r="E826" s="34"/>
      <c r="F826" s="34"/>
      <c r="G826" s="60"/>
      <c r="H826" s="60"/>
      <c r="I826" s="29"/>
      <c r="J826" s="29"/>
      <c r="K826" s="29"/>
      <c r="L826" s="29"/>
      <c r="M826" s="34"/>
      <c r="N826" s="29"/>
      <c r="O826" s="29"/>
      <c r="P826" s="29"/>
      <c r="Q826" s="29"/>
      <c r="R826" s="29"/>
      <c r="S826" s="29"/>
      <c r="T826" s="1"/>
      <c r="U826" s="34"/>
      <c r="V826" s="34"/>
    </row>
    <row x14ac:dyDescent="0.25" r="827" customHeight="1" ht="15.75">
      <c r="A827" s="1"/>
      <c r="B827" s="29"/>
      <c r="C827" s="29"/>
      <c r="D827" s="34"/>
      <c r="E827" s="34"/>
      <c r="F827" s="34"/>
      <c r="G827" s="60"/>
      <c r="H827" s="60"/>
      <c r="I827" s="29"/>
      <c r="J827" s="29"/>
      <c r="K827" s="29"/>
      <c r="L827" s="29"/>
      <c r="M827" s="34"/>
      <c r="N827" s="29"/>
      <c r="O827" s="29"/>
      <c r="P827" s="29"/>
      <c r="Q827" s="29"/>
      <c r="R827" s="29"/>
      <c r="S827" s="29"/>
      <c r="T827" s="1"/>
      <c r="U827" s="34"/>
      <c r="V827" s="34"/>
    </row>
    <row x14ac:dyDescent="0.25" r="828" customHeight="1" ht="15.75">
      <c r="A828" s="1"/>
      <c r="B828" s="29"/>
      <c r="C828" s="29"/>
      <c r="D828" s="34"/>
      <c r="E828" s="34"/>
      <c r="F828" s="34"/>
      <c r="G828" s="60"/>
      <c r="H828" s="60"/>
      <c r="I828" s="29"/>
      <c r="J828" s="29"/>
      <c r="K828" s="29"/>
      <c r="L828" s="29"/>
      <c r="M828" s="34"/>
      <c r="N828" s="29"/>
      <c r="O828" s="29"/>
      <c r="P828" s="29"/>
      <c r="Q828" s="29"/>
      <c r="R828" s="29"/>
      <c r="S828" s="29"/>
      <c r="T828" s="1"/>
      <c r="U828" s="34"/>
      <c r="V828" s="34"/>
    </row>
    <row x14ac:dyDescent="0.25" r="829" customHeight="1" ht="15.75">
      <c r="A829" s="1"/>
      <c r="B829" s="29"/>
      <c r="C829" s="29"/>
      <c r="D829" s="34"/>
      <c r="E829" s="34"/>
      <c r="F829" s="34"/>
      <c r="G829" s="60"/>
      <c r="H829" s="60"/>
      <c r="I829" s="29"/>
      <c r="J829" s="29"/>
      <c r="K829" s="29"/>
      <c r="L829" s="29"/>
      <c r="M829" s="34"/>
      <c r="N829" s="29"/>
      <c r="O829" s="29"/>
      <c r="P829" s="29"/>
      <c r="Q829" s="29"/>
      <c r="R829" s="29"/>
      <c r="S829" s="29"/>
      <c r="T829" s="1"/>
      <c r="U829" s="34"/>
      <c r="V829" s="34"/>
    </row>
    <row x14ac:dyDescent="0.25" r="830" customHeight="1" ht="15.75">
      <c r="A830" s="1"/>
      <c r="B830" s="29"/>
      <c r="C830" s="29"/>
      <c r="D830" s="34"/>
      <c r="E830" s="34"/>
      <c r="F830" s="34"/>
      <c r="G830" s="60"/>
      <c r="H830" s="60"/>
      <c r="I830" s="29"/>
      <c r="J830" s="29"/>
      <c r="K830" s="29"/>
      <c r="L830" s="29"/>
      <c r="M830" s="34"/>
      <c r="N830" s="29"/>
      <c r="O830" s="29"/>
      <c r="P830" s="29"/>
      <c r="Q830" s="29"/>
      <c r="R830" s="29"/>
      <c r="S830" s="29"/>
      <c r="T830" s="1"/>
      <c r="U830" s="34"/>
      <c r="V830" s="34"/>
    </row>
    <row x14ac:dyDescent="0.25" r="831" customHeight="1" ht="15.75">
      <c r="A831" s="1"/>
      <c r="B831" s="29"/>
      <c r="C831" s="29"/>
      <c r="D831" s="34"/>
      <c r="E831" s="34"/>
      <c r="F831" s="34"/>
      <c r="G831" s="60"/>
      <c r="H831" s="60"/>
      <c r="I831" s="29"/>
      <c r="J831" s="29"/>
      <c r="K831" s="29"/>
      <c r="L831" s="29"/>
      <c r="M831" s="34"/>
      <c r="N831" s="29"/>
      <c r="O831" s="29"/>
      <c r="P831" s="29"/>
      <c r="Q831" s="29"/>
      <c r="R831" s="29"/>
      <c r="S831" s="29"/>
      <c r="T831" s="1"/>
      <c r="U831" s="34"/>
      <c r="V831" s="34"/>
    </row>
    <row x14ac:dyDescent="0.25" r="832" customHeight="1" ht="15.75">
      <c r="A832" s="1"/>
      <c r="B832" s="29"/>
      <c r="C832" s="29"/>
      <c r="D832" s="34"/>
      <c r="E832" s="34"/>
      <c r="F832" s="34"/>
      <c r="G832" s="60"/>
      <c r="H832" s="60"/>
      <c r="I832" s="29"/>
      <c r="J832" s="29"/>
      <c r="K832" s="29"/>
      <c r="L832" s="29"/>
      <c r="M832" s="34"/>
      <c r="N832" s="29"/>
      <c r="O832" s="29"/>
      <c r="P832" s="29"/>
      <c r="Q832" s="29"/>
      <c r="R832" s="29"/>
      <c r="S832" s="29"/>
      <c r="T832" s="1"/>
      <c r="U832" s="34"/>
      <c r="V832" s="34"/>
    </row>
    <row x14ac:dyDescent="0.25" r="833" customHeight="1" ht="15.75">
      <c r="A833" s="1"/>
      <c r="B833" s="29"/>
      <c r="C833" s="29"/>
      <c r="D833" s="34"/>
      <c r="E833" s="34"/>
      <c r="F833" s="34"/>
      <c r="G833" s="60"/>
      <c r="H833" s="60"/>
      <c r="I833" s="29"/>
      <c r="J833" s="29"/>
      <c r="K833" s="29"/>
      <c r="L833" s="29"/>
      <c r="M833" s="34"/>
      <c r="N833" s="29"/>
      <c r="O833" s="29"/>
      <c r="P833" s="29"/>
      <c r="Q833" s="29"/>
      <c r="R833" s="29"/>
      <c r="S833" s="29"/>
      <c r="T833" s="1"/>
      <c r="U833" s="34"/>
      <c r="V833" s="34"/>
    </row>
    <row x14ac:dyDescent="0.25" r="834" customHeight="1" ht="15.75">
      <c r="A834" s="1"/>
      <c r="B834" s="29"/>
      <c r="C834" s="29"/>
      <c r="D834" s="34"/>
      <c r="E834" s="34"/>
      <c r="F834" s="34"/>
      <c r="G834" s="60"/>
      <c r="H834" s="60"/>
      <c r="I834" s="29"/>
      <c r="J834" s="29"/>
      <c r="K834" s="29"/>
      <c r="L834" s="29"/>
      <c r="M834" s="34"/>
      <c r="N834" s="29"/>
      <c r="O834" s="29"/>
      <c r="P834" s="29"/>
      <c r="Q834" s="29"/>
      <c r="R834" s="29"/>
      <c r="S834" s="29"/>
      <c r="T834" s="1"/>
      <c r="U834" s="34"/>
      <c r="V834" s="34"/>
    </row>
    <row x14ac:dyDescent="0.25" r="835" customHeight="1" ht="15.75">
      <c r="A835" s="1"/>
      <c r="B835" s="29"/>
      <c r="C835" s="29"/>
      <c r="D835" s="34"/>
      <c r="E835" s="34"/>
      <c r="F835" s="34"/>
      <c r="G835" s="60"/>
      <c r="H835" s="60"/>
      <c r="I835" s="29"/>
      <c r="J835" s="29"/>
      <c r="K835" s="29"/>
      <c r="L835" s="29"/>
      <c r="M835" s="34"/>
      <c r="N835" s="29"/>
      <c r="O835" s="29"/>
      <c r="P835" s="29"/>
      <c r="Q835" s="29"/>
      <c r="R835" s="29"/>
      <c r="S835" s="29"/>
      <c r="T835" s="1"/>
      <c r="U835" s="34"/>
      <c r="V835" s="34"/>
    </row>
    <row x14ac:dyDescent="0.25" r="836" customHeight="1" ht="15.75">
      <c r="A836" s="1"/>
      <c r="B836" s="29"/>
      <c r="C836" s="29"/>
      <c r="D836" s="34"/>
      <c r="E836" s="34"/>
      <c r="F836" s="34"/>
      <c r="G836" s="60"/>
      <c r="H836" s="60"/>
      <c r="I836" s="29"/>
      <c r="J836" s="29"/>
      <c r="K836" s="29"/>
      <c r="L836" s="29"/>
      <c r="M836" s="34"/>
      <c r="N836" s="29"/>
      <c r="O836" s="29"/>
      <c r="P836" s="29"/>
      <c r="Q836" s="29"/>
      <c r="R836" s="29"/>
      <c r="S836" s="29"/>
      <c r="T836" s="1"/>
      <c r="U836" s="34"/>
      <c r="V836" s="34"/>
    </row>
    <row x14ac:dyDescent="0.25" r="837" customHeight="1" ht="15.75">
      <c r="A837" s="1"/>
      <c r="B837" s="29"/>
      <c r="C837" s="29"/>
      <c r="D837" s="34"/>
      <c r="E837" s="34"/>
      <c r="F837" s="34"/>
      <c r="G837" s="60"/>
      <c r="H837" s="60"/>
      <c r="I837" s="29"/>
      <c r="J837" s="29"/>
      <c r="K837" s="29"/>
      <c r="L837" s="29"/>
      <c r="M837" s="34"/>
      <c r="N837" s="29"/>
      <c r="O837" s="29"/>
      <c r="P837" s="29"/>
      <c r="Q837" s="29"/>
      <c r="R837" s="29"/>
      <c r="S837" s="29"/>
      <c r="T837" s="1"/>
      <c r="U837" s="34"/>
      <c r="V837" s="34"/>
    </row>
    <row x14ac:dyDescent="0.25" r="838" customHeight="1" ht="15.75">
      <c r="A838" s="1"/>
      <c r="B838" s="29"/>
      <c r="C838" s="29"/>
      <c r="D838" s="34"/>
      <c r="E838" s="34"/>
      <c r="F838" s="34"/>
      <c r="G838" s="60"/>
      <c r="H838" s="60"/>
      <c r="I838" s="29"/>
      <c r="J838" s="29"/>
      <c r="K838" s="29"/>
      <c r="L838" s="29"/>
      <c r="M838" s="34"/>
      <c r="N838" s="29"/>
      <c r="O838" s="29"/>
      <c r="P838" s="29"/>
      <c r="Q838" s="29"/>
      <c r="R838" s="29"/>
      <c r="S838" s="29"/>
      <c r="T838" s="1"/>
      <c r="U838" s="34"/>
      <c r="V838" s="34"/>
    </row>
    <row x14ac:dyDescent="0.25" r="839" customHeight="1" ht="15.75">
      <c r="A839" s="1"/>
      <c r="B839" s="29"/>
      <c r="C839" s="29"/>
      <c r="D839" s="34"/>
      <c r="E839" s="34"/>
      <c r="F839" s="34"/>
      <c r="G839" s="60"/>
      <c r="H839" s="60"/>
      <c r="I839" s="29"/>
      <c r="J839" s="29"/>
      <c r="K839" s="29"/>
      <c r="L839" s="29"/>
      <c r="M839" s="34"/>
      <c r="N839" s="29"/>
      <c r="O839" s="29"/>
      <c r="P839" s="29"/>
      <c r="Q839" s="29"/>
      <c r="R839" s="29"/>
      <c r="S839" s="29"/>
      <c r="T839" s="1"/>
      <c r="U839" s="34"/>
      <c r="V839" s="34"/>
    </row>
    <row x14ac:dyDescent="0.25" r="840" customHeight="1" ht="15.75">
      <c r="A840" s="1"/>
      <c r="B840" s="29"/>
      <c r="C840" s="29"/>
      <c r="D840" s="34"/>
      <c r="E840" s="34"/>
      <c r="F840" s="34"/>
      <c r="G840" s="60"/>
      <c r="H840" s="60"/>
      <c r="I840" s="29"/>
      <c r="J840" s="29"/>
      <c r="K840" s="29"/>
      <c r="L840" s="29"/>
      <c r="M840" s="34"/>
      <c r="N840" s="29"/>
      <c r="O840" s="29"/>
      <c r="P840" s="29"/>
      <c r="Q840" s="29"/>
      <c r="R840" s="29"/>
      <c r="S840" s="29"/>
      <c r="T840" s="1"/>
      <c r="U840" s="34"/>
      <c r="V840" s="34"/>
    </row>
    <row x14ac:dyDescent="0.25" r="841" customHeight="1" ht="15.75">
      <c r="A841" s="1"/>
      <c r="B841" s="29"/>
      <c r="C841" s="29"/>
      <c r="D841" s="34"/>
      <c r="E841" s="34"/>
      <c r="F841" s="34"/>
      <c r="G841" s="60"/>
      <c r="H841" s="60"/>
      <c r="I841" s="29"/>
      <c r="J841" s="29"/>
      <c r="K841" s="29"/>
      <c r="L841" s="29"/>
      <c r="M841" s="34"/>
      <c r="N841" s="29"/>
      <c r="O841" s="29"/>
      <c r="P841" s="29"/>
      <c r="Q841" s="29"/>
      <c r="R841" s="29"/>
      <c r="S841" s="29"/>
      <c r="T841" s="1"/>
      <c r="U841" s="34"/>
      <c r="V841" s="34"/>
    </row>
    <row x14ac:dyDescent="0.25" r="842" customHeight="1" ht="15.75">
      <c r="A842" s="1"/>
      <c r="B842" s="29"/>
      <c r="C842" s="29"/>
      <c r="D842" s="34"/>
      <c r="E842" s="34"/>
      <c r="F842" s="34"/>
      <c r="G842" s="60"/>
      <c r="H842" s="60"/>
      <c r="I842" s="29"/>
      <c r="J842" s="29"/>
      <c r="K842" s="29"/>
      <c r="L842" s="29"/>
      <c r="M842" s="34"/>
      <c r="N842" s="29"/>
      <c r="O842" s="29"/>
      <c r="P842" s="29"/>
      <c r="Q842" s="29"/>
      <c r="R842" s="29"/>
      <c r="S842" s="29"/>
      <c r="T842" s="1"/>
      <c r="U842" s="34"/>
      <c r="V842" s="34"/>
    </row>
    <row x14ac:dyDescent="0.25" r="843" customHeight="1" ht="15.75">
      <c r="A843" s="1"/>
      <c r="B843" s="29"/>
      <c r="C843" s="29"/>
      <c r="D843" s="34"/>
      <c r="E843" s="34"/>
      <c r="F843" s="34"/>
      <c r="G843" s="60"/>
      <c r="H843" s="60"/>
      <c r="I843" s="29"/>
      <c r="J843" s="29"/>
      <c r="K843" s="29"/>
      <c r="L843" s="29"/>
      <c r="M843" s="34"/>
      <c r="N843" s="29"/>
      <c r="O843" s="29"/>
      <c r="P843" s="29"/>
      <c r="Q843" s="29"/>
      <c r="R843" s="29"/>
      <c r="S843" s="29"/>
      <c r="T843" s="1"/>
      <c r="U843" s="34"/>
      <c r="V843" s="34"/>
    </row>
    <row x14ac:dyDescent="0.25" r="844" customHeight="1" ht="15.75">
      <c r="A844" s="1"/>
      <c r="B844" s="29"/>
      <c r="C844" s="29"/>
      <c r="D844" s="34"/>
      <c r="E844" s="34"/>
      <c r="F844" s="34"/>
      <c r="G844" s="60"/>
      <c r="H844" s="60"/>
      <c r="I844" s="29"/>
      <c r="J844" s="29"/>
      <c r="K844" s="29"/>
      <c r="L844" s="29"/>
      <c r="M844" s="34"/>
      <c r="N844" s="29"/>
      <c r="O844" s="29"/>
      <c r="P844" s="29"/>
      <c r="Q844" s="29"/>
      <c r="R844" s="29"/>
      <c r="S844" s="29"/>
      <c r="T844" s="1"/>
      <c r="U844" s="34"/>
      <c r="V844" s="34"/>
    </row>
    <row x14ac:dyDescent="0.25" r="845" customHeight="1" ht="15.75">
      <c r="A845" s="1"/>
      <c r="B845" s="29"/>
      <c r="C845" s="29"/>
      <c r="D845" s="34"/>
      <c r="E845" s="34"/>
      <c r="F845" s="34"/>
      <c r="G845" s="60"/>
      <c r="H845" s="60"/>
      <c r="I845" s="29"/>
      <c r="J845" s="29"/>
      <c r="K845" s="29"/>
      <c r="L845" s="29"/>
      <c r="M845" s="34"/>
      <c r="N845" s="29"/>
      <c r="O845" s="29"/>
      <c r="P845" s="29"/>
      <c r="Q845" s="29"/>
      <c r="R845" s="29"/>
      <c r="S845" s="29"/>
      <c r="T845" s="1"/>
      <c r="U845" s="34"/>
      <c r="V845" s="34"/>
    </row>
    <row x14ac:dyDescent="0.25" r="846" customHeight="1" ht="15.75">
      <c r="A846" s="1"/>
      <c r="B846" s="29"/>
      <c r="C846" s="29"/>
      <c r="D846" s="34"/>
      <c r="E846" s="34"/>
      <c r="F846" s="34"/>
      <c r="G846" s="60"/>
      <c r="H846" s="60"/>
      <c r="I846" s="29"/>
      <c r="J846" s="29"/>
      <c r="K846" s="29"/>
      <c r="L846" s="29"/>
      <c r="M846" s="34"/>
      <c r="N846" s="29"/>
      <c r="O846" s="29"/>
      <c r="P846" s="29"/>
      <c r="Q846" s="29"/>
      <c r="R846" s="29"/>
      <c r="S846" s="29"/>
      <c r="T846" s="1"/>
      <c r="U846" s="34"/>
      <c r="V846" s="34"/>
    </row>
    <row x14ac:dyDescent="0.25" r="847" customHeight="1" ht="15.75">
      <c r="A847" s="1"/>
      <c r="B847" s="29"/>
      <c r="C847" s="29"/>
      <c r="D847" s="34"/>
      <c r="E847" s="34"/>
      <c r="F847" s="34"/>
      <c r="G847" s="60"/>
      <c r="H847" s="60"/>
      <c r="I847" s="29"/>
      <c r="J847" s="29"/>
      <c r="K847" s="29"/>
      <c r="L847" s="29"/>
      <c r="M847" s="34"/>
      <c r="N847" s="29"/>
      <c r="O847" s="29"/>
      <c r="P847" s="29"/>
      <c r="Q847" s="29"/>
      <c r="R847" s="29"/>
      <c r="S847" s="29"/>
      <c r="T847" s="1"/>
      <c r="U847" s="34"/>
      <c r="V847" s="34"/>
    </row>
    <row x14ac:dyDescent="0.25" r="848" customHeight="1" ht="15.75">
      <c r="A848" s="1"/>
      <c r="B848" s="29"/>
      <c r="C848" s="29"/>
      <c r="D848" s="34"/>
      <c r="E848" s="34"/>
      <c r="F848" s="34"/>
      <c r="G848" s="60"/>
      <c r="H848" s="60"/>
      <c r="I848" s="29"/>
      <c r="J848" s="29"/>
      <c r="K848" s="29"/>
      <c r="L848" s="29"/>
      <c r="M848" s="34"/>
      <c r="N848" s="29"/>
      <c r="O848" s="29"/>
      <c r="P848" s="29"/>
      <c r="Q848" s="29"/>
      <c r="R848" s="29"/>
      <c r="S848" s="29"/>
      <c r="T848" s="1"/>
      <c r="U848" s="34"/>
      <c r="V848" s="34"/>
    </row>
    <row x14ac:dyDescent="0.25" r="849" customHeight="1" ht="15.75">
      <c r="A849" s="1"/>
      <c r="B849" s="29"/>
      <c r="C849" s="29"/>
      <c r="D849" s="34"/>
      <c r="E849" s="34"/>
      <c r="F849" s="34"/>
      <c r="G849" s="60"/>
      <c r="H849" s="60"/>
      <c r="I849" s="29"/>
      <c r="J849" s="29"/>
      <c r="K849" s="29"/>
      <c r="L849" s="29"/>
      <c r="M849" s="34"/>
      <c r="N849" s="29"/>
      <c r="O849" s="29"/>
      <c r="P849" s="29"/>
      <c r="Q849" s="29"/>
      <c r="R849" s="29"/>
      <c r="S849" s="29"/>
      <c r="T849" s="1"/>
      <c r="U849" s="34"/>
      <c r="V849" s="34"/>
    </row>
    <row x14ac:dyDescent="0.25" r="850" customHeight="1" ht="15.75">
      <c r="A850" s="1"/>
      <c r="B850" s="29"/>
      <c r="C850" s="29"/>
      <c r="D850" s="34"/>
      <c r="E850" s="34"/>
      <c r="F850" s="34"/>
      <c r="G850" s="60"/>
      <c r="H850" s="60"/>
      <c r="I850" s="29"/>
      <c r="J850" s="29"/>
      <c r="K850" s="29"/>
      <c r="L850" s="29"/>
      <c r="M850" s="34"/>
      <c r="N850" s="29"/>
      <c r="O850" s="29"/>
      <c r="P850" s="29"/>
      <c r="Q850" s="29"/>
      <c r="R850" s="29"/>
      <c r="S850" s="29"/>
      <c r="T850" s="1"/>
      <c r="U850" s="34"/>
      <c r="V850" s="34"/>
    </row>
    <row x14ac:dyDescent="0.25" r="851" customHeight="1" ht="15.75">
      <c r="A851" s="1"/>
      <c r="B851" s="29"/>
      <c r="C851" s="29"/>
      <c r="D851" s="34"/>
      <c r="E851" s="34"/>
      <c r="F851" s="34"/>
      <c r="G851" s="60"/>
      <c r="H851" s="60"/>
      <c r="I851" s="29"/>
      <c r="J851" s="29"/>
      <c r="K851" s="29"/>
      <c r="L851" s="29"/>
      <c r="M851" s="34"/>
      <c r="N851" s="29"/>
      <c r="O851" s="29"/>
      <c r="P851" s="29"/>
      <c r="Q851" s="29"/>
      <c r="R851" s="29"/>
      <c r="S851" s="29"/>
      <c r="T851" s="1"/>
      <c r="U851" s="34"/>
      <c r="V851" s="34"/>
    </row>
    <row x14ac:dyDescent="0.25" r="852" customHeight="1" ht="15.75">
      <c r="A852" s="1"/>
      <c r="B852" s="29"/>
      <c r="C852" s="29"/>
      <c r="D852" s="34"/>
      <c r="E852" s="34"/>
      <c r="F852" s="34"/>
      <c r="G852" s="60"/>
      <c r="H852" s="60"/>
      <c r="I852" s="29"/>
      <c r="J852" s="29"/>
      <c r="K852" s="29"/>
      <c r="L852" s="29"/>
      <c r="M852" s="34"/>
      <c r="N852" s="29"/>
      <c r="O852" s="29"/>
      <c r="P852" s="29"/>
      <c r="Q852" s="29"/>
      <c r="R852" s="29"/>
      <c r="S852" s="29"/>
      <c r="T852" s="1"/>
      <c r="U852" s="34"/>
      <c r="V852" s="34"/>
    </row>
    <row x14ac:dyDescent="0.25" r="853" customHeight="1" ht="15.75">
      <c r="A853" s="1"/>
      <c r="B853" s="29"/>
      <c r="C853" s="29"/>
      <c r="D853" s="34"/>
      <c r="E853" s="34"/>
      <c r="F853" s="34"/>
      <c r="G853" s="60"/>
      <c r="H853" s="60"/>
      <c r="I853" s="29"/>
      <c r="J853" s="29"/>
      <c r="K853" s="29"/>
      <c r="L853" s="29"/>
      <c r="M853" s="34"/>
      <c r="N853" s="29"/>
      <c r="O853" s="29"/>
      <c r="P853" s="29"/>
      <c r="Q853" s="29"/>
      <c r="R853" s="29"/>
      <c r="S853" s="29"/>
      <c r="T853" s="1"/>
      <c r="U853" s="34"/>
      <c r="V853" s="34"/>
    </row>
    <row x14ac:dyDescent="0.25" r="854" customHeight="1" ht="15.75">
      <c r="A854" s="1"/>
      <c r="B854" s="29"/>
      <c r="C854" s="29"/>
      <c r="D854" s="34"/>
      <c r="E854" s="34"/>
      <c r="F854" s="34"/>
      <c r="G854" s="60"/>
      <c r="H854" s="60"/>
      <c r="I854" s="29"/>
      <c r="J854" s="29"/>
      <c r="K854" s="29"/>
      <c r="L854" s="29"/>
      <c r="M854" s="34"/>
      <c r="N854" s="29"/>
      <c r="O854" s="29"/>
      <c r="P854" s="29"/>
      <c r="Q854" s="29"/>
      <c r="R854" s="29"/>
      <c r="S854" s="29"/>
      <c r="T854" s="1"/>
      <c r="U854" s="34"/>
      <c r="V854" s="34"/>
    </row>
    <row x14ac:dyDescent="0.25" r="855" customHeight="1" ht="15.75">
      <c r="A855" s="1"/>
      <c r="B855" s="29"/>
      <c r="C855" s="29"/>
      <c r="D855" s="34"/>
      <c r="E855" s="34"/>
      <c r="F855" s="34"/>
      <c r="G855" s="60"/>
      <c r="H855" s="60"/>
      <c r="I855" s="29"/>
      <c r="J855" s="29"/>
      <c r="K855" s="29"/>
      <c r="L855" s="29"/>
      <c r="M855" s="34"/>
      <c r="N855" s="29"/>
      <c r="O855" s="29"/>
      <c r="P855" s="29"/>
      <c r="Q855" s="29"/>
      <c r="R855" s="29"/>
      <c r="S855" s="29"/>
      <c r="T855" s="1"/>
      <c r="U855" s="34"/>
      <c r="V855" s="34"/>
    </row>
    <row x14ac:dyDescent="0.25" r="856" customHeight="1" ht="15.75">
      <c r="A856" s="1"/>
      <c r="B856" s="29"/>
      <c r="C856" s="29"/>
      <c r="D856" s="34"/>
      <c r="E856" s="34"/>
      <c r="F856" s="34"/>
      <c r="G856" s="60"/>
      <c r="H856" s="60"/>
      <c r="I856" s="29"/>
      <c r="J856" s="29"/>
      <c r="K856" s="29"/>
      <c r="L856" s="29"/>
      <c r="M856" s="34"/>
      <c r="N856" s="29"/>
      <c r="O856" s="29"/>
      <c r="P856" s="29"/>
      <c r="Q856" s="29"/>
      <c r="R856" s="29"/>
      <c r="S856" s="29"/>
      <c r="T856" s="1"/>
      <c r="U856" s="34"/>
      <c r="V856" s="34"/>
    </row>
    <row x14ac:dyDescent="0.25" r="857" customHeight="1" ht="15.75">
      <c r="A857" s="1"/>
      <c r="B857" s="29"/>
      <c r="C857" s="29"/>
      <c r="D857" s="34"/>
      <c r="E857" s="34"/>
      <c r="F857" s="34"/>
      <c r="G857" s="60"/>
      <c r="H857" s="60"/>
      <c r="I857" s="29"/>
      <c r="J857" s="29"/>
      <c r="K857" s="29"/>
      <c r="L857" s="29"/>
      <c r="M857" s="34"/>
      <c r="N857" s="29"/>
      <c r="O857" s="29"/>
      <c r="P857" s="29"/>
      <c r="Q857" s="29"/>
      <c r="R857" s="29"/>
      <c r="S857" s="29"/>
      <c r="T857" s="1"/>
      <c r="U857" s="34"/>
      <c r="V857" s="34"/>
    </row>
    <row x14ac:dyDescent="0.25" r="858" customHeight="1" ht="15.75">
      <c r="A858" s="1"/>
      <c r="B858" s="29"/>
      <c r="C858" s="29"/>
      <c r="D858" s="34"/>
      <c r="E858" s="34"/>
      <c r="F858" s="34"/>
      <c r="G858" s="60"/>
      <c r="H858" s="60"/>
      <c r="I858" s="29"/>
      <c r="J858" s="29"/>
      <c r="K858" s="29"/>
      <c r="L858" s="29"/>
      <c r="M858" s="34"/>
      <c r="N858" s="29"/>
      <c r="O858" s="29"/>
      <c r="P858" s="29"/>
      <c r="Q858" s="29"/>
      <c r="R858" s="29"/>
      <c r="S858" s="29"/>
      <c r="T858" s="1"/>
      <c r="U858" s="34"/>
      <c r="V858" s="34"/>
    </row>
    <row x14ac:dyDescent="0.25" r="859" customHeight="1" ht="15.75">
      <c r="A859" s="1"/>
      <c r="B859" s="29"/>
      <c r="C859" s="29"/>
      <c r="D859" s="34"/>
      <c r="E859" s="34"/>
      <c r="F859" s="34"/>
      <c r="G859" s="60"/>
      <c r="H859" s="60"/>
      <c r="I859" s="29"/>
      <c r="J859" s="29"/>
      <c r="K859" s="29"/>
      <c r="L859" s="29"/>
      <c r="M859" s="34"/>
      <c r="N859" s="29"/>
      <c r="O859" s="29"/>
      <c r="P859" s="29"/>
      <c r="Q859" s="29"/>
      <c r="R859" s="29"/>
      <c r="S859" s="29"/>
      <c r="T859" s="1"/>
      <c r="U859" s="34"/>
      <c r="V859" s="34"/>
    </row>
    <row x14ac:dyDescent="0.25" r="860" customHeight="1" ht="15.75">
      <c r="A860" s="1"/>
      <c r="B860" s="29"/>
      <c r="C860" s="29"/>
      <c r="D860" s="34"/>
      <c r="E860" s="34"/>
      <c r="F860" s="34"/>
      <c r="G860" s="60"/>
      <c r="H860" s="60"/>
      <c r="I860" s="29"/>
      <c r="J860" s="29"/>
      <c r="K860" s="29"/>
      <c r="L860" s="29"/>
      <c r="M860" s="34"/>
      <c r="N860" s="29"/>
      <c r="O860" s="29"/>
      <c r="P860" s="29"/>
      <c r="Q860" s="29"/>
      <c r="R860" s="29"/>
      <c r="S860" s="29"/>
      <c r="T860" s="1"/>
      <c r="U860" s="34"/>
      <c r="V860" s="34"/>
    </row>
    <row x14ac:dyDescent="0.25" r="861" customHeight="1" ht="15.75">
      <c r="A861" s="1"/>
      <c r="B861" s="29"/>
      <c r="C861" s="29"/>
      <c r="D861" s="34"/>
      <c r="E861" s="34"/>
      <c r="F861" s="34"/>
      <c r="G861" s="60"/>
      <c r="H861" s="60"/>
      <c r="I861" s="29"/>
      <c r="J861" s="29"/>
      <c r="K861" s="29"/>
      <c r="L861" s="29"/>
      <c r="M861" s="34"/>
      <c r="N861" s="29"/>
      <c r="O861" s="29"/>
      <c r="P861" s="29"/>
      <c r="Q861" s="29"/>
      <c r="R861" s="29"/>
      <c r="S861" s="29"/>
      <c r="T861" s="1"/>
      <c r="U861" s="34"/>
      <c r="V861" s="34"/>
    </row>
    <row x14ac:dyDescent="0.25" r="862" customHeight="1" ht="15.75">
      <c r="A862" s="1"/>
      <c r="B862" s="29"/>
      <c r="C862" s="29"/>
      <c r="D862" s="34"/>
      <c r="E862" s="34"/>
      <c r="F862" s="34"/>
      <c r="G862" s="60"/>
      <c r="H862" s="60"/>
      <c r="I862" s="29"/>
      <c r="J862" s="29"/>
      <c r="K862" s="29"/>
      <c r="L862" s="29"/>
      <c r="M862" s="34"/>
      <c r="N862" s="29"/>
      <c r="O862" s="29"/>
      <c r="P862" s="29"/>
      <c r="Q862" s="29"/>
      <c r="R862" s="29"/>
      <c r="S862" s="29"/>
      <c r="T862" s="1"/>
      <c r="U862" s="34"/>
      <c r="V862" s="34"/>
    </row>
    <row x14ac:dyDescent="0.25" r="863" customHeight="1" ht="15.75">
      <c r="A863" s="1"/>
      <c r="B863" s="29"/>
      <c r="C863" s="29"/>
      <c r="D863" s="34"/>
      <c r="E863" s="34"/>
      <c r="F863" s="34"/>
      <c r="G863" s="60"/>
      <c r="H863" s="60"/>
      <c r="I863" s="29"/>
      <c r="J863" s="29"/>
      <c r="K863" s="29"/>
      <c r="L863" s="29"/>
      <c r="M863" s="34"/>
      <c r="N863" s="29"/>
      <c r="O863" s="29"/>
      <c r="P863" s="29"/>
      <c r="Q863" s="29"/>
      <c r="R863" s="29"/>
      <c r="S863" s="29"/>
      <c r="T863" s="1"/>
      <c r="U863" s="34"/>
      <c r="V863" s="34"/>
    </row>
    <row x14ac:dyDescent="0.25" r="864" customHeight="1" ht="15.75">
      <c r="A864" s="1"/>
      <c r="B864" s="29"/>
      <c r="C864" s="29"/>
      <c r="D864" s="34"/>
      <c r="E864" s="34"/>
      <c r="F864" s="34"/>
      <c r="G864" s="60"/>
      <c r="H864" s="60"/>
      <c r="I864" s="29"/>
      <c r="J864" s="29"/>
      <c r="K864" s="29"/>
      <c r="L864" s="29"/>
      <c r="M864" s="34"/>
      <c r="N864" s="29"/>
      <c r="O864" s="29"/>
      <c r="P864" s="29"/>
      <c r="Q864" s="29"/>
      <c r="R864" s="29"/>
      <c r="S864" s="29"/>
      <c r="T864" s="1"/>
      <c r="U864" s="34"/>
      <c r="V864" s="34"/>
    </row>
    <row x14ac:dyDescent="0.25" r="865" customHeight="1" ht="15.75">
      <c r="A865" s="1"/>
      <c r="B865" s="29"/>
      <c r="C865" s="29"/>
      <c r="D865" s="34"/>
      <c r="E865" s="34"/>
      <c r="F865" s="34"/>
      <c r="G865" s="60"/>
      <c r="H865" s="60"/>
      <c r="I865" s="29"/>
      <c r="J865" s="29"/>
      <c r="K865" s="29"/>
      <c r="L865" s="29"/>
      <c r="M865" s="34"/>
      <c r="N865" s="29"/>
      <c r="O865" s="29"/>
      <c r="P865" s="29"/>
      <c r="Q865" s="29"/>
      <c r="R865" s="29"/>
      <c r="S865" s="29"/>
      <c r="T865" s="1"/>
      <c r="U865" s="34"/>
      <c r="V865" s="34"/>
    </row>
    <row x14ac:dyDescent="0.25" r="866" customHeight="1" ht="15.75">
      <c r="A866" s="1"/>
      <c r="B866" s="29"/>
      <c r="C866" s="29"/>
      <c r="D866" s="34"/>
      <c r="E866" s="34"/>
      <c r="F866" s="34"/>
      <c r="G866" s="60"/>
      <c r="H866" s="60"/>
      <c r="I866" s="29"/>
      <c r="J866" s="29"/>
      <c r="K866" s="29"/>
      <c r="L866" s="29"/>
      <c r="M866" s="34"/>
      <c r="N866" s="29"/>
      <c r="O866" s="29"/>
      <c r="P866" s="29"/>
      <c r="Q866" s="29"/>
      <c r="R866" s="29"/>
      <c r="S866" s="29"/>
      <c r="T866" s="1"/>
      <c r="U866" s="34"/>
      <c r="V866" s="34"/>
    </row>
    <row x14ac:dyDescent="0.25" r="867" customHeight="1" ht="15.75">
      <c r="A867" s="1"/>
      <c r="B867" s="29"/>
      <c r="C867" s="29"/>
      <c r="D867" s="34"/>
      <c r="E867" s="34"/>
      <c r="F867" s="34"/>
      <c r="G867" s="60"/>
      <c r="H867" s="60"/>
      <c r="I867" s="29"/>
      <c r="J867" s="29"/>
      <c r="K867" s="29"/>
      <c r="L867" s="29"/>
      <c r="M867" s="34"/>
      <c r="N867" s="29"/>
      <c r="O867" s="29"/>
      <c r="P867" s="29"/>
      <c r="Q867" s="29"/>
      <c r="R867" s="29"/>
      <c r="S867" s="29"/>
      <c r="T867" s="1"/>
      <c r="U867" s="34"/>
      <c r="V867" s="34"/>
    </row>
    <row x14ac:dyDescent="0.25" r="868" customHeight="1" ht="15.75">
      <c r="A868" s="1"/>
      <c r="B868" s="29"/>
      <c r="C868" s="29"/>
      <c r="D868" s="34"/>
      <c r="E868" s="34"/>
      <c r="F868" s="34"/>
      <c r="G868" s="60"/>
      <c r="H868" s="60"/>
      <c r="I868" s="29"/>
      <c r="J868" s="29"/>
      <c r="K868" s="29"/>
      <c r="L868" s="29"/>
      <c r="M868" s="34"/>
      <c r="N868" s="29"/>
      <c r="O868" s="29"/>
      <c r="P868" s="29"/>
      <c r="Q868" s="29"/>
      <c r="R868" s="29"/>
      <c r="S868" s="29"/>
      <c r="T868" s="1"/>
      <c r="U868" s="34"/>
      <c r="V868" s="34"/>
    </row>
    <row x14ac:dyDescent="0.25" r="869" customHeight="1" ht="15.75">
      <c r="A869" s="1"/>
      <c r="B869" s="29"/>
      <c r="C869" s="29"/>
      <c r="D869" s="34"/>
      <c r="E869" s="34"/>
      <c r="F869" s="34"/>
      <c r="G869" s="60"/>
      <c r="H869" s="60"/>
      <c r="I869" s="29"/>
      <c r="J869" s="29"/>
      <c r="K869" s="29"/>
      <c r="L869" s="29"/>
      <c r="M869" s="34"/>
      <c r="N869" s="29"/>
      <c r="O869" s="29"/>
      <c r="P869" s="29"/>
      <c r="Q869" s="29"/>
      <c r="R869" s="29"/>
      <c r="S869" s="29"/>
      <c r="T869" s="1"/>
      <c r="U869" s="34"/>
      <c r="V869" s="34"/>
    </row>
    <row x14ac:dyDescent="0.25" r="870" customHeight="1" ht="15.75">
      <c r="A870" s="1"/>
      <c r="B870" s="29"/>
      <c r="C870" s="29"/>
      <c r="D870" s="34"/>
      <c r="E870" s="34"/>
      <c r="F870" s="34"/>
      <c r="G870" s="60"/>
      <c r="H870" s="60"/>
      <c r="I870" s="29"/>
      <c r="J870" s="29"/>
      <c r="K870" s="29"/>
      <c r="L870" s="29"/>
      <c r="M870" s="34"/>
      <c r="N870" s="29"/>
      <c r="O870" s="29"/>
      <c r="P870" s="29"/>
      <c r="Q870" s="29"/>
      <c r="R870" s="29"/>
      <c r="S870" s="29"/>
      <c r="T870" s="1"/>
      <c r="U870" s="34"/>
      <c r="V870" s="34"/>
    </row>
    <row x14ac:dyDescent="0.25" r="871" customHeight="1" ht="15.75">
      <c r="A871" s="1"/>
      <c r="B871" s="29"/>
      <c r="C871" s="29"/>
      <c r="D871" s="34"/>
      <c r="E871" s="34"/>
      <c r="F871" s="34"/>
      <c r="G871" s="60"/>
      <c r="H871" s="60"/>
      <c r="I871" s="29"/>
      <c r="J871" s="29"/>
      <c r="K871" s="29"/>
      <c r="L871" s="29"/>
      <c r="M871" s="34"/>
      <c r="N871" s="29"/>
      <c r="O871" s="29"/>
      <c r="P871" s="29"/>
      <c r="Q871" s="29"/>
      <c r="R871" s="29"/>
      <c r="S871" s="29"/>
      <c r="T871" s="1"/>
      <c r="U871" s="34"/>
      <c r="V871" s="34"/>
    </row>
    <row x14ac:dyDescent="0.25" r="872" customHeight="1" ht="15.75">
      <c r="A872" s="1"/>
      <c r="B872" s="29"/>
      <c r="C872" s="29"/>
      <c r="D872" s="34"/>
      <c r="E872" s="34"/>
      <c r="F872" s="34"/>
      <c r="G872" s="60"/>
      <c r="H872" s="60"/>
      <c r="I872" s="29"/>
      <c r="J872" s="29"/>
      <c r="K872" s="29"/>
      <c r="L872" s="29"/>
      <c r="M872" s="34"/>
      <c r="N872" s="29"/>
      <c r="O872" s="29"/>
      <c r="P872" s="29"/>
      <c r="Q872" s="29"/>
      <c r="R872" s="29"/>
      <c r="S872" s="29"/>
      <c r="T872" s="1"/>
      <c r="U872" s="34"/>
      <c r="V872" s="34"/>
    </row>
    <row x14ac:dyDescent="0.25" r="873" customHeight="1" ht="15.75">
      <c r="A873" s="1"/>
      <c r="B873" s="29"/>
      <c r="C873" s="29"/>
      <c r="D873" s="34"/>
      <c r="E873" s="34"/>
      <c r="F873" s="34"/>
      <c r="G873" s="60"/>
      <c r="H873" s="60"/>
      <c r="I873" s="29"/>
      <c r="J873" s="29"/>
      <c r="K873" s="29"/>
      <c r="L873" s="29"/>
      <c r="M873" s="34"/>
      <c r="N873" s="29"/>
      <c r="O873" s="29"/>
      <c r="P873" s="29"/>
      <c r="Q873" s="29"/>
      <c r="R873" s="29"/>
      <c r="S873" s="29"/>
      <c r="T873" s="1"/>
      <c r="U873" s="34"/>
      <c r="V873" s="34"/>
    </row>
    <row x14ac:dyDescent="0.25" r="874" customHeight="1" ht="15.75">
      <c r="A874" s="1"/>
      <c r="B874" s="29"/>
      <c r="C874" s="29"/>
      <c r="D874" s="34"/>
      <c r="E874" s="34"/>
      <c r="F874" s="34"/>
      <c r="G874" s="60"/>
      <c r="H874" s="60"/>
      <c r="I874" s="29"/>
      <c r="J874" s="29"/>
      <c r="K874" s="29"/>
      <c r="L874" s="29"/>
      <c r="M874" s="34"/>
      <c r="N874" s="29"/>
      <c r="O874" s="29"/>
      <c r="P874" s="29"/>
      <c r="Q874" s="29"/>
      <c r="R874" s="29"/>
      <c r="S874" s="29"/>
      <c r="T874" s="1"/>
      <c r="U874" s="34"/>
      <c r="V874" s="34"/>
    </row>
    <row x14ac:dyDescent="0.25" r="875" customHeight="1" ht="15.75">
      <c r="A875" s="1"/>
      <c r="B875" s="29"/>
      <c r="C875" s="29"/>
      <c r="D875" s="34"/>
      <c r="E875" s="34"/>
      <c r="F875" s="34"/>
      <c r="G875" s="60"/>
      <c r="H875" s="60"/>
      <c r="I875" s="29"/>
      <c r="J875" s="29"/>
      <c r="K875" s="29"/>
      <c r="L875" s="29"/>
      <c r="M875" s="34"/>
      <c r="N875" s="29"/>
      <c r="O875" s="29"/>
      <c r="P875" s="29"/>
      <c r="Q875" s="29"/>
      <c r="R875" s="29"/>
      <c r="S875" s="29"/>
      <c r="T875" s="1"/>
      <c r="U875" s="34"/>
      <c r="V875" s="34"/>
    </row>
    <row x14ac:dyDescent="0.25" r="876" customHeight="1" ht="15.75">
      <c r="A876" s="1"/>
      <c r="B876" s="29"/>
      <c r="C876" s="29"/>
      <c r="D876" s="34"/>
      <c r="E876" s="34"/>
      <c r="F876" s="34"/>
      <c r="G876" s="60"/>
      <c r="H876" s="60"/>
      <c r="I876" s="29"/>
      <c r="J876" s="29"/>
      <c r="K876" s="29"/>
      <c r="L876" s="29"/>
      <c r="M876" s="34"/>
      <c r="N876" s="29"/>
      <c r="O876" s="29"/>
      <c r="P876" s="29"/>
      <c r="Q876" s="29"/>
      <c r="R876" s="29"/>
      <c r="S876" s="29"/>
      <c r="T876" s="1"/>
      <c r="U876" s="34"/>
      <c r="V876" s="34"/>
    </row>
    <row x14ac:dyDescent="0.25" r="877" customHeight="1" ht="15.75">
      <c r="A877" s="1"/>
      <c r="B877" s="29"/>
      <c r="C877" s="29"/>
      <c r="D877" s="34"/>
      <c r="E877" s="34"/>
      <c r="F877" s="34"/>
      <c r="G877" s="60"/>
      <c r="H877" s="60"/>
      <c r="I877" s="29"/>
      <c r="J877" s="29"/>
      <c r="K877" s="29"/>
      <c r="L877" s="29"/>
      <c r="M877" s="34"/>
      <c r="N877" s="29"/>
      <c r="O877" s="29"/>
      <c r="P877" s="29"/>
      <c r="Q877" s="29"/>
      <c r="R877" s="29"/>
      <c r="S877" s="29"/>
      <c r="T877" s="1"/>
      <c r="U877" s="34"/>
      <c r="V877" s="34"/>
    </row>
    <row x14ac:dyDescent="0.25" r="878" customHeight="1" ht="15.75">
      <c r="A878" s="1"/>
      <c r="B878" s="29"/>
      <c r="C878" s="29"/>
      <c r="D878" s="34"/>
      <c r="E878" s="34"/>
      <c r="F878" s="34"/>
      <c r="G878" s="60"/>
      <c r="H878" s="60"/>
      <c r="I878" s="29"/>
      <c r="J878" s="29"/>
      <c r="K878" s="29"/>
      <c r="L878" s="29"/>
      <c r="M878" s="34"/>
      <c r="N878" s="29"/>
      <c r="O878" s="29"/>
      <c r="P878" s="29"/>
      <c r="Q878" s="29"/>
      <c r="R878" s="29"/>
      <c r="S878" s="29"/>
      <c r="T878" s="1"/>
      <c r="U878" s="34"/>
      <c r="V878" s="34"/>
    </row>
    <row x14ac:dyDescent="0.25" r="879" customHeight="1" ht="15.75">
      <c r="A879" s="1"/>
      <c r="B879" s="29"/>
      <c r="C879" s="29"/>
      <c r="D879" s="34"/>
      <c r="E879" s="34"/>
      <c r="F879" s="34"/>
      <c r="G879" s="60"/>
      <c r="H879" s="60"/>
      <c r="I879" s="29"/>
      <c r="J879" s="29"/>
      <c r="K879" s="29"/>
      <c r="L879" s="29"/>
      <c r="M879" s="34"/>
      <c r="N879" s="29"/>
      <c r="O879" s="29"/>
      <c r="P879" s="29"/>
      <c r="Q879" s="29"/>
      <c r="R879" s="29"/>
      <c r="S879" s="29"/>
      <c r="T879" s="1"/>
      <c r="U879" s="34"/>
      <c r="V879" s="34"/>
    </row>
    <row x14ac:dyDescent="0.25" r="880" customHeight="1" ht="15.75">
      <c r="A880" s="1"/>
      <c r="B880" s="29"/>
      <c r="C880" s="29"/>
      <c r="D880" s="34"/>
      <c r="E880" s="34"/>
      <c r="F880" s="34"/>
      <c r="G880" s="60"/>
      <c r="H880" s="60"/>
      <c r="I880" s="29"/>
      <c r="J880" s="29"/>
      <c r="K880" s="29"/>
      <c r="L880" s="29"/>
      <c r="M880" s="34"/>
      <c r="N880" s="29"/>
      <c r="O880" s="29"/>
      <c r="P880" s="29"/>
      <c r="Q880" s="29"/>
      <c r="R880" s="29"/>
      <c r="S880" s="29"/>
      <c r="T880" s="1"/>
      <c r="U880" s="34"/>
      <c r="V880" s="34"/>
    </row>
    <row x14ac:dyDescent="0.25" r="881" customHeight="1" ht="15.75">
      <c r="A881" s="1"/>
      <c r="B881" s="29"/>
      <c r="C881" s="29"/>
      <c r="D881" s="34"/>
      <c r="E881" s="34"/>
      <c r="F881" s="34"/>
      <c r="G881" s="60"/>
      <c r="H881" s="60"/>
      <c r="I881" s="29"/>
      <c r="J881" s="29"/>
      <c r="K881" s="29"/>
      <c r="L881" s="29"/>
      <c r="M881" s="34"/>
      <c r="N881" s="29"/>
      <c r="O881" s="29"/>
      <c r="P881" s="29"/>
      <c r="Q881" s="29"/>
      <c r="R881" s="29"/>
      <c r="S881" s="29"/>
      <c r="T881" s="1"/>
      <c r="U881" s="34"/>
      <c r="V881" s="34"/>
    </row>
    <row x14ac:dyDescent="0.25" r="882" customHeight="1" ht="15.75">
      <c r="A882" s="1"/>
      <c r="B882" s="29"/>
      <c r="C882" s="29"/>
      <c r="D882" s="34"/>
      <c r="E882" s="34"/>
      <c r="F882" s="34"/>
      <c r="G882" s="60"/>
      <c r="H882" s="60"/>
      <c r="I882" s="29"/>
      <c r="J882" s="29"/>
      <c r="K882" s="29"/>
      <c r="L882" s="29"/>
      <c r="M882" s="34"/>
      <c r="N882" s="29"/>
      <c r="O882" s="29"/>
      <c r="P882" s="29"/>
      <c r="Q882" s="29"/>
      <c r="R882" s="29"/>
      <c r="S882" s="29"/>
      <c r="T882" s="1"/>
      <c r="U882" s="34"/>
      <c r="V882" s="34"/>
    </row>
    <row x14ac:dyDescent="0.25" r="883" customHeight="1" ht="15.75">
      <c r="A883" s="1"/>
      <c r="B883" s="29"/>
      <c r="C883" s="29"/>
      <c r="D883" s="34"/>
      <c r="E883" s="34"/>
      <c r="F883" s="34"/>
      <c r="G883" s="60"/>
      <c r="H883" s="60"/>
      <c r="I883" s="29"/>
      <c r="J883" s="29"/>
      <c r="K883" s="29"/>
      <c r="L883" s="29"/>
      <c r="M883" s="34"/>
      <c r="N883" s="29"/>
      <c r="O883" s="29"/>
      <c r="P883" s="29"/>
      <c r="Q883" s="29"/>
      <c r="R883" s="29"/>
      <c r="S883" s="29"/>
      <c r="T883" s="1"/>
      <c r="U883" s="34"/>
      <c r="V883" s="34"/>
    </row>
    <row x14ac:dyDescent="0.25" r="884" customHeight="1" ht="15.75">
      <c r="A884" s="1"/>
      <c r="B884" s="29"/>
      <c r="C884" s="29"/>
      <c r="D884" s="34"/>
      <c r="E884" s="34"/>
      <c r="F884" s="34"/>
      <c r="G884" s="60"/>
      <c r="H884" s="60"/>
      <c r="I884" s="29"/>
      <c r="J884" s="29"/>
      <c r="K884" s="29"/>
      <c r="L884" s="29"/>
      <c r="M884" s="34"/>
      <c r="N884" s="29"/>
      <c r="O884" s="29"/>
      <c r="P884" s="29"/>
      <c r="Q884" s="29"/>
      <c r="R884" s="29"/>
      <c r="S884" s="29"/>
      <c r="T884" s="1"/>
      <c r="U884" s="34"/>
      <c r="V884" s="34"/>
    </row>
    <row x14ac:dyDescent="0.25" r="885" customHeight="1" ht="15.75">
      <c r="A885" s="1"/>
      <c r="B885" s="29"/>
      <c r="C885" s="29"/>
      <c r="D885" s="34"/>
      <c r="E885" s="34"/>
      <c r="F885" s="34"/>
      <c r="G885" s="60"/>
      <c r="H885" s="60"/>
      <c r="I885" s="29"/>
      <c r="J885" s="29"/>
      <c r="K885" s="29"/>
      <c r="L885" s="29"/>
      <c r="M885" s="34"/>
      <c r="N885" s="29"/>
      <c r="O885" s="29"/>
      <c r="P885" s="29"/>
      <c r="Q885" s="29"/>
      <c r="R885" s="29"/>
      <c r="S885" s="29"/>
      <c r="T885" s="1"/>
      <c r="U885" s="34"/>
      <c r="V885" s="34"/>
    </row>
    <row x14ac:dyDescent="0.25" r="886" customHeight="1" ht="15.75">
      <c r="A886" s="1"/>
      <c r="B886" s="29"/>
      <c r="C886" s="29"/>
      <c r="D886" s="34"/>
      <c r="E886" s="34"/>
      <c r="F886" s="34"/>
      <c r="G886" s="60"/>
      <c r="H886" s="60"/>
      <c r="I886" s="29"/>
      <c r="J886" s="29"/>
      <c r="K886" s="29"/>
      <c r="L886" s="29"/>
      <c r="M886" s="34"/>
      <c r="N886" s="29"/>
      <c r="O886" s="29"/>
      <c r="P886" s="29"/>
      <c r="Q886" s="29"/>
      <c r="R886" s="29"/>
      <c r="S886" s="29"/>
      <c r="T886" s="1"/>
      <c r="U886" s="34"/>
      <c r="V886" s="34"/>
    </row>
    <row x14ac:dyDescent="0.25" r="887" customHeight="1" ht="15.75">
      <c r="A887" s="1"/>
      <c r="B887" s="29"/>
      <c r="C887" s="29"/>
      <c r="D887" s="34"/>
      <c r="E887" s="34"/>
      <c r="F887" s="34"/>
      <c r="G887" s="60"/>
      <c r="H887" s="60"/>
      <c r="I887" s="29"/>
      <c r="J887" s="29"/>
      <c r="K887" s="29"/>
      <c r="L887" s="29"/>
      <c r="M887" s="34"/>
      <c r="N887" s="29"/>
      <c r="O887" s="29"/>
      <c r="P887" s="29"/>
      <c r="Q887" s="29"/>
      <c r="R887" s="29"/>
      <c r="S887" s="29"/>
      <c r="T887" s="1"/>
      <c r="U887" s="34"/>
      <c r="V887" s="34"/>
    </row>
    <row x14ac:dyDescent="0.25" r="888" customHeight="1" ht="15.75">
      <c r="A888" s="1"/>
      <c r="B888" s="29"/>
      <c r="C888" s="29"/>
      <c r="D888" s="34"/>
      <c r="E888" s="34"/>
      <c r="F888" s="34"/>
      <c r="G888" s="60"/>
      <c r="H888" s="60"/>
      <c r="I888" s="29"/>
      <c r="J888" s="29"/>
      <c r="K888" s="29"/>
      <c r="L888" s="29"/>
      <c r="M888" s="34"/>
      <c r="N888" s="29"/>
      <c r="O888" s="29"/>
      <c r="P888" s="29"/>
      <c r="Q888" s="29"/>
      <c r="R888" s="29"/>
      <c r="S888" s="29"/>
      <c r="T888" s="1"/>
      <c r="U888" s="34"/>
      <c r="V888" s="34"/>
    </row>
    <row x14ac:dyDescent="0.25" r="889" customHeight="1" ht="15.75">
      <c r="A889" s="1"/>
      <c r="B889" s="29"/>
      <c r="C889" s="29"/>
      <c r="D889" s="34"/>
      <c r="E889" s="34"/>
      <c r="F889" s="34"/>
      <c r="G889" s="60"/>
      <c r="H889" s="60"/>
      <c r="I889" s="29"/>
      <c r="J889" s="29"/>
      <c r="K889" s="29"/>
      <c r="L889" s="29"/>
      <c r="M889" s="34"/>
      <c r="N889" s="29"/>
      <c r="O889" s="29"/>
      <c r="P889" s="29"/>
      <c r="Q889" s="29"/>
      <c r="R889" s="29"/>
      <c r="S889" s="29"/>
      <c r="T889" s="1"/>
      <c r="U889" s="34"/>
      <c r="V889" s="34"/>
    </row>
    <row x14ac:dyDescent="0.25" r="890" customHeight="1" ht="15.75">
      <c r="A890" s="1"/>
      <c r="B890" s="29"/>
      <c r="C890" s="29"/>
      <c r="D890" s="34"/>
      <c r="E890" s="34"/>
      <c r="F890" s="34"/>
      <c r="G890" s="60"/>
      <c r="H890" s="60"/>
      <c r="I890" s="29"/>
      <c r="J890" s="29"/>
      <c r="K890" s="29"/>
      <c r="L890" s="29"/>
      <c r="M890" s="34"/>
      <c r="N890" s="29"/>
      <c r="O890" s="29"/>
      <c r="P890" s="29"/>
      <c r="Q890" s="29"/>
      <c r="R890" s="29"/>
      <c r="S890" s="29"/>
      <c r="T890" s="1"/>
      <c r="U890" s="34"/>
      <c r="V890" s="34"/>
    </row>
    <row x14ac:dyDescent="0.25" r="891" customHeight="1" ht="15.75">
      <c r="A891" s="1"/>
      <c r="B891" s="29"/>
      <c r="C891" s="29"/>
      <c r="D891" s="34"/>
      <c r="E891" s="34"/>
      <c r="F891" s="34"/>
      <c r="G891" s="60"/>
      <c r="H891" s="60"/>
      <c r="I891" s="29"/>
      <c r="J891" s="29"/>
      <c r="K891" s="29"/>
      <c r="L891" s="29"/>
      <c r="M891" s="34"/>
      <c r="N891" s="29"/>
      <c r="O891" s="29"/>
      <c r="P891" s="29"/>
      <c r="Q891" s="29"/>
      <c r="R891" s="29"/>
      <c r="S891" s="29"/>
      <c r="T891" s="1"/>
      <c r="U891" s="34"/>
      <c r="V891" s="34"/>
    </row>
    <row x14ac:dyDescent="0.25" r="892" customHeight="1" ht="15.75">
      <c r="A892" s="1"/>
      <c r="B892" s="29"/>
      <c r="C892" s="29"/>
      <c r="D892" s="34"/>
      <c r="E892" s="34"/>
      <c r="F892" s="34"/>
      <c r="G892" s="60"/>
      <c r="H892" s="60"/>
      <c r="I892" s="29"/>
      <c r="J892" s="29"/>
      <c r="K892" s="29"/>
      <c r="L892" s="29"/>
      <c r="M892" s="34"/>
      <c r="N892" s="29"/>
      <c r="O892" s="29"/>
      <c r="P892" s="29"/>
      <c r="Q892" s="29"/>
      <c r="R892" s="29"/>
      <c r="S892" s="29"/>
      <c r="T892" s="1"/>
      <c r="U892" s="34"/>
      <c r="V892" s="34"/>
    </row>
    <row x14ac:dyDescent="0.25" r="893" customHeight="1" ht="15.75">
      <c r="A893" s="1"/>
      <c r="B893" s="29"/>
      <c r="C893" s="29"/>
      <c r="D893" s="34"/>
      <c r="E893" s="34"/>
      <c r="F893" s="34"/>
      <c r="G893" s="60"/>
      <c r="H893" s="60"/>
      <c r="I893" s="29"/>
      <c r="J893" s="29"/>
      <c r="K893" s="29"/>
      <c r="L893" s="29"/>
      <c r="M893" s="34"/>
      <c r="N893" s="29"/>
      <c r="O893" s="29"/>
      <c r="P893" s="29"/>
      <c r="Q893" s="29"/>
      <c r="R893" s="29"/>
      <c r="S893" s="29"/>
      <c r="T893" s="1"/>
      <c r="U893" s="34"/>
      <c r="V893" s="34"/>
    </row>
    <row x14ac:dyDescent="0.25" r="894" customHeight="1" ht="15.75">
      <c r="A894" s="1"/>
      <c r="B894" s="29"/>
      <c r="C894" s="29"/>
      <c r="D894" s="34"/>
      <c r="E894" s="34"/>
      <c r="F894" s="34"/>
      <c r="G894" s="60"/>
      <c r="H894" s="60"/>
      <c r="I894" s="29"/>
      <c r="J894" s="29"/>
      <c r="K894" s="29"/>
      <c r="L894" s="29"/>
      <c r="M894" s="34"/>
      <c r="N894" s="29"/>
      <c r="O894" s="29"/>
      <c r="P894" s="29"/>
      <c r="Q894" s="29"/>
      <c r="R894" s="29"/>
      <c r="S894" s="29"/>
      <c r="T894" s="1"/>
      <c r="U894" s="34"/>
      <c r="V894" s="34"/>
    </row>
    <row x14ac:dyDescent="0.25" r="895" customHeight="1" ht="15.75">
      <c r="A895" s="1"/>
      <c r="B895" s="29"/>
      <c r="C895" s="29"/>
      <c r="D895" s="34"/>
      <c r="E895" s="34"/>
      <c r="F895" s="34"/>
      <c r="G895" s="60"/>
      <c r="H895" s="60"/>
      <c r="I895" s="29"/>
      <c r="J895" s="29"/>
      <c r="K895" s="29"/>
      <c r="L895" s="29"/>
      <c r="M895" s="34"/>
      <c r="N895" s="29"/>
      <c r="O895" s="29"/>
      <c r="P895" s="29"/>
      <c r="Q895" s="29"/>
      <c r="R895" s="29"/>
      <c r="S895" s="29"/>
      <c r="T895" s="1"/>
      <c r="U895" s="34"/>
      <c r="V895" s="34"/>
    </row>
    <row x14ac:dyDescent="0.25" r="896" customHeight="1" ht="15.75">
      <c r="A896" s="1"/>
      <c r="B896" s="29"/>
      <c r="C896" s="29"/>
      <c r="D896" s="34"/>
      <c r="E896" s="34"/>
      <c r="F896" s="34"/>
      <c r="G896" s="60"/>
      <c r="H896" s="60"/>
      <c r="I896" s="29"/>
      <c r="J896" s="29"/>
      <c r="K896" s="29"/>
      <c r="L896" s="29"/>
      <c r="M896" s="34"/>
      <c r="N896" s="29"/>
      <c r="O896" s="29"/>
      <c r="P896" s="29"/>
      <c r="Q896" s="29"/>
      <c r="R896" s="29"/>
      <c r="S896" s="29"/>
      <c r="T896" s="1"/>
      <c r="U896" s="34"/>
      <c r="V896" s="34"/>
    </row>
    <row x14ac:dyDescent="0.25" r="897" customHeight="1" ht="15.75">
      <c r="A897" s="1"/>
      <c r="B897" s="29"/>
      <c r="C897" s="29"/>
      <c r="D897" s="34"/>
      <c r="E897" s="34"/>
      <c r="F897" s="34"/>
      <c r="G897" s="60"/>
      <c r="H897" s="60"/>
      <c r="I897" s="29"/>
      <c r="J897" s="29"/>
      <c r="K897" s="29"/>
      <c r="L897" s="29"/>
      <c r="M897" s="34"/>
      <c r="N897" s="29"/>
      <c r="O897" s="29"/>
      <c r="P897" s="29"/>
      <c r="Q897" s="29"/>
      <c r="R897" s="29"/>
      <c r="S897" s="29"/>
      <c r="T897" s="1"/>
      <c r="U897" s="34"/>
      <c r="V897" s="34"/>
    </row>
    <row x14ac:dyDescent="0.25" r="898" customHeight="1" ht="15.75">
      <c r="A898" s="1"/>
      <c r="B898" s="29"/>
      <c r="C898" s="29"/>
      <c r="D898" s="34"/>
      <c r="E898" s="34"/>
      <c r="F898" s="34"/>
      <c r="G898" s="60"/>
      <c r="H898" s="60"/>
      <c r="I898" s="29"/>
      <c r="J898" s="29"/>
      <c r="K898" s="29"/>
      <c r="L898" s="29"/>
      <c r="M898" s="34"/>
      <c r="N898" s="29"/>
      <c r="O898" s="29"/>
      <c r="P898" s="29"/>
      <c r="Q898" s="29"/>
      <c r="R898" s="29"/>
      <c r="S898" s="29"/>
      <c r="T898" s="1"/>
      <c r="U898" s="34"/>
      <c r="V898" s="34"/>
    </row>
    <row x14ac:dyDescent="0.25" r="899" customHeight="1" ht="15.75">
      <c r="A899" s="1"/>
      <c r="B899" s="29"/>
      <c r="C899" s="29"/>
      <c r="D899" s="34"/>
      <c r="E899" s="34"/>
      <c r="F899" s="34"/>
      <c r="G899" s="60"/>
      <c r="H899" s="60"/>
      <c r="I899" s="29"/>
      <c r="J899" s="29"/>
      <c r="K899" s="29"/>
      <c r="L899" s="29"/>
      <c r="M899" s="34"/>
      <c r="N899" s="29"/>
      <c r="O899" s="29"/>
      <c r="P899" s="29"/>
      <c r="Q899" s="29"/>
      <c r="R899" s="29"/>
      <c r="S899" s="29"/>
      <c r="T899" s="1"/>
      <c r="U899" s="34"/>
      <c r="V899" s="34"/>
    </row>
    <row x14ac:dyDescent="0.25" r="900" customHeight="1" ht="15.75">
      <c r="A900" s="1"/>
      <c r="B900" s="29"/>
      <c r="C900" s="29"/>
      <c r="D900" s="34"/>
      <c r="E900" s="34"/>
      <c r="F900" s="34"/>
      <c r="G900" s="60"/>
      <c r="H900" s="60"/>
      <c r="I900" s="29"/>
      <c r="J900" s="29"/>
      <c r="K900" s="29"/>
      <c r="L900" s="29"/>
      <c r="M900" s="34"/>
      <c r="N900" s="29"/>
      <c r="O900" s="29"/>
      <c r="P900" s="29"/>
      <c r="Q900" s="29"/>
      <c r="R900" s="29"/>
      <c r="S900" s="29"/>
      <c r="T900" s="1"/>
      <c r="U900" s="34"/>
      <c r="V900" s="34"/>
    </row>
    <row x14ac:dyDescent="0.25" r="901" customHeight="1" ht="15.75">
      <c r="A901" s="1"/>
      <c r="B901" s="29"/>
      <c r="C901" s="29"/>
      <c r="D901" s="34"/>
      <c r="E901" s="34"/>
      <c r="F901" s="34"/>
      <c r="G901" s="60"/>
      <c r="H901" s="60"/>
      <c r="I901" s="29"/>
      <c r="J901" s="29"/>
      <c r="K901" s="29"/>
      <c r="L901" s="29"/>
      <c r="M901" s="34"/>
      <c r="N901" s="29"/>
      <c r="O901" s="29"/>
      <c r="P901" s="29"/>
      <c r="Q901" s="29"/>
      <c r="R901" s="29"/>
      <c r="S901" s="29"/>
      <c r="T901" s="1"/>
      <c r="U901" s="34"/>
      <c r="V901" s="34"/>
    </row>
    <row x14ac:dyDescent="0.25" r="902" customHeight="1" ht="15.75">
      <c r="A902" s="1"/>
      <c r="B902" s="29"/>
      <c r="C902" s="29"/>
      <c r="D902" s="34"/>
      <c r="E902" s="34"/>
      <c r="F902" s="34"/>
      <c r="G902" s="60"/>
      <c r="H902" s="60"/>
      <c r="I902" s="29"/>
      <c r="J902" s="29"/>
      <c r="K902" s="29"/>
      <c r="L902" s="29"/>
      <c r="M902" s="34"/>
      <c r="N902" s="29"/>
      <c r="O902" s="29"/>
      <c r="P902" s="29"/>
      <c r="Q902" s="29"/>
      <c r="R902" s="29"/>
      <c r="S902" s="29"/>
      <c r="T902" s="1"/>
      <c r="U902" s="34"/>
      <c r="V902" s="34"/>
    </row>
    <row x14ac:dyDescent="0.25" r="903" customHeight="1" ht="15.75">
      <c r="A903" s="1"/>
      <c r="B903" s="29"/>
      <c r="C903" s="29"/>
      <c r="D903" s="34"/>
      <c r="E903" s="34"/>
      <c r="F903" s="34"/>
      <c r="G903" s="60"/>
      <c r="H903" s="60"/>
      <c r="I903" s="29"/>
      <c r="J903" s="29"/>
      <c r="K903" s="29"/>
      <c r="L903" s="29"/>
      <c r="M903" s="34"/>
      <c r="N903" s="29"/>
      <c r="O903" s="29"/>
      <c r="P903" s="29"/>
      <c r="Q903" s="29"/>
      <c r="R903" s="29"/>
      <c r="S903" s="29"/>
      <c r="T903" s="1"/>
      <c r="U903" s="34"/>
      <c r="V903" s="34"/>
    </row>
    <row x14ac:dyDescent="0.25" r="904" customHeight="1" ht="15.75">
      <c r="A904" s="1"/>
      <c r="B904" s="29"/>
      <c r="C904" s="29"/>
      <c r="D904" s="34"/>
      <c r="E904" s="34"/>
      <c r="F904" s="34"/>
      <c r="G904" s="60"/>
      <c r="H904" s="60"/>
      <c r="I904" s="29"/>
      <c r="J904" s="29"/>
      <c r="K904" s="29"/>
      <c r="L904" s="29"/>
      <c r="M904" s="34"/>
      <c r="N904" s="29"/>
      <c r="O904" s="29"/>
      <c r="P904" s="29"/>
      <c r="Q904" s="29"/>
      <c r="R904" s="29"/>
      <c r="S904" s="29"/>
      <c r="T904" s="1"/>
      <c r="U904" s="34"/>
      <c r="V904" s="34"/>
    </row>
    <row x14ac:dyDescent="0.25" r="905" customHeight="1" ht="15.75">
      <c r="A905" s="1"/>
      <c r="B905" s="29"/>
      <c r="C905" s="29"/>
      <c r="D905" s="34"/>
      <c r="E905" s="34"/>
      <c r="F905" s="34"/>
      <c r="G905" s="34"/>
      <c r="H905" s="34"/>
      <c r="I905" s="29"/>
      <c r="J905" s="29"/>
      <c r="K905" s="29"/>
      <c r="L905" s="29"/>
      <c r="M905" s="34"/>
      <c r="N905" s="34"/>
      <c r="O905" s="29"/>
      <c r="P905" s="29"/>
      <c r="Q905" s="29"/>
      <c r="R905" s="29"/>
      <c r="S905" s="29"/>
      <c r="T905" s="1"/>
      <c r="U905" s="34"/>
      <c r="V905" s="34"/>
    </row>
    <row x14ac:dyDescent="0.25" r="906" customHeight="1" ht="15.75">
      <c r="A906" s="1"/>
      <c r="B906" s="29"/>
      <c r="C906" s="29"/>
      <c r="D906" s="34"/>
      <c r="E906" s="34"/>
      <c r="F906" s="34"/>
      <c r="G906" s="34"/>
      <c r="H906" s="34"/>
      <c r="I906" s="29"/>
      <c r="J906" s="29"/>
      <c r="K906" s="29"/>
      <c r="L906" s="29"/>
      <c r="M906" s="34"/>
      <c r="N906" s="34"/>
      <c r="O906" s="29"/>
      <c r="P906" s="29"/>
      <c r="Q906" s="29"/>
      <c r="R906" s="29"/>
      <c r="S906" s="29"/>
      <c r="T906" s="1"/>
      <c r="U906" s="34"/>
      <c r="V906" s="34"/>
    </row>
    <row x14ac:dyDescent="0.25" r="907" customHeight="1" ht="15.75">
      <c r="A907" s="1"/>
      <c r="B907" s="29"/>
      <c r="C907" s="29"/>
      <c r="D907" s="34"/>
      <c r="E907" s="34"/>
      <c r="F907" s="34"/>
      <c r="G907" s="34"/>
      <c r="H907" s="34"/>
      <c r="I907" s="29"/>
      <c r="J907" s="29"/>
      <c r="K907" s="29"/>
      <c r="L907" s="29"/>
      <c r="M907" s="34"/>
      <c r="N907" s="34"/>
      <c r="O907" s="29"/>
      <c r="P907" s="29"/>
      <c r="Q907" s="29"/>
      <c r="R907" s="29"/>
      <c r="S907" s="29"/>
      <c r="T907" s="1"/>
      <c r="U907" s="34"/>
      <c r="V907" s="34"/>
    </row>
    <row x14ac:dyDescent="0.25" r="908" customHeight="1" ht="15.75">
      <c r="A908" s="1"/>
      <c r="B908" s="29"/>
      <c r="C908" s="29"/>
      <c r="D908" s="34"/>
      <c r="E908" s="34"/>
      <c r="F908" s="34"/>
      <c r="G908" s="34"/>
      <c r="H908" s="34"/>
      <c r="I908" s="29"/>
      <c r="J908" s="29"/>
      <c r="K908" s="29"/>
      <c r="L908" s="29"/>
      <c r="M908" s="34"/>
      <c r="N908" s="34"/>
      <c r="O908" s="29"/>
      <c r="P908" s="29"/>
      <c r="Q908" s="29"/>
      <c r="R908" s="29"/>
      <c r="S908" s="29"/>
      <c r="T908" s="1"/>
      <c r="U908" s="34"/>
      <c r="V908" s="34"/>
    </row>
    <row x14ac:dyDescent="0.25" r="909" customHeight="1" ht="15.75">
      <c r="A909" s="1"/>
      <c r="B909" s="29"/>
      <c r="C909" s="29"/>
      <c r="D909" s="34"/>
      <c r="E909" s="34"/>
      <c r="F909" s="34"/>
      <c r="G909" s="34"/>
      <c r="H909" s="34"/>
      <c r="I909" s="29"/>
      <c r="J909" s="29"/>
      <c r="K909" s="29"/>
      <c r="L909" s="29"/>
      <c r="M909" s="34"/>
      <c r="N909" s="34"/>
      <c r="O909" s="29"/>
      <c r="P909" s="29"/>
      <c r="Q909" s="29"/>
      <c r="R909" s="29"/>
      <c r="S909" s="29"/>
      <c r="T909" s="1"/>
      <c r="U909" s="34"/>
      <c r="V909" s="34"/>
    </row>
    <row x14ac:dyDescent="0.25" r="910" customHeight="1" ht="15.75">
      <c r="A910" s="1"/>
      <c r="B910" s="29"/>
      <c r="C910" s="29"/>
      <c r="D910" s="34"/>
      <c r="E910" s="34"/>
      <c r="F910" s="34"/>
      <c r="G910" s="34"/>
      <c r="H910" s="34"/>
      <c r="I910" s="29"/>
      <c r="J910" s="29"/>
      <c r="K910" s="29"/>
      <c r="L910" s="29"/>
      <c r="M910" s="34"/>
      <c r="N910" s="34"/>
      <c r="O910" s="29"/>
      <c r="P910" s="29"/>
      <c r="Q910" s="29"/>
      <c r="R910" s="29"/>
      <c r="S910" s="29"/>
      <c r="T910" s="1"/>
      <c r="U910" s="34"/>
      <c r="V910" s="34"/>
    </row>
    <row x14ac:dyDescent="0.25" r="911" customHeight="1" ht="15.75">
      <c r="A911" s="1"/>
      <c r="B911" s="29"/>
      <c r="C911" s="29"/>
      <c r="D911" s="34"/>
      <c r="E911" s="34"/>
      <c r="F911" s="34"/>
      <c r="G911" s="34"/>
      <c r="H911" s="34"/>
      <c r="I911" s="29"/>
      <c r="J911" s="29"/>
      <c r="K911" s="29"/>
      <c r="L911" s="29"/>
      <c r="M911" s="34"/>
      <c r="N911" s="34"/>
      <c r="O911" s="29"/>
      <c r="P911" s="29"/>
      <c r="Q911" s="29"/>
      <c r="R911" s="29"/>
      <c r="S911" s="29"/>
      <c r="T911" s="1"/>
      <c r="U911" s="34"/>
      <c r="V911" s="34"/>
    </row>
    <row x14ac:dyDescent="0.25" r="912" customHeight="1" ht="15.75">
      <c r="A912" s="1"/>
      <c r="B912" s="29"/>
      <c r="C912" s="29"/>
      <c r="D912" s="34"/>
      <c r="E912" s="34"/>
      <c r="F912" s="34"/>
      <c r="G912" s="34"/>
      <c r="H912" s="34"/>
      <c r="I912" s="29"/>
      <c r="J912" s="29"/>
      <c r="K912" s="29"/>
      <c r="L912" s="29"/>
      <c r="M912" s="34"/>
      <c r="N912" s="34"/>
      <c r="O912" s="29"/>
      <c r="P912" s="29"/>
      <c r="Q912" s="29"/>
      <c r="R912" s="29"/>
      <c r="S912" s="29"/>
      <c r="T912" s="1"/>
      <c r="U912" s="34"/>
      <c r="V912" s="34"/>
    </row>
    <row x14ac:dyDescent="0.25" r="913" customHeight="1" ht="15.75">
      <c r="A913" s="1"/>
      <c r="B913" s="29"/>
      <c r="C913" s="29"/>
      <c r="D913" s="34"/>
      <c r="E913" s="34"/>
      <c r="F913" s="34"/>
      <c r="G913" s="34"/>
      <c r="H913" s="34"/>
      <c r="I913" s="29"/>
      <c r="J913" s="29"/>
      <c r="K913" s="29"/>
      <c r="L913" s="29"/>
      <c r="M913" s="34"/>
      <c r="N913" s="34"/>
      <c r="O913" s="29"/>
      <c r="P913" s="29"/>
      <c r="Q913" s="29"/>
      <c r="R913" s="29"/>
      <c r="S913" s="29"/>
      <c r="T913" s="1"/>
      <c r="U913" s="34"/>
      <c r="V913" s="34"/>
    </row>
    <row x14ac:dyDescent="0.25" r="914" customHeight="1" ht="15.75">
      <c r="A914" s="1"/>
      <c r="B914" s="29"/>
      <c r="C914" s="29"/>
      <c r="D914" s="34"/>
      <c r="E914" s="34"/>
      <c r="F914" s="34"/>
      <c r="G914" s="34"/>
      <c r="H914" s="34"/>
      <c r="I914" s="29"/>
      <c r="J914" s="29"/>
      <c r="K914" s="29"/>
      <c r="L914" s="29"/>
      <c r="M914" s="34"/>
      <c r="N914" s="34"/>
      <c r="O914" s="29"/>
      <c r="P914" s="29"/>
      <c r="Q914" s="29"/>
      <c r="R914" s="29"/>
      <c r="S914" s="29"/>
      <c r="T914" s="1"/>
      <c r="U914" s="34"/>
      <c r="V914" s="34"/>
    </row>
    <row x14ac:dyDescent="0.25" r="915" customHeight="1" ht="15.75">
      <c r="A915" s="1"/>
      <c r="B915" s="29"/>
      <c r="C915" s="29"/>
      <c r="D915" s="34"/>
      <c r="E915" s="34"/>
      <c r="F915" s="34"/>
      <c r="G915" s="34"/>
      <c r="H915" s="34"/>
      <c r="I915" s="29"/>
      <c r="J915" s="29"/>
      <c r="K915" s="29"/>
      <c r="L915" s="29"/>
      <c r="M915" s="34"/>
      <c r="N915" s="34"/>
      <c r="O915" s="29"/>
      <c r="P915" s="29"/>
      <c r="Q915" s="29"/>
      <c r="R915" s="29"/>
      <c r="S915" s="29"/>
      <c r="T915" s="1"/>
      <c r="U915" s="34"/>
      <c r="V915" s="34"/>
    </row>
    <row x14ac:dyDescent="0.25" r="916" customHeight="1" ht="15.75">
      <c r="A916" s="1"/>
      <c r="B916" s="29"/>
      <c r="C916" s="29"/>
      <c r="D916" s="34"/>
      <c r="E916" s="34"/>
      <c r="F916" s="34"/>
      <c r="G916" s="34"/>
      <c r="H916" s="34"/>
      <c r="I916" s="29"/>
      <c r="J916" s="29"/>
      <c r="K916" s="29"/>
      <c r="L916" s="29"/>
      <c r="M916" s="34"/>
      <c r="N916" s="34"/>
      <c r="O916" s="29"/>
      <c r="P916" s="29"/>
      <c r="Q916" s="29"/>
      <c r="R916" s="29"/>
      <c r="S916" s="29"/>
      <c r="T916" s="1"/>
      <c r="U916" s="34"/>
      <c r="V916" s="34"/>
    </row>
    <row x14ac:dyDescent="0.25" r="917" customHeight="1" ht="15.75">
      <c r="A917" s="1"/>
      <c r="B917" s="29"/>
      <c r="C917" s="29"/>
      <c r="D917" s="34"/>
      <c r="E917" s="34"/>
      <c r="F917" s="34"/>
      <c r="G917" s="34"/>
      <c r="H917" s="34"/>
      <c r="I917" s="29"/>
      <c r="J917" s="29"/>
      <c r="K917" s="29"/>
      <c r="L917" s="29"/>
      <c r="M917" s="34"/>
      <c r="N917" s="34"/>
      <c r="O917" s="29"/>
      <c r="P917" s="29"/>
      <c r="Q917" s="29"/>
      <c r="R917" s="29"/>
      <c r="S917" s="29"/>
      <c r="T917" s="1"/>
      <c r="U917" s="34"/>
      <c r="V917" s="34"/>
    </row>
    <row x14ac:dyDescent="0.25" r="918" customHeight="1" ht="15.75">
      <c r="A918" s="1"/>
      <c r="B918" s="29"/>
      <c r="C918" s="29"/>
      <c r="D918" s="34"/>
      <c r="E918" s="34"/>
      <c r="F918" s="34"/>
      <c r="G918" s="34"/>
      <c r="H918" s="34"/>
      <c r="I918" s="29"/>
      <c r="J918" s="29"/>
      <c r="K918" s="29"/>
      <c r="L918" s="29"/>
      <c r="M918" s="34"/>
      <c r="N918" s="34"/>
      <c r="O918" s="29"/>
      <c r="P918" s="29"/>
      <c r="Q918" s="29"/>
      <c r="R918" s="29"/>
      <c r="S918" s="29"/>
      <c r="T918" s="1"/>
      <c r="U918" s="34"/>
      <c r="V918" s="34"/>
    </row>
    <row x14ac:dyDescent="0.25" r="919" customHeight="1" ht="15.75">
      <c r="A919" s="1"/>
      <c r="B919" s="29"/>
      <c r="C919" s="29"/>
      <c r="D919" s="34"/>
      <c r="E919" s="34"/>
      <c r="F919" s="34"/>
      <c r="G919" s="34"/>
      <c r="H919" s="34"/>
      <c r="I919" s="29"/>
      <c r="J919" s="29"/>
      <c r="K919" s="29"/>
      <c r="L919" s="29"/>
      <c r="M919" s="34"/>
      <c r="N919" s="34"/>
      <c r="O919" s="29"/>
      <c r="P919" s="29"/>
      <c r="Q919" s="29"/>
      <c r="R919" s="29"/>
      <c r="S919" s="29"/>
      <c r="T919" s="1"/>
      <c r="U919" s="34"/>
      <c r="V919" s="34"/>
    </row>
    <row x14ac:dyDescent="0.25" r="920" customHeight="1" ht="15.75">
      <c r="A920" s="1"/>
      <c r="B920" s="29"/>
      <c r="C920" s="29"/>
      <c r="D920" s="34"/>
      <c r="E920" s="34"/>
      <c r="F920" s="34"/>
      <c r="G920" s="34"/>
      <c r="H920" s="34"/>
      <c r="I920" s="29"/>
      <c r="J920" s="29"/>
      <c r="K920" s="29"/>
      <c r="L920" s="29"/>
      <c r="M920" s="34"/>
      <c r="N920" s="34"/>
      <c r="O920" s="29"/>
      <c r="P920" s="29"/>
      <c r="Q920" s="29"/>
      <c r="R920" s="29"/>
      <c r="S920" s="29"/>
      <c r="T920" s="1"/>
      <c r="U920" s="34"/>
      <c r="V920" s="34"/>
    </row>
    <row x14ac:dyDescent="0.25" r="921" customHeight="1" ht="15.75">
      <c r="A921" s="1"/>
      <c r="B921" s="29"/>
      <c r="C921" s="29"/>
      <c r="D921" s="34"/>
      <c r="E921" s="34"/>
      <c r="F921" s="34"/>
      <c r="G921" s="34"/>
      <c r="H921" s="34"/>
      <c r="I921" s="29"/>
      <c r="J921" s="29"/>
      <c r="K921" s="29"/>
      <c r="L921" s="29"/>
      <c r="M921" s="34"/>
      <c r="N921" s="34"/>
      <c r="O921" s="29"/>
      <c r="P921" s="29"/>
      <c r="Q921" s="29"/>
      <c r="R921" s="29"/>
      <c r="S921" s="29"/>
      <c r="T921" s="1"/>
      <c r="U921" s="34"/>
      <c r="V921" s="34"/>
    </row>
    <row x14ac:dyDescent="0.25" r="922" customHeight="1" ht="15.75">
      <c r="A922" s="1"/>
      <c r="B922" s="29"/>
      <c r="C922" s="29"/>
      <c r="D922" s="34"/>
      <c r="E922" s="34"/>
      <c r="F922" s="34"/>
      <c r="G922" s="34"/>
      <c r="H922" s="34"/>
      <c r="I922" s="29"/>
      <c r="J922" s="29"/>
      <c r="K922" s="29"/>
      <c r="L922" s="29"/>
      <c r="M922" s="34"/>
      <c r="N922" s="34"/>
      <c r="O922" s="29"/>
      <c r="P922" s="29"/>
      <c r="Q922" s="29"/>
      <c r="R922" s="29"/>
      <c r="S922" s="29"/>
      <c r="T922" s="1"/>
      <c r="U922" s="34"/>
      <c r="V922" s="34"/>
    </row>
    <row x14ac:dyDescent="0.25" r="923" customHeight="1" ht="15.75">
      <c r="A923" s="1"/>
      <c r="B923" s="29"/>
      <c r="C923" s="29"/>
      <c r="D923" s="34"/>
      <c r="E923" s="34"/>
      <c r="F923" s="34"/>
      <c r="G923" s="34"/>
      <c r="H923" s="34"/>
      <c r="I923" s="29"/>
      <c r="J923" s="29"/>
      <c r="K923" s="29"/>
      <c r="L923" s="29"/>
      <c r="M923" s="34"/>
      <c r="N923" s="34"/>
      <c r="O923" s="29"/>
      <c r="P923" s="29"/>
      <c r="Q923" s="29"/>
      <c r="R923" s="29"/>
      <c r="S923" s="29"/>
      <c r="T923" s="1"/>
      <c r="U923" s="34"/>
      <c r="V923" s="34"/>
    </row>
    <row x14ac:dyDescent="0.25" r="924" customHeight="1" ht="15.75">
      <c r="A924" s="1"/>
      <c r="B924" s="29"/>
      <c r="C924" s="29"/>
      <c r="D924" s="34"/>
      <c r="E924" s="34"/>
      <c r="F924" s="34"/>
      <c r="G924" s="34"/>
      <c r="H924" s="34"/>
      <c r="I924" s="29"/>
      <c r="J924" s="29"/>
      <c r="K924" s="29"/>
      <c r="L924" s="29"/>
      <c r="M924" s="34"/>
      <c r="N924" s="34"/>
      <c r="O924" s="29"/>
      <c r="P924" s="29"/>
      <c r="Q924" s="29"/>
      <c r="R924" s="29"/>
      <c r="S924" s="29"/>
      <c r="T924" s="1"/>
      <c r="U924" s="34"/>
      <c r="V924" s="34"/>
    </row>
    <row x14ac:dyDescent="0.25" r="925" customHeight="1" ht="15.75">
      <c r="A925" s="1"/>
      <c r="B925" s="29"/>
      <c r="C925" s="29"/>
      <c r="D925" s="34"/>
      <c r="E925" s="34"/>
      <c r="F925" s="34"/>
      <c r="G925" s="34"/>
      <c r="H925" s="34"/>
      <c r="I925" s="29"/>
      <c r="J925" s="29"/>
      <c r="K925" s="29"/>
      <c r="L925" s="29"/>
      <c r="M925" s="34"/>
      <c r="N925" s="34"/>
      <c r="O925" s="29"/>
      <c r="P925" s="29"/>
      <c r="Q925" s="29"/>
      <c r="R925" s="29"/>
      <c r="S925" s="29"/>
      <c r="T925" s="1"/>
      <c r="U925" s="34"/>
      <c r="V925" s="34"/>
    </row>
    <row x14ac:dyDescent="0.25" r="926" customHeight="1" ht="15.75">
      <c r="A926" s="1"/>
      <c r="B926" s="29"/>
      <c r="C926" s="29"/>
      <c r="D926" s="34"/>
      <c r="E926" s="34"/>
      <c r="F926" s="34"/>
      <c r="G926" s="34"/>
      <c r="H926" s="34"/>
      <c r="I926" s="29"/>
      <c r="J926" s="29"/>
      <c r="K926" s="29"/>
      <c r="L926" s="29"/>
      <c r="M926" s="34"/>
      <c r="N926" s="34"/>
      <c r="O926" s="29"/>
      <c r="P926" s="29"/>
      <c r="Q926" s="29"/>
      <c r="R926" s="29"/>
      <c r="S926" s="29"/>
      <c r="T926" s="1"/>
      <c r="U926" s="34"/>
      <c r="V926" s="34"/>
    </row>
    <row x14ac:dyDescent="0.25" r="927" customHeight="1" ht="15.75">
      <c r="A927" s="1"/>
      <c r="B927" s="29"/>
      <c r="C927" s="29"/>
      <c r="D927" s="34"/>
      <c r="E927" s="34"/>
      <c r="F927" s="34"/>
      <c r="G927" s="34"/>
      <c r="H927" s="34"/>
      <c r="I927" s="29"/>
      <c r="J927" s="29"/>
      <c r="K927" s="29"/>
      <c r="L927" s="29"/>
      <c r="M927" s="34"/>
      <c r="N927" s="34"/>
      <c r="O927" s="29"/>
      <c r="P927" s="29"/>
      <c r="Q927" s="29"/>
      <c r="R927" s="29"/>
      <c r="S927" s="29"/>
      <c r="T927" s="1"/>
      <c r="U927" s="34"/>
      <c r="V927" s="34"/>
    </row>
    <row x14ac:dyDescent="0.25" r="928" customHeight="1" ht="15.75">
      <c r="A928" s="1"/>
      <c r="B928" s="29"/>
      <c r="C928" s="29"/>
      <c r="D928" s="34"/>
      <c r="E928" s="34"/>
      <c r="F928" s="34"/>
      <c r="G928" s="34"/>
      <c r="H928" s="34"/>
      <c r="I928" s="29"/>
      <c r="J928" s="29"/>
      <c r="K928" s="29"/>
      <c r="L928" s="29"/>
      <c r="M928" s="34"/>
      <c r="N928" s="34"/>
      <c r="O928" s="29"/>
      <c r="P928" s="29"/>
      <c r="Q928" s="29"/>
      <c r="R928" s="29"/>
      <c r="S928" s="29"/>
      <c r="T928" s="1"/>
      <c r="U928" s="34"/>
      <c r="V928" s="34"/>
    </row>
    <row x14ac:dyDescent="0.25" r="929" customHeight="1" ht="15.75">
      <c r="A929" s="1"/>
      <c r="B929" s="29"/>
      <c r="C929" s="29"/>
      <c r="D929" s="34"/>
      <c r="E929" s="34"/>
      <c r="F929" s="34"/>
      <c r="G929" s="34"/>
      <c r="H929" s="34"/>
      <c r="I929" s="29"/>
      <c r="J929" s="29"/>
      <c r="K929" s="29"/>
      <c r="L929" s="29"/>
      <c r="M929" s="34"/>
      <c r="N929" s="34"/>
      <c r="O929" s="29"/>
      <c r="P929" s="29"/>
      <c r="Q929" s="29"/>
      <c r="R929" s="29"/>
      <c r="S929" s="29"/>
      <c r="T929" s="1"/>
      <c r="U929" s="34"/>
      <c r="V929" s="34"/>
    </row>
    <row x14ac:dyDescent="0.25" r="930" customHeight="1" ht="15.75">
      <c r="A930" s="1"/>
      <c r="B930" s="29"/>
      <c r="C930" s="29"/>
      <c r="D930" s="34"/>
      <c r="E930" s="34"/>
      <c r="F930" s="34"/>
      <c r="G930" s="34"/>
      <c r="H930" s="34"/>
      <c r="I930" s="29"/>
      <c r="J930" s="29"/>
      <c r="K930" s="29"/>
      <c r="L930" s="29"/>
      <c r="M930" s="34"/>
      <c r="N930" s="34"/>
      <c r="O930" s="29"/>
      <c r="P930" s="29"/>
      <c r="Q930" s="29"/>
      <c r="R930" s="29"/>
      <c r="S930" s="29"/>
      <c r="T930" s="1"/>
      <c r="U930" s="34"/>
      <c r="V930" s="34"/>
    </row>
    <row x14ac:dyDescent="0.25" r="931" customHeight="1" ht="15.75">
      <c r="A931" s="1"/>
      <c r="B931" s="29"/>
      <c r="C931" s="29"/>
      <c r="D931" s="34"/>
      <c r="E931" s="34"/>
      <c r="F931" s="34"/>
      <c r="G931" s="34"/>
      <c r="H931" s="34"/>
      <c r="I931" s="29"/>
      <c r="J931" s="29"/>
      <c r="K931" s="29"/>
      <c r="L931" s="29"/>
      <c r="M931" s="34"/>
      <c r="N931" s="34"/>
      <c r="O931" s="29"/>
      <c r="P931" s="29"/>
      <c r="Q931" s="29"/>
      <c r="R931" s="29"/>
      <c r="S931" s="29"/>
      <c r="T931" s="1"/>
      <c r="U931" s="34"/>
      <c r="V931" s="34"/>
    </row>
    <row x14ac:dyDescent="0.25" r="932" customHeight="1" ht="15.75">
      <c r="A932" s="1"/>
      <c r="B932" s="29"/>
      <c r="C932" s="29"/>
      <c r="D932" s="34"/>
      <c r="E932" s="34"/>
      <c r="F932" s="34"/>
      <c r="G932" s="34"/>
      <c r="H932" s="34"/>
      <c r="I932" s="29"/>
      <c r="J932" s="29"/>
      <c r="K932" s="29"/>
      <c r="L932" s="29"/>
      <c r="M932" s="34"/>
      <c r="N932" s="34"/>
      <c r="O932" s="29"/>
      <c r="P932" s="29"/>
      <c r="Q932" s="29"/>
      <c r="R932" s="29"/>
      <c r="S932" s="29"/>
      <c r="T932" s="1"/>
      <c r="U932" s="34"/>
      <c r="V932" s="34"/>
    </row>
    <row x14ac:dyDescent="0.25" r="933" customHeight="1" ht="15.75">
      <c r="A933" s="1"/>
      <c r="B933" s="29"/>
      <c r="C933" s="29"/>
      <c r="D933" s="34"/>
      <c r="E933" s="34"/>
      <c r="F933" s="34"/>
      <c r="G933" s="34"/>
      <c r="H933" s="34"/>
      <c r="I933" s="29"/>
      <c r="J933" s="29"/>
      <c r="K933" s="29"/>
      <c r="L933" s="29"/>
      <c r="M933" s="34"/>
      <c r="N933" s="34"/>
      <c r="O933" s="29"/>
      <c r="P933" s="29"/>
      <c r="Q933" s="29"/>
      <c r="R933" s="29"/>
      <c r="S933" s="29"/>
      <c r="T933" s="1"/>
      <c r="U933" s="34"/>
      <c r="V933" s="34"/>
    </row>
    <row x14ac:dyDescent="0.25" r="934" customHeight="1" ht="15.75">
      <c r="A934" s="1"/>
      <c r="B934" s="29"/>
      <c r="C934" s="29"/>
      <c r="D934" s="34"/>
      <c r="E934" s="34"/>
      <c r="F934" s="34"/>
      <c r="G934" s="34"/>
      <c r="H934" s="34"/>
      <c r="I934" s="29"/>
      <c r="J934" s="29"/>
      <c r="K934" s="29"/>
      <c r="L934" s="29"/>
      <c r="M934" s="34"/>
      <c r="N934" s="34"/>
      <c r="O934" s="29"/>
      <c r="P934" s="29"/>
      <c r="Q934" s="29"/>
      <c r="R934" s="29"/>
      <c r="S934" s="29"/>
      <c r="T934" s="1"/>
      <c r="U934" s="34"/>
      <c r="V934" s="34"/>
    </row>
    <row x14ac:dyDescent="0.25" r="935" customHeight="1" ht="15.75">
      <c r="A935" s="1"/>
      <c r="B935" s="29"/>
      <c r="C935" s="29"/>
      <c r="D935" s="34"/>
      <c r="E935" s="34"/>
      <c r="F935" s="34"/>
      <c r="G935" s="34"/>
      <c r="H935" s="34"/>
      <c r="I935" s="29"/>
      <c r="J935" s="29"/>
      <c r="K935" s="29"/>
      <c r="L935" s="29"/>
      <c r="M935" s="34"/>
      <c r="N935" s="34"/>
      <c r="O935" s="29"/>
      <c r="P935" s="29"/>
      <c r="Q935" s="29"/>
      <c r="R935" s="29"/>
      <c r="S935" s="29"/>
      <c r="T935" s="1"/>
      <c r="U935" s="34"/>
      <c r="V935" s="34"/>
    </row>
    <row x14ac:dyDescent="0.25" r="936" customHeight="1" ht="15.75">
      <c r="A936" s="1"/>
      <c r="B936" s="29"/>
      <c r="C936" s="29"/>
      <c r="D936" s="34"/>
      <c r="E936" s="34"/>
      <c r="F936" s="34"/>
      <c r="G936" s="34"/>
      <c r="H936" s="34"/>
      <c r="I936" s="29"/>
      <c r="J936" s="29"/>
      <c r="K936" s="29"/>
      <c r="L936" s="29"/>
      <c r="M936" s="34"/>
      <c r="N936" s="34"/>
      <c r="O936" s="29"/>
      <c r="P936" s="29"/>
      <c r="Q936" s="29"/>
      <c r="R936" s="29"/>
      <c r="S936" s="29"/>
      <c r="T936" s="1"/>
      <c r="U936" s="34"/>
      <c r="V936" s="34"/>
    </row>
    <row x14ac:dyDescent="0.25" r="937" customHeight="1" ht="15.75">
      <c r="A937" s="1"/>
      <c r="B937" s="29"/>
      <c r="C937" s="29"/>
      <c r="D937" s="34"/>
      <c r="E937" s="34"/>
      <c r="F937" s="34"/>
      <c r="G937" s="34"/>
      <c r="H937" s="34"/>
      <c r="I937" s="29"/>
      <c r="J937" s="29"/>
      <c r="K937" s="29"/>
      <c r="L937" s="29"/>
      <c r="M937" s="34"/>
      <c r="N937" s="34"/>
      <c r="O937" s="29"/>
      <c r="P937" s="29"/>
      <c r="Q937" s="29"/>
      <c r="R937" s="29"/>
      <c r="S937" s="29"/>
      <c r="T937" s="1"/>
      <c r="U937" s="34"/>
      <c r="V937" s="34"/>
    </row>
    <row x14ac:dyDescent="0.25" r="938" customHeight="1" ht="15.75">
      <c r="A938" s="1"/>
      <c r="B938" s="29"/>
      <c r="C938" s="29"/>
      <c r="D938" s="34"/>
      <c r="E938" s="34"/>
      <c r="F938" s="34"/>
      <c r="G938" s="34"/>
      <c r="H938" s="34"/>
      <c r="I938" s="29"/>
      <c r="J938" s="29"/>
      <c r="K938" s="29"/>
      <c r="L938" s="29"/>
      <c r="M938" s="34"/>
      <c r="N938" s="34"/>
      <c r="O938" s="29"/>
      <c r="P938" s="29"/>
      <c r="Q938" s="29"/>
      <c r="R938" s="29"/>
      <c r="S938" s="29"/>
      <c r="T938" s="1"/>
      <c r="U938" s="34"/>
      <c r="V938" s="34"/>
    </row>
    <row x14ac:dyDescent="0.25" r="939" customHeight="1" ht="15.75">
      <c r="A939" s="1"/>
      <c r="B939" s="29"/>
      <c r="C939" s="29"/>
      <c r="D939" s="34"/>
      <c r="E939" s="34"/>
      <c r="F939" s="34"/>
      <c r="G939" s="34"/>
      <c r="H939" s="34"/>
      <c r="I939" s="29"/>
      <c r="J939" s="29"/>
      <c r="K939" s="29"/>
      <c r="L939" s="29"/>
      <c r="M939" s="34"/>
      <c r="N939" s="34"/>
      <c r="O939" s="29"/>
      <c r="P939" s="29"/>
      <c r="Q939" s="29"/>
      <c r="R939" s="29"/>
      <c r="S939" s="29"/>
      <c r="T939" s="1"/>
      <c r="U939" s="34"/>
      <c r="V939" s="34"/>
    </row>
    <row x14ac:dyDescent="0.25" r="940" customHeight="1" ht="15.75">
      <c r="A940" s="1"/>
      <c r="B940" s="29"/>
      <c r="C940" s="29"/>
      <c r="D940" s="34"/>
      <c r="E940" s="34"/>
      <c r="F940" s="34"/>
      <c r="G940" s="34"/>
      <c r="H940" s="34"/>
      <c r="I940" s="29"/>
      <c r="J940" s="29"/>
      <c r="K940" s="29"/>
      <c r="L940" s="29"/>
      <c r="M940" s="34"/>
      <c r="N940" s="34"/>
      <c r="O940" s="29"/>
      <c r="P940" s="29"/>
      <c r="Q940" s="29"/>
      <c r="R940" s="29"/>
      <c r="S940" s="29"/>
      <c r="T940" s="1"/>
      <c r="U940" s="34"/>
      <c r="V940" s="34"/>
    </row>
    <row x14ac:dyDescent="0.25" r="941" customHeight="1" ht="15.75">
      <c r="A941" s="1"/>
      <c r="B941" s="29"/>
      <c r="C941" s="29"/>
      <c r="D941" s="34"/>
      <c r="E941" s="34"/>
      <c r="F941" s="34"/>
      <c r="G941" s="34"/>
      <c r="H941" s="34"/>
      <c r="I941" s="29"/>
      <c r="J941" s="29"/>
      <c r="K941" s="29"/>
      <c r="L941" s="29"/>
      <c r="M941" s="34"/>
      <c r="N941" s="34"/>
      <c r="O941" s="29"/>
      <c r="P941" s="29"/>
      <c r="Q941" s="29"/>
      <c r="R941" s="29"/>
      <c r="S941" s="29"/>
      <c r="T941" s="1"/>
      <c r="U941" s="34"/>
      <c r="V941" s="34"/>
    </row>
    <row x14ac:dyDescent="0.25" r="942" customHeight="1" ht="15.75">
      <c r="A942" s="1"/>
      <c r="B942" s="29"/>
      <c r="C942" s="29"/>
      <c r="D942" s="34"/>
      <c r="E942" s="34"/>
      <c r="F942" s="34"/>
      <c r="G942" s="34"/>
      <c r="H942" s="34"/>
      <c r="I942" s="29"/>
      <c r="J942" s="29"/>
      <c r="K942" s="29"/>
      <c r="L942" s="29"/>
      <c r="M942" s="34"/>
      <c r="N942" s="34"/>
      <c r="O942" s="29"/>
      <c r="P942" s="29"/>
      <c r="Q942" s="29"/>
      <c r="R942" s="29"/>
      <c r="S942" s="29"/>
      <c r="T942" s="1"/>
      <c r="U942" s="34"/>
      <c r="V942" s="34"/>
    </row>
    <row x14ac:dyDescent="0.25" r="943" customHeight="1" ht="15.75">
      <c r="A943" s="1"/>
      <c r="B943" s="29"/>
      <c r="C943" s="29"/>
      <c r="D943" s="34"/>
      <c r="E943" s="34"/>
      <c r="F943" s="34"/>
      <c r="G943" s="34"/>
      <c r="H943" s="34"/>
      <c r="I943" s="29"/>
      <c r="J943" s="29"/>
      <c r="K943" s="29"/>
      <c r="L943" s="29"/>
      <c r="M943" s="34"/>
      <c r="N943" s="34"/>
      <c r="O943" s="29"/>
      <c r="P943" s="29"/>
      <c r="Q943" s="29"/>
      <c r="R943" s="29"/>
      <c r="S943" s="29"/>
      <c r="T943" s="1"/>
      <c r="U943" s="34"/>
      <c r="V943" s="34"/>
    </row>
    <row x14ac:dyDescent="0.25" r="944" customHeight="1" ht="15.75">
      <c r="A944" s="1"/>
      <c r="B944" s="29"/>
      <c r="C944" s="29"/>
      <c r="D944" s="34"/>
      <c r="E944" s="34"/>
      <c r="F944" s="34"/>
      <c r="G944" s="34"/>
      <c r="H944" s="34"/>
      <c r="I944" s="29"/>
      <c r="J944" s="29"/>
      <c r="K944" s="29"/>
      <c r="L944" s="29"/>
      <c r="M944" s="34"/>
      <c r="N944" s="34"/>
      <c r="O944" s="29"/>
      <c r="P944" s="29"/>
      <c r="Q944" s="29"/>
      <c r="R944" s="29"/>
      <c r="S944" s="29"/>
      <c r="T944" s="1"/>
      <c r="U944" s="34"/>
      <c r="V944" s="34"/>
    </row>
    <row x14ac:dyDescent="0.25" r="945" customHeight="1" ht="15.75">
      <c r="A945" s="1"/>
      <c r="B945" s="29"/>
      <c r="C945" s="29"/>
      <c r="D945" s="34"/>
      <c r="E945" s="34"/>
      <c r="F945" s="34"/>
      <c r="G945" s="34"/>
      <c r="H945" s="34"/>
      <c r="I945" s="29"/>
      <c r="J945" s="29"/>
      <c r="K945" s="29"/>
      <c r="L945" s="29"/>
      <c r="M945" s="34"/>
      <c r="N945" s="34"/>
      <c r="O945" s="29"/>
      <c r="P945" s="29"/>
      <c r="Q945" s="29"/>
      <c r="R945" s="29"/>
      <c r="S945" s="29"/>
      <c r="T945" s="1"/>
      <c r="U945" s="34"/>
      <c r="V945" s="34"/>
    </row>
    <row x14ac:dyDescent="0.25" r="946" customHeight="1" ht="15.75">
      <c r="A946" s="1"/>
      <c r="B946" s="29"/>
      <c r="C946" s="29"/>
      <c r="D946" s="34"/>
      <c r="E946" s="34"/>
      <c r="F946" s="34"/>
      <c r="G946" s="34"/>
      <c r="H946" s="34"/>
      <c r="I946" s="29"/>
      <c r="J946" s="29"/>
      <c r="K946" s="29"/>
      <c r="L946" s="29"/>
      <c r="M946" s="34"/>
      <c r="N946" s="34"/>
      <c r="O946" s="29"/>
      <c r="P946" s="29"/>
      <c r="Q946" s="29"/>
      <c r="R946" s="29"/>
      <c r="S946" s="29"/>
      <c r="T946" s="1"/>
      <c r="U946" s="34"/>
      <c r="V946" s="34"/>
    </row>
    <row x14ac:dyDescent="0.25" r="947" customHeight="1" ht="15.75">
      <c r="A947" s="1"/>
      <c r="B947" s="29"/>
      <c r="C947" s="29"/>
      <c r="D947" s="34"/>
      <c r="E947" s="34"/>
      <c r="F947" s="34"/>
      <c r="G947" s="34"/>
      <c r="H947" s="34"/>
      <c r="I947" s="29"/>
      <c r="J947" s="29"/>
      <c r="K947" s="29"/>
      <c r="L947" s="29"/>
      <c r="M947" s="34"/>
      <c r="N947" s="34"/>
      <c r="O947" s="29"/>
      <c r="P947" s="29"/>
      <c r="Q947" s="29"/>
      <c r="R947" s="29"/>
      <c r="S947" s="29"/>
      <c r="T947" s="1"/>
      <c r="U947" s="34"/>
      <c r="V947" s="34"/>
    </row>
    <row x14ac:dyDescent="0.25" r="948" customHeight="1" ht="15.75">
      <c r="A948" s="1"/>
      <c r="B948" s="29"/>
      <c r="C948" s="29"/>
      <c r="D948" s="34"/>
      <c r="E948" s="34"/>
      <c r="F948" s="34"/>
      <c r="G948" s="34"/>
      <c r="H948" s="34"/>
      <c r="I948" s="29"/>
      <c r="J948" s="29"/>
      <c r="K948" s="29"/>
      <c r="L948" s="29"/>
      <c r="M948" s="34"/>
      <c r="N948" s="34"/>
      <c r="O948" s="29"/>
      <c r="P948" s="29"/>
      <c r="Q948" s="29"/>
      <c r="R948" s="29"/>
      <c r="S948" s="29"/>
      <c r="T948" s="1"/>
      <c r="U948" s="34"/>
      <c r="V948" s="34"/>
    </row>
    <row x14ac:dyDescent="0.25" r="949" customHeight="1" ht="15.75">
      <c r="A949" s="1"/>
      <c r="B949" s="29"/>
      <c r="C949" s="29"/>
      <c r="D949" s="34"/>
      <c r="E949" s="34"/>
      <c r="F949" s="34"/>
      <c r="G949" s="34"/>
      <c r="H949" s="34"/>
      <c r="I949" s="29"/>
      <c r="J949" s="29"/>
      <c r="K949" s="29"/>
      <c r="L949" s="29"/>
      <c r="M949" s="34"/>
      <c r="N949" s="34"/>
      <c r="O949" s="29"/>
      <c r="P949" s="29"/>
      <c r="Q949" s="29"/>
      <c r="R949" s="29"/>
      <c r="S949" s="29"/>
      <c r="T949" s="1"/>
      <c r="U949" s="34"/>
      <c r="V949" s="34"/>
    </row>
    <row x14ac:dyDescent="0.25" r="950" customHeight="1" ht="15.75">
      <c r="A950" s="1"/>
      <c r="B950" s="29"/>
      <c r="C950" s="29"/>
      <c r="D950" s="34"/>
      <c r="E950" s="34"/>
      <c r="F950" s="34"/>
      <c r="G950" s="34"/>
      <c r="H950" s="34"/>
      <c r="I950" s="29"/>
      <c r="J950" s="29"/>
      <c r="K950" s="29"/>
      <c r="L950" s="29"/>
      <c r="M950" s="34"/>
      <c r="N950" s="34"/>
      <c r="O950" s="29"/>
      <c r="P950" s="29"/>
      <c r="Q950" s="29"/>
      <c r="R950" s="29"/>
      <c r="S950" s="29"/>
      <c r="T950" s="1"/>
      <c r="U950" s="34"/>
      <c r="V950" s="34"/>
    </row>
    <row x14ac:dyDescent="0.25" r="951" customHeight="1" ht="15.75">
      <c r="A951" s="1"/>
      <c r="B951" s="29"/>
      <c r="C951" s="29"/>
      <c r="D951" s="34"/>
      <c r="E951" s="34"/>
      <c r="F951" s="34"/>
      <c r="G951" s="34"/>
      <c r="H951" s="34"/>
      <c r="I951" s="29"/>
      <c r="J951" s="29"/>
      <c r="K951" s="29"/>
      <c r="L951" s="29"/>
      <c r="M951" s="34"/>
      <c r="N951" s="34"/>
      <c r="O951" s="29"/>
      <c r="P951" s="29"/>
      <c r="Q951" s="29"/>
      <c r="R951" s="29"/>
      <c r="S951" s="29"/>
      <c r="T951" s="1"/>
      <c r="U951" s="34"/>
      <c r="V951" s="34"/>
    </row>
    <row x14ac:dyDescent="0.25" r="952" customHeight="1" ht="15.75">
      <c r="A952" s="1"/>
      <c r="B952" s="29"/>
      <c r="C952" s="29"/>
      <c r="D952" s="34"/>
      <c r="E952" s="34"/>
      <c r="F952" s="34"/>
      <c r="G952" s="34"/>
      <c r="H952" s="34"/>
      <c r="I952" s="29"/>
      <c r="J952" s="29"/>
      <c r="K952" s="29"/>
      <c r="L952" s="29"/>
      <c r="M952" s="34"/>
      <c r="N952" s="34"/>
      <c r="O952" s="29"/>
      <c r="P952" s="29"/>
      <c r="Q952" s="29"/>
      <c r="R952" s="29"/>
      <c r="S952" s="29"/>
      <c r="T952" s="1"/>
      <c r="U952" s="34"/>
      <c r="V952" s="34"/>
    </row>
    <row x14ac:dyDescent="0.25" r="953" customHeight="1" ht="15.75">
      <c r="A953" s="1"/>
      <c r="B953" s="29"/>
      <c r="C953" s="29"/>
      <c r="D953" s="34"/>
      <c r="E953" s="34"/>
      <c r="F953" s="34"/>
      <c r="G953" s="34"/>
      <c r="H953" s="34"/>
      <c r="I953" s="29"/>
      <c r="J953" s="29"/>
      <c r="K953" s="29"/>
      <c r="L953" s="29"/>
      <c r="M953" s="34"/>
      <c r="N953" s="34"/>
      <c r="O953" s="29"/>
      <c r="P953" s="29"/>
      <c r="Q953" s="29"/>
      <c r="R953" s="29"/>
      <c r="S953" s="29"/>
      <c r="T953" s="1"/>
      <c r="U953" s="34"/>
      <c r="V953" s="34"/>
    </row>
    <row x14ac:dyDescent="0.25" r="954" customHeight="1" ht="15.75">
      <c r="A954" s="1"/>
      <c r="B954" s="29"/>
      <c r="C954" s="29"/>
      <c r="D954" s="34"/>
      <c r="E954" s="34"/>
      <c r="F954" s="34"/>
      <c r="G954" s="34"/>
      <c r="H954" s="34"/>
      <c r="I954" s="29"/>
      <c r="J954" s="29"/>
      <c r="K954" s="29"/>
      <c r="L954" s="29"/>
      <c r="M954" s="34"/>
      <c r="N954" s="34"/>
      <c r="O954" s="29"/>
      <c r="P954" s="29"/>
      <c r="Q954" s="29"/>
      <c r="R954" s="29"/>
      <c r="S954" s="29"/>
      <c r="T954" s="1"/>
      <c r="U954" s="34"/>
      <c r="V954" s="34"/>
    </row>
    <row x14ac:dyDescent="0.25" r="955" customHeight="1" ht="15.75">
      <c r="A955" s="1"/>
      <c r="B955" s="29"/>
      <c r="C955" s="29"/>
      <c r="D955" s="34"/>
      <c r="E955" s="34"/>
      <c r="F955" s="34"/>
      <c r="G955" s="34"/>
      <c r="H955" s="34"/>
      <c r="I955" s="29"/>
      <c r="J955" s="29"/>
      <c r="K955" s="29"/>
      <c r="L955" s="29"/>
      <c r="M955" s="34"/>
      <c r="N955" s="34"/>
      <c r="O955" s="29"/>
      <c r="P955" s="29"/>
      <c r="Q955" s="29"/>
      <c r="R955" s="29"/>
      <c r="S955" s="29"/>
      <c r="T955" s="1"/>
      <c r="U955" s="34"/>
      <c r="V955" s="34"/>
    </row>
    <row x14ac:dyDescent="0.25" r="956" customHeight="1" ht="15.75">
      <c r="A956" s="1"/>
      <c r="B956" s="29"/>
      <c r="C956" s="29"/>
      <c r="D956" s="34"/>
      <c r="E956" s="34"/>
      <c r="F956" s="34"/>
      <c r="G956" s="34"/>
      <c r="H956" s="34"/>
      <c r="I956" s="29"/>
      <c r="J956" s="29"/>
      <c r="K956" s="29"/>
      <c r="L956" s="29"/>
      <c r="M956" s="34"/>
      <c r="N956" s="34"/>
      <c r="O956" s="29"/>
      <c r="P956" s="29"/>
      <c r="Q956" s="29"/>
      <c r="R956" s="29"/>
      <c r="S956" s="29"/>
      <c r="T956" s="1"/>
      <c r="U956" s="34"/>
      <c r="V956" s="34"/>
    </row>
    <row x14ac:dyDescent="0.25" r="957" customHeight="1" ht="15.75">
      <c r="A957" s="1"/>
      <c r="B957" s="29"/>
      <c r="C957" s="29"/>
      <c r="D957" s="34"/>
      <c r="E957" s="34"/>
      <c r="F957" s="34"/>
      <c r="G957" s="34"/>
      <c r="H957" s="34"/>
      <c r="I957" s="29"/>
      <c r="J957" s="29"/>
      <c r="K957" s="29"/>
      <c r="L957" s="29"/>
      <c r="M957" s="34"/>
      <c r="N957" s="34"/>
      <c r="O957" s="29"/>
      <c r="P957" s="29"/>
      <c r="Q957" s="29"/>
      <c r="R957" s="29"/>
      <c r="S957" s="29"/>
      <c r="T957" s="1"/>
      <c r="U957" s="34"/>
      <c r="V957" s="34"/>
    </row>
    <row x14ac:dyDescent="0.25" r="958" customHeight="1" ht="15.75">
      <c r="A958" s="1"/>
      <c r="B958" s="29"/>
      <c r="C958" s="29"/>
      <c r="D958" s="34"/>
      <c r="E958" s="34"/>
      <c r="F958" s="34"/>
      <c r="G958" s="34"/>
      <c r="H958" s="34"/>
      <c r="I958" s="29"/>
      <c r="J958" s="29"/>
      <c r="K958" s="29"/>
      <c r="L958" s="29"/>
      <c r="M958" s="34"/>
      <c r="N958" s="34"/>
      <c r="O958" s="29"/>
      <c r="P958" s="29"/>
      <c r="Q958" s="29"/>
      <c r="R958" s="29"/>
      <c r="S958" s="29"/>
      <c r="T958" s="1"/>
      <c r="U958" s="34"/>
      <c r="V958" s="34"/>
    </row>
    <row x14ac:dyDescent="0.25" r="959" customHeight="1" ht="15.75">
      <c r="A959" s="1"/>
      <c r="B959" s="29"/>
      <c r="C959" s="29"/>
      <c r="D959" s="34"/>
      <c r="E959" s="34"/>
      <c r="F959" s="34"/>
      <c r="G959" s="34"/>
      <c r="H959" s="34"/>
      <c r="I959" s="29"/>
      <c r="J959" s="29"/>
      <c r="K959" s="29"/>
      <c r="L959" s="29"/>
      <c r="M959" s="34"/>
      <c r="N959" s="34"/>
      <c r="O959" s="29"/>
      <c r="P959" s="29"/>
      <c r="Q959" s="29"/>
      <c r="R959" s="29"/>
      <c r="S959" s="29"/>
      <c r="T959" s="1"/>
      <c r="U959" s="34"/>
      <c r="V959" s="34"/>
    </row>
    <row x14ac:dyDescent="0.25" r="960" customHeight="1" ht="15.75">
      <c r="A960" s="1"/>
      <c r="B960" s="29"/>
      <c r="C960" s="29"/>
      <c r="D960" s="34"/>
      <c r="E960" s="34"/>
      <c r="F960" s="34"/>
      <c r="G960" s="34"/>
      <c r="H960" s="34"/>
      <c r="I960" s="29"/>
      <c r="J960" s="29"/>
      <c r="K960" s="29"/>
      <c r="L960" s="29"/>
      <c r="M960" s="34"/>
      <c r="N960" s="34"/>
      <c r="O960" s="29"/>
      <c r="P960" s="29"/>
      <c r="Q960" s="29"/>
      <c r="R960" s="29"/>
      <c r="S960" s="29"/>
      <c r="T960" s="1"/>
      <c r="U960" s="34"/>
      <c r="V960" s="34"/>
    </row>
    <row x14ac:dyDescent="0.25" r="961" customHeight="1" ht="15.75">
      <c r="A961" s="1"/>
      <c r="B961" s="29"/>
      <c r="C961" s="29"/>
      <c r="D961" s="34"/>
      <c r="E961" s="34"/>
      <c r="F961" s="34"/>
      <c r="G961" s="34"/>
      <c r="H961" s="34"/>
      <c r="I961" s="29"/>
      <c r="J961" s="29"/>
      <c r="K961" s="29"/>
      <c r="L961" s="29"/>
      <c r="M961" s="34"/>
      <c r="N961" s="34"/>
      <c r="O961" s="29"/>
      <c r="P961" s="29"/>
      <c r="Q961" s="29"/>
      <c r="R961" s="29"/>
      <c r="S961" s="29"/>
      <c r="T961" s="1"/>
      <c r="U961" s="34"/>
      <c r="V961" s="34"/>
    </row>
    <row x14ac:dyDescent="0.25" r="962" customHeight="1" ht="15.75">
      <c r="A962" s="1"/>
      <c r="B962" s="29"/>
      <c r="C962" s="29"/>
      <c r="D962" s="34"/>
      <c r="E962" s="34"/>
      <c r="F962" s="34"/>
      <c r="G962" s="34"/>
      <c r="H962" s="34"/>
      <c r="I962" s="29"/>
      <c r="J962" s="29"/>
      <c r="K962" s="29"/>
      <c r="L962" s="29"/>
      <c r="M962" s="34"/>
      <c r="N962" s="34"/>
      <c r="O962" s="29"/>
      <c r="P962" s="29"/>
      <c r="Q962" s="29"/>
      <c r="R962" s="29"/>
      <c r="S962" s="29"/>
      <c r="T962" s="1"/>
      <c r="U962" s="34"/>
      <c r="V962" s="34"/>
    </row>
    <row x14ac:dyDescent="0.25" r="963" customHeight="1" ht="15.75">
      <c r="A963" s="1"/>
      <c r="B963" s="29"/>
      <c r="C963" s="29"/>
      <c r="D963" s="34"/>
      <c r="E963" s="34"/>
      <c r="F963" s="34"/>
      <c r="G963" s="34"/>
      <c r="H963" s="34"/>
      <c r="I963" s="29"/>
      <c r="J963" s="29"/>
      <c r="K963" s="29"/>
      <c r="L963" s="29"/>
      <c r="M963" s="34"/>
      <c r="N963" s="34"/>
      <c r="O963" s="29"/>
      <c r="P963" s="29"/>
      <c r="Q963" s="29"/>
      <c r="R963" s="29"/>
      <c r="S963" s="29"/>
      <c r="T963" s="1"/>
      <c r="U963" s="34"/>
      <c r="V963" s="34"/>
    </row>
    <row x14ac:dyDescent="0.25" r="964" customHeight="1" ht="15.75">
      <c r="A964" s="1"/>
      <c r="B964" s="29"/>
      <c r="C964" s="29"/>
      <c r="D964" s="34"/>
      <c r="E964" s="34"/>
      <c r="F964" s="34"/>
      <c r="G964" s="34"/>
      <c r="H964" s="34"/>
      <c r="I964" s="29"/>
      <c r="J964" s="29"/>
      <c r="K964" s="29"/>
      <c r="L964" s="29"/>
      <c r="M964" s="34"/>
      <c r="N964" s="34"/>
      <c r="O964" s="29"/>
      <c r="P964" s="29"/>
      <c r="Q964" s="29"/>
      <c r="R964" s="29"/>
      <c r="S964" s="29"/>
      <c r="T964" s="1"/>
      <c r="U964" s="34"/>
      <c r="V964" s="34"/>
    </row>
    <row x14ac:dyDescent="0.25" r="965" customHeight="1" ht="15.75">
      <c r="A965" s="1"/>
      <c r="B965" s="29"/>
      <c r="C965" s="29"/>
      <c r="D965" s="34"/>
      <c r="E965" s="34"/>
      <c r="F965" s="34"/>
      <c r="G965" s="34"/>
      <c r="H965" s="34"/>
      <c r="I965" s="29"/>
      <c r="J965" s="29"/>
      <c r="K965" s="29"/>
      <c r="L965" s="29"/>
      <c r="M965" s="34"/>
      <c r="N965" s="34"/>
      <c r="O965" s="29"/>
      <c r="P965" s="29"/>
      <c r="Q965" s="29"/>
      <c r="R965" s="29"/>
      <c r="S965" s="29"/>
      <c r="T965" s="1"/>
      <c r="U965" s="34"/>
      <c r="V965" s="34"/>
    </row>
    <row x14ac:dyDescent="0.25" r="966" customHeight="1" ht="15.75">
      <c r="A966" s="1"/>
      <c r="B966" s="29"/>
      <c r="C966" s="29"/>
      <c r="D966" s="34"/>
      <c r="E966" s="34"/>
      <c r="F966" s="34"/>
      <c r="G966" s="34"/>
      <c r="H966" s="34"/>
      <c r="I966" s="29"/>
      <c r="J966" s="29"/>
      <c r="K966" s="29"/>
      <c r="L966" s="29"/>
      <c r="M966" s="34"/>
      <c r="N966" s="34"/>
      <c r="O966" s="29"/>
      <c r="P966" s="29"/>
      <c r="Q966" s="29"/>
      <c r="R966" s="29"/>
      <c r="S966" s="29"/>
      <c r="T966" s="1"/>
      <c r="U966" s="34"/>
      <c r="V966" s="34"/>
    </row>
    <row x14ac:dyDescent="0.25" r="967" customHeight="1" ht="15.75">
      <c r="A967" s="1"/>
      <c r="B967" s="29"/>
      <c r="C967" s="29"/>
      <c r="D967" s="34"/>
      <c r="E967" s="34"/>
      <c r="F967" s="34"/>
      <c r="G967" s="34"/>
      <c r="H967" s="34"/>
      <c r="I967" s="29"/>
      <c r="J967" s="29"/>
      <c r="K967" s="29"/>
      <c r="L967" s="29"/>
      <c r="M967" s="34"/>
      <c r="N967" s="34"/>
      <c r="O967" s="29"/>
      <c r="P967" s="29"/>
      <c r="Q967" s="29"/>
      <c r="R967" s="29"/>
      <c r="S967" s="29"/>
      <c r="T967" s="1"/>
      <c r="U967" s="34"/>
      <c r="V967" s="34"/>
    </row>
    <row x14ac:dyDescent="0.25" r="968" customHeight="1" ht="15.75">
      <c r="A968" s="1"/>
      <c r="B968" s="29"/>
      <c r="C968" s="29"/>
      <c r="D968" s="34"/>
      <c r="E968" s="34"/>
      <c r="F968" s="34"/>
      <c r="G968" s="34"/>
      <c r="H968" s="34"/>
      <c r="I968" s="29"/>
      <c r="J968" s="29"/>
      <c r="K968" s="29"/>
      <c r="L968" s="29"/>
      <c r="M968" s="34"/>
      <c r="N968" s="34"/>
      <c r="O968" s="29"/>
      <c r="P968" s="29"/>
      <c r="Q968" s="29"/>
      <c r="R968" s="29"/>
      <c r="S968" s="29"/>
      <c r="T968" s="1"/>
      <c r="U968" s="34"/>
      <c r="V968" s="34"/>
    </row>
    <row x14ac:dyDescent="0.25" r="969" customHeight="1" ht="15.75">
      <c r="A969" s="1"/>
      <c r="B969" s="29"/>
      <c r="C969" s="29"/>
      <c r="D969" s="34"/>
      <c r="E969" s="34"/>
      <c r="F969" s="34"/>
      <c r="G969" s="34"/>
      <c r="H969" s="34"/>
      <c r="I969" s="29"/>
      <c r="J969" s="29"/>
      <c r="K969" s="29"/>
      <c r="L969" s="29"/>
      <c r="M969" s="34"/>
      <c r="N969" s="34"/>
      <c r="O969" s="29"/>
      <c r="P969" s="29"/>
      <c r="Q969" s="29"/>
      <c r="R969" s="29"/>
      <c r="S969" s="29"/>
      <c r="T969" s="1"/>
      <c r="U969" s="34"/>
      <c r="V969" s="34"/>
    </row>
    <row x14ac:dyDescent="0.25" r="970" customHeight="1" ht="15.75">
      <c r="A970" s="1"/>
      <c r="B970" s="29"/>
      <c r="C970" s="29"/>
      <c r="D970" s="34"/>
      <c r="E970" s="34"/>
      <c r="F970" s="34"/>
      <c r="G970" s="34"/>
      <c r="H970" s="34"/>
      <c r="I970" s="29"/>
      <c r="J970" s="29"/>
      <c r="K970" s="29"/>
      <c r="L970" s="29"/>
      <c r="M970" s="34"/>
      <c r="N970" s="34"/>
      <c r="O970" s="29"/>
      <c r="P970" s="29"/>
      <c r="Q970" s="29"/>
      <c r="R970" s="29"/>
      <c r="S970" s="29"/>
      <c r="T970" s="1"/>
      <c r="U970" s="34"/>
      <c r="V970" s="34"/>
    </row>
    <row x14ac:dyDescent="0.25" r="971" customHeight="1" ht="15.75">
      <c r="A971" s="1"/>
      <c r="B971" s="29"/>
      <c r="C971" s="29"/>
      <c r="D971" s="34"/>
      <c r="E971" s="34"/>
      <c r="F971" s="34"/>
      <c r="G971" s="34"/>
      <c r="H971" s="34"/>
      <c r="I971" s="29"/>
      <c r="J971" s="29"/>
      <c r="K971" s="29"/>
      <c r="L971" s="29"/>
      <c r="M971" s="34"/>
      <c r="N971" s="34"/>
      <c r="O971" s="29"/>
      <c r="P971" s="29"/>
      <c r="Q971" s="29"/>
      <c r="R971" s="29"/>
      <c r="S971" s="29"/>
      <c r="T971" s="1"/>
      <c r="U971" s="34"/>
      <c r="V971" s="34"/>
    </row>
    <row x14ac:dyDescent="0.25" r="972" customHeight="1" ht="15.75">
      <c r="A972" s="1"/>
      <c r="B972" s="29"/>
      <c r="C972" s="29"/>
      <c r="D972" s="34"/>
      <c r="E972" s="34"/>
      <c r="F972" s="34"/>
      <c r="G972" s="34"/>
      <c r="H972" s="34"/>
      <c r="I972" s="29"/>
      <c r="J972" s="29"/>
      <c r="K972" s="29"/>
      <c r="L972" s="29"/>
      <c r="M972" s="34"/>
      <c r="N972" s="34"/>
      <c r="O972" s="29"/>
      <c r="P972" s="29"/>
      <c r="Q972" s="29"/>
      <c r="R972" s="29"/>
      <c r="S972" s="29"/>
      <c r="T972" s="1"/>
      <c r="U972" s="34"/>
      <c r="V972" s="34"/>
    </row>
    <row x14ac:dyDescent="0.25" r="973" customHeight="1" ht="15.75">
      <c r="A973" s="1"/>
      <c r="B973" s="29"/>
      <c r="C973" s="29"/>
      <c r="D973" s="34"/>
      <c r="E973" s="34"/>
      <c r="F973" s="34"/>
      <c r="G973" s="34"/>
      <c r="H973" s="34"/>
      <c r="I973" s="29"/>
      <c r="J973" s="29"/>
      <c r="K973" s="29"/>
      <c r="L973" s="29"/>
      <c r="M973" s="34"/>
      <c r="N973" s="34"/>
      <c r="O973" s="29"/>
      <c r="P973" s="29"/>
      <c r="Q973" s="29"/>
      <c r="R973" s="29"/>
      <c r="S973" s="29"/>
      <c r="T973" s="1"/>
      <c r="U973" s="34"/>
      <c r="V973" s="34"/>
    </row>
    <row x14ac:dyDescent="0.25" r="974" customHeight="1" ht="15.75">
      <c r="A974" s="1"/>
      <c r="B974" s="29"/>
      <c r="C974" s="29"/>
      <c r="D974" s="34"/>
      <c r="E974" s="34"/>
      <c r="F974" s="34"/>
      <c r="G974" s="34"/>
      <c r="H974" s="34"/>
      <c r="I974" s="29"/>
      <c r="J974" s="29"/>
      <c r="K974" s="29"/>
      <c r="L974" s="29"/>
      <c r="M974" s="34"/>
      <c r="N974" s="34"/>
      <c r="O974" s="29"/>
      <c r="P974" s="29"/>
      <c r="Q974" s="29"/>
      <c r="R974" s="29"/>
      <c r="S974" s="29"/>
      <c r="T974" s="1"/>
      <c r="U974" s="34"/>
      <c r="V974" s="34"/>
    </row>
    <row x14ac:dyDescent="0.25" r="975" customHeight="1" ht="15.75">
      <c r="A975" s="1"/>
      <c r="B975" s="29"/>
      <c r="C975" s="29"/>
      <c r="D975" s="34"/>
      <c r="E975" s="34"/>
      <c r="F975" s="34"/>
      <c r="G975" s="34"/>
      <c r="H975" s="34"/>
      <c r="I975" s="29"/>
      <c r="J975" s="29"/>
      <c r="K975" s="29"/>
      <c r="L975" s="29"/>
      <c r="M975" s="34"/>
      <c r="N975" s="34"/>
      <c r="O975" s="29"/>
      <c r="P975" s="29"/>
      <c r="Q975" s="29"/>
      <c r="R975" s="29"/>
      <c r="S975" s="29"/>
      <c r="T975" s="1"/>
      <c r="U975" s="34"/>
      <c r="V975" s="34"/>
    </row>
    <row x14ac:dyDescent="0.25" r="976" customHeight="1" ht="15.75">
      <c r="A976" s="1"/>
      <c r="B976" s="29"/>
      <c r="C976" s="29"/>
      <c r="D976" s="34"/>
      <c r="E976" s="34"/>
      <c r="F976" s="34"/>
      <c r="G976" s="34"/>
      <c r="H976" s="34"/>
      <c r="I976" s="29"/>
      <c r="J976" s="29"/>
      <c r="K976" s="29"/>
      <c r="L976" s="29"/>
      <c r="M976" s="34"/>
      <c r="N976" s="34"/>
      <c r="O976" s="29"/>
      <c r="P976" s="29"/>
      <c r="Q976" s="29"/>
      <c r="R976" s="29"/>
      <c r="S976" s="29"/>
      <c r="T976" s="1"/>
      <c r="U976" s="34"/>
      <c r="V976" s="34"/>
    </row>
    <row x14ac:dyDescent="0.25" r="977" customHeight="1" ht="15.75">
      <c r="A977" s="1"/>
      <c r="B977" s="29"/>
      <c r="C977" s="29"/>
      <c r="D977" s="34"/>
      <c r="E977" s="34"/>
      <c r="F977" s="34"/>
      <c r="G977" s="34"/>
      <c r="H977" s="34"/>
      <c r="I977" s="29"/>
      <c r="J977" s="29"/>
      <c r="K977" s="29"/>
      <c r="L977" s="29"/>
      <c r="M977" s="34"/>
      <c r="N977" s="34"/>
      <c r="O977" s="29"/>
      <c r="P977" s="29"/>
      <c r="Q977" s="29"/>
      <c r="R977" s="29"/>
      <c r="S977" s="29"/>
      <c r="T977" s="1"/>
      <c r="U977" s="34"/>
      <c r="V977" s="34"/>
    </row>
    <row x14ac:dyDescent="0.25" r="978" customHeight="1" ht="15.75">
      <c r="A978" s="1"/>
      <c r="B978" s="29"/>
      <c r="C978" s="29"/>
      <c r="D978" s="34"/>
      <c r="E978" s="34"/>
      <c r="F978" s="34"/>
      <c r="G978" s="34"/>
      <c r="H978" s="34"/>
      <c r="I978" s="29"/>
      <c r="J978" s="29"/>
      <c r="K978" s="29"/>
      <c r="L978" s="29"/>
      <c r="M978" s="34"/>
      <c r="N978" s="34"/>
      <c r="O978" s="29"/>
      <c r="P978" s="29"/>
      <c r="Q978" s="29"/>
      <c r="R978" s="29"/>
      <c r="S978" s="29"/>
      <c r="T978" s="1"/>
      <c r="U978" s="34"/>
      <c r="V978" s="34"/>
    </row>
    <row x14ac:dyDescent="0.25" r="979" customHeight="1" ht="15.75">
      <c r="A979" s="1"/>
      <c r="B979" s="29"/>
      <c r="C979" s="29"/>
      <c r="D979" s="34"/>
      <c r="E979" s="34"/>
      <c r="F979" s="34"/>
      <c r="G979" s="34"/>
      <c r="H979" s="34"/>
      <c r="I979" s="29"/>
      <c r="J979" s="29"/>
      <c r="K979" s="29"/>
      <c r="L979" s="29"/>
      <c r="M979" s="34"/>
      <c r="N979" s="34"/>
      <c r="O979" s="29"/>
      <c r="P979" s="29"/>
      <c r="Q979" s="29"/>
      <c r="R979" s="29"/>
      <c r="S979" s="29"/>
      <c r="T979" s="1"/>
      <c r="U979" s="34"/>
      <c r="V979" s="34"/>
    </row>
    <row x14ac:dyDescent="0.25" r="980" customHeight="1" ht="15.75">
      <c r="A980" s="1"/>
      <c r="B980" s="29"/>
      <c r="C980" s="29"/>
      <c r="D980" s="34"/>
      <c r="E980" s="34"/>
      <c r="F980" s="34"/>
      <c r="G980" s="34"/>
      <c r="H980" s="34"/>
      <c r="I980" s="29"/>
      <c r="J980" s="29"/>
      <c r="K980" s="29"/>
      <c r="L980" s="29"/>
      <c r="M980" s="34"/>
      <c r="N980" s="34"/>
      <c r="O980" s="29"/>
      <c r="P980" s="29"/>
      <c r="Q980" s="29"/>
      <c r="R980" s="29"/>
      <c r="S980" s="29"/>
      <c r="T980" s="1"/>
      <c r="U980" s="34"/>
      <c r="V980" s="34"/>
    </row>
    <row x14ac:dyDescent="0.25" r="981" customHeight="1" ht="15.75">
      <c r="A981" s="1"/>
      <c r="B981" s="29"/>
      <c r="C981" s="29"/>
      <c r="D981" s="34"/>
      <c r="E981" s="34"/>
      <c r="F981" s="34"/>
      <c r="G981" s="34"/>
      <c r="H981" s="34"/>
      <c r="I981" s="29"/>
      <c r="J981" s="29"/>
      <c r="K981" s="29"/>
      <c r="L981" s="29"/>
      <c r="M981" s="34"/>
      <c r="N981" s="34"/>
      <c r="O981" s="29"/>
      <c r="P981" s="29"/>
      <c r="Q981" s="29"/>
      <c r="R981" s="29"/>
      <c r="S981" s="29"/>
      <c r="T981" s="1"/>
      <c r="U981" s="34"/>
      <c r="V981" s="34"/>
    </row>
    <row x14ac:dyDescent="0.25" r="982" customHeight="1" ht="15.75">
      <c r="A982" s="1"/>
      <c r="B982" s="29"/>
      <c r="C982" s="29"/>
      <c r="D982" s="34"/>
      <c r="E982" s="34"/>
      <c r="F982" s="34"/>
      <c r="G982" s="34"/>
      <c r="H982" s="34"/>
      <c r="I982" s="29"/>
      <c r="J982" s="29"/>
      <c r="K982" s="29"/>
      <c r="L982" s="29"/>
      <c r="M982" s="34"/>
      <c r="N982" s="34"/>
      <c r="O982" s="29"/>
      <c r="P982" s="29"/>
      <c r="Q982" s="29"/>
      <c r="R982" s="29"/>
      <c r="S982" s="29"/>
      <c r="T982" s="1"/>
      <c r="U982" s="34"/>
      <c r="V982" s="34"/>
    </row>
    <row x14ac:dyDescent="0.25" r="983" customHeight="1" ht="15.75">
      <c r="A983" s="1"/>
      <c r="B983" s="29"/>
      <c r="C983" s="29"/>
      <c r="D983" s="34"/>
      <c r="E983" s="34"/>
      <c r="F983" s="34"/>
      <c r="G983" s="34"/>
      <c r="H983" s="34"/>
      <c r="I983" s="29"/>
      <c r="J983" s="29"/>
      <c r="K983" s="29"/>
      <c r="L983" s="29"/>
      <c r="M983" s="34"/>
      <c r="N983" s="34"/>
      <c r="O983" s="29"/>
      <c r="P983" s="29"/>
      <c r="Q983" s="29"/>
      <c r="R983" s="29"/>
      <c r="S983" s="29"/>
      <c r="T983" s="1"/>
      <c r="U983" s="34"/>
      <c r="V983" s="34"/>
    </row>
    <row x14ac:dyDescent="0.25" r="984" customHeight="1" ht="15.75">
      <c r="A984" s="1"/>
      <c r="B984" s="29"/>
      <c r="C984" s="29"/>
      <c r="D984" s="34"/>
      <c r="E984" s="34"/>
      <c r="F984" s="34"/>
      <c r="G984" s="34"/>
      <c r="H984" s="34"/>
      <c r="I984" s="29"/>
      <c r="J984" s="29"/>
      <c r="K984" s="29"/>
      <c r="L984" s="29"/>
      <c r="M984" s="34"/>
      <c r="N984" s="34"/>
      <c r="O984" s="29"/>
      <c r="P984" s="29"/>
      <c r="Q984" s="29"/>
      <c r="R984" s="29"/>
      <c r="S984" s="29"/>
      <c r="T984" s="1"/>
      <c r="U984" s="34"/>
      <c r="V984" s="34"/>
    </row>
    <row x14ac:dyDescent="0.25" r="985" customHeight="1" ht="15.75">
      <c r="A985" s="1"/>
      <c r="B985" s="29"/>
      <c r="C985" s="29"/>
      <c r="D985" s="34"/>
      <c r="E985" s="34"/>
      <c r="F985" s="34"/>
      <c r="G985" s="34"/>
      <c r="H985" s="34"/>
      <c r="I985" s="29"/>
      <c r="J985" s="29"/>
      <c r="K985" s="29"/>
      <c r="L985" s="29"/>
      <c r="M985" s="34"/>
      <c r="N985" s="34"/>
      <c r="O985" s="29"/>
      <c r="P985" s="29"/>
      <c r="Q985" s="29"/>
      <c r="R985" s="29"/>
      <c r="S985" s="29"/>
      <c r="T985" s="1"/>
      <c r="U985" s="34"/>
      <c r="V985" s="34"/>
    </row>
    <row x14ac:dyDescent="0.25" r="986" customHeight="1" ht="15.75">
      <c r="A986" s="1"/>
      <c r="B986" s="29"/>
      <c r="C986" s="29"/>
      <c r="D986" s="34"/>
      <c r="E986" s="34"/>
      <c r="F986" s="34"/>
      <c r="G986" s="34"/>
      <c r="H986" s="34"/>
      <c r="I986" s="29"/>
      <c r="J986" s="29"/>
      <c r="K986" s="29"/>
      <c r="L986" s="29"/>
      <c r="M986" s="34"/>
      <c r="N986" s="34"/>
      <c r="O986" s="29"/>
      <c r="P986" s="29"/>
      <c r="Q986" s="29"/>
      <c r="R986" s="29"/>
      <c r="S986" s="29"/>
      <c r="T986" s="1"/>
      <c r="U986" s="34"/>
      <c r="V986" s="34"/>
    </row>
    <row x14ac:dyDescent="0.25" r="987" customHeight="1" ht="15.75">
      <c r="A987" s="1"/>
      <c r="B987" s="29"/>
      <c r="C987" s="29"/>
      <c r="D987" s="34"/>
      <c r="E987" s="34"/>
      <c r="F987" s="34"/>
      <c r="G987" s="34"/>
      <c r="H987" s="34"/>
      <c r="I987" s="29"/>
      <c r="J987" s="29"/>
      <c r="K987" s="29"/>
      <c r="L987" s="29"/>
      <c r="M987" s="34"/>
      <c r="N987" s="34"/>
      <c r="O987" s="29"/>
      <c r="P987" s="29"/>
      <c r="Q987" s="29"/>
      <c r="R987" s="29"/>
      <c r="S987" s="29"/>
      <c r="T987" s="1"/>
      <c r="U987" s="34"/>
      <c r="V987" s="34"/>
    </row>
    <row x14ac:dyDescent="0.25" r="988" customHeight="1" ht="15.75">
      <c r="A988" s="1"/>
      <c r="B988" s="29"/>
      <c r="C988" s="29"/>
      <c r="D988" s="34"/>
      <c r="E988" s="34"/>
      <c r="F988" s="34"/>
      <c r="G988" s="34"/>
      <c r="H988" s="34"/>
      <c r="I988" s="29"/>
      <c r="J988" s="29"/>
      <c r="K988" s="29"/>
      <c r="L988" s="29"/>
      <c r="M988" s="34"/>
      <c r="N988" s="34"/>
      <c r="O988" s="29"/>
      <c r="P988" s="29"/>
      <c r="Q988" s="29"/>
      <c r="R988" s="29"/>
      <c r="S988" s="29"/>
      <c r="T988" s="1"/>
      <c r="U988" s="34"/>
      <c r="V988" s="34"/>
    </row>
    <row x14ac:dyDescent="0.25" r="989" customHeight="1" ht="15.75">
      <c r="A989" s="1"/>
      <c r="B989" s="29"/>
      <c r="C989" s="29"/>
      <c r="D989" s="34"/>
      <c r="E989" s="34"/>
      <c r="F989" s="34"/>
      <c r="G989" s="34"/>
      <c r="H989" s="34"/>
      <c r="I989" s="29"/>
      <c r="J989" s="29"/>
      <c r="K989" s="29"/>
      <c r="L989" s="29"/>
      <c r="M989" s="34"/>
      <c r="N989" s="34"/>
      <c r="O989" s="29"/>
      <c r="P989" s="29"/>
      <c r="Q989" s="29"/>
      <c r="R989" s="29"/>
      <c r="S989" s="29"/>
      <c r="T989" s="1"/>
      <c r="U989" s="34"/>
      <c r="V989" s="34"/>
    </row>
    <row x14ac:dyDescent="0.25" r="990" customHeight="1" ht="15.75">
      <c r="A990" s="1"/>
      <c r="B990" s="29"/>
      <c r="C990" s="29"/>
      <c r="D990" s="34"/>
      <c r="E990" s="34"/>
      <c r="F990" s="34"/>
      <c r="G990" s="34"/>
      <c r="H990" s="34"/>
      <c r="I990" s="29"/>
      <c r="J990" s="29"/>
      <c r="K990" s="29"/>
      <c r="L990" s="29"/>
      <c r="M990" s="34"/>
      <c r="N990" s="34"/>
      <c r="O990" s="29"/>
      <c r="P990" s="29"/>
      <c r="Q990" s="29"/>
      <c r="R990" s="29"/>
      <c r="S990" s="29"/>
      <c r="T990" s="1"/>
      <c r="U990" s="34"/>
      <c r="V990" s="34"/>
    </row>
    <row x14ac:dyDescent="0.25" r="991" customHeight="1" ht="15.75">
      <c r="A991" s="1"/>
      <c r="B991" s="29"/>
      <c r="C991" s="29"/>
      <c r="D991" s="34"/>
      <c r="E991" s="34"/>
      <c r="F991" s="34"/>
      <c r="G991" s="34"/>
      <c r="H991" s="34"/>
      <c r="I991" s="29"/>
      <c r="J991" s="29"/>
      <c r="K991" s="29"/>
      <c r="L991" s="29"/>
      <c r="M991" s="34"/>
      <c r="N991" s="34"/>
      <c r="O991" s="29"/>
      <c r="P991" s="29"/>
      <c r="Q991" s="29"/>
      <c r="R991" s="29"/>
      <c r="S991" s="29"/>
      <c r="T991" s="1"/>
      <c r="U991" s="34"/>
      <c r="V991" s="34"/>
    </row>
    <row x14ac:dyDescent="0.25" r="992" customHeight="1" ht="15.75">
      <c r="A992" s="1"/>
      <c r="B992" s="29"/>
      <c r="C992" s="29"/>
      <c r="D992" s="34"/>
      <c r="E992" s="34"/>
      <c r="F992" s="34"/>
      <c r="G992" s="34"/>
      <c r="H992" s="34"/>
      <c r="I992" s="29"/>
      <c r="J992" s="29"/>
      <c r="K992" s="29"/>
      <c r="L992" s="29"/>
      <c r="M992" s="34"/>
      <c r="N992" s="34"/>
      <c r="O992" s="29"/>
      <c r="P992" s="29"/>
      <c r="Q992" s="29"/>
      <c r="R992" s="29"/>
      <c r="S992" s="29"/>
      <c r="T992" s="1"/>
      <c r="U992" s="34"/>
      <c r="V992" s="34"/>
    </row>
    <row x14ac:dyDescent="0.25" r="993" customHeight="1" ht="15.75">
      <c r="A993" s="1"/>
      <c r="B993" s="29"/>
      <c r="C993" s="29"/>
      <c r="D993" s="34"/>
      <c r="E993" s="34"/>
      <c r="F993" s="34"/>
      <c r="G993" s="34"/>
      <c r="H993" s="34"/>
      <c r="I993" s="29"/>
      <c r="J993" s="29"/>
      <c r="K993" s="29"/>
      <c r="L993" s="29"/>
      <c r="M993" s="34"/>
      <c r="N993" s="34"/>
      <c r="O993" s="29"/>
      <c r="P993" s="29"/>
      <c r="Q993" s="29"/>
      <c r="R993" s="29"/>
      <c r="S993" s="29"/>
      <c r="T993" s="1"/>
      <c r="U993" s="34"/>
      <c r="V993" s="34"/>
    </row>
    <row x14ac:dyDescent="0.25" r="994" customHeight="1" ht="15.75">
      <c r="A994" s="1"/>
      <c r="B994" s="29"/>
      <c r="C994" s="29"/>
      <c r="D994" s="34"/>
      <c r="E994" s="34"/>
      <c r="F994" s="34"/>
      <c r="G994" s="34"/>
      <c r="H994" s="34"/>
      <c r="I994" s="29"/>
      <c r="J994" s="29"/>
      <c r="K994" s="29"/>
      <c r="L994" s="29"/>
      <c r="M994" s="34"/>
      <c r="N994" s="34"/>
      <c r="O994" s="29"/>
      <c r="P994" s="29"/>
      <c r="Q994" s="29"/>
      <c r="R994" s="29"/>
      <c r="S994" s="29"/>
      <c r="T994" s="1"/>
      <c r="U994" s="34"/>
      <c r="V994" s="34"/>
    </row>
    <row x14ac:dyDescent="0.25" r="995" customHeight="1" ht="15.75">
      <c r="A995" s="1"/>
      <c r="B995" s="29"/>
      <c r="C995" s="29"/>
      <c r="D995" s="34"/>
      <c r="E995" s="34"/>
      <c r="F995" s="34"/>
      <c r="G995" s="34"/>
      <c r="H995" s="34"/>
      <c r="I995" s="29"/>
      <c r="J995" s="29"/>
      <c r="K995" s="29"/>
      <c r="L995" s="29"/>
      <c r="M995" s="34"/>
      <c r="N995" s="34"/>
      <c r="O995" s="29"/>
      <c r="P995" s="29"/>
      <c r="Q995" s="29"/>
      <c r="R995" s="29"/>
      <c r="S995" s="29"/>
      <c r="T995" s="1"/>
      <c r="U995" s="34"/>
      <c r="V995" s="34"/>
    </row>
    <row x14ac:dyDescent="0.25" r="996" customHeight="1" ht="15.75">
      <c r="A996" s="1"/>
      <c r="B996" s="29"/>
      <c r="C996" s="29"/>
      <c r="D996" s="34"/>
      <c r="E996" s="34"/>
      <c r="F996" s="34"/>
      <c r="G996" s="34"/>
      <c r="H996" s="34"/>
      <c r="I996" s="29"/>
      <c r="J996" s="29"/>
      <c r="K996" s="29"/>
      <c r="L996" s="29"/>
      <c r="M996" s="34"/>
      <c r="N996" s="34"/>
      <c r="O996" s="29"/>
      <c r="P996" s="29"/>
      <c r="Q996" s="29"/>
      <c r="R996" s="29"/>
      <c r="S996" s="29"/>
      <c r="T996" s="1"/>
      <c r="U996" s="34"/>
      <c r="V996" s="34"/>
    </row>
    <row x14ac:dyDescent="0.25" r="997" customHeight="1" ht="15.75">
      <c r="A997" s="1"/>
      <c r="B997" s="29"/>
      <c r="C997" s="29"/>
      <c r="D997" s="34"/>
      <c r="E997" s="34"/>
      <c r="F997" s="34"/>
      <c r="G997" s="34"/>
      <c r="H997" s="34"/>
      <c r="I997" s="29"/>
      <c r="J997" s="29"/>
      <c r="K997" s="29"/>
      <c r="L997" s="29"/>
      <c r="M997" s="34"/>
      <c r="N997" s="34"/>
      <c r="O997" s="29"/>
      <c r="P997" s="29"/>
      <c r="Q997" s="29"/>
      <c r="R997" s="29"/>
      <c r="S997" s="29"/>
      <c r="T997" s="1"/>
      <c r="U997" s="34"/>
      <c r="V997" s="34"/>
    </row>
    <row x14ac:dyDescent="0.25" r="998" customHeight="1" ht="15.75">
      <c r="A998" s="1"/>
      <c r="B998" s="29"/>
      <c r="C998" s="29"/>
      <c r="D998" s="34"/>
      <c r="E998" s="34"/>
      <c r="F998" s="34"/>
      <c r="G998" s="34"/>
      <c r="H998" s="34"/>
      <c r="I998" s="29"/>
      <c r="J998" s="29"/>
      <c r="K998" s="29"/>
      <c r="L998" s="29"/>
      <c r="M998" s="34"/>
      <c r="N998" s="34"/>
      <c r="O998" s="29"/>
      <c r="P998" s="29"/>
      <c r="Q998" s="29"/>
      <c r="R998" s="29"/>
      <c r="S998" s="29"/>
      <c r="T998" s="1"/>
      <c r="U998" s="34"/>
      <c r="V998" s="34"/>
    </row>
    <row x14ac:dyDescent="0.25" r="999" customHeight="1" ht="15.75">
      <c r="A999" s="1"/>
      <c r="B999" s="29"/>
      <c r="C999" s="29"/>
      <c r="D999" s="34"/>
      <c r="E999" s="34"/>
      <c r="F999" s="34"/>
      <c r="G999" s="34"/>
      <c r="H999" s="34"/>
      <c r="I999" s="29"/>
      <c r="J999" s="29"/>
      <c r="K999" s="29"/>
      <c r="L999" s="29"/>
      <c r="M999" s="34"/>
      <c r="N999" s="34"/>
      <c r="O999" s="29"/>
      <c r="P999" s="29"/>
      <c r="Q999" s="29"/>
      <c r="R999" s="29"/>
      <c r="S999" s="29"/>
      <c r="T999" s="1"/>
      <c r="U999" s="34"/>
      <c r="V999" s="34"/>
    </row>
    <row x14ac:dyDescent="0.25" r="1000" customHeight="1" ht="15.75">
      <c r="A1000" s="1"/>
      <c r="B1000" s="29"/>
      <c r="C1000" s="29"/>
      <c r="D1000" s="34"/>
      <c r="E1000" s="34"/>
      <c r="F1000" s="34"/>
      <c r="G1000" s="34"/>
      <c r="H1000" s="34"/>
      <c r="I1000" s="29"/>
      <c r="J1000" s="29"/>
      <c r="K1000" s="29"/>
      <c r="L1000" s="29"/>
      <c r="M1000" s="34"/>
      <c r="N1000" s="34"/>
      <c r="O1000" s="29"/>
      <c r="P1000" s="29"/>
      <c r="Q1000" s="29"/>
      <c r="R1000" s="29"/>
      <c r="S1000" s="29"/>
      <c r="T1000" s="1"/>
      <c r="U1000" s="34"/>
      <c r="V1000" s="34"/>
    </row>
    <row x14ac:dyDescent="0.25" r="1001" customHeight="1" ht="15.75">
      <c r="A1001" s="1"/>
      <c r="B1001" s="29"/>
      <c r="C1001" s="29"/>
      <c r="D1001" s="34"/>
      <c r="E1001" s="34"/>
      <c r="F1001" s="34"/>
      <c r="G1001" s="34"/>
      <c r="H1001" s="34"/>
      <c r="I1001" s="29"/>
      <c r="J1001" s="29"/>
      <c r="K1001" s="29"/>
      <c r="L1001" s="29"/>
      <c r="M1001" s="34"/>
      <c r="N1001" s="34"/>
      <c r="O1001" s="29"/>
      <c r="P1001" s="29"/>
      <c r="Q1001" s="29"/>
      <c r="R1001" s="29"/>
      <c r="S1001" s="29"/>
      <c r="T1001" s="1"/>
      <c r="U1001" s="34"/>
      <c r="V1001" s="34"/>
    </row>
    <row x14ac:dyDescent="0.25" r="1002" customHeight="1" ht="15.75">
      <c r="A1002" s="1"/>
      <c r="B1002" s="29"/>
      <c r="C1002" s="29"/>
      <c r="D1002" s="34"/>
      <c r="E1002" s="34"/>
      <c r="F1002" s="34"/>
      <c r="G1002" s="34"/>
      <c r="H1002" s="34"/>
      <c r="I1002" s="29"/>
      <c r="J1002" s="29"/>
      <c r="K1002" s="29"/>
      <c r="L1002" s="29"/>
      <c r="M1002" s="34"/>
      <c r="N1002" s="34"/>
      <c r="O1002" s="29"/>
      <c r="P1002" s="29"/>
      <c r="Q1002" s="29"/>
      <c r="R1002" s="29"/>
      <c r="S1002" s="29"/>
      <c r="T1002" s="1"/>
      <c r="U1002" s="34"/>
      <c r="V1002" s="34"/>
    </row>
    <row x14ac:dyDescent="0.25" r="1003" customHeight="1" ht="15.75">
      <c r="A1003" s="1"/>
      <c r="B1003" s="29"/>
      <c r="C1003" s="29"/>
      <c r="D1003" s="34"/>
      <c r="E1003" s="34"/>
      <c r="F1003" s="34"/>
      <c r="G1003" s="34"/>
      <c r="H1003" s="34"/>
      <c r="I1003" s="29"/>
      <c r="J1003" s="29"/>
      <c r="K1003" s="29"/>
      <c r="L1003" s="29"/>
      <c r="M1003" s="34"/>
      <c r="N1003" s="34"/>
      <c r="O1003" s="29"/>
      <c r="P1003" s="29"/>
      <c r="Q1003" s="29"/>
      <c r="R1003" s="29"/>
      <c r="S1003" s="29"/>
      <c r="T1003" s="1"/>
      <c r="U1003" s="34"/>
      <c r="V1003" s="34"/>
    </row>
    <row x14ac:dyDescent="0.25" r="1004" customHeight="1" ht="15.75">
      <c r="A1004" s="1"/>
      <c r="B1004" s="29"/>
      <c r="C1004" s="29"/>
      <c r="D1004" s="34"/>
      <c r="E1004" s="34"/>
      <c r="F1004" s="34"/>
      <c r="G1004" s="34"/>
      <c r="H1004" s="34"/>
      <c r="I1004" s="29"/>
      <c r="J1004" s="29"/>
      <c r="K1004" s="29"/>
      <c r="L1004" s="29"/>
      <c r="M1004" s="34"/>
      <c r="N1004" s="34"/>
      <c r="O1004" s="29"/>
      <c r="P1004" s="29"/>
      <c r="Q1004" s="29"/>
      <c r="R1004" s="29"/>
      <c r="S1004" s="29"/>
      <c r="T1004" s="1"/>
      <c r="U1004" s="34"/>
      <c r="V1004" s="34"/>
    </row>
    <row x14ac:dyDescent="0.25" r="1005" customHeight="1" ht="15.75">
      <c r="A1005" s="1"/>
      <c r="B1005" s="29"/>
      <c r="C1005" s="29"/>
      <c r="D1005" s="34"/>
      <c r="E1005" s="34"/>
      <c r="F1005" s="34"/>
      <c r="G1005" s="34"/>
      <c r="H1005" s="34"/>
      <c r="I1005" s="29"/>
      <c r="J1005" s="29"/>
      <c r="K1005" s="29"/>
      <c r="L1005" s="29"/>
      <c r="M1005" s="34"/>
      <c r="N1005" s="34"/>
      <c r="O1005" s="29"/>
      <c r="P1005" s="29"/>
      <c r="Q1005" s="29"/>
      <c r="R1005" s="29"/>
      <c r="S1005" s="29"/>
      <c r="T1005" s="1"/>
      <c r="U1005" s="34"/>
      <c r="V1005" s="34"/>
    </row>
    <row x14ac:dyDescent="0.25" r="1006" customHeight="1" ht="15.75">
      <c r="A1006" s="1"/>
      <c r="B1006" s="29"/>
      <c r="C1006" s="29"/>
      <c r="D1006" s="34"/>
      <c r="E1006" s="34"/>
      <c r="F1006" s="34"/>
      <c r="G1006" s="34"/>
      <c r="H1006" s="34"/>
      <c r="I1006" s="29"/>
      <c r="J1006" s="29"/>
      <c r="K1006" s="29"/>
      <c r="L1006" s="29"/>
      <c r="M1006" s="34"/>
      <c r="N1006" s="34"/>
      <c r="O1006" s="29"/>
      <c r="P1006" s="29"/>
      <c r="Q1006" s="29"/>
      <c r="R1006" s="29"/>
      <c r="S1006" s="29"/>
      <c r="T1006" s="1"/>
      <c r="U1006" s="34"/>
      <c r="V1006" s="34"/>
    </row>
    <row x14ac:dyDescent="0.25" r="1007" customHeight="1" ht="15.75">
      <c r="A1007" s="1"/>
      <c r="B1007" s="29"/>
      <c r="C1007" s="29"/>
      <c r="D1007" s="34"/>
      <c r="E1007" s="34"/>
      <c r="F1007" s="34"/>
      <c r="G1007" s="34"/>
      <c r="H1007" s="34"/>
      <c r="I1007" s="29"/>
      <c r="J1007" s="29"/>
      <c r="K1007" s="29"/>
      <c r="L1007" s="29"/>
      <c r="M1007" s="34"/>
      <c r="N1007" s="34"/>
      <c r="O1007" s="29"/>
      <c r="P1007" s="29"/>
      <c r="Q1007" s="29"/>
      <c r="R1007" s="29"/>
      <c r="S1007" s="29"/>
      <c r="T1007" s="1"/>
      <c r="U1007" s="34"/>
      <c r="V1007" s="34"/>
    </row>
    <row x14ac:dyDescent="0.25" r="1008" customHeight="1" ht="15.75">
      <c r="A1008" s="1"/>
      <c r="B1008" s="29"/>
      <c r="C1008" s="29"/>
      <c r="D1008" s="34"/>
      <c r="E1008" s="34"/>
      <c r="F1008" s="34"/>
      <c r="G1008" s="34"/>
      <c r="H1008" s="34"/>
      <c r="I1008" s="29"/>
      <c r="J1008" s="29"/>
      <c r="K1008" s="29"/>
      <c r="L1008" s="29"/>
      <c r="M1008" s="34"/>
      <c r="N1008" s="34"/>
      <c r="O1008" s="29"/>
      <c r="P1008" s="29"/>
      <c r="Q1008" s="29"/>
      <c r="R1008" s="29"/>
      <c r="S1008" s="29"/>
      <c r="T1008" s="1"/>
      <c r="U1008" s="34"/>
      <c r="V1008" s="34"/>
    </row>
    <row x14ac:dyDescent="0.25" r="1009" customHeight="1" ht="15.75">
      <c r="A1009" s="1"/>
      <c r="B1009" s="29"/>
      <c r="C1009" s="29"/>
      <c r="D1009" s="34"/>
      <c r="E1009" s="34"/>
      <c r="F1009" s="34"/>
      <c r="G1009" s="34"/>
      <c r="H1009" s="34"/>
      <c r="I1009" s="29"/>
      <c r="J1009" s="29"/>
      <c r="K1009" s="29"/>
      <c r="L1009" s="29"/>
      <c r="M1009" s="34"/>
      <c r="N1009" s="34"/>
      <c r="O1009" s="29"/>
      <c r="P1009" s="29"/>
      <c r="Q1009" s="29"/>
      <c r="R1009" s="29"/>
      <c r="S1009" s="29"/>
      <c r="T1009" s="1"/>
      <c r="U1009" s="34"/>
      <c r="V1009" s="34"/>
    </row>
    <row x14ac:dyDescent="0.25" r="1010" customHeight="1" ht="15.75">
      <c r="A1010" s="1"/>
      <c r="B1010" s="29"/>
      <c r="C1010" s="29"/>
      <c r="D1010" s="34"/>
      <c r="E1010" s="34"/>
      <c r="F1010" s="34"/>
      <c r="G1010" s="34"/>
      <c r="H1010" s="34"/>
      <c r="I1010" s="29"/>
      <c r="J1010" s="29"/>
      <c r="K1010" s="29"/>
      <c r="L1010" s="29"/>
      <c r="M1010" s="34"/>
      <c r="N1010" s="34"/>
      <c r="O1010" s="29"/>
      <c r="P1010" s="29"/>
      <c r="Q1010" s="29"/>
      <c r="R1010" s="29"/>
      <c r="S1010" s="29"/>
      <c r="T1010" s="1"/>
      <c r="U1010" s="34"/>
      <c r="V1010" s="34"/>
    </row>
    <row x14ac:dyDescent="0.25" r="1011" customHeight="1" ht="15.75">
      <c r="A1011" s="1"/>
      <c r="B1011" s="29"/>
      <c r="C1011" s="29"/>
      <c r="D1011" s="34"/>
      <c r="E1011" s="34"/>
      <c r="F1011" s="34"/>
      <c r="G1011" s="34"/>
      <c r="H1011" s="34"/>
      <c r="I1011" s="29"/>
      <c r="J1011" s="29"/>
      <c r="K1011" s="29"/>
      <c r="L1011" s="29"/>
      <c r="M1011" s="34"/>
      <c r="N1011" s="34"/>
      <c r="O1011" s="29"/>
      <c r="P1011" s="29"/>
      <c r="Q1011" s="29"/>
      <c r="R1011" s="29"/>
      <c r="S1011" s="29"/>
      <c r="T1011" s="1"/>
      <c r="U1011" s="34"/>
      <c r="V1011" s="34"/>
    </row>
    <row x14ac:dyDescent="0.25" r="1012" customHeight="1" ht="15.75">
      <c r="A1012" s="1"/>
      <c r="B1012" s="29"/>
      <c r="C1012" s="29"/>
      <c r="D1012" s="34"/>
      <c r="E1012" s="34"/>
      <c r="F1012" s="34"/>
      <c r="G1012" s="34"/>
      <c r="H1012" s="34"/>
      <c r="I1012" s="29"/>
      <c r="J1012" s="29"/>
      <c r="K1012" s="29"/>
      <c r="L1012" s="29"/>
      <c r="M1012" s="34"/>
      <c r="N1012" s="34"/>
      <c r="O1012" s="29"/>
      <c r="P1012" s="29"/>
      <c r="Q1012" s="29"/>
      <c r="R1012" s="29"/>
      <c r="S1012" s="29"/>
      <c r="T1012" s="1"/>
      <c r="U1012" s="34"/>
      <c r="V1012" s="34"/>
    </row>
    <row x14ac:dyDescent="0.25" r="1013" customHeight="1" ht="15.75">
      <c r="A1013" s="1"/>
      <c r="B1013" s="29"/>
      <c r="C1013" s="29"/>
      <c r="D1013" s="34"/>
      <c r="E1013" s="34"/>
      <c r="F1013" s="34"/>
      <c r="G1013" s="34"/>
      <c r="H1013" s="34"/>
      <c r="I1013" s="29"/>
      <c r="J1013" s="29"/>
      <c r="K1013" s="29"/>
      <c r="L1013" s="29"/>
      <c r="M1013" s="34"/>
      <c r="N1013" s="34"/>
      <c r="O1013" s="29"/>
      <c r="P1013" s="29"/>
      <c r="Q1013" s="29"/>
      <c r="R1013" s="29"/>
      <c r="S1013" s="29"/>
      <c r="T1013" s="1"/>
      <c r="U1013" s="34"/>
      <c r="V1013" s="34"/>
    </row>
    <row x14ac:dyDescent="0.25" r="1014" customHeight="1" ht="15.75">
      <c r="A1014" s="1"/>
      <c r="B1014" s="29"/>
      <c r="C1014" s="29"/>
      <c r="D1014" s="34"/>
      <c r="E1014" s="34"/>
      <c r="F1014" s="34"/>
      <c r="G1014" s="34"/>
      <c r="H1014" s="34"/>
      <c r="I1014" s="29"/>
      <c r="J1014" s="29"/>
      <c r="K1014" s="29"/>
      <c r="L1014" s="29"/>
      <c r="M1014" s="34"/>
      <c r="N1014" s="34"/>
      <c r="O1014" s="29"/>
      <c r="P1014" s="29"/>
      <c r="Q1014" s="29"/>
      <c r="R1014" s="29"/>
      <c r="S1014" s="29"/>
      <c r="T1014" s="1"/>
      <c r="U1014" s="34"/>
      <c r="V1014" s="34"/>
    </row>
    <row x14ac:dyDescent="0.25" r="1015" customHeight="1" ht="15.75">
      <c r="A1015" s="1"/>
      <c r="B1015" s="29"/>
      <c r="C1015" s="29"/>
      <c r="D1015" s="34"/>
      <c r="E1015" s="34"/>
      <c r="F1015" s="34"/>
      <c r="G1015" s="34"/>
      <c r="H1015" s="34"/>
      <c r="I1015" s="29"/>
      <c r="J1015" s="29"/>
      <c r="K1015" s="29"/>
      <c r="L1015" s="29"/>
      <c r="M1015" s="34"/>
      <c r="N1015" s="34"/>
      <c r="O1015" s="29"/>
      <c r="P1015" s="29"/>
      <c r="Q1015" s="29"/>
      <c r="R1015" s="29"/>
      <c r="S1015" s="29"/>
      <c r="T1015" s="1"/>
      <c r="U1015" s="34"/>
      <c r="V1015" s="34"/>
    </row>
    <row x14ac:dyDescent="0.25" r="1016" customHeight="1" ht="15.75">
      <c r="A1016" s="1"/>
      <c r="B1016" s="29"/>
      <c r="C1016" s="29"/>
      <c r="D1016" s="34"/>
      <c r="E1016" s="34"/>
      <c r="F1016" s="34"/>
      <c r="G1016" s="34"/>
      <c r="H1016" s="34"/>
      <c r="I1016" s="29"/>
      <c r="J1016" s="29"/>
      <c r="K1016" s="29"/>
      <c r="L1016" s="29"/>
      <c r="M1016" s="34"/>
      <c r="N1016" s="34"/>
      <c r="O1016" s="29"/>
      <c r="P1016" s="29"/>
      <c r="Q1016" s="29"/>
      <c r="R1016" s="29"/>
      <c r="S1016" s="29"/>
      <c r="T1016" s="1"/>
      <c r="U1016" s="34"/>
      <c r="V1016" s="34"/>
    </row>
    <row x14ac:dyDescent="0.25" r="1017" customHeight="1" ht="15.75">
      <c r="A1017" s="1"/>
      <c r="B1017" s="29"/>
      <c r="C1017" s="29"/>
      <c r="D1017" s="34"/>
      <c r="E1017" s="34"/>
      <c r="F1017" s="34"/>
      <c r="G1017" s="34"/>
      <c r="H1017" s="34"/>
      <c r="I1017" s="29"/>
      <c r="J1017" s="29"/>
      <c r="K1017" s="29"/>
      <c r="L1017" s="29"/>
      <c r="M1017" s="34"/>
      <c r="N1017" s="34"/>
      <c r="O1017" s="29"/>
      <c r="P1017" s="29"/>
      <c r="Q1017" s="29"/>
      <c r="R1017" s="29"/>
      <c r="S1017" s="29"/>
      <c r="T1017" s="1"/>
      <c r="U1017" s="34"/>
      <c r="V1017" s="34"/>
    </row>
    <row x14ac:dyDescent="0.25" r="1018" customHeight="1" ht="15.75">
      <c r="A1018" s="1"/>
      <c r="B1018" s="29"/>
      <c r="C1018" s="29"/>
      <c r="D1018" s="34"/>
      <c r="E1018" s="34"/>
      <c r="F1018" s="34"/>
      <c r="G1018" s="34"/>
      <c r="H1018" s="34"/>
      <c r="I1018" s="29"/>
      <c r="J1018" s="29"/>
      <c r="K1018" s="29"/>
      <c r="L1018" s="29"/>
      <c r="M1018" s="34"/>
      <c r="N1018" s="34"/>
      <c r="O1018" s="29"/>
      <c r="P1018" s="29"/>
      <c r="Q1018" s="29"/>
      <c r="R1018" s="29"/>
      <c r="S1018" s="29"/>
      <c r="T1018" s="1"/>
      <c r="U1018" s="34"/>
      <c r="V1018" s="34"/>
    </row>
    <row x14ac:dyDescent="0.25" r="1019" customHeight="1" ht="15.75">
      <c r="A1019" s="1"/>
      <c r="B1019" s="29"/>
      <c r="C1019" s="29"/>
      <c r="D1019" s="34"/>
      <c r="E1019" s="34"/>
      <c r="F1019" s="34"/>
      <c r="G1019" s="34"/>
      <c r="H1019" s="34"/>
      <c r="I1019" s="29"/>
      <c r="J1019" s="29"/>
      <c r="K1019" s="29"/>
      <c r="L1019" s="29"/>
      <c r="M1019" s="34"/>
      <c r="N1019" s="34"/>
      <c r="O1019" s="29"/>
      <c r="P1019" s="29"/>
      <c r="Q1019" s="29"/>
      <c r="R1019" s="29"/>
      <c r="S1019" s="29"/>
      <c r="T1019" s="1"/>
      <c r="U1019" s="34"/>
      <c r="V1019" s="34"/>
    </row>
    <row x14ac:dyDescent="0.25" r="1020" customHeight="1" ht="15.75">
      <c r="A1020" s="1"/>
      <c r="B1020" s="29"/>
      <c r="C1020" s="29"/>
      <c r="D1020" s="34"/>
      <c r="E1020" s="34"/>
      <c r="F1020" s="34"/>
      <c r="G1020" s="34"/>
      <c r="H1020" s="34"/>
      <c r="I1020" s="29"/>
      <c r="J1020" s="29"/>
      <c r="K1020" s="29"/>
      <c r="L1020" s="29"/>
      <c r="M1020" s="34"/>
      <c r="N1020" s="34"/>
      <c r="O1020" s="29"/>
      <c r="P1020" s="29"/>
      <c r="Q1020" s="29"/>
      <c r="R1020" s="29"/>
      <c r="S1020" s="29"/>
      <c r="T1020" s="1"/>
      <c r="U1020" s="34"/>
      <c r="V1020" s="34"/>
    </row>
    <row x14ac:dyDescent="0.25" r="1021" customHeight="1" ht="15.75">
      <c r="A1021" s="1"/>
      <c r="B1021" s="29"/>
      <c r="C1021" s="29"/>
      <c r="D1021" s="34"/>
      <c r="E1021" s="34"/>
      <c r="F1021" s="34"/>
      <c r="G1021" s="34"/>
      <c r="H1021" s="34"/>
      <c r="I1021" s="29"/>
      <c r="J1021" s="29"/>
      <c r="K1021" s="29"/>
      <c r="L1021" s="29"/>
      <c r="M1021" s="34"/>
      <c r="N1021" s="34"/>
      <c r="O1021" s="29"/>
      <c r="P1021" s="29"/>
      <c r="Q1021" s="29"/>
      <c r="R1021" s="29"/>
      <c r="S1021" s="29"/>
      <c r="T1021" s="1"/>
      <c r="U1021" s="34"/>
      <c r="V1021" s="34"/>
    </row>
    <row x14ac:dyDescent="0.25" r="1022" customHeight="1" ht="15.75">
      <c r="A1022" s="1"/>
      <c r="B1022" s="29"/>
      <c r="C1022" s="29"/>
      <c r="D1022" s="34"/>
      <c r="E1022" s="34"/>
      <c r="F1022" s="34"/>
      <c r="G1022" s="34"/>
      <c r="H1022" s="34"/>
      <c r="I1022" s="29"/>
      <c r="J1022" s="29"/>
      <c r="K1022" s="29"/>
      <c r="L1022" s="29"/>
      <c r="M1022" s="34"/>
      <c r="N1022" s="34"/>
      <c r="O1022" s="29"/>
      <c r="P1022" s="29"/>
      <c r="Q1022" s="29"/>
      <c r="R1022" s="29"/>
      <c r="S1022" s="29"/>
      <c r="T1022" s="1"/>
      <c r="U1022" s="34"/>
      <c r="V1022" s="34"/>
    </row>
    <row x14ac:dyDescent="0.25" r="1023" customHeight="1" ht="15.75">
      <c r="A1023" s="1"/>
      <c r="B1023" s="29"/>
      <c r="C1023" s="29"/>
      <c r="D1023" s="34"/>
      <c r="E1023" s="34"/>
      <c r="F1023" s="34"/>
      <c r="G1023" s="34"/>
      <c r="H1023" s="34"/>
      <c r="I1023" s="29"/>
      <c r="J1023" s="29"/>
      <c r="K1023" s="29"/>
      <c r="L1023" s="29"/>
      <c r="M1023" s="34"/>
      <c r="N1023" s="34"/>
      <c r="O1023" s="29"/>
      <c r="P1023" s="29"/>
      <c r="Q1023" s="29"/>
      <c r="R1023" s="29"/>
      <c r="S1023" s="29"/>
      <c r="T1023" s="1"/>
      <c r="U1023" s="34"/>
      <c r="V1023" s="34"/>
    </row>
    <row x14ac:dyDescent="0.25" r="1024" customHeight="1" ht="15.75">
      <c r="A1024" s="1"/>
      <c r="B1024" s="29"/>
      <c r="C1024" s="29"/>
      <c r="D1024" s="34"/>
      <c r="E1024" s="34"/>
      <c r="F1024" s="34"/>
      <c r="G1024" s="34"/>
      <c r="H1024" s="34"/>
      <c r="I1024" s="29"/>
      <c r="J1024" s="29"/>
      <c r="K1024" s="29"/>
      <c r="L1024" s="29"/>
      <c r="M1024" s="34"/>
      <c r="N1024" s="34"/>
      <c r="O1024" s="29"/>
      <c r="P1024" s="29"/>
      <c r="Q1024" s="29"/>
      <c r="R1024" s="29"/>
      <c r="S1024" s="29"/>
      <c r="T1024" s="1"/>
      <c r="U1024" s="34"/>
      <c r="V1024" s="34"/>
    </row>
    <row x14ac:dyDescent="0.25" r="1025" customHeight="1" ht="15.75">
      <c r="A1025" s="1"/>
      <c r="B1025" s="29"/>
      <c r="C1025" s="29"/>
      <c r="D1025" s="34"/>
      <c r="E1025" s="34"/>
      <c r="F1025" s="34"/>
      <c r="G1025" s="34"/>
      <c r="H1025" s="34"/>
      <c r="I1025" s="29"/>
      <c r="J1025" s="29"/>
      <c r="K1025" s="29"/>
      <c r="L1025" s="29"/>
      <c r="M1025" s="34"/>
      <c r="N1025" s="34"/>
      <c r="O1025" s="29"/>
      <c r="P1025" s="29"/>
      <c r="Q1025" s="29"/>
      <c r="R1025" s="29"/>
      <c r="S1025" s="29"/>
      <c r="T1025" s="1"/>
      <c r="U1025" s="34"/>
      <c r="V1025" s="34"/>
    </row>
    <row x14ac:dyDescent="0.25" r="1026" customHeight="1" ht="15.75">
      <c r="A1026" s="1"/>
      <c r="B1026" s="29"/>
      <c r="C1026" s="29"/>
      <c r="D1026" s="34"/>
      <c r="E1026" s="34"/>
      <c r="F1026" s="34"/>
      <c r="G1026" s="34"/>
      <c r="H1026" s="34"/>
      <c r="I1026" s="29"/>
      <c r="J1026" s="29"/>
      <c r="K1026" s="29"/>
      <c r="L1026" s="29"/>
      <c r="M1026" s="34"/>
      <c r="N1026" s="34"/>
      <c r="O1026" s="29"/>
      <c r="P1026" s="29"/>
      <c r="Q1026" s="29"/>
      <c r="R1026" s="29"/>
      <c r="S1026" s="29"/>
      <c r="T1026" s="1"/>
      <c r="U1026" s="34"/>
      <c r="V1026" s="34"/>
    </row>
    <row x14ac:dyDescent="0.25" r="1027" customHeight="1" ht="15.75">
      <c r="A1027" s="1"/>
      <c r="B1027" s="29"/>
      <c r="C1027" s="29"/>
      <c r="D1027" s="34"/>
      <c r="E1027" s="34"/>
      <c r="F1027" s="34"/>
      <c r="G1027" s="34"/>
      <c r="H1027" s="34"/>
      <c r="I1027" s="29"/>
      <c r="J1027" s="29"/>
      <c r="K1027" s="29"/>
      <c r="L1027" s="29"/>
      <c r="M1027" s="34"/>
      <c r="N1027" s="34"/>
      <c r="O1027" s="29"/>
      <c r="P1027" s="29"/>
      <c r="Q1027" s="29"/>
      <c r="R1027" s="29"/>
      <c r="S1027" s="29"/>
      <c r="T1027" s="1"/>
      <c r="U1027" s="34"/>
      <c r="V1027" s="34"/>
    </row>
    <row x14ac:dyDescent="0.25" r="1028" customHeight="1" ht="15.75">
      <c r="A1028" s="1"/>
      <c r="B1028" s="29"/>
      <c r="C1028" s="29"/>
      <c r="D1028" s="34"/>
      <c r="E1028" s="34"/>
      <c r="F1028" s="34"/>
      <c r="G1028" s="34"/>
      <c r="H1028" s="34"/>
      <c r="I1028" s="29"/>
      <c r="J1028" s="29"/>
      <c r="K1028" s="29"/>
      <c r="L1028" s="29"/>
      <c r="M1028" s="34"/>
      <c r="N1028" s="34"/>
      <c r="O1028" s="29"/>
      <c r="P1028" s="29"/>
      <c r="Q1028" s="29"/>
      <c r="R1028" s="29"/>
      <c r="S1028" s="29"/>
      <c r="T1028" s="1"/>
      <c r="U1028" s="34"/>
      <c r="V1028" s="34"/>
    </row>
    <row x14ac:dyDescent="0.25" r="1029" customHeight="1" ht="15.75">
      <c r="A1029" s="1"/>
      <c r="B1029" s="29"/>
      <c r="C1029" s="29"/>
      <c r="D1029" s="34"/>
      <c r="E1029" s="34"/>
      <c r="F1029" s="34"/>
      <c r="G1029" s="34"/>
      <c r="H1029" s="34"/>
      <c r="I1029" s="29"/>
      <c r="J1029" s="29"/>
      <c r="K1029" s="29"/>
      <c r="L1029" s="29"/>
      <c r="M1029" s="34"/>
      <c r="N1029" s="34"/>
      <c r="O1029" s="29"/>
      <c r="P1029" s="29"/>
      <c r="Q1029" s="29"/>
      <c r="R1029" s="29"/>
      <c r="S1029" s="29"/>
      <c r="T1029" s="1"/>
      <c r="U1029" s="34"/>
      <c r="V1029" s="34"/>
    </row>
    <row x14ac:dyDescent="0.25" r="1030" customHeight="1" ht="15.75">
      <c r="A1030" s="1"/>
      <c r="B1030" s="29"/>
      <c r="C1030" s="29"/>
      <c r="D1030" s="34"/>
      <c r="E1030" s="34"/>
      <c r="F1030" s="34"/>
      <c r="G1030" s="34"/>
      <c r="H1030" s="34"/>
      <c r="I1030" s="29"/>
      <c r="J1030" s="29"/>
      <c r="K1030" s="29"/>
      <c r="L1030" s="29"/>
      <c r="M1030" s="34"/>
      <c r="N1030" s="34"/>
      <c r="O1030" s="29"/>
      <c r="P1030" s="29"/>
      <c r="Q1030" s="29"/>
      <c r="R1030" s="29"/>
      <c r="S1030" s="29"/>
      <c r="T1030" s="1"/>
      <c r="U1030" s="34"/>
      <c r="V1030" s="34"/>
    </row>
    <row x14ac:dyDescent="0.25" r="1031" customHeight="1" ht="15.75">
      <c r="A1031" s="1"/>
      <c r="B1031" s="29"/>
      <c r="C1031" s="29"/>
      <c r="D1031" s="34"/>
      <c r="E1031" s="34"/>
      <c r="F1031" s="34"/>
      <c r="G1031" s="34"/>
      <c r="H1031" s="34"/>
      <c r="I1031" s="29"/>
      <c r="J1031" s="29"/>
      <c r="K1031" s="29"/>
      <c r="L1031" s="29"/>
      <c r="M1031" s="34"/>
      <c r="N1031" s="34"/>
      <c r="O1031" s="29"/>
      <c r="P1031" s="29"/>
      <c r="Q1031" s="29"/>
      <c r="R1031" s="29"/>
      <c r="S1031" s="29"/>
      <c r="T1031" s="1"/>
      <c r="U1031" s="34"/>
      <c r="V1031" s="34"/>
    </row>
    <row x14ac:dyDescent="0.25" r="1032" customHeight="1" ht="15.75">
      <c r="A1032" s="1"/>
      <c r="B1032" s="29"/>
      <c r="C1032" s="29"/>
      <c r="D1032" s="34"/>
      <c r="E1032" s="34"/>
      <c r="F1032" s="34"/>
      <c r="G1032" s="34"/>
      <c r="H1032" s="34"/>
      <c r="I1032" s="29"/>
      <c r="J1032" s="29"/>
      <c r="K1032" s="29"/>
      <c r="L1032" s="29"/>
      <c r="M1032" s="34"/>
      <c r="N1032" s="34"/>
      <c r="O1032" s="29"/>
      <c r="P1032" s="29"/>
      <c r="Q1032" s="29"/>
      <c r="R1032" s="29"/>
      <c r="S1032" s="29"/>
      <c r="T1032" s="1"/>
      <c r="U1032" s="34"/>
      <c r="V1032" s="34"/>
    </row>
    <row x14ac:dyDescent="0.25" r="1033" customHeight="1" ht="15.75">
      <c r="A1033" s="1"/>
      <c r="B1033" s="29"/>
      <c r="C1033" s="29"/>
      <c r="D1033" s="34"/>
      <c r="E1033" s="34"/>
      <c r="F1033" s="34"/>
      <c r="G1033" s="34"/>
      <c r="H1033" s="34"/>
      <c r="I1033" s="29"/>
      <c r="J1033" s="29"/>
      <c r="K1033" s="29"/>
      <c r="L1033" s="29"/>
      <c r="M1033" s="34"/>
      <c r="N1033" s="34"/>
      <c r="O1033" s="29"/>
      <c r="P1033" s="29"/>
      <c r="Q1033" s="29"/>
      <c r="R1033" s="29"/>
      <c r="S1033" s="29"/>
      <c r="T1033" s="1"/>
      <c r="U1033" s="34"/>
      <c r="V1033" s="34"/>
    </row>
    <row x14ac:dyDescent="0.25" r="1034" customHeight="1" ht="15.75">
      <c r="A1034" s="1"/>
      <c r="B1034" s="29"/>
      <c r="C1034" s="29"/>
      <c r="D1034" s="34"/>
      <c r="E1034" s="34"/>
      <c r="F1034" s="34"/>
      <c r="G1034" s="34"/>
      <c r="H1034" s="34"/>
      <c r="I1034" s="29"/>
      <c r="J1034" s="29"/>
      <c r="K1034" s="29"/>
      <c r="L1034" s="29"/>
      <c r="M1034" s="34"/>
      <c r="N1034" s="34"/>
      <c r="O1034" s="29"/>
      <c r="P1034" s="29"/>
      <c r="Q1034" s="29"/>
      <c r="R1034" s="29"/>
      <c r="S1034" s="29"/>
      <c r="T1034" s="1"/>
      <c r="U1034" s="34"/>
      <c r="V1034" s="34"/>
    </row>
    <row x14ac:dyDescent="0.25" r="1035" customHeight="1" ht="15.75">
      <c r="A1035" s="1"/>
      <c r="B1035" s="29"/>
      <c r="C1035" s="29"/>
      <c r="D1035" s="34"/>
      <c r="E1035" s="34"/>
      <c r="F1035" s="34"/>
      <c r="G1035" s="34"/>
      <c r="H1035" s="34"/>
      <c r="I1035" s="29"/>
      <c r="J1035" s="29"/>
      <c r="K1035" s="29"/>
      <c r="L1035" s="29"/>
      <c r="M1035" s="34"/>
      <c r="N1035" s="34"/>
      <c r="O1035" s="29"/>
      <c r="P1035" s="29"/>
      <c r="Q1035" s="29"/>
      <c r="R1035" s="29"/>
      <c r="S1035" s="29"/>
      <c r="T1035" s="1"/>
      <c r="U1035" s="34"/>
      <c r="V1035" s="34"/>
    </row>
    <row x14ac:dyDescent="0.25" r="1036" customHeight="1" ht="15.75">
      <c r="A1036" s="1"/>
      <c r="B1036" s="29"/>
      <c r="C1036" s="29"/>
      <c r="D1036" s="34"/>
      <c r="E1036" s="34"/>
      <c r="F1036" s="34"/>
      <c r="G1036" s="34"/>
      <c r="H1036" s="34"/>
      <c r="I1036" s="29"/>
      <c r="J1036" s="29"/>
      <c r="K1036" s="29"/>
      <c r="L1036" s="29"/>
      <c r="M1036" s="34"/>
      <c r="N1036" s="34"/>
      <c r="O1036" s="29"/>
      <c r="P1036" s="29"/>
      <c r="Q1036" s="29"/>
      <c r="R1036" s="29"/>
      <c r="S1036" s="29"/>
      <c r="T1036" s="1"/>
      <c r="U1036" s="34"/>
      <c r="V1036" s="34"/>
    </row>
    <row x14ac:dyDescent="0.25" r="1037" customHeight="1" ht="15.75">
      <c r="A1037" s="1"/>
      <c r="B1037" s="29"/>
      <c r="C1037" s="29"/>
      <c r="D1037" s="34"/>
      <c r="E1037" s="34"/>
      <c r="F1037" s="34"/>
      <c r="G1037" s="34"/>
      <c r="H1037" s="34"/>
      <c r="I1037" s="29"/>
      <c r="J1037" s="29"/>
      <c r="K1037" s="29"/>
      <c r="L1037" s="29"/>
      <c r="M1037" s="34"/>
      <c r="N1037" s="34"/>
      <c r="O1037" s="29"/>
      <c r="P1037" s="29"/>
      <c r="Q1037" s="29"/>
      <c r="R1037" s="29"/>
      <c r="S1037" s="29"/>
      <c r="T1037" s="1"/>
      <c r="U1037" s="34"/>
      <c r="V1037" s="34"/>
    </row>
    <row x14ac:dyDescent="0.25" r="1038" customHeight="1" ht="15.75">
      <c r="A1038" s="1"/>
      <c r="B1038" s="29"/>
      <c r="C1038" s="29"/>
      <c r="D1038" s="34"/>
      <c r="E1038" s="34"/>
      <c r="F1038" s="34"/>
      <c r="G1038" s="34"/>
      <c r="H1038" s="34"/>
      <c r="I1038" s="29"/>
      <c r="J1038" s="29"/>
      <c r="K1038" s="29"/>
      <c r="L1038" s="29"/>
      <c r="M1038" s="34"/>
      <c r="N1038" s="34"/>
      <c r="O1038" s="29"/>
      <c r="P1038" s="29"/>
      <c r="Q1038" s="29"/>
      <c r="R1038" s="29"/>
      <c r="S1038" s="29"/>
      <c r="T1038" s="1"/>
      <c r="U1038" s="34"/>
      <c r="V1038" s="34"/>
    </row>
    <row x14ac:dyDescent="0.25" r="1039" customHeight="1" ht="15.75">
      <c r="A1039" s="1"/>
      <c r="B1039" s="29"/>
      <c r="C1039" s="29"/>
      <c r="D1039" s="34"/>
      <c r="E1039" s="34"/>
      <c r="F1039" s="34"/>
      <c r="G1039" s="34"/>
      <c r="H1039" s="34"/>
      <c r="I1039" s="29"/>
      <c r="J1039" s="29"/>
      <c r="K1039" s="29"/>
      <c r="L1039" s="29"/>
      <c r="M1039" s="34"/>
      <c r="N1039" s="34"/>
      <c r="O1039" s="29"/>
      <c r="P1039" s="29"/>
      <c r="Q1039" s="29"/>
      <c r="R1039" s="29"/>
      <c r="S1039" s="29"/>
      <c r="T1039" s="1"/>
      <c r="U1039" s="34"/>
      <c r="V1039" s="34"/>
    </row>
    <row x14ac:dyDescent="0.25" r="1040" customHeight="1" ht="15.75">
      <c r="A1040" s="1"/>
      <c r="B1040" s="29"/>
      <c r="C1040" s="29"/>
      <c r="D1040" s="34"/>
      <c r="E1040" s="34"/>
      <c r="F1040" s="34"/>
      <c r="G1040" s="34"/>
      <c r="H1040" s="34"/>
      <c r="I1040" s="29"/>
      <c r="J1040" s="29"/>
      <c r="K1040" s="29"/>
      <c r="L1040" s="29"/>
      <c r="M1040" s="34"/>
      <c r="N1040" s="34"/>
      <c r="O1040" s="29"/>
      <c r="P1040" s="29"/>
      <c r="Q1040" s="29"/>
      <c r="R1040" s="29"/>
      <c r="S1040" s="29"/>
      <c r="T1040" s="1"/>
      <c r="U1040" s="34"/>
      <c r="V1040" s="34"/>
    </row>
    <row x14ac:dyDescent="0.25" r="1041" customHeight="1" ht="15.75">
      <c r="A1041" s="1"/>
      <c r="B1041" s="29"/>
      <c r="C1041" s="29"/>
      <c r="D1041" s="34"/>
      <c r="E1041" s="34"/>
      <c r="F1041" s="34"/>
      <c r="G1041" s="34"/>
      <c r="H1041" s="34"/>
      <c r="I1041" s="29"/>
      <c r="J1041" s="29"/>
      <c r="K1041" s="29"/>
      <c r="L1041" s="29"/>
      <c r="M1041" s="34"/>
      <c r="N1041" s="34"/>
      <c r="O1041" s="29"/>
      <c r="P1041" s="29"/>
      <c r="Q1041" s="29"/>
      <c r="R1041" s="29"/>
      <c r="S1041" s="29"/>
      <c r="T1041" s="1"/>
      <c r="U1041" s="34"/>
      <c r="V1041" s="34"/>
    </row>
    <row x14ac:dyDescent="0.25" r="1042" customHeight="1" ht="15.75">
      <c r="A1042" s="1"/>
      <c r="B1042" s="29"/>
      <c r="C1042" s="29"/>
      <c r="D1042" s="34"/>
      <c r="E1042" s="34"/>
      <c r="F1042" s="34"/>
      <c r="G1042" s="34"/>
      <c r="H1042" s="34"/>
      <c r="I1042" s="29"/>
      <c r="J1042" s="29"/>
      <c r="K1042" s="29"/>
      <c r="L1042" s="29"/>
      <c r="M1042" s="34"/>
      <c r="N1042" s="34"/>
      <c r="O1042" s="29"/>
      <c r="P1042" s="29"/>
      <c r="Q1042" s="29"/>
      <c r="R1042" s="29"/>
      <c r="S1042" s="29"/>
      <c r="T1042" s="1"/>
      <c r="U1042" s="34"/>
      <c r="V1042" s="34"/>
    </row>
    <row x14ac:dyDescent="0.25" r="1043" customHeight="1" ht="15.75">
      <c r="A1043" s="1"/>
      <c r="B1043" s="29"/>
      <c r="C1043" s="29"/>
      <c r="D1043" s="34"/>
      <c r="E1043" s="34"/>
      <c r="F1043" s="34"/>
      <c r="G1043" s="34"/>
      <c r="H1043" s="34"/>
      <c r="I1043" s="29"/>
      <c r="J1043" s="29"/>
      <c r="K1043" s="29"/>
      <c r="L1043" s="29"/>
      <c r="M1043" s="34"/>
      <c r="N1043" s="34"/>
      <c r="O1043" s="29"/>
      <c r="P1043" s="29"/>
      <c r="Q1043" s="29"/>
      <c r="R1043" s="29"/>
      <c r="S1043" s="29"/>
      <c r="T1043" s="1"/>
      <c r="U1043" s="34"/>
      <c r="V1043" s="34"/>
    </row>
    <row x14ac:dyDescent="0.25" r="1044" customHeight="1" ht="15.75">
      <c r="A1044" s="1"/>
      <c r="B1044" s="29"/>
      <c r="C1044" s="29"/>
      <c r="D1044" s="34"/>
      <c r="E1044" s="34"/>
      <c r="F1044" s="34"/>
      <c r="G1044" s="34"/>
      <c r="H1044" s="34"/>
      <c r="I1044" s="29"/>
      <c r="J1044" s="29"/>
      <c r="K1044" s="29"/>
      <c r="L1044" s="29"/>
      <c r="M1044" s="34"/>
      <c r="N1044" s="34"/>
      <c r="O1044" s="29"/>
      <c r="P1044" s="29"/>
      <c r="Q1044" s="29"/>
      <c r="R1044" s="29"/>
      <c r="S1044" s="29"/>
      <c r="T1044" s="1"/>
      <c r="U1044" s="34"/>
      <c r="V1044" s="34"/>
    </row>
    <row x14ac:dyDescent="0.25" r="1045" customHeight="1" ht="15.75">
      <c r="A1045" s="1"/>
      <c r="B1045" s="29"/>
      <c r="C1045" s="29"/>
      <c r="D1045" s="34"/>
      <c r="E1045" s="34"/>
      <c r="F1045" s="34"/>
      <c r="G1045" s="34"/>
      <c r="H1045" s="34"/>
      <c r="I1045" s="29"/>
      <c r="J1045" s="29"/>
      <c r="K1045" s="29"/>
      <c r="L1045" s="29"/>
      <c r="M1045" s="34"/>
      <c r="N1045" s="34"/>
      <c r="O1045" s="29"/>
      <c r="P1045" s="29"/>
      <c r="Q1045" s="29"/>
      <c r="R1045" s="29"/>
      <c r="S1045" s="29"/>
      <c r="T1045" s="1"/>
      <c r="U1045" s="34"/>
      <c r="V1045" s="34"/>
    </row>
    <row x14ac:dyDescent="0.25" r="1046" customHeight="1" ht="15.75">
      <c r="A1046" s="1"/>
      <c r="B1046" s="29"/>
      <c r="C1046" s="29"/>
      <c r="D1046" s="34"/>
      <c r="E1046" s="34"/>
      <c r="F1046" s="34"/>
      <c r="G1046" s="34"/>
      <c r="H1046" s="34"/>
      <c r="I1046" s="29"/>
      <c r="J1046" s="29"/>
      <c r="K1046" s="29"/>
      <c r="L1046" s="29"/>
      <c r="M1046" s="34"/>
      <c r="N1046" s="34"/>
      <c r="O1046" s="29"/>
      <c r="P1046" s="29"/>
      <c r="Q1046" s="29"/>
      <c r="R1046" s="29"/>
      <c r="S1046" s="29"/>
      <c r="T1046" s="1"/>
      <c r="U1046" s="34"/>
      <c r="V1046" s="34"/>
    </row>
    <row x14ac:dyDescent="0.25" r="1047" customHeight="1" ht="15.75">
      <c r="A1047" s="1"/>
      <c r="B1047" s="29"/>
      <c r="C1047" s="29"/>
      <c r="D1047" s="34"/>
      <c r="E1047" s="34"/>
      <c r="F1047" s="34"/>
      <c r="G1047" s="34"/>
      <c r="H1047" s="34"/>
      <c r="I1047" s="29"/>
      <c r="J1047" s="29"/>
      <c r="K1047" s="29"/>
      <c r="L1047" s="29"/>
      <c r="M1047" s="34"/>
      <c r="N1047" s="34"/>
      <c r="O1047" s="29"/>
      <c r="P1047" s="29"/>
      <c r="Q1047" s="29"/>
      <c r="R1047" s="29"/>
      <c r="S1047" s="29"/>
      <c r="T1047" s="1"/>
      <c r="U1047" s="34"/>
      <c r="V1047" s="34"/>
    </row>
    <row x14ac:dyDescent="0.25" r="1048" customHeight="1" ht="15.75">
      <c r="A1048" s="1"/>
      <c r="B1048" s="29"/>
      <c r="C1048" s="29"/>
      <c r="D1048" s="34"/>
      <c r="E1048" s="34"/>
      <c r="F1048" s="34"/>
      <c r="G1048" s="34"/>
      <c r="H1048" s="34"/>
      <c r="I1048" s="29"/>
      <c r="J1048" s="29"/>
      <c r="K1048" s="29"/>
      <c r="L1048" s="29"/>
      <c r="M1048" s="34"/>
      <c r="N1048" s="34"/>
      <c r="O1048" s="29"/>
      <c r="P1048" s="29"/>
      <c r="Q1048" s="29"/>
      <c r="R1048" s="29"/>
      <c r="S1048" s="29"/>
      <c r="T1048" s="1"/>
      <c r="U1048" s="34"/>
      <c r="V1048" s="34"/>
    </row>
    <row x14ac:dyDescent="0.25" r="1049" customHeight="1" ht="15.75">
      <c r="A1049" s="1"/>
      <c r="B1049" s="29"/>
      <c r="C1049" s="29"/>
      <c r="D1049" s="34"/>
      <c r="E1049" s="34"/>
      <c r="F1049" s="34"/>
      <c r="G1049" s="34"/>
      <c r="H1049" s="34"/>
      <c r="I1049" s="29"/>
      <c r="J1049" s="29"/>
      <c r="K1049" s="29"/>
      <c r="L1049" s="29"/>
      <c r="M1049" s="34"/>
      <c r="N1049" s="34"/>
      <c r="O1049" s="29"/>
      <c r="P1049" s="29"/>
      <c r="Q1049" s="29"/>
      <c r="R1049" s="29"/>
      <c r="S1049" s="29"/>
      <c r="T1049" s="1"/>
      <c r="U1049" s="34"/>
      <c r="V1049" s="34"/>
    </row>
    <row x14ac:dyDescent="0.25" r="1050" customHeight="1" ht="15.75">
      <c r="A1050" s="1"/>
      <c r="B1050" s="29"/>
      <c r="C1050" s="29"/>
      <c r="D1050" s="34"/>
      <c r="E1050" s="34"/>
      <c r="F1050" s="34"/>
      <c r="G1050" s="34"/>
      <c r="H1050" s="34"/>
      <c r="I1050" s="29"/>
      <c r="J1050" s="29"/>
      <c r="K1050" s="29"/>
      <c r="L1050" s="29"/>
      <c r="M1050" s="34"/>
      <c r="N1050" s="34"/>
      <c r="O1050" s="29"/>
      <c r="P1050" s="29"/>
      <c r="Q1050" s="29"/>
      <c r="R1050" s="29"/>
      <c r="S1050" s="29"/>
      <c r="T1050" s="1"/>
      <c r="U1050" s="34"/>
      <c r="V1050" s="34"/>
    </row>
    <row x14ac:dyDescent="0.25" r="1051" customHeight="1" ht="15.75">
      <c r="A1051" s="1"/>
      <c r="B1051" s="29"/>
      <c r="C1051" s="29"/>
      <c r="D1051" s="34"/>
      <c r="E1051" s="34"/>
      <c r="F1051" s="34"/>
      <c r="G1051" s="34"/>
      <c r="H1051" s="34"/>
      <c r="I1051" s="29"/>
      <c r="J1051" s="29"/>
      <c r="K1051" s="29"/>
      <c r="L1051" s="29"/>
      <c r="M1051" s="34"/>
      <c r="N1051" s="34"/>
      <c r="O1051" s="29"/>
      <c r="P1051" s="29"/>
      <c r="Q1051" s="29"/>
      <c r="R1051" s="29"/>
      <c r="S1051" s="29"/>
      <c r="T1051" s="1"/>
      <c r="U1051" s="34"/>
      <c r="V1051" s="34"/>
    </row>
    <row x14ac:dyDescent="0.25" r="1052" customHeight="1" ht="15.75">
      <c r="A1052" s="1"/>
      <c r="B1052" s="29"/>
      <c r="C1052" s="29"/>
      <c r="D1052" s="34"/>
      <c r="E1052" s="34"/>
      <c r="F1052" s="34"/>
      <c r="G1052" s="34"/>
      <c r="H1052" s="34"/>
      <c r="I1052" s="29"/>
      <c r="J1052" s="29"/>
      <c r="K1052" s="29"/>
      <c r="L1052" s="29"/>
      <c r="M1052" s="34"/>
      <c r="N1052" s="34"/>
      <c r="O1052" s="29"/>
      <c r="P1052" s="29"/>
      <c r="Q1052" s="29"/>
      <c r="R1052" s="29"/>
      <c r="S1052" s="29"/>
      <c r="T1052" s="1"/>
      <c r="U1052" s="34"/>
      <c r="V1052" s="3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983"/>
  <sheetViews>
    <sheetView workbookViewId="0"/>
  </sheetViews>
  <sheetFormatPr defaultRowHeight="15" x14ac:dyDescent="0.25"/>
  <cols>
    <col min="1" max="1" style="20" width="11.576428571428572" customWidth="1" bestFit="1"/>
    <col min="2" max="2" style="36" width="4.147857142857143" customWidth="1" bestFit="1"/>
    <col min="3" max="3" style="36" width="11.576428571428572" customWidth="1" bestFit="1"/>
    <col min="4" max="4" style="36" width="15.005" customWidth="1" bestFit="1"/>
    <col min="5" max="5" style="37" width="12.290714285714287" customWidth="1" bestFit="1"/>
    <col min="6" max="6" style="36" width="14.005" customWidth="1" bestFit="1"/>
    <col min="7" max="7" style="36" width="42.71928571428572" customWidth="1" bestFit="1"/>
    <col min="8" max="8" style="36" width="4.005" customWidth="1" bestFit="1"/>
    <col min="9" max="9" style="37" width="15.147857142857141" customWidth="1" bestFit="1"/>
    <col min="10" max="10" style="37" width="13.719285714285713" customWidth="1" bestFit="1"/>
    <col min="11" max="11" style="37" width="11.576428571428572" customWidth="1" bestFit="1"/>
    <col min="12" max="12" style="37" width="11.576428571428572" customWidth="1" bestFit="1"/>
    <col min="13" max="13" style="36" width="11.290714285714287" customWidth="1" bestFit="1"/>
    <col min="14" max="14" style="36" width="21.005" customWidth="1" bestFit="1"/>
    <col min="15" max="15" style="37" width="12.147857142857141" customWidth="1" bestFit="1"/>
    <col min="16" max="16" style="37" width="12.147857142857141" customWidth="1" bestFit="1"/>
    <col min="17" max="17" style="37" width="12.147857142857141" customWidth="1" bestFit="1"/>
    <col min="18" max="18" style="37" width="11.719285714285713" customWidth="1" bestFit="1"/>
    <col min="19" max="19" style="67" width="11.719285714285713" customWidth="1" bestFit="1"/>
    <col min="20" max="20" style="20" width="11.719285714285713" customWidth="1" bestFit="1"/>
    <col min="21" max="21" style="36" width="12.147857142857141" customWidth="1" bestFit="1"/>
    <col min="22" max="22" style="36" width="14.290714285714287" customWidth="1" bestFit="1"/>
  </cols>
  <sheetData>
    <row x14ac:dyDescent="0.25" r="1" customHeight="1" ht="19.5">
      <c r="A1" s="171" t="s">
        <v>1</v>
      </c>
      <c r="B1" s="89" t="s">
        <v>3</v>
      </c>
      <c r="C1" s="89" t="s">
        <v>1200</v>
      </c>
      <c r="D1" s="89" t="s">
        <v>4</v>
      </c>
      <c r="E1" s="216" t="s">
        <v>5</v>
      </c>
      <c r="F1" s="89" t="s">
        <v>6</v>
      </c>
      <c r="G1" s="89" t="s">
        <v>7</v>
      </c>
      <c r="H1" s="89" t="s">
        <v>8</v>
      </c>
      <c r="I1" s="91" t="s">
        <v>9</v>
      </c>
      <c r="J1" s="91" t="s">
        <v>10</v>
      </c>
      <c r="K1" s="91" t="s">
        <v>11</v>
      </c>
      <c r="L1" s="91" t="s">
        <v>12</v>
      </c>
      <c r="M1" s="89" t="s">
        <v>13</v>
      </c>
      <c r="N1" s="89" t="s">
        <v>14</v>
      </c>
      <c r="O1" s="91" t="s">
        <v>15</v>
      </c>
      <c r="P1" s="91" t="s">
        <v>16</v>
      </c>
      <c r="Q1" s="91" t="s">
        <v>17</v>
      </c>
      <c r="R1" s="91" t="s">
        <v>1662</v>
      </c>
      <c r="S1" s="89" t="s">
        <v>1663</v>
      </c>
      <c r="T1" s="171" t="s">
        <v>1664</v>
      </c>
      <c r="U1" s="89" t="s">
        <v>1665</v>
      </c>
      <c r="V1" s="89" t="s">
        <v>1666</v>
      </c>
    </row>
    <row x14ac:dyDescent="0.25" r="2" customHeight="1" ht="19.5">
      <c r="A2" s="12">
        <v>45870</v>
      </c>
      <c r="B2" s="14" t="s">
        <v>46</v>
      </c>
      <c r="C2" s="14" t="s">
        <v>2491</v>
      </c>
      <c r="D2" s="14" t="s">
        <v>282</v>
      </c>
      <c r="E2" s="217" t="s">
        <v>2492</v>
      </c>
      <c r="F2" s="14" t="s">
        <v>344</v>
      </c>
      <c r="G2" s="14" t="s">
        <v>2493</v>
      </c>
      <c r="H2" s="14" t="s">
        <v>26</v>
      </c>
      <c r="I2" s="17">
        <v>120100</v>
      </c>
      <c r="J2" s="17">
        <v>505920</v>
      </c>
      <c r="K2" s="17">
        <v>435320</v>
      </c>
      <c r="L2" s="17">
        <f>J2-K2</f>
      </c>
      <c r="M2" s="14" t="s">
        <v>50</v>
      </c>
      <c r="N2" s="14" t="s">
        <v>2494</v>
      </c>
      <c r="O2" s="17">
        <v>2</v>
      </c>
      <c r="P2" s="65"/>
      <c r="Q2" s="65"/>
      <c r="R2" s="17">
        <v>505920</v>
      </c>
      <c r="S2" s="17">
        <f>J2-P2-R2</f>
      </c>
      <c r="T2" s="12">
        <v>45902</v>
      </c>
      <c r="U2" s="14" t="s">
        <v>2216</v>
      </c>
      <c r="V2" s="14" t="s">
        <v>2495</v>
      </c>
    </row>
    <row x14ac:dyDescent="0.25" r="3" customHeight="1" ht="19.5">
      <c r="A3" s="12">
        <v>45870</v>
      </c>
      <c r="B3" s="14" t="s">
        <v>111</v>
      </c>
      <c r="C3" s="14" t="s">
        <v>2496</v>
      </c>
      <c r="D3" s="14" t="s">
        <v>373</v>
      </c>
      <c r="E3" s="217" t="s">
        <v>2497</v>
      </c>
      <c r="F3" s="14" t="s">
        <v>1854</v>
      </c>
      <c r="G3" s="14" t="s">
        <v>1855</v>
      </c>
      <c r="H3" s="14" t="s">
        <v>26</v>
      </c>
      <c r="I3" s="65"/>
      <c r="J3" s="17">
        <v>360800</v>
      </c>
      <c r="K3" s="17">
        <v>331320</v>
      </c>
      <c r="L3" s="17">
        <f>J3-K3</f>
      </c>
      <c r="M3" s="14" t="s">
        <v>187</v>
      </c>
      <c r="N3" s="14" t="s">
        <v>2498</v>
      </c>
      <c r="O3" s="65"/>
      <c r="P3" s="65"/>
      <c r="Q3" s="65"/>
      <c r="R3" s="17">
        <v>360800</v>
      </c>
      <c r="S3" s="17">
        <f>J3-P3-R3</f>
      </c>
      <c r="T3" s="12">
        <v>45873</v>
      </c>
      <c r="U3" s="14" t="s">
        <v>1718</v>
      </c>
      <c r="V3" s="14"/>
    </row>
    <row x14ac:dyDescent="0.25" r="4" customHeight="1" ht="19.5">
      <c r="A4" s="12">
        <v>45870</v>
      </c>
      <c r="B4" s="14" t="s">
        <v>111</v>
      </c>
      <c r="C4" s="14" t="s">
        <v>2496</v>
      </c>
      <c r="D4" s="14" t="s">
        <v>373</v>
      </c>
      <c r="E4" s="217" t="s">
        <v>2499</v>
      </c>
      <c r="F4" s="14" t="s">
        <v>1854</v>
      </c>
      <c r="G4" s="14" t="s">
        <v>2500</v>
      </c>
      <c r="H4" s="14" t="s">
        <v>26</v>
      </c>
      <c r="I4" s="65"/>
      <c r="J4" s="17">
        <v>360800</v>
      </c>
      <c r="K4" s="17">
        <v>331320</v>
      </c>
      <c r="L4" s="17">
        <f>J4-K4</f>
      </c>
      <c r="M4" s="14" t="s">
        <v>187</v>
      </c>
      <c r="N4" s="14" t="s">
        <v>2501</v>
      </c>
      <c r="O4" s="65"/>
      <c r="P4" s="17">
        <v>39200</v>
      </c>
      <c r="Q4" s="17"/>
      <c r="R4" s="17">
        <v>321600</v>
      </c>
      <c r="S4" s="17">
        <f>J4-P4-R4</f>
      </c>
      <c r="T4" s="175" t="s">
        <v>2502</v>
      </c>
      <c r="U4" s="14" t="s">
        <v>1718</v>
      </c>
      <c r="V4" s="14"/>
    </row>
    <row x14ac:dyDescent="0.25" r="5" customHeight="1" ht="28.5">
      <c r="A5" s="12">
        <v>45870</v>
      </c>
      <c r="B5" s="14" t="s">
        <v>46</v>
      </c>
      <c r="C5" s="14" t="s">
        <v>2503</v>
      </c>
      <c r="D5" s="14" t="s">
        <v>1786</v>
      </c>
      <c r="E5" s="217" t="s">
        <v>2504</v>
      </c>
      <c r="F5" s="14" t="s">
        <v>1771</v>
      </c>
      <c r="G5" s="14" t="s">
        <v>1134</v>
      </c>
      <c r="H5" s="14" t="s">
        <v>26</v>
      </c>
      <c r="I5" s="65"/>
      <c r="J5" s="17">
        <v>293920</v>
      </c>
      <c r="K5" s="17">
        <v>131200</v>
      </c>
      <c r="L5" s="17">
        <f>J5-K5</f>
      </c>
      <c r="M5" s="14" t="s">
        <v>50</v>
      </c>
      <c r="N5" s="14" t="s">
        <v>2505</v>
      </c>
      <c r="O5" s="65" t="s">
        <v>251</v>
      </c>
      <c r="P5" s="17"/>
      <c r="Q5" s="17"/>
      <c r="R5" s="17">
        <v>293920</v>
      </c>
      <c r="S5" s="17">
        <f>J5-P5-R5</f>
      </c>
      <c r="T5" s="12">
        <v>45873</v>
      </c>
      <c r="U5" s="14" t="s">
        <v>2307</v>
      </c>
      <c r="V5" s="14"/>
    </row>
    <row x14ac:dyDescent="0.25" r="6" customHeight="1" ht="19.5">
      <c r="A6" s="12">
        <v>45870</v>
      </c>
      <c r="B6" s="14" t="s">
        <v>106</v>
      </c>
      <c r="C6" s="14" t="s">
        <v>2506</v>
      </c>
      <c r="D6" s="14" t="s">
        <v>2507</v>
      </c>
      <c r="E6" s="217" t="s">
        <v>2508</v>
      </c>
      <c r="F6" s="14" t="s">
        <v>41</v>
      </c>
      <c r="G6" s="14" t="s">
        <v>42</v>
      </c>
      <c r="H6" s="14" t="s">
        <v>26</v>
      </c>
      <c r="I6" s="17">
        <v>804300</v>
      </c>
      <c r="J6" s="17">
        <v>1190920</v>
      </c>
      <c r="K6" s="17">
        <v>1029400</v>
      </c>
      <c r="L6" s="17">
        <f>J6-K6</f>
      </c>
      <c r="M6" s="14" t="s">
        <v>50</v>
      </c>
      <c r="N6" s="14" t="s">
        <v>2509</v>
      </c>
      <c r="O6" s="17">
        <v>2</v>
      </c>
      <c r="P6" s="17">
        <v>1000000</v>
      </c>
      <c r="Q6" s="17"/>
      <c r="R6" s="17">
        <v>190920</v>
      </c>
      <c r="S6" s="17">
        <f>J6-P6-R6</f>
      </c>
      <c r="T6" s="175" t="s">
        <v>2510</v>
      </c>
      <c r="U6" s="14" t="s">
        <v>1718</v>
      </c>
      <c r="V6" s="14"/>
    </row>
    <row x14ac:dyDescent="0.25" r="7" customHeight="1" ht="27.600000000000005">
      <c r="A7" s="12">
        <v>45870</v>
      </c>
      <c r="B7" s="14" t="s">
        <v>111</v>
      </c>
      <c r="C7" s="14" t="s">
        <v>2511</v>
      </c>
      <c r="D7" s="14" t="s">
        <v>2512</v>
      </c>
      <c r="E7" s="217" t="s">
        <v>2513</v>
      </c>
      <c r="F7" s="14" t="s">
        <v>84</v>
      </c>
      <c r="G7" s="14" t="s">
        <v>2514</v>
      </c>
      <c r="H7" s="14" t="s">
        <v>26</v>
      </c>
      <c r="I7" s="65"/>
      <c r="J7" s="17">
        <v>187920</v>
      </c>
      <c r="K7" s="17">
        <v>30700</v>
      </c>
      <c r="L7" s="17">
        <f>J7-K7</f>
      </c>
      <c r="M7" s="14" t="s">
        <v>50</v>
      </c>
      <c r="N7" s="14" t="s">
        <v>2515</v>
      </c>
      <c r="O7" s="65" t="s">
        <v>251</v>
      </c>
      <c r="P7" s="65"/>
      <c r="Q7" s="65"/>
      <c r="R7" s="65"/>
      <c r="S7" s="17">
        <f>J7-P7-R7</f>
      </c>
      <c r="T7" s="12"/>
      <c r="U7" s="14"/>
      <c r="V7" s="14"/>
    </row>
    <row x14ac:dyDescent="0.25" r="8" customHeight="1" ht="19.5">
      <c r="A8" s="12">
        <v>45870</v>
      </c>
      <c r="B8" s="14" t="s">
        <v>111</v>
      </c>
      <c r="C8" s="14" t="s">
        <v>2516</v>
      </c>
      <c r="D8" s="14" t="s">
        <v>2517</v>
      </c>
      <c r="E8" s="69">
        <v>0</v>
      </c>
      <c r="F8" s="14" t="s">
        <v>2518</v>
      </c>
      <c r="G8" s="14" t="s">
        <v>2519</v>
      </c>
      <c r="H8" s="14" t="s">
        <v>26</v>
      </c>
      <c r="I8" s="17">
        <v>56600</v>
      </c>
      <c r="J8" s="17">
        <v>408920</v>
      </c>
      <c r="K8" s="17">
        <v>359155</v>
      </c>
      <c r="L8" s="17">
        <f>J8-K8</f>
      </c>
      <c r="M8" s="14" t="s">
        <v>50</v>
      </c>
      <c r="N8" s="14" t="s">
        <v>2520</v>
      </c>
      <c r="O8" s="17">
        <v>2</v>
      </c>
      <c r="P8" s="65"/>
      <c r="Q8" s="65"/>
      <c r="R8" s="17">
        <v>408920</v>
      </c>
      <c r="S8" s="17">
        <f>J8-P8-R8</f>
      </c>
      <c r="T8" s="12">
        <v>45882</v>
      </c>
      <c r="U8" s="14" t="s">
        <v>1718</v>
      </c>
      <c r="V8" s="14"/>
    </row>
    <row x14ac:dyDescent="0.25" r="9" customHeight="1" ht="19.5">
      <c r="A9" s="12">
        <v>45871</v>
      </c>
      <c r="B9" s="14" t="s">
        <v>111</v>
      </c>
      <c r="C9" s="14" t="s">
        <v>2521</v>
      </c>
      <c r="D9" s="14" t="s">
        <v>166</v>
      </c>
      <c r="E9" s="217" t="s">
        <v>2522</v>
      </c>
      <c r="F9" s="14" t="s">
        <v>2523</v>
      </c>
      <c r="G9" s="14" t="s">
        <v>2524</v>
      </c>
      <c r="H9" s="14" t="s">
        <v>26</v>
      </c>
      <c r="I9" s="65"/>
      <c r="J9" s="17">
        <v>448600</v>
      </c>
      <c r="K9" s="17">
        <v>424220</v>
      </c>
      <c r="L9" s="17">
        <f>J9-K9</f>
      </c>
      <c r="M9" s="14" t="s">
        <v>187</v>
      </c>
      <c r="N9" s="14" t="s">
        <v>2525</v>
      </c>
      <c r="O9" s="65"/>
      <c r="P9" s="65"/>
      <c r="Q9" s="65"/>
      <c r="R9" s="65"/>
      <c r="S9" s="17">
        <f>J9-P9-R9</f>
      </c>
      <c r="T9" s="12"/>
      <c r="U9" s="14"/>
      <c r="V9" s="14"/>
    </row>
    <row x14ac:dyDescent="0.25" r="10" customHeight="1" ht="19.5">
      <c r="A10" s="12">
        <v>45871</v>
      </c>
      <c r="B10" s="14" t="s">
        <v>111</v>
      </c>
      <c r="C10" s="14" t="s">
        <v>2521</v>
      </c>
      <c r="D10" s="14" t="s">
        <v>166</v>
      </c>
      <c r="E10" s="217" t="s">
        <v>2522</v>
      </c>
      <c r="F10" s="14" t="s">
        <v>2523</v>
      </c>
      <c r="G10" s="14" t="s">
        <v>2526</v>
      </c>
      <c r="H10" s="14" t="s">
        <v>26</v>
      </c>
      <c r="I10" s="65"/>
      <c r="J10" s="17">
        <v>448600</v>
      </c>
      <c r="K10" s="17">
        <v>424220</v>
      </c>
      <c r="L10" s="17">
        <f>J10-K10</f>
      </c>
      <c r="M10" s="14" t="s">
        <v>187</v>
      </c>
      <c r="N10" s="14" t="s">
        <v>2527</v>
      </c>
      <c r="O10" s="65"/>
      <c r="P10" s="65"/>
      <c r="Q10" s="65"/>
      <c r="R10" s="65"/>
      <c r="S10" s="17">
        <f>J10-P10-R10</f>
      </c>
      <c r="T10" s="12"/>
      <c r="U10" s="14"/>
      <c r="V10" s="14"/>
    </row>
    <row x14ac:dyDescent="0.25" r="11" customHeight="1" ht="19.5">
      <c r="A11" s="12">
        <v>45873</v>
      </c>
      <c r="B11" s="14" t="s">
        <v>111</v>
      </c>
      <c r="C11" s="14" t="s">
        <v>2528</v>
      </c>
      <c r="D11" s="14" t="s">
        <v>2529</v>
      </c>
      <c r="E11" s="217" t="s">
        <v>2530</v>
      </c>
      <c r="F11" s="14" t="s">
        <v>2531</v>
      </c>
      <c r="G11" s="14" t="s">
        <v>2532</v>
      </c>
      <c r="H11" s="14" t="s">
        <v>26</v>
      </c>
      <c r="I11" s="65"/>
      <c r="J11" s="17">
        <v>98100</v>
      </c>
      <c r="K11" s="17">
        <v>86100</v>
      </c>
      <c r="L11" s="17">
        <f>J11-K11</f>
      </c>
      <c r="M11" s="14" t="s">
        <v>187</v>
      </c>
      <c r="N11" s="14" t="s">
        <v>2533</v>
      </c>
      <c r="O11" s="65" t="s">
        <v>251</v>
      </c>
      <c r="P11" s="65"/>
      <c r="Q11" s="65"/>
      <c r="R11" s="17">
        <v>98100</v>
      </c>
      <c r="S11" s="17">
        <f>J11-P11-R11</f>
      </c>
      <c r="T11" s="12">
        <v>45875</v>
      </c>
      <c r="U11" s="14" t="s">
        <v>2307</v>
      </c>
      <c r="V11" s="14"/>
    </row>
    <row x14ac:dyDescent="0.25" r="12" customHeight="1" ht="19.5">
      <c r="A12" s="12">
        <v>45873</v>
      </c>
      <c r="B12" s="14" t="s">
        <v>111</v>
      </c>
      <c r="C12" s="14" t="s">
        <v>2534</v>
      </c>
      <c r="D12" s="14" t="s">
        <v>1442</v>
      </c>
      <c r="E12" s="217" t="s">
        <v>2535</v>
      </c>
      <c r="F12" s="14" t="s">
        <v>2318</v>
      </c>
      <c r="G12" s="14" t="s">
        <v>2536</v>
      </c>
      <c r="H12" s="14" t="s">
        <v>2537</v>
      </c>
      <c r="I12" s="17">
        <v>1354000</v>
      </c>
      <c r="J12" s="17">
        <v>2888900</v>
      </c>
      <c r="K12" s="17">
        <v>1924920</v>
      </c>
      <c r="L12" s="17">
        <f>J12-K12</f>
      </c>
      <c r="M12" s="14" t="s">
        <v>50</v>
      </c>
      <c r="N12" s="14" t="s">
        <v>2538</v>
      </c>
      <c r="O12" s="17">
        <v>4</v>
      </c>
      <c r="P12" s="65"/>
      <c r="Q12" s="65"/>
      <c r="R12" s="17">
        <v>2888900</v>
      </c>
      <c r="S12" s="17">
        <f>J12-P12-R12</f>
      </c>
      <c r="T12" s="12">
        <v>45876</v>
      </c>
      <c r="U12" s="14" t="s">
        <v>1718</v>
      </c>
      <c r="V12" s="14"/>
    </row>
    <row x14ac:dyDescent="0.25" r="13" customHeight="1" ht="19.5">
      <c r="A13" s="12">
        <v>45873</v>
      </c>
      <c r="B13" s="14" t="s">
        <v>111</v>
      </c>
      <c r="C13" s="14" t="s">
        <v>2539</v>
      </c>
      <c r="D13" s="14" t="s">
        <v>295</v>
      </c>
      <c r="E13" s="217" t="s">
        <v>2540</v>
      </c>
      <c r="F13" s="14" t="s">
        <v>2420</v>
      </c>
      <c r="G13" s="14" t="s">
        <v>2541</v>
      </c>
      <c r="H13" s="14" t="s">
        <v>26</v>
      </c>
      <c r="I13" s="17">
        <v>240400</v>
      </c>
      <c r="J13" s="17">
        <v>741920</v>
      </c>
      <c r="K13" s="17">
        <v>691320</v>
      </c>
      <c r="L13" s="17">
        <f>J13-K13</f>
      </c>
      <c r="M13" s="14" t="s">
        <v>50</v>
      </c>
      <c r="N13" s="14" t="s">
        <v>2542</v>
      </c>
      <c r="O13" s="17">
        <v>4</v>
      </c>
      <c r="P13" s="17">
        <v>500000</v>
      </c>
      <c r="Q13" s="17"/>
      <c r="R13" s="65"/>
      <c r="S13" s="17">
        <f>J13-P13-R13</f>
      </c>
      <c r="T13" s="12">
        <v>45874</v>
      </c>
      <c r="U13" s="14" t="s">
        <v>1718</v>
      </c>
      <c r="V13" s="14"/>
    </row>
    <row x14ac:dyDescent="0.25" r="14" customHeight="1" ht="19.5">
      <c r="A14" s="12">
        <v>45874</v>
      </c>
      <c r="B14" s="14" t="s">
        <v>111</v>
      </c>
      <c r="C14" s="14" t="s">
        <v>2543</v>
      </c>
      <c r="D14" s="14" t="s">
        <v>398</v>
      </c>
      <c r="E14" s="217"/>
      <c r="F14" s="14" t="s">
        <v>84</v>
      </c>
      <c r="G14" s="14" t="s">
        <v>191</v>
      </c>
      <c r="H14" s="14" t="s">
        <v>26</v>
      </c>
      <c r="I14" s="65"/>
      <c r="J14" s="17">
        <v>129920</v>
      </c>
      <c r="K14" s="17">
        <v>59500</v>
      </c>
      <c r="L14" s="17">
        <f>J14-K14</f>
      </c>
      <c r="M14" s="14" t="s">
        <v>50</v>
      </c>
      <c r="N14" s="14" t="s">
        <v>2544</v>
      </c>
      <c r="O14" s="65" t="s">
        <v>251</v>
      </c>
      <c r="P14" s="65"/>
      <c r="Q14" s="65"/>
      <c r="R14" s="65"/>
      <c r="S14" s="17">
        <f>J14-P14-R14</f>
      </c>
      <c r="T14" s="12"/>
      <c r="U14" s="14"/>
      <c r="V14" s="14"/>
    </row>
    <row x14ac:dyDescent="0.25" r="15" customHeight="1" ht="19.5">
      <c r="A15" s="12">
        <v>45874</v>
      </c>
      <c r="B15" s="14" t="s">
        <v>111</v>
      </c>
      <c r="C15" s="14" t="s">
        <v>2545</v>
      </c>
      <c r="D15" s="14" t="s">
        <v>1442</v>
      </c>
      <c r="E15" s="217" t="s">
        <v>2546</v>
      </c>
      <c r="F15" s="14" t="s">
        <v>2318</v>
      </c>
      <c r="G15" s="14" t="s">
        <v>2536</v>
      </c>
      <c r="H15" s="14" t="s">
        <v>2537</v>
      </c>
      <c r="I15" s="65"/>
      <c r="J15" s="17">
        <v>285000</v>
      </c>
      <c r="K15" s="17">
        <v>85000</v>
      </c>
      <c r="L15" s="17">
        <f>J15-K15</f>
      </c>
      <c r="M15" s="14" t="s">
        <v>50</v>
      </c>
      <c r="N15" s="14" t="s">
        <v>2547</v>
      </c>
      <c r="O15" s="65" t="s">
        <v>251</v>
      </c>
      <c r="P15" s="65"/>
      <c r="Q15" s="65"/>
      <c r="R15" s="17">
        <v>285000</v>
      </c>
      <c r="S15" s="17">
        <f>J15-P15-R15</f>
      </c>
      <c r="T15" s="12">
        <v>45876</v>
      </c>
      <c r="U15" s="14" t="s">
        <v>1718</v>
      </c>
      <c r="V15" s="14"/>
    </row>
    <row x14ac:dyDescent="0.25" r="16" customHeight="1" ht="19.5">
      <c r="A16" s="12">
        <v>45874</v>
      </c>
      <c r="B16" s="14" t="s">
        <v>111</v>
      </c>
      <c r="C16" s="14" t="s">
        <v>2548</v>
      </c>
      <c r="D16" s="14" t="s">
        <v>54</v>
      </c>
      <c r="E16" s="217" t="s">
        <v>2549</v>
      </c>
      <c r="F16" s="14" t="s">
        <v>2550</v>
      </c>
      <c r="G16" s="14" t="s">
        <v>2551</v>
      </c>
      <c r="H16" s="14" t="s">
        <v>2552</v>
      </c>
      <c r="I16" s="65"/>
      <c r="J16" s="17">
        <v>935920</v>
      </c>
      <c r="K16" s="17">
        <v>861620</v>
      </c>
      <c r="L16" s="17">
        <f>J16-K16</f>
      </c>
      <c r="M16" s="14" t="s">
        <v>50</v>
      </c>
      <c r="N16" s="14" t="s">
        <v>2553</v>
      </c>
      <c r="O16" s="17">
        <v>4</v>
      </c>
      <c r="P16" s="65"/>
      <c r="Q16" s="65"/>
      <c r="R16" s="17">
        <v>935920</v>
      </c>
      <c r="S16" s="17">
        <f>J16-P16-R16</f>
      </c>
      <c r="T16" s="12">
        <v>45874</v>
      </c>
      <c r="U16" s="14" t="s">
        <v>1718</v>
      </c>
      <c r="V16" s="14"/>
    </row>
    <row x14ac:dyDescent="0.25" r="17" customHeight="1" ht="19.5">
      <c r="A17" s="12">
        <v>45875</v>
      </c>
      <c r="B17" s="14" t="s">
        <v>111</v>
      </c>
      <c r="C17" s="14" t="s">
        <v>2554</v>
      </c>
      <c r="D17" s="14" t="s">
        <v>54</v>
      </c>
      <c r="E17" s="217" t="s">
        <v>2555</v>
      </c>
      <c r="F17" s="14" t="s">
        <v>2556</v>
      </c>
      <c r="G17" s="14" t="s">
        <v>2557</v>
      </c>
      <c r="H17" s="14" t="s">
        <v>26</v>
      </c>
      <c r="I17" s="17">
        <v>167900</v>
      </c>
      <c r="J17" s="17">
        <v>559920</v>
      </c>
      <c r="K17" s="17">
        <v>524720</v>
      </c>
      <c r="L17" s="17">
        <v>35200</v>
      </c>
      <c r="M17" s="14" t="s">
        <v>50</v>
      </c>
      <c r="N17" s="14" t="s">
        <v>2558</v>
      </c>
      <c r="O17" s="17">
        <v>4</v>
      </c>
      <c r="P17" s="65"/>
      <c r="Q17" s="65"/>
      <c r="R17" s="17">
        <v>559920</v>
      </c>
      <c r="S17" s="17">
        <f>J17-P17-R17</f>
      </c>
      <c r="T17" s="12">
        <v>45876</v>
      </c>
      <c r="U17" s="14" t="s">
        <v>1718</v>
      </c>
      <c r="V17" s="14"/>
    </row>
    <row x14ac:dyDescent="0.25" r="18" customHeight="1" ht="19.5">
      <c r="A18" s="12">
        <v>45875</v>
      </c>
      <c r="B18" s="14" t="s">
        <v>46</v>
      </c>
      <c r="C18" s="14" t="s">
        <v>2559</v>
      </c>
      <c r="D18" s="14" t="s">
        <v>2560</v>
      </c>
      <c r="E18" s="217" t="s">
        <v>2561</v>
      </c>
      <c r="F18" s="14" t="s">
        <v>2562</v>
      </c>
      <c r="G18" s="14" t="s">
        <v>2563</v>
      </c>
      <c r="H18" s="14" t="s">
        <v>26</v>
      </c>
      <c r="I18" s="65"/>
      <c r="J18" s="17">
        <v>321900</v>
      </c>
      <c r="K18" s="17">
        <v>251900</v>
      </c>
      <c r="L18" s="17">
        <v>70000</v>
      </c>
      <c r="M18" s="14" t="s">
        <v>187</v>
      </c>
      <c r="N18" s="14" t="s">
        <v>2564</v>
      </c>
      <c r="O18" s="65" t="s">
        <v>251</v>
      </c>
      <c r="P18" s="65"/>
      <c r="Q18" s="65"/>
      <c r="R18" s="65"/>
      <c r="S18" s="17">
        <f>J18-P18-R18</f>
      </c>
      <c r="T18" s="12"/>
      <c r="U18" s="14"/>
      <c r="V18" s="14"/>
    </row>
    <row x14ac:dyDescent="0.25" r="19" customHeight="1" ht="19.5">
      <c r="A19" s="12">
        <v>45875</v>
      </c>
      <c r="B19" s="14" t="s">
        <v>111</v>
      </c>
      <c r="C19" s="14" t="s">
        <v>2565</v>
      </c>
      <c r="D19" s="14" t="s">
        <v>448</v>
      </c>
      <c r="E19" s="217" t="s">
        <v>2566</v>
      </c>
      <c r="F19" s="14" t="s">
        <v>2567</v>
      </c>
      <c r="G19" s="14" t="s">
        <v>2568</v>
      </c>
      <c r="H19" s="14" t="s">
        <v>26</v>
      </c>
      <c r="I19" s="65"/>
      <c r="J19" s="17">
        <v>2577920</v>
      </c>
      <c r="K19" s="17">
        <v>2424320</v>
      </c>
      <c r="L19" s="17">
        <v>153600</v>
      </c>
      <c r="M19" s="14" t="s">
        <v>50</v>
      </c>
      <c r="N19" s="14" t="s">
        <v>2569</v>
      </c>
      <c r="O19" s="17">
        <v>4</v>
      </c>
      <c r="P19" s="65"/>
      <c r="Q19" s="65"/>
      <c r="R19" s="17">
        <v>2577920</v>
      </c>
      <c r="S19" s="17">
        <f>J19-P19-R19</f>
      </c>
      <c r="T19" s="12">
        <v>45876</v>
      </c>
      <c r="U19" s="14" t="s">
        <v>1718</v>
      </c>
      <c r="V19" s="14"/>
    </row>
    <row x14ac:dyDescent="0.25" r="20" customHeight="1" ht="19.5">
      <c r="A20" s="12">
        <v>45876</v>
      </c>
      <c r="B20" s="14" t="s">
        <v>111</v>
      </c>
      <c r="C20" s="14" t="s">
        <v>2565</v>
      </c>
      <c r="D20" s="14" t="s">
        <v>448</v>
      </c>
      <c r="E20" s="217" t="s">
        <v>2570</v>
      </c>
      <c r="F20" s="14" t="s">
        <v>2567</v>
      </c>
      <c r="G20" s="14" t="s">
        <v>2571</v>
      </c>
      <c r="H20" s="14" t="s">
        <v>26</v>
      </c>
      <c r="I20" s="65"/>
      <c r="J20" s="17">
        <v>1328920</v>
      </c>
      <c r="K20" s="17">
        <v>908220</v>
      </c>
      <c r="L20" s="17">
        <f>J20-K20</f>
      </c>
      <c r="M20" s="14" t="s">
        <v>50</v>
      </c>
      <c r="N20" s="14" t="s">
        <v>2572</v>
      </c>
      <c r="O20" s="17">
        <v>4</v>
      </c>
      <c r="P20" s="65"/>
      <c r="Q20" s="65"/>
      <c r="R20" s="17">
        <v>1328920</v>
      </c>
      <c r="S20" s="17">
        <f>J20-P20-R20</f>
      </c>
      <c r="T20" s="12">
        <v>45845</v>
      </c>
      <c r="U20" s="14" t="s">
        <v>1718</v>
      </c>
      <c r="V20" s="14"/>
    </row>
    <row x14ac:dyDescent="0.25" r="21" customHeight="1" ht="19.5">
      <c r="A21" s="12">
        <v>45876</v>
      </c>
      <c r="B21" s="14" t="s">
        <v>475</v>
      </c>
      <c r="C21" s="14" t="s">
        <v>2573</v>
      </c>
      <c r="D21" s="14" t="s">
        <v>477</v>
      </c>
      <c r="E21" s="217" t="s">
        <v>2574</v>
      </c>
      <c r="F21" s="14" t="s">
        <v>548</v>
      </c>
      <c r="G21" s="14" t="s">
        <v>2575</v>
      </c>
      <c r="H21" s="14" t="s">
        <v>26</v>
      </c>
      <c r="I21" s="65"/>
      <c r="J21" s="17">
        <v>356920</v>
      </c>
      <c r="K21" s="17">
        <v>258000</v>
      </c>
      <c r="L21" s="17">
        <f>J21-K21</f>
      </c>
      <c r="M21" s="14" t="s">
        <v>475</v>
      </c>
      <c r="N21" s="14" t="s">
        <v>2576</v>
      </c>
      <c r="O21" s="65"/>
      <c r="P21" s="65"/>
      <c r="Q21" s="65"/>
      <c r="R21" s="65"/>
      <c r="S21" s="17">
        <f>J21-P21-R21</f>
      </c>
      <c r="T21" s="12"/>
      <c r="U21" s="14"/>
      <c r="V21" s="14"/>
    </row>
    <row x14ac:dyDescent="0.25" r="22" customHeight="1" ht="27">
      <c r="A22" s="12">
        <v>45876</v>
      </c>
      <c r="B22" s="14" t="s">
        <v>46</v>
      </c>
      <c r="C22" s="14" t="s">
        <v>2577</v>
      </c>
      <c r="D22" s="14" t="s">
        <v>54</v>
      </c>
      <c r="E22" s="217" t="s">
        <v>2578</v>
      </c>
      <c r="F22" s="14" t="s">
        <v>320</v>
      </c>
      <c r="G22" s="14" t="s">
        <v>2579</v>
      </c>
      <c r="H22" s="14" t="s">
        <v>26</v>
      </c>
      <c r="I22" s="65"/>
      <c r="J22" s="17">
        <v>1320920</v>
      </c>
      <c r="K22" s="17">
        <v>1120320</v>
      </c>
      <c r="L22" s="17">
        <v>200600</v>
      </c>
      <c r="M22" s="14" t="s">
        <v>50</v>
      </c>
      <c r="N22" s="14" t="s">
        <v>2580</v>
      </c>
      <c r="O22" s="17">
        <v>2</v>
      </c>
      <c r="P22" s="17">
        <v>300000</v>
      </c>
      <c r="Q22" s="17"/>
      <c r="R22" s="17">
        <v>1020920</v>
      </c>
      <c r="S22" s="17">
        <f>J22-P22-R22</f>
      </c>
      <c r="T22" s="175" t="s">
        <v>2581</v>
      </c>
      <c r="U22" s="14" t="s">
        <v>1718</v>
      </c>
      <c r="V22" s="14"/>
    </row>
    <row x14ac:dyDescent="0.25" r="23" customHeight="1" ht="19.5">
      <c r="A23" s="12">
        <v>45876</v>
      </c>
      <c r="B23" s="14" t="s">
        <v>82</v>
      </c>
      <c r="C23" s="14" t="s">
        <v>2582</v>
      </c>
      <c r="D23" s="14" t="s">
        <v>2583</v>
      </c>
      <c r="E23" s="217" t="s">
        <v>2584</v>
      </c>
      <c r="F23" s="14" t="s">
        <v>194</v>
      </c>
      <c r="G23" s="14" t="s">
        <v>2585</v>
      </c>
      <c r="H23" s="14" t="s">
        <v>26</v>
      </c>
      <c r="I23" s="65"/>
      <c r="J23" s="17">
        <v>238920</v>
      </c>
      <c r="K23" s="17">
        <v>223340</v>
      </c>
      <c r="L23" s="17">
        <f>J23-K23</f>
      </c>
      <c r="M23" s="14" t="s">
        <v>86</v>
      </c>
      <c r="N23" s="14" t="s">
        <v>2586</v>
      </c>
      <c r="O23" s="65"/>
      <c r="P23" s="65"/>
      <c r="Q23" s="65"/>
      <c r="R23" s="65"/>
      <c r="S23" s="17">
        <f>J23-P23-R23</f>
      </c>
      <c r="T23" s="12"/>
      <c r="U23" s="14"/>
      <c r="V23" s="14"/>
    </row>
    <row x14ac:dyDescent="0.25" r="24" customHeight="1" ht="19.5">
      <c r="A24" s="12">
        <v>45876</v>
      </c>
      <c r="B24" s="14" t="s">
        <v>82</v>
      </c>
      <c r="C24" s="14" t="s">
        <v>2573</v>
      </c>
      <c r="D24" s="14" t="s">
        <v>2583</v>
      </c>
      <c r="E24" s="217" t="s">
        <v>2584</v>
      </c>
      <c r="F24" s="14" t="s">
        <v>194</v>
      </c>
      <c r="G24" s="14" t="s">
        <v>2587</v>
      </c>
      <c r="H24" s="14" t="s">
        <v>26</v>
      </c>
      <c r="I24" s="65"/>
      <c r="J24" s="17">
        <v>238920</v>
      </c>
      <c r="K24" s="17">
        <v>223340</v>
      </c>
      <c r="L24" s="17">
        <f>J24-K24</f>
      </c>
      <c r="M24" s="14" t="s">
        <v>86</v>
      </c>
      <c r="N24" s="14" t="s">
        <v>2588</v>
      </c>
      <c r="O24" s="65"/>
      <c r="P24" s="65"/>
      <c r="Q24" s="65"/>
      <c r="R24" s="65"/>
      <c r="S24" s="17">
        <f>J24-P24-R24</f>
      </c>
      <c r="T24" s="12"/>
      <c r="U24" s="14"/>
      <c r="V24" s="14"/>
    </row>
    <row x14ac:dyDescent="0.25" r="25" customHeight="1" ht="19.5">
      <c r="A25" s="12">
        <v>45876</v>
      </c>
      <c r="B25" s="14" t="s">
        <v>111</v>
      </c>
      <c r="C25" s="14" t="s">
        <v>2589</v>
      </c>
      <c r="D25" s="14" t="s">
        <v>2590</v>
      </c>
      <c r="E25" s="217" t="s">
        <v>2591</v>
      </c>
      <c r="F25" s="14" t="s">
        <v>2592</v>
      </c>
      <c r="G25" s="14" t="s">
        <v>2593</v>
      </c>
      <c r="H25" s="14" t="s">
        <v>26</v>
      </c>
      <c r="I25" s="65"/>
      <c r="J25" s="17">
        <v>356920</v>
      </c>
      <c r="K25" s="17">
        <v>326320</v>
      </c>
      <c r="L25" s="17">
        <f>J25-K25</f>
      </c>
      <c r="M25" s="14" t="s">
        <v>50</v>
      </c>
      <c r="N25" s="14" t="s">
        <v>2594</v>
      </c>
      <c r="O25" s="17">
        <v>2</v>
      </c>
      <c r="P25" s="65"/>
      <c r="Q25" s="65"/>
      <c r="R25" s="17">
        <v>356920</v>
      </c>
      <c r="S25" s="17">
        <f>J25-P25-R25</f>
      </c>
      <c r="T25" s="12">
        <v>45918</v>
      </c>
      <c r="U25" s="14" t="s">
        <v>1718</v>
      </c>
      <c r="V25" s="14"/>
    </row>
    <row x14ac:dyDescent="0.25" r="26" customHeight="1" ht="19.5">
      <c r="A26" s="12">
        <v>45877</v>
      </c>
      <c r="B26" s="14" t="s">
        <v>252</v>
      </c>
      <c r="C26" s="14" t="s">
        <v>2595</v>
      </c>
      <c r="D26" s="14" t="s">
        <v>54</v>
      </c>
      <c r="E26" s="217" t="s">
        <v>2596</v>
      </c>
      <c r="F26" s="14" t="s">
        <v>2597</v>
      </c>
      <c r="G26" s="14" t="s">
        <v>2598</v>
      </c>
      <c r="H26" s="14" t="s">
        <v>26</v>
      </c>
      <c r="I26" s="65"/>
      <c r="J26" s="17">
        <v>646120</v>
      </c>
      <c r="K26" s="17">
        <v>646120</v>
      </c>
      <c r="L26" s="17">
        <f>J26-K26</f>
      </c>
      <c r="M26" s="14" t="s">
        <v>187</v>
      </c>
      <c r="N26" s="14" t="s">
        <v>2599</v>
      </c>
      <c r="O26" s="65"/>
      <c r="P26" s="65"/>
      <c r="Q26" s="65"/>
      <c r="R26" s="65"/>
      <c r="S26" s="17">
        <f>J26-P26-R26</f>
      </c>
      <c r="T26" s="12"/>
      <c r="U26" s="14"/>
      <c r="V26" s="14"/>
    </row>
    <row x14ac:dyDescent="0.25" r="27" customHeight="1" ht="19.5">
      <c r="A27" s="12">
        <v>45877</v>
      </c>
      <c r="B27" s="14" t="s">
        <v>123</v>
      </c>
      <c r="C27" s="14" t="s">
        <v>2600</v>
      </c>
      <c r="D27" s="14" t="s">
        <v>1892</v>
      </c>
      <c r="E27" s="217" t="s">
        <v>2601</v>
      </c>
      <c r="F27" s="14" t="s">
        <v>1673</v>
      </c>
      <c r="G27" s="14" t="s">
        <v>2602</v>
      </c>
      <c r="H27" s="14" t="s">
        <v>26</v>
      </c>
      <c r="I27" s="65"/>
      <c r="J27" s="17">
        <v>96400</v>
      </c>
      <c r="K27" s="17">
        <v>67500</v>
      </c>
      <c r="L27" s="17">
        <f>J27-K27</f>
      </c>
      <c r="M27" s="14" t="s">
        <v>2603</v>
      </c>
      <c r="N27" s="14" t="s">
        <v>2604</v>
      </c>
      <c r="O27" s="65" t="s">
        <v>251</v>
      </c>
      <c r="P27" s="65"/>
      <c r="Q27" s="65"/>
      <c r="R27" s="65"/>
      <c r="S27" s="17">
        <f>J27-P27-R27</f>
      </c>
      <c r="T27" s="12"/>
      <c r="U27" s="14"/>
      <c r="V27" s="14"/>
    </row>
    <row x14ac:dyDescent="0.25" r="28" customHeight="1" ht="19.5">
      <c r="A28" s="12">
        <v>45877</v>
      </c>
      <c r="B28" s="14" t="s">
        <v>46</v>
      </c>
      <c r="C28" s="14" t="s">
        <v>2577</v>
      </c>
      <c r="D28" s="14" t="s">
        <v>54</v>
      </c>
      <c r="E28" s="217" t="s">
        <v>2605</v>
      </c>
      <c r="F28" s="14" t="s">
        <v>320</v>
      </c>
      <c r="G28" s="14" t="s">
        <v>2579</v>
      </c>
      <c r="H28" s="14" t="s">
        <v>26</v>
      </c>
      <c r="I28" s="65"/>
      <c r="J28" s="17">
        <v>191920</v>
      </c>
      <c r="K28" s="17">
        <v>131200</v>
      </c>
      <c r="L28" s="17">
        <f>J28-K28</f>
      </c>
      <c r="M28" s="14" t="s">
        <v>50</v>
      </c>
      <c r="N28" s="14" t="s">
        <v>2606</v>
      </c>
      <c r="O28" s="65" t="s">
        <v>251</v>
      </c>
      <c r="P28" s="65"/>
      <c r="Q28" s="65"/>
      <c r="R28" s="17">
        <v>191920</v>
      </c>
      <c r="S28" s="17">
        <f>J28-P28-R28</f>
      </c>
      <c r="T28" s="12">
        <v>45946</v>
      </c>
      <c r="U28" s="14" t="s">
        <v>1718</v>
      </c>
      <c r="V28" s="14"/>
    </row>
    <row x14ac:dyDescent="0.25" r="29" customHeight="1" ht="19.5">
      <c r="A29" s="12">
        <v>45877</v>
      </c>
      <c r="B29" s="14" t="s">
        <v>66</v>
      </c>
      <c r="C29" s="14" t="s">
        <v>2607</v>
      </c>
      <c r="D29" s="14" t="s">
        <v>2608</v>
      </c>
      <c r="E29" s="65" t="s">
        <v>2609</v>
      </c>
      <c r="F29" s="14" t="s">
        <v>26</v>
      </c>
      <c r="G29" s="14" t="s">
        <v>2610</v>
      </c>
      <c r="H29" s="30" t="s">
        <v>26</v>
      </c>
      <c r="I29" s="65"/>
      <c r="J29" s="17">
        <v>40100</v>
      </c>
      <c r="K29" s="17">
        <v>30100</v>
      </c>
      <c r="L29" s="17">
        <f>J29-K29</f>
      </c>
      <c r="M29" s="14" t="s">
        <v>187</v>
      </c>
      <c r="N29" s="14" t="s">
        <v>2611</v>
      </c>
      <c r="O29" s="65" t="s">
        <v>251</v>
      </c>
      <c r="P29" s="65"/>
      <c r="Q29" s="65"/>
      <c r="R29" s="17">
        <v>40100</v>
      </c>
      <c r="S29" s="17">
        <f>J29-P29-R29</f>
      </c>
      <c r="T29" s="12">
        <v>45876</v>
      </c>
      <c r="U29" s="14" t="s">
        <v>1718</v>
      </c>
      <c r="V29" s="14"/>
    </row>
    <row x14ac:dyDescent="0.25" r="30" customHeight="1" ht="19.5">
      <c r="A30" s="12">
        <v>45877</v>
      </c>
      <c r="B30" s="70" t="s">
        <v>2612</v>
      </c>
      <c r="C30" s="14" t="s">
        <v>2613</v>
      </c>
      <c r="D30" s="14" t="s">
        <v>2614</v>
      </c>
      <c r="E30" s="217" t="s">
        <v>2615</v>
      </c>
      <c r="F30" s="14" t="s">
        <v>174</v>
      </c>
      <c r="G30" s="14" t="s">
        <v>2616</v>
      </c>
      <c r="H30" s="14" t="s">
        <v>26</v>
      </c>
      <c r="I30" s="65"/>
      <c r="J30" s="17">
        <v>5604400</v>
      </c>
      <c r="K30" s="17">
        <v>5304400</v>
      </c>
      <c r="L30" s="17">
        <f>J30-K30</f>
      </c>
      <c r="M30" s="14" t="s">
        <v>187</v>
      </c>
      <c r="N30" s="70" t="s">
        <v>2617</v>
      </c>
      <c r="O30" s="65"/>
      <c r="P30" s="65"/>
      <c r="Q30" s="65"/>
      <c r="R30" s="17">
        <v>5604400</v>
      </c>
      <c r="S30" s="17">
        <f>J30-P30-R30</f>
      </c>
      <c r="T30" s="12">
        <v>45896</v>
      </c>
      <c r="U30" s="14" t="s">
        <v>1718</v>
      </c>
      <c r="V30" s="14"/>
    </row>
    <row x14ac:dyDescent="0.25" r="31" customHeight="1" ht="19.5">
      <c r="A31" s="12">
        <v>45877</v>
      </c>
      <c r="B31" s="70" t="s">
        <v>2612</v>
      </c>
      <c r="C31" s="14" t="s">
        <v>2613</v>
      </c>
      <c r="D31" s="14" t="s">
        <v>2614</v>
      </c>
      <c r="E31" s="217" t="s">
        <v>2615</v>
      </c>
      <c r="F31" s="14" t="s">
        <v>24</v>
      </c>
      <c r="G31" s="14" t="s">
        <v>2618</v>
      </c>
      <c r="H31" s="14" t="s">
        <v>26</v>
      </c>
      <c r="I31" s="65"/>
      <c r="J31" s="17">
        <v>5604400</v>
      </c>
      <c r="K31" s="17">
        <v>5304400</v>
      </c>
      <c r="L31" s="17">
        <f>J31-K31</f>
      </c>
      <c r="M31" s="14" t="s">
        <v>187</v>
      </c>
      <c r="N31" s="70" t="s">
        <v>2619</v>
      </c>
      <c r="O31" s="65"/>
      <c r="P31" s="65"/>
      <c r="Q31" s="65"/>
      <c r="R31" s="65"/>
      <c r="S31" s="17">
        <f>J31-P31-R31</f>
      </c>
      <c r="T31" s="12"/>
      <c r="U31" s="14"/>
      <c r="V31" s="14"/>
    </row>
    <row x14ac:dyDescent="0.25" r="32" customHeight="1" ht="19.5">
      <c r="A32" s="12">
        <v>45877</v>
      </c>
      <c r="B32" s="14" t="s">
        <v>2620</v>
      </c>
      <c r="C32" s="14" t="s">
        <v>2565</v>
      </c>
      <c r="D32" s="14" t="s">
        <v>2621</v>
      </c>
      <c r="E32" s="217" t="s">
        <v>2622</v>
      </c>
      <c r="F32" s="14" t="s">
        <v>2567</v>
      </c>
      <c r="G32" s="14" t="s">
        <v>2623</v>
      </c>
      <c r="H32" s="14" t="s">
        <v>26</v>
      </c>
      <c r="I32" s="65"/>
      <c r="J32" s="17">
        <v>1270920</v>
      </c>
      <c r="K32" s="17">
        <v>889920</v>
      </c>
      <c r="L32" s="17">
        <f>J32-K32</f>
      </c>
      <c r="M32" s="14" t="s">
        <v>50</v>
      </c>
      <c r="N32" s="14" t="s">
        <v>2624</v>
      </c>
      <c r="O32" s="17">
        <v>4</v>
      </c>
      <c r="P32" s="65"/>
      <c r="Q32" s="65"/>
      <c r="R32" s="17">
        <v>1270920</v>
      </c>
      <c r="S32" s="17">
        <f>J32-P32-R32</f>
      </c>
      <c r="T32" s="12">
        <v>45876</v>
      </c>
      <c r="U32" s="14" t="s">
        <v>1718</v>
      </c>
      <c r="V32" s="14"/>
    </row>
    <row x14ac:dyDescent="0.25" r="33" customHeight="1" ht="19.5">
      <c r="A33" s="12">
        <v>45877</v>
      </c>
      <c r="B33" s="14" t="s">
        <v>66</v>
      </c>
      <c r="C33" s="14" t="s">
        <v>2625</v>
      </c>
      <c r="D33" s="14" t="s">
        <v>2626</v>
      </c>
      <c r="E33" s="217" t="s">
        <v>2627</v>
      </c>
      <c r="F33" s="14" t="s">
        <v>2628</v>
      </c>
      <c r="G33" s="14" t="s">
        <v>2629</v>
      </c>
      <c r="H33" s="14" t="s">
        <v>26</v>
      </c>
      <c r="I33" s="17">
        <v>171500</v>
      </c>
      <c r="J33" s="17">
        <v>368800</v>
      </c>
      <c r="K33" s="17">
        <v>331400</v>
      </c>
      <c r="L33" s="17">
        <f>J33-K33</f>
      </c>
      <c r="M33" s="14" t="s">
        <v>50</v>
      </c>
      <c r="N33" s="14" t="s">
        <v>2630</v>
      </c>
      <c r="O33" s="17">
        <v>2</v>
      </c>
      <c r="P33" s="65"/>
      <c r="Q33" s="65"/>
      <c r="R33" s="65"/>
      <c r="S33" s="17">
        <f>J33-P33-R33</f>
      </c>
      <c r="T33" s="12"/>
      <c r="U33" s="14"/>
      <c r="V33" s="14"/>
    </row>
    <row x14ac:dyDescent="0.25" r="34" customHeight="1" ht="19.5">
      <c r="A34" s="12">
        <v>45878</v>
      </c>
      <c r="B34" s="14" t="s">
        <v>106</v>
      </c>
      <c r="C34" s="14" t="s">
        <v>2631</v>
      </c>
      <c r="D34" s="14" t="s">
        <v>313</v>
      </c>
      <c r="E34" s="217" t="s">
        <v>2632</v>
      </c>
      <c r="F34" s="218" t="s">
        <v>344</v>
      </c>
      <c r="G34" s="14" t="s">
        <v>2633</v>
      </c>
      <c r="H34" s="14" t="s">
        <v>26</v>
      </c>
      <c r="I34" s="17">
        <v>74900</v>
      </c>
      <c r="J34" s="17">
        <v>299920</v>
      </c>
      <c r="K34" s="17">
        <v>278020</v>
      </c>
      <c r="L34" s="17">
        <f>J34-K34</f>
      </c>
      <c r="M34" s="14" t="s">
        <v>280</v>
      </c>
      <c r="N34" s="14" t="s">
        <v>2634</v>
      </c>
      <c r="O34" s="17">
        <v>2</v>
      </c>
      <c r="P34" s="17">
        <v>74000</v>
      </c>
      <c r="Q34" s="65"/>
      <c r="R34" s="65"/>
      <c r="S34" s="17">
        <f>J34-P34-R34</f>
      </c>
      <c r="T34" s="12">
        <v>45902</v>
      </c>
      <c r="U34" s="14" t="s">
        <v>2216</v>
      </c>
      <c r="V34" s="14" t="s">
        <v>2495</v>
      </c>
    </row>
    <row x14ac:dyDescent="0.25" r="35" customHeight="1" ht="19.5">
      <c r="A35" s="12">
        <v>45878</v>
      </c>
      <c r="B35" s="14" t="s">
        <v>53</v>
      </c>
      <c r="C35" s="14" t="s">
        <v>2635</v>
      </c>
      <c r="D35" s="14" t="s">
        <v>282</v>
      </c>
      <c r="E35" s="217" t="s">
        <v>2636</v>
      </c>
      <c r="F35" s="218" t="s">
        <v>2637</v>
      </c>
      <c r="G35" s="218" t="s">
        <v>2638</v>
      </c>
      <c r="H35" s="14" t="s">
        <v>26</v>
      </c>
      <c r="I35" s="65"/>
      <c r="J35" s="17">
        <v>1598920</v>
      </c>
      <c r="K35" s="17">
        <v>1468220</v>
      </c>
      <c r="L35" s="17">
        <f>J35-K35</f>
      </c>
      <c r="M35" s="14" t="s">
        <v>187</v>
      </c>
      <c r="N35" s="14" t="s">
        <v>2639</v>
      </c>
      <c r="O35" s="65"/>
      <c r="P35" s="65"/>
      <c r="Q35" s="65"/>
      <c r="R35" s="17">
        <v>1598920</v>
      </c>
      <c r="S35" s="17">
        <f>J35-P35-R35</f>
      </c>
      <c r="T35" s="12">
        <v>45896</v>
      </c>
      <c r="U35" s="14" t="s">
        <v>1718</v>
      </c>
      <c r="V35" s="14"/>
    </row>
    <row x14ac:dyDescent="0.25" r="36" customHeight="1" ht="19.5">
      <c r="A36" s="12">
        <v>45878</v>
      </c>
      <c r="B36" s="14" t="s">
        <v>46</v>
      </c>
      <c r="C36" s="14" t="s">
        <v>2640</v>
      </c>
      <c r="D36" s="14" t="s">
        <v>264</v>
      </c>
      <c r="E36" s="217" t="s">
        <v>2641</v>
      </c>
      <c r="F36" s="14" t="s">
        <v>24</v>
      </c>
      <c r="G36" s="14" t="s">
        <v>2618</v>
      </c>
      <c r="H36" s="14" t="s">
        <v>26</v>
      </c>
      <c r="I36" s="65"/>
      <c r="J36" s="17">
        <v>293800</v>
      </c>
      <c r="K36" s="17">
        <v>203800</v>
      </c>
      <c r="L36" s="17">
        <f>J36-K36</f>
      </c>
      <c r="M36" s="14" t="s">
        <v>187</v>
      </c>
      <c r="N36" s="14" t="s">
        <v>2642</v>
      </c>
      <c r="O36" s="65" t="s">
        <v>251</v>
      </c>
      <c r="P36" s="65"/>
      <c r="Q36" s="65"/>
      <c r="R36" s="65"/>
      <c r="S36" s="17">
        <f>J36-P36-R36</f>
      </c>
      <c r="T36" s="12"/>
      <c r="U36" s="14"/>
      <c r="V36" s="14"/>
    </row>
    <row x14ac:dyDescent="0.25" r="37" customHeight="1" ht="28.2">
      <c r="A37" s="12">
        <v>45879</v>
      </c>
      <c r="B37" s="14" t="s">
        <v>72</v>
      </c>
      <c r="C37" s="14" t="s">
        <v>2643</v>
      </c>
      <c r="D37" s="14" t="s">
        <v>2644</v>
      </c>
      <c r="E37" s="217" t="s">
        <v>2645</v>
      </c>
      <c r="F37" s="14" t="s">
        <v>1799</v>
      </c>
      <c r="G37" s="14" t="s">
        <v>2646</v>
      </c>
      <c r="H37" s="14" t="s">
        <v>26</v>
      </c>
      <c r="I37" s="17">
        <v>378200</v>
      </c>
      <c r="J37" s="17">
        <v>763920</v>
      </c>
      <c r="K37" s="17">
        <v>653220</v>
      </c>
      <c r="L37" s="17">
        <f>J37-K37</f>
      </c>
      <c r="M37" s="14" t="s">
        <v>50</v>
      </c>
      <c r="N37" s="14" t="s">
        <v>2647</v>
      </c>
      <c r="O37" s="17">
        <v>4</v>
      </c>
      <c r="P37" s="17">
        <v>71440</v>
      </c>
      <c r="Q37" s="17"/>
      <c r="R37" s="17">
        <v>692480</v>
      </c>
      <c r="S37" s="17">
        <f>J37-P37-R37</f>
      </c>
      <c r="T37" s="12">
        <v>45891</v>
      </c>
      <c r="U37" s="14" t="s">
        <v>1718</v>
      </c>
      <c r="V37" s="14"/>
    </row>
    <row x14ac:dyDescent="0.25" r="38" customHeight="1" ht="19.5">
      <c r="A38" s="12">
        <v>45879</v>
      </c>
      <c r="B38" s="14" t="s">
        <v>72</v>
      </c>
      <c r="C38" s="14" t="s">
        <v>2643</v>
      </c>
      <c r="D38" s="14" t="s">
        <v>2644</v>
      </c>
      <c r="E38" s="217" t="s">
        <v>2645</v>
      </c>
      <c r="F38" s="14" t="s">
        <v>1799</v>
      </c>
      <c r="G38" s="14" t="s">
        <v>2648</v>
      </c>
      <c r="H38" s="14" t="s">
        <v>26</v>
      </c>
      <c r="I38" s="17">
        <v>378200</v>
      </c>
      <c r="J38" s="17">
        <v>763920</v>
      </c>
      <c r="K38" s="17">
        <v>653220</v>
      </c>
      <c r="L38" s="17">
        <f>J38-K38</f>
      </c>
      <c r="M38" s="14" t="s">
        <v>50</v>
      </c>
      <c r="N38" s="14" t="s">
        <v>2649</v>
      </c>
      <c r="O38" s="17">
        <v>4</v>
      </c>
      <c r="P38" s="17">
        <v>85360</v>
      </c>
      <c r="Q38" s="17"/>
      <c r="R38" s="17">
        <v>678560</v>
      </c>
      <c r="S38" s="17">
        <f>J38-P38-R38</f>
      </c>
      <c r="T38" s="175" t="s">
        <v>2650</v>
      </c>
      <c r="U38" s="14" t="s">
        <v>1718</v>
      </c>
      <c r="V38" s="14"/>
    </row>
    <row x14ac:dyDescent="0.25" r="39" customHeight="1" ht="19.5">
      <c r="A39" s="12">
        <v>45881</v>
      </c>
      <c r="B39" s="14" t="s">
        <v>897</v>
      </c>
      <c r="C39" s="14" t="s">
        <v>2651</v>
      </c>
      <c r="D39" s="14" t="s">
        <v>448</v>
      </c>
      <c r="E39" s="217"/>
      <c r="F39" s="14" t="s">
        <v>2652</v>
      </c>
      <c r="G39" s="14" t="s">
        <v>2653</v>
      </c>
      <c r="H39" s="14" t="s">
        <v>26</v>
      </c>
      <c r="I39" s="17">
        <v>210000</v>
      </c>
      <c r="J39" s="17">
        <v>605920</v>
      </c>
      <c r="K39" s="17">
        <v>569720</v>
      </c>
      <c r="L39" s="17">
        <f>J39-K39</f>
      </c>
      <c r="M39" s="14" t="s">
        <v>50</v>
      </c>
      <c r="N39" s="14" t="s">
        <v>2654</v>
      </c>
      <c r="O39" s="17">
        <v>4</v>
      </c>
      <c r="P39" s="65"/>
      <c r="Q39" s="65"/>
      <c r="R39" s="17">
        <v>605920</v>
      </c>
      <c r="S39" s="17">
        <f>J39-P39-R39</f>
      </c>
      <c r="T39" s="12">
        <v>45883</v>
      </c>
      <c r="U39" s="14" t="s">
        <v>2216</v>
      </c>
      <c r="V39" s="14" t="s">
        <v>2655</v>
      </c>
    </row>
    <row x14ac:dyDescent="0.25" r="40" customHeight="1" ht="19.5">
      <c r="A40" s="12">
        <v>45881</v>
      </c>
      <c r="B40" s="14" t="s">
        <v>897</v>
      </c>
      <c r="C40" s="14" t="s">
        <v>2651</v>
      </c>
      <c r="D40" s="14" t="s">
        <v>448</v>
      </c>
      <c r="E40" s="217"/>
      <c r="F40" s="14" t="s">
        <v>2652</v>
      </c>
      <c r="G40" s="14" t="s">
        <v>2656</v>
      </c>
      <c r="H40" s="14" t="s">
        <v>26</v>
      </c>
      <c r="I40" s="17">
        <v>210000</v>
      </c>
      <c r="J40" s="17">
        <v>605920</v>
      </c>
      <c r="K40" s="17">
        <v>569720</v>
      </c>
      <c r="L40" s="17">
        <f>J40-K40</f>
      </c>
      <c r="M40" s="14" t="s">
        <v>50</v>
      </c>
      <c r="N40" s="14" t="s">
        <v>2657</v>
      </c>
      <c r="O40" s="17">
        <v>4</v>
      </c>
      <c r="P40" s="65"/>
      <c r="Q40" s="65"/>
      <c r="R40" s="17">
        <v>605920</v>
      </c>
      <c r="S40" s="17">
        <f>J40-P40-R40</f>
      </c>
      <c r="T40" s="12">
        <v>45883</v>
      </c>
      <c r="U40" s="14" t="s">
        <v>2216</v>
      </c>
      <c r="V40" s="14" t="s">
        <v>2655</v>
      </c>
    </row>
    <row x14ac:dyDescent="0.25" r="41" customHeight="1" ht="19.5">
      <c r="A41" s="12">
        <v>45881</v>
      </c>
      <c r="B41" s="14" t="s">
        <v>72</v>
      </c>
      <c r="C41" s="14" t="s">
        <v>2658</v>
      </c>
      <c r="D41" s="14" t="s">
        <v>867</v>
      </c>
      <c r="E41" s="217"/>
      <c r="F41" s="14" t="s">
        <v>147</v>
      </c>
      <c r="G41" s="14" t="s">
        <v>2319</v>
      </c>
      <c r="H41" s="14" t="s">
        <v>26</v>
      </c>
      <c r="I41" s="17">
        <v>1669400</v>
      </c>
      <c r="J41" s="17">
        <v>1997920</v>
      </c>
      <c r="K41" s="17">
        <v>1877400</v>
      </c>
      <c r="L41" s="17">
        <f>J41-K41</f>
      </c>
      <c r="M41" s="14" t="s">
        <v>50</v>
      </c>
      <c r="N41" s="14" t="s">
        <v>2659</v>
      </c>
      <c r="O41" s="17">
        <v>2</v>
      </c>
      <c r="P41" s="65"/>
      <c r="Q41" s="65"/>
      <c r="R41" s="17">
        <v>1997920</v>
      </c>
      <c r="S41" s="17">
        <f>J41-P41-R41</f>
      </c>
      <c r="T41" s="12">
        <v>45891</v>
      </c>
      <c r="U41" s="14" t="s">
        <v>1718</v>
      </c>
      <c r="V41" s="14"/>
    </row>
    <row x14ac:dyDescent="0.25" r="42" customHeight="1" ht="19.5">
      <c r="A42" s="12">
        <v>45882</v>
      </c>
      <c r="B42" s="14" t="s">
        <v>106</v>
      </c>
      <c r="C42" s="14" t="s">
        <v>2660</v>
      </c>
      <c r="D42" s="14" t="s">
        <v>313</v>
      </c>
      <c r="E42" s="217"/>
      <c r="F42" s="14" t="s">
        <v>2661</v>
      </c>
      <c r="G42" s="14" t="s">
        <v>2662</v>
      </c>
      <c r="H42" s="14" t="s">
        <v>76</v>
      </c>
      <c r="I42" s="107"/>
      <c r="J42" s="219">
        <v>717000</v>
      </c>
      <c r="K42" s="29">
        <v>681420</v>
      </c>
      <c r="L42" s="17">
        <f>J42-K42</f>
      </c>
      <c r="M42" s="218" t="s">
        <v>187</v>
      </c>
      <c r="N42" s="14" t="s">
        <v>2663</v>
      </c>
      <c r="O42" s="65"/>
      <c r="P42" s="65"/>
      <c r="Q42" s="65"/>
      <c r="R42" s="17">
        <v>717000</v>
      </c>
      <c r="S42" s="17">
        <f>J42-P42-R42</f>
      </c>
      <c r="T42" s="12">
        <v>45882</v>
      </c>
      <c r="U42" s="14" t="s">
        <v>1718</v>
      </c>
      <c r="V42" s="14"/>
    </row>
    <row x14ac:dyDescent="0.25" r="43" customHeight="1" ht="19.5">
      <c r="A43" s="12">
        <v>45882</v>
      </c>
      <c r="B43" s="14" t="s">
        <v>475</v>
      </c>
      <c r="C43" s="14" t="s">
        <v>2664</v>
      </c>
      <c r="D43" s="14" t="s">
        <v>485</v>
      </c>
      <c r="E43" s="217"/>
      <c r="F43" s="14" t="s">
        <v>141</v>
      </c>
      <c r="G43" s="14" t="s">
        <v>142</v>
      </c>
      <c r="H43" s="14" t="s">
        <v>26</v>
      </c>
      <c r="I43" s="65"/>
      <c r="J43" s="17">
        <v>60000</v>
      </c>
      <c r="K43" s="17">
        <v>10000</v>
      </c>
      <c r="L43" s="17">
        <f>J43-K43</f>
      </c>
      <c r="M43" s="14" t="s">
        <v>475</v>
      </c>
      <c r="N43" s="14" t="s">
        <v>2665</v>
      </c>
      <c r="O43" s="65" t="s">
        <v>251</v>
      </c>
      <c r="P43" s="65"/>
      <c r="Q43" s="65"/>
      <c r="R43" s="17">
        <v>60000</v>
      </c>
      <c r="S43" s="17">
        <f>J43-P43-R43</f>
      </c>
      <c r="T43" s="12">
        <v>45881</v>
      </c>
      <c r="U43" s="14" t="s">
        <v>1718</v>
      </c>
      <c r="V43" s="14"/>
    </row>
    <row x14ac:dyDescent="0.25" r="44" customHeight="1" ht="19.5">
      <c r="A44" s="12">
        <v>45882</v>
      </c>
      <c r="B44" s="14" t="s">
        <v>46</v>
      </c>
      <c r="C44" s="14" t="s">
        <v>2666</v>
      </c>
      <c r="D44" s="14" t="s">
        <v>2667</v>
      </c>
      <c r="E44" s="217"/>
      <c r="F44" s="14" t="s">
        <v>1673</v>
      </c>
      <c r="G44" s="14" t="s">
        <v>2668</v>
      </c>
      <c r="H44" s="14" t="s">
        <v>26</v>
      </c>
      <c r="I44" s="65"/>
      <c r="J44" s="17">
        <v>1645400</v>
      </c>
      <c r="K44" s="17">
        <v>1545420</v>
      </c>
      <c r="L44" s="17">
        <f>J44-K44</f>
      </c>
      <c r="M44" s="14" t="s">
        <v>187</v>
      </c>
      <c r="N44" s="14" t="s">
        <v>2669</v>
      </c>
      <c r="O44" s="65"/>
      <c r="P44" s="65"/>
      <c r="Q44" s="65"/>
      <c r="R44" s="17">
        <v>1645400</v>
      </c>
      <c r="S44" s="17">
        <f>J44-P44-R44</f>
      </c>
      <c r="T44" s="12">
        <v>45896</v>
      </c>
      <c r="U44" s="14" t="s">
        <v>1718</v>
      </c>
      <c r="V44" s="14"/>
    </row>
    <row x14ac:dyDescent="0.25" r="45" customHeight="1" ht="19.5">
      <c r="A45" s="12">
        <v>45882</v>
      </c>
      <c r="B45" s="14" t="s">
        <v>53</v>
      </c>
      <c r="C45" s="14" t="s">
        <v>2670</v>
      </c>
      <c r="D45" s="14" t="s">
        <v>2671</v>
      </c>
      <c r="E45" s="217"/>
      <c r="F45" s="14" t="s">
        <v>1673</v>
      </c>
      <c r="G45" s="14" t="s">
        <v>2668</v>
      </c>
      <c r="H45" s="14" t="s">
        <v>26</v>
      </c>
      <c r="I45" s="65"/>
      <c r="J45" s="17">
        <v>195920</v>
      </c>
      <c r="K45" s="17">
        <v>131200</v>
      </c>
      <c r="L45" s="17">
        <f>J45-K45</f>
      </c>
      <c r="M45" s="14" t="s">
        <v>137</v>
      </c>
      <c r="N45" s="14" t="s">
        <v>2672</v>
      </c>
      <c r="O45" s="65" t="s">
        <v>251</v>
      </c>
      <c r="P45" s="65"/>
      <c r="Q45" s="65"/>
      <c r="R45" s="17">
        <v>195920</v>
      </c>
      <c r="S45" s="17">
        <f>J45-P45-R45</f>
      </c>
      <c r="T45" s="12">
        <v>45896</v>
      </c>
      <c r="U45" s="14" t="s">
        <v>1718</v>
      </c>
      <c r="V45" s="14"/>
    </row>
    <row x14ac:dyDescent="0.25" r="46" customHeight="1" ht="19.5">
      <c r="A46" s="55">
        <v>45883</v>
      </c>
      <c r="B46" s="56" t="s">
        <v>897</v>
      </c>
      <c r="C46" s="56" t="s">
        <v>2673</v>
      </c>
      <c r="D46" s="56" t="s">
        <v>448</v>
      </c>
      <c r="E46" s="180"/>
      <c r="F46" s="56" t="s">
        <v>2272</v>
      </c>
      <c r="G46" s="56" t="s">
        <v>2674</v>
      </c>
      <c r="H46" s="56" t="s">
        <v>26</v>
      </c>
      <c r="I46" s="57">
        <v>380100</v>
      </c>
      <c r="J46" s="57"/>
      <c r="K46" s="57">
        <v>819820</v>
      </c>
      <c r="L46" s="57"/>
      <c r="M46" s="56" t="s">
        <v>50</v>
      </c>
      <c r="N46" s="56" t="s">
        <v>2675</v>
      </c>
      <c r="O46" s="57">
        <v>4</v>
      </c>
      <c r="P46" s="180"/>
      <c r="Q46" s="180"/>
      <c r="R46" s="180"/>
      <c r="S46" s="57">
        <f>J46-P46-R46</f>
      </c>
      <c r="T46" s="55"/>
      <c r="U46" s="56"/>
      <c r="V46" s="56"/>
    </row>
    <row x14ac:dyDescent="0.25" r="47" customHeight="1" ht="19.5">
      <c r="A47" s="55">
        <v>45883</v>
      </c>
      <c r="B47" s="56" t="s">
        <v>897</v>
      </c>
      <c r="C47" s="56" t="s">
        <v>2673</v>
      </c>
      <c r="D47" s="56" t="s">
        <v>448</v>
      </c>
      <c r="E47" s="180"/>
      <c r="F47" s="56" t="s">
        <v>2272</v>
      </c>
      <c r="G47" s="56" t="s">
        <v>2676</v>
      </c>
      <c r="H47" s="56" t="s">
        <v>26</v>
      </c>
      <c r="I47" s="57">
        <v>380100</v>
      </c>
      <c r="J47" s="57"/>
      <c r="K47" s="57">
        <v>819820</v>
      </c>
      <c r="L47" s="57"/>
      <c r="M47" s="56" t="s">
        <v>50</v>
      </c>
      <c r="N47" s="56" t="s">
        <v>2675</v>
      </c>
      <c r="O47" s="57">
        <v>4</v>
      </c>
      <c r="P47" s="180"/>
      <c r="Q47" s="180"/>
      <c r="R47" s="180"/>
      <c r="S47" s="57">
        <f>J47-P47-R47</f>
      </c>
      <c r="T47" s="55"/>
      <c r="U47" s="56"/>
      <c r="V47" s="56"/>
    </row>
    <row x14ac:dyDescent="0.25" r="48" customHeight="1" ht="19.5">
      <c r="A48" s="12">
        <v>45883</v>
      </c>
      <c r="B48" s="14" t="s">
        <v>72</v>
      </c>
      <c r="C48" s="14" t="s">
        <v>2677</v>
      </c>
      <c r="D48" s="14" t="s">
        <v>1284</v>
      </c>
      <c r="E48" s="217"/>
      <c r="F48" s="14" t="s">
        <v>271</v>
      </c>
      <c r="G48" s="14" t="s">
        <v>2678</v>
      </c>
      <c r="H48" s="14" t="s">
        <v>26</v>
      </c>
      <c r="I48" s="17">
        <v>344400</v>
      </c>
      <c r="J48" s="17">
        <v>835920</v>
      </c>
      <c r="K48" s="17">
        <v>751620</v>
      </c>
      <c r="L48" s="17">
        <f>J48-K48</f>
      </c>
      <c r="M48" s="14" t="s">
        <v>50</v>
      </c>
      <c r="N48" s="14" t="s">
        <v>2679</v>
      </c>
      <c r="O48" s="17">
        <v>4</v>
      </c>
      <c r="P48" s="65"/>
      <c r="Q48" s="65"/>
      <c r="R48" s="17">
        <v>835920</v>
      </c>
      <c r="S48" s="17">
        <f>J48-P48-R48</f>
      </c>
      <c r="T48" s="12">
        <v>45889</v>
      </c>
      <c r="U48" s="14" t="s">
        <v>2216</v>
      </c>
      <c r="V48" s="14" t="s">
        <v>2680</v>
      </c>
    </row>
    <row x14ac:dyDescent="0.25" r="49" customHeight="1" ht="19.5">
      <c r="A49" s="12">
        <v>45883</v>
      </c>
      <c r="B49" s="14" t="s">
        <v>82</v>
      </c>
      <c r="C49" s="14" t="s">
        <v>2681</v>
      </c>
      <c r="D49" s="14" t="s">
        <v>2682</v>
      </c>
      <c r="E49" s="217"/>
      <c r="F49" s="14" t="s">
        <v>90</v>
      </c>
      <c r="G49" s="220" t="s">
        <v>2683</v>
      </c>
      <c r="H49" s="14" t="s">
        <v>26</v>
      </c>
      <c r="I49" s="65"/>
      <c r="J49" s="17">
        <v>95920</v>
      </c>
      <c r="K49" s="17">
        <v>80170</v>
      </c>
      <c r="L49" s="17">
        <f>J49-K49</f>
      </c>
      <c r="M49" s="14" t="s">
        <v>86</v>
      </c>
      <c r="N49" s="14" t="s">
        <v>2684</v>
      </c>
      <c r="O49" s="65"/>
      <c r="P49" s="65"/>
      <c r="Q49" s="65"/>
      <c r="R49" s="17">
        <v>95920</v>
      </c>
      <c r="S49" s="17">
        <f>J49-P49-R49</f>
      </c>
      <c r="T49" s="12">
        <v>45887</v>
      </c>
      <c r="U49" s="14" t="s">
        <v>1718</v>
      </c>
      <c r="V49" s="14"/>
    </row>
    <row x14ac:dyDescent="0.25" r="50" customHeight="1" ht="19.5">
      <c r="A50" s="12">
        <v>45883</v>
      </c>
      <c r="B50" s="14" t="s">
        <v>72</v>
      </c>
      <c r="C50" s="14" t="s">
        <v>2677</v>
      </c>
      <c r="D50" s="14" t="s">
        <v>1284</v>
      </c>
      <c r="E50" s="217"/>
      <c r="F50" s="14" t="s">
        <v>271</v>
      </c>
      <c r="G50" s="3" t="s">
        <v>2685</v>
      </c>
      <c r="H50" s="14" t="s">
        <v>26</v>
      </c>
      <c r="I50" s="17">
        <v>344400</v>
      </c>
      <c r="J50" s="17">
        <v>835920</v>
      </c>
      <c r="K50" s="17">
        <v>751620</v>
      </c>
      <c r="L50" s="17">
        <f>J50-K50</f>
      </c>
      <c r="M50" s="14" t="s">
        <v>50</v>
      </c>
      <c r="N50" s="14" t="s">
        <v>2686</v>
      </c>
      <c r="O50" s="17">
        <v>4</v>
      </c>
      <c r="P50" s="65"/>
      <c r="Q50" s="65"/>
      <c r="R50" s="17">
        <v>835920</v>
      </c>
      <c r="S50" s="17">
        <f>J50-P50-R50</f>
      </c>
      <c r="T50" s="12">
        <v>45889</v>
      </c>
      <c r="U50" s="14" t="s">
        <v>2216</v>
      </c>
      <c r="V50" s="14" t="s">
        <v>2680</v>
      </c>
    </row>
    <row x14ac:dyDescent="0.25" r="51" customHeight="1" ht="19.5">
      <c r="A51" s="12">
        <v>45883</v>
      </c>
      <c r="B51" s="14" t="s">
        <v>72</v>
      </c>
      <c r="C51" s="14" t="s">
        <v>2677</v>
      </c>
      <c r="D51" s="14" t="s">
        <v>1284</v>
      </c>
      <c r="E51" s="217"/>
      <c r="F51" s="14" t="s">
        <v>271</v>
      </c>
      <c r="G51" s="14" t="s">
        <v>2687</v>
      </c>
      <c r="H51" s="14" t="s">
        <v>26</v>
      </c>
      <c r="I51" s="17">
        <v>344400</v>
      </c>
      <c r="J51" s="17">
        <v>835920</v>
      </c>
      <c r="K51" s="17">
        <v>751620</v>
      </c>
      <c r="L51" s="17">
        <f>J51-K51</f>
      </c>
      <c r="M51" s="14" t="s">
        <v>50</v>
      </c>
      <c r="N51" s="14" t="s">
        <v>2688</v>
      </c>
      <c r="O51" s="17">
        <v>4</v>
      </c>
      <c r="P51" s="65"/>
      <c r="Q51" s="65"/>
      <c r="R51" s="17">
        <v>835920</v>
      </c>
      <c r="S51" s="17">
        <f>J51-P51-R51</f>
      </c>
      <c r="T51" s="12">
        <v>45889</v>
      </c>
      <c r="U51" s="14" t="s">
        <v>2216</v>
      </c>
      <c r="V51" s="14" t="s">
        <v>2680</v>
      </c>
    </row>
    <row x14ac:dyDescent="0.25" r="52" customHeight="1" ht="19.5">
      <c r="A52" s="12">
        <v>45883</v>
      </c>
      <c r="B52" s="14" t="s">
        <v>72</v>
      </c>
      <c r="C52" s="14" t="s">
        <v>2677</v>
      </c>
      <c r="D52" s="14" t="s">
        <v>1284</v>
      </c>
      <c r="E52" s="217"/>
      <c r="F52" s="14" t="s">
        <v>271</v>
      </c>
      <c r="G52" s="14" t="s">
        <v>2689</v>
      </c>
      <c r="H52" s="14" t="s">
        <v>26</v>
      </c>
      <c r="I52" s="17">
        <v>344400</v>
      </c>
      <c r="J52" s="17">
        <v>835920</v>
      </c>
      <c r="K52" s="17">
        <v>751620</v>
      </c>
      <c r="L52" s="17">
        <f>J52-K52</f>
      </c>
      <c r="M52" s="14" t="s">
        <v>50</v>
      </c>
      <c r="N52" s="14" t="s">
        <v>2690</v>
      </c>
      <c r="O52" s="17">
        <v>4</v>
      </c>
      <c r="P52" s="65"/>
      <c r="Q52" s="65"/>
      <c r="R52" s="17">
        <v>835920</v>
      </c>
      <c r="S52" s="17">
        <f>J52-P52-R52</f>
      </c>
      <c r="T52" s="12">
        <v>45889</v>
      </c>
      <c r="U52" s="14" t="s">
        <v>2216</v>
      </c>
      <c r="V52" s="14" t="s">
        <v>2680</v>
      </c>
    </row>
    <row x14ac:dyDescent="0.25" r="53" customHeight="1" ht="19.5">
      <c r="A53" s="12">
        <v>45883</v>
      </c>
      <c r="B53" s="14" t="s">
        <v>46</v>
      </c>
      <c r="C53" s="14" t="s">
        <v>2691</v>
      </c>
      <c r="D53" s="14" t="s">
        <v>2692</v>
      </c>
      <c r="E53" s="217"/>
      <c r="F53" s="14" t="s">
        <v>24</v>
      </c>
      <c r="G53" s="14" t="s">
        <v>2618</v>
      </c>
      <c r="H53" s="14" t="s">
        <v>26</v>
      </c>
      <c r="I53" s="65"/>
      <c r="J53" s="17">
        <v>54000</v>
      </c>
      <c r="K53" s="17">
        <v>24000</v>
      </c>
      <c r="L53" s="17">
        <f>J53-K53</f>
      </c>
      <c r="M53" s="14" t="s">
        <v>46</v>
      </c>
      <c r="N53" s="14" t="s">
        <v>2693</v>
      </c>
      <c r="O53" s="65" t="s">
        <v>251</v>
      </c>
      <c r="P53" s="65"/>
      <c r="Q53" s="65"/>
      <c r="R53" s="65"/>
      <c r="S53" s="17">
        <f>J53-P53-R53</f>
      </c>
      <c r="T53" s="12"/>
      <c r="U53" s="14"/>
      <c r="V53" s="14"/>
    </row>
    <row x14ac:dyDescent="0.25" r="54" customHeight="1" ht="19.5">
      <c r="A54" s="221">
        <v>45883</v>
      </c>
      <c r="B54" s="222" t="s">
        <v>46</v>
      </c>
      <c r="C54" s="222" t="s">
        <v>2691</v>
      </c>
      <c r="D54" s="222" t="s">
        <v>2692</v>
      </c>
      <c r="E54" s="223"/>
      <c r="F54" s="222" t="s">
        <v>24</v>
      </c>
      <c r="G54" s="222" t="s">
        <v>2618</v>
      </c>
      <c r="H54" s="222" t="s">
        <v>26</v>
      </c>
      <c r="I54" s="223"/>
      <c r="J54" s="224"/>
      <c r="K54" s="224"/>
      <c r="L54" s="224">
        <v>184300</v>
      </c>
      <c r="M54" s="222" t="s">
        <v>46</v>
      </c>
      <c r="N54" s="222" t="s">
        <v>2694</v>
      </c>
      <c r="O54" s="223" t="s">
        <v>2695</v>
      </c>
      <c r="P54" s="65"/>
      <c r="Q54" s="65"/>
      <c r="R54" s="65"/>
      <c r="S54" s="17">
        <f>J54-P54-R54</f>
      </c>
      <c r="T54" s="12"/>
      <c r="U54" s="14"/>
      <c r="V54" s="14"/>
    </row>
    <row x14ac:dyDescent="0.25" r="55" customHeight="1" ht="19.5">
      <c r="A55" s="12">
        <v>45883</v>
      </c>
      <c r="B55" s="14" t="s">
        <v>2696</v>
      </c>
      <c r="C55" s="14" t="s">
        <v>2697</v>
      </c>
      <c r="D55" s="14" t="s">
        <v>2698</v>
      </c>
      <c r="E55" s="217"/>
      <c r="F55" s="14" t="s">
        <v>24</v>
      </c>
      <c r="G55" s="14" t="s">
        <v>2618</v>
      </c>
      <c r="H55" s="14" t="s">
        <v>26</v>
      </c>
      <c r="I55" s="65"/>
      <c r="J55" s="17">
        <v>294000</v>
      </c>
      <c r="K55" s="17">
        <v>94500</v>
      </c>
      <c r="L55" s="17">
        <f>J55-K55</f>
      </c>
      <c r="M55" s="14" t="s">
        <v>2699</v>
      </c>
      <c r="N55" s="14" t="s">
        <v>2700</v>
      </c>
      <c r="O55" s="65" t="s">
        <v>251</v>
      </c>
      <c r="P55" s="65"/>
      <c r="Q55" s="65"/>
      <c r="R55" s="65"/>
      <c r="S55" s="17">
        <f>J55-P55-R55</f>
      </c>
      <c r="T55" s="12"/>
      <c r="U55" s="14"/>
      <c r="V55" s="14"/>
    </row>
    <row x14ac:dyDescent="0.25" r="56" customHeight="1" ht="19.5">
      <c r="A56" s="12">
        <v>45884</v>
      </c>
      <c r="B56" s="14" t="s">
        <v>475</v>
      </c>
      <c r="C56" s="14" t="s">
        <v>2701</v>
      </c>
      <c r="D56" s="14" t="s">
        <v>2702</v>
      </c>
      <c r="E56" s="217"/>
      <c r="F56" s="14" t="s">
        <v>141</v>
      </c>
      <c r="G56" s="14" t="s">
        <v>2703</v>
      </c>
      <c r="H56" s="14" t="s">
        <v>26</v>
      </c>
      <c r="I56" s="65"/>
      <c r="J56" s="17">
        <v>326920</v>
      </c>
      <c r="K56" s="17">
        <v>258000</v>
      </c>
      <c r="L56" s="17">
        <f>J56-K56</f>
      </c>
      <c r="M56" s="14" t="s">
        <v>475</v>
      </c>
      <c r="N56" s="14" t="s">
        <v>2704</v>
      </c>
      <c r="O56" s="65"/>
      <c r="P56" s="17">
        <v>22340</v>
      </c>
      <c r="Q56" s="17"/>
      <c r="R56" s="65"/>
      <c r="S56" s="17">
        <f>J56-P56-R56</f>
      </c>
      <c r="T56" s="12">
        <v>45881</v>
      </c>
      <c r="U56" s="14" t="s">
        <v>1718</v>
      </c>
      <c r="V56" s="14"/>
    </row>
    <row x14ac:dyDescent="0.25" r="57" customHeight="1" ht="19.5">
      <c r="A57" s="12">
        <v>45884</v>
      </c>
      <c r="B57" s="14" t="s">
        <v>475</v>
      </c>
      <c r="C57" s="14" t="s">
        <v>2705</v>
      </c>
      <c r="D57" s="14" t="s">
        <v>485</v>
      </c>
      <c r="E57" s="217"/>
      <c r="F57" s="14" t="s">
        <v>141</v>
      </c>
      <c r="G57" s="14" t="s">
        <v>142</v>
      </c>
      <c r="H57" s="14" t="s">
        <v>26</v>
      </c>
      <c r="I57" s="65"/>
      <c r="J57" s="17">
        <v>120920</v>
      </c>
      <c r="K57" s="17">
        <v>88000</v>
      </c>
      <c r="L57" s="17">
        <f>J57-K57</f>
      </c>
      <c r="M57" s="14" t="s">
        <v>475</v>
      </c>
      <c r="N57" s="70" t="s">
        <v>2706</v>
      </c>
      <c r="O57" s="65" t="s">
        <v>251</v>
      </c>
      <c r="P57" s="65"/>
      <c r="Q57" s="65"/>
      <c r="R57" s="17">
        <v>120920</v>
      </c>
      <c r="S57" s="17">
        <f>J57-P57-R57</f>
      </c>
      <c r="T57" s="12">
        <v>45881</v>
      </c>
      <c r="U57" s="14" t="s">
        <v>1718</v>
      </c>
      <c r="V57" s="14"/>
    </row>
    <row x14ac:dyDescent="0.25" r="58" customHeight="1" ht="19.5">
      <c r="A58" s="12">
        <v>45884</v>
      </c>
      <c r="B58" s="14" t="s">
        <v>475</v>
      </c>
      <c r="C58" s="14" t="s">
        <v>2701</v>
      </c>
      <c r="D58" s="14" t="s">
        <v>2702</v>
      </c>
      <c r="E58" s="217"/>
      <c r="F58" s="14" t="s">
        <v>141</v>
      </c>
      <c r="G58" s="14" t="s">
        <v>2707</v>
      </c>
      <c r="H58" s="14" t="s">
        <v>26</v>
      </c>
      <c r="I58" s="65"/>
      <c r="J58" s="219">
        <v>258920</v>
      </c>
      <c r="K58" s="29">
        <v>218000</v>
      </c>
      <c r="L58" s="17">
        <f>J58-K58</f>
      </c>
      <c r="M58" s="218" t="s">
        <v>475</v>
      </c>
      <c r="N58" s="14" t="s">
        <v>2708</v>
      </c>
      <c r="O58" s="65"/>
      <c r="P58" s="65"/>
      <c r="Q58" s="65"/>
      <c r="R58" s="65"/>
      <c r="S58" s="17">
        <f>J58-P58-R58</f>
      </c>
      <c r="T58" s="12"/>
      <c r="U58" s="14"/>
      <c r="V58" s="14"/>
    </row>
    <row x14ac:dyDescent="0.25" r="59" customHeight="1" ht="19.5">
      <c r="A59" s="12">
        <v>45884</v>
      </c>
      <c r="B59" s="14" t="s">
        <v>475</v>
      </c>
      <c r="C59" s="14" t="s">
        <v>2701</v>
      </c>
      <c r="D59" s="14" t="s">
        <v>2702</v>
      </c>
      <c r="E59" s="217"/>
      <c r="F59" s="14" t="s">
        <v>141</v>
      </c>
      <c r="G59" s="14" t="s">
        <v>2709</v>
      </c>
      <c r="H59" s="14"/>
      <c r="I59" s="65"/>
      <c r="J59" s="219">
        <v>258920</v>
      </c>
      <c r="K59" s="17">
        <v>218000</v>
      </c>
      <c r="L59" s="17">
        <f>J59-K59</f>
      </c>
      <c r="M59" s="218" t="s">
        <v>475</v>
      </c>
      <c r="N59" s="14" t="s">
        <v>2710</v>
      </c>
      <c r="O59" s="65"/>
      <c r="P59" s="65"/>
      <c r="Q59" s="65"/>
      <c r="R59" s="65"/>
      <c r="S59" s="17">
        <f>J59-P59-R59</f>
      </c>
      <c r="T59" s="12"/>
      <c r="U59" s="14"/>
      <c r="V59" s="14"/>
    </row>
    <row x14ac:dyDescent="0.25" r="60" customHeight="1" ht="17.25">
      <c r="A60" s="12">
        <v>45884</v>
      </c>
      <c r="B60" s="14" t="s">
        <v>475</v>
      </c>
      <c r="C60" s="14" t="s">
        <v>2701</v>
      </c>
      <c r="D60" s="14" t="s">
        <v>2702</v>
      </c>
      <c r="E60" s="217"/>
      <c r="F60" s="14" t="s">
        <v>141</v>
      </c>
      <c r="G60" s="14" t="s">
        <v>2711</v>
      </c>
      <c r="H60" s="14" t="s">
        <v>26</v>
      </c>
      <c r="I60" s="65"/>
      <c r="J60" s="17">
        <v>258920</v>
      </c>
      <c r="K60" s="17">
        <v>218000</v>
      </c>
      <c r="L60" s="17">
        <f>J60-K60</f>
      </c>
      <c r="M60" s="218" t="s">
        <v>475</v>
      </c>
      <c r="N60" s="14" t="s">
        <v>2712</v>
      </c>
      <c r="O60" s="65"/>
      <c r="P60" s="65"/>
      <c r="Q60" s="65"/>
      <c r="R60" s="65"/>
      <c r="S60" s="17">
        <f>J60-P60-R60</f>
      </c>
      <c r="T60" s="12"/>
      <c r="U60" s="14"/>
      <c r="V60" s="14"/>
    </row>
    <row x14ac:dyDescent="0.25" r="61" customHeight="1" ht="19.5">
      <c r="A61" s="12">
        <v>45884</v>
      </c>
      <c r="B61" s="14" t="s">
        <v>46</v>
      </c>
      <c r="C61" s="14" t="s">
        <v>2713</v>
      </c>
      <c r="D61" s="14" t="s">
        <v>2714</v>
      </c>
      <c r="E61" s="217"/>
      <c r="F61" s="14" t="s">
        <v>24</v>
      </c>
      <c r="G61" s="14" t="s">
        <v>2618</v>
      </c>
      <c r="H61" s="14" t="s">
        <v>26</v>
      </c>
      <c r="I61" s="65"/>
      <c r="J61" s="17">
        <v>296800</v>
      </c>
      <c r="K61" s="17">
        <v>196800</v>
      </c>
      <c r="L61" s="17">
        <f>J61-K61</f>
      </c>
      <c r="M61" s="218" t="s">
        <v>187</v>
      </c>
      <c r="N61" s="14" t="s">
        <v>2715</v>
      </c>
      <c r="O61" s="65" t="s">
        <v>251</v>
      </c>
      <c r="P61" s="65"/>
      <c r="Q61" s="65"/>
      <c r="R61" s="65"/>
      <c r="S61" s="17">
        <f>J61-P61-R61</f>
      </c>
      <c r="T61" s="12"/>
      <c r="U61" s="14"/>
      <c r="V61" s="14"/>
    </row>
    <row x14ac:dyDescent="0.25" r="62" customHeight="1" ht="19.5">
      <c r="A62" s="12">
        <v>45884</v>
      </c>
      <c r="B62" s="14" t="s">
        <v>46</v>
      </c>
      <c r="C62" s="14" t="s">
        <v>2716</v>
      </c>
      <c r="D62" s="14" t="s">
        <v>313</v>
      </c>
      <c r="E62" s="217"/>
      <c r="F62" s="14" t="s">
        <v>2717</v>
      </c>
      <c r="G62" s="14" t="s">
        <v>2718</v>
      </c>
      <c r="H62" s="14" t="s">
        <v>26</v>
      </c>
      <c r="I62" s="17">
        <v>712500</v>
      </c>
      <c r="J62" s="17">
        <v>1078920</v>
      </c>
      <c r="K62" s="17">
        <v>885720</v>
      </c>
      <c r="L62" s="17">
        <f>J62-K62</f>
      </c>
      <c r="M62" s="218" t="s">
        <v>280</v>
      </c>
      <c r="N62" s="14" t="s">
        <v>2719</v>
      </c>
      <c r="O62" s="17">
        <v>1</v>
      </c>
      <c r="P62" s="65"/>
      <c r="Q62" s="65"/>
      <c r="R62" s="17">
        <v>1078920</v>
      </c>
      <c r="S62" s="17">
        <f>J62-P62-R62</f>
      </c>
      <c r="T62" s="12">
        <v>45887</v>
      </c>
      <c r="U62" s="14" t="s">
        <v>1718</v>
      </c>
      <c r="V62" s="14"/>
    </row>
    <row x14ac:dyDescent="0.25" r="63" customHeight="1" ht="19.5">
      <c r="A63" s="12">
        <v>45885</v>
      </c>
      <c r="B63" s="14" t="s">
        <v>53</v>
      </c>
      <c r="C63" s="14" t="s">
        <v>2713</v>
      </c>
      <c r="D63" s="14" t="s">
        <v>264</v>
      </c>
      <c r="E63" s="217"/>
      <c r="F63" s="14" t="s">
        <v>2720</v>
      </c>
      <c r="G63" s="14" t="s">
        <v>2721</v>
      </c>
      <c r="H63" s="14" t="s">
        <v>26</v>
      </c>
      <c r="I63" s="65"/>
      <c r="J63" s="17">
        <v>193920</v>
      </c>
      <c r="K63" s="17">
        <v>98400</v>
      </c>
      <c r="L63" s="17">
        <f>J63-K63</f>
      </c>
      <c r="M63" s="14" t="s">
        <v>137</v>
      </c>
      <c r="N63" s="14" t="s">
        <v>2722</v>
      </c>
      <c r="O63" s="65" t="s">
        <v>251</v>
      </c>
      <c r="P63" s="17">
        <v>94100</v>
      </c>
      <c r="Q63" s="65"/>
      <c r="R63" s="65"/>
      <c r="S63" s="17">
        <f>J63-P63-R63</f>
      </c>
      <c r="T63" s="12">
        <v>45889</v>
      </c>
      <c r="U63" s="14" t="s">
        <v>1718</v>
      </c>
      <c r="V63" s="14"/>
    </row>
    <row x14ac:dyDescent="0.25" r="64" customHeight="1" ht="19.5">
      <c r="A64" s="12">
        <v>45885</v>
      </c>
      <c r="B64" s="14" t="s">
        <v>897</v>
      </c>
      <c r="C64" s="14" t="s">
        <v>2681</v>
      </c>
      <c r="D64" s="14" t="s">
        <v>2079</v>
      </c>
      <c r="E64" s="217"/>
      <c r="F64" s="14" t="s">
        <v>2723</v>
      </c>
      <c r="G64" s="14" t="s">
        <v>2724</v>
      </c>
      <c r="H64" s="14" t="s">
        <v>26</v>
      </c>
      <c r="I64" s="17">
        <v>2900</v>
      </c>
      <c r="J64" s="17">
        <v>145655</v>
      </c>
      <c r="K64" s="17">
        <v>132655</v>
      </c>
      <c r="L64" s="17">
        <f>J64-K64</f>
      </c>
      <c r="M64" s="14" t="s">
        <v>280</v>
      </c>
      <c r="N64" s="14" t="s">
        <v>2725</v>
      </c>
      <c r="O64" s="17">
        <v>1</v>
      </c>
      <c r="P64" s="65"/>
      <c r="Q64" s="65"/>
      <c r="R64" s="17">
        <v>145655</v>
      </c>
      <c r="S64" s="17">
        <f>J64-P64-R64</f>
      </c>
      <c r="T64" s="12">
        <v>45894</v>
      </c>
      <c r="U64" s="14" t="s">
        <v>2307</v>
      </c>
      <c r="V64" s="14"/>
    </row>
    <row x14ac:dyDescent="0.25" r="65" customHeight="1" ht="19.5">
      <c r="A65" s="12">
        <v>45887</v>
      </c>
      <c r="B65" s="14" t="s">
        <v>53</v>
      </c>
      <c r="C65" s="14" t="s">
        <v>2726</v>
      </c>
      <c r="D65" s="14" t="s">
        <v>313</v>
      </c>
      <c r="E65" s="217"/>
      <c r="F65" s="14" t="s">
        <v>2727</v>
      </c>
      <c r="G65" s="14" t="s">
        <v>2728</v>
      </c>
      <c r="H65" s="14" t="s">
        <v>26</v>
      </c>
      <c r="I65" s="65"/>
      <c r="J65" s="17">
        <v>129800</v>
      </c>
      <c r="K65" s="17">
        <v>98400</v>
      </c>
      <c r="L65" s="17">
        <f>J65-K65</f>
      </c>
      <c r="M65" s="14" t="s">
        <v>137</v>
      </c>
      <c r="N65" s="14" t="s">
        <v>2729</v>
      </c>
      <c r="O65" s="65" t="s">
        <v>251</v>
      </c>
      <c r="P65" s="65"/>
      <c r="Q65" s="65"/>
      <c r="R65" s="65"/>
      <c r="S65" s="17">
        <f>J65-P65-R65</f>
      </c>
      <c r="T65" s="12"/>
      <c r="U65" s="14"/>
      <c r="V65" s="14"/>
    </row>
    <row x14ac:dyDescent="0.25" r="66" customHeight="1" ht="19.5">
      <c r="A66" s="12">
        <v>45887</v>
      </c>
      <c r="B66" s="30" t="s">
        <v>72</v>
      </c>
      <c r="C66" s="30" t="s">
        <v>2730</v>
      </c>
      <c r="D66" s="30" t="s">
        <v>448</v>
      </c>
      <c r="E66" s="217"/>
      <c r="F66" s="30" t="s">
        <v>2272</v>
      </c>
      <c r="G66" s="30" t="s">
        <v>2674</v>
      </c>
      <c r="H66" s="30" t="s">
        <v>26</v>
      </c>
      <c r="I66" s="69">
        <v>987100</v>
      </c>
      <c r="J66" s="69">
        <v>1642900</v>
      </c>
      <c r="K66" s="69">
        <v>1449220</v>
      </c>
      <c r="L66" s="17">
        <f>J66-K66</f>
      </c>
      <c r="M66" s="30" t="s">
        <v>50</v>
      </c>
      <c r="N66" s="14" t="s">
        <v>2731</v>
      </c>
      <c r="O66" s="17">
        <v>4</v>
      </c>
      <c r="P66" s="65"/>
      <c r="Q66" s="65"/>
      <c r="R66" s="17">
        <v>1642900</v>
      </c>
      <c r="S66" s="17">
        <f>J66-P66-R66</f>
      </c>
      <c r="T66" s="12">
        <v>45883</v>
      </c>
      <c r="U66" s="14" t="s">
        <v>1718</v>
      </c>
      <c r="V66" s="14"/>
    </row>
    <row x14ac:dyDescent="0.25" r="67" customHeight="1" ht="19.5">
      <c r="A67" s="12">
        <v>45887</v>
      </c>
      <c r="B67" s="30" t="s">
        <v>72</v>
      </c>
      <c r="C67" s="30" t="s">
        <v>2730</v>
      </c>
      <c r="D67" s="30" t="s">
        <v>448</v>
      </c>
      <c r="E67" s="217"/>
      <c r="F67" s="30" t="s">
        <v>2272</v>
      </c>
      <c r="G67" s="30" t="s">
        <v>2676</v>
      </c>
      <c r="H67" s="30" t="s">
        <v>26</v>
      </c>
      <c r="I67" s="69">
        <v>987100</v>
      </c>
      <c r="J67" s="69">
        <v>1642900</v>
      </c>
      <c r="K67" s="69">
        <v>1449220</v>
      </c>
      <c r="L67" s="17">
        <f>J67-K67</f>
      </c>
      <c r="M67" s="30" t="s">
        <v>50</v>
      </c>
      <c r="N67" s="14" t="s">
        <v>2732</v>
      </c>
      <c r="O67" s="17">
        <v>4</v>
      </c>
      <c r="P67" s="17"/>
      <c r="Q67" s="17"/>
      <c r="R67" s="17">
        <v>1642900</v>
      </c>
      <c r="S67" s="17">
        <f>J67-P67-R67</f>
      </c>
      <c r="T67" s="12">
        <v>45883</v>
      </c>
      <c r="U67" s="70" t="s">
        <v>2733</v>
      </c>
      <c r="V67" s="14"/>
    </row>
    <row x14ac:dyDescent="0.25" r="68" customHeight="1" ht="27.600000000000005">
      <c r="A68" s="12">
        <v>45887</v>
      </c>
      <c r="B68" s="14" t="s">
        <v>111</v>
      </c>
      <c r="C68" s="14" t="s">
        <v>2734</v>
      </c>
      <c r="D68" s="14" t="s">
        <v>112</v>
      </c>
      <c r="E68" s="217"/>
      <c r="F68" s="14" t="s">
        <v>84</v>
      </c>
      <c r="G68" s="14" t="s">
        <v>2735</v>
      </c>
      <c r="H68" s="14" t="s">
        <v>26</v>
      </c>
      <c r="I68" s="17">
        <v>183200</v>
      </c>
      <c r="J68" s="17">
        <v>570920</v>
      </c>
      <c r="K68" s="17">
        <v>454405</v>
      </c>
      <c r="L68" s="17">
        <f>J68-K68</f>
      </c>
      <c r="M68" s="14" t="s">
        <v>50</v>
      </c>
      <c r="N68" s="14" t="s">
        <v>2736</v>
      </c>
      <c r="O68" s="17">
        <v>2</v>
      </c>
      <c r="P68" s="65"/>
      <c r="Q68" s="65"/>
      <c r="R68" s="65"/>
      <c r="S68" s="17">
        <f>J68-P68-R68</f>
      </c>
      <c r="T68" s="12"/>
      <c r="U68" s="14"/>
      <c r="V68" s="14"/>
    </row>
    <row x14ac:dyDescent="0.25" r="69" customHeight="1" ht="19.5">
      <c r="A69" s="12">
        <v>45887</v>
      </c>
      <c r="B69" s="14" t="s">
        <v>72</v>
      </c>
      <c r="C69" s="14" t="s">
        <v>2308</v>
      </c>
      <c r="D69" s="14" t="s">
        <v>156</v>
      </c>
      <c r="E69" s="217"/>
      <c r="F69" s="14" t="s">
        <v>391</v>
      </c>
      <c r="G69" s="14" t="s">
        <v>2383</v>
      </c>
      <c r="H69" s="14" t="s">
        <v>26</v>
      </c>
      <c r="I69" s="17">
        <v>141100</v>
      </c>
      <c r="J69" s="17">
        <v>459920</v>
      </c>
      <c r="K69" s="17">
        <v>405920</v>
      </c>
      <c r="L69" s="17">
        <f>J69-K69</f>
      </c>
      <c r="M69" s="14" t="s">
        <v>50</v>
      </c>
      <c r="N69" s="14" t="s">
        <v>2737</v>
      </c>
      <c r="O69" s="17">
        <v>4</v>
      </c>
      <c r="P69" s="65"/>
      <c r="Q69" s="65"/>
      <c r="R69" s="17">
        <v>459920</v>
      </c>
      <c r="S69" s="17">
        <f>J69-P69-R69</f>
      </c>
      <c r="T69" s="12">
        <v>45905</v>
      </c>
      <c r="U69" s="14"/>
      <c r="V69" s="14"/>
    </row>
    <row x14ac:dyDescent="0.25" r="70" customHeight="1" ht="19.5">
      <c r="A70" s="12">
        <v>45888</v>
      </c>
      <c r="B70" s="14" t="s">
        <v>66</v>
      </c>
      <c r="C70" s="14" t="s">
        <v>2738</v>
      </c>
      <c r="D70" s="14" t="s">
        <v>2739</v>
      </c>
      <c r="E70" s="217"/>
      <c r="F70" s="14" t="s">
        <v>1799</v>
      </c>
      <c r="G70" s="14" t="s">
        <v>2740</v>
      </c>
      <c r="H70" s="14" t="s">
        <v>26</v>
      </c>
      <c r="I70" s="17">
        <v>279600</v>
      </c>
      <c r="J70" s="17">
        <v>639720</v>
      </c>
      <c r="K70" s="17">
        <v>589700</v>
      </c>
      <c r="L70" s="17">
        <f>J70-K70</f>
      </c>
      <c r="M70" s="14" t="s">
        <v>50</v>
      </c>
      <c r="N70" s="14" t="s">
        <v>2741</v>
      </c>
      <c r="O70" s="17">
        <v>4</v>
      </c>
      <c r="P70" s="17">
        <v>171760</v>
      </c>
      <c r="Q70" s="17"/>
      <c r="R70" s="17">
        <v>467960</v>
      </c>
      <c r="S70" s="17">
        <f>J70-P70-R70</f>
      </c>
      <c r="T70" s="12">
        <v>45894</v>
      </c>
      <c r="U70" s="14" t="s">
        <v>1718</v>
      </c>
      <c r="V70" s="14"/>
    </row>
    <row x14ac:dyDescent="0.25" r="71" customHeight="1" ht="19.5">
      <c r="A71" s="12">
        <v>45888</v>
      </c>
      <c r="B71" s="14" t="s">
        <v>66</v>
      </c>
      <c r="C71" s="14" t="s">
        <v>2742</v>
      </c>
      <c r="D71" s="14" t="s">
        <v>2739</v>
      </c>
      <c r="E71" s="217"/>
      <c r="F71" s="14" t="s">
        <v>1799</v>
      </c>
      <c r="G71" s="14" t="s">
        <v>2743</v>
      </c>
      <c r="H71" s="14" t="s">
        <v>26</v>
      </c>
      <c r="I71" s="17">
        <v>58500</v>
      </c>
      <c r="J71" s="17">
        <v>190900</v>
      </c>
      <c r="K71" s="17">
        <v>150000</v>
      </c>
      <c r="L71" s="17">
        <f>J71-K71</f>
      </c>
      <c r="M71" s="14" t="s">
        <v>50</v>
      </c>
      <c r="N71" s="14" t="s">
        <v>2744</v>
      </c>
      <c r="O71" s="17">
        <v>4</v>
      </c>
      <c r="P71" s="65"/>
      <c r="Q71" s="65"/>
      <c r="R71" s="17">
        <v>190900</v>
      </c>
      <c r="S71" s="17">
        <f>J71-P71-R71</f>
      </c>
      <c r="T71" s="12"/>
      <c r="U71" s="14"/>
      <c r="V71" s="14"/>
    </row>
    <row x14ac:dyDescent="0.25" r="72" customHeight="1" ht="27">
      <c r="A72" s="12">
        <v>45888</v>
      </c>
      <c r="B72" s="14" t="s">
        <v>46</v>
      </c>
      <c r="C72" s="14" t="s">
        <v>2745</v>
      </c>
      <c r="D72" s="14" t="s">
        <v>248</v>
      </c>
      <c r="E72" s="69">
        <v>7</v>
      </c>
      <c r="F72" s="14" t="s">
        <v>102</v>
      </c>
      <c r="G72" s="14" t="s">
        <v>2746</v>
      </c>
      <c r="H72" s="14" t="s">
        <v>26</v>
      </c>
      <c r="I72" s="17">
        <v>880300</v>
      </c>
      <c r="J72" s="17">
        <v>1204800</v>
      </c>
      <c r="K72" s="17">
        <v>1154200</v>
      </c>
      <c r="L72" s="17">
        <f>J72-K72</f>
      </c>
      <c r="M72" s="14" t="s">
        <v>50</v>
      </c>
      <c r="N72" s="14" t="s">
        <v>2747</v>
      </c>
      <c r="O72" s="17">
        <v>2</v>
      </c>
      <c r="P72" s="65"/>
      <c r="Q72" s="65"/>
      <c r="R72" s="17">
        <v>1204800</v>
      </c>
      <c r="S72" s="17">
        <f>J72-P72-R72</f>
      </c>
      <c r="T72" s="12">
        <v>45894</v>
      </c>
      <c r="U72" s="14" t="s">
        <v>1718</v>
      </c>
      <c r="V72" s="14"/>
    </row>
    <row x14ac:dyDescent="0.25" r="73" customHeight="1" ht="19.5">
      <c r="A73" s="12">
        <v>45888</v>
      </c>
      <c r="B73" s="14" t="s">
        <v>53</v>
      </c>
      <c r="C73" s="14" t="s">
        <v>2748</v>
      </c>
      <c r="D73" s="14" t="s">
        <v>2749</v>
      </c>
      <c r="E73" s="217"/>
      <c r="F73" s="14" t="s">
        <v>2750</v>
      </c>
      <c r="G73" s="14" t="s">
        <v>2751</v>
      </c>
      <c r="H73" s="14" t="s">
        <v>76</v>
      </c>
      <c r="I73" s="65"/>
      <c r="J73" s="17">
        <v>129000</v>
      </c>
      <c r="K73" s="17">
        <v>98400</v>
      </c>
      <c r="L73" s="17">
        <f>J73-K73</f>
      </c>
      <c r="M73" s="14" t="s">
        <v>137</v>
      </c>
      <c r="N73" s="14" t="s">
        <v>2752</v>
      </c>
      <c r="O73" s="65" t="s">
        <v>251</v>
      </c>
      <c r="P73" s="65"/>
      <c r="Q73" s="65"/>
      <c r="R73" s="17">
        <v>129000</v>
      </c>
      <c r="S73" s="17">
        <f>J73-P73-R73</f>
      </c>
      <c r="T73" s="12">
        <v>45887</v>
      </c>
      <c r="U73" s="14" t="s">
        <v>1718</v>
      </c>
      <c r="V73" s="14"/>
    </row>
    <row x14ac:dyDescent="0.25" r="74" customHeight="1" ht="19.5">
      <c r="A74" s="12">
        <v>45888</v>
      </c>
      <c r="B74" s="14" t="s">
        <v>62</v>
      </c>
      <c r="C74" s="14" t="s">
        <v>2753</v>
      </c>
      <c r="D74" s="14" t="s">
        <v>2754</v>
      </c>
      <c r="E74" s="69">
        <v>18</v>
      </c>
      <c r="F74" s="14" t="s">
        <v>102</v>
      </c>
      <c r="G74" s="14" t="s">
        <v>2165</v>
      </c>
      <c r="H74" s="14" t="s">
        <v>26</v>
      </c>
      <c r="I74" s="65"/>
      <c r="J74" s="17">
        <v>3665800</v>
      </c>
      <c r="K74" s="17">
        <v>3565225</v>
      </c>
      <c r="L74" s="17">
        <f>J74-K74</f>
      </c>
      <c r="M74" s="14" t="s">
        <v>2699</v>
      </c>
      <c r="N74" s="14" t="s">
        <v>2755</v>
      </c>
      <c r="O74" s="65"/>
      <c r="P74" s="65"/>
      <c r="Q74" s="65"/>
      <c r="R74" s="17">
        <v>3665800</v>
      </c>
      <c r="S74" s="17">
        <f>J74-P74-R74</f>
      </c>
      <c r="T74" s="12">
        <v>45894</v>
      </c>
      <c r="U74" s="14" t="s">
        <v>1718</v>
      </c>
      <c r="V74" s="14"/>
    </row>
    <row x14ac:dyDescent="0.25" r="75" customHeight="1" ht="19.5">
      <c r="A75" s="12">
        <v>45888</v>
      </c>
      <c r="B75" s="14" t="s">
        <v>62</v>
      </c>
      <c r="C75" s="14" t="s">
        <v>2753</v>
      </c>
      <c r="D75" s="14" t="s">
        <v>2754</v>
      </c>
      <c r="E75" s="69">
        <v>19</v>
      </c>
      <c r="F75" s="14" t="s">
        <v>102</v>
      </c>
      <c r="G75" s="14" t="s">
        <v>2756</v>
      </c>
      <c r="H75" s="14" t="s">
        <v>26</v>
      </c>
      <c r="I75" s="65"/>
      <c r="J75" s="17">
        <v>3665800</v>
      </c>
      <c r="K75" s="17">
        <v>3565225</v>
      </c>
      <c r="L75" s="17">
        <f>J75-K75</f>
      </c>
      <c r="M75" s="14" t="s">
        <v>2699</v>
      </c>
      <c r="N75" s="14" t="s">
        <v>2757</v>
      </c>
      <c r="O75" s="65"/>
      <c r="P75" s="65"/>
      <c r="Q75" s="65"/>
      <c r="R75" s="17">
        <v>3665800</v>
      </c>
      <c r="S75" s="17">
        <f>J75-P75-R75</f>
      </c>
      <c r="T75" s="12">
        <v>45894</v>
      </c>
      <c r="U75" s="14" t="s">
        <v>1718</v>
      </c>
      <c r="V75" s="14"/>
    </row>
    <row x14ac:dyDescent="0.25" r="76" customHeight="1" ht="19.5">
      <c r="A76" s="12">
        <v>45888</v>
      </c>
      <c r="B76" s="14" t="s">
        <v>66</v>
      </c>
      <c r="C76" s="14" t="s">
        <v>2758</v>
      </c>
      <c r="D76" s="14" t="s">
        <v>2739</v>
      </c>
      <c r="E76" s="217"/>
      <c r="F76" s="14" t="s">
        <v>1799</v>
      </c>
      <c r="G76" s="14" t="s">
        <v>2759</v>
      </c>
      <c r="H76" s="14" t="s">
        <v>26</v>
      </c>
      <c r="I76" s="17">
        <v>279600</v>
      </c>
      <c r="J76" s="17">
        <v>639720</v>
      </c>
      <c r="K76" s="17">
        <v>589700</v>
      </c>
      <c r="L76" s="17">
        <f>J76-K76</f>
      </c>
      <c r="M76" s="14" t="s">
        <v>50</v>
      </c>
      <c r="N76" s="14" t="s">
        <v>2760</v>
      </c>
      <c r="O76" s="17">
        <v>4</v>
      </c>
      <c r="P76" s="17"/>
      <c r="Q76" s="17"/>
      <c r="R76" s="17">
        <v>639720</v>
      </c>
      <c r="S76" s="17">
        <f>J76-P76-R76</f>
      </c>
      <c r="T76" s="175" t="s">
        <v>2761</v>
      </c>
      <c r="U76" s="14" t="s">
        <v>1718</v>
      </c>
      <c r="V76" s="14"/>
    </row>
    <row x14ac:dyDescent="0.25" r="77" customHeight="1" ht="19.5">
      <c r="A77" s="12">
        <v>45888</v>
      </c>
      <c r="B77" s="14" t="s">
        <v>66</v>
      </c>
      <c r="C77" s="14" t="s">
        <v>2762</v>
      </c>
      <c r="D77" s="14" t="s">
        <v>166</v>
      </c>
      <c r="E77" s="217"/>
      <c r="F77" s="14" t="s">
        <v>84</v>
      </c>
      <c r="G77" s="14" t="s">
        <v>1964</v>
      </c>
      <c r="H77" s="14" t="s">
        <v>26</v>
      </c>
      <c r="I77" s="17">
        <v>86100</v>
      </c>
      <c r="J77" s="17">
        <v>569920</v>
      </c>
      <c r="K77" s="17">
        <v>445620</v>
      </c>
      <c r="L77" s="17">
        <f>J77-K77</f>
      </c>
      <c r="M77" s="14" t="s">
        <v>50</v>
      </c>
      <c r="N77" s="14" t="s">
        <v>2763</v>
      </c>
      <c r="O77" s="17">
        <v>2</v>
      </c>
      <c r="P77" s="65"/>
      <c r="Q77" s="65"/>
      <c r="R77" s="65"/>
      <c r="S77" s="17">
        <f>J77-P77-R77</f>
      </c>
      <c r="T77" s="12"/>
      <c r="U77" s="14"/>
      <c r="V77" s="14"/>
    </row>
    <row x14ac:dyDescent="0.25" r="78" customHeight="1" ht="19.5">
      <c r="A78" s="12">
        <v>45888</v>
      </c>
      <c r="B78" s="14" t="s">
        <v>46</v>
      </c>
      <c r="C78" s="14" t="s">
        <v>2764</v>
      </c>
      <c r="D78" s="14" t="s">
        <v>54</v>
      </c>
      <c r="E78" s="217"/>
      <c r="F78" s="14" t="s">
        <v>84</v>
      </c>
      <c r="G78" s="14" t="s">
        <v>1964</v>
      </c>
      <c r="H78" s="14" t="s">
        <v>26</v>
      </c>
      <c r="I78" s="65"/>
      <c r="J78" s="17">
        <v>1594920</v>
      </c>
      <c r="K78" s="17">
        <v>1283620</v>
      </c>
      <c r="L78" s="17">
        <f>J78-K78</f>
      </c>
      <c r="M78" s="14" t="s">
        <v>50</v>
      </c>
      <c r="N78" s="14" t="s">
        <v>2765</v>
      </c>
      <c r="O78" s="17">
        <v>2</v>
      </c>
      <c r="P78" s="65"/>
      <c r="Q78" s="65"/>
      <c r="R78" s="65"/>
      <c r="S78" s="17">
        <f>J78-P78-R78</f>
      </c>
      <c r="T78" s="12"/>
      <c r="U78" s="14"/>
      <c r="V78" s="14"/>
    </row>
    <row x14ac:dyDescent="0.25" r="79" customHeight="1" ht="19.5">
      <c r="A79" s="12">
        <v>45888</v>
      </c>
      <c r="B79" s="14" t="s">
        <v>66</v>
      </c>
      <c r="C79" s="14" t="s">
        <v>2762</v>
      </c>
      <c r="D79" s="14" t="s">
        <v>166</v>
      </c>
      <c r="E79" s="217"/>
      <c r="F79" s="14" t="s">
        <v>84</v>
      </c>
      <c r="G79" s="14" t="s">
        <v>2766</v>
      </c>
      <c r="H79" s="14" t="s">
        <v>26</v>
      </c>
      <c r="I79" s="29">
        <v>65600</v>
      </c>
      <c r="J79" s="17">
        <v>523920</v>
      </c>
      <c r="K79" s="17">
        <v>399120</v>
      </c>
      <c r="L79" s="17">
        <f>J79-K79</f>
      </c>
      <c r="M79" s="14" t="s">
        <v>50</v>
      </c>
      <c r="N79" s="14" t="s">
        <v>2767</v>
      </c>
      <c r="O79" s="17">
        <v>2</v>
      </c>
      <c r="P79" s="65"/>
      <c r="Q79" s="65"/>
      <c r="R79" s="65"/>
      <c r="S79" s="17">
        <f>J79-P79-R79</f>
      </c>
      <c r="T79" s="12"/>
      <c r="U79" s="14"/>
      <c r="V79" s="14"/>
    </row>
    <row x14ac:dyDescent="0.25" r="80" customHeight="1" ht="19.5">
      <c r="A80" s="12">
        <v>45888</v>
      </c>
      <c r="B80" s="14" t="s">
        <v>66</v>
      </c>
      <c r="C80" s="14" t="s">
        <v>2768</v>
      </c>
      <c r="D80" s="14" t="s">
        <v>2739</v>
      </c>
      <c r="E80" s="217"/>
      <c r="F80" s="14" t="s">
        <v>1799</v>
      </c>
      <c r="G80" s="14" t="s">
        <v>2769</v>
      </c>
      <c r="H80" s="14" t="s">
        <v>26</v>
      </c>
      <c r="I80" s="17">
        <v>380400</v>
      </c>
      <c r="J80" s="17">
        <v>735520</v>
      </c>
      <c r="K80" s="17">
        <v>690520</v>
      </c>
      <c r="L80" s="17">
        <f>J80-K80</f>
      </c>
      <c r="M80" s="14" t="s">
        <v>50</v>
      </c>
      <c r="N80" s="14" t="s">
        <v>2770</v>
      </c>
      <c r="O80" s="17">
        <v>4</v>
      </c>
      <c r="P80" s="17"/>
      <c r="Q80" s="17"/>
      <c r="R80" s="17">
        <v>735520</v>
      </c>
      <c r="S80" s="17">
        <f>J80-P80-R80</f>
      </c>
      <c r="T80" s="12">
        <v>45891</v>
      </c>
      <c r="U80" s="14" t="s">
        <v>1718</v>
      </c>
      <c r="V80" s="14"/>
    </row>
    <row x14ac:dyDescent="0.25" r="81" customHeight="1" ht="19.5">
      <c r="A81" s="12">
        <v>45888</v>
      </c>
      <c r="B81" s="14" t="s">
        <v>66</v>
      </c>
      <c r="C81" s="14" t="s">
        <v>2771</v>
      </c>
      <c r="D81" s="14" t="s">
        <v>2739</v>
      </c>
      <c r="E81" s="217"/>
      <c r="F81" s="14" t="s">
        <v>1799</v>
      </c>
      <c r="G81" s="14" t="s">
        <v>2772</v>
      </c>
      <c r="H81" s="14" t="s">
        <v>26</v>
      </c>
      <c r="I81" s="17">
        <v>380400</v>
      </c>
      <c r="J81" s="17">
        <v>735520</v>
      </c>
      <c r="K81" s="17">
        <v>690520</v>
      </c>
      <c r="L81" s="17">
        <f>J81-K81</f>
      </c>
      <c r="M81" s="14" t="s">
        <v>50</v>
      </c>
      <c r="N81" s="14" t="s">
        <v>2773</v>
      </c>
      <c r="O81" s="17">
        <v>4</v>
      </c>
      <c r="P81" s="17">
        <v>572000</v>
      </c>
      <c r="Q81" s="65"/>
      <c r="R81" s="17">
        <v>163520</v>
      </c>
      <c r="S81" s="17">
        <f>J81-P81-R81</f>
      </c>
      <c r="T81" s="12">
        <v>45891</v>
      </c>
      <c r="U81" s="14" t="s">
        <v>1718</v>
      </c>
      <c r="V81" s="14"/>
    </row>
    <row x14ac:dyDescent="0.25" r="82" customHeight="1" ht="25.95">
      <c r="A82" s="213">
        <v>45889</v>
      </c>
      <c r="B82" s="214" t="s">
        <v>46</v>
      </c>
      <c r="C82" s="214" t="s">
        <v>2774</v>
      </c>
      <c r="D82" s="214" t="s">
        <v>264</v>
      </c>
      <c r="E82" s="212"/>
      <c r="F82" s="214" t="s">
        <v>2775</v>
      </c>
      <c r="G82" s="214" t="s">
        <v>2776</v>
      </c>
      <c r="H82" s="214" t="s">
        <v>76</v>
      </c>
      <c r="I82" s="212"/>
      <c r="J82" s="225">
        <v>129000</v>
      </c>
      <c r="K82" s="225">
        <v>129000</v>
      </c>
      <c r="L82" s="225">
        <f>J82-K82</f>
      </c>
      <c r="M82" s="214" t="s">
        <v>187</v>
      </c>
      <c r="N82" s="214" t="s">
        <v>2777</v>
      </c>
      <c r="O82" s="212" t="s">
        <v>2778</v>
      </c>
      <c r="P82" s="212"/>
      <c r="Q82" s="212"/>
      <c r="R82" s="212"/>
      <c r="S82" s="225"/>
      <c r="T82" s="213"/>
      <c r="U82" s="214"/>
      <c r="V82" s="14"/>
    </row>
    <row x14ac:dyDescent="0.25" r="83" customHeight="1" ht="19.5">
      <c r="A83" s="12">
        <v>45889</v>
      </c>
      <c r="B83" s="14" t="s">
        <v>53</v>
      </c>
      <c r="C83" s="14" t="s">
        <v>2745</v>
      </c>
      <c r="D83" s="14" t="s">
        <v>248</v>
      </c>
      <c r="E83" s="69">
        <v>9</v>
      </c>
      <c r="F83" s="14" t="s">
        <v>102</v>
      </c>
      <c r="G83" s="14" t="s">
        <v>2779</v>
      </c>
      <c r="H83" s="14" t="s">
        <v>26</v>
      </c>
      <c r="I83" s="65"/>
      <c r="J83" s="17">
        <v>2466800</v>
      </c>
      <c r="K83" s="17">
        <v>2386700</v>
      </c>
      <c r="L83" s="17">
        <f>J83-K83</f>
      </c>
      <c r="M83" s="14" t="s">
        <v>2699</v>
      </c>
      <c r="N83" s="14" t="s">
        <v>2780</v>
      </c>
      <c r="O83" s="65"/>
      <c r="P83" s="65"/>
      <c r="Q83" s="65"/>
      <c r="R83" s="17">
        <v>2466800</v>
      </c>
      <c r="S83" s="17">
        <f>J83-P83-R83</f>
      </c>
      <c r="T83" s="12">
        <v>45894</v>
      </c>
      <c r="U83" s="14" t="s">
        <v>1718</v>
      </c>
      <c r="V83" s="14"/>
    </row>
    <row x14ac:dyDescent="0.25" r="84" customHeight="1" ht="19.5">
      <c r="A84" s="12">
        <v>45889</v>
      </c>
      <c r="B84" s="14" t="s">
        <v>475</v>
      </c>
      <c r="C84" s="14" t="s">
        <v>2781</v>
      </c>
      <c r="D84" s="14" t="s">
        <v>477</v>
      </c>
      <c r="E84" s="217"/>
      <c r="F84" s="14" t="s">
        <v>2782</v>
      </c>
      <c r="G84" s="14" t="s">
        <v>2783</v>
      </c>
      <c r="H84" s="14" t="s">
        <v>26</v>
      </c>
      <c r="I84" s="65"/>
      <c r="J84" s="17">
        <v>401920</v>
      </c>
      <c r="K84" s="17">
        <v>288000</v>
      </c>
      <c r="L84" s="17">
        <f>J84-K84</f>
      </c>
      <c r="M84" s="14" t="s">
        <v>475</v>
      </c>
      <c r="N84" s="14" t="s">
        <v>2784</v>
      </c>
      <c r="O84" s="65"/>
      <c r="P84" s="65"/>
      <c r="Q84" s="65"/>
      <c r="R84" s="17">
        <v>401920</v>
      </c>
      <c r="S84" s="17">
        <f>J84-P84-R84</f>
      </c>
      <c r="T84" s="12">
        <v>45895</v>
      </c>
      <c r="U84" s="14" t="s">
        <v>2785</v>
      </c>
      <c r="V84" s="14"/>
    </row>
    <row x14ac:dyDescent="0.25" r="85" customHeight="1" ht="19.5">
      <c r="A85" s="12">
        <v>45889</v>
      </c>
      <c r="B85" s="14" t="s">
        <v>111</v>
      </c>
      <c r="C85" s="14" t="s">
        <v>2786</v>
      </c>
      <c r="D85" s="14" t="s">
        <v>313</v>
      </c>
      <c r="E85" s="217"/>
      <c r="F85" s="14" t="s">
        <v>147</v>
      </c>
      <c r="G85" s="14" t="s">
        <v>2787</v>
      </c>
      <c r="H85" s="14" t="s">
        <v>2537</v>
      </c>
      <c r="I85" s="65"/>
      <c r="J85" s="17">
        <v>2858920</v>
      </c>
      <c r="K85" s="17">
        <v>2578220</v>
      </c>
      <c r="L85" s="17">
        <f>J85-K85</f>
      </c>
      <c r="M85" s="14" t="s">
        <v>43</v>
      </c>
      <c r="N85" s="14" t="s">
        <v>2788</v>
      </c>
      <c r="O85" s="65"/>
      <c r="P85" s="65"/>
      <c r="Q85" s="65"/>
      <c r="R85" s="17">
        <v>2858920</v>
      </c>
      <c r="S85" s="17">
        <f>J85-P85-R85</f>
      </c>
      <c r="T85" s="12">
        <v>45891</v>
      </c>
      <c r="U85" s="14" t="s">
        <v>1718</v>
      </c>
      <c r="V85" s="14"/>
    </row>
    <row x14ac:dyDescent="0.25" r="86" customHeight="1" ht="19.5">
      <c r="A86" s="12">
        <v>45889</v>
      </c>
      <c r="B86" s="14" t="s">
        <v>2789</v>
      </c>
      <c r="C86" s="14" t="s">
        <v>2745</v>
      </c>
      <c r="D86" s="14" t="s">
        <v>2790</v>
      </c>
      <c r="E86" s="69">
        <v>10</v>
      </c>
      <c r="F86" s="14" t="s">
        <v>102</v>
      </c>
      <c r="G86" s="14" t="s">
        <v>2791</v>
      </c>
      <c r="H86" s="14" t="s">
        <v>26</v>
      </c>
      <c r="I86" s="65"/>
      <c r="J86" s="17">
        <v>440900</v>
      </c>
      <c r="K86" s="17">
        <v>400900</v>
      </c>
      <c r="L86" s="17">
        <f>J86-K86</f>
      </c>
      <c r="M86" s="14" t="s">
        <v>187</v>
      </c>
      <c r="N86" s="14" t="s">
        <v>2792</v>
      </c>
      <c r="O86" s="65"/>
      <c r="P86" s="65"/>
      <c r="Q86" s="65"/>
      <c r="R86" s="17">
        <v>440900</v>
      </c>
      <c r="S86" s="17">
        <f>J86-P86-R86</f>
      </c>
      <c r="T86" s="12">
        <v>45894</v>
      </c>
      <c r="U86" s="14" t="s">
        <v>1718</v>
      </c>
      <c r="V86" s="14"/>
    </row>
    <row x14ac:dyDescent="0.25" r="87" customHeight="1" ht="18">
      <c r="A87" s="12">
        <v>45889</v>
      </c>
      <c r="B87" s="14" t="s">
        <v>111</v>
      </c>
      <c r="C87" s="14" t="s">
        <v>2793</v>
      </c>
      <c r="D87" s="14" t="s">
        <v>2794</v>
      </c>
      <c r="E87" s="69">
        <v>12</v>
      </c>
      <c r="F87" s="14" t="s">
        <v>102</v>
      </c>
      <c r="G87" s="14" t="s">
        <v>2795</v>
      </c>
      <c r="H87" s="14" t="s">
        <v>26</v>
      </c>
      <c r="I87" s="65"/>
      <c r="J87" s="17">
        <v>605900</v>
      </c>
      <c r="K87" s="17">
        <v>414600</v>
      </c>
      <c r="L87" s="17">
        <f>J87-K87</f>
      </c>
      <c r="M87" s="14" t="s">
        <v>187</v>
      </c>
      <c r="N87" s="14" t="s">
        <v>2796</v>
      </c>
      <c r="O87" s="65"/>
      <c r="P87" s="65"/>
      <c r="Q87" s="65"/>
      <c r="R87" s="17">
        <v>605900</v>
      </c>
      <c r="S87" s="17">
        <f>J87-P87-R87</f>
      </c>
      <c r="T87" s="12">
        <v>45894</v>
      </c>
      <c r="U87" s="14" t="s">
        <v>1718</v>
      </c>
      <c r="V87" s="14"/>
    </row>
    <row x14ac:dyDescent="0.25" r="88" customHeight="1" ht="18">
      <c r="A88" s="12">
        <v>45889</v>
      </c>
      <c r="B88" s="14" t="s">
        <v>53</v>
      </c>
      <c r="C88" s="14" t="s">
        <v>2797</v>
      </c>
      <c r="D88" s="14" t="s">
        <v>248</v>
      </c>
      <c r="E88" s="69">
        <v>2</v>
      </c>
      <c r="F88" s="14" t="s">
        <v>102</v>
      </c>
      <c r="G88" s="30" t="s">
        <v>2798</v>
      </c>
      <c r="H88" s="14" t="s">
        <v>26</v>
      </c>
      <c r="I88" s="65"/>
      <c r="J88" s="17">
        <v>1776900</v>
      </c>
      <c r="K88" s="17">
        <v>1734500</v>
      </c>
      <c r="L88" s="17">
        <f>J88-K88</f>
      </c>
      <c r="M88" s="14" t="s">
        <v>2603</v>
      </c>
      <c r="N88" s="14" t="s">
        <v>2799</v>
      </c>
      <c r="O88" s="17">
        <v>4</v>
      </c>
      <c r="P88" s="65"/>
      <c r="Q88" s="65"/>
      <c r="R88" s="17">
        <v>1776900</v>
      </c>
      <c r="S88" s="17">
        <f>J88-P88-R88</f>
      </c>
      <c r="T88" s="12">
        <v>45894</v>
      </c>
      <c r="U88" s="14" t="s">
        <v>1718</v>
      </c>
      <c r="V88" s="14"/>
    </row>
    <row x14ac:dyDescent="0.25" r="89" customHeight="1" ht="18">
      <c r="A89" s="12">
        <v>45889</v>
      </c>
      <c r="B89" s="14" t="s">
        <v>111</v>
      </c>
      <c r="C89" s="14" t="s">
        <v>2745</v>
      </c>
      <c r="D89" s="14" t="s">
        <v>306</v>
      </c>
      <c r="E89" s="69">
        <v>17</v>
      </c>
      <c r="F89" s="14" t="s">
        <v>102</v>
      </c>
      <c r="G89" s="218" t="s">
        <v>2800</v>
      </c>
      <c r="H89" s="14" t="s">
        <v>26</v>
      </c>
      <c r="I89" s="65"/>
      <c r="J89" s="17">
        <v>579800</v>
      </c>
      <c r="K89" s="17">
        <v>519120</v>
      </c>
      <c r="L89" s="17">
        <f>J89-K89</f>
      </c>
      <c r="M89" s="14" t="s">
        <v>187</v>
      </c>
      <c r="N89" s="14" t="s">
        <v>2801</v>
      </c>
      <c r="O89" s="65"/>
      <c r="P89" s="65"/>
      <c r="Q89" s="65"/>
      <c r="R89" s="17">
        <v>579800</v>
      </c>
      <c r="S89" s="17">
        <f>J89-P89-R89</f>
      </c>
      <c r="T89" s="12">
        <v>45894</v>
      </c>
      <c r="U89" s="14" t="s">
        <v>1718</v>
      </c>
      <c r="V89" s="14"/>
    </row>
    <row x14ac:dyDescent="0.25" r="90" customHeight="1" ht="18">
      <c r="A90" s="12">
        <v>45889</v>
      </c>
      <c r="B90" s="14" t="s">
        <v>111</v>
      </c>
      <c r="C90" s="14" t="s">
        <v>2802</v>
      </c>
      <c r="D90" s="14" t="s">
        <v>306</v>
      </c>
      <c r="E90" s="69">
        <v>13</v>
      </c>
      <c r="F90" s="14" t="s">
        <v>102</v>
      </c>
      <c r="G90" s="14" t="s">
        <v>1738</v>
      </c>
      <c r="H90" s="14" t="s">
        <v>26</v>
      </c>
      <c r="I90" s="65"/>
      <c r="J90" s="17">
        <v>579800</v>
      </c>
      <c r="K90" s="17">
        <v>519120</v>
      </c>
      <c r="L90" s="17">
        <f>J90-K90</f>
      </c>
      <c r="M90" s="14" t="s">
        <v>187</v>
      </c>
      <c r="N90" s="14" t="s">
        <v>2803</v>
      </c>
      <c r="O90" s="65"/>
      <c r="P90" s="65"/>
      <c r="Q90" s="65"/>
      <c r="R90" s="17">
        <v>579800</v>
      </c>
      <c r="S90" s="17">
        <f>J90-P90-R90</f>
      </c>
      <c r="T90" s="12">
        <v>45894</v>
      </c>
      <c r="U90" s="14" t="s">
        <v>1718</v>
      </c>
      <c r="V90" s="14"/>
    </row>
    <row x14ac:dyDescent="0.25" r="91" customHeight="1" ht="18">
      <c r="A91" s="12">
        <v>45889</v>
      </c>
      <c r="B91" s="14" t="s">
        <v>111</v>
      </c>
      <c r="C91" s="14" t="s">
        <v>2804</v>
      </c>
      <c r="D91" s="14" t="s">
        <v>306</v>
      </c>
      <c r="E91" s="69">
        <v>16</v>
      </c>
      <c r="F91" s="14" t="s">
        <v>102</v>
      </c>
      <c r="G91" s="14" t="s">
        <v>2805</v>
      </c>
      <c r="H91" s="14" t="s">
        <v>26</v>
      </c>
      <c r="I91" s="65"/>
      <c r="J91" s="17">
        <v>579800</v>
      </c>
      <c r="K91" s="17">
        <v>519120</v>
      </c>
      <c r="L91" s="17">
        <f>J91-K91</f>
      </c>
      <c r="M91" s="14" t="s">
        <v>187</v>
      </c>
      <c r="N91" s="14" t="s">
        <v>2806</v>
      </c>
      <c r="O91" s="65"/>
      <c r="P91" s="65"/>
      <c r="Q91" s="65"/>
      <c r="R91" s="17">
        <v>579800</v>
      </c>
      <c r="S91" s="17">
        <f>J91-P91-R91</f>
      </c>
      <c r="T91" s="12">
        <v>45894</v>
      </c>
      <c r="U91" s="14" t="s">
        <v>1718</v>
      </c>
      <c r="V91" s="14"/>
    </row>
    <row x14ac:dyDescent="0.25" r="92" customHeight="1" ht="18">
      <c r="A92" s="12">
        <v>45889</v>
      </c>
      <c r="B92" s="14" t="s">
        <v>683</v>
      </c>
      <c r="C92" s="14" t="s">
        <v>2807</v>
      </c>
      <c r="D92" s="14" t="s">
        <v>2808</v>
      </c>
      <c r="E92" s="69">
        <v>1</v>
      </c>
      <c r="F92" s="14" t="s">
        <v>102</v>
      </c>
      <c r="G92" s="30" t="s">
        <v>2165</v>
      </c>
      <c r="H92" s="14" t="s">
        <v>26</v>
      </c>
      <c r="I92" s="65"/>
      <c r="J92" s="17">
        <v>497900</v>
      </c>
      <c r="K92" s="17">
        <v>430000</v>
      </c>
      <c r="L92" s="17">
        <f>J92-K92</f>
      </c>
      <c r="M92" s="14" t="s">
        <v>2603</v>
      </c>
      <c r="N92" s="14" t="s">
        <v>2809</v>
      </c>
      <c r="O92" s="17">
        <v>1</v>
      </c>
      <c r="P92" s="65"/>
      <c r="Q92" s="65"/>
      <c r="R92" s="17">
        <v>497900</v>
      </c>
      <c r="S92" s="17">
        <f>J92-P92-R92</f>
      </c>
      <c r="T92" s="12">
        <v>45894</v>
      </c>
      <c r="U92" s="14" t="s">
        <v>1718</v>
      </c>
      <c r="V92" s="14"/>
    </row>
    <row x14ac:dyDescent="0.25" r="93" customHeight="1" ht="18">
      <c r="A93" s="12">
        <v>45889</v>
      </c>
      <c r="B93" s="14" t="s">
        <v>53</v>
      </c>
      <c r="C93" s="14" t="s">
        <v>2745</v>
      </c>
      <c r="D93" s="14" t="s">
        <v>2810</v>
      </c>
      <c r="E93" s="69">
        <v>8</v>
      </c>
      <c r="F93" s="14" t="s">
        <v>102</v>
      </c>
      <c r="G93" s="14" t="s">
        <v>2811</v>
      </c>
      <c r="H93" s="14" t="s">
        <v>26</v>
      </c>
      <c r="I93" s="65"/>
      <c r="J93" s="17">
        <v>2133800</v>
      </c>
      <c r="K93" s="17">
        <v>2063100</v>
      </c>
      <c r="L93" s="17">
        <f>J93-K93</f>
      </c>
      <c r="M93" s="14" t="s">
        <v>2699</v>
      </c>
      <c r="N93" s="14" t="s">
        <v>2812</v>
      </c>
      <c r="O93" s="65"/>
      <c r="P93" s="65"/>
      <c r="Q93" s="65"/>
      <c r="R93" s="17">
        <v>2133800</v>
      </c>
      <c r="S93" s="17">
        <f>J93-P93-R93</f>
      </c>
      <c r="T93" s="12">
        <v>45894</v>
      </c>
      <c r="U93" s="14" t="s">
        <v>1718</v>
      </c>
      <c r="V93" s="14"/>
    </row>
    <row x14ac:dyDescent="0.25" r="94" customHeight="1" ht="18">
      <c r="A94" s="12">
        <v>45889</v>
      </c>
      <c r="B94" s="14" t="s">
        <v>46</v>
      </c>
      <c r="C94" s="14" t="s">
        <v>2813</v>
      </c>
      <c r="D94" s="14" t="s">
        <v>248</v>
      </c>
      <c r="E94" s="69">
        <v>4</v>
      </c>
      <c r="F94" s="14" t="s">
        <v>102</v>
      </c>
      <c r="G94" s="14" t="s">
        <v>186</v>
      </c>
      <c r="H94" s="14" t="s">
        <v>26</v>
      </c>
      <c r="I94" s="65"/>
      <c r="J94" s="17">
        <v>4440900</v>
      </c>
      <c r="K94" s="17">
        <v>3860900</v>
      </c>
      <c r="L94" s="17">
        <f>J94-K94</f>
      </c>
      <c r="M94" s="14" t="s">
        <v>50</v>
      </c>
      <c r="N94" s="14" t="s">
        <v>2814</v>
      </c>
      <c r="O94" s="17">
        <v>2</v>
      </c>
      <c r="P94" s="65"/>
      <c r="Q94" s="65"/>
      <c r="R94" s="17">
        <v>4440900</v>
      </c>
      <c r="S94" s="17">
        <f>J94-P94-R94</f>
      </c>
      <c r="T94" s="12">
        <v>45894</v>
      </c>
      <c r="U94" s="14" t="s">
        <v>1718</v>
      </c>
      <c r="V94" s="14"/>
    </row>
    <row x14ac:dyDescent="0.25" r="95" customHeight="1" ht="18">
      <c r="A95" s="12">
        <v>45889</v>
      </c>
      <c r="B95" s="14" t="s">
        <v>111</v>
      </c>
      <c r="C95" s="14" t="s">
        <v>2745</v>
      </c>
      <c r="D95" s="14" t="s">
        <v>2815</v>
      </c>
      <c r="E95" s="69">
        <v>11</v>
      </c>
      <c r="F95" s="14" t="s">
        <v>102</v>
      </c>
      <c r="G95" s="14" t="s">
        <v>2816</v>
      </c>
      <c r="H95" s="14" t="s">
        <v>26</v>
      </c>
      <c r="I95" s="65"/>
      <c r="J95" s="17">
        <v>505700</v>
      </c>
      <c r="K95" s="17">
        <v>451800</v>
      </c>
      <c r="L95" s="17">
        <f>J95-K95</f>
      </c>
      <c r="M95" s="14" t="s">
        <v>50</v>
      </c>
      <c r="N95" s="14" t="s">
        <v>2817</v>
      </c>
      <c r="O95" s="17">
        <v>4</v>
      </c>
      <c r="P95" s="65"/>
      <c r="Q95" s="65"/>
      <c r="R95" s="17">
        <v>505700</v>
      </c>
      <c r="S95" s="17">
        <f>J95-P95-R95</f>
      </c>
      <c r="T95" s="12">
        <v>45894</v>
      </c>
      <c r="U95" s="14" t="s">
        <v>1718</v>
      </c>
      <c r="V95" s="14"/>
    </row>
    <row x14ac:dyDescent="0.25" r="96" customHeight="1" ht="18">
      <c r="A96" s="12">
        <v>45889</v>
      </c>
      <c r="B96" s="14" t="s">
        <v>53</v>
      </c>
      <c r="C96" s="14" t="s">
        <v>2818</v>
      </c>
      <c r="D96" s="14" t="s">
        <v>248</v>
      </c>
      <c r="E96" s="69">
        <v>6</v>
      </c>
      <c r="F96" s="14" t="s">
        <v>102</v>
      </c>
      <c r="G96" s="14" t="s">
        <v>2819</v>
      </c>
      <c r="H96" s="14" t="s">
        <v>26</v>
      </c>
      <c r="I96" s="65"/>
      <c r="J96" s="17">
        <v>3047700</v>
      </c>
      <c r="K96" s="17">
        <v>2936100</v>
      </c>
      <c r="L96" s="17">
        <f>J96-K96</f>
      </c>
      <c r="M96" s="14" t="s">
        <v>137</v>
      </c>
      <c r="N96" s="14" t="s">
        <v>2820</v>
      </c>
      <c r="O96" s="65"/>
      <c r="P96" s="65"/>
      <c r="Q96" s="65"/>
      <c r="R96" s="17">
        <v>3047700</v>
      </c>
      <c r="S96" s="17">
        <f>J96-P96-R96</f>
      </c>
      <c r="T96" s="12">
        <v>45894</v>
      </c>
      <c r="U96" s="14" t="s">
        <v>1718</v>
      </c>
      <c r="V96" s="14"/>
    </row>
    <row x14ac:dyDescent="0.25" r="97" customHeight="1" ht="18">
      <c r="A97" s="12">
        <v>45889</v>
      </c>
      <c r="B97" s="14" t="s">
        <v>683</v>
      </c>
      <c r="C97" s="14" t="s">
        <v>2807</v>
      </c>
      <c r="D97" s="14" t="s">
        <v>2808</v>
      </c>
      <c r="E97" s="69">
        <v>3</v>
      </c>
      <c r="F97" s="14" t="s">
        <v>102</v>
      </c>
      <c r="G97" s="30" t="s">
        <v>2756</v>
      </c>
      <c r="H97" s="14" t="s">
        <v>26</v>
      </c>
      <c r="I97" s="65"/>
      <c r="J97" s="17">
        <v>497900</v>
      </c>
      <c r="K97" s="17">
        <v>430000</v>
      </c>
      <c r="L97" s="17">
        <f>J97-K97</f>
      </c>
      <c r="M97" s="14" t="s">
        <v>2603</v>
      </c>
      <c r="N97" s="14" t="s">
        <v>2821</v>
      </c>
      <c r="O97" s="17">
        <v>1</v>
      </c>
      <c r="P97" s="65"/>
      <c r="Q97" s="65"/>
      <c r="R97" s="17">
        <v>497900</v>
      </c>
      <c r="S97" s="17">
        <f>J97-P97-R97</f>
      </c>
      <c r="T97" s="12">
        <v>45894</v>
      </c>
      <c r="U97" s="14" t="s">
        <v>1718</v>
      </c>
      <c r="V97" s="14"/>
    </row>
    <row x14ac:dyDescent="0.25" r="98" customHeight="1" ht="18">
      <c r="A98" s="12">
        <v>45889</v>
      </c>
      <c r="B98" s="14" t="s">
        <v>53</v>
      </c>
      <c r="C98" s="14" t="s">
        <v>2822</v>
      </c>
      <c r="D98" s="14" t="s">
        <v>248</v>
      </c>
      <c r="E98" s="69">
        <v>15</v>
      </c>
      <c r="F98" s="14" t="s">
        <v>102</v>
      </c>
      <c r="G98" s="14" t="s">
        <v>2823</v>
      </c>
      <c r="H98" s="14" t="s">
        <v>26</v>
      </c>
      <c r="I98" s="65"/>
      <c r="J98" s="17">
        <v>2466800</v>
      </c>
      <c r="K98" s="17">
        <v>2386700</v>
      </c>
      <c r="L98" s="17">
        <f>J98-K98</f>
      </c>
      <c r="M98" s="14" t="s">
        <v>187</v>
      </c>
      <c r="N98" s="14" t="s">
        <v>2824</v>
      </c>
      <c r="O98" s="65"/>
      <c r="P98" s="65"/>
      <c r="Q98" s="65"/>
      <c r="R98" s="17">
        <v>2466800</v>
      </c>
      <c r="S98" s="17">
        <f>J98-P98-R98</f>
      </c>
      <c r="T98" s="12">
        <v>45894</v>
      </c>
      <c r="U98" s="14" t="s">
        <v>1718</v>
      </c>
      <c r="V98" s="14"/>
    </row>
    <row x14ac:dyDescent="0.25" r="99" customHeight="1" ht="18">
      <c r="A99" s="12">
        <v>45889</v>
      </c>
      <c r="B99" s="14" t="s">
        <v>53</v>
      </c>
      <c r="C99" s="14" t="s">
        <v>2748</v>
      </c>
      <c r="D99" s="14" t="s">
        <v>2749</v>
      </c>
      <c r="E99" s="217"/>
      <c r="F99" s="14" t="s">
        <v>2825</v>
      </c>
      <c r="G99" s="14" t="s">
        <v>2826</v>
      </c>
      <c r="H99" s="14" t="s">
        <v>76</v>
      </c>
      <c r="I99" s="65"/>
      <c r="J99" s="69">
        <v>380800</v>
      </c>
      <c r="K99" s="17">
        <v>365700</v>
      </c>
      <c r="L99" s="17">
        <f>J99-K99</f>
      </c>
      <c r="M99" s="14" t="s">
        <v>137</v>
      </c>
      <c r="N99" s="14" t="s">
        <v>2827</v>
      </c>
      <c r="O99" s="65"/>
      <c r="P99" s="17">
        <v>99300</v>
      </c>
      <c r="Q99" s="65"/>
      <c r="R99" s="17">
        <v>281500</v>
      </c>
      <c r="S99" s="17">
        <f>J99-P99-R99</f>
      </c>
      <c r="T99" s="175" t="s">
        <v>2828</v>
      </c>
      <c r="U99" s="14" t="s">
        <v>1718</v>
      </c>
      <c r="V99" s="14"/>
    </row>
    <row x14ac:dyDescent="0.25" r="100" customHeight="1" ht="18">
      <c r="A100" s="12">
        <v>45889</v>
      </c>
      <c r="B100" s="14" t="s">
        <v>2829</v>
      </c>
      <c r="C100" s="14" t="s">
        <v>2813</v>
      </c>
      <c r="D100" s="14" t="s">
        <v>2830</v>
      </c>
      <c r="E100" s="69">
        <v>5</v>
      </c>
      <c r="F100" s="80" t="s">
        <v>102</v>
      </c>
      <c r="G100" s="14" t="s">
        <v>2831</v>
      </c>
      <c r="H100" s="14" t="s">
        <v>26</v>
      </c>
      <c r="I100" s="65"/>
      <c r="J100" s="17">
        <v>315700</v>
      </c>
      <c r="K100" s="17">
        <v>249200</v>
      </c>
      <c r="L100" s="17">
        <f>J100-K100</f>
      </c>
      <c r="M100" s="14" t="s">
        <v>2832</v>
      </c>
      <c r="N100" s="14" t="s">
        <v>2833</v>
      </c>
      <c r="O100" s="17">
        <v>2</v>
      </c>
      <c r="P100" s="65"/>
      <c r="Q100" s="65"/>
      <c r="R100" s="17">
        <v>315700</v>
      </c>
      <c r="S100" s="17">
        <f>J100-P100-R100</f>
      </c>
      <c r="T100" s="12">
        <v>45894</v>
      </c>
      <c r="U100" s="14" t="s">
        <v>1718</v>
      </c>
      <c r="V100" s="14"/>
    </row>
    <row x14ac:dyDescent="0.25" r="101" customHeight="1" ht="18">
      <c r="A101" s="12">
        <v>45889</v>
      </c>
      <c r="B101" s="14" t="s">
        <v>475</v>
      </c>
      <c r="C101" s="14" t="s">
        <v>2781</v>
      </c>
      <c r="D101" s="14" t="s">
        <v>477</v>
      </c>
      <c r="E101" s="217"/>
      <c r="F101" s="14" t="s">
        <v>2782</v>
      </c>
      <c r="G101" s="14" t="s">
        <v>2834</v>
      </c>
      <c r="H101" s="14" t="s">
        <v>26</v>
      </c>
      <c r="I101" s="65"/>
      <c r="J101" s="17">
        <v>401920</v>
      </c>
      <c r="K101" s="17">
        <v>288000</v>
      </c>
      <c r="L101" s="17">
        <f>J101-K101</f>
      </c>
      <c r="M101" s="14" t="s">
        <v>475</v>
      </c>
      <c r="N101" s="14" t="s">
        <v>2835</v>
      </c>
      <c r="O101" s="65"/>
      <c r="P101" s="65"/>
      <c r="Q101" s="65"/>
      <c r="R101" s="17">
        <v>401920</v>
      </c>
      <c r="S101" s="17">
        <f>J101-P101-R101</f>
      </c>
      <c r="T101" s="12">
        <v>45895</v>
      </c>
      <c r="U101" s="14" t="s">
        <v>2785</v>
      </c>
      <c r="V101" s="14"/>
    </row>
    <row x14ac:dyDescent="0.25" r="102" customHeight="1" ht="18">
      <c r="A102" s="12">
        <v>45889</v>
      </c>
      <c r="B102" s="14" t="s">
        <v>46</v>
      </c>
      <c r="C102" s="14" t="s">
        <v>2836</v>
      </c>
      <c r="D102" s="14" t="s">
        <v>313</v>
      </c>
      <c r="E102" s="217"/>
      <c r="F102" s="14" t="s">
        <v>2837</v>
      </c>
      <c r="G102" s="14" t="s">
        <v>2838</v>
      </c>
      <c r="H102" s="14" t="s">
        <v>76</v>
      </c>
      <c r="I102" s="65"/>
      <c r="J102" s="17">
        <v>1055800</v>
      </c>
      <c r="K102" s="17">
        <v>1015420</v>
      </c>
      <c r="L102" s="17">
        <f>J102-K102</f>
      </c>
      <c r="M102" s="14" t="s">
        <v>187</v>
      </c>
      <c r="N102" s="14" t="s">
        <v>2839</v>
      </c>
      <c r="O102" s="65"/>
      <c r="P102" s="65"/>
      <c r="Q102" s="65"/>
      <c r="R102" s="17">
        <v>1055800</v>
      </c>
      <c r="S102" s="17">
        <f>J102-P102-R102</f>
      </c>
      <c r="T102" s="12">
        <v>45889</v>
      </c>
      <c r="U102" s="14" t="s">
        <v>1718</v>
      </c>
      <c r="V102" s="14"/>
    </row>
    <row x14ac:dyDescent="0.25" r="103" customHeight="1" ht="18">
      <c r="A103" s="12">
        <v>45889</v>
      </c>
      <c r="B103" s="14" t="s">
        <v>66</v>
      </c>
      <c r="C103" s="14" t="s">
        <v>2745</v>
      </c>
      <c r="D103" s="14" t="s">
        <v>2790</v>
      </c>
      <c r="E103" s="69">
        <v>14</v>
      </c>
      <c r="F103" s="14" t="s">
        <v>102</v>
      </c>
      <c r="G103" s="14" t="s">
        <v>2840</v>
      </c>
      <c r="H103" s="14" t="s">
        <v>26</v>
      </c>
      <c r="I103" s="65"/>
      <c r="J103" s="17">
        <v>1242800</v>
      </c>
      <c r="K103" s="17">
        <v>1171500</v>
      </c>
      <c r="L103" s="17">
        <f>J103-K103</f>
      </c>
      <c r="M103" s="14" t="s">
        <v>187</v>
      </c>
      <c r="N103" s="14" t="s">
        <v>2841</v>
      </c>
      <c r="O103" s="65"/>
      <c r="P103" s="65"/>
      <c r="Q103" s="65"/>
      <c r="R103" s="17">
        <v>1242800</v>
      </c>
      <c r="S103" s="17">
        <f>J103-P103-R103</f>
      </c>
      <c r="T103" s="12">
        <v>45894</v>
      </c>
      <c r="U103" s="14" t="s">
        <v>1718</v>
      </c>
      <c r="V103" s="14"/>
    </row>
    <row x14ac:dyDescent="0.25" r="104" customHeight="1" ht="18">
      <c r="A104" s="12">
        <v>45889</v>
      </c>
      <c r="B104" s="14" t="s">
        <v>475</v>
      </c>
      <c r="C104" s="14" t="s">
        <v>2842</v>
      </c>
      <c r="D104" s="14" t="s">
        <v>508</v>
      </c>
      <c r="E104" s="217"/>
      <c r="F104" s="14" t="s">
        <v>2782</v>
      </c>
      <c r="G104" s="14" t="s">
        <v>2843</v>
      </c>
      <c r="H104" s="14" t="s">
        <v>26</v>
      </c>
      <c r="I104" s="65"/>
      <c r="J104" s="17">
        <v>250920</v>
      </c>
      <c r="K104" s="17">
        <v>176000</v>
      </c>
      <c r="L104" s="17">
        <f>J104-K104</f>
      </c>
      <c r="M104" s="14" t="s">
        <v>475</v>
      </c>
      <c r="N104" s="14" t="s">
        <v>2844</v>
      </c>
      <c r="O104" s="65"/>
      <c r="P104" s="65"/>
      <c r="Q104" s="65"/>
      <c r="R104" s="17">
        <v>250920</v>
      </c>
      <c r="S104" s="17">
        <f>J104-P104-R104</f>
      </c>
      <c r="T104" s="12">
        <v>45895</v>
      </c>
      <c r="U104" s="14" t="s">
        <v>2785</v>
      </c>
      <c r="V104" s="14"/>
    </row>
    <row x14ac:dyDescent="0.25" r="105" customHeight="1" ht="18">
      <c r="A105" s="12">
        <v>45889</v>
      </c>
      <c r="B105" s="14" t="s">
        <v>22</v>
      </c>
      <c r="C105" s="14" t="s">
        <v>2845</v>
      </c>
      <c r="D105" s="14" t="s">
        <v>485</v>
      </c>
      <c r="E105" s="217"/>
      <c r="F105" s="14" t="s">
        <v>2782</v>
      </c>
      <c r="G105" s="14" t="s">
        <v>2846</v>
      </c>
      <c r="H105" s="14" t="s">
        <v>26</v>
      </c>
      <c r="I105" s="65"/>
      <c r="J105" s="17">
        <v>250920</v>
      </c>
      <c r="K105" s="17">
        <v>165300</v>
      </c>
      <c r="L105" s="17">
        <f>J105-K105</f>
      </c>
      <c r="M105" s="14" t="s">
        <v>22</v>
      </c>
      <c r="N105" s="14" t="s">
        <v>2847</v>
      </c>
      <c r="O105" s="65"/>
      <c r="P105" s="65"/>
      <c r="Q105" s="65"/>
      <c r="R105" s="17">
        <v>250920</v>
      </c>
      <c r="S105" s="17">
        <f>J105-P105-R105</f>
      </c>
      <c r="T105" s="12">
        <v>45895</v>
      </c>
      <c r="U105" s="14" t="s">
        <v>2785</v>
      </c>
      <c r="V105" s="14"/>
    </row>
    <row x14ac:dyDescent="0.25" r="106" customHeight="1" ht="18">
      <c r="A106" s="12">
        <v>45890</v>
      </c>
      <c r="B106" s="14" t="s">
        <v>46</v>
      </c>
      <c r="C106" s="14" t="s">
        <v>2848</v>
      </c>
      <c r="D106" s="14" t="s">
        <v>1786</v>
      </c>
      <c r="E106" s="217"/>
      <c r="F106" s="14" t="s">
        <v>174</v>
      </c>
      <c r="G106" s="14" t="s">
        <v>2849</v>
      </c>
      <c r="H106" s="14" t="s">
        <v>26</v>
      </c>
      <c r="I106" s="65"/>
      <c r="J106" s="17">
        <v>296800</v>
      </c>
      <c r="K106" s="17">
        <v>0</v>
      </c>
      <c r="L106" s="17">
        <f>J106-K106</f>
      </c>
      <c r="M106" s="14" t="s">
        <v>50</v>
      </c>
      <c r="N106" s="14" t="s">
        <v>2850</v>
      </c>
      <c r="O106" s="65" t="s">
        <v>251</v>
      </c>
      <c r="P106" s="65"/>
      <c r="Q106" s="65"/>
      <c r="R106" s="17">
        <v>296800</v>
      </c>
      <c r="S106" s="17">
        <f>J106-P106-R106</f>
      </c>
      <c r="T106" s="12">
        <v>45896</v>
      </c>
      <c r="U106" s="14" t="s">
        <v>1718</v>
      </c>
      <c r="V106" s="14"/>
    </row>
    <row x14ac:dyDescent="0.25" r="107" customHeight="1" ht="18">
      <c r="A107" s="12">
        <v>45890</v>
      </c>
      <c r="B107" s="14" t="s">
        <v>72</v>
      </c>
      <c r="C107" s="14" t="s">
        <v>2851</v>
      </c>
      <c r="D107" s="14" t="s">
        <v>2852</v>
      </c>
      <c r="E107" s="217"/>
      <c r="F107" s="14" t="s">
        <v>1854</v>
      </c>
      <c r="G107" s="14" t="s">
        <v>1280</v>
      </c>
      <c r="H107" s="14" t="s">
        <v>26</v>
      </c>
      <c r="I107" s="65"/>
      <c r="J107" s="17">
        <v>685800</v>
      </c>
      <c r="K107" s="17">
        <v>625320</v>
      </c>
      <c r="L107" s="17">
        <f>J107-K107</f>
      </c>
      <c r="M107" s="14" t="s">
        <v>154</v>
      </c>
      <c r="N107" s="14" t="s">
        <v>2853</v>
      </c>
      <c r="O107" s="65"/>
      <c r="P107" s="65"/>
      <c r="Q107" s="65"/>
      <c r="R107" s="17">
        <v>686000</v>
      </c>
      <c r="S107" s="17">
        <f>J107-P107-R107</f>
      </c>
      <c r="T107" s="12">
        <v>45909</v>
      </c>
      <c r="U107" s="14" t="s">
        <v>1718</v>
      </c>
      <c r="V107" s="14"/>
    </row>
    <row x14ac:dyDescent="0.25" r="108" customHeight="1" ht="18">
      <c r="A108" s="12">
        <v>45890</v>
      </c>
      <c r="B108" s="14" t="s">
        <v>897</v>
      </c>
      <c r="C108" s="14" t="s">
        <v>2854</v>
      </c>
      <c r="D108" s="14" t="s">
        <v>1873</v>
      </c>
      <c r="E108" s="217"/>
      <c r="F108" s="14" t="s">
        <v>2855</v>
      </c>
      <c r="G108" s="14" t="s">
        <v>2856</v>
      </c>
      <c r="H108" s="14" t="s">
        <v>26</v>
      </c>
      <c r="I108" s="17">
        <v>63900</v>
      </c>
      <c r="J108" s="17">
        <v>255920</v>
      </c>
      <c r="K108" s="17">
        <v>244720</v>
      </c>
      <c r="L108" s="17">
        <f>J108-K108</f>
      </c>
      <c r="M108" s="14" t="s">
        <v>50</v>
      </c>
      <c r="N108" s="14" t="s">
        <v>2857</v>
      </c>
      <c r="O108" s="17">
        <v>2</v>
      </c>
      <c r="P108" s="65"/>
      <c r="Q108" s="65"/>
      <c r="R108" s="17">
        <v>255920</v>
      </c>
      <c r="S108" s="17">
        <f>J108-P108-R108</f>
      </c>
      <c r="T108" s="12">
        <v>45910</v>
      </c>
      <c r="U108" s="14" t="s">
        <v>2216</v>
      </c>
      <c r="V108" s="14" t="s">
        <v>2858</v>
      </c>
    </row>
    <row x14ac:dyDescent="0.25" r="109" customHeight="1" ht="18">
      <c r="A109" s="12">
        <v>45891</v>
      </c>
      <c r="B109" s="14" t="s">
        <v>106</v>
      </c>
      <c r="C109" s="14" t="s">
        <v>2859</v>
      </c>
      <c r="D109" s="14" t="s">
        <v>2860</v>
      </c>
      <c r="E109" s="69">
        <v>20</v>
      </c>
      <c r="F109" s="14" t="s">
        <v>102</v>
      </c>
      <c r="G109" s="14" t="s">
        <v>2861</v>
      </c>
      <c r="H109" s="14" t="s">
        <v>26</v>
      </c>
      <c r="I109" s="65"/>
      <c r="J109" s="17">
        <v>2563900</v>
      </c>
      <c r="K109" s="17">
        <v>2478900</v>
      </c>
      <c r="L109" s="17">
        <f>J109-K109</f>
      </c>
      <c r="M109" s="14" t="s">
        <v>2699</v>
      </c>
      <c r="N109" s="14" t="s">
        <v>2862</v>
      </c>
      <c r="O109" s="65"/>
      <c r="P109" s="65"/>
      <c r="Q109" s="65"/>
      <c r="R109" s="17">
        <v>2563900</v>
      </c>
      <c r="S109" s="17">
        <f>J109-P109-R109</f>
      </c>
      <c r="T109" s="12">
        <v>45894</v>
      </c>
      <c r="U109" s="14" t="s">
        <v>1718</v>
      </c>
      <c r="V109" s="14"/>
    </row>
    <row x14ac:dyDescent="0.25" r="110" customHeight="1" ht="18">
      <c r="A110" s="12">
        <v>45891</v>
      </c>
      <c r="B110" s="14" t="s">
        <v>111</v>
      </c>
      <c r="C110" s="14" t="s">
        <v>2863</v>
      </c>
      <c r="D110" s="14" t="s">
        <v>2864</v>
      </c>
      <c r="E110" s="217"/>
      <c r="F110" s="14" t="s">
        <v>24</v>
      </c>
      <c r="G110" s="14" t="s">
        <v>2865</v>
      </c>
      <c r="H110" s="14" t="s">
        <v>26</v>
      </c>
      <c r="I110" s="65"/>
      <c r="J110" s="17">
        <v>1530700</v>
      </c>
      <c r="K110" s="17">
        <v>1429005</v>
      </c>
      <c r="L110" s="17">
        <f>J110-K110</f>
      </c>
      <c r="M110" s="14" t="s">
        <v>2603</v>
      </c>
      <c r="N110" s="14" t="s">
        <v>2866</v>
      </c>
      <c r="O110" s="17">
        <v>2</v>
      </c>
      <c r="P110" s="65"/>
      <c r="Q110" s="65"/>
      <c r="R110" s="65"/>
      <c r="S110" s="17">
        <f>J110-P110-R110</f>
      </c>
      <c r="T110" s="12"/>
      <c r="U110" s="14"/>
      <c r="V110" s="14"/>
    </row>
    <row x14ac:dyDescent="0.25" r="111" customHeight="1" ht="18">
      <c r="A111" s="12">
        <v>45891</v>
      </c>
      <c r="B111" s="14" t="s">
        <v>53</v>
      </c>
      <c r="C111" s="14" t="s">
        <v>778</v>
      </c>
      <c r="D111" s="14" t="s">
        <v>232</v>
      </c>
      <c r="E111" s="217"/>
      <c r="F111" s="14" t="s">
        <v>2637</v>
      </c>
      <c r="G111" s="14" t="s">
        <v>2867</v>
      </c>
      <c r="H111" s="14" t="s">
        <v>26</v>
      </c>
      <c r="I111" s="17">
        <v>1577400</v>
      </c>
      <c r="J111" s="17">
        <v>2150800</v>
      </c>
      <c r="K111" s="17">
        <v>2020520</v>
      </c>
      <c r="L111" s="17">
        <f>J111-K111</f>
      </c>
      <c r="M111" s="14" t="s">
        <v>50</v>
      </c>
      <c r="N111" s="14" t="s">
        <v>2868</v>
      </c>
      <c r="O111" s="17">
        <v>4</v>
      </c>
      <c r="P111" s="65"/>
      <c r="Q111" s="65"/>
      <c r="R111" s="17">
        <v>2150800</v>
      </c>
      <c r="S111" s="17">
        <f>J111-P111-R111</f>
      </c>
      <c r="T111" s="12">
        <v>45896</v>
      </c>
      <c r="U111" s="14" t="s">
        <v>1718</v>
      </c>
      <c r="V111" s="14"/>
    </row>
    <row x14ac:dyDescent="0.25" r="112" customHeight="1" ht="18">
      <c r="A112" s="12">
        <v>45891</v>
      </c>
      <c r="B112" s="14" t="s">
        <v>46</v>
      </c>
      <c r="C112" s="14" t="s">
        <v>2869</v>
      </c>
      <c r="D112" s="14" t="s">
        <v>2870</v>
      </c>
      <c r="E112" s="217"/>
      <c r="F112" s="14" t="s">
        <v>2871</v>
      </c>
      <c r="G112" s="14" t="s">
        <v>2872</v>
      </c>
      <c r="H112" s="14" t="s">
        <v>2873</v>
      </c>
      <c r="I112" s="65"/>
      <c r="J112" s="17">
        <v>965000</v>
      </c>
      <c r="K112" s="17">
        <v>944000</v>
      </c>
      <c r="L112" s="17">
        <f>J112-K112</f>
      </c>
      <c r="M112" s="14" t="s">
        <v>43</v>
      </c>
      <c r="N112" s="14" t="s">
        <v>2874</v>
      </c>
      <c r="O112" s="65"/>
      <c r="P112" s="65"/>
      <c r="Q112" s="65"/>
      <c r="R112" s="17">
        <v>965000</v>
      </c>
      <c r="S112" s="17">
        <f>J112-P112-R112</f>
      </c>
      <c r="T112" s="12">
        <v>45896</v>
      </c>
      <c r="U112" s="14" t="s">
        <v>1718</v>
      </c>
      <c r="V112" s="14"/>
    </row>
    <row x14ac:dyDescent="0.25" r="113" customHeight="1" ht="18">
      <c r="A113" s="12">
        <v>45891</v>
      </c>
      <c r="B113" s="14" t="s">
        <v>46</v>
      </c>
      <c r="C113" s="14" t="s">
        <v>2869</v>
      </c>
      <c r="D113" s="14" t="s">
        <v>2870</v>
      </c>
      <c r="E113" s="217"/>
      <c r="F113" s="14" t="s">
        <v>2871</v>
      </c>
      <c r="G113" s="14" t="s">
        <v>2875</v>
      </c>
      <c r="H113" s="14" t="s">
        <v>2873</v>
      </c>
      <c r="I113" s="65"/>
      <c r="J113" s="17">
        <v>965000</v>
      </c>
      <c r="K113" s="17">
        <v>958520</v>
      </c>
      <c r="L113" s="17">
        <f>J113-K113</f>
      </c>
      <c r="M113" s="14" t="s">
        <v>2603</v>
      </c>
      <c r="N113" s="14" t="s">
        <v>2876</v>
      </c>
      <c r="O113" s="17">
        <v>2</v>
      </c>
      <c r="P113" s="17">
        <v>700000</v>
      </c>
      <c r="Q113" s="17">
        <v>165000</v>
      </c>
      <c r="R113" s="65"/>
      <c r="S113" s="17">
        <f>J113-P113-R113</f>
      </c>
      <c r="T113" s="175" t="s">
        <v>2877</v>
      </c>
      <c r="U113" s="14" t="s">
        <v>1718</v>
      </c>
      <c r="V113" s="14"/>
    </row>
    <row x14ac:dyDescent="0.25" r="114" customHeight="1" ht="18">
      <c r="A114" s="55">
        <v>45891</v>
      </c>
      <c r="B114" s="56" t="s">
        <v>46</v>
      </c>
      <c r="C114" s="56" t="s">
        <v>778</v>
      </c>
      <c r="D114" s="56" t="s">
        <v>232</v>
      </c>
      <c r="E114" s="180"/>
      <c r="F114" s="56" t="s">
        <v>2637</v>
      </c>
      <c r="G114" s="56" t="s">
        <v>2878</v>
      </c>
      <c r="H114" s="56" t="s">
        <v>26</v>
      </c>
      <c r="I114" s="57">
        <v>157800</v>
      </c>
      <c r="J114" s="57"/>
      <c r="K114" s="57">
        <v>291600</v>
      </c>
      <c r="L114" s="57"/>
      <c r="M114" s="56" t="s">
        <v>50</v>
      </c>
      <c r="N114" s="56" t="s">
        <v>2879</v>
      </c>
      <c r="O114" s="180" t="s">
        <v>2880</v>
      </c>
      <c r="P114" s="180"/>
      <c r="Q114" s="180"/>
      <c r="R114" s="57"/>
      <c r="S114" s="57">
        <f>J114-P114-R114</f>
      </c>
      <c r="T114" s="55">
        <v>45896</v>
      </c>
      <c r="U114" s="56" t="s">
        <v>1718</v>
      </c>
      <c r="V114" s="56"/>
    </row>
    <row x14ac:dyDescent="0.25" r="115" customHeight="1" ht="18">
      <c r="A115" s="12">
        <v>45891</v>
      </c>
      <c r="B115" s="14" t="s">
        <v>46</v>
      </c>
      <c r="C115" s="14" t="s">
        <v>2881</v>
      </c>
      <c r="D115" s="14" t="s">
        <v>2882</v>
      </c>
      <c r="E115" s="217"/>
      <c r="F115" s="14" t="s">
        <v>2229</v>
      </c>
      <c r="G115" s="14" t="s">
        <v>2230</v>
      </c>
      <c r="H115" s="14" t="s">
        <v>26</v>
      </c>
      <c r="I115" s="65"/>
      <c r="J115" s="17">
        <v>129600</v>
      </c>
      <c r="K115" s="17">
        <v>129600</v>
      </c>
      <c r="L115" s="17">
        <f>J115-K115</f>
      </c>
      <c r="M115" s="14" t="s">
        <v>50</v>
      </c>
      <c r="N115" s="14" t="s">
        <v>2883</v>
      </c>
      <c r="O115" s="65" t="s">
        <v>2778</v>
      </c>
      <c r="P115" s="65"/>
      <c r="Q115" s="65"/>
      <c r="R115" s="17">
        <v>129600</v>
      </c>
      <c r="S115" s="17">
        <f>J115-P115-R115</f>
      </c>
      <c r="T115" s="12">
        <v>45916</v>
      </c>
      <c r="U115" s="14" t="s">
        <v>1718</v>
      </c>
      <c r="V115" s="14"/>
    </row>
    <row x14ac:dyDescent="0.25" r="116" customHeight="1" ht="18">
      <c r="A116" s="12">
        <v>45891</v>
      </c>
      <c r="B116" s="14" t="s">
        <v>46</v>
      </c>
      <c r="C116" s="14" t="s">
        <v>2884</v>
      </c>
      <c r="D116" s="14" t="s">
        <v>375</v>
      </c>
      <c r="E116" s="217"/>
      <c r="F116" s="14" t="s">
        <v>320</v>
      </c>
      <c r="G116" s="14" t="s">
        <v>2885</v>
      </c>
      <c r="H116" s="14" t="s">
        <v>26</v>
      </c>
      <c r="I116" s="17">
        <v>1203100</v>
      </c>
      <c r="J116" s="29">
        <v>1789920</v>
      </c>
      <c r="K116" s="17">
        <v>1511320</v>
      </c>
      <c r="L116" s="17">
        <f>J116-K116</f>
      </c>
      <c r="M116" s="14" t="s">
        <v>50</v>
      </c>
      <c r="N116" s="14" t="s">
        <v>2886</v>
      </c>
      <c r="O116" s="17">
        <v>2</v>
      </c>
      <c r="P116" s="65"/>
      <c r="Q116" s="65"/>
      <c r="R116" s="17">
        <v>1789920</v>
      </c>
      <c r="S116" s="17">
        <f>J116-P116-R116</f>
      </c>
      <c r="T116" s="12">
        <v>45904</v>
      </c>
      <c r="U116" s="14" t="s">
        <v>1718</v>
      </c>
      <c r="V116" s="14"/>
    </row>
    <row x14ac:dyDescent="0.25" r="117" customHeight="1" ht="29.399999999999995">
      <c r="A117" s="12">
        <v>45891</v>
      </c>
      <c r="B117" s="14" t="s">
        <v>106</v>
      </c>
      <c r="C117" s="14" t="s">
        <v>2748</v>
      </c>
      <c r="D117" s="14" t="s">
        <v>313</v>
      </c>
      <c r="E117" s="217"/>
      <c r="F117" s="14" t="s">
        <v>2887</v>
      </c>
      <c r="G117" s="14" t="s">
        <v>2888</v>
      </c>
      <c r="H117" s="14" t="s">
        <v>2889</v>
      </c>
      <c r="I117" s="17">
        <v>405800</v>
      </c>
      <c r="J117" s="29">
        <v>643920</v>
      </c>
      <c r="K117" s="17">
        <v>608820</v>
      </c>
      <c r="L117" s="17">
        <f>J117-K117</f>
      </c>
      <c r="M117" s="14" t="s">
        <v>50</v>
      </c>
      <c r="N117" s="14" t="s">
        <v>2890</v>
      </c>
      <c r="O117" s="17">
        <v>2</v>
      </c>
      <c r="P117" s="65"/>
      <c r="Q117" s="65"/>
      <c r="R117" s="17">
        <v>643920</v>
      </c>
      <c r="S117" s="17">
        <f>J117-P117-R117</f>
      </c>
      <c r="T117" s="12">
        <v>45891</v>
      </c>
      <c r="U117" s="14" t="s">
        <v>1718</v>
      </c>
      <c r="V117" s="14"/>
    </row>
    <row x14ac:dyDescent="0.25" r="118" customHeight="1" ht="18">
      <c r="A118" s="12">
        <v>45893</v>
      </c>
      <c r="B118" s="14" t="s">
        <v>106</v>
      </c>
      <c r="C118" s="14" t="s">
        <v>2891</v>
      </c>
      <c r="D118" s="14" t="s">
        <v>2892</v>
      </c>
      <c r="E118" s="217"/>
      <c r="F118" s="14" t="s">
        <v>2893</v>
      </c>
      <c r="G118" s="14" t="s">
        <v>2894</v>
      </c>
      <c r="H118" s="14" t="s">
        <v>76</v>
      </c>
      <c r="I118" s="65"/>
      <c r="J118" s="17">
        <v>985000</v>
      </c>
      <c r="K118" s="17">
        <v>949020</v>
      </c>
      <c r="L118" s="17">
        <f>J118-K118</f>
      </c>
      <c r="M118" s="14" t="s">
        <v>187</v>
      </c>
      <c r="N118" s="14" t="s">
        <v>2895</v>
      </c>
      <c r="O118" s="65"/>
      <c r="P118" s="65"/>
      <c r="Q118" s="65"/>
      <c r="R118" s="17">
        <v>985000</v>
      </c>
      <c r="S118" s="17">
        <f>J118-P118-R118</f>
      </c>
      <c r="T118" s="12">
        <v>45894</v>
      </c>
      <c r="U118" s="14" t="s">
        <v>1718</v>
      </c>
      <c r="V118" s="14"/>
    </row>
    <row x14ac:dyDescent="0.25" r="119" customHeight="1" ht="18">
      <c r="A119" s="12">
        <v>45894</v>
      </c>
      <c r="B119" s="14" t="s">
        <v>82</v>
      </c>
      <c r="C119" s="14" t="s">
        <v>2896</v>
      </c>
      <c r="D119" s="14" t="s">
        <v>83</v>
      </c>
      <c r="E119" s="217"/>
      <c r="F119" s="14" t="s">
        <v>90</v>
      </c>
      <c r="G119" s="14" t="s">
        <v>2897</v>
      </c>
      <c r="H119" s="14" t="s">
        <v>26</v>
      </c>
      <c r="I119" s="65"/>
      <c r="J119" s="17">
        <v>135920</v>
      </c>
      <c r="K119" s="17">
        <v>86340</v>
      </c>
      <c r="L119" s="17">
        <f>J119-K119</f>
      </c>
      <c r="M119" s="14" t="s">
        <v>82</v>
      </c>
      <c r="N119" s="14" t="s">
        <v>2898</v>
      </c>
      <c r="O119" s="65"/>
      <c r="P119" s="65"/>
      <c r="Q119" s="65"/>
      <c r="R119" s="65"/>
      <c r="S119" s="17">
        <f>J119-P119-R119</f>
      </c>
      <c r="T119" s="12"/>
      <c r="U119" s="14"/>
      <c r="V119" s="14"/>
    </row>
    <row x14ac:dyDescent="0.25" r="120" customHeight="1" ht="18">
      <c r="A120" s="12">
        <v>45894</v>
      </c>
      <c r="B120" s="14" t="s">
        <v>22</v>
      </c>
      <c r="C120" s="14" t="s">
        <v>2528</v>
      </c>
      <c r="D120" s="14" t="s">
        <v>485</v>
      </c>
      <c r="E120" s="217"/>
      <c r="F120" s="14" t="s">
        <v>2782</v>
      </c>
      <c r="G120" s="14" t="s">
        <v>2846</v>
      </c>
      <c r="H120" s="14" t="s">
        <v>26</v>
      </c>
      <c r="I120" s="65"/>
      <c r="J120" s="17">
        <v>87920</v>
      </c>
      <c r="K120" s="17">
        <v>30000</v>
      </c>
      <c r="L120" s="17">
        <f>J120-K120</f>
      </c>
      <c r="M120" s="14" t="s">
        <v>22</v>
      </c>
      <c r="N120" s="14" t="s">
        <v>2847</v>
      </c>
      <c r="O120" s="65" t="s">
        <v>251</v>
      </c>
      <c r="P120" s="65"/>
      <c r="Q120" s="65"/>
      <c r="R120" s="17">
        <v>87920</v>
      </c>
      <c r="S120" s="17">
        <f>J120-P120-R120</f>
      </c>
      <c r="T120" s="12">
        <v>45895</v>
      </c>
      <c r="U120" s="14" t="s">
        <v>2785</v>
      </c>
      <c r="V120" s="14"/>
    </row>
    <row x14ac:dyDescent="0.25" r="121" customHeight="1" ht="18">
      <c r="A121" s="12">
        <v>45895</v>
      </c>
      <c r="B121" s="14" t="s">
        <v>72</v>
      </c>
      <c r="C121" s="14" t="s">
        <v>2899</v>
      </c>
      <c r="D121" s="14" t="s">
        <v>2900</v>
      </c>
      <c r="E121" s="217"/>
      <c r="F121" s="14" t="s">
        <v>2901</v>
      </c>
      <c r="G121" s="14" t="s">
        <v>2902</v>
      </c>
      <c r="H121" s="14" t="s">
        <v>26</v>
      </c>
      <c r="I121" s="65"/>
      <c r="J121" s="17">
        <v>580920</v>
      </c>
      <c r="K121" s="17">
        <v>538520</v>
      </c>
      <c r="L121" s="17">
        <f>J121-K121</f>
      </c>
      <c r="M121" s="14" t="s">
        <v>154</v>
      </c>
      <c r="N121" s="14" t="s">
        <v>2903</v>
      </c>
      <c r="O121" s="65"/>
      <c r="P121" s="65"/>
      <c r="Q121" s="65"/>
      <c r="R121" s="17">
        <v>580920</v>
      </c>
      <c r="S121" s="17">
        <f>J121-P121-R121</f>
      </c>
      <c r="T121" s="12">
        <v>45896</v>
      </c>
      <c r="U121" s="14" t="s">
        <v>1718</v>
      </c>
      <c r="V121" s="14"/>
    </row>
    <row x14ac:dyDescent="0.25" r="122" customHeight="1" ht="18">
      <c r="A122" s="12">
        <v>45895</v>
      </c>
      <c r="B122" s="14" t="s">
        <v>72</v>
      </c>
      <c r="C122" s="14" t="s">
        <v>2904</v>
      </c>
      <c r="D122" s="14" t="s">
        <v>2905</v>
      </c>
      <c r="E122" s="217"/>
      <c r="F122" s="14" t="s">
        <v>2906</v>
      </c>
      <c r="G122" s="14" t="s">
        <v>2907</v>
      </c>
      <c r="H122" s="14" t="s">
        <v>688</v>
      </c>
      <c r="I122" s="65"/>
      <c r="J122" s="17">
        <v>370300</v>
      </c>
      <c r="K122" s="17">
        <v>350300</v>
      </c>
      <c r="L122" s="17">
        <f>J122-K122</f>
      </c>
      <c r="M122" s="14" t="s">
        <v>154</v>
      </c>
      <c r="N122" s="14" t="s">
        <v>2908</v>
      </c>
      <c r="O122" s="65"/>
      <c r="P122" s="65"/>
      <c r="Q122" s="65"/>
      <c r="R122" s="17">
        <v>370300</v>
      </c>
      <c r="S122" s="17">
        <f>J122-P122-R122</f>
      </c>
      <c r="T122" s="12">
        <v>45896</v>
      </c>
      <c r="U122" s="14" t="s">
        <v>1718</v>
      </c>
      <c r="V122" s="14"/>
    </row>
    <row x14ac:dyDescent="0.25" r="123" customHeight="1" ht="18">
      <c r="A123" s="12">
        <v>45895</v>
      </c>
      <c r="B123" s="14" t="s">
        <v>46</v>
      </c>
      <c r="C123" s="14" t="s">
        <v>2909</v>
      </c>
      <c r="D123" s="14" t="s">
        <v>2910</v>
      </c>
      <c r="E123" s="217"/>
      <c r="F123" s="14" t="s">
        <v>174</v>
      </c>
      <c r="G123" s="14" t="s">
        <v>1401</v>
      </c>
      <c r="H123" s="14" t="s">
        <v>26</v>
      </c>
      <c r="I123" s="17">
        <v>3075800</v>
      </c>
      <c r="J123" s="17">
        <v>4315920</v>
      </c>
      <c r="K123" s="17">
        <v>3920320</v>
      </c>
      <c r="L123" s="17">
        <f>J123-K123</f>
      </c>
      <c r="M123" s="14" t="s">
        <v>50</v>
      </c>
      <c r="N123" s="14" t="s">
        <v>2911</v>
      </c>
      <c r="O123" s="17">
        <v>2</v>
      </c>
      <c r="P123" s="17">
        <v>1208250</v>
      </c>
      <c r="Q123" s="65"/>
      <c r="R123" s="17">
        <v>3107670</v>
      </c>
      <c r="S123" s="17">
        <f>J123-P123-R123</f>
      </c>
      <c r="T123" s="175" t="s">
        <v>2912</v>
      </c>
      <c r="U123" s="14" t="s">
        <v>1718</v>
      </c>
      <c r="V123" s="14"/>
    </row>
    <row x14ac:dyDescent="0.25" r="124" customHeight="1" ht="18">
      <c r="A124" s="12">
        <v>45895</v>
      </c>
      <c r="B124" s="14" t="s">
        <v>46</v>
      </c>
      <c r="C124" s="14" t="s">
        <v>2660</v>
      </c>
      <c r="D124" s="14" t="s">
        <v>264</v>
      </c>
      <c r="E124" s="217"/>
      <c r="F124" s="14" t="s">
        <v>2913</v>
      </c>
      <c r="G124" s="14" t="s">
        <v>2914</v>
      </c>
      <c r="H124" s="14" t="s">
        <v>26</v>
      </c>
      <c r="I124" s="65"/>
      <c r="J124" s="17">
        <v>161900</v>
      </c>
      <c r="K124" s="17">
        <v>131200</v>
      </c>
      <c r="L124" s="17">
        <f>J124-K124</f>
      </c>
      <c r="M124" s="14" t="s">
        <v>246</v>
      </c>
      <c r="N124" s="14" t="s">
        <v>2915</v>
      </c>
      <c r="O124" s="65" t="s">
        <v>251</v>
      </c>
      <c r="P124" s="65"/>
      <c r="Q124" s="65"/>
      <c r="R124" s="17">
        <v>161900</v>
      </c>
      <c r="S124" s="17">
        <f>J124-P124-R124</f>
      </c>
      <c r="T124" s="12">
        <v>45950</v>
      </c>
      <c r="U124" s="14" t="s">
        <v>1718</v>
      </c>
      <c r="V124" s="14"/>
    </row>
    <row x14ac:dyDescent="0.25" r="125" customHeight="1" ht="28.2">
      <c r="A125" s="12">
        <v>45895</v>
      </c>
      <c r="B125" s="14" t="s">
        <v>72</v>
      </c>
      <c r="C125" s="14" t="s">
        <v>2916</v>
      </c>
      <c r="D125" s="14" t="s">
        <v>2398</v>
      </c>
      <c r="E125" s="217"/>
      <c r="F125" s="14" t="s">
        <v>2917</v>
      </c>
      <c r="G125" s="14" t="s">
        <v>2918</v>
      </c>
      <c r="H125" s="14" t="s">
        <v>26</v>
      </c>
      <c r="I125" s="65"/>
      <c r="J125" s="17">
        <v>183920</v>
      </c>
      <c r="K125" s="17">
        <v>112000</v>
      </c>
      <c r="L125" s="17">
        <f>J125-K125</f>
      </c>
      <c r="M125" s="14" t="s">
        <v>50</v>
      </c>
      <c r="N125" s="14" t="s">
        <v>2919</v>
      </c>
      <c r="O125" s="65" t="s">
        <v>251</v>
      </c>
      <c r="P125" s="65"/>
      <c r="Q125" s="65"/>
      <c r="R125" s="65"/>
      <c r="S125" s="17">
        <f>J125-P125-R125</f>
      </c>
      <c r="T125" s="12"/>
      <c r="U125" s="14"/>
      <c r="V125" s="14"/>
    </row>
    <row x14ac:dyDescent="0.25" r="126" customHeight="1" ht="18">
      <c r="A126" s="12">
        <v>45896</v>
      </c>
      <c r="B126" s="14" t="s">
        <v>252</v>
      </c>
      <c r="C126" s="14" t="s">
        <v>2920</v>
      </c>
      <c r="D126" s="14" t="s">
        <v>2921</v>
      </c>
      <c r="E126" s="217"/>
      <c r="F126" s="14" t="s">
        <v>2922</v>
      </c>
      <c r="G126" s="14" t="s">
        <v>2923</v>
      </c>
      <c r="H126" s="14" t="s">
        <v>26</v>
      </c>
      <c r="I126" s="17">
        <v>678300</v>
      </c>
      <c r="J126" s="17">
        <v>999920</v>
      </c>
      <c r="K126" s="17">
        <v>949120</v>
      </c>
      <c r="L126" s="17">
        <f>J126-K126</f>
      </c>
      <c r="M126" s="14" t="s">
        <v>50</v>
      </c>
      <c r="N126" s="14" t="s">
        <v>2924</v>
      </c>
      <c r="O126" s="17">
        <v>4</v>
      </c>
      <c r="P126" s="65"/>
      <c r="Q126" s="65"/>
      <c r="R126" s="17">
        <v>999920</v>
      </c>
      <c r="S126" s="17">
        <f>J126-P126-R126</f>
      </c>
      <c r="T126" s="12">
        <v>45873</v>
      </c>
      <c r="U126" s="14" t="s">
        <v>1718</v>
      </c>
      <c r="V126" s="14"/>
    </row>
    <row x14ac:dyDescent="0.25" r="127" customHeight="1" ht="18">
      <c r="A127" s="12">
        <v>45896</v>
      </c>
      <c r="B127" s="14" t="s">
        <v>46</v>
      </c>
      <c r="C127" s="14" t="s">
        <v>2925</v>
      </c>
      <c r="D127" s="14" t="s">
        <v>54</v>
      </c>
      <c r="E127" s="217"/>
      <c r="F127" s="218" t="s">
        <v>84</v>
      </c>
      <c r="G127" s="14" t="s">
        <v>2926</v>
      </c>
      <c r="H127" s="14" t="s">
        <v>26</v>
      </c>
      <c r="I127" s="17">
        <v>1482200</v>
      </c>
      <c r="J127" s="17">
        <v>2957920</v>
      </c>
      <c r="K127" s="17">
        <v>2069820</v>
      </c>
      <c r="L127" s="17">
        <f>J127-K127</f>
      </c>
      <c r="M127" s="14" t="s">
        <v>50</v>
      </c>
      <c r="N127" s="14" t="s">
        <v>2927</v>
      </c>
      <c r="O127" s="17">
        <v>2</v>
      </c>
      <c r="P127" s="65"/>
      <c r="Q127" s="65"/>
      <c r="R127" s="65"/>
      <c r="S127" s="17">
        <f>J127-P127-R127</f>
      </c>
      <c r="T127" s="12"/>
      <c r="U127" s="14"/>
      <c r="V127" s="14"/>
    </row>
    <row x14ac:dyDescent="0.25" r="128" customHeight="1" ht="18">
      <c r="A128" s="12">
        <v>45897</v>
      </c>
      <c r="B128" s="14" t="s">
        <v>123</v>
      </c>
      <c r="C128" s="14" t="s">
        <v>2928</v>
      </c>
      <c r="D128" s="14" t="s">
        <v>2929</v>
      </c>
      <c r="E128" s="217"/>
      <c r="F128" s="14" t="s">
        <v>327</v>
      </c>
      <c r="G128" s="14" t="s">
        <v>2930</v>
      </c>
      <c r="H128" s="14" t="s">
        <v>26</v>
      </c>
      <c r="I128" s="17">
        <v>1448600</v>
      </c>
      <c r="J128" s="17">
        <v>2382920</v>
      </c>
      <c r="K128" s="17">
        <v>2022720</v>
      </c>
      <c r="L128" s="17">
        <f>J128-K128</f>
      </c>
      <c r="M128" s="14" t="s">
        <v>50</v>
      </c>
      <c r="N128" s="14" t="s">
        <v>2931</v>
      </c>
      <c r="O128" s="17">
        <v>2</v>
      </c>
      <c r="P128" s="65"/>
      <c r="Q128" s="65"/>
      <c r="R128" s="17"/>
      <c r="S128" s="17">
        <f>J128-P128-R128</f>
      </c>
      <c r="T128" s="12"/>
      <c r="U128" s="14"/>
      <c r="V128" s="14"/>
    </row>
    <row x14ac:dyDescent="0.25" r="129" customHeight="1" ht="18">
      <c r="A129" s="12">
        <v>45897</v>
      </c>
      <c r="B129" s="14" t="s">
        <v>66</v>
      </c>
      <c r="C129" s="14" t="s">
        <v>2171</v>
      </c>
      <c r="D129" s="14" t="s">
        <v>166</v>
      </c>
      <c r="E129" s="217"/>
      <c r="F129" s="14" t="s">
        <v>2913</v>
      </c>
      <c r="G129" s="14" t="s">
        <v>2173</v>
      </c>
      <c r="H129" s="14" t="s">
        <v>26</v>
      </c>
      <c r="I129" s="17">
        <v>86100</v>
      </c>
      <c r="J129" s="17">
        <v>485920</v>
      </c>
      <c r="K129" s="17">
        <v>445620</v>
      </c>
      <c r="L129" s="17">
        <f>J129-K129</f>
      </c>
      <c r="M129" s="14" t="s">
        <v>50</v>
      </c>
      <c r="N129" s="14" t="s">
        <v>2932</v>
      </c>
      <c r="O129" s="17">
        <v>2</v>
      </c>
      <c r="P129" s="65"/>
      <c r="Q129" s="65"/>
      <c r="R129" s="17">
        <v>485920</v>
      </c>
      <c r="S129" s="17">
        <f>J129-P129-R129</f>
      </c>
      <c r="T129" s="12">
        <v>45924</v>
      </c>
      <c r="U129" s="14" t="s">
        <v>2216</v>
      </c>
      <c r="V129" s="14" t="s">
        <v>2933</v>
      </c>
    </row>
    <row x14ac:dyDescent="0.25" r="130" customHeight="1" ht="18">
      <c r="A130" s="12">
        <v>45897</v>
      </c>
      <c r="B130" s="14" t="s">
        <v>66</v>
      </c>
      <c r="C130" s="14" t="s">
        <v>2797</v>
      </c>
      <c r="D130" s="14" t="s">
        <v>2934</v>
      </c>
      <c r="E130" s="217"/>
      <c r="F130" s="14" t="s">
        <v>102</v>
      </c>
      <c r="G130" s="14" t="s">
        <v>2935</v>
      </c>
      <c r="H130" s="14" t="s">
        <v>26</v>
      </c>
      <c r="I130" s="17">
        <v>596400</v>
      </c>
      <c r="J130" s="17">
        <v>899600</v>
      </c>
      <c r="K130" s="17">
        <v>849600</v>
      </c>
      <c r="L130" s="17">
        <f>J130-K130</f>
      </c>
      <c r="M130" s="14" t="s">
        <v>50</v>
      </c>
      <c r="N130" s="14" t="s">
        <v>2936</v>
      </c>
      <c r="O130" s="17">
        <v>2</v>
      </c>
      <c r="P130" s="65"/>
      <c r="Q130" s="65"/>
      <c r="R130" s="65"/>
      <c r="S130" s="17">
        <f>J130-P130-R130</f>
      </c>
      <c r="T130" s="12"/>
      <c r="U130" s="14"/>
      <c r="V130" s="14"/>
    </row>
    <row x14ac:dyDescent="0.25" r="131" customHeight="1" ht="18">
      <c r="A131" s="12">
        <v>45898</v>
      </c>
      <c r="B131" s="14" t="s">
        <v>66</v>
      </c>
      <c r="C131" s="14" t="s">
        <v>2937</v>
      </c>
      <c r="D131" s="14" t="s">
        <v>2938</v>
      </c>
      <c r="E131" s="217"/>
      <c r="F131" s="14" t="s">
        <v>2939</v>
      </c>
      <c r="G131" s="14" t="s">
        <v>2940</v>
      </c>
      <c r="H131" s="14" t="s">
        <v>76</v>
      </c>
      <c r="I131" s="65"/>
      <c r="J131" s="17">
        <v>553700</v>
      </c>
      <c r="K131" s="17">
        <v>503700</v>
      </c>
      <c r="L131" s="17">
        <f>J131-K131</f>
      </c>
      <c r="M131" s="14" t="s">
        <v>246</v>
      </c>
      <c r="N131" s="14" t="s">
        <v>2941</v>
      </c>
      <c r="O131" s="65"/>
      <c r="P131" s="65"/>
      <c r="Q131" s="65"/>
      <c r="R131" s="17">
        <v>553700</v>
      </c>
      <c r="S131" s="17">
        <f>J131-P131-R131</f>
      </c>
      <c r="T131" s="12">
        <v>45898</v>
      </c>
      <c r="U131" s="14" t="s">
        <v>1718</v>
      </c>
      <c r="V131" s="14"/>
    </row>
    <row x14ac:dyDescent="0.25" r="132" customHeight="1" ht="18">
      <c r="A132" s="55">
        <v>45898</v>
      </c>
      <c r="B132" s="56" t="s">
        <v>53</v>
      </c>
      <c r="C132" s="56" t="s">
        <v>2942</v>
      </c>
      <c r="D132" s="56" t="s">
        <v>2943</v>
      </c>
      <c r="E132" s="180" t="s">
        <v>2944</v>
      </c>
      <c r="F132" s="56" t="s">
        <v>2945</v>
      </c>
      <c r="G132" s="56" t="s">
        <v>2946</v>
      </c>
      <c r="H132" s="56" t="s">
        <v>26</v>
      </c>
      <c r="I132" s="180" t="s">
        <v>2947</v>
      </c>
      <c r="J132" s="57">
        <v>211000</v>
      </c>
      <c r="K132" s="57">
        <v>151000</v>
      </c>
      <c r="L132" s="57">
        <f>J132-K132</f>
      </c>
      <c r="M132" s="56" t="s">
        <v>50</v>
      </c>
      <c r="N132" s="56" t="s">
        <v>2948</v>
      </c>
      <c r="O132" s="180" t="s">
        <v>2949</v>
      </c>
      <c r="P132" s="57">
        <v>600000</v>
      </c>
      <c r="Q132" s="57"/>
      <c r="R132" s="57">
        <v>585820</v>
      </c>
      <c r="S132" s="57">
        <f>J132-P132-R132</f>
      </c>
      <c r="T132" s="226" t="s">
        <v>2950</v>
      </c>
      <c r="U132" s="56" t="s">
        <v>2307</v>
      </c>
      <c r="V132" s="56"/>
    </row>
    <row x14ac:dyDescent="0.25" r="133" customHeight="1" ht="18">
      <c r="A133" s="12">
        <v>45898</v>
      </c>
      <c r="B133" s="14" t="s">
        <v>123</v>
      </c>
      <c r="C133" s="14" t="s">
        <v>2904</v>
      </c>
      <c r="D133" s="14" t="s">
        <v>2951</v>
      </c>
      <c r="E133" s="217"/>
      <c r="F133" s="14" t="s">
        <v>2952</v>
      </c>
      <c r="G133" s="14" t="s">
        <v>2953</v>
      </c>
      <c r="H133" s="14" t="s">
        <v>76</v>
      </c>
      <c r="I133" s="65"/>
      <c r="J133" s="17">
        <v>754800</v>
      </c>
      <c r="K133" s="17">
        <v>694420</v>
      </c>
      <c r="L133" s="17">
        <f>J133-K133</f>
      </c>
      <c r="M133" s="14" t="s">
        <v>187</v>
      </c>
      <c r="N133" s="14" t="s">
        <v>2954</v>
      </c>
      <c r="O133" s="65"/>
      <c r="P133" s="65"/>
      <c r="Q133" s="65"/>
      <c r="R133" s="17">
        <v>754900</v>
      </c>
      <c r="S133" s="17">
        <f>J133-P133-R133</f>
      </c>
      <c r="T133" s="12">
        <v>45898</v>
      </c>
      <c r="U133" s="14" t="s">
        <v>1718</v>
      </c>
      <c r="V133" s="14"/>
    </row>
    <row x14ac:dyDescent="0.25" r="134" customHeight="1" ht="18">
      <c r="A134" s="12">
        <v>45898</v>
      </c>
      <c r="B134" s="14" t="s">
        <v>46</v>
      </c>
      <c r="C134" s="14" t="s">
        <v>2955</v>
      </c>
      <c r="D134" s="14" t="s">
        <v>54</v>
      </c>
      <c r="E134" s="217"/>
      <c r="F134" s="14" t="s">
        <v>24</v>
      </c>
      <c r="G134" s="14" t="s">
        <v>2956</v>
      </c>
      <c r="H134" s="14" t="s">
        <v>26</v>
      </c>
      <c r="I134" s="17">
        <v>2813900</v>
      </c>
      <c r="J134" s="17">
        <v>3998200</v>
      </c>
      <c r="K134" s="17">
        <v>3651420</v>
      </c>
      <c r="L134" s="17">
        <f>J134-K134</f>
      </c>
      <c r="M134" s="14" t="s">
        <v>50</v>
      </c>
      <c r="N134" s="14" t="s">
        <v>2957</v>
      </c>
      <c r="O134" s="17">
        <v>2</v>
      </c>
      <c r="P134" s="65"/>
      <c r="Q134" s="65"/>
      <c r="R134" s="65"/>
      <c r="S134" s="17">
        <f>J134-P134-R134</f>
      </c>
      <c r="T134" s="12"/>
      <c r="U134" s="14"/>
      <c r="V134" s="14"/>
    </row>
    <row x14ac:dyDescent="0.25" r="135" customHeight="1" ht="18">
      <c r="A135" s="12">
        <v>45898</v>
      </c>
      <c r="B135" s="14" t="s">
        <v>72</v>
      </c>
      <c r="C135" s="14" t="s">
        <v>2958</v>
      </c>
      <c r="D135" s="14" t="s">
        <v>2959</v>
      </c>
      <c r="E135" s="217"/>
      <c r="F135" s="14" t="s">
        <v>2960</v>
      </c>
      <c r="G135" s="14" t="s">
        <v>2961</v>
      </c>
      <c r="H135" s="14" t="s">
        <v>26</v>
      </c>
      <c r="I135" s="17">
        <v>297100</v>
      </c>
      <c r="J135" s="17">
        <v>555920</v>
      </c>
      <c r="K135" s="17">
        <v>514120</v>
      </c>
      <c r="L135" s="17">
        <f>J135-K135</f>
      </c>
      <c r="M135" s="14" t="s">
        <v>154</v>
      </c>
      <c r="N135" s="14" t="s">
        <v>2948</v>
      </c>
      <c r="O135" s="65"/>
      <c r="P135" s="65"/>
      <c r="Q135" s="65"/>
      <c r="R135" s="17">
        <v>555920</v>
      </c>
      <c r="S135" s="17">
        <f>J135-P135-R135</f>
      </c>
      <c r="T135" s="12">
        <v>45904</v>
      </c>
      <c r="U135" s="14" t="s">
        <v>1718</v>
      </c>
      <c r="V135" s="14"/>
    </row>
    <row x14ac:dyDescent="0.25" r="136" customHeight="1" ht="27">
      <c r="A136" s="12">
        <v>45898</v>
      </c>
      <c r="B136" s="14" t="s">
        <v>66</v>
      </c>
      <c r="C136" s="14" t="s">
        <v>2171</v>
      </c>
      <c r="D136" s="14" t="s">
        <v>166</v>
      </c>
      <c r="E136" s="217"/>
      <c r="F136" s="14" t="s">
        <v>2962</v>
      </c>
      <c r="G136" s="14" t="s">
        <v>2078</v>
      </c>
      <c r="H136" s="14" t="s">
        <v>26</v>
      </c>
      <c r="I136" s="17">
        <v>86100</v>
      </c>
      <c r="J136" s="17">
        <v>495600</v>
      </c>
      <c r="K136" s="17">
        <v>445620</v>
      </c>
      <c r="L136" s="17">
        <f>J136-K136</f>
      </c>
      <c r="M136" s="14" t="s">
        <v>50</v>
      </c>
      <c r="N136" s="14" t="s">
        <v>2963</v>
      </c>
      <c r="O136" s="17">
        <v>2</v>
      </c>
      <c r="P136" s="17">
        <v>39460</v>
      </c>
      <c r="Q136" s="17"/>
      <c r="R136" s="65"/>
      <c r="S136" s="17">
        <f>J136-P136-R136</f>
      </c>
      <c r="T136" s="12">
        <v>45912</v>
      </c>
      <c r="U136" s="14" t="s">
        <v>1718</v>
      </c>
      <c r="V136" s="14"/>
    </row>
    <row x14ac:dyDescent="0.25" r="137" customHeight="1" ht="18">
      <c r="A137" s="12">
        <v>45898</v>
      </c>
      <c r="B137" s="14" t="s">
        <v>66</v>
      </c>
      <c r="C137" s="14" t="s">
        <v>2171</v>
      </c>
      <c r="D137" s="14" t="s">
        <v>166</v>
      </c>
      <c r="E137" s="217"/>
      <c r="F137" s="14" t="s">
        <v>2913</v>
      </c>
      <c r="G137" s="14" t="s">
        <v>2177</v>
      </c>
      <c r="H137" s="14" t="s">
        <v>26</v>
      </c>
      <c r="I137" s="17">
        <v>86100</v>
      </c>
      <c r="J137" s="17">
        <v>485920</v>
      </c>
      <c r="K137" s="17">
        <v>445620</v>
      </c>
      <c r="L137" s="17">
        <f>J137-K137</f>
      </c>
      <c r="M137" s="218" t="s">
        <v>50</v>
      </c>
      <c r="N137" s="218" t="s">
        <v>2964</v>
      </c>
      <c r="O137" s="17">
        <v>2</v>
      </c>
      <c r="P137" s="65"/>
      <c r="Q137" s="65"/>
      <c r="R137" s="17">
        <v>485920</v>
      </c>
      <c r="S137" s="17">
        <f>J137-P137-R137</f>
      </c>
      <c r="T137" s="12">
        <v>45924</v>
      </c>
      <c r="U137" s="14" t="s">
        <v>2216</v>
      </c>
      <c r="V137" s="14" t="s">
        <v>2933</v>
      </c>
    </row>
    <row x14ac:dyDescent="0.25" r="138" customHeight="1" ht="18">
      <c r="A138" s="12">
        <v>45899</v>
      </c>
      <c r="B138" s="14" t="s">
        <v>46</v>
      </c>
      <c r="C138" s="14" t="s">
        <v>2965</v>
      </c>
      <c r="D138" s="14" t="s">
        <v>313</v>
      </c>
      <c r="E138" s="217"/>
      <c r="F138" s="14" t="s">
        <v>2966</v>
      </c>
      <c r="G138" s="227" t="s">
        <v>2967</v>
      </c>
      <c r="H138" s="14" t="s">
        <v>26</v>
      </c>
      <c r="I138" s="65"/>
      <c r="J138" s="17">
        <v>1055800</v>
      </c>
      <c r="K138" s="17">
        <v>1015420</v>
      </c>
      <c r="L138" s="17">
        <f>J138-K138</f>
      </c>
      <c r="M138" s="14" t="s">
        <v>187</v>
      </c>
      <c r="N138" s="14" t="s">
        <v>2968</v>
      </c>
      <c r="O138" s="65"/>
      <c r="P138" s="17">
        <v>414600</v>
      </c>
      <c r="Q138" s="65"/>
      <c r="R138" s="65"/>
      <c r="S138" s="17">
        <f>J138-P138-R138</f>
      </c>
      <c r="T138" s="12"/>
      <c r="U138" s="14"/>
      <c r="V138" s="14"/>
    </row>
    <row x14ac:dyDescent="0.25" r="139" customHeight="1" ht="18">
      <c r="A139" s="12">
        <v>45899</v>
      </c>
      <c r="B139" s="14" t="s">
        <v>46</v>
      </c>
      <c r="C139" s="14" t="s">
        <v>2965</v>
      </c>
      <c r="D139" s="14" t="s">
        <v>313</v>
      </c>
      <c r="E139" s="217"/>
      <c r="F139" s="14" t="s">
        <v>2966</v>
      </c>
      <c r="G139" s="227" t="s">
        <v>2969</v>
      </c>
      <c r="H139" s="14" t="s">
        <v>26</v>
      </c>
      <c r="I139" s="65"/>
      <c r="J139" s="17">
        <v>1055800</v>
      </c>
      <c r="K139" s="17">
        <v>1015420</v>
      </c>
      <c r="L139" s="17">
        <f>J139-K139</f>
      </c>
      <c r="M139" s="14" t="s">
        <v>187</v>
      </c>
      <c r="N139" s="14" t="s">
        <v>2970</v>
      </c>
      <c r="O139" s="65"/>
      <c r="P139" s="17">
        <v>576500</v>
      </c>
      <c r="Q139" s="17"/>
      <c r="R139" s="65"/>
      <c r="S139" s="17">
        <f>J139-P139-R139</f>
      </c>
      <c r="T139" s="12"/>
      <c r="U139" s="14"/>
      <c r="V139" s="14"/>
    </row>
    <row x14ac:dyDescent="0.25" r="140" customHeight="1" ht="18">
      <c r="A140" s="12">
        <v>45900</v>
      </c>
      <c r="B140" s="14" t="s">
        <v>72</v>
      </c>
      <c r="C140" s="14" t="s">
        <v>2958</v>
      </c>
      <c r="D140" s="14" t="s">
        <v>2971</v>
      </c>
      <c r="E140" s="217"/>
      <c r="F140" s="14" t="s">
        <v>2972</v>
      </c>
      <c r="G140" s="14" t="s">
        <v>2973</v>
      </c>
      <c r="H140" s="14" t="s">
        <v>26</v>
      </c>
      <c r="I140" s="17">
        <v>245100</v>
      </c>
      <c r="J140" s="17">
        <v>461520</v>
      </c>
      <c r="K140" s="17">
        <v>461520</v>
      </c>
      <c r="L140" s="17">
        <f>J140-K140</f>
      </c>
      <c r="M140" s="14" t="s">
        <v>187</v>
      </c>
      <c r="N140" s="14" t="s">
        <v>2974</v>
      </c>
      <c r="O140" s="65"/>
      <c r="P140" s="65"/>
      <c r="Q140" s="65"/>
      <c r="R140" s="65"/>
      <c r="S140" s="17">
        <f>J140-P140-R140</f>
      </c>
      <c r="T140" s="12"/>
      <c r="U140" s="14"/>
      <c r="V140" s="14"/>
    </row>
    <row x14ac:dyDescent="0.25" r="141" customHeight="1" ht="18">
      <c r="A141" s="12"/>
      <c r="B141" s="14"/>
      <c r="C141" s="14"/>
      <c r="D141" s="14"/>
      <c r="E141" s="217"/>
      <c r="F141" s="14"/>
      <c r="G141" s="14"/>
      <c r="H141" s="14"/>
      <c r="I141" s="65"/>
      <c r="J141" s="17"/>
      <c r="K141" s="17"/>
      <c r="L141" s="17">
        <f>J141-K141</f>
      </c>
      <c r="M141" s="14"/>
      <c r="N141" s="14"/>
      <c r="O141" s="65"/>
      <c r="P141" s="65"/>
      <c r="Q141" s="65"/>
      <c r="R141" s="65"/>
      <c r="S141" s="17">
        <f>J141-P141-R141</f>
      </c>
      <c r="T141" s="12"/>
      <c r="U141" s="14"/>
      <c r="V141" s="14"/>
    </row>
    <row x14ac:dyDescent="0.25" r="142" customHeight="1" ht="18">
      <c r="A142" s="12"/>
      <c r="B142" s="14"/>
      <c r="C142" s="14"/>
      <c r="D142" s="14"/>
      <c r="E142" s="217"/>
      <c r="F142" s="14"/>
      <c r="G142" s="14"/>
      <c r="H142" s="14"/>
      <c r="I142" s="65"/>
      <c r="J142" s="17"/>
      <c r="K142" s="17"/>
      <c r="L142" s="17">
        <f>J142-K142</f>
      </c>
      <c r="M142" s="14"/>
      <c r="N142" s="14"/>
      <c r="O142" s="65"/>
      <c r="P142" s="65"/>
      <c r="Q142" s="65"/>
      <c r="R142" s="65"/>
      <c r="S142" s="17">
        <f>J142-P142-R142</f>
      </c>
      <c r="T142" s="12"/>
      <c r="U142" s="14"/>
      <c r="V142" s="14"/>
    </row>
    <row x14ac:dyDescent="0.25" r="143" customHeight="1" ht="18">
      <c r="A143" s="12"/>
      <c r="B143" s="14"/>
      <c r="C143" s="14"/>
      <c r="D143" s="14"/>
      <c r="E143" s="217"/>
      <c r="F143" s="14"/>
      <c r="G143" s="14"/>
      <c r="H143" s="14"/>
      <c r="I143" s="17">
        <f>SUM(I2:I142)</f>
      </c>
      <c r="J143" s="17">
        <f>SUM(J2:J142)</f>
      </c>
      <c r="K143" s="17">
        <f>SUM(K2:K142)</f>
      </c>
      <c r="L143" s="17">
        <f>SUM(L2:L142)</f>
      </c>
      <c r="M143" s="14"/>
      <c r="N143" s="14"/>
      <c r="O143" s="65"/>
      <c r="P143" s="65"/>
      <c r="Q143" s="65"/>
      <c r="R143" s="65"/>
      <c r="S143" s="17">
        <f>SUM(S2:S142)</f>
      </c>
      <c r="T143" s="12"/>
      <c r="U143" s="14"/>
      <c r="V143" s="14"/>
    </row>
    <row x14ac:dyDescent="0.25" r="144" customHeight="1" ht="18">
      <c r="A144" s="1"/>
      <c r="B144" s="34"/>
      <c r="C144" s="34"/>
      <c r="D144" s="228"/>
      <c r="E144" s="29"/>
      <c r="F144" s="34"/>
      <c r="G144" s="34"/>
      <c r="H144" s="34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1"/>
      <c r="U144" s="34"/>
      <c r="V144" s="34"/>
    </row>
    <row x14ac:dyDescent="0.25" r="145" customHeight="1" ht="18">
      <c r="A145" s="1"/>
      <c r="B145" s="34"/>
      <c r="C145" s="34"/>
      <c r="D145" s="228"/>
      <c r="E145" s="29"/>
      <c r="F145" s="34"/>
      <c r="G145" s="34"/>
      <c r="H145" s="34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1"/>
      <c r="U145" s="34"/>
      <c r="V145" s="34"/>
    </row>
    <row x14ac:dyDescent="0.25" r="146" customHeight="1" ht="18">
      <c r="A146" s="1"/>
      <c r="B146" s="34"/>
      <c r="C146" s="34"/>
      <c r="D146" s="228"/>
      <c r="E146" s="29"/>
      <c r="F146" s="34"/>
      <c r="G146" s="34"/>
      <c r="H146" s="34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1"/>
      <c r="U146" s="34"/>
      <c r="V146" s="34"/>
    </row>
    <row x14ac:dyDescent="0.25" r="147" customHeight="1" ht="18">
      <c r="A147" s="1"/>
      <c r="B147" s="34"/>
      <c r="C147" s="34"/>
      <c r="D147" s="228"/>
      <c r="E147" s="29"/>
      <c r="F147" s="34"/>
      <c r="G147" s="34"/>
      <c r="H147" s="34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1"/>
      <c r="U147" s="34"/>
      <c r="V147" s="34"/>
    </row>
    <row x14ac:dyDescent="0.25" r="148" customHeight="1" ht="18">
      <c r="A148" s="1"/>
      <c r="B148" s="34"/>
      <c r="C148" s="34"/>
      <c r="D148" s="228"/>
      <c r="E148" s="29"/>
      <c r="F148" s="34"/>
      <c r="G148" s="34"/>
      <c r="H148" s="34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1"/>
      <c r="U148" s="34"/>
      <c r="V148" s="34"/>
    </row>
    <row x14ac:dyDescent="0.25" r="149" customHeight="1" ht="18">
      <c r="A149" s="1"/>
      <c r="B149" s="34"/>
      <c r="C149" s="34"/>
      <c r="D149" s="228"/>
      <c r="E149" s="29"/>
      <c r="F149" s="34"/>
      <c r="G149" s="34"/>
      <c r="H149" s="34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1"/>
      <c r="U149" s="34"/>
      <c r="V149" s="34"/>
    </row>
    <row x14ac:dyDescent="0.25" r="150" customHeight="1" ht="18">
      <c r="A150" s="1"/>
      <c r="B150" s="34"/>
      <c r="C150" s="34"/>
      <c r="D150" s="228"/>
      <c r="E150" s="29"/>
      <c r="F150" s="34"/>
      <c r="G150" s="34"/>
      <c r="H150" s="34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1"/>
      <c r="U150" s="34"/>
      <c r="V150" s="34"/>
    </row>
    <row x14ac:dyDescent="0.25" r="151" customHeight="1" ht="18">
      <c r="A151" s="1"/>
      <c r="B151" s="34"/>
      <c r="C151" s="34"/>
      <c r="D151" s="228"/>
      <c r="E151" s="29"/>
      <c r="F151" s="34"/>
      <c r="G151" s="34"/>
      <c r="H151" s="34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1"/>
      <c r="U151" s="34"/>
      <c r="V151" s="34"/>
    </row>
    <row x14ac:dyDescent="0.25" r="152" customHeight="1" ht="18">
      <c r="A152" s="1"/>
      <c r="B152" s="34"/>
      <c r="C152" s="34"/>
      <c r="D152" s="228"/>
      <c r="E152" s="29"/>
      <c r="F152" s="34"/>
      <c r="G152" s="34"/>
      <c r="H152" s="34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1"/>
      <c r="U152" s="34"/>
      <c r="V152" s="34"/>
    </row>
    <row x14ac:dyDescent="0.25" r="153" customHeight="1" ht="18">
      <c r="A153" s="1"/>
      <c r="B153" s="34"/>
      <c r="C153" s="34"/>
      <c r="D153" s="228"/>
      <c r="E153" s="29"/>
      <c r="F153" s="34"/>
      <c r="G153" s="34"/>
      <c r="H153" s="34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1"/>
      <c r="U153" s="34"/>
      <c r="V153" s="34"/>
    </row>
    <row x14ac:dyDescent="0.25" r="154" customHeight="1" ht="18">
      <c r="A154" s="1"/>
      <c r="B154" s="34"/>
      <c r="C154" s="34"/>
      <c r="D154" s="228"/>
      <c r="E154" s="29"/>
      <c r="F154" s="34"/>
      <c r="G154" s="34"/>
      <c r="H154" s="34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1"/>
      <c r="U154" s="34"/>
      <c r="V154" s="34"/>
    </row>
    <row x14ac:dyDescent="0.25" r="155" customHeight="1" ht="18">
      <c r="A155" s="1"/>
      <c r="B155" s="34"/>
      <c r="C155" s="34"/>
      <c r="D155" s="228"/>
      <c r="E155" s="29"/>
      <c r="F155" s="34"/>
      <c r="G155" s="34"/>
      <c r="H155" s="34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1"/>
      <c r="U155" s="34"/>
      <c r="V155" s="34"/>
    </row>
    <row x14ac:dyDescent="0.25" r="156" customHeight="1" ht="18">
      <c r="A156" s="1"/>
      <c r="B156" s="34"/>
      <c r="C156" s="34"/>
      <c r="D156" s="228"/>
      <c r="E156" s="29"/>
      <c r="F156" s="34"/>
      <c r="G156" s="34"/>
      <c r="H156" s="34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1"/>
      <c r="U156" s="34"/>
      <c r="V156" s="34"/>
    </row>
    <row x14ac:dyDescent="0.25" r="157" customHeight="1" ht="18">
      <c r="A157" s="1"/>
      <c r="B157" s="34"/>
      <c r="C157" s="34"/>
      <c r="D157" s="228"/>
      <c r="E157" s="29"/>
      <c r="F157" s="34"/>
      <c r="G157" s="34"/>
      <c r="H157" s="34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1"/>
      <c r="U157" s="34"/>
      <c r="V157" s="34"/>
    </row>
    <row x14ac:dyDescent="0.25" r="158" customHeight="1" ht="18">
      <c r="A158" s="1"/>
      <c r="B158" s="34"/>
      <c r="C158" s="34"/>
      <c r="D158" s="228"/>
      <c r="E158" s="29"/>
      <c r="F158" s="34"/>
      <c r="G158" s="34"/>
      <c r="H158" s="34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1"/>
      <c r="U158" s="34"/>
      <c r="V158" s="34"/>
    </row>
    <row x14ac:dyDescent="0.25" r="159" customHeight="1" ht="18">
      <c r="A159" s="1"/>
      <c r="B159" s="34"/>
      <c r="C159" s="34"/>
      <c r="D159" s="228"/>
      <c r="E159" s="29"/>
      <c r="F159" s="34"/>
      <c r="G159" s="34"/>
      <c r="H159" s="34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1"/>
      <c r="U159" s="34"/>
      <c r="V159" s="34"/>
    </row>
    <row x14ac:dyDescent="0.25" r="160" customHeight="1" ht="18">
      <c r="A160" s="1"/>
      <c r="B160" s="34"/>
      <c r="C160" s="34"/>
      <c r="D160" s="228"/>
      <c r="E160" s="29"/>
      <c r="F160" s="34"/>
      <c r="G160" s="34"/>
      <c r="H160" s="34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1"/>
      <c r="U160" s="34"/>
      <c r="V160" s="34"/>
    </row>
    <row x14ac:dyDescent="0.25" r="161" customHeight="1" ht="18">
      <c r="A161" s="1"/>
      <c r="B161" s="34"/>
      <c r="C161" s="34"/>
      <c r="D161" s="228"/>
      <c r="E161" s="29"/>
      <c r="F161" s="34"/>
      <c r="G161" s="34"/>
      <c r="H161" s="34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1"/>
      <c r="U161" s="34"/>
      <c r="V161" s="34"/>
    </row>
    <row x14ac:dyDescent="0.25" r="162" customHeight="1" ht="18">
      <c r="A162" s="1"/>
      <c r="B162" s="34"/>
      <c r="C162" s="34"/>
      <c r="D162" s="228"/>
      <c r="E162" s="29"/>
      <c r="F162" s="34"/>
      <c r="G162" s="34"/>
      <c r="H162" s="34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1"/>
      <c r="U162" s="34"/>
      <c r="V162" s="34"/>
    </row>
    <row x14ac:dyDescent="0.25" r="163" customHeight="1" ht="18">
      <c r="A163" s="1"/>
      <c r="B163" s="34"/>
      <c r="C163" s="34"/>
      <c r="D163" s="228"/>
      <c r="E163" s="29"/>
      <c r="F163" s="34"/>
      <c r="G163" s="34"/>
      <c r="H163" s="34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1"/>
      <c r="U163" s="34"/>
      <c r="V163" s="34"/>
    </row>
    <row x14ac:dyDescent="0.25" r="164" customHeight="1" ht="18">
      <c r="A164" s="1"/>
      <c r="B164" s="34"/>
      <c r="C164" s="34"/>
      <c r="D164" s="228"/>
      <c r="E164" s="29"/>
      <c r="F164" s="34"/>
      <c r="G164" s="34"/>
      <c r="H164" s="34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1"/>
      <c r="U164" s="34"/>
      <c r="V164" s="34"/>
    </row>
    <row x14ac:dyDescent="0.25" r="165" customHeight="1" ht="18">
      <c r="A165" s="1"/>
      <c r="B165" s="34"/>
      <c r="C165" s="34"/>
      <c r="D165" s="228"/>
      <c r="E165" s="29"/>
      <c r="F165" s="34"/>
      <c r="G165" s="34"/>
      <c r="H165" s="34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1"/>
      <c r="U165" s="34"/>
      <c r="V165" s="34"/>
    </row>
    <row x14ac:dyDescent="0.25" r="166" customHeight="1" ht="18">
      <c r="A166" s="1"/>
      <c r="B166" s="34"/>
      <c r="C166" s="34"/>
      <c r="D166" s="228"/>
      <c r="E166" s="29"/>
      <c r="F166" s="34"/>
      <c r="G166" s="34"/>
      <c r="H166" s="34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1"/>
      <c r="U166" s="34"/>
      <c r="V166" s="34"/>
    </row>
    <row x14ac:dyDescent="0.25" r="167" customHeight="1" ht="18">
      <c r="A167" s="1"/>
      <c r="B167" s="34"/>
      <c r="C167" s="34"/>
      <c r="D167" s="228"/>
      <c r="E167" s="29"/>
      <c r="F167" s="34"/>
      <c r="G167" s="34"/>
      <c r="H167" s="34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1"/>
      <c r="U167" s="34"/>
      <c r="V167" s="34"/>
    </row>
    <row x14ac:dyDescent="0.25" r="168" customHeight="1" ht="18">
      <c r="A168" s="1"/>
      <c r="B168" s="34"/>
      <c r="C168" s="34"/>
      <c r="D168" s="228"/>
      <c r="E168" s="29"/>
      <c r="F168" s="34"/>
      <c r="G168" s="34"/>
      <c r="H168" s="34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1"/>
      <c r="U168" s="34"/>
      <c r="V168" s="34"/>
    </row>
    <row x14ac:dyDescent="0.25" r="169" customHeight="1" ht="18">
      <c r="A169" s="1"/>
      <c r="B169" s="34"/>
      <c r="C169" s="34"/>
      <c r="D169" s="228"/>
      <c r="E169" s="29"/>
      <c r="F169" s="34"/>
      <c r="G169" s="34"/>
      <c r="H169" s="34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1"/>
      <c r="U169" s="34"/>
      <c r="V169" s="34"/>
    </row>
    <row x14ac:dyDescent="0.25" r="170" customHeight="1" ht="18">
      <c r="A170" s="1"/>
      <c r="B170" s="34"/>
      <c r="C170" s="34"/>
      <c r="D170" s="228"/>
      <c r="E170" s="29"/>
      <c r="F170" s="34"/>
      <c r="G170" s="34"/>
      <c r="H170" s="34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1"/>
      <c r="U170" s="34"/>
      <c r="V170" s="34"/>
    </row>
    <row x14ac:dyDescent="0.25" r="171" customHeight="1" ht="18">
      <c r="A171" s="1"/>
      <c r="B171" s="34"/>
      <c r="C171" s="34"/>
      <c r="D171" s="228"/>
      <c r="E171" s="29"/>
      <c r="F171" s="34"/>
      <c r="G171" s="34"/>
      <c r="H171" s="34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1"/>
      <c r="U171" s="34"/>
      <c r="V171" s="34"/>
    </row>
    <row x14ac:dyDescent="0.25" r="172" customHeight="1" ht="18">
      <c r="A172" s="1"/>
      <c r="B172" s="34"/>
      <c r="C172" s="34"/>
      <c r="D172" s="228"/>
      <c r="E172" s="29"/>
      <c r="F172" s="34"/>
      <c r="G172" s="34"/>
      <c r="H172" s="34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1"/>
      <c r="U172" s="34"/>
      <c r="V172" s="34"/>
    </row>
    <row x14ac:dyDescent="0.25" r="173" customHeight="1" ht="18">
      <c r="A173" s="1"/>
      <c r="B173" s="34"/>
      <c r="C173" s="34"/>
      <c r="D173" s="228"/>
      <c r="E173" s="29"/>
      <c r="F173" s="34"/>
      <c r="G173" s="34"/>
      <c r="H173" s="34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1"/>
      <c r="U173" s="34"/>
      <c r="V173" s="34"/>
    </row>
    <row x14ac:dyDescent="0.25" r="174" customHeight="1" ht="18">
      <c r="A174" s="1"/>
      <c r="B174" s="34"/>
      <c r="C174" s="34"/>
      <c r="D174" s="228"/>
      <c r="E174" s="29"/>
      <c r="F174" s="34"/>
      <c r="G174" s="34"/>
      <c r="H174" s="34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1"/>
      <c r="U174" s="34"/>
      <c r="V174" s="34"/>
    </row>
    <row x14ac:dyDescent="0.25" r="175" customHeight="1" ht="18">
      <c r="A175" s="1"/>
      <c r="B175" s="34"/>
      <c r="C175" s="34"/>
      <c r="D175" s="228"/>
      <c r="E175" s="29"/>
      <c r="F175" s="34"/>
      <c r="G175" s="34"/>
      <c r="H175" s="34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1"/>
      <c r="U175" s="34"/>
      <c r="V175" s="34"/>
    </row>
    <row x14ac:dyDescent="0.25" r="176" customHeight="1" ht="18">
      <c r="A176" s="1"/>
      <c r="B176" s="34"/>
      <c r="C176" s="34"/>
      <c r="D176" s="228"/>
      <c r="E176" s="29"/>
      <c r="F176" s="34"/>
      <c r="G176" s="34"/>
      <c r="H176" s="34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1"/>
      <c r="U176" s="34"/>
      <c r="V176" s="34"/>
    </row>
    <row x14ac:dyDescent="0.25" r="177" customHeight="1" ht="18">
      <c r="A177" s="1"/>
      <c r="B177" s="34"/>
      <c r="C177" s="34"/>
      <c r="D177" s="228"/>
      <c r="E177" s="29"/>
      <c r="F177" s="34"/>
      <c r="G177" s="34"/>
      <c r="H177" s="34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1"/>
      <c r="U177" s="34"/>
      <c r="V177" s="34"/>
    </row>
    <row x14ac:dyDescent="0.25" r="178" customHeight="1" ht="18">
      <c r="A178" s="1"/>
      <c r="B178" s="34"/>
      <c r="C178" s="34"/>
      <c r="D178" s="228"/>
      <c r="E178" s="29"/>
      <c r="F178" s="34"/>
      <c r="G178" s="34"/>
      <c r="H178" s="34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1"/>
      <c r="U178" s="34"/>
      <c r="V178" s="34"/>
    </row>
    <row x14ac:dyDescent="0.25" r="179" customHeight="1" ht="18">
      <c r="A179" s="1"/>
      <c r="B179" s="34"/>
      <c r="C179" s="34"/>
      <c r="D179" s="228"/>
      <c r="E179" s="29"/>
      <c r="F179" s="34"/>
      <c r="G179" s="34"/>
      <c r="H179" s="34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1"/>
      <c r="U179" s="34"/>
      <c r="V179" s="34"/>
    </row>
    <row x14ac:dyDescent="0.25" r="180" customHeight="1" ht="18">
      <c r="A180" s="1"/>
      <c r="B180" s="34"/>
      <c r="C180" s="34"/>
      <c r="D180" s="228"/>
      <c r="E180" s="29"/>
      <c r="F180" s="34"/>
      <c r="G180" s="34"/>
      <c r="H180" s="34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1"/>
      <c r="U180" s="34"/>
      <c r="V180" s="34"/>
    </row>
    <row x14ac:dyDescent="0.25" r="181" customHeight="1" ht="18">
      <c r="A181" s="1"/>
      <c r="B181" s="34"/>
      <c r="C181" s="34"/>
      <c r="D181" s="228"/>
      <c r="E181" s="29"/>
      <c r="F181" s="34"/>
      <c r="G181" s="34"/>
      <c r="H181" s="34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1"/>
      <c r="U181" s="34"/>
      <c r="V181" s="34"/>
    </row>
    <row x14ac:dyDescent="0.25" r="182" customHeight="1" ht="18">
      <c r="A182" s="1"/>
      <c r="B182" s="34"/>
      <c r="C182" s="34"/>
      <c r="D182" s="228"/>
      <c r="E182" s="29"/>
      <c r="F182" s="34"/>
      <c r="G182" s="34"/>
      <c r="H182" s="34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1"/>
      <c r="U182" s="34"/>
      <c r="V182" s="34"/>
    </row>
    <row x14ac:dyDescent="0.25" r="183" customHeight="1" ht="18">
      <c r="A183" s="1"/>
      <c r="B183" s="34"/>
      <c r="C183" s="34"/>
      <c r="D183" s="228"/>
      <c r="E183" s="29"/>
      <c r="F183" s="34"/>
      <c r="G183" s="34"/>
      <c r="H183" s="34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1"/>
      <c r="U183" s="34"/>
      <c r="V183" s="34"/>
    </row>
    <row x14ac:dyDescent="0.25" r="184" customHeight="1" ht="18">
      <c r="A184" s="1"/>
      <c r="B184" s="34"/>
      <c r="C184" s="34"/>
      <c r="D184" s="228"/>
      <c r="E184" s="29"/>
      <c r="F184" s="34"/>
      <c r="G184" s="34"/>
      <c r="H184" s="34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1"/>
      <c r="U184" s="34"/>
      <c r="V184" s="34"/>
    </row>
    <row x14ac:dyDescent="0.25" r="185" customHeight="1" ht="18">
      <c r="A185" s="1"/>
      <c r="B185" s="34"/>
      <c r="C185" s="34"/>
      <c r="D185" s="228"/>
      <c r="E185" s="29"/>
      <c r="F185" s="34"/>
      <c r="G185" s="34"/>
      <c r="H185" s="34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1"/>
      <c r="U185" s="34"/>
      <c r="V185" s="34"/>
    </row>
    <row x14ac:dyDescent="0.25" r="186" customHeight="1" ht="18">
      <c r="A186" s="229"/>
      <c r="B186" s="230"/>
      <c r="C186" s="230"/>
      <c r="D186" s="228"/>
      <c r="E186" s="29"/>
      <c r="F186" s="34"/>
      <c r="G186" s="34"/>
      <c r="H186" s="3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1"/>
      <c r="U186" s="34"/>
      <c r="V186" s="34"/>
    </row>
    <row x14ac:dyDescent="0.25" r="187" customHeight="1" ht="18">
      <c r="A187" s="229"/>
      <c r="B187" s="230"/>
      <c r="C187" s="230"/>
      <c r="D187" s="228"/>
      <c r="E187" s="29"/>
      <c r="F187" s="34"/>
      <c r="G187" s="34"/>
      <c r="H187" s="3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1"/>
      <c r="U187" s="34"/>
      <c r="V187" s="34"/>
    </row>
    <row x14ac:dyDescent="0.25" r="188" customHeight="1" ht="18">
      <c r="A188" s="229"/>
      <c r="B188" s="230"/>
      <c r="C188" s="230"/>
      <c r="D188" s="228"/>
      <c r="E188" s="29"/>
      <c r="F188" s="34"/>
      <c r="G188" s="34"/>
      <c r="H188" s="3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1"/>
      <c r="U188" s="34"/>
      <c r="V188" s="34"/>
    </row>
    <row x14ac:dyDescent="0.25" r="189" customHeight="1" ht="18">
      <c r="A189" s="229"/>
      <c r="B189" s="230"/>
      <c r="C189" s="230"/>
      <c r="D189" s="228"/>
      <c r="E189" s="29"/>
      <c r="F189" s="34"/>
      <c r="G189" s="34"/>
      <c r="H189" s="3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1"/>
      <c r="U189" s="34"/>
      <c r="V189" s="34"/>
    </row>
    <row x14ac:dyDescent="0.25" r="190" customHeight="1" ht="18">
      <c r="A190" s="229"/>
      <c r="B190" s="230"/>
      <c r="C190" s="230"/>
      <c r="D190" s="228"/>
      <c r="E190" s="29"/>
      <c r="F190" s="34"/>
      <c r="G190" s="34"/>
      <c r="H190" s="3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1"/>
      <c r="U190" s="34"/>
      <c r="V190" s="34"/>
    </row>
    <row x14ac:dyDescent="0.25" r="191" customHeight="1" ht="18">
      <c r="A191" s="229"/>
      <c r="B191" s="230"/>
      <c r="C191" s="230"/>
      <c r="D191" s="228"/>
      <c r="E191" s="29"/>
      <c r="F191" s="34"/>
      <c r="G191" s="34"/>
      <c r="H191" s="3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1"/>
      <c r="U191" s="34"/>
      <c r="V191" s="34"/>
    </row>
    <row x14ac:dyDescent="0.25" r="192" customHeight="1" ht="18">
      <c r="A192" s="229"/>
      <c r="B192" s="230"/>
      <c r="C192" s="230"/>
      <c r="D192" s="228"/>
      <c r="E192" s="29"/>
      <c r="F192" s="34"/>
      <c r="G192" s="34"/>
      <c r="H192" s="3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1"/>
      <c r="U192" s="34"/>
      <c r="V192" s="34"/>
    </row>
    <row x14ac:dyDescent="0.25" r="193" customHeight="1" ht="18">
      <c r="A193" s="229"/>
      <c r="B193" s="230"/>
      <c r="C193" s="230"/>
      <c r="D193" s="228"/>
      <c r="E193" s="29"/>
      <c r="F193" s="34"/>
      <c r="G193" s="34"/>
      <c r="H193" s="3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1"/>
      <c r="U193" s="34"/>
      <c r="V193" s="34"/>
    </row>
    <row x14ac:dyDescent="0.25" r="194" customHeight="1" ht="18">
      <c r="A194" s="229"/>
      <c r="B194" s="230"/>
      <c r="C194" s="230"/>
      <c r="D194" s="228"/>
      <c r="E194" s="29"/>
      <c r="F194" s="34"/>
      <c r="G194" s="34"/>
      <c r="H194" s="3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1"/>
      <c r="U194" s="34"/>
      <c r="V194" s="34"/>
    </row>
    <row x14ac:dyDescent="0.25" r="195" customHeight="1" ht="18">
      <c r="A195" s="229"/>
      <c r="B195" s="230"/>
      <c r="C195" s="230"/>
      <c r="D195" s="228"/>
      <c r="E195" s="29"/>
      <c r="F195" s="34"/>
      <c r="G195" s="34"/>
      <c r="H195" s="3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1"/>
      <c r="U195" s="34"/>
      <c r="V195" s="34"/>
    </row>
    <row x14ac:dyDescent="0.25" r="196" customHeight="1" ht="18">
      <c r="A196" s="229"/>
      <c r="B196" s="230"/>
      <c r="C196" s="230"/>
      <c r="D196" s="228"/>
      <c r="E196" s="29"/>
      <c r="F196" s="34"/>
      <c r="G196" s="34"/>
      <c r="H196" s="3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1"/>
      <c r="U196" s="34"/>
      <c r="V196" s="34"/>
    </row>
    <row x14ac:dyDescent="0.25" r="197" customHeight="1" ht="18">
      <c r="A197" s="229"/>
      <c r="B197" s="230"/>
      <c r="C197" s="230"/>
      <c r="D197" s="228"/>
      <c r="E197" s="29"/>
      <c r="F197" s="34"/>
      <c r="G197" s="34"/>
      <c r="H197" s="3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1"/>
      <c r="U197" s="34"/>
      <c r="V197" s="34"/>
    </row>
    <row x14ac:dyDescent="0.25" r="198" customHeight="1" ht="18">
      <c r="A198" s="229"/>
      <c r="B198" s="230"/>
      <c r="C198" s="230"/>
      <c r="D198" s="228"/>
      <c r="E198" s="29"/>
      <c r="F198" s="34"/>
      <c r="G198" s="34"/>
      <c r="H198" s="3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1"/>
      <c r="U198" s="34"/>
      <c r="V198" s="34"/>
    </row>
    <row x14ac:dyDescent="0.25" r="199" customHeight="1" ht="18">
      <c r="A199" s="229"/>
      <c r="B199" s="230"/>
      <c r="C199" s="230"/>
      <c r="D199" s="228"/>
      <c r="E199" s="29"/>
      <c r="F199" s="34"/>
      <c r="G199" s="34"/>
      <c r="H199" s="3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1"/>
      <c r="U199" s="34"/>
      <c r="V199" s="34"/>
    </row>
    <row x14ac:dyDescent="0.25" r="200" customHeight="1" ht="18">
      <c r="A200" s="229"/>
      <c r="B200" s="230"/>
      <c r="C200" s="230"/>
      <c r="D200" s="228"/>
      <c r="E200" s="29"/>
      <c r="F200" s="34"/>
      <c r="G200" s="34"/>
      <c r="H200" s="3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1"/>
      <c r="U200" s="34"/>
      <c r="V200" s="34"/>
    </row>
    <row x14ac:dyDescent="0.25" r="201" customHeight="1" ht="18">
      <c r="A201" s="229"/>
      <c r="B201" s="230"/>
      <c r="C201" s="230"/>
      <c r="D201" s="228"/>
      <c r="E201" s="29"/>
      <c r="F201" s="34"/>
      <c r="G201" s="34"/>
      <c r="H201" s="3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1"/>
      <c r="U201" s="34"/>
      <c r="V201" s="34"/>
    </row>
    <row x14ac:dyDescent="0.25" r="202" customHeight="1" ht="18">
      <c r="A202" s="229"/>
      <c r="B202" s="230"/>
      <c r="C202" s="230"/>
      <c r="D202" s="228"/>
      <c r="E202" s="29"/>
      <c r="F202" s="34"/>
      <c r="G202" s="34"/>
      <c r="H202" s="3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1"/>
      <c r="U202" s="34"/>
      <c r="V202" s="34"/>
    </row>
    <row x14ac:dyDescent="0.25" r="203" customHeight="1" ht="18">
      <c r="A203" s="229"/>
      <c r="B203" s="230"/>
      <c r="C203" s="230"/>
      <c r="D203" s="228"/>
      <c r="E203" s="29"/>
      <c r="F203" s="34"/>
      <c r="G203" s="34"/>
      <c r="H203" s="3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1"/>
      <c r="U203" s="34"/>
      <c r="V203" s="34"/>
    </row>
    <row x14ac:dyDescent="0.25" r="204" customHeight="1" ht="18">
      <c r="A204" s="229"/>
      <c r="B204" s="230"/>
      <c r="C204" s="230"/>
      <c r="D204" s="228"/>
      <c r="E204" s="29"/>
      <c r="F204" s="34"/>
      <c r="G204" s="34"/>
      <c r="H204" s="3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1"/>
      <c r="U204" s="34"/>
      <c r="V204" s="34"/>
    </row>
    <row x14ac:dyDescent="0.25" r="205" customHeight="1" ht="18">
      <c r="A205" s="229"/>
      <c r="B205" s="230"/>
      <c r="C205" s="230"/>
      <c r="D205" s="228"/>
      <c r="E205" s="29"/>
      <c r="F205" s="34"/>
      <c r="G205" s="34"/>
      <c r="H205" s="3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1"/>
      <c r="U205" s="34"/>
      <c r="V205" s="34"/>
    </row>
    <row x14ac:dyDescent="0.25" r="206" customHeight="1" ht="18">
      <c r="A206" s="229"/>
      <c r="B206" s="230"/>
      <c r="C206" s="230"/>
      <c r="D206" s="228"/>
      <c r="E206" s="29"/>
      <c r="F206" s="34"/>
      <c r="G206" s="34"/>
      <c r="H206" s="3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1"/>
      <c r="U206" s="34"/>
      <c r="V206" s="34"/>
    </row>
    <row x14ac:dyDescent="0.25" r="207" customHeight="1" ht="18">
      <c r="A207" s="229"/>
      <c r="B207" s="230"/>
      <c r="C207" s="230"/>
      <c r="D207" s="228"/>
      <c r="E207" s="29"/>
      <c r="F207" s="34"/>
      <c r="G207" s="34"/>
      <c r="H207" s="3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1"/>
      <c r="U207" s="34"/>
      <c r="V207" s="34"/>
    </row>
    <row x14ac:dyDescent="0.25" r="208" customHeight="1" ht="18">
      <c r="A208" s="229"/>
      <c r="B208" s="230"/>
      <c r="C208" s="230"/>
      <c r="D208" s="228"/>
      <c r="E208" s="29"/>
      <c r="F208" s="34"/>
      <c r="G208" s="34"/>
      <c r="H208" s="3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1"/>
      <c r="U208" s="34"/>
      <c r="V208" s="34"/>
    </row>
    <row x14ac:dyDescent="0.25" r="209" customHeight="1" ht="18">
      <c r="A209" s="229"/>
      <c r="B209" s="230"/>
      <c r="C209" s="230"/>
      <c r="D209" s="228"/>
      <c r="E209" s="29"/>
      <c r="F209" s="34"/>
      <c r="G209" s="34"/>
      <c r="H209" s="3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1"/>
      <c r="U209" s="34"/>
      <c r="V209" s="34"/>
    </row>
    <row x14ac:dyDescent="0.25" r="210" customHeight="1" ht="18">
      <c r="A210" s="229"/>
      <c r="B210" s="230"/>
      <c r="C210" s="230"/>
      <c r="D210" s="228"/>
      <c r="E210" s="29"/>
      <c r="F210" s="34"/>
      <c r="G210" s="34"/>
      <c r="H210" s="3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1"/>
      <c r="U210" s="34"/>
      <c r="V210" s="34"/>
    </row>
    <row x14ac:dyDescent="0.25" r="211" customHeight="1" ht="18">
      <c r="A211" s="229"/>
      <c r="B211" s="230"/>
      <c r="C211" s="230"/>
      <c r="D211" s="228"/>
      <c r="E211" s="29"/>
      <c r="F211" s="34"/>
      <c r="G211" s="34"/>
      <c r="H211" s="3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1"/>
      <c r="U211" s="34"/>
      <c r="V211" s="34"/>
    </row>
    <row x14ac:dyDescent="0.25" r="212" customHeight="1" ht="18">
      <c r="A212" s="229"/>
      <c r="B212" s="230"/>
      <c r="C212" s="230"/>
      <c r="D212" s="228"/>
      <c r="E212" s="29"/>
      <c r="F212" s="34"/>
      <c r="G212" s="34"/>
      <c r="H212" s="3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1"/>
      <c r="U212" s="34"/>
      <c r="V212" s="34"/>
    </row>
    <row x14ac:dyDescent="0.25" r="213" customHeight="1" ht="18">
      <c r="A213" s="229"/>
      <c r="B213" s="230"/>
      <c r="C213" s="230"/>
      <c r="D213" s="228"/>
      <c r="E213" s="29"/>
      <c r="F213" s="34"/>
      <c r="G213" s="34"/>
      <c r="H213" s="3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1"/>
      <c r="U213" s="34"/>
      <c r="V213" s="34"/>
    </row>
    <row x14ac:dyDescent="0.25" r="214" customHeight="1" ht="18">
      <c r="A214" s="229"/>
      <c r="B214" s="230"/>
      <c r="C214" s="230"/>
      <c r="D214" s="228"/>
      <c r="E214" s="29"/>
      <c r="F214" s="34"/>
      <c r="G214" s="34"/>
      <c r="H214" s="3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1"/>
      <c r="U214" s="34"/>
      <c r="V214" s="34"/>
    </row>
    <row x14ac:dyDescent="0.25" r="215" customHeight="1" ht="18">
      <c r="A215" s="229"/>
      <c r="B215" s="230"/>
      <c r="C215" s="230"/>
      <c r="D215" s="228"/>
      <c r="E215" s="29"/>
      <c r="F215" s="34"/>
      <c r="G215" s="34"/>
      <c r="H215" s="3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1"/>
      <c r="U215" s="34"/>
      <c r="V215" s="34"/>
    </row>
    <row x14ac:dyDescent="0.25" r="216" customHeight="1" ht="18">
      <c r="A216" s="229"/>
      <c r="B216" s="230"/>
      <c r="C216" s="230"/>
      <c r="D216" s="228"/>
      <c r="E216" s="29"/>
      <c r="F216" s="34"/>
      <c r="G216" s="34"/>
      <c r="H216" s="3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1"/>
      <c r="U216" s="34"/>
      <c r="V216" s="34"/>
    </row>
    <row x14ac:dyDescent="0.25" r="217" customHeight="1" ht="18">
      <c r="A217" s="229"/>
      <c r="B217" s="230"/>
      <c r="C217" s="230"/>
      <c r="D217" s="228"/>
      <c r="E217" s="29"/>
      <c r="F217" s="34"/>
      <c r="G217" s="34"/>
      <c r="H217" s="3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1"/>
      <c r="U217" s="34"/>
      <c r="V217" s="34"/>
    </row>
    <row x14ac:dyDescent="0.25" r="218" customHeight="1" ht="18">
      <c r="A218" s="229"/>
      <c r="B218" s="230"/>
      <c r="C218" s="230"/>
      <c r="D218" s="228"/>
      <c r="E218" s="29"/>
      <c r="F218" s="34"/>
      <c r="G218" s="34"/>
      <c r="H218" s="3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1"/>
      <c r="U218" s="34"/>
      <c r="V218" s="34"/>
    </row>
    <row x14ac:dyDescent="0.25" r="219" customHeight="1" ht="18">
      <c r="A219" s="229"/>
      <c r="B219" s="230"/>
      <c r="C219" s="230"/>
      <c r="D219" s="228"/>
      <c r="E219" s="29"/>
      <c r="F219" s="34"/>
      <c r="G219" s="34"/>
      <c r="H219" s="3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1"/>
      <c r="U219" s="34"/>
      <c r="V219" s="34"/>
    </row>
    <row x14ac:dyDescent="0.25" r="220" customHeight="1" ht="18">
      <c r="A220" s="229"/>
      <c r="B220" s="230"/>
      <c r="C220" s="230"/>
      <c r="D220" s="228"/>
      <c r="E220" s="29"/>
      <c r="F220" s="34"/>
      <c r="G220" s="34"/>
      <c r="H220" s="3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1"/>
      <c r="U220" s="34"/>
      <c r="V220" s="34"/>
    </row>
    <row x14ac:dyDescent="0.25" r="221" customHeight="1" ht="18">
      <c r="A221" s="229"/>
      <c r="B221" s="230"/>
      <c r="C221" s="230"/>
      <c r="D221" s="228"/>
      <c r="E221" s="29"/>
      <c r="F221" s="34"/>
      <c r="G221" s="34"/>
      <c r="H221" s="3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1"/>
      <c r="U221" s="34"/>
      <c r="V221" s="34"/>
    </row>
    <row x14ac:dyDescent="0.25" r="222" customHeight="1" ht="18">
      <c r="A222" s="229"/>
      <c r="B222" s="230"/>
      <c r="C222" s="230"/>
      <c r="D222" s="228"/>
      <c r="E222" s="29"/>
      <c r="F222" s="34"/>
      <c r="G222" s="34"/>
      <c r="H222" s="3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1"/>
      <c r="U222" s="34"/>
      <c r="V222" s="34"/>
    </row>
    <row x14ac:dyDescent="0.25" r="223" customHeight="1" ht="18">
      <c r="A223" s="229"/>
      <c r="B223" s="230"/>
      <c r="C223" s="230"/>
      <c r="D223" s="228"/>
      <c r="E223" s="29"/>
      <c r="F223" s="34"/>
      <c r="G223" s="34"/>
      <c r="H223" s="3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1"/>
      <c r="U223" s="34"/>
      <c r="V223" s="34"/>
    </row>
    <row x14ac:dyDescent="0.25" r="224" customHeight="1" ht="18">
      <c r="A224" s="229"/>
      <c r="B224" s="230"/>
      <c r="C224" s="230"/>
      <c r="D224" s="228"/>
      <c r="E224" s="29"/>
      <c r="F224" s="34"/>
      <c r="G224" s="34"/>
      <c r="H224" s="3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1"/>
      <c r="U224" s="34"/>
      <c r="V224" s="34"/>
    </row>
    <row x14ac:dyDescent="0.25" r="225" customHeight="1" ht="18">
      <c r="A225" s="229"/>
      <c r="B225" s="230"/>
      <c r="C225" s="230"/>
      <c r="D225" s="228"/>
      <c r="E225" s="29"/>
      <c r="F225" s="34"/>
      <c r="G225" s="34"/>
      <c r="H225" s="3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1"/>
      <c r="U225" s="34"/>
      <c r="V225" s="34"/>
    </row>
    <row x14ac:dyDescent="0.25" r="226" customHeight="1" ht="18">
      <c r="A226" s="229"/>
      <c r="B226" s="230"/>
      <c r="C226" s="230"/>
      <c r="D226" s="228"/>
      <c r="E226" s="29"/>
      <c r="F226" s="34"/>
      <c r="G226" s="34"/>
      <c r="H226" s="3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1"/>
      <c r="U226" s="34"/>
      <c r="V226" s="34"/>
    </row>
    <row x14ac:dyDescent="0.25" r="227" customHeight="1" ht="18">
      <c r="A227" s="229"/>
      <c r="B227" s="230"/>
      <c r="C227" s="230"/>
      <c r="D227" s="228"/>
      <c r="E227" s="29"/>
      <c r="F227" s="34"/>
      <c r="G227" s="34"/>
      <c r="H227" s="3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1"/>
      <c r="U227" s="34"/>
      <c r="V227" s="34"/>
    </row>
    <row x14ac:dyDescent="0.25" r="228" customHeight="1" ht="18">
      <c r="A228" s="229"/>
      <c r="B228" s="230"/>
      <c r="C228" s="230"/>
      <c r="D228" s="228"/>
      <c r="E228" s="29"/>
      <c r="F228" s="34"/>
      <c r="G228" s="34"/>
      <c r="H228" s="3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1"/>
      <c r="U228" s="34"/>
      <c r="V228" s="34"/>
    </row>
    <row x14ac:dyDescent="0.25" r="229" customHeight="1" ht="18">
      <c r="A229" s="229"/>
      <c r="B229" s="230"/>
      <c r="C229" s="230"/>
      <c r="D229" s="228"/>
      <c r="E229" s="29"/>
      <c r="F229" s="34"/>
      <c r="G229" s="34"/>
      <c r="H229" s="3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1"/>
      <c r="U229" s="34"/>
      <c r="V229" s="34"/>
    </row>
    <row x14ac:dyDescent="0.25" r="230" customHeight="1" ht="18">
      <c r="A230" s="229"/>
      <c r="B230" s="230"/>
      <c r="C230" s="230"/>
      <c r="D230" s="228"/>
      <c r="E230" s="29"/>
      <c r="F230" s="34"/>
      <c r="G230" s="34"/>
      <c r="H230" s="3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1"/>
      <c r="U230" s="34"/>
      <c r="V230" s="34"/>
    </row>
    <row x14ac:dyDescent="0.25" r="231" customHeight="1" ht="18">
      <c r="A231" s="229"/>
      <c r="B231" s="230"/>
      <c r="C231" s="230"/>
      <c r="D231" s="228"/>
      <c r="E231" s="29"/>
      <c r="F231" s="34"/>
      <c r="G231" s="34"/>
      <c r="H231" s="3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1"/>
      <c r="U231" s="34"/>
      <c r="V231" s="34"/>
    </row>
    <row x14ac:dyDescent="0.25" r="232" customHeight="1" ht="18">
      <c r="A232" s="229"/>
      <c r="B232" s="230"/>
      <c r="C232" s="230"/>
      <c r="D232" s="228"/>
      <c r="E232" s="29"/>
      <c r="F232" s="34"/>
      <c r="G232" s="34"/>
      <c r="H232" s="3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1"/>
      <c r="U232" s="34"/>
      <c r="V232" s="34"/>
    </row>
    <row x14ac:dyDescent="0.25" r="233" customHeight="1" ht="18">
      <c r="A233" s="229"/>
      <c r="B233" s="230"/>
      <c r="C233" s="230"/>
      <c r="D233" s="228"/>
      <c r="E233" s="29"/>
      <c r="F233" s="34"/>
      <c r="G233" s="34"/>
      <c r="H233" s="3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1"/>
      <c r="U233" s="34"/>
      <c r="V233" s="34"/>
    </row>
    <row x14ac:dyDescent="0.25" r="234" customHeight="1" ht="18">
      <c r="A234" s="229"/>
      <c r="B234" s="230"/>
      <c r="C234" s="230"/>
      <c r="D234" s="228"/>
      <c r="E234" s="29"/>
      <c r="F234" s="34"/>
      <c r="G234" s="34"/>
      <c r="H234" s="3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1"/>
      <c r="U234" s="34"/>
      <c r="V234" s="34"/>
    </row>
    <row x14ac:dyDescent="0.25" r="235" customHeight="1" ht="18">
      <c r="A235" s="229"/>
      <c r="B235" s="230"/>
      <c r="C235" s="230"/>
      <c r="D235" s="228"/>
      <c r="E235" s="29"/>
      <c r="F235" s="34"/>
      <c r="G235" s="34"/>
      <c r="H235" s="3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1"/>
      <c r="U235" s="34"/>
      <c r="V235" s="34"/>
    </row>
    <row x14ac:dyDescent="0.25" r="236" customHeight="1" ht="18">
      <c r="A236" s="229"/>
      <c r="B236" s="230"/>
      <c r="C236" s="230"/>
      <c r="D236" s="228"/>
      <c r="E236" s="29"/>
      <c r="F236" s="34"/>
      <c r="G236" s="34"/>
      <c r="H236" s="3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1"/>
      <c r="U236" s="34"/>
      <c r="V236" s="34"/>
    </row>
    <row x14ac:dyDescent="0.25" r="237" customHeight="1" ht="18">
      <c r="A237" s="229"/>
      <c r="B237" s="230"/>
      <c r="C237" s="230"/>
      <c r="D237" s="228"/>
      <c r="E237" s="29"/>
      <c r="F237" s="34"/>
      <c r="G237" s="34"/>
      <c r="H237" s="3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1"/>
      <c r="U237" s="34"/>
      <c r="V237" s="34"/>
    </row>
    <row x14ac:dyDescent="0.25" r="238" customHeight="1" ht="18">
      <c r="A238" s="229"/>
      <c r="B238" s="230"/>
      <c r="C238" s="230"/>
      <c r="D238" s="228"/>
      <c r="E238" s="29"/>
      <c r="F238" s="34"/>
      <c r="G238" s="34"/>
      <c r="H238" s="3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1"/>
      <c r="U238" s="34"/>
      <c r="V238" s="34"/>
    </row>
    <row x14ac:dyDescent="0.25" r="239" customHeight="1" ht="18">
      <c r="A239" s="229"/>
      <c r="B239" s="230"/>
      <c r="C239" s="230"/>
      <c r="D239" s="228"/>
      <c r="E239" s="29"/>
      <c r="F239" s="34"/>
      <c r="G239" s="34"/>
      <c r="H239" s="3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1"/>
      <c r="U239" s="34"/>
      <c r="V239" s="34"/>
    </row>
    <row x14ac:dyDescent="0.25" r="240" customHeight="1" ht="18">
      <c r="A240" s="229"/>
      <c r="B240" s="230"/>
      <c r="C240" s="230"/>
      <c r="D240" s="228"/>
      <c r="E240" s="29"/>
      <c r="F240" s="34"/>
      <c r="G240" s="34"/>
      <c r="H240" s="3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1"/>
      <c r="U240" s="34"/>
      <c r="V240" s="34"/>
    </row>
    <row x14ac:dyDescent="0.25" r="241" customHeight="1" ht="18">
      <c r="A241" s="229"/>
      <c r="B241" s="230"/>
      <c r="C241" s="230"/>
      <c r="D241" s="228"/>
      <c r="E241" s="29"/>
      <c r="F241" s="34"/>
      <c r="G241" s="34"/>
      <c r="H241" s="3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1"/>
      <c r="U241" s="34"/>
      <c r="V241" s="34"/>
    </row>
    <row x14ac:dyDescent="0.25" r="242" customHeight="1" ht="18">
      <c r="A242" s="229"/>
      <c r="B242" s="230"/>
      <c r="C242" s="230"/>
      <c r="D242" s="228"/>
      <c r="E242" s="29"/>
      <c r="F242" s="34"/>
      <c r="G242" s="34"/>
      <c r="H242" s="3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1"/>
      <c r="U242" s="34"/>
      <c r="V242" s="34"/>
    </row>
    <row x14ac:dyDescent="0.25" r="243" customHeight="1" ht="18">
      <c r="A243" s="229"/>
      <c r="B243" s="230"/>
      <c r="C243" s="230"/>
      <c r="D243" s="228"/>
      <c r="E243" s="29"/>
      <c r="F243" s="34"/>
      <c r="G243" s="34"/>
      <c r="H243" s="3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1"/>
      <c r="U243" s="34"/>
      <c r="V243" s="34"/>
    </row>
    <row x14ac:dyDescent="0.25" r="244" customHeight="1" ht="18">
      <c r="A244" s="229"/>
      <c r="B244" s="230"/>
      <c r="C244" s="230"/>
      <c r="D244" s="228"/>
      <c r="E244" s="29"/>
      <c r="F244" s="34"/>
      <c r="G244" s="34"/>
      <c r="H244" s="3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1"/>
      <c r="U244" s="34"/>
      <c r="V244" s="34"/>
    </row>
    <row x14ac:dyDescent="0.25" r="245" customHeight="1" ht="18">
      <c r="A245" s="229"/>
      <c r="B245" s="230"/>
      <c r="C245" s="230"/>
      <c r="D245" s="228"/>
      <c r="E245" s="29"/>
      <c r="F245" s="34"/>
      <c r="G245" s="34"/>
      <c r="H245" s="3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1"/>
      <c r="U245" s="34"/>
      <c r="V245" s="34"/>
    </row>
    <row x14ac:dyDescent="0.25" r="246" customHeight="1" ht="18">
      <c r="A246" s="229"/>
      <c r="B246" s="230"/>
      <c r="C246" s="230"/>
      <c r="D246" s="228"/>
      <c r="E246" s="29"/>
      <c r="F246" s="34"/>
      <c r="G246" s="34"/>
      <c r="H246" s="3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1"/>
      <c r="U246" s="34"/>
      <c r="V246" s="34"/>
    </row>
    <row x14ac:dyDescent="0.25" r="247" customHeight="1" ht="18">
      <c r="A247" s="229"/>
      <c r="B247" s="230"/>
      <c r="C247" s="230"/>
      <c r="D247" s="228"/>
      <c r="E247" s="29"/>
      <c r="F247" s="34"/>
      <c r="G247" s="34"/>
      <c r="H247" s="3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1"/>
      <c r="U247" s="34"/>
      <c r="V247" s="34"/>
    </row>
    <row x14ac:dyDescent="0.25" r="248" customHeight="1" ht="18">
      <c r="A248" s="229"/>
      <c r="B248" s="230"/>
      <c r="C248" s="230"/>
      <c r="D248" s="228"/>
      <c r="E248" s="29"/>
      <c r="F248" s="34"/>
      <c r="G248" s="34"/>
      <c r="H248" s="3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1"/>
      <c r="U248" s="34"/>
      <c r="V248" s="34"/>
    </row>
    <row x14ac:dyDescent="0.25" r="249" customHeight="1" ht="18">
      <c r="A249" s="229"/>
      <c r="B249" s="230"/>
      <c r="C249" s="230"/>
      <c r="D249" s="228"/>
      <c r="E249" s="29"/>
      <c r="F249" s="34"/>
      <c r="G249" s="34"/>
      <c r="H249" s="3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1"/>
      <c r="U249" s="34"/>
      <c r="V249" s="34"/>
    </row>
    <row x14ac:dyDescent="0.25" r="250" customHeight="1" ht="18">
      <c r="A250" s="229"/>
      <c r="B250" s="230"/>
      <c r="C250" s="230"/>
      <c r="D250" s="228"/>
      <c r="E250" s="29"/>
      <c r="F250" s="34"/>
      <c r="G250" s="34"/>
      <c r="H250" s="3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1"/>
      <c r="U250" s="34"/>
      <c r="V250" s="34"/>
    </row>
    <row x14ac:dyDescent="0.25" r="251" customHeight="1" ht="18">
      <c r="A251" s="229"/>
      <c r="B251" s="230"/>
      <c r="C251" s="230"/>
      <c r="D251" s="228"/>
      <c r="E251" s="29"/>
      <c r="F251" s="34"/>
      <c r="G251" s="34"/>
      <c r="H251" s="3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1"/>
      <c r="U251" s="34"/>
      <c r="V251" s="34"/>
    </row>
    <row x14ac:dyDescent="0.25" r="252" customHeight="1" ht="18">
      <c r="A252" s="229"/>
      <c r="B252" s="230"/>
      <c r="C252" s="230"/>
      <c r="D252" s="228"/>
      <c r="E252" s="29"/>
      <c r="F252" s="34"/>
      <c r="G252" s="34"/>
      <c r="H252" s="3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1"/>
      <c r="U252" s="34"/>
      <c r="V252" s="34"/>
    </row>
    <row x14ac:dyDescent="0.25" r="253" customHeight="1" ht="18">
      <c r="A253" s="229"/>
      <c r="B253" s="230"/>
      <c r="C253" s="230"/>
      <c r="D253" s="228"/>
      <c r="E253" s="29"/>
      <c r="F253" s="34"/>
      <c r="G253" s="34"/>
      <c r="H253" s="3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1"/>
      <c r="U253" s="34"/>
      <c r="V253" s="34"/>
    </row>
    <row x14ac:dyDescent="0.25" r="254" customHeight="1" ht="18">
      <c r="A254" s="229"/>
      <c r="B254" s="230"/>
      <c r="C254" s="230"/>
      <c r="D254" s="228"/>
      <c r="E254" s="29"/>
      <c r="F254" s="34"/>
      <c r="G254" s="34"/>
      <c r="H254" s="3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1"/>
      <c r="U254" s="34"/>
      <c r="V254" s="34"/>
    </row>
    <row x14ac:dyDescent="0.25" r="255" customHeight="1" ht="18">
      <c r="A255" s="229"/>
      <c r="B255" s="230"/>
      <c r="C255" s="230"/>
      <c r="D255" s="228"/>
      <c r="E255" s="29"/>
      <c r="F255" s="34"/>
      <c r="G255" s="34"/>
      <c r="H255" s="3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1"/>
      <c r="U255" s="34"/>
      <c r="V255" s="34"/>
    </row>
    <row x14ac:dyDescent="0.25" r="256" customHeight="1" ht="18">
      <c r="A256" s="229"/>
      <c r="B256" s="230"/>
      <c r="C256" s="230"/>
      <c r="D256" s="228"/>
      <c r="E256" s="29"/>
      <c r="F256" s="34"/>
      <c r="G256" s="34"/>
      <c r="H256" s="3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1"/>
      <c r="U256" s="34"/>
      <c r="V256" s="34"/>
    </row>
    <row x14ac:dyDescent="0.25" r="257" customHeight="1" ht="18">
      <c r="A257" s="229"/>
      <c r="B257" s="230"/>
      <c r="C257" s="230"/>
      <c r="D257" s="228"/>
      <c r="E257" s="29"/>
      <c r="F257" s="34"/>
      <c r="G257" s="34"/>
      <c r="H257" s="3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1"/>
      <c r="U257" s="34"/>
      <c r="V257" s="34"/>
    </row>
    <row x14ac:dyDescent="0.25" r="258" customHeight="1" ht="18">
      <c r="A258" s="229"/>
      <c r="B258" s="230"/>
      <c r="C258" s="230"/>
      <c r="D258" s="228"/>
      <c r="E258" s="29"/>
      <c r="F258" s="34"/>
      <c r="G258" s="34"/>
      <c r="H258" s="3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1"/>
      <c r="U258" s="34"/>
      <c r="V258" s="34"/>
    </row>
    <row x14ac:dyDescent="0.25" r="259" customHeight="1" ht="18">
      <c r="A259" s="229"/>
      <c r="B259" s="230"/>
      <c r="C259" s="230"/>
      <c r="D259" s="228"/>
      <c r="E259" s="29"/>
      <c r="F259" s="34"/>
      <c r="G259" s="34"/>
      <c r="H259" s="3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1"/>
      <c r="U259" s="34"/>
      <c r="V259" s="34"/>
    </row>
    <row x14ac:dyDescent="0.25" r="260" customHeight="1" ht="18">
      <c r="A260" s="229"/>
      <c r="B260" s="230"/>
      <c r="C260" s="230"/>
      <c r="D260" s="228"/>
      <c r="E260" s="29"/>
      <c r="F260" s="34"/>
      <c r="G260" s="34"/>
      <c r="H260" s="3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1"/>
      <c r="U260" s="34"/>
      <c r="V260" s="34"/>
    </row>
    <row x14ac:dyDescent="0.25" r="261" customHeight="1" ht="18">
      <c r="A261" s="229"/>
      <c r="B261" s="230"/>
      <c r="C261" s="230"/>
      <c r="D261" s="228"/>
      <c r="E261" s="29"/>
      <c r="F261" s="34"/>
      <c r="G261" s="34"/>
      <c r="H261" s="3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1"/>
      <c r="U261" s="34"/>
      <c r="V261" s="34"/>
    </row>
    <row x14ac:dyDescent="0.25" r="262" customHeight="1" ht="18">
      <c r="A262" s="229"/>
      <c r="B262" s="230"/>
      <c r="C262" s="230"/>
      <c r="D262" s="228"/>
      <c r="E262" s="29"/>
      <c r="F262" s="34"/>
      <c r="G262" s="34"/>
      <c r="H262" s="3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1"/>
      <c r="U262" s="34"/>
      <c r="V262" s="34"/>
    </row>
    <row x14ac:dyDescent="0.25" r="263" customHeight="1" ht="18">
      <c r="A263" s="229"/>
      <c r="B263" s="230"/>
      <c r="C263" s="230"/>
      <c r="D263" s="228"/>
      <c r="E263" s="29"/>
      <c r="F263" s="34"/>
      <c r="G263" s="34"/>
      <c r="H263" s="3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1"/>
      <c r="U263" s="34"/>
      <c r="V263" s="34"/>
    </row>
    <row x14ac:dyDescent="0.25" r="264" customHeight="1" ht="18">
      <c r="A264" s="229"/>
      <c r="B264" s="230"/>
      <c r="C264" s="230"/>
      <c r="D264" s="228"/>
      <c r="E264" s="29"/>
      <c r="F264" s="34"/>
      <c r="G264" s="34"/>
      <c r="H264" s="3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1"/>
      <c r="U264" s="34"/>
      <c r="V264" s="34"/>
    </row>
    <row x14ac:dyDescent="0.25" r="265" customHeight="1" ht="18">
      <c r="A265" s="229"/>
      <c r="B265" s="230"/>
      <c r="C265" s="230"/>
      <c r="D265" s="228"/>
      <c r="E265" s="29"/>
      <c r="F265" s="34"/>
      <c r="G265" s="34"/>
      <c r="H265" s="3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1"/>
      <c r="U265" s="34"/>
      <c r="V265" s="34"/>
    </row>
    <row x14ac:dyDescent="0.25" r="266" customHeight="1" ht="18">
      <c r="A266" s="229"/>
      <c r="B266" s="230"/>
      <c r="C266" s="230"/>
      <c r="D266" s="228"/>
      <c r="E266" s="29"/>
      <c r="F266" s="34"/>
      <c r="G266" s="34"/>
      <c r="H266" s="3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1"/>
      <c r="U266" s="34"/>
      <c r="V266" s="34"/>
    </row>
    <row x14ac:dyDescent="0.25" r="267" customHeight="1" ht="18">
      <c r="A267" s="229"/>
      <c r="B267" s="230"/>
      <c r="C267" s="230"/>
      <c r="D267" s="228"/>
      <c r="E267" s="29"/>
      <c r="F267" s="34"/>
      <c r="G267" s="34"/>
      <c r="H267" s="3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1"/>
      <c r="U267" s="34"/>
      <c r="V267" s="34"/>
    </row>
    <row x14ac:dyDescent="0.25" r="268" customHeight="1" ht="18">
      <c r="A268" s="229"/>
      <c r="B268" s="230"/>
      <c r="C268" s="230"/>
      <c r="D268" s="228"/>
      <c r="E268" s="29"/>
      <c r="F268" s="34"/>
      <c r="G268" s="34"/>
      <c r="H268" s="3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1"/>
      <c r="U268" s="34"/>
      <c r="V268" s="34"/>
    </row>
    <row x14ac:dyDescent="0.25" r="269" customHeight="1" ht="18">
      <c r="A269" s="229"/>
      <c r="B269" s="230"/>
      <c r="C269" s="230"/>
      <c r="D269" s="228"/>
      <c r="E269" s="29"/>
      <c r="F269" s="34"/>
      <c r="G269" s="34"/>
      <c r="H269" s="3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1"/>
      <c r="U269" s="34"/>
      <c r="V269" s="34"/>
    </row>
    <row x14ac:dyDescent="0.25" r="270" customHeight="1" ht="18">
      <c r="A270" s="229"/>
      <c r="B270" s="230"/>
      <c r="C270" s="230"/>
      <c r="D270" s="228"/>
      <c r="E270" s="29"/>
      <c r="F270" s="34"/>
      <c r="G270" s="34"/>
      <c r="H270" s="3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1"/>
      <c r="U270" s="34"/>
      <c r="V270" s="34"/>
    </row>
    <row x14ac:dyDescent="0.25" r="271" customHeight="1" ht="18">
      <c r="A271" s="229"/>
      <c r="B271" s="230"/>
      <c r="C271" s="230"/>
      <c r="D271" s="228"/>
      <c r="E271" s="29"/>
      <c r="F271" s="34"/>
      <c r="G271" s="34"/>
      <c r="H271" s="3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1"/>
      <c r="U271" s="34"/>
      <c r="V271" s="34"/>
    </row>
    <row x14ac:dyDescent="0.25" r="272" customHeight="1" ht="18">
      <c r="A272" s="229"/>
      <c r="B272" s="230"/>
      <c r="C272" s="230"/>
      <c r="D272" s="228"/>
      <c r="E272" s="29"/>
      <c r="F272" s="34"/>
      <c r="G272" s="34"/>
      <c r="H272" s="3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1"/>
      <c r="U272" s="34"/>
      <c r="V272" s="34"/>
    </row>
    <row x14ac:dyDescent="0.25" r="273" customHeight="1" ht="18">
      <c r="A273" s="229"/>
      <c r="B273" s="230"/>
      <c r="C273" s="230"/>
      <c r="D273" s="228"/>
      <c r="E273" s="29"/>
      <c r="F273" s="34"/>
      <c r="G273" s="34"/>
      <c r="H273" s="3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1"/>
      <c r="U273" s="34"/>
      <c r="V273" s="34"/>
    </row>
    <row x14ac:dyDescent="0.25" r="274" customHeight="1" ht="18">
      <c r="A274" s="229"/>
      <c r="B274" s="230"/>
      <c r="C274" s="230"/>
      <c r="D274" s="228"/>
      <c r="E274" s="29"/>
      <c r="F274" s="34"/>
      <c r="G274" s="34"/>
      <c r="H274" s="3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1"/>
      <c r="U274" s="34"/>
      <c r="V274" s="34"/>
    </row>
    <row x14ac:dyDescent="0.25" r="275" customHeight="1" ht="18">
      <c r="A275" s="229"/>
      <c r="B275" s="230"/>
      <c r="C275" s="230"/>
      <c r="D275" s="228"/>
      <c r="E275" s="29"/>
      <c r="F275" s="34"/>
      <c r="G275" s="34"/>
      <c r="H275" s="3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1"/>
      <c r="U275" s="34"/>
      <c r="V275" s="34"/>
    </row>
    <row x14ac:dyDescent="0.25" r="276" customHeight="1" ht="18">
      <c r="A276" s="229"/>
      <c r="B276" s="230"/>
      <c r="C276" s="230"/>
      <c r="D276" s="228"/>
      <c r="E276" s="29"/>
      <c r="F276" s="34"/>
      <c r="G276" s="34"/>
      <c r="H276" s="3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1"/>
      <c r="U276" s="34"/>
      <c r="V276" s="34"/>
    </row>
    <row x14ac:dyDescent="0.25" r="277" customHeight="1" ht="18">
      <c r="A277" s="229"/>
      <c r="B277" s="230"/>
      <c r="C277" s="230"/>
      <c r="D277" s="228"/>
      <c r="E277" s="29"/>
      <c r="F277" s="34"/>
      <c r="G277" s="34"/>
      <c r="H277" s="3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1"/>
      <c r="U277" s="34"/>
      <c r="V277" s="34"/>
    </row>
    <row x14ac:dyDescent="0.25" r="278" customHeight="1" ht="18">
      <c r="A278" s="229"/>
      <c r="B278" s="230"/>
      <c r="C278" s="230"/>
      <c r="D278" s="228"/>
      <c r="E278" s="29"/>
      <c r="F278" s="34"/>
      <c r="G278" s="34"/>
      <c r="H278" s="3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1"/>
      <c r="U278" s="34"/>
      <c r="V278" s="34"/>
    </row>
    <row x14ac:dyDescent="0.25" r="279" customHeight="1" ht="18">
      <c r="A279" s="229"/>
      <c r="B279" s="230"/>
      <c r="C279" s="230"/>
      <c r="D279" s="228"/>
      <c r="E279" s="29"/>
      <c r="F279" s="34"/>
      <c r="G279" s="34"/>
      <c r="H279" s="3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1"/>
      <c r="U279" s="34"/>
      <c r="V279" s="34"/>
    </row>
    <row x14ac:dyDescent="0.25" r="280" customHeight="1" ht="18">
      <c r="A280" s="229"/>
      <c r="B280" s="230"/>
      <c r="C280" s="230"/>
      <c r="D280" s="228"/>
      <c r="E280" s="29"/>
      <c r="F280" s="34"/>
      <c r="G280" s="34"/>
      <c r="H280" s="3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1"/>
      <c r="U280" s="34"/>
      <c r="V280" s="34"/>
    </row>
    <row x14ac:dyDescent="0.25" r="281" customHeight="1" ht="18">
      <c r="A281" s="229"/>
      <c r="B281" s="230"/>
      <c r="C281" s="230"/>
      <c r="D281" s="228"/>
      <c r="E281" s="29"/>
      <c r="F281" s="34"/>
      <c r="G281" s="34"/>
      <c r="H281" s="3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1"/>
      <c r="U281" s="34"/>
      <c r="V281" s="34"/>
    </row>
    <row x14ac:dyDescent="0.25" r="282" customHeight="1" ht="18">
      <c r="A282" s="229"/>
      <c r="B282" s="230"/>
      <c r="C282" s="230"/>
      <c r="D282" s="228"/>
      <c r="E282" s="29"/>
      <c r="F282" s="34"/>
      <c r="G282" s="34"/>
      <c r="H282" s="3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1"/>
      <c r="U282" s="34"/>
      <c r="V282" s="34"/>
    </row>
    <row x14ac:dyDescent="0.25" r="283" customHeight="1" ht="18">
      <c r="A283" s="229"/>
      <c r="B283" s="230"/>
      <c r="C283" s="230"/>
      <c r="D283" s="228"/>
      <c r="E283" s="29"/>
      <c r="F283" s="34"/>
      <c r="G283" s="34"/>
      <c r="H283" s="3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1"/>
      <c r="U283" s="34"/>
      <c r="V283" s="34"/>
    </row>
    <row x14ac:dyDescent="0.25" r="284" customHeight="1" ht="18">
      <c r="A284" s="229"/>
      <c r="B284" s="230"/>
      <c r="C284" s="230"/>
      <c r="D284" s="228"/>
      <c r="E284" s="29"/>
      <c r="F284" s="34"/>
      <c r="G284" s="34"/>
      <c r="H284" s="3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1"/>
      <c r="U284" s="34"/>
      <c r="V284" s="34"/>
    </row>
    <row x14ac:dyDescent="0.25" r="285" customHeight="1" ht="18">
      <c r="A285" s="229"/>
      <c r="B285" s="230"/>
      <c r="C285" s="230"/>
      <c r="D285" s="228"/>
      <c r="E285" s="29"/>
      <c r="F285" s="34"/>
      <c r="G285" s="34"/>
      <c r="H285" s="3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1"/>
      <c r="U285" s="34"/>
      <c r="V285" s="34"/>
    </row>
    <row x14ac:dyDescent="0.25" r="286" customHeight="1" ht="18">
      <c r="A286" s="229"/>
      <c r="B286" s="230"/>
      <c r="C286" s="230"/>
      <c r="D286" s="228"/>
      <c r="E286" s="29"/>
      <c r="F286" s="34"/>
      <c r="G286" s="34"/>
      <c r="H286" s="3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1"/>
      <c r="U286" s="34"/>
      <c r="V286" s="34"/>
    </row>
    <row x14ac:dyDescent="0.25" r="287" customHeight="1" ht="18">
      <c r="A287" s="229"/>
      <c r="B287" s="230"/>
      <c r="C287" s="230"/>
      <c r="D287" s="228"/>
      <c r="E287" s="29"/>
      <c r="F287" s="34"/>
      <c r="G287" s="34"/>
      <c r="H287" s="3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1"/>
      <c r="U287" s="34"/>
      <c r="V287" s="34"/>
    </row>
    <row x14ac:dyDescent="0.25" r="288" customHeight="1" ht="18">
      <c r="A288" s="229"/>
      <c r="B288" s="230"/>
      <c r="C288" s="230"/>
      <c r="D288" s="228"/>
      <c r="E288" s="29"/>
      <c r="F288" s="34"/>
      <c r="G288" s="34"/>
      <c r="H288" s="3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1"/>
      <c r="U288" s="34"/>
      <c r="V288" s="34"/>
    </row>
    <row x14ac:dyDescent="0.25" r="289" customHeight="1" ht="18">
      <c r="A289" s="229"/>
      <c r="B289" s="230"/>
      <c r="C289" s="230"/>
      <c r="D289" s="228"/>
      <c r="E289" s="29"/>
      <c r="F289" s="34"/>
      <c r="G289" s="34"/>
      <c r="H289" s="3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1"/>
      <c r="U289" s="34"/>
      <c r="V289" s="34"/>
    </row>
    <row x14ac:dyDescent="0.25" r="290" customHeight="1" ht="18">
      <c r="A290" s="229"/>
      <c r="B290" s="230"/>
      <c r="C290" s="230"/>
      <c r="D290" s="228"/>
      <c r="E290" s="29"/>
      <c r="F290" s="34"/>
      <c r="G290" s="34"/>
      <c r="H290" s="3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1"/>
      <c r="U290" s="34"/>
      <c r="V290" s="34"/>
    </row>
    <row x14ac:dyDescent="0.25" r="291" customHeight="1" ht="18">
      <c r="A291" s="229"/>
      <c r="B291" s="230"/>
      <c r="C291" s="230"/>
      <c r="D291" s="228"/>
      <c r="E291" s="29"/>
      <c r="F291" s="34"/>
      <c r="G291" s="34"/>
      <c r="H291" s="3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1"/>
      <c r="U291" s="34"/>
      <c r="V291" s="34"/>
    </row>
    <row x14ac:dyDescent="0.25" r="292" customHeight="1" ht="18">
      <c r="A292" s="229"/>
      <c r="B292" s="230"/>
      <c r="C292" s="230"/>
      <c r="D292" s="228"/>
      <c r="E292" s="29"/>
      <c r="F292" s="34"/>
      <c r="G292" s="34"/>
      <c r="H292" s="3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1"/>
      <c r="U292" s="34"/>
      <c r="V292" s="34"/>
    </row>
    <row x14ac:dyDescent="0.25" r="293" customHeight="1" ht="18">
      <c r="A293" s="229"/>
      <c r="B293" s="230"/>
      <c r="C293" s="230"/>
      <c r="D293" s="228"/>
      <c r="E293" s="29"/>
      <c r="F293" s="34"/>
      <c r="G293" s="34"/>
      <c r="H293" s="3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1"/>
      <c r="U293" s="34"/>
      <c r="V293" s="34"/>
    </row>
    <row x14ac:dyDescent="0.25" r="294" customHeight="1" ht="18">
      <c r="A294" s="229"/>
      <c r="B294" s="230"/>
      <c r="C294" s="230"/>
      <c r="D294" s="228"/>
      <c r="E294" s="29"/>
      <c r="F294" s="34"/>
      <c r="G294" s="34"/>
      <c r="H294" s="3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1"/>
      <c r="U294" s="34"/>
      <c r="V294" s="34"/>
    </row>
    <row x14ac:dyDescent="0.25" r="295" customHeight="1" ht="18">
      <c r="A295" s="229"/>
      <c r="B295" s="230"/>
      <c r="C295" s="230"/>
      <c r="D295" s="228"/>
      <c r="E295" s="29"/>
      <c r="F295" s="34"/>
      <c r="G295" s="34"/>
      <c r="H295" s="3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1"/>
      <c r="U295" s="34"/>
      <c r="V295" s="34"/>
    </row>
    <row x14ac:dyDescent="0.25" r="296" customHeight="1" ht="18">
      <c r="A296" s="229"/>
      <c r="B296" s="230"/>
      <c r="C296" s="230"/>
      <c r="D296" s="228"/>
      <c r="E296" s="29"/>
      <c r="F296" s="34"/>
      <c r="G296" s="34"/>
      <c r="H296" s="3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1"/>
      <c r="U296" s="34"/>
      <c r="V296" s="34"/>
    </row>
    <row x14ac:dyDescent="0.25" r="297" customHeight="1" ht="18">
      <c r="A297" s="229"/>
      <c r="B297" s="230"/>
      <c r="C297" s="230"/>
      <c r="D297" s="228"/>
      <c r="E297" s="29"/>
      <c r="F297" s="34"/>
      <c r="G297" s="34"/>
      <c r="H297" s="3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1"/>
      <c r="U297" s="34"/>
      <c r="V297" s="34"/>
    </row>
    <row x14ac:dyDescent="0.25" r="298" customHeight="1" ht="18">
      <c r="A298" s="229"/>
      <c r="B298" s="230"/>
      <c r="C298" s="230"/>
      <c r="D298" s="228"/>
      <c r="E298" s="29"/>
      <c r="F298" s="34"/>
      <c r="G298" s="34"/>
      <c r="H298" s="3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1"/>
      <c r="U298" s="34"/>
      <c r="V298" s="34"/>
    </row>
    <row x14ac:dyDescent="0.25" r="299" customHeight="1" ht="18">
      <c r="A299" s="229"/>
      <c r="B299" s="230"/>
      <c r="C299" s="230"/>
      <c r="D299" s="228"/>
      <c r="E299" s="29"/>
      <c r="F299" s="34"/>
      <c r="G299" s="34"/>
      <c r="H299" s="3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1"/>
      <c r="U299" s="34"/>
      <c r="V299" s="34"/>
    </row>
    <row x14ac:dyDescent="0.25" r="300" customHeight="1" ht="18">
      <c r="A300" s="229"/>
      <c r="B300" s="230"/>
      <c r="C300" s="230"/>
      <c r="D300" s="228"/>
      <c r="E300" s="29"/>
      <c r="F300" s="34"/>
      <c r="G300" s="34"/>
      <c r="H300" s="3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1"/>
      <c r="U300" s="34"/>
      <c r="V300" s="34"/>
    </row>
    <row x14ac:dyDescent="0.25" r="301" customHeight="1" ht="18">
      <c r="A301" s="229"/>
      <c r="B301" s="230"/>
      <c r="C301" s="230"/>
      <c r="D301" s="228"/>
      <c r="E301" s="29"/>
      <c r="F301" s="34"/>
      <c r="G301" s="34"/>
      <c r="H301" s="3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1"/>
      <c r="U301" s="34"/>
      <c r="V301" s="34"/>
    </row>
    <row x14ac:dyDescent="0.25" r="302" customHeight="1" ht="18">
      <c r="A302" s="229"/>
      <c r="B302" s="230"/>
      <c r="C302" s="230"/>
      <c r="D302" s="228"/>
      <c r="E302" s="29"/>
      <c r="F302" s="34"/>
      <c r="G302" s="34"/>
      <c r="H302" s="3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1"/>
      <c r="U302" s="34"/>
      <c r="V302" s="34"/>
    </row>
    <row x14ac:dyDescent="0.25" r="303" customHeight="1" ht="18">
      <c r="A303" s="229"/>
      <c r="B303" s="230"/>
      <c r="C303" s="230"/>
      <c r="D303" s="228"/>
      <c r="E303" s="29"/>
      <c r="F303" s="34"/>
      <c r="G303" s="34"/>
      <c r="H303" s="3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1"/>
      <c r="U303" s="34"/>
      <c r="V303" s="34"/>
    </row>
    <row x14ac:dyDescent="0.25" r="304" customHeight="1" ht="18">
      <c r="A304" s="229"/>
      <c r="B304" s="230"/>
      <c r="C304" s="230"/>
      <c r="D304" s="228"/>
      <c r="E304" s="29"/>
      <c r="F304" s="34"/>
      <c r="G304" s="34"/>
      <c r="H304" s="3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1"/>
      <c r="U304" s="34"/>
      <c r="V304" s="34"/>
    </row>
    <row x14ac:dyDescent="0.25" r="305" customHeight="1" ht="18">
      <c r="A305" s="229"/>
      <c r="B305" s="230"/>
      <c r="C305" s="230"/>
      <c r="D305" s="228"/>
      <c r="E305" s="29"/>
      <c r="F305" s="34"/>
      <c r="G305" s="34"/>
      <c r="H305" s="3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1"/>
      <c r="U305" s="34"/>
      <c r="V305" s="34"/>
    </row>
    <row x14ac:dyDescent="0.25" r="306" customHeight="1" ht="18">
      <c r="A306" s="229"/>
      <c r="B306" s="230"/>
      <c r="C306" s="230"/>
      <c r="D306" s="228"/>
      <c r="E306" s="29"/>
      <c r="F306" s="34"/>
      <c r="G306" s="34"/>
      <c r="H306" s="3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1"/>
      <c r="U306" s="34"/>
      <c r="V306" s="34"/>
    </row>
    <row x14ac:dyDescent="0.25" r="307" customHeight="1" ht="18">
      <c r="A307" s="229"/>
      <c r="B307" s="230"/>
      <c r="C307" s="230"/>
      <c r="D307" s="228"/>
      <c r="E307" s="29"/>
      <c r="F307" s="34"/>
      <c r="G307" s="34"/>
      <c r="H307" s="3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1"/>
      <c r="U307" s="34"/>
      <c r="V307" s="34"/>
    </row>
    <row x14ac:dyDescent="0.25" r="308" customHeight="1" ht="18">
      <c r="A308" s="229"/>
      <c r="B308" s="230"/>
      <c r="C308" s="230"/>
      <c r="D308" s="228"/>
      <c r="E308" s="29"/>
      <c r="F308" s="34"/>
      <c r="G308" s="34"/>
      <c r="H308" s="3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1"/>
      <c r="U308" s="34"/>
      <c r="V308" s="34"/>
    </row>
    <row x14ac:dyDescent="0.25" r="309" customHeight="1" ht="18">
      <c r="A309" s="229"/>
      <c r="B309" s="230"/>
      <c r="C309" s="230"/>
      <c r="D309" s="228"/>
      <c r="E309" s="29"/>
      <c r="F309" s="34"/>
      <c r="G309" s="34"/>
      <c r="H309" s="3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1"/>
      <c r="U309" s="34"/>
      <c r="V309" s="34"/>
    </row>
    <row x14ac:dyDescent="0.25" r="310" customHeight="1" ht="18">
      <c r="A310" s="229"/>
      <c r="B310" s="230"/>
      <c r="C310" s="230"/>
      <c r="D310" s="228"/>
      <c r="E310" s="29"/>
      <c r="F310" s="34"/>
      <c r="G310" s="34"/>
      <c r="H310" s="3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1"/>
      <c r="U310" s="34"/>
      <c r="V310" s="34"/>
    </row>
    <row x14ac:dyDescent="0.25" r="311" customHeight="1" ht="18">
      <c r="A311" s="229"/>
      <c r="B311" s="230"/>
      <c r="C311" s="230"/>
      <c r="D311" s="228"/>
      <c r="E311" s="29"/>
      <c r="F311" s="34"/>
      <c r="G311" s="34"/>
      <c r="H311" s="3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1"/>
      <c r="U311" s="34"/>
      <c r="V311" s="34"/>
    </row>
    <row x14ac:dyDescent="0.25" r="312" customHeight="1" ht="18">
      <c r="A312" s="229"/>
      <c r="B312" s="230"/>
      <c r="C312" s="230"/>
      <c r="D312" s="228"/>
      <c r="E312" s="29"/>
      <c r="F312" s="34"/>
      <c r="G312" s="34"/>
      <c r="H312" s="3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1"/>
      <c r="U312" s="34"/>
      <c r="V312" s="34"/>
    </row>
    <row x14ac:dyDescent="0.25" r="313" customHeight="1" ht="18">
      <c r="A313" s="229"/>
      <c r="B313" s="230"/>
      <c r="C313" s="230"/>
      <c r="D313" s="228"/>
      <c r="E313" s="29"/>
      <c r="F313" s="34"/>
      <c r="G313" s="34"/>
      <c r="H313" s="3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1"/>
      <c r="U313" s="34"/>
      <c r="V313" s="34"/>
    </row>
    <row x14ac:dyDescent="0.25" r="314" customHeight="1" ht="18">
      <c r="A314" s="229"/>
      <c r="B314" s="230"/>
      <c r="C314" s="230"/>
      <c r="D314" s="228"/>
      <c r="E314" s="29"/>
      <c r="F314" s="34"/>
      <c r="G314" s="34"/>
      <c r="H314" s="3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1"/>
      <c r="U314" s="34"/>
      <c r="V314" s="34"/>
    </row>
    <row x14ac:dyDescent="0.25" r="315" customHeight="1" ht="18">
      <c r="A315" s="229"/>
      <c r="B315" s="230"/>
      <c r="C315" s="230"/>
      <c r="D315" s="228"/>
      <c r="E315" s="29"/>
      <c r="F315" s="34"/>
      <c r="G315" s="34"/>
      <c r="H315" s="3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1"/>
      <c r="U315" s="34"/>
      <c r="V315" s="34"/>
    </row>
    <row x14ac:dyDescent="0.25" r="316" customHeight="1" ht="18">
      <c r="A316" s="229"/>
      <c r="B316" s="230"/>
      <c r="C316" s="230"/>
      <c r="D316" s="228"/>
      <c r="E316" s="29"/>
      <c r="F316" s="34"/>
      <c r="G316" s="34"/>
      <c r="H316" s="3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1"/>
      <c r="U316" s="34"/>
      <c r="V316" s="34"/>
    </row>
    <row x14ac:dyDescent="0.25" r="317" customHeight="1" ht="18">
      <c r="A317" s="229"/>
      <c r="B317" s="230"/>
      <c r="C317" s="230"/>
      <c r="D317" s="228"/>
      <c r="E317" s="29"/>
      <c r="F317" s="34"/>
      <c r="G317" s="34"/>
      <c r="H317" s="3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1"/>
      <c r="U317" s="34"/>
      <c r="V317" s="34"/>
    </row>
    <row x14ac:dyDescent="0.25" r="318" customHeight="1" ht="18">
      <c r="A318" s="229"/>
      <c r="B318" s="230"/>
      <c r="C318" s="230"/>
      <c r="D318" s="228"/>
      <c r="E318" s="29"/>
      <c r="F318" s="34"/>
      <c r="G318" s="34"/>
      <c r="H318" s="3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1"/>
      <c r="U318" s="34"/>
      <c r="V318" s="34"/>
    </row>
    <row x14ac:dyDescent="0.25" r="319" customHeight="1" ht="18">
      <c r="A319" s="229"/>
      <c r="B319" s="230"/>
      <c r="C319" s="230"/>
      <c r="D319" s="228"/>
      <c r="E319" s="29"/>
      <c r="F319" s="34"/>
      <c r="G319" s="34"/>
      <c r="H319" s="3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1"/>
      <c r="U319" s="34"/>
      <c r="V319" s="34"/>
    </row>
    <row x14ac:dyDescent="0.25" r="320" customHeight="1" ht="18">
      <c r="A320" s="229"/>
      <c r="B320" s="230"/>
      <c r="C320" s="230"/>
      <c r="D320" s="228"/>
      <c r="E320" s="29"/>
      <c r="F320" s="34"/>
      <c r="G320" s="34"/>
      <c r="H320" s="3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1"/>
      <c r="U320" s="34"/>
      <c r="V320" s="34"/>
    </row>
    <row x14ac:dyDescent="0.25" r="321" customHeight="1" ht="18">
      <c r="A321" s="229"/>
      <c r="B321" s="230"/>
      <c r="C321" s="230"/>
      <c r="D321" s="228"/>
      <c r="E321" s="29"/>
      <c r="F321" s="34"/>
      <c r="G321" s="34"/>
      <c r="H321" s="3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1"/>
      <c r="U321" s="34"/>
      <c r="V321" s="34"/>
    </row>
    <row x14ac:dyDescent="0.25" r="322" customHeight="1" ht="18">
      <c r="A322" s="229"/>
      <c r="B322" s="230"/>
      <c r="C322" s="230"/>
      <c r="D322" s="228"/>
      <c r="E322" s="29"/>
      <c r="F322" s="34"/>
      <c r="G322" s="34"/>
      <c r="H322" s="3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1"/>
      <c r="U322" s="34"/>
      <c r="V322" s="34"/>
    </row>
    <row x14ac:dyDescent="0.25" r="323" customHeight="1" ht="18">
      <c r="A323" s="229"/>
      <c r="B323" s="230"/>
      <c r="C323" s="230"/>
      <c r="D323" s="228"/>
      <c r="E323" s="29"/>
      <c r="F323" s="34"/>
      <c r="G323" s="34"/>
      <c r="H323" s="3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1"/>
      <c r="U323" s="34"/>
      <c r="V323" s="34"/>
    </row>
    <row x14ac:dyDescent="0.25" r="324" customHeight="1" ht="18">
      <c r="A324" s="229"/>
      <c r="B324" s="230"/>
      <c r="C324" s="230"/>
      <c r="D324" s="228"/>
      <c r="E324" s="29"/>
      <c r="F324" s="34"/>
      <c r="G324" s="34"/>
      <c r="H324" s="3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1"/>
      <c r="U324" s="34"/>
      <c r="V324" s="34"/>
    </row>
    <row x14ac:dyDescent="0.25" r="325" customHeight="1" ht="18">
      <c r="A325" s="229"/>
      <c r="B325" s="230"/>
      <c r="C325" s="230"/>
      <c r="D325" s="228"/>
      <c r="E325" s="29"/>
      <c r="F325" s="34"/>
      <c r="G325" s="34"/>
      <c r="H325" s="3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1"/>
      <c r="U325" s="34"/>
      <c r="V325" s="34"/>
    </row>
    <row x14ac:dyDescent="0.25" r="326" customHeight="1" ht="18">
      <c r="A326" s="229"/>
      <c r="B326" s="230"/>
      <c r="C326" s="230"/>
      <c r="D326" s="228"/>
      <c r="E326" s="29"/>
      <c r="F326" s="34"/>
      <c r="G326" s="34"/>
      <c r="H326" s="3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1"/>
      <c r="U326" s="34"/>
      <c r="V326" s="34"/>
    </row>
    <row x14ac:dyDescent="0.25" r="327" customHeight="1" ht="18">
      <c r="A327" s="229"/>
      <c r="B327" s="230"/>
      <c r="C327" s="230"/>
      <c r="D327" s="228"/>
      <c r="E327" s="29"/>
      <c r="F327" s="34"/>
      <c r="G327" s="34"/>
      <c r="H327" s="3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1"/>
      <c r="U327" s="34"/>
      <c r="V327" s="34"/>
    </row>
    <row x14ac:dyDescent="0.25" r="328" customHeight="1" ht="18">
      <c r="A328" s="229"/>
      <c r="B328" s="230"/>
      <c r="C328" s="230"/>
      <c r="D328" s="228"/>
      <c r="E328" s="29"/>
      <c r="F328" s="34"/>
      <c r="G328" s="34"/>
      <c r="H328" s="3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1"/>
      <c r="U328" s="34"/>
      <c r="V328" s="34"/>
    </row>
    <row x14ac:dyDescent="0.25" r="329" customHeight="1" ht="18">
      <c r="A329" s="229"/>
      <c r="B329" s="230"/>
      <c r="C329" s="230"/>
      <c r="D329" s="228"/>
      <c r="E329" s="29"/>
      <c r="F329" s="34"/>
      <c r="G329" s="34"/>
      <c r="H329" s="3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1"/>
      <c r="U329" s="34"/>
      <c r="V329" s="34"/>
    </row>
    <row x14ac:dyDescent="0.25" r="330" customHeight="1" ht="18">
      <c r="A330" s="229"/>
      <c r="B330" s="230"/>
      <c r="C330" s="230"/>
      <c r="D330" s="228"/>
      <c r="E330" s="29"/>
      <c r="F330" s="34"/>
      <c r="G330" s="34"/>
      <c r="H330" s="3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1"/>
      <c r="U330" s="34"/>
      <c r="V330" s="34"/>
    </row>
    <row x14ac:dyDescent="0.25" r="331" customHeight="1" ht="18">
      <c r="A331" s="229"/>
      <c r="B331" s="230"/>
      <c r="C331" s="230"/>
      <c r="D331" s="228"/>
      <c r="E331" s="29"/>
      <c r="F331" s="34"/>
      <c r="G331" s="34"/>
      <c r="H331" s="3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1"/>
      <c r="U331" s="34"/>
      <c r="V331" s="34"/>
    </row>
    <row x14ac:dyDescent="0.25" r="332" customHeight="1" ht="18">
      <c r="A332" s="229"/>
      <c r="B332" s="230"/>
      <c r="C332" s="230"/>
      <c r="D332" s="228"/>
      <c r="E332" s="29"/>
      <c r="F332" s="34"/>
      <c r="G332" s="34"/>
      <c r="H332" s="3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1"/>
      <c r="U332" s="34"/>
      <c r="V332" s="34"/>
    </row>
    <row x14ac:dyDescent="0.25" r="333" customHeight="1" ht="18">
      <c r="A333" s="229"/>
      <c r="B333" s="230"/>
      <c r="C333" s="230"/>
      <c r="D333" s="228"/>
      <c r="E333" s="29"/>
      <c r="F333" s="34"/>
      <c r="G333" s="34"/>
      <c r="H333" s="3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1"/>
      <c r="U333" s="34"/>
      <c r="V333" s="34"/>
    </row>
    <row x14ac:dyDescent="0.25" r="334" customHeight="1" ht="18">
      <c r="A334" s="229"/>
      <c r="B334" s="230"/>
      <c r="C334" s="230"/>
      <c r="D334" s="228"/>
      <c r="E334" s="29"/>
      <c r="F334" s="34"/>
      <c r="G334" s="34"/>
      <c r="H334" s="3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1"/>
      <c r="U334" s="34"/>
      <c r="V334" s="34"/>
    </row>
    <row x14ac:dyDescent="0.25" r="335" customHeight="1" ht="18">
      <c r="A335" s="229"/>
      <c r="B335" s="230"/>
      <c r="C335" s="230"/>
      <c r="D335" s="228"/>
      <c r="E335" s="29"/>
      <c r="F335" s="34"/>
      <c r="G335" s="34"/>
      <c r="H335" s="3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1"/>
      <c r="U335" s="34"/>
      <c r="V335" s="34"/>
    </row>
    <row x14ac:dyDescent="0.25" r="336" customHeight="1" ht="18">
      <c r="A336" s="229"/>
      <c r="B336" s="230"/>
      <c r="C336" s="230"/>
      <c r="D336" s="228"/>
      <c r="E336" s="29"/>
      <c r="F336" s="34"/>
      <c r="G336" s="34"/>
      <c r="H336" s="3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1"/>
      <c r="U336" s="34"/>
      <c r="V336" s="34"/>
    </row>
    <row x14ac:dyDescent="0.25" r="337" customHeight="1" ht="18">
      <c r="A337" s="229"/>
      <c r="B337" s="230"/>
      <c r="C337" s="230"/>
      <c r="D337" s="228"/>
      <c r="E337" s="29"/>
      <c r="F337" s="34"/>
      <c r="G337" s="34"/>
      <c r="H337" s="3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1"/>
      <c r="U337" s="34"/>
      <c r="V337" s="34"/>
    </row>
    <row x14ac:dyDescent="0.25" r="338" customHeight="1" ht="18">
      <c r="A338" s="229"/>
      <c r="B338" s="230"/>
      <c r="C338" s="230"/>
      <c r="D338" s="228"/>
      <c r="E338" s="29"/>
      <c r="F338" s="34"/>
      <c r="G338" s="34"/>
      <c r="H338" s="3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1"/>
      <c r="U338" s="34"/>
      <c r="V338" s="34"/>
    </row>
    <row x14ac:dyDescent="0.25" r="339" customHeight="1" ht="18">
      <c r="A339" s="229"/>
      <c r="B339" s="230"/>
      <c r="C339" s="230"/>
      <c r="D339" s="228"/>
      <c r="E339" s="29"/>
      <c r="F339" s="34"/>
      <c r="G339" s="34"/>
      <c r="H339" s="3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1"/>
      <c r="U339" s="34"/>
      <c r="V339" s="34"/>
    </row>
    <row x14ac:dyDescent="0.25" r="340" customHeight="1" ht="18">
      <c r="A340" s="229"/>
      <c r="B340" s="230"/>
      <c r="C340" s="230"/>
      <c r="D340" s="228"/>
      <c r="E340" s="29"/>
      <c r="F340" s="34"/>
      <c r="G340" s="34"/>
      <c r="H340" s="3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1"/>
      <c r="U340" s="34"/>
      <c r="V340" s="34"/>
    </row>
    <row x14ac:dyDescent="0.25" r="341" customHeight="1" ht="18">
      <c r="A341" s="229"/>
      <c r="B341" s="230"/>
      <c r="C341" s="230"/>
      <c r="D341" s="228"/>
      <c r="E341" s="29"/>
      <c r="F341" s="34"/>
      <c r="G341" s="34"/>
      <c r="H341" s="3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1"/>
      <c r="U341" s="34"/>
      <c r="V341" s="34"/>
    </row>
    <row x14ac:dyDescent="0.25" r="342" customHeight="1" ht="18">
      <c r="A342" s="229"/>
      <c r="B342" s="230"/>
      <c r="C342" s="230"/>
      <c r="D342" s="228"/>
      <c r="E342" s="29"/>
      <c r="F342" s="34"/>
      <c r="G342" s="34"/>
      <c r="H342" s="3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1"/>
      <c r="U342" s="34"/>
      <c r="V342" s="34"/>
    </row>
    <row x14ac:dyDescent="0.25" r="343" customHeight="1" ht="18">
      <c r="A343" s="229"/>
      <c r="B343" s="230"/>
      <c r="C343" s="230"/>
      <c r="D343" s="228"/>
      <c r="E343" s="29"/>
      <c r="F343" s="34"/>
      <c r="G343" s="34"/>
      <c r="H343" s="3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1"/>
      <c r="U343" s="34"/>
      <c r="V343" s="34"/>
    </row>
    <row x14ac:dyDescent="0.25" r="344" customHeight="1" ht="15.75">
      <c r="A344" s="229"/>
      <c r="B344" s="230"/>
      <c r="C344" s="230"/>
      <c r="D344" s="228"/>
      <c r="E344" s="29"/>
      <c r="F344" s="34"/>
      <c r="G344" s="34"/>
      <c r="H344" s="3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1"/>
      <c r="U344" s="34"/>
      <c r="V344" s="34"/>
    </row>
    <row x14ac:dyDescent="0.25" r="345" customHeight="1" ht="15.75">
      <c r="A345" s="229"/>
      <c r="B345" s="230"/>
      <c r="C345" s="230"/>
      <c r="D345" s="228"/>
      <c r="E345" s="29"/>
      <c r="F345" s="34"/>
      <c r="G345" s="34"/>
      <c r="H345" s="3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1"/>
      <c r="U345" s="34"/>
      <c r="V345" s="34"/>
    </row>
    <row x14ac:dyDescent="0.25" r="346" customHeight="1" ht="15.75">
      <c r="A346" s="229"/>
      <c r="B346" s="230"/>
      <c r="C346" s="230"/>
      <c r="D346" s="228"/>
      <c r="E346" s="29"/>
      <c r="F346" s="34"/>
      <c r="G346" s="34"/>
      <c r="H346" s="3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1"/>
      <c r="U346" s="34"/>
      <c r="V346" s="34"/>
    </row>
    <row x14ac:dyDescent="0.25" r="347" customHeight="1" ht="15.75">
      <c r="A347" s="229"/>
      <c r="B347" s="230"/>
      <c r="C347" s="230"/>
      <c r="D347" s="228"/>
      <c r="E347" s="29"/>
      <c r="F347" s="34"/>
      <c r="G347" s="34"/>
      <c r="H347" s="3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1"/>
      <c r="U347" s="34"/>
      <c r="V347" s="34"/>
    </row>
    <row x14ac:dyDescent="0.25" r="348" customHeight="1" ht="15.75">
      <c r="A348" s="229"/>
      <c r="B348" s="230"/>
      <c r="C348" s="230"/>
      <c r="D348" s="228"/>
      <c r="E348" s="29"/>
      <c r="F348" s="34"/>
      <c r="G348" s="34"/>
      <c r="H348" s="3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1"/>
      <c r="U348" s="34"/>
      <c r="V348" s="34"/>
    </row>
    <row x14ac:dyDescent="0.25" r="349" customHeight="1" ht="15.75">
      <c r="A349" s="229"/>
      <c r="B349" s="230"/>
      <c r="C349" s="230"/>
      <c r="D349" s="228"/>
      <c r="E349" s="29"/>
      <c r="F349" s="34"/>
      <c r="G349" s="34"/>
      <c r="H349" s="3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1"/>
      <c r="U349" s="34"/>
      <c r="V349" s="34"/>
    </row>
    <row x14ac:dyDescent="0.25" r="350" customHeight="1" ht="15.75">
      <c r="A350" s="229"/>
      <c r="B350" s="230"/>
      <c r="C350" s="230"/>
      <c r="D350" s="228"/>
      <c r="E350" s="29"/>
      <c r="F350" s="34"/>
      <c r="G350" s="34"/>
      <c r="H350" s="3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1"/>
      <c r="U350" s="34"/>
      <c r="V350" s="34"/>
    </row>
    <row x14ac:dyDescent="0.25" r="351" customHeight="1" ht="15.75">
      <c r="A351" s="229"/>
      <c r="B351" s="230"/>
      <c r="C351" s="230"/>
      <c r="D351" s="228"/>
      <c r="E351" s="29"/>
      <c r="F351" s="34"/>
      <c r="G351" s="34"/>
      <c r="H351" s="3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1"/>
      <c r="U351" s="34"/>
      <c r="V351" s="34"/>
    </row>
    <row x14ac:dyDescent="0.25" r="352" customHeight="1" ht="15.75">
      <c r="A352" s="229"/>
      <c r="B352" s="230"/>
      <c r="C352" s="230"/>
      <c r="D352" s="228"/>
      <c r="E352" s="29"/>
      <c r="F352" s="34"/>
      <c r="G352" s="34"/>
      <c r="H352" s="3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1"/>
      <c r="U352" s="34"/>
      <c r="V352" s="34"/>
    </row>
    <row x14ac:dyDescent="0.25" r="353" customHeight="1" ht="15.75">
      <c r="A353" s="229"/>
      <c r="B353" s="230"/>
      <c r="C353" s="230"/>
      <c r="D353" s="228"/>
      <c r="E353" s="29"/>
      <c r="F353" s="34"/>
      <c r="G353" s="34"/>
      <c r="H353" s="3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1"/>
      <c r="U353" s="34"/>
      <c r="V353" s="34"/>
    </row>
    <row x14ac:dyDescent="0.25" r="354" customHeight="1" ht="15.75">
      <c r="A354" s="229"/>
      <c r="B354" s="230"/>
      <c r="C354" s="230"/>
      <c r="D354" s="228"/>
      <c r="E354" s="29"/>
      <c r="F354" s="34"/>
      <c r="G354" s="34"/>
      <c r="H354" s="3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1"/>
      <c r="U354" s="34"/>
      <c r="V354" s="34"/>
    </row>
    <row x14ac:dyDescent="0.25" r="355" customHeight="1" ht="15.75">
      <c r="A355" s="229"/>
      <c r="B355" s="230"/>
      <c r="C355" s="230"/>
      <c r="D355" s="228"/>
      <c r="E355" s="29"/>
      <c r="F355" s="34"/>
      <c r="G355" s="34"/>
      <c r="H355" s="3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1"/>
      <c r="U355" s="34"/>
      <c r="V355" s="34"/>
    </row>
    <row x14ac:dyDescent="0.25" r="356" customHeight="1" ht="15.75">
      <c r="A356" s="229"/>
      <c r="B356" s="230"/>
      <c r="C356" s="230"/>
      <c r="D356" s="228"/>
      <c r="E356" s="29"/>
      <c r="F356" s="34"/>
      <c r="G356" s="34"/>
      <c r="H356" s="3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1"/>
      <c r="U356" s="34"/>
      <c r="V356" s="34"/>
    </row>
    <row x14ac:dyDescent="0.25" r="357" customHeight="1" ht="15.75">
      <c r="A357" s="229"/>
      <c r="B357" s="230"/>
      <c r="C357" s="230"/>
      <c r="D357" s="228"/>
      <c r="E357" s="29"/>
      <c r="F357" s="34"/>
      <c r="G357" s="34"/>
      <c r="H357" s="3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1"/>
      <c r="U357" s="34"/>
      <c r="V357" s="34"/>
    </row>
    <row x14ac:dyDescent="0.25" r="358" customHeight="1" ht="15.75">
      <c r="A358" s="229"/>
      <c r="B358" s="230"/>
      <c r="C358" s="230"/>
      <c r="D358" s="228"/>
      <c r="E358" s="29"/>
      <c r="F358" s="34"/>
      <c r="G358" s="34"/>
      <c r="H358" s="3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1"/>
      <c r="U358" s="34"/>
      <c r="V358" s="34"/>
    </row>
    <row x14ac:dyDescent="0.25" r="359" customHeight="1" ht="15.75">
      <c r="A359" s="229"/>
      <c r="B359" s="230"/>
      <c r="C359" s="230"/>
      <c r="D359" s="228"/>
      <c r="E359" s="29"/>
      <c r="F359" s="34"/>
      <c r="G359" s="34"/>
      <c r="H359" s="3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1"/>
      <c r="U359" s="34"/>
      <c r="V359" s="34"/>
    </row>
    <row x14ac:dyDescent="0.25" r="360" customHeight="1" ht="15.75">
      <c r="A360" s="229"/>
      <c r="B360" s="230"/>
      <c r="C360" s="230"/>
      <c r="D360" s="228"/>
      <c r="E360" s="29"/>
      <c r="F360" s="34"/>
      <c r="G360" s="34"/>
      <c r="H360" s="3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1"/>
      <c r="U360" s="34"/>
      <c r="V360" s="34"/>
    </row>
    <row x14ac:dyDescent="0.25" r="361" customHeight="1" ht="15.75">
      <c r="A361" s="229"/>
      <c r="B361" s="230"/>
      <c r="C361" s="230"/>
      <c r="D361" s="228"/>
      <c r="E361" s="29"/>
      <c r="F361" s="34"/>
      <c r="G361" s="34"/>
      <c r="H361" s="3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1"/>
      <c r="U361" s="34"/>
      <c r="V361" s="34"/>
    </row>
    <row x14ac:dyDescent="0.25" r="362" customHeight="1" ht="15.75">
      <c r="A362" s="229"/>
      <c r="B362" s="230"/>
      <c r="C362" s="230"/>
      <c r="D362" s="228"/>
      <c r="E362" s="29"/>
      <c r="F362" s="34"/>
      <c r="G362" s="34"/>
      <c r="H362" s="3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1"/>
      <c r="U362" s="34"/>
      <c r="V362" s="34"/>
    </row>
    <row x14ac:dyDescent="0.25" r="363" customHeight="1" ht="15.75">
      <c r="A363" s="229"/>
      <c r="B363" s="230"/>
      <c r="C363" s="230"/>
      <c r="D363" s="228"/>
      <c r="E363" s="29"/>
      <c r="F363" s="34"/>
      <c r="G363" s="34"/>
      <c r="H363" s="3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1"/>
      <c r="U363" s="34"/>
      <c r="V363" s="34"/>
    </row>
    <row x14ac:dyDescent="0.25" r="364" customHeight="1" ht="15.75">
      <c r="A364" s="229"/>
      <c r="B364" s="230"/>
      <c r="C364" s="230"/>
      <c r="D364" s="228"/>
      <c r="E364" s="29"/>
      <c r="F364" s="34"/>
      <c r="G364" s="34"/>
      <c r="H364" s="3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1"/>
      <c r="U364" s="34"/>
      <c r="V364" s="34"/>
    </row>
    <row x14ac:dyDescent="0.25" r="365" customHeight="1" ht="15.75">
      <c r="A365" s="229"/>
      <c r="B365" s="230"/>
      <c r="C365" s="230"/>
      <c r="D365" s="228"/>
      <c r="E365" s="29"/>
      <c r="F365" s="34"/>
      <c r="G365" s="34"/>
      <c r="H365" s="3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1"/>
      <c r="U365" s="34"/>
      <c r="V365" s="34"/>
    </row>
    <row x14ac:dyDescent="0.25" r="366" customHeight="1" ht="15.75">
      <c r="A366" s="229"/>
      <c r="B366" s="230"/>
      <c r="C366" s="230"/>
      <c r="D366" s="228"/>
      <c r="E366" s="29"/>
      <c r="F366" s="34"/>
      <c r="G366" s="34"/>
      <c r="H366" s="3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1"/>
      <c r="U366" s="34"/>
      <c r="V366" s="34"/>
    </row>
    <row x14ac:dyDescent="0.25" r="367" customHeight="1" ht="15.75">
      <c r="A367" s="229"/>
      <c r="B367" s="230"/>
      <c r="C367" s="230"/>
      <c r="D367" s="228"/>
      <c r="E367" s="29"/>
      <c r="F367" s="34"/>
      <c r="G367" s="34"/>
      <c r="H367" s="3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1"/>
      <c r="U367" s="34"/>
      <c r="V367" s="34"/>
    </row>
    <row x14ac:dyDescent="0.25" r="368" customHeight="1" ht="15.75">
      <c r="A368" s="229"/>
      <c r="B368" s="230"/>
      <c r="C368" s="230"/>
      <c r="D368" s="228"/>
      <c r="E368" s="29"/>
      <c r="F368" s="34"/>
      <c r="G368" s="34"/>
      <c r="H368" s="3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1"/>
      <c r="U368" s="34"/>
      <c r="V368" s="34"/>
    </row>
    <row x14ac:dyDescent="0.25" r="369" customHeight="1" ht="15.75">
      <c r="A369" s="229"/>
      <c r="B369" s="230"/>
      <c r="C369" s="230"/>
      <c r="D369" s="228"/>
      <c r="E369" s="29"/>
      <c r="F369" s="34"/>
      <c r="G369" s="34"/>
      <c r="H369" s="3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1"/>
      <c r="U369" s="34"/>
      <c r="V369" s="34"/>
    </row>
    <row x14ac:dyDescent="0.25" r="370" customHeight="1" ht="15.75">
      <c r="A370" s="229"/>
      <c r="B370" s="230"/>
      <c r="C370" s="230"/>
      <c r="D370" s="228"/>
      <c r="E370" s="29"/>
      <c r="F370" s="34"/>
      <c r="G370" s="34"/>
      <c r="H370" s="3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1"/>
      <c r="U370" s="34"/>
      <c r="V370" s="34"/>
    </row>
    <row x14ac:dyDescent="0.25" r="371" customHeight="1" ht="15.75">
      <c r="A371" s="229"/>
      <c r="B371" s="230"/>
      <c r="C371" s="230"/>
      <c r="D371" s="228"/>
      <c r="E371" s="29"/>
      <c r="F371" s="34"/>
      <c r="G371" s="34"/>
      <c r="H371" s="3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1"/>
      <c r="U371" s="34"/>
      <c r="V371" s="34"/>
    </row>
    <row x14ac:dyDescent="0.25" r="372" customHeight="1" ht="15.75">
      <c r="A372" s="229"/>
      <c r="B372" s="230"/>
      <c r="C372" s="230"/>
      <c r="D372" s="228"/>
      <c r="E372" s="29"/>
      <c r="F372" s="34"/>
      <c r="G372" s="34"/>
      <c r="H372" s="3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1"/>
      <c r="U372" s="34"/>
      <c r="V372" s="34"/>
    </row>
    <row x14ac:dyDescent="0.25" r="373" customHeight="1" ht="15.75">
      <c r="A373" s="229"/>
      <c r="B373" s="230"/>
      <c r="C373" s="230"/>
      <c r="D373" s="228"/>
      <c r="E373" s="29"/>
      <c r="F373" s="34"/>
      <c r="G373" s="34"/>
      <c r="H373" s="3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1"/>
      <c r="U373" s="34"/>
      <c r="V373" s="34"/>
    </row>
    <row x14ac:dyDescent="0.25" r="374" customHeight="1" ht="15.75">
      <c r="A374" s="229"/>
      <c r="B374" s="230"/>
      <c r="C374" s="230"/>
      <c r="D374" s="228"/>
      <c r="E374" s="29"/>
      <c r="F374" s="34"/>
      <c r="G374" s="34"/>
      <c r="H374" s="3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1"/>
      <c r="U374" s="34"/>
      <c r="V374" s="34"/>
    </row>
    <row x14ac:dyDescent="0.25" r="375" customHeight="1" ht="15.75">
      <c r="A375" s="229"/>
      <c r="B375" s="230"/>
      <c r="C375" s="230"/>
      <c r="D375" s="228"/>
      <c r="E375" s="29"/>
      <c r="F375" s="34"/>
      <c r="G375" s="34"/>
      <c r="H375" s="3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1"/>
      <c r="U375" s="34"/>
      <c r="V375" s="34"/>
    </row>
    <row x14ac:dyDescent="0.25" r="376" customHeight="1" ht="15.75">
      <c r="A376" s="229"/>
      <c r="B376" s="230"/>
      <c r="C376" s="230"/>
      <c r="D376" s="228"/>
      <c r="E376" s="29"/>
      <c r="F376" s="34"/>
      <c r="G376" s="34"/>
      <c r="H376" s="3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1"/>
      <c r="U376" s="34"/>
      <c r="V376" s="34"/>
    </row>
    <row x14ac:dyDescent="0.25" r="377" customHeight="1" ht="15.75">
      <c r="A377" s="229"/>
      <c r="B377" s="230"/>
      <c r="C377" s="230"/>
      <c r="D377" s="228"/>
      <c r="E377" s="29"/>
      <c r="F377" s="34"/>
      <c r="G377" s="34"/>
      <c r="H377" s="3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1"/>
      <c r="U377" s="34"/>
      <c r="V377" s="34"/>
    </row>
    <row x14ac:dyDescent="0.25" r="378" customHeight="1" ht="15.75">
      <c r="A378" s="229"/>
      <c r="B378" s="230"/>
      <c r="C378" s="230"/>
      <c r="D378" s="228"/>
      <c r="E378" s="29"/>
      <c r="F378" s="34"/>
      <c r="G378" s="34"/>
      <c r="H378" s="3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1"/>
      <c r="U378" s="34"/>
      <c r="V378" s="34"/>
    </row>
    <row x14ac:dyDescent="0.25" r="379" customHeight="1" ht="15.75">
      <c r="A379" s="229"/>
      <c r="B379" s="230"/>
      <c r="C379" s="230"/>
      <c r="D379" s="228"/>
      <c r="E379" s="29"/>
      <c r="F379" s="34"/>
      <c r="G379" s="34"/>
      <c r="H379" s="3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1"/>
      <c r="U379" s="34"/>
      <c r="V379" s="34"/>
    </row>
    <row x14ac:dyDescent="0.25" r="380" customHeight="1" ht="15.75">
      <c r="A380" s="229"/>
      <c r="B380" s="230"/>
      <c r="C380" s="230"/>
      <c r="D380" s="228"/>
      <c r="E380" s="29"/>
      <c r="F380" s="34"/>
      <c r="G380" s="34"/>
      <c r="H380" s="3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1"/>
      <c r="U380" s="34"/>
      <c r="V380" s="34"/>
    </row>
    <row x14ac:dyDescent="0.25" r="381" customHeight="1" ht="15.75">
      <c r="A381" s="229"/>
      <c r="B381" s="230"/>
      <c r="C381" s="230"/>
      <c r="D381" s="228"/>
      <c r="E381" s="29"/>
      <c r="F381" s="34"/>
      <c r="G381" s="34"/>
      <c r="H381" s="3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1"/>
      <c r="U381" s="34"/>
      <c r="V381" s="34"/>
    </row>
    <row x14ac:dyDescent="0.25" r="382" customHeight="1" ht="15.75">
      <c r="A382" s="229"/>
      <c r="B382" s="230"/>
      <c r="C382" s="230"/>
      <c r="D382" s="228"/>
      <c r="E382" s="29"/>
      <c r="F382" s="34"/>
      <c r="G382" s="34"/>
      <c r="H382" s="3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1"/>
      <c r="U382" s="34"/>
      <c r="V382" s="34"/>
    </row>
    <row x14ac:dyDescent="0.25" r="383" customHeight="1" ht="15.75">
      <c r="A383" s="229"/>
      <c r="B383" s="230"/>
      <c r="C383" s="230"/>
      <c r="D383" s="228"/>
      <c r="E383" s="29"/>
      <c r="F383" s="34"/>
      <c r="G383" s="34"/>
      <c r="H383" s="3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1"/>
      <c r="U383" s="34"/>
      <c r="V383" s="34"/>
    </row>
    <row x14ac:dyDescent="0.25" r="384" customHeight="1" ht="15.75">
      <c r="A384" s="229"/>
      <c r="B384" s="230"/>
      <c r="C384" s="230"/>
      <c r="D384" s="228"/>
      <c r="E384" s="29"/>
      <c r="F384" s="34"/>
      <c r="G384" s="34"/>
      <c r="H384" s="3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1"/>
      <c r="U384" s="34"/>
      <c r="V384" s="34"/>
    </row>
    <row x14ac:dyDescent="0.25" r="385" customHeight="1" ht="15.75">
      <c r="A385" s="229"/>
      <c r="B385" s="230"/>
      <c r="C385" s="230"/>
      <c r="D385" s="228"/>
      <c r="E385" s="29"/>
      <c r="F385" s="34"/>
      <c r="G385" s="34"/>
      <c r="H385" s="3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1"/>
      <c r="U385" s="34"/>
      <c r="V385" s="34"/>
    </row>
    <row x14ac:dyDescent="0.25" r="386" customHeight="1" ht="15.75">
      <c r="A386" s="229"/>
      <c r="B386" s="230"/>
      <c r="C386" s="230"/>
      <c r="D386" s="228"/>
      <c r="E386" s="29"/>
      <c r="F386" s="34"/>
      <c r="G386" s="34"/>
      <c r="H386" s="3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1"/>
      <c r="U386" s="34"/>
      <c r="V386" s="34"/>
    </row>
    <row x14ac:dyDescent="0.25" r="387" customHeight="1" ht="15.75">
      <c r="A387" s="229"/>
      <c r="B387" s="230"/>
      <c r="C387" s="230"/>
      <c r="D387" s="228"/>
      <c r="E387" s="29"/>
      <c r="F387" s="34"/>
      <c r="G387" s="34"/>
      <c r="H387" s="3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1"/>
      <c r="U387" s="34"/>
      <c r="V387" s="34"/>
    </row>
    <row x14ac:dyDescent="0.25" r="388" customHeight="1" ht="15.75">
      <c r="A388" s="229"/>
      <c r="B388" s="230"/>
      <c r="C388" s="230"/>
      <c r="D388" s="228"/>
      <c r="E388" s="29"/>
      <c r="F388" s="34"/>
      <c r="G388" s="34"/>
      <c r="H388" s="3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1"/>
      <c r="U388" s="34"/>
      <c r="V388" s="34"/>
    </row>
    <row x14ac:dyDescent="0.25" r="389" customHeight="1" ht="15.75">
      <c r="A389" s="229"/>
      <c r="B389" s="230"/>
      <c r="C389" s="230"/>
      <c r="D389" s="228"/>
      <c r="E389" s="29"/>
      <c r="F389" s="34"/>
      <c r="G389" s="34"/>
      <c r="H389" s="3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1"/>
      <c r="U389" s="34"/>
      <c r="V389" s="34"/>
    </row>
    <row x14ac:dyDescent="0.25" r="390" customHeight="1" ht="15.75">
      <c r="A390" s="229"/>
      <c r="B390" s="230"/>
      <c r="C390" s="230"/>
      <c r="D390" s="228"/>
      <c r="E390" s="29"/>
      <c r="F390" s="34"/>
      <c r="G390" s="34"/>
      <c r="H390" s="3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1"/>
      <c r="U390" s="34"/>
      <c r="V390" s="34"/>
    </row>
    <row x14ac:dyDescent="0.25" r="391" customHeight="1" ht="15.75">
      <c r="A391" s="229"/>
      <c r="B391" s="230"/>
      <c r="C391" s="230"/>
      <c r="D391" s="228"/>
      <c r="E391" s="29"/>
      <c r="F391" s="34"/>
      <c r="G391" s="34"/>
      <c r="H391" s="3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1"/>
      <c r="U391" s="34"/>
      <c r="V391" s="34"/>
    </row>
    <row x14ac:dyDescent="0.25" r="392" customHeight="1" ht="15.75">
      <c r="A392" s="229"/>
      <c r="B392" s="230"/>
      <c r="C392" s="230"/>
      <c r="D392" s="228"/>
      <c r="E392" s="29"/>
      <c r="F392" s="34"/>
      <c r="G392" s="34"/>
      <c r="H392" s="3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1"/>
      <c r="U392" s="34"/>
      <c r="V392" s="34"/>
    </row>
    <row x14ac:dyDescent="0.25" r="393" customHeight="1" ht="15.75">
      <c r="A393" s="229"/>
      <c r="B393" s="230"/>
      <c r="C393" s="230"/>
      <c r="D393" s="228"/>
      <c r="E393" s="29"/>
      <c r="F393" s="34"/>
      <c r="G393" s="34"/>
      <c r="H393" s="3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1"/>
      <c r="U393" s="34"/>
      <c r="V393" s="34"/>
    </row>
    <row x14ac:dyDescent="0.25" r="394" customHeight="1" ht="15.75">
      <c r="A394" s="229"/>
      <c r="B394" s="230"/>
      <c r="C394" s="230"/>
      <c r="D394" s="228"/>
      <c r="E394" s="29"/>
      <c r="F394" s="34"/>
      <c r="G394" s="34"/>
      <c r="H394" s="3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1"/>
      <c r="U394" s="34"/>
      <c r="V394" s="34"/>
    </row>
    <row x14ac:dyDescent="0.25" r="395" customHeight="1" ht="15.75">
      <c r="A395" s="229"/>
      <c r="B395" s="230"/>
      <c r="C395" s="230"/>
      <c r="D395" s="228"/>
      <c r="E395" s="29"/>
      <c r="F395" s="34"/>
      <c r="G395" s="34"/>
      <c r="H395" s="3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1"/>
      <c r="U395" s="34"/>
      <c r="V395" s="34"/>
    </row>
    <row x14ac:dyDescent="0.25" r="396" customHeight="1" ht="15.75">
      <c r="A396" s="229"/>
      <c r="B396" s="230"/>
      <c r="C396" s="230"/>
      <c r="D396" s="228"/>
      <c r="E396" s="29"/>
      <c r="F396" s="34"/>
      <c r="G396" s="34"/>
      <c r="H396" s="3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1"/>
      <c r="U396" s="34"/>
      <c r="V396" s="34"/>
    </row>
    <row x14ac:dyDescent="0.25" r="397" customHeight="1" ht="15.75">
      <c r="A397" s="229"/>
      <c r="B397" s="230"/>
      <c r="C397" s="230"/>
      <c r="D397" s="228"/>
      <c r="E397" s="29"/>
      <c r="F397" s="34"/>
      <c r="G397" s="34"/>
      <c r="H397" s="3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1"/>
      <c r="U397" s="34"/>
      <c r="V397" s="34"/>
    </row>
    <row x14ac:dyDescent="0.25" r="398" customHeight="1" ht="15.75">
      <c r="A398" s="229"/>
      <c r="B398" s="230"/>
      <c r="C398" s="230"/>
      <c r="D398" s="228"/>
      <c r="E398" s="29"/>
      <c r="F398" s="34"/>
      <c r="G398" s="34"/>
      <c r="H398" s="3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1"/>
      <c r="U398" s="34"/>
      <c r="V398" s="34"/>
    </row>
    <row x14ac:dyDescent="0.25" r="399" customHeight="1" ht="15.75">
      <c r="A399" s="229"/>
      <c r="B399" s="230"/>
      <c r="C399" s="230"/>
      <c r="D399" s="228"/>
      <c r="E399" s="29"/>
      <c r="F399" s="34"/>
      <c r="G399" s="34"/>
      <c r="H399" s="3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1"/>
      <c r="U399" s="34"/>
      <c r="V399" s="34"/>
    </row>
    <row x14ac:dyDescent="0.25" r="400" customHeight="1" ht="15.75">
      <c r="A400" s="229"/>
      <c r="B400" s="230"/>
      <c r="C400" s="230"/>
      <c r="D400" s="228"/>
      <c r="E400" s="29"/>
      <c r="F400" s="34"/>
      <c r="G400" s="34"/>
      <c r="H400" s="3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1"/>
      <c r="U400" s="34"/>
      <c r="V400" s="34"/>
    </row>
    <row x14ac:dyDescent="0.25" r="401" customHeight="1" ht="15.75">
      <c r="A401" s="229"/>
      <c r="B401" s="230"/>
      <c r="C401" s="230"/>
      <c r="D401" s="228"/>
      <c r="E401" s="29"/>
      <c r="F401" s="34"/>
      <c r="G401" s="34"/>
      <c r="H401" s="3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1"/>
      <c r="U401" s="34"/>
      <c r="V401" s="34"/>
    </row>
    <row x14ac:dyDescent="0.25" r="402" customHeight="1" ht="15.75">
      <c r="A402" s="229"/>
      <c r="B402" s="230"/>
      <c r="C402" s="230"/>
      <c r="D402" s="228"/>
      <c r="E402" s="29"/>
      <c r="F402" s="34"/>
      <c r="G402" s="34"/>
      <c r="H402" s="3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1"/>
      <c r="U402" s="34"/>
      <c r="V402" s="34"/>
    </row>
    <row x14ac:dyDescent="0.25" r="403" customHeight="1" ht="15.75">
      <c r="A403" s="229"/>
      <c r="B403" s="230"/>
      <c r="C403" s="230"/>
      <c r="D403" s="228"/>
      <c r="E403" s="29"/>
      <c r="F403" s="34"/>
      <c r="G403" s="34"/>
      <c r="H403" s="3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1"/>
      <c r="U403" s="34"/>
      <c r="V403" s="34"/>
    </row>
    <row x14ac:dyDescent="0.25" r="404" customHeight="1" ht="15.75">
      <c r="A404" s="229"/>
      <c r="B404" s="230"/>
      <c r="C404" s="230"/>
      <c r="D404" s="228"/>
      <c r="E404" s="29"/>
      <c r="F404" s="34"/>
      <c r="G404" s="34"/>
      <c r="H404" s="3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1"/>
      <c r="U404" s="34"/>
      <c r="V404" s="34"/>
    </row>
    <row x14ac:dyDescent="0.25" r="405" customHeight="1" ht="15.75">
      <c r="A405" s="229"/>
      <c r="B405" s="230"/>
      <c r="C405" s="230"/>
      <c r="D405" s="228"/>
      <c r="E405" s="29"/>
      <c r="F405" s="34"/>
      <c r="G405" s="34"/>
      <c r="H405" s="3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1"/>
      <c r="U405" s="34"/>
      <c r="V405" s="34"/>
    </row>
    <row x14ac:dyDescent="0.25" r="406" customHeight="1" ht="15.75">
      <c r="A406" s="229"/>
      <c r="B406" s="230"/>
      <c r="C406" s="230"/>
      <c r="D406" s="228"/>
      <c r="E406" s="29"/>
      <c r="F406" s="34"/>
      <c r="G406" s="34"/>
      <c r="H406" s="3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1"/>
      <c r="U406" s="34"/>
      <c r="V406" s="34"/>
    </row>
    <row x14ac:dyDescent="0.25" r="407" customHeight="1" ht="15.75">
      <c r="A407" s="229"/>
      <c r="B407" s="230"/>
      <c r="C407" s="230"/>
      <c r="D407" s="228"/>
      <c r="E407" s="29"/>
      <c r="F407" s="34"/>
      <c r="G407" s="34"/>
      <c r="H407" s="3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1"/>
      <c r="U407" s="34"/>
      <c r="V407" s="34"/>
    </row>
    <row x14ac:dyDescent="0.25" r="408" customHeight="1" ht="15.75">
      <c r="A408" s="229"/>
      <c r="B408" s="230"/>
      <c r="C408" s="230"/>
      <c r="D408" s="228"/>
      <c r="E408" s="29"/>
      <c r="F408" s="34"/>
      <c r="G408" s="34"/>
      <c r="H408" s="3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1"/>
      <c r="U408" s="34"/>
      <c r="V408" s="34"/>
    </row>
    <row x14ac:dyDescent="0.25" r="409" customHeight="1" ht="15.75">
      <c r="A409" s="229"/>
      <c r="B409" s="230"/>
      <c r="C409" s="230"/>
      <c r="D409" s="228"/>
      <c r="E409" s="29"/>
      <c r="F409" s="34"/>
      <c r="G409" s="34"/>
      <c r="H409" s="3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1"/>
      <c r="U409" s="34"/>
      <c r="V409" s="34"/>
    </row>
    <row x14ac:dyDescent="0.25" r="410" customHeight="1" ht="15.75">
      <c r="A410" s="229"/>
      <c r="B410" s="230"/>
      <c r="C410" s="230"/>
      <c r="D410" s="228"/>
      <c r="E410" s="29"/>
      <c r="F410" s="34"/>
      <c r="G410" s="34"/>
      <c r="H410" s="3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1"/>
      <c r="U410" s="34"/>
      <c r="V410" s="34"/>
    </row>
    <row x14ac:dyDescent="0.25" r="411" customHeight="1" ht="15.75">
      <c r="A411" s="229"/>
      <c r="B411" s="230"/>
      <c r="C411" s="230"/>
      <c r="D411" s="228"/>
      <c r="E411" s="29"/>
      <c r="F411" s="34"/>
      <c r="G411" s="34"/>
      <c r="H411" s="3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1"/>
      <c r="U411" s="34"/>
      <c r="V411" s="34"/>
    </row>
    <row x14ac:dyDescent="0.25" r="412" customHeight="1" ht="15.75">
      <c r="A412" s="229"/>
      <c r="B412" s="230"/>
      <c r="C412" s="230"/>
      <c r="D412" s="228"/>
      <c r="E412" s="29"/>
      <c r="F412" s="34"/>
      <c r="G412" s="34"/>
      <c r="H412" s="3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1"/>
      <c r="U412" s="34"/>
      <c r="V412" s="34"/>
    </row>
    <row x14ac:dyDescent="0.25" r="413" customHeight="1" ht="15.75">
      <c r="A413" s="229"/>
      <c r="B413" s="230"/>
      <c r="C413" s="230"/>
      <c r="D413" s="228"/>
      <c r="E413" s="29"/>
      <c r="F413" s="34"/>
      <c r="G413" s="34"/>
      <c r="H413" s="3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1"/>
      <c r="U413" s="34"/>
      <c r="V413" s="34"/>
    </row>
    <row x14ac:dyDescent="0.25" r="414" customHeight="1" ht="15.75">
      <c r="A414" s="229"/>
      <c r="B414" s="230"/>
      <c r="C414" s="230"/>
      <c r="D414" s="228"/>
      <c r="E414" s="29"/>
      <c r="F414" s="34"/>
      <c r="G414" s="34"/>
      <c r="H414" s="3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1"/>
      <c r="U414" s="34"/>
      <c r="V414" s="34"/>
    </row>
    <row x14ac:dyDescent="0.25" r="415" customHeight="1" ht="15.75">
      <c r="A415" s="229"/>
      <c r="B415" s="230"/>
      <c r="C415" s="230"/>
      <c r="D415" s="228"/>
      <c r="E415" s="29"/>
      <c r="F415" s="34"/>
      <c r="G415" s="34"/>
      <c r="H415" s="3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1"/>
      <c r="U415" s="34"/>
      <c r="V415" s="34"/>
    </row>
    <row x14ac:dyDescent="0.25" r="416" customHeight="1" ht="15.75">
      <c r="A416" s="229"/>
      <c r="B416" s="230"/>
      <c r="C416" s="230"/>
      <c r="D416" s="228"/>
      <c r="E416" s="29"/>
      <c r="F416" s="34"/>
      <c r="G416" s="34"/>
      <c r="H416" s="3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1"/>
      <c r="U416" s="34"/>
      <c r="V416" s="34"/>
    </row>
    <row x14ac:dyDescent="0.25" r="417" customHeight="1" ht="15.75">
      <c r="A417" s="229"/>
      <c r="B417" s="230"/>
      <c r="C417" s="230"/>
      <c r="D417" s="228"/>
      <c r="E417" s="29"/>
      <c r="F417" s="34"/>
      <c r="G417" s="34"/>
      <c r="H417" s="3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1"/>
      <c r="U417" s="34"/>
      <c r="V417" s="34"/>
    </row>
    <row x14ac:dyDescent="0.25" r="418" customHeight="1" ht="15.75">
      <c r="A418" s="229"/>
      <c r="B418" s="230"/>
      <c r="C418" s="230"/>
      <c r="D418" s="228"/>
      <c r="E418" s="29"/>
      <c r="F418" s="34"/>
      <c r="G418" s="34"/>
      <c r="H418" s="3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1"/>
      <c r="U418" s="34"/>
      <c r="V418" s="34"/>
    </row>
    <row x14ac:dyDescent="0.25" r="419" customHeight="1" ht="15.75">
      <c r="A419" s="229"/>
      <c r="B419" s="230"/>
      <c r="C419" s="230"/>
      <c r="D419" s="228"/>
      <c r="E419" s="29"/>
      <c r="F419" s="34"/>
      <c r="G419" s="34"/>
      <c r="H419" s="3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1"/>
      <c r="U419" s="34"/>
      <c r="V419" s="34"/>
    </row>
    <row x14ac:dyDescent="0.25" r="420" customHeight="1" ht="15.75">
      <c r="A420" s="229"/>
      <c r="B420" s="230"/>
      <c r="C420" s="230"/>
      <c r="D420" s="228"/>
      <c r="E420" s="29"/>
      <c r="F420" s="34"/>
      <c r="G420" s="34"/>
      <c r="H420" s="3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1"/>
      <c r="U420" s="34"/>
      <c r="V420" s="34"/>
    </row>
    <row x14ac:dyDescent="0.25" r="421" customHeight="1" ht="15.75">
      <c r="A421" s="229"/>
      <c r="B421" s="230"/>
      <c r="C421" s="230"/>
      <c r="D421" s="228"/>
      <c r="E421" s="29"/>
      <c r="F421" s="34"/>
      <c r="G421" s="34"/>
      <c r="H421" s="3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1"/>
      <c r="U421" s="34"/>
      <c r="V421" s="34"/>
    </row>
    <row x14ac:dyDescent="0.25" r="422" customHeight="1" ht="15.75">
      <c r="A422" s="229"/>
      <c r="B422" s="230"/>
      <c r="C422" s="230"/>
      <c r="D422" s="228"/>
      <c r="E422" s="29"/>
      <c r="F422" s="34"/>
      <c r="G422" s="34"/>
      <c r="H422" s="3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1"/>
      <c r="U422" s="34"/>
      <c r="V422" s="34"/>
    </row>
    <row x14ac:dyDescent="0.25" r="423" customHeight="1" ht="15.75">
      <c r="A423" s="229"/>
      <c r="B423" s="230"/>
      <c r="C423" s="230"/>
      <c r="D423" s="228"/>
      <c r="E423" s="29"/>
      <c r="F423" s="34"/>
      <c r="G423" s="34"/>
      <c r="H423" s="3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1"/>
      <c r="U423" s="34"/>
      <c r="V423" s="34"/>
    </row>
    <row x14ac:dyDescent="0.25" r="424" customHeight="1" ht="15.75">
      <c r="A424" s="229"/>
      <c r="B424" s="230"/>
      <c r="C424" s="230"/>
      <c r="D424" s="228"/>
      <c r="E424" s="29"/>
      <c r="F424" s="34"/>
      <c r="G424" s="34"/>
      <c r="H424" s="3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1"/>
      <c r="U424" s="34"/>
      <c r="V424" s="34"/>
    </row>
    <row x14ac:dyDescent="0.25" r="425" customHeight="1" ht="15.75">
      <c r="A425" s="229"/>
      <c r="B425" s="230"/>
      <c r="C425" s="230"/>
      <c r="D425" s="228"/>
      <c r="E425" s="29"/>
      <c r="F425" s="34"/>
      <c r="G425" s="34"/>
      <c r="H425" s="3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1"/>
      <c r="U425" s="34"/>
      <c r="V425" s="34"/>
    </row>
    <row x14ac:dyDescent="0.25" r="426" customHeight="1" ht="15.75">
      <c r="A426" s="229"/>
      <c r="B426" s="230"/>
      <c r="C426" s="230"/>
      <c r="D426" s="228"/>
      <c r="E426" s="29"/>
      <c r="F426" s="34"/>
      <c r="G426" s="34"/>
      <c r="H426" s="3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1"/>
      <c r="U426" s="34"/>
      <c r="V426" s="34"/>
    </row>
    <row x14ac:dyDescent="0.25" r="427" customHeight="1" ht="15.75">
      <c r="A427" s="229"/>
      <c r="B427" s="230"/>
      <c r="C427" s="230"/>
      <c r="D427" s="228"/>
      <c r="E427" s="29"/>
      <c r="F427" s="34"/>
      <c r="G427" s="34"/>
      <c r="H427" s="3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1"/>
      <c r="U427" s="34"/>
      <c r="V427" s="34"/>
    </row>
    <row x14ac:dyDescent="0.25" r="428" customHeight="1" ht="15.75">
      <c r="A428" s="229"/>
      <c r="B428" s="230"/>
      <c r="C428" s="230"/>
      <c r="D428" s="228"/>
      <c r="E428" s="29"/>
      <c r="F428" s="34"/>
      <c r="G428" s="34"/>
      <c r="H428" s="3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1"/>
      <c r="U428" s="34"/>
      <c r="V428" s="34"/>
    </row>
    <row x14ac:dyDescent="0.25" r="429" customHeight="1" ht="15.75">
      <c r="A429" s="229"/>
      <c r="B429" s="230"/>
      <c r="C429" s="230"/>
      <c r="D429" s="228"/>
      <c r="E429" s="29"/>
      <c r="F429" s="34"/>
      <c r="G429" s="34"/>
      <c r="H429" s="3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1"/>
      <c r="U429" s="34"/>
      <c r="V429" s="34"/>
    </row>
    <row x14ac:dyDescent="0.25" r="430" customHeight="1" ht="15.75">
      <c r="A430" s="229"/>
      <c r="B430" s="230"/>
      <c r="C430" s="230"/>
      <c r="D430" s="228"/>
      <c r="E430" s="29"/>
      <c r="F430" s="34"/>
      <c r="G430" s="34"/>
      <c r="H430" s="3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1"/>
      <c r="U430" s="34"/>
      <c r="V430" s="34"/>
    </row>
    <row x14ac:dyDescent="0.25" r="431" customHeight="1" ht="15.75">
      <c r="A431" s="229"/>
      <c r="B431" s="230"/>
      <c r="C431" s="230"/>
      <c r="D431" s="228"/>
      <c r="E431" s="29"/>
      <c r="F431" s="34"/>
      <c r="G431" s="34"/>
      <c r="H431" s="3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1"/>
      <c r="U431" s="34"/>
      <c r="V431" s="34"/>
    </row>
    <row x14ac:dyDescent="0.25" r="432" customHeight="1" ht="15.75">
      <c r="A432" s="229"/>
      <c r="B432" s="230"/>
      <c r="C432" s="230"/>
      <c r="D432" s="228"/>
      <c r="E432" s="29"/>
      <c r="F432" s="34"/>
      <c r="G432" s="34"/>
      <c r="H432" s="3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1"/>
      <c r="U432" s="34"/>
      <c r="V432" s="34"/>
    </row>
    <row x14ac:dyDescent="0.25" r="433" customHeight="1" ht="15.75">
      <c r="A433" s="229"/>
      <c r="B433" s="230"/>
      <c r="C433" s="230"/>
      <c r="D433" s="228"/>
      <c r="E433" s="29"/>
      <c r="F433" s="34"/>
      <c r="G433" s="34"/>
      <c r="H433" s="3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1"/>
      <c r="U433" s="34"/>
      <c r="V433" s="34"/>
    </row>
    <row x14ac:dyDescent="0.25" r="434" customHeight="1" ht="15.75">
      <c r="A434" s="229"/>
      <c r="B434" s="230"/>
      <c r="C434" s="230"/>
      <c r="D434" s="228"/>
      <c r="E434" s="29"/>
      <c r="F434" s="34"/>
      <c r="G434" s="34"/>
      <c r="H434" s="3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1"/>
      <c r="U434" s="34"/>
      <c r="V434" s="34"/>
    </row>
    <row x14ac:dyDescent="0.25" r="435" customHeight="1" ht="15.75">
      <c r="A435" s="229"/>
      <c r="B435" s="230"/>
      <c r="C435" s="230"/>
      <c r="D435" s="228"/>
      <c r="E435" s="29"/>
      <c r="F435" s="34"/>
      <c r="G435" s="34"/>
      <c r="H435" s="3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1"/>
      <c r="U435" s="34"/>
      <c r="V435" s="34"/>
    </row>
    <row x14ac:dyDescent="0.25" r="436" customHeight="1" ht="15.75">
      <c r="A436" s="229"/>
      <c r="B436" s="230"/>
      <c r="C436" s="230"/>
      <c r="D436" s="228"/>
      <c r="E436" s="29"/>
      <c r="F436" s="34"/>
      <c r="G436" s="34"/>
      <c r="H436" s="3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1"/>
      <c r="U436" s="34"/>
      <c r="V436" s="34"/>
    </row>
    <row x14ac:dyDescent="0.25" r="437" customHeight="1" ht="15.75">
      <c r="A437" s="229"/>
      <c r="B437" s="230"/>
      <c r="C437" s="230"/>
      <c r="D437" s="228"/>
      <c r="E437" s="29"/>
      <c r="F437" s="34"/>
      <c r="G437" s="34"/>
      <c r="H437" s="3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1"/>
      <c r="U437" s="34"/>
      <c r="V437" s="34"/>
    </row>
    <row x14ac:dyDescent="0.25" r="438" customHeight="1" ht="15.75">
      <c r="A438" s="229"/>
      <c r="B438" s="230"/>
      <c r="C438" s="230"/>
      <c r="D438" s="228"/>
      <c r="E438" s="29"/>
      <c r="F438" s="34"/>
      <c r="G438" s="34"/>
      <c r="H438" s="3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1"/>
      <c r="U438" s="34"/>
      <c r="V438" s="34"/>
    </row>
    <row x14ac:dyDescent="0.25" r="439" customHeight="1" ht="15.75">
      <c r="A439" s="229"/>
      <c r="B439" s="230"/>
      <c r="C439" s="230"/>
      <c r="D439" s="228"/>
      <c r="E439" s="29"/>
      <c r="F439" s="34"/>
      <c r="G439" s="34"/>
      <c r="H439" s="3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1"/>
      <c r="U439" s="34"/>
      <c r="V439" s="34"/>
    </row>
    <row x14ac:dyDescent="0.25" r="440" customHeight="1" ht="15.75">
      <c r="A440" s="229"/>
      <c r="B440" s="230"/>
      <c r="C440" s="230"/>
      <c r="D440" s="228"/>
      <c r="E440" s="29"/>
      <c r="F440" s="34"/>
      <c r="G440" s="34"/>
      <c r="H440" s="3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1"/>
      <c r="U440" s="34"/>
      <c r="V440" s="34"/>
    </row>
    <row x14ac:dyDescent="0.25" r="441" customHeight="1" ht="15.75">
      <c r="A441" s="229"/>
      <c r="B441" s="230"/>
      <c r="C441" s="230"/>
      <c r="D441" s="228"/>
      <c r="E441" s="29"/>
      <c r="F441" s="34"/>
      <c r="G441" s="34"/>
      <c r="H441" s="3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1"/>
      <c r="U441" s="34"/>
      <c r="V441" s="34"/>
    </row>
    <row x14ac:dyDescent="0.25" r="442" customHeight="1" ht="15.75">
      <c r="A442" s="229"/>
      <c r="B442" s="230"/>
      <c r="C442" s="230"/>
      <c r="D442" s="228"/>
      <c r="E442" s="29"/>
      <c r="F442" s="34"/>
      <c r="G442" s="34"/>
      <c r="H442" s="3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1"/>
      <c r="U442" s="34"/>
      <c r="V442" s="34"/>
    </row>
    <row x14ac:dyDescent="0.25" r="443" customHeight="1" ht="15.75">
      <c r="A443" s="229"/>
      <c r="B443" s="230"/>
      <c r="C443" s="230"/>
      <c r="D443" s="228"/>
      <c r="E443" s="29"/>
      <c r="F443" s="34"/>
      <c r="G443" s="34"/>
      <c r="H443" s="3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1"/>
      <c r="U443" s="34"/>
      <c r="V443" s="34"/>
    </row>
    <row x14ac:dyDescent="0.25" r="444" customHeight="1" ht="15.75">
      <c r="A444" s="229"/>
      <c r="B444" s="230"/>
      <c r="C444" s="230"/>
      <c r="D444" s="228"/>
      <c r="E444" s="29"/>
      <c r="F444" s="34"/>
      <c r="G444" s="34"/>
      <c r="H444" s="3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1"/>
      <c r="U444" s="34"/>
      <c r="V444" s="34"/>
    </row>
    <row x14ac:dyDescent="0.25" r="445" customHeight="1" ht="15.75">
      <c r="A445" s="229"/>
      <c r="B445" s="230"/>
      <c r="C445" s="230"/>
      <c r="D445" s="228"/>
      <c r="E445" s="29"/>
      <c r="F445" s="34"/>
      <c r="G445" s="34"/>
      <c r="H445" s="3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1"/>
      <c r="U445" s="34"/>
      <c r="V445" s="34"/>
    </row>
    <row x14ac:dyDescent="0.25" r="446" customHeight="1" ht="15.75">
      <c r="A446" s="229"/>
      <c r="B446" s="230"/>
      <c r="C446" s="230"/>
      <c r="D446" s="228"/>
      <c r="E446" s="29"/>
      <c r="F446" s="34"/>
      <c r="G446" s="34"/>
      <c r="H446" s="3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1"/>
      <c r="U446" s="34"/>
      <c r="V446" s="34"/>
    </row>
    <row x14ac:dyDescent="0.25" r="447" customHeight="1" ht="15.75">
      <c r="A447" s="229"/>
      <c r="B447" s="230"/>
      <c r="C447" s="230"/>
      <c r="D447" s="228"/>
      <c r="E447" s="29"/>
      <c r="F447" s="34"/>
      <c r="G447" s="34"/>
      <c r="H447" s="3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1"/>
      <c r="U447" s="34"/>
      <c r="V447" s="34"/>
    </row>
    <row x14ac:dyDescent="0.25" r="448" customHeight="1" ht="15.75">
      <c r="A448" s="229"/>
      <c r="B448" s="230"/>
      <c r="C448" s="230"/>
      <c r="D448" s="228"/>
      <c r="E448" s="29"/>
      <c r="F448" s="34"/>
      <c r="G448" s="34"/>
      <c r="H448" s="3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1"/>
      <c r="U448" s="34"/>
      <c r="V448" s="34"/>
    </row>
    <row x14ac:dyDescent="0.25" r="449" customHeight="1" ht="15.75">
      <c r="A449" s="229"/>
      <c r="B449" s="230"/>
      <c r="C449" s="230"/>
      <c r="D449" s="228"/>
      <c r="E449" s="29"/>
      <c r="F449" s="34"/>
      <c r="G449" s="34"/>
      <c r="H449" s="3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1"/>
      <c r="U449" s="34"/>
      <c r="V449" s="34"/>
    </row>
    <row x14ac:dyDescent="0.25" r="450" customHeight="1" ht="15.75">
      <c r="A450" s="229"/>
      <c r="B450" s="230"/>
      <c r="C450" s="230"/>
      <c r="D450" s="228"/>
      <c r="E450" s="29"/>
      <c r="F450" s="34"/>
      <c r="G450" s="34"/>
      <c r="H450" s="3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1"/>
      <c r="U450" s="34"/>
      <c r="V450" s="34"/>
    </row>
    <row x14ac:dyDescent="0.25" r="451" customHeight="1" ht="15.75">
      <c r="A451" s="229"/>
      <c r="B451" s="230"/>
      <c r="C451" s="230"/>
      <c r="D451" s="228"/>
      <c r="E451" s="29"/>
      <c r="F451" s="34"/>
      <c r="G451" s="34"/>
      <c r="H451" s="3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1"/>
      <c r="U451" s="34"/>
      <c r="V451" s="34"/>
    </row>
    <row x14ac:dyDescent="0.25" r="452" customHeight="1" ht="15.75">
      <c r="A452" s="229"/>
      <c r="B452" s="230"/>
      <c r="C452" s="230"/>
      <c r="D452" s="228"/>
      <c r="E452" s="29"/>
      <c r="F452" s="34"/>
      <c r="G452" s="34"/>
      <c r="H452" s="3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1"/>
      <c r="U452" s="34"/>
      <c r="V452" s="34"/>
    </row>
    <row x14ac:dyDescent="0.25" r="453" customHeight="1" ht="15.75">
      <c r="A453" s="229"/>
      <c r="B453" s="230"/>
      <c r="C453" s="230"/>
      <c r="D453" s="228"/>
      <c r="E453" s="29"/>
      <c r="F453" s="34"/>
      <c r="G453" s="34"/>
      <c r="H453" s="3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1"/>
      <c r="U453" s="34"/>
      <c r="V453" s="34"/>
    </row>
    <row x14ac:dyDescent="0.25" r="454" customHeight="1" ht="15.75">
      <c r="A454" s="229"/>
      <c r="B454" s="230"/>
      <c r="C454" s="230"/>
      <c r="D454" s="228"/>
      <c r="E454" s="29"/>
      <c r="F454" s="34"/>
      <c r="G454" s="34"/>
      <c r="H454" s="3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1"/>
      <c r="U454" s="34"/>
      <c r="V454" s="34"/>
    </row>
    <row x14ac:dyDescent="0.25" r="455" customHeight="1" ht="15.75">
      <c r="A455" s="229"/>
      <c r="B455" s="230"/>
      <c r="C455" s="230"/>
      <c r="D455" s="228"/>
      <c r="E455" s="29"/>
      <c r="F455" s="34"/>
      <c r="G455" s="34"/>
      <c r="H455" s="3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1"/>
      <c r="U455" s="34"/>
      <c r="V455" s="34"/>
    </row>
    <row x14ac:dyDescent="0.25" r="456" customHeight="1" ht="15.75">
      <c r="A456" s="229"/>
      <c r="B456" s="230"/>
      <c r="C456" s="230"/>
      <c r="D456" s="228"/>
      <c r="E456" s="29"/>
      <c r="F456" s="34"/>
      <c r="G456" s="34"/>
      <c r="H456" s="3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1"/>
      <c r="U456" s="34"/>
      <c r="V456" s="34"/>
    </row>
    <row x14ac:dyDescent="0.25" r="457" customHeight="1" ht="15.75">
      <c r="A457" s="229"/>
      <c r="B457" s="230"/>
      <c r="C457" s="230"/>
      <c r="D457" s="228"/>
      <c r="E457" s="29"/>
      <c r="F457" s="34"/>
      <c r="G457" s="34"/>
      <c r="H457" s="3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1"/>
      <c r="U457" s="34"/>
      <c r="V457" s="34"/>
    </row>
    <row x14ac:dyDescent="0.25" r="458" customHeight="1" ht="15.75">
      <c r="A458" s="229"/>
      <c r="B458" s="230"/>
      <c r="C458" s="230"/>
      <c r="D458" s="228"/>
      <c r="E458" s="29"/>
      <c r="F458" s="34"/>
      <c r="G458" s="34"/>
      <c r="H458" s="3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1"/>
      <c r="U458" s="34"/>
      <c r="V458" s="34"/>
    </row>
    <row x14ac:dyDescent="0.25" r="459" customHeight="1" ht="15.75">
      <c r="A459" s="229"/>
      <c r="B459" s="230"/>
      <c r="C459" s="230"/>
      <c r="D459" s="228"/>
      <c r="E459" s="29"/>
      <c r="F459" s="34"/>
      <c r="G459" s="34"/>
      <c r="H459" s="3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1"/>
      <c r="U459" s="34"/>
      <c r="V459" s="34"/>
    </row>
    <row x14ac:dyDescent="0.25" r="460" customHeight="1" ht="15.75">
      <c r="A460" s="229"/>
      <c r="B460" s="230"/>
      <c r="C460" s="230"/>
      <c r="D460" s="228"/>
      <c r="E460" s="29"/>
      <c r="F460" s="34"/>
      <c r="G460" s="34"/>
      <c r="H460" s="3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1"/>
      <c r="U460" s="34"/>
      <c r="V460" s="34"/>
    </row>
    <row x14ac:dyDescent="0.25" r="461" customHeight="1" ht="15.75">
      <c r="A461" s="229"/>
      <c r="B461" s="230"/>
      <c r="C461" s="230"/>
      <c r="D461" s="228"/>
      <c r="E461" s="29"/>
      <c r="F461" s="34"/>
      <c r="G461" s="34"/>
      <c r="H461" s="3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1"/>
      <c r="U461" s="34"/>
      <c r="V461" s="34"/>
    </row>
    <row x14ac:dyDescent="0.25" r="462" customHeight="1" ht="15.75">
      <c r="A462" s="229"/>
      <c r="B462" s="230"/>
      <c r="C462" s="230"/>
      <c r="D462" s="228"/>
      <c r="E462" s="29"/>
      <c r="F462" s="34"/>
      <c r="G462" s="34"/>
      <c r="H462" s="3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1"/>
      <c r="U462" s="34"/>
      <c r="V462" s="34"/>
    </row>
    <row x14ac:dyDescent="0.25" r="463" customHeight="1" ht="15.75">
      <c r="A463" s="229"/>
      <c r="B463" s="230"/>
      <c r="C463" s="230"/>
      <c r="D463" s="228"/>
      <c r="E463" s="29"/>
      <c r="F463" s="34"/>
      <c r="G463" s="34"/>
      <c r="H463" s="3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1"/>
      <c r="U463" s="34"/>
      <c r="V463" s="34"/>
    </row>
    <row x14ac:dyDescent="0.25" r="464" customHeight="1" ht="15.75">
      <c r="A464" s="229"/>
      <c r="B464" s="230"/>
      <c r="C464" s="230"/>
      <c r="D464" s="228"/>
      <c r="E464" s="29"/>
      <c r="F464" s="34"/>
      <c r="G464" s="34"/>
      <c r="H464" s="3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1"/>
      <c r="U464" s="34"/>
      <c r="V464" s="34"/>
    </row>
    <row x14ac:dyDescent="0.25" r="465" customHeight="1" ht="15.75">
      <c r="A465" s="229"/>
      <c r="B465" s="230"/>
      <c r="C465" s="230"/>
      <c r="D465" s="228"/>
      <c r="E465" s="29"/>
      <c r="F465" s="34"/>
      <c r="G465" s="34"/>
      <c r="H465" s="3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1"/>
      <c r="U465" s="34"/>
      <c r="V465" s="34"/>
    </row>
    <row x14ac:dyDescent="0.25" r="466" customHeight="1" ht="15.75">
      <c r="A466" s="229"/>
      <c r="B466" s="230"/>
      <c r="C466" s="230"/>
      <c r="D466" s="228"/>
      <c r="E466" s="29"/>
      <c r="F466" s="34"/>
      <c r="G466" s="34"/>
      <c r="H466" s="3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1"/>
      <c r="U466" s="34"/>
      <c r="V466" s="34"/>
    </row>
    <row x14ac:dyDescent="0.25" r="467" customHeight="1" ht="15.75">
      <c r="A467" s="229"/>
      <c r="B467" s="230"/>
      <c r="C467" s="230"/>
      <c r="D467" s="228"/>
      <c r="E467" s="29"/>
      <c r="F467" s="34"/>
      <c r="G467" s="34"/>
      <c r="H467" s="3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1"/>
      <c r="U467" s="34"/>
      <c r="V467" s="34"/>
    </row>
    <row x14ac:dyDescent="0.25" r="468" customHeight="1" ht="15.75">
      <c r="A468" s="229"/>
      <c r="B468" s="230"/>
      <c r="C468" s="230"/>
      <c r="D468" s="228"/>
      <c r="E468" s="29"/>
      <c r="F468" s="34"/>
      <c r="G468" s="34"/>
      <c r="H468" s="3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1"/>
      <c r="U468" s="34"/>
      <c r="V468" s="34"/>
    </row>
    <row x14ac:dyDescent="0.25" r="469" customHeight="1" ht="15.75">
      <c r="A469" s="229"/>
      <c r="B469" s="230"/>
      <c r="C469" s="230"/>
      <c r="D469" s="228"/>
      <c r="E469" s="29"/>
      <c r="F469" s="34"/>
      <c r="G469" s="34"/>
      <c r="H469" s="3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1"/>
      <c r="U469" s="34"/>
      <c r="V469" s="34"/>
    </row>
    <row x14ac:dyDescent="0.25" r="470" customHeight="1" ht="15.75">
      <c r="A470" s="229"/>
      <c r="B470" s="230"/>
      <c r="C470" s="230"/>
      <c r="D470" s="228"/>
      <c r="E470" s="29"/>
      <c r="F470" s="34"/>
      <c r="G470" s="34"/>
      <c r="H470" s="3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1"/>
      <c r="U470" s="34"/>
      <c r="V470" s="34"/>
    </row>
    <row x14ac:dyDescent="0.25" r="471" customHeight="1" ht="15.75">
      <c r="A471" s="229"/>
      <c r="B471" s="230"/>
      <c r="C471" s="230"/>
      <c r="D471" s="228"/>
      <c r="E471" s="29"/>
      <c r="F471" s="34"/>
      <c r="G471" s="34"/>
      <c r="H471" s="3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1"/>
      <c r="U471" s="34"/>
      <c r="V471" s="34"/>
    </row>
    <row x14ac:dyDescent="0.25" r="472" customHeight="1" ht="15.75">
      <c r="A472" s="229"/>
      <c r="B472" s="230"/>
      <c r="C472" s="230"/>
      <c r="D472" s="228"/>
      <c r="E472" s="29"/>
      <c r="F472" s="34"/>
      <c r="G472" s="34"/>
      <c r="H472" s="3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1"/>
      <c r="U472" s="34"/>
      <c r="V472" s="34"/>
    </row>
    <row x14ac:dyDescent="0.25" r="473" customHeight="1" ht="15.75">
      <c r="A473" s="229"/>
      <c r="B473" s="230"/>
      <c r="C473" s="230"/>
      <c r="D473" s="228"/>
      <c r="E473" s="29"/>
      <c r="F473" s="34"/>
      <c r="G473" s="34"/>
      <c r="H473" s="3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1"/>
      <c r="U473" s="34"/>
      <c r="V473" s="34"/>
    </row>
    <row x14ac:dyDescent="0.25" r="474" customHeight="1" ht="15.75">
      <c r="A474" s="229"/>
      <c r="B474" s="230"/>
      <c r="C474" s="230"/>
      <c r="D474" s="228"/>
      <c r="E474" s="29"/>
      <c r="F474" s="34"/>
      <c r="G474" s="34"/>
      <c r="H474" s="3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1"/>
      <c r="U474" s="34"/>
      <c r="V474" s="34"/>
    </row>
    <row x14ac:dyDescent="0.25" r="475" customHeight="1" ht="15.75">
      <c r="A475" s="229"/>
      <c r="B475" s="230"/>
      <c r="C475" s="230"/>
      <c r="D475" s="228"/>
      <c r="E475" s="29"/>
      <c r="F475" s="34"/>
      <c r="G475" s="34"/>
      <c r="H475" s="3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1"/>
      <c r="U475" s="34"/>
      <c r="V475" s="34"/>
    </row>
    <row x14ac:dyDescent="0.25" r="476" customHeight="1" ht="15.75">
      <c r="A476" s="229"/>
      <c r="B476" s="230"/>
      <c r="C476" s="230"/>
      <c r="D476" s="228"/>
      <c r="E476" s="29"/>
      <c r="F476" s="34"/>
      <c r="G476" s="34"/>
      <c r="H476" s="3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1"/>
      <c r="U476" s="34"/>
      <c r="V476" s="34"/>
    </row>
    <row x14ac:dyDescent="0.25" r="477" customHeight="1" ht="15.75">
      <c r="A477" s="229"/>
      <c r="B477" s="230"/>
      <c r="C477" s="230"/>
      <c r="D477" s="228"/>
      <c r="E477" s="29"/>
      <c r="F477" s="34"/>
      <c r="G477" s="34"/>
      <c r="H477" s="3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1"/>
      <c r="U477" s="34"/>
      <c r="V477" s="34"/>
    </row>
    <row x14ac:dyDescent="0.25" r="478" customHeight="1" ht="15.75">
      <c r="A478" s="229"/>
      <c r="B478" s="230"/>
      <c r="C478" s="230"/>
      <c r="D478" s="228"/>
      <c r="E478" s="29"/>
      <c r="F478" s="34"/>
      <c r="G478" s="34"/>
      <c r="H478" s="3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1"/>
      <c r="U478" s="34"/>
      <c r="V478" s="34"/>
    </row>
    <row x14ac:dyDescent="0.25" r="479" customHeight="1" ht="15.75">
      <c r="A479" s="229"/>
      <c r="B479" s="230"/>
      <c r="C479" s="230"/>
      <c r="D479" s="228"/>
      <c r="E479" s="29"/>
      <c r="F479" s="34"/>
      <c r="G479" s="34"/>
      <c r="H479" s="3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1"/>
      <c r="U479" s="34"/>
      <c r="V479" s="34"/>
    </row>
    <row x14ac:dyDescent="0.25" r="480" customHeight="1" ht="15.75">
      <c r="A480" s="229"/>
      <c r="B480" s="230"/>
      <c r="C480" s="230"/>
      <c r="D480" s="228"/>
      <c r="E480" s="29"/>
      <c r="F480" s="34"/>
      <c r="G480" s="34"/>
      <c r="H480" s="3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1"/>
      <c r="U480" s="34"/>
      <c r="V480" s="34"/>
    </row>
    <row x14ac:dyDescent="0.25" r="481" customHeight="1" ht="15.75">
      <c r="A481" s="229"/>
      <c r="B481" s="230"/>
      <c r="C481" s="230"/>
      <c r="D481" s="228"/>
      <c r="E481" s="29"/>
      <c r="F481" s="34"/>
      <c r="G481" s="34"/>
      <c r="H481" s="3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1"/>
      <c r="U481" s="34"/>
      <c r="V481" s="34"/>
    </row>
    <row x14ac:dyDescent="0.25" r="482" customHeight="1" ht="15.75">
      <c r="A482" s="229"/>
      <c r="B482" s="230"/>
      <c r="C482" s="230"/>
      <c r="D482" s="228"/>
      <c r="E482" s="29"/>
      <c r="F482" s="34"/>
      <c r="G482" s="34"/>
      <c r="H482" s="3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1"/>
      <c r="U482" s="34"/>
      <c r="V482" s="34"/>
    </row>
    <row x14ac:dyDescent="0.25" r="483" customHeight="1" ht="15.75">
      <c r="A483" s="229"/>
      <c r="B483" s="230"/>
      <c r="C483" s="230"/>
      <c r="D483" s="228"/>
      <c r="E483" s="29"/>
      <c r="F483" s="34"/>
      <c r="G483" s="34"/>
      <c r="H483" s="3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1"/>
      <c r="U483" s="34"/>
      <c r="V483" s="34"/>
    </row>
    <row x14ac:dyDescent="0.25" r="484" customHeight="1" ht="15.75">
      <c r="A484" s="229"/>
      <c r="B484" s="230"/>
      <c r="C484" s="230"/>
      <c r="D484" s="228"/>
      <c r="E484" s="29"/>
      <c r="F484" s="34"/>
      <c r="G484" s="34"/>
      <c r="H484" s="3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1"/>
      <c r="U484" s="34"/>
      <c r="V484" s="34"/>
    </row>
    <row x14ac:dyDescent="0.25" r="485" customHeight="1" ht="15.75">
      <c r="A485" s="229"/>
      <c r="B485" s="230"/>
      <c r="C485" s="230"/>
      <c r="D485" s="228"/>
      <c r="E485" s="29"/>
      <c r="F485" s="34"/>
      <c r="G485" s="34"/>
      <c r="H485" s="3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1"/>
      <c r="U485" s="34"/>
      <c r="V485" s="34"/>
    </row>
    <row x14ac:dyDescent="0.25" r="486" customHeight="1" ht="15.75">
      <c r="A486" s="229"/>
      <c r="B486" s="230"/>
      <c r="C486" s="230"/>
      <c r="D486" s="228"/>
      <c r="E486" s="29"/>
      <c r="F486" s="34"/>
      <c r="G486" s="34"/>
      <c r="H486" s="3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1"/>
      <c r="U486" s="34"/>
      <c r="V486" s="34"/>
    </row>
    <row x14ac:dyDescent="0.25" r="487" customHeight="1" ht="15.75">
      <c r="A487" s="229"/>
      <c r="B487" s="230"/>
      <c r="C487" s="230"/>
      <c r="D487" s="228"/>
      <c r="E487" s="29"/>
      <c r="F487" s="34"/>
      <c r="G487" s="34"/>
      <c r="H487" s="3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1"/>
      <c r="U487" s="34"/>
      <c r="V487" s="34"/>
    </row>
    <row x14ac:dyDescent="0.25" r="488" customHeight="1" ht="15.75">
      <c r="A488" s="229"/>
      <c r="B488" s="230"/>
      <c r="C488" s="230"/>
      <c r="D488" s="228"/>
      <c r="E488" s="29"/>
      <c r="F488" s="34"/>
      <c r="G488" s="34"/>
      <c r="H488" s="3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1"/>
      <c r="U488" s="34"/>
      <c r="V488" s="34"/>
    </row>
    <row x14ac:dyDescent="0.25" r="489" customHeight="1" ht="15.75">
      <c r="A489" s="229"/>
      <c r="B489" s="230"/>
      <c r="C489" s="230"/>
      <c r="D489" s="228"/>
      <c r="E489" s="29"/>
      <c r="F489" s="34"/>
      <c r="G489" s="34"/>
      <c r="H489" s="3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1"/>
      <c r="U489" s="34"/>
      <c r="V489" s="34"/>
    </row>
    <row x14ac:dyDescent="0.25" r="490" customHeight="1" ht="15.75">
      <c r="A490" s="229"/>
      <c r="B490" s="230"/>
      <c r="C490" s="230"/>
      <c r="D490" s="228"/>
      <c r="E490" s="29"/>
      <c r="F490" s="34"/>
      <c r="G490" s="34"/>
      <c r="H490" s="3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1"/>
      <c r="U490" s="34"/>
      <c r="V490" s="34"/>
    </row>
    <row x14ac:dyDescent="0.25" r="491" customHeight="1" ht="15.75">
      <c r="A491" s="229"/>
      <c r="B491" s="230"/>
      <c r="C491" s="230"/>
      <c r="D491" s="228"/>
      <c r="E491" s="29"/>
      <c r="F491" s="34"/>
      <c r="G491" s="34"/>
      <c r="H491" s="3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1"/>
      <c r="U491" s="34"/>
      <c r="V491" s="34"/>
    </row>
    <row x14ac:dyDescent="0.25" r="492" customHeight="1" ht="15.75">
      <c r="A492" s="229"/>
      <c r="B492" s="230"/>
      <c r="C492" s="230"/>
      <c r="D492" s="228"/>
      <c r="E492" s="29"/>
      <c r="F492" s="34"/>
      <c r="G492" s="34"/>
      <c r="H492" s="3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1"/>
      <c r="U492" s="34"/>
      <c r="V492" s="34"/>
    </row>
    <row x14ac:dyDescent="0.25" r="493" customHeight="1" ht="15.75">
      <c r="A493" s="229"/>
      <c r="B493" s="230"/>
      <c r="C493" s="230"/>
      <c r="D493" s="228"/>
      <c r="E493" s="29"/>
      <c r="F493" s="34"/>
      <c r="G493" s="34"/>
      <c r="H493" s="3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1"/>
      <c r="U493" s="34"/>
      <c r="V493" s="34"/>
    </row>
    <row x14ac:dyDescent="0.25" r="494" customHeight="1" ht="15.75">
      <c r="A494" s="229"/>
      <c r="B494" s="230"/>
      <c r="C494" s="230"/>
      <c r="D494" s="228"/>
      <c r="E494" s="29"/>
      <c r="F494" s="34"/>
      <c r="G494" s="34"/>
      <c r="H494" s="3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1"/>
      <c r="U494" s="34"/>
      <c r="V494" s="34"/>
    </row>
    <row x14ac:dyDescent="0.25" r="495" customHeight="1" ht="15.75">
      <c r="A495" s="229"/>
      <c r="B495" s="230"/>
      <c r="C495" s="230"/>
      <c r="D495" s="228"/>
      <c r="E495" s="29"/>
      <c r="F495" s="34"/>
      <c r="G495" s="34"/>
      <c r="H495" s="3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1"/>
      <c r="U495" s="34"/>
      <c r="V495" s="34"/>
    </row>
    <row x14ac:dyDescent="0.25" r="496" customHeight="1" ht="15.75">
      <c r="A496" s="229"/>
      <c r="B496" s="230"/>
      <c r="C496" s="230"/>
      <c r="D496" s="228"/>
      <c r="E496" s="29"/>
      <c r="F496" s="34"/>
      <c r="G496" s="34"/>
      <c r="H496" s="3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1"/>
      <c r="U496" s="34"/>
      <c r="V496" s="34"/>
    </row>
    <row x14ac:dyDescent="0.25" r="497" customHeight="1" ht="15.75">
      <c r="A497" s="229"/>
      <c r="B497" s="230"/>
      <c r="C497" s="230"/>
      <c r="D497" s="228"/>
      <c r="E497" s="29"/>
      <c r="F497" s="34"/>
      <c r="G497" s="34"/>
      <c r="H497" s="3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1"/>
      <c r="U497" s="34"/>
      <c r="V497" s="34"/>
    </row>
    <row x14ac:dyDescent="0.25" r="498" customHeight="1" ht="15.75">
      <c r="A498" s="229"/>
      <c r="B498" s="230"/>
      <c r="C498" s="230"/>
      <c r="D498" s="228"/>
      <c r="E498" s="29"/>
      <c r="F498" s="34"/>
      <c r="G498" s="34"/>
      <c r="H498" s="3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1"/>
      <c r="U498" s="34"/>
      <c r="V498" s="34"/>
    </row>
    <row x14ac:dyDescent="0.25" r="499" customHeight="1" ht="15.75">
      <c r="A499" s="229"/>
      <c r="B499" s="230"/>
      <c r="C499" s="230"/>
      <c r="D499" s="228"/>
      <c r="E499" s="29"/>
      <c r="F499" s="34"/>
      <c r="G499" s="34"/>
      <c r="H499" s="3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1"/>
      <c r="U499" s="34"/>
      <c r="V499" s="34"/>
    </row>
    <row x14ac:dyDescent="0.25" r="500" customHeight="1" ht="15.75">
      <c r="A500" s="229"/>
      <c r="B500" s="230"/>
      <c r="C500" s="230"/>
      <c r="D500" s="228"/>
      <c r="E500" s="29"/>
      <c r="F500" s="34"/>
      <c r="G500" s="34"/>
      <c r="H500" s="3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1"/>
      <c r="U500" s="34"/>
      <c r="V500" s="34"/>
    </row>
    <row x14ac:dyDescent="0.25" r="501" customHeight="1" ht="15.75">
      <c r="A501" s="229"/>
      <c r="B501" s="230"/>
      <c r="C501" s="230"/>
      <c r="D501" s="228"/>
      <c r="E501" s="29"/>
      <c r="F501" s="34"/>
      <c r="G501" s="34"/>
      <c r="H501" s="3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1"/>
      <c r="U501" s="34"/>
      <c r="V501" s="34"/>
    </row>
    <row x14ac:dyDescent="0.25" r="502" customHeight="1" ht="15.75">
      <c r="A502" s="229"/>
      <c r="B502" s="230"/>
      <c r="C502" s="230"/>
      <c r="D502" s="228"/>
      <c r="E502" s="29"/>
      <c r="F502" s="34"/>
      <c r="G502" s="34"/>
      <c r="H502" s="3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1"/>
      <c r="U502" s="34"/>
      <c r="V502" s="34"/>
    </row>
    <row x14ac:dyDescent="0.25" r="503" customHeight="1" ht="15.75">
      <c r="A503" s="229"/>
      <c r="B503" s="230"/>
      <c r="C503" s="230"/>
      <c r="D503" s="228"/>
      <c r="E503" s="29"/>
      <c r="F503" s="34"/>
      <c r="G503" s="34"/>
      <c r="H503" s="3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1"/>
      <c r="U503" s="34"/>
      <c r="V503" s="34"/>
    </row>
    <row x14ac:dyDescent="0.25" r="504" customHeight="1" ht="15.75">
      <c r="A504" s="229"/>
      <c r="B504" s="230"/>
      <c r="C504" s="230"/>
      <c r="D504" s="228"/>
      <c r="E504" s="29"/>
      <c r="F504" s="34"/>
      <c r="G504" s="34"/>
      <c r="H504" s="3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1"/>
      <c r="U504" s="34"/>
      <c r="V504" s="34"/>
    </row>
    <row x14ac:dyDescent="0.25" r="505" customHeight="1" ht="15.75">
      <c r="A505" s="229"/>
      <c r="B505" s="230"/>
      <c r="C505" s="230"/>
      <c r="D505" s="228"/>
      <c r="E505" s="29"/>
      <c r="F505" s="34"/>
      <c r="G505" s="34"/>
      <c r="H505" s="3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1"/>
      <c r="U505" s="34"/>
      <c r="V505" s="34"/>
    </row>
    <row x14ac:dyDescent="0.25" r="506" customHeight="1" ht="15.75">
      <c r="A506" s="229"/>
      <c r="B506" s="230"/>
      <c r="C506" s="230"/>
      <c r="D506" s="228"/>
      <c r="E506" s="29"/>
      <c r="F506" s="34"/>
      <c r="G506" s="34"/>
      <c r="H506" s="3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1"/>
      <c r="U506" s="34"/>
      <c r="V506" s="34"/>
    </row>
    <row x14ac:dyDescent="0.25" r="507" customHeight="1" ht="15.75">
      <c r="A507" s="229"/>
      <c r="B507" s="230"/>
      <c r="C507" s="230"/>
      <c r="D507" s="228"/>
      <c r="E507" s="29"/>
      <c r="F507" s="34"/>
      <c r="G507" s="34"/>
      <c r="H507" s="3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1"/>
      <c r="U507" s="34"/>
      <c r="V507" s="34"/>
    </row>
    <row x14ac:dyDescent="0.25" r="508" customHeight="1" ht="15.75">
      <c r="A508" s="229"/>
      <c r="B508" s="230"/>
      <c r="C508" s="230"/>
      <c r="D508" s="228"/>
      <c r="E508" s="29"/>
      <c r="F508" s="34"/>
      <c r="G508" s="34"/>
      <c r="H508" s="3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1"/>
      <c r="U508" s="34"/>
      <c r="V508" s="34"/>
    </row>
    <row x14ac:dyDescent="0.25" r="509" customHeight="1" ht="15.75">
      <c r="A509" s="229"/>
      <c r="B509" s="230"/>
      <c r="C509" s="230"/>
      <c r="D509" s="228"/>
      <c r="E509" s="29"/>
      <c r="F509" s="34"/>
      <c r="G509" s="34"/>
      <c r="H509" s="3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1"/>
      <c r="U509" s="34"/>
      <c r="V509" s="34"/>
    </row>
    <row x14ac:dyDescent="0.25" r="510" customHeight="1" ht="15.75">
      <c r="A510" s="229"/>
      <c r="B510" s="230"/>
      <c r="C510" s="230"/>
      <c r="D510" s="228"/>
      <c r="E510" s="29"/>
      <c r="F510" s="34"/>
      <c r="G510" s="34"/>
      <c r="H510" s="3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1"/>
      <c r="U510" s="34"/>
      <c r="V510" s="34"/>
    </row>
    <row x14ac:dyDescent="0.25" r="511" customHeight="1" ht="15.75">
      <c r="A511" s="229"/>
      <c r="B511" s="230"/>
      <c r="C511" s="230"/>
      <c r="D511" s="228"/>
      <c r="E511" s="29"/>
      <c r="F511" s="34"/>
      <c r="G511" s="34"/>
      <c r="H511" s="3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1"/>
      <c r="U511" s="34"/>
      <c r="V511" s="34"/>
    </row>
    <row x14ac:dyDescent="0.25" r="512" customHeight="1" ht="15.75">
      <c r="A512" s="229"/>
      <c r="B512" s="230"/>
      <c r="C512" s="230"/>
      <c r="D512" s="228"/>
      <c r="E512" s="29"/>
      <c r="F512" s="34"/>
      <c r="G512" s="34"/>
      <c r="H512" s="3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1"/>
      <c r="U512" s="34"/>
      <c r="V512" s="34"/>
    </row>
    <row x14ac:dyDescent="0.25" r="513" customHeight="1" ht="15.75">
      <c r="A513" s="229"/>
      <c r="B513" s="230"/>
      <c r="C513" s="230"/>
      <c r="D513" s="228"/>
      <c r="E513" s="29"/>
      <c r="F513" s="34"/>
      <c r="G513" s="34"/>
      <c r="H513" s="3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1"/>
      <c r="U513" s="34"/>
      <c r="V513" s="34"/>
    </row>
    <row x14ac:dyDescent="0.25" r="514" customHeight="1" ht="15.75">
      <c r="A514" s="229"/>
      <c r="B514" s="230"/>
      <c r="C514" s="230"/>
      <c r="D514" s="228"/>
      <c r="E514" s="29"/>
      <c r="F514" s="34"/>
      <c r="G514" s="34"/>
      <c r="H514" s="3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1"/>
      <c r="U514" s="34"/>
      <c r="V514" s="34"/>
    </row>
    <row x14ac:dyDescent="0.25" r="515" customHeight="1" ht="15.75">
      <c r="A515" s="229"/>
      <c r="B515" s="230"/>
      <c r="C515" s="230"/>
      <c r="D515" s="228"/>
      <c r="E515" s="29"/>
      <c r="F515" s="34"/>
      <c r="G515" s="34"/>
      <c r="H515" s="3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1"/>
      <c r="U515" s="34"/>
      <c r="V515" s="34"/>
    </row>
    <row x14ac:dyDescent="0.25" r="516" customHeight="1" ht="15.75">
      <c r="A516" s="229"/>
      <c r="B516" s="230"/>
      <c r="C516" s="230"/>
      <c r="D516" s="228"/>
      <c r="E516" s="29"/>
      <c r="F516" s="34"/>
      <c r="G516" s="34"/>
      <c r="H516" s="3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1"/>
      <c r="U516" s="34"/>
      <c r="V516" s="34"/>
    </row>
    <row x14ac:dyDescent="0.25" r="517" customHeight="1" ht="15.75">
      <c r="A517" s="229"/>
      <c r="B517" s="230"/>
      <c r="C517" s="230"/>
      <c r="D517" s="228"/>
      <c r="E517" s="29"/>
      <c r="F517" s="34"/>
      <c r="G517" s="34"/>
      <c r="H517" s="3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1"/>
      <c r="U517" s="34"/>
      <c r="V517" s="34"/>
    </row>
    <row x14ac:dyDescent="0.25" r="518" customHeight="1" ht="15.75">
      <c r="A518" s="229"/>
      <c r="B518" s="230"/>
      <c r="C518" s="230"/>
      <c r="D518" s="228"/>
      <c r="E518" s="29"/>
      <c r="F518" s="34"/>
      <c r="G518" s="34"/>
      <c r="H518" s="3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1"/>
      <c r="U518" s="34"/>
      <c r="V518" s="34"/>
    </row>
    <row x14ac:dyDescent="0.25" r="519" customHeight="1" ht="15.75">
      <c r="A519" s="229"/>
      <c r="B519" s="230"/>
      <c r="C519" s="230"/>
      <c r="D519" s="228"/>
      <c r="E519" s="29"/>
      <c r="F519" s="34"/>
      <c r="G519" s="34"/>
      <c r="H519" s="3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1"/>
      <c r="U519" s="34"/>
      <c r="V519" s="34"/>
    </row>
    <row x14ac:dyDescent="0.25" r="520" customHeight="1" ht="15.75">
      <c r="A520" s="229"/>
      <c r="B520" s="230"/>
      <c r="C520" s="230"/>
      <c r="D520" s="228"/>
      <c r="E520" s="29"/>
      <c r="F520" s="34"/>
      <c r="G520" s="34"/>
      <c r="H520" s="3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1"/>
      <c r="U520" s="34"/>
      <c r="V520" s="34"/>
    </row>
    <row x14ac:dyDescent="0.25" r="521" customHeight="1" ht="15.75">
      <c r="A521" s="229"/>
      <c r="B521" s="230"/>
      <c r="C521" s="230"/>
      <c r="D521" s="228"/>
      <c r="E521" s="29"/>
      <c r="F521" s="34"/>
      <c r="G521" s="34"/>
      <c r="H521" s="3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1"/>
      <c r="U521" s="34"/>
      <c r="V521" s="34"/>
    </row>
    <row x14ac:dyDescent="0.25" r="522" customHeight="1" ht="15.75">
      <c r="A522" s="229"/>
      <c r="B522" s="230"/>
      <c r="C522" s="230"/>
      <c r="D522" s="228"/>
      <c r="E522" s="29"/>
      <c r="F522" s="34"/>
      <c r="G522" s="34"/>
      <c r="H522" s="3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1"/>
      <c r="U522" s="34"/>
      <c r="V522" s="34"/>
    </row>
    <row x14ac:dyDescent="0.25" r="523" customHeight="1" ht="15.75">
      <c r="A523" s="229"/>
      <c r="B523" s="230"/>
      <c r="C523" s="230"/>
      <c r="D523" s="228"/>
      <c r="E523" s="29"/>
      <c r="F523" s="34"/>
      <c r="G523" s="34"/>
      <c r="H523" s="3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1"/>
      <c r="U523" s="34"/>
      <c r="V523" s="34"/>
    </row>
    <row x14ac:dyDescent="0.25" r="524" customHeight="1" ht="15.75">
      <c r="A524" s="229"/>
      <c r="B524" s="230"/>
      <c r="C524" s="230"/>
      <c r="D524" s="228"/>
      <c r="E524" s="29"/>
      <c r="F524" s="34"/>
      <c r="G524" s="34"/>
      <c r="H524" s="3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1"/>
      <c r="U524" s="34"/>
      <c r="V524" s="34"/>
    </row>
    <row x14ac:dyDescent="0.25" r="525" customHeight="1" ht="15.75">
      <c r="A525" s="229"/>
      <c r="B525" s="230"/>
      <c r="C525" s="230"/>
      <c r="D525" s="228"/>
      <c r="E525" s="29"/>
      <c r="F525" s="34"/>
      <c r="G525" s="34"/>
      <c r="H525" s="3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1"/>
      <c r="U525" s="34"/>
      <c r="V525" s="34"/>
    </row>
    <row x14ac:dyDescent="0.25" r="526" customHeight="1" ht="15.75">
      <c r="A526" s="229"/>
      <c r="B526" s="230"/>
      <c r="C526" s="230"/>
      <c r="D526" s="228"/>
      <c r="E526" s="29"/>
      <c r="F526" s="34"/>
      <c r="G526" s="34"/>
      <c r="H526" s="3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1"/>
      <c r="U526" s="34"/>
      <c r="V526" s="34"/>
    </row>
    <row x14ac:dyDescent="0.25" r="527" customHeight="1" ht="15.75">
      <c r="A527" s="229"/>
      <c r="B527" s="230"/>
      <c r="C527" s="230"/>
      <c r="D527" s="228"/>
      <c r="E527" s="29"/>
      <c r="F527" s="34"/>
      <c r="G527" s="34"/>
      <c r="H527" s="3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1"/>
      <c r="U527" s="34"/>
      <c r="V527" s="34"/>
    </row>
    <row x14ac:dyDescent="0.25" r="528" customHeight="1" ht="15.75">
      <c r="A528" s="229"/>
      <c r="B528" s="230"/>
      <c r="C528" s="230"/>
      <c r="D528" s="228"/>
      <c r="E528" s="29"/>
      <c r="F528" s="34"/>
      <c r="G528" s="34"/>
      <c r="H528" s="3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1"/>
      <c r="U528" s="34"/>
      <c r="V528" s="34"/>
    </row>
    <row x14ac:dyDescent="0.25" r="529" customHeight="1" ht="15.75">
      <c r="A529" s="229"/>
      <c r="B529" s="230"/>
      <c r="C529" s="230"/>
      <c r="D529" s="228"/>
      <c r="E529" s="29"/>
      <c r="F529" s="34"/>
      <c r="G529" s="34"/>
      <c r="H529" s="3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1"/>
      <c r="U529" s="34"/>
      <c r="V529" s="34"/>
    </row>
    <row x14ac:dyDescent="0.25" r="530" customHeight="1" ht="15.75">
      <c r="A530" s="229"/>
      <c r="B530" s="230"/>
      <c r="C530" s="230"/>
      <c r="D530" s="228"/>
      <c r="E530" s="29"/>
      <c r="F530" s="34"/>
      <c r="G530" s="34"/>
      <c r="H530" s="3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1"/>
      <c r="U530" s="34"/>
      <c r="V530" s="34"/>
    </row>
    <row x14ac:dyDescent="0.25" r="531" customHeight="1" ht="15.75">
      <c r="A531" s="229"/>
      <c r="B531" s="230"/>
      <c r="C531" s="230"/>
      <c r="D531" s="228"/>
      <c r="E531" s="29"/>
      <c r="F531" s="34"/>
      <c r="G531" s="34"/>
      <c r="H531" s="3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1"/>
      <c r="U531" s="34"/>
      <c r="V531" s="34"/>
    </row>
    <row x14ac:dyDescent="0.25" r="532" customHeight="1" ht="15.75">
      <c r="A532" s="229"/>
      <c r="B532" s="230"/>
      <c r="C532" s="230"/>
      <c r="D532" s="228"/>
      <c r="E532" s="29"/>
      <c r="F532" s="34"/>
      <c r="G532" s="34"/>
      <c r="H532" s="3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1"/>
      <c r="U532" s="34"/>
      <c r="V532" s="34"/>
    </row>
    <row x14ac:dyDescent="0.25" r="533" customHeight="1" ht="15.75">
      <c r="A533" s="229"/>
      <c r="B533" s="230"/>
      <c r="C533" s="230"/>
      <c r="D533" s="228"/>
      <c r="E533" s="29"/>
      <c r="F533" s="34"/>
      <c r="G533" s="34"/>
      <c r="H533" s="3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1"/>
      <c r="U533" s="34"/>
      <c r="V533" s="34"/>
    </row>
    <row x14ac:dyDescent="0.25" r="534" customHeight="1" ht="15.75">
      <c r="A534" s="229"/>
      <c r="B534" s="230"/>
      <c r="C534" s="230"/>
      <c r="D534" s="228"/>
      <c r="E534" s="29"/>
      <c r="F534" s="34"/>
      <c r="G534" s="34"/>
      <c r="H534" s="3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1"/>
      <c r="U534" s="34"/>
      <c r="V534" s="34"/>
    </row>
    <row x14ac:dyDescent="0.25" r="535" customHeight="1" ht="15.75">
      <c r="A535" s="229"/>
      <c r="B535" s="230"/>
      <c r="C535" s="230"/>
      <c r="D535" s="228"/>
      <c r="E535" s="29"/>
      <c r="F535" s="34"/>
      <c r="G535" s="34"/>
      <c r="H535" s="3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1"/>
      <c r="U535" s="34"/>
      <c r="V535" s="34"/>
    </row>
    <row x14ac:dyDescent="0.25" r="536" customHeight="1" ht="15.75">
      <c r="A536" s="229"/>
      <c r="B536" s="230"/>
      <c r="C536" s="230"/>
      <c r="D536" s="228"/>
      <c r="E536" s="29"/>
      <c r="F536" s="34"/>
      <c r="G536" s="34"/>
      <c r="H536" s="3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1"/>
      <c r="U536" s="34"/>
      <c r="V536" s="34"/>
    </row>
    <row x14ac:dyDescent="0.25" r="537" customHeight="1" ht="15.75">
      <c r="A537" s="229"/>
      <c r="B537" s="230"/>
      <c r="C537" s="230"/>
      <c r="D537" s="228"/>
      <c r="E537" s="29"/>
      <c r="F537" s="34"/>
      <c r="G537" s="34"/>
      <c r="H537" s="3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1"/>
      <c r="U537" s="34"/>
      <c r="V537" s="34"/>
    </row>
    <row x14ac:dyDescent="0.25" r="538" customHeight="1" ht="15.75">
      <c r="A538" s="229"/>
      <c r="B538" s="230"/>
      <c r="C538" s="230"/>
      <c r="D538" s="228"/>
      <c r="E538" s="29"/>
      <c r="F538" s="34"/>
      <c r="G538" s="34"/>
      <c r="H538" s="3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1"/>
      <c r="U538" s="34"/>
      <c r="V538" s="34"/>
    </row>
    <row x14ac:dyDescent="0.25" r="539" customHeight="1" ht="15.75">
      <c r="A539" s="229"/>
      <c r="B539" s="230"/>
      <c r="C539" s="230"/>
      <c r="D539" s="228"/>
      <c r="E539" s="29"/>
      <c r="F539" s="34"/>
      <c r="G539" s="34"/>
      <c r="H539" s="3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1"/>
      <c r="U539" s="34"/>
      <c r="V539" s="34"/>
    </row>
    <row x14ac:dyDescent="0.25" r="540" customHeight="1" ht="15.75">
      <c r="A540" s="229"/>
      <c r="B540" s="230"/>
      <c r="C540" s="230"/>
      <c r="D540" s="228"/>
      <c r="E540" s="29"/>
      <c r="F540" s="34"/>
      <c r="G540" s="34"/>
      <c r="H540" s="3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1"/>
      <c r="U540" s="34"/>
      <c r="V540" s="34"/>
    </row>
    <row x14ac:dyDescent="0.25" r="541" customHeight="1" ht="15.75">
      <c r="A541" s="229"/>
      <c r="B541" s="230"/>
      <c r="C541" s="230"/>
      <c r="D541" s="228"/>
      <c r="E541" s="29"/>
      <c r="F541" s="34"/>
      <c r="G541" s="34"/>
      <c r="H541" s="3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1"/>
      <c r="U541" s="34"/>
      <c r="V541" s="34"/>
    </row>
    <row x14ac:dyDescent="0.25" r="542" customHeight="1" ht="15.75">
      <c r="A542" s="229"/>
      <c r="B542" s="230"/>
      <c r="C542" s="230"/>
      <c r="D542" s="228"/>
      <c r="E542" s="29"/>
      <c r="F542" s="34"/>
      <c r="G542" s="34"/>
      <c r="H542" s="3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1"/>
      <c r="U542" s="34"/>
      <c r="V542" s="34"/>
    </row>
    <row x14ac:dyDescent="0.25" r="543" customHeight="1" ht="15.75">
      <c r="A543" s="229"/>
      <c r="B543" s="230"/>
      <c r="C543" s="230"/>
      <c r="D543" s="228"/>
      <c r="E543" s="29"/>
      <c r="F543" s="34"/>
      <c r="G543" s="34"/>
      <c r="H543" s="3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1"/>
      <c r="U543" s="34"/>
      <c r="V543" s="34"/>
    </row>
    <row x14ac:dyDescent="0.25" r="544" customHeight="1" ht="15.75">
      <c r="A544" s="229"/>
      <c r="B544" s="230"/>
      <c r="C544" s="230"/>
      <c r="D544" s="228"/>
      <c r="E544" s="29"/>
      <c r="F544" s="34"/>
      <c r="G544" s="34"/>
      <c r="H544" s="3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1"/>
      <c r="U544" s="34"/>
      <c r="V544" s="34"/>
    </row>
    <row x14ac:dyDescent="0.25" r="545" customHeight="1" ht="15.75">
      <c r="A545" s="229"/>
      <c r="B545" s="230"/>
      <c r="C545" s="230"/>
      <c r="D545" s="228"/>
      <c r="E545" s="29"/>
      <c r="F545" s="34"/>
      <c r="G545" s="34"/>
      <c r="H545" s="3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1"/>
      <c r="U545" s="34"/>
      <c r="V545" s="34"/>
    </row>
    <row x14ac:dyDescent="0.25" r="546" customHeight="1" ht="15.75">
      <c r="A546" s="229"/>
      <c r="B546" s="230"/>
      <c r="C546" s="230"/>
      <c r="D546" s="228"/>
      <c r="E546" s="29"/>
      <c r="F546" s="34"/>
      <c r="G546" s="34"/>
      <c r="H546" s="3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1"/>
      <c r="U546" s="34"/>
      <c r="V546" s="34"/>
    </row>
    <row x14ac:dyDescent="0.25" r="547" customHeight="1" ht="15.75">
      <c r="A547" s="229"/>
      <c r="B547" s="230"/>
      <c r="C547" s="230"/>
      <c r="D547" s="228"/>
      <c r="E547" s="29"/>
      <c r="F547" s="34"/>
      <c r="G547" s="34"/>
      <c r="H547" s="3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1"/>
      <c r="U547" s="34"/>
      <c r="V547" s="34"/>
    </row>
    <row x14ac:dyDescent="0.25" r="548" customHeight="1" ht="15.75">
      <c r="A548" s="229"/>
      <c r="B548" s="230"/>
      <c r="C548" s="230"/>
      <c r="D548" s="228"/>
      <c r="E548" s="29"/>
      <c r="F548" s="34"/>
      <c r="G548" s="34"/>
      <c r="H548" s="3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1"/>
      <c r="U548" s="34"/>
      <c r="V548" s="34"/>
    </row>
    <row x14ac:dyDescent="0.25" r="549" customHeight="1" ht="15.75">
      <c r="A549" s="229"/>
      <c r="B549" s="230"/>
      <c r="C549" s="230"/>
      <c r="D549" s="228"/>
      <c r="E549" s="29"/>
      <c r="F549" s="34"/>
      <c r="G549" s="34"/>
      <c r="H549" s="3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1"/>
      <c r="U549" s="34"/>
      <c r="V549" s="34"/>
    </row>
    <row x14ac:dyDescent="0.25" r="550" customHeight="1" ht="15.75">
      <c r="A550" s="229"/>
      <c r="B550" s="230"/>
      <c r="C550" s="230"/>
      <c r="D550" s="228"/>
      <c r="E550" s="29"/>
      <c r="F550" s="34"/>
      <c r="G550" s="34"/>
      <c r="H550" s="3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1"/>
      <c r="U550" s="34"/>
      <c r="V550" s="34"/>
    </row>
    <row x14ac:dyDescent="0.25" r="551" customHeight="1" ht="15.75">
      <c r="A551" s="229"/>
      <c r="B551" s="230"/>
      <c r="C551" s="230"/>
      <c r="D551" s="228"/>
      <c r="E551" s="29"/>
      <c r="F551" s="34"/>
      <c r="G551" s="34"/>
      <c r="H551" s="3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1"/>
      <c r="U551" s="34"/>
      <c r="V551" s="34"/>
    </row>
    <row x14ac:dyDescent="0.25" r="552" customHeight="1" ht="15.75">
      <c r="A552" s="229"/>
      <c r="B552" s="230"/>
      <c r="C552" s="230"/>
      <c r="D552" s="228"/>
      <c r="E552" s="29"/>
      <c r="F552" s="34"/>
      <c r="G552" s="34"/>
      <c r="H552" s="3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1"/>
      <c r="U552" s="34"/>
      <c r="V552" s="34"/>
    </row>
    <row x14ac:dyDescent="0.25" r="553" customHeight="1" ht="15.75">
      <c r="A553" s="229"/>
      <c r="B553" s="230"/>
      <c r="C553" s="230"/>
      <c r="D553" s="228"/>
      <c r="E553" s="29"/>
      <c r="F553" s="34"/>
      <c r="G553" s="34"/>
      <c r="H553" s="3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1"/>
      <c r="U553" s="34"/>
      <c r="V553" s="34"/>
    </row>
    <row x14ac:dyDescent="0.25" r="554" customHeight="1" ht="15.75">
      <c r="A554" s="229"/>
      <c r="B554" s="230"/>
      <c r="C554" s="230"/>
      <c r="D554" s="228"/>
      <c r="E554" s="29"/>
      <c r="F554" s="34"/>
      <c r="G554" s="34"/>
      <c r="H554" s="3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1"/>
      <c r="U554" s="34"/>
      <c r="V554" s="34"/>
    </row>
    <row x14ac:dyDescent="0.25" r="555" customHeight="1" ht="15.75">
      <c r="A555" s="229"/>
      <c r="B555" s="230"/>
      <c r="C555" s="230"/>
      <c r="D555" s="228"/>
      <c r="E555" s="29"/>
      <c r="F555" s="34"/>
      <c r="G555" s="34"/>
      <c r="H555" s="3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1"/>
      <c r="U555" s="34"/>
      <c r="V555" s="34"/>
    </row>
    <row x14ac:dyDescent="0.25" r="556" customHeight="1" ht="15.75">
      <c r="A556" s="229"/>
      <c r="B556" s="230"/>
      <c r="C556" s="230"/>
      <c r="D556" s="228"/>
      <c r="E556" s="29"/>
      <c r="F556" s="34"/>
      <c r="G556" s="34"/>
      <c r="H556" s="3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1"/>
      <c r="U556" s="34"/>
      <c r="V556" s="34"/>
    </row>
    <row x14ac:dyDescent="0.25" r="557" customHeight="1" ht="15.75">
      <c r="A557" s="229"/>
      <c r="B557" s="230"/>
      <c r="C557" s="230"/>
      <c r="D557" s="228"/>
      <c r="E557" s="29"/>
      <c r="F557" s="34"/>
      <c r="G557" s="34"/>
      <c r="H557" s="3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1"/>
      <c r="U557" s="34"/>
      <c r="V557" s="34"/>
    </row>
    <row x14ac:dyDescent="0.25" r="558" customHeight="1" ht="15.75">
      <c r="A558" s="229"/>
      <c r="B558" s="230"/>
      <c r="C558" s="230"/>
      <c r="D558" s="228"/>
      <c r="E558" s="29"/>
      <c r="F558" s="34"/>
      <c r="G558" s="34"/>
      <c r="H558" s="3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1"/>
      <c r="U558" s="34"/>
      <c r="V558" s="34"/>
    </row>
    <row x14ac:dyDescent="0.25" r="559" customHeight="1" ht="15.75">
      <c r="A559" s="229"/>
      <c r="B559" s="230"/>
      <c r="C559" s="230"/>
      <c r="D559" s="228"/>
      <c r="E559" s="29"/>
      <c r="F559" s="34"/>
      <c r="G559" s="34"/>
      <c r="H559" s="3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1"/>
      <c r="U559" s="34"/>
      <c r="V559" s="34"/>
    </row>
    <row x14ac:dyDescent="0.25" r="560" customHeight="1" ht="15.75">
      <c r="A560" s="229"/>
      <c r="B560" s="230"/>
      <c r="C560" s="230"/>
      <c r="D560" s="228"/>
      <c r="E560" s="29"/>
      <c r="F560" s="34"/>
      <c r="G560" s="34"/>
      <c r="H560" s="3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1"/>
      <c r="U560" s="34"/>
      <c r="V560" s="34"/>
    </row>
    <row x14ac:dyDescent="0.25" r="561" customHeight="1" ht="15.75">
      <c r="A561" s="229"/>
      <c r="B561" s="230"/>
      <c r="C561" s="230"/>
      <c r="D561" s="228"/>
      <c r="E561" s="29"/>
      <c r="F561" s="34"/>
      <c r="G561" s="34"/>
      <c r="H561" s="3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1"/>
      <c r="U561" s="34"/>
      <c r="V561" s="34"/>
    </row>
    <row x14ac:dyDescent="0.25" r="562" customHeight="1" ht="15.75">
      <c r="A562" s="229"/>
      <c r="B562" s="230"/>
      <c r="C562" s="230"/>
      <c r="D562" s="228"/>
      <c r="E562" s="29"/>
      <c r="F562" s="34"/>
      <c r="G562" s="34"/>
      <c r="H562" s="3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1"/>
      <c r="U562" s="34"/>
      <c r="V562" s="34"/>
    </row>
    <row x14ac:dyDescent="0.25" r="563" customHeight="1" ht="15.75">
      <c r="A563" s="229"/>
      <c r="B563" s="230"/>
      <c r="C563" s="230"/>
      <c r="D563" s="228"/>
      <c r="E563" s="29"/>
      <c r="F563" s="34"/>
      <c r="G563" s="34"/>
      <c r="H563" s="3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1"/>
      <c r="U563" s="34"/>
      <c r="V563" s="34"/>
    </row>
    <row x14ac:dyDescent="0.25" r="564" customHeight="1" ht="15.75">
      <c r="A564" s="229"/>
      <c r="B564" s="230"/>
      <c r="C564" s="230"/>
      <c r="D564" s="228"/>
      <c r="E564" s="29"/>
      <c r="F564" s="34"/>
      <c r="G564" s="34"/>
      <c r="H564" s="3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1"/>
      <c r="U564" s="34"/>
      <c r="V564" s="34"/>
    </row>
    <row x14ac:dyDescent="0.25" r="565" customHeight="1" ht="15.75">
      <c r="A565" s="229"/>
      <c r="B565" s="230"/>
      <c r="C565" s="230"/>
      <c r="D565" s="228"/>
      <c r="E565" s="29"/>
      <c r="F565" s="34"/>
      <c r="G565" s="34"/>
      <c r="H565" s="3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1"/>
      <c r="U565" s="34"/>
      <c r="V565" s="34"/>
    </row>
    <row x14ac:dyDescent="0.25" r="566" customHeight="1" ht="15.75">
      <c r="A566" s="229"/>
      <c r="B566" s="230"/>
      <c r="C566" s="230"/>
      <c r="D566" s="228"/>
      <c r="E566" s="29"/>
      <c r="F566" s="34"/>
      <c r="G566" s="34"/>
      <c r="H566" s="3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1"/>
      <c r="U566" s="34"/>
      <c r="V566" s="34"/>
    </row>
    <row x14ac:dyDescent="0.25" r="567" customHeight="1" ht="15.75">
      <c r="A567" s="229"/>
      <c r="B567" s="230"/>
      <c r="C567" s="230"/>
      <c r="D567" s="228"/>
      <c r="E567" s="29"/>
      <c r="F567" s="34"/>
      <c r="G567" s="34"/>
      <c r="H567" s="3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1"/>
      <c r="U567" s="34"/>
      <c r="V567" s="34"/>
    </row>
    <row x14ac:dyDescent="0.25" r="568" customHeight="1" ht="15.75">
      <c r="A568" s="229"/>
      <c r="B568" s="230"/>
      <c r="C568" s="230"/>
      <c r="D568" s="228"/>
      <c r="E568" s="29"/>
      <c r="F568" s="34"/>
      <c r="G568" s="34"/>
      <c r="H568" s="3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1"/>
      <c r="U568" s="34"/>
      <c r="V568" s="34"/>
    </row>
    <row x14ac:dyDescent="0.25" r="569" customHeight="1" ht="15.75">
      <c r="A569" s="229"/>
      <c r="B569" s="230"/>
      <c r="C569" s="230"/>
      <c r="D569" s="228"/>
      <c r="E569" s="29"/>
      <c r="F569" s="34"/>
      <c r="G569" s="34"/>
      <c r="H569" s="3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1"/>
      <c r="U569" s="34"/>
      <c r="V569" s="34"/>
    </row>
    <row x14ac:dyDescent="0.25" r="570" customHeight="1" ht="15.75">
      <c r="A570" s="229"/>
      <c r="B570" s="230"/>
      <c r="C570" s="230"/>
      <c r="D570" s="228"/>
      <c r="E570" s="29"/>
      <c r="F570" s="34"/>
      <c r="G570" s="34"/>
      <c r="H570" s="3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1"/>
      <c r="U570" s="34"/>
      <c r="V570" s="34"/>
    </row>
    <row x14ac:dyDescent="0.25" r="571" customHeight="1" ht="15.75">
      <c r="A571" s="229"/>
      <c r="B571" s="230"/>
      <c r="C571" s="230"/>
      <c r="D571" s="228"/>
      <c r="E571" s="29"/>
      <c r="F571" s="34"/>
      <c r="G571" s="34"/>
      <c r="H571" s="3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1"/>
      <c r="U571" s="34"/>
      <c r="V571" s="34"/>
    </row>
    <row x14ac:dyDescent="0.25" r="572" customHeight="1" ht="15.75">
      <c r="A572" s="229"/>
      <c r="B572" s="230"/>
      <c r="C572" s="230"/>
      <c r="D572" s="228"/>
      <c r="E572" s="29"/>
      <c r="F572" s="34"/>
      <c r="G572" s="34"/>
      <c r="H572" s="3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1"/>
      <c r="U572" s="34"/>
      <c r="V572" s="34"/>
    </row>
    <row x14ac:dyDescent="0.25" r="573" customHeight="1" ht="15.75">
      <c r="A573" s="229"/>
      <c r="B573" s="230"/>
      <c r="C573" s="230"/>
      <c r="D573" s="228"/>
      <c r="E573" s="29"/>
      <c r="F573" s="34"/>
      <c r="G573" s="34"/>
      <c r="H573" s="3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1"/>
      <c r="U573" s="34"/>
      <c r="V573" s="34"/>
    </row>
    <row x14ac:dyDescent="0.25" r="574" customHeight="1" ht="15.75">
      <c r="A574" s="229"/>
      <c r="B574" s="230"/>
      <c r="C574" s="230"/>
      <c r="D574" s="228"/>
      <c r="E574" s="29"/>
      <c r="F574" s="34"/>
      <c r="G574" s="34"/>
      <c r="H574" s="3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1"/>
      <c r="U574" s="34"/>
      <c r="V574" s="34"/>
    </row>
    <row x14ac:dyDescent="0.25" r="575" customHeight="1" ht="15.75">
      <c r="A575" s="229"/>
      <c r="B575" s="230"/>
      <c r="C575" s="230"/>
      <c r="D575" s="228"/>
      <c r="E575" s="29"/>
      <c r="F575" s="34"/>
      <c r="G575" s="34"/>
      <c r="H575" s="3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1"/>
      <c r="U575" s="34"/>
      <c r="V575" s="34"/>
    </row>
    <row x14ac:dyDescent="0.25" r="576" customHeight="1" ht="15.75">
      <c r="A576" s="229"/>
      <c r="B576" s="230"/>
      <c r="C576" s="230"/>
      <c r="D576" s="228"/>
      <c r="E576" s="29"/>
      <c r="F576" s="34"/>
      <c r="G576" s="34"/>
      <c r="H576" s="3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1"/>
      <c r="U576" s="34"/>
      <c r="V576" s="34"/>
    </row>
    <row x14ac:dyDescent="0.25" r="577" customHeight="1" ht="15.75">
      <c r="A577" s="229"/>
      <c r="B577" s="230"/>
      <c r="C577" s="230"/>
      <c r="D577" s="228"/>
      <c r="E577" s="29"/>
      <c r="F577" s="34"/>
      <c r="G577" s="34"/>
      <c r="H577" s="3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1"/>
      <c r="U577" s="34"/>
      <c r="V577" s="34"/>
    </row>
    <row x14ac:dyDescent="0.25" r="578" customHeight="1" ht="15.75">
      <c r="A578" s="229"/>
      <c r="B578" s="230"/>
      <c r="C578" s="230"/>
      <c r="D578" s="228"/>
      <c r="E578" s="29"/>
      <c r="F578" s="34"/>
      <c r="G578" s="34"/>
      <c r="H578" s="3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1"/>
      <c r="U578" s="34"/>
      <c r="V578" s="34"/>
    </row>
    <row x14ac:dyDescent="0.25" r="579" customHeight="1" ht="15.75">
      <c r="A579" s="229"/>
      <c r="B579" s="230"/>
      <c r="C579" s="230"/>
      <c r="D579" s="228"/>
      <c r="E579" s="29"/>
      <c r="F579" s="34"/>
      <c r="G579" s="34"/>
      <c r="H579" s="3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1"/>
      <c r="U579" s="34"/>
      <c r="V579" s="34"/>
    </row>
    <row x14ac:dyDescent="0.25" r="580" customHeight="1" ht="15.75">
      <c r="A580" s="229"/>
      <c r="B580" s="230"/>
      <c r="C580" s="230"/>
      <c r="D580" s="228"/>
      <c r="E580" s="29"/>
      <c r="F580" s="34"/>
      <c r="G580" s="34"/>
      <c r="H580" s="3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1"/>
      <c r="U580" s="34"/>
      <c r="V580" s="34"/>
    </row>
    <row x14ac:dyDescent="0.25" r="581" customHeight="1" ht="15.75">
      <c r="A581" s="229"/>
      <c r="B581" s="230"/>
      <c r="C581" s="230"/>
      <c r="D581" s="228"/>
      <c r="E581" s="29"/>
      <c r="F581" s="34"/>
      <c r="G581" s="34"/>
      <c r="H581" s="3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1"/>
      <c r="U581" s="34"/>
      <c r="V581" s="34"/>
    </row>
    <row x14ac:dyDescent="0.25" r="582" customHeight="1" ht="15.75">
      <c r="A582" s="229"/>
      <c r="B582" s="230"/>
      <c r="C582" s="230"/>
      <c r="D582" s="228"/>
      <c r="E582" s="29"/>
      <c r="F582" s="34"/>
      <c r="G582" s="34"/>
      <c r="H582" s="3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1"/>
      <c r="U582" s="34"/>
      <c r="V582" s="34"/>
    </row>
    <row x14ac:dyDescent="0.25" r="583" customHeight="1" ht="15.75">
      <c r="A583" s="229"/>
      <c r="B583" s="230"/>
      <c r="C583" s="230"/>
      <c r="D583" s="228"/>
      <c r="E583" s="29"/>
      <c r="F583" s="34"/>
      <c r="G583" s="34"/>
      <c r="H583" s="3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1"/>
      <c r="U583" s="34"/>
      <c r="V583" s="34"/>
    </row>
    <row x14ac:dyDescent="0.25" r="584" customHeight="1" ht="15.75">
      <c r="A584" s="229"/>
      <c r="B584" s="230"/>
      <c r="C584" s="230"/>
      <c r="D584" s="228"/>
      <c r="E584" s="29"/>
      <c r="F584" s="34"/>
      <c r="G584" s="34"/>
      <c r="H584" s="3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1"/>
      <c r="U584" s="34"/>
      <c r="V584" s="34"/>
    </row>
    <row x14ac:dyDescent="0.25" r="585" customHeight="1" ht="15.75">
      <c r="A585" s="229"/>
      <c r="B585" s="230"/>
      <c r="C585" s="230"/>
      <c r="D585" s="228"/>
      <c r="E585" s="29"/>
      <c r="F585" s="34"/>
      <c r="G585" s="34"/>
      <c r="H585" s="3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1"/>
      <c r="U585" s="34"/>
      <c r="V585" s="34"/>
    </row>
    <row x14ac:dyDescent="0.25" r="586" customHeight="1" ht="15.75">
      <c r="A586" s="229"/>
      <c r="B586" s="230"/>
      <c r="C586" s="230"/>
      <c r="D586" s="228"/>
      <c r="E586" s="29"/>
      <c r="F586" s="34"/>
      <c r="G586" s="34"/>
      <c r="H586" s="3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1"/>
      <c r="U586" s="34"/>
      <c r="V586" s="34"/>
    </row>
    <row x14ac:dyDescent="0.25" r="587" customHeight="1" ht="15.75">
      <c r="A587" s="229"/>
      <c r="B587" s="230"/>
      <c r="C587" s="230"/>
      <c r="D587" s="228"/>
      <c r="E587" s="29"/>
      <c r="F587" s="34"/>
      <c r="G587" s="34"/>
      <c r="H587" s="3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1"/>
      <c r="U587" s="34"/>
      <c r="V587" s="34"/>
    </row>
    <row x14ac:dyDescent="0.25" r="588" customHeight="1" ht="15.75">
      <c r="A588" s="229"/>
      <c r="B588" s="230"/>
      <c r="C588" s="230"/>
      <c r="D588" s="228"/>
      <c r="E588" s="29"/>
      <c r="F588" s="34"/>
      <c r="G588" s="34"/>
      <c r="H588" s="3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1"/>
      <c r="U588" s="34"/>
      <c r="V588" s="34"/>
    </row>
    <row x14ac:dyDescent="0.25" r="589" customHeight="1" ht="15.75">
      <c r="A589" s="229"/>
      <c r="B589" s="230"/>
      <c r="C589" s="230"/>
      <c r="D589" s="228"/>
      <c r="E589" s="29"/>
      <c r="F589" s="34"/>
      <c r="G589" s="34"/>
      <c r="H589" s="3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1"/>
      <c r="U589" s="34"/>
      <c r="V589" s="34"/>
    </row>
    <row x14ac:dyDescent="0.25" r="590" customHeight="1" ht="15.75">
      <c r="A590" s="229"/>
      <c r="B590" s="230"/>
      <c r="C590" s="230"/>
      <c r="D590" s="228"/>
      <c r="E590" s="29"/>
      <c r="F590" s="34"/>
      <c r="G590" s="34"/>
      <c r="H590" s="3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1"/>
      <c r="U590" s="34"/>
      <c r="V590" s="34"/>
    </row>
    <row x14ac:dyDescent="0.25" r="591" customHeight="1" ht="15.75">
      <c r="A591" s="229"/>
      <c r="B591" s="230"/>
      <c r="C591" s="230"/>
      <c r="D591" s="228"/>
      <c r="E591" s="29"/>
      <c r="F591" s="34"/>
      <c r="G591" s="34"/>
      <c r="H591" s="3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1"/>
      <c r="U591" s="34"/>
      <c r="V591" s="34"/>
    </row>
    <row x14ac:dyDescent="0.25" r="592" customHeight="1" ht="15.75">
      <c r="A592" s="229"/>
      <c r="B592" s="230"/>
      <c r="C592" s="230"/>
      <c r="D592" s="228"/>
      <c r="E592" s="29"/>
      <c r="F592" s="34"/>
      <c r="G592" s="34"/>
      <c r="H592" s="3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1"/>
      <c r="U592" s="34"/>
      <c r="V592" s="34"/>
    </row>
    <row x14ac:dyDescent="0.25" r="593" customHeight="1" ht="15.75">
      <c r="A593" s="229"/>
      <c r="B593" s="230"/>
      <c r="C593" s="230"/>
      <c r="D593" s="228"/>
      <c r="E593" s="29"/>
      <c r="F593" s="34"/>
      <c r="G593" s="34"/>
      <c r="H593" s="3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1"/>
      <c r="U593" s="34"/>
      <c r="V593" s="34"/>
    </row>
    <row x14ac:dyDescent="0.25" r="594" customHeight="1" ht="15.75">
      <c r="A594" s="229"/>
      <c r="B594" s="230"/>
      <c r="C594" s="230"/>
      <c r="D594" s="228"/>
      <c r="E594" s="29"/>
      <c r="F594" s="34"/>
      <c r="G594" s="34"/>
      <c r="H594" s="3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1"/>
      <c r="U594" s="34"/>
      <c r="V594" s="34"/>
    </row>
    <row x14ac:dyDescent="0.25" r="595" customHeight="1" ht="15.75">
      <c r="A595" s="229"/>
      <c r="B595" s="230"/>
      <c r="C595" s="230"/>
      <c r="D595" s="228"/>
      <c r="E595" s="29"/>
      <c r="F595" s="34"/>
      <c r="G595" s="34"/>
      <c r="H595" s="3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1"/>
      <c r="U595" s="34"/>
      <c r="V595" s="34"/>
    </row>
    <row x14ac:dyDescent="0.25" r="596" customHeight="1" ht="15.75">
      <c r="A596" s="229"/>
      <c r="B596" s="230"/>
      <c r="C596" s="230"/>
      <c r="D596" s="228"/>
      <c r="E596" s="29"/>
      <c r="F596" s="34"/>
      <c r="G596" s="34"/>
      <c r="H596" s="3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1"/>
      <c r="U596" s="34"/>
      <c r="V596" s="34"/>
    </row>
    <row x14ac:dyDescent="0.25" r="597" customHeight="1" ht="15.75">
      <c r="A597" s="229"/>
      <c r="B597" s="230"/>
      <c r="C597" s="230"/>
      <c r="D597" s="228"/>
      <c r="E597" s="29"/>
      <c r="F597" s="34"/>
      <c r="G597" s="34"/>
      <c r="H597" s="3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1"/>
      <c r="U597" s="34"/>
      <c r="V597" s="34"/>
    </row>
    <row x14ac:dyDescent="0.25" r="598" customHeight="1" ht="15.75">
      <c r="A598" s="229"/>
      <c r="B598" s="230"/>
      <c r="C598" s="230"/>
      <c r="D598" s="228"/>
      <c r="E598" s="29"/>
      <c r="F598" s="34"/>
      <c r="G598" s="34"/>
      <c r="H598" s="3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1"/>
      <c r="U598" s="34"/>
      <c r="V598" s="34"/>
    </row>
    <row x14ac:dyDescent="0.25" r="599" customHeight="1" ht="15.75">
      <c r="A599" s="229"/>
      <c r="B599" s="230"/>
      <c r="C599" s="230"/>
      <c r="D599" s="228"/>
      <c r="E599" s="29"/>
      <c r="F599" s="34"/>
      <c r="G599" s="34"/>
      <c r="H599" s="3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1"/>
      <c r="U599" s="34"/>
      <c r="V599" s="34"/>
    </row>
    <row x14ac:dyDescent="0.25" r="600" customHeight="1" ht="15.75">
      <c r="A600" s="229"/>
      <c r="B600" s="230"/>
      <c r="C600" s="230"/>
      <c r="D600" s="228"/>
      <c r="E600" s="29"/>
      <c r="F600" s="34"/>
      <c r="G600" s="34"/>
      <c r="H600" s="3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1"/>
      <c r="U600" s="34"/>
      <c r="V600" s="34"/>
    </row>
    <row x14ac:dyDescent="0.25" r="601" customHeight="1" ht="15.75">
      <c r="A601" s="229"/>
      <c r="B601" s="230"/>
      <c r="C601" s="230"/>
      <c r="D601" s="228"/>
      <c r="E601" s="29"/>
      <c r="F601" s="34"/>
      <c r="G601" s="34"/>
      <c r="H601" s="3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1"/>
      <c r="U601" s="34"/>
      <c r="V601" s="34"/>
    </row>
    <row x14ac:dyDescent="0.25" r="602" customHeight="1" ht="15.75">
      <c r="A602" s="229"/>
      <c r="B602" s="230"/>
      <c r="C602" s="230"/>
      <c r="D602" s="228"/>
      <c r="E602" s="29"/>
      <c r="F602" s="34"/>
      <c r="G602" s="34"/>
      <c r="H602" s="3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1"/>
      <c r="U602" s="34"/>
      <c r="V602" s="34"/>
    </row>
    <row x14ac:dyDescent="0.25" r="603" customHeight="1" ht="15.75">
      <c r="A603" s="229"/>
      <c r="B603" s="230"/>
      <c r="C603" s="230"/>
      <c r="D603" s="228"/>
      <c r="E603" s="29"/>
      <c r="F603" s="34"/>
      <c r="G603" s="34"/>
      <c r="H603" s="3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1"/>
      <c r="U603" s="34"/>
      <c r="V603" s="34"/>
    </row>
    <row x14ac:dyDescent="0.25" r="604" customHeight="1" ht="15.75">
      <c r="A604" s="229"/>
      <c r="B604" s="230"/>
      <c r="C604" s="230"/>
      <c r="D604" s="228"/>
      <c r="E604" s="29"/>
      <c r="F604" s="34"/>
      <c r="G604" s="34"/>
      <c r="H604" s="3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1"/>
      <c r="U604" s="34"/>
      <c r="V604" s="34"/>
    </row>
    <row x14ac:dyDescent="0.25" r="605" customHeight="1" ht="15.75">
      <c r="A605" s="229"/>
      <c r="B605" s="230"/>
      <c r="C605" s="230"/>
      <c r="D605" s="228"/>
      <c r="E605" s="29"/>
      <c r="F605" s="34"/>
      <c r="G605" s="34"/>
      <c r="H605" s="3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1"/>
      <c r="U605" s="34"/>
      <c r="V605" s="34"/>
    </row>
    <row x14ac:dyDescent="0.25" r="606" customHeight="1" ht="15.75">
      <c r="A606" s="229"/>
      <c r="B606" s="230"/>
      <c r="C606" s="230"/>
      <c r="D606" s="228"/>
      <c r="E606" s="29"/>
      <c r="F606" s="34"/>
      <c r="G606" s="34"/>
      <c r="H606" s="3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1"/>
      <c r="U606" s="34"/>
      <c r="V606" s="34"/>
    </row>
    <row x14ac:dyDescent="0.25" r="607" customHeight="1" ht="15.75">
      <c r="A607" s="229"/>
      <c r="B607" s="230"/>
      <c r="C607" s="230"/>
      <c r="D607" s="228"/>
      <c r="E607" s="29"/>
      <c r="F607" s="34"/>
      <c r="G607" s="34"/>
      <c r="H607" s="3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1"/>
      <c r="U607" s="34"/>
      <c r="V607" s="34"/>
    </row>
    <row x14ac:dyDescent="0.25" r="608" customHeight="1" ht="15.75">
      <c r="A608" s="229"/>
      <c r="B608" s="230"/>
      <c r="C608" s="230"/>
      <c r="D608" s="228"/>
      <c r="E608" s="29"/>
      <c r="F608" s="34"/>
      <c r="G608" s="34"/>
      <c r="H608" s="3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1"/>
      <c r="U608" s="34"/>
      <c r="V608" s="34"/>
    </row>
    <row x14ac:dyDescent="0.25" r="609" customHeight="1" ht="15.75">
      <c r="A609" s="229"/>
      <c r="B609" s="230"/>
      <c r="C609" s="230"/>
      <c r="D609" s="228"/>
      <c r="E609" s="29"/>
      <c r="F609" s="34"/>
      <c r="G609" s="34"/>
      <c r="H609" s="3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1"/>
      <c r="U609" s="34"/>
      <c r="V609" s="34"/>
    </row>
    <row x14ac:dyDescent="0.25" r="610" customHeight="1" ht="15.75">
      <c r="A610" s="229"/>
      <c r="B610" s="230"/>
      <c r="C610" s="230"/>
      <c r="D610" s="228"/>
      <c r="E610" s="29"/>
      <c r="F610" s="34"/>
      <c r="G610" s="34"/>
      <c r="H610" s="3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1"/>
      <c r="U610" s="34"/>
      <c r="V610" s="34"/>
    </row>
    <row x14ac:dyDescent="0.25" r="611" customHeight="1" ht="15.75">
      <c r="A611" s="229"/>
      <c r="B611" s="230"/>
      <c r="C611" s="230"/>
      <c r="D611" s="228"/>
      <c r="E611" s="29"/>
      <c r="F611" s="34"/>
      <c r="G611" s="34"/>
      <c r="H611" s="3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1"/>
      <c r="U611" s="34"/>
      <c r="V611" s="34"/>
    </row>
    <row x14ac:dyDescent="0.25" r="612" customHeight="1" ht="15.75">
      <c r="A612" s="229"/>
      <c r="B612" s="230"/>
      <c r="C612" s="230"/>
      <c r="D612" s="228"/>
      <c r="E612" s="29"/>
      <c r="F612" s="34"/>
      <c r="G612" s="34"/>
      <c r="H612" s="3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1"/>
      <c r="U612" s="34"/>
      <c r="V612" s="34"/>
    </row>
    <row x14ac:dyDescent="0.25" r="613" customHeight="1" ht="15.75">
      <c r="A613" s="229"/>
      <c r="B613" s="230"/>
      <c r="C613" s="230"/>
      <c r="D613" s="228"/>
      <c r="E613" s="29"/>
      <c r="F613" s="34"/>
      <c r="G613" s="34"/>
      <c r="H613" s="3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1"/>
      <c r="U613" s="34"/>
      <c r="V613" s="34"/>
    </row>
    <row x14ac:dyDescent="0.25" r="614" customHeight="1" ht="15.75">
      <c r="A614" s="229"/>
      <c r="B614" s="230"/>
      <c r="C614" s="230"/>
      <c r="D614" s="228"/>
      <c r="E614" s="29"/>
      <c r="F614" s="34"/>
      <c r="G614" s="34"/>
      <c r="H614" s="3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1"/>
      <c r="U614" s="34"/>
      <c r="V614" s="34"/>
    </row>
    <row x14ac:dyDescent="0.25" r="615" customHeight="1" ht="15.75">
      <c r="A615" s="229"/>
      <c r="B615" s="230"/>
      <c r="C615" s="230"/>
      <c r="D615" s="228"/>
      <c r="E615" s="29"/>
      <c r="F615" s="34"/>
      <c r="G615" s="34"/>
      <c r="H615" s="3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1"/>
      <c r="U615" s="34"/>
      <c r="V615" s="34"/>
    </row>
    <row x14ac:dyDescent="0.25" r="616" customHeight="1" ht="15.75">
      <c r="A616" s="229"/>
      <c r="B616" s="230"/>
      <c r="C616" s="230"/>
      <c r="D616" s="228"/>
      <c r="E616" s="29"/>
      <c r="F616" s="34"/>
      <c r="G616" s="34"/>
      <c r="H616" s="3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1"/>
      <c r="U616" s="34"/>
      <c r="V616" s="34"/>
    </row>
    <row x14ac:dyDescent="0.25" r="617" customHeight="1" ht="15.75">
      <c r="A617" s="229"/>
      <c r="B617" s="230"/>
      <c r="C617" s="230"/>
      <c r="D617" s="228"/>
      <c r="E617" s="29"/>
      <c r="F617" s="34"/>
      <c r="G617" s="34"/>
      <c r="H617" s="3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1"/>
      <c r="U617" s="34"/>
      <c r="V617" s="34"/>
    </row>
    <row x14ac:dyDescent="0.25" r="618" customHeight="1" ht="15.75">
      <c r="A618" s="229"/>
      <c r="B618" s="230"/>
      <c r="C618" s="230"/>
      <c r="D618" s="228"/>
      <c r="E618" s="29"/>
      <c r="F618" s="34"/>
      <c r="G618" s="34"/>
      <c r="H618" s="3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1"/>
      <c r="U618" s="34"/>
      <c r="V618" s="34"/>
    </row>
    <row x14ac:dyDescent="0.25" r="619" customHeight="1" ht="15.75">
      <c r="A619" s="229"/>
      <c r="B619" s="230"/>
      <c r="C619" s="230"/>
      <c r="D619" s="228"/>
      <c r="E619" s="29"/>
      <c r="F619" s="34"/>
      <c r="G619" s="34"/>
      <c r="H619" s="3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1"/>
      <c r="U619" s="34"/>
      <c r="V619" s="34"/>
    </row>
    <row x14ac:dyDescent="0.25" r="620" customHeight="1" ht="15.75">
      <c r="A620" s="229"/>
      <c r="B620" s="230"/>
      <c r="C620" s="230"/>
      <c r="D620" s="228"/>
      <c r="E620" s="29"/>
      <c r="F620" s="34"/>
      <c r="G620" s="34"/>
      <c r="H620" s="3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1"/>
      <c r="U620" s="34"/>
      <c r="V620" s="34"/>
    </row>
    <row x14ac:dyDescent="0.25" r="621" customHeight="1" ht="15.75">
      <c r="A621" s="229"/>
      <c r="B621" s="230"/>
      <c r="C621" s="230"/>
      <c r="D621" s="228"/>
      <c r="E621" s="29"/>
      <c r="F621" s="34"/>
      <c r="G621" s="34"/>
      <c r="H621" s="3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1"/>
      <c r="U621" s="34"/>
      <c r="V621" s="34"/>
    </row>
    <row x14ac:dyDescent="0.25" r="622" customHeight="1" ht="15.75">
      <c r="A622" s="229"/>
      <c r="B622" s="230"/>
      <c r="C622" s="230"/>
      <c r="D622" s="228"/>
      <c r="E622" s="29"/>
      <c r="F622" s="34"/>
      <c r="G622" s="34"/>
      <c r="H622" s="3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1"/>
      <c r="U622" s="34"/>
      <c r="V622" s="34"/>
    </row>
    <row x14ac:dyDescent="0.25" r="623" customHeight="1" ht="15.75">
      <c r="A623" s="229"/>
      <c r="B623" s="230"/>
      <c r="C623" s="230"/>
      <c r="D623" s="228"/>
      <c r="E623" s="29"/>
      <c r="F623" s="34"/>
      <c r="G623" s="34"/>
      <c r="H623" s="3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1"/>
      <c r="U623" s="34"/>
      <c r="V623" s="34"/>
    </row>
    <row x14ac:dyDescent="0.25" r="624" customHeight="1" ht="15.75">
      <c r="A624" s="229"/>
      <c r="B624" s="230"/>
      <c r="C624" s="230"/>
      <c r="D624" s="228"/>
      <c r="E624" s="29"/>
      <c r="F624" s="34"/>
      <c r="G624" s="34"/>
      <c r="H624" s="3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1"/>
      <c r="U624" s="34"/>
      <c r="V624" s="34"/>
    </row>
    <row x14ac:dyDescent="0.25" r="625" customHeight="1" ht="15.75">
      <c r="A625" s="229"/>
      <c r="B625" s="230"/>
      <c r="C625" s="230"/>
      <c r="D625" s="228"/>
      <c r="E625" s="29"/>
      <c r="F625" s="34"/>
      <c r="G625" s="34"/>
      <c r="H625" s="3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1"/>
      <c r="U625" s="34"/>
      <c r="V625" s="34"/>
    </row>
    <row x14ac:dyDescent="0.25" r="626" customHeight="1" ht="15.75">
      <c r="A626" s="229"/>
      <c r="B626" s="230"/>
      <c r="C626" s="230"/>
      <c r="D626" s="228"/>
      <c r="E626" s="29"/>
      <c r="F626" s="34"/>
      <c r="G626" s="34"/>
      <c r="H626" s="3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1"/>
      <c r="U626" s="34"/>
      <c r="V626" s="34"/>
    </row>
    <row x14ac:dyDescent="0.25" r="627" customHeight="1" ht="15.75">
      <c r="A627" s="229"/>
      <c r="B627" s="230"/>
      <c r="C627" s="230"/>
      <c r="D627" s="228"/>
      <c r="E627" s="29"/>
      <c r="F627" s="34"/>
      <c r="G627" s="34"/>
      <c r="H627" s="3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1"/>
      <c r="U627" s="34"/>
      <c r="V627" s="34"/>
    </row>
    <row x14ac:dyDescent="0.25" r="628" customHeight="1" ht="15.75">
      <c r="A628" s="229"/>
      <c r="B628" s="230"/>
      <c r="C628" s="230"/>
      <c r="D628" s="228"/>
      <c r="E628" s="29"/>
      <c r="F628" s="34"/>
      <c r="G628" s="34"/>
      <c r="H628" s="3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1"/>
      <c r="U628" s="34"/>
      <c r="V628" s="34"/>
    </row>
    <row x14ac:dyDescent="0.25" r="629" customHeight="1" ht="15.75">
      <c r="A629" s="229"/>
      <c r="B629" s="230"/>
      <c r="C629" s="230"/>
      <c r="D629" s="228"/>
      <c r="E629" s="29"/>
      <c r="F629" s="34"/>
      <c r="G629" s="34"/>
      <c r="H629" s="3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1"/>
      <c r="U629" s="34"/>
      <c r="V629" s="34"/>
    </row>
    <row x14ac:dyDescent="0.25" r="630" customHeight="1" ht="15.75">
      <c r="A630" s="229"/>
      <c r="B630" s="230"/>
      <c r="C630" s="230"/>
      <c r="D630" s="228"/>
      <c r="E630" s="29"/>
      <c r="F630" s="34"/>
      <c r="G630" s="34"/>
      <c r="H630" s="3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1"/>
      <c r="U630" s="34"/>
      <c r="V630" s="34"/>
    </row>
    <row x14ac:dyDescent="0.25" r="631" customHeight="1" ht="15.75">
      <c r="A631" s="229"/>
      <c r="B631" s="230"/>
      <c r="C631" s="230"/>
      <c r="D631" s="228"/>
      <c r="E631" s="29"/>
      <c r="F631" s="34"/>
      <c r="G631" s="34"/>
      <c r="H631" s="3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1"/>
      <c r="U631" s="34"/>
      <c r="V631" s="34"/>
    </row>
    <row x14ac:dyDescent="0.25" r="632" customHeight="1" ht="15.75">
      <c r="A632" s="229"/>
      <c r="B632" s="230"/>
      <c r="C632" s="230"/>
      <c r="D632" s="228"/>
      <c r="E632" s="29"/>
      <c r="F632" s="34"/>
      <c r="G632" s="34"/>
      <c r="H632" s="3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1"/>
      <c r="U632" s="34"/>
      <c r="V632" s="34"/>
    </row>
    <row x14ac:dyDescent="0.25" r="633" customHeight="1" ht="15.75">
      <c r="A633" s="229"/>
      <c r="B633" s="230"/>
      <c r="C633" s="230"/>
      <c r="D633" s="228"/>
      <c r="E633" s="29"/>
      <c r="F633" s="34"/>
      <c r="G633" s="34"/>
      <c r="H633" s="3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1"/>
      <c r="U633" s="34"/>
      <c r="V633" s="34"/>
    </row>
    <row x14ac:dyDescent="0.25" r="634" customHeight="1" ht="15.75">
      <c r="A634" s="229"/>
      <c r="B634" s="230"/>
      <c r="C634" s="230"/>
      <c r="D634" s="228"/>
      <c r="E634" s="29"/>
      <c r="F634" s="34"/>
      <c r="G634" s="34"/>
      <c r="H634" s="3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1"/>
      <c r="U634" s="34"/>
      <c r="V634" s="34"/>
    </row>
    <row x14ac:dyDescent="0.25" r="635" customHeight="1" ht="15.75">
      <c r="A635" s="229"/>
      <c r="B635" s="230"/>
      <c r="C635" s="230"/>
      <c r="D635" s="228"/>
      <c r="E635" s="29"/>
      <c r="F635" s="34"/>
      <c r="G635" s="34"/>
      <c r="H635" s="3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1"/>
      <c r="U635" s="34"/>
      <c r="V635" s="34"/>
    </row>
    <row x14ac:dyDescent="0.25" r="636" customHeight="1" ht="15.75">
      <c r="A636" s="229"/>
      <c r="B636" s="230"/>
      <c r="C636" s="230"/>
      <c r="D636" s="228"/>
      <c r="E636" s="29"/>
      <c r="F636" s="34"/>
      <c r="G636" s="34"/>
      <c r="H636" s="3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1"/>
      <c r="U636" s="34"/>
      <c r="V636" s="34"/>
    </row>
    <row x14ac:dyDescent="0.25" r="637" customHeight="1" ht="15.75">
      <c r="A637" s="229"/>
      <c r="B637" s="230"/>
      <c r="C637" s="230"/>
      <c r="D637" s="228"/>
      <c r="E637" s="29"/>
      <c r="F637" s="34"/>
      <c r="G637" s="34"/>
      <c r="H637" s="3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1"/>
      <c r="U637" s="34"/>
      <c r="V637" s="34"/>
    </row>
    <row x14ac:dyDescent="0.25" r="638" customHeight="1" ht="15.75">
      <c r="A638" s="229"/>
      <c r="B638" s="230"/>
      <c r="C638" s="230"/>
      <c r="D638" s="228"/>
      <c r="E638" s="29"/>
      <c r="F638" s="34"/>
      <c r="G638" s="34"/>
      <c r="H638" s="3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1"/>
      <c r="U638" s="34"/>
      <c r="V638" s="34"/>
    </row>
    <row x14ac:dyDescent="0.25" r="639" customHeight="1" ht="15.75">
      <c r="A639" s="229"/>
      <c r="B639" s="230"/>
      <c r="C639" s="230"/>
      <c r="D639" s="228"/>
      <c r="E639" s="29"/>
      <c r="F639" s="34"/>
      <c r="G639" s="34"/>
      <c r="H639" s="3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1"/>
      <c r="U639" s="34"/>
      <c r="V639" s="34"/>
    </row>
    <row x14ac:dyDescent="0.25" r="640" customHeight="1" ht="15.75">
      <c r="A640" s="229"/>
      <c r="B640" s="230"/>
      <c r="C640" s="230"/>
      <c r="D640" s="228"/>
      <c r="E640" s="29"/>
      <c r="F640" s="34"/>
      <c r="G640" s="34"/>
      <c r="H640" s="3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1"/>
      <c r="U640" s="34"/>
      <c r="V640" s="34"/>
    </row>
    <row x14ac:dyDescent="0.25" r="641" customHeight="1" ht="15.75">
      <c r="A641" s="229"/>
      <c r="B641" s="230"/>
      <c r="C641" s="230"/>
      <c r="D641" s="228"/>
      <c r="E641" s="29"/>
      <c r="F641" s="34"/>
      <c r="G641" s="34"/>
      <c r="H641" s="3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1"/>
      <c r="U641" s="34"/>
      <c r="V641" s="34"/>
    </row>
    <row x14ac:dyDescent="0.25" r="642" customHeight="1" ht="15.75">
      <c r="A642" s="229"/>
      <c r="B642" s="230"/>
      <c r="C642" s="230"/>
      <c r="D642" s="228"/>
      <c r="E642" s="29"/>
      <c r="F642" s="34"/>
      <c r="G642" s="34"/>
      <c r="H642" s="3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1"/>
      <c r="U642" s="34"/>
      <c r="V642" s="34"/>
    </row>
    <row x14ac:dyDescent="0.25" r="643" customHeight="1" ht="15.75">
      <c r="A643" s="229"/>
      <c r="B643" s="230"/>
      <c r="C643" s="230"/>
      <c r="D643" s="228"/>
      <c r="E643" s="29"/>
      <c r="F643" s="34"/>
      <c r="G643" s="34"/>
      <c r="H643" s="3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1"/>
      <c r="U643" s="34"/>
      <c r="V643" s="34"/>
    </row>
    <row x14ac:dyDescent="0.25" r="644" customHeight="1" ht="15.75">
      <c r="A644" s="229"/>
      <c r="B644" s="230"/>
      <c r="C644" s="230"/>
      <c r="D644" s="228"/>
      <c r="E644" s="29"/>
      <c r="F644" s="34"/>
      <c r="G644" s="34"/>
      <c r="H644" s="3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1"/>
      <c r="U644" s="34"/>
      <c r="V644" s="34"/>
    </row>
    <row x14ac:dyDescent="0.25" r="645" customHeight="1" ht="15.75">
      <c r="A645" s="229"/>
      <c r="B645" s="230"/>
      <c r="C645" s="230"/>
      <c r="D645" s="228"/>
      <c r="E645" s="29"/>
      <c r="F645" s="34"/>
      <c r="G645" s="34"/>
      <c r="H645" s="3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1"/>
      <c r="U645" s="34"/>
      <c r="V645" s="34"/>
    </row>
    <row x14ac:dyDescent="0.25" r="646" customHeight="1" ht="15.75">
      <c r="A646" s="229"/>
      <c r="B646" s="230"/>
      <c r="C646" s="230"/>
      <c r="D646" s="228"/>
      <c r="E646" s="29"/>
      <c r="F646" s="34"/>
      <c r="G646" s="34"/>
      <c r="H646" s="3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1"/>
      <c r="U646" s="34"/>
      <c r="V646" s="34"/>
    </row>
    <row x14ac:dyDescent="0.25" r="647" customHeight="1" ht="15.75">
      <c r="A647" s="229"/>
      <c r="B647" s="230"/>
      <c r="C647" s="230"/>
      <c r="D647" s="228"/>
      <c r="E647" s="29"/>
      <c r="F647" s="34"/>
      <c r="G647" s="34"/>
      <c r="H647" s="3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1"/>
      <c r="U647" s="34"/>
      <c r="V647" s="34"/>
    </row>
    <row x14ac:dyDescent="0.25" r="648" customHeight="1" ht="15.75">
      <c r="A648" s="229"/>
      <c r="B648" s="230"/>
      <c r="C648" s="230"/>
      <c r="D648" s="228"/>
      <c r="E648" s="29"/>
      <c r="F648" s="34"/>
      <c r="G648" s="34"/>
      <c r="H648" s="3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1"/>
      <c r="U648" s="34"/>
      <c r="V648" s="34"/>
    </row>
    <row x14ac:dyDescent="0.25" r="649" customHeight="1" ht="15.75">
      <c r="A649" s="229"/>
      <c r="B649" s="230"/>
      <c r="C649" s="230"/>
      <c r="D649" s="228"/>
      <c r="E649" s="29"/>
      <c r="F649" s="34"/>
      <c r="G649" s="34"/>
      <c r="H649" s="3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1"/>
      <c r="U649" s="34"/>
      <c r="V649" s="34"/>
    </row>
    <row x14ac:dyDescent="0.25" r="650" customHeight="1" ht="15.75">
      <c r="A650" s="229"/>
      <c r="B650" s="230"/>
      <c r="C650" s="230"/>
      <c r="D650" s="228"/>
      <c r="E650" s="29"/>
      <c r="F650" s="34"/>
      <c r="G650" s="34"/>
      <c r="H650" s="3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1"/>
      <c r="U650" s="34"/>
      <c r="V650" s="34"/>
    </row>
    <row x14ac:dyDescent="0.25" r="651" customHeight="1" ht="15.75">
      <c r="A651" s="229"/>
      <c r="B651" s="230"/>
      <c r="C651" s="230"/>
      <c r="D651" s="228"/>
      <c r="E651" s="29"/>
      <c r="F651" s="34"/>
      <c r="G651" s="34"/>
      <c r="H651" s="3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1"/>
      <c r="U651" s="34"/>
      <c r="V651" s="34"/>
    </row>
    <row x14ac:dyDescent="0.25" r="652" customHeight="1" ht="15.75">
      <c r="A652" s="229"/>
      <c r="B652" s="230"/>
      <c r="C652" s="230"/>
      <c r="D652" s="228"/>
      <c r="E652" s="29"/>
      <c r="F652" s="34"/>
      <c r="G652" s="34"/>
      <c r="H652" s="3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1"/>
      <c r="U652" s="34"/>
      <c r="V652" s="34"/>
    </row>
    <row x14ac:dyDescent="0.25" r="653" customHeight="1" ht="15.75">
      <c r="A653" s="229"/>
      <c r="B653" s="230"/>
      <c r="C653" s="230"/>
      <c r="D653" s="228"/>
      <c r="E653" s="29"/>
      <c r="F653" s="34"/>
      <c r="G653" s="34"/>
      <c r="H653" s="3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1"/>
      <c r="U653" s="34"/>
      <c r="V653" s="34"/>
    </row>
    <row x14ac:dyDescent="0.25" r="654" customHeight="1" ht="15.75">
      <c r="A654" s="229"/>
      <c r="B654" s="230"/>
      <c r="C654" s="230"/>
      <c r="D654" s="228"/>
      <c r="E654" s="29"/>
      <c r="F654" s="34"/>
      <c r="G654" s="34"/>
      <c r="H654" s="3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1"/>
      <c r="U654" s="34"/>
      <c r="V654" s="34"/>
    </row>
    <row x14ac:dyDescent="0.25" r="655" customHeight="1" ht="15.75">
      <c r="A655" s="229"/>
      <c r="B655" s="230"/>
      <c r="C655" s="230"/>
      <c r="D655" s="228"/>
      <c r="E655" s="29"/>
      <c r="F655" s="34"/>
      <c r="G655" s="34"/>
      <c r="H655" s="3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1"/>
      <c r="U655" s="34"/>
      <c r="V655" s="34"/>
    </row>
    <row x14ac:dyDescent="0.25" r="656" customHeight="1" ht="15.75">
      <c r="A656" s="229"/>
      <c r="B656" s="230"/>
      <c r="C656" s="230"/>
      <c r="D656" s="228"/>
      <c r="E656" s="29"/>
      <c r="F656" s="34"/>
      <c r="G656" s="34"/>
      <c r="H656" s="3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1"/>
      <c r="U656" s="34"/>
      <c r="V656" s="34"/>
    </row>
    <row x14ac:dyDescent="0.25" r="657" customHeight="1" ht="15.75">
      <c r="A657" s="229"/>
      <c r="B657" s="230"/>
      <c r="C657" s="230"/>
      <c r="D657" s="228"/>
      <c r="E657" s="29"/>
      <c r="F657" s="34"/>
      <c r="G657" s="34"/>
      <c r="H657" s="3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1"/>
      <c r="U657" s="34"/>
      <c r="V657" s="34"/>
    </row>
    <row x14ac:dyDescent="0.25" r="658" customHeight="1" ht="15.75">
      <c r="A658" s="229"/>
      <c r="B658" s="230"/>
      <c r="C658" s="230"/>
      <c r="D658" s="228"/>
      <c r="E658" s="29"/>
      <c r="F658" s="34"/>
      <c r="G658" s="34"/>
      <c r="H658" s="3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1"/>
      <c r="U658" s="34"/>
      <c r="V658" s="34"/>
    </row>
    <row x14ac:dyDescent="0.25" r="659" customHeight="1" ht="15.75">
      <c r="A659" s="229"/>
      <c r="B659" s="230"/>
      <c r="C659" s="230"/>
      <c r="D659" s="228"/>
      <c r="E659" s="29"/>
      <c r="F659" s="34"/>
      <c r="G659" s="34"/>
      <c r="H659" s="3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1"/>
      <c r="U659" s="34"/>
      <c r="V659" s="34"/>
    </row>
    <row x14ac:dyDescent="0.25" r="660" customHeight="1" ht="15.75">
      <c r="A660" s="229"/>
      <c r="B660" s="230"/>
      <c r="C660" s="230"/>
      <c r="D660" s="228"/>
      <c r="E660" s="29"/>
      <c r="F660" s="34"/>
      <c r="G660" s="34"/>
      <c r="H660" s="3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1"/>
      <c r="U660" s="34"/>
      <c r="V660" s="34"/>
    </row>
    <row x14ac:dyDescent="0.25" r="661" customHeight="1" ht="15.75">
      <c r="A661" s="229"/>
      <c r="B661" s="230"/>
      <c r="C661" s="230"/>
      <c r="D661" s="228"/>
      <c r="E661" s="29"/>
      <c r="F661" s="34"/>
      <c r="G661" s="34"/>
      <c r="H661" s="3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1"/>
      <c r="U661" s="34"/>
      <c r="V661" s="34"/>
    </row>
    <row x14ac:dyDescent="0.25" r="662" customHeight="1" ht="15.75">
      <c r="A662" s="229"/>
      <c r="B662" s="230"/>
      <c r="C662" s="230"/>
      <c r="D662" s="228"/>
      <c r="E662" s="29"/>
      <c r="F662" s="34"/>
      <c r="G662" s="34"/>
      <c r="H662" s="3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1"/>
      <c r="U662" s="34"/>
      <c r="V662" s="34"/>
    </row>
    <row x14ac:dyDescent="0.25" r="663" customHeight="1" ht="15.75">
      <c r="A663" s="229"/>
      <c r="B663" s="230"/>
      <c r="C663" s="230"/>
      <c r="D663" s="228"/>
      <c r="E663" s="29"/>
      <c r="F663" s="34"/>
      <c r="G663" s="34"/>
      <c r="H663" s="3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1"/>
      <c r="U663" s="34"/>
      <c r="V663" s="34"/>
    </row>
    <row x14ac:dyDescent="0.25" r="664" customHeight="1" ht="15.75">
      <c r="A664" s="229"/>
      <c r="B664" s="230"/>
      <c r="C664" s="230"/>
      <c r="D664" s="228"/>
      <c r="E664" s="29"/>
      <c r="F664" s="34"/>
      <c r="G664" s="34"/>
      <c r="H664" s="3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1"/>
      <c r="U664" s="34"/>
      <c r="V664" s="34"/>
    </row>
    <row x14ac:dyDescent="0.25" r="665" customHeight="1" ht="15.75">
      <c r="A665" s="229"/>
      <c r="B665" s="230"/>
      <c r="C665" s="230"/>
      <c r="D665" s="228"/>
      <c r="E665" s="29"/>
      <c r="F665" s="34"/>
      <c r="G665" s="34"/>
      <c r="H665" s="3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1"/>
      <c r="U665" s="34"/>
      <c r="V665" s="34"/>
    </row>
    <row x14ac:dyDescent="0.25" r="666" customHeight="1" ht="15.75">
      <c r="A666" s="229"/>
      <c r="B666" s="230"/>
      <c r="C666" s="230"/>
      <c r="D666" s="228"/>
      <c r="E666" s="29"/>
      <c r="F666" s="34"/>
      <c r="G666" s="34"/>
      <c r="H666" s="3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1"/>
      <c r="U666" s="34"/>
      <c r="V666" s="34"/>
    </row>
    <row x14ac:dyDescent="0.25" r="667" customHeight="1" ht="15.75">
      <c r="A667" s="229"/>
      <c r="B667" s="230"/>
      <c r="C667" s="230"/>
      <c r="D667" s="228"/>
      <c r="E667" s="29"/>
      <c r="F667" s="34"/>
      <c r="G667" s="34"/>
      <c r="H667" s="3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1"/>
      <c r="U667" s="34"/>
      <c r="V667" s="34"/>
    </row>
    <row x14ac:dyDescent="0.25" r="668" customHeight="1" ht="15.75">
      <c r="A668" s="229"/>
      <c r="B668" s="230"/>
      <c r="C668" s="230"/>
      <c r="D668" s="228"/>
      <c r="E668" s="29"/>
      <c r="F668" s="34"/>
      <c r="G668" s="34"/>
      <c r="H668" s="3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1"/>
      <c r="U668" s="34"/>
      <c r="V668" s="34"/>
    </row>
    <row x14ac:dyDescent="0.25" r="669" customHeight="1" ht="15.75">
      <c r="A669" s="229"/>
      <c r="B669" s="230"/>
      <c r="C669" s="230"/>
      <c r="D669" s="228"/>
      <c r="E669" s="29"/>
      <c r="F669" s="34"/>
      <c r="G669" s="34"/>
      <c r="H669" s="3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1"/>
      <c r="U669" s="34"/>
      <c r="V669" s="34"/>
    </row>
    <row x14ac:dyDescent="0.25" r="670" customHeight="1" ht="15.75">
      <c r="A670" s="229"/>
      <c r="B670" s="230"/>
      <c r="C670" s="230"/>
      <c r="D670" s="228"/>
      <c r="E670" s="29"/>
      <c r="F670" s="34"/>
      <c r="G670" s="34"/>
      <c r="H670" s="3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1"/>
      <c r="U670" s="34"/>
      <c r="V670" s="34"/>
    </row>
    <row x14ac:dyDescent="0.25" r="671" customHeight="1" ht="15.75">
      <c r="A671" s="229"/>
      <c r="B671" s="230"/>
      <c r="C671" s="230"/>
      <c r="D671" s="228"/>
      <c r="E671" s="29"/>
      <c r="F671" s="34"/>
      <c r="G671" s="34"/>
      <c r="H671" s="3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1"/>
      <c r="U671" s="34"/>
      <c r="V671" s="34"/>
    </row>
    <row x14ac:dyDescent="0.25" r="672" customHeight="1" ht="15.75">
      <c r="A672" s="229"/>
      <c r="B672" s="230"/>
      <c r="C672" s="230"/>
      <c r="D672" s="228"/>
      <c r="E672" s="29"/>
      <c r="F672" s="34"/>
      <c r="G672" s="34"/>
      <c r="H672" s="3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1"/>
      <c r="U672" s="34"/>
      <c r="V672" s="34"/>
    </row>
    <row x14ac:dyDescent="0.25" r="673" customHeight="1" ht="15.75">
      <c r="A673" s="229"/>
      <c r="B673" s="230"/>
      <c r="C673" s="230"/>
      <c r="D673" s="228"/>
      <c r="E673" s="29"/>
      <c r="F673" s="34"/>
      <c r="G673" s="34"/>
      <c r="H673" s="3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1"/>
      <c r="U673" s="34"/>
      <c r="V673" s="34"/>
    </row>
    <row x14ac:dyDescent="0.25" r="674" customHeight="1" ht="15.75">
      <c r="A674" s="229"/>
      <c r="B674" s="230"/>
      <c r="C674" s="230"/>
      <c r="D674" s="228"/>
      <c r="E674" s="29"/>
      <c r="F674" s="34"/>
      <c r="G674" s="34"/>
      <c r="H674" s="3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1"/>
      <c r="U674" s="34"/>
      <c r="V674" s="34"/>
    </row>
    <row x14ac:dyDescent="0.25" r="675" customHeight="1" ht="15.75">
      <c r="A675" s="229"/>
      <c r="B675" s="230"/>
      <c r="C675" s="230"/>
      <c r="D675" s="228"/>
      <c r="E675" s="29"/>
      <c r="F675" s="34"/>
      <c r="G675" s="34"/>
      <c r="H675" s="3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1"/>
      <c r="U675" s="34"/>
      <c r="V675" s="34"/>
    </row>
    <row x14ac:dyDescent="0.25" r="676" customHeight="1" ht="15.75">
      <c r="A676" s="229"/>
      <c r="B676" s="230"/>
      <c r="C676" s="230"/>
      <c r="D676" s="228"/>
      <c r="E676" s="29"/>
      <c r="F676" s="34"/>
      <c r="G676" s="34"/>
      <c r="H676" s="3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1"/>
      <c r="U676" s="34"/>
      <c r="V676" s="34"/>
    </row>
    <row x14ac:dyDescent="0.25" r="677" customHeight="1" ht="15.75">
      <c r="A677" s="229"/>
      <c r="B677" s="230"/>
      <c r="C677" s="230"/>
      <c r="D677" s="228"/>
      <c r="E677" s="29"/>
      <c r="F677" s="34"/>
      <c r="G677" s="34"/>
      <c r="H677" s="3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1"/>
      <c r="U677" s="34"/>
      <c r="V677" s="34"/>
    </row>
    <row x14ac:dyDescent="0.25" r="678" customHeight="1" ht="15.75">
      <c r="A678" s="229"/>
      <c r="B678" s="230"/>
      <c r="C678" s="230"/>
      <c r="D678" s="228"/>
      <c r="E678" s="29"/>
      <c r="F678" s="34"/>
      <c r="G678" s="34"/>
      <c r="H678" s="3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1"/>
      <c r="U678" s="34"/>
      <c r="V678" s="34"/>
    </row>
    <row x14ac:dyDescent="0.25" r="679" customHeight="1" ht="15.75">
      <c r="A679" s="229"/>
      <c r="B679" s="230"/>
      <c r="C679" s="230"/>
      <c r="D679" s="228"/>
      <c r="E679" s="29"/>
      <c r="F679" s="34"/>
      <c r="G679" s="34"/>
      <c r="H679" s="3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1"/>
      <c r="U679" s="34"/>
      <c r="V679" s="34"/>
    </row>
    <row x14ac:dyDescent="0.25" r="680" customHeight="1" ht="15.75">
      <c r="A680" s="229"/>
      <c r="B680" s="230"/>
      <c r="C680" s="230"/>
      <c r="D680" s="228"/>
      <c r="E680" s="29"/>
      <c r="F680" s="34"/>
      <c r="G680" s="34"/>
      <c r="H680" s="3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1"/>
      <c r="U680" s="34"/>
      <c r="V680" s="34"/>
    </row>
    <row x14ac:dyDescent="0.25" r="681" customHeight="1" ht="15.75">
      <c r="A681" s="229"/>
      <c r="B681" s="230"/>
      <c r="C681" s="230"/>
      <c r="D681" s="228"/>
      <c r="E681" s="29"/>
      <c r="F681" s="34"/>
      <c r="G681" s="34"/>
      <c r="H681" s="3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1"/>
      <c r="U681" s="34"/>
      <c r="V681" s="34"/>
    </row>
    <row x14ac:dyDescent="0.25" r="682" customHeight="1" ht="15.75">
      <c r="A682" s="229"/>
      <c r="B682" s="230"/>
      <c r="C682" s="230"/>
      <c r="D682" s="228"/>
      <c r="E682" s="29"/>
      <c r="F682" s="34"/>
      <c r="G682" s="34"/>
      <c r="H682" s="3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1"/>
      <c r="U682" s="34"/>
      <c r="V682" s="34"/>
    </row>
    <row x14ac:dyDescent="0.25" r="683" customHeight="1" ht="15.75">
      <c r="A683" s="229"/>
      <c r="B683" s="230"/>
      <c r="C683" s="230"/>
      <c r="D683" s="228"/>
      <c r="E683" s="29"/>
      <c r="F683" s="34"/>
      <c r="G683" s="34"/>
      <c r="H683" s="3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1"/>
      <c r="U683" s="34"/>
      <c r="V683" s="34"/>
    </row>
    <row x14ac:dyDescent="0.25" r="684" customHeight="1" ht="15.75">
      <c r="A684" s="229"/>
      <c r="B684" s="230"/>
      <c r="C684" s="230"/>
      <c r="D684" s="228"/>
      <c r="E684" s="29"/>
      <c r="F684" s="34"/>
      <c r="G684" s="34"/>
      <c r="H684" s="3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1"/>
      <c r="U684" s="34"/>
      <c r="V684" s="34"/>
    </row>
    <row x14ac:dyDescent="0.25" r="685" customHeight="1" ht="15.75">
      <c r="A685" s="229"/>
      <c r="B685" s="230"/>
      <c r="C685" s="230"/>
      <c r="D685" s="228"/>
      <c r="E685" s="29"/>
      <c r="F685" s="34"/>
      <c r="G685" s="34"/>
      <c r="H685" s="3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1"/>
      <c r="U685" s="34"/>
      <c r="V685" s="34"/>
    </row>
    <row x14ac:dyDescent="0.25" r="686" customHeight="1" ht="15.75">
      <c r="A686" s="229"/>
      <c r="B686" s="230"/>
      <c r="C686" s="230"/>
      <c r="D686" s="228"/>
      <c r="E686" s="29"/>
      <c r="F686" s="34"/>
      <c r="G686" s="34"/>
      <c r="H686" s="3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1"/>
      <c r="U686" s="34"/>
      <c r="V686" s="34"/>
    </row>
    <row x14ac:dyDescent="0.25" r="687" customHeight="1" ht="15.75">
      <c r="A687" s="229"/>
      <c r="B687" s="230"/>
      <c r="C687" s="230"/>
      <c r="D687" s="228"/>
      <c r="E687" s="29"/>
      <c r="F687" s="34"/>
      <c r="G687" s="34"/>
      <c r="H687" s="3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1"/>
      <c r="U687" s="34"/>
      <c r="V687" s="34"/>
    </row>
    <row x14ac:dyDescent="0.25" r="688" customHeight="1" ht="15.75">
      <c r="A688" s="229"/>
      <c r="B688" s="230"/>
      <c r="C688" s="230"/>
      <c r="D688" s="228"/>
      <c r="E688" s="29"/>
      <c r="F688" s="34"/>
      <c r="G688" s="34"/>
      <c r="H688" s="3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1"/>
      <c r="U688" s="34"/>
      <c r="V688" s="34"/>
    </row>
    <row x14ac:dyDescent="0.25" r="689" customHeight="1" ht="15.75">
      <c r="A689" s="229"/>
      <c r="B689" s="230"/>
      <c r="C689" s="230"/>
      <c r="D689" s="228"/>
      <c r="E689" s="29"/>
      <c r="F689" s="34"/>
      <c r="G689" s="34"/>
      <c r="H689" s="3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1"/>
      <c r="U689" s="34"/>
      <c r="V689" s="34"/>
    </row>
    <row x14ac:dyDescent="0.25" r="690" customHeight="1" ht="15.75">
      <c r="A690" s="229"/>
      <c r="B690" s="230"/>
      <c r="C690" s="230"/>
      <c r="D690" s="228"/>
      <c r="E690" s="29"/>
      <c r="F690" s="34"/>
      <c r="G690" s="34"/>
      <c r="H690" s="3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1"/>
      <c r="U690" s="34"/>
      <c r="V690" s="34"/>
    </row>
    <row x14ac:dyDescent="0.25" r="691" customHeight="1" ht="15.75">
      <c r="A691" s="229"/>
      <c r="B691" s="230"/>
      <c r="C691" s="230"/>
      <c r="D691" s="228"/>
      <c r="E691" s="29"/>
      <c r="F691" s="34"/>
      <c r="G691" s="34"/>
      <c r="H691" s="3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1"/>
      <c r="U691" s="34"/>
      <c r="V691" s="34"/>
    </row>
    <row x14ac:dyDescent="0.25" r="692" customHeight="1" ht="15.75">
      <c r="A692" s="229"/>
      <c r="B692" s="230"/>
      <c r="C692" s="230"/>
      <c r="D692" s="228"/>
      <c r="E692" s="29"/>
      <c r="F692" s="34"/>
      <c r="G692" s="34"/>
      <c r="H692" s="3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1"/>
      <c r="U692" s="34"/>
      <c r="V692" s="34"/>
    </row>
    <row x14ac:dyDescent="0.25" r="693" customHeight="1" ht="15.75">
      <c r="A693" s="229"/>
      <c r="B693" s="230"/>
      <c r="C693" s="230"/>
      <c r="D693" s="228"/>
      <c r="E693" s="29"/>
      <c r="F693" s="34"/>
      <c r="G693" s="34"/>
      <c r="H693" s="3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1"/>
      <c r="U693" s="34"/>
      <c r="V693" s="34"/>
    </row>
    <row x14ac:dyDescent="0.25" r="694" customHeight="1" ht="15.75">
      <c r="A694" s="229"/>
      <c r="B694" s="230"/>
      <c r="C694" s="230"/>
      <c r="D694" s="228"/>
      <c r="E694" s="29"/>
      <c r="F694" s="34"/>
      <c r="G694" s="34"/>
      <c r="H694" s="3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1"/>
      <c r="U694" s="34"/>
      <c r="V694" s="34"/>
    </row>
    <row x14ac:dyDescent="0.25" r="695" customHeight="1" ht="15.75">
      <c r="A695" s="229"/>
      <c r="B695" s="230"/>
      <c r="C695" s="230"/>
      <c r="D695" s="228"/>
      <c r="E695" s="29"/>
      <c r="F695" s="34"/>
      <c r="G695" s="34"/>
      <c r="H695" s="3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1"/>
      <c r="U695" s="34"/>
      <c r="V695" s="34"/>
    </row>
    <row x14ac:dyDescent="0.25" r="696" customHeight="1" ht="15.75">
      <c r="A696" s="229"/>
      <c r="B696" s="230"/>
      <c r="C696" s="230"/>
      <c r="D696" s="228"/>
      <c r="E696" s="29"/>
      <c r="F696" s="34"/>
      <c r="G696" s="34"/>
      <c r="H696" s="3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1"/>
      <c r="U696" s="34"/>
      <c r="V696" s="34"/>
    </row>
    <row x14ac:dyDescent="0.25" r="697" customHeight="1" ht="15.75">
      <c r="A697" s="229"/>
      <c r="B697" s="230"/>
      <c r="C697" s="230"/>
      <c r="D697" s="228"/>
      <c r="E697" s="29"/>
      <c r="F697" s="34"/>
      <c r="G697" s="34"/>
      <c r="H697" s="3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1"/>
      <c r="U697" s="34"/>
      <c r="V697" s="34"/>
    </row>
    <row x14ac:dyDescent="0.25" r="698" customHeight="1" ht="15.75">
      <c r="A698" s="229"/>
      <c r="B698" s="230"/>
      <c r="C698" s="230"/>
      <c r="D698" s="228"/>
      <c r="E698" s="29"/>
      <c r="F698" s="34"/>
      <c r="G698" s="34"/>
      <c r="H698" s="3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1"/>
      <c r="U698" s="34"/>
      <c r="V698" s="34"/>
    </row>
    <row x14ac:dyDescent="0.25" r="699" customHeight="1" ht="15.75">
      <c r="A699" s="229"/>
      <c r="B699" s="230"/>
      <c r="C699" s="230"/>
      <c r="D699" s="228"/>
      <c r="E699" s="29"/>
      <c r="F699" s="34"/>
      <c r="G699" s="34"/>
      <c r="H699" s="3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1"/>
      <c r="U699" s="34"/>
      <c r="V699" s="34"/>
    </row>
    <row x14ac:dyDescent="0.25" r="700" customHeight="1" ht="15.75">
      <c r="A700" s="229"/>
      <c r="B700" s="230"/>
      <c r="C700" s="230"/>
      <c r="D700" s="228"/>
      <c r="E700" s="29"/>
      <c r="F700" s="34"/>
      <c r="G700" s="34"/>
      <c r="H700" s="3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1"/>
      <c r="U700" s="34"/>
      <c r="V700" s="34"/>
    </row>
    <row x14ac:dyDescent="0.25" r="701" customHeight="1" ht="15.75">
      <c r="A701" s="229"/>
      <c r="B701" s="230"/>
      <c r="C701" s="230"/>
      <c r="D701" s="228"/>
      <c r="E701" s="29"/>
      <c r="F701" s="34"/>
      <c r="G701" s="34"/>
      <c r="H701" s="3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1"/>
      <c r="U701" s="34"/>
      <c r="V701" s="34"/>
    </row>
    <row x14ac:dyDescent="0.25" r="702" customHeight="1" ht="15.75">
      <c r="A702" s="229"/>
      <c r="B702" s="230"/>
      <c r="C702" s="230"/>
      <c r="D702" s="228"/>
      <c r="E702" s="29"/>
      <c r="F702" s="34"/>
      <c r="G702" s="34"/>
      <c r="H702" s="3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1"/>
      <c r="U702" s="34"/>
      <c r="V702" s="34"/>
    </row>
    <row x14ac:dyDescent="0.25" r="703" customHeight="1" ht="15.75">
      <c r="A703" s="229"/>
      <c r="B703" s="230"/>
      <c r="C703" s="230"/>
      <c r="D703" s="228"/>
      <c r="E703" s="29"/>
      <c r="F703" s="34"/>
      <c r="G703" s="34"/>
      <c r="H703" s="3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1"/>
      <c r="U703" s="34"/>
      <c r="V703" s="34"/>
    </row>
    <row x14ac:dyDescent="0.25" r="704" customHeight="1" ht="15.75">
      <c r="A704" s="229"/>
      <c r="B704" s="230"/>
      <c r="C704" s="230"/>
      <c r="D704" s="228"/>
      <c r="E704" s="29"/>
      <c r="F704" s="34"/>
      <c r="G704" s="34"/>
      <c r="H704" s="3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1"/>
      <c r="U704" s="34"/>
      <c r="V704" s="34"/>
    </row>
    <row x14ac:dyDescent="0.25" r="705" customHeight="1" ht="15.75">
      <c r="A705" s="229"/>
      <c r="B705" s="230"/>
      <c r="C705" s="230"/>
      <c r="D705" s="228"/>
      <c r="E705" s="29"/>
      <c r="F705" s="34"/>
      <c r="G705" s="34"/>
      <c r="H705" s="3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1"/>
      <c r="U705" s="34"/>
      <c r="V705" s="34"/>
    </row>
    <row x14ac:dyDescent="0.25" r="706" customHeight="1" ht="15.75">
      <c r="A706" s="229"/>
      <c r="B706" s="230"/>
      <c r="C706" s="230"/>
      <c r="D706" s="228"/>
      <c r="E706" s="29"/>
      <c r="F706" s="34"/>
      <c r="G706" s="34"/>
      <c r="H706" s="3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1"/>
      <c r="U706" s="34"/>
      <c r="V706" s="34"/>
    </row>
    <row x14ac:dyDescent="0.25" r="707" customHeight="1" ht="15.75">
      <c r="A707" s="229"/>
      <c r="B707" s="230"/>
      <c r="C707" s="230"/>
      <c r="D707" s="228"/>
      <c r="E707" s="29"/>
      <c r="F707" s="34"/>
      <c r="G707" s="34"/>
      <c r="H707" s="3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1"/>
      <c r="U707" s="34"/>
      <c r="V707" s="34"/>
    </row>
    <row x14ac:dyDescent="0.25" r="708" customHeight="1" ht="15.75">
      <c r="A708" s="229"/>
      <c r="B708" s="230"/>
      <c r="C708" s="230"/>
      <c r="D708" s="228"/>
      <c r="E708" s="29"/>
      <c r="F708" s="34"/>
      <c r="G708" s="34"/>
      <c r="H708" s="3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1"/>
      <c r="U708" s="34"/>
      <c r="V708" s="34"/>
    </row>
    <row x14ac:dyDescent="0.25" r="709" customHeight="1" ht="15.75">
      <c r="A709" s="229"/>
      <c r="B709" s="230"/>
      <c r="C709" s="230"/>
      <c r="D709" s="228"/>
      <c r="E709" s="29"/>
      <c r="F709" s="34"/>
      <c r="G709" s="34"/>
      <c r="H709" s="3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1"/>
      <c r="U709" s="34"/>
      <c r="V709" s="34"/>
    </row>
    <row x14ac:dyDescent="0.25" r="710" customHeight="1" ht="15.75">
      <c r="A710" s="229"/>
      <c r="B710" s="230"/>
      <c r="C710" s="230"/>
      <c r="D710" s="228"/>
      <c r="E710" s="29"/>
      <c r="F710" s="34"/>
      <c r="G710" s="34"/>
      <c r="H710" s="3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1"/>
      <c r="U710" s="34"/>
      <c r="V710" s="34"/>
    </row>
    <row x14ac:dyDescent="0.25" r="711" customHeight="1" ht="15.75">
      <c r="A711" s="229"/>
      <c r="B711" s="230"/>
      <c r="C711" s="230"/>
      <c r="D711" s="228"/>
      <c r="E711" s="29"/>
      <c r="F711" s="34"/>
      <c r="G711" s="34"/>
      <c r="H711" s="3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1"/>
      <c r="U711" s="34"/>
      <c r="V711" s="34"/>
    </row>
    <row x14ac:dyDescent="0.25" r="712" customHeight="1" ht="15.75">
      <c r="A712" s="229"/>
      <c r="B712" s="230"/>
      <c r="C712" s="230"/>
      <c r="D712" s="228"/>
      <c r="E712" s="29"/>
      <c r="F712" s="34"/>
      <c r="G712" s="34"/>
      <c r="H712" s="3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1"/>
      <c r="U712" s="34"/>
      <c r="V712" s="34"/>
    </row>
    <row x14ac:dyDescent="0.25" r="713" customHeight="1" ht="15.75">
      <c r="A713" s="229"/>
      <c r="B713" s="230"/>
      <c r="C713" s="230"/>
      <c r="D713" s="228"/>
      <c r="E713" s="29"/>
      <c r="F713" s="34"/>
      <c r="G713" s="34"/>
      <c r="H713" s="3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1"/>
      <c r="U713" s="34"/>
      <c r="V713" s="34"/>
    </row>
    <row x14ac:dyDescent="0.25" r="714" customHeight="1" ht="15.75">
      <c r="A714" s="229"/>
      <c r="B714" s="230"/>
      <c r="C714" s="230"/>
      <c r="D714" s="228"/>
      <c r="E714" s="29"/>
      <c r="F714" s="34"/>
      <c r="G714" s="34"/>
      <c r="H714" s="3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1"/>
      <c r="U714" s="34"/>
      <c r="V714" s="34"/>
    </row>
    <row x14ac:dyDescent="0.25" r="715" customHeight="1" ht="15.75">
      <c r="A715" s="229"/>
      <c r="B715" s="230"/>
      <c r="C715" s="230"/>
      <c r="D715" s="228"/>
      <c r="E715" s="29"/>
      <c r="F715" s="34"/>
      <c r="G715" s="34"/>
      <c r="H715" s="3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1"/>
      <c r="U715" s="34"/>
      <c r="V715" s="34"/>
    </row>
    <row x14ac:dyDescent="0.25" r="716" customHeight="1" ht="15.75">
      <c r="A716" s="229"/>
      <c r="B716" s="230"/>
      <c r="C716" s="230"/>
      <c r="D716" s="228"/>
      <c r="E716" s="29"/>
      <c r="F716" s="34"/>
      <c r="G716" s="34"/>
      <c r="H716" s="3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1"/>
      <c r="U716" s="34"/>
      <c r="V716" s="34"/>
    </row>
    <row x14ac:dyDescent="0.25" r="717" customHeight="1" ht="15.75">
      <c r="A717" s="229"/>
      <c r="B717" s="230"/>
      <c r="C717" s="230"/>
      <c r="D717" s="228"/>
      <c r="E717" s="29"/>
      <c r="F717" s="34"/>
      <c r="G717" s="34"/>
      <c r="H717" s="3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1"/>
      <c r="U717" s="34"/>
      <c r="V717" s="34"/>
    </row>
    <row x14ac:dyDescent="0.25" r="718" customHeight="1" ht="15.75">
      <c r="A718" s="229"/>
      <c r="B718" s="230"/>
      <c r="C718" s="230"/>
      <c r="D718" s="228"/>
      <c r="E718" s="29"/>
      <c r="F718" s="34"/>
      <c r="G718" s="34"/>
      <c r="H718" s="3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1"/>
      <c r="U718" s="34"/>
      <c r="V718" s="34"/>
    </row>
    <row x14ac:dyDescent="0.25" r="719" customHeight="1" ht="15.75">
      <c r="A719" s="229"/>
      <c r="B719" s="230"/>
      <c r="C719" s="230"/>
      <c r="D719" s="228"/>
      <c r="E719" s="29"/>
      <c r="F719" s="34"/>
      <c r="G719" s="34"/>
      <c r="H719" s="3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1"/>
      <c r="U719" s="34"/>
      <c r="V719" s="34"/>
    </row>
    <row x14ac:dyDescent="0.25" r="720" customHeight="1" ht="15.75">
      <c r="A720" s="229"/>
      <c r="B720" s="230"/>
      <c r="C720" s="230"/>
      <c r="D720" s="228"/>
      <c r="E720" s="29"/>
      <c r="F720" s="34"/>
      <c r="G720" s="34"/>
      <c r="H720" s="3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1"/>
      <c r="U720" s="34"/>
      <c r="V720" s="34"/>
    </row>
    <row x14ac:dyDescent="0.25" r="721" customHeight="1" ht="15.75">
      <c r="A721" s="229"/>
      <c r="B721" s="230"/>
      <c r="C721" s="230"/>
      <c r="D721" s="228"/>
      <c r="E721" s="29"/>
      <c r="F721" s="34"/>
      <c r="G721" s="34"/>
      <c r="H721" s="3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1"/>
      <c r="U721" s="34"/>
      <c r="V721" s="34"/>
    </row>
    <row x14ac:dyDescent="0.25" r="722" customHeight="1" ht="15.75">
      <c r="A722" s="229"/>
      <c r="B722" s="230"/>
      <c r="C722" s="230"/>
      <c r="D722" s="228"/>
      <c r="E722" s="29"/>
      <c r="F722" s="34"/>
      <c r="G722" s="34"/>
      <c r="H722" s="3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1"/>
      <c r="U722" s="34"/>
      <c r="V722" s="34"/>
    </row>
    <row x14ac:dyDescent="0.25" r="723" customHeight="1" ht="15.75">
      <c r="A723" s="229"/>
      <c r="B723" s="230"/>
      <c r="C723" s="230"/>
      <c r="D723" s="228"/>
      <c r="E723" s="29"/>
      <c r="F723" s="34"/>
      <c r="G723" s="34"/>
      <c r="H723" s="3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1"/>
      <c r="U723" s="34"/>
      <c r="V723" s="34"/>
    </row>
    <row x14ac:dyDescent="0.25" r="724" customHeight="1" ht="15.75">
      <c r="A724" s="229"/>
      <c r="B724" s="230"/>
      <c r="C724" s="230"/>
      <c r="D724" s="228"/>
      <c r="E724" s="29"/>
      <c r="F724" s="34"/>
      <c r="G724" s="34"/>
      <c r="H724" s="3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1"/>
      <c r="U724" s="34"/>
      <c r="V724" s="34"/>
    </row>
    <row x14ac:dyDescent="0.25" r="725" customHeight="1" ht="15.75">
      <c r="A725" s="229"/>
      <c r="B725" s="230"/>
      <c r="C725" s="230"/>
      <c r="D725" s="228"/>
      <c r="E725" s="29"/>
      <c r="F725" s="34"/>
      <c r="G725" s="34"/>
      <c r="H725" s="3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1"/>
      <c r="U725" s="34"/>
      <c r="V725" s="34"/>
    </row>
    <row x14ac:dyDescent="0.25" r="726" customHeight="1" ht="15.75">
      <c r="A726" s="229"/>
      <c r="B726" s="230"/>
      <c r="C726" s="230"/>
      <c r="D726" s="228"/>
      <c r="E726" s="29"/>
      <c r="F726" s="34"/>
      <c r="G726" s="34"/>
      <c r="H726" s="3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1"/>
      <c r="U726" s="34"/>
      <c r="V726" s="34"/>
    </row>
    <row x14ac:dyDescent="0.25" r="727" customHeight="1" ht="15.75">
      <c r="A727" s="229"/>
      <c r="B727" s="230"/>
      <c r="C727" s="230"/>
      <c r="D727" s="228"/>
      <c r="E727" s="29"/>
      <c r="F727" s="34"/>
      <c r="G727" s="34"/>
      <c r="H727" s="3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1"/>
      <c r="U727" s="34"/>
      <c r="V727" s="34"/>
    </row>
    <row x14ac:dyDescent="0.25" r="728" customHeight="1" ht="15.75">
      <c r="A728" s="229"/>
      <c r="B728" s="230"/>
      <c r="C728" s="230"/>
      <c r="D728" s="228"/>
      <c r="E728" s="29"/>
      <c r="F728" s="34"/>
      <c r="G728" s="34"/>
      <c r="H728" s="3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1"/>
      <c r="U728" s="34"/>
      <c r="V728" s="34"/>
    </row>
    <row x14ac:dyDescent="0.25" r="729" customHeight="1" ht="15.75">
      <c r="A729" s="229"/>
      <c r="B729" s="230"/>
      <c r="C729" s="230"/>
      <c r="D729" s="228"/>
      <c r="E729" s="29"/>
      <c r="F729" s="34"/>
      <c r="G729" s="34"/>
      <c r="H729" s="3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1"/>
      <c r="U729" s="34"/>
      <c r="V729" s="34"/>
    </row>
    <row x14ac:dyDescent="0.25" r="730" customHeight="1" ht="15.75">
      <c r="A730" s="229"/>
      <c r="B730" s="230"/>
      <c r="C730" s="230"/>
      <c r="D730" s="228"/>
      <c r="E730" s="29"/>
      <c r="F730" s="34"/>
      <c r="G730" s="34"/>
      <c r="H730" s="3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1"/>
      <c r="U730" s="34"/>
      <c r="V730" s="34"/>
    </row>
    <row x14ac:dyDescent="0.25" r="731" customHeight="1" ht="15.75">
      <c r="A731" s="229"/>
      <c r="B731" s="230"/>
      <c r="C731" s="230"/>
      <c r="D731" s="228"/>
      <c r="E731" s="29"/>
      <c r="F731" s="34"/>
      <c r="G731" s="34"/>
      <c r="H731" s="3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1"/>
      <c r="U731" s="34"/>
      <c r="V731" s="34"/>
    </row>
    <row x14ac:dyDescent="0.25" r="732" customHeight="1" ht="15.75">
      <c r="A732" s="229"/>
      <c r="B732" s="230"/>
      <c r="C732" s="230"/>
      <c r="D732" s="228"/>
      <c r="E732" s="29"/>
      <c r="F732" s="34"/>
      <c r="G732" s="34"/>
      <c r="H732" s="3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1"/>
      <c r="U732" s="34"/>
      <c r="V732" s="34"/>
    </row>
    <row x14ac:dyDescent="0.25" r="733" customHeight="1" ht="15.75">
      <c r="A733" s="229"/>
      <c r="B733" s="230"/>
      <c r="C733" s="230"/>
      <c r="D733" s="228"/>
      <c r="E733" s="29"/>
      <c r="F733" s="34"/>
      <c r="G733" s="34"/>
      <c r="H733" s="3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1"/>
      <c r="U733" s="34"/>
      <c r="V733" s="34"/>
    </row>
    <row x14ac:dyDescent="0.25" r="734" customHeight="1" ht="15.75">
      <c r="A734" s="229"/>
      <c r="B734" s="230"/>
      <c r="C734" s="230"/>
      <c r="D734" s="228"/>
      <c r="E734" s="29"/>
      <c r="F734" s="34"/>
      <c r="G734" s="34"/>
      <c r="H734" s="3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1"/>
      <c r="U734" s="34"/>
      <c r="V734" s="34"/>
    </row>
    <row x14ac:dyDescent="0.25" r="735" customHeight="1" ht="15.75">
      <c r="A735" s="229"/>
      <c r="B735" s="230"/>
      <c r="C735" s="230"/>
      <c r="D735" s="228"/>
      <c r="E735" s="29"/>
      <c r="F735" s="34"/>
      <c r="G735" s="34"/>
      <c r="H735" s="3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1"/>
      <c r="U735" s="34"/>
      <c r="V735" s="34"/>
    </row>
    <row x14ac:dyDescent="0.25" r="736" customHeight="1" ht="15.75">
      <c r="A736" s="229"/>
      <c r="B736" s="230"/>
      <c r="C736" s="230"/>
      <c r="D736" s="228"/>
      <c r="E736" s="29"/>
      <c r="F736" s="34"/>
      <c r="G736" s="34"/>
      <c r="H736" s="3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1"/>
      <c r="U736" s="34"/>
      <c r="V736" s="34"/>
    </row>
    <row x14ac:dyDescent="0.25" r="737" customHeight="1" ht="15.75">
      <c r="A737" s="229"/>
      <c r="B737" s="230"/>
      <c r="C737" s="230"/>
      <c r="D737" s="228"/>
      <c r="E737" s="29"/>
      <c r="F737" s="34"/>
      <c r="G737" s="34"/>
      <c r="H737" s="3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1"/>
      <c r="U737" s="34"/>
      <c r="V737" s="34"/>
    </row>
    <row x14ac:dyDescent="0.25" r="738" customHeight="1" ht="15.75">
      <c r="A738" s="229"/>
      <c r="B738" s="230"/>
      <c r="C738" s="230"/>
      <c r="D738" s="228"/>
      <c r="E738" s="29"/>
      <c r="F738" s="34"/>
      <c r="G738" s="34"/>
      <c r="H738" s="3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1"/>
      <c r="U738" s="34"/>
      <c r="V738" s="34"/>
    </row>
    <row x14ac:dyDescent="0.25" r="739" customHeight="1" ht="15.75">
      <c r="A739" s="229"/>
      <c r="B739" s="230"/>
      <c r="C739" s="230"/>
      <c r="D739" s="228"/>
      <c r="E739" s="29"/>
      <c r="F739" s="34"/>
      <c r="G739" s="34"/>
      <c r="H739" s="3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1"/>
      <c r="U739" s="34"/>
      <c r="V739" s="34"/>
    </row>
    <row x14ac:dyDescent="0.25" r="740" customHeight="1" ht="15.75">
      <c r="A740" s="229"/>
      <c r="B740" s="230"/>
      <c r="C740" s="230"/>
      <c r="D740" s="228"/>
      <c r="E740" s="29"/>
      <c r="F740" s="34"/>
      <c r="G740" s="34"/>
      <c r="H740" s="3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1"/>
      <c r="U740" s="34"/>
      <c r="V740" s="34"/>
    </row>
    <row x14ac:dyDescent="0.25" r="741" customHeight="1" ht="15.75">
      <c r="A741" s="229"/>
      <c r="B741" s="230"/>
      <c r="C741" s="230"/>
      <c r="D741" s="228"/>
      <c r="E741" s="29"/>
      <c r="F741" s="34"/>
      <c r="G741" s="34"/>
      <c r="H741" s="3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1"/>
      <c r="U741" s="34"/>
      <c r="V741" s="34"/>
    </row>
    <row x14ac:dyDescent="0.25" r="742" customHeight="1" ht="15.75">
      <c r="A742" s="229"/>
      <c r="B742" s="230"/>
      <c r="C742" s="230"/>
      <c r="D742" s="228"/>
      <c r="E742" s="29"/>
      <c r="F742" s="34"/>
      <c r="G742" s="34"/>
      <c r="H742" s="3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1"/>
      <c r="U742" s="34"/>
      <c r="V742" s="34"/>
    </row>
    <row x14ac:dyDescent="0.25" r="743" customHeight="1" ht="15.75">
      <c r="A743" s="229"/>
      <c r="B743" s="230"/>
      <c r="C743" s="230"/>
      <c r="D743" s="228"/>
      <c r="E743" s="29"/>
      <c r="F743" s="34"/>
      <c r="G743" s="34"/>
      <c r="H743" s="3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1"/>
      <c r="U743" s="34"/>
      <c r="V743" s="34"/>
    </row>
    <row x14ac:dyDescent="0.25" r="744" customHeight="1" ht="15.75">
      <c r="A744" s="229"/>
      <c r="B744" s="230"/>
      <c r="C744" s="230"/>
      <c r="D744" s="228"/>
      <c r="E744" s="29"/>
      <c r="F744" s="34"/>
      <c r="G744" s="34"/>
      <c r="H744" s="3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1"/>
      <c r="U744" s="34"/>
      <c r="V744" s="34"/>
    </row>
    <row x14ac:dyDescent="0.25" r="745" customHeight="1" ht="15.75">
      <c r="A745" s="229"/>
      <c r="B745" s="230"/>
      <c r="C745" s="230"/>
      <c r="D745" s="228"/>
      <c r="E745" s="29"/>
      <c r="F745" s="34"/>
      <c r="G745" s="34"/>
      <c r="H745" s="3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1"/>
      <c r="U745" s="34"/>
      <c r="V745" s="34"/>
    </row>
    <row x14ac:dyDescent="0.25" r="746" customHeight="1" ht="15.75">
      <c r="A746" s="229"/>
      <c r="B746" s="230"/>
      <c r="C746" s="230"/>
      <c r="D746" s="228"/>
      <c r="E746" s="29"/>
      <c r="F746" s="34"/>
      <c r="G746" s="34"/>
      <c r="H746" s="3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1"/>
      <c r="U746" s="34"/>
      <c r="V746" s="34"/>
    </row>
    <row x14ac:dyDescent="0.25" r="747" customHeight="1" ht="15.75">
      <c r="A747" s="229"/>
      <c r="B747" s="230"/>
      <c r="C747" s="230"/>
      <c r="D747" s="228"/>
      <c r="E747" s="29"/>
      <c r="F747" s="34"/>
      <c r="G747" s="34"/>
      <c r="H747" s="3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1"/>
      <c r="U747" s="34"/>
      <c r="V747" s="34"/>
    </row>
    <row x14ac:dyDescent="0.25" r="748" customHeight="1" ht="15.75">
      <c r="A748" s="229"/>
      <c r="B748" s="230"/>
      <c r="C748" s="230"/>
      <c r="D748" s="228"/>
      <c r="E748" s="29"/>
      <c r="F748" s="34"/>
      <c r="G748" s="34"/>
      <c r="H748" s="3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1"/>
      <c r="U748" s="34"/>
      <c r="V748" s="34"/>
    </row>
    <row x14ac:dyDescent="0.25" r="749" customHeight="1" ht="15.75">
      <c r="A749" s="229"/>
      <c r="B749" s="230"/>
      <c r="C749" s="230"/>
      <c r="D749" s="228"/>
      <c r="E749" s="29"/>
      <c r="F749" s="34"/>
      <c r="G749" s="34"/>
      <c r="H749" s="3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1"/>
      <c r="U749" s="34"/>
      <c r="V749" s="34"/>
    </row>
    <row x14ac:dyDescent="0.25" r="750" customHeight="1" ht="15.75">
      <c r="A750" s="229"/>
      <c r="B750" s="230"/>
      <c r="C750" s="230"/>
      <c r="D750" s="228"/>
      <c r="E750" s="29"/>
      <c r="F750" s="34"/>
      <c r="G750" s="34"/>
      <c r="H750" s="3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1"/>
      <c r="U750" s="34"/>
      <c r="V750" s="34"/>
    </row>
    <row x14ac:dyDescent="0.25" r="751" customHeight="1" ht="15.75">
      <c r="A751" s="229"/>
      <c r="B751" s="230"/>
      <c r="C751" s="230"/>
      <c r="D751" s="228"/>
      <c r="E751" s="29"/>
      <c r="F751" s="34"/>
      <c r="G751" s="34"/>
      <c r="H751" s="3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1"/>
      <c r="U751" s="34"/>
      <c r="V751" s="34"/>
    </row>
    <row x14ac:dyDescent="0.25" r="752" customHeight="1" ht="15.75">
      <c r="A752" s="229"/>
      <c r="B752" s="230"/>
      <c r="C752" s="230"/>
      <c r="D752" s="228"/>
      <c r="E752" s="29"/>
      <c r="F752" s="34"/>
      <c r="G752" s="34"/>
      <c r="H752" s="3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1"/>
      <c r="U752" s="34"/>
      <c r="V752" s="34"/>
    </row>
    <row x14ac:dyDescent="0.25" r="753" customHeight="1" ht="15.75">
      <c r="A753" s="229"/>
      <c r="B753" s="230"/>
      <c r="C753" s="230"/>
      <c r="D753" s="228"/>
      <c r="E753" s="29"/>
      <c r="F753" s="34"/>
      <c r="G753" s="34"/>
      <c r="H753" s="3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1"/>
      <c r="U753" s="34"/>
      <c r="V753" s="34"/>
    </row>
    <row x14ac:dyDescent="0.25" r="754" customHeight="1" ht="15.75">
      <c r="A754" s="229"/>
      <c r="B754" s="230"/>
      <c r="C754" s="230"/>
      <c r="D754" s="228"/>
      <c r="E754" s="29"/>
      <c r="F754" s="34"/>
      <c r="G754" s="34"/>
      <c r="H754" s="3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1"/>
      <c r="U754" s="34"/>
      <c r="V754" s="34"/>
    </row>
    <row x14ac:dyDescent="0.25" r="755" customHeight="1" ht="15.75">
      <c r="A755" s="229"/>
      <c r="B755" s="230"/>
      <c r="C755" s="230"/>
      <c r="D755" s="228"/>
      <c r="E755" s="29"/>
      <c r="F755" s="34"/>
      <c r="G755" s="34"/>
      <c r="H755" s="3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1"/>
      <c r="U755" s="34"/>
      <c r="V755" s="34"/>
    </row>
    <row x14ac:dyDescent="0.25" r="756" customHeight="1" ht="15.75">
      <c r="A756" s="229"/>
      <c r="B756" s="230"/>
      <c r="C756" s="230"/>
      <c r="D756" s="228"/>
      <c r="E756" s="29"/>
      <c r="F756" s="34"/>
      <c r="G756" s="34"/>
      <c r="H756" s="3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1"/>
      <c r="U756" s="34"/>
      <c r="V756" s="34"/>
    </row>
    <row x14ac:dyDescent="0.25" r="757" customHeight="1" ht="15.75">
      <c r="A757" s="229"/>
      <c r="B757" s="230"/>
      <c r="C757" s="230"/>
      <c r="D757" s="228"/>
      <c r="E757" s="29"/>
      <c r="F757" s="34"/>
      <c r="G757" s="34"/>
      <c r="H757" s="3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1"/>
      <c r="U757" s="34"/>
      <c r="V757" s="34"/>
    </row>
    <row x14ac:dyDescent="0.25" r="758" customHeight="1" ht="15.75">
      <c r="A758" s="229"/>
      <c r="B758" s="230"/>
      <c r="C758" s="230"/>
      <c r="D758" s="228"/>
      <c r="E758" s="29"/>
      <c r="F758" s="34"/>
      <c r="G758" s="34"/>
      <c r="H758" s="3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1"/>
      <c r="U758" s="34"/>
      <c r="V758" s="34"/>
    </row>
    <row x14ac:dyDescent="0.25" r="759" customHeight="1" ht="15.75">
      <c r="A759" s="229"/>
      <c r="B759" s="230"/>
      <c r="C759" s="230"/>
      <c r="D759" s="228"/>
      <c r="E759" s="29"/>
      <c r="F759" s="34"/>
      <c r="G759" s="34"/>
      <c r="H759" s="3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1"/>
      <c r="U759" s="34"/>
      <c r="V759" s="34"/>
    </row>
    <row x14ac:dyDescent="0.25" r="760" customHeight="1" ht="15.75">
      <c r="A760" s="229"/>
      <c r="B760" s="230"/>
      <c r="C760" s="230"/>
      <c r="D760" s="228"/>
      <c r="E760" s="29"/>
      <c r="F760" s="34"/>
      <c r="G760" s="34"/>
      <c r="H760" s="3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1"/>
      <c r="U760" s="34"/>
      <c r="V760" s="34"/>
    </row>
    <row x14ac:dyDescent="0.25" r="761" customHeight="1" ht="15.75">
      <c r="A761" s="229"/>
      <c r="B761" s="230"/>
      <c r="C761" s="230"/>
      <c r="D761" s="228"/>
      <c r="E761" s="29"/>
      <c r="F761" s="34"/>
      <c r="G761" s="34"/>
      <c r="H761" s="3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1"/>
      <c r="U761" s="34"/>
      <c r="V761" s="34"/>
    </row>
    <row x14ac:dyDescent="0.25" r="762" customHeight="1" ht="15.75">
      <c r="A762" s="229"/>
      <c r="B762" s="230"/>
      <c r="C762" s="230"/>
      <c r="D762" s="228"/>
      <c r="E762" s="29"/>
      <c r="F762" s="34"/>
      <c r="G762" s="34"/>
      <c r="H762" s="3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1"/>
      <c r="U762" s="34"/>
      <c r="V762" s="34"/>
    </row>
    <row x14ac:dyDescent="0.25" r="763" customHeight="1" ht="15.75">
      <c r="A763" s="229"/>
      <c r="B763" s="230"/>
      <c r="C763" s="230"/>
      <c r="D763" s="228"/>
      <c r="E763" s="29"/>
      <c r="F763" s="34"/>
      <c r="G763" s="34"/>
      <c r="H763" s="3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1"/>
      <c r="U763" s="34"/>
      <c r="V763" s="34"/>
    </row>
    <row x14ac:dyDescent="0.25" r="764" customHeight="1" ht="15.75">
      <c r="A764" s="229"/>
      <c r="B764" s="230"/>
      <c r="C764" s="230"/>
      <c r="D764" s="228"/>
      <c r="E764" s="29"/>
      <c r="F764" s="34"/>
      <c r="G764" s="34"/>
      <c r="H764" s="3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1"/>
      <c r="U764" s="34"/>
      <c r="V764" s="34"/>
    </row>
    <row x14ac:dyDescent="0.25" r="765" customHeight="1" ht="15.75">
      <c r="A765" s="229"/>
      <c r="B765" s="230"/>
      <c r="C765" s="230"/>
      <c r="D765" s="228"/>
      <c r="E765" s="29"/>
      <c r="F765" s="34"/>
      <c r="G765" s="34"/>
      <c r="H765" s="3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1"/>
      <c r="U765" s="34"/>
      <c r="V765" s="34"/>
    </row>
    <row x14ac:dyDescent="0.25" r="766" customHeight="1" ht="15.75">
      <c r="A766" s="229"/>
      <c r="B766" s="230"/>
      <c r="C766" s="230"/>
      <c r="D766" s="228"/>
      <c r="E766" s="29"/>
      <c r="F766" s="34"/>
      <c r="G766" s="34"/>
      <c r="H766" s="3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1"/>
      <c r="U766" s="34"/>
      <c r="V766" s="34"/>
    </row>
    <row x14ac:dyDescent="0.25" r="767" customHeight="1" ht="15.75">
      <c r="A767" s="229"/>
      <c r="B767" s="230"/>
      <c r="C767" s="230"/>
      <c r="D767" s="228"/>
      <c r="E767" s="29"/>
      <c r="F767" s="34"/>
      <c r="G767" s="34"/>
      <c r="H767" s="3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1"/>
      <c r="U767" s="34"/>
      <c r="V767" s="34"/>
    </row>
    <row x14ac:dyDescent="0.25" r="768" customHeight="1" ht="15.75">
      <c r="A768" s="229"/>
      <c r="B768" s="230"/>
      <c r="C768" s="230"/>
      <c r="D768" s="228"/>
      <c r="E768" s="29"/>
      <c r="F768" s="34"/>
      <c r="G768" s="34"/>
      <c r="H768" s="3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1"/>
      <c r="U768" s="34"/>
      <c r="V768" s="34"/>
    </row>
    <row x14ac:dyDescent="0.25" r="769" customHeight="1" ht="15.75">
      <c r="A769" s="229"/>
      <c r="B769" s="230"/>
      <c r="C769" s="230"/>
      <c r="D769" s="228"/>
      <c r="E769" s="29"/>
      <c r="F769" s="34"/>
      <c r="G769" s="34"/>
      <c r="H769" s="3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1"/>
      <c r="U769" s="34"/>
      <c r="V769" s="34"/>
    </row>
    <row x14ac:dyDescent="0.25" r="770" customHeight="1" ht="15.75">
      <c r="A770" s="229"/>
      <c r="B770" s="230"/>
      <c r="C770" s="230"/>
      <c r="D770" s="228"/>
      <c r="E770" s="29"/>
      <c r="F770" s="34"/>
      <c r="G770" s="34"/>
      <c r="H770" s="3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1"/>
      <c r="U770" s="34"/>
      <c r="V770" s="34"/>
    </row>
    <row x14ac:dyDescent="0.25" r="771" customHeight="1" ht="15.75">
      <c r="A771" s="229"/>
      <c r="B771" s="230"/>
      <c r="C771" s="230"/>
      <c r="D771" s="228"/>
      <c r="E771" s="29"/>
      <c r="F771" s="34"/>
      <c r="G771" s="34"/>
      <c r="H771" s="3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1"/>
      <c r="U771" s="34"/>
      <c r="V771" s="34"/>
    </row>
    <row x14ac:dyDescent="0.25" r="772" customHeight="1" ht="15.75">
      <c r="A772" s="229"/>
      <c r="B772" s="230"/>
      <c r="C772" s="230"/>
      <c r="D772" s="228"/>
      <c r="E772" s="29"/>
      <c r="F772" s="34"/>
      <c r="G772" s="34"/>
      <c r="H772" s="3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1"/>
      <c r="U772" s="34"/>
      <c r="V772" s="34"/>
    </row>
    <row x14ac:dyDescent="0.25" r="773" customHeight="1" ht="15.75">
      <c r="A773" s="229"/>
      <c r="B773" s="230"/>
      <c r="C773" s="230"/>
      <c r="D773" s="228"/>
      <c r="E773" s="29"/>
      <c r="F773" s="34"/>
      <c r="G773" s="34"/>
      <c r="H773" s="3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1"/>
      <c r="U773" s="34"/>
      <c r="V773" s="34"/>
    </row>
    <row x14ac:dyDescent="0.25" r="774" customHeight="1" ht="15.75">
      <c r="A774" s="229"/>
      <c r="B774" s="230"/>
      <c r="C774" s="230"/>
      <c r="D774" s="228"/>
      <c r="E774" s="29"/>
      <c r="F774" s="34"/>
      <c r="G774" s="34"/>
      <c r="H774" s="3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1"/>
      <c r="U774" s="34"/>
      <c r="V774" s="34"/>
    </row>
    <row x14ac:dyDescent="0.25" r="775" customHeight="1" ht="15.75">
      <c r="A775" s="229"/>
      <c r="B775" s="230"/>
      <c r="C775" s="230"/>
      <c r="D775" s="228"/>
      <c r="E775" s="29"/>
      <c r="F775" s="34"/>
      <c r="G775" s="34"/>
      <c r="H775" s="3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1"/>
      <c r="U775" s="34"/>
      <c r="V775" s="34"/>
    </row>
    <row x14ac:dyDescent="0.25" r="776" customHeight="1" ht="15.75">
      <c r="A776" s="229"/>
      <c r="B776" s="230"/>
      <c r="C776" s="230"/>
      <c r="D776" s="228"/>
      <c r="E776" s="29"/>
      <c r="F776" s="34"/>
      <c r="G776" s="34"/>
      <c r="H776" s="3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1"/>
      <c r="U776" s="34"/>
      <c r="V776" s="34"/>
    </row>
    <row x14ac:dyDescent="0.25" r="777" customHeight="1" ht="15.75">
      <c r="A777" s="229"/>
      <c r="B777" s="230"/>
      <c r="C777" s="230"/>
      <c r="D777" s="228"/>
      <c r="E777" s="29"/>
      <c r="F777" s="34"/>
      <c r="G777" s="34"/>
      <c r="H777" s="3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1"/>
      <c r="U777" s="34"/>
      <c r="V777" s="34"/>
    </row>
    <row x14ac:dyDescent="0.25" r="778" customHeight="1" ht="15.75">
      <c r="A778" s="229"/>
      <c r="B778" s="230"/>
      <c r="C778" s="230"/>
      <c r="D778" s="228"/>
      <c r="E778" s="29"/>
      <c r="F778" s="34"/>
      <c r="G778" s="34"/>
      <c r="H778" s="3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1"/>
      <c r="U778" s="34"/>
      <c r="V778" s="34"/>
    </row>
    <row x14ac:dyDescent="0.25" r="779" customHeight="1" ht="15.75">
      <c r="A779" s="229"/>
      <c r="B779" s="230"/>
      <c r="C779" s="230"/>
      <c r="D779" s="228"/>
      <c r="E779" s="29"/>
      <c r="F779" s="34"/>
      <c r="G779" s="34"/>
      <c r="H779" s="3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1"/>
      <c r="U779" s="34"/>
      <c r="V779" s="34"/>
    </row>
    <row x14ac:dyDescent="0.25" r="780" customHeight="1" ht="15.75">
      <c r="A780" s="229"/>
      <c r="B780" s="230"/>
      <c r="C780" s="230"/>
      <c r="D780" s="228"/>
      <c r="E780" s="29"/>
      <c r="F780" s="34"/>
      <c r="G780" s="34"/>
      <c r="H780" s="3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1"/>
      <c r="U780" s="34"/>
      <c r="V780" s="34"/>
    </row>
    <row x14ac:dyDescent="0.25" r="781" customHeight="1" ht="15.75">
      <c r="A781" s="229"/>
      <c r="B781" s="230"/>
      <c r="C781" s="230"/>
      <c r="D781" s="228"/>
      <c r="E781" s="29"/>
      <c r="F781" s="34"/>
      <c r="G781" s="34"/>
      <c r="H781" s="3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1"/>
      <c r="U781" s="34"/>
      <c r="V781" s="34"/>
    </row>
    <row x14ac:dyDescent="0.25" r="782" customHeight="1" ht="15.75">
      <c r="A782" s="229"/>
      <c r="B782" s="230"/>
      <c r="C782" s="230"/>
      <c r="D782" s="228"/>
      <c r="E782" s="29"/>
      <c r="F782" s="34"/>
      <c r="G782" s="34"/>
      <c r="H782" s="3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1"/>
      <c r="U782" s="34"/>
      <c r="V782" s="34"/>
    </row>
    <row x14ac:dyDescent="0.25" r="783" customHeight="1" ht="15.75">
      <c r="A783" s="229"/>
      <c r="B783" s="230"/>
      <c r="C783" s="230"/>
      <c r="D783" s="228"/>
      <c r="E783" s="29"/>
      <c r="F783" s="34"/>
      <c r="G783" s="34"/>
      <c r="H783" s="3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1"/>
      <c r="U783" s="34"/>
      <c r="V783" s="34"/>
    </row>
    <row x14ac:dyDescent="0.25" r="784" customHeight="1" ht="15.75">
      <c r="A784" s="229"/>
      <c r="B784" s="230"/>
      <c r="C784" s="230"/>
      <c r="D784" s="228"/>
      <c r="E784" s="29"/>
      <c r="F784" s="34"/>
      <c r="G784" s="34"/>
      <c r="H784" s="3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1"/>
      <c r="U784" s="34"/>
      <c r="V784" s="34"/>
    </row>
    <row x14ac:dyDescent="0.25" r="785" customHeight="1" ht="15.75">
      <c r="A785" s="229"/>
      <c r="B785" s="230"/>
      <c r="C785" s="230"/>
      <c r="D785" s="228"/>
      <c r="E785" s="29"/>
      <c r="F785" s="34"/>
      <c r="G785" s="34"/>
      <c r="H785" s="3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1"/>
      <c r="U785" s="34"/>
      <c r="V785" s="34"/>
    </row>
    <row x14ac:dyDescent="0.25" r="786" customHeight="1" ht="15.75">
      <c r="A786" s="229"/>
      <c r="B786" s="230"/>
      <c r="C786" s="230"/>
      <c r="D786" s="228"/>
      <c r="E786" s="29"/>
      <c r="F786" s="34"/>
      <c r="G786" s="34"/>
      <c r="H786" s="3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1"/>
      <c r="U786" s="34"/>
      <c r="V786" s="34"/>
    </row>
    <row x14ac:dyDescent="0.25" r="787" customHeight="1" ht="15.75">
      <c r="A787" s="229"/>
      <c r="B787" s="230"/>
      <c r="C787" s="230"/>
      <c r="D787" s="228"/>
      <c r="E787" s="29"/>
      <c r="F787" s="34"/>
      <c r="G787" s="34"/>
      <c r="H787" s="3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1"/>
      <c r="U787" s="34"/>
      <c r="V787" s="34"/>
    </row>
    <row x14ac:dyDescent="0.25" r="788" customHeight="1" ht="15.75">
      <c r="A788" s="229"/>
      <c r="B788" s="230"/>
      <c r="C788" s="230"/>
      <c r="D788" s="228"/>
      <c r="E788" s="29"/>
      <c r="F788" s="34"/>
      <c r="G788" s="34"/>
      <c r="H788" s="3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1"/>
      <c r="U788" s="34"/>
      <c r="V788" s="34"/>
    </row>
    <row x14ac:dyDescent="0.25" r="789" customHeight="1" ht="15.75">
      <c r="A789" s="229"/>
      <c r="B789" s="230"/>
      <c r="C789" s="230"/>
      <c r="D789" s="228"/>
      <c r="E789" s="29"/>
      <c r="F789" s="34"/>
      <c r="G789" s="34"/>
      <c r="H789" s="3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1"/>
      <c r="U789" s="34"/>
      <c r="V789" s="34"/>
    </row>
    <row x14ac:dyDescent="0.25" r="790" customHeight="1" ht="15.75">
      <c r="A790" s="229"/>
      <c r="B790" s="230"/>
      <c r="C790" s="230"/>
      <c r="D790" s="228"/>
      <c r="E790" s="29"/>
      <c r="F790" s="34"/>
      <c r="G790" s="34"/>
      <c r="H790" s="3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1"/>
      <c r="U790" s="34"/>
      <c r="V790" s="34"/>
    </row>
    <row x14ac:dyDescent="0.25" r="791" customHeight="1" ht="15.75">
      <c r="A791" s="229"/>
      <c r="B791" s="230"/>
      <c r="C791" s="230"/>
      <c r="D791" s="228"/>
      <c r="E791" s="29"/>
      <c r="F791" s="34"/>
      <c r="G791" s="34"/>
      <c r="H791" s="3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1"/>
      <c r="U791" s="34"/>
      <c r="V791" s="34"/>
    </row>
    <row x14ac:dyDescent="0.25" r="792" customHeight="1" ht="15.75">
      <c r="A792" s="229"/>
      <c r="B792" s="230"/>
      <c r="C792" s="230"/>
      <c r="D792" s="228"/>
      <c r="E792" s="29"/>
      <c r="F792" s="34"/>
      <c r="G792" s="34"/>
      <c r="H792" s="3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1"/>
      <c r="U792" s="34"/>
      <c r="V792" s="34"/>
    </row>
    <row x14ac:dyDescent="0.25" r="793" customHeight="1" ht="15.75">
      <c r="A793" s="229"/>
      <c r="B793" s="230"/>
      <c r="C793" s="230"/>
      <c r="D793" s="228"/>
      <c r="E793" s="29"/>
      <c r="F793" s="34"/>
      <c r="G793" s="34"/>
      <c r="H793" s="3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1"/>
      <c r="U793" s="34"/>
      <c r="V793" s="34"/>
    </row>
    <row x14ac:dyDescent="0.25" r="794" customHeight="1" ht="15.75">
      <c r="A794" s="229"/>
      <c r="B794" s="230"/>
      <c r="C794" s="230"/>
      <c r="D794" s="228"/>
      <c r="E794" s="29"/>
      <c r="F794" s="34"/>
      <c r="G794" s="34"/>
      <c r="H794" s="3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1"/>
      <c r="U794" s="34"/>
      <c r="V794" s="34"/>
    </row>
    <row x14ac:dyDescent="0.25" r="795" customHeight="1" ht="15.75">
      <c r="A795" s="229"/>
      <c r="B795" s="230"/>
      <c r="C795" s="230"/>
      <c r="D795" s="228"/>
      <c r="E795" s="29"/>
      <c r="F795" s="34"/>
      <c r="G795" s="34"/>
      <c r="H795" s="3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1"/>
      <c r="U795" s="34"/>
      <c r="V795" s="34"/>
    </row>
    <row x14ac:dyDescent="0.25" r="796" customHeight="1" ht="15.75">
      <c r="A796" s="229"/>
      <c r="B796" s="230"/>
      <c r="C796" s="230"/>
      <c r="D796" s="228"/>
      <c r="E796" s="29"/>
      <c r="F796" s="34"/>
      <c r="G796" s="34"/>
      <c r="H796" s="3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1"/>
      <c r="U796" s="34"/>
      <c r="V796" s="34"/>
    </row>
    <row x14ac:dyDescent="0.25" r="797" customHeight="1" ht="15.75">
      <c r="A797" s="229"/>
      <c r="B797" s="230"/>
      <c r="C797" s="230"/>
      <c r="D797" s="228"/>
      <c r="E797" s="29"/>
      <c r="F797" s="34"/>
      <c r="G797" s="34"/>
      <c r="H797" s="3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1"/>
      <c r="U797" s="34"/>
      <c r="V797" s="34"/>
    </row>
    <row x14ac:dyDescent="0.25" r="798" customHeight="1" ht="15.75">
      <c r="A798" s="229"/>
      <c r="B798" s="230"/>
      <c r="C798" s="230"/>
      <c r="D798" s="228"/>
      <c r="E798" s="29"/>
      <c r="F798" s="34"/>
      <c r="G798" s="34"/>
      <c r="H798" s="3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1"/>
      <c r="U798" s="34"/>
      <c r="V798" s="34"/>
    </row>
    <row x14ac:dyDescent="0.25" r="799" customHeight="1" ht="15.75">
      <c r="A799" s="229"/>
      <c r="B799" s="230"/>
      <c r="C799" s="230"/>
      <c r="D799" s="228"/>
      <c r="E799" s="29"/>
      <c r="F799" s="34"/>
      <c r="G799" s="34"/>
      <c r="H799" s="3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1"/>
      <c r="U799" s="34"/>
      <c r="V799" s="34"/>
    </row>
    <row x14ac:dyDescent="0.25" r="800" customHeight="1" ht="15.75">
      <c r="A800" s="229"/>
      <c r="B800" s="230"/>
      <c r="C800" s="230"/>
      <c r="D800" s="228"/>
      <c r="E800" s="29"/>
      <c r="F800" s="34"/>
      <c r="G800" s="34"/>
      <c r="H800" s="3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1"/>
      <c r="U800" s="34"/>
      <c r="V800" s="34"/>
    </row>
    <row x14ac:dyDescent="0.25" r="801" customHeight="1" ht="15.75">
      <c r="A801" s="229"/>
      <c r="B801" s="230"/>
      <c r="C801" s="230"/>
      <c r="D801" s="228"/>
      <c r="E801" s="29"/>
      <c r="F801" s="34"/>
      <c r="G801" s="34"/>
      <c r="H801" s="3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1"/>
      <c r="U801" s="34"/>
      <c r="V801" s="34"/>
    </row>
    <row x14ac:dyDescent="0.25" r="802" customHeight="1" ht="15.75">
      <c r="A802" s="229"/>
      <c r="B802" s="230"/>
      <c r="C802" s="230"/>
      <c r="D802" s="228"/>
      <c r="E802" s="29"/>
      <c r="F802" s="34"/>
      <c r="G802" s="34"/>
      <c r="H802" s="3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1"/>
      <c r="U802" s="34"/>
      <c r="V802" s="34"/>
    </row>
    <row x14ac:dyDescent="0.25" r="803" customHeight="1" ht="15.75">
      <c r="A803" s="229"/>
      <c r="B803" s="230"/>
      <c r="C803" s="230"/>
      <c r="D803" s="228"/>
      <c r="E803" s="29"/>
      <c r="F803" s="34"/>
      <c r="G803" s="34"/>
      <c r="H803" s="3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1"/>
      <c r="U803" s="34"/>
      <c r="V803" s="34"/>
    </row>
    <row x14ac:dyDescent="0.25" r="804" customHeight="1" ht="15.75">
      <c r="A804" s="229"/>
      <c r="B804" s="230"/>
      <c r="C804" s="230"/>
      <c r="D804" s="228"/>
      <c r="E804" s="29"/>
      <c r="F804" s="34"/>
      <c r="G804" s="34"/>
      <c r="H804" s="3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1"/>
      <c r="U804" s="34"/>
      <c r="V804" s="34"/>
    </row>
    <row x14ac:dyDescent="0.25" r="805" customHeight="1" ht="15.75">
      <c r="A805" s="229"/>
      <c r="B805" s="230"/>
      <c r="C805" s="230"/>
      <c r="D805" s="228"/>
      <c r="E805" s="29"/>
      <c r="F805" s="34"/>
      <c r="G805" s="34"/>
      <c r="H805" s="3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1"/>
      <c r="U805" s="34"/>
      <c r="V805" s="34"/>
    </row>
    <row x14ac:dyDescent="0.25" r="806" customHeight="1" ht="15.75">
      <c r="A806" s="229"/>
      <c r="B806" s="230"/>
      <c r="C806" s="230"/>
      <c r="D806" s="228"/>
      <c r="E806" s="29"/>
      <c r="F806" s="34"/>
      <c r="G806" s="34"/>
      <c r="H806" s="3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1"/>
      <c r="U806" s="34"/>
      <c r="V806" s="34"/>
    </row>
    <row x14ac:dyDescent="0.25" r="807" customHeight="1" ht="15.75">
      <c r="A807" s="229"/>
      <c r="B807" s="230"/>
      <c r="C807" s="230"/>
      <c r="D807" s="228"/>
      <c r="E807" s="29"/>
      <c r="F807" s="34"/>
      <c r="G807" s="34"/>
      <c r="H807" s="3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1"/>
      <c r="U807" s="34"/>
      <c r="V807" s="34"/>
    </row>
    <row x14ac:dyDescent="0.25" r="808" customHeight="1" ht="15.75">
      <c r="A808" s="229"/>
      <c r="B808" s="230"/>
      <c r="C808" s="230"/>
      <c r="D808" s="228"/>
      <c r="E808" s="29"/>
      <c r="F808" s="34"/>
      <c r="G808" s="34"/>
      <c r="H808" s="3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1"/>
      <c r="U808" s="34"/>
      <c r="V808" s="34"/>
    </row>
    <row x14ac:dyDescent="0.25" r="809" customHeight="1" ht="15.75">
      <c r="A809" s="229"/>
      <c r="B809" s="230"/>
      <c r="C809" s="230"/>
      <c r="D809" s="228"/>
      <c r="E809" s="29"/>
      <c r="F809" s="34"/>
      <c r="G809" s="34"/>
      <c r="H809" s="3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1"/>
      <c r="U809" s="34"/>
      <c r="V809" s="34"/>
    </row>
    <row x14ac:dyDescent="0.25" r="810" customHeight="1" ht="15.75">
      <c r="A810" s="229"/>
      <c r="B810" s="230"/>
      <c r="C810" s="230"/>
      <c r="D810" s="228"/>
      <c r="E810" s="29"/>
      <c r="F810" s="34"/>
      <c r="G810" s="34"/>
      <c r="H810" s="3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1"/>
      <c r="U810" s="34"/>
      <c r="V810" s="34"/>
    </row>
    <row x14ac:dyDescent="0.25" r="811" customHeight="1" ht="15.75">
      <c r="A811" s="229"/>
      <c r="B811" s="230"/>
      <c r="C811" s="230"/>
      <c r="D811" s="228"/>
      <c r="E811" s="29"/>
      <c r="F811" s="34"/>
      <c r="G811" s="34"/>
      <c r="H811" s="3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1"/>
      <c r="U811" s="34"/>
      <c r="V811" s="34"/>
    </row>
    <row x14ac:dyDescent="0.25" r="812" customHeight="1" ht="15.75">
      <c r="A812" s="229"/>
      <c r="B812" s="230"/>
      <c r="C812" s="230"/>
      <c r="D812" s="228"/>
      <c r="E812" s="29"/>
      <c r="F812" s="34"/>
      <c r="G812" s="34"/>
      <c r="H812" s="3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1"/>
      <c r="U812" s="34"/>
      <c r="V812" s="34"/>
    </row>
    <row x14ac:dyDescent="0.25" r="813" customHeight="1" ht="15.75">
      <c r="A813" s="229"/>
      <c r="B813" s="230"/>
      <c r="C813" s="230"/>
      <c r="D813" s="228"/>
      <c r="E813" s="29"/>
      <c r="F813" s="34"/>
      <c r="G813" s="34"/>
      <c r="H813" s="3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1"/>
      <c r="U813" s="34"/>
      <c r="V813" s="34"/>
    </row>
    <row x14ac:dyDescent="0.25" r="814" customHeight="1" ht="15.75">
      <c r="A814" s="229"/>
      <c r="B814" s="230"/>
      <c r="C814" s="230"/>
      <c r="D814" s="228"/>
      <c r="E814" s="29"/>
      <c r="F814" s="34"/>
      <c r="G814" s="34"/>
      <c r="H814" s="3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1"/>
      <c r="U814" s="34"/>
      <c r="V814" s="34"/>
    </row>
    <row x14ac:dyDescent="0.25" r="815" customHeight="1" ht="15.75">
      <c r="A815" s="229"/>
      <c r="B815" s="230"/>
      <c r="C815" s="230"/>
      <c r="D815" s="228"/>
      <c r="E815" s="29"/>
      <c r="F815" s="34"/>
      <c r="G815" s="34"/>
      <c r="H815" s="3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1"/>
      <c r="U815" s="34"/>
      <c r="V815" s="34"/>
    </row>
    <row x14ac:dyDescent="0.25" r="816" customHeight="1" ht="15.75">
      <c r="A816" s="229"/>
      <c r="B816" s="230"/>
      <c r="C816" s="230"/>
      <c r="D816" s="228"/>
      <c r="E816" s="29"/>
      <c r="F816" s="34"/>
      <c r="G816" s="34"/>
      <c r="H816" s="3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1"/>
      <c r="U816" s="34"/>
      <c r="V816" s="34"/>
    </row>
    <row x14ac:dyDescent="0.25" r="817" customHeight="1" ht="15.75">
      <c r="A817" s="229"/>
      <c r="B817" s="230"/>
      <c r="C817" s="230"/>
      <c r="D817" s="228"/>
      <c r="E817" s="29"/>
      <c r="F817" s="34"/>
      <c r="G817" s="34"/>
      <c r="H817" s="3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1"/>
      <c r="U817" s="34"/>
      <c r="V817" s="34"/>
    </row>
    <row x14ac:dyDescent="0.25" r="818" customHeight="1" ht="15.75">
      <c r="A818" s="229"/>
      <c r="B818" s="230"/>
      <c r="C818" s="230"/>
      <c r="D818" s="228"/>
      <c r="E818" s="29"/>
      <c r="F818" s="34"/>
      <c r="G818" s="34"/>
      <c r="H818" s="3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1"/>
      <c r="U818" s="34"/>
      <c r="V818" s="34"/>
    </row>
    <row x14ac:dyDescent="0.25" r="819" customHeight="1" ht="15.75">
      <c r="A819" s="229"/>
      <c r="B819" s="230"/>
      <c r="C819" s="230"/>
      <c r="D819" s="228"/>
      <c r="E819" s="29"/>
      <c r="F819" s="34"/>
      <c r="G819" s="34"/>
      <c r="H819" s="3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1"/>
      <c r="U819" s="34"/>
      <c r="V819" s="34"/>
    </row>
    <row x14ac:dyDescent="0.25" r="820" customHeight="1" ht="15.75">
      <c r="A820" s="229"/>
      <c r="B820" s="230"/>
      <c r="C820" s="230"/>
      <c r="D820" s="228"/>
      <c r="E820" s="29"/>
      <c r="F820" s="34"/>
      <c r="G820" s="34"/>
      <c r="H820" s="3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1"/>
      <c r="U820" s="34"/>
      <c r="V820" s="34"/>
    </row>
    <row x14ac:dyDescent="0.25" r="821" customHeight="1" ht="15.75">
      <c r="A821" s="229"/>
      <c r="B821" s="230"/>
      <c r="C821" s="230"/>
      <c r="D821" s="228"/>
      <c r="E821" s="29"/>
      <c r="F821" s="34"/>
      <c r="G821" s="34"/>
      <c r="H821" s="3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1"/>
      <c r="U821" s="34"/>
      <c r="V821" s="34"/>
    </row>
    <row x14ac:dyDescent="0.25" r="822" customHeight="1" ht="15.75">
      <c r="A822" s="229"/>
      <c r="B822" s="230"/>
      <c r="C822" s="230"/>
      <c r="D822" s="228"/>
      <c r="E822" s="29"/>
      <c r="F822" s="34"/>
      <c r="G822" s="34"/>
      <c r="H822" s="3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1"/>
      <c r="U822" s="34"/>
      <c r="V822" s="34"/>
    </row>
    <row x14ac:dyDescent="0.25" r="823" customHeight="1" ht="15.75">
      <c r="A823" s="229"/>
      <c r="B823" s="230"/>
      <c r="C823" s="230"/>
      <c r="D823" s="228"/>
      <c r="E823" s="29"/>
      <c r="F823" s="34"/>
      <c r="G823" s="34"/>
      <c r="H823" s="3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1"/>
      <c r="U823" s="34"/>
      <c r="V823" s="34"/>
    </row>
    <row x14ac:dyDescent="0.25" r="824" customHeight="1" ht="15.75">
      <c r="A824" s="229"/>
      <c r="B824" s="230"/>
      <c r="C824" s="230"/>
      <c r="D824" s="228"/>
      <c r="E824" s="29"/>
      <c r="F824" s="34"/>
      <c r="G824" s="34"/>
      <c r="H824" s="3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1"/>
      <c r="U824" s="34"/>
      <c r="V824" s="34"/>
    </row>
    <row x14ac:dyDescent="0.25" r="825" customHeight="1" ht="15.75">
      <c r="A825" s="229"/>
      <c r="B825" s="230"/>
      <c r="C825" s="230"/>
      <c r="D825" s="228"/>
      <c r="E825" s="29"/>
      <c r="F825" s="34"/>
      <c r="G825" s="34"/>
      <c r="H825" s="3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1"/>
      <c r="U825" s="34"/>
      <c r="V825" s="34"/>
    </row>
    <row x14ac:dyDescent="0.25" r="826" customHeight="1" ht="15.75">
      <c r="A826" s="1"/>
      <c r="B826" s="34"/>
      <c r="C826" s="34"/>
      <c r="D826" s="34"/>
      <c r="E826" s="29"/>
      <c r="F826" s="34"/>
      <c r="G826" s="34"/>
      <c r="H826" s="34"/>
      <c r="I826" s="29"/>
      <c r="J826" s="29"/>
      <c r="K826" s="29"/>
      <c r="L826" s="29"/>
      <c r="M826" s="34"/>
      <c r="N826" s="34"/>
      <c r="O826" s="29"/>
      <c r="P826" s="29"/>
      <c r="Q826" s="29"/>
      <c r="R826" s="29"/>
      <c r="S826" s="29"/>
      <c r="T826" s="1"/>
      <c r="U826" s="34"/>
      <c r="V826" s="34"/>
    </row>
    <row x14ac:dyDescent="0.25" r="827" customHeight="1" ht="15.75">
      <c r="A827" s="1"/>
      <c r="B827" s="34"/>
      <c r="C827" s="34"/>
      <c r="D827" s="34"/>
      <c r="E827" s="29"/>
      <c r="F827" s="34"/>
      <c r="G827" s="34"/>
      <c r="H827" s="34"/>
      <c r="I827" s="29"/>
      <c r="J827" s="29"/>
      <c r="K827" s="29"/>
      <c r="L827" s="29"/>
      <c r="M827" s="34"/>
      <c r="N827" s="34"/>
      <c r="O827" s="29"/>
      <c r="P827" s="29"/>
      <c r="Q827" s="29"/>
      <c r="R827" s="29"/>
      <c r="S827" s="29"/>
      <c r="T827" s="1"/>
      <c r="U827" s="34"/>
      <c r="V827" s="34"/>
    </row>
    <row x14ac:dyDescent="0.25" r="828" customHeight="1" ht="15.75">
      <c r="A828" s="1"/>
      <c r="B828" s="34"/>
      <c r="C828" s="34"/>
      <c r="D828" s="34"/>
      <c r="E828" s="29"/>
      <c r="F828" s="34"/>
      <c r="G828" s="34"/>
      <c r="H828" s="34"/>
      <c r="I828" s="29"/>
      <c r="J828" s="29"/>
      <c r="K828" s="29"/>
      <c r="L828" s="29"/>
      <c r="M828" s="34"/>
      <c r="N828" s="34"/>
      <c r="O828" s="29"/>
      <c r="P828" s="29"/>
      <c r="Q828" s="29"/>
      <c r="R828" s="29"/>
      <c r="S828" s="29"/>
      <c r="T828" s="1"/>
      <c r="U828" s="34"/>
      <c r="V828" s="34"/>
    </row>
    <row x14ac:dyDescent="0.25" r="829" customHeight="1" ht="15.75">
      <c r="A829" s="1"/>
      <c r="B829" s="34"/>
      <c r="C829" s="34"/>
      <c r="D829" s="34"/>
      <c r="E829" s="29"/>
      <c r="F829" s="34"/>
      <c r="G829" s="34"/>
      <c r="H829" s="34"/>
      <c r="I829" s="29"/>
      <c r="J829" s="29"/>
      <c r="K829" s="29"/>
      <c r="L829" s="29"/>
      <c r="M829" s="34"/>
      <c r="N829" s="34"/>
      <c r="O829" s="29"/>
      <c r="P829" s="29"/>
      <c r="Q829" s="29"/>
      <c r="R829" s="29"/>
      <c r="S829" s="29"/>
      <c r="T829" s="1"/>
      <c r="U829" s="34"/>
      <c r="V829" s="34"/>
    </row>
    <row x14ac:dyDescent="0.25" r="830" customHeight="1" ht="15.75">
      <c r="A830" s="1"/>
      <c r="B830" s="34"/>
      <c r="C830" s="34"/>
      <c r="D830" s="34"/>
      <c r="E830" s="29"/>
      <c r="F830" s="34"/>
      <c r="G830" s="34"/>
      <c r="H830" s="34"/>
      <c r="I830" s="29"/>
      <c r="J830" s="29"/>
      <c r="K830" s="29"/>
      <c r="L830" s="29"/>
      <c r="M830" s="34"/>
      <c r="N830" s="34"/>
      <c r="O830" s="29"/>
      <c r="P830" s="29"/>
      <c r="Q830" s="29"/>
      <c r="R830" s="29"/>
      <c r="S830" s="29"/>
      <c r="T830" s="1"/>
      <c r="U830" s="34"/>
      <c r="V830" s="34"/>
    </row>
    <row x14ac:dyDescent="0.25" r="831" customHeight="1" ht="15.75">
      <c r="A831" s="1"/>
      <c r="B831" s="34"/>
      <c r="C831" s="34"/>
      <c r="D831" s="34"/>
      <c r="E831" s="29"/>
      <c r="F831" s="34"/>
      <c r="G831" s="34"/>
      <c r="H831" s="34"/>
      <c r="I831" s="29"/>
      <c r="J831" s="29"/>
      <c r="K831" s="29"/>
      <c r="L831" s="29"/>
      <c r="M831" s="34"/>
      <c r="N831" s="34"/>
      <c r="O831" s="29"/>
      <c r="P831" s="29"/>
      <c r="Q831" s="29"/>
      <c r="R831" s="29"/>
      <c r="S831" s="29"/>
      <c r="T831" s="1"/>
      <c r="U831" s="34"/>
      <c r="V831" s="34"/>
    </row>
    <row x14ac:dyDescent="0.25" r="832" customHeight="1" ht="15.75">
      <c r="A832" s="1"/>
      <c r="B832" s="34"/>
      <c r="C832" s="34"/>
      <c r="D832" s="34"/>
      <c r="E832" s="29"/>
      <c r="F832" s="34"/>
      <c r="G832" s="34"/>
      <c r="H832" s="34"/>
      <c r="I832" s="29"/>
      <c r="J832" s="29"/>
      <c r="K832" s="29"/>
      <c r="L832" s="29"/>
      <c r="M832" s="34"/>
      <c r="N832" s="34"/>
      <c r="O832" s="29"/>
      <c r="P832" s="29"/>
      <c r="Q832" s="29"/>
      <c r="R832" s="29"/>
      <c r="S832" s="29"/>
      <c r="T832" s="1"/>
      <c r="U832" s="34"/>
      <c r="V832" s="34"/>
    </row>
    <row x14ac:dyDescent="0.25" r="833" customHeight="1" ht="15.75">
      <c r="A833" s="1"/>
      <c r="B833" s="34"/>
      <c r="C833" s="34"/>
      <c r="D833" s="34"/>
      <c r="E833" s="29"/>
      <c r="F833" s="34"/>
      <c r="G833" s="34"/>
      <c r="H833" s="34"/>
      <c r="I833" s="29"/>
      <c r="J833" s="29"/>
      <c r="K833" s="29"/>
      <c r="L833" s="29"/>
      <c r="M833" s="34"/>
      <c r="N833" s="34"/>
      <c r="O833" s="29"/>
      <c r="P833" s="29"/>
      <c r="Q833" s="29"/>
      <c r="R833" s="29"/>
      <c r="S833" s="29"/>
      <c r="T833" s="1"/>
      <c r="U833" s="34"/>
      <c r="V833" s="34"/>
    </row>
    <row x14ac:dyDescent="0.25" r="834" customHeight="1" ht="15.75">
      <c r="A834" s="1"/>
      <c r="B834" s="34"/>
      <c r="C834" s="34"/>
      <c r="D834" s="34"/>
      <c r="E834" s="29"/>
      <c r="F834" s="34"/>
      <c r="G834" s="34"/>
      <c r="H834" s="34"/>
      <c r="I834" s="29"/>
      <c r="J834" s="29"/>
      <c r="K834" s="29"/>
      <c r="L834" s="29"/>
      <c r="M834" s="34"/>
      <c r="N834" s="34"/>
      <c r="O834" s="29"/>
      <c r="P834" s="29"/>
      <c r="Q834" s="29"/>
      <c r="R834" s="29"/>
      <c r="S834" s="29"/>
      <c r="T834" s="1"/>
      <c r="U834" s="34"/>
      <c r="V834" s="34"/>
    </row>
    <row x14ac:dyDescent="0.25" r="835" customHeight="1" ht="15.75">
      <c r="A835" s="1"/>
      <c r="B835" s="34"/>
      <c r="C835" s="34"/>
      <c r="D835" s="34"/>
      <c r="E835" s="29"/>
      <c r="F835" s="34"/>
      <c r="G835" s="34"/>
      <c r="H835" s="34"/>
      <c r="I835" s="29"/>
      <c r="J835" s="29"/>
      <c r="K835" s="29"/>
      <c r="L835" s="29"/>
      <c r="M835" s="34"/>
      <c r="N835" s="34"/>
      <c r="O835" s="29"/>
      <c r="P835" s="29"/>
      <c r="Q835" s="29"/>
      <c r="R835" s="29"/>
      <c r="S835" s="29"/>
      <c r="T835" s="1"/>
      <c r="U835" s="34"/>
      <c r="V835" s="34"/>
    </row>
    <row x14ac:dyDescent="0.25" r="836" customHeight="1" ht="15.75">
      <c r="A836" s="1"/>
      <c r="B836" s="34"/>
      <c r="C836" s="34"/>
      <c r="D836" s="34"/>
      <c r="E836" s="29"/>
      <c r="F836" s="34"/>
      <c r="G836" s="34"/>
      <c r="H836" s="34"/>
      <c r="I836" s="29"/>
      <c r="J836" s="29"/>
      <c r="K836" s="29"/>
      <c r="L836" s="29"/>
      <c r="M836" s="34"/>
      <c r="N836" s="34"/>
      <c r="O836" s="29"/>
      <c r="P836" s="29"/>
      <c r="Q836" s="29"/>
      <c r="R836" s="29"/>
      <c r="S836" s="29"/>
      <c r="T836" s="1"/>
      <c r="U836" s="34"/>
      <c r="V836" s="34"/>
    </row>
    <row x14ac:dyDescent="0.25" r="837" customHeight="1" ht="15.75">
      <c r="A837" s="1"/>
      <c r="B837" s="34"/>
      <c r="C837" s="34"/>
      <c r="D837" s="34"/>
      <c r="E837" s="29"/>
      <c r="F837" s="34"/>
      <c r="G837" s="34"/>
      <c r="H837" s="34"/>
      <c r="I837" s="29"/>
      <c r="J837" s="29"/>
      <c r="K837" s="29"/>
      <c r="L837" s="29"/>
      <c r="M837" s="34"/>
      <c r="N837" s="34"/>
      <c r="O837" s="29"/>
      <c r="P837" s="29"/>
      <c r="Q837" s="29"/>
      <c r="R837" s="29"/>
      <c r="S837" s="29"/>
      <c r="T837" s="1"/>
      <c r="U837" s="34"/>
      <c r="V837" s="34"/>
    </row>
    <row x14ac:dyDescent="0.25" r="838" customHeight="1" ht="15.75">
      <c r="A838" s="1"/>
      <c r="B838" s="34"/>
      <c r="C838" s="34"/>
      <c r="D838" s="34"/>
      <c r="E838" s="29"/>
      <c r="F838" s="34"/>
      <c r="G838" s="34"/>
      <c r="H838" s="34"/>
      <c r="I838" s="29"/>
      <c r="J838" s="29"/>
      <c r="K838" s="29"/>
      <c r="L838" s="29"/>
      <c r="M838" s="34"/>
      <c r="N838" s="34"/>
      <c r="O838" s="29"/>
      <c r="P838" s="29"/>
      <c r="Q838" s="29"/>
      <c r="R838" s="29"/>
      <c r="S838" s="29"/>
      <c r="T838" s="1"/>
      <c r="U838" s="34"/>
      <c r="V838" s="34"/>
    </row>
    <row x14ac:dyDescent="0.25" r="839" customHeight="1" ht="15.75">
      <c r="A839" s="1"/>
      <c r="B839" s="34"/>
      <c r="C839" s="34"/>
      <c r="D839" s="34"/>
      <c r="E839" s="29"/>
      <c r="F839" s="34"/>
      <c r="G839" s="34"/>
      <c r="H839" s="34"/>
      <c r="I839" s="29"/>
      <c r="J839" s="29"/>
      <c r="K839" s="29"/>
      <c r="L839" s="29"/>
      <c r="M839" s="34"/>
      <c r="N839" s="34"/>
      <c r="O839" s="29"/>
      <c r="P839" s="29"/>
      <c r="Q839" s="29"/>
      <c r="R839" s="29"/>
      <c r="S839" s="29"/>
      <c r="T839" s="1"/>
      <c r="U839" s="34"/>
      <c r="V839" s="34"/>
    </row>
    <row x14ac:dyDescent="0.25" r="840" customHeight="1" ht="15.75">
      <c r="A840" s="1"/>
      <c r="B840" s="34"/>
      <c r="C840" s="34"/>
      <c r="D840" s="34"/>
      <c r="E840" s="29"/>
      <c r="F840" s="34"/>
      <c r="G840" s="34"/>
      <c r="H840" s="34"/>
      <c r="I840" s="29"/>
      <c r="J840" s="29"/>
      <c r="K840" s="29"/>
      <c r="L840" s="29"/>
      <c r="M840" s="34"/>
      <c r="N840" s="34"/>
      <c r="O840" s="29"/>
      <c r="P840" s="29"/>
      <c r="Q840" s="29"/>
      <c r="R840" s="29"/>
      <c r="S840" s="29"/>
      <c r="T840" s="1"/>
      <c r="U840" s="34"/>
      <c r="V840" s="34"/>
    </row>
    <row x14ac:dyDescent="0.25" r="841" customHeight="1" ht="15.75">
      <c r="A841" s="1"/>
      <c r="B841" s="34"/>
      <c r="C841" s="34"/>
      <c r="D841" s="34"/>
      <c r="E841" s="29"/>
      <c r="F841" s="34"/>
      <c r="G841" s="34"/>
      <c r="H841" s="34"/>
      <c r="I841" s="29"/>
      <c r="J841" s="29"/>
      <c r="K841" s="29"/>
      <c r="L841" s="29"/>
      <c r="M841" s="34"/>
      <c r="N841" s="34"/>
      <c r="O841" s="29"/>
      <c r="P841" s="29"/>
      <c r="Q841" s="29"/>
      <c r="R841" s="29"/>
      <c r="S841" s="29"/>
      <c r="T841" s="1"/>
      <c r="U841" s="34"/>
      <c r="V841" s="34"/>
    </row>
    <row x14ac:dyDescent="0.25" r="842" customHeight="1" ht="15.75">
      <c r="A842" s="1"/>
      <c r="B842" s="34"/>
      <c r="C842" s="34"/>
      <c r="D842" s="34"/>
      <c r="E842" s="29"/>
      <c r="F842" s="34"/>
      <c r="G842" s="34"/>
      <c r="H842" s="34"/>
      <c r="I842" s="29"/>
      <c r="J842" s="29"/>
      <c r="K842" s="29"/>
      <c r="L842" s="29"/>
      <c r="M842" s="34"/>
      <c r="N842" s="34"/>
      <c r="O842" s="29"/>
      <c r="P842" s="29"/>
      <c r="Q842" s="29"/>
      <c r="R842" s="29"/>
      <c r="S842" s="29"/>
      <c r="T842" s="1"/>
      <c r="U842" s="34"/>
      <c r="V842" s="34"/>
    </row>
    <row x14ac:dyDescent="0.25" r="843" customHeight="1" ht="15.75">
      <c r="A843" s="1"/>
      <c r="B843" s="34"/>
      <c r="C843" s="34"/>
      <c r="D843" s="34"/>
      <c r="E843" s="29"/>
      <c r="F843" s="34"/>
      <c r="G843" s="34"/>
      <c r="H843" s="34"/>
      <c r="I843" s="29"/>
      <c r="J843" s="29"/>
      <c r="K843" s="29"/>
      <c r="L843" s="29"/>
      <c r="M843" s="34"/>
      <c r="N843" s="34"/>
      <c r="O843" s="29"/>
      <c r="P843" s="29"/>
      <c r="Q843" s="29"/>
      <c r="R843" s="29"/>
      <c r="S843" s="29"/>
      <c r="T843" s="1"/>
      <c r="U843" s="34"/>
      <c r="V843" s="34"/>
    </row>
    <row x14ac:dyDescent="0.25" r="844" customHeight="1" ht="15.75">
      <c r="A844" s="1"/>
      <c r="B844" s="34"/>
      <c r="C844" s="34"/>
      <c r="D844" s="34"/>
      <c r="E844" s="29"/>
      <c r="F844" s="34"/>
      <c r="G844" s="34"/>
      <c r="H844" s="34"/>
      <c r="I844" s="29"/>
      <c r="J844" s="29"/>
      <c r="K844" s="29"/>
      <c r="L844" s="29"/>
      <c r="M844" s="34"/>
      <c r="N844" s="34"/>
      <c r="O844" s="29"/>
      <c r="P844" s="29"/>
      <c r="Q844" s="29"/>
      <c r="R844" s="29"/>
      <c r="S844" s="29"/>
      <c r="T844" s="1"/>
      <c r="U844" s="34"/>
      <c r="V844" s="34"/>
    </row>
    <row x14ac:dyDescent="0.25" r="845" customHeight="1" ht="15.75">
      <c r="A845" s="1"/>
      <c r="B845" s="34"/>
      <c r="C845" s="34"/>
      <c r="D845" s="34"/>
      <c r="E845" s="29"/>
      <c r="F845" s="34"/>
      <c r="G845" s="34"/>
      <c r="H845" s="34"/>
      <c r="I845" s="29"/>
      <c r="J845" s="29"/>
      <c r="K845" s="29"/>
      <c r="L845" s="29"/>
      <c r="M845" s="34"/>
      <c r="N845" s="34"/>
      <c r="O845" s="29"/>
      <c r="P845" s="29"/>
      <c r="Q845" s="29"/>
      <c r="R845" s="29"/>
      <c r="S845" s="29"/>
      <c r="T845" s="1"/>
      <c r="U845" s="34"/>
      <c r="V845" s="34"/>
    </row>
    <row x14ac:dyDescent="0.25" r="846" customHeight="1" ht="15.75">
      <c r="A846" s="1"/>
      <c r="B846" s="34"/>
      <c r="C846" s="34"/>
      <c r="D846" s="34"/>
      <c r="E846" s="29"/>
      <c r="F846" s="34"/>
      <c r="G846" s="34"/>
      <c r="H846" s="34"/>
      <c r="I846" s="29"/>
      <c r="J846" s="29"/>
      <c r="K846" s="29"/>
      <c r="L846" s="29"/>
      <c r="M846" s="34"/>
      <c r="N846" s="34"/>
      <c r="O846" s="29"/>
      <c r="P846" s="29"/>
      <c r="Q846" s="29"/>
      <c r="R846" s="29"/>
      <c r="S846" s="29"/>
      <c r="T846" s="1"/>
      <c r="U846" s="34"/>
      <c r="V846" s="34"/>
    </row>
    <row x14ac:dyDescent="0.25" r="847" customHeight="1" ht="15.75">
      <c r="A847" s="1"/>
      <c r="B847" s="34"/>
      <c r="C847" s="34"/>
      <c r="D847" s="34"/>
      <c r="E847" s="29"/>
      <c r="F847" s="34"/>
      <c r="G847" s="34"/>
      <c r="H847" s="34"/>
      <c r="I847" s="29"/>
      <c r="J847" s="29"/>
      <c r="K847" s="29"/>
      <c r="L847" s="29"/>
      <c r="M847" s="34"/>
      <c r="N847" s="34"/>
      <c r="O847" s="29"/>
      <c r="P847" s="29"/>
      <c r="Q847" s="29"/>
      <c r="R847" s="29"/>
      <c r="S847" s="29"/>
      <c r="T847" s="1"/>
      <c r="U847" s="34"/>
      <c r="V847" s="34"/>
    </row>
    <row x14ac:dyDescent="0.25" r="848" customHeight="1" ht="15.75">
      <c r="A848" s="1"/>
      <c r="B848" s="34"/>
      <c r="C848" s="34"/>
      <c r="D848" s="34"/>
      <c r="E848" s="29"/>
      <c r="F848" s="34"/>
      <c r="G848" s="34"/>
      <c r="H848" s="34"/>
      <c r="I848" s="29"/>
      <c r="J848" s="29"/>
      <c r="K848" s="29"/>
      <c r="L848" s="29"/>
      <c r="M848" s="34"/>
      <c r="N848" s="34"/>
      <c r="O848" s="29"/>
      <c r="P848" s="29"/>
      <c r="Q848" s="29"/>
      <c r="R848" s="29"/>
      <c r="S848" s="29"/>
      <c r="T848" s="1"/>
      <c r="U848" s="34"/>
      <c r="V848" s="34"/>
    </row>
    <row x14ac:dyDescent="0.25" r="849" customHeight="1" ht="15.75">
      <c r="A849" s="1"/>
      <c r="B849" s="34"/>
      <c r="C849" s="34"/>
      <c r="D849" s="34"/>
      <c r="E849" s="29"/>
      <c r="F849" s="34"/>
      <c r="G849" s="34"/>
      <c r="H849" s="34"/>
      <c r="I849" s="29"/>
      <c r="J849" s="29"/>
      <c r="K849" s="29"/>
      <c r="L849" s="29"/>
      <c r="M849" s="34"/>
      <c r="N849" s="34"/>
      <c r="O849" s="29"/>
      <c r="P849" s="29"/>
      <c r="Q849" s="29"/>
      <c r="R849" s="29"/>
      <c r="S849" s="29"/>
      <c r="T849" s="1"/>
      <c r="U849" s="34"/>
      <c r="V849" s="34"/>
    </row>
    <row x14ac:dyDescent="0.25" r="850" customHeight="1" ht="15.75">
      <c r="A850" s="1"/>
      <c r="B850" s="34"/>
      <c r="C850" s="34"/>
      <c r="D850" s="34"/>
      <c r="E850" s="29"/>
      <c r="F850" s="34"/>
      <c r="G850" s="34"/>
      <c r="H850" s="34"/>
      <c r="I850" s="29"/>
      <c r="J850" s="29"/>
      <c r="K850" s="29"/>
      <c r="L850" s="29"/>
      <c r="M850" s="34"/>
      <c r="N850" s="34"/>
      <c r="O850" s="29"/>
      <c r="P850" s="29"/>
      <c r="Q850" s="29"/>
      <c r="R850" s="29"/>
      <c r="S850" s="29"/>
      <c r="T850" s="1"/>
      <c r="U850" s="34"/>
      <c r="V850" s="34"/>
    </row>
    <row x14ac:dyDescent="0.25" r="851" customHeight="1" ht="15.75">
      <c r="A851" s="1"/>
      <c r="B851" s="34"/>
      <c r="C851" s="34"/>
      <c r="D851" s="34"/>
      <c r="E851" s="29"/>
      <c r="F851" s="34"/>
      <c r="G851" s="34"/>
      <c r="H851" s="34"/>
      <c r="I851" s="29"/>
      <c r="J851" s="29"/>
      <c r="K851" s="29"/>
      <c r="L851" s="29"/>
      <c r="M851" s="34"/>
      <c r="N851" s="34"/>
      <c r="O851" s="29"/>
      <c r="P851" s="29"/>
      <c r="Q851" s="29"/>
      <c r="R851" s="29"/>
      <c r="S851" s="29"/>
      <c r="T851" s="1"/>
      <c r="U851" s="34"/>
      <c r="V851" s="34"/>
    </row>
    <row x14ac:dyDescent="0.25" r="852" customHeight="1" ht="15.75">
      <c r="A852" s="1"/>
      <c r="B852" s="34"/>
      <c r="C852" s="34"/>
      <c r="D852" s="34"/>
      <c r="E852" s="29"/>
      <c r="F852" s="34"/>
      <c r="G852" s="34"/>
      <c r="H852" s="34"/>
      <c r="I852" s="29"/>
      <c r="J852" s="29"/>
      <c r="K852" s="29"/>
      <c r="L852" s="29"/>
      <c r="M852" s="34"/>
      <c r="N852" s="34"/>
      <c r="O852" s="29"/>
      <c r="P852" s="29"/>
      <c r="Q852" s="29"/>
      <c r="R852" s="29"/>
      <c r="S852" s="29"/>
      <c r="T852" s="1"/>
      <c r="U852" s="34"/>
      <c r="V852" s="34"/>
    </row>
    <row x14ac:dyDescent="0.25" r="853" customHeight="1" ht="15.75">
      <c r="A853" s="1"/>
      <c r="B853" s="34"/>
      <c r="C853" s="34"/>
      <c r="D853" s="34"/>
      <c r="E853" s="29"/>
      <c r="F853" s="34"/>
      <c r="G853" s="34"/>
      <c r="H853" s="34"/>
      <c r="I853" s="29"/>
      <c r="J853" s="29"/>
      <c r="K853" s="29"/>
      <c r="L853" s="29"/>
      <c r="M853" s="34"/>
      <c r="N853" s="34"/>
      <c r="O853" s="29"/>
      <c r="P853" s="29"/>
      <c r="Q853" s="29"/>
      <c r="R853" s="29"/>
      <c r="S853" s="29"/>
      <c r="T853" s="1"/>
      <c r="U853" s="34"/>
      <c r="V853" s="34"/>
    </row>
    <row x14ac:dyDescent="0.25" r="854" customHeight="1" ht="15.75">
      <c r="A854" s="1"/>
      <c r="B854" s="34"/>
      <c r="C854" s="34"/>
      <c r="D854" s="34"/>
      <c r="E854" s="29"/>
      <c r="F854" s="34"/>
      <c r="G854" s="34"/>
      <c r="H854" s="34"/>
      <c r="I854" s="29"/>
      <c r="J854" s="29"/>
      <c r="K854" s="29"/>
      <c r="L854" s="29"/>
      <c r="M854" s="34"/>
      <c r="N854" s="34"/>
      <c r="O854" s="29"/>
      <c r="P854" s="29"/>
      <c r="Q854" s="29"/>
      <c r="R854" s="29"/>
      <c r="S854" s="29"/>
      <c r="T854" s="1"/>
      <c r="U854" s="34"/>
      <c r="V854" s="34"/>
    </row>
    <row x14ac:dyDescent="0.25" r="855" customHeight="1" ht="15.75">
      <c r="A855" s="1"/>
      <c r="B855" s="34"/>
      <c r="C855" s="34"/>
      <c r="D855" s="34"/>
      <c r="E855" s="29"/>
      <c r="F855" s="34"/>
      <c r="G855" s="34"/>
      <c r="H855" s="34"/>
      <c r="I855" s="29"/>
      <c r="J855" s="29"/>
      <c r="K855" s="29"/>
      <c r="L855" s="29"/>
      <c r="M855" s="34"/>
      <c r="N855" s="34"/>
      <c r="O855" s="29"/>
      <c r="P855" s="29"/>
      <c r="Q855" s="29"/>
      <c r="R855" s="29"/>
      <c r="S855" s="29"/>
      <c r="T855" s="1"/>
      <c r="U855" s="34"/>
      <c r="V855" s="34"/>
    </row>
    <row x14ac:dyDescent="0.25" r="856" customHeight="1" ht="15.75">
      <c r="A856" s="1"/>
      <c r="B856" s="34"/>
      <c r="C856" s="34"/>
      <c r="D856" s="34"/>
      <c r="E856" s="29"/>
      <c r="F856" s="34"/>
      <c r="G856" s="34"/>
      <c r="H856" s="34"/>
      <c r="I856" s="29"/>
      <c r="J856" s="29"/>
      <c r="K856" s="29"/>
      <c r="L856" s="29"/>
      <c r="M856" s="34"/>
      <c r="N856" s="34"/>
      <c r="O856" s="29"/>
      <c r="P856" s="29"/>
      <c r="Q856" s="29"/>
      <c r="R856" s="29"/>
      <c r="S856" s="29"/>
      <c r="T856" s="1"/>
      <c r="U856" s="34"/>
      <c r="V856" s="34"/>
    </row>
    <row x14ac:dyDescent="0.25" r="857" customHeight="1" ht="15.75">
      <c r="A857" s="1"/>
      <c r="B857" s="34"/>
      <c r="C857" s="34"/>
      <c r="D857" s="34"/>
      <c r="E857" s="29"/>
      <c r="F857" s="34"/>
      <c r="G857" s="34"/>
      <c r="H857" s="34"/>
      <c r="I857" s="29"/>
      <c r="J857" s="29"/>
      <c r="K857" s="29"/>
      <c r="L857" s="29"/>
      <c r="M857" s="34"/>
      <c r="N857" s="34"/>
      <c r="O857" s="29"/>
      <c r="P857" s="29"/>
      <c r="Q857" s="29"/>
      <c r="R857" s="29"/>
      <c r="S857" s="29"/>
      <c r="T857" s="1"/>
      <c r="U857" s="34"/>
      <c r="V857" s="34"/>
    </row>
    <row x14ac:dyDescent="0.25" r="858" customHeight="1" ht="15.75">
      <c r="A858" s="1"/>
      <c r="B858" s="34"/>
      <c r="C858" s="34"/>
      <c r="D858" s="34"/>
      <c r="E858" s="29"/>
      <c r="F858" s="34"/>
      <c r="G858" s="34"/>
      <c r="H858" s="34"/>
      <c r="I858" s="29"/>
      <c r="J858" s="29"/>
      <c r="K858" s="29"/>
      <c r="L858" s="29"/>
      <c r="M858" s="34"/>
      <c r="N858" s="34"/>
      <c r="O858" s="29"/>
      <c r="P858" s="29"/>
      <c r="Q858" s="29"/>
      <c r="R858" s="29"/>
      <c r="S858" s="29"/>
      <c r="T858" s="1"/>
      <c r="U858" s="34"/>
      <c r="V858" s="34"/>
    </row>
    <row x14ac:dyDescent="0.25" r="859" customHeight="1" ht="15.75">
      <c r="A859" s="1"/>
      <c r="B859" s="34"/>
      <c r="C859" s="34"/>
      <c r="D859" s="34"/>
      <c r="E859" s="29"/>
      <c r="F859" s="34"/>
      <c r="G859" s="34"/>
      <c r="H859" s="34"/>
      <c r="I859" s="29"/>
      <c r="J859" s="29"/>
      <c r="K859" s="29"/>
      <c r="L859" s="29"/>
      <c r="M859" s="34"/>
      <c r="N859" s="34"/>
      <c r="O859" s="29"/>
      <c r="P859" s="29"/>
      <c r="Q859" s="29"/>
      <c r="R859" s="29"/>
      <c r="S859" s="29"/>
      <c r="T859" s="1"/>
      <c r="U859" s="34"/>
      <c r="V859" s="34"/>
    </row>
    <row x14ac:dyDescent="0.25" r="860" customHeight="1" ht="15.75">
      <c r="A860" s="1"/>
      <c r="B860" s="34"/>
      <c r="C860" s="34"/>
      <c r="D860" s="34"/>
      <c r="E860" s="29"/>
      <c r="F860" s="34"/>
      <c r="G860" s="34"/>
      <c r="H860" s="34"/>
      <c r="I860" s="29"/>
      <c r="J860" s="29"/>
      <c r="K860" s="29"/>
      <c r="L860" s="29"/>
      <c r="M860" s="34"/>
      <c r="N860" s="34"/>
      <c r="O860" s="29"/>
      <c r="P860" s="29"/>
      <c r="Q860" s="29"/>
      <c r="R860" s="29"/>
      <c r="S860" s="29"/>
      <c r="T860" s="1"/>
      <c r="U860" s="34"/>
      <c r="V860" s="34"/>
    </row>
    <row x14ac:dyDescent="0.25" r="861" customHeight="1" ht="15.75">
      <c r="A861" s="1"/>
      <c r="B861" s="34"/>
      <c r="C861" s="34"/>
      <c r="D861" s="34"/>
      <c r="E861" s="29"/>
      <c r="F861" s="34"/>
      <c r="G861" s="34"/>
      <c r="H861" s="34"/>
      <c r="I861" s="29"/>
      <c r="J861" s="29"/>
      <c r="K861" s="29"/>
      <c r="L861" s="29"/>
      <c r="M861" s="34"/>
      <c r="N861" s="34"/>
      <c r="O861" s="29"/>
      <c r="P861" s="29"/>
      <c r="Q861" s="29"/>
      <c r="R861" s="29"/>
      <c r="S861" s="29"/>
      <c r="T861" s="1"/>
      <c r="U861" s="34"/>
      <c r="V861" s="34"/>
    </row>
    <row x14ac:dyDescent="0.25" r="862" customHeight="1" ht="15.75">
      <c r="A862" s="1"/>
      <c r="B862" s="34"/>
      <c r="C862" s="34"/>
      <c r="D862" s="34"/>
      <c r="E862" s="29"/>
      <c r="F862" s="34"/>
      <c r="G862" s="34"/>
      <c r="H862" s="34"/>
      <c r="I862" s="29"/>
      <c r="J862" s="29"/>
      <c r="K862" s="29"/>
      <c r="L862" s="29"/>
      <c r="M862" s="34"/>
      <c r="N862" s="34"/>
      <c r="O862" s="29"/>
      <c r="P862" s="29"/>
      <c r="Q862" s="29"/>
      <c r="R862" s="29"/>
      <c r="S862" s="29"/>
      <c r="T862" s="1"/>
      <c r="U862" s="34"/>
      <c r="V862" s="34"/>
    </row>
    <row x14ac:dyDescent="0.25" r="863" customHeight="1" ht="15.75">
      <c r="A863" s="1"/>
      <c r="B863" s="34"/>
      <c r="C863" s="34"/>
      <c r="D863" s="34"/>
      <c r="E863" s="29"/>
      <c r="F863" s="34"/>
      <c r="G863" s="34"/>
      <c r="H863" s="34"/>
      <c r="I863" s="29"/>
      <c r="J863" s="29"/>
      <c r="K863" s="29"/>
      <c r="L863" s="29"/>
      <c r="M863" s="34"/>
      <c r="N863" s="34"/>
      <c r="O863" s="29"/>
      <c r="P863" s="29"/>
      <c r="Q863" s="29"/>
      <c r="R863" s="29"/>
      <c r="S863" s="29"/>
      <c r="T863" s="1"/>
      <c r="U863" s="34"/>
      <c r="V863" s="34"/>
    </row>
    <row x14ac:dyDescent="0.25" r="864" customHeight="1" ht="15.75">
      <c r="A864" s="1"/>
      <c r="B864" s="34"/>
      <c r="C864" s="34"/>
      <c r="D864" s="34"/>
      <c r="E864" s="29"/>
      <c r="F864" s="34"/>
      <c r="G864" s="34"/>
      <c r="H864" s="34"/>
      <c r="I864" s="29"/>
      <c r="J864" s="29"/>
      <c r="K864" s="29"/>
      <c r="L864" s="29"/>
      <c r="M864" s="34"/>
      <c r="N864" s="34"/>
      <c r="O864" s="29"/>
      <c r="P864" s="29"/>
      <c r="Q864" s="29"/>
      <c r="R864" s="29"/>
      <c r="S864" s="29"/>
      <c r="T864" s="1"/>
      <c r="U864" s="34"/>
      <c r="V864" s="34"/>
    </row>
    <row x14ac:dyDescent="0.25" r="865" customHeight="1" ht="15.75">
      <c r="A865" s="1"/>
      <c r="B865" s="34"/>
      <c r="C865" s="34"/>
      <c r="D865" s="34"/>
      <c r="E865" s="29"/>
      <c r="F865" s="34"/>
      <c r="G865" s="34"/>
      <c r="H865" s="34"/>
      <c r="I865" s="29"/>
      <c r="J865" s="29"/>
      <c r="K865" s="29"/>
      <c r="L865" s="29"/>
      <c r="M865" s="34"/>
      <c r="N865" s="34"/>
      <c r="O865" s="29"/>
      <c r="P865" s="29"/>
      <c r="Q865" s="29"/>
      <c r="R865" s="29"/>
      <c r="S865" s="29"/>
      <c r="T865" s="1"/>
      <c r="U865" s="34"/>
      <c r="V865" s="34"/>
    </row>
    <row x14ac:dyDescent="0.25" r="866" customHeight="1" ht="15.75">
      <c r="A866" s="1"/>
      <c r="B866" s="34"/>
      <c r="C866" s="34"/>
      <c r="D866" s="34"/>
      <c r="E866" s="29"/>
      <c r="F866" s="34"/>
      <c r="G866" s="34"/>
      <c r="H866" s="34"/>
      <c r="I866" s="29"/>
      <c r="J866" s="29"/>
      <c r="K866" s="29"/>
      <c r="L866" s="29"/>
      <c r="M866" s="34"/>
      <c r="N866" s="34"/>
      <c r="O866" s="29"/>
      <c r="P866" s="29"/>
      <c r="Q866" s="29"/>
      <c r="R866" s="29"/>
      <c r="S866" s="29"/>
      <c r="T866" s="1"/>
      <c r="U866" s="34"/>
      <c r="V866" s="34"/>
    </row>
    <row x14ac:dyDescent="0.25" r="867" customHeight="1" ht="15.75">
      <c r="A867" s="1"/>
      <c r="B867" s="34"/>
      <c r="C867" s="34"/>
      <c r="D867" s="34"/>
      <c r="E867" s="29"/>
      <c r="F867" s="34"/>
      <c r="G867" s="34"/>
      <c r="H867" s="34"/>
      <c r="I867" s="29"/>
      <c r="J867" s="29"/>
      <c r="K867" s="29"/>
      <c r="L867" s="29"/>
      <c r="M867" s="34"/>
      <c r="N867" s="34"/>
      <c r="O867" s="29"/>
      <c r="P867" s="29"/>
      <c r="Q867" s="29"/>
      <c r="R867" s="29"/>
      <c r="S867" s="29"/>
      <c r="T867" s="1"/>
      <c r="U867" s="34"/>
      <c r="V867" s="34"/>
    </row>
    <row x14ac:dyDescent="0.25" r="868" customHeight="1" ht="15.75">
      <c r="A868" s="1"/>
      <c r="B868" s="34"/>
      <c r="C868" s="34"/>
      <c r="D868" s="34"/>
      <c r="E868" s="29"/>
      <c r="F868" s="34"/>
      <c r="G868" s="34"/>
      <c r="H868" s="34"/>
      <c r="I868" s="29"/>
      <c r="J868" s="29"/>
      <c r="K868" s="29"/>
      <c r="L868" s="29"/>
      <c r="M868" s="34"/>
      <c r="N868" s="34"/>
      <c r="O868" s="29"/>
      <c r="P868" s="29"/>
      <c r="Q868" s="29"/>
      <c r="R868" s="29"/>
      <c r="S868" s="29"/>
      <c r="T868" s="1"/>
      <c r="U868" s="34"/>
      <c r="V868" s="34"/>
    </row>
    <row x14ac:dyDescent="0.25" r="869" customHeight="1" ht="15.75">
      <c r="A869" s="1"/>
      <c r="B869" s="34"/>
      <c r="C869" s="34"/>
      <c r="D869" s="34"/>
      <c r="E869" s="29"/>
      <c r="F869" s="34"/>
      <c r="G869" s="34"/>
      <c r="H869" s="34"/>
      <c r="I869" s="29"/>
      <c r="J869" s="29"/>
      <c r="K869" s="29"/>
      <c r="L869" s="29"/>
      <c r="M869" s="34"/>
      <c r="N869" s="34"/>
      <c r="O869" s="29"/>
      <c r="P869" s="29"/>
      <c r="Q869" s="29"/>
      <c r="R869" s="29"/>
      <c r="S869" s="29"/>
      <c r="T869" s="1"/>
      <c r="U869" s="34"/>
      <c r="V869" s="34"/>
    </row>
    <row x14ac:dyDescent="0.25" r="870" customHeight="1" ht="15.75">
      <c r="A870" s="1"/>
      <c r="B870" s="34"/>
      <c r="C870" s="34"/>
      <c r="D870" s="34"/>
      <c r="E870" s="29"/>
      <c r="F870" s="34"/>
      <c r="G870" s="34"/>
      <c r="H870" s="34"/>
      <c r="I870" s="29"/>
      <c r="J870" s="29"/>
      <c r="K870" s="29"/>
      <c r="L870" s="29"/>
      <c r="M870" s="34"/>
      <c r="N870" s="34"/>
      <c r="O870" s="29"/>
      <c r="P870" s="29"/>
      <c r="Q870" s="29"/>
      <c r="R870" s="29"/>
      <c r="S870" s="29"/>
      <c r="T870" s="1"/>
      <c r="U870" s="34"/>
      <c r="V870" s="34"/>
    </row>
    <row x14ac:dyDescent="0.25" r="871" customHeight="1" ht="15.75">
      <c r="A871" s="1"/>
      <c r="B871" s="34"/>
      <c r="C871" s="34"/>
      <c r="D871" s="34"/>
      <c r="E871" s="29"/>
      <c r="F871" s="34"/>
      <c r="G871" s="34"/>
      <c r="H871" s="34"/>
      <c r="I871" s="29"/>
      <c r="J871" s="29"/>
      <c r="K871" s="29"/>
      <c r="L871" s="29"/>
      <c r="M871" s="34"/>
      <c r="N871" s="34"/>
      <c r="O871" s="29"/>
      <c r="P871" s="29"/>
      <c r="Q871" s="29"/>
      <c r="R871" s="29"/>
      <c r="S871" s="29"/>
      <c r="T871" s="1"/>
      <c r="U871" s="34"/>
      <c r="V871" s="34"/>
    </row>
    <row x14ac:dyDescent="0.25" r="872" customHeight="1" ht="15.75">
      <c r="A872" s="1"/>
      <c r="B872" s="34"/>
      <c r="C872" s="34"/>
      <c r="D872" s="34"/>
      <c r="E872" s="29"/>
      <c r="F872" s="34"/>
      <c r="G872" s="34"/>
      <c r="H872" s="34"/>
      <c r="I872" s="29"/>
      <c r="J872" s="29"/>
      <c r="K872" s="29"/>
      <c r="L872" s="29"/>
      <c r="M872" s="34"/>
      <c r="N872" s="34"/>
      <c r="O872" s="29"/>
      <c r="P872" s="29"/>
      <c r="Q872" s="29"/>
      <c r="R872" s="29"/>
      <c r="S872" s="29"/>
      <c r="T872" s="1"/>
      <c r="U872" s="34"/>
      <c r="V872" s="34"/>
    </row>
    <row x14ac:dyDescent="0.25" r="873" customHeight="1" ht="15.75">
      <c r="A873" s="1"/>
      <c r="B873" s="34"/>
      <c r="C873" s="34"/>
      <c r="D873" s="34"/>
      <c r="E873" s="29"/>
      <c r="F873" s="34"/>
      <c r="G873" s="34"/>
      <c r="H873" s="34"/>
      <c r="I873" s="29"/>
      <c r="J873" s="29"/>
      <c r="K873" s="29"/>
      <c r="L873" s="29"/>
      <c r="M873" s="34"/>
      <c r="N873" s="34"/>
      <c r="O873" s="29"/>
      <c r="P873" s="29"/>
      <c r="Q873" s="29"/>
      <c r="R873" s="29"/>
      <c r="S873" s="29"/>
      <c r="T873" s="1"/>
      <c r="U873" s="34"/>
      <c r="V873" s="34"/>
    </row>
    <row x14ac:dyDescent="0.25" r="874" customHeight="1" ht="15.75">
      <c r="A874" s="1"/>
      <c r="B874" s="34"/>
      <c r="C874" s="34"/>
      <c r="D874" s="34"/>
      <c r="E874" s="29"/>
      <c r="F874" s="34"/>
      <c r="G874" s="34"/>
      <c r="H874" s="34"/>
      <c r="I874" s="29"/>
      <c r="J874" s="29"/>
      <c r="K874" s="29"/>
      <c r="L874" s="29"/>
      <c r="M874" s="34"/>
      <c r="N874" s="34"/>
      <c r="O874" s="29"/>
      <c r="P874" s="29"/>
      <c r="Q874" s="29"/>
      <c r="R874" s="29"/>
      <c r="S874" s="29"/>
      <c r="T874" s="1"/>
      <c r="U874" s="34"/>
      <c r="V874" s="34"/>
    </row>
    <row x14ac:dyDescent="0.25" r="875" customHeight="1" ht="15.75">
      <c r="A875" s="1"/>
      <c r="B875" s="34"/>
      <c r="C875" s="34"/>
      <c r="D875" s="34"/>
      <c r="E875" s="29"/>
      <c r="F875" s="34"/>
      <c r="G875" s="34"/>
      <c r="H875" s="34"/>
      <c r="I875" s="29"/>
      <c r="J875" s="29"/>
      <c r="K875" s="29"/>
      <c r="L875" s="29"/>
      <c r="M875" s="34"/>
      <c r="N875" s="34"/>
      <c r="O875" s="29"/>
      <c r="P875" s="29"/>
      <c r="Q875" s="29"/>
      <c r="R875" s="29"/>
      <c r="S875" s="29"/>
      <c r="T875" s="1"/>
      <c r="U875" s="34"/>
      <c r="V875" s="34"/>
    </row>
    <row x14ac:dyDescent="0.25" r="876" customHeight="1" ht="15.75">
      <c r="A876" s="1"/>
      <c r="B876" s="34"/>
      <c r="C876" s="34"/>
      <c r="D876" s="34"/>
      <c r="E876" s="29"/>
      <c r="F876" s="34"/>
      <c r="G876" s="34"/>
      <c r="H876" s="34"/>
      <c r="I876" s="29"/>
      <c r="J876" s="29"/>
      <c r="K876" s="29"/>
      <c r="L876" s="29"/>
      <c r="M876" s="34"/>
      <c r="N876" s="34"/>
      <c r="O876" s="29"/>
      <c r="P876" s="29"/>
      <c r="Q876" s="29"/>
      <c r="R876" s="29"/>
      <c r="S876" s="29"/>
      <c r="T876" s="1"/>
      <c r="U876" s="34"/>
      <c r="V876" s="34"/>
    </row>
    <row x14ac:dyDescent="0.25" r="877" customHeight="1" ht="15.75">
      <c r="A877" s="1"/>
      <c r="B877" s="34"/>
      <c r="C877" s="34"/>
      <c r="D877" s="34"/>
      <c r="E877" s="29"/>
      <c r="F877" s="34"/>
      <c r="G877" s="34"/>
      <c r="H877" s="34"/>
      <c r="I877" s="29"/>
      <c r="J877" s="29"/>
      <c r="K877" s="29"/>
      <c r="L877" s="29"/>
      <c r="M877" s="34"/>
      <c r="N877" s="34"/>
      <c r="O877" s="29"/>
      <c r="P877" s="29"/>
      <c r="Q877" s="29"/>
      <c r="R877" s="29"/>
      <c r="S877" s="29"/>
      <c r="T877" s="1"/>
      <c r="U877" s="34"/>
      <c r="V877" s="34"/>
    </row>
    <row x14ac:dyDescent="0.25" r="878" customHeight="1" ht="15.75">
      <c r="A878" s="1"/>
      <c r="B878" s="34"/>
      <c r="C878" s="34"/>
      <c r="D878" s="34"/>
      <c r="E878" s="29"/>
      <c r="F878" s="34"/>
      <c r="G878" s="34"/>
      <c r="H878" s="34"/>
      <c r="I878" s="29"/>
      <c r="J878" s="29"/>
      <c r="K878" s="29"/>
      <c r="L878" s="29"/>
      <c r="M878" s="34"/>
      <c r="N878" s="34"/>
      <c r="O878" s="29"/>
      <c r="P878" s="29"/>
      <c r="Q878" s="29"/>
      <c r="R878" s="29"/>
      <c r="S878" s="29"/>
      <c r="T878" s="1"/>
      <c r="U878" s="34"/>
      <c r="V878" s="34"/>
    </row>
    <row x14ac:dyDescent="0.25" r="879" customHeight="1" ht="15.75">
      <c r="A879" s="1"/>
      <c r="B879" s="34"/>
      <c r="C879" s="34"/>
      <c r="D879" s="34"/>
      <c r="E879" s="29"/>
      <c r="F879" s="34"/>
      <c r="G879" s="34"/>
      <c r="H879" s="34"/>
      <c r="I879" s="29"/>
      <c r="J879" s="29"/>
      <c r="K879" s="29"/>
      <c r="L879" s="29"/>
      <c r="M879" s="34"/>
      <c r="N879" s="34"/>
      <c r="O879" s="29"/>
      <c r="P879" s="29"/>
      <c r="Q879" s="29"/>
      <c r="R879" s="29"/>
      <c r="S879" s="29"/>
      <c r="T879" s="1"/>
      <c r="U879" s="34"/>
      <c r="V879" s="34"/>
    </row>
    <row x14ac:dyDescent="0.25" r="880" customHeight="1" ht="15.75">
      <c r="A880" s="1"/>
      <c r="B880" s="34"/>
      <c r="C880" s="34"/>
      <c r="D880" s="34"/>
      <c r="E880" s="29"/>
      <c r="F880" s="34"/>
      <c r="G880" s="34"/>
      <c r="H880" s="34"/>
      <c r="I880" s="29"/>
      <c r="J880" s="29"/>
      <c r="K880" s="29"/>
      <c r="L880" s="29"/>
      <c r="M880" s="34"/>
      <c r="N880" s="34"/>
      <c r="O880" s="29"/>
      <c r="P880" s="29"/>
      <c r="Q880" s="29"/>
      <c r="R880" s="29"/>
      <c r="S880" s="29"/>
      <c r="T880" s="1"/>
      <c r="U880" s="34"/>
      <c r="V880" s="34"/>
    </row>
    <row x14ac:dyDescent="0.25" r="881" customHeight="1" ht="15.75">
      <c r="A881" s="1"/>
      <c r="B881" s="34"/>
      <c r="C881" s="34"/>
      <c r="D881" s="34"/>
      <c r="E881" s="29"/>
      <c r="F881" s="34"/>
      <c r="G881" s="34"/>
      <c r="H881" s="34"/>
      <c r="I881" s="29"/>
      <c r="J881" s="29"/>
      <c r="K881" s="29"/>
      <c r="L881" s="29"/>
      <c r="M881" s="34"/>
      <c r="N881" s="34"/>
      <c r="O881" s="29"/>
      <c r="P881" s="29"/>
      <c r="Q881" s="29"/>
      <c r="R881" s="29"/>
      <c r="S881" s="29"/>
      <c r="T881" s="1"/>
      <c r="U881" s="34"/>
      <c r="V881" s="34"/>
    </row>
    <row x14ac:dyDescent="0.25" r="882" customHeight="1" ht="15.75">
      <c r="A882" s="1"/>
      <c r="B882" s="34"/>
      <c r="C882" s="34"/>
      <c r="D882" s="34"/>
      <c r="E882" s="29"/>
      <c r="F882" s="34"/>
      <c r="G882" s="34"/>
      <c r="H882" s="34"/>
      <c r="I882" s="29"/>
      <c r="J882" s="29"/>
      <c r="K882" s="29"/>
      <c r="L882" s="29"/>
      <c r="M882" s="34"/>
      <c r="N882" s="34"/>
      <c r="O882" s="29"/>
      <c r="P882" s="29"/>
      <c r="Q882" s="29"/>
      <c r="R882" s="29"/>
      <c r="S882" s="29"/>
      <c r="T882" s="1"/>
      <c r="U882" s="34"/>
      <c r="V882" s="34"/>
    </row>
    <row x14ac:dyDescent="0.25" r="883" customHeight="1" ht="15.75">
      <c r="A883" s="1"/>
      <c r="B883" s="34"/>
      <c r="C883" s="34"/>
      <c r="D883" s="34"/>
      <c r="E883" s="29"/>
      <c r="F883" s="34"/>
      <c r="G883" s="34"/>
      <c r="H883" s="34"/>
      <c r="I883" s="29"/>
      <c r="J883" s="29"/>
      <c r="K883" s="29"/>
      <c r="L883" s="29"/>
      <c r="M883" s="34"/>
      <c r="N883" s="34"/>
      <c r="O883" s="29"/>
      <c r="P883" s="29"/>
      <c r="Q883" s="29"/>
      <c r="R883" s="29"/>
      <c r="S883" s="29"/>
      <c r="T883" s="1"/>
      <c r="U883" s="34"/>
      <c r="V883" s="34"/>
    </row>
    <row x14ac:dyDescent="0.25" r="884" customHeight="1" ht="15.75">
      <c r="A884" s="1"/>
      <c r="B884" s="34"/>
      <c r="C884" s="34"/>
      <c r="D884" s="34"/>
      <c r="E884" s="29"/>
      <c r="F884" s="34"/>
      <c r="G884" s="34"/>
      <c r="H884" s="34"/>
      <c r="I884" s="29"/>
      <c r="J884" s="29"/>
      <c r="K884" s="29"/>
      <c r="L884" s="29"/>
      <c r="M884" s="34"/>
      <c r="N884" s="34"/>
      <c r="O884" s="29"/>
      <c r="P884" s="29"/>
      <c r="Q884" s="29"/>
      <c r="R884" s="29"/>
      <c r="S884" s="29"/>
      <c r="T884" s="1"/>
      <c r="U884" s="34"/>
      <c r="V884" s="34"/>
    </row>
    <row x14ac:dyDescent="0.25" r="885" customHeight="1" ht="15.75">
      <c r="A885" s="1"/>
      <c r="B885" s="34"/>
      <c r="C885" s="34"/>
      <c r="D885" s="34"/>
      <c r="E885" s="29"/>
      <c r="F885" s="34"/>
      <c r="G885" s="34"/>
      <c r="H885" s="34"/>
      <c r="I885" s="29"/>
      <c r="J885" s="29"/>
      <c r="K885" s="29"/>
      <c r="L885" s="29"/>
      <c r="M885" s="34"/>
      <c r="N885" s="34"/>
      <c r="O885" s="29"/>
      <c r="P885" s="29"/>
      <c r="Q885" s="29"/>
      <c r="R885" s="29"/>
      <c r="S885" s="29"/>
      <c r="T885" s="1"/>
      <c r="U885" s="34"/>
      <c r="V885" s="34"/>
    </row>
    <row x14ac:dyDescent="0.25" r="886" customHeight="1" ht="15.75">
      <c r="A886" s="1"/>
      <c r="B886" s="34"/>
      <c r="C886" s="34"/>
      <c r="D886" s="34"/>
      <c r="E886" s="29"/>
      <c r="F886" s="34"/>
      <c r="G886" s="34"/>
      <c r="H886" s="34"/>
      <c r="I886" s="29"/>
      <c r="J886" s="29"/>
      <c r="K886" s="29"/>
      <c r="L886" s="29"/>
      <c r="M886" s="34"/>
      <c r="N886" s="34"/>
      <c r="O886" s="29"/>
      <c r="P886" s="29"/>
      <c r="Q886" s="29"/>
      <c r="R886" s="29"/>
      <c r="S886" s="29"/>
      <c r="T886" s="1"/>
      <c r="U886" s="34"/>
      <c r="V886" s="34"/>
    </row>
    <row x14ac:dyDescent="0.25" r="887" customHeight="1" ht="15.75">
      <c r="A887" s="1"/>
      <c r="B887" s="34"/>
      <c r="C887" s="34"/>
      <c r="D887" s="34"/>
      <c r="E887" s="29"/>
      <c r="F887" s="34"/>
      <c r="G887" s="34"/>
      <c r="H887" s="34"/>
      <c r="I887" s="29"/>
      <c r="J887" s="29"/>
      <c r="K887" s="29"/>
      <c r="L887" s="29"/>
      <c r="M887" s="34"/>
      <c r="N887" s="34"/>
      <c r="O887" s="29"/>
      <c r="P887" s="29"/>
      <c r="Q887" s="29"/>
      <c r="R887" s="29"/>
      <c r="S887" s="29"/>
      <c r="T887" s="1"/>
      <c r="U887" s="34"/>
      <c r="V887" s="34"/>
    </row>
    <row x14ac:dyDescent="0.25" r="888" customHeight="1" ht="15.75">
      <c r="A888" s="1"/>
      <c r="B888" s="34"/>
      <c r="C888" s="34"/>
      <c r="D888" s="34"/>
      <c r="E888" s="29"/>
      <c r="F888" s="34"/>
      <c r="G888" s="34"/>
      <c r="H888" s="34"/>
      <c r="I888" s="29"/>
      <c r="J888" s="29"/>
      <c r="K888" s="29"/>
      <c r="L888" s="29"/>
      <c r="M888" s="34"/>
      <c r="N888" s="34"/>
      <c r="O888" s="29"/>
      <c r="P888" s="29"/>
      <c r="Q888" s="29"/>
      <c r="R888" s="29"/>
      <c r="S888" s="29"/>
      <c r="T888" s="1"/>
      <c r="U888" s="34"/>
      <c r="V888" s="34"/>
    </row>
    <row x14ac:dyDescent="0.25" r="889" customHeight="1" ht="15.75">
      <c r="A889" s="1"/>
      <c r="B889" s="34"/>
      <c r="C889" s="34"/>
      <c r="D889" s="34"/>
      <c r="E889" s="29"/>
      <c r="F889" s="34"/>
      <c r="G889" s="34"/>
      <c r="H889" s="34"/>
      <c r="I889" s="29"/>
      <c r="J889" s="29"/>
      <c r="K889" s="29"/>
      <c r="L889" s="29"/>
      <c r="M889" s="34"/>
      <c r="N889" s="34"/>
      <c r="O889" s="29"/>
      <c r="P889" s="29"/>
      <c r="Q889" s="29"/>
      <c r="R889" s="29"/>
      <c r="S889" s="29"/>
      <c r="T889" s="1"/>
      <c r="U889" s="34"/>
      <c r="V889" s="34"/>
    </row>
    <row x14ac:dyDescent="0.25" r="890" customHeight="1" ht="15.75">
      <c r="A890" s="1"/>
      <c r="B890" s="34"/>
      <c r="C890" s="34"/>
      <c r="D890" s="34"/>
      <c r="E890" s="29"/>
      <c r="F890" s="34"/>
      <c r="G890" s="34"/>
      <c r="H890" s="34"/>
      <c r="I890" s="29"/>
      <c r="J890" s="29"/>
      <c r="K890" s="29"/>
      <c r="L890" s="29"/>
      <c r="M890" s="34"/>
      <c r="N890" s="34"/>
      <c r="O890" s="29"/>
      <c r="P890" s="29"/>
      <c r="Q890" s="29"/>
      <c r="R890" s="29"/>
      <c r="S890" s="29"/>
      <c r="T890" s="1"/>
      <c r="U890" s="34"/>
      <c r="V890" s="34"/>
    </row>
    <row x14ac:dyDescent="0.25" r="891" customHeight="1" ht="15.75">
      <c r="A891" s="1"/>
      <c r="B891" s="34"/>
      <c r="C891" s="34"/>
      <c r="D891" s="34"/>
      <c r="E891" s="29"/>
      <c r="F891" s="34"/>
      <c r="G891" s="34"/>
      <c r="H891" s="34"/>
      <c r="I891" s="29"/>
      <c r="J891" s="29"/>
      <c r="K891" s="29"/>
      <c r="L891" s="29"/>
      <c r="M891" s="34"/>
      <c r="N891" s="34"/>
      <c r="O891" s="29"/>
      <c r="P891" s="29"/>
      <c r="Q891" s="29"/>
      <c r="R891" s="29"/>
      <c r="S891" s="29"/>
      <c r="T891" s="1"/>
      <c r="U891" s="34"/>
      <c r="V891" s="34"/>
    </row>
    <row x14ac:dyDescent="0.25" r="892" customHeight="1" ht="15.75">
      <c r="A892" s="1"/>
      <c r="B892" s="34"/>
      <c r="C892" s="34"/>
      <c r="D892" s="34"/>
      <c r="E892" s="29"/>
      <c r="F892" s="34"/>
      <c r="G892" s="34"/>
      <c r="H892" s="34"/>
      <c r="I892" s="29"/>
      <c r="J892" s="29"/>
      <c r="K892" s="29"/>
      <c r="L892" s="29"/>
      <c r="M892" s="34"/>
      <c r="N892" s="34"/>
      <c r="O892" s="29"/>
      <c r="P892" s="29"/>
      <c r="Q892" s="29"/>
      <c r="R892" s="29"/>
      <c r="S892" s="29"/>
      <c r="T892" s="1"/>
      <c r="U892" s="34"/>
      <c r="V892" s="34"/>
    </row>
    <row x14ac:dyDescent="0.25" r="893" customHeight="1" ht="15.75">
      <c r="A893" s="1"/>
      <c r="B893" s="34"/>
      <c r="C893" s="34"/>
      <c r="D893" s="34"/>
      <c r="E893" s="29"/>
      <c r="F893" s="34"/>
      <c r="G893" s="34"/>
      <c r="H893" s="34"/>
      <c r="I893" s="29"/>
      <c r="J893" s="29"/>
      <c r="K893" s="29"/>
      <c r="L893" s="29"/>
      <c r="M893" s="34"/>
      <c r="N893" s="34"/>
      <c r="O893" s="29"/>
      <c r="P893" s="29"/>
      <c r="Q893" s="29"/>
      <c r="R893" s="29"/>
      <c r="S893" s="29"/>
      <c r="T893" s="1"/>
      <c r="U893" s="34"/>
      <c r="V893" s="34"/>
    </row>
    <row x14ac:dyDescent="0.25" r="894" customHeight="1" ht="15.75">
      <c r="A894" s="1"/>
      <c r="B894" s="34"/>
      <c r="C894" s="34"/>
      <c r="D894" s="34"/>
      <c r="E894" s="29"/>
      <c r="F894" s="34"/>
      <c r="G894" s="34"/>
      <c r="H894" s="34"/>
      <c r="I894" s="29"/>
      <c r="J894" s="29"/>
      <c r="K894" s="29"/>
      <c r="L894" s="29"/>
      <c r="M894" s="34"/>
      <c r="N894" s="34"/>
      <c r="O894" s="29"/>
      <c r="P894" s="29"/>
      <c r="Q894" s="29"/>
      <c r="R894" s="29"/>
      <c r="S894" s="29"/>
      <c r="T894" s="1"/>
      <c r="U894" s="34"/>
      <c r="V894" s="34"/>
    </row>
    <row x14ac:dyDescent="0.25" r="895" customHeight="1" ht="15.75">
      <c r="A895" s="1"/>
      <c r="B895" s="34"/>
      <c r="C895" s="34"/>
      <c r="D895" s="34"/>
      <c r="E895" s="29"/>
      <c r="F895" s="34"/>
      <c r="G895" s="34"/>
      <c r="H895" s="34"/>
      <c r="I895" s="29"/>
      <c r="J895" s="29"/>
      <c r="K895" s="29"/>
      <c r="L895" s="29"/>
      <c r="M895" s="34"/>
      <c r="N895" s="34"/>
      <c r="O895" s="29"/>
      <c r="P895" s="29"/>
      <c r="Q895" s="29"/>
      <c r="R895" s="29"/>
      <c r="S895" s="29"/>
      <c r="T895" s="1"/>
      <c r="U895" s="34"/>
      <c r="V895" s="34"/>
    </row>
    <row x14ac:dyDescent="0.25" r="896" customHeight="1" ht="15.75">
      <c r="A896" s="1"/>
      <c r="B896" s="34"/>
      <c r="C896" s="34"/>
      <c r="D896" s="34"/>
      <c r="E896" s="29"/>
      <c r="F896" s="34"/>
      <c r="G896" s="34"/>
      <c r="H896" s="34"/>
      <c r="I896" s="29"/>
      <c r="J896" s="29"/>
      <c r="K896" s="29"/>
      <c r="L896" s="29"/>
      <c r="M896" s="34"/>
      <c r="N896" s="34"/>
      <c r="O896" s="29"/>
      <c r="P896" s="29"/>
      <c r="Q896" s="29"/>
      <c r="R896" s="29"/>
      <c r="S896" s="29"/>
      <c r="T896" s="1"/>
      <c r="U896" s="34"/>
      <c r="V896" s="34"/>
    </row>
    <row x14ac:dyDescent="0.25" r="897" customHeight="1" ht="15.75">
      <c r="A897" s="1"/>
      <c r="B897" s="34"/>
      <c r="C897" s="34"/>
      <c r="D897" s="34"/>
      <c r="E897" s="29"/>
      <c r="F897" s="34"/>
      <c r="G897" s="34"/>
      <c r="H897" s="34"/>
      <c r="I897" s="29"/>
      <c r="J897" s="29"/>
      <c r="K897" s="29"/>
      <c r="L897" s="29"/>
      <c r="M897" s="34"/>
      <c r="N897" s="34"/>
      <c r="O897" s="29"/>
      <c r="P897" s="29"/>
      <c r="Q897" s="29"/>
      <c r="R897" s="29"/>
      <c r="S897" s="29"/>
      <c r="T897" s="1"/>
      <c r="U897" s="34"/>
      <c r="V897" s="34"/>
    </row>
    <row x14ac:dyDescent="0.25" r="898" customHeight="1" ht="15.75">
      <c r="A898" s="1"/>
      <c r="B898" s="34"/>
      <c r="C898" s="34"/>
      <c r="D898" s="34"/>
      <c r="E898" s="29"/>
      <c r="F898" s="34"/>
      <c r="G898" s="34"/>
      <c r="H898" s="34"/>
      <c r="I898" s="29"/>
      <c r="J898" s="29"/>
      <c r="K898" s="29"/>
      <c r="L898" s="29"/>
      <c r="M898" s="34"/>
      <c r="N898" s="34"/>
      <c r="O898" s="29"/>
      <c r="P898" s="29"/>
      <c r="Q898" s="29"/>
      <c r="R898" s="29"/>
      <c r="S898" s="29"/>
      <c r="T898" s="1"/>
      <c r="U898" s="34"/>
      <c r="V898" s="34"/>
    </row>
    <row x14ac:dyDescent="0.25" r="899" customHeight="1" ht="15.75">
      <c r="A899" s="1"/>
      <c r="B899" s="34"/>
      <c r="C899" s="34"/>
      <c r="D899" s="34"/>
      <c r="E899" s="29"/>
      <c r="F899" s="34"/>
      <c r="G899" s="34"/>
      <c r="H899" s="34"/>
      <c r="I899" s="29"/>
      <c r="J899" s="29"/>
      <c r="K899" s="29"/>
      <c r="L899" s="29"/>
      <c r="M899" s="34"/>
      <c r="N899" s="34"/>
      <c r="O899" s="29"/>
      <c r="P899" s="29"/>
      <c r="Q899" s="29"/>
      <c r="R899" s="29"/>
      <c r="S899" s="29"/>
      <c r="T899" s="1"/>
      <c r="U899" s="34"/>
      <c r="V899" s="34"/>
    </row>
    <row x14ac:dyDescent="0.25" r="900" customHeight="1" ht="15.75">
      <c r="A900" s="1"/>
      <c r="B900" s="34"/>
      <c r="C900" s="34"/>
      <c r="D900" s="34"/>
      <c r="E900" s="29"/>
      <c r="F900" s="34"/>
      <c r="G900" s="34"/>
      <c r="H900" s="34"/>
      <c r="I900" s="29"/>
      <c r="J900" s="29"/>
      <c r="K900" s="29"/>
      <c r="L900" s="29"/>
      <c r="M900" s="34"/>
      <c r="N900" s="34"/>
      <c r="O900" s="29"/>
      <c r="P900" s="29"/>
      <c r="Q900" s="29"/>
      <c r="R900" s="29"/>
      <c r="S900" s="29"/>
      <c r="T900" s="1"/>
      <c r="U900" s="34"/>
      <c r="V900" s="34"/>
    </row>
    <row x14ac:dyDescent="0.25" r="901" customHeight="1" ht="15.75">
      <c r="A901" s="1"/>
      <c r="B901" s="34"/>
      <c r="C901" s="34"/>
      <c r="D901" s="34"/>
      <c r="E901" s="29"/>
      <c r="F901" s="34"/>
      <c r="G901" s="34"/>
      <c r="H901" s="34"/>
      <c r="I901" s="29"/>
      <c r="J901" s="29"/>
      <c r="K901" s="29"/>
      <c r="L901" s="29"/>
      <c r="M901" s="34"/>
      <c r="N901" s="34"/>
      <c r="O901" s="29"/>
      <c r="P901" s="29"/>
      <c r="Q901" s="29"/>
      <c r="R901" s="29"/>
      <c r="S901" s="29"/>
      <c r="T901" s="1"/>
      <c r="U901" s="34"/>
      <c r="V901" s="34"/>
    </row>
    <row x14ac:dyDescent="0.25" r="902" customHeight="1" ht="15.75">
      <c r="A902" s="1"/>
      <c r="B902" s="34"/>
      <c r="C902" s="34"/>
      <c r="D902" s="34"/>
      <c r="E902" s="29"/>
      <c r="F902" s="34"/>
      <c r="G902" s="34"/>
      <c r="H902" s="34"/>
      <c r="I902" s="29"/>
      <c r="J902" s="29"/>
      <c r="K902" s="29"/>
      <c r="L902" s="29"/>
      <c r="M902" s="34"/>
      <c r="N902" s="34"/>
      <c r="O902" s="29"/>
      <c r="P902" s="29"/>
      <c r="Q902" s="29"/>
      <c r="R902" s="29"/>
      <c r="S902" s="29"/>
      <c r="T902" s="1"/>
      <c r="U902" s="34"/>
      <c r="V902" s="34"/>
    </row>
    <row x14ac:dyDescent="0.25" r="903" customHeight="1" ht="15.75">
      <c r="A903" s="1"/>
      <c r="B903" s="34"/>
      <c r="C903" s="34"/>
      <c r="D903" s="34"/>
      <c r="E903" s="29"/>
      <c r="F903" s="34"/>
      <c r="G903" s="34"/>
      <c r="H903" s="34"/>
      <c r="I903" s="29"/>
      <c r="J903" s="29"/>
      <c r="K903" s="29"/>
      <c r="L903" s="29"/>
      <c r="M903" s="34"/>
      <c r="N903" s="34"/>
      <c r="O903" s="29"/>
      <c r="P903" s="29"/>
      <c r="Q903" s="29"/>
      <c r="R903" s="29"/>
      <c r="S903" s="29"/>
      <c r="T903" s="1"/>
      <c r="U903" s="34"/>
      <c r="V903" s="34"/>
    </row>
    <row x14ac:dyDescent="0.25" r="904" customHeight="1" ht="15.75">
      <c r="A904" s="1"/>
      <c r="B904" s="34"/>
      <c r="C904" s="34"/>
      <c r="D904" s="34"/>
      <c r="E904" s="29"/>
      <c r="F904" s="34"/>
      <c r="G904" s="34"/>
      <c r="H904" s="34"/>
      <c r="I904" s="29"/>
      <c r="J904" s="29"/>
      <c r="K904" s="29"/>
      <c r="L904" s="29"/>
      <c r="M904" s="34"/>
      <c r="N904" s="34"/>
      <c r="O904" s="29"/>
      <c r="P904" s="29"/>
      <c r="Q904" s="29"/>
      <c r="R904" s="29"/>
      <c r="S904" s="29"/>
      <c r="T904" s="1"/>
      <c r="U904" s="34"/>
      <c r="V904" s="34"/>
    </row>
    <row x14ac:dyDescent="0.25" r="905" customHeight="1" ht="15.75">
      <c r="A905" s="1"/>
      <c r="B905" s="34"/>
      <c r="C905" s="34"/>
      <c r="D905" s="34"/>
      <c r="E905" s="29"/>
      <c r="F905" s="34"/>
      <c r="G905" s="34"/>
      <c r="H905" s="34"/>
      <c r="I905" s="29"/>
      <c r="J905" s="29"/>
      <c r="K905" s="29"/>
      <c r="L905" s="29"/>
      <c r="M905" s="34"/>
      <c r="N905" s="34"/>
      <c r="O905" s="29"/>
      <c r="P905" s="29"/>
      <c r="Q905" s="29"/>
      <c r="R905" s="29"/>
      <c r="S905" s="29"/>
      <c r="T905" s="1"/>
      <c r="U905" s="34"/>
      <c r="V905" s="34"/>
    </row>
    <row x14ac:dyDescent="0.25" r="906" customHeight="1" ht="15.75">
      <c r="A906" s="1"/>
      <c r="B906" s="34"/>
      <c r="C906" s="34"/>
      <c r="D906" s="34"/>
      <c r="E906" s="29"/>
      <c r="F906" s="34"/>
      <c r="G906" s="34"/>
      <c r="H906" s="34"/>
      <c r="I906" s="29"/>
      <c r="J906" s="29"/>
      <c r="K906" s="29"/>
      <c r="L906" s="29"/>
      <c r="M906" s="34"/>
      <c r="N906" s="34"/>
      <c r="O906" s="29"/>
      <c r="P906" s="29"/>
      <c r="Q906" s="29"/>
      <c r="R906" s="29"/>
      <c r="S906" s="29"/>
      <c r="T906" s="1"/>
      <c r="U906" s="34"/>
      <c r="V906" s="34"/>
    </row>
    <row x14ac:dyDescent="0.25" r="907" customHeight="1" ht="15.75">
      <c r="A907" s="1"/>
      <c r="B907" s="34"/>
      <c r="C907" s="34"/>
      <c r="D907" s="34"/>
      <c r="E907" s="29"/>
      <c r="F907" s="34"/>
      <c r="G907" s="34"/>
      <c r="H907" s="34"/>
      <c r="I907" s="29"/>
      <c r="J907" s="29"/>
      <c r="K907" s="29"/>
      <c r="L907" s="29"/>
      <c r="M907" s="34"/>
      <c r="N907" s="34"/>
      <c r="O907" s="29"/>
      <c r="P907" s="29"/>
      <c r="Q907" s="29"/>
      <c r="R907" s="29"/>
      <c r="S907" s="29"/>
      <c r="T907" s="1"/>
      <c r="U907" s="34"/>
      <c r="V907" s="34"/>
    </row>
    <row x14ac:dyDescent="0.25" r="908" customHeight="1" ht="15.75">
      <c r="A908" s="1"/>
      <c r="B908" s="34"/>
      <c r="C908" s="34"/>
      <c r="D908" s="34"/>
      <c r="E908" s="29"/>
      <c r="F908" s="34"/>
      <c r="G908" s="34"/>
      <c r="H908" s="34"/>
      <c r="I908" s="29"/>
      <c r="J908" s="29"/>
      <c r="K908" s="29"/>
      <c r="L908" s="29"/>
      <c r="M908" s="34"/>
      <c r="N908" s="34"/>
      <c r="O908" s="29"/>
      <c r="P908" s="29"/>
      <c r="Q908" s="29"/>
      <c r="R908" s="29"/>
      <c r="S908" s="29"/>
      <c r="T908" s="1"/>
      <c r="U908" s="34"/>
      <c r="V908" s="34"/>
    </row>
    <row x14ac:dyDescent="0.25" r="909" customHeight="1" ht="15.75">
      <c r="A909" s="1"/>
      <c r="B909" s="34"/>
      <c r="C909" s="34"/>
      <c r="D909" s="34"/>
      <c r="E909" s="29"/>
      <c r="F909" s="34"/>
      <c r="G909" s="34"/>
      <c r="H909" s="34"/>
      <c r="I909" s="29"/>
      <c r="J909" s="29"/>
      <c r="K909" s="29"/>
      <c r="L909" s="29"/>
      <c r="M909" s="34"/>
      <c r="N909" s="34"/>
      <c r="O909" s="29"/>
      <c r="P909" s="29"/>
      <c r="Q909" s="29"/>
      <c r="R909" s="29"/>
      <c r="S909" s="29"/>
      <c r="T909" s="1"/>
      <c r="U909" s="34"/>
      <c r="V909" s="34"/>
    </row>
    <row x14ac:dyDescent="0.25" r="910" customHeight="1" ht="15.75">
      <c r="A910" s="1"/>
      <c r="B910" s="34"/>
      <c r="C910" s="34"/>
      <c r="D910" s="34"/>
      <c r="E910" s="29"/>
      <c r="F910" s="34"/>
      <c r="G910" s="34"/>
      <c r="H910" s="34"/>
      <c r="I910" s="29"/>
      <c r="J910" s="29"/>
      <c r="K910" s="29"/>
      <c r="L910" s="29"/>
      <c r="M910" s="34"/>
      <c r="N910" s="34"/>
      <c r="O910" s="29"/>
      <c r="P910" s="29"/>
      <c r="Q910" s="29"/>
      <c r="R910" s="29"/>
      <c r="S910" s="29"/>
      <c r="T910" s="1"/>
      <c r="U910" s="34"/>
      <c r="V910" s="34"/>
    </row>
    <row x14ac:dyDescent="0.25" r="911" customHeight="1" ht="15.75">
      <c r="A911" s="1"/>
      <c r="B911" s="34"/>
      <c r="C911" s="34"/>
      <c r="D911" s="34"/>
      <c r="E911" s="29"/>
      <c r="F911" s="34"/>
      <c r="G911" s="34"/>
      <c r="H911" s="34"/>
      <c r="I911" s="29"/>
      <c r="J911" s="29"/>
      <c r="K911" s="29"/>
      <c r="L911" s="29"/>
      <c r="M911" s="34"/>
      <c r="N911" s="34"/>
      <c r="O911" s="29"/>
      <c r="P911" s="29"/>
      <c r="Q911" s="29"/>
      <c r="R911" s="29"/>
      <c r="S911" s="29"/>
      <c r="T911" s="1"/>
      <c r="U911" s="34"/>
      <c r="V911" s="34"/>
    </row>
    <row x14ac:dyDescent="0.25" r="912" customHeight="1" ht="15.75">
      <c r="A912" s="1"/>
      <c r="B912" s="34"/>
      <c r="C912" s="34"/>
      <c r="D912" s="34"/>
      <c r="E912" s="29"/>
      <c r="F912" s="34"/>
      <c r="G912" s="34"/>
      <c r="H912" s="34"/>
      <c r="I912" s="29"/>
      <c r="J912" s="29"/>
      <c r="K912" s="29"/>
      <c r="L912" s="29"/>
      <c r="M912" s="34"/>
      <c r="N912" s="34"/>
      <c r="O912" s="29"/>
      <c r="P912" s="29"/>
      <c r="Q912" s="29"/>
      <c r="R912" s="29"/>
      <c r="S912" s="29"/>
      <c r="T912" s="1"/>
      <c r="U912" s="34"/>
      <c r="V912" s="34"/>
    </row>
    <row x14ac:dyDescent="0.25" r="913" customHeight="1" ht="15.75">
      <c r="A913" s="1"/>
      <c r="B913" s="34"/>
      <c r="C913" s="34"/>
      <c r="D913" s="34"/>
      <c r="E913" s="29"/>
      <c r="F913" s="34"/>
      <c r="G913" s="34"/>
      <c r="H913" s="34"/>
      <c r="I913" s="29"/>
      <c r="J913" s="29"/>
      <c r="K913" s="29"/>
      <c r="L913" s="29"/>
      <c r="M913" s="34"/>
      <c r="N913" s="34"/>
      <c r="O913" s="29"/>
      <c r="P913" s="29"/>
      <c r="Q913" s="29"/>
      <c r="R913" s="29"/>
      <c r="S913" s="29"/>
      <c r="T913" s="1"/>
      <c r="U913" s="34"/>
      <c r="V913" s="34"/>
    </row>
    <row x14ac:dyDescent="0.25" r="914" customHeight="1" ht="15.75">
      <c r="A914" s="1"/>
      <c r="B914" s="34"/>
      <c r="C914" s="34"/>
      <c r="D914" s="34"/>
      <c r="E914" s="29"/>
      <c r="F914" s="34"/>
      <c r="G914" s="34"/>
      <c r="H914" s="34"/>
      <c r="I914" s="29"/>
      <c r="J914" s="29"/>
      <c r="K914" s="29"/>
      <c r="L914" s="29"/>
      <c r="M914" s="34"/>
      <c r="N914" s="34"/>
      <c r="O914" s="29"/>
      <c r="P914" s="29"/>
      <c r="Q914" s="29"/>
      <c r="R914" s="29"/>
      <c r="S914" s="29"/>
      <c r="T914" s="1"/>
      <c r="U914" s="34"/>
      <c r="V914" s="34"/>
    </row>
    <row x14ac:dyDescent="0.25" r="915" customHeight="1" ht="15.75">
      <c r="A915" s="1"/>
      <c r="B915" s="34"/>
      <c r="C915" s="34"/>
      <c r="D915" s="34"/>
      <c r="E915" s="29"/>
      <c r="F915" s="34"/>
      <c r="G915" s="34"/>
      <c r="H915" s="34"/>
      <c r="I915" s="29"/>
      <c r="J915" s="29"/>
      <c r="K915" s="29"/>
      <c r="L915" s="29"/>
      <c r="M915" s="34"/>
      <c r="N915" s="34"/>
      <c r="O915" s="29"/>
      <c r="P915" s="29"/>
      <c r="Q915" s="29"/>
      <c r="R915" s="29"/>
      <c r="S915" s="29"/>
      <c r="T915" s="1"/>
      <c r="U915" s="34"/>
      <c r="V915" s="34"/>
    </row>
    <row x14ac:dyDescent="0.25" r="916" customHeight="1" ht="15.75">
      <c r="A916" s="1"/>
      <c r="B916" s="34"/>
      <c r="C916" s="34"/>
      <c r="D916" s="34"/>
      <c r="E916" s="29"/>
      <c r="F916" s="34"/>
      <c r="G916" s="34"/>
      <c r="H916" s="34"/>
      <c r="I916" s="29"/>
      <c r="J916" s="29"/>
      <c r="K916" s="29"/>
      <c r="L916" s="29"/>
      <c r="M916" s="34"/>
      <c r="N916" s="34"/>
      <c r="O916" s="29"/>
      <c r="P916" s="29"/>
      <c r="Q916" s="29"/>
      <c r="R916" s="29"/>
      <c r="S916" s="29"/>
      <c r="T916" s="1"/>
      <c r="U916" s="34"/>
      <c r="V916" s="34"/>
    </row>
    <row x14ac:dyDescent="0.25" r="917" customHeight="1" ht="15.75">
      <c r="A917" s="1"/>
      <c r="B917" s="34"/>
      <c r="C917" s="34"/>
      <c r="D917" s="34"/>
      <c r="E917" s="29"/>
      <c r="F917" s="34"/>
      <c r="G917" s="34"/>
      <c r="H917" s="34"/>
      <c r="I917" s="29"/>
      <c r="J917" s="29"/>
      <c r="K917" s="29"/>
      <c r="L917" s="29"/>
      <c r="M917" s="34"/>
      <c r="N917" s="34"/>
      <c r="O917" s="29"/>
      <c r="P917" s="29"/>
      <c r="Q917" s="29"/>
      <c r="R917" s="29"/>
      <c r="S917" s="29"/>
      <c r="T917" s="1"/>
      <c r="U917" s="34"/>
      <c r="V917" s="34"/>
    </row>
    <row x14ac:dyDescent="0.25" r="918" customHeight="1" ht="15.75">
      <c r="A918" s="1"/>
      <c r="B918" s="34"/>
      <c r="C918" s="34"/>
      <c r="D918" s="34"/>
      <c r="E918" s="29"/>
      <c r="F918" s="34"/>
      <c r="G918" s="34"/>
      <c r="H918" s="34"/>
      <c r="I918" s="29"/>
      <c r="J918" s="29"/>
      <c r="K918" s="29"/>
      <c r="L918" s="29"/>
      <c r="M918" s="34"/>
      <c r="N918" s="34"/>
      <c r="O918" s="29"/>
      <c r="P918" s="29"/>
      <c r="Q918" s="29"/>
      <c r="R918" s="29"/>
      <c r="S918" s="29"/>
      <c r="T918" s="1"/>
      <c r="U918" s="34"/>
      <c r="V918" s="34"/>
    </row>
    <row x14ac:dyDescent="0.25" r="919" customHeight="1" ht="15.75">
      <c r="A919" s="1"/>
      <c r="B919" s="34"/>
      <c r="C919" s="34"/>
      <c r="D919" s="34"/>
      <c r="E919" s="29"/>
      <c r="F919" s="34"/>
      <c r="G919" s="34"/>
      <c r="H919" s="34"/>
      <c r="I919" s="29"/>
      <c r="J919" s="29"/>
      <c r="K919" s="29"/>
      <c r="L919" s="29"/>
      <c r="M919" s="34"/>
      <c r="N919" s="34"/>
      <c r="O919" s="29"/>
      <c r="P919" s="29"/>
      <c r="Q919" s="29"/>
      <c r="R919" s="29"/>
      <c r="S919" s="29"/>
      <c r="T919" s="1"/>
      <c r="U919" s="34"/>
      <c r="V919" s="34"/>
    </row>
    <row x14ac:dyDescent="0.25" r="920" customHeight="1" ht="15.75">
      <c r="A920" s="1"/>
      <c r="B920" s="34"/>
      <c r="C920" s="34"/>
      <c r="D920" s="34"/>
      <c r="E920" s="29"/>
      <c r="F920" s="34"/>
      <c r="G920" s="34"/>
      <c r="H920" s="34"/>
      <c r="I920" s="29"/>
      <c r="J920" s="29"/>
      <c r="K920" s="29"/>
      <c r="L920" s="29"/>
      <c r="M920" s="34"/>
      <c r="N920" s="34"/>
      <c r="O920" s="29"/>
      <c r="P920" s="29"/>
      <c r="Q920" s="29"/>
      <c r="R920" s="29"/>
      <c r="S920" s="29"/>
      <c r="T920" s="1"/>
      <c r="U920" s="34"/>
      <c r="V920" s="34"/>
    </row>
    <row x14ac:dyDescent="0.25" r="921" customHeight="1" ht="15.75">
      <c r="A921" s="1"/>
      <c r="B921" s="34"/>
      <c r="C921" s="34"/>
      <c r="D921" s="34"/>
      <c r="E921" s="29"/>
      <c r="F921" s="34"/>
      <c r="G921" s="34"/>
      <c r="H921" s="34"/>
      <c r="I921" s="29"/>
      <c r="J921" s="29"/>
      <c r="K921" s="29"/>
      <c r="L921" s="29"/>
      <c r="M921" s="34"/>
      <c r="N921" s="34"/>
      <c r="O921" s="29"/>
      <c r="P921" s="29"/>
      <c r="Q921" s="29"/>
      <c r="R921" s="29"/>
      <c r="S921" s="29"/>
      <c r="T921" s="1"/>
      <c r="U921" s="34"/>
      <c r="V921" s="34"/>
    </row>
    <row x14ac:dyDescent="0.25" r="922" customHeight="1" ht="15.75">
      <c r="A922" s="1"/>
      <c r="B922" s="34"/>
      <c r="C922" s="34"/>
      <c r="D922" s="34"/>
      <c r="E922" s="29"/>
      <c r="F922" s="34"/>
      <c r="G922" s="34"/>
      <c r="H922" s="34"/>
      <c r="I922" s="29"/>
      <c r="J922" s="29"/>
      <c r="K922" s="29"/>
      <c r="L922" s="29"/>
      <c r="M922" s="34"/>
      <c r="N922" s="34"/>
      <c r="O922" s="29"/>
      <c r="P922" s="29"/>
      <c r="Q922" s="29"/>
      <c r="R922" s="29"/>
      <c r="S922" s="29"/>
      <c r="T922" s="1"/>
      <c r="U922" s="34"/>
      <c r="V922" s="34"/>
    </row>
    <row x14ac:dyDescent="0.25" r="923" customHeight="1" ht="15.75">
      <c r="A923" s="1"/>
      <c r="B923" s="34"/>
      <c r="C923" s="34"/>
      <c r="D923" s="34"/>
      <c r="E923" s="29"/>
      <c r="F923" s="34"/>
      <c r="G923" s="34"/>
      <c r="H923" s="34"/>
      <c r="I923" s="29"/>
      <c r="J923" s="29"/>
      <c r="K923" s="29"/>
      <c r="L923" s="29"/>
      <c r="M923" s="34"/>
      <c r="N923" s="34"/>
      <c r="O923" s="29"/>
      <c r="P923" s="29"/>
      <c r="Q923" s="29"/>
      <c r="R923" s="29"/>
      <c r="S923" s="29"/>
      <c r="T923" s="1"/>
      <c r="U923" s="34"/>
      <c r="V923" s="34"/>
    </row>
    <row x14ac:dyDescent="0.25" r="924" customHeight="1" ht="15.75">
      <c r="A924" s="1"/>
      <c r="B924" s="34"/>
      <c r="C924" s="34"/>
      <c r="D924" s="34"/>
      <c r="E924" s="29"/>
      <c r="F924" s="34"/>
      <c r="G924" s="34"/>
      <c r="H924" s="34"/>
      <c r="I924" s="29"/>
      <c r="J924" s="29"/>
      <c r="K924" s="29"/>
      <c r="L924" s="29"/>
      <c r="M924" s="34"/>
      <c r="N924" s="34"/>
      <c r="O924" s="29"/>
      <c r="P924" s="29"/>
      <c r="Q924" s="29"/>
      <c r="R924" s="29"/>
      <c r="S924" s="29"/>
      <c r="T924" s="1"/>
      <c r="U924" s="34"/>
      <c r="V924" s="34"/>
    </row>
    <row x14ac:dyDescent="0.25" r="925" customHeight="1" ht="15.75">
      <c r="A925" s="1"/>
      <c r="B925" s="34"/>
      <c r="C925" s="34"/>
      <c r="D925" s="34"/>
      <c r="E925" s="29"/>
      <c r="F925" s="34"/>
      <c r="G925" s="34"/>
      <c r="H925" s="34"/>
      <c r="I925" s="29"/>
      <c r="J925" s="29"/>
      <c r="K925" s="29"/>
      <c r="L925" s="29"/>
      <c r="M925" s="34"/>
      <c r="N925" s="34"/>
      <c r="O925" s="29"/>
      <c r="P925" s="29"/>
      <c r="Q925" s="29"/>
      <c r="R925" s="29"/>
      <c r="S925" s="29"/>
      <c r="T925" s="1"/>
      <c r="U925" s="34"/>
      <c r="V925" s="34"/>
    </row>
    <row x14ac:dyDescent="0.25" r="926" customHeight="1" ht="15.75">
      <c r="A926" s="1"/>
      <c r="B926" s="34"/>
      <c r="C926" s="34"/>
      <c r="D926" s="34"/>
      <c r="E926" s="29"/>
      <c r="F926" s="34"/>
      <c r="G926" s="34"/>
      <c r="H926" s="34"/>
      <c r="I926" s="29"/>
      <c r="J926" s="29"/>
      <c r="K926" s="29"/>
      <c r="L926" s="29"/>
      <c r="M926" s="34"/>
      <c r="N926" s="34"/>
      <c r="O926" s="29"/>
      <c r="P926" s="29"/>
      <c r="Q926" s="29"/>
      <c r="R926" s="29"/>
      <c r="S926" s="29"/>
      <c r="T926" s="1"/>
      <c r="U926" s="34"/>
      <c r="V926" s="34"/>
    </row>
    <row x14ac:dyDescent="0.25" r="927" customHeight="1" ht="15.75">
      <c r="A927" s="1"/>
      <c r="B927" s="34"/>
      <c r="C927" s="34"/>
      <c r="D927" s="34"/>
      <c r="E927" s="29"/>
      <c r="F927" s="34"/>
      <c r="G927" s="34"/>
      <c r="H927" s="34"/>
      <c r="I927" s="29"/>
      <c r="J927" s="29"/>
      <c r="K927" s="29"/>
      <c r="L927" s="29"/>
      <c r="M927" s="34"/>
      <c r="N927" s="34"/>
      <c r="O927" s="29"/>
      <c r="P927" s="29"/>
      <c r="Q927" s="29"/>
      <c r="R927" s="29"/>
      <c r="S927" s="29"/>
      <c r="T927" s="1"/>
      <c r="U927" s="34"/>
      <c r="V927" s="34"/>
    </row>
    <row x14ac:dyDescent="0.25" r="928" customHeight="1" ht="15.75">
      <c r="A928" s="1"/>
      <c r="B928" s="34"/>
      <c r="C928" s="34"/>
      <c r="D928" s="34"/>
      <c r="E928" s="29"/>
      <c r="F928" s="34"/>
      <c r="G928" s="34"/>
      <c r="H928" s="34"/>
      <c r="I928" s="29"/>
      <c r="J928" s="29"/>
      <c r="K928" s="29"/>
      <c r="L928" s="29"/>
      <c r="M928" s="34"/>
      <c r="N928" s="34"/>
      <c r="O928" s="29"/>
      <c r="P928" s="29"/>
      <c r="Q928" s="29"/>
      <c r="R928" s="29"/>
      <c r="S928" s="29"/>
      <c r="T928" s="1"/>
      <c r="U928" s="34"/>
      <c r="V928" s="34"/>
    </row>
    <row x14ac:dyDescent="0.25" r="929" customHeight="1" ht="15.75">
      <c r="A929" s="1"/>
      <c r="B929" s="34"/>
      <c r="C929" s="34"/>
      <c r="D929" s="34"/>
      <c r="E929" s="29"/>
      <c r="F929" s="34"/>
      <c r="G929" s="34"/>
      <c r="H929" s="34"/>
      <c r="I929" s="29"/>
      <c r="J929" s="29"/>
      <c r="K929" s="29"/>
      <c r="L929" s="29"/>
      <c r="M929" s="34"/>
      <c r="N929" s="34"/>
      <c r="O929" s="29"/>
      <c r="P929" s="29"/>
      <c r="Q929" s="29"/>
      <c r="R929" s="29"/>
      <c r="S929" s="29"/>
      <c r="T929" s="1"/>
      <c r="U929" s="34"/>
      <c r="V929" s="34"/>
    </row>
    <row x14ac:dyDescent="0.25" r="930" customHeight="1" ht="15.75">
      <c r="A930" s="1"/>
      <c r="B930" s="34"/>
      <c r="C930" s="34"/>
      <c r="D930" s="34"/>
      <c r="E930" s="29"/>
      <c r="F930" s="34"/>
      <c r="G930" s="34"/>
      <c r="H930" s="34"/>
      <c r="I930" s="29"/>
      <c r="J930" s="29"/>
      <c r="K930" s="29"/>
      <c r="L930" s="29"/>
      <c r="M930" s="34"/>
      <c r="N930" s="34"/>
      <c r="O930" s="29"/>
      <c r="P930" s="29"/>
      <c r="Q930" s="29"/>
      <c r="R930" s="29"/>
      <c r="S930" s="29"/>
      <c r="T930" s="1"/>
      <c r="U930" s="34"/>
      <c r="V930" s="34"/>
    </row>
    <row x14ac:dyDescent="0.25" r="931" customHeight="1" ht="15.75">
      <c r="A931" s="1"/>
      <c r="B931" s="34"/>
      <c r="C931" s="34"/>
      <c r="D931" s="34"/>
      <c r="E931" s="29"/>
      <c r="F931" s="34"/>
      <c r="G931" s="34"/>
      <c r="H931" s="34"/>
      <c r="I931" s="29"/>
      <c r="J931" s="29"/>
      <c r="K931" s="29"/>
      <c r="L931" s="29"/>
      <c r="M931" s="34"/>
      <c r="N931" s="34"/>
      <c r="O931" s="29"/>
      <c r="P931" s="29"/>
      <c r="Q931" s="29"/>
      <c r="R931" s="29"/>
      <c r="S931" s="29"/>
      <c r="T931" s="1"/>
      <c r="U931" s="34"/>
      <c r="V931" s="34"/>
    </row>
    <row x14ac:dyDescent="0.25" r="932" customHeight="1" ht="15.75">
      <c r="A932" s="1"/>
      <c r="B932" s="34"/>
      <c r="C932" s="34"/>
      <c r="D932" s="34"/>
      <c r="E932" s="29"/>
      <c r="F932" s="34"/>
      <c r="G932" s="34"/>
      <c r="H932" s="34"/>
      <c r="I932" s="29"/>
      <c r="J932" s="29"/>
      <c r="K932" s="29"/>
      <c r="L932" s="29"/>
      <c r="M932" s="34"/>
      <c r="N932" s="34"/>
      <c r="O932" s="29"/>
      <c r="P932" s="29"/>
      <c r="Q932" s="29"/>
      <c r="R932" s="29"/>
      <c r="S932" s="29"/>
      <c r="T932" s="1"/>
      <c r="U932" s="34"/>
      <c r="V932" s="34"/>
    </row>
    <row x14ac:dyDescent="0.25" r="933" customHeight="1" ht="15.75">
      <c r="A933" s="1"/>
      <c r="B933" s="34"/>
      <c r="C933" s="34"/>
      <c r="D933" s="34"/>
      <c r="E933" s="29"/>
      <c r="F933" s="34"/>
      <c r="G933" s="34"/>
      <c r="H933" s="34"/>
      <c r="I933" s="29"/>
      <c r="J933" s="29"/>
      <c r="K933" s="29"/>
      <c r="L933" s="29"/>
      <c r="M933" s="34"/>
      <c r="N933" s="34"/>
      <c r="O933" s="29"/>
      <c r="P933" s="29"/>
      <c r="Q933" s="29"/>
      <c r="R933" s="29"/>
      <c r="S933" s="29"/>
      <c r="T933" s="1"/>
      <c r="U933" s="34"/>
      <c r="V933" s="34"/>
    </row>
    <row x14ac:dyDescent="0.25" r="934" customHeight="1" ht="15.75">
      <c r="A934" s="1"/>
      <c r="B934" s="34"/>
      <c r="C934" s="34"/>
      <c r="D934" s="34"/>
      <c r="E934" s="29"/>
      <c r="F934" s="34"/>
      <c r="G934" s="34"/>
      <c r="H934" s="34"/>
      <c r="I934" s="29"/>
      <c r="J934" s="29"/>
      <c r="K934" s="29"/>
      <c r="L934" s="29"/>
      <c r="M934" s="34"/>
      <c r="N934" s="34"/>
      <c r="O934" s="29"/>
      <c r="P934" s="29"/>
      <c r="Q934" s="29"/>
      <c r="R934" s="29"/>
      <c r="S934" s="29"/>
      <c r="T934" s="1"/>
      <c r="U934" s="34"/>
      <c r="V934" s="34"/>
    </row>
    <row x14ac:dyDescent="0.25" r="935" customHeight="1" ht="15.75">
      <c r="A935" s="1"/>
      <c r="B935" s="34"/>
      <c r="C935" s="34"/>
      <c r="D935" s="34"/>
      <c r="E935" s="29"/>
      <c r="F935" s="34"/>
      <c r="G935" s="34"/>
      <c r="H935" s="34"/>
      <c r="I935" s="29"/>
      <c r="J935" s="29"/>
      <c r="K935" s="29"/>
      <c r="L935" s="29"/>
      <c r="M935" s="34"/>
      <c r="N935" s="34"/>
      <c r="O935" s="29"/>
      <c r="P935" s="29"/>
      <c r="Q935" s="29"/>
      <c r="R935" s="29"/>
      <c r="S935" s="29"/>
      <c r="T935" s="1"/>
      <c r="U935" s="34"/>
      <c r="V935" s="34"/>
    </row>
    <row x14ac:dyDescent="0.25" r="936" customHeight="1" ht="15.75">
      <c r="A936" s="1"/>
      <c r="B936" s="34"/>
      <c r="C936" s="34"/>
      <c r="D936" s="34"/>
      <c r="E936" s="29"/>
      <c r="F936" s="34"/>
      <c r="G936" s="34"/>
      <c r="H936" s="34"/>
      <c r="I936" s="29"/>
      <c r="J936" s="29"/>
      <c r="K936" s="29"/>
      <c r="L936" s="29"/>
      <c r="M936" s="34"/>
      <c r="N936" s="34"/>
      <c r="O936" s="29"/>
      <c r="P936" s="29"/>
      <c r="Q936" s="29"/>
      <c r="R936" s="29"/>
      <c r="S936" s="29"/>
      <c r="T936" s="1"/>
      <c r="U936" s="34"/>
      <c r="V936" s="34"/>
    </row>
    <row x14ac:dyDescent="0.25" r="937" customHeight="1" ht="15.75">
      <c r="A937" s="1"/>
      <c r="B937" s="34"/>
      <c r="C937" s="34"/>
      <c r="D937" s="34"/>
      <c r="E937" s="29"/>
      <c r="F937" s="34"/>
      <c r="G937" s="34"/>
      <c r="H937" s="34"/>
      <c r="I937" s="29"/>
      <c r="J937" s="29"/>
      <c r="K937" s="29"/>
      <c r="L937" s="29"/>
      <c r="M937" s="34"/>
      <c r="N937" s="34"/>
      <c r="O937" s="29"/>
      <c r="P937" s="29"/>
      <c r="Q937" s="29"/>
      <c r="R937" s="29"/>
      <c r="S937" s="29"/>
      <c r="T937" s="1"/>
      <c r="U937" s="34"/>
      <c r="V937" s="34"/>
    </row>
    <row x14ac:dyDescent="0.25" r="938" customHeight="1" ht="15.75">
      <c r="A938" s="1"/>
      <c r="B938" s="34"/>
      <c r="C938" s="34"/>
      <c r="D938" s="34"/>
      <c r="E938" s="29"/>
      <c r="F938" s="34"/>
      <c r="G938" s="34"/>
      <c r="H938" s="34"/>
      <c r="I938" s="29"/>
      <c r="J938" s="29"/>
      <c r="K938" s="29"/>
      <c r="L938" s="29"/>
      <c r="M938" s="34"/>
      <c r="N938" s="34"/>
      <c r="O938" s="29"/>
      <c r="P938" s="29"/>
      <c r="Q938" s="29"/>
      <c r="R938" s="29"/>
      <c r="S938" s="29"/>
      <c r="T938" s="1"/>
      <c r="U938" s="34"/>
      <c r="V938" s="34"/>
    </row>
    <row x14ac:dyDescent="0.25" r="939" customHeight="1" ht="15.75">
      <c r="A939" s="1"/>
      <c r="B939" s="34"/>
      <c r="C939" s="34"/>
      <c r="D939" s="34"/>
      <c r="E939" s="29"/>
      <c r="F939" s="34"/>
      <c r="G939" s="34"/>
      <c r="H939" s="34"/>
      <c r="I939" s="29"/>
      <c r="J939" s="29"/>
      <c r="K939" s="29"/>
      <c r="L939" s="29"/>
      <c r="M939" s="34"/>
      <c r="N939" s="34"/>
      <c r="O939" s="29"/>
      <c r="P939" s="29"/>
      <c r="Q939" s="29"/>
      <c r="R939" s="29"/>
      <c r="S939" s="29"/>
      <c r="T939" s="1"/>
      <c r="U939" s="34"/>
      <c r="V939" s="34"/>
    </row>
    <row x14ac:dyDescent="0.25" r="940" customHeight="1" ht="15.75">
      <c r="A940" s="1"/>
      <c r="B940" s="34"/>
      <c r="C940" s="34"/>
      <c r="D940" s="34"/>
      <c r="E940" s="29"/>
      <c r="F940" s="34"/>
      <c r="G940" s="34"/>
      <c r="H940" s="34"/>
      <c r="I940" s="29"/>
      <c r="J940" s="29"/>
      <c r="K940" s="29"/>
      <c r="L940" s="29"/>
      <c r="M940" s="34"/>
      <c r="N940" s="34"/>
      <c r="O940" s="29"/>
      <c r="P940" s="29"/>
      <c r="Q940" s="29"/>
      <c r="R940" s="29"/>
      <c r="S940" s="29"/>
      <c r="T940" s="1"/>
      <c r="U940" s="34"/>
      <c r="V940" s="34"/>
    </row>
    <row x14ac:dyDescent="0.25" r="941" customHeight="1" ht="15.75">
      <c r="A941" s="1"/>
      <c r="B941" s="34"/>
      <c r="C941" s="34"/>
      <c r="D941" s="34"/>
      <c r="E941" s="29"/>
      <c r="F941" s="34"/>
      <c r="G941" s="34"/>
      <c r="H941" s="34"/>
      <c r="I941" s="29"/>
      <c r="J941" s="29"/>
      <c r="K941" s="29"/>
      <c r="L941" s="29"/>
      <c r="M941" s="34"/>
      <c r="N941" s="34"/>
      <c r="O941" s="29"/>
      <c r="P941" s="29"/>
      <c r="Q941" s="29"/>
      <c r="R941" s="29"/>
      <c r="S941" s="29"/>
      <c r="T941" s="1"/>
      <c r="U941" s="34"/>
      <c r="V941" s="34"/>
    </row>
    <row x14ac:dyDescent="0.25" r="942" customHeight="1" ht="15.75">
      <c r="A942" s="1"/>
      <c r="B942" s="34"/>
      <c r="C942" s="34"/>
      <c r="D942" s="34"/>
      <c r="E942" s="29"/>
      <c r="F942" s="34"/>
      <c r="G942" s="34"/>
      <c r="H942" s="34"/>
      <c r="I942" s="29"/>
      <c r="J942" s="29"/>
      <c r="K942" s="29"/>
      <c r="L942" s="29"/>
      <c r="M942" s="34"/>
      <c r="N942" s="34"/>
      <c r="O942" s="29"/>
      <c r="P942" s="29"/>
      <c r="Q942" s="29"/>
      <c r="R942" s="29"/>
      <c r="S942" s="29"/>
      <c r="T942" s="1"/>
      <c r="U942" s="34"/>
      <c r="V942" s="34"/>
    </row>
    <row x14ac:dyDescent="0.25" r="943" customHeight="1" ht="15.75">
      <c r="A943" s="1"/>
      <c r="B943" s="34"/>
      <c r="C943" s="34"/>
      <c r="D943" s="34"/>
      <c r="E943" s="29"/>
      <c r="F943" s="34"/>
      <c r="G943" s="34"/>
      <c r="H943" s="34"/>
      <c r="I943" s="29"/>
      <c r="J943" s="29"/>
      <c r="K943" s="29"/>
      <c r="L943" s="29"/>
      <c r="M943" s="34"/>
      <c r="N943" s="34"/>
      <c r="O943" s="29"/>
      <c r="P943" s="29"/>
      <c r="Q943" s="29"/>
      <c r="R943" s="29"/>
      <c r="S943" s="29"/>
      <c r="T943" s="1"/>
      <c r="U943" s="34"/>
      <c r="V943" s="34"/>
    </row>
    <row x14ac:dyDescent="0.25" r="944" customHeight="1" ht="15.75">
      <c r="A944" s="1"/>
      <c r="B944" s="34"/>
      <c r="C944" s="34"/>
      <c r="D944" s="34"/>
      <c r="E944" s="29"/>
      <c r="F944" s="34"/>
      <c r="G944" s="34"/>
      <c r="H944" s="34"/>
      <c r="I944" s="29"/>
      <c r="J944" s="29"/>
      <c r="K944" s="29"/>
      <c r="L944" s="29"/>
      <c r="M944" s="34"/>
      <c r="N944" s="34"/>
      <c r="O944" s="29"/>
      <c r="P944" s="29"/>
      <c r="Q944" s="29"/>
      <c r="R944" s="29"/>
      <c r="S944" s="29"/>
      <c r="T944" s="1"/>
      <c r="U944" s="34"/>
      <c r="V944" s="34"/>
    </row>
    <row x14ac:dyDescent="0.25" r="945" customHeight="1" ht="15.75">
      <c r="A945" s="1"/>
      <c r="B945" s="34"/>
      <c r="C945" s="34"/>
      <c r="D945" s="34"/>
      <c r="E945" s="29"/>
      <c r="F945" s="34"/>
      <c r="G945" s="34"/>
      <c r="H945" s="34"/>
      <c r="I945" s="29"/>
      <c r="J945" s="29"/>
      <c r="K945" s="29"/>
      <c r="L945" s="29"/>
      <c r="M945" s="34"/>
      <c r="N945" s="34"/>
      <c r="O945" s="29"/>
      <c r="P945" s="29"/>
      <c r="Q945" s="29"/>
      <c r="R945" s="29"/>
      <c r="S945" s="29"/>
      <c r="T945" s="1"/>
      <c r="U945" s="34"/>
      <c r="V945" s="34"/>
    </row>
    <row x14ac:dyDescent="0.25" r="946" customHeight="1" ht="15.75">
      <c r="A946" s="1"/>
      <c r="B946" s="34"/>
      <c r="C946" s="34"/>
      <c r="D946" s="34"/>
      <c r="E946" s="29"/>
      <c r="F946" s="34"/>
      <c r="G946" s="34"/>
      <c r="H946" s="34"/>
      <c r="I946" s="29"/>
      <c r="J946" s="29"/>
      <c r="K946" s="29"/>
      <c r="L946" s="29"/>
      <c r="M946" s="34"/>
      <c r="N946" s="34"/>
      <c r="O946" s="29"/>
      <c r="P946" s="29"/>
      <c r="Q946" s="29"/>
      <c r="R946" s="29"/>
      <c r="S946" s="29"/>
      <c r="T946" s="1"/>
      <c r="U946" s="34"/>
      <c r="V946" s="34"/>
    </row>
    <row x14ac:dyDescent="0.25" r="947" customHeight="1" ht="15.75">
      <c r="A947" s="1"/>
      <c r="B947" s="34"/>
      <c r="C947" s="34"/>
      <c r="D947" s="34"/>
      <c r="E947" s="29"/>
      <c r="F947" s="34"/>
      <c r="G947" s="34"/>
      <c r="H947" s="34"/>
      <c r="I947" s="29"/>
      <c r="J947" s="29"/>
      <c r="K947" s="29"/>
      <c r="L947" s="29"/>
      <c r="M947" s="34"/>
      <c r="N947" s="34"/>
      <c r="O947" s="29"/>
      <c r="P947" s="29"/>
      <c r="Q947" s="29"/>
      <c r="R947" s="29"/>
      <c r="S947" s="29"/>
      <c r="T947" s="1"/>
      <c r="U947" s="34"/>
      <c r="V947" s="34"/>
    </row>
    <row x14ac:dyDescent="0.25" r="948" customHeight="1" ht="15.75">
      <c r="A948" s="1"/>
      <c r="B948" s="34"/>
      <c r="C948" s="34"/>
      <c r="D948" s="34"/>
      <c r="E948" s="29"/>
      <c r="F948" s="34"/>
      <c r="G948" s="34"/>
      <c r="H948" s="34"/>
      <c r="I948" s="29"/>
      <c r="J948" s="29"/>
      <c r="K948" s="29"/>
      <c r="L948" s="29"/>
      <c r="M948" s="34"/>
      <c r="N948" s="34"/>
      <c r="O948" s="29"/>
      <c r="P948" s="29"/>
      <c r="Q948" s="29"/>
      <c r="R948" s="29"/>
      <c r="S948" s="29"/>
      <c r="T948" s="1"/>
      <c r="U948" s="34"/>
      <c r="V948" s="34"/>
    </row>
    <row x14ac:dyDescent="0.25" r="949" customHeight="1" ht="15.75">
      <c r="A949" s="1"/>
      <c r="B949" s="34"/>
      <c r="C949" s="34"/>
      <c r="D949" s="34"/>
      <c r="E949" s="29"/>
      <c r="F949" s="34"/>
      <c r="G949" s="34"/>
      <c r="H949" s="34"/>
      <c r="I949" s="29"/>
      <c r="J949" s="29"/>
      <c r="K949" s="29"/>
      <c r="L949" s="29"/>
      <c r="M949" s="34"/>
      <c r="N949" s="34"/>
      <c r="O949" s="29"/>
      <c r="P949" s="29"/>
      <c r="Q949" s="29"/>
      <c r="R949" s="29"/>
      <c r="S949" s="29"/>
      <c r="T949" s="1"/>
      <c r="U949" s="34"/>
      <c r="V949" s="34"/>
    </row>
    <row x14ac:dyDescent="0.25" r="950" customHeight="1" ht="15.75">
      <c r="A950" s="1"/>
      <c r="B950" s="34"/>
      <c r="C950" s="34"/>
      <c r="D950" s="34"/>
      <c r="E950" s="29"/>
      <c r="F950" s="34"/>
      <c r="G950" s="34"/>
      <c r="H950" s="34"/>
      <c r="I950" s="29"/>
      <c r="J950" s="29"/>
      <c r="K950" s="29"/>
      <c r="L950" s="29"/>
      <c r="M950" s="34"/>
      <c r="N950" s="34"/>
      <c r="O950" s="29"/>
      <c r="P950" s="29"/>
      <c r="Q950" s="29"/>
      <c r="R950" s="29"/>
      <c r="S950" s="29"/>
      <c r="T950" s="1"/>
      <c r="U950" s="34"/>
      <c r="V950" s="34"/>
    </row>
    <row x14ac:dyDescent="0.25" r="951" customHeight="1" ht="15.75">
      <c r="A951" s="1"/>
      <c r="B951" s="34"/>
      <c r="C951" s="34"/>
      <c r="D951" s="34"/>
      <c r="E951" s="29"/>
      <c r="F951" s="34"/>
      <c r="G951" s="34"/>
      <c r="H951" s="34"/>
      <c r="I951" s="29"/>
      <c r="J951" s="29"/>
      <c r="K951" s="29"/>
      <c r="L951" s="29"/>
      <c r="M951" s="34"/>
      <c r="N951" s="34"/>
      <c r="O951" s="29"/>
      <c r="P951" s="29"/>
      <c r="Q951" s="29"/>
      <c r="R951" s="29"/>
      <c r="S951" s="29"/>
      <c r="T951" s="1"/>
      <c r="U951" s="34"/>
      <c r="V951" s="34"/>
    </row>
    <row x14ac:dyDescent="0.25" r="952" customHeight="1" ht="15.75">
      <c r="A952" s="1"/>
      <c r="B952" s="34"/>
      <c r="C952" s="34"/>
      <c r="D952" s="34"/>
      <c r="E952" s="29"/>
      <c r="F952" s="34"/>
      <c r="G952" s="34"/>
      <c r="H952" s="34"/>
      <c r="I952" s="29"/>
      <c r="J952" s="29"/>
      <c r="K952" s="29"/>
      <c r="L952" s="29"/>
      <c r="M952" s="34"/>
      <c r="N952" s="34"/>
      <c r="O952" s="29"/>
      <c r="P952" s="29"/>
      <c r="Q952" s="29"/>
      <c r="R952" s="29"/>
      <c r="S952" s="29"/>
      <c r="T952" s="1"/>
      <c r="U952" s="34"/>
      <c r="V952" s="34"/>
    </row>
    <row x14ac:dyDescent="0.25" r="953" customHeight="1" ht="15.75">
      <c r="A953" s="1"/>
      <c r="B953" s="34"/>
      <c r="C953" s="34"/>
      <c r="D953" s="34"/>
      <c r="E953" s="29"/>
      <c r="F953" s="34"/>
      <c r="G953" s="34"/>
      <c r="H953" s="34"/>
      <c r="I953" s="29"/>
      <c r="J953" s="29"/>
      <c r="K953" s="29"/>
      <c r="L953" s="29"/>
      <c r="M953" s="34"/>
      <c r="N953" s="34"/>
      <c r="O953" s="29"/>
      <c r="P953" s="29"/>
      <c r="Q953" s="29"/>
      <c r="R953" s="29"/>
      <c r="S953" s="29"/>
      <c r="T953" s="1"/>
      <c r="U953" s="34"/>
      <c r="V953" s="34"/>
    </row>
    <row x14ac:dyDescent="0.25" r="954" customHeight="1" ht="15.75">
      <c r="A954" s="1"/>
      <c r="B954" s="34"/>
      <c r="C954" s="34"/>
      <c r="D954" s="34"/>
      <c r="E954" s="29"/>
      <c r="F954" s="34"/>
      <c r="G954" s="34"/>
      <c r="H954" s="34"/>
      <c r="I954" s="29"/>
      <c r="J954" s="29"/>
      <c r="K954" s="29"/>
      <c r="L954" s="29"/>
      <c r="M954" s="34"/>
      <c r="N954" s="34"/>
      <c r="O954" s="29"/>
      <c r="P954" s="29"/>
      <c r="Q954" s="29"/>
      <c r="R954" s="29"/>
      <c r="S954" s="29"/>
      <c r="T954" s="1"/>
      <c r="U954" s="34"/>
      <c r="V954" s="34"/>
    </row>
    <row x14ac:dyDescent="0.25" r="955" customHeight="1" ht="15.75">
      <c r="A955" s="1"/>
      <c r="B955" s="34"/>
      <c r="C955" s="34"/>
      <c r="D955" s="34"/>
      <c r="E955" s="29"/>
      <c r="F955" s="34"/>
      <c r="G955" s="34"/>
      <c r="H955" s="34"/>
      <c r="I955" s="29"/>
      <c r="J955" s="29"/>
      <c r="K955" s="29"/>
      <c r="L955" s="29"/>
      <c r="M955" s="34"/>
      <c r="N955" s="34"/>
      <c r="O955" s="29"/>
      <c r="P955" s="29"/>
      <c r="Q955" s="29"/>
      <c r="R955" s="29"/>
      <c r="S955" s="29"/>
      <c r="T955" s="1"/>
      <c r="U955" s="34"/>
      <c r="V955" s="34"/>
    </row>
    <row x14ac:dyDescent="0.25" r="956" customHeight="1" ht="15.75">
      <c r="A956" s="1"/>
      <c r="B956" s="34"/>
      <c r="C956" s="34"/>
      <c r="D956" s="34"/>
      <c r="E956" s="29"/>
      <c r="F956" s="34"/>
      <c r="G956" s="34"/>
      <c r="H956" s="34"/>
      <c r="I956" s="29"/>
      <c r="J956" s="29"/>
      <c r="K956" s="29"/>
      <c r="L956" s="29"/>
      <c r="M956" s="34"/>
      <c r="N956" s="34"/>
      <c r="O956" s="29"/>
      <c r="P956" s="29"/>
      <c r="Q956" s="29"/>
      <c r="R956" s="29"/>
      <c r="S956" s="29"/>
      <c r="T956" s="1"/>
      <c r="U956" s="34"/>
      <c r="V956" s="34"/>
    </row>
    <row x14ac:dyDescent="0.25" r="957" customHeight="1" ht="15.75">
      <c r="A957" s="1"/>
      <c r="B957" s="34"/>
      <c r="C957" s="34"/>
      <c r="D957" s="34"/>
      <c r="E957" s="29"/>
      <c r="F957" s="34"/>
      <c r="G957" s="34"/>
      <c r="H957" s="34"/>
      <c r="I957" s="29"/>
      <c r="J957" s="29"/>
      <c r="K957" s="29"/>
      <c r="L957" s="29"/>
      <c r="M957" s="34"/>
      <c r="N957" s="34"/>
      <c r="O957" s="29"/>
      <c r="P957" s="29"/>
      <c r="Q957" s="29"/>
      <c r="R957" s="29"/>
      <c r="S957" s="29"/>
      <c r="T957" s="1"/>
      <c r="U957" s="34"/>
      <c r="V957" s="34"/>
    </row>
    <row x14ac:dyDescent="0.25" r="958" customHeight="1" ht="15.75">
      <c r="A958" s="1"/>
      <c r="B958" s="34"/>
      <c r="C958" s="34"/>
      <c r="D958" s="34"/>
      <c r="E958" s="29"/>
      <c r="F958" s="34"/>
      <c r="G958" s="34"/>
      <c r="H958" s="34"/>
      <c r="I958" s="29"/>
      <c r="J958" s="29"/>
      <c r="K958" s="29"/>
      <c r="L958" s="29"/>
      <c r="M958" s="34"/>
      <c r="N958" s="34"/>
      <c r="O958" s="29"/>
      <c r="P958" s="29"/>
      <c r="Q958" s="29"/>
      <c r="R958" s="29"/>
      <c r="S958" s="29"/>
      <c r="T958" s="1"/>
      <c r="U958" s="34"/>
      <c r="V958" s="34"/>
    </row>
    <row x14ac:dyDescent="0.25" r="959" customHeight="1" ht="15.75">
      <c r="A959" s="1"/>
      <c r="B959" s="34"/>
      <c r="C959" s="34"/>
      <c r="D959" s="34"/>
      <c r="E959" s="29"/>
      <c r="F959" s="34"/>
      <c r="G959" s="34"/>
      <c r="H959" s="34"/>
      <c r="I959" s="29"/>
      <c r="J959" s="29"/>
      <c r="K959" s="29"/>
      <c r="L959" s="29"/>
      <c r="M959" s="34"/>
      <c r="N959" s="34"/>
      <c r="O959" s="29"/>
      <c r="P959" s="29"/>
      <c r="Q959" s="29"/>
      <c r="R959" s="29"/>
      <c r="S959" s="29"/>
      <c r="T959" s="1"/>
      <c r="U959" s="34"/>
      <c r="V959" s="34"/>
    </row>
    <row x14ac:dyDescent="0.25" r="960" customHeight="1" ht="15.75">
      <c r="A960" s="1"/>
      <c r="B960" s="34"/>
      <c r="C960" s="34"/>
      <c r="D960" s="34"/>
      <c r="E960" s="29"/>
      <c r="F960" s="34"/>
      <c r="G960" s="34"/>
      <c r="H960" s="34"/>
      <c r="I960" s="29"/>
      <c r="J960" s="29"/>
      <c r="K960" s="29"/>
      <c r="L960" s="29"/>
      <c r="M960" s="34"/>
      <c r="N960" s="34"/>
      <c r="O960" s="29"/>
      <c r="P960" s="29"/>
      <c r="Q960" s="29"/>
      <c r="R960" s="29"/>
      <c r="S960" s="29"/>
      <c r="T960" s="1"/>
      <c r="U960" s="34"/>
      <c r="V960" s="34"/>
    </row>
    <row x14ac:dyDescent="0.25" r="961" customHeight="1" ht="15.75">
      <c r="A961" s="1"/>
      <c r="B961" s="34"/>
      <c r="C961" s="34"/>
      <c r="D961" s="34"/>
      <c r="E961" s="29"/>
      <c r="F961" s="34"/>
      <c r="G961" s="34"/>
      <c r="H961" s="34"/>
      <c r="I961" s="29"/>
      <c r="J961" s="29"/>
      <c r="K961" s="29"/>
      <c r="L961" s="29"/>
      <c r="M961" s="34"/>
      <c r="N961" s="34"/>
      <c r="O961" s="29"/>
      <c r="P961" s="29"/>
      <c r="Q961" s="29"/>
      <c r="R961" s="29"/>
      <c r="S961" s="29"/>
      <c r="T961" s="1"/>
      <c r="U961" s="34"/>
      <c r="V961" s="34"/>
    </row>
    <row x14ac:dyDescent="0.25" r="962" customHeight="1" ht="15.75">
      <c r="A962" s="1"/>
      <c r="B962" s="34"/>
      <c r="C962" s="34"/>
      <c r="D962" s="34"/>
      <c r="E962" s="29"/>
      <c r="F962" s="34"/>
      <c r="G962" s="34"/>
      <c r="H962" s="34"/>
      <c r="I962" s="29"/>
      <c r="J962" s="29"/>
      <c r="K962" s="29"/>
      <c r="L962" s="29"/>
      <c r="M962" s="34"/>
      <c r="N962" s="34"/>
      <c r="O962" s="29"/>
      <c r="P962" s="29"/>
      <c r="Q962" s="29"/>
      <c r="R962" s="29"/>
      <c r="S962" s="29"/>
      <c r="T962" s="1"/>
      <c r="U962" s="34"/>
      <c r="V962" s="34"/>
    </row>
    <row x14ac:dyDescent="0.25" r="963" customHeight="1" ht="15.75">
      <c r="A963" s="1"/>
      <c r="B963" s="34"/>
      <c r="C963" s="34"/>
      <c r="D963" s="34"/>
      <c r="E963" s="29"/>
      <c r="F963" s="34"/>
      <c r="G963" s="34"/>
      <c r="H963" s="34"/>
      <c r="I963" s="29"/>
      <c r="J963" s="29"/>
      <c r="K963" s="29"/>
      <c r="L963" s="29"/>
      <c r="M963" s="34"/>
      <c r="N963" s="34"/>
      <c r="O963" s="29"/>
      <c r="P963" s="29"/>
      <c r="Q963" s="29"/>
      <c r="R963" s="29"/>
      <c r="S963" s="29"/>
      <c r="T963" s="1"/>
      <c r="U963" s="34"/>
      <c r="V963" s="34"/>
    </row>
    <row x14ac:dyDescent="0.25" r="964" customHeight="1" ht="15.75">
      <c r="A964" s="1"/>
      <c r="B964" s="34"/>
      <c r="C964" s="34"/>
      <c r="D964" s="34"/>
      <c r="E964" s="29"/>
      <c r="F964" s="34"/>
      <c r="G964" s="34"/>
      <c r="H964" s="34"/>
      <c r="I964" s="29"/>
      <c r="J964" s="29"/>
      <c r="K964" s="29"/>
      <c r="L964" s="29"/>
      <c r="M964" s="34"/>
      <c r="N964" s="34"/>
      <c r="O964" s="29"/>
      <c r="P964" s="29"/>
      <c r="Q964" s="29"/>
      <c r="R964" s="29"/>
      <c r="S964" s="29"/>
      <c r="T964" s="1"/>
      <c r="U964" s="34"/>
      <c r="V964" s="34"/>
    </row>
    <row x14ac:dyDescent="0.25" r="965" customHeight="1" ht="15.75">
      <c r="A965" s="1"/>
      <c r="B965" s="34"/>
      <c r="C965" s="34"/>
      <c r="D965" s="34"/>
      <c r="E965" s="29"/>
      <c r="F965" s="34"/>
      <c r="G965" s="34"/>
      <c r="H965" s="34"/>
      <c r="I965" s="29"/>
      <c r="J965" s="29"/>
      <c r="K965" s="29"/>
      <c r="L965" s="29"/>
      <c r="M965" s="34"/>
      <c r="N965" s="34"/>
      <c r="O965" s="29"/>
      <c r="P965" s="29"/>
      <c r="Q965" s="29"/>
      <c r="R965" s="29"/>
      <c r="S965" s="29"/>
      <c r="T965" s="1"/>
      <c r="U965" s="34"/>
      <c r="V965" s="34"/>
    </row>
    <row x14ac:dyDescent="0.25" r="966" customHeight="1" ht="15.75">
      <c r="A966" s="1"/>
      <c r="B966" s="34"/>
      <c r="C966" s="34"/>
      <c r="D966" s="34"/>
      <c r="E966" s="29"/>
      <c r="F966" s="34"/>
      <c r="G966" s="34"/>
      <c r="H966" s="34"/>
      <c r="I966" s="29"/>
      <c r="J966" s="29"/>
      <c r="K966" s="29"/>
      <c r="L966" s="29"/>
      <c r="M966" s="34"/>
      <c r="N966" s="34"/>
      <c r="O966" s="29"/>
      <c r="P966" s="29"/>
      <c r="Q966" s="29"/>
      <c r="R966" s="29"/>
      <c r="S966" s="29"/>
      <c r="T966" s="1"/>
      <c r="U966" s="34"/>
      <c r="V966" s="34"/>
    </row>
    <row x14ac:dyDescent="0.25" r="967" customHeight="1" ht="15.75">
      <c r="A967" s="1"/>
      <c r="B967" s="34"/>
      <c r="C967" s="34"/>
      <c r="D967" s="34"/>
      <c r="E967" s="29"/>
      <c r="F967" s="34"/>
      <c r="G967" s="34"/>
      <c r="H967" s="34"/>
      <c r="I967" s="29"/>
      <c r="J967" s="29"/>
      <c r="K967" s="29"/>
      <c r="L967" s="29"/>
      <c r="M967" s="34"/>
      <c r="N967" s="34"/>
      <c r="O967" s="29"/>
      <c r="P967" s="29"/>
      <c r="Q967" s="29"/>
      <c r="R967" s="29"/>
      <c r="S967" s="29"/>
      <c r="T967" s="1"/>
      <c r="U967" s="34"/>
      <c r="V967" s="34"/>
    </row>
    <row x14ac:dyDescent="0.25" r="968" customHeight="1" ht="15.75">
      <c r="A968" s="1"/>
      <c r="B968" s="34"/>
      <c r="C968" s="34"/>
      <c r="D968" s="34"/>
      <c r="E968" s="29"/>
      <c r="F968" s="34"/>
      <c r="G968" s="34"/>
      <c r="H968" s="34"/>
      <c r="I968" s="29"/>
      <c r="J968" s="29"/>
      <c r="K968" s="29"/>
      <c r="L968" s="29"/>
      <c r="M968" s="34"/>
      <c r="N968" s="34"/>
      <c r="O968" s="29"/>
      <c r="P968" s="29"/>
      <c r="Q968" s="29"/>
      <c r="R968" s="29"/>
      <c r="S968" s="29"/>
      <c r="T968" s="1"/>
      <c r="U968" s="34"/>
      <c r="V968" s="34"/>
    </row>
    <row x14ac:dyDescent="0.25" r="969" customHeight="1" ht="15.75">
      <c r="A969" s="1"/>
      <c r="B969" s="34"/>
      <c r="C969" s="34"/>
      <c r="D969" s="34"/>
      <c r="E969" s="29"/>
      <c r="F969" s="34"/>
      <c r="G969" s="34"/>
      <c r="H969" s="34"/>
      <c r="I969" s="29"/>
      <c r="J969" s="29"/>
      <c r="K969" s="29"/>
      <c r="L969" s="29"/>
      <c r="M969" s="34"/>
      <c r="N969" s="34"/>
      <c r="O969" s="29"/>
      <c r="P969" s="29"/>
      <c r="Q969" s="29"/>
      <c r="R969" s="29"/>
      <c r="S969" s="29"/>
      <c r="T969" s="1"/>
      <c r="U969" s="34"/>
      <c r="V969" s="34"/>
    </row>
    <row x14ac:dyDescent="0.25" r="970" customHeight="1" ht="15.75">
      <c r="A970" s="1"/>
      <c r="B970" s="34"/>
      <c r="C970" s="34"/>
      <c r="D970" s="34"/>
      <c r="E970" s="29"/>
      <c r="F970" s="34"/>
      <c r="G970" s="34"/>
      <c r="H970" s="34"/>
      <c r="I970" s="29"/>
      <c r="J970" s="29"/>
      <c r="K970" s="29"/>
      <c r="L970" s="29"/>
      <c r="M970" s="34"/>
      <c r="N970" s="34"/>
      <c r="O970" s="29"/>
      <c r="P970" s="29"/>
      <c r="Q970" s="29"/>
      <c r="R970" s="29"/>
      <c r="S970" s="29"/>
      <c r="T970" s="1"/>
      <c r="U970" s="34"/>
      <c r="V970" s="34"/>
    </row>
    <row x14ac:dyDescent="0.25" r="971" customHeight="1" ht="15.75">
      <c r="A971" s="1"/>
      <c r="B971" s="34"/>
      <c r="C971" s="34"/>
      <c r="D971" s="34"/>
      <c r="E971" s="29"/>
      <c r="F971" s="34"/>
      <c r="G971" s="34"/>
      <c r="H971" s="34"/>
      <c r="I971" s="29"/>
      <c r="J971" s="29"/>
      <c r="K971" s="29"/>
      <c r="L971" s="29"/>
      <c r="M971" s="34"/>
      <c r="N971" s="34"/>
      <c r="O971" s="29"/>
      <c r="P971" s="29"/>
      <c r="Q971" s="29"/>
      <c r="R971" s="29"/>
      <c r="S971" s="29"/>
      <c r="T971" s="1"/>
      <c r="U971" s="34"/>
      <c r="V971" s="34"/>
    </row>
    <row x14ac:dyDescent="0.25" r="972" customHeight="1" ht="15.75">
      <c r="A972" s="1"/>
      <c r="B972" s="34"/>
      <c r="C972" s="34"/>
      <c r="D972" s="34"/>
      <c r="E972" s="29"/>
      <c r="F972" s="34"/>
      <c r="G972" s="34"/>
      <c r="H972" s="34"/>
      <c r="I972" s="29"/>
      <c r="J972" s="29"/>
      <c r="K972" s="29"/>
      <c r="L972" s="29"/>
      <c r="M972" s="34"/>
      <c r="N972" s="34"/>
      <c r="O972" s="29"/>
      <c r="P972" s="29"/>
      <c r="Q972" s="29"/>
      <c r="R972" s="29"/>
      <c r="S972" s="29"/>
      <c r="T972" s="1"/>
      <c r="U972" s="34"/>
      <c r="V972" s="34"/>
    </row>
    <row x14ac:dyDescent="0.25" r="973" customHeight="1" ht="15.75">
      <c r="A973" s="1"/>
      <c r="B973" s="34"/>
      <c r="C973" s="34"/>
      <c r="D973" s="34"/>
      <c r="E973" s="29"/>
      <c r="F973" s="34"/>
      <c r="G973" s="34"/>
      <c r="H973" s="34"/>
      <c r="I973" s="29"/>
      <c r="J973" s="29"/>
      <c r="K973" s="29"/>
      <c r="L973" s="29"/>
      <c r="M973" s="34"/>
      <c r="N973" s="34"/>
      <c r="O973" s="29"/>
      <c r="P973" s="29"/>
      <c r="Q973" s="29"/>
      <c r="R973" s="29"/>
      <c r="S973" s="29"/>
      <c r="T973" s="1"/>
      <c r="U973" s="34"/>
      <c r="V973" s="34"/>
    </row>
    <row x14ac:dyDescent="0.25" r="974" customHeight="1" ht="15.75">
      <c r="A974" s="1"/>
      <c r="B974" s="34"/>
      <c r="C974" s="34"/>
      <c r="D974" s="34"/>
      <c r="E974" s="29"/>
      <c r="F974" s="34"/>
      <c r="G974" s="34"/>
      <c r="H974" s="34"/>
      <c r="I974" s="29"/>
      <c r="J974" s="29"/>
      <c r="K974" s="29"/>
      <c r="L974" s="29"/>
      <c r="M974" s="34"/>
      <c r="N974" s="34"/>
      <c r="O974" s="29"/>
      <c r="P974" s="29"/>
      <c r="Q974" s="29"/>
      <c r="R974" s="29"/>
      <c r="S974" s="29"/>
      <c r="T974" s="1"/>
      <c r="U974" s="34"/>
      <c r="V974" s="34"/>
    </row>
    <row x14ac:dyDescent="0.25" r="975" customHeight="1" ht="15.75">
      <c r="A975" s="1"/>
      <c r="B975" s="34"/>
      <c r="C975" s="34"/>
      <c r="D975" s="34"/>
      <c r="E975" s="29"/>
      <c r="F975" s="34"/>
      <c r="G975" s="34"/>
      <c r="H975" s="34"/>
      <c r="I975" s="29"/>
      <c r="J975" s="29"/>
      <c r="K975" s="29"/>
      <c r="L975" s="29"/>
      <c r="M975" s="34"/>
      <c r="N975" s="34"/>
      <c r="O975" s="29"/>
      <c r="P975" s="29"/>
      <c r="Q975" s="29"/>
      <c r="R975" s="29"/>
      <c r="S975" s="29"/>
      <c r="T975" s="1"/>
      <c r="U975" s="34"/>
      <c r="V975" s="34"/>
    </row>
    <row x14ac:dyDescent="0.25" r="976" customHeight="1" ht="15.75">
      <c r="A976" s="1"/>
      <c r="B976" s="34"/>
      <c r="C976" s="34"/>
      <c r="D976" s="34"/>
      <c r="E976" s="29"/>
      <c r="F976" s="34"/>
      <c r="G976" s="34"/>
      <c r="H976" s="34"/>
      <c r="I976" s="29"/>
      <c r="J976" s="29"/>
      <c r="K976" s="29"/>
      <c r="L976" s="29"/>
      <c r="M976" s="34"/>
      <c r="N976" s="34"/>
      <c r="O976" s="29"/>
      <c r="P976" s="29"/>
      <c r="Q976" s="29"/>
      <c r="R976" s="29"/>
      <c r="S976" s="29"/>
      <c r="T976" s="1"/>
      <c r="U976" s="34"/>
      <c r="V976" s="34"/>
    </row>
    <row x14ac:dyDescent="0.25" r="977" customHeight="1" ht="15.75">
      <c r="A977" s="1"/>
      <c r="B977" s="34"/>
      <c r="C977" s="34"/>
      <c r="D977" s="34"/>
      <c r="E977" s="29"/>
      <c r="F977" s="34"/>
      <c r="G977" s="34"/>
      <c r="H977" s="34"/>
      <c r="I977" s="29"/>
      <c r="J977" s="29"/>
      <c r="K977" s="29"/>
      <c r="L977" s="29"/>
      <c r="M977" s="34"/>
      <c r="N977" s="34"/>
      <c r="O977" s="29"/>
      <c r="P977" s="29"/>
      <c r="Q977" s="29"/>
      <c r="R977" s="29"/>
      <c r="S977" s="29"/>
      <c r="T977" s="1"/>
      <c r="U977" s="34"/>
      <c r="V977" s="34"/>
    </row>
    <row x14ac:dyDescent="0.25" r="978" customHeight="1" ht="15.75">
      <c r="A978" s="1"/>
      <c r="B978" s="34"/>
      <c r="C978" s="34"/>
      <c r="D978" s="34"/>
      <c r="E978" s="29"/>
      <c r="F978" s="34"/>
      <c r="G978" s="34"/>
      <c r="H978" s="34"/>
      <c r="I978" s="29"/>
      <c r="J978" s="29"/>
      <c r="K978" s="29"/>
      <c r="L978" s="29"/>
      <c r="M978" s="34"/>
      <c r="N978" s="34"/>
      <c r="O978" s="29"/>
      <c r="P978" s="29"/>
      <c r="Q978" s="29"/>
      <c r="R978" s="29"/>
      <c r="S978" s="29"/>
      <c r="T978" s="1"/>
      <c r="U978" s="34"/>
      <c r="V978" s="34"/>
    </row>
    <row x14ac:dyDescent="0.25" r="979" customHeight="1" ht="15.75">
      <c r="A979" s="1"/>
      <c r="B979" s="34"/>
      <c r="C979" s="34"/>
      <c r="D979" s="34"/>
      <c r="E979" s="29"/>
      <c r="F979" s="34"/>
      <c r="G979" s="34"/>
      <c r="H979" s="34"/>
      <c r="I979" s="29"/>
      <c r="J979" s="29"/>
      <c r="K979" s="29"/>
      <c r="L979" s="29"/>
      <c r="M979" s="34"/>
      <c r="N979" s="34"/>
      <c r="O979" s="29"/>
      <c r="P979" s="29"/>
      <c r="Q979" s="29"/>
      <c r="R979" s="29"/>
      <c r="S979" s="29"/>
      <c r="T979" s="1"/>
      <c r="U979" s="34"/>
      <c r="V979" s="34"/>
    </row>
    <row x14ac:dyDescent="0.25" r="980" customHeight="1" ht="15.75">
      <c r="A980" s="1"/>
      <c r="B980" s="34"/>
      <c r="C980" s="34"/>
      <c r="D980" s="34"/>
      <c r="E980" s="29"/>
      <c r="F980" s="34"/>
      <c r="G980" s="34"/>
      <c r="H980" s="34"/>
      <c r="I980" s="29"/>
      <c r="J980" s="29"/>
      <c r="K980" s="29"/>
      <c r="L980" s="29"/>
      <c r="M980" s="34"/>
      <c r="N980" s="34"/>
      <c r="O980" s="29"/>
      <c r="P980" s="29"/>
      <c r="Q980" s="29"/>
      <c r="R980" s="29"/>
      <c r="S980" s="29"/>
      <c r="T980" s="1"/>
      <c r="U980" s="34"/>
      <c r="V980" s="34"/>
    </row>
    <row x14ac:dyDescent="0.25" r="981" customHeight="1" ht="15.75">
      <c r="A981" s="1"/>
      <c r="B981" s="34"/>
      <c r="C981" s="34"/>
      <c r="D981" s="34"/>
      <c r="E981" s="29"/>
      <c r="F981" s="34"/>
      <c r="G981" s="34"/>
      <c r="H981" s="34"/>
      <c r="I981" s="29"/>
      <c r="J981" s="29"/>
      <c r="K981" s="29"/>
      <c r="L981" s="29"/>
      <c r="M981" s="34"/>
      <c r="N981" s="34"/>
      <c r="O981" s="29"/>
      <c r="P981" s="29"/>
      <c r="Q981" s="29"/>
      <c r="R981" s="29"/>
      <c r="S981" s="29"/>
      <c r="T981" s="1"/>
      <c r="U981" s="34"/>
      <c r="V981" s="34"/>
    </row>
    <row x14ac:dyDescent="0.25" r="982" customHeight="1" ht="15.75">
      <c r="A982" s="1"/>
      <c r="B982" s="34"/>
      <c r="C982" s="34"/>
      <c r="D982" s="34"/>
      <c r="E982" s="29"/>
      <c r="F982" s="34"/>
      <c r="G982" s="34"/>
      <c r="H982" s="34"/>
      <c r="I982" s="29"/>
      <c r="J982" s="29"/>
      <c r="K982" s="29"/>
      <c r="L982" s="29"/>
      <c r="M982" s="34"/>
      <c r="N982" s="34"/>
      <c r="O982" s="29"/>
      <c r="P982" s="29"/>
      <c r="Q982" s="29"/>
      <c r="R982" s="29"/>
      <c r="S982" s="29"/>
      <c r="T982" s="1"/>
      <c r="U982" s="34"/>
      <c r="V982" s="34"/>
    </row>
    <row x14ac:dyDescent="0.25" r="983" customHeight="1" ht="15.75">
      <c r="A983" s="1"/>
      <c r="B983" s="34"/>
      <c r="C983" s="34"/>
      <c r="D983" s="34"/>
      <c r="E983" s="29"/>
      <c r="F983" s="34"/>
      <c r="G983" s="34"/>
      <c r="H983" s="34"/>
      <c r="I983" s="29"/>
      <c r="J983" s="29"/>
      <c r="K983" s="29"/>
      <c r="L983" s="29"/>
      <c r="M983" s="34"/>
      <c r="N983" s="34"/>
      <c r="O983" s="29"/>
      <c r="P983" s="29"/>
      <c r="Q983" s="29"/>
      <c r="R983" s="29"/>
      <c r="S983" s="29"/>
      <c r="T983" s="1"/>
      <c r="U983" s="34"/>
      <c r="V983" s="3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978"/>
  <sheetViews>
    <sheetView workbookViewId="0"/>
  </sheetViews>
  <sheetFormatPr defaultRowHeight="15" x14ac:dyDescent="0.25"/>
  <cols>
    <col min="1" max="1" style="20" width="11.005" customWidth="1" bestFit="1"/>
    <col min="2" max="2" style="36" width="4.719285714285714" customWidth="1" bestFit="1"/>
    <col min="3" max="3" style="21" width="12.290714285714287" customWidth="1" bestFit="1"/>
    <col min="4" max="4" style="36" width="11.290714285714287" customWidth="1" bestFit="1"/>
    <col min="5" max="5" style="36" width="11.147857142857141" customWidth="1" bestFit="1"/>
    <col min="6" max="6" style="36" width="17.290714285714284" customWidth="1" bestFit="1"/>
    <col min="7" max="7" style="36" width="35.14785714285715" customWidth="1" bestFit="1"/>
    <col min="8" max="8" style="67" width="6.719285714285714" customWidth="1" bestFit="1"/>
    <col min="9" max="9" style="37" width="17.433571428571426" customWidth="1" bestFit="1"/>
    <col min="10" max="10" style="24" width="15.862142857142858" customWidth="1" bestFit="1"/>
    <col min="11" max="11" style="37" width="16.576428571428572" customWidth="1" bestFit="1"/>
    <col min="12" max="12" style="37" width="16.14785714285714" customWidth="1" bestFit="1"/>
    <col min="13" max="13" style="67" width="10.147857142857141" customWidth="1" bestFit="1"/>
    <col min="14" max="14" style="67" width="11.290714285714287" customWidth="1" bestFit="1"/>
    <col min="15" max="15" style="37" width="9.862142857142858" customWidth="1" bestFit="1"/>
    <col min="16" max="16" style="37" width="12.147857142857141" customWidth="1" bestFit="1"/>
    <col min="17" max="17" style="37" width="13.147857142857141" customWidth="1" bestFit="1"/>
    <col min="18" max="18" style="37" width="14.290714285714287" customWidth="1" bestFit="1"/>
    <col min="19" max="19" style="67" width="11.43357142857143" customWidth="1" bestFit="1"/>
    <col min="20" max="20" style="20" width="11.43357142857143" customWidth="1" bestFit="1"/>
    <col min="21" max="21" style="36" width="11.43357142857143" customWidth="1" bestFit="1"/>
    <col min="22" max="22" style="36" width="14.719285714285713" customWidth="1" bestFit="1"/>
  </cols>
  <sheetData>
    <row x14ac:dyDescent="0.25" r="1" customHeight="1" ht="19.5">
      <c r="A1" s="171" t="s">
        <v>1</v>
      </c>
      <c r="B1" s="89" t="s">
        <v>3</v>
      </c>
      <c r="C1" s="172" t="s">
        <v>1200</v>
      </c>
      <c r="D1" s="89" t="s">
        <v>4</v>
      </c>
      <c r="E1" s="90" t="s">
        <v>5</v>
      </c>
      <c r="F1" s="89" t="s">
        <v>6</v>
      </c>
      <c r="G1" s="89" t="s">
        <v>7</v>
      </c>
      <c r="H1" s="89" t="s">
        <v>8</v>
      </c>
      <c r="I1" s="91" t="s">
        <v>9</v>
      </c>
      <c r="J1" s="91" t="s">
        <v>10</v>
      </c>
      <c r="K1" s="91" t="s">
        <v>11</v>
      </c>
      <c r="L1" s="91" t="s">
        <v>12</v>
      </c>
      <c r="M1" s="89" t="s">
        <v>13</v>
      </c>
      <c r="N1" s="89" t="s">
        <v>14</v>
      </c>
      <c r="O1" s="91" t="s">
        <v>15</v>
      </c>
      <c r="P1" s="91" t="s">
        <v>16</v>
      </c>
      <c r="Q1" s="91" t="s">
        <v>17</v>
      </c>
      <c r="R1" s="91" t="s">
        <v>1662</v>
      </c>
      <c r="S1" s="89" t="s">
        <v>1663</v>
      </c>
      <c r="T1" s="171" t="s">
        <v>1664</v>
      </c>
      <c r="U1" s="89" t="s">
        <v>1665</v>
      </c>
      <c r="V1" s="89" t="s">
        <v>1666</v>
      </c>
    </row>
    <row x14ac:dyDescent="0.25" r="2" customHeight="1" ht="18.75">
      <c r="A2" s="12">
        <v>45901</v>
      </c>
      <c r="B2" s="15" t="s">
        <v>22</v>
      </c>
      <c r="C2" s="12">
        <v>45905</v>
      </c>
      <c r="D2" s="14" t="s">
        <v>2074</v>
      </c>
      <c r="E2" s="30" t="s">
        <v>2075</v>
      </c>
      <c r="F2" s="14" t="s">
        <v>24</v>
      </c>
      <c r="G2" s="14" t="s">
        <v>2076</v>
      </c>
      <c r="H2" s="14" t="s">
        <v>26</v>
      </c>
      <c r="I2" s="17"/>
      <c r="J2" s="17">
        <v>365920</v>
      </c>
      <c r="K2" s="17">
        <v>305000</v>
      </c>
      <c r="L2" s="17">
        <f>J2-K2</f>
      </c>
      <c r="M2" s="14" t="s">
        <v>22</v>
      </c>
      <c r="N2" s="14" t="s">
        <v>2077</v>
      </c>
      <c r="O2" s="16"/>
      <c r="P2" s="65"/>
      <c r="Q2" s="65"/>
      <c r="R2" s="65"/>
      <c r="S2" s="17">
        <f>J2-Q2-P2-R2</f>
      </c>
      <c r="T2" s="12"/>
      <c r="U2" s="14"/>
      <c r="V2" s="14"/>
    </row>
    <row x14ac:dyDescent="0.25" r="3" customHeight="1" ht="18.75">
      <c r="A3" s="12">
        <v>45901</v>
      </c>
      <c r="B3" s="15" t="s">
        <v>22</v>
      </c>
      <c r="C3" s="12">
        <v>45905</v>
      </c>
      <c r="D3" s="14" t="s">
        <v>2074</v>
      </c>
      <c r="E3" s="30" t="s">
        <v>2075</v>
      </c>
      <c r="F3" s="14" t="s">
        <v>24</v>
      </c>
      <c r="G3" s="14" t="s">
        <v>2078</v>
      </c>
      <c r="H3" s="14" t="s">
        <v>26</v>
      </c>
      <c r="I3" s="17"/>
      <c r="J3" s="17">
        <v>365920</v>
      </c>
      <c r="K3" s="17">
        <v>305000</v>
      </c>
      <c r="L3" s="17">
        <f>J3-K3</f>
      </c>
      <c r="M3" s="14" t="s">
        <v>22</v>
      </c>
      <c r="N3" s="14" t="s">
        <v>2077</v>
      </c>
      <c r="O3" s="16"/>
      <c r="P3" s="65"/>
      <c r="Q3" s="65"/>
      <c r="R3" s="65"/>
      <c r="S3" s="17">
        <f>J3-Q3-P3-R3</f>
      </c>
      <c r="T3" s="12"/>
      <c r="U3" s="14"/>
      <c r="V3" s="14"/>
    </row>
    <row x14ac:dyDescent="0.25" r="4" customHeight="1" ht="18.75">
      <c r="A4" s="12">
        <v>45901</v>
      </c>
      <c r="B4" s="15" t="s">
        <v>897</v>
      </c>
      <c r="C4" s="12">
        <v>45903</v>
      </c>
      <c r="D4" s="14" t="s">
        <v>2079</v>
      </c>
      <c r="E4" s="30" t="s">
        <v>2080</v>
      </c>
      <c r="F4" s="14" t="s">
        <v>24</v>
      </c>
      <c r="G4" s="14" t="s">
        <v>2076</v>
      </c>
      <c r="H4" s="14"/>
      <c r="I4" s="17">
        <v>130400</v>
      </c>
      <c r="J4" s="17">
        <v>391920</v>
      </c>
      <c r="K4" s="17">
        <v>291255</v>
      </c>
      <c r="L4" s="17">
        <f>J4-K4</f>
      </c>
      <c r="M4" s="14" t="s">
        <v>50</v>
      </c>
      <c r="N4" s="14" t="s">
        <v>2081</v>
      </c>
      <c r="O4" s="16">
        <v>1</v>
      </c>
      <c r="P4" s="17"/>
      <c r="Q4" s="17"/>
      <c r="R4" s="17"/>
      <c r="S4" s="17">
        <f>J4-Q4-P4-R4</f>
      </c>
      <c r="T4" s="12"/>
      <c r="U4" s="14"/>
      <c r="V4" s="14"/>
    </row>
    <row x14ac:dyDescent="0.25" r="5" customHeight="1" ht="18.75">
      <c r="A5" s="12">
        <v>45901</v>
      </c>
      <c r="B5" s="15" t="s">
        <v>897</v>
      </c>
      <c r="C5" s="12">
        <v>45903</v>
      </c>
      <c r="D5" s="14" t="s">
        <v>2079</v>
      </c>
      <c r="E5" s="30" t="s">
        <v>2080</v>
      </c>
      <c r="F5" s="14" t="s">
        <v>24</v>
      </c>
      <c r="G5" s="14" t="s">
        <v>2078</v>
      </c>
      <c r="H5" s="14"/>
      <c r="I5" s="17">
        <v>130400</v>
      </c>
      <c r="J5" s="17">
        <v>391920</v>
      </c>
      <c r="K5" s="17">
        <v>291255</v>
      </c>
      <c r="L5" s="17">
        <f>J5-K5</f>
      </c>
      <c r="M5" s="14" t="s">
        <v>50</v>
      </c>
      <c r="N5" s="14" t="s">
        <v>2082</v>
      </c>
      <c r="O5" s="16">
        <v>1</v>
      </c>
      <c r="P5" s="17"/>
      <c r="Q5" s="17"/>
      <c r="R5" s="17"/>
      <c r="S5" s="17">
        <f>J5-Q5-P5-R5</f>
      </c>
      <c r="T5" s="12"/>
      <c r="U5" s="14"/>
      <c r="V5" s="14"/>
    </row>
    <row x14ac:dyDescent="0.25" r="6" customHeight="1" ht="18.75">
      <c r="A6" s="12">
        <v>45901</v>
      </c>
      <c r="B6" s="15" t="s">
        <v>46</v>
      </c>
      <c r="C6" s="12">
        <v>45902</v>
      </c>
      <c r="D6" s="14" t="s">
        <v>313</v>
      </c>
      <c r="E6" s="30" t="s">
        <v>2083</v>
      </c>
      <c r="F6" s="14" t="s">
        <v>2084</v>
      </c>
      <c r="G6" s="14" t="s">
        <v>2084</v>
      </c>
      <c r="H6" s="14" t="s">
        <v>26</v>
      </c>
      <c r="I6" s="17">
        <v>842200</v>
      </c>
      <c r="J6" s="17">
        <v>1055420</v>
      </c>
      <c r="K6" s="17">
        <v>1015420</v>
      </c>
      <c r="L6" s="17">
        <f>J6-K6</f>
      </c>
      <c r="M6" s="14" t="s">
        <v>50</v>
      </c>
      <c r="N6" s="14" t="s">
        <v>2085</v>
      </c>
      <c r="O6" s="16">
        <v>1</v>
      </c>
      <c r="P6" s="65"/>
      <c r="Q6" s="65"/>
      <c r="R6" s="17">
        <v>1055420</v>
      </c>
      <c r="S6" s="17">
        <f>J6-Q6-P6-R6</f>
      </c>
      <c r="T6" s="12">
        <v>45901</v>
      </c>
      <c r="U6" s="14" t="s">
        <v>1718</v>
      </c>
      <c r="V6" s="14"/>
    </row>
    <row x14ac:dyDescent="0.25" r="7" customHeight="1" ht="18.75">
      <c r="A7" s="12">
        <v>45901</v>
      </c>
      <c r="B7" s="15" t="s">
        <v>66</v>
      </c>
      <c r="C7" s="161" t="s">
        <v>2086</v>
      </c>
      <c r="D7" s="14" t="s">
        <v>166</v>
      </c>
      <c r="E7" s="30" t="s">
        <v>2087</v>
      </c>
      <c r="F7" s="14" t="s">
        <v>2088</v>
      </c>
      <c r="G7" s="14" t="s">
        <v>2089</v>
      </c>
      <c r="H7" s="14" t="s">
        <v>26</v>
      </c>
      <c r="I7" s="17"/>
      <c r="J7" s="17">
        <v>47920</v>
      </c>
      <c r="K7" s="17">
        <v>30000</v>
      </c>
      <c r="L7" s="17">
        <f>J7-K7</f>
      </c>
      <c r="M7" s="14" t="s">
        <v>50</v>
      </c>
      <c r="N7" s="14" t="s">
        <v>2090</v>
      </c>
      <c r="O7" s="16" t="s">
        <v>33</v>
      </c>
      <c r="P7" s="17"/>
      <c r="Q7" s="17"/>
      <c r="R7" s="17">
        <v>47920</v>
      </c>
      <c r="S7" s="17">
        <f>J7-Q7-P7-R7</f>
      </c>
      <c r="T7" s="175">
        <v>45910</v>
      </c>
      <c r="U7" s="14" t="s">
        <v>1718</v>
      </c>
      <c r="V7" s="14"/>
    </row>
    <row x14ac:dyDescent="0.25" r="8" customHeight="1" ht="18.75">
      <c r="A8" s="12">
        <v>45901</v>
      </c>
      <c r="B8" s="15" t="s">
        <v>66</v>
      </c>
      <c r="C8" s="161" t="s">
        <v>2086</v>
      </c>
      <c r="D8" s="14" t="s">
        <v>166</v>
      </c>
      <c r="E8" s="30" t="s">
        <v>2087</v>
      </c>
      <c r="F8" s="14" t="s">
        <v>2088</v>
      </c>
      <c r="G8" s="14" t="s">
        <v>1969</v>
      </c>
      <c r="H8" s="14" t="s">
        <v>26</v>
      </c>
      <c r="I8" s="17"/>
      <c r="J8" s="17">
        <v>47920</v>
      </c>
      <c r="K8" s="17">
        <v>30000</v>
      </c>
      <c r="L8" s="17">
        <f>J8-K8</f>
      </c>
      <c r="M8" s="14" t="s">
        <v>50</v>
      </c>
      <c r="N8" s="14" t="s">
        <v>2091</v>
      </c>
      <c r="O8" s="16" t="s">
        <v>33</v>
      </c>
      <c r="P8" s="17"/>
      <c r="Q8" s="17"/>
      <c r="R8" s="17">
        <v>47920</v>
      </c>
      <c r="S8" s="17">
        <f>J8-Q8-P8-R8</f>
      </c>
      <c r="T8" s="175">
        <v>45910</v>
      </c>
      <c r="U8" s="14" t="s">
        <v>1718</v>
      </c>
      <c r="V8" s="14"/>
    </row>
    <row x14ac:dyDescent="0.25" r="9" customHeight="1" ht="18.75">
      <c r="A9" s="12">
        <v>45901</v>
      </c>
      <c r="B9" s="15" t="s">
        <v>46</v>
      </c>
      <c r="C9" s="12">
        <v>45902</v>
      </c>
      <c r="D9" s="14" t="s">
        <v>313</v>
      </c>
      <c r="E9" s="30" t="s">
        <v>2092</v>
      </c>
      <c r="F9" s="14" t="s">
        <v>2093</v>
      </c>
      <c r="G9" s="14" t="s">
        <v>2093</v>
      </c>
      <c r="H9" s="14" t="s">
        <v>26</v>
      </c>
      <c r="I9" s="17">
        <v>842200</v>
      </c>
      <c r="J9" s="17">
        <v>1055420</v>
      </c>
      <c r="K9" s="17">
        <v>1015420</v>
      </c>
      <c r="L9" s="17">
        <f>J9-K9</f>
      </c>
      <c r="M9" s="14" t="s">
        <v>50</v>
      </c>
      <c r="N9" s="14" t="s">
        <v>2094</v>
      </c>
      <c r="O9" s="16">
        <v>1</v>
      </c>
      <c r="P9" s="65"/>
      <c r="Q9" s="65"/>
      <c r="R9" s="17">
        <v>1055420</v>
      </c>
      <c r="S9" s="17">
        <f>J9-Q9-P9-R9</f>
      </c>
      <c r="T9" s="12">
        <v>45901</v>
      </c>
      <c r="U9" s="14" t="s">
        <v>1718</v>
      </c>
      <c r="V9" s="14"/>
    </row>
    <row x14ac:dyDescent="0.25" r="10" customHeight="1" ht="18.75">
      <c r="A10" s="12">
        <v>45901</v>
      </c>
      <c r="B10" s="15" t="s">
        <v>46</v>
      </c>
      <c r="C10" s="161" t="s">
        <v>2095</v>
      </c>
      <c r="D10" s="14" t="s">
        <v>2096</v>
      </c>
      <c r="E10" s="30" t="s">
        <v>2097</v>
      </c>
      <c r="F10" s="14" t="s">
        <v>84</v>
      </c>
      <c r="G10" s="14" t="s">
        <v>389</v>
      </c>
      <c r="H10" s="14" t="s">
        <v>26</v>
      </c>
      <c r="I10" s="17">
        <v>1603600</v>
      </c>
      <c r="J10" s="17">
        <v>2372000</v>
      </c>
      <c r="K10" s="17">
        <v>2052900</v>
      </c>
      <c r="L10" s="17">
        <f>J10-K10</f>
      </c>
      <c r="M10" s="14" t="s">
        <v>50</v>
      </c>
      <c r="N10" s="14" t="s">
        <v>2098</v>
      </c>
      <c r="O10" s="16">
        <v>2</v>
      </c>
      <c r="P10" s="65"/>
      <c r="Q10" s="65"/>
      <c r="R10" s="65"/>
      <c r="S10" s="17">
        <f>J10-Q10-P10-R10</f>
      </c>
      <c r="T10" s="12"/>
      <c r="U10" s="14"/>
      <c r="V10" s="14"/>
    </row>
    <row x14ac:dyDescent="0.25" r="11" customHeight="1" ht="16.5">
      <c r="A11" s="12">
        <v>45901</v>
      </c>
      <c r="B11" s="15" t="s">
        <v>106</v>
      </c>
      <c r="C11" s="18">
        <v>45916</v>
      </c>
      <c r="D11" s="14" t="s">
        <v>313</v>
      </c>
      <c r="E11" s="30"/>
      <c r="F11" s="14" t="s">
        <v>2099</v>
      </c>
      <c r="G11" s="14" t="s">
        <v>2100</v>
      </c>
      <c r="H11" s="14" t="s">
        <v>26</v>
      </c>
      <c r="I11" s="17"/>
      <c r="J11" s="16">
        <v>465800</v>
      </c>
      <c r="K11" s="16">
        <v>302620</v>
      </c>
      <c r="L11" s="16">
        <f>J11-K11</f>
      </c>
      <c r="M11" s="14" t="s">
        <v>2101</v>
      </c>
      <c r="N11" s="14" t="s">
        <v>2102</v>
      </c>
      <c r="O11" s="16"/>
      <c r="P11" s="17">
        <v>81000</v>
      </c>
      <c r="Q11" s="17">
        <v>250000</v>
      </c>
      <c r="R11" s="174"/>
      <c r="S11" s="17">
        <f>J11-Q11-P11-R11</f>
      </c>
      <c r="T11" s="175" t="s">
        <v>2103</v>
      </c>
      <c r="U11" s="14" t="s">
        <v>2104</v>
      </c>
      <c r="V11" s="34"/>
    </row>
    <row x14ac:dyDescent="0.25" r="12" customHeight="1" ht="18.75">
      <c r="A12" s="12">
        <v>45902</v>
      </c>
      <c r="B12" s="15" t="s">
        <v>72</v>
      </c>
      <c r="C12" s="18">
        <v>45910</v>
      </c>
      <c r="D12" s="14" t="s">
        <v>264</v>
      </c>
      <c r="E12" s="30" t="s">
        <v>2105</v>
      </c>
      <c r="F12" s="14" t="s">
        <v>1762</v>
      </c>
      <c r="G12" s="14" t="s">
        <v>1762</v>
      </c>
      <c r="H12" s="14" t="s">
        <v>26</v>
      </c>
      <c r="I12" s="17"/>
      <c r="J12" s="17">
        <v>150000</v>
      </c>
      <c r="K12" s="17">
        <v>85000</v>
      </c>
      <c r="L12" s="17">
        <f>J12-K12</f>
      </c>
      <c r="M12" s="14" t="s">
        <v>72</v>
      </c>
      <c r="N12" s="14" t="s">
        <v>2106</v>
      </c>
      <c r="O12" s="16" t="s">
        <v>33</v>
      </c>
      <c r="P12" s="65"/>
      <c r="Q12" s="65"/>
      <c r="R12" s="17">
        <v>150000</v>
      </c>
      <c r="S12" s="17">
        <f>J12-Q12-P12-R12</f>
      </c>
      <c r="T12" s="12">
        <v>45918</v>
      </c>
      <c r="U12" s="14" t="s">
        <v>1718</v>
      </c>
      <c r="V12" s="14"/>
    </row>
    <row x14ac:dyDescent="0.25" r="13" customHeight="1" ht="18.75">
      <c r="A13" s="12">
        <v>45902</v>
      </c>
      <c r="B13" s="15" t="s">
        <v>46</v>
      </c>
      <c r="C13" s="161" t="s">
        <v>2107</v>
      </c>
      <c r="D13" s="14" t="s">
        <v>1617</v>
      </c>
      <c r="E13" s="30" t="s">
        <v>2108</v>
      </c>
      <c r="F13" s="14" t="s">
        <v>2109</v>
      </c>
      <c r="G13" s="14" t="s">
        <v>2110</v>
      </c>
      <c r="H13" s="14" t="s">
        <v>26</v>
      </c>
      <c r="I13" s="17">
        <v>544500</v>
      </c>
      <c r="J13" s="17">
        <v>1099800</v>
      </c>
      <c r="K13" s="17">
        <v>890320</v>
      </c>
      <c r="L13" s="17">
        <f>J13-K13</f>
      </c>
      <c r="M13" s="14" t="s">
        <v>50</v>
      </c>
      <c r="N13" s="14" t="s">
        <v>2111</v>
      </c>
      <c r="O13" s="16"/>
      <c r="P13" s="65"/>
      <c r="Q13" s="65"/>
      <c r="R13" s="17">
        <v>1099800</v>
      </c>
      <c r="S13" s="17">
        <f>J13-Q13-P13-R13</f>
      </c>
      <c r="T13" s="12">
        <v>45904</v>
      </c>
      <c r="U13" s="14" t="s">
        <v>1718</v>
      </c>
      <c r="V13" s="14"/>
    </row>
    <row x14ac:dyDescent="0.25" r="14" customHeight="1" ht="18.75">
      <c r="A14" s="12">
        <v>45902</v>
      </c>
      <c r="B14" s="15" t="s">
        <v>106</v>
      </c>
      <c r="C14" s="18">
        <v>45908</v>
      </c>
      <c r="D14" s="14" t="s">
        <v>253</v>
      </c>
      <c r="E14" s="30" t="s">
        <v>2112</v>
      </c>
      <c r="F14" s="14" t="s">
        <v>271</v>
      </c>
      <c r="G14" s="14" t="s">
        <v>2113</v>
      </c>
      <c r="H14" s="14" t="s">
        <v>26</v>
      </c>
      <c r="I14" s="17"/>
      <c r="J14" s="17">
        <v>217400</v>
      </c>
      <c r="K14" s="17">
        <v>117400</v>
      </c>
      <c r="L14" s="17">
        <f>J14-K14</f>
      </c>
      <c r="M14" s="14" t="s">
        <v>106</v>
      </c>
      <c r="N14" s="14" t="s">
        <v>2114</v>
      </c>
      <c r="O14" s="16"/>
      <c r="P14" s="17"/>
      <c r="Q14" s="17"/>
      <c r="R14" s="65"/>
      <c r="S14" s="17">
        <f>J14-Q14-P14-R14</f>
      </c>
      <c r="T14" s="12"/>
      <c r="U14" s="14"/>
      <c r="V14" s="14"/>
    </row>
    <row x14ac:dyDescent="0.25" r="15" customHeight="1" ht="18.75">
      <c r="A15" s="12">
        <v>45902</v>
      </c>
      <c r="B15" s="15" t="s">
        <v>46</v>
      </c>
      <c r="C15" s="161" t="s">
        <v>2115</v>
      </c>
      <c r="D15" s="14" t="s">
        <v>54</v>
      </c>
      <c r="E15" s="30" t="s">
        <v>2087</v>
      </c>
      <c r="F15" s="14" t="s">
        <v>2088</v>
      </c>
      <c r="G15" s="14" t="s">
        <v>2089</v>
      </c>
      <c r="H15" s="14" t="s">
        <v>26</v>
      </c>
      <c r="I15" s="17"/>
      <c r="J15" s="17">
        <v>500800</v>
      </c>
      <c r="K15" s="17">
        <v>470800</v>
      </c>
      <c r="L15" s="17">
        <f>J15-K15</f>
      </c>
      <c r="M15" s="14" t="s">
        <v>50</v>
      </c>
      <c r="N15" s="14" t="s">
        <v>2116</v>
      </c>
      <c r="O15" s="16" t="s">
        <v>33</v>
      </c>
      <c r="P15" s="65"/>
      <c r="Q15" s="65"/>
      <c r="R15" s="17">
        <v>500800</v>
      </c>
      <c r="S15" s="17">
        <f>J15-Q15-P15-R15</f>
      </c>
      <c r="T15" s="12">
        <v>45910</v>
      </c>
      <c r="U15" s="14" t="s">
        <v>1718</v>
      </c>
      <c r="V15" s="14"/>
    </row>
    <row x14ac:dyDescent="0.25" r="16" customHeight="1" ht="18.75">
      <c r="A16" s="12">
        <v>45902</v>
      </c>
      <c r="B16" s="15" t="s">
        <v>66</v>
      </c>
      <c r="C16" s="161" t="s">
        <v>2117</v>
      </c>
      <c r="D16" s="14" t="s">
        <v>166</v>
      </c>
      <c r="E16" s="30" t="s">
        <v>2118</v>
      </c>
      <c r="F16" s="14" t="s">
        <v>2119</v>
      </c>
      <c r="G16" s="14" t="s">
        <v>2120</v>
      </c>
      <c r="H16" s="14" t="s">
        <v>26</v>
      </c>
      <c r="I16" s="17">
        <v>262600</v>
      </c>
      <c r="J16" s="17">
        <v>757700</v>
      </c>
      <c r="K16" s="17">
        <v>622120</v>
      </c>
      <c r="L16" s="17">
        <f>J16-K16</f>
      </c>
      <c r="M16" s="14" t="s">
        <v>50</v>
      </c>
      <c r="N16" s="14" t="s">
        <v>2121</v>
      </c>
      <c r="O16" s="16">
        <v>2</v>
      </c>
      <c r="P16" s="65"/>
      <c r="Q16" s="65"/>
      <c r="R16" s="17">
        <v>757700</v>
      </c>
      <c r="S16" s="17">
        <f>J16-Q16-P16-R16</f>
      </c>
      <c r="T16" s="12">
        <v>45919</v>
      </c>
      <c r="U16" s="14" t="s">
        <v>2122</v>
      </c>
      <c r="V16" s="14"/>
    </row>
    <row x14ac:dyDescent="0.25" r="17" customHeight="1" ht="18.75">
      <c r="A17" s="12">
        <v>45902</v>
      </c>
      <c r="B17" s="15" t="s">
        <v>66</v>
      </c>
      <c r="C17" s="161" t="s">
        <v>2117</v>
      </c>
      <c r="D17" s="14" t="s">
        <v>166</v>
      </c>
      <c r="E17" s="30" t="s">
        <v>2118</v>
      </c>
      <c r="F17" s="14" t="s">
        <v>2119</v>
      </c>
      <c r="G17" s="14" t="s">
        <v>2123</v>
      </c>
      <c r="H17" s="14" t="s">
        <v>26</v>
      </c>
      <c r="I17" s="17">
        <v>262600</v>
      </c>
      <c r="J17" s="17">
        <v>757700</v>
      </c>
      <c r="K17" s="17">
        <v>622120</v>
      </c>
      <c r="L17" s="17">
        <f>J17-K17</f>
      </c>
      <c r="M17" s="14" t="s">
        <v>50</v>
      </c>
      <c r="N17" s="14" t="s">
        <v>2124</v>
      </c>
      <c r="O17" s="16">
        <v>2</v>
      </c>
      <c r="P17" s="65"/>
      <c r="Q17" s="65"/>
      <c r="R17" s="17">
        <v>757700</v>
      </c>
      <c r="S17" s="17">
        <f>J17-Q17-P17-R17</f>
      </c>
      <c r="T17" s="12">
        <v>45919</v>
      </c>
      <c r="U17" s="14" t="s">
        <v>2122</v>
      </c>
      <c r="V17" s="14"/>
    </row>
    <row x14ac:dyDescent="0.25" r="18" customHeight="1" ht="18.75">
      <c r="A18" s="12">
        <v>45902</v>
      </c>
      <c r="B18" s="15" t="s">
        <v>66</v>
      </c>
      <c r="C18" s="161" t="s">
        <v>2117</v>
      </c>
      <c r="D18" s="14" t="s">
        <v>166</v>
      </c>
      <c r="E18" s="30" t="s">
        <v>2118</v>
      </c>
      <c r="F18" s="14" t="s">
        <v>2119</v>
      </c>
      <c r="G18" s="14" t="s">
        <v>2125</v>
      </c>
      <c r="H18" s="14" t="s">
        <v>26</v>
      </c>
      <c r="I18" s="17">
        <v>240900</v>
      </c>
      <c r="J18" s="17">
        <v>757700</v>
      </c>
      <c r="K18" s="17">
        <v>600420</v>
      </c>
      <c r="L18" s="17">
        <f>J18-K18</f>
      </c>
      <c r="M18" s="14" t="s">
        <v>50</v>
      </c>
      <c r="N18" s="14" t="s">
        <v>2126</v>
      </c>
      <c r="O18" s="16">
        <v>2</v>
      </c>
      <c r="P18" s="65"/>
      <c r="Q18" s="65"/>
      <c r="R18" s="17">
        <v>757700</v>
      </c>
      <c r="S18" s="17">
        <f>J18-Q18-P18-R18</f>
      </c>
      <c r="T18" s="12">
        <v>45919</v>
      </c>
      <c r="U18" s="14" t="s">
        <v>2122</v>
      </c>
      <c r="V18" s="14"/>
    </row>
    <row x14ac:dyDescent="0.25" r="19" customHeight="1" ht="18.75">
      <c r="A19" s="12">
        <v>45902</v>
      </c>
      <c r="B19" s="15" t="s">
        <v>66</v>
      </c>
      <c r="C19" s="161" t="s">
        <v>2117</v>
      </c>
      <c r="D19" s="14" t="s">
        <v>166</v>
      </c>
      <c r="E19" s="30" t="s">
        <v>2118</v>
      </c>
      <c r="F19" s="14" t="s">
        <v>2119</v>
      </c>
      <c r="G19" s="14" t="s">
        <v>2127</v>
      </c>
      <c r="H19" s="14" t="s">
        <v>26</v>
      </c>
      <c r="I19" s="17">
        <v>240900</v>
      </c>
      <c r="J19" s="17">
        <v>757700</v>
      </c>
      <c r="K19" s="17">
        <v>600420</v>
      </c>
      <c r="L19" s="17">
        <f>J19-K19</f>
      </c>
      <c r="M19" s="14" t="s">
        <v>50</v>
      </c>
      <c r="N19" s="14" t="s">
        <v>2128</v>
      </c>
      <c r="O19" s="16">
        <v>2</v>
      </c>
      <c r="P19" s="65"/>
      <c r="Q19" s="65"/>
      <c r="R19" s="17">
        <v>757700</v>
      </c>
      <c r="S19" s="17">
        <f>J19-Q19-P19-R19</f>
      </c>
      <c r="T19" s="12">
        <v>45919</v>
      </c>
      <c r="U19" s="14" t="s">
        <v>2122</v>
      </c>
      <c r="V19" s="14"/>
    </row>
    <row x14ac:dyDescent="0.25" r="20" customHeight="1" ht="18.75">
      <c r="A20" s="12">
        <v>45902</v>
      </c>
      <c r="B20" s="15" t="s">
        <v>66</v>
      </c>
      <c r="C20" s="161" t="s">
        <v>2117</v>
      </c>
      <c r="D20" s="14" t="s">
        <v>166</v>
      </c>
      <c r="E20" s="30" t="s">
        <v>2118</v>
      </c>
      <c r="F20" s="14" t="s">
        <v>2119</v>
      </c>
      <c r="G20" s="14" t="s">
        <v>2129</v>
      </c>
      <c r="H20" s="14" t="s">
        <v>26</v>
      </c>
      <c r="I20" s="17">
        <v>240900</v>
      </c>
      <c r="J20" s="17">
        <v>757700</v>
      </c>
      <c r="K20" s="17">
        <v>600420</v>
      </c>
      <c r="L20" s="17">
        <f>J20-K20</f>
      </c>
      <c r="M20" s="14" t="s">
        <v>50</v>
      </c>
      <c r="N20" s="14" t="s">
        <v>2130</v>
      </c>
      <c r="O20" s="16">
        <v>2</v>
      </c>
      <c r="P20" s="65"/>
      <c r="Q20" s="65"/>
      <c r="R20" s="17">
        <v>757700</v>
      </c>
      <c r="S20" s="17">
        <f>J20-Q20-P20-R20</f>
      </c>
      <c r="T20" s="12">
        <v>45919</v>
      </c>
      <c r="U20" s="14" t="s">
        <v>2122</v>
      </c>
      <c r="V20" s="14"/>
    </row>
    <row x14ac:dyDescent="0.25" r="21" customHeight="1" ht="18.75">
      <c r="A21" s="12">
        <v>45902</v>
      </c>
      <c r="B21" s="15" t="s">
        <v>66</v>
      </c>
      <c r="C21" s="161" t="s">
        <v>2117</v>
      </c>
      <c r="D21" s="14" t="s">
        <v>166</v>
      </c>
      <c r="E21" s="30" t="s">
        <v>2118</v>
      </c>
      <c r="F21" s="14" t="s">
        <v>2119</v>
      </c>
      <c r="G21" s="14" t="s">
        <v>2131</v>
      </c>
      <c r="H21" s="14" t="s">
        <v>26</v>
      </c>
      <c r="I21" s="17">
        <v>240900</v>
      </c>
      <c r="J21" s="17">
        <v>757700</v>
      </c>
      <c r="K21" s="17">
        <v>600420</v>
      </c>
      <c r="L21" s="17">
        <f>J21-K21</f>
      </c>
      <c r="M21" s="14" t="s">
        <v>50</v>
      </c>
      <c r="N21" s="14" t="s">
        <v>2132</v>
      </c>
      <c r="O21" s="16">
        <v>2</v>
      </c>
      <c r="P21" s="65"/>
      <c r="Q21" s="65"/>
      <c r="R21" s="17">
        <v>757700</v>
      </c>
      <c r="S21" s="17">
        <f>J21-Q21-P21-R21</f>
      </c>
      <c r="T21" s="12">
        <v>45919</v>
      </c>
      <c r="U21" s="14" t="s">
        <v>2122</v>
      </c>
      <c r="V21" s="14"/>
    </row>
    <row x14ac:dyDescent="0.25" r="22" customHeight="1" ht="15.75">
      <c r="A22" s="12">
        <v>45902</v>
      </c>
      <c r="B22" s="15" t="s">
        <v>66</v>
      </c>
      <c r="C22" s="161" t="s">
        <v>2133</v>
      </c>
      <c r="D22" s="14" t="s">
        <v>166</v>
      </c>
      <c r="E22" s="30" t="s">
        <v>2118</v>
      </c>
      <c r="F22" s="14" t="s">
        <v>2119</v>
      </c>
      <c r="G22" s="14" t="s">
        <v>2134</v>
      </c>
      <c r="H22" s="14" t="s">
        <v>26</v>
      </c>
      <c r="I22" s="17">
        <v>241500</v>
      </c>
      <c r="J22" s="17">
        <v>704870</v>
      </c>
      <c r="K22" s="17">
        <v>601020</v>
      </c>
      <c r="L22" s="17">
        <f>J22-K22</f>
      </c>
      <c r="M22" s="14" t="s">
        <v>50</v>
      </c>
      <c r="N22" s="14" t="s">
        <v>2135</v>
      </c>
      <c r="O22" s="16">
        <v>2</v>
      </c>
      <c r="P22" s="65"/>
      <c r="Q22" s="65"/>
      <c r="R22" s="17">
        <v>704870</v>
      </c>
      <c r="S22" s="17">
        <f>J22-Q22-P22-R22</f>
      </c>
      <c r="T22" s="12">
        <v>45919</v>
      </c>
      <c r="U22" s="14" t="s">
        <v>2122</v>
      </c>
      <c r="V22" s="14"/>
    </row>
    <row x14ac:dyDescent="0.25" r="23" customHeight="1" ht="15.75">
      <c r="A23" s="12">
        <v>45902</v>
      </c>
      <c r="B23" s="15" t="s">
        <v>66</v>
      </c>
      <c r="C23" s="161" t="s">
        <v>2133</v>
      </c>
      <c r="D23" s="14" t="s">
        <v>166</v>
      </c>
      <c r="E23" s="30" t="s">
        <v>2118</v>
      </c>
      <c r="F23" s="14" t="s">
        <v>2119</v>
      </c>
      <c r="G23" s="14" t="s">
        <v>2136</v>
      </c>
      <c r="H23" s="14" t="s">
        <v>26</v>
      </c>
      <c r="I23" s="17">
        <v>241500</v>
      </c>
      <c r="J23" s="17">
        <v>704870</v>
      </c>
      <c r="K23" s="17">
        <v>601020</v>
      </c>
      <c r="L23" s="17">
        <f>J23-K23</f>
      </c>
      <c r="M23" s="14" t="s">
        <v>50</v>
      </c>
      <c r="N23" s="14" t="s">
        <v>2137</v>
      </c>
      <c r="O23" s="16">
        <v>2</v>
      </c>
      <c r="P23" s="65"/>
      <c r="Q23" s="65"/>
      <c r="R23" s="17">
        <v>704870</v>
      </c>
      <c r="S23" s="17">
        <f>J23-Q23-P23-R23</f>
      </c>
      <c r="T23" s="12">
        <v>45919</v>
      </c>
      <c r="U23" s="14" t="s">
        <v>2122</v>
      </c>
      <c r="V23" s="14"/>
    </row>
    <row x14ac:dyDescent="0.25" r="24" customHeight="1" ht="15.75">
      <c r="A24" s="12">
        <v>45902</v>
      </c>
      <c r="B24" s="15" t="s">
        <v>66</v>
      </c>
      <c r="C24" s="161" t="s">
        <v>2133</v>
      </c>
      <c r="D24" s="14" t="s">
        <v>166</v>
      </c>
      <c r="E24" s="30" t="s">
        <v>2118</v>
      </c>
      <c r="F24" s="14" t="s">
        <v>2119</v>
      </c>
      <c r="G24" s="14" t="s">
        <v>2138</v>
      </c>
      <c r="H24" s="14" t="s">
        <v>26</v>
      </c>
      <c r="I24" s="17">
        <v>191700</v>
      </c>
      <c r="J24" s="17">
        <v>704870</v>
      </c>
      <c r="K24" s="17">
        <v>551220</v>
      </c>
      <c r="L24" s="17">
        <f>J24-K24</f>
      </c>
      <c r="M24" s="14" t="s">
        <v>50</v>
      </c>
      <c r="N24" s="14" t="s">
        <v>2139</v>
      </c>
      <c r="O24" s="16">
        <v>2</v>
      </c>
      <c r="P24" s="65"/>
      <c r="Q24" s="65"/>
      <c r="R24" s="17">
        <v>704870</v>
      </c>
      <c r="S24" s="17">
        <f>J24-Q24-P24-R24</f>
      </c>
      <c r="T24" s="12">
        <v>45919</v>
      </c>
      <c r="U24" s="14" t="s">
        <v>2122</v>
      </c>
      <c r="V24" s="14"/>
    </row>
    <row x14ac:dyDescent="0.25" r="25" customHeight="1" ht="15.75">
      <c r="A25" s="12">
        <v>45902</v>
      </c>
      <c r="B25" s="15" t="s">
        <v>66</v>
      </c>
      <c r="C25" s="161" t="s">
        <v>2133</v>
      </c>
      <c r="D25" s="14" t="s">
        <v>166</v>
      </c>
      <c r="E25" s="30" t="s">
        <v>2118</v>
      </c>
      <c r="F25" s="14" t="s">
        <v>2119</v>
      </c>
      <c r="G25" s="14" t="s">
        <v>2140</v>
      </c>
      <c r="H25" s="14" t="s">
        <v>26</v>
      </c>
      <c r="I25" s="17">
        <v>168800</v>
      </c>
      <c r="J25" s="17">
        <v>704870</v>
      </c>
      <c r="K25" s="17">
        <v>525320</v>
      </c>
      <c r="L25" s="17">
        <f>J25-K25</f>
      </c>
      <c r="M25" s="14" t="s">
        <v>50</v>
      </c>
      <c r="N25" s="14" t="s">
        <v>2141</v>
      </c>
      <c r="O25" s="16">
        <v>2</v>
      </c>
      <c r="P25" s="65"/>
      <c r="Q25" s="65"/>
      <c r="R25" s="17">
        <v>704870</v>
      </c>
      <c r="S25" s="17">
        <f>J25-Q25-P25-R25</f>
      </c>
      <c r="T25" s="12">
        <v>45919</v>
      </c>
      <c r="U25" s="14" t="s">
        <v>2122</v>
      </c>
      <c r="V25" s="14"/>
    </row>
    <row x14ac:dyDescent="0.25" r="26" customHeight="1" ht="15.75">
      <c r="A26" s="12">
        <v>45902</v>
      </c>
      <c r="B26" s="15" t="s">
        <v>66</v>
      </c>
      <c r="C26" s="161" t="s">
        <v>2133</v>
      </c>
      <c r="D26" s="14" t="s">
        <v>166</v>
      </c>
      <c r="E26" s="30" t="s">
        <v>2118</v>
      </c>
      <c r="F26" s="14" t="s">
        <v>2119</v>
      </c>
      <c r="G26" s="14" t="s">
        <v>2142</v>
      </c>
      <c r="H26" s="14" t="s">
        <v>26</v>
      </c>
      <c r="I26" s="17">
        <v>168800</v>
      </c>
      <c r="J26" s="17">
        <v>704870</v>
      </c>
      <c r="K26" s="17">
        <v>525320</v>
      </c>
      <c r="L26" s="17">
        <f>J26-K26</f>
      </c>
      <c r="M26" s="14" t="s">
        <v>50</v>
      </c>
      <c r="N26" s="14" t="s">
        <v>2143</v>
      </c>
      <c r="O26" s="16">
        <v>2</v>
      </c>
      <c r="P26" s="65"/>
      <c r="Q26" s="65"/>
      <c r="R26" s="17">
        <v>704870</v>
      </c>
      <c r="S26" s="17">
        <f>J26-Q26-P26-R26</f>
      </c>
      <c r="T26" s="12">
        <v>45919</v>
      </c>
      <c r="U26" s="14" t="s">
        <v>2122</v>
      </c>
      <c r="V26" s="14"/>
    </row>
    <row x14ac:dyDescent="0.25" r="27" customHeight="1" ht="15.75">
      <c r="A27" s="12">
        <v>45902</v>
      </c>
      <c r="B27" s="15" t="s">
        <v>66</v>
      </c>
      <c r="C27" s="161" t="s">
        <v>2133</v>
      </c>
      <c r="D27" s="14" t="s">
        <v>166</v>
      </c>
      <c r="E27" s="30" t="s">
        <v>2118</v>
      </c>
      <c r="F27" s="14" t="s">
        <v>2119</v>
      </c>
      <c r="G27" s="14" t="s">
        <v>2144</v>
      </c>
      <c r="H27" s="14" t="s">
        <v>26</v>
      </c>
      <c r="I27" s="17">
        <v>168800</v>
      </c>
      <c r="J27" s="17">
        <v>704870</v>
      </c>
      <c r="K27" s="17">
        <v>525320</v>
      </c>
      <c r="L27" s="17">
        <f>J27-K27</f>
      </c>
      <c r="M27" s="14" t="s">
        <v>50</v>
      </c>
      <c r="N27" s="14" t="s">
        <v>2145</v>
      </c>
      <c r="O27" s="16">
        <v>2</v>
      </c>
      <c r="P27" s="65"/>
      <c r="Q27" s="65"/>
      <c r="R27" s="17">
        <v>704870</v>
      </c>
      <c r="S27" s="17">
        <f>J27-Q27-P27-R27</f>
      </c>
      <c r="T27" s="12">
        <v>45919</v>
      </c>
      <c r="U27" s="14" t="s">
        <v>2122</v>
      </c>
      <c r="V27" s="14"/>
    </row>
    <row x14ac:dyDescent="0.25" r="28" customHeight="1" ht="15.75">
      <c r="A28" s="12">
        <v>45902</v>
      </c>
      <c r="B28" s="15" t="s">
        <v>46</v>
      </c>
      <c r="C28" s="161" t="s">
        <v>2146</v>
      </c>
      <c r="D28" s="14" t="s">
        <v>54</v>
      </c>
      <c r="E28" s="30" t="s">
        <v>2147</v>
      </c>
      <c r="F28" s="14" t="s">
        <v>1799</v>
      </c>
      <c r="G28" s="14" t="s">
        <v>2148</v>
      </c>
      <c r="H28" s="14" t="s">
        <v>26</v>
      </c>
      <c r="I28" s="17">
        <v>620800</v>
      </c>
      <c r="J28" s="17">
        <v>1098900</v>
      </c>
      <c r="K28" s="17">
        <v>937620</v>
      </c>
      <c r="L28" s="17">
        <f>J28-K28</f>
      </c>
      <c r="M28" s="14" t="s">
        <v>50</v>
      </c>
      <c r="N28" s="14" t="s">
        <v>2149</v>
      </c>
      <c r="O28" s="16">
        <v>2</v>
      </c>
      <c r="P28" s="17">
        <v>3140</v>
      </c>
      <c r="Q28" s="17">
        <v>600000</v>
      </c>
      <c r="R28" s="17">
        <v>195760</v>
      </c>
      <c r="S28" s="17">
        <f>J28-Q28-P28-R28</f>
      </c>
      <c r="T28" s="12"/>
      <c r="U28" s="14"/>
      <c r="V28" s="14"/>
    </row>
    <row x14ac:dyDescent="0.25" r="29" customHeight="1" ht="15.75">
      <c r="A29" s="12">
        <v>45902</v>
      </c>
      <c r="B29" s="15" t="s">
        <v>1554</v>
      </c>
      <c r="C29" s="161" t="s">
        <v>2150</v>
      </c>
      <c r="D29" s="14" t="s">
        <v>1832</v>
      </c>
      <c r="E29" s="30" t="s">
        <v>2151</v>
      </c>
      <c r="F29" s="14" t="s">
        <v>135</v>
      </c>
      <c r="G29" s="14" t="s">
        <v>2152</v>
      </c>
      <c r="H29" s="14" t="s">
        <v>26</v>
      </c>
      <c r="I29" s="17"/>
      <c r="J29" s="17">
        <v>389550</v>
      </c>
      <c r="K29" s="17">
        <v>342550</v>
      </c>
      <c r="L29" s="17">
        <f>J29-K29</f>
      </c>
      <c r="M29" s="14" t="s">
        <v>50</v>
      </c>
      <c r="N29" s="14" t="s">
        <v>2153</v>
      </c>
      <c r="O29" s="16">
        <v>2</v>
      </c>
      <c r="P29" s="65"/>
      <c r="Q29" s="65"/>
      <c r="R29" s="65"/>
      <c r="S29" s="17">
        <f>J29-Q29-P29-R29</f>
      </c>
      <c r="T29" s="12"/>
      <c r="U29" s="14"/>
      <c r="V29" s="14"/>
    </row>
    <row x14ac:dyDescent="0.25" r="30" customHeight="1" ht="15.75">
      <c r="A30" s="12">
        <v>45902</v>
      </c>
      <c r="B30" s="15" t="s">
        <v>46</v>
      </c>
      <c r="C30" s="161" t="s">
        <v>2154</v>
      </c>
      <c r="D30" s="14" t="s">
        <v>54</v>
      </c>
      <c r="E30" s="30" t="s">
        <v>2155</v>
      </c>
      <c r="F30" s="14" t="s">
        <v>1799</v>
      </c>
      <c r="G30" s="14" t="s">
        <v>2156</v>
      </c>
      <c r="H30" s="14" t="s">
        <v>26</v>
      </c>
      <c r="I30" s="17">
        <v>1385200</v>
      </c>
      <c r="J30" s="17">
        <v>2369720</v>
      </c>
      <c r="K30" s="17">
        <v>2229720</v>
      </c>
      <c r="L30" s="17">
        <f>J30-K30</f>
      </c>
      <c r="M30" s="14" t="s">
        <v>50</v>
      </c>
      <c r="N30" s="14" t="s">
        <v>2157</v>
      </c>
      <c r="O30" s="16">
        <v>2</v>
      </c>
      <c r="P30" s="17">
        <v>504240</v>
      </c>
      <c r="Q30" s="17">
        <v>1500000</v>
      </c>
      <c r="R30" s="17">
        <v>365480</v>
      </c>
      <c r="S30" s="17">
        <f>J30-Q30-P30-R30</f>
      </c>
      <c r="T30" s="12">
        <v>45891</v>
      </c>
      <c r="U30" s="14" t="s">
        <v>1718</v>
      </c>
      <c r="V30" s="14"/>
    </row>
    <row x14ac:dyDescent="0.25" r="31" customHeight="1" ht="15.75">
      <c r="A31" s="12">
        <v>45903</v>
      </c>
      <c r="B31" s="15" t="s">
        <v>46</v>
      </c>
      <c r="C31" s="18">
        <v>45907</v>
      </c>
      <c r="D31" s="14" t="s">
        <v>313</v>
      </c>
      <c r="E31" s="30" t="s">
        <v>2158</v>
      </c>
      <c r="F31" s="14" t="s">
        <v>2159</v>
      </c>
      <c r="G31" s="14" t="s">
        <v>2160</v>
      </c>
      <c r="H31" s="14" t="s">
        <v>26</v>
      </c>
      <c r="I31" s="17">
        <v>853900</v>
      </c>
      <c r="J31" s="17">
        <v>1077820</v>
      </c>
      <c r="K31" s="17">
        <v>1037820</v>
      </c>
      <c r="L31" s="17">
        <f>J31-K31</f>
      </c>
      <c r="M31" s="14" t="s">
        <v>2161</v>
      </c>
      <c r="N31" s="14" t="s">
        <v>2162</v>
      </c>
      <c r="O31" s="16"/>
      <c r="P31" s="65"/>
      <c r="Q31" s="65"/>
      <c r="R31" s="65"/>
      <c r="S31" s="17">
        <f>J31-Q31-P31-R31</f>
      </c>
      <c r="T31" s="12"/>
      <c r="U31" s="14"/>
      <c r="V31" s="14"/>
    </row>
    <row x14ac:dyDescent="0.25" r="32" customHeight="1" ht="15.75">
      <c r="A32" s="12">
        <v>45903</v>
      </c>
      <c r="B32" s="185" t="s">
        <v>62</v>
      </c>
      <c r="C32" s="161" t="s">
        <v>2133</v>
      </c>
      <c r="D32" s="14" t="s">
        <v>2163</v>
      </c>
      <c r="E32" s="30" t="s">
        <v>2164</v>
      </c>
      <c r="F32" s="14" t="s">
        <v>102</v>
      </c>
      <c r="G32" s="14" t="s">
        <v>2165</v>
      </c>
      <c r="H32" s="14" t="s">
        <v>26</v>
      </c>
      <c r="I32" s="17"/>
      <c r="J32" s="17">
        <v>205800</v>
      </c>
      <c r="K32" s="17">
        <v>165000</v>
      </c>
      <c r="L32" s="17">
        <f>J32-K32</f>
      </c>
      <c r="M32" s="14" t="s">
        <v>43</v>
      </c>
      <c r="N32" s="70" t="s">
        <v>2166</v>
      </c>
      <c r="O32" s="16" t="s">
        <v>33</v>
      </c>
      <c r="P32" s="65"/>
      <c r="Q32" s="65"/>
      <c r="R32" s="65"/>
      <c r="S32" s="17">
        <f>J32-Q32-P32-R32</f>
      </c>
      <c r="T32" s="12"/>
      <c r="U32" s="14"/>
      <c r="V32" s="14"/>
    </row>
    <row x14ac:dyDescent="0.25" r="33" customHeight="1" ht="15.75">
      <c r="A33" s="12">
        <v>45903</v>
      </c>
      <c r="B33" s="185" t="s">
        <v>82</v>
      </c>
      <c r="C33" s="161" t="s">
        <v>2167</v>
      </c>
      <c r="D33" s="14" t="s">
        <v>691</v>
      </c>
      <c r="E33" s="30" t="s">
        <v>2168</v>
      </c>
      <c r="F33" s="14" t="s">
        <v>84</v>
      </c>
      <c r="G33" s="14" t="s">
        <v>2169</v>
      </c>
      <c r="H33" s="14" t="s">
        <v>26</v>
      </c>
      <c r="I33" s="17"/>
      <c r="J33" s="17">
        <v>105500</v>
      </c>
      <c r="K33" s="17">
        <v>66940</v>
      </c>
      <c r="L33" s="17">
        <f>J33-K33</f>
      </c>
      <c r="M33" s="14" t="s">
        <v>86</v>
      </c>
      <c r="N33" s="70" t="s">
        <v>2170</v>
      </c>
      <c r="O33" s="16"/>
      <c r="P33" s="65"/>
      <c r="Q33" s="65"/>
      <c r="R33" s="17"/>
      <c r="S33" s="17">
        <f>J33-Q33-P33-R33</f>
      </c>
      <c r="T33" s="12"/>
      <c r="U33" s="14"/>
      <c r="V33" s="14"/>
    </row>
    <row x14ac:dyDescent="0.25" r="34" customHeight="1" ht="18">
      <c r="A34" s="12">
        <v>45903</v>
      </c>
      <c r="B34" s="14" t="s">
        <v>66</v>
      </c>
      <c r="C34" s="161" t="s">
        <v>2171</v>
      </c>
      <c r="D34" s="14" t="s">
        <v>166</v>
      </c>
      <c r="E34" s="30"/>
      <c r="F34" s="14" t="s">
        <v>2172</v>
      </c>
      <c r="G34" s="14" t="s">
        <v>2173</v>
      </c>
      <c r="H34" s="14" t="s">
        <v>26</v>
      </c>
      <c r="I34" s="65"/>
      <c r="J34" s="16">
        <v>70000</v>
      </c>
      <c r="K34" s="16">
        <v>47900</v>
      </c>
      <c r="L34" s="16">
        <f>J34-K34</f>
      </c>
      <c r="M34" s="14" t="s">
        <v>2174</v>
      </c>
      <c r="N34" s="14" t="s">
        <v>2175</v>
      </c>
      <c r="O34" s="65"/>
      <c r="P34" s="65"/>
      <c r="Q34" s="65"/>
      <c r="R34" s="17">
        <f>J34-P34-Q34</f>
      </c>
      <c r="S34" s="17">
        <f>J34-Q34-P34-R34</f>
      </c>
      <c r="T34" s="12"/>
      <c r="U34" s="14"/>
      <c r="V34" s="34"/>
    </row>
    <row x14ac:dyDescent="0.25" r="35" customHeight="1" ht="18">
      <c r="A35" s="12">
        <v>45903</v>
      </c>
      <c r="B35" s="14" t="s">
        <v>66</v>
      </c>
      <c r="C35" s="161" t="s">
        <v>2171</v>
      </c>
      <c r="D35" s="14" t="s">
        <v>166</v>
      </c>
      <c r="E35" s="30"/>
      <c r="F35" s="14" t="s">
        <v>2176</v>
      </c>
      <c r="G35" s="14" t="s">
        <v>2177</v>
      </c>
      <c r="H35" s="14" t="s">
        <v>26</v>
      </c>
      <c r="I35" s="65"/>
      <c r="J35" s="16">
        <v>70000</v>
      </c>
      <c r="K35" s="16">
        <v>47900</v>
      </c>
      <c r="L35" s="16">
        <f>J35-K35</f>
      </c>
      <c r="M35" s="14" t="s">
        <v>2174</v>
      </c>
      <c r="N35" s="14" t="s">
        <v>2175</v>
      </c>
      <c r="O35" s="65"/>
      <c r="P35" s="65"/>
      <c r="Q35" s="65"/>
      <c r="R35" s="17">
        <f>J35-P35-Q35</f>
      </c>
      <c r="S35" s="17">
        <f>J35-Q35-P35-R35</f>
      </c>
      <c r="T35" s="12"/>
      <c r="U35" s="14"/>
      <c r="V35" s="34"/>
    </row>
    <row x14ac:dyDescent="0.25" r="36" customHeight="1" ht="15.75">
      <c r="A36" s="12">
        <v>45904</v>
      </c>
      <c r="B36" s="15" t="s">
        <v>1554</v>
      </c>
      <c r="C36" s="161" t="s">
        <v>2115</v>
      </c>
      <c r="D36" s="14" t="s">
        <v>2178</v>
      </c>
      <c r="E36" s="14" t="s">
        <v>2179</v>
      </c>
      <c r="F36" s="14" t="s">
        <v>135</v>
      </c>
      <c r="G36" s="14" t="s">
        <v>2152</v>
      </c>
      <c r="H36" s="30" t="s">
        <v>26</v>
      </c>
      <c r="I36" s="17"/>
      <c r="J36" s="17">
        <v>385000</v>
      </c>
      <c r="K36" s="17">
        <v>335000</v>
      </c>
      <c r="L36" s="17">
        <f>J36-K36</f>
      </c>
      <c r="M36" s="14" t="s">
        <v>43</v>
      </c>
      <c r="N36" s="14" t="s">
        <v>2180</v>
      </c>
      <c r="O36" s="16"/>
      <c r="P36" s="65"/>
      <c r="Q36" s="65"/>
      <c r="R36" s="17"/>
      <c r="S36" s="17">
        <f>J36-Q36-P36-R36</f>
      </c>
      <c r="T36" s="12"/>
      <c r="U36" s="14"/>
      <c r="V36" s="14"/>
    </row>
    <row x14ac:dyDescent="0.25" r="37" customHeight="1" ht="15.75">
      <c r="A37" s="12">
        <v>45904</v>
      </c>
      <c r="B37" s="185" t="s">
        <v>82</v>
      </c>
      <c r="C37" s="161" t="s">
        <v>2167</v>
      </c>
      <c r="D37" s="14" t="s">
        <v>691</v>
      </c>
      <c r="E37" s="30" t="s">
        <v>2181</v>
      </c>
      <c r="F37" s="14" t="s">
        <v>84</v>
      </c>
      <c r="G37" s="14" t="s">
        <v>2182</v>
      </c>
      <c r="H37" s="14" t="s">
        <v>26</v>
      </c>
      <c r="I37" s="17"/>
      <c r="J37" s="17">
        <v>105500</v>
      </c>
      <c r="K37" s="17">
        <v>57400</v>
      </c>
      <c r="L37" s="17">
        <f>J37-K37</f>
      </c>
      <c r="M37" s="14" t="s">
        <v>86</v>
      </c>
      <c r="N37" s="70" t="s">
        <v>2183</v>
      </c>
      <c r="O37" s="16"/>
      <c r="P37" s="65"/>
      <c r="Q37" s="65"/>
      <c r="R37" s="17"/>
      <c r="S37" s="17">
        <f>J37-Q37-P37-R37</f>
      </c>
      <c r="T37" s="12"/>
      <c r="U37" s="14"/>
      <c r="V37" s="14"/>
    </row>
    <row x14ac:dyDescent="0.25" r="38" customHeight="1" ht="15.75">
      <c r="A38" s="12">
        <v>45904</v>
      </c>
      <c r="B38" s="15" t="s">
        <v>46</v>
      </c>
      <c r="C38" s="161" t="s">
        <v>1683</v>
      </c>
      <c r="D38" s="14" t="s">
        <v>54</v>
      </c>
      <c r="E38" s="30" t="s">
        <v>2184</v>
      </c>
      <c r="F38" s="14" t="s">
        <v>1685</v>
      </c>
      <c r="G38" s="14" t="s">
        <v>1685</v>
      </c>
      <c r="H38" s="14" t="s">
        <v>26</v>
      </c>
      <c r="I38" s="17">
        <v>387200</v>
      </c>
      <c r="J38" s="17">
        <v>782900</v>
      </c>
      <c r="K38" s="17">
        <v>702420</v>
      </c>
      <c r="L38" s="17">
        <f>J38-K38</f>
      </c>
      <c r="M38" s="14" t="s">
        <v>50</v>
      </c>
      <c r="N38" s="14" t="s">
        <v>2185</v>
      </c>
      <c r="O38" s="16">
        <v>2</v>
      </c>
      <c r="P38" s="65"/>
      <c r="Q38" s="65"/>
      <c r="R38" s="17">
        <v>782900</v>
      </c>
      <c r="S38" s="17">
        <f>J38-Q38-P38-R38</f>
      </c>
      <c r="T38" s="12">
        <v>45904</v>
      </c>
      <c r="U38" s="14" t="s">
        <v>1718</v>
      </c>
      <c r="V38" s="14"/>
    </row>
    <row x14ac:dyDescent="0.25" r="39" customHeight="1" ht="15.75">
      <c r="A39" s="12">
        <v>45904</v>
      </c>
      <c r="B39" s="15" t="s">
        <v>82</v>
      </c>
      <c r="C39" s="161" t="s">
        <v>2186</v>
      </c>
      <c r="D39" s="14" t="s">
        <v>83</v>
      </c>
      <c r="E39" s="30" t="s">
        <v>2187</v>
      </c>
      <c r="F39" s="14" t="s">
        <v>327</v>
      </c>
      <c r="G39" s="14" t="s">
        <v>2188</v>
      </c>
      <c r="H39" s="14"/>
      <c r="I39" s="17"/>
      <c r="J39" s="17">
        <v>118750</v>
      </c>
      <c r="K39" s="17">
        <v>81540</v>
      </c>
      <c r="L39" s="17">
        <f>J39-K39</f>
      </c>
      <c r="M39" s="14" t="s">
        <v>86</v>
      </c>
      <c r="N39" s="14" t="s">
        <v>2189</v>
      </c>
      <c r="O39" s="16"/>
      <c r="P39" s="65"/>
      <c r="Q39" s="65"/>
      <c r="R39" s="65"/>
      <c r="S39" s="17">
        <f>J39-Q39-P39-R39</f>
      </c>
      <c r="T39" s="12"/>
      <c r="U39" s="14"/>
      <c r="V39" s="14"/>
    </row>
    <row x14ac:dyDescent="0.25" r="40" customHeight="1" ht="15.75">
      <c r="A40" s="12">
        <v>45904</v>
      </c>
      <c r="B40" s="15" t="s">
        <v>72</v>
      </c>
      <c r="C40" s="18">
        <v>45906</v>
      </c>
      <c r="D40" s="14" t="s">
        <v>264</v>
      </c>
      <c r="E40" s="30" t="s">
        <v>2190</v>
      </c>
      <c r="F40" s="14" t="s">
        <v>2191</v>
      </c>
      <c r="G40" s="14" t="s">
        <v>2192</v>
      </c>
      <c r="H40" s="14" t="s">
        <v>26</v>
      </c>
      <c r="I40" s="17"/>
      <c r="J40" s="17">
        <v>143700</v>
      </c>
      <c r="K40" s="17">
        <v>98700</v>
      </c>
      <c r="L40" s="17">
        <f>J40-K40</f>
      </c>
      <c r="M40" s="14" t="s">
        <v>50</v>
      </c>
      <c r="N40" s="14" t="s">
        <v>2193</v>
      </c>
      <c r="O40" s="16"/>
      <c r="P40" s="17"/>
      <c r="Q40" s="17"/>
      <c r="R40" s="17"/>
      <c r="S40" s="17">
        <f>J40-Q40-P40-R40</f>
      </c>
      <c r="T40" s="175"/>
      <c r="U40" s="14"/>
      <c r="V40" s="14"/>
    </row>
    <row x14ac:dyDescent="0.25" r="41" customHeight="1" ht="15.75">
      <c r="A41" s="12">
        <v>45904</v>
      </c>
      <c r="B41" s="15" t="s">
        <v>72</v>
      </c>
      <c r="C41" s="18">
        <v>45906</v>
      </c>
      <c r="D41" s="14" t="s">
        <v>264</v>
      </c>
      <c r="E41" s="30" t="s">
        <v>2190</v>
      </c>
      <c r="F41" s="14" t="s">
        <v>2191</v>
      </c>
      <c r="G41" s="14" t="s">
        <v>2194</v>
      </c>
      <c r="H41" s="14" t="s">
        <v>26</v>
      </c>
      <c r="I41" s="17"/>
      <c r="J41" s="17">
        <v>143700</v>
      </c>
      <c r="K41" s="17">
        <v>98700</v>
      </c>
      <c r="L41" s="17">
        <f>J41-K41</f>
      </c>
      <c r="M41" s="14" t="s">
        <v>50</v>
      </c>
      <c r="N41" s="14" t="s">
        <v>2195</v>
      </c>
      <c r="O41" s="16"/>
      <c r="P41" s="17"/>
      <c r="Q41" s="17"/>
      <c r="R41" s="17"/>
      <c r="S41" s="17">
        <f>J41-Q41-P41-R41</f>
      </c>
      <c r="T41" s="175"/>
      <c r="U41" s="14"/>
      <c r="V41" s="14"/>
    </row>
    <row x14ac:dyDescent="0.25" r="42" customHeight="1" ht="15.75">
      <c r="A42" s="12">
        <v>45904</v>
      </c>
      <c r="B42" s="15" t="s">
        <v>72</v>
      </c>
      <c r="C42" s="18">
        <v>45906</v>
      </c>
      <c r="D42" s="14" t="s">
        <v>264</v>
      </c>
      <c r="E42" s="30" t="s">
        <v>2190</v>
      </c>
      <c r="F42" s="14" t="s">
        <v>2191</v>
      </c>
      <c r="G42" s="14" t="s">
        <v>2196</v>
      </c>
      <c r="H42" s="14" t="s">
        <v>26</v>
      </c>
      <c r="I42" s="17"/>
      <c r="J42" s="17">
        <v>143700</v>
      </c>
      <c r="K42" s="17">
        <v>98700</v>
      </c>
      <c r="L42" s="17">
        <f>J42-K42</f>
      </c>
      <c r="M42" s="14" t="s">
        <v>50</v>
      </c>
      <c r="N42" s="14" t="s">
        <v>2197</v>
      </c>
      <c r="O42" s="16"/>
      <c r="P42" s="17"/>
      <c r="Q42" s="17"/>
      <c r="R42" s="17"/>
      <c r="S42" s="17">
        <f>J42-Q42-P42-R42</f>
      </c>
      <c r="T42" s="175"/>
      <c r="U42" s="14"/>
      <c r="V42" s="14"/>
    </row>
    <row x14ac:dyDescent="0.25" r="43" customHeight="1" ht="15.75">
      <c r="A43" s="12">
        <v>45905</v>
      </c>
      <c r="B43" s="15" t="s">
        <v>123</v>
      </c>
      <c r="C43" s="161" t="s">
        <v>2198</v>
      </c>
      <c r="D43" s="14" t="s">
        <v>2199</v>
      </c>
      <c r="E43" s="30" t="s">
        <v>2200</v>
      </c>
      <c r="F43" s="14" t="s">
        <v>2201</v>
      </c>
      <c r="G43" s="14" t="s">
        <v>2201</v>
      </c>
      <c r="H43" s="14" t="s">
        <v>2202</v>
      </c>
      <c r="I43" s="17">
        <v>258600</v>
      </c>
      <c r="J43" s="17">
        <v>516000</v>
      </c>
      <c r="K43" s="17">
        <v>506000</v>
      </c>
      <c r="L43" s="17">
        <f>J43-K43</f>
      </c>
      <c r="M43" s="14" t="s">
        <v>50</v>
      </c>
      <c r="N43" s="14" t="s">
        <v>2203</v>
      </c>
      <c r="O43" s="16">
        <v>2</v>
      </c>
      <c r="P43" s="65"/>
      <c r="Q43" s="65"/>
      <c r="R43" s="17">
        <v>516000</v>
      </c>
      <c r="S43" s="17">
        <f>J43-Q43-P43-R43</f>
      </c>
      <c r="T43" s="12">
        <v>45905</v>
      </c>
      <c r="U43" s="14" t="s">
        <v>1718</v>
      </c>
      <c r="V43" s="14"/>
    </row>
    <row x14ac:dyDescent="0.25" r="44" customHeight="1" ht="15.75">
      <c r="A44" s="12">
        <v>45905</v>
      </c>
      <c r="B44" s="15" t="s">
        <v>475</v>
      </c>
      <c r="C44" s="18">
        <v>45905</v>
      </c>
      <c r="D44" s="14" t="s">
        <v>508</v>
      </c>
      <c r="E44" s="30" t="s">
        <v>2204</v>
      </c>
      <c r="F44" s="14" t="s">
        <v>548</v>
      </c>
      <c r="G44" s="14" t="s">
        <v>2205</v>
      </c>
      <c r="H44" s="14" t="s">
        <v>26</v>
      </c>
      <c r="I44" s="17"/>
      <c r="J44" s="17">
        <v>235000</v>
      </c>
      <c r="K44" s="17">
        <v>190000</v>
      </c>
      <c r="L44" s="17">
        <f>J44-K44</f>
      </c>
      <c r="M44" s="14" t="s">
        <v>475</v>
      </c>
      <c r="N44" s="14" t="s">
        <v>2206</v>
      </c>
      <c r="O44" s="16"/>
      <c r="P44" s="65"/>
      <c r="Q44" s="65"/>
      <c r="R44" s="17"/>
      <c r="S44" s="17">
        <f>J44-Q44-P44-R44</f>
      </c>
      <c r="T44" s="12"/>
      <c r="U44" s="14"/>
      <c r="V44" s="14"/>
    </row>
    <row x14ac:dyDescent="0.25" r="45" customHeight="1" ht="15.75">
      <c r="A45" s="12">
        <v>45905</v>
      </c>
      <c r="B45" s="15" t="s">
        <v>475</v>
      </c>
      <c r="C45" s="161" t="s">
        <v>2167</v>
      </c>
      <c r="D45" s="14" t="s">
        <v>477</v>
      </c>
      <c r="E45" s="30" t="s">
        <v>2207</v>
      </c>
      <c r="F45" s="14" t="s">
        <v>141</v>
      </c>
      <c r="G45" s="14" t="s">
        <v>2208</v>
      </c>
      <c r="H45" s="14" t="s">
        <v>26</v>
      </c>
      <c r="I45" s="17"/>
      <c r="J45" s="17">
        <v>348000</v>
      </c>
      <c r="K45" s="17">
        <v>298000</v>
      </c>
      <c r="L45" s="17">
        <f>J45-K45</f>
      </c>
      <c r="M45" s="14" t="s">
        <v>475</v>
      </c>
      <c r="N45" s="14" t="s">
        <v>2209</v>
      </c>
      <c r="O45" s="16"/>
      <c r="P45" s="65"/>
      <c r="Q45" s="65"/>
      <c r="R45" s="17"/>
      <c r="S45" s="17">
        <f>J45-Q45-P45-R45</f>
      </c>
      <c r="T45" s="12"/>
      <c r="U45" s="14"/>
      <c r="V45" s="14"/>
    </row>
    <row x14ac:dyDescent="0.25" r="46" customHeight="1" ht="15.75">
      <c r="A46" s="12">
        <v>45908</v>
      </c>
      <c r="B46" s="15" t="s">
        <v>111</v>
      </c>
      <c r="C46" s="161" t="s">
        <v>2210</v>
      </c>
      <c r="D46" s="14" t="s">
        <v>2211</v>
      </c>
      <c r="E46" s="30" t="s">
        <v>2212</v>
      </c>
      <c r="F46" s="14" t="s">
        <v>2213</v>
      </c>
      <c r="G46" s="14" t="s">
        <v>2214</v>
      </c>
      <c r="H46" s="14" t="s">
        <v>26</v>
      </c>
      <c r="I46" s="17">
        <v>352200</v>
      </c>
      <c r="J46" s="17">
        <v>897900</v>
      </c>
      <c r="K46" s="17">
        <v>788820</v>
      </c>
      <c r="L46" s="17">
        <f>J46-K46</f>
      </c>
      <c r="M46" s="14" t="s">
        <v>50</v>
      </c>
      <c r="N46" s="14" t="s">
        <v>2215</v>
      </c>
      <c r="O46" s="16">
        <v>4</v>
      </c>
      <c r="P46" s="65"/>
      <c r="Q46" s="65"/>
      <c r="R46" s="17">
        <v>897900</v>
      </c>
      <c r="S46" s="17">
        <f>J46-Q46-P46-R46</f>
      </c>
      <c r="T46" s="12">
        <v>45916</v>
      </c>
      <c r="U46" s="14" t="s">
        <v>2216</v>
      </c>
      <c r="V46" s="14" t="s">
        <v>2217</v>
      </c>
    </row>
    <row x14ac:dyDescent="0.25" r="47" customHeight="1" ht="15.75">
      <c r="A47" s="12">
        <v>45908</v>
      </c>
      <c r="B47" s="15" t="s">
        <v>22</v>
      </c>
      <c r="C47" s="18">
        <v>45908</v>
      </c>
      <c r="D47" s="14" t="s">
        <v>485</v>
      </c>
      <c r="E47" s="30" t="s">
        <v>2218</v>
      </c>
      <c r="F47" s="14" t="s">
        <v>548</v>
      </c>
      <c r="G47" s="14" t="s">
        <v>2205</v>
      </c>
      <c r="H47" s="14" t="s">
        <v>26</v>
      </c>
      <c r="I47" s="17"/>
      <c r="J47" s="17">
        <v>225000</v>
      </c>
      <c r="K47" s="17">
        <v>175000</v>
      </c>
      <c r="L47" s="17">
        <f>J47-K47</f>
      </c>
      <c r="M47" s="14" t="s">
        <v>22</v>
      </c>
      <c r="N47" s="14" t="s">
        <v>2219</v>
      </c>
      <c r="O47" s="16"/>
      <c r="P47" s="65"/>
      <c r="Q47" s="65"/>
      <c r="R47" s="65"/>
      <c r="S47" s="17">
        <f>J47-Q47-P47-R47</f>
      </c>
      <c r="T47" s="12"/>
      <c r="U47" s="14"/>
      <c r="V47" s="14"/>
    </row>
    <row x14ac:dyDescent="0.25" r="48" customHeight="1" ht="15.75">
      <c r="A48" s="12">
        <v>45908</v>
      </c>
      <c r="B48" s="15" t="s">
        <v>123</v>
      </c>
      <c r="C48" s="161" t="s">
        <v>2220</v>
      </c>
      <c r="D48" s="14" t="s">
        <v>1735</v>
      </c>
      <c r="E48" s="30" t="s">
        <v>2221</v>
      </c>
      <c r="F48" s="14" t="s">
        <v>2222</v>
      </c>
      <c r="G48" s="14" t="s">
        <v>2222</v>
      </c>
      <c r="H48" s="14" t="s">
        <v>26</v>
      </c>
      <c r="I48" s="17"/>
      <c r="J48" s="17">
        <v>93300</v>
      </c>
      <c r="K48" s="17">
        <v>73300</v>
      </c>
      <c r="L48" s="17">
        <f>J48-K48</f>
      </c>
      <c r="M48" s="14" t="s">
        <v>50</v>
      </c>
      <c r="N48" s="14" t="s">
        <v>2223</v>
      </c>
      <c r="O48" s="16"/>
      <c r="P48" s="65"/>
      <c r="Q48" s="65"/>
      <c r="R48" s="17">
        <v>93300</v>
      </c>
      <c r="S48" s="17">
        <f>J48-Q48-P48-R48</f>
      </c>
      <c r="T48" s="12">
        <v>45908</v>
      </c>
      <c r="U48" s="14" t="s">
        <v>1718</v>
      </c>
      <c r="V48" s="14"/>
    </row>
    <row x14ac:dyDescent="0.25" r="49" customHeight="1" ht="15.75">
      <c r="A49" s="12">
        <v>45908</v>
      </c>
      <c r="B49" s="15" t="s">
        <v>46</v>
      </c>
      <c r="C49" s="18">
        <v>45911</v>
      </c>
      <c r="D49" s="14" t="s">
        <v>313</v>
      </c>
      <c r="E49" s="30" t="s">
        <v>2224</v>
      </c>
      <c r="F49" s="14" t="s">
        <v>2225</v>
      </c>
      <c r="G49" s="14" t="s">
        <v>2225</v>
      </c>
      <c r="H49" s="14" t="s">
        <v>26</v>
      </c>
      <c r="I49" s="17"/>
      <c r="J49" s="17">
        <v>1068800</v>
      </c>
      <c r="K49" s="17">
        <v>1015420</v>
      </c>
      <c r="L49" s="17">
        <f>J49-K49</f>
      </c>
      <c r="M49" s="14" t="s">
        <v>50</v>
      </c>
      <c r="N49" s="14" t="s">
        <v>2226</v>
      </c>
      <c r="O49" s="16"/>
      <c r="P49" s="65"/>
      <c r="Q49" s="65"/>
      <c r="R49" s="65"/>
      <c r="S49" s="17">
        <f>J49-Q49-P49-R49</f>
      </c>
      <c r="T49" s="12"/>
      <c r="U49" s="14"/>
      <c r="V49" s="14"/>
    </row>
    <row x14ac:dyDescent="0.25" r="50" customHeight="1" ht="15.75">
      <c r="A50" s="12">
        <v>45908</v>
      </c>
      <c r="B50" s="15" t="s">
        <v>46</v>
      </c>
      <c r="C50" s="161" t="s">
        <v>2227</v>
      </c>
      <c r="D50" s="14" t="s">
        <v>417</v>
      </c>
      <c r="E50" s="30" t="s">
        <v>2228</v>
      </c>
      <c r="F50" s="14" t="s">
        <v>2229</v>
      </c>
      <c r="G50" s="14" t="s">
        <v>2230</v>
      </c>
      <c r="H50" s="14" t="s">
        <v>26</v>
      </c>
      <c r="I50" s="17">
        <v>1724500</v>
      </c>
      <c r="J50" s="17">
        <v>2340920</v>
      </c>
      <c r="K50" s="17">
        <v>2240320</v>
      </c>
      <c r="L50" s="17">
        <f>J50-K50</f>
      </c>
      <c r="M50" s="14" t="s">
        <v>50</v>
      </c>
      <c r="N50" s="14" t="s">
        <v>2231</v>
      </c>
      <c r="O50" s="16">
        <v>4</v>
      </c>
      <c r="P50" s="65"/>
      <c r="Q50" s="65"/>
      <c r="R50" s="65"/>
      <c r="S50" s="17">
        <f>J50-Q50-P50-R50</f>
      </c>
      <c r="T50" s="12"/>
      <c r="U50" s="14"/>
      <c r="V50" s="14"/>
    </row>
    <row x14ac:dyDescent="0.25" r="51" customHeight="1" ht="15.75">
      <c r="A51" s="12">
        <v>45908</v>
      </c>
      <c r="B51" s="15" t="s">
        <v>46</v>
      </c>
      <c r="C51" s="161" t="s">
        <v>2227</v>
      </c>
      <c r="D51" s="14" t="s">
        <v>417</v>
      </c>
      <c r="E51" s="30" t="s">
        <v>2228</v>
      </c>
      <c r="F51" s="14" t="s">
        <v>2229</v>
      </c>
      <c r="G51" s="14" t="s">
        <v>2232</v>
      </c>
      <c r="H51" s="14" t="s">
        <v>26</v>
      </c>
      <c r="I51" s="17">
        <v>1724500</v>
      </c>
      <c r="J51" s="17">
        <v>2340920</v>
      </c>
      <c r="K51" s="17">
        <v>2240320</v>
      </c>
      <c r="L51" s="17">
        <f>J51-K51</f>
      </c>
      <c r="M51" s="14" t="s">
        <v>50</v>
      </c>
      <c r="N51" s="14" t="s">
        <v>2233</v>
      </c>
      <c r="O51" s="16">
        <v>4</v>
      </c>
      <c r="P51" s="65"/>
      <c r="Q51" s="65"/>
      <c r="R51" s="65"/>
      <c r="S51" s="17">
        <f>J51-Q51-P51-R51</f>
      </c>
      <c r="T51" s="12"/>
      <c r="U51" s="14"/>
      <c r="V51" s="14"/>
    </row>
    <row x14ac:dyDescent="0.25" r="52" customHeight="1" ht="15.75">
      <c r="A52" s="12">
        <v>45909</v>
      </c>
      <c r="B52" s="15" t="s">
        <v>111</v>
      </c>
      <c r="C52" s="161" t="s">
        <v>2234</v>
      </c>
      <c r="D52" s="14" t="s">
        <v>112</v>
      </c>
      <c r="E52" s="30" t="s">
        <v>2235</v>
      </c>
      <c r="F52" s="14" t="s">
        <v>84</v>
      </c>
      <c r="G52" s="14" t="s">
        <v>2236</v>
      </c>
      <c r="H52" s="14" t="s">
        <v>26</v>
      </c>
      <c r="I52" s="17">
        <v>159200</v>
      </c>
      <c r="J52" s="17">
        <v>525900</v>
      </c>
      <c r="K52" s="17">
        <v>425405</v>
      </c>
      <c r="L52" s="17">
        <f>J52-K52</f>
      </c>
      <c r="M52" s="14" t="s">
        <v>50</v>
      </c>
      <c r="N52" s="14" t="s">
        <v>2237</v>
      </c>
      <c r="O52" s="16">
        <v>2</v>
      </c>
      <c r="P52" s="65"/>
      <c r="Q52" s="65"/>
      <c r="R52" s="65"/>
      <c r="S52" s="17">
        <f>J52-Q52-P52-R52</f>
      </c>
      <c r="T52" s="12"/>
      <c r="U52" s="14"/>
      <c r="V52" s="14"/>
    </row>
    <row x14ac:dyDescent="0.25" r="53" customHeight="1" ht="15.75">
      <c r="A53" s="12">
        <v>45909</v>
      </c>
      <c r="B53" s="15" t="s">
        <v>111</v>
      </c>
      <c r="C53" s="161" t="s">
        <v>2234</v>
      </c>
      <c r="D53" s="14" t="s">
        <v>112</v>
      </c>
      <c r="E53" s="30" t="s">
        <v>2235</v>
      </c>
      <c r="F53" s="14" t="s">
        <v>84</v>
      </c>
      <c r="G53" s="14" t="s">
        <v>2238</v>
      </c>
      <c r="H53" s="14" t="s">
        <v>26</v>
      </c>
      <c r="I53" s="17">
        <v>159200</v>
      </c>
      <c r="J53" s="17">
        <v>525900</v>
      </c>
      <c r="K53" s="17">
        <v>425405</v>
      </c>
      <c r="L53" s="17">
        <f>J53-K53</f>
      </c>
      <c r="M53" s="14" t="s">
        <v>50</v>
      </c>
      <c r="N53" s="14" t="s">
        <v>2239</v>
      </c>
      <c r="O53" s="16">
        <v>2</v>
      </c>
      <c r="P53" s="65"/>
      <c r="Q53" s="65"/>
      <c r="R53" s="65"/>
      <c r="S53" s="17">
        <f>J53-Q53-P53-R53</f>
      </c>
      <c r="T53" s="12"/>
      <c r="U53" s="14"/>
      <c r="V53" s="14"/>
    </row>
    <row x14ac:dyDescent="0.25" r="54" customHeight="1" ht="15.75">
      <c r="A54" s="12">
        <v>45909</v>
      </c>
      <c r="B54" s="15" t="s">
        <v>72</v>
      </c>
      <c r="C54" s="18">
        <v>45912</v>
      </c>
      <c r="D54" s="14" t="s">
        <v>313</v>
      </c>
      <c r="E54" s="30" t="s">
        <v>2240</v>
      </c>
      <c r="F54" s="14" t="s">
        <v>2241</v>
      </c>
      <c r="G54" s="14" t="s">
        <v>2241</v>
      </c>
      <c r="H54" s="14" t="s">
        <v>2202</v>
      </c>
      <c r="I54" s="17">
        <v>620000</v>
      </c>
      <c r="J54" s="17">
        <v>828220</v>
      </c>
      <c r="K54" s="17">
        <v>808220</v>
      </c>
      <c r="L54" s="17">
        <f>J54-K54</f>
      </c>
      <c r="M54" s="14" t="s">
        <v>50</v>
      </c>
      <c r="N54" s="14" t="s">
        <v>2242</v>
      </c>
      <c r="O54" s="16">
        <v>2</v>
      </c>
      <c r="P54" s="65"/>
      <c r="Q54" s="65"/>
      <c r="R54" s="17">
        <v>828220</v>
      </c>
      <c r="S54" s="17">
        <f>J54-Q54-P54-R54</f>
      </c>
      <c r="T54" s="12">
        <v>45909</v>
      </c>
      <c r="U54" s="14" t="s">
        <v>1718</v>
      </c>
      <c r="V54" s="14"/>
    </row>
    <row x14ac:dyDescent="0.25" r="55" customHeight="1" ht="15.75">
      <c r="A55" s="12">
        <v>45911</v>
      </c>
      <c r="B55" s="15" t="s">
        <v>72</v>
      </c>
      <c r="C55" s="18">
        <v>45931</v>
      </c>
      <c r="D55" s="14" t="s">
        <v>264</v>
      </c>
      <c r="E55" s="30"/>
      <c r="F55" s="14" t="s">
        <v>1762</v>
      </c>
      <c r="G55" s="14" t="s">
        <v>1762</v>
      </c>
      <c r="H55" s="14" t="s">
        <v>26</v>
      </c>
      <c r="I55" s="17"/>
      <c r="J55" s="17">
        <v>130000</v>
      </c>
      <c r="K55" s="17">
        <v>97700</v>
      </c>
      <c r="L55" s="17">
        <f>J55-K55</f>
      </c>
      <c r="M55" s="14" t="s">
        <v>1758</v>
      </c>
      <c r="N55" s="14" t="s">
        <v>2243</v>
      </c>
      <c r="O55" s="16"/>
      <c r="P55" s="65"/>
      <c r="Q55" s="65"/>
      <c r="R55" s="17"/>
      <c r="S55" s="17"/>
      <c r="T55" s="12"/>
      <c r="U55" s="14"/>
      <c r="V55" s="14"/>
    </row>
    <row x14ac:dyDescent="0.25" r="56" customHeight="1" ht="15.75">
      <c r="A56" s="12">
        <v>45911</v>
      </c>
      <c r="B56" s="15" t="s">
        <v>82</v>
      </c>
      <c r="C56" s="161" t="s">
        <v>2244</v>
      </c>
      <c r="D56" s="14" t="s">
        <v>83</v>
      </c>
      <c r="E56" s="30" t="s">
        <v>2245</v>
      </c>
      <c r="F56" s="14" t="s">
        <v>2246</v>
      </c>
      <c r="G56" s="14" t="s">
        <v>2247</v>
      </c>
      <c r="H56" s="14" t="s">
        <v>26</v>
      </c>
      <c r="I56" s="17"/>
      <c r="J56" s="17">
        <v>125800</v>
      </c>
      <c r="K56" s="17">
        <v>85400</v>
      </c>
      <c r="L56" s="17">
        <f>J56-K56</f>
      </c>
      <c r="M56" s="14" t="s">
        <v>43</v>
      </c>
      <c r="N56" s="14" t="s">
        <v>2248</v>
      </c>
      <c r="O56" s="16"/>
      <c r="P56" s="65"/>
      <c r="Q56" s="65"/>
      <c r="R56" s="17">
        <v>125800</v>
      </c>
      <c r="S56" s="17">
        <f>J56-Q56-P56-R56</f>
      </c>
      <c r="T56" s="12">
        <v>45911</v>
      </c>
      <c r="U56" s="14" t="s">
        <v>1718</v>
      </c>
      <c r="V56" s="14"/>
    </row>
    <row x14ac:dyDescent="0.25" r="57" customHeight="1" ht="15.75">
      <c r="A57" s="12">
        <v>45911</v>
      </c>
      <c r="B57" s="15" t="s">
        <v>82</v>
      </c>
      <c r="C57" s="161" t="s">
        <v>2244</v>
      </c>
      <c r="D57" s="14" t="s">
        <v>83</v>
      </c>
      <c r="E57" s="30" t="s">
        <v>2249</v>
      </c>
      <c r="F57" s="14" t="s">
        <v>84</v>
      </c>
      <c r="G57" s="14" t="s">
        <v>304</v>
      </c>
      <c r="H57" s="14" t="s">
        <v>26</v>
      </c>
      <c r="I57" s="17"/>
      <c r="J57" s="17">
        <v>125800</v>
      </c>
      <c r="K57" s="17">
        <v>85400</v>
      </c>
      <c r="L57" s="17">
        <f>J57-K57</f>
      </c>
      <c r="M57" s="14" t="s">
        <v>43</v>
      </c>
      <c r="N57" s="14" t="s">
        <v>2250</v>
      </c>
      <c r="O57" s="16"/>
      <c r="P57" s="65"/>
      <c r="Q57" s="65"/>
      <c r="R57" s="65"/>
      <c r="S57" s="17">
        <f>J57-Q57-P57-R57</f>
      </c>
      <c r="T57" s="12"/>
      <c r="U57" s="14"/>
      <c r="V57" s="14"/>
    </row>
    <row x14ac:dyDescent="0.25" r="58" customHeight="1" ht="15.75">
      <c r="A58" s="163">
        <v>45911</v>
      </c>
      <c r="B58" s="189" t="s">
        <v>53</v>
      </c>
      <c r="C58" s="204">
        <v>45956</v>
      </c>
      <c r="D58" s="30" t="s">
        <v>2251</v>
      </c>
      <c r="E58" s="30" t="s">
        <v>2252</v>
      </c>
      <c r="F58" s="30" t="s">
        <v>2253</v>
      </c>
      <c r="G58" s="30" t="s">
        <v>2253</v>
      </c>
      <c r="H58" s="30" t="s">
        <v>76</v>
      </c>
      <c r="I58" s="69">
        <v>256900</v>
      </c>
      <c r="J58" s="69">
        <v>465800</v>
      </c>
      <c r="K58" s="69">
        <v>414920</v>
      </c>
      <c r="L58" s="69">
        <f>J58-K58</f>
      </c>
      <c r="M58" s="30" t="s">
        <v>137</v>
      </c>
      <c r="N58" s="30" t="s">
        <v>2254</v>
      </c>
      <c r="O58" s="164"/>
      <c r="P58" s="65"/>
      <c r="Q58" s="65"/>
      <c r="R58" s="17">
        <v>465800</v>
      </c>
      <c r="S58" s="17">
        <f>J58-Q58-P58-R58</f>
      </c>
      <c r="T58" s="12">
        <v>45911</v>
      </c>
      <c r="U58" s="14" t="s">
        <v>1718</v>
      </c>
      <c r="V58" s="14"/>
    </row>
    <row x14ac:dyDescent="0.25" r="59" customHeight="1" ht="15.75">
      <c r="A59" s="12">
        <v>45911</v>
      </c>
      <c r="B59" s="15" t="s">
        <v>111</v>
      </c>
      <c r="C59" s="161" t="s">
        <v>2234</v>
      </c>
      <c r="D59" s="14" t="s">
        <v>112</v>
      </c>
      <c r="E59" s="30" t="s">
        <v>2255</v>
      </c>
      <c r="F59" s="14" t="s">
        <v>84</v>
      </c>
      <c r="G59" s="14" t="s">
        <v>2256</v>
      </c>
      <c r="H59" s="14" t="s">
        <v>26</v>
      </c>
      <c r="I59" s="17">
        <v>183200</v>
      </c>
      <c r="J59" s="17">
        <v>553900</v>
      </c>
      <c r="K59" s="17">
        <v>453805</v>
      </c>
      <c r="L59" s="17">
        <f>J59-K59</f>
      </c>
      <c r="M59" s="14" t="s">
        <v>50</v>
      </c>
      <c r="N59" s="14" t="s">
        <v>2257</v>
      </c>
      <c r="O59" s="16">
        <v>2</v>
      </c>
      <c r="P59" s="65"/>
      <c r="Q59" s="65"/>
      <c r="R59" s="65"/>
      <c r="S59" s="17">
        <f>J59-Q59-P59-R59</f>
      </c>
      <c r="T59" s="12"/>
      <c r="U59" s="14"/>
      <c r="V59" s="14"/>
    </row>
    <row x14ac:dyDescent="0.25" r="60" customHeight="1" ht="15.75">
      <c r="A60" s="12">
        <v>45911</v>
      </c>
      <c r="B60" s="15" t="s">
        <v>46</v>
      </c>
      <c r="C60" s="18">
        <v>45914</v>
      </c>
      <c r="D60" s="14" t="s">
        <v>313</v>
      </c>
      <c r="E60" s="30" t="s">
        <v>2258</v>
      </c>
      <c r="F60" s="14" t="s">
        <v>2259</v>
      </c>
      <c r="G60" s="14" t="s">
        <v>2259</v>
      </c>
      <c r="H60" s="14" t="s">
        <v>26</v>
      </c>
      <c r="I60" s="17">
        <v>842200</v>
      </c>
      <c r="J60" s="17">
        <v>1066420</v>
      </c>
      <c r="K60" s="17">
        <v>1015420</v>
      </c>
      <c r="L60" s="17">
        <f>J60-K60</f>
      </c>
      <c r="M60" s="14" t="s">
        <v>50</v>
      </c>
      <c r="N60" s="14" t="s">
        <v>2260</v>
      </c>
      <c r="O60" s="16">
        <v>1</v>
      </c>
      <c r="P60" s="65"/>
      <c r="Q60" s="65"/>
      <c r="R60" s="17">
        <v>1066420</v>
      </c>
      <c r="S60" s="17">
        <f>J60-Q60-P60-R60</f>
      </c>
      <c r="T60" s="12">
        <v>45912</v>
      </c>
      <c r="U60" s="14" t="s">
        <v>1718</v>
      </c>
      <c r="V60" s="14"/>
    </row>
    <row x14ac:dyDescent="0.25" r="61" customHeight="1" ht="15.75">
      <c r="A61" s="137">
        <v>45912</v>
      </c>
      <c r="B61" s="140" t="s">
        <v>82</v>
      </c>
      <c r="C61" s="138" t="s">
        <v>2261</v>
      </c>
      <c r="D61" s="139" t="s">
        <v>83</v>
      </c>
      <c r="E61" s="139"/>
      <c r="F61" s="139" t="s">
        <v>84</v>
      </c>
      <c r="G61" s="139" t="s">
        <v>2169</v>
      </c>
      <c r="H61" s="139" t="s">
        <v>26</v>
      </c>
      <c r="I61" s="176"/>
      <c r="J61" s="141">
        <v>134500</v>
      </c>
      <c r="K61" s="141">
        <v>99000</v>
      </c>
      <c r="L61" s="141">
        <f>J61-K61</f>
      </c>
      <c r="M61" s="139" t="s">
        <v>43</v>
      </c>
      <c r="N61" s="139" t="s">
        <v>2262</v>
      </c>
      <c r="O61" s="141"/>
      <c r="P61" s="178"/>
      <c r="Q61" s="178"/>
      <c r="R61" s="178"/>
      <c r="S61" s="176">
        <f>J61-Q61-P61-R61</f>
      </c>
      <c r="T61" s="178"/>
      <c r="U61" s="139"/>
      <c r="V61" s="34"/>
    </row>
    <row x14ac:dyDescent="0.25" r="62" customHeight="1" ht="15.75">
      <c r="A62" s="12">
        <v>45912</v>
      </c>
      <c r="B62" s="15" t="s">
        <v>46</v>
      </c>
      <c r="C62" s="161" t="s">
        <v>2263</v>
      </c>
      <c r="D62" s="14" t="s">
        <v>2264</v>
      </c>
      <c r="E62" s="30" t="s">
        <v>2265</v>
      </c>
      <c r="F62" s="14" t="s">
        <v>2109</v>
      </c>
      <c r="G62" s="14" t="s">
        <v>2266</v>
      </c>
      <c r="H62" s="14" t="s">
        <v>26</v>
      </c>
      <c r="I62" s="17">
        <v>3759300</v>
      </c>
      <c r="J62" s="17">
        <v>4787000</v>
      </c>
      <c r="K62" s="17">
        <v>4517000</v>
      </c>
      <c r="L62" s="17">
        <f>J62-K62</f>
      </c>
      <c r="M62" s="14" t="s">
        <v>50</v>
      </c>
      <c r="N62" s="14" t="s">
        <v>2267</v>
      </c>
      <c r="O62" s="16">
        <v>2</v>
      </c>
      <c r="P62" s="65"/>
      <c r="Q62" s="65"/>
      <c r="R62" s="17">
        <v>4787000</v>
      </c>
      <c r="S62" s="17">
        <f>J62-Q62-P62-R62</f>
      </c>
      <c r="T62" s="12">
        <v>45918</v>
      </c>
      <c r="U62" s="14" t="s">
        <v>1718</v>
      </c>
      <c r="V62" s="14"/>
    </row>
    <row x14ac:dyDescent="0.25" r="63" customHeight="1" ht="15.75">
      <c r="A63" s="12">
        <v>45912</v>
      </c>
      <c r="B63" s="15" t="s">
        <v>46</v>
      </c>
      <c r="C63" s="18">
        <v>45914</v>
      </c>
      <c r="D63" s="14" t="s">
        <v>313</v>
      </c>
      <c r="E63" s="30" t="s">
        <v>2268</v>
      </c>
      <c r="F63" s="14" t="s">
        <v>2259</v>
      </c>
      <c r="G63" s="14" t="s">
        <v>2259</v>
      </c>
      <c r="H63" s="14" t="s">
        <v>26</v>
      </c>
      <c r="I63" s="17"/>
      <c r="J63" s="17">
        <v>138500</v>
      </c>
      <c r="K63" s="17">
        <v>128500</v>
      </c>
      <c r="L63" s="17">
        <f>J63-K63</f>
      </c>
      <c r="M63" s="14" t="s">
        <v>50</v>
      </c>
      <c r="N63" s="70" t="s">
        <v>2269</v>
      </c>
      <c r="O63" s="16" t="s">
        <v>1687</v>
      </c>
      <c r="P63" s="65"/>
      <c r="Q63" s="65"/>
      <c r="R63" s="17">
        <v>138500</v>
      </c>
      <c r="S63" s="17">
        <f>J63-Q63-P63-R63</f>
      </c>
      <c r="T63" s="12">
        <v>45912</v>
      </c>
      <c r="U63" s="14" t="s">
        <v>1718</v>
      </c>
      <c r="V63" s="14"/>
    </row>
    <row x14ac:dyDescent="0.25" r="64" customHeight="1" ht="15.75">
      <c r="A64" s="12">
        <v>45912</v>
      </c>
      <c r="B64" s="15" t="s">
        <v>46</v>
      </c>
      <c r="C64" s="18">
        <v>45914</v>
      </c>
      <c r="D64" s="14" t="s">
        <v>313</v>
      </c>
      <c r="E64" s="30" t="s">
        <v>2268</v>
      </c>
      <c r="F64" s="14" t="s">
        <v>2259</v>
      </c>
      <c r="G64" s="14" t="s">
        <v>2259</v>
      </c>
      <c r="H64" s="14" t="s">
        <v>26</v>
      </c>
      <c r="I64" s="17"/>
      <c r="J64" s="17">
        <v>138500</v>
      </c>
      <c r="K64" s="17">
        <v>128500</v>
      </c>
      <c r="L64" s="17">
        <f>J64-K64</f>
      </c>
      <c r="M64" s="14" t="s">
        <v>50</v>
      </c>
      <c r="N64" s="70" t="s">
        <v>2269</v>
      </c>
      <c r="O64" s="16" t="s">
        <v>1687</v>
      </c>
      <c r="P64" s="65"/>
      <c r="Q64" s="65"/>
      <c r="R64" s="17">
        <v>138500</v>
      </c>
      <c r="S64" s="17">
        <f>J64-Q64-P64-R64</f>
      </c>
      <c r="T64" s="12">
        <v>45912</v>
      </c>
      <c r="U64" s="14" t="s">
        <v>1718</v>
      </c>
      <c r="V64" s="14"/>
    </row>
    <row x14ac:dyDescent="0.25" r="65" customHeight="1" ht="15.75">
      <c r="A65" s="12">
        <v>45912</v>
      </c>
      <c r="B65" s="15" t="s">
        <v>46</v>
      </c>
      <c r="C65" s="161" t="s">
        <v>2270</v>
      </c>
      <c r="D65" s="14" t="s">
        <v>1911</v>
      </c>
      <c r="E65" s="30" t="s">
        <v>2271</v>
      </c>
      <c r="F65" s="14" t="s">
        <v>2272</v>
      </c>
      <c r="G65" s="14" t="s">
        <v>2273</v>
      </c>
      <c r="H65" s="14" t="s">
        <v>26</v>
      </c>
      <c r="I65" s="17">
        <v>862000</v>
      </c>
      <c r="J65" s="17">
        <v>1271900</v>
      </c>
      <c r="K65" s="17">
        <v>1199900</v>
      </c>
      <c r="L65" s="17">
        <f>J65-K65</f>
      </c>
      <c r="M65" s="14" t="s">
        <v>50</v>
      </c>
      <c r="N65" s="14" t="s">
        <v>2274</v>
      </c>
      <c r="O65" s="16">
        <v>4</v>
      </c>
      <c r="P65" s="65"/>
      <c r="Q65" s="65"/>
      <c r="R65" s="17">
        <v>1271900</v>
      </c>
      <c r="S65" s="17">
        <f>J65-Q65-P65-R65</f>
      </c>
      <c r="T65" s="12">
        <v>45916</v>
      </c>
      <c r="U65" s="14" t="s">
        <v>1718</v>
      </c>
      <c r="V65" s="14"/>
    </row>
    <row x14ac:dyDescent="0.25" r="66" customHeight="1" ht="15.75">
      <c r="A66" s="12">
        <v>45912</v>
      </c>
      <c r="B66" s="15" t="s">
        <v>46</v>
      </c>
      <c r="C66" s="161" t="s">
        <v>2275</v>
      </c>
      <c r="D66" s="14" t="s">
        <v>54</v>
      </c>
      <c r="E66" s="30" t="s">
        <v>2276</v>
      </c>
      <c r="F66" s="14" t="s">
        <v>2277</v>
      </c>
      <c r="G66" s="14" t="s">
        <v>2277</v>
      </c>
      <c r="H66" s="14" t="s">
        <v>26</v>
      </c>
      <c r="I66" s="17">
        <v>353200</v>
      </c>
      <c r="J66" s="17">
        <v>731420</v>
      </c>
      <c r="K66" s="17">
        <v>661420</v>
      </c>
      <c r="L66" s="17">
        <f>J66-K66</f>
      </c>
      <c r="M66" s="14" t="s">
        <v>50</v>
      </c>
      <c r="N66" s="14" t="s">
        <v>1974</v>
      </c>
      <c r="O66" s="16">
        <v>2</v>
      </c>
      <c r="P66" s="17">
        <v>500000</v>
      </c>
      <c r="Q66" s="65"/>
      <c r="R66" s="17"/>
      <c r="S66" s="17">
        <f>J66-Q66-P66-R66</f>
      </c>
      <c r="T66" s="12">
        <v>45937</v>
      </c>
      <c r="U66" s="14" t="s">
        <v>1718</v>
      </c>
      <c r="V66" s="14"/>
    </row>
    <row x14ac:dyDescent="0.25" r="67" customHeight="1" ht="15.75">
      <c r="A67" s="12">
        <v>45912</v>
      </c>
      <c r="B67" s="15" t="s">
        <v>72</v>
      </c>
      <c r="C67" s="161" t="s">
        <v>2278</v>
      </c>
      <c r="D67" s="14" t="s">
        <v>2279</v>
      </c>
      <c r="E67" s="30" t="s">
        <v>2280</v>
      </c>
      <c r="F67" s="14" t="s">
        <v>2281</v>
      </c>
      <c r="G67" s="14" t="s">
        <v>2281</v>
      </c>
      <c r="H67" s="14" t="s">
        <v>57</v>
      </c>
      <c r="I67" s="17">
        <v>246800</v>
      </c>
      <c r="J67" s="17">
        <v>733820</v>
      </c>
      <c r="K67" s="17">
        <v>588020</v>
      </c>
      <c r="L67" s="17">
        <f>J67-K67</f>
      </c>
      <c r="M67" s="14" t="s">
        <v>50</v>
      </c>
      <c r="N67" s="14" t="s">
        <v>2282</v>
      </c>
      <c r="O67" s="16">
        <v>4</v>
      </c>
      <c r="P67" s="65"/>
      <c r="Q67" s="65"/>
      <c r="R67" s="17">
        <v>733820</v>
      </c>
      <c r="S67" s="17">
        <f>J67-Q67-P67-R67</f>
      </c>
      <c r="T67" s="12">
        <v>45924</v>
      </c>
      <c r="U67" s="14" t="s">
        <v>1718</v>
      </c>
      <c r="V67" s="14"/>
    </row>
    <row x14ac:dyDescent="0.25" r="68" customHeight="1" ht="15.75">
      <c r="A68" s="55">
        <v>45913</v>
      </c>
      <c r="B68" s="133" t="s">
        <v>66</v>
      </c>
      <c r="C68" s="132" t="s">
        <v>1958</v>
      </c>
      <c r="D68" s="56" t="s">
        <v>166</v>
      </c>
      <c r="E68" s="56" t="s">
        <v>2283</v>
      </c>
      <c r="F68" s="56" t="s">
        <v>162</v>
      </c>
      <c r="G68" s="56" t="s">
        <v>2284</v>
      </c>
      <c r="H68" s="56" t="s">
        <v>26</v>
      </c>
      <c r="I68" s="180" t="s">
        <v>2285</v>
      </c>
      <c r="J68" s="57">
        <v>149780</v>
      </c>
      <c r="K68" s="57">
        <v>68000</v>
      </c>
      <c r="L68" s="57">
        <f>J68-K68</f>
      </c>
      <c r="M68" s="56" t="s">
        <v>50</v>
      </c>
      <c r="N68" s="56" t="s">
        <v>2286</v>
      </c>
      <c r="O68" s="134" t="s">
        <v>2287</v>
      </c>
      <c r="P68" s="180"/>
      <c r="Q68" s="180"/>
      <c r="R68" s="180"/>
      <c r="S68" s="57">
        <f>J68-Q68-P68-R68</f>
      </c>
      <c r="T68" s="55"/>
      <c r="U68" s="56"/>
      <c r="V68" s="56"/>
    </row>
    <row x14ac:dyDescent="0.25" r="69" customHeight="1" ht="13.5">
      <c r="A69" s="12">
        <v>45913</v>
      </c>
      <c r="B69" s="15" t="s">
        <v>123</v>
      </c>
      <c r="C69" s="18">
        <v>45923</v>
      </c>
      <c r="D69" s="14" t="s">
        <v>2251</v>
      </c>
      <c r="E69" s="30" t="s">
        <v>2288</v>
      </c>
      <c r="F69" s="14" t="s">
        <v>2289</v>
      </c>
      <c r="G69" s="14" t="s">
        <v>2289</v>
      </c>
      <c r="H69" s="14" t="s">
        <v>26</v>
      </c>
      <c r="I69" s="17">
        <v>145600</v>
      </c>
      <c r="J69" s="17">
        <v>409920</v>
      </c>
      <c r="K69" s="17">
        <v>349820</v>
      </c>
      <c r="L69" s="17">
        <f>J69-K69</f>
      </c>
      <c r="M69" s="14" t="s">
        <v>50</v>
      </c>
      <c r="N69" s="14" t="s">
        <v>2290</v>
      </c>
      <c r="O69" s="16">
        <v>2</v>
      </c>
      <c r="P69" s="17">
        <v>150000</v>
      </c>
      <c r="Q69" s="17">
        <v>247000</v>
      </c>
      <c r="R69" s="65"/>
      <c r="S69" s="17">
        <f>J69-Q69-P69-R69</f>
      </c>
      <c r="T69" s="175" t="s">
        <v>2291</v>
      </c>
      <c r="U69" s="14" t="s">
        <v>1718</v>
      </c>
      <c r="V69" s="14"/>
    </row>
    <row x14ac:dyDescent="0.25" r="70" customHeight="1" ht="15.75">
      <c r="A70" s="12">
        <v>45913</v>
      </c>
      <c r="B70" s="15" t="s">
        <v>111</v>
      </c>
      <c r="C70" s="161" t="s">
        <v>2292</v>
      </c>
      <c r="D70" s="14" t="s">
        <v>2211</v>
      </c>
      <c r="E70" s="30" t="s">
        <v>2293</v>
      </c>
      <c r="F70" s="14" t="s">
        <v>2213</v>
      </c>
      <c r="G70" s="14" t="s">
        <v>2294</v>
      </c>
      <c r="H70" s="14" t="s">
        <v>26</v>
      </c>
      <c r="I70" s="17">
        <v>458000</v>
      </c>
      <c r="J70" s="17">
        <v>955900</v>
      </c>
      <c r="K70" s="17">
        <v>893220</v>
      </c>
      <c r="L70" s="17">
        <f>J70-K70</f>
      </c>
      <c r="M70" s="14" t="s">
        <v>50</v>
      </c>
      <c r="N70" s="14" t="s">
        <v>2295</v>
      </c>
      <c r="O70" s="16">
        <v>4</v>
      </c>
      <c r="P70" s="65"/>
      <c r="Q70" s="65"/>
      <c r="R70" s="17">
        <v>955900</v>
      </c>
      <c r="S70" s="17">
        <f>J70-Q70-P70-R70</f>
      </c>
      <c r="T70" s="12">
        <v>45916</v>
      </c>
      <c r="U70" s="14" t="s">
        <v>2216</v>
      </c>
      <c r="V70" s="14" t="s">
        <v>2217</v>
      </c>
    </row>
    <row x14ac:dyDescent="0.25" r="71" customHeight="1" ht="15.75">
      <c r="A71" s="12">
        <v>45915</v>
      </c>
      <c r="B71" s="15" t="s">
        <v>111</v>
      </c>
      <c r="C71" s="161" t="s">
        <v>2296</v>
      </c>
      <c r="D71" s="14" t="s">
        <v>2211</v>
      </c>
      <c r="E71" s="30" t="s">
        <v>2293</v>
      </c>
      <c r="F71" s="14" t="s">
        <v>2213</v>
      </c>
      <c r="G71" s="14" t="s">
        <v>2297</v>
      </c>
      <c r="H71" s="14" t="s">
        <v>26</v>
      </c>
      <c r="I71" s="17">
        <v>405100</v>
      </c>
      <c r="J71" s="17">
        <v>955900</v>
      </c>
      <c r="K71" s="17">
        <v>840320</v>
      </c>
      <c r="L71" s="17">
        <f>J71-K71</f>
      </c>
      <c r="M71" s="14" t="s">
        <v>50</v>
      </c>
      <c r="N71" s="14" t="s">
        <v>2298</v>
      </c>
      <c r="O71" s="16">
        <v>4</v>
      </c>
      <c r="P71" s="65"/>
      <c r="Q71" s="65"/>
      <c r="R71" s="17">
        <v>955900</v>
      </c>
      <c r="S71" s="17">
        <f>J71-Q71-P71-R71</f>
      </c>
      <c r="T71" s="12">
        <v>45916</v>
      </c>
      <c r="U71" s="14" t="s">
        <v>2216</v>
      </c>
      <c r="V71" s="14" t="s">
        <v>2217</v>
      </c>
    </row>
    <row x14ac:dyDescent="0.25" r="72" customHeight="1" ht="15.75">
      <c r="A72" s="12">
        <v>45915</v>
      </c>
      <c r="B72" s="15" t="s">
        <v>72</v>
      </c>
      <c r="C72" s="161" t="s">
        <v>1790</v>
      </c>
      <c r="D72" s="14" t="s">
        <v>1791</v>
      </c>
      <c r="E72" s="30" t="s">
        <v>2299</v>
      </c>
      <c r="F72" s="14" t="s">
        <v>2300</v>
      </c>
      <c r="G72" s="14" t="s">
        <v>1794</v>
      </c>
      <c r="H72" s="14" t="s">
        <v>26</v>
      </c>
      <c r="I72" s="17">
        <v>177000</v>
      </c>
      <c r="J72" s="17">
        <v>460800</v>
      </c>
      <c r="K72" s="17">
        <v>400200</v>
      </c>
      <c r="L72" s="17">
        <f>J72-K72</f>
      </c>
      <c r="M72" s="14" t="s">
        <v>2161</v>
      </c>
      <c r="N72" s="14" t="s">
        <v>2301</v>
      </c>
      <c r="O72" s="16"/>
      <c r="P72" s="65"/>
      <c r="Q72" s="65"/>
      <c r="R72" s="65"/>
      <c r="S72" s="17">
        <f>J72-Q72-P72-R72</f>
      </c>
      <c r="T72" s="12"/>
      <c r="U72" s="14"/>
      <c r="V72" s="14"/>
    </row>
    <row x14ac:dyDescent="0.25" r="73" customHeight="1" ht="17.25">
      <c r="A73" s="12">
        <v>45915</v>
      </c>
      <c r="B73" s="15" t="s">
        <v>66</v>
      </c>
      <c r="C73" s="161" t="s">
        <v>2302</v>
      </c>
      <c r="D73" s="14" t="s">
        <v>166</v>
      </c>
      <c r="E73" s="30" t="s">
        <v>2303</v>
      </c>
      <c r="F73" s="14" t="s">
        <v>2304</v>
      </c>
      <c r="G73" s="14" t="s">
        <v>2304</v>
      </c>
      <c r="H73" s="14" t="s">
        <v>26</v>
      </c>
      <c r="I73" s="17">
        <v>140600</v>
      </c>
      <c r="J73" s="17">
        <v>595820</v>
      </c>
      <c r="K73" s="17">
        <v>500120</v>
      </c>
      <c r="L73" s="17">
        <f>J73-K73</f>
      </c>
      <c r="M73" s="14" t="s">
        <v>2161</v>
      </c>
      <c r="N73" s="14" t="s">
        <v>2305</v>
      </c>
      <c r="O73" s="16"/>
      <c r="P73" s="17">
        <v>200000</v>
      </c>
      <c r="Q73" s="17">
        <v>200000</v>
      </c>
      <c r="R73" s="17">
        <v>195820</v>
      </c>
      <c r="S73" s="17">
        <f>J73-Q73-P73-R73</f>
      </c>
      <c r="T73" s="175" t="s">
        <v>2306</v>
      </c>
      <c r="U73" s="14" t="s">
        <v>2307</v>
      </c>
      <c r="V73" s="14"/>
    </row>
    <row x14ac:dyDescent="0.25" r="74" customHeight="1" ht="15.75">
      <c r="A74" s="12">
        <v>45916</v>
      </c>
      <c r="B74" s="15" t="s">
        <v>72</v>
      </c>
      <c r="C74" s="161" t="s">
        <v>2308</v>
      </c>
      <c r="D74" s="14" t="s">
        <v>156</v>
      </c>
      <c r="E74" s="30" t="s">
        <v>2309</v>
      </c>
      <c r="F74" s="14" t="s">
        <v>158</v>
      </c>
      <c r="G74" s="14" t="s">
        <v>2310</v>
      </c>
      <c r="H74" s="14" t="s">
        <v>26</v>
      </c>
      <c r="I74" s="17">
        <v>212200</v>
      </c>
      <c r="J74" s="17">
        <v>551900</v>
      </c>
      <c r="K74" s="17">
        <v>476020</v>
      </c>
      <c r="L74" s="17">
        <f>J74-K74</f>
      </c>
      <c r="M74" s="14" t="s">
        <v>154</v>
      </c>
      <c r="N74" s="14" t="s">
        <v>2311</v>
      </c>
      <c r="O74" s="16"/>
      <c r="P74" s="65"/>
      <c r="Q74" s="65"/>
      <c r="R74" s="17">
        <v>551900</v>
      </c>
      <c r="S74" s="17">
        <f>J74-Q74-P74-R74</f>
      </c>
      <c r="T74" s="12">
        <v>45926</v>
      </c>
      <c r="U74" s="14" t="s">
        <v>2122</v>
      </c>
      <c r="V74" s="14"/>
    </row>
    <row x14ac:dyDescent="0.25" r="75" customHeight="1" ht="15.75">
      <c r="A75" s="12">
        <v>45916</v>
      </c>
      <c r="B75" s="189" t="s">
        <v>106</v>
      </c>
      <c r="C75" s="13" t="s">
        <v>2312</v>
      </c>
      <c r="D75" s="30" t="s">
        <v>2313</v>
      </c>
      <c r="E75" s="30" t="s">
        <v>2314</v>
      </c>
      <c r="F75" s="30" t="s">
        <v>1855</v>
      </c>
      <c r="G75" s="30" t="s">
        <v>1855</v>
      </c>
      <c r="H75" s="30" t="s">
        <v>26</v>
      </c>
      <c r="I75" s="69">
        <v>165300</v>
      </c>
      <c r="J75" s="69">
        <v>573800</v>
      </c>
      <c r="K75" s="69">
        <v>500800</v>
      </c>
      <c r="L75" s="17">
        <f>J75-K75</f>
      </c>
      <c r="M75" s="30" t="s">
        <v>2161</v>
      </c>
      <c r="N75" s="14" t="s">
        <v>2315</v>
      </c>
      <c r="O75" s="16"/>
      <c r="P75" s="17">
        <v>200000</v>
      </c>
      <c r="Q75" s="17"/>
      <c r="R75" s="17"/>
      <c r="S75" s="17">
        <f>J75-Q75-P75-R75</f>
      </c>
      <c r="T75" s="12">
        <v>45937</v>
      </c>
      <c r="U75" s="70" t="s">
        <v>1718</v>
      </c>
      <c r="V75" s="14"/>
    </row>
    <row x14ac:dyDescent="0.25" r="76" customHeight="1" ht="15.75">
      <c r="A76" s="12">
        <v>45916</v>
      </c>
      <c r="B76" s="189" t="s">
        <v>72</v>
      </c>
      <c r="C76" s="204">
        <v>45917</v>
      </c>
      <c r="D76" s="30" t="s">
        <v>2316</v>
      </c>
      <c r="E76" s="30" t="s">
        <v>2317</v>
      </c>
      <c r="F76" s="30" t="s">
        <v>2318</v>
      </c>
      <c r="G76" s="30" t="s">
        <v>2319</v>
      </c>
      <c r="H76" s="30" t="s">
        <v>57</v>
      </c>
      <c r="I76" s="69"/>
      <c r="J76" s="164">
        <v>2897900</v>
      </c>
      <c r="K76" s="164">
        <v>2708900</v>
      </c>
      <c r="L76" s="16">
        <f>J76-K76</f>
      </c>
      <c r="M76" s="30" t="s">
        <v>43</v>
      </c>
      <c r="N76" s="14" t="s">
        <v>2320</v>
      </c>
      <c r="O76" s="16"/>
      <c r="P76" s="174"/>
      <c r="Q76" s="174"/>
      <c r="R76" s="174"/>
      <c r="S76" s="17">
        <f>J76-Q76-P76-R76</f>
      </c>
      <c r="T76" s="174"/>
      <c r="U76" s="14"/>
      <c r="V76" s="34"/>
    </row>
    <row x14ac:dyDescent="0.25" r="77" customHeight="1" ht="15.75">
      <c r="A77" s="12">
        <v>45916</v>
      </c>
      <c r="B77" s="15" t="s">
        <v>111</v>
      </c>
      <c r="C77" s="18">
        <v>45919</v>
      </c>
      <c r="D77" s="14" t="s">
        <v>2321</v>
      </c>
      <c r="E77" s="30" t="s">
        <v>2322</v>
      </c>
      <c r="F77" s="14" t="s">
        <v>2318</v>
      </c>
      <c r="G77" s="14" t="s">
        <v>2319</v>
      </c>
      <c r="H77" s="14" t="s">
        <v>57</v>
      </c>
      <c r="I77" s="17">
        <v>666200</v>
      </c>
      <c r="J77" s="17">
        <v>897650</v>
      </c>
      <c r="K77" s="17">
        <v>782650</v>
      </c>
      <c r="L77" s="17">
        <f>J77-K77</f>
      </c>
      <c r="M77" s="14" t="s">
        <v>50</v>
      </c>
      <c r="N77" s="14" t="s">
        <v>2323</v>
      </c>
      <c r="O77" s="16">
        <v>1</v>
      </c>
      <c r="P77" s="17"/>
      <c r="Q77" s="17"/>
      <c r="R77" s="17">
        <v>897650</v>
      </c>
      <c r="S77" s="17">
        <f>J77-Q77-P77-R77</f>
      </c>
      <c r="T77" s="12">
        <v>45918</v>
      </c>
      <c r="U77" s="14" t="s">
        <v>1718</v>
      </c>
      <c r="V77" s="14"/>
    </row>
    <row x14ac:dyDescent="0.25" r="78" customHeight="1" ht="15.75">
      <c r="A78" s="55">
        <v>45916</v>
      </c>
      <c r="B78" s="133" t="s">
        <v>66</v>
      </c>
      <c r="C78" s="135">
        <v>45920</v>
      </c>
      <c r="D78" s="56" t="s">
        <v>373</v>
      </c>
      <c r="E78" s="56" t="s">
        <v>2324</v>
      </c>
      <c r="F78" s="56" t="s">
        <v>2325</v>
      </c>
      <c r="G78" s="56" t="s">
        <v>2325</v>
      </c>
      <c r="H78" s="56" t="s">
        <v>26</v>
      </c>
      <c r="I78" s="180" t="s">
        <v>2326</v>
      </c>
      <c r="J78" s="57">
        <v>116080</v>
      </c>
      <c r="K78" s="57">
        <v>55000</v>
      </c>
      <c r="L78" s="57">
        <f>J78-K78</f>
      </c>
      <c r="M78" s="56" t="s">
        <v>50</v>
      </c>
      <c r="N78" s="56" t="s">
        <v>2327</v>
      </c>
      <c r="O78" s="134" t="s">
        <v>2328</v>
      </c>
      <c r="P78" s="180"/>
      <c r="Q78" s="180"/>
      <c r="R78" s="57"/>
      <c r="S78" s="17">
        <f>J78-Q78-P78-R78</f>
      </c>
      <c r="T78" s="55"/>
      <c r="U78" s="56"/>
      <c r="V78" s="56"/>
    </row>
    <row x14ac:dyDescent="0.25" r="79" customHeight="1" ht="15.75">
      <c r="A79" s="12">
        <v>45917</v>
      </c>
      <c r="B79" s="15" t="s">
        <v>46</v>
      </c>
      <c r="C79" s="161" t="s">
        <v>2329</v>
      </c>
      <c r="D79" s="14" t="s">
        <v>226</v>
      </c>
      <c r="E79" s="30" t="s">
        <v>2087</v>
      </c>
      <c r="F79" s="14" t="s">
        <v>2330</v>
      </c>
      <c r="G79" s="14" t="s">
        <v>2331</v>
      </c>
      <c r="H79" s="14" t="s">
        <v>26</v>
      </c>
      <c r="I79" s="17">
        <v>2190400</v>
      </c>
      <c r="J79" s="17">
        <v>3980000</v>
      </c>
      <c r="K79" s="17">
        <v>2913600</v>
      </c>
      <c r="L79" s="17">
        <f>J79-K79</f>
      </c>
      <c r="M79" s="14" t="s">
        <v>50</v>
      </c>
      <c r="N79" s="14" t="s">
        <v>2332</v>
      </c>
      <c r="O79" s="16">
        <v>2</v>
      </c>
      <c r="P79" s="17"/>
      <c r="Q79" s="17"/>
      <c r="R79" s="17">
        <v>3980000</v>
      </c>
      <c r="S79" s="17">
        <f>J79-Q79-P79-R79</f>
      </c>
      <c r="T79" s="175">
        <v>45919</v>
      </c>
      <c r="U79" s="14" t="s">
        <v>1718</v>
      </c>
      <c r="V79" s="14"/>
    </row>
    <row x14ac:dyDescent="0.25" r="80" customHeight="1" ht="15.75">
      <c r="A80" s="12">
        <v>45917</v>
      </c>
      <c r="B80" s="15" t="s">
        <v>897</v>
      </c>
      <c r="C80" s="18">
        <v>45921</v>
      </c>
      <c r="D80" s="14" t="s">
        <v>2074</v>
      </c>
      <c r="E80" s="30" t="s">
        <v>2333</v>
      </c>
      <c r="F80" s="14" t="s">
        <v>2334</v>
      </c>
      <c r="G80" s="14" t="s">
        <v>2335</v>
      </c>
      <c r="H80" s="14" t="s">
        <v>26</v>
      </c>
      <c r="I80" s="17">
        <v>25300</v>
      </c>
      <c r="J80" s="17">
        <v>149500</v>
      </c>
      <c r="K80" s="17">
        <v>109100</v>
      </c>
      <c r="L80" s="17">
        <f>J80-K80</f>
      </c>
      <c r="M80" s="14" t="s">
        <v>50</v>
      </c>
      <c r="N80" s="14" t="s">
        <v>2336</v>
      </c>
      <c r="O80" s="16">
        <v>1</v>
      </c>
      <c r="P80" s="17"/>
      <c r="Q80" s="17"/>
      <c r="R80" s="65"/>
      <c r="S80" s="17">
        <f>J80-Q80-P80-R80</f>
      </c>
      <c r="T80" s="12"/>
      <c r="U80" s="14"/>
      <c r="V80" s="14"/>
    </row>
    <row x14ac:dyDescent="0.25" r="81" customHeight="1" ht="15.75">
      <c r="A81" s="12">
        <v>45918</v>
      </c>
      <c r="B81" s="15" t="s">
        <v>46</v>
      </c>
      <c r="C81" s="161" t="s">
        <v>1683</v>
      </c>
      <c r="D81" s="14" t="s">
        <v>54</v>
      </c>
      <c r="E81" s="30" t="s">
        <v>2337</v>
      </c>
      <c r="F81" s="14" t="s">
        <v>1685</v>
      </c>
      <c r="G81" s="14" t="s">
        <v>1685</v>
      </c>
      <c r="H81" s="14" t="s">
        <v>26</v>
      </c>
      <c r="I81" s="17"/>
      <c r="J81" s="17">
        <v>659600</v>
      </c>
      <c r="K81" s="17">
        <v>607500</v>
      </c>
      <c r="L81" s="17">
        <f>J81-K81</f>
      </c>
      <c r="M81" s="14" t="s">
        <v>50</v>
      </c>
      <c r="N81" s="14" t="s">
        <v>2338</v>
      </c>
      <c r="O81" s="16" t="s">
        <v>33</v>
      </c>
      <c r="P81" s="65"/>
      <c r="Q81" s="65"/>
      <c r="R81" s="17">
        <v>659600</v>
      </c>
      <c r="S81" s="17">
        <f>J81-Q81-P81-R81</f>
      </c>
      <c r="T81" s="12">
        <v>45918</v>
      </c>
      <c r="U81" s="14" t="s">
        <v>1718</v>
      </c>
      <c r="V81" s="14"/>
    </row>
    <row x14ac:dyDescent="0.25" r="82" customHeight="1" ht="15.75">
      <c r="A82" s="12">
        <v>45918</v>
      </c>
      <c r="B82" s="15"/>
      <c r="C82" s="161"/>
      <c r="D82" s="14"/>
      <c r="E82" s="30" t="s">
        <v>2339</v>
      </c>
      <c r="F82" s="14" t="s">
        <v>24</v>
      </c>
      <c r="G82" s="14" t="s">
        <v>2076</v>
      </c>
      <c r="H82" s="14" t="s">
        <v>26</v>
      </c>
      <c r="I82" s="17"/>
      <c r="J82" s="17">
        <v>250000</v>
      </c>
      <c r="K82" s="17">
        <v>200000</v>
      </c>
      <c r="L82" s="17">
        <f>J82-K82</f>
      </c>
      <c r="M82" s="14"/>
      <c r="N82" s="14" t="s">
        <v>2340</v>
      </c>
      <c r="O82" s="16"/>
      <c r="P82" s="65"/>
      <c r="Q82" s="65"/>
      <c r="R82" s="65"/>
      <c r="S82" s="17">
        <f>J82-Q82-P82-R82</f>
      </c>
      <c r="T82" s="12"/>
      <c r="U82" s="14"/>
      <c r="V82" s="14"/>
    </row>
    <row x14ac:dyDescent="0.25" r="83" customHeight="1" ht="15.75">
      <c r="A83" s="12">
        <v>45918</v>
      </c>
      <c r="B83" s="15" t="s">
        <v>72</v>
      </c>
      <c r="C83" s="161" t="s">
        <v>2341</v>
      </c>
      <c r="D83" s="14" t="s">
        <v>2342</v>
      </c>
      <c r="E83" s="30" t="s">
        <v>2333</v>
      </c>
      <c r="F83" s="14" t="s">
        <v>2343</v>
      </c>
      <c r="G83" s="14" t="s">
        <v>2344</v>
      </c>
      <c r="H83" s="14" t="s">
        <v>26</v>
      </c>
      <c r="I83" s="17">
        <v>381200</v>
      </c>
      <c r="J83" s="17">
        <v>1029920</v>
      </c>
      <c r="K83" s="17">
        <v>953920</v>
      </c>
      <c r="L83" s="17">
        <f>J83-K83</f>
      </c>
      <c r="M83" s="14" t="s">
        <v>50</v>
      </c>
      <c r="N83" s="14" t="s">
        <v>2345</v>
      </c>
      <c r="O83" s="16">
        <v>4</v>
      </c>
      <c r="P83" s="65"/>
      <c r="Q83" s="65"/>
      <c r="R83" s="17">
        <v>1029920</v>
      </c>
      <c r="S83" s="17">
        <f>J83-Q83-P83-R83</f>
      </c>
      <c r="T83" s="12"/>
      <c r="U83" s="14"/>
      <c r="V83" s="14"/>
    </row>
    <row x14ac:dyDescent="0.25" r="84" customHeight="1" ht="15.75">
      <c r="A84" s="12">
        <v>45918</v>
      </c>
      <c r="B84" s="15" t="s">
        <v>46</v>
      </c>
      <c r="C84" s="161" t="s">
        <v>2346</v>
      </c>
      <c r="D84" s="14" t="s">
        <v>54</v>
      </c>
      <c r="E84" s="30" t="s">
        <v>2347</v>
      </c>
      <c r="F84" s="14" t="s">
        <v>2348</v>
      </c>
      <c r="G84" s="14" t="s">
        <v>434</v>
      </c>
      <c r="H84" s="14" t="s">
        <v>26</v>
      </c>
      <c r="I84" s="17">
        <v>1788700</v>
      </c>
      <c r="J84" s="17">
        <v>2786900</v>
      </c>
      <c r="K84" s="17">
        <v>2633220</v>
      </c>
      <c r="L84" s="17">
        <f>J84-K84</f>
      </c>
      <c r="M84" s="14" t="s">
        <v>50</v>
      </c>
      <c r="N84" s="14" t="s">
        <v>2349</v>
      </c>
      <c r="O84" s="16">
        <v>2</v>
      </c>
      <c r="P84" s="65"/>
      <c r="Q84" s="65"/>
      <c r="R84" s="65"/>
      <c r="S84" s="17">
        <f>J84-Q84-P84-R84</f>
      </c>
      <c r="T84" s="12"/>
      <c r="U84" s="14"/>
      <c r="V84" s="14"/>
    </row>
    <row x14ac:dyDescent="0.25" r="85" customHeight="1" ht="15.75">
      <c r="A85" s="12">
        <v>45918</v>
      </c>
      <c r="B85" s="15" t="s">
        <v>72</v>
      </c>
      <c r="C85" s="161" t="s">
        <v>2341</v>
      </c>
      <c r="D85" s="14" t="s">
        <v>2342</v>
      </c>
      <c r="E85" s="30" t="s">
        <v>2350</v>
      </c>
      <c r="F85" s="14" t="s">
        <v>2343</v>
      </c>
      <c r="G85" s="14" t="s">
        <v>2351</v>
      </c>
      <c r="H85" s="14" t="s">
        <v>26</v>
      </c>
      <c r="I85" s="17">
        <v>340900</v>
      </c>
      <c r="J85" s="17">
        <v>849800</v>
      </c>
      <c r="K85" s="17">
        <v>799120</v>
      </c>
      <c r="L85" s="17">
        <f>J85-K85</f>
      </c>
      <c r="M85" s="14" t="s">
        <v>50</v>
      </c>
      <c r="N85" s="14" t="s">
        <v>2352</v>
      </c>
      <c r="O85" s="16">
        <v>4</v>
      </c>
      <c r="P85" s="17">
        <v>104600</v>
      </c>
      <c r="Q85" s="65"/>
      <c r="R85" s="17"/>
      <c r="S85" s="17">
        <f>J85-Q85-P85-R85</f>
      </c>
      <c r="T85" s="12"/>
      <c r="U85" s="14"/>
      <c r="V85" s="14"/>
    </row>
    <row x14ac:dyDescent="0.25" r="86" customHeight="1" ht="15.75">
      <c r="A86" s="12">
        <v>45918</v>
      </c>
      <c r="B86" s="15" t="s">
        <v>72</v>
      </c>
      <c r="C86" s="161" t="s">
        <v>2341</v>
      </c>
      <c r="D86" s="14" t="s">
        <v>2342</v>
      </c>
      <c r="E86" s="30" t="s">
        <v>2353</v>
      </c>
      <c r="F86" s="14" t="s">
        <v>2343</v>
      </c>
      <c r="G86" s="14" t="s">
        <v>2354</v>
      </c>
      <c r="H86" s="14" t="s">
        <v>26</v>
      </c>
      <c r="I86" s="17">
        <v>340900</v>
      </c>
      <c r="J86" s="17">
        <v>849800</v>
      </c>
      <c r="K86" s="17">
        <v>799120</v>
      </c>
      <c r="L86" s="17">
        <f>J86-K86</f>
      </c>
      <c r="M86" s="14" t="s">
        <v>50</v>
      </c>
      <c r="N86" s="14" t="s">
        <v>2352</v>
      </c>
      <c r="O86" s="16">
        <v>4</v>
      </c>
      <c r="P86" s="65"/>
      <c r="Q86" s="65"/>
      <c r="R86" s="17"/>
      <c r="S86" s="17">
        <f>J86-Q86-P86-R86</f>
      </c>
      <c r="T86" s="12"/>
      <c r="U86" s="14"/>
      <c r="V86" s="14"/>
    </row>
    <row x14ac:dyDescent="0.25" r="87" customHeight="1" ht="15.75">
      <c r="A87" s="205">
        <v>45918</v>
      </c>
      <c r="B87" s="206" t="s">
        <v>53</v>
      </c>
      <c r="C87" s="207">
        <v>45977</v>
      </c>
      <c r="D87" s="208" t="s">
        <v>2355</v>
      </c>
      <c r="E87" s="208" t="s">
        <v>2356</v>
      </c>
      <c r="F87" s="208" t="s">
        <v>162</v>
      </c>
      <c r="G87" s="208" t="s">
        <v>238</v>
      </c>
      <c r="H87" s="208" t="s">
        <v>26</v>
      </c>
      <c r="I87" s="209"/>
      <c r="J87" s="209">
        <v>398900</v>
      </c>
      <c r="K87" s="209"/>
      <c r="L87" s="209">
        <f>J87-K87</f>
      </c>
      <c r="M87" s="208" t="s">
        <v>137</v>
      </c>
      <c r="N87" s="208" t="s">
        <v>2357</v>
      </c>
      <c r="O87" s="210"/>
      <c r="P87" s="211"/>
      <c r="Q87" s="211"/>
      <c r="R87" s="209"/>
      <c r="S87" s="17">
        <f>J87-Q87-P87-R87</f>
      </c>
      <c r="T87" s="205"/>
      <c r="U87" s="208"/>
      <c r="V87" s="208"/>
    </row>
    <row x14ac:dyDescent="0.25" r="88" customHeight="1" ht="15.75">
      <c r="A88" s="12">
        <v>45918</v>
      </c>
      <c r="B88" s="15" t="s">
        <v>66</v>
      </c>
      <c r="C88" s="18">
        <v>45919</v>
      </c>
      <c r="D88" s="14" t="s">
        <v>415</v>
      </c>
      <c r="E88" s="30" t="s">
        <v>2358</v>
      </c>
      <c r="F88" s="14" t="s">
        <v>2119</v>
      </c>
      <c r="G88" s="14" t="s">
        <v>2131</v>
      </c>
      <c r="H88" s="14" t="s">
        <v>26</v>
      </c>
      <c r="I88" s="17"/>
      <c r="J88" s="17">
        <v>75000</v>
      </c>
      <c r="K88" s="17">
        <v>30000</v>
      </c>
      <c r="L88" s="17">
        <f>J88-K88</f>
      </c>
      <c r="M88" s="14" t="s">
        <v>50</v>
      </c>
      <c r="N88" s="14" t="s">
        <v>2359</v>
      </c>
      <c r="O88" s="16" t="s">
        <v>33</v>
      </c>
      <c r="P88" s="65"/>
      <c r="Q88" s="65"/>
      <c r="R88" s="17"/>
      <c r="S88" s="17">
        <f>J88-Q88-P88-R88</f>
      </c>
      <c r="T88" s="12"/>
      <c r="U88" s="14"/>
      <c r="V88" s="14"/>
    </row>
    <row x14ac:dyDescent="0.25" r="89" customHeight="1" ht="15.75">
      <c r="A89" s="12">
        <v>45918</v>
      </c>
      <c r="B89" s="15" t="s">
        <v>66</v>
      </c>
      <c r="C89" s="161" t="s">
        <v>2360</v>
      </c>
      <c r="D89" s="14" t="s">
        <v>166</v>
      </c>
      <c r="E89" s="30" t="s">
        <v>2361</v>
      </c>
      <c r="F89" s="14" t="s">
        <v>24</v>
      </c>
      <c r="G89" s="14" t="s">
        <v>2076</v>
      </c>
      <c r="H89" s="14" t="s">
        <v>26</v>
      </c>
      <c r="I89" s="17">
        <v>1117300</v>
      </c>
      <c r="J89" s="17">
        <v>1636820</v>
      </c>
      <c r="K89" s="17">
        <v>1556820</v>
      </c>
      <c r="L89" s="17">
        <f>J89-K89</f>
      </c>
      <c r="M89" s="14" t="s">
        <v>43</v>
      </c>
      <c r="N89" s="14" t="s">
        <v>2362</v>
      </c>
      <c r="O89" s="16">
        <v>2</v>
      </c>
      <c r="P89" s="65"/>
      <c r="Q89" s="65"/>
      <c r="R89" s="17"/>
      <c r="S89" s="17">
        <f>J89-Q89-P89-R89</f>
      </c>
      <c r="T89" s="12"/>
      <c r="U89" s="14"/>
      <c r="V89" s="14"/>
    </row>
    <row x14ac:dyDescent="0.25" r="90" customHeight="1" ht="15.75">
      <c r="A90" s="12">
        <v>45919</v>
      </c>
      <c r="B90" s="15" t="s">
        <v>72</v>
      </c>
      <c r="C90" s="161" t="s">
        <v>2363</v>
      </c>
      <c r="D90" s="14" t="s">
        <v>2342</v>
      </c>
      <c r="E90" s="30" t="s">
        <v>2364</v>
      </c>
      <c r="F90" s="14" t="s">
        <v>1799</v>
      </c>
      <c r="G90" s="14" t="s">
        <v>2344</v>
      </c>
      <c r="H90" s="14" t="s">
        <v>26</v>
      </c>
      <c r="I90" s="17"/>
      <c r="J90" s="69">
        <v>250000</v>
      </c>
      <c r="K90" s="17">
        <v>133100</v>
      </c>
      <c r="L90" s="17">
        <f>J90-K90</f>
      </c>
      <c r="M90" s="14" t="s">
        <v>50</v>
      </c>
      <c r="N90" s="14" t="s">
        <v>2365</v>
      </c>
      <c r="O90" s="16" t="s">
        <v>33</v>
      </c>
      <c r="P90" s="65"/>
      <c r="Q90" s="65"/>
      <c r="R90" s="17"/>
      <c r="S90" s="17">
        <f>J90-Q90-P90-R90</f>
      </c>
      <c r="T90" s="175"/>
      <c r="U90" s="14"/>
      <c r="V90" s="14"/>
    </row>
    <row x14ac:dyDescent="0.25" r="91" customHeight="1" ht="15.75">
      <c r="A91" s="12">
        <v>45919</v>
      </c>
      <c r="B91" s="15" t="s">
        <v>72</v>
      </c>
      <c r="C91" s="161" t="s">
        <v>2363</v>
      </c>
      <c r="D91" s="14" t="s">
        <v>2342</v>
      </c>
      <c r="E91" s="30" t="s">
        <v>2364</v>
      </c>
      <c r="F91" s="14" t="s">
        <v>1799</v>
      </c>
      <c r="G91" s="14" t="s">
        <v>2351</v>
      </c>
      <c r="H91" s="14" t="s">
        <v>26</v>
      </c>
      <c r="I91" s="17"/>
      <c r="J91" s="69">
        <v>250000</v>
      </c>
      <c r="K91" s="17">
        <v>133100</v>
      </c>
      <c r="L91" s="17">
        <f>J91-K91</f>
      </c>
      <c r="M91" s="14" t="s">
        <v>50</v>
      </c>
      <c r="N91" s="14" t="s">
        <v>2366</v>
      </c>
      <c r="O91" s="16" t="s">
        <v>33</v>
      </c>
      <c r="P91" s="212"/>
      <c r="Q91" s="212"/>
      <c r="R91" s="212"/>
      <c r="S91" s="17">
        <f>J91-Q91-P91-R91</f>
      </c>
      <c r="T91" s="213"/>
      <c r="U91" s="214"/>
      <c r="V91" s="14"/>
    </row>
    <row x14ac:dyDescent="0.25" r="92" customHeight="1" ht="15.75">
      <c r="A92" s="12">
        <v>45919</v>
      </c>
      <c r="B92" s="15" t="s">
        <v>72</v>
      </c>
      <c r="C92" s="161" t="s">
        <v>2363</v>
      </c>
      <c r="D92" s="14" t="s">
        <v>2342</v>
      </c>
      <c r="E92" s="30" t="s">
        <v>2364</v>
      </c>
      <c r="F92" s="14" t="s">
        <v>1799</v>
      </c>
      <c r="G92" s="14" t="s">
        <v>2354</v>
      </c>
      <c r="H92" s="14" t="s">
        <v>26</v>
      </c>
      <c r="I92" s="17"/>
      <c r="J92" s="69">
        <v>250000</v>
      </c>
      <c r="K92" s="17">
        <v>133100</v>
      </c>
      <c r="L92" s="17">
        <f>J92-K92</f>
      </c>
      <c r="M92" s="14" t="s">
        <v>50</v>
      </c>
      <c r="N92" s="14" t="s">
        <v>2367</v>
      </c>
      <c r="O92" s="16" t="s">
        <v>33</v>
      </c>
      <c r="P92" s="65"/>
      <c r="Q92" s="65"/>
      <c r="R92" s="17"/>
      <c r="S92" s="17">
        <f>J92-Q92-P92-R92</f>
      </c>
      <c r="T92" s="12"/>
      <c r="U92" s="14"/>
      <c r="V92" s="14"/>
    </row>
    <row x14ac:dyDescent="0.25" r="93" customHeight="1" ht="15.75">
      <c r="A93" s="12">
        <v>45919</v>
      </c>
      <c r="B93" s="15" t="s">
        <v>66</v>
      </c>
      <c r="C93" s="161" t="s">
        <v>2171</v>
      </c>
      <c r="D93" s="14" t="s">
        <v>166</v>
      </c>
      <c r="E93" s="30" t="s">
        <v>2368</v>
      </c>
      <c r="F93" s="14" t="s">
        <v>24</v>
      </c>
      <c r="G93" s="30" t="s">
        <v>2078</v>
      </c>
      <c r="H93" s="14" t="s">
        <v>26</v>
      </c>
      <c r="I93" s="17"/>
      <c r="J93" s="17">
        <v>1798820</v>
      </c>
      <c r="K93" s="17">
        <v>1729320</v>
      </c>
      <c r="L93" s="17">
        <f>J93-K93</f>
      </c>
      <c r="M93" s="14" t="s">
        <v>66</v>
      </c>
      <c r="N93" s="14" t="s">
        <v>2369</v>
      </c>
      <c r="O93" s="16" t="s">
        <v>33</v>
      </c>
      <c r="P93" s="65"/>
      <c r="Q93" s="65"/>
      <c r="R93" s="17"/>
      <c r="S93" s="17">
        <f>J93-Q93-P93-R93</f>
      </c>
      <c r="T93" s="12"/>
      <c r="U93" s="14"/>
      <c r="V93" s="14"/>
    </row>
    <row x14ac:dyDescent="0.25" r="94" customHeight="1" ht="15.75">
      <c r="A94" s="12">
        <v>45919</v>
      </c>
      <c r="B94" s="15" t="s">
        <v>897</v>
      </c>
      <c r="C94" s="18">
        <v>45921</v>
      </c>
      <c r="D94" s="14" t="s">
        <v>2079</v>
      </c>
      <c r="E94" s="30" t="s">
        <v>2370</v>
      </c>
      <c r="F94" s="14" t="s">
        <v>2334</v>
      </c>
      <c r="G94" s="30" t="s">
        <v>2335</v>
      </c>
      <c r="H94" s="14" t="s">
        <v>26</v>
      </c>
      <c r="I94" s="17"/>
      <c r="J94" s="17">
        <v>43755</v>
      </c>
      <c r="K94" s="17">
        <v>37755</v>
      </c>
      <c r="L94" s="17">
        <f>J94-K94</f>
      </c>
      <c r="M94" s="14" t="s">
        <v>50</v>
      </c>
      <c r="N94" s="14" t="s">
        <v>2371</v>
      </c>
      <c r="O94" s="16" t="s">
        <v>33</v>
      </c>
      <c r="P94" s="65"/>
      <c r="Q94" s="65"/>
      <c r="R94" s="17"/>
      <c r="S94" s="17">
        <f>J94-Q94-P94-R94</f>
      </c>
      <c r="T94" s="12"/>
      <c r="U94" s="14"/>
      <c r="V94" s="14"/>
    </row>
    <row x14ac:dyDescent="0.25" r="95" customHeight="1" ht="15.75">
      <c r="A95" s="12">
        <v>45920</v>
      </c>
      <c r="B95" s="15"/>
      <c r="C95" s="161" t="s">
        <v>2171</v>
      </c>
      <c r="D95" s="14"/>
      <c r="E95" s="30"/>
      <c r="F95" s="14" t="s">
        <v>24</v>
      </c>
      <c r="G95" s="30" t="s">
        <v>2078</v>
      </c>
      <c r="H95" s="14"/>
      <c r="I95" s="17"/>
      <c r="J95" s="17">
        <v>1000000</v>
      </c>
      <c r="K95" s="17">
        <v>800000</v>
      </c>
      <c r="L95" s="17">
        <f>J95-K95</f>
      </c>
      <c r="M95" s="14"/>
      <c r="N95" s="14" t="s">
        <v>2372</v>
      </c>
      <c r="O95" s="16"/>
      <c r="P95" s="65"/>
      <c r="Q95" s="65"/>
      <c r="R95" s="17"/>
      <c r="S95" s="17">
        <f>J95-Q95-P95-R95</f>
      </c>
      <c r="T95" s="12"/>
      <c r="U95" s="14"/>
      <c r="V95" s="14"/>
    </row>
    <row x14ac:dyDescent="0.25" r="96" customHeight="1" ht="15.75">
      <c r="A96" s="12">
        <v>45921</v>
      </c>
      <c r="B96" s="15" t="s">
        <v>123</v>
      </c>
      <c r="C96" s="161" t="s">
        <v>2373</v>
      </c>
      <c r="D96" s="14" t="s">
        <v>1284</v>
      </c>
      <c r="E96" s="30" t="s">
        <v>2374</v>
      </c>
      <c r="F96" s="14" t="s">
        <v>135</v>
      </c>
      <c r="G96" s="14" t="s">
        <v>2152</v>
      </c>
      <c r="H96" s="14" t="s">
        <v>26</v>
      </c>
      <c r="I96" s="17"/>
      <c r="J96" s="17">
        <v>2598900</v>
      </c>
      <c r="K96" s="17">
        <v>2472220</v>
      </c>
      <c r="L96" s="17">
        <f>J96-K96</f>
      </c>
      <c r="M96" s="14" t="s">
        <v>43</v>
      </c>
      <c r="N96" s="14" t="s">
        <v>2375</v>
      </c>
      <c r="O96" s="16"/>
      <c r="P96" s="65"/>
      <c r="Q96" s="65"/>
      <c r="R96" s="17"/>
      <c r="S96" s="17">
        <f>J96-Q96-P96-R96</f>
      </c>
      <c r="T96" s="12"/>
      <c r="U96" s="14"/>
      <c r="V96" s="14"/>
    </row>
    <row x14ac:dyDescent="0.25" r="97" customHeight="1" ht="18">
      <c r="A97" s="12">
        <v>45921</v>
      </c>
      <c r="B97" s="15" t="s">
        <v>46</v>
      </c>
      <c r="C97" s="161" t="s">
        <v>2376</v>
      </c>
      <c r="D97" s="14" t="s">
        <v>375</v>
      </c>
      <c r="E97" s="30" t="s">
        <v>2377</v>
      </c>
      <c r="F97" s="14" t="s">
        <v>2318</v>
      </c>
      <c r="G97" s="14" t="s">
        <v>2319</v>
      </c>
      <c r="H97" s="14" t="s">
        <v>57</v>
      </c>
      <c r="I97" s="17"/>
      <c r="J97" s="17">
        <v>2216000</v>
      </c>
      <c r="K97" s="17">
        <v>1775920</v>
      </c>
      <c r="L97" s="17">
        <f>J97-K97</f>
      </c>
      <c r="M97" s="14" t="s">
        <v>43</v>
      </c>
      <c r="N97" s="14" t="s">
        <v>2378</v>
      </c>
      <c r="O97" s="16"/>
      <c r="P97" s="17">
        <v>2102350</v>
      </c>
      <c r="Q97" s="65"/>
      <c r="R97" s="17">
        <v>113650</v>
      </c>
      <c r="S97" s="17">
        <f>J97-Q97-P97-R97</f>
      </c>
      <c r="T97" s="175" t="s">
        <v>2379</v>
      </c>
      <c r="U97" s="14" t="s">
        <v>1718</v>
      </c>
      <c r="V97" s="14"/>
    </row>
    <row x14ac:dyDescent="0.25" r="98" customHeight="1" ht="15.75">
      <c r="A98" s="12">
        <v>45922</v>
      </c>
      <c r="B98" s="15" t="s">
        <v>111</v>
      </c>
      <c r="C98" s="161" t="s">
        <v>2380</v>
      </c>
      <c r="D98" s="14" t="s">
        <v>2381</v>
      </c>
      <c r="E98" s="30" t="s">
        <v>2382</v>
      </c>
      <c r="F98" s="14" t="s">
        <v>158</v>
      </c>
      <c r="G98" s="14" t="s">
        <v>2383</v>
      </c>
      <c r="H98" s="14" t="s">
        <v>26</v>
      </c>
      <c r="I98" s="17">
        <v>322600</v>
      </c>
      <c r="J98" s="17">
        <v>798620</v>
      </c>
      <c r="K98" s="17">
        <v>690320</v>
      </c>
      <c r="L98" s="17">
        <f>J98-K98</f>
      </c>
      <c r="M98" s="14" t="s">
        <v>50</v>
      </c>
      <c r="N98" s="14" t="s">
        <v>2384</v>
      </c>
      <c r="O98" s="16">
        <v>4</v>
      </c>
      <c r="P98" s="65"/>
      <c r="Q98" s="65"/>
      <c r="R98" s="17"/>
      <c r="S98" s="17">
        <f>J98-Q98-P98-R98</f>
      </c>
      <c r="T98" s="12"/>
      <c r="U98" s="14"/>
      <c r="V98" s="14"/>
    </row>
    <row x14ac:dyDescent="0.25" r="99" customHeight="1" ht="15.75">
      <c r="A99" s="12">
        <v>45922</v>
      </c>
      <c r="B99" s="15" t="s">
        <v>111</v>
      </c>
      <c r="C99" s="161" t="s">
        <v>2380</v>
      </c>
      <c r="D99" s="14" t="s">
        <v>2381</v>
      </c>
      <c r="E99" s="30" t="s">
        <v>2382</v>
      </c>
      <c r="F99" s="14" t="s">
        <v>158</v>
      </c>
      <c r="G99" s="14" t="s">
        <v>2385</v>
      </c>
      <c r="H99" s="14" t="s">
        <v>26</v>
      </c>
      <c r="I99" s="17">
        <v>322600</v>
      </c>
      <c r="J99" s="17">
        <v>798620</v>
      </c>
      <c r="K99" s="17">
        <v>690320</v>
      </c>
      <c r="L99" s="17">
        <f>J99-K99</f>
      </c>
      <c r="M99" s="14" t="s">
        <v>50</v>
      </c>
      <c r="N99" s="14" t="s">
        <v>2386</v>
      </c>
      <c r="O99" s="16">
        <v>4</v>
      </c>
      <c r="P99" s="65"/>
      <c r="Q99" s="65"/>
      <c r="R99" s="17"/>
      <c r="S99" s="17">
        <f>J99-Q99-P99-R99</f>
      </c>
      <c r="T99" s="12"/>
      <c r="U99" s="14"/>
      <c r="V99" s="14"/>
    </row>
    <row x14ac:dyDescent="0.25" r="100" customHeight="1" ht="15.75">
      <c r="A100" s="12">
        <v>45922</v>
      </c>
      <c r="B100" s="15" t="s">
        <v>53</v>
      </c>
      <c r="C100" s="18">
        <v>45923</v>
      </c>
      <c r="D100" s="14" t="s">
        <v>2387</v>
      </c>
      <c r="E100" s="30" t="s">
        <v>2388</v>
      </c>
      <c r="F100" s="14" t="s">
        <v>2389</v>
      </c>
      <c r="G100" s="14" t="s">
        <v>2389</v>
      </c>
      <c r="H100" s="14" t="s">
        <v>26</v>
      </c>
      <c r="I100" s="17"/>
      <c r="J100" s="17">
        <v>90300</v>
      </c>
      <c r="K100" s="17">
        <v>85300</v>
      </c>
      <c r="L100" s="17">
        <f>J100-K100</f>
      </c>
      <c r="M100" s="14" t="s">
        <v>137</v>
      </c>
      <c r="N100" s="14" t="s">
        <v>2390</v>
      </c>
      <c r="O100" s="16"/>
      <c r="P100" s="65"/>
      <c r="Q100" s="65"/>
      <c r="R100" s="17">
        <v>93500</v>
      </c>
      <c r="S100" s="17">
        <f>J100-Q100-P100-R100</f>
      </c>
      <c r="T100" s="12">
        <v>45923</v>
      </c>
      <c r="U100" s="14" t="s">
        <v>1718</v>
      </c>
      <c r="V100" s="14"/>
    </row>
    <row x14ac:dyDescent="0.25" r="101" customHeight="1" ht="15.75">
      <c r="A101" s="12">
        <v>45922</v>
      </c>
      <c r="B101" s="15" t="s">
        <v>62</v>
      </c>
      <c r="C101" s="161" t="s">
        <v>2391</v>
      </c>
      <c r="D101" s="14" t="s">
        <v>2392</v>
      </c>
      <c r="E101" s="30" t="s">
        <v>2393</v>
      </c>
      <c r="F101" s="14" t="s">
        <v>174</v>
      </c>
      <c r="G101" s="14" t="s">
        <v>2394</v>
      </c>
      <c r="H101" s="14" t="s">
        <v>26</v>
      </c>
      <c r="I101" s="17"/>
      <c r="J101" s="17">
        <v>4560680</v>
      </c>
      <c r="K101" s="17">
        <v>3518000</v>
      </c>
      <c r="L101" s="17">
        <f>J101-K101</f>
      </c>
      <c r="M101" s="14" t="s">
        <v>43</v>
      </c>
      <c r="N101" s="14" t="s">
        <v>2395</v>
      </c>
      <c r="O101" s="16"/>
      <c r="P101" s="17">
        <v>2912330</v>
      </c>
      <c r="Q101" s="65"/>
      <c r="R101" s="17"/>
      <c r="S101" s="17">
        <f>J101-Q101-P101-R101</f>
      </c>
      <c r="T101" s="12">
        <v>45919</v>
      </c>
      <c r="U101" s="14" t="s">
        <v>1718</v>
      </c>
      <c r="V101" s="14"/>
    </row>
    <row x14ac:dyDescent="0.25" r="102" customHeight="1" ht="15.75">
      <c r="A102" s="12">
        <v>45922</v>
      </c>
      <c r="B102" s="15" t="s">
        <v>62</v>
      </c>
      <c r="C102" s="161" t="s">
        <v>2396</v>
      </c>
      <c r="D102" s="14" t="s">
        <v>2392</v>
      </c>
      <c r="E102" s="30" t="s">
        <v>2393</v>
      </c>
      <c r="F102" s="14" t="s">
        <v>174</v>
      </c>
      <c r="G102" s="14" t="s">
        <v>2394</v>
      </c>
      <c r="H102" s="14" t="s">
        <v>26</v>
      </c>
      <c r="I102" s="17"/>
      <c r="J102" s="17">
        <v>257500</v>
      </c>
      <c r="K102" s="17">
        <v>157500</v>
      </c>
      <c r="L102" s="17">
        <f>J102-K102</f>
      </c>
      <c r="M102" s="14" t="s">
        <v>43</v>
      </c>
      <c r="N102" s="14" t="s">
        <v>2397</v>
      </c>
      <c r="O102" s="16" t="s">
        <v>33</v>
      </c>
      <c r="P102" s="65"/>
      <c r="Q102" s="65"/>
      <c r="R102" s="17"/>
      <c r="S102" s="17">
        <f>J102-Q102-P102-R102</f>
      </c>
      <c r="T102" s="12"/>
      <c r="U102" s="14"/>
      <c r="V102" s="14"/>
    </row>
    <row x14ac:dyDescent="0.25" r="103" customHeight="1" ht="15.75">
      <c r="A103" s="12">
        <v>45924</v>
      </c>
      <c r="B103" s="15" t="s">
        <v>72</v>
      </c>
      <c r="C103" s="18">
        <v>45982</v>
      </c>
      <c r="D103" s="14" t="s">
        <v>2398</v>
      </c>
      <c r="E103" s="30" t="s">
        <v>2399</v>
      </c>
      <c r="F103" s="14" t="s">
        <v>2400</v>
      </c>
      <c r="G103" s="14" t="s">
        <v>2400</v>
      </c>
      <c r="H103" s="14" t="s">
        <v>26</v>
      </c>
      <c r="I103" s="17"/>
      <c r="J103" s="17">
        <v>151800</v>
      </c>
      <c r="K103" s="17">
        <v>111500</v>
      </c>
      <c r="L103" s="17">
        <f>J103-K103</f>
      </c>
      <c r="M103" s="14" t="s">
        <v>50</v>
      </c>
      <c r="N103" s="14" t="s">
        <v>2401</v>
      </c>
      <c r="O103" s="16" t="s">
        <v>33</v>
      </c>
      <c r="P103" s="65"/>
      <c r="Q103" s="65"/>
      <c r="R103" s="17">
        <v>151800</v>
      </c>
      <c r="S103" s="17">
        <f>J103-Q103-P103-R103</f>
      </c>
      <c r="T103" s="12">
        <v>45936</v>
      </c>
      <c r="U103" s="14" t="s">
        <v>2122</v>
      </c>
      <c r="V103" s="14"/>
    </row>
    <row x14ac:dyDescent="0.25" r="104" customHeight="1" ht="15.75">
      <c r="A104" s="137">
        <v>45924</v>
      </c>
      <c r="B104" s="140" t="s">
        <v>82</v>
      </c>
      <c r="C104" s="138" t="s">
        <v>2402</v>
      </c>
      <c r="D104" s="139" t="s">
        <v>2403</v>
      </c>
      <c r="E104" s="139" t="s">
        <v>2404</v>
      </c>
      <c r="F104" s="139" t="s">
        <v>48</v>
      </c>
      <c r="G104" s="139" t="s">
        <v>2405</v>
      </c>
      <c r="H104" s="139" t="s">
        <v>26</v>
      </c>
      <c r="I104" s="176"/>
      <c r="J104" s="141">
        <v>216520</v>
      </c>
      <c r="K104" s="141">
        <v>159440</v>
      </c>
      <c r="L104" s="141">
        <f>J104-K104</f>
      </c>
      <c r="M104" s="139" t="s">
        <v>86</v>
      </c>
      <c r="N104" s="139" t="s">
        <v>2406</v>
      </c>
      <c r="O104" s="141"/>
      <c r="P104" s="178"/>
      <c r="Q104" s="178"/>
      <c r="R104" s="178"/>
      <c r="S104" s="17">
        <f>J104-Q104-P104-R104</f>
      </c>
      <c r="T104" s="178"/>
      <c r="U104" s="139"/>
      <c r="V104" s="34"/>
    </row>
    <row x14ac:dyDescent="0.25" r="105" customHeight="1" ht="15.75">
      <c r="A105" s="12">
        <v>45924</v>
      </c>
      <c r="B105" s="15" t="s">
        <v>123</v>
      </c>
      <c r="C105" s="161" t="s">
        <v>2220</v>
      </c>
      <c r="D105" s="14" t="s">
        <v>1735</v>
      </c>
      <c r="E105" s="30" t="s">
        <v>2407</v>
      </c>
      <c r="F105" s="14" t="s">
        <v>2222</v>
      </c>
      <c r="G105" s="14" t="s">
        <v>2222</v>
      </c>
      <c r="H105" s="14" t="s">
        <v>26</v>
      </c>
      <c r="I105" s="17"/>
      <c r="J105" s="17">
        <v>197800</v>
      </c>
      <c r="K105" s="17">
        <v>152800</v>
      </c>
      <c r="L105" s="17">
        <f>J105-K105</f>
      </c>
      <c r="M105" s="14" t="s">
        <v>2101</v>
      </c>
      <c r="N105" s="14" t="s">
        <v>2408</v>
      </c>
      <c r="O105" s="16" t="s">
        <v>33</v>
      </c>
      <c r="P105" s="17">
        <v>50000</v>
      </c>
      <c r="Q105" s="65"/>
      <c r="R105" s="17"/>
      <c r="S105" s="17">
        <f>J105-Q105-P105-R105</f>
      </c>
      <c r="T105" s="12">
        <v>45930</v>
      </c>
      <c r="U105" s="14" t="s">
        <v>1718</v>
      </c>
      <c r="V105" s="14"/>
    </row>
    <row x14ac:dyDescent="0.25" r="106" customHeight="1" ht="15.75">
      <c r="A106" s="55">
        <v>45925</v>
      </c>
      <c r="B106" s="133" t="s">
        <v>72</v>
      </c>
      <c r="C106" s="132" t="s">
        <v>2409</v>
      </c>
      <c r="D106" s="56" t="s">
        <v>2410</v>
      </c>
      <c r="E106" s="56" t="s">
        <v>2411</v>
      </c>
      <c r="F106" s="56" t="s">
        <v>2281</v>
      </c>
      <c r="G106" s="56" t="s">
        <v>2281</v>
      </c>
      <c r="H106" s="56" t="s">
        <v>57</v>
      </c>
      <c r="I106" s="57"/>
      <c r="J106" s="57"/>
      <c r="K106" s="57">
        <v>89700</v>
      </c>
      <c r="L106" s="57">
        <v>0</v>
      </c>
      <c r="M106" s="56" t="s">
        <v>50</v>
      </c>
      <c r="N106" s="56" t="s">
        <v>2282</v>
      </c>
      <c r="O106" s="134" t="s">
        <v>2412</v>
      </c>
      <c r="P106" s="180"/>
      <c r="Q106" s="180"/>
      <c r="R106" s="57"/>
      <c r="S106" s="17">
        <f>J106-Q106-P106-R106</f>
      </c>
      <c r="T106" s="55"/>
      <c r="U106" s="56"/>
      <c r="V106" s="56"/>
    </row>
    <row x14ac:dyDescent="0.25" r="107" customHeight="1" ht="15.75">
      <c r="A107" s="12">
        <v>45925</v>
      </c>
      <c r="B107" s="15" t="s">
        <v>82</v>
      </c>
      <c r="C107" s="161" t="s">
        <v>1849</v>
      </c>
      <c r="D107" s="14" t="s">
        <v>805</v>
      </c>
      <c r="E107" s="30" t="s">
        <v>2413</v>
      </c>
      <c r="F107" s="14" t="s">
        <v>2414</v>
      </c>
      <c r="G107" s="14" t="s">
        <v>2414</v>
      </c>
      <c r="H107" s="14" t="s">
        <v>26</v>
      </c>
      <c r="I107" s="17"/>
      <c r="J107" s="17">
        <v>335900</v>
      </c>
      <c r="K107" s="17">
        <v>300320</v>
      </c>
      <c r="L107" s="17">
        <f>J107-K107</f>
      </c>
      <c r="M107" s="14" t="s">
        <v>86</v>
      </c>
      <c r="N107" s="14" t="s">
        <v>2415</v>
      </c>
      <c r="O107" s="16"/>
      <c r="P107" s="65"/>
      <c r="Q107" s="65"/>
      <c r="R107" s="17"/>
      <c r="S107" s="17">
        <f>J107-Q107-P107-R107</f>
      </c>
      <c r="T107" s="12"/>
      <c r="U107" s="14"/>
      <c r="V107" s="14"/>
    </row>
    <row x14ac:dyDescent="0.25" r="108" customHeight="1" ht="15.75">
      <c r="A108" s="12">
        <v>45926</v>
      </c>
      <c r="B108" s="15" t="s">
        <v>46</v>
      </c>
      <c r="C108" s="161" t="s">
        <v>2416</v>
      </c>
      <c r="D108" s="14" t="s">
        <v>124</v>
      </c>
      <c r="E108" s="30" t="s">
        <v>2417</v>
      </c>
      <c r="F108" s="14" t="s">
        <v>2418</v>
      </c>
      <c r="G108" s="14" t="s">
        <v>2419</v>
      </c>
      <c r="H108" s="14" t="s">
        <v>2420</v>
      </c>
      <c r="I108" s="17">
        <v>412000</v>
      </c>
      <c r="J108" s="17">
        <v>788000</v>
      </c>
      <c r="K108" s="17">
        <v>747820</v>
      </c>
      <c r="L108" s="17">
        <f>J108-K108</f>
      </c>
      <c r="M108" s="14" t="s">
        <v>50</v>
      </c>
      <c r="N108" s="14" t="s">
        <v>2421</v>
      </c>
      <c r="O108" s="16">
        <v>4</v>
      </c>
      <c r="P108" s="17">
        <v>325000</v>
      </c>
      <c r="Q108" s="65"/>
      <c r="R108" s="17"/>
      <c r="S108" s="17">
        <f>J108-Q108-P108-R108</f>
      </c>
      <c r="T108" s="12">
        <v>45926</v>
      </c>
      <c r="U108" s="14" t="s">
        <v>2307</v>
      </c>
      <c r="V108" s="14"/>
    </row>
    <row x14ac:dyDescent="0.25" r="109" customHeight="1" ht="15.75">
      <c r="A109" s="12">
        <v>45926</v>
      </c>
      <c r="B109" s="15" t="s">
        <v>82</v>
      </c>
      <c r="C109" s="161" t="s">
        <v>2422</v>
      </c>
      <c r="D109" s="14" t="s">
        <v>805</v>
      </c>
      <c r="E109" s="30" t="s">
        <v>2423</v>
      </c>
      <c r="F109" s="14" t="s">
        <v>2424</v>
      </c>
      <c r="G109" s="14" t="s">
        <v>2424</v>
      </c>
      <c r="H109" s="14" t="s">
        <v>1258</v>
      </c>
      <c r="I109" s="17"/>
      <c r="J109" s="17">
        <v>286500</v>
      </c>
      <c r="K109" s="17">
        <v>266420</v>
      </c>
      <c r="L109" s="17">
        <f>J109-K109</f>
      </c>
      <c r="M109" s="14" t="s">
        <v>86</v>
      </c>
      <c r="N109" s="14" t="s">
        <v>2425</v>
      </c>
      <c r="O109" s="16"/>
      <c r="P109" s="65"/>
      <c r="Q109" s="65"/>
      <c r="R109" s="17">
        <v>286500</v>
      </c>
      <c r="S109" s="17">
        <f>J109-Q109-P109-R109</f>
      </c>
      <c r="T109" s="12">
        <v>45930</v>
      </c>
      <c r="U109" s="14" t="s">
        <v>1718</v>
      </c>
      <c r="V109" s="14"/>
    </row>
    <row x14ac:dyDescent="0.25" r="110" customHeight="1" ht="15.75">
      <c r="A110" s="12">
        <v>45926</v>
      </c>
      <c r="B110" s="15" t="s">
        <v>46</v>
      </c>
      <c r="C110" s="161" t="s">
        <v>2380</v>
      </c>
      <c r="D110" s="14" t="s">
        <v>282</v>
      </c>
      <c r="E110" s="30" t="s">
        <v>2411</v>
      </c>
      <c r="F110" s="14" t="s">
        <v>816</v>
      </c>
      <c r="G110" s="14" t="s">
        <v>2426</v>
      </c>
      <c r="H110" s="14" t="s">
        <v>26</v>
      </c>
      <c r="I110" s="17">
        <v>877100</v>
      </c>
      <c r="J110" s="17">
        <v>1637020</v>
      </c>
      <c r="K110" s="17">
        <v>1229920</v>
      </c>
      <c r="L110" s="17">
        <f>J110-K110</f>
      </c>
      <c r="M110" s="14" t="s">
        <v>50</v>
      </c>
      <c r="N110" s="14" t="s">
        <v>2427</v>
      </c>
      <c r="O110" s="16">
        <v>2</v>
      </c>
      <c r="P110" s="65"/>
      <c r="Q110" s="65"/>
      <c r="R110" s="17">
        <v>1637020</v>
      </c>
      <c r="S110" s="17">
        <f>J110-Q110-P110-R110</f>
      </c>
      <c r="T110" s="12">
        <v>45929</v>
      </c>
      <c r="U110" s="14" t="s">
        <v>1718</v>
      </c>
      <c r="V110" s="14"/>
    </row>
    <row x14ac:dyDescent="0.25" r="111" customHeight="1" ht="18.75">
      <c r="A111" s="12">
        <v>45926</v>
      </c>
      <c r="B111" s="15" t="s">
        <v>46</v>
      </c>
      <c r="C111" s="161" t="s">
        <v>2428</v>
      </c>
      <c r="D111" s="14" t="s">
        <v>282</v>
      </c>
      <c r="E111" s="30" t="s">
        <v>2429</v>
      </c>
      <c r="F111" s="14" t="s">
        <v>816</v>
      </c>
      <c r="G111" s="14" t="s">
        <v>2430</v>
      </c>
      <c r="H111" s="14" t="s">
        <v>26</v>
      </c>
      <c r="I111" s="17">
        <v>3731800</v>
      </c>
      <c r="J111" s="17">
        <v>4892920</v>
      </c>
      <c r="K111" s="17">
        <v>4569320</v>
      </c>
      <c r="L111" s="17">
        <f>J111-K111</f>
      </c>
      <c r="M111" s="14" t="s">
        <v>50</v>
      </c>
      <c r="N111" s="14" t="s">
        <v>2431</v>
      </c>
      <c r="O111" s="16">
        <v>2</v>
      </c>
      <c r="P111" s="17">
        <v>1850980</v>
      </c>
      <c r="Q111" s="17">
        <v>1984000</v>
      </c>
      <c r="R111" s="17">
        <v>1057140</v>
      </c>
      <c r="S111" s="17">
        <f>J111-Q111-P111-R111</f>
      </c>
      <c r="T111" s="175" t="s">
        <v>2432</v>
      </c>
      <c r="U111" s="70" t="s">
        <v>2433</v>
      </c>
      <c r="V111" s="14"/>
    </row>
    <row x14ac:dyDescent="0.25" r="112" customHeight="1" ht="15.75">
      <c r="A112" s="12">
        <v>45927</v>
      </c>
      <c r="B112" s="15" t="s">
        <v>53</v>
      </c>
      <c r="C112" s="161" t="s">
        <v>2434</v>
      </c>
      <c r="D112" s="14" t="s">
        <v>2435</v>
      </c>
      <c r="E112" s="14" t="s">
        <v>2436</v>
      </c>
      <c r="F112" s="14" t="s">
        <v>2437</v>
      </c>
      <c r="G112" s="14" t="s">
        <v>2438</v>
      </c>
      <c r="H112" s="14" t="s">
        <v>26</v>
      </c>
      <c r="I112" s="17">
        <v>549400</v>
      </c>
      <c r="J112" s="16">
        <v>1028900</v>
      </c>
      <c r="K112" s="16">
        <v>990520</v>
      </c>
      <c r="L112" s="16">
        <f>J112-K112</f>
      </c>
      <c r="M112" s="14" t="s">
        <v>50</v>
      </c>
      <c r="N112" s="14" t="s">
        <v>2439</v>
      </c>
      <c r="O112" s="16">
        <v>6</v>
      </c>
      <c r="P112" s="17"/>
      <c r="Q112" s="65"/>
      <c r="R112" s="17">
        <v>1028900</v>
      </c>
      <c r="S112" s="17">
        <f>J112-Q112-P112-R112</f>
      </c>
      <c r="T112" s="12">
        <v>45931</v>
      </c>
      <c r="U112" s="14" t="s">
        <v>2216</v>
      </c>
      <c r="V112" s="14" t="s">
        <v>2440</v>
      </c>
    </row>
    <row x14ac:dyDescent="0.25" r="113" customHeight="1" ht="15.75">
      <c r="A113" s="12">
        <v>45927</v>
      </c>
      <c r="B113" s="15" t="s">
        <v>72</v>
      </c>
      <c r="C113" s="161" t="s">
        <v>2441</v>
      </c>
      <c r="D113" s="14" t="s">
        <v>1284</v>
      </c>
      <c r="E113" s="30" t="s">
        <v>2442</v>
      </c>
      <c r="F113" s="14" t="s">
        <v>2443</v>
      </c>
      <c r="G113" s="14" t="s">
        <v>2443</v>
      </c>
      <c r="H113" s="14" t="s">
        <v>26</v>
      </c>
      <c r="I113" s="17">
        <v>526600</v>
      </c>
      <c r="J113" s="17">
        <v>955720</v>
      </c>
      <c r="K113" s="17">
        <v>924720</v>
      </c>
      <c r="L113" s="17">
        <f>J113-K113</f>
      </c>
      <c r="M113" s="14" t="s">
        <v>154</v>
      </c>
      <c r="N113" s="14" t="s">
        <v>2444</v>
      </c>
      <c r="O113" s="16"/>
      <c r="P113" s="65"/>
      <c r="Q113" s="65"/>
      <c r="R113" s="17">
        <v>955720</v>
      </c>
      <c r="S113" s="17">
        <f>J113-Q113-P113-R113</f>
      </c>
      <c r="T113" s="12">
        <v>45930</v>
      </c>
      <c r="U113" s="14" t="s">
        <v>1718</v>
      </c>
      <c r="V113" s="14"/>
    </row>
    <row x14ac:dyDescent="0.25" r="114" customHeight="1" ht="15.75">
      <c r="A114" s="12">
        <v>45928</v>
      </c>
      <c r="B114" s="15" t="s">
        <v>123</v>
      </c>
      <c r="C114" s="18">
        <v>45930</v>
      </c>
      <c r="D114" s="14" t="s">
        <v>2445</v>
      </c>
      <c r="E114" s="30" t="s">
        <v>2446</v>
      </c>
      <c r="F114" s="14" t="s">
        <v>135</v>
      </c>
      <c r="G114" s="14" t="s">
        <v>2152</v>
      </c>
      <c r="H114" s="14" t="s">
        <v>26</v>
      </c>
      <c r="I114" s="17"/>
      <c r="J114" s="17">
        <v>250000</v>
      </c>
      <c r="K114" s="17">
        <v>95000</v>
      </c>
      <c r="L114" s="17">
        <f>J114-K114</f>
      </c>
      <c r="M114" s="14" t="s">
        <v>43</v>
      </c>
      <c r="N114" s="14" t="s">
        <v>2447</v>
      </c>
      <c r="O114" s="16" t="s">
        <v>33</v>
      </c>
      <c r="P114" s="65"/>
      <c r="Q114" s="65"/>
      <c r="R114" s="65"/>
      <c r="S114" s="17">
        <f>J114-Q114-P114-R114</f>
      </c>
      <c r="T114" s="12"/>
      <c r="U114" s="14"/>
      <c r="V114" s="14"/>
    </row>
    <row x14ac:dyDescent="0.25" r="115" customHeight="1" ht="15.75">
      <c r="A115" s="12">
        <v>45929</v>
      </c>
      <c r="B115" s="15" t="s">
        <v>72</v>
      </c>
      <c r="C115" s="18">
        <v>45930</v>
      </c>
      <c r="D115" s="14" t="s">
        <v>264</v>
      </c>
      <c r="E115" s="30" t="s">
        <v>2448</v>
      </c>
      <c r="F115" s="14" t="s">
        <v>1456</v>
      </c>
      <c r="G115" s="14" t="s">
        <v>1762</v>
      </c>
      <c r="H115" s="14" t="s">
        <v>26</v>
      </c>
      <c r="I115" s="17"/>
      <c r="J115" s="17">
        <v>109000</v>
      </c>
      <c r="K115" s="17">
        <v>63100</v>
      </c>
      <c r="L115" s="17">
        <f>J115-K115</f>
      </c>
      <c r="M115" s="14" t="s">
        <v>1758</v>
      </c>
      <c r="N115" s="14" t="s">
        <v>2449</v>
      </c>
      <c r="O115" s="16" t="s">
        <v>33</v>
      </c>
      <c r="P115" s="65"/>
      <c r="Q115" s="65"/>
      <c r="R115" s="65"/>
      <c r="S115" s="17">
        <f>J115-Q115-P115-R115</f>
      </c>
      <c r="T115" s="12"/>
      <c r="U115" s="14"/>
      <c r="V115" s="14"/>
    </row>
    <row x14ac:dyDescent="0.25" r="116" customHeight="1" ht="15.75">
      <c r="A116" s="55">
        <v>45929</v>
      </c>
      <c r="B116" s="133" t="s">
        <v>111</v>
      </c>
      <c r="C116" s="132" t="s">
        <v>2450</v>
      </c>
      <c r="D116" s="56" t="s">
        <v>1267</v>
      </c>
      <c r="E116" s="56" t="s">
        <v>2451</v>
      </c>
      <c r="F116" s="56" t="s">
        <v>1169</v>
      </c>
      <c r="G116" s="56" t="s">
        <v>2452</v>
      </c>
      <c r="H116" s="56" t="s">
        <v>26</v>
      </c>
      <c r="I116" s="180" t="s">
        <v>2453</v>
      </c>
      <c r="J116" s="57">
        <v>129580</v>
      </c>
      <c r="K116" s="57">
        <v>68900</v>
      </c>
      <c r="L116" s="57">
        <f>J116-K116</f>
      </c>
      <c r="M116" s="56" t="s">
        <v>50</v>
      </c>
      <c r="N116" s="56" t="s">
        <v>2454</v>
      </c>
      <c r="O116" s="134" t="s">
        <v>2455</v>
      </c>
      <c r="P116" s="180"/>
      <c r="Q116" s="180"/>
      <c r="R116" s="180"/>
      <c r="S116" s="57">
        <f>J116-Q116-P116-R116</f>
      </c>
      <c r="T116" s="55"/>
      <c r="U116" s="56"/>
      <c r="V116" s="56"/>
    </row>
    <row x14ac:dyDescent="0.25" r="117" customHeight="1" ht="15.75">
      <c r="A117" s="12">
        <v>45929</v>
      </c>
      <c r="B117" s="15" t="s">
        <v>53</v>
      </c>
      <c r="C117" s="18">
        <v>45986</v>
      </c>
      <c r="D117" s="14" t="s">
        <v>134</v>
      </c>
      <c r="E117" s="30" t="s">
        <v>2456</v>
      </c>
      <c r="F117" s="14" t="s">
        <v>2457</v>
      </c>
      <c r="G117" s="14" t="s">
        <v>2458</v>
      </c>
      <c r="H117" s="14" t="s">
        <v>26</v>
      </c>
      <c r="I117" s="17"/>
      <c r="J117" s="17">
        <v>118800</v>
      </c>
      <c r="K117" s="17">
        <v>86800</v>
      </c>
      <c r="L117" s="17">
        <f>J117-K117</f>
      </c>
      <c r="M117" s="14" t="s">
        <v>2459</v>
      </c>
      <c r="N117" s="14" t="s">
        <v>2460</v>
      </c>
      <c r="O117" s="16" t="s">
        <v>33</v>
      </c>
      <c r="P117" s="65"/>
      <c r="Q117" s="65"/>
      <c r="R117" s="65"/>
      <c r="S117" s="17">
        <f>J117-Q117-P117-R117</f>
      </c>
      <c r="T117" s="12"/>
      <c r="U117" s="14"/>
      <c r="V117" s="14"/>
    </row>
    <row x14ac:dyDescent="0.25" r="118" customHeight="1" ht="15.75">
      <c r="A118" s="12">
        <v>45929</v>
      </c>
      <c r="B118" s="15" t="s">
        <v>53</v>
      </c>
      <c r="C118" s="161" t="s">
        <v>2461</v>
      </c>
      <c r="D118" s="14" t="s">
        <v>54</v>
      </c>
      <c r="E118" s="30"/>
      <c r="F118" s="14" t="s">
        <v>2457</v>
      </c>
      <c r="G118" s="14" t="s">
        <v>2458</v>
      </c>
      <c r="H118" s="14" t="s">
        <v>26</v>
      </c>
      <c r="I118" s="17"/>
      <c r="J118" s="17">
        <v>137900</v>
      </c>
      <c r="K118" s="17">
        <v>99300</v>
      </c>
      <c r="L118" s="17">
        <f>J118-K118</f>
      </c>
      <c r="M118" s="14" t="s">
        <v>2459</v>
      </c>
      <c r="N118" s="14" t="s">
        <v>2462</v>
      </c>
      <c r="O118" s="16" t="s">
        <v>33</v>
      </c>
      <c r="P118" s="65"/>
      <c r="Q118" s="65"/>
      <c r="R118" s="65"/>
      <c r="S118" s="17">
        <f>J118-Q118-P118-R118</f>
      </c>
      <c r="T118" s="12"/>
      <c r="U118" s="14"/>
      <c r="V118" s="14"/>
    </row>
    <row x14ac:dyDescent="0.25" r="119" customHeight="1" ht="15.75">
      <c r="A119" s="12">
        <v>45929</v>
      </c>
      <c r="B119" s="15" t="s">
        <v>46</v>
      </c>
      <c r="C119" s="161" t="s">
        <v>2463</v>
      </c>
      <c r="D119" s="14" t="s">
        <v>1617</v>
      </c>
      <c r="E119" s="30" t="s">
        <v>2464</v>
      </c>
      <c r="F119" s="14" t="s">
        <v>2465</v>
      </c>
      <c r="G119" s="14" t="s">
        <v>2465</v>
      </c>
      <c r="H119" s="14" t="s">
        <v>26</v>
      </c>
      <c r="I119" s="17">
        <v>321500</v>
      </c>
      <c r="J119" s="17">
        <v>1389800</v>
      </c>
      <c r="K119" s="17">
        <v>667320</v>
      </c>
      <c r="L119" s="17">
        <f>J119-K119</f>
      </c>
      <c r="M119" s="14" t="s">
        <v>50</v>
      </c>
      <c r="N119" s="14" t="s">
        <v>2466</v>
      </c>
      <c r="O119" s="16">
        <v>2</v>
      </c>
      <c r="P119" s="65"/>
      <c r="Q119" s="65"/>
      <c r="R119" s="17">
        <v>1389800</v>
      </c>
      <c r="S119" s="17">
        <f>J119-Q119-P119-R119</f>
      </c>
      <c r="T119" s="12">
        <v>45933</v>
      </c>
      <c r="U119" s="14" t="s">
        <v>1718</v>
      </c>
      <c r="V119" s="14"/>
    </row>
    <row x14ac:dyDescent="0.25" r="120" customHeight="1" ht="15.75">
      <c r="A120" s="12">
        <v>45929</v>
      </c>
      <c r="B120" s="15" t="s">
        <v>53</v>
      </c>
      <c r="C120" s="161" t="s">
        <v>2461</v>
      </c>
      <c r="D120" s="14" t="s">
        <v>54</v>
      </c>
      <c r="E120" s="30"/>
      <c r="F120" s="14" t="s">
        <v>2457</v>
      </c>
      <c r="G120" s="14" t="s">
        <v>1604</v>
      </c>
      <c r="H120" s="14" t="s">
        <v>26</v>
      </c>
      <c r="I120" s="17"/>
      <c r="J120" s="17">
        <v>137900</v>
      </c>
      <c r="K120" s="17">
        <v>99300</v>
      </c>
      <c r="L120" s="17">
        <f>J120-K120</f>
      </c>
      <c r="M120" s="14" t="s">
        <v>2459</v>
      </c>
      <c r="N120" s="14" t="s">
        <v>2467</v>
      </c>
      <c r="O120" s="16" t="s">
        <v>33</v>
      </c>
      <c r="P120" s="65"/>
      <c r="Q120" s="65"/>
      <c r="R120" s="65"/>
      <c r="S120" s="17">
        <f>J120-Q120-P120-R120</f>
      </c>
      <c r="T120" s="12"/>
      <c r="U120" s="14"/>
      <c r="V120" s="14"/>
    </row>
    <row x14ac:dyDescent="0.25" r="121" customHeight="1" ht="15.75">
      <c r="A121" s="12">
        <v>45929</v>
      </c>
      <c r="B121" s="15" t="s">
        <v>53</v>
      </c>
      <c r="C121" s="18">
        <v>45986</v>
      </c>
      <c r="D121" s="14" t="s">
        <v>134</v>
      </c>
      <c r="E121" s="30" t="s">
        <v>2468</v>
      </c>
      <c r="F121" s="14" t="s">
        <v>2457</v>
      </c>
      <c r="G121" s="14" t="s">
        <v>1604</v>
      </c>
      <c r="H121" s="14" t="s">
        <v>26</v>
      </c>
      <c r="I121" s="17"/>
      <c r="J121" s="17">
        <v>118800</v>
      </c>
      <c r="K121" s="17">
        <v>86800</v>
      </c>
      <c r="L121" s="17">
        <f>J121-K121</f>
      </c>
      <c r="M121" s="14" t="s">
        <v>2459</v>
      </c>
      <c r="N121" s="14" t="s">
        <v>2469</v>
      </c>
      <c r="O121" s="16" t="s">
        <v>33</v>
      </c>
      <c r="P121" s="65"/>
      <c r="Q121" s="65"/>
      <c r="R121" s="65"/>
      <c r="S121" s="17">
        <f>J121-Q121-P121-R121</f>
      </c>
      <c r="T121" s="12"/>
      <c r="U121" s="14"/>
      <c r="V121" s="14"/>
    </row>
    <row x14ac:dyDescent="0.25" r="122" customHeight="1" ht="15.75">
      <c r="A122" s="12">
        <v>45930</v>
      </c>
      <c r="B122" s="15" t="s">
        <v>82</v>
      </c>
      <c r="C122" s="161" t="s">
        <v>2470</v>
      </c>
      <c r="D122" s="14" t="s">
        <v>546</v>
      </c>
      <c r="E122" s="30" t="s">
        <v>2471</v>
      </c>
      <c r="F122" s="14" t="s">
        <v>147</v>
      </c>
      <c r="G122" s="14" t="s">
        <v>2472</v>
      </c>
      <c r="H122" s="14" t="s">
        <v>26</v>
      </c>
      <c r="I122" s="17"/>
      <c r="J122" s="17">
        <v>120900</v>
      </c>
      <c r="K122" s="17">
        <v>89340</v>
      </c>
      <c r="L122" s="17">
        <f>J122-K122</f>
      </c>
      <c r="M122" s="14" t="s">
        <v>86</v>
      </c>
      <c r="N122" s="14" t="s">
        <v>2473</v>
      </c>
      <c r="O122" s="16"/>
      <c r="P122" s="65"/>
      <c r="Q122" s="65"/>
      <c r="R122" s="17">
        <v>120900</v>
      </c>
      <c r="S122" s="17">
        <f>J122-Q122-P122-R122</f>
      </c>
      <c r="T122" s="12">
        <v>45939</v>
      </c>
      <c r="U122" s="14"/>
      <c r="V122" s="14"/>
    </row>
    <row x14ac:dyDescent="0.25" r="123" customHeight="1" ht="15.75">
      <c r="A123" s="12">
        <v>45930</v>
      </c>
      <c r="B123" s="15" t="s">
        <v>72</v>
      </c>
      <c r="C123" s="18">
        <v>45930</v>
      </c>
      <c r="D123" s="14" t="s">
        <v>932</v>
      </c>
      <c r="E123" s="30" t="s">
        <v>2474</v>
      </c>
      <c r="F123" s="14" t="s">
        <v>1076</v>
      </c>
      <c r="G123" s="14" t="s">
        <v>1076</v>
      </c>
      <c r="H123" s="14" t="s">
        <v>26</v>
      </c>
      <c r="I123" s="17"/>
      <c r="J123" s="17">
        <v>359600</v>
      </c>
      <c r="K123" s="17">
        <v>332500</v>
      </c>
      <c r="L123" s="17">
        <f>J123-K123</f>
      </c>
      <c r="M123" s="14" t="s">
        <v>43</v>
      </c>
      <c r="N123" s="14" t="s">
        <v>2475</v>
      </c>
      <c r="O123" s="16">
        <v>2</v>
      </c>
      <c r="P123" s="65"/>
      <c r="Q123" s="65"/>
      <c r="R123" s="17">
        <v>359600</v>
      </c>
      <c r="S123" s="17">
        <f>J123-Q123-P123-R123</f>
      </c>
      <c r="T123" s="12">
        <v>45931</v>
      </c>
      <c r="U123" s="14" t="s">
        <v>2104</v>
      </c>
      <c r="V123" s="14"/>
    </row>
    <row x14ac:dyDescent="0.25" r="124" customHeight="1" ht="15.75">
      <c r="A124" s="12">
        <v>45930</v>
      </c>
      <c r="B124" s="15" t="s">
        <v>252</v>
      </c>
      <c r="C124" s="161" t="s">
        <v>2476</v>
      </c>
      <c r="D124" s="14" t="s">
        <v>2477</v>
      </c>
      <c r="E124" s="30" t="s">
        <v>2478</v>
      </c>
      <c r="F124" s="14" t="s">
        <v>2479</v>
      </c>
      <c r="G124" s="14" t="s">
        <v>2479</v>
      </c>
      <c r="H124" s="14" t="s">
        <v>2480</v>
      </c>
      <c r="I124" s="17">
        <v>272000</v>
      </c>
      <c r="J124" s="17">
        <v>668900</v>
      </c>
      <c r="K124" s="17">
        <v>628120</v>
      </c>
      <c r="L124" s="17">
        <f>J124-K124</f>
      </c>
      <c r="M124" s="14" t="s">
        <v>50</v>
      </c>
      <c r="N124" s="14" t="s">
        <v>2481</v>
      </c>
      <c r="O124" s="16">
        <v>4</v>
      </c>
      <c r="P124" s="65"/>
      <c r="Q124" s="65"/>
      <c r="R124" s="17">
        <v>668900</v>
      </c>
      <c r="S124" s="17">
        <f>J124-Q124-P124-R124</f>
      </c>
      <c r="T124" s="12">
        <v>45931</v>
      </c>
      <c r="U124" s="14" t="s">
        <v>1718</v>
      </c>
      <c r="V124" s="14"/>
    </row>
    <row x14ac:dyDescent="0.25" r="125" customHeight="1" ht="15.75">
      <c r="A125" s="12">
        <v>45930</v>
      </c>
      <c r="B125" s="15" t="s">
        <v>252</v>
      </c>
      <c r="C125" s="161" t="s">
        <v>2476</v>
      </c>
      <c r="D125" s="14" t="s">
        <v>2477</v>
      </c>
      <c r="E125" s="30" t="s">
        <v>2478</v>
      </c>
      <c r="F125" s="14" t="s">
        <v>2482</v>
      </c>
      <c r="G125" s="14" t="s">
        <v>2482</v>
      </c>
      <c r="H125" s="14" t="s">
        <v>2480</v>
      </c>
      <c r="I125" s="17">
        <v>272000</v>
      </c>
      <c r="J125" s="17">
        <v>668900</v>
      </c>
      <c r="K125" s="17">
        <v>628120</v>
      </c>
      <c r="L125" s="17">
        <f>J125-K125</f>
      </c>
      <c r="M125" s="14" t="s">
        <v>50</v>
      </c>
      <c r="N125" s="14" t="s">
        <v>2481</v>
      </c>
      <c r="O125" s="16">
        <v>4</v>
      </c>
      <c r="P125" s="65"/>
      <c r="Q125" s="65"/>
      <c r="R125" s="17">
        <v>668900</v>
      </c>
      <c r="S125" s="17">
        <f>J125-Q125-P125-R125</f>
      </c>
      <c r="T125" s="12">
        <v>45931</v>
      </c>
      <c r="U125" s="14" t="s">
        <v>1718</v>
      </c>
      <c r="V125" s="14"/>
    </row>
    <row x14ac:dyDescent="0.25" r="126" customHeight="1" ht="15.75">
      <c r="A126" s="12">
        <v>45930</v>
      </c>
      <c r="B126" s="15" t="s">
        <v>72</v>
      </c>
      <c r="C126" s="161" t="s">
        <v>2483</v>
      </c>
      <c r="D126" s="14" t="s">
        <v>477</v>
      </c>
      <c r="E126" s="30" t="s">
        <v>2484</v>
      </c>
      <c r="F126" s="14" t="s">
        <v>24</v>
      </c>
      <c r="G126" s="14" t="s">
        <v>2485</v>
      </c>
      <c r="H126" s="14" t="s">
        <v>26</v>
      </c>
      <c r="I126" s="17">
        <v>1282400</v>
      </c>
      <c r="J126" s="17">
        <v>1928855</v>
      </c>
      <c r="K126" s="17">
        <v>1828855</v>
      </c>
      <c r="L126" s="17">
        <f>J126-K126</f>
      </c>
      <c r="M126" s="14" t="s">
        <v>50</v>
      </c>
      <c r="N126" s="14" t="s">
        <v>2486</v>
      </c>
      <c r="O126" s="16">
        <v>2</v>
      </c>
      <c r="P126" s="65"/>
      <c r="Q126" s="65"/>
      <c r="R126" s="65"/>
      <c r="S126" s="17">
        <f>J126-Q126-P126-R126</f>
      </c>
      <c r="T126" s="12"/>
      <c r="U126" s="14"/>
      <c r="V126" s="14"/>
    </row>
    <row x14ac:dyDescent="0.25" r="127" customHeight="1" ht="15.75">
      <c r="A127" s="12">
        <v>45930</v>
      </c>
      <c r="B127" s="15" t="s">
        <v>66</v>
      </c>
      <c r="C127" s="161" t="s">
        <v>2487</v>
      </c>
      <c r="D127" s="14" t="s">
        <v>2488</v>
      </c>
      <c r="E127" s="30" t="s">
        <v>2489</v>
      </c>
      <c r="F127" s="14" t="s">
        <v>1750</v>
      </c>
      <c r="G127" s="14" t="s">
        <v>2214</v>
      </c>
      <c r="H127" s="14" t="s">
        <v>26</v>
      </c>
      <c r="I127" s="17">
        <v>421700</v>
      </c>
      <c r="J127" s="17">
        <v>767800</v>
      </c>
      <c r="K127" s="17">
        <v>707800</v>
      </c>
      <c r="L127" s="17">
        <f>J127-K127</f>
      </c>
      <c r="M127" s="14" t="s">
        <v>50</v>
      </c>
      <c r="N127" s="14" t="s">
        <v>2490</v>
      </c>
      <c r="O127" s="16">
        <v>2</v>
      </c>
      <c r="P127" s="65"/>
      <c r="Q127" s="65"/>
      <c r="R127" s="65"/>
      <c r="S127" s="17">
        <f>J127-Q127-P127-R127</f>
      </c>
      <c r="T127" s="12"/>
      <c r="U127" s="14"/>
      <c r="V127" s="14"/>
    </row>
    <row x14ac:dyDescent="0.25" r="128" customHeight="1" ht="15.75">
      <c r="A128" s="12"/>
      <c r="B128" s="15"/>
      <c r="C128" s="161"/>
      <c r="D128" s="14"/>
      <c r="E128" s="30"/>
      <c r="F128" s="14"/>
      <c r="G128" s="14"/>
      <c r="H128" s="14"/>
      <c r="I128" s="17"/>
      <c r="J128" s="17"/>
      <c r="K128" s="17"/>
      <c r="L128" s="17">
        <f>J128-K128</f>
      </c>
      <c r="M128" s="14"/>
      <c r="N128" s="14"/>
      <c r="O128" s="16"/>
      <c r="P128" s="65"/>
      <c r="Q128" s="65"/>
      <c r="R128" s="17"/>
      <c r="S128" s="17">
        <f>J128-Q128-P128-R128</f>
      </c>
      <c r="T128" s="12"/>
      <c r="U128" s="14"/>
      <c r="V128" s="14"/>
    </row>
    <row x14ac:dyDescent="0.25" r="129" customHeight="1" ht="15.75">
      <c r="A129" s="12"/>
      <c r="B129" s="15"/>
      <c r="C129" s="161"/>
      <c r="D129" s="14"/>
      <c r="E129" s="30"/>
      <c r="F129" s="14"/>
      <c r="G129" s="14"/>
      <c r="H129" s="14"/>
      <c r="I129" s="17"/>
      <c r="J129" s="17"/>
      <c r="K129" s="17"/>
      <c r="L129" s="17">
        <f>J129-K129</f>
      </c>
      <c r="M129" s="14"/>
      <c r="N129" s="14"/>
      <c r="O129" s="16"/>
      <c r="P129" s="65"/>
      <c r="Q129" s="65"/>
      <c r="R129" s="17"/>
      <c r="S129" s="17">
        <f>J129-Q129-P129-R129</f>
      </c>
      <c r="T129" s="12"/>
      <c r="U129" s="14"/>
      <c r="V129" s="14"/>
    </row>
    <row x14ac:dyDescent="0.25" r="130" customHeight="1" ht="15.75">
      <c r="A130" s="12"/>
      <c r="B130" s="15"/>
      <c r="C130" s="161"/>
      <c r="D130" s="14"/>
      <c r="E130" s="30"/>
      <c r="F130" s="14"/>
      <c r="G130" s="14"/>
      <c r="H130" s="14"/>
      <c r="I130" s="17"/>
      <c r="J130" s="17"/>
      <c r="K130" s="17"/>
      <c r="L130" s="17">
        <f>J130-K130</f>
      </c>
      <c r="M130" s="14"/>
      <c r="N130" s="14"/>
      <c r="O130" s="16"/>
      <c r="P130" s="65"/>
      <c r="Q130" s="65"/>
      <c r="R130" s="17"/>
      <c r="S130" s="17">
        <f>J130-Q130-P130-R130</f>
      </c>
      <c r="T130" s="12"/>
      <c r="U130" s="14"/>
      <c r="V130" s="14"/>
    </row>
    <row x14ac:dyDescent="0.25" r="131" customHeight="1" ht="16.95">
      <c r="A131" s="12"/>
      <c r="B131" s="15"/>
      <c r="C131" s="161"/>
      <c r="D131" s="14"/>
      <c r="E131" s="14"/>
      <c r="F131" s="14"/>
      <c r="G131" s="14"/>
      <c r="H131" s="17"/>
      <c r="I131" s="17"/>
      <c r="J131" s="17"/>
      <c r="K131" s="17"/>
      <c r="L131" s="17">
        <f>J131-K131</f>
      </c>
      <c r="M131" s="17"/>
      <c r="N131" s="17"/>
      <c r="O131" s="16"/>
      <c r="P131" s="65"/>
      <c r="Q131" s="65"/>
      <c r="R131" s="65"/>
      <c r="S131" s="17">
        <f>J131-Q131-P131-R131</f>
      </c>
      <c r="T131" s="12"/>
      <c r="U131" s="14"/>
      <c r="V131" s="14"/>
    </row>
    <row x14ac:dyDescent="0.25" r="132" customHeight="1" ht="15.75">
      <c r="A132" s="12"/>
      <c r="B132" s="15"/>
      <c r="C132" s="161"/>
      <c r="D132" s="14"/>
      <c r="E132" s="14"/>
      <c r="F132" s="14"/>
      <c r="G132" s="14"/>
      <c r="H132" s="17"/>
      <c r="I132" s="17">
        <f>SUM(I2:I131)</f>
      </c>
      <c r="J132" s="17">
        <f>SUM(J2:J131)</f>
      </c>
      <c r="K132" s="17">
        <f>SUM(K2:K128)</f>
      </c>
      <c r="L132" s="17">
        <f>SUM(L2:L131)</f>
      </c>
      <c r="M132" s="17"/>
      <c r="N132" s="17"/>
      <c r="O132" s="16">
        <f>SUM(O2:O131)</f>
      </c>
      <c r="P132" s="17"/>
      <c r="Q132" s="17"/>
      <c r="R132" s="65"/>
      <c r="S132" s="17">
        <f>SUM(S2:S131)</f>
      </c>
      <c r="T132" s="215"/>
      <c r="U132" s="14"/>
      <c r="V132" s="14"/>
    </row>
    <row x14ac:dyDescent="0.25" r="133" customHeight="1" ht="15.75">
      <c r="A133" s="1"/>
      <c r="B133" s="34"/>
      <c r="C133" s="2"/>
      <c r="D133" s="34"/>
      <c r="E133" s="34"/>
      <c r="F133" s="34"/>
      <c r="G133" s="34"/>
      <c r="H133" s="29"/>
      <c r="I133" s="29"/>
      <c r="J133" s="6"/>
      <c r="K133" s="29"/>
      <c r="L133" s="29"/>
      <c r="M133" s="29"/>
      <c r="N133" s="29"/>
      <c r="O133" s="29"/>
      <c r="P133" s="29"/>
      <c r="Q133" s="29"/>
      <c r="R133" s="29"/>
      <c r="S133" s="29"/>
      <c r="T133" s="1"/>
      <c r="U133" s="34"/>
      <c r="V133" s="34"/>
    </row>
    <row x14ac:dyDescent="0.25" r="134" customHeight="1" ht="15.75">
      <c r="A134" s="1"/>
      <c r="B134" s="34"/>
      <c r="C134" s="2"/>
      <c r="D134" s="34"/>
      <c r="E134" s="34"/>
      <c r="F134" s="34"/>
      <c r="G134" s="34"/>
      <c r="H134" s="29"/>
      <c r="I134" s="29"/>
      <c r="J134" s="6"/>
      <c r="K134" s="29"/>
      <c r="L134" s="29"/>
      <c r="M134" s="29"/>
      <c r="N134" s="29"/>
      <c r="O134" s="29"/>
      <c r="P134" s="29"/>
      <c r="Q134" s="29"/>
      <c r="R134" s="29"/>
      <c r="S134" s="29"/>
      <c r="T134" s="1"/>
      <c r="U134" s="34"/>
      <c r="V134" s="34"/>
    </row>
    <row x14ac:dyDescent="0.25" r="135" customHeight="1" ht="15.75">
      <c r="A135" s="1"/>
      <c r="B135" s="34"/>
      <c r="C135" s="2"/>
      <c r="D135" s="34"/>
      <c r="E135" s="34"/>
      <c r="F135" s="34"/>
      <c r="G135" s="34"/>
      <c r="H135" s="29"/>
      <c r="I135" s="29"/>
      <c r="J135" s="6"/>
      <c r="K135" s="29"/>
      <c r="L135" s="29"/>
      <c r="M135" s="29"/>
      <c r="N135" s="29"/>
      <c r="O135" s="29"/>
      <c r="P135" s="29"/>
      <c r="Q135" s="29"/>
      <c r="R135" s="29"/>
      <c r="S135" s="29"/>
      <c r="T135" s="1"/>
      <c r="U135" s="34"/>
      <c r="V135" s="34"/>
    </row>
    <row x14ac:dyDescent="0.25" r="136" customHeight="1" ht="15.75">
      <c r="A136" s="1"/>
      <c r="B136" s="34"/>
      <c r="C136" s="2"/>
      <c r="D136" s="34"/>
      <c r="E136" s="34"/>
      <c r="F136" s="34"/>
      <c r="G136" s="34"/>
      <c r="H136" s="29"/>
      <c r="I136" s="29"/>
      <c r="J136" s="6"/>
      <c r="K136" s="29"/>
      <c r="L136" s="29"/>
      <c r="M136" s="29"/>
      <c r="N136" s="29"/>
      <c r="O136" s="29"/>
      <c r="P136" s="29"/>
      <c r="Q136" s="29"/>
      <c r="R136" s="29"/>
      <c r="S136" s="29"/>
      <c r="T136" s="1"/>
      <c r="U136" s="34"/>
      <c r="V136" s="34"/>
    </row>
    <row x14ac:dyDescent="0.25" r="137" customHeight="1" ht="15.75">
      <c r="A137" s="1"/>
      <c r="B137" s="34"/>
      <c r="C137" s="2"/>
      <c r="D137" s="34"/>
      <c r="E137" s="34"/>
      <c r="F137" s="34"/>
      <c r="G137" s="34"/>
      <c r="H137" s="29"/>
      <c r="I137" s="29"/>
      <c r="J137" s="6"/>
      <c r="K137" s="29"/>
      <c r="L137" s="29"/>
      <c r="M137" s="29"/>
      <c r="N137" s="29"/>
      <c r="O137" s="29"/>
      <c r="P137" s="29"/>
      <c r="Q137" s="29"/>
      <c r="R137" s="29"/>
      <c r="S137" s="29"/>
      <c r="T137" s="1"/>
      <c r="U137" s="34"/>
      <c r="V137" s="34"/>
    </row>
    <row x14ac:dyDescent="0.25" r="138" customHeight="1" ht="15.75">
      <c r="A138" s="1"/>
      <c r="B138" s="34"/>
      <c r="C138" s="2"/>
      <c r="D138" s="34"/>
      <c r="E138" s="34"/>
      <c r="F138" s="34"/>
      <c r="G138" s="34"/>
      <c r="H138" s="29"/>
      <c r="I138" s="29"/>
      <c r="J138" s="6"/>
      <c r="K138" s="29"/>
      <c r="L138" s="29"/>
      <c r="M138" s="29"/>
      <c r="N138" s="29"/>
      <c r="O138" s="29"/>
      <c r="P138" s="29"/>
      <c r="Q138" s="29"/>
      <c r="R138" s="29"/>
      <c r="S138" s="29"/>
      <c r="T138" s="1"/>
      <c r="U138" s="34"/>
      <c r="V138" s="34"/>
    </row>
    <row x14ac:dyDescent="0.25" r="139" customHeight="1" ht="15.75">
      <c r="A139" s="1"/>
      <c r="B139" s="34"/>
      <c r="C139" s="2"/>
      <c r="D139" s="34"/>
      <c r="E139" s="34"/>
      <c r="F139" s="34"/>
      <c r="G139" s="34"/>
      <c r="H139" s="29"/>
      <c r="I139" s="29"/>
      <c r="J139" s="6"/>
      <c r="K139" s="29"/>
      <c r="L139" s="29"/>
      <c r="M139" s="29"/>
      <c r="N139" s="29"/>
      <c r="O139" s="29"/>
      <c r="P139" s="29"/>
      <c r="Q139" s="29"/>
      <c r="R139" s="29"/>
      <c r="S139" s="29"/>
      <c r="T139" s="1"/>
      <c r="U139" s="34"/>
      <c r="V139" s="34"/>
    </row>
    <row x14ac:dyDescent="0.25" r="140" customHeight="1" ht="15.75">
      <c r="A140" s="1"/>
      <c r="B140" s="34"/>
      <c r="C140" s="2"/>
      <c r="D140" s="34"/>
      <c r="E140" s="34"/>
      <c r="F140" s="34"/>
      <c r="G140" s="34"/>
      <c r="H140" s="29"/>
      <c r="I140" s="29"/>
      <c r="J140" s="6"/>
      <c r="K140" s="29"/>
      <c r="L140" s="29"/>
      <c r="M140" s="29"/>
      <c r="N140" s="29"/>
      <c r="O140" s="29"/>
      <c r="P140" s="29"/>
      <c r="Q140" s="29"/>
      <c r="R140" s="29"/>
      <c r="S140" s="29"/>
      <c r="T140" s="1"/>
      <c r="U140" s="34"/>
      <c r="V140" s="34"/>
    </row>
    <row x14ac:dyDescent="0.25" r="141" customHeight="1" ht="15.75">
      <c r="A141" s="1"/>
      <c r="B141" s="34"/>
      <c r="C141" s="2"/>
      <c r="D141" s="34"/>
      <c r="E141" s="34"/>
      <c r="F141" s="34"/>
      <c r="G141" s="34"/>
      <c r="H141" s="29"/>
      <c r="I141" s="29"/>
      <c r="J141" s="6"/>
      <c r="K141" s="29"/>
      <c r="L141" s="29"/>
      <c r="M141" s="29"/>
      <c r="N141" s="29"/>
      <c r="O141" s="29"/>
      <c r="P141" s="29"/>
      <c r="Q141" s="29"/>
      <c r="R141" s="29"/>
      <c r="S141" s="29"/>
      <c r="T141" s="1"/>
      <c r="U141" s="34"/>
      <c r="V141" s="34"/>
    </row>
    <row x14ac:dyDescent="0.25" r="142" customHeight="1" ht="15.75">
      <c r="A142" s="1"/>
      <c r="B142" s="34"/>
      <c r="C142" s="2"/>
      <c r="D142" s="34"/>
      <c r="E142" s="34"/>
      <c r="F142" s="34"/>
      <c r="G142" s="34"/>
      <c r="H142" s="29"/>
      <c r="I142" s="29"/>
      <c r="J142" s="6"/>
      <c r="K142" s="29"/>
      <c r="L142" s="29"/>
      <c r="M142" s="29"/>
      <c r="N142" s="29"/>
      <c r="O142" s="29"/>
      <c r="P142" s="29"/>
      <c r="Q142" s="29"/>
      <c r="R142" s="29"/>
      <c r="S142" s="29"/>
      <c r="T142" s="1"/>
      <c r="U142" s="34"/>
      <c r="V142" s="34"/>
    </row>
    <row x14ac:dyDescent="0.25" r="143" customHeight="1" ht="15.75">
      <c r="A143" s="1"/>
      <c r="B143" s="34"/>
      <c r="C143" s="2"/>
      <c r="D143" s="34"/>
      <c r="E143" s="34"/>
      <c r="F143" s="34"/>
      <c r="G143" s="34"/>
      <c r="H143" s="29"/>
      <c r="I143" s="29"/>
      <c r="J143" s="6"/>
      <c r="K143" s="29"/>
      <c r="L143" s="29"/>
      <c r="M143" s="29"/>
      <c r="N143" s="29"/>
      <c r="O143" s="29"/>
      <c r="P143" s="29"/>
      <c r="Q143" s="29"/>
      <c r="R143" s="29"/>
      <c r="S143" s="29"/>
      <c r="T143" s="1"/>
      <c r="U143" s="34"/>
      <c r="V143" s="34"/>
    </row>
    <row x14ac:dyDescent="0.25" r="144" customHeight="1" ht="15.75">
      <c r="A144" s="1"/>
      <c r="B144" s="34"/>
      <c r="C144" s="2"/>
      <c r="D144" s="34"/>
      <c r="E144" s="34"/>
      <c r="F144" s="34"/>
      <c r="G144" s="34"/>
      <c r="H144" s="29"/>
      <c r="I144" s="29"/>
      <c r="J144" s="6"/>
      <c r="K144" s="29"/>
      <c r="L144" s="29"/>
      <c r="M144" s="29"/>
      <c r="N144" s="29"/>
      <c r="O144" s="29"/>
      <c r="P144" s="29"/>
      <c r="Q144" s="29"/>
      <c r="R144" s="29"/>
      <c r="S144" s="29"/>
      <c r="T144" s="1"/>
      <c r="U144" s="34"/>
      <c r="V144" s="34"/>
    </row>
    <row x14ac:dyDescent="0.25" r="145" customHeight="1" ht="15.75">
      <c r="A145" s="1"/>
      <c r="B145" s="34"/>
      <c r="C145" s="2"/>
      <c r="D145" s="34"/>
      <c r="E145" s="34"/>
      <c r="F145" s="34"/>
      <c r="G145" s="34"/>
      <c r="H145" s="29"/>
      <c r="I145" s="29"/>
      <c r="J145" s="6"/>
      <c r="K145" s="29"/>
      <c r="L145" s="29"/>
      <c r="M145" s="29"/>
      <c r="N145" s="29"/>
      <c r="O145" s="29"/>
      <c r="P145" s="29"/>
      <c r="Q145" s="29"/>
      <c r="R145" s="29"/>
      <c r="S145" s="29"/>
      <c r="T145" s="1"/>
      <c r="U145" s="34"/>
      <c r="V145" s="34"/>
    </row>
    <row x14ac:dyDescent="0.25" r="146" customHeight="1" ht="15.75">
      <c r="A146" s="1"/>
      <c r="B146" s="34"/>
      <c r="C146" s="2"/>
      <c r="D146" s="34"/>
      <c r="E146" s="34"/>
      <c r="F146" s="34"/>
      <c r="G146" s="34"/>
      <c r="H146" s="29"/>
      <c r="I146" s="29"/>
      <c r="J146" s="6"/>
      <c r="K146" s="29"/>
      <c r="L146" s="29"/>
      <c r="M146" s="29"/>
      <c r="N146" s="29"/>
      <c r="O146" s="29"/>
      <c r="P146" s="29"/>
      <c r="Q146" s="29"/>
      <c r="R146" s="29"/>
      <c r="S146" s="29"/>
      <c r="T146" s="1"/>
      <c r="U146" s="34"/>
      <c r="V146" s="34"/>
    </row>
    <row x14ac:dyDescent="0.25" r="147" customHeight="1" ht="15.75">
      <c r="A147" s="1"/>
      <c r="B147" s="34"/>
      <c r="C147" s="2"/>
      <c r="D147" s="34"/>
      <c r="E147" s="34"/>
      <c r="F147" s="34"/>
      <c r="G147" s="34"/>
      <c r="H147" s="29"/>
      <c r="I147" s="29"/>
      <c r="J147" s="6"/>
      <c r="K147" s="29"/>
      <c r="L147" s="29"/>
      <c r="M147" s="29"/>
      <c r="N147" s="29"/>
      <c r="O147" s="29"/>
      <c r="P147" s="29"/>
      <c r="Q147" s="29"/>
      <c r="R147" s="29"/>
      <c r="S147" s="29"/>
      <c r="T147" s="1"/>
      <c r="U147" s="34"/>
      <c r="V147" s="34"/>
    </row>
    <row x14ac:dyDescent="0.25" r="148" customHeight="1" ht="15.75">
      <c r="A148" s="1"/>
      <c r="B148" s="34"/>
      <c r="C148" s="2"/>
      <c r="D148" s="34"/>
      <c r="E148" s="34"/>
      <c r="F148" s="34"/>
      <c r="G148" s="34"/>
      <c r="H148" s="29"/>
      <c r="I148" s="29"/>
      <c r="J148" s="6"/>
      <c r="K148" s="29"/>
      <c r="L148" s="29"/>
      <c r="M148" s="29"/>
      <c r="N148" s="29"/>
      <c r="O148" s="29"/>
      <c r="P148" s="29"/>
      <c r="Q148" s="29"/>
      <c r="R148" s="29"/>
      <c r="S148" s="29"/>
      <c r="T148" s="1"/>
      <c r="U148" s="34"/>
      <c r="V148" s="34"/>
    </row>
    <row x14ac:dyDescent="0.25" r="149" customHeight="1" ht="15.75">
      <c r="A149" s="1"/>
      <c r="B149" s="34"/>
      <c r="C149" s="2"/>
      <c r="D149" s="34"/>
      <c r="E149" s="34"/>
      <c r="F149" s="34"/>
      <c r="G149" s="34"/>
      <c r="H149" s="29"/>
      <c r="I149" s="29"/>
      <c r="J149" s="6"/>
      <c r="K149" s="29"/>
      <c r="L149" s="29"/>
      <c r="M149" s="29"/>
      <c r="N149" s="29"/>
      <c r="O149" s="29"/>
      <c r="P149" s="29"/>
      <c r="Q149" s="29"/>
      <c r="R149" s="29"/>
      <c r="S149" s="29"/>
      <c r="T149" s="1"/>
      <c r="U149" s="34"/>
      <c r="V149" s="34"/>
    </row>
    <row x14ac:dyDescent="0.25" r="150" customHeight="1" ht="15.75">
      <c r="A150" s="1"/>
      <c r="B150" s="34"/>
      <c r="C150" s="2"/>
      <c r="D150" s="34"/>
      <c r="E150" s="34"/>
      <c r="F150" s="34"/>
      <c r="G150" s="34"/>
      <c r="H150" s="29"/>
      <c r="I150" s="29"/>
      <c r="J150" s="6"/>
      <c r="K150" s="29"/>
      <c r="L150" s="29"/>
      <c r="M150" s="29"/>
      <c r="N150" s="29"/>
      <c r="O150" s="29"/>
      <c r="P150" s="29"/>
      <c r="Q150" s="29"/>
      <c r="R150" s="29"/>
      <c r="S150" s="29"/>
      <c r="T150" s="1"/>
      <c r="U150" s="34"/>
      <c r="V150" s="34"/>
    </row>
    <row x14ac:dyDescent="0.25" r="151" customHeight="1" ht="15.75">
      <c r="A151" s="1"/>
      <c r="B151" s="34"/>
      <c r="C151" s="2"/>
      <c r="D151" s="34"/>
      <c r="E151" s="34"/>
      <c r="F151" s="34"/>
      <c r="G151" s="34"/>
      <c r="H151" s="29"/>
      <c r="I151" s="29"/>
      <c r="J151" s="6"/>
      <c r="K151" s="29"/>
      <c r="L151" s="29"/>
      <c r="M151" s="29"/>
      <c r="N151" s="29"/>
      <c r="O151" s="29"/>
      <c r="P151" s="29"/>
      <c r="Q151" s="29"/>
      <c r="R151" s="29"/>
      <c r="S151" s="29"/>
      <c r="T151" s="1"/>
      <c r="U151" s="34"/>
      <c r="V151" s="34"/>
    </row>
    <row x14ac:dyDescent="0.25" r="152" customHeight="1" ht="15.75">
      <c r="A152" s="1"/>
      <c r="B152" s="34"/>
      <c r="C152" s="2"/>
      <c r="D152" s="34"/>
      <c r="E152" s="34"/>
      <c r="F152" s="34"/>
      <c r="G152" s="34"/>
      <c r="H152" s="29"/>
      <c r="I152" s="29"/>
      <c r="J152" s="6"/>
      <c r="K152" s="29"/>
      <c r="L152" s="29"/>
      <c r="M152" s="29"/>
      <c r="N152" s="29"/>
      <c r="O152" s="29"/>
      <c r="P152" s="29"/>
      <c r="Q152" s="29"/>
      <c r="R152" s="29"/>
      <c r="S152" s="29"/>
      <c r="T152" s="1"/>
      <c r="U152" s="34"/>
      <c r="V152" s="34"/>
    </row>
    <row x14ac:dyDescent="0.25" r="153" customHeight="1" ht="15.75">
      <c r="A153" s="1"/>
      <c r="B153" s="34"/>
      <c r="C153" s="2"/>
      <c r="D153" s="34"/>
      <c r="E153" s="34"/>
      <c r="F153" s="34"/>
      <c r="G153" s="34"/>
      <c r="H153" s="29"/>
      <c r="I153" s="29"/>
      <c r="J153" s="6"/>
      <c r="K153" s="29"/>
      <c r="L153" s="29"/>
      <c r="M153" s="29"/>
      <c r="N153" s="29"/>
      <c r="O153" s="29"/>
      <c r="P153" s="29"/>
      <c r="Q153" s="29"/>
      <c r="R153" s="29"/>
      <c r="S153" s="29"/>
      <c r="T153" s="1"/>
      <c r="U153" s="34"/>
      <c r="V153" s="34"/>
    </row>
    <row x14ac:dyDescent="0.25" r="154" customHeight="1" ht="15.75">
      <c r="A154" s="1"/>
      <c r="B154" s="34"/>
      <c r="C154" s="2"/>
      <c r="D154" s="34"/>
      <c r="E154" s="34"/>
      <c r="F154" s="34"/>
      <c r="G154" s="34"/>
      <c r="H154" s="29"/>
      <c r="I154" s="29"/>
      <c r="J154" s="6"/>
      <c r="K154" s="29"/>
      <c r="L154" s="29"/>
      <c r="M154" s="29"/>
      <c r="N154" s="29"/>
      <c r="O154" s="29"/>
      <c r="P154" s="29"/>
      <c r="Q154" s="29"/>
      <c r="R154" s="29"/>
      <c r="S154" s="29"/>
      <c r="T154" s="1"/>
      <c r="U154" s="34"/>
      <c r="V154" s="34"/>
    </row>
    <row x14ac:dyDescent="0.25" r="155" customHeight="1" ht="15.75">
      <c r="A155" s="1"/>
      <c r="B155" s="34"/>
      <c r="C155" s="2"/>
      <c r="D155" s="34"/>
      <c r="E155" s="34"/>
      <c r="F155" s="34"/>
      <c r="G155" s="34"/>
      <c r="H155" s="29"/>
      <c r="I155" s="29"/>
      <c r="J155" s="6"/>
      <c r="K155" s="29"/>
      <c r="L155" s="29"/>
      <c r="M155" s="29"/>
      <c r="N155" s="29"/>
      <c r="O155" s="29"/>
      <c r="P155" s="29"/>
      <c r="Q155" s="29"/>
      <c r="R155" s="29"/>
      <c r="S155" s="29"/>
      <c r="T155" s="1"/>
      <c r="U155" s="34"/>
      <c r="V155" s="34"/>
    </row>
    <row x14ac:dyDescent="0.25" r="156" customHeight="1" ht="15.75">
      <c r="A156" s="1"/>
      <c r="B156" s="34"/>
      <c r="C156" s="2"/>
      <c r="D156" s="34"/>
      <c r="E156" s="34"/>
      <c r="F156" s="34"/>
      <c r="G156" s="34"/>
      <c r="H156" s="29"/>
      <c r="I156" s="29"/>
      <c r="J156" s="6"/>
      <c r="K156" s="29"/>
      <c r="L156" s="29"/>
      <c r="M156" s="29"/>
      <c r="N156" s="29"/>
      <c r="O156" s="29"/>
      <c r="P156" s="29"/>
      <c r="Q156" s="29"/>
      <c r="R156" s="29"/>
      <c r="S156" s="29"/>
      <c r="T156" s="1"/>
      <c r="U156" s="34"/>
      <c r="V156" s="34"/>
    </row>
    <row x14ac:dyDescent="0.25" r="157" customHeight="1" ht="15.75">
      <c r="A157" s="1"/>
      <c r="B157" s="34"/>
      <c r="C157" s="2"/>
      <c r="D157" s="34"/>
      <c r="E157" s="34"/>
      <c r="F157" s="34"/>
      <c r="G157" s="34"/>
      <c r="H157" s="29"/>
      <c r="I157" s="29"/>
      <c r="J157" s="6"/>
      <c r="K157" s="29"/>
      <c r="L157" s="29"/>
      <c r="M157" s="29"/>
      <c r="N157" s="29"/>
      <c r="O157" s="29"/>
      <c r="P157" s="29"/>
      <c r="Q157" s="29"/>
      <c r="R157" s="29"/>
      <c r="S157" s="29"/>
      <c r="T157" s="1"/>
      <c r="U157" s="34"/>
      <c r="V157" s="34"/>
    </row>
    <row x14ac:dyDescent="0.25" r="158" customHeight="1" ht="15.75">
      <c r="A158" s="1"/>
      <c r="B158" s="34"/>
      <c r="C158" s="2"/>
      <c r="D158" s="34"/>
      <c r="E158" s="34"/>
      <c r="F158" s="34"/>
      <c r="G158" s="34"/>
      <c r="H158" s="29"/>
      <c r="I158" s="29"/>
      <c r="J158" s="6"/>
      <c r="K158" s="29"/>
      <c r="L158" s="29"/>
      <c r="M158" s="29"/>
      <c r="N158" s="29"/>
      <c r="O158" s="29"/>
      <c r="P158" s="29"/>
      <c r="Q158" s="29"/>
      <c r="R158" s="29"/>
      <c r="S158" s="29"/>
      <c r="T158" s="1"/>
      <c r="U158" s="34"/>
      <c r="V158" s="34"/>
    </row>
    <row x14ac:dyDescent="0.25" r="159" customHeight="1" ht="15.75">
      <c r="A159" s="1"/>
      <c r="B159" s="34"/>
      <c r="C159" s="2"/>
      <c r="D159" s="34"/>
      <c r="E159" s="34"/>
      <c r="F159" s="34"/>
      <c r="G159" s="34"/>
      <c r="H159" s="29"/>
      <c r="I159" s="29"/>
      <c r="J159" s="6"/>
      <c r="K159" s="29"/>
      <c r="L159" s="29"/>
      <c r="M159" s="29"/>
      <c r="N159" s="29"/>
      <c r="O159" s="29"/>
      <c r="P159" s="29"/>
      <c r="Q159" s="29"/>
      <c r="R159" s="29"/>
      <c r="S159" s="29"/>
      <c r="T159" s="1"/>
      <c r="U159" s="34"/>
      <c r="V159" s="34"/>
    </row>
    <row x14ac:dyDescent="0.25" r="160" customHeight="1" ht="15.75">
      <c r="A160" s="1"/>
      <c r="B160" s="34"/>
      <c r="C160" s="2"/>
      <c r="D160" s="34"/>
      <c r="E160" s="34"/>
      <c r="F160" s="34"/>
      <c r="G160" s="34"/>
      <c r="H160" s="29"/>
      <c r="I160" s="29"/>
      <c r="J160" s="6"/>
      <c r="K160" s="29"/>
      <c r="L160" s="29"/>
      <c r="M160" s="29"/>
      <c r="N160" s="29"/>
      <c r="O160" s="29"/>
      <c r="P160" s="29"/>
      <c r="Q160" s="29"/>
      <c r="R160" s="29"/>
      <c r="S160" s="29"/>
      <c r="T160" s="1"/>
      <c r="U160" s="34"/>
      <c r="V160" s="34"/>
    </row>
    <row x14ac:dyDescent="0.25" r="161" customHeight="1" ht="15.75">
      <c r="A161" s="1"/>
      <c r="B161" s="34"/>
      <c r="C161" s="2"/>
      <c r="D161" s="34"/>
      <c r="E161" s="34"/>
      <c r="F161" s="34"/>
      <c r="G161" s="34"/>
      <c r="H161" s="29"/>
      <c r="I161" s="29"/>
      <c r="J161" s="6"/>
      <c r="K161" s="29"/>
      <c r="L161" s="29"/>
      <c r="M161" s="29"/>
      <c r="N161" s="29"/>
      <c r="O161" s="29"/>
      <c r="P161" s="29"/>
      <c r="Q161" s="29"/>
      <c r="R161" s="29"/>
      <c r="S161" s="29"/>
      <c r="T161" s="1"/>
      <c r="U161" s="34"/>
      <c r="V161" s="34"/>
    </row>
    <row x14ac:dyDescent="0.25" r="162" customHeight="1" ht="15.75">
      <c r="A162" s="1"/>
      <c r="B162" s="34"/>
      <c r="C162" s="2"/>
      <c r="D162" s="34"/>
      <c r="E162" s="34"/>
      <c r="F162" s="34"/>
      <c r="G162" s="34"/>
      <c r="H162" s="29"/>
      <c r="I162" s="29"/>
      <c r="J162" s="6"/>
      <c r="K162" s="29"/>
      <c r="L162" s="29"/>
      <c r="M162" s="29"/>
      <c r="N162" s="29"/>
      <c r="O162" s="29"/>
      <c r="P162" s="29"/>
      <c r="Q162" s="29"/>
      <c r="R162" s="29"/>
      <c r="S162" s="29"/>
      <c r="T162" s="1"/>
      <c r="U162" s="34"/>
      <c r="V162" s="34"/>
    </row>
    <row x14ac:dyDescent="0.25" r="163" customHeight="1" ht="15.75">
      <c r="A163" s="1"/>
      <c r="B163" s="34"/>
      <c r="C163" s="2"/>
      <c r="D163" s="34"/>
      <c r="E163" s="34"/>
      <c r="F163" s="34"/>
      <c r="G163" s="34"/>
      <c r="H163" s="29"/>
      <c r="I163" s="29"/>
      <c r="J163" s="6"/>
      <c r="K163" s="29"/>
      <c r="L163" s="29"/>
      <c r="M163" s="29"/>
      <c r="N163" s="29"/>
      <c r="O163" s="29"/>
      <c r="P163" s="29"/>
      <c r="Q163" s="29"/>
      <c r="R163" s="29"/>
      <c r="S163" s="29"/>
      <c r="T163" s="1"/>
      <c r="U163" s="34"/>
      <c r="V163" s="34"/>
    </row>
    <row x14ac:dyDescent="0.25" r="164" customHeight="1" ht="15.75">
      <c r="A164" s="1"/>
      <c r="B164" s="34"/>
      <c r="C164" s="2"/>
      <c r="D164" s="34"/>
      <c r="E164" s="34"/>
      <c r="F164" s="34"/>
      <c r="G164" s="34"/>
      <c r="H164" s="29"/>
      <c r="I164" s="29"/>
      <c r="J164" s="6"/>
      <c r="K164" s="29"/>
      <c r="L164" s="29"/>
      <c r="M164" s="29"/>
      <c r="N164" s="29"/>
      <c r="O164" s="29"/>
      <c r="P164" s="29"/>
      <c r="Q164" s="29"/>
      <c r="R164" s="29"/>
      <c r="S164" s="29"/>
      <c r="T164" s="1"/>
      <c r="U164" s="34"/>
      <c r="V164" s="34"/>
    </row>
    <row x14ac:dyDescent="0.25" r="165" customHeight="1" ht="15.75">
      <c r="A165" s="1"/>
      <c r="B165" s="34"/>
      <c r="C165" s="2"/>
      <c r="D165" s="34"/>
      <c r="E165" s="34"/>
      <c r="F165" s="34"/>
      <c r="G165" s="34"/>
      <c r="H165" s="29"/>
      <c r="I165" s="29"/>
      <c r="J165" s="6"/>
      <c r="K165" s="29"/>
      <c r="L165" s="29"/>
      <c r="M165" s="29"/>
      <c r="N165" s="29"/>
      <c r="O165" s="29"/>
      <c r="P165" s="29"/>
      <c r="Q165" s="29"/>
      <c r="R165" s="29"/>
      <c r="S165" s="29"/>
      <c r="T165" s="1"/>
      <c r="U165" s="34"/>
      <c r="V165" s="34"/>
    </row>
    <row x14ac:dyDescent="0.25" r="166" customHeight="1" ht="15.75">
      <c r="A166" s="1"/>
      <c r="B166" s="34"/>
      <c r="C166" s="2"/>
      <c r="D166" s="34"/>
      <c r="E166" s="34"/>
      <c r="F166" s="34"/>
      <c r="G166" s="34"/>
      <c r="H166" s="29"/>
      <c r="I166" s="29"/>
      <c r="J166" s="6"/>
      <c r="K166" s="29"/>
      <c r="L166" s="29"/>
      <c r="M166" s="29"/>
      <c r="N166" s="29"/>
      <c r="O166" s="29"/>
      <c r="P166" s="29"/>
      <c r="Q166" s="29"/>
      <c r="R166" s="29"/>
      <c r="S166" s="29"/>
      <c r="T166" s="1"/>
      <c r="U166" s="34"/>
      <c r="V166" s="34"/>
    </row>
    <row x14ac:dyDescent="0.25" r="167" customHeight="1" ht="15.75">
      <c r="A167" s="1"/>
      <c r="B167" s="34"/>
      <c r="C167" s="2"/>
      <c r="D167" s="34"/>
      <c r="E167" s="34"/>
      <c r="F167" s="34"/>
      <c r="G167" s="34"/>
      <c r="H167" s="29"/>
      <c r="I167" s="29"/>
      <c r="J167" s="6"/>
      <c r="K167" s="29"/>
      <c r="L167" s="29"/>
      <c r="M167" s="29"/>
      <c r="N167" s="29"/>
      <c r="O167" s="29"/>
      <c r="P167" s="29"/>
      <c r="Q167" s="29"/>
      <c r="R167" s="29"/>
      <c r="S167" s="29"/>
      <c r="T167" s="1"/>
      <c r="U167" s="34"/>
      <c r="V167" s="34"/>
    </row>
    <row x14ac:dyDescent="0.25" r="168" customHeight="1" ht="15.75">
      <c r="A168" s="1"/>
      <c r="B168" s="34"/>
      <c r="C168" s="2"/>
      <c r="D168" s="34"/>
      <c r="E168" s="34"/>
      <c r="F168" s="34"/>
      <c r="G168" s="34"/>
      <c r="H168" s="29"/>
      <c r="I168" s="29"/>
      <c r="J168" s="6"/>
      <c r="K168" s="29"/>
      <c r="L168" s="29"/>
      <c r="M168" s="29"/>
      <c r="N168" s="29"/>
      <c r="O168" s="29"/>
      <c r="P168" s="29"/>
      <c r="Q168" s="29"/>
      <c r="R168" s="29"/>
      <c r="S168" s="29"/>
      <c r="T168" s="1"/>
      <c r="U168" s="34"/>
      <c r="V168" s="34"/>
    </row>
    <row x14ac:dyDescent="0.25" r="169" customHeight="1" ht="15.75">
      <c r="A169" s="1"/>
      <c r="B169" s="34"/>
      <c r="C169" s="2"/>
      <c r="D169" s="34"/>
      <c r="E169" s="34"/>
      <c r="F169" s="34"/>
      <c r="G169" s="34"/>
      <c r="H169" s="29"/>
      <c r="I169" s="29"/>
      <c r="J169" s="6"/>
      <c r="K169" s="29"/>
      <c r="L169" s="29"/>
      <c r="M169" s="29"/>
      <c r="N169" s="29"/>
      <c r="O169" s="29"/>
      <c r="P169" s="29"/>
      <c r="Q169" s="29"/>
      <c r="R169" s="29"/>
      <c r="S169" s="29"/>
      <c r="T169" s="1"/>
      <c r="U169" s="34"/>
      <c r="V169" s="34"/>
    </row>
    <row x14ac:dyDescent="0.25" r="170" customHeight="1" ht="15.75">
      <c r="A170" s="1"/>
      <c r="B170" s="34"/>
      <c r="C170" s="2"/>
      <c r="D170" s="34"/>
      <c r="E170" s="34"/>
      <c r="F170" s="34"/>
      <c r="G170" s="34"/>
      <c r="H170" s="29"/>
      <c r="I170" s="29"/>
      <c r="J170" s="6"/>
      <c r="K170" s="29"/>
      <c r="L170" s="29"/>
      <c r="M170" s="29"/>
      <c r="N170" s="29"/>
      <c r="O170" s="29"/>
      <c r="P170" s="29"/>
      <c r="Q170" s="29"/>
      <c r="R170" s="29"/>
      <c r="S170" s="29"/>
      <c r="T170" s="1"/>
      <c r="U170" s="34"/>
      <c r="V170" s="34"/>
    </row>
    <row x14ac:dyDescent="0.25" r="171" customHeight="1" ht="15.75">
      <c r="A171" s="1"/>
      <c r="B171" s="34"/>
      <c r="C171" s="2"/>
      <c r="D171" s="34"/>
      <c r="E171" s="34"/>
      <c r="F171" s="34"/>
      <c r="G171" s="34"/>
      <c r="H171" s="29"/>
      <c r="I171" s="29"/>
      <c r="J171" s="6"/>
      <c r="K171" s="29"/>
      <c r="L171" s="29"/>
      <c r="M171" s="29"/>
      <c r="N171" s="29"/>
      <c r="O171" s="29"/>
      <c r="P171" s="29"/>
      <c r="Q171" s="29"/>
      <c r="R171" s="29"/>
      <c r="S171" s="29"/>
      <c r="T171" s="1"/>
      <c r="U171" s="34"/>
      <c r="V171" s="34"/>
    </row>
    <row x14ac:dyDescent="0.25" r="172" customHeight="1" ht="15.75">
      <c r="A172" s="1"/>
      <c r="B172" s="34"/>
      <c r="C172" s="2"/>
      <c r="D172" s="34"/>
      <c r="E172" s="34"/>
      <c r="F172" s="34"/>
      <c r="G172" s="34"/>
      <c r="H172" s="29"/>
      <c r="I172" s="29"/>
      <c r="J172" s="6"/>
      <c r="K172" s="29"/>
      <c r="L172" s="29"/>
      <c r="M172" s="29"/>
      <c r="N172" s="29"/>
      <c r="O172" s="29"/>
      <c r="P172" s="29"/>
      <c r="Q172" s="29"/>
      <c r="R172" s="29"/>
      <c r="S172" s="29"/>
      <c r="T172" s="1"/>
      <c r="U172" s="34"/>
      <c r="V172" s="34"/>
    </row>
    <row x14ac:dyDescent="0.25" r="173" customHeight="1" ht="15.75">
      <c r="A173" s="1"/>
      <c r="B173" s="34"/>
      <c r="C173" s="2"/>
      <c r="D173" s="34"/>
      <c r="E173" s="34"/>
      <c r="F173" s="34"/>
      <c r="G173" s="34"/>
      <c r="H173" s="29"/>
      <c r="I173" s="29"/>
      <c r="J173" s="6"/>
      <c r="K173" s="29"/>
      <c r="L173" s="29"/>
      <c r="M173" s="29"/>
      <c r="N173" s="29"/>
      <c r="O173" s="29"/>
      <c r="P173" s="29"/>
      <c r="Q173" s="29"/>
      <c r="R173" s="29"/>
      <c r="S173" s="29"/>
      <c r="T173" s="1"/>
      <c r="U173" s="34"/>
      <c r="V173" s="34"/>
    </row>
    <row x14ac:dyDescent="0.25" r="174" customHeight="1" ht="15.75">
      <c r="A174" s="1"/>
      <c r="B174" s="34"/>
      <c r="C174" s="2"/>
      <c r="D174" s="34"/>
      <c r="E174" s="34"/>
      <c r="F174" s="34"/>
      <c r="G174" s="34"/>
      <c r="H174" s="29"/>
      <c r="I174" s="29"/>
      <c r="J174" s="6"/>
      <c r="K174" s="29"/>
      <c r="L174" s="29"/>
      <c r="M174" s="29"/>
      <c r="N174" s="29"/>
      <c r="O174" s="29"/>
      <c r="P174" s="29"/>
      <c r="Q174" s="29"/>
      <c r="R174" s="29"/>
      <c r="S174" s="29"/>
      <c r="T174" s="1"/>
      <c r="U174" s="34"/>
      <c r="V174" s="34"/>
    </row>
    <row x14ac:dyDescent="0.25" r="175" customHeight="1" ht="15.75">
      <c r="A175" s="1"/>
      <c r="B175" s="34"/>
      <c r="C175" s="2"/>
      <c r="D175" s="34"/>
      <c r="E175" s="34"/>
      <c r="F175" s="34"/>
      <c r="G175" s="34"/>
      <c r="H175" s="29"/>
      <c r="I175" s="29"/>
      <c r="J175" s="6"/>
      <c r="K175" s="29"/>
      <c r="L175" s="29"/>
      <c r="M175" s="29"/>
      <c r="N175" s="29"/>
      <c r="O175" s="29"/>
      <c r="P175" s="29"/>
      <c r="Q175" s="29"/>
      <c r="R175" s="29"/>
      <c r="S175" s="29"/>
      <c r="T175" s="1"/>
      <c r="U175" s="34"/>
      <c r="V175" s="34"/>
    </row>
    <row x14ac:dyDescent="0.25" r="176" customHeight="1" ht="15.75">
      <c r="A176" s="1"/>
      <c r="B176" s="34"/>
      <c r="C176" s="2"/>
      <c r="D176" s="34"/>
      <c r="E176" s="34"/>
      <c r="F176" s="34"/>
      <c r="G176" s="34"/>
      <c r="H176" s="29"/>
      <c r="I176" s="29"/>
      <c r="J176" s="6"/>
      <c r="K176" s="29"/>
      <c r="L176" s="29"/>
      <c r="M176" s="29"/>
      <c r="N176" s="29"/>
      <c r="O176" s="29"/>
      <c r="P176" s="29"/>
      <c r="Q176" s="29"/>
      <c r="R176" s="29"/>
      <c r="S176" s="29"/>
      <c r="T176" s="1"/>
      <c r="U176" s="34"/>
      <c r="V176" s="34"/>
    </row>
    <row x14ac:dyDescent="0.25" r="177" customHeight="1" ht="15.75">
      <c r="A177" s="1"/>
      <c r="B177" s="34"/>
      <c r="C177" s="2"/>
      <c r="D177" s="34"/>
      <c r="E177" s="34"/>
      <c r="F177" s="34"/>
      <c r="G177" s="34"/>
      <c r="H177" s="29"/>
      <c r="I177" s="29"/>
      <c r="J177" s="6"/>
      <c r="K177" s="29"/>
      <c r="L177" s="29"/>
      <c r="M177" s="29"/>
      <c r="N177" s="29"/>
      <c r="O177" s="29"/>
      <c r="P177" s="29"/>
      <c r="Q177" s="29"/>
      <c r="R177" s="29"/>
      <c r="S177" s="29"/>
      <c r="T177" s="1"/>
      <c r="U177" s="34"/>
      <c r="V177" s="34"/>
    </row>
    <row x14ac:dyDescent="0.25" r="178" customHeight="1" ht="15.75">
      <c r="A178" s="1"/>
      <c r="B178" s="34"/>
      <c r="C178" s="2"/>
      <c r="D178" s="34"/>
      <c r="E178" s="34"/>
      <c r="F178" s="34"/>
      <c r="G178" s="34"/>
      <c r="H178" s="29"/>
      <c r="I178" s="29"/>
      <c r="J178" s="6"/>
      <c r="K178" s="29"/>
      <c r="L178" s="29"/>
      <c r="M178" s="29"/>
      <c r="N178" s="29"/>
      <c r="O178" s="29"/>
      <c r="P178" s="29"/>
      <c r="Q178" s="29"/>
      <c r="R178" s="29"/>
      <c r="S178" s="29"/>
      <c r="T178" s="1"/>
      <c r="U178" s="34"/>
      <c r="V178" s="34"/>
    </row>
    <row x14ac:dyDescent="0.25" r="179" customHeight="1" ht="15.75">
      <c r="A179" s="1"/>
      <c r="B179" s="34"/>
      <c r="C179" s="2"/>
      <c r="D179" s="34"/>
      <c r="E179" s="34"/>
      <c r="F179" s="34"/>
      <c r="G179" s="34"/>
      <c r="H179" s="29"/>
      <c r="I179" s="29"/>
      <c r="J179" s="6"/>
      <c r="K179" s="29"/>
      <c r="L179" s="29"/>
      <c r="M179" s="29"/>
      <c r="N179" s="29"/>
      <c r="O179" s="29"/>
      <c r="P179" s="29"/>
      <c r="Q179" s="29"/>
      <c r="R179" s="29"/>
      <c r="S179" s="29"/>
      <c r="T179" s="1"/>
      <c r="U179" s="34"/>
      <c r="V179" s="34"/>
    </row>
    <row x14ac:dyDescent="0.25" r="180" customHeight="1" ht="15.75">
      <c r="A180" s="1"/>
      <c r="B180" s="34"/>
      <c r="C180" s="2"/>
      <c r="D180" s="34"/>
      <c r="E180" s="34"/>
      <c r="F180" s="34"/>
      <c r="G180" s="34"/>
      <c r="H180" s="29"/>
      <c r="I180" s="29"/>
      <c r="J180" s="6"/>
      <c r="K180" s="29"/>
      <c r="L180" s="29"/>
      <c r="M180" s="29"/>
      <c r="N180" s="29"/>
      <c r="O180" s="29"/>
      <c r="P180" s="29"/>
      <c r="Q180" s="29"/>
      <c r="R180" s="29"/>
      <c r="S180" s="29"/>
      <c r="T180" s="1"/>
      <c r="U180" s="34"/>
      <c r="V180" s="34"/>
    </row>
    <row x14ac:dyDescent="0.25" r="181" customHeight="1" ht="15.75">
      <c r="A181" s="1"/>
      <c r="B181" s="34"/>
      <c r="C181" s="2"/>
      <c r="D181" s="34"/>
      <c r="E181" s="34"/>
      <c r="F181" s="34"/>
      <c r="G181" s="34"/>
      <c r="H181" s="29"/>
      <c r="I181" s="29"/>
      <c r="J181" s="6"/>
      <c r="K181" s="29"/>
      <c r="L181" s="29"/>
      <c r="M181" s="29"/>
      <c r="N181" s="29"/>
      <c r="O181" s="29"/>
      <c r="P181" s="29"/>
      <c r="Q181" s="29"/>
      <c r="R181" s="29"/>
      <c r="S181" s="29"/>
      <c r="T181" s="1"/>
      <c r="U181" s="34"/>
      <c r="V181" s="34"/>
    </row>
    <row x14ac:dyDescent="0.25" r="182" customHeight="1" ht="15.75">
      <c r="A182" s="1"/>
      <c r="B182" s="34"/>
      <c r="C182" s="2"/>
      <c r="D182" s="34"/>
      <c r="E182" s="34"/>
      <c r="F182" s="34"/>
      <c r="G182" s="34"/>
      <c r="H182" s="29"/>
      <c r="I182" s="29"/>
      <c r="J182" s="6"/>
      <c r="K182" s="29"/>
      <c r="L182" s="29"/>
      <c r="M182" s="29"/>
      <c r="N182" s="29"/>
      <c r="O182" s="29"/>
      <c r="P182" s="29"/>
      <c r="Q182" s="29"/>
      <c r="R182" s="29"/>
      <c r="S182" s="29"/>
      <c r="T182" s="1"/>
      <c r="U182" s="34"/>
      <c r="V182" s="34"/>
    </row>
    <row x14ac:dyDescent="0.25" r="183" customHeight="1" ht="15.75">
      <c r="A183" s="1"/>
      <c r="B183" s="34"/>
      <c r="C183" s="2"/>
      <c r="D183" s="34"/>
      <c r="E183" s="34"/>
      <c r="F183" s="34"/>
      <c r="G183" s="34"/>
      <c r="H183" s="29"/>
      <c r="I183" s="29"/>
      <c r="J183" s="6"/>
      <c r="K183" s="29"/>
      <c r="L183" s="29"/>
      <c r="M183" s="29"/>
      <c r="N183" s="29"/>
      <c r="O183" s="29"/>
      <c r="P183" s="29"/>
      <c r="Q183" s="29"/>
      <c r="R183" s="29"/>
      <c r="S183" s="29"/>
      <c r="T183" s="1"/>
      <c r="U183" s="34"/>
      <c r="V183" s="34"/>
    </row>
    <row x14ac:dyDescent="0.25" r="184" customHeight="1" ht="15.75">
      <c r="A184" s="1"/>
      <c r="B184" s="34"/>
      <c r="C184" s="2"/>
      <c r="D184" s="34"/>
      <c r="E184" s="34"/>
      <c r="F184" s="34"/>
      <c r="G184" s="34"/>
      <c r="H184" s="29"/>
      <c r="I184" s="29"/>
      <c r="J184" s="6"/>
      <c r="K184" s="29"/>
      <c r="L184" s="29"/>
      <c r="M184" s="29"/>
      <c r="N184" s="29"/>
      <c r="O184" s="29"/>
      <c r="P184" s="29"/>
      <c r="Q184" s="29"/>
      <c r="R184" s="29"/>
      <c r="S184" s="29"/>
      <c r="T184" s="1"/>
      <c r="U184" s="34"/>
      <c r="V184" s="34"/>
    </row>
    <row x14ac:dyDescent="0.25" r="185" customHeight="1" ht="15.75">
      <c r="A185" s="1"/>
      <c r="B185" s="34"/>
      <c r="C185" s="2"/>
      <c r="D185" s="34"/>
      <c r="E185" s="34"/>
      <c r="F185" s="34"/>
      <c r="G185" s="34"/>
      <c r="H185" s="29"/>
      <c r="I185" s="29"/>
      <c r="J185" s="6"/>
      <c r="K185" s="29"/>
      <c r="L185" s="29"/>
      <c r="M185" s="29"/>
      <c r="N185" s="29"/>
      <c r="O185" s="29"/>
      <c r="P185" s="29"/>
      <c r="Q185" s="29"/>
      <c r="R185" s="29"/>
      <c r="S185" s="29"/>
      <c r="T185" s="1"/>
      <c r="U185" s="34"/>
      <c r="V185" s="34"/>
    </row>
    <row x14ac:dyDescent="0.25" r="186" customHeight="1" ht="15.75">
      <c r="A186" s="1"/>
      <c r="B186" s="34"/>
      <c r="C186" s="2"/>
      <c r="D186" s="34"/>
      <c r="E186" s="34"/>
      <c r="F186" s="34"/>
      <c r="G186" s="34"/>
      <c r="H186" s="29"/>
      <c r="I186" s="29"/>
      <c r="J186" s="6"/>
      <c r="K186" s="29"/>
      <c r="L186" s="29"/>
      <c r="M186" s="29"/>
      <c r="N186" s="29"/>
      <c r="O186" s="29"/>
      <c r="P186" s="29"/>
      <c r="Q186" s="29"/>
      <c r="R186" s="29"/>
      <c r="S186" s="29"/>
      <c r="T186" s="1"/>
      <c r="U186" s="34"/>
      <c r="V186" s="34"/>
    </row>
    <row x14ac:dyDescent="0.25" r="187" customHeight="1" ht="15.75">
      <c r="A187" s="1"/>
      <c r="B187" s="34"/>
      <c r="C187" s="2"/>
      <c r="D187" s="34"/>
      <c r="E187" s="34"/>
      <c r="F187" s="34"/>
      <c r="G187" s="34"/>
      <c r="H187" s="29"/>
      <c r="I187" s="29"/>
      <c r="J187" s="6"/>
      <c r="K187" s="29"/>
      <c r="L187" s="29"/>
      <c r="M187" s="29"/>
      <c r="N187" s="29"/>
      <c r="O187" s="29"/>
      <c r="P187" s="29"/>
      <c r="Q187" s="29"/>
      <c r="R187" s="29"/>
      <c r="S187" s="29"/>
      <c r="T187" s="1"/>
      <c r="U187" s="34"/>
      <c r="V187" s="34"/>
    </row>
    <row x14ac:dyDescent="0.25" r="188" customHeight="1" ht="15.75">
      <c r="A188" s="1"/>
      <c r="B188" s="34"/>
      <c r="C188" s="2"/>
      <c r="D188" s="34"/>
      <c r="E188" s="34"/>
      <c r="F188" s="34"/>
      <c r="G188" s="34"/>
      <c r="H188" s="29"/>
      <c r="I188" s="29"/>
      <c r="J188" s="6"/>
      <c r="K188" s="29"/>
      <c r="L188" s="29"/>
      <c r="M188" s="29"/>
      <c r="N188" s="29"/>
      <c r="O188" s="29"/>
      <c r="P188" s="29"/>
      <c r="Q188" s="29"/>
      <c r="R188" s="29"/>
      <c r="S188" s="29"/>
      <c r="T188" s="1"/>
      <c r="U188" s="34"/>
      <c r="V188" s="34"/>
    </row>
    <row x14ac:dyDescent="0.25" r="189" customHeight="1" ht="15.75">
      <c r="A189" s="1"/>
      <c r="B189" s="34"/>
      <c r="C189" s="2"/>
      <c r="D189" s="34"/>
      <c r="E189" s="34"/>
      <c r="F189" s="34"/>
      <c r="G189" s="34"/>
      <c r="H189" s="29"/>
      <c r="I189" s="29"/>
      <c r="J189" s="6"/>
      <c r="K189" s="29"/>
      <c r="L189" s="29"/>
      <c r="M189" s="29"/>
      <c r="N189" s="29"/>
      <c r="O189" s="29"/>
      <c r="P189" s="29"/>
      <c r="Q189" s="29"/>
      <c r="R189" s="29"/>
      <c r="S189" s="29"/>
      <c r="T189" s="1"/>
      <c r="U189" s="34"/>
      <c r="V189" s="34"/>
    </row>
    <row x14ac:dyDescent="0.25" r="190" customHeight="1" ht="15.75">
      <c r="A190" s="1"/>
      <c r="B190" s="34"/>
      <c r="C190" s="2"/>
      <c r="D190" s="34"/>
      <c r="E190" s="34"/>
      <c r="F190" s="34"/>
      <c r="G190" s="34"/>
      <c r="H190" s="29"/>
      <c r="I190" s="29"/>
      <c r="J190" s="6"/>
      <c r="K190" s="29"/>
      <c r="L190" s="29"/>
      <c r="M190" s="29"/>
      <c r="N190" s="29"/>
      <c r="O190" s="29"/>
      <c r="P190" s="29"/>
      <c r="Q190" s="29"/>
      <c r="R190" s="29"/>
      <c r="S190" s="29"/>
      <c r="T190" s="1"/>
      <c r="U190" s="34"/>
      <c r="V190" s="34"/>
    </row>
    <row x14ac:dyDescent="0.25" r="191" customHeight="1" ht="15.75">
      <c r="A191" s="1"/>
      <c r="B191" s="34"/>
      <c r="C191" s="2"/>
      <c r="D191" s="34"/>
      <c r="E191" s="34"/>
      <c r="F191" s="34"/>
      <c r="G191" s="34"/>
      <c r="H191" s="29"/>
      <c r="I191" s="29"/>
      <c r="J191" s="6"/>
      <c r="K191" s="29"/>
      <c r="L191" s="29"/>
      <c r="M191" s="29"/>
      <c r="N191" s="29"/>
      <c r="O191" s="29"/>
      <c r="P191" s="29"/>
      <c r="Q191" s="29"/>
      <c r="R191" s="29"/>
      <c r="S191" s="29"/>
      <c r="T191" s="1"/>
      <c r="U191" s="34"/>
      <c r="V191" s="34"/>
    </row>
    <row x14ac:dyDescent="0.25" r="192" customHeight="1" ht="15.75">
      <c r="A192" s="1"/>
      <c r="B192" s="34"/>
      <c r="C192" s="2"/>
      <c r="D192" s="34"/>
      <c r="E192" s="34"/>
      <c r="F192" s="34"/>
      <c r="G192" s="34"/>
      <c r="H192" s="29"/>
      <c r="I192" s="29"/>
      <c r="J192" s="6"/>
      <c r="K192" s="29"/>
      <c r="L192" s="29"/>
      <c r="M192" s="29"/>
      <c r="N192" s="29"/>
      <c r="O192" s="29"/>
      <c r="P192" s="29"/>
      <c r="Q192" s="29"/>
      <c r="R192" s="29"/>
      <c r="S192" s="29"/>
      <c r="T192" s="1"/>
      <c r="U192" s="34"/>
      <c r="V192" s="34"/>
    </row>
    <row x14ac:dyDescent="0.25" r="193" customHeight="1" ht="15.75">
      <c r="A193" s="1"/>
      <c r="B193" s="34"/>
      <c r="C193" s="2"/>
      <c r="D193" s="34"/>
      <c r="E193" s="34"/>
      <c r="F193" s="34"/>
      <c r="G193" s="34"/>
      <c r="H193" s="29"/>
      <c r="I193" s="29"/>
      <c r="J193" s="6"/>
      <c r="K193" s="29"/>
      <c r="L193" s="29"/>
      <c r="M193" s="29"/>
      <c r="N193" s="29"/>
      <c r="O193" s="29"/>
      <c r="P193" s="29"/>
      <c r="Q193" s="29"/>
      <c r="R193" s="29"/>
      <c r="S193" s="29"/>
      <c r="T193" s="1"/>
      <c r="U193" s="34"/>
      <c r="V193" s="34"/>
    </row>
    <row x14ac:dyDescent="0.25" r="194" customHeight="1" ht="15.75">
      <c r="A194" s="1"/>
      <c r="B194" s="34"/>
      <c r="C194" s="2"/>
      <c r="D194" s="34"/>
      <c r="E194" s="34"/>
      <c r="F194" s="34"/>
      <c r="G194" s="34"/>
      <c r="H194" s="29"/>
      <c r="I194" s="29"/>
      <c r="J194" s="6"/>
      <c r="K194" s="29"/>
      <c r="L194" s="29"/>
      <c r="M194" s="29"/>
      <c r="N194" s="29"/>
      <c r="O194" s="29"/>
      <c r="P194" s="29"/>
      <c r="Q194" s="29"/>
      <c r="R194" s="29"/>
      <c r="S194" s="29"/>
      <c r="T194" s="1"/>
      <c r="U194" s="34"/>
      <c r="V194" s="34"/>
    </row>
    <row x14ac:dyDescent="0.25" r="195" customHeight="1" ht="15.75">
      <c r="A195" s="1"/>
      <c r="B195" s="34"/>
      <c r="C195" s="2"/>
      <c r="D195" s="34"/>
      <c r="E195" s="34"/>
      <c r="F195" s="34"/>
      <c r="G195" s="34"/>
      <c r="H195" s="29"/>
      <c r="I195" s="29"/>
      <c r="J195" s="6"/>
      <c r="K195" s="29"/>
      <c r="L195" s="29"/>
      <c r="M195" s="29"/>
      <c r="N195" s="29"/>
      <c r="O195" s="29"/>
      <c r="P195" s="29"/>
      <c r="Q195" s="29"/>
      <c r="R195" s="29"/>
      <c r="S195" s="29"/>
      <c r="T195" s="1"/>
      <c r="U195" s="34"/>
      <c r="V195" s="34"/>
    </row>
    <row x14ac:dyDescent="0.25" r="196" customHeight="1" ht="15.75">
      <c r="A196" s="1"/>
      <c r="B196" s="34"/>
      <c r="C196" s="2"/>
      <c r="D196" s="34"/>
      <c r="E196" s="34"/>
      <c r="F196" s="34"/>
      <c r="G196" s="34"/>
      <c r="H196" s="29"/>
      <c r="I196" s="29"/>
      <c r="J196" s="6"/>
      <c r="K196" s="29"/>
      <c r="L196" s="29"/>
      <c r="M196" s="29"/>
      <c r="N196" s="29"/>
      <c r="O196" s="29"/>
      <c r="P196" s="29"/>
      <c r="Q196" s="29"/>
      <c r="R196" s="29"/>
      <c r="S196" s="29"/>
      <c r="T196" s="1"/>
      <c r="U196" s="34"/>
      <c r="V196" s="34"/>
    </row>
    <row x14ac:dyDescent="0.25" r="197" customHeight="1" ht="15.75">
      <c r="A197" s="1"/>
      <c r="B197" s="34"/>
      <c r="C197" s="2"/>
      <c r="D197" s="34"/>
      <c r="E197" s="34"/>
      <c r="F197" s="34"/>
      <c r="G197" s="34"/>
      <c r="H197" s="29"/>
      <c r="I197" s="29"/>
      <c r="J197" s="6"/>
      <c r="K197" s="29"/>
      <c r="L197" s="29"/>
      <c r="M197" s="29"/>
      <c r="N197" s="29"/>
      <c r="O197" s="29"/>
      <c r="P197" s="29"/>
      <c r="Q197" s="29"/>
      <c r="R197" s="29"/>
      <c r="S197" s="29"/>
      <c r="T197" s="1"/>
      <c r="U197" s="34"/>
      <c r="V197" s="34"/>
    </row>
    <row x14ac:dyDescent="0.25" r="198" customHeight="1" ht="15.75">
      <c r="A198" s="1"/>
      <c r="B198" s="34"/>
      <c r="C198" s="2"/>
      <c r="D198" s="34"/>
      <c r="E198" s="34"/>
      <c r="F198" s="34"/>
      <c r="G198" s="34"/>
      <c r="H198" s="29"/>
      <c r="I198" s="29"/>
      <c r="J198" s="6"/>
      <c r="K198" s="29"/>
      <c r="L198" s="29"/>
      <c r="M198" s="29"/>
      <c r="N198" s="29"/>
      <c r="O198" s="29"/>
      <c r="P198" s="29"/>
      <c r="Q198" s="29"/>
      <c r="R198" s="29"/>
      <c r="S198" s="29"/>
      <c r="T198" s="1"/>
      <c r="U198" s="34"/>
      <c r="V198" s="34"/>
    </row>
    <row x14ac:dyDescent="0.25" r="199" customHeight="1" ht="15.75">
      <c r="A199" s="1"/>
      <c r="B199" s="34"/>
      <c r="C199" s="2"/>
      <c r="D199" s="34"/>
      <c r="E199" s="34"/>
      <c r="F199" s="34"/>
      <c r="G199" s="34"/>
      <c r="H199" s="29"/>
      <c r="I199" s="29"/>
      <c r="J199" s="6"/>
      <c r="K199" s="29"/>
      <c r="L199" s="29"/>
      <c r="M199" s="29"/>
      <c r="N199" s="29"/>
      <c r="O199" s="29"/>
      <c r="P199" s="29"/>
      <c r="Q199" s="29"/>
      <c r="R199" s="29"/>
      <c r="S199" s="29"/>
      <c r="T199" s="1"/>
      <c r="U199" s="34"/>
      <c r="V199" s="34"/>
    </row>
    <row x14ac:dyDescent="0.25" r="200" customHeight="1" ht="15.75">
      <c r="A200" s="1"/>
      <c r="B200" s="34"/>
      <c r="C200" s="2"/>
      <c r="D200" s="34"/>
      <c r="E200" s="34"/>
      <c r="F200" s="34"/>
      <c r="G200" s="34"/>
      <c r="H200" s="29"/>
      <c r="I200" s="29"/>
      <c r="J200" s="6"/>
      <c r="K200" s="29"/>
      <c r="L200" s="29"/>
      <c r="M200" s="29"/>
      <c r="N200" s="29"/>
      <c r="O200" s="29"/>
      <c r="P200" s="29"/>
      <c r="Q200" s="29"/>
      <c r="R200" s="29"/>
      <c r="S200" s="29"/>
      <c r="T200" s="1"/>
      <c r="U200" s="34"/>
      <c r="V200" s="34"/>
    </row>
    <row x14ac:dyDescent="0.25" r="201" customHeight="1" ht="15.75">
      <c r="A201" s="1"/>
      <c r="B201" s="34"/>
      <c r="C201" s="2"/>
      <c r="D201" s="34"/>
      <c r="E201" s="34"/>
      <c r="F201" s="34"/>
      <c r="G201" s="34"/>
      <c r="H201" s="29"/>
      <c r="I201" s="29"/>
      <c r="J201" s="6"/>
      <c r="K201" s="29"/>
      <c r="L201" s="29"/>
      <c r="M201" s="29"/>
      <c r="N201" s="29"/>
      <c r="O201" s="29"/>
      <c r="P201" s="29"/>
      <c r="Q201" s="29"/>
      <c r="R201" s="29"/>
      <c r="S201" s="29"/>
      <c r="T201" s="1"/>
      <c r="U201" s="34"/>
      <c r="V201" s="34"/>
    </row>
    <row x14ac:dyDescent="0.25" r="202" customHeight="1" ht="15.75">
      <c r="A202" s="1"/>
      <c r="B202" s="34"/>
      <c r="C202" s="2"/>
      <c r="D202" s="34"/>
      <c r="E202" s="34"/>
      <c r="F202" s="34"/>
      <c r="G202" s="34"/>
      <c r="H202" s="29"/>
      <c r="I202" s="29"/>
      <c r="J202" s="6"/>
      <c r="K202" s="29"/>
      <c r="L202" s="29"/>
      <c r="M202" s="29"/>
      <c r="N202" s="29"/>
      <c r="O202" s="29"/>
      <c r="P202" s="29"/>
      <c r="Q202" s="29"/>
      <c r="R202" s="29"/>
      <c r="S202" s="29"/>
      <c r="T202" s="1"/>
      <c r="U202" s="34"/>
      <c r="V202" s="34"/>
    </row>
    <row x14ac:dyDescent="0.25" r="203" customHeight="1" ht="15.75">
      <c r="A203" s="1"/>
      <c r="B203" s="34"/>
      <c r="C203" s="2"/>
      <c r="D203" s="34"/>
      <c r="E203" s="34"/>
      <c r="F203" s="34"/>
      <c r="G203" s="34"/>
      <c r="H203" s="29"/>
      <c r="I203" s="29"/>
      <c r="J203" s="6"/>
      <c r="K203" s="29"/>
      <c r="L203" s="29"/>
      <c r="M203" s="29"/>
      <c r="N203" s="29"/>
      <c r="O203" s="29"/>
      <c r="P203" s="29"/>
      <c r="Q203" s="29"/>
      <c r="R203" s="29"/>
      <c r="S203" s="29"/>
      <c r="T203" s="1"/>
      <c r="U203" s="34"/>
      <c r="V203" s="34"/>
    </row>
    <row x14ac:dyDescent="0.25" r="204" customHeight="1" ht="15.75">
      <c r="A204" s="1"/>
      <c r="B204" s="34"/>
      <c r="C204" s="2"/>
      <c r="D204" s="34"/>
      <c r="E204" s="34"/>
      <c r="F204" s="34"/>
      <c r="G204" s="34"/>
      <c r="H204" s="29"/>
      <c r="I204" s="29"/>
      <c r="J204" s="6"/>
      <c r="K204" s="29"/>
      <c r="L204" s="29"/>
      <c r="M204" s="29"/>
      <c r="N204" s="29"/>
      <c r="O204" s="29"/>
      <c r="P204" s="29"/>
      <c r="Q204" s="29"/>
      <c r="R204" s="29"/>
      <c r="S204" s="29"/>
      <c r="T204" s="1"/>
      <c r="U204" s="34"/>
      <c r="V204" s="34"/>
    </row>
    <row x14ac:dyDescent="0.25" r="205" customHeight="1" ht="15.75">
      <c r="A205" s="1"/>
      <c r="B205" s="34"/>
      <c r="C205" s="2"/>
      <c r="D205" s="34"/>
      <c r="E205" s="34"/>
      <c r="F205" s="34"/>
      <c r="G205" s="34"/>
      <c r="H205" s="29"/>
      <c r="I205" s="29"/>
      <c r="J205" s="6"/>
      <c r="K205" s="29"/>
      <c r="L205" s="29"/>
      <c r="M205" s="29"/>
      <c r="N205" s="29"/>
      <c r="O205" s="29"/>
      <c r="P205" s="29"/>
      <c r="Q205" s="29"/>
      <c r="R205" s="29"/>
      <c r="S205" s="29"/>
      <c r="T205" s="1"/>
      <c r="U205" s="34"/>
      <c r="V205" s="34"/>
    </row>
    <row x14ac:dyDescent="0.25" r="206" customHeight="1" ht="15.75">
      <c r="A206" s="1"/>
      <c r="B206" s="34"/>
      <c r="C206" s="2"/>
      <c r="D206" s="34"/>
      <c r="E206" s="34"/>
      <c r="F206" s="34"/>
      <c r="G206" s="34"/>
      <c r="H206" s="29"/>
      <c r="I206" s="29"/>
      <c r="J206" s="6"/>
      <c r="K206" s="29"/>
      <c r="L206" s="29"/>
      <c r="M206" s="29"/>
      <c r="N206" s="29"/>
      <c r="O206" s="29"/>
      <c r="P206" s="29"/>
      <c r="Q206" s="29"/>
      <c r="R206" s="29"/>
      <c r="S206" s="29"/>
      <c r="T206" s="1"/>
      <c r="U206" s="34"/>
      <c r="V206" s="34"/>
    </row>
    <row x14ac:dyDescent="0.25" r="207" customHeight="1" ht="15.75">
      <c r="A207" s="1"/>
      <c r="B207" s="34"/>
      <c r="C207" s="2"/>
      <c r="D207" s="34"/>
      <c r="E207" s="34"/>
      <c r="F207" s="34"/>
      <c r="G207" s="34"/>
      <c r="H207" s="29"/>
      <c r="I207" s="29"/>
      <c r="J207" s="6"/>
      <c r="K207" s="29"/>
      <c r="L207" s="29"/>
      <c r="M207" s="29"/>
      <c r="N207" s="29"/>
      <c r="O207" s="29"/>
      <c r="P207" s="29"/>
      <c r="Q207" s="29"/>
      <c r="R207" s="29"/>
      <c r="S207" s="29"/>
      <c r="T207" s="1"/>
      <c r="U207" s="34"/>
      <c r="V207" s="34"/>
    </row>
    <row x14ac:dyDescent="0.25" r="208" customHeight="1" ht="15.75">
      <c r="A208" s="1"/>
      <c r="B208" s="34"/>
      <c r="C208" s="2"/>
      <c r="D208" s="34"/>
      <c r="E208" s="34"/>
      <c r="F208" s="34"/>
      <c r="G208" s="34"/>
      <c r="H208" s="29"/>
      <c r="I208" s="29"/>
      <c r="J208" s="6"/>
      <c r="K208" s="29"/>
      <c r="L208" s="29"/>
      <c r="M208" s="29"/>
      <c r="N208" s="29"/>
      <c r="O208" s="29"/>
      <c r="P208" s="29"/>
      <c r="Q208" s="29"/>
      <c r="R208" s="29"/>
      <c r="S208" s="29"/>
      <c r="T208" s="1"/>
      <c r="U208" s="34"/>
      <c r="V208" s="34"/>
    </row>
    <row x14ac:dyDescent="0.25" r="209" customHeight="1" ht="15.75">
      <c r="A209" s="1"/>
      <c r="B209" s="34"/>
      <c r="C209" s="2"/>
      <c r="D209" s="34"/>
      <c r="E209" s="34"/>
      <c r="F209" s="34"/>
      <c r="G209" s="34"/>
      <c r="H209" s="29"/>
      <c r="I209" s="29"/>
      <c r="J209" s="6"/>
      <c r="K209" s="29"/>
      <c r="L209" s="29"/>
      <c r="M209" s="29"/>
      <c r="N209" s="29"/>
      <c r="O209" s="29"/>
      <c r="P209" s="29"/>
      <c r="Q209" s="29"/>
      <c r="R209" s="29"/>
      <c r="S209" s="29"/>
      <c r="T209" s="1"/>
      <c r="U209" s="34"/>
      <c r="V209" s="34"/>
    </row>
    <row x14ac:dyDescent="0.25" r="210" customHeight="1" ht="15.75">
      <c r="A210" s="1"/>
      <c r="B210" s="34"/>
      <c r="C210" s="2"/>
      <c r="D210" s="34"/>
      <c r="E210" s="34"/>
      <c r="F210" s="34"/>
      <c r="G210" s="34"/>
      <c r="H210" s="29"/>
      <c r="I210" s="29"/>
      <c r="J210" s="6"/>
      <c r="K210" s="29"/>
      <c r="L210" s="29"/>
      <c r="M210" s="29"/>
      <c r="N210" s="29"/>
      <c r="O210" s="29"/>
      <c r="P210" s="29"/>
      <c r="Q210" s="29"/>
      <c r="R210" s="29"/>
      <c r="S210" s="29"/>
      <c r="T210" s="1"/>
      <c r="U210" s="34"/>
      <c r="V210" s="34"/>
    </row>
    <row x14ac:dyDescent="0.25" r="211" customHeight="1" ht="15.75">
      <c r="A211" s="1"/>
      <c r="B211" s="34"/>
      <c r="C211" s="2"/>
      <c r="D211" s="34"/>
      <c r="E211" s="34"/>
      <c r="F211" s="34"/>
      <c r="G211" s="34"/>
      <c r="H211" s="29"/>
      <c r="I211" s="29"/>
      <c r="J211" s="6"/>
      <c r="K211" s="29"/>
      <c r="L211" s="29"/>
      <c r="M211" s="29"/>
      <c r="N211" s="29"/>
      <c r="O211" s="29"/>
      <c r="P211" s="29"/>
      <c r="Q211" s="29"/>
      <c r="R211" s="29"/>
      <c r="S211" s="29"/>
      <c r="T211" s="1"/>
      <c r="U211" s="34"/>
      <c r="V211" s="34"/>
    </row>
    <row x14ac:dyDescent="0.25" r="212" customHeight="1" ht="15.75">
      <c r="A212" s="1"/>
      <c r="B212" s="34"/>
      <c r="C212" s="2"/>
      <c r="D212" s="34"/>
      <c r="E212" s="34"/>
      <c r="F212" s="34"/>
      <c r="G212" s="34"/>
      <c r="H212" s="29"/>
      <c r="I212" s="29"/>
      <c r="J212" s="6"/>
      <c r="K212" s="29"/>
      <c r="L212" s="29"/>
      <c r="M212" s="29"/>
      <c r="N212" s="29"/>
      <c r="O212" s="29"/>
      <c r="P212" s="29"/>
      <c r="Q212" s="29"/>
      <c r="R212" s="29"/>
      <c r="S212" s="29"/>
      <c r="T212" s="1"/>
      <c r="U212" s="34"/>
      <c r="V212" s="34"/>
    </row>
    <row x14ac:dyDescent="0.25" r="213" customHeight="1" ht="15.75">
      <c r="A213" s="1"/>
      <c r="B213" s="34"/>
      <c r="C213" s="2"/>
      <c r="D213" s="34"/>
      <c r="E213" s="34"/>
      <c r="F213" s="34"/>
      <c r="G213" s="34"/>
      <c r="H213" s="29"/>
      <c r="I213" s="29"/>
      <c r="J213" s="6"/>
      <c r="K213" s="29"/>
      <c r="L213" s="29"/>
      <c r="M213" s="29"/>
      <c r="N213" s="29"/>
      <c r="O213" s="29"/>
      <c r="P213" s="29"/>
      <c r="Q213" s="29"/>
      <c r="R213" s="29"/>
      <c r="S213" s="29"/>
      <c r="T213" s="1"/>
      <c r="U213" s="34"/>
      <c r="V213" s="34"/>
    </row>
    <row x14ac:dyDescent="0.25" r="214" customHeight="1" ht="15.75">
      <c r="A214" s="1"/>
      <c r="B214" s="34"/>
      <c r="C214" s="2"/>
      <c r="D214" s="34"/>
      <c r="E214" s="34"/>
      <c r="F214" s="34"/>
      <c r="G214" s="34"/>
      <c r="H214" s="29"/>
      <c r="I214" s="29"/>
      <c r="J214" s="6"/>
      <c r="K214" s="29"/>
      <c r="L214" s="29"/>
      <c r="M214" s="29"/>
      <c r="N214" s="29"/>
      <c r="O214" s="29"/>
      <c r="P214" s="29"/>
      <c r="Q214" s="29"/>
      <c r="R214" s="29"/>
      <c r="S214" s="29"/>
      <c r="T214" s="1"/>
      <c r="U214" s="34"/>
      <c r="V214" s="34"/>
    </row>
    <row x14ac:dyDescent="0.25" r="215" customHeight="1" ht="15.75">
      <c r="A215" s="1"/>
      <c r="B215" s="34"/>
      <c r="C215" s="2"/>
      <c r="D215" s="34"/>
      <c r="E215" s="34"/>
      <c r="F215" s="34"/>
      <c r="G215" s="34"/>
      <c r="H215" s="29"/>
      <c r="I215" s="29"/>
      <c r="J215" s="6"/>
      <c r="K215" s="29"/>
      <c r="L215" s="29"/>
      <c r="M215" s="29"/>
      <c r="N215" s="29"/>
      <c r="O215" s="29"/>
      <c r="P215" s="29"/>
      <c r="Q215" s="29"/>
      <c r="R215" s="29"/>
      <c r="S215" s="29"/>
      <c r="T215" s="1"/>
      <c r="U215" s="34"/>
      <c r="V215" s="34"/>
    </row>
    <row x14ac:dyDescent="0.25" r="216" customHeight="1" ht="15.75">
      <c r="A216" s="1"/>
      <c r="B216" s="34"/>
      <c r="C216" s="2"/>
      <c r="D216" s="34"/>
      <c r="E216" s="34"/>
      <c r="F216" s="34"/>
      <c r="G216" s="34"/>
      <c r="H216" s="29"/>
      <c r="I216" s="29"/>
      <c r="J216" s="6"/>
      <c r="K216" s="29"/>
      <c r="L216" s="29"/>
      <c r="M216" s="29"/>
      <c r="N216" s="29"/>
      <c r="O216" s="29"/>
      <c r="P216" s="29"/>
      <c r="Q216" s="29"/>
      <c r="R216" s="29"/>
      <c r="S216" s="29"/>
      <c r="T216" s="1"/>
      <c r="U216" s="34"/>
      <c r="V216" s="34"/>
    </row>
    <row x14ac:dyDescent="0.25" r="217" customHeight="1" ht="15.75">
      <c r="A217" s="1"/>
      <c r="B217" s="34"/>
      <c r="C217" s="2"/>
      <c r="D217" s="34"/>
      <c r="E217" s="34"/>
      <c r="F217" s="34"/>
      <c r="G217" s="34"/>
      <c r="H217" s="29"/>
      <c r="I217" s="29"/>
      <c r="J217" s="6"/>
      <c r="K217" s="29"/>
      <c r="L217" s="29"/>
      <c r="M217" s="29"/>
      <c r="N217" s="29"/>
      <c r="O217" s="29"/>
      <c r="P217" s="29"/>
      <c r="Q217" s="29"/>
      <c r="R217" s="29"/>
      <c r="S217" s="29"/>
      <c r="T217" s="1"/>
      <c r="U217" s="34"/>
      <c r="V217" s="34"/>
    </row>
    <row x14ac:dyDescent="0.25" r="218" customHeight="1" ht="15.75">
      <c r="A218" s="1"/>
      <c r="B218" s="34"/>
      <c r="C218" s="2"/>
      <c r="D218" s="34"/>
      <c r="E218" s="34"/>
      <c r="F218" s="34"/>
      <c r="G218" s="34"/>
      <c r="H218" s="29"/>
      <c r="I218" s="29"/>
      <c r="J218" s="6"/>
      <c r="K218" s="29"/>
      <c r="L218" s="29"/>
      <c r="M218" s="29"/>
      <c r="N218" s="29"/>
      <c r="O218" s="29"/>
      <c r="P218" s="29"/>
      <c r="Q218" s="29"/>
      <c r="R218" s="29"/>
      <c r="S218" s="29"/>
      <c r="T218" s="1"/>
      <c r="U218" s="34"/>
      <c r="V218" s="34"/>
    </row>
    <row x14ac:dyDescent="0.25" r="219" customHeight="1" ht="15.75">
      <c r="A219" s="1"/>
      <c r="B219" s="34"/>
      <c r="C219" s="2"/>
      <c r="D219" s="34"/>
      <c r="E219" s="34"/>
      <c r="F219" s="34"/>
      <c r="G219" s="34"/>
      <c r="H219" s="29"/>
      <c r="I219" s="29"/>
      <c r="J219" s="6"/>
      <c r="K219" s="29"/>
      <c r="L219" s="29"/>
      <c r="M219" s="29"/>
      <c r="N219" s="29"/>
      <c r="O219" s="29"/>
      <c r="P219" s="29"/>
      <c r="Q219" s="29"/>
      <c r="R219" s="29"/>
      <c r="S219" s="29"/>
      <c r="T219" s="1"/>
      <c r="U219" s="34"/>
      <c r="V219" s="34"/>
    </row>
    <row x14ac:dyDescent="0.25" r="220" customHeight="1" ht="15.75">
      <c r="A220" s="1"/>
      <c r="B220" s="34"/>
      <c r="C220" s="2"/>
      <c r="D220" s="34"/>
      <c r="E220" s="34"/>
      <c r="F220" s="34"/>
      <c r="G220" s="34"/>
      <c r="H220" s="29"/>
      <c r="I220" s="29"/>
      <c r="J220" s="6"/>
      <c r="K220" s="29"/>
      <c r="L220" s="29"/>
      <c r="M220" s="29"/>
      <c r="N220" s="29"/>
      <c r="O220" s="29"/>
      <c r="P220" s="29"/>
      <c r="Q220" s="29"/>
      <c r="R220" s="29"/>
      <c r="S220" s="29"/>
      <c r="T220" s="1"/>
      <c r="U220" s="34"/>
      <c r="V220" s="34"/>
    </row>
    <row x14ac:dyDescent="0.25" r="221" customHeight="1" ht="15.75">
      <c r="A221" s="1"/>
      <c r="B221" s="34"/>
      <c r="C221" s="2"/>
      <c r="D221" s="34"/>
      <c r="E221" s="34"/>
      <c r="F221" s="34"/>
      <c r="G221" s="34"/>
      <c r="H221" s="29"/>
      <c r="I221" s="29"/>
      <c r="J221" s="6"/>
      <c r="K221" s="29"/>
      <c r="L221" s="29"/>
      <c r="M221" s="29"/>
      <c r="N221" s="29"/>
      <c r="O221" s="29"/>
      <c r="P221" s="29"/>
      <c r="Q221" s="29"/>
      <c r="R221" s="29"/>
      <c r="S221" s="29"/>
      <c r="T221" s="1"/>
      <c r="U221" s="34"/>
      <c r="V221" s="34"/>
    </row>
    <row x14ac:dyDescent="0.25" r="222" customHeight="1" ht="15.75">
      <c r="A222" s="1"/>
      <c r="B222" s="34"/>
      <c r="C222" s="2"/>
      <c r="D222" s="34"/>
      <c r="E222" s="34"/>
      <c r="F222" s="34"/>
      <c r="G222" s="34"/>
      <c r="H222" s="29"/>
      <c r="I222" s="29"/>
      <c r="J222" s="6"/>
      <c r="K222" s="29"/>
      <c r="L222" s="29"/>
      <c r="M222" s="29"/>
      <c r="N222" s="29"/>
      <c r="O222" s="29"/>
      <c r="P222" s="29"/>
      <c r="Q222" s="29"/>
      <c r="R222" s="29"/>
      <c r="S222" s="29"/>
      <c r="T222" s="1"/>
      <c r="U222" s="34"/>
      <c r="V222" s="34"/>
    </row>
    <row x14ac:dyDescent="0.25" r="223" customHeight="1" ht="15.75">
      <c r="A223" s="1"/>
      <c r="B223" s="34"/>
      <c r="C223" s="2"/>
      <c r="D223" s="34"/>
      <c r="E223" s="34"/>
      <c r="F223" s="34"/>
      <c r="G223" s="34"/>
      <c r="H223" s="29"/>
      <c r="I223" s="29"/>
      <c r="J223" s="6"/>
      <c r="K223" s="29"/>
      <c r="L223" s="29"/>
      <c r="M223" s="29"/>
      <c r="N223" s="29"/>
      <c r="O223" s="29"/>
      <c r="P223" s="29"/>
      <c r="Q223" s="29"/>
      <c r="R223" s="29"/>
      <c r="S223" s="29"/>
      <c r="T223" s="1"/>
      <c r="U223" s="34"/>
      <c r="V223" s="34"/>
    </row>
    <row x14ac:dyDescent="0.25" r="224" customHeight="1" ht="15.75">
      <c r="A224" s="1"/>
      <c r="B224" s="34"/>
      <c r="C224" s="2"/>
      <c r="D224" s="34"/>
      <c r="E224" s="34"/>
      <c r="F224" s="34"/>
      <c r="G224" s="34"/>
      <c r="H224" s="29"/>
      <c r="I224" s="29"/>
      <c r="J224" s="6"/>
      <c r="K224" s="29"/>
      <c r="L224" s="29"/>
      <c r="M224" s="29"/>
      <c r="N224" s="29"/>
      <c r="O224" s="29"/>
      <c r="P224" s="29"/>
      <c r="Q224" s="29"/>
      <c r="R224" s="29"/>
      <c r="S224" s="29"/>
      <c r="T224" s="1"/>
      <c r="U224" s="34"/>
      <c r="V224" s="34"/>
    </row>
    <row x14ac:dyDescent="0.25" r="225" customHeight="1" ht="15.75">
      <c r="A225" s="1"/>
      <c r="B225" s="34"/>
      <c r="C225" s="2"/>
      <c r="D225" s="34"/>
      <c r="E225" s="34"/>
      <c r="F225" s="34"/>
      <c r="G225" s="34"/>
      <c r="H225" s="29"/>
      <c r="I225" s="29"/>
      <c r="J225" s="6"/>
      <c r="K225" s="29"/>
      <c r="L225" s="29"/>
      <c r="M225" s="29"/>
      <c r="N225" s="29"/>
      <c r="O225" s="29"/>
      <c r="P225" s="29"/>
      <c r="Q225" s="29"/>
      <c r="R225" s="29"/>
      <c r="S225" s="29"/>
      <c r="T225" s="1"/>
      <c r="U225" s="34"/>
      <c r="V225" s="34"/>
    </row>
    <row x14ac:dyDescent="0.25" r="226" customHeight="1" ht="15.75">
      <c r="A226" s="1"/>
      <c r="B226" s="34"/>
      <c r="C226" s="2"/>
      <c r="D226" s="34"/>
      <c r="E226" s="34"/>
      <c r="F226" s="34"/>
      <c r="G226" s="34"/>
      <c r="H226" s="29"/>
      <c r="I226" s="29"/>
      <c r="J226" s="6"/>
      <c r="K226" s="29"/>
      <c r="L226" s="29"/>
      <c r="M226" s="29"/>
      <c r="N226" s="29"/>
      <c r="O226" s="29"/>
      <c r="P226" s="29"/>
      <c r="Q226" s="29"/>
      <c r="R226" s="29"/>
      <c r="S226" s="29"/>
      <c r="T226" s="1"/>
      <c r="U226" s="34"/>
      <c r="V226" s="34"/>
    </row>
    <row x14ac:dyDescent="0.25" r="227" customHeight="1" ht="15.75">
      <c r="A227" s="1"/>
      <c r="B227" s="34"/>
      <c r="C227" s="2"/>
      <c r="D227" s="34"/>
      <c r="E227" s="34"/>
      <c r="F227" s="34"/>
      <c r="G227" s="34"/>
      <c r="H227" s="29"/>
      <c r="I227" s="29"/>
      <c r="J227" s="6"/>
      <c r="K227" s="29"/>
      <c r="L227" s="29"/>
      <c r="M227" s="29"/>
      <c r="N227" s="29"/>
      <c r="O227" s="29"/>
      <c r="P227" s="29"/>
      <c r="Q227" s="29"/>
      <c r="R227" s="29"/>
      <c r="S227" s="29"/>
      <c r="T227" s="1"/>
      <c r="U227" s="34"/>
      <c r="V227" s="34"/>
    </row>
    <row x14ac:dyDescent="0.25" r="228" customHeight="1" ht="15.75">
      <c r="A228" s="1"/>
      <c r="B228" s="34"/>
      <c r="C228" s="2"/>
      <c r="D228" s="34"/>
      <c r="E228" s="34"/>
      <c r="F228" s="34"/>
      <c r="G228" s="34"/>
      <c r="H228" s="29"/>
      <c r="I228" s="29"/>
      <c r="J228" s="6"/>
      <c r="K228" s="29"/>
      <c r="L228" s="29"/>
      <c r="M228" s="29"/>
      <c r="N228" s="29"/>
      <c r="O228" s="29"/>
      <c r="P228" s="29"/>
      <c r="Q228" s="29"/>
      <c r="R228" s="29"/>
      <c r="S228" s="29"/>
      <c r="T228" s="1"/>
      <c r="U228" s="34"/>
      <c r="V228" s="34"/>
    </row>
    <row x14ac:dyDescent="0.25" r="229" customHeight="1" ht="15.75">
      <c r="A229" s="1"/>
      <c r="B229" s="34"/>
      <c r="C229" s="2"/>
      <c r="D229" s="34"/>
      <c r="E229" s="34"/>
      <c r="F229" s="34"/>
      <c r="G229" s="34"/>
      <c r="H229" s="29"/>
      <c r="I229" s="29"/>
      <c r="J229" s="6"/>
      <c r="K229" s="29"/>
      <c r="L229" s="29"/>
      <c r="M229" s="29"/>
      <c r="N229" s="29"/>
      <c r="O229" s="29"/>
      <c r="P229" s="29"/>
      <c r="Q229" s="29"/>
      <c r="R229" s="29"/>
      <c r="S229" s="29"/>
      <c r="T229" s="1"/>
      <c r="U229" s="34"/>
      <c r="V229" s="34"/>
    </row>
    <row x14ac:dyDescent="0.25" r="230" customHeight="1" ht="15.75">
      <c r="A230" s="1"/>
      <c r="B230" s="34"/>
      <c r="C230" s="2"/>
      <c r="D230" s="34"/>
      <c r="E230" s="34"/>
      <c r="F230" s="34"/>
      <c r="G230" s="34"/>
      <c r="H230" s="29"/>
      <c r="I230" s="29"/>
      <c r="J230" s="6"/>
      <c r="K230" s="29"/>
      <c r="L230" s="29"/>
      <c r="M230" s="29"/>
      <c r="N230" s="29"/>
      <c r="O230" s="29"/>
      <c r="P230" s="29"/>
      <c r="Q230" s="29"/>
      <c r="R230" s="29"/>
      <c r="S230" s="29"/>
      <c r="T230" s="1"/>
      <c r="U230" s="34"/>
      <c r="V230" s="34"/>
    </row>
    <row x14ac:dyDescent="0.25" r="231" customHeight="1" ht="15.75">
      <c r="A231" s="1"/>
      <c r="B231" s="34"/>
      <c r="C231" s="2"/>
      <c r="D231" s="34"/>
      <c r="E231" s="34"/>
      <c r="F231" s="34"/>
      <c r="G231" s="34"/>
      <c r="H231" s="29"/>
      <c r="I231" s="29"/>
      <c r="J231" s="6"/>
      <c r="K231" s="29"/>
      <c r="L231" s="29"/>
      <c r="M231" s="29"/>
      <c r="N231" s="29"/>
      <c r="O231" s="29"/>
      <c r="P231" s="29"/>
      <c r="Q231" s="29"/>
      <c r="R231" s="29"/>
      <c r="S231" s="29"/>
      <c r="T231" s="1"/>
      <c r="U231" s="34"/>
      <c r="V231" s="34"/>
    </row>
    <row x14ac:dyDescent="0.25" r="232" customHeight="1" ht="15.75">
      <c r="A232" s="1"/>
      <c r="B232" s="34"/>
      <c r="C232" s="2"/>
      <c r="D232" s="34"/>
      <c r="E232" s="34"/>
      <c r="F232" s="34"/>
      <c r="G232" s="34"/>
      <c r="H232" s="29"/>
      <c r="I232" s="29"/>
      <c r="J232" s="6"/>
      <c r="K232" s="29"/>
      <c r="L232" s="29"/>
      <c r="M232" s="29"/>
      <c r="N232" s="29"/>
      <c r="O232" s="29"/>
      <c r="P232" s="29"/>
      <c r="Q232" s="29"/>
      <c r="R232" s="29"/>
      <c r="S232" s="29"/>
      <c r="T232" s="1"/>
      <c r="U232" s="34"/>
      <c r="V232" s="34"/>
    </row>
    <row x14ac:dyDescent="0.25" r="233" customHeight="1" ht="15.75">
      <c r="A233" s="1"/>
      <c r="B233" s="34"/>
      <c r="C233" s="2"/>
      <c r="D233" s="34"/>
      <c r="E233" s="34"/>
      <c r="F233" s="34"/>
      <c r="G233" s="34"/>
      <c r="H233" s="29"/>
      <c r="I233" s="29"/>
      <c r="J233" s="6"/>
      <c r="K233" s="29"/>
      <c r="L233" s="29"/>
      <c r="M233" s="29"/>
      <c r="N233" s="29"/>
      <c r="O233" s="29"/>
      <c r="P233" s="29"/>
      <c r="Q233" s="29"/>
      <c r="R233" s="29"/>
      <c r="S233" s="29"/>
      <c r="T233" s="1"/>
      <c r="U233" s="34"/>
      <c r="V233" s="34"/>
    </row>
    <row x14ac:dyDescent="0.25" r="234" customHeight="1" ht="15.75">
      <c r="A234" s="1"/>
      <c r="B234" s="34"/>
      <c r="C234" s="2"/>
      <c r="D234" s="34"/>
      <c r="E234" s="34"/>
      <c r="F234" s="34"/>
      <c r="G234" s="34"/>
      <c r="H234" s="29"/>
      <c r="I234" s="29"/>
      <c r="J234" s="6"/>
      <c r="K234" s="29"/>
      <c r="L234" s="29"/>
      <c r="M234" s="29"/>
      <c r="N234" s="29"/>
      <c r="O234" s="29"/>
      <c r="P234" s="29"/>
      <c r="Q234" s="29"/>
      <c r="R234" s="29"/>
      <c r="S234" s="29"/>
      <c r="T234" s="1"/>
      <c r="U234" s="34"/>
      <c r="V234" s="34"/>
    </row>
    <row x14ac:dyDescent="0.25" r="235" customHeight="1" ht="15.75">
      <c r="A235" s="1"/>
      <c r="B235" s="34"/>
      <c r="C235" s="2"/>
      <c r="D235" s="34"/>
      <c r="E235" s="34"/>
      <c r="F235" s="34"/>
      <c r="G235" s="34"/>
      <c r="H235" s="29"/>
      <c r="I235" s="29"/>
      <c r="J235" s="6"/>
      <c r="K235" s="29"/>
      <c r="L235" s="29"/>
      <c r="M235" s="29"/>
      <c r="N235" s="29"/>
      <c r="O235" s="29"/>
      <c r="P235" s="29"/>
      <c r="Q235" s="29"/>
      <c r="R235" s="29"/>
      <c r="S235" s="29"/>
      <c r="T235" s="1"/>
      <c r="U235" s="34"/>
      <c r="V235" s="34"/>
    </row>
    <row x14ac:dyDescent="0.25" r="236" customHeight="1" ht="15.75">
      <c r="A236" s="1"/>
      <c r="B236" s="34"/>
      <c r="C236" s="2"/>
      <c r="D236" s="34"/>
      <c r="E236" s="34"/>
      <c r="F236" s="34"/>
      <c r="G236" s="34"/>
      <c r="H236" s="29"/>
      <c r="I236" s="29"/>
      <c r="J236" s="6"/>
      <c r="K236" s="29"/>
      <c r="L236" s="29"/>
      <c r="M236" s="29"/>
      <c r="N236" s="29"/>
      <c r="O236" s="29"/>
      <c r="P236" s="29"/>
      <c r="Q236" s="29"/>
      <c r="R236" s="29"/>
      <c r="S236" s="29"/>
      <c r="T236" s="1"/>
      <c r="U236" s="34"/>
      <c r="V236" s="34"/>
    </row>
    <row x14ac:dyDescent="0.25" r="237" customHeight="1" ht="15.75">
      <c r="A237" s="1"/>
      <c r="B237" s="34"/>
      <c r="C237" s="2"/>
      <c r="D237" s="34"/>
      <c r="E237" s="34"/>
      <c r="F237" s="34"/>
      <c r="G237" s="34"/>
      <c r="H237" s="29"/>
      <c r="I237" s="29"/>
      <c r="J237" s="6"/>
      <c r="K237" s="29"/>
      <c r="L237" s="29"/>
      <c r="M237" s="29"/>
      <c r="N237" s="29"/>
      <c r="O237" s="29"/>
      <c r="P237" s="29"/>
      <c r="Q237" s="29"/>
      <c r="R237" s="29"/>
      <c r="S237" s="29"/>
      <c r="T237" s="1"/>
      <c r="U237" s="34"/>
      <c r="V237" s="34"/>
    </row>
    <row x14ac:dyDescent="0.25" r="238" customHeight="1" ht="15.75">
      <c r="A238" s="1"/>
      <c r="B238" s="34"/>
      <c r="C238" s="2"/>
      <c r="D238" s="34"/>
      <c r="E238" s="34"/>
      <c r="F238" s="34"/>
      <c r="G238" s="34"/>
      <c r="H238" s="29"/>
      <c r="I238" s="29"/>
      <c r="J238" s="6"/>
      <c r="K238" s="29"/>
      <c r="L238" s="29"/>
      <c r="M238" s="29"/>
      <c r="N238" s="29"/>
      <c r="O238" s="29"/>
      <c r="P238" s="29"/>
      <c r="Q238" s="29"/>
      <c r="R238" s="29"/>
      <c r="S238" s="29"/>
      <c r="T238" s="1"/>
      <c r="U238" s="34"/>
      <c r="V238" s="34"/>
    </row>
    <row x14ac:dyDescent="0.25" r="239" customHeight="1" ht="15.75">
      <c r="A239" s="1"/>
      <c r="B239" s="34"/>
      <c r="C239" s="2"/>
      <c r="D239" s="34"/>
      <c r="E239" s="34"/>
      <c r="F239" s="34"/>
      <c r="G239" s="34"/>
      <c r="H239" s="29"/>
      <c r="I239" s="29"/>
      <c r="J239" s="6"/>
      <c r="K239" s="29"/>
      <c r="L239" s="29"/>
      <c r="M239" s="29"/>
      <c r="N239" s="29"/>
      <c r="O239" s="29"/>
      <c r="P239" s="29"/>
      <c r="Q239" s="29"/>
      <c r="R239" s="29"/>
      <c r="S239" s="29"/>
      <c r="T239" s="1"/>
      <c r="U239" s="34"/>
      <c r="V239" s="34"/>
    </row>
    <row x14ac:dyDescent="0.25" r="240" customHeight="1" ht="15.75">
      <c r="A240" s="1"/>
      <c r="B240" s="34"/>
      <c r="C240" s="2"/>
      <c r="D240" s="34"/>
      <c r="E240" s="34"/>
      <c r="F240" s="34"/>
      <c r="G240" s="34"/>
      <c r="H240" s="29"/>
      <c r="I240" s="29"/>
      <c r="J240" s="6"/>
      <c r="K240" s="29"/>
      <c r="L240" s="29"/>
      <c r="M240" s="29"/>
      <c r="N240" s="29"/>
      <c r="O240" s="29"/>
      <c r="P240" s="29"/>
      <c r="Q240" s="29"/>
      <c r="R240" s="29"/>
      <c r="S240" s="29"/>
      <c r="T240" s="1"/>
      <c r="U240" s="34"/>
      <c r="V240" s="34"/>
    </row>
    <row x14ac:dyDescent="0.25" r="241" customHeight="1" ht="15.75">
      <c r="A241" s="1"/>
      <c r="B241" s="34"/>
      <c r="C241" s="2"/>
      <c r="D241" s="34"/>
      <c r="E241" s="34"/>
      <c r="F241" s="34"/>
      <c r="G241" s="34"/>
      <c r="H241" s="29"/>
      <c r="I241" s="29"/>
      <c r="J241" s="6"/>
      <c r="K241" s="29"/>
      <c r="L241" s="29"/>
      <c r="M241" s="29"/>
      <c r="N241" s="29"/>
      <c r="O241" s="29"/>
      <c r="P241" s="29"/>
      <c r="Q241" s="29"/>
      <c r="R241" s="29"/>
      <c r="S241" s="29"/>
      <c r="T241" s="1"/>
      <c r="U241" s="34"/>
      <c r="V241" s="34"/>
    </row>
    <row x14ac:dyDescent="0.25" r="242" customHeight="1" ht="15.75">
      <c r="A242" s="1"/>
      <c r="B242" s="34"/>
      <c r="C242" s="2"/>
      <c r="D242" s="34"/>
      <c r="E242" s="34"/>
      <c r="F242" s="34"/>
      <c r="G242" s="34"/>
      <c r="H242" s="29"/>
      <c r="I242" s="29"/>
      <c r="J242" s="6"/>
      <c r="K242" s="29"/>
      <c r="L242" s="29"/>
      <c r="M242" s="29"/>
      <c r="N242" s="29"/>
      <c r="O242" s="29"/>
      <c r="P242" s="29"/>
      <c r="Q242" s="29"/>
      <c r="R242" s="29"/>
      <c r="S242" s="29"/>
      <c r="T242" s="1"/>
      <c r="U242" s="34"/>
      <c r="V242" s="34"/>
    </row>
    <row x14ac:dyDescent="0.25" r="243" customHeight="1" ht="15.75">
      <c r="A243" s="1"/>
      <c r="B243" s="34"/>
      <c r="C243" s="2"/>
      <c r="D243" s="34"/>
      <c r="E243" s="34"/>
      <c r="F243" s="34"/>
      <c r="G243" s="34"/>
      <c r="H243" s="29"/>
      <c r="I243" s="29"/>
      <c r="J243" s="6"/>
      <c r="K243" s="29"/>
      <c r="L243" s="29"/>
      <c r="M243" s="29"/>
      <c r="N243" s="29"/>
      <c r="O243" s="29"/>
      <c r="P243" s="29"/>
      <c r="Q243" s="29"/>
      <c r="R243" s="29"/>
      <c r="S243" s="29"/>
      <c r="T243" s="1"/>
      <c r="U243" s="34"/>
      <c r="V243" s="34"/>
    </row>
    <row x14ac:dyDescent="0.25" r="244" customHeight="1" ht="15.75">
      <c r="A244" s="1"/>
      <c r="B244" s="34"/>
      <c r="C244" s="2"/>
      <c r="D244" s="34"/>
      <c r="E244" s="34"/>
      <c r="F244" s="34"/>
      <c r="G244" s="34"/>
      <c r="H244" s="29"/>
      <c r="I244" s="29"/>
      <c r="J244" s="6"/>
      <c r="K244" s="29"/>
      <c r="L244" s="29"/>
      <c r="M244" s="29"/>
      <c r="N244" s="29"/>
      <c r="O244" s="29"/>
      <c r="P244" s="29"/>
      <c r="Q244" s="29"/>
      <c r="R244" s="29"/>
      <c r="S244" s="29"/>
      <c r="T244" s="1"/>
      <c r="U244" s="34"/>
      <c r="V244" s="34"/>
    </row>
    <row x14ac:dyDescent="0.25" r="245" customHeight="1" ht="15.75">
      <c r="A245" s="1"/>
      <c r="B245" s="34"/>
      <c r="C245" s="2"/>
      <c r="D245" s="34"/>
      <c r="E245" s="34"/>
      <c r="F245" s="34"/>
      <c r="G245" s="34"/>
      <c r="H245" s="29"/>
      <c r="I245" s="29"/>
      <c r="J245" s="6"/>
      <c r="K245" s="29"/>
      <c r="L245" s="29"/>
      <c r="M245" s="29"/>
      <c r="N245" s="29"/>
      <c r="O245" s="29"/>
      <c r="P245" s="29"/>
      <c r="Q245" s="29"/>
      <c r="R245" s="29"/>
      <c r="S245" s="29"/>
      <c r="T245" s="1"/>
      <c r="U245" s="34"/>
      <c r="V245" s="34"/>
    </row>
    <row x14ac:dyDescent="0.25" r="246" customHeight="1" ht="15.75">
      <c r="A246" s="1"/>
      <c r="B246" s="34"/>
      <c r="C246" s="2"/>
      <c r="D246" s="34"/>
      <c r="E246" s="34"/>
      <c r="F246" s="34"/>
      <c r="G246" s="34"/>
      <c r="H246" s="29"/>
      <c r="I246" s="29"/>
      <c r="J246" s="6"/>
      <c r="K246" s="29"/>
      <c r="L246" s="29"/>
      <c r="M246" s="29"/>
      <c r="N246" s="29"/>
      <c r="O246" s="29"/>
      <c r="P246" s="29"/>
      <c r="Q246" s="29"/>
      <c r="R246" s="29"/>
      <c r="S246" s="29"/>
      <c r="T246" s="1"/>
      <c r="U246" s="34"/>
      <c r="V246" s="34"/>
    </row>
    <row x14ac:dyDescent="0.25" r="247" customHeight="1" ht="15.75">
      <c r="A247" s="1"/>
      <c r="B247" s="34"/>
      <c r="C247" s="2"/>
      <c r="D247" s="34"/>
      <c r="E247" s="34"/>
      <c r="F247" s="34"/>
      <c r="G247" s="34"/>
      <c r="H247" s="29"/>
      <c r="I247" s="29"/>
      <c r="J247" s="6"/>
      <c r="K247" s="29"/>
      <c r="L247" s="29"/>
      <c r="M247" s="29"/>
      <c r="N247" s="29"/>
      <c r="O247" s="29"/>
      <c r="P247" s="29"/>
      <c r="Q247" s="29"/>
      <c r="R247" s="29"/>
      <c r="S247" s="29"/>
      <c r="T247" s="1"/>
      <c r="U247" s="34"/>
      <c r="V247" s="34"/>
    </row>
    <row x14ac:dyDescent="0.25" r="248" customHeight="1" ht="15.75">
      <c r="A248" s="1"/>
      <c r="B248" s="34"/>
      <c r="C248" s="2"/>
      <c r="D248" s="34"/>
      <c r="E248" s="34"/>
      <c r="F248" s="34"/>
      <c r="G248" s="34"/>
      <c r="H248" s="29"/>
      <c r="I248" s="29"/>
      <c r="J248" s="6"/>
      <c r="K248" s="29"/>
      <c r="L248" s="29"/>
      <c r="M248" s="29"/>
      <c r="N248" s="29"/>
      <c r="O248" s="29"/>
      <c r="P248" s="29"/>
      <c r="Q248" s="29"/>
      <c r="R248" s="29"/>
      <c r="S248" s="29"/>
      <c r="T248" s="1"/>
      <c r="U248" s="34"/>
      <c r="V248" s="34"/>
    </row>
    <row x14ac:dyDescent="0.25" r="249" customHeight="1" ht="15.75">
      <c r="A249" s="1"/>
      <c r="B249" s="34"/>
      <c r="C249" s="2"/>
      <c r="D249" s="34"/>
      <c r="E249" s="34"/>
      <c r="F249" s="34"/>
      <c r="G249" s="34"/>
      <c r="H249" s="29"/>
      <c r="I249" s="29"/>
      <c r="J249" s="6"/>
      <c r="K249" s="29"/>
      <c r="L249" s="29"/>
      <c r="M249" s="29"/>
      <c r="N249" s="29"/>
      <c r="O249" s="29"/>
      <c r="P249" s="29"/>
      <c r="Q249" s="29"/>
      <c r="R249" s="29"/>
      <c r="S249" s="29"/>
      <c r="T249" s="1"/>
      <c r="U249" s="34"/>
      <c r="V249" s="34"/>
    </row>
    <row x14ac:dyDescent="0.25" r="250" customHeight="1" ht="15.75">
      <c r="A250" s="1"/>
      <c r="B250" s="34"/>
      <c r="C250" s="2"/>
      <c r="D250" s="34"/>
      <c r="E250" s="34"/>
      <c r="F250" s="34"/>
      <c r="G250" s="34"/>
      <c r="H250" s="29"/>
      <c r="I250" s="29"/>
      <c r="J250" s="6"/>
      <c r="K250" s="29"/>
      <c r="L250" s="29"/>
      <c r="M250" s="29"/>
      <c r="N250" s="29"/>
      <c r="O250" s="29"/>
      <c r="P250" s="29"/>
      <c r="Q250" s="29"/>
      <c r="R250" s="29"/>
      <c r="S250" s="29"/>
      <c r="T250" s="1"/>
      <c r="U250" s="34"/>
      <c r="V250" s="34"/>
    </row>
    <row x14ac:dyDescent="0.25" r="251" customHeight="1" ht="15.75">
      <c r="A251" s="1"/>
      <c r="B251" s="34"/>
      <c r="C251" s="2"/>
      <c r="D251" s="34"/>
      <c r="E251" s="34"/>
      <c r="F251" s="34"/>
      <c r="G251" s="34"/>
      <c r="H251" s="29"/>
      <c r="I251" s="29"/>
      <c r="J251" s="6"/>
      <c r="K251" s="29"/>
      <c r="L251" s="29"/>
      <c r="M251" s="29"/>
      <c r="N251" s="29"/>
      <c r="O251" s="29"/>
      <c r="P251" s="29"/>
      <c r="Q251" s="29"/>
      <c r="R251" s="29"/>
      <c r="S251" s="29"/>
      <c r="T251" s="1"/>
      <c r="U251" s="34"/>
      <c r="V251" s="34"/>
    </row>
    <row x14ac:dyDescent="0.25" r="252" customHeight="1" ht="15.75">
      <c r="A252" s="1"/>
      <c r="B252" s="34"/>
      <c r="C252" s="2"/>
      <c r="D252" s="34"/>
      <c r="E252" s="34"/>
      <c r="F252" s="34"/>
      <c r="G252" s="34"/>
      <c r="H252" s="29"/>
      <c r="I252" s="29"/>
      <c r="J252" s="6"/>
      <c r="K252" s="29"/>
      <c r="L252" s="29"/>
      <c r="M252" s="29"/>
      <c r="N252" s="29"/>
      <c r="O252" s="29"/>
      <c r="P252" s="29"/>
      <c r="Q252" s="29"/>
      <c r="R252" s="29"/>
      <c r="S252" s="29"/>
      <c r="T252" s="1"/>
      <c r="U252" s="34"/>
      <c r="V252" s="34"/>
    </row>
    <row x14ac:dyDescent="0.25" r="253" customHeight="1" ht="15.75">
      <c r="A253" s="1"/>
      <c r="B253" s="34"/>
      <c r="C253" s="2"/>
      <c r="D253" s="34"/>
      <c r="E253" s="34"/>
      <c r="F253" s="34"/>
      <c r="G253" s="34"/>
      <c r="H253" s="29"/>
      <c r="I253" s="29"/>
      <c r="J253" s="6"/>
      <c r="K253" s="29"/>
      <c r="L253" s="29"/>
      <c r="M253" s="29"/>
      <c r="N253" s="29"/>
      <c r="O253" s="29"/>
      <c r="P253" s="29"/>
      <c r="Q253" s="29"/>
      <c r="R253" s="29"/>
      <c r="S253" s="29"/>
      <c r="T253" s="1"/>
      <c r="U253" s="34"/>
      <c r="V253" s="34"/>
    </row>
    <row x14ac:dyDescent="0.25" r="254" customHeight="1" ht="15.75">
      <c r="A254" s="1"/>
      <c r="B254" s="34"/>
      <c r="C254" s="2"/>
      <c r="D254" s="34"/>
      <c r="E254" s="34"/>
      <c r="F254" s="34"/>
      <c r="G254" s="34"/>
      <c r="H254" s="29"/>
      <c r="I254" s="29"/>
      <c r="J254" s="6"/>
      <c r="K254" s="29"/>
      <c r="L254" s="29"/>
      <c r="M254" s="29"/>
      <c r="N254" s="29"/>
      <c r="O254" s="29"/>
      <c r="P254" s="29"/>
      <c r="Q254" s="29"/>
      <c r="R254" s="29"/>
      <c r="S254" s="29"/>
      <c r="T254" s="1"/>
      <c r="U254" s="34"/>
      <c r="V254" s="34"/>
    </row>
    <row x14ac:dyDescent="0.25" r="255" customHeight="1" ht="15.75">
      <c r="A255" s="1"/>
      <c r="B255" s="34"/>
      <c r="C255" s="2"/>
      <c r="D255" s="34"/>
      <c r="E255" s="34"/>
      <c r="F255" s="34"/>
      <c r="G255" s="34"/>
      <c r="H255" s="29"/>
      <c r="I255" s="29"/>
      <c r="J255" s="6"/>
      <c r="K255" s="29"/>
      <c r="L255" s="29"/>
      <c r="M255" s="29"/>
      <c r="N255" s="29"/>
      <c r="O255" s="29"/>
      <c r="P255" s="29"/>
      <c r="Q255" s="29"/>
      <c r="R255" s="29"/>
      <c r="S255" s="29"/>
      <c r="T255" s="1"/>
      <c r="U255" s="34"/>
      <c r="V255" s="34"/>
    </row>
    <row x14ac:dyDescent="0.25" r="256" customHeight="1" ht="15.75">
      <c r="A256" s="1"/>
      <c r="B256" s="34"/>
      <c r="C256" s="2"/>
      <c r="D256" s="34"/>
      <c r="E256" s="34"/>
      <c r="F256" s="34"/>
      <c r="G256" s="34"/>
      <c r="H256" s="29"/>
      <c r="I256" s="29"/>
      <c r="J256" s="6"/>
      <c r="K256" s="29"/>
      <c r="L256" s="29"/>
      <c r="M256" s="29"/>
      <c r="N256" s="29"/>
      <c r="O256" s="29"/>
      <c r="P256" s="29"/>
      <c r="Q256" s="29"/>
      <c r="R256" s="29"/>
      <c r="S256" s="29"/>
      <c r="T256" s="1"/>
      <c r="U256" s="34"/>
      <c r="V256" s="34"/>
    </row>
    <row x14ac:dyDescent="0.25" r="257" customHeight="1" ht="15.75">
      <c r="A257" s="1"/>
      <c r="B257" s="34"/>
      <c r="C257" s="2"/>
      <c r="D257" s="34"/>
      <c r="E257" s="34"/>
      <c r="F257" s="34"/>
      <c r="G257" s="34"/>
      <c r="H257" s="29"/>
      <c r="I257" s="29"/>
      <c r="J257" s="6"/>
      <c r="K257" s="29"/>
      <c r="L257" s="29"/>
      <c r="M257" s="29"/>
      <c r="N257" s="29"/>
      <c r="O257" s="29"/>
      <c r="P257" s="29"/>
      <c r="Q257" s="29"/>
      <c r="R257" s="29"/>
      <c r="S257" s="29"/>
      <c r="T257" s="1"/>
      <c r="U257" s="34"/>
      <c r="V257" s="34"/>
    </row>
    <row x14ac:dyDescent="0.25" r="258" customHeight="1" ht="15.75">
      <c r="A258" s="1"/>
      <c r="B258" s="34"/>
      <c r="C258" s="2"/>
      <c r="D258" s="34"/>
      <c r="E258" s="34"/>
      <c r="F258" s="34"/>
      <c r="G258" s="34"/>
      <c r="H258" s="29"/>
      <c r="I258" s="29"/>
      <c r="J258" s="6"/>
      <c r="K258" s="29"/>
      <c r="L258" s="29"/>
      <c r="M258" s="29"/>
      <c r="N258" s="29"/>
      <c r="O258" s="29"/>
      <c r="P258" s="29"/>
      <c r="Q258" s="29"/>
      <c r="R258" s="29"/>
      <c r="S258" s="29"/>
      <c r="T258" s="1"/>
      <c r="U258" s="34"/>
      <c r="V258" s="34"/>
    </row>
    <row x14ac:dyDescent="0.25" r="259" customHeight="1" ht="15.75">
      <c r="A259" s="1"/>
      <c r="B259" s="34"/>
      <c r="C259" s="2"/>
      <c r="D259" s="34"/>
      <c r="E259" s="34"/>
      <c r="F259" s="34"/>
      <c r="G259" s="34"/>
      <c r="H259" s="29"/>
      <c r="I259" s="29"/>
      <c r="J259" s="6"/>
      <c r="K259" s="29"/>
      <c r="L259" s="29"/>
      <c r="M259" s="29"/>
      <c r="N259" s="29"/>
      <c r="O259" s="29"/>
      <c r="P259" s="29"/>
      <c r="Q259" s="29"/>
      <c r="R259" s="29"/>
      <c r="S259" s="29"/>
      <c r="T259" s="1"/>
      <c r="U259" s="34"/>
      <c r="V259" s="34"/>
    </row>
    <row x14ac:dyDescent="0.25" r="260" customHeight="1" ht="15.75">
      <c r="A260" s="1"/>
      <c r="B260" s="34"/>
      <c r="C260" s="2"/>
      <c r="D260" s="34"/>
      <c r="E260" s="34"/>
      <c r="F260" s="34"/>
      <c r="G260" s="34"/>
      <c r="H260" s="29"/>
      <c r="I260" s="29"/>
      <c r="J260" s="6"/>
      <c r="K260" s="29"/>
      <c r="L260" s="29"/>
      <c r="M260" s="29"/>
      <c r="N260" s="29"/>
      <c r="O260" s="29"/>
      <c r="P260" s="29"/>
      <c r="Q260" s="29"/>
      <c r="R260" s="29"/>
      <c r="S260" s="29"/>
      <c r="T260" s="1"/>
      <c r="U260" s="34"/>
      <c r="V260" s="34"/>
    </row>
    <row x14ac:dyDescent="0.25" r="261" customHeight="1" ht="15.75">
      <c r="A261" s="1"/>
      <c r="B261" s="34"/>
      <c r="C261" s="2"/>
      <c r="D261" s="34"/>
      <c r="E261" s="34"/>
      <c r="F261" s="34"/>
      <c r="G261" s="34"/>
      <c r="H261" s="29"/>
      <c r="I261" s="29"/>
      <c r="J261" s="6"/>
      <c r="K261" s="29"/>
      <c r="L261" s="29"/>
      <c r="M261" s="29"/>
      <c r="N261" s="29"/>
      <c r="O261" s="29"/>
      <c r="P261" s="29"/>
      <c r="Q261" s="29"/>
      <c r="R261" s="29"/>
      <c r="S261" s="29"/>
      <c r="T261" s="1"/>
      <c r="U261" s="34"/>
      <c r="V261" s="34"/>
    </row>
    <row x14ac:dyDescent="0.25" r="262" customHeight="1" ht="15.75">
      <c r="A262" s="1"/>
      <c r="B262" s="34"/>
      <c r="C262" s="2"/>
      <c r="D262" s="34"/>
      <c r="E262" s="34"/>
      <c r="F262" s="34"/>
      <c r="G262" s="34"/>
      <c r="H262" s="29"/>
      <c r="I262" s="29"/>
      <c r="J262" s="6"/>
      <c r="K262" s="29"/>
      <c r="L262" s="29"/>
      <c r="M262" s="29"/>
      <c r="N262" s="29"/>
      <c r="O262" s="29"/>
      <c r="P262" s="29"/>
      <c r="Q262" s="29"/>
      <c r="R262" s="29"/>
      <c r="S262" s="29"/>
      <c r="T262" s="1"/>
      <c r="U262" s="34"/>
      <c r="V262" s="34"/>
    </row>
    <row x14ac:dyDescent="0.25" r="263" customHeight="1" ht="15.75">
      <c r="A263" s="1"/>
      <c r="B263" s="34"/>
      <c r="C263" s="2"/>
      <c r="D263" s="34"/>
      <c r="E263" s="34"/>
      <c r="F263" s="34"/>
      <c r="G263" s="34"/>
      <c r="H263" s="29"/>
      <c r="I263" s="29"/>
      <c r="J263" s="6"/>
      <c r="K263" s="29"/>
      <c r="L263" s="29"/>
      <c r="M263" s="29"/>
      <c r="N263" s="29"/>
      <c r="O263" s="29"/>
      <c r="P263" s="29"/>
      <c r="Q263" s="29"/>
      <c r="R263" s="29"/>
      <c r="S263" s="29"/>
      <c r="T263" s="1"/>
      <c r="U263" s="34"/>
      <c r="V263" s="34"/>
    </row>
    <row x14ac:dyDescent="0.25" r="264" customHeight="1" ht="15.75">
      <c r="A264" s="1"/>
      <c r="B264" s="34"/>
      <c r="C264" s="2"/>
      <c r="D264" s="34"/>
      <c r="E264" s="34"/>
      <c r="F264" s="34"/>
      <c r="G264" s="34"/>
      <c r="H264" s="29"/>
      <c r="I264" s="29"/>
      <c r="J264" s="6"/>
      <c r="K264" s="29"/>
      <c r="L264" s="29"/>
      <c r="M264" s="29"/>
      <c r="N264" s="29"/>
      <c r="O264" s="29"/>
      <c r="P264" s="29"/>
      <c r="Q264" s="29"/>
      <c r="R264" s="29"/>
      <c r="S264" s="29"/>
      <c r="T264" s="1"/>
      <c r="U264" s="34"/>
      <c r="V264" s="34"/>
    </row>
    <row x14ac:dyDescent="0.25" r="265" customHeight="1" ht="15.75">
      <c r="A265" s="1"/>
      <c r="B265" s="34"/>
      <c r="C265" s="2"/>
      <c r="D265" s="34"/>
      <c r="E265" s="34"/>
      <c r="F265" s="34"/>
      <c r="G265" s="34"/>
      <c r="H265" s="29"/>
      <c r="I265" s="29"/>
      <c r="J265" s="6"/>
      <c r="K265" s="29"/>
      <c r="L265" s="29"/>
      <c r="M265" s="29"/>
      <c r="N265" s="29"/>
      <c r="O265" s="29"/>
      <c r="P265" s="29"/>
      <c r="Q265" s="29"/>
      <c r="R265" s="29"/>
      <c r="S265" s="29"/>
      <c r="T265" s="1"/>
      <c r="U265" s="34"/>
      <c r="V265" s="34"/>
    </row>
    <row x14ac:dyDescent="0.25" r="266" customHeight="1" ht="15.75">
      <c r="A266" s="1"/>
      <c r="B266" s="34"/>
      <c r="C266" s="2"/>
      <c r="D266" s="34"/>
      <c r="E266" s="34"/>
      <c r="F266" s="34"/>
      <c r="G266" s="34"/>
      <c r="H266" s="29"/>
      <c r="I266" s="29"/>
      <c r="J266" s="6"/>
      <c r="K266" s="29"/>
      <c r="L266" s="29"/>
      <c r="M266" s="29"/>
      <c r="N266" s="29"/>
      <c r="O266" s="29"/>
      <c r="P266" s="29"/>
      <c r="Q266" s="29"/>
      <c r="R266" s="29"/>
      <c r="S266" s="29"/>
      <c r="T266" s="1"/>
      <c r="U266" s="34"/>
      <c r="V266" s="34"/>
    </row>
    <row x14ac:dyDescent="0.25" r="267" customHeight="1" ht="15.75">
      <c r="A267" s="1"/>
      <c r="B267" s="34"/>
      <c r="C267" s="2"/>
      <c r="D267" s="34"/>
      <c r="E267" s="34"/>
      <c r="F267" s="34"/>
      <c r="G267" s="34"/>
      <c r="H267" s="29"/>
      <c r="I267" s="29"/>
      <c r="J267" s="6"/>
      <c r="K267" s="29"/>
      <c r="L267" s="29"/>
      <c r="M267" s="29"/>
      <c r="N267" s="29"/>
      <c r="O267" s="29"/>
      <c r="P267" s="29"/>
      <c r="Q267" s="29"/>
      <c r="R267" s="29"/>
      <c r="S267" s="29"/>
      <c r="T267" s="1"/>
      <c r="U267" s="34"/>
      <c r="V267" s="34"/>
    </row>
    <row x14ac:dyDescent="0.25" r="268" customHeight="1" ht="15.75">
      <c r="A268" s="1"/>
      <c r="B268" s="34"/>
      <c r="C268" s="2"/>
      <c r="D268" s="34"/>
      <c r="E268" s="34"/>
      <c r="F268" s="34"/>
      <c r="G268" s="34"/>
      <c r="H268" s="29"/>
      <c r="I268" s="29"/>
      <c r="J268" s="6"/>
      <c r="K268" s="29"/>
      <c r="L268" s="29"/>
      <c r="M268" s="29"/>
      <c r="N268" s="29"/>
      <c r="O268" s="29"/>
      <c r="P268" s="29"/>
      <c r="Q268" s="29"/>
      <c r="R268" s="29"/>
      <c r="S268" s="29"/>
      <c r="T268" s="1"/>
      <c r="U268" s="34"/>
      <c r="V268" s="34"/>
    </row>
    <row x14ac:dyDescent="0.25" r="269" customHeight="1" ht="15.75">
      <c r="A269" s="1"/>
      <c r="B269" s="34"/>
      <c r="C269" s="2"/>
      <c r="D269" s="34"/>
      <c r="E269" s="34"/>
      <c r="F269" s="34"/>
      <c r="G269" s="34"/>
      <c r="H269" s="29"/>
      <c r="I269" s="29"/>
      <c r="J269" s="6"/>
      <c r="K269" s="29"/>
      <c r="L269" s="29"/>
      <c r="M269" s="29"/>
      <c r="N269" s="29"/>
      <c r="O269" s="29"/>
      <c r="P269" s="29"/>
      <c r="Q269" s="29"/>
      <c r="R269" s="29"/>
      <c r="S269" s="29"/>
      <c r="T269" s="1"/>
      <c r="U269" s="34"/>
      <c r="V269" s="34"/>
    </row>
    <row x14ac:dyDescent="0.25" r="270" customHeight="1" ht="15.75">
      <c r="A270" s="1"/>
      <c r="B270" s="34"/>
      <c r="C270" s="2"/>
      <c r="D270" s="34"/>
      <c r="E270" s="34"/>
      <c r="F270" s="34"/>
      <c r="G270" s="34"/>
      <c r="H270" s="29"/>
      <c r="I270" s="29"/>
      <c r="J270" s="6"/>
      <c r="K270" s="29"/>
      <c r="L270" s="29"/>
      <c r="M270" s="29"/>
      <c r="N270" s="29"/>
      <c r="O270" s="29"/>
      <c r="P270" s="29"/>
      <c r="Q270" s="29"/>
      <c r="R270" s="29"/>
      <c r="S270" s="29"/>
      <c r="T270" s="1"/>
      <c r="U270" s="34"/>
      <c r="V270" s="34"/>
    </row>
    <row x14ac:dyDescent="0.25" r="271" customHeight="1" ht="15.75">
      <c r="A271" s="1"/>
      <c r="B271" s="34"/>
      <c r="C271" s="2"/>
      <c r="D271" s="34"/>
      <c r="E271" s="34"/>
      <c r="F271" s="34"/>
      <c r="G271" s="34"/>
      <c r="H271" s="29"/>
      <c r="I271" s="29"/>
      <c r="J271" s="6"/>
      <c r="K271" s="29"/>
      <c r="L271" s="29"/>
      <c r="M271" s="29"/>
      <c r="N271" s="29"/>
      <c r="O271" s="29"/>
      <c r="P271" s="29"/>
      <c r="Q271" s="29"/>
      <c r="R271" s="29"/>
      <c r="S271" s="29"/>
      <c r="T271" s="1"/>
      <c r="U271" s="34"/>
      <c r="V271" s="34"/>
    </row>
    <row x14ac:dyDescent="0.25" r="272" customHeight="1" ht="15.75">
      <c r="A272" s="1"/>
      <c r="B272" s="34"/>
      <c r="C272" s="2"/>
      <c r="D272" s="34"/>
      <c r="E272" s="34"/>
      <c r="F272" s="34"/>
      <c r="G272" s="34"/>
      <c r="H272" s="29"/>
      <c r="I272" s="29"/>
      <c r="J272" s="6"/>
      <c r="K272" s="29"/>
      <c r="L272" s="29"/>
      <c r="M272" s="29"/>
      <c r="N272" s="29"/>
      <c r="O272" s="29"/>
      <c r="P272" s="29"/>
      <c r="Q272" s="29"/>
      <c r="R272" s="29"/>
      <c r="S272" s="29"/>
      <c r="T272" s="1"/>
      <c r="U272" s="34"/>
      <c r="V272" s="34"/>
    </row>
    <row x14ac:dyDescent="0.25" r="273" customHeight="1" ht="15.75">
      <c r="A273" s="1"/>
      <c r="B273" s="34"/>
      <c r="C273" s="2"/>
      <c r="D273" s="34"/>
      <c r="E273" s="34"/>
      <c r="F273" s="34"/>
      <c r="G273" s="34"/>
      <c r="H273" s="29"/>
      <c r="I273" s="29"/>
      <c r="J273" s="6"/>
      <c r="K273" s="29"/>
      <c r="L273" s="29"/>
      <c r="M273" s="29"/>
      <c r="N273" s="29"/>
      <c r="O273" s="29"/>
      <c r="P273" s="29"/>
      <c r="Q273" s="29"/>
      <c r="R273" s="29"/>
      <c r="S273" s="29"/>
      <c r="T273" s="1"/>
      <c r="U273" s="34"/>
      <c r="V273" s="34"/>
    </row>
    <row x14ac:dyDescent="0.25" r="274" customHeight="1" ht="15.75">
      <c r="A274" s="1"/>
      <c r="B274" s="34"/>
      <c r="C274" s="2"/>
      <c r="D274" s="34"/>
      <c r="E274" s="34"/>
      <c r="F274" s="34"/>
      <c r="G274" s="34"/>
      <c r="H274" s="29"/>
      <c r="I274" s="29"/>
      <c r="J274" s="6"/>
      <c r="K274" s="29"/>
      <c r="L274" s="29"/>
      <c r="M274" s="29"/>
      <c r="N274" s="29"/>
      <c r="O274" s="29"/>
      <c r="P274" s="29"/>
      <c r="Q274" s="29"/>
      <c r="R274" s="29"/>
      <c r="S274" s="29"/>
      <c r="T274" s="1"/>
      <c r="U274" s="34"/>
      <c r="V274" s="34"/>
    </row>
    <row x14ac:dyDescent="0.25" r="275" customHeight="1" ht="15.75">
      <c r="A275" s="1"/>
      <c r="B275" s="34"/>
      <c r="C275" s="2"/>
      <c r="D275" s="34"/>
      <c r="E275" s="34"/>
      <c r="F275" s="34"/>
      <c r="G275" s="34"/>
      <c r="H275" s="29"/>
      <c r="I275" s="29"/>
      <c r="J275" s="6"/>
      <c r="K275" s="29"/>
      <c r="L275" s="29"/>
      <c r="M275" s="29"/>
      <c r="N275" s="29"/>
      <c r="O275" s="29"/>
      <c r="P275" s="29"/>
      <c r="Q275" s="29"/>
      <c r="R275" s="29"/>
      <c r="S275" s="29"/>
      <c r="T275" s="1"/>
      <c r="U275" s="34"/>
      <c r="V275" s="34"/>
    </row>
    <row x14ac:dyDescent="0.25" r="276" customHeight="1" ht="15.75">
      <c r="A276" s="1"/>
      <c r="B276" s="34"/>
      <c r="C276" s="2"/>
      <c r="D276" s="34"/>
      <c r="E276" s="34"/>
      <c r="F276" s="34"/>
      <c r="G276" s="34"/>
      <c r="H276" s="29"/>
      <c r="I276" s="29"/>
      <c r="J276" s="6"/>
      <c r="K276" s="29"/>
      <c r="L276" s="29"/>
      <c r="M276" s="29"/>
      <c r="N276" s="29"/>
      <c r="O276" s="29"/>
      <c r="P276" s="29"/>
      <c r="Q276" s="29"/>
      <c r="R276" s="29"/>
      <c r="S276" s="29"/>
      <c r="T276" s="1"/>
      <c r="U276" s="34"/>
      <c r="V276" s="34"/>
    </row>
    <row x14ac:dyDescent="0.25" r="277" customHeight="1" ht="15.75">
      <c r="A277" s="1"/>
      <c r="B277" s="34"/>
      <c r="C277" s="2"/>
      <c r="D277" s="34"/>
      <c r="E277" s="34"/>
      <c r="F277" s="34"/>
      <c r="G277" s="34"/>
      <c r="H277" s="29"/>
      <c r="I277" s="29"/>
      <c r="J277" s="6"/>
      <c r="K277" s="29"/>
      <c r="L277" s="29"/>
      <c r="M277" s="29"/>
      <c r="N277" s="29"/>
      <c r="O277" s="29"/>
      <c r="P277" s="29"/>
      <c r="Q277" s="29"/>
      <c r="R277" s="29"/>
      <c r="S277" s="29"/>
      <c r="T277" s="1"/>
      <c r="U277" s="34"/>
      <c r="V277" s="34"/>
    </row>
    <row x14ac:dyDescent="0.25" r="278" customHeight="1" ht="15.75">
      <c r="A278" s="1"/>
      <c r="B278" s="34"/>
      <c r="C278" s="2"/>
      <c r="D278" s="34"/>
      <c r="E278" s="34"/>
      <c r="F278" s="34"/>
      <c r="G278" s="34"/>
      <c r="H278" s="29"/>
      <c r="I278" s="29"/>
      <c r="J278" s="6"/>
      <c r="K278" s="29"/>
      <c r="L278" s="29"/>
      <c r="M278" s="29"/>
      <c r="N278" s="29"/>
      <c r="O278" s="29"/>
      <c r="P278" s="29"/>
      <c r="Q278" s="29"/>
      <c r="R278" s="29"/>
      <c r="S278" s="29"/>
      <c r="T278" s="1"/>
      <c r="U278" s="34"/>
      <c r="V278" s="34"/>
    </row>
    <row x14ac:dyDescent="0.25" r="279" customHeight="1" ht="15.75">
      <c r="A279" s="1"/>
      <c r="B279" s="34"/>
      <c r="C279" s="2"/>
      <c r="D279" s="34"/>
      <c r="E279" s="34"/>
      <c r="F279" s="34"/>
      <c r="G279" s="34"/>
      <c r="H279" s="29"/>
      <c r="I279" s="29"/>
      <c r="J279" s="6"/>
      <c r="K279" s="29"/>
      <c r="L279" s="29"/>
      <c r="M279" s="29"/>
      <c r="N279" s="29"/>
      <c r="O279" s="29"/>
      <c r="P279" s="29"/>
      <c r="Q279" s="29"/>
      <c r="R279" s="29"/>
      <c r="S279" s="29"/>
      <c r="T279" s="1"/>
      <c r="U279" s="34"/>
      <c r="V279" s="34"/>
    </row>
    <row x14ac:dyDescent="0.25" r="280" customHeight="1" ht="15.75">
      <c r="A280" s="1"/>
      <c r="B280" s="34"/>
      <c r="C280" s="2"/>
      <c r="D280" s="34"/>
      <c r="E280" s="34"/>
      <c r="F280" s="34"/>
      <c r="G280" s="34"/>
      <c r="H280" s="29"/>
      <c r="I280" s="29"/>
      <c r="J280" s="6"/>
      <c r="K280" s="29"/>
      <c r="L280" s="29"/>
      <c r="M280" s="29"/>
      <c r="N280" s="29"/>
      <c r="O280" s="29"/>
      <c r="P280" s="29"/>
      <c r="Q280" s="29"/>
      <c r="R280" s="29"/>
      <c r="S280" s="29"/>
      <c r="T280" s="1"/>
      <c r="U280" s="34"/>
      <c r="V280" s="34"/>
    </row>
    <row x14ac:dyDescent="0.25" r="281" customHeight="1" ht="15.75">
      <c r="A281" s="1"/>
      <c r="B281" s="34"/>
      <c r="C281" s="2"/>
      <c r="D281" s="34"/>
      <c r="E281" s="34"/>
      <c r="F281" s="34"/>
      <c r="G281" s="34"/>
      <c r="H281" s="29"/>
      <c r="I281" s="29"/>
      <c r="J281" s="6"/>
      <c r="K281" s="29"/>
      <c r="L281" s="29"/>
      <c r="M281" s="29"/>
      <c r="N281" s="29"/>
      <c r="O281" s="29"/>
      <c r="P281" s="29"/>
      <c r="Q281" s="29"/>
      <c r="R281" s="29"/>
      <c r="S281" s="29"/>
      <c r="T281" s="1"/>
      <c r="U281" s="34"/>
      <c r="V281" s="34"/>
    </row>
    <row x14ac:dyDescent="0.25" r="282" customHeight="1" ht="15.75">
      <c r="A282" s="1"/>
      <c r="B282" s="34"/>
      <c r="C282" s="2"/>
      <c r="D282" s="34"/>
      <c r="E282" s="34"/>
      <c r="F282" s="34"/>
      <c r="G282" s="34"/>
      <c r="H282" s="29"/>
      <c r="I282" s="29"/>
      <c r="J282" s="6"/>
      <c r="K282" s="29"/>
      <c r="L282" s="29"/>
      <c r="M282" s="29"/>
      <c r="N282" s="29"/>
      <c r="O282" s="29"/>
      <c r="P282" s="29"/>
      <c r="Q282" s="29"/>
      <c r="R282" s="29"/>
      <c r="S282" s="29"/>
      <c r="T282" s="1"/>
      <c r="U282" s="34"/>
      <c r="V282" s="34"/>
    </row>
    <row x14ac:dyDescent="0.25" r="283" customHeight="1" ht="15.75">
      <c r="A283" s="1"/>
      <c r="B283" s="34"/>
      <c r="C283" s="2"/>
      <c r="D283" s="34"/>
      <c r="E283" s="34"/>
      <c r="F283" s="34"/>
      <c r="G283" s="34"/>
      <c r="H283" s="29"/>
      <c r="I283" s="29"/>
      <c r="J283" s="6"/>
      <c r="K283" s="29"/>
      <c r="L283" s="29"/>
      <c r="M283" s="29"/>
      <c r="N283" s="29"/>
      <c r="O283" s="29"/>
      <c r="P283" s="29"/>
      <c r="Q283" s="29"/>
      <c r="R283" s="29"/>
      <c r="S283" s="29"/>
      <c r="T283" s="1"/>
      <c r="U283" s="34"/>
      <c r="V283" s="34"/>
    </row>
    <row x14ac:dyDescent="0.25" r="284" customHeight="1" ht="15.75">
      <c r="A284" s="1"/>
      <c r="B284" s="34"/>
      <c r="C284" s="2"/>
      <c r="D284" s="34"/>
      <c r="E284" s="34"/>
      <c r="F284" s="34"/>
      <c r="G284" s="34"/>
      <c r="H284" s="29"/>
      <c r="I284" s="29"/>
      <c r="J284" s="6"/>
      <c r="K284" s="29"/>
      <c r="L284" s="29"/>
      <c r="M284" s="29"/>
      <c r="N284" s="29"/>
      <c r="O284" s="29"/>
      <c r="P284" s="29"/>
      <c r="Q284" s="29"/>
      <c r="R284" s="29"/>
      <c r="S284" s="29"/>
      <c r="T284" s="1"/>
      <c r="U284" s="34"/>
      <c r="V284" s="34"/>
    </row>
    <row x14ac:dyDescent="0.25" r="285" customHeight="1" ht="15.75">
      <c r="A285" s="1"/>
      <c r="B285" s="34"/>
      <c r="C285" s="2"/>
      <c r="D285" s="34"/>
      <c r="E285" s="34"/>
      <c r="F285" s="34"/>
      <c r="G285" s="34"/>
      <c r="H285" s="29"/>
      <c r="I285" s="29"/>
      <c r="J285" s="6"/>
      <c r="K285" s="29"/>
      <c r="L285" s="29"/>
      <c r="M285" s="29"/>
      <c r="N285" s="29"/>
      <c r="O285" s="29"/>
      <c r="P285" s="29"/>
      <c r="Q285" s="29"/>
      <c r="R285" s="29"/>
      <c r="S285" s="29"/>
      <c r="T285" s="1"/>
      <c r="U285" s="34"/>
      <c r="V285" s="34"/>
    </row>
    <row x14ac:dyDescent="0.25" r="286" customHeight="1" ht="15.75">
      <c r="A286" s="1"/>
      <c r="B286" s="34"/>
      <c r="C286" s="2"/>
      <c r="D286" s="34"/>
      <c r="E286" s="34"/>
      <c r="F286" s="34"/>
      <c r="G286" s="34"/>
      <c r="H286" s="29"/>
      <c r="I286" s="29"/>
      <c r="J286" s="6"/>
      <c r="K286" s="29"/>
      <c r="L286" s="29"/>
      <c r="M286" s="29"/>
      <c r="N286" s="29"/>
      <c r="O286" s="29"/>
      <c r="P286" s="29"/>
      <c r="Q286" s="29"/>
      <c r="R286" s="29"/>
      <c r="S286" s="29"/>
      <c r="T286" s="1"/>
      <c r="U286" s="34"/>
      <c r="V286" s="34"/>
    </row>
    <row x14ac:dyDescent="0.25" r="287" customHeight="1" ht="15.75">
      <c r="A287" s="1"/>
      <c r="B287" s="34"/>
      <c r="C287" s="2"/>
      <c r="D287" s="34"/>
      <c r="E287" s="34"/>
      <c r="F287" s="34"/>
      <c r="G287" s="34"/>
      <c r="H287" s="29"/>
      <c r="I287" s="29"/>
      <c r="J287" s="6"/>
      <c r="K287" s="29"/>
      <c r="L287" s="29"/>
      <c r="M287" s="29"/>
      <c r="N287" s="29"/>
      <c r="O287" s="29"/>
      <c r="P287" s="29"/>
      <c r="Q287" s="29"/>
      <c r="R287" s="29"/>
      <c r="S287" s="29"/>
      <c r="T287" s="1"/>
      <c r="U287" s="34"/>
      <c r="V287" s="34"/>
    </row>
    <row x14ac:dyDescent="0.25" r="288" customHeight="1" ht="15.75">
      <c r="A288" s="1"/>
      <c r="B288" s="34"/>
      <c r="C288" s="2"/>
      <c r="D288" s="34"/>
      <c r="E288" s="34"/>
      <c r="F288" s="34"/>
      <c r="G288" s="34"/>
      <c r="H288" s="29"/>
      <c r="I288" s="29"/>
      <c r="J288" s="6"/>
      <c r="K288" s="29"/>
      <c r="L288" s="29"/>
      <c r="M288" s="29"/>
      <c r="N288" s="29"/>
      <c r="O288" s="29"/>
      <c r="P288" s="29"/>
      <c r="Q288" s="29"/>
      <c r="R288" s="29"/>
      <c r="S288" s="29"/>
      <c r="T288" s="1"/>
      <c r="U288" s="34"/>
      <c r="V288" s="34"/>
    </row>
    <row x14ac:dyDescent="0.25" r="289" customHeight="1" ht="15.75">
      <c r="A289" s="1"/>
      <c r="B289" s="34"/>
      <c r="C289" s="2"/>
      <c r="D289" s="34"/>
      <c r="E289" s="34"/>
      <c r="F289" s="34"/>
      <c r="G289" s="34"/>
      <c r="H289" s="29"/>
      <c r="I289" s="29"/>
      <c r="J289" s="6"/>
      <c r="K289" s="29"/>
      <c r="L289" s="29"/>
      <c r="M289" s="29"/>
      <c r="N289" s="29"/>
      <c r="O289" s="29"/>
      <c r="P289" s="29"/>
      <c r="Q289" s="29"/>
      <c r="R289" s="29"/>
      <c r="S289" s="29"/>
      <c r="T289" s="1"/>
      <c r="U289" s="34"/>
      <c r="V289" s="34"/>
    </row>
    <row x14ac:dyDescent="0.25" r="290" customHeight="1" ht="15.75">
      <c r="A290" s="1"/>
      <c r="B290" s="34"/>
      <c r="C290" s="2"/>
      <c r="D290" s="34"/>
      <c r="E290" s="34"/>
      <c r="F290" s="34"/>
      <c r="G290" s="34"/>
      <c r="H290" s="29"/>
      <c r="I290" s="29"/>
      <c r="J290" s="6"/>
      <c r="K290" s="29"/>
      <c r="L290" s="29"/>
      <c r="M290" s="29"/>
      <c r="N290" s="29"/>
      <c r="O290" s="29"/>
      <c r="P290" s="29"/>
      <c r="Q290" s="29"/>
      <c r="R290" s="29"/>
      <c r="S290" s="29"/>
      <c r="T290" s="1"/>
      <c r="U290" s="34"/>
      <c r="V290" s="34"/>
    </row>
    <row x14ac:dyDescent="0.25" r="291" customHeight="1" ht="15.75">
      <c r="A291" s="1"/>
      <c r="B291" s="34"/>
      <c r="C291" s="2"/>
      <c r="D291" s="34"/>
      <c r="E291" s="34"/>
      <c r="F291" s="34"/>
      <c r="G291" s="34"/>
      <c r="H291" s="29"/>
      <c r="I291" s="29"/>
      <c r="J291" s="6"/>
      <c r="K291" s="29"/>
      <c r="L291" s="29"/>
      <c r="M291" s="29"/>
      <c r="N291" s="29"/>
      <c r="O291" s="29"/>
      <c r="P291" s="29"/>
      <c r="Q291" s="29"/>
      <c r="R291" s="29"/>
      <c r="S291" s="29"/>
      <c r="T291" s="1"/>
      <c r="U291" s="34"/>
      <c r="V291" s="34"/>
    </row>
    <row x14ac:dyDescent="0.25" r="292" customHeight="1" ht="15.75">
      <c r="A292" s="1"/>
      <c r="B292" s="34"/>
      <c r="C292" s="2"/>
      <c r="D292" s="34"/>
      <c r="E292" s="34"/>
      <c r="F292" s="34"/>
      <c r="G292" s="34"/>
      <c r="H292" s="29"/>
      <c r="I292" s="29"/>
      <c r="J292" s="6"/>
      <c r="K292" s="29"/>
      <c r="L292" s="29"/>
      <c r="M292" s="29"/>
      <c r="N292" s="29"/>
      <c r="O292" s="29"/>
      <c r="P292" s="29"/>
      <c r="Q292" s="29"/>
      <c r="R292" s="29"/>
      <c r="S292" s="29"/>
      <c r="T292" s="1"/>
      <c r="U292" s="34"/>
      <c r="V292" s="34"/>
    </row>
    <row x14ac:dyDescent="0.25" r="293" customHeight="1" ht="15.75">
      <c r="A293" s="1"/>
      <c r="B293" s="34"/>
      <c r="C293" s="2"/>
      <c r="D293" s="34"/>
      <c r="E293" s="34"/>
      <c r="F293" s="34"/>
      <c r="G293" s="34"/>
      <c r="H293" s="29"/>
      <c r="I293" s="29"/>
      <c r="J293" s="6"/>
      <c r="K293" s="29"/>
      <c r="L293" s="29"/>
      <c r="M293" s="29"/>
      <c r="N293" s="29"/>
      <c r="O293" s="29"/>
      <c r="P293" s="29"/>
      <c r="Q293" s="29"/>
      <c r="R293" s="29"/>
      <c r="S293" s="29"/>
      <c r="T293" s="1"/>
      <c r="U293" s="34"/>
      <c r="V293" s="34"/>
    </row>
    <row x14ac:dyDescent="0.25" r="294" customHeight="1" ht="15.75">
      <c r="A294" s="1"/>
      <c r="B294" s="34"/>
      <c r="C294" s="2"/>
      <c r="D294" s="34"/>
      <c r="E294" s="34"/>
      <c r="F294" s="34"/>
      <c r="G294" s="34"/>
      <c r="H294" s="29"/>
      <c r="I294" s="29"/>
      <c r="J294" s="6"/>
      <c r="K294" s="29"/>
      <c r="L294" s="29"/>
      <c r="M294" s="29"/>
      <c r="N294" s="29"/>
      <c r="O294" s="29"/>
      <c r="P294" s="29"/>
      <c r="Q294" s="29"/>
      <c r="R294" s="29"/>
      <c r="S294" s="29"/>
      <c r="T294" s="1"/>
      <c r="U294" s="34"/>
      <c r="V294" s="34"/>
    </row>
    <row x14ac:dyDescent="0.25" r="295" customHeight="1" ht="15.75">
      <c r="A295" s="1"/>
      <c r="B295" s="34"/>
      <c r="C295" s="2"/>
      <c r="D295" s="34"/>
      <c r="E295" s="34"/>
      <c r="F295" s="34"/>
      <c r="G295" s="34"/>
      <c r="H295" s="29"/>
      <c r="I295" s="29"/>
      <c r="J295" s="6"/>
      <c r="K295" s="29"/>
      <c r="L295" s="29"/>
      <c r="M295" s="29"/>
      <c r="N295" s="29"/>
      <c r="O295" s="29"/>
      <c r="P295" s="29"/>
      <c r="Q295" s="29"/>
      <c r="R295" s="29"/>
      <c r="S295" s="29"/>
      <c r="T295" s="1"/>
      <c r="U295" s="34"/>
      <c r="V295" s="34"/>
    </row>
    <row x14ac:dyDescent="0.25" r="296" customHeight="1" ht="15.75">
      <c r="A296" s="1"/>
      <c r="B296" s="34"/>
      <c r="C296" s="2"/>
      <c r="D296" s="34"/>
      <c r="E296" s="34"/>
      <c r="F296" s="34"/>
      <c r="G296" s="34"/>
      <c r="H296" s="29"/>
      <c r="I296" s="29"/>
      <c r="J296" s="6"/>
      <c r="K296" s="29"/>
      <c r="L296" s="29"/>
      <c r="M296" s="29"/>
      <c r="N296" s="29"/>
      <c r="O296" s="29"/>
      <c r="P296" s="29"/>
      <c r="Q296" s="29"/>
      <c r="R296" s="29"/>
      <c r="S296" s="29"/>
      <c r="T296" s="1"/>
      <c r="U296" s="34"/>
      <c r="V296" s="34"/>
    </row>
    <row x14ac:dyDescent="0.25" r="297" customHeight="1" ht="15.75">
      <c r="A297" s="1"/>
      <c r="B297" s="34"/>
      <c r="C297" s="2"/>
      <c r="D297" s="34"/>
      <c r="E297" s="34"/>
      <c r="F297" s="34"/>
      <c r="G297" s="34"/>
      <c r="H297" s="29"/>
      <c r="I297" s="29"/>
      <c r="J297" s="6"/>
      <c r="K297" s="29"/>
      <c r="L297" s="29"/>
      <c r="M297" s="29"/>
      <c r="N297" s="29"/>
      <c r="O297" s="29"/>
      <c r="P297" s="29"/>
      <c r="Q297" s="29"/>
      <c r="R297" s="29"/>
      <c r="S297" s="29"/>
      <c r="T297" s="1"/>
      <c r="U297" s="34"/>
      <c r="V297" s="34"/>
    </row>
    <row x14ac:dyDescent="0.25" r="298" customHeight="1" ht="15.75">
      <c r="A298" s="1"/>
      <c r="B298" s="34"/>
      <c r="C298" s="2"/>
      <c r="D298" s="34"/>
      <c r="E298" s="34"/>
      <c r="F298" s="34"/>
      <c r="G298" s="34"/>
      <c r="H298" s="29"/>
      <c r="I298" s="29"/>
      <c r="J298" s="6"/>
      <c r="K298" s="29"/>
      <c r="L298" s="29"/>
      <c r="M298" s="29"/>
      <c r="N298" s="29"/>
      <c r="O298" s="29"/>
      <c r="P298" s="29"/>
      <c r="Q298" s="29"/>
      <c r="R298" s="29"/>
      <c r="S298" s="29"/>
      <c r="T298" s="1"/>
      <c r="U298" s="34"/>
      <c r="V298" s="34"/>
    </row>
    <row x14ac:dyDescent="0.25" r="299" customHeight="1" ht="15.75">
      <c r="A299" s="1"/>
      <c r="B299" s="34"/>
      <c r="C299" s="2"/>
      <c r="D299" s="34"/>
      <c r="E299" s="34"/>
      <c r="F299" s="34"/>
      <c r="G299" s="34"/>
      <c r="H299" s="29"/>
      <c r="I299" s="29"/>
      <c r="J299" s="6"/>
      <c r="K299" s="29"/>
      <c r="L299" s="29"/>
      <c r="M299" s="29"/>
      <c r="N299" s="29"/>
      <c r="O299" s="29"/>
      <c r="P299" s="29"/>
      <c r="Q299" s="29"/>
      <c r="R299" s="29"/>
      <c r="S299" s="29"/>
      <c r="T299" s="1"/>
      <c r="U299" s="34"/>
      <c r="V299" s="34"/>
    </row>
    <row x14ac:dyDescent="0.25" r="300" customHeight="1" ht="15.75">
      <c r="A300" s="1"/>
      <c r="B300" s="34"/>
      <c r="C300" s="2"/>
      <c r="D300" s="34"/>
      <c r="E300" s="34"/>
      <c r="F300" s="34"/>
      <c r="G300" s="34"/>
      <c r="H300" s="29"/>
      <c r="I300" s="29"/>
      <c r="J300" s="6"/>
      <c r="K300" s="29"/>
      <c r="L300" s="29"/>
      <c r="M300" s="29"/>
      <c r="N300" s="29"/>
      <c r="O300" s="29"/>
      <c r="P300" s="29"/>
      <c r="Q300" s="29"/>
      <c r="R300" s="29"/>
      <c r="S300" s="29"/>
      <c r="T300" s="1"/>
      <c r="U300" s="34"/>
      <c r="V300" s="34"/>
    </row>
    <row x14ac:dyDescent="0.25" r="301" customHeight="1" ht="15.75">
      <c r="A301" s="1"/>
      <c r="B301" s="34"/>
      <c r="C301" s="2"/>
      <c r="D301" s="34"/>
      <c r="E301" s="34"/>
      <c r="F301" s="34"/>
      <c r="G301" s="34"/>
      <c r="H301" s="29"/>
      <c r="I301" s="29"/>
      <c r="J301" s="6"/>
      <c r="K301" s="29"/>
      <c r="L301" s="29"/>
      <c r="M301" s="29"/>
      <c r="N301" s="29"/>
      <c r="O301" s="29"/>
      <c r="P301" s="29"/>
      <c r="Q301" s="29"/>
      <c r="R301" s="29"/>
      <c r="S301" s="29"/>
      <c r="T301" s="1"/>
      <c r="U301" s="34"/>
      <c r="V301" s="34"/>
    </row>
    <row x14ac:dyDescent="0.25" r="302" customHeight="1" ht="15.75">
      <c r="A302" s="1"/>
      <c r="B302" s="34"/>
      <c r="C302" s="2"/>
      <c r="D302" s="34"/>
      <c r="E302" s="34"/>
      <c r="F302" s="34"/>
      <c r="G302" s="34"/>
      <c r="H302" s="29"/>
      <c r="I302" s="29"/>
      <c r="J302" s="6"/>
      <c r="K302" s="29"/>
      <c r="L302" s="29"/>
      <c r="M302" s="29"/>
      <c r="N302" s="29"/>
      <c r="O302" s="29"/>
      <c r="P302" s="29"/>
      <c r="Q302" s="29"/>
      <c r="R302" s="29"/>
      <c r="S302" s="29"/>
      <c r="T302" s="1"/>
      <c r="U302" s="34"/>
      <c r="V302" s="34"/>
    </row>
    <row x14ac:dyDescent="0.25" r="303" customHeight="1" ht="15.75">
      <c r="A303" s="1"/>
      <c r="B303" s="34"/>
      <c r="C303" s="2"/>
      <c r="D303" s="34"/>
      <c r="E303" s="34"/>
      <c r="F303" s="34"/>
      <c r="G303" s="34"/>
      <c r="H303" s="29"/>
      <c r="I303" s="29"/>
      <c r="J303" s="6"/>
      <c r="K303" s="29"/>
      <c r="L303" s="29"/>
      <c r="M303" s="29"/>
      <c r="N303" s="29"/>
      <c r="O303" s="29"/>
      <c r="P303" s="29"/>
      <c r="Q303" s="29"/>
      <c r="R303" s="29"/>
      <c r="S303" s="29"/>
      <c r="T303" s="1"/>
      <c r="U303" s="34"/>
      <c r="V303" s="34"/>
    </row>
    <row x14ac:dyDescent="0.25" r="304" customHeight="1" ht="15.75">
      <c r="A304" s="1"/>
      <c r="B304" s="34"/>
      <c r="C304" s="2"/>
      <c r="D304" s="34"/>
      <c r="E304" s="34"/>
      <c r="F304" s="34"/>
      <c r="G304" s="34"/>
      <c r="H304" s="29"/>
      <c r="I304" s="29"/>
      <c r="J304" s="6"/>
      <c r="K304" s="29"/>
      <c r="L304" s="29"/>
      <c r="M304" s="29"/>
      <c r="N304" s="29"/>
      <c r="O304" s="29"/>
      <c r="P304" s="29"/>
      <c r="Q304" s="29"/>
      <c r="R304" s="29"/>
      <c r="S304" s="29"/>
      <c r="T304" s="1"/>
      <c r="U304" s="34"/>
      <c r="V304" s="34"/>
    </row>
    <row x14ac:dyDescent="0.25" r="305" customHeight="1" ht="15.75">
      <c r="A305" s="1"/>
      <c r="B305" s="34"/>
      <c r="C305" s="2"/>
      <c r="D305" s="34"/>
      <c r="E305" s="34"/>
      <c r="F305" s="34"/>
      <c r="G305" s="34"/>
      <c r="H305" s="29"/>
      <c r="I305" s="29"/>
      <c r="J305" s="6"/>
      <c r="K305" s="29"/>
      <c r="L305" s="29"/>
      <c r="M305" s="29"/>
      <c r="N305" s="29"/>
      <c r="O305" s="29"/>
      <c r="P305" s="29"/>
      <c r="Q305" s="29"/>
      <c r="R305" s="29"/>
      <c r="S305" s="29"/>
      <c r="T305" s="1"/>
      <c r="U305" s="34"/>
      <c r="V305" s="34"/>
    </row>
    <row x14ac:dyDescent="0.25" r="306" customHeight="1" ht="15.75">
      <c r="A306" s="1"/>
      <c r="B306" s="34"/>
      <c r="C306" s="2"/>
      <c r="D306" s="34"/>
      <c r="E306" s="34"/>
      <c r="F306" s="34"/>
      <c r="G306" s="34"/>
      <c r="H306" s="29"/>
      <c r="I306" s="29"/>
      <c r="J306" s="6"/>
      <c r="K306" s="29"/>
      <c r="L306" s="29"/>
      <c r="M306" s="29"/>
      <c r="N306" s="29"/>
      <c r="O306" s="29"/>
      <c r="P306" s="29"/>
      <c r="Q306" s="29"/>
      <c r="R306" s="29"/>
      <c r="S306" s="29"/>
      <c r="T306" s="1"/>
      <c r="U306" s="34"/>
      <c r="V306" s="34"/>
    </row>
    <row x14ac:dyDescent="0.25" r="307" customHeight="1" ht="15.75">
      <c r="A307" s="1"/>
      <c r="B307" s="34"/>
      <c r="C307" s="2"/>
      <c r="D307" s="34"/>
      <c r="E307" s="34"/>
      <c r="F307" s="34"/>
      <c r="G307" s="34"/>
      <c r="H307" s="29"/>
      <c r="I307" s="29"/>
      <c r="J307" s="6"/>
      <c r="K307" s="29"/>
      <c r="L307" s="29"/>
      <c r="M307" s="29"/>
      <c r="N307" s="29"/>
      <c r="O307" s="29"/>
      <c r="P307" s="29"/>
      <c r="Q307" s="29"/>
      <c r="R307" s="29"/>
      <c r="S307" s="29"/>
      <c r="T307" s="1"/>
      <c r="U307" s="34"/>
      <c r="V307" s="34"/>
    </row>
    <row x14ac:dyDescent="0.25" r="308" customHeight="1" ht="15.75">
      <c r="A308" s="1"/>
      <c r="B308" s="34"/>
      <c r="C308" s="2"/>
      <c r="D308" s="34"/>
      <c r="E308" s="34"/>
      <c r="F308" s="34"/>
      <c r="G308" s="34"/>
      <c r="H308" s="29"/>
      <c r="I308" s="29"/>
      <c r="J308" s="6"/>
      <c r="K308" s="29"/>
      <c r="L308" s="29"/>
      <c r="M308" s="29"/>
      <c r="N308" s="29"/>
      <c r="O308" s="29"/>
      <c r="P308" s="29"/>
      <c r="Q308" s="29"/>
      <c r="R308" s="29"/>
      <c r="S308" s="29"/>
      <c r="T308" s="1"/>
      <c r="U308" s="34"/>
      <c r="V308" s="34"/>
    </row>
    <row x14ac:dyDescent="0.25" r="309" customHeight="1" ht="15.75">
      <c r="A309" s="1"/>
      <c r="B309" s="34"/>
      <c r="C309" s="2"/>
      <c r="D309" s="34"/>
      <c r="E309" s="34"/>
      <c r="F309" s="34"/>
      <c r="G309" s="34"/>
      <c r="H309" s="29"/>
      <c r="I309" s="29"/>
      <c r="J309" s="6"/>
      <c r="K309" s="29"/>
      <c r="L309" s="29"/>
      <c r="M309" s="29"/>
      <c r="N309" s="29"/>
      <c r="O309" s="29"/>
      <c r="P309" s="29"/>
      <c r="Q309" s="29"/>
      <c r="R309" s="29"/>
      <c r="S309" s="29"/>
      <c r="T309" s="1"/>
      <c r="U309" s="34"/>
      <c r="V309" s="34"/>
    </row>
    <row x14ac:dyDescent="0.25" r="310" customHeight="1" ht="15.75">
      <c r="A310" s="1"/>
      <c r="B310" s="34"/>
      <c r="C310" s="2"/>
      <c r="D310" s="34"/>
      <c r="E310" s="34"/>
      <c r="F310" s="34"/>
      <c r="G310" s="34"/>
      <c r="H310" s="29"/>
      <c r="I310" s="29"/>
      <c r="J310" s="6"/>
      <c r="K310" s="29"/>
      <c r="L310" s="29"/>
      <c r="M310" s="29"/>
      <c r="N310" s="29"/>
      <c r="O310" s="29"/>
      <c r="P310" s="29"/>
      <c r="Q310" s="29"/>
      <c r="R310" s="29"/>
      <c r="S310" s="29"/>
      <c r="T310" s="1"/>
      <c r="U310" s="34"/>
      <c r="V310" s="34"/>
    </row>
    <row x14ac:dyDescent="0.25" r="311" customHeight="1" ht="15.75">
      <c r="A311" s="1"/>
      <c r="B311" s="34"/>
      <c r="C311" s="2"/>
      <c r="D311" s="34"/>
      <c r="E311" s="34"/>
      <c r="F311" s="34"/>
      <c r="G311" s="34"/>
      <c r="H311" s="29"/>
      <c r="I311" s="29"/>
      <c r="J311" s="6"/>
      <c r="K311" s="29"/>
      <c r="L311" s="29"/>
      <c r="M311" s="29"/>
      <c r="N311" s="29"/>
      <c r="O311" s="29"/>
      <c r="P311" s="29"/>
      <c r="Q311" s="29"/>
      <c r="R311" s="29"/>
      <c r="S311" s="29"/>
      <c r="T311" s="1"/>
      <c r="U311" s="34"/>
      <c r="V311" s="34"/>
    </row>
    <row x14ac:dyDescent="0.25" r="312" customHeight="1" ht="15.75">
      <c r="A312" s="1"/>
      <c r="B312" s="34"/>
      <c r="C312" s="2"/>
      <c r="D312" s="34"/>
      <c r="E312" s="34"/>
      <c r="F312" s="34"/>
      <c r="G312" s="34"/>
      <c r="H312" s="29"/>
      <c r="I312" s="29"/>
      <c r="J312" s="6"/>
      <c r="K312" s="29"/>
      <c r="L312" s="29"/>
      <c r="M312" s="29"/>
      <c r="N312" s="29"/>
      <c r="O312" s="29"/>
      <c r="P312" s="29"/>
      <c r="Q312" s="29"/>
      <c r="R312" s="29"/>
      <c r="S312" s="29"/>
      <c r="T312" s="1"/>
      <c r="U312" s="34"/>
      <c r="V312" s="34"/>
    </row>
    <row x14ac:dyDescent="0.25" r="313" customHeight="1" ht="15.75">
      <c r="A313" s="1"/>
      <c r="B313" s="34"/>
      <c r="C313" s="2"/>
      <c r="D313" s="34"/>
      <c r="E313" s="34"/>
      <c r="F313" s="34"/>
      <c r="G313" s="34"/>
      <c r="H313" s="29"/>
      <c r="I313" s="29"/>
      <c r="J313" s="6"/>
      <c r="K313" s="29"/>
      <c r="L313" s="29"/>
      <c r="M313" s="29"/>
      <c r="N313" s="29"/>
      <c r="O313" s="29"/>
      <c r="P313" s="29"/>
      <c r="Q313" s="29"/>
      <c r="R313" s="29"/>
      <c r="S313" s="29"/>
      <c r="T313" s="1"/>
      <c r="U313" s="34"/>
      <c r="V313" s="34"/>
    </row>
    <row x14ac:dyDescent="0.25" r="314" customHeight="1" ht="15.75">
      <c r="A314" s="1"/>
      <c r="B314" s="34"/>
      <c r="C314" s="2"/>
      <c r="D314" s="34"/>
      <c r="E314" s="34"/>
      <c r="F314" s="34"/>
      <c r="G314" s="34"/>
      <c r="H314" s="29"/>
      <c r="I314" s="29"/>
      <c r="J314" s="6"/>
      <c r="K314" s="29"/>
      <c r="L314" s="29"/>
      <c r="M314" s="29"/>
      <c r="N314" s="29"/>
      <c r="O314" s="29"/>
      <c r="P314" s="29"/>
      <c r="Q314" s="29"/>
      <c r="R314" s="29"/>
      <c r="S314" s="29"/>
      <c r="T314" s="1"/>
      <c r="U314" s="34"/>
      <c r="V314" s="34"/>
    </row>
    <row x14ac:dyDescent="0.25" r="315" customHeight="1" ht="15.75">
      <c r="A315" s="1"/>
      <c r="B315" s="34"/>
      <c r="C315" s="2"/>
      <c r="D315" s="34"/>
      <c r="E315" s="34"/>
      <c r="F315" s="34"/>
      <c r="G315" s="34"/>
      <c r="H315" s="29"/>
      <c r="I315" s="29"/>
      <c r="J315" s="6"/>
      <c r="K315" s="29"/>
      <c r="L315" s="29"/>
      <c r="M315" s="29"/>
      <c r="N315" s="29"/>
      <c r="O315" s="29"/>
      <c r="P315" s="29"/>
      <c r="Q315" s="29"/>
      <c r="R315" s="29"/>
      <c r="S315" s="29"/>
      <c r="T315" s="1"/>
      <c r="U315" s="34"/>
      <c r="V315" s="34"/>
    </row>
    <row x14ac:dyDescent="0.25" r="316" customHeight="1" ht="15.75">
      <c r="A316" s="1"/>
      <c r="B316" s="34"/>
      <c r="C316" s="2"/>
      <c r="D316" s="34"/>
      <c r="E316" s="34"/>
      <c r="F316" s="34"/>
      <c r="G316" s="34"/>
      <c r="H316" s="29"/>
      <c r="I316" s="29"/>
      <c r="J316" s="6"/>
      <c r="K316" s="29"/>
      <c r="L316" s="29"/>
      <c r="M316" s="29"/>
      <c r="N316" s="29"/>
      <c r="O316" s="29"/>
      <c r="P316" s="29"/>
      <c r="Q316" s="29"/>
      <c r="R316" s="29"/>
      <c r="S316" s="29"/>
      <c r="T316" s="1"/>
      <c r="U316" s="34"/>
      <c r="V316" s="34"/>
    </row>
    <row x14ac:dyDescent="0.25" r="317" customHeight="1" ht="15.75">
      <c r="A317" s="1"/>
      <c r="B317" s="34"/>
      <c r="C317" s="2"/>
      <c r="D317" s="34"/>
      <c r="E317" s="34"/>
      <c r="F317" s="34"/>
      <c r="G317" s="34"/>
      <c r="H317" s="29"/>
      <c r="I317" s="29"/>
      <c r="J317" s="6"/>
      <c r="K317" s="29"/>
      <c r="L317" s="29"/>
      <c r="M317" s="29"/>
      <c r="N317" s="29"/>
      <c r="O317" s="29"/>
      <c r="P317" s="29"/>
      <c r="Q317" s="29"/>
      <c r="R317" s="29"/>
      <c r="S317" s="29"/>
      <c r="T317" s="1"/>
      <c r="U317" s="34"/>
      <c r="V317" s="34"/>
    </row>
    <row x14ac:dyDescent="0.25" r="318" customHeight="1" ht="15.75">
      <c r="A318" s="1"/>
      <c r="B318" s="34"/>
      <c r="C318" s="2"/>
      <c r="D318" s="34"/>
      <c r="E318" s="34"/>
      <c r="F318" s="34"/>
      <c r="G318" s="34"/>
      <c r="H318" s="29"/>
      <c r="I318" s="29"/>
      <c r="J318" s="6"/>
      <c r="K318" s="29"/>
      <c r="L318" s="29"/>
      <c r="M318" s="29"/>
      <c r="N318" s="29"/>
      <c r="O318" s="29"/>
      <c r="P318" s="29"/>
      <c r="Q318" s="29"/>
      <c r="R318" s="29"/>
      <c r="S318" s="29"/>
      <c r="T318" s="1"/>
      <c r="U318" s="34"/>
      <c r="V318" s="34"/>
    </row>
    <row x14ac:dyDescent="0.25" r="319" customHeight="1" ht="15.75">
      <c r="A319" s="1"/>
      <c r="B319" s="34"/>
      <c r="C319" s="2"/>
      <c r="D319" s="34"/>
      <c r="E319" s="34"/>
      <c r="F319" s="34"/>
      <c r="G319" s="34"/>
      <c r="H319" s="29"/>
      <c r="I319" s="29"/>
      <c r="J319" s="6"/>
      <c r="K319" s="29"/>
      <c r="L319" s="29"/>
      <c r="M319" s="29"/>
      <c r="N319" s="29"/>
      <c r="O319" s="29"/>
      <c r="P319" s="29"/>
      <c r="Q319" s="29"/>
      <c r="R319" s="29"/>
      <c r="S319" s="29"/>
      <c r="T319" s="1"/>
      <c r="U319" s="34"/>
      <c r="V319" s="34"/>
    </row>
    <row x14ac:dyDescent="0.25" r="320" customHeight="1" ht="15.75">
      <c r="A320" s="1"/>
      <c r="B320" s="34"/>
      <c r="C320" s="2"/>
      <c r="D320" s="34"/>
      <c r="E320" s="34"/>
      <c r="F320" s="34"/>
      <c r="G320" s="34"/>
      <c r="H320" s="29"/>
      <c r="I320" s="29"/>
      <c r="J320" s="6"/>
      <c r="K320" s="29"/>
      <c r="L320" s="29"/>
      <c r="M320" s="29"/>
      <c r="N320" s="29"/>
      <c r="O320" s="29"/>
      <c r="P320" s="29"/>
      <c r="Q320" s="29"/>
      <c r="R320" s="29"/>
      <c r="S320" s="29"/>
      <c r="T320" s="1"/>
      <c r="U320" s="34"/>
      <c r="V320" s="34"/>
    </row>
    <row x14ac:dyDescent="0.25" r="321" customHeight="1" ht="15.75">
      <c r="A321" s="1"/>
      <c r="B321" s="34"/>
      <c r="C321" s="2"/>
      <c r="D321" s="34"/>
      <c r="E321" s="34"/>
      <c r="F321" s="34"/>
      <c r="G321" s="34"/>
      <c r="H321" s="29"/>
      <c r="I321" s="29"/>
      <c r="J321" s="6"/>
      <c r="K321" s="29"/>
      <c r="L321" s="29"/>
      <c r="M321" s="29"/>
      <c r="N321" s="29"/>
      <c r="O321" s="29"/>
      <c r="P321" s="29"/>
      <c r="Q321" s="29"/>
      <c r="R321" s="29"/>
      <c r="S321" s="29"/>
      <c r="T321" s="1"/>
      <c r="U321" s="34"/>
      <c r="V321" s="34"/>
    </row>
    <row x14ac:dyDescent="0.25" r="322" customHeight="1" ht="15.75">
      <c r="A322" s="1"/>
      <c r="B322" s="34"/>
      <c r="C322" s="2"/>
      <c r="D322" s="34"/>
      <c r="E322" s="34"/>
      <c r="F322" s="34"/>
      <c r="G322" s="34"/>
      <c r="H322" s="29"/>
      <c r="I322" s="29"/>
      <c r="J322" s="6"/>
      <c r="K322" s="29"/>
      <c r="L322" s="29"/>
      <c r="M322" s="29"/>
      <c r="N322" s="29"/>
      <c r="O322" s="29"/>
      <c r="P322" s="29"/>
      <c r="Q322" s="29"/>
      <c r="R322" s="29"/>
      <c r="S322" s="29"/>
      <c r="T322" s="1"/>
      <c r="U322" s="34"/>
      <c r="V322" s="34"/>
    </row>
    <row x14ac:dyDescent="0.25" r="323" customHeight="1" ht="15.75">
      <c r="A323" s="1"/>
      <c r="B323" s="34"/>
      <c r="C323" s="2"/>
      <c r="D323" s="34"/>
      <c r="E323" s="34"/>
      <c r="F323" s="34"/>
      <c r="G323" s="34"/>
      <c r="H323" s="29"/>
      <c r="I323" s="29"/>
      <c r="J323" s="6"/>
      <c r="K323" s="29"/>
      <c r="L323" s="29"/>
      <c r="M323" s="29"/>
      <c r="N323" s="29"/>
      <c r="O323" s="29"/>
      <c r="P323" s="29"/>
      <c r="Q323" s="29"/>
      <c r="R323" s="29"/>
      <c r="S323" s="29"/>
      <c r="T323" s="1"/>
      <c r="U323" s="34"/>
      <c r="V323" s="34"/>
    </row>
    <row x14ac:dyDescent="0.25" r="324" customHeight="1" ht="15.75">
      <c r="A324" s="1"/>
      <c r="B324" s="34"/>
      <c r="C324" s="2"/>
      <c r="D324" s="34"/>
      <c r="E324" s="34"/>
      <c r="F324" s="34"/>
      <c r="G324" s="34"/>
      <c r="H324" s="29"/>
      <c r="I324" s="29"/>
      <c r="J324" s="6"/>
      <c r="K324" s="29"/>
      <c r="L324" s="29"/>
      <c r="M324" s="29"/>
      <c r="N324" s="29"/>
      <c r="O324" s="29"/>
      <c r="P324" s="29"/>
      <c r="Q324" s="29"/>
      <c r="R324" s="29"/>
      <c r="S324" s="29"/>
      <c r="T324" s="1"/>
      <c r="U324" s="34"/>
      <c r="V324" s="34"/>
    </row>
    <row x14ac:dyDescent="0.25" r="325" customHeight="1" ht="15.75">
      <c r="A325" s="1"/>
      <c r="B325" s="34"/>
      <c r="C325" s="2"/>
      <c r="D325" s="34"/>
      <c r="E325" s="34"/>
      <c r="F325" s="34"/>
      <c r="G325" s="34"/>
      <c r="H325" s="29"/>
      <c r="I325" s="29"/>
      <c r="J325" s="6"/>
      <c r="K325" s="29"/>
      <c r="L325" s="29"/>
      <c r="M325" s="29"/>
      <c r="N325" s="29"/>
      <c r="O325" s="29"/>
      <c r="P325" s="29"/>
      <c r="Q325" s="29"/>
      <c r="R325" s="29"/>
      <c r="S325" s="29"/>
      <c r="T325" s="1"/>
      <c r="U325" s="34"/>
      <c r="V325" s="34"/>
    </row>
    <row x14ac:dyDescent="0.25" r="326" customHeight="1" ht="15.75">
      <c r="A326" s="1"/>
      <c r="B326" s="34"/>
      <c r="C326" s="2"/>
      <c r="D326" s="34"/>
      <c r="E326" s="34"/>
      <c r="F326" s="34"/>
      <c r="G326" s="34"/>
      <c r="H326" s="29"/>
      <c r="I326" s="29"/>
      <c r="J326" s="6"/>
      <c r="K326" s="29"/>
      <c r="L326" s="29"/>
      <c r="M326" s="29"/>
      <c r="N326" s="29"/>
      <c r="O326" s="29"/>
      <c r="P326" s="29"/>
      <c r="Q326" s="29"/>
      <c r="R326" s="29"/>
      <c r="S326" s="29"/>
      <c r="T326" s="1"/>
      <c r="U326" s="34"/>
      <c r="V326" s="34"/>
    </row>
    <row x14ac:dyDescent="0.25" r="327" customHeight="1" ht="15.75">
      <c r="A327" s="1"/>
      <c r="B327" s="34"/>
      <c r="C327" s="2"/>
      <c r="D327" s="34"/>
      <c r="E327" s="34"/>
      <c r="F327" s="34"/>
      <c r="G327" s="34"/>
      <c r="H327" s="29"/>
      <c r="I327" s="29"/>
      <c r="J327" s="6"/>
      <c r="K327" s="29"/>
      <c r="L327" s="29"/>
      <c r="M327" s="29"/>
      <c r="N327" s="29"/>
      <c r="O327" s="29"/>
      <c r="P327" s="29"/>
      <c r="Q327" s="29"/>
      <c r="R327" s="29"/>
      <c r="S327" s="29"/>
      <c r="T327" s="1"/>
      <c r="U327" s="34"/>
      <c r="V327" s="34"/>
    </row>
    <row x14ac:dyDescent="0.25" r="328" customHeight="1" ht="15.75">
      <c r="A328" s="1"/>
      <c r="B328" s="34"/>
      <c r="C328" s="2"/>
      <c r="D328" s="34"/>
      <c r="E328" s="34"/>
      <c r="F328" s="34"/>
      <c r="G328" s="34"/>
      <c r="H328" s="29"/>
      <c r="I328" s="29"/>
      <c r="J328" s="6"/>
      <c r="K328" s="29"/>
      <c r="L328" s="29"/>
      <c r="M328" s="29"/>
      <c r="N328" s="29"/>
      <c r="O328" s="29"/>
      <c r="P328" s="29"/>
      <c r="Q328" s="29"/>
      <c r="R328" s="29"/>
      <c r="S328" s="29"/>
      <c r="T328" s="1"/>
      <c r="U328" s="34"/>
      <c r="V328" s="34"/>
    </row>
    <row x14ac:dyDescent="0.25" r="329" customHeight="1" ht="15.75">
      <c r="A329" s="1"/>
      <c r="B329" s="34"/>
      <c r="C329" s="2"/>
      <c r="D329" s="34"/>
      <c r="E329" s="34"/>
      <c r="F329" s="34"/>
      <c r="G329" s="34"/>
      <c r="H329" s="29"/>
      <c r="I329" s="29"/>
      <c r="J329" s="6"/>
      <c r="K329" s="29"/>
      <c r="L329" s="29"/>
      <c r="M329" s="29"/>
      <c r="N329" s="29"/>
      <c r="O329" s="29"/>
      <c r="P329" s="29"/>
      <c r="Q329" s="29"/>
      <c r="R329" s="29"/>
      <c r="S329" s="29"/>
      <c r="T329" s="1"/>
      <c r="U329" s="34"/>
      <c r="V329" s="34"/>
    </row>
    <row x14ac:dyDescent="0.25" r="330" customHeight="1" ht="15.75">
      <c r="A330" s="1"/>
      <c r="B330" s="34"/>
      <c r="C330" s="2"/>
      <c r="D330" s="34"/>
      <c r="E330" s="34"/>
      <c r="F330" s="34"/>
      <c r="G330" s="34"/>
      <c r="H330" s="29"/>
      <c r="I330" s="29"/>
      <c r="J330" s="6"/>
      <c r="K330" s="29"/>
      <c r="L330" s="29"/>
      <c r="M330" s="29"/>
      <c r="N330" s="29"/>
      <c r="O330" s="29"/>
      <c r="P330" s="29"/>
      <c r="Q330" s="29"/>
      <c r="R330" s="29"/>
      <c r="S330" s="29"/>
      <c r="T330" s="1"/>
      <c r="U330" s="34"/>
      <c r="V330" s="34"/>
    </row>
    <row x14ac:dyDescent="0.25" r="331" customHeight="1" ht="15.75">
      <c r="A331" s="1"/>
      <c r="B331" s="34"/>
      <c r="C331" s="2"/>
      <c r="D331" s="34"/>
      <c r="E331" s="34"/>
      <c r="F331" s="34"/>
      <c r="G331" s="34"/>
      <c r="H331" s="29"/>
      <c r="I331" s="29"/>
      <c r="J331" s="6"/>
      <c r="K331" s="29"/>
      <c r="L331" s="29"/>
      <c r="M331" s="29"/>
      <c r="N331" s="29"/>
      <c r="O331" s="29"/>
      <c r="P331" s="29"/>
      <c r="Q331" s="29"/>
      <c r="R331" s="29"/>
      <c r="S331" s="29"/>
      <c r="T331" s="1"/>
      <c r="U331" s="34"/>
      <c r="V331" s="34"/>
    </row>
    <row x14ac:dyDescent="0.25" r="332" customHeight="1" ht="15.75">
      <c r="A332" s="1"/>
      <c r="B332" s="34"/>
      <c r="C332" s="2"/>
      <c r="D332" s="34"/>
      <c r="E332" s="34"/>
      <c r="F332" s="34"/>
      <c r="G332" s="34"/>
      <c r="H332" s="29"/>
      <c r="I332" s="29"/>
      <c r="J332" s="6"/>
      <c r="K332" s="29"/>
      <c r="L332" s="29"/>
      <c r="M332" s="29"/>
      <c r="N332" s="29"/>
      <c r="O332" s="29"/>
      <c r="P332" s="29"/>
      <c r="Q332" s="29"/>
      <c r="R332" s="29"/>
      <c r="S332" s="29"/>
      <c r="T332" s="1"/>
      <c r="U332" s="34"/>
      <c r="V332" s="34"/>
    </row>
    <row x14ac:dyDescent="0.25" r="333" customHeight="1" ht="15.75">
      <c r="A333" s="1"/>
      <c r="B333" s="34"/>
      <c r="C333" s="2"/>
      <c r="D333" s="34"/>
      <c r="E333" s="34"/>
      <c r="F333" s="34"/>
      <c r="G333" s="34"/>
      <c r="H333" s="29"/>
      <c r="I333" s="29"/>
      <c r="J333" s="6"/>
      <c r="K333" s="29"/>
      <c r="L333" s="29"/>
      <c r="M333" s="29"/>
      <c r="N333" s="29"/>
      <c r="O333" s="29"/>
      <c r="P333" s="29"/>
      <c r="Q333" s="29"/>
      <c r="R333" s="29"/>
      <c r="S333" s="29"/>
      <c r="T333" s="1"/>
      <c r="U333" s="34"/>
      <c r="V333" s="34"/>
    </row>
    <row x14ac:dyDescent="0.25" r="334" customHeight="1" ht="15.75">
      <c r="A334" s="1"/>
      <c r="B334" s="34"/>
      <c r="C334" s="2"/>
      <c r="D334" s="34"/>
      <c r="E334" s="34"/>
      <c r="F334" s="34"/>
      <c r="G334" s="34"/>
      <c r="H334" s="29"/>
      <c r="I334" s="29"/>
      <c r="J334" s="6"/>
      <c r="K334" s="29"/>
      <c r="L334" s="29"/>
      <c r="M334" s="29"/>
      <c r="N334" s="29"/>
      <c r="O334" s="29"/>
      <c r="P334" s="29"/>
      <c r="Q334" s="29"/>
      <c r="R334" s="29"/>
      <c r="S334" s="29"/>
      <c r="T334" s="1"/>
      <c r="U334" s="34"/>
      <c r="V334" s="34"/>
    </row>
    <row x14ac:dyDescent="0.25" r="335" customHeight="1" ht="15.75">
      <c r="A335" s="1"/>
      <c r="B335" s="34"/>
      <c r="C335" s="2"/>
      <c r="D335" s="34"/>
      <c r="E335" s="34"/>
      <c r="F335" s="34"/>
      <c r="G335" s="34"/>
      <c r="H335" s="29"/>
      <c r="I335" s="29"/>
      <c r="J335" s="6"/>
      <c r="K335" s="29"/>
      <c r="L335" s="29"/>
      <c r="M335" s="29"/>
      <c r="N335" s="29"/>
      <c r="O335" s="29"/>
      <c r="P335" s="29"/>
      <c r="Q335" s="29"/>
      <c r="R335" s="29"/>
      <c r="S335" s="29"/>
      <c r="T335" s="1"/>
      <c r="U335" s="34"/>
      <c r="V335" s="34"/>
    </row>
    <row x14ac:dyDescent="0.25" r="336" customHeight="1" ht="15.75">
      <c r="A336" s="1"/>
      <c r="B336" s="34"/>
      <c r="C336" s="2"/>
      <c r="D336" s="34"/>
      <c r="E336" s="34"/>
      <c r="F336" s="34"/>
      <c r="G336" s="34"/>
      <c r="H336" s="29"/>
      <c r="I336" s="29"/>
      <c r="J336" s="6"/>
      <c r="K336" s="29"/>
      <c r="L336" s="29"/>
      <c r="M336" s="29"/>
      <c r="N336" s="29"/>
      <c r="O336" s="29"/>
      <c r="P336" s="29"/>
      <c r="Q336" s="29"/>
      <c r="R336" s="29"/>
      <c r="S336" s="29"/>
      <c r="T336" s="1"/>
      <c r="U336" s="34"/>
      <c r="V336" s="34"/>
    </row>
    <row x14ac:dyDescent="0.25" r="337" customHeight="1" ht="15.75">
      <c r="A337" s="1"/>
      <c r="B337" s="34"/>
      <c r="C337" s="2"/>
      <c r="D337" s="34"/>
      <c r="E337" s="34"/>
      <c r="F337" s="34"/>
      <c r="G337" s="34"/>
      <c r="H337" s="29"/>
      <c r="I337" s="29"/>
      <c r="J337" s="6"/>
      <c r="K337" s="29"/>
      <c r="L337" s="29"/>
      <c r="M337" s="29"/>
      <c r="N337" s="29"/>
      <c r="O337" s="29"/>
      <c r="P337" s="29"/>
      <c r="Q337" s="29"/>
      <c r="R337" s="29"/>
      <c r="S337" s="29"/>
      <c r="T337" s="1"/>
      <c r="U337" s="34"/>
      <c r="V337" s="34"/>
    </row>
    <row x14ac:dyDescent="0.25" r="338" customHeight="1" ht="15.75">
      <c r="A338" s="1"/>
      <c r="B338" s="34"/>
      <c r="C338" s="2"/>
      <c r="D338" s="34"/>
      <c r="E338" s="34"/>
      <c r="F338" s="34"/>
      <c r="G338" s="34"/>
      <c r="H338" s="29"/>
      <c r="I338" s="29"/>
      <c r="J338" s="6"/>
      <c r="K338" s="29"/>
      <c r="L338" s="29"/>
      <c r="M338" s="29"/>
      <c r="N338" s="29"/>
      <c r="O338" s="29"/>
      <c r="P338" s="29"/>
      <c r="Q338" s="29"/>
      <c r="R338" s="29"/>
      <c r="S338" s="29"/>
      <c r="T338" s="1"/>
      <c r="U338" s="34"/>
      <c r="V338" s="34"/>
    </row>
    <row x14ac:dyDescent="0.25" r="339" customHeight="1" ht="15.75">
      <c r="A339" s="1"/>
      <c r="B339" s="34"/>
      <c r="C339" s="2"/>
      <c r="D339" s="34"/>
      <c r="E339" s="34"/>
      <c r="F339" s="34"/>
      <c r="G339" s="34"/>
      <c r="H339" s="29"/>
      <c r="I339" s="29"/>
      <c r="J339" s="6"/>
      <c r="K339" s="29"/>
      <c r="L339" s="29"/>
      <c r="M339" s="29"/>
      <c r="N339" s="29"/>
      <c r="O339" s="29"/>
      <c r="P339" s="29"/>
      <c r="Q339" s="29"/>
      <c r="R339" s="29"/>
      <c r="S339" s="29"/>
      <c r="T339" s="1"/>
      <c r="U339" s="34"/>
      <c r="V339" s="34"/>
    </row>
    <row x14ac:dyDescent="0.25" r="340" customHeight="1" ht="15.75">
      <c r="A340" s="1"/>
      <c r="B340" s="34"/>
      <c r="C340" s="2"/>
      <c r="D340" s="34"/>
      <c r="E340" s="34"/>
      <c r="F340" s="34"/>
      <c r="G340" s="34"/>
      <c r="H340" s="29"/>
      <c r="I340" s="29"/>
      <c r="J340" s="6"/>
      <c r="K340" s="29"/>
      <c r="L340" s="29"/>
      <c r="M340" s="29"/>
      <c r="N340" s="29"/>
      <c r="O340" s="29"/>
      <c r="P340" s="29"/>
      <c r="Q340" s="29"/>
      <c r="R340" s="29"/>
      <c r="S340" s="29"/>
      <c r="T340" s="1"/>
      <c r="U340" s="34"/>
      <c r="V340" s="34"/>
    </row>
    <row x14ac:dyDescent="0.25" r="341" customHeight="1" ht="15.75">
      <c r="A341" s="1"/>
      <c r="B341" s="34"/>
      <c r="C341" s="2"/>
      <c r="D341" s="34"/>
      <c r="E341" s="34"/>
      <c r="F341" s="34"/>
      <c r="G341" s="34"/>
      <c r="H341" s="29"/>
      <c r="I341" s="29"/>
      <c r="J341" s="6"/>
      <c r="K341" s="29"/>
      <c r="L341" s="29"/>
      <c r="M341" s="29"/>
      <c r="N341" s="29"/>
      <c r="O341" s="29"/>
      <c r="P341" s="29"/>
      <c r="Q341" s="29"/>
      <c r="R341" s="29"/>
      <c r="S341" s="29"/>
      <c r="T341" s="1"/>
      <c r="U341" s="34"/>
      <c r="V341" s="34"/>
    </row>
    <row x14ac:dyDescent="0.25" r="342" customHeight="1" ht="15.75">
      <c r="A342" s="1"/>
      <c r="B342" s="34"/>
      <c r="C342" s="2"/>
      <c r="D342" s="34"/>
      <c r="E342" s="34"/>
      <c r="F342" s="34"/>
      <c r="G342" s="34"/>
      <c r="H342" s="29"/>
      <c r="I342" s="29"/>
      <c r="J342" s="6"/>
      <c r="K342" s="29"/>
      <c r="L342" s="29"/>
      <c r="M342" s="29"/>
      <c r="N342" s="29"/>
      <c r="O342" s="29"/>
      <c r="P342" s="29"/>
      <c r="Q342" s="29"/>
      <c r="R342" s="29"/>
      <c r="S342" s="29"/>
      <c r="T342" s="1"/>
      <c r="U342" s="34"/>
      <c r="V342" s="34"/>
    </row>
    <row x14ac:dyDescent="0.25" r="343" customHeight="1" ht="15.75">
      <c r="A343" s="1"/>
      <c r="B343" s="34"/>
      <c r="C343" s="2"/>
      <c r="D343" s="34"/>
      <c r="E343" s="34"/>
      <c r="F343" s="34"/>
      <c r="G343" s="34"/>
      <c r="H343" s="29"/>
      <c r="I343" s="29"/>
      <c r="J343" s="6"/>
      <c r="K343" s="29"/>
      <c r="L343" s="29"/>
      <c r="M343" s="29"/>
      <c r="N343" s="29"/>
      <c r="O343" s="29"/>
      <c r="P343" s="29"/>
      <c r="Q343" s="29"/>
      <c r="R343" s="29"/>
      <c r="S343" s="29"/>
      <c r="T343" s="1"/>
      <c r="U343" s="34"/>
      <c r="V343" s="34"/>
    </row>
    <row x14ac:dyDescent="0.25" r="344" customHeight="1" ht="15.75">
      <c r="A344" s="1"/>
      <c r="B344" s="34"/>
      <c r="C344" s="2"/>
      <c r="D344" s="34"/>
      <c r="E344" s="34"/>
      <c r="F344" s="34"/>
      <c r="G344" s="34"/>
      <c r="H344" s="29"/>
      <c r="I344" s="29"/>
      <c r="J344" s="6"/>
      <c r="K344" s="29"/>
      <c r="L344" s="29"/>
      <c r="M344" s="29"/>
      <c r="N344" s="29"/>
      <c r="O344" s="29"/>
      <c r="P344" s="29"/>
      <c r="Q344" s="29"/>
      <c r="R344" s="29"/>
      <c r="S344" s="29"/>
      <c r="T344" s="1"/>
      <c r="U344" s="34"/>
      <c r="V344" s="34"/>
    </row>
    <row x14ac:dyDescent="0.25" r="345" customHeight="1" ht="15.75">
      <c r="A345" s="1"/>
      <c r="B345" s="34"/>
      <c r="C345" s="2"/>
      <c r="D345" s="34"/>
      <c r="E345" s="34"/>
      <c r="F345" s="34"/>
      <c r="G345" s="34"/>
      <c r="H345" s="29"/>
      <c r="I345" s="29"/>
      <c r="J345" s="6"/>
      <c r="K345" s="29"/>
      <c r="L345" s="29"/>
      <c r="M345" s="29"/>
      <c r="N345" s="29"/>
      <c r="O345" s="29"/>
      <c r="P345" s="29"/>
      <c r="Q345" s="29"/>
      <c r="R345" s="29"/>
      <c r="S345" s="29"/>
      <c r="T345" s="1"/>
      <c r="U345" s="34"/>
      <c r="V345" s="34"/>
    </row>
    <row x14ac:dyDescent="0.25" r="346" customHeight="1" ht="15.75">
      <c r="A346" s="1"/>
      <c r="B346" s="34"/>
      <c r="C346" s="2"/>
      <c r="D346" s="34"/>
      <c r="E346" s="34"/>
      <c r="F346" s="34"/>
      <c r="G346" s="34"/>
      <c r="H346" s="29"/>
      <c r="I346" s="29"/>
      <c r="J346" s="6"/>
      <c r="K346" s="29"/>
      <c r="L346" s="29"/>
      <c r="M346" s="29"/>
      <c r="N346" s="29"/>
      <c r="O346" s="29"/>
      <c r="P346" s="29"/>
      <c r="Q346" s="29"/>
      <c r="R346" s="29"/>
      <c r="S346" s="29"/>
      <c r="T346" s="1"/>
      <c r="U346" s="34"/>
      <c r="V346" s="34"/>
    </row>
    <row x14ac:dyDescent="0.25" r="347" customHeight="1" ht="15.75">
      <c r="A347" s="1"/>
      <c r="B347" s="34"/>
      <c r="C347" s="2"/>
      <c r="D347" s="34"/>
      <c r="E347" s="34"/>
      <c r="F347" s="34"/>
      <c r="G347" s="34"/>
      <c r="H347" s="29"/>
      <c r="I347" s="29"/>
      <c r="J347" s="6"/>
      <c r="K347" s="29"/>
      <c r="L347" s="29"/>
      <c r="M347" s="29"/>
      <c r="N347" s="29"/>
      <c r="O347" s="29"/>
      <c r="P347" s="29"/>
      <c r="Q347" s="29"/>
      <c r="R347" s="29"/>
      <c r="S347" s="29"/>
      <c r="T347" s="1"/>
      <c r="U347" s="34"/>
      <c r="V347" s="34"/>
    </row>
    <row x14ac:dyDescent="0.25" r="348" customHeight="1" ht="15.75">
      <c r="A348" s="1"/>
      <c r="B348" s="34"/>
      <c r="C348" s="2"/>
      <c r="D348" s="34"/>
      <c r="E348" s="34"/>
      <c r="F348" s="34"/>
      <c r="G348" s="34"/>
      <c r="H348" s="29"/>
      <c r="I348" s="29"/>
      <c r="J348" s="6"/>
      <c r="K348" s="29"/>
      <c r="L348" s="29"/>
      <c r="M348" s="29"/>
      <c r="N348" s="29"/>
      <c r="O348" s="29"/>
      <c r="P348" s="29"/>
      <c r="Q348" s="29"/>
      <c r="R348" s="29"/>
      <c r="S348" s="29"/>
      <c r="T348" s="1"/>
      <c r="U348" s="34"/>
      <c r="V348" s="34"/>
    </row>
    <row x14ac:dyDescent="0.25" r="349" customHeight="1" ht="15.75">
      <c r="A349" s="1"/>
      <c r="B349" s="34"/>
      <c r="C349" s="2"/>
      <c r="D349" s="34"/>
      <c r="E349" s="34"/>
      <c r="F349" s="34"/>
      <c r="G349" s="34"/>
      <c r="H349" s="29"/>
      <c r="I349" s="29"/>
      <c r="J349" s="6"/>
      <c r="K349" s="29"/>
      <c r="L349" s="29"/>
      <c r="M349" s="29"/>
      <c r="N349" s="29"/>
      <c r="O349" s="29"/>
      <c r="P349" s="29"/>
      <c r="Q349" s="29"/>
      <c r="R349" s="29"/>
      <c r="S349" s="29"/>
      <c r="T349" s="1"/>
      <c r="U349" s="34"/>
      <c r="V349" s="34"/>
    </row>
    <row x14ac:dyDescent="0.25" r="350" customHeight="1" ht="15.75">
      <c r="A350" s="1"/>
      <c r="B350" s="34"/>
      <c r="C350" s="2"/>
      <c r="D350" s="34"/>
      <c r="E350" s="34"/>
      <c r="F350" s="34"/>
      <c r="G350" s="34"/>
      <c r="H350" s="29"/>
      <c r="I350" s="29"/>
      <c r="J350" s="6"/>
      <c r="K350" s="29"/>
      <c r="L350" s="29"/>
      <c r="M350" s="29"/>
      <c r="N350" s="29"/>
      <c r="O350" s="29"/>
      <c r="P350" s="29"/>
      <c r="Q350" s="29"/>
      <c r="R350" s="29"/>
      <c r="S350" s="29"/>
      <c r="T350" s="1"/>
      <c r="U350" s="34"/>
      <c r="V350" s="34"/>
    </row>
    <row x14ac:dyDescent="0.25" r="351" customHeight="1" ht="15.75">
      <c r="A351" s="1"/>
      <c r="B351" s="34"/>
      <c r="C351" s="2"/>
      <c r="D351" s="34"/>
      <c r="E351" s="34"/>
      <c r="F351" s="34"/>
      <c r="G351" s="34"/>
      <c r="H351" s="29"/>
      <c r="I351" s="29"/>
      <c r="J351" s="6"/>
      <c r="K351" s="29"/>
      <c r="L351" s="29"/>
      <c r="M351" s="29"/>
      <c r="N351" s="29"/>
      <c r="O351" s="29"/>
      <c r="P351" s="29"/>
      <c r="Q351" s="29"/>
      <c r="R351" s="29"/>
      <c r="S351" s="29"/>
      <c r="T351" s="1"/>
      <c r="U351" s="34"/>
      <c r="V351" s="34"/>
    </row>
    <row x14ac:dyDescent="0.25" r="352" customHeight="1" ht="15.75">
      <c r="A352" s="1"/>
      <c r="B352" s="34"/>
      <c r="C352" s="2"/>
      <c r="D352" s="34"/>
      <c r="E352" s="34"/>
      <c r="F352" s="34"/>
      <c r="G352" s="34"/>
      <c r="H352" s="29"/>
      <c r="I352" s="29"/>
      <c r="J352" s="6"/>
      <c r="K352" s="29"/>
      <c r="L352" s="29"/>
      <c r="M352" s="29"/>
      <c r="N352" s="29"/>
      <c r="O352" s="29"/>
      <c r="P352" s="29"/>
      <c r="Q352" s="29"/>
      <c r="R352" s="29"/>
      <c r="S352" s="29"/>
      <c r="T352" s="1"/>
      <c r="U352" s="34"/>
      <c r="V352" s="34"/>
    </row>
    <row x14ac:dyDescent="0.25" r="353" customHeight="1" ht="15.75">
      <c r="A353" s="1"/>
      <c r="B353" s="34"/>
      <c r="C353" s="2"/>
      <c r="D353" s="34"/>
      <c r="E353" s="34"/>
      <c r="F353" s="34"/>
      <c r="G353" s="34"/>
      <c r="H353" s="29"/>
      <c r="I353" s="29"/>
      <c r="J353" s="6"/>
      <c r="K353" s="29"/>
      <c r="L353" s="29"/>
      <c r="M353" s="29"/>
      <c r="N353" s="29"/>
      <c r="O353" s="29"/>
      <c r="P353" s="29"/>
      <c r="Q353" s="29"/>
      <c r="R353" s="29"/>
      <c r="S353" s="29"/>
      <c r="T353" s="1"/>
      <c r="U353" s="34"/>
      <c r="V353" s="34"/>
    </row>
    <row x14ac:dyDescent="0.25" r="354" customHeight="1" ht="15.75">
      <c r="A354" s="1"/>
      <c r="B354" s="34"/>
      <c r="C354" s="2"/>
      <c r="D354" s="34"/>
      <c r="E354" s="34"/>
      <c r="F354" s="34"/>
      <c r="G354" s="34"/>
      <c r="H354" s="29"/>
      <c r="I354" s="29"/>
      <c r="J354" s="6"/>
      <c r="K354" s="29"/>
      <c r="L354" s="29"/>
      <c r="M354" s="29"/>
      <c r="N354" s="29"/>
      <c r="O354" s="29"/>
      <c r="P354" s="29"/>
      <c r="Q354" s="29"/>
      <c r="R354" s="29"/>
      <c r="S354" s="29"/>
      <c r="T354" s="1"/>
      <c r="U354" s="34"/>
      <c r="V354" s="34"/>
    </row>
    <row x14ac:dyDescent="0.25" r="355" customHeight="1" ht="15.75">
      <c r="A355" s="1"/>
      <c r="B355" s="34"/>
      <c r="C355" s="2"/>
      <c r="D355" s="34"/>
      <c r="E355" s="34"/>
      <c r="F355" s="34"/>
      <c r="G355" s="34"/>
      <c r="H355" s="29"/>
      <c r="I355" s="29"/>
      <c r="J355" s="6"/>
      <c r="K355" s="29"/>
      <c r="L355" s="29"/>
      <c r="M355" s="29"/>
      <c r="N355" s="29"/>
      <c r="O355" s="29"/>
      <c r="P355" s="29"/>
      <c r="Q355" s="29"/>
      <c r="R355" s="29"/>
      <c r="S355" s="29"/>
      <c r="T355" s="1"/>
      <c r="U355" s="34"/>
      <c r="V355" s="34"/>
    </row>
    <row x14ac:dyDescent="0.25" r="356" customHeight="1" ht="15.75">
      <c r="A356" s="1"/>
      <c r="B356" s="34"/>
      <c r="C356" s="2"/>
      <c r="D356" s="34"/>
      <c r="E356" s="34"/>
      <c r="F356" s="34"/>
      <c r="G356" s="34"/>
      <c r="H356" s="29"/>
      <c r="I356" s="29"/>
      <c r="J356" s="6"/>
      <c r="K356" s="29"/>
      <c r="L356" s="29"/>
      <c r="M356" s="29"/>
      <c r="N356" s="29"/>
      <c r="O356" s="29"/>
      <c r="P356" s="29"/>
      <c r="Q356" s="29"/>
      <c r="R356" s="29"/>
      <c r="S356" s="29"/>
      <c r="T356" s="1"/>
      <c r="U356" s="34"/>
      <c r="V356" s="34"/>
    </row>
    <row x14ac:dyDescent="0.25" r="357" customHeight="1" ht="15.75">
      <c r="A357" s="1"/>
      <c r="B357" s="34"/>
      <c r="C357" s="2"/>
      <c r="D357" s="34"/>
      <c r="E357" s="34"/>
      <c r="F357" s="34"/>
      <c r="G357" s="34"/>
      <c r="H357" s="29"/>
      <c r="I357" s="29"/>
      <c r="J357" s="6"/>
      <c r="K357" s="29"/>
      <c r="L357" s="29"/>
      <c r="M357" s="29"/>
      <c r="N357" s="29"/>
      <c r="O357" s="29"/>
      <c r="P357" s="29"/>
      <c r="Q357" s="29"/>
      <c r="R357" s="29"/>
      <c r="S357" s="29"/>
      <c r="T357" s="1"/>
      <c r="U357" s="34"/>
      <c r="V357" s="34"/>
    </row>
    <row x14ac:dyDescent="0.25" r="358" customHeight="1" ht="15.75">
      <c r="A358" s="1"/>
      <c r="B358" s="34"/>
      <c r="C358" s="2"/>
      <c r="D358" s="34"/>
      <c r="E358" s="34"/>
      <c r="F358" s="34"/>
      <c r="G358" s="34"/>
      <c r="H358" s="29"/>
      <c r="I358" s="29"/>
      <c r="J358" s="6"/>
      <c r="K358" s="29"/>
      <c r="L358" s="29"/>
      <c r="M358" s="29"/>
      <c r="N358" s="29"/>
      <c r="O358" s="29"/>
      <c r="P358" s="29"/>
      <c r="Q358" s="29"/>
      <c r="R358" s="29"/>
      <c r="S358" s="29"/>
      <c r="T358" s="1"/>
      <c r="U358" s="34"/>
      <c r="V358" s="34"/>
    </row>
    <row x14ac:dyDescent="0.25" r="359" customHeight="1" ht="15.75">
      <c r="A359" s="1"/>
      <c r="B359" s="34"/>
      <c r="C359" s="2"/>
      <c r="D359" s="34"/>
      <c r="E359" s="34"/>
      <c r="F359" s="34"/>
      <c r="G359" s="34"/>
      <c r="H359" s="29"/>
      <c r="I359" s="29"/>
      <c r="J359" s="6"/>
      <c r="K359" s="29"/>
      <c r="L359" s="29"/>
      <c r="M359" s="29"/>
      <c r="N359" s="29"/>
      <c r="O359" s="29"/>
      <c r="P359" s="29"/>
      <c r="Q359" s="29"/>
      <c r="R359" s="29"/>
      <c r="S359" s="29"/>
      <c r="T359" s="1"/>
      <c r="U359" s="34"/>
      <c r="V359" s="34"/>
    </row>
    <row x14ac:dyDescent="0.25" r="360" customHeight="1" ht="15.75">
      <c r="A360" s="1"/>
      <c r="B360" s="34"/>
      <c r="C360" s="2"/>
      <c r="D360" s="34"/>
      <c r="E360" s="34"/>
      <c r="F360" s="34"/>
      <c r="G360" s="34"/>
      <c r="H360" s="29"/>
      <c r="I360" s="29"/>
      <c r="J360" s="6"/>
      <c r="K360" s="29"/>
      <c r="L360" s="29"/>
      <c r="M360" s="29"/>
      <c r="N360" s="29"/>
      <c r="O360" s="29"/>
      <c r="P360" s="29"/>
      <c r="Q360" s="29"/>
      <c r="R360" s="29"/>
      <c r="S360" s="29"/>
      <c r="T360" s="1"/>
      <c r="U360" s="34"/>
      <c r="V360" s="34"/>
    </row>
    <row x14ac:dyDescent="0.25" r="361" customHeight="1" ht="15.75">
      <c r="A361" s="1"/>
      <c r="B361" s="34"/>
      <c r="C361" s="2"/>
      <c r="D361" s="34"/>
      <c r="E361" s="34"/>
      <c r="F361" s="34"/>
      <c r="G361" s="34"/>
      <c r="H361" s="29"/>
      <c r="I361" s="29"/>
      <c r="J361" s="6"/>
      <c r="K361" s="29"/>
      <c r="L361" s="29"/>
      <c r="M361" s="29"/>
      <c r="N361" s="29"/>
      <c r="O361" s="29"/>
      <c r="P361" s="29"/>
      <c r="Q361" s="29"/>
      <c r="R361" s="29"/>
      <c r="S361" s="29"/>
      <c r="T361" s="1"/>
      <c r="U361" s="34"/>
      <c r="V361" s="34"/>
    </row>
    <row x14ac:dyDescent="0.25" r="362" customHeight="1" ht="15.75">
      <c r="A362" s="1"/>
      <c r="B362" s="34"/>
      <c r="C362" s="2"/>
      <c r="D362" s="34"/>
      <c r="E362" s="34"/>
      <c r="F362" s="34"/>
      <c r="G362" s="34"/>
      <c r="H362" s="29"/>
      <c r="I362" s="29"/>
      <c r="J362" s="6"/>
      <c r="K362" s="29"/>
      <c r="L362" s="29"/>
      <c r="M362" s="29"/>
      <c r="N362" s="29"/>
      <c r="O362" s="29"/>
      <c r="P362" s="29"/>
      <c r="Q362" s="29"/>
      <c r="R362" s="29"/>
      <c r="S362" s="29"/>
      <c r="T362" s="1"/>
      <c r="U362" s="34"/>
      <c r="V362" s="34"/>
    </row>
    <row x14ac:dyDescent="0.25" r="363" customHeight="1" ht="15.75">
      <c r="A363" s="1"/>
      <c r="B363" s="34"/>
      <c r="C363" s="2"/>
      <c r="D363" s="34"/>
      <c r="E363" s="34"/>
      <c r="F363" s="34"/>
      <c r="G363" s="34"/>
      <c r="H363" s="29"/>
      <c r="I363" s="29"/>
      <c r="J363" s="6"/>
      <c r="K363" s="29"/>
      <c r="L363" s="29"/>
      <c r="M363" s="29"/>
      <c r="N363" s="29"/>
      <c r="O363" s="29"/>
      <c r="P363" s="29"/>
      <c r="Q363" s="29"/>
      <c r="R363" s="29"/>
      <c r="S363" s="29"/>
      <c r="T363" s="1"/>
      <c r="U363" s="34"/>
      <c r="V363" s="34"/>
    </row>
    <row x14ac:dyDescent="0.25" r="364" customHeight="1" ht="15.75">
      <c r="A364" s="1"/>
      <c r="B364" s="34"/>
      <c r="C364" s="2"/>
      <c r="D364" s="34"/>
      <c r="E364" s="34"/>
      <c r="F364" s="34"/>
      <c r="G364" s="34"/>
      <c r="H364" s="29"/>
      <c r="I364" s="29"/>
      <c r="J364" s="6"/>
      <c r="K364" s="29"/>
      <c r="L364" s="29"/>
      <c r="M364" s="29"/>
      <c r="N364" s="29"/>
      <c r="O364" s="29"/>
      <c r="P364" s="29"/>
      <c r="Q364" s="29"/>
      <c r="R364" s="29"/>
      <c r="S364" s="29"/>
      <c r="T364" s="1"/>
      <c r="U364" s="34"/>
      <c r="V364" s="34"/>
    </row>
    <row x14ac:dyDescent="0.25" r="365" customHeight="1" ht="15.75">
      <c r="A365" s="1"/>
      <c r="B365" s="34"/>
      <c r="C365" s="2"/>
      <c r="D365" s="34"/>
      <c r="E365" s="34"/>
      <c r="F365" s="34"/>
      <c r="G365" s="34"/>
      <c r="H365" s="29"/>
      <c r="I365" s="29"/>
      <c r="J365" s="6"/>
      <c r="K365" s="29"/>
      <c r="L365" s="29"/>
      <c r="M365" s="29"/>
      <c r="N365" s="29"/>
      <c r="O365" s="29"/>
      <c r="P365" s="29"/>
      <c r="Q365" s="29"/>
      <c r="R365" s="29"/>
      <c r="S365" s="29"/>
      <c r="T365" s="1"/>
      <c r="U365" s="34"/>
      <c r="V365" s="34"/>
    </row>
    <row x14ac:dyDescent="0.25" r="366" customHeight="1" ht="15.75">
      <c r="A366" s="1"/>
      <c r="B366" s="34"/>
      <c r="C366" s="2"/>
      <c r="D366" s="34"/>
      <c r="E366" s="34"/>
      <c r="F366" s="34"/>
      <c r="G366" s="34"/>
      <c r="H366" s="29"/>
      <c r="I366" s="29"/>
      <c r="J366" s="6"/>
      <c r="K366" s="29"/>
      <c r="L366" s="29"/>
      <c r="M366" s="29"/>
      <c r="N366" s="29"/>
      <c r="O366" s="29"/>
      <c r="P366" s="29"/>
      <c r="Q366" s="29"/>
      <c r="R366" s="29"/>
      <c r="S366" s="29"/>
      <c r="T366" s="1"/>
      <c r="U366" s="34"/>
      <c r="V366" s="34"/>
    </row>
    <row x14ac:dyDescent="0.25" r="367" customHeight="1" ht="15.75">
      <c r="A367" s="1"/>
      <c r="B367" s="34"/>
      <c r="C367" s="2"/>
      <c r="D367" s="34"/>
      <c r="E367" s="34"/>
      <c r="F367" s="34"/>
      <c r="G367" s="34"/>
      <c r="H367" s="29"/>
      <c r="I367" s="29"/>
      <c r="J367" s="6"/>
      <c r="K367" s="29"/>
      <c r="L367" s="29"/>
      <c r="M367" s="29"/>
      <c r="N367" s="29"/>
      <c r="O367" s="29"/>
      <c r="P367" s="29"/>
      <c r="Q367" s="29"/>
      <c r="R367" s="29"/>
      <c r="S367" s="29"/>
      <c r="T367" s="1"/>
      <c r="U367" s="34"/>
      <c r="V367" s="34"/>
    </row>
    <row x14ac:dyDescent="0.25" r="368" customHeight="1" ht="15.75">
      <c r="A368" s="1"/>
      <c r="B368" s="34"/>
      <c r="C368" s="2"/>
      <c r="D368" s="34"/>
      <c r="E368" s="34"/>
      <c r="F368" s="34"/>
      <c r="G368" s="34"/>
      <c r="H368" s="29"/>
      <c r="I368" s="29"/>
      <c r="J368" s="6"/>
      <c r="K368" s="29"/>
      <c r="L368" s="29"/>
      <c r="M368" s="29"/>
      <c r="N368" s="29"/>
      <c r="O368" s="29"/>
      <c r="P368" s="29"/>
      <c r="Q368" s="29"/>
      <c r="R368" s="29"/>
      <c r="S368" s="29"/>
      <c r="T368" s="1"/>
      <c r="U368" s="34"/>
      <c r="V368" s="34"/>
    </row>
    <row x14ac:dyDescent="0.25" r="369" customHeight="1" ht="15.75">
      <c r="A369" s="1"/>
      <c r="B369" s="34"/>
      <c r="C369" s="2"/>
      <c r="D369" s="34"/>
      <c r="E369" s="34"/>
      <c r="F369" s="34"/>
      <c r="G369" s="34"/>
      <c r="H369" s="29"/>
      <c r="I369" s="29"/>
      <c r="J369" s="6"/>
      <c r="K369" s="29"/>
      <c r="L369" s="29"/>
      <c r="M369" s="29"/>
      <c r="N369" s="29"/>
      <c r="O369" s="29"/>
      <c r="P369" s="29"/>
      <c r="Q369" s="29"/>
      <c r="R369" s="29"/>
      <c r="S369" s="29"/>
      <c r="T369" s="1"/>
      <c r="U369" s="34"/>
      <c r="V369" s="34"/>
    </row>
    <row x14ac:dyDescent="0.25" r="370" customHeight="1" ht="15.75">
      <c r="A370" s="1"/>
      <c r="B370" s="34"/>
      <c r="C370" s="2"/>
      <c r="D370" s="34"/>
      <c r="E370" s="34"/>
      <c r="F370" s="34"/>
      <c r="G370" s="34"/>
      <c r="H370" s="29"/>
      <c r="I370" s="29"/>
      <c r="J370" s="6"/>
      <c r="K370" s="29"/>
      <c r="L370" s="29"/>
      <c r="M370" s="29"/>
      <c r="N370" s="29"/>
      <c r="O370" s="29"/>
      <c r="P370" s="29"/>
      <c r="Q370" s="29"/>
      <c r="R370" s="29"/>
      <c r="S370" s="29"/>
      <c r="T370" s="1"/>
      <c r="U370" s="34"/>
      <c r="V370" s="34"/>
    </row>
    <row x14ac:dyDescent="0.25" r="371" customHeight="1" ht="15.75">
      <c r="A371" s="1"/>
      <c r="B371" s="34"/>
      <c r="C371" s="2"/>
      <c r="D371" s="34"/>
      <c r="E371" s="34"/>
      <c r="F371" s="34"/>
      <c r="G371" s="34"/>
      <c r="H371" s="29"/>
      <c r="I371" s="29"/>
      <c r="J371" s="6"/>
      <c r="K371" s="29"/>
      <c r="L371" s="29"/>
      <c r="M371" s="29"/>
      <c r="N371" s="29"/>
      <c r="O371" s="29"/>
      <c r="P371" s="29"/>
      <c r="Q371" s="29"/>
      <c r="R371" s="29"/>
      <c r="S371" s="29"/>
      <c r="T371" s="1"/>
      <c r="U371" s="34"/>
      <c r="V371" s="34"/>
    </row>
    <row x14ac:dyDescent="0.25" r="372" customHeight="1" ht="15.75">
      <c r="A372" s="1"/>
      <c r="B372" s="34"/>
      <c r="C372" s="2"/>
      <c r="D372" s="34"/>
      <c r="E372" s="34"/>
      <c r="F372" s="34"/>
      <c r="G372" s="34"/>
      <c r="H372" s="29"/>
      <c r="I372" s="29"/>
      <c r="J372" s="6"/>
      <c r="K372" s="29"/>
      <c r="L372" s="29"/>
      <c r="M372" s="29"/>
      <c r="N372" s="29"/>
      <c r="O372" s="29"/>
      <c r="P372" s="29"/>
      <c r="Q372" s="29"/>
      <c r="R372" s="29"/>
      <c r="S372" s="29"/>
      <c r="T372" s="1"/>
      <c r="U372" s="34"/>
      <c r="V372" s="34"/>
    </row>
    <row x14ac:dyDescent="0.25" r="373" customHeight="1" ht="15.75">
      <c r="A373" s="1"/>
      <c r="B373" s="34"/>
      <c r="C373" s="2"/>
      <c r="D373" s="34"/>
      <c r="E373" s="34"/>
      <c r="F373" s="34"/>
      <c r="G373" s="34"/>
      <c r="H373" s="29"/>
      <c r="I373" s="29"/>
      <c r="J373" s="6"/>
      <c r="K373" s="29"/>
      <c r="L373" s="29"/>
      <c r="M373" s="29"/>
      <c r="N373" s="29"/>
      <c r="O373" s="29"/>
      <c r="P373" s="29"/>
      <c r="Q373" s="29"/>
      <c r="R373" s="29"/>
      <c r="S373" s="29"/>
      <c r="T373" s="1"/>
      <c r="U373" s="34"/>
      <c r="V373" s="34"/>
    </row>
    <row x14ac:dyDescent="0.25" r="374" customHeight="1" ht="15.75">
      <c r="A374" s="1"/>
      <c r="B374" s="34"/>
      <c r="C374" s="2"/>
      <c r="D374" s="34"/>
      <c r="E374" s="34"/>
      <c r="F374" s="34"/>
      <c r="G374" s="34"/>
      <c r="H374" s="29"/>
      <c r="I374" s="29"/>
      <c r="J374" s="6"/>
      <c r="K374" s="29"/>
      <c r="L374" s="29"/>
      <c r="M374" s="29"/>
      <c r="N374" s="29"/>
      <c r="O374" s="29"/>
      <c r="P374" s="29"/>
      <c r="Q374" s="29"/>
      <c r="R374" s="29"/>
      <c r="S374" s="29"/>
      <c r="T374" s="1"/>
      <c r="U374" s="34"/>
      <c r="V374" s="34"/>
    </row>
    <row x14ac:dyDescent="0.25" r="375" customHeight="1" ht="15.75">
      <c r="A375" s="1"/>
      <c r="B375" s="34"/>
      <c r="C375" s="2"/>
      <c r="D375" s="34"/>
      <c r="E375" s="34"/>
      <c r="F375" s="34"/>
      <c r="G375" s="34"/>
      <c r="H375" s="29"/>
      <c r="I375" s="29"/>
      <c r="J375" s="6"/>
      <c r="K375" s="29"/>
      <c r="L375" s="29"/>
      <c r="M375" s="29"/>
      <c r="N375" s="29"/>
      <c r="O375" s="29"/>
      <c r="P375" s="29"/>
      <c r="Q375" s="29"/>
      <c r="R375" s="29"/>
      <c r="S375" s="29"/>
      <c r="T375" s="1"/>
      <c r="U375" s="34"/>
      <c r="V375" s="34"/>
    </row>
    <row x14ac:dyDescent="0.25" r="376" customHeight="1" ht="15.75">
      <c r="A376" s="1"/>
      <c r="B376" s="34"/>
      <c r="C376" s="2"/>
      <c r="D376" s="34"/>
      <c r="E376" s="34"/>
      <c r="F376" s="34"/>
      <c r="G376" s="34"/>
      <c r="H376" s="29"/>
      <c r="I376" s="29"/>
      <c r="J376" s="6"/>
      <c r="K376" s="29"/>
      <c r="L376" s="29"/>
      <c r="M376" s="29"/>
      <c r="N376" s="29"/>
      <c r="O376" s="29"/>
      <c r="P376" s="29"/>
      <c r="Q376" s="29"/>
      <c r="R376" s="29"/>
      <c r="S376" s="29"/>
      <c r="T376" s="1"/>
      <c r="U376" s="34"/>
      <c r="V376" s="34"/>
    </row>
    <row x14ac:dyDescent="0.25" r="377" customHeight="1" ht="15.75">
      <c r="A377" s="1"/>
      <c r="B377" s="34"/>
      <c r="C377" s="2"/>
      <c r="D377" s="34"/>
      <c r="E377" s="34"/>
      <c r="F377" s="34"/>
      <c r="G377" s="34"/>
      <c r="H377" s="29"/>
      <c r="I377" s="29"/>
      <c r="J377" s="6"/>
      <c r="K377" s="29"/>
      <c r="L377" s="29"/>
      <c r="M377" s="29"/>
      <c r="N377" s="29"/>
      <c r="O377" s="29"/>
      <c r="P377" s="29"/>
      <c r="Q377" s="29"/>
      <c r="R377" s="29"/>
      <c r="S377" s="29"/>
      <c r="T377" s="1"/>
      <c r="U377" s="34"/>
      <c r="V377" s="34"/>
    </row>
    <row x14ac:dyDescent="0.25" r="378" customHeight="1" ht="15.75">
      <c r="A378" s="1"/>
      <c r="B378" s="34"/>
      <c r="C378" s="2"/>
      <c r="D378" s="34"/>
      <c r="E378" s="34"/>
      <c r="F378" s="34"/>
      <c r="G378" s="34"/>
      <c r="H378" s="29"/>
      <c r="I378" s="29"/>
      <c r="J378" s="6"/>
      <c r="K378" s="29"/>
      <c r="L378" s="29"/>
      <c r="M378" s="29"/>
      <c r="N378" s="29"/>
      <c r="O378" s="29"/>
      <c r="P378" s="29"/>
      <c r="Q378" s="29"/>
      <c r="R378" s="29"/>
      <c r="S378" s="29"/>
      <c r="T378" s="1"/>
      <c r="U378" s="34"/>
      <c r="V378" s="34"/>
    </row>
    <row x14ac:dyDescent="0.25" r="379" customHeight="1" ht="15.75">
      <c r="A379" s="1"/>
      <c r="B379" s="34"/>
      <c r="C379" s="2"/>
      <c r="D379" s="34"/>
      <c r="E379" s="34"/>
      <c r="F379" s="34"/>
      <c r="G379" s="34"/>
      <c r="H379" s="29"/>
      <c r="I379" s="29"/>
      <c r="J379" s="6"/>
      <c r="K379" s="29"/>
      <c r="L379" s="29"/>
      <c r="M379" s="29"/>
      <c r="N379" s="29"/>
      <c r="O379" s="29"/>
      <c r="P379" s="29"/>
      <c r="Q379" s="29"/>
      <c r="R379" s="29"/>
      <c r="S379" s="29"/>
      <c r="T379" s="1"/>
      <c r="U379" s="34"/>
      <c r="V379" s="34"/>
    </row>
    <row x14ac:dyDescent="0.25" r="380" customHeight="1" ht="15.75">
      <c r="A380" s="1"/>
      <c r="B380" s="34"/>
      <c r="C380" s="2"/>
      <c r="D380" s="34"/>
      <c r="E380" s="34"/>
      <c r="F380" s="34"/>
      <c r="G380" s="34"/>
      <c r="H380" s="29"/>
      <c r="I380" s="29"/>
      <c r="J380" s="6"/>
      <c r="K380" s="29"/>
      <c r="L380" s="29"/>
      <c r="M380" s="29"/>
      <c r="N380" s="29"/>
      <c r="O380" s="29"/>
      <c r="P380" s="29"/>
      <c r="Q380" s="29"/>
      <c r="R380" s="29"/>
      <c r="S380" s="29"/>
      <c r="T380" s="1"/>
      <c r="U380" s="34"/>
      <c r="V380" s="34"/>
    </row>
    <row x14ac:dyDescent="0.25" r="381" customHeight="1" ht="15.75">
      <c r="A381" s="1"/>
      <c r="B381" s="34"/>
      <c r="C381" s="2"/>
      <c r="D381" s="34"/>
      <c r="E381" s="34"/>
      <c r="F381" s="34"/>
      <c r="G381" s="34"/>
      <c r="H381" s="29"/>
      <c r="I381" s="29"/>
      <c r="J381" s="6"/>
      <c r="K381" s="29"/>
      <c r="L381" s="29"/>
      <c r="M381" s="29"/>
      <c r="N381" s="29"/>
      <c r="O381" s="29"/>
      <c r="P381" s="29"/>
      <c r="Q381" s="29"/>
      <c r="R381" s="29"/>
      <c r="S381" s="29"/>
      <c r="T381" s="1"/>
      <c r="U381" s="34"/>
      <c r="V381" s="34"/>
    </row>
    <row x14ac:dyDescent="0.25" r="382" customHeight="1" ht="15.75">
      <c r="A382" s="1"/>
      <c r="B382" s="34"/>
      <c r="C382" s="2"/>
      <c r="D382" s="34"/>
      <c r="E382" s="34"/>
      <c r="F382" s="34"/>
      <c r="G382" s="34"/>
      <c r="H382" s="29"/>
      <c r="I382" s="29"/>
      <c r="J382" s="6"/>
      <c r="K382" s="29"/>
      <c r="L382" s="29"/>
      <c r="M382" s="29"/>
      <c r="N382" s="29"/>
      <c r="O382" s="29"/>
      <c r="P382" s="29"/>
      <c r="Q382" s="29"/>
      <c r="R382" s="29"/>
      <c r="S382" s="29"/>
      <c r="T382" s="1"/>
      <c r="U382" s="34"/>
      <c r="V382" s="34"/>
    </row>
    <row x14ac:dyDescent="0.25" r="383" customHeight="1" ht="15.75">
      <c r="A383" s="1"/>
      <c r="B383" s="34"/>
      <c r="C383" s="2"/>
      <c r="D383" s="34"/>
      <c r="E383" s="34"/>
      <c r="F383" s="34"/>
      <c r="G383" s="34"/>
      <c r="H383" s="29"/>
      <c r="I383" s="29"/>
      <c r="J383" s="6"/>
      <c r="K383" s="29"/>
      <c r="L383" s="29"/>
      <c r="M383" s="29"/>
      <c r="N383" s="29"/>
      <c r="O383" s="29"/>
      <c r="P383" s="29"/>
      <c r="Q383" s="29"/>
      <c r="R383" s="29"/>
      <c r="S383" s="29"/>
      <c r="T383" s="1"/>
      <c r="U383" s="34"/>
      <c r="V383" s="34"/>
    </row>
    <row x14ac:dyDescent="0.25" r="384" customHeight="1" ht="15.75">
      <c r="A384" s="1"/>
      <c r="B384" s="34"/>
      <c r="C384" s="2"/>
      <c r="D384" s="34"/>
      <c r="E384" s="34"/>
      <c r="F384" s="34"/>
      <c r="G384" s="34"/>
      <c r="H384" s="29"/>
      <c r="I384" s="29"/>
      <c r="J384" s="6"/>
      <c r="K384" s="29"/>
      <c r="L384" s="29"/>
      <c r="M384" s="29"/>
      <c r="N384" s="29"/>
      <c r="O384" s="29"/>
      <c r="P384" s="29"/>
      <c r="Q384" s="29"/>
      <c r="R384" s="29"/>
      <c r="S384" s="29"/>
      <c r="T384" s="1"/>
      <c r="U384" s="34"/>
      <c r="V384" s="34"/>
    </row>
    <row x14ac:dyDescent="0.25" r="385" customHeight="1" ht="15.75">
      <c r="A385" s="1"/>
      <c r="B385" s="34"/>
      <c r="C385" s="2"/>
      <c r="D385" s="34"/>
      <c r="E385" s="34"/>
      <c r="F385" s="34"/>
      <c r="G385" s="34"/>
      <c r="H385" s="29"/>
      <c r="I385" s="29"/>
      <c r="J385" s="6"/>
      <c r="K385" s="29"/>
      <c r="L385" s="29"/>
      <c r="M385" s="29"/>
      <c r="N385" s="29"/>
      <c r="O385" s="29"/>
      <c r="P385" s="29"/>
      <c r="Q385" s="29"/>
      <c r="R385" s="29"/>
      <c r="S385" s="29"/>
      <c r="T385" s="1"/>
      <c r="U385" s="34"/>
      <c r="V385" s="34"/>
    </row>
    <row x14ac:dyDescent="0.25" r="386" customHeight="1" ht="15.75">
      <c r="A386" s="1"/>
      <c r="B386" s="34"/>
      <c r="C386" s="2"/>
      <c r="D386" s="34"/>
      <c r="E386" s="34"/>
      <c r="F386" s="34"/>
      <c r="G386" s="34"/>
      <c r="H386" s="29"/>
      <c r="I386" s="29"/>
      <c r="J386" s="6"/>
      <c r="K386" s="29"/>
      <c r="L386" s="29"/>
      <c r="M386" s="29"/>
      <c r="N386" s="29"/>
      <c r="O386" s="29"/>
      <c r="P386" s="29"/>
      <c r="Q386" s="29"/>
      <c r="R386" s="29"/>
      <c r="S386" s="29"/>
      <c r="T386" s="1"/>
      <c r="U386" s="34"/>
      <c r="V386" s="34"/>
    </row>
    <row x14ac:dyDescent="0.25" r="387" customHeight="1" ht="15.75">
      <c r="A387" s="1"/>
      <c r="B387" s="34"/>
      <c r="C387" s="2"/>
      <c r="D387" s="34"/>
      <c r="E387" s="34"/>
      <c r="F387" s="34"/>
      <c r="G387" s="34"/>
      <c r="H387" s="29"/>
      <c r="I387" s="29"/>
      <c r="J387" s="6"/>
      <c r="K387" s="29"/>
      <c r="L387" s="29"/>
      <c r="M387" s="29"/>
      <c r="N387" s="29"/>
      <c r="O387" s="29"/>
      <c r="P387" s="29"/>
      <c r="Q387" s="29"/>
      <c r="R387" s="29"/>
      <c r="S387" s="29"/>
      <c r="T387" s="1"/>
      <c r="U387" s="34"/>
      <c r="V387" s="34"/>
    </row>
    <row x14ac:dyDescent="0.25" r="388" customHeight="1" ht="15.75">
      <c r="A388" s="1"/>
      <c r="B388" s="34"/>
      <c r="C388" s="2"/>
      <c r="D388" s="34"/>
      <c r="E388" s="34"/>
      <c r="F388" s="34"/>
      <c r="G388" s="34"/>
      <c r="H388" s="29"/>
      <c r="I388" s="29"/>
      <c r="J388" s="6"/>
      <c r="K388" s="29"/>
      <c r="L388" s="29"/>
      <c r="M388" s="29"/>
      <c r="N388" s="29"/>
      <c r="O388" s="29"/>
      <c r="P388" s="29"/>
      <c r="Q388" s="29"/>
      <c r="R388" s="29"/>
      <c r="S388" s="29"/>
      <c r="T388" s="1"/>
      <c r="U388" s="34"/>
      <c r="V388" s="34"/>
    </row>
    <row x14ac:dyDescent="0.25" r="389" customHeight="1" ht="15.75">
      <c r="A389" s="1"/>
      <c r="B389" s="34"/>
      <c r="C389" s="2"/>
      <c r="D389" s="34"/>
      <c r="E389" s="34"/>
      <c r="F389" s="34"/>
      <c r="G389" s="34"/>
      <c r="H389" s="29"/>
      <c r="I389" s="29"/>
      <c r="J389" s="6"/>
      <c r="K389" s="29"/>
      <c r="L389" s="29"/>
      <c r="M389" s="29"/>
      <c r="N389" s="29"/>
      <c r="O389" s="29"/>
      <c r="P389" s="29"/>
      <c r="Q389" s="29"/>
      <c r="R389" s="29"/>
      <c r="S389" s="29"/>
      <c r="T389" s="1"/>
      <c r="U389" s="34"/>
      <c r="V389" s="34"/>
    </row>
    <row x14ac:dyDescent="0.25" r="390" customHeight="1" ht="15.75">
      <c r="A390" s="1"/>
      <c r="B390" s="34"/>
      <c r="C390" s="2"/>
      <c r="D390" s="34"/>
      <c r="E390" s="34"/>
      <c r="F390" s="34"/>
      <c r="G390" s="34"/>
      <c r="H390" s="29"/>
      <c r="I390" s="29"/>
      <c r="J390" s="6"/>
      <c r="K390" s="29"/>
      <c r="L390" s="29"/>
      <c r="M390" s="29"/>
      <c r="N390" s="29"/>
      <c r="O390" s="29"/>
      <c r="P390" s="29"/>
      <c r="Q390" s="29"/>
      <c r="R390" s="29"/>
      <c r="S390" s="29"/>
      <c r="T390" s="1"/>
      <c r="U390" s="34"/>
      <c r="V390" s="34"/>
    </row>
    <row x14ac:dyDescent="0.25" r="391" customHeight="1" ht="15.75">
      <c r="A391" s="1"/>
      <c r="B391" s="34"/>
      <c r="C391" s="2"/>
      <c r="D391" s="34"/>
      <c r="E391" s="34"/>
      <c r="F391" s="34"/>
      <c r="G391" s="34"/>
      <c r="H391" s="29"/>
      <c r="I391" s="29"/>
      <c r="J391" s="6"/>
      <c r="K391" s="29"/>
      <c r="L391" s="29"/>
      <c r="M391" s="29"/>
      <c r="N391" s="29"/>
      <c r="O391" s="29"/>
      <c r="P391" s="29"/>
      <c r="Q391" s="29"/>
      <c r="R391" s="29"/>
      <c r="S391" s="29"/>
      <c r="T391" s="1"/>
      <c r="U391" s="34"/>
      <c r="V391" s="34"/>
    </row>
    <row x14ac:dyDescent="0.25" r="392" customHeight="1" ht="15.75">
      <c r="A392" s="1"/>
      <c r="B392" s="34"/>
      <c r="C392" s="2"/>
      <c r="D392" s="34"/>
      <c r="E392" s="34"/>
      <c r="F392" s="34"/>
      <c r="G392" s="34"/>
      <c r="H392" s="29"/>
      <c r="I392" s="29"/>
      <c r="J392" s="6"/>
      <c r="K392" s="29"/>
      <c r="L392" s="29"/>
      <c r="M392" s="29"/>
      <c r="N392" s="29"/>
      <c r="O392" s="29"/>
      <c r="P392" s="29"/>
      <c r="Q392" s="29"/>
      <c r="R392" s="29"/>
      <c r="S392" s="29"/>
      <c r="T392" s="1"/>
      <c r="U392" s="34"/>
      <c r="V392" s="34"/>
    </row>
    <row x14ac:dyDescent="0.25" r="393" customHeight="1" ht="15.75">
      <c r="A393" s="1"/>
      <c r="B393" s="34"/>
      <c r="C393" s="2"/>
      <c r="D393" s="34"/>
      <c r="E393" s="34"/>
      <c r="F393" s="34"/>
      <c r="G393" s="34"/>
      <c r="H393" s="29"/>
      <c r="I393" s="29"/>
      <c r="J393" s="6"/>
      <c r="K393" s="29"/>
      <c r="L393" s="29"/>
      <c r="M393" s="29"/>
      <c r="N393" s="29"/>
      <c r="O393" s="29"/>
      <c r="P393" s="29"/>
      <c r="Q393" s="29"/>
      <c r="R393" s="29"/>
      <c r="S393" s="29"/>
      <c r="T393" s="1"/>
      <c r="U393" s="34"/>
      <c r="V393" s="34"/>
    </row>
    <row x14ac:dyDescent="0.25" r="394" customHeight="1" ht="15.75">
      <c r="A394" s="1"/>
      <c r="B394" s="34"/>
      <c r="C394" s="2"/>
      <c r="D394" s="34"/>
      <c r="E394" s="34"/>
      <c r="F394" s="34"/>
      <c r="G394" s="34"/>
      <c r="H394" s="29"/>
      <c r="I394" s="29"/>
      <c r="J394" s="6"/>
      <c r="K394" s="29"/>
      <c r="L394" s="29"/>
      <c r="M394" s="29"/>
      <c r="N394" s="29"/>
      <c r="O394" s="29"/>
      <c r="P394" s="29"/>
      <c r="Q394" s="29"/>
      <c r="R394" s="29"/>
      <c r="S394" s="29"/>
      <c r="T394" s="1"/>
      <c r="U394" s="34"/>
      <c r="V394" s="34"/>
    </row>
    <row x14ac:dyDescent="0.25" r="395" customHeight="1" ht="15.75">
      <c r="A395" s="1"/>
      <c r="B395" s="34"/>
      <c r="C395" s="2"/>
      <c r="D395" s="34"/>
      <c r="E395" s="34"/>
      <c r="F395" s="34"/>
      <c r="G395" s="34"/>
      <c r="H395" s="29"/>
      <c r="I395" s="29"/>
      <c r="J395" s="6"/>
      <c r="K395" s="29"/>
      <c r="L395" s="29"/>
      <c r="M395" s="29"/>
      <c r="N395" s="29"/>
      <c r="O395" s="29"/>
      <c r="P395" s="29"/>
      <c r="Q395" s="29"/>
      <c r="R395" s="29"/>
      <c r="S395" s="29"/>
      <c r="T395" s="1"/>
      <c r="U395" s="34"/>
      <c r="V395" s="34"/>
    </row>
    <row x14ac:dyDescent="0.25" r="396" customHeight="1" ht="15.75">
      <c r="A396" s="1"/>
      <c r="B396" s="34"/>
      <c r="C396" s="2"/>
      <c r="D396" s="34"/>
      <c r="E396" s="34"/>
      <c r="F396" s="34"/>
      <c r="G396" s="34"/>
      <c r="H396" s="29"/>
      <c r="I396" s="29"/>
      <c r="J396" s="6"/>
      <c r="K396" s="29"/>
      <c r="L396" s="29"/>
      <c r="M396" s="29"/>
      <c r="N396" s="29"/>
      <c r="O396" s="29"/>
      <c r="P396" s="29"/>
      <c r="Q396" s="29"/>
      <c r="R396" s="29"/>
      <c r="S396" s="29"/>
      <c r="T396" s="1"/>
      <c r="U396" s="34"/>
      <c r="V396" s="34"/>
    </row>
    <row x14ac:dyDescent="0.25" r="397" customHeight="1" ht="15.75">
      <c r="A397" s="1"/>
      <c r="B397" s="34"/>
      <c r="C397" s="2"/>
      <c r="D397" s="34"/>
      <c r="E397" s="34"/>
      <c r="F397" s="34"/>
      <c r="G397" s="34"/>
      <c r="H397" s="29"/>
      <c r="I397" s="29"/>
      <c r="J397" s="6"/>
      <c r="K397" s="29"/>
      <c r="L397" s="29"/>
      <c r="M397" s="29"/>
      <c r="N397" s="29"/>
      <c r="O397" s="29"/>
      <c r="P397" s="29"/>
      <c r="Q397" s="29"/>
      <c r="R397" s="29"/>
      <c r="S397" s="29"/>
      <c r="T397" s="1"/>
      <c r="U397" s="34"/>
      <c r="V397" s="34"/>
    </row>
    <row x14ac:dyDescent="0.25" r="398" customHeight="1" ht="15.75">
      <c r="A398" s="1"/>
      <c r="B398" s="34"/>
      <c r="C398" s="2"/>
      <c r="D398" s="34"/>
      <c r="E398" s="34"/>
      <c r="F398" s="34"/>
      <c r="G398" s="34"/>
      <c r="H398" s="29"/>
      <c r="I398" s="29"/>
      <c r="J398" s="6"/>
      <c r="K398" s="29"/>
      <c r="L398" s="29"/>
      <c r="M398" s="29"/>
      <c r="N398" s="29"/>
      <c r="O398" s="29"/>
      <c r="P398" s="29"/>
      <c r="Q398" s="29"/>
      <c r="R398" s="29"/>
      <c r="S398" s="29"/>
      <c r="T398" s="1"/>
      <c r="U398" s="34"/>
      <c r="V398" s="34"/>
    </row>
    <row x14ac:dyDescent="0.25" r="399" customHeight="1" ht="15.75">
      <c r="A399" s="1"/>
      <c r="B399" s="34"/>
      <c r="C399" s="2"/>
      <c r="D399" s="34"/>
      <c r="E399" s="34"/>
      <c r="F399" s="34"/>
      <c r="G399" s="34"/>
      <c r="H399" s="29"/>
      <c r="I399" s="29"/>
      <c r="J399" s="6"/>
      <c r="K399" s="29"/>
      <c r="L399" s="29"/>
      <c r="M399" s="29"/>
      <c r="N399" s="29"/>
      <c r="O399" s="29"/>
      <c r="P399" s="29"/>
      <c r="Q399" s="29"/>
      <c r="R399" s="29"/>
      <c r="S399" s="29"/>
      <c r="T399" s="1"/>
      <c r="U399" s="34"/>
      <c r="V399" s="34"/>
    </row>
    <row x14ac:dyDescent="0.25" r="400" customHeight="1" ht="15.75">
      <c r="A400" s="1"/>
      <c r="B400" s="34"/>
      <c r="C400" s="2"/>
      <c r="D400" s="34"/>
      <c r="E400" s="34"/>
      <c r="F400" s="34"/>
      <c r="G400" s="34"/>
      <c r="H400" s="29"/>
      <c r="I400" s="29"/>
      <c r="J400" s="6"/>
      <c r="K400" s="29"/>
      <c r="L400" s="29"/>
      <c r="M400" s="29"/>
      <c r="N400" s="29"/>
      <c r="O400" s="29"/>
      <c r="P400" s="29"/>
      <c r="Q400" s="29"/>
      <c r="R400" s="29"/>
      <c r="S400" s="29"/>
      <c r="T400" s="1"/>
      <c r="U400" s="34"/>
      <c r="V400" s="34"/>
    </row>
    <row x14ac:dyDescent="0.25" r="401" customHeight="1" ht="15.75">
      <c r="A401" s="1"/>
      <c r="B401" s="34"/>
      <c r="C401" s="2"/>
      <c r="D401" s="34"/>
      <c r="E401" s="34"/>
      <c r="F401" s="34"/>
      <c r="G401" s="34"/>
      <c r="H401" s="29"/>
      <c r="I401" s="29"/>
      <c r="J401" s="6"/>
      <c r="K401" s="29"/>
      <c r="L401" s="29"/>
      <c r="M401" s="29"/>
      <c r="N401" s="29"/>
      <c r="O401" s="29"/>
      <c r="P401" s="29"/>
      <c r="Q401" s="29"/>
      <c r="R401" s="29"/>
      <c r="S401" s="29"/>
      <c r="T401" s="1"/>
      <c r="U401" s="34"/>
      <c r="V401" s="34"/>
    </row>
    <row x14ac:dyDescent="0.25" r="402" customHeight="1" ht="15.75">
      <c r="A402" s="1"/>
      <c r="B402" s="34"/>
      <c r="C402" s="2"/>
      <c r="D402" s="34"/>
      <c r="E402" s="34"/>
      <c r="F402" s="34"/>
      <c r="G402" s="34"/>
      <c r="H402" s="29"/>
      <c r="I402" s="29"/>
      <c r="J402" s="6"/>
      <c r="K402" s="29"/>
      <c r="L402" s="29"/>
      <c r="M402" s="29"/>
      <c r="N402" s="29"/>
      <c r="O402" s="29"/>
      <c r="P402" s="29"/>
      <c r="Q402" s="29"/>
      <c r="R402" s="29"/>
      <c r="S402" s="29"/>
      <c r="T402" s="1"/>
      <c r="U402" s="34"/>
      <c r="V402" s="34"/>
    </row>
    <row x14ac:dyDescent="0.25" r="403" customHeight="1" ht="15.75">
      <c r="A403" s="1"/>
      <c r="B403" s="34"/>
      <c r="C403" s="2"/>
      <c r="D403" s="34"/>
      <c r="E403" s="34"/>
      <c r="F403" s="34"/>
      <c r="G403" s="34"/>
      <c r="H403" s="29"/>
      <c r="I403" s="29"/>
      <c r="J403" s="6"/>
      <c r="K403" s="29"/>
      <c r="L403" s="29"/>
      <c r="M403" s="29"/>
      <c r="N403" s="29"/>
      <c r="O403" s="29"/>
      <c r="P403" s="29"/>
      <c r="Q403" s="29"/>
      <c r="R403" s="29"/>
      <c r="S403" s="29"/>
      <c r="T403" s="1"/>
      <c r="U403" s="34"/>
      <c r="V403" s="34"/>
    </row>
    <row x14ac:dyDescent="0.25" r="404" customHeight="1" ht="15.75">
      <c r="A404" s="1"/>
      <c r="B404" s="34"/>
      <c r="C404" s="2"/>
      <c r="D404" s="34"/>
      <c r="E404" s="34"/>
      <c r="F404" s="34"/>
      <c r="G404" s="34"/>
      <c r="H404" s="29"/>
      <c r="I404" s="29"/>
      <c r="J404" s="6"/>
      <c r="K404" s="29"/>
      <c r="L404" s="29"/>
      <c r="M404" s="29"/>
      <c r="N404" s="29"/>
      <c r="O404" s="29"/>
      <c r="P404" s="29"/>
      <c r="Q404" s="29"/>
      <c r="R404" s="29"/>
      <c r="S404" s="29"/>
      <c r="T404" s="1"/>
      <c r="U404" s="34"/>
      <c r="V404" s="34"/>
    </row>
    <row x14ac:dyDescent="0.25" r="405" customHeight="1" ht="15.75">
      <c r="A405" s="1"/>
      <c r="B405" s="34"/>
      <c r="C405" s="2"/>
      <c r="D405" s="34"/>
      <c r="E405" s="34"/>
      <c r="F405" s="34"/>
      <c r="G405" s="34"/>
      <c r="H405" s="29"/>
      <c r="I405" s="29"/>
      <c r="J405" s="6"/>
      <c r="K405" s="29"/>
      <c r="L405" s="29"/>
      <c r="M405" s="29"/>
      <c r="N405" s="29"/>
      <c r="O405" s="29"/>
      <c r="P405" s="29"/>
      <c r="Q405" s="29"/>
      <c r="R405" s="29"/>
      <c r="S405" s="29"/>
      <c r="T405" s="1"/>
      <c r="U405" s="34"/>
      <c r="V405" s="34"/>
    </row>
    <row x14ac:dyDescent="0.25" r="406" customHeight="1" ht="15.75">
      <c r="A406" s="1"/>
      <c r="B406" s="34"/>
      <c r="C406" s="2"/>
      <c r="D406" s="34"/>
      <c r="E406" s="34"/>
      <c r="F406" s="34"/>
      <c r="G406" s="34"/>
      <c r="H406" s="29"/>
      <c r="I406" s="29"/>
      <c r="J406" s="6"/>
      <c r="K406" s="29"/>
      <c r="L406" s="29"/>
      <c r="M406" s="29"/>
      <c r="N406" s="29"/>
      <c r="O406" s="29"/>
      <c r="P406" s="29"/>
      <c r="Q406" s="29"/>
      <c r="R406" s="29"/>
      <c r="S406" s="29"/>
      <c r="T406" s="1"/>
      <c r="U406" s="34"/>
      <c r="V406" s="34"/>
    </row>
    <row x14ac:dyDescent="0.25" r="407" customHeight="1" ht="15.75">
      <c r="A407" s="1"/>
      <c r="B407" s="34"/>
      <c r="C407" s="2"/>
      <c r="D407" s="34"/>
      <c r="E407" s="34"/>
      <c r="F407" s="34"/>
      <c r="G407" s="34"/>
      <c r="H407" s="29"/>
      <c r="I407" s="29"/>
      <c r="J407" s="6"/>
      <c r="K407" s="29"/>
      <c r="L407" s="29"/>
      <c r="M407" s="29"/>
      <c r="N407" s="29"/>
      <c r="O407" s="29"/>
      <c r="P407" s="29"/>
      <c r="Q407" s="29"/>
      <c r="R407" s="29"/>
      <c r="S407" s="29"/>
      <c r="T407" s="1"/>
      <c r="U407" s="34"/>
      <c r="V407" s="34"/>
    </row>
    <row x14ac:dyDescent="0.25" r="408" customHeight="1" ht="15.75">
      <c r="A408" s="1"/>
      <c r="B408" s="34"/>
      <c r="C408" s="2"/>
      <c r="D408" s="34"/>
      <c r="E408" s="34"/>
      <c r="F408" s="34"/>
      <c r="G408" s="34"/>
      <c r="H408" s="29"/>
      <c r="I408" s="29"/>
      <c r="J408" s="6"/>
      <c r="K408" s="29"/>
      <c r="L408" s="29"/>
      <c r="M408" s="29"/>
      <c r="N408" s="29"/>
      <c r="O408" s="29"/>
      <c r="P408" s="29"/>
      <c r="Q408" s="29"/>
      <c r="R408" s="29"/>
      <c r="S408" s="29"/>
      <c r="T408" s="1"/>
      <c r="U408" s="34"/>
      <c r="V408" s="34"/>
    </row>
    <row x14ac:dyDescent="0.25" r="409" customHeight="1" ht="15.75">
      <c r="A409" s="1"/>
      <c r="B409" s="34"/>
      <c r="C409" s="2"/>
      <c r="D409" s="34"/>
      <c r="E409" s="34"/>
      <c r="F409" s="34"/>
      <c r="G409" s="34"/>
      <c r="H409" s="29"/>
      <c r="I409" s="29"/>
      <c r="J409" s="6"/>
      <c r="K409" s="29"/>
      <c r="L409" s="29"/>
      <c r="M409" s="29"/>
      <c r="N409" s="29"/>
      <c r="O409" s="29"/>
      <c r="P409" s="29"/>
      <c r="Q409" s="29"/>
      <c r="R409" s="29"/>
      <c r="S409" s="29"/>
      <c r="T409" s="1"/>
      <c r="U409" s="34"/>
      <c r="V409" s="34"/>
    </row>
    <row x14ac:dyDescent="0.25" r="410" customHeight="1" ht="15.75">
      <c r="A410" s="1"/>
      <c r="B410" s="34"/>
      <c r="C410" s="2"/>
      <c r="D410" s="34"/>
      <c r="E410" s="34"/>
      <c r="F410" s="34"/>
      <c r="G410" s="34"/>
      <c r="H410" s="29"/>
      <c r="I410" s="29"/>
      <c r="J410" s="6"/>
      <c r="K410" s="29"/>
      <c r="L410" s="29"/>
      <c r="M410" s="29"/>
      <c r="N410" s="29"/>
      <c r="O410" s="29"/>
      <c r="P410" s="29"/>
      <c r="Q410" s="29"/>
      <c r="R410" s="29"/>
      <c r="S410" s="29"/>
      <c r="T410" s="1"/>
      <c r="U410" s="34"/>
      <c r="V410" s="34"/>
    </row>
    <row x14ac:dyDescent="0.25" r="411" customHeight="1" ht="15.75">
      <c r="A411" s="1"/>
      <c r="B411" s="34"/>
      <c r="C411" s="2"/>
      <c r="D411" s="34"/>
      <c r="E411" s="34"/>
      <c r="F411" s="34"/>
      <c r="G411" s="34"/>
      <c r="H411" s="29"/>
      <c r="I411" s="29"/>
      <c r="J411" s="6"/>
      <c r="K411" s="29"/>
      <c r="L411" s="29"/>
      <c r="M411" s="29"/>
      <c r="N411" s="29"/>
      <c r="O411" s="29"/>
      <c r="P411" s="29"/>
      <c r="Q411" s="29"/>
      <c r="R411" s="29"/>
      <c r="S411" s="29"/>
      <c r="T411" s="1"/>
      <c r="U411" s="34"/>
      <c r="V411" s="34"/>
    </row>
    <row x14ac:dyDescent="0.25" r="412" customHeight="1" ht="15.75">
      <c r="A412" s="1"/>
      <c r="B412" s="34"/>
      <c r="C412" s="2"/>
      <c r="D412" s="34"/>
      <c r="E412" s="34"/>
      <c r="F412" s="34"/>
      <c r="G412" s="34"/>
      <c r="H412" s="29"/>
      <c r="I412" s="29"/>
      <c r="J412" s="6"/>
      <c r="K412" s="29"/>
      <c r="L412" s="29"/>
      <c r="M412" s="29"/>
      <c r="N412" s="29"/>
      <c r="O412" s="29"/>
      <c r="P412" s="29"/>
      <c r="Q412" s="29"/>
      <c r="R412" s="29"/>
      <c r="S412" s="29"/>
      <c r="T412" s="1"/>
      <c r="U412" s="34"/>
      <c r="V412" s="34"/>
    </row>
    <row x14ac:dyDescent="0.25" r="413" customHeight="1" ht="15.75">
      <c r="A413" s="1"/>
      <c r="B413" s="34"/>
      <c r="C413" s="2"/>
      <c r="D413" s="34"/>
      <c r="E413" s="34"/>
      <c r="F413" s="34"/>
      <c r="G413" s="34"/>
      <c r="H413" s="29"/>
      <c r="I413" s="29"/>
      <c r="J413" s="6"/>
      <c r="K413" s="29"/>
      <c r="L413" s="29"/>
      <c r="M413" s="29"/>
      <c r="N413" s="29"/>
      <c r="O413" s="29"/>
      <c r="P413" s="29"/>
      <c r="Q413" s="29"/>
      <c r="R413" s="29"/>
      <c r="S413" s="29"/>
      <c r="T413" s="1"/>
      <c r="U413" s="34"/>
      <c r="V413" s="34"/>
    </row>
    <row x14ac:dyDescent="0.25" r="414" customHeight="1" ht="15.75">
      <c r="A414" s="1"/>
      <c r="B414" s="34"/>
      <c r="C414" s="2"/>
      <c r="D414" s="34"/>
      <c r="E414" s="34"/>
      <c r="F414" s="34"/>
      <c r="G414" s="34"/>
      <c r="H414" s="29"/>
      <c r="I414" s="29"/>
      <c r="J414" s="6"/>
      <c r="K414" s="29"/>
      <c r="L414" s="29"/>
      <c r="M414" s="29"/>
      <c r="N414" s="29"/>
      <c r="O414" s="29"/>
      <c r="P414" s="29"/>
      <c r="Q414" s="29"/>
      <c r="R414" s="29"/>
      <c r="S414" s="29"/>
      <c r="T414" s="1"/>
      <c r="U414" s="34"/>
      <c r="V414" s="34"/>
    </row>
    <row x14ac:dyDescent="0.25" r="415" customHeight="1" ht="15.75">
      <c r="A415" s="1"/>
      <c r="B415" s="34"/>
      <c r="C415" s="2"/>
      <c r="D415" s="34"/>
      <c r="E415" s="34"/>
      <c r="F415" s="34"/>
      <c r="G415" s="34"/>
      <c r="H415" s="29"/>
      <c r="I415" s="29"/>
      <c r="J415" s="6"/>
      <c r="K415" s="29"/>
      <c r="L415" s="29"/>
      <c r="M415" s="29"/>
      <c r="N415" s="29"/>
      <c r="O415" s="29"/>
      <c r="P415" s="29"/>
      <c r="Q415" s="29"/>
      <c r="R415" s="29"/>
      <c r="S415" s="29"/>
      <c r="T415" s="1"/>
      <c r="U415" s="34"/>
      <c r="V415" s="34"/>
    </row>
    <row x14ac:dyDescent="0.25" r="416" customHeight="1" ht="15.75">
      <c r="A416" s="1"/>
      <c r="B416" s="34"/>
      <c r="C416" s="2"/>
      <c r="D416" s="34"/>
      <c r="E416" s="34"/>
      <c r="F416" s="34"/>
      <c r="G416" s="34"/>
      <c r="H416" s="29"/>
      <c r="I416" s="29"/>
      <c r="J416" s="6"/>
      <c r="K416" s="29"/>
      <c r="L416" s="29"/>
      <c r="M416" s="29"/>
      <c r="N416" s="29"/>
      <c r="O416" s="29"/>
      <c r="P416" s="29"/>
      <c r="Q416" s="29"/>
      <c r="R416" s="29"/>
      <c r="S416" s="29"/>
      <c r="T416" s="1"/>
      <c r="U416" s="34"/>
      <c r="V416" s="34"/>
    </row>
    <row x14ac:dyDescent="0.25" r="417" customHeight="1" ht="15.75">
      <c r="A417" s="1"/>
      <c r="B417" s="34"/>
      <c r="C417" s="2"/>
      <c r="D417" s="34"/>
      <c r="E417" s="34"/>
      <c r="F417" s="34"/>
      <c r="G417" s="34"/>
      <c r="H417" s="29"/>
      <c r="I417" s="29"/>
      <c r="J417" s="6"/>
      <c r="K417" s="29"/>
      <c r="L417" s="29"/>
      <c r="M417" s="29"/>
      <c r="N417" s="29"/>
      <c r="O417" s="29"/>
      <c r="P417" s="29"/>
      <c r="Q417" s="29"/>
      <c r="R417" s="29"/>
      <c r="S417" s="29"/>
      <c r="T417" s="1"/>
      <c r="U417" s="34"/>
      <c r="V417" s="34"/>
    </row>
    <row x14ac:dyDescent="0.25" r="418" customHeight="1" ht="15.75">
      <c r="A418" s="1"/>
      <c r="B418" s="34"/>
      <c r="C418" s="2"/>
      <c r="D418" s="34"/>
      <c r="E418" s="34"/>
      <c r="F418" s="34"/>
      <c r="G418" s="34"/>
      <c r="H418" s="29"/>
      <c r="I418" s="29"/>
      <c r="J418" s="6"/>
      <c r="K418" s="29"/>
      <c r="L418" s="29"/>
      <c r="M418" s="29"/>
      <c r="N418" s="29"/>
      <c r="O418" s="29"/>
      <c r="P418" s="29"/>
      <c r="Q418" s="29"/>
      <c r="R418" s="29"/>
      <c r="S418" s="29"/>
      <c r="T418" s="1"/>
      <c r="U418" s="34"/>
      <c r="V418" s="34"/>
    </row>
    <row x14ac:dyDescent="0.25" r="419" customHeight="1" ht="15.75">
      <c r="A419" s="1"/>
      <c r="B419" s="34"/>
      <c r="C419" s="2"/>
      <c r="D419" s="34"/>
      <c r="E419" s="34"/>
      <c r="F419" s="34"/>
      <c r="G419" s="34"/>
      <c r="H419" s="29"/>
      <c r="I419" s="29"/>
      <c r="J419" s="6"/>
      <c r="K419" s="29"/>
      <c r="L419" s="29"/>
      <c r="M419" s="29"/>
      <c r="N419" s="29"/>
      <c r="O419" s="29"/>
      <c r="P419" s="29"/>
      <c r="Q419" s="29"/>
      <c r="R419" s="29"/>
      <c r="S419" s="29"/>
      <c r="T419" s="1"/>
      <c r="U419" s="34"/>
      <c r="V419" s="34"/>
    </row>
    <row x14ac:dyDescent="0.25" r="420" customHeight="1" ht="15.75">
      <c r="A420" s="1"/>
      <c r="B420" s="34"/>
      <c r="C420" s="2"/>
      <c r="D420" s="34"/>
      <c r="E420" s="34"/>
      <c r="F420" s="34"/>
      <c r="G420" s="34"/>
      <c r="H420" s="29"/>
      <c r="I420" s="29"/>
      <c r="J420" s="6"/>
      <c r="K420" s="29"/>
      <c r="L420" s="29"/>
      <c r="M420" s="29"/>
      <c r="N420" s="29"/>
      <c r="O420" s="29"/>
      <c r="P420" s="29"/>
      <c r="Q420" s="29"/>
      <c r="R420" s="29"/>
      <c r="S420" s="29"/>
      <c r="T420" s="1"/>
      <c r="U420" s="34"/>
      <c r="V420" s="34"/>
    </row>
    <row x14ac:dyDescent="0.25" r="421" customHeight="1" ht="15.75">
      <c r="A421" s="1"/>
      <c r="B421" s="34"/>
      <c r="C421" s="2"/>
      <c r="D421" s="34"/>
      <c r="E421" s="34"/>
      <c r="F421" s="34"/>
      <c r="G421" s="34"/>
      <c r="H421" s="29"/>
      <c r="I421" s="29"/>
      <c r="J421" s="6"/>
      <c r="K421" s="29"/>
      <c r="L421" s="29"/>
      <c r="M421" s="29"/>
      <c r="N421" s="29"/>
      <c r="O421" s="29"/>
      <c r="P421" s="29"/>
      <c r="Q421" s="29"/>
      <c r="R421" s="29"/>
      <c r="S421" s="29"/>
      <c r="T421" s="1"/>
      <c r="U421" s="34"/>
      <c r="V421" s="34"/>
    </row>
    <row x14ac:dyDescent="0.25" r="422" customHeight="1" ht="15.75">
      <c r="A422" s="1"/>
      <c r="B422" s="34"/>
      <c r="C422" s="2"/>
      <c r="D422" s="34"/>
      <c r="E422" s="34"/>
      <c r="F422" s="34"/>
      <c r="G422" s="34"/>
      <c r="H422" s="29"/>
      <c r="I422" s="29"/>
      <c r="J422" s="6"/>
      <c r="K422" s="29"/>
      <c r="L422" s="29"/>
      <c r="M422" s="29"/>
      <c r="N422" s="29"/>
      <c r="O422" s="29"/>
      <c r="P422" s="29"/>
      <c r="Q422" s="29"/>
      <c r="R422" s="29"/>
      <c r="S422" s="29"/>
      <c r="T422" s="1"/>
      <c r="U422" s="34"/>
      <c r="V422" s="34"/>
    </row>
    <row x14ac:dyDescent="0.25" r="423" customHeight="1" ht="15.75">
      <c r="A423" s="1"/>
      <c r="B423" s="34"/>
      <c r="C423" s="2"/>
      <c r="D423" s="34"/>
      <c r="E423" s="34"/>
      <c r="F423" s="34"/>
      <c r="G423" s="34"/>
      <c r="H423" s="29"/>
      <c r="I423" s="29"/>
      <c r="J423" s="6"/>
      <c r="K423" s="29"/>
      <c r="L423" s="29"/>
      <c r="M423" s="29"/>
      <c r="N423" s="29"/>
      <c r="O423" s="29"/>
      <c r="P423" s="29"/>
      <c r="Q423" s="29"/>
      <c r="R423" s="29"/>
      <c r="S423" s="29"/>
      <c r="T423" s="1"/>
      <c r="U423" s="34"/>
      <c r="V423" s="34"/>
    </row>
    <row x14ac:dyDescent="0.25" r="424" customHeight="1" ht="15.75">
      <c r="A424" s="1"/>
      <c r="B424" s="34"/>
      <c r="C424" s="2"/>
      <c r="D424" s="34"/>
      <c r="E424" s="34"/>
      <c r="F424" s="34"/>
      <c r="G424" s="34"/>
      <c r="H424" s="29"/>
      <c r="I424" s="29"/>
      <c r="J424" s="6"/>
      <c r="K424" s="29"/>
      <c r="L424" s="29"/>
      <c r="M424" s="29"/>
      <c r="N424" s="29"/>
      <c r="O424" s="29"/>
      <c r="P424" s="29"/>
      <c r="Q424" s="29"/>
      <c r="R424" s="29"/>
      <c r="S424" s="29"/>
      <c r="T424" s="1"/>
      <c r="U424" s="34"/>
      <c r="V424" s="34"/>
    </row>
    <row x14ac:dyDescent="0.25" r="425" customHeight="1" ht="15.75">
      <c r="A425" s="1"/>
      <c r="B425" s="34"/>
      <c r="C425" s="2"/>
      <c r="D425" s="34"/>
      <c r="E425" s="34"/>
      <c r="F425" s="34"/>
      <c r="G425" s="34"/>
      <c r="H425" s="29"/>
      <c r="I425" s="29"/>
      <c r="J425" s="6"/>
      <c r="K425" s="29"/>
      <c r="L425" s="29"/>
      <c r="M425" s="29"/>
      <c r="N425" s="29"/>
      <c r="O425" s="29"/>
      <c r="P425" s="29"/>
      <c r="Q425" s="29"/>
      <c r="R425" s="29"/>
      <c r="S425" s="29"/>
      <c r="T425" s="1"/>
      <c r="U425" s="34"/>
      <c r="V425" s="34"/>
    </row>
    <row x14ac:dyDescent="0.25" r="426" customHeight="1" ht="15.75">
      <c r="A426" s="1"/>
      <c r="B426" s="34"/>
      <c r="C426" s="2"/>
      <c r="D426" s="34"/>
      <c r="E426" s="34"/>
      <c r="F426" s="34"/>
      <c r="G426" s="34"/>
      <c r="H426" s="29"/>
      <c r="I426" s="29"/>
      <c r="J426" s="6"/>
      <c r="K426" s="29"/>
      <c r="L426" s="29"/>
      <c r="M426" s="29"/>
      <c r="N426" s="29"/>
      <c r="O426" s="29"/>
      <c r="P426" s="29"/>
      <c r="Q426" s="29"/>
      <c r="R426" s="29"/>
      <c r="S426" s="29"/>
      <c r="T426" s="1"/>
      <c r="U426" s="34"/>
      <c r="V426" s="34"/>
    </row>
    <row x14ac:dyDescent="0.25" r="427" customHeight="1" ht="15.75">
      <c r="A427" s="1"/>
      <c r="B427" s="34"/>
      <c r="C427" s="2"/>
      <c r="D427" s="34"/>
      <c r="E427" s="34"/>
      <c r="F427" s="34"/>
      <c r="G427" s="34"/>
      <c r="H427" s="29"/>
      <c r="I427" s="29"/>
      <c r="J427" s="6"/>
      <c r="K427" s="29"/>
      <c r="L427" s="29"/>
      <c r="M427" s="29"/>
      <c r="N427" s="29"/>
      <c r="O427" s="29"/>
      <c r="P427" s="29"/>
      <c r="Q427" s="29"/>
      <c r="R427" s="29"/>
      <c r="S427" s="29"/>
      <c r="T427" s="1"/>
      <c r="U427" s="34"/>
      <c r="V427" s="34"/>
    </row>
    <row x14ac:dyDescent="0.25" r="428" customHeight="1" ht="15.75">
      <c r="A428" s="1"/>
      <c r="B428" s="34"/>
      <c r="C428" s="2"/>
      <c r="D428" s="34"/>
      <c r="E428" s="34"/>
      <c r="F428" s="34"/>
      <c r="G428" s="34"/>
      <c r="H428" s="29"/>
      <c r="I428" s="29"/>
      <c r="J428" s="6"/>
      <c r="K428" s="29"/>
      <c r="L428" s="29"/>
      <c r="M428" s="29"/>
      <c r="N428" s="29"/>
      <c r="O428" s="29"/>
      <c r="P428" s="29"/>
      <c r="Q428" s="29"/>
      <c r="R428" s="29"/>
      <c r="S428" s="29"/>
      <c r="T428" s="1"/>
      <c r="U428" s="34"/>
      <c r="V428" s="34"/>
    </row>
    <row x14ac:dyDescent="0.25" r="429" customHeight="1" ht="15.75">
      <c r="A429" s="1"/>
      <c r="B429" s="34"/>
      <c r="C429" s="2"/>
      <c r="D429" s="34"/>
      <c r="E429" s="34"/>
      <c r="F429" s="34"/>
      <c r="G429" s="34"/>
      <c r="H429" s="29"/>
      <c r="I429" s="29"/>
      <c r="J429" s="6"/>
      <c r="K429" s="29"/>
      <c r="L429" s="29"/>
      <c r="M429" s="29"/>
      <c r="N429" s="29"/>
      <c r="O429" s="29"/>
      <c r="P429" s="29"/>
      <c r="Q429" s="29"/>
      <c r="R429" s="29"/>
      <c r="S429" s="29"/>
      <c r="T429" s="1"/>
      <c r="U429" s="34"/>
      <c r="V429" s="34"/>
    </row>
    <row x14ac:dyDescent="0.25" r="430" customHeight="1" ht="15.75">
      <c r="A430" s="1"/>
      <c r="B430" s="34"/>
      <c r="C430" s="2"/>
      <c r="D430" s="34"/>
      <c r="E430" s="34"/>
      <c r="F430" s="34"/>
      <c r="G430" s="34"/>
      <c r="H430" s="29"/>
      <c r="I430" s="29"/>
      <c r="J430" s="6"/>
      <c r="K430" s="29"/>
      <c r="L430" s="29"/>
      <c r="M430" s="29"/>
      <c r="N430" s="29"/>
      <c r="O430" s="29"/>
      <c r="P430" s="29"/>
      <c r="Q430" s="29"/>
      <c r="R430" s="29"/>
      <c r="S430" s="29"/>
      <c r="T430" s="1"/>
      <c r="U430" s="34"/>
      <c r="V430" s="34"/>
    </row>
    <row x14ac:dyDescent="0.25" r="431" customHeight="1" ht="15.75">
      <c r="A431" s="1"/>
      <c r="B431" s="34"/>
      <c r="C431" s="2"/>
      <c r="D431" s="34"/>
      <c r="E431" s="34"/>
      <c r="F431" s="34"/>
      <c r="G431" s="34"/>
      <c r="H431" s="29"/>
      <c r="I431" s="29"/>
      <c r="J431" s="6"/>
      <c r="K431" s="29"/>
      <c r="L431" s="29"/>
      <c r="M431" s="29"/>
      <c r="N431" s="29"/>
      <c r="O431" s="29"/>
      <c r="P431" s="29"/>
      <c r="Q431" s="29"/>
      <c r="R431" s="29"/>
      <c r="S431" s="29"/>
      <c r="T431" s="1"/>
      <c r="U431" s="34"/>
      <c r="V431" s="34"/>
    </row>
    <row x14ac:dyDescent="0.25" r="432" customHeight="1" ht="15.75">
      <c r="A432" s="1"/>
      <c r="B432" s="34"/>
      <c r="C432" s="2"/>
      <c r="D432" s="34"/>
      <c r="E432" s="34"/>
      <c r="F432" s="34"/>
      <c r="G432" s="34"/>
      <c r="H432" s="29"/>
      <c r="I432" s="29"/>
      <c r="J432" s="6"/>
      <c r="K432" s="29"/>
      <c r="L432" s="29"/>
      <c r="M432" s="29"/>
      <c r="N432" s="29"/>
      <c r="O432" s="29"/>
      <c r="P432" s="29"/>
      <c r="Q432" s="29"/>
      <c r="R432" s="29"/>
      <c r="S432" s="29"/>
      <c r="T432" s="1"/>
      <c r="U432" s="34"/>
      <c r="V432" s="34"/>
    </row>
    <row x14ac:dyDescent="0.25" r="433" customHeight="1" ht="15.75">
      <c r="A433" s="1"/>
      <c r="B433" s="34"/>
      <c r="C433" s="2"/>
      <c r="D433" s="34"/>
      <c r="E433" s="34"/>
      <c r="F433" s="34"/>
      <c r="G433" s="34"/>
      <c r="H433" s="29"/>
      <c r="I433" s="29"/>
      <c r="J433" s="6"/>
      <c r="K433" s="29"/>
      <c r="L433" s="29"/>
      <c r="M433" s="29"/>
      <c r="N433" s="29"/>
      <c r="O433" s="29"/>
      <c r="P433" s="29"/>
      <c r="Q433" s="29"/>
      <c r="R433" s="29"/>
      <c r="S433" s="29"/>
      <c r="T433" s="1"/>
      <c r="U433" s="34"/>
      <c r="V433" s="34"/>
    </row>
    <row x14ac:dyDescent="0.25" r="434" customHeight="1" ht="15.75">
      <c r="A434" s="1"/>
      <c r="B434" s="34"/>
      <c r="C434" s="2"/>
      <c r="D434" s="34"/>
      <c r="E434" s="34"/>
      <c r="F434" s="34"/>
      <c r="G434" s="34"/>
      <c r="H434" s="29"/>
      <c r="I434" s="29"/>
      <c r="J434" s="6"/>
      <c r="K434" s="29"/>
      <c r="L434" s="29"/>
      <c r="M434" s="29"/>
      <c r="N434" s="29"/>
      <c r="O434" s="29"/>
      <c r="P434" s="29"/>
      <c r="Q434" s="29"/>
      <c r="R434" s="29"/>
      <c r="S434" s="29"/>
      <c r="T434" s="1"/>
      <c r="U434" s="34"/>
      <c r="V434" s="34"/>
    </row>
    <row x14ac:dyDescent="0.25" r="435" customHeight="1" ht="15.75">
      <c r="A435" s="1"/>
      <c r="B435" s="34"/>
      <c r="C435" s="2"/>
      <c r="D435" s="34"/>
      <c r="E435" s="34"/>
      <c r="F435" s="34"/>
      <c r="G435" s="34"/>
      <c r="H435" s="29"/>
      <c r="I435" s="29"/>
      <c r="J435" s="6"/>
      <c r="K435" s="29"/>
      <c r="L435" s="29"/>
      <c r="M435" s="29"/>
      <c r="N435" s="29"/>
      <c r="O435" s="29"/>
      <c r="P435" s="29"/>
      <c r="Q435" s="29"/>
      <c r="R435" s="29"/>
      <c r="S435" s="29"/>
      <c r="T435" s="1"/>
      <c r="U435" s="34"/>
      <c r="V435" s="34"/>
    </row>
    <row x14ac:dyDescent="0.25" r="436" customHeight="1" ht="15.75">
      <c r="A436" s="1"/>
      <c r="B436" s="34"/>
      <c r="C436" s="2"/>
      <c r="D436" s="34"/>
      <c r="E436" s="34"/>
      <c r="F436" s="34"/>
      <c r="G436" s="34"/>
      <c r="H436" s="29"/>
      <c r="I436" s="29"/>
      <c r="J436" s="6"/>
      <c r="K436" s="29"/>
      <c r="L436" s="29"/>
      <c r="M436" s="29"/>
      <c r="N436" s="29"/>
      <c r="O436" s="29"/>
      <c r="P436" s="29"/>
      <c r="Q436" s="29"/>
      <c r="R436" s="29"/>
      <c r="S436" s="29"/>
      <c r="T436" s="1"/>
      <c r="U436" s="34"/>
      <c r="V436" s="34"/>
    </row>
    <row x14ac:dyDescent="0.25" r="437" customHeight="1" ht="15.75">
      <c r="A437" s="1"/>
      <c r="B437" s="34"/>
      <c r="C437" s="2"/>
      <c r="D437" s="34"/>
      <c r="E437" s="34"/>
      <c r="F437" s="34"/>
      <c r="G437" s="34"/>
      <c r="H437" s="29"/>
      <c r="I437" s="29"/>
      <c r="J437" s="6"/>
      <c r="K437" s="29"/>
      <c r="L437" s="29"/>
      <c r="M437" s="29"/>
      <c r="N437" s="29"/>
      <c r="O437" s="29"/>
      <c r="P437" s="29"/>
      <c r="Q437" s="29"/>
      <c r="R437" s="29"/>
      <c r="S437" s="29"/>
      <c r="T437" s="1"/>
      <c r="U437" s="34"/>
      <c r="V437" s="34"/>
    </row>
    <row x14ac:dyDescent="0.25" r="438" customHeight="1" ht="15.75">
      <c r="A438" s="1"/>
      <c r="B438" s="34"/>
      <c r="C438" s="2"/>
      <c r="D438" s="34"/>
      <c r="E438" s="34"/>
      <c r="F438" s="34"/>
      <c r="G438" s="34"/>
      <c r="H438" s="29"/>
      <c r="I438" s="29"/>
      <c r="J438" s="6"/>
      <c r="K438" s="29"/>
      <c r="L438" s="29"/>
      <c r="M438" s="29"/>
      <c r="N438" s="29"/>
      <c r="O438" s="29"/>
      <c r="P438" s="29"/>
      <c r="Q438" s="29"/>
      <c r="R438" s="29"/>
      <c r="S438" s="29"/>
      <c r="T438" s="1"/>
      <c r="U438" s="34"/>
      <c r="V438" s="34"/>
    </row>
    <row x14ac:dyDescent="0.25" r="439" customHeight="1" ht="15.75">
      <c r="A439" s="1"/>
      <c r="B439" s="34"/>
      <c r="C439" s="2"/>
      <c r="D439" s="34"/>
      <c r="E439" s="34"/>
      <c r="F439" s="34"/>
      <c r="G439" s="34"/>
      <c r="H439" s="29"/>
      <c r="I439" s="29"/>
      <c r="J439" s="6"/>
      <c r="K439" s="29"/>
      <c r="L439" s="29"/>
      <c r="M439" s="29"/>
      <c r="N439" s="29"/>
      <c r="O439" s="29"/>
      <c r="P439" s="29"/>
      <c r="Q439" s="29"/>
      <c r="R439" s="29"/>
      <c r="S439" s="29"/>
      <c r="T439" s="1"/>
      <c r="U439" s="34"/>
      <c r="V439" s="34"/>
    </row>
    <row x14ac:dyDescent="0.25" r="440" customHeight="1" ht="15.75">
      <c r="A440" s="1"/>
      <c r="B440" s="34"/>
      <c r="C440" s="2"/>
      <c r="D440" s="34"/>
      <c r="E440" s="34"/>
      <c r="F440" s="34"/>
      <c r="G440" s="34"/>
      <c r="H440" s="29"/>
      <c r="I440" s="29"/>
      <c r="J440" s="6"/>
      <c r="K440" s="29"/>
      <c r="L440" s="29"/>
      <c r="M440" s="29"/>
      <c r="N440" s="29"/>
      <c r="O440" s="29"/>
      <c r="P440" s="29"/>
      <c r="Q440" s="29"/>
      <c r="R440" s="29"/>
      <c r="S440" s="29"/>
      <c r="T440" s="1"/>
      <c r="U440" s="34"/>
      <c r="V440" s="34"/>
    </row>
    <row x14ac:dyDescent="0.25" r="441" customHeight="1" ht="15.75">
      <c r="A441" s="1"/>
      <c r="B441" s="34"/>
      <c r="C441" s="2"/>
      <c r="D441" s="34"/>
      <c r="E441" s="34"/>
      <c r="F441" s="34"/>
      <c r="G441" s="34"/>
      <c r="H441" s="29"/>
      <c r="I441" s="29"/>
      <c r="J441" s="6"/>
      <c r="K441" s="29"/>
      <c r="L441" s="29"/>
      <c r="M441" s="29"/>
      <c r="N441" s="29"/>
      <c r="O441" s="29"/>
      <c r="P441" s="29"/>
      <c r="Q441" s="29"/>
      <c r="R441" s="29"/>
      <c r="S441" s="29"/>
      <c r="T441" s="1"/>
      <c r="U441" s="34"/>
      <c r="V441" s="34"/>
    </row>
    <row x14ac:dyDescent="0.25" r="442" customHeight="1" ht="15.75">
      <c r="A442" s="1"/>
      <c r="B442" s="34"/>
      <c r="C442" s="2"/>
      <c r="D442" s="34"/>
      <c r="E442" s="34"/>
      <c r="F442" s="34"/>
      <c r="G442" s="34"/>
      <c r="H442" s="29"/>
      <c r="I442" s="29"/>
      <c r="J442" s="6"/>
      <c r="K442" s="29"/>
      <c r="L442" s="29"/>
      <c r="M442" s="29"/>
      <c r="N442" s="29"/>
      <c r="O442" s="29"/>
      <c r="P442" s="29"/>
      <c r="Q442" s="29"/>
      <c r="R442" s="29"/>
      <c r="S442" s="29"/>
      <c r="T442" s="1"/>
      <c r="U442" s="34"/>
      <c r="V442" s="34"/>
    </row>
    <row x14ac:dyDescent="0.25" r="443" customHeight="1" ht="15.75">
      <c r="A443" s="1"/>
      <c r="B443" s="34"/>
      <c r="C443" s="2"/>
      <c r="D443" s="34"/>
      <c r="E443" s="34"/>
      <c r="F443" s="34"/>
      <c r="G443" s="34"/>
      <c r="H443" s="29"/>
      <c r="I443" s="29"/>
      <c r="J443" s="6"/>
      <c r="K443" s="29"/>
      <c r="L443" s="29"/>
      <c r="M443" s="29"/>
      <c r="N443" s="29"/>
      <c r="O443" s="29"/>
      <c r="P443" s="29"/>
      <c r="Q443" s="29"/>
      <c r="R443" s="29"/>
      <c r="S443" s="29"/>
      <c r="T443" s="1"/>
      <c r="U443" s="34"/>
      <c r="V443" s="34"/>
    </row>
    <row x14ac:dyDescent="0.25" r="444" customHeight="1" ht="15.75">
      <c r="A444" s="1"/>
      <c r="B444" s="34"/>
      <c r="C444" s="2"/>
      <c r="D444" s="34"/>
      <c r="E444" s="34"/>
      <c r="F444" s="34"/>
      <c r="G444" s="34"/>
      <c r="H444" s="29"/>
      <c r="I444" s="29"/>
      <c r="J444" s="6"/>
      <c r="K444" s="29"/>
      <c r="L444" s="29"/>
      <c r="M444" s="29"/>
      <c r="N444" s="29"/>
      <c r="O444" s="29"/>
      <c r="P444" s="29"/>
      <c r="Q444" s="29"/>
      <c r="R444" s="29"/>
      <c r="S444" s="29"/>
      <c r="T444" s="1"/>
      <c r="U444" s="34"/>
      <c r="V444" s="34"/>
    </row>
    <row x14ac:dyDescent="0.25" r="445" customHeight="1" ht="15.75">
      <c r="A445" s="1"/>
      <c r="B445" s="34"/>
      <c r="C445" s="2"/>
      <c r="D445" s="34"/>
      <c r="E445" s="34"/>
      <c r="F445" s="34"/>
      <c r="G445" s="34"/>
      <c r="H445" s="29"/>
      <c r="I445" s="29"/>
      <c r="J445" s="6"/>
      <c r="K445" s="29"/>
      <c r="L445" s="29"/>
      <c r="M445" s="29"/>
      <c r="N445" s="29"/>
      <c r="O445" s="29"/>
      <c r="P445" s="29"/>
      <c r="Q445" s="29"/>
      <c r="R445" s="29"/>
      <c r="S445" s="29"/>
      <c r="T445" s="1"/>
      <c r="U445" s="34"/>
      <c r="V445" s="34"/>
    </row>
    <row x14ac:dyDescent="0.25" r="446" customHeight="1" ht="15.75">
      <c r="A446" s="1"/>
      <c r="B446" s="34"/>
      <c r="C446" s="2"/>
      <c r="D446" s="34"/>
      <c r="E446" s="34"/>
      <c r="F446" s="34"/>
      <c r="G446" s="34"/>
      <c r="H446" s="29"/>
      <c r="I446" s="29"/>
      <c r="J446" s="6"/>
      <c r="K446" s="29"/>
      <c r="L446" s="29"/>
      <c r="M446" s="29"/>
      <c r="N446" s="29"/>
      <c r="O446" s="29"/>
      <c r="P446" s="29"/>
      <c r="Q446" s="29"/>
      <c r="R446" s="29"/>
      <c r="S446" s="29"/>
      <c r="T446" s="1"/>
      <c r="U446" s="34"/>
      <c r="V446" s="34"/>
    </row>
    <row x14ac:dyDescent="0.25" r="447" customHeight="1" ht="15.75">
      <c r="A447" s="1"/>
      <c r="B447" s="34"/>
      <c r="C447" s="2"/>
      <c r="D447" s="34"/>
      <c r="E447" s="34"/>
      <c r="F447" s="34"/>
      <c r="G447" s="34"/>
      <c r="H447" s="29"/>
      <c r="I447" s="29"/>
      <c r="J447" s="6"/>
      <c r="K447" s="29"/>
      <c r="L447" s="29"/>
      <c r="M447" s="29"/>
      <c r="N447" s="29"/>
      <c r="O447" s="29"/>
      <c r="P447" s="29"/>
      <c r="Q447" s="29"/>
      <c r="R447" s="29"/>
      <c r="S447" s="29"/>
      <c r="T447" s="1"/>
      <c r="U447" s="34"/>
      <c r="V447" s="34"/>
    </row>
    <row x14ac:dyDescent="0.25" r="448" customHeight="1" ht="15.75">
      <c r="A448" s="1"/>
      <c r="B448" s="34"/>
      <c r="C448" s="2"/>
      <c r="D448" s="34"/>
      <c r="E448" s="34"/>
      <c r="F448" s="34"/>
      <c r="G448" s="34"/>
      <c r="H448" s="29"/>
      <c r="I448" s="29"/>
      <c r="J448" s="6"/>
      <c r="K448" s="29"/>
      <c r="L448" s="29"/>
      <c r="M448" s="29"/>
      <c r="N448" s="29"/>
      <c r="O448" s="29"/>
      <c r="P448" s="29"/>
      <c r="Q448" s="29"/>
      <c r="R448" s="29"/>
      <c r="S448" s="29"/>
      <c r="T448" s="1"/>
      <c r="U448" s="34"/>
      <c r="V448" s="34"/>
    </row>
    <row x14ac:dyDescent="0.25" r="449" customHeight="1" ht="15.75">
      <c r="A449" s="1"/>
      <c r="B449" s="34"/>
      <c r="C449" s="2"/>
      <c r="D449" s="34"/>
      <c r="E449" s="34"/>
      <c r="F449" s="34"/>
      <c r="G449" s="34"/>
      <c r="H449" s="29"/>
      <c r="I449" s="29"/>
      <c r="J449" s="6"/>
      <c r="K449" s="29"/>
      <c r="L449" s="29"/>
      <c r="M449" s="29"/>
      <c r="N449" s="29"/>
      <c r="O449" s="29"/>
      <c r="P449" s="29"/>
      <c r="Q449" s="29"/>
      <c r="R449" s="29"/>
      <c r="S449" s="29"/>
      <c r="T449" s="1"/>
      <c r="U449" s="34"/>
      <c r="V449" s="34"/>
    </row>
    <row x14ac:dyDescent="0.25" r="450" customHeight="1" ht="15.75">
      <c r="A450" s="1"/>
      <c r="B450" s="34"/>
      <c r="C450" s="2"/>
      <c r="D450" s="34"/>
      <c r="E450" s="34"/>
      <c r="F450" s="34"/>
      <c r="G450" s="34"/>
      <c r="H450" s="29"/>
      <c r="I450" s="29"/>
      <c r="J450" s="6"/>
      <c r="K450" s="29"/>
      <c r="L450" s="29"/>
      <c r="M450" s="29"/>
      <c r="N450" s="29"/>
      <c r="O450" s="29"/>
      <c r="P450" s="29"/>
      <c r="Q450" s="29"/>
      <c r="R450" s="29"/>
      <c r="S450" s="29"/>
      <c r="T450" s="1"/>
      <c r="U450" s="34"/>
      <c r="V450" s="34"/>
    </row>
    <row x14ac:dyDescent="0.25" r="451" customHeight="1" ht="15.75">
      <c r="A451" s="1"/>
      <c r="B451" s="34"/>
      <c r="C451" s="2"/>
      <c r="D451" s="34"/>
      <c r="E451" s="34"/>
      <c r="F451" s="34"/>
      <c r="G451" s="34"/>
      <c r="H451" s="29"/>
      <c r="I451" s="29"/>
      <c r="J451" s="6"/>
      <c r="K451" s="29"/>
      <c r="L451" s="29"/>
      <c r="M451" s="29"/>
      <c r="N451" s="29"/>
      <c r="O451" s="29"/>
      <c r="P451" s="29"/>
      <c r="Q451" s="29"/>
      <c r="R451" s="29"/>
      <c r="S451" s="29"/>
      <c r="T451" s="1"/>
      <c r="U451" s="34"/>
      <c r="V451" s="34"/>
    </row>
    <row x14ac:dyDescent="0.25" r="452" customHeight="1" ht="15.75">
      <c r="A452" s="1"/>
      <c r="B452" s="34"/>
      <c r="C452" s="2"/>
      <c r="D452" s="34"/>
      <c r="E452" s="34"/>
      <c r="F452" s="34"/>
      <c r="G452" s="34"/>
      <c r="H452" s="29"/>
      <c r="I452" s="29"/>
      <c r="J452" s="6"/>
      <c r="K452" s="29"/>
      <c r="L452" s="29"/>
      <c r="M452" s="29"/>
      <c r="N452" s="29"/>
      <c r="O452" s="29"/>
      <c r="P452" s="29"/>
      <c r="Q452" s="29"/>
      <c r="R452" s="29"/>
      <c r="S452" s="29"/>
      <c r="T452" s="1"/>
      <c r="U452" s="34"/>
      <c r="V452" s="34"/>
    </row>
    <row x14ac:dyDescent="0.25" r="453" customHeight="1" ht="15.75">
      <c r="A453" s="1"/>
      <c r="B453" s="34"/>
      <c r="C453" s="2"/>
      <c r="D453" s="34"/>
      <c r="E453" s="34"/>
      <c r="F453" s="34"/>
      <c r="G453" s="34"/>
      <c r="H453" s="29"/>
      <c r="I453" s="29"/>
      <c r="J453" s="6"/>
      <c r="K453" s="29"/>
      <c r="L453" s="29"/>
      <c r="M453" s="29"/>
      <c r="N453" s="29"/>
      <c r="O453" s="29"/>
      <c r="P453" s="29"/>
      <c r="Q453" s="29"/>
      <c r="R453" s="29"/>
      <c r="S453" s="29"/>
      <c r="T453" s="1"/>
      <c r="U453" s="34"/>
      <c r="V453" s="34"/>
    </row>
    <row x14ac:dyDescent="0.25" r="454" customHeight="1" ht="15.75">
      <c r="A454" s="1"/>
      <c r="B454" s="34"/>
      <c r="C454" s="2"/>
      <c r="D454" s="34"/>
      <c r="E454" s="34"/>
      <c r="F454" s="34"/>
      <c r="G454" s="34"/>
      <c r="H454" s="29"/>
      <c r="I454" s="29"/>
      <c r="J454" s="6"/>
      <c r="K454" s="29"/>
      <c r="L454" s="29"/>
      <c r="M454" s="29"/>
      <c r="N454" s="29"/>
      <c r="O454" s="29"/>
      <c r="P454" s="29"/>
      <c r="Q454" s="29"/>
      <c r="R454" s="29"/>
      <c r="S454" s="29"/>
      <c r="T454" s="1"/>
      <c r="U454" s="34"/>
      <c r="V454" s="34"/>
    </row>
    <row x14ac:dyDescent="0.25" r="455" customHeight="1" ht="15.75">
      <c r="A455" s="1"/>
      <c r="B455" s="34"/>
      <c r="C455" s="2"/>
      <c r="D455" s="34"/>
      <c r="E455" s="34"/>
      <c r="F455" s="34"/>
      <c r="G455" s="34"/>
      <c r="H455" s="29"/>
      <c r="I455" s="29"/>
      <c r="J455" s="6"/>
      <c r="K455" s="29"/>
      <c r="L455" s="29"/>
      <c r="M455" s="29"/>
      <c r="N455" s="29"/>
      <c r="O455" s="29"/>
      <c r="P455" s="29"/>
      <c r="Q455" s="29"/>
      <c r="R455" s="29"/>
      <c r="S455" s="29"/>
      <c r="T455" s="1"/>
      <c r="U455" s="34"/>
      <c r="V455" s="34"/>
    </row>
    <row x14ac:dyDescent="0.25" r="456" customHeight="1" ht="15.75">
      <c r="A456" s="1"/>
      <c r="B456" s="34"/>
      <c r="C456" s="2"/>
      <c r="D456" s="34"/>
      <c r="E456" s="34"/>
      <c r="F456" s="34"/>
      <c r="G456" s="34"/>
      <c r="H456" s="29"/>
      <c r="I456" s="29"/>
      <c r="J456" s="6"/>
      <c r="K456" s="29"/>
      <c r="L456" s="29"/>
      <c r="M456" s="29"/>
      <c r="N456" s="29"/>
      <c r="O456" s="29"/>
      <c r="P456" s="29"/>
      <c r="Q456" s="29"/>
      <c r="R456" s="29"/>
      <c r="S456" s="29"/>
      <c r="T456" s="1"/>
      <c r="U456" s="34"/>
      <c r="V456" s="34"/>
    </row>
    <row x14ac:dyDescent="0.25" r="457" customHeight="1" ht="15.75">
      <c r="A457" s="1"/>
      <c r="B457" s="34"/>
      <c r="C457" s="2"/>
      <c r="D457" s="34"/>
      <c r="E457" s="34"/>
      <c r="F457" s="34"/>
      <c r="G457" s="34"/>
      <c r="H457" s="29"/>
      <c r="I457" s="29"/>
      <c r="J457" s="6"/>
      <c r="K457" s="29"/>
      <c r="L457" s="29"/>
      <c r="M457" s="29"/>
      <c r="N457" s="29"/>
      <c r="O457" s="29"/>
      <c r="P457" s="29"/>
      <c r="Q457" s="29"/>
      <c r="R457" s="29"/>
      <c r="S457" s="29"/>
      <c r="T457" s="1"/>
      <c r="U457" s="34"/>
      <c r="V457" s="34"/>
    </row>
    <row x14ac:dyDescent="0.25" r="458" customHeight="1" ht="15.75">
      <c r="A458" s="1"/>
      <c r="B458" s="34"/>
      <c r="C458" s="2"/>
      <c r="D458" s="34"/>
      <c r="E458" s="34"/>
      <c r="F458" s="34"/>
      <c r="G458" s="34"/>
      <c r="H458" s="29"/>
      <c r="I458" s="29"/>
      <c r="J458" s="6"/>
      <c r="K458" s="29"/>
      <c r="L458" s="29"/>
      <c r="M458" s="29"/>
      <c r="N458" s="29"/>
      <c r="O458" s="29"/>
      <c r="P458" s="29"/>
      <c r="Q458" s="29"/>
      <c r="R458" s="29"/>
      <c r="S458" s="29"/>
      <c r="T458" s="1"/>
      <c r="U458" s="34"/>
      <c r="V458" s="34"/>
    </row>
    <row x14ac:dyDescent="0.25" r="459" customHeight="1" ht="15.75">
      <c r="A459" s="1"/>
      <c r="B459" s="34"/>
      <c r="C459" s="2"/>
      <c r="D459" s="34"/>
      <c r="E459" s="34"/>
      <c r="F459" s="34"/>
      <c r="G459" s="34"/>
      <c r="H459" s="29"/>
      <c r="I459" s="29"/>
      <c r="J459" s="6"/>
      <c r="K459" s="29"/>
      <c r="L459" s="29"/>
      <c r="M459" s="29"/>
      <c r="N459" s="29"/>
      <c r="O459" s="29"/>
      <c r="P459" s="29"/>
      <c r="Q459" s="29"/>
      <c r="R459" s="29"/>
      <c r="S459" s="29"/>
      <c r="T459" s="1"/>
      <c r="U459" s="34"/>
      <c r="V459" s="34"/>
    </row>
    <row x14ac:dyDescent="0.25" r="460" customHeight="1" ht="15.75">
      <c r="A460" s="1"/>
      <c r="B460" s="34"/>
      <c r="C460" s="2"/>
      <c r="D460" s="34"/>
      <c r="E460" s="34"/>
      <c r="F460" s="34"/>
      <c r="G460" s="34"/>
      <c r="H460" s="29"/>
      <c r="I460" s="29"/>
      <c r="J460" s="6"/>
      <c r="K460" s="29"/>
      <c r="L460" s="29"/>
      <c r="M460" s="29"/>
      <c r="N460" s="29"/>
      <c r="O460" s="29"/>
      <c r="P460" s="29"/>
      <c r="Q460" s="29"/>
      <c r="R460" s="29"/>
      <c r="S460" s="29"/>
      <c r="T460" s="1"/>
      <c r="U460" s="34"/>
      <c r="V460" s="34"/>
    </row>
    <row x14ac:dyDescent="0.25" r="461" customHeight="1" ht="15.75">
      <c r="A461" s="1"/>
      <c r="B461" s="34"/>
      <c r="C461" s="2"/>
      <c r="D461" s="34"/>
      <c r="E461" s="34"/>
      <c r="F461" s="34"/>
      <c r="G461" s="34"/>
      <c r="H461" s="29"/>
      <c r="I461" s="29"/>
      <c r="J461" s="6"/>
      <c r="K461" s="29"/>
      <c r="L461" s="29"/>
      <c r="M461" s="29"/>
      <c r="N461" s="29"/>
      <c r="O461" s="29"/>
      <c r="P461" s="29"/>
      <c r="Q461" s="29"/>
      <c r="R461" s="29"/>
      <c r="S461" s="29"/>
      <c r="T461" s="1"/>
      <c r="U461" s="34"/>
      <c r="V461" s="34"/>
    </row>
    <row x14ac:dyDescent="0.25" r="462" customHeight="1" ht="15.75">
      <c r="A462" s="1"/>
      <c r="B462" s="34"/>
      <c r="C462" s="2"/>
      <c r="D462" s="34"/>
      <c r="E462" s="34"/>
      <c r="F462" s="34"/>
      <c r="G462" s="34"/>
      <c r="H462" s="29"/>
      <c r="I462" s="29"/>
      <c r="J462" s="6"/>
      <c r="K462" s="29"/>
      <c r="L462" s="29"/>
      <c r="M462" s="29"/>
      <c r="N462" s="29"/>
      <c r="O462" s="29"/>
      <c r="P462" s="29"/>
      <c r="Q462" s="29"/>
      <c r="R462" s="29"/>
      <c r="S462" s="29"/>
      <c r="T462" s="1"/>
      <c r="U462" s="34"/>
      <c r="V462" s="34"/>
    </row>
    <row x14ac:dyDescent="0.25" r="463" customHeight="1" ht="15.75">
      <c r="A463" s="1"/>
      <c r="B463" s="34"/>
      <c r="C463" s="2"/>
      <c r="D463" s="34"/>
      <c r="E463" s="34"/>
      <c r="F463" s="34"/>
      <c r="G463" s="34"/>
      <c r="H463" s="29"/>
      <c r="I463" s="29"/>
      <c r="J463" s="6"/>
      <c r="K463" s="29"/>
      <c r="L463" s="29"/>
      <c r="M463" s="29"/>
      <c r="N463" s="29"/>
      <c r="O463" s="29"/>
      <c r="P463" s="29"/>
      <c r="Q463" s="29"/>
      <c r="R463" s="29"/>
      <c r="S463" s="29"/>
      <c r="T463" s="1"/>
      <c r="U463" s="34"/>
      <c r="V463" s="34"/>
    </row>
    <row x14ac:dyDescent="0.25" r="464" customHeight="1" ht="15.75">
      <c r="A464" s="1"/>
      <c r="B464" s="34"/>
      <c r="C464" s="2"/>
      <c r="D464" s="34"/>
      <c r="E464" s="34"/>
      <c r="F464" s="34"/>
      <c r="G464" s="34"/>
      <c r="H464" s="29"/>
      <c r="I464" s="29"/>
      <c r="J464" s="6"/>
      <c r="K464" s="29"/>
      <c r="L464" s="29"/>
      <c r="M464" s="29"/>
      <c r="N464" s="29"/>
      <c r="O464" s="29"/>
      <c r="P464" s="29"/>
      <c r="Q464" s="29"/>
      <c r="R464" s="29"/>
      <c r="S464" s="29"/>
      <c r="T464" s="1"/>
      <c r="U464" s="34"/>
      <c r="V464" s="34"/>
    </row>
    <row x14ac:dyDescent="0.25" r="465" customHeight="1" ht="15.75">
      <c r="A465" s="1"/>
      <c r="B465" s="34"/>
      <c r="C465" s="2"/>
      <c r="D465" s="34"/>
      <c r="E465" s="34"/>
      <c r="F465" s="34"/>
      <c r="G465" s="34"/>
      <c r="H465" s="29"/>
      <c r="I465" s="29"/>
      <c r="J465" s="6"/>
      <c r="K465" s="29"/>
      <c r="L465" s="29"/>
      <c r="M465" s="29"/>
      <c r="N465" s="29"/>
      <c r="O465" s="29"/>
      <c r="P465" s="29"/>
      <c r="Q465" s="29"/>
      <c r="R465" s="29"/>
      <c r="S465" s="29"/>
      <c r="T465" s="1"/>
      <c r="U465" s="34"/>
      <c r="V465" s="34"/>
    </row>
    <row x14ac:dyDescent="0.25" r="466" customHeight="1" ht="15.75">
      <c r="A466" s="1"/>
      <c r="B466" s="34"/>
      <c r="C466" s="2"/>
      <c r="D466" s="34"/>
      <c r="E466" s="34"/>
      <c r="F466" s="34"/>
      <c r="G466" s="34"/>
      <c r="H466" s="29"/>
      <c r="I466" s="29"/>
      <c r="J466" s="6"/>
      <c r="K466" s="29"/>
      <c r="L466" s="29"/>
      <c r="M466" s="29"/>
      <c r="N466" s="29"/>
      <c r="O466" s="29"/>
      <c r="P466" s="29"/>
      <c r="Q466" s="29"/>
      <c r="R466" s="29"/>
      <c r="S466" s="29"/>
      <c r="T466" s="1"/>
      <c r="U466" s="34"/>
      <c r="V466" s="34"/>
    </row>
    <row x14ac:dyDescent="0.25" r="467" customHeight="1" ht="15.75">
      <c r="A467" s="1"/>
      <c r="B467" s="34"/>
      <c r="C467" s="2"/>
      <c r="D467" s="34"/>
      <c r="E467" s="34"/>
      <c r="F467" s="34"/>
      <c r="G467" s="34"/>
      <c r="H467" s="29"/>
      <c r="I467" s="29"/>
      <c r="J467" s="6"/>
      <c r="K467" s="29"/>
      <c r="L467" s="29"/>
      <c r="M467" s="29"/>
      <c r="N467" s="29"/>
      <c r="O467" s="29"/>
      <c r="P467" s="29"/>
      <c r="Q467" s="29"/>
      <c r="R467" s="29"/>
      <c r="S467" s="29"/>
      <c r="T467" s="1"/>
      <c r="U467" s="34"/>
      <c r="V467" s="34"/>
    </row>
    <row x14ac:dyDescent="0.25" r="468" customHeight="1" ht="15.75">
      <c r="A468" s="1"/>
      <c r="B468" s="34"/>
      <c r="C468" s="2"/>
      <c r="D468" s="34"/>
      <c r="E468" s="34"/>
      <c r="F468" s="34"/>
      <c r="G468" s="34"/>
      <c r="H468" s="29"/>
      <c r="I468" s="29"/>
      <c r="J468" s="6"/>
      <c r="K468" s="29"/>
      <c r="L468" s="29"/>
      <c r="M468" s="29"/>
      <c r="N468" s="29"/>
      <c r="O468" s="29"/>
      <c r="P468" s="29"/>
      <c r="Q468" s="29"/>
      <c r="R468" s="29"/>
      <c r="S468" s="29"/>
      <c r="T468" s="1"/>
      <c r="U468" s="34"/>
      <c r="V468" s="34"/>
    </row>
    <row x14ac:dyDescent="0.25" r="469" customHeight="1" ht="15.75">
      <c r="A469" s="1"/>
      <c r="B469" s="34"/>
      <c r="C469" s="2"/>
      <c r="D469" s="34"/>
      <c r="E469" s="34"/>
      <c r="F469" s="34"/>
      <c r="G469" s="34"/>
      <c r="H469" s="29"/>
      <c r="I469" s="29"/>
      <c r="J469" s="6"/>
      <c r="K469" s="29"/>
      <c r="L469" s="29"/>
      <c r="M469" s="29"/>
      <c r="N469" s="29"/>
      <c r="O469" s="29"/>
      <c r="P469" s="29"/>
      <c r="Q469" s="29"/>
      <c r="R469" s="29"/>
      <c r="S469" s="29"/>
      <c r="T469" s="1"/>
      <c r="U469" s="34"/>
      <c r="V469" s="34"/>
    </row>
    <row x14ac:dyDescent="0.25" r="470" customHeight="1" ht="15.75">
      <c r="A470" s="1"/>
      <c r="B470" s="34"/>
      <c r="C470" s="2"/>
      <c r="D470" s="34"/>
      <c r="E470" s="34"/>
      <c r="F470" s="34"/>
      <c r="G470" s="34"/>
      <c r="H470" s="29"/>
      <c r="I470" s="29"/>
      <c r="J470" s="6"/>
      <c r="K470" s="29"/>
      <c r="L470" s="29"/>
      <c r="M470" s="29"/>
      <c r="N470" s="29"/>
      <c r="O470" s="29"/>
      <c r="P470" s="29"/>
      <c r="Q470" s="29"/>
      <c r="R470" s="29"/>
      <c r="S470" s="29"/>
      <c r="T470" s="1"/>
      <c r="U470" s="34"/>
      <c r="V470" s="34"/>
    </row>
    <row x14ac:dyDescent="0.25" r="471" customHeight="1" ht="15.75">
      <c r="A471" s="1"/>
      <c r="B471" s="34"/>
      <c r="C471" s="2"/>
      <c r="D471" s="34"/>
      <c r="E471" s="34"/>
      <c r="F471" s="34"/>
      <c r="G471" s="34"/>
      <c r="H471" s="29"/>
      <c r="I471" s="29"/>
      <c r="J471" s="6"/>
      <c r="K471" s="29"/>
      <c r="L471" s="29"/>
      <c r="M471" s="29"/>
      <c r="N471" s="29"/>
      <c r="O471" s="29"/>
      <c r="P471" s="29"/>
      <c r="Q471" s="29"/>
      <c r="R471" s="29"/>
      <c r="S471" s="29"/>
      <c r="T471" s="1"/>
      <c r="U471" s="34"/>
      <c r="V471" s="34"/>
    </row>
    <row x14ac:dyDescent="0.25" r="472" customHeight="1" ht="15.75">
      <c r="A472" s="1"/>
      <c r="B472" s="34"/>
      <c r="C472" s="2"/>
      <c r="D472" s="34"/>
      <c r="E472" s="34"/>
      <c r="F472" s="34"/>
      <c r="G472" s="34"/>
      <c r="H472" s="29"/>
      <c r="I472" s="29"/>
      <c r="J472" s="6"/>
      <c r="K472" s="29"/>
      <c r="L472" s="29"/>
      <c r="M472" s="29"/>
      <c r="N472" s="29"/>
      <c r="O472" s="29"/>
      <c r="P472" s="29"/>
      <c r="Q472" s="29"/>
      <c r="R472" s="29"/>
      <c r="S472" s="29"/>
      <c r="T472" s="1"/>
      <c r="U472" s="34"/>
      <c r="V472" s="34"/>
    </row>
    <row x14ac:dyDescent="0.25" r="473" customHeight="1" ht="15.75">
      <c r="A473" s="1"/>
      <c r="B473" s="34"/>
      <c r="C473" s="2"/>
      <c r="D473" s="34"/>
      <c r="E473" s="34"/>
      <c r="F473" s="34"/>
      <c r="G473" s="34"/>
      <c r="H473" s="29"/>
      <c r="I473" s="29"/>
      <c r="J473" s="6"/>
      <c r="K473" s="29"/>
      <c r="L473" s="29"/>
      <c r="M473" s="29"/>
      <c r="N473" s="29"/>
      <c r="O473" s="29"/>
      <c r="P473" s="29"/>
      <c r="Q473" s="29"/>
      <c r="R473" s="29"/>
      <c r="S473" s="29"/>
      <c r="T473" s="1"/>
      <c r="U473" s="34"/>
      <c r="V473" s="34"/>
    </row>
    <row x14ac:dyDescent="0.25" r="474" customHeight="1" ht="15.75">
      <c r="A474" s="1"/>
      <c r="B474" s="34"/>
      <c r="C474" s="2"/>
      <c r="D474" s="34"/>
      <c r="E474" s="34"/>
      <c r="F474" s="34"/>
      <c r="G474" s="34"/>
      <c r="H474" s="29"/>
      <c r="I474" s="29"/>
      <c r="J474" s="6"/>
      <c r="K474" s="29"/>
      <c r="L474" s="29"/>
      <c r="M474" s="29"/>
      <c r="N474" s="29"/>
      <c r="O474" s="29"/>
      <c r="P474" s="29"/>
      <c r="Q474" s="29"/>
      <c r="R474" s="29"/>
      <c r="S474" s="29"/>
      <c r="T474" s="1"/>
      <c r="U474" s="34"/>
      <c r="V474" s="34"/>
    </row>
    <row x14ac:dyDescent="0.25" r="475" customHeight="1" ht="15.75">
      <c r="A475" s="1"/>
      <c r="B475" s="34"/>
      <c r="C475" s="2"/>
      <c r="D475" s="34"/>
      <c r="E475" s="34"/>
      <c r="F475" s="34"/>
      <c r="G475" s="34"/>
      <c r="H475" s="29"/>
      <c r="I475" s="29"/>
      <c r="J475" s="6"/>
      <c r="K475" s="29"/>
      <c r="L475" s="29"/>
      <c r="M475" s="29"/>
      <c r="N475" s="29"/>
      <c r="O475" s="29"/>
      <c r="P475" s="29"/>
      <c r="Q475" s="29"/>
      <c r="R475" s="29"/>
      <c r="S475" s="29"/>
      <c r="T475" s="1"/>
      <c r="U475" s="34"/>
      <c r="V475" s="34"/>
    </row>
    <row x14ac:dyDescent="0.25" r="476" customHeight="1" ht="15.75">
      <c r="A476" s="1"/>
      <c r="B476" s="34"/>
      <c r="C476" s="2"/>
      <c r="D476" s="34"/>
      <c r="E476" s="34"/>
      <c r="F476" s="34"/>
      <c r="G476" s="34"/>
      <c r="H476" s="29"/>
      <c r="I476" s="29"/>
      <c r="J476" s="6"/>
      <c r="K476" s="29"/>
      <c r="L476" s="29"/>
      <c r="M476" s="29"/>
      <c r="N476" s="29"/>
      <c r="O476" s="29"/>
      <c r="P476" s="29"/>
      <c r="Q476" s="29"/>
      <c r="R476" s="29"/>
      <c r="S476" s="29"/>
      <c r="T476" s="1"/>
      <c r="U476" s="34"/>
      <c r="V476" s="34"/>
    </row>
    <row x14ac:dyDescent="0.25" r="477" customHeight="1" ht="15.75">
      <c r="A477" s="1"/>
      <c r="B477" s="34"/>
      <c r="C477" s="2"/>
      <c r="D477" s="34"/>
      <c r="E477" s="34"/>
      <c r="F477" s="34"/>
      <c r="G477" s="34"/>
      <c r="H477" s="29"/>
      <c r="I477" s="29"/>
      <c r="J477" s="6"/>
      <c r="K477" s="29"/>
      <c r="L477" s="29"/>
      <c r="M477" s="29"/>
      <c r="N477" s="29"/>
      <c r="O477" s="29"/>
      <c r="P477" s="29"/>
      <c r="Q477" s="29"/>
      <c r="R477" s="29"/>
      <c r="S477" s="29"/>
      <c r="T477" s="1"/>
      <c r="U477" s="34"/>
      <c r="V477" s="34"/>
    </row>
    <row x14ac:dyDescent="0.25" r="478" customHeight="1" ht="15.75">
      <c r="A478" s="1"/>
      <c r="B478" s="34"/>
      <c r="C478" s="2"/>
      <c r="D478" s="34"/>
      <c r="E478" s="34"/>
      <c r="F478" s="34"/>
      <c r="G478" s="34"/>
      <c r="H478" s="29"/>
      <c r="I478" s="29"/>
      <c r="J478" s="6"/>
      <c r="K478" s="29"/>
      <c r="L478" s="29"/>
      <c r="M478" s="29"/>
      <c r="N478" s="29"/>
      <c r="O478" s="29"/>
      <c r="P478" s="29"/>
      <c r="Q478" s="29"/>
      <c r="R478" s="29"/>
      <c r="S478" s="29"/>
      <c r="T478" s="1"/>
      <c r="U478" s="34"/>
      <c r="V478" s="34"/>
    </row>
    <row x14ac:dyDescent="0.25" r="479" customHeight="1" ht="15.75">
      <c r="A479" s="1"/>
      <c r="B479" s="34"/>
      <c r="C479" s="2"/>
      <c r="D479" s="34"/>
      <c r="E479" s="34"/>
      <c r="F479" s="34"/>
      <c r="G479" s="34"/>
      <c r="H479" s="29"/>
      <c r="I479" s="29"/>
      <c r="J479" s="6"/>
      <c r="K479" s="29"/>
      <c r="L479" s="29"/>
      <c r="M479" s="29"/>
      <c r="N479" s="29"/>
      <c r="O479" s="29"/>
      <c r="P479" s="29"/>
      <c r="Q479" s="29"/>
      <c r="R479" s="29"/>
      <c r="S479" s="29"/>
      <c r="T479" s="1"/>
      <c r="U479" s="34"/>
      <c r="V479" s="34"/>
    </row>
    <row x14ac:dyDescent="0.25" r="480" customHeight="1" ht="15.75">
      <c r="A480" s="1"/>
      <c r="B480" s="34"/>
      <c r="C480" s="2"/>
      <c r="D480" s="34"/>
      <c r="E480" s="34"/>
      <c r="F480" s="34"/>
      <c r="G480" s="34"/>
      <c r="H480" s="29"/>
      <c r="I480" s="29"/>
      <c r="J480" s="6"/>
      <c r="K480" s="29"/>
      <c r="L480" s="29"/>
      <c r="M480" s="29"/>
      <c r="N480" s="29"/>
      <c r="O480" s="29"/>
      <c r="P480" s="29"/>
      <c r="Q480" s="29"/>
      <c r="R480" s="29"/>
      <c r="S480" s="29"/>
      <c r="T480" s="1"/>
      <c r="U480" s="34"/>
      <c r="V480" s="34"/>
    </row>
    <row x14ac:dyDescent="0.25" r="481" customHeight="1" ht="15.75">
      <c r="A481" s="1"/>
      <c r="B481" s="34"/>
      <c r="C481" s="2"/>
      <c r="D481" s="34"/>
      <c r="E481" s="34"/>
      <c r="F481" s="34"/>
      <c r="G481" s="34"/>
      <c r="H481" s="29"/>
      <c r="I481" s="29"/>
      <c r="J481" s="6"/>
      <c r="K481" s="29"/>
      <c r="L481" s="29"/>
      <c r="M481" s="29"/>
      <c r="N481" s="29"/>
      <c r="O481" s="29"/>
      <c r="P481" s="29"/>
      <c r="Q481" s="29"/>
      <c r="R481" s="29"/>
      <c r="S481" s="29"/>
      <c r="T481" s="1"/>
      <c r="U481" s="34"/>
      <c r="V481" s="34"/>
    </row>
    <row x14ac:dyDescent="0.25" r="482" customHeight="1" ht="15.75">
      <c r="A482" s="1"/>
      <c r="B482" s="34"/>
      <c r="C482" s="2"/>
      <c r="D482" s="34"/>
      <c r="E482" s="34"/>
      <c r="F482" s="34"/>
      <c r="G482" s="34"/>
      <c r="H482" s="29"/>
      <c r="I482" s="29"/>
      <c r="J482" s="6"/>
      <c r="K482" s="29"/>
      <c r="L482" s="29"/>
      <c r="M482" s="29"/>
      <c r="N482" s="29"/>
      <c r="O482" s="29"/>
      <c r="P482" s="29"/>
      <c r="Q482" s="29"/>
      <c r="R482" s="29"/>
      <c r="S482" s="29"/>
      <c r="T482" s="1"/>
      <c r="U482" s="34"/>
      <c r="V482" s="34"/>
    </row>
    <row x14ac:dyDescent="0.25" r="483" customHeight="1" ht="15.75">
      <c r="A483" s="1"/>
      <c r="B483" s="34"/>
      <c r="C483" s="2"/>
      <c r="D483" s="34"/>
      <c r="E483" s="34"/>
      <c r="F483" s="34"/>
      <c r="G483" s="34"/>
      <c r="H483" s="29"/>
      <c r="I483" s="29"/>
      <c r="J483" s="6"/>
      <c r="K483" s="29"/>
      <c r="L483" s="29"/>
      <c r="M483" s="29"/>
      <c r="N483" s="29"/>
      <c r="O483" s="29"/>
      <c r="P483" s="29"/>
      <c r="Q483" s="29"/>
      <c r="R483" s="29"/>
      <c r="S483" s="29"/>
      <c r="T483" s="1"/>
      <c r="U483" s="34"/>
      <c r="V483" s="34"/>
    </row>
    <row x14ac:dyDescent="0.25" r="484" customHeight="1" ht="15.75">
      <c r="A484" s="1"/>
      <c r="B484" s="34"/>
      <c r="C484" s="2"/>
      <c r="D484" s="34"/>
      <c r="E484" s="34"/>
      <c r="F484" s="34"/>
      <c r="G484" s="34"/>
      <c r="H484" s="29"/>
      <c r="I484" s="29"/>
      <c r="J484" s="6"/>
      <c r="K484" s="29"/>
      <c r="L484" s="29"/>
      <c r="M484" s="29"/>
      <c r="N484" s="29"/>
      <c r="O484" s="29"/>
      <c r="P484" s="29"/>
      <c r="Q484" s="29"/>
      <c r="R484" s="29"/>
      <c r="S484" s="29"/>
      <c r="T484" s="1"/>
      <c r="U484" s="34"/>
      <c r="V484" s="34"/>
    </row>
    <row x14ac:dyDescent="0.25" r="485" customHeight="1" ht="15.75">
      <c r="A485" s="1"/>
      <c r="B485" s="34"/>
      <c r="C485" s="2"/>
      <c r="D485" s="34"/>
      <c r="E485" s="34"/>
      <c r="F485" s="34"/>
      <c r="G485" s="34"/>
      <c r="H485" s="29"/>
      <c r="I485" s="29"/>
      <c r="J485" s="6"/>
      <c r="K485" s="29"/>
      <c r="L485" s="29"/>
      <c r="M485" s="29"/>
      <c r="N485" s="29"/>
      <c r="O485" s="29"/>
      <c r="P485" s="29"/>
      <c r="Q485" s="29"/>
      <c r="R485" s="29"/>
      <c r="S485" s="29"/>
      <c r="T485" s="1"/>
      <c r="U485" s="34"/>
      <c r="V485" s="34"/>
    </row>
    <row x14ac:dyDescent="0.25" r="486" customHeight="1" ht="15.75">
      <c r="A486" s="1"/>
      <c r="B486" s="34"/>
      <c r="C486" s="2"/>
      <c r="D486" s="34"/>
      <c r="E486" s="34"/>
      <c r="F486" s="34"/>
      <c r="G486" s="34"/>
      <c r="H486" s="29"/>
      <c r="I486" s="29"/>
      <c r="J486" s="6"/>
      <c r="K486" s="29"/>
      <c r="L486" s="29"/>
      <c r="M486" s="29"/>
      <c r="N486" s="29"/>
      <c r="O486" s="29"/>
      <c r="P486" s="29"/>
      <c r="Q486" s="29"/>
      <c r="R486" s="29"/>
      <c r="S486" s="29"/>
      <c r="T486" s="1"/>
      <c r="U486" s="34"/>
      <c r="V486" s="34"/>
    </row>
    <row x14ac:dyDescent="0.25" r="487" customHeight="1" ht="15.75">
      <c r="A487" s="1"/>
      <c r="B487" s="34"/>
      <c r="C487" s="2"/>
      <c r="D487" s="34"/>
      <c r="E487" s="34"/>
      <c r="F487" s="34"/>
      <c r="G487" s="34"/>
      <c r="H487" s="29"/>
      <c r="I487" s="29"/>
      <c r="J487" s="6"/>
      <c r="K487" s="29"/>
      <c r="L487" s="29"/>
      <c r="M487" s="29"/>
      <c r="N487" s="29"/>
      <c r="O487" s="29"/>
      <c r="P487" s="29"/>
      <c r="Q487" s="29"/>
      <c r="R487" s="29"/>
      <c r="S487" s="29"/>
      <c r="T487" s="1"/>
      <c r="U487" s="34"/>
      <c r="V487" s="34"/>
    </row>
    <row x14ac:dyDescent="0.25" r="488" customHeight="1" ht="15.75">
      <c r="A488" s="1"/>
      <c r="B488" s="34"/>
      <c r="C488" s="2"/>
      <c r="D488" s="34"/>
      <c r="E488" s="34"/>
      <c r="F488" s="34"/>
      <c r="G488" s="34"/>
      <c r="H488" s="29"/>
      <c r="I488" s="29"/>
      <c r="J488" s="6"/>
      <c r="K488" s="29"/>
      <c r="L488" s="29"/>
      <c r="M488" s="29"/>
      <c r="N488" s="29"/>
      <c r="O488" s="29"/>
      <c r="P488" s="29"/>
      <c r="Q488" s="29"/>
      <c r="R488" s="29"/>
      <c r="S488" s="29"/>
      <c r="T488" s="1"/>
      <c r="U488" s="34"/>
      <c r="V488" s="34"/>
    </row>
    <row x14ac:dyDescent="0.25" r="489" customHeight="1" ht="15.75">
      <c r="A489" s="1"/>
      <c r="B489" s="34"/>
      <c r="C489" s="2"/>
      <c r="D489" s="34"/>
      <c r="E489" s="34"/>
      <c r="F489" s="34"/>
      <c r="G489" s="34"/>
      <c r="H489" s="29"/>
      <c r="I489" s="29"/>
      <c r="J489" s="6"/>
      <c r="K489" s="29"/>
      <c r="L489" s="29"/>
      <c r="M489" s="29"/>
      <c r="N489" s="29"/>
      <c r="O489" s="29"/>
      <c r="P489" s="29"/>
      <c r="Q489" s="29"/>
      <c r="R489" s="29"/>
      <c r="S489" s="29"/>
      <c r="T489" s="1"/>
      <c r="U489" s="34"/>
      <c r="V489" s="34"/>
    </row>
    <row x14ac:dyDescent="0.25" r="490" customHeight="1" ht="15.75">
      <c r="A490" s="1"/>
      <c r="B490" s="34"/>
      <c r="C490" s="2"/>
      <c r="D490" s="34"/>
      <c r="E490" s="34"/>
      <c r="F490" s="34"/>
      <c r="G490" s="34"/>
      <c r="H490" s="29"/>
      <c r="I490" s="29"/>
      <c r="J490" s="6"/>
      <c r="K490" s="29"/>
      <c r="L490" s="29"/>
      <c r="M490" s="29"/>
      <c r="N490" s="29"/>
      <c r="O490" s="29"/>
      <c r="P490" s="29"/>
      <c r="Q490" s="29"/>
      <c r="R490" s="29"/>
      <c r="S490" s="29"/>
      <c r="T490" s="1"/>
      <c r="U490" s="34"/>
      <c r="V490" s="34"/>
    </row>
    <row x14ac:dyDescent="0.25" r="491" customHeight="1" ht="15.75">
      <c r="A491" s="1"/>
      <c r="B491" s="34"/>
      <c r="C491" s="2"/>
      <c r="D491" s="34"/>
      <c r="E491" s="34"/>
      <c r="F491" s="34"/>
      <c r="G491" s="34"/>
      <c r="H491" s="29"/>
      <c r="I491" s="29"/>
      <c r="J491" s="6"/>
      <c r="K491" s="29"/>
      <c r="L491" s="29"/>
      <c r="M491" s="29"/>
      <c r="N491" s="29"/>
      <c r="O491" s="29"/>
      <c r="P491" s="29"/>
      <c r="Q491" s="29"/>
      <c r="R491" s="29"/>
      <c r="S491" s="29"/>
      <c r="T491" s="1"/>
      <c r="U491" s="34"/>
      <c r="V491" s="34"/>
    </row>
    <row x14ac:dyDescent="0.25" r="492" customHeight="1" ht="15.75">
      <c r="A492" s="1"/>
      <c r="B492" s="34"/>
      <c r="C492" s="2"/>
      <c r="D492" s="34"/>
      <c r="E492" s="34"/>
      <c r="F492" s="34"/>
      <c r="G492" s="34"/>
      <c r="H492" s="29"/>
      <c r="I492" s="29"/>
      <c r="J492" s="6"/>
      <c r="K492" s="29"/>
      <c r="L492" s="29"/>
      <c r="M492" s="29"/>
      <c r="N492" s="29"/>
      <c r="O492" s="29"/>
      <c r="P492" s="29"/>
      <c r="Q492" s="29"/>
      <c r="R492" s="29"/>
      <c r="S492" s="29"/>
      <c r="T492" s="1"/>
      <c r="U492" s="34"/>
      <c r="V492" s="34"/>
    </row>
    <row x14ac:dyDescent="0.25" r="493" customHeight="1" ht="15.75">
      <c r="A493" s="1"/>
      <c r="B493" s="34"/>
      <c r="C493" s="2"/>
      <c r="D493" s="34"/>
      <c r="E493" s="34"/>
      <c r="F493" s="34"/>
      <c r="G493" s="34"/>
      <c r="H493" s="29"/>
      <c r="I493" s="29"/>
      <c r="J493" s="6"/>
      <c r="K493" s="29"/>
      <c r="L493" s="29"/>
      <c r="M493" s="29"/>
      <c r="N493" s="29"/>
      <c r="O493" s="29"/>
      <c r="P493" s="29"/>
      <c r="Q493" s="29"/>
      <c r="R493" s="29"/>
      <c r="S493" s="29"/>
      <c r="T493" s="1"/>
      <c r="U493" s="34"/>
      <c r="V493" s="34"/>
    </row>
    <row x14ac:dyDescent="0.25" r="494" customHeight="1" ht="15.75">
      <c r="A494" s="1"/>
      <c r="B494" s="34"/>
      <c r="C494" s="2"/>
      <c r="D494" s="34"/>
      <c r="E494" s="34"/>
      <c r="F494" s="34"/>
      <c r="G494" s="34"/>
      <c r="H494" s="29"/>
      <c r="I494" s="29"/>
      <c r="J494" s="6"/>
      <c r="K494" s="29"/>
      <c r="L494" s="29"/>
      <c r="M494" s="29"/>
      <c r="N494" s="29"/>
      <c r="O494" s="29"/>
      <c r="P494" s="29"/>
      <c r="Q494" s="29"/>
      <c r="R494" s="29"/>
      <c r="S494" s="29"/>
      <c r="T494" s="1"/>
      <c r="U494" s="34"/>
      <c r="V494" s="34"/>
    </row>
    <row x14ac:dyDescent="0.25" r="495" customHeight="1" ht="15.75">
      <c r="A495" s="1"/>
      <c r="B495" s="34"/>
      <c r="C495" s="2"/>
      <c r="D495" s="34"/>
      <c r="E495" s="34"/>
      <c r="F495" s="34"/>
      <c r="G495" s="34"/>
      <c r="H495" s="29"/>
      <c r="I495" s="29"/>
      <c r="J495" s="6"/>
      <c r="K495" s="29"/>
      <c r="L495" s="29"/>
      <c r="M495" s="29"/>
      <c r="N495" s="29"/>
      <c r="O495" s="29"/>
      <c r="P495" s="29"/>
      <c r="Q495" s="29"/>
      <c r="R495" s="29"/>
      <c r="S495" s="29"/>
      <c r="T495" s="1"/>
      <c r="U495" s="34"/>
      <c r="V495" s="34"/>
    </row>
    <row x14ac:dyDescent="0.25" r="496" customHeight="1" ht="15.75">
      <c r="A496" s="1"/>
      <c r="B496" s="34"/>
      <c r="C496" s="2"/>
      <c r="D496" s="34"/>
      <c r="E496" s="34"/>
      <c r="F496" s="34"/>
      <c r="G496" s="34"/>
      <c r="H496" s="29"/>
      <c r="I496" s="29"/>
      <c r="J496" s="6"/>
      <c r="K496" s="29"/>
      <c r="L496" s="29"/>
      <c r="M496" s="29"/>
      <c r="N496" s="29"/>
      <c r="O496" s="29"/>
      <c r="P496" s="29"/>
      <c r="Q496" s="29"/>
      <c r="R496" s="29"/>
      <c r="S496" s="29"/>
      <c r="T496" s="1"/>
      <c r="U496" s="34"/>
      <c r="V496" s="34"/>
    </row>
    <row x14ac:dyDescent="0.25" r="497" customHeight="1" ht="15.75">
      <c r="A497" s="1"/>
      <c r="B497" s="34"/>
      <c r="C497" s="2"/>
      <c r="D497" s="34"/>
      <c r="E497" s="34"/>
      <c r="F497" s="34"/>
      <c r="G497" s="34"/>
      <c r="H497" s="29"/>
      <c r="I497" s="29"/>
      <c r="J497" s="6"/>
      <c r="K497" s="29"/>
      <c r="L497" s="29"/>
      <c r="M497" s="29"/>
      <c r="N497" s="29"/>
      <c r="O497" s="29"/>
      <c r="P497" s="29"/>
      <c r="Q497" s="29"/>
      <c r="R497" s="29"/>
      <c r="S497" s="29"/>
      <c r="T497" s="1"/>
      <c r="U497" s="34"/>
      <c r="V497" s="34"/>
    </row>
    <row x14ac:dyDescent="0.25" r="498" customHeight="1" ht="15.75">
      <c r="A498" s="1"/>
      <c r="B498" s="34"/>
      <c r="C498" s="2"/>
      <c r="D498" s="34"/>
      <c r="E498" s="34"/>
      <c r="F498" s="34"/>
      <c r="G498" s="34"/>
      <c r="H498" s="29"/>
      <c r="I498" s="29"/>
      <c r="J498" s="6"/>
      <c r="K498" s="29"/>
      <c r="L498" s="29"/>
      <c r="M498" s="29"/>
      <c r="N498" s="29"/>
      <c r="O498" s="29"/>
      <c r="P498" s="29"/>
      <c r="Q498" s="29"/>
      <c r="R498" s="29"/>
      <c r="S498" s="29"/>
      <c r="T498" s="1"/>
      <c r="U498" s="34"/>
      <c r="V498" s="34"/>
    </row>
    <row x14ac:dyDescent="0.25" r="499" customHeight="1" ht="15.75">
      <c r="A499" s="1"/>
      <c r="B499" s="34"/>
      <c r="C499" s="2"/>
      <c r="D499" s="34"/>
      <c r="E499" s="34"/>
      <c r="F499" s="34"/>
      <c r="G499" s="34"/>
      <c r="H499" s="29"/>
      <c r="I499" s="29"/>
      <c r="J499" s="6"/>
      <c r="K499" s="29"/>
      <c r="L499" s="29"/>
      <c r="M499" s="29"/>
      <c r="N499" s="29"/>
      <c r="O499" s="29"/>
      <c r="P499" s="29"/>
      <c r="Q499" s="29"/>
      <c r="R499" s="29"/>
      <c r="S499" s="29"/>
      <c r="T499" s="1"/>
      <c r="U499" s="34"/>
      <c r="V499" s="34"/>
    </row>
    <row x14ac:dyDescent="0.25" r="500" customHeight="1" ht="15.75">
      <c r="A500" s="1"/>
      <c r="B500" s="34"/>
      <c r="C500" s="2"/>
      <c r="D500" s="34"/>
      <c r="E500" s="34"/>
      <c r="F500" s="34"/>
      <c r="G500" s="34"/>
      <c r="H500" s="29"/>
      <c r="I500" s="29"/>
      <c r="J500" s="6"/>
      <c r="K500" s="29"/>
      <c r="L500" s="29"/>
      <c r="M500" s="29"/>
      <c r="N500" s="29"/>
      <c r="O500" s="29"/>
      <c r="P500" s="29"/>
      <c r="Q500" s="29"/>
      <c r="R500" s="29"/>
      <c r="S500" s="29"/>
      <c r="T500" s="1"/>
      <c r="U500" s="34"/>
      <c r="V500" s="34"/>
    </row>
    <row x14ac:dyDescent="0.25" r="501" customHeight="1" ht="15.75">
      <c r="A501" s="1"/>
      <c r="B501" s="34"/>
      <c r="C501" s="2"/>
      <c r="D501" s="34"/>
      <c r="E501" s="34"/>
      <c r="F501" s="34"/>
      <c r="G501" s="34"/>
      <c r="H501" s="29"/>
      <c r="I501" s="29"/>
      <c r="J501" s="6"/>
      <c r="K501" s="29"/>
      <c r="L501" s="29"/>
      <c r="M501" s="29"/>
      <c r="N501" s="29"/>
      <c r="O501" s="29"/>
      <c r="P501" s="29"/>
      <c r="Q501" s="29"/>
      <c r="R501" s="29"/>
      <c r="S501" s="29"/>
      <c r="T501" s="1"/>
      <c r="U501" s="34"/>
      <c r="V501" s="34"/>
    </row>
    <row x14ac:dyDescent="0.25" r="502" customHeight="1" ht="15.75">
      <c r="A502" s="1"/>
      <c r="B502" s="34"/>
      <c r="C502" s="2"/>
      <c r="D502" s="34"/>
      <c r="E502" s="34"/>
      <c r="F502" s="34"/>
      <c r="G502" s="34"/>
      <c r="H502" s="29"/>
      <c r="I502" s="29"/>
      <c r="J502" s="6"/>
      <c r="K502" s="29"/>
      <c r="L502" s="29"/>
      <c r="M502" s="29"/>
      <c r="N502" s="29"/>
      <c r="O502" s="29"/>
      <c r="P502" s="29"/>
      <c r="Q502" s="29"/>
      <c r="R502" s="29"/>
      <c r="S502" s="29"/>
      <c r="T502" s="1"/>
      <c r="U502" s="34"/>
      <c r="V502" s="34"/>
    </row>
    <row x14ac:dyDescent="0.25" r="503" customHeight="1" ht="15.75">
      <c r="A503" s="1"/>
      <c r="B503" s="34"/>
      <c r="C503" s="2"/>
      <c r="D503" s="34"/>
      <c r="E503" s="34"/>
      <c r="F503" s="34"/>
      <c r="G503" s="34"/>
      <c r="H503" s="29"/>
      <c r="I503" s="29"/>
      <c r="J503" s="6"/>
      <c r="K503" s="29"/>
      <c r="L503" s="29"/>
      <c r="M503" s="29"/>
      <c r="N503" s="29"/>
      <c r="O503" s="29"/>
      <c r="P503" s="29"/>
      <c r="Q503" s="29"/>
      <c r="R503" s="29"/>
      <c r="S503" s="29"/>
      <c r="T503" s="1"/>
      <c r="U503" s="34"/>
      <c r="V503" s="34"/>
    </row>
    <row x14ac:dyDescent="0.25" r="504" customHeight="1" ht="15.75">
      <c r="A504" s="1"/>
      <c r="B504" s="34"/>
      <c r="C504" s="2"/>
      <c r="D504" s="34"/>
      <c r="E504" s="34"/>
      <c r="F504" s="34"/>
      <c r="G504" s="34"/>
      <c r="H504" s="29"/>
      <c r="I504" s="29"/>
      <c r="J504" s="6"/>
      <c r="K504" s="29"/>
      <c r="L504" s="29"/>
      <c r="M504" s="29"/>
      <c r="N504" s="29"/>
      <c r="O504" s="29"/>
      <c r="P504" s="29"/>
      <c r="Q504" s="29"/>
      <c r="R504" s="29"/>
      <c r="S504" s="29"/>
      <c r="T504" s="1"/>
      <c r="U504" s="34"/>
      <c r="V504" s="34"/>
    </row>
    <row x14ac:dyDescent="0.25" r="505" customHeight="1" ht="15.75">
      <c r="A505" s="1"/>
      <c r="B505" s="34"/>
      <c r="C505" s="2"/>
      <c r="D505" s="34"/>
      <c r="E505" s="34"/>
      <c r="F505" s="34"/>
      <c r="G505" s="34"/>
      <c r="H505" s="29"/>
      <c r="I505" s="29"/>
      <c r="J505" s="6"/>
      <c r="K505" s="29"/>
      <c r="L505" s="29"/>
      <c r="M505" s="29"/>
      <c r="N505" s="29"/>
      <c r="O505" s="29"/>
      <c r="P505" s="29"/>
      <c r="Q505" s="29"/>
      <c r="R505" s="29"/>
      <c r="S505" s="29"/>
      <c r="T505" s="1"/>
      <c r="U505" s="34"/>
      <c r="V505" s="34"/>
    </row>
    <row x14ac:dyDescent="0.25" r="506" customHeight="1" ht="15.75">
      <c r="A506" s="1"/>
      <c r="B506" s="34"/>
      <c r="C506" s="2"/>
      <c r="D506" s="34"/>
      <c r="E506" s="34"/>
      <c r="F506" s="34"/>
      <c r="G506" s="34"/>
      <c r="H506" s="29"/>
      <c r="I506" s="29"/>
      <c r="J506" s="6"/>
      <c r="K506" s="29"/>
      <c r="L506" s="29"/>
      <c r="M506" s="29"/>
      <c r="N506" s="29"/>
      <c r="O506" s="29"/>
      <c r="P506" s="29"/>
      <c r="Q506" s="29"/>
      <c r="R506" s="29"/>
      <c r="S506" s="29"/>
      <c r="T506" s="1"/>
      <c r="U506" s="34"/>
      <c r="V506" s="34"/>
    </row>
    <row x14ac:dyDescent="0.25" r="507" customHeight="1" ht="15.75">
      <c r="A507" s="1"/>
      <c r="B507" s="34"/>
      <c r="C507" s="2"/>
      <c r="D507" s="34"/>
      <c r="E507" s="34"/>
      <c r="F507" s="34"/>
      <c r="G507" s="34"/>
      <c r="H507" s="29"/>
      <c r="I507" s="29"/>
      <c r="J507" s="6"/>
      <c r="K507" s="29"/>
      <c r="L507" s="29"/>
      <c r="M507" s="29"/>
      <c r="N507" s="29"/>
      <c r="O507" s="29"/>
      <c r="P507" s="29"/>
      <c r="Q507" s="29"/>
      <c r="R507" s="29"/>
      <c r="S507" s="29"/>
      <c r="T507" s="1"/>
      <c r="U507" s="34"/>
      <c r="V507" s="34"/>
    </row>
    <row x14ac:dyDescent="0.25" r="508" customHeight="1" ht="15.75">
      <c r="A508" s="1"/>
      <c r="B508" s="34"/>
      <c r="C508" s="2"/>
      <c r="D508" s="34"/>
      <c r="E508" s="34"/>
      <c r="F508" s="34"/>
      <c r="G508" s="34"/>
      <c r="H508" s="29"/>
      <c r="I508" s="29"/>
      <c r="J508" s="6"/>
      <c r="K508" s="29"/>
      <c r="L508" s="29"/>
      <c r="M508" s="29"/>
      <c r="N508" s="29"/>
      <c r="O508" s="29"/>
      <c r="P508" s="29"/>
      <c r="Q508" s="29"/>
      <c r="R508" s="29"/>
      <c r="S508" s="29"/>
      <c r="T508" s="1"/>
      <c r="U508" s="34"/>
      <c r="V508" s="34"/>
    </row>
    <row x14ac:dyDescent="0.25" r="509" customHeight="1" ht="15.75">
      <c r="A509" s="1"/>
      <c r="B509" s="34"/>
      <c r="C509" s="2"/>
      <c r="D509" s="34"/>
      <c r="E509" s="34"/>
      <c r="F509" s="34"/>
      <c r="G509" s="34"/>
      <c r="H509" s="29"/>
      <c r="I509" s="29"/>
      <c r="J509" s="6"/>
      <c r="K509" s="29"/>
      <c r="L509" s="29"/>
      <c r="M509" s="29"/>
      <c r="N509" s="29"/>
      <c r="O509" s="29"/>
      <c r="P509" s="29"/>
      <c r="Q509" s="29"/>
      <c r="R509" s="29"/>
      <c r="S509" s="29"/>
      <c r="T509" s="1"/>
      <c r="U509" s="34"/>
      <c r="V509" s="34"/>
    </row>
    <row x14ac:dyDescent="0.25" r="510" customHeight="1" ht="15.75">
      <c r="A510" s="1"/>
      <c r="B510" s="34"/>
      <c r="C510" s="2"/>
      <c r="D510" s="34"/>
      <c r="E510" s="34"/>
      <c r="F510" s="34"/>
      <c r="G510" s="34"/>
      <c r="H510" s="29"/>
      <c r="I510" s="29"/>
      <c r="J510" s="6"/>
      <c r="K510" s="29"/>
      <c r="L510" s="29"/>
      <c r="M510" s="29"/>
      <c r="N510" s="29"/>
      <c r="O510" s="29"/>
      <c r="P510" s="29"/>
      <c r="Q510" s="29"/>
      <c r="R510" s="29"/>
      <c r="S510" s="29"/>
      <c r="T510" s="1"/>
      <c r="U510" s="34"/>
      <c r="V510" s="34"/>
    </row>
    <row x14ac:dyDescent="0.25" r="511" customHeight="1" ht="15.75">
      <c r="A511" s="1"/>
      <c r="B511" s="34"/>
      <c r="C511" s="2"/>
      <c r="D511" s="34"/>
      <c r="E511" s="34"/>
      <c r="F511" s="34"/>
      <c r="G511" s="34"/>
      <c r="H511" s="29"/>
      <c r="I511" s="29"/>
      <c r="J511" s="6"/>
      <c r="K511" s="29"/>
      <c r="L511" s="29"/>
      <c r="M511" s="29"/>
      <c r="N511" s="29"/>
      <c r="O511" s="29"/>
      <c r="P511" s="29"/>
      <c r="Q511" s="29"/>
      <c r="R511" s="29"/>
      <c r="S511" s="29"/>
      <c r="T511" s="1"/>
      <c r="U511" s="34"/>
      <c r="V511" s="34"/>
    </row>
    <row x14ac:dyDescent="0.25" r="512" customHeight="1" ht="15.75">
      <c r="A512" s="1"/>
      <c r="B512" s="34"/>
      <c r="C512" s="2"/>
      <c r="D512" s="34"/>
      <c r="E512" s="34"/>
      <c r="F512" s="34"/>
      <c r="G512" s="34"/>
      <c r="H512" s="29"/>
      <c r="I512" s="29"/>
      <c r="J512" s="6"/>
      <c r="K512" s="29"/>
      <c r="L512" s="29"/>
      <c r="M512" s="29"/>
      <c r="N512" s="29"/>
      <c r="O512" s="29"/>
      <c r="P512" s="29"/>
      <c r="Q512" s="29"/>
      <c r="R512" s="29"/>
      <c r="S512" s="29"/>
      <c r="T512" s="1"/>
      <c r="U512" s="34"/>
      <c r="V512" s="34"/>
    </row>
    <row x14ac:dyDescent="0.25" r="513" customHeight="1" ht="15.75">
      <c r="A513" s="1"/>
      <c r="B513" s="34"/>
      <c r="C513" s="2"/>
      <c r="D513" s="34"/>
      <c r="E513" s="34"/>
      <c r="F513" s="34"/>
      <c r="G513" s="34"/>
      <c r="H513" s="29"/>
      <c r="I513" s="29"/>
      <c r="J513" s="6"/>
      <c r="K513" s="29"/>
      <c r="L513" s="29"/>
      <c r="M513" s="29"/>
      <c r="N513" s="29"/>
      <c r="O513" s="29"/>
      <c r="P513" s="29"/>
      <c r="Q513" s="29"/>
      <c r="R513" s="29"/>
      <c r="S513" s="29"/>
      <c r="T513" s="1"/>
      <c r="U513" s="34"/>
      <c r="V513" s="34"/>
    </row>
    <row x14ac:dyDescent="0.25" r="514" customHeight="1" ht="15.75">
      <c r="A514" s="1"/>
      <c r="B514" s="34"/>
      <c r="C514" s="2"/>
      <c r="D514" s="34"/>
      <c r="E514" s="34"/>
      <c r="F514" s="34"/>
      <c r="G514" s="34"/>
      <c r="H514" s="29"/>
      <c r="I514" s="29"/>
      <c r="J514" s="6"/>
      <c r="K514" s="29"/>
      <c r="L514" s="29"/>
      <c r="M514" s="29"/>
      <c r="N514" s="29"/>
      <c r="O514" s="29"/>
      <c r="P514" s="29"/>
      <c r="Q514" s="29"/>
      <c r="R514" s="29"/>
      <c r="S514" s="29"/>
      <c r="T514" s="1"/>
      <c r="U514" s="34"/>
      <c r="V514" s="34"/>
    </row>
    <row x14ac:dyDescent="0.25" r="515" customHeight="1" ht="15.75">
      <c r="A515" s="1"/>
      <c r="B515" s="34"/>
      <c r="C515" s="2"/>
      <c r="D515" s="34"/>
      <c r="E515" s="34"/>
      <c r="F515" s="34"/>
      <c r="G515" s="34"/>
      <c r="H515" s="29"/>
      <c r="I515" s="29"/>
      <c r="J515" s="6"/>
      <c r="K515" s="29"/>
      <c r="L515" s="29"/>
      <c r="M515" s="29"/>
      <c r="N515" s="29"/>
      <c r="O515" s="29"/>
      <c r="P515" s="29"/>
      <c r="Q515" s="29"/>
      <c r="R515" s="29"/>
      <c r="S515" s="29"/>
      <c r="T515" s="1"/>
      <c r="U515" s="34"/>
      <c r="V515" s="34"/>
    </row>
    <row x14ac:dyDescent="0.25" r="516" customHeight="1" ht="15.75">
      <c r="A516" s="1"/>
      <c r="B516" s="34"/>
      <c r="C516" s="2"/>
      <c r="D516" s="34"/>
      <c r="E516" s="34"/>
      <c r="F516" s="34"/>
      <c r="G516" s="34"/>
      <c r="H516" s="29"/>
      <c r="I516" s="29"/>
      <c r="J516" s="6"/>
      <c r="K516" s="29"/>
      <c r="L516" s="29"/>
      <c r="M516" s="29"/>
      <c r="N516" s="29"/>
      <c r="O516" s="29"/>
      <c r="P516" s="29"/>
      <c r="Q516" s="29"/>
      <c r="R516" s="29"/>
      <c r="S516" s="29"/>
      <c r="T516" s="1"/>
      <c r="U516" s="34"/>
      <c r="V516" s="34"/>
    </row>
    <row x14ac:dyDescent="0.25" r="517" customHeight="1" ht="15.75">
      <c r="A517" s="1"/>
      <c r="B517" s="34"/>
      <c r="C517" s="2"/>
      <c r="D517" s="34"/>
      <c r="E517" s="34"/>
      <c r="F517" s="34"/>
      <c r="G517" s="34"/>
      <c r="H517" s="29"/>
      <c r="I517" s="29"/>
      <c r="J517" s="6"/>
      <c r="K517" s="29"/>
      <c r="L517" s="29"/>
      <c r="M517" s="29"/>
      <c r="N517" s="29"/>
      <c r="O517" s="29"/>
      <c r="P517" s="29"/>
      <c r="Q517" s="29"/>
      <c r="R517" s="29"/>
      <c r="S517" s="29"/>
      <c r="T517" s="1"/>
      <c r="U517" s="34"/>
      <c r="V517" s="34"/>
    </row>
    <row x14ac:dyDescent="0.25" r="518" customHeight="1" ht="15.75">
      <c r="A518" s="1"/>
      <c r="B518" s="34"/>
      <c r="C518" s="2"/>
      <c r="D518" s="34"/>
      <c r="E518" s="34"/>
      <c r="F518" s="34"/>
      <c r="G518" s="34"/>
      <c r="H518" s="29"/>
      <c r="I518" s="29"/>
      <c r="J518" s="6"/>
      <c r="K518" s="29"/>
      <c r="L518" s="29"/>
      <c r="M518" s="29"/>
      <c r="N518" s="29"/>
      <c r="O518" s="29"/>
      <c r="P518" s="29"/>
      <c r="Q518" s="29"/>
      <c r="R518" s="29"/>
      <c r="S518" s="29"/>
      <c r="T518" s="1"/>
      <c r="U518" s="34"/>
      <c r="V518" s="34"/>
    </row>
    <row x14ac:dyDescent="0.25" r="519" customHeight="1" ht="15.75">
      <c r="A519" s="1"/>
      <c r="B519" s="34"/>
      <c r="C519" s="2"/>
      <c r="D519" s="34"/>
      <c r="E519" s="34"/>
      <c r="F519" s="34"/>
      <c r="G519" s="34"/>
      <c r="H519" s="29"/>
      <c r="I519" s="29"/>
      <c r="J519" s="6"/>
      <c r="K519" s="29"/>
      <c r="L519" s="29"/>
      <c r="M519" s="29"/>
      <c r="N519" s="29"/>
      <c r="O519" s="29"/>
      <c r="P519" s="29"/>
      <c r="Q519" s="29"/>
      <c r="R519" s="29"/>
      <c r="S519" s="29"/>
      <c r="T519" s="1"/>
      <c r="U519" s="34"/>
      <c r="V519" s="34"/>
    </row>
    <row x14ac:dyDescent="0.25" r="520" customHeight="1" ht="15.75">
      <c r="A520" s="1"/>
      <c r="B520" s="34"/>
      <c r="C520" s="2"/>
      <c r="D520" s="34"/>
      <c r="E520" s="34"/>
      <c r="F520" s="34"/>
      <c r="G520" s="34"/>
      <c r="H520" s="29"/>
      <c r="I520" s="29"/>
      <c r="J520" s="6"/>
      <c r="K520" s="29"/>
      <c r="L520" s="29"/>
      <c r="M520" s="29"/>
      <c r="N520" s="29"/>
      <c r="O520" s="29"/>
      <c r="P520" s="29"/>
      <c r="Q520" s="29"/>
      <c r="R520" s="29"/>
      <c r="S520" s="29"/>
      <c r="T520" s="1"/>
      <c r="U520" s="34"/>
      <c r="V520" s="34"/>
    </row>
    <row x14ac:dyDescent="0.25" r="521" customHeight="1" ht="15.75">
      <c r="A521" s="1"/>
      <c r="B521" s="34"/>
      <c r="C521" s="2"/>
      <c r="D521" s="34"/>
      <c r="E521" s="34"/>
      <c r="F521" s="34"/>
      <c r="G521" s="34"/>
      <c r="H521" s="29"/>
      <c r="I521" s="29"/>
      <c r="J521" s="6"/>
      <c r="K521" s="29"/>
      <c r="L521" s="29"/>
      <c r="M521" s="29"/>
      <c r="N521" s="29"/>
      <c r="O521" s="29"/>
      <c r="P521" s="29"/>
      <c r="Q521" s="29"/>
      <c r="R521" s="29"/>
      <c r="S521" s="29"/>
      <c r="T521" s="1"/>
      <c r="U521" s="34"/>
      <c r="V521" s="34"/>
    </row>
    <row x14ac:dyDescent="0.25" r="522" customHeight="1" ht="15.75">
      <c r="A522" s="1"/>
      <c r="B522" s="34"/>
      <c r="C522" s="2"/>
      <c r="D522" s="34"/>
      <c r="E522" s="34"/>
      <c r="F522" s="34"/>
      <c r="G522" s="34"/>
      <c r="H522" s="29"/>
      <c r="I522" s="29"/>
      <c r="J522" s="6"/>
      <c r="K522" s="29"/>
      <c r="L522" s="29"/>
      <c r="M522" s="29"/>
      <c r="N522" s="29"/>
      <c r="O522" s="29"/>
      <c r="P522" s="29"/>
      <c r="Q522" s="29"/>
      <c r="R522" s="29"/>
      <c r="S522" s="29"/>
      <c r="T522" s="1"/>
      <c r="U522" s="34"/>
      <c r="V522" s="34"/>
    </row>
    <row x14ac:dyDescent="0.25" r="523" customHeight="1" ht="15.75">
      <c r="A523" s="1"/>
      <c r="B523" s="34"/>
      <c r="C523" s="2"/>
      <c r="D523" s="34"/>
      <c r="E523" s="34"/>
      <c r="F523" s="34"/>
      <c r="G523" s="34"/>
      <c r="H523" s="29"/>
      <c r="I523" s="29"/>
      <c r="J523" s="6"/>
      <c r="K523" s="29"/>
      <c r="L523" s="29"/>
      <c r="M523" s="29"/>
      <c r="N523" s="29"/>
      <c r="O523" s="29"/>
      <c r="P523" s="29"/>
      <c r="Q523" s="29"/>
      <c r="R523" s="29"/>
      <c r="S523" s="29"/>
      <c r="T523" s="1"/>
      <c r="U523" s="34"/>
      <c r="V523" s="34"/>
    </row>
    <row x14ac:dyDescent="0.25" r="524" customHeight="1" ht="15.75">
      <c r="A524" s="1"/>
      <c r="B524" s="34"/>
      <c r="C524" s="2"/>
      <c r="D524" s="34"/>
      <c r="E524" s="34"/>
      <c r="F524" s="34"/>
      <c r="G524" s="34"/>
      <c r="H524" s="29"/>
      <c r="I524" s="29"/>
      <c r="J524" s="6"/>
      <c r="K524" s="29"/>
      <c r="L524" s="29"/>
      <c r="M524" s="29"/>
      <c r="N524" s="29"/>
      <c r="O524" s="29"/>
      <c r="P524" s="29"/>
      <c r="Q524" s="29"/>
      <c r="R524" s="29"/>
      <c r="S524" s="29"/>
      <c r="T524" s="1"/>
      <c r="U524" s="34"/>
      <c r="V524" s="34"/>
    </row>
    <row x14ac:dyDescent="0.25" r="525" customHeight="1" ht="15.75">
      <c r="A525" s="1"/>
      <c r="B525" s="34"/>
      <c r="C525" s="2"/>
      <c r="D525" s="34"/>
      <c r="E525" s="34"/>
      <c r="F525" s="34"/>
      <c r="G525" s="34"/>
      <c r="H525" s="29"/>
      <c r="I525" s="29"/>
      <c r="J525" s="6"/>
      <c r="K525" s="29"/>
      <c r="L525" s="29"/>
      <c r="M525" s="29"/>
      <c r="N525" s="29"/>
      <c r="O525" s="29"/>
      <c r="P525" s="29"/>
      <c r="Q525" s="29"/>
      <c r="R525" s="29"/>
      <c r="S525" s="29"/>
      <c r="T525" s="1"/>
      <c r="U525" s="34"/>
      <c r="V525" s="34"/>
    </row>
    <row x14ac:dyDescent="0.25" r="526" customHeight="1" ht="15.75">
      <c r="A526" s="1"/>
      <c r="B526" s="34"/>
      <c r="C526" s="2"/>
      <c r="D526" s="34"/>
      <c r="E526" s="34"/>
      <c r="F526" s="34"/>
      <c r="G526" s="34"/>
      <c r="H526" s="29"/>
      <c r="I526" s="29"/>
      <c r="J526" s="6"/>
      <c r="K526" s="29"/>
      <c r="L526" s="29"/>
      <c r="M526" s="29"/>
      <c r="N526" s="29"/>
      <c r="O526" s="29"/>
      <c r="P526" s="29"/>
      <c r="Q526" s="29"/>
      <c r="R526" s="29"/>
      <c r="S526" s="29"/>
      <c r="T526" s="1"/>
      <c r="U526" s="34"/>
      <c r="V526" s="34"/>
    </row>
    <row x14ac:dyDescent="0.25" r="527" customHeight="1" ht="15.75">
      <c r="A527" s="1"/>
      <c r="B527" s="34"/>
      <c r="C527" s="2"/>
      <c r="D527" s="34"/>
      <c r="E527" s="34"/>
      <c r="F527" s="34"/>
      <c r="G527" s="34"/>
      <c r="H527" s="29"/>
      <c r="I527" s="29"/>
      <c r="J527" s="6"/>
      <c r="K527" s="29"/>
      <c r="L527" s="29"/>
      <c r="M527" s="29"/>
      <c r="N527" s="29"/>
      <c r="O527" s="29"/>
      <c r="P527" s="29"/>
      <c r="Q527" s="29"/>
      <c r="R527" s="29"/>
      <c r="S527" s="29"/>
      <c r="T527" s="1"/>
      <c r="U527" s="34"/>
      <c r="V527" s="34"/>
    </row>
    <row x14ac:dyDescent="0.25" r="528" customHeight="1" ht="15.75">
      <c r="A528" s="1"/>
      <c r="B528" s="34"/>
      <c r="C528" s="2"/>
      <c r="D528" s="34"/>
      <c r="E528" s="34"/>
      <c r="F528" s="34"/>
      <c r="G528" s="34"/>
      <c r="H528" s="29"/>
      <c r="I528" s="29"/>
      <c r="J528" s="6"/>
      <c r="K528" s="29"/>
      <c r="L528" s="29"/>
      <c r="M528" s="29"/>
      <c r="N528" s="29"/>
      <c r="O528" s="29"/>
      <c r="P528" s="29"/>
      <c r="Q528" s="29"/>
      <c r="R528" s="29"/>
      <c r="S528" s="29"/>
      <c r="T528" s="1"/>
      <c r="U528" s="34"/>
      <c r="V528" s="34"/>
    </row>
    <row x14ac:dyDescent="0.25" r="529" customHeight="1" ht="15.75">
      <c r="A529" s="1"/>
      <c r="B529" s="34"/>
      <c r="C529" s="2"/>
      <c r="D529" s="34"/>
      <c r="E529" s="34"/>
      <c r="F529" s="34"/>
      <c r="G529" s="34"/>
      <c r="H529" s="29"/>
      <c r="I529" s="29"/>
      <c r="J529" s="6"/>
      <c r="K529" s="29"/>
      <c r="L529" s="29"/>
      <c r="M529" s="29"/>
      <c r="N529" s="29"/>
      <c r="O529" s="29"/>
      <c r="P529" s="29"/>
      <c r="Q529" s="29"/>
      <c r="R529" s="29"/>
      <c r="S529" s="29"/>
      <c r="T529" s="1"/>
      <c r="U529" s="34"/>
      <c r="V529" s="34"/>
    </row>
    <row x14ac:dyDescent="0.25" r="530" customHeight="1" ht="15.75">
      <c r="A530" s="1"/>
      <c r="B530" s="34"/>
      <c r="C530" s="2"/>
      <c r="D530" s="34"/>
      <c r="E530" s="34"/>
      <c r="F530" s="34"/>
      <c r="G530" s="34"/>
      <c r="H530" s="29"/>
      <c r="I530" s="29"/>
      <c r="J530" s="6"/>
      <c r="K530" s="29"/>
      <c r="L530" s="29"/>
      <c r="M530" s="29"/>
      <c r="N530" s="29"/>
      <c r="O530" s="29"/>
      <c r="P530" s="29"/>
      <c r="Q530" s="29"/>
      <c r="R530" s="29"/>
      <c r="S530" s="29"/>
      <c r="T530" s="1"/>
      <c r="U530" s="34"/>
      <c r="V530" s="34"/>
    </row>
    <row x14ac:dyDescent="0.25" r="531" customHeight="1" ht="15.75">
      <c r="A531" s="1"/>
      <c r="B531" s="34"/>
      <c r="C531" s="2"/>
      <c r="D531" s="34"/>
      <c r="E531" s="34"/>
      <c r="F531" s="34"/>
      <c r="G531" s="34"/>
      <c r="H531" s="29"/>
      <c r="I531" s="29"/>
      <c r="J531" s="6"/>
      <c r="K531" s="29"/>
      <c r="L531" s="29"/>
      <c r="M531" s="29"/>
      <c r="N531" s="29"/>
      <c r="O531" s="29"/>
      <c r="P531" s="29"/>
      <c r="Q531" s="29"/>
      <c r="R531" s="29"/>
      <c r="S531" s="29"/>
      <c r="T531" s="1"/>
      <c r="U531" s="34"/>
      <c r="V531" s="34"/>
    </row>
    <row x14ac:dyDescent="0.25" r="532" customHeight="1" ht="15.75">
      <c r="A532" s="1"/>
      <c r="B532" s="34"/>
      <c r="C532" s="2"/>
      <c r="D532" s="34"/>
      <c r="E532" s="34"/>
      <c r="F532" s="34"/>
      <c r="G532" s="34"/>
      <c r="H532" s="29"/>
      <c r="I532" s="29"/>
      <c r="J532" s="6"/>
      <c r="K532" s="29"/>
      <c r="L532" s="29"/>
      <c r="M532" s="29"/>
      <c r="N532" s="29"/>
      <c r="O532" s="29"/>
      <c r="P532" s="29"/>
      <c r="Q532" s="29"/>
      <c r="R532" s="29"/>
      <c r="S532" s="29"/>
      <c r="T532" s="1"/>
      <c r="U532" s="34"/>
      <c r="V532" s="34"/>
    </row>
    <row x14ac:dyDescent="0.25" r="533" customHeight="1" ht="15.75">
      <c r="A533" s="1"/>
      <c r="B533" s="34"/>
      <c r="C533" s="2"/>
      <c r="D533" s="34"/>
      <c r="E533" s="34"/>
      <c r="F533" s="34"/>
      <c r="G533" s="34"/>
      <c r="H533" s="29"/>
      <c r="I533" s="29"/>
      <c r="J533" s="6"/>
      <c r="K533" s="29"/>
      <c r="L533" s="29"/>
      <c r="M533" s="29"/>
      <c r="N533" s="29"/>
      <c r="O533" s="29"/>
      <c r="P533" s="29"/>
      <c r="Q533" s="29"/>
      <c r="R533" s="29"/>
      <c r="S533" s="29"/>
      <c r="T533" s="1"/>
      <c r="U533" s="34"/>
      <c r="V533" s="34"/>
    </row>
    <row x14ac:dyDescent="0.25" r="534" customHeight="1" ht="15.75">
      <c r="A534" s="1"/>
      <c r="B534" s="34"/>
      <c r="C534" s="2"/>
      <c r="D534" s="34"/>
      <c r="E534" s="34"/>
      <c r="F534" s="34"/>
      <c r="G534" s="34"/>
      <c r="H534" s="29"/>
      <c r="I534" s="29"/>
      <c r="J534" s="6"/>
      <c r="K534" s="29"/>
      <c r="L534" s="29"/>
      <c r="M534" s="29"/>
      <c r="N534" s="29"/>
      <c r="O534" s="29"/>
      <c r="P534" s="29"/>
      <c r="Q534" s="29"/>
      <c r="R534" s="29"/>
      <c r="S534" s="29"/>
      <c r="T534" s="1"/>
      <c r="U534" s="34"/>
      <c r="V534" s="34"/>
    </row>
    <row x14ac:dyDescent="0.25" r="535" customHeight="1" ht="15.75">
      <c r="A535" s="1"/>
      <c r="B535" s="34"/>
      <c r="C535" s="2"/>
      <c r="D535" s="34"/>
      <c r="E535" s="34"/>
      <c r="F535" s="34"/>
      <c r="G535" s="34"/>
      <c r="H535" s="29"/>
      <c r="I535" s="29"/>
      <c r="J535" s="6"/>
      <c r="K535" s="29"/>
      <c r="L535" s="29"/>
      <c r="M535" s="29"/>
      <c r="N535" s="29"/>
      <c r="O535" s="29"/>
      <c r="P535" s="29"/>
      <c r="Q535" s="29"/>
      <c r="R535" s="29"/>
      <c r="S535" s="29"/>
      <c r="T535" s="1"/>
      <c r="U535" s="34"/>
      <c r="V535" s="34"/>
    </row>
    <row x14ac:dyDescent="0.25" r="536" customHeight="1" ht="15.75">
      <c r="A536" s="1"/>
      <c r="B536" s="34"/>
      <c r="C536" s="2"/>
      <c r="D536" s="34"/>
      <c r="E536" s="34"/>
      <c r="F536" s="34"/>
      <c r="G536" s="34"/>
      <c r="H536" s="29"/>
      <c r="I536" s="29"/>
      <c r="J536" s="6"/>
      <c r="K536" s="29"/>
      <c r="L536" s="29"/>
      <c r="M536" s="29"/>
      <c r="N536" s="29"/>
      <c r="O536" s="29"/>
      <c r="P536" s="29"/>
      <c r="Q536" s="29"/>
      <c r="R536" s="29"/>
      <c r="S536" s="29"/>
      <c r="T536" s="1"/>
      <c r="U536" s="34"/>
      <c r="V536" s="34"/>
    </row>
    <row x14ac:dyDescent="0.25" r="537" customHeight="1" ht="15.75">
      <c r="A537" s="1"/>
      <c r="B537" s="34"/>
      <c r="C537" s="2"/>
      <c r="D537" s="34"/>
      <c r="E537" s="34"/>
      <c r="F537" s="34"/>
      <c r="G537" s="34"/>
      <c r="H537" s="29"/>
      <c r="I537" s="29"/>
      <c r="J537" s="6"/>
      <c r="K537" s="29"/>
      <c r="L537" s="29"/>
      <c r="M537" s="29"/>
      <c r="N537" s="29"/>
      <c r="O537" s="29"/>
      <c r="P537" s="29"/>
      <c r="Q537" s="29"/>
      <c r="R537" s="29"/>
      <c r="S537" s="29"/>
      <c r="T537" s="1"/>
      <c r="U537" s="34"/>
      <c r="V537" s="34"/>
    </row>
    <row x14ac:dyDescent="0.25" r="538" customHeight="1" ht="15.75">
      <c r="A538" s="1"/>
      <c r="B538" s="34"/>
      <c r="C538" s="2"/>
      <c r="D538" s="34"/>
      <c r="E538" s="34"/>
      <c r="F538" s="34"/>
      <c r="G538" s="34"/>
      <c r="H538" s="29"/>
      <c r="I538" s="29"/>
      <c r="J538" s="6"/>
      <c r="K538" s="29"/>
      <c r="L538" s="29"/>
      <c r="M538" s="29"/>
      <c r="N538" s="29"/>
      <c r="O538" s="29"/>
      <c r="P538" s="29"/>
      <c r="Q538" s="29"/>
      <c r="R538" s="29"/>
      <c r="S538" s="29"/>
      <c r="T538" s="1"/>
      <c r="U538" s="34"/>
      <c r="V538" s="34"/>
    </row>
    <row x14ac:dyDescent="0.25" r="539" customHeight="1" ht="15.75">
      <c r="A539" s="1"/>
      <c r="B539" s="34"/>
      <c r="C539" s="2"/>
      <c r="D539" s="34"/>
      <c r="E539" s="34"/>
      <c r="F539" s="34"/>
      <c r="G539" s="34"/>
      <c r="H539" s="29"/>
      <c r="I539" s="29"/>
      <c r="J539" s="6"/>
      <c r="K539" s="29"/>
      <c r="L539" s="29"/>
      <c r="M539" s="29"/>
      <c r="N539" s="29"/>
      <c r="O539" s="29"/>
      <c r="P539" s="29"/>
      <c r="Q539" s="29"/>
      <c r="R539" s="29"/>
      <c r="S539" s="29"/>
      <c r="T539" s="1"/>
      <c r="U539" s="34"/>
      <c r="V539" s="34"/>
    </row>
    <row x14ac:dyDescent="0.25" r="540" customHeight="1" ht="15.75">
      <c r="A540" s="1"/>
      <c r="B540" s="34"/>
      <c r="C540" s="2"/>
      <c r="D540" s="34"/>
      <c r="E540" s="34"/>
      <c r="F540" s="34"/>
      <c r="G540" s="34"/>
      <c r="H540" s="29"/>
      <c r="I540" s="29"/>
      <c r="J540" s="6"/>
      <c r="K540" s="29"/>
      <c r="L540" s="29"/>
      <c r="M540" s="29"/>
      <c r="N540" s="29"/>
      <c r="O540" s="29"/>
      <c r="P540" s="29"/>
      <c r="Q540" s="29"/>
      <c r="R540" s="29"/>
      <c r="S540" s="29"/>
      <c r="T540" s="1"/>
      <c r="U540" s="34"/>
      <c r="V540" s="34"/>
    </row>
    <row x14ac:dyDescent="0.25" r="541" customHeight="1" ht="15.75">
      <c r="A541" s="1"/>
      <c r="B541" s="34"/>
      <c r="C541" s="2"/>
      <c r="D541" s="34"/>
      <c r="E541" s="34"/>
      <c r="F541" s="34"/>
      <c r="G541" s="34"/>
      <c r="H541" s="29"/>
      <c r="I541" s="29"/>
      <c r="J541" s="6"/>
      <c r="K541" s="29"/>
      <c r="L541" s="29"/>
      <c r="M541" s="29"/>
      <c r="N541" s="29"/>
      <c r="O541" s="29"/>
      <c r="P541" s="29"/>
      <c r="Q541" s="29"/>
      <c r="R541" s="29"/>
      <c r="S541" s="29"/>
      <c r="T541" s="1"/>
      <c r="U541" s="34"/>
      <c r="V541" s="34"/>
    </row>
    <row x14ac:dyDescent="0.25" r="542" customHeight="1" ht="15.75">
      <c r="A542" s="1"/>
      <c r="B542" s="34"/>
      <c r="C542" s="2"/>
      <c r="D542" s="34"/>
      <c r="E542" s="34"/>
      <c r="F542" s="34"/>
      <c r="G542" s="34"/>
      <c r="H542" s="29"/>
      <c r="I542" s="29"/>
      <c r="J542" s="6"/>
      <c r="K542" s="29"/>
      <c r="L542" s="29"/>
      <c r="M542" s="29"/>
      <c r="N542" s="29"/>
      <c r="O542" s="29"/>
      <c r="P542" s="29"/>
      <c r="Q542" s="29"/>
      <c r="R542" s="29"/>
      <c r="S542" s="29"/>
      <c r="T542" s="1"/>
      <c r="U542" s="34"/>
      <c r="V542" s="34"/>
    </row>
    <row x14ac:dyDescent="0.25" r="543" customHeight="1" ht="15.75">
      <c r="A543" s="1"/>
      <c r="B543" s="34"/>
      <c r="C543" s="2"/>
      <c r="D543" s="34"/>
      <c r="E543" s="34"/>
      <c r="F543" s="34"/>
      <c r="G543" s="34"/>
      <c r="H543" s="29"/>
      <c r="I543" s="29"/>
      <c r="J543" s="6"/>
      <c r="K543" s="29"/>
      <c r="L543" s="29"/>
      <c r="M543" s="29"/>
      <c r="N543" s="29"/>
      <c r="O543" s="29"/>
      <c r="P543" s="29"/>
      <c r="Q543" s="29"/>
      <c r="R543" s="29"/>
      <c r="S543" s="29"/>
      <c r="T543" s="1"/>
      <c r="U543" s="34"/>
      <c r="V543" s="34"/>
    </row>
    <row x14ac:dyDescent="0.25" r="544" customHeight="1" ht="15.75">
      <c r="A544" s="1"/>
      <c r="B544" s="34"/>
      <c r="C544" s="2"/>
      <c r="D544" s="34"/>
      <c r="E544" s="34"/>
      <c r="F544" s="34"/>
      <c r="G544" s="34"/>
      <c r="H544" s="29"/>
      <c r="I544" s="29"/>
      <c r="J544" s="6"/>
      <c r="K544" s="29"/>
      <c r="L544" s="29"/>
      <c r="M544" s="29"/>
      <c r="N544" s="29"/>
      <c r="O544" s="29"/>
      <c r="P544" s="29"/>
      <c r="Q544" s="29"/>
      <c r="R544" s="29"/>
      <c r="S544" s="29"/>
      <c r="T544" s="1"/>
      <c r="U544" s="34"/>
      <c r="V544" s="34"/>
    </row>
    <row x14ac:dyDescent="0.25" r="545" customHeight="1" ht="15.75">
      <c r="A545" s="1"/>
      <c r="B545" s="34"/>
      <c r="C545" s="2"/>
      <c r="D545" s="34"/>
      <c r="E545" s="34"/>
      <c r="F545" s="34"/>
      <c r="G545" s="34"/>
      <c r="H545" s="29"/>
      <c r="I545" s="29"/>
      <c r="J545" s="6"/>
      <c r="K545" s="29"/>
      <c r="L545" s="29"/>
      <c r="M545" s="29"/>
      <c r="N545" s="29"/>
      <c r="O545" s="29"/>
      <c r="P545" s="29"/>
      <c r="Q545" s="29"/>
      <c r="R545" s="29"/>
      <c r="S545" s="29"/>
      <c r="T545" s="1"/>
      <c r="U545" s="34"/>
      <c r="V545" s="34"/>
    </row>
    <row x14ac:dyDescent="0.25" r="546" customHeight="1" ht="15.75">
      <c r="A546" s="1"/>
      <c r="B546" s="34"/>
      <c r="C546" s="2"/>
      <c r="D546" s="34"/>
      <c r="E546" s="34"/>
      <c r="F546" s="34"/>
      <c r="G546" s="34"/>
      <c r="H546" s="29"/>
      <c r="I546" s="29"/>
      <c r="J546" s="6"/>
      <c r="K546" s="29"/>
      <c r="L546" s="29"/>
      <c r="M546" s="29"/>
      <c r="N546" s="29"/>
      <c r="O546" s="29"/>
      <c r="P546" s="29"/>
      <c r="Q546" s="29"/>
      <c r="R546" s="29"/>
      <c r="S546" s="29"/>
      <c r="T546" s="1"/>
      <c r="U546" s="34"/>
      <c r="V546" s="34"/>
    </row>
    <row x14ac:dyDescent="0.25" r="547" customHeight="1" ht="15.75">
      <c r="A547" s="1"/>
      <c r="B547" s="34"/>
      <c r="C547" s="2"/>
      <c r="D547" s="34"/>
      <c r="E547" s="34"/>
      <c r="F547" s="34"/>
      <c r="G547" s="34"/>
      <c r="H547" s="29"/>
      <c r="I547" s="29"/>
      <c r="J547" s="6"/>
      <c r="K547" s="29"/>
      <c r="L547" s="29"/>
      <c r="M547" s="29"/>
      <c r="N547" s="29"/>
      <c r="O547" s="29"/>
      <c r="P547" s="29"/>
      <c r="Q547" s="29"/>
      <c r="R547" s="29"/>
      <c r="S547" s="29"/>
      <c r="T547" s="1"/>
      <c r="U547" s="34"/>
      <c r="V547" s="34"/>
    </row>
    <row x14ac:dyDescent="0.25" r="548" customHeight="1" ht="15.75">
      <c r="A548" s="1"/>
      <c r="B548" s="34"/>
      <c r="C548" s="2"/>
      <c r="D548" s="34"/>
      <c r="E548" s="34"/>
      <c r="F548" s="34"/>
      <c r="G548" s="34"/>
      <c r="H548" s="29"/>
      <c r="I548" s="29"/>
      <c r="J548" s="6"/>
      <c r="K548" s="29"/>
      <c r="L548" s="29"/>
      <c r="M548" s="29"/>
      <c r="N548" s="29"/>
      <c r="O548" s="29"/>
      <c r="P548" s="29"/>
      <c r="Q548" s="29"/>
      <c r="R548" s="29"/>
      <c r="S548" s="29"/>
      <c r="T548" s="1"/>
      <c r="U548" s="34"/>
      <c r="V548" s="34"/>
    </row>
    <row x14ac:dyDescent="0.25" r="549" customHeight="1" ht="15.75">
      <c r="A549" s="1"/>
      <c r="B549" s="34"/>
      <c r="C549" s="2"/>
      <c r="D549" s="34"/>
      <c r="E549" s="34"/>
      <c r="F549" s="34"/>
      <c r="G549" s="34"/>
      <c r="H549" s="29"/>
      <c r="I549" s="29"/>
      <c r="J549" s="6"/>
      <c r="K549" s="29"/>
      <c r="L549" s="29"/>
      <c r="M549" s="29"/>
      <c r="N549" s="29"/>
      <c r="O549" s="29"/>
      <c r="P549" s="29"/>
      <c r="Q549" s="29"/>
      <c r="R549" s="29"/>
      <c r="S549" s="29"/>
      <c r="T549" s="1"/>
      <c r="U549" s="34"/>
      <c r="V549" s="34"/>
    </row>
    <row x14ac:dyDescent="0.25" r="550" customHeight="1" ht="15.75">
      <c r="A550" s="1"/>
      <c r="B550" s="34"/>
      <c r="C550" s="2"/>
      <c r="D550" s="34"/>
      <c r="E550" s="34"/>
      <c r="F550" s="34"/>
      <c r="G550" s="34"/>
      <c r="H550" s="29"/>
      <c r="I550" s="29"/>
      <c r="J550" s="6"/>
      <c r="K550" s="29"/>
      <c r="L550" s="29"/>
      <c r="M550" s="29"/>
      <c r="N550" s="29"/>
      <c r="O550" s="29"/>
      <c r="P550" s="29"/>
      <c r="Q550" s="29"/>
      <c r="R550" s="29"/>
      <c r="S550" s="29"/>
      <c r="T550" s="1"/>
      <c r="U550" s="34"/>
      <c r="V550" s="34"/>
    </row>
    <row x14ac:dyDescent="0.25" r="551" customHeight="1" ht="15.75">
      <c r="A551" s="1"/>
      <c r="B551" s="34"/>
      <c r="C551" s="2"/>
      <c r="D551" s="34"/>
      <c r="E551" s="34"/>
      <c r="F551" s="34"/>
      <c r="G551" s="34"/>
      <c r="H551" s="29"/>
      <c r="I551" s="29"/>
      <c r="J551" s="6"/>
      <c r="K551" s="29"/>
      <c r="L551" s="29"/>
      <c r="M551" s="29"/>
      <c r="N551" s="29"/>
      <c r="O551" s="29"/>
      <c r="P551" s="29"/>
      <c r="Q551" s="29"/>
      <c r="R551" s="29"/>
      <c r="S551" s="29"/>
      <c r="T551" s="1"/>
      <c r="U551" s="34"/>
      <c r="V551" s="34"/>
    </row>
    <row x14ac:dyDescent="0.25" r="552" customHeight="1" ht="15.75">
      <c r="A552" s="1"/>
      <c r="B552" s="34"/>
      <c r="C552" s="2"/>
      <c r="D552" s="34"/>
      <c r="E552" s="34"/>
      <c r="F552" s="34"/>
      <c r="G552" s="34"/>
      <c r="H552" s="29"/>
      <c r="I552" s="29"/>
      <c r="J552" s="6"/>
      <c r="K552" s="29"/>
      <c r="L552" s="29"/>
      <c r="M552" s="29"/>
      <c r="N552" s="29"/>
      <c r="O552" s="29"/>
      <c r="P552" s="29"/>
      <c r="Q552" s="29"/>
      <c r="R552" s="29"/>
      <c r="S552" s="29"/>
      <c r="T552" s="1"/>
      <c r="U552" s="34"/>
      <c r="V552" s="34"/>
    </row>
    <row x14ac:dyDescent="0.25" r="553" customHeight="1" ht="15.75">
      <c r="A553" s="1"/>
      <c r="B553" s="34"/>
      <c r="C553" s="2"/>
      <c r="D553" s="34"/>
      <c r="E553" s="34"/>
      <c r="F553" s="34"/>
      <c r="G553" s="34"/>
      <c r="H553" s="29"/>
      <c r="I553" s="29"/>
      <c r="J553" s="6"/>
      <c r="K553" s="29"/>
      <c r="L553" s="29"/>
      <c r="M553" s="29"/>
      <c r="N553" s="29"/>
      <c r="O553" s="29"/>
      <c r="P553" s="29"/>
      <c r="Q553" s="29"/>
      <c r="R553" s="29"/>
      <c r="S553" s="29"/>
      <c r="T553" s="1"/>
      <c r="U553" s="34"/>
      <c r="V553" s="34"/>
    </row>
    <row x14ac:dyDescent="0.25" r="554" customHeight="1" ht="15.75">
      <c r="A554" s="1"/>
      <c r="B554" s="34"/>
      <c r="C554" s="2"/>
      <c r="D554" s="34"/>
      <c r="E554" s="34"/>
      <c r="F554" s="34"/>
      <c r="G554" s="34"/>
      <c r="H554" s="29"/>
      <c r="I554" s="29"/>
      <c r="J554" s="6"/>
      <c r="K554" s="29"/>
      <c r="L554" s="29"/>
      <c r="M554" s="29"/>
      <c r="N554" s="29"/>
      <c r="O554" s="29"/>
      <c r="P554" s="29"/>
      <c r="Q554" s="29"/>
      <c r="R554" s="29"/>
      <c r="S554" s="29"/>
      <c r="T554" s="1"/>
      <c r="U554" s="34"/>
      <c r="V554" s="34"/>
    </row>
    <row x14ac:dyDescent="0.25" r="555" customHeight="1" ht="15.75">
      <c r="A555" s="1"/>
      <c r="B555" s="34"/>
      <c r="C555" s="2"/>
      <c r="D555" s="34"/>
      <c r="E555" s="34"/>
      <c r="F555" s="34"/>
      <c r="G555" s="34"/>
      <c r="H555" s="29"/>
      <c r="I555" s="29"/>
      <c r="J555" s="6"/>
      <c r="K555" s="29"/>
      <c r="L555" s="29"/>
      <c r="M555" s="29"/>
      <c r="N555" s="29"/>
      <c r="O555" s="29"/>
      <c r="P555" s="29"/>
      <c r="Q555" s="29"/>
      <c r="R555" s="29"/>
      <c r="S555" s="29"/>
      <c r="T555" s="1"/>
      <c r="U555" s="34"/>
      <c r="V555" s="34"/>
    </row>
    <row x14ac:dyDescent="0.25" r="556" customHeight="1" ht="15.75">
      <c r="A556" s="1"/>
      <c r="B556" s="34"/>
      <c r="C556" s="2"/>
      <c r="D556" s="34"/>
      <c r="E556" s="34"/>
      <c r="F556" s="34"/>
      <c r="G556" s="34"/>
      <c r="H556" s="29"/>
      <c r="I556" s="29"/>
      <c r="J556" s="6"/>
      <c r="K556" s="29"/>
      <c r="L556" s="29"/>
      <c r="M556" s="29"/>
      <c r="N556" s="29"/>
      <c r="O556" s="29"/>
      <c r="P556" s="29"/>
      <c r="Q556" s="29"/>
      <c r="R556" s="29"/>
      <c r="S556" s="29"/>
      <c r="T556" s="1"/>
      <c r="U556" s="34"/>
      <c r="V556" s="34"/>
    </row>
    <row x14ac:dyDescent="0.25" r="557" customHeight="1" ht="15.75">
      <c r="A557" s="1"/>
      <c r="B557" s="34"/>
      <c r="C557" s="2"/>
      <c r="D557" s="34"/>
      <c r="E557" s="34"/>
      <c r="F557" s="34"/>
      <c r="G557" s="34"/>
      <c r="H557" s="29"/>
      <c r="I557" s="29"/>
      <c r="J557" s="6"/>
      <c r="K557" s="29"/>
      <c r="L557" s="29"/>
      <c r="M557" s="29"/>
      <c r="N557" s="29"/>
      <c r="O557" s="29"/>
      <c r="P557" s="29"/>
      <c r="Q557" s="29"/>
      <c r="R557" s="29"/>
      <c r="S557" s="29"/>
      <c r="T557" s="1"/>
      <c r="U557" s="34"/>
      <c r="V557" s="34"/>
    </row>
    <row x14ac:dyDescent="0.25" r="558" customHeight="1" ht="15.75">
      <c r="A558" s="1"/>
      <c r="B558" s="34"/>
      <c r="C558" s="2"/>
      <c r="D558" s="34"/>
      <c r="E558" s="34"/>
      <c r="F558" s="34"/>
      <c r="G558" s="34"/>
      <c r="H558" s="29"/>
      <c r="I558" s="29"/>
      <c r="J558" s="6"/>
      <c r="K558" s="29"/>
      <c r="L558" s="29"/>
      <c r="M558" s="29"/>
      <c r="N558" s="29"/>
      <c r="O558" s="29"/>
      <c r="P558" s="29"/>
      <c r="Q558" s="29"/>
      <c r="R558" s="29"/>
      <c r="S558" s="29"/>
      <c r="T558" s="1"/>
      <c r="U558" s="34"/>
      <c r="V558" s="34"/>
    </row>
    <row x14ac:dyDescent="0.25" r="559" customHeight="1" ht="15.75">
      <c r="A559" s="1"/>
      <c r="B559" s="34"/>
      <c r="C559" s="2"/>
      <c r="D559" s="34"/>
      <c r="E559" s="34"/>
      <c r="F559" s="34"/>
      <c r="G559" s="34"/>
      <c r="H559" s="29"/>
      <c r="I559" s="29"/>
      <c r="J559" s="6"/>
      <c r="K559" s="29"/>
      <c r="L559" s="29"/>
      <c r="M559" s="29"/>
      <c r="N559" s="29"/>
      <c r="O559" s="29"/>
      <c r="P559" s="29"/>
      <c r="Q559" s="29"/>
      <c r="R559" s="29"/>
      <c r="S559" s="29"/>
      <c r="T559" s="1"/>
      <c r="U559" s="34"/>
      <c r="V559" s="34"/>
    </row>
    <row x14ac:dyDescent="0.25" r="560" customHeight="1" ht="15.75">
      <c r="A560" s="1"/>
      <c r="B560" s="34"/>
      <c r="C560" s="2"/>
      <c r="D560" s="34"/>
      <c r="E560" s="34"/>
      <c r="F560" s="34"/>
      <c r="G560" s="34"/>
      <c r="H560" s="29"/>
      <c r="I560" s="29"/>
      <c r="J560" s="6"/>
      <c r="K560" s="29"/>
      <c r="L560" s="29"/>
      <c r="M560" s="29"/>
      <c r="N560" s="29"/>
      <c r="O560" s="29"/>
      <c r="P560" s="29"/>
      <c r="Q560" s="29"/>
      <c r="R560" s="29"/>
      <c r="S560" s="29"/>
      <c r="T560" s="1"/>
      <c r="U560" s="34"/>
      <c r="V560" s="34"/>
    </row>
    <row x14ac:dyDescent="0.25" r="561" customHeight="1" ht="15.75">
      <c r="A561" s="1"/>
      <c r="B561" s="34"/>
      <c r="C561" s="2"/>
      <c r="D561" s="34"/>
      <c r="E561" s="34"/>
      <c r="F561" s="34"/>
      <c r="G561" s="34"/>
      <c r="H561" s="29"/>
      <c r="I561" s="29"/>
      <c r="J561" s="6"/>
      <c r="K561" s="29"/>
      <c r="L561" s="29"/>
      <c r="M561" s="29"/>
      <c r="N561" s="29"/>
      <c r="O561" s="29"/>
      <c r="P561" s="29"/>
      <c r="Q561" s="29"/>
      <c r="R561" s="29"/>
      <c r="S561" s="29"/>
      <c r="T561" s="1"/>
      <c r="U561" s="34"/>
      <c r="V561" s="34"/>
    </row>
    <row x14ac:dyDescent="0.25" r="562" customHeight="1" ht="15.75">
      <c r="A562" s="1"/>
      <c r="B562" s="34"/>
      <c r="C562" s="2"/>
      <c r="D562" s="34"/>
      <c r="E562" s="34"/>
      <c r="F562" s="34"/>
      <c r="G562" s="34"/>
      <c r="H562" s="29"/>
      <c r="I562" s="29"/>
      <c r="J562" s="6"/>
      <c r="K562" s="29"/>
      <c r="L562" s="29"/>
      <c r="M562" s="29"/>
      <c r="N562" s="29"/>
      <c r="O562" s="29"/>
      <c r="P562" s="29"/>
      <c r="Q562" s="29"/>
      <c r="R562" s="29"/>
      <c r="S562" s="29"/>
      <c r="T562" s="1"/>
      <c r="U562" s="34"/>
      <c r="V562" s="34"/>
    </row>
    <row x14ac:dyDescent="0.25" r="563" customHeight="1" ht="15.75">
      <c r="A563" s="1"/>
      <c r="B563" s="34"/>
      <c r="C563" s="2"/>
      <c r="D563" s="34"/>
      <c r="E563" s="34"/>
      <c r="F563" s="34"/>
      <c r="G563" s="34"/>
      <c r="H563" s="29"/>
      <c r="I563" s="29"/>
      <c r="J563" s="6"/>
      <c r="K563" s="29"/>
      <c r="L563" s="29"/>
      <c r="M563" s="29"/>
      <c r="N563" s="29"/>
      <c r="O563" s="29"/>
      <c r="P563" s="29"/>
      <c r="Q563" s="29"/>
      <c r="R563" s="29"/>
      <c r="S563" s="29"/>
      <c r="T563" s="1"/>
      <c r="U563" s="34"/>
      <c r="V563" s="34"/>
    </row>
    <row x14ac:dyDescent="0.25" r="564" customHeight="1" ht="15.75">
      <c r="A564" s="1"/>
      <c r="B564" s="34"/>
      <c r="C564" s="2"/>
      <c r="D564" s="34"/>
      <c r="E564" s="34"/>
      <c r="F564" s="34"/>
      <c r="G564" s="34"/>
      <c r="H564" s="29"/>
      <c r="I564" s="29"/>
      <c r="J564" s="6"/>
      <c r="K564" s="29"/>
      <c r="L564" s="29"/>
      <c r="M564" s="29"/>
      <c r="N564" s="29"/>
      <c r="O564" s="29"/>
      <c r="P564" s="29"/>
      <c r="Q564" s="29"/>
      <c r="R564" s="29"/>
      <c r="S564" s="29"/>
      <c r="T564" s="1"/>
      <c r="U564" s="34"/>
      <c r="V564" s="34"/>
    </row>
    <row x14ac:dyDescent="0.25" r="565" customHeight="1" ht="15.75">
      <c r="A565" s="1"/>
      <c r="B565" s="34"/>
      <c r="C565" s="2"/>
      <c r="D565" s="34"/>
      <c r="E565" s="34"/>
      <c r="F565" s="34"/>
      <c r="G565" s="34"/>
      <c r="H565" s="29"/>
      <c r="I565" s="29"/>
      <c r="J565" s="6"/>
      <c r="K565" s="29"/>
      <c r="L565" s="29"/>
      <c r="M565" s="29"/>
      <c r="N565" s="29"/>
      <c r="O565" s="29"/>
      <c r="P565" s="29"/>
      <c r="Q565" s="29"/>
      <c r="R565" s="29"/>
      <c r="S565" s="29"/>
      <c r="T565" s="1"/>
      <c r="U565" s="34"/>
      <c r="V565" s="34"/>
    </row>
    <row x14ac:dyDescent="0.25" r="566" customHeight="1" ht="15.75">
      <c r="A566" s="1"/>
      <c r="B566" s="34"/>
      <c r="C566" s="2"/>
      <c r="D566" s="34"/>
      <c r="E566" s="34"/>
      <c r="F566" s="34"/>
      <c r="G566" s="34"/>
      <c r="H566" s="29"/>
      <c r="I566" s="29"/>
      <c r="J566" s="6"/>
      <c r="K566" s="29"/>
      <c r="L566" s="29"/>
      <c r="M566" s="29"/>
      <c r="N566" s="29"/>
      <c r="O566" s="29"/>
      <c r="P566" s="29"/>
      <c r="Q566" s="29"/>
      <c r="R566" s="29"/>
      <c r="S566" s="29"/>
      <c r="T566" s="1"/>
      <c r="U566" s="34"/>
      <c r="V566" s="34"/>
    </row>
    <row x14ac:dyDescent="0.25" r="567" customHeight="1" ht="15.75">
      <c r="A567" s="1"/>
      <c r="B567" s="34"/>
      <c r="C567" s="2"/>
      <c r="D567" s="34"/>
      <c r="E567" s="34"/>
      <c r="F567" s="34"/>
      <c r="G567" s="34"/>
      <c r="H567" s="29"/>
      <c r="I567" s="29"/>
      <c r="J567" s="6"/>
      <c r="K567" s="29"/>
      <c r="L567" s="29"/>
      <c r="M567" s="29"/>
      <c r="N567" s="29"/>
      <c r="O567" s="29"/>
      <c r="P567" s="29"/>
      <c r="Q567" s="29"/>
      <c r="R567" s="29"/>
      <c r="S567" s="29"/>
      <c r="T567" s="1"/>
      <c r="U567" s="34"/>
      <c r="V567" s="34"/>
    </row>
    <row x14ac:dyDescent="0.25" r="568" customHeight="1" ht="15.75">
      <c r="A568" s="1"/>
      <c r="B568" s="34"/>
      <c r="C568" s="2"/>
      <c r="D568" s="34"/>
      <c r="E568" s="34"/>
      <c r="F568" s="34"/>
      <c r="G568" s="34"/>
      <c r="H568" s="29"/>
      <c r="I568" s="29"/>
      <c r="J568" s="6"/>
      <c r="K568" s="29"/>
      <c r="L568" s="29"/>
      <c r="M568" s="29"/>
      <c r="N568" s="29"/>
      <c r="O568" s="29"/>
      <c r="P568" s="29"/>
      <c r="Q568" s="29"/>
      <c r="R568" s="29"/>
      <c r="S568" s="29"/>
      <c r="T568" s="1"/>
      <c r="U568" s="34"/>
      <c r="V568" s="34"/>
    </row>
    <row x14ac:dyDescent="0.25" r="569" customHeight="1" ht="15.75">
      <c r="A569" s="1"/>
      <c r="B569" s="34"/>
      <c r="C569" s="2"/>
      <c r="D569" s="34"/>
      <c r="E569" s="34"/>
      <c r="F569" s="34"/>
      <c r="G569" s="34"/>
      <c r="H569" s="29"/>
      <c r="I569" s="29"/>
      <c r="J569" s="6"/>
      <c r="K569" s="29"/>
      <c r="L569" s="29"/>
      <c r="M569" s="29"/>
      <c r="N569" s="29"/>
      <c r="O569" s="29"/>
      <c r="P569" s="29"/>
      <c r="Q569" s="29"/>
      <c r="R569" s="29"/>
      <c r="S569" s="29"/>
      <c r="T569" s="1"/>
      <c r="U569" s="34"/>
      <c r="V569" s="34"/>
    </row>
    <row x14ac:dyDescent="0.25" r="570" customHeight="1" ht="15.75">
      <c r="A570" s="1"/>
      <c r="B570" s="34"/>
      <c r="C570" s="2"/>
      <c r="D570" s="34"/>
      <c r="E570" s="34"/>
      <c r="F570" s="34"/>
      <c r="G570" s="34"/>
      <c r="H570" s="29"/>
      <c r="I570" s="29"/>
      <c r="J570" s="6"/>
      <c r="K570" s="29"/>
      <c r="L570" s="29"/>
      <c r="M570" s="29"/>
      <c r="N570" s="29"/>
      <c r="O570" s="29"/>
      <c r="P570" s="29"/>
      <c r="Q570" s="29"/>
      <c r="R570" s="29"/>
      <c r="S570" s="29"/>
      <c r="T570" s="1"/>
      <c r="U570" s="34"/>
      <c r="V570" s="34"/>
    </row>
    <row x14ac:dyDescent="0.25" r="571" customHeight="1" ht="15.75">
      <c r="A571" s="1"/>
      <c r="B571" s="34"/>
      <c r="C571" s="2"/>
      <c r="D571" s="34"/>
      <c r="E571" s="34"/>
      <c r="F571" s="34"/>
      <c r="G571" s="34"/>
      <c r="H571" s="29"/>
      <c r="I571" s="29"/>
      <c r="J571" s="6"/>
      <c r="K571" s="29"/>
      <c r="L571" s="29"/>
      <c r="M571" s="29"/>
      <c r="N571" s="29"/>
      <c r="O571" s="29"/>
      <c r="P571" s="29"/>
      <c r="Q571" s="29"/>
      <c r="R571" s="29"/>
      <c r="S571" s="29"/>
      <c r="T571" s="1"/>
      <c r="U571" s="34"/>
      <c r="V571" s="34"/>
    </row>
    <row x14ac:dyDescent="0.25" r="572" customHeight="1" ht="15.75">
      <c r="A572" s="1"/>
      <c r="B572" s="34"/>
      <c r="C572" s="2"/>
      <c r="D572" s="34"/>
      <c r="E572" s="34"/>
      <c r="F572" s="34"/>
      <c r="G572" s="34"/>
      <c r="H572" s="29"/>
      <c r="I572" s="29"/>
      <c r="J572" s="6"/>
      <c r="K572" s="29"/>
      <c r="L572" s="29"/>
      <c r="M572" s="29"/>
      <c r="N572" s="29"/>
      <c r="O572" s="29"/>
      <c r="P572" s="29"/>
      <c r="Q572" s="29"/>
      <c r="R572" s="29"/>
      <c r="S572" s="29"/>
      <c r="T572" s="1"/>
      <c r="U572" s="34"/>
      <c r="V572" s="34"/>
    </row>
    <row x14ac:dyDescent="0.25" r="573" customHeight="1" ht="15.75">
      <c r="A573" s="1"/>
      <c r="B573" s="34"/>
      <c r="C573" s="2"/>
      <c r="D573" s="34"/>
      <c r="E573" s="34"/>
      <c r="F573" s="34"/>
      <c r="G573" s="34"/>
      <c r="H573" s="29"/>
      <c r="I573" s="29"/>
      <c r="J573" s="6"/>
      <c r="K573" s="29"/>
      <c r="L573" s="29"/>
      <c r="M573" s="29"/>
      <c r="N573" s="29"/>
      <c r="O573" s="29"/>
      <c r="P573" s="29"/>
      <c r="Q573" s="29"/>
      <c r="R573" s="29"/>
      <c r="S573" s="29"/>
      <c r="T573" s="1"/>
      <c r="U573" s="34"/>
      <c r="V573" s="34"/>
    </row>
    <row x14ac:dyDescent="0.25" r="574" customHeight="1" ht="15.75">
      <c r="A574" s="1"/>
      <c r="B574" s="34"/>
      <c r="C574" s="2"/>
      <c r="D574" s="34"/>
      <c r="E574" s="34"/>
      <c r="F574" s="34"/>
      <c r="G574" s="34"/>
      <c r="H574" s="29"/>
      <c r="I574" s="29"/>
      <c r="J574" s="6"/>
      <c r="K574" s="29"/>
      <c r="L574" s="29"/>
      <c r="M574" s="29"/>
      <c r="N574" s="29"/>
      <c r="O574" s="29"/>
      <c r="P574" s="29"/>
      <c r="Q574" s="29"/>
      <c r="R574" s="29"/>
      <c r="S574" s="29"/>
      <c r="T574" s="1"/>
      <c r="U574" s="34"/>
      <c r="V574" s="34"/>
    </row>
    <row x14ac:dyDescent="0.25" r="575" customHeight="1" ht="15.75">
      <c r="A575" s="1"/>
      <c r="B575" s="34"/>
      <c r="C575" s="2"/>
      <c r="D575" s="34"/>
      <c r="E575" s="34"/>
      <c r="F575" s="34"/>
      <c r="G575" s="34"/>
      <c r="H575" s="29"/>
      <c r="I575" s="29"/>
      <c r="J575" s="6"/>
      <c r="K575" s="29"/>
      <c r="L575" s="29"/>
      <c r="M575" s="29"/>
      <c r="N575" s="29"/>
      <c r="O575" s="29"/>
      <c r="P575" s="29"/>
      <c r="Q575" s="29"/>
      <c r="R575" s="29"/>
      <c r="S575" s="29"/>
      <c r="T575" s="1"/>
      <c r="U575" s="34"/>
      <c r="V575" s="34"/>
    </row>
    <row x14ac:dyDescent="0.25" r="576" customHeight="1" ht="15.75">
      <c r="A576" s="1"/>
      <c r="B576" s="34"/>
      <c r="C576" s="2"/>
      <c r="D576" s="34"/>
      <c r="E576" s="34"/>
      <c r="F576" s="34"/>
      <c r="G576" s="34"/>
      <c r="H576" s="29"/>
      <c r="I576" s="29"/>
      <c r="J576" s="6"/>
      <c r="K576" s="29"/>
      <c r="L576" s="29"/>
      <c r="M576" s="29"/>
      <c r="N576" s="29"/>
      <c r="O576" s="29"/>
      <c r="P576" s="29"/>
      <c r="Q576" s="29"/>
      <c r="R576" s="29"/>
      <c r="S576" s="29"/>
      <c r="T576" s="1"/>
      <c r="U576" s="34"/>
      <c r="V576" s="34"/>
    </row>
    <row x14ac:dyDescent="0.25" r="577" customHeight="1" ht="15.75">
      <c r="A577" s="1"/>
      <c r="B577" s="34"/>
      <c r="C577" s="2"/>
      <c r="D577" s="34"/>
      <c r="E577" s="34"/>
      <c r="F577" s="34"/>
      <c r="G577" s="34"/>
      <c r="H577" s="29"/>
      <c r="I577" s="29"/>
      <c r="J577" s="6"/>
      <c r="K577" s="29"/>
      <c r="L577" s="29"/>
      <c r="M577" s="29"/>
      <c r="N577" s="29"/>
      <c r="O577" s="29"/>
      <c r="P577" s="29"/>
      <c r="Q577" s="29"/>
      <c r="R577" s="29"/>
      <c r="S577" s="29"/>
      <c r="T577" s="1"/>
      <c r="U577" s="34"/>
      <c r="V577" s="34"/>
    </row>
    <row x14ac:dyDescent="0.25" r="578" customHeight="1" ht="15.75">
      <c r="A578" s="1"/>
      <c r="B578" s="34"/>
      <c r="C578" s="2"/>
      <c r="D578" s="34"/>
      <c r="E578" s="34"/>
      <c r="F578" s="34"/>
      <c r="G578" s="34"/>
      <c r="H578" s="29"/>
      <c r="I578" s="29"/>
      <c r="J578" s="6"/>
      <c r="K578" s="29"/>
      <c r="L578" s="29"/>
      <c r="M578" s="29"/>
      <c r="N578" s="29"/>
      <c r="O578" s="29"/>
      <c r="P578" s="29"/>
      <c r="Q578" s="29"/>
      <c r="R578" s="29"/>
      <c r="S578" s="29"/>
      <c r="T578" s="1"/>
      <c r="U578" s="34"/>
      <c r="V578" s="34"/>
    </row>
    <row x14ac:dyDescent="0.25" r="579" customHeight="1" ht="15.75">
      <c r="A579" s="1"/>
      <c r="B579" s="34"/>
      <c r="C579" s="2"/>
      <c r="D579" s="34"/>
      <c r="E579" s="34"/>
      <c r="F579" s="34"/>
      <c r="G579" s="34"/>
      <c r="H579" s="29"/>
      <c r="I579" s="29"/>
      <c r="J579" s="6"/>
      <c r="K579" s="29"/>
      <c r="L579" s="29"/>
      <c r="M579" s="29"/>
      <c r="N579" s="29"/>
      <c r="O579" s="29"/>
      <c r="P579" s="29"/>
      <c r="Q579" s="29"/>
      <c r="R579" s="29"/>
      <c r="S579" s="29"/>
      <c r="T579" s="1"/>
      <c r="U579" s="34"/>
      <c r="V579" s="34"/>
    </row>
    <row x14ac:dyDescent="0.25" r="580" customHeight="1" ht="15.75">
      <c r="A580" s="1"/>
      <c r="B580" s="34"/>
      <c r="C580" s="2"/>
      <c r="D580" s="34"/>
      <c r="E580" s="34"/>
      <c r="F580" s="34"/>
      <c r="G580" s="34"/>
      <c r="H580" s="29"/>
      <c r="I580" s="29"/>
      <c r="J580" s="6"/>
      <c r="K580" s="29"/>
      <c r="L580" s="29"/>
      <c r="M580" s="29"/>
      <c r="N580" s="29"/>
      <c r="O580" s="29"/>
      <c r="P580" s="29"/>
      <c r="Q580" s="29"/>
      <c r="R580" s="29"/>
      <c r="S580" s="29"/>
      <c r="T580" s="1"/>
      <c r="U580" s="34"/>
      <c r="V580" s="34"/>
    </row>
    <row x14ac:dyDescent="0.25" r="581" customHeight="1" ht="15.75">
      <c r="A581" s="1"/>
      <c r="B581" s="34"/>
      <c r="C581" s="2"/>
      <c r="D581" s="34"/>
      <c r="E581" s="34"/>
      <c r="F581" s="34"/>
      <c r="G581" s="34"/>
      <c r="H581" s="29"/>
      <c r="I581" s="29"/>
      <c r="J581" s="6"/>
      <c r="K581" s="29"/>
      <c r="L581" s="29"/>
      <c r="M581" s="29"/>
      <c r="N581" s="29"/>
      <c r="O581" s="29"/>
      <c r="P581" s="29"/>
      <c r="Q581" s="29"/>
      <c r="R581" s="29"/>
      <c r="S581" s="29"/>
      <c r="T581" s="1"/>
      <c r="U581" s="34"/>
      <c r="V581" s="34"/>
    </row>
    <row x14ac:dyDescent="0.25" r="582" customHeight="1" ht="15.75">
      <c r="A582" s="1"/>
      <c r="B582" s="34"/>
      <c r="C582" s="2"/>
      <c r="D582" s="34"/>
      <c r="E582" s="34"/>
      <c r="F582" s="34"/>
      <c r="G582" s="34"/>
      <c r="H582" s="29"/>
      <c r="I582" s="29"/>
      <c r="J582" s="6"/>
      <c r="K582" s="29"/>
      <c r="L582" s="29"/>
      <c r="M582" s="29"/>
      <c r="N582" s="29"/>
      <c r="O582" s="29"/>
      <c r="P582" s="29"/>
      <c r="Q582" s="29"/>
      <c r="R582" s="29"/>
      <c r="S582" s="29"/>
      <c r="T582" s="1"/>
      <c r="U582" s="34"/>
      <c r="V582" s="34"/>
    </row>
    <row x14ac:dyDescent="0.25" r="583" customHeight="1" ht="15.75">
      <c r="A583" s="1"/>
      <c r="B583" s="34"/>
      <c r="C583" s="2"/>
      <c r="D583" s="34"/>
      <c r="E583" s="34"/>
      <c r="F583" s="34"/>
      <c r="G583" s="34"/>
      <c r="H583" s="29"/>
      <c r="I583" s="29"/>
      <c r="J583" s="6"/>
      <c r="K583" s="29"/>
      <c r="L583" s="29"/>
      <c r="M583" s="29"/>
      <c r="N583" s="29"/>
      <c r="O583" s="29"/>
      <c r="P583" s="29"/>
      <c r="Q583" s="29"/>
      <c r="R583" s="29"/>
      <c r="S583" s="29"/>
      <c r="T583" s="1"/>
      <c r="U583" s="34"/>
      <c r="V583" s="34"/>
    </row>
    <row x14ac:dyDescent="0.25" r="584" customHeight="1" ht="15.75">
      <c r="A584" s="1"/>
      <c r="B584" s="34"/>
      <c r="C584" s="2"/>
      <c r="D584" s="34"/>
      <c r="E584" s="34"/>
      <c r="F584" s="34"/>
      <c r="G584" s="34"/>
      <c r="H584" s="29"/>
      <c r="I584" s="29"/>
      <c r="J584" s="6"/>
      <c r="K584" s="29"/>
      <c r="L584" s="29"/>
      <c r="M584" s="29"/>
      <c r="N584" s="29"/>
      <c r="O584" s="29"/>
      <c r="P584" s="29"/>
      <c r="Q584" s="29"/>
      <c r="R584" s="29"/>
      <c r="S584" s="29"/>
      <c r="T584" s="1"/>
      <c r="U584" s="34"/>
      <c r="V584" s="34"/>
    </row>
    <row x14ac:dyDescent="0.25" r="585" customHeight="1" ht="15.75">
      <c r="A585" s="1"/>
      <c r="B585" s="34"/>
      <c r="C585" s="2"/>
      <c r="D585" s="34"/>
      <c r="E585" s="34"/>
      <c r="F585" s="34"/>
      <c r="G585" s="34"/>
      <c r="H585" s="29"/>
      <c r="I585" s="29"/>
      <c r="J585" s="6"/>
      <c r="K585" s="29"/>
      <c r="L585" s="29"/>
      <c r="M585" s="29"/>
      <c r="N585" s="29"/>
      <c r="O585" s="29"/>
      <c r="P585" s="29"/>
      <c r="Q585" s="29"/>
      <c r="R585" s="29"/>
      <c r="S585" s="29"/>
      <c r="T585" s="1"/>
      <c r="U585" s="34"/>
      <c r="V585" s="34"/>
    </row>
    <row x14ac:dyDescent="0.25" r="586" customHeight="1" ht="15.75">
      <c r="A586" s="1"/>
      <c r="B586" s="34"/>
      <c r="C586" s="2"/>
      <c r="D586" s="34"/>
      <c r="E586" s="34"/>
      <c r="F586" s="34"/>
      <c r="G586" s="34"/>
      <c r="H586" s="29"/>
      <c r="I586" s="29"/>
      <c r="J586" s="6"/>
      <c r="K586" s="29"/>
      <c r="L586" s="29"/>
      <c r="M586" s="29"/>
      <c r="N586" s="29"/>
      <c r="O586" s="29"/>
      <c r="P586" s="29"/>
      <c r="Q586" s="29"/>
      <c r="R586" s="29"/>
      <c r="S586" s="29"/>
      <c r="T586" s="1"/>
      <c r="U586" s="34"/>
      <c r="V586" s="34"/>
    </row>
    <row x14ac:dyDescent="0.25" r="587" customHeight="1" ht="15.75">
      <c r="A587" s="1"/>
      <c r="B587" s="34"/>
      <c r="C587" s="2"/>
      <c r="D587" s="34"/>
      <c r="E587" s="34"/>
      <c r="F587" s="34"/>
      <c r="G587" s="34"/>
      <c r="H587" s="29"/>
      <c r="I587" s="29"/>
      <c r="J587" s="6"/>
      <c r="K587" s="29"/>
      <c r="L587" s="29"/>
      <c r="M587" s="29"/>
      <c r="N587" s="29"/>
      <c r="O587" s="29"/>
      <c r="P587" s="29"/>
      <c r="Q587" s="29"/>
      <c r="R587" s="29"/>
      <c r="S587" s="29"/>
      <c r="T587" s="1"/>
      <c r="U587" s="34"/>
      <c r="V587" s="34"/>
    </row>
    <row x14ac:dyDescent="0.25" r="588" customHeight="1" ht="15.75">
      <c r="A588" s="1"/>
      <c r="B588" s="34"/>
      <c r="C588" s="2"/>
      <c r="D588" s="34"/>
      <c r="E588" s="34"/>
      <c r="F588" s="34"/>
      <c r="G588" s="34"/>
      <c r="H588" s="29"/>
      <c r="I588" s="29"/>
      <c r="J588" s="6"/>
      <c r="K588" s="29"/>
      <c r="L588" s="29"/>
      <c r="M588" s="29"/>
      <c r="N588" s="29"/>
      <c r="O588" s="29"/>
      <c r="P588" s="29"/>
      <c r="Q588" s="29"/>
      <c r="R588" s="29"/>
      <c r="S588" s="29"/>
      <c r="T588" s="1"/>
      <c r="U588" s="34"/>
      <c r="V588" s="34"/>
    </row>
    <row x14ac:dyDescent="0.25" r="589" customHeight="1" ht="15.75">
      <c r="A589" s="1"/>
      <c r="B589" s="34"/>
      <c r="C589" s="2"/>
      <c r="D589" s="34"/>
      <c r="E589" s="34"/>
      <c r="F589" s="34"/>
      <c r="G589" s="34"/>
      <c r="H589" s="29"/>
      <c r="I589" s="29"/>
      <c r="J589" s="6"/>
      <c r="K589" s="29"/>
      <c r="L589" s="29"/>
      <c r="M589" s="29"/>
      <c r="N589" s="29"/>
      <c r="O589" s="29"/>
      <c r="P589" s="29"/>
      <c r="Q589" s="29"/>
      <c r="R589" s="29"/>
      <c r="S589" s="29"/>
      <c r="T589" s="1"/>
      <c r="U589" s="34"/>
      <c r="V589" s="34"/>
    </row>
    <row x14ac:dyDescent="0.25" r="590" customHeight="1" ht="15.75">
      <c r="A590" s="1"/>
      <c r="B590" s="34"/>
      <c r="C590" s="2"/>
      <c r="D590" s="34"/>
      <c r="E590" s="34"/>
      <c r="F590" s="34"/>
      <c r="G590" s="34"/>
      <c r="H590" s="29"/>
      <c r="I590" s="29"/>
      <c r="J590" s="6"/>
      <c r="K590" s="29"/>
      <c r="L590" s="29"/>
      <c r="M590" s="29"/>
      <c r="N590" s="29"/>
      <c r="O590" s="29"/>
      <c r="P590" s="29"/>
      <c r="Q590" s="29"/>
      <c r="R590" s="29"/>
      <c r="S590" s="29"/>
      <c r="T590" s="1"/>
      <c r="U590" s="34"/>
      <c r="V590" s="34"/>
    </row>
    <row x14ac:dyDescent="0.25" r="591" customHeight="1" ht="15.75">
      <c r="A591" s="1"/>
      <c r="B591" s="34"/>
      <c r="C591" s="2"/>
      <c r="D591" s="34"/>
      <c r="E591" s="34"/>
      <c r="F591" s="34"/>
      <c r="G591" s="34"/>
      <c r="H591" s="29"/>
      <c r="I591" s="29"/>
      <c r="J591" s="6"/>
      <c r="K591" s="29"/>
      <c r="L591" s="29"/>
      <c r="M591" s="29"/>
      <c r="N591" s="29"/>
      <c r="O591" s="29"/>
      <c r="P591" s="29"/>
      <c r="Q591" s="29"/>
      <c r="R591" s="29"/>
      <c r="S591" s="29"/>
      <c r="T591" s="1"/>
      <c r="U591" s="34"/>
      <c r="V591" s="34"/>
    </row>
    <row x14ac:dyDescent="0.25" r="592" customHeight="1" ht="15.75">
      <c r="A592" s="1"/>
      <c r="B592" s="34"/>
      <c r="C592" s="2"/>
      <c r="D592" s="34"/>
      <c r="E592" s="34"/>
      <c r="F592" s="34"/>
      <c r="G592" s="34"/>
      <c r="H592" s="29"/>
      <c r="I592" s="29"/>
      <c r="J592" s="6"/>
      <c r="K592" s="29"/>
      <c r="L592" s="29"/>
      <c r="M592" s="29"/>
      <c r="N592" s="29"/>
      <c r="O592" s="29"/>
      <c r="P592" s="29"/>
      <c r="Q592" s="29"/>
      <c r="R592" s="29"/>
      <c r="S592" s="29"/>
      <c r="T592" s="1"/>
      <c r="U592" s="34"/>
      <c r="V592" s="34"/>
    </row>
    <row x14ac:dyDescent="0.25" r="593" customHeight="1" ht="15.75">
      <c r="A593" s="1"/>
      <c r="B593" s="34"/>
      <c r="C593" s="2"/>
      <c r="D593" s="34"/>
      <c r="E593" s="34"/>
      <c r="F593" s="34"/>
      <c r="G593" s="34"/>
      <c r="H593" s="29"/>
      <c r="I593" s="29"/>
      <c r="J593" s="6"/>
      <c r="K593" s="29"/>
      <c r="L593" s="29"/>
      <c r="M593" s="29"/>
      <c r="N593" s="29"/>
      <c r="O593" s="29"/>
      <c r="P593" s="29"/>
      <c r="Q593" s="29"/>
      <c r="R593" s="29"/>
      <c r="S593" s="29"/>
      <c r="T593" s="1"/>
      <c r="U593" s="34"/>
      <c r="V593" s="34"/>
    </row>
    <row x14ac:dyDescent="0.25" r="594" customHeight="1" ht="15.75">
      <c r="A594" s="1"/>
      <c r="B594" s="34"/>
      <c r="C594" s="2"/>
      <c r="D594" s="34"/>
      <c r="E594" s="34"/>
      <c r="F594" s="34"/>
      <c r="G594" s="34"/>
      <c r="H594" s="29"/>
      <c r="I594" s="29"/>
      <c r="J594" s="6"/>
      <c r="K594" s="29"/>
      <c r="L594" s="29"/>
      <c r="M594" s="29"/>
      <c r="N594" s="29"/>
      <c r="O594" s="29"/>
      <c r="P594" s="29"/>
      <c r="Q594" s="29"/>
      <c r="R594" s="29"/>
      <c r="S594" s="29"/>
      <c r="T594" s="1"/>
      <c r="U594" s="34"/>
      <c r="V594" s="34"/>
    </row>
    <row x14ac:dyDescent="0.25" r="595" customHeight="1" ht="15.75">
      <c r="A595" s="1"/>
      <c r="B595" s="34"/>
      <c r="C595" s="2"/>
      <c r="D595" s="34"/>
      <c r="E595" s="34"/>
      <c r="F595" s="34"/>
      <c r="G595" s="34"/>
      <c r="H595" s="29"/>
      <c r="I595" s="29"/>
      <c r="J595" s="6"/>
      <c r="K595" s="29"/>
      <c r="L595" s="29"/>
      <c r="M595" s="29"/>
      <c r="N595" s="29"/>
      <c r="O595" s="29"/>
      <c r="P595" s="29"/>
      <c r="Q595" s="29"/>
      <c r="R595" s="29"/>
      <c r="S595" s="29"/>
      <c r="T595" s="1"/>
      <c r="U595" s="34"/>
      <c r="V595" s="34"/>
    </row>
    <row x14ac:dyDescent="0.25" r="596" customHeight="1" ht="15.75">
      <c r="A596" s="1"/>
      <c r="B596" s="34"/>
      <c r="C596" s="2"/>
      <c r="D596" s="34"/>
      <c r="E596" s="34"/>
      <c r="F596" s="34"/>
      <c r="G596" s="34"/>
      <c r="H596" s="29"/>
      <c r="I596" s="29"/>
      <c r="J596" s="6"/>
      <c r="K596" s="29"/>
      <c r="L596" s="29"/>
      <c r="M596" s="29"/>
      <c r="N596" s="29"/>
      <c r="O596" s="29"/>
      <c r="P596" s="29"/>
      <c r="Q596" s="29"/>
      <c r="R596" s="29"/>
      <c r="S596" s="29"/>
      <c r="T596" s="1"/>
      <c r="U596" s="34"/>
      <c r="V596" s="34"/>
    </row>
    <row x14ac:dyDescent="0.25" r="597" customHeight="1" ht="15.75">
      <c r="A597" s="1"/>
      <c r="B597" s="34"/>
      <c r="C597" s="2"/>
      <c r="D597" s="34"/>
      <c r="E597" s="34"/>
      <c r="F597" s="34"/>
      <c r="G597" s="34"/>
      <c r="H597" s="29"/>
      <c r="I597" s="29"/>
      <c r="J597" s="6"/>
      <c r="K597" s="29"/>
      <c r="L597" s="29"/>
      <c r="M597" s="29"/>
      <c r="N597" s="29"/>
      <c r="O597" s="29"/>
      <c r="P597" s="29"/>
      <c r="Q597" s="29"/>
      <c r="R597" s="29"/>
      <c r="S597" s="29"/>
      <c r="T597" s="1"/>
      <c r="U597" s="34"/>
      <c r="V597" s="34"/>
    </row>
    <row x14ac:dyDescent="0.25" r="598" customHeight="1" ht="15.75">
      <c r="A598" s="1"/>
      <c r="B598" s="34"/>
      <c r="C598" s="2"/>
      <c r="D598" s="34"/>
      <c r="E598" s="34"/>
      <c r="F598" s="34"/>
      <c r="G598" s="34"/>
      <c r="H598" s="29"/>
      <c r="I598" s="29"/>
      <c r="J598" s="6"/>
      <c r="K598" s="29"/>
      <c r="L598" s="29"/>
      <c r="M598" s="29"/>
      <c r="N598" s="29"/>
      <c r="O598" s="29"/>
      <c r="P598" s="29"/>
      <c r="Q598" s="29"/>
      <c r="R598" s="29"/>
      <c r="S598" s="29"/>
      <c r="T598" s="1"/>
      <c r="U598" s="34"/>
      <c r="V598" s="34"/>
    </row>
    <row x14ac:dyDescent="0.25" r="599" customHeight="1" ht="15.75">
      <c r="A599" s="1"/>
      <c r="B599" s="34"/>
      <c r="C599" s="2"/>
      <c r="D599" s="34"/>
      <c r="E599" s="34"/>
      <c r="F599" s="34"/>
      <c r="G599" s="34"/>
      <c r="H599" s="29"/>
      <c r="I599" s="29"/>
      <c r="J599" s="6"/>
      <c r="K599" s="29"/>
      <c r="L599" s="29"/>
      <c r="M599" s="29"/>
      <c r="N599" s="29"/>
      <c r="O599" s="29"/>
      <c r="P599" s="29"/>
      <c r="Q599" s="29"/>
      <c r="R599" s="29"/>
      <c r="S599" s="29"/>
      <c r="T599" s="1"/>
      <c r="U599" s="34"/>
      <c r="V599" s="34"/>
    </row>
    <row x14ac:dyDescent="0.25" r="600" customHeight="1" ht="15.75">
      <c r="A600" s="1"/>
      <c r="B600" s="34"/>
      <c r="C600" s="2"/>
      <c r="D600" s="34"/>
      <c r="E600" s="34"/>
      <c r="F600" s="34"/>
      <c r="G600" s="34"/>
      <c r="H600" s="29"/>
      <c r="I600" s="29"/>
      <c r="J600" s="6"/>
      <c r="K600" s="29"/>
      <c r="L600" s="29"/>
      <c r="M600" s="29"/>
      <c r="N600" s="29"/>
      <c r="O600" s="29"/>
      <c r="P600" s="29"/>
      <c r="Q600" s="29"/>
      <c r="R600" s="29"/>
      <c r="S600" s="29"/>
      <c r="T600" s="1"/>
      <c r="U600" s="34"/>
      <c r="V600" s="34"/>
    </row>
    <row x14ac:dyDescent="0.25" r="601" customHeight="1" ht="15.75">
      <c r="A601" s="1"/>
      <c r="B601" s="34"/>
      <c r="C601" s="2"/>
      <c r="D601" s="34"/>
      <c r="E601" s="34"/>
      <c r="F601" s="34"/>
      <c r="G601" s="34"/>
      <c r="H601" s="29"/>
      <c r="I601" s="29"/>
      <c r="J601" s="6"/>
      <c r="K601" s="29"/>
      <c r="L601" s="29"/>
      <c r="M601" s="29"/>
      <c r="N601" s="29"/>
      <c r="O601" s="29"/>
      <c r="P601" s="29"/>
      <c r="Q601" s="29"/>
      <c r="R601" s="29"/>
      <c r="S601" s="29"/>
      <c r="T601" s="1"/>
      <c r="U601" s="34"/>
      <c r="V601" s="34"/>
    </row>
    <row x14ac:dyDescent="0.25" r="602" customHeight="1" ht="15.75">
      <c r="A602" s="1"/>
      <c r="B602" s="34"/>
      <c r="C602" s="2"/>
      <c r="D602" s="34"/>
      <c r="E602" s="34"/>
      <c r="F602" s="34"/>
      <c r="G602" s="34"/>
      <c r="H602" s="29"/>
      <c r="I602" s="29"/>
      <c r="J602" s="6"/>
      <c r="K602" s="29"/>
      <c r="L602" s="29"/>
      <c r="M602" s="29"/>
      <c r="N602" s="29"/>
      <c r="O602" s="29"/>
      <c r="P602" s="29"/>
      <c r="Q602" s="29"/>
      <c r="R602" s="29"/>
      <c r="S602" s="29"/>
      <c r="T602" s="1"/>
      <c r="U602" s="34"/>
      <c r="V602" s="34"/>
    </row>
    <row x14ac:dyDescent="0.25" r="603" customHeight="1" ht="15.75">
      <c r="A603" s="1"/>
      <c r="B603" s="34"/>
      <c r="C603" s="2"/>
      <c r="D603" s="34"/>
      <c r="E603" s="34"/>
      <c r="F603" s="34"/>
      <c r="G603" s="34"/>
      <c r="H603" s="29"/>
      <c r="I603" s="29"/>
      <c r="J603" s="6"/>
      <c r="K603" s="29"/>
      <c r="L603" s="29"/>
      <c r="M603" s="29"/>
      <c r="N603" s="29"/>
      <c r="O603" s="29"/>
      <c r="P603" s="29"/>
      <c r="Q603" s="29"/>
      <c r="R603" s="29"/>
      <c r="S603" s="29"/>
      <c r="T603" s="1"/>
      <c r="U603" s="34"/>
      <c r="V603" s="34"/>
    </row>
    <row x14ac:dyDescent="0.25" r="604" customHeight="1" ht="15.75">
      <c r="A604" s="1"/>
      <c r="B604" s="34"/>
      <c r="C604" s="2"/>
      <c r="D604" s="34"/>
      <c r="E604" s="34"/>
      <c r="F604" s="34"/>
      <c r="G604" s="34"/>
      <c r="H604" s="29"/>
      <c r="I604" s="29"/>
      <c r="J604" s="6"/>
      <c r="K604" s="29"/>
      <c r="L604" s="29"/>
      <c r="M604" s="29"/>
      <c r="N604" s="29"/>
      <c r="O604" s="29"/>
      <c r="P604" s="29"/>
      <c r="Q604" s="29"/>
      <c r="R604" s="29"/>
      <c r="S604" s="29"/>
      <c r="T604" s="1"/>
      <c r="U604" s="34"/>
      <c r="V604" s="34"/>
    </row>
    <row x14ac:dyDescent="0.25" r="605" customHeight="1" ht="15.75">
      <c r="A605" s="1"/>
      <c r="B605" s="34"/>
      <c r="C605" s="2"/>
      <c r="D605" s="34"/>
      <c r="E605" s="34"/>
      <c r="F605" s="34"/>
      <c r="G605" s="34"/>
      <c r="H605" s="29"/>
      <c r="I605" s="29"/>
      <c r="J605" s="6"/>
      <c r="K605" s="29"/>
      <c r="L605" s="29"/>
      <c r="M605" s="29"/>
      <c r="N605" s="29"/>
      <c r="O605" s="29"/>
      <c r="P605" s="29"/>
      <c r="Q605" s="29"/>
      <c r="R605" s="29"/>
      <c r="S605" s="29"/>
      <c r="T605" s="1"/>
      <c r="U605" s="34"/>
      <c r="V605" s="34"/>
    </row>
    <row x14ac:dyDescent="0.25" r="606" customHeight="1" ht="15.75">
      <c r="A606" s="1"/>
      <c r="B606" s="34"/>
      <c r="C606" s="2"/>
      <c r="D606" s="34"/>
      <c r="E606" s="34"/>
      <c r="F606" s="34"/>
      <c r="G606" s="34"/>
      <c r="H606" s="29"/>
      <c r="I606" s="29"/>
      <c r="J606" s="6"/>
      <c r="K606" s="29"/>
      <c r="L606" s="29"/>
      <c r="M606" s="29"/>
      <c r="N606" s="29"/>
      <c r="O606" s="29"/>
      <c r="P606" s="29"/>
      <c r="Q606" s="29"/>
      <c r="R606" s="29"/>
      <c r="S606" s="29"/>
      <c r="T606" s="1"/>
      <c r="U606" s="34"/>
      <c r="V606" s="34"/>
    </row>
    <row x14ac:dyDescent="0.25" r="607" customHeight="1" ht="15.75">
      <c r="A607" s="1"/>
      <c r="B607" s="34"/>
      <c r="C607" s="2"/>
      <c r="D607" s="34"/>
      <c r="E607" s="34"/>
      <c r="F607" s="34"/>
      <c r="G607" s="34"/>
      <c r="H607" s="29"/>
      <c r="I607" s="29"/>
      <c r="J607" s="6"/>
      <c r="K607" s="29"/>
      <c r="L607" s="29"/>
      <c r="M607" s="29"/>
      <c r="N607" s="29"/>
      <c r="O607" s="29"/>
      <c r="P607" s="29"/>
      <c r="Q607" s="29"/>
      <c r="R607" s="29"/>
      <c r="S607" s="29"/>
      <c r="T607" s="1"/>
      <c r="U607" s="34"/>
      <c r="V607" s="34"/>
    </row>
    <row x14ac:dyDescent="0.25" r="608" customHeight="1" ht="15.75">
      <c r="A608" s="1"/>
      <c r="B608" s="34"/>
      <c r="C608" s="2"/>
      <c r="D608" s="34"/>
      <c r="E608" s="34"/>
      <c r="F608" s="34"/>
      <c r="G608" s="34"/>
      <c r="H608" s="29"/>
      <c r="I608" s="29"/>
      <c r="J608" s="6"/>
      <c r="K608" s="29"/>
      <c r="L608" s="29"/>
      <c r="M608" s="29"/>
      <c r="N608" s="29"/>
      <c r="O608" s="29"/>
      <c r="P608" s="29"/>
      <c r="Q608" s="29"/>
      <c r="R608" s="29"/>
      <c r="S608" s="29"/>
      <c r="T608" s="1"/>
      <c r="U608" s="34"/>
      <c r="V608" s="34"/>
    </row>
    <row x14ac:dyDescent="0.25" r="609" customHeight="1" ht="15.75">
      <c r="A609" s="1"/>
      <c r="B609" s="34"/>
      <c r="C609" s="2"/>
      <c r="D609" s="34"/>
      <c r="E609" s="34"/>
      <c r="F609" s="34"/>
      <c r="G609" s="34"/>
      <c r="H609" s="29"/>
      <c r="I609" s="29"/>
      <c r="J609" s="6"/>
      <c r="K609" s="29"/>
      <c r="L609" s="29"/>
      <c r="M609" s="29"/>
      <c r="N609" s="29"/>
      <c r="O609" s="29"/>
      <c r="P609" s="29"/>
      <c r="Q609" s="29"/>
      <c r="R609" s="29"/>
      <c r="S609" s="29"/>
      <c r="T609" s="1"/>
      <c r="U609" s="34"/>
      <c r="V609" s="34"/>
    </row>
    <row x14ac:dyDescent="0.25" r="610" customHeight="1" ht="15.75">
      <c r="A610" s="1"/>
      <c r="B610" s="34"/>
      <c r="C610" s="2"/>
      <c r="D610" s="34"/>
      <c r="E610" s="34"/>
      <c r="F610" s="34"/>
      <c r="G610" s="34"/>
      <c r="H610" s="29"/>
      <c r="I610" s="29"/>
      <c r="J610" s="6"/>
      <c r="K610" s="29"/>
      <c r="L610" s="29"/>
      <c r="M610" s="29"/>
      <c r="N610" s="29"/>
      <c r="O610" s="29"/>
      <c r="P610" s="29"/>
      <c r="Q610" s="29"/>
      <c r="R610" s="29"/>
      <c r="S610" s="29"/>
      <c r="T610" s="1"/>
      <c r="U610" s="34"/>
      <c r="V610" s="34"/>
    </row>
    <row x14ac:dyDescent="0.25" r="611" customHeight="1" ht="15.75">
      <c r="A611" s="1"/>
      <c r="B611" s="34"/>
      <c r="C611" s="2"/>
      <c r="D611" s="34"/>
      <c r="E611" s="34"/>
      <c r="F611" s="34"/>
      <c r="G611" s="34"/>
      <c r="H611" s="29"/>
      <c r="I611" s="29"/>
      <c r="J611" s="6"/>
      <c r="K611" s="29"/>
      <c r="L611" s="29"/>
      <c r="M611" s="29"/>
      <c r="N611" s="29"/>
      <c r="O611" s="29"/>
      <c r="P611" s="29"/>
      <c r="Q611" s="29"/>
      <c r="R611" s="29"/>
      <c r="S611" s="29"/>
      <c r="T611" s="1"/>
      <c r="U611" s="34"/>
      <c r="V611" s="34"/>
    </row>
    <row x14ac:dyDescent="0.25" r="612" customHeight="1" ht="15.75">
      <c r="A612" s="1"/>
      <c r="B612" s="34"/>
      <c r="C612" s="2"/>
      <c r="D612" s="34"/>
      <c r="E612" s="34"/>
      <c r="F612" s="34"/>
      <c r="G612" s="34"/>
      <c r="H612" s="29"/>
      <c r="I612" s="29"/>
      <c r="J612" s="6"/>
      <c r="K612" s="29"/>
      <c r="L612" s="29"/>
      <c r="M612" s="29"/>
      <c r="N612" s="29"/>
      <c r="O612" s="29"/>
      <c r="P612" s="29"/>
      <c r="Q612" s="29"/>
      <c r="R612" s="29"/>
      <c r="S612" s="29"/>
      <c r="T612" s="1"/>
      <c r="U612" s="34"/>
      <c r="V612" s="34"/>
    </row>
    <row x14ac:dyDescent="0.25" r="613" customHeight="1" ht="15.75">
      <c r="A613" s="1"/>
      <c r="B613" s="34"/>
      <c r="C613" s="2"/>
      <c r="D613" s="34"/>
      <c r="E613" s="34"/>
      <c r="F613" s="34"/>
      <c r="G613" s="34"/>
      <c r="H613" s="29"/>
      <c r="I613" s="29"/>
      <c r="J613" s="6"/>
      <c r="K613" s="29"/>
      <c r="L613" s="29"/>
      <c r="M613" s="29"/>
      <c r="N613" s="29"/>
      <c r="O613" s="29"/>
      <c r="P613" s="29"/>
      <c r="Q613" s="29"/>
      <c r="R613" s="29"/>
      <c r="S613" s="29"/>
      <c r="T613" s="1"/>
      <c r="U613" s="34"/>
      <c r="V613" s="34"/>
    </row>
    <row x14ac:dyDescent="0.25" r="614" customHeight="1" ht="15.75">
      <c r="A614" s="1"/>
      <c r="B614" s="34"/>
      <c r="C614" s="2"/>
      <c r="D614" s="34"/>
      <c r="E614" s="34"/>
      <c r="F614" s="34"/>
      <c r="G614" s="34"/>
      <c r="H614" s="29"/>
      <c r="I614" s="29"/>
      <c r="J614" s="6"/>
      <c r="K614" s="29"/>
      <c r="L614" s="29"/>
      <c r="M614" s="29"/>
      <c r="N614" s="29"/>
      <c r="O614" s="29"/>
      <c r="P614" s="29"/>
      <c r="Q614" s="29"/>
      <c r="R614" s="29"/>
      <c r="S614" s="29"/>
      <c r="T614" s="1"/>
      <c r="U614" s="34"/>
      <c r="V614" s="34"/>
    </row>
    <row x14ac:dyDescent="0.25" r="615" customHeight="1" ht="15.75">
      <c r="A615" s="1"/>
      <c r="B615" s="34"/>
      <c r="C615" s="2"/>
      <c r="D615" s="34"/>
      <c r="E615" s="34"/>
      <c r="F615" s="34"/>
      <c r="G615" s="34"/>
      <c r="H615" s="29"/>
      <c r="I615" s="29"/>
      <c r="J615" s="6"/>
      <c r="K615" s="29"/>
      <c r="L615" s="29"/>
      <c r="M615" s="29"/>
      <c r="N615" s="29"/>
      <c r="O615" s="29"/>
      <c r="P615" s="29"/>
      <c r="Q615" s="29"/>
      <c r="R615" s="29"/>
      <c r="S615" s="29"/>
      <c r="T615" s="1"/>
      <c r="U615" s="34"/>
      <c r="V615" s="34"/>
    </row>
    <row x14ac:dyDescent="0.25" r="616" customHeight="1" ht="15.75">
      <c r="A616" s="1"/>
      <c r="B616" s="34"/>
      <c r="C616" s="2"/>
      <c r="D616" s="34"/>
      <c r="E616" s="34"/>
      <c r="F616" s="34"/>
      <c r="G616" s="34"/>
      <c r="H616" s="29"/>
      <c r="I616" s="29"/>
      <c r="J616" s="6"/>
      <c r="K616" s="29"/>
      <c r="L616" s="29"/>
      <c r="M616" s="29"/>
      <c r="N616" s="29"/>
      <c r="O616" s="29"/>
      <c r="P616" s="29"/>
      <c r="Q616" s="29"/>
      <c r="R616" s="29"/>
      <c r="S616" s="29"/>
      <c r="T616" s="1"/>
      <c r="U616" s="34"/>
      <c r="V616" s="34"/>
    </row>
    <row x14ac:dyDescent="0.25" r="617" customHeight="1" ht="15.75">
      <c r="A617" s="1"/>
      <c r="B617" s="34"/>
      <c r="C617" s="2"/>
      <c r="D617" s="34"/>
      <c r="E617" s="34"/>
      <c r="F617" s="34"/>
      <c r="G617" s="34"/>
      <c r="H617" s="29"/>
      <c r="I617" s="29"/>
      <c r="J617" s="6"/>
      <c r="K617" s="29"/>
      <c r="L617" s="29"/>
      <c r="M617" s="29"/>
      <c r="N617" s="29"/>
      <c r="O617" s="29"/>
      <c r="P617" s="29"/>
      <c r="Q617" s="29"/>
      <c r="R617" s="29"/>
      <c r="S617" s="29"/>
      <c r="T617" s="1"/>
      <c r="U617" s="34"/>
      <c r="V617" s="34"/>
    </row>
    <row x14ac:dyDescent="0.25" r="618" customHeight="1" ht="15.75">
      <c r="A618" s="1"/>
      <c r="B618" s="34"/>
      <c r="C618" s="2"/>
      <c r="D618" s="34"/>
      <c r="E618" s="34"/>
      <c r="F618" s="34"/>
      <c r="G618" s="34"/>
      <c r="H618" s="29"/>
      <c r="I618" s="29"/>
      <c r="J618" s="6"/>
      <c r="K618" s="29"/>
      <c r="L618" s="29"/>
      <c r="M618" s="29"/>
      <c r="N618" s="29"/>
      <c r="O618" s="29"/>
      <c r="P618" s="29"/>
      <c r="Q618" s="29"/>
      <c r="R618" s="29"/>
      <c r="S618" s="29"/>
      <c r="T618" s="1"/>
      <c r="U618" s="34"/>
      <c r="V618" s="34"/>
    </row>
    <row x14ac:dyDescent="0.25" r="619" customHeight="1" ht="15.75">
      <c r="A619" s="1"/>
      <c r="B619" s="34"/>
      <c r="C619" s="2"/>
      <c r="D619" s="34"/>
      <c r="E619" s="34"/>
      <c r="F619" s="34"/>
      <c r="G619" s="34"/>
      <c r="H619" s="29"/>
      <c r="I619" s="29"/>
      <c r="J619" s="6"/>
      <c r="K619" s="29"/>
      <c r="L619" s="29"/>
      <c r="M619" s="29"/>
      <c r="N619" s="29"/>
      <c r="O619" s="29"/>
      <c r="P619" s="29"/>
      <c r="Q619" s="29"/>
      <c r="R619" s="29"/>
      <c r="S619" s="29"/>
      <c r="T619" s="1"/>
      <c r="U619" s="34"/>
      <c r="V619" s="34"/>
    </row>
    <row x14ac:dyDescent="0.25" r="620" customHeight="1" ht="15.75">
      <c r="A620" s="1"/>
      <c r="B620" s="34"/>
      <c r="C620" s="2"/>
      <c r="D620" s="34"/>
      <c r="E620" s="34"/>
      <c r="F620" s="34"/>
      <c r="G620" s="34"/>
      <c r="H620" s="29"/>
      <c r="I620" s="29"/>
      <c r="J620" s="6"/>
      <c r="K620" s="29"/>
      <c r="L620" s="29"/>
      <c r="M620" s="29"/>
      <c r="N620" s="29"/>
      <c r="O620" s="29"/>
      <c r="P620" s="29"/>
      <c r="Q620" s="29"/>
      <c r="R620" s="29"/>
      <c r="S620" s="29"/>
      <c r="T620" s="1"/>
      <c r="U620" s="34"/>
      <c r="V620" s="34"/>
    </row>
    <row x14ac:dyDescent="0.25" r="621" customHeight="1" ht="15.75">
      <c r="A621" s="1"/>
      <c r="B621" s="34"/>
      <c r="C621" s="2"/>
      <c r="D621" s="34"/>
      <c r="E621" s="34"/>
      <c r="F621" s="34"/>
      <c r="G621" s="34"/>
      <c r="H621" s="29"/>
      <c r="I621" s="29"/>
      <c r="J621" s="6"/>
      <c r="K621" s="29"/>
      <c r="L621" s="29"/>
      <c r="M621" s="29"/>
      <c r="N621" s="29"/>
      <c r="O621" s="29"/>
      <c r="P621" s="29"/>
      <c r="Q621" s="29"/>
      <c r="R621" s="29"/>
      <c r="S621" s="29"/>
      <c r="T621" s="1"/>
      <c r="U621" s="34"/>
      <c r="V621" s="34"/>
    </row>
    <row x14ac:dyDescent="0.25" r="622" customHeight="1" ht="15.75">
      <c r="A622" s="1"/>
      <c r="B622" s="34"/>
      <c r="C622" s="2"/>
      <c r="D622" s="34"/>
      <c r="E622" s="34"/>
      <c r="F622" s="34"/>
      <c r="G622" s="34"/>
      <c r="H622" s="29"/>
      <c r="I622" s="29"/>
      <c r="J622" s="6"/>
      <c r="K622" s="29"/>
      <c r="L622" s="29"/>
      <c r="M622" s="29"/>
      <c r="N622" s="29"/>
      <c r="O622" s="29"/>
      <c r="P622" s="29"/>
      <c r="Q622" s="29"/>
      <c r="R622" s="29"/>
      <c r="S622" s="29"/>
      <c r="T622" s="1"/>
      <c r="U622" s="34"/>
      <c r="V622" s="34"/>
    </row>
    <row x14ac:dyDescent="0.25" r="623" customHeight="1" ht="15.75">
      <c r="A623" s="1"/>
      <c r="B623" s="34"/>
      <c r="C623" s="2"/>
      <c r="D623" s="34"/>
      <c r="E623" s="34"/>
      <c r="F623" s="34"/>
      <c r="G623" s="34"/>
      <c r="H623" s="29"/>
      <c r="I623" s="29"/>
      <c r="J623" s="6"/>
      <c r="K623" s="29"/>
      <c r="L623" s="29"/>
      <c r="M623" s="29"/>
      <c r="N623" s="29"/>
      <c r="O623" s="29"/>
      <c r="P623" s="29"/>
      <c r="Q623" s="29"/>
      <c r="R623" s="29"/>
      <c r="S623" s="29"/>
      <c r="T623" s="1"/>
      <c r="U623" s="34"/>
      <c r="V623" s="34"/>
    </row>
    <row x14ac:dyDescent="0.25" r="624" customHeight="1" ht="15.75">
      <c r="A624" s="1"/>
      <c r="B624" s="34"/>
      <c r="C624" s="2"/>
      <c r="D624" s="34"/>
      <c r="E624" s="34"/>
      <c r="F624" s="34"/>
      <c r="G624" s="34"/>
      <c r="H624" s="29"/>
      <c r="I624" s="29"/>
      <c r="J624" s="6"/>
      <c r="K624" s="29"/>
      <c r="L624" s="29"/>
      <c r="M624" s="29"/>
      <c r="N624" s="29"/>
      <c r="O624" s="29"/>
      <c r="P624" s="29"/>
      <c r="Q624" s="29"/>
      <c r="R624" s="29"/>
      <c r="S624" s="29"/>
      <c r="T624" s="1"/>
      <c r="U624" s="34"/>
      <c r="V624" s="34"/>
    </row>
    <row x14ac:dyDescent="0.25" r="625" customHeight="1" ht="15.75">
      <c r="A625" s="1"/>
      <c r="B625" s="34"/>
      <c r="C625" s="2"/>
      <c r="D625" s="34"/>
      <c r="E625" s="34"/>
      <c r="F625" s="34"/>
      <c r="G625" s="34"/>
      <c r="H625" s="29"/>
      <c r="I625" s="29"/>
      <c r="J625" s="6"/>
      <c r="K625" s="29"/>
      <c r="L625" s="29"/>
      <c r="M625" s="29"/>
      <c r="N625" s="29"/>
      <c r="O625" s="29"/>
      <c r="P625" s="29"/>
      <c r="Q625" s="29"/>
      <c r="R625" s="29"/>
      <c r="S625" s="29"/>
      <c r="T625" s="1"/>
      <c r="U625" s="34"/>
      <c r="V625" s="34"/>
    </row>
    <row x14ac:dyDescent="0.25" r="626" customHeight="1" ht="15.75">
      <c r="A626" s="1"/>
      <c r="B626" s="34"/>
      <c r="C626" s="2"/>
      <c r="D626" s="34"/>
      <c r="E626" s="34"/>
      <c r="F626" s="34"/>
      <c r="G626" s="34"/>
      <c r="H626" s="29"/>
      <c r="I626" s="29"/>
      <c r="J626" s="6"/>
      <c r="K626" s="29"/>
      <c r="L626" s="29"/>
      <c r="M626" s="29"/>
      <c r="N626" s="29"/>
      <c r="O626" s="29"/>
      <c r="P626" s="29"/>
      <c r="Q626" s="29"/>
      <c r="R626" s="29"/>
      <c r="S626" s="29"/>
      <c r="T626" s="1"/>
      <c r="U626" s="34"/>
      <c r="V626" s="34"/>
    </row>
    <row x14ac:dyDescent="0.25" r="627" customHeight="1" ht="15.75">
      <c r="A627" s="1"/>
      <c r="B627" s="34"/>
      <c r="C627" s="2"/>
      <c r="D627" s="34"/>
      <c r="E627" s="34"/>
      <c r="F627" s="34"/>
      <c r="G627" s="34"/>
      <c r="H627" s="29"/>
      <c r="I627" s="29"/>
      <c r="J627" s="6"/>
      <c r="K627" s="29"/>
      <c r="L627" s="29"/>
      <c r="M627" s="29"/>
      <c r="N627" s="29"/>
      <c r="O627" s="29"/>
      <c r="P627" s="29"/>
      <c r="Q627" s="29"/>
      <c r="R627" s="29"/>
      <c r="S627" s="29"/>
      <c r="T627" s="1"/>
      <c r="U627" s="34"/>
      <c r="V627" s="34"/>
    </row>
    <row x14ac:dyDescent="0.25" r="628" customHeight="1" ht="15.75">
      <c r="A628" s="1"/>
      <c r="B628" s="34"/>
      <c r="C628" s="2"/>
      <c r="D628" s="34"/>
      <c r="E628" s="34"/>
      <c r="F628" s="34"/>
      <c r="G628" s="34"/>
      <c r="H628" s="29"/>
      <c r="I628" s="29"/>
      <c r="J628" s="6"/>
      <c r="K628" s="29"/>
      <c r="L628" s="29"/>
      <c r="M628" s="29"/>
      <c r="N628" s="29"/>
      <c r="O628" s="29"/>
      <c r="P628" s="29"/>
      <c r="Q628" s="29"/>
      <c r="R628" s="29"/>
      <c r="S628" s="29"/>
      <c r="T628" s="1"/>
      <c r="U628" s="34"/>
      <c r="V628" s="34"/>
    </row>
    <row x14ac:dyDescent="0.25" r="629" customHeight="1" ht="15.75">
      <c r="A629" s="1"/>
      <c r="B629" s="34"/>
      <c r="C629" s="2"/>
      <c r="D629" s="34"/>
      <c r="E629" s="34"/>
      <c r="F629" s="34"/>
      <c r="G629" s="34"/>
      <c r="H629" s="29"/>
      <c r="I629" s="29"/>
      <c r="J629" s="6"/>
      <c r="K629" s="29"/>
      <c r="L629" s="29"/>
      <c r="M629" s="29"/>
      <c r="N629" s="29"/>
      <c r="O629" s="29"/>
      <c r="P629" s="29"/>
      <c r="Q629" s="29"/>
      <c r="R629" s="29"/>
      <c r="S629" s="29"/>
      <c r="T629" s="1"/>
      <c r="U629" s="34"/>
      <c r="V629" s="34"/>
    </row>
    <row x14ac:dyDescent="0.25" r="630" customHeight="1" ht="15.75">
      <c r="A630" s="1"/>
      <c r="B630" s="34"/>
      <c r="C630" s="2"/>
      <c r="D630" s="34"/>
      <c r="E630" s="34"/>
      <c r="F630" s="34"/>
      <c r="G630" s="34"/>
      <c r="H630" s="29"/>
      <c r="I630" s="29"/>
      <c r="J630" s="6"/>
      <c r="K630" s="29"/>
      <c r="L630" s="29"/>
      <c r="M630" s="29"/>
      <c r="N630" s="29"/>
      <c r="O630" s="29"/>
      <c r="P630" s="29"/>
      <c r="Q630" s="29"/>
      <c r="R630" s="29"/>
      <c r="S630" s="29"/>
      <c r="T630" s="1"/>
      <c r="U630" s="34"/>
      <c r="V630" s="34"/>
    </row>
    <row x14ac:dyDescent="0.25" r="631" customHeight="1" ht="15.75">
      <c r="A631" s="1"/>
      <c r="B631" s="34"/>
      <c r="C631" s="2"/>
      <c r="D631" s="34"/>
      <c r="E631" s="34"/>
      <c r="F631" s="34"/>
      <c r="G631" s="34"/>
      <c r="H631" s="29"/>
      <c r="I631" s="29"/>
      <c r="J631" s="6"/>
      <c r="K631" s="29"/>
      <c r="L631" s="29"/>
      <c r="M631" s="29"/>
      <c r="N631" s="29"/>
      <c r="O631" s="29"/>
      <c r="P631" s="29"/>
      <c r="Q631" s="29"/>
      <c r="R631" s="29"/>
      <c r="S631" s="29"/>
      <c r="T631" s="1"/>
      <c r="U631" s="34"/>
      <c r="V631" s="34"/>
    </row>
    <row x14ac:dyDescent="0.25" r="632" customHeight="1" ht="15.75">
      <c r="A632" s="1"/>
      <c r="B632" s="34"/>
      <c r="C632" s="2"/>
      <c r="D632" s="34"/>
      <c r="E632" s="34"/>
      <c r="F632" s="34"/>
      <c r="G632" s="34"/>
      <c r="H632" s="29"/>
      <c r="I632" s="29"/>
      <c r="J632" s="6"/>
      <c r="K632" s="29"/>
      <c r="L632" s="29"/>
      <c r="M632" s="29"/>
      <c r="N632" s="29"/>
      <c r="O632" s="29"/>
      <c r="P632" s="29"/>
      <c r="Q632" s="29"/>
      <c r="R632" s="29"/>
      <c r="S632" s="29"/>
      <c r="T632" s="1"/>
      <c r="U632" s="34"/>
      <c r="V632" s="34"/>
    </row>
    <row x14ac:dyDescent="0.25" r="633" customHeight="1" ht="15.75">
      <c r="A633" s="1"/>
      <c r="B633" s="34"/>
      <c r="C633" s="2"/>
      <c r="D633" s="34"/>
      <c r="E633" s="34"/>
      <c r="F633" s="34"/>
      <c r="G633" s="34"/>
      <c r="H633" s="29"/>
      <c r="I633" s="29"/>
      <c r="J633" s="6"/>
      <c r="K633" s="29"/>
      <c r="L633" s="29"/>
      <c r="M633" s="29"/>
      <c r="N633" s="29"/>
      <c r="O633" s="29"/>
      <c r="P633" s="29"/>
      <c r="Q633" s="29"/>
      <c r="R633" s="29"/>
      <c r="S633" s="29"/>
      <c r="T633" s="1"/>
      <c r="U633" s="34"/>
      <c r="V633" s="34"/>
    </row>
    <row x14ac:dyDescent="0.25" r="634" customHeight="1" ht="15.75">
      <c r="A634" s="1"/>
      <c r="B634" s="34"/>
      <c r="C634" s="2"/>
      <c r="D634" s="34"/>
      <c r="E634" s="34"/>
      <c r="F634" s="34"/>
      <c r="G634" s="34"/>
      <c r="H634" s="29"/>
      <c r="I634" s="29"/>
      <c r="J634" s="6"/>
      <c r="K634" s="29"/>
      <c r="L634" s="29"/>
      <c r="M634" s="29"/>
      <c r="N634" s="29"/>
      <c r="O634" s="29"/>
      <c r="P634" s="29"/>
      <c r="Q634" s="29"/>
      <c r="R634" s="29"/>
      <c r="S634" s="29"/>
      <c r="T634" s="1"/>
      <c r="U634" s="34"/>
      <c r="V634" s="34"/>
    </row>
    <row x14ac:dyDescent="0.25" r="635" customHeight="1" ht="15.75">
      <c r="A635" s="1"/>
      <c r="B635" s="34"/>
      <c r="C635" s="2"/>
      <c r="D635" s="34"/>
      <c r="E635" s="34"/>
      <c r="F635" s="34"/>
      <c r="G635" s="34"/>
      <c r="H635" s="29"/>
      <c r="I635" s="29"/>
      <c r="J635" s="6"/>
      <c r="K635" s="29"/>
      <c r="L635" s="29"/>
      <c r="M635" s="29"/>
      <c r="N635" s="29"/>
      <c r="O635" s="29"/>
      <c r="P635" s="29"/>
      <c r="Q635" s="29"/>
      <c r="R635" s="29"/>
      <c r="S635" s="29"/>
      <c r="T635" s="1"/>
      <c r="U635" s="34"/>
      <c r="V635" s="34"/>
    </row>
    <row x14ac:dyDescent="0.25" r="636" customHeight="1" ht="15.75">
      <c r="A636" s="1"/>
      <c r="B636" s="34"/>
      <c r="C636" s="2"/>
      <c r="D636" s="34"/>
      <c r="E636" s="34"/>
      <c r="F636" s="34"/>
      <c r="G636" s="34"/>
      <c r="H636" s="29"/>
      <c r="I636" s="29"/>
      <c r="J636" s="6"/>
      <c r="K636" s="29"/>
      <c r="L636" s="29"/>
      <c r="M636" s="29"/>
      <c r="N636" s="29"/>
      <c r="O636" s="29"/>
      <c r="P636" s="29"/>
      <c r="Q636" s="29"/>
      <c r="R636" s="29"/>
      <c r="S636" s="29"/>
      <c r="T636" s="1"/>
      <c r="U636" s="34"/>
      <c r="V636" s="34"/>
    </row>
    <row x14ac:dyDescent="0.25" r="637" customHeight="1" ht="15.75">
      <c r="A637" s="1"/>
      <c r="B637" s="34"/>
      <c r="C637" s="2"/>
      <c r="D637" s="34"/>
      <c r="E637" s="34"/>
      <c r="F637" s="34"/>
      <c r="G637" s="34"/>
      <c r="H637" s="29"/>
      <c r="I637" s="29"/>
      <c r="J637" s="6"/>
      <c r="K637" s="29"/>
      <c r="L637" s="29"/>
      <c r="M637" s="29"/>
      <c r="N637" s="29"/>
      <c r="O637" s="29"/>
      <c r="P637" s="29"/>
      <c r="Q637" s="29"/>
      <c r="R637" s="29"/>
      <c r="S637" s="29"/>
      <c r="T637" s="1"/>
      <c r="U637" s="34"/>
      <c r="V637" s="34"/>
    </row>
    <row x14ac:dyDescent="0.25" r="638" customHeight="1" ht="15.75">
      <c r="A638" s="1"/>
      <c r="B638" s="34"/>
      <c r="C638" s="2"/>
      <c r="D638" s="34"/>
      <c r="E638" s="34"/>
      <c r="F638" s="34"/>
      <c r="G638" s="34"/>
      <c r="H638" s="29"/>
      <c r="I638" s="29"/>
      <c r="J638" s="6"/>
      <c r="K638" s="29"/>
      <c r="L638" s="29"/>
      <c r="M638" s="29"/>
      <c r="N638" s="29"/>
      <c r="O638" s="29"/>
      <c r="P638" s="29"/>
      <c r="Q638" s="29"/>
      <c r="R638" s="29"/>
      <c r="S638" s="29"/>
      <c r="T638" s="1"/>
      <c r="U638" s="34"/>
      <c r="V638" s="34"/>
    </row>
    <row x14ac:dyDescent="0.25" r="639" customHeight="1" ht="15.75">
      <c r="A639" s="1"/>
      <c r="B639" s="34"/>
      <c r="C639" s="2"/>
      <c r="D639" s="34"/>
      <c r="E639" s="34"/>
      <c r="F639" s="34"/>
      <c r="G639" s="34"/>
      <c r="H639" s="29"/>
      <c r="I639" s="29"/>
      <c r="J639" s="6"/>
      <c r="K639" s="29"/>
      <c r="L639" s="29"/>
      <c r="M639" s="29"/>
      <c r="N639" s="29"/>
      <c r="O639" s="29"/>
      <c r="P639" s="29"/>
      <c r="Q639" s="29"/>
      <c r="R639" s="29"/>
      <c r="S639" s="29"/>
      <c r="T639" s="1"/>
      <c r="U639" s="34"/>
      <c r="V639" s="34"/>
    </row>
    <row x14ac:dyDescent="0.25" r="640" customHeight="1" ht="15.75">
      <c r="A640" s="1"/>
      <c r="B640" s="34"/>
      <c r="C640" s="2"/>
      <c r="D640" s="34"/>
      <c r="E640" s="34"/>
      <c r="F640" s="34"/>
      <c r="G640" s="34"/>
      <c r="H640" s="29"/>
      <c r="I640" s="29"/>
      <c r="J640" s="6"/>
      <c r="K640" s="29"/>
      <c r="L640" s="29"/>
      <c r="M640" s="29"/>
      <c r="N640" s="29"/>
      <c r="O640" s="29"/>
      <c r="P640" s="29"/>
      <c r="Q640" s="29"/>
      <c r="R640" s="29"/>
      <c r="S640" s="29"/>
      <c r="T640" s="1"/>
      <c r="U640" s="34"/>
      <c r="V640" s="34"/>
    </row>
    <row x14ac:dyDescent="0.25" r="641" customHeight="1" ht="15.75">
      <c r="A641" s="1"/>
      <c r="B641" s="34"/>
      <c r="C641" s="2"/>
      <c r="D641" s="34"/>
      <c r="E641" s="34"/>
      <c r="F641" s="34"/>
      <c r="G641" s="34"/>
      <c r="H641" s="29"/>
      <c r="I641" s="29"/>
      <c r="J641" s="6"/>
      <c r="K641" s="29"/>
      <c r="L641" s="29"/>
      <c r="M641" s="29"/>
      <c r="N641" s="29"/>
      <c r="O641" s="29"/>
      <c r="P641" s="29"/>
      <c r="Q641" s="29"/>
      <c r="R641" s="29"/>
      <c r="S641" s="29"/>
      <c r="T641" s="1"/>
      <c r="U641" s="34"/>
      <c r="V641" s="34"/>
    </row>
    <row x14ac:dyDescent="0.25" r="642" customHeight="1" ht="15.75">
      <c r="A642" s="1"/>
      <c r="B642" s="34"/>
      <c r="C642" s="2"/>
      <c r="D642" s="34"/>
      <c r="E642" s="34"/>
      <c r="F642" s="34"/>
      <c r="G642" s="34"/>
      <c r="H642" s="29"/>
      <c r="I642" s="29"/>
      <c r="J642" s="6"/>
      <c r="K642" s="29"/>
      <c r="L642" s="29"/>
      <c r="M642" s="29"/>
      <c r="N642" s="29"/>
      <c r="O642" s="29"/>
      <c r="P642" s="29"/>
      <c r="Q642" s="29"/>
      <c r="R642" s="29"/>
      <c r="S642" s="29"/>
      <c r="T642" s="1"/>
      <c r="U642" s="34"/>
      <c r="V642" s="34"/>
    </row>
    <row x14ac:dyDescent="0.25" r="643" customHeight="1" ht="15.75">
      <c r="A643" s="1"/>
      <c r="B643" s="34"/>
      <c r="C643" s="2"/>
      <c r="D643" s="34"/>
      <c r="E643" s="34"/>
      <c r="F643" s="34"/>
      <c r="G643" s="34"/>
      <c r="H643" s="29"/>
      <c r="I643" s="29"/>
      <c r="J643" s="6"/>
      <c r="K643" s="29"/>
      <c r="L643" s="29"/>
      <c r="M643" s="29"/>
      <c r="N643" s="29"/>
      <c r="O643" s="29"/>
      <c r="P643" s="29"/>
      <c r="Q643" s="29"/>
      <c r="R643" s="29"/>
      <c r="S643" s="29"/>
      <c r="T643" s="1"/>
      <c r="U643" s="34"/>
      <c r="V643" s="34"/>
    </row>
    <row x14ac:dyDescent="0.25" r="644" customHeight="1" ht="15.75">
      <c r="A644" s="1"/>
      <c r="B644" s="34"/>
      <c r="C644" s="2"/>
      <c r="D644" s="34"/>
      <c r="E644" s="34"/>
      <c r="F644" s="34"/>
      <c r="G644" s="34"/>
      <c r="H644" s="29"/>
      <c r="I644" s="29"/>
      <c r="J644" s="6"/>
      <c r="K644" s="29"/>
      <c r="L644" s="29"/>
      <c r="M644" s="29"/>
      <c r="N644" s="29"/>
      <c r="O644" s="29"/>
      <c r="P644" s="29"/>
      <c r="Q644" s="29"/>
      <c r="R644" s="29"/>
      <c r="S644" s="29"/>
      <c r="T644" s="1"/>
      <c r="U644" s="34"/>
      <c r="V644" s="34"/>
    </row>
    <row x14ac:dyDescent="0.25" r="645" customHeight="1" ht="15.75">
      <c r="A645" s="1"/>
      <c r="B645" s="34"/>
      <c r="C645" s="2"/>
      <c r="D645" s="34"/>
      <c r="E645" s="34"/>
      <c r="F645" s="34"/>
      <c r="G645" s="34"/>
      <c r="H645" s="29"/>
      <c r="I645" s="29"/>
      <c r="J645" s="6"/>
      <c r="K645" s="29"/>
      <c r="L645" s="29"/>
      <c r="M645" s="29"/>
      <c r="N645" s="29"/>
      <c r="O645" s="29"/>
      <c r="P645" s="29"/>
      <c r="Q645" s="29"/>
      <c r="R645" s="29"/>
      <c r="S645" s="29"/>
      <c r="T645" s="1"/>
      <c r="U645" s="34"/>
      <c r="V645" s="34"/>
    </row>
    <row x14ac:dyDescent="0.25" r="646" customHeight="1" ht="15.75">
      <c r="A646" s="1"/>
      <c r="B646" s="34"/>
      <c r="C646" s="2"/>
      <c r="D646" s="34"/>
      <c r="E646" s="34"/>
      <c r="F646" s="34"/>
      <c r="G646" s="34"/>
      <c r="H646" s="29"/>
      <c r="I646" s="29"/>
      <c r="J646" s="6"/>
      <c r="K646" s="29"/>
      <c r="L646" s="29"/>
      <c r="M646" s="29"/>
      <c r="N646" s="29"/>
      <c r="O646" s="29"/>
      <c r="P646" s="29"/>
      <c r="Q646" s="29"/>
      <c r="R646" s="29"/>
      <c r="S646" s="29"/>
      <c r="T646" s="1"/>
      <c r="U646" s="34"/>
      <c r="V646" s="34"/>
    </row>
    <row x14ac:dyDescent="0.25" r="647" customHeight="1" ht="15.75">
      <c r="A647" s="1"/>
      <c r="B647" s="34"/>
      <c r="C647" s="2"/>
      <c r="D647" s="34"/>
      <c r="E647" s="34"/>
      <c r="F647" s="34"/>
      <c r="G647" s="34"/>
      <c r="H647" s="29"/>
      <c r="I647" s="29"/>
      <c r="J647" s="6"/>
      <c r="K647" s="29"/>
      <c r="L647" s="29"/>
      <c r="M647" s="29"/>
      <c r="N647" s="29"/>
      <c r="O647" s="29"/>
      <c r="P647" s="29"/>
      <c r="Q647" s="29"/>
      <c r="R647" s="29"/>
      <c r="S647" s="29"/>
      <c r="T647" s="1"/>
      <c r="U647" s="34"/>
      <c r="V647" s="34"/>
    </row>
    <row x14ac:dyDescent="0.25" r="648" customHeight="1" ht="15.75">
      <c r="A648" s="1"/>
      <c r="B648" s="34"/>
      <c r="C648" s="2"/>
      <c r="D648" s="34"/>
      <c r="E648" s="34"/>
      <c r="F648" s="34"/>
      <c r="G648" s="34"/>
      <c r="H648" s="29"/>
      <c r="I648" s="29"/>
      <c r="J648" s="6"/>
      <c r="K648" s="29"/>
      <c r="L648" s="29"/>
      <c r="M648" s="29"/>
      <c r="N648" s="29"/>
      <c r="O648" s="29"/>
      <c r="P648" s="29"/>
      <c r="Q648" s="29"/>
      <c r="R648" s="29"/>
      <c r="S648" s="29"/>
      <c r="T648" s="1"/>
      <c r="U648" s="34"/>
      <c r="V648" s="34"/>
    </row>
    <row x14ac:dyDescent="0.25" r="649" customHeight="1" ht="15.75">
      <c r="A649" s="1"/>
      <c r="B649" s="34"/>
      <c r="C649" s="2"/>
      <c r="D649" s="34"/>
      <c r="E649" s="34"/>
      <c r="F649" s="34"/>
      <c r="G649" s="34"/>
      <c r="H649" s="29"/>
      <c r="I649" s="29"/>
      <c r="J649" s="6"/>
      <c r="K649" s="29"/>
      <c r="L649" s="29"/>
      <c r="M649" s="29"/>
      <c r="N649" s="29"/>
      <c r="O649" s="29"/>
      <c r="P649" s="29"/>
      <c r="Q649" s="29"/>
      <c r="R649" s="29"/>
      <c r="S649" s="29"/>
      <c r="T649" s="1"/>
      <c r="U649" s="34"/>
      <c r="V649" s="34"/>
    </row>
    <row x14ac:dyDescent="0.25" r="650" customHeight="1" ht="15.75">
      <c r="A650" s="1"/>
      <c r="B650" s="34"/>
      <c r="C650" s="2"/>
      <c r="D650" s="34"/>
      <c r="E650" s="34"/>
      <c r="F650" s="34"/>
      <c r="G650" s="34"/>
      <c r="H650" s="29"/>
      <c r="I650" s="29"/>
      <c r="J650" s="6"/>
      <c r="K650" s="29"/>
      <c r="L650" s="29"/>
      <c r="M650" s="29"/>
      <c r="N650" s="29"/>
      <c r="O650" s="29"/>
      <c r="P650" s="29"/>
      <c r="Q650" s="29"/>
      <c r="R650" s="29"/>
      <c r="S650" s="29"/>
      <c r="T650" s="1"/>
      <c r="U650" s="34"/>
      <c r="V650" s="34"/>
    </row>
    <row x14ac:dyDescent="0.25" r="651" customHeight="1" ht="15.75">
      <c r="A651" s="1"/>
      <c r="B651" s="34"/>
      <c r="C651" s="2"/>
      <c r="D651" s="34"/>
      <c r="E651" s="34"/>
      <c r="F651" s="34"/>
      <c r="G651" s="34"/>
      <c r="H651" s="29"/>
      <c r="I651" s="29"/>
      <c r="J651" s="6"/>
      <c r="K651" s="29"/>
      <c r="L651" s="29"/>
      <c r="M651" s="29"/>
      <c r="N651" s="29"/>
      <c r="O651" s="29"/>
      <c r="P651" s="29"/>
      <c r="Q651" s="29"/>
      <c r="R651" s="29"/>
      <c r="S651" s="29"/>
      <c r="T651" s="1"/>
      <c r="U651" s="34"/>
      <c r="V651" s="34"/>
    </row>
    <row x14ac:dyDescent="0.25" r="652" customHeight="1" ht="15.75">
      <c r="A652" s="1"/>
      <c r="B652" s="34"/>
      <c r="C652" s="2"/>
      <c r="D652" s="34"/>
      <c r="E652" s="34"/>
      <c r="F652" s="34"/>
      <c r="G652" s="34"/>
      <c r="H652" s="29"/>
      <c r="I652" s="29"/>
      <c r="J652" s="6"/>
      <c r="K652" s="29"/>
      <c r="L652" s="29"/>
      <c r="M652" s="29"/>
      <c r="N652" s="29"/>
      <c r="O652" s="29"/>
      <c r="P652" s="29"/>
      <c r="Q652" s="29"/>
      <c r="R652" s="29"/>
      <c r="S652" s="29"/>
      <c r="T652" s="1"/>
      <c r="U652" s="34"/>
      <c r="V652" s="34"/>
    </row>
    <row x14ac:dyDescent="0.25" r="653" customHeight="1" ht="15.75">
      <c r="A653" s="1"/>
      <c r="B653" s="34"/>
      <c r="C653" s="2"/>
      <c r="D653" s="34"/>
      <c r="E653" s="34"/>
      <c r="F653" s="34"/>
      <c r="G653" s="34"/>
      <c r="H653" s="29"/>
      <c r="I653" s="29"/>
      <c r="J653" s="6"/>
      <c r="K653" s="29"/>
      <c r="L653" s="29"/>
      <c r="M653" s="29"/>
      <c r="N653" s="29"/>
      <c r="O653" s="29"/>
      <c r="P653" s="29"/>
      <c r="Q653" s="29"/>
      <c r="R653" s="29"/>
      <c r="S653" s="29"/>
      <c r="T653" s="1"/>
      <c r="U653" s="34"/>
      <c r="V653" s="34"/>
    </row>
    <row x14ac:dyDescent="0.25" r="654" customHeight="1" ht="15.75">
      <c r="A654" s="1"/>
      <c r="B654" s="34"/>
      <c r="C654" s="2"/>
      <c r="D654" s="34"/>
      <c r="E654" s="34"/>
      <c r="F654" s="34"/>
      <c r="G654" s="34"/>
      <c r="H654" s="29"/>
      <c r="I654" s="29"/>
      <c r="J654" s="6"/>
      <c r="K654" s="29"/>
      <c r="L654" s="29"/>
      <c r="M654" s="29"/>
      <c r="N654" s="29"/>
      <c r="O654" s="29"/>
      <c r="P654" s="29"/>
      <c r="Q654" s="29"/>
      <c r="R654" s="29"/>
      <c r="S654" s="29"/>
      <c r="T654" s="1"/>
      <c r="U654" s="34"/>
      <c r="V654" s="34"/>
    </row>
    <row x14ac:dyDescent="0.25" r="655" customHeight="1" ht="15.75">
      <c r="A655" s="1"/>
      <c r="B655" s="34"/>
      <c r="C655" s="2"/>
      <c r="D655" s="34"/>
      <c r="E655" s="34"/>
      <c r="F655" s="34"/>
      <c r="G655" s="34"/>
      <c r="H655" s="29"/>
      <c r="I655" s="29"/>
      <c r="J655" s="6"/>
      <c r="K655" s="29"/>
      <c r="L655" s="29"/>
      <c r="M655" s="29"/>
      <c r="N655" s="29"/>
      <c r="O655" s="29"/>
      <c r="P655" s="29"/>
      <c r="Q655" s="29"/>
      <c r="R655" s="29"/>
      <c r="S655" s="29"/>
      <c r="T655" s="1"/>
      <c r="U655" s="34"/>
      <c r="V655" s="34"/>
    </row>
    <row x14ac:dyDescent="0.25" r="656" customHeight="1" ht="15.75">
      <c r="A656" s="1"/>
      <c r="B656" s="34"/>
      <c r="C656" s="2"/>
      <c r="D656" s="34"/>
      <c r="E656" s="34"/>
      <c r="F656" s="34"/>
      <c r="G656" s="34"/>
      <c r="H656" s="29"/>
      <c r="I656" s="29"/>
      <c r="J656" s="6"/>
      <c r="K656" s="29"/>
      <c r="L656" s="29"/>
      <c r="M656" s="29"/>
      <c r="N656" s="29"/>
      <c r="O656" s="29"/>
      <c r="P656" s="29"/>
      <c r="Q656" s="29"/>
      <c r="R656" s="29"/>
      <c r="S656" s="29"/>
      <c r="T656" s="1"/>
      <c r="U656" s="34"/>
      <c r="V656" s="34"/>
    </row>
    <row x14ac:dyDescent="0.25" r="657" customHeight="1" ht="15.75">
      <c r="A657" s="1"/>
      <c r="B657" s="34"/>
      <c r="C657" s="2"/>
      <c r="D657" s="34"/>
      <c r="E657" s="34"/>
      <c r="F657" s="34"/>
      <c r="G657" s="34"/>
      <c r="H657" s="29"/>
      <c r="I657" s="29"/>
      <c r="J657" s="6"/>
      <c r="K657" s="29"/>
      <c r="L657" s="29"/>
      <c r="M657" s="29"/>
      <c r="N657" s="29"/>
      <c r="O657" s="29"/>
      <c r="P657" s="29"/>
      <c r="Q657" s="29"/>
      <c r="R657" s="29"/>
      <c r="S657" s="29"/>
      <c r="T657" s="1"/>
      <c r="U657" s="34"/>
      <c r="V657" s="34"/>
    </row>
    <row x14ac:dyDescent="0.25" r="658" customHeight="1" ht="15.75">
      <c r="A658" s="1"/>
      <c r="B658" s="34"/>
      <c r="C658" s="2"/>
      <c r="D658" s="34"/>
      <c r="E658" s="34"/>
      <c r="F658" s="34"/>
      <c r="G658" s="34"/>
      <c r="H658" s="29"/>
      <c r="I658" s="29"/>
      <c r="J658" s="6"/>
      <c r="K658" s="29"/>
      <c r="L658" s="29"/>
      <c r="M658" s="29"/>
      <c r="N658" s="29"/>
      <c r="O658" s="29"/>
      <c r="P658" s="29"/>
      <c r="Q658" s="29"/>
      <c r="R658" s="29"/>
      <c r="S658" s="29"/>
      <c r="T658" s="1"/>
      <c r="U658" s="34"/>
      <c r="V658" s="34"/>
    </row>
    <row x14ac:dyDescent="0.25" r="659" customHeight="1" ht="15.75">
      <c r="A659" s="1"/>
      <c r="B659" s="34"/>
      <c r="C659" s="2"/>
      <c r="D659" s="34"/>
      <c r="E659" s="34"/>
      <c r="F659" s="34"/>
      <c r="G659" s="34"/>
      <c r="H659" s="29"/>
      <c r="I659" s="29"/>
      <c r="J659" s="6"/>
      <c r="K659" s="29"/>
      <c r="L659" s="29"/>
      <c r="M659" s="29"/>
      <c r="N659" s="29"/>
      <c r="O659" s="29"/>
      <c r="P659" s="29"/>
      <c r="Q659" s="29"/>
      <c r="R659" s="29"/>
      <c r="S659" s="29"/>
      <c r="T659" s="1"/>
      <c r="U659" s="34"/>
      <c r="V659" s="34"/>
    </row>
    <row x14ac:dyDescent="0.25" r="660" customHeight="1" ht="15.75">
      <c r="A660" s="1"/>
      <c r="B660" s="34"/>
      <c r="C660" s="2"/>
      <c r="D660" s="34"/>
      <c r="E660" s="34"/>
      <c r="F660" s="34"/>
      <c r="G660" s="34"/>
      <c r="H660" s="29"/>
      <c r="I660" s="29"/>
      <c r="J660" s="6"/>
      <c r="K660" s="29"/>
      <c r="L660" s="29"/>
      <c r="M660" s="29"/>
      <c r="N660" s="29"/>
      <c r="O660" s="29"/>
      <c r="P660" s="29"/>
      <c r="Q660" s="29"/>
      <c r="R660" s="29"/>
      <c r="S660" s="29"/>
      <c r="T660" s="1"/>
      <c r="U660" s="34"/>
      <c r="V660" s="34"/>
    </row>
    <row x14ac:dyDescent="0.25" r="661" customHeight="1" ht="15.75">
      <c r="A661" s="1"/>
      <c r="B661" s="34"/>
      <c r="C661" s="2"/>
      <c r="D661" s="34"/>
      <c r="E661" s="34"/>
      <c r="F661" s="34"/>
      <c r="G661" s="34"/>
      <c r="H661" s="29"/>
      <c r="I661" s="29"/>
      <c r="J661" s="6"/>
      <c r="K661" s="29"/>
      <c r="L661" s="29"/>
      <c r="M661" s="29"/>
      <c r="N661" s="29"/>
      <c r="O661" s="29"/>
      <c r="P661" s="29"/>
      <c r="Q661" s="29"/>
      <c r="R661" s="29"/>
      <c r="S661" s="29"/>
      <c r="T661" s="1"/>
      <c r="U661" s="34"/>
      <c r="V661" s="34"/>
    </row>
    <row x14ac:dyDescent="0.25" r="662" customHeight="1" ht="15.75">
      <c r="A662" s="1"/>
      <c r="B662" s="34"/>
      <c r="C662" s="2"/>
      <c r="D662" s="34"/>
      <c r="E662" s="34"/>
      <c r="F662" s="34"/>
      <c r="G662" s="34"/>
      <c r="H662" s="29"/>
      <c r="I662" s="29"/>
      <c r="J662" s="6"/>
      <c r="K662" s="29"/>
      <c r="L662" s="29"/>
      <c r="M662" s="29"/>
      <c r="N662" s="29"/>
      <c r="O662" s="29"/>
      <c r="P662" s="29"/>
      <c r="Q662" s="29"/>
      <c r="R662" s="29"/>
      <c r="S662" s="29"/>
      <c r="T662" s="1"/>
      <c r="U662" s="34"/>
      <c r="V662" s="34"/>
    </row>
    <row x14ac:dyDescent="0.25" r="663" customHeight="1" ht="15.75">
      <c r="A663" s="1"/>
      <c r="B663" s="34"/>
      <c r="C663" s="2"/>
      <c r="D663" s="34"/>
      <c r="E663" s="34"/>
      <c r="F663" s="34"/>
      <c r="G663" s="34"/>
      <c r="H663" s="29"/>
      <c r="I663" s="29"/>
      <c r="J663" s="6"/>
      <c r="K663" s="29"/>
      <c r="L663" s="29"/>
      <c r="M663" s="29"/>
      <c r="N663" s="29"/>
      <c r="O663" s="29"/>
      <c r="P663" s="29"/>
      <c r="Q663" s="29"/>
      <c r="R663" s="29"/>
      <c r="S663" s="29"/>
      <c r="T663" s="1"/>
      <c r="U663" s="34"/>
      <c r="V663" s="34"/>
    </row>
    <row x14ac:dyDescent="0.25" r="664" customHeight="1" ht="15.75">
      <c r="A664" s="1"/>
      <c r="B664" s="34"/>
      <c r="C664" s="2"/>
      <c r="D664" s="34"/>
      <c r="E664" s="34"/>
      <c r="F664" s="34"/>
      <c r="G664" s="34"/>
      <c r="H664" s="29"/>
      <c r="I664" s="29"/>
      <c r="J664" s="6"/>
      <c r="K664" s="29"/>
      <c r="L664" s="29"/>
      <c r="M664" s="29"/>
      <c r="N664" s="29"/>
      <c r="O664" s="29"/>
      <c r="P664" s="29"/>
      <c r="Q664" s="29"/>
      <c r="R664" s="29"/>
      <c r="S664" s="29"/>
      <c r="T664" s="1"/>
      <c r="U664" s="34"/>
      <c r="V664" s="34"/>
    </row>
    <row x14ac:dyDescent="0.25" r="665" customHeight="1" ht="15.75">
      <c r="A665" s="1"/>
      <c r="B665" s="34"/>
      <c r="C665" s="2"/>
      <c r="D665" s="34"/>
      <c r="E665" s="34"/>
      <c r="F665" s="34"/>
      <c r="G665" s="34"/>
      <c r="H665" s="29"/>
      <c r="I665" s="29"/>
      <c r="J665" s="6"/>
      <c r="K665" s="29"/>
      <c r="L665" s="29"/>
      <c r="M665" s="29"/>
      <c r="N665" s="29"/>
      <c r="O665" s="29"/>
      <c r="P665" s="29"/>
      <c r="Q665" s="29"/>
      <c r="R665" s="29"/>
      <c r="S665" s="29"/>
      <c r="T665" s="1"/>
      <c r="U665" s="34"/>
      <c r="V665" s="34"/>
    </row>
    <row x14ac:dyDescent="0.25" r="666" customHeight="1" ht="15.75">
      <c r="A666" s="1"/>
      <c r="B666" s="34"/>
      <c r="C666" s="2"/>
      <c r="D666" s="34"/>
      <c r="E666" s="34"/>
      <c r="F666" s="34"/>
      <c r="G666" s="34"/>
      <c r="H666" s="29"/>
      <c r="I666" s="29"/>
      <c r="J666" s="6"/>
      <c r="K666" s="29"/>
      <c r="L666" s="29"/>
      <c r="M666" s="29"/>
      <c r="N666" s="29"/>
      <c r="O666" s="29"/>
      <c r="P666" s="29"/>
      <c r="Q666" s="29"/>
      <c r="R666" s="29"/>
      <c r="S666" s="29"/>
      <c r="T666" s="1"/>
      <c r="U666" s="34"/>
      <c r="V666" s="34"/>
    </row>
    <row x14ac:dyDescent="0.25" r="667" customHeight="1" ht="15.75">
      <c r="A667" s="1"/>
      <c r="B667" s="34"/>
      <c r="C667" s="2"/>
      <c r="D667" s="34"/>
      <c r="E667" s="34"/>
      <c r="F667" s="34"/>
      <c r="G667" s="34"/>
      <c r="H667" s="29"/>
      <c r="I667" s="29"/>
      <c r="J667" s="6"/>
      <c r="K667" s="29"/>
      <c r="L667" s="29"/>
      <c r="M667" s="29"/>
      <c r="N667" s="29"/>
      <c r="O667" s="29"/>
      <c r="P667" s="29"/>
      <c r="Q667" s="29"/>
      <c r="R667" s="29"/>
      <c r="S667" s="29"/>
      <c r="T667" s="1"/>
      <c r="U667" s="34"/>
      <c r="V667" s="34"/>
    </row>
    <row x14ac:dyDescent="0.25" r="668" customHeight="1" ht="15.75">
      <c r="A668" s="1"/>
      <c r="B668" s="34"/>
      <c r="C668" s="2"/>
      <c r="D668" s="34"/>
      <c r="E668" s="34"/>
      <c r="F668" s="34"/>
      <c r="G668" s="34"/>
      <c r="H668" s="29"/>
      <c r="I668" s="29"/>
      <c r="J668" s="6"/>
      <c r="K668" s="29"/>
      <c r="L668" s="29"/>
      <c r="M668" s="29"/>
      <c r="N668" s="29"/>
      <c r="O668" s="29"/>
      <c r="P668" s="29"/>
      <c r="Q668" s="29"/>
      <c r="R668" s="29"/>
      <c r="S668" s="29"/>
      <c r="T668" s="1"/>
      <c r="U668" s="34"/>
      <c r="V668" s="34"/>
    </row>
    <row x14ac:dyDescent="0.25" r="669" customHeight="1" ht="15.75">
      <c r="A669" s="1"/>
      <c r="B669" s="34"/>
      <c r="C669" s="2"/>
      <c r="D669" s="34"/>
      <c r="E669" s="34"/>
      <c r="F669" s="34"/>
      <c r="G669" s="34"/>
      <c r="H669" s="29"/>
      <c r="I669" s="29"/>
      <c r="J669" s="6"/>
      <c r="K669" s="29"/>
      <c r="L669" s="29"/>
      <c r="M669" s="29"/>
      <c r="N669" s="29"/>
      <c r="O669" s="29"/>
      <c r="P669" s="29"/>
      <c r="Q669" s="29"/>
      <c r="R669" s="29"/>
      <c r="S669" s="29"/>
      <c r="T669" s="1"/>
      <c r="U669" s="34"/>
      <c r="V669" s="34"/>
    </row>
    <row x14ac:dyDescent="0.25" r="670" customHeight="1" ht="15.75">
      <c r="A670" s="1"/>
      <c r="B670" s="34"/>
      <c r="C670" s="2"/>
      <c r="D670" s="34"/>
      <c r="E670" s="34"/>
      <c r="F670" s="34"/>
      <c r="G670" s="34"/>
      <c r="H670" s="29"/>
      <c r="I670" s="29"/>
      <c r="J670" s="6"/>
      <c r="K670" s="29"/>
      <c r="L670" s="29"/>
      <c r="M670" s="29"/>
      <c r="N670" s="29"/>
      <c r="O670" s="29"/>
      <c r="P670" s="29"/>
      <c r="Q670" s="29"/>
      <c r="R670" s="29"/>
      <c r="S670" s="29"/>
      <c r="T670" s="1"/>
      <c r="U670" s="34"/>
      <c r="V670" s="34"/>
    </row>
    <row x14ac:dyDescent="0.25" r="671" customHeight="1" ht="15.75">
      <c r="A671" s="1"/>
      <c r="B671" s="34"/>
      <c r="C671" s="2"/>
      <c r="D671" s="34"/>
      <c r="E671" s="34"/>
      <c r="F671" s="34"/>
      <c r="G671" s="34"/>
      <c r="H671" s="29"/>
      <c r="I671" s="29"/>
      <c r="J671" s="6"/>
      <c r="K671" s="29"/>
      <c r="L671" s="29"/>
      <c r="M671" s="29"/>
      <c r="N671" s="29"/>
      <c r="O671" s="29"/>
      <c r="P671" s="29"/>
      <c r="Q671" s="29"/>
      <c r="R671" s="29"/>
      <c r="S671" s="29"/>
      <c r="T671" s="1"/>
      <c r="U671" s="34"/>
      <c r="V671" s="34"/>
    </row>
    <row x14ac:dyDescent="0.25" r="672" customHeight="1" ht="15.75">
      <c r="A672" s="1"/>
      <c r="B672" s="34"/>
      <c r="C672" s="2"/>
      <c r="D672" s="34"/>
      <c r="E672" s="34"/>
      <c r="F672" s="34"/>
      <c r="G672" s="34"/>
      <c r="H672" s="29"/>
      <c r="I672" s="29"/>
      <c r="J672" s="6"/>
      <c r="K672" s="29"/>
      <c r="L672" s="29"/>
      <c r="M672" s="29"/>
      <c r="N672" s="29"/>
      <c r="O672" s="29"/>
      <c r="P672" s="29"/>
      <c r="Q672" s="29"/>
      <c r="R672" s="29"/>
      <c r="S672" s="29"/>
      <c r="T672" s="1"/>
      <c r="U672" s="34"/>
      <c r="V672" s="34"/>
    </row>
    <row x14ac:dyDescent="0.25" r="673" customHeight="1" ht="15.75">
      <c r="A673" s="1"/>
      <c r="B673" s="34"/>
      <c r="C673" s="2"/>
      <c r="D673" s="34"/>
      <c r="E673" s="34"/>
      <c r="F673" s="34"/>
      <c r="G673" s="34"/>
      <c r="H673" s="29"/>
      <c r="I673" s="29"/>
      <c r="J673" s="6"/>
      <c r="K673" s="29"/>
      <c r="L673" s="29"/>
      <c r="M673" s="29"/>
      <c r="N673" s="29"/>
      <c r="O673" s="29"/>
      <c r="P673" s="29"/>
      <c r="Q673" s="29"/>
      <c r="R673" s="29"/>
      <c r="S673" s="29"/>
      <c r="T673" s="1"/>
      <c r="U673" s="34"/>
      <c r="V673" s="34"/>
    </row>
    <row x14ac:dyDescent="0.25" r="674" customHeight="1" ht="15.75">
      <c r="A674" s="1"/>
      <c r="B674" s="34"/>
      <c r="C674" s="2"/>
      <c r="D674" s="34"/>
      <c r="E674" s="34"/>
      <c r="F674" s="34"/>
      <c r="G674" s="34"/>
      <c r="H674" s="29"/>
      <c r="I674" s="29"/>
      <c r="J674" s="6"/>
      <c r="K674" s="29"/>
      <c r="L674" s="29"/>
      <c r="M674" s="29"/>
      <c r="N674" s="29"/>
      <c r="O674" s="29"/>
      <c r="P674" s="29"/>
      <c r="Q674" s="29"/>
      <c r="R674" s="29"/>
      <c r="S674" s="29"/>
      <c r="T674" s="1"/>
      <c r="U674" s="34"/>
      <c r="V674" s="34"/>
    </row>
    <row x14ac:dyDescent="0.25" r="675" customHeight="1" ht="15.75">
      <c r="A675" s="1"/>
      <c r="B675" s="34"/>
      <c r="C675" s="2"/>
      <c r="D675" s="34"/>
      <c r="E675" s="34"/>
      <c r="F675" s="34"/>
      <c r="G675" s="34"/>
      <c r="H675" s="29"/>
      <c r="I675" s="29"/>
      <c r="J675" s="6"/>
      <c r="K675" s="29"/>
      <c r="L675" s="29"/>
      <c r="M675" s="29"/>
      <c r="N675" s="29"/>
      <c r="O675" s="29"/>
      <c r="P675" s="29"/>
      <c r="Q675" s="29"/>
      <c r="R675" s="29"/>
      <c r="S675" s="29"/>
      <c r="T675" s="1"/>
      <c r="U675" s="34"/>
      <c r="V675" s="34"/>
    </row>
    <row x14ac:dyDescent="0.25" r="676" customHeight="1" ht="15.75">
      <c r="A676" s="1"/>
      <c r="B676" s="34"/>
      <c r="C676" s="2"/>
      <c r="D676" s="34"/>
      <c r="E676" s="34"/>
      <c r="F676" s="34"/>
      <c r="G676" s="34"/>
      <c r="H676" s="29"/>
      <c r="I676" s="29"/>
      <c r="J676" s="6"/>
      <c r="K676" s="29"/>
      <c r="L676" s="29"/>
      <c r="M676" s="29"/>
      <c r="N676" s="29"/>
      <c r="O676" s="29"/>
      <c r="P676" s="29"/>
      <c r="Q676" s="29"/>
      <c r="R676" s="29"/>
      <c r="S676" s="29"/>
      <c r="T676" s="1"/>
      <c r="U676" s="34"/>
      <c r="V676" s="34"/>
    </row>
    <row x14ac:dyDescent="0.25" r="677" customHeight="1" ht="15.75">
      <c r="A677" s="1"/>
      <c r="B677" s="34"/>
      <c r="C677" s="2"/>
      <c r="D677" s="34"/>
      <c r="E677" s="34"/>
      <c r="F677" s="34"/>
      <c r="G677" s="34"/>
      <c r="H677" s="29"/>
      <c r="I677" s="29"/>
      <c r="J677" s="6"/>
      <c r="K677" s="29"/>
      <c r="L677" s="29"/>
      <c r="M677" s="29"/>
      <c r="N677" s="29"/>
      <c r="O677" s="29"/>
      <c r="P677" s="29"/>
      <c r="Q677" s="29"/>
      <c r="R677" s="29"/>
      <c r="S677" s="29"/>
      <c r="T677" s="1"/>
      <c r="U677" s="34"/>
      <c r="V677" s="34"/>
    </row>
    <row x14ac:dyDescent="0.25" r="678" customHeight="1" ht="15.75">
      <c r="A678" s="1"/>
      <c r="B678" s="34"/>
      <c r="C678" s="2"/>
      <c r="D678" s="34"/>
      <c r="E678" s="34"/>
      <c r="F678" s="34"/>
      <c r="G678" s="34"/>
      <c r="H678" s="29"/>
      <c r="I678" s="29"/>
      <c r="J678" s="6"/>
      <c r="K678" s="29"/>
      <c r="L678" s="29"/>
      <c r="M678" s="29"/>
      <c r="N678" s="29"/>
      <c r="O678" s="29"/>
      <c r="P678" s="29"/>
      <c r="Q678" s="29"/>
      <c r="R678" s="29"/>
      <c r="S678" s="29"/>
      <c r="T678" s="1"/>
      <c r="U678" s="34"/>
      <c r="V678" s="34"/>
    </row>
    <row x14ac:dyDescent="0.25" r="679" customHeight="1" ht="15.75">
      <c r="A679" s="1"/>
      <c r="B679" s="34"/>
      <c r="C679" s="2"/>
      <c r="D679" s="34"/>
      <c r="E679" s="34"/>
      <c r="F679" s="34"/>
      <c r="G679" s="34"/>
      <c r="H679" s="29"/>
      <c r="I679" s="29"/>
      <c r="J679" s="6"/>
      <c r="K679" s="29"/>
      <c r="L679" s="29"/>
      <c r="M679" s="29"/>
      <c r="N679" s="29"/>
      <c r="O679" s="29"/>
      <c r="P679" s="29"/>
      <c r="Q679" s="29"/>
      <c r="R679" s="29"/>
      <c r="S679" s="29"/>
      <c r="T679" s="1"/>
      <c r="U679" s="34"/>
      <c r="V679" s="34"/>
    </row>
    <row x14ac:dyDescent="0.25" r="680" customHeight="1" ht="15.75">
      <c r="A680" s="1"/>
      <c r="B680" s="34"/>
      <c r="C680" s="2"/>
      <c r="D680" s="34"/>
      <c r="E680" s="34"/>
      <c r="F680" s="34"/>
      <c r="G680" s="34"/>
      <c r="H680" s="29"/>
      <c r="I680" s="29"/>
      <c r="J680" s="6"/>
      <c r="K680" s="29"/>
      <c r="L680" s="29"/>
      <c r="M680" s="29"/>
      <c r="N680" s="29"/>
      <c r="O680" s="29"/>
      <c r="P680" s="29"/>
      <c r="Q680" s="29"/>
      <c r="R680" s="29"/>
      <c r="S680" s="29"/>
      <c r="T680" s="1"/>
      <c r="U680" s="34"/>
      <c r="V680" s="34"/>
    </row>
    <row x14ac:dyDescent="0.25" r="681" customHeight="1" ht="15.75">
      <c r="A681" s="1"/>
      <c r="B681" s="34"/>
      <c r="C681" s="2"/>
      <c r="D681" s="34"/>
      <c r="E681" s="34"/>
      <c r="F681" s="34"/>
      <c r="G681" s="34"/>
      <c r="H681" s="29"/>
      <c r="I681" s="29"/>
      <c r="J681" s="6"/>
      <c r="K681" s="29"/>
      <c r="L681" s="29"/>
      <c r="M681" s="29"/>
      <c r="N681" s="29"/>
      <c r="O681" s="29"/>
      <c r="P681" s="29"/>
      <c r="Q681" s="29"/>
      <c r="R681" s="29"/>
      <c r="S681" s="29"/>
      <c r="T681" s="1"/>
      <c r="U681" s="34"/>
      <c r="V681" s="34"/>
    </row>
    <row x14ac:dyDescent="0.25" r="682" customHeight="1" ht="15.75">
      <c r="A682" s="1"/>
      <c r="B682" s="34"/>
      <c r="C682" s="2"/>
      <c r="D682" s="34"/>
      <c r="E682" s="34"/>
      <c r="F682" s="34"/>
      <c r="G682" s="34"/>
      <c r="H682" s="29"/>
      <c r="I682" s="29"/>
      <c r="J682" s="6"/>
      <c r="K682" s="29"/>
      <c r="L682" s="29"/>
      <c r="M682" s="29"/>
      <c r="N682" s="29"/>
      <c r="O682" s="29"/>
      <c r="P682" s="29"/>
      <c r="Q682" s="29"/>
      <c r="R682" s="29"/>
      <c r="S682" s="29"/>
      <c r="T682" s="1"/>
      <c r="U682" s="34"/>
      <c r="V682" s="34"/>
    </row>
    <row x14ac:dyDescent="0.25" r="683" customHeight="1" ht="15.75">
      <c r="A683" s="1"/>
      <c r="B683" s="34"/>
      <c r="C683" s="2"/>
      <c r="D683" s="34"/>
      <c r="E683" s="34"/>
      <c r="F683" s="34"/>
      <c r="G683" s="34"/>
      <c r="H683" s="29"/>
      <c r="I683" s="29"/>
      <c r="J683" s="6"/>
      <c r="K683" s="29"/>
      <c r="L683" s="29"/>
      <c r="M683" s="29"/>
      <c r="N683" s="29"/>
      <c r="O683" s="29"/>
      <c r="P683" s="29"/>
      <c r="Q683" s="29"/>
      <c r="R683" s="29"/>
      <c r="S683" s="29"/>
      <c r="T683" s="1"/>
      <c r="U683" s="34"/>
      <c r="V683" s="34"/>
    </row>
    <row x14ac:dyDescent="0.25" r="684" customHeight="1" ht="15.75">
      <c r="A684" s="1"/>
      <c r="B684" s="34"/>
      <c r="C684" s="2"/>
      <c r="D684" s="34"/>
      <c r="E684" s="34"/>
      <c r="F684" s="34"/>
      <c r="G684" s="34"/>
      <c r="H684" s="29"/>
      <c r="I684" s="29"/>
      <c r="J684" s="6"/>
      <c r="K684" s="29"/>
      <c r="L684" s="29"/>
      <c r="M684" s="29"/>
      <c r="N684" s="29"/>
      <c r="O684" s="29"/>
      <c r="P684" s="29"/>
      <c r="Q684" s="29"/>
      <c r="R684" s="29"/>
      <c r="S684" s="29"/>
      <c r="T684" s="1"/>
      <c r="U684" s="34"/>
      <c r="V684" s="34"/>
    </row>
    <row x14ac:dyDescent="0.25" r="685" customHeight="1" ht="15.75">
      <c r="A685" s="1"/>
      <c r="B685" s="34"/>
      <c r="C685" s="2"/>
      <c r="D685" s="34"/>
      <c r="E685" s="34"/>
      <c r="F685" s="34"/>
      <c r="G685" s="34"/>
      <c r="H685" s="29"/>
      <c r="I685" s="29"/>
      <c r="J685" s="6"/>
      <c r="K685" s="29"/>
      <c r="L685" s="29"/>
      <c r="M685" s="29"/>
      <c r="N685" s="29"/>
      <c r="O685" s="29"/>
      <c r="P685" s="29"/>
      <c r="Q685" s="29"/>
      <c r="R685" s="29"/>
      <c r="S685" s="29"/>
      <c r="T685" s="1"/>
      <c r="U685" s="34"/>
      <c r="V685" s="34"/>
    </row>
    <row x14ac:dyDescent="0.25" r="686" customHeight="1" ht="15.75">
      <c r="A686" s="1"/>
      <c r="B686" s="34"/>
      <c r="C686" s="2"/>
      <c r="D686" s="34"/>
      <c r="E686" s="34"/>
      <c r="F686" s="34"/>
      <c r="G686" s="34"/>
      <c r="H686" s="29"/>
      <c r="I686" s="29"/>
      <c r="J686" s="6"/>
      <c r="K686" s="29"/>
      <c r="L686" s="29"/>
      <c r="M686" s="29"/>
      <c r="N686" s="29"/>
      <c r="O686" s="29"/>
      <c r="P686" s="29"/>
      <c r="Q686" s="29"/>
      <c r="R686" s="29"/>
      <c r="S686" s="29"/>
      <c r="T686" s="1"/>
      <c r="U686" s="34"/>
      <c r="V686" s="34"/>
    </row>
    <row x14ac:dyDescent="0.25" r="687" customHeight="1" ht="15.75">
      <c r="A687" s="1"/>
      <c r="B687" s="34"/>
      <c r="C687" s="2"/>
      <c r="D687" s="34"/>
      <c r="E687" s="34"/>
      <c r="F687" s="34"/>
      <c r="G687" s="34"/>
      <c r="H687" s="29"/>
      <c r="I687" s="29"/>
      <c r="J687" s="6"/>
      <c r="K687" s="29"/>
      <c r="L687" s="29"/>
      <c r="M687" s="29"/>
      <c r="N687" s="29"/>
      <c r="O687" s="29"/>
      <c r="P687" s="29"/>
      <c r="Q687" s="29"/>
      <c r="R687" s="29"/>
      <c r="S687" s="29"/>
      <c r="T687" s="1"/>
      <c r="U687" s="34"/>
      <c r="V687" s="34"/>
    </row>
    <row x14ac:dyDescent="0.25" r="688" customHeight="1" ht="15.75">
      <c r="A688" s="1"/>
      <c r="B688" s="34"/>
      <c r="C688" s="2"/>
      <c r="D688" s="34"/>
      <c r="E688" s="34"/>
      <c r="F688" s="34"/>
      <c r="G688" s="34"/>
      <c r="H688" s="29"/>
      <c r="I688" s="29"/>
      <c r="J688" s="6"/>
      <c r="K688" s="29"/>
      <c r="L688" s="29"/>
      <c r="M688" s="29"/>
      <c r="N688" s="29"/>
      <c r="O688" s="29"/>
      <c r="P688" s="29"/>
      <c r="Q688" s="29"/>
      <c r="R688" s="29"/>
      <c r="S688" s="29"/>
      <c r="T688" s="1"/>
      <c r="U688" s="34"/>
      <c r="V688" s="34"/>
    </row>
    <row x14ac:dyDescent="0.25" r="689" customHeight="1" ht="15.75">
      <c r="A689" s="1"/>
      <c r="B689" s="34"/>
      <c r="C689" s="2"/>
      <c r="D689" s="34"/>
      <c r="E689" s="34"/>
      <c r="F689" s="34"/>
      <c r="G689" s="34"/>
      <c r="H689" s="29"/>
      <c r="I689" s="29"/>
      <c r="J689" s="6"/>
      <c r="K689" s="29"/>
      <c r="L689" s="29"/>
      <c r="M689" s="29"/>
      <c r="N689" s="29"/>
      <c r="O689" s="29"/>
      <c r="P689" s="29"/>
      <c r="Q689" s="29"/>
      <c r="R689" s="29"/>
      <c r="S689" s="29"/>
      <c r="T689" s="1"/>
      <c r="U689" s="34"/>
      <c r="V689" s="34"/>
    </row>
    <row x14ac:dyDescent="0.25" r="690" customHeight="1" ht="15.75">
      <c r="A690" s="1"/>
      <c r="B690" s="34"/>
      <c r="C690" s="2"/>
      <c r="D690" s="34"/>
      <c r="E690" s="34"/>
      <c r="F690" s="34"/>
      <c r="G690" s="34"/>
      <c r="H690" s="29"/>
      <c r="I690" s="29"/>
      <c r="J690" s="6"/>
      <c r="K690" s="29"/>
      <c r="L690" s="29"/>
      <c r="M690" s="29"/>
      <c r="N690" s="29"/>
      <c r="O690" s="29"/>
      <c r="P690" s="29"/>
      <c r="Q690" s="29"/>
      <c r="R690" s="29"/>
      <c r="S690" s="29"/>
      <c r="T690" s="1"/>
      <c r="U690" s="34"/>
      <c r="V690" s="34"/>
    </row>
    <row x14ac:dyDescent="0.25" r="691" customHeight="1" ht="15.75">
      <c r="A691" s="1"/>
      <c r="B691" s="34"/>
      <c r="C691" s="2"/>
      <c r="D691" s="34"/>
      <c r="E691" s="34"/>
      <c r="F691" s="34"/>
      <c r="G691" s="34"/>
      <c r="H691" s="29"/>
      <c r="I691" s="29"/>
      <c r="J691" s="6"/>
      <c r="K691" s="29"/>
      <c r="L691" s="29"/>
      <c r="M691" s="29"/>
      <c r="N691" s="29"/>
      <c r="O691" s="29"/>
      <c r="P691" s="29"/>
      <c r="Q691" s="29"/>
      <c r="R691" s="29"/>
      <c r="S691" s="29"/>
      <c r="T691" s="1"/>
      <c r="U691" s="34"/>
      <c r="V691" s="34"/>
    </row>
    <row x14ac:dyDescent="0.25" r="692" customHeight="1" ht="15.75">
      <c r="A692" s="1"/>
      <c r="B692" s="34"/>
      <c r="C692" s="2"/>
      <c r="D692" s="34"/>
      <c r="E692" s="34"/>
      <c r="F692" s="34"/>
      <c r="G692" s="34"/>
      <c r="H692" s="29"/>
      <c r="I692" s="29"/>
      <c r="J692" s="6"/>
      <c r="K692" s="29"/>
      <c r="L692" s="29"/>
      <c r="M692" s="29"/>
      <c r="N692" s="29"/>
      <c r="O692" s="29"/>
      <c r="P692" s="29"/>
      <c r="Q692" s="29"/>
      <c r="R692" s="29"/>
      <c r="S692" s="29"/>
      <c r="T692" s="1"/>
      <c r="U692" s="34"/>
      <c r="V692" s="34"/>
    </row>
    <row x14ac:dyDescent="0.25" r="693" customHeight="1" ht="15.75">
      <c r="A693" s="1"/>
      <c r="B693" s="34"/>
      <c r="C693" s="2"/>
      <c r="D693" s="34"/>
      <c r="E693" s="34"/>
      <c r="F693" s="34"/>
      <c r="G693" s="34"/>
      <c r="H693" s="29"/>
      <c r="I693" s="29"/>
      <c r="J693" s="6"/>
      <c r="K693" s="29"/>
      <c r="L693" s="29"/>
      <c r="M693" s="29"/>
      <c r="N693" s="29"/>
      <c r="O693" s="29"/>
      <c r="P693" s="29"/>
      <c r="Q693" s="29"/>
      <c r="R693" s="29"/>
      <c r="S693" s="29"/>
      <c r="T693" s="1"/>
      <c r="U693" s="34"/>
      <c r="V693" s="34"/>
    </row>
    <row x14ac:dyDescent="0.25" r="694" customHeight="1" ht="15.75">
      <c r="A694" s="1"/>
      <c r="B694" s="34"/>
      <c r="C694" s="2"/>
      <c r="D694" s="34"/>
      <c r="E694" s="34"/>
      <c r="F694" s="34"/>
      <c r="G694" s="34"/>
      <c r="H694" s="29"/>
      <c r="I694" s="29"/>
      <c r="J694" s="6"/>
      <c r="K694" s="29"/>
      <c r="L694" s="29"/>
      <c r="M694" s="29"/>
      <c r="N694" s="29"/>
      <c r="O694" s="29"/>
      <c r="P694" s="29"/>
      <c r="Q694" s="29"/>
      <c r="R694" s="29"/>
      <c r="S694" s="29"/>
      <c r="T694" s="1"/>
      <c r="U694" s="34"/>
      <c r="V694" s="34"/>
    </row>
    <row x14ac:dyDescent="0.25" r="695" customHeight="1" ht="15.75">
      <c r="A695" s="1"/>
      <c r="B695" s="34"/>
      <c r="C695" s="2"/>
      <c r="D695" s="34"/>
      <c r="E695" s="34"/>
      <c r="F695" s="34"/>
      <c r="G695" s="34"/>
      <c r="H695" s="29"/>
      <c r="I695" s="29"/>
      <c r="J695" s="6"/>
      <c r="K695" s="29"/>
      <c r="L695" s="29"/>
      <c r="M695" s="29"/>
      <c r="N695" s="29"/>
      <c r="O695" s="29"/>
      <c r="P695" s="29"/>
      <c r="Q695" s="29"/>
      <c r="R695" s="29"/>
      <c r="S695" s="29"/>
      <c r="T695" s="1"/>
      <c r="U695" s="34"/>
      <c r="V695" s="34"/>
    </row>
    <row x14ac:dyDescent="0.25" r="696" customHeight="1" ht="15.75">
      <c r="A696" s="1"/>
      <c r="B696" s="34"/>
      <c r="C696" s="2"/>
      <c r="D696" s="34"/>
      <c r="E696" s="34"/>
      <c r="F696" s="34"/>
      <c r="G696" s="34"/>
      <c r="H696" s="29"/>
      <c r="I696" s="29"/>
      <c r="J696" s="6"/>
      <c r="K696" s="29"/>
      <c r="L696" s="29"/>
      <c r="M696" s="29"/>
      <c r="N696" s="29"/>
      <c r="O696" s="29"/>
      <c r="P696" s="29"/>
      <c r="Q696" s="29"/>
      <c r="R696" s="29"/>
      <c r="S696" s="29"/>
      <c r="T696" s="1"/>
      <c r="U696" s="34"/>
      <c r="V696" s="34"/>
    </row>
    <row x14ac:dyDescent="0.25" r="697" customHeight="1" ht="15.75">
      <c r="A697" s="1"/>
      <c r="B697" s="34"/>
      <c r="C697" s="2"/>
      <c r="D697" s="34"/>
      <c r="E697" s="34"/>
      <c r="F697" s="34"/>
      <c r="G697" s="34"/>
      <c r="H697" s="29"/>
      <c r="I697" s="29"/>
      <c r="J697" s="6"/>
      <c r="K697" s="29"/>
      <c r="L697" s="29"/>
      <c r="M697" s="29"/>
      <c r="N697" s="29"/>
      <c r="O697" s="29"/>
      <c r="P697" s="29"/>
      <c r="Q697" s="29"/>
      <c r="R697" s="29"/>
      <c r="S697" s="29"/>
      <c r="T697" s="1"/>
      <c r="U697" s="34"/>
      <c r="V697" s="34"/>
    </row>
    <row x14ac:dyDescent="0.25" r="698" customHeight="1" ht="15.75">
      <c r="A698" s="1"/>
      <c r="B698" s="34"/>
      <c r="C698" s="2"/>
      <c r="D698" s="34"/>
      <c r="E698" s="34"/>
      <c r="F698" s="34"/>
      <c r="G698" s="34"/>
      <c r="H698" s="29"/>
      <c r="I698" s="29"/>
      <c r="J698" s="6"/>
      <c r="K698" s="29"/>
      <c r="L698" s="29"/>
      <c r="M698" s="29"/>
      <c r="N698" s="29"/>
      <c r="O698" s="29"/>
      <c r="P698" s="29"/>
      <c r="Q698" s="29"/>
      <c r="R698" s="29"/>
      <c r="S698" s="29"/>
      <c r="T698" s="1"/>
      <c r="U698" s="34"/>
      <c r="V698" s="34"/>
    </row>
    <row x14ac:dyDescent="0.25" r="699" customHeight="1" ht="15.75">
      <c r="A699" s="1"/>
      <c r="B699" s="34"/>
      <c r="C699" s="2"/>
      <c r="D699" s="34"/>
      <c r="E699" s="34"/>
      <c r="F699" s="34"/>
      <c r="G699" s="34"/>
      <c r="H699" s="29"/>
      <c r="I699" s="29"/>
      <c r="J699" s="6"/>
      <c r="K699" s="29"/>
      <c r="L699" s="29"/>
      <c r="M699" s="29"/>
      <c r="N699" s="29"/>
      <c r="O699" s="29"/>
      <c r="P699" s="29"/>
      <c r="Q699" s="29"/>
      <c r="R699" s="29"/>
      <c r="S699" s="29"/>
      <c r="T699" s="1"/>
      <c r="U699" s="34"/>
      <c r="V699" s="34"/>
    </row>
    <row x14ac:dyDescent="0.25" r="700" customHeight="1" ht="15.75">
      <c r="A700" s="1"/>
      <c r="B700" s="34"/>
      <c r="C700" s="2"/>
      <c r="D700" s="34"/>
      <c r="E700" s="34"/>
      <c r="F700" s="34"/>
      <c r="G700" s="34"/>
      <c r="H700" s="29"/>
      <c r="I700" s="29"/>
      <c r="J700" s="6"/>
      <c r="K700" s="29"/>
      <c r="L700" s="29"/>
      <c r="M700" s="29"/>
      <c r="N700" s="29"/>
      <c r="O700" s="29"/>
      <c r="P700" s="29"/>
      <c r="Q700" s="29"/>
      <c r="R700" s="29"/>
      <c r="S700" s="29"/>
      <c r="T700" s="1"/>
      <c r="U700" s="34"/>
      <c r="V700" s="34"/>
    </row>
    <row x14ac:dyDescent="0.25" r="701" customHeight="1" ht="15.75">
      <c r="A701" s="1"/>
      <c r="B701" s="34"/>
      <c r="C701" s="2"/>
      <c r="D701" s="34"/>
      <c r="E701" s="34"/>
      <c r="F701" s="34"/>
      <c r="G701" s="34"/>
      <c r="H701" s="29"/>
      <c r="I701" s="29"/>
      <c r="J701" s="6"/>
      <c r="K701" s="29"/>
      <c r="L701" s="29"/>
      <c r="M701" s="29"/>
      <c r="N701" s="29"/>
      <c r="O701" s="29"/>
      <c r="P701" s="29"/>
      <c r="Q701" s="29"/>
      <c r="R701" s="29"/>
      <c r="S701" s="29"/>
      <c r="T701" s="1"/>
      <c r="U701" s="34"/>
      <c r="V701" s="34"/>
    </row>
    <row x14ac:dyDescent="0.25" r="702" customHeight="1" ht="15.75">
      <c r="A702" s="1"/>
      <c r="B702" s="34"/>
      <c r="C702" s="2"/>
      <c r="D702" s="34"/>
      <c r="E702" s="34"/>
      <c r="F702" s="34"/>
      <c r="G702" s="34"/>
      <c r="H702" s="29"/>
      <c r="I702" s="29"/>
      <c r="J702" s="6"/>
      <c r="K702" s="29"/>
      <c r="L702" s="29"/>
      <c r="M702" s="29"/>
      <c r="N702" s="29"/>
      <c r="O702" s="29"/>
      <c r="P702" s="29"/>
      <c r="Q702" s="29"/>
      <c r="R702" s="29"/>
      <c r="S702" s="29"/>
      <c r="T702" s="1"/>
      <c r="U702" s="34"/>
      <c r="V702" s="34"/>
    </row>
    <row x14ac:dyDescent="0.25" r="703" customHeight="1" ht="15.75">
      <c r="A703" s="1"/>
      <c r="B703" s="34"/>
      <c r="C703" s="2"/>
      <c r="D703" s="34"/>
      <c r="E703" s="34"/>
      <c r="F703" s="34"/>
      <c r="G703" s="34"/>
      <c r="H703" s="29"/>
      <c r="I703" s="29"/>
      <c r="J703" s="6"/>
      <c r="K703" s="29"/>
      <c r="L703" s="29"/>
      <c r="M703" s="29"/>
      <c r="N703" s="29"/>
      <c r="O703" s="29"/>
      <c r="P703" s="29"/>
      <c r="Q703" s="29"/>
      <c r="R703" s="29"/>
      <c r="S703" s="29"/>
      <c r="T703" s="1"/>
      <c r="U703" s="34"/>
      <c r="V703" s="34"/>
    </row>
    <row x14ac:dyDescent="0.25" r="704" customHeight="1" ht="15.75">
      <c r="A704" s="1"/>
      <c r="B704" s="34"/>
      <c r="C704" s="2"/>
      <c r="D704" s="34"/>
      <c r="E704" s="34"/>
      <c r="F704" s="34"/>
      <c r="G704" s="34"/>
      <c r="H704" s="29"/>
      <c r="I704" s="29"/>
      <c r="J704" s="6"/>
      <c r="K704" s="29"/>
      <c r="L704" s="29"/>
      <c r="M704" s="29"/>
      <c r="N704" s="29"/>
      <c r="O704" s="29"/>
      <c r="P704" s="29"/>
      <c r="Q704" s="29"/>
      <c r="R704" s="29"/>
      <c r="S704" s="29"/>
      <c r="T704" s="1"/>
      <c r="U704" s="34"/>
      <c r="V704" s="34"/>
    </row>
    <row x14ac:dyDescent="0.25" r="705" customHeight="1" ht="15.75">
      <c r="A705" s="1"/>
      <c r="B705" s="34"/>
      <c r="C705" s="2"/>
      <c r="D705" s="34"/>
      <c r="E705" s="34"/>
      <c r="F705" s="34"/>
      <c r="G705" s="34"/>
      <c r="H705" s="29"/>
      <c r="I705" s="29"/>
      <c r="J705" s="6"/>
      <c r="K705" s="29"/>
      <c r="L705" s="29"/>
      <c r="M705" s="29"/>
      <c r="N705" s="29"/>
      <c r="O705" s="29"/>
      <c r="P705" s="29"/>
      <c r="Q705" s="29"/>
      <c r="R705" s="29"/>
      <c r="S705" s="29"/>
      <c r="T705" s="1"/>
      <c r="U705" s="34"/>
      <c r="V705" s="34"/>
    </row>
    <row x14ac:dyDescent="0.25" r="706" customHeight="1" ht="15.75">
      <c r="A706" s="1"/>
      <c r="B706" s="34"/>
      <c r="C706" s="2"/>
      <c r="D706" s="34"/>
      <c r="E706" s="34"/>
      <c r="F706" s="34"/>
      <c r="G706" s="34"/>
      <c r="H706" s="29"/>
      <c r="I706" s="29"/>
      <c r="J706" s="6"/>
      <c r="K706" s="29"/>
      <c r="L706" s="29"/>
      <c r="M706" s="29"/>
      <c r="N706" s="29"/>
      <c r="O706" s="29"/>
      <c r="P706" s="29"/>
      <c r="Q706" s="29"/>
      <c r="R706" s="29"/>
      <c r="S706" s="29"/>
      <c r="T706" s="1"/>
      <c r="U706" s="34"/>
      <c r="V706" s="34"/>
    </row>
    <row x14ac:dyDescent="0.25" r="707" customHeight="1" ht="15.75">
      <c r="A707" s="1"/>
      <c r="B707" s="34"/>
      <c r="C707" s="2"/>
      <c r="D707" s="34"/>
      <c r="E707" s="34"/>
      <c r="F707" s="34"/>
      <c r="G707" s="34"/>
      <c r="H707" s="29"/>
      <c r="I707" s="29"/>
      <c r="J707" s="6"/>
      <c r="K707" s="29"/>
      <c r="L707" s="29"/>
      <c r="M707" s="29"/>
      <c r="N707" s="29"/>
      <c r="O707" s="29"/>
      <c r="P707" s="29"/>
      <c r="Q707" s="29"/>
      <c r="R707" s="29"/>
      <c r="S707" s="29"/>
      <c r="T707" s="1"/>
      <c r="U707" s="34"/>
      <c r="V707" s="34"/>
    </row>
    <row x14ac:dyDescent="0.25" r="708" customHeight="1" ht="15.75">
      <c r="A708" s="1"/>
      <c r="B708" s="34"/>
      <c r="C708" s="2"/>
      <c r="D708" s="34"/>
      <c r="E708" s="34"/>
      <c r="F708" s="34"/>
      <c r="G708" s="34"/>
      <c r="H708" s="29"/>
      <c r="I708" s="29"/>
      <c r="J708" s="6"/>
      <c r="K708" s="29"/>
      <c r="L708" s="29"/>
      <c r="M708" s="29"/>
      <c r="N708" s="29"/>
      <c r="O708" s="29"/>
      <c r="P708" s="29"/>
      <c r="Q708" s="29"/>
      <c r="R708" s="29"/>
      <c r="S708" s="29"/>
      <c r="T708" s="1"/>
      <c r="U708" s="34"/>
      <c r="V708" s="34"/>
    </row>
    <row x14ac:dyDescent="0.25" r="709" customHeight="1" ht="15.75">
      <c r="A709" s="1"/>
      <c r="B709" s="34"/>
      <c r="C709" s="2"/>
      <c r="D709" s="34"/>
      <c r="E709" s="34"/>
      <c r="F709" s="34"/>
      <c r="G709" s="34"/>
      <c r="H709" s="29"/>
      <c r="I709" s="29"/>
      <c r="J709" s="6"/>
      <c r="K709" s="29"/>
      <c r="L709" s="29"/>
      <c r="M709" s="29"/>
      <c r="N709" s="29"/>
      <c r="O709" s="29"/>
      <c r="P709" s="29"/>
      <c r="Q709" s="29"/>
      <c r="R709" s="29"/>
      <c r="S709" s="29"/>
      <c r="T709" s="1"/>
      <c r="U709" s="34"/>
      <c r="V709" s="34"/>
    </row>
    <row x14ac:dyDescent="0.25" r="710" customHeight="1" ht="15.75">
      <c r="A710" s="1"/>
      <c r="B710" s="34"/>
      <c r="C710" s="2"/>
      <c r="D710" s="34"/>
      <c r="E710" s="34"/>
      <c r="F710" s="34"/>
      <c r="G710" s="34"/>
      <c r="H710" s="29"/>
      <c r="I710" s="29"/>
      <c r="J710" s="6"/>
      <c r="K710" s="29"/>
      <c r="L710" s="29"/>
      <c r="M710" s="29"/>
      <c r="N710" s="29"/>
      <c r="O710" s="29"/>
      <c r="P710" s="29"/>
      <c r="Q710" s="29"/>
      <c r="R710" s="29"/>
      <c r="S710" s="29"/>
      <c r="T710" s="1"/>
      <c r="U710" s="34"/>
      <c r="V710" s="34"/>
    </row>
    <row x14ac:dyDescent="0.25" r="711" customHeight="1" ht="15.75">
      <c r="A711" s="1"/>
      <c r="B711" s="34"/>
      <c r="C711" s="2"/>
      <c r="D711" s="34"/>
      <c r="E711" s="34"/>
      <c r="F711" s="34"/>
      <c r="G711" s="34"/>
      <c r="H711" s="29"/>
      <c r="I711" s="29"/>
      <c r="J711" s="6"/>
      <c r="K711" s="29"/>
      <c r="L711" s="29"/>
      <c r="M711" s="29"/>
      <c r="N711" s="29"/>
      <c r="O711" s="29"/>
      <c r="P711" s="29"/>
      <c r="Q711" s="29"/>
      <c r="R711" s="29"/>
      <c r="S711" s="29"/>
      <c r="T711" s="1"/>
      <c r="U711" s="34"/>
      <c r="V711" s="34"/>
    </row>
    <row x14ac:dyDescent="0.25" r="712" customHeight="1" ht="15.75">
      <c r="A712" s="1"/>
      <c r="B712" s="34"/>
      <c r="C712" s="2"/>
      <c r="D712" s="34"/>
      <c r="E712" s="34"/>
      <c r="F712" s="34"/>
      <c r="G712" s="34"/>
      <c r="H712" s="29"/>
      <c r="I712" s="29"/>
      <c r="J712" s="6"/>
      <c r="K712" s="29"/>
      <c r="L712" s="29"/>
      <c r="M712" s="29"/>
      <c r="N712" s="29"/>
      <c r="O712" s="29"/>
      <c r="P712" s="29"/>
      <c r="Q712" s="29"/>
      <c r="R712" s="29"/>
      <c r="S712" s="29"/>
      <c r="T712" s="1"/>
      <c r="U712" s="34"/>
      <c r="V712" s="34"/>
    </row>
    <row x14ac:dyDescent="0.25" r="713" customHeight="1" ht="15.75">
      <c r="A713" s="1"/>
      <c r="B713" s="34"/>
      <c r="C713" s="2"/>
      <c r="D713" s="34"/>
      <c r="E713" s="34"/>
      <c r="F713" s="34"/>
      <c r="G713" s="34"/>
      <c r="H713" s="29"/>
      <c r="I713" s="29"/>
      <c r="J713" s="6"/>
      <c r="K713" s="29"/>
      <c r="L713" s="29"/>
      <c r="M713" s="29"/>
      <c r="N713" s="29"/>
      <c r="O713" s="29"/>
      <c r="P713" s="29"/>
      <c r="Q713" s="29"/>
      <c r="R713" s="29"/>
      <c r="S713" s="29"/>
      <c r="T713" s="1"/>
      <c r="U713" s="34"/>
      <c r="V713" s="34"/>
    </row>
    <row x14ac:dyDescent="0.25" r="714" customHeight="1" ht="15.75">
      <c r="A714" s="1"/>
      <c r="B714" s="34"/>
      <c r="C714" s="2"/>
      <c r="D714" s="34"/>
      <c r="E714" s="34"/>
      <c r="F714" s="34"/>
      <c r="G714" s="34"/>
      <c r="H714" s="29"/>
      <c r="I714" s="29"/>
      <c r="J714" s="6"/>
      <c r="K714" s="29"/>
      <c r="L714" s="29"/>
      <c r="M714" s="29"/>
      <c r="N714" s="29"/>
      <c r="O714" s="29"/>
      <c r="P714" s="29"/>
      <c r="Q714" s="29"/>
      <c r="R714" s="29"/>
      <c r="S714" s="29"/>
      <c r="T714" s="1"/>
      <c r="U714" s="34"/>
      <c r="V714" s="34"/>
    </row>
    <row x14ac:dyDescent="0.25" r="715" customHeight="1" ht="15.75">
      <c r="A715" s="1"/>
      <c r="B715" s="34"/>
      <c r="C715" s="2"/>
      <c r="D715" s="34"/>
      <c r="E715" s="34"/>
      <c r="F715" s="34"/>
      <c r="G715" s="34"/>
      <c r="H715" s="29"/>
      <c r="I715" s="29"/>
      <c r="J715" s="6"/>
      <c r="K715" s="29"/>
      <c r="L715" s="29"/>
      <c r="M715" s="29"/>
      <c r="N715" s="29"/>
      <c r="O715" s="29"/>
      <c r="P715" s="29"/>
      <c r="Q715" s="29"/>
      <c r="R715" s="29"/>
      <c r="S715" s="29"/>
      <c r="T715" s="1"/>
      <c r="U715" s="34"/>
      <c r="V715" s="34"/>
    </row>
    <row x14ac:dyDescent="0.25" r="716" customHeight="1" ht="15.75">
      <c r="A716" s="1"/>
      <c r="B716" s="34"/>
      <c r="C716" s="2"/>
      <c r="D716" s="34"/>
      <c r="E716" s="34"/>
      <c r="F716" s="34"/>
      <c r="G716" s="34"/>
      <c r="H716" s="29"/>
      <c r="I716" s="29"/>
      <c r="J716" s="6"/>
      <c r="K716" s="29"/>
      <c r="L716" s="29"/>
      <c r="M716" s="29"/>
      <c r="N716" s="29"/>
      <c r="O716" s="29"/>
      <c r="P716" s="29"/>
      <c r="Q716" s="29"/>
      <c r="R716" s="29"/>
      <c r="S716" s="29"/>
      <c r="T716" s="1"/>
      <c r="U716" s="34"/>
      <c r="V716" s="34"/>
    </row>
    <row x14ac:dyDescent="0.25" r="717" customHeight="1" ht="15.75">
      <c r="A717" s="1"/>
      <c r="B717" s="34"/>
      <c r="C717" s="2"/>
      <c r="D717" s="34"/>
      <c r="E717" s="34"/>
      <c r="F717" s="34"/>
      <c r="G717" s="34"/>
      <c r="H717" s="29"/>
      <c r="I717" s="29"/>
      <c r="J717" s="6"/>
      <c r="K717" s="29"/>
      <c r="L717" s="29"/>
      <c r="M717" s="29"/>
      <c r="N717" s="29"/>
      <c r="O717" s="29"/>
      <c r="P717" s="29"/>
      <c r="Q717" s="29"/>
      <c r="R717" s="29"/>
      <c r="S717" s="29"/>
      <c r="T717" s="1"/>
      <c r="U717" s="34"/>
      <c r="V717" s="34"/>
    </row>
    <row x14ac:dyDescent="0.25" r="718" customHeight="1" ht="15.75">
      <c r="A718" s="1"/>
      <c r="B718" s="34"/>
      <c r="C718" s="2"/>
      <c r="D718" s="34"/>
      <c r="E718" s="34"/>
      <c r="F718" s="34"/>
      <c r="G718" s="34"/>
      <c r="H718" s="29"/>
      <c r="I718" s="29"/>
      <c r="J718" s="6"/>
      <c r="K718" s="29"/>
      <c r="L718" s="29"/>
      <c r="M718" s="29"/>
      <c r="N718" s="29"/>
      <c r="O718" s="29"/>
      <c r="P718" s="29"/>
      <c r="Q718" s="29"/>
      <c r="R718" s="29"/>
      <c r="S718" s="29"/>
      <c r="T718" s="1"/>
      <c r="U718" s="34"/>
      <c r="V718" s="34"/>
    </row>
    <row x14ac:dyDescent="0.25" r="719" customHeight="1" ht="15.75">
      <c r="A719" s="1"/>
      <c r="B719" s="34"/>
      <c r="C719" s="2"/>
      <c r="D719" s="34"/>
      <c r="E719" s="34"/>
      <c r="F719" s="34"/>
      <c r="G719" s="34"/>
      <c r="H719" s="29"/>
      <c r="I719" s="29"/>
      <c r="J719" s="6"/>
      <c r="K719" s="29"/>
      <c r="L719" s="29"/>
      <c r="M719" s="29"/>
      <c r="N719" s="29"/>
      <c r="O719" s="29"/>
      <c r="P719" s="29"/>
      <c r="Q719" s="29"/>
      <c r="R719" s="29"/>
      <c r="S719" s="29"/>
      <c r="T719" s="1"/>
      <c r="U719" s="34"/>
      <c r="V719" s="34"/>
    </row>
    <row x14ac:dyDescent="0.25" r="720" customHeight="1" ht="15.75">
      <c r="A720" s="1"/>
      <c r="B720" s="34"/>
      <c r="C720" s="2"/>
      <c r="D720" s="34"/>
      <c r="E720" s="34"/>
      <c r="F720" s="34"/>
      <c r="G720" s="34"/>
      <c r="H720" s="29"/>
      <c r="I720" s="29"/>
      <c r="J720" s="6"/>
      <c r="K720" s="29"/>
      <c r="L720" s="29"/>
      <c r="M720" s="29"/>
      <c r="N720" s="29"/>
      <c r="O720" s="29"/>
      <c r="P720" s="29"/>
      <c r="Q720" s="29"/>
      <c r="R720" s="29"/>
      <c r="S720" s="29"/>
      <c r="T720" s="1"/>
      <c r="U720" s="34"/>
      <c r="V720" s="34"/>
    </row>
    <row x14ac:dyDescent="0.25" r="721" customHeight="1" ht="15.75">
      <c r="A721" s="1"/>
      <c r="B721" s="34"/>
      <c r="C721" s="2"/>
      <c r="D721" s="34"/>
      <c r="E721" s="34"/>
      <c r="F721" s="34"/>
      <c r="G721" s="34"/>
      <c r="H721" s="29"/>
      <c r="I721" s="29"/>
      <c r="J721" s="6"/>
      <c r="K721" s="29"/>
      <c r="L721" s="29"/>
      <c r="M721" s="29"/>
      <c r="N721" s="29"/>
      <c r="O721" s="29"/>
      <c r="P721" s="29"/>
      <c r="Q721" s="29"/>
      <c r="R721" s="29"/>
      <c r="S721" s="29"/>
      <c r="T721" s="1"/>
      <c r="U721" s="34"/>
      <c r="V721" s="34"/>
    </row>
    <row x14ac:dyDescent="0.25" r="722" customHeight="1" ht="15.75">
      <c r="A722" s="1"/>
      <c r="B722" s="34"/>
      <c r="C722" s="2"/>
      <c r="D722" s="34"/>
      <c r="E722" s="34"/>
      <c r="F722" s="34"/>
      <c r="G722" s="34"/>
      <c r="H722" s="29"/>
      <c r="I722" s="29"/>
      <c r="J722" s="6"/>
      <c r="K722" s="29"/>
      <c r="L722" s="29"/>
      <c r="M722" s="29"/>
      <c r="N722" s="29"/>
      <c r="O722" s="29"/>
      <c r="P722" s="29"/>
      <c r="Q722" s="29"/>
      <c r="R722" s="29"/>
      <c r="S722" s="29"/>
      <c r="T722" s="1"/>
      <c r="U722" s="34"/>
      <c r="V722" s="34"/>
    </row>
    <row x14ac:dyDescent="0.25" r="723" customHeight="1" ht="15.75">
      <c r="A723" s="1"/>
      <c r="B723" s="34"/>
      <c r="C723" s="2"/>
      <c r="D723" s="34"/>
      <c r="E723" s="34"/>
      <c r="F723" s="34"/>
      <c r="G723" s="34"/>
      <c r="H723" s="29"/>
      <c r="I723" s="29"/>
      <c r="J723" s="6"/>
      <c r="K723" s="29"/>
      <c r="L723" s="29"/>
      <c r="M723" s="29"/>
      <c r="N723" s="29"/>
      <c r="O723" s="29"/>
      <c r="P723" s="29"/>
      <c r="Q723" s="29"/>
      <c r="R723" s="29"/>
      <c r="S723" s="29"/>
      <c r="T723" s="1"/>
      <c r="U723" s="34"/>
      <c r="V723" s="34"/>
    </row>
    <row x14ac:dyDescent="0.25" r="724" customHeight="1" ht="15.75">
      <c r="A724" s="1"/>
      <c r="B724" s="34"/>
      <c r="C724" s="2"/>
      <c r="D724" s="34"/>
      <c r="E724" s="34"/>
      <c r="F724" s="34"/>
      <c r="G724" s="34"/>
      <c r="H724" s="29"/>
      <c r="I724" s="29"/>
      <c r="J724" s="6"/>
      <c r="K724" s="29"/>
      <c r="L724" s="29"/>
      <c r="M724" s="29"/>
      <c r="N724" s="29"/>
      <c r="O724" s="29"/>
      <c r="P724" s="29"/>
      <c r="Q724" s="29"/>
      <c r="R724" s="29"/>
      <c r="S724" s="29"/>
      <c r="T724" s="1"/>
      <c r="U724" s="34"/>
      <c r="V724" s="34"/>
    </row>
    <row x14ac:dyDescent="0.25" r="725" customHeight="1" ht="15.75">
      <c r="A725" s="1"/>
      <c r="B725" s="34"/>
      <c r="C725" s="2"/>
      <c r="D725" s="34"/>
      <c r="E725" s="34"/>
      <c r="F725" s="34"/>
      <c r="G725" s="34"/>
      <c r="H725" s="29"/>
      <c r="I725" s="29"/>
      <c r="J725" s="6"/>
      <c r="K725" s="29"/>
      <c r="L725" s="29"/>
      <c r="M725" s="29"/>
      <c r="N725" s="29"/>
      <c r="O725" s="29"/>
      <c r="P725" s="29"/>
      <c r="Q725" s="29"/>
      <c r="R725" s="29"/>
      <c r="S725" s="29"/>
      <c r="T725" s="1"/>
      <c r="U725" s="34"/>
      <c r="V725" s="34"/>
    </row>
    <row x14ac:dyDescent="0.25" r="726" customHeight="1" ht="15.75">
      <c r="A726" s="1"/>
      <c r="B726" s="34"/>
      <c r="C726" s="2"/>
      <c r="D726" s="34"/>
      <c r="E726" s="34"/>
      <c r="F726" s="34"/>
      <c r="G726" s="34"/>
      <c r="H726" s="29"/>
      <c r="I726" s="29"/>
      <c r="J726" s="6"/>
      <c r="K726" s="29"/>
      <c r="L726" s="29"/>
      <c r="M726" s="29"/>
      <c r="N726" s="29"/>
      <c r="O726" s="29"/>
      <c r="P726" s="29"/>
      <c r="Q726" s="29"/>
      <c r="R726" s="29"/>
      <c r="S726" s="29"/>
      <c r="T726" s="1"/>
      <c r="U726" s="34"/>
      <c r="V726" s="34"/>
    </row>
    <row x14ac:dyDescent="0.25" r="727" customHeight="1" ht="15.75">
      <c r="A727" s="1"/>
      <c r="B727" s="34"/>
      <c r="C727" s="2"/>
      <c r="D727" s="34"/>
      <c r="E727" s="34"/>
      <c r="F727" s="34"/>
      <c r="G727" s="34"/>
      <c r="H727" s="29"/>
      <c r="I727" s="29"/>
      <c r="J727" s="6"/>
      <c r="K727" s="29"/>
      <c r="L727" s="29"/>
      <c r="M727" s="29"/>
      <c r="N727" s="29"/>
      <c r="O727" s="29"/>
      <c r="P727" s="29"/>
      <c r="Q727" s="29"/>
      <c r="R727" s="29"/>
      <c r="S727" s="29"/>
      <c r="T727" s="1"/>
      <c r="U727" s="34"/>
      <c r="V727" s="34"/>
    </row>
    <row x14ac:dyDescent="0.25" r="728" customHeight="1" ht="15.75">
      <c r="A728" s="1"/>
      <c r="B728" s="34"/>
      <c r="C728" s="2"/>
      <c r="D728" s="34"/>
      <c r="E728" s="34"/>
      <c r="F728" s="34"/>
      <c r="G728" s="34"/>
      <c r="H728" s="29"/>
      <c r="I728" s="29"/>
      <c r="J728" s="6"/>
      <c r="K728" s="29"/>
      <c r="L728" s="29"/>
      <c r="M728" s="29"/>
      <c r="N728" s="29"/>
      <c r="O728" s="29"/>
      <c r="P728" s="29"/>
      <c r="Q728" s="29"/>
      <c r="R728" s="29"/>
      <c r="S728" s="29"/>
      <c r="T728" s="1"/>
      <c r="U728" s="34"/>
      <c r="V728" s="34"/>
    </row>
    <row x14ac:dyDescent="0.25" r="729" customHeight="1" ht="15.75">
      <c r="A729" s="1"/>
      <c r="B729" s="34"/>
      <c r="C729" s="2"/>
      <c r="D729" s="34"/>
      <c r="E729" s="34"/>
      <c r="F729" s="34"/>
      <c r="G729" s="34"/>
      <c r="H729" s="29"/>
      <c r="I729" s="29"/>
      <c r="J729" s="6"/>
      <c r="K729" s="29"/>
      <c r="L729" s="29"/>
      <c r="M729" s="29"/>
      <c r="N729" s="29"/>
      <c r="O729" s="29"/>
      <c r="P729" s="29"/>
      <c r="Q729" s="29"/>
      <c r="R729" s="29"/>
      <c r="S729" s="29"/>
      <c r="T729" s="1"/>
      <c r="U729" s="34"/>
      <c r="V729" s="34"/>
    </row>
    <row x14ac:dyDescent="0.25" r="730" customHeight="1" ht="15.75">
      <c r="A730" s="1"/>
      <c r="B730" s="34"/>
      <c r="C730" s="2"/>
      <c r="D730" s="34"/>
      <c r="E730" s="34"/>
      <c r="F730" s="34"/>
      <c r="G730" s="34"/>
      <c r="H730" s="29"/>
      <c r="I730" s="29"/>
      <c r="J730" s="6"/>
      <c r="K730" s="29"/>
      <c r="L730" s="29"/>
      <c r="M730" s="29"/>
      <c r="N730" s="29"/>
      <c r="O730" s="29"/>
      <c r="P730" s="29"/>
      <c r="Q730" s="29"/>
      <c r="R730" s="29"/>
      <c r="S730" s="29"/>
      <c r="T730" s="1"/>
      <c r="U730" s="34"/>
      <c r="V730" s="34"/>
    </row>
    <row x14ac:dyDescent="0.25" r="731" customHeight="1" ht="15.75">
      <c r="A731" s="1"/>
      <c r="B731" s="34"/>
      <c r="C731" s="2"/>
      <c r="D731" s="34"/>
      <c r="E731" s="34"/>
      <c r="F731" s="34"/>
      <c r="G731" s="34"/>
      <c r="H731" s="29"/>
      <c r="I731" s="29"/>
      <c r="J731" s="6"/>
      <c r="K731" s="29"/>
      <c r="L731" s="29"/>
      <c r="M731" s="29"/>
      <c r="N731" s="29"/>
      <c r="O731" s="29"/>
      <c r="P731" s="29"/>
      <c r="Q731" s="29"/>
      <c r="R731" s="29"/>
      <c r="S731" s="29"/>
      <c r="T731" s="1"/>
      <c r="U731" s="34"/>
      <c r="V731" s="34"/>
    </row>
    <row x14ac:dyDescent="0.25" r="732" customHeight="1" ht="15.75">
      <c r="A732" s="1"/>
      <c r="B732" s="34"/>
      <c r="C732" s="2"/>
      <c r="D732" s="34"/>
      <c r="E732" s="34"/>
      <c r="F732" s="34"/>
      <c r="G732" s="34"/>
      <c r="H732" s="29"/>
      <c r="I732" s="29"/>
      <c r="J732" s="6"/>
      <c r="K732" s="29"/>
      <c r="L732" s="29"/>
      <c r="M732" s="29"/>
      <c r="N732" s="29"/>
      <c r="O732" s="29"/>
      <c r="P732" s="29"/>
      <c r="Q732" s="29"/>
      <c r="R732" s="29"/>
      <c r="S732" s="29"/>
      <c r="T732" s="1"/>
      <c r="U732" s="34"/>
      <c r="V732" s="34"/>
    </row>
    <row x14ac:dyDescent="0.25" r="733" customHeight="1" ht="15.75">
      <c r="A733" s="1"/>
      <c r="B733" s="34"/>
      <c r="C733" s="2"/>
      <c r="D733" s="34"/>
      <c r="E733" s="34"/>
      <c r="F733" s="34"/>
      <c r="G733" s="34"/>
      <c r="H733" s="29"/>
      <c r="I733" s="29"/>
      <c r="J733" s="6"/>
      <c r="K733" s="29"/>
      <c r="L733" s="29"/>
      <c r="M733" s="29"/>
      <c r="N733" s="29"/>
      <c r="O733" s="29"/>
      <c r="P733" s="29"/>
      <c r="Q733" s="29"/>
      <c r="R733" s="29"/>
      <c r="S733" s="29"/>
      <c r="T733" s="1"/>
      <c r="U733" s="34"/>
      <c r="V733" s="34"/>
    </row>
    <row x14ac:dyDescent="0.25" r="734" customHeight="1" ht="15.75">
      <c r="A734" s="1"/>
      <c r="B734" s="34"/>
      <c r="C734" s="2"/>
      <c r="D734" s="34"/>
      <c r="E734" s="34"/>
      <c r="F734" s="34"/>
      <c r="G734" s="34"/>
      <c r="H734" s="29"/>
      <c r="I734" s="29"/>
      <c r="J734" s="6"/>
      <c r="K734" s="29"/>
      <c r="L734" s="29"/>
      <c r="M734" s="29"/>
      <c r="N734" s="29"/>
      <c r="O734" s="29"/>
      <c r="P734" s="29"/>
      <c r="Q734" s="29"/>
      <c r="R734" s="29"/>
      <c r="S734" s="29"/>
      <c r="T734" s="1"/>
      <c r="U734" s="34"/>
      <c r="V734" s="34"/>
    </row>
    <row x14ac:dyDescent="0.25" r="735" customHeight="1" ht="15.75">
      <c r="A735" s="1"/>
      <c r="B735" s="34"/>
      <c r="C735" s="2"/>
      <c r="D735" s="34"/>
      <c r="E735" s="34"/>
      <c r="F735" s="34"/>
      <c r="G735" s="34"/>
      <c r="H735" s="29"/>
      <c r="I735" s="29"/>
      <c r="J735" s="6"/>
      <c r="K735" s="29"/>
      <c r="L735" s="29"/>
      <c r="M735" s="29"/>
      <c r="N735" s="29"/>
      <c r="O735" s="29"/>
      <c r="P735" s="29"/>
      <c r="Q735" s="29"/>
      <c r="R735" s="29"/>
      <c r="S735" s="29"/>
      <c r="T735" s="1"/>
      <c r="U735" s="34"/>
      <c r="V735" s="34"/>
    </row>
    <row x14ac:dyDescent="0.25" r="736" customHeight="1" ht="15.75">
      <c r="A736" s="1"/>
      <c r="B736" s="34"/>
      <c r="C736" s="2"/>
      <c r="D736" s="34"/>
      <c r="E736" s="34"/>
      <c r="F736" s="34"/>
      <c r="G736" s="34"/>
      <c r="H736" s="29"/>
      <c r="I736" s="29"/>
      <c r="J736" s="6"/>
      <c r="K736" s="29"/>
      <c r="L736" s="29"/>
      <c r="M736" s="29"/>
      <c r="N736" s="29"/>
      <c r="O736" s="29"/>
      <c r="P736" s="29"/>
      <c r="Q736" s="29"/>
      <c r="R736" s="29"/>
      <c r="S736" s="29"/>
      <c r="T736" s="1"/>
      <c r="U736" s="34"/>
      <c r="V736" s="34"/>
    </row>
    <row x14ac:dyDescent="0.25" r="737" customHeight="1" ht="15.75">
      <c r="A737" s="1"/>
      <c r="B737" s="34"/>
      <c r="C737" s="2"/>
      <c r="D737" s="34"/>
      <c r="E737" s="34"/>
      <c r="F737" s="34"/>
      <c r="G737" s="34"/>
      <c r="H737" s="29"/>
      <c r="I737" s="29"/>
      <c r="J737" s="6"/>
      <c r="K737" s="29"/>
      <c r="L737" s="29"/>
      <c r="M737" s="29"/>
      <c r="N737" s="29"/>
      <c r="O737" s="29"/>
      <c r="P737" s="29"/>
      <c r="Q737" s="29"/>
      <c r="R737" s="29"/>
      <c r="S737" s="29"/>
      <c r="T737" s="1"/>
      <c r="U737" s="34"/>
      <c r="V737" s="34"/>
    </row>
    <row x14ac:dyDescent="0.25" r="738" customHeight="1" ht="15.75">
      <c r="A738" s="1"/>
      <c r="B738" s="34"/>
      <c r="C738" s="2"/>
      <c r="D738" s="34"/>
      <c r="E738" s="34"/>
      <c r="F738" s="34"/>
      <c r="G738" s="34"/>
      <c r="H738" s="29"/>
      <c r="I738" s="29"/>
      <c r="J738" s="6"/>
      <c r="K738" s="29"/>
      <c r="L738" s="29"/>
      <c r="M738" s="29"/>
      <c r="N738" s="29"/>
      <c r="O738" s="29"/>
      <c r="P738" s="29"/>
      <c r="Q738" s="29"/>
      <c r="R738" s="29"/>
      <c r="S738" s="29"/>
      <c r="T738" s="1"/>
      <c r="U738" s="34"/>
      <c r="V738" s="34"/>
    </row>
    <row x14ac:dyDescent="0.25" r="739" customHeight="1" ht="15.75">
      <c r="A739" s="1"/>
      <c r="B739" s="34"/>
      <c r="C739" s="2"/>
      <c r="D739" s="34"/>
      <c r="E739" s="34"/>
      <c r="F739" s="34"/>
      <c r="G739" s="34"/>
      <c r="H739" s="29"/>
      <c r="I739" s="29"/>
      <c r="J739" s="6"/>
      <c r="K739" s="29"/>
      <c r="L739" s="29"/>
      <c r="M739" s="29"/>
      <c r="N739" s="29"/>
      <c r="O739" s="29"/>
      <c r="P739" s="29"/>
      <c r="Q739" s="29"/>
      <c r="R739" s="29"/>
      <c r="S739" s="29"/>
      <c r="T739" s="1"/>
      <c r="U739" s="34"/>
      <c r="V739" s="34"/>
    </row>
    <row x14ac:dyDescent="0.25" r="740" customHeight="1" ht="15.75">
      <c r="A740" s="1"/>
      <c r="B740" s="34"/>
      <c r="C740" s="2"/>
      <c r="D740" s="34"/>
      <c r="E740" s="34"/>
      <c r="F740" s="34"/>
      <c r="G740" s="34"/>
      <c r="H740" s="29"/>
      <c r="I740" s="29"/>
      <c r="J740" s="6"/>
      <c r="K740" s="29"/>
      <c r="L740" s="29"/>
      <c r="M740" s="29"/>
      <c r="N740" s="29"/>
      <c r="O740" s="29"/>
      <c r="P740" s="29"/>
      <c r="Q740" s="29"/>
      <c r="R740" s="29"/>
      <c r="S740" s="29"/>
      <c r="T740" s="1"/>
      <c r="U740" s="34"/>
      <c r="V740" s="34"/>
    </row>
    <row x14ac:dyDescent="0.25" r="741" customHeight="1" ht="15.75">
      <c r="A741" s="1"/>
      <c r="B741" s="34"/>
      <c r="C741" s="2"/>
      <c r="D741" s="34"/>
      <c r="E741" s="34"/>
      <c r="F741" s="34"/>
      <c r="G741" s="34"/>
      <c r="H741" s="29"/>
      <c r="I741" s="29"/>
      <c r="J741" s="6"/>
      <c r="K741" s="29"/>
      <c r="L741" s="29"/>
      <c r="M741" s="29"/>
      <c r="N741" s="29"/>
      <c r="O741" s="29"/>
      <c r="P741" s="29"/>
      <c r="Q741" s="29"/>
      <c r="R741" s="29"/>
      <c r="S741" s="29"/>
      <c r="T741" s="1"/>
      <c r="U741" s="34"/>
      <c r="V741" s="34"/>
    </row>
    <row x14ac:dyDescent="0.25" r="742" customHeight="1" ht="15.75">
      <c r="A742" s="1"/>
      <c r="B742" s="34"/>
      <c r="C742" s="2"/>
      <c r="D742" s="34"/>
      <c r="E742" s="34"/>
      <c r="F742" s="34"/>
      <c r="G742" s="34"/>
      <c r="H742" s="29"/>
      <c r="I742" s="29"/>
      <c r="J742" s="6"/>
      <c r="K742" s="29"/>
      <c r="L742" s="29"/>
      <c r="M742" s="29"/>
      <c r="N742" s="29"/>
      <c r="O742" s="29"/>
      <c r="P742" s="29"/>
      <c r="Q742" s="29"/>
      <c r="R742" s="29"/>
      <c r="S742" s="29"/>
      <c r="T742" s="1"/>
      <c r="U742" s="34"/>
      <c r="V742" s="34"/>
    </row>
    <row x14ac:dyDescent="0.25" r="743" customHeight="1" ht="15.75">
      <c r="A743" s="1"/>
      <c r="B743" s="34"/>
      <c r="C743" s="2"/>
      <c r="D743" s="34"/>
      <c r="E743" s="34"/>
      <c r="F743" s="34"/>
      <c r="G743" s="34"/>
      <c r="H743" s="29"/>
      <c r="I743" s="29"/>
      <c r="J743" s="6"/>
      <c r="K743" s="29"/>
      <c r="L743" s="29"/>
      <c r="M743" s="29"/>
      <c r="N743" s="29"/>
      <c r="O743" s="29"/>
      <c r="P743" s="29"/>
      <c r="Q743" s="29"/>
      <c r="R743" s="29"/>
      <c r="S743" s="29"/>
      <c r="T743" s="1"/>
      <c r="U743" s="34"/>
      <c r="V743" s="34"/>
    </row>
    <row x14ac:dyDescent="0.25" r="744" customHeight="1" ht="15.75">
      <c r="A744" s="1"/>
      <c r="B744" s="34"/>
      <c r="C744" s="2"/>
      <c r="D744" s="34"/>
      <c r="E744" s="34"/>
      <c r="F744" s="34"/>
      <c r="G744" s="34"/>
      <c r="H744" s="29"/>
      <c r="I744" s="29"/>
      <c r="J744" s="6"/>
      <c r="K744" s="29"/>
      <c r="L744" s="29"/>
      <c r="M744" s="29"/>
      <c r="N744" s="29"/>
      <c r="O744" s="29"/>
      <c r="P744" s="29"/>
      <c r="Q744" s="29"/>
      <c r="R744" s="29"/>
      <c r="S744" s="29"/>
      <c r="T744" s="1"/>
      <c r="U744" s="34"/>
      <c r="V744" s="34"/>
    </row>
    <row x14ac:dyDescent="0.25" r="745" customHeight="1" ht="15.75">
      <c r="A745" s="1"/>
      <c r="B745" s="34"/>
      <c r="C745" s="2"/>
      <c r="D745" s="34"/>
      <c r="E745" s="34"/>
      <c r="F745" s="34"/>
      <c r="G745" s="34"/>
      <c r="H745" s="29"/>
      <c r="I745" s="29"/>
      <c r="J745" s="6"/>
      <c r="K745" s="29"/>
      <c r="L745" s="29"/>
      <c r="M745" s="29"/>
      <c r="N745" s="29"/>
      <c r="O745" s="29"/>
      <c r="P745" s="29"/>
      <c r="Q745" s="29"/>
      <c r="R745" s="29"/>
      <c r="S745" s="29"/>
      <c r="T745" s="1"/>
      <c r="U745" s="34"/>
      <c r="V745" s="34"/>
    </row>
    <row x14ac:dyDescent="0.25" r="746" customHeight="1" ht="15.75">
      <c r="A746" s="1"/>
      <c r="B746" s="34"/>
      <c r="C746" s="2"/>
      <c r="D746" s="34"/>
      <c r="E746" s="34"/>
      <c r="F746" s="34"/>
      <c r="G746" s="34"/>
      <c r="H746" s="29"/>
      <c r="I746" s="29"/>
      <c r="J746" s="6"/>
      <c r="K746" s="29"/>
      <c r="L746" s="29"/>
      <c r="M746" s="29"/>
      <c r="N746" s="29"/>
      <c r="O746" s="29"/>
      <c r="P746" s="29"/>
      <c r="Q746" s="29"/>
      <c r="R746" s="29"/>
      <c r="S746" s="29"/>
      <c r="T746" s="1"/>
      <c r="U746" s="34"/>
      <c r="V746" s="34"/>
    </row>
    <row x14ac:dyDescent="0.25" r="747" customHeight="1" ht="15.75">
      <c r="A747" s="1"/>
      <c r="B747" s="34"/>
      <c r="C747" s="2"/>
      <c r="D747" s="34"/>
      <c r="E747" s="34"/>
      <c r="F747" s="34"/>
      <c r="G747" s="34"/>
      <c r="H747" s="29"/>
      <c r="I747" s="29"/>
      <c r="J747" s="6"/>
      <c r="K747" s="29"/>
      <c r="L747" s="29"/>
      <c r="M747" s="29"/>
      <c r="N747" s="29"/>
      <c r="O747" s="29"/>
      <c r="P747" s="29"/>
      <c r="Q747" s="29"/>
      <c r="R747" s="29"/>
      <c r="S747" s="29"/>
      <c r="T747" s="1"/>
      <c r="U747" s="34"/>
      <c r="V747" s="34"/>
    </row>
    <row x14ac:dyDescent="0.25" r="748" customHeight="1" ht="15.75">
      <c r="A748" s="1"/>
      <c r="B748" s="34"/>
      <c r="C748" s="2"/>
      <c r="D748" s="34"/>
      <c r="E748" s="34"/>
      <c r="F748" s="34"/>
      <c r="G748" s="34"/>
      <c r="H748" s="29"/>
      <c r="I748" s="29"/>
      <c r="J748" s="6"/>
      <c r="K748" s="29"/>
      <c r="L748" s="29"/>
      <c r="M748" s="29"/>
      <c r="N748" s="29"/>
      <c r="O748" s="29"/>
      <c r="P748" s="29"/>
      <c r="Q748" s="29"/>
      <c r="R748" s="29"/>
      <c r="S748" s="29"/>
      <c r="T748" s="1"/>
      <c r="U748" s="34"/>
      <c r="V748" s="34"/>
    </row>
    <row x14ac:dyDescent="0.25" r="749" customHeight="1" ht="15.75">
      <c r="A749" s="1"/>
      <c r="B749" s="34"/>
      <c r="C749" s="2"/>
      <c r="D749" s="34"/>
      <c r="E749" s="34"/>
      <c r="F749" s="34"/>
      <c r="G749" s="34"/>
      <c r="H749" s="29"/>
      <c r="I749" s="29"/>
      <c r="J749" s="6"/>
      <c r="K749" s="29"/>
      <c r="L749" s="29"/>
      <c r="M749" s="29"/>
      <c r="N749" s="29"/>
      <c r="O749" s="29"/>
      <c r="P749" s="29"/>
      <c r="Q749" s="29"/>
      <c r="R749" s="29"/>
      <c r="S749" s="29"/>
      <c r="T749" s="1"/>
      <c r="U749" s="34"/>
      <c r="V749" s="34"/>
    </row>
    <row x14ac:dyDescent="0.25" r="750" customHeight="1" ht="15.75">
      <c r="A750" s="1"/>
      <c r="B750" s="34"/>
      <c r="C750" s="2"/>
      <c r="D750" s="34"/>
      <c r="E750" s="34"/>
      <c r="F750" s="34"/>
      <c r="G750" s="34"/>
      <c r="H750" s="29"/>
      <c r="I750" s="29"/>
      <c r="J750" s="6"/>
      <c r="K750" s="29"/>
      <c r="L750" s="29"/>
      <c r="M750" s="29"/>
      <c r="N750" s="29"/>
      <c r="O750" s="29"/>
      <c r="P750" s="29"/>
      <c r="Q750" s="29"/>
      <c r="R750" s="29"/>
      <c r="S750" s="29"/>
      <c r="T750" s="1"/>
      <c r="U750" s="34"/>
      <c r="V750" s="34"/>
    </row>
    <row x14ac:dyDescent="0.25" r="751" customHeight="1" ht="15.75">
      <c r="A751" s="1"/>
      <c r="B751" s="34"/>
      <c r="C751" s="2"/>
      <c r="D751" s="34"/>
      <c r="E751" s="34"/>
      <c r="F751" s="34"/>
      <c r="G751" s="34"/>
      <c r="H751" s="29"/>
      <c r="I751" s="29"/>
      <c r="J751" s="6"/>
      <c r="K751" s="29"/>
      <c r="L751" s="29"/>
      <c r="M751" s="29"/>
      <c r="N751" s="29"/>
      <c r="O751" s="29"/>
      <c r="P751" s="29"/>
      <c r="Q751" s="29"/>
      <c r="R751" s="29"/>
      <c r="S751" s="29"/>
      <c r="T751" s="1"/>
      <c r="U751" s="34"/>
      <c r="V751" s="34"/>
    </row>
    <row x14ac:dyDescent="0.25" r="752" customHeight="1" ht="15.75">
      <c r="A752" s="1"/>
      <c r="B752" s="34"/>
      <c r="C752" s="2"/>
      <c r="D752" s="34"/>
      <c r="E752" s="34"/>
      <c r="F752" s="34"/>
      <c r="G752" s="34"/>
      <c r="H752" s="29"/>
      <c r="I752" s="29"/>
      <c r="J752" s="6"/>
      <c r="K752" s="29"/>
      <c r="L752" s="29"/>
      <c r="M752" s="29"/>
      <c r="N752" s="29"/>
      <c r="O752" s="29"/>
      <c r="P752" s="29"/>
      <c r="Q752" s="29"/>
      <c r="R752" s="29"/>
      <c r="S752" s="29"/>
      <c r="T752" s="1"/>
      <c r="U752" s="34"/>
      <c r="V752" s="34"/>
    </row>
    <row x14ac:dyDescent="0.25" r="753" customHeight="1" ht="15.75">
      <c r="A753" s="1"/>
      <c r="B753" s="34"/>
      <c r="C753" s="2"/>
      <c r="D753" s="34"/>
      <c r="E753" s="34"/>
      <c r="F753" s="34"/>
      <c r="G753" s="34"/>
      <c r="H753" s="29"/>
      <c r="I753" s="29"/>
      <c r="J753" s="6"/>
      <c r="K753" s="29"/>
      <c r="L753" s="29"/>
      <c r="M753" s="29"/>
      <c r="N753" s="29"/>
      <c r="O753" s="29"/>
      <c r="P753" s="29"/>
      <c r="Q753" s="29"/>
      <c r="R753" s="29"/>
      <c r="S753" s="29"/>
      <c r="T753" s="1"/>
      <c r="U753" s="34"/>
      <c r="V753" s="34"/>
    </row>
    <row x14ac:dyDescent="0.25" r="754" customHeight="1" ht="15.75">
      <c r="A754" s="1"/>
      <c r="B754" s="34"/>
      <c r="C754" s="2"/>
      <c r="D754" s="34"/>
      <c r="E754" s="34"/>
      <c r="F754" s="34"/>
      <c r="G754" s="34"/>
      <c r="H754" s="29"/>
      <c r="I754" s="29"/>
      <c r="J754" s="6"/>
      <c r="K754" s="29"/>
      <c r="L754" s="29"/>
      <c r="M754" s="29"/>
      <c r="N754" s="29"/>
      <c r="O754" s="29"/>
      <c r="P754" s="29"/>
      <c r="Q754" s="29"/>
      <c r="R754" s="29"/>
      <c r="S754" s="29"/>
      <c r="T754" s="1"/>
      <c r="U754" s="34"/>
      <c r="V754" s="34"/>
    </row>
    <row x14ac:dyDescent="0.25" r="755" customHeight="1" ht="15.75">
      <c r="A755" s="1"/>
      <c r="B755" s="34"/>
      <c r="C755" s="2"/>
      <c r="D755" s="34"/>
      <c r="E755" s="34"/>
      <c r="F755" s="34"/>
      <c r="G755" s="34"/>
      <c r="H755" s="29"/>
      <c r="I755" s="29"/>
      <c r="J755" s="6"/>
      <c r="K755" s="29"/>
      <c r="L755" s="29"/>
      <c r="M755" s="29"/>
      <c r="N755" s="29"/>
      <c r="O755" s="29"/>
      <c r="P755" s="29"/>
      <c r="Q755" s="29"/>
      <c r="R755" s="29"/>
      <c r="S755" s="29"/>
      <c r="T755" s="1"/>
      <c r="U755" s="34"/>
      <c r="V755" s="34"/>
    </row>
    <row x14ac:dyDescent="0.25" r="756" customHeight="1" ht="15.75">
      <c r="A756" s="1"/>
      <c r="B756" s="34"/>
      <c r="C756" s="2"/>
      <c r="D756" s="34"/>
      <c r="E756" s="34"/>
      <c r="F756" s="34"/>
      <c r="G756" s="34"/>
      <c r="H756" s="29"/>
      <c r="I756" s="29"/>
      <c r="J756" s="6"/>
      <c r="K756" s="29"/>
      <c r="L756" s="29"/>
      <c r="M756" s="29"/>
      <c r="N756" s="29"/>
      <c r="O756" s="29"/>
      <c r="P756" s="29"/>
      <c r="Q756" s="29"/>
      <c r="R756" s="29"/>
      <c r="S756" s="29"/>
      <c r="T756" s="1"/>
      <c r="U756" s="34"/>
      <c r="V756" s="34"/>
    </row>
    <row x14ac:dyDescent="0.25" r="757" customHeight="1" ht="15.75">
      <c r="A757" s="1"/>
      <c r="B757" s="34"/>
      <c r="C757" s="2"/>
      <c r="D757" s="34"/>
      <c r="E757" s="34"/>
      <c r="F757" s="34"/>
      <c r="G757" s="34"/>
      <c r="H757" s="29"/>
      <c r="I757" s="29"/>
      <c r="J757" s="6"/>
      <c r="K757" s="29"/>
      <c r="L757" s="29"/>
      <c r="M757" s="29"/>
      <c r="N757" s="29"/>
      <c r="O757" s="29"/>
      <c r="P757" s="29"/>
      <c r="Q757" s="29"/>
      <c r="R757" s="29"/>
      <c r="S757" s="29"/>
      <c r="T757" s="1"/>
      <c r="U757" s="34"/>
      <c r="V757" s="34"/>
    </row>
    <row x14ac:dyDescent="0.25" r="758" customHeight="1" ht="15.75">
      <c r="A758" s="1"/>
      <c r="B758" s="34"/>
      <c r="C758" s="2"/>
      <c r="D758" s="34"/>
      <c r="E758" s="34"/>
      <c r="F758" s="34"/>
      <c r="G758" s="34"/>
      <c r="H758" s="29"/>
      <c r="I758" s="29"/>
      <c r="J758" s="6"/>
      <c r="K758" s="29"/>
      <c r="L758" s="29"/>
      <c r="M758" s="29"/>
      <c r="N758" s="29"/>
      <c r="O758" s="29"/>
      <c r="P758" s="29"/>
      <c r="Q758" s="29"/>
      <c r="R758" s="29"/>
      <c r="S758" s="29"/>
      <c r="T758" s="1"/>
      <c r="U758" s="34"/>
      <c r="V758" s="34"/>
    </row>
    <row x14ac:dyDescent="0.25" r="759" customHeight="1" ht="15.75">
      <c r="A759" s="1"/>
      <c r="B759" s="34"/>
      <c r="C759" s="2"/>
      <c r="D759" s="34"/>
      <c r="E759" s="34"/>
      <c r="F759" s="34"/>
      <c r="G759" s="34"/>
      <c r="H759" s="29"/>
      <c r="I759" s="29"/>
      <c r="J759" s="6"/>
      <c r="K759" s="29"/>
      <c r="L759" s="29"/>
      <c r="M759" s="29"/>
      <c r="N759" s="29"/>
      <c r="O759" s="29"/>
      <c r="P759" s="29"/>
      <c r="Q759" s="29"/>
      <c r="R759" s="29"/>
      <c r="S759" s="29"/>
      <c r="T759" s="1"/>
      <c r="U759" s="34"/>
      <c r="V759" s="34"/>
    </row>
    <row x14ac:dyDescent="0.25" r="760" customHeight="1" ht="15.75">
      <c r="A760" s="1"/>
      <c r="B760" s="34"/>
      <c r="C760" s="2"/>
      <c r="D760" s="34"/>
      <c r="E760" s="34"/>
      <c r="F760" s="34"/>
      <c r="G760" s="34"/>
      <c r="H760" s="29"/>
      <c r="I760" s="29"/>
      <c r="J760" s="6"/>
      <c r="K760" s="29"/>
      <c r="L760" s="29"/>
      <c r="M760" s="29"/>
      <c r="N760" s="29"/>
      <c r="O760" s="29"/>
      <c r="P760" s="29"/>
      <c r="Q760" s="29"/>
      <c r="R760" s="29"/>
      <c r="S760" s="29"/>
      <c r="T760" s="1"/>
      <c r="U760" s="34"/>
      <c r="V760" s="34"/>
    </row>
    <row x14ac:dyDescent="0.25" r="761" customHeight="1" ht="15.75">
      <c r="A761" s="1"/>
      <c r="B761" s="34"/>
      <c r="C761" s="2"/>
      <c r="D761" s="34"/>
      <c r="E761" s="34"/>
      <c r="F761" s="34"/>
      <c r="G761" s="34"/>
      <c r="H761" s="29"/>
      <c r="I761" s="29"/>
      <c r="J761" s="6"/>
      <c r="K761" s="29"/>
      <c r="L761" s="29"/>
      <c r="M761" s="29"/>
      <c r="N761" s="29"/>
      <c r="O761" s="29"/>
      <c r="P761" s="29"/>
      <c r="Q761" s="29"/>
      <c r="R761" s="29"/>
      <c r="S761" s="29"/>
      <c r="T761" s="1"/>
      <c r="U761" s="34"/>
      <c r="V761" s="34"/>
    </row>
    <row x14ac:dyDescent="0.25" r="762" customHeight="1" ht="15.75">
      <c r="A762" s="1"/>
      <c r="B762" s="34"/>
      <c r="C762" s="2"/>
      <c r="D762" s="34"/>
      <c r="E762" s="34"/>
      <c r="F762" s="34"/>
      <c r="G762" s="34"/>
      <c r="H762" s="29"/>
      <c r="I762" s="29"/>
      <c r="J762" s="6"/>
      <c r="K762" s="29"/>
      <c r="L762" s="29"/>
      <c r="M762" s="29"/>
      <c r="N762" s="29"/>
      <c r="O762" s="29"/>
      <c r="P762" s="29"/>
      <c r="Q762" s="29"/>
      <c r="R762" s="29"/>
      <c r="S762" s="29"/>
      <c r="T762" s="1"/>
      <c r="U762" s="34"/>
      <c r="V762" s="34"/>
    </row>
    <row x14ac:dyDescent="0.25" r="763" customHeight="1" ht="15.75">
      <c r="A763" s="1"/>
      <c r="B763" s="34"/>
      <c r="C763" s="2"/>
      <c r="D763" s="34"/>
      <c r="E763" s="34"/>
      <c r="F763" s="34"/>
      <c r="G763" s="34"/>
      <c r="H763" s="29"/>
      <c r="I763" s="29"/>
      <c r="J763" s="6"/>
      <c r="K763" s="29"/>
      <c r="L763" s="29"/>
      <c r="M763" s="29"/>
      <c r="N763" s="29"/>
      <c r="O763" s="29"/>
      <c r="P763" s="29"/>
      <c r="Q763" s="29"/>
      <c r="R763" s="29"/>
      <c r="S763" s="29"/>
      <c r="T763" s="1"/>
      <c r="U763" s="34"/>
      <c r="V763" s="34"/>
    </row>
    <row x14ac:dyDescent="0.25" r="764" customHeight="1" ht="15.75">
      <c r="A764" s="1"/>
      <c r="B764" s="34"/>
      <c r="C764" s="2"/>
      <c r="D764" s="34"/>
      <c r="E764" s="34"/>
      <c r="F764" s="34"/>
      <c r="G764" s="34"/>
      <c r="H764" s="29"/>
      <c r="I764" s="29"/>
      <c r="J764" s="6"/>
      <c r="K764" s="29"/>
      <c r="L764" s="29"/>
      <c r="M764" s="29"/>
      <c r="N764" s="29"/>
      <c r="O764" s="29"/>
      <c r="P764" s="29"/>
      <c r="Q764" s="29"/>
      <c r="R764" s="29"/>
      <c r="S764" s="29"/>
      <c r="T764" s="1"/>
      <c r="U764" s="34"/>
      <c r="V764" s="34"/>
    </row>
    <row x14ac:dyDescent="0.25" r="765" customHeight="1" ht="15.75">
      <c r="A765" s="1"/>
      <c r="B765" s="34"/>
      <c r="C765" s="2"/>
      <c r="D765" s="34"/>
      <c r="E765" s="34"/>
      <c r="F765" s="34"/>
      <c r="G765" s="34"/>
      <c r="H765" s="29"/>
      <c r="I765" s="29"/>
      <c r="J765" s="6"/>
      <c r="K765" s="29"/>
      <c r="L765" s="29"/>
      <c r="M765" s="29"/>
      <c r="N765" s="29"/>
      <c r="O765" s="29"/>
      <c r="P765" s="29"/>
      <c r="Q765" s="29"/>
      <c r="R765" s="29"/>
      <c r="S765" s="29"/>
      <c r="T765" s="1"/>
      <c r="U765" s="34"/>
      <c r="V765" s="34"/>
    </row>
    <row x14ac:dyDescent="0.25" r="766" customHeight="1" ht="15.75">
      <c r="A766" s="1"/>
      <c r="B766" s="34"/>
      <c r="C766" s="2"/>
      <c r="D766" s="34"/>
      <c r="E766" s="34"/>
      <c r="F766" s="34"/>
      <c r="G766" s="34"/>
      <c r="H766" s="29"/>
      <c r="I766" s="29"/>
      <c r="J766" s="6"/>
      <c r="K766" s="29"/>
      <c r="L766" s="29"/>
      <c r="M766" s="29"/>
      <c r="N766" s="29"/>
      <c r="O766" s="29"/>
      <c r="P766" s="29"/>
      <c r="Q766" s="29"/>
      <c r="R766" s="29"/>
      <c r="S766" s="29"/>
      <c r="T766" s="1"/>
      <c r="U766" s="34"/>
      <c r="V766" s="34"/>
    </row>
    <row x14ac:dyDescent="0.25" r="767" customHeight="1" ht="15.75">
      <c r="A767" s="1"/>
      <c r="B767" s="34"/>
      <c r="C767" s="2"/>
      <c r="D767" s="34"/>
      <c r="E767" s="34"/>
      <c r="F767" s="34"/>
      <c r="G767" s="34"/>
      <c r="H767" s="29"/>
      <c r="I767" s="29"/>
      <c r="J767" s="6"/>
      <c r="K767" s="29"/>
      <c r="L767" s="29"/>
      <c r="M767" s="29"/>
      <c r="N767" s="29"/>
      <c r="O767" s="29"/>
      <c r="P767" s="29"/>
      <c r="Q767" s="29"/>
      <c r="R767" s="29"/>
      <c r="S767" s="29"/>
      <c r="T767" s="1"/>
      <c r="U767" s="34"/>
      <c r="V767" s="34"/>
    </row>
    <row x14ac:dyDescent="0.25" r="768" customHeight="1" ht="15.75">
      <c r="A768" s="1"/>
      <c r="B768" s="34"/>
      <c r="C768" s="2"/>
      <c r="D768" s="34"/>
      <c r="E768" s="34"/>
      <c r="F768" s="34"/>
      <c r="G768" s="34"/>
      <c r="H768" s="29"/>
      <c r="I768" s="29"/>
      <c r="J768" s="6"/>
      <c r="K768" s="29"/>
      <c r="L768" s="29"/>
      <c r="M768" s="29"/>
      <c r="N768" s="29"/>
      <c r="O768" s="29"/>
      <c r="P768" s="29"/>
      <c r="Q768" s="29"/>
      <c r="R768" s="29"/>
      <c r="S768" s="29"/>
      <c r="T768" s="1"/>
      <c r="U768" s="34"/>
      <c r="V768" s="34"/>
    </row>
    <row x14ac:dyDescent="0.25" r="769" customHeight="1" ht="15.75">
      <c r="A769" s="1"/>
      <c r="B769" s="34"/>
      <c r="C769" s="2"/>
      <c r="D769" s="34"/>
      <c r="E769" s="34"/>
      <c r="F769" s="34"/>
      <c r="G769" s="34"/>
      <c r="H769" s="29"/>
      <c r="I769" s="29"/>
      <c r="J769" s="6"/>
      <c r="K769" s="29"/>
      <c r="L769" s="29"/>
      <c r="M769" s="29"/>
      <c r="N769" s="29"/>
      <c r="O769" s="29"/>
      <c r="P769" s="29"/>
      <c r="Q769" s="29"/>
      <c r="R769" s="29"/>
      <c r="S769" s="29"/>
      <c r="T769" s="1"/>
      <c r="U769" s="34"/>
      <c r="V769" s="34"/>
    </row>
    <row x14ac:dyDescent="0.25" r="770" customHeight="1" ht="15.75">
      <c r="A770" s="1"/>
      <c r="B770" s="34"/>
      <c r="C770" s="2"/>
      <c r="D770" s="34"/>
      <c r="E770" s="34"/>
      <c r="F770" s="34"/>
      <c r="G770" s="34"/>
      <c r="H770" s="29"/>
      <c r="I770" s="29"/>
      <c r="J770" s="6"/>
      <c r="K770" s="29"/>
      <c r="L770" s="29"/>
      <c r="M770" s="29"/>
      <c r="N770" s="29"/>
      <c r="O770" s="29"/>
      <c r="P770" s="29"/>
      <c r="Q770" s="29"/>
      <c r="R770" s="29"/>
      <c r="S770" s="29"/>
      <c r="T770" s="1"/>
      <c r="U770" s="34"/>
      <c r="V770" s="34"/>
    </row>
    <row x14ac:dyDescent="0.25" r="771" customHeight="1" ht="15.75">
      <c r="A771" s="1"/>
      <c r="B771" s="34"/>
      <c r="C771" s="2"/>
      <c r="D771" s="34"/>
      <c r="E771" s="34"/>
      <c r="F771" s="34"/>
      <c r="G771" s="34"/>
      <c r="H771" s="29"/>
      <c r="I771" s="29"/>
      <c r="J771" s="6"/>
      <c r="K771" s="29"/>
      <c r="L771" s="29"/>
      <c r="M771" s="29"/>
      <c r="N771" s="29"/>
      <c r="O771" s="29"/>
      <c r="P771" s="29"/>
      <c r="Q771" s="29"/>
      <c r="R771" s="29"/>
      <c r="S771" s="29"/>
      <c r="T771" s="1"/>
      <c r="U771" s="34"/>
      <c r="V771" s="34"/>
    </row>
    <row x14ac:dyDescent="0.25" r="772" customHeight="1" ht="15.75">
      <c r="A772" s="1"/>
      <c r="B772" s="34"/>
      <c r="C772" s="2"/>
      <c r="D772" s="34"/>
      <c r="E772" s="34"/>
      <c r="F772" s="34"/>
      <c r="G772" s="34"/>
      <c r="H772" s="29"/>
      <c r="I772" s="29"/>
      <c r="J772" s="6"/>
      <c r="K772" s="29"/>
      <c r="L772" s="29"/>
      <c r="M772" s="29"/>
      <c r="N772" s="29"/>
      <c r="O772" s="29"/>
      <c r="P772" s="29"/>
      <c r="Q772" s="29"/>
      <c r="R772" s="29"/>
      <c r="S772" s="29"/>
      <c r="T772" s="1"/>
      <c r="U772" s="34"/>
      <c r="V772" s="34"/>
    </row>
    <row x14ac:dyDescent="0.25" r="773" customHeight="1" ht="15.75">
      <c r="A773" s="1"/>
      <c r="B773" s="34"/>
      <c r="C773" s="2"/>
      <c r="D773" s="34"/>
      <c r="E773" s="34"/>
      <c r="F773" s="34"/>
      <c r="G773" s="34"/>
      <c r="H773" s="29"/>
      <c r="I773" s="29"/>
      <c r="J773" s="6"/>
      <c r="K773" s="29"/>
      <c r="L773" s="29"/>
      <c r="M773" s="29"/>
      <c r="N773" s="29"/>
      <c r="O773" s="29"/>
      <c r="P773" s="29"/>
      <c r="Q773" s="29"/>
      <c r="R773" s="29"/>
      <c r="S773" s="29"/>
      <c r="T773" s="1"/>
      <c r="U773" s="34"/>
      <c r="V773" s="34"/>
    </row>
    <row x14ac:dyDescent="0.25" r="774" customHeight="1" ht="15.75">
      <c r="A774" s="1"/>
      <c r="B774" s="34"/>
      <c r="C774" s="2"/>
      <c r="D774" s="34"/>
      <c r="E774" s="34"/>
      <c r="F774" s="34"/>
      <c r="G774" s="34"/>
      <c r="H774" s="29"/>
      <c r="I774" s="29"/>
      <c r="J774" s="6"/>
      <c r="K774" s="29"/>
      <c r="L774" s="29"/>
      <c r="M774" s="29"/>
      <c r="N774" s="29"/>
      <c r="O774" s="29"/>
      <c r="P774" s="29"/>
      <c r="Q774" s="29"/>
      <c r="R774" s="29"/>
      <c r="S774" s="29"/>
      <c r="T774" s="1"/>
      <c r="U774" s="34"/>
      <c r="V774" s="34"/>
    </row>
    <row x14ac:dyDescent="0.25" r="775" customHeight="1" ht="15.75">
      <c r="A775" s="1"/>
      <c r="B775" s="34"/>
      <c r="C775" s="2"/>
      <c r="D775" s="34"/>
      <c r="E775" s="34"/>
      <c r="F775" s="34"/>
      <c r="G775" s="34"/>
      <c r="H775" s="29"/>
      <c r="I775" s="29"/>
      <c r="J775" s="6"/>
      <c r="K775" s="29"/>
      <c r="L775" s="29"/>
      <c r="M775" s="29"/>
      <c r="N775" s="29"/>
      <c r="O775" s="29"/>
      <c r="P775" s="29"/>
      <c r="Q775" s="29"/>
      <c r="R775" s="29"/>
      <c r="S775" s="29"/>
      <c r="T775" s="1"/>
      <c r="U775" s="34"/>
      <c r="V775" s="34"/>
    </row>
    <row x14ac:dyDescent="0.25" r="776" customHeight="1" ht="15.75">
      <c r="A776" s="1"/>
      <c r="B776" s="34"/>
      <c r="C776" s="2"/>
      <c r="D776" s="34"/>
      <c r="E776" s="34"/>
      <c r="F776" s="34"/>
      <c r="G776" s="34"/>
      <c r="H776" s="29"/>
      <c r="I776" s="29"/>
      <c r="J776" s="6"/>
      <c r="K776" s="29"/>
      <c r="L776" s="29"/>
      <c r="M776" s="29"/>
      <c r="N776" s="29"/>
      <c r="O776" s="29"/>
      <c r="P776" s="29"/>
      <c r="Q776" s="29"/>
      <c r="R776" s="29"/>
      <c r="S776" s="29"/>
      <c r="T776" s="1"/>
      <c r="U776" s="34"/>
      <c r="V776" s="34"/>
    </row>
    <row x14ac:dyDescent="0.25" r="777" customHeight="1" ht="15.75">
      <c r="A777" s="1"/>
      <c r="B777" s="34"/>
      <c r="C777" s="2"/>
      <c r="D777" s="34"/>
      <c r="E777" s="34"/>
      <c r="F777" s="34"/>
      <c r="G777" s="34"/>
      <c r="H777" s="29"/>
      <c r="I777" s="29"/>
      <c r="J777" s="6"/>
      <c r="K777" s="29"/>
      <c r="L777" s="29"/>
      <c r="M777" s="29"/>
      <c r="N777" s="29"/>
      <c r="O777" s="29"/>
      <c r="P777" s="29"/>
      <c r="Q777" s="29"/>
      <c r="R777" s="29"/>
      <c r="S777" s="29"/>
      <c r="T777" s="1"/>
      <c r="U777" s="34"/>
      <c r="V777" s="34"/>
    </row>
    <row x14ac:dyDescent="0.25" r="778" customHeight="1" ht="15.75">
      <c r="A778" s="1"/>
      <c r="B778" s="34"/>
      <c r="C778" s="2"/>
      <c r="D778" s="34"/>
      <c r="E778" s="34"/>
      <c r="F778" s="34"/>
      <c r="G778" s="34"/>
      <c r="H778" s="29"/>
      <c r="I778" s="29"/>
      <c r="J778" s="6"/>
      <c r="K778" s="29"/>
      <c r="L778" s="29"/>
      <c r="M778" s="29"/>
      <c r="N778" s="29"/>
      <c r="O778" s="29"/>
      <c r="P778" s="29"/>
      <c r="Q778" s="29"/>
      <c r="R778" s="29"/>
      <c r="S778" s="29"/>
      <c r="T778" s="1"/>
      <c r="U778" s="34"/>
      <c r="V778" s="34"/>
    </row>
    <row x14ac:dyDescent="0.25" r="779" customHeight="1" ht="15.75">
      <c r="A779" s="1"/>
      <c r="B779" s="34"/>
      <c r="C779" s="2"/>
      <c r="D779" s="34"/>
      <c r="E779" s="34"/>
      <c r="F779" s="34"/>
      <c r="G779" s="34"/>
      <c r="H779" s="29"/>
      <c r="I779" s="29"/>
      <c r="J779" s="6"/>
      <c r="K779" s="29"/>
      <c r="L779" s="29"/>
      <c r="M779" s="29"/>
      <c r="N779" s="29"/>
      <c r="O779" s="29"/>
      <c r="P779" s="29"/>
      <c r="Q779" s="29"/>
      <c r="R779" s="29"/>
      <c r="S779" s="29"/>
      <c r="T779" s="1"/>
      <c r="U779" s="34"/>
      <c r="V779" s="34"/>
    </row>
    <row x14ac:dyDescent="0.25" r="780" customHeight="1" ht="15.75">
      <c r="A780" s="1"/>
      <c r="B780" s="34"/>
      <c r="C780" s="2"/>
      <c r="D780" s="34"/>
      <c r="E780" s="34"/>
      <c r="F780" s="34"/>
      <c r="G780" s="34"/>
      <c r="H780" s="29"/>
      <c r="I780" s="29"/>
      <c r="J780" s="6"/>
      <c r="K780" s="29"/>
      <c r="L780" s="29"/>
      <c r="M780" s="29"/>
      <c r="N780" s="29"/>
      <c r="O780" s="29"/>
      <c r="P780" s="29"/>
      <c r="Q780" s="29"/>
      <c r="R780" s="29"/>
      <c r="S780" s="29"/>
      <c r="T780" s="1"/>
      <c r="U780" s="34"/>
      <c r="V780" s="34"/>
    </row>
    <row x14ac:dyDescent="0.25" r="781" customHeight="1" ht="15.75">
      <c r="A781" s="1"/>
      <c r="B781" s="34"/>
      <c r="C781" s="2"/>
      <c r="D781" s="34"/>
      <c r="E781" s="34"/>
      <c r="F781" s="34"/>
      <c r="G781" s="34"/>
      <c r="H781" s="29"/>
      <c r="I781" s="29"/>
      <c r="J781" s="6"/>
      <c r="K781" s="29"/>
      <c r="L781" s="29"/>
      <c r="M781" s="29"/>
      <c r="N781" s="29"/>
      <c r="O781" s="29"/>
      <c r="P781" s="29"/>
      <c r="Q781" s="29"/>
      <c r="R781" s="29"/>
      <c r="S781" s="29"/>
      <c r="T781" s="1"/>
      <c r="U781" s="34"/>
      <c r="V781" s="34"/>
    </row>
    <row x14ac:dyDescent="0.25" r="782" customHeight="1" ht="15.75">
      <c r="A782" s="1"/>
      <c r="B782" s="34"/>
      <c r="C782" s="2"/>
      <c r="D782" s="34"/>
      <c r="E782" s="34"/>
      <c r="F782" s="34"/>
      <c r="G782" s="34"/>
      <c r="H782" s="29"/>
      <c r="I782" s="29"/>
      <c r="J782" s="6"/>
      <c r="K782" s="29"/>
      <c r="L782" s="29"/>
      <c r="M782" s="29"/>
      <c r="N782" s="29"/>
      <c r="O782" s="29"/>
      <c r="P782" s="29"/>
      <c r="Q782" s="29"/>
      <c r="R782" s="29"/>
      <c r="S782" s="29"/>
      <c r="T782" s="1"/>
      <c r="U782" s="34"/>
      <c r="V782" s="34"/>
    </row>
    <row x14ac:dyDescent="0.25" r="783" customHeight="1" ht="15.75">
      <c r="A783" s="1"/>
      <c r="B783" s="34"/>
      <c r="C783" s="2"/>
      <c r="D783" s="34"/>
      <c r="E783" s="34"/>
      <c r="F783" s="34"/>
      <c r="G783" s="34"/>
      <c r="H783" s="29"/>
      <c r="I783" s="29"/>
      <c r="J783" s="6"/>
      <c r="K783" s="29"/>
      <c r="L783" s="29"/>
      <c r="M783" s="29"/>
      <c r="N783" s="29"/>
      <c r="O783" s="29"/>
      <c r="P783" s="29"/>
      <c r="Q783" s="29"/>
      <c r="R783" s="29"/>
      <c r="S783" s="29"/>
      <c r="T783" s="1"/>
      <c r="U783" s="34"/>
      <c r="V783" s="34"/>
    </row>
    <row x14ac:dyDescent="0.25" r="784" customHeight="1" ht="15.75">
      <c r="A784" s="1"/>
      <c r="B784" s="34"/>
      <c r="C784" s="2"/>
      <c r="D784" s="34"/>
      <c r="E784" s="34"/>
      <c r="F784" s="34"/>
      <c r="G784" s="34"/>
      <c r="H784" s="29"/>
      <c r="I784" s="29"/>
      <c r="J784" s="6"/>
      <c r="K784" s="29"/>
      <c r="L784" s="29"/>
      <c r="M784" s="29"/>
      <c r="N784" s="29"/>
      <c r="O784" s="29"/>
      <c r="P784" s="29"/>
      <c r="Q784" s="29"/>
      <c r="R784" s="29"/>
      <c r="S784" s="29"/>
      <c r="T784" s="1"/>
      <c r="U784" s="34"/>
      <c r="V784" s="34"/>
    </row>
    <row x14ac:dyDescent="0.25" r="785" customHeight="1" ht="15.75">
      <c r="A785" s="1"/>
      <c r="B785" s="34"/>
      <c r="C785" s="2"/>
      <c r="D785" s="34"/>
      <c r="E785" s="34"/>
      <c r="F785" s="34"/>
      <c r="G785" s="34"/>
      <c r="H785" s="29"/>
      <c r="I785" s="29"/>
      <c r="J785" s="6"/>
      <c r="K785" s="29"/>
      <c r="L785" s="29"/>
      <c r="M785" s="29"/>
      <c r="N785" s="29"/>
      <c r="O785" s="29"/>
      <c r="P785" s="29"/>
      <c r="Q785" s="29"/>
      <c r="R785" s="29"/>
      <c r="S785" s="29"/>
      <c r="T785" s="1"/>
      <c r="U785" s="34"/>
      <c r="V785" s="34"/>
    </row>
    <row x14ac:dyDescent="0.25" r="786" customHeight="1" ht="15.75">
      <c r="A786" s="1"/>
      <c r="B786" s="34"/>
      <c r="C786" s="2"/>
      <c r="D786" s="34"/>
      <c r="E786" s="34"/>
      <c r="F786" s="34"/>
      <c r="G786" s="34"/>
      <c r="H786" s="29"/>
      <c r="I786" s="29"/>
      <c r="J786" s="6"/>
      <c r="K786" s="29"/>
      <c r="L786" s="29"/>
      <c r="M786" s="29"/>
      <c r="N786" s="29"/>
      <c r="O786" s="29"/>
      <c r="P786" s="29"/>
      <c r="Q786" s="29"/>
      <c r="R786" s="29"/>
      <c r="S786" s="29"/>
      <c r="T786" s="1"/>
      <c r="U786" s="34"/>
      <c r="V786" s="34"/>
    </row>
    <row x14ac:dyDescent="0.25" r="787" customHeight="1" ht="15.75">
      <c r="A787" s="1"/>
      <c r="B787" s="34"/>
      <c r="C787" s="2"/>
      <c r="D787" s="34"/>
      <c r="E787" s="34"/>
      <c r="F787" s="34"/>
      <c r="G787" s="34"/>
      <c r="H787" s="29"/>
      <c r="I787" s="29"/>
      <c r="J787" s="6"/>
      <c r="K787" s="29"/>
      <c r="L787" s="29"/>
      <c r="M787" s="29"/>
      <c r="N787" s="29"/>
      <c r="O787" s="29"/>
      <c r="P787" s="29"/>
      <c r="Q787" s="29"/>
      <c r="R787" s="29"/>
      <c r="S787" s="29"/>
      <c r="T787" s="1"/>
      <c r="U787" s="34"/>
      <c r="V787" s="34"/>
    </row>
    <row x14ac:dyDescent="0.25" r="788" customHeight="1" ht="15.75">
      <c r="A788" s="1"/>
      <c r="B788" s="34"/>
      <c r="C788" s="2"/>
      <c r="D788" s="34"/>
      <c r="E788" s="34"/>
      <c r="F788" s="34"/>
      <c r="G788" s="34"/>
      <c r="H788" s="29"/>
      <c r="I788" s="29"/>
      <c r="J788" s="6"/>
      <c r="K788" s="29"/>
      <c r="L788" s="29"/>
      <c r="M788" s="29"/>
      <c r="N788" s="29"/>
      <c r="O788" s="29"/>
      <c r="P788" s="29"/>
      <c r="Q788" s="29"/>
      <c r="R788" s="29"/>
      <c r="S788" s="29"/>
      <c r="T788" s="1"/>
      <c r="U788" s="34"/>
      <c r="V788" s="34"/>
    </row>
    <row x14ac:dyDescent="0.25" r="789" customHeight="1" ht="15.75">
      <c r="A789" s="1"/>
      <c r="B789" s="34"/>
      <c r="C789" s="2"/>
      <c r="D789" s="34"/>
      <c r="E789" s="34"/>
      <c r="F789" s="34"/>
      <c r="G789" s="34"/>
      <c r="H789" s="29"/>
      <c r="I789" s="29"/>
      <c r="J789" s="6"/>
      <c r="K789" s="29"/>
      <c r="L789" s="29"/>
      <c r="M789" s="29"/>
      <c r="N789" s="29"/>
      <c r="O789" s="29"/>
      <c r="P789" s="29"/>
      <c r="Q789" s="29"/>
      <c r="R789" s="29"/>
      <c r="S789" s="29"/>
      <c r="T789" s="1"/>
      <c r="U789" s="34"/>
      <c r="V789" s="34"/>
    </row>
    <row x14ac:dyDescent="0.25" r="790" customHeight="1" ht="15.75">
      <c r="A790" s="1"/>
      <c r="B790" s="34"/>
      <c r="C790" s="2"/>
      <c r="D790" s="34"/>
      <c r="E790" s="34"/>
      <c r="F790" s="34"/>
      <c r="G790" s="34"/>
      <c r="H790" s="29"/>
      <c r="I790" s="29"/>
      <c r="J790" s="6"/>
      <c r="K790" s="29"/>
      <c r="L790" s="29"/>
      <c r="M790" s="29"/>
      <c r="N790" s="29"/>
      <c r="O790" s="29"/>
      <c r="P790" s="29"/>
      <c r="Q790" s="29"/>
      <c r="R790" s="29"/>
      <c r="S790" s="29"/>
      <c r="T790" s="1"/>
      <c r="U790" s="34"/>
      <c r="V790" s="34"/>
    </row>
    <row x14ac:dyDescent="0.25" r="791" customHeight="1" ht="15.75">
      <c r="A791" s="1"/>
      <c r="B791" s="34"/>
      <c r="C791" s="2"/>
      <c r="D791" s="34"/>
      <c r="E791" s="34"/>
      <c r="F791" s="34"/>
      <c r="G791" s="34"/>
      <c r="H791" s="29"/>
      <c r="I791" s="29"/>
      <c r="J791" s="6"/>
      <c r="K791" s="29"/>
      <c r="L791" s="29"/>
      <c r="M791" s="29"/>
      <c r="N791" s="29"/>
      <c r="O791" s="29"/>
      <c r="P791" s="29"/>
      <c r="Q791" s="29"/>
      <c r="R791" s="29"/>
      <c r="S791" s="29"/>
      <c r="T791" s="1"/>
      <c r="U791" s="34"/>
      <c r="V791" s="34"/>
    </row>
    <row x14ac:dyDescent="0.25" r="792" customHeight="1" ht="15.75">
      <c r="A792" s="1"/>
      <c r="B792" s="34"/>
      <c r="C792" s="2"/>
      <c r="D792" s="34"/>
      <c r="E792" s="34"/>
      <c r="F792" s="34"/>
      <c r="G792" s="34"/>
      <c r="H792" s="29"/>
      <c r="I792" s="29"/>
      <c r="J792" s="6"/>
      <c r="K792" s="29"/>
      <c r="L792" s="29"/>
      <c r="M792" s="29"/>
      <c r="N792" s="29"/>
      <c r="O792" s="29"/>
      <c r="P792" s="29"/>
      <c r="Q792" s="29"/>
      <c r="R792" s="29"/>
      <c r="S792" s="29"/>
      <c r="T792" s="1"/>
      <c r="U792" s="34"/>
      <c r="V792" s="34"/>
    </row>
    <row x14ac:dyDescent="0.25" r="793" customHeight="1" ht="15.75">
      <c r="A793" s="1"/>
      <c r="B793" s="34"/>
      <c r="C793" s="2"/>
      <c r="D793" s="34"/>
      <c r="E793" s="34"/>
      <c r="F793" s="34"/>
      <c r="G793" s="34"/>
      <c r="H793" s="29"/>
      <c r="I793" s="29"/>
      <c r="J793" s="6"/>
      <c r="K793" s="29"/>
      <c r="L793" s="29"/>
      <c r="M793" s="29"/>
      <c r="N793" s="29"/>
      <c r="O793" s="29"/>
      <c r="P793" s="29"/>
      <c r="Q793" s="29"/>
      <c r="R793" s="29"/>
      <c r="S793" s="29"/>
      <c r="T793" s="1"/>
      <c r="U793" s="34"/>
      <c r="V793" s="34"/>
    </row>
    <row x14ac:dyDescent="0.25" r="794" customHeight="1" ht="15.75">
      <c r="A794" s="1"/>
      <c r="B794" s="34"/>
      <c r="C794" s="2"/>
      <c r="D794" s="34"/>
      <c r="E794" s="34"/>
      <c r="F794" s="34"/>
      <c r="G794" s="34"/>
      <c r="H794" s="29"/>
      <c r="I794" s="29"/>
      <c r="J794" s="6"/>
      <c r="K794" s="29"/>
      <c r="L794" s="29"/>
      <c r="M794" s="29"/>
      <c r="N794" s="29"/>
      <c r="O794" s="29"/>
      <c r="P794" s="29"/>
      <c r="Q794" s="29"/>
      <c r="R794" s="29"/>
      <c r="S794" s="29"/>
      <c r="T794" s="1"/>
      <c r="U794" s="34"/>
      <c r="V794" s="34"/>
    </row>
    <row x14ac:dyDescent="0.25" r="795" customHeight="1" ht="15.75">
      <c r="A795" s="1"/>
      <c r="B795" s="34"/>
      <c r="C795" s="2"/>
      <c r="D795" s="34"/>
      <c r="E795" s="34"/>
      <c r="F795" s="34"/>
      <c r="G795" s="34"/>
      <c r="H795" s="29"/>
      <c r="I795" s="29"/>
      <c r="J795" s="6"/>
      <c r="K795" s="29"/>
      <c r="L795" s="29"/>
      <c r="M795" s="29"/>
      <c r="N795" s="29"/>
      <c r="O795" s="29"/>
      <c r="P795" s="29"/>
      <c r="Q795" s="29"/>
      <c r="R795" s="29"/>
      <c r="S795" s="29"/>
      <c r="T795" s="1"/>
      <c r="U795" s="34"/>
      <c r="V795" s="34"/>
    </row>
    <row x14ac:dyDescent="0.25" r="796" customHeight="1" ht="15.75">
      <c r="A796" s="1"/>
      <c r="B796" s="34"/>
      <c r="C796" s="2"/>
      <c r="D796" s="34"/>
      <c r="E796" s="34"/>
      <c r="F796" s="34"/>
      <c r="G796" s="34"/>
      <c r="H796" s="29"/>
      <c r="I796" s="29"/>
      <c r="J796" s="6"/>
      <c r="K796" s="29"/>
      <c r="L796" s="29"/>
      <c r="M796" s="29"/>
      <c r="N796" s="29"/>
      <c r="O796" s="29"/>
      <c r="P796" s="29"/>
      <c r="Q796" s="29"/>
      <c r="R796" s="29"/>
      <c r="S796" s="29"/>
      <c r="T796" s="1"/>
      <c r="U796" s="34"/>
      <c r="V796" s="34"/>
    </row>
    <row x14ac:dyDescent="0.25" r="797" customHeight="1" ht="15.75">
      <c r="A797" s="1"/>
      <c r="B797" s="34"/>
      <c r="C797" s="2"/>
      <c r="D797" s="34"/>
      <c r="E797" s="34"/>
      <c r="F797" s="34"/>
      <c r="G797" s="34"/>
      <c r="H797" s="29"/>
      <c r="I797" s="29"/>
      <c r="J797" s="6"/>
      <c r="K797" s="29"/>
      <c r="L797" s="29"/>
      <c r="M797" s="29"/>
      <c r="N797" s="29"/>
      <c r="O797" s="29"/>
      <c r="P797" s="29"/>
      <c r="Q797" s="29"/>
      <c r="R797" s="29"/>
      <c r="S797" s="29"/>
      <c r="T797" s="1"/>
      <c r="U797" s="34"/>
      <c r="V797" s="34"/>
    </row>
    <row x14ac:dyDescent="0.25" r="798" customHeight="1" ht="15.75">
      <c r="A798" s="1"/>
      <c r="B798" s="34"/>
      <c r="C798" s="2"/>
      <c r="D798" s="34"/>
      <c r="E798" s="34"/>
      <c r="F798" s="34"/>
      <c r="G798" s="34"/>
      <c r="H798" s="29"/>
      <c r="I798" s="29"/>
      <c r="J798" s="6"/>
      <c r="K798" s="29"/>
      <c r="L798" s="29"/>
      <c r="M798" s="29"/>
      <c r="N798" s="29"/>
      <c r="O798" s="29"/>
      <c r="P798" s="29"/>
      <c r="Q798" s="29"/>
      <c r="R798" s="29"/>
      <c r="S798" s="29"/>
      <c r="T798" s="1"/>
      <c r="U798" s="34"/>
      <c r="V798" s="34"/>
    </row>
    <row x14ac:dyDescent="0.25" r="799" customHeight="1" ht="15.75">
      <c r="A799" s="1"/>
      <c r="B799" s="34"/>
      <c r="C799" s="2"/>
      <c r="D799" s="34"/>
      <c r="E799" s="34"/>
      <c r="F799" s="34"/>
      <c r="G799" s="34"/>
      <c r="H799" s="29"/>
      <c r="I799" s="29"/>
      <c r="J799" s="6"/>
      <c r="K799" s="29"/>
      <c r="L799" s="29"/>
      <c r="M799" s="29"/>
      <c r="N799" s="29"/>
      <c r="O799" s="29"/>
      <c r="P799" s="29"/>
      <c r="Q799" s="29"/>
      <c r="R799" s="29"/>
      <c r="S799" s="29"/>
      <c r="T799" s="1"/>
      <c r="U799" s="34"/>
      <c r="V799" s="34"/>
    </row>
    <row x14ac:dyDescent="0.25" r="800" customHeight="1" ht="15.75">
      <c r="A800" s="1"/>
      <c r="B800" s="34"/>
      <c r="C800" s="2"/>
      <c r="D800" s="34"/>
      <c r="E800" s="34"/>
      <c r="F800" s="34"/>
      <c r="G800" s="34"/>
      <c r="H800" s="29"/>
      <c r="I800" s="29"/>
      <c r="J800" s="6"/>
      <c r="K800" s="29"/>
      <c r="L800" s="29"/>
      <c r="M800" s="29"/>
      <c r="N800" s="29"/>
      <c r="O800" s="29"/>
      <c r="P800" s="29"/>
      <c r="Q800" s="29"/>
      <c r="R800" s="29"/>
      <c r="S800" s="29"/>
      <c r="T800" s="1"/>
      <c r="U800" s="34"/>
      <c r="V800" s="34"/>
    </row>
    <row x14ac:dyDescent="0.25" r="801" customHeight="1" ht="15.75">
      <c r="A801" s="1"/>
      <c r="B801" s="34"/>
      <c r="C801" s="2"/>
      <c r="D801" s="34"/>
      <c r="E801" s="34"/>
      <c r="F801" s="34"/>
      <c r="G801" s="34"/>
      <c r="H801" s="29"/>
      <c r="I801" s="29"/>
      <c r="J801" s="6"/>
      <c r="K801" s="29"/>
      <c r="L801" s="29"/>
      <c r="M801" s="29"/>
      <c r="N801" s="29"/>
      <c r="O801" s="29"/>
      <c r="P801" s="29"/>
      <c r="Q801" s="29"/>
      <c r="R801" s="29"/>
      <c r="S801" s="29"/>
      <c r="T801" s="1"/>
      <c r="U801" s="34"/>
      <c r="V801" s="34"/>
    </row>
    <row x14ac:dyDescent="0.25" r="802" customHeight="1" ht="15.75">
      <c r="A802" s="1"/>
      <c r="B802" s="34"/>
      <c r="C802" s="2"/>
      <c r="D802" s="34"/>
      <c r="E802" s="34"/>
      <c r="F802" s="34"/>
      <c r="G802" s="34"/>
      <c r="H802" s="29"/>
      <c r="I802" s="29"/>
      <c r="J802" s="6"/>
      <c r="K802" s="29"/>
      <c r="L802" s="29"/>
      <c r="M802" s="29"/>
      <c r="N802" s="29"/>
      <c r="O802" s="29"/>
      <c r="P802" s="29"/>
      <c r="Q802" s="29"/>
      <c r="R802" s="29"/>
      <c r="S802" s="29"/>
      <c r="T802" s="1"/>
      <c r="U802" s="34"/>
      <c r="V802" s="34"/>
    </row>
    <row x14ac:dyDescent="0.25" r="803" customHeight="1" ht="15.75">
      <c r="A803" s="1"/>
      <c r="B803" s="34"/>
      <c r="C803" s="2"/>
      <c r="D803" s="34"/>
      <c r="E803" s="34"/>
      <c r="F803" s="34"/>
      <c r="G803" s="34"/>
      <c r="H803" s="29"/>
      <c r="I803" s="29"/>
      <c r="J803" s="6"/>
      <c r="K803" s="29"/>
      <c r="L803" s="29"/>
      <c r="M803" s="29"/>
      <c r="N803" s="29"/>
      <c r="O803" s="29"/>
      <c r="P803" s="29"/>
      <c r="Q803" s="29"/>
      <c r="R803" s="29"/>
      <c r="S803" s="29"/>
      <c r="T803" s="1"/>
      <c r="U803" s="34"/>
      <c r="V803" s="34"/>
    </row>
    <row x14ac:dyDescent="0.25" r="804" customHeight="1" ht="15.75">
      <c r="A804" s="1"/>
      <c r="B804" s="34"/>
      <c r="C804" s="2"/>
      <c r="D804" s="34"/>
      <c r="E804" s="34"/>
      <c r="F804" s="34"/>
      <c r="G804" s="34"/>
      <c r="H804" s="29"/>
      <c r="I804" s="29"/>
      <c r="J804" s="6"/>
      <c r="K804" s="29"/>
      <c r="L804" s="29"/>
      <c r="M804" s="29"/>
      <c r="N804" s="29"/>
      <c r="O804" s="29"/>
      <c r="P804" s="29"/>
      <c r="Q804" s="29"/>
      <c r="R804" s="29"/>
      <c r="S804" s="29"/>
      <c r="T804" s="1"/>
      <c r="U804" s="34"/>
      <c r="V804" s="34"/>
    </row>
    <row x14ac:dyDescent="0.25" r="805" customHeight="1" ht="15.75">
      <c r="A805" s="1"/>
      <c r="B805" s="34"/>
      <c r="C805" s="2"/>
      <c r="D805" s="34"/>
      <c r="E805" s="34"/>
      <c r="F805" s="34"/>
      <c r="G805" s="34"/>
      <c r="H805" s="29"/>
      <c r="I805" s="29"/>
      <c r="J805" s="6"/>
      <c r="K805" s="29"/>
      <c r="L805" s="29"/>
      <c r="M805" s="29"/>
      <c r="N805" s="29"/>
      <c r="O805" s="29"/>
      <c r="P805" s="29"/>
      <c r="Q805" s="29"/>
      <c r="R805" s="29"/>
      <c r="S805" s="29"/>
      <c r="T805" s="1"/>
      <c r="U805" s="34"/>
      <c r="V805" s="34"/>
    </row>
    <row x14ac:dyDescent="0.25" r="806" customHeight="1" ht="15.75">
      <c r="A806" s="1"/>
      <c r="B806" s="34"/>
      <c r="C806" s="2"/>
      <c r="D806" s="34"/>
      <c r="E806" s="34"/>
      <c r="F806" s="34"/>
      <c r="G806" s="34"/>
      <c r="H806" s="29"/>
      <c r="I806" s="29"/>
      <c r="J806" s="6"/>
      <c r="K806" s="29"/>
      <c r="L806" s="29"/>
      <c r="M806" s="29"/>
      <c r="N806" s="29"/>
      <c r="O806" s="29"/>
      <c r="P806" s="29"/>
      <c r="Q806" s="29"/>
      <c r="R806" s="29"/>
      <c r="S806" s="29"/>
      <c r="T806" s="1"/>
      <c r="U806" s="34"/>
      <c r="V806" s="34"/>
    </row>
    <row x14ac:dyDescent="0.25" r="807" customHeight="1" ht="15.75">
      <c r="A807" s="1"/>
      <c r="B807" s="34"/>
      <c r="C807" s="2"/>
      <c r="D807" s="34"/>
      <c r="E807" s="34"/>
      <c r="F807" s="34"/>
      <c r="G807" s="34"/>
      <c r="H807" s="29"/>
      <c r="I807" s="29"/>
      <c r="J807" s="6"/>
      <c r="K807" s="29"/>
      <c r="L807" s="29"/>
      <c r="M807" s="29"/>
      <c r="N807" s="29"/>
      <c r="O807" s="29"/>
      <c r="P807" s="29"/>
      <c r="Q807" s="29"/>
      <c r="R807" s="29"/>
      <c r="S807" s="29"/>
      <c r="T807" s="1"/>
      <c r="U807" s="34"/>
      <c r="V807" s="34"/>
    </row>
    <row x14ac:dyDescent="0.25" r="808" customHeight="1" ht="15.75">
      <c r="A808" s="1"/>
      <c r="B808" s="34"/>
      <c r="C808" s="2"/>
      <c r="D808" s="34"/>
      <c r="E808" s="34"/>
      <c r="F808" s="34"/>
      <c r="G808" s="34"/>
      <c r="H808" s="29"/>
      <c r="I808" s="29"/>
      <c r="J808" s="6"/>
      <c r="K808" s="29"/>
      <c r="L808" s="29"/>
      <c r="M808" s="29"/>
      <c r="N808" s="29"/>
      <c r="O808" s="29"/>
      <c r="P808" s="29"/>
      <c r="Q808" s="29"/>
      <c r="R808" s="29"/>
      <c r="S808" s="29"/>
      <c r="T808" s="1"/>
      <c r="U808" s="34"/>
      <c r="V808" s="34"/>
    </row>
    <row x14ac:dyDescent="0.25" r="809" customHeight="1" ht="15.75">
      <c r="A809" s="1"/>
      <c r="B809" s="34"/>
      <c r="C809" s="2"/>
      <c r="D809" s="34"/>
      <c r="E809" s="34"/>
      <c r="F809" s="34"/>
      <c r="G809" s="34"/>
      <c r="H809" s="29"/>
      <c r="I809" s="29"/>
      <c r="J809" s="6"/>
      <c r="K809" s="29"/>
      <c r="L809" s="29"/>
      <c r="M809" s="29"/>
      <c r="N809" s="29"/>
      <c r="O809" s="29"/>
      <c r="P809" s="29"/>
      <c r="Q809" s="29"/>
      <c r="R809" s="29"/>
      <c r="S809" s="29"/>
      <c r="T809" s="1"/>
      <c r="U809" s="34"/>
      <c r="V809" s="34"/>
    </row>
    <row x14ac:dyDescent="0.25" r="810" customHeight="1" ht="15.75">
      <c r="A810" s="1"/>
      <c r="B810" s="34"/>
      <c r="C810" s="2"/>
      <c r="D810" s="34"/>
      <c r="E810" s="34"/>
      <c r="F810" s="34"/>
      <c r="G810" s="34"/>
      <c r="H810" s="29"/>
      <c r="I810" s="29"/>
      <c r="J810" s="6"/>
      <c r="K810" s="29"/>
      <c r="L810" s="29"/>
      <c r="M810" s="29"/>
      <c r="N810" s="29"/>
      <c r="O810" s="29"/>
      <c r="P810" s="29"/>
      <c r="Q810" s="29"/>
      <c r="R810" s="29"/>
      <c r="S810" s="29"/>
      <c r="T810" s="1"/>
      <c r="U810" s="34"/>
      <c r="V810" s="34"/>
    </row>
    <row x14ac:dyDescent="0.25" r="811" customHeight="1" ht="15.75">
      <c r="A811" s="1"/>
      <c r="B811" s="34"/>
      <c r="C811" s="2"/>
      <c r="D811" s="34"/>
      <c r="E811" s="34"/>
      <c r="F811" s="34"/>
      <c r="G811" s="34"/>
      <c r="H811" s="29"/>
      <c r="I811" s="29"/>
      <c r="J811" s="6"/>
      <c r="K811" s="29"/>
      <c r="L811" s="29"/>
      <c r="M811" s="29"/>
      <c r="N811" s="29"/>
      <c r="O811" s="29"/>
      <c r="P811" s="29"/>
      <c r="Q811" s="29"/>
      <c r="R811" s="29"/>
      <c r="S811" s="29"/>
      <c r="T811" s="1"/>
      <c r="U811" s="34"/>
      <c r="V811" s="34"/>
    </row>
    <row x14ac:dyDescent="0.25" r="812" customHeight="1" ht="15.75">
      <c r="A812" s="1"/>
      <c r="B812" s="34"/>
      <c r="C812" s="2"/>
      <c r="D812" s="34"/>
      <c r="E812" s="34"/>
      <c r="F812" s="34"/>
      <c r="G812" s="34"/>
      <c r="H812" s="29"/>
      <c r="I812" s="29"/>
      <c r="J812" s="6"/>
      <c r="K812" s="29"/>
      <c r="L812" s="29"/>
      <c r="M812" s="29"/>
      <c r="N812" s="29"/>
      <c r="O812" s="29"/>
      <c r="P812" s="29"/>
      <c r="Q812" s="29"/>
      <c r="R812" s="29"/>
      <c r="S812" s="29"/>
      <c r="T812" s="1"/>
      <c r="U812" s="34"/>
      <c r="V812" s="34"/>
    </row>
    <row x14ac:dyDescent="0.25" r="813" customHeight="1" ht="15.75">
      <c r="A813" s="1"/>
      <c r="B813" s="34"/>
      <c r="C813" s="2"/>
      <c r="D813" s="34"/>
      <c r="E813" s="34"/>
      <c r="F813" s="34"/>
      <c r="G813" s="34"/>
      <c r="H813" s="29"/>
      <c r="I813" s="29"/>
      <c r="J813" s="6"/>
      <c r="K813" s="29"/>
      <c r="L813" s="29"/>
      <c r="M813" s="29"/>
      <c r="N813" s="29"/>
      <c r="O813" s="29"/>
      <c r="P813" s="29"/>
      <c r="Q813" s="29"/>
      <c r="R813" s="29"/>
      <c r="S813" s="29"/>
      <c r="T813" s="1"/>
      <c r="U813" s="34"/>
      <c r="V813" s="34"/>
    </row>
    <row x14ac:dyDescent="0.25" r="814" customHeight="1" ht="15.75">
      <c r="A814" s="1"/>
      <c r="B814" s="34"/>
      <c r="C814" s="2"/>
      <c r="D814" s="34"/>
      <c r="E814" s="34"/>
      <c r="F814" s="34"/>
      <c r="G814" s="34"/>
      <c r="H814" s="29"/>
      <c r="I814" s="29"/>
      <c r="J814" s="6"/>
      <c r="K814" s="29"/>
      <c r="L814" s="29"/>
      <c r="M814" s="29"/>
      <c r="N814" s="29"/>
      <c r="O814" s="29"/>
      <c r="P814" s="29"/>
      <c r="Q814" s="29"/>
      <c r="R814" s="29"/>
      <c r="S814" s="29"/>
      <c r="T814" s="1"/>
      <c r="U814" s="34"/>
      <c r="V814" s="34"/>
    </row>
    <row x14ac:dyDescent="0.25" r="815" customHeight="1" ht="15.75">
      <c r="A815" s="1"/>
      <c r="B815" s="34"/>
      <c r="C815" s="2"/>
      <c r="D815" s="34"/>
      <c r="E815" s="34"/>
      <c r="F815" s="34"/>
      <c r="G815" s="34"/>
      <c r="H815" s="29"/>
      <c r="I815" s="29"/>
      <c r="J815" s="6"/>
      <c r="K815" s="29"/>
      <c r="L815" s="29"/>
      <c r="M815" s="29"/>
      <c r="N815" s="29"/>
      <c r="O815" s="29"/>
      <c r="P815" s="29"/>
      <c r="Q815" s="29"/>
      <c r="R815" s="29"/>
      <c r="S815" s="29"/>
      <c r="T815" s="1"/>
      <c r="U815" s="34"/>
      <c r="V815" s="34"/>
    </row>
    <row x14ac:dyDescent="0.25" r="816" customHeight="1" ht="15.75">
      <c r="A816" s="1"/>
      <c r="B816" s="34"/>
      <c r="C816" s="2"/>
      <c r="D816" s="34"/>
      <c r="E816" s="34"/>
      <c r="F816" s="34"/>
      <c r="G816" s="34"/>
      <c r="H816" s="29"/>
      <c r="I816" s="29"/>
      <c r="J816" s="6"/>
      <c r="K816" s="29"/>
      <c r="L816" s="29"/>
      <c r="M816" s="29"/>
      <c r="N816" s="29"/>
      <c r="O816" s="29"/>
      <c r="P816" s="29"/>
      <c r="Q816" s="29"/>
      <c r="R816" s="29"/>
      <c r="S816" s="29"/>
      <c r="T816" s="1"/>
      <c r="U816" s="34"/>
      <c r="V816" s="34"/>
    </row>
    <row x14ac:dyDescent="0.25" r="817" customHeight="1" ht="15.75">
      <c r="A817" s="1"/>
      <c r="B817" s="34"/>
      <c r="C817" s="2"/>
      <c r="D817" s="34"/>
      <c r="E817" s="34"/>
      <c r="F817" s="34"/>
      <c r="G817" s="34"/>
      <c r="H817" s="29"/>
      <c r="I817" s="29"/>
      <c r="J817" s="6"/>
      <c r="K817" s="29"/>
      <c r="L817" s="29"/>
      <c r="M817" s="29"/>
      <c r="N817" s="29"/>
      <c r="O817" s="29"/>
      <c r="P817" s="29"/>
      <c r="Q817" s="29"/>
      <c r="R817" s="29"/>
      <c r="S817" s="29"/>
      <c r="T817" s="1"/>
      <c r="U817" s="34"/>
      <c r="V817" s="34"/>
    </row>
    <row x14ac:dyDescent="0.25" r="818" customHeight="1" ht="15.75">
      <c r="A818" s="1"/>
      <c r="B818" s="34"/>
      <c r="C818" s="2"/>
      <c r="D818" s="34"/>
      <c r="E818" s="34"/>
      <c r="F818" s="34"/>
      <c r="G818" s="34"/>
      <c r="H818" s="29"/>
      <c r="I818" s="29"/>
      <c r="J818" s="6"/>
      <c r="K818" s="29"/>
      <c r="L818" s="29"/>
      <c r="M818" s="29"/>
      <c r="N818" s="29"/>
      <c r="O818" s="29"/>
      <c r="P818" s="29"/>
      <c r="Q818" s="29"/>
      <c r="R818" s="29"/>
      <c r="S818" s="29"/>
      <c r="T818" s="1"/>
      <c r="U818" s="34"/>
      <c r="V818" s="34"/>
    </row>
    <row x14ac:dyDescent="0.25" r="819" customHeight="1" ht="15.75">
      <c r="A819" s="1"/>
      <c r="B819" s="34"/>
      <c r="C819" s="2"/>
      <c r="D819" s="34"/>
      <c r="E819" s="34"/>
      <c r="F819" s="34"/>
      <c r="G819" s="34"/>
      <c r="H819" s="29"/>
      <c r="I819" s="29"/>
      <c r="J819" s="6"/>
      <c r="K819" s="29"/>
      <c r="L819" s="29"/>
      <c r="M819" s="29"/>
      <c r="N819" s="29"/>
      <c r="O819" s="29"/>
      <c r="P819" s="29"/>
      <c r="Q819" s="29"/>
      <c r="R819" s="29"/>
      <c r="S819" s="29"/>
      <c r="T819" s="1"/>
      <c r="U819" s="34"/>
      <c r="V819" s="34"/>
    </row>
    <row x14ac:dyDescent="0.25" r="820" customHeight="1" ht="15.75">
      <c r="A820" s="1"/>
      <c r="B820" s="34"/>
      <c r="C820" s="2"/>
      <c r="D820" s="34"/>
      <c r="E820" s="34"/>
      <c r="F820" s="34"/>
      <c r="G820" s="34"/>
      <c r="H820" s="29"/>
      <c r="I820" s="29"/>
      <c r="J820" s="6"/>
      <c r="K820" s="29"/>
      <c r="L820" s="29"/>
      <c r="M820" s="29"/>
      <c r="N820" s="29"/>
      <c r="O820" s="29"/>
      <c r="P820" s="29"/>
      <c r="Q820" s="29"/>
      <c r="R820" s="29"/>
      <c r="S820" s="29"/>
      <c r="T820" s="1"/>
      <c r="U820" s="34"/>
      <c r="V820" s="34"/>
    </row>
    <row x14ac:dyDescent="0.25" r="821" customHeight="1" ht="15.75">
      <c r="A821" s="1"/>
      <c r="B821" s="34"/>
      <c r="C821" s="2"/>
      <c r="D821" s="34"/>
      <c r="E821" s="34"/>
      <c r="F821" s="34"/>
      <c r="G821" s="34"/>
      <c r="H821" s="29"/>
      <c r="I821" s="29"/>
      <c r="J821" s="6"/>
      <c r="K821" s="29"/>
      <c r="L821" s="29"/>
      <c r="M821" s="29"/>
      <c r="N821" s="29"/>
      <c r="O821" s="29"/>
      <c r="P821" s="29"/>
      <c r="Q821" s="29"/>
      <c r="R821" s="29"/>
      <c r="S821" s="29"/>
      <c r="T821" s="1"/>
      <c r="U821" s="34"/>
      <c r="V821" s="34"/>
    </row>
    <row x14ac:dyDescent="0.25" r="822" customHeight="1" ht="15.75">
      <c r="A822" s="1"/>
      <c r="B822" s="34"/>
      <c r="C822" s="2"/>
      <c r="D822" s="34"/>
      <c r="E822" s="34"/>
      <c r="F822" s="34"/>
      <c r="G822" s="34"/>
      <c r="H822" s="29"/>
      <c r="I822" s="29"/>
      <c r="J822" s="6"/>
      <c r="K822" s="29"/>
      <c r="L822" s="29"/>
      <c r="M822" s="29"/>
      <c r="N822" s="29"/>
      <c r="O822" s="29"/>
      <c r="P822" s="29"/>
      <c r="Q822" s="29"/>
      <c r="R822" s="29"/>
      <c r="S822" s="29"/>
      <c r="T822" s="1"/>
      <c r="U822" s="34"/>
      <c r="V822" s="34"/>
    </row>
    <row x14ac:dyDescent="0.25" r="823" customHeight="1" ht="15.75">
      <c r="A823" s="1"/>
      <c r="B823" s="34"/>
      <c r="C823" s="2"/>
      <c r="D823" s="34"/>
      <c r="E823" s="34"/>
      <c r="F823" s="34"/>
      <c r="G823" s="34"/>
      <c r="H823" s="29"/>
      <c r="I823" s="29"/>
      <c r="J823" s="6"/>
      <c r="K823" s="29"/>
      <c r="L823" s="29"/>
      <c r="M823" s="29"/>
      <c r="N823" s="29"/>
      <c r="O823" s="29"/>
      <c r="P823" s="29"/>
      <c r="Q823" s="29"/>
      <c r="R823" s="29"/>
      <c r="S823" s="29"/>
      <c r="T823" s="1"/>
      <c r="U823" s="34"/>
      <c r="V823" s="34"/>
    </row>
    <row x14ac:dyDescent="0.25" r="824" customHeight="1" ht="15.75">
      <c r="A824" s="1"/>
      <c r="B824" s="34"/>
      <c r="C824" s="2"/>
      <c r="D824" s="34"/>
      <c r="E824" s="34"/>
      <c r="F824" s="34"/>
      <c r="G824" s="34"/>
      <c r="H824" s="29"/>
      <c r="I824" s="29"/>
      <c r="J824" s="6"/>
      <c r="K824" s="29"/>
      <c r="L824" s="29"/>
      <c r="M824" s="29"/>
      <c r="N824" s="29"/>
      <c r="O824" s="29"/>
      <c r="P824" s="29"/>
      <c r="Q824" s="29"/>
      <c r="R824" s="29"/>
      <c r="S824" s="29"/>
      <c r="T824" s="1"/>
      <c r="U824" s="34"/>
      <c r="V824" s="34"/>
    </row>
    <row x14ac:dyDescent="0.25" r="825" customHeight="1" ht="15.75">
      <c r="A825" s="1"/>
      <c r="B825" s="34"/>
      <c r="C825" s="2"/>
      <c r="D825" s="34"/>
      <c r="E825" s="34"/>
      <c r="F825" s="34"/>
      <c r="G825" s="34"/>
      <c r="H825" s="29"/>
      <c r="I825" s="29"/>
      <c r="J825" s="6"/>
      <c r="K825" s="29"/>
      <c r="L825" s="29"/>
      <c r="M825" s="29"/>
      <c r="N825" s="29"/>
      <c r="O825" s="29"/>
      <c r="P825" s="29"/>
      <c r="Q825" s="29"/>
      <c r="R825" s="29"/>
      <c r="S825" s="29"/>
      <c r="T825" s="1"/>
      <c r="U825" s="34"/>
      <c r="V825" s="34"/>
    </row>
    <row x14ac:dyDescent="0.25" r="826" customHeight="1" ht="15.75">
      <c r="A826" s="1"/>
      <c r="B826" s="34"/>
      <c r="C826" s="2"/>
      <c r="D826" s="34"/>
      <c r="E826" s="34"/>
      <c r="F826" s="34"/>
      <c r="G826" s="34"/>
      <c r="H826" s="29"/>
      <c r="I826" s="29"/>
      <c r="J826" s="6"/>
      <c r="K826" s="29"/>
      <c r="L826" s="29"/>
      <c r="M826" s="29"/>
      <c r="N826" s="29"/>
      <c r="O826" s="29"/>
      <c r="P826" s="29"/>
      <c r="Q826" s="29"/>
      <c r="R826" s="29"/>
      <c r="S826" s="29"/>
      <c r="T826" s="1"/>
      <c r="U826" s="34"/>
      <c r="V826" s="34"/>
    </row>
    <row x14ac:dyDescent="0.25" r="827" customHeight="1" ht="15.75">
      <c r="A827" s="1"/>
      <c r="B827" s="34"/>
      <c r="C827" s="2"/>
      <c r="D827" s="34"/>
      <c r="E827" s="34"/>
      <c r="F827" s="34"/>
      <c r="G827" s="34"/>
      <c r="H827" s="29"/>
      <c r="I827" s="29"/>
      <c r="J827" s="6"/>
      <c r="K827" s="29"/>
      <c r="L827" s="29"/>
      <c r="M827" s="29"/>
      <c r="N827" s="29"/>
      <c r="O827" s="29"/>
      <c r="P827" s="29"/>
      <c r="Q827" s="29"/>
      <c r="R827" s="29"/>
      <c r="S827" s="29"/>
      <c r="T827" s="1"/>
      <c r="U827" s="34"/>
      <c r="V827" s="34"/>
    </row>
    <row x14ac:dyDescent="0.25" r="828" customHeight="1" ht="15.75">
      <c r="A828" s="1"/>
      <c r="B828" s="34"/>
      <c r="C828" s="2"/>
      <c r="D828" s="34"/>
      <c r="E828" s="34"/>
      <c r="F828" s="34"/>
      <c r="G828" s="34"/>
      <c r="H828" s="29"/>
      <c r="I828" s="29"/>
      <c r="J828" s="6"/>
      <c r="K828" s="29"/>
      <c r="L828" s="29"/>
      <c r="M828" s="29"/>
      <c r="N828" s="29"/>
      <c r="O828" s="29"/>
      <c r="P828" s="29"/>
      <c r="Q828" s="29"/>
      <c r="R828" s="29"/>
      <c r="S828" s="29"/>
      <c r="T828" s="1"/>
      <c r="U828" s="34"/>
      <c r="V828" s="34"/>
    </row>
    <row x14ac:dyDescent="0.25" r="829" customHeight="1" ht="15.75">
      <c r="A829" s="1"/>
      <c r="B829" s="34"/>
      <c r="C829" s="2"/>
      <c r="D829" s="34"/>
      <c r="E829" s="34"/>
      <c r="F829" s="34"/>
      <c r="G829" s="34"/>
      <c r="H829" s="29"/>
      <c r="I829" s="29"/>
      <c r="J829" s="6"/>
      <c r="K829" s="29"/>
      <c r="L829" s="29"/>
      <c r="M829" s="29"/>
      <c r="N829" s="29"/>
      <c r="O829" s="29"/>
      <c r="P829" s="29"/>
      <c r="Q829" s="29"/>
      <c r="R829" s="29"/>
      <c r="S829" s="29"/>
      <c r="T829" s="1"/>
      <c r="U829" s="34"/>
      <c r="V829" s="34"/>
    </row>
    <row x14ac:dyDescent="0.25" r="830" customHeight="1" ht="15.75">
      <c r="A830" s="1"/>
      <c r="B830" s="34"/>
      <c r="C830" s="2"/>
      <c r="D830" s="34"/>
      <c r="E830" s="34"/>
      <c r="F830" s="34"/>
      <c r="G830" s="34"/>
      <c r="H830" s="29"/>
      <c r="I830" s="29"/>
      <c r="J830" s="6"/>
      <c r="K830" s="29"/>
      <c r="L830" s="29"/>
      <c r="M830" s="29"/>
      <c r="N830" s="29"/>
      <c r="O830" s="29"/>
      <c r="P830" s="29"/>
      <c r="Q830" s="29"/>
      <c r="R830" s="29"/>
      <c r="S830" s="29"/>
      <c r="T830" s="1"/>
      <c r="U830" s="34"/>
      <c r="V830" s="34"/>
    </row>
    <row x14ac:dyDescent="0.25" r="831" customHeight="1" ht="15.75">
      <c r="A831" s="1"/>
      <c r="B831" s="34"/>
      <c r="C831" s="2"/>
      <c r="D831" s="34"/>
      <c r="E831" s="34"/>
      <c r="F831" s="34"/>
      <c r="G831" s="34"/>
      <c r="H831" s="29"/>
      <c r="I831" s="29"/>
      <c r="J831" s="6"/>
      <c r="K831" s="29"/>
      <c r="L831" s="29"/>
      <c r="M831" s="29"/>
      <c r="N831" s="29"/>
      <c r="O831" s="29"/>
      <c r="P831" s="29"/>
      <c r="Q831" s="29"/>
      <c r="R831" s="29"/>
      <c r="S831" s="29"/>
      <c r="T831" s="1"/>
      <c r="U831" s="34"/>
      <c r="V831" s="34"/>
    </row>
    <row x14ac:dyDescent="0.25" r="832" customHeight="1" ht="15.75">
      <c r="A832" s="1"/>
      <c r="B832" s="34"/>
      <c r="C832" s="2"/>
      <c r="D832" s="34"/>
      <c r="E832" s="34"/>
      <c r="F832" s="34"/>
      <c r="G832" s="34"/>
      <c r="H832" s="29"/>
      <c r="I832" s="29"/>
      <c r="J832" s="6"/>
      <c r="K832" s="29"/>
      <c r="L832" s="29"/>
      <c r="M832" s="29"/>
      <c r="N832" s="29"/>
      <c r="O832" s="29"/>
      <c r="P832" s="29"/>
      <c r="Q832" s="29"/>
      <c r="R832" s="29"/>
      <c r="S832" s="29"/>
      <c r="T832" s="1"/>
      <c r="U832" s="34"/>
      <c r="V832" s="34"/>
    </row>
    <row x14ac:dyDescent="0.25" r="833" customHeight="1" ht="15.75">
      <c r="A833" s="1"/>
      <c r="B833" s="34"/>
      <c r="C833" s="2"/>
      <c r="D833" s="34"/>
      <c r="E833" s="34"/>
      <c r="F833" s="34"/>
      <c r="G833" s="34"/>
      <c r="H833" s="29"/>
      <c r="I833" s="29"/>
      <c r="J833" s="6"/>
      <c r="K833" s="29"/>
      <c r="L833" s="29"/>
      <c r="M833" s="29"/>
      <c r="N833" s="29"/>
      <c r="O833" s="29"/>
      <c r="P833" s="29"/>
      <c r="Q833" s="29"/>
      <c r="R833" s="29"/>
      <c r="S833" s="29"/>
      <c r="T833" s="1"/>
      <c r="U833" s="34"/>
      <c r="V833" s="34"/>
    </row>
    <row x14ac:dyDescent="0.25" r="834" customHeight="1" ht="15.75">
      <c r="A834" s="1"/>
      <c r="B834" s="34"/>
      <c r="C834" s="2"/>
      <c r="D834" s="34"/>
      <c r="E834" s="34"/>
      <c r="F834" s="34"/>
      <c r="G834" s="34"/>
      <c r="H834" s="29"/>
      <c r="I834" s="29"/>
      <c r="J834" s="6"/>
      <c r="K834" s="29"/>
      <c r="L834" s="29"/>
      <c r="M834" s="29"/>
      <c r="N834" s="29"/>
      <c r="O834" s="29"/>
      <c r="P834" s="29"/>
      <c r="Q834" s="29"/>
      <c r="R834" s="29"/>
      <c r="S834" s="29"/>
      <c r="T834" s="1"/>
      <c r="U834" s="34"/>
      <c r="V834" s="34"/>
    </row>
    <row x14ac:dyDescent="0.25" r="835" customHeight="1" ht="15.75">
      <c r="A835" s="1"/>
      <c r="B835" s="34"/>
      <c r="C835" s="2"/>
      <c r="D835" s="34"/>
      <c r="E835" s="34"/>
      <c r="F835" s="34"/>
      <c r="G835" s="34"/>
      <c r="H835" s="29"/>
      <c r="I835" s="29"/>
      <c r="J835" s="6"/>
      <c r="K835" s="29"/>
      <c r="L835" s="29"/>
      <c r="M835" s="29"/>
      <c r="N835" s="29"/>
      <c r="O835" s="29"/>
      <c r="P835" s="29"/>
      <c r="Q835" s="29"/>
      <c r="R835" s="29"/>
      <c r="S835" s="29"/>
      <c r="T835" s="1"/>
      <c r="U835" s="34"/>
      <c r="V835" s="34"/>
    </row>
    <row x14ac:dyDescent="0.25" r="836" customHeight="1" ht="15.75">
      <c r="A836" s="1"/>
      <c r="B836" s="34"/>
      <c r="C836" s="2"/>
      <c r="D836" s="34"/>
      <c r="E836" s="34"/>
      <c r="F836" s="34"/>
      <c r="G836" s="34"/>
      <c r="H836" s="29"/>
      <c r="I836" s="29"/>
      <c r="J836" s="6"/>
      <c r="K836" s="29"/>
      <c r="L836" s="29"/>
      <c r="M836" s="29"/>
      <c r="N836" s="29"/>
      <c r="O836" s="29"/>
      <c r="P836" s="29"/>
      <c r="Q836" s="29"/>
      <c r="R836" s="29"/>
      <c r="S836" s="29"/>
      <c r="T836" s="1"/>
      <c r="U836" s="34"/>
      <c r="V836" s="34"/>
    </row>
    <row x14ac:dyDescent="0.25" r="837" customHeight="1" ht="15.75">
      <c r="A837" s="1"/>
      <c r="B837" s="34"/>
      <c r="C837" s="2"/>
      <c r="D837" s="34"/>
      <c r="E837" s="34"/>
      <c r="F837" s="34"/>
      <c r="G837" s="34"/>
      <c r="H837" s="29"/>
      <c r="I837" s="29"/>
      <c r="J837" s="6"/>
      <c r="K837" s="29"/>
      <c r="L837" s="29"/>
      <c r="M837" s="29"/>
      <c r="N837" s="29"/>
      <c r="O837" s="29"/>
      <c r="P837" s="29"/>
      <c r="Q837" s="29"/>
      <c r="R837" s="29"/>
      <c r="S837" s="29"/>
      <c r="T837" s="1"/>
      <c r="U837" s="34"/>
      <c r="V837" s="34"/>
    </row>
    <row x14ac:dyDescent="0.25" r="838" customHeight="1" ht="15.75">
      <c r="A838" s="1"/>
      <c r="B838" s="34"/>
      <c r="C838" s="2"/>
      <c r="D838" s="34"/>
      <c r="E838" s="34"/>
      <c r="F838" s="34"/>
      <c r="G838" s="34"/>
      <c r="H838" s="29"/>
      <c r="I838" s="29"/>
      <c r="J838" s="6"/>
      <c r="K838" s="29"/>
      <c r="L838" s="29"/>
      <c r="M838" s="29"/>
      <c r="N838" s="29"/>
      <c r="O838" s="29"/>
      <c r="P838" s="29"/>
      <c r="Q838" s="29"/>
      <c r="R838" s="29"/>
      <c r="S838" s="29"/>
      <c r="T838" s="1"/>
      <c r="U838" s="34"/>
      <c r="V838" s="34"/>
    </row>
    <row x14ac:dyDescent="0.25" r="839" customHeight="1" ht="15.75">
      <c r="A839" s="1"/>
      <c r="B839" s="34"/>
      <c r="C839" s="2"/>
      <c r="D839" s="34"/>
      <c r="E839" s="34"/>
      <c r="F839" s="34"/>
      <c r="G839" s="34"/>
      <c r="H839" s="29"/>
      <c r="I839" s="29"/>
      <c r="J839" s="6"/>
      <c r="K839" s="29"/>
      <c r="L839" s="29"/>
      <c r="M839" s="29"/>
      <c r="N839" s="29"/>
      <c r="O839" s="29"/>
      <c r="P839" s="29"/>
      <c r="Q839" s="29"/>
      <c r="R839" s="29"/>
      <c r="S839" s="29"/>
      <c r="T839" s="1"/>
      <c r="U839" s="34"/>
      <c r="V839" s="34"/>
    </row>
    <row x14ac:dyDescent="0.25" r="840" customHeight="1" ht="15.75">
      <c r="A840" s="1"/>
      <c r="B840" s="34"/>
      <c r="C840" s="2"/>
      <c r="D840" s="34"/>
      <c r="E840" s="34"/>
      <c r="F840" s="34"/>
      <c r="G840" s="34"/>
      <c r="H840" s="29"/>
      <c r="I840" s="29"/>
      <c r="J840" s="6"/>
      <c r="K840" s="29"/>
      <c r="L840" s="29"/>
      <c r="M840" s="29"/>
      <c r="N840" s="29"/>
      <c r="O840" s="29"/>
      <c r="P840" s="29"/>
      <c r="Q840" s="29"/>
      <c r="R840" s="29"/>
      <c r="S840" s="29"/>
      <c r="T840" s="1"/>
      <c r="U840" s="34"/>
      <c r="V840" s="34"/>
    </row>
    <row x14ac:dyDescent="0.25" r="841" customHeight="1" ht="15.75">
      <c r="A841" s="1"/>
      <c r="B841" s="34"/>
      <c r="C841" s="2"/>
      <c r="D841" s="34"/>
      <c r="E841" s="34"/>
      <c r="F841" s="34"/>
      <c r="G841" s="34"/>
      <c r="H841" s="29"/>
      <c r="I841" s="29"/>
      <c r="J841" s="6"/>
      <c r="K841" s="29"/>
      <c r="L841" s="29"/>
      <c r="M841" s="29"/>
      <c r="N841" s="29"/>
      <c r="O841" s="29"/>
      <c r="P841" s="29"/>
      <c r="Q841" s="29"/>
      <c r="R841" s="29"/>
      <c r="S841" s="29"/>
      <c r="T841" s="1"/>
      <c r="U841" s="34"/>
      <c r="V841" s="34"/>
    </row>
    <row x14ac:dyDescent="0.25" r="842" customHeight="1" ht="15.75">
      <c r="A842" s="1"/>
      <c r="B842" s="34"/>
      <c r="C842" s="2"/>
      <c r="D842" s="34"/>
      <c r="E842" s="34"/>
      <c r="F842" s="34"/>
      <c r="G842" s="34"/>
      <c r="H842" s="29"/>
      <c r="I842" s="29"/>
      <c r="J842" s="6"/>
      <c r="K842" s="29"/>
      <c r="L842" s="29"/>
      <c r="M842" s="29"/>
      <c r="N842" s="29"/>
      <c r="O842" s="29"/>
      <c r="P842" s="29"/>
      <c r="Q842" s="29"/>
      <c r="R842" s="29"/>
      <c r="S842" s="29"/>
      <c r="T842" s="1"/>
      <c r="U842" s="34"/>
      <c r="V842" s="34"/>
    </row>
    <row x14ac:dyDescent="0.25" r="843" customHeight="1" ht="15.75">
      <c r="A843" s="1"/>
      <c r="B843" s="34"/>
      <c r="C843" s="2"/>
      <c r="D843" s="34"/>
      <c r="E843" s="34"/>
      <c r="F843" s="34"/>
      <c r="G843" s="34"/>
      <c r="H843" s="29"/>
      <c r="I843" s="29"/>
      <c r="J843" s="6"/>
      <c r="K843" s="29"/>
      <c r="L843" s="29"/>
      <c r="M843" s="29"/>
      <c r="N843" s="29"/>
      <c r="O843" s="29"/>
      <c r="P843" s="29"/>
      <c r="Q843" s="29"/>
      <c r="R843" s="29"/>
      <c r="S843" s="29"/>
      <c r="T843" s="1"/>
      <c r="U843" s="34"/>
      <c r="V843" s="34"/>
    </row>
    <row x14ac:dyDescent="0.25" r="844" customHeight="1" ht="15.75">
      <c r="A844" s="1"/>
      <c r="B844" s="34"/>
      <c r="C844" s="2"/>
      <c r="D844" s="34"/>
      <c r="E844" s="34"/>
      <c r="F844" s="34"/>
      <c r="G844" s="34"/>
      <c r="H844" s="29"/>
      <c r="I844" s="29"/>
      <c r="J844" s="6"/>
      <c r="K844" s="29"/>
      <c r="L844" s="29"/>
      <c r="M844" s="29"/>
      <c r="N844" s="29"/>
      <c r="O844" s="29"/>
      <c r="P844" s="29"/>
      <c r="Q844" s="29"/>
      <c r="R844" s="29"/>
      <c r="S844" s="29"/>
      <c r="T844" s="1"/>
      <c r="U844" s="34"/>
      <c r="V844" s="34"/>
    </row>
    <row x14ac:dyDescent="0.25" r="845" customHeight="1" ht="15.75">
      <c r="A845" s="1"/>
      <c r="B845" s="34"/>
      <c r="C845" s="2"/>
      <c r="D845" s="34"/>
      <c r="E845" s="34"/>
      <c r="F845" s="34"/>
      <c r="G845" s="34"/>
      <c r="H845" s="29"/>
      <c r="I845" s="29"/>
      <c r="J845" s="6"/>
      <c r="K845" s="29"/>
      <c r="L845" s="29"/>
      <c r="M845" s="29"/>
      <c r="N845" s="29"/>
      <c r="O845" s="29"/>
      <c r="P845" s="29"/>
      <c r="Q845" s="29"/>
      <c r="R845" s="29"/>
      <c r="S845" s="29"/>
      <c r="T845" s="1"/>
      <c r="U845" s="34"/>
      <c r="V845" s="34"/>
    </row>
    <row x14ac:dyDescent="0.25" r="846" customHeight="1" ht="15.75">
      <c r="A846" s="1"/>
      <c r="B846" s="34"/>
      <c r="C846" s="2"/>
      <c r="D846" s="34"/>
      <c r="E846" s="34"/>
      <c r="F846" s="34"/>
      <c r="G846" s="34"/>
      <c r="H846" s="29"/>
      <c r="I846" s="29"/>
      <c r="J846" s="6"/>
      <c r="K846" s="29"/>
      <c r="L846" s="29"/>
      <c r="M846" s="29"/>
      <c r="N846" s="29"/>
      <c r="O846" s="29"/>
      <c r="P846" s="29"/>
      <c r="Q846" s="29"/>
      <c r="R846" s="29"/>
      <c r="S846" s="29"/>
      <c r="T846" s="1"/>
      <c r="U846" s="34"/>
      <c r="V846" s="34"/>
    </row>
    <row x14ac:dyDescent="0.25" r="847" customHeight="1" ht="15.75">
      <c r="A847" s="1"/>
      <c r="B847" s="34"/>
      <c r="C847" s="2"/>
      <c r="D847" s="34"/>
      <c r="E847" s="34"/>
      <c r="F847" s="34"/>
      <c r="G847" s="34"/>
      <c r="H847" s="29"/>
      <c r="I847" s="29"/>
      <c r="J847" s="6"/>
      <c r="K847" s="29"/>
      <c r="L847" s="29"/>
      <c r="M847" s="29"/>
      <c r="N847" s="29"/>
      <c r="O847" s="29"/>
      <c r="P847" s="29"/>
      <c r="Q847" s="29"/>
      <c r="R847" s="29"/>
      <c r="S847" s="29"/>
      <c r="T847" s="1"/>
      <c r="U847" s="34"/>
      <c r="V847" s="34"/>
    </row>
    <row x14ac:dyDescent="0.25" r="848" customHeight="1" ht="15.75">
      <c r="A848" s="1"/>
      <c r="B848" s="34"/>
      <c r="C848" s="2"/>
      <c r="D848" s="34"/>
      <c r="E848" s="34"/>
      <c r="F848" s="34"/>
      <c r="G848" s="34"/>
      <c r="H848" s="29"/>
      <c r="I848" s="29"/>
      <c r="J848" s="6"/>
      <c r="K848" s="29"/>
      <c r="L848" s="29"/>
      <c r="M848" s="29"/>
      <c r="N848" s="29"/>
      <c r="O848" s="29"/>
      <c r="P848" s="29"/>
      <c r="Q848" s="29"/>
      <c r="R848" s="29"/>
      <c r="S848" s="29"/>
      <c r="T848" s="1"/>
      <c r="U848" s="34"/>
      <c r="V848" s="34"/>
    </row>
    <row x14ac:dyDescent="0.25" r="849" customHeight="1" ht="15.75">
      <c r="A849" s="1"/>
      <c r="B849" s="34"/>
      <c r="C849" s="2"/>
      <c r="D849" s="34"/>
      <c r="E849" s="34"/>
      <c r="F849" s="34"/>
      <c r="G849" s="34"/>
      <c r="H849" s="29"/>
      <c r="I849" s="29"/>
      <c r="J849" s="6"/>
      <c r="K849" s="29"/>
      <c r="L849" s="29"/>
      <c r="M849" s="29"/>
      <c r="N849" s="29"/>
      <c r="O849" s="29"/>
      <c r="P849" s="29"/>
      <c r="Q849" s="29"/>
      <c r="R849" s="29"/>
      <c r="S849" s="29"/>
      <c r="T849" s="1"/>
      <c r="U849" s="34"/>
      <c r="V849" s="34"/>
    </row>
    <row x14ac:dyDescent="0.25" r="850" customHeight="1" ht="15.75">
      <c r="A850" s="1"/>
      <c r="B850" s="34"/>
      <c r="C850" s="2"/>
      <c r="D850" s="34"/>
      <c r="E850" s="34"/>
      <c r="F850" s="34"/>
      <c r="G850" s="34"/>
      <c r="H850" s="29"/>
      <c r="I850" s="29"/>
      <c r="J850" s="6"/>
      <c r="K850" s="29"/>
      <c r="L850" s="29"/>
      <c r="M850" s="29"/>
      <c r="N850" s="29"/>
      <c r="O850" s="29"/>
      <c r="P850" s="29"/>
      <c r="Q850" s="29"/>
      <c r="R850" s="29"/>
      <c r="S850" s="29"/>
      <c r="T850" s="1"/>
      <c r="U850" s="34"/>
      <c r="V850" s="34"/>
    </row>
    <row x14ac:dyDescent="0.25" r="851" customHeight="1" ht="15.75">
      <c r="A851" s="1"/>
      <c r="B851" s="34"/>
      <c r="C851" s="2"/>
      <c r="D851" s="34"/>
      <c r="E851" s="34"/>
      <c r="F851" s="34"/>
      <c r="G851" s="34"/>
      <c r="H851" s="29"/>
      <c r="I851" s="29"/>
      <c r="J851" s="6"/>
      <c r="K851" s="29"/>
      <c r="L851" s="29"/>
      <c r="M851" s="29"/>
      <c r="N851" s="29"/>
      <c r="O851" s="29"/>
      <c r="P851" s="29"/>
      <c r="Q851" s="29"/>
      <c r="R851" s="29"/>
      <c r="S851" s="29"/>
      <c r="T851" s="1"/>
      <c r="U851" s="34"/>
      <c r="V851" s="34"/>
    </row>
    <row x14ac:dyDescent="0.25" r="852" customHeight="1" ht="15.75">
      <c r="A852" s="1"/>
      <c r="B852" s="34"/>
      <c r="C852" s="2"/>
      <c r="D852" s="34"/>
      <c r="E852" s="34"/>
      <c r="F852" s="34"/>
      <c r="G852" s="34"/>
      <c r="H852" s="29"/>
      <c r="I852" s="29"/>
      <c r="J852" s="6"/>
      <c r="K852" s="29"/>
      <c r="L852" s="29"/>
      <c r="M852" s="29"/>
      <c r="N852" s="29"/>
      <c r="O852" s="29"/>
      <c r="P852" s="29"/>
      <c r="Q852" s="29"/>
      <c r="R852" s="29"/>
      <c r="S852" s="29"/>
      <c r="T852" s="1"/>
      <c r="U852" s="34"/>
      <c r="V852" s="34"/>
    </row>
    <row x14ac:dyDescent="0.25" r="853" customHeight="1" ht="15.75">
      <c r="A853" s="1"/>
      <c r="B853" s="34"/>
      <c r="C853" s="2"/>
      <c r="D853" s="34"/>
      <c r="E853" s="34"/>
      <c r="F853" s="34"/>
      <c r="G853" s="34"/>
      <c r="H853" s="29"/>
      <c r="I853" s="29"/>
      <c r="J853" s="6"/>
      <c r="K853" s="29"/>
      <c r="L853" s="29"/>
      <c r="M853" s="29"/>
      <c r="N853" s="29"/>
      <c r="O853" s="29"/>
      <c r="P853" s="29"/>
      <c r="Q853" s="29"/>
      <c r="R853" s="29"/>
      <c r="S853" s="29"/>
      <c r="T853" s="1"/>
      <c r="U853" s="34"/>
      <c r="V853" s="34"/>
    </row>
    <row x14ac:dyDescent="0.25" r="854" customHeight="1" ht="15.75">
      <c r="A854" s="1"/>
      <c r="B854" s="34"/>
      <c r="C854" s="2"/>
      <c r="D854" s="34"/>
      <c r="E854" s="34"/>
      <c r="F854" s="34"/>
      <c r="G854" s="34"/>
      <c r="H854" s="29"/>
      <c r="I854" s="29"/>
      <c r="J854" s="6"/>
      <c r="K854" s="29"/>
      <c r="L854" s="29"/>
      <c r="M854" s="29"/>
      <c r="N854" s="29"/>
      <c r="O854" s="29"/>
      <c r="P854" s="29"/>
      <c r="Q854" s="29"/>
      <c r="R854" s="29"/>
      <c r="S854" s="29"/>
      <c r="T854" s="1"/>
      <c r="U854" s="34"/>
      <c r="V854" s="34"/>
    </row>
    <row x14ac:dyDescent="0.25" r="855" customHeight="1" ht="15.75">
      <c r="A855" s="1"/>
      <c r="B855" s="34"/>
      <c r="C855" s="2"/>
      <c r="D855" s="34"/>
      <c r="E855" s="34"/>
      <c r="F855" s="34"/>
      <c r="G855" s="34"/>
      <c r="H855" s="29"/>
      <c r="I855" s="29"/>
      <c r="J855" s="6"/>
      <c r="K855" s="29"/>
      <c r="L855" s="29"/>
      <c r="M855" s="29"/>
      <c r="N855" s="29"/>
      <c r="O855" s="29"/>
      <c r="P855" s="29"/>
      <c r="Q855" s="29"/>
      <c r="R855" s="29"/>
      <c r="S855" s="29"/>
      <c r="T855" s="1"/>
      <c r="U855" s="34"/>
      <c r="V855" s="34"/>
    </row>
    <row x14ac:dyDescent="0.25" r="856" customHeight="1" ht="15.75">
      <c r="A856" s="1"/>
      <c r="B856" s="34"/>
      <c r="C856" s="2"/>
      <c r="D856" s="34"/>
      <c r="E856" s="34"/>
      <c r="F856" s="34"/>
      <c r="G856" s="34"/>
      <c r="H856" s="29"/>
      <c r="I856" s="29"/>
      <c r="J856" s="6"/>
      <c r="K856" s="29"/>
      <c r="L856" s="29"/>
      <c r="M856" s="29"/>
      <c r="N856" s="29"/>
      <c r="O856" s="29"/>
      <c r="P856" s="29"/>
      <c r="Q856" s="29"/>
      <c r="R856" s="29"/>
      <c r="S856" s="29"/>
      <c r="T856" s="1"/>
      <c r="U856" s="34"/>
      <c r="V856" s="34"/>
    </row>
    <row x14ac:dyDescent="0.25" r="857" customHeight="1" ht="15.75">
      <c r="A857" s="1"/>
      <c r="B857" s="34"/>
      <c r="C857" s="2"/>
      <c r="D857" s="34"/>
      <c r="E857" s="34"/>
      <c r="F857" s="34"/>
      <c r="G857" s="34"/>
      <c r="H857" s="29"/>
      <c r="I857" s="29"/>
      <c r="J857" s="6"/>
      <c r="K857" s="29"/>
      <c r="L857" s="29"/>
      <c r="M857" s="29"/>
      <c r="N857" s="29"/>
      <c r="O857" s="29"/>
      <c r="P857" s="29"/>
      <c r="Q857" s="29"/>
      <c r="R857" s="29"/>
      <c r="S857" s="29"/>
      <c r="T857" s="1"/>
      <c r="U857" s="34"/>
      <c r="V857" s="34"/>
    </row>
    <row x14ac:dyDescent="0.25" r="858" customHeight="1" ht="15.75">
      <c r="A858" s="1"/>
      <c r="B858" s="34"/>
      <c r="C858" s="2"/>
      <c r="D858" s="34"/>
      <c r="E858" s="34"/>
      <c r="F858" s="34"/>
      <c r="G858" s="34"/>
      <c r="H858" s="29"/>
      <c r="I858" s="29"/>
      <c r="J858" s="6"/>
      <c r="K858" s="29"/>
      <c r="L858" s="29"/>
      <c r="M858" s="29"/>
      <c r="N858" s="29"/>
      <c r="O858" s="29"/>
      <c r="P858" s="29"/>
      <c r="Q858" s="29"/>
      <c r="R858" s="29"/>
      <c r="S858" s="29"/>
      <c r="T858" s="1"/>
      <c r="U858" s="34"/>
      <c r="V858" s="34"/>
    </row>
    <row x14ac:dyDescent="0.25" r="859" customHeight="1" ht="15.75">
      <c r="A859" s="1"/>
      <c r="B859" s="34"/>
      <c r="C859" s="2"/>
      <c r="D859" s="34"/>
      <c r="E859" s="34"/>
      <c r="F859" s="34"/>
      <c r="G859" s="34"/>
      <c r="H859" s="29"/>
      <c r="I859" s="29"/>
      <c r="J859" s="6"/>
      <c r="K859" s="29"/>
      <c r="L859" s="29"/>
      <c r="M859" s="29"/>
      <c r="N859" s="29"/>
      <c r="O859" s="29"/>
      <c r="P859" s="29"/>
      <c r="Q859" s="29"/>
      <c r="R859" s="29"/>
      <c r="S859" s="29"/>
      <c r="T859" s="1"/>
      <c r="U859" s="34"/>
      <c r="V859" s="34"/>
    </row>
    <row x14ac:dyDescent="0.25" r="860" customHeight="1" ht="15.75">
      <c r="A860" s="1"/>
      <c r="B860" s="34"/>
      <c r="C860" s="2"/>
      <c r="D860" s="34"/>
      <c r="E860" s="34"/>
      <c r="F860" s="34"/>
      <c r="G860" s="34"/>
      <c r="H860" s="29"/>
      <c r="I860" s="29"/>
      <c r="J860" s="6"/>
      <c r="K860" s="29"/>
      <c r="L860" s="29"/>
      <c r="M860" s="29"/>
      <c r="N860" s="29"/>
      <c r="O860" s="29"/>
      <c r="P860" s="29"/>
      <c r="Q860" s="29"/>
      <c r="R860" s="29"/>
      <c r="S860" s="29"/>
      <c r="T860" s="1"/>
      <c r="U860" s="34"/>
      <c r="V860" s="34"/>
    </row>
    <row x14ac:dyDescent="0.25" r="861" customHeight="1" ht="15.75">
      <c r="A861" s="1"/>
      <c r="B861" s="34"/>
      <c r="C861" s="2"/>
      <c r="D861" s="34"/>
      <c r="E861" s="34"/>
      <c r="F861" s="34"/>
      <c r="G861" s="34"/>
      <c r="H861" s="29"/>
      <c r="I861" s="29"/>
      <c r="J861" s="6"/>
      <c r="K861" s="29"/>
      <c r="L861" s="29"/>
      <c r="M861" s="29"/>
      <c r="N861" s="29"/>
      <c r="O861" s="29"/>
      <c r="P861" s="29"/>
      <c r="Q861" s="29"/>
      <c r="R861" s="29"/>
      <c r="S861" s="29"/>
      <c r="T861" s="1"/>
      <c r="U861" s="34"/>
      <c r="V861" s="34"/>
    </row>
    <row x14ac:dyDescent="0.25" r="862" customHeight="1" ht="15.75">
      <c r="A862" s="1"/>
      <c r="B862" s="34"/>
      <c r="C862" s="2"/>
      <c r="D862" s="34"/>
      <c r="E862" s="34"/>
      <c r="F862" s="34"/>
      <c r="G862" s="34"/>
      <c r="H862" s="29"/>
      <c r="I862" s="29"/>
      <c r="J862" s="6"/>
      <c r="K862" s="29"/>
      <c r="L862" s="29"/>
      <c r="M862" s="29"/>
      <c r="N862" s="29"/>
      <c r="O862" s="29"/>
      <c r="P862" s="29"/>
      <c r="Q862" s="29"/>
      <c r="R862" s="29"/>
      <c r="S862" s="29"/>
      <c r="T862" s="1"/>
      <c r="U862" s="34"/>
      <c r="V862" s="34"/>
    </row>
    <row x14ac:dyDescent="0.25" r="863" customHeight="1" ht="15.75">
      <c r="A863" s="1"/>
      <c r="B863" s="34"/>
      <c r="C863" s="2"/>
      <c r="D863" s="34"/>
      <c r="E863" s="34"/>
      <c r="F863" s="34"/>
      <c r="G863" s="34"/>
      <c r="H863" s="29"/>
      <c r="I863" s="29"/>
      <c r="J863" s="6"/>
      <c r="K863" s="29"/>
      <c r="L863" s="29"/>
      <c r="M863" s="29"/>
      <c r="N863" s="29"/>
      <c r="O863" s="29"/>
      <c r="P863" s="29"/>
      <c r="Q863" s="29"/>
      <c r="R863" s="29"/>
      <c r="S863" s="29"/>
      <c r="T863" s="1"/>
      <c r="U863" s="34"/>
      <c r="V863" s="34"/>
    </row>
    <row x14ac:dyDescent="0.25" r="864" customHeight="1" ht="15.75">
      <c r="A864" s="1"/>
      <c r="B864" s="34"/>
      <c r="C864" s="2"/>
      <c r="D864" s="34"/>
      <c r="E864" s="34"/>
      <c r="F864" s="34"/>
      <c r="G864" s="34"/>
      <c r="H864" s="29"/>
      <c r="I864" s="29"/>
      <c r="J864" s="6"/>
      <c r="K864" s="29"/>
      <c r="L864" s="29"/>
      <c r="M864" s="29"/>
      <c r="N864" s="29"/>
      <c r="O864" s="29"/>
      <c r="P864" s="29"/>
      <c r="Q864" s="29"/>
      <c r="R864" s="29"/>
      <c r="S864" s="29"/>
      <c r="T864" s="1"/>
      <c r="U864" s="34"/>
      <c r="V864" s="34"/>
    </row>
    <row x14ac:dyDescent="0.25" r="865" customHeight="1" ht="15.75">
      <c r="A865" s="1"/>
      <c r="B865" s="34"/>
      <c r="C865" s="2"/>
      <c r="D865" s="34"/>
      <c r="E865" s="34"/>
      <c r="F865" s="34"/>
      <c r="G865" s="34"/>
      <c r="H865" s="29"/>
      <c r="I865" s="29"/>
      <c r="J865" s="6"/>
      <c r="K865" s="29"/>
      <c r="L865" s="29"/>
      <c r="M865" s="29"/>
      <c r="N865" s="29"/>
      <c r="O865" s="29"/>
      <c r="P865" s="29"/>
      <c r="Q865" s="29"/>
      <c r="R865" s="29"/>
      <c r="S865" s="29"/>
      <c r="T865" s="1"/>
      <c r="U865" s="34"/>
      <c r="V865" s="34"/>
    </row>
    <row x14ac:dyDescent="0.25" r="866" customHeight="1" ht="15.75">
      <c r="A866" s="1"/>
      <c r="B866" s="34"/>
      <c r="C866" s="2"/>
      <c r="D866" s="34"/>
      <c r="E866" s="34"/>
      <c r="F866" s="34"/>
      <c r="G866" s="34"/>
      <c r="H866" s="29"/>
      <c r="I866" s="29"/>
      <c r="J866" s="6"/>
      <c r="K866" s="29"/>
      <c r="L866" s="29"/>
      <c r="M866" s="29"/>
      <c r="N866" s="29"/>
      <c r="O866" s="29"/>
      <c r="P866" s="29"/>
      <c r="Q866" s="29"/>
      <c r="R866" s="29"/>
      <c r="S866" s="29"/>
      <c r="T866" s="1"/>
      <c r="U866" s="34"/>
      <c r="V866" s="34"/>
    </row>
    <row x14ac:dyDescent="0.25" r="867" customHeight="1" ht="15.75">
      <c r="A867" s="1"/>
      <c r="B867" s="34"/>
      <c r="C867" s="2"/>
      <c r="D867" s="34"/>
      <c r="E867" s="34"/>
      <c r="F867" s="34"/>
      <c r="G867" s="34"/>
      <c r="H867" s="29"/>
      <c r="I867" s="29"/>
      <c r="J867" s="6"/>
      <c r="K867" s="29"/>
      <c r="L867" s="29"/>
      <c r="M867" s="29"/>
      <c r="N867" s="29"/>
      <c r="O867" s="29"/>
      <c r="P867" s="29"/>
      <c r="Q867" s="29"/>
      <c r="R867" s="29"/>
      <c r="S867" s="29"/>
      <c r="T867" s="1"/>
      <c r="U867" s="34"/>
      <c r="V867" s="34"/>
    </row>
    <row x14ac:dyDescent="0.25" r="868" customHeight="1" ht="15.75">
      <c r="A868" s="1"/>
      <c r="B868" s="34"/>
      <c r="C868" s="2"/>
      <c r="D868" s="34"/>
      <c r="E868" s="34"/>
      <c r="F868" s="34"/>
      <c r="G868" s="34"/>
      <c r="H868" s="29"/>
      <c r="I868" s="29"/>
      <c r="J868" s="6"/>
      <c r="K868" s="29"/>
      <c r="L868" s="29"/>
      <c r="M868" s="29"/>
      <c r="N868" s="29"/>
      <c r="O868" s="29"/>
      <c r="P868" s="29"/>
      <c r="Q868" s="29"/>
      <c r="R868" s="29"/>
      <c r="S868" s="29"/>
      <c r="T868" s="1"/>
      <c r="U868" s="34"/>
      <c r="V868" s="34"/>
    </row>
    <row x14ac:dyDescent="0.25" r="869" customHeight="1" ht="15.75">
      <c r="A869" s="1"/>
      <c r="B869" s="34"/>
      <c r="C869" s="2"/>
      <c r="D869" s="34"/>
      <c r="E869" s="34"/>
      <c r="F869" s="34"/>
      <c r="G869" s="34"/>
      <c r="H869" s="29"/>
      <c r="I869" s="29"/>
      <c r="J869" s="6"/>
      <c r="K869" s="29"/>
      <c r="L869" s="29"/>
      <c r="M869" s="29"/>
      <c r="N869" s="29"/>
      <c r="O869" s="29"/>
      <c r="P869" s="29"/>
      <c r="Q869" s="29"/>
      <c r="R869" s="29"/>
      <c r="S869" s="29"/>
      <c r="T869" s="1"/>
      <c r="U869" s="34"/>
      <c r="V869" s="34"/>
    </row>
    <row x14ac:dyDescent="0.25" r="870" customHeight="1" ht="15.75">
      <c r="A870" s="1"/>
      <c r="B870" s="34"/>
      <c r="C870" s="2"/>
      <c r="D870" s="34"/>
      <c r="E870" s="34"/>
      <c r="F870" s="34"/>
      <c r="G870" s="34"/>
      <c r="H870" s="29"/>
      <c r="I870" s="29"/>
      <c r="J870" s="6"/>
      <c r="K870" s="29"/>
      <c r="L870" s="29"/>
      <c r="M870" s="29"/>
      <c r="N870" s="29"/>
      <c r="O870" s="29"/>
      <c r="P870" s="29"/>
      <c r="Q870" s="29"/>
      <c r="R870" s="29"/>
      <c r="S870" s="29"/>
      <c r="T870" s="1"/>
      <c r="U870" s="34"/>
      <c r="V870" s="34"/>
    </row>
    <row x14ac:dyDescent="0.25" r="871" customHeight="1" ht="15.75">
      <c r="A871" s="1"/>
      <c r="B871" s="34"/>
      <c r="C871" s="2"/>
      <c r="D871" s="34"/>
      <c r="E871" s="34"/>
      <c r="F871" s="34"/>
      <c r="G871" s="34"/>
      <c r="H871" s="29"/>
      <c r="I871" s="29"/>
      <c r="J871" s="6"/>
      <c r="K871" s="29"/>
      <c r="L871" s="29"/>
      <c r="M871" s="29"/>
      <c r="N871" s="29"/>
      <c r="O871" s="29"/>
      <c r="P871" s="29"/>
      <c r="Q871" s="29"/>
      <c r="R871" s="29"/>
      <c r="S871" s="29"/>
      <c r="T871" s="1"/>
      <c r="U871" s="34"/>
      <c r="V871" s="34"/>
    </row>
    <row x14ac:dyDescent="0.25" r="872" customHeight="1" ht="15.75">
      <c r="A872" s="1"/>
      <c r="B872" s="34"/>
      <c r="C872" s="2"/>
      <c r="D872" s="34"/>
      <c r="E872" s="34"/>
      <c r="F872" s="34"/>
      <c r="G872" s="34"/>
      <c r="H872" s="29"/>
      <c r="I872" s="29"/>
      <c r="J872" s="6"/>
      <c r="K872" s="29"/>
      <c r="L872" s="29"/>
      <c r="M872" s="29"/>
      <c r="N872" s="29"/>
      <c r="O872" s="29"/>
      <c r="P872" s="29"/>
      <c r="Q872" s="29"/>
      <c r="R872" s="29"/>
      <c r="S872" s="29"/>
      <c r="T872" s="1"/>
      <c r="U872" s="34"/>
      <c r="V872" s="34"/>
    </row>
    <row x14ac:dyDescent="0.25" r="873" customHeight="1" ht="15.75">
      <c r="A873" s="1"/>
      <c r="B873" s="34"/>
      <c r="C873" s="2"/>
      <c r="D873" s="34"/>
      <c r="E873" s="34"/>
      <c r="F873" s="34"/>
      <c r="G873" s="34"/>
      <c r="H873" s="29"/>
      <c r="I873" s="29"/>
      <c r="J873" s="6"/>
      <c r="K873" s="29"/>
      <c r="L873" s="29"/>
      <c r="M873" s="29"/>
      <c r="N873" s="29"/>
      <c r="O873" s="29"/>
      <c r="P873" s="29"/>
      <c r="Q873" s="29"/>
      <c r="R873" s="29"/>
      <c r="S873" s="29"/>
      <c r="T873" s="1"/>
      <c r="U873" s="34"/>
      <c r="V873" s="34"/>
    </row>
    <row x14ac:dyDescent="0.25" r="874" customHeight="1" ht="15.75">
      <c r="A874" s="1"/>
      <c r="B874" s="34"/>
      <c r="C874" s="2"/>
      <c r="D874" s="34"/>
      <c r="E874" s="34"/>
      <c r="F874" s="34"/>
      <c r="G874" s="34"/>
      <c r="H874" s="29"/>
      <c r="I874" s="29"/>
      <c r="J874" s="6"/>
      <c r="K874" s="29"/>
      <c r="L874" s="29"/>
      <c r="M874" s="29"/>
      <c r="N874" s="29"/>
      <c r="O874" s="29"/>
      <c r="P874" s="29"/>
      <c r="Q874" s="29"/>
      <c r="R874" s="29"/>
      <c r="S874" s="29"/>
      <c r="T874" s="1"/>
      <c r="U874" s="34"/>
      <c r="V874" s="34"/>
    </row>
    <row x14ac:dyDescent="0.25" r="875" customHeight="1" ht="15.75">
      <c r="A875" s="1"/>
      <c r="B875" s="34"/>
      <c r="C875" s="2"/>
      <c r="D875" s="34"/>
      <c r="E875" s="34"/>
      <c r="F875" s="34"/>
      <c r="G875" s="34"/>
      <c r="H875" s="29"/>
      <c r="I875" s="29"/>
      <c r="J875" s="6"/>
      <c r="K875" s="29"/>
      <c r="L875" s="29"/>
      <c r="M875" s="29"/>
      <c r="N875" s="29"/>
      <c r="O875" s="29"/>
      <c r="P875" s="29"/>
      <c r="Q875" s="29"/>
      <c r="R875" s="29"/>
      <c r="S875" s="29"/>
      <c r="T875" s="1"/>
      <c r="U875" s="34"/>
      <c r="V875" s="34"/>
    </row>
    <row x14ac:dyDescent="0.25" r="876" customHeight="1" ht="15.75">
      <c r="A876" s="1"/>
      <c r="B876" s="34"/>
      <c r="C876" s="2"/>
      <c r="D876" s="34"/>
      <c r="E876" s="34"/>
      <c r="F876" s="34"/>
      <c r="G876" s="34"/>
      <c r="H876" s="29"/>
      <c r="I876" s="29"/>
      <c r="J876" s="6"/>
      <c r="K876" s="29"/>
      <c r="L876" s="29"/>
      <c r="M876" s="29"/>
      <c r="N876" s="29"/>
      <c r="O876" s="29"/>
      <c r="P876" s="29"/>
      <c r="Q876" s="29"/>
      <c r="R876" s="29"/>
      <c r="S876" s="29"/>
      <c r="T876" s="1"/>
      <c r="U876" s="34"/>
      <c r="V876" s="34"/>
    </row>
    <row x14ac:dyDescent="0.25" r="877" customHeight="1" ht="15.75">
      <c r="A877" s="1"/>
      <c r="B877" s="34"/>
      <c r="C877" s="2"/>
      <c r="D877" s="34"/>
      <c r="E877" s="34"/>
      <c r="F877" s="34"/>
      <c r="G877" s="34"/>
      <c r="H877" s="29"/>
      <c r="I877" s="29"/>
      <c r="J877" s="6"/>
      <c r="K877" s="29"/>
      <c r="L877" s="29"/>
      <c r="M877" s="29"/>
      <c r="N877" s="29"/>
      <c r="O877" s="29"/>
      <c r="P877" s="29"/>
      <c r="Q877" s="29"/>
      <c r="R877" s="29"/>
      <c r="S877" s="29"/>
      <c r="T877" s="1"/>
      <c r="U877" s="34"/>
      <c r="V877" s="34"/>
    </row>
    <row x14ac:dyDescent="0.25" r="878" customHeight="1" ht="15.75">
      <c r="A878" s="1"/>
      <c r="B878" s="34"/>
      <c r="C878" s="2"/>
      <c r="D878" s="34"/>
      <c r="E878" s="34"/>
      <c r="F878" s="34"/>
      <c r="G878" s="34"/>
      <c r="H878" s="29"/>
      <c r="I878" s="29"/>
      <c r="J878" s="6"/>
      <c r="K878" s="29"/>
      <c r="L878" s="29"/>
      <c r="M878" s="29"/>
      <c r="N878" s="29"/>
      <c r="O878" s="29"/>
      <c r="P878" s="29"/>
      <c r="Q878" s="29"/>
      <c r="R878" s="29"/>
      <c r="S878" s="29"/>
      <c r="T878" s="1"/>
      <c r="U878" s="34"/>
      <c r="V878" s="34"/>
    </row>
    <row x14ac:dyDescent="0.25" r="879" customHeight="1" ht="15.75">
      <c r="A879" s="1"/>
      <c r="B879" s="34"/>
      <c r="C879" s="2"/>
      <c r="D879" s="34"/>
      <c r="E879" s="34"/>
      <c r="F879" s="34"/>
      <c r="G879" s="34"/>
      <c r="H879" s="29"/>
      <c r="I879" s="29"/>
      <c r="J879" s="6"/>
      <c r="K879" s="29"/>
      <c r="L879" s="29"/>
      <c r="M879" s="29"/>
      <c r="N879" s="29"/>
      <c r="O879" s="29"/>
      <c r="P879" s="29"/>
      <c r="Q879" s="29"/>
      <c r="R879" s="29"/>
      <c r="S879" s="29"/>
      <c r="T879" s="1"/>
      <c r="U879" s="34"/>
      <c r="V879" s="34"/>
    </row>
    <row x14ac:dyDescent="0.25" r="880" customHeight="1" ht="15.75">
      <c r="A880" s="1"/>
      <c r="B880" s="34"/>
      <c r="C880" s="2"/>
      <c r="D880" s="34"/>
      <c r="E880" s="34"/>
      <c r="F880" s="34"/>
      <c r="G880" s="34"/>
      <c r="H880" s="29"/>
      <c r="I880" s="29"/>
      <c r="J880" s="6"/>
      <c r="K880" s="29"/>
      <c r="L880" s="29"/>
      <c r="M880" s="29"/>
      <c r="N880" s="29"/>
      <c r="O880" s="29"/>
      <c r="P880" s="29"/>
      <c r="Q880" s="29"/>
      <c r="R880" s="29"/>
      <c r="S880" s="29"/>
      <c r="T880" s="1"/>
      <c r="U880" s="34"/>
      <c r="V880" s="34"/>
    </row>
    <row x14ac:dyDescent="0.25" r="881" customHeight="1" ht="15.75">
      <c r="A881" s="1"/>
      <c r="B881" s="34"/>
      <c r="C881" s="2"/>
      <c r="D881" s="34"/>
      <c r="E881" s="34"/>
      <c r="F881" s="34"/>
      <c r="G881" s="34"/>
      <c r="H881" s="29"/>
      <c r="I881" s="29"/>
      <c r="J881" s="6"/>
      <c r="K881" s="29"/>
      <c r="L881" s="29"/>
      <c r="M881" s="29"/>
      <c r="N881" s="29"/>
      <c r="O881" s="29"/>
      <c r="P881" s="29"/>
      <c r="Q881" s="29"/>
      <c r="R881" s="29"/>
      <c r="S881" s="29"/>
      <c r="T881" s="1"/>
      <c r="U881" s="34"/>
      <c r="V881" s="34"/>
    </row>
    <row x14ac:dyDescent="0.25" r="882" customHeight="1" ht="15.75">
      <c r="A882" s="1"/>
      <c r="B882" s="34"/>
      <c r="C882" s="2"/>
      <c r="D882" s="34"/>
      <c r="E882" s="34"/>
      <c r="F882" s="34"/>
      <c r="G882" s="34"/>
      <c r="H882" s="29"/>
      <c r="I882" s="29"/>
      <c r="J882" s="6"/>
      <c r="K882" s="29"/>
      <c r="L882" s="29"/>
      <c r="M882" s="29"/>
      <c r="N882" s="29"/>
      <c r="O882" s="29"/>
      <c r="P882" s="29"/>
      <c r="Q882" s="29"/>
      <c r="R882" s="29"/>
      <c r="S882" s="29"/>
      <c r="T882" s="1"/>
      <c r="U882" s="34"/>
      <c r="V882" s="34"/>
    </row>
    <row x14ac:dyDescent="0.25" r="883" customHeight="1" ht="15.75">
      <c r="A883" s="1"/>
      <c r="B883" s="34"/>
      <c r="C883" s="2"/>
      <c r="D883" s="34"/>
      <c r="E883" s="34"/>
      <c r="F883" s="34"/>
      <c r="G883" s="34"/>
      <c r="H883" s="29"/>
      <c r="I883" s="29"/>
      <c r="J883" s="6"/>
      <c r="K883" s="29"/>
      <c r="L883" s="29"/>
      <c r="M883" s="29"/>
      <c r="N883" s="29"/>
      <c r="O883" s="29"/>
      <c r="P883" s="29"/>
      <c r="Q883" s="29"/>
      <c r="R883" s="29"/>
      <c r="S883" s="29"/>
      <c r="T883" s="1"/>
      <c r="U883" s="34"/>
      <c r="V883" s="34"/>
    </row>
    <row x14ac:dyDescent="0.25" r="884" customHeight="1" ht="15.75">
      <c r="A884" s="1"/>
      <c r="B884" s="34"/>
      <c r="C884" s="2"/>
      <c r="D884" s="34"/>
      <c r="E884" s="34"/>
      <c r="F884" s="34"/>
      <c r="G884" s="34"/>
      <c r="H884" s="29"/>
      <c r="I884" s="29"/>
      <c r="J884" s="6"/>
      <c r="K884" s="29"/>
      <c r="L884" s="29"/>
      <c r="M884" s="29"/>
      <c r="N884" s="29"/>
      <c r="O884" s="29"/>
      <c r="P884" s="29"/>
      <c r="Q884" s="29"/>
      <c r="R884" s="29"/>
      <c r="S884" s="29"/>
      <c r="T884" s="1"/>
      <c r="U884" s="34"/>
      <c r="V884" s="34"/>
    </row>
    <row x14ac:dyDescent="0.25" r="885" customHeight="1" ht="15.75">
      <c r="A885" s="1"/>
      <c r="B885" s="34"/>
      <c r="C885" s="2"/>
      <c r="D885" s="34"/>
      <c r="E885" s="34"/>
      <c r="F885" s="34"/>
      <c r="G885" s="34"/>
      <c r="H885" s="29"/>
      <c r="I885" s="29"/>
      <c r="J885" s="6"/>
      <c r="K885" s="29"/>
      <c r="L885" s="29"/>
      <c r="M885" s="29"/>
      <c r="N885" s="29"/>
      <c r="O885" s="29"/>
      <c r="P885" s="29"/>
      <c r="Q885" s="29"/>
      <c r="R885" s="29"/>
      <c r="S885" s="29"/>
      <c r="T885" s="1"/>
      <c r="U885" s="34"/>
      <c r="V885" s="34"/>
    </row>
    <row x14ac:dyDescent="0.25" r="886" customHeight="1" ht="15.75">
      <c r="A886" s="1"/>
      <c r="B886" s="34"/>
      <c r="C886" s="2"/>
      <c r="D886" s="34"/>
      <c r="E886" s="34"/>
      <c r="F886" s="34"/>
      <c r="G886" s="34"/>
      <c r="H886" s="29"/>
      <c r="I886" s="29"/>
      <c r="J886" s="6"/>
      <c r="K886" s="29"/>
      <c r="L886" s="29"/>
      <c r="M886" s="29"/>
      <c r="N886" s="29"/>
      <c r="O886" s="29"/>
      <c r="P886" s="29"/>
      <c r="Q886" s="29"/>
      <c r="R886" s="29"/>
      <c r="S886" s="29"/>
      <c r="T886" s="1"/>
      <c r="U886" s="34"/>
      <c r="V886" s="34"/>
    </row>
    <row x14ac:dyDescent="0.25" r="887" customHeight="1" ht="15.75">
      <c r="A887" s="1"/>
      <c r="B887" s="34"/>
      <c r="C887" s="2"/>
      <c r="D887" s="34"/>
      <c r="E887" s="34"/>
      <c r="F887" s="34"/>
      <c r="G887" s="34"/>
      <c r="H887" s="29"/>
      <c r="I887" s="29"/>
      <c r="J887" s="6"/>
      <c r="K887" s="29"/>
      <c r="L887" s="29"/>
      <c r="M887" s="29"/>
      <c r="N887" s="29"/>
      <c r="O887" s="29"/>
      <c r="P887" s="29"/>
      <c r="Q887" s="29"/>
      <c r="R887" s="29"/>
      <c r="S887" s="29"/>
      <c r="T887" s="1"/>
      <c r="U887" s="34"/>
      <c r="V887" s="34"/>
    </row>
    <row x14ac:dyDescent="0.25" r="888" customHeight="1" ht="15.75">
      <c r="A888" s="1"/>
      <c r="B888" s="34"/>
      <c r="C888" s="2"/>
      <c r="D888" s="34"/>
      <c r="E888" s="34"/>
      <c r="F888" s="34"/>
      <c r="G888" s="34"/>
      <c r="H888" s="29"/>
      <c r="I888" s="29"/>
      <c r="J888" s="6"/>
      <c r="K888" s="29"/>
      <c r="L888" s="29"/>
      <c r="M888" s="29"/>
      <c r="N888" s="29"/>
      <c r="O888" s="29"/>
      <c r="P888" s="29"/>
      <c r="Q888" s="29"/>
      <c r="R888" s="29"/>
      <c r="S888" s="29"/>
      <c r="T888" s="1"/>
      <c r="U888" s="34"/>
      <c r="V888" s="34"/>
    </row>
    <row x14ac:dyDescent="0.25" r="889" customHeight="1" ht="15.75">
      <c r="A889" s="1"/>
      <c r="B889" s="34"/>
      <c r="C889" s="2"/>
      <c r="D889" s="34"/>
      <c r="E889" s="34"/>
      <c r="F889" s="34"/>
      <c r="G889" s="34"/>
      <c r="H889" s="29"/>
      <c r="I889" s="29"/>
      <c r="J889" s="6"/>
      <c r="K889" s="29"/>
      <c r="L889" s="29"/>
      <c r="M889" s="29"/>
      <c r="N889" s="29"/>
      <c r="O889" s="29"/>
      <c r="P889" s="29"/>
      <c r="Q889" s="29"/>
      <c r="R889" s="29"/>
      <c r="S889" s="29"/>
      <c r="T889" s="1"/>
      <c r="U889" s="34"/>
      <c r="V889" s="34"/>
    </row>
    <row x14ac:dyDescent="0.25" r="890" customHeight="1" ht="15.75">
      <c r="A890" s="1"/>
      <c r="B890" s="34"/>
      <c r="C890" s="2"/>
      <c r="D890" s="34"/>
      <c r="E890" s="34"/>
      <c r="F890" s="34"/>
      <c r="G890" s="34"/>
      <c r="H890" s="29"/>
      <c r="I890" s="29"/>
      <c r="J890" s="6"/>
      <c r="K890" s="29"/>
      <c r="L890" s="29"/>
      <c r="M890" s="29"/>
      <c r="N890" s="29"/>
      <c r="O890" s="29"/>
      <c r="P890" s="29"/>
      <c r="Q890" s="29"/>
      <c r="R890" s="29"/>
      <c r="S890" s="29"/>
      <c r="T890" s="1"/>
      <c r="U890" s="34"/>
      <c r="V890" s="34"/>
    </row>
    <row x14ac:dyDescent="0.25" r="891" customHeight="1" ht="15.75">
      <c r="A891" s="1"/>
      <c r="B891" s="34"/>
      <c r="C891" s="2"/>
      <c r="D891" s="34"/>
      <c r="E891" s="34"/>
      <c r="F891" s="34"/>
      <c r="G891" s="34"/>
      <c r="H891" s="29"/>
      <c r="I891" s="29"/>
      <c r="J891" s="6"/>
      <c r="K891" s="29"/>
      <c r="L891" s="29"/>
      <c r="M891" s="29"/>
      <c r="N891" s="29"/>
      <c r="O891" s="29"/>
      <c r="P891" s="29"/>
      <c r="Q891" s="29"/>
      <c r="R891" s="29"/>
      <c r="S891" s="29"/>
      <c r="T891" s="1"/>
      <c r="U891" s="34"/>
      <c r="V891" s="34"/>
    </row>
    <row x14ac:dyDescent="0.25" r="892" customHeight="1" ht="15.75">
      <c r="A892" s="1"/>
      <c r="B892" s="34"/>
      <c r="C892" s="2"/>
      <c r="D892" s="34"/>
      <c r="E892" s="34"/>
      <c r="F892" s="34"/>
      <c r="G892" s="34"/>
      <c r="H892" s="29"/>
      <c r="I892" s="29"/>
      <c r="J892" s="6"/>
      <c r="K892" s="29"/>
      <c r="L892" s="29"/>
      <c r="M892" s="29"/>
      <c r="N892" s="29"/>
      <c r="O892" s="29"/>
      <c r="P892" s="29"/>
      <c r="Q892" s="29"/>
      <c r="R892" s="29"/>
      <c r="S892" s="29"/>
      <c r="T892" s="1"/>
      <c r="U892" s="34"/>
      <c r="V892" s="34"/>
    </row>
    <row x14ac:dyDescent="0.25" r="893" customHeight="1" ht="15.75">
      <c r="A893" s="1"/>
      <c r="B893" s="34"/>
      <c r="C893" s="2"/>
      <c r="D893" s="34"/>
      <c r="E893" s="34"/>
      <c r="F893" s="34"/>
      <c r="G893" s="34"/>
      <c r="H893" s="29"/>
      <c r="I893" s="29"/>
      <c r="J893" s="6"/>
      <c r="K893" s="29"/>
      <c r="L893" s="29"/>
      <c r="M893" s="29"/>
      <c r="N893" s="29"/>
      <c r="O893" s="29"/>
      <c r="P893" s="29"/>
      <c r="Q893" s="29"/>
      <c r="R893" s="29"/>
      <c r="S893" s="29"/>
      <c r="T893" s="1"/>
      <c r="U893" s="34"/>
      <c r="V893" s="34"/>
    </row>
    <row x14ac:dyDescent="0.25" r="894" customHeight="1" ht="15.75">
      <c r="A894" s="1"/>
      <c r="B894" s="34"/>
      <c r="C894" s="2"/>
      <c r="D894" s="34"/>
      <c r="E894" s="34"/>
      <c r="F894" s="34"/>
      <c r="G894" s="34"/>
      <c r="H894" s="29"/>
      <c r="I894" s="29"/>
      <c r="J894" s="6"/>
      <c r="K894" s="29"/>
      <c r="L894" s="29"/>
      <c r="M894" s="29"/>
      <c r="N894" s="29"/>
      <c r="O894" s="29"/>
      <c r="P894" s="29"/>
      <c r="Q894" s="29"/>
      <c r="R894" s="29"/>
      <c r="S894" s="29"/>
      <c r="T894" s="1"/>
      <c r="U894" s="34"/>
      <c r="V894" s="34"/>
    </row>
    <row x14ac:dyDescent="0.25" r="895" customHeight="1" ht="15.75">
      <c r="A895" s="1"/>
      <c r="B895" s="34"/>
      <c r="C895" s="2"/>
      <c r="D895" s="34"/>
      <c r="E895" s="34"/>
      <c r="F895" s="34"/>
      <c r="G895" s="34"/>
      <c r="H895" s="29"/>
      <c r="I895" s="29"/>
      <c r="J895" s="6"/>
      <c r="K895" s="29"/>
      <c r="L895" s="29"/>
      <c r="M895" s="29"/>
      <c r="N895" s="29"/>
      <c r="O895" s="29"/>
      <c r="P895" s="29"/>
      <c r="Q895" s="29"/>
      <c r="R895" s="29"/>
      <c r="S895" s="29"/>
      <c r="T895" s="1"/>
      <c r="U895" s="34"/>
      <c r="V895" s="34"/>
    </row>
    <row x14ac:dyDescent="0.25" r="896" customHeight="1" ht="15.75">
      <c r="A896" s="1"/>
      <c r="B896" s="34"/>
      <c r="C896" s="2"/>
      <c r="D896" s="34"/>
      <c r="E896" s="34"/>
      <c r="F896" s="34"/>
      <c r="G896" s="34"/>
      <c r="H896" s="29"/>
      <c r="I896" s="29"/>
      <c r="J896" s="6"/>
      <c r="K896" s="29"/>
      <c r="L896" s="29"/>
      <c r="M896" s="29"/>
      <c r="N896" s="29"/>
      <c r="O896" s="29"/>
      <c r="P896" s="29"/>
      <c r="Q896" s="29"/>
      <c r="R896" s="29"/>
      <c r="S896" s="29"/>
      <c r="T896" s="1"/>
      <c r="U896" s="34"/>
      <c r="V896" s="34"/>
    </row>
    <row x14ac:dyDescent="0.25" r="897" customHeight="1" ht="15.75">
      <c r="A897" s="1"/>
      <c r="B897" s="34"/>
      <c r="C897" s="2"/>
      <c r="D897" s="34"/>
      <c r="E897" s="34"/>
      <c r="F897" s="34"/>
      <c r="G897" s="34"/>
      <c r="H897" s="29"/>
      <c r="I897" s="29"/>
      <c r="J897" s="6"/>
      <c r="K897" s="29"/>
      <c r="L897" s="29"/>
      <c r="M897" s="29"/>
      <c r="N897" s="29"/>
      <c r="O897" s="29"/>
      <c r="P897" s="29"/>
      <c r="Q897" s="29"/>
      <c r="R897" s="29"/>
      <c r="S897" s="29"/>
      <c r="T897" s="1"/>
      <c r="U897" s="34"/>
      <c r="V897" s="34"/>
    </row>
    <row x14ac:dyDescent="0.25" r="898" customHeight="1" ht="15.75">
      <c r="A898" s="1"/>
      <c r="B898" s="34"/>
      <c r="C898" s="2"/>
      <c r="D898" s="34"/>
      <c r="E898" s="34"/>
      <c r="F898" s="34"/>
      <c r="G898" s="34"/>
      <c r="H898" s="29"/>
      <c r="I898" s="29"/>
      <c r="J898" s="6"/>
      <c r="K898" s="29"/>
      <c r="L898" s="29"/>
      <c r="M898" s="29"/>
      <c r="N898" s="29"/>
      <c r="O898" s="29"/>
      <c r="P898" s="29"/>
      <c r="Q898" s="29"/>
      <c r="R898" s="29"/>
      <c r="S898" s="29"/>
      <c r="T898" s="1"/>
      <c r="U898" s="34"/>
      <c r="V898" s="34"/>
    </row>
    <row x14ac:dyDescent="0.25" r="899" customHeight="1" ht="15.75">
      <c r="A899" s="1"/>
      <c r="B899" s="34"/>
      <c r="C899" s="2"/>
      <c r="D899" s="34"/>
      <c r="E899" s="34"/>
      <c r="F899" s="34"/>
      <c r="G899" s="34"/>
      <c r="H899" s="29"/>
      <c r="I899" s="29"/>
      <c r="J899" s="6"/>
      <c r="K899" s="29"/>
      <c r="L899" s="29"/>
      <c r="M899" s="29"/>
      <c r="N899" s="29"/>
      <c r="O899" s="29"/>
      <c r="P899" s="29"/>
      <c r="Q899" s="29"/>
      <c r="R899" s="29"/>
      <c r="S899" s="29"/>
      <c r="T899" s="1"/>
      <c r="U899" s="34"/>
      <c r="V899" s="34"/>
    </row>
    <row x14ac:dyDescent="0.25" r="900" customHeight="1" ht="15.75">
      <c r="A900" s="1"/>
      <c r="B900" s="34"/>
      <c r="C900" s="2"/>
      <c r="D900" s="34"/>
      <c r="E900" s="34"/>
      <c r="F900" s="34"/>
      <c r="G900" s="34"/>
      <c r="H900" s="29"/>
      <c r="I900" s="29"/>
      <c r="J900" s="6"/>
      <c r="K900" s="29"/>
      <c r="L900" s="29"/>
      <c r="M900" s="29"/>
      <c r="N900" s="29"/>
      <c r="O900" s="29"/>
      <c r="P900" s="29"/>
      <c r="Q900" s="29"/>
      <c r="R900" s="29"/>
      <c r="S900" s="29"/>
      <c r="T900" s="1"/>
      <c r="U900" s="34"/>
      <c r="V900" s="34"/>
    </row>
    <row x14ac:dyDescent="0.25" r="901" customHeight="1" ht="15.75">
      <c r="A901" s="1"/>
      <c r="B901" s="34"/>
      <c r="C901" s="2"/>
      <c r="D901" s="34"/>
      <c r="E901" s="34"/>
      <c r="F901" s="34"/>
      <c r="G901" s="34"/>
      <c r="H901" s="29"/>
      <c r="I901" s="29"/>
      <c r="J901" s="6"/>
      <c r="K901" s="29"/>
      <c r="L901" s="29"/>
      <c r="M901" s="29"/>
      <c r="N901" s="29"/>
      <c r="O901" s="29"/>
      <c r="P901" s="29"/>
      <c r="Q901" s="29"/>
      <c r="R901" s="29"/>
      <c r="S901" s="29"/>
      <c r="T901" s="1"/>
      <c r="U901" s="34"/>
      <c r="V901" s="34"/>
    </row>
    <row x14ac:dyDescent="0.25" r="902" customHeight="1" ht="15.75">
      <c r="A902" s="1"/>
      <c r="B902" s="34"/>
      <c r="C902" s="2"/>
      <c r="D902" s="34"/>
      <c r="E902" s="34"/>
      <c r="F902" s="34"/>
      <c r="G902" s="34"/>
      <c r="H902" s="29"/>
      <c r="I902" s="29"/>
      <c r="J902" s="6"/>
      <c r="K902" s="29"/>
      <c r="L902" s="29"/>
      <c r="M902" s="29"/>
      <c r="N902" s="29"/>
      <c r="O902" s="29"/>
      <c r="P902" s="29"/>
      <c r="Q902" s="29"/>
      <c r="R902" s="29"/>
      <c r="S902" s="29"/>
      <c r="T902" s="1"/>
      <c r="U902" s="34"/>
      <c r="V902" s="34"/>
    </row>
    <row x14ac:dyDescent="0.25" r="903" customHeight="1" ht="15.75">
      <c r="A903" s="1"/>
      <c r="B903" s="34"/>
      <c r="C903" s="2"/>
      <c r="D903" s="34"/>
      <c r="E903" s="34"/>
      <c r="F903" s="34"/>
      <c r="G903" s="34"/>
      <c r="H903" s="29"/>
      <c r="I903" s="29"/>
      <c r="J903" s="6"/>
      <c r="K903" s="29"/>
      <c r="L903" s="29"/>
      <c r="M903" s="29"/>
      <c r="N903" s="29"/>
      <c r="O903" s="29"/>
      <c r="P903" s="29"/>
      <c r="Q903" s="29"/>
      <c r="R903" s="29"/>
      <c r="S903" s="29"/>
      <c r="T903" s="1"/>
      <c r="U903" s="34"/>
      <c r="V903" s="34"/>
    </row>
    <row x14ac:dyDescent="0.25" r="904" customHeight="1" ht="15.75">
      <c r="A904" s="1"/>
      <c r="B904" s="34"/>
      <c r="C904" s="2"/>
      <c r="D904" s="34"/>
      <c r="E904" s="34"/>
      <c r="F904" s="34"/>
      <c r="G904" s="34"/>
      <c r="H904" s="29"/>
      <c r="I904" s="29"/>
      <c r="J904" s="6"/>
      <c r="K904" s="29"/>
      <c r="L904" s="29"/>
      <c r="M904" s="29"/>
      <c r="N904" s="29"/>
      <c r="O904" s="29"/>
      <c r="P904" s="29"/>
      <c r="Q904" s="29"/>
      <c r="R904" s="29"/>
      <c r="S904" s="29"/>
      <c r="T904" s="1"/>
      <c r="U904" s="34"/>
      <c r="V904" s="34"/>
    </row>
    <row x14ac:dyDescent="0.25" r="905" customHeight="1" ht="15.75">
      <c r="A905" s="1"/>
      <c r="B905" s="34"/>
      <c r="C905" s="2"/>
      <c r="D905" s="34"/>
      <c r="E905" s="34"/>
      <c r="F905" s="34"/>
      <c r="G905" s="34"/>
      <c r="H905" s="29"/>
      <c r="I905" s="29"/>
      <c r="J905" s="6"/>
      <c r="K905" s="29"/>
      <c r="L905" s="29"/>
      <c r="M905" s="29"/>
      <c r="N905" s="29"/>
      <c r="O905" s="29"/>
      <c r="P905" s="29"/>
      <c r="Q905" s="29"/>
      <c r="R905" s="29"/>
      <c r="S905" s="29"/>
      <c r="T905" s="1"/>
      <c r="U905" s="34"/>
      <c r="V905" s="34"/>
    </row>
    <row x14ac:dyDescent="0.25" r="906" customHeight="1" ht="15.75">
      <c r="A906" s="1"/>
      <c r="B906" s="34"/>
      <c r="C906" s="2"/>
      <c r="D906" s="34"/>
      <c r="E906" s="34"/>
      <c r="F906" s="34"/>
      <c r="G906" s="34"/>
      <c r="H906" s="29"/>
      <c r="I906" s="29"/>
      <c r="J906" s="6"/>
      <c r="K906" s="29"/>
      <c r="L906" s="29"/>
      <c r="M906" s="29"/>
      <c r="N906" s="29"/>
      <c r="O906" s="29"/>
      <c r="P906" s="29"/>
      <c r="Q906" s="29"/>
      <c r="R906" s="29"/>
      <c r="S906" s="29"/>
      <c r="T906" s="1"/>
      <c r="U906" s="34"/>
      <c r="V906" s="34"/>
    </row>
    <row x14ac:dyDescent="0.25" r="907" customHeight="1" ht="15.75">
      <c r="A907" s="1"/>
      <c r="B907" s="34"/>
      <c r="C907" s="2"/>
      <c r="D907" s="34"/>
      <c r="E907" s="34"/>
      <c r="F907" s="34"/>
      <c r="G907" s="34"/>
      <c r="H907" s="29"/>
      <c r="I907" s="29"/>
      <c r="J907" s="6"/>
      <c r="K907" s="29"/>
      <c r="L907" s="29"/>
      <c r="M907" s="29"/>
      <c r="N907" s="29"/>
      <c r="O907" s="29"/>
      <c r="P907" s="29"/>
      <c r="Q907" s="29"/>
      <c r="R907" s="29"/>
      <c r="S907" s="29"/>
      <c r="T907" s="1"/>
      <c r="U907" s="34"/>
      <c r="V907" s="34"/>
    </row>
    <row x14ac:dyDescent="0.25" r="908" customHeight="1" ht="15.75">
      <c r="A908" s="1"/>
      <c r="B908" s="34"/>
      <c r="C908" s="2"/>
      <c r="D908" s="34"/>
      <c r="E908" s="34"/>
      <c r="F908" s="34"/>
      <c r="G908" s="34"/>
      <c r="H908" s="29"/>
      <c r="I908" s="29"/>
      <c r="J908" s="6"/>
      <c r="K908" s="29"/>
      <c r="L908" s="29"/>
      <c r="M908" s="29"/>
      <c r="N908" s="29"/>
      <c r="O908" s="29"/>
      <c r="P908" s="29"/>
      <c r="Q908" s="29"/>
      <c r="R908" s="29"/>
      <c r="S908" s="29"/>
      <c r="T908" s="1"/>
      <c r="U908" s="34"/>
      <c r="V908" s="34"/>
    </row>
    <row x14ac:dyDescent="0.25" r="909" customHeight="1" ht="15.75">
      <c r="A909" s="1"/>
      <c r="B909" s="34"/>
      <c r="C909" s="2"/>
      <c r="D909" s="34"/>
      <c r="E909" s="34"/>
      <c r="F909" s="34"/>
      <c r="G909" s="34"/>
      <c r="H909" s="29"/>
      <c r="I909" s="29"/>
      <c r="J909" s="6"/>
      <c r="K909" s="29"/>
      <c r="L909" s="29"/>
      <c r="M909" s="29"/>
      <c r="N909" s="29"/>
      <c r="O909" s="29"/>
      <c r="P909" s="29"/>
      <c r="Q909" s="29"/>
      <c r="R909" s="29"/>
      <c r="S909" s="29"/>
      <c r="T909" s="1"/>
      <c r="U909" s="34"/>
      <c r="V909" s="34"/>
    </row>
    <row x14ac:dyDescent="0.25" r="910" customHeight="1" ht="15.75">
      <c r="A910" s="1"/>
      <c r="B910" s="34"/>
      <c r="C910" s="2"/>
      <c r="D910" s="34"/>
      <c r="E910" s="34"/>
      <c r="F910" s="34"/>
      <c r="G910" s="34"/>
      <c r="H910" s="29"/>
      <c r="I910" s="29"/>
      <c r="J910" s="6"/>
      <c r="K910" s="29"/>
      <c r="L910" s="29"/>
      <c r="M910" s="29"/>
      <c r="N910" s="29"/>
      <c r="O910" s="29"/>
      <c r="P910" s="29"/>
      <c r="Q910" s="29"/>
      <c r="R910" s="29"/>
      <c r="S910" s="29"/>
      <c r="T910" s="1"/>
      <c r="U910" s="34"/>
      <c r="V910" s="34"/>
    </row>
    <row x14ac:dyDescent="0.25" r="911" customHeight="1" ht="15.75">
      <c r="A911" s="1"/>
      <c r="B911" s="34"/>
      <c r="C911" s="2"/>
      <c r="D911" s="34"/>
      <c r="E911" s="34"/>
      <c r="F911" s="34"/>
      <c r="G911" s="34"/>
      <c r="H911" s="29"/>
      <c r="I911" s="29"/>
      <c r="J911" s="6"/>
      <c r="K911" s="29"/>
      <c r="L911" s="29"/>
      <c r="M911" s="29"/>
      <c r="N911" s="29"/>
      <c r="O911" s="29"/>
      <c r="P911" s="29"/>
      <c r="Q911" s="29"/>
      <c r="R911" s="29"/>
      <c r="S911" s="29"/>
      <c r="T911" s="1"/>
      <c r="U911" s="34"/>
      <c r="V911" s="34"/>
    </row>
    <row x14ac:dyDescent="0.25" r="912" customHeight="1" ht="15.75">
      <c r="A912" s="1"/>
      <c r="B912" s="34"/>
      <c r="C912" s="2"/>
      <c r="D912" s="34"/>
      <c r="E912" s="34"/>
      <c r="F912" s="34"/>
      <c r="G912" s="34"/>
      <c r="H912" s="29"/>
      <c r="I912" s="29"/>
      <c r="J912" s="6"/>
      <c r="K912" s="29"/>
      <c r="L912" s="29"/>
      <c r="M912" s="29"/>
      <c r="N912" s="29"/>
      <c r="O912" s="29"/>
      <c r="P912" s="29"/>
      <c r="Q912" s="29"/>
      <c r="R912" s="29"/>
      <c r="S912" s="29"/>
      <c r="T912" s="1"/>
      <c r="U912" s="34"/>
      <c r="V912" s="34"/>
    </row>
    <row x14ac:dyDescent="0.25" r="913" customHeight="1" ht="15.75">
      <c r="A913" s="1"/>
      <c r="B913" s="34"/>
      <c r="C913" s="2"/>
      <c r="D913" s="34"/>
      <c r="E913" s="34"/>
      <c r="F913" s="34"/>
      <c r="G913" s="34"/>
      <c r="H913" s="29"/>
      <c r="I913" s="29"/>
      <c r="J913" s="6"/>
      <c r="K913" s="29"/>
      <c r="L913" s="29"/>
      <c r="M913" s="29"/>
      <c r="N913" s="29"/>
      <c r="O913" s="29"/>
      <c r="P913" s="29"/>
      <c r="Q913" s="29"/>
      <c r="R913" s="29"/>
      <c r="S913" s="29"/>
      <c r="T913" s="1"/>
      <c r="U913" s="34"/>
      <c r="V913" s="34"/>
    </row>
    <row x14ac:dyDescent="0.25" r="914" customHeight="1" ht="15.75">
      <c r="A914" s="1"/>
      <c r="B914" s="34"/>
      <c r="C914" s="2"/>
      <c r="D914" s="34"/>
      <c r="E914" s="34"/>
      <c r="F914" s="34"/>
      <c r="G914" s="34"/>
      <c r="H914" s="29"/>
      <c r="I914" s="29"/>
      <c r="J914" s="6"/>
      <c r="K914" s="29"/>
      <c r="L914" s="29"/>
      <c r="M914" s="29"/>
      <c r="N914" s="29"/>
      <c r="O914" s="29"/>
      <c r="P914" s="29"/>
      <c r="Q914" s="29"/>
      <c r="R914" s="29"/>
      <c r="S914" s="29"/>
      <c r="T914" s="1"/>
      <c r="U914" s="34"/>
      <c r="V914" s="34"/>
    </row>
    <row x14ac:dyDescent="0.25" r="915" customHeight="1" ht="15.75">
      <c r="A915" s="1"/>
      <c r="B915" s="34"/>
      <c r="C915" s="2"/>
      <c r="D915" s="34"/>
      <c r="E915" s="34"/>
      <c r="F915" s="34"/>
      <c r="G915" s="34"/>
      <c r="H915" s="29"/>
      <c r="I915" s="29"/>
      <c r="J915" s="6"/>
      <c r="K915" s="29"/>
      <c r="L915" s="29"/>
      <c r="M915" s="29"/>
      <c r="N915" s="29"/>
      <c r="O915" s="29"/>
      <c r="P915" s="29"/>
      <c r="Q915" s="29"/>
      <c r="R915" s="29"/>
      <c r="S915" s="29"/>
      <c r="T915" s="1"/>
      <c r="U915" s="34"/>
      <c r="V915" s="34"/>
    </row>
    <row x14ac:dyDescent="0.25" r="916" customHeight="1" ht="15.75">
      <c r="A916" s="1"/>
      <c r="B916" s="34"/>
      <c r="C916" s="2"/>
      <c r="D916" s="34"/>
      <c r="E916" s="34"/>
      <c r="F916" s="34"/>
      <c r="G916" s="34"/>
      <c r="H916" s="29"/>
      <c r="I916" s="29"/>
      <c r="J916" s="6"/>
      <c r="K916" s="29"/>
      <c r="L916" s="29"/>
      <c r="M916" s="29"/>
      <c r="N916" s="29"/>
      <c r="O916" s="29"/>
      <c r="P916" s="29"/>
      <c r="Q916" s="29"/>
      <c r="R916" s="29"/>
      <c r="S916" s="29"/>
      <c r="T916" s="1"/>
      <c r="U916" s="34"/>
      <c r="V916" s="34"/>
    </row>
    <row x14ac:dyDescent="0.25" r="917" customHeight="1" ht="15.75">
      <c r="A917" s="1"/>
      <c r="B917" s="34"/>
      <c r="C917" s="2"/>
      <c r="D917" s="34"/>
      <c r="E917" s="34"/>
      <c r="F917" s="34"/>
      <c r="G917" s="34"/>
      <c r="H917" s="29"/>
      <c r="I917" s="29"/>
      <c r="J917" s="6"/>
      <c r="K917" s="29"/>
      <c r="L917" s="29"/>
      <c r="M917" s="29"/>
      <c r="N917" s="29"/>
      <c r="O917" s="29"/>
      <c r="P917" s="29"/>
      <c r="Q917" s="29"/>
      <c r="R917" s="29"/>
      <c r="S917" s="29"/>
      <c r="T917" s="1"/>
      <c r="U917" s="34"/>
      <c r="V917" s="34"/>
    </row>
    <row x14ac:dyDescent="0.25" r="918" customHeight="1" ht="15.75">
      <c r="A918" s="1"/>
      <c r="B918" s="34"/>
      <c r="C918" s="2"/>
      <c r="D918" s="34"/>
      <c r="E918" s="34"/>
      <c r="F918" s="34"/>
      <c r="G918" s="34"/>
      <c r="H918" s="29"/>
      <c r="I918" s="29"/>
      <c r="J918" s="6"/>
      <c r="K918" s="29"/>
      <c r="L918" s="29"/>
      <c r="M918" s="29"/>
      <c r="N918" s="29"/>
      <c r="O918" s="29"/>
      <c r="P918" s="29"/>
      <c r="Q918" s="29"/>
      <c r="R918" s="29"/>
      <c r="S918" s="29"/>
      <c r="T918" s="1"/>
      <c r="U918" s="34"/>
      <c r="V918" s="34"/>
    </row>
    <row x14ac:dyDescent="0.25" r="919" customHeight="1" ht="15.75">
      <c r="A919" s="1"/>
      <c r="B919" s="34"/>
      <c r="C919" s="2"/>
      <c r="D919" s="34"/>
      <c r="E919" s="34"/>
      <c r="F919" s="34"/>
      <c r="G919" s="34"/>
      <c r="H919" s="29"/>
      <c r="I919" s="29"/>
      <c r="J919" s="6"/>
      <c r="K919" s="29"/>
      <c r="L919" s="29"/>
      <c r="M919" s="29"/>
      <c r="N919" s="29"/>
      <c r="O919" s="29"/>
      <c r="P919" s="29"/>
      <c r="Q919" s="29"/>
      <c r="R919" s="29"/>
      <c r="S919" s="29"/>
      <c r="T919" s="1"/>
      <c r="U919" s="34"/>
      <c r="V919" s="34"/>
    </row>
    <row x14ac:dyDescent="0.25" r="920" customHeight="1" ht="15.75">
      <c r="A920" s="1"/>
      <c r="B920" s="34"/>
      <c r="C920" s="2"/>
      <c r="D920" s="34"/>
      <c r="E920" s="34"/>
      <c r="F920" s="34"/>
      <c r="G920" s="34"/>
      <c r="H920" s="29"/>
      <c r="I920" s="29"/>
      <c r="J920" s="6"/>
      <c r="K920" s="29"/>
      <c r="L920" s="29"/>
      <c r="M920" s="29"/>
      <c r="N920" s="29"/>
      <c r="O920" s="29"/>
      <c r="P920" s="29"/>
      <c r="Q920" s="29"/>
      <c r="R920" s="29"/>
      <c r="S920" s="29"/>
      <c r="T920" s="1"/>
      <c r="U920" s="34"/>
      <c r="V920" s="34"/>
    </row>
    <row x14ac:dyDescent="0.25" r="921" customHeight="1" ht="15.75">
      <c r="A921" s="1"/>
      <c r="B921" s="34"/>
      <c r="C921" s="2"/>
      <c r="D921" s="34"/>
      <c r="E921" s="34"/>
      <c r="F921" s="34"/>
      <c r="G921" s="34"/>
      <c r="H921" s="29"/>
      <c r="I921" s="29"/>
      <c r="J921" s="6"/>
      <c r="K921" s="29"/>
      <c r="L921" s="29"/>
      <c r="M921" s="29"/>
      <c r="N921" s="29"/>
      <c r="O921" s="29"/>
      <c r="P921" s="29"/>
      <c r="Q921" s="29"/>
      <c r="R921" s="29"/>
      <c r="S921" s="29"/>
      <c r="T921" s="1"/>
      <c r="U921" s="34"/>
      <c r="V921" s="34"/>
    </row>
    <row x14ac:dyDescent="0.25" r="922" customHeight="1" ht="15.75">
      <c r="A922" s="1"/>
      <c r="B922" s="34"/>
      <c r="C922" s="2"/>
      <c r="D922" s="34"/>
      <c r="E922" s="34"/>
      <c r="F922" s="34"/>
      <c r="G922" s="34"/>
      <c r="H922" s="29"/>
      <c r="I922" s="29"/>
      <c r="J922" s="6"/>
      <c r="K922" s="29"/>
      <c r="L922" s="29"/>
      <c r="M922" s="29"/>
      <c r="N922" s="29"/>
      <c r="O922" s="29"/>
      <c r="P922" s="29"/>
      <c r="Q922" s="29"/>
      <c r="R922" s="29"/>
      <c r="S922" s="29"/>
      <c r="T922" s="1"/>
      <c r="U922" s="34"/>
      <c r="V922" s="34"/>
    </row>
    <row x14ac:dyDescent="0.25" r="923" customHeight="1" ht="15.75">
      <c r="A923" s="1"/>
      <c r="B923" s="34"/>
      <c r="C923" s="2"/>
      <c r="D923" s="34"/>
      <c r="E923" s="34"/>
      <c r="F923" s="34"/>
      <c r="G923" s="34"/>
      <c r="H923" s="29"/>
      <c r="I923" s="29"/>
      <c r="J923" s="6"/>
      <c r="K923" s="29"/>
      <c r="L923" s="29"/>
      <c r="M923" s="29"/>
      <c r="N923" s="29"/>
      <c r="O923" s="29"/>
      <c r="P923" s="29"/>
      <c r="Q923" s="29"/>
      <c r="R923" s="29"/>
      <c r="S923" s="29"/>
      <c r="T923" s="1"/>
      <c r="U923" s="34"/>
      <c r="V923" s="34"/>
    </row>
    <row x14ac:dyDescent="0.25" r="924" customHeight="1" ht="15.75">
      <c r="A924" s="1"/>
      <c r="B924" s="34"/>
      <c r="C924" s="2"/>
      <c r="D924" s="34"/>
      <c r="E924" s="34"/>
      <c r="F924" s="34"/>
      <c r="G924" s="34"/>
      <c r="H924" s="29"/>
      <c r="I924" s="29"/>
      <c r="J924" s="6"/>
      <c r="K924" s="29"/>
      <c r="L924" s="29"/>
      <c r="M924" s="29"/>
      <c r="N924" s="29"/>
      <c r="O924" s="29"/>
      <c r="P924" s="29"/>
      <c r="Q924" s="29"/>
      <c r="R924" s="29"/>
      <c r="S924" s="29"/>
      <c r="T924" s="1"/>
      <c r="U924" s="34"/>
      <c r="V924" s="34"/>
    </row>
    <row x14ac:dyDescent="0.25" r="925" customHeight="1" ht="15.75">
      <c r="A925" s="1"/>
      <c r="B925" s="34"/>
      <c r="C925" s="2"/>
      <c r="D925" s="34"/>
      <c r="E925" s="34"/>
      <c r="F925" s="34"/>
      <c r="G925" s="34"/>
      <c r="H925" s="29"/>
      <c r="I925" s="29"/>
      <c r="J925" s="6"/>
      <c r="K925" s="29"/>
      <c r="L925" s="29"/>
      <c r="M925" s="29"/>
      <c r="N925" s="29"/>
      <c r="O925" s="29"/>
      <c r="P925" s="29"/>
      <c r="Q925" s="29"/>
      <c r="R925" s="29"/>
      <c r="S925" s="29"/>
      <c r="T925" s="1"/>
      <c r="U925" s="34"/>
      <c r="V925" s="34"/>
    </row>
    <row x14ac:dyDescent="0.25" r="926" customHeight="1" ht="15.75">
      <c r="A926" s="1"/>
      <c r="B926" s="34"/>
      <c r="C926" s="2"/>
      <c r="D926" s="34"/>
      <c r="E926" s="34"/>
      <c r="F926" s="34"/>
      <c r="G926" s="34"/>
      <c r="H926" s="29"/>
      <c r="I926" s="29"/>
      <c r="J926" s="6"/>
      <c r="K926" s="29"/>
      <c r="L926" s="29"/>
      <c r="M926" s="29"/>
      <c r="N926" s="29"/>
      <c r="O926" s="29"/>
      <c r="P926" s="29"/>
      <c r="Q926" s="29"/>
      <c r="R926" s="29"/>
      <c r="S926" s="29"/>
      <c r="T926" s="1"/>
      <c r="U926" s="34"/>
      <c r="V926" s="34"/>
    </row>
    <row x14ac:dyDescent="0.25" r="927" customHeight="1" ht="15.75">
      <c r="A927" s="1"/>
      <c r="B927" s="34"/>
      <c r="C927" s="2"/>
      <c r="D927" s="34"/>
      <c r="E927" s="34"/>
      <c r="F927" s="34"/>
      <c r="G927" s="34"/>
      <c r="H927" s="29"/>
      <c r="I927" s="29"/>
      <c r="J927" s="6"/>
      <c r="K927" s="29"/>
      <c r="L927" s="29"/>
      <c r="M927" s="29"/>
      <c r="N927" s="29"/>
      <c r="O927" s="29"/>
      <c r="P927" s="29"/>
      <c r="Q927" s="29"/>
      <c r="R927" s="29"/>
      <c r="S927" s="29"/>
      <c r="T927" s="1"/>
      <c r="U927" s="34"/>
      <c r="V927" s="34"/>
    </row>
    <row x14ac:dyDescent="0.25" r="928" customHeight="1" ht="15.75">
      <c r="A928" s="1"/>
      <c r="B928" s="34"/>
      <c r="C928" s="2"/>
      <c r="D928" s="34"/>
      <c r="E928" s="34"/>
      <c r="F928" s="34"/>
      <c r="G928" s="34"/>
      <c r="H928" s="29"/>
      <c r="I928" s="29"/>
      <c r="J928" s="6"/>
      <c r="K928" s="29"/>
      <c r="L928" s="29"/>
      <c r="M928" s="29"/>
      <c r="N928" s="29"/>
      <c r="O928" s="29"/>
      <c r="P928" s="29"/>
      <c r="Q928" s="29"/>
      <c r="R928" s="29"/>
      <c r="S928" s="29"/>
      <c r="T928" s="1"/>
      <c r="U928" s="34"/>
      <c r="V928" s="34"/>
    </row>
    <row x14ac:dyDescent="0.25" r="929" customHeight="1" ht="15.75">
      <c r="A929" s="1"/>
      <c r="B929" s="34"/>
      <c r="C929" s="2"/>
      <c r="D929" s="34"/>
      <c r="E929" s="34"/>
      <c r="F929" s="34"/>
      <c r="G929" s="34"/>
      <c r="H929" s="29"/>
      <c r="I929" s="29"/>
      <c r="J929" s="6"/>
      <c r="K929" s="29"/>
      <c r="L929" s="29"/>
      <c r="M929" s="29"/>
      <c r="N929" s="29"/>
      <c r="O929" s="29"/>
      <c r="P929" s="29"/>
      <c r="Q929" s="29"/>
      <c r="R929" s="29"/>
      <c r="S929" s="29"/>
      <c r="T929" s="1"/>
      <c r="U929" s="34"/>
      <c r="V929" s="34"/>
    </row>
    <row x14ac:dyDescent="0.25" r="930" customHeight="1" ht="15.75">
      <c r="A930" s="1"/>
      <c r="B930" s="34"/>
      <c r="C930" s="2"/>
      <c r="D930" s="34"/>
      <c r="E930" s="34"/>
      <c r="F930" s="34"/>
      <c r="G930" s="34"/>
      <c r="H930" s="29"/>
      <c r="I930" s="29"/>
      <c r="J930" s="6"/>
      <c r="K930" s="29"/>
      <c r="L930" s="29"/>
      <c r="M930" s="29"/>
      <c r="N930" s="29"/>
      <c r="O930" s="29"/>
      <c r="P930" s="29"/>
      <c r="Q930" s="29"/>
      <c r="R930" s="29"/>
      <c r="S930" s="29"/>
      <c r="T930" s="1"/>
      <c r="U930" s="34"/>
      <c r="V930" s="34"/>
    </row>
    <row x14ac:dyDescent="0.25" r="931" customHeight="1" ht="15.75">
      <c r="A931" s="1"/>
      <c r="B931" s="34"/>
      <c r="C931" s="2"/>
      <c r="D931" s="34"/>
      <c r="E931" s="34"/>
      <c r="F931" s="34"/>
      <c r="G931" s="34"/>
      <c r="H931" s="29"/>
      <c r="I931" s="29"/>
      <c r="J931" s="6"/>
      <c r="K931" s="29"/>
      <c r="L931" s="29"/>
      <c r="M931" s="29"/>
      <c r="N931" s="29"/>
      <c r="O931" s="29"/>
      <c r="P931" s="29"/>
      <c r="Q931" s="29"/>
      <c r="R931" s="29"/>
      <c r="S931" s="29"/>
      <c r="T931" s="1"/>
      <c r="U931" s="34"/>
      <c r="V931" s="34"/>
    </row>
    <row x14ac:dyDescent="0.25" r="932" customHeight="1" ht="15.75">
      <c r="A932" s="1"/>
      <c r="B932" s="34"/>
      <c r="C932" s="2"/>
      <c r="D932" s="34"/>
      <c r="E932" s="34"/>
      <c r="F932" s="34"/>
      <c r="G932" s="34"/>
      <c r="H932" s="29"/>
      <c r="I932" s="29"/>
      <c r="J932" s="6"/>
      <c r="K932" s="29"/>
      <c r="L932" s="29"/>
      <c r="M932" s="29"/>
      <c r="N932" s="29"/>
      <c r="O932" s="29"/>
      <c r="P932" s="29"/>
      <c r="Q932" s="29"/>
      <c r="R932" s="29"/>
      <c r="S932" s="29"/>
      <c r="T932" s="1"/>
      <c r="U932" s="34"/>
      <c r="V932" s="34"/>
    </row>
    <row x14ac:dyDescent="0.25" r="933" customHeight="1" ht="15.75">
      <c r="A933" s="1"/>
      <c r="B933" s="34"/>
      <c r="C933" s="2"/>
      <c r="D933" s="34"/>
      <c r="E933" s="34"/>
      <c r="F933" s="34"/>
      <c r="G933" s="34"/>
      <c r="H933" s="29"/>
      <c r="I933" s="29"/>
      <c r="J933" s="6"/>
      <c r="K933" s="29"/>
      <c r="L933" s="29"/>
      <c r="M933" s="29"/>
      <c r="N933" s="29"/>
      <c r="O933" s="29"/>
      <c r="P933" s="29"/>
      <c r="Q933" s="29"/>
      <c r="R933" s="29"/>
      <c r="S933" s="29"/>
      <c r="T933" s="1"/>
      <c r="U933" s="34"/>
      <c r="V933" s="34"/>
    </row>
    <row x14ac:dyDescent="0.25" r="934" customHeight="1" ht="15.75">
      <c r="A934" s="1"/>
      <c r="B934" s="34"/>
      <c r="C934" s="2"/>
      <c r="D934" s="34"/>
      <c r="E934" s="34"/>
      <c r="F934" s="34"/>
      <c r="G934" s="34"/>
      <c r="H934" s="29"/>
      <c r="I934" s="29"/>
      <c r="J934" s="6"/>
      <c r="K934" s="29"/>
      <c r="L934" s="29"/>
      <c r="M934" s="29"/>
      <c r="N934" s="29"/>
      <c r="O934" s="29"/>
      <c r="P934" s="29"/>
      <c r="Q934" s="29"/>
      <c r="R934" s="29"/>
      <c r="S934" s="29"/>
      <c r="T934" s="1"/>
      <c r="U934" s="34"/>
      <c r="V934" s="34"/>
    </row>
    <row x14ac:dyDescent="0.25" r="935" customHeight="1" ht="15.75">
      <c r="A935" s="1"/>
      <c r="B935" s="34"/>
      <c r="C935" s="2"/>
      <c r="D935" s="34"/>
      <c r="E935" s="34"/>
      <c r="F935" s="34"/>
      <c r="G935" s="34"/>
      <c r="H935" s="29"/>
      <c r="I935" s="29"/>
      <c r="J935" s="6"/>
      <c r="K935" s="29"/>
      <c r="L935" s="29"/>
      <c r="M935" s="29"/>
      <c r="N935" s="29"/>
      <c r="O935" s="29"/>
      <c r="P935" s="29"/>
      <c r="Q935" s="29"/>
      <c r="R935" s="29"/>
      <c r="S935" s="29"/>
      <c r="T935" s="1"/>
      <c r="U935" s="34"/>
      <c r="V935" s="34"/>
    </row>
    <row x14ac:dyDescent="0.25" r="936" customHeight="1" ht="15.75">
      <c r="A936" s="1"/>
      <c r="B936" s="34"/>
      <c r="C936" s="2"/>
      <c r="D936" s="34"/>
      <c r="E936" s="34"/>
      <c r="F936" s="34"/>
      <c r="G936" s="34"/>
      <c r="H936" s="29"/>
      <c r="I936" s="29"/>
      <c r="J936" s="6"/>
      <c r="K936" s="29"/>
      <c r="L936" s="29"/>
      <c r="M936" s="29"/>
      <c r="N936" s="29"/>
      <c r="O936" s="29"/>
      <c r="P936" s="29"/>
      <c r="Q936" s="29"/>
      <c r="R936" s="29"/>
      <c r="S936" s="29"/>
      <c r="T936" s="1"/>
      <c r="U936" s="34"/>
      <c r="V936" s="34"/>
    </row>
    <row x14ac:dyDescent="0.25" r="937" customHeight="1" ht="15.75">
      <c r="A937" s="1"/>
      <c r="B937" s="34"/>
      <c r="C937" s="2"/>
      <c r="D937" s="34"/>
      <c r="E937" s="34"/>
      <c r="F937" s="34"/>
      <c r="G937" s="34"/>
      <c r="H937" s="29"/>
      <c r="I937" s="29"/>
      <c r="J937" s="6"/>
      <c r="K937" s="29"/>
      <c r="L937" s="29"/>
      <c r="M937" s="29"/>
      <c r="N937" s="29"/>
      <c r="O937" s="29"/>
      <c r="P937" s="29"/>
      <c r="Q937" s="29"/>
      <c r="R937" s="29"/>
      <c r="S937" s="29"/>
      <c r="T937" s="1"/>
      <c r="U937" s="34"/>
      <c r="V937" s="34"/>
    </row>
    <row x14ac:dyDescent="0.25" r="938" customHeight="1" ht="15.75">
      <c r="A938" s="1"/>
      <c r="B938" s="34"/>
      <c r="C938" s="2"/>
      <c r="D938" s="34"/>
      <c r="E938" s="34"/>
      <c r="F938" s="34"/>
      <c r="G938" s="34"/>
      <c r="H938" s="29"/>
      <c r="I938" s="29"/>
      <c r="J938" s="6"/>
      <c r="K938" s="29"/>
      <c r="L938" s="29"/>
      <c r="M938" s="29"/>
      <c r="N938" s="29"/>
      <c r="O938" s="29"/>
      <c r="P938" s="29"/>
      <c r="Q938" s="29"/>
      <c r="R938" s="29"/>
      <c r="S938" s="29"/>
      <c r="T938" s="1"/>
      <c r="U938" s="34"/>
      <c r="V938" s="34"/>
    </row>
    <row x14ac:dyDescent="0.25" r="939" customHeight="1" ht="15.75">
      <c r="A939" s="1"/>
      <c r="B939" s="34"/>
      <c r="C939" s="2"/>
      <c r="D939" s="34"/>
      <c r="E939" s="34"/>
      <c r="F939" s="34"/>
      <c r="G939" s="34"/>
      <c r="H939" s="29"/>
      <c r="I939" s="29"/>
      <c r="J939" s="6"/>
      <c r="K939" s="29"/>
      <c r="L939" s="29"/>
      <c r="M939" s="29"/>
      <c r="N939" s="29"/>
      <c r="O939" s="29"/>
      <c r="P939" s="29"/>
      <c r="Q939" s="29"/>
      <c r="R939" s="29"/>
      <c r="S939" s="29"/>
      <c r="T939" s="1"/>
      <c r="U939" s="34"/>
      <c r="V939" s="34"/>
    </row>
    <row x14ac:dyDescent="0.25" r="940" customHeight="1" ht="15.75">
      <c r="A940" s="1"/>
      <c r="B940" s="34"/>
      <c r="C940" s="2"/>
      <c r="D940" s="34"/>
      <c r="E940" s="34"/>
      <c r="F940" s="34"/>
      <c r="G940" s="34"/>
      <c r="H940" s="29"/>
      <c r="I940" s="29"/>
      <c r="J940" s="6"/>
      <c r="K940" s="29"/>
      <c r="L940" s="29"/>
      <c r="M940" s="29"/>
      <c r="N940" s="29"/>
      <c r="O940" s="29"/>
      <c r="P940" s="29"/>
      <c r="Q940" s="29"/>
      <c r="R940" s="29"/>
      <c r="S940" s="29"/>
      <c r="T940" s="1"/>
      <c r="U940" s="34"/>
      <c r="V940" s="34"/>
    </row>
    <row x14ac:dyDescent="0.25" r="941" customHeight="1" ht="15.75">
      <c r="A941" s="1"/>
      <c r="B941" s="34"/>
      <c r="C941" s="2"/>
      <c r="D941" s="34"/>
      <c r="E941" s="34"/>
      <c r="F941" s="34"/>
      <c r="G941" s="34"/>
      <c r="H941" s="29"/>
      <c r="I941" s="29"/>
      <c r="J941" s="6"/>
      <c r="K941" s="29"/>
      <c r="L941" s="29"/>
      <c r="M941" s="29"/>
      <c r="N941" s="29"/>
      <c r="O941" s="29"/>
      <c r="P941" s="29"/>
      <c r="Q941" s="29"/>
      <c r="R941" s="29"/>
      <c r="S941" s="29"/>
      <c r="T941" s="1"/>
      <c r="U941" s="34"/>
      <c r="V941" s="34"/>
    </row>
    <row x14ac:dyDescent="0.25" r="942" customHeight="1" ht="15.75">
      <c r="A942" s="1"/>
      <c r="B942" s="34"/>
      <c r="C942" s="2"/>
      <c r="D942" s="34"/>
      <c r="E942" s="34"/>
      <c r="F942" s="34"/>
      <c r="G942" s="34"/>
      <c r="H942" s="29"/>
      <c r="I942" s="29"/>
      <c r="J942" s="6"/>
      <c r="K942" s="29"/>
      <c r="L942" s="29"/>
      <c r="M942" s="29"/>
      <c r="N942" s="29"/>
      <c r="O942" s="29"/>
      <c r="P942" s="29"/>
      <c r="Q942" s="29"/>
      <c r="R942" s="29"/>
      <c r="S942" s="29"/>
      <c r="T942" s="1"/>
      <c r="U942" s="34"/>
      <c r="V942" s="34"/>
    </row>
    <row x14ac:dyDescent="0.25" r="943" customHeight="1" ht="15.75">
      <c r="A943" s="1"/>
      <c r="B943" s="34"/>
      <c r="C943" s="2"/>
      <c r="D943" s="34"/>
      <c r="E943" s="34"/>
      <c r="F943" s="34"/>
      <c r="G943" s="34"/>
      <c r="H943" s="29"/>
      <c r="I943" s="29"/>
      <c r="J943" s="6"/>
      <c r="K943" s="29"/>
      <c r="L943" s="29"/>
      <c r="M943" s="29"/>
      <c r="N943" s="29"/>
      <c r="O943" s="29"/>
      <c r="P943" s="29"/>
      <c r="Q943" s="29"/>
      <c r="R943" s="29"/>
      <c r="S943" s="29"/>
      <c r="T943" s="1"/>
      <c r="U943" s="34"/>
      <c r="V943" s="34"/>
    </row>
    <row x14ac:dyDescent="0.25" r="944" customHeight="1" ht="15.75">
      <c r="A944" s="1"/>
      <c r="B944" s="34"/>
      <c r="C944" s="2"/>
      <c r="D944" s="34"/>
      <c r="E944" s="34"/>
      <c r="F944" s="34"/>
      <c r="G944" s="34"/>
      <c r="H944" s="29"/>
      <c r="I944" s="29"/>
      <c r="J944" s="6"/>
      <c r="K944" s="29"/>
      <c r="L944" s="29"/>
      <c r="M944" s="29"/>
      <c r="N944" s="29"/>
      <c r="O944" s="29"/>
      <c r="P944" s="29"/>
      <c r="Q944" s="29"/>
      <c r="R944" s="29"/>
      <c r="S944" s="29"/>
      <c r="T944" s="1"/>
      <c r="U944" s="34"/>
      <c r="V944" s="34"/>
    </row>
    <row x14ac:dyDescent="0.25" r="945" customHeight="1" ht="15.75">
      <c r="A945" s="1"/>
      <c r="B945" s="34"/>
      <c r="C945" s="2"/>
      <c r="D945" s="34"/>
      <c r="E945" s="34"/>
      <c r="F945" s="34"/>
      <c r="G945" s="34"/>
      <c r="H945" s="29"/>
      <c r="I945" s="29"/>
      <c r="J945" s="6"/>
      <c r="K945" s="29"/>
      <c r="L945" s="29"/>
      <c r="M945" s="29"/>
      <c r="N945" s="29"/>
      <c r="O945" s="29"/>
      <c r="P945" s="29"/>
      <c r="Q945" s="29"/>
      <c r="R945" s="29"/>
      <c r="S945" s="29"/>
      <c r="T945" s="1"/>
      <c r="U945" s="34"/>
      <c r="V945" s="34"/>
    </row>
    <row x14ac:dyDescent="0.25" r="946" customHeight="1" ht="15.75">
      <c r="A946" s="1"/>
      <c r="B946" s="34"/>
      <c r="C946" s="2"/>
      <c r="D946" s="34"/>
      <c r="E946" s="34"/>
      <c r="F946" s="34"/>
      <c r="G946" s="34"/>
      <c r="H946" s="29"/>
      <c r="I946" s="29"/>
      <c r="J946" s="6"/>
      <c r="K946" s="29"/>
      <c r="L946" s="29"/>
      <c r="M946" s="29"/>
      <c r="N946" s="29"/>
      <c r="O946" s="29"/>
      <c r="P946" s="29"/>
      <c r="Q946" s="29"/>
      <c r="R946" s="29"/>
      <c r="S946" s="29"/>
      <c r="T946" s="1"/>
      <c r="U946" s="34"/>
      <c r="V946" s="34"/>
    </row>
    <row x14ac:dyDescent="0.25" r="947" customHeight="1" ht="15.75">
      <c r="A947" s="1"/>
      <c r="B947" s="34"/>
      <c r="C947" s="2"/>
      <c r="D947" s="34"/>
      <c r="E947" s="34"/>
      <c r="F947" s="34"/>
      <c r="G947" s="34"/>
      <c r="H947" s="29"/>
      <c r="I947" s="29"/>
      <c r="J947" s="6"/>
      <c r="K947" s="29"/>
      <c r="L947" s="29"/>
      <c r="M947" s="29"/>
      <c r="N947" s="29"/>
      <c r="O947" s="29"/>
      <c r="P947" s="29"/>
      <c r="Q947" s="29"/>
      <c r="R947" s="29"/>
      <c r="S947" s="29"/>
      <c r="T947" s="1"/>
      <c r="U947" s="34"/>
      <c r="V947" s="34"/>
    </row>
    <row x14ac:dyDescent="0.25" r="948" customHeight="1" ht="15.75">
      <c r="A948" s="1"/>
      <c r="B948" s="34"/>
      <c r="C948" s="2"/>
      <c r="D948" s="34"/>
      <c r="E948" s="34"/>
      <c r="F948" s="34"/>
      <c r="G948" s="34"/>
      <c r="H948" s="29"/>
      <c r="I948" s="29"/>
      <c r="J948" s="6"/>
      <c r="K948" s="29"/>
      <c r="L948" s="29"/>
      <c r="M948" s="29"/>
      <c r="N948" s="29"/>
      <c r="O948" s="29"/>
      <c r="P948" s="29"/>
      <c r="Q948" s="29"/>
      <c r="R948" s="29"/>
      <c r="S948" s="29"/>
      <c r="T948" s="1"/>
      <c r="U948" s="34"/>
      <c r="V948" s="34"/>
    </row>
    <row x14ac:dyDescent="0.25" r="949" customHeight="1" ht="15.75">
      <c r="A949" s="1"/>
      <c r="B949" s="34"/>
      <c r="C949" s="2"/>
      <c r="D949" s="34"/>
      <c r="E949" s="34"/>
      <c r="F949" s="34"/>
      <c r="G949" s="34"/>
      <c r="H949" s="29"/>
      <c r="I949" s="29"/>
      <c r="J949" s="6"/>
      <c r="K949" s="29"/>
      <c r="L949" s="29"/>
      <c r="M949" s="29"/>
      <c r="N949" s="29"/>
      <c r="O949" s="29"/>
      <c r="P949" s="29"/>
      <c r="Q949" s="29"/>
      <c r="R949" s="29"/>
      <c r="S949" s="29"/>
      <c r="T949" s="1"/>
      <c r="U949" s="34"/>
      <c r="V949" s="34"/>
    </row>
    <row x14ac:dyDescent="0.25" r="950" customHeight="1" ht="15.75">
      <c r="A950" s="1"/>
      <c r="B950" s="34"/>
      <c r="C950" s="2"/>
      <c r="D950" s="34"/>
      <c r="E950" s="34"/>
      <c r="F950" s="34"/>
      <c r="G950" s="34"/>
      <c r="H950" s="29"/>
      <c r="I950" s="29"/>
      <c r="J950" s="6"/>
      <c r="K950" s="29"/>
      <c r="L950" s="29"/>
      <c r="M950" s="29"/>
      <c r="N950" s="29"/>
      <c r="O950" s="29"/>
      <c r="P950" s="29"/>
      <c r="Q950" s="29"/>
      <c r="R950" s="29"/>
      <c r="S950" s="29"/>
      <c r="T950" s="1"/>
      <c r="U950" s="34"/>
      <c r="V950" s="34"/>
    </row>
    <row x14ac:dyDescent="0.25" r="951" customHeight="1" ht="15.75">
      <c r="A951" s="1"/>
      <c r="B951" s="34"/>
      <c r="C951" s="2"/>
      <c r="D951" s="34"/>
      <c r="E951" s="34"/>
      <c r="F951" s="34"/>
      <c r="G951" s="34"/>
      <c r="H951" s="29"/>
      <c r="I951" s="29"/>
      <c r="J951" s="6"/>
      <c r="K951" s="29"/>
      <c r="L951" s="29"/>
      <c r="M951" s="29"/>
      <c r="N951" s="29"/>
      <c r="O951" s="29"/>
      <c r="P951" s="29"/>
      <c r="Q951" s="29"/>
      <c r="R951" s="29"/>
      <c r="S951" s="29"/>
      <c r="T951" s="1"/>
      <c r="U951" s="34"/>
      <c r="V951" s="34"/>
    </row>
    <row x14ac:dyDescent="0.25" r="952" customHeight="1" ht="15.75">
      <c r="A952" s="1"/>
      <c r="B952" s="34"/>
      <c r="C952" s="2"/>
      <c r="D952" s="34"/>
      <c r="E952" s="34"/>
      <c r="F952" s="34"/>
      <c r="G952" s="34"/>
      <c r="H952" s="29"/>
      <c r="I952" s="29"/>
      <c r="J952" s="6"/>
      <c r="K952" s="29"/>
      <c r="L952" s="29"/>
      <c r="M952" s="29"/>
      <c r="N952" s="29"/>
      <c r="O952" s="29"/>
      <c r="P952" s="29"/>
      <c r="Q952" s="29"/>
      <c r="R952" s="29"/>
      <c r="S952" s="29"/>
      <c r="T952" s="1"/>
      <c r="U952" s="34"/>
      <c r="V952" s="34"/>
    </row>
    <row x14ac:dyDescent="0.25" r="953" customHeight="1" ht="15.75">
      <c r="A953" s="1"/>
      <c r="B953" s="34"/>
      <c r="C953" s="2"/>
      <c r="D953" s="34"/>
      <c r="E953" s="34"/>
      <c r="F953" s="34"/>
      <c r="G953" s="34"/>
      <c r="H953" s="29"/>
      <c r="I953" s="29"/>
      <c r="J953" s="6"/>
      <c r="K953" s="29"/>
      <c r="L953" s="29"/>
      <c r="M953" s="29"/>
      <c r="N953" s="29"/>
      <c r="O953" s="29"/>
      <c r="P953" s="29"/>
      <c r="Q953" s="29"/>
      <c r="R953" s="29"/>
      <c r="S953" s="29"/>
      <c r="T953" s="1"/>
      <c r="U953" s="34"/>
      <c r="V953" s="34"/>
    </row>
    <row x14ac:dyDescent="0.25" r="954" customHeight="1" ht="15.75">
      <c r="A954" s="1"/>
      <c r="B954" s="34"/>
      <c r="C954" s="2"/>
      <c r="D954" s="34"/>
      <c r="E954" s="34"/>
      <c r="F954" s="34"/>
      <c r="G954" s="34"/>
      <c r="H954" s="29"/>
      <c r="I954" s="29"/>
      <c r="J954" s="6"/>
      <c r="K954" s="29"/>
      <c r="L954" s="29"/>
      <c r="M954" s="29"/>
      <c r="N954" s="29"/>
      <c r="O954" s="29"/>
      <c r="P954" s="29"/>
      <c r="Q954" s="29"/>
      <c r="R954" s="29"/>
      <c r="S954" s="29"/>
      <c r="T954" s="1"/>
      <c r="U954" s="34"/>
      <c r="V954" s="34"/>
    </row>
    <row x14ac:dyDescent="0.25" r="955" customHeight="1" ht="15.75">
      <c r="A955" s="1"/>
      <c r="B955" s="34"/>
      <c r="C955" s="2"/>
      <c r="D955" s="34"/>
      <c r="E955" s="34"/>
      <c r="F955" s="34"/>
      <c r="G955" s="34"/>
      <c r="H955" s="29"/>
      <c r="I955" s="29"/>
      <c r="J955" s="6"/>
      <c r="K955" s="29"/>
      <c r="L955" s="29"/>
      <c r="M955" s="29"/>
      <c r="N955" s="29"/>
      <c r="O955" s="29"/>
      <c r="P955" s="29"/>
      <c r="Q955" s="29"/>
      <c r="R955" s="29"/>
      <c r="S955" s="29"/>
      <c r="T955" s="1"/>
      <c r="U955" s="34"/>
      <c r="V955" s="34"/>
    </row>
    <row x14ac:dyDescent="0.25" r="956" customHeight="1" ht="15.75">
      <c r="A956" s="1"/>
      <c r="B956" s="34"/>
      <c r="C956" s="2"/>
      <c r="D956" s="34"/>
      <c r="E956" s="34"/>
      <c r="F956" s="34"/>
      <c r="G956" s="34"/>
      <c r="H956" s="29"/>
      <c r="I956" s="29"/>
      <c r="J956" s="6"/>
      <c r="K956" s="29"/>
      <c r="L956" s="29"/>
      <c r="M956" s="29"/>
      <c r="N956" s="29"/>
      <c r="O956" s="29"/>
      <c r="P956" s="29"/>
      <c r="Q956" s="29"/>
      <c r="R956" s="29"/>
      <c r="S956" s="29"/>
      <c r="T956" s="1"/>
      <c r="U956" s="34"/>
      <c r="V956" s="34"/>
    </row>
    <row x14ac:dyDescent="0.25" r="957" customHeight="1" ht="15.75">
      <c r="A957" s="1"/>
      <c r="B957" s="34"/>
      <c r="C957" s="2"/>
      <c r="D957" s="34"/>
      <c r="E957" s="34"/>
      <c r="F957" s="34"/>
      <c r="G957" s="34"/>
      <c r="H957" s="29"/>
      <c r="I957" s="29"/>
      <c r="J957" s="6"/>
      <c r="K957" s="29"/>
      <c r="L957" s="29"/>
      <c r="M957" s="29"/>
      <c r="N957" s="29"/>
      <c r="O957" s="29"/>
      <c r="P957" s="29"/>
      <c r="Q957" s="29"/>
      <c r="R957" s="29"/>
      <c r="S957" s="29"/>
      <c r="T957" s="1"/>
      <c r="U957" s="34"/>
      <c r="V957" s="34"/>
    </row>
    <row x14ac:dyDescent="0.25" r="958" customHeight="1" ht="15.75">
      <c r="A958" s="1"/>
      <c r="B958" s="34"/>
      <c r="C958" s="2"/>
      <c r="D958" s="34"/>
      <c r="E958" s="34"/>
      <c r="F958" s="34"/>
      <c r="G958" s="34"/>
      <c r="H958" s="29"/>
      <c r="I958" s="29"/>
      <c r="J958" s="6"/>
      <c r="K958" s="29"/>
      <c r="L958" s="29"/>
      <c r="M958" s="29"/>
      <c r="N958" s="29"/>
      <c r="O958" s="29"/>
      <c r="P958" s="29"/>
      <c r="Q958" s="29"/>
      <c r="R958" s="29"/>
      <c r="S958" s="29"/>
      <c r="T958" s="1"/>
      <c r="U958" s="34"/>
      <c r="V958" s="34"/>
    </row>
    <row x14ac:dyDescent="0.25" r="959" customHeight="1" ht="15.75">
      <c r="A959" s="1"/>
      <c r="B959" s="34"/>
      <c r="C959" s="2"/>
      <c r="D959" s="34"/>
      <c r="E959" s="34"/>
      <c r="F959" s="34"/>
      <c r="G959" s="34"/>
      <c r="H959" s="29"/>
      <c r="I959" s="29"/>
      <c r="J959" s="6"/>
      <c r="K959" s="29"/>
      <c r="L959" s="29"/>
      <c r="M959" s="29"/>
      <c r="N959" s="29"/>
      <c r="O959" s="29"/>
      <c r="P959" s="29"/>
      <c r="Q959" s="29"/>
      <c r="R959" s="29"/>
      <c r="S959" s="29"/>
      <c r="T959" s="1"/>
      <c r="U959" s="34"/>
      <c r="V959" s="34"/>
    </row>
    <row x14ac:dyDescent="0.25" r="960" customHeight="1" ht="15.75">
      <c r="A960" s="1"/>
      <c r="B960" s="34"/>
      <c r="C960" s="2"/>
      <c r="D960" s="34"/>
      <c r="E960" s="34"/>
      <c r="F960" s="34"/>
      <c r="G960" s="34"/>
      <c r="H960" s="29"/>
      <c r="I960" s="29"/>
      <c r="J960" s="6"/>
      <c r="K960" s="29"/>
      <c r="L960" s="29"/>
      <c r="M960" s="29"/>
      <c r="N960" s="29"/>
      <c r="O960" s="29"/>
      <c r="P960" s="29"/>
      <c r="Q960" s="29"/>
      <c r="R960" s="29"/>
      <c r="S960" s="29"/>
      <c r="T960" s="1"/>
      <c r="U960" s="34"/>
      <c r="V960" s="34"/>
    </row>
    <row x14ac:dyDescent="0.25" r="961" customHeight="1" ht="15.75">
      <c r="A961" s="1"/>
      <c r="B961" s="34"/>
      <c r="C961" s="2"/>
      <c r="D961" s="34"/>
      <c r="E961" s="34"/>
      <c r="F961" s="34"/>
      <c r="G961" s="34"/>
      <c r="H961" s="29"/>
      <c r="I961" s="29"/>
      <c r="J961" s="6"/>
      <c r="K961" s="29"/>
      <c r="L961" s="29"/>
      <c r="M961" s="29"/>
      <c r="N961" s="29"/>
      <c r="O961" s="29"/>
      <c r="P961" s="29"/>
      <c r="Q961" s="29"/>
      <c r="R961" s="29"/>
      <c r="S961" s="29"/>
      <c r="T961" s="1"/>
      <c r="U961" s="34"/>
      <c r="V961" s="34"/>
    </row>
    <row x14ac:dyDescent="0.25" r="962" customHeight="1" ht="15.75">
      <c r="A962" s="1"/>
      <c r="B962" s="34"/>
      <c r="C962" s="2"/>
      <c r="D962" s="34"/>
      <c r="E962" s="34"/>
      <c r="F962" s="34"/>
      <c r="G962" s="34"/>
      <c r="H962" s="29"/>
      <c r="I962" s="29"/>
      <c r="J962" s="6"/>
      <c r="K962" s="29"/>
      <c r="L962" s="29"/>
      <c r="M962" s="29"/>
      <c r="N962" s="29"/>
      <c r="O962" s="29"/>
      <c r="P962" s="29"/>
      <c r="Q962" s="29"/>
      <c r="R962" s="29"/>
      <c r="S962" s="29"/>
      <c r="T962" s="1"/>
      <c r="U962" s="34"/>
      <c r="V962" s="34"/>
    </row>
    <row x14ac:dyDescent="0.25" r="963" customHeight="1" ht="15.75">
      <c r="A963" s="1"/>
      <c r="B963" s="34"/>
      <c r="C963" s="2"/>
      <c r="D963" s="34"/>
      <c r="E963" s="34"/>
      <c r="F963" s="34"/>
      <c r="G963" s="34"/>
      <c r="H963" s="29"/>
      <c r="I963" s="29"/>
      <c r="J963" s="6"/>
      <c r="K963" s="29"/>
      <c r="L963" s="29"/>
      <c r="M963" s="29"/>
      <c r="N963" s="29"/>
      <c r="O963" s="29"/>
      <c r="P963" s="29"/>
      <c r="Q963" s="29"/>
      <c r="R963" s="29"/>
      <c r="S963" s="29"/>
      <c r="T963" s="1"/>
      <c r="U963" s="34"/>
      <c r="V963" s="34"/>
    </row>
    <row x14ac:dyDescent="0.25" r="964" customHeight="1" ht="15.75">
      <c r="A964" s="1"/>
      <c r="B964" s="34"/>
      <c r="C964" s="2"/>
      <c r="D964" s="34"/>
      <c r="E964" s="34"/>
      <c r="F964" s="34"/>
      <c r="G964" s="34"/>
      <c r="H964" s="29"/>
      <c r="I964" s="29"/>
      <c r="J964" s="6"/>
      <c r="K964" s="29"/>
      <c r="L964" s="29"/>
      <c r="M964" s="29"/>
      <c r="N964" s="29"/>
      <c r="O964" s="29"/>
      <c r="P964" s="29"/>
      <c r="Q964" s="29"/>
      <c r="R964" s="29"/>
      <c r="S964" s="29"/>
      <c r="T964" s="1"/>
      <c r="U964" s="34"/>
      <c r="V964" s="34"/>
    </row>
    <row x14ac:dyDescent="0.25" r="965" customHeight="1" ht="15.75">
      <c r="A965" s="1"/>
      <c r="B965" s="34"/>
      <c r="C965" s="2"/>
      <c r="D965" s="34"/>
      <c r="E965" s="34"/>
      <c r="F965" s="34"/>
      <c r="G965" s="34"/>
      <c r="H965" s="29"/>
      <c r="I965" s="29"/>
      <c r="J965" s="6"/>
      <c r="K965" s="29"/>
      <c r="L965" s="29"/>
      <c r="M965" s="29"/>
      <c r="N965" s="29"/>
      <c r="O965" s="29"/>
      <c r="P965" s="29"/>
      <c r="Q965" s="29"/>
      <c r="R965" s="29"/>
      <c r="S965" s="29"/>
      <c r="T965" s="1"/>
      <c r="U965" s="34"/>
      <c r="V965" s="34"/>
    </row>
    <row x14ac:dyDescent="0.25" r="966" customHeight="1" ht="15.75">
      <c r="A966" s="1"/>
      <c r="B966" s="34"/>
      <c r="C966" s="2"/>
      <c r="D966" s="34"/>
      <c r="E966" s="34"/>
      <c r="F966" s="34"/>
      <c r="G966" s="34"/>
      <c r="H966" s="29"/>
      <c r="I966" s="29"/>
      <c r="J966" s="6"/>
      <c r="K966" s="29"/>
      <c r="L966" s="29"/>
      <c r="M966" s="29"/>
      <c r="N966" s="29"/>
      <c r="O966" s="29"/>
      <c r="P966" s="29"/>
      <c r="Q966" s="29"/>
      <c r="R966" s="29"/>
      <c r="S966" s="29"/>
      <c r="T966" s="1"/>
      <c r="U966" s="34"/>
      <c r="V966" s="34"/>
    </row>
    <row x14ac:dyDescent="0.25" r="967" customHeight="1" ht="15.75">
      <c r="A967" s="1"/>
      <c r="B967" s="34"/>
      <c r="C967" s="2"/>
      <c r="D967" s="34"/>
      <c r="E967" s="34"/>
      <c r="F967" s="34"/>
      <c r="G967" s="34"/>
      <c r="H967" s="29"/>
      <c r="I967" s="29"/>
      <c r="J967" s="6"/>
      <c r="K967" s="29"/>
      <c r="L967" s="29"/>
      <c r="M967" s="29"/>
      <c r="N967" s="29"/>
      <c r="O967" s="29"/>
      <c r="P967" s="29"/>
      <c r="Q967" s="29"/>
      <c r="R967" s="29"/>
      <c r="S967" s="29"/>
      <c r="T967" s="1"/>
      <c r="U967" s="34"/>
      <c r="V967" s="34"/>
    </row>
    <row x14ac:dyDescent="0.25" r="968" customHeight="1" ht="15.75">
      <c r="A968" s="1"/>
      <c r="B968" s="34"/>
      <c r="C968" s="2"/>
      <c r="D968" s="34"/>
      <c r="E968" s="34"/>
      <c r="F968" s="34"/>
      <c r="G968" s="34"/>
      <c r="H968" s="29"/>
      <c r="I968" s="29"/>
      <c r="J968" s="6"/>
      <c r="K968" s="29"/>
      <c r="L968" s="29"/>
      <c r="M968" s="29"/>
      <c r="N968" s="29"/>
      <c r="O968" s="29"/>
      <c r="P968" s="29"/>
      <c r="Q968" s="29"/>
      <c r="R968" s="29"/>
      <c r="S968" s="29"/>
      <c r="T968" s="1"/>
      <c r="U968" s="34"/>
      <c r="V968" s="34"/>
    </row>
    <row x14ac:dyDescent="0.25" r="969" customHeight="1" ht="15.75">
      <c r="A969" s="1"/>
      <c r="B969" s="34"/>
      <c r="C969" s="2"/>
      <c r="D969" s="34"/>
      <c r="E969" s="34"/>
      <c r="F969" s="34"/>
      <c r="G969" s="34"/>
      <c r="H969" s="29"/>
      <c r="I969" s="29"/>
      <c r="J969" s="6"/>
      <c r="K969" s="29"/>
      <c r="L969" s="29"/>
      <c r="M969" s="29"/>
      <c r="N969" s="29"/>
      <c r="O969" s="29"/>
      <c r="P969" s="29"/>
      <c r="Q969" s="29"/>
      <c r="R969" s="29"/>
      <c r="S969" s="29"/>
      <c r="T969" s="1"/>
      <c r="U969" s="34"/>
      <c r="V969" s="34"/>
    </row>
    <row x14ac:dyDescent="0.25" r="970" customHeight="1" ht="15.75">
      <c r="A970" s="1"/>
      <c r="B970" s="34"/>
      <c r="C970" s="2"/>
      <c r="D970" s="34"/>
      <c r="E970" s="34"/>
      <c r="F970" s="34"/>
      <c r="G970" s="34"/>
      <c r="H970" s="29"/>
      <c r="I970" s="29"/>
      <c r="J970" s="6"/>
      <c r="K970" s="29"/>
      <c r="L970" s="29"/>
      <c r="M970" s="29"/>
      <c r="N970" s="29"/>
      <c r="O970" s="29"/>
      <c r="P970" s="29"/>
      <c r="Q970" s="29"/>
      <c r="R970" s="29"/>
      <c r="S970" s="29"/>
      <c r="T970" s="1"/>
      <c r="U970" s="34"/>
      <c r="V970" s="34"/>
    </row>
    <row x14ac:dyDescent="0.25" r="971" customHeight="1" ht="15.75">
      <c r="A971" s="1"/>
      <c r="B971" s="34"/>
      <c r="C971" s="2"/>
      <c r="D971" s="34"/>
      <c r="E971" s="34"/>
      <c r="F971" s="34"/>
      <c r="G971" s="34"/>
      <c r="H971" s="29"/>
      <c r="I971" s="29"/>
      <c r="J971" s="6"/>
      <c r="K971" s="29"/>
      <c r="L971" s="29"/>
      <c r="M971" s="29"/>
      <c r="N971" s="29"/>
      <c r="O971" s="29"/>
      <c r="P971" s="29"/>
      <c r="Q971" s="29"/>
      <c r="R971" s="29"/>
      <c r="S971" s="29"/>
      <c r="T971" s="1"/>
      <c r="U971" s="34"/>
      <c r="V971" s="34"/>
    </row>
    <row x14ac:dyDescent="0.25" r="972" customHeight="1" ht="15.75">
      <c r="A972" s="1"/>
      <c r="B972" s="34"/>
      <c r="C972" s="2"/>
      <c r="D972" s="34"/>
      <c r="E972" s="34"/>
      <c r="F972" s="34"/>
      <c r="G972" s="34"/>
      <c r="H972" s="29"/>
      <c r="I972" s="29"/>
      <c r="J972" s="6"/>
      <c r="K972" s="29"/>
      <c r="L972" s="29"/>
      <c r="M972" s="29"/>
      <c r="N972" s="29"/>
      <c r="O972" s="29"/>
      <c r="P972" s="29"/>
      <c r="Q972" s="29"/>
      <c r="R972" s="29"/>
      <c r="S972" s="29"/>
      <c r="T972" s="1"/>
      <c r="U972" s="34"/>
      <c r="V972" s="34"/>
    </row>
    <row x14ac:dyDescent="0.25" r="973" customHeight="1" ht="15.75">
      <c r="A973" s="1"/>
      <c r="B973" s="34"/>
      <c r="C973" s="2"/>
      <c r="D973" s="34"/>
      <c r="E973" s="34"/>
      <c r="F973" s="34"/>
      <c r="G973" s="34"/>
      <c r="H973" s="29"/>
      <c r="I973" s="29"/>
      <c r="J973" s="6"/>
      <c r="K973" s="29"/>
      <c r="L973" s="29"/>
      <c r="M973" s="29"/>
      <c r="N973" s="29"/>
      <c r="O973" s="29"/>
      <c r="P973" s="29"/>
      <c r="Q973" s="29"/>
      <c r="R973" s="29"/>
      <c r="S973" s="29"/>
      <c r="T973" s="1"/>
      <c r="U973" s="34"/>
      <c r="V973" s="34"/>
    </row>
    <row x14ac:dyDescent="0.25" r="974" customHeight="1" ht="15.75">
      <c r="A974" s="1"/>
      <c r="B974" s="34"/>
      <c r="C974" s="2"/>
      <c r="D974" s="34"/>
      <c r="E974" s="34"/>
      <c r="F974" s="34"/>
      <c r="G974" s="34"/>
      <c r="H974" s="29"/>
      <c r="I974" s="29"/>
      <c r="J974" s="6"/>
      <c r="K974" s="29"/>
      <c r="L974" s="29"/>
      <c r="M974" s="29"/>
      <c r="N974" s="29"/>
      <c r="O974" s="29"/>
      <c r="P974" s="29"/>
      <c r="Q974" s="29"/>
      <c r="R974" s="29"/>
      <c r="S974" s="29"/>
      <c r="T974" s="1"/>
      <c r="U974" s="34"/>
      <c r="V974" s="34"/>
    </row>
    <row x14ac:dyDescent="0.25" r="975" customHeight="1" ht="15.75">
      <c r="A975" s="1"/>
      <c r="B975" s="34"/>
      <c r="C975" s="2"/>
      <c r="D975" s="34"/>
      <c r="E975" s="34"/>
      <c r="F975" s="34"/>
      <c r="G975" s="34"/>
      <c r="H975" s="29"/>
      <c r="I975" s="29"/>
      <c r="J975" s="6"/>
      <c r="K975" s="29"/>
      <c r="L975" s="29"/>
      <c r="M975" s="29"/>
      <c r="N975" s="29"/>
      <c r="O975" s="29"/>
      <c r="P975" s="29"/>
      <c r="Q975" s="29"/>
      <c r="R975" s="29"/>
      <c r="S975" s="29"/>
      <c r="T975" s="1"/>
      <c r="U975" s="34"/>
      <c r="V975" s="34"/>
    </row>
    <row x14ac:dyDescent="0.25" r="976" customHeight="1" ht="15.75">
      <c r="A976" s="1"/>
      <c r="B976" s="34"/>
      <c r="C976" s="2"/>
      <c r="D976" s="34"/>
      <c r="E976" s="34"/>
      <c r="F976" s="34"/>
      <c r="G976" s="34"/>
      <c r="H976" s="29"/>
      <c r="I976" s="29"/>
      <c r="J976" s="6"/>
      <c r="K976" s="29"/>
      <c r="L976" s="29"/>
      <c r="M976" s="29"/>
      <c r="N976" s="29"/>
      <c r="O976" s="29"/>
      <c r="P976" s="29"/>
      <c r="Q976" s="29"/>
      <c r="R976" s="29"/>
      <c r="S976" s="29"/>
      <c r="T976" s="1"/>
      <c r="U976" s="34"/>
      <c r="V976" s="34"/>
    </row>
    <row x14ac:dyDescent="0.25" r="977" customHeight="1" ht="15.75">
      <c r="A977" s="1"/>
      <c r="B977" s="34"/>
      <c r="C977" s="2"/>
      <c r="D977" s="34"/>
      <c r="E977" s="34"/>
      <c r="F977" s="34"/>
      <c r="G977" s="34"/>
      <c r="H977" s="29"/>
      <c r="I977" s="29"/>
      <c r="J977" s="6"/>
      <c r="K977" s="29"/>
      <c r="L977" s="29"/>
      <c r="M977" s="29"/>
      <c r="N977" s="29"/>
      <c r="O977" s="29"/>
      <c r="P977" s="29"/>
      <c r="Q977" s="29"/>
      <c r="R977" s="29"/>
      <c r="S977" s="29"/>
      <c r="T977" s="1"/>
      <c r="U977" s="34"/>
      <c r="V977" s="34"/>
    </row>
    <row x14ac:dyDescent="0.25" r="978" customHeight="1" ht="15.75">
      <c r="A978" s="1"/>
      <c r="B978" s="34"/>
      <c r="C978" s="2"/>
      <c r="D978" s="34"/>
      <c r="E978" s="34"/>
      <c r="F978" s="34"/>
      <c r="G978" s="34"/>
      <c r="H978" s="29"/>
      <c r="I978" s="29"/>
      <c r="J978" s="6"/>
      <c r="K978" s="29"/>
      <c r="L978" s="29"/>
      <c r="M978" s="29"/>
      <c r="N978" s="29"/>
      <c r="O978" s="29"/>
      <c r="P978" s="29"/>
      <c r="Q978" s="29"/>
      <c r="R978" s="29"/>
      <c r="S978" s="29"/>
      <c r="T978" s="1"/>
      <c r="U978" s="34"/>
      <c r="V978" s="3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49"/>
  <sheetViews>
    <sheetView workbookViewId="0" tabSelected="1"/>
  </sheetViews>
  <sheetFormatPr defaultRowHeight="15" x14ac:dyDescent="0.25"/>
  <cols>
    <col min="1" max="1" style="202" width="11.719285714285713" customWidth="1" bestFit="1"/>
    <col min="2" max="2" style="23" width="7.2907142857142855" customWidth="1" bestFit="1"/>
    <col min="3" max="3" style="203" width="11.862142857142858" customWidth="1" bestFit="1"/>
    <col min="4" max="4" style="23" width="12.719285714285713" customWidth="1" bestFit="1"/>
    <col min="5" max="5" style="23" width="13.290714285714287" customWidth="1" bestFit="1"/>
    <col min="6" max="6" style="23" width="13.576428571428572" customWidth="1" bestFit="1"/>
    <col min="7" max="7" style="23" width="27.290714285714284" customWidth="1" bestFit="1"/>
    <col min="8" max="8" style="23" width="13.576428571428572" customWidth="1" bestFit="1"/>
    <col min="9" max="9" style="37" width="16.290714285714284" customWidth="1" bestFit="1"/>
    <col min="10" max="10" style="37" width="16.290714285714284" customWidth="1" bestFit="1"/>
    <col min="11" max="11" style="37" width="19.005" customWidth="1" bestFit="1"/>
    <col min="12" max="12" style="37" width="18.14785714285714" customWidth="1" bestFit="1"/>
    <col min="13" max="13" style="67" width="12.147857142857141" customWidth="1" bestFit="1"/>
    <col min="14" max="14" style="67" width="20.719285714285714" customWidth="1" bestFit="1"/>
    <col min="15" max="15" style="24" width="6.005" customWidth="1" bestFit="1"/>
    <col min="16" max="16" style="37" width="14.290714285714287" customWidth="1" bestFit="1"/>
    <col min="17" max="17" style="37" width="14.290714285714287" customWidth="1" bestFit="1"/>
    <col min="18" max="18" style="37" width="14.290714285714287" customWidth="1" bestFit="1"/>
    <col min="19" max="19" style="37" width="15.43357142857143" customWidth="1" bestFit="1"/>
    <col min="20" max="20" style="67" width="15.43357142857143" customWidth="1" bestFit="1"/>
    <col min="21" max="21" style="20" width="11.43357142857143" customWidth="1" bestFit="1"/>
    <col min="22" max="22" style="67" width="12.43357142857143" customWidth="1" bestFit="1"/>
    <col min="23" max="23" style="22" width="13.576428571428572" customWidth="1" bestFit="1"/>
  </cols>
  <sheetData>
    <row x14ac:dyDescent="0.25" r="1" customHeight="1" ht="20.25">
      <c r="A1" s="171" t="s">
        <v>1</v>
      </c>
      <c r="B1" s="89" t="s">
        <v>3</v>
      </c>
      <c r="C1" s="172" t="s">
        <v>1200</v>
      </c>
      <c r="D1" s="89" t="s">
        <v>4</v>
      </c>
      <c r="E1" s="90" t="s">
        <v>5</v>
      </c>
      <c r="F1" s="89" t="s">
        <v>6</v>
      </c>
      <c r="G1" s="89" t="s">
        <v>7</v>
      </c>
      <c r="H1" s="89" t="s">
        <v>8</v>
      </c>
      <c r="I1" s="91" t="s">
        <v>9</v>
      </c>
      <c r="J1" s="91" t="s">
        <v>10</v>
      </c>
      <c r="K1" s="91" t="s">
        <v>11</v>
      </c>
      <c r="L1" s="91" t="s">
        <v>12</v>
      </c>
      <c r="M1" s="89" t="s">
        <v>13</v>
      </c>
      <c r="N1" s="89" t="s">
        <v>14</v>
      </c>
      <c r="O1" s="91" t="s">
        <v>15</v>
      </c>
      <c r="P1" s="91" t="s">
        <v>16</v>
      </c>
      <c r="Q1" s="91" t="s">
        <v>17</v>
      </c>
      <c r="R1" s="91" t="s">
        <v>1661</v>
      </c>
      <c r="S1" s="91" t="s">
        <v>1662</v>
      </c>
      <c r="T1" s="89" t="s">
        <v>1663</v>
      </c>
      <c r="U1" s="173" t="s">
        <v>1664</v>
      </c>
      <c r="V1" s="89" t="s">
        <v>1665</v>
      </c>
      <c r="W1" s="89" t="s">
        <v>1666</v>
      </c>
    </row>
    <row x14ac:dyDescent="0.25" r="2" customHeight="1" ht="19.5">
      <c r="A2" s="12">
        <v>45932</v>
      </c>
      <c r="B2" s="15" t="s">
        <v>111</v>
      </c>
      <c r="C2" s="161" t="s">
        <v>1667</v>
      </c>
      <c r="D2" s="14" t="s">
        <v>112</v>
      </c>
      <c r="E2" s="30" t="s">
        <v>1668</v>
      </c>
      <c r="F2" s="14" t="s">
        <v>194</v>
      </c>
      <c r="G2" s="14" t="s">
        <v>1669</v>
      </c>
      <c r="H2" s="14" t="s">
        <v>26</v>
      </c>
      <c r="I2" s="17">
        <v>169800</v>
      </c>
      <c r="J2" s="17">
        <v>472805</v>
      </c>
      <c r="K2" s="17">
        <v>437805</v>
      </c>
      <c r="L2" s="17">
        <f>J2-K2</f>
      </c>
      <c r="M2" s="14" t="s">
        <v>50</v>
      </c>
      <c r="N2" s="14" t="s">
        <v>1670</v>
      </c>
      <c r="O2" s="16">
        <v>2</v>
      </c>
      <c r="P2" s="17"/>
      <c r="Q2" s="17"/>
      <c r="R2" s="17"/>
      <c r="S2" s="17"/>
      <c r="T2" s="17">
        <f>J2-P2-S2-Q2-R2</f>
      </c>
      <c r="U2" s="12"/>
      <c r="V2" s="174"/>
      <c r="W2" s="14"/>
    </row>
    <row x14ac:dyDescent="0.25" r="3" customHeight="1" ht="19.5">
      <c r="A3" s="12">
        <v>45932</v>
      </c>
      <c r="B3" s="15" t="s">
        <v>53</v>
      </c>
      <c r="C3" s="161" t="s">
        <v>1671</v>
      </c>
      <c r="D3" s="14" t="s">
        <v>282</v>
      </c>
      <c r="E3" s="30" t="s">
        <v>1672</v>
      </c>
      <c r="F3" s="14" t="s">
        <v>1673</v>
      </c>
      <c r="G3" s="14" t="s">
        <v>1674</v>
      </c>
      <c r="H3" s="14" t="s">
        <v>26</v>
      </c>
      <c r="I3" s="17">
        <v>1094200</v>
      </c>
      <c r="J3" s="17">
        <v>1696990</v>
      </c>
      <c r="K3" s="17">
        <v>1586320</v>
      </c>
      <c r="L3" s="17">
        <f>J3-K3</f>
      </c>
      <c r="M3" s="14" t="s">
        <v>137</v>
      </c>
      <c r="N3" s="14" t="s">
        <v>1675</v>
      </c>
      <c r="O3" s="16"/>
      <c r="P3" s="17"/>
      <c r="Q3" s="17"/>
      <c r="R3" s="17"/>
      <c r="S3" s="17"/>
      <c r="T3" s="17">
        <f>J3-P3-S3-Q3-R3</f>
      </c>
      <c r="U3" s="12"/>
      <c r="V3" s="174"/>
      <c r="W3" s="14"/>
    </row>
    <row x14ac:dyDescent="0.25" r="4" customHeight="1" ht="19.5">
      <c r="A4" s="12">
        <v>45932</v>
      </c>
      <c r="B4" s="15" t="s">
        <v>106</v>
      </c>
      <c r="C4" s="161" t="s">
        <v>1676</v>
      </c>
      <c r="D4" s="14" t="s">
        <v>1507</v>
      </c>
      <c r="E4" s="30" t="s">
        <v>1677</v>
      </c>
      <c r="F4" s="14" t="s">
        <v>763</v>
      </c>
      <c r="G4" s="14" t="s">
        <v>763</v>
      </c>
      <c r="H4" s="14" t="s">
        <v>26</v>
      </c>
      <c r="I4" s="17"/>
      <c r="J4" s="17">
        <v>593850</v>
      </c>
      <c r="K4" s="17">
        <v>503800</v>
      </c>
      <c r="L4" s="17">
        <f>J4-K4</f>
      </c>
      <c r="M4" s="14" t="s">
        <v>77</v>
      </c>
      <c r="N4" s="14" t="s">
        <v>1678</v>
      </c>
      <c r="O4" s="16"/>
      <c r="P4" s="17"/>
      <c r="Q4" s="17"/>
      <c r="R4" s="17"/>
      <c r="S4" s="17"/>
      <c r="T4" s="17">
        <f>J4-P4-S4-Q4-R4</f>
      </c>
      <c r="U4" s="12"/>
      <c r="V4" s="174"/>
      <c r="W4" s="14"/>
    </row>
    <row x14ac:dyDescent="0.25" r="5" customHeight="1" ht="19.5">
      <c r="A5" s="12">
        <v>45932</v>
      </c>
      <c r="B5" s="15" t="s">
        <v>82</v>
      </c>
      <c r="C5" s="161" t="s">
        <v>1679</v>
      </c>
      <c r="D5" s="14" t="s">
        <v>83</v>
      </c>
      <c r="E5" s="30" t="s">
        <v>1680</v>
      </c>
      <c r="F5" s="14" t="s">
        <v>135</v>
      </c>
      <c r="G5" s="14" t="s">
        <v>1681</v>
      </c>
      <c r="H5" s="14" t="s">
        <v>26</v>
      </c>
      <c r="I5" s="17"/>
      <c r="J5" s="17">
        <v>114500</v>
      </c>
      <c r="K5" s="17">
        <v>89340</v>
      </c>
      <c r="L5" s="17">
        <f>J5-K5</f>
      </c>
      <c r="M5" s="14" t="s">
        <v>86</v>
      </c>
      <c r="N5" s="14" t="s">
        <v>1682</v>
      </c>
      <c r="O5" s="16"/>
      <c r="P5" s="17"/>
      <c r="Q5" s="17"/>
      <c r="R5" s="17"/>
      <c r="S5" s="17"/>
      <c r="T5" s="17">
        <f>J5-P5-S5-Q5-R5</f>
      </c>
      <c r="U5" s="12"/>
      <c r="V5" s="174"/>
      <c r="W5" s="14"/>
    </row>
    <row x14ac:dyDescent="0.25" r="6" customHeight="1" ht="19.5">
      <c r="A6" s="12">
        <v>45932</v>
      </c>
      <c r="B6" s="15" t="s">
        <v>46</v>
      </c>
      <c r="C6" s="161" t="s">
        <v>1683</v>
      </c>
      <c r="D6" s="14" t="s">
        <v>54</v>
      </c>
      <c r="E6" s="30" t="s">
        <v>1684</v>
      </c>
      <c r="F6" s="14" t="s">
        <v>1685</v>
      </c>
      <c r="G6" s="14" t="s">
        <v>1685</v>
      </c>
      <c r="H6" s="14" t="s">
        <v>26</v>
      </c>
      <c r="I6" s="17"/>
      <c r="J6" s="69">
        <v>128900</v>
      </c>
      <c r="K6" s="17">
        <v>123000</v>
      </c>
      <c r="L6" s="17">
        <f>J6-K6</f>
      </c>
      <c r="M6" s="14" t="s">
        <v>50</v>
      </c>
      <c r="N6" s="14" t="s">
        <v>1686</v>
      </c>
      <c r="O6" s="16" t="s">
        <v>1687</v>
      </c>
      <c r="P6" s="17"/>
      <c r="Q6" s="17"/>
      <c r="R6" s="17"/>
      <c r="S6" s="17"/>
      <c r="T6" s="17">
        <f>J6-P6-S6-Q6-R6</f>
      </c>
      <c r="U6" s="12"/>
      <c r="V6" s="174"/>
      <c r="W6" s="14"/>
    </row>
    <row x14ac:dyDescent="0.25" r="7" customHeight="1" ht="19.5">
      <c r="A7" s="12">
        <v>45932</v>
      </c>
      <c r="B7" s="15" t="s">
        <v>1688</v>
      </c>
      <c r="C7" s="161" t="s">
        <v>1689</v>
      </c>
      <c r="D7" s="14" t="s">
        <v>172</v>
      </c>
      <c r="E7" s="30" t="s">
        <v>1690</v>
      </c>
      <c r="F7" s="14" t="s">
        <v>162</v>
      </c>
      <c r="G7" s="14" t="s">
        <v>439</v>
      </c>
      <c r="H7" s="14" t="s">
        <v>26</v>
      </c>
      <c r="I7" s="17"/>
      <c r="J7" s="17">
        <v>1712920</v>
      </c>
      <c r="K7" s="17">
        <v>1632920</v>
      </c>
      <c r="L7" s="17">
        <f>J7-K7</f>
      </c>
      <c r="M7" s="14" t="s">
        <v>50</v>
      </c>
      <c r="N7" s="14" t="s">
        <v>1691</v>
      </c>
      <c r="O7" s="16">
        <v>3</v>
      </c>
      <c r="P7" s="17"/>
      <c r="Q7" s="17"/>
      <c r="R7" s="17"/>
      <c r="S7" s="17"/>
      <c r="T7" s="17">
        <f>J7-P7-S7-Q7-R7</f>
      </c>
      <c r="U7" s="175"/>
      <c r="V7" s="174"/>
      <c r="W7" s="14"/>
    </row>
    <row x14ac:dyDescent="0.25" r="8" customHeight="1" ht="19.5">
      <c r="A8" s="137">
        <v>45932</v>
      </c>
      <c r="B8" s="140" t="s">
        <v>53</v>
      </c>
      <c r="C8" s="138" t="s">
        <v>1692</v>
      </c>
      <c r="D8" s="139" t="s">
        <v>1693</v>
      </c>
      <c r="E8" s="139"/>
      <c r="F8" s="139" t="s">
        <v>194</v>
      </c>
      <c r="G8" s="140" t="s">
        <v>1694</v>
      </c>
      <c r="H8" s="139" t="s">
        <v>76</v>
      </c>
      <c r="I8" s="176"/>
      <c r="J8" s="141">
        <v>1595700</v>
      </c>
      <c r="K8" s="141">
        <v>1582660</v>
      </c>
      <c r="L8" s="176">
        <v>13040</v>
      </c>
      <c r="M8" s="139" t="s">
        <v>77</v>
      </c>
      <c r="N8" s="140" t="s">
        <v>1695</v>
      </c>
      <c r="O8" s="141"/>
      <c r="P8" s="176"/>
      <c r="Q8" s="176"/>
      <c r="R8" s="176"/>
      <c r="S8" s="176"/>
      <c r="T8" s="176"/>
      <c r="U8" s="177"/>
      <c r="V8" s="178"/>
      <c r="W8" s="139"/>
    </row>
    <row x14ac:dyDescent="0.25" r="9" customHeight="1" ht="33.75">
      <c r="A9" s="137">
        <v>45932</v>
      </c>
      <c r="B9" s="140" t="s">
        <v>53</v>
      </c>
      <c r="C9" s="138" t="s">
        <v>1692</v>
      </c>
      <c r="D9" s="139" t="s">
        <v>1693</v>
      </c>
      <c r="E9" s="139"/>
      <c r="F9" s="139" t="s">
        <v>194</v>
      </c>
      <c r="G9" s="179" t="s">
        <v>1696</v>
      </c>
      <c r="H9" s="139" t="s">
        <v>76</v>
      </c>
      <c r="I9" s="176"/>
      <c r="J9" s="141">
        <v>1595700</v>
      </c>
      <c r="K9" s="141">
        <v>1582660</v>
      </c>
      <c r="L9" s="176">
        <v>13040</v>
      </c>
      <c r="M9" s="139" t="s">
        <v>77</v>
      </c>
      <c r="N9" s="140" t="s">
        <v>1697</v>
      </c>
      <c r="O9" s="141"/>
      <c r="P9" s="176"/>
      <c r="Q9" s="176"/>
      <c r="R9" s="176"/>
      <c r="S9" s="176"/>
      <c r="T9" s="176"/>
      <c r="U9" s="177"/>
      <c r="V9" s="178"/>
      <c r="W9" s="139"/>
    </row>
    <row x14ac:dyDescent="0.25" r="10" customHeight="1" ht="19.5">
      <c r="A10" s="137">
        <v>45932</v>
      </c>
      <c r="B10" s="140" t="s">
        <v>53</v>
      </c>
      <c r="C10" s="138" t="s">
        <v>1692</v>
      </c>
      <c r="D10" s="139" t="s">
        <v>1693</v>
      </c>
      <c r="E10" s="139"/>
      <c r="F10" s="139" t="s">
        <v>194</v>
      </c>
      <c r="G10" s="140" t="s">
        <v>1698</v>
      </c>
      <c r="H10" s="139" t="s">
        <v>76</v>
      </c>
      <c r="I10" s="176"/>
      <c r="J10" s="141">
        <v>1595700</v>
      </c>
      <c r="K10" s="141">
        <v>1582660</v>
      </c>
      <c r="L10" s="176">
        <v>13040</v>
      </c>
      <c r="M10" s="139" t="s">
        <v>77</v>
      </c>
      <c r="N10" s="140" t="s">
        <v>1699</v>
      </c>
      <c r="O10" s="141"/>
      <c r="P10" s="176"/>
      <c r="Q10" s="176"/>
      <c r="R10" s="176"/>
      <c r="S10" s="176"/>
      <c r="T10" s="176"/>
      <c r="U10" s="177"/>
      <c r="V10" s="178"/>
      <c r="W10" s="139"/>
    </row>
    <row x14ac:dyDescent="0.25" r="11" customHeight="1" ht="19.5">
      <c r="A11" s="137">
        <v>45932</v>
      </c>
      <c r="B11" s="140" t="s">
        <v>53</v>
      </c>
      <c r="C11" s="138" t="s">
        <v>1692</v>
      </c>
      <c r="D11" s="139" t="s">
        <v>1693</v>
      </c>
      <c r="E11" s="139"/>
      <c r="F11" s="139" t="s">
        <v>194</v>
      </c>
      <c r="G11" s="140" t="s">
        <v>1700</v>
      </c>
      <c r="H11" s="139" t="s">
        <v>76</v>
      </c>
      <c r="I11" s="176"/>
      <c r="J11" s="141">
        <v>1595700</v>
      </c>
      <c r="K11" s="141">
        <v>1582660</v>
      </c>
      <c r="L11" s="176">
        <v>13040</v>
      </c>
      <c r="M11" s="139" t="s">
        <v>77</v>
      </c>
      <c r="N11" s="140" t="s">
        <v>1701</v>
      </c>
      <c r="O11" s="141"/>
      <c r="P11" s="176"/>
      <c r="Q11" s="176"/>
      <c r="R11" s="176"/>
      <c r="S11" s="176"/>
      <c r="T11" s="176"/>
      <c r="U11" s="177"/>
      <c r="V11" s="178"/>
      <c r="W11" s="139"/>
    </row>
    <row x14ac:dyDescent="0.25" r="12" customHeight="1" ht="19.5">
      <c r="A12" s="137">
        <v>45932</v>
      </c>
      <c r="B12" s="140" t="s">
        <v>53</v>
      </c>
      <c r="C12" s="138" t="s">
        <v>1692</v>
      </c>
      <c r="D12" s="139" t="s">
        <v>1693</v>
      </c>
      <c r="E12" s="139"/>
      <c r="F12" s="139" t="s">
        <v>194</v>
      </c>
      <c r="G12" s="140" t="s">
        <v>1702</v>
      </c>
      <c r="H12" s="139" t="s">
        <v>76</v>
      </c>
      <c r="I12" s="176"/>
      <c r="J12" s="141">
        <v>1595700</v>
      </c>
      <c r="K12" s="141">
        <v>1582660</v>
      </c>
      <c r="L12" s="176">
        <v>13040</v>
      </c>
      <c r="M12" s="139" t="s">
        <v>77</v>
      </c>
      <c r="N12" s="140" t="s">
        <v>1703</v>
      </c>
      <c r="O12" s="141"/>
      <c r="P12" s="176"/>
      <c r="Q12" s="176"/>
      <c r="R12" s="176"/>
      <c r="S12" s="176"/>
      <c r="T12" s="176"/>
      <c r="U12" s="177"/>
      <c r="V12" s="178"/>
      <c r="W12" s="139"/>
    </row>
    <row x14ac:dyDescent="0.25" r="13" customHeight="1" ht="19.5">
      <c r="A13" s="137">
        <v>45932</v>
      </c>
      <c r="B13" s="140" t="s">
        <v>53</v>
      </c>
      <c r="C13" s="138" t="s">
        <v>1692</v>
      </c>
      <c r="D13" s="139" t="s">
        <v>1693</v>
      </c>
      <c r="E13" s="139"/>
      <c r="F13" s="139" t="s">
        <v>194</v>
      </c>
      <c r="G13" s="140" t="s">
        <v>1704</v>
      </c>
      <c r="H13" s="139" t="s">
        <v>76</v>
      </c>
      <c r="I13" s="176"/>
      <c r="J13" s="141">
        <v>1595700</v>
      </c>
      <c r="K13" s="141">
        <v>1582660</v>
      </c>
      <c r="L13" s="176">
        <v>13040</v>
      </c>
      <c r="M13" s="139" t="s">
        <v>77</v>
      </c>
      <c r="N13" s="140" t="s">
        <v>1705</v>
      </c>
      <c r="O13" s="141"/>
      <c r="P13" s="176"/>
      <c r="Q13" s="176"/>
      <c r="R13" s="176"/>
      <c r="S13" s="176"/>
      <c r="T13" s="176"/>
      <c r="U13" s="177"/>
      <c r="V13" s="178"/>
      <c r="W13" s="139"/>
    </row>
    <row x14ac:dyDescent="0.25" r="14" customHeight="1" ht="19.5">
      <c r="A14" s="137">
        <v>45932</v>
      </c>
      <c r="B14" s="140" t="s">
        <v>53</v>
      </c>
      <c r="C14" s="138" t="s">
        <v>1692</v>
      </c>
      <c r="D14" s="139" t="s">
        <v>1693</v>
      </c>
      <c r="E14" s="139"/>
      <c r="F14" s="139" t="s">
        <v>194</v>
      </c>
      <c r="G14" s="140" t="s">
        <v>1706</v>
      </c>
      <c r="H14" s="139" t="s">
        <v>76</v>
      </c>
      <c r="I14" s="176"/>
      <c r="J14" s="141">
        <v>1595700</v>
      </c>
      <c r="K14" s="141">
        <v>1582660</v>
      </c>
      <c r="L14" s="176">
        <v>13040</v>
      </c>
      <c r="M14" s="139" t="s">
        <v>77</v>
      </c>
      <c r="N14" s="140" t="s">
        <v>1707</v>
      </c>
      <c r="O14" s="141"/>
      <c r="P14" s="176"/>
      <c r="Q14" s="176"/>
      <c r="R14" s="176"/>
      <c r="S14" s="176"/>
      <c r="T14" s="176"/>
      <c r="U14" s="177"/>
      <c r="V14" s="178"/>
      <c r="W14" s="139"/>
    </row>
    <row x14ac:dyDescent="0.25" r="15" customHeight="1" ht="19.5">
      <c r="A15" s="137">
        <v>45932</v>
      </c>
      <c r="B15" s="140" t="s">
        <v>53</v>
      </c>
      <c r="C15" s="138" t="s">
        <v>1692</v>
      </c>
      <c r="D15" s="139" t="s">
        <v>1693</v>
      </c>
      <c r="E15" s="139"/>
      <c r="F15" s="139" t="s">
        <v>194</v>
      </c>
      <c r="G15" s="140" t="s">
        <v>1708</v>
      </c>
      <c r="H15" s="139" t="s">
        <v>76</v>
      </c>
      <c r="I15" s="176"/>
      <c r="J15" s="141">
        <v>1595700</v>
      </c>
      <c r="K15" s="141">
        <v>1582660</v>
      </c>
      <c r="L15" s="176">
        <v>13040</v>
      </c>
      <c r="M15" s="139" t="s">
        <v>77</v>
      </c>
      <c r="N15" s="140" t="s">
        <v>1709</v>
      </c>
      <c r="O15" s="141"/>
      <c r="P15" s="176"/>
      <c r="Q15" s="176"/>
      <c r="R15" s="176"/>
      <c r="S15" s="176"/>
      <c r="T15" s="176"/>
      <c r="U15" s="177"/>
      <c r="V15" s="178"/>
      <c r="W15" s="139"/>
    </row>
    <row x14ac:dyDescent="0.25" r="16" customHeight="1" ht="19.5">
      <c r="A16" s="137">
        <v>45932</v>
      </c>
      <c r="B16" s="140" t="s">
        <v>53</v>
      </c>
      <c r="C16" s="138" t="s">
        <v>1692</v>
      </c>
      <c r="D16" s="139" t="s">
        <v>1693</v>
      </c>
      <c r="E16" s="139"/>
      <c r="F16" s="139" t="s">
        <v>194</v>
      </c>
      <c r="G16" s="140" t="s">
        <v>1710</v>
      </c>
      <c r="H16" s="139" t="s">
        <v>76</v>
      </c>
      <c r="I16" s="176"/>
      <c r="J16" s="141">
        <v>1595700</v>
      </c>
      <c r="K16" s="141">
        <v>1582660</v>
      </c>
      <c r="L16" s="176">
        <v>13040</v>
      </c>
      <c r="M16" s="139" t="s">
        <v>77</v>
      </c>
      <c r="N16" s="140" t="s">
        <v>1711</v>
      </c>
      <c r="O16" s="141"/>
      <c r="P16" s="176"/>
      <c r="Q16" s="176"/>
      <c r="R16" s="176"/>
      <c r="S16" s="176"/>
      <c r="T16" s="176"/>
      <c r="U16" s="177"/>
      <c r="V16" s="178"/>
      <c r="W16" s="139"/>
    </row>
    <row x14ac:dyDescent="0.25" r="17" customHeight="1" ht="19.5">
      <c r="A17" s="137">
        <v>45932</v>
      </c>
      <c r="B17" s="140" t="s">
        <v>53</v>
      </c>
      <c r="C17" s="138" t="s">
        <v>1692</v>
      </c>
      <c r="D17" s="139" t="s">
        <v>1693</v>
      </c>
      <c r="E17" s="139"/>
      <c r="F17" s="139" t="s">
        <v>194</v>
      </c>
      <c r="G17" s="140" t="s">
        <v>1712</v>
      </c>
      <c r="H17" s="139" t="s">
        <v>76</v>
      </c>
      <c r="I17" s="176"/>
      <c r="J17" s="141">
        <v>1595700</v>
      </c>
      <c r="K17" s="141">
        <v>1582660</v>
      </c>
      <c r="L17" s="176">
        <v>13040</v>
      </c>
      <c r="M17" s="139" t="s">
        <v>77</v>
      </c>
      <c r="N17" s="140" t="s">
        <v>1713</v>
      </c>
      <c r="O17" s="141"/>
      <c r="P17" s="176"/>
      <c r="Q17" s="176"/>
      <c r="R17" s="176"/>
      <c r="S17" s="176"/>
      <c r="T17" s="176"/>
      <c r="U17" s="177"/>
      <c r="V17" s="178"/>
      <c r="W17" s="139"/>
    </row>
    <row x14ac:dyDescent="0.25" r="18" customHeight="1" ht="19.5">
      <c r="A18" s="12">
        <v>45933</v>
      </c>
      <c r="B18" s="15" t="s">
        <v>46</v>
      </c>
      <c r="C18" s="161" t="s">
        <v>1714</v>
      </c>
      <c r="D18" s="14" t="s">
        <v>375</v>
      </c>
      <c r="E18" s="30" t="s">
        <v>1715</v>
      </c>
      <c r="F18" s="14" t="s">
        <v>147</v>
      </c>
      <c r="G18" s="14" t="s">
        <v>1716</v>
      </c>
      <c r="H18" s="14" t="s">
        <v>57</v>
      </c>
      <c r="I18" s="17">
        <v>1823500</v>
      </c>
      <c r="J18" s="17">
        <v>2781900</v>
      </c>
      <c r="K18" s="17">
        <v>2411120</v>
      </c>
      <c r="L18" s="17">
        <f>J18-K18</f>
      </c>
      <c r="M18" s="14" t="s">
        <v>50</v>
      </c>
      <c r="N18" s="14" t="s">
        <v>1717</v>
      </c>
      <c r="O18" s="16">
        <v>2</v>
      </c>
      <c r="P18" s="17">
        <v>2651900</v>
      </c>
      <c r="Q18" s="17"/>
      <c r="R18" s="17"/>
      <c r="S18" s="17"/>
      <c r="T18" s="17">
        <f>J18-P18-S18-Q18-R18</f>
      </c>
      <c r="U18" s="175">
        <v>45939</v>
      </c>
      <c r="V18" s="14" t="s">
        <v>1718</v>
      </c>
      <c r="W18" s="14"/>
    </row>
    <row x14ac:dyDescent="0.25" r="19" customHeight="1" ht="20.25">
      <c r="A19" s="12">
        <v>45933</v>
      </c>
      <c r="B19" s="15" t="s">
        <v>53</v>
      </c>
      <c r="C19" s="161" t="s">
        <v>823</v>
      </c>
      <c r="D19" s="14" t="s">
        <v>295</v>
      </c>
      <c r="E19" s="30" t="s">
        <v>1719</v>
      </c>
      <c r="F19" s="14" t="s">
        <v>1720</v>
      </c>
      <c r="G19" s="14" t="s">
        <v>1721</v>
      </c>
      <c r="H19" s="14" t="s">
        <v>26</v>
      </c>
      <c r="I19" s="17">
        <v>628100</v>
      </c>
      <c r="J19" s="17">
        <v>1010800</v>
      </c>
      <c r="K19" s="17">
        <v>918820</v>
      </c>
      <c r="L19" s="17">
        <f>J19-K19</f>
      </c>
      <c r="M19" s="14" t="s">
        <v>137</v>
      </c>
      <c r="N19" s="14" t="s">
        <v>1722</v>
      </c>
      <c r="O19" s="16"/>
      <c r="P19" s="17">
        <v>300000</v>
      </c>
      <c r="Q19" s="17">
        <v>296000</v>
      </c>
      <c r="R19" s="17">
        <v>200000</v>
      </c>
      <c r="S19" s="17">
        <v>300000</v>
      </c>
      <c r="T19" s="17">
        <f>J19-P19-S19-Q19-R19</f>
      </c>
      <c r="U19" s="175" t="s">
        <v>1723</v>
      </c>
      <c r="V19" s="70" t="s">
        <v>1724</v>
      </c>
      <c r="W19" s="14"/>
    </row>
    <row x14ac:dyDescent="0.25" r="20" customHeight="1" ht="20.25">
      <c r="A20" s="12">
        <v>45933</v>
      </c>
      <c r="B20" s="15" t="s">
        <v>82</v>
      </c>
      <c r="C20" s="18">
        <v>45934</v>
      </c>
      <c r="D20" s="14" t="s">
        <v>472</v>
      </c>
      <c r="E20" s="30" t="s">
        <v>1725</v>
      </c>
      <c r="F20" s="14" t="s">
        <v>147</v>
      </c>
      <c r="G20" s="14" t="s">
        <v>1716</v>
      </c>
      <c r="H20" s="14" t="s">
        <v>57</v>
      </c>
      <c r="I20" s="17"/>
      <c r="J20" s="17">
        <v>25800</v>
      </c>
      <c r="K20" s="17">
        <v>22800</v>
      </c>
      <c r="L20" s="17">
        <f>J20-K20</f>
      </c>
      <c r="M20" s="14" t="s">
        <v>82</v>
      </c>
      <c r="N20" s="14" t="s">
        <v>1726</v>
      </c>
      <c r="O20" s="16" t="s">
        <v>251</v>
      </c>
      <c r="P20" s="17"/>
      <c r="Q20" s="17"/>
      <c r="R20" s="17"/>
      <c r="S20" s="17">
        <v>25800</v>
      </c>
      <c r="T20" s="17">
        <f>J20-P20-S20-Q20-R20</f>
      </c>
      <c r="U20" s="12">
        <v>45939</v>
      </c>
      <c r="V20" s="14" t="s">
        <v>1718</v>
      </c>
      <c r="W20" s="14"/>
    </row>
    <row x14ac:dyDescent="0.25" r="21" customHeight="1" ht="20.25">
      <c r="A21" s="12">
        <v>45933</v>
      </c>
      <c r="B21" s="15" t="s">
        <v>46</v>
      </c>
      <c r="C21" s="161" t="s">
        <v>1727</v>
      </c>
      <c r="D21" s="14" t="s">
        <v>375</v>
      </c>
      <c r="E21" s="30" t="s">
        <v>1728</v>
      </c>
      <c r="F21" s="14" t="s">
        <v>174</v>
      </c>
      <c r="G21" s="14" t="s">
        <v>446</v>
      </c>
      <c r="H21" s="14" t="s">
        <v>26</v>
      </c>
      <c r="I21" s="17">
        <v>2074300</v>
      </c>
      <c r="J21" s="17">
        <v>3129820</v>
      </c>
      <c r="K21" s="17">
        <v>2911820</v>
      </c>
      <c r="L21" s="17">
        <f>J21-K21</f>
      </c>
      <c r="M21" s="14" t="s">
        <v>50</v>
      </c>
      <c r="N21" s="14" t="s">
        <v>1729</v>
      </c>
      <c r="O21" s="16">
        <v>2</v>
      </c>
      <c r="P21" s="17"/>
      <c r="Q21" s="17"/>
      <c r="R21" s="17"/>
      <c r="S21" s="17"/>
      <c r="T21" s="17">
        <f>J21-P21-S21-Q21-R21</f>
      </c>
      <c r="U21" s="12"/>
      <c r="V21" s="174"/>
      <c r="W21" s="14"/>
    </row>
    <row x14ac:dyDescent="0.25" r="22" customHeight="1" ht="20.25">
      <c r="A22" s="12">
        <v>45933</v>
      </c>
      <c r="B22" s="15" t="s">
        <v>46</v>
      </c>
      <c r="C22" s="161" t="s">
        <v>1730</v>
      </c>
      <c r="D22" s="14" t="s">
        <v>1731</v>
      </c>
      <c r="E22" s="30" t="s">
        <v>1728</v>
      </c>
      <c r="F22" s="14" t="s">
        <v>174</v>
      </c>
      <c r="G22" s="14" t="s">
        <v>1732</v>
      </c>
      <c r="H22" s="14" t="s">
        <v>26</v>
      </c>
      <c r="I22" s="17">
        <v>3003200</v>
      </c>
      <c r="J22" s="17">
        <v>3995820</v>
      </c>
      <c r="K22" s="17">
        <v>3795050</v>
      </c>
      <c r="L22" s="17">
        <f>J22-K22</f>
      </c>
      <c r="M22" s="14" t="s">
        <v>50</v>
      </c>
      <c r="N22" s="14" t="s">
        <v>1733</v>
      </c>
      <c r="O22" s="16">
        <v>2</v>
      </c>
      <c r="P22" s="17"/>
      <c r="Q22" s="17"/>
      <c r="R22" s="17"/>
      <c r="S22" s="17"/>
      <c r="T22" s="17">
        <f>J22-P22-S22-Q22-R22</f>
      </c>
      <c r="U22" s="12"/>
      <c r="V22" s="174"/>
      <c r="W22" s="14"/>
    </row>
    <row x14ac:dyDescent="0.25" r="23" customHeight="1" ht="20.25">
      <c r="A23" s="12">
        <v>45933</v>
      </c>
      <c r="B23" s="15" t="s">
        <v>123</v>
      </c>
      <c r="C23" s="161" t="s">
        <v>1734</v>
      </c>
      <c r="D23" s="14" t="s">
        <v>1735</v>
      </c>
      <c r="E23" s="30" t="s">
        <v>1736</v>
      </c>
      <c r="F23" s="14" t="s">
        <v>1737</v>
      </c>
      <c r="G23" s="14" t="s">
        <v>1738</v>
      </c>
      <c r="H23" s="14" t="s">
        <v>26</v>
      </c>
      <c r="I23" s="17"/>
      <c r="J23" s="17">
        <v>605300</v>
      </c>
      <c r="K23" s="17">
        <v>585220</v>
      </c>
      <c r="L23" s="17">
        <f>J23-K23</f>
      </c>
      <c r="M23" s="14" t="s">
        <v>77</v>
      </c>
      <c r="N23" s="14" t="s">
        <v>1739</v>
      </c>
      <c r="O23" s="16"/>
      <c r="P23" s="17"/>
      <c r="Q23" s="17"/>
      <c r="R23" s="17"/>
      <c r="S23" s="17"/>
      <c r="T23" s="17">
        <f>J23-P23-S23-Q23-R23</f>
      </c>
      <c r="U23" s="12"/>
      <c r="V23" s="174"/>
      <c r="W23" s="14"/>
    </row>
    <row x14ac:dyDescent="0.25" r="24" customHeight="1" ht="20.25">
      <c r="A24" s="12">
        <v>45933</v>
      </c>
      <c r="B24" s="15" t="s">
        <v>111</v>
      </c>
      <c r="C24" s="161" t="s">
        <v>1740</v>
      </c>
      <c r="D24" s="14" t="s">
        <v>805</v>
      </c>
      <c r="E24" s="30" t="s">
        <v>1741</v>
      </c>
      <c r="F24" s="14" t="s">
        <v>1742</v>
      </c>
      <c r="G24" s="14" t="s">
        <v>1743</v>
      </c>
      <c r="H24" s="14" t="s">
        <v>26</v>
      </c>
      <c r="I24" s="17">
        <v>870200</v>
      </c>
      <c r="J24" s="17">
        <v>1222720</v>
      </c>
      <c r="K24" s="17">
        <v>1097420</v>
      </c>
      <c r="L24" s="17">
        <f>J24-K24</f>
      </c>
      <c r="M24" s="14" t="s">
        <v>50</v>
      </c>
      <c r="N24" s="14" t="s">
        <v>1744</v>
      </c>
      <c r="O24" s="16">
        <v>4</v>
      </c>
      <c r="P24" s="17"/>
      <c r="Q24" s="17"/>
      <c r="R24" s="17"/>
      <c r="S24" s="17"/>
      <c r="T24" s="17">
        <f>J24-P24-S24-Q24-R24</f>
      </c>
      <c r="U24" s="12"/>
      <c r="V24" s="174"/>
      <c r="W24" s="14"/>
    </row>
    <row x14ac:dyDescent="0.25" r="25" customHeight="1" ht="20.25">
      <c r="A25" s="137">
        <v>45933</v>
      </c>
      <c r="B25" s="140" t="s">
        <v>897</v>
      </c>
      <c r="C25" s="138" t="s">
        <v>1745</v>
      </c>
      <c r="D25" s="139" t="s">
        <v>54</v>
      </c>
      <c r="E25" s="139"/>
      <c r="F25" s="139" t="s">
        <v>1746</v>
      </c>
      <c r="G25" s="139" t="s">
        <v>1747</v>
      </c>
      <c r="H25" s="139" t="s">
        <v>26</v>
      </c>
      <c r="I25" s="176">
        <v>188700</v>
      </c>
      <c r="J25" s="176">
        <v>395900</v>
      </c>
      <c r="K25" s="176">
        <v>354820</v>
      </c>
      <c r="L25" s="176">
        <f>J25-K25</f>
      </c>
      <c r="M25" s="139" t="s">
        <v>77</v>
      </c>
      <c r="N25" s="139" t="s">
        <v>1748</v>
      </c>
      <c r="O25" s="141"/>
      <c r="P25" s="17"/>
      <c r="Q25" s="17"/>
      <c r="R25" s="17"/>
      <c r="S25" s="17">
        <v>395900</v>
      </c>
      <c r="T25" s="17">
        <f>J25-P25-S25-Q25-R25</f>
      </c>
      <c r="U25" s="12">
        <v>45933</v>
      </c>
      <c r="V25" s="14" t="s">
        <v>1718</v>
      </c>
      <c r="W25" s="14"/>
    </row>
    <row x14ac:dyDescent="0.25" r="26" customHeight="1" ht="20.25">
      <c r="A26" s="12">
        <v>45933</v>
      </c>
      <c r="B26" s="15" t="s">
        <v>66</v>
      </c>
      <c r="C26" s="18">
        <v>45935</v>
      </c>
      <c r="D26" s="14" t="s">
        <v>415</v>
      </c>
      <c r="E26" s="30" t="s">
        <v>1749</v>
      </c>
      <c r="F26" s="14" t="s">
        <v>1750</v>
      </c>
      <c r="G26" s="14" t="s">
        <v>450</v>
      </c>
      <c r="H26" s="14" t="s">
        <v>26</v>
      </c>
      <c r="I26" s="17"/>
      <c r="J26" s="17">
        <v>79900</v>
      </c>
      <c r="K26" s="17">
        <v>30100</v>
      </c>
      <c r="L26" s="17">
        <f>J26-K26</f>
      </c>
      <c r="M26" s="14" t="s">
        <v>50</v>
      </c>
      <c r="N26" s="14" t="s">
        <v>1751</v>
      </c>
      <c r="O26" s="16" t="s">
        <v>33</v>
      </c>
      <c r="P26" s="17"/>
      <c r="Q26" s="17"/>
      <c r="R26" s="17"/>
      <c r="S26" s="17"/>
      <c r="T26" s="17">
        <f>J26-P26-S26-Q26-R26</f>
      </c>
      <c r="U26" s="12"/>
      <c r="V26" s="174"/>
      <c r="W26" s="14"/>
    </row>
    <row x14ac:dyDescent="0.25" r="27" customHeight="1" ht="20.25">
      <c r="A27" s="55">
        <v>45934</v>
      </c>
      <c r="B27" s="133" t="s">
        <v>66</v>
      </c>
      <c r="C27" s="132" t="s">
        <v>1752</v>
      </c>
      <c r="D27" s="56" t="s">
        <v>1753</v>
      </c>
      <c r="E27" s="56" t="s">
        <v>1754</v>
      </c>
      <c r="F27" s="56" t="s">
        <v>1755</v>
      </c>
      <c r="G27" s="56" t="s">
        <v>1755</v>
      </c>
      <c r="H27" s="56" t="s">
        <v>26</v>
      </c>
      <c r="I27" s="57">
        <v>226300</v>
      </c>
      <c r="J27" s="57">
        <v>149380</v>
      </c>
      <c r="K27" s="57">
        <v>94000</v>
      </c>
      <c r="L27" s="57">
        <f>J27-K27</f>
      </c>
      <c r="M27" s="56" t="s">
        <v>50</v>
      </c>
      <c r="N27" s="56" t="s">
        <v>1756</v>
      </c>
      <c r="O27" s="134" t="s">
        <v>343</v>
      </c>
      <c r="P27" s="17"/>
      <c r="Q27" s="17"/>
      <c r="R27" s="17"/>
      <c r="S27" s="17">
        <v>149380</v>
      </c>
      <c r="T27" s="17">
        <f>J27-P27-S27-Q27-R27</f>
      </c>
      <c r="U27" s="12">
        <v>45936</v>
      </c>
      <c r="V27" s="14" t="s">
        <v>1718</v>
      </c>
      <c r="W27" s="14"/>
    </row>
    <row x14ac:dyDescent="0.25" r="28" customHeight="1" ht="20.25">
      <c r="A28" s="12">
        <v>45934</v>
      </c>
      <c r="B28" s="15" t="s">
        <v>72</v>
      </c>
      <c r="C28" s="18">
        <v>45971</v>
      </c>
      <c r="D28" s="14" t="s">
        <v>1277</v>
      </c>
      <c r="E28" s="30"/>
      <c r="F28" s="14" t="s">
        <v>1757</v>
      </c>
      <c r="G28" s="14" t="s">
        <v>1757</v>
      </c>
      <c r="H28" s="14" t="s">
        <v>26</v>
      </c>
      <c r="I28" s="17"/>
      <c r="J28" s="17">
        <v>195900</v>
      </c>
      <c r="K28" s="17">
        <v>151200</v>
      </c>
      <c r="L28" s="17">
        <f>J28-K28</f>
      </c>
      <c r="M28" s="14" t="s">
        <v>1758</v>
      </c>
      <c r="N28" s="14" t="s">
        <v>1759</v>
      </c>
      <c r="O28" s="16" t="s">
        <v>33</v>
      </c>
      <c r="P28" s="17"/>
      <c r="Q28" s="17"/>
      <c r="R28" s="17"/>
      <c r="S28" s="17"/>
      <c r="T28" s="17">
        <f>J28-P28-S28-Q28-R28</f>
      </c>
      <c r="U28" s="12"/>
      <c r="V28" s="174"/>
      <c r="W28" s="14"/>
    </row>
    <row x14ac:dyDescent="0.25" r="29" customHeight="1" ht="20.25">
      <c r="A29" s="55">
        <v>45934</v>
      </c>
      <c r="B29" s="133" t="s">
        <v>72</v>
      </c>
      <c r="C29" s="132" t="s">
        <v>1760</v>
      </c>
      <c r="D29" s="56" t="s">
        <v>54</v>
      </c>
      <c r="E29" s="56" t="s">
        <v>1761</v>
      </c>
      <c r="F29" s="56" t="s">
        <v>1456</v>
      </c>
      <c r="G29" s="56" t="s">
        <v>1762</v>
      </c>
      <c r="H29" s="56" t="s">
        <v>26</v>
      </c>
      <c r="I29" s="180" t="s">
        <v>1763</v>
      </c>
      <c r="J29" s="57">
        <v>148900</v>
      </c>
      <c r="K29" s="57">
        <v>83900</v>
      </c>
      <c r="L29" s="57">
        <f>J29-K29</f>
      </c>
      <c r="M29" s="56" t="s">
        <v>154</v>
      </c>
      <c r="N29" s="56" t="s">
        <v>1764</v>
      </c>
      <c r="O29" s="134" t="s">
        <v>1765</v>
      </c>
      <c r="P29" s="57"/>
      <c r="Q29" s="57"/>
      <c r="R29" s="57"/>
      <c r="S29" s="57"/>
      <c r="T29" s="57">
        <f>J29-P29-S29-Q29-R29</f>
      </c>
      <c r="U29" s="55"/>
      <c r="V29" s="181"/>
      <c r="W29" s="56"/>
    </row>
    <row x14ac:dyDescent="0.25" r="30" customHeight="1" ht="20.25">
      <c r="A30" s="12">
        <v>45935</v>
      </c>
      <c r="B30" s="15" t="s">
        <v>106</v>
      </c>
      <c r="C30" s="18">
        <v>45988</v>
      </c>
      <c r="D30" s="14" t="s">
        <v>1766</v>
      </c>
      <c r="E30" s="30"/>
      <c r="F30" s="14" t="s">
        <v>162</v>
      </c>
      <c r="G30" s="14" t="s">
        <v>1767</v>
      </c>
      <c r="H30" s="14" t="s">
        <v>26</v>
      </c>
      <c r="I30" s="17">
        <v>658000</v>
      </c>
      <c r="J30" s="17">
        <v>905800</v>
      </c>
      <c r="K30" s="17">
        <v>805400</v>
      </c>
      <c r="L30" s="17">
        <f>J30-K30</f>
      </c>
      <c r="M30" s="14" t="s">
        <v>50</v>
      </c>
      <c r="N30" s="14" t="s">
        <v>1768</v>
      </c>
      <c r="O30" s="16">
        <v>1</v>
      </c>
      <c r="P30" s="17"/>
      <c r="Q30" s="17"/>
      <c r="R30" s="17"/>
      <c r="S30" s="17"/>
      <c r="T30" s="17">
        <f>J30-P30-S30-Q30-R30</f>
      </c>
      <c r="U30" s="12"/>
      <c r="V30" s="174"/>
      <c r="W30" s="14"/>
    </row>
    <row x14ac:dyDescent="0.25" r="31" customHeight="1" ht="20.25">
      <c r="A31" s="12">
        <v>45935</v>
      </c>
      <c r="B31" s="15" t="s">
        <v>683</v>
      </c>
      <c r="C31" s="18">
        <v>45936</v>
      </c>
      <c r="D31" s="14" t="s">
        <v>67</v>
      </c>
      <c r="E31" s="30" t="s">
        <v>1769</v>
      </c>
      <c r="F31" s="14" t="s">
        <v>162</v>
      </c>
      <c r="G31" s="14" t="s">
        <v>439</v>
      </c>
      <c r="H31" s="14" t="s">
        <v>26</v>
      </c>
      <c r="I31" s="17">
        <v>384500</v>
      </c>
      <c r="J31" s="17">
        <v>715900</v>
      </c>
      <c r="K31" s="17">
        <v>635320</v>
      </c>
      <c r="L31" s="17">
        <f>J31-K31</f>
      </c>
      <c r="M31" s="14" t="s">
        <v>77</v>
      </c>
      <c r="N31" s="14" t="s">
        <v>1770</v>
      </c>
      <c r="O31" s="16"/>
      <c r="P31" s="17"/>
      <c r="Q31" s="17"/>
      <c r="R31" s="17"/>
      <c r="S31" s="17"/>
      <c r="T31" s="17">
        <f>J31-P31-S31-Q31-R31</f>
      </c>
      <c r="U31" s="12"/>
      <c r="V31" s="174"/>
      <c r="W31" s="14"/>
    </row>
    <row x14ac:dyDescent="0.25" r="32" customHeight="1" ht="20.25">
      <c r="A32" s="12">
        <v>45936</v>
      </c>
      <c r="B32" s="15" t="s">
        <v>82</v>
      </c>
      <c r="C32" s="18">
        <v>45936</v>
      </c>
      <c r="D32" s="14" t="s">
        <v>472</v>
      </c>
      <c r="E32" s="30"/>
      <c r="F32" s="14" t="s">
        <v>1771</v>
      </c>
      <c r="G32" s="14" t="s">
        <v>1134</v>
      </c>
      <c r="H32" s="14"/>
      <c r="I32" s="17"/>
      <c r="J32" s="17">
        <v>98000</v>
      </c>
      <c r="K32" s="17">
        <v>66870</v>
      </c>
      <c r="L32" s="17">
        <f>J32-K32</f>
      </c>
      <c r="M32" s="14" t="s">
        <v>86</v>
      </c>
      <c r="N32" s="14" t="s">
        <v>1772</v>
      </c>
      <c r="O32" s="16"/>
      <c r="P32" s="17"/>
      <c r="Q32" s="17"/>
      <c r="R32" s="17"/>
      <c r="S32" s="17">
        <v>98000</v>
      </c>
      <c r="T32" s="17">
        <f>J32-P32-S32-Q32-R32</f>
      </c>
      <c r="U32" s="12">
        <v>45939</v>
      </c>
      <c r="V32" s="14" t="s">
        <v>1718</v>
      </c>
      <c r="W32" s="14"/>
    </row>
    <row x14ac:dyDescent="0.25" r="33" customHeight="1" ht="20.25">
      <c r="A33" s="55">
        <v>45936</v>
      </c>
      <c r="B33" s="133" t="s">
        <v>66</v>
      </c>
      <c r="C33" s="132" t="s">
        <v>1773</v>
      </c>
      <c r="D33" s="56" t="s">
        <v>1753</v>
      </c>
      <c r="E33" s="56" t="s">
        <v>1774</v>
      </c>
      <c r="F33" s="56" t="s">
        <v>1775</v>
      </c>
      <c r="G33" s="56" t="s">
        <v>1776</v>
      </c>
      <c r="H33" s="56" t="s">
        <v>26</v>
      </c>
      <c r="I33" s="57">
        <v>226300</v>
      </c>
      <c r="J33" s="57">
        <v>140000</v>
      </c>
      <c r="K33" s="57">
        <v>94000</v>
      </c>
      <c r="L33" s="57">
        <f>J33-K33</f>
      </c>
      <c r="M33" s="56" t="s">
        <v>50</v>
      </c>
      <c r="N33" s="56" t="s">
        <v>1777</v>
      </c>
      <c r="O33" s="180" t="s">
        <v>1778</v>
      </c>
      <c r="P33" s="17"/>
      <c r="Q33" s="17"/>
      <c r="R33" s="17"/>
      <c r="S33" s="17">
        <v>599520</v>
      </c>
      <c r="T33" s="17">
        <f>J33-P33-S33-Q33-R33</f>
      </c>
      <c r="U33" s="12">
        <v>45937</v>
      </c>
      <c r="V33" s="174"/>
      <c r="W33" s="14"/>
    </row>
    <row x14ac:dyDescent="0.25" r="34" customHeight="1" ht="20.25">
      <c r="A34" s="12">
        <v>45937</v>
      </c>
      <c r="B34" s="15" t="s">
        <v>123</v>
      </c>
      <c r="C34" s="161" t="s">
        <v>1779</v>
      </c>
      <c r="D34" s="14" t="s">
        <v>752</v>
      </c>
      <c r="E34" s="30" t="s">
        <v>1780</v>
      </c>
      <c r="F34" s="14" t="s">
        <v>1781</v>
      </c>
      <c r="G34" s="14" t="s">
        <v>1782</v>
      </c>
      <c r="H34" s="14" t="s">
        <v>1783</v>
      </c>
      <c r="I34" s="17">
        <v>44400</v>
      </c>
      <c r="J34" s="17">
        <v>521220</v>
      </c>
      <c r="K34" s="17">
        <v>516220</v>
      </c>
      <c r="L34" s="17">
        <v>5000</v>
      </c>
      <c r="M34" s="14" t="s">
        <v>50</v>
      </c>
      <c r="N34" s="14" t="s">
        <v>1784</v>
      </c>
      <c r="O34" s="16">
        <v>4</v>
      </c>
      <c r="P34" s="17"/>
      <c r="Q34" s="17"/>
      <c r="R34" s="17"/>
      <c r="S34" s="17">
        <v>521220</v>
      </c>
      <c r="T34" s="17">
        <f>J34-P34-S34-Q34-R34</f>
      </c>
      <c r="U34" s="12">
        <v>45937</v>
      </c>
      <c r="V34" s="14" t="s">
        <v>1718</v>
      </c>
      <c r="W34" s="14"/>
    </row>
    <row x14ac:dyDescent="0.25" r="35" customHeight="1" ht="20.25">
      <c r="A35" s="12">
        <v>45937</v>
      </c>
      <c r="B35" s="15" t="s">
        <v>123</v>
      </c>
      <c r="C35" s="161" t="s">
        <v>1779</v>
      </c>
      <c r="D35" s="14" t="s">
        <v>752</v>
      </c>
      <c r="E35" s="30" t="s">
        <v>1780</v>
      </c>
      <c r="F35" s="14" t="s">
        <v>1781</v>
      </c>
      <c r="G35" s="14" t="s">
        <v>1785</v>
      </c>
      <c r="H35" s="14" t="s">
        <v>1783</v>
      </c>
      <c r="I35" s="17">
        <v>44400</v>
      </c>
      <c r="J35" s="17">
        <v>521220</v>
      </c>
      <c r="K35" s="17">
        <v>516220</v>
      </c>
      <c r="L35" s="17">
        <v>5000</v>
      </c>
      <c r="M35" s="14" t="s">
        <v>50</v>
      </c>
      <c r="N35" s="14" t="s">
        <v>1784</v>
      </c>
      <c r="O35" s="16">
        <v>4</v>
      </c>
      <c r="P35" s="17"/>
      <c r="Q35" s="17"/>
      <c r="R35" s="17"/>
      <c r="S35" s="17">
        <v>521220</v>
      </c>
      <c r="T35" s="17">
        <f>J35-P35-S35-Q35-R35</f>
      </c>
      <c r="U35" s="12">
        <v>45937</v>
      </c>
      <c r="V35" s="14" t="s">
        <v>1718</v>
      </c>
      <c r="W35" s="14"/>
    </row>
    <row x14ac:dyDescent="0.25" r="36" customHeight="1" ht="20.25">
      <c r="A36" s="12">
        <v>45937</v>
      </c>
      <c r="B36" s="15" t="s">
        <v>46</v>
      </c>
      <c r="C36" s="18">
        <v>45937</v>
      </c>
      <c r="D36" s="14" t="s">
        <v>1786</v>
      </c>
      <c r="E36" s="30" t="s">
        <v>1787</v>
      </c>
      <c r="F36" s="14" t="s">
        <v>456</v>
      </c>
      <c r="G36" s="14" t="s">
        <v>1788</v>
      </c>
      <c r="H36" s="14" t="s">
        <v>57</v>
      </c>
      <c r="I36" s="17">
        <v>753100</v>
      </c>
      <c r="J36" s="17">
        <v>1040700</v>
      </c>
      <c r="K36" s="17">
        <v>890700</v>
      </c>
      <c r="L36" s="17">
        <v>150000</v>
      </c>
      <c r="M36" s="14" t="s">
        <v>50</v>
      </c>
      <c r="N36" s="14" t="s">
        <v>1789</v>
      </c>
      <c r="O36" s="16">
        <v>1</v>
      </c>
      <c r="P36" s="17">
        <v>1031700</v>
      </c>
      <c r="Q36" s="17"/>
      <c r="R36" s="17"/>
      <c r="S36" s="17"/>
      <c r="T36" s="17">
        <f>J36-P36-S36-Q36-R36</f>
      </c>
      <c r="U36" s="12">
        <v>45939</v>
      </c>
      <c r="V36" s="14" t="s">
        <v>1718</v>
      </c>
      <c r="W36" s="14"/>
    </row>
    <row x14ac:dyDescent="0.25" r="37" customHeight="1" ht="20.25">
      <c r="A37" s="137">
        <v>45939</v>
      </c>
      <c r="B37" s="140" t="s">
        <v>72</v>
      </c>
      <c r="C37" s="138" t="s">
        <v>1790</v>
      </c>
      <c r="D37" s="139" t="s">
        <v>1791</v>
      </c>
      <c r="E37" s="139" t="s">
        <v>1792</v>
      </c>
      <c r="F37" s="139" t="s">
        <v>1793</v>
      </c>
      <c r="G37" s="139" t="s">
        <v>1794</v>
      </c>
      <c r="H37" s="139" t="s">
        <v>26</v>
      </c>
      <c r="I37" s="176"/>
      <c r="J37" s="176">
        <v>969700</v>
      </c>
      <c r="K37" s="176">
        <v>909300</v>
      </c>
      <c r="L37" s="176">
        <f>J37-K37</f>
      </c>
      <c r="M37" s="139"/>
      <c r="N37" s="139" t="s">
        <v>1795</v>
      </c>
      <c r="O37" s="141" t="s">
        <v>1796</v>
      </c>
      <c r="P37" s="182"/>
      <c r="Q37" s="178"/>
      <c r="R37" s="178"/>
      <c r="S37" s="183"/>
      <c r="T37" s="184">
        <f>J37-P37-S37-Q37-R37</f>
      </c>
      <c r="U37" s="137"/>
      <c r="V37" s="86"/>
      <c r="W37" s="3"/>
    </row>
    <row x14ac:dyDescent="0.25" r="38" customHeight="1" ht="20.25">
      <c r="A38" s="12">
        <v>45939</v>
      </c>
      <c r="B38" s="15" t="s">
        <v>46</v>
      </c>
      <c r="C38" s="161" t="s">
        <v>1797</v>
      </c>
      <c r="D38" s="14" t="s">
        <v>282</v>
      </c>
      <c r="E38" s="30" t="s">
        <v>1798</v>
      </c>
      <c r="F38" s="14" t="s">
        <v>1799</v>
      </c>
      <c r="G38" s="14" t="s">
        <v>1800</v>
      </c>
      <c r="H38" s="14" t="s">
        <v>26</v>
      </c>
      <c r="I38" s="17">
        <v>439500</v>
      </c>
      <c r="J38" s="17">
        <v>882900</v>
      </c>
      <c r="K38" s="17">
        <v>792320</v>
      </c>
      <c r="L38" s="17">
        <f>J38-K38</f>
      </c>
      <c r="M38" s="14" t="s">
        <v>50</v>
      </c>
      <c r="N38" s="14" t="s">
        <v>1801</v>
      </c>
      <c r="O38" s="16">
        <v>2</v>
      </c>
      <c r="P38" s="17"/>
      <c r="Q38" s="17"/>
      <c r="R38" s="17"/>
      <c r="S38" s="17"/>
      <c r="T38" s="17">
        <f>J38-P38-S38-Q38-R38</f>
      </c>
      <c r="U38" s="12"/>
      <c r="V38" s="174"/>
      <c r="W38" s="14"/>
    </row>
    <row x14ac:dyDescent="0.25" r="39" customHeight="1" ht="20.25">
      <c r="A39" s="12">
        <v>45939</v>
      </c>
      <c r="B39" s="15" t="s">
        <v>62</v>
      </c>
      <c r="C39" s="18">
        <v>45946</v>
      </c>
      <c r="D39" s="14" t="s">
        <v>1802</v>
      </c>
      <c r="E39" s="30" t="s">
        <v>1803</v>
      </c>
      <c r="F39" s="14" t="s">
        <v>24</v>
      </c>
      <c r="G39" s="14" t="s">
        <v>1804</v>
      </c>
      <c r="H39" s="14" t="s">
        <v>26</v>
      </c>
      <c r="I39" s="17"/>
      <c r="J39" s="17">
        <v>10499360</v>
      </c>
      <c r="K39" s="17">
        <v>9341782</v>
      </c>
      <c r="L39" s="17">
        <f>J39-K39</f>
      </c>
      <c r="M39" s="14" t="s">
        <v>36</v>
      </c>
      <c r="N39" s="14" t="s">
        <v>1805</v>
      </c>
      <c r="O39" s="16"/>
      <c r="P39" s="17"/>
      <c r="Q39" s="17"/>
      <c r="R39" s="17"/>
      <c r="S39" s="17"/>
      <c r="T39" s="17">
        <f>J39-P39-S39-Q39-R39</f>
      </c>
      <c r="U39" s="12"/>
      <c r="V39" s="174"/>
      <c r="W39" s="14"/>
    </row>
    <row x14ac:dyDescent="0.25" r="40" customHeight="1" ht="20.25">
      <c r="A40" s="12">
        <v>45939</v>
      </c>
      <c r="B40" s="15" t="s">
        <v>72</v>
      </c>
      <c r="C40" s="161" t="s">
        <v>1806</v>
      </c>
      <c r="D40" s="14" t="s">
        <v>448</v>
      </c>
      <c r="E40" s="30" t="s">
        <v>1807</v>
      </c>
      <c r="F40" s="14" t="s">
        <v>1808</v>
      </c>
      <c r="G40" s="14" t="s">
        <v>1809</v>
      </c>
      <c r="H40" s="14" t="s">
        <v>26</v>
      </c>
      <c r="I40" s="17">
        <v>559120</v>
      </c>
      <c r="J40" s="17">
        <v>588720</v>
      </c>
      <c r="K40" s="17">
        <v>559120</v>
      </c>
      <c r="L40" s="17">
        <f>J40-K40</f>
      </c>
      <c r="M40" s="14" t="s">
        <v>50</v>
      </c>
      <c r="N40" s="14" t="s">
        <v>1810</v>
      </c>
      <c r="O40" s="16">
        <v>4</v>
      </c>
      <c r="P40" s="17"/>
      <c r="Q40" s="17"/>
      <c r="R40" s="17"/>
      <c r="S40" s="17"/>
      <c r="T40" s="17">
        <f>J40-P40-S40-Q40-R40</f>
      </c>
      <c r="U40" s="12"/>
      <c r="V40" s="174"/>
      <c r="W40" s="14"/>
    </row>
    <row x14ac:dyDescent="0.25" r="41" customHeight="1" ht="20.25">
      <c r="A41" s="12">
        <v>45939</v>
      </c>
      <c r="B41" s="15" t="s">
        <v>72</v>
      </c>
      <c r="C41" s="161" t="s">
        <v>1806</v>
      </c>
      <c r="D41" s="14" t="s">
        <v>448</v>
      </c>
      <c r="E41" s="30" t="s">
        <v>1807</v>
      </c>
      <c r="F41" s="14" t="s">
        <v>1808</v>
      </c>
      <c r="G41" s="14" t="s">
        <v>1811</v>
      </c>
      <c r="H41" s="14" t="s">
        <v>26</v>
      </c>
      <c r="I41" s="17">
        <v>559120</v>
      </c>
      <c r="J41" s="17">
        <v>588720</v>
      </c>
      <c r="K41" s="17">
        <v>559120</v>
      </c>
      <c r="L41" s="17">
        <f>J41-K41</f>
      </c>
      <c r="M41" s="14" t="s">
        <v>50</v>
      </c>
      <c r="N41" s="14" t="s">
        <v>1812</v>
      </c>
      <c r="O41" s="16">
        <v>4</v>
      </c>
      <c r="P41" s="17"/>
      <c r="Q41" s="17"/>
      <c r="R41" s="17"/>
      <c r="S41" s="17"/>
      <c r="T41" s="17">
        <f>J41-P41-S41-Q41-R41</f>
      </c>
      <c r="U41" s="12"/>
      <c r="V41" s="174"/>
      <c r="W41" s="14"/>
    </row>
    <row x14ac:dyDescent="0.25" r="42" customHeight="1" ht="20.25">
      <c r="A42" s="12">
        <v>45939</v>
      </c>
      <c r="B42" s="15" t="s">
        <v>53</v>
      </c>
      <c r="C42" s="161" t="s">
        <v>778</v>
      </c>
      <c r="D42" s="14" t="s">
        <v>232</v>
      </c>
      <c r="E42" s="30" t="s">
        <v>1813</v>
      </c>
      <c r="F42" s="14" t="s">
        <v>1673</v>
      </c>
      <c r="G42" s="14" t="s">
        <v>1814</v>
      </c>
      <c r="H42" s="14" t="s">
        <v>26</v>
      </c>
      <c r="I42" s="17"/>
      <c r="J42" s="17">
        <v>1620600</v>
      </c>
      <c r="K42" s="17">
        <v>1590820</v>
      </c>
      <c r="L42" s="17">
        <f>J42-K42</f>
      </c>
      <c r="M42" s="14" t="s">
        <v>137</v>
      </c>
      <c r="N42" s="14" t="s">
        <v>1815</v>
      </c>
      <c r="O42" s="16"/>
      <c r="P42" s="17">
        <v>365600</v>
      </c>
      <c r="Q42" s="17"/>
      <c r="R42" s="17"/>
      <c r="S42" s="17"/>
      <c r="T42" s="17">
        <f>J42-P42-S42-Q42-R42</f>
      </c>
      <c r="U42" s="12"/>
      <c r="V42" s="174"/>
      <c r="W42" s="14"/>
    </row>
    <row x14ac:dyDescent="0.25" r="43" customHeight="1" ht="20.25">
      <c r="A43" s="12">
        <v>45941</v>
      </c>
      <c r="B43" s="15" t="s">
        <v>46</v>
      </c>
      <c r="C43" s="161" t="s">
        <v>1816</v>
      </c>
      <c r="D43" s="14" t="s">
        <v>1817</v>
      </c>
      <c r="E43" s="30" t="s">
        <v>1818</v>
      </c>
      <c r="F43" s="14" t="s">
        <v>24</v>
      </c>
      <c r="G43" s="14" t="s">
        <v>1819</v>
      </c>
      <c r="H43" s="14" t="s">
        <v>26</v>
      </c>
      <c r="I43" s="17">
        <v>2744100</v>
      </c>
      <c r="J43" s="17">
        <v>3784620</v>
      </c>
      <c r="K43" s="17">
        <v>3604620</v>
      </c>
      <c r="L43" s="17">
        <f>J43-K43</f>
      </c>
      <c r="M43" s="14" t="s">
        <v>50</v>
      </c>
      <c r="N43" s="14" t="s">
        <v>1820</v>
      </c>
      <c r="O43" s="16">
        <v>4</v>
      </c>
      <c r="P43" s="17"/>
      <c r="Q43" s="17"/>
      <c r="R43" s="17"/>
      <c r="S43" s="17"/>
      <c r="T43" s="17">
        <f>J43-P43-S43-Q43-R43</f>
      </c>
      <c r="U43" s="12"/>
      <c r="V43" s="174"/>
      <c r="W43" s="14"/>
    </row>
    <row x14ac:dyDescent="0.25" r="44" customHeight="1" ht="20.25">
      <c r="A44" s="12">
        <v>45943</v>
      </c>
      <c r="B44" s="185" t="s">
        <v>46</v>
      </c>
      <c r="C44" s="161" t="s">
        <v>1816</v>
      </c>
      <c r="D44" s="14" t="s">
        <v>1817</v>
      </c>
      <c r="E44" s="30" t="s">
        <v>1821</v>
      </c>
      <c r="F44" s="14" t="s">
        <v>24</v>
      </c>
      <c r="G44" s="14" t="s">
        <v>1819</v>
      </c>
      <c r="H44" s="14" t="s">
        <v>26</v>
      </c>
      <c r="I44" s="17"/>
      <c r="J44" s="17">
        <v>225000</v>
      </c>
      <c r="K44" s="17">
        <v>196800</v>
      </c>
      <c r="L44" s="17">
        <f>J44-K44</f>
      </c>
      <c r="M44" s="14" t="s">
        <v>50</v>
      </c>
      <c r="N44" s="70" t="s">
        <v>1822</v>
      </c>
      <c r="O44" s="16" t="s">
        <v>33</v>
      </c>
      <c r="P44" s="17"/>
      <c r="Q44" s="17"/>
      <c r="R44" s="17"/>
      <c r="S44" s="17"/>
      <c r="T44" s="17">
        <f>J44-P44-S44-Q44-R44</f>
      </c>
      <c r="U44" s="12"/>
      <c r="V44" s="174"/>
      <c r="W44" s="14"/>
    </row>
    <row x14ac:dyDescent="0.25" r="45" customHeight="1" ht="20.25">
      <c r="A45" s="137" t="s">
        <v>1823</v>
      </c>
      <c r="B45" s="179" t="s">
        <v>1824</v>
      </c>
      <c r="C45" s="138" t="s">
        <v>1825</v>
      </c>
      <c r="D45" s="139" t="s">
        <v>1826</v>
      </c>
      <c r="E45" s="139"/>
      <c r="F45" s="139" t="s">
        <v>135</v>
      </c>
      <c r="G45" s="139" t="s">
        <v>1216</v>
      </c>
      <c r="H45" s="139" t="s">
        <v>26</v>
      </c>
      <c r="I45" s="176">
        <v>628600</v>
      </c>
      <c r="J45" s="176">
        <v>1119960</v>
      </c>
      <c r="K45" s="176">
        <v>805320</v>
      </c>
      <c r="L45" s="176">
        <f>J45-K45</f>
      </c>
      <c r="M45" s="139" t="s">
        <v>187</v>
      </c>
      <c r="N45" s="186" t="s">
        <v>1827</v>
      </c>
      <c r="O45" s="141"/>
      <c r="P45" s="176"/>
      <c r="Q45" s="176"/>
      <c r="R45" s="176"/>
      <c r="S45" s="176"/>
      <c r="T45" s="176">
        <f>J45-P45-S45-Q45-R45</f>
      </c>
      <c r="U45" s="137"/>
      <c r="V45" s="178"/>
      <c r="W45" s="139"/>
    </row>
    <row x14ac:dyDescent="0.25" r="46" customHeight="1" ht="20.25">
      <c r="A46" s="137">
        <v>45944</v>
      </c>
      <c r="B46" s="140" t="s">
        <v>1824</v>
      </c>
      <c r="C46" s="138" t="s">
        <v>1825</v>
      </c>
      <c r="D46" s="139" t="s">
        <v>1826</v>
      </c>
      <c r="E46" s="139" t="s">
        <v>1828</v>
      </c>
      <c r="F46" s="139" t="s">
        <v>135</v>
      </c>
      <c r="G46" s="139" t="s">
        <v>1829</v>
      </c>
      <c r="H46" s="139" t="s">
        <v>26</v>
      </c>
      <c r="I46" s="176">
        <v>628600</v>
      </c>
      <c r="J46" s="176">
        <v>1119960</v>
      </c>
      <c r="K46" s="176">
        <v>805320</v>
      </c>
      <c r="L46" s="176">
        <f>J46-K46</f>
      </c>
      <c r="M46" s="139" t="s">
        <v>187</v>
      </c>
      <c r="N46" s="139" t="s">
        <v>1830</v>
      </c>
      <c r="O46" s="141"/>
      <c r="P46" s="176"/>
      <c r="Q46" s="176"/>
      <c r="R46" s="176"/>
      <c r="S46" s="176"/>
      <c r="T46" s="176">
        <f>J46-P46-S46-Q46-R46</f>
      </c>
      <c r="U46" s="137"/>
      <c r="V46" s="178"/>
      <c r="W46" s="139"/>
    </row>
    <row x14ac:dyDescent="0.25" r="47" customHeight="1" ht="20.25">
      <c r="A47" s="12">
        <v>45944</v>
      </c>
      <c r="B47" s="185" t="s">
        <v>1554</v>
      </c>
      <c r="C47" s="161" t="s">
        <v>1831</v>
      </c>
      <c r="D47" s="14" t="s">
        <v>1832</v>
      </c>
      <c r="E47" s="30" t="s">
        <v>1833</v>
      </c>
      <c r="F47" s="14" t="s">
        <v>1834</v>
      </c>
      <c r="G47" s="14" t="s">
        <v>1216</v>
      </c>
      <c r="H47" s="14" t="s">
        <v>26</v>
      </c>
      <c r="I47" s="17">
        <v>141100</v>
      </c>
      <c r="J47" s="17">
        <v>243440</v>
      </c>
      <c r="K47" s="17">
        <v>200000</v>
      </c>
      <c r="L47" s="17">
        <f>J47-K47</f>
      </c>
      <c r="M47" s="14" t="s">
        <v>43</v>
      </c>
      <c r="N47" s="70" t="s">
        <v>1827</v>
      </c>
      <c r="O47" s="16"/>
      <c r="P47" s="17"/>
      <c r="Q47" s="17"/>
      <c r="R47" s="17"/>
      <c r="S47" s="17"/>
      <c r="T47" s="17">
        <f>J47-P47-S47-Q47-R47</f>
      </c>
      <c r="U47" s="12"/>
      <c r="V47" s="174"/>
      <c r="W47" s="14"/>
    </row>
    <row x14ac:dyDescent="0.25" r="48" customHeight="1" ht="20.25">
      <c r="A48" s="12">
        <v>45944</v>
      </c>
      <c r="B48" s="15" t="s">
        <v>1554</v>
      </c>
      <c r="C48" s="161" t="s">
        <v>1831</v>
      </c>
      <c r="D48" s="14" t="s">
        <v>1832</v>
      </c>
      <c r="E48" s="14" t="s">
        <v>1833</v>
      </c>
      <c r="F48" s="14" t="s">
        <v>1834</v>
      </c>
      <c r="G48" s="14" t="s">
        <v>1829</v>
      </c>
      <c r="H48" s="30" t="s">
        <v>26</v>
      </c>
      <c r="I48" s="17">
        <v>141100</v>
      </c>
      <c r="J48" s="17">
        <v>243440</v>
      </c>
      <c r="K48" s="17">
        <v>200000</v>
      </c>
      <c r="L48" s="17">
        <f>J48-K48</f>
      </c>
      <c r="M48" s="14" t="s">
        <v>43</v>
      </c>
      <c r="N48" s="14" t="s">
        <v>1830</v>
      </c>
      <c r="O48" s="16"/>
      <c r="P48" s="17"/>
      <c r="Q48" s="17"/>
      <c r="R48" s="17"/>
      <c r="S48" s="17"/>
      <c r="T48" s="17">
        <f>J48-P48-S48-Q48-R48</f>
      </c>
      <c r="U48" s="12"/>
      <c r="V48" s="174"/>
      <c r="W48" s="14"/>
    </row>
    <row x14ac:dyDescent="0.25" r="49" customHeight="1" ht="20.25">
      <c r="A49" s="12">
        <v>45944</v>
      </c>
      <c r="B49" s="15" t="s">
        <v>106</v>
      </c>
      <c r="C49" s="161" t="s">
        <v>1835</v>
      </c>
      <c r="D49" s="14" t="s">
        <v>1836</v>
      </c>
      <c r="E49" s="14" t="s">
        <v>1837</v>
      </c>
      <c r="F49" s="14" t="s">
        <v>1838</v>
      </c>
      <c r="G49" s="14" t="s">
        <v>1839</v>
      </c>
      <c r="H49" s="30" t="s">
        <v>26</v>
      </c>
      <c r="I49" s="17"/>
      <c r="J49" s="17">
        <v>259700</v>
      </c>
      <c r="K49" s="17">
        <v>254700</v>
      </c>
      <c r="L49" s="17">
        <f>J49-K49</f>
      </c>
      <c r="M49" s="14" t="s">
        <v>50</v>
      </c>
      <c r="N49" s="14" t="s">
        <v>1840</v>
      </c>
      <c r="O49" s="16">
        <v>2</v>
      </c>
      <c r="P49" s="17"/>
      <c r="Q49" s="17"/>
      <c r="R49" s="17"/>
      <c r="S49" s="17">
        <v>259700</v>
      </c>
      <c r="T49" s="17">
        <f>J49-P49-S49-Q49-R49</f>
      </c>
      <c r="U49" s="12">
        <v>45950</v>
      </c>
      <c r="V49" s="14" t="s">
        <v>1718</v>
      </c>
      <c r="W49" s="14"/>
    </row>
    <row x14ac:dyDescent="0.25" r="50" customHeight="1" ht="20.25">
      <c r="A50" s="12">
        <v>45944</v>
      </c>
      <c r="B50" s="15" t="s">
        <v>106</v>
      </c>
      <c r="C50" s="161" t="s">
        <v>1835</v>
      </c>
      <c r="D50" s="14" t="s">
        <v>1836</v>
      </c>
      <c r="E50" s="14" t="s">
        <v>1841</v>
      </c>
      <c r="F50" s="14" t="s">
        <v>1838</v>
      </c>
      <c r="G50" s="14" t="s">
        <v>1842</v>
      </c>
      <c r="H50" s="30" t="s">
        <v>26</v>
      </c>
      <c r="I50" s="17">
        <v>1246800</v>
      </c>
      <c r="J50" s="17">
        <v>1674220</v>
      </c>
      <c r="K50" s="17"/>
      <c r="L50" s="17">
        <f>J50-K50</f>
      </c>
      <c r="M50" s="14" t="s">
        <v>50</v>
      </c>
      <c r="N50" s="14" t="s">
        <v>1843</v>
      </c>
      <c r="O50" s="16">
        <v>2</v>
      </c>
      <c r="P50" s="17"/>
      <c r="Q50" s="17"/>
      <c r="R50" s="17"/>
      <c r="S50" s="17">
        <v>1674220</v>
      </c>
      <c r="T50" s="17">
        <f>J50-P50-S50-Q50-R50</f>
      </c>
      <c r="U50" s="12">
        <v>45950</v>
      </c>
      <c r="V50" s="14" t="s">
        <v>1718</v>
      </c>
      <c r="W50" s="14"/>
    </row>
    <row x14ac:dyDescent="0.25" r="51" customHeight="1" ht="20.25">
      <c r="A51" s="12">
        <v>45945</v>
      </c>
      <c r="B51" s="185" t="s">
        <v>82</v>
      </c>
      <c r="C51" s="161" t="s">
        <v>1844</v>
      </c>
      <c r="D51" s="14" t="s">
        <v>83</v>
      </c>
      <c r="E51" s="30" t="s">
        <v>1845</v>
      </c>
      <c r="F51" s="14" t="s">
        <v>1846</v>
      </c>
      <c r="G51" s="14" t="s">
        <v>1847</v>
      </c>
      <c r="H51" s="14" t="s">
        <v>26</v>
      </c>
      <c r="I51" s="17"/>
      <c r="J51" s="17">
        <v>122500</v>
      </c>
      <c r="K51" s="17">
        <v>106340</v>
      </c>
      <c r="L51" s="17">
        <f>J51-K51</f>
      </c>
      <c r="M51" s="14" t="s">
        <v>86</v>
      </c>
      <c r="N51" s="70" t="s">
        <v>1848</v>
      </c>
      <c r="O51" s="16"/>
      <c r="P51" s="17"/>
      <c r="Q51" s="17"/>
      <c r="R51" s="17"/>
      <c r="S51" s="17"/>
      <c r="T51" s="17">
        <f>J51-P51-S51-Q51-R51</f>
      </c>
      <c r="U51" s="12"/>
      <c r="V51" s="174"/>
      <c r="W51" s="14"/>
    </row>
    <row x14ac:dyDescent="0.25" r="52" customHeight="1" ht="20.25">
      <c r="A52" s="12">
        <v>45945</v>
      </c>
      <c r="B52" s="15" t="s">
        <v>82</v>
      </c>
      <c r="C52" s="161" t="s">
        <v>1849</v>
      </c>
      <c r="D52" s="14" t="s">
        <v>525</v>
      </c>
      <c r="E52" s="30" t="s">
        <v>1850</v>
      </c>
      <c r="F52" s="14" t="s">
        <v>292</v>
      </c>
      <c r="G52" s="14" t="s">
        <v>1851</v>
      </c>
      <c r="H52" s="14" t="s">
        <v>26</v>
      </c>
      <c r="I52" s="17"/>
      <c r="J52" s="17">
        <v>172900</v>
      </c>
      <c r="K52" s="17">
        <v>147840</v>
      </c>
      <c r="L52" s="17">
        <f>J52-K52</f>
      </c>
      <c r="M52" s="14" t="s">
        <v>86</v>
      </c>
      <c r="N52" s="14" t="s">
        <v>1852</v>
      </c>
      <c r="O52" s="16"/>
      <c r="P52" s="17"/>
      <c r="Q52" s="17"/>
      <c r="R52" s="17"/>
      <c r="S52" s="17"/>
      <c r="T52" s="17">
        <f>J52-P52-S52-Q52-R52</f>
      </c>
      <c r="U52" s="12"/>
      <c r="V52" s="174"/>
      <c r="W52" s="14"/>
    </row>
    <row x14ac:dyDescent="0.25" r="53" customHeight="1" ht="20.25">
      <c r="A53" s="12">
        <v>45945</v>
      </c>
      <c r="B53" s="15" t="s">
        <v>66</v>
      </c>
      <c r="C53" s="18">
        <v>45950</v>
      </c>
      <c r="D53" s="14" t="s">
        <v>402</v>
      </c>
      <c r="E53" s="30" t="s">
        <v>1853</v>
      </c>
      <c r="F53" s="14" t="s">
        <v>1854</v>
      </c>
      <c r="G53" s="14" t="s">
        <v>1855</v>
      </c>
      <c r="H53" s="14" t="s">
        <v>26</v>
      </c>
      <c r="I53" s="17">
        <v>210200</v>
      </c>
      <c r="J53" s="17">
        <v>421000</v>
      </c>
      <c r="K53" s="17">
        <v>396000</v>
      </c>
      <c r="L53" s="17">
        <f>J53-K53</f>
      </c>
      <c r="M53" s="14" t="s">
        <v>77</v>
      </c>
      <c r="N53" s="14" t="s">
        <v>1856</v>
      </c>
      <c r="O53" s="16"/>
      <c r="P53" s="17"/>
      <c r="Q53" s="17"/>
      <c r="R53" s="17"/>
      <c r="S53" s="17"/>
      <c r="T53" s="17">
        <f>J53-P53-S53-Q53-R53</f>
      </c>
      <c r="U53" s="12"/>
      <c r="V53" s="174"/>
      <c r="W53" s="14"/>
    </row>
    <row x14ac:dyDescent="0.25" r="54" customHeight="1" ht="20.25">
      <c r="A54" s="12">
        <v>45945</v>
      </c>
      <c r="B54" s="15" t="s">
        <v>111</v>
      </c>
      <c r="C54" s="161" t="s">
        <v>1857</v>
      </c>
      <c r="D54" s="14" t="s">
        <v>1858</v>
      </c>
      <c r="E54" s="30" t="s">
        <v>1859</v>
      </c>
      <c r="F54" s="14" t="s">
        <v>1860</v>
      </c>
      <c r="G54" s="14" t="s">
        <v>1860</v>
      </c>
      <c r="H54" s="14" t="s">
        <v>26</v>
      </c>
      <c r="I54" s="17">
        <v>951800</v>
      </c>
      <c r="J54" s="17">
        <v>1526920</v>
      </c>
      <c r="K54" s="17">
        <v>1467720</v>
      </c>
      <c r="L54" s="17">
        <f>J54-K54</f>
      </c>
      <c r="M54" s="14" t="s">
        <v>50</v>
      </c>
      <c r="N54" s="14" t="s">
        <v>1861</v>
      </c>
      <c r="O54" s="16">
        <v>4</v>
      </c>
      <c r="P54" s="187"/>
      <c r="Q54" s="174"/>
      <c r="R54" s="174"/>
      <c r="S54" s="188"/>
      <c r="T54" s="17">
        <f>J54-P54-S54-Q54-R54</f>
      </c>
      <c r="U54" s="12"/>
      <c r="V54" s="86"/>
      <c r="W54" s="3"/>
    </row>
    <row x14ac:dyDescent="0.25" r="55" customHeight="1" ht="20.25">
      <c r="A55" s="12">
        <v>45945</v>
      </c>
      <c r="B55" s="15" t="s">
        <v>46</v>
      </c>
      <c r="C55" s="161" t="s">
        <v>1862</v>
      </c>
      <c r="D55" s="14" t="s">
        <v>54</v>
      </c>
      <c r="E55" s="30" t="s">
        <v>1863</v>
      </c>
      <c r="F55" s="14" t="s">
        <v>1864</v>
      </c>
      <c r="G55" s="14" t="s">
        <v>1794</v>
      </c>
      <c r="H55" s="14" t="s">
        <v>26</v>
      </c>
      <c r="I55" s="17">
        <v>1615200</v>
      </c>
      <c r="J55" s="17">
        <v>2375800</v>
      </c>
      <c r="K55" s="17">
        <v>2295320</v>
      </c>
      <c r="L55" s="17">
        <f>J55-K55</f>
      </c>
      <c r="M55" s="14" t="s">
        <v>77</v>
      </c>
      <c r="N55" s="14" t="s">
        <v>1865</v>
      </c>
      <c r="O55" s="16"/>
      <c r="P55" s="17"/>
      <c r="Q55" s="17"/>
      <c r="R55" s="17"/>
      <c r="S55" s="17"/>
      <c r="T55" s="17">
        <f>J55-P55-S55-Q55-R55</f>
      </c>
      <c r="U55" s="175"/>
      <c r="V55" s="174"/>
      <c r="W55" s="14"/>
    </row>
    <row x14ac:dyDescent="0.25" r="56" customHeight="1" ht="20.25">
      <c r="A56" s="12">
        <v>45946</v>
      </c>
      <c r="B56" s="15" t="s">
        <v>123</v>
      </c>
      <c r="C56" s="161" t="s">
        <v>1866</v>
      </c>
      <c r="D56" s="14" t="s">
        <v>1867</v>
      </c>
      <c r="E56" s="30" t="s">
        <v>1868</v>
      </c>
      <c r="F56" s="14" t="s">
        <v>1869</v>
      </c>
      <c r="G56" s="14" t="s">
        <v>1870</v>
      </c>
      <c r="H56" s="14" t="s">
        <v>57</v>
      </c>
      <c r="I56" s="17">
        <v>115800</v>
      </c>
      <c r="J56" s="17">
        <v>470820</v>
      </c>
      <c r="K56" s="17">
        <v>470820</v>
      </c>
      <c r="L56" s="17">
        <f>J56-K56</f>
      </c>
      <c r="M56" s="14" t="s">
        <v>50</v>
      </c>
      <c r="N56" s="14" t="s">
        <v>1871</v>
      </c>
      <c r="O56" s="16">
        <v>4</v>
      </c>
      <c r="P56" s="17"/>
      <c r="Q56" s="17"/>
      <c r="R56" s="17"/>
      <c r="S56" s="17"/>
      <c r="T56" s="17">
        <f>J56-P56-S56-Q56-R56</f>
      </c>
      <c r="U56" s="175"/>
      <c r="V56" s="174"/>
      <c r="W56" s="14"/>
    </row>
    <row x14ac:dyDescent="0.25" r="57" customHeight="1" ht="20.25">
      <c r="A57" s="12">
        <v>45946</v>
      </c>
      <c r="B57" s="15" t="s">
        <v>897</v>
      </c>
      <c r="C57" s="161" t="s">
        <v>1872</v>
      </c>
      <c r="D57" s="14" t="s">
        <v>1873</v>
      </c>
      <c r="E57" s="30" t="s">
        <v>1874</v>
      </c>
      <c r="F57" s="14" t="s">
        <v>1875</v>
      </c>
      <c r="G57" s="14" t="s">
        <v>1876</v>
      </c>
      <c r="H57" s="14" t="s">
        <v>26</v>
      </c>
      <c r="I57" s="17"/>
      <c r="J57" s="17">
        <v>94700</v>
      </c>
      <c r="K57" s="17">
        <v>94700</v>
      </c>
      <c r="L57" s="17">
        <f>J57-K57</f>
      </c>
      <c r="M57" s="14" t="s">
        <v>50</v>
      </c>
      <c r="N57" s="14" t="s">
        <v>1877</v>
      </c>
      <c r="O57" s="16" t="s">
        <v>33</v>
      </c>
      <c r="P57" s="17"/>
      <c r="Q57" s="17"/>
      <c r="R57" s="17"/>
      <c r="S57" s="17"/>
      <c r="T57" s="17">
        <f>J57-P57-S57-Q57-R57</f>
      </c>
      <c r="U57" s="175"/>
      <c r="V57" s="174"/>
      <c r="W57" s="14"/>
    </row>
    <row x14ac:dyDescent="0.25" r="58" customHeight="1" ht="20.25">
      <c r="A58" s="12">
        <v>45946</v>
      </c>
      <c r="B58" s="15" t="s">
        <v>46</v>
      </c>
      <c r="C58" s="161"/>
      <c r="D58" s="14" t="s">
        <v>264</v>
      </c>
      <c r="E58" s="30" t="s">
        <v>1878</v>
      </c>
      <c r="F58" s="14" t="s">
        <v>1685</v>
      </c>
      <c r="G58" s="14" t="s">
        <v>1685</v>
      </c>
      <c r="H58" s="14" t="s">
        <v>26</v>
      </c>
      <c r="I58" s="17"/>
      <c r="J58" s="17">
        <v>259400</v>
      </c>
      <c r="K58" s="17">
        <v>249400</v>
      </c>
      <c r="L58" s="17">
        <f>J58-K58</f>
      </c>
      <c r="M58" s="14" t="s">
        <v>50</v>
      </c>
      <c r="N58" s="14" t="s">
        <v>1879</v>
      </c>
      <c r="O58" s="16" t="s">
        <v>1687</v>
      </c>
      <c r="P58" s="17"/>
      <c r="Q58" s="17"/>
      <c r="R58" s="17"/>
      <c r="S58" s="17"/>
      <c r="T58" s="17">
        <f>J58-P58-S58-Q58-R58</f>
      </c>
      <c r="U58" s="12"/>
      <c r="V58" s="174"/>
      <c r="W58" s="14"/>
    </row>
    <row x14ac:dyDescent="0.25" r="59" customHeight="1" ht="20.25">
      <c r="A59" s="12">
        <v>45947</v>
      </c>
      <c r="B59" s="15" t="s">
        <v>46</v>
      </c>
      <c r="C59" s="161" t="s">
        <v>1880</v>
      </c>
      <c r="D59" s="14" t="s">
        <v>282</v>
      </c>
      <c r="E59" s="30" t="s">
        <v>1881</v>
      </c>
      <c r="F59" s="14" t="s">
        <v>344</v>
      </c>
      <c r="G59" s="14" t="s">
        <v>1882</v>
      </c>
      <c r="H59" s="14" t="s">
        <v>26</v>
      </c>
      <c r="I59" s="17">
        <v>113500</v>
      </c>
      <c r="J59" s="17">
        <v>488720</v>
      </c>
      <c r="K59" s="17">
        <v>428720</v>
      </c>
      <c r="L59" s="17">
        <f>J59-K59</f>
      </c>
      <c r="M59" s="14" t="s">
        <v>50</v>
      </c>
      <c r="N59" s="14" t="s">
        <v>1883</v>
      </c>
      <c r="O59" s="16">
        <v>2</v>
      </c>
      <c r="P59" s="17"/>
      <c r="Q59" s="17"/>
      <c r="R59" s="17"/>
      <c r="S59" s="17"/>
      <c r="T59" s="17">
        <f>J59-P59-S59-Q59-R59</f>
      </c>
      <c r="U59" s="12"/>
      <c r="V59" s="174"/>
      <c r="W59" s="14"/>
    </row>
    <row x14ac:dyDescent="0.25" r="60" customHeight="1" ht="20.25">
      <c r="A60" s="12">
        <v>45947</v>
      </c>
      <c r="B60" s="15" t="s">
        <v>46</v>
      </c>
      <c r="C60" s="161" t="s">
        <v>1884</v>
      </c>
      <c r="D60" s="14" t="s">
        <v>282</v>
      </c>
      <c r="E60" s="30" t="s">
        <v>1881</v>
      </c>
      <c r="F60" s="14" t="s">
        <v>344</v>
      </c>
      <c r="G60" s="14" t="s">
        <v>1885</v>
      </c>
      <c r="H60" s="14" t="s">
        <v>26</v>
      </c>
      <c r="I60" s="17">
        <v>276900</v>
      </c>
      <c r="J60" s="17">
        <v>645120</v>
      </c>
      <c r="K60" s="17">
        <v>585120</v>
      </c>
      <c r="L60" s="17">
        <f>J60-K60</f>
      </c>
      <c r="M60" s="14" t="s">
        <v>50</v>
      </c>
      <c r="N60" s="14" t="s">
        <v>1886</v>
      </c>
      <c r="O60" s="16">
        <v>2</v>
      </c>
      <c r="P60" s="17"/>
      <c r="Q60" s="17"/>
      <c r="R60" s="17"/>
      <c r="S60" s="17"/>
      <c r="T60" s="17">
        <f>J60-P60-S60-Q60-R60</f>
      </c>
      <c r="U60" s="12"/>
      <c r="V60" s="174"/>
      <c r="W60" s="14"/>
    </row>
    <row x14ac:dyDescent="0.25" r="61" customHeight="1" ht="20.25">
      <c r="A61" s="12">
        <v>45948</v>
      </c>
      <c r="B61" s="15" t="s">
        <v>82</v>
      </c>
      <c r="C61" s="18">
        <v>45949</v>
      </c>
      <c r="D61" s="14" t="s">
        <v>472</v>
      </c>
      <c r="E61" s="30" t="s">
        <v>1887</v>
      </c>
      <c r="F61" s="14" t="s">
        <v>1888</v>
      </c>
      <c r="G61" s="14" t="s">
        <v>1889</v>
      </c>
      <c r="H61" s="14" t="s">
        <v>26</v>
      </c>
      <c r="I61" s="17"/>
      <c r="J61" s="17">
        <v>20000</v>
      </c>
      <c r="K61" s="17">
        <v>13000</v>
      </c>
      <c r="L61" s="17">
        <f>J61-K61</f>
      </c>
      <c r="M61" s="14" t="s">
        <v>82</v>
      </c>
      <c r="N61" s="14" t="s">
        <v>1890</v>
      </c>
      <c r="O61" s="16" t="s">
        <v>33</v>
      </c>
      <c r="P61" s="17"/>
      <c r="Q61" s="17"/>
      <c r="R61" s="17"/>
      <c r="S61" s="17">
        <v>20000</v>
      </c>
      <c r="T61" s="17">
        <f>J61-P61-S61-Q61-R61</f>
      </c>
      <c r="U61" s="12">
        <v>45952</v>
      </c>
      <c r="V61" s="14" t="s">
        <v>1718</v>
      </c>
      <c r="W61" s="14"/>
    </row>
    <row x14ac:dyDescent="0.25" r="62" customHeight="1" ht="20.25">
      <c r="A62" s="12">
        <v>45948</v>
      </c>
      <c r="B62" s="15" t="s">
        <v>123</v>
      </c>
      <c r="C62" s="161" t="s">
        <v>1891</v>
      </c>
      <c r="D62" s="14" t="s">
        <v>1892</v>
      </c>
      <c r="E62" s="30" t="s">
        <v>1893</v>
      </c>
      <c r="F62" s="14" t="s">
        <v>1673</v>
      </c>
      <c r="G62" s="14" t="s">
        <v>1894</v>
      </c>
      <c r="H62" s="14" t="s">
        <v>26</v>
      </c>
      <c r="I62" s="17">
        <v>1072500</v>
      </c>
      <c r="J62" s="17">
        <v>1509900</v>
      </c>
      <c r="K62" s="17">
        <v>1441020</v>
      </c>
      <c r="L62" s="17">
        <f>J62-K62</f>
      </c>
      <c r="M62" s="14" t="s">
        <v>50</v>
      </c>
      <c r="N62" s="14" t="s">
        <v>1895</v>
      </c>
      <c r="O62" s="16">
        <v>4</v>
      </c>
      <c r="P62" s="17"/>
      <c r="Q62" s="17"/>
      <c r="R62" s="17"/>
      <c r="S62" s="17"/>
      <c r="T62" s="17">
        <f>J62-P62-S62-Q62-R62</f>
      </c>
      <c r="U62" s="12"/>
      <c r="V62" s="174"/>
      <c r="W62" s="14"/>
    </row>
    <row x14ac:dyDescent="0.25" r="63" customHeight="1" ht="20.25">
      <c r="A63" s="12">
        <v>45948</v>
      </c>
      <c r="B63" s="15" t="s">
        <v>123</v>
      </c>
      <c r="C63" s="161" t="s">
        <v>1891</v>
      </c>
      <c r="D63" s="14" t="s">
        <v>1892</v>
      </c>
      <c r="E63" s="30" t="s">
        <v>1896</v>
      </c>
      <c r="F63" s="14" t="s">
        <v>1673</v>
      </c>
      <c r="G63" s="14" t="s">
        <v>1894</v>
      </c>
      <c r="H63" s="14" t="s">
        <v>26</v>
      </c>
      <c r="I63" s="17"/>
      <c r="J63" s="17">
        <v>670000</v>
      </c>
      <c r="K63" s="17">
        <v>650000</v>
      </c>
      <c r="L63" s="17">
        <f>J63-K63</f>
      </c>
      <c r="M63" s="14" t="s">
        <v>43</v>
      </c>
      <c r="N63" s="14" t="s">
        <v>1897</v>
      </c>
      <c r="O63" s="16" t="s">
        <v>33</v>
      </c>
      <c r="P63" s="17"/>
      <c r="Q63" s="17"/>
      <c r="R63" s="17"/>
      <c r="S63" s="17"/>
      <c r="T63" s="17">
        <f>J63-P63-S63-Q63-R63</f>
      </c>
      <c r="U63" s="12"/>
      <c r="V63" s="174"/>
      <c r="W63" s="14"/>
    </row>
    <row x14ac:dyDescent="0.25" r="64" customHeight="1" ht="20.25">
      <c r="A64" s="12">
        <v>45948</v>
      </c>
      <c r="B64" s="15" t="s">
        <v>111</v>
      </c>
      <c r="C64" s="161" t="s">
        <v>1898</v>
      </c>
      <c r="D64" s="14" t="s">
        <v>805</v>
      </c>
      <c r="E64" s="30" t="s">
        <v>1899</v>
      </c>
      <c r="F64" s="14" t="s">
        <v>147</v>
      </c>
      <c r="G64" s="14" t="s">
        <v>148</v>
      </c>
      <c r="H64" s="14" t="s">
        <v>57</v>
      </c>
      <c r="I64" s="17">
        <v>537400</v>
      </c>
      <c r="J64" s="17">
        <v>1195820</v>
      </c>
      <c r="K64" s="17">
        <v>1065820</v>
      </c>
      <c r="L64" s="17">
        <f>J64-K64</f>
      </c>
      <c r="M64" s="14" t="s">
        <v>50</v>
      </c>
      <c r="N64" s="14" t="s">
        <v>1900</v>
      </c>
      <c r="O64" s="16">
        <v>4</v>
      </c>
      <c r="P64" s="17"/>
      <c r="Q64" s="17"/>
      <c r="R64" s="17"/>
      <c r="S64" s="17"/>
      <c r="T64" s="17">
        <f>J64-P64-S64-Q64-R64</f>
      </c>
      <c r="U64" s="12"/>
      <c r="V64" s="174"/>
      <c r="W64" s="14"/>
    </row>
    <row x14ac:dyDescent="0.25" r="65" customHeight="1" ht="20.25">
      <c r="A65" s="12">
        <v>45948</v>
      </c>
      <c r="B65" s="15" t="s">
        <v>72</v>
      </c>
      <c r="C65" s="161" t="s">
        <v>1901</v>
      </c>
      <c r="D65" s="14" t="s">
        <v>448</v>
      </c>
      <c r="E65" s="30" t="s">
        <v>1899</v>
      </c>
      <c r="F65" s="14" t="s">
        <v>816</v>
      </c>
      <c r="G65" s="14" t="s">
        <v>1902</v>
      </c>
      <c r="H65" s="14" t="s">
        <v>26</v>
      </c>
      <c r="I65" s="17"/>
      <c r="J65" s="17">
        <v>986520</v>
      </c>
      <c r="K65" s="17">
        <v>723520</v>
      </c>
      <c r="L65" s="17">
        <f>J65-K65</f>
      </c>
      <c r="M65" s="14" t="s">
        <v>77</v>
      </c>
      <c r="N65" s="14" t="s">
        <v>1903</v>
      </c>
      <c r="O65" s="16"/>
      <c r="P65" s="17"/>
      <c r="Q65" s="17"/>
      <c r="R65" s="17"/>
      <c r="S65" s="17">
        <v>986520</v>
      </c>
      <c r="T65" s="17">
        <f>J65-P65-S65-Q65-R65</f>
      </c>
      <c r="U65" s="12">
        <v>45950</v>
      </c>
      <c r="V65" s="14" t="s">
        <v>1718</v>
      </c>
      <c r="W65" s="14"/>
    </row>
    <row x14ac:dyDescent="0.25" r="66" customHeight="1" ht="20.25">
      <c r="A66" s="12">
        <v>45948</v>
      </c>
      <c r="B66" s="15" t="s">
        <v>72</v>
      </c>
      <c r="C66" s="161" t="s">
        <v>1904</v>
      </c>
      <c r="D66" s="14" t="s">
        <v>1905</v>
      </c>
      <c r="E66" s="30" t="s">
        <v>1899</v>
      </c>
      <c r="F66" s="14" t="s">
        <v>41</v>
      </c>
      <c r="G66" s="14" t="s">
        <v>1906</v>
      </c>
      <c r="H66" s="14" t="s">
        <v>26</v>
      </c>
      <c r="I66" s="17"/>
      <c r="J66" s="17">
        <v>840320</v>
      </c>
      <c r="K66" s="17">
        <v>640320</v>
      </c>
      <c r="L66" s="17">
        <f>J66-K66</f>
      </c>
      <c r="M66" s="14" t="s">
        <v>77</v>
      </c>
      <c r="N66" s="14" t="s">
        <v>1907</v>
      </c>
      <c r="O66" s="16"/>
      <c r="P66" s="17"/>
      <c r="Q66" s="17"/>
      <c r="R66" s="17"/>
      <c r="S66" s="17"/>
      <c r="T66" s="17">
        <f>J66-P66-S66-Q66-R66</f>
      </c>
      <c r="U66" s="12"/>
      <c r="V66" s="174"/>
      <c r="W66" s="14"/>
    </row>
    <row x14ac:dyDescent="0.25" r="67" customHeight="1" ht="20.25">
      <c r="A67" s="12">
        <v>45948</v>
      </c>
      <c r="B67" s="15" t="s">
        <v>72</v>
      </c>
      <c r="C67" s="161" t="s">
        <v>1901</v>
      </c>
      <c r="D67" s="14" t="s">
        <v>448</v>
      </c>
      <c r="E67" s="30" t="s">
        <v>1908</v>
      </c>
      <c r="F67" s="14" t="s">
        <v>816</v>
      </c>
      <c r="G67" s="14" t="s">
        <v>1094</v>
      </c>
      <c r="H67" s="14" t="s">
        <v>26</v>
      </c>
      <c r="I67" s="17">
        <v>1217700</v>
      </c>
      <c r="J67" s="17">
        <v>2089900</v>
      </c>
      <c r="K67" s="17">
        <v>1787420</v>
      </c>
      <c r="L67" s="17">
        <f>J67-K67</f>
      </c>
      <c r="M67" s="14" t="s">
        <v>50</v>
      </c>
      <c r="N67" s="14" t="s">
        <v>1909</v>
      </c>
      <c r="O67" s="16">
        <v>4</v>
      </c>
      <c r="P67" s="17"/>
      <c r="Q67" s="17"/>
      <c r="R67" s="17"/>
      <c r="S67" s="17">
        <v>2089900</v>
      </c>
      <c r="T67" s="17">
        <f>J67-P67-S67-Q67-R67</f>
      </c>
      <c r="U67" s="12">
        <v>45950</v>
      </c>
      <c r="V67" s="14" t="s">
        <v>1718</v>
      </c>
      <c r="W67" s="14"/>
    </row>
    <row x14ac:dyDescent="0.25" r="68" customHeight="1" ht="20.25">
      <c r="A68" s="12">
        <v>45948</v>
      </c>
      <c r="B68" s="15" t="s">
        <v>46</v>
      </c>
      <c r="C68" s="161" t="s">
        <v>1910</v>
      </c>
      <c r="D68" s="14" t="s">
        <v>1911</v>
      </c>
      <c r="E68" s="30" t="s">
        <v>1912</v>
      </c>
      <c r="F68" s="14" t="s">
        <v>816</v>
      </c>
      <c r="G68" s="14" t="s">
        <v>817</v>
      </c>
      <c r="H68" s="14" t="s">
        <v>26</v>
      </c>
      <c r="I68" s="17"/>
      <c r="J68" s="17">
        <v>260000</v>
      </c>
      <c r="K68" s="17">
        <v>160700</v>
      </c>
      <c r="L68" s="17">
        <f>J68-K68</f>
      </c>
      <c r="M68" s="14" t="s">
        <v>50</v>
      </c>
      <c r="N68" s="14" t="s">
        <v>1913</v>
      </c>
      <c r="O68" s="16" t="s">
        <v>33</v>
      </c>
      <c r="P68" s="17">
        <v>223580</v>
      </c>
      <c r="Q68" s="17"/>
      <c r="R68" s="17"/>
      <c r="S68" s="17"/>
      <c r="T68" s="17">
        <f>J68-P68-S68-Q68-R68</f>
      </c>
      <c r="U68" s="12">
        <v>45950</v>
      </c>
      <c r="V68" s="14" t="s">
        <v>1718</v>
      </c>
      <c r="W68" s="14"/>
    </row>
    <row x14ac:dyDescent="0.25" r="69" customHeight="1" ht="20.25">
      <c r="A69" s="12">
        <v>45948</v>
      </c>
      <c r="B69" s="15" t="s">
        <v>252</v>
      </c>
      <c r="C69" s="161" t="s">
        <v>1914</v>
      </c>
      <c r="D69" s="14" t="s">
        <v>752</v>
      </c>
      <c r="E69" s="30" t="s">
        <v>1887</v>
      </c>
      <c r="F69" s="14" t="s">
        <v>1838</v>
      </c>
      <c r="G69" s="14" t="s">
        <v>1915</v>
      </c>
      <c r="H69" s="14" t="s">
        <v>26</v>
      </c>
      <c r="I69" s="17">
        <v>390800</v>
      </c>
      <c r="J69" s="17">
        <v>752420</v>
      </c>
      <c r="K69" s="17">
        <v>747420</v>
      </c>
      <c r="L69" s="17">
        <v>5000</v>
      </c>
      <c r="M69" s="14" t="s">
        <v>50</v>
      </c>
      <c r="N69" s="14" t="s">
        <v>1916</v>
      </c>
      <c r="O69" s="16">
        <v>4</v>
      </c>
      <c r="P69" s="17"/>
      <c r="Q69" s="17"/>
      <c r="R69" s="17"/>
      <c r="S69" s="17">
        <v>752420</v>
      </c>
      <c r="T69" s="17">
        <f>J69-P69-S69-Q69-R69</f>
      </c>
      <c r="U69" s="12">
        <v>45950</v>
      </c>
      <c r="V69" s="14" t="s">
        <v>1718</v>
      </c>
      <c r="W69" s="14"/>
    </row>
    <row x14ac:dyDescent="0.25" r="70" customHeight="1" ht="20.25">
      <c r="A70" s="12">
        <v>45948</v>
      </c>
      <c r="B70" s="15" t="s">
        <v>252</v>
      </c>
      <c r="C70" s="161" t="s">
        <v>1914</v>
      </c>
      <c r="D70" s="14" t="s">
        <v>752</v>
      </c>
      <c r="E70" s="30" t="s">
        <v>1887</v>
      </c>
      <c r="F70" s="14" t="s">
        <v>1838</v>
      </c>
      <c r="G70" s="14" t="s">
        <v>1917</v>
      </c>
      <c r="H70" s="14" t="s">
        <v>26</v>
      </c>
      <c r="I70" s="17">
        <v>390800</v>
      </c>
      <c r="J70" s="17">
        <v>752420</v>
      </c>
      <c r="K70" s="17">
        <v>747420</v>
      </c>
      <c r="L70" s="17">
        <f>J70-K70</f>
      </c>
      <c r="M70" s="14" t="s">
        <v>50</v>
      </c>
      <c r="N70" s="14" t="s">
        <v>1918</v>
      </c>
      <c r="O70" s="16">
        <v>4</v>
      </c>
      <c r="P70" s="17"/>
      <c r="Q70" s="17"/>
      <c r="R70" s="17"/>
      <c r="S70" s="17">
        <v>752420</v>
      </c>
      <c r="T70" s="17">
        <f>J70-P70-S70-Q70-R70</f>
      </c>
      <c r="U70" s="12">
        <v>45950</v>
      </c>
      <c r="V70" s="14" t="s">
        <v>1718</v>
      </c>
      <c r="W70" s="14"/>
    </row>
    <row x14ac:dyDescent="0.25" r="71" customHeight="1" ht="20.25">
      <c r="A71" s="12">
        <v>45950</v>
      </c>
      <c r="B71" s="15" t="s">
        <v>53</v>
      </c>
      <c r="C71" s="161" t="s">
        <v>1919</v>
      </c>
      <c r="D71" s="14" t="s">
        <v>1920</v>
      </c>
      <c r="E71" s="30"/>
      <c r="F71" s="14" t="s">
        <v>1921</v>
      </c>
      <c r="G71" s="14" t="s">
        <v>1922</v>
      </c>
      <c r="H71" s="14" t="s">
        <v>26</v>
      </c>
      <c r="I71" s="17"/>
      <c r="J71" s="17">
        <v>920500</v>
      </c>
      <c r="K71" s="17">
        <v>845420</v>
      </c>
      <c r="L71" s="17">
        <f>J71-K71</f>
      </c>
      <c r="M71" s="14" t="s">
        <v>50</v>
      </c>
      <c r="N71" s="14" t="s">
        <v>1923</v>
      </c>
      <c r="O71" s="16"/>
      <c r="P71" s="17"/>
      <c r="Q71" s="17"/>
      <c r="R71" s="17"/>
      <c r="S71" s="17"/>
      <c r="T71" s="17"/>
      <c r="U71" s="12"/>
      <c r="V71" s="174"/>
      <c r="W71" s="14"/>
    </row>
    <row x14ac:dyDescent="0.25" r="72" customHeight="1" ht="20.25">
      <c r="A72" s="137">
        <v>45950</v>
      </c>
      <c r="B72" s="140" t="s">
        <v>72</v>
      </c>
      <c r="C72" s="138" t="s">
        <v>1924</v>
      </c>
      <c r="D72" s="139" t="s">
        <v>1925</v>
      </c>
      <c r="E72" s="139" t="s">
        <v>1926</v>
      </c>
      <c r="F72" s="139" t="s">
        <v>1927</v>
      </c>
      <c r="G72" s="139" t="s">
        <v>1928</v>
      </c>
      <c r="H72" s="139" t="s">
        <v>26</v>
      </c>
      <c r="I72" s="176"/>
      <c r="J72" s="176">
        <v>730820</v>
      </c>
      <c r="K72" s="176">
        <v>695220</v>
      </c>
      <c r="L72" s="176">
        <f>J72-K72</f>
      </c>
      <c r="M72" s="139" t="s">
        <v>50</v>
      </c>
      <c r="N72" s="139" t="s">
        <v>1929</v>
      </c>
      <c r="O72" s="141">
        <v>4</v>
      </c>
      <c r="P72" s="176"/>
      <c r="Q72" s="176"/>
      <c r="R72" s="176"/>
      <c r="S72" s="176"/>
      <c r="T72" s="176"/>
      <c r="U72" s="137"/>
      <c r="V72" s="178"/>
      <c r="W72" s="139"/>
    </row>
    <row x14ac:dyDescent="0.25" r="73" customHeight="1" ht="20.25">
      <c r="A73" s="12">
        <v>45950</v>
      </c>
      <c r="B73" s="15" t="s">
        <v>53</v>
      </c>
      <c r="C73" s="161"/>
      <c r="D73" s="14"/>
      <c r="E73" s="30" t="s">
        <v>1930</v>
      </c>
      <c r="F73" s="14" t="s">
        <v>1931</v>
      </c>
      <c r="G73" s="14" t="s">
        <v>1932</v>
      </c>
      <c r="H73" s="14" t="s">
        <v>26</v>
      </c>
      <c r="I73" s="17"/>
      <c r="J73" s="17">
        <v>95000</v>
      </c>
      <c r="K73" s="17">
        <v>80100</v>
      </c>
      <c r="L73" s="17">
        <f>J73-K73</f>
      </c>
      <c r="M73" s="14" t="s">
        <v>53</v>
      </c>
      <c r="N73" s="14"/>
      <c r="O73" s="16" t="s">
        <v>1687</v>
      </c>
      <c r="P73" s="17"/>
      <c r="Q73" s="17"/>
      <c r="R73" s="17"/>
      <c r="S73" s="17"/>
      <c r="T73" s="17">
        <f>J73-P73-S73-Q73-R73</f>
      </c>
      <c r="U73" s="12"/>
      <c r="V73" s="174"/>
      <c r="W73" s="14"/>
    </row>
    <row x14ac:dyDescent="0.25" r="74" customHeight="1" ht="20.25">
      <c r="A74" s="12">
        <v>45950</v>
      </c>
      <c r="B74" s="15" t="s">
        <v>72</v>
      </c>
      <c r="C74" s="161" t="s">
        <v>1933</v>
      </c>
      <c r="D74" s="14" t="s">
        <v>1934</v>
      </c>
      <c r="E74" s="30" t="s">
        <v>1935</v>
      </c>
      <c r="F74" s="14" t="s">
        <v>162</v>
      </c>
      <c r="G74" s="14" t="s">
        <v>1936</v>
      </c>
      <c r="H74" s="14" t="s">
        <v>26</v>
      </c>
      <c r="I74" s="17">
        <v>2785200</v>
      </c>
      <c r="J74" s="17">
        <v>3387900</v>
      </c>
      <c r="K74" s="17">
        <v>3272000</v>
      </c>
      <c r="L74" s="17">
        <f>J74-K74</f>
      </c>
      <c r="M74" s="14" t="s">
        <v>43</v>
      </c>
      <c r="N74" s="14" t="s">
        <v>1937</v>
      </c>
      <c r="O74" s="16"/>
      <c r="P74" s="17"/>
      <c r="Q74" s="17"/>
      <c r="R74" s="17"/>
      <c r="S74" s="17"/>
      <c r="T74" s="17">
        <f>J74-P74-S74-Q74-R74</f>
      </c>
      <c r="U74" s="12"/>
      <c r="V74" s="174"/>
      <c r="W74" s="14"/>
    </row>
    <row x14ac:dyDescent="0.25" r="75" customHeight="1" ht="20.25">
      <c r="A75" s="12">
        <v>45951</v>
      </c>
      <c r="B75" s="15" t="s">
        <v>53</v>
      </c>
      <c r="C75" s="161" t="s">
        <v>1938</v>
      </c>
      <c r="D75" s="14" t="s">
        <v>1693</v>
      </c>
      <c r="E75" s="30" t="s">
        <v>1939</v>
      </c>
      <c r="F75" s="14"/>
      <c r="G75" s="14" t="s">
        <v>1700</v>
      </c>
      <c r="H75" s="14" t="s">
        <v>76</v>
      </c>
      <c r="I75" s="17"/>
      <c r="J75" s="17">
        <v>118400</v>
      </c>
      <c r="K75" s="17">
        <v>98400</v>
      </c>
      <c r="L75" s="17">
        <f>J75-K75</f>
      </c>
      <c r="M75" s="14" t="s">
        <v>77</v>
      </c>
      <c r="N75" s="14" t="s">
        <v>1940</v>
      </c>
      <c r="O75" s="16" t="s">
        <v>33</v>
      </c>
      <c r="P75" s="17"/>
      <c r="Q75" s="17"/>
      <c r="R75" s="17"/>
      <c r="S75" s="17"/>
      <c r="T75" s="17">
        <f>J75-P75-S75-Q75-R75</f>
      </c>
      <c r="U75" s="12"/>
      <c r="V75" s="174"/>
      <c r="W75" s="14"/>
    </row>
    <row x14ac:dyDescent="0.25" r="76" customHeight="1" ht="20.25">
      <c r="A76" s="12">
        <v>45951</v>
      </c>
      <c r="B76" s="15" t="s">
        <v>111</v>
      </c>
      <c r="C76" s="161" t="s">
        <v>1941</v>
      </c>
      <c r="D76" s="14" t="s">
        <v>1942</v>
      </c>
      <c r="E76" s="30" t="s">
        <v>1939</v>
      </c>
      <c r="F76" s="14" t="s">
        <v>1943</v>
      </c>
      <c r="G76" s="14" t="s">
        <v>1944</v>
      </c>
      <c r="H76" s="14" t="s">
        <v>26</v>
      </c>
      <c r="I76" s="17"/>
      <c r="J76" s="17">
        <v>576920</v>
      </c>
      <c r="K76" s="17">
        <v>561920</v>
      </c>
      <c r="L76" s="17">
        <f>J76-K76</f>
      </c>
      <c r="M76" s="14" t="s">
        <v>50</v>
      </c>
      <c r="N76" s="14" t="s">
        <v>1945</v>
      </c>
      <c r="O76" s="16">
        <v>2</v>
      </c>
      <c r="P76" s="17"/>
      <c r="Q76" s="17"/>
      <c r="R76" s="17"/>
      <c r="S76" s="17"/>
      <c r="T76" s="17">
        <f>J76-P76-S76-Q76-R76</f>
      </c>
      <c r="U76" s="12"/>
      <c r="V76" s="174"/>
      <c r="W76" s="14"/>
    </row>
    <row x14ac:dyDescent="0.25" r="77" customHeight="1" ht="20.25">
      <c r="A77" s="137">
        <v>45951</v>
      </c>
      <c r="B77" s="140" t="s">
        <v>111</v>
      </c>
      <c r="C77" s="138" t="s">
        <v>1941</v>
      </c>
      <c r="D77" s="139" t="s">
        <v>1942</v>
      </c>
      <c r="E77" s="139" t="s">
        <v>1939</v>
      </c>
      <c r="F77" s="139" t="s">
        <v>1943</v>
      </c>
      <c r="G77" s="139" t="s">
        <v>1946</v>
      </c>
      <c r="H77" s="139" t="s">
        <v>26</v>
      </c>
      <c r="I77" s="176"/>
      <c r="J77" s="176">
        <v>576920</v>
      </c>
      <c r="K77" s="176">
        <v>561920</v>
      </c>
      <c r="L77" s="176">
        <f>J77-K77</f>
      </c>
      <c r="M77" s="139" t="s">
        <v>50</v>
      </c>
      <c r="N77" s="139" t="s">
        <v>1947</v>
      </c>
      <c r="O77" s="141">
        <v>2</v>
      </c>
      <c r="P77" s="176"/>
      <c r="Q77" s="176"/>
      <c r="R77" s="176"/>
      <c r="S77" s="176"/>
      <c r="T77" s="176">
        <f>J77-P77-S77-Q77-R77</f>
      </c>
      <c r="U77" s="137"/>
      <c r="V77" s="178"/>
      <c r="W77" s="139"/>
    </row>
    <row x14ac:dyDescent="0.25" r="78" customHeight="1" ht="20.25">
      <c r="A78" s="163">
        <v>45951</v>
      </c>
      <c r="B78" s="189" t="s">
        <v>111</v>
      </c>
      <c r="C78" s="13" t="s">
        <v>1948</v>
      </c>
      <c r="D78" s="30" t="s">
        <v>1949</v>
      </c>
      <c r="E78" s="30" t="s">
        <v>1950</v>
      </c>
      <c r="F78" s="30" t="s">
        <v>90</v>
      </c>
      <c r="G78" s="30" t="s">
        <v>91</v>
      </c>
      <c r="H78" s="30" t="s">
        <v>26</v>
      </c>
      <c r="I78" s="69">
        <v>556900</v>
      </c>
      <c r="J78" s="69">
        <v>1149855</v>
      </c>
      <c r="K78" s="69">
        <v>1017655</v>
      </c>
      <c r="L78" s="17">
        <f>J78-K78</f>
      </c>
      <c r="M78" s="30" t="s">
        <v>50</v>
      </c>
      <c r="N78" s="30" t="s">
        <v>1951</v>
      </c>
      <c r="O78" s="164">
        <v>3</v>
      </c>
      <c r="P78" s="17"/>
      <c r="Q78" s="17"/>
      <c r="R78" s="17"/>
      <c r="S78" s="17"/>
      <c r="T78" s="17">
        <f>J78-P78-S78-Q78-R78</f>
      </c>
      <c r="U78" s="12"/>
      <c r="V78" s="174"/>
      <c r="W78" s="14"/>
    </row>
    <row x14ac:dyDescent="0.25" r="79" customHeight="1" ht="20.25">
      <c r="A79" s="12">
        <v>45951</v>
      </c>
      <c r="B79" s="15" t="s">
        <v>53</v>
      </c>
      <c r="C79" s="161" t="s">
        <v>1952</v>
      </c>
      <c r="D79" s="14" t="s">
        <v>1953</v>
      </c>
      <c r="E79" s="30" t="s">
        <v>1939</v>
      </c>
      <c r="F79" s="14" t="s">
        <v>1954</v>
      </c>
      <c r="G79" s="14" t="s">
        <v>1706</v>
      </c>
      <c r="H79" s="14" t="s">
        <v>76</v>
      </c>
      <c r="I79" s="17"/>
      <c r="J79" s="17">
        <v>118400</v>
      </c>
      <c r="K79" s="17">
        <v>98400</v>
      </c>
      <c r="L79" s="17">
        <f>J79-K79</f>
      </c>
      <c r="M79" s="14" t="s">
        <v>77</v>
      </c>
      <c r="N79" s="14" t="s">
        <v>1955</v>
      </c>
      <c r="O79" s="16" t="s">
        <v>33</v>
      </c>
      <c r="P79" s="17"/>
      <c r="Q79" s="17"/>
      <c r="R79" s="17"/>
      <c r="S79" s="17">
        <v>118400</v>
      </c>
      <c r="T79" s="17">
        <f>J79-P79-S79-Q79-R79</f>
      </c>
      <c r="U79" s="12">
        <v>45951</v>
      </c>
      <c r="V79" s="14" t="s">
        <v>1718</v>
      </c>
      <c r="W79" s="14"/>
    </row>
    <row x14ac:dyDescent="0.25" r="80" customHeight="1" ht="20.25">
      <c r="A80" s="12">
        <v>45951</v>
      </c>
      <c r="B80" s="15" t="s">
        <v>53</v>
      </c>
      <c r="C80" s="161" t="s">
        <v>1952</v>
      </c>
      <c r="D80" s="14" t="s">
        <v>1953</v>
      </c>
      <c r="E80" s="30" t="s">
        <v>1939</v>
      </c>
      <c r="F80" s="14" t="s">
        <v>1956</v>
      </c>
      <c r="G80" s="14" t="s">
        <v>1698</v>
      </c>
      <c r="H80" s="14" t="s">
        <v>76</v>
      </c>
      <c r="I80" s="17"/>
      <c r="J80" s="17">
        <v>118400</v>
      </c>
      <c r="K80" s="17">
        <v>98400</v>
      </c>
      <c r="L80" s="17">
        <f>J80-K80</f>
      </c>
      <c r="M80" s="14" t="s">
        <v>77</v>
      </c>
      <c r="N80" s="14" t="s">
        <v>1957</v>
      </c>
      <c r="O80" s="16" t="s">
        <v>33</v>
      </c>
      <c r="P80" s="17"/>
      <c r="Q80" s="17"/>
      <c r="R80" s="17"/>
      <c r="S80" s="17">
        <v>118400</v>
      </c>
      <c r="T80" s="17">
        <f>J80-P80-S80-Q80-R80</f>
      </c>
      <c r="U80" s="12">
        <v>45951</v>
      </c>
      <c r="V80" s="14" t="s">
        <v>1718</v>
      </c>
      <c r="W80" s="14"/>
    </row>
    <row x14ac:dyDescent="0.25" r="81" customHeight="1" ht="20.25">
      <c r="A81" s="12">
        <v>45952</v>
      </c>
      <c r="B81" s="15" t="s">
        <v>111</v>
      </c>
      <c r="C81" s="161" t="s">
        <v>1958</v>
      </c>
      <c r="D81" s="14" t="s">
        <v>429</v>
      </c>
      <c r="E81" s="30" t="s">
        <v>1959</v>
      </c>
      <c r="F81" s="14" t="s">
        <v>102</v>
      </c>
      <c r="G81" s="14" t="s">
        <v>1960</v>
      </c>
      <c r="H81" s="14" t="s">
        <v>26</v>
      </c>
      <c r="I81" s="17">
        <v>1193800</v>
      </c>
      <c r="J81" s="17">
        <v>1795800</v>
      </c>
      <c r="K81" s="17">
        <v>1715120</v>
      </c>
      <c r="L81" s="17">
        <f>J81-K81</f>
      </c>
      <c r="M81" s="14" t="s">
        <v>77</v>
      </c>
      <c r="N81" s="14" t="s">
        <v>1961</v>
      </c>
      <c r="O81" s="16"/>
      <c r="P81" s="17"/>
      <c r="Q81" s="17"/>
      <c r="R81" s="17"/>
      <c r="S81" s="17"/>
      <c r="T81" s="17">
        <f>J81-P81-S81-Q81-R81</f>
      </c>
      <c r="U81" s="12"/>
      <c r="V81" s="174"/>
      <c r="W81" s="14"/>
    </row>
    <row x14ac:dyDescent="0.25" r="82" customHeight="1" ht="20.25">
      <c r="A82" s="12">
        <v>45952</v>
      </c>
      <c r="B82" s="15" t="s">
        <v>46</v>
      </c>
      <c r="C82" s="161" t="s">
        <v>986</v>
      </c>
      <c r="D82" s="14" t="s">
        <v>54</v>
      </c>
      <c r="E82" s="30" t="s">
        <v>1962</v>
      </c>
      <c r="F82" s="14" t="s">
        <v>1963</v>
      </c>
      <c r="G82" s="14" t="s">
        <v>1964</v>
      </c>
      <c r="H82" s="14" t="s">
        <v>26</v>
      </c>
      <c r="I82" s="17">
        <v>358800</v>
      </c>
      <c r="J82" s="17">
        <v>792900</v>
      </c>
      <c r="K82" s="17">
        <v>667020</v>
      </c>
      <c r="L82" s="17">
        <f>J82-K82</f>
      </c>
      <c r="M82" s="14" t="s">
        <v>50</v>
      </c>
      <c r="N82" s="70" t="s">
        <v>1965</v>
      </c>
      <c r="O82" s="16">
        <v>2</v>
      </c>
      <c r="P82" s="17"/>
      <c r="Q82" s="17"/>
      <c r="R82" s="17"/>
      <c r="S82" s="17"/>
      <c r="T82" s="17">
        <f>J82-P82-S82-Q82-R82</f>
      </c>
      <c r="U82" s="12"/>
      <c r="V82" s="174"/>
      <c r="W82" s="14"/>
    </row>
    <row x14ac:dyDescent="0.25" r="83" customHeight="1" ht="20.25">
      <c r="A83" s="12">
        <v>45952</v>
      </c>
      <c r="B83" s="15" t="s">
        <v>46</v>
      </c>
      <c r="C83" s="161" t="s">
        <v>986</v>
      </c>
      <c r="D83" s="14" t="s">
        <v>54</v>
      </c>
      <c r="E83" s="30" t="s">
        <v>1966</v>
      </c>
      <c r="F83" s="14" t="s">
        <v>1963</v>
      </c>
      <c r="G83" s="14" t="s">
        <v>1967</v>
      </c>
      <c r="H83" s="14" t="s">
        <v>26</v>
      </c>
      <c r="I83" s="17">
        <v>269100</v>
      </c>
      <c r="J83" s="17">
        <v>702820</v>
      </c>
      <c r="K83" s="17">
        <v>577320</v>
      </c>
      <c r="L83" s="17">
        <f>J83-K83</f>
      </c>
      <c r="M83" s="14" t="s">
        <v>50</v>
      </c>
      <c r="N83" s="70" t="s">
        <v>1968</v>
      </c>
      <c r="O83" s="16">
        <v>2</v>
      </c>
      <c r="P83" s="17"/>
      <c r="Q83" s="17"/>
      <c r="R83" s="17"/>
      <c r="S83" s="17"/>
      <c r="T83" s="17">
        <f>J83-P83-S83-Q83-R83</f>
      </c>
      <c r="U83" s="12"/>
      <c r="V83" s="174"/>
      <c r="W83" s="14"/>
    </row>
    <row x14ac:dyDescent="0.25" r="84" customHeight="1" ht="20.25">
      <c r="A84" s="12">
        <v>45952</v>
      </c>
      <c r="B84" s="15" t="s">
        <v>46</v>
      </c>
      <c r="C84" s="161" t="s">
        <v>986</v>
      </c>
      <c r="D84" s="14" t="s">
        <v>54</v>
      </c>
      <c r="E84" s="30" t="s">
        <v>1966</v>
      </c>
      <c r="F84" s="14" t="s">
        <v>1963</v>
      </c>
      <c r="G84" s="14" t="s">
        <v>1969</v>
      </c>
      <c r="H84" s="14" t="s">
        <v>26</v>
      </c>
      <c r="I84" s="17">
        <v>269100</v>
      </c>
      <c r="J84" s="17">
        <v>702820</v>
      </c>
      <c r="K84" s="17">
        <v>577320</v>
      </c>
      <c r="L84" s="17">
        <f>J84-K84</f>
      </c>
      <c r="M84" s="14" t="s">
        <v>50</v>
      </c>
      <c r="N84" s="14" t="s">
        <v>1970</v>
      </c>
      <c r="O84" s="16">
        <v>2</v>
      </c>
      <c r="P84" s="17"/>
      <c r="Q84" s="17"/>
      <c r="R84" s="17"/>
      <c r="S84" s="17"/>
      <c r="T84" s="17">
        <f>J84-P84-S84-Q84-R84</f>
      </c>
      <c r="U84" s="12"/>
      <c r="V84" s="174"/>
      <c r="W84" s="14"/>
    </row>
    <row x14ac:dyDescent="0.25" r="85" customHeight="1" ht="20.25">
      <c r="A85" s="12">
        <v>45954</v>
      </c>
      <c r="B85" s="15" t="s">
        <v>46</v>
      </c>
      <c r="C85" s="161"/>
      <c r="D85" s="14"/>
      <c r="E85" s="30" t="s">
        <v>1971</v>
      </c>
      <c r="F85" s="14" t="s">
        <v>1972</v>
      </c>
      <c r="G85" s="14" t="s">
        <v>1973</v>
      </c>
      <c r="H85" s="14" t="s">
        <v>26</v>
      </c>
      <c r="I85" s="17"/>
      <c r="J85" s="17">
        <v>338000</v>
      </c>
      <c r="K85" s="17">
        <v>322400</v>
      </c>
      <c r="L85" s="17">
        <f>J85-K85</f>
      </c>
      <c r="M85" s="14" t="s">
        <v>46</v>
      </c>
      <c r="N85" s="14" t="s">
        <v>1974</v>
      </c>
      <c r="O85" s="16"/>
      <c r="P85" s="17"/>
      <c r="Q85" s="17"/>
      <c r="R85" s="17"/>
      <c r="S85" s="17"/>
      <c r="T85" s="17">
        <f>J85-P85-S85-Q85-R85</f>
      </c>
      <c r="U85" s="12"/>
      <c r="V85" s="174"/>
      <c r="W85" s="14"/>
    </row>
    <row x14ac:dyDescent="0.25" r="86" customHeight="1" ht="20.25">
      <c r="A86" s="12">
        <v>45954</v>
      </c>
      <c r="B86" s="15" t="s">
        <v>46</v>
      </c>
      <c r="C86" s="161" t="s">
        <v>1975</v>
      </c>
      <c r="D86" s="14" t="s">
        <v>282</v>
      </c>
      <c r="E86" s="30" t="s">
        <v>1976</v>
      </c>
      <c r="F86" s="14" t="s">
        <v>1977</v>
      </c>
      <c r="G86" s="14" t="s">
        <v>1978</v>
      </c>
      <c r="H86" s="14" t="s">
        <v>76</v>
      </c>
      <c r="I86" s="17"/>
      <c r="J86" s="17">
        <v>606500</v>
      </c>
      <c r="K86" s="17">
        <v>506320</v>
      </c>
      <c r="L86" s="17">
        <f>J86-K86</f>
      </c>
      <c r="M86" s="14" t="s">
        <v>50</v>
      </c>
      <c r="N86" s="14" t="s">
        <v>1979</v>
      </c>
      <c r="O86" s="16">
        <v>2</v>
      </c>
      <c r="P86" s="17"/>
      <c r="Q86" s="17"/>
      <c r="R86" s="17"/>
      <c r="S86" s="17"/>
      <c r="T86" s="17">
        <f>J86-P86-S86-Q86-R86</f>
      </c>
      <c r="U86" s="12"/>
      <c r="V86" s="174"/>
      <c r="W86" s="14"/>
    </row>
    <row x14ac:dyDescent="0.25" r="87" customHeight="1" ht="20.25">
      <c r="A87" s="12">
        <v>45954</v>
      </c>
      <c r="B87" s="15" t="s">
        <v>82</v>
      </c>
      <c r="C87" s="161" t="s">
        <v>1980</v>
      </c>
      <c r="D87" s="14" t="s">
        <v>83</v>
      </c>
      <c r="E87" s="30" t="s">
        <v>1981</v>
      </c>
      <c r="F87" s="14" t="s">
        <v>135</v>
      </c>
      <c r="G87" s="14" t="s">
        <v>1211</v>
      </c>
      <c r="H87" s="14" t="s">
        <v>26</v>
      </c>
      <c r="I87" s="17"/>
      <c r="J87" s="17">
        <v>111600</v>
      </c>
      <c r="K87" s="17">
        <v>74740</v>
      </c>
      <c r="L87" s="17">
        <f>J87-K87</f>
      </c>
      <c r="M87" s="14" t="s">
        <v>43</v>
      </c>
      <c r="N87" s="14" t="s">
        <v>1982</v>
      </c>
      <c r="O87" s="16"/>
      <c r="P87" s="17"/>
      <c r="Q87" s="17"/>
      <c r="R87" s="17"/>
      <c r="S87" s="17"/>
      <c r="T87" s="17">
        <f>J87-P87-S87-Q87-R87</f>
      </c>
      <c r="U87" s="12"/>
      <c r="V87" s="174"/>
      <c r="W87" s="14"/>
    </row>
    <row x14ac:dyDescent="0.25" r="88" customHeight="1" ht="20.25">
      <c r="A88" s="12">
        <v>45955</v>
      </c>
      <c r="B88" s="15" t="s">
        <v>53</v>
      </c>
      <c r="C88" s="161" t="s">
        <v>1983</v>
      </c>
      <c r="D88" s="14" t="s">
        <v>1693</v>
      </c>
      <c r="E88" s="30" t="s">
        <v>1853</v>
      </c>
      <c r="F88" s="14"/>
      <c r="G88" s="14" t="s">
        <v>1984</v>
      </c>
      <c r="H88" s="14" t="s">
        <v>26</v>
      </c>
      <c r="I88" s="17"/>
      <c r="J88" s="17">
        <v>118400</v>
      </c>
      <c r="K88" s="17">
        <v>98400</v>
      </c>
      <c r="L88" s="17">
        <f>J88-K88</f>
      </c>
      <c r="M88" s="14" t="s">
        <v>77</v>
      </c>
      <c r="N88" s="14" t="s">
        <v>1985</v>
      </c>
      <c r="O88" s="16" t="s">
        <v>33</v>
      </c>
      <c r="P88" s="17"/>
      <c r="Q88" s="17"/>
      <c r="R88" s="17"/>
      <c r="S88" s="17"/>
      <c r="T88" s="17">
        <f>J88-P88-S88-Q88-R88</f>
      </c>
      <c r="U88" s="12"/>
      <c r="V88" s="174"/>
      <c r="W88" s="14"/>
    </row>
    <row x14ac:dyDescent="0.25" r="89" customHeight="1" ht="20.25">
      <c r="A89" s="12">
        <v>45956</v>
      </c>
      <c r="B89" s="15" t="s">
        <v>82</v>
      </c>
      <c r="C89" s="161" t="s">
        <v>1986</v>
      </c>
      <c r="D89" s="14" t="s">
        <v>83</v>
      </c>
      <c r="E89" s="30" t="s">
        <v>1987</v>
      </c>
      <c r="F89" s="14" t="s">
        <v>1210</v>
      </c>
      <c r="G89" s="14" t="s">
        <v>1211</v>
      </c>
      <c r="H89" s="14" t="s">
        <v>26</v>
      </c>
      <c r="I89" s="17"/>
      <c r="J89" s="17">
        <v>30000</v>
      </c>
      <c r="K89" s="17">
        <v>26500</v>
      </c>
      <c r="L89" s="17">
        <f>J89-K89</f>
      </c>
      <c r="M89" s="14" t="s">
        <v>43</v>
      </c>
      <c r="N89" s="14" t="s">
        <v>1988</v>
      </c>
      <c r="O89" s="16" t="s">
        <v>33</v>
      </c>
      <c r="P89" s="17"/>
      <c r="Q89" s="17"/>
      <c r="R89" s="17"/>
      <c r="S89" s="17"/>
      <c r="T89" s="17">
        <f>J89-P89-S89-Q89-R89</f>
      </c>
      <c r="U89" s="12"/>
      <c r="V89" s="174"/>
      <c r="W89" s="14"/>
    </row>
    <row x14ac:dyDescent="0.25" r="90" customHeight="1" ht="20.25">
      <c r="A90" s="12">
        <v>45956</v>
      </c>
      <c r="B90" s="15" t="s">
        <v>123</v>
      </c>
      <c r="C90" s="161" t="s">
        <v>937</v>
      </c>
      <c r="D90" s="14" t="s">
        <v>232</v>
      </c>
      <c r="E90" s="30" t="s">
        <v>1989</v>
      </c>
      <c r="F90" s="14" t="s">
        <v>1750</v>
      </c>
      <c r="G90" s="14" t="s">
        <v>450</v>
      </c>
      <c r="H90" s="14" t="s">
        <v>26</v>
      </c>
      <c r="I90" s="17"/>
      <c r="J90" s="17">
        <v>1950900</v>
      </c>
      <c r="K90" s="17">
        <v>1870520</v>
      </c>
      <c r="L90" s="17">
        <f>J90-K90</f>
      </c>
      <c r="M90" s="14" t="s">
        <v>1990</v>
      </c>
      <c r="N90" s="14" t="s">
        <v>1991</v>
      </c>
      <c r="O90" s="16">
        <v>4</v>
      </c>
      <c r="P90" s="17"/>
      <c r="Q90" s="17"/>
      <c r="R90" s="17"/>
      <c r="S90" s="17"/>
      <c r="T90" s="17">
        <f>J90-P90-S90-Q90-R90</f>
      </c>
      <c r="U90" s="12"/>
      <c r="V90" s="174"/>
      <c r="W90" s="14"/>
    </row>
    <row x14ac:dyDescent="0.25" r="91" customHeight="1" ht="20.25">
      <c r="A91" s="12">
        <v>45956</v>
      </c>
      <c r="B91" s="15" t="s">
        <v>123</v>
      </c>
      <c r="C91" s="161" t="s">
        <v>937</v>
      </c>
      <c r="D91" s="14" t="s">
        <v>232</v>
      </c>
      <c r="E91" s="30" t="s">
        <v>1992</v>
      </c>
      <c r="F91" s="14" t="s">
        <v>1750</v>
      </c>
      <c r="G91" s="14" t="s">
        <v>1993</v>
      </c>
      <c r="H91" s="14" t="s">
        <v>26</v>
      </c>
      <c r="I91" s="17"/>
      <c r="J91" s="17">
        <v>716800</v>
      </c>
      <c r="K91" s="17">
        <v>636320</v>
      </c>
      <c r="L91" s="17">
        <f>J91-K91</f>
      </c>
      <c r="M91" s="14" t="s">
        <v>50</v>
      </c>
      <c r="N91" s="14" t="s">
        <v>1994</v>
      </c>
      <c r="O91" s="16">
        <v>4</v>
      </c>
      <c r="P91" s="17"/>
      <c r="Q91" s="17"/>
      <c r="R91" s="17"/>
      <c r="S91" s="17"/>
      <c r="T91" s="17">
        <f>J91-P91-S91-Q91-R91</f>
      </c>
      <c r="U91" s="12"/>
      <c r="V91" s="174"/>
      <c r="W91" s="14"/>
    </row>
    <row x14ac:dyDescent="0.25" r="92" customHeight="1" ht="20.25">
      <c r="A92" s="12">
        <v>45956</v>
      </c>
      <c r="B92" s="15" t="s">
        <v>123</v>
      </c>
      <c r="C92" s="161" t="s">
        <v>937</v>
      </c>
      <c r="D92" s="14" t="s">
        <v>232</v>
      </c>
      <c r="E92" s="30" t="s">
        <v>1995</v>
      </c>
      <c r="F92" s="14" t="s">
        <v>1750</v>
      </c>
      <c r="G92" s="14" t="s">
        <v>940</v>
      </c>
      <c r="H92" s="14" t="s">
        <v>26</v>
      </c>
      <c r="I92" s="17"/>
      <c r="J92" s="17">
        <v>815900</v>
      </c>
      <c r="K92" s="17">
        <v>735820</v>
      </c>
      <c r="L92" s="17">
        <f>J92-K92</f>
      </c>
      <c r="M92" s="14" t="s">
        <v>50</v>
      </c>
      <c r="N92" s="14" t="s">
        <v>1996</v>
      </c>
      <c r="O92" s="16">
        <v>4</v>
      </c>
      <c r="P92" s="17"/>
      <c r="Q92" s="17"/>
      <c r="R92" s="17"/>
      <c r="S92" s="17"/>
      <c r="T92" s="17">
        <f>J92-P92-S92-Q92-R92</f>
      </c>
      <c r="U92" s="12"/>
      <c r="V92" s="174"/>
      <c r="W92" s="14"/>
    </row>
    <row x14ac:dyDescent="0.25" r="93" customHeight="1" ht="20.25">
      <c r="A93" s="12">
        <v>45956</v>
      </c>
      <c r="B93" s="15" t="s">
        <v>123</v>
      </c>
      <c r="C93" s="161" t="s">
        <v>937</v>
      </c>
      <c r="D93" s="14" t="s">
        <v>232</v>
      </c>
      <c r="E93" s="30" t="s">
        <v>1997</v>
      </c>
      <c r="F93" s="14" t="s">
        <v>1750</v>
      </c>
      <c r="G93" s="14" t="s">
        <v>1998</v>
      </c>
      <c r="H93" s="14" t="s">
        <v>26</v>
      </c>
      <c r="I93" s="17"/>
      <c r="J93" s="17">
        <v>197920</v>
      </c>
      <c r="K93" s="17">
        <v>97300</v>
      </c>
      <c r="L93" s="17">
        <f>J93-K93</f>
      </c>
      <c r="M93" s="14" t="s">
        <v>50</v>
      </c>
      <c r="N93" s="14" t="s">
        <v>1999</v>
      </c>
      <c r="O93" s="16">
        <v>4</v>
      </c>
      <c r="P93" s="17"/>
      <c r="Q93" s="17"/>
      <c r="R93" s="17"/>
      <c r="S93" s="17"/>
      <c r="T93" s="17">
        <f>J93-P93-S93-Q93-R93</f>
      </c>
      <c r="U93" s="12"/>
      <c r="V93" s="174"/>
      <c r="W93" s="14"/>
    </row>
    <row x14ac:dyDescent="0.25" r="94" customHeight="1" ht="20.25">
      <c r="A94" s="12">
        <v>45956</v>
      </c>
      <c r="B94" s="15" t="s">
        <v>22</v>
      </c>
      <c r="C94" s="18">
        <v>45958</v>
      </c>
      <c r="D94" s="14" t="s">
        <v>2000</v>
      </c>
      <c r="E94" s="30" t="s">
        <v>1878</v>
      </c>
      <c r="F94" s="14" t="s">
        <v>548</v>
      </c>
      <c r="G94" s="14" t="s">
        <v>2001</v>
      </c>
      <c r="H94" s="14" t="s">
        <v>26</v>
      </c>
      <c r="I94" s="17"/>
      <c r="J94" s="17">
        <v>275900</v>
      </c>
      <c r="K94" s="17">
        <v>230900</v>
      </c>
      <c r="L94" s="17">
        <f>J94-K94</f>
      </c>
      <c r="M94" s="14" t="s">
        <v>27</v>
      </c>
      <c r="N94" s="14" t="s">
        <v>2002</v>
      </c>
      <c r="O94" s="16"/>
      <c r="P94" s="17"/>
      <c r="Q94" s="17"/>
      <c r="R94" s="17"/>
      <c r="S94" s="17"/>
      <c r="T94" s="17">
        <f>J94-P94-S94-Q94-R94</f>
      </c>
      <c r="U94" s="12"/>
      <c r="V94" s="174"/>
      <c r="W94" s="14"/>
    </row>
    <row x14ac:dyDescent="0.25" r="95" customHeight="1" ht="20.25">
      <c r="A95" s="12">
        <v>45956</v>
      </c>
      <c r="B95" s="15" t="s">
        <v>72</v>
      </c>
      <c r="C95" s="18">
        <v>45961</v>
      </c>
      <c r="D95" s="14" t="s">
        <v>2003</v>
      </c>
      <c r="E95" s="30" t="s">
        <v>1878</v>
      </c>
      <c r="F95" s="14" t="s">
        <v>548</v>
      </c>
      <c r="G95" s="14" t="s">
        <v>2001</v>
      </c>
      <c r="H95" s="14" t="s">
        <v>26</v>
      </c>
      <c r="I95" s="17">
        <v>182000</v>
      </c>
      <c r="J95" s="17">
        <v>323500</v>
      </c>
      <c r="K95" s="17">
        <v>263500</v>
      </c>
      <c r="L95" s="17">
        <f>J95-K95</f>
      </c>
      <c r="M95" s="14" t="s">
        <v>154</v>
      </c>
      <c r="N95" s="14" t="s">
        <v>2004</v>
      </c>
      <c r="O95" s="16"/>
      <c r="P95" s="17"/>
      <c r="Q95" s="17"/>
      <c r="R95" s="17"/>
      <c r="S95" s="17"/>
      <c r="T95" s="17">
        <f>J95-P95-S95-Q95-R95</f>
      </c>
      <c r="U95" s="12"/>
      <c r="V95" s="174"/>
      <c r="W95" s="14"/>
    </row>
    <row x14ac:dyDescent="0.25" r="96" customHeight="1" ht="20.25">
      <c r="A96" s="12">
        <v>45957</v>
      </c>
      <c r="B96" s="189" t="s">
        <v>72</v>
      </c>
      <c r="C96" s="13" t="s">
        <v>2005</v>
      </c>
      <c r="D96" s="30" t="s">
        <v>2006</v>
      </c>
      <c r="E96" s="30" t="s">
        <v>1881</v>
      </c>
      <c r="F96" s="30" t="s">
        <v>2007</v>
      </c>
      <c r="G96" s="30" t="s">
        <v>2008</v>
      </c>
      <c r="H96" s="30" t="s">
        <v>26</v>
      </c>
      <c r="I96" s="69"/>
      <c r="J96" s="69">
        <v>198500</v>
      </c>
      <c r="K96" s="69">
        <v>134500</v>
      </c>
      <c r="L96" s="17">
        <f>J96-K96</f>
      </c>
      <c r="M96" s="30" t="s">
        <v>77</v>
      </c>
      <c r="N96" s="14" t="s">
        <v>2009</v>
      </c>
      <c r="O96" s="16"/>
      <c r="P96" s="17"/>
      <c r="Q96" s="17"/>
      <c r="R96" s="17"/>
      <c r="S96" s="17"/>
      <c r="T96" s="17">
        <f>J96-P96-S96-Q96-R96</f>
      </c>
      <c r="U96" s="12"/>
      <c r="V96" s="190"/>
      <c r="W96" s="14"/>
    </row>
    <row x14ac:dyDescent="0.25" r="97" customHeight="1" ht="20.25">
      <c r="A97" s="12">
        <v>45957</v>
      </c>
      <c r="B97" s="189" t="s">
        <v>53</v>
      </c>
      <c r="C97" s="13" t="s">
        <v>2010</v>
      </c>
      <c r="D97" s="30" t="s">
        <v>118</v>
      </c>
      <c r="E97" s="30" t="s">
        <v>2011</v>
      </c>
      <c r="F97" s="30" t="s">
        <v>2012</v>
      </c>
      <c r="G97" s="30" t="s">
        <v>2013</v>
      </c>
      <c r="H97" s="30" t="s">
        <v>26</v>
      </c>
      <c r="I97" s="69"/>
      <c r="J97" s="69">
        <v>932020</v>
      </c>
      <c r="K97" s="69">
        <v>839720</v>
      </c>
      <c r="L97" s="17">
        <f>J97-K97</f>
      </c>
      <c r="M97" s="30" t="s">
        <v>50</v>
      </c>
      <c r="N97" s="14" t="s">
        <v>2014</v>
      </c>
      <c r="O97" s="16">
        <v>4</v>
      </c>
      <c r="P97" s="17"/>
      <c r="Q97" s="17"/>
      <c r="R97" s="17"/>
      <c r="S97" s="17"/>
      <c r="T97" s="17">
        <f>J97-P97-S97-Q97-R97</f>
      </c>
      <c r="U97" s="12"/>
      <c r="V97" s="174"/>
      <c r="W97" s="14"/>
    </row>
    <row x14ac:dyDescent="0.25" r="98" customHeight="1" ht="20.25">
      <c r="A98" s="12">
        <v>45957</v>
      </c>
      <c r="B98" s="15" t="s">
        <v>53</v>
      </c>
      <c r="C98" s="161" t="s">
        <v>2010</v>
      </c>
      <c r="D98" s="14" t="s">
        <v>118</v>
      </c>
      <c r="E98" s="30" t="s">
        <v>2015</v>
      </c>
      <c r="F98" s="14" t="s">
        <v>2012</v>
      </c>
      <c r="G98" s="14" t="s">
        <v>2016</v>
      </c>
      <c r="H98" s="14" t="s">
        <v>26</v>
      </c>
      <c r="I98" s="17"/>
      <c r="J98" s="17">
        <v>825620</v>
      </c>
      <c r="K98" s="17">
        <v>741420</v>
      </c>
      <c r="L98" s="17">
        <f>J98-K98</f>
      </c>
      <c r="M98" s="14" t="s">
        <v>50</v>
      </c>
      <c r="N98" s="14" t="s">
        <v>2017</v>
      </c>
      <c r="O98" s="16">
        <v>4</v>
      </c>
      <c r="P98" s="17"/>
      <c r="Q98" s="17"/>
      <c r="R98" s="17"/>
      <c r="S98" s="17"/>
      <c r="T98" s="17">
        <f>J98-P98-S98-Q98-R98</f>
      </c>
      <c r="U98" s="12"/>
      <c r="V98" s="174"/>
      <c r="W98" s="14"/>
    </row>
    <row x14ac:dyDescent="0.25" r="99" customHeight="1" ht="20.25">
      <c r="A99" s="12">
        <v>45957</v>
      </c>
      <c r="B99" s="15" t="s">
        <v>27</v>
      </c>
      <c r="C99" s="161" t="s">
        <v>2018</v>
      </c>
      <c r="D99" s="14" t="s">
        <v>23</v>
      </c>
      <c r="E99" s="30" t="s">
        <v>2019</v>
      </c>
      <c r="F99" s="14" t="s">
        <v>194</v>
      </c>
      <c r="G99" s="14" t="s">
        <v>2020</v>
      </c>
      <c r="H99" s="14" t="s">
        <v>26</v>
      </c>
      <c r="I99" s="17"/>
      <c r="J99" s="17">
        <v>403900</v>
      </c>
      <c r="K99" s="17">
        <v>303900</v>
      </c>
      <c r="L99" s="17">
        <f>J99-K99</f>
      </c>
      <c r="M99" s="14" t="s">
        <v>27</v>
      </c>
      <c r="N99" s="14" t="s">
        <v>2021</v>
      </c>
      <c r="O99" s="16"/>
      <c r="P99" s="17"/>
      <c r="Q99" s="17"/>
      <c r="R99" s="17"/>
      <c r="S99" s="17"/>
      <c r="T99" s="17">
        <f>J99-P99-S99-Q99-R99</f>
      </c>
      <c r="U99" s="12"/>
      <c r="V99" s="174"/>
      <c r="W99" s="14"/>
    </row>
    <row x14ac:dyDescent="0.25" r="100" customHeight="1" ht="20.25">
      <c r="A100" s="12">
        <v>45957</v>
      </c>
      <c r="B100" s="15" t="s">
        <v>27</v>
      </c>
      <c r="C100" s="161" t="s">
        <v>2018</v>
      </c>
      <c r="D100" s="14" t="s">
        <v>23</v>
      </c>
      <c r="E100" s="30" t="s">
        <v>2019</v>
      </c>
      <c r="F100" s="14" t="s">
        <v>194</v>
      </c>
      <c r="G100" s="14" t="s">
        <v>2022</v>
      </c>
      <c r="H100" s="14" t="s">
        <v>26</v>
      </c>
      <c r="I100" s="17"/>
      <c r="J100" s="17">
        <v>403900</v>
      </c>
      <c r="K100" s="17">
        <v>303900</v>
      </c>
      <c r="L100" s="17">
        <f>J100-K100</f>
      </c>
      <c r="M100" s="14" t="s">
        <v>27</v>
      </c>
      <c r="N100" s="14" t="s">
        <v>2023</v>
      </c>
      <c r="O100" s="16"/>
      <c r="P100" s="17"/>
      <c r="Q100" s="17"/>
      <c r="R100" s="17"/>
      <c r="S100" s="17"/>
      <c r="T100" s="17">
        <f>J100-P100-S100-Q100-R100</f>
      </c>
      <c r="U100" s="175"/>
      <c r="V100" s="174"/>
      <c r="W100" s="14"/>
    </row>
    <row x14ac:dyDescent="0.25" r="101" customHeight="1" ht="20.25">
      <c r="A101" s="12">
        <v>45957</v>
      </c>
      <c r="B101" s="14" t="s">
        <v>27</v>
      </c>
      <c r="C101" s="161" t="s">
        <v>2018</v>
      </c>
      <c r="D101" s="14" t="s">
        <v>23</v>
      </c>
      <c r="E101" s="30" t="s">
        <v>2019</v>
      </c>
      <c r="F101" s="14" t="s">
        <v>194</v>
      </c>
      <c r="G101" s="14" t="s">
        <v>2024</v>
      </c>
      <c r="H101" s="14" t="s">
        <v>26</v>
      </c>
      <c r="I101" s="17"/>
      <c r="J101" s="17">
        <v>403900</v>
      </c>
      <c r="K101" s="17">
        <v>303900</v>
      </c>
      <c r="L101" s="17">
        <f>J101-K101</f>
      </c>
      <c r="M101" s="14" t="s">
        <v>27</v>
      </c>
      <c r="N101" s="14" t="s">
        <v>2025</v>
      </c>
      <c r="O101" s="16"/>
      <c r="P101" s="17"/>
      <c r="Q101" s="17"/>
      <c r="R101" s="17"/>
      <c r="S101" s="17"/>
      <c r="T101" s="17">
        <f>J101-P101-S101-Q101-R101</f>
      </c>
      <c r="U101" s="12"/>
      <c r="V101" s="174"/>
      <c r="W101" s="14"/>
    </row>
    <row x14ac:dyDescent="0.25" r="102" customHeight="1" ht="20.25">
      <c r="A102" s="12">
        <v>45957</v>
      </c>
      <c r="B102" s="14" t="s">
        <v>27</v>
      </c>
      <c r="C102" s="161" t="s">
        <v>2018</v>
      </c>
      <c r="D102" s="14" t="s">
        <v>23</v>
      </c>
      <c r="E102" s="30" t="s">
        <v>2019</v>
      </c>
      <c r="F102" s="14" t="s">
        <v>194</v>
      </c>
      <c r="G102" s="14" t="s">
        <v>1669</v>
      </c>
      <c r="H102" s="14" t="s">
        <v>26</v>
      </c>
      <c r="I102" s="17"/>
      <c r="J102" s="17">
        <v>403900</v>
      </c>
      <c r="K102" s="17">
        <v>303900</v>
      </c>
      <c r="L102" s="17">
        <f>J102-K102</f>
      </c>
      <c r="M102" s="14" t="s">
        <v>27</v>
      </c>
      <c r="N102" s="14" t="s">
        <v>2026</v>
      </c>
      <c r="O102" s="16"/>
      <c r="P102" s="17"/>
      <c r="Q102" s="17"/>
      <c r="R102" s="17"/>
      <c r="S102" s="17"/>
      <c r="T102" s="17">
        <f>J102-P102-S102-Q102-R102</f>
      </c>
      <c r="U102" s="12"/>
      <c r="V102" s="174"/>
      <c r="W102" s="14"/>
    </row>
    <row x14ac:dyDescent="0.25" r="103" customHeight="1" ht="20.25">
      <c r="A103" s="12">
        <v>45957</v>
      </c>
      <c r="B103" s="14" t="s">
        <v>27</v>
      </c>
      <c r="C103" s="161" t="s">
        <v>2018</v>
      </c>
      <c r="D103" s="14" t="s">
        <v>23</v>
      </c>
      <c r="E103" s="30" t="s">
        <v>2019</v>
      </c>
      <c r="F103" s="14" t="s">
        <v>194</v>
      </c>
      <c r="G103" s="14" t="s">
        <v>2027</v>
      </c>
      <c r="H103" s="14" t="s">
        <v>26</v>
      </c>
      <c r="I103" s="17"/>
      <c r="J103" s="17">
        <v>403900</v>
      </c>
      <c r="K103" s="17">
        <v>303900</v>
      </c>
      <c r="L103" s="17">
        <f>J103-K103</f>
      </c>
      <c r="M103" s="14" t="s">
        <v>27</v>
      </c>
      <c r="N103" s="14" t="s">
        <v>2028</v>
      </c>
      <c r="O103" s="16"/>
      <c r="P103" s="17"/>
      <c r="Q103" s="17"/>
      <c r="R103" s="17"/>
      <c r="S103" s="17"/>
      <c r="T103" s="17"/>
      <c r="U103" s="12"/>
      <c r="V103" s="174"/>
      <c r="W103" s="14"/>
    </row>
    <row x14ac:dyDescent="0.25" r="104" customHeight="1" ht="20.25">
      <c r="A104" s="12">
        <v>45957</v>
      </c>
      <c r="B104" s="14" t="s">
        <v>27</v>
      </c>
      <c r="C104" s="161" t="s">
        <v>2018</v>
      </c>
      <c r="D104" s="14" t="s">
        <v>23</v>
      </c>
      <c r="E104" s="30" t="s">
        <v>2019</v>
      </c>
      <c r="F104" s="14" t="s">
        <v>194</v>
      </c>
      <c r="G104" s="14" t="s">
        <v>2029</v>
      </c>
      <c r="H104" s="14" t="s">
        <v>26</v>
      </c>
      <c r="I104" s="17"/>
      <c r="J104" s="17">
        <v>403900</v>
      </c>
      <c r="K104" s="17">
        <v>303900</v>
      </c>
      <c r="L104" s="17">
        <f>J104-K104</f>
      </c>
      <c r="M104" s="14" t="s">
        <v>27</v>
      </c>
      <c r="N104" s="14" t="s">
        <v>2030</v>
      </c>
      <c r="O104" s="16"/>
      <c r="P104" s="17"/>
      <c r="Q104" s="17"/>
      <c r="R104" s="17"/>
      <c r="S104" s="17"/>
      <c r="T104" s="17"/>
      <c r="U104" s="12"/>
      <c r="V104" s="174"/>
      <c r="W104" s="14"/>
    </row>
    <row x14ac:dyDescent="0.25" r="105" customHeight="1" ht="20.25">
      <c r="A105" s="12">
        <v>45959</v>
      </c>
      <c r="B105" s="15" t="s">
        <v>46</v>
      </c>
      <c r="C105" s="161" t="s">
        <v>2031</v>
      </c>
      <c r="D105" s="14" t="s">
        <v>54</v>
      </c>
      <c r="E105" s="30" t="s">
        <v>2032</v>
      </c>
      <c r="F105" s="14" t="s">
        <v>2033</v>
      </c>
      <c r="G105" s="14" t="s">
        <v>2034</v>
      </c>
      <c r="H105" s="14" t="s">
        <v>26</v>
      </c>
      <c r="I105" s="17"/>
      <c r="J105" s="17">
        <v>702920</v>
      </c>
      <c r="K105" s="17">
        <v>677920</v>
      </c>
      <c r="L105" s="17">
        <f>J105-K105</f>
      </c>
      <c r="M105" s="14" t="s">
        <v>50</v>
      </c>
      <c r="N105" s="14" t="s">
        <v>2035</v>
      </c>
      <c r="O105" s="16">
        <v>2</v>
      </c>
      <c r="P105" s="17"/>
      <c r="Q105" s="17"/>
      <c r="R105" s="17"/>
      <c r="S105" s="17"/>
      <c r="T105" s="17"/>
      <c r="U105" s="12"/>
      <c r="V105" s="174"/>
      <c r="W105" s="14"/>
    </row>
    <row x14ac:dyDescent="0.25" r="106" customHeight="1" ht="20.25">
      <c r="A106" s="12">
        <v>45960</v>
      </c>
      <c r="B106" s="15" t="s">
        <v>53</v>
      </c>
      <c r="C106" s="161" t="s">
        <v>2036</v>
      </c>
      <c r="D106" s="14" t="s">
        <v>54</v>
      </c>
      <c r="E106" s="30" t="s">
        <v>2037</v>
      </c>
      <c r="F106" s="14" t="s">
        <v>2038</v>
      </c>
      <c r="G106" s="14" t="s">
        <v>2039</v>
      </c>
      <c r="H106" s="14" t="s">
        <v>26</v>
      </c>
      <c r="I106" s="17"/>
      <c r="J106" s="17">
        <v>2139800</v>
      </c>
      <c r="K106" s="17">
        <v>2059320</v>
      </c>
      <c r="L106" s="17">
        <f>J106-K106</f>
      </c>
      <c r="M106" s="14" t="s">
        <v>137</v>
      </c>
      <c r="N106" s="14" t="s">
        <v>2040</v>
      </c>
      <c r="O106" s="16"/>
      <c r="P106" s="17"/>
      <c r="Q106" s="17"/>
      <c r="R106" s="17"/>
      <c r="S106" s="17"/>
      <c r="T106" s="17"/>
      <c r="U106" s="12"/>
      <c r="V106" s="174"/>
      <c r="W106" s="14"/>
    </row>
    <row x14ac:dyDescent="0.25" r="107" customHeight="1" ht="20.25">
      <c r="A107" s="12">
        <v>45960</v>
      </c>
      <c r="B107" s="15" t="s">
        <v>123</v>
      </c>
      <c r="C107" s="161" t="s">
        <v>2041</v>
      </c>
      <c r="D107" s="14" t="s">
        <v>2042</v>
      </c>
      <c r="E107" s="30" t="s">
        <v>2043</v>
      </c>
      <c r="F107" s="14" t="s">
        <v>2044</v>
      </c>
      <c r="G107" s="14" t="s">
        <v>2045</v>
      </c>
      <c r="H107" s="14" t="s">
        <v>26</v>
      </c>
      <c r="I107" s="17"/>
      <c r="J107" s="17">
        <v>697400</v>
      </c>
      <c r="K107" s="17">
        <v>661420</v>
      </c>
      <c r="L107" s="17">
        <f>J107-K107</f>
      </c>
      <c r="M107" s="14" t="s">
        <v>50</v>
      </c>
      <c r="N107" s="14" t="s">
        <v>2046</v>
      </c>
      <c r="O107" s="16">
        <v>4</v>
      </c>
      <c r="P107" s="17"/>
      <c r="Q107" s="17"/>
      <c r="R107" s="17"/>
      <c r="S107" s="17"/>
      <c r="T107" s="17"/>
      <c r="U107" s="12"/>
      <c r="V107" s="174"/>
      <c r="W107" s="14"/>
    </row>
    <row x14ac:dyDescent="0.25" r="108" customHeight="1" ht="20.25">
      <c r="A108" s="12">
        <v>45960</v>
      </c>
      <c r="B108" s="15" t="s">
        <v>46</v>
      </c>
      <c r="C108" s="161" t="s">
        <v>2047</v>
      </c>
      <c r="D108" s="14" t="s">
        <v>282</v>
      </c>
      <c r="E108" s="30" t="s">
        <v>2048</v>
      </c>
      <c r="F108" s="14" t="s">
        <v>344</v>
      </c>
      <c r="G108" s="14" t="s">
        <v>2049</v>
      </c>
      <c r="H108" s="14" t="s">
        <v>26</v>
      </c>
      <c r="I108" s="17"/>
      <c r="J108" s="17">
        <v>465120</v>
      </c>
      <c r="K108" s="17">
        <v>405120</v>
      </c>
      <c r="L108" s="17">
        <f>J108-K108</f>
      </c>
      <c r="M108" s="14" t="s">
        <v>50</v>
      </c>
      <c r="N108" s="14" t="s">
        <v>2050</v>
      </c>
      <c r="O108" s="16">
        <v>2</v>
      </c>
      <c r="P108" s="17"/>
      <c r="Q108" s="17"/>
      <c r="R108" s="17"/>
      <c r="S108" s="17"/>
      <c r="T108" s="17"/>
      <c r="U108" s="12"/>
      <c r="V108" s="174"/>
      <c r="W108" s="14"/>
    </row>
    <row x14ac:dyDescent="0.25" r="109" customHeight="1" ht="20.25">
      <c r="A109" s="12">
        <v>45960</v>
      </c>
      <c r="B109" s="15" t="s">
        <v>46</v>
      </c>
      <c r="C109" s="161" t="s">
        <v>2047</v>
      </c>
      <c r="D109" s="14" t="s">
        <v>282</v>
      </c>
      <c r="E109" s="30" t="s">
        <v>2048</v>
      </c>
      <c r="F109" s="14" t="s">
        <v>344</v>
      </c>
      <c r="G109" s="14" t="s">
        <v>2051</v>
      </c>
      <c r="H109" s="14" t="s">
        <v>26</v>
      </c>
      <c r="I109" s="17"/>
      <c r="J109" s="17">
        <v>465120</v>
      </c>
      <c r="K109" s="17">
        <v>405120</v>
      </c>
      <c r="L109" s="17">
        <f>J109-K109</f>
      </c>
      <c r="M109" s="14" t="s">
        <v>50</v>
      </c>
      <c r="N109" s="14" t="s">
        <v>2052</v>
      </c>
      <c r="O109" s="16">
        <v>2</v>
      </c>
      <c r="P109" s="17"/>
      <c r="Q109" s="17"/>
      <c r="R109" s="17"/>
      <c r="S109" s="17"/>
      <c r="T109" s="17"/>
      <c r="U109" s="12"/>
      <c r="V109" s="174"/>
      <c r="W109" s="14"/>
    </row>
    <row x14ac:dyDescent="0.25" r="110" customHeight="1" ht="20.25">
      <c r="A110" s="137">
        <v>45960</v>
      </c>
      <c r="B110" s="140" t="s">
        <v>82</v>
      </c>
      <c r="C110" s="138" t="s">
        <v>1958</v>
      </c>
      <c r="D110" s="139" t="s">
        <v>691</v>
      </c>
      <c r="E110" s="139" t="s">
        <v>2053</v>
      </c>
      <c r="F110" s="139" t="s">
        <v>292</v>
      </c>
      <c r="G110" s="139" t="s">
        <v>2054</v>
      </c>
      <c r="H110" s="139" t="s">
        <v>26</v>
      </c>
      <c r="I110" s="176"/>
      <c r="J110" s="176">
        <v>97500</v>
      </c>
      <c r="K110" s="176">
        <v>75000</v>
      </c>
      <c r="L110" s="176">
        <f>J110-K110</f>
      </c>
      <c r="M110" s="139" t="s">
        <v>43</v>
      </c>
      <c r="N110" s="139" t="s">
        <v>2055</v>
      </c>
      <c r="O110" s="141"/>
      <c r="P110" s="176"/>
      <c r="Q110" s="176"/>
      <c r="R110" s="176"/>
      <c r="S110" s="176"/>
      <c r="T110" s="176"/>
      <c r="U110" s="137"/>
      <c r="V110" s="178"/>
      <c r="W110" s="139"/>
    </row>
    <row x14ac:dyDescent="0.25" r="111" customHeight="1" ht="20.25">
      <c r="A111" s="12">
        <v>45961</v>
      </c>
      <c r="B111" s="15" t="s">
        <v>252</v>
      </c>
      <c r="C111" s="161" t="s">
        <v>2056</v>
      </c>
      <c r="D111" s="14" t="s">
        <v>752</v>
      </c>
      <c r="E111" s="30" t="s">
        <v>2057</v>
      </c>
      <c r="F111" s="14" t="s">
        <v>1838</v>
      </c>
      <c r="G111" s="14" t="s">
        <v>2058</v>
      </c>
      <c r="H111" s="14" t="s">
        <v>26</v>
      </c>
      <c r="I111" s="17"/>
      <c r="J111" s="69">
        <v>597800</v>
      </c>
      <c r="K111" s="17">
        <v>592020</v>
      </c>
      <c r="L111" s="17">
        <f>J111-K111</f>
      </c>
      <c r="M111" s="14" t="s">
        <v>50</v>
      </c>
      <c r="N111" s="14" t="s">
        <v>2059</v>
      </c>
      <c r="O111" s="16">
        <v>4</v>
      </c>
      <c r="P111" s="17"/>
      <c r="Q111" s="17"/>
      <c r="R111" s="17"/>
      <c r="S111" s="17"/>
      <c r="T111" s="17"/>
      <c r="U111" s="175"/>
      <c r="V111" s="174"/>
      <c r="W111" s="14"/>
    </row>
    <row x14ac:dyDescent="0.25" r="112" customHeight="1" ht="20.25">
      <c r="A112" s="12">
        <v>45961</v>
      </c>
      <c r="B112" s="15" t="s">
        <v>252</v>
      </c>
      <c r="C112" s="161" t="s">
        <v>2056</v>
      </c>
      <c r="D112" s="14" t="s">
        <v>752</v>
      </c>
      <c r="E112" s="30" t="s">
        <v>2057</v>
      </c>
      <c r="F112" s="14" t="s">
        <v>1838</v>
      </c>
      <c r="G112" s="14" t="s">
        <v>2060</v>
      </c>
      <c r="H112" s="14" t="s">
        <v>26</v>
      </c>
      <c r="I112" s="17"/>
      <c r="J112" s="69">
        <v>597800</v>
      </c>
      <c r="K112" s="17">
        <v>592020</v>
      </c>
      <c r="L112" s="17">
        <f>J112-K112</f>
      </c>
      <c r="M112" s="14" t="s">
        <v>50</v>
      </c>
      <c r="N112" s="14" t="s">
        <v>2061</v>
      </c>
      <c r="O112" s="16">
        <v>4</v>
      </c>
      <c r="P112" s="17"/>
      <c r="Q112" s="17"/>
      <c r="R112" s="17"/>
      <c r="S112" s="17"/>
      <c r="T112" s="17"/>
      <c r="U112" s="175"/>
      <c r="V112" s="174"/>
      <c r="W112" s="14"/>
    </row>
    <row x14ac:dyDescent="0.25" r="113" customHeight="1" ht="20.25">
      <c r="A113" s="153">
        <v>45961</v>
      </c>
      <c r="B113" s="154" t="s">
        <v>82</v>
      </c>
      <c r="C113" s="155" t="s">
        <v>1208</v>
      </c>
      <c r="D113" s="156" t="s">
        <v>83</v>
      </c>
      <c r="E113" s="156" t="s">
        <v>1209</v>
      </c>
      <c r="F113" s="156" t="s">
        <v>1210</v>
      </c>
      <c r="G113" s="156" t="s">
        <v>1211</v>
      </c>
      <c r="H113" s="156" t="s">
        <v>26</v>
      </c>
      <c r="I113" s="157"/>
      <c r="J113" s="157"/>
      <c r="K113" s="157">
        <v>26000</v>
      </c>
      <c r="L113" s="157">
        <f>J113-K113</f>
      </c>
      <c r="M113" s="156" t="s">
        <v>43</v>
      </c>
      <c r="N113" s="156" t="s">
        <v>2062</v>
      </c>
      <c r="O113" s="158" t="s">
        <v>2063</v>
      </c>
      <c r="P113" s="157"/>
      <c r="Q113" s="157"/>
      <c r="R113" s="157"/>
      <c r="S113" s="157"/>
      <c r="T113" s="157"/>
      <c r="U113" s="159"/>
      <c r="V113" s="160"/>
      <c r="W113" s="156"/>
    </row>
    <row x14ac:dyDescent="0.25" r="114" customHeight="1" ht="20.25">
      <c r="A114" s="137">
        <v>45961</v>
      </c>
      <c r="B114" s="140" t="s">
        <v>82</v>
      </c>
      <c r="C114" s="138" t="s">
        <v>2064</v>
      </c>
      <c r="D114" s="139" t="s">
        <v>83</v>
      </c>
      <c r="E114" s="139" t="s">
        <v>2065</v>
      </c>
      <c r="F114" s="139" t="s">
        <v>2066</v>
      </c>
      <c r="G114" s="139" t="s">
        <v>2067</v>
      </c>
      <c r="H114" s="139" t="s">
        <v>2068</v>
      </c>
      <c r="I114" s="176"/>
      <c r="J114" s="176">
        <v>99740</v>
      </c>
      <c r="K114" s="176">
        <v>86540</v>
      </c>
      <c r="L114" s="176">
        <f>J114-K114</f>
      </c>
      <c r="M114" s="139" t="s">
        <v>43</v>
      </c>
      <c r="N114" s="139" t="s">
        <v>2069</v>
      </c>
      <c r="O114" s="141"/>
      <c r="P114" s="176"/>
      <c r="Q114" s="176"/>
      <c r="R114" s="176"/>
      <c r="S114" s="176"/>
      <c r="T114" s="176"/>
      <c r="U114" s="137"/>
      <c r="V114" s="178"/>
      <c r="W114" s="139"/>
    </row>
    <row x14ac:dyDescent="0.25" r="115" customHeight="1" ht="20.25">
      <c r="A115" s="137">
        <v>45961</v>
      </c>
      <c r="B115" s="140" t="s">
        <v>82</v>
      </c>
      <c r="C115" s="138" t="s">
        <v>2070</v>
      </c>
      <c r="D115" s="139" t="s">
        <v>83</v>
      </c>
      <c r="E115" s="139" t="s">
        <v>2071</v>
      </c>
      <c r="F115" s="139" t="s">
        <v>2066</v>
      </c>
      <c r="G115" s="139" t="s">
        <v>2072</v>
      </c>
      <c r="H115" s="139" t="s">
        <v>26</v>
      </c>
      <c r="I115" s="176"/>
      <c r="J115" s="176">
        <v>99740</v>
      </c>
      <c r="K115" s="176">
        <v>86540</v>
      </c>
      <c r="L115" s="176">
        <f>J115-K115</f>
      </c>
      <c r="M115" s="139" t="s">
        <v>43</v>
      </c>
      <c r="N115" s="139" t="s">
        <v>2073</v>
      </c>
      <c r="O115" s="141"/>
      <c r="P115" s="176"/>
      <c r="Q115" s="176"/>
      <c r="R115" s="176"/>
      <c r="S115" s="176"/>
      <c r="T115" s="176"/>
      <c r="U115" s="137"/>
      <c r="V115" s="178"/>
      <c r="W115" s="139"/>
    </row>
    <row x14ac:dyDescent="0.25" r="116" customHeight="1" ht="20.25">
      <c r="A116" s="12"/>
      <c r="B116" s="15"/>
      <c r="C116" s="18"/>
      <c r="D116" s="14"/>
      <c r="E116" s="30"/>
      <c r="F116" s="14"/>
      <c r="G116" s="30"/>
      <c r="H116" s="14"/>
      <c r="I116" s="17"/>
      <c r="J116" s="17">
        <f>SUM(J2:J115)</f>
      </c>
      <c r="K116" s="17">
        <f>SUM(K2:K115)</f>
      </c>
      <c r="L116" s="17">
        <f>J116-K116</f>
      </c>
      <c r="M116" s="14"/>
      <c r="N116" s="14"/>
      <c r="O116" s="16"/>
      <c r="P116" s="17"/>
      <c r="Q116" s="17"/>
      <c r="R116" s="17"/>
      <c r="S116" s="17"/>
      <c r="T116" s="17"/>
      <c r="U116" s="12"/>
      <c r="V116" s="174"/>
      <c r="W116" s="14"/>
    </row>
    <row x14ac:dyDescent="0.25" r="117" customHeight="1" ht="20.25">
      <c r="A117" s="12"/>
      <c r="B117" s="15"/>
      <c r="C117" s="161"/>
      <c r="D117" s="14"/>
      <c r="E117" s="30"/>
      <c r="F117" s="14"/>
      <c r="G117" s="14"/>
      <c r="H117" s="14"/>
      <c r="I117" s="17"/>
      <c r="J117" s="17"/>
      <c r="K117" s="17"/>
      <c r="L117" s="17">
        <f>J117-K117</f>
      </c>
      <c r="M117" s="14"/>
      <c r="N117" s="14"/>
      <c r="O117" s="16"/>
      <c r="P117" s="17"/>
      <c r="Q117" s="17"/>
      <c r="R117" s="17"/>
      <c r="S117" s="17"/>
      <c r="T117" s="17"/>
      <c r="U117" s="12"/>
      <c r="V117" s="174"/>
      <c r="W117" s="14"/>
    </row>
    <row x14ac:dyDescent="0.25" r="118" customHeight="1" ht="20.25">
      <c r="A118" s="12"/>
      <c r="B118" s="15"/>
      <c r="C118" s="161"/>
      <c r="D118" s="14"/>
      <c r="E118" s="30"/>
      <c r="F118" s="14"/>
      <c r="G118" s="14"/>
      <c r="H118" s="14"/>
      <c r="I118" s="17"/>
      <c r="J118" s="17"/>
      <c r="K118" s="17"/>
      <c r="L118" s="17">
        <f>J118-K118</f>
      </c>
      <c r="M118" s="14"/>
      <c r="N118" s="14"/>
      <c r="O118" s="16"/>
      <c r="P118" s="17"/>
      <c r="Q118" s="17"/>
      <c r="R118" s="17"/>
      <c r="S118" s="17"/>
      <c r="T118" s="17"/>
      <c r="U118" s="12"/>
      <c r="V118" s="174"/>
      <c r="W118" s="14"/>
    </row>
    <row x14ac:dyDescent="0.25" r="119" customHeight="1" ht="20.25">
      <c r="A119" s="12"/>
      <c r="B119" s="15"/>
      <c r="C119" s="161"/>
      <c r="D119" s="14"/>
      <c r="E119" s="30"/>
      <c r="F119" s="14"/>
      <c r="G119" s="14"/>
      <c r="H119" s="14"/>
      <c r="I119" s="17"/>
      <c r="J119" s="17"/>
      <c r="K119" s="17"/>
      <c r="L119" s="17">
        <f>J119-K119</f>
      </c>
      <c r="M119" s="14"/>
      <c r="N119" s="14"/>
      <c r="O119" s="16"/>
      <c r="P119" s="17"/>
      <c r="Q119" s="17"/>
      <c r="R119" s="17"/>
      <c r="S119" s="17"/>
      <c r="T119" s="17"/>
      <c r="U119" s="12"/>
      <c r="V119" s="174"/>
      <c r="W119" s="14"/>
    </row>
    <row x14ac:dyDescent="0.25" r="120" customHeight="1" ht="20.25">
      <c r="A120" s="12"/>
      <c r="B120" s="15"/>
      <c r="C120" s="161"/>
      <c r="D120" s="14"/>
      <c r="E120" s="30"/>
      <c r="F120" s="14"/>
      <c r="G120" s="14"/>
      <c r="H120" s="14"/>
      <c r="I120" s="17"/>
      <c r="J120" s="17"/>
      <c r="K120" s="17"/>
      <c r="L120" s="17">
        <f>J120-K120</f>
      </c>
      <c r="M120" s="14"/>
      <c r="N120" s="14"/>
      <c r="O120" s="16"/>
      <c r="P120" s="17"/>
      <c r="Q120" s="17"/>
      <c r="R120" s="17"/>
      <c r="S120" s="17"/>
      <c r="T120" s="17"/>
      <c r="U120" s="12"/>
      <c r="V120" s="174"/>
      <c r="W120" s="14"/>
    </row>
    <row x14ac:dyDescent="0.25" r="121" customHeight="1" ht="20.25">
      <c r="A121" s="12"/>
      <c r="B121" s="15"/>
      <c r="C121" s="18"/>
      <c r="D121" s="14"/>
      <c r="E121" s="30"/>
      <c r="F121" s="14"/>
      <c r="G121" s="14"/>
      <c r="H121" s="14"/>
      <c r="I121" s="17"/>
      <c r="J121" s="17"/>
      <c r="K121" s="17"/>
      <c r="L121" s="17">
        <f>J121-K121</f>
      </c>
      <c r="M121" s="14"/>
      <c r="N121" s="14"/>
      <c r="O121" s="16"/>
      <c r="P121" s="17"/>
      <c r="Q121" s="17"/>
      <c r="R121" s="17"/>
      <c r="S121" s="17"/>
      <c r="T121" s="17"/>
      <c r="U121" s="12"/>
      <c r="V121" s="174"/>
      <c r="W121" s="14"/>
    </row>
    <row x14ac:dyDescent="0.25" r="122" customHeight="1" ht="20.25">
      <c r="A122" s="12"/>
      <c r="B122" s="15"/>
      <c r="C122" s="161"/>
      <c r="D122" s="14"/>
      <c r="E122" s="30"/>
      <c r="F122" s="14"/>
      <c r="G122" s="14"/>
      <c r="H122" s="14"/>
      <c r="I122" s="17"/>
      <c r="J122" s="17"/>
      <c r="K122" s="17"/>
      <c r="L122" s="17">
        <f>J122-K122</f>
      </c>
      <c r="M122" s="14"/>
      <c r="N122" s="14"/>
      <c r="O122" s="16"/>
      <c r="P122" s="17"/>
      <c r="Q122" s="17"/>
      <c r="R122" s="17"/>
      <c r="S122" s="17"/>
      <c r="T122" s="17"/>
      <c r="U122" s="12"/>
      <c r="V122" s="174"/>
      <c r="W122" s="14"/>
    </row>
    <row x14ac:dyDescent="0.25" r="123" customHeight="1" ht="20.25">
      <c r="A123" s="12"/>
      <c r="B123" s="15"/>
      <c r="C123" s="161"/>
      <c r="D123" s="14"/>
      <c r="E123" s="30"/>
      <c r="F123" s="14"/>
      <c r="G123" s="14"/>
      <c r="H123" s="14"/>
      <c r="I123" s="17"/>
      <c r="J123" s="17"/>
      <c r="K123" s="17"/>
      <c r="L123" s="17">
        <f>J123-K123</f>
      </c>
      <c r="M123" s="14"/>
      <c r="N123" s="14"/>
      <c r="O123" s="16"/>
      <c r="P123" s="17"/>
      <c r="Q123" s="17"/>
      <c r="R123" s="17"/>
      <c r="S123" s="17"/>
      <c r="T123" s="17"/>
      <c r="U123" s="12"/>
      <c r="V123" s="174"/>
      <c r="W123" s="14"/>
    </row>
    <row x14ac:dyDescent="0.25" r="124" customHeight="1" ht="20.25">
      <c r="A124" s="12"/>
      <c r="B124" s="15"/>
      <c r="C124" s="18"/>
      <c r="D124" s="14"/>
      <c r="E124" s="30"/>
      <c r="F124" s="14"/>
      <c r="G124" s="14"/>
      <c r="H124" s="14"/>
      <c r="I124" s="17"/>
      <c r="J124" s="17"/>
      <c r="K124" s="17"/>
      <c r="L124" s="17">
        <f>J124-K124</f>
      </c>
      <c r="M124" s="14"/>
      <c r="N124" s="14"/>
      <c r="O124" s="16"/>
      <c r="P124" s="17"/>
      <c r="Q124" s="17"/>
      <c r="R124" s="17"/>
      <c r="S124" s="17"/>
      <c r="T124" s="17"/>
      <c r="U124" s="12"/>
      <c r="V124" s="174"/>
      <c r="W124" s="14"/>
    </row>
    <row x14ac:dyDescent="0.25" r="125" customHeight="1" ht="20.25">
      <c r="A125" s="12"/>
      <c r="B125" s="15"/>
      <c r="C125" s="161"/>
      <c r="D125" s="14"/>
      <c r="E125" s="30"/>
      <c r="F125" s="14"/>
      <c r="G125" s="14"/>
      <c r="H125" s="14"/>
      <c r="I125" s="17"/>
      <c r="J125" s="17"/>
      <c r="K125" s="17"/>
      <c r="L125" s="17">
        <f>J125-K125</f>
      </c>
      <c r="M125" s="14"/>
      <c r="N125" s="14"/>
      <c r="O125" s="16"/>
      <c r="P125" s="17"/>
      <c r="Q125" s="17"/>
      <c r="R125" s="17"/>
      <c r="S125" s="17"/>
      <c r="T125" s="17"/>
      <c r="U125" s="12"/>
      <c r="V125" s="174"/>
      <c r="W125" s="14"/>
    </row>
    <row x14ac:dyDescent="0.25" r="126" customHeight="1" ht="20.25">
      <c r="A126" s="12"/>
      <c r="B126" s="15"/>
      <c r="C126" s="161"/>
      <c r="D126" s="14"/>
      <c r="E126" s="30"/>
      <c r="F126" s="14"/>
      <c r="G126" s="14"/>
      <c r="H126" s="14"/>
      <c r="I126" s="17"/>
      <c r="J126" s="17"/>
      <c r="K126" s="17"/>
      <c r="L126" s="17">
        <f>J126-K126</f>
      </c>
      <c r="M126" s="14"/>
      <c r="N126" s="14"/>
      <c r="O126" s="16"/>
      <c r="P126" s="17"/>
      <c r="Q126" s="17"/>
      <c r="R126" s="17"/>
      <c r="S126" s="17"/>
      <c r="T126" s="17"/>
      <c r="U126" s="12"/>
      <c r="V126" s="174"/>
      <c r="W126" s="14"/>
    </row>
    <row x14ac:dyDescent="0.25" r="127" customHeight="1" ht="20.25">
      <c r="A127" s="12"/>
      <c r="B127" s="15"/>
      <c r="C127" s="161"/>
      <c r="D127" s="14"/>
      <c r="E127" s="30"/>
      <c r="F127" s="14"/>
      <c r="G127" s="14"/>
      <c r="H127" s="14"/>
      <c r="I127" s="17"/>
      <c r="J127" s="17"/>
      <c r="K127" s="17"/>
      <c r="L127" s="17">
        <f>J127-K127</f>
      </c>
      <c r="M127" s="14"/>
      <c r="N127" s="14"/>
      <c r="O127" s="16"/>
      <c r="P127" s="17"/>
      <c r="Q127" s="17"/>
      <c r="R127" s="17"/>
      <c r="S127" s="17"/>
      <c r="T127" s="17"/>
      <c r="U127" s="12"/>
      <c r="V127" s="174"/>
      <c r="W127" s="14"/>
    </row>
    <row x14ac:dyDescent="0.25" r="128" customHeight="1" ht="20.25">
      <c r="A128" s="12"/>
      <c r="B128" s="15"/>
      <c r="C128" s="161"/>
      <c r="D128" s="14"/>
      <c r="E128" s="30"/>
      <c r="F128" s="14"/>
      <c r="G128" s="14"/>
      <c r="H128" s="14"/>
      <c r="I128" s="17"/>
      <c r="J128" s="17"/>
      <c r="K128" s="17"/>
      <c r="L128" s="17">
        <f>J128-K128</f>
      </c>
      <c r="M128" s="14"/>
      <c r="N128" s="14"/>
      <c r="O128" s="16"/>
      <c r="P128" s="17"/>
      <c r="Q128" s="17"/>
      <c r="R128" s="17"/>
      <c r="S128" s="17"/>
      <c r="T128" s="17"/>
      <c r="U128" s="12"/>
      <c r="V128" s="174"/>
      <c r="W128" s="14"/>
    </row>
    <row x14ac:dyDescent="0.25" r="129" customHeight="1" ht="20.25">
      <c r="A129" s="12"/>
      <c r="B129" s="15"/>
      <c r="C129" s="161"/>
      <c r="D129" s="14"/>
      <c r="E129" s="30"/>
      <c r="F129" s="14"/>
      <c r="G129" s="14"/>
      <c r="H129" s="14"/>
      <c r="I129" s="17"/>
      <c r="J129" s="17"/>
      <c r="K129" s="17"/>
      <c r="L129" s="17">
        <f>J129-K129</f>
      </c>
      <c r="M129" s="14"/>
      <c r="N129" s="14"/>
      <c r="O129" s="16"/>
      <c r="P129" s="17"/>
      <c r="Q129" s="17"/>
      <c r="R129" s="17"/>
      <c r="S129" s="17"/>
      <c r="T129" s="17"/>
      <c r="U129" s="12"/>
      <c r="V129" s="174"/>
      <c r="W129" s="14"/>
    </row>
    <row x14ac:dyDescent="0.25" r="130" customHeight="1" ht="20.25">
      <c r="A130" s="12"/>
      <c r="B130" s="15"/>
      <c r="C130" s="161"/>
      <c r="D130" s="14"/>
      <c r="E130" s="30"/>
      <c r="F130" s="14"/>
      <c r="G130" s="14"/>
      <c r="H130" s="14"/>
      <c r="I130" s="17"/>
      <c r="J130" s="17"/>
      <c r="K130" s="17"/>
      <c r="L130" s="17">
        <f>J130-K130</f>
      </c>
      <c r="M130" s="14"/>
      <c r="N130" s="14"/>
      <c r="O130" s="16"/>
      <c r="P130" s="17"/>
      <c r="Q130" s="17"/>
      <c r="R130" s="17"/>
      <c r="S130" s="17"/>
      <c r="T130" s="17"/>
      <c r="U130" s="12"/>
      <c r="V130" s="174"/>
      <c r="W130" s="14"/>
    </row>
    <row x14ac:dyDescent="0.25" r="131" customHeight="1" ht="20.25">
      <c r="A131" s="12"/>
      <c r="B131" s="15"/>
      <c r="C131" s="161"/>
      <c r="D131" s="14"/>
      <c r="E131" s="30"/>
      <c r="F131" s="14"/>
      <c r="G131" s="14"/>
      <c r="H131" s="14"/>
      <c r="I131" s="17"/>
      <c r="J131" s="17"/>
      <c r="K131" s="17"/>
      <c r="L131" s="17">
        <f>J131-K131</f>
      </c>
      <c r="M131" s="14"/>
      <c r="N131" s="14"/>
      <c r="O131" s="16"/>
      <c r="P131" s="191"/>
      <c r="Q131" s="16"/>
      <c r="R131" s="16"/>
      <c r="S131" s="17"/>
      <c r="T131" s="192"/>
      <c r="U131" s="193"/>
      <c r="V131" s="194"/>
      <c r="W131" s="14"/>
    </row>
    <row x14ac:dyDescent="0.25" r="132" customHeight="1" ht="20.25">
      <c r="A132" s="12"/>
      <c r="B132" s="15"/>
      <c r="C132" s="161"/>
      <c r="D132" s="14"/>
      <c r="E132" s="30"/>
      <c r="F132" s="14"/>
      <c r="G132" s="14"/>
      <c r="H132" s="14"/>
      <c r="I132" s="17"/>
      <c r="J132" s="17"/>
      <c r="K132" s="17"/>
      <c r="L132" s="17">
        <f>J132-K132</f>
      </c>
      <c r="M132" s="14"/>
      <c r="N132" s="14"/>
      <c r="O132" s="16"/>
      <c r="P132" s="16"/>
      <c r="Q132" s="16"/>
      <c r="R132" s="16"/>
      <c r="S132" s="17"/>
      <c r="T132" s="17"/>
      <c r="U132" s="195"/>
      <c r="V132" s="187"/>
      <c r="W132" s="14"/>
    </row>
    <row x14ac:dyDescent="0.25" r="133" customHeight="1" ht="20.25">
      <c r="A133" s="12"/>
      <c r="B133" s="15"/>
      <c r="C133" s="161"/>
      <c r="D133" s="14"/>
      <c r="E133" s="14"/>
      <c r="F133" s="14"/>
      <c r="G133" s="14"/>
      <c r="H133" s="14"/>
      <c r="I133" s="17"/>
      <c r="J133" s="17"/>
      <c r="K133" s="17"/>
      <c r="L133" s="17">
        <f>J133-K133</f>
      </c>
      <c r="M133" s="14"/>
      <c r="N133" s="14"/>
      <c r="O133" s="16"/>
      <c r="P133" s="17"/>
      <c r="Q133" s="29"/>
      <c r="R133" s="29"/>
      <c r="S133" s="29"/>
      <c r="T133" s="29"/>
      <c r="U133" s="1"/>
      <c r="V133" s="86"/>
      <c r="W133" s="3"/>
    </row>
    <row x14ac:dyDescent="0.25" r="134" customHeight="1" ht="20.25">
      <c r="A134" s="12"/>
      <c r="B134" s="15"/>
      <c r="C134" s="161"/>
      <c r="D134" s="14"/>
      <c r="E134" s="30"/>
      <c r="F134" s="14"/>
      <c r="G134" s="14"/>
      <c r="H134" s="14"/>
      <c r="I134" s="17"/>
      <c r="J134" s="17"/>
      <c r="K134" s="17"/>
      <c r="L134" s="17">
        <f>J134-K134</f>
      </c>
      <c r="M134" s="14"/>
      <c r="N134" s="14"/>
      <c r="O134" s="16"/>
      <c r="P134" s="17"/>
      <c r="Q134" s="17"/>
      <c r="R134" s="17"/>
      <c r="S134" s="17"/>
      <c r="T134" s="17"/>
      <c r="U134" s="12"/>
      <c r="V134" s="174"/>
      <c r="W134" s="14"/>
    </row>
    <row x14ac:dyDescent="0.25" r="135" customHeight="1" ht="20.25">
      <c r="A135" s="12"/>
      <c r="B135" s="15"/>
      <c r="C135" s="18"/>
      <c r="D135" s="14"/>
      <c r="E135" s="30"/>
      <c r="F135" s="14"/>
      <c r="G135" s="14"/>
      <c r="H135" s="14"/>
      <c r="I135" s="17"/>
      <c r="J135" s="17"/>
      <c r="K135" s="17"/>
      <c r="L135" s="17">
        <f>J135-K135</f>
      </c>
      <c r="M135" s="14"/>
      <c r="N135" s="14"/>
      <c r="O135" s="16"/>
      <c r="P135" s="17"/>
      <c r="Q135" s="17"/>
      <c r="R135" s="17"/>
      <c r="S135" s="17"/>
      <c r="T135" s="17"/>
      <c r="U135" s="12"/>
      <c r="V135" s="174"/>
      <c r="W135" s="14"/>
    </row>
    <row x14ac:dyDescent="0.25" r="136" customHeight="1" ht="20.25">
      <c r="A136" s="12"/>
      <c r="B136" s="15"/>
      <c r="C136" s="18"/>
      <c r="D136" s="14"/>
      <c r="E136" s="30"/>
      <c r="F136" s="14"/>
      <c r="G136" s="14"/>
      <c r="H136" s="14"/>
      <c r="I136" s="17"/>
      <c r="J136" s="17"/>
      <c r="K136" s="17"/>
      <c r="L136" s="17">
        <f>J136-K136</f>
      </c>
      <c r="M136" s="14"/>
      <c r="N136" s="14"/>
      <c r="O136" s="16"/>
      <c r="P136" s="17"/>
      <c r="Q136" s="17"/>
      <c r="R136" s="17"/>
      <c r="S136" s="17"/>
      <c r="T136" s="17"/>
      <c r="U136" s="12"/>
      <c r="V136" s="174"/>
      <c r="W136" s="14"/>
    </row>
    <row x14ac:dyDescent="0.25" r="137" customHeight="1" ht="20.25">
      <c r="A137" s="12"/>
      <c r="B137" s="15"/>
      <c r="C137" s="161"/>
      <c r="D137" s="14"/>
      <c r="E137" s="30"/>
      <c r="F137" s="14"/>
      <c r="G137" s="14"/>
      <c r="H137" s="14"/>
      <c r="I137" s="17"/>
      <c r="J137" s="17"/>
      <c r="K137" s="17"/>
      <c r="L137" s="17">
        <f>J137-K137</f>
      </c>
      <c r="M137" s="14"/>
      <c r="N137" s="14"/>
      <c r="O137" s="16"/>
      <c r="P137" s="17"/>
      <c r="Q137" s="17"/>
      <c r="R137" s="17"/>
      <c r="S137" s="17"/>
      <c r="T137" s="17"/>
      <c r="U137" s="12"/>
      <c r="V137" s="174"/>
      <c r="W137" s="14"/>
    </row>
    <row x14ac:dyDescent="0.25" r="138" customHeight="1" ht="20.25">
      <c r="A138" s="12"/>
      <c r="B138" s="15"/>
      <c r="C138" s="18"/>
      <c r="D138" s="14"/>
      <c r="E138" s="30"/>
      <c r="F138" s="14"/>
      <c r="G138" s="14"/>
      <c r="H138" s="14"/>
      <c r="I138" s="17"/>
      <c r="J138" s="17"/>
      <c r="K138" s="17"/>
      <c r="L138" s="17">
        <f>J138-K138</f>
      </c>
      <c r="M138" s="14"/>
      <c r="N138" s="14"/>
      <c r="O138" s="16"/>
      <c r="P138" s="17"/>
      <c r="Q138" s="17"/>
      <c r="R138" s="17"/>
      <c r="S138" s="17"/>
      <c r="T138" s="17"/>
      <c r="U138" s="12"/>
      <c r="V138" s="174"/>
      <c r="W138" s="14"/>
    </row>
    <row x14ac:dyDescent="0.25" r="139" customHeight="1" ht="20.25">
      <c r="A139" s="12"/>
      <c r="B139" s="15"/>
      <c r="C139" s="161"/>
      <c r="D139" s="14"/>
      <c r="E139" s="30"/>
      <c r="F139" s="14"/>
      <c r="G139" s="14"/>
      <c r="H139" s="14"/>
      <c r="I139" s="17"/>
      <c r="J139" s="17"/>
      <c r="K139" s="17"/>
      <c r="L139" s="17">
        <f>J139-K139</f>
      </c>
      <c r="M139" s="14"/>
      <c r="N139" s="14"/>
      <c r="O139" s="16"/>
      <c r="P139" s="17"/>
      <c r="Q139" s="17"/>
      <c r="R139" s="17"/>
      <c r="S139" s="17"/>
      <c r="T139" s="17"/>
      <c r="U139" s="12"/>
      <c r="V139" s="174"/>
      <c r="W139" s="14"/>
    </row>
    <row x14ac:dyDescent="0.25" r="140" customHeight="1" ht="20.25">
      <c r="A140" s="12"/>
      <c r="B140" s="15"/>
      <c r="C140" s="161"/>
      <c r="D140" s="14"/>
      <c r="E140" s="30"/>
      <c r="F140" s="14"/>
      <c r="G140" s="14"/>
      <c r="H140" s="14"/>
      <c r="I140" s="17"/>
      <c r="J140" s="17"/>
      <c r="K140" s="17"/>
      <c r="L140" s="17">
        <f>J140-K140</f>
      </c>
      <c r="M140" s="14"/>
      <c r="N140" s="14"/>
      <c r="O140" s="16"/>
      <c r="P140" s="17"/>
      <c r="Q140" s="17"/>
      <c r="R140" s="17"/>
      <c r="S140" s="17"/>
      <c r="T140" s="17"/>
      <c r="U140" s="12"/>
      <c r="V140" s="174"/>
      <c r="W140" s="14"/>
    </row>
    <row x14ac:dyDescent="0.25" r="141" customHeight="1" ht="20.25">
      <c r="A141" s="12"/>
      <c r="B141" s="15"/>
      <c r="C141" s="161"/>
      <c r="D141" s="14"/>
      <c r="E141" s="30"/>
      <c r="F141" s="14"/>
      <c r="G141" s="14"/>
      <c r="H141" s="14"/>
      <c r="I141" s="17"/>
      <c r="J141" s="17"/>
      <c r="K141" s="17"/>
      <c r="L141" s="17">
        <f>J141-K141</f>
      </c>
      <c r="M141" s="14"/>
      <c r="N141" s="14"/>
      <c r="O141" s="16"/>
      <c r="P141" s="17"/>
      <c r="Q141" s="17"/>
      <c r="R141" s="17"/>
      <c r="S141" s="17"/>
      <c r="T141" s="17"/>
      <c r="U141" s="12"/>
      <c r="V141" s="174"/>
      <c r="W141" s="14"/>
    </row>
    <row x14ac:dyDescent="0.25" r="142" customHeight="1" ht="20.25">
      <c r="A142" s="12"/>
      <c r="B142" s="15"/>
      <c r="C142" s="18"/>
      <c r="D142" s="14"/>
      <c r="E142" s="30"/>
      <c r="F142" s="14"/>
      <c r="G142" s="14"/>
      <c r="H142" s="14"/>
      <c r="I142" s="17"/>
      <c r="J142" s="17"/>
      <c r="K142" s="17"/>
      <c r="L142" s="17">
        <f>J142-K142</f>
      </c>
      <c r="M142" s="14"/>
      <c r="N142" s="14"/>
      <c r="O142" s="16"/>
      <c r="P142" s="17"/>
      <c r="Q142" s="17"/>
      <c r="R142" s="17"/>
      <c r="S142" s="17"/>
      <c r="T142" s="17"/>
      <c r="U142" s="12"/>
      <c r="V142" s="174"/>
      <c r="W142" s="14"/>
    </row>
    <row x14ac:dyDescent="0.25" r="143" customHeight="1" ht="20.25">
      <c r="A143" s="12"/>
      <c r="B143" s="15"/>
      <c r="C143" s="161"/>
      <c r="D143" s="14"/>
      <c r="E143" s="30"/>
      <c r="F143" s="14"/>
      <c r="G143" s="14"/>
      <c r="H143" s="14"/>
      <c r="I143" s="17"/>
      <c r="J143" s="17"/>
      <c r="K143" s="17"/>
      <c r="L143" s="17">
        <f>J143-K143</f>
      </c>
      <c r="M143" s="14"/>
      <c r="N143" s="14"/>
      <c r="O143" s="16"/>
      <c r="P143" s="17"/>
      <c r="Q143" s="17"/>
      <c r="R143" s="17"/>
      <c r="S143" s="17"/>
      <c r="T143" s="17"/>
      <c r="U143" s="12"/>
      <c r="V143" s="174"/>
      <c r="W143" s="14"/>
    </row>
    <row x14ac:dyDescent="0.25" r="144" customHeight="1" ht="20.25">
      <c r="A144" s="12"/>
      <c r="B144" s="15"/>
      <c r="C144" s="18"/>
      <c r="D144" s="14"/>
      <c r="E144" s="30"/>
      <c r="F144" s="14"/>
      <c r="G144" s="14"/>
      <c r="H144" s="14"/>
      <c r="I144" s="17"/>
      <c r="J144" s="17"/>
      <c r="K144" s="17"/>
      <c r="L144" s="17">
        <f>J144-K144</f>
      </c>
      <c r="M144" s="14"/>
      <c r="N144" s="14"/>
      <c r="O144" s="16"/>
      <c r="P144" s="17"/>
      <c r="Q144" s="17"/>
      <c r="R144" s="17"/>
      <c r="S144" s="17"/>
      <c r="T144" s="17"/>
      <c r="U144" s="12"/>
      <c r="V144" s="174"/>
      <c r="W144" s="14"/>
    </row>
    <row x14ac:dyDescent="0.25" r="145" customHeight="1" ht="20.25">
      <c r="A145" s="12"/>
      <c r="B145" s="15"/>
      <c r="C145" s="161"/>
      <c r="D145" s="14"/>
      <c r="E145" s="30"/>
      <c r="F145" s="14"/>
      <c r="G145" s="14"/>
      <c r="H145" s="14"/>
      <c r="I145" s="17"/>
      <c r="J145" s="17"/>
      <c r="K145" s="17"/>
      <c r="L145" s="17">
        <f>J145-K145</f>
      </c>
      <c r="M145" s="14"/>
      <c r="N145" s="14"/>
      <c r="O145" s="16"/>
      <c r="P145" s="17"/>
      <c r="Q145" s="17"/>
      <c r="R145" s="17"/>
      <c r="S145" s="17"/>
      <c r="T145" s="17"/>
      <c r="U145" s="12"/>
      <c r="V145" s="174"/>
      <c r="W145" s="14"/>
    </row>
    <row x14ac:dyDescent="0.25" r="146" customHeight="1" ht="20.25">
      <c r="A146" s="12"/>
      <c r="B146" s="15"/>
      <c r="C146" s="161"/>
      <c r="D146" s="14"/>
      <c r="E146" s="30"/>
      <c r="F146" s="14"/>
      <c r="G146" s="14"/>
      <c r="H146" s="14"/>
      <c r="I146" s="17"/>
      <c r="J146" s="17"/>
      <c r="K146" s="17"/>
      <c r="L146" s="17">
        <f>J146-K146</f>
      </c>
      <c r="M146" s="14"/>
      <c r="N146" s="14"/>
      <c r="O146" s="16"/>
      <c r="P146" s="17"/>
      <c r="Q146" s="17"/>
      <c r="R146" s="17"/>
      <c r="S146" s="17"/>
      <c r="T146" s="17"/>
      <c r="U146" s="12"/>
      <c r="V146" s="174"/>
      <c r="W146" s="14"/>
    </row>
    <row x14ac:dyDescent="0.25" r="147" customHeight="1" ht="20.25">
      <c r="A147" s="12"/>
      <c r="B147" s="15"/>
      <c r="C147" s="161"/>
      <c r="D147" s="14"/>
      <c r="E147" s="30"/>
      <c r="F147" s="14"/>
      <c r="G147" s="14"/>
      <c r="H147" s="14"/>
      <c r="I147" s="17"/>
      <c r="J147" s="17"/>
      <c r="K147" s="17"/>
      <c r="L147" s="17">
        <f>J147-K147</f>
      </c>
      <c r="M147" s="14"/>
      <c r="N147" s="14"/>
      <c r="O147" s="16"/>
      <c r="P147" s="17"/>
      <c r="Q147" s="17"/>
      <c r="R147" s="17"/>
      <c r="S147" s="17"/>
      <c r="T147" s="17"/>
      <c r="U147" s="12"/>
      <c r="V147" s="174"/>
      <c r="W147" s="14"/>
    </row>
    <row x14ac:dyDescent="0.25" r="148" customHeight="1" ht="20.25">
      <c r="A148" s="12"/>
      <c r="B148" s="15"/>
      <c r="C148" s="161"/>
      <c r="D148" s="14"/>
      <c r="E148" s="30"/>
      <c r="F148" s="14"/>
      <c r="G148" s="14"/>
      <c r="H148" s="14"/>
      <c r="I148" s="17"/>
      <c r="J148" s="17"/>
      <c r="K148" s="17"/>
      <c r="L148" s="17">
        <f>J148-K148</f>
      </c>
      <c r="M148" s="14"/>
      <c r="N148" s="14"/>
      <c r="O148" s="16"/>
      <c r="P148" s="17"/>
      <c r="Q148" s="17"/>
      <c r="R148" s="17"/>
      <c r="S148" s="17"/>
      <c r="T148" s="17"/>
      <c r="U148" s="12"/>
      <c r="V148" s="174"/>
      <c r="W148" s="14"/>
    </row>
    <row x14ac:dyDescent="0.25" r="149" customHeight="1" ht="20.25">
      <c r="A149" s="196" t="s">
        <v>743</v>
      </c>
      <c r="B149" s="197"/>
      <c r="C149" s="198"/>
      <c r="D149" s="197"/>
      <c r="E149" s="197"/>
      <c r="F149" s="197"/>
      <c r="G149" s="197"/>
      <c r="H149" s="199"/>
      <c r="I149" s="200">
        <f>SUM(I2:I148)</f>
      </c>
      <c r="J149" s="200">
        <f>SUM(J2:J148)</f>
      </c>
      <c r="K149" s="200">
        <f>SUM(K2:K148)</f>
      </c>
      <c r="L149" s="200">
        <f>SUM(L2:L148)</f>
      </c>
      <c r="M149" s="200"/>
      <c r="N149" s="200"/>
      <c r="O149" s="11">
        <f>SUM(O2:O148)</f>
      </c>
      <c r="P149" s="200"/>
      <c r="Q149" s="200"/>
      <c r="R149" s="200"/>
      <c r="S149" s="200"/>
      <c r="T149" s="200"/>
      <c r="U149" s="12"/>
      <c r="V149" s="201"/>
      <c r="W149" s="9"/>
    </row>
  </sheetData>
  <mergeCells count="5">
    <mergeCell ref="P131:P132"/>
    <mergeCell ref="T131:T132"/>
    <mergeCell ref="U131:U132"/>
    <mergeCell ref="V131:V132"/>
    <mergeCell ref="A149:H14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991"/>
  <sheetViews>
    <sheetView workbookViewId="0"/>
  </sheetViews>
  <sheetFormatPr defaultRowHeight="15" x14ac:dyDescent="0.25"/>
  <cols>
    <col min="1" max="1" style="20" width="10.576428571428572" customWidth="1" bestFit="1"/>
    <col min="2" max="2" style="36" width="4.719285714285714" customWidth="1" bestFit="1"/>
    <col min="3" max="3" style="21" width="14.290714285714287" customWidth="1" bestFit="1"/>
    <col min="4" max="4" style="36" width="14.862142857142858" customWidth="1" bestFit="1"/>
    <col min="5" max="5" style="36" width="13.290714285714287" customWidth="1" bestFit="1"/>
    <col min="6" max="6" style="36" width="16.005" customWidth="1" bestFit="1"/>
    <col min="7" max="7" style="36" width="46.29071428571429" customWidth="1" bestFit="1"/>
    <col min="8" max="8" style="36" width="7.862142857142857" customWidth="1" bestFit="1"/>
    <col min="9" max="9" style="24" width="17.290714285714284" customWidth="1" bestFit="1"/>
    <col min="10" max="10" style="21" width="13.576428571428572" customWidth="1" bestFit="1" hidden="1"/>
    <col min="11" max="11" style="170" width="13.576428571428572" customWidth="1" bestFit="1" hidden="1"/>
    <col min="12" max="12" style="24" width="18.290714285714284" customWidth="1" bestFit="1"/>
    <col min="13" max="13" style="24" width="16.719285714285714" customWidth="1" bestFit="1"/>
    <col min="14" max="14" style="24" width="16.290714285714284" customWidth="1" bestFit="1"/>
    <col min="15" max="15" style="36" width="8.147857142857141" customWidth="1" bestFit="1"/>
    <col min="16" max="16" style="36" width="19.862142857142857" customWidth="1" bestFit="1"/>
    <col min="17" max="17" style="21" width="11.862142857142858" customWidth="1" bestFit="1"/>
    <col min="18" max="18" style="36" width="10.290714285714287" customWidth="1" bestFit="1"/>
    <col min="19" max="19" style="36" width="10.43357142857143" customWidth="1" bestFit="1"/>
    <col min="20" max="20" style="36" width="10.147857142857141" customWidth="1" bestFit="1"/>
    <col min="21" max="21" style="21" width="11.43357142857143" customWidth="1" bestFit="1"/>
    <col min="22" max="22" style="21" width="11.43357142857143" customWidth="1" bestFit="1"/>
    <col min="23" max="23" style="21" width="11.43357142857143" customWidth="1" bestFit="1"/>
    <col min="24" max="24" style="36" width="11.43357142857143" customWidth="1" bestFit="1"/>
  </cols>
  <sheetData>
    <row x14ac:dyDescent="0.25" r="1" customHeight="1" ht="19.5">
      <c r="A1" s="25" t="s">
        <v>1</v>
      </c>
      <c r="B1" s="26" t="s">
        <v>504</v>
      </c>
      <c r="C1" s="152" t="s">
        <v>1200</v>
      </c>
      <c r="D1" s="26" t="s">
        <v>4</v>
      </c>
      <c r="E1" s="26" t="s">
        <v>5</v>
      </c>
      <c r="F1" s="26" t="s">
        <v>1201</v>
      </c>
      <c r="G1" s="26" t="s">
        <v>7</v>
      </c>
      <c r="H1" s="26" t="s">
        <v>8</v>
      </c>
      <c r="I1" s="91" t="s">
        <v>1202</v>
      </c>
      <c r="J1" s="152"/>
      <c r="K1" s="152"/>
      <c r="L1" s="91" t="s">
        <v>10</v>
      </c>
      <c r="M1" s="91" t="s">
        <v>11</v>
      </c>
      <c r="N1" s="91" t="s">
        <v>12</v>
      </c>
      <c r="O1" s="26" t="s">
        <v>1203</v>
      </c>
      <c r="P1" s="26" t="s">
        <v>1204</v>
      </c>
      <c r="Q1" s="152" t="s">
        <v>15</v>
      </c>
      <c r="R1" s="26" t="s">
        <v>1205</v>
      </c>
      <c r="S1" s="26" t="s">
        <v>1206</v>
      </c>
      <c r="T1" s="26" t="s">
        <v>1207</v>
      </c>
      <c r="U1" s="152"/>
      <c r="V1" s="152"/>
      <c r="W1" s="152"/>
      <c r="X1" s="34"/>
    </row>
    <row x14ac:dyDescent="0.25" r="2" customHeight="1" ht="15">
      <c r="A2" s="153">
        <v>45962</v>
      </c>
      <c r="B2" s="154" t="s">
        <v>82</v>
      </c>
      <c r="C2" s="155" t="s">
        <v>1208</v>
      </c>
      <c r="D2" s="156" t="s">
        <v>83</v>
      </c>
      <c r="E2" s="156" t="s">
        <v>1209</v>
      </c>
      <c r="F2" s="156" t="s">
        <v>1210</v>
      </c>
      <c r="G2" s="156" t="s">
        <v>1211</v>
      </c>
      <c r="H2" s="156" t="s">
        <v>26</v>
      </c>
      <c r="I2" s="157"/>
      <c r="J2" s="157"/>
      <c r="K2" s="157">
        <v>26000</v>
      </c>
      <c r="L2" s="157"/>
      <c r="M2" s="158">
        <v>25500</v>
      </c>
      <c r="N2" s="158">
        <v>-25500</v>
      </c>
      <c r="O2" s="154" t="s">
        <v>43</v>
      </c>
      <c r="P2" s="156" t="s">
        <v>1212</v>
      </c>
      <c r="Q2" s="155" t="s">
        <v>1213</v>
      </c>
      <c r="R2" s="157"/>
      <c r="S2" s="157"/>
      <c r="T2" s="157"/>
      <c r="U2" s="159"/>
      <c r="V2" s="160"/>
      <c r="W2" s="155"/>
      <c r="X2" s="34"/>
    </row>
    <row x14ac:dyDescent="0.25" r="3" customHeight="1" ht="18.75">
      <c r="A3" s="12">
        <v>45962</v>
      </c>
      <c r="B3" s="14" t="s">
        <v>123</v>
      </c>
      <c r="C3" s="161" t="s">
        <v>1214</v>
      </c>
      <c r="D3" s="14" t="s">
        <v>232</v>
      </c>
      <c r="E3" s="14" t="s">
        <v>1215</v>
      </c>
      <c r="F3" s="14" t="s">
        <v>135</v>
      </c>
      <c r="G3" s="14" t="s">
        <v>1216</v>
      </c>
      <c r="H3" s="14" t="s">
        <v>26</v>
      </c>
      <c r="I3" s="16">
        <v>448700</v>
      </c>
      <c r="J3" s="161"/>
      <c r="K3" s="161"/>
      <c r="L3" s="16">
        <v>911920</v>
      </c>
      <c r="M3" s="16">
        <v>786920</v>
      </c>
      <c r="N3" s="16">
        <f>L3-M3</f>
      </c>
      <c r="O3" s="14" t="s">
        <v>50</v>
      </c>
      <c r="P3" s="14" t="s">
        <v>1217</v>
      </c>
      <c r="Q3" s="161">
        <v>4</v>
      </c>
      <c r="R3" s="161"/>
      <c r="S3" s="161"/>
      <c r="T3" s="161"/>
      <c r="U3" s="161"/>
      <c r="V3" s="161"/>
      <c r="W3" s="161"/>
      <c r="X3" s="34"/>
    </row>
    <row x14ac:dyDescent="0.25" r="4" customHeight="1" ht="18.75">
      <c r="A4" s="12">
        <v>45962</v>
      </c>
      <c r="B4" s="14" t="s">
        <v>123</v>
      </c>
      <c r="C4" s="161" t="s">
        <v>1214</v>
      </c>
      <c r="D4" s="14" t="s">
        <v>232</v>
      </c>
      <c r="E4" s="14" t="s">
        <v>1215</v>
      </c>
      <c r="F4" s="14" t="s">
        <v>135</v>
      </c>
      <c r="G4" s="14" t="s">
        <v>1218</v>
      </c>
      <c r="H4" s="14" t="s">
        <v>26</v>
      </c>
      <c r="I4" s="16">
        <v>448700</v>
      </c>
      <c r="J4" s="161"/>
      <c r="K4" s="161"/>
      <c r="L4" s="16">
        <v>911920</v>
      </c>
      <c r="M4" s="16">
        <v>786920</v>
      </c>
      <c r="N4" s="16">
        <f>L4-M4</f>
      </c>
      <c r="O4" s="14" t="s">
        <v>50</v>
      </c>
      <c r="P4" s="14" t="s">
        <v>1219</v>
      </c>
      <c r="Q4" s="161">
        <v>4</v>
      </c>
      <c r="R4" s="161"/>
      <c r="S4" s="161"/>
      <c r="T4" s="161"/>
      <c r="U4" s="161"/>
      <c r="V4" s="161"/>
      <c r="W4" s="161"/>
      <c r="X4" s="34"/>
    </row>
    <row x14ac:dyDescent="0.25" r="5" customHeight="1" ht="18.75">
      <c r="A5" s="12">
        <v>45963</v>
      </c>
      <c r="B5" s="14" t="s">
        <v>72</v>
      </c>
      <c r="C5" s="162">
        <v>45966</v>
      </c>
      <c r="D5" s="14" t="s">
        <v>1220</v>
      </c>
      <c r="E5" s="14" t="s">
        <v>1221</v>
      </c>
      <c r="F5" s="14" t="s">
        <v>1222</v>
      </c>
      <c r="G5" s="14" t="s">
        <v>1223</v>
      </c>
      <c r="H5" s="14" t="s">
        <v>1224</v>
      </c>
      <c r="I5" s="16">
        <v>202100</v>
      </c>
      <c r="J5" s="161"/>
      <c r="K5" s="161"/>
      <c r="L5" s="16">
        <v>448720</v>
      </c>
      <c r="M5" s="16">
        <v>433720</v>
      </c>
      <c r="N5" s="16">
        <f>L5-M5</f>
      </c>
      <c r="O5" s="14" t="s">
        <v>50</v>
      </c>
      <c r="P5" s="14" t="s">
        <v>1225</v>
      </c>
      <c r="Q5" s="161">
        <v>2</v>
      </c>
      <c r="R5" s="161"/>
      <c r="S5" s="161"/>
      <c r="T5" s="161"/>
      <c r="U5" s="161"/>
      <c r="V5" s="161"/>
      <c r="W5" s="161"/>
      <c r="X5" s="34"/>
    </row>
    <row x14ac:dyDescent="0.25" r="6" customHeight="1" ht="18.75">
      <c r="A6" s="12">
        <v>45963</v>
      </c>
      <c r="B6" s="14" t="s">
        <v>72</v>
      </c>
      <c r="C6" s="162">
        <v>45966</v>
      </c>
      <c r="D6" s="14" t="s">
        <v>1220</v>
      </c>
      <c r="E6" s="14" t="s">
        <v>1221</v>
      </c>
      <c r="F6" s="14" t="s">
        <v>1226</v>
      </c>
      <c r="G6" s="14" t="s">
        <v>1227</v>
      </c>
      <c r="H6" s="14" t="s">
        <v>1224</v>
      </c>
      <c r="I6" s="16">
        <v>202100</v>
      </c>
      <c r="J6" s="161"/>
      <c r="K6" s="161"/>
      <c r="L6" s="16">
        <v>448720</v>
      </c>
      <c r="M6" s="16">
        <v>433720</v>
      </c>
      <c r="N6" s="16">
        <f>L6-M6</f>
      </c>
      <c r="O6" s="14" t="s">
        <v>50</v>
      </c>
      <c r="P6" s="14" t="s">
        <v>1228</v>
      </c>
      <c r="Q6" s="161">
        <v>2</v>
      </c>
      <c r="R6" s="161"/>
      <c r="S6" s="161"/>
      <c r="T6" s="161"/>
      <c r="U6" s="161"/>
      <c r="V6" s="161"/>
      <c r="W6" s="161"/>
      <c r="X6" s="34"/>
    </row>
    <row x14ac:dyDescent="0.25" r="7" customHeight="1" ht="18.75">
      <c r="A7" s="12">
        <v>45963</v>
      </c>
      <c r="B7" s="14" t="s">
        <v>46</v>
      </c>
      <c r="C7" s="161" t="s">
        <v>1229</v>
      </c>
      <c r="D7" s="14" t="s">
        <v>1230</v>
      </c>
      <c r="E7" s="14" t="s">
        <v>1231</v>
      </c>
      <c r="F7" s="14" t="s">
        <v>768</v>
      </c>
      <c r="G7" s="14" t="s">
        <v>773</v>
      </c>
      <c r="H7" s="14" t="s">
        <v>26</v>
      </c>
      <c r="I7" s="16">
        <v>3777100</v>
      </c>
      <c r="J7" s="161"/>
      <c r="K7" s="161"/>
      <c r="L7" s="16">
        <v>5594705</v>
      </c>
      <c r="M7" s="16">
        <v>4179400</v>
      </c>
      <c r="N7" s="16">
        <f>L7-M7</f>
      </c>
      <c r="O7" s="14" t="s">
        <v>43</v>
      </c>
      <c r="P7" s="14" t="s">
        <v>1232</v>
      </c>
      <c r="Q7" s="161"/>
      <c r="R7" s="161"/>
      <c r="S7" s="161"/>
      <c r="T7" s="161"/>
      <c r="U7" s="161"/>
      <c r="V7" s="161"/>
      <c r="W7" s="161"/>
      <c r="X7" s="34"/>
    </row>
    <row x14ac:dyDescent="0.25" r="8" customHeight="1" ht="18.75">
      <c r="A8" s="12">
        <v>45964</v>
      </c>
      <c r="B8" s="14" t="s">
        <v>66</v>
      </c>
      <c r="C8" s="161" t="s">
        <v>1233</v>
      </c>
      <c r="D8" s="14" t="s">
        <v>166</v>
      </c>
      <c r="E8" s="14" t="s">
        <v>1234</v>
      </c>
      <c r="F8" s="14" t="s">
        <v>41</v>
      </c>
      <c r="G8" s="14" t="s">
        <v>1235</v>
      </c>
      <c r="H8" s="14" t="s">
        <v>26</v>
      </c>
      <c r="I8" s="16"/>
      <c r="J8" s="161"/>
      <c r="K8" s="161"/>
      <c r="L8" s="16">
        <v>1589700</v>
      </c>
      <c r="M8" s="16">
        <v>1445920</v>
      </c>
      <c r="N8" s="16">
        <f>L8-M8</f>
      </c>
      <c r="O8" s="14" t="s">
        <v>43</v>
      </c>
      <c r="P8" s="14" t="s">
        <v>1236</v>
      </c>
      <c r="Q8" s="161"/>
      <c r="R8" s="161"/>
      <c r="S8" s="161"/>
      <c r="T8" s="161"/>
      <c r="U8" s="161"/>
      <c r="V8" s="161"/>
      <c r="W8" s="161"/>
      <c r="X8" s="34"/>
    </row>
    <row x14ac:dyDescent="0.25" r="9" customHeight="1" ht="18.75">
      <c r="A9" s="163">
        <v>45964</v>
      </c>
      <c r="B9" s="30" t="s">
        <v>106</v>
      </c>
      <c r="C9" s="13" t="s">
        <v>1237</v>
      </c>
      <c r="D9" s="30" t="s">
        <v>1238</v>
      </c>
      <c r="E9" s="30" t="s">
        <v>1239</v>
      </c>
      <c r="F9" s="30" t="s">
        <v>1240</v>
      </c>
      <c r="G9" s="30" t="s">
        <v>1241</v>
      </c>
      <c r="H9" s="30" t="s">
        <v>26</v>
      </c>
      <c r="I9" s="164"/>
      <c r="J9" s="132"/>
      <c r="K9" s="132"/>
      <c r="L9" s="164">
        <v>481020</v>
      </c>
      <c r="M9" s="164">
        <v>431020</v>
      </c>
      <c r="N9" s="164">
        <f>L9-M9</f>
      </c>
      <c r="O9" s="30" t="s">
        <v>43</v>
      </c>
      <c r="P9" s="30" t="s">
        <v>1242</v>
      </c>
      <c r="Q9" s="13"/>
      <c r="R9" s="13"/>
      <c r="S9" s="13"/>
      <c r="T9" s="13"/>
      <c r="U9" s="13"/>
      <c r="V9" s="13"/>
      <c r="W9" s="13"/>
      <c r="X9" s="34"/>
    </row>
    <row x14ac:dyDescent="0.25" r="10" customHeight="1" ht="18.75">
      <c r="A10" s="55">
        <v>45964</v>
      </c>
      <c r="B10" s="56" t="s">
        <v>1243</v>
      </c>
      <c r="C10" s="132" t="s">
        <v>1244</v>
      </c>
      <c r="D10" s="56" t="s">
        <v>752</v>
      </c>
      <c r="E10" s="56" t="s">
        <v>1245</v>
      </c>
      <c r="F10" s="56" t="s">
        <v>1246</v>
      </c>
      <c r="G10" s="56" t="s">
        <v>1247</v>
      </c>
      <c r="H10" s="56" t="s">
        <v>26</v>
      </c>
      <c r="I10" s="158" t="s">
        <v>1248</v>
      </c>
      <c r="J10" s="132"/>
      <c r="K10" s="132"/>
      <c r="L10" s="158"/>
      <c r="M10" s="158">
        <v>38600</v>
      </c>
      <c r="N10" s="158">
        <f>L10-M10</f>
      </c>
      <c r="O10" s="156" t="s">
        <v>43</v>
      </c>
      <c r="P10" s="156" t="s">
        <v>1249</v>
      </c>
      <c r="Q10" s="155" t="s">
        <v>1250</v>
      </c>
      <c r="R10" s="132"/>
      <c r="S10" s="132"/>
      <c r="T10" s="132"/>
      <c r="U10" s="132"/>
      <c r="V10" s="132"/>
      <c r="W10" s="132"/>
      <c r="X10" s="34"/>
    </row>
    <row x14ac:dyDescent="0.25" r="11" customHeight="1" ht="18.75">
      <c r="A11" s="163">
        <v>45965</v>
      </c>
      <c r="B11" s="30" t="s">
        <v>111</v>
      </c>
      <c r="C11" s="13" t="s">
        <v>1251</v>
      </c>
      <c r="D11" s="30" t="s">
        <v>112</v>
      </c>
      <c r="E11" s="30" t="s">
        <v>1252</v>
      </c>
      <c r="F11" s="30" t="s">
        <v>90</v>
      </c>
      <c r="G11" s="30" t="s">
        <v>91</v>
      </c>
      <c r="H11" s="30" t="s">
        <v>26</v>
      </c>
      <c r="I11" s="164"/>
      <c r="J11" s="13"/>
      <c r="K11" s="13"/>
      <c r="L11" s="164">
        <v>1066900</v>
      </c>
      <c r="M11" s="164">
        <v>966005</v>
      </c>
      <c r="N11" s="164">
        <f>L11-M11</f>
      </c>
      <c r="O11" s="30" t="s">
        <v>50</v>
      </c>
      <c r="P11" s="30" t="s">
        <v>1253</v>
      </c>
      <c r="Q11" s="13">
        <v>2</v>
      </c>
      <c r="R11" s="13"/>
      <c r="S11" s="13"/>
      <c r="T11" s="13"/>
      <c r="U11" s="13"/>
      <c r="V11" s="13"/>
      <c r="W11" s="13"/>
      <c r="X11" s="34"/>
    </row>
    <row x14ac:dyDescent="0.25" r="12" customHeight="1" ht="18.75">
      <c r="A12" s="12">
        <v>45965</v>
      </c>
      <c r="B12" s="14" t="s">
        <v>1243</v>
      </c>
      <c r="C12" s="161" t="s">
        <v>1254</v>
      </c>
      <c r="D12" s="14" t="s">
        <v>752</v>
      </c>
      <c r="E12" s="14" t="s">
        <v>1255</v>
      </c>
      <c r="F12" s="14" t="s">
        <v>1256</v>
      </c>
      <c r="G12" s="14" t="s">
        <v>1257</v>
      </c>
      <c r="H12" s="14" t="s">
        <v>1258</v>
      </c>
      <c r="I12" s="16"/>
      <c r="J12" s="161"/>
      <c r="K12" s="161"/>
      <c r="L12" s="16">
        <v>770620</v>
      </c>
      <c r="M12" s="16">
        <v>753620</v>
      </c>
      <c r="N12" s="16">
        <f>L12-M12</f>
      </c>
      <c r="O12" s="14" t="s">
        <v>43</v>
      </c>
      <c r="P12" s="14" t="s">
        <v>1259</v>
      </c>
      <c r="Q12" s="161">
        <v>4</v>
      </c>
      <c r="R12" s="161"/>
      <c r="S12" s="161"/>
      <c r="T12" s="161"/>
      <c r="U12" s="161"/>
      <c r="V12" s="161"/>
      <c r="W12" s="161"/>
      <c r="X12" s="34"/>
    </row>
    <row x14ac:dyDescent="0.25" r="13" customHeight="1" ht="18.75">
      <c r="A13" s="12">
        <v>45965</v>
      </c>
      <c r="B13" s="14" t="s">
        <v>66</v>
      </c>
      <c r="C13" s="161" t="s">
        <v>1260</v>
      </c>
      <c r="D13" s="14" t="s">
        <v>1261</v>
      </c>
      <c r="E13" s="14" t="s">
        <v>1262</v>
      </c>
      <c r="F13" s="14" t="s">
        <v>1263</v>
      </c>
      <c r="G13" s="14" t="s">
        <v>1264</v>
      </c>
      <c r="H13" s="14" t="s">
        <v>26</v>
      </c>
      <c r="I13" s="16"/>
      <c r="J13" s="161"/>
      <c r="K13" s="161"/>
      <c r="L13" s="16">
        <v>571120</v>
      </c>
      <c r="M13" s="16">
        <v>501120</v>
      </c>
      <c r="N13" s="16">
        <f>L13-M13</f>
      </c>
      <c r="O13" s="14" t="s">
        <v>50</v>
      </c>
      <c r="P13" s="14" t="s">
        <v>1265</v>
      </c>
      <c r="Q13" s="161">
        <v>4</v>
      </c>
      <c r="R13" s="161"/>
      <c r="S13" s="161"/>
      <c r="T13" s="161"/>
      <c r="U13" s="161"/>
      <c r="V13" s="161"/>
      <c r="W13" s="161"/>
      <c r="X13" s="34"/>
    </row>
    <row x14ac:dyDescent="0.25" r="14" customHeight="1" ht="18.75">
      <c r="A14" s="12">
        <v>45966</v>
      </c>
      <c r="B14" s="14" t="s">
        <v>111</v>
      </c>
      <c r="C14" s="161" t="s">
        <v>1266</v>
      </c>
      <c r="D14" s="14" t="s">
        <v>1267</v>
      </c>
      <c r="E14" s="14" t="s">
        <v>1268</v>
      </c>
      <c r="F14" s="14" t="s">
        <v>158</v>
      </c>
      <c r="G14" s="14" t="s">
        <v>1269</v>
      </c>
      <c r="H14" s="14" t="s">
        <v>26</v>
      </c>
      <c r="I14" s="16"/>
      <c r="J14" s="161"/>
      <c r="K14" s="161"/>
      <c r="L14" s="16">
        <v>457900</v>
      </c>
      <c r="M14" s="16">
        <v>427420</v>
      </c>
      <c r="N14" s="16">
        <f>L14-M14</f>
      </c>
      <c r="O14" s="14" t="s">
        <v>50</v>
      </c>
      <c r="P14" s="14" t="s">
        <v>1270</v>
      </c>
      <c r="Q14" s="161">
        <v>2</v>
      </c>
      <c r="R14" s="161"/>
      <c r="S14" s="161"/>
      <c r="T14" s="161"/>
      <c r="U14" s="161"/>
      <c r="V14" s="161"/>
      <c r="W14" s="161"/>
      <c r="X14" s="34"/>
    </row>
    <row x14ac:dyDescent="0.25" r="15" customHeight="1" ht="18.75">
      <c r="A15" s="12">
        <v>45966</v>
      </c>
      <c r="B15" s="14" t="s">
        <v>111</v>
      </c>
      <c r="C15" s="161" t="s">
        <v>1266</v>
      </c>
      <c r="D15" s="14" t="s">
        <v>1267</v>
      </c>
      <c r="E15" s="14" t="s">
        <v>1268</v>
      </c>
      <c r="F15" s="14" t="s">
        <v>158</v>
      </c>
      <c r="G15" s="14" t="s">
        <v>1271</v>
      </c>
      <c r="H15" s="14" t="s">
        <v>26</v>
      </c>
      <c r="I15" s="16"/>
      <c r="J15" s="161"/>
      <c r="K15" s="161"/>
      <c r="L15" s="16">
        <v>457900</v>
      </c>
      <c r="M15" s="16">
        <v>427420</v>
      </c>
      <c r="N15" s="16">
        <f>L15-M15</f>
      </c>
      <c r="O15" s="14" t="s">
        <v>50</v>
      </c>
      <c r="P15" s="14" t="s">
        <v>1272</v>
      </c>
      <c r="Q15" s="161">
        <v>2</v>
      </c>
      <c r="R15" s="161"/>
      <c r="S15" s="161"/>
      <c r="T15" s="161"/>
      <c r="U15" s="161"/>
      <c r="V15" s="161"/>
      <c r="W15" s="161"/>
      <c r="X15" s="34"/>
    </row>
    <row x14ac:dyDescent="0.25" r="16" customHeight="1" ht="18.75">
      <c r="A16" s="12">
        <v>45966</v>
      </c>
      <c r="B16" s="14" t="s">
        <v>111</v>
      </c>
      <c r="C16" s="161" t="s">
        <v>1266</v>
      </c>
      <c r="D16" s="14" t="s">
        <v>1267</v>
      </c>
      <c r="E16" s="14" t="s">
        <v>1268</v>
      </c>
      <c r="F16" s="14" t="s">
        <v>158</v>
      </c>
      <c r="G16" s="14" t="s">
        <v>392</v>
      </c>
      <c r="H16" s="14" t="s">
        <v>26</v>
      </c>
      <c r="I16" s="16"/>
      <c r="J16" s="161"/>
      <c r="K16" s="161"/>
      <c r="L16" s="16">
        <v>549520</v>
      </c>
      <c r="M16" s="16">
        <v>427420</v>
      </c>
      <c r="N16" s="16">
        <f>L16-M16</f>
      </c>
      <c r="O16" s="14" t="s">
        <v>50</v>
      </c>
      <c r="P16" s="14" t="s">
        <v>1273</v>
      </c>
      <c r="Q16" s="161">
        <v>2</v>
      </c>
      <c r="R16" s="161"/>
      <c r="S16" s="161"/>
      <c r="T16" s="161"/>
      <c r="U16" s="161"/>
      <c r="V16" s="161"/>
      <c r="W16" s="161"/>
      <c r="X16" s="34"/>
    </row>
    <row x14ac:dyDescent="0.25" r="17" customHeight="1" ht="18.75">
      <c r="A17" s="12">
        <v>45966</v>
      </c>
      <c r="B17" s="14" t="s">
        <v>111</v>
      </c>
      <c r="C17" s="161" t="s">
        <v>1266</v>
      </c>
      <c r="D17" s="14" t="s">
        <v>1267</v>
      </c>
      <c r="E17" s="14" t="s">
        <v>1268</v>
      </c>
      <c r="F17" s="14" t="s">
        <v>158</v>
      </c>
      <c r="G17" s="14" t="s">
        <v>1274</v>
      </c>
      <c r="H17" s="14" t="s">
        <v>26</v>
      </c>
      <c r="I17" s="16"/>
      <c r="J17" s="161"/>
      <c r="K17" s="161"/>
      <c r="L17" s="16">
        <v>549520</v>
      </c>
      <c r="M17" s="16">
        <v>427420</v>
      </c>
      <c r="N17" s="16">
        <f>L17-M17</f>
      </c>
      <c r="O17" s="14" t="s">
        <v>50</v>
      </c>
      <c r="P17" s="14" t="s">
        <v>1275</v>
      </c>
      <c r="Q17" s="161">
        <v>2</v>
      </c>
      <c r="R17" s="161"/>
      <c r="S17" s="161"/>
      <c r="T17" s="161"/>
      <c r="U17" s="161"/>
      <c r="V17" s="161"/>
      <c r="W17" s="161"/>
      <c r="X17" s="34"/>
    </row>
    <row x14ac:dyDescent="0.25" r="18" customHeight="1" ht="18.75">
      <c r="A18" s="12">
        <v>45966</v>
      </c>
      <c r="B18" s="14" t="s">
        <v>72</v>
      </c>
      <c r="C18" s="161" t="s">
        <v>1276</v>
      </c>
      <c r="D18" s="14" t="s">
        <v>1277</v>
      </c>
      <c r="E18" s="14" t="s">
        <v>1278</v>
      </c>
      <c r="F18" s="14" t="s">
        <v>1279</v>
      </c>
      <c r="G18" s="14" t="s">
        <v>1280</v>
      </c>
      <c r="H18" s="14" t="s">
        <v>1281</v>
      </c>
      <c r="I18" s="16"/>
      <c r="J18" s="161"/>
      <c r="K18" s="161"/>
      <c r="L18" s="16">
        <v>179600</v>
      </c>
      <c r="M18" s="16">
        <v>118700</v>
      </c>
      <c r="N18" s="16">
        <f>L18-M18</f>
      </c>
      <c r="O18" s="14" t="s">
        <v>72</v>
      </c>
      <c r="P18" s="14" t="s">
        <v>1282</v>
      </c>
      <c r="Q18" s="161" t="s">
        <v>33</v>
      </c>
      <c r="R18" s="161"/>
      <c r="S18" s="161"/>
      <c r="T18" s="161"/>
      <c r="U18" s="161"/>
      <c r="V18" s="161"/>
      <c r="W18" s="161"/>
      <c r="X18" s="34"/>
    </row>
    <row x14ac:dyDescent="0.25" r="19" customHeight="1" ht="18.75">
      <c r="A19" s="12">
        <v>45966</v>
      </c>
      <c r="B19" s="14" t="s">
        <v>72</v>
      </c>
      <c r="C19" s="161" t="s">
        <v>1283</v>
      </c>
      <c r="D19" s="14" t="s">
        <v>1284</v>
      </c>
      <c r="E19" s="14" t="s">
        <v>1285</v>
      </c>
      <c r="F19" s="14" t="s">
        <v>1286</v>
      </c>
      <c r="G19" s="14" t="s">
        <v>1100</v>
      </c>
      <c r="H19" s="14" t="s">
        <v>26</v>
      </c>
      <c r="I19" s="16"/>
      <c r="J19" s="161"/>
      <c r="K19" s="161"/>
      <c r="L19" s="16">
        <v>985520</v>
      </c>
      <c r="M19" s="16">
        <v>838520</v>
      </c>
      <c r="N19" s="16">
        <f>L19-M19</f>
      </c>
      <c r="O19" s="14" t="s">
        <v>50</v>
      </c>
      <c r="P19" s="14" t="s">
        <v>1287</v>
      </c>
      <c r="Q19" s="161">
        <v>4</v>
      </c>
      <c r="R19" s="161"/>
      <c r="S19" s="161"/>
      <c r="T19" s="161"/>
      <c r="U19" s="161"/>
      <c r="V19" s="161"/>
      <c r="W19" s="161"/>
      <c r="X19" s="34"/>
    </row>
    <row x14ac:dyDescent="0.25" r="20" customHeight="1" ht="18.75">
      <c r="A20" s="12">
        <v>45966</v>
      </c>
      <c r="B20" s="14" t="s">
        <v>72</v>
      </c>
      <c r="C20" s="161" t="s">
        <v>1283</v>
      </c>
      <c r="D20" s="14" t="s">
        <v>1284</v>
      </c>
      <c r="E20" s="14" t="s">
        <v>1288</v>
      </c>
      <c r="F20" s="14" t="s">
        <v>1289</v>
      </c>
      <c r="G20" s="14" t="s">
        <v>1094</v>
      </c>
      <c r="H20" s="14" t="s">
        <v>26</v>
      </c>
      <c r="I20" s="16"/>
      <c r="J20" s="161"/>
      <c r="K20" s="161"/>
      <c r="L20" s="16">
        <v>985520</v>
      </c>
      <c r="M20" s="16">
        <v>838520</v>
      </c>
      <c r="N20" s="16">
        <f>L20-M20</f>
      </c>
      <c r="O20" s="14" t="s">
        <v>50</v>
      </c>
      <c r="P20" s="14" t="s">
        <v>1290</v>
      </c>
      <c r="Q20" s="161">
        <v>4</v>
      </c>
      <c r="R20" s="161"/>
      <c r="S20" s="161"/>
      <c r="T20" s="161"/>
      <c r="U20" s="161"/>
      <c r="V20" s="161"/>
      <c r="W20" s="161"/>
      <c r="X20" s="34"/>
    </row>
    <row x14ac:dyDescent="0.25" r="21" customHeight="1" ht="18.75">
      <c r="A21" s="12">
        <v>45966</v>
      </c>
      <c r="B21" s="14" t="s">
        <v>72</v>
      </c>
      <c r="C21" s="161" t="s">
        <v>1283</v>
      </c>
      <c r="D21" s="14" t="s">
        <v>1284</v>
      </c>
      <c r="E21" s="14" t="s">
        <v>1291</v>
      </c>
      <c r="F21" s="14" t="s">
        <v>1292</v>
      </c>
      <c r="G21" s="14" t="s">
        <v>1293</v>
      </c>
      <c r="H21" s="14" t="s">
        <v>26</v>
      </c>
      <c r="I21" s="16"/>
      <c r="J21" s="161"/>
      <c r="K21" s="161"/>
      <c r="L21" s="16">
        <v>985520</v>
      </c>
      <c r="M21" s="16">
        <v>838520</v>
      </c>
      <c r="N21" s="16">
        <f>L21-M21</f>
      </c>
      <c r="O21" s="14" t="s">
        <v>50</v>
      </c>
      <c r="P21" s="14" t="s">
        <v>1294</v>
      </c>
      <c r="Q21" s="161">
        <v>4</v>
      </c>
      <c r="R21" s="161"/>
      <c r="S21" s="161"/>
      <c r="T21" s="161"/>
      <c r="U21" s="161"/>
      <c r="V21" s="161"/>
      <c r="W21" s="161"/>
      <c r="X21" s="34"/>
    </row>
    <row x14ac:dyDescent="0.25" r="22" customHeight="1" ht="15.75">
      <c r="A22" s="12">
        <v>45967</v>
      </c>
      <c r="B22" s="14" t="s">
        <v>53</v>
      </c>
      <c r="C22" s="162">
        <v>45968</v>
      </c>
      <c r="D22" s="14" t="s">
        <v>313</v>
      </c>
      <c r="E22" s="14" t="s">
        <v>1295</v>
      </c>
      <c r="F22" s="14" t="s">
        <v>24</v>
      </c>
      <c r="G22" s="14" t="s">
        <v>1296</v>
      </c>
      <c r="H22" s="14" t="s">
        <v>26</v>
      </c>
      <c r="I22" s="16"/>
      <c r="J22" s="161"/>
      <c r="K22" s="161"/>
      <c r="L22" s="16">
        <v>1686800</v>
      </c>
      <c r="M22" s="16">
        <v>1586220</v>
      </c>
      <c r="N22" s="16">
        <f>L22-M22</f>
      </c>
      <c r="O22" s="14" t="s">
        <v>36</v>
      </c>
      <c r="P22" s="14" t="s">
        <v>1297</v>
      </c>
      <c r="Q22" s="161"/>
      <c r="R22" s="161"/>
      <c r="S22" s="161"/>
      <c r="T22" s="161"/>
      <c r="U22" s="161"/>
      <c r="V22" s="161"/>
      <c r="W22" s="161"/>
      <c r="X22" s="34"/>
    </row>
    <row x14ac:dyDescent="0.25" r="23" customHeight="1" ht="15.75">
      <c r="A23" s="12">
        <v>45967</v>
      </c>
      <c r="B23" s="14" t="s">
        <v>82</v>
      </c>
      <c r="C23" s="161" t="s">
        <v>1298</v>
      </c>
      <c r="D23" s="14" t="s">
        <v>83</v>
      </c>
      <c r="E23" s="14" t="s">
        <v>1299</v>
      </c>
      <c r="F23" s="14" t="s">
        <v>135</v>
      </c>
      <c r="G23" s="14" t="s">
        <v>1300</v>
      </c>
      <c r="H23" s="14" t="s">
        <v>26</v>
      </c>
      <c r="I23" s="16"/>
      <c r="J23" s="161"/>
      <c r="K23" s="161"/>
      <c r="L23" s="16">
        <v>104500</v>
      </c>
      <c r="M23" s="16">
        <v>94340</v>
      </c>
      <c r="N23" s="16">
        <f>L23-M23</f>
      </c>
      <c r="O23" s="14" t="s">
        <v>43</v>
      </c>
      <c r="P23" s="14" t="s">
        <v>1301</v>
      </c>
      <c r="Q23" s="161"/>
      <c r="R23" s="161"/>
      <c r="S23" s="161"/>
      <c r="T23" s="161"/>
      <c r="U23" s="161"/>
      <c r="V23" s="161"/>
      <c r="W23" s="161"/>
      <c r="X23" s="34"/>
    </row>
    <row x14ac:dyDescent="0.25" r="24" customHeight="1" ht="15.75">
      <c r="A24" s="12">
        <v>45967</v>
      </c>
      <c r="B24" s="14" t="s">
        <v>72</v>
      </c>
      <c r="C24" s="161" t="s">
        <v>1302</v>
      </c>
      <c r="D24" s="14" t="s">
        <v>156</v>
      </c>
      <c r="E24" s="30" t="s">
        <v>1303</v>
      </c>
      <c r="F24" s="14" t="s">
        <v>1304</v>
      </c>
      <c r="G24" s="14" t="s">
        <v>1305</v>
      </c>
      <c r="H24" s="14" t="s">
        <v>26</v>
      </c>
      <c r="I24" s="16"/>
      <c r="J24" s="161"/>
      <c r="K24" s="161"/>
      <c r="L24" s="16">
        <v>495420</v>
      </c>
      <c r="M24" s="16">
        <v>444120</v>
      </c>
      <c r="N24" s="16">
        <f>L24-M24</f>
      </c>
      <c r="O24" s="14" t="s">
        <v>50</v>
      </c>
      <c r="P24" s="14" t="s">
        <v>1306</v>
      </c>
      <c r="Q24" s="161">
        <v>4</v>
      </c>
      <c r="R24" s="161"/>
      <c r="S24" s="161"/>
      <c r="T24" s="161"/>
      <c r="U24" s="161"/>
      <c r="V24" s="161"/>
      <c r="W24" s="161"/>
      <c r="X24" s="34"/>
    </row>
    <row x14ac:dyDescent="0.25" r="25" customHeight="1" ht="15.75">
      <c r="A25" s="12">
        <v>45968</v>
      </c>
      <c r="B25" s="14" t="s">
        <v>46</v>
      </c>
      <c r="C25" s="162">
        <v>45969</v>
      </c>
      <c r="D25" s="14" t="s">
        <v>1307</v>
      </c>
      <c r="E25" s="14" t="s">
        <v>1308</v>
      </c>
      <c r="F25" s="14" t="s">
        <v>768</v>
      </c>
      <c r="G25" s="14" t="s">
        <v>773</v>
      </c>
      <c r="H25" s="14" t="s">
        <v>26</v>
      </c>
      <c r="I25" s="16"/>
      <c r="J25" s="161"/>
      <c r="K25" s="161"/>
      <c r="L25" s="16">
        <v>512000</v>
      </c>
      <c r="M25" s="16">
        <v>256000</v>
      </c>
      <c r="N25" s="16">
        <f>L25-M25</f>
      </c>
      <c r="O25" s="14" t="s">
        <v>50</v>
      </c>
      <c r="P25" s="14" t="s">
        <v>1309</v>
      </c>
      <c r="Q25" s="161">
        <v>1</v>
      </c>
      <c r="R25" s="161"/>
      <c r="S25" s="161"/>
      <c r="T25" s="161"/>
      <c r="U25" s="161"/>
      <c r="V25" s="161"/>
      <c r="W25" s="161"/>
      <c r="X25" s="34"/>
    </row>
    <row x14ac:dyDescent="0.25" r="26" customHeight="1" ht="15.75">
      <c r="A26" s="12">
        <v>45968</v>
      </c>
      <c r="B26" s="14" t="s">
        <v>46</v>
      </c>
      <c r="C26" s="161" t="s">
        <v>1310</v>
      </c>
      <c r="D26" s="14" t="s">
        <v>375</v>
      </c>
      <c r="E26" s="14" t="s">
        <v>1311</v>
      </c>
      <c r="F26" s="14" t="s">
        <v>1312</v>
      </c>
      <c r="G26" s="14" t="s">
        <v>1313</v>
      </c>
      <c r="H26" s="14" t="s">
        <v>26</v>
      </c>
      <c r="I26" s="16"/>
      <c r="J26" s="161"/>
      <c r="K26" s="161"/>
      <c r="L26" s="16">
        <v>715000</v>
      </c>
      <c r="M26" s="16">
        <v>694820</v>
      </c>
      <c r="N26" s="16">
        <f>L26-M26</f>
      </c>
      <c r="O26" s="14" t="s">
        <v>50</v>
      </c>
      <c r="P26" s="14" t="s">
        <v>1314</v>
      </c>
      <c r="Q26" s="161"/>
      <c r="R26" s="161"/>
      <c r="S26" s="161"/>
      <c r="T26" s="161"/>
      <c r="U26" s="161"/>
      <c r="V26" s="161"/>
      <c r="W26" s="161"/>
      <c r="X26" s="34"/>
    </row>
    <row x14ac:dyDescent="0.25" r="27" customHeight="1" ht="15.75">
      <c r="A27" s="12">
        <v>45968</v>
      </c>
      <c r="B27" s="14" t="s">
        <v>46</v>
      </c>
      <c r="C27" s="161" t="s">
        <v>1310</v>
      </c>
      <c r="D27" s="14" t="s">
        <v>375</v>
      </c>
      <c r="E27" s="14" t="s">
        <v>1311</v>
      </c>
      <c r="F27" s="14" t="s">
        <v>1312</v>
      </c>
      <c r="G27" s="14" t="s">
        <v>1315</v>
      </c>
      <c r="H27" s="14" t="s">
        <v>26</v>
      </c>
      <c r="I27" s="16"/>
      <c r="J27" s="161"/>
      <c r="K27" s="161"/>
      <c r="L27" s="16">
        <v>638000</v>
      </c>
      <c r="M27" s="16">
        <v>609420</v>
      </c>
      <c r="N27" s="16">
        <f>L27-M27</f>
      </c>
      <c r="O27" s="14" t="s">
        <v>50</v>
      </c>
      <c r="P27" s="14" t="s">
        <v>1316</v>
      </c>
      <c r="Q27" s="161"/>
      <c r="R27" s="161"/>
      <c r="S27" s="161"/>
      <c r="T27" s="161"/>
      <c r="U27" s="161"/>
      <c r="V27" s="161"/>
      <c r="W27" s="161"/>
      <c r="X27" s="34"/>
    </row>
    <row x14ac:dyDescent="0.25" r="28" customHeight="1" ht="15.75">
      <c r="A28" s="12">
        <v>45968</v>
      </c>
      <c r="B28" s="14" t="s">
        <v>72</v>
      </c>
      <c r="C28" s="161" t="s">
        <v>1317</v>
      </c>
      <c r="D28" s="14" t="s">
        <v>448</v>
      </c>
      <c r="E28" s="14" t="s">
        <v>1318</v>
      </c>
      <c r="F28" s="14" t="s">
        <v>24</v>
      </c>
      <c r="G28" s="14" t="s">
        <v>1319</v>
      </c>
      <c r="H28" s="14" t="s">
        <v>26</v>
      </c>
      <c r="I28" s="16"/>
      <c r="J28" s="161"/>
      <c r="K28" s="161"/>
      <c r="L28" s="16">
        <v>3285420</v>
      </c>
      <c r="M28" s="16">
        <v>3090420</v>
      </c>
      <c r="N28" s="16">
        <f>L28-M28</f>
      </c>
      <c r="O28" s="14" t="s">
        <v>43</v>
      </c>
      <c r="P28" s="14" t="s">
        <v>1320</v>
      </c>
      <c r="Q28" s="161"/>
      <c r="R28" s="161"/>
      <c r="S28" s="161"/>
      <c r="T28" s="161"/>
      <c r="U28" s="161"/>
      <c r="V28" s="161"/>
      <c r="W28" s="161"/>
      <c r="X28" s="34"/>
    </row>
    <row x14ac:dyDescent="0.25" r="29" customHeight="1" ht="15.75">
      <c r="A29" s="12">
        <v>45968</v>
      </c>
      <c r="B29" s="14" t="s">
        <v>72</v>
      </c>
      <c r="C29" s="161" t="s">
        <v>1317</v>
      </c>
      <c r="D29" s="14" t="s">
        <v>448</v>
      </c>
      <c r="E29" s="14" t="s">
        <v>1318</v>
      </c>
      <c r="F29" s="14" t="s">
        <v>24</v>
      </c>
      <c r="G29" s="14" t="s">
        <v>1321</v>
      </c>
      <c r="H29" s="14" t="s">
        <v>26</v>
      </c>
      <c r="I29" s="16"/>
      <c r="J29" s="161"/>
      <c r="K29" s="161"/>
      <c r="L29" s="16">
        <v>3285420</v>
      </c>
      <c r="M29" s="16">
        <v>3085420</v>
      </c>
      <c r="N29" s="16">
        <f>L29-M29</f>
      </c>
      <c r="O29" s="14" t="s">
        <v>77</v>
      </c>
      <c r="P29" s="14" t="s">
        <v>1322</v>
      </c>
      <c r="Q29" s="161"/>
      <c r="R29" s="161"/>
      <c r="S29" s="161"/>
      <c r="T29" s="161"/>
      <c r="U29" s="161"/>
      <c r="V29" s="161"/>
      <c r="W29" s="161"/>
      <c r="X29" s="34"/>
    </row>
    <row x14ac:dyDescent="0.25" r="30" customHeight="1" ht="15.75">
      <c r="A30" s="12">
        <v>45968</v>
      </c>
      <c r="B30" s="14" t="s">
        <v>1323</v>
      </c>
      <c r="C30" s="161" t="s">
        <v>1317</v>
      </c>
      <c r="D30" s="14" t="s">
        <v>448</v>
      </c>
      <c r="E30" s="14" t="s">
        <v>1318</v>
      </c>
      <c r="F30" s="14" t="s">
        <v>24</v>
      </c>
      <c r="G30" s="14" t="s">
        <v>1324</v>
      </c>
      <c r="H30" s="14" t="s">
        <v>26</v>
      </c>
      <c r="I30" s="16"/>
      <c r="J30" s="161"/>
      <c r="K30" s="161"/>
      <c r="L30" s="16">
        <v>3285420</v>
      </c>
      <c r="M30" s="16">
        <v>3090420</v>
      </c>
      <c r="N30" s="16">
        <f>L30-M30</f>
      </c>
      <c r="O30" s="14" t="s">
        <v>43</v>
      </c>
      <c r="P30" s="14" t="s">
        <v>1325</v>
      </c>
      <c r="Q30" s="161"/>
      <c r="R30" s="161"/>
      <c r="S30" s="161"/>
      <c r="T30" s="161"/>
      <c r="U30" s="161"/>
      <c r="V30" s="161"/>
      <c r="W30" s="161"/>
      <c r="X30" s="34"/>
    </row>
    <row x14ac:dyDescent="0.25" r="31" customHeight="1" ht="15.75">
      <c r="A31" s="12">
        <v>45968</v>
      </c>
      <c r="B31" s="161"/>
      <c r="C31" s="162"/>
      <c r="D31" s="161"/>
      <c r="E31" s="14" t="s">
        <v>1326</v>
      </c>
      <c r="F31" s="14" t="s">
        <v>24</v>
      </c>
      <c r="G31" s="14" t="s">
        <v>1327</v>
      </c>
      <c r="H31" s="14" t="s">
        <v>26</v>
      </c>
      <c r="I31" s="16"/>
      <c r="J31" s="161"/>
      <c r="K31" s="161"/>
      <c r="L31" s="16">
        <v>300000</v>
      </c>
      <c r="M31" s="16">
        <v>65000</v>
      </c>
      <c r="N31" s="16">
        <f>L31-M31</f>
      </c>
      <c r="O31" s="14" t="s">
        <v>36</v>
      </c>
      <c r="P31" s="14" t="s">
        <v>1328</v>
      </c>
      <c r="Q31" s="161"/>
      <c r="R31" s="161"/>
      <c r="S31" s="161"/>
      <c r="T31" s="161"/>
      <c r="U31" s="161"/>
      <c r="V31" s="161"/>
      <c r="W31" s="161"/>
      <c r="X31" s="34"/>
    </row>
    <row x14ac:dyDescent="0.25" r="32" customHeight="1" ht="15.75">
      <c r="A32" s="12">
        <v>45968</v>
      </c>
      <c r="B32" s="161"/>
      <c r="C32" s="162"/>
      <c r="D32" s="161"/>
      <c r="E32" s="14" t="s">
        <v>1326</v>
      </c>
      <c r="F32" s="14" t="s">
        <v>24</v>
      </c>
      <c r="G32" s="14" t="s">
        <v>1329</v>
      </c>
      <c r="H32" s="14" t="s">
        <v>26</v>
      </c>
      <c r="I32" s="16"/>
      <c r="J32" s="161"/>
      <c r="K32" s="161"/>
      <c r="L32" s="16">
        <v>300000</v>
      </c>
      <c r="M32" s="16">
        <v>65000</v>
      </c>
      <c r="N32" s="16">
        <f>L32-M32</f>
      </c>
      <c r="O32" s="14" t="s">
        <v>36</v>
      </c>
      <c r="P32" s="14" t="s">
        <v>1328</v>
      </c>
      <c r="Q32" s="161"/>
      <c r="R32" s="161"/>
      <c r="S32" s="161"/>
      <c r="T32" s="161"/>
      <c r="U32" s="161"/>
      <c r="V32" s="161"/>
      <c r="W32" s="161"/>
      <c r="X32" s="34"/>
    </row>
    <row x14ac:dyDescent="0.25" r="33" customHeight="1" ht="15.75">
      <c r="A33" s="12">
        <v>45968</v>
      </c>
      <c r="B33" s="161"/>
      <c r="C33" s="162"/>
      <c r="D33" s="161"/>
      <c r="E33" s="14" t="s">
        <v>1326</v>
      </c>
      <c r="F33" s="14" t="s">
        <v>24</v>
      </c>
      <c r="G33" s="14" t="s">
        <v>1330</v>
      </c>
      <c r="H33" s="14" t="s">
        <v>1331</v>
      </c>
      <c r="I33" s="16"/>
      <c r="J33" s="161"/>
      <c r="K33" s="161"/>
      <c r="L33" s="16">
        <v>300000</v>
      </c>
      <c r="M33" s="16">
        <v>250000</v>
      </c>
      <c r="N33" s="16">
        <f>L33-M33</f>
      </c>
      <c r="O33" s="14" t="s">
        <v>36</v>
      </c>
      <c r="P33" s="14" t="s">
        <v>1328</v>
      </c>
      <c r="Q33" s="161"/>
      <c r="R33" s="161"/>
      <c r="S33" s="161"/>
      <c r="T33" s="161"/>
      <c r="U33" s="161"/>
      <c r="V33" s="161"/>
      <c r="W33" s="161"/>
      <c r="X33" s="34"/>
    </row>
    <row x14ac:dyDescent="0.25" r="34" customHeight="1" ht="15.75">
      <c r="A34" s="12">
        <v>45969</v>
      </c>
      <c r="B34" s="14" t="s">
        <v>111</v>
      </c>
      <c r="C34" s="161" t="s">
        <v>1332</v>
      </c>
      <c r="D34" s="14" t="s">
        <v>189</v>
      </c>
      <c r="E34" s="161"/>
      <c r="F34" s="14" t="s">
        <v>84</v>
      </c>
      <c r="G34" s="14" t="s">
        <v>853</v>
      </c>
      <c r="H34" s="14" t="s">
        <v>26</v>
      </c>
      <c r="I34" s="16"/>
      <c r="J34" s="161"/>
      <c r="K34" s="161"/>
      <c r="L34" s="16">
        <v>555555</v>
      </c>
      <c r="M34" s="16">
        <v>409755</v>
      </c>
      <c r="N34" s="16">
        <f>L34-M34</f>
      </c>
      <c r="O34" s="14" t="s">
        <v>77</v>
      </c>
      <c r="P34" s="14" t="s">
        <v>1333</v>
      </c>
      <c r="Q34" s="161"/>
      <c r="R34" s="161"/>
      <c r="S34" s="161"/>
      <c r="T34" s="161"/>
      <c r="U34" s="161"/>
      <c r="V34" s="161"/>
      <c r="W34" s="161"/>
      <c r="X34" s="34"/>
    </row>
    <row x14ac:dyDescent="0.25" r="35" customHeight="1" ht="15.75">
      <c r="A35" s="12">
        <v>45969</v>
      </c>
      <c r="B35" s="14" t="s">
        <v>111</v>
      </c>
      <c r="C35" s="161" t="s">
        <v>1334</v>
      </c>
      <c r="D35" s="14" t="s">
        <v>112</v>
      </c>
      <c r="E35" s="161"/>
      <c r="F35" s="14" t="s">
        <v>84</v>
      </c>
      <c r="G35" s="14" t="s">
        <v>1335</v>
      </c>
      <c r="H35" s="14" t="s">
        <v>26</v>
      </c>
      <c r="I35" s="16"/>
      <c r="J35" s="161"/>
      <c r="K35" s="161"/>
      <c r="L35" s="16">
        <v>561900</v>
      </c>
      <c r="M35" s="16">
        <v>411005</v>
      </c>
      <c r="N35" s="16">
        <f>L35-M35</f>
      </c>
      <c r="O35" s="14" t="s">
        <v>77</v>
      </c>
      <c r="P35" s="14" t="s">
        <v>1336</v>
      </c>
      <c r="Q35" s="161"/>
      <c r="R35" s="161"/>
      <c r="S35" s="161"/>
      <c r="T35" s="161"/>
      <c r="U35" s="161"/>
      <c r="V35" s="161"/>
      <c r="W35" s="161"/>
      <c r="X35" s="34"/>
    </row>
    <row x14ac:dyDescent="0.25" r="36" customHeight="1" ht="15.75">
      <c r="A36" s="12">
        <v>45969</v>
      </c>
      <c r="B36" s="14" t="s">
        <v>82</v>
      </c>
      <c r="C36" s="162">
        <v>45970</v>
      </c>
      <c r="D36" s="14" t="s">
        <v>624</v>
      </c>
      <c r="E36" s="14" t="s">
        <v>1337</v>
      </c>
      <c r="F36" s="14" t="s">
        <v>135</v>
      </c>
      <c r="G36" s="14" t="s">
        <v>1300</v>
      </c>
      <c r="H36" s="14" t="s">
        <v>26</v>
      </c>
      <c r="I36" s="16"/>
      <c r="J36" s="161"/>
      <c r="K36" s="161"/>
      <c r="L36" s="16">
        <v>28500</v>
      </c>
      <c r="M36" s="16">
        <v>28500</v>
      </c>
      <c r="N36" s="16">
        <f>L36-M36</f>
      </c>
      <c r="O36" s="14" t="s">
        <v>82</v>
      </c>
      <c r="P36" s="14" t="s">
        <v>1338</v>
      </c>
      <c r="Q36" s="161" t="s">
        <v>33</v>
      </c>
      <c r="R36" s="161"/>
      <c r="S36" s="161"/>
      <c r="T36" s="161"/>
      <c r="U36" s="161"/>
      <c r="V36" s="161"/>
      <c r="W36" s="161"/>
      <c r="X36" s="34"/>
    </row>
    <row x14ac:dyDescent="0.25" r="37" customHeight="1" ht="15.75">
      <c r="A37" s="12">
        <v>45971</v>
      </c>
      <c r="B37" s="14" t="s">
        <v>66</v>
      </c>
      <c r="C37" s="161" t="s">
        <v>1339</v>
      </c>
      <c r="D37" s="14" t="s">
        <v>1340</v>
      </c>
      <c r="E37" s="14" t="s">
        <v>1341</v>
      </c>
      <c r="F37" s="14" t="s">
        <v>1342</v>
      </c>
      <c r="G37" s="14" t="s">
        <v>1134</v>
      </c>
      <c r="H37" s="14" t="s">
        <v>26</v>
      </c>
      <c r="I37" s="16"/>
      <c r="J37" s="161"/>
      <c r="K37" s="161"/>
      <c r="L37" s="16">
        <v>580920</v>
      </c>
      <c r="M37" s="16">
        <v>471920</v>
      </c>
      <c r="N37" s="16">
        <f>L37-M37</f>
      </c>
      <c r="O37" s="14" t="s">
        <v>43</v>
      </c>
      <c r="P37" s="14" t="s">
        <v>1343</v>
      </c>
      <c r="Q37" s="161"/>
      <c r="R37" s="161"/>
      <c r="S37" s="161"/>
      <c r="T37" s="161"/>
      <c r="U37" s="161"/>
      <c r="V37" s="161"/>
      <c r="W37" s="161"/>
      <c r="X37" s="34"/>
    </row>
    <row x14ac:dyDescent="0.25" r="38" customHeight="1" ht="15.75">
      <c r="A38" s="12">
        <v>45971</v>
      </c>
      <c r="B38" s="14" t="s">
        <v>66</v>
      </c>
      <c r="C38" s="161" t="s">
        <v>1344</v>
      </c>
      <c r="D38" s="14" t="s">
        <v>166</v>
      </c>
      <c r="E38" s="14" t="s">
        <v>1345</v>
      </c>
      <c r="F38" s="14" t="s">
        <v>90</v>
      </c>
      <c r="G38" s="14" t="s">
        <v>91</v>
      </c>
      <c r="H38" s="14" t="s">
        <v>26</v>
      </c>
      <c r="I38" s="16"/>
      <c r="J38" s="161"/>
      <c r="K38" s="161"/>
      <c r="L38" s="16">
        <v>1389020</v>
      </c>
      <c r="M38" s="16">
        <v>1289020</v>
      </c>
      <c r="N38" s="16">
        <f>L38-M38</f>
      </c>
      <c r="O38" s="14" t="s">
        <v>43</v>
      </c>
      <c r="P38" s="14" t="s">
        <v>1346</v>
      </c>
      <c r="Q38" s="161"/>
      <c r="R38" s="161"/>
      <c r="S38" s="161"/>
      <c r="T38" s="161"/>
      <c r="U38" s="161"/>
      <c r="V38" s="161"/>
      <c r="W38" s="161"/>
      <c r="X38" s="34"/>
    </row>
    <row x14ac:dyDescent="0.25" r="39" customHeight="1" ht="15.75">
      <c r="A39" s="12">
        <v>45972</v>
      </c>
      <c r="B39" s="14" t="s">
        <v>53</v>
      </c>
      <c r="C39" s="161" t="s">
        <v>1347</v>
      </c>
      <c r="D39" s="14" t="s">
        <v>1348</v>
      </c>
      <c r="E39" s="14" t="s">
        <v>1349</v>
      </c>
      <c r="F39" s="14" t="s">
        <v>284</v>
      </c>
      <c r="G39" s="14" t="s">
        <v>1350</v>
      </c>
      <c r="H39" s="14" t="s">
        <v>26</v>
      </c>
      <c r="I39" s="16"/>
      <c r="J39" s="161"/>
      <c r="K39" s="161"/>
      <c r="L39" s="16">
        <v>1106800</v>
      </c>
      <c r="M39" s="16">
        <v>1072520</v>
      </c>
      <c r="N39" s="16">
        <f>L39-M39</f>
      </c>
      <c r="O39" s="14" t="s">
        <v>43</v>
      </c>
      <c r="P39" s="14" t="s">
        <v>1351</v>
      </c>
      <c r="Q39" s="161"/>
      <c r="R39" s="161"/>
      <c r="S39" s="161"/>
      <c r="T39" s="161"/>
      <c r="U39" s="161"/>
      <c r="V39" s="161"/>
      <c r="W39" s="161"/>
      <c r="X39" s="34"/>
    </row>
    <row x14ac:dyDescent="0.25" r="40" customHeight="1" ht="15.75">
      <c r="A40" s="12">
        <v>45972</v>
      </c>
      <c r="B40" s="14" t="s">
        <v>82</v>
      </c>
      <c r="C40" s="162">
        <v>45974</v>
      </c>
      <c r="D40" s="14" t="s">
        <v>472</v>
      </c>
      <c r="E40" s="14" t="s">
        <v>1352</v>
      </c>
      <c r="F40" s="14" t="s">
        <v>24</v>
      </c>
      <c r="G40" s="14" t="s">
        <v>1145</v>
      </c>
      <c r="H40" s="14" t="s">
        <v>26</v>
      </c>
      <c r="I40" s="16"/>
      <c r="J40" s="161"/>
      <c r="K40" s="161"/>
      <c r="L40" s="16">
        <v>119000</v>
      </c>
      <c r="M40" s="16">
        <v>104000</v>
      </c>
      <c r="N40" s="16">
        <f>L40-M40</f>
      </c>
      <c r="O40" s="14" t="s">
        <v>82</v>
      </c>
      <c r="P40" s="14" t="s">
        <v>1353</v>
      </c>
      <c r="Q40" s="161"/>
      <c r="R40" s="161"/>
      <c r="S40" s="161"/>
      <c r="T40" s="161"/>
      <c r="U40" s="161"/>
      <c r="V40" s="161"/>
      <c r="W40" s="161"/>
      <c r="X40" s="34"/>
    </row>
    <row x14ac:dyDescent="0.25" r="41" customHeight="1" ht="15.75">
      <c r="A41" s="12">
        <v>45972</v>
      </c>
      <c r="B41" s="14" t="s">
        <v>66</v>
      </c>
      <c r="C41" s="162">
        <v>45975</v>
      </c>
      <c r="D41" s="14" t="s">
        <v>1354</v>
      </c>
      <c r="E41" s="14" t="s">
        <v>1355</v>
      </c>
      <c r="F41" s="14" t="s">
        <v>1263</v>
      </c>
      <c r="G41" s="14" t="s">
        <v>1264</v>
      </c>
      <c r="H41" s="14" t="s">
        <v>26</v>
      </c>
      <c r="I41" s="16"/>
      <c r="J41" s="161"/>
      <c r="K41" s="161"/>
      <c r="L41" s="16">
        <v>79900</v>
      </c>
      <c r="M41" s="16">
        <v>30000</v>
      </c>
      <c r="N41" s="16">
        <f>L41-M41</f>
      </c>
      <c r="O41" s="14" t="s">
        <v>50</v>
      </c>
      <c r="P41" s="14" t="s">
        <v>1356</v>
      </c>
      <c r="Q41" s="161" t="s">
        <v>33</v>
      </c>
      <c r="R41" s="161"/>
      <c r="S41" s="161"/>
      <c r="T41" s="161"/>
      <c r="U41" s="161"/>
      <c r="V41" s="161"/>
      <c r="W41" s="161"/>
      <c r="X41" s="34"/>
    </row>
    <row x14ac:dyDescent="0.25" r="42" customHeight="1" ht="15.75">
      <c r="A42" s="12">
        <v>45973</v>
      </c>
      <c r="B42" s="14" t="s">
        <v>22</v>
      </c>
      <c r="C42" s="161" t="s">
        <v>1357</v>
      </c>
      <c r="D42" s="14" t="s">
        <v>1358</v>
      </c>
      <c r="E42" s="14" t="s">
        <v>1359</v>
      </c>
      <c r="F42" s="14" t="s">
        <v>816</v>
      </c>
      <c r="G42" s="14" t="s">
        <v>1360</v>
      </c>
      <c r="H42" s="14" t="s">
        <v>26</v>
      </c>
      <c r="I42" s="16"/>
      <c r="J42" s="161"/>
      <c r="K42" s="161"/>
      <c r="L42" s="16">
        <v>499600</v>
      </c>
      <c r="M42" s="16">
        <v>440100</v>
      </c>
      <c r="N42" s="16">
        <f>L42-M42</f>
      </c>
      <c r="O42" s="14" t="s">
        <v>27</v>
      </c>
      <c r="P42" s="14" t="s">
        <v>1361</v>
      </c>
      <c r="Q42" s="161"/>
      <c r="R42" s="161"/>
      <c r="S42" s="161"/>
      <c r="T42" s="161"/>
      <c r="U42" s="161"/>
      <c r="V42" s="161"/>
      <c r="W42" s="161"/>
      <c r="X42" s="34"/>
    </row>
    <row x14ac:dyDescent="0.25" r="43" customHeight="1" ht="15.75">
      <c r="A43" s="12">
        <v>45973</v>
      </c>
      <c r="B43" s="14" t="s">
        <v>22</v>
      </c>
      <c r="C43" s="161" t="s">
        <v>1357</v>
      </c>
      <c r="D43" s="14" t="s">
        <v>1358</v>
      </c>
      <c r="E43" s="14" t="s">
        <v>1359</v>
      </c>
      <c r="F43" s="14" t="s">
        <v>816</v>
      </c>
      <c r="G43" s="14" t="s">
        <v>1362</v>
      </c>
      <c r="H43" s="14" t="s">
        <v>26</v>
      </c>
      <c r="I43" s="16"/>
      <c r="J43" s="161"/>
      <c r="K43" s="161"/>
      <c r="L43" s="16">
        <v>499600</v>
      </c>
      <c r="M43" s="16">
        <v>440100</v>
      </c>
      <c r="N43" s="16">
        <f>L43-M43</f>
      </c>
      <c r="O43" s="14" t="s">
        <v>27</v>
      </c>
      <c r="P43" s="14" t="s">
        <v>1363</v>
      </c>
      <c r="Q43" s="161"/>
      <c r="R43" s="161"/>
      <c r="S43" s="161"/>
      <c r="T43" s="161"/>
      <c r="U43" s="161"/>
      <c r="V43" s="161"/>
      <c r="W43" s="161"/>
      <c r="X43" s="34"/>
    </row>
    <row x14ac:dyDescent="0.25" r="44" customHeight="1" ht="15.75">
      <c r="A44" s="12">
        <v>45973</v>
      </c>
      <c r="B44" s="14" t="s">
        <v>66</v>
      </c>
      <c r="C44" s="161" t="s">
        <v>1364</v>
      </c>
      <c r="D44" s="14" t="s">
        <v>166</v>
      </c>
      <c r="E44" s="14" t="s">
        <v>1365</v>
      </c>
      <c r="F44" s="14" t="s">
        <v>284</v>
      </c>
      <c r="G44" s="14" t="s">
        <v>1350</v>
      </c>
      <c r="H44" s="14" t="s">
        <v>26</v>
      </c>
      <c r="I44" s="16"/>
      <c r="J44" s="161"/>
      <c r="K44" s="161"/>
      <c r="L44" s="16">
        <v>1086800</v>
      </c>
      <c r="M44" s="16">
        <v>1046220</v>
      </c>
      <c r="N44" s="16">
        <f>L44-M44</f>
      </c>
      <c r="O44" s="14" t="s">
        <v>50</v>
      </c>
      <c r="P44" s="14" t="s">
        <v>1366</v>
      </c>
      <c r="Q44" s="161"/>
      <c r="R44" s="161"/>
      <c r="S44" s="161"/>
      <c r="T44" s="161"/>
      <c r="U44" s="161"/>
      <c r="V44" s="161"/>
      <c r="W44" s="161"/>
      <c r="X44" s="34"/>
    </row>
    <row x14ac:dyDescent="0.25" r="45" customHeight="1" ht="15.75">
      <c r="A45" s="12">
        <v>45973</v>
      </c>
      <c r="B45" s="14" t="s">
        <v>66</v>
      </c>
      <c r="C45" s="162">
        <v>45975</v>
      </c>
      <c r="D45" s="14" t="s">
        <v>415</v>
      </c>
      <c r="E45" s="14" t="s">
        <v>1367</v>
      </c>
      <c r="F45" s="14" t="s">
        <v>1368</v>
      </c>
      <c r="G45" s="14" t="s">
        <v>1369</v>
      </c>
      <c r="H45" s="14" t="s">
        <v>26</v>
      </c>
      <c r="I45" s="16"/>
      <c r="J45" s="161"/>
      <c r="K45" s="161"/>
      <c r="L45" s="16">
        <v>218900</v>
      </c>
      <c r="M45" s="16">
        <v>208500</v>
      </c>
      <c r="N45" s="16">
        <f>L45-M45</f>
      </c>
      <c r="O45" s="14" t="s">
        <v>50</v>
      </c>
      <c r="P45" s="14" t="s">
        <v>1370</v>
      </c>
      <c r="Q45" s="161">
        <v>4</v>
      </c>
      <c r="R45" s="161"/>
      <c r="S45" s="161"/>
      <c r="T45" s="161"/>
      <c r="U45" s="161"/>
      <c r="V45" s="161"/>
      <c r="W45" s="161"/>
      <c r="X45" s="34"/>
    </row>
    <row x14ac:dyDescent="0.25" r="46" customHeight="1" ht="15.75">
      <c r="A46" s="12">
        <v>45974</v>
      </c>
      <c r="B46" s="161"/>
      <c r="C46" s="162"/>
      <c r="D46" s="161"/>
      <c r="E46" s="14" t="s">
        <v>1371</v>
      </c>
      <c r="F46" s="14" t="s">
        <v>24</v>
      </c>
      <c r="G46" s="14" t="s">
        <v>1372</v>
      </c>
      <c r="H46" s="14" t="s">
        <v>26</v>
      </c>
      <c r="I46" s="16"/>
      <c r="J46" s="161"/>
      <c r="K46" s="161"/>
      <c r="L46" s="16">
        <v>65000</v>
      </c>
      <c r="M46" s="16">
        <v>48000</v>
      </c>
      <c r="N46" s="16">
        <f>L46-M46</f>
      </c>
      <c r="O46" s="14" t="s">
        <v>1373</v>
      </c>
      <c r="P46" s="14" t="s">
        <v>1374</v>
      </c>
      <c r="Q46" s="161"/>
      <c r="R46" s="161"/>
      <c r="S46" s="161"/>
      <c r="T46" s="161"/>
      <c r="U46" s="161"/>
      <c r="V46" s="161"/>
      <c r="W46" s="161"/>
      <c r="X46" s="34"/>
    </row>
    <row x14ac:dyDescent="0.25" r="47" customHeight="1" ht="15.75">
      <c r="A47" s="12">
        <v>45974</v>
      </c>
      <c r="B47" s="161"/>
      <c r="C47" s="162"/>
      <c r="D47" s="161"/>
      <c r="E47" s="14" t="s">
        <v>1371</v>
      </c>
      <c r="F47" s="14" t="s">
        <v>24</v>
      </c>
      <c r="G47" s="14" t="s">
        <v>1375</v>
      </c>
      <c r="H47" s="14" t="s">
        <v>26</v>
      </c>
      <c r="I47" s="16"/>
      <c r="J47" s="161"/>
      <c r="K47" s="161"/>
      <c r="L47" s="16">
        <v>65000</v>
      </c>
      <c r="M47" s="16">
        <v>48000</v>
      </c>
      <c r="N47" s="16">
        <f>L47-M47</f>
      </c>
      <c r="O47" s="14" t="s">
        <v>1373</v>
      </c>
      <c r="P47" s="14" t="s">
        <v>1374</v>
      </c>
      <c r="Q47" s="161"/>
      <c r="R47" s="161"/>
      <c r="S47" s="161"/>
      <c r="T47" s="161"/>
      <c r="U47" s="161"/>
      <c r="V47" s="161"/>
      <c r="W47" s="161"/>
      <c r="X47" s="34"/>
    </row>
    <row x14ac:dyDescent="0.25" r="48" customHeight="1" ht="15.75">
      <c r="A48" s="12">
        <v>45974</v>
      </c>
      <c r="B48" s="161"/>
      <c r="C48" s="162"/>
      <c r="D48" s="161"/>
      <c r="E48" s="14" t="s">
        <v>1371</v>
      </c>
      <c r="F48" s="14" t="s">
        <v>24</v>
      </c>
      <c r="G48" s="14" t="s">
        <v>1376</v>
      </c>
      <c r="H48" s="14" t="s">
        <v>26</v>
      </c>
      <c r="I48" s="16"/>
      <c r="J48" s="161"/>
      <c r="K48" s="161"/>
      <c r="L48" s="16">
        <v>65000</v>
      </c>
      <c r="M48" s="16">
        <v>48000</v>
      </c>
      <c r="N48" s="16">
        <f>L48-M48</f>
      </c>
      <c r="O48" s="14" t="s">
        <v>1373</v>
      </c>
      <c r="P48" s="14" t="s">
        <v>1374</v>
      </c>
      <c r="Q48" s="161"/>
      <c r="R48" s="161"/>
      <c r="S48" s="161"/>
      <c r="T48" s="161"/>
      <c r="U48" s="161"/>
      <c r="V48" s="161"/>
      <c r="W48" s="161"/>
      <c r="X48" s="34"/>
    </row>
    <row x14ac:dyDescent="0.25" r="49" customHeight="1" ht="15.75">
      <c r="A49" s="12">
        <v>45974</v>
      </c>
      <c r="B49" s="161"/>
      <c r="C49" s="162"/>
      <c r="D49" s="161"/>
      <c r="E49" s="14" t="s">
        <v>1371</v>
      </c>
      <c r="F49" s="14" t="s">
        <v>24</v>
      </c>
      <c r="G49" s="14" t="s">
        <v>1377</v>
      </c>
      <c r="H49" s="14" t="s">
        <v>26</v>
      </c>
      <c r="I49" s="16"/>
      <c r="J49" s="161"/>
      <c r="K49" s="161"/>
      <c r="L49" s="16">
        <v>65000</v>
      </c>
      <c r="M49" s="16">
        <v>48000</v>
      </c>
      <c r="N49" s="16">
        <f>L49-M49</f>
      </c>
      <c r="O49" s="14" t="s">
        <v>1373</v>
      </c>
      <c r="P49" s="14" t="s">
        <v>1374</v>
      </c>
      <c r="Q49" s="161"/>
      <c r="R49" s="161"/>
      <c r="S49" s="161"/>
      <c r="T49" s="161"/>
      <c r="U49" s="161"/>
      <c r="V49" s="161"/>
      <c r="W49" s="161"/>
      <c r="X49" s="34"/>
    </row>
    <row x14ac:dyDescent="0.25" r="50" customHeight="1" ht="15.75">
      <c r="A50" s="12">
        <v>45974</v>
      </c>
      <c r="B50" s="14" t="s">
        <v>53</v>
      </c>
      <c r="C50" s="161" t="s">
        <v>1378</v>
      </c>
      <c r="D50" s="14" t="s">
        <v>232</v>
      </c>
      <c r="E50" s="14" t="s">
        <v>1379</v>
      </c>
      <c r="F50" s="14" t="s">
        <v>135</v>
      </c>
      <c r="G50" s="14" t="s">
        <v>136</v>
      </c>
      <c r="H50" s="14" t="s">
        <v>26</v>
      </c>
      <c r="I50" s="16">
        <v>894000</v>
      </c>
      <c r="J50" s="161"/>
      <c r="K50" s="161"/>
      <c r="L50" s="16">
        <v>1254720</v>
      </c>
      <c r="M50" s="16">
        <v>1132920</v>
      </c>
      <c r="N50" s="16">
        <f>L50-M50</f>
      </c>
      <c r="O50" s="14" t="s">
        <v>137</v>
      </c>
      <c r="P50" s="14" t="s">
        <v>1380</v>
      </c>
      <c r="Q50" s="161"/>
      <c r="R50" s="161"/>
      <c r="S50" s="161"/>
      <c r="T50" s="161"/>
      <c r="U50" s="161"/>
      <c r="V50" s="161"/>
      <c r="W50" s="161"/>
      <c r="X50" s="34"/>
    </row>
    <row x14ac:dyDescent="0.25" r="51" customHeight="1" ht="15.75">
      <c r="A51" s="12">
        <v>45974</v>
      </c>
      <c r="B51" s="14" t="s">
        <v>22</v>
      </c>
      <c r="C51" s="161" t="s">
        <v>1381</v>
      </c>
      <c r="D51" s="14" t="s">
        <v>1382</v>
      </c>
      <c r="E51" s="14" t="s">
        <v>1383</v>
      </c>
      <c r="F51" s="14" t="s">
        <v>194</v>
      </c>
      <c r="G51" s="14" t="s">
        <v>1384</v>
      </c>
      <c r="H51" s="14" t="s">
        <v>26</v>
      </c>
      <c r="I51" s="16"/>
      <c r="J51" s="161"/>
      <c r="K51" s="161"/>
      <c r="L51" s="16">
        <v>65000</v>
      </c>
      <c r="M51" s="16">
        <v>37000</v>
      </c>
      <c r="N51" s="16">
        <f>L51-M51</f>
      </c>
      <c r="O51" s="14" t="s">
        <v>27</v>
      </c>
      <c r="P51" s="14" t="s">
        <v>1385</v>
      </c>
      <c r="Q51" s="161"/>
      <c r="R51" s="161"/>
      <c r="S51" s="161"/>
      <c r="T51" s="161"/>
      <c r="U51" s="161"/>
      <c r="V51" s="161"/>
      <c r="W51" s="161"/>
      <c r="X51" s="34"/>
    </row>
    <row x14ac:dyDescent="0.25" r="52" customHeight="1" ht="15.75">
      <c r="A52" s="12">
        <v>45974</v>
      </c>
      <c r="B52" s="14" t="s">
        <v>22</v>
      </c>
      <c r="C52" s="161" t="s">
        <v>1381</v>
      </c>
      <c r="D52" s="14" t="s">
        <v>1382</v>
      </c>
      <c r="E52" s="14" t="s">
        <v>1383</v>
      </c>
      <c r="F52" s="14" t="s">
        <v>194</v>
      </c>
      <c r="G52" s="14" t="s">
        <v>1386</v>
      </c>
      <c r="H52" s="14" t="s">
        <v>26</v>
      </c>
      <c r="I52" s="16"/>
      <c r="J52" s="161"/>
      <c r="K52" s="161"/>
      <c r="L52" s="16">
        <v>65000</v>
      </c>
      <c r="M52" s="16">
        <v>37000</v>
      </c>
      <c r="N52" s="16">
        <v>28000</v>
      </c>
      <c r="O52" s="14" t="s">
        <v>27</v>
      </c>
      <c r="P52" s="14" t="s">
        <v>1385</v>
      </c>
      <c r="Q52" s="161"/>
      <c r="R52" s="161"/>
      <c r="S52" s="161"/>
      <c r="T52" s="161"/>
      <c r="U52" s="161"/>
      <c r="V52" s="161"/>
      <c r="W52" s="161"/>
      <c r="X52" s="34"/>
    </row>
    <row x14ac:dyDescent="0.25" r="53" customHeight="1" ht="15.75">
      <c r="A53" s="12">
        <v>45974</v>
      </c>
      <c r="B53" s="14" t="s">
        <v>22</v>
      </c>
      <c r="C53" s="161" t="s">
        <v>1381</v>
      </c>
      <c r="D53" s="14" t="s">
        <v>1382</v>
      </c>
      <c r="E53" s="14" t="s">
        <v>1383</v>
      </c>
      <c r="F53" s="14" t="s">
        <v>194</v>
      </c>
      <c r="G53" s="14" t="s">
        <v>1387</v>
      </c>
      <c r="H53" s="14" t="s">
        <v>26</v>
      </c>
      <c r="I53" s="16"/>
      <c r="J53" s="161"/>
      <c r="K53" s="161"/>
      <c r="L53" s="16">
        <v>65000</v>
      </c>
      <c r="M53" s="16">
        <v>37000</v>
      </c>
      <c r="N53" s="16">
        <v>28000</v>
      </c>
      <c r="O53" s="14" t="s">
        <v>27</v>
      </c>
      <c r="P53" s="14" t="s">
        <v>1385</v>
      </c>
      <c r="Q53" s="161"/>
      <c r="R53" s="161"/>
      <c r="S53" s="161"/>
      <c r="T53" s="161"/>
      <c r="U53" s="161"/>
      <c r="V53" s="161"/>
      <c r="W53" s="161"/>
      <c r="X53" s="34"/>
    </row>
    <row x14ac:dyDescent="0.25" r="54" customHeight="1" ht="15.75">
      <c r="A54" s="137">
        <v>45975</v>
      </c>
      <c r="B54" s="138"/>
      <c r="C54" s="144"/>
      <c r="D54" s="138"/>
      <c r="E54" s="139" t="s">
        <v>1388</v>
      </c>
      <c r="F54" s="139" t="s">
        <v>84</v>
      </c>
      <c r="G54" s="139" t="s">
        <v>1389</v>
      </c>
      <c r="H54" s="138"/>
      <c r="I54" s="141"/>
      <c r="J54" s="138"/>
      <c r="K54" s="138"/>
      <c r="L54" s="141">
        <v>554513</v>
      </c>
      <c r="M54" s="141">
        <v>518738</v>
      </c>
      <c r="N54" s="141">
        <v>35775</v>
      </c>
      <c r="O54" s="139" t="s">
        <v>968</v>
      </c>
      <c r="P54" s="138"/>
      <c r="Q54" s="138"/>
      <c r="R54" s="138"/>
      <c r="S54" s="138"/>
      <c r="T54" s="138"/>
      <c r="U54" s="138"/>
      <c r="V54" s="138"/>
      <c r="W54" s="138"/>
      <c r="X54" s="34"/>
    </row>
    <row x14ac:dyDescent="0.25" r="55" customHeight="1" ht="15.75">
      <c r="A55" s="12">
        <v>45975</v>
      </c>
      <c r="B55" s="14" t="s">
        <v>66</v>
      </c>
      <c r="C55" s="161" t="s">
        <v>1390</v>
      </c>
      <c r="D55" s="14" t="s">
        <v>166</v>
      </c>
      <c r="E55" s="14" t="s">
        <v>1391</v>
      </c>
      <c r="F55" s="14" t="s">
        <v>24</v>
      </c>
      <c r="G55" s="14" t="s">
        <v>1392</v>
      </c>
      <c r="H55" s="14" t="s">
        <v>26</v>
      </c>
      <c r="I55" s="16">
        <v>286100</v>
      </c>
      <c r="J55" s="161"/>
      <c r="K55" s="161"/>
      <c r="L55" s="16">
        <v>620520</v>
      </c>
      <c r="M55" s="16">
        <v>445620</v>
      </c>
      <c r="N55" s="16">
        <f>L55-M55</f>
      </c>
      <c r="O55" s="14" t="s">
        <v>50</v>
      </c>
      <c r="P55" s="14" t="s">
        <v>1393</v>
      </c>
      <c r="Q55" s="161">
        <v>2</v>
      </c>
      <c r="R55" s="161"/>
      <c r="S55" s="161"/>
      <c r="T55" s="161"/>
      <c r="U55" s="161"/>
      <c r="V55" s="161"/>
      <c r="W55" s="161"/>
      <c r="X55" s="34"/>
    </row>
    <row x14ac:dyDescent="0.25" r="56" customHeight="1" ht="15.75">
      <c r="A56" s="12">
        <v>45975</v>
      </c>
      <c r="B56" s="14" t="s">
        <v>66</v>
      </c>
      <c r="C56" s="161" t="s">
        <v>1390</v>
      </c>
      <c r="D56" s="14" t="s">
        <v>166</v>
      </c>
      <c r="E56" s="14" t="s">
        <v>1394</v>
      </c>
      <c r="F56" s="14" t="s">
        <v>24</v>
      </c>
      <c r="G56" s="14" t="s">
        <v>1395</v>
      </c>
      <c r="H56" s="14" t="s">
        <v>26</v>
      </c>
      <c r="I56" s="16">
        <v>385900</v>
      </c>
      <c r="J56" s="161"/>
      <c r="K56" s="161"/>
      <c r="L56" s="16">
        <v>904820</v>
      </c>
      <c r="M56" s="16">
        <v>745420</v>
      </c>
      <c r="N56" s="16">
        <f>L56-M56</f>
      </c>
      <c r="O56" s="14" t="s">
        <v>50</v>
      </c>
      <c r="P56" s="14" t="s">
        <v>1396</v>
      </c>
      <c r="Q56" s="161">
        <v>2</v>
      </c>
      <c r="R56" s="161"/>
      <c r="S56" s="161"/>
      <c r="T56" s="161"/>
      <c r="U56" s="161"/>
      <c r="V56" s="161"/>
      <c r="W56" s="161"/>
      <c r="X56" s="34"/>
    </row>
    <row x14ac:dyDescent="0.25" r="57" customHeight="1" ht="15.75">
      <c r="A57" s="12">
        <v>45975</v>
      </c>
      <c r="B57" s="14" t="s">
        <v>66</v>
      </c>
      <c r="C57" s="161" t="s">
        <v>1390</v>
      </c>
      <c r="D57" s="14" t="s">
        <v>166</v>
      </c>
      <c r="E57" s="14" t="s">
        <v>1397</v>
      </c>
      <c r="F57" s="14" t="s">
        <v>24</v>
      </c>
      <c r="G57" s="14" t="s">
        <v>1398</v>
      </c>
      <c r="H57" s="14" t="s">
        <v>26</v>
      </c>
      <c r="I57" s="16">
        <v>385900</v>
      </c>
      <c r="J57" s="161"/>
      <c r="K57" s="161"/>
      <c r="L57" s="16">
        <v>904820</v>
      </c>
      <c r="M57" s="16">
        <v>745420</v>
      </c>
      <c r="N57" s="16">
        <v>159400</v>
      </c>
      <c r="O57" s="14" t="s">
        <v>50</v>
      </c>
      <c r="P57" s="14" t="s">
        <v>1399</v>
      </c>
      <c r="Q57" s="161">
        <v>2</v>
      </c>
      <c r="R57" s="161"/>
      <c r="S57" s="161"/>
      <c r="T57" s="161"/>
      <c r="U57" s="161"/>
      <c r="V57" s="161"/>
      <c r="W57" s="161"/>
      <c r="X57" s="34"/>
    </row>
    <row x14ac:dyDescent="0.25" r="58" customHeight="1" ht="15.75">
      <c r="A58" s="12">
        <v>45975</v>
      </c>
      <c r="B58" s="14" t="s">
        <v>66</v>
      </c>
      <c r="C58" s="161" t="s">
        <v>1390</v>
      </c>
      <c r="D58" s="14" t="s">
        <v>166</v>
      </c>
      <c r="E58" s="14" t="s">
        <v>1400</v>
      </c>
      <c r="F58" s="14" t="s">
        <v>24</v>
      </c>
      <c r="G58" s="14" t="s">
        <v>1401</v>
      </c>
      <c r="H58" s="14" t="s">
        <v>26</v>
      </c>
      <c r="I58" s="16">
        <v>385900</v>
      </c>
      <c r="J58" s="161"/>
      <c r="K58" s="161"/>
      <c r="L58" s="16">
        <v>961800</v>
      </c>
      <c r="M58" s="16">
        <v>745420</v>
      </c>
      <c r="N58" s="16">
        <f>L58-M58</f>
      </c>
      <c r="O58" s="14" t="s">
        <v>50</v>
      </c>
      <c r="P58" s="14" t="s">
        <v>1402</v>
      </c>
      <c r="Q58" s="161">
        <v>2</v>
      </c>
      <c r="R58" s="161"/>
      <c r="S58" s="161"/>
      <c r="T58" s="161"/>
      <c r="U58" s="161"/>
      <c r="V58" s="161"/>
      <c r="W58" s="161"/>
      <c r="X58" s="34"/>
    </row>
    <row x14ac:dyDescent="0.25" r="59" customHeight="1" ht="15.75">
      <c r="A59" s="12">
        <v>45975</v>
      </c>
      <c r="B59" s="14" t="s">
        <v>72</v>
      </c>
      <c r="C59" s="161" t="s">
        <v>1403</v>
      </c>
      <c r="D59" s="14" t="s">
        <v>448</v>
      </c>
      <c r="E59" s="14" t="s">
        <v>1404</v>
      </c>
      <c r="F59" s="14" t="s">
        <v>1405</v>
      </c>
      <c r="G59" s="14" t="s">
        <v>1406</v>
      </c>
      <c r="H59" s="14" t="s">
        <v>26</v>
      </c>
      <c r="I59" s="16"/>
      <c r="J59" s="161"/>
      <c r="K59" s="161"/>
      <c r="L59" s="16">
        <v>505500</v>
      </c>
      <c r="M59" s="16">
        <v>450020</v>
      </c>
      <c r="N59" s="16">
        <f>L59-M59</f>
      </c>
      <c r="O59" s="14" t="s">
        <v>50</v>
      </c>
      <c r="P59" s="14" t="s">
        <v>1407</v>
      </c>
      <c r="Q59" s="161">
        <v>4</v>
      </c>
      <c r="R59" s="161"/>
      <c r="S59" s="161"/>
      <c r="T59" s="161"/>
      <c r="U59" s="161"/>
      <c r="V59" s="161"/>
      <c r="W59" s="161"/>
      <c r="X59" s="34"/>
    </row>
    <row x14ac:dyDescent="0.25" r="60" customHeight="1" ht="15.75">
      <c r="A60" s="12">
        <v>45975</v>
      </c>
      <c r="B60" s="14" t="s">
        <v>53</v>
      </c>
      <c r="C60" s="161" t="s">
        <v>1408</v>
      </c>
      <c r="D60" s="14" t="s">
        <v>118</v>
      </c>
      <c r="E60" s="14" t="s">
        <v>1409</v>
      </c>
      <c r="F60" s="14" t="s">
        <v>1410</v>
      </c>
      <c r="G60" s="14" t="s">
        <v>1411</v>
      </c>
      <c r="H60" s="14" t="s">
        <v>26</v>
      </c>
      <c r="I60" s="16">
        <v>483800</v>
      </c>
      <c r="J60" s="161"/>
      <c r="K60" s="161"/>
      <c r="L60" s="16">
        <v>980900</v>
      </c>
      <c r="M60" s="16">
        <v>933320</v>
      </c>
      <c r="N60" s="16">
        <f>L60-M60</f>
      </c>
      <c r="O60" s="14" t="s">
        <v>50</v>
      </c>
      <c r="P60" s="14" t="s">
        <v>1412</v>
      </c>
      <c r="Q60" s="161">
        <v>4</v>
      </c>
      <c r="R60" s="161"/>
      <c r="S60" s="161"/>
      <c r="T60" s="161"/>
      <c r="U60" s="161"/>
      <c r="V60" s="161"/>
      <c r="W60" s="161"/>
      <c r="X60" s="34"/>
    </row>
    <row x14ac:dyDescent="0.25" r="61" customHeight="1" ht="15.75">
      <c r="A61" s="12">
        <v>45975</v>
      </c>
      <c r="B61" s="14" t="s">
        <v>53</v>
      </c>
      <c r="C61" s="161" t="s">
        <v>1408</v>
      </c>
      <c r="D61" s="14" t="s">
        <v>118</v>
      </c>
      <c r="E61" s="14" t="s">
        <v>1409</v>
      </c>
      <c r="F61" s="14" t="s">
        <v>1410</v>
      </c>
      <c r="G61" s="14" t="s">
        <v>1413</v>
      </c>
      <c r="H61" s="14" t="s">
        <v>26</v>
      </c>
      <c r="I61" s="16">
        <v>483800</v>
      </c>
      <c r="J61" s="161"/>
      <c r="K61" s="161"/>
      <c r="L61" s="16">
        <v>980900</v>
      </c>
      <c r="M61" s="16">
        <v>933320</v>
      </c>
      <c r="N61" s="16">
        <f>L61-M61</f>
      </c>
      <c r="O61" s="14" t="s">
        <v>50</v>
      </c>
      <c r="P61" s="14" t="s">
        <v>1414</v>
      </c>
      <c r="Q61" s="161">
        <v>4</v>
      </c>
      <c r="R61" s="161"/>
      <c r="S61" s="161"/>
      <c r="T61" s="161"/>
      <c r="U61" s="161"/>
      <c r="V61" s="161"/>
      <c r="W61" s="161"/>
      <c r="X61" s="34"/>
    </row>
    <row x14ac:dyDescent="0.25" r="62" customHeight="1" ht="15.75">
      <c r="A62" s="12">
        <v>45975</v>
      </c>
      <c r="B62" s="14" t="s">
        <v>290</v>
      </c>
      <c r="C62" s="161" t="s">
        <v>1415</v>
      </c>
      <c r="D62" s="14" t="s">
        <v>1416</v>
      </c>
      <c r="E62" s="14" t="s">
        <v>1417</v>
      </c>
      <c r="F62" s="14" t="s">
        <v>1418</v>
      </c>
      <c r="G62" s="14" t="s">
        <v>1419</v>
      </c>
      <c r="H62" s="14" t="s">
        <v>76</v>
      </c>
      <c r="I62" s="16"/>
      <c r="J62" s="161"/>
      <c r="K62" s="161"/>
      <c r="L62" s="16">
        <v>500000</v>
      </c>
      <c r="M62" s="16">
        <v>483320</v>
      </c>
      <c r="N62" s="16">
        <f>L62-M62</f>
      </c>
      <c r="O62" s="14" t="s">
        <v>43</v>
      </c>
      <c r="P62" s="14" t="s">
        <v>1420</v>
      </c>
      <c r="Q62" s="161"/>
      <c r="R62" s="161"/>
      <c r="S62" s="161"/>
      <c r="T62" s="161"/>
      <c r="U62" s="161"/>
      <c r="V62" s="161"/>
      <c r="W62" s="161"/>
      <c r="X62" s="34"/>
    </row>
    <row x14ac:dyDescent="0.25" r="63" customHeight="1" ht="15.75">
      <c r="A63" s="12">
        <v>45975</v>
      </c>
      <c r="B63" s="14" t="s">
        <v>111</v>
      </c>
      <c r="C63" s="161" t="s">
        <v>1421</v>
      </c>
      <c r="D63" s="14" t="s">
        <v>112</v>
      </c>
      <c r="E63" s="14" t="s">
        <v>1422</v>
      </c>
      <c r="F63" s="14" t="s">
        <v>762</v>
      </c>
      <c r="G63" s="14" t="s">
        <v>1423</v>
      </c>
      <c r="H63" s="14" t="s">
        <v>26</v>
      </c>
      <c r="I63" s="16"/>
      <c r="J63" s="161"/>
      <c r="K63" s="161"/>
      <c r="L63" s="16">
        <v>479205</v>
      </c>
      <c r="M63" s="16">
        <v>439205</v>
      </c>
      <c r="N63" s="16">
        <f>L63-M63</f>
      </c>
      <c r="O63" s="14" t="s">
        <v>77</v>
      </c>
      <c r="P63" s="14" t="s">
        <v>1424</v>
      </c>
      <c r="Q63" s="161"/>
      <c r="R63" s="161"/>
      <c r="S63" s="161"/>
      <c r="T63" s="161"/>
      <c r="U63" s="161"/>
      <c r="V63" s="161"/>
      <c r="W63" s="161"/>
      <c r="X63" s="34"/>
    </row>
    <row x14ac:dyDescent="0.25" r="64" customHeight="1" ht="15.75">
      <c r="A64" s="12">
        <v>45976</v>
      </c>
      <c r="B64" s="14" t="s">
        <v>66</v>
      </c>
      <c r="C64" s="161" t="s">
        <v>1425</v>
      </c>
      <c r="D64" s="14" t="s">
        <v>1426</v>
      </c>
      <c r="E64" s="14" t="s">
        <v>1427</v>
      </c>
      <c r="F64" s="14" t="s">
        <v>135</v>
      </c>
      <c r="G64" s="14" t="s">
        <v>1428</v>
      </c>
      <c r="H64" s="14" t="s">
        <v>26</v>
      </c>
      <c r="I64" s="16">
        <v>1259300</v>
      </c>
      <c r="J64" s="161"/>
      <c r="K64" s="161"/>
      <c r="L64" s="16">
        <v>1699720</v>
      </c>
      <c r="M64" s="16">
        <v>1627720</v>
      </c>
      <c r="N64" s="16">
        <f>L64-M64</f>
      </c>
      <c r="O64" s="14" t="s">
        <v>50</v>
      </c>
      <c r="P64" s="14" t="s">
        <v>1429</v>
      </c>
      <c r="Q64" s="161">
        <v>2</v>
      </c>
      <c r="R64" s="161"/>
      <c r="S64" s="161"/>
      <c r="T64" s="161"/>
      <c r="U64" s="161"/>
      <c r="V64" s="161"/>
      <c r="W64" s="161"/>
      <c r="X64" s="34"/>
    </row>
    <row x14ac:dyDescent="0.25" r="65" customHeight="1" ht="15.75">
      <c r="A65" s="12">
        <v>45976</v>
      </c>
      <c r="B65" s="14" t="s">
        <v>53</v>
      </c>
      <c r="C65" s="161" t="s">
        <v>1378</v>
      </c>
      <c r="D65" s="14" t="s">
        <v>232</v>
      </c>
      <c r="E65" s="14" t="s">
        <v>1430</v>
      </c>
      <c r="F65" s="14" t="s">
        <v>825</v>
      </c>
      <c r="G65" s="14" t="s">
        <v>136</v>
      </c>
      <c r="H65" s="14" t="s">
        <v>26</v>
      </c>
      <c r="I65" s="16"/>
      <c r="J65" s="161"/>
      <c r="K65" s="161"/>
      <c r="L65" s="16">
        <v>23000</v>
      </c>
      <c r="M65" s="16">
        <v>23000</v>
      </c>
      <c r="N65" s="16">
        <f>L65-M65</f>
      </c>
      <c r="O65" s="14" t="s">
        <v>137</v>
      </c>
      <c r="P65" s="14" t="s">
        <v>1380</v>
      </c>
      <c r="Q65" s="161" t="s">
        <v>1431</v>
      </c>
      <c r="R65" s="161"/>
      <c r="S65" s="161"/>
      <c r="T65" s="161"/>
      <c r="U65" s="161"/>
      <c r="V65" s="161"/>
      <c r="W65" s="161"/>
      <c r="X65" s="34"/>
    </row>
    <row x14ac:dyDescent="0.25" r="66" customHeight="1" ht="15.75">
      <c r="A66" s="12">
        <v>45976</v>
      </c>
      <c r="B66" s="14" t="s">
        <v>897</v>
      </c>
      <c r="C66" s="161" t="s">
        <v>1432</v>
      </c>
      <c r="D66" s="14" t="s">
        <v>189</v>
      </c>
      <c r="E66" s="14" t="s">
        <v>1433</v>
      </c>
      <c r="F66" s="14" t="s">
        <v>1169</v>
      </c>
      <c r="G66" s="14" t="s">
        <v>1434</v>
      </c>
      <c r="H66" s="14" t="s">
        <v>26</v>
      </c>
      <c r="I66" s="16">
        <v>195900</v>
      </c>
      <c r="J66" s="161"/>
      <c r="K66" s="161"/>
      <c r="L66" s="16">
        <v>475955</v>
      </c>
      <c r="M66" s="16">
        <v>440955</v>
      </c>
      <c r="N66" s="16">
        <f>L66-M66</f>
      </c>
      <c r="O66" s="14" t="s">
        <v>50</v>
      </c>
      <c r="P66" s="14" t="s">
        <v>1435</v>
      </c>
      <c r="Q66" s="161">
        <v>2</v>
      </c>
      <c r="R66" s="161"/>
      <c r="S66" s="161"/>
      <c r="T66" s="161"/>
      <c r="U66" s="161"/>
      <c r="V66" s="161"/>
      <c r="W66" s="161"/>
      <c r="X66" s="34"/>
    </row>
    <row x14ac:dyDescent="0.25" r="67" customHeight="1" ht="15.75">
      <c r="A67" s="12">
        <v>45976</v>
      </c>
      <c r="B67" s="14" t="s">
        <v>72</v>
      </c>
      <c r="C67" s="161" t="s">
        <v>1436</v>
      </c>
      <c r="D67" s="14" t="s">
        <v>1437</v>
      </c>
      <c r="E67" s="14" t="s">
        <v>1438</v>
      </c>
      <c r="F67" s="14" t="s">
        <v>1122</v>
      </c>
      <c r="G67" s="14" t="s">
        <v>1439</v>
      </c>
      <c r="H67" s="14" t="s">
        <v>26</v>
      </c>
      <c r="I67" s="16">
        <v>470100</v>
      </c>
      <c r="J67" s="161"/>
      <c r="K67" s="161"/>
      <c r="L67" s="16">
        <v>831620</v>
      </c>
      <c r="M67" s="16">
        <v>798020</v>
      </c>
      <c r="N67" s="16">
        <f>L67-M67</f>
      </c>
      <c r="O67" s="14" t="s">
        <v>50</v>
      </c>
      <c r="P67" s="14" t="s">
        <v>1440</v>
      </c>
      <c r="Q67" s="161">
        <v>4</v>
      </c>
      <c r="R67" s="161"/>
      <c r="S67" s="161"/>
      <c r="T67" s="161"/>
      <c r="U67" s="161"/>
      <c r="V67" s="161"/>
      <c r="W67" s="161"/>
      <c r="X67" s="34"/>
    </row>
    <row x14ac:dyDescent="0.25" r="68" customHeight="1" ht="15.75">
      <c r="A68" s="12">
        <v>45976</v>
      </c>
      <c r="B68" s="14" t="s">
        <v>72</v>
      </c>
      <c r="C68" s="161" t="s">
        <v>1441</v>
      </c>
      <c r="D68" s="14" t="s">
        <v>1442</v>
      </c>
      <c r="E68" s="14" t="s">
        <v>1443</v>
      </c>
      <c r="F68" s="14" t="s">
        <v>548</v>
      </c>
      <c r="G68" s="14" t="s">
        <v>1444</v>
      </c>
      <c r="H68" s="14" t="s">
        <v>26</v>
      </c>
      <c r="I68" s="16">
        <v>257900</v>
      </c>
      <c r="J68" s="161"/>
      <c r="K68" s="161"/>
      <c r="L68" s="16">
        <v>679900</v>
      </c>
      <c r="M68" s="16">
        <v>523120</v>
      </c>
      <c r="N68" s="16">
        <f>L68-M68</f>
      </c>
      <c r="O68" s="14" t="s">
        <v>50</v>
      </c>
      <c r="P68" s="14" t="s">
        <v>1445</v>
      </c>
      <c r="Q68" s="161">
        <v>4</v>
      </c>
      <c r="R68" s="161"/>
      <c r="S68" s="161"/>
      <c r="T68" s="161"/>
      <c r="U68" s="161"/>
      <c r="V68" s="161"/>
      <c r="W68" s="161"/>
      <c r="X68" s="34"/>
    </row>
    <row x14ac:dyDescent="0.25" r="69" customHeight="1" ht="15.75">
      <c r="A69" s="12">
        <v>45976</v>
      </c>
      <c r="B69" s="14" t="s">
        <v>72</v>
      </c>
      <c r="C69" s="161" t="s">
        <v>1441</v>
      </c>
      <c r="D69" s="14" t="s">
        <v>1442</v>
      </c>
      <c r="E69" s="30" t="s">
        <v>1443</v>
      </c>
      <c r="F69" s="14" t="s">
        <v>548</v>
      </c>
      <c r="G69" s="14" t="s">
        <v>1446</v>
      </c>
      <c r="H69" s="14" t="s">
        <v>26</v>
      </c>
      <c r="I69" s="16">
        <v>257900</v>
      </c>
      <c r="J69" s="161"/>
      <c r="K69" s="161"/>
      <c r="L69" s="16">
        <v>679900</v>
      </c>
      <c r="M69" s="16">
        <v>523120</v>
      </c>
      <c r="N69" s="16">
        <f>L69-M69</f>
      </c>
      <c r="O69" s="14" t="s">
        <v>50</v>
      </c>
      <c r="P69" s="14" t="s">
        <v>1447</v>
      </c>
      <c r="Q69" s="161">
        <v>4</v>
      </c>
      <c r="R69" s="161"/>
      <c r="S69" s="161"/>
      <c r="T69" s="161"/>
      <c r="U69" s="161"/>
      <c r="V69" s="161"/>
      <c r="W69" s="161"/>
      <c r="X69" s="34"/>
    </row>
    <row x14ac:dyDescent="0.25" r="70" customHeight="1" ht="15">
      <c r="A70" s="12">
        <v>45978</v>
      </c>
      <c r="B70" s="14" t="s">
        <v>66</v>
      </c>
      <c r="C70" s="162">
        <v>45981</v>
      </c>
      <c r="D70" s="14" t="s">
        <v>1448</v>
      </c>
      <c r="E70" s="30" t="s">
        <v>1449</v>
      </c>
      <c r="F70" s="14" t="s">
        <v>24</v>
      </c>
      <c r="G70" s="14" t="s">
        <v>1401</v>
      </c>
      <c r="H70" s="14" t="s">
        <v>26</v>
      </c>
      <c r="I70" s="16"/>
      <c r="J70" s="161"/>
      <c r="K70" s="161"/>
      <c r="L70" s="16">
        <v>225700</v>
      </c>
      <c r="M70" s="16">
        <v>190700</v>
      </c>
      <c r="N70" s="16">
        <f>L70-M70</f>
      </c>
      <c r="O70" s="14" t="s">
        <v>50</v>
      </c>
      <c r="P70" s="14" t="s">
        <v>1450</v>
      </c>
      <c r="Q70" s="161" t="s">
        <v>33</v>
      </c>
      <c r="R70" s="161"/>
      <c r="S70" s="161"/>
      <c r="T70" s="161"/>
      <c r="U70" s="161"/>
      <c r="V70" s="161"/>
      <c r="W70" s="161"/>
      <c r="X70" s="34"/>
    </row>
    <row x14ac:dyDescent="0.25" r="71" customHeight="1" ht="15">
      <c r="A71" s="12">
        <v>45978</v>
      </c>
      <c r="B71" s="14" t="s">
        <v>897</v>
      </c>
      <c r="C71" s="161" t="s">
        <v>1451</v>
      </c>
      <c r="D71" s="14" t="s">
        <v>448</v>
      </c>
      <c r="E71" s="30" t="s">
        <v>1452</v>
      </c>
      <c r="F71" s="14" t="s">
        <v>1453</v>
      </c>
      <c r="G71" s="14" t="s">
        <v>1454</v>
      </c>
      <c r="H71" s="14" t="s">
        <v>26</v>
      </c>
      <c r="I71" s="16"/>
      <c r="J71" s="161"/>
      <c r="K71" s="161"/>
      <c r="L71" s="16">
        <v>882900</v>
      </c>
      <c r="M71" s="16">
        <v>822900</v>
      </c>
      <c r="N71" s="16">
        <f>L71-M71</f>
      </c>
      <c r="O71" s="14" t="s">
        <v>77</v>
      </c>
      <c r="P71" s="14" t="s">
        <v>901</v>
      </c>
      <c r="Q71" s="161"/>
      <c r="R71" s="161"/>
      <c r="S71" s="161"/>
      <c r="T71" s="161"/>
      <c r="U71" s="161"/>
      <c r="V71" s="161"/>
      <c r="W71" s="161"/>
      <c r="X71" s="34"/>
    </row>
    <row x14ac:dyDescent="0.25" r="72" customHeight="1" ht="15">
      <c r="A72" s="12">
        <v>45978</v>
      </c>
      <c r="B72" s="161"/>
      <c r="C72" s="162"/>
      <c r="D72" s="161"/>
      <c r="E72" s="14" t="s">
        <v>1455</v>
      </c>
      <c r="F72" s="14" t="s">
        <v>1456</v>
      </c>
      <c r="G72" s="14" t="s">
        <v>1406</v>
      </c>
      <c r="H72" s="14" t="s">
        <v>26</v>
      </c>
      <c r="I72" s="16"/>
      <c r="J72" s="161"/>
      <c r="K72" s="161"/>
      <c r="L72" s="16">
        <v>90000</v>
      </c>
      <c r="M72" s="16">
        <v>65000</v>
      </c>
      <c r="N72" s="16">
        <f>L72-M72</f>
      </c>
      <c r="O72" s="14" t="s">
        <v>36</v>
      </c>
      <c r="P72" s="14" t="s">
        <v>1457</v>
      </c>
      <c r="Q72" s="161"/>
      <c r="R72" s="161"/>
      <c r="S72" s="161"/>
      <c r="T72" s="161"/>
      <c r="U72" s="161"/>
      <c r="V72" s="161"/>
      <c r="W72" s="161"/>
      <c r="X72" s="34"/>
    </row>
    <row x14ac:dyDescent="0.25" r="73" customHeight="1" ht="15">
      <c r="A73" s="12">
        <v>45978</v>
      </c>
      <c r="B73" s="14" t="s">
        <v>82</v>
      </c>
      <c r="C73" s="161" t="s">
        <v>1458</v>
      </c>
      <c r="D73" s="14" t="s">
        <v>83</v>
      </c>
      <c r="E73" s="14" t="s">
        <v>1459</v>
      </c>
      <c r="F73" s="14" t="s">
        <v>1460</v>
      </c>
      <c r="G73" s="14" t="s">
        <v>1461</v>
      </c>
      <c r="H73" s="14" t="s">
        <v>26</v>
      </c>
      <c r="I73" s="16"/>
      <c r="J73" s="161"/>
      <c r="K73" s="161"/>
      <c r="L73" s="16">
        <v>106800</v>
      </c>
      <c r="M73" s="16">
        <v>86540</v>
      </c>
      <c r="N73" s="16">
        <f>L73-M73</f>
      </c>
      <c r="O73" s="14" t="s">
        <v>43</v>
      </c>
      <c r="P73" s="14" t="s">
        <v>1462</v>
      </c>
      <c r="Q73" s="161"/>
      <c r="R73" s="161"/>
      <c r="S73" s="161"/>
      <c r="T73" s="161"/>
      <c r="U73" s="161"/>
      <c r="V73" s="161"/>
      <c r="W73" s="161"/>
      <c r="X73" s="34"/>
    </row>
    <row x14ac:dyDescent="0.25" r="74" customHeight="1" ht="15">
      <c r="A74" s="12">
        <v>45979</v>
      </c>
      <c r="B74" s="14" t="s">
        <v>82</v>
      </c>
      <c r="C74" s="162">
        <v>45983</v>
      </c>
      <c r="D74" s="14" t="s">
        <v>472</v>
      </c>
      <c r="E74" s="14" t="s">
        <v>1463</v>
      </c>
      <c r="F74" s="14" t="s">
        <v>1464</v>
      </c>
      <c r="G74" s="14" t="s">
        <v>1465</v>
      </c>
      <c r="H74" s="14" t="s">
        <v>26</v>
      </c>
      <c r="I74" s="16"/>
      <c r="J74" s="161"/>
      <c r="K74" s="161"/>
      <c r="L74" s="16">
        <v>85900</v>
      </c>
      <c r="M74" s="16">
        <v>71870</v>
      </c>
      <c r="N74" s="16">
        <f>L74-M74</f>
      </c>
      <c r="O74" s="14" t="s">
        <v>43</v>
      </c>
      <c r="P74" s="14" t="s">
        <v>1466</v>
      </c>
      <c r="Q74" s="161"/>
      <c r="R74" s="161"/>
      <c r="S74" s="161"/>
      <c r="T74" s="161"/>
      <c r="U74" s="161"/>
      <c r="V74" s="161"/>
      <c r="W74" s="161"/>
      <c r="X74" s="34"/>
    </row>
    <row x14ac:dyDescent="0.25" r="75" customHeight="1" ht="15">
      <c r="A75" s="12">
        <v>45979</v>
      </c>
      <c r="B75" s="14" t="s">
        <v>46</v>
      </c>
      <c r="C75" s="161" t="s">
        <v>1403</v>
      </c>
      <c r="D75" s="14" t="s">
        <v>1267</v>
      </c>
      <c r="E75" s="14" t="s">
        <v>1467</v>
      </c>
      <c r="F75" s="14" t="s">
        <v>1468</v>
      </c>
      <c r="G75" s="14" t="s">
        <v>1469</v>
      </c>
      <c r="H75" s="14" t="s">
        <v>26</v>
      </c>
      <c r="I75" s="16"/>
      <c r="J75" s="161"/>
      <c r="K75" s="161"/>
      <c r="L75" s="16">
        <v>526400</v>
      </c>
      <c r="M75" s="16">
        <v>240700</v>
      </c>
      <c r="N75" s="16">
        <f>L75-M75</f>
      </c>
      <c r="O75" s="14" t="s">
        <v>50</v>
      </c>
      <c r="P75" s="14" t="s">
        <v>1470</v>
      </c>
      <c r="Q75" s="161" t="s">
        <v>33</v>
      </c>
      <c r="R75" s="161"/>
      <c r="S75" s="161"/>
      <c r="T75" s="161"/>
      <c r="U75" s="161"/>
      <c r="V75" s="161"/>
      <c r="W75" s="161"/>
      <c r="X75" s="34"/>
    </row>
    <row x14ac:dyDescent="0.25" r="76" customHeight="1" ht="15.75">
      <c r="A76" s="12">
        <v>45979</v>
      </c>
      <c r="B76" s="14" t="s">
        <v>46</v>
      </c>
      <c r="C76" s="161" t="s">
        <v>1403</v>
      </c>
      <c r="D76" s="14" t="s">
        <v>1267</v>
      </c>
      <c r="E76" s="14" t="s">
        <v>1467</v>
      </c>
      <c r="F76" s="14" t="s">
        <v>1468</v>
      </c>
      <c r="G76" s="14" t="s">
        <v>1471</v>
      </c>
      <c r="H76" s="14" t="s">
        <v>26</v>
      </c>
      <c r="I76" s="16"/>
      <c r="J76" s="161"/>
      <c r="K76" s="161"/>
      <c r="L76" s="16">
        <v>526400</v>
      </c>
      <c r="M76" s="16">
        <v>240700</v>
      </c>
      <c r="N76" s="16">
        <f>L76-M76</f>
      </c>
      <c r="O76" s="14" t="s">
        <v>50</v>
      </c>
      <c r="P76" s="14" t="s">
        <v>1472</v>
      </c>
      <c r="Q76" s="161" t="s">
        <v>33</v>
      </c>
      <c r="R76" s="161"/>
      <c r="S76" s="161"/>
      <c r="T76" s="161"/>
      <c r="U76" s="161"/>
      <c r="V76" s="161"/>
      <c r="W76" s="161"/>
      <c r="X76" s="34"/>
    </row>
    <row x14ac:dyDescent="0.25" r="77" customHeight="1" ht="15">
      <c r="A77" s="12">
        <v>45980</v>
      </c>
      <c r="B77" s="14" t="s">
        <v>123</v>
      </c>
      <c r="C77" s="161" t="s">
        <v>1473</v>
      </c>
      <c r="D77" s="14" t="s">
        <v>1474</v>
      </c>
      <c r="E77" s="14" t="s">
        <v>1475</v>
      </c>
      <c r="F77" s="14" t="s">
        <v>1476</v>
      </c>
      <c r="G77" s="14" t="s">
        <v>1477</v>
      </c>
      <c r="H77" s="14" t="s">
        <v>26</v>
      </c>
      <c r="I77" s="16"/>
      <c r="J77" s="161"/>
      <c r="K77" s="161"/>
      <c r="L77" s="16">
        <v>875900</v>
      </c>
      <c r="M77" s="16">
        <v>838520</v>
      </c>
      <c r="N77" s="16">
        <f>L77-M77</f>
      </c>
      <c r="O77" s="14" t="s">
        <v>50</v>
      </c>
      <c r="P77" s="14" t="s">
        <v>1478</v>
      </c>
      <c r="Q77" s="161">
        <v>4</v>
      </c>
      <c r="R77" s="161"/>
      <c r="S77" s="161"/>
      <c r="T77" s="161"/>
      <c r="U77" s="161"/>
      <c r="V77" s="161"/>
      <c r="W77" s="161"/>
      <c r="X77" s="34"/>
    </row>
    <row x14ac:dyDescent="0.25" r="78" customHeight="1" ht="15.75">
      <c r="A78" s="12">
        <v>45980</v>
      </c>
      <c r="B78" s="14" t="s">
        <v>106</v>
      </c>
      <c r="C78" s="161" t="s">
        <v>1479</v>
      </c>
      <c r="D78" s="14" t="s">
        <v>1238</v>
      </c>
      <c r="E78" s="14" t="s">
        <v>1480</v>
      </c>
      <c r="F78" s="14" t="s">
        <v>1263</v>
      </c>
      <c r="G78" s="14" t="s">
        <v>1481</v>
      </c>
      <c r="H78" s="14" t="s">
        <v>26</v>
      </c>
      <c r="I78" s="16"/>
      <c r="J78" s="161"/>
      <c r="K78" s="161"/>
      <c r="L78" s="16" t="s">
        <v>1482</v>
      </c>
      <c r="M78" s="16">
        <v>683220</v>
      </c>
      <c r="N78" s="16">
        <v>50000</v>
      </c>
      <c r="O78" s="14" t="s">
        <v>50</v>
      </c>
      <c r="P78" s="14" t="s">
        <v>1483</v>
      </c>
      <c r="Q78" s="161">
        <v>4</v>
      </c>
      <c r="R78" s="161"/>
      <c r="S78" s="161"/>
      <c r="T78" s="161"/>
      <c r="U78" s="161"/>
      <c r="V78" s="161"/>
      <c r="W78" s="161"/>
      <c r="X78" s="34"/>
    </row>
    <row x14ac:dyDescent="0.25" r="79" customHeight="1" ht="15.75">
      <c r="A79" s="12">
        <v>45980</v>
      </c>
      <c r="B79" s="14" t="s">
        <v>66</v>
      </c>
      <c r="C79" s="162">
        <v>45981</v>
      </c>
      <c r="D79" s="14" t="s">
        <v>415</v>
      </c>
      <c r="E79" s="14" t="s">
        <v>1484</v>
      </c>
      <c r="F79" s="14" t="s">
        <v>24</v>
      </c>
      <c r="G79" s="14" t="s">
        <v>1401</v>
      </c>
      <c r="H79" s="14" t="s">
        <v>26</v>
      </c>
      <c r="I79" s="16"/>
      <c r="J79" s="161"/>
      <c r="K79" s="161"/>
      <c r="L79" s="16">
        <v>192900</v>
      </c>
      <c r="M79" s="16">
        <v>92300</v>
      </c>
      <c r="N79" s="16">
        <f>L79-M79</f>
      </c>
      <c r="O79" s="14" t="s">
        <v>66</v>
      </c>
      <c r="P79" s="14" t="s">
        <v>1485</v>
      </c>
      <c r="Q79" s="161"/>
      <c r="R79" s="161"/>
      <c r="S79" s="161"/>
      <c r="T79" s="161"/>
      <c r="U79" s="161"/>
      <c r="V79" s="161"/>
      <c r="W79" s="161"/>
      <c r="X79" s="34"/>
    </row>
    <row x14ac:dyDescent="0.25" r="80" customHeight="1" ht="15.75">
      <c r="A80" s="12">
        <v>45980</v>
      </c>
      <c r="B80" s="14" t="s">
        <v>82</v>
      </c>
      <c r="C80" s="161" t="s">
        <v>1486</v>
      </c>
      <c r="D80" s="14" t="s">
        <v>525</v>
      </c>
      <c r="E80" s="14" t="s">
        <v>1487</v>
      </c>
      <c r="F80" s="14" t="s">
        <v>711</v>
      </c>
      <c r="G80" s="14" t="s">
        <v>1488</v>
      </c>
      <c r="H80" s="14" t="s">
        <v>26</v>
      </c>
      <c r="I80" s="6"/>
      <c r="J80" s="161"/>
      <c r="K80" s="161"/>
      <c r="L80" s="16">
        <v>155900</v>
      </c>
      <c r="M80" s="16">
        <v>131640</v>
      </c>
      <c r="N80" s="16">
        <f>L80-M80</f>
      </c>
      <c r="O80" s="14" t="s">
        <v>43</v>
      </c>
      <c r="P80" s="14" t="s">
        <v>1489</v>
      </c>
      <c r="Q80" s="161"/>
      <c r="R80" s="161"/>
      <c r="S80" s="161"/>
      <c r="T80" s="161"/>
      <c r="U80" s="161"/>
      <c r="V80" s="161"/>
      <c r="W80" s="161"/>
      <c r="X80" s="34"/>
    </row>
    <row x14ac:dyDescent="0.25" r="81" customHeight="1" ht="15.75">
      <c r="A81" s="12">
        <v>45981</v>
      </c>
      <c r="B81" s="14" t="s">
        <v>106</v>
      </c>
      <c r="C81" s="161" t="s">
        <v>1490</v>
      </c>
      <c r="D81" s="14" t="s">
        <v>1238</v>
      </c>
      <c r="E81" s="14" t="s">
        <v>1491</v>
      </c>
      <c r="F81" s="14" t="s">
        <v>1263</v>
      </c>
      <c r="G81" s="14" t="s">
        <v>1492</v>
      </c>
      <c r="H81" s="14" t="s">
        <v>26</v>
      </c>
      <c r="I81" s="16"/>
      <c r="J81" s="161"/>
      <c r="K81" s="161"/>
      <c r="L81" s="16">
        <v>733220</v>
      </c>
      <c r="M81" s="16">
        <v>575320</v>
      </c>
      <c r="N81" s="16">
        <f>L81-M81</f>
      </c>
      <c r="O81" s="14" t="s">
        <v>50</v>
      </c>
      <c r="P81" s="14" t="s">
        <v>1493</v>
      </c>
      <c r="Q81" s="161">
        <v>3</v>
      </c>
      <c r="R81" s="161"/>
      <c r="S81" s="161"/>
      <c r="T81" s="161"/>
      <c r="U81" s="161"/>
      <c r="V81" s="161"/>
      <c r="W81" s="161"/>
      <c r="X81" s="34"/>
    </row>
    <row x14ac:dyDescent="0.25" r="82" customHeight="1" ht="15.75">
      <c r="A82" s="12">
        <v>45981</v>
      </c>
      <c r="B82" s="14" t="s">
        <v>106</v>
      </c>
      <c r="C82" s="161" t="s">
        <v>1494</v>
      </c>
      <c r="D82" s="14" t="s">
        <v>1495</v>
      </c>
      <c r="E82" s="14" t="s">
        <v>1491</v>
      </c>
      <c r="F82" s="14" t="s">
        <v>1263</v>
      </c>
      <c r="G82" s="14" t="s">
        <v>912</v>
      </c>
      <c r="H82" s="14" t="s">
        <v>26</v>
      </c>
      <c r="I82" s="16"/>
      <c r="J82" s="161"/>
      <c r="K82" s="161"/>
      <c r="L82" s="16">
        <v>824620</v>
      </c>
      <c r="M82" s="16">
        <v>774620</v>
      </c>
      <c r="N82" s="16">
        <f>L82-M82</f>
      </c>
      <c r="O82" s="14" t="s">
        <v>50</v>
      </c>
      <c r="P82" s="14" t="s">
        <v>1496</v>
      </c>
      <c r="Q82" s="161">
        <v>6</v>
      </c>
      <c r="R82" s="161"/>
      <c r="S82" s="161"/>
      <c r="T82" s="161"/>
      <c r="U82" s="161"/>
      <c r="V82" s="161"/>
      <c r="W82" s="161"/>
      <c r="X82" s="34"/>
    </row>
    <row x14ac:dyDescent="0.25" r="83" customHeight="1" ht="15.75">
      <c r="A83" s="12">
        <v>45981</v>
      </c>
      <c r="B83" s="14" t="s">
        <v>46</v>
      </c>
      <c r="C83" s="161" t="s">
        <v>1497</v>
      </c>
      <c r="D83" s="14" t="s">
        <v>54</v>
      </c>
      <c r="E83" s="14" t="s">
        <v>1498</v>
      </c>
      <c r="F83" s="14" t="s">
        <v>1468</v>
      </c>
      <c r="G83" s="14" t="s">
        <v>1469</v>
      </c>
      <c r="H83" s="14" t="s">
        <v>26</v>
      </c>
      <c r="I83" s="16"/>
      <c r="J83" s="161"/>
      <c r="K83" s="161"/>
      <c r="L83" s="16" t="s">
        <v>1499</v>
      </c>
      <c r="M83" s="16">
        <v>171000</v>
      </c>
      <c r="N83" s="16">
        <v>27900</v>
      </c>
      <c r="O83" s="14" t="s">
        <v>50</v>
      </c>
      <c r="P83" s="14" t="s">
        <v>1500</v>
      </c>
      <c r="Q83" s="161" t="s">
        <v>33</v>
      </c>
      <c r="R83" s="161"/>
      <c r="S83" s="161"/>
      <c r="T83" s="161"/>
      <c r="U83" s="161"/>
      <c r="V83" s="161"/>
      <c r="W83" s="161"/>
      <c r="X83" s="34"/>
    </row>
    <row x14ac:dyDescent="0.25" r="84" customHeight="1" ht="15.75">
      <c r="A84" s="12">
        <v>45981</v>
      </c>
      <c r="B84" s="14" t="s">
        <v>46</v>
      </c>
      <c r="C84" s="161" t="s">
        <v>1497</v>
      </c>
      <c r="D84" s="14" t="s">
        <v>54</v>
      </c>
      <c r="E84" s="14" t="s">
        <v>1498</v>
      </c>
      <c r="F84" s="14" t="s">
        <v>1468</v>
      </c>
      <c r="G84" s="14" t="s">
        <v>1471</v>
      </c>
      <c r="H84" s="14" t="s">
        <v>26</v>
      </c>
      <c r="I84" s="16"/>
      <c r="J84" s="161"/>
      <c r="K84" s="161"/>
      <c r="L84" s="16">
        <v>198900</v>
      </c>
      <c r="M84" s="16">
        <v>171000</v>
      </c>
      <c r="N84" s="16">
        <f>L84-M84</f>
      </c>
      <c r="O84" s="14" t="s">
        <v>50</v>
      </c>
      <c r="P84" s="14" t="s">
        <v>1501</v>
      </c>
      <c r="Q84" s="161" t="s">
        <v>33</v>
      </c>
      <c r="R84" s="161"/>
      <c r="S84" s="161"/>
      <c r="T84" s="161"/>
      <c r="U84" s="161"/>
      <c r="V84" s="161"/>
      <c r="W84" s="161"/>
      <c r="X84" s="34"/>
    </row>
    <row x14ac:dyDescent="0.25" r="85" customHeight="1" ht="15.75">
      <c r="A85" s="12">
        <v>45981</v>
      </c>
      <c r="B85" s="14" t="s">
        <v>111</v>
      </c>
      <c r="C85" s="161" t="s">
        <v>1502</v>
      </c>
      <c r="D85" s="14" t="s">
        <v>1503</v>
      </c>
      <c r="E85" s="14" t="s">
        <v>1504</v>
      </c>
      <c r="F85" s="14" t="s">
        <v>894</v>
      </c>
      <c r="G85" s="14" t="s">
        <v>1505</v>
      </c>
      <c r="H85" s="14" t="s">
        <v>26</v>
      </c>
      <c r="I85" s="16"/>
      <c r="J85" s="161"/>
      <c r="K85" s="161"/>
      <c r="L85" s="16">
        <v>216600</v>
      </c>
      <c r="M85" s="16">
        <v>181600</v>
      </c>
      <c r="N85" s="16">
        <f>L85-M85</f>
      </c>
      <c r="O85" s="14" t="s">
        <v>111</v>
      </c>
      <c r="P85" s="14" t="s">
        <v>1506</v>
      </c>
      <c r="Q85" s="161" t="s">
        <v>33</v>
      </c>
      <c r="R85" s="161"/>
      <c r="S85" s="161"/>
      <c r="T85" s="161"/>
      <c r="U85" s="161"/>
      <c r="V85" s="161"/>
      <c r="W85" s="161"/>
      <c r="X85" s="34"/>
    </row>
    <row x14ac:dyDescent="0.25" r="86" customHeight="1" ht="15.75">
      <c r="A86" s="12">
        <v>45982</v>
      </c>
      <c r="B86" s="14" t="s">
        <v>106</v>
      </c>
      <c r="C86" s="161" t="s">
        <v>1089</v>
      </c>
      <c r="D86" s="14" t="s">
        <v>1507</v>
      </c>
      <c r="E86" s="14" t="s">
        <v>1508</v>
      </c>
      <c r="F86" s="14" t="s">
        <v>242</v>
      </c>
      <c r="G86" s="14" t="s">
        <v>1423</v>
      </c>
      <c r="H86" s="14" t="s">
        <v>26</v>
      </c>
      <c r="I86" s="16"/>
      <c r="J86" s="161"/>
      <c r="K86" s="161"/>
      <c r="L86" s="16">
        <v>605900</v>
      </c>
      <c r="M86" s="16">
        <v>565500</v>
      </c>
      <c r="N86" s="16">
        <f>L86-M86</f>
      </c>
      <c r="O86" s="14" t="s">
        <v>1509</v>
      </c>
      <c r="P86" s="14" t="s">
        <v>1510</v>
      </c>
      <c r="Q86" s="161" t="s">
        <v>942</v>
      </c>
      <c r="R86" s="161"/>
      <c r="S86" s="161"/>
      <c r="T86" s="161"/>
      <c r="U86" s="161"/>
      <c r="V86" s="161"/>
      <c r="W86" s="161"/>
      <c r="X86" s="34"/>
    </row>
    <row x14ac:dyDescent="0.25" r="87" customHeight="1" ht="15.75">
      <c r="A87" s="12">
        <v>45982</v>
      </c>
      <c r="B87" s="14" t="s">
        <v>897</v>
      </c>
      <c r="C87" s="161" t="s">
        <v>1511</v>
      </c>
      <c r="D87" s="14" t="s">
        <v>264</v>
      </c>
      <c r="E87" s="14" t="s">
        <v>1512</v>
      </c>
      <c r="F87" s="14" t="s">
        <v>1513</v>
      </c>
      <c r="G87" s="14" t="s">
        <v>1514</v>
      </c>
      <c r="H87" s="14" t="s">
        <v>26</v>
      </c>
      <c r="I87" s="16"/>
      <c r="J87" s="161"/>
      <c r="K87" s="161"/>
      <c r="L87" s="16">
        <v>627440</v>
      </c>
      <c r="M87" s="16">
        <v>577400</v>
      </c>
      <c r="N87" s="16">
        <f>L87-M87</f>
      </c>
      <c r="O87" s="14" t="s">
        <v>77</v>
      </c>
      <c r="P87" s="14" t="s">
        <v>1515</v>
      </c>
      <c r="Q87" s="161"/>
      <c r="R87" s="161"/>
      <c r="S87" s="161"/>
      <c r="T87" s="161"/>
      <c r="U87" s="161"/>
      <c r="V87" s="161"/>
      <c r="W87" s="161"/>
      <c r="X87" s="34"/>
    </row>
    <row x14ac:dyDescent="0.25" r="88" customHeight="1" ht="15.75">
      <c r="A88" s="12">
        <v>45982</v>
      </c>
      <c r="B88" s="14" t="s">
        <v>106</v>
      </c>
      <c r="C88" s="162">
        <v>45986</v>
      </c>
      <c r="D88" s="14" t="s">
        <v>313</v>
      </c>
      <c r="E88" s="14" t="s">
        <v>1516</v>
      </c>
      <c r="F88" s="14" t="s">
        <v>1513</v>
      </c>
      <c r="G88" s="14" t="s">
        <v>1514</v>
      </c>
      <c r="H88" s="14" t="s">
        <v>26</v>
      </c>
      <c r="I88" s="16"/>
      <c r="J88" s="161"/>
      <c r="K88" s="161"/>
      <c r="L88" s="16">
        <v>135900</v>
      </c>
      <c r="M88" s="16">
        <v>111300</v>
      </c>
      <c r="N88" s="16">
        <f>L88-M88</f>
      </c>
      <c r="O88" s="14" t="s">
        <v>106</v>
      </c>
      <c r="P88" s="14" t="s">
        <v>1517</v>
      </c>
      <c r="Q88" s="161" t="s">
        <v>33</v>
      </c>
      <c r="R88" s="161"/>
      <c r="S88" s="161"/>
      <c r="T88" s="161"/>
      <c r="U88" s="161"/>
      <c r="V88" s="161"/>
      <c r="W88" s="161"/>
      <c r="X88" s="34"/>
    </row>
    <row x14ac:dyDescent="0.25" r="89" customHeight="1" ht="15.75">
      <c r="A89" s="12">
        <v>45982</v>
      </c>
      <c r="B89" s="14" t="s">
        <v>72</v>
      </c>
      <c r="C89" s="161" t="s">
        <v>1518</v>
      </c>
      <c r="D89" s="14" t="s">
        <v>448</v>
      </c>
      <c r="E89" s="14" t="s">
        <v>1519</v>
      </c>
      <c r="F89" s="14" t="s">
        <v>1456</v>
      </c>
      <c r="G89" s="14" t="s">
        <v>1406</v>
      </c>
      <c r="H89" s="14" t="s">
        <v>26</v>
      </c>
      <c r="I89" s="16"/>
      <c r="J89" s="161"/>
      <c r="K89" s="161"/>
      <c r="L89" s="16">
        <v>166700</v>
      </c>
      <c r="M89" s="16">
        <v>141700</v>
      </c>
      <c r="N89" s="16">
        <f>L89-M89</f>
      </c>
      <c r="O89" s="14" t="s">
        <v>50</v>
      </c>
      <c r="P89" s="14" t="s">
        <v>1520</v>
      </c>
      <c r="Q89" s="161" t="s">
        <v>33</v>
      </c>
      <c r="R89" s="161"/>
      <c r="S89" s="161"/>
      <c r="T89" s="161"/>
      <c r="U89" s="161"/>
      <c r="V89" s="161"/>
      <c r="W89" s="161"/>
      <c r="X89" s="34"/>
    </row>
    <row x14ac:dyDescent="0.25" r="90" customHeight="1" ht="15.75">
      <c r="A90" s="12">
        <v>45983</v>
      </c>
      <c r="B90" s="14" t="s">
        <v>46</v>
      </c>
      <c r="C90" s="161" t="s">
        <v>1521</v>
      </c>
      <c r="D90" s="14" t="s">
        <v>1522</v>
      </c>
      <c r="E90" s="14" t="s">
        <v>1523</v>
      </c>
      <c r="F90" s="14" t="s">
        <v>1524</v>
      </c>
      <c r="G90" s="14" t="s">
        <v>1525</v>
      </c>
      <c r="H90" s="14" t="s">
        <v>26</v>
      </c>
      <c r="I90" s="16"/>
      <c r="J90" s="161"/>
      <c r="K90" s="161"/>
      <c r="L90" s="16">
        <v>197000</v>
      </c>
      <c r="M90" s="16">
        <v>127100</v>
      </c>
      <c r="N90" s="16">
        <f>L90-M90</f>
      </c>
      <c r="O90" s="14" t="s">
        <v>50</v>
      </c>
      <c r="P90" s="14" t="s">
        <v>1526</v>
      </c>
      <c r="Q90" s="161" t="s">
        <v>33</v>
      </c>
      <c r="R90" s="161"/>
      <c r="S90" s="161"/>
      <c r="T90" s="161"/>
      <c r="U90" s="161"/>
      <c r="V90" s="161"/>
      <c r="W90" s="161"/>
      <c r="X90" s="34"/>
    </row>
    <row x14ac:dyDescent="0.25" r="91" customHeight="1" ht="15.75">
      <c r="A91" s="12">
        <v>45983</v>
      </c>
      <c r="B91" s="14" t="s">
        <v>46</v>
      </c>
      <c r="C91" s="161" t="s">
        <v>1521</v>
      </c>
      <c r="D91" s="14" t="s">
        <v>1522</v>
      </c>
      <c r="E91" s="14" t="s">
        <v>1523</v>
      </c>
      <c r="F91" s="14" t="s">
        <v>1524</v>
      </c>
      <c r="G91" s="14" t="s">
        <v>1527</v>
      </c>
      <c r="H91" s="14" t="s">
        <v>26</v>
      </c>
      <c r="I91" s="16"/>
      <c r="J91" s="161"/>
      <c r="K91" s="161"/>
      <c r="L91" s="16">
        <v>197000</v>
      </c>
      <c r="M91" s="16">
        <v>127100</v>
      </c>
      <c r="N91" s="16">
        <f>L91-M91</f>
      </c>
      <c r="O91" s="14" t="s">
        <v>50</v>
      </c>
      <c r="P91" s="14" t="s">
        <v>1528</v>
      </c>
      <c r="Q91" s="161" t="s">
        <v>33</v>
      </c>
      <c r="R91" s="161"/>
      <c r="S91" s="161"/>
      <c r="T91" s="161"/>
      <c r="U91" s="161"/>
      <c r="V91" s="161"/>
      <c r="W91" s="161"/>
      <c r="X91" s="34"/>
    </row>
    <row x14ac:dyDescent="0.25" r="92" customHeight="1" ht="15.75">
      <c r="A92" s="12">
        <v>45983</v>
      </c>
      <c r="B92" s="14" t="s">
        <v>46</v>
      </c>
      <c r="C92" s="161" t="s">
        <v>1421</v>
      </c>
      <c r="D92" s="14" t="s">
        <v>63</v>
      </c>
      <c r="E92" s="14" t="s">
        <v>1529</v>
      </c>
      <c r="F92" s="14" t="s">
        <v>768</v>
      </c>
      <c r="G92" s="14" t="s">
        <v>1530</v>
      </c>
      <c r="H92" s="14" t="s">
        <v>26</v>
      </c>
      <c r="I92" s="16"/>
      <c r="J92" s="161"/>
      <c r="K92" s="161"/>
      <c r="L92" s="16">
        <v>2389700</v>
      </c>
      <c r="M92" s="16">
        <v>2129900</v>
      </c>
      <c r="N92" s="16">
        <f>L92-M92</f>
      </c>
      <c r="O92" s="14" t="s">
        <v>43</v>
      </c>
      <c r="P92" s="14" t="s">
        <v>1531</v>
      </c>
      <c r="Q92" s="161"/>
      <c r="R92" s="161"/>
      <c r="S92" s="161"/>
      <c r="T92" s="161"/>
      <c r="U92" s="161"/>
      <c r="V92" s="161"/>
      <c r="W92" s="161"/>
      <c r="X92" s="34"/>
    </row>
    <row x14ac:dyDescent="0.25" r="93" customHeight="1" ht="15.75">
      <c r="A93" s="153">
        <v>45983</v>
      </c>
      <c r="B93" s="155"/>
      <c r="C93" s="165"/>
      <c r="D93" s="155"/>
      <c r="E93" s="155"/>
      <c r="F93" s="156" t="s">
        <v>84</v>
      </c>
      <c r="G93" s="156" t="s">
        <v>1389</v>
      </c>
      <c r="H93" s="156" t="s">
        <v>26</v>
      </c>
      <c r="I93" s="158"/>
      <c r="J93" s="155"/>
      <c r="K93" s="155"/>
      <c r="L93" s="158"/>
      <c r="M93" s="158">
        <v>77513</v>
      </c>
      <c r="N93" s="158">
        <f>L93-M93</f>
      </c>
      <c r="O93" s="156" t="s">
        <v>968</v>
      </c>
      <c r="P93" s="155"/>
      <c r="Q93" s="155" t="s">
        <v>1532</v>
      </c>
      <c r="R93" s="155"/>
      <c r="S93" s="155"/>
      <c r="T93" s="155"/>
      <c r="U93" s="155"/>
      <c r="V93" s="155"/>
      <c r="W93" s="155"/>
      <c r="X93" s="34"/>
    </row>
    <row x14ac:dyDescent="0.25" r="94" customHeight="1" ht="15.75">
      <c r="A94" s="12">
        <v>45984</v>
      </c>
      <c r="B94" s="14" t="s">
        <v>46</v>
      </c>
      <c r="C94" s="161" t="s">
        <v>1533</v>
      </c>
      <c r="D94" s="14" t="s">
        <v>63</v>
      </c>
      <c r="E94" s="14" t="s">
        <v>1534</v>
      </c>
      <c r="F94" s="14" t="s">
        <v>768</v>
      </c>
      <c r="G94" s="14" t="s">
        <v>1535</v>
      </c>
      <c r="H94" s="14" t="s">
        <v>26</v>
      </c>
      <c r="I94" s="16"/>
      <c r="J94" s="161"/>
      <c r="K94" s="161"/>
      <c r="L94" s="16">
        <v>2880000</v>
      </c>
      <c r="M94" s="16">
        <v>2810500</v>
      </c>
      <c r="N94" s="16">
        <f>L94-M94</f>
      </c>
      <c r="O94" s="14" t="s">
        <v>43</v>
      </c>
      <c r="P94" s="14" t="s">
        <v>1536</v>
      </c>
      <c r="Q94" s="161"/>
      <c r="R94" s="161"/>
      <c r="S94" s="161"/>
      <c r="T94" s="161"/>
      <c r="U94" s="161"/>
      <c r="V94" s="161"/>
      <c r="W94" s="161"/>
      <c r="X94" s="34"/>
    </row>
    <row x14ac:dyDescent="0.25" r="95" customHeight="1" ht="15">
      <c r="A95" s="12">
        <v>45985</v>
      </c>
      <c r="B95" s="14" t="s">
        <v>53</v>
      </c>
      <c r="C95" s="161" t="s">
        <v>1537</v>
      </c>
      <c r="D95" s="14" t="s">
        <v>134</v>
      </c>
      <c r="E95" s="14" t="s">
        <v>1538</v>
      </c>
      <c r="F95" s="14" t="s">
        <v>928</v>
      </c>
      <c r="G95" s="14" t="s">
        <v>1539</v>
      </c>
      <c r="H95" s="14" t="s">
        <v>26</v>
      </c>
      <c r="I95" s="16"/>
      <c r="J95" s="161"/>
      <c r="K95" s="161"/>
      <c r="L95" s="16">
        <v>168900</v>
      </c>
      <c r="M95" s="16">
        <v>131200</v>
      </c>
      <c r="N95" s="16">
        <f>L95-M95</f>
      </c>
      <c r="O95" s="14" t="s">
        <v>53</v>
      </c>
      <c r="P95" s="14" t="s">
        <v>1540</v>
      </c>
      <c r="Q95" s="161" t="s">
        <v>33</v>
      </c>
      <c r="R95" s="161"/>
      <c r="S95" s="161"/>
      <c r="T95" s="161"/>
      <c r="U95" s="161"/>
      <c r="V95" s="161"/>
      <c r="W95" s="161"/>
      <c r="X95" s="34"/>
    </row>
    <row x14ac:dyDescent="0.25" r="96" customHeight="1" ht="15.75">
      <c r="A96" s="12">
        <v>45985</v>
      </c>
      <c r="B96" s="14" t="s">
        <v>46</v>
      </c>
      <c r="C96" s="161" t="s">
        <v>1541</v>
      </c>
      <c r="D96" s="14" t="s">
        <v>1542</v>
      </c>
      <c r="E96" s="14" t="s">
        <v>1543</v>
      </c>
      <c r="F96" s="14" t="s">
        <v>1544</v>
      </c>
      <c r="G96" s="14" t="s">
        <v>1545</v>
      </c>
      <c r="H96" s="14" t="s">
        <v>26</v>
      </c>
      <c r="I96" s="16"/>
      <c r="J96" s="161"/>
      <c r="K96" s="161"/>
      <c r="L96" s="16">
        <v>1778600</v>
      </c>
      <c r="M96" s="16">
        <v>1672720</v>
      </c>
      <c r="N96" s="16">
        <f>L96-M96</f>
      </c>
      <c r="O96" s="14" t="s">
        <v>77</v>
      </c>
      <c r="P96" s="14" t="s">
        <v>1546</v>
      </c>
      <c r="Q96" s="161"/>
      <c r="R96" s="161"/>
      <c r="S96" s="161"/>
      <c r="T96" s="161"/>
      <c r="U96" s="161"/>
      <c r="V96" s="161"/>
      <c r="W96" s="161"/>
      <c r="X96" s="34"/>
    </row>
    <row x14ac:dyDescent="0.25" r="97" customHeight="1" ht="15.75">
      <c r="A97" s="12">
        <v>45985</v>
      </c>
      <c r="B97" s="14" t="s">
        <v>46</v>
      </c>
      <c r="C97" s="161" t="s">
        <v>1547</v>
      </c>
      <c r="D97" s="14" t="s">
        <v>1548</v>
      </c>
      <c r="E97" s="14" t="s">
        <v>1543</v>
      </c>
      <c r="F97" s="14" t="s">
        <v>1544</v>
      </c>
      <c r="G97" s="14" t="s">
        <v>1549</v>
      </c>
      <c r="H97" s="14" t="s">
        <v>26</v>
      </c>
      <c r="I97" s="16"/>
      <c r="J97" s="161"/>
      <c r="K97" s="161"/>
      <c r="L97" s="16">
        <v>1385800</v>
      </c>
      <c r="M97" s="16">
        <v>1283620</v>
      </c>
      <c r="N97" s="16">
        <f>L97-M97</f>
      </c>
      <c r="O97" s="14" t="s">
        <v>77</v>
      </c>
      <c r="P97" s="14" t="s">
        <v>1550</v>
      </c>
      <c r="Q97" s="161"/>
      <c r="R97" s="161"/>
      <c r="S97" s="161"/>
      <c r="T97" s="161"/>
      <c r="U97" s="161"/>
      <c r="V97" s="161"/>
      <c r="W97" s="161"/>
      <c r="X97" s="34"/>
    </row>
    <row x14ac:dyDescent="0.25" r="98" customHeight="1" ht="15.75">
      <c r="A98" s="12">
        <v>45985</v>
      </c>
      <c r="B98" s="14" t="s">
        <v>82</v>
      </c>
      <c r="C98" s="162">
        <v>45986</v>
      </c>
      <c r="D98" s="14" t="s">
        <v>83</v>
      </c>
      <c r="E98" s="14" t="s">
        <v>1551</v>
      </c>
      <c r="F98" s="14" t="s">
        <v>84</v>
      </c>
      <c r="G98" s="14" t="s">
        <v>1552</v>
      </c>
      <c r="H98" s="14" t="s">
        <v>26</v>
      </c>
      <c r="I98" s="16"/>
      <c r="J98" s="161"/>
      <c r="K98" s="161"/>
      <c r="L98" s="16">
        <v>116540</v>
      </c>
      <c r="M98" s="16">
        <v>82540</v>
      </c>
      <c r="N98" s="16">
        <f>L98-M98</f>
      </c>
      <c r="O98" s="14" t="s">
        <v>43</v>
      </c>
      <c r="P98" s="14" t="s">
        <v>1553</v>
      </c>
      <c r="Q98" s="161"/>
      <c r="R98" s="161"/>
      <c r="S98" s="161"/>
      <c r="T98" s="161"/>
      <c r="U98" s="161"/>
      <c r="V98" s="161"/>
      <c r="W98" s="161"/>
      <c r="X98" s="34"/>
    </row>
    <row x14ac:dyDescent="0.25" r="99" customHeight="1" ht="15.75">
      <c r="A99" s="12">
        <v>45986</v>
      </c>
      <c r="B99" s="14" t="s">
        <v>1554</v>
      </c>
      <c r="C99" s="161" t="s">
        <v>1555</v>
      </c>
      <c r="D99" s="14" t="s">
        <v>1556</v>
      </c>
      <c r="E99" s="14" t="s">
        <v>1557</v>
      </c>
      <c r="F99" s="14" t="s">
        <v>135</v>
      </c>
      <c r="G99" s="14" t="s">
        <v>1218</v>
      </c>
      <c r="H99" s="14" t="s">
        <v>26</v>
      </c>
      <c r="I99" s="16"/>
      <c r="J99" s="161"/>
      <c r="K99" s="161"/>
      <c r="L99" s="16">
        <v>269900</v>
      </c>
      <c r="M99" s="16">
        <v>233300</v>
      </c>
      <c r="N99" s="16">
        <f>L99-M99</f>
      </c>
      <c r="O99" s="14" t="s">
        <v>43</v>
      </c>
      <c r="P99" s="14" t="s">
        <v>1558</v>
      </c>
      <c r="Q99" s="161" t="s">
        <v>33</v>
      </c>
      <c r="R99" s="161"/>
      <c r="S99" s="161"/>
      <c r="T99" s="161"/>
      <c r="U99" s="161"/>
      <c r="V99" s="161"/>
      <c r="W99" s="161"/>
      <c r="X99" s="34"/>
    </row>
    <row x14ac:dyDescent="0.25" r="100" customHeight="1" ht="15.75">
      <c r="A100" s="12">
        <v>45986</v>
      </c>
      <c r="B100" s="14" t="s">
        <v>1554</v>
      </c>
      <c r="C100" s="161" t="s">
        <v>1555</v>
      </c>
      <c r="D100" s="14" t="s">
        <v>1556</v>
      </c>
      <c r="E100" s="14" t="s">
        <v>1557</v>
      </c>
      <c r="F100" s="14" t="s">
        <v>135</v>
      </c>
      <c r="G100" s="14" t="s">
        <v>1216</v>
      </c>
      <c r="H100" s="14" t="s">
        <v>26</v>
      </c>
      <c r="I100" s="16"/>
      <c r="J100" s="161"/>
      <c r="K100" s="161"/>
      <c r="L100" s="16">
        <v>269900</v>
      </c>
      <c r="M100" s="16">
        <v>233300</v>
      </c>
      <c r="N100" s="16">
        <f>L100-M100</f>
      </c>
      <c r="O100" s="14" t="s">
        <v>43</v>
      </c>
      <c r="P100" s="14" t="s">
        <v>1559</v>
      </c>
      <c r="Q100" s="161" t="s">
        <v>33</v>
      </c>
      <c r="R100" s="161"/>
      <c r="S100" s="161"/>
      <c r="T100" s="161"/>
      <c r="U100" s="161"/>
      <c r="V100" s="161"/>
      <c r="W100" s="161"/>
      <c r="X100" s="34"/>
    </row>
    <row x14ac:dyDescent="0.25" r="101" customHeight="1" ht="15.75">
      <c r="A101" s="12">
        <v>45986</v>
      </c>
      <c r="B101" s="14" t="s">
        <v>106</v>
      </c>
      <c r="C101" s="162">
        <v>45989</v>
      </c>
      <c r="D101" s="14" t="s">
        <v>1560</v>
      </c>
      <c r="E101" s="14" t="s">
        <v>1561</v>
      </c>
      <c r="F101" s="14" t="s">
        <v>162</v>
      </c>
      <c r="G101" s="14" t="s">
        <v>238</v>
      </c>
      <c r="H101" s="14" t="s">
        <v>26</v>
      </c>
      <c r="I101" s="16"/>
      <c r="J101" s="161"/>
      <c r="K101" s="161"/>
      <c r="L101" s="16">
        <v>845800</v>
      </c>
      <c r="M101" s="16">
        <v>763300</v>
      </c>
      <c r="N101" s="16">
        <f>L101-M101</f>
      </c>
      <c r="O101" s="14" t="s">
        <v>77</v>
      </c>
      <c r="P101" s="14" t="s">
        <v>1562</v>
      </c>
      <c r="Q101" s="161"/>
      <c r="R101" s="161"/>
      <c r="S101" s="161"/>
      <c r="T101" s="161"/>
      <c r="U101" s="161"/>
      <c r="V101" s="161"/>
      <c r="W101" s="161"/>
      <c r="X101" s="34"/>
    </row>
    <row x14ac:dyDescent="0.25" r="102" customHeight="1" ht="15.75">
      <c r="A102" s="12">
        <v>45986</v>
      </c>
      <c r="B102" s="14" t="s">
        <v>82</v>
      </c>
      <c r="C102" s="162">
        <v>45987</v>
      </c>
      <c r="D102" s="14" t="s">
        <v>472</v>
      </c>
      <c r="E102" s="14" t="s">
        <v>1563</v>
      </c>
      <c r="F102" s="14" t="s">
        <v>1564</v>
      </c>
      <c r="G102" s="14" t="s">
        <v>1565</v>
      </c>
      <c r="H102" s="14" t="s">
        <v>1258</v>
      </c>
      <c r="I102" s="16"/>
      <c r="J102" s="161"/>
      <c r="K102" s="161"/>
      <c r="L102" s="16">
        <v>74870</v>
      </c>
      <c r="M102" s="16">
        <v>69870</v>
      </c>
      <c r="N102" s="16">
        <f>L102-M102</f>
      </c>
      <c r="O102" s="14" t="s">
        <v>43</v>
      </c>
      <c r="P102" s="14" t="s">
        <v>1566</v>
      </c>
      <c r="Q102" s="161"/>
      <c r="R102" s="161"/>
      <c r="S102" s="161"/>
      <c r="T102" s="161"/>
      <c r="U102" s="161"/>
      <c r="V102" s="161"/>
      <c r="W102" s="161"/>
      <c r="X102" s="34"/>
    </row>
    <row x14ac:dyDescent="0.25" r="103" customHeight="1" ht="15.75">
      <c r="A103" s="12">
        <v>45986</v>
      </c>
      <c r="B103" s="14" t="s">
        <v>111</v>
      </c>
      <c r="C103" s="161" t="s">
        <v>1567</v>
      </c>
      <c r="D103" s="14" t="s">
        <v>189</v>
      </c>
      <c r="E103" s="14" t="s">
        <v>1568</v>
      </c>
      <c r="F103" s="14" t="s">
        <v>1569</v>
      </c>
      <c r="G103" s="14" t="s">
        <v>1570</v>
      </c>
      <c r="H103" s="14" t="s">
        <v>26</v>
      </c>
      <c r="I103" s="16"/>
      <c r="J103" s="161"/>
      <c r="K103" s="161"/>
      <c r="L103" s="16">
        <v>469800</v>
      </c>
      <c r="M103" s="16">
        <v>409755</v>
      </c>
      <c r="N103" s="16">
        <f>L103-M103</f>
      </c>
      <c r="O103" s="14" t="s">
        <v>50</v>
      </c>
      <c r="P103" s="14" t="s">
        <v>1571</v>
      </c>
      <c r="Q103" s="161">
        <v>2</v>
      </c>
      <c r="R103" s="161"/>
      <c r="S103" s="161"/>
      <c r="T103" s="161"/>
      <c r="U103" s="161"/>
      <c r="V103" s="161"/>
      <c r="W103" s="161"/>
      <c r="X103" s="34"/>
    </row>
    <row x14ac:dyDescent="0.25" r="104" customHeight="1" ht="15.75">
      <c r="A104" s="12">
        <v>45986</v>
      </c>
      <c r="B104" s="14" t="s">
        <v>111</v>
      </c>
      <c r="C104" s="161" t="s">
        <v>1567</v>
      </c>
      <c r="D104" s="14" t="s">
        <v>189</v>
      </c>
      <c r="E104" s="14" t="s">
        <v>1568</v>
      </c>
      <c r="F104" s="14" t="s">
        <v>1569</v>
      </c>
      <c r="G104" s="14" t="s">
        <v>1572</v>
      </c>
      <c r="H104" s="14" t="s">
        <v>26</v>
      </c>
      <c r="I104" s="16"/>
      <c r="J104" s="161"/>
      <c r="K104" s="161"/>
      <c r="L104" s="16">
        <v>469800</v>
      </c>
      <c r="M104" s="16">
        <v>409755</v>
      </c>
      <c r="N104" s="16">
        <f>L104-M104</f>
      </c>
      <c r="O104" s="14" t="s">
        <v>50</v>
      </c>
      <c r="P104" s="14" t="s">
        <v>1573</v>
      </c>
      <c r="Q104" s="161">
        <v>2</v>
      </c>
      <c r="R104" s="161"/>
      <c r="S104" s="161"/>
      <c r="T104" s="161"/>
      <c r="U104" s="161"/>
      <c r="V104" s="161"/>
      <c r="W104" s="161"/>
      <c r="X104" s="34"/>
    </row>
    <row x14ac:dyDescent="0.25" r="105" customHeight="1" ht="15.75">
      <c r="A105" s="12">
        <v>45986</v>
      </c>
      <c r="B105" s="14" t="s">
        <v>111</v>
      </c>
      <c r="C105" s="161" t="s">
        <v>1567</v>
      </c>
      <c r="D105" s="14" t="s">
        <v>189</v>
      </c>
      <c r="E105" s="14" t="s">
        <v>1568</v>
      </c>
      <c r="F105" s="14" t="s">
        <v>1569</v>
      </c>
      <c r="G105" s="14" t="s">
        <v>1574</v>
      </c>
      <c r="H105" s="14" t="s">
        <v>26</v>
      </c>
      <c r="I105" s="16"/>
      <c r="J105" s="161"/>
      <c r="K105" s="161"/>
      <c r="L105" s="16">
        <v>469800</v>
      </c>
      <c r="M105" s="16">
        <v>409755</v>
      </c>
      <c r="N105" s="16">
        <f>L105-M105</f>
      </c>
      <c r="O105" s="14" t="s">
        <v>50</v>
      </c>
      <c r="P105" s="14" t="s">
        <v>1575</v>
      </c>
      <c r="Q105" s="161">
        <v>2</v>
      </c>
      <c r="R105" s="161"/>
      <c r="S105" s="161"/>
      <c r="T105" s="161"/>
      <c r="U105" s="161"/>
      <c r="V105" s="161"/>
      <c r="W105" s="161"/>
      <c r="X105" s="34"/>
    </row>
    <row x14ac:dyDescent="0.25" r="106" customHeight="1" ht="15.75">
      <c r="A106" s="153">
        <v>45986</v>
      </c>
      <c r="B106" s="156" t="s">
        <v>111</v>
      </c>
      <c r="C106" s="155" t="s">
        <v>1567</v>
      </c>
      <c r="D106" s="156" t="s">
        <v>189</v>
      </c>
      <c r="E106" s="155"/>
      <c r="F106" s="156" t="s">
        <v>1576</v>
      </c>
      <c r="G106" s="156" t="s">
        <v>1577</v>
      </c>
      <c r="H106" s="156" t="s">
        <v>26</v>
      </c>
      <c r="I106" s="158"/>
      <c r="J106" s="155"/>
      <c r="K106" s="155"/>
      <c r="L106" s="158">
        <v>385900</v>
      </c>
      <c r="M106" s="158">
        <v>409755</v>
      </c>
      <c r="N106" s="158">
        <f>L106-M106</f>
      </c>
      <c r="O106" s="156" t="s">
        <v>50</v>
      </c>
      <c r="P106" s="156" t="s">
        <v>1578</v>
      </c>
      <c r="Q106" s="155" t="s">
        <v>1532</v>
      </c>
      <c r="R106" s="155"/>
      <c r="S106" s="155"/>
      <c r="T106" s="155"/>
      <c r="U106" s="155"/>
      <c r="V106" s="155"/>
      <c r="W106" s="155"/>
      <c r="X106" s="34"/>
    </row>
    <row x14ac:dyDescent="0.25" r="107" customHeight="1" ht="15.75">
      <c r="A107" s="12">
        <v>45986</v>
      </c>
      <c r="B107" s="14" t="s">
        <v>82</v>
      </c>
      <c r="C107" s="162">
        <v>45986</v>
      </c>
      <c r="D107" s="14" t="s">
        <v>624</v>
      </c>
      <c r="E107" s="161"/>
      <c r="F107" s="14" t="s">
        <v>84</v>
      </c>
      <c r="G107" s="14" t="s">
        <v>1552</v>
      </c>
      <c r="H107" s="14" t="s">
        <v>26</v>
      </c>
      <c r="I107" s="16"/>
      <c r="J107" s="161"/>
      <c r="K107" s="161"/>
      <c r="L107" s="16">
        <v>18000</v>
      </c>
      <c r="M107" s="16">
        <v>13000</v>
      </c>
      <c r="N107" s="16">
        <f>L107-M107</f>
      </c>
      <c r="O107" s="14" t="s">
        <v>43</v>
      </c>
      <c r="P107" s="14" t="s">
        <v>1553</v>
      </c>
      <c r="Q107" s="161" t="s">
        <v>33</v>
      </c>
      <c r="R107" s="161"/>
      <c r="S107" s="161"/>
      <c r="T107" s="161"/>
      <c r="U107" s="161"/>
      <c r="V107" s="161"/>
      <c r="W107" s="161"/>
      <c r="X107" s="34"/>
    </row>
    <row x14ac:dyDescent="0.25" r="108" customHeight="1" ht="15.75">
      <c r="A108" s="12">
        <v>45987</v>
      </c>
      <c r="B108" s="14" t="s">
        <v>72</v>
      </c>
      <c r="C108" s="161" t="s">
        <v>1579</v>
      </c>
      <c r="D108" s="14" t="s">
        <v>1580</v>
      </c>
      <c r="E108" s="14" t="s">
        <v>1581</v>
      </c>
      <c r="F108" s="14" t="s">
        <v>1582</v>
      </c>
      <c r="G108" s="14" t="s">
        <v>1583</v>
      </c>
      <c r="H108" s="14" t="s">
        <v>26</v>
      </c>
      <c r="I108" s="16"/>
      <c r="J108" s="161"/>
      <c r="K108" s="161"/>
      <c r="L108" s="16" t="s">
        <v>1584</v>
      </c>
      <c r="M108" s="16" t="s">
        <v>1585</v>
      </c>
      <c r="N108" s="16">
        <f>L108-M108</f>
      </c>
      <c r="O108" s="14" t="s">
        <v>43</v>
      </c>
      <c r="P108" s="14" t="s">
        <v>1586</v>
      </c>
      <c r="Q108" s="161"/>
      <c r="R108" s="161"/>
      <c r="S108" s="161"/>
      <c r="T108" s="161"/>
      <c r="U108" s="161"/>
      <c r="V108" s="161"/>
      <c r="W108" s="161"/>
      <c r="X108" s="34"/>
    </row>
    <row x14ac:dyDescent="0.25" r="109" customHeight="1" ht="15.75">
      <c r="A109" s="12">
        <v>45987</v>
      </c>
      <c r="B109" s="14" t="s">
        <v>53</v>
      </c>
      <c r="C109" s="161" t="s">
        <v>1587</v>
      </c>
      <c r="D109" s="14" t="s">
        <v>1588</v>
      </c>
      <c r="E109" s="14" t="s">
        <v>1589</v>
      </c>
      <c r="F109" s="14" t="s">
        <v>1590</v>
      </c>
      <c r="G109" s="14" t="s">
        <v>1591</v>
      </c>
      <c r="H109" s="14" t="s">
        <v>26</v>
      </c>
      <c r="I109" s="16"/>
      <c r="J109" s="161"/>
      <c r="K109" s="161"/>
      <c r="L109" s="16" t="s">
        <v>1592</v>
      </c>
      <c r="M109" s="16" t="s">
        <v>1593</v>
      </c>
      <c r="N109" s="16">
        <f>L109-M109</f>
      </c>
      <c r="O109" s="14" t="s">
        <v>43</v>
      </c>
      <c r="P109" s="14" t="s">
        <v>1594</v>
      </c>
      <c r="Q109" s="161"/>
      <c r="R109" s="161"/>
      <c r="S109" s="161"/>
      <c r="T109" s="161"/>
      <c r="U109" s="161"/>
      <c r="V109" s="161"/>
      <c r="W109" s="161"/>
      <c r="X109" s="34"/>
    </row>
    <row x14ac:dyDescent="0.25" r="110" customHeight="1" ht="15.75">
      <c r="A110" s="12">
        <v>45987</v>
      </c>
      <c r="B110" s="14" t="s">
        <v>1554</v>
      </c>
      <c r="C110" s="162">
        <v>45991</v>
      </c>
      <c r="D110" s="14" t="s">
        <v>1595</v>
      </c>
      <c r="E110" s="14" t="s">
        <v>1596</v>
      </c>
      <c r="F110" s="14" t="s">
        <v>327</v>
      </c>
      <c r="G110" s="14" t="s">
        <v>1597</v>
      </c>
      <c r="H110" s="14" t="s">
        <v>26</v>
      </c>
      <c r="I110" s="16"/>
      <c r="J110" s="161"/>
      <c r="K110" s="161"/>
      <c r="L110" s="16" t="s">
        <v>1598</v>
      </c>
      <c r="M110" s="16" t="s">
        <v>1599</v>
      </c>
      <c r="N110" s="16">
        <f>L110-M110</f>
      </c>
      <c r="O110" s="14" t="s">
        <v>43</v>
      </c>
      <c r="P110" s="14" t="s">
        <v>1600</v>
      </c>
      <c r="Q110" s="161"/>
      <c r="R110" s="161"/>
      <c r="S110" s="161"/>
      <c r="T110" s="161"/>
      <c r="U110" s="161"/>
      <c r="V110" s="161"/>
      <c r="W110" s="161"/>
      <c r="X110" s="34"/>
    </row>
    <row x14ac:dyDescent="0.25" r="111" customHeight="1" ht="15.75">
      <c r="A111" s="12">
        <v>45987</v>
      </c>
      <c r="B111" s="14" t="s">
        <v>53</v>
      </c>
      <c r="C111" s="161" t="s">
        <v>1601</v>
      </c>
      <c r="D111" s="14" t="s">
        <v>1602</v>
      </c>
      <c r="E111" s="14" t="s">
        <v>1603</v>
      </c>
      <c r="F111" s="14" t="s">
        <v>928</v>
      </c>
      <c r="G111" s="14" t="s">
        <v>1604</v>
      </c>
      <c r="H111" s="14" t="s">
        <v>26</v>
      </c>
      <c r="I111" s="16"/>
      <c r="J111" s="161"/>
      <c r="K111" s="161"/>
      <c r="L111" s="16" t="s">
        <v>1605</v>
      </c>
      <c r="M111" s="16" t="s">
        <v>1606</v>
      </c>
      <c r="N111" s="16" t="s">
        <v>1607</v>
      </c>
      <c r="O111" s="14" t="s">
        <v>53</v>
      </c>
      <c r="P111" s="14" t="s">
        <v>1608</v>
      </c>
      <c r="Q111" s="161" t="s">
        <v>33</v>
      </c>
      <c r="R111" s="161"/>
      <c r="S111" s="161"/>
      <c r="T111" s="161"/>
      <c r="U111" s="161"/>
      <c r="V111" s="161"/>
      <c r="W111" s="161"/>
      <c r="X111" s="34"/>
    </row>
    <row x14ac:dyDescent="0.25" r="112" customHeight="1" ht="15.75">
      <c r="A112" s="12">
        <v>45988</v>
      </c>
      <c r="B112" s="14" t="s">
        <v>123</v>
      </c>
      <c r="C112" s="161" t="s">
        <v>1609</v>
      </c>
      <c r="D112" s="14" t="s">
        <v>1610</v>
      </c>
      <c r="E112" s="14" t="s">
        <v>1611</v>
      </c>
      <c r="F112" s="14" t="s">
        <v>781</v>
      </c>
      <c r="G112" s="14" t="s">
        <v>1612</v>
      </c>
      <c r="H112" s="14" t="s">
        <v>26</v>
      </c>
      <c r="I112" s="16"/>
      <c r="J112" s="161"/>
      <c r="K112" s="161"/>
      <c r="L112" s="16">
        <v>1691800</v>
      </c>
      <c r="M112" s="16">
        <v>1588720</v>
      </c>
      <c r="N112" s="16">
        <f>L112-M112</f>
      </c>
      <c r="O112" s="14" t="s">
        <v>77</v>
      </c>
      <c r="P112" s="14" t="s">
        <v>1613</v>
      </c>
      <c r="Q112" s="161"/>
      <c r="R112" s="161"/>
      <c r="S112" s="161"/>
      <c r="T112" s="161"/>
      <c r="U112" s="161"/>
      <c r="V112" s="161"/>
      <c r="W112" s="161"/>
      <c r="X112" s="34"/>
    </row>
    <row x14ac:dyDescent="0.25" r="113" customHeight="1" ht="15.75">
      <c r="A113" s="12">
        <v>45988</v>
      </c>
      <c r="B113" s="14" t="s">
        <v>106</v>
      </c>
      <c r="C113" s="161" t="s">
        <v>986</v>
      </c>
      <c r="D113" s="14" t="s">
        <v>1507</v>
      </c>
      <c r="E113" s="14" t="s">
        <v>1614</v>
      </c>
      <c r="F113" s="14" t="s">
        <v>1160</v>
      </c>
      <c r="G113" s="14" t="s">
        <v>1161</v>
      </c>
      <c r="H113" s="14" t="s">
        <v>26</v>
      </c>
      <c r="I113" s="16"/>
      <c r="J113" s="161"/>
      <c r="K113" s="161"/>
      <c r="L113" s="16">
        <v>1825900</v>
      </c>
      <c r="M113" s="16">
        <v>1693820</v>
      </c>
      <c r="N113" s="16">
        <f>L113-M113</f>
      </c>
      <c r="O113" s="14" t="s">
        <v>77</v>
      </c>
      <c r="P113" s="14" t="s">
        <v>1615</v>
      </c>
      <c r="Q113" s="161"/>
      <c r="R113" s="161"/>
      <c r="S113" s="161"/>
      <c r="T113" s="161"/>
      <c r="U113" s="161"/>
      <c r="V113" s="161"/>
      <c r="W113" s="161"/>
      <c r="X113" s="34"/>
    </row>
    <row x14ac:dyDescent="0.25" r="114" customHeight="1" ht="15.75">
      <c r="A114" s="12">
        <v>45988</v>
      </c>
      <c r="B114" s="14" t="s">
        <v>46</v>
      </c>
      <c r="C114" s="161" t="s">
        <v>1616</v>
      </c>
      <c r="D114" s="14" t="s">
        <v>1617</v>
      </c>
      <c r="E114" s="14" t="s">
        <v>1618</v>
      </c>
      <c r="F114" s="14" t="s">
        <v>1619</v>
      </c>
      <c r="G114" s="14" t="s">
        <v>1620</v>
      </c>
      <c r="H114" s="14" t="s">
        <v>26</v>
      </c>
      <c r="I114" s="16"/>
      <c r="J114" s="161"/>
      <c r="K114" s="161"/>
      <c r="L114" s="16">
        <v>958800</v>
      </c>
      <c r="M114" s="16">
        <v>897320</v>
      </c>
      <c r="N114" s="16">
        <f>L114-M114</f>
      </c>
      <c r="O114" s="14" t="s">
        <v>77</v>
      </c>
      <c r="P114" s="14" t="s">
        <v>1621</v>
      </c>
      <c r="Q114" s="161"/>
      <c r="R114" s="161"/>
      <c r="S114" s="161"/>
      <c r="T114" s="161"/>
      <c r="U114" s="161"/>
      <c r="V114" s="161"/>
      <c r="W114" s="161"/>
      <c r="X114" s="34"/>
    </row>
    <row x14ac:dyDescent="0.25" r="115" customHeight="1" ht="15.75">
      <c r="A115" s="12">
        <v>45988</v>
      </c>
      <c r="B115" s="14" t="s">
        <v>62</v>
      </c>
      <c r="C115" s="161" t="s">
        <v>1622</v>
      </c>
      <c r="D115" s="14" t="s">
        <v>63</v>
      </c>
      <c r="E115" s="14" t="s">
        <v>1623</v>
      </c>
      <c r="F115" s="14" t="s">
        <v>1624</v>
      </c>
      <c r="G115" s="14" t="s">
        <v>1625</v>
      </c>
      <c r="H115" s="14" t="s">
        <v>26</v>
      </c>
      <c r="I115" s="16"/>
      <c r="J115" s="161"/>
      <c r="K115" s="161"/>
      <c r="L115" s="16">
        <v>1489700</v>
      </c>
      <c r="M115" s="16">
        <v>1255000</v>
      </c>
      <c r="N115" s="16">
        <f>L115-M115</f>
      </c>
      <c r="O115" s="14" t="s">
        <v>36</v>
      </c>
      <c r="P115" s="14" t="s">
        <v>1626</v>
      </c>
      <c r="Q115" s="161"/>
      <c r="R115" s="161"/>
      <c r="S115" s="161"/>
      <c r="T115" s="161"/>
      <c r="U115" s="161"/>
      <c r="V115" s="161"/>
      <c r="W115" s="161"/>
      <c r="X115" s="34"/>
    </row>
    <row x14ac:dyDescent="0.25" r="116" customHeight="1" ht="15.75">
      <c r="A116" s="12">
        <v>45989</v>
      </c>
      <c r="B116" s="14" t="s">
        <v>66</v>
      </c>
      <c r="C116" s="161" t="s">
        <v>1344</v>
      </c>
      <c r="D116" s="14" t="s">
        <v>166</v>
      </c>
      <c r="E116" s="14" t="s">
        <v>1627</v>
      </c>
      <c r="F116" s="14" t="s">
        <v>90</v>
      </c>
      <c r="G116" s="14" t="s">
        <v>91</v>
      </c>
      <c r="H116" s="14" t="s">
        <v>26</v>
      </c>
      <c r="I116" s="16"/>
      <c r="J116" s="161"/>
      <c r="K116" s="161"/>
      <c r="L116" s="16">
        <v>155800</v>
      </c>
      <c r="M116" s="16">
        <v>122000</v>
      </c>
      <c r="N116" s="16">
        <f>L116-M116</f>
      </c>
      <c r="O116" s="14" t="s">
        <v>50</v>
      </c>
      <c r="P116" s="14" t="s">
        <v>1346</v>
      </c>
      <c r="Q116" s="161" t="s">
        <v>33</v>
      </c>
      <c r="R116" s="161"/>
      <c r="S116" s="161"/>
      <c r="T116" s="161"/>
      <c r="U116" s="161"/>
      <c r="V116" s="161"/>
      <c r="W116" s="161"/>
      <c r="X116" s="34"/>
    </row>
    <row x14ac:dyDescent="0.25" r="117" customHeight="1" ht="15.75">
      <c r="A117" s="12">
        <v>45989</v>
      </c>
      <c r="B117" s="14" t="s">
        <v>111</v>
      </c>
      <c r="C117" s="161" t="s">
        <v>1628</v>
      </c>
      <c r="D117" s="14" t="s">
        <v>805</v>
      </c>
      <c r="E117" s="14" t="s">
        <v>1629</v>
      </c>
      <c r="F117" s="14" t="s">
        <v>147</v>
      </c>
      <c r="G117" s="14" t="s">
        <v>148</v>
      </c>
      <c r="H117" s="14" t="s">
        <v>26</v>
      </c>
      <c r="I117" s="16"/>
      <c r="J117" s="161"/>
      <c r="K117" s="161"/>
      <c r="L117" s="16">
        <v>1355920</v>
      </c>
      <c r="M117" s="16">
        <v>1180020</v>
      </c>
      <c r="N117" s="16">
        <f>L117-M117</f>
      </c>
      <c r="O117" s="14" t="s">
        <v>43</v>
      </c>
      <c r="P117" s="14" t="s">
        <v>1630</v>
      </c>
      <c r="Q117" s="161"/>
      <c r="R117" s="161"/>
      <c r="S117" s="161"/>
      <c r="T117" s="161"/>
      <c r="U117" s="161"/>
      <c r="V117" s="161"/>
      <c r="W117" s="161"/>
      <c r="X117" s="34"/>
    </row>
    <row x14ac:dyDescent="0.25" r="118" customHeight="1" ht="15.75">
      <c r="A118" s="12">
        <v>45989</v>
      </c>
      <c r="B118" s="14" t="s">
        <v>111</v>
      </c>
      <c r="C118" s="161" t="s">
        <v>1631</v>
      </c>
      <c r="D118" s="14" t="s">
        <v>429</v>
      </c>
      <c r="E118" s="14" t="s">
        <v>1632</v>
      </c>
      <c r="F118" s="14" t="s">
        <v>1633</v>
      </c>
      <c r="G118" s="14" t="s">
        <v>1634</v>
      </c>
      <c r="H118" s="14" t="s">
        <v>26</v>
      </c>
      <c r="I118" s="16"/>
      <c r="J118" s="161"/>
      <c r="K118" s="161"/>
      <c r="L118" s="16">
        <v>609800</v>
      </c>
      <c r="M118" s="16">
        <v>601620</v>
      </c>
      <c r="N118" s="16">
        <f>L118-M118</f>
      </c>
      <c r="O118" s="14" t="s">
        <v>43</v>
      </c>
      <c r="P118" s="14" t="s">
        <v>1635</v>
      </c>
      <c r="Q118" s="161"/>
      <c r="R118" s="161"/>
      <c r="S118" s="161"/>
      <c r="T118" s="161"/>
      <c r="U118" s="161"/>
      <c r="V118" s="161"/>
      <c r="W118" s="161"/>
      <c r="X118" s="34"/>
    </row>
    <row x14ac:dyDescent="0.25" r="119" customHeight="1" ht="15.75">
      <c r="A119" s="12">
        <v>45989</v>
      </c>
      <c r="B119" s="14" t="s">
        <v>46</v>
      </c>
      <c r="C119" s="161" t="s">
        <v>1636</v>
      </c>
      <c r="D119" s="14" t="s">
        <v>779</v>
      </c>
      <c r="E119" s="14" t="s">
        <v>1637</v>
      </c>
      <c r="F119" s="14" t="s">
        <v>781</v>
      </c>
      <c r="G119" s="14" t="s">
        <v>1638</v>
      </c>
      <c r="H119" s="14" t="s">
        <v>26</v>
      </c>
      <c r="I119" s="16"/>
      <c r="J119" s="161"/>
      <c r="K119" s="161"/>
      <c r="L119" s="16">
        <v>1292800</v>
      </c>
      <c r="M119" s="16">
        <v>1201300</v>
      </c>
      <c r="N119" s="16">
        <f>L119-M119</f>
      </c>
      <c r="O119" s="14" t="s">
        <v>43</v>
      </c>
      <c r="P119" s="14" t="s">
        <v>1639</v>
      </c>
      <c r="Q119" s="161"/>
      <c r="R119" s="161"/>
      <c r="S119" s="161"/>
      <c r="T119" s="161"/>
      <c r="U119" s="161"/>
      <c r="V119" s="161"/>
      <c r="W119" s="161"/>
      <c r="X119" s="2"/>
    </row>
    <row x14ac:dyDescent="0.25" r="120" customHeight="1" ht="15.75">
      <c r="A120" s="12">
        <v>45989</v>
      </c>
      <c r="B120" s="14" t="s">
        <v>46</v>
      </c>
      <c r="C120" s="161" t="s">
        <v>1636</v>
      </c>
      <c r="D120" s="14" t="s">
        <v>779</v>
      </c>
      <c r="E120" s="14" t="s">
        <v>1637</v>
      </c>
      <c r="F120" s="14" t="s">
        <v>781</v>
      </c>
      <c r="G120" s="14" t="s">
        <v>1640</v>
      </c>
      <c r="H120" s="14" t="s">
        <v>26</v>
      </c>
      <c r="I120" s="16"/>
      <c r="J120" s="161"/>
      <c r="K120" s="161"/>
      <c r="L120" s="16">
        <v>1292800</v>
      </c>
      <c r="M120" s="16">
        <v>1201300</v>
      </c>
      <c r="N120" s="16">
        <f>L120-M120</f>
      </c>
      <c r="O120" s="14" t="s">
        <v>43</v>
      </c>
      <c r="P120" s="14" t="s">
        <v>1641</v>
      </c>
      <c r="Q120" s="161"/>
      <c r="R120" s="161"/>
      <c r="S120" s="161"/>
      <c r="T120" s="161"/>
      <c r="U120" s="161"/>
      <c r="V120" s="161"/>
      <c r="W120" s="161"/>
      <c r="X120" s="2"/>
    </row>
    <row x14ac:dyDescent="0.25" r="121" customHeight="1" ht="15.75">
      <c r="A121" s="12">
        <v>45989</v>
      </c>
      <c r="B121" s="14" t="s">
        <v>46</v>
      </c>
      <c r="C121" s="161" t="s">
        <v>1636</v>
      </c>
      <c r="D121" s="14" t="s">
        <v>779</v>
      </c>
      <c r="E121" s="14" t="s">
        <v>1637</v>
      </c>
      <c r="F121" s="14" t="s">
        <v>781</v>
      </c>
      <c r="G121" s="14" t="s">
        <v>1642</v>
      </c>
      <c r="H121" s="14" t="s">
        <v>26</v>
      </c>
      <c r="I121" s="16"/>
      <c r="J121" s="161"/>
      <c r="K121" s="161"/>
      <c r="L121" s="16">
        <v>1292800</v>
      </c>
      <c r="M121" s="16">
        <v>1201300</v>
      </c>
      <c r="N121" s="16">
        <f>L121-M121</f>
      </c>
      <c r="O121" s="14" t="s">
        <v>43</v>
      </c>
      <c r="P121" s="14" t="s">
        <v>1643</v>
      </c>
      <c r="Q121" s="166"/>
      <c r="R121" s="161"/>
      <c r="S121" s="161"/>
      <c r="T121" s="161"/>
      <c r="U121" s="161"/>
      <c r="V121" s="161"/>
      <c r="W121" s="161"/>
      <c r="X121" s="2"/>
    </row>
    <row x14ac:dyDescent="0.25" r="122" customHeight="1" ht="15.75">
      <c r="A122" s="12">
        <v>45989</v>
      </c>
      <c r="B122" s="14" t="s">
        <v>46</v>
      </c>
      <c r="C122" s="161" t="s">
        <v>1636</v>
      </c>
      <c r="D122" s="14" t="s">
        <v>779</v>
      </c>
      <c r="E122" s="14" t="s">
        <v>1637</v>
      </c>
      <c r="F122" s="14" t="s">
        <v>781</v>
      </c>
      <c r="G122" s="14" t="s">
        <v>1644</v>
      </c>
      <c r="H122" s="14" t="s">
        <v>26</v>
      </c>
      <c r="I122" s="16"/>
      <c r="J122" s="161"/>
      <c r="K122" s="161"/>
      <c r="L122" s="16">
        <v>1292800</v>
      </c>
      <c r="M122" s="16">
        <v>1201300</v>
      </c>
      <c r="N122" s="16">
        <f>L122-M122</f>
      </c>
      <c r="O122" s="14" t="s">
        <v>43</v>
      </c>
      <c r="P122" s="14" t="s">
        <v>1645</v>
      </c>
      <c r="Q122" s="166"/>
      <c r="R122" s="161"/>
      <c r="S122" s="161"/>
      <c r="T122" s="161"/>
      <c r="U122" s="161"/>
      <c r="V122" s="161"/>
      <c r="W122" s="161"/>
      <c r="X122" s="34"/>
    </row>
    <row x14ac:dyDescent="0.25" r="123" customHeight="1" ht="15.75">
      <c r="A123" s="12">
        <v>45989</v>
      </c>
      <c r="B123" s="14" t="s">
        <v>46</v>
      </c>
      <c r="C123" s="161" t="s">
        <v>1636</v>
      </c>
      <c r="D123" s="14" t="s">
        <v>779</v>
      </c>
      <c r="E123" s="14" t="s">
        <v>1637</v>
      </c>
      <c r="F123" s="14" t="s">
        <v>781</v>
      </c>
      <c r="G123" s="14" t="s">
        <v>1646</v>
      </c>
      <c r="H123" s="14" t="s">
        <v>26</v>
      </c>
      <c r="I123" s="16"/>
      <c r="J123" s="161"/>
      <c r="K123" s="161"/>
      <c r="L123" s="16">
        <v>1292800</v>
      </c>
      <c r="M123" s="16">
        <v>1201300</v>
      </c>
      <c r="N123" s="16">
        <f>L123-M123</f>
      </c>
      <c r="O123" s="14" t="s">
        <v>43</v>
      </c>
      <c r="P123" s="14" t="s">
        <v>1647</v>
      </c>
      <c r="Q123" s="166"/>
      <c r="R123" s="161"/>
      <c r="S123" s="161"/>
      <c r="T123" s="161"/>
      <c r="U123" s="161"/>
      <c r="V123" s="161"/>
      <c r="W123" s="161"/>
      <c r="X123" s="34"/>
    </row>
    <row x14ac:dyDescent="0.25" r="124" customHeight="1" ht="15.75">
      <c r="A124" s="12">
        <v>45990</v>
      </c>
      <c r="B124" s="14" t="s">
        <v>72</v>
      </c>
      <c r="C124" s="161" t="s">
        <v>1648</v>
      </c>
      <c r="D124" s="14" t="s">
        <v>1649</v>
      </c>
      <c r="E124" s="14" t="s">
        <v>1650</v>
      </c>
      <c r="F124" s="14" t="s">
        <v>266</v>
      </c>
      <c r="G124" s="14" t="s">
        <v>1651</v>
      </c>
      <c r="H124" s="14" t="s">
        <v>26</v>
      </c>
      <c r="I124" s="16"/>
      <c r="J124" s="161"/>
      <c r="K124" s="161"/>
      <c r="L124" s="16">
        <v>1658700</v>
      </c>
      <c r="M124" s="16">
        <v>1611220</v>
      </c>
      <c r="N124" s="16">
        <f>L124-M124</f>
      </c>
      <c r="O124" s="14" t="s">
        <v>43</v>
      </c>
      <c r="P124" s="14" t="s">
        <v>1652</v>
      </c>
      <c r="Q124" s="166"/>
      <c r="R124" s="161"/>
      <c r="S124" s="161"/>
      <c r="T124" s="161"/>
      <c r="U124" s="161"/>
      <c r="V124" s="161"/>
      <c r="W124" s="161"/>
      <c r="X124" s="34"/>
    </row>
    <row x14ac:dyDescent="0.25" r="125" customHeight="1" ht="15.75">
      <c r="A125" s="12">
        <v>45990</v>
      </c>
      <c r="B125" s="14" t="s">
        <v>39</v>
      </c>
      <c r="C125" s="161" t="s">
        <v>1653</v>
      </c>
      <c r="D125" s="14" t="s">
        <v>1654</v>
      </c>
      <c r="E125" s="14" t="s">
        <v>1655</v>
      </c>
      <c r="F125" s="14" t="s">
        <v>41</v>
      </c>
      <c r="G125" s="14" t="s">
        <v>1656</v>
      </c>
      <c r="H125" s="14" t="s">
        <v>26</v>
      </c>
      <c r="I125" s="16"/>
      <c r="J125" s="161"/>
      <c r="K125" s="161"/>
      <c r="L125" s="16">
        <v>568000</v>
      </c>
      <c r="M125" s="16">
        <v>374100</v>
      </c>
      <c r="N125" s="16">
        <f>L125-M125</f>
      </c>
      <c r="O125" s="14" t="s">
        <v>43</v>
      </c>
      <c r="P125" s="14" t="s">
        <v>1657</v>
      </c>
      <c r="Q125" s="166"/>
      <c r="R125" s="161"/>
      <c r="S125" s="161"/>
      <c r="T125" s="161"/>
      <c r="U125" s="161"/>
      <c r="V125" s="161"/>
      <c r="W125" s="161"/>
      <c r="X125" s="34"/>
    </row>
    <row x14ac:dyDescent="0.25" r="126" customHeight="1" ht="15.75">
      <c r="A126" s="12">
        <v>45990</v>
      </c>
      <c r="B126" s="14" t="s">
        <v>72</v>
      </c>
      <c r="C126" s="161" t="s">
        <v>1648</v>
      </c>
      <c r="D126" s="14" t="s">
        <v>752</v>
      </c>
      <c r="E126" s="14" t="s">
        <v>1658</v>
      </c>
      <c r="F126" s="14" t="s">
        <v>266</v>
      </c>
      <c r="G126" s="14" t="s">
        <v>1659</v>
      </c>
      <c r="H126" s="14" t="s">
        <v>26</v>
      </c>
      <c r="I126" s="16"/>
      <c r="J126" s="161"/>
      <c r="K126" s="161"/>
      <c r="L126" s="16">
        <v>1079420</v>
      </c>
      <c r="M126" s="164">
        <v>1032420</v>
      </c>
      <c r="N126" s="16">
        <f>L126-M126</f>
      </c>
      <c r="O126" s="14" t="s">
        <v>43</v>
      </c>
      <c r="P126" s="14" t="s">
        <v>1660</v>
      </c>
      <c r="Q126" s="166"/>
      <c r="R126" s="161"/>
      <c r="S126" s="161"/>
      <c r="T126" s="161"/>
      <c r="U126" s="161"/>
      <c r="V126" s="161"/>
      <c r="W126" s="161"/>
      <c r="X126" s="34"/>
    </row>
    <row x14ac:dyDescent="0.25" r="127" customHeight="1" ht="15.75">
      <c r="A127" s="12"/>
      <c r="B127" s="161"/>
      <c r="C127" s="162"/>
      <c r="D127" s="161"/>
      <c r="E127" s="161"/>
      <c r="F127" s="161"/>
      <c r="G127" s="161"/>
      <c r="H127" s="161"/>
      <c r="I127" s="16"/>
      <c r="J127" s="161"/>
      <c r="K127" s="161"/>
      <c r="L127" s="16"/>
      <c r="M127" s="16"/>
      <c r="N127" s="16">
        <f>L127-M127</f>
      </c>
      <c r="O127" s="161"/>
      <c r="P127" s="161"/>
      <c r="Q127" s="166"/>
      <c r="R127" s="161"/>
      <c r="S127" s="161"/>
      <c r="T127" s="161"/>
      <c r="U127" s="161"/>
      <c r="V127" s="161"/>
      <c r="W127" s="161"/>
      <c r="X127" s="34"/>
    </row>
    <row x14ac:dyDescent="0.25" r="128" customHeight="1" ht="15.75">
      <c r="A128" s="12"/>
      <c r="B128" s="161"/>
      <c r="C128" s="162"/>
      <c r="D128" s="161"/>
      <c r="E128" s="161"/>
      <c r="F128" s="161"/>
      <c r="G128" s="161"/>
      <c r="H128" s="161"/>
      <c r="I128" s="16"/>
      <c r="J128" s="161"/>
      <c r="K128" s="161"/>
      <c r="L128" s="16">
        <f>SUM(L2:L127)</f>
      </c>
      <c r="M128" s="16">
        <f>SUM(M2:M127)</f>
      </c>
      <c r="N128" s="16">
        <f>L128-M128</f>
      </c>
      <c r="O128" s="161"/>
      <c r="P128" s="161"/>
      <c r="Q128" s="166"/>
      <c r="R128" s="161"/>
      <c r="S128" s="161"/>
      <c r="T128" s="161"/>
      <c r="U128" s="161"/>
      <c r="V128" s="161"/>
      <c r="W128" s="161"/>
      <c r="X128" s="34"/>
    </row>
    <row x14ac:dyDescent="0.25" r="129" customHeight="1" ht="15.75">
      <c r="A129" s="12"/>
      <c r="B129" s="161"/>
      <c r="C129" s="162"/>
      <c r="D129" s="161"/>
      <c r="E129" s="161"/>
      <c r="F129" s="161"/>
      <c r="G129" s="161"/>
      <c r="H129" s="161"/>
      <c r="I129" s="16"/>
      <c r="J129" s="161"/>
      <c r="K129" s="161"/>
      <c r="L129" s="16"/>
      <c r="M129" s="16"/>
      <c r="N129" s="16">
        <f>L129-M129</f>
      </c>
      <c r="O129" s="161"/>
      <c r="P129" s="161"/>
      <c r="Q129" s="166"/>
      <c r="R129" s="161"/>
      <c r="S129" s="161"/>
      <c r="T129" s="161"/>
      <c r="U129" s="161"/>
      <c r="V129" s="161"/>
      <c r="W129" s="161"/>
      <c r="X129" s="34"/>
    </row>
    <row x14ac:dyDescent="0.25" r="130" customHeight="1" ht="15.75">
      <c r="A130" s="12"/>
      <c r="B130" s="161"/>
      <c r="C130" s="162"/>
      <c r="D130" s="161"/>
      <c r="E130" s="161"/>
      <c r="F130" s="161"/>
      <c r="G130" s="161"/>
      <c r="H130" s="161"/>
      <c r="I130" s="16"/>
      <c r="J130" s="161"/>
      <c r="K130" s="161"/>
      <c r="L130" s="16"/>
      <c r="M130" s="16"/>
      <c r="N130" s="16">
        <f>L130-M130</f>
      </c>
      <c r="O130" s="161"/>
      <c r="P130" s="161"/>
      <c r="Q130" s="166"/>
      <c r="R130" s="161"/>
      <c r="S130" s="161"/>
      <c r="T130" s="161"/>
      <c r="U130" s="161"/>
      <c r="V130" s="161"/>
      <c r="W130" s="161"/>
      <c r="X130" s="34"/>
    </row>
    <row x14ac:dyDescent="0.25" r="131" customHeight="1" ht="15.75">
      <c r="A131" s="12"/>
      <c r="B131" s="161"/>
      <c r="C131" s="162"/>
      <c r="D131" s="161"/>
      <c r="E131" s="161"/>
      <c r="F131" s="161"/>
      <c r="G131" s="161"/>
      <c r="H131" s="161"/>
      <c r="I131" s="16"/>
      <c r="J131" s="161"/>
      <c r="K131" s="161"/>
      <c r="L131" s="16"/>
      <c r="M131" s="16"/>
      <c r="N131" s="16">
        <f>L131-M131</f>
      </c>
      <c r="O131" s="161"/>
      <c r="P131" s="161"/>
      <c r="Q131" s="166"/>
      <c r="R131" s="161"/>
      <c r="S131" s="161"/>
      <c r="T131" s="161"/>
      <c r="U131" s="161"/>
      <c r="V131" s="161"/>
      <c r="W131" s="161"/>
      <c r="X131" s="34"/>
    </row>
    <row x14ac:dyDescent="0.25" r="132" customHeight="1" ht="15.75">
      <c r="A132" s="12"/>
      <c r="B132" s="161"/>
      <c r="C132" s="162"/>
      <c r="D132" s="161"/>
      <c r="E132" s="161"/>
      <c r="F132" s="161"/>
      <c r="G132" s="161"/>
      <c r="H132" s="161"/>
      <c r="I132" s="16"/>
      <c r="J132" s="161"/>
      <c r="K132" s="161"/>
      <c r="L132" s="16"/>
      <c r="M132" s="16"/>
      <c r="N132" s="16">
        <f>L132-M132</f>
      </c>
      <c r="O132" s="161"/>
      <c r="P132" s="161"/>
      <c r="Q132" s="166"/>
      <c r="R132" s="161"/>
      <c r="S132" s="161"/>
      <c r="T132" s="161"/>
      <c r="U132" s="161"/>
      <c r="V132" s="161"/>
      <c r="W132" s="161"/>
      <c r="X132" s="34"/>
    </row>
    <row x14ac:dyDescent="0.25" r="133" customHeight="1" ht="15.75">
      <c r="A133" s="12"/>
      <c r="B133" s="161"/>
      <c r="C133" s="162"/>
      <c r="D133" s="161"/>
      <c r="E133" s="161"/>
      <c r="F133" s="161"/>
      <c r="G133" s="161"/>
      <c r="H133" s="161"/>
      <c r="I133" s="16"/>
      <c r="J133" s="161"/>
      <c r="K133" s="161"/>
      <c r="L133" s="16"/>
      <c r="M133" s="16"/>
      <c r="N133" s="16">
        <f>L133-M133</f>
      </c>
      <c r="O133" s="161"/>
      <c r="P133" s="161"/>
      <c r="Q133" s="166"/>
      <c r="R133" s="161"/>
      <c r="S133" s="161"/>
      <c r="T133" s="161"/>
      <c r="U133" s="161"/>
      <c r="V133" s="161"/>
      <c r="W133" s="161"/>
      <c r="X133" s="34"/>
    </row>
    <row x14ac:dyDescent="0.25" r="134" customHeight="1" ht="15.75">
      <c r="A134" s="12"/>
      <c r="B134" s="161"/>
      <c r="C134" s="162"/>
      <c r="D134" s="161"/>
      <c r="E134" s="161"/>
      <c r="F134" s="161"/>
      <c r="G134" s="161"/>
      <c r="H134" s="161"/>
      <c r="I134" s="16"/>
      <c r="J134" s="161"/>
      <c r="K134" s="161"/>
      <c r="L134" s="16"/>
      <c r="M134" s="16"/>
      <c r="N134" s="16">
        <f>L134-M134</f>
      </c>
      <c r="O134" s="161"/>
      <c r="P134" s="161"/>
      <c r="Q134" s="166"/>
      <c r="R134" s="161"/>
      <c r="S134" s="161"/>
      <c r="T134" s="161"/>
      <c r="U134" s="161"/>
      <c r="V134" s="161"/>
      <c r="W134" s="161"/>
      <c r="X134" s="34"/>
    </row>
    <row x14ac:dyDescent="0.25" r="135" customHeight="1" ht="15.75">
      <c r="A135" s="1"/>
      <c r="B135" s="167"/>
      <c r="C135" s="168"/>
      <c r="D135" s="167"/>
      <c r="E135" s="167"/>
      <c r="F135" s="167"/>
      <c r="G135" s="167"/>
      <c r="H135" s="167"/>
      <c r="I135" s="169"/>
      <c r="J135" s="2"/>
      <c r="K135" s="2"/>
      <c r="L135" s="169"/>
      <c r="M135" s="169"/>
      <c r="N135" s="16">
        <f>L135-M135</f>
      </c>
      <c r="O135" s="167"/>
      <c r="P135" s="167"/>
      <c r="Q135" s="2"/>
      <c r="R135" s="161"/>
      <c r="S135" s="161"/>
      <c r="T135" s="161"/>
      <c r="U135" s="161"/>
      <c r="V135" s="161"/>
      <c r="W135" s="161"/>
      <c r="X135" s="34"/>
    </row>
    <row x14ac:dyDescent="0.25" r="136" customHeight="1" ht="15.75">
      <c r="A136" s="12"/>
      <c r="B136" s="161"/>
      <c r="C136" s="162"/>
      <c r="D136" s="161"/>
      <c r="E136" s="161"/>
      <c r="F136" s="161"/>
      <c r="G136" s="161"/>
      <c r="H136" s="161"/>
      <c r="I136" s="16"/>
      <c r="J136" s="161"/>
      <c r="K136" s="161"/>
      <c r="L136" s="16"/>
      <c r="M136" s="16"/>
      <c r="N136" s="16">
        <f>L136-M136</f>
      </c>
      <c r="O136" s="161"/>
      <c r="P136" s="161"/>
      <c r="Q136" s="166"/>
      <c r="R136" s="161"/>
      <c r="S136" s="161"/>
      <c r="T136" s="161"/>
      <c r="U136" s="161"/>
      <c r="V136" s="161"/>
      <c r="W136" s="161"/>
      <c r="X136" s="34"/>
    </row>
    <row x14ac:dyDescent="0.25" r="137" customHeight="1" ht="15.75">
      <c r="A137" s="12"/>
      <c r="B137" s="161"/>
      <c r="C137" s="162"/>
      <c r="D137" s="161"/>
      <c r="E137" s="161"/>
      <c r="F137" s="161"/>
      <c r="G137" s="161"/>
      <c r="H137" s="161"/>
      <c r="I137" s="16"/>
      <c r="J137" s="161"/>
      <c r="K137" s="161"/>
      <c r="L137" s="16"/>
      <c r="M137" s="16"/>
      <c r="N137" s="16">
        <f>L137-M137</f>
      </c>
      <c r="O137" s="161"/>
      <c r="P137" s="161"/>
      <c r="Q137" s="166"/>
      <c r="R137" s="161"/>
      <c r="S137" s="161"/>
      <c r="T137" s="161"/>
      <c r="U137" s="161"/>
      <c r="V137" s="161"/>
      <c r="W137" s="161"/>
      <c r="X137" s="34"/>
    </row>
    <row x14ac:dyDescent="0.25" r="138" customHeight="1" ht="15.75">
      <c r="A138" s="12"/>
      <c r="B138" s="161"/>
      <c r="C138" s="162"/>
      <c r="D138" s="161"/>
      <c r="E138" s="161"/>
      <c r="F138" s="161"/>
      <c r="G138" s="161"/>
      <c r="H138" s="161"/>
      <c r="I138" s="16"/>
      <c r="J138" s="161"/>
      <c r="K138" s="161"/>
      <c r="L138" s="16"/>
      <c r="M138" s="16"/>
      <c r="N138" s="16">
        <f>L138-M138</f>
      </c>
      <c r="O138" s="161"/>
      <c r="P138" s="161"/>
      <c r="Q138" s="166"/>
      <c r="R138" s="161"/>
      <c r="S138" s="161"/>
      <c r="T138" s="161"/>
      <c r="U138" s="161"/>
      <c r="V138" s="161"/>
      <c r="W138" s="161"/>
      <c r="X138" s="34"/>
    </row>
    <row x14ac:dyDescent="0.25" r="139" customHeight="1" ht="15.75">
      <c r="A139" s="12"/>
      <c r="B139" s="161"/>
      <c r="C139" s="162"/>
      <c r="D139" s="161"/>
      <c r="E139" s="161"/>
      <c r="F139" s="161"/>
      <c r="G139" s="161"/>
      <c r="H139" s="161"/>
      <c r="I139" s="16"/>
      <c r="J139" s="161"/>
      <c r="K139" s="161"/>
      <c r="L139" s="16"/>
      <c r="M139" s="16"/>
      <c r="N139" s="16">
        <f>L139-M139</f>
      </c>
      <c r="O139" s="161"/>
      <c r="P139" s="161"/>
      <c r="Q139" s="166"/>
      <c r="R139" s="161"/>
      <c r="S139" s="161"/>
      <c r="T139" s="161"/>
      <c r="U139" s="161"/>
      <c r="V139" s="161"/>
      <c r="W139" s="161"/>
      <c r="X139" s="34"/>
    </row>
    <row x14ac:dyDescent="0.25" r="140" customHeight="1" ht="15.75">
      <c r="A140" s="12"/>
      <c r="B140" s="161"/>
      <c r="C140" s="162"/>
      <c r="D140" s="161"/>
      <c r="E140" s="161"/>
      <c r="F140" s="161"/>
      <c r="G140" s="161"/>
      <c r="H140" s="161"/>
      <c r="I140" s="16"/>
      <c r="J140" s="161"/>
      <c r="K140" s="161"/>
      <c r="L140" s="16"/>
      <c r="M140" s="16"/>
      <c r="N140" s="16">
        <f>L140-M140</f>
      </c>
      <c r="O140" s="161"/>
      <c r="P140" s="161"/>
      <c r="Q140" s="166"/>
      <c r="R140" s="161"/>
      <c r="S140" s="161"/>
      <c r="T140" s="161"/>
      <c r="U140" s="161"/>
      <c r="V140" s="161"/>
      <c r="W140" s="161"/>
      <c r="X140" s="34"/>
    </row>
    <row x14ac:dyDescent="0.25" r="141" customHeight="1" ht="15.75">
      <c r="A141" s="12"/>
      <c r="B141" s="161"/>
      <c r="C141" s="162"/>
      <c r="D141" s="161"/>
      <c r="E141" s="161"/>
      <c r="F141" s="161"/>
      <c r="G141" s="161"/>
      <c r="H141" s="161"/>
      <c r="I141" s="16"/>
      <c r="J141" s="161"/>
      <c r="K141" s="161"/>
      <c r="L141" s="16"/>
      <c r="M141" s="16"/>
      <c r="N141" s="16">
        <f>L141-M141</f>
      </c>
      <c r="O141" s="161"/>
      <c r="P141" s="161"/>
      <c r="Q141" s="166"/>
      <c r="R141" s="161"/>
      <c r="S141" s="161"/>
      <c r="T141" s="161"/>
      <c r="U141" s="161"/>
      <c r="V141" s="161"/>
      <c r="W141" s="161"/>
      <c r="X141" s="34"/>
    </row>
    <row x14ac:dyDescent="0.25" r="142" customHeight="1" ht="15.75">
      <c r="A142" s="12"/>
      <c r="B142" s="161"/>
      <c r="C142" s="162"/>
      <c r="D142" s="161"/>
      <c r="E142" s="161"/>
      <c r="F142" s="161"/>
      <c r="G142" s="161"/>
      <c r="H142" s="161"/>
      <c r="I142" s="16"/>
      <c r="J142" s="161"/>
      <c r="K142" s="161"/>
      <c r="L142" s="16"/>
      <c r="M142" s="16"/>
      <c r="N142" s="16">
        <f>L142-M142</f>
      </c>
      <c r="O142" s="161"/>
      <c r="P142" s="161"/>
      <c r="Q142" s="166"/>
      <c r="R142" s="161"/>
      <c r="S142" s="161"/>
      <c r="T142" s="161"/>
      <c r="U142" s="161"/>
      <c r="V142" s="161"/>
      <c r="W142" s="161"/>
      <c r="X142" s="34"/>
    </row>
    <row x14ac:dyDescent="0.25" r="143" customHeight="1" ht="15.75">
      <c r="A143" s="12"/>
      <c r="B143" s="161"/>
      <c r="C143" s="162"/>
      <c r="D143" s="161"/>
      <c r="E143" s="161"/>
      <c r="F143" s="161"/>
      <c r="G143" s="161"/>
      <c r="H143" s="161"/>
      <c r="I143" s="16"/>
      <c r="J143" s="161"/>
      <c r="K143" s="161"/>
      <c r="L143" s="16"/>
      <c r="M143" s="16"/>
      <c r="N143" s="16">
        <f>L143-M143</f>
      </c>
      <c r="O143" s="161"/>
      <c r="P143" s="161"/>
      <c r="Q143" s="166"/>
      <c r="R143" s="161"/>
      <c r="S143" s="161"/>
      <c r="T143" s="161"/>
      <c r="U143" s="161"/>
      <c r="V143" s="161"/>
      <c r="W143" s="161"/>
      <c r="X143" s="34"/>
    </row>
    <row x14ac:dyDescent="0.25" r="144" customHeight="1" ht="15.75">
      <c r="A144" s="12"/>
      <c r="B144" s="161"/>
      <c r="C144" s="162"/>
      <c r="D144" s="161"/>
      <c r="E144" s="161"/>
      <c r="F144" s="161"/>
      <c r="G144" s="161"/>
      <c r="H144" s="161"/>
      <c r="I144" s="16"/>
      <c r="J144" s="161"/>
      <c r="K144" s="161"/>
      <c r="L144" s="16"/>
      <c r="M144" s="16"/>
      <c r="N144" s="16">
        <f>L144-M144</f>
      </c>
      <c r="O144" s="161"/>
      <c r="P144" s="161"/>
      <c r="Q144" s="166"/>
      <c r="R144" s="161"/>
      <c r="S144" s="161"/>
      <c r="T144" s="161"/>
      <c r="U144" s="161"/>
      <c r="V144" s="161"/>
      <c r="W144" s="161"/>
      <c r="X144" s="34"/>
    </row>
    <row x14ac:dyDescent="0.25" r="145" customHeight="1" ht="15.75">
      <c r="A145" s="12"/>
      <c r="B145" s="161"/>
      <c r="C145" s="162"/>
      <c r="D145" s="161"/>
      <c r="E145" s="161"/>
      <c r="F145" s="161"/>
      <c r="G145" s="161"/>
      <c r="H145" s="161"/>
      <c r="I145" s="16"/>
      <c r="J145" s="161"/>
      <c r="K145" s="161"/>
      <c r="L145" s="16"/>
      <c r="M145" s="16"/>
      <c r="N145" s="16">
        <f>L145-M145</f>
      </c>
      <c r="O145" s="161"/>
      <c r="P145" s="161"/>
      <c r="Q145" s="166"/>
      <c r="R145" s="161"/>
      <c r="S145" s="161"/>
      <c r="T145" s="161"/>
      <c r="U145" s="161"/>
      <c r="V145" s="161"/>
      <c r="W145" s="161"/>
      <c r="X145" s="34"/>
    </row>
    <row x14ac:dyDescent="0.25" r="146" customHeight="1" ht="15.75">
      <c r="A146" s="12"/>
      <c r="B146" s="161"/>
      <c r="C146" s="162"/>
      <c r="D146" s="161"/>
      <c r="E146" s="161"/>
      <c r="F146" s="161"/>
      <c r="G146" s="161"/>
      <c r="H146" s="161"/>
      <c r="I146" s="16"/>
      <c r="J146" s="161"/>
      <c r="K146" s="161"/>
      <c r="L146" s="16"/>
      <c r="M146" s="16"/>
      <c r="N146" s="16">
        <f>L146-M146</f>
      </c>
      <c r="O146" s="161"/>
      <c r="P146" s="161"/>
      <c r="Q146" s="166"/>
      <c r="R146" s="161"/>
      <c r="S146" s="161"/>
      <c r="T146" s="161"/>
      <c r="U146" s="161"/>
      <c r="V146" s="161"/>
      <c r="W146" s="161"/>
      <c r="X146" s="34"/>
    </row>
    <row x14ac:dyDescent="0.25" r="147" customHeight="1" ht="15.75">
      <c r="A147" s="12"/>
      <c r="B147" s="161"/>
      <c r="C147" s="162"/>
      <c r="D147" s="161"/>
      <c r="E147" s="161"/>
      <c r="F147" s="161"/>
      <c r="G147" s="161"/>
      <c r="H147" s="161"/>
      <c r="I147" s="16"/>
      <c r="J147" s="161"/>
      <c r="K147" s="161"/>
      <c r="L147" s="16"/>
      <c r="M147" s="16"/>
      <c r="N147" s="16">
        <f>L147-M147</f>
      </c>
      <c r="O147" s="161"/>
      <c r="P147" s="161"/>
      <c r="Q147" s="166"/>
      <c r="R147" s="161"/>
      <c r="S147" s="161"/>
      <c r="T147" s="161"/>
      <c r="U147" s="161"/>
      <c r="V147" s="161"/>
      <c r="W147" s="161"/>
      <c r="X147" s="34"/>
    </row>
    <row x14ac:dyDescent="0.25" r="148" customHeight="1" ht="15.75">
      <c r="A148" s="12"/>
      <c r="B148" s="161"/>
      <c r="C148" s="162"/>
      <c r="D148" s="161"/>
      <c r="E148" s="161"/>
      <c r="F148" s="161"/>
      <c r="G148" s="161"/>
      <c r="H148" s="161"/>
      <c r="I148" s="16"/>
      <c r="J148" s="161"/>
      <c r="K148" s="161"/>
      <c r="L148" s="16"/>
      <c r="M148" s="16"/>
      <c r="N148" s="16">
        <f>L148-M148</f>
      </c>
      <c r="O148" s="161"/>
      <c r="P148" s="161"/>
      <c r="Q148" s="166"/>
      <c r="R148" s="161"/>
      <c r="S148" s="161"/>
      <c r="T148" s="161"/>
      <c r="U148" s="161"/>
      <c r="V148" s="161"/>
      <c r="W148" s="161"/>
      <c r="X148" s="34"/>
    </row>
    <row x14ac:dyDescent="0.25" r="149" customHeight="1" ht="15.75">
      <c r="A149" s="12"/>
      <c r="B149" s="161"/>
      <c r="C149" s="162"/>
      <c r="D149" s="161"/>
      <c r="E149" s="161"/>
      <c r="F149" s="161"/>
      <c r="G149" s="161"/>
      <c r="H149" s="161"/>
      <c r="I149" s="16"/>
      <c r="J149" s="161"/>
      <c r="K149" s="161"/>
      <c r="L149" s="16"/>
      <c r="M149" s="16"/>
      <c r="N149" s="16">
        <f>L149-M149</f>
      </c>
      <c r="O149" s="161"/>
      <c r="P149" s="161"/>
      <c r="Q149" s="161"/>
      <c r="R149" s="34"/>
      <c r="S149" s="34"/>
      <c r="T149" s="34"/>
      <c r="U149" s="2"/>
      <c r="V149" s="2"/>
      <c r="W149" s="2"/>
      <c r="X149" s="34"/>
    </row>
    <row x14ac:dyDescent="0.25" r="150" customHeight="1" ht="15.75">
      <c r="A150" s="12"/>
      <c r="B150" s="161"/>
      <c r="C150" s="162"/>
      <c r="D150" s="161"/>
      <c r="E150" s="161"/>
      <c r="F150" s="161"/>
      <c r="G150" s="161"/>
      <c r="H150" s="161"/>
      <c r="I150" s="16"/>
      <c r="J150" s="161"/>
      <c r="K150" s="161"/>
      <c r="L150" s="16"/>
      <c r="M150" s="16"/>
      <c r="N150" s="16">
        <f>L150-M150</f>
      </c>
      <c r="O150" s="161"/>
      <c r="P150" s="161"/>
      <c r="Q150" s="161"/>
      <c r="R150" s="34"/>
      <c r="S150" s="34"/>
      <c r="T150" s="34"/>
      <c r="U150" s="2"/>
      <c r="V150" s="2"/>
      <c r="W150" s="2"/>
      <c r="X150" s="34"/>
    </row>
    <row x14ac:dyDescent="0.25" r="151" customHeight="1" ht="15.75">
      <c r="A151" s="12"/>
      <c r="B151" s="161"/>
      <c r="C151" s="162"/>
      <c r="D151" s="161"/>
      <c r="E151" s="161"/>
      <c r="F151" s="161"/>
      <c r="G151" s="161"/>
      <c r="H151" s="161"/>
      <c r="I151" s="16"/>
      <c r="J151" s="161"/>
      <c r="K151" s="161"/>
      <c r="L151" s="16"/>
      <c r="M151" s="16"/>
      <c r="N151" s="16">
        <f>L151-M151</f>
      </c>
      <c r="O151" s="161"/>
      <c r="P151" s="161"/>
      <c r="Q151" s="161"/>
      <c r="R151" s="34"/>
      <c r="S151" s="34"/>
      <c r="T151" s="34"/>
      <c r="U151" s="2"/>
      <c r="V151" s="2"/>
      <c r="W151" s="2"/>
      <c r="X151" s="34"/>
    </row>
    <row x14ac:dyDescent="0.25" r="152" customHeight="1" ht="15.75">
      <c r="A152" s="12"/>
      <c r="B152" s="161"/>
      <c r="C152" s="162"/>
      <c r="D152" s="161"/>
      <c r="E152" s="161"/>
      <c r="F152" s="161"/>
      <c r="G152" s="161"/>
      <c r="H152" s="161"/>
      <c r="I152" s="16"/>
      <c r="J152" s="161"/>
      <c r="K152" s="161"/>
      <c r="L152" s="16"/>
      <c r="M152" s="16"/>
      <c r="N152" s="16">
        <f>L152-M152</f>
      </c>
      <c r="O152" s="161"/>
      <c r="P152" s="161"/>
      <c r="Q152" s="161"/>
      <c r="R152" s="34"/>
      <c r="S152" s="34"/>
      <c r="T152" s="34"/>
      <c r="U152" s="2"/>
      <c r="V152" s="2"/>
      <c r="W152" s="2"/>
      <c r="X152" s="34"/>
    </row>
    <row x14ac:dyDescent="0.25" r="153" customHeight="1" ht="15.75">
      <c r="A153" s="12"/>
      <c r="B153" s="161"/>
      <c r="C153" s="162"/>
      <c r="D153" s="161"/>
      <c r="E153" s="161"/>
      <c r="F153" s="161"/>
      <c r="G153" s="161"/>
      <c r="H153" s="161"/>
      <c r="I153" s="16"/>
      <c r="J153" s="161"/>
      <c r="K153" s="161"/>
      <c r="L153" s="16"/>
      <c r="M153" s="16"/>
      <c r="N153" s="16">
        <f>L153-M153</f>
      </c>
      <c r="O153" s="161"/>
      <c r="P153" s="161"/>
      <c r="Q153" s="161"/>
      <c r="R153" s="34"/>
      <c r="S153" s="34"/>
      <c r="T153" s="34"/>
      <c r="U153" s="2"/>
      <c r="V153" s="2"/>
      <c r="W153" s="2"/>
      <c r="X153" s="34"/>
    </row>
    <row x14ac:dyDescent="0.25" r="154" customHeight="1" ht="15.75">
      <c r="A154" s="12"/>
      <c r="B154" s="161"/>
      <c r="C154" s="162"/>
      <c r="D154" s="161"/>
      <c r="E154" s="161"/>
      <c r="F154" s="161"/>
      <c r="G154" s="161"/>
      <c r="H154" s="161"/>
      <c r="I154" s="16"/>
      <c r="J154" s="161"/>
      <c r="K154" s="161"/>
      <c r="L154" s="16"/>
      <c r="M154" s="16"/>
      <c r="N154" s="16">
        <f>L154-M154</f>
      </c>
      <c r="O154" s="161"/>
      <c r="P154" s="161"/>
      <c r="Q154" s="161"/>
      <c r="R154" s="34"/>
      <c r="S154" s="34"/>
      <c r="T154" s="34"/>
      <c r="U154" s="2"/>
      <c r="V154" s="2"/>
      <c r="W154" s="2"/>
      <c r="X154" s="34"/>
    </row>
    <row x14ac:dyDescent="0.25" r="155" customHeight="1" ht="15.75">
      <c r="A155" s="12"/>
      <c r="B155" s="161"/>
      <c r="C155" s="162"/>
      <c r="D155" s="161"/>
      <c r="E155" s="161"/>
      <c r="F155" s="161"/>
      <c r="G155" s="161"/>
      <c r="H155" s="161"/>
      <c r="I155" s="16"/>
      <c r="J155" s="161"/>
      <c r="K155" s="161"/>
      <c r="L155" s="16"/>
      <c r="M155" s="16"/>
      <c r="N155" s="16">
        <f>L155-M155</f>
      </c>
      <c r="O155" s="161"/>
      <c r="P155" s="161"/>
      <c r="Q155" s="161"/>
      <c r="R155" s="34"/>
      <c r="S155" s="34"/>
      <c r="T155" s="34"/>
      <c r="U155" s="2"/>
      <c r="V155" s="2"/>
      <c r="W155" s="2"/>
      <c r="X155" s="34"/>
    </row>
    <row x14ac:dyDescent="0.25" r="156" customHeight="1" ht="15.75">
      <c r="A156" s="12"/>
      <c r="B156" s="161"/>
      <c r="C156" s="162"/>
      <c r="D156" s="161"/>
      <c r="E156" s="161"/>
      <c r="F156" s="161"/>
      <c r="G156" s="161"/>
      <c r="H156" s="161"/>
      <c r="I156" s="16"/>
      <c r="J156" s="161"/>
      <c r="K156" s="161"/>
      <c r="L156" s="16"/>
      <c r="M156" s="16"/>
      <c r="N156" s="16">
        <f>L156-M156</f>
      </c>
      <c r="O156" s="161"/>
      <c r="P156" s="161"/>
      <c r="Q156" s="161"/>
      <c r="R156" s="34"/>
      <c r="S156" s="34"/>
      <c r="T156" s="34"/>
      <c r="U156" s="2"/>
      <c r="V156" s="2"/>
      <c r="W156" s="2"/>
      <c r="X156" s="34"/>
    </row>
    <row x14ac:dyDescent="0.25" r="157" customHeight="1" ht="15.75">
      <c r="A157" s="12"/>
      <c r="B157" s="161"/>
      <c r="C157" s="162"/>
      <c r="D157" s="161"/>
      <c r="E157" s="161"/>
      <c r="F157" s="161"/>
      <c r="G157" s="161"/>
      <c r="H157" s="161"/>
      <c r="I157" s="16"/>
      <c r="J157" s="161"/>
      <c r="K157" s="161"/>
      <c r="L157" s="16"/>
      <c r="M157" s="16"/>
      <c r="N157" s="16">
        <f>L157-M157</f>
      </c>
      <c r="O157" s="161"/>
      <c r="P157" s="161"/>
      <c r="Q157" s="161"/>
      <c r="R157" s="34"/>
      <c r="S157" s="34"/>
      <c r="T157" s="34"/>
      <c r="U157" s="2"/>
      <c r="V157" s="2"/>
      <c r="W157" s="2"/>
      <c r="X157" s="34"/>
    </row>
    <row x14ac:dyDescent="0.25" r="158" customHeight="1" ht="15.75">
      <c r="A158" s="12"/>
      <c r="B158" s="161"/>
      <c r="C158" s="162"/>
      <c r="D158" s="161"/>
      <c r="E158" s="161"/>
      <c r="F158" s="161"/>
      <c r="G158" s="161"/>
      <c r="H158" s="161"/>
      <c r="I158" s="16"/>
      <c r="J158" s="161"/>
      <c r="K158" s="161"/>
      <c r="L158" s="16"/>
      <c r="M158" s="16"/>
      <c r="N158" s="16">
        <f>L158-M158</f>
      </c>
      <c r="O158" s="161"/>
      <c r="P158" s="161"/>
      <c r="Q158" s="161"/>
      <c r="R158" s="34"/>
      <c r="S158" s="34"/>
      <c r="T158" s="34"/>
      <c r="U158" s="2"/>
      <c r="V158" s="2"/>
      <c r="W158" s="2"/>
      <c r="X158" s="34"/>
    </row>
    <row x14ac:dyDescent="0.25" r="159" customHeight="1" ht="15.75">
      <c r="A159" s="12"/>
      <c r="B159" s="161"/>
      <c r="C159" s="162"/>
      <c r="D159" s="161"/>
      <c r="E159" s="161"/>
      <c r="F159" s="161"/>
      <c r="G159" s="161"/>
      <c r="H159" s="161"/>
      <c r="I159" s="16"/>
      <c r="J159" s="161"/>
      <c r="K159" s="161"/>
      <c r="L159" s="16"/>
      <c r="M159" s="16"/>
      <c r="N159" s="16">
        <f>L159-M159</f>
      </c>
      <c r="O159" s="161"/>
      <c r="P159" s="161"/>
      <c r="Q159" s="161"/>
      <c r="R159" s="34"/>
      <c r="S159" s="34"/>
      <c r="T159" s="34"/>
      <c r="U159" s="2"/>
      <c r="V159" s="2"/>
      <c r="W159" s="2"/>
      <c r="X159" s="34"/>
    </row>
    <row x14ac:dyDescent="0.25" r="160" customHeight="1" ht="15.75">
      <c r="A160" s="12"/>
      <c r="B160" s="161"/>
      <c r="C160" s="162"/>
      <c r="D160" s="161"/>
      <c r="E160" s="161"/>
      <c r="F160" s="161"/>
      <c r="G160" s="161"/>
      <c r="H160" s="161"/>
      <c r="I160" s="16"/>
      <c r="J160" s="161"/>
      <c r="K160" s="161"/>
      <c r="L160" s="16"/>
      <c r="M160" s="16"/>
      <c r="N160" s="16">
        <f>L160-M160</f>
      </c>
      <c r="O160" s="161"/>
      <c r="P160" s="161"/>
      <c r="Q160" s="161"/>
      <c r="R160" s="34"/>
      <c r="S160" s="34"/>
      <c r="T160" s="34"/>
      <c r="U160" s="2"/>
      <c r="V160" s="2"/>
      <c r="W160" s="2"/>
      <c r="X160" s="34"/>
    </row>
    <row x14ac:dyDescent="0.25" r="161" customHeight="1" ht="15.75">
      <c r="A161" s="12"/>
      <c r="B161" s="161"/>
      <c r="C161" s="162"/>
      <c r="D161" s="161"/>
      <c r="E161" s="161"/>
      <c r="F161" s="161"/>
      <c r="G161" s="161"/>
      <c r="H161" s="161"/>
      <c r="I161" s="16"/>
      <c r="J161" s="161"/>
      <c r="K161" s="161"/>
      <c r="L161" s="16"/>
      <c r="M161" s="16"/>
      <c r="N161" s="16">
        <f>L161-M161</f>
      </c>
      <c r="O161" s="161"/>
      <c r="P161" s="161"/>
      <c r="Q161" s="161"/>
      <c r="R161" s="34"/>
      <c r="S161" s="34"/>
      <c r="T161" s="34"/>
      <c r="U161" s="2"/>
      <c r="V161" s="2"/>
      <c r="W161" s="2"/>
      <c r="X161" s="34"/>
    </row>
    <row x14ac:dyDescent="0.25" r="162" customHeight="1" ht="15.75">
      <c r="A162" s="12"/>
      <c r="B162" s="161"/>
      <c r="C162" s="162"/>
      <c r="D162" s="161"/>
      <c r="E162" s="161"/>
      <c r="F162" s="161"/>
      <c r="G162" s="161"/>
      <c r="H162" s="161"/>
      <c r="I162" s="16"/>
      <c r="J162" s="161"/>
      <c r="K162" s="161"/>
      <c r="L162" s="16"/>
      <c r="M162" s="16"/>
      <c r="N162" s="16">
        <f>L162-M162</f>
      </c>
      <c r="O162" s="161"/>
      <c r="P162" s="161"/>
      <c r="Q162" s="161"/>
      <c r="R162" s="34"/>
      <c r="S162" s="34"/>
      <c r="T162" s="34"/>
      <c r="U162" s="2"/>
      <c r="V162" s="2"/>
      <c r="W162" s="2"/>
      <c r="X162" s="34"/>
    </row>
    <row x14ac:dyDescent="0.25" r="163" customHeight="1" ht="15.75">
      <c r="A163" s="12"/>
      <c r="B163" s="161"/>
      <c r="C163" s="162"/>
      <c r="D163" s="161"/>
      <c r="E163" s="161"/>
      <c r="F163" s="161"/>
      <c r="G163" s="161"/>
      <c r="H163" s="161"/>
      <c r="I163" s="16"/>
      <c r="J163" s="161"/>
      <c r="K163" s="161"/>
      <c r="L163" s="16"/>
      <c r="M163" s="16"/>
      <c r="N163" s="16">
        <f>L163-M163</f>
      </c>
      <c r="O163" s="161"/>
      <c r="P163" s="161"/>
      <c r="Q163" s="161"/>
      <c r="R163" s="34"/>
      <c r="S163" s="34"/>
      <c r="T163" s="34"/>
      <c r="U163" s="2"/>
      <c r="V163" s="2"/>
      <c r="W163" s="2"/>
      <c r="X163" s="34"/>
    </row>
    <row x14ac:dyDescent="0.25" r="164" customHeight="1" ht="15.75">
      <c r="A164" s="12"/>
      <c r="B164" s="161"/>
      <c r="C164" s="162"/>
      <c r="D164" s="161"/>
      <c r="E164" s="161"/>
      <c r="F164" s="161"/>
      <c r="G164" s="161"/>
      <c r="H164" s="161"/>
      <c r="I164" s="16"/>
      <c r="J164" s="161"/>
      <c r="K164" s="161"/>
      <c r="L164" s="16"/>
      <c r="M164" s="16"/>
      <c r="N164" s="16">
        <f>L164-M164</f>
      </c>
      <c r="O164" s="161"/>
      <c r="P164" s="161"/>
      <c r="Q164" s="161"/>
      <c r="R164" s="34"/>
      <c r="S164" s="34"/>
      <c r="T164" s="34"/>
      <c r="U164" s="2"/>
      <c r="V164" s="2"/>
      <c r="W164" s="2"/>
      <c r="X164" s="34"/>
    </row>
    <row x14ac:dyDescent="0.25" r="165" customHeight="1" ht="15.75">
      <c r="A165" s="12"/>
      <c r="B165" s="161"/>
      <c r="C165" s="162"/>
      <c r="D165" s="161"/>
      <c r="E165" s="161"/>
      <c r="F165" s="161"/>
      <c r="G165" s="161"/>
      <c r="H165" s="161"/>
      <c r="I165" s="16"/>
      <c r="J165" s="161"/>
      <c r="K165" s="161"/>
      <c r="L165" s="16"/>
      <c r="M165" s="16"/>
      <c r="N165" s="16">
        <f>L165-M165</f>
      </c>
      <c r="O165" s="161"/>
      <c r="P165" s="161"/>
      <c r="Q165" s="161"/>
      <c r="R165" s="34"/>
      <c r="S165" s="34"/>
      <c r="T165" s="34"/>
      <c r="U165" s="2"/>
      <c r="V165" s="2"/>
      <c r="W165" s="2"/>
      <c r="X165" s="34"/>
    </row>
    <row x14ac:dyDescent="0.25" r="166" customHeight="1" ht="15.75">
      <c r="A166" s="12"/>
      <c r="B166" s="161"/>
      <c r="C166" s="162"/>
      <c r="D166" s="161"/>
      <c r="E166" s="161"/>
      <c r="F166" s="161"/>
      <c r="G166" s="161"/>
      <c r="H166" s="161"/>
      <c r="I166" s="16"/>
      <c r="J166" s="161"/>
      <c r="K166" s="161"/>
      <c r="L166" s="16"/>
      <c r="M166" s="16"/>
      <c r="N166" s="16">
        <f>L166-M166</f>
      </c>
      <c r="O166" s="161"/>
      <c r="P166" s="161"/>
      <c r="Q166" s="161"/>
      <c r="R166" s="34"/>
      <c r="S166" s="34"/>
      <c r="T166" s="34"/>
      <c r="U166" s="2"/>
      <c r="V166" s="2"/>
      <c r="W166" s="2"/>
      <c r="X166" s="34"/>
    </row>
    <row x14ac:dyDescent="0.25" r="167" customHeight="1" ht="15.75">
      <c r="A167" s="12"/>
      <c r="B167" s="161"/>
      <c r="C167" s="162"/>
      <c r="D167" s="161"/>
      <c r="E167" s="161"/>
      <c r="F167" s="161"/>
      <c r="G167" s="161"/>
      <c r="H167" s="161"/>
      <c r="I167" s="16"/>
      <c r="J167" s="161"/>
      <c r="K167" s="161"/>
      <c r="L167" s="16"/>
      <c r="M167" s="16"/>
      <c r="N167" s="16">
        <f>L167-M167</f>
      </c>
      <c r="O167" s="161"/>
      <c r="P167" s="161"/>
      <c r="Q167" s="161"/>
      <c r="R167" s="34"/>
      <c r="S167" s="34"/>
      <c r="T167" s="34"/>
      <c r="U167" s="2"/>
      <c r="V167" s="2"/>
      <c r="W167" s="2"/>
      <c r="X167" s="34"/>
    </row>
    <row x14ac:dyDescent="0.25" r="168" customHeight="1" ht="15.75">
      <c r="A168" s="12"/>
      <c r="B168" s="161"/>
      <c r="C168" s="162"/>
      <c r="D168" s="161"/>
      <c r="E168" s="161"/>
      <c r="F168" s="161"/>
      <c r="G168" s="161"/>
      <c r="H168" s="161"/>
      <c r="I168" s="16"/>
      <c r="J168" s="161"/>
      <c r="K168" s="161"/>
      <c r="L168" s="16"/>
      <c r="M168" s="16"/>
      <c r="N168" s="16">
        <f>L168-M168</f>
      </c>
      <c r="O168" s="161"/>
      <c r="P168" s="161"/>
      <c r="Q168" s="161"/>
      <c r="R168" s="34"/>
      <c r="S168" s="34"/>
      <c r="T168" s="34"/>
      <c r="U168" s="2"/>
      <c r="V168" s="2"/>
      <c r="W168" s="2"/>
      <c r="X168" s="34"/>
    </row>
    <row x14ac:dyDescent="0.25" r="169" customHeight="1" ht="15.75">
      <c r="A169" s="12"/>
      <c r="B169" s="161"/>
      <c r="C169" s="162"/>
      <c r="D169" s="161"/>
      <c r="E169" s="161"/>
      <c r="F169" s="161"/>
      <c r="G169" s="161"/>
      <c r="H169" s="161"/>
      <c r="I169" s="16"/>
      <c r="J169" s="161"/>
      <c r="K169" s="161"/>
      <c r="L169" s="16"/>
      <c r="M169" s="16"/>
      <c r="N169" s="16">
        <f>L169-M169</f>
      </c>
      <c r="O169" s="161"/>
      <c r="P169" s="161"/>
      <c r="Q169" s="161"/>
      <c r="R169" s="34"/>
      <c r="S169" s="34"/>
      <c r="T169" s="34"/>
      <c r="U169" s="2"/>
      <c r="V169" s="2"/>
      <c r="W169" s="2"/>
      <c r="X169" s="34"/>
    </row>
    <row x14ac:dyDescent="0.25" r="170" customHeight="1" ht="15.75">
      <c r="A170" s="12"/>
      <c r="B170" s="161"/>
      <c r="C170" s="162"/>
      <c r="D170" s="161"/>
      <c r="E170" s="161"/>
      <c r="F170" s="161"/>
      <c r="G170" s="161"/>
      <c r="H170" s="161"/>
      <c r="I170" s="16"/>
      <c r="J170" s="161"/>
      <c r="K170" s="161"/>
      <c r="L170" s="16"/>
      <c r="M170" s="16"/>
      <c r="N170" s="16">
        <f>L170-M170</f>
      </c>
      <c r="O170" s="161"/>
      <c r="P170" s="161"/>
      <c r="Q170" s="161"/>
      <c r="R170" s="34"/>
      <c r="S170" s="34"/>
      <c r="T170" s="34"/>
      <c r="U170" s="2"/>
      <c r="V170" s="2"/>
      <c r="W170" s="2"/>
      <c r="X170" s="34"/>
    </row>
    <row x14ac:dyDescent="0.25" r="171" customHeight="1" ht="15.75">
      <c r="A171" s="12"/>
      <c r="B171" s="161"/>
      <c r="C171" s="162"/>
      <c r="D171" s="161"/>
      <c r="E171" s="161"/>
      <c r="F171" s="161"/>
      <c r="G171" s="161"/>
      <c r="H171" s="161"/>
      <c r="I171" s="16"/>
      <c r="J171" s="161"/>
      <c r="K171" s="161"/>
      <c r="L171" s="16"/>
      <c r="M171" s="16"/>
      <c r="N171" s="16">
        <f>L171-M171</f>
      </c>
      <c r="O171" s="161"/>
      <c r="P171" s="161"/>
      <c r="Q171" s="161"/>
      <c r="R171" s="34"/>
      <c r="S171" s="34"/>
      <c r="T171" s="34"/>
      <c r="U171" s="2"/>
      <c r="V171" s="2"/>
      <c r="W171" s="2"/>
      <c r="X171" s="34"/>
    </row>
    <row x14ac:dyDescent="0.25" r="172" customHeight="1" ht="15.75">
      <c r="A172" s="12"/>
      <c r="B172" s="161"/>
      <c r="C172" s="162"/>
      <c r="D172" s="161"/>
      <c r="E172" s="161"/>
      <c r="F172" s="161"/>
      <c r="G172" s="161"/>
      <c r="H172" s="161"/>
      <c r="I172" s="16"/>
      <c r="J172" s="161"/>
      <c r="K172" s="161"/>
      <c r="L172" s="16"/>
      <c r="M172" s="16"/>
      <c r="N172" s="16">
        <f>L172-M172</f>
      </c>
      <c r="O172" s="161"/>
      <c r="P172" s="161"/>
      <c r="Q172" s="161"/>
      <c r="R172" s="34"/>
      <c r="S172" s="34"/>
      <c r="T172" s="34"/>
      <c r="U172" s="2"/>
      <c r="V172" s="2"/>
      <c r="W172" s="2"/>
      <c r="X172" s="34"/>
    </row>
    <row x14ac:dyDescent="0.25" r="173" customHeight="1" ht="15.75">
      <c r="A173" s="12"/>
      <c r="B173" s="161"/>
      <c r="C173" s="162"/>
      <c r="D173" s="161"/>
      <c r="E173" s="161"/>
      <c r="F173" s="161"/>
      <c r="G173" s="161"/>
      <c r="H173" s="161"/>
      <c r="I173" s="16"/>
      <c r="J173" s="161"/>
      <c r="K173" s="161"/>
      <c r="L173" s="16"/>
      <c r="M173" s="16"/>
      <c r="N173" s="16"/>
      <c r="O173" s="161"/>
      <c r="P173" s="161"/>
      <c r="Q173" s="161"/>
      <c r="R173" s="34"/>
      <c r="S173" s="34"/>
      <c r="T173" s="34"/>
      <c r="U173" s="2"/>
      <c r="V173" s="2"/>
      <c r="W173" s="2"/>
      <c r="X173" s="34"/>
    </row>
    <row x14ac:dyDescent="0.25" r="174" customHeight="1" ht="15.75">
      <c r="A174" s="1"/>
      <c r="B174" s="34"/>
      <c r="C174" s="2"/>
      <c r="D174" s="34"/>
      <c r="E174" s="34"/>
      <c r="F174" s="34"/>
      <c r="G174" s="34"/>
      <c r="H174" s="34"/>
      <c r="I174" s="6"/>
      <c r="J174" s="2"/>
      <c r="K174" s="2"/>
      <c r="L174" s="6"/>
      <c r="M174" s="6"/>
      <c r="N174" s="6"/>
      <c r="O174" s="34"/>
      <c r="P174" s="34"/>
      <c r="Q174" s="2"/>
      <c r="R174" s="34"/>
      <c r="S174" s="34"/>
      <c r="T174" s="34"/>
      <c r="U174" s="2"/>
      <c r="V174" s="2"/>
      <c r="W174" s="2"/>
      <c r="X174" s="34"/>
    </row>
    <row x14ac:dyDescent="0.25" r="175" customHeight="1" ht="15.75">
      <c r="A175" s="1"/>
      <c r="B175" s="34"/>
      <c r="C175" s="2"/>
      <c r="D175" s="34"/>
      <c r="E175" s="34"/>
      <c r="F175" s="34"/>
      <c r="G175" s="34"/>
      <c r="H175" s="34"/>
      <c r="I175" s="6"/>
      <c r="J175" s="2"/>
      <c r="K175" s="2"/>
      <c r="L175" s="6"/>
      <c r="M175" s="6"/>
      <c r="N175" s="6"/>
      <c r="O175" s="34"/>
      <c r="P175" s="34"/>
      <c r="Q175" s="2"/>
      <c r="R175" s="34"/>
      <c r="S175" s="34"/>
      <c r="T175" s="34"/>
      <c r="U175" s="2"/>
      <c r="V175" s="2"/>
      <c r="W175" s="2"/>
      <c r="X175" s="34"/>
    </row>
    <row x14ac:dyDescent="0.25" r="176" customHeight="1" ht="15.75">
      <c r="A176" s="1"/>
      <c r="B176" s="34"/>
      <c r="C176" s="2"/>
      <c r="D176" s="34"/>
      <c r="E176" s="34"/>
      <c r="F176" s="34"/>
      <c r="G176" s="34"/>
      <c r="H176" s="34"/>
      <c r="I176" s="6"/>
      <c r="J176" s="2"/>
      <c r="K176" s="2"/>
      <c r="L176" s="6"/>
      <c r="M176" s="6"/>
      <c r="N176" s="6"/>
      <c r="O176" s="34"/>
      <c r="P176" s="34"/>
      <c r="Q176" s="2"/>
      <c r="R176" s="34"/>
      <c r="S176" s="34"/>
      <c r="T176" s="34"/>
      <c r="U176" s="2"/>
      <c r="V176" s="2"/>
      <c r="W176" s="2"/>
      <c r="X176" s="34"/>
    </row>
    <row x14ac:dyDescent="0.25" r="177" customHeight="1" ht="15.75">
      <c r="A177" s="1"/>
      <c r="B177" s="34"/>
      <c r="C177" s="2"/>
      <c r="D177" s="34"/>
      <c r="E177" s="34"/>
      <c r="F177" s="34"/>
      <c r="G177" s="34"/>
      <c r="H177" s="34"/>
      <c r="I177" s="6"/>
      <c r="J177" s="2"/>
      <c r="K177" s="2"/>
      <c r="L177" s="6"/>
      <c r="M177" s="6"/>
      <c r="N177" s="6"/>
      <c r="O177" s="34"/>
      <c r="P177" s="34"/>
      <c r="Q177" s="2"/>
      <c r="R177" s="34"/>
      <c r="S177" s="34"/>
      <c r="T177" s="34"/>
      <c r="U177" s="2"/>
      <c r="V177" s="2"/>
      <c r="W177" s="2"/>
      <c r="X177" s="34"/>
    </row>
    <row x14ac:dyDescent="0.25" r="178" customHeight="1" ht="15.75">
      <c r="A178" s="1"/>
      <c r="B178" s="34"/>
      <c r="C178" s="2"/>
      <c r="D178" s="34"/>
      <c r="E178" s="34"/>
      <c r="F178" s="34"/>
      <c r="G178" s="34"/>
      <c r="H178" s="34"/>
      <c r="I178" s="6"/>
      <c r="J178" s="2"/>
      <c r="K178" s="2"/>
      <c r="L178" s="6"/>
      <c r="M178" s="6"/>
      <c r="N178" s="6"/>
      <c r="O178" s="34"/>
      <c r="P178" s="34"/>
      <c r="Q178" s="2"/>
      <c r="R178" s="34"/>
      <c r="S178" s="34"/>
      <c r="T178" s="34"/>
      <c r="U178" s="2"/>
      <c r="V178" s="2"/>
      <c r="W178" s="2"/>
      <c r="X178" s="34"/>
    </row>
    <row x14ac:dyDescent="0.25" r="179" customHeight="1" ht="15.75">
      <c r="A179" s="1"/>
      <c r="B179" s="34"/>
      <c r="C179" s="2"/>
      <c r="D179" s="34"/>
      <c r="E179" s="34"/>
      <c r="F179" s="34"/>
      <c r="G179" s="34"/>
      <c r="H179" s="34"/>
      <c r="I179" s="6"/>
      <c r="J179" s="2"/>
      <c r="K179" s="2"/>
      <c r="L179" s="6"/>
      <c r="M179" s="6"/>
      <c r="N179" s="6"/>
      <c r="O179" s="34"/>
      <c r="P179" s="34"/>
      <c r="Q179" s="2"/>
      <c r="R179" s="34"/>
      <c r="S179" s="34"/>
      <c r="T179" s="34"/>
      <c r="U179" s="2"/>
      <c r="V179" s="2"/>
      <c r="W179" s="2"/>
      <c r="X179" s="34"/>
    </row>
    <row x14ac:dyDescent="0.25" r="180" customHeight="1" ht="15.75">
      <c r="A180" s="1"/>
      <c r="B180" s="34"/>
      <c r="C180" s="2"/>
      <c r="D180" s="34"/>
      <c r="E180" s="34"/>
      <c r="F180" s="34"/>
      <c r="G180" s="34"/>
      <c r="H180" s="34"/>
      <c r="I180" s="6"/>
      <c r="J180" s="2"/>
      <c r="K180" s="2"/>
      <c r="L180" s="6"/>
      <c r="M180" s="6"/>
      <c r="N180" s="6"/>
      <c r="O180" s="34"/>
      <c r="P180" s="34"/>
      <c r="Q180" s="2"/>
      <c r="R180" s="34"/>
      <c r="S180" s="34"/>
      <c r="T180" s="34"/>
      <c r="U180" s="2"/>
      <c r="V180" s="2"/>
      <c r="W180" s="2"/>
      <c r="X180" s="34"/>
    </row>
    <row x14ac:dyDescent="0.25" r="181" customHeight="1" ht="15.75">
      <c r="A181" s="1"/>
      <c r="B181" s="34"/>
      <c r="C181" s="2"/>
      <c r="D181" s="34"/>
      <c r="E181" s="34"/>
      <c r="F181" s="34"/>
      <c r="G181" s="34"/>
      <c r="H181" s="34"/>
      <c r="I181" s="6"/>
      <c r="J181" s="2"/>
      <c r="K181" s="2"/>
      <c r="L181" s="6"/>
      <c r="M181" s="6"/>
      <c r="N181" s="6"/>
      <c r="O181" s="34"/>
      <c r="P181" s="34"/>
      <c r="Q181" s="2"/>
      <c r="R181" s="34"/>
      <c r="S181" s="34"/>
      <c r="T181" s="34"/>
      <c r="U181" s="2"/>
      <c r="V181" s="2"/>
      <c r="W181" s="2"/>
      <c r="X181" s="34"/>
    </row>
    <row x14ac:dyDescent="0.25" r="182" customHeight="1" ht="15.75">
      <c r="A182" s="1"/>
      <c r="B182" s="34"/>
      <c r="C182" s="2"/>
      <c r="D182" s="34"/>
      <c r="E182" s="34"/>
      <c r="F182" s="34"/>
      <c r="G182" s="34"/>
      <c r="H182" s="34"/>
      <c r="I182" s="6"/>
      <c r="J182" s="2"/>
      <c r="K182" s="2"/>
      <c r="L182" s="6"/>
      <c r="M182" s="6"/>
      <c r="N182" s="6"/>
      <c r="O182" s="34"/>
      <c r="P182" s="34"/>
      <c r="Q182" s="2"/>
      <c r="R182" s="34"/>
      <c r="S182" s="34"/>
      <c r="T182" s="34"/>
      <c r="U182" s="2"/>
      <c r="V182" s="2"/>
      <c r="W182" s="2"/>
      <c r="X182" s="34"/>
    </row>
    <row x14ac:dyDescent="0.25" r="183" customHeight="1" ht="15.75">
      <c r="A183" s="1"/>
      <c r="B183" s="34"/>
      <c r="C183" s="2"/>
      <c r="D183" s="34"/>
      <c r="E183" s="34"/>
      <c r="F183" s="34"/>
      <c r="G183" s="34"/>
      <c r="H183" s="34"/>
      <c r="I183" s="6"/>
      <c r="J183" s="2"/>
      <c r="K183" s="2"/>
      <c r="L183" s="6"/>
      <c r="M183" s="6"/>
      <c r="N183" s="6"/>
      <c r="O183" s="34"/>
      <c r="P183" s="34"/>
      <c r="Q183" s="2"/>
      <c r="R183" s="34"/>
      <c r="S183" s="34"/>
      <c r="T183" s="34"/>
      <c r="U183" s="2"/>
      <c r="V183" s="2"/>
      <c r="W183" s="2"/>
      <c r="X183" s="34"/>
    </row>
    <row x14ac:dyDescent="0.25" r="184" customHeight="1" ht="15.75">
      <c r="A184" s="1"/>
      <c r="B184" s="34"/>
      <c r="C184" s="2"/>
      <c r="D184" s="34"/>
      <c r="E184" s="34"/>
      <c r="F184" s="34"/>
      <c r="G184" s="34"/>
      <c r="H184" s="34"/>
      <c r="I184" s="6"/>
      <c r="J184" s="2"/>
      <c r="K184" s="2"/>
      <c r="L184" s="6"/>
      <c r="M184" s="6"/>
      <c r="N184" s="6"/>
      <c r="O184" s="34"/>
      <c r="P184" s="34"/>
      <c r="Q184" s="2"/>
      <c r="R184" s="34"/>
      <c r="S184" s="34"/>
      <c r="T184" s="34"/>
      <c r="U184" s="2"/>
      <c r="V184" s="2"/>
      <c r="W184" s="2"/>
      <c r="X184" s="34"/>
    </row>
    <row x14ac:dyDescent="0.25" r="185" customHeight="1" ht="15.75">
      <c r="A185" s="1"/>
      <c r="B185" s="34"/>
      <c r="C185" s="2"/>
      <c r="D185" s="34"/>
      <c r="E185" s="34"/>
      <c r="F185" s="34"/>
      <c r="G185" s="34"/>
      <c r="H185" s="34"/>
      <c r="I185" s="6"/>
      <c r="J185" s="2"/>
      <c r="K185" s="2"/>
      <c r="L185" s="6"/>
      <c r="M185" s="6"/>
      <c r="N185" s="6"/>
      <c r="O185" s="34"/>
      <c r="P185" s="34"/>
      <c r="Q185" s="2"/>
      <c r="R185" s="34"/>
      <c r="S185" s="34"/>
      <c r="T185" s="34"/>
      <c r="U185" s="2"/>
      <c r="V185" s="2"/>
      <c r="W185" s="2"/>
      <c r="X185" s="34"/>
    </row>
    <row x14ac:dyDescent="0.25" r="186" customHeight="1" ht="15.75">
      <c r="A186" s="1"/>
      <c r="B186" s="34"/>
      <c r="C186" s="2"/>
      <c r="D186" s="34"/>
      <c r="E186" s="34"/>
      <c r="F186" s="34"/>
      <c r="G186" s="34"/>
      <c r="H186" s="34"/>
      <c r="I186" s="6"/>
      <c r="J186" s="2"/>
      <c r="K186" s="2"/>
      <c r="L186" s="6"/>
      <c r="M186" s="6"/>
      <c r="N186" s="6"/>
      <c r="O186" s="34"/>
      <c r="P186" s="34"/>
      <c r="Q186" s="2"/>
      <c r="R186" s="34"/>
      <c r="S186" s="34"/>
      <c r="T186" s="34"/>
      <c r="U186" s="2"/>
      <c r="V186" s="2"/>
      <c r="W186" s="2"/>
      <c r="X186" s="34"/>
    </row>
    <row x14ac:dyDescent="0.25" r="187" customHeight="1" ht="15.75">
      <c r="A187" s="1"/>
      <c r="B187" s="34"/>
      <c r="C187" s="2"/>
      <c r="D187" s="34"/>
      <c r="E187" s="34"/>
      <c r="F187" s="34"/>
      <c r="G187" s="34"/>
      <c r="H187" s="34"/>
      <c r="I187" s="6"/>
      <c r="J187" s="2"/>
      <c r="K187" s="2"/>
      <c r="L187" s="6"/>
      <c r="M187" s="6"/>
      <c r="N187" s="6"/>
      <c r="O187" s="34"/>
      <c r="P187" s="34"/>
      <c r="Q187" s="2"/>
      <c r="R187" s="34"/>
      <c r="S187" s="34"/>
      <c r="T187" s="34"/>
      <c r="U187" s="2"/>
      <c r="V187" s="2"/>
      <c r="W187" s="2"/>
      <c r="X187" s="34"/>
    </row>
    <row x14ac:dyDescent="0.25" r="188" customHeight="1" ht="15.75">
      <c r="A188" s="1"/>
      <c r="B188" s="34"/>
      <c r="C188" s="2"/>
      <c r="D188" s="34"/>
      <c r="E188" s="34"/>
      <c r="F188" s="34"/>
      <c r="G188" s="34"/>
      <c r="H188" s="34"/>
      <c r="I188" s="6"/>
      <c r="J188" s="2"/>
      <c r="K188" s="2"/>
      <c r="L188" s="6"/>
      <c r="M188" s="6"/>
      <c r="N188" s="6"/>
      <c r="O188" s="34"/>
      <c r="P188" s="34"/>
      <c r="Q188" s="2"/>
      <c r="R188" s="34"/>
      <c r="S188" s="34"/>
      <c r="T188" s="34"/>
      <c r="U188" s="2"/>
      <c r="V188" s="2"/>
      <c r="W188" s="2"/>
      <c r="X188" s="34"/>
    </row>
    <row x14ac:dyDescent="0.25" r="189" customHeight="1" ht="15.75">
      <c r="A189" s="1"/>
      <c r="B189" s="34"/>
      <c r="C189" s="2"/>
      <c r="D189" s="34"/>
      <c r="E189" s="34"/>
      <c r="F189" s="34"/>
      <c r="G189" s="34"/>
      <c r="H189" s="34"/>
      <c r="I189" s="6"/>
      <c r="J189" s="2"/>
      <c r="K189" s="2"/>
      <c r="L189" s="6"/>
      <c r="M189" s="6"/>
      <c r="N189" s="6"/>
      <c r="O189" s="34"/>
      <c r="P189" s="34"/>
      <c r="Q189" s="2"/>
      <c r="R189" s="34"/>
      <c r="S189" s="34"/>
      <c r="T189" s="34"/>
      <c r="U189" s="2"/>
      <c r="V189" s="2"/>
      <c r="W189" s="2"/>
      <c r="X189" s="34"/>
    </row>
    <row x14ac:dyDescent="0.25" r="190" customHeight="1" ht="15.75">
      <c r="A190" s="1"/>
      <c r="B190" s="34"/>
      <c r="C190" s="2"/>
      <c r="D190" s="34"/>
      <c r="E190" s="34"/>
      <c r="F190" s="34"/>
      <c r="G190" s="34"/>
      <c r="H190" s="34"/>
      <c r="I190" s="6"/>
      <c r="J190" s="2"/>
      <c r="K190" s="2"/>
      <c r="L190" s="6"/>
      <c r="M190" s="6"/>
      <c r="N190" s="6"/>
      <c r="O190" s="34"/>
      <c r="P190" s="34"/>
      <c r="Q190" s="2"/>
      <c r="R190" s="34"/>
      <c r="S190" s="34"/>
      <c r="T190" s="34"/>
      <c r="U190" s="2"/>
      <c r="V190" s="2"/>
      <c r="W190" s="2"/>
      <c r="X190" s="34"/>
    </row>
    <row x14ac:dyDescent="0.25" r="191" customHeight="1" ht="15.75">
      <c r="A191" s="1"/>
      <c r="B191" s="34"/>
      <c r="C191" s="2"/>
      <c r="D191" s="34"/>
      <c r="E191" s="34"/>
      <c r="F191" s="34"/>
      <c r="G191" s="34"/>
      <c r="H191" s="34"/>
      <c r="I191" s="6"/>
      <c r="J191" s="2"/>
      <c r="K191" s="2"/>
      <c r="L191" s="6"/>
      <c r="M191" s="6"/>
      <c r="N191" s="6"/>
      <c r="O191" s="34"/>
      <c r="P191" s="34"/>
      <c r="Q191" s="2"/>
      <c r="R191" s="34"/>
      <c r="S191" s="34"/>
      <c r="T191" s="34"/>
      <c r="U191" s="2"/>
      <c r="V191" s="2"/>
      <c r="W191" s="2"/>
      <c r="X191" s="34"/>
    </row>
    <row x14ac:dyDescent="0.25" r="192" customHeight="1" ht="15.75">
      <c r="A192" s="1"/>
      <c r="B192" s="34"/>
      <c r="C192" s="2"/>
      <c r="D192" s="34"/>
      <c r="E192" s="34"/>
      <c r="F192" s="34"/>
      <c r="G192" s="34"/>
      <c r="H192" s="34"/>
      <c r="I192" s="6"/>
      <c r="J192" s="2"/>
      <c r="K192" s="2"/>
      <c r="L192" s="6"/>
      <c r="M192" s="6"/>
      <c r="N192" s="6"/>
      <c r="O192" s="34"/>
      <c r="P192" s="34"/>
      <c r="Q192" s="2"/>
      <c r="R192" s="34"/>
      <c r="S192" s="34"/>
      <c r="T192" s="34"/>
      <c r="U192" s="2"/>
      <c r="V192" s="2"/>
      <c r="W192" s="2"/>
      <c r="X192" s="34"/>
    </row>
    <row x14ac:dyDescent="0.25" r="193" customHeight="1" ht="15.75">
      <c r="A193" s="1"/>
      <c r="B193" s="34"/>
      <c r="C193" s="2"/>
      <c r="D193" s="34"/>
      <c r="E193" s="34"/>
      <c r="F193" s="34"/>
      <c r="G193" s="34"/>
      <c r="H193" s="34"/>
      <c r="I193" s="6"/>
      <c r="J193" s="2"/>
      <c r="K193" s="2"/>
      <c r="L193" s="6"/>
      <c r="M193" s="6"/>
      <c r="N193" s="6"/>
      <c r="O193" s="34"/>
      <c r="P193" s="34"/>
      <c r="Q193" s="2"/>
      <c r="R193" s="34"/>
      <c r="S193" s="34"/>
      <c r="T193" s="34"/>
      <c r="U193" s="2"/>
      <c r="V193" s="2"/>
      <c r="W193" s="2"/>
      <c r="X193" s="34"/>
    </row>
    <row x14ac:dyDescent="0.25" r="194" customHeight="1" ht="15.75">
      <c r="A194" s="1"/>
      <c r="B194" s="34"/>
      <c r="C194" s="2"/>
      <c r="D194" s="34"/>
      <c r="E194" s="34"/>
      <c r="F194" s="34"/>
      <c r="G194" s="34"/>
      <c r="H194" s="34"/>
      <c r="I194" s="6"/>
      <c r="J194" s="2"/>
      <c r="K194" s="2"/>
      <c r="L194" s="6"/>
      <c r="M194" s="6"/>
      <c r="N194" s="6"/>
      <c r="O194" s="34"/>
      <c r="P194" s="34"/>
      <c r="Q194" s="2"/>
      <c r="R194" s="34"/>
      <c r="S194" s="34"/>
      <c r="T194" s="34"/>
      <c r="U194" s="2"/>
      <c r="V194" s="2"/>
      <c r="W194" s="2"/>
      <c r="X194" s="34"/>
    </row>
    <row x14ac:dyDescent="0.25" r="195" customHeight="1" ht="15.75">
      <c r="A195" s="1"/>
      <c r="B195" s="34"/>
      <c r="C195" s="2"/>
      <c r="D195" s="34"/>
      <c r="E195" s="34"/>
      <c r="F195" s="34"/>
      <c r="G195" s="34"/>
      <c r="H195" s="34"/>
      <c r="I195" s="6"/>
      <c r="J195" s="2"/>
      <c r="K195" s="2"/>
      <c r="L195" s="6"/>
      <c r="M195" s="6"/>
      <c r="N195" s="6"/>
      <c r="O195" s="34"/>
      <c r="P195" s="34"/>
      <c r="Q195" s="2"/>
      <c r="R195" s="34"/>
      <c r="S195" s="34"/>
      <c r="T195" s="34"/>
      <c r="U195" s="2"/>
      <c r="V195" s="2"/>
      <c r="W195" s="2"/>
      <c r="X195" s="34"/>
    </row>
    <row x14ac:dyDescent="0.25" r="196" customHeight="1" ht="15.75">
      <c r="A196" s="1"/>
      <c r="B196" s="34"/>
      <c r="C196" s="2"/>
      <c r="D196" s="34"/>
      <c r="E196" s="34"/>
      <c r="F196" s="34"/>
      <c r="G196" s="34"/>
      <c r="H196" s="34"/>
      <c r="I196" s="6"/>
      <c r="J196" s="2"/>
      <c r="K196" s="2"/>
      <c r="L196" s="6"/>
      <c r="M196" s="6"/>
      <c r="N196" s="6"/>
      <c r="O196" s="34"/>
      <c r="P196" s="34"/>
      <c r="Q196" s="2"/>
      <c r="R196" s="34"/>
      <c r="S196" s="34"/>
      <c r="T196" s="34"/>
      <c r="U196" s="2"/>
      <c r="V196" s="2"/>
      <c r="W196" s="2"/>
      <c r="X196" s="34"/>
    </row>
    <row x14ac:dyDescent="0.25" r="197" customHeight="1" ht="15.75">
      <c r="A197" s="1"/>
      <c r="B197" s="34"/>
      <c r="C197" s="2"/>
      <c r="D197" s="34"/>
      <c r="E197" s="34"/>
      <c r="F197" s="34"/>
      <c r="G197" s="34"/>
      <c r="H197" s="34"/>
      <c r="I197" s="6"/>
      <c r="J197" s="2"/>
      <c r="K197" s="2"/>
      <c r="L197" s="6"/>
      <c r="M197" s="6"/>
      <c r="N197" s="6"/>
      <c r="O197" s="34"/>
      <c r="P197" s="34"/>
      <c r="Q197" s="2"/>
      <c r="R197" s="34"/>
      <c r="S197" s="34"/>
      <c r="T197" s="34"/>
      <c r="U197" s="2"/>
      <c r="V197" s="2"/>
      <c r="W197" s="2"/>
      <c r="X197" s="34"/>
    </row>
    <row x14ac:dyDescent="0.25" r="198" customHeight="1" ht="15.75">
      <c r="A198" s="1"/>
      <c r="B198" s="34"/>
      <c r="C198" s="2"/>
      <c r="D198" s="34"/>
      <c r="E198" s="34"/>
      <c r="F198" s="34"/>
      <c r="G198" s="34"/>
      <c r="H198" s="34"/>
      <c r="I198" s="6"/>
      <c r="J198" s="2"/>
      <c r="K198" s="2"/>
      <c r="L198" s="6"/>
      <c r="M198" s="6"/>
      <c r="N198" s="6"/>
      <c r="O198" s="34"/>
      <c r="P198" s="34"/>
      <c r="Q198" s="2"/>
      <c r="R198" s="34"/>
      <c r="S198" s="34"/>
      <c r="T198" s="34"/>
      <c r="U198" s="2"/>
      <c r="V198" s="2"/>
      <c r="W198" s="2"/>
      <c r="X198" s="34"/>
    </row>
    <row x14ac:dyDescent="0.25" r="199" customHeight="1" ht="15.75">
      <c r="A199" s="1"/>
      <c r="B199" s="34"/>
      <c r="C199" s="2"/>
      <c r="D199" s="34"/>
      <c r="E199" s="34"/>
      <c r="F199" s="34"/>
      <c r="G199" s="34"/>
      <c r="H199" s="34"/>
      <c r="I199" s="6"/>
      <c r="J199" s="2"/>
      <c r="K199" s="2"/>
      <c r="L199" s="6"/>
      <c r="M199" s="6"/>
      <c r="N199" s="6"/>
      <c r="O199" s="34"/>
      <c r="P199" s="34"/>
      <c r="Q199" s="2"/>
      <c r="R199" s="34"/>
      <c r="S199" s="34"/>
      <c r="T199" s="34"/>
      <c r="U199" s="2"/>
      <c r="V199" s="2"/>
      <c r="W199" s="2"/>
      <c r="X199" s="34"/>
    </row>
    <row x14ac:dyDescent="0.25" r="200" customHeight="1" ht="15.75">
      <c r="A200" s="1"/>
      <c r="B200" s="34"/>
      <c r="C200" s="2"/>
      <c r="D200" s="34"/>
      <c r="E200" s="34"/>
      <c r="F200" s="34"/>
      <c r="G200" s="34"/>
      <c r="H200" s="34"/>
      <c r="I200" s="6"/>
      <c r="J200" s="2"/>
      <c r="K200" s="2"/>
      <c r="L200" s="6"/>
      <c r="M200" s="6"/>
      <c r="N200" s="6"/>
      <c r="O200" s="34"/>
      <c r="P200" s="34"/>
      <c r="Q200" s="2"/>
      <c r="R200" s="34"/>
      <c r="S200" s="34"/>
      <c r="T200" s="34"/>
      <c r="U200" s="2"/>
      <c r="V200" s="2"/>
      <c r="W200" s="2"/>
      <c r="X200" s="34"/>
    </row>
    <row x14ac:dyDescent="0.25" r="201" customHeight="1" ht="15.75">
      <c r="A201" s="1"/>
      <c r="B201" s="34"/>
      <c r="C201" s="2"/>
      <c r="D201" s="34"/>
      <c r="E201" s="34"/>
      <c r="F201" s="34"/>
      <c r="G201" s="34"/>
      <c r="H201" s="34"/>
      <c r="I201" s="6"/>
      <c r="J201" s="2"/>
      <c r="K201" s="2"/>
      <c r="L201" s="6"/>
      <c r="M201" s="6"/>
      <c r="N201" s="6"/>
      <c r="O201" s="34"/>
      <c r="P201" s="34"/>
      <c r="Q201" s="2"/>
      <c r="R201" s="34"/>
      <c r="S201" s="34"/>
      <c r="T201" s="34"/>
      <c r="U201" s="2"/>
      <c r="V201" s="2"/>
      <c r="W201" s="2"/>
      <c r="X201" s="34"/>
    </row>
    <row x14ac:dyDescent="0.25" r="202" customHeight="1" ht="15.75">
      <c r="A202" s="1"/>
      <c r="B202" s="34"/>
      <c r="C202" s="2"/>
      <c r="D202" s="34"/>
      <c r="E202" s="34"/>
      <c r="F202" s="34"/>
      <c r="G202" s="34"/>
      <c r="H202" s="34"/>
      <c r="I202" s="6"/>
      <c r="J202" s="2"/>
      <c r="K202" s="2"/>
      <c r="L202" s="6"/>
      <c r="M202" s="6"/>
      <c r="N202" s="6"/>
      <c r="O202" s="34"/>
      <c r="P202" s="34"/>
      <c r="Q202" s="2"/>
      <c r="R202" s="34"/>
      <c r="S202" s="34"/>
      <c r="T202" s="34"/>
      <c r="U202" s="2"/>
      <c r="V202" s="2"/>
      <c r="W202" s="2"/>
      <c r="X202" s="34"/>
    </row>
    <row x14ac:dyDescent="0.25" r="203" customHeight="1" ht="15.75">
      <c r="A203" s="1"/>
      <c r="B203" s="34"/>
      <c r="C203" s="2"/>
      <c r="D203" s="34"/>
      <c r="E203" s="34"/>
      <c r="F203" s="34"/>
      <c r="G203" s="34"/>
      <c r="H203" s="34"/>
      <c r="I203" s="6"/>
      <c r="J203" s="2"/>
      <c r="K203" s="2"/>
      <c r="L203" s="6"/>
      <c r="M203" s="6"/>
      <c r="N203" s="6"/>
      <c r="O203" s="34"/>
      <c r="P203" s="34"/>
      <c r="Q203" s="2"/>
      <c r="R203" s="34"/>
      <c r="S203" s="34"/>
      <c r="T203" s="34"/>
      <c r="U203" s="2"/>
      <c r="V203" s="2"/>
      <c r="W203" s="2"/>
      <c r="X203" s="34"/>
    </row>
    <row x14ac:dyDescent="0.25" r="204" customHeight="1" ht="15.75">
      <c r="A204" s="1"/>
      <c r="B204" s="34"/>
      <c r="C204" s="2"/>
      <c r="D204" s="34"/>
      <c r="E204" s="34"/>
      <c r="F204" s="34"/>
      <c r="G204" s="34"/>
      <c r="H204" s="34"/>
      <c r="I204" s="6"/>
      <c r="J204" s="2"/>
      <c r="K204" s="2"/>
      <c r="L204" s="6"/>
      <c r="M204" s="6"/>
      <c r="N204" s="6"/>
      <c r="O204" s="34"/>
      <c r="P204" s="34"/>
      <c r="Q204" s="2"/>
      <c r="R204" s="34"/>
      <c r="S204" s="34"/>
      <c r="T204" s="34"/>
      <c r="U204" s="2"/>
      <c r="V204" s="2"/>
      <c r="W204" s="2"/>
      <c r="X204" s="34"/>
    </row>
    <row x14ac:dyDescent="0.25" r="205" customHeight="1" ht="15.75">
      <c r="A205" s="1"/>
      <c r="B205" s="34"/>
      <c r="C205" s="2"/>
      <c r="D205" s="34"/>
      <c r="E205" s="34"/>
      <c r="F205" s="34"/>
      <c r="G205" s="34"/>
      <c r="H205" s="34"/>
      <c r="I205" s="6"/>
      <c r="J205" s="2"/>
      <c r="K205" s="2"/>
      <c r="L205" s="6"/>
      <c r="M205" s="6"/>
      <c r="N205" s="6"/>
      <c r="O205" s="34"/>
      <c r="P205" s="34"/>
      <c r="Q205" s="2"/>
      <c r="R205" s="34"/>
      <c r="S205" s="34"/>
      <c r="T205" s="34"/>
      <c r="U205" s="2"/>
      <c r="V205" s="2"/>
      <c r="W205" s="2"/>
      <c r="X205" s="34"/>
    </row>
    <row x14ac:dyDescent="0.25" r="206" customHeight="1" ht="15.75">
      <c r="A206" s="1"/>
      <c r="B206" s="34"/>
      <c r="C206" s="2"/>
      <c r="D206" s="34"/>
      <c r="E206" s="34"/>
      <c r="F206" s="34"/>
      <c r="G206" s="34"/>
      <c r="H206" s="34"/>
      <c r="I206" s="6"/>
      <c r="J206" s="2"/>
      <c r="K206" s="2"/>
      <c r="L206" s="6"/>
      <c r="M206" s="6"/>
      <c r="N206" s="6"/>
      <c r="O206" s="34"/>
      <c r="P206" s="34"/>
      <c r="Q206" s="2"/>
      <c r="R206" s="34"/>
      <c r="S206" s="34"/>
      <c r="T206" s="34"/>
      <c r="U206" s="2"/>
      <c r="V206" s="2"/>
      <c r="W206" s="2"/>
      <c r="X206" s="34"/>
    </row>
    <row x14ac:dyDescent="0.25" r="207" customHeight="1" ht="15.75">
      <c r="A207" s="1"/>
      <c r="B207" s="34"/>
      <c r="C207" s="2"/>
      <c r="D207" s="34"/>
      <c r="E207" s="34"/>
      <c r="F207" s="34"/>
      <c r="G207" s="34"/>
      <c r="H207" s="34"/>
      <c r="I207" s="6"/>
      <c r="J207" s="2"/>
      <c r="K207" s="2"/>
      <c r="L207" s="6"/>
      <c r="M207" s="6"/>
      <c r="N207" s="6"/>
      <c r="O207" s="34"/>
      <c r="P207" s="34"/>
      <c r="Q207" s="2"/>
      <c r="R207" s="34"/>
      <c r="S207" s="34"/>
      <c r="T207" s="34"/>
      <c r="U207" s="2"/>
      <c r="V207" s="2"/>
      <c r="W207" s="2"/>
      <c r="X207" s="34"/>
    </row>
    <row x14ac:dyDescent="0.25" r="208" customHeight="1" ht="15.75">
      <c r="A208" s="1"/>
      <c r="B208" s="34"/>
      <c r="C208" s="2"/>
      <c r="D208" s="34"/>
      <c r="E208" s="34"/>
      <c r="F208" s="34"/>
      <c r="G208" s="34"/>
      <c r="H208" s="34"/>
      <c r="I208" s="6"/>
      <c r="J208" s="2"/>
      <c r="K208" s="2"/>
      <c r="L208" s="6"/>
      <c r="M208" s="6"/>
      <c r="N208" s="6"/>
      <c r="O208" s="34"/>
      <c r="P208" s="34"/>
      <c r="Q208" s="2"/>
      <c r="R208" s="34"/>
      <c r="S208" s="34"/>
      <c r="T208" s="34"/>
      <c r="U208" s="2"/>
      <c r="V208" s="2"/>
      <c r="W208" s="2"/>
      <c r="X208" s="34"/>
    </row>
    <row x14ac:dyDescent="0.25" r="209" customHeight="1" ht="15.75">
      <c r="A209" s="1"/>
      <c r="B209" s="34"/>
      <c r="C209" s="2"/>
      <c r="D209" s="34"/>
      <c r="E209" s="34"/>
      <c r="F209" s="34"/>
      <c r="G209" s="34"/>
      <c r="H209" s="34"/>
      <c r="I209" s="6"/>
      <c r="J209" s="2"/>
      <c r="K209" s="2"/>
      <c r="L209" s="6"/>
      <c r="M209" s="6"/>
      <c r="N209" s="6"/>
      <c r="O209" s="34"/>
      <c r="P209" s="34"/>
      <c r="Q209" s="2"/>
      <c r="R209" s="34"/>
      <c r="S209" s="34"/>
      <c r="T209" s="34"/>
      <c r="U209" s="2"/>
      <c r="V209" s="2"/>
      <c r="W209" s="2"/>
      <c r="X209" s="34"/>
    </row>
    <row x14ac:dyDescent="0.25" r="210" customHeight="1" ht="15.75">
      <c r="A210" s="1"/>
      <c r="B210" s="34"/>
      <c r="C210" s="2"/>
      <c r="D210" s="34"/>
      <c r="E210" s="34"/>
      <c r="F210" s="34"/>
      <c r="G210" s="34"/>
      <c r="H210" s="34"/>
      <c r="I210" s="6"/>
      <c r="J210" s="2"/>
      <c r="K210" s="2"/>
      <c r="L210" s="6"/>
      <c r="M210" s="6"/>
      <c r="N210" s="6"/>
      <c r="O210" s="34"/>
      <c r="P210" s="34"/>
      <c r="Q210" s="2"/>
      <c r="R210" s="34"/>
      <c r="S210" s="34"/>
      <c r="T210" s="34"/>
      <c r="U210" s="2"/>
      <c r="V210" s="2"/>
      <c r="W210" s="2"/>
      <c r="X210" s="34"/>
    </row>
    <row x14ac:dyDescent="0.25" r="211" customHeight="1" ht="15.75">
      <c r="A211" s="1"/>
      <c r="B211" s="34"/>
      <c r="C211" s="2"/>
      <c r="D211" s="34"/>
      <c r="E211" s="34"/>
      <c r="F211" s="34"/>
      <c r="G211" s="34"/>
      <c r="H211" s="34"/>
      <c r="I211" s="6"/>
      <c r="J211" s="2"/>
      <c r="K211" s="2"/>
      <c r="L211" s="6"/>
      <c r="M211" s="6"/>
      <c r="N211" s="6"/>
      <c r="O211" s="34"/>
      <c r="P211" s="34"/>
      <c r="Q211" s="2"/>
      <c r="R211" s="34"/>
      <c r="S211" s="34"/>
      <c r="T211" s="34"/>
      <c r="U211" s="2"/>
      <c r="V211" s="2"/>
      <c r="W211" s="2"/>
      <c r="X211" s="34"/>
    </row>
    <row x14ac:dyDescent="0.25" r="212" customHeight="1" ht="15.75">
      <c r="A212" s="1"/>
      <c r="B212" s="34"/>
      <c r="C212" s="2"/>
      <c r="D212" s="34"/>
      <c r="E212" s="34"/>
      <c r="F212" s="34"/>
      <c r="G212" s="34"/>
      <c r="H212" s="34"/>
      <c r="I212" s="6"/>
      <c r="J212" s="2"/>
      <c r="K212" s="2"/>
      <c r="L212" s="6"/>
      <c r="M212" s="6"/>
      <c r="N212" s="6"/>
      <c r="O212" s="34"/>
      <c r="P212" s="34"/>
      <c r="Q212" s="2"/>
      <c r="R212" s="34"/>
      <c r="S212" s="34"/>
      <c r="T212" s="34"/>
      <c r="U212" s="2"/>
      <c r="V212" s="2"/>
      <c r="W212" s="2"/>
      <c r="X212" s="34"/>
    </row>
    <row x14ac:dyDescent="0.25" r="213" customHeight="1" ht="15.75">
      <c r="A213" s="1"/>
      <c r="B213" s="34"/>
      <c r="C213" s="2"/>
      <c r="D213" s="34"/>
      <c r="E213" s="34"/>
      <c r="F213" s="34"/>
      <c r="G213" s="34"/>
      <c r="H213" s="34"/>
      <c r="I213" s="6"/>
      <c r="J213" s="2"/>
      <c r="K213" s="2"/>
      <c r="L213" s="6"/>
      <c r="M213" s="6"/>
      <c r="N213" s="6"/>
      <c r="O213" s="34"/>
      <c r="P213" s="34"/>
      <c r="Q213" s="2"/>
      <c r="R213" s="34"/>
      <c r="S213" s="34"/>
      <c r="T213" s="34"/>
      <c r="U213" s="2"/>
      <c r="V213" s="2"/>
      <c r="W213" s="2"/>
      <c r="X213" s="34"/>
    </row>
    <row x14ac:dyDescent="0.25" r="214" customHeight="1" ht="15.75">
      <c r="A214" s="1"/>
      <c r="B214" s="34"/>
      <c r="C214" s="2"/>
      <c r="D214" s="34"/>
      <c r="E214" s="34"/>
      <c r="F214" s="34"/>
      <c r="G214" s="34"/>
      <c r="H214" s="34"/>
      <c r="I214" s="6"/>
      <c r="J214" s="2"/>
      <c r="K214" s="2"/>
      <c r="L214" s="6"/>
      <c r="M214" s="6"/>
      <c r="N214" s="6"/>
      <c r="O214" s="34"/>
      <c r="P214" s="34"/>
      <c r="Q214" s="2"/>
      <c r="R214" s="34"/>
      <c r="S214" s="34"/>
      <c r="T214" s="34"/>
      <c r="U214" s="2"/>
      <c r="V214" s="2"/>
      <c r="W214" s="2"/>
      <c r="X214" s="34"/>
    </row>
    <row x14ac:dyDescent="0.25" r="215" customHeight="1" ht="15.75">
      <c r="A215" s="1"/>
      <c r="B215" s="34"/>
      <c r="C215" s="2"/>
      <c r="D215" s="34"/>
      <c r="E215" s="34"/>
      <c r="F215" s="34"/>
      <c r="G215" s="34"/>
      <c r="H215" s="34"/>
      <c r="I215" s="6"/>
      <c r="J215" s="2"/>
      <c r="K215" s="2"/>
      <c r="L215" s="6"/>
      <c r="M215" s="6"/>
      <c r="N215" s="6"/>
      <c r="O215" s="34"/>
      <c r="P215" s="34"/>
      <c r="Q215" s="2"/>
      <c r="R215" s="34"/>
      <c r="S215" s="34"/>
      <c r="T215" s="34"/>
      <c r="U215" s="2"/>
      <c r="V215" s="2"/>
      <c r="W215" s="2"/>
      <c r="X215" s="34"/>
    </row>
    <row x14ac:dyDescent="0.25" r="216" customHeight="1" ht="15.75">
      <c r="A216" s="1"/>
      <c r="B216" s="34"/>
      <c r="C216" s="2"/>
      <c r="D216" s="34"/>
      <c r="E216" s="34"/>
      <c r="F216" s="34"/>
      <c r="G216" s="34"/>
      <c r="H216" s="34"/>
      <c r="I216" s="6"/>
      <c r="J216" s="2"/>
      <c r="K216" s="2"/>
      <c r="L216" s="6"/>
      <c r="M216" s="6"/>
      <c r="N216" s="6"/>
      <c r="O216" s="34"/>
      <c r="P216" s="34"/>
      <c r="Q216" s="2"/>
      <c r="R216" s="34"/>
      <c r="S216" s="34"/>
      <c r="T216" s="34"/>
      <c r="U216" s="2"/>
      <c r="V216" s="2"/>
      <c r="W216" s="2"/>
      <c r="X216" s="34"/>
    </row>
    <row x14ac:dyDescent="0.25" r="217" customHeight="1" ht="15.75">
      <c r="A217" s="1"/>
      <c r="B217" s="34"/>
      <c r="C217" s="2"/>
      <c r="D217" s="34"/>
      <c r="E217" s="34"/>
      <c r="F217" s="34"/>
      <c r="G217" s="34"/>
      <c r="H217" s="34"/>
      <c r="I217" s="6"/>
      <c r="J217" s="2"/>
      <c r="K217" s="2"/>
      <c r="L217" s="6"/>
      <c r="M217" s="6"/>
      <c r="N217" s="6"/>
      <c r="O217" s="34"/>
      <c r="P217" s="34"/>
      <c r="Q217" s="2"/>
      <c r="R217" s="34"/>
      <c r="S217" s="34"/>
      <c r="T217" s="34"/>
      <c r="U217" s="2"/>
      <c r="V217" s="2"/>
      <c r="W217" s="2"/>
      <c r="X217" s="34"/>
    </row>
    <row x14ac:dyDescent="0.25" r="218" customHeight="1" ht="15.75">
      <c r="A218" s="1"/>
      <c r="B218" s="34"/>
      <c r="C218" s="2"/>
      <c r="D218" s="34"/>
      <c r="E218" s="34"/>
      <c r="F218" s="34"/>
      <c r="G218" s="34"/>
      <c r="H218" s="34"/>
      <c r="I218" s="6"/>
      <c r="J218" s="2"/>
      <c r="K218" s="2"/>
      <c r="L218" s="6"/>
      <c r="M218" s="6"/>
      <c r="N218" s="6"/>
      <c r="O218" s="34"/>
      <c r="P218" s="34"/>
      <c r="Q218" s="2"/>
      <c r="R218" s="34"/>
      <c r="S218" s="34"/>
      <c r="T218" s="34"/>
      <c r="U218" s="2"/>
      <c r="V218" s="2"/>
      <c r="W218" s="2"/>
      <c r="X218" s="34"/>
    </row>
    <row x14ac:dyDescent="0.25" r="219" customHeight="1" ht="15.75">
      <c r="A219" s="1"/>
      <c r="B219" s="34"/>
      <c r="C219" s="2"/>
      <c r="D219" s="34"/>
      <c r="E219" s="34"/>
      <c r="F219" s="34"/>
      <c r="G219" s="34"/>
      <c r="H219" s="34"/>
      <c r="I219" s="6"/>
      <c r="J219" s="2"/>
      <c r="K219" s="2"/>
      <c r="L219" s="6"/>
      <c r="M219" s="6"/>
      <c r="N219" s="6"/>
      <c r="O219" s="34"/>
      <c r="P219" s="34"/>
      <c r="Q219" s="2"/>
      <c r="R219" s="34"/>
      <c r="S219" s="34"/>
      <c r="T219" s="34"/>
      <c r="U219" s="2"/>
      <c r="V219" s="2"/>
      <c r="W219" s="2"/>
      <c r="X219" s="34"/>
    </row>
    <row x14ac:dyDescent="0.25" r="220" customHeight="1" ht="15.75">
      <c r="A220" s="1"/>
      <c r="B220" s="34"/>
      <c r="C220" s="2"/>
      <c r="D220" s="34"/>
      <c r="E220" s="34"/>
      <c r="F220" s="34"/>
      <c r="G220" s="34"/>
      <c r="H220" s="34"/>
      <c r="I220" s="6"/>
      <c r="J220" s="2"/>
      <c r="K220" s="2"/>
      <c r="L220" s="6"/>
      <c r="M220" s="6"/>
      <c r="N220" s="6"/>
      <c r="O220" s="34"/>
      <c r="P220" s="34"/>
      <c r="Q220" s="2"/>
      <c r="R220" s="34"/>
      <c r="S220" s="34"/>
      <c r="T220" s="34"/>
      <c r="U220" s="2"/>
      <c r="V220" s="2"/>
      <c r="W220" s="2"/>
      <c r="X220" s="34"/>
    </row>
    <row x14ac:dyDescent="0.25" r="221" customHeight="1" ht="15.75">
      <c r="A221" s="1"/>
      <c r="B221" s="34"/>
      <c r="C221" s="2"/>
      <c r="D221" s="34"/>
      <c r="E221" s="34"/>
      <c r="F221" s="34"/>
      <c r="G221" s="34"/>
      <c r="H221" s="34"/>
      <c r="I221" s="6"/>
      <c r="J221" s="2"/>
      <c r="K221" s="2"/>
      <c r="L221" s="6"/>
      <c r="M221" s="6"/>
      <c r="N221" s="6"/>
      <c r="O221" s="34"/>
      <c r="P221" s="34"/>
      <c r="Q221" s="2"/>
      <c r="R221" s="34"/>
      <c r="S221" s="34"/>
      <c r="T221" s="34"/>
      <c r="U221" s="2"/>
      <c r="V221" s="2"/>
      <c r="W221" s="2"/>
      <c r="X221" s="34"/>
    </row>
    <row x14ac:dyDescent="0.25" r="222" customHeight="1" ht="15.75">
      <c r="A222" s="1"/>
      <c r="B222" s="34"/>
      <c r="C222" s="2"/>
      <c r="D222" s="34"/>
      <c r="E222" s="34"/>
      <c r="F222" s="34"/>
      <c r="G222" s="34"/>
      <c r="H222" s="34"/>
      <c r="I222" s="6"/>
      <c r="J222" s="2"/>
      <c r="K222" s="2"/>
      <c r="L222" s="6"/>
      <c r="M222" s="6"/>
      <c r="N222" s="6"/>
      <c r="O222" s="34"/>
      <c r="P222" s="34"/>
      <c r="Q222" s="2"/>
      <c r="R222" s="34"/>
      <c r="S222" s="34"/>
      <c r="T222" s="34"/>
      <c r="U222" s="2"/>
      <c r="V222" s="2"/>
      <c r="W222" s="2"/>
      <c r="X222" s="34"/>
    </row>
    <row x14ac:dyDescent="0.25" r="223" customHeight="1" ht="15.75">
      <c r="A223" s="1"/>
      <c r="B223" s="34"/>
      <c r="C223" s="2"/>
      <c r="D223" s="34"/>
      <c r="E223" s="34"/>
      <c r="F223" s="34"/>
      <c r="G223" s="34"/>
      <c r="H223" s="34"/>
      <c r="I223" s="6"/>
      <c r="J223" s="2"/>
      <c r="K223" s="2"/>
      <c r="L223" s="6"/>
      <c r="M223" s="6"/>
      <c r="N223" s="6"/>
      <c r="O223" s="34"/>
      <c r="P223" s="34"/>
      <c r="Q223" s="2"/>
      <c r="R223" s="34"/>
      <c r="S223" s="34"/>
      <c r="T223" s="34"/>
      <c r="U223" s="2"/>
      <c r="V223" s="2"/>
      <c r="W223" s="2"/>
      <c r="X223" s="34"/>
    </row>
    <row x14ac:dyDescent="0.25" r="224" customHeight="1" ht="15.75">
      <c r="A224" s="1"/>
      <c r="B224" s="34"/>
      <c r="C224" s="2"/>
      <c r="D224" s="34"/>
      <c r="E224" s="34"/>
      <c r="F224" s="34"/>
      <c r="G224" s="34"/>
      <c r="H224" s="34"/>
      <c r="I224" s="6"/>
      <c r="J224" s="2"/>
      <c r="K224" s="2"/>
      <c r="L224" s="6"/>
      <c r="M224" s="6"/>
      <c r="N224" s="6"/>
      <c r="O224" s="34"/>
      <c r="P224" s="34"/>
      <c r="Q224" s="2"/>
      <c r="R224" s="34"/>
      <c r="S224" s="34"/>
      <c r="T224" s="34"/>
      <c r="U224" s="2"/>
      <c r="V224" s="2"/>
      <c r="W224" s="2"/>
      <c r="X224" s="34"/>
    </row>
    <row x14ac:dyDescent="0.25" r="225" customHeight="1" ht="15.75">
      <c r="A225" s="1"/>
      <c r="B225" s="34"/>
      <c r="C225" s="2"/>
      <c r="D225" s="34"/>
      <c r="E225" s="34"/>
      <c r="F225" s="34"/>
      <c r="G225" s="34"/>
      <c r="H225" s="34"/>
      <c r="I225" s="6"/>
      <c r="J225" s="2"/>
      <c r="K225" s="2"/>
      <c r="L225" s="6"/>
      <c r="M225" s="6"/>
      <c r="N225" s="6"/>
      <c r="O225" s="34"/>
      <c r="P225" s="34"/>
      <c r="Q225" s="2"/>
      <c r="R225" s="34"/>
      <c r="S225" s="34"/>
      <c r="T225" s="34"/>
      <c r="U225" s="2"/>
      <c r="V225" s="2"/>
      <c r="W225" s="2"/>
      <c r="X225" s="34"/>
    </row>
    <row x14ac:dyDescent="0.25" r="226" customHeight="1" ht="15.75">
      <c r="A226" s="1"/>
      <c r="B226" s="34"/>
      <c r="C226" s="2"/>
      <c r="D226" s="34"/>
      <c r="E226" s="34"/>
      <c r="F226" s="34"/>
      <c r="G226" s="34"/>
      <c r="H226" s="34"/>
      <c r="I226" s="6"/>
      <c r="J226" s="2"/>
      <c r="K226" s="2"/>
      <c r="L226" s="6"/>
      <c r="M226" s="6"/>
      <c r="N226" s="6"/>
      <c r="O226" s="34"/>
      <c r="P226" s="34"/>
      <c r="Q226" s="2"/>
      <c r="R226" s="34"/>
      <c r="S226" s="34"/>
      <c r="T226" s="34"/>
      <c r="U226" s="2"/>
      <c r="V226" s="2"/>
      <c r="W226" s="2"/>
      <c r="X226" s="34"/>
    </row>
    <row x14ac:dyDescent="0.25" r="227" customHeight="1" ht="15.75">
      <c r="A227" s="1"/>
      <c r="B227" s="34"/>
      <c r="C227" s="2"/>
      <c r="D227" s="34"/>
      <c r="E227" s="34"/>
      <c r="F227" s="34"/>
      <c r="G227" s="34"/>
      <c r="H227" s="34"/>
      <c r="I227" s="6"/>
      <c r="J227" s="2"/>
      <c r="K227" s="2"/>
      <c r="L227" s="6"/>
      <c r="M227" s="6"/>
      <c r="N227" s="6"/>
      <c r="O227" s="34"/>
      <c r="P227" s="34"/>
      <c r="Q227" s="2"/>
      <c r="R227" s="34"/>
      <c r="S227" s="34"/>
      <c r="T227" s="34"/>
      <c r="U227" s="2"/>
      <c r="V227" s="2"/>
      <c r="W227" s="2"/>
      <c r="X227" s="34"/>
    </row>
    <row x14ac:dyDescent="0.25" r="228" customHeight="1" ht="15.75">
      <c r="A228" s="1"/>
      <c r="B228" s="34"/>
      <c r="C228" s="2"/>
      <c r="D228" s="34"/>
      <c r="E228" s="34"/>
      <c r="F228" s="34"/>
      <c r="G228" s="34"/>
      <c r="H228" s="34"/>
      <c r="I228" s="6"/>
      <c r="J228" s="2"/>
      <c r="K228" s="2"/>
      <c r="L228" s="6"/>
      <c r="M228" s="6"/>
      <c r="N228" s="6"/>
      <c r="O228" s="34"/>
      <c r="P228" s="34"/>
      <c r="Q228" s="2"/>
      <c r="R228" s="34"/>
      <c r="S228" s="34"/>
      <c r="T228" s="34"/>
      <c r="U228" s="2"/>
      <c r="V228" s="2"/>
      <c r="W228" s="2"/>
      <c r="X228" s="34"/>
    </row>
    <row x14ac:dyDescent="0.25" r="229" customHeight="1" ht="15.75">
      <c r="A229" s="1"/>
      <c r="B229" s="34"/>
      <c r="C229" s="2"/>
      <c r="D229" s="34"/>
      <c r="E229" s="34"/>
      <c r="F229" s="34"/>
      <c r="G229" s="34"/>
      <c r="H229" s="34"/>
      <c r="I229" s="6"/>
      <c r="J229" s="2"/>
      <c r="K229" s="2"/>
      <c r="L229" s="6"/>
      <c r="M229" s="6"/>
      <c r="N229" s="6"/>
      <c r="O229" s="34"/>
      <c r="P229" s="34"/>
      <c r="Q229" s="2"/>
      <c r="R229" s="34"/>
      <c r="S229" s="34"/>
      <c r="T229" s="34"/>
      <c r="U229" s="2"/>
      <c r="V229" s="2"/>
      <c r="W229" s="2"/>
      <c r="X229" s="34"/>
    </row>
    <row x14ac:dyDescent="0.25" r="230" customHeight="1" ht="15.75">
      <c r="A230" s="1"/>
      <c r="B230" s="34"/>
      <c r="C230" s="2"/>
      <c r="D230" s="34"/>
      <c r="E230" s="34"/>
      <c r="F230" s="34"/>
      <c r="G230" s="34"/>
      <c r="H230" s="34"/>
      <c r="I230" s="6"/>
      <c r="J230" s="2"/>
      <c r="K230" s="2"/>
      <c r="L230" s="6"/>
      <c r="M230" s="6"/>
      <c r="N230" s="6"/>
      <c r="O230" s="34"/>
      <c r="P230" s="34"/>
      <c r="Q230" s="2"/>
      <c r="R230" s="34"/>
      <c r="S230" s="34"/>
      <c r="T230" s="34"/>
      <c r="U230" s="2"/>
      <c r="V230" s="2"/>
      <c r="W230" s="2"/>
      <c r="X230" s="34"/>
    </row>
    <row x14ac:dyDescent="0.25" r="231" customHeight="1" ht="15.75">
      <c r="A231" s="1"/>
      <c r="B231" s="34"/>
      <c r="C231" s="2"/>
      <c r="D231" s="34"/>
      <c r="E231" s="34"/>
      <c r="F231" s="34"/>
      <c r="G231" s="34"/>
      <c r="H231" s="34"/>
      <c r="I231" s="6"/>
      <c r="J231" s="2"/>
      <c r="K231" s="2"/>
      <c r="L231" s="6"/>
      <c r="M231" s="6"/>
      <c r="N231" s="6"/>
      <c r="O231" s="34"/>
      <c r="P231" s="34"/>
      <c r="Q231" s="2"/>
      <c r="R231" s="34"/>
      <c r="S231" s="34"/>
      <c r="T231" s="34"/>
      <c r="U231" s="2"/>
      <c r="V231" s="2"/>
      <c r="W231" s="2"/>
      <c r="X231" s="34"/>
    </row>
    <row x14ac:dyDescent="0.25" r="232" customHeight="1" ht="15.75">
      <c r="A232" s="1"/>
      <c r="B232" s="34"/>
      <c r="C232" s="2"/>
      <c r="D232" s="34"/>
      <c r="E232" s="34"/>
      <c r="F232" s="34"/>
      <c r="G232" s="34"/>
      <c r="H232" s="34"/>
      <c r="I232" s="6"/>
      <c r="J232" s="2"/>
      <c r="K232" s="2"/>
      <c r="L232" s="6"/>
      <c r="M232" s="6"/>
      <c r="N232" s="6"/>
      <c r="O232" s="34"/>
      <c r="P232" s="34"/>
      <c r="Q232" s="2"/>
      <c r="R232" s="34"/>
      <c r="S232" s="34"/>
      <c r="T232" s="34"/>
      <c r="U232" s="2"/>
      <c r="V232" s="2"/>
      <c r="W232" s="2"/>
      <c r="X232" s="34"/>
    </row>
    <row x14ac:dyDescent="0.25" r="233" customHeight="1" ht="15.75">
      <c r="A233" s="1"/>
      <c r="B233" s="34"/>
      <c r="C233" s="2"/>
      <c r="D233" s="34"/>
      <c r="E233" s="34"/>
      <c r="F233" s="34"/>
      <c r="G233" s="34"/>
      <c r="H233" s="34"/>
      <c r="I233" s="6"/>
      <c r="J233" s="2"/>
      <c r="K233" s="2"/>
      <c r="L233" s="6"/>
      <c r="M233" s="6"/>
      <c r="N233" s="6"/>
      <c r="O233" s="34"/>
      <c r="P233" s="34"/>
      <c r="Q233" s="2"/>
      <c r="R233" s="34"/>
      <c r="S233" s="34"/>
      <c r="T233" s="34"/>
      <c r="U233" s="2"/>
      <c r="V233" s="2"/>
      <c r="W233" s="2"/>
      <c r="X233" s="34"/>
    </row>
    <row x14ac:dyDescent="0.25" r="234" customHeight="1" ht="15.75">
      <c r="A234" s="1"/>
      <c r="B234" s="34"/>
      <c r="C234" s="2"/>
      <c r="D234" s="34"/>
      <c r="E234" s="34"/>
      <c r="F234" s="34"/>
      <c r="G234" s="34"/>
      <c r="H234" s="34"/>
      <c r="I234" s="6"/>
      <c r="J234" s="2"/>
      <c r="K234" s="2"/>
      <c r="L234" s="6"/>
      <c r="M234" s="6"/>
      <c r="N234" s="6"/>
      <c r="O234" s="34"/>
      <c r="P234" s="34"/>
      <c r="Q234" s="2"/>
      <c r="R234" s="34"/>
      <c r="S234" s="34"/>
      <c r="T234" s="34"/>
      <c r="U234" s="2"/>
      <c r="V234" s="2"/>
      <c r="W234" s="2"/>
      <c r="X234" s="34"/>
    </row>
    <row x14ac:dyDescent="0.25" r="235" customHeight="1" ht="15.75">
      <c r="A235" s="1"/>
      <c r="B235" s="34"/>
      <c r="C235" s="2"/>
      <c r="D235" s="34"/>
      <c r="E235" s="34"/>
      <c r="F235" s="34"/>
      <c r="G235" s="34"/>
      <c r="H235" s="34"/>
      <c r="I235" s="6"/>
      <c r="J235" s="2"/>
      <c r="K235" s="2"/>
      <c r="L235" s="6"/>
      <c r="M235" s="6"/>
      <c r="N235" s="6"/>
      <c r="O235" s="34"/>
      <c r="P235" s="34"/>
      <c r="Q235" s="2"/>
      <c r="R235" s="34"/>
      <c r="S235" s="34"/>
      <c r="T235" s="34"/>
      <c r="U235" s="2"/>
      <c r="V235" s="2"/>
      <c r="W235" s="2"/>
      <c r="X235" s="34"/>
    </row>
    <row x14ac:dyDescent="0.25" r="236" customHeight="1" ht="15.75">
      <c r="A236" s="1"/>
      <c r="B236" s="34"/>
      <c r="C236" s="2"/>
      <c r="D236" s="34"/>
      <c r="E236" s="34"/>
      <c r="F236" s="34"/>
      <c r="G236" s="34"/>
      <c r="H236" s="34"/>
      <c r="I236" s="6"/>
      <c r="J236" s="2"/>
      <c r="K236" s="2"/>
      <c r="L236" s="6"/>
      <c r="M236" s="6"/>
      <c r="N236" s="6"/>
      <c r="O236" s="34"/>
      <c r="P236" s="34"/>
      <c r="Q236" s="2"/>
      <c r="R236" s="34"/>
      <c r="S236" s="34"/>
      <c r="T236" s="34"/>
      <c r="U236" s="2"/>
      <c r="V236" s="2"/>
      <c r="W236" s="2"/>
      <c r="X236" s="34"/>
    </row>
    <row x14ac:dyDescent="0.25" r="237" customHeight="1" ht="15.75">
      <c r="A237" s="1"/>
      <c r="B237" s="34"/>
      <c r="C237" s="2"/>
      <c r="D237" s="34"/>
      <c r="E237" s="34"/>
      <c r="F237" s="34"/>
      <c r="G237" s="34"/>
      <c r="H237" s="34"/>
      <c r="I237" s="6"/>
      <c r="J237" s="2"/>
      <c r="K237" s="2"/>
      <c r="L237" s="6"/>
      <c r="M237" s="6"/>
      <c r="N237" s="6"/>
      <c r="O237" s="34"/>
      <c r="P237" s="34"/>
      <c r="Q237" s="2"/>
      <c r="R237" s="34"/>
      <c r="S237" s="34"/>
      <c r="T237" s="34"/>
      <c r="U237" s="2"/>
      <c r="V237" s="2"/>
      <c r="W237" s="2"/>
      <c r="X237" s="34"/>
    </row>
    <row x14ac:dyDescent="0.25" r="238" customHeight="1" ht="15.75">
      <c r="A238" s="1"/>
      <c r="B238" s="34"/>
      <c r="C238" s="2"/>
      <c r="D238" s="34"/>
      <c r="E238" s="34"/>
      <c r="F238" s="34"/>
      <c r="G238" s="34"/>
      <c r="H238" s="34"/>
      <c r="I238" s="6"/>
      <c r="J238" s="2"/>
      <c r="K238" s="2"/>
      <c r="L238" s="6"/>
      <c r="M238" s="6"/>
      <c r="N238" s="6"/>
      <c r="O238" s="34"/>
      <c r="P238" s="34"/>
      <c r="Q238" s="2"/>
      <c r="R238" s="34"/>
      <c r="S238" s="34"/>
      <c r="T238" s="34"/>
      <c r="U238" s="2"/>
      <c r="V238" s="2"/>
      <c r="W238" s="2"/>
      <c r="X238" s="34"/>
    </row>
    <row x14ac:dyDescent="0.25" r="239" customHeight="1" ht="15.75">
      <c r="A239" s="1"/>
      <c r="B239" s="34"/>
      <c r="C239" s="2"/>
      <c r="D239" s="34"/>
      <c r="E239" s="34"/>
      <c r="F239" s="34"/>
      <c r="G239" s="34"/>
      <c r="H239" s="34"/>
      <c r="I239" s="6"/>
      <c r="J239" s="2"/>
      <c r="K239" s="2"/>
      <c r="L239" s="6"/>
      <c r="M239" s="6"/>
      <c r="N239" s="6"/>
      <c r="O239" s="34"/>
      <c r="P239" s="34"/>
      <c r="Q239" s="2"/>
      <c r="R239" s="34"/>
      <c r="S239" s="34"/>
      <c r="T239" s="34"/>
      <c r="U239" s="2"/>
      <c r="V239" s="2"/>
      <c r="W239" s="2"/>
      <c r="X239" s="34"/>
    </row>
    <row x14ac:dyDescent="0.25" r="240" customHeight="1" ht="15.75">
      <c r="A240" s="1"/>
      <c r="B240" s="34"/>
      <c r="C240" s="2"/>
      <c r="D240" s="34"/>
      <c r="E240" s="34"/>
      <c r="F240" s="34"/>
      <c r="G240" s="34"/>
      <c r="H240" s="34"/>
      <c r="I240" s="6"/>
      <c r="J240" s="2"/>
      <c r="K240" s="2"/>
      <c r="L240" s="6"/>
      <c r="M240" s="6"/>
      <c r="N240" s="6"/>
      <c r="O240" s="34"/>
      <c r="P240" s="34"/>
      <c r="Q240" s="2"/>
      <c r="R240" s="34"/>
      <c r="S240" s="34"/>
      <c r="T240" s="34"/>
      <c r="U240" s="2"/>
      <c r="V240" s="2"/>
      <c r="W240" s="2"/>
      <c r="X240" s="34"/>
    </row>
    <row x14ac:dyDescent="0.25" r="241" customHeight="1" ht="15.75">
      <c r="A241" s="1"/>
      <c r="B241" s="34"/>
      <c r="C241" s="2"/>
      <c r="D241" s="34"/>
      <c r="E241" s="34"/>
      <c r="F241" s="34"/>
      <c r="G241" s="34"/>
      <c r="H241" s="34"/>
      <c r="I241" s="6"/>
      <c r="J241" s="2"/>
      <c r="K241" s="2"/>
      <c r="L241" s="6"/>
      <c r="M241" s="6"/>
      <c r="N241" s="6"/>
      <c r="O241" s="34"/>
      <c r="P241" s="34"/>
      <c r="Q241" s="2"/>
      <c r="R241" s="34"/>
      <c r="S241" s="34"/>
      <c r="T241" s="34"/>
      <c r="U241" s="2"/>
      <c r="V241" s="2"/>
      <c r="W241" s="2"/>
      <c r="X241" s="34"/>
    </row>
    <row x14ac:dyDescent="0.25" r="242" customHeight="1" ht="15.75">
      <c r="A242" s="1"/>
      <c r="B242" s="34"/>
      <c r="C242" s="2"/>
      <c r="D242" s="34"/>
      <c r="E242" s="34"/>
      <c r="F242" s="34"/>
      <c r="G242" s="34"/>
      <c r="H242" s="34"/>
      <c r="I242" s="6"/>
      <c r="J242" s="2"/>
      <c r="K242" s="2"/>
      <c r="L242" s="6"/>
      <c r="M242" s="6"/>
      <c r="N242" s="6"/>
      <c r="O242" s="34"/>
      <c r="P242" s="34"/>
      <c r="Q242" s="2"/>
      <c r="R242" s="34"/>
      <c r="S242" s="34"/>
      <c r="T242" s="34"/>
      <c r="U242" s="2"/>
      <c r="V242" s="2"/>
      <c r="W242" s="2"/>
      <c r="X242" s="34"/>
    </row>
    <row x14ac:dyDescent="0.25" r="243" customHeight="1" ht="15.75">
      <c r="A243" s="1"/>
      <c r="B243" s="34"/>
      <c r="C243" s="2"/>
      <c r="D243" s="34"/>
      <c r="E243" s="34"/>
      <c r="F243" s="34"/>
      <c r="G243" s="34"/>
      <c r="H243" s="34"/>
      <c r="I243" s="6"/>
      <c r="J243" s="2"/>
      <c r="K243" s="2"/>
      <c r="L243" s="6"/>
      <c r="M243" s="6"/>
      <c r="N243" s="6"/>
      <c r="O243" s="34"/>
      <c r="P243" s="34"/>
      <c r="Q243" s="2"/>
      <c r="R243" s="34"/>
      <c r="S243" s="34"/>
      <c r="T243" s="34"/>
      <c r="U243" s="2"/>
      <c r="V243" s="2"/>
      <c r="W243" s="2"/>
      <c r="X243" s="34"/>
    </row>
    <row x14ac:dyDescent="0.25" r="244" customHeight="1" ht="15.75">
      <c r="A244" s="1"/>
      <c r="B244" s="34"/>
      <c r="C244" s="2"/>
      <c r="D244" s="34"/>
      <c r="E244" s="34"/>
      <c r="F244" s="34"/>
      <c r="G244" s="34"/>
      <c r="H244" s="34"/>
      <c r="I244" s="6"/>
      <c r="J244" s="2"/>
      <c r="K244" s="2"/>
      <c r="L244" s="6"/>
      <c r="M244" s="6"/>
      <c r="N244" s="6"/>
      <c r="O244" s="34"/>
      <c r="P244" s="34"/>
      <c r="Q244" s="2"/>
      <c r="R244" s="34"/>
      <c r="S244" s="34"/>
      <c r="T244" s="34"/>
      <c r="U244" s="2"/>
      <c r="V244" s="2"/>
      <c r="W244" s="2"/>
      <c r="X244" s="34"/>
    </row>
    <row x14ac:dyDescent="0.25" r="245" customHeight="1" ht="15.75">
      <c r="A245" s="1"/>
      <c r="B245" s="34"/>
      <c r="C245" s="2"/>
      <c r="D245" s="34"/>
      <c r="E245" s="34"/>
      <c r="F245" s="34"/>
      <c r="G245" s="34"/>
      <c r="H245" s="34"/>
      <c r="I245" s="6"/>
      <c r="J245" s="2"/>
      <c r="K245" s="2"/>
      <c r="L245" s="6"/>
      <c r="M245" s="6"/>
      <c r="N245" s="6"/>
      <c r="O245" s="34"/>
      <c r="P245" s="34"/>
      <c r="Q245" s="2"/>
      <c r="R245" s="34"/>
      <c r="S245" s="34"/>
      <c r="T245" s="34"/>
      <c r="U245" s="2"/>
      <c r="V245" s="2"/>
      <c r="W245" s="2"/>
      <c r="X245" s="34"/>
    </row>
    <row x14ac:dyDescent="0.25" r="246" customHeight="1" ht="15.75">
      <c r="A246" s="1"/>
      <c r="B246" s="34"/>
      <c r="C246" s="2"/>
      <c r="D246" s="34"/>
      <c r="E246" s="34"/>
      <c r="F246" s="34"/>
      <c r="G246" s="34"/>
      <c r="H246" s="34"/>
      <c r="I246" s="6"/>
      <c r="J246" s="2"/>
      <c r="K246" s="2"/>
      <c r="L246" s="6"/>
      <c r="M246" s="6"/>
      <c r="N246" s="6"/>
      <c r="O246" s="34"/>
      <c r="P246" s="34"/>
      <c r="Q246" s="2"/>
      <c r="R246" s="34"/>
      <c r="S246" s="34"/>
      <c r="T246" s="34"/>
      <c r="U246" s="2"/>
      <c r="V246" s="2"/>
      <c r="W246" s="2"/>
      <c r="X246" s="34"/>
    </row>
    <row x14ac:dyDescent="0.25" r="247" customHeight="1" ht="15.75">
      <c r="A247" s="1"/>
      <c r="B247" s="34"/>
      <c r="C247" s="2"/>
      <c r="D247" s="34"/>
      <c r="E247" s="34"/>
      <c r="F247" s="34"/>
      <c r="G247" s="34"/>
      <c r="H247" s="34"/>
      <c r="I247" s="6"/>
      <c r="J247" s="2"/>
      <c r="K247" s="2"/>
      <c r="L247" s="6"/>
      <c r="M247" s="6"/>
      <c r="N247" s="6"/>
      <c r="O247" s="34"/>
      <c r="P247" s="34"/>
      <c r="Q247" s="2"/>
      <c r="R247" s="34"/>
      <c r="S247" s="34"/>
      <c r="T247" s="34"/>
      <c r="U247" s="2"/>
      <c r="V247" s="2"/>
      <c r="W247" s="2"/>
      <c r="X247" s="34"/>
    </row>
    <row x14ac:dyDescent="0.25" r="248" customHeight="1" ht="15.75">
      <c r="A248" s="1"/>
      <c r="B248" s="34"/>
      <c r="C248" s="2"/>
      <c r="D248" s="34"/>
      <c r="E248" s="34"/>
      <c r="F248" s="34"/>
      <c r="G248" s="34"/>
      <c r="H248" s="34"/>
      <c r="I248" s="6"/>
      <c r="J248" s="2"/>
      <c r="K248" s="2"/>
      <c r="L248" s="6"/>
      <c r="M248" s="6"/>
      <c r="N248" s="6"/>
      <c r="O248" s="34"/>
      <c r="P248" s="34"/>
      <c r="Q248" s="2"/>
      <c r="R248" s="34"/>
      <c r="S248" s="34"/>
      <c r="T248" s="34"/>
      <c r="U248" s="2"/>
      <c r="V248" s="2"/>
      <c r="W248" s="2"/>
      <c r="X248" s="34"/>
    </row>
    <row x14ac:dyDescent="0.25" r="249" customHeight="1" ht="15.75">
      <c r="A249" s="1"/>
      <c r="B249" s="34"/>
      <c r="C249" s="2"/>
      <c r="D249" s="34"/>
      <c r="E249" s="34"/>
      <c r="F249" s="34"/>
      <c r="G249" s="34"/>
      <c r="H249" s="34"/>
      <c r="I249" s="6"/>
      <c r="J249" s="2"/>
      <c r="K249" s="2"/>
      <c r="L249" s="6"/>
      <c r="M249" s="6"/>
      <c r="N249" s="6"/>
      <c r="O249" s="34"/>
      <c r="P249" s="34"/>
      <c r="Q249" s="2"/>
      <c r="R249" s="34"/>
      <c r="S249" s="34"/>
      <c r="T249" s="34"/>
      <c r="U249" s="2"/>
      <c r="V249" s="2"/>
      <c r="W249" s="2"/>
      <c r="X249" s="34"/>
    </row>
    <row x14ac:dyDescent="0.25" r="250" customHeight="1" ht="15.75">
      <c r="A250" s="1"/>
      <c r="B250" s="34"/>
      <c r="C250" s="2"/>
      <c r="D250" s="34"/>
      <c r="E250" s="34"/>
      <c r="F250" s="34"/>
      <c r="G250" s="34"/>
      <c r="H250" s="34"/>
      <c r="I250" s="6"/>
      <c r="J250" s="2"/>
      <c r="K250" s="2"/>
      <c r="L250" s="6"/>
      <c r="M250" s="6"/>
      <c r="N250" s="6"/>
      <c r="O250" s="34"/>
      <c r="P250" s="34"/>
      <c r="Q250" s="2"/>
      <c r="R250" s="34"/>
      <c r="S250" s="34"/>
      <c r="T250" s="34"/>
      <c r="U250" s="2"/>
      <c r="V250" s="2"/>
      <c r="W250" s="2"/>
      <c r="X250" s="34"/>
    </row>
    <row x14ac:dyDescent="0.25" r="251" customHeight="1" ht="15.75">
      <c r="A251" s="1"/>
      <c r="B251" s="34"/>
      <c r="C251" s="2"/>
      <c r="D251" s="34"/>
      <c r="E251" s="34"/>
      <c r="F251" s="34"/>
      <c r="G251" s="34"/>
      <c r="H251" s="34"/>
      <c r="I251" s="6"/>
      <c r="J251" s="2"/>
      <c r="K251" s="2"/>
      <c r="L251" s="6"/>
      <c r="M251" s="6"/>
      <c r="N251" s="6"/>
      <c r="O251" s="34"/>
      <c r="P251" s="34"/>
      <c r="Q251" s="2"/>
      <c r="R251" s="34"/>
      <c r="S251" s="34"/>
      <c r="T251" s="34"/>
      <c r="U251" s="2"/>
      <c r="V251" s="2"/>
      <c r="W251" s="2"/>
      <c r="X251" s="34"/>
    </row>
    <row x14ac:dyDescent="0.25" r="252" customHeight="1" ht="15.75">
      <c r="A252" s="1"/>
      <c r="B252" s="34"/>
      <c r="C252" s="2"/>
      <c r="D252" s="34"/>
      <c r="E252" s="34"/>
      <c r="F252" s="34"/>
      <c r="G252" s="34"/>
      <c r="H252" s="34"/>
      <c r="I252" s="6"/>
      <c r="J252" s="2"/>
      <c r="K252" s="2"/>
      <c r="L252" s="6"/>
      <c r="M252" s="6"/>
      <c r="N252" s="6"/>
      <c r="O252" s="34"/>
      <c r="P252" s="34"/>
      <c r="Q252" s="2"/>
      <c r="R252" s="34"/>
      <c r="S252" s="34"/>
      <c r="T252" s="34"/>
      <c r="U252" s="2"/>
      <c r="V252" s="2"/>
      <c r="W252" s="2"/>
      <c r="X252" s="34"/>
    </row>
    <row x14ac:dyDescent="0.25" r="253" customHeight="1" ht="15.75">
      <c r="A253" s="1"/>
      <c r="B253" s="34"/>
      <c r="C253" s="2"/>
      <c r="D253" s="34"/>
      <c r="E253" s="34"/>
      <c r="F253" s="34"/>
      <c r="G253" s="34"/>
      <c r="H253" s="34"/>
      <c r="I253" s="6"/>
      <c r="J253" s="2"/>
      <c r="K253" s="2"/>
      <c r="L253" s="6"/>
      <c r="M253" s="6"/>
      <c r="N253" s="6"/>
      <c r="O253" s="34"/>
      <c r="P253" s="34"/>
      <c r="Q253" s="2"/>
      <c r="R253" s="34"/>
      <c r="S253" s="34"/>
      <c r="T253" s="34"/>
      <c r="U253" s="2"/>
      <c r="V253" s="2"/>
      <c r="W253" s="2"/>
      <c r="X253" s="34"/>
    </row>
    <row x14ac:dyDescent="0.25" r="254" customHeight="1" ht="15.75">
      <c r="A254" s="1"/>
      <c r="B254" s="34"/>
      <c r="C254" s="2"/>
      <c r="D254" s="34"/>
      <c r="E254" s="34"/>
      <c r="F254" s="34"/>
      <c r="G254" s="34"/>
      <c r="H254" s="34"/>
      <c r="I254" s="6"/>
      <c r="J254" s="2"/>
      <c r="K254" s="2"/>
      <c r="L254" s="6"/>
      <c r="M254" s="6"/>
      <c r="N254" s="6"/>
      <c r="O254" s="34"/>
      <c r="P254" s="34"/>
      <c r="Q254" s="2"/>
      <c r="R254" s="34"/>
      <c r="S254" s="34"/>
      <c r="T254" s="34"/>
      <c r="U254" s="2"/>
      <c r="V254" s="2"/>
      <c r="W254" s="2"/>
      <c r="X254" s="34"/>
    </row>
    <row x14ac:dyDescent="0.25" r="255" customHeight="1" ht="15.75">
      <c r="A255" s="1"/>
      <c r="B255" s="34"/>
      <c r="C255" s="2"/>
      <c r="D255" s="34"/>
      <c r="E255" s="34"/>
      <c r="F255" s="34"/>
      <c r="G255" s="34"/>
      <c r="H255" s="34"/>
      <c r="I255" s="6"/>
      <c r="J255" s="2"/>
      <c r="K255" s="2"/>
      <c r="L255" s="6"/>
      <c r="M255" s="6"/>
      <c r="N255" s="6"/>
      <c r="O255" s="34"/>
      <c r="P255" s="34"/>
      <c r="Q255" s="2"/>
      <c r="R255" s="34"/>
      <c r="S255" s="34"/>
      <c r="T255" s="34"/>
      <c r="U255" s="2"/>
      <c r="V255" s="2"/>
      <c r="W255" s="2"/>
      <c r="X255" s="34"/>
    </row>
    <row x14ac:dyDescent="0.25" r="256" customHeight="1" ht="15.75">
      <c r="A256" s="1"/>
      <c r="B256" s="34"/>
      <c r="C256" s="2"/>
      <c r="D256" s="34"/>
      <c r="E256" s="34"/>
      <c r="F256" s="34"/>
      <c r="G256" s="34"/>
      <c r="H256" s="34"/>
      <c r="I256" s="6"/>
      <c r="J256" s="2"/>
      <c r="K256" s="2"/>
      <c r="L256" s="6"/>
      <c r="M256" s="6"/>
      <c r="N256" s="6"/>
      <c r="O256" s="34"/>
      <c r="P256" s="34"/>
      <c r="Q256" s="2"/>
      <c r="R256" s="34"/>
      <c r="S256" s="34"/>
      <c r="T256" s="34"/>
      <c r="U256" s="2"/>
      <c r="V256" s="2"/>
      <c r="W256" s="2"/>
      <c r="X256" s="34"/>
    </row>
    <row x14ac:dyDescent="0.25" r="257" customHeight="1" ht="15.75">
      <c r="A257" s="1"/>
      <c r="B257" s="34"/>
      <c r="C257" s="2"/>
      <c r="D257" s="34"/>
      <c r="E257" s="34"/>
      <c r="F257" s="34"/>
      <c r="G257" s="34"/>
      <c r="H257" s="34"/>
      <c r="I257" s="6"/>
      <c r="J257" s="2"/>
      <c r="K257" s="2"/>
      <c r="L257" s="6"/>
      <c r="M257" s="6"/>
      <c r="N257" s="6"/>
      <c r="O257" s="34"/>
      <c r="P257" s="34"/>
      <c r="Q257" s="2"/>
      <c r="R257" s="34"/>
      <c r="S257" s="34"/>
      <c r="T257" s="34"/>
      <c r="U257" s="2"/>
      <c r="V257" s="2"/>
      <c r="W257" s="2"/>
      <c r="X257" s="34"/>
    </row>
    <row x14ac:dyDescent="0.25" r="258" customHeight="1" ht="15.75">
      <c r="A258" s="1"/>
      <c r="B258" s="34"/>
      <c r="C258" s="2"/>
      <c r="D258" s="34"/>
      <c r="E258" s="34"/>
      <c r="F258" s="34"/>
      <c r="G258" s="34"/>
      <c r="H258" s="34"/>
      <c r="I258" s="6"/>
      <c r="J258" s="2"/>
      <c r="K258" s="2"/>
      <c r="L258" s="6"/>
      <c r="M258" s="6"/>
      <c r="N258" s="6"/>
      <c r="O258" s="34"/>
      <c r="P258" s="34"/>
      <c r="Q258" s="2"/>
      <c r="R258" s="34"/>
      <c r="S258" s="34"/>
      <c r="T258" s="34"/>
      <c r="U258" s="2"/>
      <c r="V258" s="2"/>
      <c r="W258" s="2"/>
      <c r="X258" s="34"/>
    </row>
    <row x14ac:dyDescent="0.25" r="259" customHeight="1" ht="15.75">
      <c r="A259" s="1"/>
      <c r="B259" s="34"/>
      <c r="C259" s="2"/>
      <c r="D259" s="34"/>
      <c r="E259" s="34"/>
      <c r="F259" s="34"/>
      <c r="G259" s="34"/>
      <c r="H259" s="34"/>
      <c r="I259" s="6"/>
      <c r="J259" s="2"/>
      <c r="K259" s="2"/>
      <c r="L259" s="6"/>
      <c r="M259" s="6"/>
      <c r="N259" s="6"/>
      <c r="O259" s="34"/>
      <c r="P259" s="34"/>
      <c r="Q259" s="2"/>
      <c r="R259" s="34"/>
      <c r="S259" s="34"/>
      <c r="T259" s="34"/>
      <c r="U259" s="2"/>
      <c r="V259" s="2"/>
      <c r="W259" s="2"/>
      <c r="X259" s="34"/>
    </row>
    <row x14ac:dyDescent="0.25" r="260" customHeight="1" ht="15.75">
      <c r="A260" s="1"/>
      <c r="B260" s="34"/>
      <c r="C260" s="2"/>
      <c r="D260" s="34"/>
      <c r="E260" s="34"/>
      <c r="F260" s="34"/>
      <c r="G260" s="34"/>
      <c r="H260" s="34"/>
      <c r="I260" s="6"/>
      <c r="J260" s="2"/>
      <c r="K260" s="2"/>
      <c r="L260" s="6"/>
      <c r="M260" s="6"/>
      <c r="N260" s="6"/>
      <c r="O260" s="34"/>
      <c r="P260" s="34"/>
      <c r="Q260" s="2"/>
      <c r="R260" s="34"/>
      <c r="S260" s="34"/>
      <c r="T260" s="34"/>
      <c r="U260" s="2"/>
      <c r="V260" s="2"/>
      <c r="W260" s="2"/>
      <c r="X260" s="34"/>
    </row>
    <row x14ac:dyDescent="0.25" r="261" customHeight="1" ht="15.75">
      <c r="A261" s="1"/>
      <c r="B261" s="34"/>
      <c r="C261" s="2"/>
      <c r="D261" s="34"/>
      <c r="E261" s="34"/>
      <c r="F261" s="34"/>
      <c r="G261" s="34"/>
      <c r="H261" s="34"/>
      <c r="I261" s="6"/>
      <c r="J261" s="2"/>
      <c r="K261" s="2"/>
      <c r="L261" s="6"/>
      <c r="M261" s="6"/>
      <c r="N261" s="6"/>
      <c r="O261" s="34"/>
      <c r="P261" s="34"/>
      <c r="Q261" s="2"/>
      <c r="R261" s="34"/>
      <c r="S261" s="34"/>
      <c r="T261" s="34"/>
      <c r="U261" s="2"/>
      <c r="V261" s="2"/>
      <c r="W261" s="2"/>
      <c r="X261" s="34"/>
    </row>
    <row x14ac:dyDescent="0.25" r="262" customHeight="1" ht="15.75">
      <c r="A262" s="1"/>
      <c r="B262" s="34"/>
      <c r="C262" s="2"/>
      <c r="D262" s="34"/>
      <c r="E262" s="34"/>
      <c r="F262" s="34"/>
      <c r="G262" s="34"/>
      <c r="H262" s="34"/>
      <c r="I262" s="6"/>
      <c r="J262" s="2"/>
      <c r="K262" s="2"/>
      <c r="L262" s="6"/>
      <c r="M262" s="6"/>
      <c r="N262" s="6"/>
      <c r="O262" s="34"/>
      <c r="P262" s="34"/>
      <c r="Q262" s="2"/>
      <c r="R262" s="34"/>
      <c r="S262" s="34"/>
      <c r="T262" s="34"/>
      <c r="U262" s="2"/>
      <c r="V262" s="2"/>
      <c r="W262" s="2"/>
      <c r="X262" s="34"/>
    </row>
    <row x14ac:dyDescent="0.25" r="263" customHeight="1" ht="15.75">
      <c r="A263" s="1"/>
      <c r="B263" s="34"/>
      <c r="C263" s="2"/>
      <c r="D263" s="34"/>
      <c r="E263" s="34"/>
      <c r="F263" s="34"/>
      <c r="G263" s="34"/>
      <c r="H263" s="34"/>
      <c r="I263" s="6"/>
      <c r="J263" s="2"/>
      <c r="K263" s="2"/>
      <c r="L263" s="6"/>
      <c r="M263" s="6"/>
      <c r="N263" s="6"/>
      <c r="O263" s="34"/>
      <c r="P263" s="34"/>
      <c r="Q263" s="2"/>
      <c r="R263" s="34"/>
      <c r="S263" s="34"/>
      <c r="T263" s="34"/>
      <c r="U263" s="2"/>
      <c r="V263" s="2"/>
      <c r="W263" s="2"/>
      <c r="X263" s="34"/>
    </row>
    <row x14ac:dyDescent="0.25" r="264" customHeight="1" ht="15.75">
      <c r="A264" s="1"/>
      <c r="B264" s="34"/>
      <c r="C264" s="2"/>
      <c r="D264" s="34"/>
      <c r="E264" s="34"/>
      <c r="F264" s="34"/>
      <c r="G264" s="34"/>
      <c r="H264" s="34"/>
      <c r="I264" s="6"/>
      <c r="J264" s="2"/>
      <c r="K264" s="2"/>
      <c r="L264" s="6"/>
      <c r="M264" s="6"/>
      <c r="N264" s="6"/>
      <c r="O264" s="34"/>
      <c r="P264" s="34"/>
      <c r="Q264" s="2"/>
      <c r="R264" s="34"/>
      <c r="S264" s="34"/>
      <c r="T264" s="34"/>
      <c r="U264" s="2"/>
      <c r="V264" s="2"/>
      <c r="W264" s="2"/>
      <c r="X264" s="34"/>
    </row>
    <row x14ac:dyDescent="0.25" r="265" customHeight="1" ht="15.75">
      <c r="A265" s="1"/>
      <c r="B265" s="34"/>
      <c r="C265" s="2"/>
      <c r="D265" s="34"/>
      <c r="E265" s="34"/>
      <c r="F265" s="34"/>
      <c r="G265" s="34"/>
      <c r="H265" s="34"/>
      <c r="I265" s="6"/>
      <c r="J265" s="2"/>
      <c r="K265" s="2"/>
      <c r="L265" s="6"/>
      <c r="M265" s="6"/>
      <c r="N265" s="6"/>
      <c r="O265" s="34"/>
      <c r="P265" s="34"/>
      <c r="Q265" s="2"/>
      <c r="R265" s="34"/>
      <c r="S265" s="34"/>
      <c r="T265" s="34"/>
      <c r="U265" s="2"/>
      <c r="V265" s="2"/>
      <c r="W265" s="2"/>
      <c r="X265" s="34"/>
    </row>
    <row x14ac:dyDescent="0.25" r="266" customHeight="1" ht="15.75">
      <c r="A266" s="1"/>
      <c r="B266" s="34"/>
      <c r="C266" s="2"/>
      <c r="D266" s="34"/>
      <c r="E266" s="34"/>
      <c r="F266" s="34"/>
      <c r="G266" s="34"/>
      <c r="H266" s="34"/>
      <c r="I266" s="6"/>
      <c r="J266" s="2"/>
      <c r="K266" s="2"/>
      <c r="L266" s="6"/>
      <c r="M266" s="6"/>
      <c r="N266" s="6"/>
      <c r="O266" s="34"/>
      <c r="P266" s="34"/>
      <c r="Q266" s="2"/>
      <c r="R266" s="34"/>
      <c r="S266" s="34"/>
      <c r="T266" s="34"/>
      <c r="U266" s="2"/>
      <c r="V266" s="2"/>
      <c r="W266" s="2"/>
      <c r="X266" s="34"/>
    </row>
    <row x14ac:dyDescent="0.25" r="267" customHeight="1" ht="15.75">
      <c r="A267" s="1"/>
      <c r="B267" s="34"/>
      <c r="C267" s="2"/>
      <c r="D267" s="34"/>
      <c r="E267" s="34"/>
      <c r="F267" s="34"/>
      <c r="G267" s="34"/>
      <c r="H267" s="34"/>
      <c r="I267" s="6"/>
      <c r="J267" s="2"/>
      <c r="K267" s="2"/>
      <c r="L267" s="6"/>
      <c r="M267" s="6"/>
      <c r="N267" s="6"/>
      <c r="O267" s="34"/>
      <c r="P267" s="34"/>
      <c r="Q267" s="2"/>
      <c r="R267" s="34"/>
      <c r="S267" s="34"/>
      <c r="T267" s="34"/>
      <c r="U267" s="2"/>
      <c r="V267" s="2"/>
      <c r="W267" s="2"/>
      <c r="X267" s="34"/>
    </row>
    <row x14ac:dyDescent="0.25" r="268" customHeight="1" ht="15.75">
      <c r="A268" s="1"/>
      <c r="B268" s="34"/>
      <c r="C268" s="2"/>
      <c r="D268" s="34"/>
      <c r="E268" s="34"/>
      <c r="F268" s="34"/>
      <c r="G268" s="34"/>
      <c r="H268" s="34"/>
      <c r="I268" s="6"/>
      <c r="J268" s="2"/>
      <c r="K268" s="2"/>
      <c r="L268" s="6"/>
      <c r="M268" s="6"/>
      <c r="N268" s="6"/>
      <c r="O268" s="34"/>
      <c r="P268" s="34"/>
      <c r="Q268" s="2"/>
      <c r="R268" s="34"/>
      <c r="S268" s="34"/>
      <c r="T268" s="34"/>
      <c r="U268" s="2"/>
      <c r="V268" s="2"/>
      <c r="W268" s="2"/>
      <c r="X268" s="34"/>
    </row>
    <row x14ac:dyDescent="0.25" r="269" customHeight="1" ht="15.75">
      <c r="A269" s="1"/>
      <c r="B269" s="34"/>
      <c r="C269" s="2"/>
      <c r="D269" s="34"/>
      <c r="E269" s="34"/>
      <c r="F269" s="34"/>
      <c r="G269" s="34"/>
      <c r="H269" s="34"/>
      <c r="I269" s="6"/>
      <c r="J269" s="2"/>
      <c r="K269" s="2"/>
      <c r="L269" s="6"/>
      <c r="M269" s="6"/>
      <c r="N269" s="6"/>
      <c r="O269" s="34"/>
      <c r="P269" s="34"/>
      <c r="Q269" s="2"/>
      <c r="R269" s="34"/>
      <c r="S269" s="34"/>
      <c r="T269" s="34"/>
      <c r="U269" s="2"/>
      <c r="V269" s="2"/>
      <c r="W269" s="2"/>
      <c r="X269" s="34"/>
    </row>
    <row x14ac:dyDescent="0.25" r="270" customHeight="1" ht="15.75">
      <c r="A270" s="1"/>
      <c r="B270" s="34"/>
      <c r="C270" s="2"/>
      <c r="D270" s="34"/>
      <c r="E270" s="34"/>
      <c r="F270" s="34"/>
      <c r="G270" s="34"/>
      <c r="H270" s="34"/>
      <c r="I270" s="6"/>
      <c r="J270" s="2"/>
      <c r="K270" s="2"/>
      <c r="L270" s="6"/>
      <c r="M270" s="6"/>
      <c r="N270" s="6"/>
      <c r="O270" s="34"/>
      <c r="P270" s="34"/>
      <c r="Q270" s="2"/>
      <c r="R270" s="34"/>
      <c r="S270" s="34"/>
      <c r="T270" s="34"/>
      <c r="U270" s="2"/>
      <c r="V270" s="2"/>
      <c r="W270" s="2"/>
      <c r="X270" s="34"/>
    </row>
    <row x14ac:dyDescent="0.25" r="271" customHeight="1" ht="15.75">
      <c r="A271" s="1"/>
      <c r="B271" s="34"/>
      <c r="C271" s="2"/>
      <c r="D271" s="34"/>
      <c r="E271" s="34"/>
      <c r="F271" s="34"/>
      <c r="G271" s="34"/>
      <c r="H271" s="34"/>
      <c r="I271" s="6"/>
      <c r="J271" s="2"/>
      <c r="K271" s="2"/>
      <c r="L271" s="6"/>
      <c r="M271" s="6"/>
      <c r="N271" s="6"/>
      <c r="O271" s="34"/>
      <c r="P271" s="34"/>
      <c r="Q271" s="2"/>
      <c r="R271" s="34"/>
      <c r="S271" s="34"/>
      <c r="T271" s="34"/>
      <c r="U271" s="2"/>
      <c r="V271" s="2"/>
      <c r="W271" s="2"/>
      <c r="X271" s="34"/>
    </row>
    <row x14ac:dyDescent="0.25" r="272" customHeight="1" ht="15.75">
      <c r="A272" s="1"/>
      <c r="B272" s="34"/>
      <c r="C272" s="2"/>
      <c r="D272" s="34"/>
      <c r="E272" s="34"/>
      <c r="F272" s="34"/>
      <c r="G272" s="34"/>
      <c r="H272" s="34"/>
      <c r="I272" s="6"/>
      <c r="J272" s="2"/>
      <c r="K272" s="2"/>
      <c r="L272" s="6"/>
      <c r="M272" s="6"/>
      <c r="N272" s="6"/>
      <c r="O272" s="34"/>
      <c r="P272" s="34"/>
      <c r="Q272" s="2"/>
      <c r="R272" s="34"/>
      <c r="S272" s="34"/>
      <c r="T272" s="34"/>
      <c r="U272" s="2"/>
      <c r="V272" s="2"/>
      <c r="W272" s="2"/>
      <c r="X272" s="34"/>
    </row>
    <row x14ac:dyDescent="0.25" r="273" customHeight="1" ht="15.75">
      <c r="A273" s="1"/>
      <c r="B273" s="34"/>
      <c r="C273" s="2"/>
      <c r="D273" s="34"/>
      <c r="E273" s="34"/>
      <c r="F273" s="34"/>
      <c r="G273" s="34"/>
      <c r="H273" s="34"/>
      <c r="I273" s="6"/>
      <c r="J273" s="2"/>
      <c r="K273" s="2"/>
      <c r="L273" s="6"/>
      <c r="M273" s="6"/>
      <c r="N273" s="6"/>
      <c r="O273" s="34"/>
      <c r="P273" s="34"/>
      <c r="Q273" s="2"/>
      <c r="R273" s="34"/>
      <c r="S273" s="34"/>
      <c r="T273" s="34"/>
      <c r="U273" s="2"/>
      <c r="V273" s="2"/>
      <c r="W273" s="2"/>
      <c r="X273" s="34"/>
    </row>
    <row x14ac:dyDescent="0.25" r="274" customHeight="1" ht="15.75">
      <c r="A274" s="1"/>
      <c r="B274" s="34"/>
      <c r="C274" s="2"/>
      <c r="D274" s="34"/>
      <c r="E274" s="34"/>
      <c r="F274" s="34"/>
      <c r="G274" s="34"/>
      <c r="H274" s="34"/>
      <c r="I274" s="6"/>
      <c r="J274" s="2"/>
      <c r="K274" s="2"/>
      <c r="L274" s="6"/>
      <c r="M274" s="6"/>
      <c r="N274" s="6"/>
      <c r="O274" s="34"/>
      <c r="P274" s="34"/>
      <c r="Q274" s="2"/>
      <c r="R274" s="34"/>
      <c r="S274" s="34"/>
      <c r="T274" s="34"/>
      <c r="U274" s="2"/>
      <c r="V274" s="2"/>
      <c r="W274" s="2"/>
      <c r="X274" s="34"/>
    </row>
    <row x14ac:dyDescent="0.25" r="275" customHeight="1" ht="15.75">
      <c r="A275" s="1"/>
      <c r="B275" s="34"/>
      <c r="C275" s="2"/>
      <c r="D275" s="34"/>
      <c r="E275" s="34"/>
      <c r="F275" s="34"/>
      <c r="G275" s="34"/>
      <c r="H275" s="34"/>
      <c r="I275" s="6"/>
      <c r="J275" s="2"/>
      <c r="K275" s="2"/>
      <c r="L275" s="6"/>
      <c r="M275" s="6"/>
      <c r="N275" s="6"/>
      <c r="O275" s="34"/>
      <c r="P275" s="34"/>
      <c r="Q275" s="2"/>
      <c r="R275" s="34"/>
      <c r="S275" s="34"/>
      <c r="T275" s="34"/>
      <c r="U275" s="2"/>
      <c r="V275" s="2"/>
      <c r="W275" s="2"/>
      <c r="X275" s="34"/>
    </row>
    <row x14ac:dyDescent="0.25" r="276" customHeight="1" ht="15.75">
      <c r="A276" s="1"/>
      <c r="B276" s="34"/>
      <c r="C276" s="2"/>
      <c r="D276" s="34"/>
      <c r="E276" s="34"/>
      <c r="F276" s="34"/>
      <c r="G276" s="34"/>
      <c r="H276" s="34"/>
      <c r="I276" s="6"/>
      <c r="J276" s="2"/>
      <c r="K276" s="2"/>
      <c r="L276" s="6"/>
      <c r="M276" s="6"/>
      <c r="N276" s="6"/>
      <c r="O276" s="34"/>
      <c r="P276" s="34"/>
      <c r="Q276" s="2"/>
      <c r="R276" s="34"/>
      <c r="S276" s="34"/>
      <c r="T276" s="34"/>
      <c r="U276" s="2"/>
      <c r="V276" s="2"/>
      <c r="W276" s="2"/>
      <c r="X276" s="34"/>
    </row>
    <row x14ac:dyDescent="0.25" r="277" customHeight="1" ht="15.75">
      <c r="A277" s="1"/>
      <c r="B277" s="34"/>
      <c r="C277" s="2"/>
      <c r="D277" s="34"/>
      <c r="E277" s="34"/>
      <c r="F277" s="34"/>
      <c r="G277" s="34"/>
      <c r="H277" s="34"/>
      <c r="I277" s="6"/>
      <c r="J277" s="2"/>
      <c r="K277" s="2"/>
      <c r="L277" s="6"/>
      <c r="M277" s="6"/>
      <c r="N277" s="6"/>
      <c r="O277" s="34"/>
      <c r="P277" s="34"/>
      <c r="Q277" s="2"/>
      <c r="R277" s="34"/>
      <c r="S277" s="34"/>
      <c r="T277" s="34"/>
      <c r="U277" s="2"/>
      <c r="V277" s="2"/>
      <c r="W277" s="2"/>
      <c r="X277" s="34"/>
    </row>
    <row x14ac:dyDescent="0.25" r="278" customHeight="1" ht="15.75">
      <c r="A278" s="1"/>
      <c r="B278" s="34"/>
      <c r="C278" s="2"/>
      <c r="D278" s="34"/>
      <c r="E278" s="34"/>
      <c r="F278" s="34"/>
      <c r="G278" s="34"/>
      <c r="H278" s="34"/>
      <c r="I278" s="6"/>
      <c r="J278" s="2"/>
      <c r="K278" s="2"/>
      <c r="L278" s="6"/>
      <c r="M278" s="6"/>
      <c r="N278" s="6"/>
      <c r="O278" s="34"/>
      <c r="P278" s="34"/>
      <c r="Q278" s="2"/>
      <c r="R278" s="34"/>
      <c r="S278" s="34"/>
      <c r="T278" s="34"/>
      <c r="U278" s="2"/>
      <c r="V278" s="2"/>
      <c r="W278" s="2"/>
      <c r="X278" s="34"/>
    </row>
    <row x14ac:dyDescent="0.25" r="279" customHeight="1" ht="15.75">
      <c r="A279" s="1"/>
      <c r="B279" s="34"/>
      <c r="C279" s="2"/>
      <c r="D279" s="34"/>
      <c r="E279" s="34"/>
      <c r="F279" s="34"/>
      <c r="G279" s="34"/>
      <c r="H279" s="34"/>
      <c r="I279" s="6"/>
      <c r="J279" s="2"/>
      <c r="K279" s="2"/>
      <c r="L279" s="6"/>
      <c r="M279" s="6"/>
      <c r="N279" s="6"/>
      <c r="O279" s="34"/>
      <c r="P279" s="34"/>
      <c r="Q279" s="2"/>
      <c r="R279" s="34"/>
      <c r="S279" s="34"/>
      <c r="T279" s="34"/>
      <c r="U279" s="2"/>
      <c r="V279" s="2"/>
      <c r="W279" s="2"/>
      <c r="X279" s="34"/>
    </row>
    <row x14ac:dyDescent="0.25" r="280" customHeight="1" ht="15.75">
      <c r="A280" s="1"/>
      <c r="B280" s="34"/>
      <c r="C280" s="2"/>
      <c r="D280" s="34"/>
      <c r="E280" s="34"/>
      <c r="F280" s="34"/>
      <c r="G280" s="34"/>
      <c r="H280" s="34"/>
      <c r="I280" s="6"/>
      <c r="J280" s="2"/>
      <c r="K280" s="2"/>
      <c r="L280" s="6"/>
      <c r="M280" s="6"/>
      <c r="N280" s="6"/>
      <c r="O280" s="34"/>
      <c r="P280" s="34"/>
      <c r="Q280" s="2"/>
      <c r="R280" s="34"/>
      <c r="S280" s="34"/>
      <c r="T280" s="34"/>
      <c r="U280" s="2"/>
      <c r="V280" s="2"/>
      <c r="W280" s="2"/>
      <c r="X280" s="34"/>
    </row>
    <row x14ac:dyDescent="0.25" r="281" customHeight="1" ht="15.75">
      <c r="A281" s="1"/>
      <c r="B281" s="34"/>
      <c r="C281" s="2"/>
      <c r="D281" s="34"/>
      <c r="E281" s="34"/>
      <c r="F281" s="34"/>
      <c r="G281" s="34"/>
      <c r="H281" s="34"/>
      <c r="I281" s="6"/>
      <c r="J281" s="2"/>
      <c r="K281" s="2"/>
      <c r="L281" s="6"/>
      <c r="M281" s="6"/>
      <c r="N281" s="6"/>
      <c r="O281" s="34"/>
      <c r="P281" s="34"/>
      <c r="Q281" s="2"/>
      <c r="R281" s="34"/>
      <c r="S281" s="34"/>
      <c r="T281" s="34"/>
      <c r="U281" s="2"/>
      <c r="V281" s="2"/>
      <c r="W281" s="2"/>
      <c r="X281" s="34"/>
    </row>
    <row x14ac:dyDescent="0.25" r="282" customHeight="1" ht="15.75">
      <c r="A282" s="1"/>
      <c r="B282" s="34"/>
      <c r="C282" s="2"/>
      <c r="D282" s="34"/>
      <c r="E282" s="34"/>
      <c r="F282" s="34"/>
      <c r="G282" s="34"/>
      <c r="H282" s="34"/>
      <c r="I282" s="6"/>
      <c r="J282" s="2"/>
      <c r="K282" s="2"/>
      <c r="L282" s="6"/>
      <c r="M282" s="6"/>
      <c r="N282" s="6"/>
      <c r="O282" s="34"/>
      <c r="P282" s="34"/>
      <c r="Q282" s="2"/>
      <c r="R282" s="34"/>
      <c r="S282" s="34"/>
      <c r="T282" s="34"/>
      <c r="U282" s="2"/>
      <c r="V282" s="2"/>
      <c r="W282" s="2"/>
      <c r="X282" s="34"/>
    </row>
    <row x14ac:dyDescent="0.25" r="283" customHeight="1" ht="15.75">
      <c r="A283" s="1"/>
      <c r="B283" s="34"/>
      <c r="C283" s="2"/>
      <c r="D283" s="34"/>
      <c r="E283" s="34"/>
      <c r="F283" s="34"/>
      <c r="G283" s="34"/>
      <c r="H283" s="34"/>
      <c r="I283" s="6"/>
      <c r="J283" s="2"/>
      <c r="K283" s="2"/>
      <c r="L283" s="6"/>
      <c r="M283" s="6"/>
      <c r="N283" s="6"/>
      <c r="O283" s="34"/>
      <c r="P283" s="34"/>
      <c r="Q283" s="2"/>
      <c r="R283" s="34"/>
      <c r="S283" s="34"/>
      <c r="T283" s="34"/>
      <c r="U283" s="2"/>
      <c r="V283" s="2"/>
      <c r="W283" s="2"/>
      <c r="X283" s="34"/>
    </row>
    <row x14ac:dyDescent="0.25" r="284" customHeight="1" ht="15.75">
      <c r="A284" s="1"/>
      <c r="B284" s="34"/>
      <c r="C284" s="2"/>
      <c r="D284" s="34"/>
      <c r="E284" s="34"/>
      <c r="F284" s="34"/>
      <c r="G284" s="34"/>
      <c r="H284" s="34"/>
      <c r="I284" s="6"/>
      <c r="J284" s="2"/>
      <c r="K284" s="2"/>
      <c r="L284" s="6"/>
      <c r="M284" s="6"/>
      <c r="N284" s="6"/>
      <c r="O284" s="34"/>
      <c r="P284" s="34"/>
      <c r="Q284" s="2"/>
      <c r="R284" s="34"/>
      <c r="S284" s="34"/>
      <c r="T284" s="34"/>
      <c r="U284" s="2"/>
      <c r="V284" s="2"/>
      <c r="W284" s="2"/>
      <c r="X284" s="34"/>
    </row>
    <row x14ac:dyDescent="0.25" r="285" customHeight="1" ht="15.75">
      <c r="A285" s="1"/>
      <c r="B285" s="34"/>
      <c r="C285" s="2"/>
      <c r="D285" s="34"/>
      <c r="E285" s="34"/>
      <c r="F285" s="34"/>
      <c r="G285" s="34"/>
      <c r="H285" s="34"/>
      <c r="I285" s="6"/>
      <c r="J285" s="2"/>
      <c r="K285" s="2"/>
      <c r="L285" s="6"/>
      <c r="M285" s="6"/>
      <c r="N285" s="6"/>
      <c r="O285" s="34"/>
      <c r="P285" s="34"/>
      <c r="Q285" s="2"/>
      <c r="R285" s="34"/>
      <c r="S285" s="34"/>
      <c r="T285" s="34"/>
      <c r="U285" s="2"/>
      <c r="V285" s="2"/>
      <c r="W285" s="2"/>
      <c r="X285" s="34"/>
    </row>
    <row x14ac:dyDescent="0.25" r="286" customHeight="1" ht="15.75">
      <c r="A286" s="1"/>
      <c r="B286" s="34"/>
      <c r="C286" s="2"/>
      <c r="D286" s="34"/>
      <c r="E286" s="34"/>
      <c r="F286" s="34"/>
      <c r="G286" s="34"/>
      <c r="H286" s="34"/>
      <c r="I286" s="6"/>
      <c r="J286" s="2"/>
      <c r="K286" s="2"/>
      <c r="L286" s="6"/>
      <c r="M286" s="6"/>
      <c r="N286" s="6"/>
      <c r="O286" s="34"/>
      <c r="P286" s="34"/>
      <c r="Q286" s="2"/>
      <c r="R286" s="34"/>
      <c r="S286" s="34"/>
      <c r="T286" s="34"/>
      <c r="U286" s="2"/>
      <c r="V286" s="2"/>
      <c r="W286" s="2"/>
      <c r="X286" s="34"/>
    </row>
    <row x14ac:dyDescent="0.25" r="287" customHeight="1" ht="15.75">
      <c r="A287" s="1"/>
      <c r="B287" s="34"/>
      <c r="C287" s="2"/>
      <c r="D287" s="34"/>
      <c r="E287" s="34"/>
      <c r="F287" s="34"/>
      <c r="G287" s="34"/>
      <c r="H287" s="34"/>
      <c r="I287" s="6"/>
      <c r="J287" s="2"/>
      <c r="K287" s="2"/>
      <c r="L287" s="6"/>
      <c r="M287" s="6"/>
      <c r="N287" s="6"/>
      <c r="O287" s="34"/>
      <c r="P287" s="34"/>
      <c r="Q287" s="2"/>
      <c r="R287" s="34"/>
      <c r="S287" s="34"/>
      <c r="T287" s="34"/>
      <c r="U287" s="2"/>
      <c r="V287" s="2"/>
      <c r="W287" s="2"/>
      <c r="X287" s="34"/>
    </row>
    <row x14ac:dyDescent="0.25" r="288" customHeight="1" ht="15.75">
      <c r="A288" s="1"/>
      <c r="B288" s="34"/>
      <c r="C288" s="2"/>
      <c r="D288" s="34"/>
      <c r="E288" s="34"/>
      <c r="F288" s="34"/>
      <c r="G288" s="34"/>
      <c r="H288" s="34"/>
      <c r="I288" s="6"/>
      <c r="J288" s="2"/>
      <c r="K288" s="2"/>
      <c r="L288" s="6"/>
      <c r="M288" s="6"/>
      <c r="N288" s="6"/>
      <c r="O288" s="34"/>
      <c r="P288" s="34"/>
      <c r="Q288" s="2"/>
      <c r="R288" s="34"/>
      <c r="S288" s="34"/>
      <c r="T288" s="34"/>
      <c r="U288" s="2"/>
      <c r="V288" s="2"/>
      <c r="W288" s="2"/>
      <c r="X288" s="34"/>
    </row>
    <row x14ac:dyDescent="0.25" r="289" customHeight="1" ht="15.75">
      <c r="A289" s="1"/>
      <c r="B289" s="34"/>
      <c r="C289" s="2"/>
      <c r="D289" s="34"/>
      <c r="E289" s="34"/>
      <c r="F289" s="34"/>
      <c r="G289" s="34"/>
      <c r="H289" s="34"/>
      <c r="I289" s="6"/>
      <c r="J289" s="2"/>
      <c r="K289" s="2"/>
      <c r="L289" s="6"/>
      <c r="M289" s="6"/>
      <c r="N289" s="6"/>
      <c r="O289" s="34"/>
      <c r="P289" s="34"/>
      <c r="Q289" s="2"/>
      <c r="R289" s="34"/>
      <c r="S289" s="34"/>
      <c r="T289" s="34"/>
      <c r="U289" s="2"/>
      <c r="V289" s="2"/>
      <c r="W289" s="2"/>
      <c r="X289" s="34"/>
    </row>
    <row x14ac:dyDescent="0.25" r="290" customHeight="1" ht="15.75">
      <c r="A290" s="1"/>
      <c r="B290" s="34"/>
      <c r="C290" s="2"/>
      <c r="D290" s="34"/>
      <c r="E290" s="34"/>
      <c r="F290" s="34"/>
      <c r="G290" s="34"/>
      <c r="H290" s="34"/>
      <c r="I290" s="6"/>
      <c r="J290" s="2"/>
      <c r="K290" s="2"/>
      <c r="L290" s="6"/>
      <c r="M290" s="6"/>
      <c r="N290" s="6"/>
      <c r="O290" s="34"/>
      <c r="P290" s="34"/>
      <c r="Q290" s="2"/>
      <c r="R290" s="34"/>
      <c r="S290" s="34"/>
      <c r="T290" s="34"/>
      <c r="U290" s="2"/>
      <c r="V290" s="2"/>
      <c r="W290" s="2"/>
      <c r="X290" s="34"/>
    </row>
    <row x14ac:dyDescent="0.25" r="291" customHeight="1" ht="15.75">
      <c r="A291" s="1"/>
      <c r="B291" s="34"/>
      <c r="C291" s="2"/>
      <c r="D291" s="34"/>
      <c r="E291" s="34"/>
      <c r="F291" s="34"/>
      <c r="G291" s="34"/>
      <c r="H291" s="34"/>
      <c r="I291" s="6"/>
      <c r="J291" s="2"/>
      <c r="K291" s="2"/>
      <c r="L291" s="6"/>
      <c r="M291" s="6"/>
      <c r="N291" s="6"/>
      <c r="O291" s="34"/>
      <c r="P291" s="34"/>
      <c r="Q291" s="2"/>
      <c r="R291" s="34"/>
      <c r="S291" s="34"/>
      <c r="T291" s="34"/>
      <c r="U291" s="2"/>
      <c r="V291" s="2"/>
      <c r="W291" s="2"/>
      <c r="X291" s="34"/>
    </row>
    <row x14ac:dyDescent="0.25" r="292" customHeight="1" ht="15.75">
      <c r="A292" s="1"/>
      <c r="B292" s="34"/>
      <c r="C292" s="2"/>
      <c r="D292" s="34"/>
      <c r="E292" s="34"/>
      <c r="F292" s="34"/>
      <c r="G292" s="34"/>
      <c r="H292" s="34"/>
      <c r="I292" s="6"/>
      <c r="J292" s="2"/>
      <c r="K292" s="2"/>
      <c r="L292" s="6"/>
      <c r="M292" s="6"/>
      <c r="N292" s="6"/>
      <c r="O292" s="34"/>
      <c r="P292" s="34"/>
      <c r="Q292" s="2"/>
      <c r="R292" s="34"/>
      <c r="S292" s="34"/>
      <c r="T292" s="34"/>
      <c r="U292" s="2"/>
      <c r="V292" s="2"/>
      <c r="W292" s="2"/>
      <c r="X292" s="34"/>
    </row>
    <row x14ac:dyDescent="0.25" r="293" customHeight="1" ht="15.75">
      <c r="A293" s="1"/>
      <c r="B293" s="34"/>
      <c r="C293" s="2"/>
      <c r="D293" s="34"/>
      <c r="E293" s="34"/>
      <c r="F293" s="34"/>
      <c r="G293" s="34"/>
      <c r="H293" s="34"/>
      <c r="I293" s="6"/>
      <c r="J293" s="2"/>
      <c r="K293" s="2"/>
      <c r="L293" s="6"/>
      <c r="M293" s="6"/>
      <c r="N293" s="6"/>
      <c r="O293" s="34"/>
      <c r="P293" s="34"/>
      <c r="Q293" s="2"/>
      <c r="R293" s="34"/>
      <c r="S293" s="34"/>
      <c r="T293" s="34"/>
      <c r="U293" s="2"/>
      <c r="V293" s="2"/>
      <c r="W293" s="2"/>
      <c r="X293" s="34"/>
    </row>
    <row x14ac:dyDescent="0.25" r="294" customHeight="1" ht="15.75">
      <c r="A294" s="1"/>
      <c r="B294" s="34"/>
      <c r="C294" s="2"/>
      <c r="D294" s="34"/>
      <c r="E294" s="34"/>
      <c r="F294" s="34"/>
      <c r="G294" s="34"/>
      <c r="H294" s="34"/>
      <c r="I294" s="6"/>
      <c r="J294" s="2"/>
      <c r="K294" s="2"/>
      <c r="L294" s="6"/>
      <c r="M294" s="6"/>
      <c r="N294" s="6"/>
      <c r="O294" s="34"/>
      <c r="P294" s="34"/>
      <c r="Q294" s="2"/>
      <c r="R294" s="34"/>
      <c r="S294" s="34"/>
      <c r="T294" s="34"/>
      <c r="U294" s="2"/>
      <c r="V294" s="2"/>
      <c r="W294" s="2"/>
      <c r="X294" s="34"/>
    </row>
    <row x14ac:dyDescent="0.25" r="295" customHeight="1" ht="15.75">
      <c r="A295" s="1"/>
      <c r="B295" s="34"/>
      <c r="C295" s="2"/>
      <c r="D295" s="34"/>
      <c r="E295" s="34"/>
      <c r="F295" s="34"/>
      <c r="G295" s="34"/>
      <c r="H295" s="34"/>
      <c r="I295" s="6"/>
      <c r="J295" s="2"/>
      <c r="K295" s="2"/>
      <c r="L295" s="6"/>
      <c r="M295" s="6"/>
      <c r="N295" s="6"/>
      <c r="O295" s="34"/>
      <c r="P295" s="34"/>
      <c r="Q295" s="2"/>
      <c r="R295" s="34"/>
      <c r="S295" s="34"/>
      <c r="T295" s="34"/>
      <c r="U295" s="2"/>
      <c r="V295" s="2"/>
      <c r="W295" s="2"/>
      <c r="X295" s="34"/>
    </row>
    <row x14ac:dyDescent="0.25" r="296" customHeight="1" ht="15.75">
      <c r="A296" s="1"/>
      <c r="B296" s="34"/>
      <c r="C296" s="2"/>
      <c r="D296" s="34"/>
      <c r="E296" s="34"/>
      <c r="F296" s="34"/>
      <c r="G296" s="34"/>
      <c r="H296" s="34"/>
      <c r="I296" s="6"/>
      <c r="J296" s="2"/>
      <c r="K296" s="2"/>
      <c r="L296" s="6"/>
      <c r="M296" s="6"/>
      <c r="N296" s="6"/>
      <c r="O296" s="34"/>
      <c r="P296" s="34"/>
      <c r="Q296" s="2"/>
      <c r="R296" s="34"/>
      <c r="S296" s="34"/>
      <c r="T296" s="34"/>
      <c r="U296" s="2"/>
      <c r="V296" s="2"/>
      <c r="W296" s="2"/>
      <c r="X296" s="34"/>
    </row>
    <row x14ac:dyDescent="0.25" r="297" customHeight="1" ht="15.75">
      <c r="A297" s="1"/>
      <c r="B297" s="34"/>
      <c r="C297" s="2"/>
      <c r="D297" s="34"/>
      <c r="E297" s="34"/>
      <c r="F297" s="34"/>
      <c r="G297" s="34"/>
      <c r="H297" s="34"/>
      <c r="I297" s="6"/>
      <c r="J297" s="2"/>
      <c r="K297" s="2"/>
      <c r="L297" s="6"/>
      <c r="M297" s="6"/>
      <c r="N297" s="6"/>
      <c r="O297" s="34"/>
      <c r="P297" s="34"/>
      <c r="Q297" s="2"/>
      <c r="R297" s="34"/>
      <c r="S297" s="34"/>
      <c r="T297" s="34"/>
      <c r="U297" s="2"/>
      <c r="V297" s="2"/>
      <c r="W297" s="2"/>
      <c r="X297" s="34"/>
    </row>
    <row x14ac:dyDescent="0.25" r="298" customHeight="1" ht="15.75">
      <c r="A298" s="1"/>
      <c r="B298" s="34"/>
      <c r="C298" s="2"/>
      <c r="D298" s="34"/>
      <c r="E298" s="34"/>
      <c r="F298" s="34"/>
      <c r="G298" s="34"/>
      <c r="H298" s="34"/>
      <c r="I298" s="6"/>
      <c r="J298" s="2"/>
      <c r="K298" s="2"/>
      <c r="L298" s="6"/>
      <c r="M298" s="6"/>
      <c r="N298" s="6"/>
      <c r="O298" s="34"/>
      <c r="P298" s="34"/>
      <c r="Q298" s="2"/>
      <c r="R298" s="34"/>
      <c r="S298" s="34"/>
      <c r="T298" s="34"/>
      <c r="U298" s="2"/>
      <c r="V298" s="2"/>
      <c r="W298" s="2"/>
      <c r="X298" s="34"/>
    </row>
    <row x14ac:dyDescent="0.25" r="299" customHeight="1" ht="15.75">
      <c r="A299" s="1"/>
      <c r="B299" s="34"/>
      <c r="C299" s="2"/>
      <c r="D299" s="34"/>
      <c r="E299" s="34"/>
      <c r="F299" s="34"/>
      <c r="G299" s="34"/>
      <c r="H299" s="34"/>
      <c r="I299" s="6"/>
      <c r="J299" s="2"/>
      <c r="K299" s="2"/>
      <c r="L299" s="6"/>
      <c r="M299" s="6"/>
      <c r="N299" s="6"/>
      <c r="O299" s="34"/>
      <c r="P299" s="34"/>
      <c r="Q299" s="2"/>
      <c r="R299" s="34"/>
      <c r="S299" s="34"/>
      <c r="T299" s="34"/>
      <c r="U299" s="2"/>
      <c r="V299" s="2"/>
      <c r="W299" s="2"/>
      <c r="X299" s="34"/>
    </row>
    <row x14ac:dyDescent="0.25" r="300" customHeight="1" ht="15.75">
      <c r="A300" s="1"/>
      <c r="B300" s="34"/>
      <c r="C300" s="2"/>
      <c r="D300" s="34"/>
      <c r="E300" s="34"/>
      <c r="F300" s="34"/>
      <c r="G300" s="34"/>
      <c r="H300" s="34"/>
      <c r="I300" s="6"/>
      <c r="J300" s="2"/>
      <c r="K300" s="2"/>
      <c r="L300" s="6"/>
      <c r="M300" s="6"/>
      <c r="N300" s="6"/>
      <c r="O300" s="34"/>
      <c r="P300" s="34"/>
      <c r="Q300" s="2"/>
      <c r="R300" s="34"/>
      <c r="S300" s="34"/>
      <c r="T300" s="34"/>
      <c r="U300" s="2"/>
      <c r="V300" s="2"/>
      <c r="W300" s="2"/>
      <c r="X300" s="34"/>
    </row>
    <row x14ac:dyDescent="0.25" r="301" customHeight="1" ht="15.75">
      <c r="A301" s="1"/>
      <c r="B301" s="34"/>
      <c r="C301" s="2"/>
      <c r="D301" s="34"/>
      <c r="E301" s="34"/>
      <c r="F301" s="34"/>
      <c r="G301" s="34"/>
      <c r="H301" s="34"/>
      <c r="I301" s="6"/>
      <c r="J301" s="2"/>
      <c r="K301" s="2"/>
      <c r="L301" s="6"/>
      <c r="M301" s="6"/>
      <c r="N301" s="6"/>
      <c r="O301" s="34"/>
      <c r="P301" s="34"/>
      <c r="Q301" s="2"/>
      <c r="R301" s="34"/>
      <c r="S301" s="34"/>
      <c r="T301" s="34"/>
      <c r="U301" s="2"/>
      <c r="V301" s="2"/>
      <c r="W301" s="2"/>
      <c r="X301" s="34"/>
    </row>
    <row x14ac:dyDescent="0.25" r="302" customHeight="1" ht="15.75">
      <c r="A302" s="1"/>
      <c r="B302" s="34"/>
      <c r="C302" s="2"/>
      <c r="D302" s="34"/>
      <c r="E302" s="34"/>
      <c r="F302" s="34"/>
      <c r="G302" s="34"/>
      <c r="H302" s="34"/>
      <c r="I302" s="6"/>
      <c r="J302" s="2"/>
      <c r="K302" s="2"/>
      <c r="L302" s="6"/>
      <c r="M302" s="6"/>
      <c r="N302" s="6"/>
      <c r="O302" s="34"/>
      <c r="P302" s="34"/>
      <c r="Q302" s="2"/>
      <c r="R302" s="34"/>
      <c r="S302" s="34"/>
      <c r="T302" s="34"/>
      <c r="U302" s="2"/>
      <c r="V302" s="2"/>
      <c r="W302" s="2"/>
      <c r="X302" s="34"/>
    </row>
    <row x14ac:dyDescent="0.25" r="303" customHeight="1" ht="15.75">
      <c r="A303" s="1"/>
      <c r="B303" s="34"/>
      <c r="C303" s="2"/>
      <c r="D303" s="34"/>
      <c r="E303" s="34"/>
      <c r="F303" s="34"/>
      <c r="G303" s="34"/>
      <c r="H303" s="34"/>
      <c r="I303" s="6"/>
      <c r="J303" s="2"/>
      <c r="K303" s="2"/>
      <c r="L303" s="6"/>
      <c r="M303" s="6"/>
      <c r="N303" s="6"/>
      <c r="O303" s="34"/>
      <c r="P303" s="34"/>
      <c r="Q303" s="2"/>
      <c r="R303" s="34"/>
      <c r="S303" s="34"/>
      <c r="T303" s="34"/>
      <c r="U303" s="2"/>
      <c r="V303" s="2"/>
      <c r="W303" s="2"/>
      <c r="X303" s="34"/>
    </row>
    <row x14ac:dyDescent="0.25" r="304" customHeight="1" ht="15.75">
      <c r="A304" s="1"/>
      <c r="B304" s="34"/>
      <c r="C304" s="2"/>
      <c r="D304" s="34"/>
      <c r="E304" s="34"/>
      <c r="F304" s="34"/>
      <c r="G304" s="34"/>
      <c r="H304" s="34"/>
      <c r="I304" s="6"/>
      <c r="J304" s="2"/>
      <c r="K304" s="2"/>
      <c r="L304" s="6"/>
      <c r="M304" s="6"/>
      <c r="N304" s="6"/>
      <c r="O304" s="34"/>
      <c r="P304" s="34"/>
      <c r="Q304" s="2"/>
      <c r="R304" s="34"/>
      <c r="S304" s="34"/>
      <c r="T304" s="34"/>
      <c r="U304" s="2"/>
      <c r="V304" s="2"/>
      <c r="W304" s="2"/>
      <c r="X304" s="34"/>
    </row>
    <row x14ac:dyDescent="0.25" r="305" customHeight="1" ht="15.75">
      <c r="A305" s="1"/>
      <c r="B305" s="34"/>
      <c r="C305" s="2"/>
      <c r="D305" s="34"/>
      <c r="E305" s="34"/>
      <c r="F305" s="34"/>
      <c r="G305" s="34"/>
      <c r="H305" s="34"/>
      <c r="I305" s="6"/>
      <c r="J305" s="2"/>
      <c r="K305" s="2"/>
      <c r="L305" s="6"/>
      <c r="M305" s="6"/>
      <c r="N305" s="6"/>
      <c r="O305" s="34"/>
      <c r="P305" s="34"/>
      <c r="Q305" s="2"/>
      <c r="R305" s="34"/>
      <c r="S305" s="34"/>
      <c r="T305" s="34"/>
      <c r="U305" s="2"/>
      <c r="V305" s="2"/>
      <c r="W305" s="2"/>
      <c r="X305" s="34"/>
    </row>
    <row x14ac:dyDescent="0.25" r="306" customHeight="1" ht="15.75">
      <c r="A306" s="1"/>
      <c r="B306" s="34"/>
      <c r="C306" s="2"/>
      <c r="D306" s="34"/>
      <c r="E306" s="34"/>
      <c r="F306" s="34"/>
      <c r="G306" s="34"/>
      <c r="H306" s="34"/>
      <c r="I306" s="6"/>
      <c r="J306" s="2"/>
      <c r="K306" s="2"/>
      <c r="L306" s="6"/>
      <c r="M306" s="6"/>
      <c r="N306" s="6"/>
      <c r="O306" s="34"/>
      <c r="P306" s="34"/>
      <c r="Q306" s="2"/>
      <c r="R306" s="34"/>
      <c r="S306" s="34"/>
      <c r="T306" s="34"/>
      <c r="U306" s="2"/>
      <c r="V306" s="2"/>
      <c r="W306" s="2"/>
      <c r="X306" s="34"/>
    </row>
    <row x14ac:dyDescent="0.25" r="307" customHeight="1" ht="15.75">
      <c r="A307" s="1"/>
      <c r="B307" s="34"/>
      <c r="C307" s="2"/>
      <c r="D307" s="34"/>
      <c r="E307" s="34"/>
      <c r="F307" s="34"/>
      <c r="G307" s="34"/>
      <c r="H307" s="34"/>
      <c r="I307" s="6"/>
      <c r="J307" s="2"/>
      <c r="K307" s="2"/>
      <c r="L307" s="6"/>
      <c r="M307" s="6"/>
      <c r="N307" s="6"/>
      <c r="O307" s="34"/>
      <c r="P307" s="34"/>
      <c r="Q307" s="2"/>
      <c r="R307" s="34"/>
      <c r="S307" s="34"/>
      <c r="T307" s="34"/>
      <c r="U307" s="2"/>
      <c r="V307" s="2"/>
      <c r="W307" s="2"/>
      <c r="X307" s="34"/>
    </row>
    <row x14ac:dyDescent="0.25" r="308" customHeight="1" ht="15.75">
      <c r="A308" s="1"/>
      <c r="B308" s="34"/>
      <c r="C308" s="2"/>
      <c r="D308" s="34"/>
      <c r="E308" s="34"/>
      <c r="F308" s="34"/>
      <c r="G308" s="34"/>
      <c r="H308" s="34"/>
      <c r="I308" s="6"/>
      <c r="J308" s="2"/>
      <c r="K308" s="2"/>
      <c r="L308" s="6"/>
      <c r="M308" s="6"/>
      <c r="N308" s="6"/>
      <c r="O308" s="34"/>
      <c r="P308" s="34"/>
      <c r="Q308" s="2"/>
      <c r="R308" s="34"/>
      <c r="S308" s="34"/>
      <c r="T308" s="34"/>
      <c r="U308" s="2"/>
      <c r="V308" s="2"/>
      <c r="W308" s="2"/>
      <c r="X308" s="34"/>
    </row>
    <row x14ac:dyDescent="0.25" r="309" customHeight="1" ht="15.75">
      <c r="A309" s="1"/>
      <c r="B309" s="34"/>
      <c r="C309" s="2"/>
      <c r="D309" s="34"/>
      <c r="E309" s="34"/>
      <c r="F309" s="34"/>
      <c r="G309" s="34"/>
      <c r="H309" s="34"/>
      <c r="I309" s="6"/>
      <c r="J309" s="2"/>
      <c r="K309" s="2"/>
      <c r="L309" s="6"/>
      <c r="M309" s="6"/>
      <c r="N309" s="6"/>
      <c r="O309" s="34"/>
      <c r="P309" s="34"/>
      <c r="Q309" s="2"/>
      <c r="R309" s="34"/>
      <c r="S309" s="34"/>
      <c r="T309" s="34"/>
      <c r="U309" s="2"/>
      <c r="V309" s="2"/>
      <c r="W309" s="2"/>
      <c r="X309" s="34"/>
    </row>
    <row x14ac:dyDescent="0.25" r="310" customHeight="1" ht="15.75">
      <c r="A310" s="1"/>
      <c r="B310" s="34"/>
      <c r="C310" s="2"/>
      <c r="D310" s="34"/>
      <c r="E310" s="34"/>
      <c r="F310" s="34"/>
      <c r="G310" s="34"/>
      <c r="H310" s="34"/>
      <c r="I310" s="6"/>
      <c r="J310" s="2"/>
      <c r="K310" s="2"/>
      <c r="L310" s="6"/>
      <c r="M310" s="6"/>
      <c r="N310" s="6"/>
      <c r="O310" s="34"/>
      <c r="P310" s="34"/>
      <c r="Q310" s="2"/>
      <c r="R310" s="34"/>
      <c r="S310" s="34"/>
      <c r="T310" s="34"/>
      <c r="U310" s="2"/>
      <c r="V310" s="2"/>
      <c r="W310" s="2"/>
      <c r="X310" s="34"/>
    </row>
    <row x14ac:dyDescent="0.25" r="311" customHeight="1" ht="15.75">
      <c r="A311" s="1"/>
      <c r="B311" s="34"/>
      <c r="C311" s="2"/>
      <c r="D311" s="34"/>
      <c r="E311" s="34"/>
      <c r="F311" s="34"/>
      <c r="G311" s="34"/>
      <c r="H311" s="34"/>
      <c r="I311" s="6"/>
      <c r="J311" s="2"/>
      <c r="K311" s="2"/>
      <c r="L311" s="6"/>
      <c r="M311" s="6"/>
      <c r="N311" s="6"/>
      <c r="O311" s="34"/>
      <c r="P311" s="34"/>
      <c r="Q311" s="2"/>
      <c r="R311" s="34"/>
      <c r="S311" s="34"/>
      <c r="T311" s="34"/>
      <c r="U311" s="2"/>
      <c r="V311" s="2"/>
      <c r="W311" s="2"/>
      <c r="X311" s="34"/>
    </row>
    <row x14ac:dyDescent="0.25" r="312" customHeight="1" ht="15.75">
      <c r="A312" s="1"/>
      <c r="B312" s="34"/>
      <c r="C312" s="2"/>
      <c r="D312" s="34"/>
      <c r="E312" s="34"/>
      <c r="F312" s="34"/>
      <c r="G312" s="34"/>
      <c r="H312" s="34"/>
      <c r="I312" s="6"/>
      <c r="J312" s="2"/>
      <c r="K312" s="2"/>
      <c r="L312" s="6"/>
      <c r="M312" s="6"/>
      <c r="N312" s="6"/>
      <c r="O312" s="34"/>
      <c r="P312" s="34"/>
      <c r="Q312" s="2"/>
      <c r="R312" s="34"/>
      <c r="S312" s="34"/>
      <c r="T312" s="34"/>
      <c r="U312" s="2"/>
      <c r="V312" s="2"/>
      <c r="W312" s="2"/>
      <c r="X312" s="34"/>
    </row>
    <row x14ac:dyDescent="0.25" r="313" customHeight="1" ht="15.75">
      <c r="A313" s="1"/>
      <c r="B313" s="34"/>
      <c r="C313" s="2"/>
      <c r="D313" s="34"/>
      <c r="E313" s="34"/>
      <c r="F313" s="34"/>
      <c r="G313" s="34"/>
      <c r="H313" s="34"/>
      <c r="I313" s="6"/>
      <c r="J313" s="2"/>
      <c r="K313" s="2"/>
      <c r="L313" s="6"/>
      <c r="M313" s="6"/>
      <c r="N313" s="6"/>
      <c r="O313" s="34"/>
      <c r="P313" s="34"/>
      <c r="Q313" s="2"/>
      <c r="R313" s="34"/>
      <c r="S313" s="34"/>
      <c r="T313" s="34"/>
      <c r="U313" s="2"/>
      <c r="V313" s="2"/>
      <c r="W313" s="2"/>
      <c r="X313" s="34"/>
    </row>
    <row x14ac:dyDescent="0.25" r="314" customHeight="1" ht="15.75">
      <c r="A314" s="1"/>
      <c r="B314" s="34"/>
      <c r="C314" s="2"/>
      <c r="D314" s="34"/>
      <c r="E314" s="34"/>
      <c r="F314" s="34"/>
      <c r="G314" s="34"/>
      <c r="H314" s="34"/>
      <c r="I314" s="6"/>
      <c r="J314" s="2"/>
      <c r="K314" s="2"/>
      <c r="L314" s="6"/>
      <c r="M314" s="6"/>
      <c r="N314" s="6"/>
      <c r="O314" s="34"/>
      <c r="P314" s="34"/>
      <c r="Q314" s="2"/>
      <c r="R314" s="34"/>
      <c r="S314" s="34"/>
      <c r="T314" s="34"/>
      <c r="U314" s="2"/>
      <c r="V314" s="2"/>
      <c r="W314" s="2"/>
      <c r="X314" s="34"/>
    </row>
    <row x14ac:dyDescent="0.25" r="315" customHeight="1" ht="15.75">
      <c r="A315" s="1"/>
      <c r="B315" s="34"/>
      <c r="C315" s="2"/>
      <c r="D315" s="34"/>
      <c r="E315" s="34"/>
      <c r="F315" s="34"/>
      <c r="G315" s="34"/>
      <c r="H315" s="34"/>
      <c r="I315" s="6"/>
      <c r="J315" s="2"/>
      <c r="K315" s="2"/>
      <c r="L315" s="6"/>
      <c r="M315" s="6"/>
      <c r="N315" s="6"/>
      <c r="O315" s="34"/>
      <c r="P315" s="34"/>
      <c r="Q315" s="2"/>
      <c r="R315" s="34"/>
      <c r="S315" s="34"/>
      <c r="T315" s="34"/>
      <c r="U315" s="2"/>
      <c r="V315" s="2"/>
      <c r="W315" s="2"/>
      <c r="X315" s="34"/>
    </row>
    <row x14ac:dyDescent="0.25" r="316" customHeight="1" ht="15.75">
      <c r="A316" s="1"/>
      <c r="B316" s="34"/>
      <c r="C316" s="2"/>
      <c r="D316" s="34"/>
      <c r="E316" s="34"/>
      <c r="F316" s="34"/>
      <c r="G316" s="34"/>
      <c r="H316" s="34"/>
      <c r="I316" s="6"/>
      <c r="J316" s="2"/>
      <c r="K316" s="2"/>
      <c r="L316" s="6"/>
      <c r="M316" s="6"/>
      <c r="N316" s="6"/>
      <c r="O316" s="34"/>
      <c r="P316" s="34"/>
      <c r="Q316" s="2"/>
      <c r="R316" s="34"/>
      <c r="S316" s="34"/>
      <c r="T316" s="34"/>
      <c r="U316" s="2"/>
      <c r="V316" s="2"/>
      <c r="W316" s="2"/>
      <c r="X316" s="34"/>
    </row>
    <row x14ac:dyDescent="0.25" r="317" customHeight="1" ht="15.75">
      <c r="A317" s="1"/>
      <c r="B317" s="34"/>
      <c r="C317" s="2"/>
      <c r="D317" s="34"/>
      <c r="E317" s="34"/>
      <c r="F317" s="34"/>
      <c r="G317" s="34"/>
      <c r="H317" s="34"/>
      <c r="I317" s="6"/>
      <c r="J317" s="2"/>
      <c r="K317" s="2"/>
      <c r="L317" s="6"/>
      <c r="M317" s="6"/>
      <c r="N317" s="6"/>
      <c r="O317" s="34"/>
      <c r="P317" s="34"/>
      <c r="Q317" s="2"/>
      <c r="R317" s="34"/>
      <c r="S317" s="34"/>
      <c r="T317" s="34"/>
      <c r="U317" s="2"/>
      <c r="V317" s="2"/>
      <c r="W317" s="2"/>
      <c r="X317" s="34"/>
    </row>
    <row x14ac:dyDescent="0.25" r="318" customHeight="1" ht="15.75">
      <c r="A318" s="1"/>
      <c r="B318" s="34"/>
      <c r="C318" s="2"/>
      <c r="D318" s="34"/>
      <c r="E318" s="34"/>
      <c r="F318" s="34"/>
      <c r="G318" s="34"/>
      <c r="H318" s="34"/>
      <c r="I318" s="6"/>
      <c r="J318" s="2"/>
      <c r="K318" s="2"/>
      <c r="L318" s="6"/>
      <c r="M318" s="6"/>
      <c r="N318" s="6"/>
      <c r="O318" s="34"/>
      <c r="P318" s="34"/>
      <c r="Q318" s="2"/>
      <c r="R318" s="34"/>
      <c r="S318" s="34"/>
      <c r="T318" s="34"/>
      <c r="U318" s="2"/>
      <c r="V318" s="2"/>
      <c r="W318" s="2"/>
      <c r="X318" s="34"/>
    </row>
    <row x14ac:dyDescent="0.25" r="319" customHeight="1" ht="15.75">
      <c r="A319" s="1"/>
      <c r="B319" s="34"/>
      <c r="C319" s="2"/>
      <c r="D319" s="34"/>
      <c r="E319" s="34"/>
      <c r="F319" s="34"/>
      <c r="G319" s="34"/>
      <c r="H319" s="34"/>
      <c r="I319" s="6"/>
      <c r="J319" s="2"/>
      <c r="K319" s="2"/>
      <c r="L319" s="6"/>
      <c r="M319" s="6"/>
      <c r="N319" s="6"/>
      <c r="O319" s="34"/>
      <c r="P319" s="34"/>
      <c r="Q319" s="2"/>
      <c r="R319" s="34"/>
      <c r="S319" s="34"/>
      <c r="T319" s="34"/>
      <c r="U319" s="2"/>
      <c r="V319" s="2"/>
      <c r="W319" s="2"/>
      <c r="X319" s="34"/>
    </row>
    <row x14ac:dyDescent="0.25" r="320" customHeight="1" ht="15.75">
      <c r="A320" s="1"/>
      <c r="B320" s="34"/>
      <c r="C320" s="2"/>
      <c r="D320" s="34"/>
      <c r="E320" s="34"/>
      <c r="F320" s="34"/>
      <c r="G320" s="34"/>
      <c r="H320" s="34"/>
      <c r="I320" s="6"/>
      <c r="J320" s="2"/>
      <c r="K320" s="2"/>
      <c r="L320" s="6"/>
      <c r="M320" s="6"/>
      <c r="N320" s="6"/>
      <c r="O320" s="34"/>
      <c r="P320" s="34"/>
      <c r="Q320" s="2"/>
      <c r="R320" s="34"/>
      <c r="S320" s="34"/>
      <c r="T320" s="34"/>
      <c r="U320" s="2"/>
      <c r="V320" s="2"/>
      <c r="W320" s="2"/>
      <c r="X320" s="34"/>
    </row>
    <row x14ac:dyDescent="0.25" r="321" customHeight="1" ht="15.75">
      <c r="A321" s="1"/>
      <c r="B321" s="34"/>
      <c r="C321" s="2"/>
      <c r="D321" s="34"/>
      <c r="E321" s="34"/>
      <c r="F321" s="34"/>
      <c r="G321" s="34"/>
      <c r="H321" s="34"/>
      <c r="I321" s="6"/>
      <c r="J321" s="2"/>
      <c r="K321" s="2"/>
      <c r="L321" s="6"/>
      <c r="M321" s="6"/>
      <c r="N321" s="6"/>
      <c r="O321" s="34"/>
      <c r="P321" s="34"/>
      <c r="Q321" s="2"/>
      <c r="R321" s="34"/>
      <c r="S321" s="34"/>
      <c r="T321" s="34"/>
      <c r="U321" s="2"/>
      <c r="V321" s="2"/>
      <c r="W321" s="2"/>
      <c r="X321" s="34"/>
    </row>
    <row x14ac:dyDescent="0.25" r="322" customHeight="1" ht="15.75">
      <c r="A322" s="1"/>
      <c r="B322" s="34"/>
      <c r="C322" s="2"/>
      <c r="D322" s="34"/>
      <c r="E322" s="34"/>
      <c r="F322" s="34"/>
      <c r="G322" s="34"/>
      <c r="H322" s="34"/>
      <c r="I322" s="6"/>
      <c r="J322" s="2"/>
      <c r="K322" s="2"/>
      <c r="L322" s="6"/>
      <c r="M322" s="6"/>
      <c r="N322" s="6"/>
      <c r="O322" s="34"/>
      <c r="P322" s="34"/>
      <c r="Q322" s="2"/>
      <c r="R322" s="34"/>
      <c r="S322" s="34"/>
      <c r="T322" s="34"/>
      <c r="U322" s="2"/>
      <c r="V322" s="2"/>
      <c r="W322" s="2"/>
      <c r="X322" s="34"/>
    </row>
    <row x14ac:dyDescent="0.25" r="323" customHeight="1" ht="15.75">
      <c r="A323" s="1"/>
      <c r="B323" s="34"/>
      <c r="C323" s="2"/>
      <c r="D323" s="34"/>
      <c r="E323" s="34"/>
      <c r="F323" s="34"/>
      <c r="G323" s="34"/>
      <c r="H323" s="34"/>
      <c r="I323" s="6"/>
      <c r="J323" s="2"/>
      <c r="K323" s="2"/>
      <c r="L323" s="6"/>
      <c r="M323" s="6"/>
      <c r="N323" s="6"/>
      <c r="O323" s="34"/>
      <c r="P323" s="34"/>
      <c r="Q323" s="2"/>
      <c r="R323" s="34"/>
      <c r="S323" s="34"/>
      <c r="T323" s="34"/>
      <c r="U323" s="2"/>
      <c r="V323" s="2"/>
      <c r="W323" s="2"/>
      <c r="X323" s="34"/>
    </row>
    <row x14ac:dyDescent="0.25" r="324" customHeight="1" ht="15.75">
      <c r="A324" s="1"/>
      <c r="B324" s="34"/>
      <c r="C324" s="2"/>
      <c r="D324" s="34"/>
      <c r="E324" s="34"/>
      <c r="F324" s="34"/>
      <c r="G324" s="34"/>
      <c r="H324" s="34"/>
      <c r="I324" s="6"/>
      <c r="J324" s="2"/>
      <c r="K324" s="2"/>
      <c r="L324" s="6"/>
      <c r="M324" s="6"/>
      <c r="N324" s="6"/>
      <c r="O324" s="34"/>
      <c r="P324" s="34"/>
      <c r="Q324" s="2"/>
      <c r="R324" s="34"/>
      <c r="S324" s="34"/>
      <c r="T324" s="34"/>
      <c r="U324" s="2"/>
      <c r="V324" s="2"/>
      <c r="W324" s="2"/>
      <c r="X324" s="34"/>
    </row>
    <row x14ac:dyDescent="0.25" r="325" customHeight="1" ht="15.75">
      <c r="A325" s="1"/>
      <c r="B325" s="34"/>
      <c r="C325" s="2"/>
      <c r="D325" s="34"/>
      <c r="E325" s="34"/>
      <c r="F325" s="34"/>
      <c r="G325" s="34"/>
      <c r="H325" s="34"/>
      <c r="I325" s="6"/>
      <c r="J325" s="2"/>
      <c r="K325" s="2"/>
      <c r="L325" s="6"/>
      <c r="M325" s="6"/>
      <c r="N325" s="6"/>
      <c r="O325" s="34"/>
      <c r="P325" s="34"/>
      <c r="Q325" s="2"/>
      <c r="R325" s="34"/>
      <c r="S325" s="34"/>
      <c r="T325" s="34"/>
      <c r="U325" s="2"/>
      <c r="V325" s="2"/>
      <c r="W325" s="2"/>
      <c r="X325" s="34"/>
    </row>
    <row x14ac:dyDescent="0.25" r="326" customHeight="1" ht="15.75">
      <c r="A326" s="1"/>
      <c r="B326" s="34"/>
      <c r="C326" s="2"/>
      <c r="D326" s="34"/>
      <c r="E326" s="34"/>
      <c r="F326" s="34"/>
      <c r="G326" s="34"/>
      <c r="H326" s="34"/>
      <c r="I326" s="6"/>
      <c r="J326" s="2"/>
      <c r="K326" s="2"/>
      <c r="L326" s="6"/>
      <c r="M326" s="6"/>
      <c r="N326" s="6"/>
      <c r="O326" s="34"/>
      <c r="P326" s="34"/>
      <c r="Q326" s="2"/>
      <c r="R326" s="34"/>
      <c r="S326" s="34"/>
      <c r="T326" s="34"/>
      <c r="U326" s="2"/>
      <c r="V326" s="2"/>
      <c r="W326" s="2"/>
      <c r="X326" s="34"/>
    </row>
    <row x14ac:dyDescent="0.25" r="327" customHeight="1" ht="15.75">
      <c r="A327" s="1"/>
      <c r="B327" s="34"/>
      <c r="C327" s="2"/>
      <c r="D327" s="34"/>
      <c r="E327" s="34"/>
      <c r="F327" s="34"/>
      <c r="G327" s="34"/>
      <c r="H327" s="34"/>
      <c r="I327" s="6"/>
      <c r="J327" s="2"/>
      <c r="K327" s="2"/>
      <c r="L327" s="6"/>
      <c r="M327" s="6"/>
      <c r="N327" s="6"/>
      <c r="O327" s="34"/>
      <c r="P327" s="34"/>
      <c r="Q327" s="2"/>
      <c r="R327" s="34"/>
      <c r="S327" s="34"/>
      <c r="T327" s="34"/>
      <c r="U327" s="2"/>
      <c r="V327" s="2"/>
      <c r="W327" s="2"/>
      <c r="X327" s="34"/>
    </row>
    <row x14ac:dyDescent="0.25" r="328" customHeight="1" ht="15.75">
      <c r="A328" s="1"/>
      <c r="B328" s="34"/>
      <c r="C328" s="2"/>
      <c r="D328" s="34"/>
      <c r="E328" s="34"/>
      <c r="F328" s="34"/>
      <c r="G328" s="34"/>
      <c r="H328" s="34"/>
      <c r="I328" s="6"/>
      <c r="J328" s="2"/>
      <c r="K328" s="2"/>
      <c r="L328" s="6"/>
      <c r="M328" s="6"/>
      <c r="N328" s="6"/>
      <c r="O328" s="34"/>
      <c r="P328" s="34"/>
      <c r="Q328" s="2"/>
      <c r="R328" s="34"/>
      <c r="S328" s="34"/>
      <c r="T328" s="34"/>
      <c r="U328" s="2"/>
      <c r="V328" s="2"/>
      <c r="W328" s="2"/>
      <c r="X328" s="34"/>
    </row>
    <row x14ac:dyDescent="0.25" r="329" customHeight="1" ht="15.75">
      <c r="A329" s="1"/>
      <c r="B329" s="34"/>
      <c r="C329" s="2"/>
      <c r="D329" s="34"/>
      <c r="E329" s="34"/>
      <c r="F329" s="34"/>
      <c r="G329" s="34"/>
      <c r="H329" s="34"/>
      <c r="I329" s="6"/>
      <c r="J329" s="2"/>
      <c r="K329" s="2"/>
      <c r="L329" s="6"/>
      <c r="M329" s="6"/>
      <c r="N329" s="6"/>
      <c r="O329" s="34"/>
      <c r="P329" s="34"/>
      <c r="Q329" s="2"/>
      <c r="R329" s="34"/>
      <c r="S329" s="34"/>
      <c r="T329" s="34"/>
      <c r="U329" s="2"/>
      <c r="V329" s="2"/>
      <c r="W329" s="2"/>
      <c r="X329" s="34"/>
    </row>
    <row x14ac:dyDescent="0.25" r="330" customHeight="1" ht="15.75">
      <c r="A330" s="1"/>
      <c r="B330" s="34"/>
      <c r="C330" s="2"/>
      <c r="D330" s="34"/>
      <c r="E330" s="34"/>
      <c r="F330" s="34"/>
      <c r="G330" s="34"/>
      <c r="H330" s="34"/>
      <c r="I330" s="6"/>
      <c r="J330" s="2"/>
      <c r="K330" s="2"/>
      <c r="L330" s="6"/>
      <c r="M330" s="6"/>
      <c r="N330" s="6"/>
      <c r="O330" s="34"/>
      <c r="P330" s="34"/>
      <c r="Q330" s="2"/>
      <c r="R330" s="34"/>
      <c r="S330" s="34"/>
      <c r="T330" s="34"/>
      <c r="U330" s="2"/>
      <c r="V330" s="2"/>
      <c r="W330" s="2"/>
      <c r="X330" s="34"/>
    </row>
    <row x14ac:dyDescent="0.25" r="331" customHeight="1" ht="15.75">
      <c r="A331" s="1"/>
      <c r="B331" s="34"/>
      <c r="C331" s="2"/>
      <c r="D331" s="34"/>
      <c r="E331" s="34"/>
      <c r="F331" s="34"/>
      <c r="G331" s="34"/>
      <c r="H331" s="34"/>
      <c r="I331" s="6"/>
      <c r="J331" s="2"/>
      <c r="K331" s="2"/>
      <c r="L331" s="6"/>
      <c r="M331" s="6"/>
      <c r="N331" s="6"/>
      <c r="O331" s="34"/>
      <c r="P331" s="34"/>
      <c r="Q331" s="2"/>
      <c r="R331" s="34"/>
      <c r="S331" s="34"/>
      <c r="T331" s="34"/>
      <c r="U331" s="2"/>
      <c r="V331" s="2"/>
      <c r="W331" s="2"/>
      <c r="X331" s="34"/>
    </row>
    <row x14ac:dyDescent="0.25" r="332" customHeight="1" ht="15.75">
      <c r="A332" s="1"/>
      <c r="B332" s="34"/>
      <c r="C332" s="2"/>
      <c r="D332" s="34"/>
      <c r="E332" s="34"/>
      <c r="F332" s="34"/>
      <c r="G332" s="34"/>
      <c r="H332" s="34"/>
      <c r="I332" s="6"/>
      <c r="J332" s="2"/>
      <c r="K332" s="2"/>
      <c r="L332" s="6"/>
      <c r="M332" s="6"/>
      <c r="N332" s="6"/>
      <c r="O332" s="34"/>
      <c r="P332" s="34"/>
      <c r="Q332" s="2"/>
      <c r="R332" s="34"/>
      <c r="S332" s="34"/>
      <c r="T332" s="34"/>
      <c r="U332" s="2"/>
      <c r="V332" s="2"/>
      <c r="W332" s="2"/>
      <c r="X332" s="34"/>
    </row>
    <row x14ac:dyDescent="0.25" r="333" customHeight="1" ht="15.75">
      <c r="A333" s="1"/>
      <c r="B333" s="34"/>
      <c r="C333" s="2"/>
      <c r="D333" s="34"/>
      <c r="E333" s="34"/>
      <c r="F333" s="34"/>
      <c r="G333" s="34"/>
      <c r="H333" s="34"/>
      <c r="I333" s="6"/>
      <c r="J333" s="2"/>
      <c r="K333" s="2"/>
      <c r="L333" s="6"/>
      <c r="M333" s="6"/>
      <c r="N333" s="6"/>
      <c r="O333" s="34"/>
      <c r="P333" s="34"/>
      <c r="Q333" s="2"/>
      <c r="R333" s="34"/>
      <c r="S333" s="34"/>
      <c r="T333" s="34"/>
      <c r="U333" s="2"/>
      <c r="V333" s="2"/>
      <c r="W333" s="2"/>
      <c r="X333" s="34"/>
    </row>
    <row x14ac:dyDescent="0.25" r="334" customHeight="1" ht="15.75">
      <c r="A334" s="1"/>
      <c r="B334" s="34"/>
      <c r="C334" s="2"/>
      <c r="D334" s="34"/>
      <c r="E334" s="34"/>
      <c r="F334" s="34"/>
      <c r="G334" s="34"/>
      <c r="H334" s="34"/>
      <c r="I334" s="6"/>
      <c r="J334" s="2"/>
      <c r="K334" s="2"/>
      <c r="L334" s="6"/>
      <c r="M334" s="6"/>
      <c r="N334" s="6"/>
      <c r="O334" s="34"/>
      <c r="P334" s="34"/>
      <c r="Q334" s="2"/>
      <c r="R334" s="34"/>
      <c r="S334" s="34"/>
      <c r="T334" s="34"/>
      <c r="U334" s="2"/>
      <c r="V334" s="2"/>
      <c r="W334" s="2"/>
      <c r="X334" s="34"/>
    </row>
    <row x14ac:dyDescent="0.25" r="335" customHeight="1" ht="15.75">
      <c r="A335" s="1"/>
      <c r="B335" s="34"/>
      <c r="C335" s="2"/>
      <c r="D335" s="34"/>
      <c r="E335" s="34"/>
      <c r="F335" s="34"/>
      <c r="G335" s="34"/>
      <c r="H335" s="34"/>
      <c r="I335" s="6"/>
      <c r="J335" s="2"/>
      <c r="K335" s="2"/>
      <c r="L335" s="6"/>
      <c r="M335" s="6"/>
      <c r="N335" s="6"/>
      <c r="O335" s="34"/>
      <c r="P335" s="34"/>
      <c r="Q335" s="2"/>
      <c r="R335" s="34"/>
      <c r="S335" s="34"/>
      <c r="T335" s="34"/>
      <c r="U335" s="2"/>
      <c r="V335" s="2"/>
      <c r="W335" s="2"/>
      <c r="X335" s="34"/>
    </row>
    <row x14ac:dyDescent="0.25" r="336" customHeight="1" ht="15.75">
      <c r="A336" s="1"/>
      <c r="B336" s="34"/>
      <c r="C336" s="2"/>
      <c r="D336" s="34"/>
      <c r="E336" s="34"/>
      <c r="F336" s="34"/>
      <c r="G336" s="34"/>
      <c r="H336" s="34"/>
      <c r="I336" s="6"/>
      <c r="J336" s="2"/>
      <c r="K336" s="2"/>
      <c r="L336" s="6"/>
      <c r="M336" s="6"/>
      <c r="N336" s="6"/>
      <c r="O336" s="34"/>
      <c r="P336" s="34"/>
      <c r="Q336" s="2"/>
      <c r="R336" s="34"/>
      <c r="S336" s="34"/>
      <c r="T336" s="34"/>
      <c r="U336" s="2"/>
      <c r="V336" s="2"/>
      <c r="W336" s="2"/>
      <c r="X336" s="34"/>
    </row>
    <row x14ac:dyDescent="0.25" r="337" customHeight="1" ht="15.75">
      <c r="A337" s="1"/>
      <c r="B337" s="34"/>
      <c r="C337" s="2"/>
      <c r="D337" s="34"/>
      <c r="E337" s="34"/>
      <c r="F337" s="34"/>
      <c r="G337" s="34"/>
      <c r="H337" s="34"/>
      <c r="I337" s="6"/>
      <c r="J337" s="2"/>
      <c r="K337" s="2"/>
      <c r="L337" s="6"/>
      <c r="M337" s="6"/>
      <c r="N337" s="6"/>
      <c r="O337" s="34"/>
      <c r="P337" s="34"/>
      <c r="Q337" s="2"/>
      <c r="R337" s="34"/>
      <c r="S337" s="34"/>
      <c r="T337" s="34"/>
      <c r="U337" s="2"/>
      <c r="V337" s="2"/>
      <c r="W337" s="2"/>
      <c r="X337" s="34"/>
    </row>
    <row x14ac:dyDescent="0.25" r="338" customHeight="1" ht="15.75">
      <c r="A338" s="1"/>
      <c r="B338" s="34"/>
      <c r="C338" s="2"/>
      <c r="D338" s="34"/>
      <c r="E338" s="34"/>
      <c r="F338" s="34"/>
      <c r="G338" s="34"/>
      <c r="H338" s="34"/>
      <c r="I338" s="6"/>
      <c r="J338" s="2"/>
      <c r="K338" s="2"/>
      <c r="L338" s="6"/>
      <c r="M338" s="6"/>
      <c r="N338" s="6"/>
      <c r="O338" s="34"/>
      <c r="P338" s="34"/>
      <c r="Q338" s="2"/>
      <c r="R338" s="34"/>
      <c r="S338" s="34"/>
      <c r="T338" s="34"/>
      <c r="U338" s="2"/>
      <c r="V338" s="2"/>
      <c r="W338" s="2"/>
      <c r="X338" s="34"/>
    </row>
    <row x14ac:dyDescent="0.25" r="339" customHeight="1" ht="15.75">
      <c r="A339" s="1"/>
      <c r="B339" s="34"/>
      <c r="C339" s="2"/>
      <c r="D339" s="34"/>
      <c r="E339" s="34"/>
      <c r="F339" s="34"/>
      <c r="G339" s="34"/>
      <c r="H339" s="34"/>
      <c r="I339" s="6"/>
      <c r="J339" s="2"/>
      <c r="K339" s="2"/>
      <c r="L339" s="6"/>
      <c r="M339" s="6"/>
      <c r="N339" s="6"/>
      <c r="O339" s="34"/>
      <c r="P339" s="34"/>
      <c r="Q339" s="2"/>
      <c r="R339" s="34"/>
      <c r="S339" s="34"/>
      <c r="T339" s="34"/>
      <c r="U339" s="2"/>
      <c r="V339" s="2"/>
      <c r="W339" s="2"/>
      <c r="X339" s="34"/>
    </row>
    <row x14ac:dyDescent="0.25" r="340" customHeight="1" ht="15.75">
      <c r="A340" s="1"/>
      <c r="B340" s="34"/>
      <c r="C340" s="2"/>
      <c r="D340" s="34"/>
      <c r="E340" s="34"/>
      <c r="F340" s="34"/>
      <c r="G340" s="34"/>
      <c r="H340" s="34"/>
      <c r="I340" s="6"/>
      <c r="J340" s="2"/>
      <c r="K340" s="2"/>
      <c r="L340" s="6"/>
      <c r="M340" s="6"/>
      <c r="N340" s="6"/>
      <c r="O340" s="34"/>
      <c r="P340" s="34"/>
      <c r="Q340" s="2"/>
      <c r="R340" s="34"/>
      <c r="S340" s="34"/>
      <c r="T340" s="34"/>
      <c r="U340" s="2"/>
      <c r="V340" s="2"/>
      <c r="W340" s="2"/>
      <c r="X340" s="34"/>
    </row>
    <row x14ac:dyDescent="0.25" r="341" customHeight="1" ht="15.75">
      <c r="A341" s="1"/>
      <c r="B341" s="34"/>
      <c r="C341" s="2"/>
      <c r="D341" s="34"/>
      <c r="E341" s="34"/>
      <c r="F341" s="34"/>
      <c r="G341" s="34"/>
      <c r="H341" s="34"/>
      <c r="I341" s="6"/>
      <c r="J341" s="2"/>
      <c r="K341" s="2"/>
      <c r="L341" s="6"/>
      <c r="M341" s="6"/>
      <c r="N341" s="6"/>
      <c r="O341" s="34"/>
      <c r="P341" s="34"/>
      <c r="Q341" s="2"/>
      <c r="R341" s="34"/>
      <c r="S341" s="34"/>
      <c r="T341" s="34"/>
      <c r="U341" s="2"/>
      <c r="V341" s="2"/>
      <c r="W341" s="2"/>
      <c r="X341" s="34"/>
    </row>
    <row x14ac:dyDescent="0.25" r="342" customHeight="1" ht="15.75">
      <c r="A342" s="1"/>
      <c r="B342" s="34"/>
      <c r="C342" s="2"/>
      <c r="D342" s="34"/>
      <c r="E342" s="34"/>
      <c r="F342" s="34"/>
      <c r="G342" s="34"/>
      <c r="H342" s="34"/>
      <c r="I342" s="6"/>
      <c r="J342" s="2"/>
      <c r="K342" s="2"/>
      <c r="L342" s="6"/>
      <c r="M342" s="6"/>
      <c r="N342" s="6"/>
      <c r="O342" s="34"/>
      <c r="P342" s="34"/>
      <c r="Q342" s="2"/>
      <c r="R342" s="34"/>
      <c r="S342" s="34"/>
      <c r="T342" s="34"/>
      <c r="U342" s="2"/>
      <c r="V342" s="2"/>
      <c r="W342" s="2"/>
      <c r="X342" s="34"/>
    </row>
    <row x14ac:dyDescent="0.25" r="343" customHeight="1" ht="15.75">
      <c r="A343" s="1"/>
      <c r="B343" s="34"/>
      <c r="C343" s="2"/>
      <c r="D343" s="34"/>
      <c r="E343" s="34"/>
      <c r="F343" s="34"/>
      <c r="G343" s="34"/>
      <c r="H343" s="34"/>
      <c r="I343" s="6"/>
      <c r="J343" s="2"/>
      <c r="K343" s="2"/>
      <c r="L343" s="6"/>
      <c r="M343" s="6"/>
      <c r="N343" s="6"/>
      <c r="O343" s="34"/>
      <c r="P343" s="34"/>
      <c r="Q343" s="2"/>
      <c r="R343" s="34"/>
      <c r="S343" s="34"/>
      <c r="T343" s="34"/>
      <c r="U343" s="2"/>
      <c r="V343" s="2"/>
      <c r="W343" s="2"/>
      <c r="X343" s="34"/>
    </row>
    <row x14ac:dyDescent="0.25" r="344" customHeight="1" ht="15.75">
      <c r="A344" s="1"/>
      <c r="B344" s="34"/>
      <c r="C344" s="2"/>
      <c r="D344" s="34"/>
      <c r="E344" s="34"/>
      <c r="F344" s="34"/>
      <c r="G344" s="34"/>
      <c r="H344" s="34"/>
      <c r="I344" s="6"/>
      <c r="J344" s="2"/>
      <c r="K344" s="2"/>
      <c r="L344" s="6"/>
      <c r="M344" s="6"/>
      <c r="N344" s="6"/>
      <c r="O344" s="34"/>
      <c r="P344" s="34"/>
      <c r="Q344" s="2"/>
      <c r="R344" s="34"/>
      <c r="S344" s="34"/>
      <c r="T344" s="34"/>
      <c r="U344" s="2"/>
      <c r="V344" s="2"/>
      <c r="W344" s="2"/>
      <c r="X344" s="34"/>
    </row>
    <row x14ac:dyDescent="0.25" r="345" customHeight="1" ht="15.75">
      <c r="A345" s="1"/>
      <c r="B345" s="34"/>
      <c r="C345" s="2"/>
      <c r="D345" s="34"/>
      <c r="E345" s="34"/>
      <c r="F345" s="34"/>
      <c r="G345" s="34"/>
      <c r="H345" s="34"/>
      <c r="I345" s="6"/>
      <c r="J345" s="2"/>
      <c r="K345" s="2"/>
      <c r="L345" s="6"/>
      <c r="M345" s="6"/>
      <c r="N345" s="6"/>
      <c r="O345" s="34"/>
      <c r="P345" s="34"/>
      <c r="Q345" s="2"/>
      <c r="R345" s="34"/>
      <c r="S345" s="34"/>
      <c r="T345" s="34"/>
      <c r="U345" s="2"/>
      <c r="V345" s="2"/>
      <c r="W345" s="2"/>
      <c r="X345" s="34"/>
    </row>
    <row x14ac:dyDescent="0.25" r="346" customHeight="1" ht="15.75">
      <c r="A346" s="1"/>
      <c r="B346" s="34"/>
      <c r="C346" s="2"/>
      <c r="D346" s="34"/>
      <c r="E346" s="34"/>
      <c r="F346" s="34"/>
      <c r="G346" s="34"/>
      <c r="H346" s="34"/>
      <c r="I346" s="6"/>
      <c r="J346" s="2"/>
      <c r="K346" s="2"/>
      <c r="L346" s="6"/>
      <c r="M346" s="6"/>
      <c r="N346" s="6"/>
      <c r="O346" s="34"/>
      <c r="P346" s="34"/>
      <c r="Q346" s="2"/>
      <c r="R346" s="34"/>
      <c r="S346" s="34"/>
      <c r="T346" s="34"/>
      <c r="U346" s="2"/>
      <c r="V346" s="2"/>
      <c r="W346" s="2"/>
      <c r="X346" s="34"/>
    </row>
    <row x14ac:dyDescent="0.25" r="347" customHeight="1" ht="15.75">
      <c r="A347" s="1"/>
      <c r="B347" s="34"/>
      <c r="C347" s="2"/>
      <c r="D347" s="34"/>
      <c r="E347" s="34"/>
      <c r="F347" s="34"/>
      <c r="G347" s="34"/>
      <c r="H347" s="34"/>
      <c r="I347" s="6"/>
      <c r="J347" s="2"/>
      <c r="K347" s="2"/>
      <c r="L347" s="6"/>
      <c r="M347" s="6"/>
      <c r="N347" s="6"/>
      <c r="O347" s="34"/>
      <c r="P347" s="34"/>
      <c r="Q347" s="2"/>
      <c r="R347" s="34"/>
      <c r="S347" s="34"/>
      <c r="T347" s="34"/>
      <c r="U347" s="2"/>
      <c r="V347" s="2"/>
      <c r="W347" s="2"/>
      <c r="X347" s="34"/>
    </row>
    <row x14ac:dyDescent="0.25" r="348" customHeight="1" ht="15.75">
      <c r="A348" s="1"/>
      <c r="B348" s="34"/>
      <c r="C348" s="2"/>
      <c r="D348" s="34"/>
      <c r="E348" s="34"/>
      <c r="F348" s="34"/>
      <c r="G348" s="34"/>
      <c r="H348" s="34"/>
      <c r="I348" s="6"/>
      <c r="J348" s="2"/>
      <c r="K348" s="2"/>
      <c r="L348" s="6"/>
      <c r="M348" s="6"/>
      <c r="N348" s="6"/>
      <c r="O348" s="34"/>
      <c r="P348" s="34"/>
      <c r="Q348" s="2"/>
      <c r="R348" s="34"/>
      <c r="S348" s="34"/>
      <c r="T348" s="34"/>
      <c r="U348" s="2"/>
      <c r="V348" s="2"/>
      <c r="W348" s="2"/>
      <c r="X348" s="34"/>
    </row>
    <row x14ac:dyDescent="0.25" r="349" customHeight="1" ht="15.75">
      <c r="A349" s="1"/>
      <c r="B349" s="34"/>
      <c r="C349" s="2"/>
      <c r="D349" s="34"/>
      <c r="E349" s="34"/>
      <c r="F349" s="34"/>
      <c r="G349" s="34"/>
      <c r="H349" s="34"/>
      <c r="I349" s="6"/>
      <c r="J349" s="2"/>
      <c r="K349" s="2"/>
      <c r="L349" s="6"/>
      <c r="M349" s="6"/>
      <c r="N349" s="6"/>
      <c r="O349" s="34"/>
      <c r="P349" s="34"/>
      <c r="Q349" s="2"/>
      <c r="R349" s="34"/>
      <c r="S349" s="34"/>
      <c r="T349" s="34"/>
      <c r="U349" s="2"/>
      <c r="V349" s="2"/>
      <c r="W349" s="2"/>
      <c r="X349" s="34"/>
    </row>
    <row x14ac:dyDescent="0.25" r="350" customHeight="1" ht="15.75">
      <c r="A350" s="1"/>
      <c r="B350" s="34"/>
      <c r="C350" s="2"/>
      <c r="D350" s="34"/>
      <c r="E350" s="34"/>
      <c r="F350" s="34"/>
      <c r="G350" s="34"/>
      <c r="H350" s="34"/>
      <c r="I350" s="6"/>
      <c r="J350" s="2"/>
      <c r="K350" s="2"/>
      <c r="L350" s="6"/>
      <c r="M350" s="6"/>
      <c r="N350" s="6"/>
      <c r="O350" s="34"/>
      <c r="P350" s="34"/>
      <c r="Q350" s="2"/>
      <c r="R350" s="34"/>
      <c r="S350" s="34"/>
      <c r="T350" s="34"/>
      <c r="U350" s="2"/>
      <c r="V350" s="2"/>
      <c r="W350" s="2"/>
      <c r="X350" s="34"/>
    </row>
    <row x14ac:dyDescent="0.25" r="351" customHeight="1" ht="15.75">
      <c r="A351" s="1"/>
      <c r="B351" s="34"/>
      <c r="C351" s="2"/>
      <c r="D351" s="34"/>
      <c r="E351" s="34"/>
      <c r="F351" s="34"/>
      <c r="G351" s="34"/>
      <c r="H351" s="34"/>
      <c r="I351" s="6"/>
      <c r="J351" s="2"/>
      <c r="K351" s="2"/>
      <c r="L351" s="6"/>
      <c r="M351" s="6"/>
      <c r="N351" s="6"/>
      <c r="O351" s="34"/>
      <c r="P351" s="34"/>
      <c r="Q351" s="2"/>
      <c r="R351" s="34"/>
      <c r="S351" s="34"/>
      <c r="T351" s="34"/>
      <c r="U351" s="2"/>
      <c r="V351" s="2"/>
      <c r="W351" s="2"/>
      <c r="X351" s="34"/>
    </row>
    <row x14ac:dyDescent="0.25" r="352" customHeight="1" ht="15.75">
      <c r="A352" s="1"/>
      <c r="B352" s="34"/>
      <c r="C352" s="2"/>
      <c r="D352" s="34"/>
      <c r="E352" s="34"/>
      <c r="F352" s="34"/>
      <c r="G352" s="34"/>
      <c r="H352" s="34"/>
      <c r="I352" s="6"/>
      <c r="J352" s="2"/>
      <c r="K352" s="2"/>
      <c r="L352" s="6"/>
      <c r="M352" s="6"/>
      <c r="N352" s="6"/>
      <c r="O352" s="34"/>
      <c r="P352" s="34"/>
      <c r="Q352" s="2"/>
      <c r="R352" s="34"/>
      <c r="S352" s="34"/>
      <c r="T352" s="34"/>
      <c r="U352" s="2"/>
      <c r="V352" s="2"/>
      <c r="W352" s="2"/>
      <c r="X352" s="34"/>
    </row>
    <row x14ac:dyDescent="0.25" r="353" customHeight="1" ht="15.75">
      <c r="A353" s="1"/>
      <c r="B353" s="34"/>
      <c r="C353" s="2"/>
      <c r="D353" s="34"/>
      <c r="E353" s="34"/>
      <c r="F353" s="34"/>
      <c r="G353" s="34"/>
      <c r="H353" s="34"/>
      <c r="I353" s="6"/>
      <c r="J353" s="2"/>
      <c r="K353" s="2"/>
      <c r="L353" s="6"/>
      <c r="M353" s="6"/>
      <c r="N353" s="6"/>
      <c r="O353" s="34"/>
      <c r="P353" s="34"/>
      <c r="Q353" s="2"/>
      <c r="R353" s="34"/>
      <c r="S353" s="34"/>
      <c r="T353" s="34"/>
      <c r="U353" s="2"/>
      <c r="V353" s="2"/>
      <c r="W353" s="2"/>
      <c r="X353" s="34"/>
    </row>
    <row x14ac:dyDescent="0.25" r="354" customHeight="1" ht="15.75">
      <c r="A354" s="1"/>
      <c r="B354" s="34"/>
      <c r="C354" s="2"/>
      <c r="D354" s="34"/>
      <c r="E354" s="34"/>
      <c r="F354" s="34"/>
      <c r="G354" s="34"/>
      <c r="H354" s="34"/>
      <c r="I354" s="6"/>
      <c r="J354" s="2"/>
      <c r="K354" s="2"/>
      <c r="L354" s="6"/>
      <c r="M354" s="6"/>
      <c r="N354" s="6"/>
      <c r="O354" s="34"/>
      <c r="P354" s="34"/>
      <c r="Q354" s="2"/>
      <c r="R354" s="34"/>
      <c r="S354" s="34"/>
      <c r="T354" s="34"/>
      <c r="U354" s="2"/>
      <c r="V354" s="2"/>
      <c r="W354" s="2"/>
      <c r="X354" s="34"/>
    </row>
    <row x14ac:dyDescent="0.25" r="355" customHeight="1" ht="15.75">
      <c r="A355" s="1"/>
      <c r="B355" s="34"/>
      <c r="C355" s="2"/>
      <c r="D355" s="34"/>
      <c r="E355" s="34"/>
      <c r="F355" s="34"/>
      <c r="G355" s="34"/>
      <c r="H355" s="34"/>
      <c r="I355" s="6"/>
      <c r="J355" s="2"/>
      <c r="K355" s="2"/>
      <c r="L355" s="6"/>
      <c r="M355" s="6"/>
      <c r="N355" s="6"/>
      <c r="O355" s="34"/>
      <c r="P355" s="34"/>
      <c r="Q355" s="2"/>
      <c r="R355" s="34"/>
      <c r="S355" s="34"/>
      <c r="T355" s="34"/>
      <c r="U355" s="2"/>
      <c r="V355" s="2"/>
      <c r="W355" s="2"/>
      <c r="X355" s="34"/>
    </row>
    <row x14ac:dyDescent="0.25" r="356" customHeight="1" ht="15.75">
      <c r="A356" s="1"/>
      <c r="B356" s="34"/>
      <c r="C356" s="2"/>
      <c r="D356" s="34"/>
      <c r="E356" s="34"/>
      <c r="F356" s="34"/>
      <c r="G356" s="34"/>
      <c r="H356" s="34"/>
      <c r="I356" s="6"/>
      <c r="J356" s="2"/>
      <c r="K356" s="2"/>
      <c r="L356" s="6"/>
      <c r="M356" s="6"/>
      <c r="N356" s="6"/>
      <c r="O356" s="34"/>
      <c r="P356" s="34"/>
      <c r="Q356" s="2"/>
      <c r="R356" s="34"/>
      <c r="S356" s="34"/>
      <c r="T356" s="34"/>
      <c r="U356" s="2"/>
      <c r="V356" s="2"/>
      <c r="W356" s="2"/>
      <c r="X356" s="34"/>
    </row>
    <row x14ac:dyDescent="0.25" r="357" customHeight="1" ht="15.75">
      <c r="A357" s="1"/>
      <c r="B357" s="34"/>
      <c r="C357" s="2"/>
      <c r="D357" s="34"/>
      <c r="E357" s="34"/>
      <c r="F357" s="34"/>
      <c r="G357" s="34"/>
      <c r="H357" s="34"/>
      <c r="I357" s="6"/>
      <c r="J357" s="2"/>
      <c r="K357" s="2"/>
      <c r="L357" s="6"/>
      <c r="M357" s="6"/>
      <c r="N357" s="6"/>
      <c r="O357" s="34"/>
      <c r="P357" s="34"/>
      <c r="Q357" s="2"/>
      <c r="R357" s="34"/>
      <c r="S357" s="34"/>
      <c r="T357" s="34"/>
      <c r="U357" s="2"/>
      <c r="V357" s="2"/>
      <c r="W357" s="2"/>
      <c r="X357" s="34"/>
    </row>
    <row x14ac:dyDescent="0.25" r="358" customHeight="1" ht="15.75">
      <c r="A358" s="1"/>
      <c r="B358" s="34"/>
      <c r="C358" s="2"/>
      <c r="D358" s="34"/>
      <c r="E358" s="34"/>
      <c r="F358" s="34"/>
      <c r="G358" s="34"/>
      <c r="H358" s="34"/>
      <c r="I358" s="6"/>
      <c r="J358" s="2"/>
      <c r="K358" s="2"/>
      <c r="L358" s="6"/>
      <c r="M358" s="6"/>
      <c r="N358" s="6"/>
      <c r="O358" s="34"/>
      <c r="P358" s="34"/>
      <c r="Q358" s="2"/>
      <c r="R358" s="34"/>
      <c r="S358" s="34"/>
      <c r="T358" s="34"/>
      <c r="U358" s="2"/>
      <c r="V358" s="2"/>
      <c r="W358" s="2"/>
      <c r="X358" s="34"/>
    </row>
    <row x14ac:dyDescent="0.25" r="359" customHeight="1" ht="15.75">
      <c r="A359" s="1"/>
      <c r="B359" s="34"/>
      <c r="C359" s="2"/>
      <c r="D359" s="34"/>
      <c r="E359" s="34"/>
      <c r="F359" s="34"/>
      <c r="G359" s="34"/>
      <c r="H359" s="34"/>
      <c r="I359" s="6"/>
      <c r="J359" s="2"/>
      <c r="K359" s="2"/>
      <c r="L359" s="6"/>
      <c r="M359" s="6"/>
      <c r="N359" s="6"/>
      <c r="O359" s="34"/>
      <c r="P359" s="34"/>
      <c r="Q359" s="2"/>
      <c r="R359" s="34"/>
      <c r="S359" s="34"/>
      <c r="T359" s="34"/>
      <c r="U359" s="2"/>
      <c r="V359" s="2"/>
      <c r="W359" s="2"/>
      <c r="X359" s="34"/>
    </row>
    <row x14ac:dyDescent="0.25" r="360" customHeight="1" ht="15.75">
      <c r="A360" s="1"/>
      <c r="B360" s="34"/>
      <c r="C360" s="2"/>
      <c r="D360" s="34"/>
      <c r="E360" s="34"/>
      <c r="F360" s="34"/>
      <c r="G360" s="34"/>
      <c r="H360" s="34"/>
      <c r="I360" s="6"/>
      <c r="J360" s="2"/>
      <c r="K360" s="2"/>
      <c r="L360" s="6"/>
      <c r="M360" s="6"/>
      <c r="N360" s="6"/>
      <c r="O360" s="34"/>
      <c r="P360" s="34"/>
      <c r="Q360" s="2"/>
      <c r="R360" s="34"/>
      <c r="S360" s="34"/>
      <c r="T360" s="34"/>
      <c r="U360" s="2"/>
      <c r="V360" s="2"/>
      <c r="W360" s="2"/>
      <c r="X360" s="34"/>
    </row>
    <row x14ac:dyDescent="0.25" r="361" customHeight="1" ht="15.75">
      <c r="A361" s="1"/>
      <c r="B361" s="34"/>
      <c r="C361" s="2"/>
      <c r="D361" s="34"/>
      <c r="E361" s="34"/>
      <c r="F361" s="34"/>
      <c r="G361" s="34"/>
      <c r="H361" s="34"/>
      <c r="I361" s="6"/>
      <c r="J361" s="2"/>
      <c r="K361" s="2"/>
      <c r="L361" s="6"/>
      <c r="M361" s="6"/>
      <c r="N361" s="6"/>
      <c r="O361" s="34"/>
      <c r="P361" s="34"/>
      <c r="Q361" s="2"/>
      <c r="R361" s="34"/>
      <c r="S361" s="34"/>
      <c r="T361" s="34"/>
      <c r="U361" s="2"/>
      <c r="V361" s="2"/>
      <c r="W361" s="2"/>
      <c r="X361" s="34"/>
    </row>
    <row x14ac:dyDescent="0.25" r="362" customHeight="1" ht="15.75">
      <c r="A362" s="1"/>
      <c r="B362" s="34"/>
      <c r="C362" s="2"/>
      <c r="D362" s="34"/>
      <c r="E362" s="34"/>
      <c r="F362" s="34"/>
      <c r="G362" s="34"/>
      <c r="H362" s="34"/>
      <c r="I362" s="6"/>
      <c r="J362" s="2"/>
      <c r="K362" s="2"/>
      <c r="L362" s="6"/>
      <c r="M362" s="6"/>
      <c r="N362" s="6"/>
      <c r="O362" s="34"/>
      <c r="P362" s="34"/>
      <c r="Q362" s="2"/>
      <c r="R362" s="34"/>
      <c r="S362" s="34"/>
      <c r="T362" s="34"/>
      <c r="U362" s="2"/>
      <c r="V362" s="2"/>
      <c r="W362" s="2"/>
      <c r="X362" s="34"/>
    </row>
    <row x14ac:dyDescent="0.25" r="363" customHeight="1" ht="15.75">
      <c r="A363" s="1"/>
      <c r="B363" s="34"/>
      <c r="C363" s="2"/>
      <c r="D363" s="34"/>
      <c r="E363" s="34"/>
      <c r="F363" s="34"/>
      <c r="G363" s="34"/>
      <c r="H363" s="34"/>
      <c r="I363" s="6"/>
      <c r="J363" s="2"/>
      <c r="K363" s="2"/>
      <c r="L363" s="6"/>
      <c r="M363" s="6"/>
      <c r="N363" s="6"/>
      <c r="O363" s="34"/>
      <c r="P363" s="34"/>
      <c r="Q363" s="2"/>
      <c r="R363" s="34"/>
      <c r="S363" s="34"/>
      <c r="T363" s="34"/>
      <c r="U363" s="2"/>
      <c r="V363" s="2"/>
      <c r="W363" s="2"/>
      <c r="X363" s="34"/>
    </row>
    <row x14ac:dyDescent="0.25" r="364" customHeight="1" ht="15.75">
      <c r="A364" s="1"/>
      <c r="B364" s="34"/>
      <c r="C364" s="2"/>
      <c r="D364" s="34"/>
      <c r="E364" s="34"/>
      <c r="F364" s="34"/>
      <c r="G364" s="34"/>
      <c r="H364" s="34"/>
      <c r="I364" s="6"/>
      <c r="J364" s="2"/>
      <c r="K364" s="2"/>
      <c r="L364" s="6"/>
      <c r="M364" s="6"/>
      <c r="N364" s="6"/>
      <c r="O364" s="34"/>
      <c r="P364" s="34"/>
      <c r="Q364" s="2"/>
      <c r="R364" s="34"/>
      <c r="S364" s="34"/>
      <c r="T364" s="34"/>
      <c r="U364" s="2"/>
      <c r="V364" s="2"/>
      <c r="W364" s="2"/>
      <c r="X364" s="34"/>
    </row>
    <row x14ac:dyDescent="0.25" r="365" customHeight="1" ht="15.75">
      <c r="A365" s="1"/>
      <c r="B365" s="34"/>
      <c r="C365" s="2"/>
      <c r="D365" s="34"/>
      <c r="E365" s="34"/>
      <c r="F365" s="34"/>
      <c r="G365" s="34"/>
      <c r="H365" s="34"/>
      <c r="I365" s="6"/>
      <c r="J365" s="2"/>
      <c r="K365" s="2"/>
      <c r="L365" s="6"/>
      <c r="M365" s="6"/>
      <c r="N365" s="6"/>
      <c r="O365" s="34"/>
      <c r="P365" s="34"/>
      <c r="Q365" s="2"/>
      <c r="R365" s="34"/>
      <c r="S365" s="34"/>
      <c r="T365" s="34"/>
      <c r="U365" s="2"/>
      <c r="V365" s="2"/>
      <c r="W365" s="2"/>
      <c r="X365" s="34"/>
    </row>
    <row x14ac:dyDescent="0.25" r="366" customHeight="1" ht="15.75">
      <c r="A366" s="1"/>
      <c r="B366" s="34"/>
      <c r="C366" s="2"/>
      <c r="D366" s="34"/>
      <c r="E366" s="34"/>
      <c r="F366" s="34"/>
      <c r="G366" s="34"/>
      <c r="H366" s="34"/>
      <c r="I366" s="6"/>
      <c r="J366" s="2"/>
      <c r="K366" s="2"/>
      <c r="L366" s="6"/>
      <c r="M366" s="6"/>
      <c r="N366" s="6"/>
      <c r="O366" s="34"/>
      <c r="P366" s="34"/>
      <c r="Q366" s="2"/>
      <c r="R366" s="34"/>
      <c r="S366" s="34"/>
      <c r="T366" s="34"/>
      <c r="U366" s="2"/>
      <c r="V366" s="2"/>
      <c r="W366" s="2"/>
      <c r="X366" s="34"/>
    </row>
    <row x14ac:dyDescent="0.25" r="367" customHeight="1" ht="15.75">
      <c r="A367" s="1"/>
      <c r="B367" s="34"/>
      <c r="C367" s="2"/>
      <c r="D367" s="34"/>
      <c r="E367" s="34"/>
      <c r="F367" s="34"/>
      <c r="G367" s="34"/>
      <c r="H367" s="34"/>
      <c r="I367" s="6"/>
      <c r="J367" s="2"/>
      <c r="K367" s="2"/>
      <c r="L367" s="6"/>
      <c r="M367" s="6"/>
      <c r="N367" s="6"/>
      <c r="O367" s="34"/>
      <c r="P367" s="34"/>
      <c r="Q367" s="2"/>
      <c r="R367" s="34"/>
      <c r="S367" s="34"/>
      <c r="T367" s="34"/>
      <c r="U367" s="2"/>
      <c r="V367" s="2"/>
      <c r="W367" s="2"/>
      <c r="X367" s="34"/>
    </row>
    <row x14ac:dyDescent="0.25" r="368" customHeight="1" ht="15.75">
      <c r="A368" s="1"/>
      <c r="B368" s="34"/>
      <c r="C368" s="2"/>
      <c r="D368" s="34"/>
      <c r="E368" s="34"/>
      <c r="F368" s="34"/>
      <c r="G368" s="34"/>
      <c r="H368" s="34"/>
      <c r="I368" s="6"/>
      <c r="J368" s="2"/>
      <c r="K368" s="2"/>
      <c r="L368" s="6"/>
      <c r="M368" s="6"/>
      <c r="N368" s="6"/>
      <c r="O368" s="34"/>
      <c r="P368" s="34"/>
      <c r="Q368" s="2"/>
      <c r="R368" s="34"/>
      <c r="S368" s="34"/>
      <c r="T368" s="34"/>
      <c r="U368" s="2"/>
      <c r="V368" s="2"/>
      <c r="W368" s="2"/>
      <c r="X368" s="34"/>
    </row>
    <row x14ac:dyDescent="0.25" r="369" customHeight="1" ht="15.75">
      <c r="A369" s="1"/>
      <c r="B369" s="34"/>
      <c r="C369" s="2"/>
      <c r="D369" s="34"/>
      <c r="E369" s="34"/>
      <c r="F369" s="34"/>
      <c r="G369" s="34"/>
      <c r="H369" s="34"/>
      <c r="I369" s="6"/>
      <c r="J369" s="2"/>
      <c r="K369" s="2"/>
      <c r="L369" s="6"/>
      <c r="M369" s="6"/>
      <c r="N369" s="6"/>
      <c r="O369" s="34"/>
      <c r="P369" s="34"/>
      <c r="Q369" s="2"/>
      <c r="R369" s="34"/>
      <c r="S369" s="34"/>
      <c r="T369" s="34"/>
      <c r="U369" s="2"/>
      <c r="V369" s="2"/>
      <c r="W369" s="2"/>
      <c r="X369" s="34"/>
    </row>
    <row x14ac:dyDescent="0.25" r="370" customHeight="1" ht="15.75">
      <c r="A370" s="1"/>
      <c r="B370" s="34"/>
      <c r="C370" s="2"/>
      <c r="D370" s="34"/>
      <c r="E370" s="34"/>
      <c r="F370" s="34"/>
      <c r="G370" s="34"/>
      <c r="H370" s="34"/>
      <c r="I370" s="6"/>
      <c r="J370" s="2"/>
      <c r="K370" s="2"/>
      <c r="L370" s="6"/>
      <c r="M370" s="6"/>
      <c r="N370" s="6"/>
      <c r="O370" s="34"/>
      <c r="P370" s="34"/>
      <c r="Q370" s="2"/>
      <c r="R370" s="34"/>
      <c r="S370" s="34"/>
      <c r="T370" s="34"/>
      <c r="U370" s="2"/>
      <c r="V370" s="2"/>
      <c r="W370" s="2"/>
      <c r="X370" s="34"/>
    </row>
    <row x14ac:dyDescent="0.25" r="371" customHeight="1" ht="15.75">
      <c r="A371" s="1"/>
      <c r="B371" s="34"/>
      <c r="C371" s="2"/>
      <c r="D371" s="34"/>
      <c r="E371" s="34"/>
      <c r="F371" s="34"/>
      <c r="G371" s="34"/>
      <c r="H371" s="34"/>
      <c r="I371" s="6"/>
      <c r="J371" s="2"/>
      <c r="K371" s="2"/>
      <c r="L371" s="6"/>
      <c r="M371" s="6"/>
      <c r="N371" s="6"/>
      <c r="O371" s="34"/>
      <c r="P371" s="34"/>
      <c r="Q371" s="2"/>
      <c r="R371" s="34"/>
      <c r="S371" s="34"/>
      <c r="T371" s="34"/>
      <c r="U371" s="2"/>
      <c r="V371" s="2"/>
      <c r="W371" s="2"/>
      <c r="X371" s="34"/>
    </row>
    <row x14ac:dyDescent="0.25" r="372" customHeight="1" ht="15.75">
      <c r="A372" s="1"/>
      <c r="B372" s="34"/>
      <c r="C372" s="2"/>
      <c r="D372" s="34"/>
      <c r="E372" s="34"/>
      <c r="F372" s="34"/>
      <c r="G372" s="34"/>
      <c r="H372" s="34"/>
      <c r="I372" s="6"/>
      <c r="J372" s="2"/>
      <c r="K372" s="2"/>
      <c r="L372" s="6"/>
      <c r="M372" s="6"/>
      <c r="N372" s="6"/>
      <c r="O372" s="34"/>
      <c r="P372" s="34"/>
      <c r="Q372" s="2"/>
      <c r="R372" s="34"/>
      <c r="S372" s="34"/>
      <c r="T372" s="34"/>
      <c r="U372" s="2"/>
      <c r="V372" s="2"/>
      <c r="W372" s="2"/>
      <c r="X372" s="34"/>
    </row>
    <row x14ac:dyDescent="0.25" r="373" customHeight="1" ht="15.75">
      <c r="A373" s="1"/>
      <c r="B373" s="34"/>
      <c r="C373" s="2"/>
      <c r="D373" s="34"/>
      <c r="E373" s="34"/>
      <c r="F373" s="34"/>
      <c r="G373" s="34"/>
      <c r="H373" s="34"/>
      <c r="I373" s="6"/>
      <c r="J373" s="2"/>
      <c r="K373" s="2"/>
      <c r="L373" s="6"/>
      <c r="M373" s="6"/>
      <c r="N373" s="6"/>
      <c r="O373" s="34"/>
      <c r="P373" s="34"/>
      <c r="Q373" s="2"/>
      <c r="R373" s="34"/>
      <c r="S373" s="34"/>
      <c r="T373" s="34"/>
      <c r="U373" s="2"/>
      <c r="V373" s="2"/>
      <c r="W373" s="2"/>
      <c r="X373" s="34"/>
    </row>
    <row x14ac:dyDescent="0.25" r="374" customHeight="1" ht="15.75">
      <c r="A374" s="1"/>
      <c r="B374" s="34"/>
      <c r="C374" s="2"/>
      <c r="D374" s="34"/>
      <c r="E374" s="34"/>
      <c r="F374" s="34"/>
      <c r="G374" s="34"/>
      <c r="H374" s="34"/>
      <c r="I374" s="6"/>
      <c r="J374" s="2"/>
      <c r="K374" s="2"/>
      <c r="L374" s="6"/>
      <c r="M374" s="6"/>
      <c r="N374" s="6"/>
      <c r="O374" s="34"/>
      <c r="P374" s="34"/>
      <c r="Q374" s="2"/>
      <c r="R374" s="34"/>
      <c r="S374" s="34"/>
      <c r="T374" s="34"/>
      <c r="U374" s="2"/>
      <c r="V374" s="2"/>
      <c r="W374" s="2"/>
      <c r="X374" s="34"/>
    </row>
    <row x14ac:dyDescent="0.25" r="375" customHeight="1" ht="15.75">
      <c r="A375" s="1"/>
      <c r="B375" s="34"/>
      <c r="C375" s="2"/>
      <c r="D375" s="34"/>
      <c r="E375" s="34"/>
      <c r="F375" s="34"/>
      <c r="G375" s="34"/>
      <c r="H375" s="34"/>
      <c r="I375" s="6"/>
      <c r="J375" s="2"/>
      <c r="K375" s="2"/>
      <c r="L375" s="6"/>
      <c r="M375" s="6"/>
      <c r="N375" s="6"/>
      <c r="O375" s="34"/>
      <c r="P375" s="34"/>
      <c r="Q375" s="2"/>
      <c r="R375" s="34"/>
      <c r="S375" s="34"/>
      <c r="T375" s="34"/>
      <c r="U375" s="2"/>
      <c r="V375" s="2"/>
      <c r="W375" s="2"/>
      <c r="X375" s="34"/>
    </row>
    <row x14ac:dyDescent="0.25" r="376" customHeight="1" ht="15.75">
      <c r="A376" s="1"/>
      <c r="B376" s="34"/>
      <c r="C376" s="2"/>
      <c r="D376" s="34"/>
      <c r="E376" s="34"/>
      <c r="F376" s="34"/>
      <c r="G376" s="34"/>
      <c r="H376" s="34"/>
      <c r="I376" s="6"/>
      <c r="J376" s="2"/>
      <c r="K376" s="2"/>
      <c r="L376" s="6"/>
      <c r="M376" s="6"/>
      <c r="N376" s="6"/>
      <c r="O376" s="34"/>
      <c r="P376" s="34"/>
      <c r="Q376" s="2"/>
      <c r="R376" s="34"/>
      <c r="S376" s="34"/>
      <c r="T376" s="34"/>
      <c r="U376" s="2"/>
      <c r="V376" s="2"/>
      <c r="W376" s="2"/>
      <c r="X376" s="34"/>
    </row>
    <row x14ac:dyDescent="0.25" r="377" customHeight="1" ht="15.75">
      <c r="A377" s="1"/>
      <c r="B377" s="34"/>
      <c r="C377" s="2"/>
      <c r="D377" s="34"/>
      <c r="E377" s="34"/>
      <c r="F377" s="34"/>
      <c r="G377" s="34"/>
      <c r="H377" s="34"/>
      <c r="I377" s="6"/>
      <c r="J377" s="2"/>
      <c r="K377" s="2"/>
      <c r="L377" s="6"/>
      <c r="M377" s="6"/>
      <c r="N377" s="6"/>
      <c r="O377" s="34"/>
      <c r="P377" s="34"/>
      <c r="Q377" s="2"/>
      <c r="R377" s="34"/>
      <c r="S377" s="34"/>
      <c r="T377" s="34"/>
      <c r="U377" s="2"/>
      <c r="V377" s="2"/>
      <c r="W377" s="2"/>
      <c r="X377" s="34"/>
    </row>
    <row x14ac:dyDescent="0.25" r="378" customHeight="1" ht="15.75">
      <c r="A378" s="1"/>
      <c r="B378" s="34"/>
      <c r="C378" s="2"/>
      <c r="D378" s="34"/>
      <c r="E378" s="34"/>
      <c r="F378" s="34"/>
      <c r="G378" s="34"/>
      <c r="H378" s="34"/>
      <c r="I378" s="6"/>
      <c r="J378" s="2"/>
      <c r="K378" s="2"/>
      <c r="L378" s="6"/>
      <c r="M378" s="6"/>
      <c r="N378" s="6"/>
      <c r="O378" s="34"/>
      <c r="P378" s="34"/>
      <c r="Q378" s="2"/>
      <c r="R378" s="34"/>
      <c r="S378" s="34"/>
      <c r="T378" s="34"/>
      <c r="U378" s="2"/>
      <c r="V378" s="2"/>
      <c r="W378" s="2"/>
      <c r="X378" s="34"/>
    </row>
    <row x14ac:dyDescent="0.25" r="379" customHeight="1" ht="15.75">
      <c r="A379" s="1"/>
      <c r="B379" s="34"/>
      <c r="C379" s="2"/>
      <c r="D379" s="34"/>
      <c r="E379" s="34"/>
      <c r="F379" s="34"/>
      <c r="G379" s="34"/>
      <c r="H379" s="34"/>
      <c r="I379" s="6"/>
      <c r="J379" s="2"/>
      <c r="K379" s="2"/>
      <c r="L379" s="6"/>
      <c r="M379" s="6"/>
      <c r="N379" s="6"/>
      <c r="O379" s="34"/>
      <c r="P379" s="34"/>
      <c r="Q379" s="2"/>
      <c r="R379" s="34"/>
      <c r="S379" s="34"/>
      <c r="T379" s="34"/>
      <c r="U379" s="2"/>
      <c r="V379" s="2"/>
      <c r="W379" s="2"/>
      <c r="X379" s="34"/>
    </row>
    <row x14ac:dyDescent="0.25" r="380" customHeight="1" ht="15.75">
      <c r="A380" s="1"/>
      <c r="B380" s="34"/>
      <c r="C380" s="2"/>
      <c r="D380" s="34"/>
      <c r="E380" s="34"/>
      <c r="F380" s="34"/>
      <c r="G380" s="34"/>
      <c r="H380" s="34"/>
      <c r="I380" s="6"/>
      <c r="J380" s="2"/>
      <c r="K380" s="2"/>
      <c r="L380" s="6"/>
      <c r="M380" s="6"/>
      <c r="N380" s="6"/>
      <c r="O380" s="34"/>
      <c r="P380" s="34"/>
      <c r="Q380" s="2"/>
      <c r="R380" s="34"/>
      <c r="S380" s="34"/>
      <c r="T380" s="34"/>
      <c r="U380" s="2"/>
      <c r="V380" s="2"/>
      <c r="W380" s="2"/>
      <c r="X380" s="34"/>
    </row>
    <row x14ac:dyDescent="0.25" r="381" customHeight="1" ht="15.75">
      <c r="A381" s="1"/>
      <c r="B381" s="34"/>
      <c r="C381" s="2"/>
      <c r="D381" s="34"/>
      <c r="E381" s="34"/>
      <c r="F381" s="34"/>
      <c r="G381" s="34"/>
      <c r="H381" s="34"/>
      <c r="I381" s="6"/>
      <c r="J381" s="2"/>
      <c r="K381" s="2"/>
      <c r="L381" s="6"/>
      <c r="M381" s="6"/>
      <c r="N381" s="6"/>
      <c r="O381" s="34"/>
      <c r="P381" s="34"/>
      <c r="Q381" s="2"/>
      <c r="R381" s="34"/>
      <c r="S381" s="34"/>
      <c r="T381" s="34"/>
      <c r="U381" s="2"/>
      <c r="V381" s="2"/>
      <c r="W381" s="2"/>
      <c r="X381" s="34"/>
    </row>
    <row x14ac:dyDescent="0.25" r="382" customHeight="1" ht="15.75">
      <c r="A382" s="1"/>
      <c r="B382" s="34"/>
      <c r="C382" s="2"/>
      <c r="D382" s="34"/>
      <c r="E382" s="34"/>
      <c r="F382" s="34"/>
      <c r="G382" s="34"/>
      <c r="H382" s="34"/>
      <c r="I382" s="6"/>
      <c r="J382" s="2"/>
      <c r="K382" s="2"/>
      <c r="L382" s="6"/>
      <c r="M382" s="6"/>
      <c r="N382" s="6"/>
      <c r="O382" s="34"/>
      <c r="P382" s="34"/>
      <c r="Q382" s="2"/>
      <c r="R382" s="34"/>
      <c r="S382" s="34"/>
      <c r="T382" s="34"/>
      <c r="U382" s="2"/>
      <c r="V382" s="2"/>
      <c r="W382" s="2"/>
      <c r="X382" s="34"/>
    </row>
    <row x14ac:dyDescent="0.25" r="383" customHeight="1" ht="15.75">
      <c r="A383" s="1"/>
      <c r="B383" s="34"/>
      <c r="C383" s="2"/>
      <c r="D383" s="34"/>
      <c r="E383" s="34"/>
      <c r="F383" s="34"/>
      <c r="G383" s="34"/>
      <c r="H383" s="34"/>
      <c r="I383" s="6"/>
      <c r="J383" s="2"/>
      <c r="K383" s="2"/>
      <c r="L383" s="6"/>
      <c r="M383" s="6"/>
      <c r="N383" s="6"/>
      <c r="O383" s="34"/>
      <c r="P383" s="34"/>
      <c r="Q383" s="2"/>
      <c r="R383" s="34"/>
      <c r="S383" s="34"/>
      <c r="T383" s="34"/>
      <c r="U383" s="2"/>
      <c r="V383" s="2"/>
      <c r="W383" s="2"/>
      <c r="X383" s="34"/>
    </row>
    <row x14ac:dyDescent="0.25" r="384" customHeight="1" ht="15.75">
      <c r="A384" s="1"/>
      <c r="B384" s="34"/>
      <c r="C384" s="2"/>
      <c r="D384" s="34"/>
      <c r="E384" s="34"/>
      <c r="F384" s="34"/>
      <c r="G384" s="34"/>
      <c r="H384" s="34"/>
      <c r="I384" s="6"/>
      <c r="J384" s="2"/>
      <c r="K384" s="2"/>
      <c r="L384" s="6"/>
      <c r="M384" s="6"/>
      <c r="N384" s="6"/>
      <c r="O384" s="34"/>
      <c r="P384" s="34"/>
      <c r="Q384" s="2"/>
      <c r="R384" s="34"/>
      <c r="S384" s="34"/>
      <c r="T384" s="34"/>
      <c r="U384" s="2"/>
      <c r="V384" s="2"/>
      <c r="W384" s="2"/>
      <c r="X384" s="34"/>
    </row>
    <row x14ac:dyDescent="0.25" r="385" customHeight="1" ht="15.75">
      <c r="A385" s="1"/>
      <c r="B385" s="34"/>
      <c r="C385" s="2"/>
      <c r="D385" s="34"/>
      <c r="E385" s="34"/>
      <c r="F385" s="34"/>
      <c r="G385" s="34"/>
      <c r="H385" s="34"/>
      <c r="I385" s="6"/>
      <c r="J385" s="2"/>
      <c r="K385" s="2"/>
      <c r="L385" s="6"/>
      <c r="M385" s="6"/>
      <c r="N385" s="6"/>
      <c r="O385" s="34"/>
      <c r="P385" s="34"/>
      <c r="Q385" s="2"/>
      <c r="R385" s="34"/>
      <c r="S385" s="34"/>
      <c r="T385" s="34"/>
      <c r="U385" s="2"/>
      <c r="V385" s="2"/>
      <c r="W385" s="2"/>
      <c r="X385" s="34"/>
    </row>
    <row x14ac:dyDescent="0.25" r="386" customHeight="1" ht="15.75">
      <c r="A386" s="1"/>
      <c r="B386" s="34"/>
      <c r="C386" s="2"/>
      <c r="D386" s="34"/>
      <c r="E386" s="34"/>
      <c r="F386" s="34"/>
      <c r="G386" s="34"/>
      <c r="H386" s="34"/>
      <c r="I386" s="6"/>
      <c r="J386" s="2"/>
      <c r="K386" s="2"/>
      <c r="L386" s="6"/>
      <c r="M386" s="6"/>
      <c r="N386" s="6"/>
      <c r="O386" s="34"/>
      <c r="P386" s="34"/>
      <c r="Q386" s="2"/>
      <c r="R386" s="34"/>
      <c r="S386" s="34"/>
      <c r="T386" s="34"/>
      <c r="U386" s="2"/>
      <c r="V386" s="2"/>
      <c r="W386" s="2"/>
      <c r="X386" s="34"/>
    </row>
    <row x14ac:dyDescent="0.25" r="387" customHeight="1" ht="15.75">
      <c r="A387" s="1"/>
      <c r="B387" s="34"/>
      <c r="C387" s="2"/>
      <c r="D387" s="34"/>
      <c r="E387" s="34"/>
      <c r="F387" s="34"/>
      <c r="G387" s="34"/>
      <c r="H387" s="34"/>
      <c r="I387" s="6"/>
      <c r="J387" s="2"/>
      <c r="K387" s="2"/>
      <c r="L387" s="6"/>
      <c r="M387" s="6"/>
      <c r="N387" s="6"/>
      <c r="O387" s="34"/>
      <c r="P387" s="34"/>
      <c r="Q387" s="2"/>
      <c r="R387" s="34"/>
      <c r="S387" s="34"/>
      <c r="T387" s="34"/>
      <c r="U387" s="2"/>
      <c r="V387" s="2"/>
      <c r="W387" s="2"/>
      <c r="X387" s="34"/>
    </row>
    <row x14ac:dyDescent="0.25" r="388" customHeight="1" ht="15.75">
      <c r="A388" s="1"/>
      <c r="B388" s="34"/>
      <c r="C388" s="2"/>
      <c r="D388" s="34"/>
      <c r="E388" s="34"/>
      <c r="F388" s="34"/>
      <c r="G388" s="34"/>
      <c r="H388" s="34"/>
      <c r="I388" s="6"/>
      <c r="J388" s="2"/>
      <c r="K388" s="2"/>
      <c r="L388" s="6"/>
      <c r="M388" s="6"/>
      <c r="N388" s="6"/>
      <c r="O388" s="34"/>
      <c r="P388" s="34"/>
      <c r="Q388" s="2"/>
      <c r="R388" s="34"/>
      <c r="S388" s="34"/>
      <c r="T388" s="34"/>
      <c r="U388" s="2"/>
      <c r="V388" s="2"/>
      <c r="W388" s="2"/>
      <c r="X388" s="34"/>
    </row>
    <row x14ac:dyDescent="0.25" r="389" customHeight="1" ht="15.75">
      <c r="A389" s="1"/>
      <c r="B389" s="34"/>
      <c r="C389" s="2"/>
      <c r="D389" s="34"/>
      <c r="E389" s="34"/>
      <c r="F389" s="34"/>
      <c r="G389" s="34"/>
      <c r="H389" s="34"/>
      <c r="I389" s="6"/>
      <c r="J389" s="2"/>
      <c r="K389" s="2"/>
      <c r="L389" s="6"/>
      <c r="M389" s="6"/>
      <c r="N389" s="6"/>
      <c r="O389" s="34"/>
      <c r="P389" s="34"/>
      <c r="Q389" s="2"/>
      <c r="R389" s="34"/>
      <c r="S389" s="34"/>
      <c r="T389" s="34"/>
      <c r="U389" s="2"/>
      <c r="V389" s="2"/>
      <c r="W389" s="2"/>
      <c r="X389" s="34"/>
    </row>
    <row x14ac:dyDescent="0.25" r="390" customHeight="1" ht="15.75">
      <c r="A390" s="1"/>
      <c r="B390" s="34"/>
      <c r="C390" s="2"/>
      <c r="D390" s="34"/>
      <c r="E390" s="34"/>
      <c r="F390" s="34"/>
      <c r="G390" s="34"/>
      <c r="H390" s="34"/>
      <c r="I390" s="6"/>
      <c r="J390" s="2"/>
      <c r="K390" s="2"/>
      <c r="L390" s="6"/>
      <c r="M390" s="6"/>
      <c r="N390" s="6"/>
      <c r="O390" s="34"/>
      <c r="P390" s="34"/>
      <c r="Q390" s="2"/>
      <c r="R390" s="34"/>
      <c r="S390" s="34"/>
      <c r="T390" s="34"/>
      <c r="U390" s="2"/>
      <c r="V390" s="2"/>
      <c r="W390" s="2"/>
      <c r="X390" s="34"/>
    </row>
    <row x14ac:dyDescent="0.25" r="391" customHeight="1" ht="15.75">
      <c r="A391" s="1"/>
      <c r="B391" s="34"/>
      <c r="C391" s="2"/>
      <c r="D391" s="34"/>
      <c r="E391" s="34"/>
      <c r="F391" s="34"/>
      <c r="G391" s="34"/>
      <c r="H391" s="34"/>
      <c r="I391" s="6"/>
      <c r="J391" s="2"/>
      <c r="K391" s="2"/>
      <c r="L391" s="6"/>
      <c r="M391" s="6"/>
      <c r="N391" s="6"/>
      <c r="O391" s="34"/>
      <c r="P391" s="34"/>
      <c r="Q391" s="2"/>
      <c r="R391" s="34"/>
      <c r="S391" s="34"/>
      <c r="T391" s="34"/>
      <c r="U391" s="2"/>
      <c r="V391" s="2"/>
      <c r="W391" s="2"/>
      <c r="X391" s="34"/>
    </row>
    <row x14ac:dyDescent="0.25" r="392" customHeight="1" ht="15.75">
      <c r="A392" s="1"/>
      <c r="B392" s="34"/>
      <c r="C392" s="2"/>
      <c r="D392" s="34"/>
      <c r="E392" s="34"/>
      <c r="F392" s="34"/>
      <c r="G392" s="34"/>
      <c r="H392" s="34"/>
      <c r="I392" s="6"/>
      <c r="J392" s="2"/>
      <c r="K392" s="2"/>
      <c r="L392" s="6"/>
      <c r="M392" s="6"/>
      <c r="N392" s="6"/>
      <c r="O392" s="34"/>
      <c r="P392" s="34"/>
      <c r="Q392" s="2"/>
      <c r="R392" s="34"/>
      <c r="S392" s="34"/>
      <c r="T392" s="34"/>
      <c r="U392" s="2"/>
      <c r="V392" s="2"/>
      <c r="W392" s="2"/>
      <c r="X392" s="34"/>
    </row>
    <row x14ac:dyDescent="0.25" r="393" customHeight="1" ht="15.75">
      <c r="A393" s="1"/>
      <c r="B393" s="34"/>
      <c r="C393" s="2"/>
      <c r="D393" s="34"/>
      <c r="E393" s="34"/>
      <c r="F393" s="34"/>
      <c r="G393" s="34"/>
      <c r="H393" s="34"/>
      <c r="I393" s="6"/>
      <c r="J393" s="2"/>
      <c r="K393" s="2"/>
      <c r="L393" s="6"/>
      <c r="M393" s="6"/>
      <c r="N393" s="6"/>
      <c r="O393" s="34"/>
      <c r="P393" s="34"/>
      <c r="Q393" s="2"/>
      <c r="R393" s="34"/>
      <c r="S393" s="34"/>
      <c r="T393" s="34"/>
      <c r="U393" s="2"/>
      <c r="V393" s="2"/>
      <c r="W393" s="2"/>
      <c r="X393" s="34"/>
    </row>
    <row x14ac:dyDescent="0.25" r="394" customHeight="1" ht="15.75">
      <c r="A394" s="1"/>
      <c r="B394" s="34"/>
      <c r="C394" s="2"/>
      <c r="D394" s="34"/>
      <c r="E394" s="34"/>
      <c r="F394" s="34"/>
      <c r="G394" s="34"/>
      <c r="H394" s="34"/>
      <c r="I394" s="6"/>
      <c r="J394" s="2"/>
      <c r="K394" s="2"/>
      <c r="L394" s="6"/>
      <c r="M394" s="6"/>
      <c r="N394" s="6"/>
      <c r="O394" s="34"/>
      <c r="P394" s="34"/>
      <c r="Q394" s="2"/>
      <c r="R394" s="34"/>
      <c r="S394" s="34"/>
      <c r="T394" s="34"/>
      <c r="U394" s="2"/>
      <c r="V394" s="2"/>
      <c r="W394" s="2"/>
      <c r="X394" s="34"/>
    </row>
    <row x14ac:dyDescent="0.25" r="395" customHeight="1" ht="15.75">
      <c r="A395" s="1"/>
      <c r="B395" s="34"/>
      <c r="C395" s="2"/>
      <c r="D395" s="34"/>
      <c r="E395" s="34"/>
      <c r="F395" s="34"/>
      <c r="G395" s="34"/>
      <c r="H395" s="34"/>
      <c r="I395" s="6"/>
      <c r="J395" s="2"/>
      <c r="K395" s="2"/>
      <c r="L395" s="6"/>
      <c r="M395" s="6"/>
      <c r="N395" s="6"/>
      <c r="O395" s="34"/>
      <c r="P395" s="34"/>
      <c r="Q395" s="2"/>
      <c r="R395" s="34"/>
      <c r="S395" s="34"/>
      <c r="T395" s="34"/>
      <c r="U395" s="2"/>
      <c r="V395" s="2"/>
      <c r="W395" s="2"/>
      <c r="X395" s="34"/>
    </row>
    <row x14ac:dyDescent="0.25" r="396" customHeight="1" ht="15.75">
      <c r="A396" s="1"/>
      <c r="B396" s="34"/>
      <c r="C396" s="2"/>
      <c r="D396" s="34"/>
      <c r="E396" s="34"/>
      <c r="F396" s="34"/>
      <c r="G396" s="34"/>
      <c r="H396" s="34"/>
      <c r="I396" s="6"/>
      <c r="J396" s="2"/>
      <c r="K396" s="2"/>
      <c r="L396" s="6"/>
      <c r="M396" s="6"/>
      <c r="N396" s="6"/>
      <c r="O396" s="34"/>
      <c r="P396" s="34"/>
      <c r="Q396" s="2"/>
      <c r="R396" s="34"/>
      <c r="S396" s="34"/>
      <c r="T396" s="34"/>
      <c r="U396" s="2"/>
      <c r="V396" s="2"/>
      <c r="W396" s="2"/>
      <c r="X396" s="34"/>
    </row>
    <row x14ac:dyDescent="0.25" r="397" customHeight="1" ht="15.75">
      <c r="A397" s="1"/>
      <c r="B397" s="34"/>
      <c r="C397" s="2"/>
      <c r="D397" s="34"/>
      <c r="E397" s="34"/>
      <c r="F397" s="34"/>
      <c r="G397" s="34"/>
      <c r="H397" s="34"/>
      <c r="I397" s="6"/>
      <c r="J397" s="2"/>
      <c r="K397" s="2"/>
      <c r="L397" s="6"/>
      <c r="M397" s="6"/>
      <c r="N397" s="6"/>
      <c r="O397" s="34"/>
      <c r="P397" s="34"/>
      <c r="Q397" s="2"/>
      <c r="R397" s="34"/>
      <c r="S397" s="34"/>
      <c r="T397" s="34"/>
      <c r="U397" s="2"/>
      <c r="V397" s="2"/>
      <c r="W397" s="2"/>
      <c r="X397" s="34"/>
    </row>
    <row x14ac:dyDescent="0.25" r="398" customHeight="1" ht="15.75">
      <c r="A398" s="1"/>
      <c r="B398" s="34"/>
      <c r="C398" s="2"/>
      <c r="D398" s="34"/>
      <c r="E398" s="34"/>
      <c r="F398" s="34"/>
      <c r="G398" s="34"/>
      <c r="H398" s="34"/>
      <c r="I398" s="6"/>
      <c r="J398" s="2"/>
      <c r="K398" s="2"/>
      <c r="L398" s="6"/>
      <c r="M398" s="6"/>
      <c r="N398" s="6"/>
      <c r="O398" s="34"/>
      <c r="P398" s="34"/>
      <c r="Q398" s="2"/>
      <c r="R398" s="34"/>
      <c r="S398" s="34"/>
      <c r="T398" s="34"/>
      <c r="U398" s="2"/>
      <c r="V398" s="2"/>
      <c r="W398" s="2"/>
      <c r="X398" s="34"/>
    </row>
    <row x14ac:dyDescent="0.25" r="399" customHeight="1" ht="15.75">
      <c r="A399" s="1"/>
      <c r="B399" s="34"/>
      <c r="C399" s="2"/>
      <c r="D399" s="34"/>
      <c r="E399" s="34"/>
      <c r="F399" s="34"/>
      <c r="G399" s="34"/>
      <c r="H399" s="34"/>
      <c r="I399" s="6"/>
      <c r="J399" s="2"/>
      <c r="K399" s="2"/>
      <c r="L399" s="6"/>
      <c r="M399" s="6"/>
      <c r="N399" s="6"/>
      <c r="O399" s="34"/>
      <c r="P399" s="34"/>
      <c r="Q399" s="2"/>
      <c r="R399" s="34"/>
      <c r="S399" s="34"/>
      <c r="T399" s="34"/>
      <c r="U399" s="2"/>
      <c r="V399" s="2"/>
      <c r="W399" s="2"/>
      <c r="X399" s="34"/>
    </row>
    <row x14ac:dyDescent="0.25" r="400" customHeight="1" ht="15.75">
      <c r="A400" s="1"/>
      <c r="B400" s="34"/>
      <c r="C400" s="2"/>
      <c r="D400" s="34"/>
      <c r="E400" s="34"/>
      <c r="F400" s="34"/>
      <c r="G400" s="34"/>
      <c r="H400" s="34"/>
      <c r="I400" s="6"/>
      <c r="J400" s="2"/>
      <c r="K400" s="2"/>
      <c r="L400" s="6"/>
      <c r="M400" s="6"/>
      <c r="N400" s="6"/>
      <c r="O400" s="34"/>
      <c r="P400" s="34"/>
      <c r="Q400" s="2"/>
      <c r="R400" s="34"/>
      <c r="S400" s="34"/>
      <c r="T400" s="34"/>
      <c r="U400" s="2"/>
      <c r="V400" s="2"/>
      <c r="W400" s="2"/>
      <c r="X400" s="34"/>
    </row>
    <row x14ac:dyDescent="0.25" r="401" customHeight="1" ht="15.75">
      <c r="A401" s="1"/>
      <c r="B401" s="34"/>
      <c r="C401" s="2"/>
      <c r="D401" s="34"/>
      <c r="E401" s="34"/>
      <c r="F401" s="34"/>
      <c r="G401" s="34"/>
      <c r="H401" s="34"/>
      <c r="I401" s="6"/>
      <c r="J401" s="2"/>
      <c r="K401" s="2"/>
      <c r="L401" s="6"/>
      <c r="M401" s="6"/>
      <c r="N401" s="6"/>
      <c r="O401" s="34"/>
      <c r="P401" s="34"/>
      <c r="Q401" s="2"/>
      <c r="R401" s="34"/>
      <c r="S401" s="34"/>
      <c r="T401" s="34"/>
      <c r="U401" s="2"/>
      <c r="V401" s="2"/>
      <c r="W401" s="2"/>
      <c r="X401" s="34"/>
    </row>
    <row x14ac:dyDescent="0.25" r="402" customHeight="1" ht="15.75">
      <c r="A402" s="1"/>
      <c r="B402" s="34"/>
      <c r="C402" s="2"/>
      <c r="D402" s="34"/>
      <c r="E402" s="34"/>
      <c r="F402" s="34"/>
      <c r="G402" s="34"/>
      <c r="H402" s="34"/>
      <c r="I402" s="6"/>
      <c r="J402" s="2"/>
      <c r="K402" s="2"/>
      <c r="L402" s="6"/>
      <c r="M402" s="6"/>
      <c r="N402" s="6"/>
      <c r="O402" s="34"/>
      <c r="P402" s="34"/>
      <c r="Q402" s="2"/>
      <c r="R402" s="34"/>
      <c r="S402" s="34"/>
      <c r="T402" s="34"/>
      <c r="U402" s="2"/>
      <c r="V402" s="2"/>
      <c r="W402" s="2"/>
      <c r="X402" s="34"/>
    </row>
    <row x14ac:dyDescent="0.25" r="403" customHeight="1" ht="15.75">
      <c r="A403" s="1"/>
      <c r="B403" s="34"/>
      <c r="C403" s="2"/>
      <c r="D403" s="34"/>
      <c r="E403" s="34"/>
      <c r="F403" s="34"/>
      <c r="G403" s="34"/>
      <c r="H403" s="34"/>
      <c r="I403" s="6"/>
      <c r="J403" s="2"/>
      <c r="K403" s="2"/>
      <c r="L403" s="6"/>
      <c r="M403" s="6"/>
      <c r="N403" s="6"/>
      <c r="O403" s="34"/>
      <c r="P403" s="34"/>
      <c r="Q403" s="2"/>
      <c r="R403" s="34"/>
      <c r="S403" s="34"/>
      <c r="T403" s="34"/>
      <c r="U403" s="2"/>
      <c r="V403" s="2"/>
      <c r="W403" s="2"/>
      <c r="X403" s="34"/>
    </row>
    <row x14ac:dyDescent="0.25" r="404" customHeight="1" ht="15.75">
      <c r="A404" s="1"/>
      <c r="B404" s="34"/>
      <c r="C404" s="2"/>
      <c r="D404" s="34"/>
      <c r="E404" s="34"/>
      <c r="F404" s="34"/>
      <c r="G404" s="34"/>
      <c r="H404" s="34"/>
      <c r="I404" s="6"/>
      <c r="J404" s="2"/>
      <c r="K404" s="2"/>
      <c r="L404" s="6"/>
      <c r="M404" s="6"/>
      <c r="N404" s="6"/>
      <c r="O404" s="34"/>
      <c r="P404" s="34"/>
      <c r="Q404" s="2"/>
      <c r="R404" s="34"/>
      <c r="S404" s="34"/>
      <c r="T404" s="34"/>
      <c r="U404" s="2"/>
      <c r="V404" s="2"/>
      <c r="W404" s="2"/>
      <c r="X404" s="34"/>
    </row>
    <row x14ac:dyDescent="0.25" r="405" customHeight="1" ht="15.75">
      <c r="A405" s="1"/>
      <c r="B405" s="34"/>
      <c r="C405" s="2"/>
      <c r="D405" s="34"/>
      <c r="E405" s="34"/>
      <c r="F405" s="34"/>
      <c r="G405" s="34"/>
      <c r="H405" s="34"/>
      <c r="I405" s="6"/>
      <c r="J405" s="2"/>
      <c r="K405" s="2"/>
      <c r="L405" s="6"/>
      <c r="M405" s="6"/>
      <c r="N405" s="6"/>
      <c r="O405" s="34"/>
      <c r="P405" s="34"/>
      <c r="Q405" s="2"/>
      <c r="R405" s="34"/>
      <c r="S405" s="34"/>
      <c r="T405" s="34"/>
      <c r="U405" s="2"/>
      <c r="V405" s="2"/>
      <c r="W405" s="2"/>
      <c r="X405" s="34"/>
    </row>
    <row x14ac:dyDescent="0.25" r="406" customHeight="1" ht="15.75">
      <c r="A406" s="1"/>
      <c r="B406" s="34"/>
      <c r="C406" s="2"/>
      <c r="D406" s="34"/>
      <c r="E406" s="34"/>
      <c r="F406" s="34"/>
      <c r="G406" s="34"/>
      <c r="H406" s="34"/>
      <c r="I406" s="6"/>
      <c r="J406" s="2"/>
      <c r="K406" s="2"/>
      <c r="L406" s="6"/>
      <c r="M406" s="6"/>
      <c r="N406" s="6"/>
      <c r="O406" s="34"/>
      <c r="P406" s="34"/>
      <c r="Q406" s="2"/>
      <c r="R406" s="34"/>
      <c r="S406" s="34"/>
      <c r="T406" s="34"/>
      <c r="U406" s="2"/>
      <c r="V406" s="2"/>
      <c r="W406" s="2"/>
      <c r="X406" s="34"/>
    </row>
    <row x14ac:dyDescent="0.25" r="407" customHeight="1" ht="15.75">
      <c r="A407" s="1"/>
      <c r="B407" s="34"/>
      <c r="C407" s="2"/>
      <c r="D407" s="34"/>
      <c r="E407" s="34"/>
      <c r="F407" s="34"/>
      <c r="G407" s="34"/>
      <c r="H407" s="34"/>
      <c r="I407" s="6"/>
      <c r="J407" s="2"/>
      <c r="K407" s="2"/>
      <c r="L407" s="6"/>
      <c r="M407" s="6"/>
      <c r="N407" s="6"/>
      <c r="O407" s="34"/>
      <c r="P407" s="34"/>
      <c r="Q407" s="2"/>
      <c r="R407" s="34"/>
      <c r="S407" s="34"/>
      <c r="T407" s="34"/>
      <c r="U407" s="2"/>
      <c r="V407" s="2"/>
      <c r="W407" s="2"/>
      <c r="X407" s="34"/>
    </row>
    <row x14ac:dyDescent="0.25" r="408" customHeight="1" ht="15.75">
      <c r="A408" s="1"/>
      <c r="B408" s="34"/>
      <c r="C408" s="2"/>
      <c r="D408" s="34"/>
      <c r="E408" s="34"/>
      <c r="F408" s="34"/>
      <c r="G408" s="34"/>
      <c r="H408" s="34"/>
      <c r="I408" s="6"/>
      <c r="J408" s="2"/>
      <c r="K408" s="2"/>
      <c r="L408" s="6"/>
      <c r="M408" s="6"/>
      <c r="N408" s="6"/>
      <c r="O408" s="34"/>
      <c r="P408" s="34"/>
      <c r="Q408" s="2"/>
      <c r="R408" s="34"/>
      <c r="S408" s="34"/>
      <c r="T408" s="34"/>
      <c r="U408" s="2"/>
      <c r="V408" s="2"/>
      <c r="W408" s="2"/>
      <c r="X408" s="34"/>
    </row>
    <row x14ac:dyDescent="0.25" r="409" customHeight="1" ht="15.75">
      <c r="A409" s="1"/>
      <c r="B409" s="34"/>
      <c r="C409" s="2"/>
      <c r="D409" s="34"/>
      <c r="E409" s="34"/>
      <c r="F409" s="34"/>
      <c r="G409" s="34"/>
      <c r="H409" s="34"/>
      <c r="I409" s="6"/>
      <c r="J409" s="2"/>
      <c r="K409" s="2"/>
      <c r="L409" s="6"/>
      <c r="M409" s="6"/>
      <c r="N409" s="6"/>
      <c r="O409" s="34"/>
      <c r="P409" s="34"/>
      <c r="Q409" s="2"/>
      <c r="R409" s="34"/>
      <c r="S409" s="34"/>
      <c r="T409" s="34"/>
      <c r="U409" s="2"/>
      <c r="V409" s="2"/>
      <c r="W409" s="2"/>
      <c r="X409" s="34"/>
    </row>
    <row x14ac:dyDescent="0.25" r="410" customHeight="1" ht="15.75">
      <c r="A410" s="1"/>
      <c r="B410" s="34"/>
      <c r="C410" s="2"/>
      <c r="D410" s="34"/>
      <c r="E410" s="34"/>
      <c r="F410" s="34"/>
      <c r="G410" s="34"/>
      <c r="H410" s="34"/>
      <c r="I410" s="6"/>
      <c r="J410" s="2"/>
      <c r="K410" s="2"/>
      <c r="L410" s="6"/>
      <c r="M410" s="6"/>
      <c r="N410" s="6"/>
      <c r="O410" s="34"/>
      <c r="P410" s="34"/>
      <c r="Q410" s="2"/>
      <c r="R410" s="34"/>
      <c r="S410" s="34"/>
      <c r="T410" s="34"/>
      <c r="U410" s="2"/>
      <c r="V410" s="2"/>
      <c r="W410" s="2"/>
      <c r="X410" s="34"/>
    </row>
    <row x14ac:dyDescent="0.25" r="411" customHeight="1" ht="15.75">
      <c r="A411" s="1"/>
      <c r="B411" s="34"/>
      <c r="C411" s="2"/>
      <c r="D411" s="34"/>
      <c r="E411" s="34"/>
      <c r="F411" s="34"/>
      <c r="G411" s="34"/>
      <c r="H411" s="34"/>
      <c r="I411" s="6"/>
      <c r="J411" s="2"/>
      <c r="K411" s="2"/>
      <c r="L411" s="6"/>
      <c r="M411" s="6"/>
      <c r="N411" s="6"/>
      <c r="O411" s="34"/>
      <c r="P411" s="34"/>
      <c r="Q411" s="2"/>
      <c r="R411" s="34"/>
      <c r="S411" s="34"/>
      <c r="T411" s="34"/>
      <c r="U411" s="2"/>
      <c r="V411" s="2"/>
      <c r="W411" s="2"/>
      <c r="X411" s="34"/>
    </row>
    <row x14ac:dyDescent="0.25" r="412" customHeight="1" ht="15.75">
      <c r="A412" s="1"/>
      <c r="B412" s="34"/>
      <c r="C412" s="2"/>
      <c r="D412" s="34"/>
      <c r="E412" s="34"/>
      <c r="F412" s="34"/>
      <c r="G412" s="34"/>
      <c r="H412" s="34"/>
      <c r="I412" s="6"/>
      <c r="J412" s="2"/>
      <c r="K412" s="2"/>
      <c r="L412" s="6"/>
      <c r="M412" s="6"/>
      <c r="N412" s="6"/>
      <c r="O412" s="34"/>
      <c r="P412" s="34"/>
      <c r="Q412" s="2"/>
      <c r="R412" s="34"/>
      <c r="S412" s="34"/>
      <c r="T412" s="34"/>
      <c r="U412" s="2"/>
      <c r="V412" s="2"/>
      <c r="W412" s="2"/>
      <c r="X412" s="34"/>
    </row>
    <row x14ac:dyDescent="0.25" r="413" customHeight="1" ht="15.75">
      <c r="A413" s="1"/>
      <c r="B413" s="34"/>
      <c r="C413" s="2"/>
      <c r="D413" s="34"/>
      <c r="E413" s="34"/>
      <c r="F413" s="34"/>
      <c r="G413" s="34"/>
      <c r="H413" s="34"/>
      <c r="I413" s="6"/>
      <c r="J413" s="2"/>
      <c r="K413" s="2"/>
      <c r="L413" s="6"/>
      <c r="M413" s="6"/>
      <c r="N413" s="6"/>
      <c r="O413" s="34"/>
      <c r="P413" s="34"/>
      <c r="Q413" s="2"/>
      <c r="R413" s="34"/>
      <c r="S413" s="34"/>
      <c r="T413" s="34"/>
      <c r="U413" s="2"/>
      <c r="V413" s="2"/>
      <c r="W413" s="2"/>
      <c r="X413" s="34"/>
    </row>
    <row x14ac:dyDescent="0.25" r="414" customHeight="1" ht="15.75">
      <c r="A414" s="1"/>
      <c r="B414" s="34"/>
      <c r="C414" s="2"/>
      <c r="D414" s="34"/>
      <c r="E414" s="34"/>
      <c r="F414" s="34"/>
      <c r="G414" s="34"/>
      <c r="H414" s="34"/>
      <c r="I414" s="6"/>
      <c r="J414" s="2"/>
      <c r="K414" s="2"/>
      <c r="L414" s="6"/>
      <c r="M414" s="6"/>
      <c r="N414" s="6"/>
      <c r="O414" s="34"/>
      <c r="P414" s="34"/>
      <c r="Q414" s="2"/>
      <c r="R414" s="34"/>
      <c r="S414" s="34"/>
      <c r="T414" s="34"/>
      <c r="U414" s="2"/>
      <c r="V414" s="2"/>
      <c r="W414" s="2"/>
      <c r="X414" s="34"/>
    </row>
    <row x14ac:dyDescent="0.25" r="415" customHeight="1" ht="15.75">
      <c r="A415" s="1"/>
      <c r="B415" s="34"/>
      <c r="C415" s="2"/>
      <c r="D415" s="34"/>
      <c r="E415" s="34"/>
      <c r="F415" s="34"/>
      <c r="G415" s="34"/>
      <c r="H415" s="34"/>
      <c r="I415" s="6"/>
      <c r="J415" s="2"/>
      <c r="K415" s="2"/>
      <c r="L415" s="6"/>
      <c r="M415" s="6"/>
      <c r="N415" s="6"/>
      <c r="O415" s="34"/>
      <c r="P415" s="34"/>
      <c r="Q415" s="2"/>
      <c r="R415" s="34"/>
      <c r="S415" s="34"/>
      <c r="T415" s="34"/>
      <c r="U415" s="2"/>
      <c r="V415" s="2"/>
      <c r="W415" s="2"/>
      <c r="X415" s="34"/>
    </row>
    <row x14ac:dyDescent="0.25" r="416" customHeight="1" ht="15.75">
      <c r="A416" s="1"/>
      <c r="B416" s="34"/>
      <c r="C416" s="2"/>
      <c r="D416" s="34"/>
      <c r="E416" s="34"/>
      <c r="F416" s="34"/>
      <c r="G416" s="34"/>
      <c r="H416" s="34"/>
      <c r="I416" s="6"/>
      <c r="J416" s="2"/>
      <c r="K416" s="2"/>
      <c r="L416" s="6"/>
      <c r="M416" s="6"/>
      <c r="N416" s="6"/>
      <c r="O416" s="34"/>
      <c r="P416" s="34"/>
      <c r="Q416" s="2"/>
      <c r="R416" s="34"/>
      <c r="S416" s="34"/>
      <c r="T416" s="34"/>
      <c r="U416" s="2"/>
      <c r="V416" s="2"/>
      <c r="W416" s="2"/>
      <c r="X416" s="34"/>
    </row>
    <row x14ac:dyDescent="0.25" r="417" customHeight="1" ht="15.75">
      <c r="A417" s="1"/>
      <c r="B417" s="34"/>
      <c r="C417" s="2"/>
      <c r="D417" s="34"/>
      <c r="E417" s="34"/>
      <c r="F417" s="34"/>
      <c r="G417" s="34"/>
      <c r="H417" s="34"/>
      <c r="I417" s="6"/>
      <c r="J417" s="2"/>
      <c r="K417" s="2"/>
      <c r="L417" s="6"/>
      <c r="M417" s="6"/>
      <c r="N417" s="6"/>
      <c r="O417" s="34"/>
      <c r="P417" s="34"/>
      <c r="Q417" s="2"/>
      <c r="R417" s="34"/>
      <c r="S417" s="34"/>
      <c r="T417" s="34"/>
      <c r="U417" s="2"/>
      <c r="V417" s="2"/>
      <c r="W417" s="2"/>
      <c r="X417" s="34"/>
    </row>
    <row x14ac:dyDescent="0.25" r="418" customHeight="1" ht="15.75">
      <c r="A418" s="1"/>
      <c r="B418" s="34"/>
      <c r="C418" s="2"/>
      <c r="D418" s="34"/>
      <c r="E418" s="34"/>
      <c r="F418" s="34"/>
      <c r="G418" s="34"/>
      <c r="H418" s="34"/>
      <c r="I418" s="6"/>
      <c r="J418" s="2"/>
      <c r="K418" s="2"/>
      <c r="L418" s="6"/>
      <c r="M418" s="6"/>
      <c r="N418" s="6"/>
      <c r="O418" s="34"/>
      <c r="P418" s="34"/>
      <c r="Q418" s="2"/>
      <c r="R418" s="34"/>
      <c r="S418" s="34"/>
      <c r="T418" s="34"/>
      <c r="U418" s="2"/>
      <c r="V418" s="2"/>
      <c r="W418" s="2"/>
      <c r="X418" s="34"/>
    </row>
    <row x14ac:dyDescent="0.25" r="419" customHeight="1" ht="15.75">
      <c r="A419" s="1"/>
      <c r="B419" s="34"/>
      <c r="C419" s="2"/>
      <c r="D419" s="34"/>
      <c r="E419" s="34"/>
      <c r="F419" s="34"/>
      <c r="G419" s="34"/>
      <c r="H419" s="34"/>
      <c r="I419" s="6"/>
      <c r="J419" s="2"/>
      <c r="K419" s="2"/>
      <c r="L419" s="6"/>
      <c r="M419" s="6"/>
      <c r="N419" s="6"/>
      <c r="O419" s="34"/>
      <c r="P419" s="34"/>
      <c r="Q419" s="2"/>
      <c r="R419" s="34"/>
      <c r="S419" s="34"/>
      <c r="T419" s="34"/>
      <c r="U419" s="2"/>
      <c r="V419" s="2"/>
      <c r="W419" s="2"/>
      <c r="X419" s="34"/>
    </row>
    <row x14ac:dyDescent="0.25" r="420" customHeight="1" ht="15.75">
      <c r="A420" s="1"/>
      <c r="B420" s="34"/>
      <c r="C420" s="2"/>
      <c r="D420" s="34"/>
      <c r="E420" s="34"/>
      <c r="F420" s="34"/>
      <c r="G420" s="34"/>
      <c r="H420" s="34"/>
      <c r="I420" s="6"/>
      <c r="J420" s="2"/>
      <c r="K420" s="2"/>
      <c r="L420" s="6"/>
      <c r="M420" s="6"/>
      <c r="N420" s="6"/>
      <c r="O420" s="34"/>
      <c r="P420" s="34"/>
      <c r="Q420" s="2"/>
      <c r="R420" s="34"/>
      <c r="S420" s="34"/>
      <c r="T420" s="34"/>
      <c r="U420" s="2"/>
      <c r="V420" s="2"/>
      <c r="W420" s="2"/>
      <c r="X420" s="34"/>
    </row>
    <row x14ac:dyDescent="0.25" r="421" customHeight="1" ht="15.75">
      <c r="A421" s="1"/>
      <c r="B421" s="34"/>
      <c r="C421" s="2"/>
      <c r="D421" s="34"/>
      <c r="E421" s="34"/>
      <c r="F421" s="34"/>
      <c r="G421" s="34"/>
      <c r="H421" s="34"/>
      <c r="I421" s="6"/>
      <c r="J421" s="2"/>
      <c r="K421" s="2"/>
      <c r="L421" s="6"/>
      <c r="M421" s="6"/>
      <c r="N421" s="6"/>
      <c r="O421" s="34"/>
      <c r="P421" s="34"/>
      <c r="Q421" s="2"/>
      <c r="R421" s="34"/>
      <c r="S421" s="34"/>
      <c r="T421" s="34"/>
      <c r="U421" s="2"/>
      <c r="V421" s="2"/>
      <c r="W421" s="2"/>
      <c r="X421" s="34"/>
    </row>
    <row x14ac:dyDescent="0.25" r="422" customHeight="1" ht="15.75">
      <c r="A422" s="1"/>
      <c r="B422" s="34"/>
      <c r="C422" s="2"/>
      <c r="D422" s="34"/>
      <c r="E422" s="34"/>
      <c r="F422" s="34"/>
      <c r="G422" s="34"/>
      <c r="H422" s="34"/>
      <c r="I422" s="6"/>
      <c r="J422" s="2"/>
      <c r="K422" s="2"/>
      <c r="L422" s="6"/>
      <c r="M422" s="6"/>
      <c r="N422" s="6"/>
      <c r="O422" s="34"/>
      <c r="P422" s="34"/>
      <c r="Q422" s="2"/>
      <c r="R422" s="34"/>
      <c r="S422" s="34"/>
      <c r="T422" s="34"/>
      <c r="U422" s="2"/>
      <c r="V422" s="2"/>
      <c r="W422" s="2"/>
      <c r="X422" s="34"/>
    </row>
    <row x14ac:dyDescent="0.25" r="423" customHeight="1" ht="15.75">
      <c r="A423" s="1"/>
      <c r="B423" s="34"/>
      <c r="C423" s="2"/>
      <c r="D423" s="34"/>
      <c r="E423" s="34"/>
      <c r="F423" s="34"/>
      <c r="G423" s="34"/>
      <c r="H423" s="34"/>
      <c r="I423" s="6"/>
      <c r="J423" s="2"/>
      <c r="K423" s="2"/>
      <c r="L423" s="6"/>
      <c r="M423" s="6"/>
      <c r="N423" s="6"/>
      <c r="O423" s="34"/>
      <c r="P423" s="34"/>
      <c r="Q423" s="2"/>
      <c r="R423" s="34"/>
      <c r="S423" s="34"/>
      <c r="T423" s="34"/>
      <c r="U423" s="2"/>
      <c r="V423" s="2"/>
      <c r="W423" s="2"/>
      <c r="X423" s="34"/>
    </row>
    <row x14ac:dyDescent="0.25" r="424" customHeight="1" ht="15.75">
      <c r="A424" s="1"/>
      <c r="B424" s="34"/>
      <c r="C424" s="2"/>
      <c r="D424" s="34"/>
      <c r="E424" s="34"/>
      <c r="F424" s="34"/>
      <c r="G424" s="34"/>
      <c r="H424" s="34"/>
      <c r="I424" s="6"/>
      <c r="J424" s="2"/>
      <c r="K424" s="2"/>
      <c r="L424" s="6"/>
      <c r="M424" s="6"/>
      <c r="N424" s="6"/>
      <c r="O424" s="34"/>
      <c r="P424" s="34"/>
      <c r="Q424" s="2"/>
      <c r="R424" s="34"/>
      <c r="S424" s="34"/>
      <c r="T424" s="34"/>
      <c r="U424" s="2"/>
      <c r="V424" s="2"/>
      <c r="W424" s="2"/>
      <c r="X424" s="34"/>
    </row>
    <row x14ac:dyDescent="0.25" r="425" customHeight="1" ht="15.75">
      <c r="A425" s="1"/>
      <c r="B425" s="34"/>
      <c r="C425" s="2"/>
      <c r="D425" s="34"/>
      <c r="E425" s="34"/>
      <c r="F425" s="34"/>
      <c r="G425" s="34"/>
      <c r="H425" s="34"/>
      <c r="I425" s="6"/>
      <c r="J425" s="2"/>
      <c r="K425" s="2"/>
      <c r="L425" s="6"/>
      <c r="M425" s="6"/>
      <c r="N425" s="6"/>
      <c r="O425" s="34"/>
      <c r="P425" s="34"/>
      <c r="Q425" s="2"/>
      <c r="R425" s="34"/>
      <c r="S425" s="34"/>
      <c r="T425" s="34"/>
      <c r="U425" s="2"/>
      <c r="V425" s="2"/>
      <c r="W425" s="2"/>
      <c r="X425" s="34"/>
    </row>
    <row x14ac:dyDescent="0.25" r="426" customHeight="1" ht="15.75">
      <c r="A426" s="1"/>
      <c r="B426" s="34"/>
      <c r="C426" s="2"/>
      <c r="D426" s="34"/>
      <c r="E426" s="34"/>
      <c r="F426" s="34"/>
      <c r="G426" s="34"/>
      <c r="H426" s="34"/>
      <c r="I426" s="6"/>
      <c r="J426" s="2"/>
      <c r="K426" s="2"/>
      <c r="L426" s="6"/>
      <c r="M426" s="6"/>
      <c r="N426" s="6"/>
      <c r="O426" s="34"/>
      <c r="P426" s="34"/>
      <c r="Q426" s="2"/>
      <c r="R426" s="34"/>
      <c r="S426" s="34"/>
      <c r="T426" s="34"/>
      <c r="U426" s="2"/>
      <c r="V426" s="2"/>
      <c r="W426" s="2"/>
      <c r="X426" s="34"/>
    </row>
    <row x14ac:dyDescent="0.25" r="427" customHeight="1" ht="15.75">
      <c r="A427" s="1"/>
      <c r="B427" s="34"/>
      <c r="C427" s="2"/>
      <c r="D427" s="34"/>
      <c r="E427" s="34"/>
      <c r="F427" s="34"/>
      <c r="G427" s="34"/>
      <c r="H427" s="34"/>
      <c r="I427" s="6"/>
      <c r="J427" s="2"/>
      <c r="K427" s="2"/>
      <c r="L427" s="6"/>
      <c r="M427" s="6"/>
      <c r="N427" s="6"/>
      <c r="O427" s="34"/>
      <c r="P427" s="34"/>
      <c r="Q427" s="2"/>
      <c r="R427" s="34"/>
      <c r="S427" s="34"/>
      <c r="T427" s="34"/>
      <c r="U427" s="2"/>
      <c r="V427" s="2"/>
      <c r="W427" s="2"/>
      <c r="X427" s="34"/>
    </row>
    <row x14ac:dyDescent="0.25" r="428" customHeight="1" ht="15.75">
      <c r="A428" s="1"/>
      <c r="B428" s="34"/>
      <c r="C428" s="2"/>
      <c r="D428" s="34"/>
      <c r="E428" s="34"/>
      <c r="F428" s="34"/>
      <c r="G428" s="34"/>
      <c r="H428" s="34"/>
      <c r="I428" s="6"/>
      <c r="J428" s="2"/>
      <c r="K428" s="2"/>
      <c r="L428" s="6"/>
      <c r="M428" s="6"/>
      <c r="N428" s="6"/>
      <c r="O428" s="34"/>
      <c r="P428" s="34"/>
      <c r="Q428" s="2"/>
      <c r="R428" s="34"/>
      <c r="S428" s="34"/>
      <c r="T428" s="34"/>
      <c r="U428" s="2"/>
      <c r="V428" s="2"/>
      <c r="W428" s="2"/>
      <c r="X428" s="34"/>
    </row>
    <row x14ac:dyDescent="0.25" r="429" customHeight="1" ht="15.75">
      <c r="A429" s="1"/>
      <c r="B429" s="34"/>
      <c r="C429" s="2"/>
      <c r="D429" s="34"/>
      <c r="E429" s="34"/>
      <c r="F429" s="34"/>
      <c r="G429" s="34"/>
      <c r="H429" s="34"/>
      <c r="I429" s="6"/>
      <c r="J429" s="2"/>
      <c r="K429" s="2"/>
      <c r="L429" s="6"/>
      <c r="M429" s="6"/>
      <c r="N429" s="6"/>
      <c r="O429" s="34"/>
      <c r="P429" s="34"/>
      <c r="Q429" s="2"/>
      <c r="R429" s="34"/>
      <c r="S429" s="34"/>
      <c r="T429" s="34"/>
      <c r="U429" s="2"/>
      <c r="V429" s="2"/>
      <c r="W429" s="2"/>
      <c r="X429" s="34"/>
    </row>
    <row x14ac:dyDescent="0.25" r="430" customHeight="1" ht="15.75">
      <c r="A430" s="1"/>
      <c r="B430" s="34"/>
      <c r="C430" s="2"/>
      <c r="D430" s="34"/>
      <c r="E430" s="34"/>
      <c r="F430" s="34"/>
      <c r="G430" s="34"/>
      <c r="H430" s="34"/>
      <c r="I430" s="6"/>
      <c r="J430" s="2"/>
      <c r="K430" s="2"/>
      <c r="L430" s="6"/>
      <c r="M430" s="6"/>
      <c r="N430" s="6"/>
      <c r="O430" s="34"/>
      <c r="P430" s="34"/>
      <c r="Q430" s="2"/>
      <c r="R430" s="34"/>
      <c r="S430" s="34"/>
      <c r="T430" s="34"/>
      <c r="U430" s="2"/>
      <c r="V430" s="2"/>
      <c r="W430" s="2"/>
      <c r="X430" s="34"/>
    </row>
    <row x14ac:dyDescent="0.25" r="431" customHeight="1" ht="15.75">
      <c r="A431" s="1"/>
      <c r="B431" s="34"/>
      <c r="C431" s="2"/>
      <c r="D431" s="34"/>
      <c r="E431" s="34"/>
      <c r="F431" s="34"/>
      <c r="G431" s="34"/>
      <c r="H431" s="34"/>
      <c r="I431" s="6"/>
      <c r="J431" s="2"/>
      <c r="K431" s="2"/>
      <c r="L431" s="6"/>
      <c r="M431" s="6"/>
      <c r="N431" s="6"/>
      <c r="O431" s="34"/>
      <c r="P431" s="34"/>
      <c r="Q431" s="2"/>
      <c r="R431" s="34"/>
      <c r="S431" s="34"/>
      <c r="T431" s="34"/>
      <c r="U431" s="2"/>
      <c r="V431" s="2"/>
      <c r="W431" s="2"/>
      <c r="X431" s="34"/>
    </row>
    <row x14ac:dyDescent="0.25" r="432" customHeight="1" ht="15.75">
      <c r="A432" s="1"/>
      <c r="B432" s="34"/>
      <c r="C432" s="2"/>
      <c r="D432" s="34"/>
      <c r="E432" s="34"/>
      <c r="F432" s="34"/>
      <c r="G432" s="34"/>
      <c r="H432" s="34"/>
      <c r="I432" s="6"/>
      <c r="J432" s="2"/>
      <c r="K432" s="2"/>
      <c r="L432" s="6"/>
      <c r="M432" s="6"/>
      <c r="N432" s="6"/>
      <c r="O432" s="34"/>
      <c r="P432" s="34"/>
      <c r="Q432" s="2"/>
      <c r="R432" s="34"/>
      <c r="S432" s="34"/>
      <c r="T432" s="34"/>
      <c r="U432" s="2"/>
      <c r="V432" s="2"/>
      <c r="W432" s="2"/>
      <c r="X432" s="34"/>
    </row>
    <row x14ac:dyDescent="0.25" r="433" customHeight="1" ht="15.75">
      <c r="A433" s="1"/>
      <c r="B433" s="34"/>
      <c r="C433" s="2"/>
      <c r="D433" s="34"/>
      <c r="E433" s="34"/>
      <c r="F433" s="34"/>
      <c r="G433" s="34"/>
      <c r="H433" s="34"/>
      <c r="I433" s="6"/>
      <c r="J433" s="2"/>
      <c r="K433" s="2"/>
      <c r="L433" s="6"/>
      <c r="M433" s="6"/>
      <c r="N433" s="6"/>
      <c r="O433" s="34"/>
      <c r="P433" s="34"/>
      <c r="Q433" s="2"/>
      <c r="R433" s="34"/>
      <c r="S433" s="34"/>
      <c r="T433" s="34"/>
      <c r="U433" s="2"/>
      <c r="V433" s="2"/>
      <c r="W433" s="2"/>
      <c r="X433" s="34"/>
    </row>
    <row x14ac:dyDescent="0.25" r="434" customHeight="1" ht="15.75">
      <c r="A434" s="1"/>
      <c r="B434" s="34"/>
      <c r="C434" s="2"/>
      <c r="D434" s="34"/>
      <c r="E434" s="34"/>
      <c r="F434" s="34"/>
      <c r="G434" s="34"/>
      <c r="H434" s="34"/>
      <c r="I434" s="6"/>
      <c r="J434" s="2"/>
      <c r="K434" s="2"/>
      <c r="L434" s="6"/>
      <c r="M434" s="6"/>
      <c r="N434" s="6"/>
      <c r="O434" s="34"/>
      <c r="P434" s="34"/>
      <c r="Q434" s="2"/>
      <c r="R434" s="34"/>
      <c r="S434" s="34"/>
      <c r="T434" s="34"/>
      <c r="U434" s="2"/>
      <c r="V434" s="2"/>
      <c r="W434" s="2"/>
      <c r="X434" s="34"/>
    </row>
    <row x14ac:dyDescent="0.25" r="435" customHeight="1" ht="15.75">
      <c r="A435" s="1"/>
      <c r="B435" s="34"/>
      <c r="C435" s="2"/>
      <c r="D435" s="34"/>
      <c r="E435" s="34"/>
      <c r="F435" s="34"/>
      <c r="G435" s="34"/>
      <c r="H435" s="34"/>
      <c r="I435" s="6"/>
      <c r="J435" s="2"/>
      <c r="K435" s="2"/>
      <c r="L435" s="6"/>
      <c r="M435" s="6"/>
      <c r="N435" s="6"/>
      <c r="O435" s="34"/>
      <c r="P435" s="34"/>
      <c r="Q435" s="2"/>
      <c r="R435" s="34"/>
      <c r="S435" s="34"/>
      <c r="T435" s="34"/>
      <c r="U435" s="2"/>
      <c r="V435" s="2"/>
      <c r="W435" s="2"/>
      <c r="X435" s="34"/>
    </row>
    <row x14ac:dyDescent="0.25" r="436" customHeight="1" ht="15.75">
      <c r="A436" s="1"/>
      <c r="B436" s="34"/>
      <c r="C436" s="2"/>
      <c r="D436" s="34"/>
      <c r="E436" s="34"/>
      <c r="F436" s="34"/>
      <c r="G436" s="34"/>
      <c r="H436" s="34"/>
      <c r="I436" s="6"/>
      <c r="J436" s="2"/>
      <c r="K436" s="2"/>
      <c r="L436" s="6"/>
      <c r="M436" s="6"/>
      <c r="N436" s="6"/>
      <c r="O436" s="34"/>
      <c r="P436" s="34"/>
      <c r="Q436" s="2"/>
      <c r="R436" s="34"/>
      <c r="S436" s="34"/>
      <c r="T436" s="34"/>
      <c r="U436" s="2"/>
      <c r="V436" s="2"/>
      <c r="W436" s="2"/>
      <c r="X436" s="34"/>
    </row>
    <row x14ac:dyDescent="0.25" r="437" customHeight="1" ht="15.75">
      <c r="A437" s="1"/>
      <c r="B437" s="34"/>
      <c r="C437" s="2"/>
      <c r="D437" s="34"/>
      <c r="E437" s="34"/>
      <c r="F437" s="34"/>
      <c r="G437" s="34"/>
      <c r="H437" s="34"/>
      <c r="I437" s="6"/>
      <c r="J437" s="2"/>
      <c r="K437" s="2"/>
      <c r="L437" s="6"/>
      <c r="M437" s="6"/>
      <c r="N437" s="6"/>
      <c r="O437" s="34"/>
      <c r="P437" s="34"/>
      <c r="Q437" s="2"/>
      <c r="R437" s="34"/>
      <c r="S437" s="34"/>
      <c r="T437" s="34"/>
      <c r="U437" s="2"/>
      <c r="V437" s="2"/>
      <c r="W437" s="2"/>
      <c r="X437" s="34"/>
    </row>
    <row x14ac:dyDescent="0.25" r="438" customHeight="1" ht="15.75">
      <c r="A438" s="1"/>
      <c r="B438" s="34"/>
      <c r="C438" s="2"/>
      <c r="D438" s="34"/>
      <c r="E438" s="34"/>
      <c r="F438" s="34"/>
      <c r="G438" s="34"/>
      <c r="H438" s="34"/>
      <c r="I438" s="6"/>
      <c r="J438" s="2"/>
      <c r="K438" s="2"/>
      <c r="L438" s="6"/>
      <c r="M438" s="6"/>
      <c r="N438" s="6"/>
      <c r="O438" s="34"/>
      <c r="P438" s="34"/>
      <c r="Q438" s="2"/>
      <c r="R438" s="34"/>
      <c r="S438" s="34"/>
      <c r="T438" s="34"/>
      <c r="U438" s="2"/>
      <c r="V438" s="2"/>
      <c r="W438" s="2"/>
      <c r="X438" s="34"/>
    </row>
    <row x14ac:dyDescent="0.25" r="439" customHeight="1" ht="15.75">
      <c r="A439" s="1"/>
      <c r="B439" s="34"/>
      <c r="C439" s="2"/>
      <c r="D439" s="34"/>
      <c r="E439" s="34"/>
      <c r="F439" s="34"/>
      <c r="G439" s="34"/>
      <c r="H439" s="34"/>
      <c r="I439" s="6"/>
      <c r="J439" s="2"/>
      <c r="K439" s="2"/>
      <c r="L439" s="6"/>
      <c r="M439" s="6"/>
      <c r="N439" s="6"/>
      <c r="O439" s="34"/>
      <c r="P439" s="34"/>
      <c r="Q439" s="2"/>
      <c r="R439" s="34"/>
      <c r="S439" s="34"/>
      <c r="T439" s="34"/>
      <c r="U439" s="2"/>
      <c r="V439" s="2"/>
      <c r="W439" s="2"/>
      <c r="X439" s="34"/>
    </row>
    <row x14ac:dyDescent="0.25" r="440" customHeight="1" ht="15.75">
      <c r="A440" s="1"/>
      <c r="B440" s="34"/>
      <c r="C440" s="2"/>
      <c r="D440" s="34"/>
      <c r="E440" s="34"/>
      <c r="F440" s="34"/>
      <c r="G440" s="34"/>
      <c r="H440" s="34"/>
      <c r="I440" s="6"/>
      <c r="J440" s="2"/>
      <c r="K440" s="2"/>
      <c r="L440" s="6"/>
      <c r="M440" s="6"/>
      <c r="N440" s="6"/>
      <c r="O440" s="34"/>
      <c r="P440" s="34"/>
      <c r="Q440" s="2"/>
      <c r="R440" s="34"/>
      <c r="S440" s="34"/>
      <c r="T440" s="34"/>
      <c r="U440" s="2"/>
      <c r="V440" s="2"/>
      <c r="W440" s="2"/>
      <c r="X440" s="34"/>
    </row>
    <row x14ac:dyDescent="0.25" r="441" customHeight="1" ht="15.75">
      <c r="A441" s="1"/>
      <c r="B441" s="34"/>
      <c r="C441" s="2"/>
      <c r="D441" s="34"/>
      <c r="E441" s="34"/>
      <c r="F441" s="34"/>
      <c r="G441" s="34"/>
      <c r="H441" s="34"/>
      <c r="I441" s="6"/>
      <c r="J441" s="2"/>
      <c r="K441" s="2"/>
      <c r="L441" s="6"/>
      <c r="M441" s="6"/>
      <c r="N441" s="6"/>
      <c r="O441" s="34"/>
      <c r="P441" s="34"/>
      <c r="Q441" s="2"/>
      <c r="R441" s="34"/>
      <c r="S441" s="34"/>
      <c r="T441" s="34"/>
      <c r="U441" s="2"/>
      <c r="V441" s="2"/>
      <c r="W441" s="2"/>
      <c r="X441" s="34"/>
    </row>
    <row x14ac:dyDescent="0.25" r="442" customHeight="1" ht="15.75">
      <c r="A442" s="1"/>
      <c r="B442" s="34"/>
      <c r="C442" s="2"/>
      <c r="D442" s="34"/>
      <c r="E442" s="34"/>
      <c r="F442" s="34"/>
      <c r="G442" s="34"/>
      <c r="H442" s="34"/>
      <c r="I442" s="6"/>
      <c r="J442" s="2"/>
      <c r="K442" s="2"/>
      <c r="L442" s="6"/>
      <c r="M442" s="6"/>
      <c r="N442" s="6"/>
      <c r="O442" s="34"/>
      <c r="P442" s="34"/>
      <c r="Q442" s="2"/>
      <c r="R442" s="34"/>
      <c r="S442" s="34"/>
      <c r="T442" s="34"/>
      <c r="U442" s="2"/>
      <c r="V442" s="2"/>
      <c r="W442" s="2"/>
      <c r="X442" s="34"/>
    </row>
    <row x14ac:dyDescent="0.25" r="443" customHeight="1" ht="15.75">
      <c r="A443" s="1"/>
      <c r="B443" s="34"/>
      <c r="C443" s="2"/>
      <c r="D443" s="34"/>
      <c r="E443" s="34"/>
      <c r="F443" s="34"/>
      <c r="G443" s="34"/>
      <c r="H443" s="34"/>
      <c r="I443" s="6"/>
      <c r="J443" s="2"/>
      <c r="K443" s="2"/>
      <c r="L443" s="6"/>
      <c r="M443" s="6"/>
      <c r="N443" s="6"/>
      <c r="O443" s="34"/>
      <c r="P443" s="34"/>
      <c r="Q443" s="2"/>
      <c r="R443" s="34"/>
      <c r="S443" s="34"/>
      <c r="T443" s="34"/>
      <c r="U443" s="2"/>
      <c r="V443" s="2"/>
      <c r="W443" s="2"/>
      <c r="X443" s="34"/>
    </row>
    <row x14ac:dyDescent="0.25" r="444" customHeight="1" ht="15.75">
      <c r="A444" s="1"/>
      <c r="B444" s="34"/>
      <c r="C444" s="2"/>
      <c r="D444" s="34"/>
      <c r="E444" s="34"/>
      <c r="F444" s="34"/>
      <c r="G444" s="34"/>
      <c r="H444" s="34"/>
      <c r="I444" s="6"/>
      <c r="J444" s="2"/>
      <c r="K444" s="2"/>
      <c r="L444" s="6"/>
      <c r="M444" s="6"/>
      <c r="N444" s="6"/>
      <c r="O444" s="34"/>
      <c r="P444" s="34"/>
      <c r="Q444" s="2"/>
      <c r="R444" s="34"/>
      <c r="S444" s="34"/>
      <c r="T444" s="34"/>
      <c r="U444" s="2"/>
      <c r="V444" s="2"/>
      <c r="W444" s="2"/>
      <c r="X444" s="34"/>
    </row>
    <row x14ac:dyDescent="0.25" r="445" customHeight="1" ht="15.75">
      <c r="A445" s="1"/>
      <c r="B445" s="34"/>
      <c r="C445" s="2"/>
      <c r="D445" s="34"/>
      <c r="E445" s="34"/>
      <c r="F445" s="34"/>
      <c r="G445" s="34"/>
      <c r="H445" s="34"/>
      <c r="I445" s="6"/>
      <c r="J445" s="2"/>
      <c r="K445" s="2"/>
      <c r="L445" s="6"/>
      <c r="M445" s="6"/>
      <c r="N445" s="6"/>
      <c r="O445" s="34"/>
      <c r="P445" s="34"/>
      <c r="Q445" s="2"/>
      <c r="R445" s="34"/>
      <c r="S445" s="34"/>
      <c r="T445" s="34"/>
      <c r="U445" s="2"/>
      <c r="V445" s="2"/>
      <c r="W445" s="2"/>
      <c r="X445" s="34"/>
    </row>
    <row x14ac:dyDescent="0.25" r="446" customHeight="1" ht="15.75">
      <c r="A446" s="1"/>
      <c r="B446" s="34"/>
      <c r="C446" s="2"/>
      <c r="D446" s="34"/>
      <c r="E446" s="34"/>
      <c r="F446" s="34"/>
      <c r="G446" s="34"/>
      <c r="H446" s="34"/>
      <c r="I446" s="6"/>
      <c r="J446" s="2"/>
      <c r="K446" s="2"/>
      <c r="L446" s="6"/>
      <c r="M446" s="6"/>
      <c r="N446" s="6"/>
      <c r="O446" s="34"/>
      <c r="P446" s="34"/>
      <c r="Q446" s="2"/>
      <c r="R446" s="34"/>
      <c r="S446" s="34"/>
      <c r="T446" s="34"/>
      <c r="U446" s="2"/>
      <c r="V446" s="2"/>
      <c r="W446" s="2"/>
      <c r="X446" s="34"/>
    </row>
    <row x14ac:dyDescent="0.25" r="447" customHeight="1" ht="15.75">
      <c r="A447" s="1"/>
      <c r="B447" s="34"/>
      <c r="C447" s="2"/>
      <c r="D447" s="34"/>
      <c r="E447" s="34"/>
      <c r="F447" s="34"/>
      <c r="G447" s="34"/>
      <c r="H447" s="34"/>
      <c r="I447" s="6"/>
      <c r="J447" s="2"/>
      <c r="K447" s="2"/>
      <c r="L447" s="6"/>
      <c r="M447" s="6"/>
      <c r="N447" s="6"/>
      <c r="O447" s="34"/>
      <c r="P447" s="34"/>
      <c r="Q447" s="2"/>
      <c r="R447" s="34"/>
      <c r="S447" s="34"/>
      <c r="T447" s="34"/>
      <c r="U447" s="2"/>
      <c r="V447" s="2"/>
      <c r="W447" s="2"/>
      <c r="X447" s="34"/>
    </row>
    <row x14ac:dyDescent="0.25" r="448" customHeight="1" ht="15.75">
      <c r="A448" s="1"/>
      <c r="B448" s="34"/>
      <c r="C448" s="2"/>
      <c r="D448" s="34"/>
      <c r="E448" s="34"/>
      <c r="F448" s="34"/>
      <c r="G448" s="34"/>
      <c r="H448" s="34"/>
      <c r="I448" s="6"/>
      <c r="J448" s="2"/>
      <c r="K448" s="2"/>
      <c r="L448" s="6"/>
      <c r="M448" s="6"/>
      <c r="N448" s="6"/>
      <c r="O448" s="34"/>
      <c r="P448" s="34"/>
      <c r="Q448" s="2"/>
      <c r="R448" s="34"/>
      <c r="S448" s="34"/>
      <c r="T448" s="34"/>
      <c r="U448" s="2"/>
      <c r="V448" s="2"/>
      <c r="W448" s="2"/>
      <c r="X448" s="34"/>
    </row>
    <row x14ac:dyDescent="0.25" r="449" customHeight="1" ht="15.75">
      <c r="A449" s="1"/>
      <c r="B449" s="34"/>
      <c r="C449" s="2"/>
      <c r="D449" s="34"/>
      <c r="E449" s="34"/>
      <c r="F449" s="34"/>
      <c r="G449" s="34"/>
      <c r="H449" s="34"/>
      <c r="I449" s="6"/>
      <c r="J449" s="2"/>
      <c r="K449" s="2"/>
      <c r="L449" s="6"/>
      <c r="M449" s="6"/>
      <c r="N449" s="6"/>
      <c r="O449" s="34"/>
      <c r="P449" s="34"/>
      <c r="Q449" s="2"/>
      <c r="R449" s="34"/>
      <c r="S449" s="34"/>
      <c r="T449" s="34"/>
      <c r="U449" s="2"/>
      <c r="V449" s="2"/>
      <c r="W449" s="2"/>
      <c r="X449" s="34"/>
    </row>
    <row x14ac:dyDescent="0.25" r="450" customHeight="1" ht="15.75">
      <c r="A450" s="1"/>
      <c r="B450" s="34"/>
      <c r="C450" s="2"/>
      <c r="D450" s="34"/>
      <c r="E450" s="34"/>
      <c r="F450" s="34"/>
      <c r="G450" s="34"/>
      <c r="H450" s="34"/>
      <c r="I450" s="6"/>
      <c r="J450" s="2"/>
      <c r="K450" s="2"/>
      <c r="L450" s="6"/>
      <c r="M450" s="6"/>
      <c r="N450" s="6"/>
      <c r="O450" s="34"/>
      <c r="P450" s="34"/>
      <c r="Q450" s="2"/>
      <c r="R450" s="34"/>
      <c r="S450" s="34"/>
      <c r="T450" s="34"/>
      <c r="U450" s="2"/>
      <c r="V450" s="2"/>
      <c r="W450" s="2"/>
      <c r="X450" s="34"/>
    </row>
    <row x14ac:dyDescent="0.25" r="451" customHeight="1" ht="15.75">
      <c r="A451" s="1"/>
      <c r="B451" s="34"/>
      <c r="C451" s="2"/>
      <c r="D451" s="34"/>
      <c r="E451" s="34"/>
      <c r="F451" s="34"/>
      <c r="G451" s="34"/>
      <c r="H451" s="34"/>
      <c r="I451" s="6"/>
      <c r="J451" s="2"/>
      <c r="K451" s="2"/>
      <c r="L451" s="6"/>
      <c r="M451" s="6"/>
      <c r="N451" s="6"/>
      <c r="O451" s="34"/>
      <c r="P451" s="34"/>
      <c r="Q451" s="2"/>
      <c r="R451" s="34"/>
      <c r="S451" s="34"/>
      <c r="T451" s="34"/>
      <c r="U451" s="2"/>
      <c r="V451" s="2"/>
      <c r="W451" s="2"/>
      <c r="X451" s="34"/>
    </row>
    <row x14ac:dyDescent="0.25" r="452" customHeight="1" ht="15.75">
      <c r="A452" s="1"/>
      <c r="B452" s="34"/>
      <c r="C452" s="2"/>
      <c r="D452" s="34"/>
      <c r="E452" s="34"/>
      <c r="F452" s="34"/>
      <c r="G452" s="34"/>
      <c r="H452" s="34"/>
      <c r="I452" s="6"/>
      <c r="J452" s="2"/>
      <c r="K452" s="2"/>
      <c r="L452" s="6"/>
      <c r="M452" s="6"/>
      <c r="N452" s="6"/>
      <c r="O452" s="34"/>
      <c r="P452" s="34"/>
      <c r="Q452" s="2"/>
      <c r="R452" s="34"/>
      <c r="S452" s="34"/>
      <c r="T452" s="34"/>
      <c r="U452" s="2"/>
      <c r="V452" s="2"/>
      <c r="W452" s="2"/>
      <c r="X452" s="34"/>
    </row>
    <row x14ac:dyDescent="0.25" r="453" customHeight="1" ht="15.75">
      <c r="A453" s="1"/>
      <c r="B453" s="34"/>
      <c r="C453" s="2"/>
      <c r="D453" s="34"/>
      <c r="E453" s="34"/>
      <c r="F453" s="34"/>
      <c r="G453" s="34"/>
      <c r="H453" s="34"/>
      <c r="I453" s="6"/>
      <c r="J453" s="2"/>
      <c r="K453" s="2"/>
      <c r="L453" s="6"/>
      <c r="M453" s="6"/>
      <c r="N453" s="6"/>
      <c r="O453" s="34"/>
      <c r="P453" s="34"/>
      <c r="Q453" s="2"/>
      <c r="R453" s="34"/>
      <c r="S453" s="34"/>
      <c r="T453" s="34"/>
      <c r="U453" s="2"/>
      <c r="V453" s="2"/>
      <c r="W453" s="2"/>
      <c r="X453" s="34"/>
    </row>
    <row x14ac:dyDescent="0.25" r="454" customHeight="1" ht="15.75">
      <c r="A454" s="1"/>
      <c r="B454" s="34"/>
      <c r="C454" s="2"/>
      <c r="D454" s="34"/>
      <c r="E454" s="34"/>
      <c r="F454" s="34"/>
      <c r="G454" s="34"/>
      <c r="H454" s="34"/>
      <c r="I454" s="6"/>
      <c r="J454" s="2"/>
      <c r="K454" s="2"/>
      <c r="L454" s="6"/>
      <c r="M454" s="6"/>
      <c r="N454" s="6"/>
      <c r="O454" s="34"/>
      <c r="P454" s="34"/>
      <c r="Q454" s="2"/>
      <c r="R454" s="34"/>
      <c r="S454" s="34"/>
      <c r="T454" s="34"/>
      <c r="U454" s="2"/>
      <c r="V454" s="2"/>
      <c r="W454" s="2"/>
      <c r="X454" s="34"/>
    </row>
    <row x14ac:dyDescent="0.25" r="455" customHeight="1" ht="15.75">
      <c r="A455" s="1"/>
      <c r="B455" s="34"/>
      <c r="C455" s="2"/>
      <c r="D455" s="34"/>
      <c r="E455" s="34"/>
      <c r="F455" s="34"/>
      <c r="G455" s="34"/>
      <c r="H455" s="34"/>
      <c r="I455" s="6"/>
      <c r="J455" s="2"/>
      <c r="K455" s="2"/>
      <c r="L455" s="6"/>
      <c r="M455" s="6"/>
      <c r="N455" s="6"/>
      <c r="O455" s="34"/>
      <c r="P455" s="34"/>
      <c r="Q455" s="2"/>
      <c r="R455" s="34"/>
      <c r="S455" s="34"/>
      <c r="T455" s="34"/>
      <c r="U455" s="2"/>
      <c r="V455" s="2"/>
      <c r="W455" s="2"/>
      <c r="X455" s="34"/>
    </row>
    <row x14ac:dyDescent="0.25" r="456" customHeight="1" ht="15.75">
      <c r="A456" s="1"/>
      <c r="B456" s="34"/>
      <c r="C456" s="2"/>
      <c r="D456" s="34"/>
      <c r="E456" s="34"/>
      <c r="F456" s="34"/>
      <c r="G456" s="34"/>
      <c r="H456" s="34"/>
      <c r="I456" s="6"/>
      <c r="J456" s="2"/>
      <c r="K456" s="2"/>
      <c r="L456" s="6"/>
      <c r="M456" s="6"/>
      <c r="N456" s="6"/>
      <c r="O456" s="34"/>
      <c r="P456" s="34"/>
      <c r="Q456" s="2"/>
      <c r="R456" s="34"/>
      <c r="S456" s="34"/>
      <c r="T456" s="34"/>
      <c r="U456" s="2"/>
      <c r="V456" s="2"/>
      <c r="W456" s="2"/>
      <c r="X456" s="34"/>
    </row>
    <row x14ac:dyDescent="0.25" r="457" customHeight="1" ht="15.75">
      <c r="A457" s="1"/>
      <c r="B457" s="34"/>
      <c r="C457" s="2"/>
      <c r="D457" s="34"/>
      <c r="E457" s="34"/>
      <c r="F457" s="34"/>
      <c r="G457" s="34"/>
      <c r="H457" s="34"/>
      <c r="I457" s="6"/>
      <c r="J457" s="2"/>
      <c r="K457" s="2"/>
      <c r="L457" s="6"/>
      <c r="M457" s="6"/>
      <c r="N457" s="6"/>
      <c r="O457" s="34"/>
      <c r="P457" s="34"/>
      <c r="Q457" s="2"/>
      <c r="R457" s="34"/>
      <c r="S457" s="34"/>
      <c r="T457" s="34"/>
      <c r="U457" s="2"/>
      <c r="V457" s="2"/>
      <c r="W457" s="2"/>
      <c r="X457" s="34"/>
    </row>
    <row x14ac:dyDescent="0.25" r="458" customHeight="1" ht="15.75">
      <c r="A458" s="1"/>
      <c r="B458" s="34"/>
      <c r="C458" s="2"/>
      <c r="D458" s="34"/>
      <c r="E458" s="34"/>
      <c r="F458" s="34"/>
      <c r="G458" s="34"/>
      <c r="H458" s="34"/>
      <c r="I458" s="6"/>
      <c r="J458" s="2"/>
      <c r="K458" s="2"/>
      <c r="L458" s="6"/>
      <c r="M458" s="6"/>
      <c r="N458" s="6"/>
      <c r="O458" s="34"/>
      <c r="P458" s="34"/>
      <c r="Q458" s="2"/>
      <c r="R458" s="34"/>
      <c r="S458" s="34"/>
      <c r="T458" s="34"/>
      <c r="U458" s="2"/>
      <c r="V458" s="2"/>
      <c r="W458" s="2"/>
      <c r="X458" s="34"/>
    </row>
    <row x14ac:dyDescent="0.25" r="459" customHeight="1" ht="15.75">
      <c r="A459" s="1"/>
      <c r="B459" s="34"/>
      <c r="C459" s="2"/>
      <c r="D459" s="34"/>
      <c r="E459" s="34"/>
      <c r="F459" s="34"/>
      <c r="G459" s="34"/>
      <c r="H459" s="34"/>
      <c r="I459" s="6"/>
      <c r="J459" s="2"/>
      <c r="K459" s="2"/>
      <c r="L459" s="6"/>
      <c r="M459" s="6"/>
      <c r="N459" s="6"/>
      <c r="O459" s="34"/>
      <c r="P459" s="34"/>
      <c r="Q459" s="2"/>
      <c r="R459" s="34"/>
      <c r="S459" s="34"/>
      <c r="T459" s="34"/>
      <c r="U459" s="2"/>
      <c r="V459" s="2"/>
      <c r="W459" s="2"/>
      <c r="X459" s="34"/>
    </row>
    <row x14ac:dyDescent="0.25" r="460" customHeight="1" ht="15.75">
      <c r="A460" s="1"/>
      <c r="B460" s="34"/>
      <c r="C460" s="2"/>
      <c r="D460" s="34"/>
      <c r="E460" s="34"/>
      <c r="F460" s="34"/>
      <c r="G460" s="34"/>
      <c r="H460" s="34"/>
      <c r="I460" s="6"/>
      <c r="J460" s="2"/>
      <c r="K460" s="2"/>
      <c r="L460" s="6"/>
      <c r="M460" s="6"/>
      <c r="N460" s="6"/>
      <c r="O460" s="34"/>
      <c r="P460" s="34"/>
      <c r="Q460" s="2"/>
      <c r="R460" s="34"/>
      <c r="S460" s="34"/>
      <c r="T460" s="34"/>
      <c r="U460" s="2"/>
      <c r="V460" s="2"/>
      <c r="W460" s="2"/>
      <c r="X460" s="34"/>
    </row>
    <row x14ac:dyDescent="0.25" r="461" customHeight="1" ht="15.75">
      <c r="A461" s="1"/>
      <c r="B461" s="34"/>
      <c r="C461" s="2"/>
      <c r="D461" s="34"/>
      <c r="E461" s="34"/>
      <c r="F461" s="34"/>
      <c r="G461" s="34"/>
      <c r="H461" s="34"/>
      <c r="I461" s="6"/>
      <c r="J461" s="2"/>
      <c r="K461" s="2"/>
      <c r="L461" s="6"/>
      <c r="M461" s="6"/>
      <c r="N461" s="6"/>
      <c r="O461" s="34"/>
      <c r="P461" s="34"/>
      <c r="Q461" s="2"/>
      <c r="R461" s="34"/>
      <c r="S461" s="34"/>
      <c r="T461" s="34"/>
      <c r="U461" s="2"/>
      <c r="V461" s="2"/>
      <c r="W461" s="2"/>
      <c r="X461" s="34"/>
    </row>
    <row x14ac:dyDescent="0.25" r="462" customHeight="1" ht="15.75">
      <c r="A462" s="1"/>
      <c r="B462" s="34"/>
      <c r="C462" s="2"/>
      <c r="D462" s="34"/>
      <c r="E462" s="34"/>
      <c r="F462" s="34"/>
      <c r="G462" s="34"/>
      <c r="H462" s="34"/>
      <c r="I462" s="6"/>
      <c r="J462" s="2"/>
      <c r="K462" s="2"/>
      <c r="L462" s="6"/>
      <c r="M462" s="6"/>
      <c r="N462" s="6"/>
      <c r="O462" s="34"/>
      <c r="P462" s="34"/>
      <c r="Q462" s="2"/>
      <c r="R462" s="34"/>
      <c r="S462" s="34"/>
      <c r="T462" s="34"/>
      <c r="U462" s="2"/>
      <c r="V462" s="2"/>
      <c r="W462" s="2"/>
      <c r="X462" s="34"/>
    </row>
    <row x14ac:dyDescent="0.25" r="463" customHeight="1" ht="15.75">
      <c r="A463" s="1"/>
      <c r="B463" s="34"/>
      <c r="C463" s="2"/>
      <c r="D463" s="34"/>
      <c r="E463" s="34"/>
      <c r="F463" s="34"/>
      <c r="G463" s="34"/>
      <c r="H463" s="34"/>
      <c r="I463" s="6"/>
      <c r="J463" s="2"/>
      <c r="K463" s="2"/>
      <c r="L463" s="6"/>
      <c r="M463" s="6"/>
      <c r="N463" s="6"/>
      <c r="O463" s="34"/>
      <c r="P463" s="34"/>
      <c r="Q463" s="2"/>
      <c r="R463" s="34"/>
      <c r="S463" s="34"/>
      <c r="T463" s="34"/>
      <c r="U463" s="2"/>
      <c r="V463" s="2"/>
      <c r="W463" s="2"/>
      <c r="X463" s="34"/>
    </row>
    <row x14ac:dyDescent="0.25" r="464" customHeight="1" ht="15.75">
      <c r="A464" s="1"/>
      <c r="B464" s="34"/>
      <c r="C464" s="2"/>
      <c r="D464" s="34"/>
      <c r="E464" s="34"/>
      <c r="F464" s="34"/>
      <c r="G464" s="34"/>
      <c r="H464" s="34"/>
      <c r="I464" s="6"/>
      <c r="J464" s="2"/>
      <c r="K464" s="2"/>
      <c r="L464" s="6"/>
      <c r="M464" s="6"/>
      <c r="N464" s="6"/>
      <c r="O464" s="34"/>
      <c r="P464" s="34"/>
      <c r="Q464" s="2"/>
      <c r="R464" s="34"/>
      <c r="S464" s="34"/>
      <c r="T464" s="34"/>
      <c r="U464" s="2"/>
      <c r="V464" s="2"/>
      <c r="W464" s="2"/>
      <c r="X464" s="34"/>
    </row>
    <row x14ac:dyDescent="0.25" r="465" customHeight="1" ht="15.75">
      <c r="A465" s="1"/>
      <c r="B465" s="34"/>
      <c r="C465" s="2"/>
      <c r="D465" s="34"/>
      <c r="E465" s="34"/>
      <c r="F465" s="34"/>
      <c r="G465" s="34"/>
      <c r="H465" s="34"/>
      <c r="I465" s="6"/>
      <c r="J465" s="2"/>
      <c r="K465" s="2"/>
      <c r="L465" s="6"/>
      <c r="M465" s="6"/>
      <c r="N465" s="6"/>
      <c r="O465" s="34"/>
      <c r="P465" s="34"/>
      <c r="Q465" s="2"/>
      <c r="R465" s="34"/>
      <c r="S465" s="34"/>
      <c r="T465" s="34"/>
      <c r="U465" s="2"/>
      <c r="V465" s="2"/>
      <c r="W465" s="2"/>
      <c r="X465" s="34"/>
    </row>
    <row x14ac:dyDescent="0.25" r="466" customHeight="1" ht="15.75">
      <c r="A466" s="1"/>
      <c r="B466" s="34"/>
      <c r="C466" s="2"/>
      <c r="D466" s="34"/>
      <c r="E466" s="34"/>
      <c r="F466" s="34"/>
      <c r="G466" s="34"/>
      <c r="H466" s="34"/>
      <c r="I466" s="6"/>
      <c r="J466" s="2"/>
      <c r="K466" s="2"/>
      <c r="L466" s="6"/>
      <c r="M466" s="6"/>
      <c r="N466" s="6"/>
      <c r="O466" s="34"/>
      <c r="P466" s="34"/>
      <c r="Q466" s="2"/>
      <c r="R466" s="34"/>
      <c r="S466" s="34"/>
      <c r="T466" s="34"/>
      <c r="U466" s="2"/>
      <c r="V466" s="2"/>
      <c r="W466" s="2"/>
      <c r="X466" s="34"/>
    </row>
    <row x14ac:dyDescent="0.25" r="467" customHeight="1" ht="15.75">
      <c r="A467" s="1"/>
      <c r="B467" s="34"/>
      <c r="C467" s="2"/>
      <c r="D467" s="34"/>
      <c r="E467" s="34"/>
      <c r="F467" s="34"/>
      <c r="G467" s="34"/>
      <c r="H467" s="34"/>
      <c r="I467" s="6"/>
      <c r="J467" s="2"/>
      <c r="K467" s="2"/>
      <c r="L467" s="6"/>
      <c r="M467" s="6"/>
      <c r="N467" s="6"/>
      <c r="O467" s="34"/>
      <c r="P467" s="34"/>
      <c r="Q467" s="2"/>
      <c r="R467" s="34"/>
      <c r="S467" s="34"/>
      <c r="T467" s="34"/>
      <c r="U467" s="2"/>
      <c r="V467" s="2"/>
      <c r="W467" s="2"/>
      <c r="X467" s="34"/>
    </row>
    <row x14ac:dyDescent="0.25" r="468" customHeight="1" ht="15.75">
      <c r="A468" s="1"/>
      <c r="B468" s="34"/>
      <c r="C468" s="2"/>
      <c r="D468" s="34"/>
      <c r="E468" s="34"/>
      <c r="F468" s="34"/>
      <c r="G468" s="34"/>
      <c r="H468" s="34"/>
      <c r="I468" s="6"/>
      <c r="J468" s="2"/>
      <c r="K468" s="2"/>
      <c r="L468" s="6"/>
      <c r="M468" s="6"/>
      <c r="N468" s="6"/>
      <c r="O468" s="34"/>
      <c r="P468" s="34"/>
      <c r="Q468" s="2"/>
      <c r="R468" s="34"/>
      <c r="S468" s="34"/>
      <c r="T468" s="34"/>
      <c r="U468" s="2"/>
      <c r="V468" s="2"/>
      <c r="W468" s="2"/>
      <c r="X468" s="34"/>
    </row>
    <row x14ac:dyDescent="0.25" r="469" customHeight="1" ht="15.75">
      <c r="A469" s="1"/>
      <c r="B469" s="34"/>
      <c r="C469" s="2"/>
      <c r="D469" s="34"/>
      <c r="E469" s="34"/>
      <c r="F469" s="34"/>
      <c r="G469" s="34"/>
      <c r="H469" s="34"/>
      <c r="I469" s="6"/>
      <c r="J469" s="2"/>
      <c r="K469" s="2"/>
      <c r="L469" s="6"/>
      <c r="M469" s="6"/>
      <c r="N469" s="6"/>
      <c r="O469" s="34"/>
      <c r="P469" s="34"/>
      <c r="Q469" s="2"/>
      <c r="R469" s="34"/>
      <c r="S469" s="34"/>
      <c r="T469" s="34"/>
      <c r="U469" s="2"/>
      <c r="V469" s="2"/>
      <c r="W469" s="2"/>
      <c r="X469" s="34"/>
    </row>
    <row x14ac:dyDescent="0.25" r="470" customHeight="1" ht="15.75">
      <c r="A470" s="1"/>
      <c r="B470" s="34"/>
      <c r="C470" s="2"/>
      <c r="D470" s="34"/>
      <c r="E470" s="34"/>
      <c r="F470" s="34"/>
      <c r="G470" s="34"/>
      <c r="H470" s="34"/>
      <c r="I470" s="6"/>
      <c r="J470" s="2"/>
      <c r="K470" s="2"/>
      <c r="L470" s="6"/>
      <c r="M470" s="6"/>
      <c r="N470" s="6"/>
      <c r="O470" s="34"/>
      <c r="P470" s="34"/>
      <c r="Q470" s="2"/>
      <c r="R470" s="34"/>
      <c r="S470" s="34"/>
      <c r="T470" s="34"/>
      <c r="U470" s="2"/>
      <c r="V470" s="2"/>
      <c r="W470" s="2"/>
      <c r="X470" s="34"/>
    </row>
    <row x14ac:dyDescent="0.25" r="471" customHeight="1" ht="15.75">
      <c r="A471" s="1"/>
      <c r="B471" s="34"/>
      <c r="C471" s="2"/>
      <c r="D471" s="34"/>
      <c r="E471" s="34"/>
      <c r="F471" s="34"/>
      <c r="G471" s="34"/>
      <c r="H471" s="34"/>
      <c r="I471" s="6"/>
      <c r="J471" s="2"/>
      <c r="K471" s="2"/>
      <c r="L471" s="6"/>
      <c r="M471" s="6"/>
      <c r="N471" s="6"/>
      <c r="O471" s="34"/>
      <c r="P471" s="34"/>
      <c r="Q471" s="2"/>
      <c r="R471" s="34"/>
      <c r="S471" s="34"/>
      <c r="T471" s="34"/>
      <c r="U471" s="2"/>
      <c r="V471" s="2"/>
      <c r="W471" s="2"/>
      <c r="X471" s="34"/>
    </row>
    <row x14ac:dyDescent="0.25" r="472" customHeight="1" ht="15.75">
      <c r="A472" s="1"/>
      <c r="B472" s="34"/>
      <c r="C472" s="2"/>
      <c r="D472" s="34"/>
      <c r="E472" s="34"/>
      <c r="F472" s="34"/>
      <c r="G472" s="34"/>
      <c r="H472" s="34"/>
      <c r="I472" s="6"/>
      <c r="J472" s="2"/>
      <c r="K472" s="2"/>
      <c r="L472" s="6"/>
      <c r="M472" s="6"/>
      <c r="N472" s="6"/>
      <c r="O472" s="34"/>
      <c r="P472" s="34"/>
      <c r="Q472" s="2"/>
      <c r="R472" s="34"/>
      <c r="S472" s="34"/>
      <c r="T472" s="34"/>
      <c r="U472" s="2"/>
      <c r="V472" s="2"/>
      <c r="W472" s="2"/>
      <c r="X472" s="34"/>
    </row>
    <row x14ac:dyDescent="0.25" r="473" customHeight="1" ht="15.75">
      <c r="A473" s="1"/>
      <c r="B473" s="34"/>
      <c r="C473" s="2"/>
      <c r="D473" s="34"/>
      <c r="E473" s="34"/>
      <c r="F473" s="34"/>
      <c r="G473" s="34"/>
      <c r="H473" s="34"/>
      <c r="I473" s="6"/>
      <c r="J473" s="2"/>
      <c r="K473" s="2"/>
      <c r="L473" s="6"/>
      <c r="M473" s="6"/>
      <c r="N473" s="6"/>
      <c r="O473" s="34"/>
      <c r="P473" s="34"/>
      <c r="Q473" s="2"/>
      <c r="R473" s="34"/>
      <c r="S473" s="34"/>
      <c r="T473" s="34"/>
      <c r="U473" s="2"/>
      <c r="V473" s="2"/>
      <c r="W473" s="2"/>
      <c r="X473" s="34"/>
    </row>
    <row x14ac:dyDescent="0.25" r="474" customHeight="1" ht="15.75">
      <c r="A474" s="1"/>
      <c r="B474" s="34"/>
      <c r="C474" s="2"/>
      <c r="D474" s="34"/>
      <c r="E474" s="34"/>
      <c r="F474" s="34"/>
      <c r="G474" s="34"/>
      <c r="H474" s="34"/>
      <c r="I474" s="6"/>
      <c r="J474" s="2"/>
      <c r="K474" s="2"/>
      <c r="L474" s="6"/>
      <c r="M474" s="6"/>
      <c r="N474" s="6"/>
      <c r="O474" s="34"/>
      <c r="P474" s="34"/>
      <c r="Q474" s="2"/>
      <c r="R474" s="34"/>
      <c r="S474" s="34"/>
      <c r="T474" s="34"/>
      <c r="U474" s="2"/>
      <c r="V474" s="2"/>
      <c r="W474" s="2"/>
      <c r="X474" s="34"/>
    </row>
    <row x14ac:dyDescent="0.25" r="475" customHeight="1" ht="15.75">
      <c r="A475" s="1"/>
      <c r="B475" s="34"/>
      <c r="C475" s="2"/>
      <c r="D475" s="34"/>
      <c r="E475" s="34"/>
      <c r="F475" s="34"/>
      <c r="G475" s="34"/>
      <c r="H475" s="34"/>
      <c r="I475" s="6"/>
      <c r="J475" s="2"/>
      <c r="K475" s="2"/>
      <c r="L475" s="6"/>
      <c r="M475" s="6"/>
      <c r="N475" s="6"/>
      <c r="O475" s="34"/>
      <c r="P475" s="34"/>
      <c r="Q475" s="2"/>
      <c r="R475" s="34"/>
      <c r="S475" s="34"/>
      <c r="T475" s="34"/>
      <c r="U475" s="2"/>
      <c r="V475" s="2"/>
      <c r="W475" s="2"/>
      <c r="X475" s="34"/>
    </row>
    <row x14ac:dyDescent="0.25" r="476" customHeight="1" ht="15.75">
      <c r="A476" s="1"/>
      <c r="B476" s="34"/>
      <c r="C476" s="2"/>
      <c r="D476" s="34"/>
      <c r="E476" s="34"/>
      <c r="F476" s="34"/>
      <c r="G476" s="34"/>
      <c r="H476" s="34"/>
      <c r="I476" s="6"/>
      <c r="J476" s="2"/>
      <c r="K476" s="2"/>
      <c r="L476" s="6"/>
      <c r="M476" s="6"/>
      <c r="N476" s="6"/>
      <c r="O476" s="34"/>
      <c r="P476" s="34"/>
      <c r="Q476" s="2"/>
      <c r="R476" s="34"/>
      <c r="S476" s="34"/>
      <c r="T476" s="34"/>
      <c r="U476" s="2"/>
      <c r="V476" s="2"/>
      <c r="W476" s="2"/>
      <c r="X476" s="34"/>
    </row>
    <row x14ac:dyDescent="0.25" r="477" customHeight="1" ht="15.75">
      <c r="A477" s="1"/>
      <c r="B477" s="34"/>
      <c r="C477" s="2"/>
      <c r="D477" s="34"/>
      <c r="E477" s="34"/>
      <c r="F477" s="34"/>
      <c r="G477" s="34"/>
      <c r="H477" s="34"/>
      <c r="I477" s="6"/>
      <c r="J477" s="2"/>
      <c r="K477" s="2"/>
      <c r="L477" s="6"/>
      <c r="M477" s="6"/>
      <c r="N477" s="6"/>
      <c r="O477" s="34"/>
      <c r="P477" s="34"/>
      <c r="Q477" s="2"/>
      <c r="R477" s="34"/>
      <c r="S477" s="34"/>
      <c r="T477" s="34"/>
      <c r="U477" s="2"/>
      <c r="V477" s="2"/>
      <c r="W477" s="2"/>
      <c r="X477" s="34"/>
    </row>
    <row x14ac:dyDescent="0.25" r="478" customHeight="1" ht="15.75">
      <c r="A478" s="1"/>
      <c r="B478" s="34"/>
      <c r="C478" s="2"/>
      <c r="D478" s="34"/>
      <c r="E478" s="34"/>
      <c r="F478" s="34"/>
      <c r="G478" s="34"/>
      <c r="H478" s="34"/>
      <c r="I478" s="6"/>
      <c r="J478" s="2"/>
      <c r="K478" s="2"/>
      <c r="L478" s="6"/>
      <c r="M478" s="6"/>
      <c r="N478" s="6"/>
      <c r="O478" s="34"/>
      <c r="P478" s="34"/>
      <c r="Q478" s="2"/>
      <c r="R478" s="34"/>
      <c r="S478" s="34"/>
      <c r="T478" s="34"/>
      <c r="U478" s="2"/>
      <c r="V478" s="2"/>
      <c r="W478" s="2"/>
      <c r="X478" s="34"/>
    </row>
    <row x14ac:dyDescent="0.25" r="479" customHeight="1" ht="15.75">
      <c r="A479" s="1"/>
      <c r="B479" s="34"/>
      <c r="C479" s="2"/>
      <c r="D479" s="34"/>
      <c r="E479" s="34"/>
      <c r="F479" s="34"/>
      <c r="G479" s="34"/>
      <c r="H479" s="34"/>
      <c r="I479" s="6"/>
      <c r="J479" s="2"/>
      <c r="K479" s="2"/>
      <c r="L479" s="6"/>
      <c r="M479" s="6"/>
      <c r="N479" s="6"/>
      <c r="O479" s="34"/>
      <c r="P479" s="34"/>
      <c r="Q479" s="2"/>
      <c r="R479" s="34"/>
      <c r="S479" s="34"/>
      <c r="T479" s="34"/>
      <c r="U479" s="2"/>
      <c r="V479" s="2"/>
      <c r="W479" s="2"/>
      <c r="X479" s="34"/>
    </row>
    <row x14ac:dyDescent="0.25" r="480" customHeight="1" ht="15.75">
      <c r="A480" s="1"/>
      <c r="B480" s="34"/>
      <c r="C480" s="2"/>
      <c r="D480" s="34"/>
      <c r="E480" s="34"/>
      <c r="F480" s="34"/>
      <c r="G480" s="34"/>
      <c r="H480" s="34"/>
      <c r="I480" s="6"/>
      <c r="J480" s="2"/>
      <c r="K480" s="2"/>
      <c r="L480" s="6"/>
      <c r="M480" s="6"/>
      <c r="N480" s="6"/>
      <c r="O480" s="34"/>
      <c r="P480" s="34"/>
      <c r="Q480" s="2"/>
      <c r="R480" s="34"/>
      <c r="S480" s="34"/>
      <c r="T480" s="34"/>
      <c r="U480" s="2"/>
      <c r="V480" s="2"/>
      <c r="W480" s="2"/>
      <c r="X480" s="34"/>
    </row>
    <row x14ac:dyDescent="0.25" r="481" customHeight="1" ht="15.75">
      <c r="A481" s="1"/>
      <c r="B481" s="34"/>
      <c r="C481" s="2"/>
      <c r="D481" s="34"/>
      <c r="E481" s="34"/>
      <c r="F481" s="34"/>
      <c r="G481" s="34"/>
      <c r="H481" s="34"/>
      <c r="I481" s="6"/>
      <c r="J481" s="2"/>
      <c r="K481" s="2"/>
      <c r="L481" s="6"/>
      <c r="M481" s="6"/>
      <c r="N481" s="6"/>
      <c r="O481" s="34"/>
      <c r="P481" s="34"/>
      <c r="Q481" s="2"/>
      <c r="R481" s="34"/>
      <c r="S481" s="34"/>
      <c r="T481" s="34"/>
      <c r="U481" s="2"/>
      <c r="V481" s="2"/>
      <c r="W481" s="2"/>
      <c r="X481" s="34"/>
    </row>
    <row x14ac:dyDescent="0.25" r="482" customHeight="1" ht="15.75">
      <c r="A482" s="1"/>
      <c r="B482" s="34"/>
      <c r="C482" s="2"/>
      <c r="D482" s="34"/>
      <c r="E482" s="34"/>
      <c r="F482" s="34"/>
      <c r="G482" s="34"/>
      <c r="H482" s="34"/>
      <c r="I482" s="6"/>
      <c r="J482" s="2"/>
      <c r="K482" s="2"/>
      <c r="L482" s="6"/>
      <c r="M482" s="6"/>
      <c r="N482" s="6"/>
      <c r="O482" s="34"/>
      <c r="P482" s="34"/>
      <c r="Q482" s="2"/>
      <c r="R482" s="34"/>
      <c r="S482" s="34"/>
      <c r="T482" s="34"/>
      <c r="U482" s="2"/>
      <c r="V482" s="2"/>
      <c r="W482" s="2"/>
      <c r="X482" s="34"/>
    </row>
    <row x14ac:dyDescent="0.25" r="483" customHeight="1" ht="15.75">
      <c r="A483" s="1"/>
      <c r="B483" s="34"/>
      <c r="C483" s="2"/>
      <c r="D483" s="34"/>
      <c r="E483" s="34"/>
      <c r="F483" s="34"/>
      <c r="G483" s="34"/>
      <c r="H483" s="34"/>
      <c r="I483" s="6"/>
      <c r="J483" s="2"/>
      <c r="K483" s="2"/>
      <c r="L483" s="6"/>
      <c r="M483" s="6"/>
      <c r="N483" s="6"/>
      <c r="O483" s="34"/>
      <c r="P483" s="34"/>
      <c r="Q483" s="2"/>
      <c r="R483" s="34"/>
      <c r="S483" s="34"/>
      <c r="T483" s="34"/>
      <c r="U483" s="2"/>
      <c r="V483" s="2"/>
      <c r="W483" s="2"/>
      <c r="X483" s="34"/>
    </row>
    <row x14ac:dyDescent="0.25" r="484" customHeight="1" ht="15.75">
      <c r="A484" s="1"/>
      <c r="B484" s="34"/>
      <c r="C484" s="2"/>
      <c r="D484" s="34"/>
      <c r="E484" s="34"/>
      <c r="F484" s="34"/>
      <c r="G484" s="34"/>
      <c r="H484" s="34"/>
      <c r="I484" s="6"/>
      <c r="J484" s="2"/>
      <c r="K484" s="2"/>
      <c r="L484" s="6"/>
      <c r="M484" s="6"/>
      <c r="N484" s="6"/>
      <c r="O484" s="34"/>
      <c r="P484" s="34"/>
      <c r="Q484" s="2"/>
      <c r="R484" s="34"/>
      <c r="S484" s="34"/>
      <c r="T484" s="34"/>
      <c r="U484" s="2"/>
      <c r="V484" s="2"/>
      <c r="W484" s="2"/>
      <c r="X484" s="34"/>
    </row>
    <row x14ac:dyDescent="0.25" r="485" customHeight="1" ht="15.75">
      <c r="A485" s="1"/>
      <c r="B485" s="34"/>
      <c r="C485" s="2"/>
      <c r="D485" s="34"/>
      <c r="E485" s="34"/>
      <c r="F485" s="34"/>
      <c r="G485" s="34"/>
      <c r="H485" s="34"/>
      <c r="I485" s="6"/>
      <c r="J485" s="2"/>
      <c r="K485" s="2"/>
      <c r="L485" s="6"/>
      <c r="M485" s="6"/>
      <c r="N485" s="6"/>
      <c r="O485" s="34"/>
      <c r="P485" s="34"/>
      <c r="Q485" s="2"/>
      <c r="R485" s="34"/>
      <c r="S485" s="34"/>
      <c r="T485" s="34"/>
      <c r="U485" s="2"/>
      <c r="V485" s="2"/>
      <c r="W485" s="2"/>
      <c r="X485" s="34"/>
    </row>
    <row x14ac:dyDescent="0.25" r="486" customHeight="1" ht="15.75">
      <c r="A486" s="1"/>
      <c r="B486" s="34"/>
      <c r="C486" s="2"/>
      <c r="D486" s="34"/>
      <c r="E486" s="34"/>
      <c r="F486" s="34"/>
      <c r="G486" s="34"/>
      <c r="H486" s="34"/>
      <c r="I486" s="6"/>
      <c r="J486" s="2"/>
      <c r="K486" s="2"/>
      <c r="L486" s="6"/>
      <c r="M486" s="6"/>
      <c r="N486" s="6"/>
      <c r="O486" s="34"/>
      <c r="P486" s="34"/>
      <c r="Q486" s="2"/>
      <c r="R486" s="34"/>
      <c r="S486" s="34"/>
      <c r="T486" s="34"/>
      <c r="U486" s="2"/>
      <c r="V486" s="2"/>
      <c r="W486" s="2"/>
      <c r="X486" s="34"/>
    </row>
    <row x14ac:dyDescent="0.25" r="487" customHeight="1" ht="15.75">
      <c r="A487" s="1"/>
      <c r="B487" s="34"/>
      <c r="C487" s="2"/>
      <c r="D487" s="34"/>
      <c r="E487" s="34"/>
      <c r="F487" s="34"/>
      <c r="G487" s="34"/>
      <c r="H487" s="34"/>
      <c r="I487" s="6"/>
      <c r="J487" s="2"/>
      <c r="K487" s="2"/>
      <c r="L487" s="6"/>
      <c r="M487" s="6"/>
      <c r="N487" s="6"/>
      <c r="O487" s="34"/>
      <c r="P487" s="34"/>
      <c r="Q487" s="2"/>
      <c r="R487" s="34"/>
      <c r="S487" s="34"/>
      <c r="T487" s="34"/>
      <c r="U487" s="2"/>
      <c r="V487" s="2"/>
      <c r="W487" s="2"/>
      <c r="X487" s="34"/>
    </row>
    <row x14ac:dyDescent="0.25" r="488" customHeight="1" ht="15.75">
      <c r="A488" s="1"/>
      <c r="B488" s="34"/>
      <c r="C488" s="2"/>
      <c r="D488" s="34"/>
      <c r="E488" s="34"/>
      <c r="F488" s="34"/>
      <c r="G488" s="34"/>
      <c r="H488" s="34"/>
      <c r="I488" s="6"/>
      <c r="J488" s="2"/>
      <c r="K488" s="2"/>
      <c r="L488" s="6"/>
      <c r="M488" s="6"/>
      <c r="N488" s="6"/>
      <c r="O488" s="34"/>
      <c r="P488" s="34"/>
      <c r="Q488" s="2"/>
      <c r="R488" s="34"/>
      <c r="S488" s="34"/>
      <c r="T488" s="34"/>
      <c r="U488" s="2"/>
      <c r="V488" s="2"/>
      <c r="W488" s="2"/>
      <c r="X488" s="34"/>
    </row>
    <row x14ac:dyDescent="0.25" r="489" customHeight="1" ht="15.75">
      <c r="A489" s="1"/>
      <c r="B489" s="34"/>
      <c r="C489" s="2"/>
      <c r="D489" s="34"/>
      <c r="E489" s="34"/>
      <c r="F489" s="34"/>
      <c r="G489" s="34"/>
      <c r="H489" s="34"/>
      <c r="I489" s="6"/>
      <c r="J489" s="2"/>
      <c r="K489" s="2"/>
      <c r="L489" s="6"/>
      <c r="M489" s="6"/>
      <c r="N489" s="6"/>
      <c r="O489" s="34"/>
      <c r="P489" s="34"/>
      <c r="Q489" s="2"/>
      <c r="R489" s="34"/>
      <c r="S489" s="34"/>
      <c r="T489" s="34"/>
      <c r="U489" s="2"/>
      <c r="V489" s="2"/>
      <c r="W489" s="2"/>
      <c r="X489" s="34"/>
    </row>
    <row x14ac:dyDescent="0.25" r="490" customHeight="1" ht="15.75">
      <c r="A490" s="1"/>
      <c r="B490" s="34"/>
      <c r="C490" s="2"/>
      <c r="D490" s="34"/>
      <c r="E490" s="34"/>
      <c r="F490" s="34"/>
      <c r="G490" s="34"/>
      <c r="H490" s="34"/>
      <c r="I490" s="6"/>
      <c r="J490" s="2"/>
      <c r="K490" s="2"/>
      <c r="L490" s="6"/>
      <c r="M490" s="6"/>
      <c r="N490" s="6"/>
      <c r="O490" s="34"/>
      <c r="P490" s="34"/>
      <c r="Q490" s="2"/>
      <c r="R490" s="34"/>
      <c r="S490" s="34"/>
      <c r="T490" s="34"/>
      <c r="U490" s="2"/>
      <c r="V490" s="2"/>
      <c r="W490" s="2"/>
      <c r="X490" s="34"/>
    </row>
    <row x14ac:dyDescent="0.25" r="491" customHeight="1" ht="15.75">
      <c r="A491" s="1"/>
      <c r="B491" s="34"/>
      <c r="C491" s="2"/>
      <c r="D491" s="34"/>
      <c r="E491" s="34"/>
      <c r="F491" s="34"/>
      <c r="G491" s="34"/>
      <c r="H491" s="34"/>
      <c r="I491" s="6"/>
      <c r="J491" s="2"/>
      <c r="K491" s="2"/>
      <c r="L491" s="6"/>
      <c r="M491" s="6"/>
      <c r="N491" s="6"/>
      <c r="O491" s="34"/>
      <c r="P491" s="34"/>
      <c r="Q491" s="2"/>
      <c r="R491" s="34"/>
      <c r="S491" s="34"/>
      <c r="T491" s="34"/>
      <c r="U491" s="2"/>
      <c r="V491" s="2"/>
      <c r="W491" s="2"/>
      <c r="X491" s="34"/>
    </row>
    <row x14ac:dyDescent="0.25" r="492" customHeight="1" ht="15.75">
      <c r="A492" s="1"/>
      <c r="B492" s="34"/>
      <c r="C492" s="2"/>
      <c r="D492" s="34"/>
      <c r="E492" s="34"/>
      <c r="F492" s="34"/>
      <c r="G492" s="34"/>
      <c r="H492" s="34"/>
      <c r="I492" s="6"/>
      <c r="J492" s="2"/>
      <c r="K492" s="2"/>
      <c r="L492" s="6"/>
      <c r="M492" s="6"/>
      <c r="N492" s="6"/>
      <c r="O492" s="34"/>
      <c r="P492" s="34"/>
      <c r="Q492" s="2"/>
      <c r="R492" s="34"/>
      <c r="S492" s="34"/>
      <c r="T492" s="34"/>
      <c r="U492" s="2"/>
      <c r="V492" s="2"/>
      <c r="W492" s="2"/>
      <c r="X492" s="34"/>
    </row>
    <row x14ac:dyDescent="0.25" r="493" customHeight="1" ht="15.75">
      <c r="A493" s="1"/>
      <c r="B493" s="34"/>
      <c r="C493" s="2"/>
      <c r="D493" s="34"/>
      <c r="E493" s="34"/>
      <c r="F493" s="34"/>
      <c r="G493" s="34"/>
      <c r="H493" s="34"/>
      <c r="I493" s="6"/>
      <c r="J493" s="2"/>
      <c r="K493" s="2"/>
      <c r="L493" s="6"/>
      <c r="M493" s="6"/>
      <c r="N493" s="6"/>
      <c r="O493" s="34"/>
      <c r="P493" s="34"/>
      <c r="Q493" s="2"/>
      <c r="R493" s="34"/>
      <c r="S493" s="34"/>
      <c r="T493" s="34"/>
      <c r="U493" s="2"/>
      <c r="V493" s="2"/>
      <c r="W493" s="2"/>
      <c r="X493" s="34"/>
    </row>
    <row x14ac:dyDescent="0.25" r="494" customHeight="1" ht="15.75">
      <c r="A494" s="1"/>
      <c r="B494" s="34"/>
      <c r="C494" s="2"/>
      <c r="D494" s="34"/>
      <c r="E494" s="34"/>
      <c r="F494" s="34"/>
      <c r="G494" s="34"/>
      <c r="H494" s="34"/>
      <c r="I494" s="6"/>
      <c r="J494" s="2"/>
      <c r="K494" s="2"/>
      <c r="L494" s="6"/>
      <c r="M494" s="6"/>
      <c r="N494" s="6"/>
      <c r="O494" s="34"/>
      <c r="P494" s="34"/>
      <c r="Q494" s="2"/>
      <c r="R494" s="34"/>
      <c r="S494" s="34"/>
      <c r="T494" s="34"/>
      <c r="U494" s="2"/>
      <c r="V494" s="2"/>
      <c r="W494" s="2"/>
      <c r="X494" s="34"/>
    </row>
    <row x14ac:dyDescent="0.25" r="495" customHeight="1" ht="15.75">
      <c r="A495" s="1"/>
      <c r="B495" s="34"/>
      <c r="C495" s="2"/>
      <c r="D495" s="34"/>
      <c r="E495" s="34"/>
      <c r="F495" s="34"/>
      <c r="G495" s="34"/>
      <c r="H495" s="34"/>
      <c r="I495" s="6"/>
      <c r="J495" s="2"/>
      <c r="K495" s="2"/>
      <c r="L495" s="6"/>
      <c r="M495" s="6"/>
      <c r="N495" s="6"/>
      <c r="O495" s="34"/>
      <c r="P495" s="34"/>
      <c r="Q495" s="2"/>
      <c r="R495" s="34"/>
      <c r="S495" s="34"/>
      <c r="T495" s="34"/>
      <c r="U495" s="2"/>
      <c r="V495" s="2"/>
      <c r="W495" s="2"/>
      <c r="X495" s="34"/>
    </row>
    <row x14ac:dyDescent="0.25" r="496" customHeight="1" ht="15.75">
      <c r="A496" s="1"/>
      <c r="B496" s="34"/>
      <c r="C496" s="2"/>
      <c r="D496" s="34"/>
      <c r="E496" s="34"/>
      <c r="F496" s="34"/>
      <c r="G496" s="34"/>
      <c r="H496" s="34"/>
      <c r="I496" s="6"/>
      <c r="J496" s="2"/>
      <c r="K496" s="2"/>
      <c r="L496" s="6"/>
      <c r="M496" s="6"/>
      <c r="N496" s="6"/>
      <c r="O496" s="34"/>
      <c r="P496" s="34"/>
      <c r="Q496" s="2"/>
      <c r="R496" s="34"/>
      <c r="S496" s="34"/>
      <c r="T496" s="34"/>
      <c r="U496" s="2"/>
      <c r="V496" s="2"/>
      <c r="W496" s="2"/>
      <c r="X496" s="34"/>
    </row>
    <row x14ac:dyDescent="0.25" r="497" customHeight="1" ht="15.75">
      <c r="A497" s="1"/>
      <c r="B497" s="34"/>
      <c r="C497" s="2"/>
      <c r="D497" s="34"/>
      <c r="E497" s="34"/>
      <c r="F497" s="34"/>
      <c r="G497" s="34"/>
      <c r="H497" s="34"/>
      <c r="I497" s="6"/>
      <c r="J497" s="2"/>
      <c r="K497" s="2"/>
      <c r="L497" s="6"/>
      <c r="M497" s="6"/>
      <c r="N497" s="6"/>
      <c r="O497" s="34"/>
      <c r="P497" s="34"/>
      <c r="Q497" s="2"/>
      <c r="R497" s="34"/>
      <c r="S497" s="34"/>
      <c r="T497" s="34"/>
      <c r="U497" s="2"/>
      <c r="V497" s="2"/>
      <c r="W497" s="2"/>
      <c r="X497" s="34"/>
    </row>
    <row x14ac:dyDescent="0.25" r="498" customHeight="1" ht="15.75">
      <c r="A498" s="1"/>
      <c r="B498" s="34"/>
      <c r="C498" s="2"/>
      <c r="D498" s="34"/>
      <c r="E498" s="34"/>
      <c r="F498" s="34"/>
      <c r="G498" s="34"/>
      <c r="H498" s="34"/>
      <c r="I498" s="6"/>
      <c r="J498" s="2"/>
      <c r="K498" s="2"/>
      <c r="L498" s="6"/>
      <c r="M498" s="6"/>
      <c r="N498" s="6"/>
      <c r="O498" s="34"/>
      <c r="P498" s="34"/>
      <c r="Q498" s="2"/>
      <c r="R498" s="34"/>
      <c r="S498" s="34"/>
      <c r="T498" s="34"/>
      <c r="U498" s="2"/>
      <c r="V498" s="2"/>
      <c r="W498" s="2"/>
      <c r="X498" s="34"/>
    </row>
    <row x14ac:dyDescent="0.25" r="499" customHeight="1" ht="15.75">
      <c r="A499" s="1"/>
      <c r="B499" s="34"/>
      <c r="C499" s="2"/>
      <c r="D499" s="34"/>
      <c r="E499" s="34"/>
      <c r="F499" s="34"/>
      <c r="G499" s="34"/>
      <c r="H499" s="34"/>
      <c r="I499" s="6"/>
      <c r="J499" s="2"/>
      <c r="K499" s="2"/>
      <c r="L499" s="6"/>
      <c r="M499" s="6"/>
      <c r="N499" s="6"/>
      <c r="O499" s="34"/>
      <c r="P499" s="34"/>
      <c r="Q499" s="2"/>
      <c r="R499" s="34"/>
      <c r="S499" s="34"/>
      <c r="T499" s="34"/>
      <c r="U499" s="2"/>
      <c r="V499" s="2"/>
      <c r="W499" s="2"/>
      <c r="X499" s="34"/>
    </row>
    <row x14ac:dyDescent="0.25" r="500" customHeight="1" ht="15.75">
      <c r="A500" s="1"/>
      <c r="B500" s="34"/>
      <c r="C500" s="2"/>
      <c r="D500" s="34"/>
      <c r="E500" s="34"/>
      <c r="F500" s="34"/>
      <c r="G500" s="34"/>
      <c r="H500" s="34"/>
      <c r="I500" s="6"/>
      <c r="J500" s="2"/>
      <c r="K500" s="2"/>
      <c r="L500" s="6"/>
      <c r="M500" s="6"/>
      <c r="N500" s="6"/>
      <c r="O500" s="34"/>
      <c r="P500" s="34"/>
      <c r="Q500" s="2"/>
      <c r="R500" s="34"/>
      <c r="S500" s="34"/>
      <c r="T500" s="34"/>
      <c r="U500" s="2"/>
      <c r="V500" s="2"/>
      <c r="W500" s="2"/>
      <c r="X500" s="34"/>
    </row>
    <row x14ac:dyDescent="0.25" r="501" customHeight="1" ht="15.75">
      <c r="A501" s="1"/>
      <c r="B501" s="34"/>
      <c r="C501" s="2"/>
      <c r="D501" s="34"/>
      <c r="E501" s="34"/>
      <c r="F501" s="34"/>
      <c r="G501" s="34"/>
      <c r="H501" s="34"/>
      <c r="I501" s="6"/>
      <c r="J501" s="2"/>
      <c r="K501" s="2"/>
      <c r="L501" s="6"/>
      <c r="M501" s="6"/>
      <c r="N501" s="6"/>
      <c r="O501" s="34"/>
      <c r="P501" s="34"/>
      <c r="Q501" s="2"/>
      <c r="R501" s="34"/>
      <c r="S501" s="34"/>
      <c r="T501" s="34"/>
      <c r="U501" s="2"/>
      <c r="V501" s="2"/>
      <c r="W501" s="2"/>
      <c r="X501" s="34"/>
    </row>
    <row x14ac:dyDescent="0.25" r="502" customHeight="1" ht="15.75">
      <c r="A502" s="1"/>
      <c r="B502" s="34"/>
      <c r="C502" s="2"/>
      <c r="D502" s="34"/>
      <c r="E502" s="34"/>
      <c r="F502" s="34"/>
      <c r="G502" s="34"/>
      <c r="H502" s="34"/>
      <c r="I502" s="6"/>
      <c r="J502" s="2"/>
      <c r="K502" s="2"/>
      <c r="L502" s="6"/>
      <c r="M502" s="6"/>
      <c r="N502" s="6"/>
      <c r="O502" s="34"/>
      <c r="P502" s="34"/>
      <c r="Q502" s="2"/>
      <c r="R502" s="34"/>
      <c r="S502" s="34"/>
      <c r="T502" s="34"/>
      <c r="U502" s="2"/>
      <c r="V502" s="2"/>
      <c r="W502" s="2"/>
      <c r="X502" s="34"/>
    </row>
    <row x14ac:dyDescent="0.25" r="503" customHeight="1" ht="15.75">
      <c r="A503" s="1"/>
      <c r="B503" s="34"/>
      <c r="C503" s="2"/>
      <c r="D503" s="34"/>
      <c r="E503" s="34"/>
      <c r="F503" s="34"/>
      <c r="G503" s="34"/>
      <c r="H503" s="34"/>
      <c r="I503" s="6"/>
      <c r="J503" s="2"/>
      <c r="K503" s="2"/>
      <c r="L503" s="6"/>
      <c r="M503" s="6"/>
      <c r="N503" s="6"/>
      <c r="O503" s="34"/>
      <c r="P503" s="34"/>
      <c r="Q503" s="2"/>
      <c r="R503" s="34"/>
      <c r="S503" s="34"/>
      <c r="T503" s="34"/>
      <c r="U503" s="2"/>
      <c r="V503" s="2"/>
      <c r="W503" s="2"/>
      <c r="X503" s="34"/>
    </row>
    <row x14ac:dyDescent="0.25" r="504" customHeight="1" ht="15.75">
      <c r="A504" s="1"/>
      <c r="B504" s="34"/>
      <c r="C504" s="2"/>
      <c r="D504" s="34"/>
      <c r="E504" s="34"/>
      <c r="F504" s="34"/>
      <c r="G504" s="34"/>
      <c r="H504" s="34"/>
      <c r="I504" s="6"/>
      <c r="J504" s="2"/>
      <c r="K504" s="2"/>
      <c r="L504" s="6"/>
      <c r="M504" s="6"/>
      <c r="N504" s="6"/>
      <c r="O504" s="34"/>
      <c r="P504" s="34"/>
      <c r="Q504" s="2"/>
      <c r="R504" s="34"/>
      <c r="S504" s="34"/>
      <c r="T504" s="34"/>
      <c r="U504" s="2"/>
      <c r="V504" s="2"/>
      <c r="W504" s="2"/>
      <c r="X504" s="34"/>
    </row>
    <row x14ac:dyDescent="0.25" r="505" customHeight="1" ht="15.75">
      <c r="A505" s="1"/>
      <c r="B505" s="34"/>
      <c r="C505" s="2"/>
      <c r="D505" s="34"/>
      <c r="E505" s="34"/>
      <c r="F505" s="34"/>
      <c r="G505" s="34"/>
      <c r="H505" s="34"/>
      <c r="I505" s="6"/>
      <c r="J505" s="2"/>
      <c r="K505" s="2"/>
      <c r="L505" s="6"/>
      <c r="M505" s="6"/>
      <c r="N505" s="6"/>
      <c r="O505" s="34"/>
      <c r="P505" s="34"/>
      <c r="Q505" s="2"/>
      <c r="R505" s="34"/>
      <c r="S505" s="34"/>
      <c r="T505" s="34"/>
      <c r="U505" s="2"/>
      <c r="V505" s="2"/>
      <c r="W505" s="2"/>
      <c r="X505" s="34"/>
    </row>
    <row x14ac:dyDescent="0.25" r="506" customHeight="1" ht="15.75">
      <c r="A506" s="1"/>
      <c r="B506" s="34"/>
      <c r="C506" s="2"/>
      <c r="D506" s="34"/>
      <c r="E506" s="34"/>
      <c r="F506" s="34"/>
      <c r="G506" s="34"/>
      <c r="H506" s="34"/>
      <c r="I506" s="6"/>
      <c r="J506" s="2"/>
      <c r="K506" s="2"/>
      <c r="L506" s="6"/>
      <c r="M506" s="6"/>
      <c r="N506" s="6"/>
      <c r="O506" s="34"/>
      <c r="P506" s="34"/>
      <c r="Q506" s="2"/>
      <c r="R506" s="34"/>
      <c r="S506" s="34"/>
      <c r="T506" s="34"/>
      <c r="U506" s="2"/>
      <c r="V506" s="2"/>
      <c r="W506" s="2"/>
      <c r="X506" s="34"/>
    </row>
    <row x14ac:dyDescent="0.25" r="507" customHeight="1" ht="15.75">
      <c r="A507" s="1"/>
      <c r="B507" s="34"/>
      <c r="C507" s="2"/>
      <c r="D507" s="34"/>
      <c r="E507" s="34"/>
      <c r="F507" s="34"/>
      <c r="G507" s="34"/>
      <c r="H507" s="34"/>
      <c r="I507" s="6"/>
      <c r="J507" s="2"/>
      <c r="K507" s="2"/>
      <c r="L507" s="6"/>
      <c r="M507" s="6"/>
      <c r="N507" s="6"/>
      <c r="O507" s="34"/>
      <c r="P507" s="34"/>
      <c r="Q507" s="2"/>
      <c r="R507" s="34"/>
      <c r="S507" s="34"/>
      <c r="T507" s="34"/>
      <c r="U507" s="2"/>
      <c r="V507" s="2"/>
      <c r="W507" s="2"/>
      <c r="X507" s="34"/>
    </row>
    <row x14ac:dyDescent="0.25" r="508" customHeight="1" ht="15.75">
      <c r="A508" s="1"/>
      <c r="B508" s="34"/>
      <c r="C508" s="2"/>
      <c r="D508" s="34"/>
      <c r="E508" s="34"/>
      <c r="F508" s="34"/>
      <c r="G508" s="34"/>
      <c r="H508" s="34"/>
      <c r="I508" s="6"/>
      <c r="J508" s="2"/>
      <c r="K508" s="2"/>
      <c r="L508" s="6"/>
      <c r="M508" s="6"/>
      <c r="N508" s="6"/>
      <c r="O508" s="34"/>
      <c r="P508" s="34"/>
      <c r="Q508" s="2"/>
      <c r="R508" s="34"/>
      <c r="S508" s="34"/>
      <c r="T508" s="34"/>
      <c r="U508" s="2"/>
      <c r="V508" s="2"/>
      <c r="W508" s="2"/>
      <c r="X508" s="34"/>
    </row>
    <row x14ac:dyDescent="0.25" r="509" customHeight="1" ht="15.75">
      <c r="A509" s="1"/>
      <c r="B509" s="34"/>
      <c r="C509" s="2"/>
      <c r="D509" s="34"/>
      <c r="E509" s="34"/>
      <c r="F509" s="34"/>
      <c r="G509" s="34"/>
      <c r="H509" s="34"/>
      <c r="I509" s="6"/>
      <c r="J509" s="2"/>
      <c r="K509" s="2"/>
      <c r="L509" s="6"/>
      <c r="M509" s="6"/>
      <c r="N509" s="6"/>
      <c r="O509" s="34"/>
      <c r="P509" s="34"/>
      <c r="Q509" s="2"/>
      <c r="R509" s="34"/>
      <c r="S509" s="34"/>
      <c r="T509" s="34"/>
      <c r="U509" s="2"/>
      <c r="V509" s="2"/>
      <c r="W509" s="2"/>
      <c r="X509" s="34"/>
    </row>
    <row x14ac:dyDescent="0.25" r="510" customHeight="1" ht="15.75">
      <c r="A510" s="1"/>
      <c r="B510" s="34"/>
      <c r="C510" s="2"/>
      <c r="D510" s="34"/>
      <c r="E510" s="34"/>
      <c r="F510" s="34"/>
      <c r="G510" s="34"/>
      <c r="H510" s="34"/>
      <c r="I510" s="6"/>
      <c r="J510" s="2"/>
      <c r="K510" s="2"/>
      <c r="L510" s="6"/>
      <c r="M510" s="6"/>
      <c r="N510" s="6"/>
      <c r="O510" s="34"/>
      <c r="P510" s="34"/>
      <c r="Q510" s="2"/>
      <c r="R510" s="34"/>
      <c r="S510" s="34"/>
      <c r="T510" s="34"/>
      <c r="U510" s="2"/>
      <c r="V510" s="2"/>
      <c r="W510" s="2"/>
      <c r="X510" s="34"/>
    </row>
    <row x14ac:dyDescent="0.25" r="511" customHeight="1" ht="15.75">
      <c r="A511" s="1"/>
      <c r="B511" s="34"/>
      <c r="C511" s="2"/>
      <c r="D511" s="34"/>
      <c r="E511" s="34"/>
      <c r="F511" s="34"/>
      <c r="G511" s="34"/>
      <c r="H511" s="34"/>
      <c r="I511" s="6"/>
      <c r="J511" s="2"/>
      <c r="K511" s="2"/>
      <c r="L511" s="6"/>
      <c r="M511" s="6"/>
      <c r="N511" s="6"/>
      <c r="O511" s="34"/>
      <c r="P511" s="34"/>
      <c r="Q511" s="2"/>
      <c r="R511" s="34"/>
      <c r="S511" s="34"/>
      <c r="T511" s="34"/>
      <c r="U511" s="2"/>
      <c r="V511" s="2"/>
      <c r="W511" s="2"/>
      <c r="X511" s="34"/>
    </row>
    <row x14ac:dyDescent="0.25" r="512" customHeight="1" ht="15.75">
      <c r="A512" s="1"/>
      <c r="B512" s="34"/>
      <c r="C512" s="2"/>
      <c r="D512" s="34"/>
      <c r="E512" s="34"/>
      <c r="F512" s="34"/>
      <c r="G512" s="34"/>
      <c r="H512" s="34"/>
      <c r="I512" s="6"/>
      <c r="J512" s="2"/>
      <c r="K512" s="2"/>
      <c r="L512" s="6"/>
      <c r="M512" s="6"/>
      <c r="N512" s="6"/>
      <c r="O512" s="34"/>
      <c r="P512" s="34"/>
      <c r="Q512" s="2"/>
      <c r="R512" s="34"/>
      <c r="S512" s="34"/>
      <c r="T512" s="34"/>
      <c r="U512" s="2"/>
      <c r="V512" s="2"/>
      <c r="W512" s="2"/>
      <c r="X512" s="34"/>
    </row>
    <row x14ac:dyDescent="0.25" r="513" customHeight="1" ht="15.75">
      <c r="A513" s="1"/>
      <c r="B513" s="34"/>
      <c r="C513" s="2"/>
      <c r="D513" s="34"/>
      <c r="E513" s="34"/>
      <c r="F513" s="34"/>
      <c r="G513" s="34"/>
      <c r="H513" s="34"/>
      <c r="I513" s="6"/>
      <c r="J513" s="2"/>
      <c r="K513" s="2"/>
      <c r="L513" s="6"/>
      <c r="M513" s="6"/>
      <c r="N513" s="6"/>
      <c r="O513" s="34"/>
      <c r="P513" s="34"/>
      <c r="Q513" s="2"/>
      <c r="R513" s="34"/>
      <c r="S513" s="34"/>
      <c r="T513" s="34"/>
      <c r="U513" s="2"/>
      <c r="V513" s="2"/>
      <c r="W513" s="2"/>
      <c r="X513" s="34"/>
    </row>
    <row x14ac:dyDescent="0.25" r="514" customHeight="1" ht="15.75">
      <c r="A514" s="1"/>
      <c r="B514" s="34"/>
      <c r="C514" s="2"/>
      <c r="D514" s="34"/>
      <c r="E514" s="34"/>
      <c r="F514" s="34"/>
      <c r="G514" s="34"/>
      <c r="H514" s="34"/>
      <c r="I514" s="6"/>
      <c r="J514" s="2"/>
      <c r="K514" s="2"/>
      <c r="L514" s="6"/>
      <c r="M514" s="6"/>
      <c r="N514" s="6"/>
      <c r="O514" s="34"/>
      <c r="P514" s="34"/>
      <c r="Q514" s="2"/>
      <c r="R514" s="34"/>
      <c r="S514" s="34"/>
      <c r="T514" s="34"/>
      <c r="U514" s="2"/>
      <c r="V514" s="2"/>
      <c r="W514" s="2"/>
      <c r="X514" s="34"/>
    </row>
    <row x14ac:dyDescent="0.25" r="515" customHeight="1" ht="15.75">
      <c r="A515" s="1"/>
      <c r="B515" s="34"/>
      <c r="C515" s="2"/>
      <c r="D515" s="34"/>
      <c r="E515" s="34"/>
      <c r="F515" s="34"/>
      <c r="G515" s="34"/>
      <c r="H515" s="34"/>
      <c r="I515" s="6"/>
      <c r="J515" s="2"/>
      <c r="K515" s="2"/>
      <c r="L515" s="6"/>
      <c r="M515" s="6"/>
      <c r="N515" s="6"/>
      <c r="O515" s="34"/>
      <c r="P515" s="34"/>
      <c r="Q515" s="2"/>
      <c r="R515" s="34"/>
      <c r="S515" s="34"/>
      <c r="T515" s="34"/>
      <c r="U515" s="2"/>
      <c r="V515" s="2"/>
      <c r="W515" s="2"/>
      <c r="X515" s="34"/>
    </row>
    <row x14ac:dyDescent="0.25" r="516" customHeight="1" ht="15.75">
      <c r="A516" s="1"/>
      <c r="B516" s="34"/>
      <c r="C516" s="2"/>
      <c r="D516" s="34"/>
      <c r="E516" s="34"/>
      <c r="F516" s="34"/>
      <c r="G516" s="34"/>
      <c r="H516" s="34"/>
      <c r="I516" s="6"/>
      <c r="J516" s="2"/>
      <c r="K516" s="2"/>
      <c r="L516" s="6"/>
      <c r="M516" s="6"/>
      <c r="N516" s="6"/>
      <c r="O516" s="34"/>
      <c r="P516" s="34"/>
      <c r="Q516" s="2"/>
      <c r="R516" s="34"/>
      <c r="S516" s="34"/>
      <c r="T516" s="34"/>
      <c r="U516" s="2"/>
      <c r="V516" s="2"/>
      <c r="W516" s="2"/>
      <c r="X516" s="34"/>
    </row>
    <row x14ac:dyDescent="0.25" r="517" customHeight="1" ht="15.75">
      <c r="A517" s="1"/>
      <c r="B517" s="34"/>
      <c r="C517" s="2"/>
      <c r="D517" s="34"/>
      <c r="E517" s="34"/>
      <c r="F517" s="34"/>
      <c r="G517" s="34"/>
      <c r="H517" s="34"/>
      <c r="I517" s="6"/>
      <c r="J517" s="2"/>
      <c r="K517" s="2"/>
      <c r="L517" s="6"/>
      <c r="M517" s="6"/>
      <c r="N517" s="6"/>
      <c r="O517" s="34"/>
      <c r="P517" s="34"/>
      <c r="Q517" s="2"/>
      <c r="R517" s="34"/>
      <c r="S517" s="34"/>
      <c r="T517" s="34"/>
      <c r="U517" s="2"/>
      <c r="V517" s="2"/>
      <c r="W517" s="2"/>
      <c r="X517" s="34"/>
    </row>
    <row x14ac:dyDescent="0.25" r="518" customHeight="1" ht="15.75">
      <c r="A518" s="1"/>
      <c r="B518" s="34"/>
      <c r="C518" s="2"/>
      <c r="D518" s="34"/>
      <c r="E518" s="34"/>
      <c r="F518" s="34"/>
      <c r="G518" s="34"/>
      <c r="H518" s="34"/>
      <c r="I518" s="6"/>
      <c r="J518" s="2"/>
      <c r="K518" s="2"/>
      <c r="L518" s="6"/>
      <c r="M518" s="6"/>
      <c r="N518" s="6"/>
      <c r="O518" s="34"/>
      <c r="P518" s="34"/>
      <c r="Q518" s="2"/>
      <c r="R518" s="34"/>
      <c r="S518" s="34"/>
      <c r="T518" s="34"/>
      <c r="U518" s="2"/>
      <c r="V518" s="2"/>
      <c r="W518" s="2"/>
      <c r="X518" s="34"/>
    </row>
    <row x14ac:dyDescent="0.25" r="519" customHeight="1" ht="15.75">
      <c r="A519" s="1"/>
      <c r="B519" s="34"/>
      <c r="C519" s="2"/>
      <c r="D519" s="34"/>
      <c r="E519" s="34"/>
      <c r="F519" s="34"/>
      <c r="G519" s="34"/>
      <c r="H519" s="34"/>
      <c r="I519" s="6"/>
      <c r="J519" s="2"/>
      <c r="K519" s="2"/>
      <c r="L519" s="6"/>
      <c r="M519" s="6"/>
      <c r="N519" s="6"/>
      <c r="O519" s="34"/>
      <c r="P519" s="34"/>
      <c r="Q519" s="2"/>
      <c r="R519" s="34"/>
      <c r="S519" s="34"/>
      <c r="T519" s="34"/>
      <c r="U519" s="2"/>
      <c r="V519" s="2"/>
      <c r="W519" s="2"/>
      <c r="X519" s="34"/>
    </row>
    <row x14ac:dyDescent="0.25" r="520" customHeight="1" ht="15.75">
      <c r="A520" s="1"/>
      <c r="B520" s="34"/>
      <c r="C520" s="2"/>
      <c r="D520" s="34"/>
      <c r="E520" s="34"/>
      <c r="F520" s="34"/>
      <c r="G520" s="34"/>
      <c r="H520" s="34"/>
      <c r="I520" s="6"/>
      <c r="J520" s="2"/>
      <c r="K520" s="2"/>
      <c r="L520" s="6"/>
      <c r="M520" s="6"/>
      <c r="N520" s="6"/>
      <c r="O520" s="34"/>
      <c r="P520" s="34"/>
      <c r="Q520" s="2"/>
      <c r="R520" s="34"/>
      <c r="S520" s="34"/>
      <c r="T520" s="34"/>
      <c r="U520" s="2"/>
      <c r="V520" s="2"/>
      <c r="W520" s="2"/>
      <c r="X520" s="34"/>
    </row>
    <row x14ac:dyDescent="0.25" r="521" customHeight="1" ht="15.75">
      <c r="A521" s="1"/>
      <c r="B521" s="34"/>
      <c r="C521" s="2"/>
      <c r="D521" s="34"/>
      <c r="E521" s="34"/>
      <c r="F521" s="34"/>
      <c r="G521" s="34"/>
      <c r="H521" s="34"/>
      <c r="I521" s="6"/>
      <c r="J521" s="2"/>
      <c r="K521" s="2"/>
      <c r="L521" s="6"/>
      <c r="M521" s="6"/>
      <c r="N521" s="6"/>
      <c r="O521" s="34"/>
      <c r="P521" s="34"/>
      <c r="Q521" s="2"/>
      <c r="R521" s="34"/>
      <c r="S521" s="34"/>
      <c r="T521" s="34"/>
      <c r="U521" s="2"/>
      <c r="V521" s="2"/>
      <c r="W521" s="2"/>
      <c r="X521" s="34"/>
    </row>
    <row x14ac:dyDescent="0.25" r="522" customHeight="1" ht="15.75">
      <c r="A522" s="1"/>
      <c r="B522" s="34"/>
      <c r="C522" s="2"/>
      <c r="D522" s="34"/>
      <c r="E522" s="34"/>
      <c r="F522" s="34"/>
      <c r="G522" s="34"/>
      <c r="H522" s="34"/>
      <c r="I522" s="6"/>
      <c r="J522" s="2"/>
      <c r="K522" s="2"/>
      <c r="L522" s="6"/>
      <c r="M522" s="6"/>
      <c r="N522" s="6"/>
      <c r="O522" s="34"/>
      <c r="P522" s="34"/>
      <c r="Q522" s="2"/>
      <c r="R522" s="34"/>
      <c r="S522" s="34"/>
      <c r="T522" s="34"/>
      <c r="U522" s="2"/>
      <c r="V522" s="2"/>
      <c r="W522" s="2"/>
      <c r="X522" s="34"/>
    </row>
    <row x14ac:dyDescent="0.25" r="523" customHeight="1" ht="15.75">
      <c r="A523" s="1"/>
      <c r="B523" s="34"/>
      <c r="C523" s="2"/>
      <c r="D523" s="34"/>
      <c r="E523" s="34"/>
      <c r="F523" s="34"/>
      <c r="G523" s="34"/>
      <c r="H523" s="34"/>
      <c r="I523" s="6"/>
      <c r="J523" s="2"/>
      <c r="K523" s="2"/>
      <c r="L523" s="6"/>
      <c r="M523" s="6"/>
      <c r="N523" s="6"/>
      <c r="O523" s="34"/>
      <c r="P523" s="34"/>
      <c r="Q523" s="2"/>
      <c r="R523" s="34"/>
      <c r="S523" s="34"/>
      <c r="T523" s="34"/>
      <c r="U523" s="2"/>
      <c r="V523" s="2"/>
      <c r="W523" s="2"/>
      <c r="X523" s="34"/>
    </row>
    <row x14ac:dyDescent="0.25" r="524" customHeight="1" ht="15.75">
      <c r="A524" s="1"/>
      <c r="B524" s="34"/>
      <c r="C524" s="2"/>
      <c r="D524" s="34"/>
      <c r="E524" s="34"/>
      <c r="F524" s="34"/>
      <c r="G524" s="34"/>
      <c r="H524" s="34"/>
      <c r="I524" s="6"/>
      <c r="J524" s="2"/>
      <c r="K524" s="2"/>
      <c r="L524" s="6"/>
      <c r="M524" s="6"/>
      <c r="N524" s="6"/>
      <c r="O524" s="34"/>
      <c r="P524" s="34"/>
      <c r="Q524" s="2"/>
      <c r="R524" s="34"/>
      <c r="S524" s="34"/>
      <c r="T524" s="34"/>
      <c r="U524" s="2"/>
      <c r="V524" s="2"/>
      <c r="W524" s="2"/>
      <c r="X524" s="34"/>
    </row>
    <row x14ac:dyDescent="0.25" r="525" customHeight="1" ht="15.75">
      <c r="A525" s="1"/>
      <c r="B525" s="34"/>
      <c r="C525" s="2"/>
      <c r="D525" s="34"/>
      <c r="E525" s="34"/>
      <c r="F525" s="34"/>
      <c r="G525" s="34"/>
      <c r="H525" s="34"/>
      <c r="I525" s="6"/>
      <c r="J525" s="2"/>
      <c r="K525" s="2"/>
      <c r="L525" s="6"/>
      <c r="M525" s="6"/>
      <c r="N525" s="6"/>
      <c r="O525" s="34"/>
      <c r="P525" s="34"/>
      <c r="Q525" s="2"/>
      <c r="R525" s="34"/>
      <c r="S525" s="34"/>
      <c r="T525" s="34"/>
      <c r="U525" s="2"/>
      <c r="V525" s="2"/>
      <c r="W525" s="2"/>
      <c r="X525" s="34"/>
    </row>
    <row x14ac:dyDescent="0.25" r="526" customHeight="1" ht="15.75">
      <c r="A526" s="1"/>
      <c r="B526" s="34"/>
      <c r="C526" s="2"/>
      <c r="D526" s="34"/>
      <c r="E526" s="34"/>
      <c r="F526" s="34"/>
      <c r="G526" s="34"/>
      <c r="H526" s="34"/>
      <c r="I526" s="6"/>
      <c r="J526" s="2"/>
      <c r="K526" s="2"/>
      <c r="L526" s="6"/>
      <c r="M526" s="6"/>
      <c r="N526" s="6"/>
      <c r="O526" s="34"/>
      <c r="P526" s="34"/>
      <c r="Q526" s="2"/>
      <c r="R526" s="34"/>
      <c r="S526" s="34"/>
      <c r="T526" s="34"/>
      <c r="U526" s="2"/>
      <c r="V526" s="2"/>
      <c r="W526" s="2"/>
      <c r="X526" s="34"/>
    </row>
    <row x14ac:dyDescent="0.25" r="527" customHeight="1" ht="15.75">
      <c r="A527" s="1"/>
      <c r="B527" s="34"/>
      <c r="C527" s="2"/>
      <c r="D527" s="34"/>
      <c r="E527" s="34"/>
      <c r="F527" s="34"/>
      <c r="G527" s="34"/>
      <c r="H527" s="34"/>
      <c r="I527" s="6"/>
      <c r="J527" s="2"/>
      <c r="K527" s="2"/>
      <c r="L527" s="6"/>
      <c r="M527" s="6"/>
      <c r="N527" s="6"/>
      <c r="O527" s="34"/>
      <c r="P527" s="34"/>
      <c r="Q527" s="2"/>
      <c r="R527" s="34"/>
      <c r="S527" s="34"/>
      <c r="T527" s="34"/>
      <c r="U527" s="2"/>
      <c r="V527" s="2"/>
      <c r="W527" s="2"/>
      <c r="X527" s="34"/>
    </row>
    <row x14ac:dyDescent="0.25" r="528" customHeight="1" ht="15.75">
      <c r="A528" s="1"/>
      <c r="B528" s="34"/>
      <c r="C528" s="2"/>
      <c r="D528" s="34"/>
      <c r="E528" s="34"/>
      <c r="F528" s="34"/>
      <c r="G528" s="34"/>
      <c r="H528" s="34"/>
      <c r="I528" s="6"/>
      <c r="J528" s="2"/>
      <c r="K528" s="2"/>
      <c r="L528" s="6"/>
      <c r="M528" s="6"/>
      <c r="N528" s="6"/>
      <c r="O528" s="34"/>
      <c r="P528" s="34"/>
      <c r="Q528" s="2"/>
      <c r="R528" s="34"/>
      <c r="S528" s="34"/>
      <c r="T528" s="34"/>
      <c r="U528" s="2"/>
      <c r="V528" s="2"/>
      <c r="W528" s="2"/>
      <c r="X528" s="34"/>
    </row>
    <row x14ac:dyDescent="0.25" r="529" customHeight="1" ht="15.75">
      <c r="A529" s="1"/>
      <c r="B529" s="34"/>
      <c r="C529" s="2"/>
      <c r="D529" s="34"/>
      <c r="E529" s="34"/>
      <c r="F529" s="34"/>
      <c r="G529" s="34"/>
      <c r="H529" s="34"/>
      <c r="I529" s="6"/>
      <c r="J529" s="2"/>
      <c r="K529" s="2"/>
      <c r="L529" s="6"/>
      <c r="M529" s="6"/>
      <c r="N529" s="6"/>
      <c r="O529" s="34"/>
      <c r="P529" s="34"/>
      <c r="Q529" s="2"/>
      <c r="R529" s="34"/>
      <c r="S529" s="34"/>
      <c r="T529" s="34"/>
      <c r="U529" s="2"/>
      <c r="V529" s="2"/>
      <c r="W529" s="2"/>
      <c r="X529" s="34"/>
    </row>
    <row x14ac:dyDescent="0.25" r="530" customHeight="1" ht="15.75">
      <c r="A530" s="1"/>
      <c r="B530" s="34"/>
      <c r="C530" s="2"/>
      <c r="D530" s="34"/>
      <c r="E530" s="34"/>
      <c r="F530" s="34"/>
      <c r="G530" s="34"/>
      <c r="H530" s="34"/>
      <c r="I530" s="6"/>
      <c r="J530" s="2"/>
      <c r="K530" s="2"/>
      <c r="L530" s="6"/>
      <c r="M530" s="6"/>
      <c r="N530" s="6"/>
      <c r="O530" s="34"/>
      <c r="P530" s="34"/>
      <c r="Q530" s="2"/>
      <c r="R530" s="34"/>
      <c r="S530" s="34"/>
      <c r="T530" s="34"/>
      <c r="U530" s="2"/>
      <c r="V530" s="2"/>
      <c r="W530" s="2"/>
      <c r="X530" s="34"/>
    </row>
    <row x14ac:dyDescent="0.25" r="531" customHeight="1" ht="15.75">
      <c r="A531" s="1"/>
      <c r="B531" s="34"/>
      <c r="C531" s="2"/>
      <c r="D531" s="34"/>
      <c r="E531" s="34"/>
      <c r="F531" s="34"/>
      <c r="G531" s="34"/>
      <c r="H531" s="34"/>
      <c r="I531" s="6"/>
      <c r="J531" s="2"/>
      <c r="K531" s="2"/>
      <c r="L531" s="6"/>
      <c r="M531" s="6"/>
      <c r="N531" s="6"/>
      <c r="O531" s="34"/>
      <c r="P531" s="34"/>
      <c r="Q531" s="2"/>
      <c r="R531" s="34"/>
      <c r="S531" s="34"/>
      <c r="T531" s="34"/>
      <c r="U531" s="2"/>
      <c r="V531" s="2"/>
      <c r="W531" s="2"/>
      <c r="X531" s="34"/>
    </row>
    <row x14ac:dyDescent="0.25" r="532" customHeight="1" ht="15.75">
      <c r="A532" s="1"/>
      <c r="B532" s="34"/>
      <c r="C532" s="2"/>
      <c r="D532" s="34"/>
      <c r="E532" s="34"/>
      <c r="F532" s="34"/>
      <c r="G532" s="34"/>
      <c r="H532" s="34"/>
      <c r="I532" s="6"/>
      <c r="J532" s="2"/>
      <c r="K532" s="2"/>
      <c r="L532" s="6"/>
      <c r="M532" s="6"/>
      <c r="N532" s="6"/>
      <c r="O532" s="34"/>
      <c r="P532" s="34"/>
      <c r="Q532" s="2"/>
      <c r="R532" s="34"/>
      <c r="S532" s="34"/>
      <c r="T532" s="34"/>
      <c r="U532" s="2"/>
      <c r="V532" s="2"/>
      <c r="W532" s="2"/>
      <c r="X532" s="34"/>
    </row>
    <row x14ac:dyDescent="0.25" r="533" customHeight="1" ht="15.75">
      <c r="A533" s="1"/>
      <c r="B533" s="34"/>
      <c r="C533" s="2"/>
      <c r="D533" s="34"/>
      <c r="E533" s="34"/>
      <c r="F533" s="34"/>
      <c r="G533" s="34"/>
      <c r="H533" s="34"/>
      <c r="I533" s="6"/>
      <c r="J533" s="2"/>
      <c r="K533" s="2"/>
      <c r="L533" s="6"/>
      <c r="M533" s="6"/>
      <c r="N533" s="6"/>
      <c r="O533" s="34"/>
      <c r="P533" s="34"/>
      <c r="Q533" s="2"/>
      <c r="R533" s="34"/>
      <c r="S533" s="34"/>
      <c r="T533" s="34"/>
      <c r="U533" s="2"/>
      <c r="V533" s="2"/>
      <c r="W533" s="2"/>
      <c r="X533" s="34"/>
    </row>
    <row x14ac:dyDescent="0.25" r="534" customHeight="1" ht="15.75">
      <c r="A534" s="1"/>
      <c r="B534" s="34"/>
      <c r="C534" s="2"/>
      <c r="D534" s="34"/>
      <c r="E534" s="34"/>
      <c r="F534" s="34"/>
      <c r="G534" s="34"/>
      <c r="H534" s="34"/>
      <c r="I534" s="6"/>
      <c r="J534" s="2"/>
      <c r="K534" s="2"/>
      <c r="L534" s="6"/>
      <c r="M534" s="6"/>
      <c r="N534" s="6"/>
      <c r="O534" s="34"/>
      <c r="P534" s="34"/>
      <c r="Q534" s="2"/>
      <c r="R534" s="34"/>
      <c r="S534" s="34"/>
      <c r="T534" s="34"/>
      <c r="U534" s="2"/>
      <c r="V534" s="2"/>
      <c r="W534" s="2"/>
      <c r="X534" s="34"/>
    </row>
    <row x14ac:dyDescent="0.25" r="535" customHeight="1" ht="15.75">
      <c r="A535" s="1"/>
      <c r="B535" s="34"/>
      <c r="C535" s="2"/>
      <c r="D535" s="34"/>
      <c r="E535" s="34"/>
      <c r="F535" s="34"/>
      <c r="G535" s="34"/>
      <c r="H535" s="34"/>
      <c r="I535" s="6"/>
      <c r="J535" s="2"/>
      <c r="K535" s="2"/>
      <c r="L535" s="6"/>
      <c r="M535" s="6"/>
      <c r="N535" s="6"/>
      <c r="O535" s="34"/>
      <c r="P535" s="34"/>
      <c r="Q535" s="2"/>
      <c r="R535" s="34"/>
      <c r="S535" s="34"/>
      <c r="T535" s="34"/>
      <c r="U535" s="2"/>
      <c r="V535" s="2"/>
      <c r="W535" s="2"/>
      <c r="X535" s="34"/>
    </row>
    <row x14ac:dyDescent="0.25" r="536" customHeight="1" ht="15.75">
      <c r="A536" s="1"/>
      <c r="B536" s="34"/>
      <c r="C536" s="2"/>
      <c r="D536" s="34"/>
      <c r="E536" s="34"/>
      <c r="F536" s="34"/>
      <c r="G536" s="34"/>
      <c r="H536" s="34"/>
      <c r="I536" s="6"/>
      <c r="J536" s="2"/>
      <c r="K536" s="2"/>
      <c r="L536" s="6"/>
      <c r="M536" s="6"/>
      <c r="N536" s="6"/>
      <c r="O536" s="34"/>
      <c r="P536" s="34"/>
      <c r="Q536" s="2"/>
      <c r="R536" s="34"/>
      <c r="S536" s="34"/>
      <c r="T536" s="34"/>
      <c r="U536" s="2"/>
      <c r="V536" s="2"/>
      <c r="W536" s="2"/>
      <c r="X536" s="34"/>
    </row>
    <row x14ac:dyDescent="0.25" r="537" customHeight="1" ht="15.75">
      <c r="A537" s="1"/>
      <c r="B537" s="34"/>
      <c r="C537" s="2"/>
      <c r="D537" s="34"/>
      <c r="E537" s="34"/>
      <c r="F537" s="34"/>
      <c r="G537" s="34"/>
      <c r="H537" s="34"/>
      <c r="I537" s="6"/>
      <c r="J537" s="2"/>
      <c r="K537" s="2"/>
      <c r="L537" s="6"/>
      <c r="M537" s="6"/>
      <c r="N537" s="6"/>
      <c r="O537" s="34"/>
      <c r="P537" s="34"/>
      <c r="Q537" s="2"/>
      <c r="R537" s="34"/>
      <c r="S537" s="34"/>
      <c r="T537" s="34"/>
      <c r="U537" s="2"/>
      <c r="V537" s="2"/>
      <c r="W537" s="2"/>
      <c r="X537" s="34"/>
    </row>
    <row x14ac:dyDescent="0.25" r="538" customHeight="1" ht="15.75">
      <c r="A538" s="1"/>
      <c r="B538" s="34"/>
      <c r="C538" s="2"/>
      <c r="D538" s="34"/>
      <c r="E538" s="34"/>
      <c r="F538" s="34"/>
      <c r="G538" s="34"/>
      <c r="H538" s="34"/>
      <c r="I538" s="6"/>
      <c r="J538" s="2"/>
      <c r="K538" s="2"/>
      <c r="L538" s="6"/>
      <c r="M538" s="6"/>
      <c r="N538" s="6"/>
      <c r="O538" s="34"/>
      <c r="P538" s="34"/>
      <c r="Q538" s="2"/>
      <c r="R538" s="34"/>
      <c r="S538" s="34"/>
      <c r="T538" s="34"/>
      <c r="U538" s="2"/>
      <c r="V538" s="2"/>
      <c r="W538" s="2"/>
      <c r="X538" s="34"/>
    </row>
    <row x14ac:dyDescent="0.25" r="539" customHeight="1" ht="15.75">
      <c r="A539" s="1"/>
      <c r="B539" s="34"/>
      <c r="C539" s="2"/>
      <c r="D539" s="34"/>
      <c r="E539" s="34"/>
      <c r="F539" s="34"/>
      <c r="G539" s="34"/>
      <c r="H539" s="34"/>
      <c r="I539" s="6"/>
      <c r="J539" s="2"/>
      <c r="K539" s="2"/>
      <c r="L539" s="6"/>
      <c r="M539" s="6"/>
      <c r="N539" s="6"/>
      <c r="O539" s="34"/>
      <c r="P539" s="34"/>
      <c r="Q539" s="2"/>
      <c r="R539" s="34"/>
      <c r="S539" s="34"/>
      <c r="T539" s="34"/>
      <c r="U539" s="2"/>
      <c r="V539" s="2"/>
      <c r="W539" s="2"/>
      <c r="X539" s="34"/>
    </row>
    <row x14ac:dyDescent="0.25" r="540" customHeight="1" ht="15.75">
      <c r="A540" s="1"/>
      <c r="B540" s="34"/>
      <c r="C540" s="2"/>
      <c r="D540" s="34"/>
      <c r="E540" s="34"/>
      <c r="F540" s="34"/>
      <c r="G540" s="34"/>
      <c r="H540" s="34"/>
      <c r="I540" s="6"/>
      <c r="J540" s="2"/>
      <c r="K540" s="2"/>
      <c r="L540" s="6"/>
      <c r="M540" s="6"/>
      <c r="N540" s="6"/>
      <c r="O540" s="34"/>
      <c r="P540" s="34"/>
      <c r="Q540" s="2"/>
      <c r="R540" s="34"/>
      <c r="S540" s="34"/>
      <c r="T540" s="34"/>
      <c r="U540" s="2"/>
      <c r="V540" s="2"/>
      <c r="W540" s="2"/>
      <c r="X540" s="34"/>
    </row>
    <row x14ac:dyDescent="0.25" r="541" customHeight="1" ht="15.75">
      <c r="A541" s="1"/>
      <c r="B541" s="34"/>
      <c r="C541" s="2"/>
      <c r="D541" s="34"/>
      <c r="E541" s="34"/>
      <c r="F541" s="34"/>
      <c r="G541" s="34"/>
      <c r="H541" s="34"/>
      <c r="I541" s="6"/>
      <c r="J541" s="2"/>
      <c r="K541" s="2"/>
      <c r="L541" s="6"/>
      <c r="M541" s="6"/>
      <c r="N541" s="6"/>
      <c r="O541" s="34"/>
      <c r="P541" s="34"/>
      <c r="Q541" s="2"/>
      <c r="R541" s="34"/>
      <c r="S541" s="34"/>
      <c r="T541" s="34"/>
      <c r="U541" s="2"/>
      <c r="V541" s="2"/>
      <c r="W541" s="2"/>
      <c r="X541" s="34"/>
    </row>
    <row x14ac:dyDescent="0.25" r="542" customHeight="1" ht="15.75">
      <c r="A542" s="1"/>
      <c r="B542" s="34"/>
      <c r="C542" s="2"/>
      <c r="D542" s="34"/>
      <c r="E542" s="34"/>
      <c r="F542" s="34"/>
      <c r="G542" s="34"/>
      <c r="H542" s="34"/>
      <c r="I542" s="6"/>
      <c r="J542" s="2"/>
      <c r="K542" s="2"/>
      <c r="L542" s="6"/>
      <c r="M542" s="6"/>
      <c r="N542" s="6"/>
      <c r="O542" s="34"/>
      <c r="P542" s="34"/>
      <c r="Q542" s="2"/>
      <c r="R542" s="34"/>
      <c r="S542" s="34"/>
      <c r="T542" s="34"/>
      <c r="U542" s="2"/>
      <c r="V542" s="2"/>
      <c r="W542" s="2"/>
      <c r="X542" s="34"/>
    </row>
    <row x14ac:dyDescent="0.25" r="543" customHeight="1" ht="15.75">
      <c r="A543" s="1"/>
      <c r="B543" s="34"/>
      <c r="C543" s="2"/>
      <c r="D543" s="34"/>
      <c r="E543" s="34"/>
      <c r="F543" s="34"/>
      <c r="G543" s="34"/>
      <c r="H543" s="34"/>
      <c r="I543" s="6"/>
      <c r="J543" s="2"/>
      <c r="K543" s="2"/>
      <c r="L543" s="6"/>
      <c r="M543" s="6"/>
      <c r="N543" s="6"/>
      <c r="O543" s="34"/>
      <c r="P543" s="34"/>
      <c r="Q543" s="2"/>
      <c r="R543" s="34"/>
      <c r="S543" s="34"/>
      <c r="T543" s="34"/>
      <c r="U543" s="2"/>
      <c r="V543" s="2"/>
      <c r="W543" s="2"/>
      <c r="X543" s="34"/>
    </row>
    <row x14ac:dyDescent="0.25" r="544" customHeight="1" ht="15.75">
      <c r="A544" s="1"/>
      <c r="B544" s="34"/>
      <c r="C544" s="2"/>
      <c r="D544" s="34"/>
      <c r="E544" s="34"/>
      <c r="F544" s="34"/>
      <c r="G544" s="34"/>
      <c r="H544" s="34"/>
      <c r="I544" s="6"/>
      <c r="J544" s="2"/>
      <c r="K544" s="2"/>
      <c r="L544" s="6"/>
      <c r="M544" s="6"/>
      <c r="N544" s="6"/>
      <c r="O544" s="34"/>
      <c r="P544" s="34"/>
      <c r="Q544" s="2"/>
      <c r="R544" s="34"/>
      <c r="S544" s="34"/>
      <c r="T544" s="34"/>
      <c r="U544" s="2"/>
      <c r="V544" s="2"/>
      <c r="W544" s="2"/>
      <c r="X544" s="34"/>
    </row>
    <row x14ac:dyDescent="0.25" r="545" customHeight="1" ht="15.75">
      <c r="A545" s="1"/>
      <c r="B545" s="34"/>
      <c r="C545" s="2"/>
      <c r="D545" s="34"/>
      <c r="E545" s="34"/>
      <c r="F545" s="34"/>
      <c r="G545" s="34"/>
      <c r="H545" s="34"/>
      <c r="I545" s="6"/>
      <c r="J545" s="2"/>
      <c r="K545" s="2"/>
      <c r="L545" s="6"/>
      <c r="M545" s="6"/>
      <c r="N545" s="6"/>
      <c r="O545" s="34"/>
      <c r="P545" s="34"/>
      <c r="Q545" s="2"/>
      <c r="R545" s="34"/>
      <c r="S545" s="34"/>
      <c r="T545" s="34"/>
      <c r="U545" s="2"/>
      <c r="V545" s="2"/>
      <c r="W545" s="2"/>
      <c r="X545" s="34"/>
    </row>
    <row x14ac:dyDescent="0.25" r="546" customHeight="1" ht="15.75">
      <c r="A546" s="1"/>
      <c r="B546" s="34"/>
      <c r="C546" s="2"/>
      <c r="D546" s="34"/>
      <c r="E546" s="34"/>
      <c r="F546" s="34"/>
      <c r="G546" s="34"/>
      <c r="H546" s="34"/>
      <c r="I546" s="6"/>
      <c r="J546" s="2"/>
      <c r="K546" s="2"/>
      <c r="L546" s="6"/>
      <c r="M546" s="6"/>
      <c r="N546" s="6"/>
      <c r="O546" s="34"/>
      <c r="P546" s="34"/>
      <c r="Q546" s="2"/>
      <c r="R546" s="34"/>
      <c r="S546" s="34"/>
      <c r="T546" s="34"/>
      <c r="U546" s="2"/>
      <c r="V546" s="2"/>
      <c r="W546" s="2"/>
      <c r="X546" s="34"/>
    </row>
    <row x14ac:dyDescent="0.25" r="547" customHeight="1" ht="15.75">
      <c r="A547" s="1"/>
      <c r="B547" s="34"/>
      <c r="C547" s="2"/>
      <c r="D547" s="34"/>
      <c r="E547" s="34"/>
      <c r="F547" s="34"/>
      <c r="G547" s="34"/>
      <c r="H547" s="34"/>
      <c r="I547" s="6"/>
      <c r="J547" s="2"/>
      <c r="K547" s="2"/>
      <c r="L547" s="6"/>
      <c r="M547" s="6"/>
      <c r="N547" s="6"/>
      <c r="O547" s="34"/>
      <c r="P547" s="34"/>
      <c r="Q547" s="2"/>
      <c r="R547" s="34"/>
      <c r="S547" s="34"/>
      <c r="T547" s="34"/>
      <c r="U547" s="2"/>
      <c r="V547" s="2"/>
      <c r="W547" s="2"/>
      <c r="X547" s="34"/>
    </row>
    <row x14ac:dyDescent="0.25" r="548" customHeight="1" ht="15.75">
      <c r="A548" s="1"/>
      <c r="B548" s="34"/>
      <c r="C548" s="2"/>
      <c r="D548" s="34"/>
      <c r="E548" s="34"/>
      <c r="F548" s="34"/>
      <c r="G548" s="34"/>
      <c r="H548" s="34"/>
      <c r="I548" s="6"/>
      <c r="J548" s="2"/>
      <c r="K548" s="2"/>
      <c r="L548" s="6"/>
      <c r="M548" s="6"/>
      <c r="N548" s="6"/>
      <c r="O548" s="34"/>
      <c r="P548" s="34"/>
      <c r="Q548" s="2"/>
      <c r="R548" s="34"/>
      <c r="S548" s="34"/>
      <c r="T548" s="34"/>
      <c r="U548" s="2"/>
      <c r="V548" s="2"/>
      <c r="W548" s="2"/>
      <c r="X548" s="34"/>
    </row>
    <row x14ac:dyDescent="0.25" r="549" customHeight="1" ht="15.75">
      <c r="A549" s="1"/>
      <c r="B549" s="34"/>
      <c r="C549" s="2"/>
      <c r="D549" s="34"/>
      <c r="E549" s="34"/>
      <c r="F549" s="34"/>
      <c r="G549" s="34"/>
      <c r="H549" s="34"/>
      <c r="I549" s="6"/>
      <c r="J549" s="2"/>
      <c r="K549" s="2"/>
      <c r="L549" s="6"/>
      <c r="M549" s="6"/>
      <c r="N549" s="6"/>
      <c r="O549" s="34"/>
      <c r="P549" s="34"/>
      <c r="Q549" s="2"/>
      <c r="R549" s="34"/>
      <c r="S549" s="34"/>
      <c r="T549" s="34"/>
      <c r="U549" s="2"/>
      <c r="V549" s="2"/>
      <c r="W549" s="2"/>
      <c r="X549" s="34"/>
    </row>
    <row x14ac:dyDescent="0.25" r="550" customHeight="1" ht="15.75">
      <c r="A550" s="1"/>
      <c r="B550" s="34"/>
      <c r="C550" s="2"/>
      <c r="D550" s="34"/>
      <c r="E550" s="34"/>
      <c r="F550" s="34"/>
      <c r="G550" s="34"/>
      <c r="H550" s="34"/>
      <c r="I550" s="6"/>
      <c r="J550" s="2"/>
      <c r="K550" s="2"/>
      <c r="L550" s="6"/>
      <c r="M550" s="6"/>
      <c r="N550" s="6"/>
      <c r="O550" s="34"/>
      <c r="P550" s="34"/>
      <c r="Q550" s="2"/>
      <c r="R550" s="34"/>
      <c r="S550" s="34"/>
      <c r="T550" s="34"/>
      <c r="U550" s="2"/>
      <c r="V550" s="2"/>
      <c r="W550" s="2"/>
      <c r="X550" s="34"/>
    </row>
    <row x14ac:dyDescent="0.25" r="551" customHeight="1" ht="15.75">
      <c r="A551" s="1"/>
      <c r="B551" s="34"/>
      <c r="C551" s="2"/>
      <c r="D551" s="34"/>
      <c r="E551" s="34"/>
      <c r="F551" s="34"/>
      <c r="G551" s="34"/>
      <c r="H551" s="34"/>
      <c r="I551" s="6"/>
      <c r="J551" s="2"/>
      <c r="K551" s="2"/>
      <c r="L551" s="6"/>
      <c r="M551" s="6"/>
      <c r="N551" s="6"/>
      <c r="O551" s="34"/>
      <c r="P551" s="34"/>
      <c r="Q551" s="2"/>
      <c r="R551" s="34"/>
      <c r="S551" s="34"/>
      <c r="T551" s="34"/>
      <c r="U551" s="2"/>
      <c r="V551" s="2"/>
      <c r="W551" s="2"/>
      <c r="X551" s="34"/>
    </row>
    <row x14ac:dyDescent="0.25" r="552" customHeight="1" ht="15.75">
      <c r="A552" s="1"/>
      <c r="B552" s="34"/>
      <c r="C552" s="2"/>
      <c r="D552" s="34"/>
      <c r="E552" s="34"/>
      <c r="F552" s="34"/>
      <c r="G552" s="34"/>
      <c r="H552" s="34"/>
      <c r="I552" s="6"/>
      <c r="J552" s="2"/>
      <c r="K552" s="2"/>
      <c r="L552" s="6"/>
      <c r="M552" s="6"/>
      <c r="N552" s="6"/>
      <c r="O552" s="34"/>
      <c r="P552" s="34"/>
      <c r="Q552" s="2"/>
      <c r="R552" s="34"/>
      <c r="S552" s="34"/>
      <c r="T552" s="34"/>
      <c r="U552" s="2"/>
      <c r="V552" s="2"/>
      <c r="W552" s="2"/>
      <c r="X552" s="34"/>
    </row>
    <row x14ac:dyDescent="0.25" r="553" customHeight="1" ht="15.75">
      <c r="A553" s="1"/>
      <c r="B553" s="34"/>
      <c r="C553" s="2"/>
      <c r="D553" s="34"/>
      <c r="E553" s="34"/>
      <c r="F553" s="34"/>
      <c r="G553" s="34"/>
      <c r="H553" s="34"/>
      <c r="I553" s="6"/>
      <c r="J553" s="2"/>
      <c r="K553" s="2"/>
      <c r="L553" s="6"/>
      <c r="M553" s="6"/>
      <c r="N553" s="6"/>
      <c r="O553" s="34"/>
      <c r="P553" s="34"/>
      <c r="Q553" s="2"/>
      <c r="R553" s="34"/>
      <c r="S553" s="34"/>
      <c r="T553" s="34"/>
      <c r="U553" s="2"/>
      <c r="V553" s="2"/>
      <c r="W553" s="2"/>
      <c r="X553" s="34"/>
    </row>
    <row x14ac:dyDescent="0.25" r="554" customHeight="1" ht="15.75">
      <c r="A554" s="1"/>
      <c r="B554" s="34"/>
      <c r="C554" s="2"/>
      <c r="D554" s="34"/>
      <c r="E554" s="34"/>
      <c r="F554" s="34"/>
      <c r="G554" s="34"/>
      <c r="H554" s="34"/>
      <c r="I554" s="6"/>
      <c r="J554" s="2"/>
      <c r="K554" s="2"/>
      <c r="L554" s="6"/>
      <c r="M554" s="6"/>
      <c r="N554" s="6"/>
      <c r="O554" s="34"/>
      <c r="P554" s="34"/>
      <c r="Q554" s="2"/>
      <c r="R554" s="34"/>
      <c r="S554" s="34"/>
      <c r="T554" s="34"/>
      <c r="U554" s="2"/>
      <c r="V554" s="2"/>
      <c r="W554" s="2"/>
      <c r="X554" s="34"/>
    </row>
    <row x14ac:dyDescent="0.25" r="555" customHeight="1" ht="15.75">
      <c r="A555" s="1"/>
      <c r="B555" s="34"/>
      <c r="C555" s="2"/>
      <c r="D555" s="34"/>
      <c r="E555" s="34"/>
      <c r="F555" s="34"/>
      <c r="G555" s="34"/>
      <c r="H555" s="34"/>
      <c r="I555" s="6"/>
      <c r="J555" s="2"/>
      <c r="K555" s="2"/>
      <c r="L555" s="6"/>
      <c r="M555" s="6"/>
      <c r="N555" s="6"/>
      <c r="O555" s="34"/>
      <c r="P555" s="34"/>
      <c r="Q555" s="2"/>
      <c r="R555" s="34"/>
      <c r="S555" s="34"/>
      <c r="T555" s="34"/>
      <c r="U555" s="2"/>
      <c r="V555" s="2"/>
      <c r="W555" s="2"/>
      <c r="X555" s="34"/>
    </row>
    <row x14ac:dyDescent="0.25" r="556" customHeight="1" ht="15.75">
      <c r="A556" s="1"/>
      <c r="B556" s="34"/>
      <c r="C556" s="2"/>
      <c r="D556" s="34"/>
      <c r="E556" s="34"/>
      <c r="F556" s="34"/>
      <c r="G556" s="34"/>
      <c r="H556" s="34"/>
      <c r="I556" s="6"/>
      <c r="J556" s="2"/>
      <c r="K556" s="2"/>
      <c r="L556" s="6"/>
      <c r="M556" s="6"/>
      <c r="N556" s="6"/>
      <c r="O556" s="34"/>
      <c r="P556" s="34"/>
      <c r="Q556" s="2"/>
      <c r="R556" s="34"/>
      <c r="S556" s="34"/>
      <c r="T556" s="34"/>
      <c r="U556" s="2"/>
      <c r="V556" s="2"/>
      <c r="W556" s="2"/>
      <c r="X556" s="34"/>
    </row>
    <row x14ac:dyDescent="0.25" r="557" customHeight="1" ht="15.75">
      <c r="A557" s="1"/>
      <c r="B557" s="34"/>
      <c r="C557" s="2"/>
      <c r="D557" s="34"/>
      <c r="E557" s="34"/>
      <c r="F557" s="34"/>
      <c r="G557" s="34"/>
      <c r="H557" s="34"/>
      <c r="I557" s="6"/>
      <c r="J557" s="2"/>
      <c r="K557" s="2"/>
      <c r="L557" s="6"/>
      <c r="M557" s="6"/>
      <c r="N557" s="6"/>
      <c r="O557" s="34"/>
      <c r="P557" s="34"/>
      <c r="Q557" s="2"/>
      <c r="R557" s="34"/>
      <c r="S557" s="34"/>
      <c r="T557" s="34"/>
      <c r="U557" s="2"/>
      <c r="V557" s="2"/>
      <c r="W557" s="2"/>
      <c r="X557" s="34"/>
    </row>
    <row x14ac:dyDescent="0.25" r="558" customHeight="1" ht="15.75">
      <c r="A558" s="1"/>
      <c r="B558" s="34"/>
      <c r="C558" s="2"/>
      <c r="D558" s="34"/>
      <c r="E558" s="34"/>
      <c r="F558" s="34"/>
      <c r="G558" s="34"/>
      <c r="H558" s="34"/>
      <c r="I558" s="6"/>
      <c r="J558" s="2"/>
      <c r="K558" s="2"/>
      <c r="L558" s="6"/>
      <c r="M558" s="6"/>
      <c r="N558" s="6"/>
      <c r="O558" s="34"/>
      <c r="P558" s="34"/>
      <c r="Q558" s="2"/>
      <c r="R558" s="34"/>
      <c r="S558" s="34"/>
      <c r="T558" s="34"/>
      <c r="U558" s="2"/>
      <c r="V558" s="2"/>
      <c r="W558" s="2"/>
      <c r="X558" s="34"/>
    </row>
    <row x14ac:dyDescent="0.25" r="559" customHeight="1" ht="15.75">
      <c r="A559" s="1"/>
      <c r="B559" s="34"/>
      <c r="C559" s="2"/>
      <c r="D559" s="34"/>
      <c r="E559" s="34"/>
      <c r="F559" s="34"/>
      <c r="G559" s="34"/>
      <c r="H559" s="34"/>
      <c r="I559" s="6"/>
      <c r="J559" s="2"/>
      <c r="K559" s="2"/>
      <c r="L559" s="6"/>
      <c r="M559" s="6"/>
      <c r="N559" s="6"/>
      <c r="O559" s="34"/>
      <c r="P559" s="34"/>
      <c r="Q559" s="2"/>
      <c r="R559" s="34"/>
      <c r="S559" s="34"/>
      <c r="T559" s="34"/>
      <c r="U559" s="2"/>
      <c r="V559" s="2"/>
      <c r="W559" s="2"/>
      <c r="X559" s="34"/>
    </row>
    <row x14ac:dyDescent="0.25" r="560" customHeight="1" ht="15.75">
      <c r="A560" s="1"/>
      <c r="B560" s="34"/>
      <c r="C560" s="2"/>
      <c r="D560" s="34"/>
      <c r="E560" s="34"/>
      <c r="F560" s="34"/>
      <c r="G560" s="34"/>
      <c r="H560" s="34"/>
      <c r="I560" s="6"/>
      <c r="J560" s="2"/>
      <c r="K560" s="2"/>
      <c r="L560" s="6"/>
      <c r="M560" s="6"/>
      <c r="N560" s="6"/>
      <c r="O560" s="34"/>
      <c r="P560" s="34"/>
      <c r="Q560" s="2"/>
      <c r="R560" s="34"/>
      <c r="S560" s="34"/>
      <c r="T560" s="34"/>
      <c r="U560" s="2"/>
      <c r="V560" s="2"/>
      <c r="W560" s="2"/>
      <c r="X560" s="34"/>
    </row>
    <row x14ac:dyDescent="0.25" r="561" customHeight="1" ht="15.75">
      <c r="A561" s="1"/>
      <c r="B561" s="34"/>
      <c r="C561" s="2"/>
      <c r="D561" s="34"/>
      <c r="E561" s="34"/>
      <c r="F561" s="34"/>
      <c r="G561" s="34"/>
      <c r="H561" s="34"/>
      <c r="I561" s="6"/>
      <c r="J561" s="2"/>
      <c r="K561" s="2"/>
      <c r="L561" s="6"/>
      <c r="M561" s="6"/>
      <c r="N561" s="6"/>
      <c r="O561" s="34"/>
      <c r="P561" s="34"/>
      <c r="Q561" s="2"/>
      <c r="R561" s="34"/>
      <c r="S561" s="34"/>
      <c r="T561" s="34"/>
      <c r="U561" s="2"/>
      <c r="V561" s="2"/>
      <c r="W561" s="2"/>
      <c r="X561" s="34"/>
    </row>
    <row x14ac:dyDescent="0.25" r="562" customHeight="1" ht="15.75">
      <c r="A562" s="1"/>
      <c r="B562" s="34"/>
      <c r="C562" s="2"/>
      <c r="D562" s="34"/>
      <c r="E562" s="34"/>
      <c r="F562" s="34"/>
      <c r="G562" s="34"/>
      <c r="H562" s="34"/>
      <c r="I562" s="6"/>
      <c r="J562" s="2"/>
      <c r="K562" s="2"/>
      <c r="L562" s="6"/>
      <c r="M562" s="6"/>
      <c r="N562" s="6"/>
      <c r="O562" s="34"/>
      <c r="P562" s="34"/>
      <c r="Q562" s="2"/>
      <c r="R562" s="34"/>
      <c r="S562" s="34"/>
      <c r="T562" s="34"/>
      <c r="U562" s="2"/>
      <c r="V562" s="2"/>
      <c r="W562" s="2"/>
      <c r="X562" s="34"/>
    </row>
    <row x14ac:dyDescent="0.25" r="563" customHeight="1" ht="15.75">
      <c r="A563" s="1"/>
      <c r="B563" s="34"/>
      <c r="C563" s="2"/>
      <c r="D563" s="34"/>
      <c r="E563" s="34"/>
      <c r="F563" s="34"/>
      <c r="G563" s="34"/>
      <c r="H563" s="34"/>
      <c r="I563" s="6"/>
      <c r="J563" s="2"/>
      <c r="K563" s="2"/>
      <c r="L563" s="6"/>
      <c r="M563" s="6"/>
      <c r="N563" s="6"/>
      <c r="O563" s="34"/>
      <c r="P563" s="34"/>
      <c r="Q563" s="2"/>
      <c r="R563" s="34"/>
      <c r="S563" s="34"/>
      <c r="T563" s="34"/>
      <c r="U563" s="2"/>
      <c r="V563" s="2"/>
      <c r="W563" s="2"/>
      <c r="X563" s="34"/>
    </row>
    <row x14ac:dyDescent="0.25" r="564" customHeight="1" ht="15.75">
      <c r="A564" s="1"/>
      <c r="B564" s="34"/>
      <c r="C564" s="2"/>
      <c r="D564" s="34"/>
      <c r="E564" s="34"/>
      <c r="F564" s="34"/>
      <c r="G564" s="34"/>
      <c r="H564" s="34"/>
      <c r="I564" s="6"/>
      <c r="J564" s="2"/>
      <c r="K564" s="2"/>
      <c r="L564" s="6"/>
      <c r="M564" s="6"/>
      <c r="N564" s="6"/>
      <c r="O564" s="34"/>
      <c r="P564" s="34"/>
      <c r="Q564" s="2"/>
      <c r="R564" s="34"/>
      <c r="S564" s="34"/>
      <c r="T564" s="34"/>
      <c r="U564" s="2"/>
      <c r="V564" s="2"/>
      <c r="W564" s="2"/>
      <c r="X564" s="34"/>
    </row>
    <row x14ac:dyDescent="0.25" r="565" customHeight="1" ht="15.75">
      <c r="A565" s="1"/>
      <c r="B565" s="34"/>
      <c r="C565" s="2"/>
      <c r="D565" s="34"/>
      <c r="E565" s="34"/>
      <c r="F565" s="34"/>
      <c r="G565" s="34"/>
      <c r="H565" s="34"/>
      <c r="I565" s="6"/>
      <c r="J565" s="2"/>
      <c r="K565" s="2"/>
      <c r="L565" s="6"/>
      <c r="M565" s="6"/>
      <c r="N565" s="6"/>
      <c r="O565" s="34"/>
      <c r="P565" s="34"/>
      <c r="Q565" s="2"/>
      <c r="R565" s="34"/>
      <c r="S565" s="34"/>
      <c r="T565" s="34"/>
      <c r="U565" s="2"/>
      <c r="V565" s="2"/>
      <c r="W565" s="2"/>
      <c r="X565" s="34"/>
    </row>
    <row x14ac:dyDescent="0.25" r="566" customHeight="1" ht="15.75">
      <c r="A566" s="1"/>
      <c r="B566" s="34"/>
      <c r="C566" s="2"/>
      <c r="D566" s="34"/>
      <c r="E566" s="34"/>
      <c r="F566" s="34"/>
      <c r="G566" s="34"/>
      <c r="H566" s="34"/>
      <c r="I566" s="6"/>
      <c r="J566" s="2"/>
      <c r="K566" s="2"/>
      <c r="L566" s="6"/>
      <c r="M566" s="6"/>
      <c r="N566" s="6"/>
      <c r="O566" s="34"/>
      <c r="P566" s="34"/>
      <c r="Q566" s="2"/>
      <c r="R566" s="34"/>
      <c r="S566" s="34"/>
      <c r="T566" s="34"/>
      <c r="U566" s="2"/>
      <c r="V566" s="2"/>
      <c r="W566" s="2"/>
      <c r="X566" s="34"/>
    </row>
    <row x14ac:dyDescent="0.25" r="567" customHeight="1" ht="15.75">
      <c r="A567" s="1"/>
      <c r="B567" s="34"/>
      <c r="C567" s="2"/>
      <c r="D567" s="34"/>
      <c r="E567" s="34"/>
      <c r="F567" s="34"/>
      <c r="G567" s="34"/>
      <c r="H567" s="34"/>
      <c r="I567" s="6"/>
      <c r="J567" s="2"/>
      <c r="K567" s="2"/>
      <c r="L567" s="6"/>
      <c r="M567" s="6"/>
      <c r="N567" s="6"/>
      <c r="O567" s="34"/>
      <c r="P567" s="34"/>
      <c r="Q567" s="2"/>
      <c r="R567" s="34"/>
      <c r="S567" s="34"/>
      <c r="T567" s="34"/>
      <c r="U567" s="2"/>
      <c r="V567" s="2"/>
      <c r="W567" s="2"/>
      <c r="X567" s="34"/>
    </row>
    <row x14ac:dyDescent="0.25" r="568" customHeight="1" ht="15.75">
      <c r="A568" s="1"/>
      <c r="B568" s="34"/>
      <c r="C568" s="2"/>
      <c r="D568" s="34"/>
      <c r="E568" s="34"/>
      <c r="F568" s="34"/>
      <c r="G568" s="34"/>
      <c r="H568" s="34"/>
      <c r="I568" s="6"/>
      <c r="J568" s="2"/>
      <c r="K568" s="2"/>
      <c r="L568" s="6"/>
      <c r="M568" s="6"/>
      <c r="N568" s="6"/>
      <c r="O568" s="34"/>
      <c r="P568" s="34"/>
      <c r="Q568" s="2"/>
      <c r="R568" s="34"/>
      <c r="S568" s="34"/>
      <c r="T568" s="34"/>
      <c r="U568" s="2"/>
      <c r="V568" s="2"/>
      <c r="W568" s="2"/>
      <c r="X568" s="34"/>
    </row>
    <row x14ac:dyDescent="0.25" r="569" customHeight="1" ht="15.75">
      <c r="A569" s="1"/>
      <c r="B569" s="34"/>
      <c r="C569" s="2"/>
      <c r="D569" s="34"/>
      <c r="E569" s="34"/>
      <c r="F569" s="34"/>
      <c r="G569" s="34"/>
      <c r="H569" s="34"/>
      <c r="I569" s="6"/>
      <c r="J569" s="2"/>
      <c r="K569" s="2"/>
      <c r="L569" s="6"/>
      <c r="M569" s="6"/>
      <c r="N569" s="6"/>
      <c r="O569" s="34"/>
      <c r="P569" s="34"/>
      <c r="Q569" s="2"/>
      <c r="R569" s="34"/>
      <c r="S569" s="34"/>
      <c r="T569" s="34"/>
      <c r="U569" s="2"/>
      <c r="V569" s="2"/>
      <c r="W569" s="2"/>
      <c r="X569" s="34"/>
    </row>
    <row x14ac:dyDescent="0.25" r="570" customHeight="1" ht="15.75">
      <c r="A570" s="1"/>
      <c r="B570" s="34"/>
      <c r="C570" s="2"/>
      <c r="D570" s="34"/>
      <c r="E570" s="34"/>
      <c r="F570" s="34"/>
      <c r="G570" s="34"/>
      <c r="H570" s="34"/>
      <c r="I570" s="6"/>
      <c r="J570" s="2"/>
      <c r="K570" s="2"/>
      <c r="L570" s="6"/>
      <c r="M570" s="6"/>
      <c r="N570" s="6"/>
      <c r="O570" s="34"/>
      <c r="P570" s="34"/>
      <c r="Q570" s="2"/>
      <c r="R570" s="34"/>
      <c r="S570" s="34"/>
      <c r="T570" s="34"/>
      <c r="U570" s="2"/>
      <c r="V570" s="2"/>
      <c r="W570" s="2"/>
      <c r="X570" s="34"/>
    </row>
    <row x14ac:dyDescent="0.25" r="571" customHeight="1" ht="15.75">
      <c r="A571" s="1"/>
      <c r="B571" s="34"/>
      <c r="C571" s="2"/>
      <c r="D571" s="34"/>
      <c r="E571" s="34"/>
      <c r="F571" s="34"/>
      <c r="G571" s="34"/>
      <c r="H571" s="34"/>
      <c r="I571" s="6"/>
      <c r="J571" s="2"/>
      <c r="K571" s="2"/>
      <c r="L571" s="6"/>
      <c r="M571" s="6"/>
      <c r="N571" s="6"/>
      <c r="O571" s="34"/>
      <c r="P571" s="34"/>
      <c r="Q571" s="2"/>
      <c r="R571" s="34"/>
      <c r="S571" s="34"/>
      <c r="T571" s="34"/>
      <c r="U571" s="2"/>
      <c r="V571" s="2"/>
      <c r="W571" s="2"/>
      <c r="X571" s="34"/>
    </row>
    <row x14ac:dyDescent="0.25" r="572" customHeight="1" ht="15.75">
      <c r="A572" s="1"/>
      <c r="B572" s="34"/>
      <c r="C572" s="2"/>
      <c r="D572" s="34"/>
      <c r="E572" s="34"/>
      <c r="F572" s="34"/>
      <c r="G572" s="34"/>
      <c r="H572" s="34"/>
      <c r="I572" s="6"/>
      <c r="J572" s="2"/>
      <c r="K572" s="2"/>
      <c r="L572" s="6"/>
      <c r="M572" s="6"/>
      <c r="N572" s="6"/>
      <c r="O572" s="34"/>
      <c r="P572" s="34"/>
      <c r="Q572" s="2"/>
      <c r="R572" s="34"/>
      <c r="S572" s="34"/>
      <c r="T572" s="34"/>
      <c r="U572" s="2"/>
      <c r="V572" s="2"/>
      <c r="W572" s="2"/>
      <c r="X572" s="34"/>
    </row>
    <row x14ac:dyDescent="0.25" r="573" customHeight="1" ht="15.75">
      <c r="A573" s="1"/>
      <c r="B573" s="34"/>
      <c r="C573" s="2"/>
      <c r="D573" s="34"/>
      <c r="E573" s="34"/>
      <c r="F573" s="34"/>
      <c r="G573" s="34"/>
      <c r="H573" s="34"/>
      <c r="I573" s="6"/>
      <c r="J573" s="2"/>
      <c r="K573" s="2"/>
      <c r="L573" s="6"/>
      <c r="M573" s="6"/>
      <c r="N573" s="6"/>
      <c r="O573" s="34"/>
      <c r="P573" s="34"/>
      <c r="Q573" s="2"/>
      <c r="R573" s="34"/>
      <c r="S573" s="34"/>
      <c r="T573" s="34"/>
      <c r="U573" s="2"/>
      <c r="V573" s="2"/>
      <c r="W573" s="2"/>
      <c r="X573" s="34"/>
    </row>
    <row x14ac:dyDescent="0.25" r="574" customHeight="1" ht="15.75">
      <c r="A574" s="1"/>
      <c r="B574" s="34"/>
      <c r="C574" s="2"/>
      <c r="D574" s="34"/>
      <c r="E574" s="34"/>
      <c r="F574" s="34"/>
      <c r="G574" s="34"/>
      <c r="H574" s="34"/>
      <c r="I574" s="6"/>
      <c r="J574" s="2"/>
      <c r="K574" s="2"/>
      <c r="L574" s="6"/>
      <c r="M574" s="6"/>
      <c r="N574" s="6"/>
      <c r="O574" s="34"/>
      <c r="P574" s="34"/>
      <c r="Q574" s="2"/>
      <c r="R574" s="34"/>
      <c r="S574" s="34"/>
      <c r="T574" s="34"/>
      <c r="U574" s="2"/>
      <c r="V574" s="2"/>
      <c r="W574" s="2"/>
      <c r="X574" s="34"/>
    </row>
    <row x14ac:dyDescent="0.25" r="575" customHeight="1" ht="15.75">
      <c r="A575" s="1"/>
      <c r="B575" s="34"/>
      <c r="C575" s="2"/>
      <c r="D575" s="34"/>
      <c r="E575" s="34"/>
      <c r="F575" s="34"/>
      <c r="G575" s="34"/>
      <c r="H575" s="34"/>
      <c r="I575" s="6"/>
      <c r="J575" s="2"/>
      <c r="K575" s="2"/>
      <c r="L575" s="6"/>
      <c r="M575" s="6"/>
      <c r="N575" s="6"/>
      <c r="O575" s="34"/>
      <c r="P575" s="34"/>
      <c r="Q575" s="2"/>
      <c r="R575" s="34"/>
      <c r="S575" s="34"/>
      <c r="T575" s="34"/>
      <c r="U575" s="2"/>
      <c r="V575" s="2"/>
      <c r="W575" s="2"/>
      <c r="X575" s="34"/>
    </row>
    <row x14ac:dyDescent="0.25" r="576" customHeight="1" ht="15.75">
      <c r="A576" s="1"/>
      <c r="B576" s="34"/>
      <c r="C576" s="2"/>
      <c r="D576" s="34"/>
      <c r="E576" s="34"/>
      <c r="F576" s="34"/>
      <c r="G576" s="34"/>
      <c r="H576" s="34"/>
      <c r="I576" s="6"/>
      <c r="J576" s="2"/>
      <c r="K576" s="2"/>
      <c r="L576" s="6"/>
      <c r="M576" s="6"/>
      <c r="N576" s="6"/>
      <c r="O576" s="34"/>
      <c r="P576" s="34"/>
      <c r="Q576" s="2"/>
      <c r="R576" s="34"/>
      <c r="S576" s="34"/>
      <c r="T576" s="34"/>
      <c r="U576" s="2"/>
      <c r="V576" s="2"/>
      <c r="W576" s="2"/>
      <c r="X576" s="34"/>
    </row>
    <row x14ac:dyDescent="0.25" r="577" customHeight="1" ht="15.75">
      <c r="A577" s="1"/>
      <c r="B577" s="34"/>
      <c r="C577" s="2"/>
      <c r="D577" s="34"/>
      <c r="E577" s="34"/>
      <c r="F577" s="34"/>
      <c r="G577" s="34"/>
      <c r="H577" s="34"/>
      <c r="I577" s="6"/>
      <c r="J577" s="2"/>
      <c r="K577" s="2"/>
      <c r="L577" s="6"/>
      <c r="M577" s="6"/>
      <c r="N577" s="6"/>
      <c r="O577" s="34"/>
      <c r="P577" s="34"/>
      <c r="Q577" s="2"/>
      <c r="R577" s="34"/>
      <c r="S577" s="34"/>
      <c r="T577" s="34"/>
      <c r="U577" s="2"/>
      <c r="V577" s="2"/>
      <c r="W577" s="2"/>
      <c r="X577" s="34"/>
    </row>
    <row x14ac:dyDescent="0.25" r="578" customHeight="1" ht="15.75">
      <c r="A578" s="1"/>
      <c r="B578" s="34"/>
      <c r="C578" s="2"/>
      <c r="D578" s="34"/>
      <c r="E578" s="34"/>
      <c r="F578" s="34"/>
      <c r="G578" s="34"/>
      <c r="H578" s="34"/>
      <c r="I578" s="6"/>
      <c r="J578" s="2"/>
      <c r="K578" s="2"/>
      <c r="L578" s="6"/>
      <c r="M578" s="6"/>
      <c r="N578" s="6"/>
      <c r="O578" s="34"/>
      <c r="P578" s="34"/>
      <c r="Q578" s="2"/>
      <c r="R578" s="34"/>
      <c r="S578" s="34"/>
      <c r="T578" s="34"/>
      <c r="U578" s="2"/>
      <c r="V578" s="2"/>
      <c r="W578" s="2"/>
      <c r="X578" s="34"/>
    </row>
    <row x14ac:dyDescent="0.25" r="579" customHeight="1" ht="15.75">
      <c r="A579" s="1"/>
      <c r="B579" s="34"/>
      <c r="C579" s="2"/>
      <c r="D579" s="34"/>
      <c r="E579" s="34"/>
      <c r="F579" s="34"/>
      <c r="G579" s="34"/>
      <c r="H579" s="34"/>
      <c r="I579" s="6"/>
      <c r="J579" s="2"/>
      <c r="K579" s="2"/>
      <c r="L579" s="6"/>
      <c r="M579" s="6"/>
      <c r="N579" s="6"/>
      <c r="O579" s="34"/>
      <c r="P579" s="34"/>
      <c r="Q579" s="2"/>
      <c r="R579" s="34"/>
      <c r="S579" s="34"/>
      <c r="T579" s="34"/>
      <c r="U579" s="2"/>
      <c r="V579" s="2"/>
      <c r="W579" s="2"/>
      <c r="X579" s="34"/>
    </row>
    <row x14ac:dyDescent="0.25" r="580" customHeight="1" ht="15.75">
      <c r="A580" s="1"/>
      <c r="B580" s="34"/>
      <c r="C580" s="2"/>
      <c r="D580" s="34"/>
      <c r="E580" s="34"/>
      <c r="F580" s="34"/>
      <c r="G580" s="34"/>
      <c r="H580" s="34"/>
      <c r="I580" s="6"/>
      <c r="J580" s="2"/>
      <c r="K580" s="2"/>
      <c r="L580" s="6"/>
      <c r="M580" s="6"/>
      <c r="N580" s="6"/>
      <c r="O580" s="34"/>
      <c r="P580" s="34"/>
      <c r="Q580" s="2"/>
      <c r="R580" s="34"/>
      <c r="S580" s="34"/>
      <c r="T580" s="34"/>
      <c r="U580" s="2"/>
      <c r="V580" s="2"/>
      <c r="W580" s="2"/>
      <c r="X580" s="34"/>
    </row>
    <row x14ac:dyDescent="0.25" r="581" customHeight="1" ht="15.75">
      <c r="A581" s="1"/>
      <c r="B581" s="34"/>
      <c r="C581" s="2"/>
      <c r="D581" s="34"/>
      <c r="E581" s="34"/>
      <c r="F581" s="34"/>
      <c r="G581" s="34"/>
      <c r="H581" s="34"/>
      <c r="I581" s="6"/>
      <c r="J581" s="2"/>
      <c r="K581" s="2"/>
      <c r="L581" s="6"/>
      <c r="M581" s="6"/>
      <c r="N581" s="6"/>
      <c r="O581" s="34"/>
      <c r="P581" s="34"/>
      <c r="Q581" s="2"/>
      <c r="R581" s="34"/>
      <c r="S581" s="34"/>
      <c r="T581" s="34"/>
      <c r="U581" s="2"/>
      <c r="V581" s="2"/>
      <c r="W581" s="2"/>
      <c r="X581" s="34"/>
    </row>
    <row x14ac:dyDescent="0.25" r="582" customHeight="1" ht="15.75">
      <c r="A582" s="1"/>
      <c r="B582" s="34"/>
      <c r="C582" s="2"/>
      <c r="D582" s="34"/>
      <c r="E582" s="34"/>
      <c r="F582" s="34"/>
      <c r="G582" s="34"/>
      <c r="H582" s="34"/>
      <c r="I582" s="6"/>
      <c r="J582" s="2"/>
      <c r="K582" s="2"/>
      <c r="L582" s="6"/>
      <c r="M582" s="6"/>
      <c r="N582" s="6"/>
      <c r="O582" s="34"/>
      <c r="P582" s="34"/>
      <c r="Q582" s="2"/>
      <c r="R582" s="34"/>
      <c r="S582" s="34"/>
      <c r="T582" s="34"/>
      <c r="U582" s="2"/>
      <c r="V582" s="2"/>
      <c r="W582" s="2"/>
      <c r="X582" s="34"/>
    </row>
    <row x14ac:dyDescent="0.25" r="583" customHeight="1" ht="15.75">
      <c r="A583" s="1"/>
      <c r="B583" s="34"/>
      <c r="C583" s="2"/>
      <c r="D583" s="34"/>
      <c r="E583" s="34"/>
      <c r="F583" s="34"/>
      <c r="G583" s="34"/>
      <c r="H583" s="34"/>
      <c r="I583" s="6"/>
      <c r="J583" s="2"/>
      <c r="K583" s="2"/>
      <c r="L583" s="6"/>
      <c r="M583" s="6"/>
      <c r="N583" s="6"/>
      <c r="O583" s="34"/>
      <c r="P583" s="34"/>
      <c r="Q583" s="2"/>
      <c r="R583" s="34"/>
      <c r="S583" s="34"/>
      <c r="T583" s="34"/>
      <c r="U583" s="2"/>
      <c r="V583" s="2"/>
      <c r="W583" s="2"/>
      <c r="X583" s="34"/>
    </row>
    <row x14ac:dyDescent="0.25" r="584" customHeight="1" ht="15.75">
      <c r="A584" s="1"/>
      <c r="B584" s="34"/>
      <c r="C584" s="2"/>
      <c r="D584" s="34"/>
      <c r="E584" s="34"/>
      <c r="F584" s="34"/>
      <c r="G584" s="34"/>
      <c r="H584" s="34"/>
      <c r="I584" s="6"/>
      <c r="J584" s="2"/>
      <c r="K584" s="2"/>
      <c r="L584" s="6"/>
      <c r="M584" s="6"/>
      <c r="N584" s="6"/>
      <c r="O584" s="34"/>
      <c r="P584" s="34"/>
      <c r="Q584" s="2"/>
      <c r="R584" s="34"/>
      <c r="S584" s="34"/>
      <c r="T584" s="34"/>
      <c r="U584" s="2"/>
      <c r="V584" s="2"/>
      <c r="W584" s="2"/>
      <c r="X584" s="34"/>
    </row>
    <row x14ac:dyDescent="0.25" r="585" customHeight="1" ht="15.75">
      <c r="A585" s="1"/>
      <c r="B585" s="34"/>
      <c r="C585" s="2"/>
      <c r="D585" s="34"/>
      <c r="E585" s="34"/>
      <c r="F585" s="34"/>
      <c r="G585" s="34"/>
      <c r="H585" s="34"/>
      <c r="I585" s="6"/>
      <c r="J585" s="2"/>
      <c r="K585" s="2"/>
      <c r="L585" s="6"/>
      <c r="M585" s="6"/>
      <c r="N585" s="6"/>
      <c r="O585" s="34"/>
      <c r="P585" s="34"/>
      <c r="Q585" s="2"/>
      <c r="R585" s="34"/>
      <c r="S585" s="34"/>
      <c r="T585" s="34"/>
      <c r="U585" s="2"/>
      <c r="V585" s="2"/>
      <c r="W585" s="2"/>
      <c r="X585" s="34"/>
    </row>
    <row x14ac:dyDescent="0.25" r="586" customHeight="1" ht="15.75">
      <c r="A586" s="1"/>
      <c r="B586" s="34"/>
      <c r="C586" s="2"/>
      <c r="D586" s="34"/>
      <c r="E586" s="34"/>
      <c r="F586" s="34"/>
      <c r="G586" s="34"/>
      <c r="H586" s="34"/>
      <c r="I586" s="6"/>
      <c r="J586" s="2"/>
      <c r="K586" s="2"/>
      <c r="L586" s="6"/>
      <c r="M586" s="6"/>
      <c r="N586" s="6"/>
      <c r="O586" s="34"/>
      <c r="P586" s="34"/>
      <c r="Q586" s="2"/>
      <c r="R586" s="34"/>
      <c r="S586" s="34"/>
      <c r="T586" s="34"/>
      <c r="U586" s="2"/>
      <c r="V586" s="2"/>
      <c r="W586" s="2"/>
      <c r="X586" s="34"/>
    </row>
    <row x14ac:dyDescent="0.25" r="587" customHeight="1" ht="15.75">
      <c r="A587" s="1"/>
      <c r="B587" s="34"/>
      <c r="C587" s="2"/>
      <c r="D587" s="34"/>
      <c r="E587" s="34"/>
      <c r="F587" s="34"/>
      <c r="G587" s="34"/>
      <c r="H587" s="34"/>
      <c r="I587" s="6"/>
      <c r="J587" s="2"/>
      <c r="K587" s="2"/>
      <c r="L587" s="6"/>
      <c r="M587" s="6"/>
      <c r="N587" s="6"/>
      <c r="O587" s="34"/>
      <c r="P587" s="34"/>
      <c r="Q587" s="2"/>
      <c r="R587" s="34"/>
      <c r="S587" s="34"/>
      <c r="T587" s="34"/>
      <c r="U587" s="2"/>
      <c r="V587" s="2"/>
      <c r="W587" s="2"/>
      <c r="X587" s="34"/>
    </row>
    <row x14ac:dyDescent="0.25" r="588" customHeight="1" ht="15.75">
      <c r="A588" s="1"/>
      <c r="B588" s="34"/>
      <c r="C588" s="2"/>
      <c r="D588" s="34"/>
      <c r="E588" s="34"/>
      <c r="F588" s="34"/>
      <c r="G588" s="34"/>
      <c r="H588" s="34"/>
      <c r="I588" s="6"/>
      <c r="J588" s="2"/>
      <c r="K588" s="2"/>
      <c r="L588" s="6"/>
      <c r="M588" s="6"/>
      <c r="N588" s="6"/>
      <c r="O588" s="34"/>
      <c r="P588" s="34"/>
      <c r="Q588" s="2"/>
      <c r="R588" s="34"/>
      <c r="S588" s="34"/>
      <c r="T588" s="34"/>
      <c r="U588" s="2"/>
      <c r="V588" s="2"/>
      <c r="W588" s="2"/>
      <c r="X588" s="34"/>
    </row>
    <row x14ac:dyDescent="0.25" r="589" customHeight="1" ht="15.75">
      <c r="A589" s="1"/>
      <c r="B589" s="34"/>
      <c r="C589" s="2"/>
      <c r="D589" s="34"/>
      <c r="E589" s="34"/>
      <c r="F589" s="34"/>
      <c r="G589" s="34"/>
      <c r="H589" s="34"/>
      <c r="I589" s="6"/>
      <c r="J589" s="2"/>
      <c r="K589" s="2"/>
      <c r="L589" s="6"/>
      <c r="M589" s="6"/>
      <c r="N589" s="6"/>
      <c r="O589" s="34"/>
      <c r="P589" s="34"/>
      <c r="Q589" s="2"/>
      <c r="R589" s="34"/>
      <c r="S589" s="34"/>
      <c r="T589" s="34"/>
      <c r="U589" s="2"/>
      <c r="V589" s="2"/>
      <c r="W589" s="2"/>
      <c r="X589" s="34"/>
    </row>
    <row x14ac:dyDescent="0.25" r="590" customHeight="1" ht="15.75">
      <c r="A590" s="1"/>
      <c r="B590" s="34"/>
      <c r="C590" s="2"/>
      <c r="D590" s="34"/>
      <c r="E590" s="34"/>
      <c r="F590" s="34"/>
      <c r="G590" s="34"/>
      <c r="H590" s="34"/>
      <c r="I590" s="6"/>
      <c r="J590" s="2"/>
      <c r="K590" s="2"/>
      <c r="L590" s="6"/>
      <c r="M590" s="6"/>
      <c r="N590" s="6"/>
      <c r="O590" s="34"/>
      <c r="P590" s="34"/>
      <c r="Q590" s="2"/>
      <c r="R590" s="34"/>
      <c r="S590" s="34"/>
      <c r="T590" s="34"/>
      <c r="U590" s="2"/>
      <c r="V590" s="2"/>
      <c r="W590" s="2"/>
      <c r="X590" s="34"/>
    </row>
    <row x14ac:dyDescent="0.25" r="591" customHeight="1" ht="15.75">
      <c r="A591" s="1"/>
      <c r="B591" s="34"/>
      <c r="C591" s="2"/>
      <c r="D591" s="34"/>
      <c r="E591" s="34"/>
      <c r="F591" s="34"/>
      <c r="G591" s="34"/>
      <c r="H591" s="34"/>
      <c r="I591" s="6"/>
      <c r="J591" s="2"/>
      <c r="K591" s="2"/>
      <c r="L591" s="6"/>
      <c r="M591" s="6"/>
      <c r="N591" s="6"/>
      <c r="O591" s="34"/>
      <c r="P591" s="34"/>
      <c r="Q591" s="2"/>
      <c r="R591" s="34"/>
      <c r="S591" s="34"/>
      <c r="T591" s="34"/>
      <c r="U591" s="2"/>
      <c r="V591" s="2"/>
      <c r="W591" s="2"/>
      <c r="X591" s="34"/>
    </row>
    <row x14ac:dyDescent="0.25" r="592" customHeight="1" ht="15.75">
      <c r="A592" s="1"/>
      <c r="B592" s="34"/>
      <c r="C592" s="2"/>
      <c r="D592" s="34"/>
      <c r="E592" s="34"/>
      <c r="F592" s="34"/>
      <c r="G592" s="34"/>
      <c r="H592" s="34"/>
      <c r="I592" s="6"/>
      <c r="J592" s="2"/>
      <c r="K592" s="2"/>
      <c r="L592" s="6"/>
      <c r="M592" s="6"/>
      <c r="N592" s="6"/>
      <c r="O592" s="34"/>
      <c r="P592" s="34"/>
      <c r="Q592" s="2"/>
      <c r="R592" s="34"/>
      <c r="S592" s="34"/>
      <c r="T592" s="34"/>
      <c r="U592" s="2"/>
      <c r="V592" s="2"/>
      <c r="W592" s="2"/>
      <c r="X592" s="34"/>
    </row>
    <row x14ac:dyDescent="0.25" r="593" customHeight="1" ht="15.75">
      <c r="A593" s="1"/>
      <c r="B593" s="34"/>
      <c r="C593" s="2"/>
      <c r="D593" s="34"/>
      <c r="E593" s="34"/>
      <c r="F593" s="34"/>
      <c r="G593" s="34"/>
      <c r="H593" s="34"/>
      <c r="I593" s="6"/>
      <c r="J593" s="2"/>
      <c r="K593" s="2"/>
      <c r="L593" s="6"/>
      <c r="M593" s="6"/>
      <c r="N593" s="6"/>
      <c r="O593" s="34"/>
      <c r="P593" s="34"/>
      <c r="Q593" s="2"/>
      <c r="R593" s="34"/>
      <c r="S593" s="34"/>
      <c r="T593" s="34"/>
      <c r="U593" s="2"/>
      <c r="V593" s="2"/>
      <c r="W593" s="2"/>
      <c r="X593" s="34"/>
    </row>
    <row x14ac:dyDescent="0.25" r="594" customHeight="1" ht="15.75">
      <c r="A594" s="1"/>
      <c r="B594" s="34"/>
      <c r="C594" s="2"/>
      <c r="D594" s="34"/>
      <c r="E594" s="34"/>
      <c r="F594" s="34"/>
      <c r="G594" s="34"/>
      <c r="H594" s="34"/>
      <c r="I594" s="6"/>
      <c r="J594" s="2"/>
      <c r="K594" s="2"/>
      <c r="L594" s="6"/>
      <c r="M594" s="6"/>
      <c r="N594" s="6"/>
      <c r="O594" s="34"/>
      <c r="P594" s="34"/>
      <c r="Q594" s="2"/>
      <c r="R594" s="34"/>
      <c r="S594" s="34"/>
      <c r="T594" s="34"/>
      <c r="U594" s="2"/>
      <c r="V594" s="2"/>
      <c r="W594" s="2"/>
      <c r="X594" s="34"/>
    </row>
    <row x14ac:dyDescent="0.25" r="595" customHeight="1" ht="15.75">
      <c r="A595" s="1"/>
      <c r="B595" s="34"/>
      <c r="C595" s="2"/>
      <c r="D595" s="34"/>
      <c r="E595" s="34"/>
      <c r="F595" s="34"/>
      <c r="G595" s="34"/>
      <c r="H595" s="34"/>
      <c r="I595" s="6"/>
      <c r="J595" s="2"/>
      <c r="K595" s="2"/>
      <c r="L595" s="6"/>
      <c r="M595" s="6"/>
      <c r="N595" s="6"/>
      <c r="O595" s="34"/>
      <c r="P595" s="34"/>
      <c r="Q595" s="2"/>
      <c r="R595" s="34"/>
      <c r="S595" s="34"/>
      <c r="T595" s="34"/>
      <c r="U595" s="2"/>
      <c r="V595" s="2"/>
      <c r="W595" s="2"/>
      <c r="X595" s="34"/>
    </row>
    <row x14ac:dyDescent="0.25" r="596" customHeight="1" ht="15.75">
      <c r="A596" s="1"/>
      <c r="B596" s="34"/>
      <c r="C596" s="2"/>
      <c r="D596" s="34"/>
      <c r="E596" s="34"/>
      <c r="F596" s="34"/>
      <c r="G596" s="34"/>
      <c r="H596" s="34"/>
      <c r="I596" s="6"/>
      <c r="J596" s="2"/>
      <c r="K596" s="2"/>
      <c r="L596" s="6"/>
      <c r="M596" s="6"/>
      <c r="N596" s="6"/>
      <c r="O596" s="34"/>
      <c r="P596" s="34"/>
      <c r="Q596" s="2"/>
      <c r="R596" s="34"/>
      <c r="S596" s="34"/>
      <c r="T596" s="34"/>
      <c r="U596" s="2"/>
      <c r="V596" s="2"/>
      <c r="W596" s="2"/>
      <c r="X596" s="34"/>
    </row>
    <row x14ac:dyDescent="0.25" r="597" customHeight="1" ht="15.75">
      <c r="A597" s="1"/>
      <c r="B597" s="34"/>
      <c r="C597" s="2"/>
      <c r="D597" s="34"/>
      <c r="E597" s="34"/>
      <c r="F597" s="34"/>
      <c r="G597" s="34"/>
      <c r="H597" s="34"/>
      <c r="I597" s="6"/>
      <c r="J597" s="2"/>
      <c r="K597" s="2"/>
      <c r="L597" s="6"/>
      <c r="M597" s="6"/>
      <c r="N597" s="6"/>
      <c r="O597" s="34"/>
      <c r="P597" s="34"/>
      <c r="Q597" s="2"/>
      <c r="R597" s="34"/>
      <c r="S597" s="34"/>
      <c r="T597" s="34"/>
      <c r="U597" s="2"/>
      <c r="V597" s="2"/>
      <c r="W597" s="2"/>
      <c r="X597" s="34"/>
    </row>
    <row x14ac:dyDescent="0.25" r="598" customHeight="1" ht="15.75">
      <c r="A598" s="1"/>
      <c r="B598" s="34"/>
      <c r="C598" s="2"/>
      <c r="D598" s="34"/>
      <c r="E598" s="34"/>
      <c r="F598" s="34"/>
      <c r="G598" s="34"/>
      <c r="H598" s="34"/>
      <c r="I598" s="6"/>
      <c r="J598" s="2"/>
      <c r="K598" s="2"/>
      <c r="L598" s="6"/>
      <c r="M598" s="6"/>
      <c r="N598" s="6"/>
      <c r="O598" s="34"/>
      <c r="P598" s="34"/>
      <c r="Q598" s="2"/>
      <c r="R598" s="34"/>
      <c r="S598" s="34"/>
      <c r="T598" s="34"/>
      <c r="U598" s="2"/>
      <c r="V598" s="2"/>
      <c r="W598" s="2"/>
      <c r="X598" s="34"/>
    </row>
    <row x14ac:dyDescent="0.25" r="599" customHeight="1" ht="15.75">
      <c r="A599" s="1"/>
      <c r="B599" s="34"/>
      <c r="C599" s="2"/>
      <c r="D599" s="34"/>
      <c r="E599" s="34"/>
      <c r="F599" s="34"/>
      <c r="G599" s="34"/>
      <c r="H599" s="34"/>
      <c r="I599" s="6"/>
      <c r="J599" s="2"/>
      <c r="K599" s="2"/>
      <c r="L599" s="6"/>
      <c r="M599" s="6"/>
      <c r="N599" s="6"/>
      <c r="O599" s="34"/>
      <c r="P599" s="34"/>
      <c r="Q599" s="2"/>
      <c r="R599" s="34"/>
      <c r="S599" s="34"/>
      <c r="T599" s="34"/>
      <c r="U599" s="2"/>
      <c r="V599" s="2"/>
      <c r="W599" s="2"/>
      <c r="X599" s="34"/>
    </row>
    <row x14ac:dyDescent="0.25" r="600" customHeight="1" ht="15.75">
      <c r="A600" s="1"/>
      <c r="B600" s="34"/>
      <c r="C600" s="2"/>
      <c r="D600" s="34"/>
      <c r="E600" s="34"/>
      <c r="F600" s="34"/>
      <c r="G600" s="34"/>
      <c r="H600" s="34"/>
      <c r="I600" s="6"/>
      <c r="J600" s="2"/>
      <c r="K600" s="2"/>
      <c r="L600" s="6"/>
      <c r="M600" s="6"/>
      <c r="N600" s="6"/>
      <c r="O600" s="34"/>
      <c r="P600" s="34"/>
      <c r="Q600" s="2"/>
      <c r="R600" s="34"/>
      <c r="S600" s="34"/>
      <c r="T600" s="34"/>
      <c r="U600" s="2"/>
      <c r="V600" s="2"/>
      <c r="W600" s="2"/>
      <c r="X600" s="34"/>
    </row>
    <row x14ac:dyDescent="0.25" r="601" customHeight="1" ht="15.75">
      <c r="A601" s="1"/>
      <c r="B601" s="34"/>
      <c r="C601" s="2"/>
      <c r="D601" s="34"/>
      <c r="E601" s="34"/>
      <c r="F601" s="34"/>
      <c r="G601" s="34"/>
      <c r="H601" s="34"/>
      <c r="I601" s="6"/>
      <c r="J601" s="2"/>
      <c r="K601" s="2"/>
      <c r="L601" s="6"/>
      <c r="M601" s="6"/>
      <c r="N601" s="6"/>
      <c r="O601" s="34"/>
      <c r="P601" s="34"/>
      <c r="Q601" s="2"/>
      <c r="R601" s="34"/>
      <c r="S601" s="34"/>
      <c r="T601" s="34"/>
      <c r="U601" s="2"/>
      <c r="V601" s="2"/>
      <c r="W601" s="2"/>
      <c r="X601" s="34"/>
    </row>
    <row x14ac:dyDescent="0.25" r="602" customHeight="1" ht="15.75">
      <c r="A602" s="1"/>
      <c r="B602" s="34"/>
      <c r="C602" s="2"/>
      <c r="D602" s="34"/>
      <c r="E602" s="34"/>
      <c r="F602" s="34"/>
      <c r="G602" s="34"/>
      <c r="H602" s="34"/>
      <c r="I602" s="6"/>
      <c r="J602" s="2"/>
      <c r="K602" s="2"/>
      <c r="L602" s="6"/>
      <c r="M602" s="6"/>
      <c r="N602" s="6"/>
      <c r="O602" s="34"/>
      <c r="P602" s="34"/>
      <c r="Q602" s="2"/>
      <c r="R602" s="34"/>
      <c r="S602" s="34"/>
      <c r="T602" s="34"/>
      <c r="U602" s="2"/>
      <c r="V602" s="2"/>
      <c r="W602" s="2"/>
      <c r="X602" s="34"/>
    </row>
    <row x14ac:dyDescent="0.25" r="603" customHeight="1" ht="15.75">
      <c r="A603" s="1"/>
      <c r="B603" s="34"/>
      <c r="C603" s="2"/>
      <c r="D603" s="34"/>
      <c r="E603" s="34"/>
      <c r="F603" s="34"/>
      <c r="G603" s="34"/>
      <c r="H603" s="34"/>
      <c r="I603" s="6"/>
      <c r="J603" s="2"/>
      <c r="K603" s="2"/>
      <c r="L603" s="6"/>
      <c r="M603" s="6"/>
      <c r="N603" s="6"/>
      <c r="O603" s="34"/>
      <c r="P603" s="34"/>
      <c r="Q603" s="2"/>
      <c r="R603" s="34"/>
      <c r="S603" s="34"/>
      <c r="T603" s="34"/>
      <c r="U603" s="2"/>
      <c r="V603" s="2"/>
      <c r="W603" s="2"/>
      <c r="X603" s="34"/>
    </row>
    <row x14ac:dyDescent="0.25" r="604" customHeight="1" ht="15.75">
      <c r="A604" s="1"/>
      <c r="B604" s="34"/>
      <c r="C604" s="2"/>
      <c r="D604" s="34"/>
      <c r="E604" s="34"/>
      <c r="F604" s="34"/>
      <c r="G604" s="34"/>
      <c r="H604" s="34"/>
      <c r="I604" s="6"/>
      <c r="J604" s="2"/>
      <c r="K604" s="2"/>
      <c r="L604" s="6"/>
      <c r="M604" s="6"/>
      <c r="N604" s="6"/>
      <c r="O604" s="34"/>
      <c r="P604" s="34"/>
      <c r="Q604" s="2"/>
      <c r="R604" s="34"/>
      <c r="S604" s="34"/>
      <c r="T604" s="34"/>
      <c r="U604" s="2"/>
      <c r="V604" s="2"/>
      <c r="W604" s="2"/>
      <c r="X604" s="34"/>
    </row>
    <row x14ac:dyDescent="0.25" r="605" customHeight="1" ht="15.75">
      <c r="A605" s="1"/>
      <c r="B605" s="34"/>
      <c r="C605" s="2"/>
      <c r="D605" s="34"/>
      <c r="E605" s="34"/>
      <c r="F605" s="34"/>
      <c r="G605" s="34"/>
      <c r="H605" s="34"/>
      <c r="I605" s="6"/>
      <c r="J605" s="2"/>
      <c r="K605" s="2"/>
      <c r="L605" s="6"/>
      <c r="M605" s="6"/>
      <c r="N605" s="6"/>
      <c r="O605" s="34"/>
      <c r="P605" s="34"/>
      <c r="Q605" s="2"/>
      <c r="R605" s="34"/>
      <c r="S605" s="34"/>
      <c r="T605" s="34"/>
      <c r="U605" s="2"/>
      <c r="V605" s="2"/>
      <c r="W605" s="2"/>
      <c r="X605" s="34"/>
    </row>
    <row x14ac:dyDescent="0.25" r="606" customHeight="1" ht="15.75">
      <c r="A606" s="1"/>
      <c r="B606" s="34"/>
      <c r="C606" s="2"/>
      <c r="D606" s="34"/>
      <c r="E606" s="34"/>
      <c r="F606" s="34"/>
      <c r="G606" s="34"/>
      <c r="H606" s="34"/>
      <c r="I606" s="6"/>
      <c r="J606" s="2"/>
      <c r="K606" s="2"/>
      <c r="L606" s="6"/>
      <c r="M606" s="6"/>
      <c r="N606" s="6"/>
      <c r="O606" s="34"/>
      <c r="P606" s="34"/>
      <c r="Q606" s="2"/>
      <c r="R606" s="34"/>
      <c r="S606" s="34"/>
      <c r="T606" s="34"/>
      <c r="U606" s="2"/>
      <c r="V606" s="2"/>
      <c r="W606" s="2"/>
      <c r="X606" s="34"/>
    </row>
    <row x14ac:dyDescent="0.25" r="607" customHeight="1" ht="15.75">
      <c r="A607" s="1"/>
      <c r="B607" s="34"/>
      <c r="C607" s="2"/>
      <c r="D607" s="34"/>
      <c r="E607" s="34"/>
      <c r="F607" s="34"/>
      <c r="G607" s="34"/>
      <c r="H607" s="34"/>
      <c r="I607" s="6"/>
      <c r="J607" s="2"/>
      <c r="K607" s="2"/>
      <c r="L607" s="6"/>
      <c r="M607" s="6"/>
      <c r="N607" s="6"/>
      <c r="O607" s="34"/>
      <c r="P607" s="34"/>
      <c r="Q607" s="2"/>
      <c r="R607" s="34"/>
      <c r="S607" s="34"/>
      <c r="T607" s="34"/>
      <c r="U607" s="2"/>
      <c r="V607" s="2"/>
      <c r="W607" s="2"/>
      <c r="X607" s="34"/>
    </row>
    <row x14ac:dyDescent="0.25" r="608" customHeight="1" ht="15.75">
      <c r="A608" s="1"/>
      <c r="B608" s="34"/>
      <c r="C608" s="2"/>
      <c r="D608" s="34"/>
      <c r="E608" s="34"/>
      <c r="F608" s="34"/>
      <c r="G608" s="34"/>
      <c r="H608" s="34"/>
      <c r="I608" s="6"/>
      <c r="J608" s="2"/>
      <c r="K608" s="2"/>
      <c r="L608" s="6"/>
      <c r="M608" s="6"/>
      <c r="N608" s="6"/>
      <c r="O608" s="34"/>
      <c r="P608" s="34"/>
      <c r="Q608" s="2"/>
      <c r="R608" s="34"/>
      <c r="S608" s="34"/>
      <c r="T608" s="34"/>
      <c r="U608" s="2"/>
      <c r="V608" s="2"/>
      <c r="W608" s="2"/>
      <c r="X608" s="34"/>
    </row>
    <row x14ac:dyDescent="0.25" r="609" customHeight="1" ht="15.75">
      <c r="A609" s="1"/>
      <c r="B609" s="34"/>
      <c r="C609" s="2"/>
      <c r="D609" s="34"/>
      <c r="E609" s="34"/>
      <c r="F609" s="34"/>
      <c r="G609" s="34"/>
      <c r="H609" s="34"/>
      <c r="I609" s="6"/>
      <c r="J609" s="2"/>
      <c r="K609" s="2"/>
      <c r="L609" s="6"/>
      <c r="M609" s="6"/>
      <c r="N609" s="6"/>
      <c r="O609" s="34"/>
      <c r="P609" s="34"/>
      <c r="Q609" s="2"/>
      <c r="R609" s="34"/>
      <c r="S609" s="34"/>
      <c r="T609" s="34"/>
      <c r="U609" s="2"/>
      <c r="V609" s="2"/>
      <c r="W609" s="2"/>
      <c r="X609" s="34"/>
    </row>
    <row x14ac:dyDescent="0.25" r="610" customHeight="1" ht="15.75">
      <c r="A610" s="1"/>
      <c r="B610" s="34"/>
      <c r="C610" s="2"/>
      <c r="D610" s="34"/>
      <c r="E610" s="34"/>
      <c r="F610" s="34"/>
      <c r="G610" s="34"/>
      <c r="H610" s="34"/>
      <c r="I610" s="6"/>
      <c r="J610" s="2"/>
      <c r="K610" s="2"/>
      <c r="L610" s="6"/>
      <c r="M610" s="6"/>
      <c r="N610" s="6"/>
      <c r="O610" s="34"/>
      <c r="P610" s="34"/>
      <c r="Q610" s="2"/>
      <c r="R610" s="34"/>
      <c r="S610" s="34"/>
      <c r="T610" s="34"/>
      <c r="U610" s="2"/>
      <c r="V610" s="2"/>
      <c r="W610" s="2"/>
      <c r="X610" s="34"/>
    </row>
    <row x14ac:dyDescent="0.25" r="611" customHeight="1" ht="15.75">
      <c r="A611" s="1"/>
      <c r="B611" s="34"/>
      <c r="C611" s="2"/>
      <c r="D611" s="34"/>
      <c r="E611" s="34"/>
      <c r="F611" s="34"/>
      <c r="G611" s="34"/>
      <c r="H611" s="34"/>
      <c r="I611" s="6"/>
      <c r="J611" s="2"/>
      <c r="K611" s="2"/>
      <c r="L611" s="6"/>
      <c r="M611" s="6"/>
      <c r="N611" s="6"/>
      <c r="O611" s="34"/>
      <c r="P611" s="34"/>
      <c r="Q611" s="2"/>
      <c r="R611" s="34"/>
      <c r="S611" s="34"/>
      <c r="T611" s="34"/>
      <c r="U611" s="2"/>
      <c r="V611" s="2"/>
      <c r="W611" s="2"/>
      <c r="X611" s="34"/>
    </row>
    <row x14ac:dyDescent="0.25" r="612" customHeight="1" ht="15.75">
      <c r="A612" s="1"/>
      <c r="B612" s="34"/>
      <c r="C612" s="2"/>
      <c r="D612" s="34"/>
      <c r="E612" s="34"/>
      <c r="F612" s="34"/>
      <c r="G612" s="34"/>
      <c r="H612" s="34"/>
      <c r="I612" s="6"/>
      <c r="J612" s="2"/>
      <c r="K612" s="2"/>
      <c r="L612" s="6"/>
      <c r="M612" s="6"/>
      <c r="N612" s="6"/>
      <c r="O612" s="34"/>
      <c r="P612" s="34"/>
      <c r="Q612" s="2"/>
      <c r="R612" s="34"/>
      <c r="S612" s="34"/>
      <c r="T612" s="34"/>
      <c r="U612" s="2"/>
      <c r="V612" s="2"/>
      <c r="W612" s="2"/>
      <c r="X612" s="34"/>
    </row>
    <row x14ac:dyDescent="0.25" r="613" customHeight="1" ht="15.75">
      <c r="A613" s="1"/>
      <c r="B613" s="34"/>
      <c r="C613" s="2"/>
      <c r="D613" s="34"/>
      <c r="E613" s="34"/>
      <c r="F613" s="34"/>
      <c r="G613" s="34"/>
      <c r="H613" s="34"/>
      <c r="I613" s="6"/>
      <c r="J613" s="2"/>
      <c r="K613" s="2"/>
      <c r="L613" s="6"/>
      <c r="M613" s="6"/>
      <c r="N613" s="6"/>
      <c r="O613" s="34"/>
      <c r="P613" s="34"/>
      <c r="Q613" s="2"/>
      <c r="R613" s="34"/>
      <c r="S613" s="34"/>
      <c r="T613" s="34"/>
      <c r="U613" s="2"/>
      <c r="V613" s="2"/>
      <c r="W613" s="2"/>
      <c r="X613" s="34"/>
    </row>
    <row x14ac:dyDescent="0.25" r="614" customHeight="1" ht="15.75">
      <c r="A614" s="1"/>
      <c r="B614" s="34"/>
      <c r="C614" s="2"/>
      <c r="D614" s="34"/>
      <c r="E614" s="34"/>
      <c r="F614" s="34"/>
      <c r="G614" s="34"/>
      <c r="H614" s="34"/>
      <c r="I614" s="6"/>
      <c r="J614" s="2"/>
      <c r="K614" s="2"/>
      <c r="L614" s="6"/>
      <c r="M614" s="6"/>
      <c r="N614" s="6"/>
      <c r="O614" s="34"/>
      <c r="P614" s="34"/>
      <c r="Q614" s="2"/>
      <c r="R614" s="34"/>
      <c r="S614" s="34"/>
      <c r="T614" s="34"/>
      <c r="U614" s="2"/>
      <c r="V614" s="2"/>
      <c r="W614" s="2"/>
      <c r="X614" s="34"/>
    </row>
    <row x14ac:dyDescent="0.25" r="615" customHeight="1" ht="15.75">
      <c r="A615" s="1"/>
      <c r="B615" s="34"/>
      <c r="C615" s="2"/>
      <c r="D615" s="34"/>
      <c r="E615" s="34"/>
      <c r="F615" s="34"/>
      <c r="G615" s="34"/>
      <c r="H615" s="34"/>
      <c r="I615" s="6"/>
      <c r="J615" s="2"/>
      <c r="K615" s="2"/>
      <c r="L615" s="6"/>
      <c r="M615" s="6"/>
      <c r="N615" s="6"/>
      <c r="O615" s="34"/>
      <c r="P615" s="34"/>
      <c r="Q615" s="2"/>
      <c r="R615" s="34"/>
      <c r="S615" s="34"/>
      <c r="T615" s="34"/>
      <c r="U615" s="2"/>
      <c r="V615" s="2"/>
      <c r="W615" s="2"/>
      <c r="X615" s="34"/>
    </row>
    <row x14ac:dyDescent="0.25" r="616" customHeight="1" ht="15.75">
      <c r="A616" s="1"/>
      <c r="B616" s="34"/>
      <c r="C616" s="2"/>
      <c r="D616" s="34"/>
      <c r="E616" s="34"/>
      <c r="F616" s="34"/>
      <c r="G616" s="34"/>
      <c r="H616" s="34"/>
      <c r="I616" s="6"/>
      <c r="J616" s="2"/>
      <c r="K616" s="2"/>
      <c r="L616" s="6"/>
      <c r="M616" s="6"/>
      <c r="N616" s="6"/>
      <c r="O616" s="34"/>
      <c r="P616" s="34"/>
      <c r="Q616" s="2"/>
      <c r="R616" s="34"/>
      <c r="S616" s="34"/>
      <c r="T616" s="34"/>
      <c r="U616" s="2"/>
      <c r="V616" s="2"/>
      <c r="W616" s="2"/>
      <c r="X616" s="34"/>
    </row>
    <row x14ac:dyDescent="0.25" r="617" customHeight="1" ht="15.75">
      <c r="A617" s="1"/>
      <c r="B617" s="34"/>
      <c r="C617" s="2"/>
      <c r="D617" s="34"/>
      <c r="E617" s="34"/>
      <c r="F617" s="34"/>
      <c r="G617" s="34"/>
      <c r="H617" s="34"/>
      <c r="I617" s="6"/>
      <c r="J617" s="2"/>
      <c r="K617" s="2"/>
      <c r="L617" s="6"/>
      <c r="M617" s="6"/>
      <c r="N617" s="6"/>
      <c r="O617" s="34"/>
      <c r="P617" s="34"/>
      <c r="Q617" s="2"/>
      <c r="R617" s="34"/>
      <c r="S617" s="34"/>
      <c r="T617" s="34"/>
      <c r="U617" s="2"/>
      <c r="V617" s="2"/>
      <c r="W617" s="2"/>
      <c r="X617" s="34"/>
    </row>
    <row x14ac:dyDescent="0.25" r="618" customHeight="1" ht="15.75">
      <c r="A618" s="1"/>
      <c r="B618" s="34"/>
      <c r="C618" s="2"/>
      <c r="D618" s="34"/>
      <c r="E618" s="34"/>
      <c r="F618" s="34"/>
      <c r="G618" s="34"/>
      <c r="H618" s="34"/>
      <c r="I618" s="6"/>
      <c r="J618" s="2"/>
      <c r="K618" s="2"/>
      <c r="L618" s="6"/>
      <c r="M618" s="6"/>
      <c r="N618" s="6"/>
      <c r="O618" s="34"/>
      <c r="P618" s="34"/>
      <c r="Q618" s="2"/>
      <c r="R618" s="34"/>
      <c r="S618" s="34"/>
      <c r="T618" s="34"/>
      <c r="U618" s="2"/>
      <c r="V618" s="2"/>
      <c r="W618" s="2"/>
      <c r="X618" s="34"/>
    </row>
    <row x14ac:dyDescent="0.25" r="619" customHeight="1" ht="15.75">
      <c r="A619" s="1"/>
      <c r="B619" s="34"/>
      <c r="C619" s="2"/>
      <c r="D619" s="34"/>
      <c r="E619" s="34"/>
      <c r="F619" s="34"/>
      <c r="G619" s="34"/>
      <c r="H619" s="34"/>
      <c r="I619" s="6"/>
      <c r="J619" s="2"/>
      <c r="K619" s="2"/>
      <c r="L619" s="6"/>
      <c r="M619" s="6"/>
      <c r="N619" s="6"/>
      <c r="O619" s="34"/>
      <c r="P619" s="34"/>
      <c r="Q619" s="2"/>
      <c r="R619" s="34"/>
      <c r="S619" s="34"/>
      <c r="T619" s="34"/>
      <c r="U619" s="2"/>
      <c r="V619" s="2"/>
      <c r="W619" s="2"/>
      <c r="X619" s="34"/>
    </row>
    <row x14ac:dyDescent="0.25" r="620" customHeight="1" ht="15.75">
      <c r="A620" s="1"/>
      <c r="B620" s="34"/>
      <c r="C620" s="2"/>
      <c r="D620" s="34"/>
      <c r="E620" s="34"/>
      <c r="F620" s="34"/>
      <c r="G620" s="34"/>
      <c r="H620" s="34"/>
      <c r="I620" s="6"/>
      <c r="J620" s="2"/>
      <c r="K620" s="2"/>
      <c r="L620" s="6"/>
      <c r="M620" s="6"/>
      <c r="N620" s="6"/>
      <c r="O620" s="34"/>
      <c r="P620" s="34"/>
      <c r="Q620" s="2"/>
      <c r="R620" s="34"/>
      <c r="S620" s="34"/>
      <c r="T620" s="34"/>
      <c r="U620" s="2"/>
      <c r="V620" s="2"/>
      <c r="W620" s="2"/>
      <c r="X620" s="34"/>
    </row>
    <row x14ac:dyDescent="0.25" r="621" customHeight="1" ht="15.75">
      <c r="A621" s="1"/>
      <c r="B621" s="34"/>
      <c r="C621" s="2"/>
      <c r="D621" s="34"/>
      <c r="E621" s="34"/>
      <c r="F621" s="34"/>
      <c r="G621" s="34"/>
      <c r="H621" s="34"/>
      <c r="I621" s="6"/>
      <c r="J621" s="2"/>
      <c r="K621" s="2"/>
      <c r="L621" s="6"/>
      <c r="M621" s="6"/>
      <c r="N621" s="6"/>
      <c r="O621" s="34"/>
      <c r="P621" s="34"/>
      <c r="Q621" s="2"/>
      <c r="R621" s="34"/>
      <c r="S621" s="34"/>
      <c r="T621" s="34"/>
      <c r="U621" s="2"/>
      <c r="V621" s="2"/>
      <c r="W621" s="2"/>
      <c r="X621" s="34"/>
    </row>
    <row x14ac:dyDescent="0.25" r="622" customHeight="1" ht="15.75">
      <c r="A622" s="1"/>
      <c r="B622" s="34"/>
      <c r="C622" s="2"/>
      <c r="D622" s="34"/>
      <c r="E622" s="34"/>
      <c r="F622" s="34"/>
      <c r="G622" s="34"/>
      <c r="H622" s="34"/>
      <c r="I622" s="6"/>
      <c r="J622" s="2"/>
      <c r="K622" s="2"/>
      <c r="L622" s="6"/>
      <c r="M622" s="6"/>
      <c r="N622" s="6"/>
      <c r="O622" s="34"/>
      <c r="P622" s="34"/>
      <c r="Q622" s="2"/>
      <c r="R622" s="34"/>
      <c r="S622" s="34"/>
      <c r="T622" s="34"/>
      <c r="U622" s="2"/>
      <c r="V622" s="2"/>
      <c r="W622" s="2"/>
      <c r="X622" s="34"/>
    </row>
    <row x14ac:dyDescent="0.25" r="623" customHeight="1" ht="15.75">
      <c r="A623" s="1"/>
      <c r="B623" s="34"/>
      <c r="C623" s="2"/>
      <c r="D623" s="34"/>
      <c r="E623" s="34"/>
      <c r="F623" s="34"/>
      <c r="G623" s="34"/>
      <c r="H623" s="34"/>
      <c r="I623" s="6"/>
      <c r="J623" s="2"/>
      <c r="K623" s="2"/>
      <c r="L623" s="6"/>
      <c r="M623" s="6"/>
      <c r="N623" s="6"/>
      <c r="O623" s="34"/>
      <c r="P623" s="34"/>
      <c r="Q623" s="2"/>
      <c r="R623" s="34"/>
      <c r="S623" s="34"/>
      <c r="T623" s="34"/>
      <c r="U623" s="2"/>
      <c r="V623" s="2"/>
      <c r="W623" s="2"/>
      <c r="X623" s="34"/>
    </row>
    <row x14ac:dyDescent="0.25" r="624" customHeight="1" ht="15.75">
      <c r="A624" s="1"/>
      <c r="B624" s="34"/>
      <c r="C624" s="2"/>
      <c r="D624" s="34"/>
      <c r="E624" s="34"/>
      <c r="F624" s="34"/>
      <c r="G624" s="34"/>
      <c r="H624" s="34"/>
      <c r="I624" s="6"/>
      <c r="J624" s="2"/>
      <c r="K624" s="2"/>
      <c r="L624" s="6"/>
      <c r="M624" s="6"/>
      <c r="N624" s="6"/>
      <c r="O624" s="34"/>
      <c r="P624" s="34"/>
      <c r="Q624" s="2"/>
      <c r="R624" s="34"/>
      <c r="S624" s="34"/>
      <c r="T624" s="34"/>
      <c r="U624" s="2"/>
      <c r="V624" s="2"/>
      <c r="W624" s="2"/>
      <c r="X624" s="34"/>
    </row>
    <row x14ac:dyDescent="0.25" r="625" customHeight="1" ht="15.75">
      <c r="A625" s="1"/>
      <c r="B625" s="34"/>
      <c r="C625" s="2"/>
      <c r="D625" s="34"/>
      <c r="E625" s="34"/>
      <c r="F625" s="34"/>
      <c r="G625" s="34"/>
      <c r="H625" s="34"/>
      <c r="I625" s="6"/>
      <c r="J625" s="2"/>
      <c r="K625" s="2"/>
      <c r="L625" s="6"/>
      <c r="M625" s="6"/>
      <c r="N625" s="6"/>
      <c r="O625" s="34"/>
      <c r="P625" s="34"/>
      <c r="Q625" s="2"/>
      <c r="R625" s="34"/>
      <c r="S625" s="34"/>
      <c r="T625" s="34"/>
      <c r="U625" s="2"/>
      <c r="V625" s="2"/>
      <c r="W625" s="2"/>
      <c r="X625" s="34"/>
    </row>
    <row x14ac:dyDescent="0.25" r="626" customHeight="1" ht="15.75">
      <c r="A626" s="1"/>
      <c r="B626" s="34"/>
      <c r="C626" s="2"/>
      <c r="D626" s="34"/>
      <c r="E626" s="34"/>
      <c r="F626" s="34"/>
      <c r="G626" s="34"/>
      <c r="H626" s="34"/>
      <c r="I626" s="6"/>
      <c r="J626" s="2"/>
      <c r="K626" s="2"/>
      <c r="L626" s="6"/>
      <c r="M626" s="6"/>
      <c r="N626" s="6"/>
      <c r="O626" s="34"/>
      <c r="P626" s="34"/>
      <c r="Q626" s="2"/>
      <c r="R626" s="34"/>
      <c r="S626" s="34"/>
      <c r="T626" s="34"/>
      <c r="U626" s="2"/>
      <c r="V626" s="2"/>
      <c r="W626" s="2"/>
      <c r="X626" s="34"/>
    </row>
    <row x14ac:dyDescent="0.25" r="627" customHeight="1" ht="15.75">
      <c r="A627" s="1"/>
      <c r="B627" s="34"/>
      <c r="C627" s="2"/>
      <c r="D627" s="34"/>
      <c r="E627" s="34"/>
      <c r="F627" s="34"/>
      <c r="G627" s="34"/>
      <c r="H627" s="34"/>
      <c r="I627" s="6"/>
      <c r="J627" s="2"/>
      <c r="K627" s="2"/>
      <c r="L627" s="6"/>
      <c r="M627" s="6"/>
      <c r="N627" s="6"/>
      <c r="O627" s="34"/>
      <c r="P627" s="34"/>
      <c r="Q627" s="2"/>
      <c r="R627" s="34"/>
      <c r="S627" s="34"/>
      <c r="T627" s="34"/>
      <c r="U627" s="2"/>
      <c r="V627" s="2"/>
      <c r="W627" s="2"/>
      <c r="X627" s="34"/>
    </row>
    <row x14ac:dyDescent="0.25" r="628" customHeight="1" ht="15.75">
      <c r="A628" s="1"/>
      <c r="B628" s="34"/>
      <c r="C628" s="2"/>
      <c r="D628" s="34"/>
      <c r="E628" s="34"/>
      <c r="F628" s="34"/>
      <c r="G628" s="34"/>
      <c r="H628" s="34"/>
      <c r="I628" s="6"/>
      <c r="J628" s="2"/>
      <c r="K628" s="2"/>
      <c r="L628" s="6"/>
      <c r="M628" s="6"/>
      <c r="N628" s="6"/>
      <c r="O628" s="34"/>
      <c r="P628" s="34"/>
      <c r="Q628" s="2"/>
      <c r="R628" s="34"/>
      <c r="S628" s="34"/>
      <c r="T628" s="34"/>
      <c r="U628" s="2"/>
      <c r="V628" s="2"/>
      <c r="W628" s="2"/>
      <c r="X628" s="34"/>
    </row>
    <row x14ac:dyDescent="0.25" r="629" customHeight="1" ht="15.75">
      <c r="A629" s="1"/>
      <c r="B629" s="34"/>
      <c r="C629" s="2"/>
      <c r="D629" s="34"/>
      <c r="E629" s="34"/>
      <c r="F629" s="34"/>
      <c r="G629" s="34"/>
      <c r="H629" s="34"/>
      <c r="I629" s="6"/>
      <c r="J629" s="2"/>
      <c r="K629" s="2"/>
      <c r="L629" s="6"/>
      <c r="M629" s="6"/>
      <c r="N629" s="6"/>
      <c r="O629" s="34"/>
      <c r="P629" s="34"/>
      <c r="Q629" s="2"/>
      <c r="R629" s="34"/>
      <c r="S629" s="34"/>
      <c r="T629" s="34"/>
      <c r="U629" s="2"/>
      <c r="V629" s="2"/>
      <c r="W629" s="2"/>
      <c r="X629" s="34"/>
    </row>
    <row x14ac:dyDescent="0.25" r="630" customHeight="1" ht="15.75">
      <c r="A630" s="1"/>
      <c r="B630" s="34"/>
      <c r="C630" s="2"/>
      <c r="D630" s="34"/>
      <c r="E630" s="34"/>
      <c r="F630" s="34"/>
      <c r="G630" s="34"/>
      <c r="H630" s="34"/>
      <c r="I630" s="6"/>
      <c r="J630" s="2"/>
      <c r="K630" s="2"/>
      <c r="L630" s="6"/>
      <c r="M630" s="6"/>
      <c r="N630" s="6"/>
      <c r="O630" s="34"/>
      <c r="P630" s="34"/>
      <c r="Q630" s="2"/>
      <c r="R630" s="34"/>
      <c r="S630" s="34"/>
      <c r="T630" s="34"/>
      <c r="U630" s="2"/>
      <c r="V630" s="2"/>
      <c r="W630" s="2"/>
      <c r="X630" s="34"/>
    </row>
    <row x14ac:dyDescent="0.25" r="631" customHeight="1" ht="15.75">
      <c r="A631" s="1"/>
      <c r="B631" s="34"/>
      <c r="C631" s="2"/>
      <c r="D631" s="34"/>
      <c r="E631" s="34"/>
      <c r="F631" s="34"/>
      <c r="G631" s="34"/>
      <c r="H631" s="34"/>
      <c r="I631" s="6"/>
      <c r="J631" s="2"/>
      <c r="K631" s="2"/>
      <c r="L631" s="6"/>
      <c r="M631" s="6"/>
      <c r="N631" s="6"/>
      <c r="O631" s="34"/>
      <c r="P631" s="34"/>
      <c r="Q631" s="2"/>
      <c r="R631" s="34"/>
      <c r="S631" s="34"/>
      <c r="T631" s="34"/>
      <c r="U631" s="2"/>
      <c r="V631" s="2"/>
      <c r="W631" s="2"/>
      <c r="X631" s="34"/>
    </row>
    <row x14ac:dyDescent="0.25" r="632" customHeight="1" ht="15.75">
      <c r="A632" s="1"/>
      <c r="B632" s="34"/>
      <c r="C632" s="2"/>
      <c r="D632" s="34"/>
      <c r="E632" s="34"/>
      <c r="F632" s="34"/>
      <c r="G632" s="34"/>
      <c r="H632" s="34"/>
      <c r="I632" s="6"/>
      <c r="J632" s="2"/>
      <c r="K632" s="2"/>
      <c r="L632" s="6"/>
      <c r="M632" s="6"/>
      <c r="N632" s="6"/>
      <c r="O632" s="34"/>
      <c r="P632" s="34"/>
      <c r="Q632" s="2"/>
      <c r="R632" s="34"/>
      <c r="S632" s="34"/>
      <c r="T632" s="34"/>
      <c r="U632" s="2"/>
      <c r="V632" s="2"/>
      <c r="W632" s="2"/>
      <c r="X632" s="34"/>
    </row>
    <row x14ac:dyDescent="0.25" r="633" customHeight="1" ht="15.75">
      <c r="A633" s="1"/>
      <c r="B633" s="34"/>
      <c r="C633" s="2"/>
      <c r="D633" s="34"/>
      <c r="E633" s="34"/>
      <c r="F633" s="34"/>
      <c r="G633" s="34"/>
      <c r="H633" s="34"/>
      <c r="I633" s="6"/>
      <c r="J633" s="2"/>
      <c r="K633" s="2"/>
      <c r="L633" s="6"/>
      <c r="M633" s="6"/>
      <c r="N633" s="6"/>
      <c r="O633" s="34"/>
      <c r="P633" s="34"/>
      <c r="Q633" s="2"/>
      <c r="R633" s="34"/>
      <c r="S633" s="34"/>
      <c r="T633" s="34"/>
      <c r="U633" s="2"/>
      <c r="V633" s="2"/>
      <c r="W633" s="2"/>
      <c r="X633" s="34"/>
    </row>
    <row x14ac:dyDescent="0.25" r="634" customHeight="1" ht="15.75">
      <c r="A634" s="1"/>
      <c r="B634" s="34"/>
      <c r="C634" s="2"/>
      <c r="D634" s="34"/>
      <c r="E634" s="34"/>
      <c r="F634" s="34"/>
      <c r="G634" s="34"/>
      <c r="H634" s="34"/>
      <c r="I634" s="6"/>
      <c r="J634" s="2"/>
      <c r="K634" s="2"/>
      <c r="L634" s="6"/>
      <c r="M634" s="6"/>
      <c r="N634" s="6"/>
      <c r="O634" s="34"/>
      <c r="P634" s="34"/>
      <c r="Q634" s="2"/>
      <c r="R634" s="34"/>
      <c r="S634" s="34"/>
      <c r="T634" s="34"/>
      <c r="U634" s="2"/>
      <c r="V634" s="2"/>
      <c r="W634" s="2"/>
      <c r="X634" s="34"/>
    </row>
    <row x14ac:dyDescent="0.25" r="635" customHeight="1" ht="15.75">
      <c r="A635" s="1"/>
      <c r="B635" s="34"/>
      <c r="C635" s="2"/>
      <c r="D635" s="34"/>
      <c r="E635" s="34"/>
      <c r="F635" s="34"/>
      <c r="G635" s="34"/>
      <c r="H635" s="34"/>
      <c r="I635" s="6"/>
      <c r="J635" s="2"/>
      <c r="K635" s="2"/>
      <c r="L635" s="6"/>
      <c r="M635" s="6"/>
      <c r="N635" s="6"/>
      <c r="O635" s="34"/>
      <c r="P635" s="34"/>
      <c r="Q635" s="2"/>
      <c r="R635" s="34"/>
      <c r="S635" s="34"/>
      <c r="T635" s="34"/>
      <c r="U635" s="2"/>
      <c r="V635" s="2"/>
      <c r="W635" s="2"/>
      <c r="X635" s="34"/>
    </row>
    <row x14ac:dyDescent="0.25" r="636" customHeight="1" ht="15.75">
      <c r="A636" s="1"/>
      <c r="B636" s="34"/>
      <c r="C636" s="2"/>
      <c r="D636" s="34"/>
      <c r="E636" s="34"/>
      <c r="F636" s="34"/>
      <c r="G636" s="34"/>
      <c r="H636" s="34"/>
      <c r="I636" s="6"/>
      <c r="J636" s="2"/>
      <c r="K636" s="2"/>
      <c r="L636" s="6"/>
      <c r="M636" s="6"/>
      <c r="N636" s="6"/>
      <c r="O636" s="34"/>
      <c r="P636" s="34"/>
      <c r="Q636" s="2"/>
      <c r="R636" s="34"/>
      <c r="S636" s="34"/>
      <c r="T636" s="34"/>
      <c r="U636" s="2"/>
      <c r="V636" s="2"/>
      <c r="W636" s="2"/>
      <c r="X636" s="34"/>
    </row>
    <row x14ac:dyDescent="0.25" r="637" customHeight="1" ht="15.75">
      <c r="A637" s="1"/>
      <c r="B637" s="34"/>
      <c r="C637" s="2"/>
      <c r="D637" s="34"/>
      <c r="E637" s="34"/>
      <c r="F637" s="34"/>
      <c r="G637" s="34"/>
      <c r="H637" s="34"/>
      <c r="I637" s="6"/>
      <c r="J637" s="2"/>
      <c r="K637" s="2"/>
      <c r="L637" s="6"/>
      <c r="M637" s="6"/>
      <c r="N637" s="6"/>
      <c r="O637" s="34"/>
      <c r="P637" s="34"/>
      <c r="Q637" s="2"/>
      <c r="R637" s="34"/>
      <c r="S637" s="34"/>
      <c r="T637" s="34"/>
      <c r="U637" s="2"/>
      <c r="V637" s="2"/>
      <c r="W637" s="2"/>
      <c r="X637" s="34"/>
    </row>
    <row x14ac:dyDescent="0.25" r="638" customHeight="1" ht="15.75">
      <c r="A638" s="1"/>
      <c r="B638" s="34"/>
      <c r="C638" s="2"/>
      <c r="D638" s="34"/>
      <c r="E638" s="34"/>
      <c r="F638" s="34"/>
      <c r="G638" s="34"/>
      <c r="H638" s="34"/>
      <c r="I638" s="6"/>
      <c r="J638" s="2"/>
      <c r="K638" s="2"/>
      <c r="L638" s="6"/>
      <c r="M638" s="6"/>
      <c r="N638" s="6"/>
      <c r="O638" s="34"/>
      <c r="P638" s="34"/>
      <c r="Q638" s="2"/>
      <c r="R638" s="34"/>
      <c r="S638" s="34"/>
      <c r="T638" s="34"/>
      <c r="U638" s="2"/>
      <c r="V638" s="2"/>
      <c r="W638" s="2"/>
      <c r="X638" s="34"/>
    </row>
    <row x14ac:dyDescent="0.25" r="639" customHeight="1" ht="15.75">
      <c r="A639" s="1"/>
      <c r="B639" s="34"/>
      <c r="C639" s="2"/>
      <c r="D639" s="34"/>
      <c r="E639" s="34"/>
      <c r="F639" s="34"/>
      <c r="G639" s="34"/>
      <c r="H639" s="34"/>
      <c r="I639" s="6"/>
      <c r="J639" s="2"/>
      <c r="K639" s="2"/>
      <c r="L639" s="6"/>
      <c r="M639" s="6"/>
      <c r="N639" s="6"/>
      <c r="O639" s="34"/>
      <c r="P639" s="34"/>
      <c r="Q639" s="2"/>
      <c r="R639" s="34"/>
      <c r="S639" s="34"/>
      <c r="T639" s="34"/>
      <c r="U639" s="2"/>
      <c r="V639" s="2"/>
      <c r="W639" s="2"/>
      <c r="X639" s="34"/>
    </row>
    <row x14ac:dyDescent="0.25" r="640" customHeight="1" ht="15.75">
      <c r="A640" s="1"/>
      <c r="B640" s="34"/>
      <c r="C640" s="2"/>
      <c r="D640" s="34"/>
      <c r="E640" s="34"/>
      <c r="F640" s="34"/>
      <c r="G640" s="34"/>
      <c r="H640" s="34"/>
      <c r="I640" s="6"/>
      <c r="J640" s="2"/>
      <c r="K640" s="2"/>
      <c r="L640" s="6"/>
      <c r="M640" s="6"/>
      <c r="N640" s="6"/>
      <c r="O640" s="34"/>
      <c r="P640" s="34"/>
      <c r="Q640" s="2"/>
      <c r="R640" s="34"/>
      <c r="S640" s="34"/>
      <c r="T640" s="34"/>
      <c r="U640" s="2"/>
      <c r="V640" s="2"/>
      <c r="W640" s="2"/>
      <c r="X640" s="34"/>
    </row>
    <row x14ac:dyDescent="0.25" r="641" customHeight="1" ht="15.75">
      <c r="A641" s="1"/>
      <c r="B641" s="34"/>
      <c r="C641" s="2"/>
      <c r="D641" s="34"/>
      <c r="E641" s="34"/>
      <c r="F641" s="34"/>
      <c r="G641" s="34"/>
      <c r="H641" s="34"/>
      <c r="I641" s="6"/>
      <c r="J641" s="2"/>
      <c r="K641" s="2"/>
      <c r="L641" s="6"/>
      <c r="M641" s="6"/>
      <c r="N641" s="6"/>
      <c r="O641" s="34"/>
      <c r="P641" s="34"/>
      <c r="Q641" s="2"/>
      <c r="R641" s="34"/>
      <c r="S641" s="34"/>
      <c r="T641" s="34"/>
      <c r="U641" s="2"/>
      <c r="V641" s="2"/>
      <c r="W641" s="2"/>
      <c r="X641" s="34"/>
    </row>
    <row x14ac:dyDescent="0.25" r="642" customHeight="1" ht="15.75">
      <c r="A642" s="1"/>
      <c r="B642" s="34"/>
      <c r="C642" s="2"/>
      <c r="D642" s="34"/>
      <c r="E642" s="34"/>
      <c r="F642" s="34"/>
      <c r="G642" s="34"/>
      <c r="H642" s="34"/>
      <c r="I642" s="6"/>
      <c r="J642" s="2"/>
      <c r="K642" s="2"/>
      <c r="L642" s="6"/>
      <c r="M642" s="6"/>
      <c r="N642" s="6"/>
      <c r="O642" s="34"/>
      <c r="P642" s="34"/>
      <c r="Q642" s="2"/>
      <c r="R642" s="34"/>
      <c r="S642" s="34"/>
      <c r="T642" s="34"/>
      <c r="U642" s="2"/>
      <c r="V642" s="2"/>
      <c r="W642" s="2"/>
      <c r="X642" s="34"/>
    </row>
    <row x14ac:dyDescent="0.25" r="643" customHeight="1" ht="15.75">
      <c r="A643" s="1"/>
      <c r="B643" s="34"/>
      <c r="C643" s="2"/>
      <c r="D643" s="34"/>
      <c r="E643" s="34"/>
      <c r="F643" s="34"/>
      <c r="G643" s="34"/>
      <c r="H643" s="34"/>
      <c r="I643" s="6"/>
      <c r="J643" s="2"/>
      <c r="K643" s="2"/>
      <c r="L643" s="6"/>
      <c r="M643" s="6"/>
      <c r="N643" s="6"/>
      <c r="O643" s="34"/>
      <c r="P643" s="34"/>
      <c r="Q643" s="2"/>
      <c r="R643" s="34"/>
      <c r="S643" s="34"/>
      <c r="T643" s="34"/>
      <c r="U643" s="2"/>
      <c r="V643" s="2"/>
      <c r="W643" s="2"/>
      <c r="X643" s="34"/>
    </row>
    <row x14ac:dyDescent="0.25" r="644" customHeight="1" ht="15.75">
      <c r="A644" s="1"/>
      <c r="B644" s="34"/>
      <c r="C644" s="2"/>
      <c r="D644" s="34"/>
      <c r="E644" s="34"/>
      <c r="F644" s="34"/>
      <c r="G644" s="34"/>
      <c r="H644" s="34"/>
      <c r="I644" s="6"/>
      <c r="J644" s="2"/>
      <c r="K644" s="2"/>
      <c r="L644" s="6"/>
      <c r="M644" s="6"/>
      <c r="N644" s="6"/>
      <c r="O644" s="34"/>
      <c r="P644" s="34"/>
      <c r="Q644" s="2"/>
      <c r="R644" s="34"/>
      <c r="S644" s="34"/>
      <c r="T644" s="34"/>
      <c r="U644" s="2"/>
      <c r="V644" s="2"/>
      <c r="W644" s="2"/>
      <c r="X644" s="34"/>
    </row>
    <row x14ac:dyDescent="0.25" r="645" customHeight="1" ht="15.75">
      <c r="A645" s="1"/>
      <c r="B645" s="34"/>
      <c r="C645" s="2"/>
      <c r="D645" s="34"/>
      <c r="E645" s="34"/>
      <c r="F645" s="34"/>
      <c r="G645" s="34"/>
      <c r="H645" s="34"/>
      <c r="I645" s="6"/>
      <c r="J645" s="2"/>
      <c r="K645" s="2"/>
      <c r="L645" s="6"/>
      <c r="M645" s="6"/>
      <c r="N645" s="6"/>
      <c r="O645" s="34"/>
      <c r="P645" s="34"/>
      <c r="Q645" s="2"/>
      <c r="R645" s="34"/>
      <c r="S645" s="34"/>
      <c r="T645" s="34"/>
      <c r="U645" s="2"/>
      <c r="V645" s="2"/>
      <c r="W645" s="2"/>
      <c r="X645" s="34"/>
    </row>
    <row x14ac:dyDescent="0.25" r="646" customHeight="1" ht="15.75">
      <c r="A646" s="1"/>
      <c r="B646" s="34"/>
      <c r="C646" s="2"/>
      <c r="D646" s="34"/>
      <c r="E646" s="34"/>
      <c r="F646" s="34"/>
      <c r="G646" s="34"/>
      <c r="H646" s="34"/>
      <c r="I646" s="6"/>
      <c r="J646" s="2"/>
      <c r="K646" s="2"/>
      <c r="L646" s="6"/>
      <c r="M646" s="6"/>
      <c r="N646" s="6"/>
      <c r="O646" s="34"/>
      <c r="P646" s="34"/>
      <c r="Q646" s="2"/>
      <c r="R646" s="34"/>
      <c r="S646" s="34"/>
      <c r="T646" s="34"/>
      <c r="U646" s="2"/>
      <c r="V646" s="2"/>
      <c r="W646" s="2"/>
      <c r="X646" s="34"/>
    </row>
    <row x14ac:dyDescent="0.25" r="647" customHeight="1" ht="15.75">
      <c r="A647" s="1"/>
      <c r="B647" s="34"/>
      <c r="C647" s="2"/>
      <c r="D647" s="34"/>
      <c r="E647" s="34"/>
      <c r="F647" s="34"/>
      <c r="G647" s="34"/>
      <c r="H647" s="34"/>
      <c r="I647" s="6"/>
      <c r="J647" s="2"/>
      <c r="K647" s="2"/>
      <c r="L647" s="6"/>
      <c r="M647" s="6"/>
      <c r="N647" s="6"/>
      <c r="O647" s="34"/>
      <c r="P647" s="34"/>
      <c r="Q647" s="2"/>
      <c r="R647" s="34"/>
      <c r="S647" s="34"/>
      <c r="T647" s="34"/>
      <c r="U647" s="2"/>
      <c r="V647" s="2"/>
      <c r="W647" s="2"/>
      <c r="X647" s="34"/>
    </row>
    <row x14ac:dyDescent="0.25" r="648" customHeight="1" ht="15.75">
      <c r="A648" s="1"/>
      <c r="B648" s="34"/>
      <c r="C648" s="2"/>
      <c r="D648" s="34"/>
      <c r="E648" s="34"/>
      <c r="F648" s="34"/>
      <c r="G648" s="34"/>
      <c r="H648" s="34"/>
      <c r="I648" s="6"/>
      <c r="J648" s="2"/>
      <c r="K648" s="2"/>
      <c r="L648" s="6"/>
      <c r="M648" s="6"/>
      <c r="N648" s="6"/>
      <c r="O648" s="34"/>
      <c r="P648" s="34"/>
      <c r="Q648" s="2"/>
      <c r="R648" s="34"/>
      <c r="S648" s="34"/>
      <c r="T648" s="34"/>
      <c r="U648" s="2"/>
      <c r="V648" s="2"/>
      <c r="W648" s="2"/>
      <c r="X648" s="34"/>
    </row>
    <row x14ac:dyDescent="0.25" r="649" customHeight="1" ht="15.75">
      <c r="A649" s="1"/>
      <c r="B649" s="34"/>
      <c r="C649" s="2"/>
      <c r="D649" s="34"/>
      <c r="E649" s="34"/>
      <c r="F649" s="34"/>
      <c r="G649" s="34"/>
      <c r="H649" s="34"/>
      <c r="I649" s="6"/>
      <c r="J649" s="2"/>
      <c r="K649" s="2"/>
      <c r="L649" s="6"/>
      <c r="M649" s="6"/>
      <c r="N649" s="6"/>
      <c r="O649" s="34"/>
      <c r="P649" s="34"/>
      <c r="Q649" s="2"/>
      <c r="R649" s="34"/>
      <c r="S649" s="34"/>
      <c r="T649" s="34"/>
      <c r="U649" s="2"/>
      <c r="V649" s="2"/>
      <c r="W649" s="2"/>
      <c r="X649" s="34"/>
    </row>
    <row x14ac:dyDescent="0.25" r="650" customHeight="1" ht="15.75">
      <c r="A650" s="1"/>
      <c r="B650" s="34"/>
      <c r="C650" s="2"/>
      <c r="D650" s="34"/>
      <c r="E650" s="34"/>
      <c r="F650" s="34"/>
      <c r="G650" s="34"/>
      <c r="H650" s="34"/>
      <c r="I650" s="6"/>
      <c r="J650" s="2"/>
      <c r="K650" s="2"/>
      <c r="L650" s="6"/>
      <c r="M650" s="6"/>
      <c r="N650" s="6"/>
      <c r="O650" s="34"/>
      <c r="P650" s="34"/>
      <c r="Q650" s="2"/>
      <c r="R650" s="34"/>
      <c r="S650" s="34"/>
      <c r="T650" s="34"/>
      <c r="U650" s="2"/>
      <c r="V650" s="2"/>
      <c r="W650" s="2"/>
      <c r="X650" s="34"/>
    </row>
    <row x14ac:dyDescent="0.25" r="651" customHeight="1" ht="15.75">
      <c r="A651" s="1"/>
      <c r="B651" s="34"/>
      <c r="C651" s="2"/>
      <c r="D651" s="34"/>
      <c r="E651" s="34"/>
      <c r="F651" s="34"/>
      <c r="G651" s="34"/>
      <c r="H651" s="34"/>
      <c r="I651" s="6"/>
      <c r="J651" s="2"/>
      <c r="K651" s="2"/>
      <c r="L651" s="6"/>
      <c r="M651" s="6"/>
      <c r="N651" s="6"/>
      <c r="O651" s="34"/>
      <c r="P651" s="34"/>
      <c r="Q651" s="2"/>
      <c r="R651" s="34"/>
      <c r="S651" s="34"/>
      <c r="T651" s="34"/>
      <c r="U651" s="2"/>
      <c r="V651" s="2"/>
      <c r="W651" s="2"/>
      <c r="X651" s="34"/>
    </row>
    <row x14ac:dyDescent="0.25" r="652" customHeight="1" ht="15.75">
      <c r="A652" s="1"/>
      <c r="B652" s="34"/>
      <c r="C652" s="2"/>
      <c r="D652" s="34"/>
      <c r="E652" s="34"/>
      <c r="F652" s="34"/>
      <c r="G652" s="34"/>
      <c r="H652" s="34"/>
      <c r="I652" s="6"/>
      <c r="J652" s="2"/>
      <c r="K652" s="2"/>
      <c r="L652" s="6"/>
      <c r="M652" s="6"/>
      <c r="N652" s="6"/>
      <c r="O652" s="34"/>
      <c r="P652" s="34"/>
      <c r="Q652" s="2"/>
      <c r="R652" s="34"/>
      <c r="S652" s="34"/>
      <c r="T652" s="34"/>
      <c r="U652" s="2"/>
      <c r="V652" s="2"/>
      <c r="W652" s="2"/>
      <c r="X652" s="34"/>
    </row>
    <row x14ac:dyDescent="0.25" r="653" customHeight="1" ht="15.75">
      <c r="A653" s="1"/>
      <c r="B653" s="34"/>
      <c r="C653" s="2"/>
      <c r="D653" s="34"/>
      <c r="E653" s="34"/>
      <c r="F653" s="34"/>
      <c r="G653" s="34"/>
      <c r="H653" s="34"/>
      <c r="I653" s="6"/>
      <c r="J653" s="2"/>
      <c r="K653" s="2"/>
      <c r="L653" s="6"/>
      <c r="M653" s="6"/>
      <c r="N653" s="6"/>
      <c r="O653" s="34"/>
      <c r="P653" s="34"/>
      <c r="Q653" s="2"/>
      <c r="R653" s="34"/>
      <c r="S653" s="34"/>
      <c r="T653" s="34"/>
      <c r="U653" s="2"/>
      <c r="V653" s="2"/>
      <c r="W653" s="2"/>
      <c r="X653" s="34"/>
    </row>
    <row x14ac:dyDescent="0.25" r="654" customHeight="1" ht="15.75">
      <c r="A654" s="1"/>
      <c r="B654" s="34"/>
      <c r="C654" s="2"/>
      <c r="D654" s="34"/>
      <c r="E654" s="34"/>
      <c r="F654" s="34"/>
      <c r="G654" s="34"/>
      <c r="H654" s="34"/>
      <c r="I654" s="6"/>
      <c r="J654" s="2"/>
      <c r="K654" s="2"/>
      <c r="L654" s="6"/>
      <c r="M654" s="6"/>
      <c r="N654" s="6"/>
      <c r="O654" s="34"/>
      <c r="P654" s="34"/>
      <c r="Q654" s="2"/>
      <c r="R654" s="34"/>
      <c r="S654" s="34"/>
      <c r="T654" s="34"/>
      <c r="U654" s="2"/>
      <c r="V654" s="2"/>
      <c r="W654" s="2"/>
      <c r="X654" s="34"/>
    </row>
    <row x14ac:dyDescent="0.25" r="655" customHeight="1" ht="15.75">
      <c r="A655" s="1"/>
      <c r="B655" s="34"/>
      <c r="C655" s="2"/>
      <c r="D655" s="34"/>
      <c r="E655" s="34"/>
      <c r="F655" s="34"/>
      <c r="G655" s="34"/>
      <c r="H655" s="34"/>
      <c r="I655" s="6"/>
      <c r="J655" s="2"/>
      <c r="K655" s="2"/>
      <c r="L655" s="6"/>
      <c r="M655" s="6"/>
      <c r="N655" s="6"/>
      <c r="O655" s="34"/>
      <c r="P655" s="34"/>
      <c r="Q655" s="2"/>
      <c r="R655" s="34"/>
      <c r="S655" s="34"/>
      <c r="T655" s="34"/>
      <c r="U655" s="2"/>
      <c r="V655" s="2"/>
      <c r="W655" s="2"/>
      <c r="X655" s="34"/>
    </row>
    <row x14ac:dyDescent="0.25" r="656" customHeight="1" ht="15.75">
      <c r="A656" s="1"/>
      <c r="B656" s="34"/>
      <c r="C656" s="2"/>
      <c r="D656" s="34"/>
      <c r="E656" s="34"/>
      <c r="F656" s="34"/>
      <c r="G656" s="34"/>
      <c r="H656" s="34"/>
      <c r="I656" s="6"/>
      <c r="J656" s="2"/>
      <c r="K656" s="2"/>
      <c r="L656" s="6"/>
      <c r="M656" s="6"/>
      <c r="N656" s="6"/>
      <c r="O656" s="34"/>
      <c r="P656" s="34"/>
      <c r="Q656" s="2"/>
      <c r="R656" s="34"/>
      <c r="S656" s="34"/>
      <c r="T656" s="34"/>
      <c r="U656" s="2"/>
      <c r="V656" s="2"/>
      <c r="W656" s="2"/>
      <c r="X656" s="34"/>
    </row>
    <row x14ac:dyDescent="0.25" r="657" customHeight="1" ht="15.75">
      <c r="A657" s="1"/>
      <c r="B657" s="34"/>
      <c r="C657" s="2"/>
      <c r="D657" s="34"/>
      <c r="E657" s="34"/>
      <c r="F657" s="34"/>
      <c r="G657" s="34"/>
      <c r="H657" s="34"/>
      <c r="I657" s="6"/>
      <c r="J657" s="2"/>
      <c r="K657" s="2"/>
      <c r="L657" s="6"/>
      <c r="M657" s="6"/>
      <c r="N657" s="6"/>
      <c r="O657" s="34"/>
      <c r="P657" s="34"/>
      <c r="Q657" s="2"/>
      <c r="R657" s="34"/>
      <c r="S657" s="34"/>
      <c r="T657" s="34"/>
      <c r="U657" s="2"/>
      <c r="V657" s="2"/>
      <c r="W657" s="2"/>
      <c r="X657" s="34"/>
    </row>
    <row x14ac:dyDescent="0.25" r="658" customHeight="1" ht="15.75">
      <c r="A658" s="1"/>
      <c r="B658" s="34"/>
      <c r="C658" s="2"/>
      <c r="D658" s="34"/>
      <c r="E658" s="34"/>
      <c r="F658" s="34"/>
      <c r="G658" s="34"/>
      <c r="H658" s="34"/>
      <c r="I658" s="6"/>
      <c r="J658" s="2"/>
      <c r="K658" s="2"/>
      <c r="L658" s="6"/>
      <c r="M658" s="6"/>
      <c r="N658" s="6"/>
      <c r="O658" s="34"/>
      <c r="P658" s="34"/>
      <c r="Q658" s="2"/>
      <c r="R658" s="34"/>
      <c r="S658" s="34"/>
      <c r="T658" s="34"/>
      <c r="U658" s="2"/>
      <c r="V658" s="2"/>
      <c r="W658" s="2"/>
      <c r="X658" s="34"/>
    </row>
    <row x14ac:dyDescent="0.25" r="659" customHeight="1" ht="15.75">
      <c r="A659" s="1"/>
      <c r="B659" s="34"/>
      <c r="C659" s="2"/>
      <c r="D659" s="34"/>
      <c r="E659" s="34"/>
      <c r="F659" s="34"/>
      <c r="G659" s="34"/>
      <c r="H659" s="34"/>
      <c r="I659" s="6"/>
      <c r="J659" s="2"/>
      <c r="K659" s="2"/>
      <c r="L659" s="6"/>
      <c r="M659" s="6"/>
      <c r="N659" s="6"/>
      <c r="O659" s="34"/>
      <c r="P659" s="34"/>
      <c r="Q659" s="2"/>
      <c r="R659" s="34"/>
      <c r="S659" s="34"/>
      <c r="T659" s="34"/>
      <c r="U659" s="2"/>
      <c r="V659" s="2"/>
      <c r="W659" s="2"/>
      <c r="X659" s="34"/>
    </row>
    <row x14ac:dyDescent="0.25" r="660" customHeight="1" ht="15.75">
      <c r="A660" s="1"/>
      <c r="B660" s="34"/>
      <c r="C660" s="2"/>
      <c r="D660" s="34"/>
      <c r="E660" s="34"/>
      <c r="F660" s="34"/>
      <c r="G660" s="34"/>
      <c r="H660" s="34"/>
      <c r="I660" s="6"/>
      <c r="J660" s="2"/>
      <c r="K660" s="2"/>
      <c r="L660" s="6"/>
      <c r="M660" s="6"/>
      <c r="N660" s="6"/>
      <c r="O660" s="34"/>
      <c r="P660" s="34"/>
      <c r="Q660" s="2"/>
      <c r="R660" s="34"/>
      <c r="S660" s="34"/>
      <c r="T660" s="34"/>
      <c r="U660" s="2"/>
      <c r="V660" s="2"/>
      <c r="W660" s="2"/>
      <c r="X660" s="34"/>
    </row>
    <row x14ac:dyDescent="0.25" r="661" customHeight="1" ht="15.75">
      <c r="A661" s="1"/>
      <c r="B661" s="34"/>
      <c r="C661" s="2"/>
      <c r="D661" s="34"/>
      <c r="E661" s="34"/>
      <c r="F661" s="34"/>
      <c r="G661" s="34"/>
      <c r="H661" s="34"/>
      <c r="I661" s="6"/>
      <c r="J661" s="2"/>
      <c r="K661" s="2"/>
      <c r="L661" s="6"/>
      <c r="M661" s="6"/>
      <c r="N661" s="6"/>
      <c r="O661" s="34"/>
      <c r="P661" s="34"/>
      <c r="Q661" s="2"/>
      <c r="R661" s="34"/>
      <c r="S661" s="34"/>
      <c r="T661" s="34"/>
      <c r="U661" s="2"/>
      <c r="V661" s="2"/>
      <c r="W661" s="2"/>
      <c r="X661" s="34"/>
    </row>
    <row x14ac:dyDescent="0.25" r="662" customHeight="1" ht="15.75">
      <c r="A662" s="1"/>
      <c r="B662" s="34"/>
      <c r="C662" s="2"/>
      <c r="D662" s="34"/>
      <c r="E662" s="34"/>
      <c r="F662" s="34"/>
      <c r="G662" s="34"/>
      <c r="H662" s="34"/>
      <c r="I662" s="6"/>
      <c r="J662" s="2"/>
      <c r="K662" s="2"/>
      <c r="L662" s="6"/>
      <c r="M662" s="6"/>
      <c r="N662" s="6"/>
      <c r="O662" s="34"/>
      <c r="P662" s="34"/>
      <c r="Q662" s="2"/>
      <c r="R662" s="34"/>
      <c r="S662" s="34"/>
      <c r="T662" s="34"/>
      <c r="U662" s="2"/>
      <c r="V662" s="2"/>
      <c r="W662" s="2"/>
      <c r="X662" s="34"/>
    </row>
    <row x14ac:dyDescent="0.25" r="663" customHeight="1" ht="15.75">
      <c r="A663" s="1"/>
      <c r="B663" s="34"/>
      <c r="C663" s="2"/>
      <c r="D663" s="34"/>
      <c r="E663" s="34"/>
      <c r="F663" s="34"/>
      <c r="G663" s="34"/>
      <c r="H663" s="34"/>
      <c r="I663" s="6"/>
      <c r="J663" s="2"/>
      <c r="K663" s="2"/>
      <c r="L663" s="6"/>
      <c r="M663" s="6"/>
      <c r="N663" s="6"/>
      <c r="O663" s="34"/>
      <c r="P663" s="34"/>
      <c r="Q663" s="2"/>
      <c r="R663" s="34"/>
      <c r="S663" s="34"/>
      <c r="T663" s="34"/>
      <c r="U663" s="2"/>
      <c r="V663" s="2"/>
      <c r="W663" s="2"/>
      <c r="X663" s="34"/>
    </row>
    <row x14ac:dyDescent="0.25" r="664" customHeight="1" ht="15.75">
      <c r="A664" s="1"/>
      <c r="B664" s="34"/>
      <c r="C664" s="2"/>
      <c r="D664" s="34"/>
      <c r="E664" s="34"/>
      <c r="F664" s="34"/>
      <c r="G664" s="34"/>
      <c r="H664" s="34"/>
      <c r="I664" s="6"/>
      <c r="J664" s="2"/>
      <c r="K664" s="2"/>
      <c r="L664" s="6"/>
      <c r="M664" s="6"/>
      <c r="N664" s="6"/>
      <c r="O664" s="34"/>
      <c r="P664" s="34"/>
      <c r="Q664" s="2"/>
      <c r="R664" s="34"/>
      <c r="S664" s="34"/>
      <c r="T664" s="34"/>
      <c r="U664" s="2"/>
      <c r="V664" s="2"/>
      <c r="W664" s="2"/>
      <c r="X664" s="34"/>
    </row>
    <row x14ac:dyDescent="0.25" r="665" customHeight="1" ht="15.75">
      <c r="A665" s="1"/>
      <c r="B665" s="34"/>
      <c r="C665" s="2"/>
      <c r="D665" s="34"/>
      <c r="E665" s="34"/>
      <c r="F665" s="34"/>
      <c r="G665" s="34"/>
      <c r="H665" s="34"/>
      <c r="I665" s="6"/>
      <c r="J665" s="2"/>
      <c r="K665" s="2"/>
      <c r="L665" s="6"/>
      <c r="M665" s="6"/>
      <c r="N665" s="6"/>
      <c r="O665" s="34"/>
      <c r="P665" s="34"/>
      <c r="Q665" s="2"/>
      <c r="R665" s="34"/>
      <c r="S665" s="34"/>
      <c r="T665" s="34"/>
      <c r="U665" s="2"/>
      <c r="V665" s="2"/>
      <c r="W665" s="2"/>
      <c r="X665" s="34"/>
    </row>
    <row x14ac:dyDescent="0.25" r="666" customHeight="1" ht="15.75">
      <c r="A666" s="1"/>
      <c r="B666" s="34"/>
      <c r="C666" s="2"/>
      <c r="D666" s="34"/>
      <c r="E666" s="34"/>
      <c r="F666" s="34"/>
      <c r="G666" s="34"/>
      <c r="H666" s="34"/>
      <c r="I666" s="6"/>
      <c r="J666" s="2"/>
      <c r="K666" s="2"/>
      <c r="L666" s="6"/>
      <c r="M666" s="6"/>
      <c r="N666" s="6"/>
      <c r="O666" s="34"/>
      <c r="P666" s="34"/>
      <c r="Q666" s="2"/>
      <c r="R666" s="34"/>
      <c r="S666" s="34"/>
      <c r="T666" s="34"/>
      <c r="U666" s="2"/>
      <c r="V666" s="2"/>
      <c r="W666" s="2"/>
      <c r="X666" s="34"/>
    </row>
    <row x14ac:dyDescent="0.25" r="667" customHeight="1" ht="15.75">
      <c r="A667" s="1"/>
      <c r="B667" s="34"/>
      <c r="C667" s="2"/>
      <c r="D667" s="34"/>
      <c r="E667" s="34"/>
      <c r="F667" s="34"/>
      <c r="G667" s="34"/>
      <c r="H667" s="34"/>
      <c r="I667" s="6"/>
      <c r="J667" s="2"/>
      <c r="K667" s="2"/>
      <c r="L667" s="6"/>
      <c r="M667" s="6"/>
      <c r="N667" s="6"/>
      <c r="O667" s="34"/>
      <c r="P667" s="34"/>
      <c r="Q667" s="2"/>
      <c r="R667" s="34"/>
      <c r="S667" s="34"/>
      <c r="T667" s="34"/>
      <c r="U667" s="2"/>
      <c r="V667" s="2"/>
      <c r="W667" s="2"/>
      <c r="X667" s="34"/>
    </row>
    <row x14ac:dyDescent="0.25" r="668" customHeight="1" ht="15.75">
      <c r="A668" s="1"/>
      <c r="B668" s="34"/>
      <c r="C668" s="2"/>
      <c r="D668" s="34"/>
      <c r="E668" s="34"/>
      <c r="F668" s="34"/>
      <c r="G668" s="34"/>
      <c r="H668" s="34"/>
      <c r="I668" s="6"/>
      <c r="J668" s="2"/>
      <c r="K668" s="2"/>
      <c r="L668" s="6"/>
      <c r="M668" s="6"/>
      <c r="N668" s="6"/>
      <c r="O668" s="34"/>
      <c r="P668" s="34"/>
      <c r="Q668" s="2"/>
      <c r="R668" s="34"/>
      <c r="S668" s="34"/>
      <c r="T668" s="34"/>
      <c r="U668" s="2"/>
      <c r="V668" s="2"/>
      <c r="W668" s="2"/>
      <c r="X668" s="34"/>
    </row>
    <row x14ac:dyDescent="0.25" r="669" customHeight="1" ht="15.75">
      <c r="A669" s="1"/>
      <c r="B669" s="34"/>
      <c r="C669" s="2"/>
      <c r="D669" s="34"/>
      <c r="E669" s="34"/>
      <c r="F669" s="34"/>
      <c r="G669" s="34"/>
      <c r="H669" s="34"/>
      <c r="I669" s="6"/>
      <c r="J669" s="2"/>
      <c r="K669" s="2"/>
      <c r="L669" s="6"/>
      <c r="M669" s="6"/>
      <c r="N669" s="6"/>
      <c r="O669" s="34"/>
      <c r="P669" s="34"/>
      <c r="Q669" s="2"/>
      <c r="R669" s="34"/>
      <c r="S669" s="34"/>
      <c r="T669" s="34"/>
      <c r="U669" s="2"/>
      <c r="V669" s="2"/>
      <c r="W669" s="2"/>
      <c r="X669" s="34"/>
    </row>
    <row x14ac:dyDescent="0.25" r="670" customHeight="1" ht="15.75">
      <c r="A670" s="1"/>
      <c r="B670" s="34"/>
      <c r="C670" s="2"/>
      <c r="D670" s="34"/>
      <c r="E670" s="34"/>
      <c r="F670" s="34"/>
      <c r="G670" s="34"/>
      <c r="H670" s="34"/>
      <c r="I670" s="6"/>
      <c r="J670" s="2"/>
      <c r="K670" s="2"/>
      <c r="L670" s="6"/>
      <c r="M670" s="6"/>
      <c r="N670" s="6"/>
      <c r="O670" s="34"/>
      <c r="P670" s="34"/>
      <c r="Q670" s="2"/>
      <c r="R670" s="34"/>
      <c r="S670" s="34"/>
      <c r="T670" s="34"/>
      <c r="U670" s="2"/>
      <c r="V670" s="2"/>
      <c r="W670" s="2"/>
      <c r="X670" s="34"/>
    </row>
    <row x14ac:dyDescent="0.25" r="671" customHeight="1" ht="15.75">
      <c r="A671" s="1"/>
      <c r="B671" s="34"/>
      <c r="C671" s="2"/>
      <c r="D671" s="34"/>
      <c r="E671" s="34"/>
      <c r="F671" s="34"/>
      <c r="G671" s="34"/>
      <c r="H671" s="34"/>
      <c r="I671" s="6"/>
      <c r="J671" s="2"/>
      <c r="K671" s="2"/>
      <c r="L671" s="6"/>
      <c r="M671" s="6"/>
      <c r="N671" s="6"/>
      <c r="O671" s="34"/>
      <c r="P671" s="34"/>
      <c r="Q671" s="2"/>
      <c r="R671" s="34"/>
      <c r="S671" s="34"/>
      <c r="T671" s="34"/>
      <c r="U671" s="2"/>
      <c r="V671" s="2"/>
      <c r="W671" s="2"/>
      <c r="X671" s="34"/>
    </row>
    <row x14ac:dyDescent="0.25" r="672" customHeight="1" ht="15.75">
      <c r="A672" s="1"/>
      <c r="B672" s="34"/>
      <c r="C672" s="2"/>
      <c r="D672" s="34"/>
      <c r="E672" s="34"/>
      <c r="F672" s="34"/>
      <c r="G672" s="34"/>
      <c r="H672" s="34"/>
      <c r="I672" s="6"/>
      <c r="J672" s="2"/>
      <c r="K672" s="2"/>
      <c r="L672" s="6"/>
      <c r="M672" s="6"/>
      <c r="N672" s="6"/>
      <c r="O672" s="34"/>
      <c r="P672" s="34"/>
      <c r="Q672" s="2"/>
      <c r="R672" s="34"/>
      <c r="S672" s="34"/>
      <c r="T672" s="34"/>
      <c r="U672" s="2"/>
      <c r="V672" s="2"/>
      <c r="W672" s="2"/>
      <c r="X672" s="34"/>
    </row>
    <row x14ac:dyDescent="0.25" r="673" customHeight="1" ht="15.75">
      <c r="A673" s="1"/>
      <c r="B673" s="34"/>
      <c r="C673" s="2"/>
      <c r="D673" s="34"/>
      <c r="E673" s="34"/>
      <c r="F673" s="34"/>
      <c r="G673" s="34"/>
      <c r="H673" s="34"/>
      <c r="I673" s="6"/>
      <c r="J673" s="2"/>
      <c r="K673" s="2"/>
      <c r="L673" s="6"/>
      <c r="M673" s="6"/>
      <c r="N673" s="6"/>
      <c r="O673" s="34"/>
      <c r="P673" s="34"/>
      <c r="Q673" s="2"/>
      <c r="R673" s="34"/>
      <c r="S673" s="34"/>
      <c r="T673" s="34"/>
      <c r="U673" s="2"/>
      <c r="V673" s="2"/>
      <c r="W673" s="2"/>
      <c r="X673" s="34"/>
    </row>
    <row x14ac:dyDescent="0.25" r="674" customHeight="1" ht="15.75">
      <c r="A674" s="1"/>
      <c r="B674" s="34"/>
      <c r="C674" s="2"/>
      <c r="D674" s="34"/>
      <c r="E674" s="34"/>
      <c r="F674" s="34"/>
      <c r="G674" s="34"/>
      <c r="H674" s="34"/>
      <c r="I674" s="6"/>
      <c r="J674" s="2"/>
      <c r="K674" s="2"/>
      <c r="L674" s="6"/>
      <c r="M674" s="6"/>
      <c r="N674" s="6"/>
      <c r="O674" s="34"/>
      <c r="P674" s="34"/>
      <c r="Q674" s="2"/>
      <c r="R674" s="34"/>
      <c r="S674" s="34"/>
      <c r="T674" s="34"/>
      <c r="U674" s="2"/>
      <c r="V674" s="2"/>
      <c r="W674" s="2"/>
      <c r="X674" s="34"/>
    </row>
    <row x14ac:dyDescent="0.25" r="675" customHeight="1" ht="15.75">
      <c r="A675" s="1"/>
      <c r="B675" s="34"/>
      <c r="C675" s="2"/>
      <c r="D675" s="34"/>
      <c r="E675" s="34"/>
      <c r="F675" s="34"/>
      <c r="G675" s="34"/>
      <c r="H675" s="34"/>
      <c r="I675" s="6"/>
      <c r="J675" s="2"/>
      <c r="K675" s="2"/>
      <c r="L675" s="6"/>
      <c r="M675" s="6"/>
      <c r="N675" s="6"/>
      <c r="O675" s="34"/>
      <c r="P675" s="34"/>
      <c r="Q675" s="2"/>
      <c r="R675" s="34"/>
      <c r="S675" s="34"/>
      <c r="T675" s="34"/>
      <c r="U675" s="2"/>
      <c r="V675" s="2"/>
      <c r="W675" s="2"/>
      <c r="X675" s="34"/>
    </row>
    <row x14ac:dyDescent="0.25" r="676" customHeight="1" ht="15.75">
      <c r="A676" s="1"/>
      <c r="B676" s="34"/>
      <c r="C676" s="2"/>
      <c r="D676" s="34"/>
      <c r="E676" s="34"/>
      <c r="F676" s="34"/>
      <c r="G676" s="34"/>
      <c r="H676" s="34"/>
      <c r="I676" s="6"/>
      <c r="J676" s="2"/>
      <c r="K676" s="2"/>
      <c r="L676" s="6"/>
      <c r="M676" s="6"/>
      <c r="N676" s="6"/>
      <c r="O676" s="34"/>
      <c r="P676" s="34"/>
      <c r="Q676" s="2"/>
      <c r="R676" s="34"/>
      <c r="S676" s="34"/>
      <c r="T676" s="34"/>
      <c r="U676" s="2"/>
      <c r="V676" s="2"/>
      <c r="W676" s="2"/>
      <c r="X676" s="34"/>
    </row>
    <row x14ac:dyDescent="0.25" r="677" customHeight="1" ht="15.75">
      <c r="A677" s="1"/>
      <c r="B677" s="34"/>
      <c r="C677" s="2"/>
      <c r="D677" s="34"/>
      <c r="E677" s="34"/>
      <c r="F677" s="34"/>
      <c r="G677" s="34"/>
      <c r="H677" s="34"/>
      <c r="I677" s="6"/>
      <c r="J677" s="2"/>
      <c r="K677" s="2"/>
      <c r="L677" s="6"/>
      <c r="M677" s="6"/>
      <c r="N677" s="6"/>
      <c r="O677" s="34"/>
      <c r="P677" s="34"/>
      <c r="Q677" s="2"/>
      <c r="R677" s="34"/>
      <c r="S677" s="34"/>
      <c r="T677" s="34"/>
      <c r="U677" s="2"/>
      <c r="V677" s="2"/>
      <c r="W677" s="2"/>
      <c r="X677" s="34"/>
    </row>
    <row x14ac:dyDescent="0.25" r="678" customHeight="1" ht="15.75">
      <c r="A678" s="1"/>
      <c r="B678" s="34"/>
      <c r="C678" s="2"/>
      <c r="D678" s="34"/>
      <c r="E678" s="34"/>
      <c r="F678" s="34"/>
      <c r="G678" s="34"/>
      <c r="H678" s="34"/>
      <c r="I678" s="6"/>
      <c r="J678" s="2"/>
      <c r="K678" s="2"/>
      <c r="L678" s="6"/>
      <c r="M678" s="6"/>
      <c r="N678" s="6"/>
      <c r="O678" s="34"/>
      <c r="P678" s="34"/>
      <c r="Q678" s="2"/>
      <c r="R678" s="34"/>
      <c r="S678" s="34"/>
      <c r="T678" s="34"/>
      <c r="U678" s="2"/>
      <c r="V678" s="2"/>
      <c r="W678" s="2"/>
      <c r="X678" s="34"/>
    </row>
    <row x14ac:dyDescent="0.25" r="679" customHeight="1" ht="15.75">
      <c r="A679" s="1"/>
      <c r="B679" s="34"/>
      <c r="C679" s="2"/>
      <c r="D679" s="34"/>
      <c r="E679" s="34"/>
      <c r="F679" s="34"/>
      <c r="G679" s="34"/>
      <c r="H679" s="34"/>
      <c r="I679" s="6"/>
      <c r="J679" s="2"/>
      <c r="K679" s="2"/>
      <c r="L679" s="6"/>
      <c r="M679" s="6"/>
      <c r="N679" s="6"/>
      <c r="O679" s="34"/>
      <c r="P679" s="34"/>
      <c r="Q679" s="2"/>
      <c r="R679" s="34"/>
      <c r="S679" s="34"/>
      <c r="T679" s="34"/>
      <c r="U679" s="2"/>
      <c r="V679" s="2"/>
      <c r="W679" s="2"/>
      <c r="X679" s="34"/>
    </row>
    <row x14ac:dyDescent="0.25" r="680" customHeight="1" ht="15.75">
      <c r="A680" s="1"/>
      <c r="B680" s="34"/>
      <c r="C680" s="2"/>
      <c r="D680" s="34"/>
      <c r="E680" s="34"/>
      <c r="F680" s="34"/>
      <c r="G680" s="34"/>
      <c r="H680" s="34"/>
      <c r="I680" s="6"/>
      <c r="J680" s="2"/>
      <c r="K680" s="2"/>
      <c r="L680" s="6"/>
      <c r="M680" s="6"/>
      <c r="N680" s="6"/>
      <c r="O680" s="34"/>
      <c r="P680" s="34"/>
      <c r="Q680" s="2"/>
      <c r="R680" s="34"/>
      <c r="S680" s="34"/>
      <c r="T680" s="34"/>
      <c r="U680" s="2"/>
      <c r="V680" s="2"/>
      <c r="W680" s="2"/>
      <c r="X680" s="34"/>
    </row>
    <row x14ac:dyDescent="0.25" r="681" customHeight="1" ht="15.75">
      <c r="A681" s="1"/>
      <c r="B681" s="34"/>
      <c r="C681" s="2"/>
      <c r="D681" s="34"/>
      <c r="E681" s="34"/>
      <c r="F681" s="34"/>
      <c r="G681" s="34"/>
      <c r="H681" s="34"/>
      <c r="I681" s="6"/>
      <c r="J681" s="2"/>
      <c r="K681" s="2"/>
      <c r="L681" s="6"/>
      <c r="M681" s="6"/>
      <c r="N681" s="6"/>
      <c r="O681" s="34"/>
      <c r="P681" s="34"/>
      <c r="Q681" s="2"/>
      <c r="R681" s="34"/>
      <c r="S681" s="34"/>
      <c r="T681" s="34"/>
      <c r="U681" s="2"/>
      <c r="V681" s="2"/>
      <c r="W681" s="2"/>
      <c r="X681" s="34"/>
    </row>
    <row x14ac:dyDescent="0.25" r="682" customHeight="1" ht="15.75">
      <c r="A682" s="1"/>
      <c r="B682" s="34"/>
      <c r="C682" s="2"/>
      <c r="D682" s="34"/>
      <c r="E682" s="34"/>
      <c r="F682" s="34"/>
      <c r="G682" s="34"/>
      <c r="H682" s="34"/>
      <c r="I682" s="6"/>
      <c r="J682" s="2"/>
      <c r="K682" s="2"/>
      <c r="L682" s="6"/>
      <c r="M682" s="6"/>
      <c r="N682" s="6"/>
      <c r="O682" s="34"/>
      <c r="P682" s="34"/>
      <c r="Q682" s="2"/>
      <c r="R682" s="34"/>
      <c r="S682" s="34"/>
      <c r="T682" s="34"/>
      <c r="U682" s="2"/>
      <c r="V682" s="2"/>
      <c r="W682" s="2"/>
      <c r="X682" s="34"/>
    </row>
    <row x14ac:dyDescent="0.25" r="683" customHeight="1" ht="15.75">
      <c r="A683" s="1"/>
      <c r="B683" s="34"/>
      <c r="C683" s="2"/>
      <c r="D683" s="34"/>
      <c r="E683" s="34"/>
      <c r="F683" s="34"/>
      <c r="G683" s="34"/>
      <c r="H683" s="34"/>
      <c r="I683" s="6"/>
      <c r="J683" s="2"/>
      <c r="K683" s="2"/>
      <c r="L683" s="6"/>
      <c r="M683" s="6"/>
      <c r="N683" s="6"/>
      <c r="O683" s="34"/>
      <c r="P683" s="34"/>
      <c r="Q683" s="2"/>
      <c r="R683" s="34"/>
      <c r="S683" s="34"/>
      <c r="T683" s="34"/>
      <c r="U683" s="2"/>
      <c r="V683" s="2"/>
      <c r="W683" s="2"/>
      <c r="X683" s="34"/>
    </row>
    <row x14ac:dyDescent="0.25" r="684" customHeight="1" ht="15.75">
      <c r="A684" s="1"/>
      <c r="B684" s="34"/>
      <c r="C684" s="2"/>
      <c r="D684" s="34"/>
      <c r="E684" s="34"/>
      <c r="F684" s="34"/>
      <c r="G684" s="34"/>
      <c r="H684" s="34"/>
      <c r="I684" s="6"/>
      <c r="J684" s="2"/>
      <c r="K684" s="2"/>
      <c r="L684" s="6"/>
      <c r="M684" s="6"/>
      <c r="N684" s="6"/>
      <c r="O684" s="34"/>
      <c r="P684" s="34"/>
      <c r="Q684" s="2"/>
      <c r="R684" s="34"/>
      <c r="S684" s="34"/>
      <c r="T684" s="34"/>
      <c r="U684" s="2"/>
      <c r="V684" s="2"/>
      <c r="W684" s="2"/>
      <c r="X684" s="34"/>
    </row>
    <row x14ac:dyDescent="0.25" r="685" customHeight="1" ht="15.75">
      <c r="A685" s="1"/>
      <c r="B685" s="34"/>
      <c r="C685" s="2"/>
      <c r="D685" s="34"/>
      <c r="E685" s="34"/>
      <c r="F685" s="34"/>
      <c r="G685" s="34"/>
      <c r="H685" s="34"/>
      <c r="I685" s="6"/>
      <c r="J685" s="2"/>
      <c r="K685" s="2"/>
      <c r="L685" s="6"/>
      <c r="M685" s="6"/>
      <c r="N685" s="6"/>
      <c r="O685" s="34"/>
      <c r="P685" s="34"/>
      <c r="Q685" s="2"/>
      <c r="R685" s="34"/>
      <c r="S685" s="34"/>
      <c r="T685" s="34"/>
      <c r="U685" s="2"/>
      <c r="V685" s="2"/>
      <c r="W685" s="2"/>
      <c r="X685" s="34"/>
    </row>
    <row x14ac:dyDescent="0.25" r="686" customHeight="1" ht="15.75">
      <c r="A686" s="1"/>
      <c r="B686" s="34"/>
      <c r="C686" s="2"/>
      <c r="D686" s="34"/>
      <c r="E686" s="34"/>
      <c r="F686" s="34"/>
      <c r="G686" s="34"/>
      <c r="H686" s="34"/>
      <c r="I686" s="6"/>
      <c r="J686" s="2"/>
      <c r="K686" s="2"/>
      <c r="L686" s="6"/>
      <c r="M686" s="6"/>
      <c r="N686" s="6"/>
      <c r="O686" s="34"/>
      <c r="P686" s="34"/>
      <c r="Q686" s="2"/>
      <c r="R686" s="34"/>
      <c r="S686" s="34"/>
      <c r="T686" s="34"/>
      <c r="U686" s="2"/>
      <c r="V686" s="2"/>
      <c r="W686" s="2"/>
      <c r="X686" s="34"/>
    </row>
    <row x14ac:dyDescent="0.25" r="687" customHeight="1" ht="15.75">
      <c r="A687" s="1"/>
      <c r="B687" s="34"/>
      <c r="C687" s="2"/>
      <c r="D687" s="34"/>
      <c r="E687" s="34"/>
      <c r="F687" s="34"/>
      <c r="G687" s="34"/>
      <c r="H687" s="34"/>
      <c r="I687" s="6"/>
      <c r="J687" s="2"/>
      <c r="K687" s="2"/>
      <c r="L687" s="6"/>
      <c r="M687" s="6"/>
      <c r="N687" s="6"/>
      <c r="O687" s="34"/>
      <c r="P687" s="34"/>
      <c r="Q687" s="2"/>
      <c r="R687" s="34"/>
      <c r="S687" s="34"/>
      <c r="T687" s="34"/>
      <c r="U687" s="2"/>
      <c r="V687" s="2"/>
      <c r="W687" s="2"/>
      <c r="X687" s="34"/>
    </row>
    <row x14ac:dyDescent="0.25" r="688" customHeight="1" ht="15.75">
      <c r="A688" s="1"/>
      <c r="B688" s="34"/>
      <c r="C688" s="2"/>
      <c r="D688" s="34"/>
      <c r="E688" s="34"/>
      <c r="F688" s="34"/>
      <c r="G688" s="34"/>
      <c r="H688" s="34"/>
      <c r="I688" s="6"/>
      <c r="J688" s="2"/>
      <c r="K688" s="2"/>
      <c r="L688" s="6"/>
      <c r="M688" s="6"/>
      <c r="N688" s="6"/>
      <c r="O688" s="34"/>
      <c r="P688" s="34"/>
      <c r="Q688" s="2"/>
      <c r="R688" s="34"/>
      <c r="S688" s="34"/>
      <c r="T688" s="34"/>
      <c r="U688" s="2"/>
      <c r="V688" s="2"/>
      <c r="W688" s="2"/>
      <c r="X688" s="34"/>
    </row>
    <row x14ac:dyDescent="0.25" r="689" customHeight="1" ht="15.75">
      <c r="A689" s="1"/>
      <c r="B689" s="34"/>
      <c r="C689" s="2"/>
      <c r="D689" s="34"/>
      <c r="E689" s="34"/>
      <c r="F689" s="34"/>
      <c r="G689" s="34"/>
      <c r="H689" s="34"/>
      <c r="I689" s="6"/>
      <c r="J689" s="2"/>
      <c r="K689" s="2"/>
      <c r="L689" s="6"/>
      <c r="M689" s="6"/>
      <c r="N689" s="6"/>
      <c r="O689" s="34"/>
      <c r="P689" s="34"/>
      <c r="Q689" s="2"/>
      <c r="R689" s="34"/>
      <c r="S689" s="34"/>
      <c r="T689" s="34"/>
      <c r="U689" s="2"/>
      <c r="V689" s="2"/>
      <c r="W689" s="2"/>
      <c r="X689" s="34"/>
    </row>
    <row x14ac:dyDescent="0.25" r="690" customHeight="1" ht="15.75">
      <c r="A690" s="1"/>
      <c r="B690" s="34"/>
      <c r="C690" s="2"/>
      <c r="D690" s="34"/>
      <c r="E690" s="34"/>
      <c r="F690" s="34"/>
      <c r="G690" s="34"/>
      <c r="H690" s="34"/>
      <c r="I690" s="6"/>
      <c r="J690" s="2"/>
      <c r="K690" s="2"/>
      <c r="L690" s="6"/>
      <c r="M690" s="6"/>
      <c r="N690" s="6"/>
      <c r="O690" s="34"/>
      <c r="P690" s="34"/>
      <c r="Q690" s="2"/>
      <c r="R690" s="34"/>
      <c r="S690" s="34"/>
      <c r="T690" s="34"/>
      <c r="U690" s="2"/>
      <c r="V690" s="2"/>
      <c r="W690" s="2"/>
      <c r="X690" s="34"/>
    </row>
    <row x14ac:dyDescent="0.25" r="691" customHeight="1" ht="15.75">
      <c r="A691" s="1"/>
      <c r="B691" s="34"/>
      <c r="C691" s="2"/>
      <c r="D691" s="34"/>
      <c r="E691" s="34"/>
      <c r="F691" s="34"/>
      <c r="G691" s="34"/>
      <c r="H691" s="34"/>
      <c r="I691" s="6"/>
      <c r="J691" s="2"/>
      <c r="K691" s="2"/>
      <c r="L691" s="6"/>
      <c r="M691" s="6"/>
      <c r="N691" s="6"/>
      <c r="O691" s="34"/>
      <c r="P691" s="34"/>
      <c r="Q691" s="2"/>
      <c r="R691" s="34"/>
      <c r="S691" s="34"/>
      <c r="T691" s="34"/>
      <c r="U691" s="2"/>
      <c r="V691" s="2"/>
      <c r="W691" s="2"/>
      <c r="X691" s="34"/>
    </row>
    <row x14ac:dyDescent="0.25" r="692" customHeight="1" ht="15.75">
      <c r="A692" s="1"/>
      <c r="B692" s="34"/>
      <c r="C692" s="2"/>
      <c r="D692" s="34"/>
      <c r="E692" s="34"/>
      <c r="F692" s="34"/>
      <c r="G692" s="34"/>
      <c r="H692" s="34"/>
      <c r="I692" s="6"/>
      <c r="J692" s="2"/>
      <c r="K692" s="2"/>
      <c r="L692" s="6"/>
      <c r="M692" s="6"/>
      <c r="N692" s="6"/>
      <c r="O692" s="34"/>
      <c r="P692" s="34"/>
      <c r="Q692" s="2"/>
      <c r="R692" s="34"/>
      <c r="S692" s="34"/>
      <c r="T692" s="34"/>
      <c r="U692" s="2"/>
      <c r="V692" s="2"/>
      <c r="W692" s="2"/>
      <c r="X692" s="34"/>
    </row>
    <row x14ac:dyDescent="0.25" r="693" customHeight="1" ht="15.75">
      <c r="A693" s="1"/>
      <c r="B693" s="34"/>
      <c r="C693" s="2"/>
      <c r="D693" s="34"/>
      <c r="E693" s="34"/>
      <c r="F693" s="34"/>
      <c r="G693" s="34"/>
      <c r="H693" s="34"/>
      <c r="I693" s="6"/>
      <c r="J693" s="2"/>
      <c r="K693" s="2"/>
      <c r="L693" s="6"/>
      <c r="M693" s="6"/>
      <c r="N693" s="6"/>
      <c r="O693" s="34"/>
      <c r="P693" s="34"/>
      <c r="Q693" s="2"/>
      <c r="R693" s="34"/>
      <c r="S693" s="34"/>
      <c r="T693" s="34"/>
      <c r="U693" s="2"/>
      <c r="V693" s="2"/>
      <c r="W693" s="2"/>
      <c r="X693" s="34"/>
    </row>
    <row x14ac:dyDescent="0.25" r="694" customHeight="1" ht="15.75">
      <c r="A694" s="1"/>
      <c r="B694" s="34"/>
      <c r="C694" s="2"/>
      <c r="D694" s="34"/>
      <c r="E694" s="34"/>
      <c r="F694" s="34"/>
      <c r="G694" s="34"/>
      <c r="H694" s="34"/>
      <c r="I694" s="6"/>
      <c r="J694" s="2"/>
      <c r="K694" s="2"/>
      <c r="L694" s="6"/>
      <c r="M694" s="6"/>
      <c r="N694" s="6"/>
      <c r="O694" s="34"/>
      <c r="P694" s="34"/>
      <c r="Q694" s="2"/>
      <c r="R694" s="34"/>
      <c r="S694" s="34"/>
      <c r="T694" s="34"/>
      <c r="U694" s="2"/>
      <c r="V694" s="2"/>
      <c r="W694" s="2"/>
      <c r="X694" s="34"/>
    </row>
    <row x14ac:dyDescent="0.25" r="695" customHeight="1" ht="15.75">
      <c r="A695" s="1"/>
      <c r="B695" s="34"/>
      <c r="C695" s="2"/>
      <c r="D695" s="34"/>
      <c r="E695" s="34"/>
      <c r="F695" s="34"/>
      <c r="G695" s="34"/>
      <c r="H695" s="34"/>
      <c r="I695" s="6"/>
      <c r="J695" s="2"/>
      <c r="K695" s="2"/>
      <c r="L695" s="6"/>
      <c r="M695" s="6"/>
      <c r="N695" s="6"/>
      <c r="O695" s="34"/>
      <c r="P695" s="34"/>
      <c r="Q695" s="2"/>
      <c r="R695" s="34"/>
      <c r="S695" s="34"/>
      <c r="T695" s="34"/>
      <c r="U695" s="2"/>
      <c r="V695" s="2"/>
      <c r="W695" s="2"/>
      <c r="X695" s="34"/>
    </row>
    <row x14ac:dyDescent="0.25" r="696" customHeight="1" ht="15.75">
      <c r="A696" s="1"/>
      <c r="B696" s="34"/>
      <c r="C696" s="2"/>
      <c r="D696" s="34"/>
      <c r="E696" s="34"/>
      <c r="F696" s="34"/>
      <c r="G696" s="34"/>
      <c r="H696" s="34"/>
      <c r="I696" s="6"/>
      <c r="J696" s="2"/>
      <c r="K696" s="2"/>
      <c r="L696" s="6"/>
      <c r="M696" s="6"/>
      <c r="N696" s="6"/>
      <c r="O696" s="34"/>
      <c r="P696" s="34"/>
      <c r="Q696" s="2"/>
      <c r="R696" s="34"/>
      <c r="S696" s="34"/>
      <c r="T696" s="34"/>
      <c r="U696" s="2"/>
      <c r="V696" s="2"/>
      <c r="W696" s="2"/>
      <c r="X696" s="34"/>
    </row>
    <row x14ac:dyDescent="0.25" r="697" customHeight="1" ht="15.75">
      <c r="A697" s="1"/>
      <c r="B697" s="34"/>
      <c r="C697" s="2"/>
      <c r="D697" s="34"/>
      <c r="E697" s="34"/>
      <c r="F697" s="34"/>
      <c r="G697" s="34"/>
      <c r="H697" s="34"/>
      <c r="I697" s="6"/>
      <c r="J697" s="2"/>
      <c r="K697" s="2"/>
      <c r="L697" s="6"/>
      <c r="M697" s="6"/>
      <c r="N697" s="6"/>
      <c r="O697" s="34"/>
      <c r="P697" s="34"/>
      <c r="Q697" s="2"/>
      <c r="R697" s="34"/>
      <c r="S697" s="34"/>
      <c r="T697" s="34"/>
      <c r="U697" s="2"/>
      <c r="V697" s="2"/>
      <c r="W697" s="2"/>
      <c r="X697" s="34"/>
    </row>
    <row x14ac:dyDescent="0.25" r="698" customHeight="1" ht="15.75">
      <c r="A698" s="1"/>
      <c r="B698" s="34"/>
      <c r="C698" s="2"/>
      <c r="D698" s="34"/>
      <c r="E698" s="34"/>
      <c r="F698" s="34"/>
      <c r="G698" s="34"/>
      <c r="H698" s="34"/>
      <c r="I698" s="6"/>
      <c r="J698" s="2"/>
      <c r="K698" s="2"/>
      <c r="L698" s="6"/>
      <c r="M698" s="6"/>
      <c r="N698" s="6"/>
      <c r="O698" s="34"/>
      <c r="P698" s="34"/>
      <c r="Q698" s="2"/>
      <c r="R698" s="34"/>
      <c r="S698" s="34"/>
      <c r="T698" s="34"/>
      <c r="U698" s="2"/>
      <c r="V698" s="2"/>
      <c r="W698" s="2"/>
      <c r="X698" s="34"/>
    </row>
    <row x14ac:dyDescent="0.25" r="699" customHeight="1" ht="15.75">
      <c r="A699" s="1"/>
      <c r="B699" s="34"/>
      <c r="C699" s="2"/>
      <c r="D699" s="34"/>
      <c r="E699" s="34"/>
      <c r="F699" s="34"/>
      <c r="G699" s="34"/>
      <c r="H699" s="34"/>
      <c r="I699" s="6"/>
      <c r="J699" s="2"/>
      <c r="K699" s="2"/>
      <c r="L699" s="6"/>
      <c r="M699" s="6"/>
      <c r="N699" s="6"/>
      <c r="O699" s="34"/>
      <c r="P699" s="34"/>
      <c r="Q699" s="2"/>
      <c r="R699" s="34"/>
      <c r="S699" s="34"/>
      <c r="T699" s="34"/>
      <c r="U699" s="2"/>
      <c r="V699" s="2"/>
      <c r="W699" s="2"/>
      <c r="X699" s="34"/>
    </row>
    <row x14ac:dyDescent="0.25" r="700" customHeight="1" ht="15.75">
      <c r="A700" s="1"/>
      <c r="B700" s="34"/>
      <c r="C700" s="2"/>
      <c r="D700" s="34"/>
      <c r="E700" s="34"/>
      <c r="F700" s="34"/>
      <c r="G700" s="34"/>
      <c r="H700" s="34"/>
      <c r="I700" s="6"/>
      <c r="J700" s="2"/>
      <c r="K700" s="2"/>
      <c r="L700" s="6"/>
      <c r="M700" s="6"/>
      <c r="N700" s="6"/>
      <c r="O700" s="34"/>
      <c r="P700" s="34"/>
      <c r="Q700" s="2"/>
      <c r="R700" s="34"/>
      <c r="S700" s="34"/>
      <c r="T700" s="34"/>
      <c r="U700" s="2"/>
      <c r="V700" s="2"/>
      <c r="W700" s="2"/>
      <c r="X700" s="34"/>
    </row>
    <row x14ac:dyDescent="0.25" r="701" customHeight="1" ht="15.75">
      <c r="A701" s="1"/>
      <c r="B701" s="34"/>
      <c r="C701" s="2"/>
      <c r="D701" s="34"/>
      <c r="E701" s="34"/>
      <c r="F701" s="34"/>
      <c r="G701" s="34"/>
      <c r="H701" s="34"/>
      <c r="I701" s="6"/>
      <c r="J701" s="2"/>
      <c r="K701" s="2"/>
      <c r="L701" s="6"/>
      <c r="M701" s="6"/>
      <c r="N701" s="6"/>
      <c r="O701" s="34"/>
      <c r="P701" s="34"/>
      <c r="Q701" s="2"/>
      <c r="R701" s="34"/>
      <c r="S701" s="34"/>
      <c r="T701" s="34"/>
      <c r="U701" s="2"/>
      <c r="V701" s="2"/>
      <c r="W701" s="2"/>
      <c r="X701" s="34"/>
    </row>
    <row x14ac:dyDescent="0.25" r="702" customHeight="1" ht="15.75">
      <c r="A702" s="1"/>
      <c r="B702" s="34"/>
      <c r="C702" s="2"/>
      <c r="D702" s="34"/>
      <c r="E702" s="34"/>
      <c r="F702" s="34"/>
      <c r="G702" s="34"/>
      <c r="H702" s="34"/>
      <c r="I702" s="6"/>
      <c r="J702" s="2"/>
      <c r="K702" s="2"/>
      <c r="L702" s="6"/>
      <c r="M702" s="6"/>
      <c r="N702" s="6"/>
      <c r="O702" s="34"/>
      <c r="P702" s="34"/>
      <c r="Q702" s="2"/>
      <c r="R702" s="34"/>
      <c r="S702" s="34"/>
      <c r="T702" s="34"/>
      <c r="U702" s="2"/>
      <c r="V702" s="2"/>
      <c r="W702" s="2"/>
      <c r="X702" s="34"/>
    </row>
    <row x14ac:dyDescent="0.25" r="703" customHeight="1" ht="15.75">
      <c r="A703" s="1"/>
      <c r="B703" s="34"/>
      <c r="C703" s="2"/>
      <c r="D703" s="34"/>
      <c r="E703" s="34"/>
      <c r="F703" s="34"/>
      <c r="G703" s="34"/>
      <c r="H703" s="34"/>
      <c r="I703" s="6"/>
      <c r="J703" s="2"/>
      <c r="K703" s="2"/>
      <c r="L703" s="6"/>
      <c r="M703" s="6"/>
      <c r="N703" s="6"/>
      <c r="O703" s="34"/>
      <c r="P703" s="34"/>
      <c r="Q703" s="2"/>
      <c r="R703" s="34"/>
      <c r="S703" s="34"/>
      <c r="T703" s="34"/>
      <c r="U703" s="2"/>
      <c r="V703" s="2"/>
      <c r="W703" s="2"/>
      <c r="X703" s="34"/>
    </row>
    <row x14ac:dyDescent="0.25" r="704" customHeight="1" ht="15.75">
      <c r="A704" s="1"/>
      <c r="B704" s="34"/>
      <c r="C704" s="2"/>
      <c r="D704" s="34"/>
      <c r="E704" s="34"/>
      <c r="F704" s="34"/>
      <c r="G704" s="34"/>
      <c r="H704" s="34"/>
      <c r="I704" s="6"/>
      <c r="J704" s="2"/>
      <c r="K704" s="2"/>
      <c r="L704" s="6"/>
      <c r="M704" s="6"/>
      <c r="N704" s="6"/>
      <c r="O704" s="34"/>
      <c r="P704" s="34"/>
      <c r="Q704" s="2"/>
      <c r="R704" s="34"/>
      <c r="S704" s="34"/>
      <c r="T704" s="34"/>
      <c r="U704" s="2"/>
      <c r="V704" s="2"/>
      <c r="W704" s="2"/>
      <c r="X704" s="34"/>
    </row>
    <row x14ac:dyDescent="0.25" r="705" customHeight="1" ht="15.75">
      <c r="A705" s="1"/>
      <c r="B705" s="34"/>
      <c r="C705" s="2"/>
      <c r="D705" s="34"/>
      <c r="E705" s="34"/>
      <c r="F705" s="34"/>
      <c r="G705" s="34"/>
      <c r="H705" s="34"/>
      <c r="I705" s="6"/>
      <c r="J705" s="2"/>
      <c r="K705" s="2"/>
      <c r="L705" s="6"/>
      <c r="M705" s="6"/>
      <c r="N705" s="6"/>
      <c r="O705" s="34"/>
      <c r="P705" s="34"/>
      <c r="Q705" s="2"/>
      <c r="R705" s="34"/>
      <c r="S705" s="34"/>
      <c r="T705" s="34"/>
      <c r="U705" s="2"/>
      <c r="V705" s="2"/>
      <c r="W705" s="2"/>
      <c r="X705" s="34"/>
    </row>
    <row x14ac:dyDescent="0.25" r="706" customHeight="1" ht="15.75">
      <c r="A706" s="1"/>
      <c r="B706" s="34"/>
      <c r="C706" s="2"/>
      <c r="D706" s="34"/>
      <c r="E706" s="34"/>
      <c r="F706" s="34"/>
      <c r="G706" s="34"/>
      <c r="H706" s="34"/>
      <c r="I706" s="6"/>
      <c r="J706" s="2"/>
      <c r="K706" s="2"/>
      <c r="L706" s="6"/>
      <c r="M706" s="6"/>
      <c r="N706" s="6"/>
      <c r="O706" s="34"/>
      <c r="P706" s="34"/>
      <c r="Q706" s="2"/>
      <c r="R706" s="34"/>
      <c r="S706" s="34"/>
      <c r="T706" s="34"/>
      <c r="U706" s="2"/>
      <c r="V706" s="2"/>
      <c r="W706" s="2"/>
      <c r="X706" s="34"/>
    </row>
    <row x14ac:dyDescent="0.25" r="707" customHeight="1" ht="15.75">
      <c r="A707" s="1"/>
      <c r="B707" s="34"/>
      <c r="C707" s="2"/>
      <c r="D707" s="34"/>
      <c r="E707" s="34"/>
      <c r="F707" s="34"/>
      <c r="G707" s="34"/>
      <c r="H707" s="34"/>
      <c r="I707" s="6"/>
      <c r="J707" s="2"/>
      <c r="K707" s="2"/>
      <c r="L707" s="6"/>
      <c r="M707" s="6"/>
      <c r="N707" s="6"/>
      <c r="O707" s="34"/>
      <c r="P707" s="34"/>
      <c r="Q707" s="2"/>
      <c r="R707" s="34"/>
      <c r="S707" s="34"/>
      <c r="T707" s="34"/>
      <c r="U707" s="2"/>
      <c r="V707" s="2"/>
      <c r="W707" s="2"/>
      <c r="X707" s="34"/>
    </row>
    <row x14ac:dyDescent="0.25" r="708" customHeight="1" ht="15.75">
      <c r="A708" s="1"/>
      <c r="B708" s="34"/>
      <c r="C708" s="2"/>
      <c r="D708" s="34"/>
      <c r="E708" s="34"/>
      <c r="F708" s="34"/>
      <c r="G708" s="34"/>
      <c r="H708" s="34"/>
      <c r="I708" s="6"/>
      <c r="J708" s="2"/>
      <c r="K708" s="2"/>
      <c r="L708" s="6"/>
      <c r="M708" s="6"/>
      <c r="N708" s="6"/>
      <c r="O708" s="34"/>
      <c r="P708" s="34"/>
      <c r="Q708" s="2"/>
      <c r="R708" s="34"/>
      <c r="S708" s="34"/>
      <c r="T708" s="34"/>
      <c r="U708" s="2"/>
      <c r="V708" s="2"/>
      <c r="W708" s="2"/>
      <c r="X708" s="34"/>
    </row>
    <row x14ac:dyDescent="0.25" r="709" customHeight="1" ht="15.75">
      <c r="A709" s="1"/>
      <c r="B709" s="34"/>
      <c r="C709" s="2"/>
      <c r="D709" s="34"/>
      <c r="E709" s="34"/>
      <c r="F709" s="34"/>
      <c r="G709" s="34"/>
      <c r="H709" s="34"/>
      <c r="I709" s="6"/>
      <c r="J709" s="2"/>
      <c r="K709" s="2"/>
      <c r="L709" s="6"/>
      <c r="M709" s="6"/>
      <c r="N709" s="6"/>
      <c r="O709" s="34"/>
      <c r="P709" s="34"/>
      <c r="Q709" s="2"/>
      <c r="R709" s="34"/>
      <c r="S709" s="34"/>
      <c r="T709" s="34"/>
      <c r="U709" s="2"/>
      <c r="V709" s="2"/>
      <c r="W709" s="2"/>
      <c r="X709" s="34"/>
    </row>
    <row x14ac:dyDescent="0.25" r="710" customHeight="1" ht="15.75">
      <c r="A710" s="1"/>
      <c r="B710" s="34"/>
      <c r="C710" s="2"/>
      <c r="D710" s="34"/>
      <c r="E710" s="34"/>
      <c r="F710" s="34"/>
      <c r="G710" s="34"/>
      <c r="H710" s="34"/>
      <c r="I710" s="6"/>
      <c r="J710" s="2"/>
      <c r="K710" s="2"/>
      <c r="L710" s="6"/>
      <c r="M710" s="6"/>
      <c r="N710" s="6"/>
      <c r="O710" s="34"/>
      <c r="P710" s="34"/>
      <c r="Q710" s="2"/>
      <c r="R710" s="34"/>
      <c r="S710" s="34"/>
      <c r="T710" s="34"/>
      <c r="U710" s="2"/>
      <c r="V710" s="2"/>
      <c r="W710" s="2"/>
      <c r="X710" s="34"/>
    </row>
    <row x14ac:dyDescent="0.25" r="711" customHeight="1" ht="15.75">
      <c r="A711" s="1"/>
      <c r="B711" s="34"/>
      <c r="C711" s="2"/>
      <c r="D711" s="34"/>
      <c r="E711" s="34"/>
      <c r="F711" s="34"/>
      <c r="G711" s="34"/>
      <c r="H711" s="34"/>
      <c r="I711" s="6"/>
      <c r="J711" s="2"/>
      <c r="K711" s="2"/>
      <c r="L711" s="6"/>
      <c r="M711" s="6"/>
      <c r="N711" s="6"/>
      <c r="O711" s="34"/>
      <c r="P711" s="34"/>
      <c r="Q711" s="2"/>
      <c r="R711" s="34"/>
      <c r="S711" s="34"/>
      <c r="T711" s="34"/>
      <c r="U711" s="2"/>
      <c r="V711" s="2"/>
      <c r="W711" s="2"/>
      <c r="X711" s="34"/>
    </row>
    <row x14ac:dyDescent="0.25" r="712" customHeight="1" ht="15.75">
      <c r="A712" s="1"/>
      <c r="B712" s="34"/>
      <c r="C712" s="2"/>
      <c r="D712" s="34"/>
      <c r="E712" s="34"/>
      <c r="F712" s="34"/>
      <c r="G712" s="34"/>
      <c r="H712" s="34"/>
      <c r="I712" s="6"/>
      <c r="J712" s="2"/>
      <c r="K712" s="2"/>
      <c r="L712" s="6"/>
      <c r="M712" s="6"/>
      <c r="N712" s="6"/>
      <c r="O712" s="34"/>
      <c r="P712" s="34"/>
      <c r="Q712" s="2"/>
      <c r="R712" s="34"/>
      <c r="S712" s="34"/>
      <c r="T712" s="34"/>
      <c r="U712" s="2"/>
      <c r="V712" s="2"/>
      <c r="W712" s="2"/>
      <c r="X712" s="34"/>
    </row>
    <row x14ac:dyDescent="0.25" r="713" customHeight="1" ht="15.75">
      <c r="A713" s="1"/>
      <c r="B713" s="34"/>
      <c r="C713" s="2"/>
      <c r="D713" s="34"/>
      <c r="E713" s="34"/>
      <c r="F713" s="34"/>
      <c r="G713" s="34"/>
      <c r="H713" s="34"/>
      <c r="I713" s="6"/>
      <c r="J713" s="2"/>
      <c r="K713" s="2"/>
      <c r="L713" s="6"/>
      <c r="M713" s="6"/>
      <c r="N713" s="6"/>
      <c r="O713" s="34"/>
      <c r="P713" s="34"/>
      <c r="Q713" s="2"/>
      <c r="R713" s="34"/>
      <c r="S713" s="34"/>
      <c r="T713" s="34"/>
      <c r="U713" s="2"/>
      <c r="V713" s="2"/>
      <c r="W713" s="2"/>
      <c r="X713" s="34"/>
    </row>
    <row x14ac:dyDescent="0.25" r="714" customHeight="1" ht="15.75">
      <c r="A714" s="1"/>
      <c r="B714" s="34"/>
      <c r="C714" s="2"/>
      <c r="D714" s="34"/>
      <c r="E714" s="34"/>
      <c r="F714" s="34"/>
      <c r="G714" s="34"/>
      <c r="H714" s="34"/>
      <c r="I714" s="6"/>
      <c r="J714" s="2"/>
      <c r="K714" s="2"/>
      <c r="L714" s="6"/>
      <c r="M714" s="6"/>
      <c r="N714" s="6"/>
      <c r="O714" s="34"/>
      <c r="P714" s="34"/>
      <c r="Q714" s="2"/>
      <c r="R714" s="34"/>
      <c r="S714" s="34"/>
      <c r="T714" s="34"/>
      <c r="U714" s="2"/>
      <c r="V714" s="2"/>
      <c r="W714" s="2"/>
      <c r="X714" s="34"/>
    </row>
    <row x14ac:dyDescent="0.25" r="715" customHeight="1" ht="15.75">
      <c r="A715" s="1"/>
      <c r="B715" s="34"/>
      <c r="C715" s="2"/>
      <c r="D715" s="34"/>
      <c r="E715" s="34"/>
      <c r="F715" s="34"/>
      <c r="G715" s="34"/>
      <c r="H715" s="34"/>
      <c r="I715" s="6"/>
      <c r="J715" s="2"/>
      <c r="K715" s="2"/>
      <c r="L715" s="6"/>
      <c r="M715" s="6"/>
      <c r="N715" s="6"/>
      <c r="O715" s="34"/>
      <c r="P715" s="34"/>
      <c r="Q715" s="2"/>
      <c r="R715" s="34"/>
      <c r="S715" s="34"/>
      <c r="T715" s="34"/>
      <c r="U715" s="2"/>
      <c r="V715" s="2"/>
      <c r="W715" s="2"/>
      <c r="X715" s="34"/>
    </row>
    <row x14ac:dyDescent="0.25" r="716" customHeight="1" ht="15.75">
      <c r="A716" s="1"/>
      <c r="B716" s="34"/>
      <c r="C716" s="2"/>
      <c r="D716" s="34"/>
      <c r="E716" s="34"/>
      <c r="F716" s="34"/>
      <c r="G716" s="34"/>
      <c r="H716" s="34"/>
      <c r="I716" s="6"/>
      <c r="J716" s="2"/>
      <c r="K716" s="2"/>
      <c r="L716" s="6"/>
      <c r="M716" s="6"/>
      <c r="N716" s="6"/>
      <c r="O716" s="34"/>
      <c r="P716" s="34"/>
      <c r="Q716" s="2"/>
      <c r="R716" s="34"/>
      <c r="S716" s="34"/>
      <c r="T716" s="34"/>
      <c r="U716" s="2"/>
      <c r="V716" s="2"/>
      <c r="W716" s="2"/>
      <c r="X716" s="34"/>
    </row>
    <row x14ac:dyDescent="0.25" r="717" customHeight="1" ht="15.75">
      <c r="A717" s="1"/>
      <c r="B717" s="34"/>
      <c r="C717" s="2"/>
      <c r="D717" s="34"/>
      <c r="E717" s="34"/>
      <c r="F717" s="34"/>
      <c r="G717" s="34"/>
      <c r="H717" s="34"/>
      <c r="I717" s="6"/>
      <c r="J717" s="2"/>
      <c r="K717" s="2"/>
      <c r="L717" s="6"/>
      <c r="M717" s="6"/>
      <c r="N717" s="6"/>
      <c r="O717" s="34"/>
      <c r="P717" s="34"/>
      <c r="Q717" s="2"/>
      <c r="R717" s="34"/>
      <c r="S717" s="34"/>
      <c r="T717" s="34"/>
      <c r="U717" s="2"/>
      <c r="V717" s="2"/>
      <c r="W717" s="2"/>
      <c r="X717" s="34"/>
    </row>
    <row x14ac:dyDescent="0.25" r="718" customHeight="1" ht="15.75">
      <c r="A718" s="1"/>
      <c r="B718" s="34"/>
      <c r="C718" s="2"/>
      <c r="D718" s="34"/>
      <c r="E718" s="34"/>
      <c r="F718" s="34"/>
      <c r="G718" s="34"/>
      <c r="H718" s="34"/>
      <c r="I718" s="6"/>
      <c r="J718" s="2"/>
      <c r="K718" s="2"/>
      <c r="L718" s="6"/>
      <c r="M718" s="6"/>
      <c r="N718" s="6"/>
      <c r="O718" s="34"/>
      <c r="P718" s="34"/>
      <c r="Q718" s="2"/>
      <c r="R718" s="34"/>
      <c r="S718" s="34"/>
      <c r="T718" s="34"/>
      <c r="U718" s="2"/>
      <c r="V718" s="2"/>
      <c r="W718" s="2"/>
      <c r="X718" s="34"/>
    </row>
    <row x14ac:dyDescent="0.25" r="719" customHeight="1" ht="15.75">
      <c r="A719" s="1"/>
      <c r="B719" s="34"/>
      <c r="C719" s="2"/>
      <c r="D719" s="34"/>
      <c r="E719" s="34"/>
      <c r="F719" s="34"/>
      <c r="G719" s="34"/>
      <c r="H719" s="34"/>
      <c r="I719" s="6"/>
      <c r="J719" s="2"/>
      <c r="K719" s="2"/>
      <c r="L719" s="6"/>
      <c r="M719" s="6"/>
      <c r="N719" s="6"/>
      <c r="O719" s="34"/>
      <c r="P719" s="34"/>
      <c r="Q719" s="2"/>
      <c r="R719" s="34"/>
      <c r="S719" s="34"/>
      <c r="T719" s="34"/>
      <c r="U719" s="2"/>
      <c r="V719" s="2"/>
      <c r="W719" s="2"/>
      <c r="X719" s="34"/>
    </row>
    <row x14ac:dyDescent="0.25" r="720" customHeight="1" ht="15.75">
      <c r="A720" s="1"/>
      <c r="B720" s="34"/>
      <c r="C720" s="2"/>
      <c r="D720" s="34"/>
      <c r="E720" s="34"/>
      <c r="F720" s="34"/>
      <c r="G720" s="34"/>
      <c r="H720" s="34"/>
      <c r="I720" s="6"/>
      <c r="J720" s="2"/>
      <c r="K720" s="2"/>
      <c r="L720" s="6"/>
      <c r="M720" s="6"/>
      <c r="N720" s="6"/>
      <c r="O720" s="34"/>
      <c r="P720" s="34"/>
      <c r="Q720" s="2"/>
      <c r="R720" s="34"/>
      <c r="S720" s="34"/>
      <c r="T720" s="34"/>
      <c r="U720" s="2"/>
      <c r="V720" s="2"/>
      <c r="W720" s="2"/>
      <c r="X720" s="34"/>
    </row>
    <row x14ac:dyDescent="0.25" r="721" customHeight="1" ht="15.75">
      <c r="A721" s="1"/>
      <c r="B721" s="34"/>
      <c r="C721" s="2"/>
      <c r="D721" s="34"/>
      <c r="E721" s="34"/>
      <c r="F721" s="34"/>
      <c r="G721" s="34"/>
      <c r="H721" s="34"/>
      <c r="I721" s="6"/>
      <c r="J721" s="2"/>
      <c r="K721" s="2"/>
      <c r="L721" s="6"/>
      <c r="M721" s="6"/>
      <c r="N721" s="6"/>
      <c r="O721" s="34"/>
      <c r="P721" s="34"/>
      <c r="Q721" s="2"/>
      <c r="R721" s="34"/>
      <c r="S721" s="34"/>
      <c r="T721" s="34"/>
      <c r="U721" s="2"/>
      <c r="V721" s="2"/>
      <c r="W721" s="2"/>
      <c r="X721" s="34"/>
    </row>
    <row x14ac:dyDescent="0.25" r="722" customHeight="1" ht="15.75">
      <c r="A722" s="1"/>
      <c r="B722" s="34"/>
      <c r="C722" s="2"/>
      <c r="D722" s="34"/>
      <c r="E722" s="34"/>
      <c r="F722" s="34"/>
      <c r="G722" s="34"/>
      <c r="H722" s="34"/>
      <c r="I722" s="6"/>
      <c r="J722" s="2"/>
      <c r="K722" s="2"/>
      <c r="L722" s="6"/>
      <c r="M722" s="6"/>
      <c r="N722" s="6"/>
      <c r="O722" s="34"/>
      <c r="P722" s="34"/>
      <c r="Q722" s="2"/>
      <c r="R722" s="34"/>
      <c r="S722" s="34"/>
      <c r="T722" s="34"/>
      <c r="U722" s="2"/>
      <c r="V722" s="2"/>
      <c r="W722" s="2"/>
      <c r="X722" s="34"/>
    </row>
    <row x14ac:dyDescent="0.25" r="723" customHeight="1" ht="15.75">
      <c r="A723" s="1"/>
      <c r="B723" s="34"/>
      <c r="C723" s="2"/>
      <c r="D723" s="34"/>
      <c r="E723" s="34"/>
      <c r="F723" s="34"/>
      <c r="G723" s="34"/>
      <c r="H723" s="34"/>
      <c r="I723" s="6"/>
      <c r="J723" s="2"/>
      <c r="K723" s="2"/>
      <c r="L723" s="6"/>
      <c r="M723" s="6"/>
      <c r="N723" s="6"/>
      <c r="O723" s="34"/>
      <c r="P723" s="34"/>
      <c r="Q723" s="2"/>
      <c r="R723" s="34"/>
      <c r="S723" s="34"/>
      <c r="T723" s="34"/>
      <c r="U723" s="2"/>
      <c r="V723" s="2"/>
      <c r="W723" s="2"/>
      <c r="X723" s="34"/>
    </row>
    <row x14ac:dyDescent="0.25" r="724" customHeight="1" ht="15.75">
      <c r="A724" s="1"/>
      <c r="B724" s="34"/>
      <c r="C724" s="2"/>
      <c r="D724" s="34"/>
      <c r="E724" s="34"/>
      <c r="F724" s="34"/>
      <c r="G724" s="34"/>
      <c r="H724" s="34"/>
      <c r="I724" s="6"/>
      <c r="J724" s="2"/>
      <c r="K724" s="2"/>
      <c r="L724" s="6"/>
      <c r="M724" s="6"/>
      <c r="N724" s="6"/>
      <c r="O724" s="34"/>
      <c r="P724" s="34"/>
      <c r="Q724" s="2"/>
      <c r="R724" s="34"/>
      <c r="S724" s="34"/>
      <c r="T724" s="34"/>
      <c r="U724" s="2"/>
      <c r="V724" s="2"/>
      <c r="W724" s="2"/>
      <c r="X724" s="34"/>
    </row>
    <row x14ac:dyDescent="0.25" r="725" customHeight="1" ht="15.75">
      <c r="A725" s="1"/>
      <c r="B725" s="34"/>
      <c r="C725" s="2"/>
      <c r="D725" s="34"/>
      <c r="E725" s="34"/>
      <c r="F725" s="34"/>
      <c r="G725" s="34"/>
      <c r="H725" s="34"/>
      <c r="I725" s="6"/>
      <c r="J725" s="2"/>
      <c r="K725" s="2"/>
      <c r="L725" s="6"/>
      <c r="M725" s="6"/>
      <c r="N725" s="6"/>
      <c r="O725" s="34"/>
      <c r="P725" s="34"/>
      <c r="Q725" s="2"/>
      <c r="R725" s="34"/>
      <c r="S725" s="34"/>
      <c r="T725" s="34"/>
      <c r="U725" s="2"/>
      <c r="V725" s="2"/>
      <c r="W725" s="2"/>
      <c r="X725" s="34"/>
    </row>
    <row x14ac:dyDescent="0.25" r="726" customHeight="1" ht="15.75">
      <c r="A726" s="1"/>
      <c r="B726" s="34"/>
      <c r="C726" s="2"/>
      <c r="D726" s="34"/>
      <c r="E726" s="34"/>
      <c r="F726" s="34"/>
      <c r="G726" s="34"/>
      <c r="H726" s="34"/>
      <c r="I726" s="6"/>
      <c r="J726" s="2"/>
      <c r="K726" s="2"/>
      <c r="L726" s="6"/>
      <c r="M726" s="6"/>
      <c r="N726" s="6"/>
      <c r="O726" s="34"/>
      <c r="P726" s="34"/>
      <c r="Q726" s="2"/>
      <c r="R726" s="34"/>
      <c r="S726" s="34"/>
      <c r="T726" s="34"/>
      <c r="U726" s="2"/>
      <c r="V726" s="2"/>
      <c r="W726" s="2"/>
      <c r="X726" s="34"/>
    </row>
    <row x14ac:dyDescent="0.25" r="727" customHeight="1" ht="15.75">
      <c r="A727" s="1"/>
      <c r="B727" s="34"/>
      <c r="C727" s="2"/>
      <c r="D727" s="34"/>
      <c r="E727" s="34"/>
      <c r="F727" s="34"/>
      <c r="G727" s="34"/>
      <c r="H727" s="34"/>
      <c r="I727" s="6"/>
      <c r="J727" s="2"/>
      <c r="K727" s="2"/>
      <c r="L727" s="6"/>
      <c r="M727" s="6"/>
      <c r="N727" s="6"/>
      <c r="O727" s="34"/>
      <c r="P727" s="34"/>
      <c r="Q727" s="2"/>
      <c r="R727" s="34"/>
      <c r="S727" s="34"/>
      <c r="T727" s="34"/>
      <c r="U727" s="2"/>
      <c r="V727" s="2"/>
      <c r="W727" s="2"/>
      <c r="X727" s="34"/>
    </row>
    <row x14ac:dyDescent="0.25" r="728" customHeight="1" ht="15.75">
      <c r="A728" s="1"/>
      <c r="B728" s="34"/>
      <c r="C728" s="2"/>
      <c r="D728" s="34"/>
      <c r="E728" s="34"/>
      <c r="F728" s="34"/>
      <c r="G728" s="34"/>
      <c r="H728" s="34"/>
      <c r="I728" s="6"/>
      <c r="J728" s="2"/>
      <c r="K728" s="2"/>
      <c r="L728" s="6"/>
      <c r="M728" s="6"/>
      <c r="N728" s="6"/>
      <c r="O728" s="34"/>
      <c r="P728" s="34"/>
      <c r="Q728" s="2"/>
      <c r="R728" s="34"/>
      <c r="S728" s="34"/>
      <c r="T728" s="34"/>
      <c r="U728" s="2"/>
      <c r="V728" s="2"/>
      <c r="W728" s="2"/>
      <c r="X728" s="34"/>
    </row>
    <row x14ac:dyDescent="0.25" r="729" customHeight="1" ht="15.75">
      <c r="A729" s="1"/>
      <c r="B729" s="34"/>
      <c r="C729" s="2"/>
      <c r="D729" s="34"/>
      <c r="E729" s="34"/>
      <c r="F729" s="34"/>
      <c r="G729" s="34"/>
      <c r="H729" s="34"/>
      <c r="I729" s="6"/>
      <c r="J729" s="2"/>
      <c r="K729" s="2"/>
      <c r="L729" s="6"/>
      <c r="M729" s="6"/>
      <c r="N729" s="6"/>
      <c r="O729" s="34"/>
      <c r="P729" s="34"/>
      <c r="Q729" s="2"/>
      <c r="R729" s="34"/>
      <c r="S729" s="34"/>
      <c r="T729" s="34"/>
      <c r="U729" s="2"/>
      <c r="V729" s="2"/>
      <c r="W729" s="2"/>
      <c r="X729" s="34"/>
    </row>
    <row x14ac:dyDescent="0.25" r="730" customHeight="1" ht="15.75">
      <c r="A730" s="1"/>
      <c r="B730" s="34"/>
      <c r="C730" s="2"/>
      <c r="D730" s="34"/>
      <c r="E730" s="34"/>
      <c r="F730" s="34"/>
      <c r="G730" s="34"/>
      <c r="H730" s="34"/>
      <c r="I730" s="6"/>
      <c r="J730" s="2"/>
      <c r="K730" s="2"/>
      <c r="L730" s="6"/>
      <c r="M730" s="6"/>
      <c r="N730" s="6"/>
      <c r="O730" s="34"/>
      <c r="P730" s="34"/>
      <c r="Q730" s="2"/>
      <c r="R730" s="34"/>
      <c r="S730" s="34"/>
      <c r="T730" s="34"/>
      <c r="U730" s="2"/>
      <c r="V730" s="2"/>
      <c r="W730" s="2"/>
      <c r="X730" s="34"/>
    </row>
    <row x14ac:dyDescent="0.25" r="731" customHeight="1" ht="15.75">
      <c r="A731" s="1"/>
      <c r="B731" s="34"/>
      <c r="C731" s="2"/>
      <c r="D731" s="34"/>
      <c r="E731" s="34"/>
      <c r="F731" s="34"/>
      <c r="G731" s="34"/>
      <c r="H731" s="34"/>
      <c r="I731" s="6"/>
      <c r="J731" s="2"/>
      <c r="K731" s="2"/>
      <c r="L731" s="6"/>
      <c r="M731" s="6"/>
      <c r="N731" s="6"/>
      <c r="O731" s="34"/>
      <c r="P731" s="34"/>
      <c r="Q731" s="2"/>
      <c r="R731" s="34"/>
      <c r="S731" s="34"/>
      <c r="T731" s="34"/>
      <c r="U731" s="2"/>
      <c r="V731" s="2"/>
      <c r="W731" s="2"/>
      <c r="X731" s="34"/>
    </row>
    <row x14ac:dyDescent="0.25" r="732" customHeight="1" ht="15.75">
      <c r="A732" s="1"/>
      <c r="B732" s="34"/>
      <c r="C732" s="2"/>
      <c r="D732" s="34"/>
      <c r="E732" s="34"/>
      <c r="F732" s="34"/>
      <c r="G732" s="34"/>
      <c r="H732" s="34"/>
      <c r="I732" s="6"/>
      <c r="J732" s="2"/>
      <c r="K732" s="2"/>
      <c r="L732" s="6"/>
      <c r="M732" s="6"/>
      <c r="N732" s="6"/>
      <c r="O732" s="34"/>
      <c r="P732" s="34"/>
      <c r="Q732" s="2"/>
      <c r="R732" s="34"/>
      <c r="S732" s="34"/>
      <c r="T732" s="34"/>
      <c r="U732" s="2"/>
      <c r="V732" s="2"/>
      <c r="W732" s="2"/>
      <c r="X732" s="34"/>
    </row>
    <row x14ac:dyDescent="0.25" r="733" customHeight="1" ht="15.75">
      <c r="A733" s="1"/>
      <c r="B733" s="34"/>
      <c r="C733" s="2"/>
      <c r="D733" s="34"/>
      <c r="E733" s="34"/>
      <c r="F733" s="34"/>
      <c r="G733" s="34"/>
      <c r="H733" s="34"/>
      <c r="I733" s="6"/>
      <c r="J733" s="2"/>
      <c r="K733" s="2"/>
      <c r="L733" s="6"/>
      <c r="M733" s="6"/>
      <c r="N733" s="6"/>
      <c r="O733" s="34"/>
      <c r="P733" s="34"/>
      <c r="Q733" s="2"/>
      <c r="R733" s="34"/>
      <c r="S733" s="34"/>
      <c r="T733" s="34"/>
      <c r="U733" s="2"/>
      <c r="V733" s="2"/>
      <c r="W733" s="2"/>
      <c r="X733" s="34"/>
    </row>
    <row x14ac:dyDescent="0.25" r="734" customHeight="1" ht="15.75">
      <c r="A734" s="1"/>
      <c r="B734" s="34"/>
      <c r="C734" s="2"/>
      <c r="D734" s="34"/>
      <c r="E734" s="34"/>
      <c r="F734" s="34"/>
      <c r="G734" s="34"/>
      <c r="H734" s="34"/>
      <c r="I734" s="6"/>
      <c r="J734" s="2"/>
      <c r="K734" s="2"/>
      <c r="L734" s="6"/>
      <c r="M734" s="6"/>
      <c r="N734" s="6"/>
      <c r="O734" s="34"/>
      <c r="P734" s="34"/>
      <c r="Q734" s="2"/>
      <c r="R734" s="34"/>
      <c r="S734" s="34"/>
      <c r="T734" s="34"/>
      <c r="U734" s="2"/>
      <c r="V734" s="2"/>
      <c r="W734" s="2"/>
      <c r="X734" s="34"/>
    </row>
    <row x14ac:dyDescent="0.25" r="735" customHeight="1" ht="15.75">
      <c r="A735" s="1"/>
      <c r="B735" s="34"/>
      <c r="C735" s="2"/>
      <c r="D735" s="34"/>
      <c r="E735" s="34"/>
      <c r="F735" s="34"/>
      <c r="G735" s="34"/>
      <c r="H735" s="34"/>
      <c r="I735" s="6"/>
      <c r="J735" s="2"/>
      <c r="K735" s="2"/>
      <c r="L735" s="6"/>
      <c r="M735" s="6"/>
      <c r="N735" s="6"/>
      <c r="O735" s="34"/>
      <c r="P735" s="34"/>
      <c r="Q735" s="2"/>
      <c r="R735" s="34"/>
      <c r="S735" s="34"/>
      <c r="T735" s="34"/>
      <c r="U735" s="2"/>
      <c r="V735" s="2"/>
      <c r="W735" s="2"/>
      <c r="X735" s="34"/>
    </row>
    <row x14ac:dyDescent="0.25" r="736" customHeight="1" ht="15.75">
      <c r="A736" s="1"/>
      <c r="B736" s="34"/>
      <c r="C736" s="2"/>
      <c r="D736" s="34"/>
      <c r="E736" s="34"/>
      <c r="F736" s="34"/>
      <c r="G736" s="34"/>
      <c r="H736" s="34"/>
      <c r="I736" s="6"/>
      <c r="J736" s="2"/>
      <c r="K736" s="2"/>
      <c r="L736" s="6"/>
      <c r="M736" s="6"/>
      <c r="N736" s="6"/>
      <c r="O736" s="34"/>
      <c r="P736" s="34"/>
      <c r="Q736" s="2"/>
      <c r="R736" s="34"/>
      <c r="S736" s="34"/>
      <c r="T736" s="34"/>
      <c r="U736" s="2"/>
      <c r="V736" s="2"/>
      <c r="W736" s="2"/>
      <c r="X736" s="34"/>
    </row>
    <row x14ac:dyDescent="0.25" r="737" customHeight="1" ht="15.75">
      <c r="A737" s="1"/>
      <c r="B737" s="34"/>
      <c r="C737" s="2"/>
      <c r="D737" s="34"/>
      <c r="E737" s="34"/>
      <c r="F737" s="34"/>
      <c r="G737" s="34"/>
      <c r="H737" s="34"/>
      <c r="I737" s="6"/>
      <c r="J737" s="2"/>
      <c r="K737" s="2"/>
      <c r="L737" s="6"/>
      <c r="M737" s="6"/>
      <c r="N737" s="6"/>
      <c r="O737" s="34"/>
      <c r="P737" s="34"/>
      <c r="Q737" s="2"/>
      <c r="R737" s="34"/>
      <c r="S737" s="34"/>
      <c r="T737" s="34"/>
      <c r="U737" s="2"/>
      <c r="V737" s="2"/>
      <c r="W737" s="2"/>
      <c r="X737" s="34"/>
    </row>
    <row x14ac:dyDescent="0.25" r="738" customHeight="1" ht="15.75">
      <c r="A738" s="1"/>
      <c r="B738" s="34"/>
      <c r="C738" s="2"/>
      <c r="D738" s="34"/>
      <c r="E738" s="34"/>
      <c r="F738" s="34"/>
      <c r="G738" s="34"/>
      <c r="H738" s="34"/>
      <c r="I738" s="6"/>
      <c r="J738" s="2"/>
      <c r="K738" s="2"/>
      <c r="L738" s="6"/>
      <c r="M738" s="6"/>
      <c r="N738" s="6"/>
      <c r="O738" s="34"/>
      <c r="P738" s="34"/>
      <c r="Q738" s="2"/>
      <c r="R738" s="34"/>
      <c r="S738" s="34"/>
      <c r="T738" s="34"/>
      <c r="U738" s="2"/>
      <c r="V738" s="2"/>
      <c r="W738" s="2"/>
      <c r="X738" s="34"/>
    </row>
    <row x14ac:dyDescent="0.25" r="739" customHeight="1" ht="15.75">
      <c r="A739" s="1"/>
      <c r="B739" s="34"/>
      <c r="C739" s="2"/>
      <c r="D739" s="34"/>
      <c r="E739" s="34"/>
      <c r="F739" s="34"/>
      <c r="G739" s="34"/>
      <c r="H739" s="34"/>
      <c r="I739" s="6"/>
      <c r="J739" s="2"/>
      <c r="K739" s="2"/>
      <c r="L739" s="6"/>
      <c r="M739" s="6"/>
      <c r="N739" s="6"/>
      <c r="O739" s="34"/>
      <c r="P739" s="34"/>
      <c r="Q739" s="2"/>
      <c r="R739" s="34"/>
      <c r="S739" s="34"/>
      <c r="T739" s="34"/>
      <c r="U739" s="2"/>
      <c r="V739" s="2"/>
      <c r="W739" s="2"/>
      <c r="X739" s="34"/>
    </row>
    <row x14ac:dyDescent="0.25" r="740" customHeight="1" ht="15.75">
      <c r="A740" s="1"/>
      <c r="B740" s="34"/>
      <c r="C740" s="2"/>
      <c r="D740" s="34"/>
      <c r="E740" s="34"/>
      <c r="F740" s="34"/>
      <c r="G740" s="34"/>
      <c r="H740" s="34"/>
      <c r="I740" s="6"/>
      <c r="J740" s="2"/>
      <c r="K740" s="2"/>
      <c r="L740" s="6"/>
      <c r="M740" s="6"/>
      <c r="N740" s="6"/>
      <c r="O740" s="34"/>
      <c r="P740" s="34"/>
      <c r="Q740" s="2"/>
      <c r="R740" s="34"/>
      <c r="S740" s="34"/>
      <c r="T740" s="34"/>
      <c r="U740" s="2"/>
      <c r="V740" s="2"/>
      <c r="W740" s="2"/>
      <c r="X740" s="34"/>
    </row>
    <row x14ac:dyDescent="0.25" r="741" customHeight="1" ht="15.75">
      <c r="A741" s="1"/>
      <c r="B741" s="34"/>
      <c r="C741" s="2"/>
      <c r="D741" s="34"/>
      <c r="E741" s="34"/>
      <c r="F741" s="34"/>
      <c r="G741" s="34"/>
      <c r="H741" s="34"/>
      <c r="I741" s="6"/>
      <c r="J741" s="2"/>
      <c r="K741" s="2"/>
      <c r="L741" s="6"/>
      <c r="M741" s="6"/>
      <c r="N741" s="6"/>
      <c r="O741" s="34"/>
      <c r="P741" s="34"/>
      <c r="Q741" s="2"/>
      <c r="R741" s="34"/>
      <c r="S741" s="34"/>
      <c r="T741" s="34"/>
      <c r="U741" s="2"/>
      <c r="V741" s="2"/>
      <c r="W741" s="2"/>
      <c r="X741" s="34"/>
    </row>
    <row x14ac:dyDescent="0.25" r="742" customHeight="1" ht="15.75">
      <c r="A742" s="1"/>
      <c r="B742" s="34"/>
      <c r="C742" s="2"/>
      <c r="D742" s="34"/>
      <c r="E742" s="34"/>
      <c r="F742" s="34"/>
      <c r="G742" s="34"/>
      <c r="H742" s="34"/>
      <c r="I742" s="6"/>
      <c r="J742" s="2"/>
      <c r="K742" s="2"/>
      <c r="L742" s="6"/>
      <c r="M742" s="6"/>
      <c r="N742" s="6"/>
      <c r="O742" s="34"/>
      <c r="P742" s="34"/>
      <c r="Q742" s="2"/>
      <c r="R742" s="34"/>
      <c r="S742" s="34"/>
      <c r="T742" s="34"/>
      <c r="U742" s="2"/>
      <c r="V742" s="2"/>
      <c r="W742" s="2"/>
      <c r="X742" s="34"/>
    </row>
    <row x14ac:dyDescent="0.25" r="743" customHeight="1" ht="15.75">
      <c r="A743" s="1"/>
      <c r="B743" s="34"/>
      <c r="C743" s="2"/>
      <c r="D743" s="34"/>
      <c r="E743" s="34"/>
      <c r="F743" s="34"/>
      <c r="G743" s="34"/>
      <c r="H743" s="34"/>
      <c r="I743" s="6"/>
      <c r="J743" s="2"/>
      <c r="K743" s="2"/>
      <c r="L743" s="6"/>
      <c r="M743" s="6"/>
      <c r="N743" s="6"/>
      <c r="O743" s="34"/>
      <c r="P743" s="34"/>
      <c r="Q743" s="2"/>
      <c r="R743" s="34"/>
      <c r="S743" s="34"/>
      <c r="T743" s="34"/>
      <c r="U743" s="2"/>
      <c r="V743" s="2"/>
      <c r="W743" s="2"/>
      <c r="X743" s="34"/>
    </row>
    <row x14ac:dyDescent="0.25" r="744" customHeight="1" ht="15.75">
      <c r="A744" s="1"/>
      <c r="B744" s="34"/>
      <c r="C744" s="2"/>
      <c r="D744" s="34"/>
      <c r="E744" s="34"/>
      <c r="F744" s="34"/>
      <c r="G744" s="34"/>
      <c r="H744" s="34"/>
      <c r="I744" s="6"/>
      <c r="J744" s="2"/>
      <c r="K744" s="2"/>
      <c r="L744" s="6"/>
      <c r="M744" s="6"/>
      <c r="N744" s="6"/>
      <c r="O744" s="34"/>
      <c r="P744" s="34"/>
      <c r="Q744" s="2"/>
      <c r="R744" s="34"/>
      <c r="S744" s="34"/>
      <c r="T744" s="34"/>
      <c r="U744" s="2"/>
      <c r="V744" s="2"/>
      <c r="W744" s="2"/>
      <c r="X744" s="34"/>
    </row>
    <row x14ac:dyDescent="0.25" r="745" customHeight="1" ht="15.75">
      <c r="A745" s="1"/>
      <c r="B745" s="34"/>
      <c r="C745" s="2"/>
      <c r="D745" s="34"/>
      <c r="E745" s="34"/>
      <c r="F745" s="34"/>
      <c r="G745" s="34"/>
      <c r="H745" s="34"/>
      <c r="I745" s="6"/>
      <c r="J745" s="2"/>
      <c r="K745" s="2"/>
      <c r="L745" s="6"/>
      <c r="M745" s="6"/>
      <c r="N745" s="6"/>
      <c r="O745" s="34"/>
      <c r="P745" s="34"/>
      <c r="Q745" s="2"/>
      <c r="R745" s="34"/>
      <c r="S745" s="34"/>
      <c r="T745" s="34"/>
      <c r="U745" s="2"/>
      <c r="V745" s="2"/>
      <c r="W745" s="2"/>
      <c r="X745" s="34"/>
    </row>
    <row x14ac:dyDescent="0.25" r="746" customHeight="1" ht="15.75">
      <c r="A746" s="1"/>
      <c r="B746" s="34"/>
      <c r="C746" s="2"/>
      <c r="D746" s="34"/>
      <c r="E746" s="34"/>
      <c r="F746" s="34"/>
      <c r="G746" s="34"/>
      <c r="H746" s="34"/>
      <c r="I746" s="6"/>
      <c r="J746" s="2"/>
      <c r="K746" s="2"/>
      <c r="L746" s="6"/>
      <c r="M746" s="6"/>
      <c r="N746" s="6"/>
      <c r="O746" s="34"/>
      <c r="P746" s="34"/>
      <c r="Q746" s="2"/>
      <c r="R746" s="34"/>
      <c r="S746" s="34"/>
      <c r="T746" s="34"/>
      <c r="U746" s="2"/>
      <c r="V746" s="2"/>
      <c r="W746" s="2"/>
      <c r="X746" s="34"/>
    </row>
    <row x14ac:dyDescent="0.25" r="747" customHeight="1" ht="15.75">
      <c r="A747" s="1"/>
      <c r="B747" s="34"/>
      <c r="C747" s="2"/>
      <c r="D747" s="34"/>
      <c r="E747" s="34"/>
      <c r="F747" s="34"/>
      <c r="G747" s="34"/>
      <c r="H747" s="34"/>
      <c r="I747" s="6"/>
      <c r="J747" s="2"/>
      <c r="K747" s="2"/>
      <c r="L747" s="6"/>
      <c r="M747" s="6"/>
      <c r="N747" s="6"/>
      <c r="O747" s="34"/>
      <c r="P747" s="34"/>
      <c r="Q747" s="2"/>
      <c r="R747" s="34"/>
      <c r="S747" s="34"/>
      <c r="T747" s="34"/>
      <c r="U747" s="2"/>
      <c r="V747" s="2"/>
      <c r="W747" s="2"/>
      <c r="X747" s="34"/>
    </row>
    <row x14ac:dyDescent="0.25" r="748" customHeight="1" ht="15.75">
      <c r="A748" s="1"/>
      <c r="B748" s="34"/>
      <c r="C748" s="2"/>
      <c r="D748" s="34"/>
      <c r="E748" s="34"/>
      <c r="F748" s="34"/>
      <c r="G748" s="34"/>
      <c r="H748" s="34"/>
      <c r="I748" s="6"/>
      <c r="J748" s="2"/>
      <c r="K748" s="2"/>
      <c r="L748" s="6"/>
      <c r="M748" s="6"/>
      <c r="N748" s="6"/>
      <c r="O748" s="34"/>
      <c r="P748" s="34"/>
      <c r="Q748" s="2"/>
      <c r="R748" s="34"/>
      <c r="S748" s="34"/>
      <c r="T748" s="34"/>
      <c r="U748" s="2"/>
      <c r="V748" s="2"/>
      <c r="W748" s="2"/>
      <c r="X748" s="34"/>
    </row>
    <row x14ac:dyDescent="0.25" r="749" customHeight="1" ht="15.75">
      <c r="A749" s="1"/>
      <c r="B749" s="34"/>
      <c r="C749" s="2"/>
      <c r="D749" s="34"/>
      <c r="E749" s="34"/>
      <c r="F749" s="34"/>
      <c r="G749" s="34"/>
      <c r="H749" s="34"/>
      <c r="I749" s="6"/>
      <c r="J749" s="2"/>
      <c r="K749" s="2"/>
      <c r="L749" s="6"/>
      <c r="M749" s="6"/>
      <c r="N749" s="6"/>
      <c r="O749" s="34"/>
      <c r="P749" s="34"/>
      <c r="Q749" s="2"/>
      <c r="R749" s="34"/>
      <c r="S749" s="34"/>
      <c r="T749" s="34"/>
      <c r="U749" s="2"/>
      <c r="V749" s="2"/>
      <c r="W749" s="2"/>
      <c r="X749" s="34"/>
    </row>
    <row x14ac:dyDescent="0.25" r="750" customHeight="1" ht="15.75">
      <c r="A750" s="1"/>
      <c r="B750" s="34"/>
      <c r="C750" s="2"/>
      <c r="D750" s="34"/>
      <c r="E750" s="34"/>
      <c r="F750" s="34"/>
      <c r="G750" s="34"/>
      <c r="H750" s="34"/>
      <c r="I750" s="6"/>
      <c r="J750" s="2"/>
      <c r="K750" s="2"/>
      <c r="L750" s="6"/>
      <c r="M750" s="6"/>
      <c r="N750" s="6"/>
      <c r="O750" s="34"/>
      <c r="P750" s="34"/>
      <c r="Q750" s="2"/>
      <c r="R750" s="34"/>
      <c r="S750" s="34"/>
      <c r="T750" s="34"/>
      <c r="U750" s="2"/>
      <c r="V750" s="2"/>
      <c r="W750" s="2"/>
      <c r="X750" s="34"/>
    </row>
    <row x14ac:dyDescent="0.25" r="751" customHeight="1" ht="15.75">
      <c r="A751" s="1"/>
      <c r="B751" s="34"/>
      <c r="C751" s="2"/>
      <c r="D751" s="34"/>
      <c r="E751" s="34"/>
      <c r="F751" s="34"/>
      <c r="G751" s="34"/>
      <c r="H751" s="34"/>
      <c r="I751" s="6"/>
      <c r="J751" s="2"/>
      <c r="K751" s="2"/>
      <c r="L751" s="6"/>
      <c r="M751" s="6"/>
      <c r="N751" s="6"/>
      <c r="O751" s="34"/>
      <c r="P751" s="34"/>
      <c r="Q751" s="2"/>
      <c r="R751" s="34"/>
      <c r="S751" s="34"/>
      <c r="T751" s="34"/>
      <c r="U751" s="2"/>
      <c r="V751" s="2"/>
      <c r="W751" s="2"/>
      <c r="X751" s="34"/>
    </row>
    <row x14ac:dyDescent="0.25" r="752" customHeight="1" ht="15.75">
      <c r="A752" s="1"/>
      <c r="B752" s="34"/>
      <c r="C752" s="2"/>
      <c r="D752" s="34"/>
      <c r="E752" s="34"/>
      <c r="F752" s="34"/>
      <c r="G752" s="34"/>
      <c r="H752" s="34"/>
      <c r="I752" s="6"/>
      <c r="J752" s="2"/>
      <c r="K752" s="2"/>
      <c r="L752" s="6"/>
      <c r="M752" s="6"/>
      <c r="N752" s="6"/>
      <c r="O752" s="34"/>
      <c r="P752" s="34"/>
      <c r="Q752" s="2"/>
      <c r="R752" s="34"/>
      <c r="S752" s="34"/>
      <c r="T752" s="34"/>
      <c r="U752" s="2"/>
      <c r="V752" s="2"/>
      <c r="W752" s="2"/>
      <c r="X752" s="34"/>
    </row>
    <row x14ac:dyDescent="0.25" r="753" customHeight="1" ht="15.75">
      <c r="A753" s="1"/>
      <c r="B753" s="34"/>
      <c r="C753" s="2"/>
      <c r="D753" s="34"/>
      <c r="E753" s="34"/>
      <c r="F753" s="34"/>
      <c r="G753" s="34"/>
      <c r="H753" s="34"/>
      <c r="I753" s="6"/>
      <c r="J753" s="2"/>
      <c r="K753" s="2"/>
      <c r="L753" s="6"/>
      <c r="M753" s="6"/>
      <c r="N753" s="6"/>
      <c r="O753" s="34"/>
      <c r="P753" s="34"/>
      <c r="Q753" s="2"/>
      <c r="R753" s="34"/>
      <c r="S753" s="34"/>
      <c r="T753" s="34"/>
      <c r="U753" s="2"/>
      <c r="V753" s="2"/>
      <c r="W753" s="2"/>
      <c r="X753" s="34"/>
    </row>
    <row x14ac:dyDescent="0.25" r="754" customHeight="1" ht="15.75">
      <c r="A754" s="1"/>
      <c r="B754" s="34"/>
      <c r="C754" s="2"/>
      <c r="D754" s="34"/>
      <c r="E754" s="34"/>
      <c r="F754" s="34"/>
      <c r="G754" s="34"/>
      <c r="H754" s="34"/>
      <c r="I754" s="6"/>
      <c r="J754" s="2"/>
      <c r="K754" s="2"/>
      <c r="L754" s="6"/>
      <c r="M754" s="6"/>
      <c r="N754" s="6"/>
      <c r="O754" s="34"/>
      <c r="P754" s="34"/>
      <c r="Q754" s="2"/>
      <c r="R754" s="34"/>
      <c r="S754" s="34"/>
      <c r="T754" s="34"/>
      <c r="U754" s="2"/>
      <c r="V754" s="2"/>
      <c r="W754" s="2"/>
      <c r="X754" s="34"/>
    </row>
    <row x14ac:dyDescent="0.25" r="755" customHeight="1" ht="15.75">
      <c r="A755" s="1"/>
      <c r="B755" s="34"/>
      <c r="C755" s="2"/>
      <c r="D755" s="34"/>
      <c r="E755" s="34"/>
      <c r="F755" s="34"/>
      <c r="G755" s="34"/>
      <c r="H755" s="34"/>
      <c r="I755" s="6"/>
      <c r="J755" s="2"/>
      <c r="K755" s="2"/>
      <c r="L755" s="6"/>
      <c r="M755" s="6"/>
      <c r="N755" s="6"/>
      <c r="O755" s="34"/>
      <c r="P755" s="34"/>
      <c r="Q755" s="2"/>
      <c r="R755" s="34"/>
      <c r="S755" s="34"/>
      <c r="T755" s="34"/>
      <c r="U755" s="2"/>
      <c r="V755" s="2"/>
      <c r="W755" s="2"/>
      <c r="X755" s="34"/>
    </row>
    <row x14ac:dyDescent="0.25" r="756" customHeight="1" ht="15.75">
      <c r="A756" s="1"/>
      <c r="B756" s="34"/>
      <c r="C756" s="2"/>
      <c r="D756" s="34"/>
      <c r="E756" s="34"/>
      <c r="F756" s="34"/>
      <c r="G756" s="34"/>
      <c r="H756" s="34"/>
      <c r="I756" s="6"/>
      <c r="J756" s="2"/>
      <c r="K756" s="2"/>
      <c r="L756" s="6"/>
      <c r="M756" s="6"/>
      <c r="N756" s="6"/>
      <c r="O756" s="34"/>
      <c r="P756" s="34"/>
      <c r="Q756" s="2"/>
      <c r="R756" s="34"/>
      <c r="S756" s="34"/>
      <c r="T756" s="34"/>
      <c r="U756" s="2"/>
      <c r="V756" s="2"/>
      <c r="W756" s="2"/>
      <c r="X756" s="34"/>
    </row>
    <row x14ac:dyDescent="0.25" r="757" customHeight="1" ht="15.75">
      <c r="A757" s="1"/>
      <c r="B757" s="34"/>
      <c r="C757" s="2"/>
      <c r="D757" s="34"/>
      <c r="E757" s="34"/>
      <c r="F757" s="34"/>
      <c r="G757" s="34"/>
      <c r="H757" s="34"/>
      <c r="I757" s="6"/>
      <c r="J757" s="2"/>
      <c r="K757" s="2"/>
      <c r="L757" s="6"/>
      <c r="M757" s="6"/>
      <c r="N757" s="6"/>
      <c r="O757" s="34"/>
      <c r="P757" s="34"/>
      <c r="Q757" s="2"/>
      <c r="R757" s="34"/>
      <c r="S757" s="34"/>
      <c r="T757" s="34"/>
      <c r="U757" s="2"/>
      <c r="V757" s="2"/>
      <c r="W757" s="2"/>
      <c r="X757" s="34"/>
    </row>
    <row x14ac:dyDescent="0.25" r="758" customHeight="1" ht="15.75">
      <c r="A758" s="1"/>
      <c r="B758" s="34"/>
      <c r="C758" s="2"/>
      <c r="D758" s="34"/>
      <c r="E758" s="34"/>
      <c r="F758" s="34"/>
      <c r="G758" s="34"/>
      <c r="H758" s="34"/>
      <c r="I758" s="6"/>
      <c r="J758" s="2"/>
      <c r="K758" s="2"/>
      <c r="L758" s="6"/>
      <c r="M758" s="6"/>
      <c r="N758" s="6"/>
      <c r="O758" s="34"/>
      <c r="P758" s="34"/>
      <c r="Q758" s="2"/>
      <c r="R758" s="34"/>
      <c r="S758" s="34"/>
      <c r="T758" s="34"/>
      <c r="U758" s="2"/>
      <c r="V758" s="2"/>
      <c r="W758" s="2"/>
      <c r="X758" s="34"/>
    </row>
    <row x14ac:dyDescent="0.25" r="759" customHeight="1" ht="15.75">
      <c r="A759" s="1"/>
      <c r="B759" s="34"/>
      <c r="C759" s="2"/>
      <c r="D759" s="34"/>
      <c r="E759" s="34"/>
      <c r="F759" s="34"/>
      <c r="G759" s="34"/>
      <c r="H759" s="34"/>
      <c r="I759" s="6"/>
      <c r="J759" s="2"/>
      <c r="K759" s="2"/>
      <c r="L759" s="6"/>
      <c r="M759" s="6"/>
      <c r="N759" s="6"/>
      <c r="O759" s="34"/>
      <c r="P759" s="34"/>
      <c r="Q759" s="2"/>
      <c r="R759" s="34"/>
      <c r="S759" s="34"/>
      <c r="T759" s="34"/>
      <c r="U759" s="2"/>
      <c r="V759" s="2"/>
      <c r="W759" s="2"/>
      <c r="X759" s="34"/>
    </row>
    <row x14ac:dyDescent="0.25" r="760" customHeight="1" ht="15.75">
      <c r="A760" s="1"/>
      <c r="B760" s="34"/>
      <c r="C760" s="2"/>
      <c r="D760" s="34"/>
      <c r="E760" s="34"/>
      <c r="F760" s="34"/>
      <c r="G760" s="34"/>
      <c r="H760" s="34"/>
      <c r="I760" s="6"/>
      <c r="J760" s="2"/>
      <c r="K760" s="2"/>
      <c r="L760" s="6"/>
      <c r="M760" s="6"/>
      <c r="N760" s="6"/>
      <c r="O760" s="34"/>
      <c r="P760" s="34"/>
      <c r="Q760" s="2"/>
      <c r="R760" s="34"/>
      <c r="S760" s="34"/>
      <c r="T760" s="34"/>
      <c r="U760" s="2"/>
      <c r="V760" s="2"/>
      <c r="W760" s="2"/>
      <c r="X760" s="34"/>
    </row>
    <row x14ac:dyDescent="0.25" r="761" customHeight="1" ht="15.75">
      <c r="A761" s="1"/>
      <c r="B761" s="34"/>
      <c r="C761" s="2"/>
      <c r="D761" s="34"/>
      <c r="E761" s="34"/>
      <c r="F761" s="34"/>
      <c r="G761" s="34"/>
      <c r="H761" s="34"/>
      <c r="I761" s="6"/>
      <c r="J761" s="2"/>
      <c r="K761" s="2"/>
      <c r="L761" s="6"/>
      <c r="M761" s="6"/>
      <c r="N761" s="6"/>
      <c r="O761" s="34"/>
      <c r="P761" s="34"/>
      <c r="Q761" s="2"/>
      <c r="R761" s="34"/>
      <c r="S761" s="34"/>
      <c r="T761" s="34"/>
      <c r="U761" s="2"/>
      <c r="V761" s="2"/>
      <c r="W761" s="2"/>
      <c r="X761" s="34"/>
    </row>
    <row x14ac:dyDescent="0.25" r="762" customHeight="1" ht="15.75">
      <c r="A762" s="1"/>
      <c r="B762" s="34"/>
      <c r="C762" s="2"/>
      <c r="D762" s="34"/>
      <c r="E762" s="34"/>
      <c r="F762" s="34"/>
      <c r="G762" s="34"/>
      <c r="H762" s="34"/>
      <c r="I762" s="6"/>
      <c r="J762" s="2"/>
      <c r="K762" s="2"/>
      <c r="L762" s="6"/>
      <c r="M762" s="6"/>
      <c r="N762" s="6"/>
      <c r="O762" s="34"/>
      <c r="P762" s="34"/>
      <c r="Q762" s="2"/>
      <c r="R762" s="34"/>
      <c r="S762" s="34"/>
      <c r="T762" s="34"/>
      <c r="U762" s="2"/>
      <c r="V762" s="2"/>
      <c r="W762" s="2"/>
      <c r="X762" s="34"/>
    </row>
    <row x14ac:dyDescent="0.25" r="763" customHeight="1" ht="15.75">
      <c r="A763" s="1"/>
      <c r="B763" s="34"/>
      <c r="C763" s="2"/>
      <c r="D763" s="34"/>
      <c r="E763" s="34"/>
      <c r="F763" s="34"/>
      <c r="G763" s="34"/>
      <c r="H763" s="34"/>
      <c r="I763" s="6"/>
      <c r="J763" s="2"/>
      <c r="K763" s="2"/>
      <c r="L763" s="6"/>
      <c r="M763" s="6"/>
      <c r="N763" s="6"/>
      <c r="O763" s="34"/>
      <c r="P763" s="34"/>
      <c r="Q763" s="2"/>
      <c r="R763" s="34"/>
      <c r="S763" s="34"/>
      <c r="T763" s="34"/>
      <c r="U763" s="2"/>
      <c r="V763" s="2"/>
      <c r="W763" s="2"/>
      <c r="X763" s="34"/>
    </row>
    <row x14ac:dyDescent="0.25" r="764" customHeight="1" ht="15.75">
      <c r="A764" s="1"/>
      <c r="B764" s="34"/>
      <c r="C764" s="2"/>
      <c r="D764" s="34"/>
      <c r="E764" s="34"/>
      <c r="F764" s="34"/>
      <c r="G764" s="34"/>
      <c r="H764" s="34"/>
      <c r="I764" s="6"/>
      <c r="J764" s="2"/>
      <c r="K764" s="2"/>
      <c r="L764" s="6"/>
      <c r="M764" s="6"/>
      <c r="N764" s="6"/>
      <c r="O764" s="34"/>
      <c r="P764" s="34"/>
      <c r="Q764" s="2"/>
      <c r="R764" s="34"/>
      <c r="S764" s="34"/>
      <c r="T764" s="34"/>
      <c r="U764" s="2"/>
      <c r="V764" s="2"/>
      <c r="W764" s="2"/>
      <c r="X764" s="34"/>
    </row>
    <row x14ac:dyDescent="0.25" r="765" customHeight="1" ht="15.75">
      <c r="A765" s="1"/>
      <c r="B765" s="34"/>
      <c r="C765" s="2"/>
      <c r="D765" s="34"/>
      <c r="E765" s="34"/>
      <c r="F765" s="34"/>
      <c r="G765" s="34"/>
      <c r="H765" s="34"/>
      <c r="I765" s="6"/>
      <c r="J765" s="2"/>
      <c r="K765" s="2"/>
      <c r="L765" s="6"/>
      <c r="M765" s="6"/>
      <c r="N765" s="6"/>
      <c r="O765" s="34"/>
      <c r="P765" s="34"/>
      <c r="Q765" s="2"/>
      <c r="R765" s="34"/>
      <c r="S765" s="34"/>
      <c r="T765" s="34"/>
      <c r="U765" s="2"/>
      <c r="V765" s="2"/>
      <c r="W765" s="2"/>
      <c r="X765" s="34"/>
    </row>
    <row x14ac:dyDescent="0.25" r="766" customHeight="1" ht="15.75">
      <c r="A766" s="1"/>
      <c r="B766" s="34"/>
      <c r="C766" s="2"/>
      <c r="D766" s="34"/>
      <c r="E766" s="34"/>
      <c r="F766" s="34"/>
      <c r="G766" s="34"/>
      <c r="H766" s="34"/>
      <c r="I766" s="6"/>
      <c r="J766" s="2"/>
      <c r="K766" s="2"/>
      <c r="L766" s="6"/>
      <c r="M766" s="6"/>
      <c r="N766" s="6"/>
      <c r="O766" s="34"/>
      <c r="P766" s="34"/>
      <c r="Q766" s="2"/>
      <c r="R766" s="34"/>
      <c r="S766" s="34"/>
      <c r="T766" s="34"/>
      <c r="U766" s="2"/>
      <c r="V766" s="2"/>
      <c r="W766" s="2"/>
      <c r="X766" s="34"/>
    </row>
    <row x14ac:dyDescent="0.25" r="767" customHeight="1" ht="15.75">
      <c r="A767" s="1"/>
      <c r="B767" s="34"/>
      <c r="C767" s="2"/>
      <c r="D767" s="34"/>
      <c r="E767" s="34"/>
      <c r="F767" s="34"/>
      <c r="G767" s="34"/>
      <c r="H767" s="34"/>
      <c r="I767" s="6"/>
      <c r="J767" s="2"/>
      <c r="K767" s="2"/>
      <c r="L767" s="6"/>
      <c r="M767" s="6"/>
      <c r="N767" s="6"/>
      <c r="O767" s="34"/>
      <c r="P767" s="34"/>
      <c r="Q767" s="2"/>
      <c r="R767" s="34"/>
      <c r="S767" s="34"/>
      <c r="T767" s="34"/>
      <c r="U767" s="2"/>
      <c r="V767" s="2"/>
      <c r="W767" s="2"/>
      <c r="X767" s="34"/>
    </row>
    <row x14ac:dyDescent="0.25" r="768" customHeight="1" ht="15.75">
      <c r="A768" s="1"/>
      <c r="B768" s="34"/>
      <c r="C768" s="2"/>
      <c r="D768" s="34"/>
      <c r="E768" s="34"/>
      <c r="F768" s="34"/>
      <c r="G768" s="34"/>
      <c r="H768" s="34"/>
      <c r="I768" s="6"/>
      <c r="J768" s="2"/>
      <c r="K768" s="2"/>
      <c r="L768" s="6"/>
      <c r="M768" s="6"/>
      <c r="N768" s="6"/>
      <c r="O768" s="34"/>
      <c r="P768" s="34"/>
      <c r="Q768" s="2"/>
      <c r="R768" s="34"/>
      <c r="S768" s="34"/>
      <c r="T768" s="34"/>
      <c r="U768" s="2"/>
      <c r="V768" s="2"/>
      <c r="W768" s="2"/>
      <c r="X768" s="34"/>
    </row>
    <row x14ac:dyDescent="0.25" r="769" customHeight="1" ht="15.75">
      <c r="A769" s="1"/>
      <c r="B769" s="34"/>
      <c r="C769" s="2"/>
      <c r="D769" s="34"/>
      <c r="E769" s="34"/>
      <c r="F769" s="34"/>
      <c r="G769" s="34"/>
      <c r="H769" s="34"/>
      <c r="I769" s="6"/>
      <c r="J769" s="2"/>
      <c r="K769" s="2"/>
      <c r="L769" s="6"/>
      <c r="M769" s="6"/>
      <c r="N769" s="6"/>
      <c r="O769" s="34"/>
      <c r="P769" s="34"/>
      <c r="Q769" s="2"/>
      <c r="R769" s="34"/>
      <c r="S769" s="34"/>
      <c r="T769" s="34"/>
      <c r="U769" s="2"/>
      <c r="V769" s="2"/>
      <c r="W769" s="2"/>
      <c r="X769" s="34"/>
    </row>
    <row x14ac:dyDescent="0.25" r="770" customHeight="1" ht="15.75">
      <c r="A770" s="1"/>
      <c r="B770" s="34"/>
      <c r="C770" s="2"/>
      <c r="D770" s="34"/>
      <c r="E770" s="34"/>
      <c r="F770" s="34"/>
      <c r="G770" s="34"/>
      <c r="H770" s="34"/>
      <c r="I770" s="6"/>
      <c r="J770" s="2"/>
      <c r="K770" s="2"/>
      <c r="L770" s="6"/>
      <c r="M770" s="6"/>
      <c r="N770" s="6"/>
      <c r="O770" s="34"/>
      <c r="P770" s="34"/>
      <c r="Q770" s="2"/>
      <c r="R770" s="34"/>
      <c r="S770" s="34"/>
      <c r="T770" s="34"/>
      <c r="U770" s="2"/>
      <c r="V770" s="2"/>
      <c r="W770" s="2"/>
      <c r="X770" s="34"/>
    </row>
    <row x14ac:dyDescent="0.25" r="771" customHeight="1" ht="15.75">
      <c r="A771" s="1"/>
      <c r="B771" s="34"/>
      <c r="C771" s="2"/>
      <c r="D771" s="34"/>
      <c r="E771" s="34"/>
      <c r="F771" s="34"/>
      <c r="G771" s="34"/>
      <c r="H771" s="34"/>
      <c r="I771" s="6"/>
      <c r="J771" s="2"/>
      <c r="K771" s="2"/>
      <c r="L771" s="6"/>
      <c r="M771" s="6"/>
      <c r="N771" s="6"/>
      <c r="O771" s="34"/>
      <c r="P771" s="34"/>
      <c r="Q771" s="2"/>
      <c r="R771" s="34"/>
      <c r="S771" s="34"/>
      <c r="T771" s="34"/>
      <c r="U771" s="2"/>
      <c r="V771" s="2"/>
      <c r="W771" s="2"/>
      <c r="X771" s="34"/>
    </row>
    <row x14ac:dyDescent="0.25" r="772" customHeight="1" ht="15.75">
      <c r="A772" s="1"/>
      <c r="B772" s="34"/>
      <c r="C772" s="2"/>
      <c r="D772" s="34"/>
      <c r="E772" s="34"/>
      <c r="F772" s="34"/>
      <c r="G772" s="34"/>
      <c r="H772" s="34"/>
      <c r="I772" s="6"/>
      <c r="J772" s="2"/>
      <c r="K772" s="2"/>
      <c r="L772" s="6"/>
      <c r="M772" s="6"/>
      <c r="N772" s="6"/>
      <c r="O772" s="34"/>
      <c r="P772" s="34"/>
      <c r="Q772" s="2"/>
      <c r="R772" s="34"/>
      <c r="S772" s="34"/>
      <c r="T772" s="34"/>
      <c r="U772" s="2"/>
      <c r="V772" s="2"/>
      <c r="W772" s="2"/>
      <c r="X772" s="34"/>
    </row>
    <row x14ac:dyDescent="0.25" r="773" customHeight="1" ht="15.75">
      <c r="A773" s="1"/>
      <c r="B773" s="34"/>
      <c r="C773" s="2"/>
      <c r="D773" s="34"/>
      <c r="E773" s="34"/>
      <c r="F773" s="34"/>
      <c r="G773" s="34"/>
      <c r="H773" s="34"/>
      <c r="I773" s="6"/>
      <c r="J773" s="2"/>
      <c r="K773" s="2"/>
      <c r="L773" s="6"/>
      <c r="M773" s="6"/>
      <c r="N773" s="6"/>
      <c r="O773" s="34"/>
      <c r="P773" s="34"/>
      <c r="Q773" s="2"/>
      <c r="R773" s="34"/>
      <c r="S773" s="34"/>
      <c r="T773" s="34"/>
      <c r="U773" s="2"/>
      <c r="V773" s="2"/>
      <c r="W773" s="2"/>
      <c r="X773" s="34"/>
    </row>
    <row x14ac:dyDescent="0.25" r="774" customHeight="1" ht="15.75">
      <c r="A774" s="1"/>
      <c r="B774" s="34"/>
      <c r="C774" s="2"/>
      <c r="D774" s="34"/>
      <c r="E774" s="34"/>
      <c r="F774" s="34"/>
      <c r="G774" s="34"/>
      <c r="H774" s="34"/>
      <c r="I774" s="6"/>
      <c r="J774" s="2"/>
      <c r="K774" s="2"/>
      <c r="L774" s="6"/>
      <c r="M774" s="6"/>
      <c r="N774" s="6"/>
      <c r="O774" s="34"/>
      <c r="P774" s="34"/>
      <c r="Q774" s="2"/>
      <c r="R774" s="34"/>
      <c r="S774" s="34"/>
      <c r="T774" s="34"/>
      <c r="U774" s="2"/>
      <c r="V774" s="2"/>
      <c r="W774" s="2"/>
      <c r="X774" s="34"/>
    </row>
    <row x14ac:dyDescent="0.25" r="775" customHeight="1" ht="15.75">
      <c r="A775" s="1"/>
      <c r="B775" s="34"/>
      <c r="C775" s="2"/>
      <c r="D775" s="34"/>
      <c r="E775" s="34"/>
      <c r="F775" s="34"/>
      <c r="G775" s="34"/>
      <c r="H775" s="34"/>
      <c r="I775" s="6"/>
      <c r="J775" s="2"/>
      <c r="K775" s="2"/>
      <c r="L775" s="6"/>
      <c r="M775" s="6"/>
      <c r="N775" s="6"/>
      <c r="O775" s="34"/>
      <c r="P775" s="34"/>
      <c r="Q775" s="2"/>
      <c r="R775" s="34"/>
      <c r="S775" s="34"/>
      <c r="T775" s="34"/>
      <c r="U775" s="2"/>
      <c r="V775" s="2"/>
      <c r="W775" s="2"/>
      <c r="X775" s="34"/>
    </row>
    <row x14ac:dyDescent="0.25" r="776" customHeight="1" ht="15.75">
      <c r="A776" s="1"/>
      <c r="B776" s="34"/>
      <c r="C776" s="2"/>
      <c r="D776" s="34"/>
      <c r="E776" s="34"/>
      <c r="F776" s="34"/>
      <c r="G776" s="34"/>
      <c r="H776" s="34"/>
      <c r="I776" s="6"/>
      <c r="J776" s="2"/>
      <c r="K776" s="2"/>
      <c r="L776" s="6"/>
      <c r="M776" s="6"/>
      <c r="N776" s="6"/>
      <c r="O776" s="34"/>
      <c r="P776" s="34"/>
      <c r="Q776" s="2"/>
      <c r="R776" s="34"/>
      <c r="S776" s="34"/>
      <c r="T776" s="34"/>
      <c r="U776" s="2"/>
      <c r="V776" s="2"/>
      <c r="W776" s="2"/>
      <c r="X776" s="34"/>
    </row>
    <row x14ac:dyDescent="0.25" r="777" customHeight="1" ht="15.75">
      <c r="A777" s="1"/>
      <c r="B777" s="34"/>
      <c r="C777" s="2"/>
      <c r="D777" s="34"/>
      <c r="E777" s="34"/>
      <c r="F777" s="34"/>
      <c r="G777" s="34"/>
      <c r="H777" s="34"/>
      <c r="I777" s="6"/>
      <c r="J777" s="2"/>
      <c r="K777" s="2"/>
      <c r="L777" s="6"/>
      <c r="M777" s="6"/>
      <c r="N777" s="6"/>
      <c r="O777" s="34"/>
      <c r="P777" s="34"/>
      <c r="Q777" s="2"/>
      <c r="R777" s="34"/>
      <c r="S777" s="34"/>
      <c r="T777" s="34"/>
      <c r="U777" s="2"/>
      <c r="V777" s="2"/>
      <c r="W777" s="2"/>
      <c r="X777" s="34"/>
    </row>
    <row x14ac:dyDescent="0.25" r="778" customHeight="1" ht="15.75">
      <c r="A778" s="1"/>
      <c r="B778" s="34"/>
      <c r="C778" s="2"/>
      <c r="D778" s="34"/>
      <c r="E778" s="34"/>
      <c r="F778" s="34"/>
      <c r="G778" s="34"/>
      <c r="H778" s="34"/>
      <c r="I778" s="6"/>
      <c r="J778" s="2"/>
      <c r="K778" s="2"/>
      <c r="L778" s="6"/>
      <c r="M778" s="6"/>
      <c r="N778" s="6"/>
      <c r="O778" s="34"/>
      <c r="P778" s="34"/>
      <c r="Q778" s="2"/>
      <c r="R778" s="34"/>
      <c r="S778" s="34"/>
      <c r="T778" s="34"/>
      <c r="U778" s="2"/>
      <c r="V778" s="2"/>
      <c r="W778" s="2"/>
      <c r="X778" s="34"/>
    </row>
    <row x14ac:dyDescent="0.25" r="779" customHeight="1" ht="15.75">
      <c r="A779" s="1"/>
      <c r="B779" s="34"/>
      <c r="C779" s="2"/>
      <c r="D779" s="34"/>
      <c r="E779" s="34"/>
      <c r="F779" s="34"/>
      <c r="G779" s="34"/>
      <c r="H779" s="34"/>
      <c r="I779" s="6"/>
      <c r="J779" s="2"/>
      <c r="K779" s="2"/>
      <c r="L779" s="6"/>
      <c r="M779" s="6"/>
      <c r="N779" s="6"/>
      <c r="O779" s="34"/>
      <c r="P779" s="34"/>
      <c r="Q779" s="2"/>
      <c r="R779" s="34"/>
      <c r="S779" s="34"/>
      <c r="T779" s="34"/>
      <c r="U779" s="2"/>
      <c r="V779" s="2"/>
      <c r="W779" s="2"/>
      <c r="X779" s="34"/>
    </row>
    <row x14ac:dyDescent="0.25" r="780" customHeight="1" ht="15.75">
      <c r="A780" s="1"/>
      <c r="B780" s="34"/>
      <c r="C780" s="2"/>
      <c r="D780" s="34"/>
      <c r="E780" s="34"/>
      <c r="F780" s="34"/>
      <c r="G780" s="34"/>
      <c r="H780" s="34"/>
      <c r="I780" s="6"/>
      <c r="J780" s="2"/>
      <c r="K780" s="2"/>
      <c r="L780" s="6"/>
      <c r="M780" s="6"/>
      <c r="N780" s="6"/>
      <c r="O780" s="34"/>
      <c r="P780" s="34"/>
      <c r="Q780" s="2"/>
      <c r="R780" s="34"/>
      <c r="S780" s="34"/>
      <c r="T780" s="34"/>
      <c r="U780" s="2"/>
      <c r="V780" s="2"/>
      <c r="W780" s="2"/>
      <c r="X780" s="34"/>
    </row>
    <row x14ac:dyDescent="0.25" r="781" customHeight="1" ht="15.75">
      <c r="A781" s="1"/>
      <c r="B781" s="34"/>
      <c r="C781" s="2"/>
      <c r="D781" s="34"/>
      <c r="E781" s="34"/>
      <c r="F781" s="34"/>
      <c r="G781" s="34"/>
      <c r="H781" s="34"/>
      <c r="I781" s="6"/>
      <c r="J781" s="2"/>
      <c r="K781" s="2"/>
      <c r="L781" s="6"/>
      <c r="M781" s="6"/>
      <c r="N781" s="6"/>
      <c r="O781" s="34"/>
      <c r="P781" s="34"/>
      <c r="Q781" s="2"/>
      <c r="R781" s="34"/>
      <c r="S781" s="34"/>
      <c r="T781" s="34"/>
      <c r="U781" s="2"/>
      <c r="V781" s="2"/>
      <c r="W781" s="2"/>
      <c r="X781" s="34"/>
    </row>
    <row x14ac:dyDescent="0.25" r="782" customHeight="1" ht="15.75">
      <c r="A782" s="1"/>
      <c r="B782" s="34"/>
      <c r="C782" s="2"/>
      <c r="D782" s="34"/>
      <c r="E782" s="34"/>
      <c r="F782" s="34"/>
      <c r="G782" s="34"/>
      <c r="H782" s="34"/>
      <c r="I782" s="6"/>
      <c r="J782" s="2"/>
      <c r="K782" s="2"/>
      <c r="L782" s="6"/>
      <c r="M782" s="6"/>
      <c r="N782" s="6"/>
      <c r="O782" s="34"/>
      <c r="P782" s="34"/>
      <c r="Q782" s="2"/>
      <c r="R782" s="34"/>
      <c r="S782" s="34"/>
      <c r="T782" s="34"/>
      <c r="U782" s="2"/>
      <c r="V782" s="2"/>
      <c r="W782" s="2"/>
      <c r="X782" s="34"/>
    </row>
    <row x14ac:dyDescent="0.25" r="783" customHeight="1" ht="15.75">
      <c r="A783" s="1"/>
      <c r="B783" s="34"/>
      <c r="C783" s="2"/>
      <c r="D783" s="34"/>
      <c r="E783" s="34"/>
      <c r="F783" s="34"/>
      <c r="G783" s="34"/>
      <c r="H783" s="34"/>
      <c r="I783" s="6"/>
      <c r="J783" s="2"/>
      <c r="K783" s="2"/>
      <c r="L783" s="6"/>
      <c r="M783" s="6"/>
      <c r="N783" s="6"/>
      <c r="O783" s="34"/>
      <c r="P783" s="34"/>
      <c r="Q783" s="2"/>
      <c r="R783" s="34"/>
      <c r="S783" s="34"/>
      <c r="T783" s="34"/>
      <c r="U783" s="2"/>
      <c r="V783" s="2"/>
      <c r="W783" s="2"/>
      <c r="X783" s="34"/>
    </row>
    <row x14ac:dyDescent="0.25" r="784" customHeight="1" ht="15.75">
      <c r="A784" s="1"/>
      <c r="B784" s="34"/>
      <c r="C784" s="2"/>
      <c r="D784" s="34"/>
      <c r="E784" s="34"/>
      <c r="F784" s="34"/>
      <c r="G784" s="34"/>
      <c r="H784" s="34"/>
      <c r="I784" s="6"/>
      <c r="J784" s="2"/>
      <c r="K784" s="2"/>
      <c r="L784" s="6"/>
      <c r="M784" s="6"/>
      <c r="N784" s="6"/>
      <c r="O784" s="34"/>
      <c r="P784" s="34"/>
      <c r="Q784" s="2"/>
      <c r="R784" s="34"/>
      <c r="S784" s="34"/>
      <c r="T784" s="34"/>
      <c r="U784" s="2"/>
      <c r="V784" s="2"/>
      <c r="W784" s="2"/>
      <c r="X784" s="34"/>
    </row>
    <row x14ac:dyDescent="0.25" r="785" customHeight="1" ht="15.75">
      <c r="A785" s="1"/>
      <c r="B785" s="34"/>
      <c r="C785" s="2"/>
      <c r="D785" s="34"/>
      <c r="E785" s="34"/>
      <c r="F785" s="34"/>
      <c r="G785" s="34"/>
      <c r="H785" s="34"/>
      <c r="I785" s="6"/>
      <c r="J785" s="2"/>
      <c r="K785" s="2"/>
      <c r="L785" s="6"/>
      <c r="M785" s="6"/>
      <c r="N785" s="6"/>
      <c r="O785" s="34"/>
      <c r="P785" s="34"/>
      <c r="Q785" s="2"/>
      <c r="R785" s="34"/>
      <c r="S785" s="34"/>
      <c r="T785" s="34"/>
      <c r="U785" s="2"/>
      <c r="V785" s="2"/>
      <c r="W785" s="2"/>
      <c r="X785" s="34"/>
    </row>
    <row x14ac:dyDescent="0.25" r="786" customHeight="1" ht="15.75">
      <c r="A786" s="1"/>
      <c r="B786" s="34"/>
      <c r="C786" s="2"/>
      <c r="D786" s="34"/>
      <c r="E786" s="34"/>
      <c r="F786" s="34"/>
      <c r="G786" s="34"/>
      <c r="H786" s="34"/>
      <c r="I786" s="6"/>
      <c r="J786" s="2"/>
      <c r="K786" s="2"/>
      <c r="L786" s="6"/>
      <c r="M786" s="6"/>
      <c r="N786" s="6"/>
      <c r="O786" s="34"/>
      <c r="P786" s="34"/>
      <c r="Q786" s="2"/>
      <c r="R786" s="34"/>
      <c r="S786" s="34"/>
      <c r="T786" s="34"/>
      <c r="U786" s="2"/>
      <c r="V786" s="2"/>
      <c r="W786" s="2"/>
      <c r="X786" s="34"/>
    </row>
    <row x14ac:dyDescent="0.25" r="787" customHeight="1" ht="15.75">
      <c r="A787" s="1"/>
      <c r="B787" s="34"/>
      <c r="C787" s="2"/>
      <c r="D787" s="34"/>
      <c r="E787" s="34"/>
      <c r="F787" s="34"/>
      <c r="G787" s="34"/>
      <c r="H787" s="34"/>
      <c r="I787" s="6"/>
      <c r="J787" s="2"/>
      <c r="K787" s="2"/>
      <c r="L787" s="6"/>
      <c r="M787" s="6"/>
      <c r="N787" s="6"/>
      <c r="O787" s="34"/>
      <c r="P787" s="34"/>
      <c r="Q787" s="2"/>
      <c r="R787" s="34"/>
      <c r="S787" s="34"/>
      <c r="T787" s="34"/>
      <c r="U787" s="2"/>
      <c r="V787" s="2"/>
      <c r="W787" s="2"/>
      <c r="X787" s="34"/>
    </row>
    <row x14ac:dyDescent="0.25" r="788" customHeight="1" ht="15.75">
      <c r="A788" s="1"/>
      <c r="B788" s="34"/>
      <c r="C788" s="2"/>
      <c r="D788" s="34"/>
      <c r="E788" s="34"/>
      <c r="F788" s="34"/>
      <c r="G788" s="34"/>
      <c r="H788" s="34"/>
      <c r="I788" s="6"/>
      <c r="J788" s="2"/>
      <c r="K788" s="2"/>
      <c r="L788" s="6"/>
      <c r="M788" s="6"/>
      <c r="N788" s="6"/>
      <c r="O788" s="34"/>
      <c r="P788" s="34"/>
      <c r="Q788" s="2"/>
      <c r="R788" s="34"/>
      <c r="S788" s="34"/>
      <c r="T788" s="34"/>
      <c r="U788" s="2"/>
      <c r="V788" s="2"/>
      <c r="W788" s="2"/>
      <c r="X788" s="34"/>
    </row>
    <row x14ac:dyDescent="0.25" r="789" customHeight="1" ht="15.75">
      <c r="A789" s="1"/>
      <c r="B789" s="34"/>
      <c r="C789" s="2"/>
      <c r="D789" s="34"/>
      <c r="E789" s="34"/>
      <c r="F789" s="34"/>
      <c r="G789" s="34"/>
      <c r="H789" s="34"/>
      <c r="I789" s="6"/>
      <c r="J789" s="2"/>
      <c r="K789" s="2"/>
      <c r="L789" s="6"/>
      <c r="M789" s="6"/>
      <c r="N789" s="6"/>
      <c r="O789" s="34"/>
      <c r="P789" s="34"/>
      <c r="Q789" s="2"/>
      <c r="R789" s="34"/>
      <c r="S789" s="34"/>
      <c r="T789" s="34"/>
      <c r="U789" s="2"/>
      <c r="V789" s="2"/>
      <c r="W789" s="2"/>
      <c r="X789" s="34"/>
    </row>
    <row x14ac:dyDescent="0.25" r="790" customHeight="1" ht="15.75">
      <c r="A790" s="1"/>
      <c r="B790" s="34"/>
      <c r="C790" s="2"/>
      <c r="D790" s="34"/>
      <c r="E790" s="34"/>
      <c r="F790" s="34"/>
      <c r="G790" s="34"/>
      <c r="H790" s="34"/>
      <c r="I790" s="6"/>
      <c r="J790" s="2"/>
      <c r="K790" s="2"/>
      <c r="L790" s="6"/>
      <c r="M790" s="6"/>
      <c r="N790" s="6"/>
      <c r="O790" s="34"/>
      <c r="P790" s="34"/>
      <c r="Q790" s="2"/>
      <c r="R790" s="34"/>
      <c r="S790" s="34"/>
      <c r="T790" s="34"/>
      <c r="U790" s="2"/>
      <c r="V790" s="2"/>
      <c r="W790" s="2"/>
      <c r="X790" s="34"/>
    </row>
    <row x14ac:dyDescent="0.25" r="791" customHeight="1" ht="15.75">
      <c r="A791" s="1"/>
      <c r="B791" s="34"/>
      <c r="C791" s="2"/>
      <c r="D791" s="34"/>
      <c r="E791" s="34"/>
      <c r="F791" s="34"/>
      <c r="G791" s="34"/>
      <c r="H791" s="34"/>
      <c r="I791" s="6"/>
      <c r="J791" s="2"/>
      <c r="K791" s="2"/>
      <c r="L791" s="6"/>
      <c r="M791" s="6"/>
      <c r="N791" s="6"/>
      <c r="O791" s="34"/>
      <c r="P791" s="34"/>
      <c r="Q791" s="2"/>
      <c r="R791" s="34"/>
      <c r="S791" s="34"/>
      <c r="T791" s="34"/>
      <c r="U791" s="2"/>
      <c r="V791" s="2"/>
      <c r="W791" s="2"/>
      <c r="X791" s="34"/>
    </row>
    <row x14ac:dyDescent="0.25" r="792" customHeight="1" ht="15.75">
      <c r="A792" s="1"/>
      <c r="B792" s="34"/>
      <c r="C792" s="2"/>
      <c r="D792" s="34"/>
      <c r="E792" s="34"/>
      <c r="F792" s="34"/>
      <c r="G792" s="34"/>
      <c r="H792" s="34"/>
      <c r="I792" s="6"/>
      <c r="J792" s="2"/>
      <c r="K792" s="2"/>
      <c r="L792" s="6"/>
      <c r="M792" s="6"/>
      <c r="N792" s="6"/>
      <c r="O792" s="34"/>
      <c r="P792" s="34"/>
      <c r="Q792" s="2"/>
      <c r="R792" s="34"/>
      <c r="S792" s="34"/>
      <c r="T792" s="34"/>
      <c r="U792" s="2"/>
      <c r="V792" s="2"/>
      <c r="W792" s="2"/>
      <c r="X792" s="34"/>
    </row>
    <row x14ac:dyDescent="0.25" r="793" customHeight="1" ht="15.75">
      <c r="A793" s="1"/>
      <c r="B793" s="34"/>
      <c r="C793" s="2"/>
      <c r="D793" s="34"/>
      <c r="E793" s="34"/>
      <c r="F793" s="34"/>
      <c r="G793" s="34"/>
      <c r="H793" s="34"/>
      <c r="I793" s="6"/>
      <c r="J793" s="2"/>
      <c r="K793" s="2"/>
      <c r="L793" s="6"/>
      <c r="M793" s="6"/>
      <c r="N793" s="6"/>
      <c r="O793" s="34"/>
      <c r="P793" s="34"/>
      <c r="Q793" s="2"/>
      <c r="R793" s="34"/>
      <c r="S793" s="34"/>
      <c r="T793" s="34"/>
      <c r="U793" s="2"/>
      <c r="V793" s="2"/>
      <c r="W793" s="2"/>
      <c r="X793" s="34"/>
    </row>
    <row x14ac:dyDescent="0.25" r="794" customHeight="1" ht="15.75">
      <c r="A794" s="1"/>
      <c r="B794" s="34"/>
      <c r="C794" s="2"/>
      <c r="D794" s="34"/>
      <c r="E794" s="34"/>
      <c r="F794" s="34"/>
      <c r="G794" s="34"/>
      <c r="H794" s="34"/>
      <c r="I794" s="6"/>
      <c r="J794" s="2"/>
      <c r="K794" s="2"/>
      <c r="L794" s="6"/>
      <c r="M794" s="6"/>
      <c r="N794" s="6"/>
      <c r="O794" s="34"/>
      <c r="P794" s="34"/>
      <c r="Q794" s="2"/>
      <c r="R794" s="34"/>
      <c r="S794" s="34"/>
      <c r="T794" s="34"/>
      <c r="U794" s="2"/>
      <c r="V794" s="2"/>
      <c r="W794" s="2"/>
      <c r="X794" s="34"/>
    </row>
    <row x14ac:dyDescent="0.25" r="795" customHeight="1" ht="15.75">
      <c r="A795" s="1"/>
      <c r="B795" s="34"/>
      <c r="C795" s="2"/>
      <c r="D795" s="34"/>
      <c r="E795" s="34"/>
      <c r="F795" s="34"/>
      <c r="G795" s="34"/>
      <c r="H795" s="34"/>
      <c r="I795" s="6"/>
      <c r="J795" s="2"/>
      <c r="K795" s="2"/>
      <c r="L795" s="6"/>
      <c r="M795" s="6"/>
      <c r="N795" s="6"/>
      <c r="O795" s="34"/>
      <c r="P795" s="34"/>
      <c r="Q795" s="2"/>
      <c r="R795" s="34"/>
      <c r="S795" s="34"/>
      <c r="T795" s="34"/>
      <c r="U795" s="2"/>
      <c r="V795" s="2"/>
      <c r="W795" s="2"/>
      <c r="X795" s="34"/>
    </row>
    <row x14ac:dyDescent="0.25" r="796" customHeight="1" ht="15.75">
      <c r="A796" s="1"/>
      <c r="B796" s="34"/>
      <c r="C796" s="2"/>
      <c r="D796" s="34"/>
      <c r="E796" s="34"/>
      <c r="F796" s="34"/>
      <c r="G796" s="34"/>
      <c r="H796" s="34"/>
      <c r="I796" s="6"/>
      <c r="J796" s="2"/>
      <c r="K796" s="2"/>
      <c r="L796" s="6"/>
      <c r="M796" s="6"/>
      <c r="N796" s="6"/>
      <c r="O796" s="34"/>
      <c r="P796" s="34"/>
      <c r="Q796" s="2"/>
      <c r="R796" s="34"/>
      <c r="S796" s="34"/>
      <c r="T796" s="34"/>
      <c r="U796" s="2"/>
      <c r="V796" s="2"/>
      <c r="W796" s="2"/>
      <c r="X796" s="34"/>
    </row>
    <row x14ac:dyDescent="0.25" r="797" customHeight="1" ht="15.75">
      <c r="A797" s="1"/>
      <c r="B797" s="34"/>
      <c r="C797" s="2"/>
      <c r="D797" s="34"/>
      <c r="E797" s="34"/>
      <c r="F797" s="34"/>
      <c r="G797" s="34"/>
      <c r="H797" s="34"/>
      <c r="I797" s="6"/>
      <c r="J797" s="2"/>
      <c r="K797" s="2"/>
      <c r="L797" s="6"/>
      <c r="M797" s="6"/>
      <c r="N797" s="6"/>
      <c r="O797" s="34"/>
      <c r="P797" s="34"/>
      <c r="Q797" s="2"/>
      <c r="R797" s="34"/>
      <c r="S797" s="34"/>
      <c r="T797" s="34"/>
      <c r="U797" s="2"/>
      <c r="V797" s="2"/>
      <c r="W797" s="2"/>
      <c r="X797" s="34"/>
    </row>
    <row x14ac:dyDescent="0.25" r="798" customHeight="1" ht="15.75">
      <c r="A798" s="1"/>
      <c r="B798" s="34"/>
      <c r="C798" s="2"/>
      <c r="D798" s="34"/>
      <c r="E798" s="34"/>
      <c r="F798" s="34"/>
      <c r="G798" s="34"/>
      <c r="H798" s="34"/>
      <c r="I798" s="6"/>
      <c r="J798" s="2"/>
      <c r="K798" s="2"/>
      <c r="L798" s="6"/>
      <c r="M798" s="6"/>
      <c r="N798" s="6"/>
      <c r="O798" s="34"/>
      <c r="P798" s="34"/>
      <c r="Q798" s="2"/>
      <c r="R798" s="34"/>
      <c r="S798" s="34"/>
      <c r="T798" s="34"/>
      <c r="U798" s="2"/>
      <c r="V798" s="2"/>
      <c r="W798" s="2"/>
      <c r="X798" s="34"/>
    </row>
    <row x14ac:dyDescent="0.25" r="799" customHeight="1" ht="15.75">
      <c r="A799" s="1"/>
      <c r="B799" s="34"/>
      <c r="C799" s="2"/>
      <c r="D799" s="34"/>
      <c r="E799" s="34"/>
      <c r="F799" s="34"/>
      <c r="G799" s="34"/>
      <c r="H799" s="34"/>
      <c r="I799" s="6"/>
      <c r="J799" s="2"/>
      <c r="K799" s="2"/>
      <c r="L799" s="6"/>
      <c r="M799" s="6"/>
      <c r="N799" s="6"/>
      <c r="O799" s="34"/>
      <c r="P799" s="34"/>
      <c r="Q799" s="2"/>
      <c r="R799" s="34"/>
      <c r="S799" s="34"/>
      <c r="T799" s="34"/>
      <c r="U799" s="2"/>
      <c r="V799" s="2"/>
      <c r="W799" s="2"/>
      <c r="X799" s="34"/>
    </row>
    <row x14ac:dyDescent="0.25" r="800" customHeight="1" ht="15.75">
      <c r="A800" s="1"/>
      <c r="B800" s="34"/>
      <c r="C800" s="2"/>
      <c r="D800" s="34"/>
      <c r="E800" s="34"/>
      <c r="F800" s="34"/>
      <c r="G800" s="34"/>
      <c r="H800" s="34"/>
      <c r="I800" s="6"/>
      <c r="J800" s="2"/>
      <c r="K800" s="2"/>
      <c r="L800" s="6"/>
      <c r="M800" s="6"/>
      <c r="N800" s="6"/>
      <c r="O800" s="34"/>
      <c r="P800" s="34"/>
      <c r="Q800" s="2"/>
      <c r="R800" s="34"/>
      <c r="S800" s="34"/>
      <c r="T800" s="34"/>
      <c r="U800" s="2"/>
      <c r="V800" s="2"/>
      <c r="W800" s="2"/>
      <c r="X800" s="34"/>
    </row>
    <row x14ac:dyDescent="0.25" r="801" customHeight="1" ht="15.75">
      <c r="A801" s="1"/>
      <c r="B801" s="34"/>
      <c r="C801" s="2"/>
      <c r="D801" s="34"/>
      <c r="E801" s="34"/>
      <c r="F801" s="34"/>
      <c r="G801" s="34"/>
      <c r="H801" s="34"/>
      <c r="I801" s="6"/>
      <c r="J801" s="2"/>
      <c r="K801" s="2"/>
      <c r="L801" s="6"/>
      <c r="M801" s="6"/>
      <c r="N801" s="6"/>
      <c r="O801" s="34"/>
      <c r="P801" s="34"/>
      <c r="Q801" s="2"/>
      <c r="R801" s="34"/>
      <c r="S801" s="34"/>
      <c r="T801" s="34"/>
      <c r="U801" s="2"/>
      <c r="V801" s="2"/>
      <c r="W801" s="2"/>
      <c r="X801" s="34"/>
    </row>
    <row x14ac:dyDescent="0.25" r="802" customHeight="1" ht="15.75">
      <c r="A802" s="1"/>
      <c r="B802" s="34"/>
      <c r="C802" s="2"/>
      <c r="D802" s="34"/>
      <c r="E802" s="34"/>
      <c r="F802" s="34"/>
      <c r="G802" s="34"/>
      <c r="H802" s="34"/>
      <c r="I802" s="6"/>
      <c r="J802" s="2"/>
      <c r="K802" s="2"/>
      <c r="L802" s="6"/>
      <c r="M802" s="6"/>
      <c r="N802" s="6"/>
      <c r="O802" s="34"/>
      <c r="P802" s="34"/>
      <c r="Q802" s="2"/>
      <c r="R802" s="34"/>
      <c r="S802" s="34"/>
      <c r="T802" s="34"/>
      <c r="U802" s="2"/>
      <c r="V802" s="2"/>
      <c r="W802" s="2"/>
      <c r="X802" s="34"/>
    </row>
    <row x14ac:dyDescent="0.25" r="803" customHeight="1" ht="15.75">
      <c r="A803" s="1"/>
      <c r="B803" s="34"/>
      <c r="C803" s="2"/>
      <c r="D803" s="34"/>
      <c r="E803" s="34"/>
      <c r="F803" s="34"/>
      <c r="G803" s="34"/>
      <c r="H803" s="34"/>
      <c r="I803" s="6"/>
      <c r="J803" s="2"/>
      <c r="K803" s="2"/>
      <c r="L803" s="6"/>
      <c r="M803" s="6"/>
      <c r="N803" s="6"/>
      <c r="O803" s="34"/>
      <c r="P803" s="34"/>
      <c r="Q803" s="2"/>
      <c r="R803" s="34"/>
      <c r="S803" s="34"/>
      <c r="T803" s="34"/>
      <c r="U803" s="2"/>
      <c r="V803" s="2"/>
      <c r="W803" s="2"/>
      <c r="X803" s="34"/>
    </row>
    <row x14ac:dyDescent="0.25" r="804" customHeight="1" ht="15.75">
      <c r="A804" s="1"/>
      <c r="B804" s="34"/>
      <c r="C804" s="2"/>
      <c r="D804" s="34"/>
      <c r="E804" s="34"/>
      <c r="F804" s="34"/>
      <c r="G804" s="34"/>
      <c r="H804" s="34"/>
      <c r="I804" s="6"/>
      <c r="J804" s="2"/>
      <c r="K804" s="2"/>
      <c r="L804" s="6"/>
      <c r="M804" s="6"/>
      <c r="N804" s="6"/>
      <c r="O804" s="34"/>
      <c r="P804" s="34"/>
      <c r="Q804" s="2"/>
      <c r="R804" s="34"/>
      <c r="S804" s="34"/>
      <c r="T804" s="34"/>
      <c r="U804" s="2"/>
      <c r="V804" s="2"/>
      <c r="W804" s="2"/>
      <c r="X804" s="34"/>
    </row>
    <row x14ac:dyDescent="0.25" r="805" customHeight="1" ht="15.75">
      <c r="A805" s="1"/>
      <c r="B805" s="34"/>
      <c r="C805" s="2"/>
      <c r="D805" s="34"/>
      <c r="E805" s="34"/>
      <c r="F805" s="34"/>
      <c r="G805" s="34"/>
      <c r="H805" s="34"/>
      <c r="I805" s="6"/>
      <c r="J805" s="2"/>
      <c r="K805" s="2"/>
      <c r="L805" s="6"/>
      <c r="M805" s="6"/>
      <c r="N805" s="6"/>
      <c r="O805" s="34"/>
      <c r="P805" s="34"/>
      <c r="Q805" s="2"/>
      <c r="R805" s="34"/>
      <c r="S805" s="34"/>
      <c r="T805" s="34"/>
      <c r="U805" s="2"/>
      <c r="V805" s="2"/>
      <c r="W805" s="2"/>
      <c r="X805" s="34"/>
    </row>
    <row x14ac:dyDescent="0.25" r="806" customHeight="1" ht="15.75">
      <c r="A806" s="1"/>
      <c r="B806" s="34"/>
      <c r="C806" s="2"/>
      <c r="D806" s="34"/>
      <c r="E806" s="34"/>
      <c r="F806" s="34"/>
      <c r="G806" s="34"/>
      <c r="H806" s="34"/>
      <c r="I806" s="6"/>
      <c r="J806" s="2"/>
      <c r="K806" s="2"/>
      <c r="L806" s="6"/>
      <c r="M806" s="6"/>
      <c r="N806" s="6"/>
      <c r="O806" s="34"/>
      <c r="P806" s="34"/>
      <c r="Q806" s="2"/>
      <c r="R806" s="34"/>
      <c r="S806" s="34"/>
      <c r="T806" s="34"/>
      <c r="U806" s="2"/>
      <c r="V806" s="2"/>
      <c r="W806" s="2"/>
      <c r="X806" s="34"/>
    </row>
    <row x14ac:dyDescent="0.25" r="807" customHeight="1" ht="15.75">
      <c r="A807" s="1"/>
      <c r="B807" s="34"/>
      <c r="C807" s="2"/>
      <c r="D807" s="34"/>
      <c r="E807" s="34"/>
      <c r="F807" s="34"/>
      <c r="G807" s="34"/>
      <c r="H807" s="34"/>
      <c r="I807" s="6"/>
      <c r="J807" s="2"/>
      <c r="K807" s="2"/>
      <c r="L807" s="6"/>
      <c r="M807" s="6"/>
      <c r="N807" s="6"/>
      <c r="O807" s="34"/>
      <c r="P807" s="34"/>
      <c r="Q807" s="2"/>
      <c r="R807" s="34"/>
      <c r="S807" s="34"/>
      <c r="T807" s="34"/>
      <c r="U807" s="2"/>
      <c r="V807" s="2"/>
      <c r="W807" s="2"/>
      <c r="X807" s="34"/>
    </row>
    <row x14ac:dyDescent="0.25" r="808" customHeight="1" ht="15.75">
      <c r="A808" s="1"/>
      <c r="B808" s="34"/>
      <c r="C808" s="2"/>
      <c r="D808" s="34"/>
      <c r="E808" s="34"/>
      <c r="F808" s="34"/>
      <c r="G808" s="34"/>
      <c r="H808" s="34"/>
      <c r="I808" s="6"/>
      <c r="J808" s="2"/>
      <c r="K808" s="2"/>
      <c r="L808" s="6"/>
      <c r="M808" s="6"/>
      <c r="N808" s="6"/>
      <c r="O808" s="34"/>
      <c r="P808" s="34"/>
      <c r="Q808" s="2"/>
      <c r="R808" s="34"/>
      <c r="S808" s="34"/>
      <c r="T808" s="34"/>
      <c r="U808" s="2"/>
      <c r="V808" s="2"/>
      <c r="W808" s="2"/>
      <c r="X808" s="34"/>
    </row>
    <row x14ac:dyDescent="0.25" r="809" customHeight="1" ht="15.75">
      <c r="A809" s="1"/>
      <c r="B809" s="34"/>
      <c r="C809" s="2"/>
      <c r="D809" s="34"/>
      <c r="E809" s="34"/>
      <c r="F809" s="34"/>
      <c r="G809" s="34"/>
      <c r="H809" s="34"/>
      <c r="I809" s="6"/>
      <c r="J809" s="2"/>
      <c r="K809" s="2"/>
      <c r="L809" s="6"/>
      <c r="M809" s="6"/>
      <c r="N809" s="6"/>
      <c r="O809" s="34"/>
      <c r="P809" s="34"/>
      <c r="Q809" s="2"/>
      <c r="R809" s="34"/>
      <c r="S809" s="34"/>
      <c r="T809" s="34"/>
      <c r="U809" s="2"/>
      <c r="V809" s="2"/>
      <c r="W809" s="2"/>
      <c r="X809" s="34"/>
    </row>
    <row x14ac:dyDescent="0.25" r="810" customHeight="1" ht="15.75">
      <c r="A810" s="1"/>
      <c r="B810" s="34"/>
      <c r="C810" s="2"/>
      <c r="D810" s="34"/>
      <c r="E810" s="34"/>
      <c r="F810" s="34"/>
      <c r="G810" s="34"/>
      <c r="H810" s="34"/>
      <c r="I810" s="6"/>
      <c r="J810" s="2"/>
      <c r="K810" s="2"/>
      <c r="L810" s="6"/>
      <c r="M810" s="6"/>
      <c r="N810" s="6"/>
      <c r="O810" s="34"/>
      <c r="P810" s="34"/>
      <c r="Q810" s="2"/>
      <c r="R810" s="34"/>
      <c r="S810" s="34"/>
      <c r="T810" s="34"/>
      <c r="U810" s="2"/>
      <c r="V810" s="2"/>
      <c r="W810" s="2"/>
      <c r="X810" s="34"/>
    </row>
    <row x14ac:dyDescent="0.25" r="811" customHeight="1" ht="15.75">
      <c r="A811" s="1"/>
      <c r="B811" s="34"/>
      <c r="C811" s="2"/>
      <c r="D811" s="34"/>
      <c r="E811" s="34"/>
      <c r="F811" s="34"/>
      <c r="G811" s="34"/>
      <c r="H811" s="34"/>
      <c r="I811" s="6"/>
      <c r="J811" s="2"/>
      <c r="K811" s="2"/>
      <c r="L811" s="6"/>
      <c r="M811" s="6"/>
      <c r="N811" s="6"/>
      <c r="O811" s="34"/>
      <c r="P811" s="34"/>
      <c r="Q811" s="2"/>
      <c r="R811" s="34"/>
      <c r="S811" s="34"/>
      <c r="T811" s="34"/>
      <c r="U811" s="2"/>
      <c r="V811" s="2"/>
      <c r="W811" s="2"/>
      <c r="X811" s="34"/>
    </row>
    <row x14ac:dyDescent="0.25" r="812" customHeight="1" ht="15.75">
      <c r="A812" s="1"/>
      <c r="B812" s="34"/>
      <c r="C812" s="2"/>
      <c r="D812" s="34"/>
      <c r="E812" s="34"/>
      <c r="F812" s="34"/>
      <c r="G812" s="34"/>
      <c r="H812" s="34"/>
      <c r="I812" s="6"/>
      <c r="J812" s="2"/>
      <c r="K812" s="2"/>
      <c r="L812" s="6"/>
      <c r="M812" s="6"/>
      <c r="N812" s="6"/>
      <c r="O812" s="34"/>
      <c r="P812" s="34"/>
      <c r="Q812" s="2"/>
      <c r="R812" s="34"/>
      <c r="S812" s="34"/>
      <c r="T812" s="34"/>
      <c r="U812" s="2"/>
      <c r="V812" s="2"/>
      <c r="W812" s="2"/>
      <c r="X812" s="34"/>
    </row>
    <row x14ac:dyDescent="0.25" r="813" customHeight="1" ht="15.75">
      <c r="A813" s="1"/>
      <c r="B813" s="34"/>
      <c r="C813" s="2"/>
      <c r="D813" s="34"/>
      <c r="E813" s="34"/>
      <c r="F813" s="34"/>
      <c r="G813" s="34"/>
      <c r="H813" s="34"/>
      <c r="I813" s="6"/>
      <c r="J813" s="2"/>
      <c r="K813" s="2"/>
      <c r="L813" s="6"/>
      <c r="M813" s="6"/>
      <c r="N813" s="6"/>
      <c r="O813" s="34"/>
      <c r="P813" s="34"/>
      <c r="Q813" s="2"/>
      <c r="R813" s="34"/>
      <c r="S813" s="34"/>
      <c r="T813" s="34"/>
      <c r="U813" s="2"/>
      <c r="V813" s="2"/>
      <c r="W813" s="2"/>
      <c r="X813" s="34"/>
    </row>
    <row x14ac:dyDescent="0.25" r="814" customHeight="1" ht="15.75">
      <c r="A814" s="1"/>
      <c r="B814" s="34"/>
      <c r="C814" s="2"/>
      <c r="D814" s="34"/>
      <c r="E814" s="34"/>
      <c r="F814" s="34"/>
      <c r="G814" s="34"/>
      <c r="H814" s="34"/>
      <c r="I814" s="6"/>
      <c r="J814" s="2"/>
      <c r="K814" s="2"/>
      <c r="L814" s="6"/>
      <c r="M814" s="6"/>
      <c r="N814" s="6"/>
      <c r="O814" s="34"/>
      <c r="P814" s="34"/>
      <c r="Q814" s="2"/>
      <c r="R814" s="34"/>
      <c r="S814" s="34"/>
      <c r="T814" s="34"/>
      <c r="U814" s="2"/>
      <c r="V814" s="2"/>
      <c r="W814" s="2"/>
      <c r="X814" s="34"/>
    </row>
    <row x14ac:dyDescent="0.25" r="815" customHeight="1" ht="15.75">
      <c r="A815" s="1"/>
      <c r="B815" s="34"/>
      <c r="C815" s="2"/>
      <c r="D815" s="34"/>
      <c r="E815" s="34"/>
      <c r="F815" s="34"/>
      <c r="G815" s="34"/>
      <c r="H815" s="34"/>
      <c r="I815" s="6"/>
      <c r="J815" s="2"/>
      <c r="K815" s="2"/>
      <c r="L815" s="6"/>
      <c r="M815" s="6"/>
      <c r="N815" s="6"/>
      <c r="O815" s="34"/>
      <c r="P815" s="34"/>
      <c r="Q815" s="2"/>
      <c r="R815" s="34"/>
      <c r="S815" s="34"/>
      <c r="T815" s="34"/>
      <c r="U815" s="2"/>
      <c r="V815" s="2"/>
      <c r="W815" s="2"/>
      <c r="X815" s="34"/>
    </row>
    <row x14ac:dyDescent="0.25" r="816" customHeight="1" ht="15.75">
      <c r="A816" s="1"/>
      <c r="B816" s="34"/>
      <c r="C816" s="2"/>
      <c r="D816" s="34"/>
      <c r="E816" s="34"/>
      <c r="F816" s="34"/>
      <c r="G816" s="34"/>
      <c r="H816" s="34"/>
      <c r="I816" s="6"/>
      <c r="J816" s="2"/>
      <c r="K816" s="2"/>
      <c r="L816" s="6"/>
      <c r="M816" s="6"/>
      <c r="N816" s="6"/>
      <c r="O816" s="34"/>
      <c r="P816" s="34"/>
      <c r="Q816" s="2"/>
      <c r="R816" s="34"/>
      <c r="S816" s="34"/>
      <c r="T816" s="34"/>
      <c r="U816" s="2"/>
      <c r="V816" s="2"/>
      <c r="W816" s="2"/>
      <c r="X816" s="34"/>
    </row>
    <row x14ac:dyDescent="0.25" r="817" customHeight="1" ht="15.75">
      <c r="A817" s="1"/>
      <c r="B817" s="34"/>
      <c r="C817" s="2"/>
      <c r="D817" s="34"/>
      <c r="E817" s="34"/>
      <c r="F817" s="34"/>
      <c r="G817" s="34"/>
      <c r="H817" s="34"/>
      <c r="I817" s="6"/>
      <c r="J817" s="2"/>
      <c r="K817" s="2"/>
      <c r="L817" s="6"/>
      <c r="M817" s="6"/>
      <c r="N817" s="6"/>
      <c r="O817" s="34"/>
      <c r="P817" s="34"/>
      <c r="Q817" s="2"/>
      <c r="R817" s="34"/>
      <c r="S817" s="34"/>
      <c r="T817" s="34"/>
      <c r="U817" s="2"/>
      <c r="V817" s="2"/>
      <c r="W817" s="2"/>
      <c r="X817" s="34"/>
    </row>
    <row x14ac:dyDescent="0.25" r="818" customHeight="1" ht="15.75">
      <c r="A818" s="1"/>
      <c r="B818" s="34"/>
      <c r="C818" s="2"/>
      <c r="D818" s="34"/>
      <c r="E818" s="34"/>
      <c r="F818" s="34"/>
      <c r="G818" s="34"/>
      <c r="H818" s="34"/>
      <c r="I818" s="6"/>
      <c r="J818" s="2"/>
      <c r="K818" s="2"/>
      <c r="L818" s="6"/>
      <c r="M818" s="6"/>
      <c r="N818" s="6"/>
      <c r="O818" s="34"/>
      <c r="P818" s="34"/>
      <c r="Q818" s="2"/>
      <c r="R818" s="34"/>
      <c r="S818" s="34"/>
      <c r="T818" s="34"/>
      <c r="U818" s="2"/>
      <c r="V818" s="2"/>
      <c r="W818" s="2"/>
      <c r="X818" s="34"/>
    </row>
    <row x14ac:dyDescent="0.25" r="819" customHeight="1" ht="15.75">
      <c r="A819" s="1"/>
      <c r="B819" s="34"/>
      <c r="C819" s="2"/>
      <c r="D819" s="34"/>
      <c r="E819" s="34"/>
      <c r="F819" s="34"/>
      <c r="G819" s="34"/>
      <c r="H819" s="34"/>
      <c r="I819" s="6"/>
      <c r="J819" s="2"/>
      <c r="K819" s="2"/>
      <c r="L819" s="6"/>
      <c r="M819" s="6"/>
      <c r="N819" s="6"/>
      <c r="O819" s="34"/>
      <c r="P819" s="34"/>
      <c r="Q819" s="2"/>
      <c r="R819" s="34"/>
      <c r="S819" s="34"/>
      <c r="T819" s="34"/>
      <c r="U819" s="2"/>
      <c r="V819" s="2"/>
      <c r="W819" s="2"/>
      <c r="X819" s="34"/>
    </row>
    <row x14ac:dyDescent="0.25" r="820" customHeight="1" ht="15.75">
      <c r="A820" s="1"/>
      <c r="B820" s="34"/>
      <c r="C820" s="2"/>
      <c r="D820" s="34"/>
      <c r="E820" s="34"/>
      <c r="F820" s="34"/>
      <c r="G820" s="34"/>
      <c r="H820" s="34"/>
      <c r="I820" s="6"/>
      <c r="J820" s="2"/>
      <c r="K820" s="2"/>
      <c r="L820" s="6"/>
      <c r="M820" s="6"/>
      <c r="N820" s="6"/>
      <c r="O820" s="34"/>
      <c r="P820" s="34"/>
      <c r="Q820" s="2"/>
      <c r="R820" s="34"/>
      <c r="S820" s="34"/>
      <c r="T820" s="34"/>
      <c r="U820" s="2"/>
      <c r="V820" s="2"/>
      <c r="W820" s="2"/>
      <c r="X820" s="34"/>
    </row>
    <row x14ac:dyDescent="0.25" r="821" customHeight="1" ht="15.75">
      <c r="A821" s="1"/>
      <c r="B821" s="34"/>
      <c r="C821" s="2"/>
      <c r="D821" s="34"/>
      <c r="E821" s="34"/>
      <c r="F821" s="34"/>
      <c r="G821" s="34"/>
      <c r="H821" s="34"/>
      <c r="I821" s="6"/>
      <c r="J821" s="2"/>
      <c r="K821" s="2"/>
      <c r="L821" s="6"/>
      <c r="M821" s="6"/>
      <c r="N821" s="6"/>
      <c r="O821" s="34"/>
      <c r="P821" s="34"/>
      <c r="Q821" s="2"/>
      <c r="R821" s="34"/>
      <c r="S821" s="34"/>
      <c r="T821" s="34"/>
      <c r="U821" s="2"/>
      <c r="V821" s="2"/>
      <c r="W821" s="2"/>
      <c r="X821" s="34"/>
    </row>
    <row x14ac:dyDescent="0.25" r="822" customHeight="1" ht="15.75">
      <c r="A822" s="1"/>
      <c r="B822" s="34"/>
      <c r="C822" s="2"/>
      <c r="D822" s="34"/>
      <c r="E822" s="34"/>
      <c r="F822" s="34"/>
      <c r="G822" s="34"/>
      <c r="H822" s="34"/>
      <c r="I822" s="6"/>
      <c r="J822" s="2"/>
      <c r="K822" s="2"/>
      <c r="L822" s="6"/>
      <c r="M822" s="6"/>
      <c r="N822" s="6"/>
      <c r="O822" s="34"/>
      <c r="P822" s="34"/>
      <c r="Q822" s="2"/>
      <c r="R822" s="34"/>
      <c r="S822" s="34"/>
      <c r="T822" s="34"/>
      <c r="U822" s="2"/>
      <c r="V822" s="2"/>
      <c r="W822" s="2"/>
      <c r="X822" s="34"/>
    </row>
    <row x14ac:dyDescent="0.25" r="823" customHeight="1" ht="15.75">
      <c r="A823" s="1"/>
      <c r="B823" s="34"/>
      <c r="C823" s="2"/>
      <c r="D823" s="34"/>
      <c r="E823" s="34"/>
      <c r="F823" s="34"/>
      <c r="G823" s="34"/>
      <c r="H823" s="34"/>
      <c r="I823" s="6"/>
      <c r="J823" s="2"/>
      <c r="K823" s="2"/>
      <c r="L823" s="6"/>
      <c r="M823" s="6"/>
      <c r="N823" s="6"/>
      <c r="O823" s="34"/>
      <c r="P823" s="34"/>
      <c r="Q823" s="2"/>
      <c r="R823" s="34"/>
      <c r="S823" s="34"/>
      <c r="T823" s="34"/>
      <c r="U823" s="2"/>
      <c r="V823" s="2"/>
      <c r="W823" s="2"/>
      <c r="X823" s="34"/>
    </row>
    <row x14ac:dyDescent="0.25" r="824" customHeight="1" ht="15.75">
      <c r="A824" s="1"/>
      <c r="B824" s="34"/>
      <c r="C824" s="2"/>
      <c r="D824" s="34"/>
      <c r="E824" s="34"/>
      <c r="F824" s="34"/>
      <c r="G824" s="34"/>
      <c r="H824" s="34"/>
      <c r="I824" s="6"/>
      <c r="J824" s="2"/>
      <c r="K824" s="2"/>
      <c r="L824" s="6"/>
      <c r="M824" s="6"/>
      <c r="N824" s="6"/>
      <c r="O824" s="34"/>
      <c r="P824" s="34"/>
      <c r="Q824" s="2"/>
      <c r="R824" s="34"/>
      <c r="S824" s="34"/>
      <c r="T824" s="34"/>
      <c r="U824" s="2"/>
      <c r="V824" s="2"/>
      <c r="W824" s="2"/>
      <c r="X824" s="34"/>
    </row>
    <row x14ac:dyDescent="0.25" r="825" customHeight="1" ht="15.75">
      <c r="A825" s="1"/>
      <c r="B825" s="34"/>
      <c r="C825" s="2"/>
      <c r="D825" s="34"/>
      <c r="E825" s="34"/>
      <c r="F825" s="34"/>
      <c r="G825" s="34"/>
      <c r="H825" s="34"/>
      <c r="I825" s="6"/>
      <c r="J825" s="2"/>
      <c r="K825" s="2"/>
      <c r="L825" s="6"/>
      <c r="M825" s="6"/>
      <c r="N825" s="6"/>
      <c r="O825" s="34"/>
      <c r="P825" s="34"/>
      <c r="Q825" s="2"/>
      <c r="R825" s="34"/>
      <c r="S825" s="34"/>
      <c r="T825" s="34"/>
      <c r="U825" s="2"/>
      <c r="V825" s="2"/>
      <c r="W825" s="2"/>
      <c r="X825" s="34"/>
    </row>
    <row x14ac:dyDescent="0.25" r="826" customHeight="1" ht="15.75">
      <c r="A826" s="1"/>
      <c r="B826" s="34"/>
      <c r="C826" s="2"/>
      <c r="D826" s="34"/>
      <c r="E826" s="34"/>
      <c r="F826" s="34"/>
      <c r="G826" s="34"/>
      <c r="H826" s="34"/>
      <c r="I826" s="6"/>
      <c r="J826" s="2"/>
      <c r="K826" s="2"/>
      <c r="L826" s="6"/>
      <c r="M826" s="6"/>
      <c r="N826" s="6"/>
      <c r="O826" s="34"/>
      <c r="P826" s="34"/>
      <c r="Q826" s="2"/>
      <c r="R826" s="34"/>
      <c r="S826" s="34"/>
      <c r="T826" s="34"/>
      <c r="U826" s="2"/>
      <c r="V826" s="2"/>
      <c r="W826" s="2"/>
      <c r="X826" s="34"/>
    </row>
    <row x14ac:dyDescent="0.25" r="827" customHeight="1" ht="15.75">
      <c r="A827" s="1"/>
      <c r="B827" s="34"/>
      <c r="C827" s="2"/>
      <c r="D827" s="34"/>
      <c r="E827" s="34"/>
      <c r="F827" s="34"/>
      <c r="G827" s="34"/>
      <c r="H827" s="34"/>
      <c r="I827" s="6"/>
      <c r="J827" s="2"/>
      <c r="K827" s="2"/>
      <c r="L827" s="6"/>
      <c r="M827" s="6"/>
      <c r="N827" s="6"/>
      <c r="O827" s="34"/>
      <c r="P827" s="34"/>
      <c r="Q827" s="2"/>
      <c r="R827" s="34"/>
      <c r="S827" s="34"/>
      <c r="T827" s="34"/>
      <c r="U827" s="2"/>
      <c r="V827" s="2"/>
      <c r="W827" s="2"/>
      <c r="X827" s="34"/>
    </row>
    <row x14ac:dyDescent="0.25" r="828" customHeight="1" ht="15.75">
      <c r="A828" s="1"/>
      <c r="B828" s="34"/>
      <c r="C828" s="2"/>
      <c r="D828" s="34"/>
      <c r="E828" s="34"/>
      <c r="F828" s="34"/>
      <c r="G828" s="34"/>
      <c r="H828" s="34"/>
      <c r="I828" s="6"/>
      <c r="J828" s="2"/>
      <c r="K828" s="2"/>
      <c r="L828" s="6"/>
      <c r="M828" s="6"/>
      <c r="N828" s="6"/>
      <c r="O828" s="34"/>
      <c r="P828" s="34"/>
      <c r="Q828" s="2"/>
      <c r="R828" s="34"/>
      <c r="S828" s="34"/>
      <c r="T828" s="34"/>
      <c r="U828" s="2"/>
      <c r="V828" s="2"/>
      <c r="W828" s="2"/>
      <c r="X828" s="34"/>
    </row>
    <row x14ac:dyDescent="0.25" r="829" customHeight="1" ht="15.75">
      <c r="A829" s="1"/>
      <c r="B829" s="34"/>
      <c r="C829" s="2"/>
      <c r="D829" s="34"/>
      <c r="E829" s="34"/>
      <c r="F829" s="34"/>
      <c r="G829" s="34"/>
      <c r="H829" s="34"/>
      <c r="I829" s="6"/>
      <c r="J829" s="2"/>
      <c r="K829" s="2"/>
      <c r="L829" s="6"/>
      <c r="M829" s="6"/>
      <c r="N829" s="6"/>
      <c r="O829" s="34"/>
      <c r="P829" s="34"/>
      <c r="Q829" s="2"/>
      <c r="R829" s="34"/>
      <c r="S829" s="34"/>
      <c r="T829" s="34"/>
      <c r="U829" s="2"/>
      <c r="V829" s="2"/>
      <c r="W829" s="2"/>
      <c r="X829" s="34"/>
    </row>
    <row x14ac:dyDescent="0.25" r="830" customHeight="1" ht="15.75">
      <c r="A830" s="1"/>
      <c r="B830" s="34"/>
      <c r="C830" s="2"/>
      <c r="D830" s="34"/>
      <c r="E830" s="34"/>
      <c r="F830" s="34"/>
      <c r="G830" s="34"/>
      <c r="H830" s="34"/>
      <c r="I830" s="6"/>
      <c r="J830" s="2"/>
      <c r="K830" s="2"/>
      <c r="L830" s="6"/>
      <c r="M830" s="6"/>
      <c r="N830" s="6"/>
      <c r="O830" s="34"/>
      <c r="P830" s="34"/>
      <c r="Q830" s="2"/>
      <c r="R830" s="34"/>
      <c r="S830" s="34"/>
      <c r="T830" s="34"/>
      <c r="U830" s="2"/>
      <c r="V830" s="2"/>
      <c r="W830" s="2"/>
      <c r="X830" s="34"/>
    </row>
    <row x14ac:dyDescent="0.25" r="831" customHeight="1" ht="15.75">
      <c r="A831" s="1"/>
      <c r="B831" s="34"/>
      <c r="C831" s="2"/>
      <c r="D831" s="34"/>
      <c r="E831" s="34"/>
      <c r="F831" s="34"/>
      <c r="G831" s="34"/>
      <c r="H831" s="34"/>
      <c r="I831" s="6"/>
      <c r="J831" s="2"/>
      <c r="K831" s="2"/>
      <c r="L831" s="6"/>
      <c r="M831" s="6"/>
      <c r="N831" s="6"/>
      <c r="O831" s="34"/>
      <c r="P831" s="34"/>
      <c r="Q831" s="2"/>
      <c r="R831" s="34"/>
      <c r="S831" s="34"/>
      <c r="T831" s="34"/>
      <c r="U831" s="2"/>
      <c r="V831" s="2"/>
      <c r="W831" s="2"/>
      <c r="X831" s="34"/>
    </row>
    <row x14ac:dyDescent="0.25" r="832" customHeight="1" ht="15.75">
      <c r="A832" s="1"/>
      <c r="B832" s="34"/>
      <c r="C832" s="2"/>
      <c r="D832" s="34"/>
      <c r="E832" s="34"/>
      <c r="F832" s="34"/>
      <c r="G832" s="34"/>
      <c r="H832" s="34"/>
      <c r="I832" s="6"/>
      <c r="J832" s="2"/>
      <c r="K832" s="2"/>
      <c r="L832" s="6"/>
      <c r="M832" s="6"/>
      <c r="N832" s="6"/>
      <c r="O832" s="34"/>
      <c r="P832" s="34"/>
      <c r="Q832" s="2"/>
      <c r="R832" s="34"/>
      <c r="S832" s="34"/>
      <c r="T832" s="34"/>
      <c r="U832" s="2"/>
      <c r="V832" s="2"/>
      <c r="W832" s="2"/>
      <c r="X832" s="34"/>
    </row>
    <row x14ac:dyDescent="0.25" r="833" customHeight="1" ht="15.75">
      <c r="A833" s="1"/>
      <c r="B833" s="34"/>
      <c r="C833" s="2"/>
      <c r="D833" s="34"/>
      <c r="E833" s="34"/>
      <c r="F833" s="34"/>
      <c r="G833" s="34"/>
      <c r="H833" s="34"/>
      <c r="I833" s="6"/>
      <c r="J833" s="2"/>
      <c r="K833" s="2"/>
      <c r="L833" s="6"/>
      <c r="M833" s="6"/>
      <c r="N833" s="6"/>
      <c r="O833" s="34"/>
      <c r="P833" s="34"/>
      <c r="Q833" s="2"/>
      <c r="R833" s="34"/>
      <c r="S833" s="34"/>
      <c r="T833" s="34"/>
      <c r="U833" s="2"/>
      <c r="V833" s="2"/>
      <c r="W833" s="2"/>
      <c r="X833" s="34"/>
    </row>
    <row x14ac:dyDescent="0.25" r="834" customHeight="1" ht="15.75">
      <c r="A834" s="1"/>
      <c r="B834" s="34"/>
      <c r="C834" s="2"/>
      <c r="D834" s="34"/>
      <c r="E834" s="34"/>
      <c r="F834" s="34"/>
      <c r="G834" s="34"/>
      <c r="H834" s="34"/>
      <c r="I834" s="6"/>
      <c r="J834" s="2"/>
      <c r="K834" s="2"/>
      <c r="L834" s="6"/>
      <c r="M834" s="6"/>
      <c r="N834" s="6"/>
      <c r="O834" s="34"/>
      <c r="P834" s="34"/>
      <c r="Q834" s="2"/>
      <c r="R834" s="34"/>
      <c r="S834" s="34"/>
      <c r="T834" s="34"/>
      <c r="U834" s="2"/>
      <c r="V834" s="2"/>
      <c r="W834" s="2"/>
      <c r="X834" s="34"/>
    </row>
    <row x14ac:dyDescent="0.25" r="835" customHeight="1" ht="15.75">
      <c r="A835" s="1"/>
      <c r="B835" s="34"/>
      <c r="C835" s="2"/>
      <c r="D835" s="34"/>
      <c r="E835" s="34"/>
      <c r="F835" s="34"/>
      <c r="G835" s="34"/>
      <c r="H835" s="34"/>
      <c r="I835" s="6"/>
      <c r="J835" s="2"/>
      <c r="K835" s="2"/>
      <c r="L835" s="6"/>
      <c r="M835" s="6"/>
      <c r="N835" s="6"/>
      <c r="O835" s="34"/>
      <c r="P835" s="34"/>
      <c r="Q835" s="2"/>
      <c r="R835" s="34"/>
      <c r="S835" s="34"/>
      <c r="T835" s="34"/>
      <c r="U835" s="2"/>
      <c r="V835" s="2"/>
      <c r="W835" s="2"/>
      <c r="X835" s="34"/>
    </row>
    <row x14ac:dyDescent="0.25" r="836" customHeight="1" ht="15.75">
      <c r="A836" s="1"/>
      <c r="B836" s="34"/>
      <c r="C836" s="2"/>
      <c r="D836" s="34"/>
      <c r="E836" s="34"/>
      <c r="F836" s="34"/>
      <c r="G836" s="34"/>
      <c r="H836" s="34"/>
      <c r="I836" s="6"/>
      <c r="J836" s="2"/>
      <c r="K836" s="2"/>
      <c r="L836" s="6"/>
      <c r="M836" s="6"/>
      <c r="N836" s="6"/>
      <c r="O836" s="34"/>
      <c r="P836" s="34"/>
      <c r="Q836" s="2"/>
      <c r="R836" s="34"/>
      <c r="S836" s="34"/>
      <c r="T836" s="34"/>
      <c r="U836" s="2"/>
      <c r="V836" s="2"/>
      <c r="W836" s="2"/>
      <c r="X836" s="34"/>
    </row>
    <row x14ac:dyDescent="0.25" r="837" customHeight="1" ht="15.75">
      <c r="A837" s="1"/>
      <c r="B837" s="34"/>
      <c r="C837" s="2"/>
      <c r="D837" s="34"/>
      <c r="E837" s="34"/>
      <c r="F837" s="34"/>
      <c r="G837" s="34"/>
      <c r="H837" s="34"/>
      <c r="I837" s="6"/>
      <c r="J837" s="2"/>
      <c r="K837" s="2"/>
      <c r="L837" s="6"/>
      <c r="M837" s="6"/>
      <c r="N837" s="6"/>
      <c r="O837" s="34"/>
      <c r="P837" s="34"/>
      <c r="Q837" s="2"/>
      <c r="R837" s="34"/>
      <c r="S837" s="34"/>
      <c r="T837" s="34"/>
      <c r="U837" s="2"/>
      <c r="V837" s="2"/>
      <c r="W837" s="2"/>
      <c r="X837" s="34"/>
    </row>
    <row x14ac:dyDescent="0.25" r="838" customHeight="1" ht="15.75">
      <c r="A838" s="1"/>
      <c r="B838" s="34"/>
      <c r="C838" s="2"/>
      <c r="D838" s="34"/>
      <c r="E838" s="34"/>
      <c r="F838" s="34"/>
      <c r="G838" s="34"/>
      <c r="H838" s="34"/>
      <c r="I838" s="6"/>
      <c r="J838" s="2"/>
      <c r="K838" s="2"/>
      <c r="L838" s="6"/>
      <c r="M838" s="6"/>
      <c r="N838" s="6"/>
      <c r="O838" s="34"/>
      <c r="P838" s="34"/>
      <c r="Q838" s="2"/>
      <c r="R838" s="34"/>
      <c r="S838" s="34"/>
      <c r="T838" s="34"/>
      <c r="U838" s="2"/>
      <c r="V838" s="2"/>
      <c r="W838" s="2"/>
      <c r="X838" s="34"/>
    </row>
    <row x14ac:dyDescent="0.25" r="839" customHeight="1" ht="15.75">
      <c r="A839" s="1"/>
      <c r="B839" s="34"/>
      <c r="C839" s="2"/>
      <c r="D839" s="34"/>
      <c r="E839" s="34"/>
      <c r="F839" s="34"/>
      <c r="G839" s="34"/>
      <c r="H839" s="34"/>
      <c r="I839" s="6"/>
      <c r="J839" s="2"/>
      <c r="K839" s="2"/>
      <c r="L839" s="6"/>
      <c r="M839" s="6"/>
      <c r="N839" s="6"/>
      <c r="O839" s="34"/>
      <c r="P839" s="34"/>
      <c r="Q839" s="2"/>
      <c r="R839" s="34"/>
      <c r="S839" s="34"/>
      <c r="T839" s="34"/>
      <c r="U839" s="2"/>
      <c r="V839" s="2"/>
      <c r="W839" s="2"/>
      <c r="X839" s="34"/>
    </row>
    <row x14ac:dyDescent="0.25" r="840" customHeight="1" ht="15.75">
      <c r="A840" s="1"/>
      <c r="B840" s="34"/>
      <c r="C840" s="2"/>
      <c r="D840" s="34"/>
      <c r="E840" s="34"/>
      <c r="F840" s="34"/>
      <c r="G840" s="34"/>
      <c r="H840" s="34"/>
      <c r="I840" s="6"/>
      <c r="J840" s="2"/>
      <c r="K840" s="2"/>
      <c r="L840" s="6"/>
      <c r="M840" s="6"/>
      <c r="N840" s="6"/>
      <c r="O840" s="34"/>
      <c r="P840" s="34"/>
      <c r="Q840" s="2"/>
      <c r="R840" s="34"/>
      <c r="S840" s="34"/>
      <c r="T840" s="34"/>
      <c r="U840" s="2"/>
      <c r="V840" s="2"/>
      <c r="W840" s="2"/>
      <c r="X840" s="34"/>
    </row>
    <row x14ac:dyDescent="0.25" r="841" customHeight="1" ht="15.75">
      <c r="A841" s="1"/>
      <c r="B841" s="34"/>
      <c r="C841" s="2"/>
      <c r="D841" s="34"/>
      <c r="E841" s="34"/>
      <c r="F841" s="34"/>
      <c r="G841" s="34"/>
      <c r="H841" s="34"/>
      <c r="I841" s="6"/>
      <c r="J841" s="2"/>
      <c r="K841" s="2"/>
      <c r="L841" s="6"/>
      <c r="M841" s="6"/>
      <c r="N841" s="6"/>
      <c r="O841" s="34"/>
      <c r="P841" s="34"/>
      <c r="Q841" s="2"/>
      <c r="R841" s="34"/>
      <c r="S841" s="34"/>
      <c r="T841" s="34"/>
      <c r="U841" s="2"/>
      <c r="V841" s="2"/>
      <c r="W841" s="2"/>
      <c r="X841" s="34"/>
    </row>
    <row x14ac:dyDescent="0.25" r="842" customHeight="1" ht="15.75">
      <c r="A842" s="1"/>
      <c r="B842" s="34"/>
      <c r="C842" s="2"/>
      <c r="D842" s="34"/>
      <c r="E842" s="34"/>
      <c r="F842" s="34"/>
      <c r="G842" s="34"/>
      <c r="H842" s="34"/>
      <c r="I842" s="6"/>
      <c r="J842" s="2"/>
      <c r="K842" s="2"/>
      <c r="L842" s="6"/>
      <c r="M842" s="6"/>
      <c r="N842" s="6"/>
      <c r="O842" s="34"/>
      <c r="P842" s="34"/>
      <c r="Q842" s="2"/>
      <c r="R842" s="34"/>
      <c r="S842" s="34"/>
      <c r="T842" s="34"/>
      <c r="U842" s="2"/>
      <c r="V842" s="2"/>
      <c r="W842" s="2"/>
      <c r="X842" s="34"/>
    </row>
    <row x14ac:dyDescent="0.25" r="843" customHeight="1" ht="15.75">
      <c r="A843" s="1"/>
      <c r="B843" s="34"/>
      <c r="C843" s="2"/>
      <c r="D843" s="34"/>
      <c r="E843" s="34"/>
      <c r="F843" s="34"/>
      <c r="G843" s="34"/>
      <c r="H843" s="34"/>
      <c r="I843" s="6"/>
      <c r="J843" s="2"/>
      <c r="K843" s="2"/>
      <c r="L843" s="6"/>
      <c r="M843" s="6"/>
      <c r="N843" s="6"/>
      <c r="O843" s="34"/>
      <c r="P843" s="34"/>
      <c r="Q843" s="2"/>
      <c r="R843" s="34"/>
      <c r="S843" s="34"/>
      <c r="T843" s="34"/>
      <c r="U843" s="2"/>
      <c r="V843" s="2"/>
      <c r="W843" s="2"/>
      <c r="X843" s="34"/>
    </row>
    <row x14ac:dyDescent="0.25" r="844" customHeight="1" ht="15.75">
      <c r="A844" s="1"/>
      <c r="B844" s="34"/>
      <c r="C844" s="2"/>
      <c r="D844" s="34"/>
      <c r="E844" s="34"/>
      <c r="F844" s="34"/>
      <c r="G844" s="34"/>
      <c r="H844" s="34"/>
      <c r="I844" s="6"/>
      <c r="J844" s="2"/>
      <c r="K844" s="2"/>
      <c r="L844" s="6"/>
      <c r="M844" s="6"/>
      <c r="N844" s="6"/>
      <c r="O844" s="34"/>
      <c r="P844" s="34"/>
      <c r="Q844" s="2"/>
      <c r="R844" s="34"/>
      <c r="S844" s="34"/>
      <c r="T844" s="34"/>
      <c r="U844" s="2"/>
      <c r="V844" s="2"/>
      <c r="W844" s="2"/>
      <c r="X844" s="34"/>
    </row>
    <row x14ac:dyDescent="0.25" r="845" customHeight="1" ht="15.75">
      <c r="A845" s="1"/>
      <c r="B845" s="34"/>
      <c r="C845" s="2"/>
      <c r="D845" s="34"/>
      <c r="E845" s="34"/>
      <c r="F845" s="34"/>
      <c r="G845" s="34"/>
      <c r="H845" s="34"/>
      <c r="I845" s="6"/>
      <c r="J845" s="2"/>
      <c r="K845" s="2"/>
      <c r="L845" s="6"/>
      <c r="M845" s="6"/>
      <c r="N845" s="6"/>
      <c r="O845" s="34"/>
      <c r="P845" s="34"/>
      <c r="Q845" s="2"/>
      <c r="R845" s="34"/>
      <c r="S845" s="34"/>
      <c r="T845" s="34"/>
      <c r="U845" s="2"/>
      <c r="V845" s="2"/>
      <c r="W845" s="2"/>
      <c r="X845" s="34"/>
    </row>
    <row x14ac:dyDescent="0.25" r="846" customHeight="1" ht="15.75">
      <c r="A846" s="1"/>
      <c r="B846" s="34"/>
      <c r="C846" s="2"/>
      <c r="D846" s="34"/>
      <c r="E846" s="34"/>
      <c r="F846" s="34"/>
      <c r="G846" s="34"/>
      <c r="H846" s="34"/>
      <c r="I846" s="6"/>
      <c r="J846" s="2"/>
      <c r="K846" s="2"/>
      <c r="L846" s="6"/>
      <c r="M846" s="6"/>
      <c r="N846" s="6"/>
      <c r="O846" s="34"/>
      <c r="P846" s="34"/>
      <c r="Q846" s="2"/>
      <c r="R846" s="34"/>
      <c r="S846" s="34"/>
      <c r="T846" s="34"/>
      <c r="U846" s="2"/>
      <c r="V846" s="2"/>
      <c r="W846" s="2"/>
      <c r="X846" s="34"/>
    </row>
    <row x14ac:dyDescent="0.25" r="847" customHeight="1" ht="15.75">
      <c r="A847" s="1"/>
      <c r="B847" s="34"/>
      <c r="C847" s="2"/>
      <c r="D847" s="34"/>
      <c r="E847" s="34"/>
      <c r="F847" s="34"/>
      <c r="G847" s="34"/>
      <c r="H847" s="34"/>
      <c r="I847" s="6"/>
      <c r="J847" s="2"/>
      <c r="K847" s="2"/>
      <c r="L847" s="6"/>
      <c r="M847" s="6"/>
      <c r="N847" s="6"/>
      <c r="O847" s="34"/>
      <c r="P847" s="34"/>
      <c r="Q847" s="2"/>
      <c r="R847" s="34"/>
      <c r="S847" s="34"/>
      <c r="T847" s="34"/>
      <c r="U847" s="2"/>
      <c r="V847" s="2"/>
      <c r="W847" s="2"/>
      <c r="X847" s="34"/>
    </row>
    <row x14ac:dyDescent="0.25" r="848" customHeight="1" ht="15.75">
      <c r="A848" s="1"/>
      <c r="B848" s="34"/>
      <c r="C848" s="2"/>
      <c r="D848" s="34"/>
      <c r="E848" s="34"/>
      <c r="F848" s="34"/>
      <c r="G848" s="34"/>
      <c r="H848" s="34"/>
      <c r="I848" s="6"/>
      <c r="J848" s="2"/>
      <c r="K848" s="2"/>
      <c r="L848" s="6"/>
      <c r="M848" s="6"/>
      <c r="N848" s="6"/>
      <c r="O848" s="34"/>
      <c r="P848" s="34"/>
      <c r="Q848" s="2"/>
      <c r="R848" s="34"/>
      <c r="S848" s="34"/>
      <c r="T848" s="34"/>
      <c r="U848" s="2"/>
      <c r="V848" s="2"/>
      <c r="W848" s="2"/>
      <c r="X848" s="34"/>
    </row>
    <row x14ac:dyDescent="0.25" r="849" customHeight="1" ht="15.75">
      <c r="A849" s="1"/>
      <c r="B849" s="34"/>
      <c r="C849" s="2"/>
      <c r="D849" s="34"/>
      <c r="E849" s="34"/>
      <c r="F849" s="34"/>
      <c r="G849" s="34"/>
      <c r="H849" s="34"/>
      <c r="I849" s="6"/>
      <c r="J849" s="2"/>
      <c r="K849" s="2"/>
      <c r="L849" s="6"/>
      <c r="M849" s="6"/>
      <c r="N849" s="6"/>
      <c r="O849" s="34"/>
      <c r="P849" s="34"/>
      <c r="Q849" s="2"/>
      <c r="R849" s="34"/>
      <c r="S849" s="34"/>
      <c r="T849" s="34"/>
      <c r="U849" s="2"/>
      <c r="V849" s="2"/>
      <c r="W849" s="2"/>
      <c r="X849" s="34"/>
    </row>
    <row x14ac:dyDescent="0.25" r="850" customHeight="1" ht="15.75">
      <c r="A850" s="1"/>
      <c r="B850" s="34"/>
      <c r="C850" s="2"/>
      <c r="D850" s="34"/>
      <c r="E850" s="34"/>
      <c r="F850" s="34"/>
      <c r="G850" s="34"/>
      <c r="H850" s="34"/>
      <c r="I850" s="6"/>
      <c r="J850" s="2"/>
      <c r="K850" s="2"/>
      <c r="L850" s="6"/>
      <c r="M850" s="6"/>
      <c r="N850" s="6"/>
      <c r="O850" s="34"/>
      <c r="P850" s="34"/>
      <c r="Q850" s="2"/>
      <c r="R850" s="34"/>
      <c r="S850" s="34"/>
      <c r="T850" s="34"/>
      <c r="U850" s="2"/>
      <c r="V850" s="2"/>
      <c r="W850" s="2"/>
      <c r="X850" s="34"/>
    </row>
    <row x14ac:dyDescent="0.25" r="851" customHeight="1" ht="15.75">
      <c r="A851" s="1"/>
      <c r="B851" s="34"/>
      <c r="C851" s="2"/>
      <c r="D851" s="34"/>
      <c r="E851" s="34"/>
      <c r="F851" s="34"/>
      <c r="G851" s="34"/>
      <c r="H851" s="34"/>
      <c r="I851" s="6"/>
      <c r="J851" s="2"/>
      <c r="K851" s="2"/>
      <c r="L851" s="6"/>
      <c r="M851" s="6"/>
      <c r="N851" s="6"/>
      <c r="O851" s="34"/>
      <c r="P851" s="34"/>
      <c r="Q851" s="2"/>
      <c r="R851" s="34"/>
      <c r="S851" s="34"/>
      <c r="T851" s="34"/>
      <c r="U851" s="2"/>
      <c r="V851" s="2"/>
      <c r="W851" s="2"/>
      <c r="X851" s="34"/>
    </row>
    <row x14ac:dyDescent="0.25" r="852" customHeight="1" ht="15.75">
      <c r="A852" s="1"/>
      <c r="B852" s="34"/>
      <c r="C852" s="2"/>
      <c r="D852" s="34"/>
      <c r="E852" s="34"/>
      <c r="F852" s="34"/>
      <c r="G852" s="34"/>
      <c r="H852" s="34"/>
      <c r="I852" s="6"/>
      <c r="J852" s="2"/>
      <c r="K852" s="2"/>
      <c r="L852" s="6"/>
      <c r="M852" s="6"/>
      <c r="N852" s="6"/>
      <c r="O852" s="34"/>
      <c r="P852" s="34"/>
      <c r="Q852" s="2"/>
      <c r="R852" s="34"/>
      <c r="S852" s="34"/>
      <c r="T852" s="34"/>
      <c r="U852" s="2"/>
      <c r="V852" s="2"/>
      <c r="W852" s="2"/>
      <c r="X852" s="34"/>
    </row>
    <row x14ac:dyDescent="0.25" r="853" customHeight="1" ht="15.75">
      <c r="A853" s="1"/>
      <c r="B853" s="34"/>
      <c r="C853" s="2"/>
      <c r="D853" s="34"/>
      <c r="E853" s="34"/>
      <c r="F853" s="34"/>
      <c r="G853" s="34"/>
      <c r="H853" s="34"/>
      <c r="I853" s="6"/>
      <c r="J853" s="2"/>
      <c r="K853" s="2"/>
      <c r="L853" s="6"/>
      <c r="M853" s="6"/>
      <c r="N853" s="6"/>
      <c r="O853" s="34"/>
      <c r="P853" s="34"/>
      <c r="Q853" s="2"/>
      <c r="R853" s="34"/>
      <c r="S853" s="34"/>
      <c r="T853" s="34"/>
      <c r="U853" s="2"/>
      <c r="V853" s="2"/>
      <c r="W853" s="2"/>
      <c r="X853" s="34"/>
    </row>
    <row x14ac:dyDescent="0.25" r="854" customHeight="1" ht="15.75">
      <c r="A854" s="1"/>
      <c r="B854" s="34"/>
      <c r="C854" s="2"/>
      <c r="D854" s="34"/>
      <c r="E854" s="34"/>
      <c r="F854" s="34"/>
      <c r="G854" s="34"/>
      <c r="H854" s="34"/>
      <c r="I854" s="6"/>
      <c r="J854" s="2"/>
      <c r="K854" s="2"/>
      <c r="L854" s="6"/>
      <c r="M854" s="6"/>
      <c r="N854" s="6"/>
      <c r="O854" s="34"/>
      <c r="P854" s="34"/>
      <c r="Q854" s="2"/>
      <c r="R854" s="34"/>
      <c r="S854" s="34"/>
      <c r="T854" s="34"/>
      <c r="U854" s="2"/>
      <c r="V854" s="2"/>
      <c r="W854" s="2"/>
      <c r="X854" s="34"/>
    </row>
    <row x14ac:dyDescent="0.25" r="855" customHeight="1" ht="15.75">
      <c r="A855" s="1"/>
      <c r="B855" s="34"/>
      <c r="C855" s="2"/>
      <c r="D855" s="34"/>
      <c r="E855" s="34"/>
      <c r="F855" s="34"/>
      <c r="G855" s="34"/>
      <c r="H855" s="34"/>
      <c r="I855" s="6"/>
      <c r="J855" s="2"/>
      <c r="K855" s="2"/>
      <c r="L855" s="6"/>
      <c r="M855" s="6"/>
      <c r="N855" s="6"/>
      <c r="O855" s="34"/>
      <c r="P855" s="34"/>
      <c r="Q855" s="2"/>
      <c r="R855" s="34"/>
      <c r="S855" s="34"/>
      <c r="T855" s="34"/>
      <c r="U855" s="2"/>
      <c r="V855" s="2"/>
      <c r="W855" s="2"/>
      <c r="X855" s="34"/>
    </row>
    <row x14ac:dyDescent="0.25" r="856" customHeight="1" ht="15.75">
      <c r="A856" s="1"/>
      <c r="B856" s="34"/>
      <c r="C856" s="2"/>
      <c r="D856" s="34"/>
      <c r="E856" s="34"/>
      <c r="F856" s="34"/>
      <c r="G856" s="34"/>
      <c r="H856" s="34"/>
      <c r="I856" s="6"/>
      <c r="J856" s="2"/>
      <c r="K856" s="2"/>
      <c r="L856" s="6"/>
      <c r="M856" s="6"/>
      <c r="N856" s="6"/>
      <c r="O856" s="34"/>
      <c r="P856" s="34"/>
      <c r="Q856" s="2"/>
      <c r="R856" s="34"/>
      <c r="S856" s="34"/>
      <c r="T856" s="34"/>
      <c r="U856" s="2"/>
      <c r="V856" s="2"/>
      <c r="W856" s="2"/>
      <c r="X856" s="34"/>
    </row>
    <row x14ac:dyDescent="0.25" r="857" customHeight="1" ht="15.75">
      <c r="A857" s="1"/>
      <c r="B857" s="34"/>
      <c r="C857" s="2"/>
      <c r="D857" s="34"/>
      <c r="E857" s="34"/>
      <c r="F857" s="34"/>
      <c r="G857" s="34"/>
      <c r="H857" s="34"/>
      <c r="I857" s="6"/>
      <c r="J857" s="2"/>
      <c r="K857" s="2"/>
      <c r="L857" s="6"/>
      <c r="M857" s="6"/>
      <c r="N857" s="6"/>
      <c r="O857" s="34"/>
      <c r="P857" s="34"/>
      <c r="Q857" s="2"/>
      <c r="R857" s="34"/>
      <c r="S857" s="34"/>
      <c r="T857" s="34"/>
      <c r="U857" s="2"/>
      <c r="V857" s="2"/>
      <c r="W857" s="2"/>
      <c r="X857" s="34"/>
    </row>
    <row x14ac:dyDescent="0.25" r="858" customHeight="1" ht="15.75">
      <c r="A858" s="1"/>
      <c r="B858" s="34"/>
      <c r="C858" s="2"/>
      <c r="D858" s="34"/>
      <c r="E858" s="34"/>
      <c r="F858" s="34"/>
      <c r="G858" s="34"/>
      <c r="H858" s="34"/>
      <c r="I858" s="6"/>
      <c r="J858" s="2"/>
      <c r="K858" s="2"/>
      <c r="L858" s="6"/>
      <c r="M858" s="6"/>
      <c r="N858" s="6"/>
      <c r="O858" s="34"/>
      <c r="P858" s="34"/>
      <c r="Q858" s="2"/>
      <c r="R858" s="34"/>
      <c r="S858" s="34"/>
      <c r="T858" s="34"/>
      <c r="U858" s="2"/>
      <c r="V858" s="2"/>
      <c r="W858" s="2"/>
      <c r="X858" s="34"/>
    </row>
    <row x14ac:dyDescent="0.25" r="859" customHeight="1" ht="15.75">
      <c r="A859" s="1"/>
      <c r="B859" s="34"/>
      <c r="C859" s="2"/>
      <c r="D859" s="34"/>
      <c r="E859" s="34"/>
      <c r="F859" s="34"/>
      <c r="G859" s="34"/>
      <c r="H859" s="34"/>
      <c r="I859" s="6"/>
      <c r="J859" s="2"/>
      <c r="K859" s="2"/>
      <c r="L859" s="6"/>
      <c r="M859" s="6"/>
      <c r="N859" s="6"/>
      <c r="O859" s="34"/>
      <c r="P859" s="34"/>
      <c r="Q859" s="2"/>
      <c r="R859" s="34"/>
      <c r="S859" s="34"/>
      <c r="T859" s="34"/>
      <c r="U859" s="2"/>
      <c r="V859" s="2"/>
      <c r="W859" s="2"/>
      <c r="X859" s="34"/>
    </row>
    <row x14ac:dyDescent="0.25" r="860" customHeight="1" ht="15.75">
      <c r="A860" s="1"/>
      <c r="B860" s="34"/>
      <c r="C860" s="2"/>
      <c r="D860" s="34"/>
      <c r="E860" s="34"/>
      <c r="F860" s="34"/>
      <c r="G860" s="34"/>
      <c r="H860" s="34"/>
      <c r="I860" s="6"/>
      <c r="J860" s="2"/>
      <c r="K860" s="2"/>
      <c r="L860" s="6"/>
      <c r="M860" s="6"/>
      <c r="N860" s="6"/>
      <c r="O860" s="34"/>
      <c r="P860" s="34"/>
      <c r="Q860" s="2"/>
      <c r="R860" s="34"/>
      <c r="S860" s="34"/>
      <c r="T860" s="34"/>
      <c r="U860" s="2"/>
      <c r="V860" s="2"/>
      <c r="W860" s="2"/>
      <c r="X860" s="34"/>
    </row>
    <row x14ac:dyDescent="0.25" r="861" customHeight="1" ht="15.75">
      <c r="A861" s="1"/>
      <c r="B861" s="34"/>
      <c r="C861" s="2"/>
      <c r="D861" s="34"/>
      <c r="E861" s="34"/>
      <c r="F861" s="34"/>
      <c r="G861" s="34"/>
      <c r="H861" s="34"/>
      <c r="I861" s="6"/>
      <c r="J861" s="2"/>
      <c r="K861" s="2"/>
      <c r="L861" s="6"/>
      <c r="M861" s="6"/>
      <c r="N861" s="6"/>
      <c r="O861" s="34"/>
      <c r="P861" s="34"/>
      <c r="Q861" s="2"/>
      <c r="R861" s="34"/>
      <c r="S861" s="34"/>
      <c r="T861" s="34"/>
      <c r="U861" s="2"/>
      <c r="V861" s="2"/>
      <c r="W861" s="2"/>
      <c r="X861" s="34"/>
    </row>
    <row x14ac:dyDescent="0.25" r="862" customHeight="1" ht="15.75">
      <c r="A862" s="1"/>
      <c r="B862" s="34"/>
      <c r="C862" s="2"/>
      <c r="D862" s="34"/>
      <c r="E862" s="34"/>
      <c r="F862" s="34"/>
      <c r="G862" s="34"/>
      <c r="H862" s="34"/>
      <c r="I862" s="6"/>
      <c r="J862" s="2"/>
      <c r="K862" s="2"/>
      <c r="L862" s="6"/>
      <c r="M862" s="6"/>
      <c r="N862" s="6"/>
      <c r="O862" s="34"/>
      <c r="P862" s="34"/>
      <c r="Q862" s="2"/>
      <c r="R862" s="34"/>
      <c r="S862" s="34"/>
      <c r="T862" s="34"/>
      <c r="U862" s="2"/>
      <c r="V862" s="2"/>
      <c r="W862" s="2"/>
      <c r="X862" s="34"/>
    </row>
    <row x14ac:dyDescent="0.25" r="863" customHeight="1" ht="15.75">
      <c r="A863" s="1"/>
      <c r="B863" s="34"/>
      <c r="C863" s="2"/>
      <c r="D863" s="34"/>
      <c r="E863" s="34"/>
      <c r="F863" s="34"/>
      <c r="G863" s="34"/>
      <c r="H863" s="34"/>
      <c r="I863" s="6"/>
      <c r="J863" s="2"/>
      <c r="K863" s="2"/>
      <c r="L863" s="6"/>
      <c r="M863" s="6"/>
      <c r="N863" s="6"/>
      <c r="O863" s="34"/>
      <c r="P863" s="34"/>
      <c r="Q863" s="2"/>
      <c r="R863" s="34"/>
      <c r="S863" s="34"/>
      <c r="T863" s="34"/>
      <c r="U863" s="2"/>
      <c r="V863" s="2"/>
      <c r="W863" s="2"/>
      <c r="X863" s="34"/>
    </row>
    <row x14ac:dyDescent="0.25" r="864" customHeight="1" ht="15.75">
      <c r="A864" s="1"/>
      <c r="B864" s="34"/>
      <c r="C864" s="2"/>
      <c r="D864" s="34"/>
      <c r="E864" s="34"/>
      <c r="F864" s="34"/>
      <c r="G864" s="34"/>
      <c r="H864" s="34"/>
      <c r="I864" s="6"/>
      <c r="J864" s="2"/>
      <c r="K864" s="2"/>
      <c r="L864" s="6"/>
      <c r="M864" s="6"/>
      <c r="N864" s="6"/>
      <c r="O864" s="34"/>
      <c r="P864" s="34"/>
      <c r="Q864" s="2"/>
      <c r="R864" s="34"/>
      <c r="S864" s="34"/>
      <c r="T864" s="34"/>
      <c r="U864" s="2"/>
      <c r="V864" s="2"/>
      <c r="W864" s="2"/>
      <c r="X864" s="34"/>
    </row>
    <row x14ac:dyDescent="0.25" r="865" customHeight="1" ht="15.75">
      <c r="A865" s="1"/>
      <c r="B865" s="34"/>
      <c r="C865" s="2"/>
      <c r="D865" s="34"/>
      <c r="E865" s="34"/>
      <c r="F865" s="34"/>
      <c r="G865" s="34"/>
      <c r="H865" s="34"/>
      <c r="I865" s="6"/>
      <c r="J865" s="2"/>
      <c r="K865" s="2"/>
      <c r="L865" s="6"/>
      <c r="M865" s="6"/>
      <c r="N865" s="6"/>
      <c r="O865" s="34"/>
      <c r="P865" s="34"/>
      <c r="Q865" s="2"/>
      <c r="R865" s="34"/>
      <c r="S865" s="34"/>
      <c r="T865" s="34"/>
      <c r="U865" s="2"/>
      <c r="V865" s="2"/>
      <c r="W865" s="2"/>
      <c r="X865" s="34"/>
    </row>
    <row x14ac:dyDescent="0.25" r="866" customHeight="1" ht="15.75">
      <c r="A866" s="1"/>
      <c r="B866" s="34"/>
      <c r="C866" s="2"/>
      <c r="D866" s="34"/>
      <c r="E866" s="34"/>
      <c r="F866" s="34"/>
      <c r="G866" s="34"/>
      <c r="H866" s="34"/>
      <c r="I866" s="6"/>
      <c r="J866" s="2"/>
      <c r="K866" s="2"/>
      <c r="L866" s="6"/>
      <c r="M866" s="6"/>
      <c r="N866" s="6"/>
      <c r="O866" s="34"/>
      <c r="P866" s="34"/>
      <c r="Q866" s="2"/>
      <c r="R866" s="34"/>
      <c r="S866" s="34"/>
      <c r="T866" s="34"/>
      <c r="U866" s="2"/>
      <c r="V866" s="2"/>
      <c r="W866" s="2"/>
      <c r="X866" s="34"/>
    </row>
    <row x14ac:dyDescent="0.25" r="867" customHeight="1" ht="15.75">
      <c r="A867" s="1"/>
      <c r="B867" s="34"/>
      <c r="C867" s="2"/>
      <c r="D867" s="34"/>
      <c r="E867" s="34"/>
      <c r="F867" s="34"/>
      <c r="G867" s="34"/>
      <c r="H867" s="34"/>
      <c r="I867" s="6"/>
      <c r="J867" s="2"/>
      <c r="K867" s="2"/>
      <c r="L867" s="6"/>
      <c r="M867" s="6"/>
      <c r="N867" s="6"/>
      <c r="O867" s="34"/>
      <c r="P867" s="34"/>
      <c r="Q867" s="2"/>
      <c r="R867" s="34"/>
      <c r="S867" s="34"/>
      <c r="T867" s="34"/>
      <c r="U867" s="2"/>
      <c r="V867" s="2"/>
      <c r="W867" s="2"/>
      <c r="X867" s="34"/>
    </row>
    <row x14ac:dyDescent="0.25" r="868" customHeight="1" ht="15.75">
      <c r="A868" s="1"/>
      <c r="B868" s="34"/>
      <c r="C868" s="2"/>
      <c r="D868" s="34"/>
      <c r="E868" s="34"/>
      <c r="F868" s="34"/>
      <c r="G868" s="34"/>
      <c r="H868" s="34"/>
      <c r="I868" s="6"/>
      <c r="J868" s="2"/>
      <c r="K868" s="2"/>
      <c r="L868" s="6"/>
      <c r="M868" s="6"/>
      <c r="N868" s="6"/>
      <c r="O868" s="34"/>
      <c r="P868" s="34"/>
      <c r="Q868" s="2"/>
      <c r="R868" s="34"/>
      <c r="S868" s="34"/>
      <c r="T868" s="34"/>
      <c r="U868" s="2"/>
      <c r="V868" s="2"/>
      <c r="W868" s="2"/>
      <c r="X868" s="34"/>
    </row>
    <row x14ac:dyDescent="0.25" r="869" customHeight="1" ht="15.75">
      <c r="A869" s="1"/>
      <c r="B869" s="34"/>
      <c r="C869" s="2"/>
      <c r="D869" s="34"/>
      <c r="E869" s="34"/>
      <c r="F869" s="34"/>
      <c r="G869" s="34"/>
      <c r="H869" s="34"/>
      <c r="I869" s="6"/>
      <c r="J869" s="2"/>
      <c r="K869" s="2"/>
      <c r="L869" s="6"/>
      <c r="M869" s="6"/>
      <c r="N869" s="6"/>
      <c r="O869" s="34"/>
      <c r="P869" s="34"/>
      <c r="Q869" s="2"/>
      <c r="R869" s="34"/>
      <c r="S869" s="34"/>
      <c r="T869" s="34"/>
      <c r="U869" s="2"/>
      <c r="V869" s="2"/>
      <c r="W869" s="2"/>
      <c r="X869" s="34"/>
    </row>
    <row x14ac:dyDescent="0.25" r="870" customHeight="1" ht="15.75">
      <c r="A870" s="1"/>
      <c r="B870" s="34"/>
      <c r="C870" s="2"/>
      <c r="D870" s="34"/>
      <c r="E870" s="34"/>
      <c r="F870" s="34"/>
      <c r="G870" s="34"/>
      <c r="H870" s="34"/>
      <c r="I870" s="6"/>
      <c r="J870" s="2"/>
      <c r="K870" s="2"/>
      <c r="L870" s="6"/>
      <c r="M870" s="6"/>
      <c r="N870" s="6"/>
      <c r="O870" s="34"/>
      <c r="P870" s="34"/>
      <c r="Q870" s="2"/>
      <c r="R870" s="34"/>
      <c r="S870" s="34"/>
      <c r="T870" s="34"/>
      <c r="U870" s="2"/>
      <c r="V870" s="2"/>
      <c r="W870" s="2"/>
      <c r="X870" s="34"/>
    </row>
    <row x14ac:dyDescent="0.25" r="871" customHeight="1" ht="15.75">
      <c r="A871" s="1"/>
      <c r="B871" s="34"/>
      <c r="C871" s="2"/>
      <c r="D871" s="34"/>
      <c r="E871" s="34"/>
      <c r="F871" s="34"/>
      <c r="G871" s="34"/>
      <c r="H871" s="34"/>
      <c r="I871" s="6"/>
      <c r="J871" s="2"/>
      <c r="K871" s="2"/>
      <c r="L871" s="6"/>
      <c r="M871" s="6"/>
      <c r="N871" s="6"/>
      <c r="O871" s="34"/>
      <c r="P871" s="34"/>
      <c r="Q871" s="2"/>
      <c r="R871" s="34"/>
      <c r="S871" s="34"/>
      <c r="T871" s="34"/>
      <c r="U871" s="2"/>
      <c r="V871" s="2"/>
      <c r="W871" s="2"/>
      <c r="X871" s="34"/>
    </row>
    <row x14ac:dyDescent="0.25" r="872" customHeight="1" ht="15.75">
      <c r="A872" s="1"/>
      <c r="B872" s="34"/>
      <c r="C872" s="2"/>
      <c r="D872" s="34"/>
      <c r="E872" s="34"/>
      <c r="F872" s="34"/>
      <c r="G872" s="34"/>
      <c r="H872" s="34"/>
      <c r="I872" s="6"/>
      <c r="J872" s="2"/>
      <c r="K872" s="2"/>
      <c r="L872" s="6"/>
      <c r="M872" s="6"/>
      <c r="N872" s="6"/>
      <c r="O872" s="34"/>
      <c r="P872" s="34"/>
      <c r="Q872" s="2"/>
      <c r="R872" s="34"/>
      <c r="S872" s="34"/>
      <c r="T872" s="34"/>
      <c r="U872" s="2"/>
      <c r="V872" s="2"/>
      <c r="W872" s="2"/>
      <c r="X872" s="34"/>
    </row>
    <row x14ac:dyDescent="0.25" r="873" customHeight="1" ht="15.75">
      <c r="A873" s="1"/>
      <c r="B873" s="34"/>
      <c r="C873" s="2"/>
      <c r="D873" s="34"/>
      <c r="E873" s="34"/>
      <c r="F873" s="34"/>
      <c r="G873" s="34"/>
      <c r="H873" s="34"/>
      <c r="I873" s="6"/>
      <c r="J873" s="2"/>
      <c r="K873" s="2"/>
      <c r="L873" s="6"/>
      <c r="M873" s="6"/>
      <c r="N873" s="6"/>
      <c r="O873" s="34"/>
      <c r="P873" s="34"/>
      <c r="Q873" s="2"/>
      <c r="R873" s="34"/>
      <c r="S873" s="34"/>
      <c r="T873" s="34"/>
      <c r="U873" s="2"/>
      <c r="V873" s="2"/>
      <c r="W873" s="2"/>
      <c r="X873" s="34"/>
    </row>
    <row x14ac:dyDescent="0.25" r="874" customHeight="1" ht="15.75">
      <c r="A874" s="1"/>
      <c r="B874" s="34"/>
      <c r="C874" s="2"/>
      <c r="D874" s="34"/>
      <c r="E874" s="34"/>
      <c r="F874" s="34"/>
      <c r="G874" s="34"/>
      <c r="H874" s="34"/>
      <c r="I874" s="6"/>
      <c r="J874" s="2"/>
      <c r="K874" s="2"/>
      <c r="L874" s="6"/>
      <c r="M874" s="6"/>
      <c r="N874" s="6"/>
      <c r="O874" s="34"/>
      <c r="P874" s="34"/>
      <c r="Q874" s="2"/>
      <c r="R874" s="34"/>
      <c r="S874" s="34"/>
      <c r="T874" s="34"/>
      <c r="U874" s="2"/>
      <c r="V874" s="2"/>
      <c r="W874" s="2"/>
      <c r="X874" s="34"/>
    </row>
    <row x14ac:dyDescent="0.25" r="875" customHeight="1" ht="15.75">
      <c r="A875" s="1"/>
      <c r="B875" s="34"/>
      <c r="C875" s="2"/>
      <c r="D875" s="34"/>
      <c r="E875" s="34"/>
      <c r="F875" s="34"/>
      <c r="G875" s="34"/>
      <c r="H875" s="34"/>
      <c r="I875" s="6"/>
      <c r="J875" s="2"/>
      <c r="K875" s="2"/>
      <c r="L875" s="6"/>
      <c r="M875" s="6"/>
      <c r="N875" s="6"/>
      <c r="O875" s="34"/>
      <c r="P875" s="34"/>
      <c r="Q875" s="2"/>
      <c r="R875" s="34"/>
      <c r="S875" s="34"/>
      <c r="T875" s="34"/>
      <c r="U875" s="2"/>
      <c r="V875" s="2"/>
      <c r="W875" s="2"/>
      <c r="X875" s="34"/>
    </row>
    <row x14ac:dyDescent="0.25" r="876" customHeight="1" ht="15.75">
      <c r="A876" s="1"/>
      <c r="B876" s="34"/>
      <c r="C876" s="2"/>
      <c r="D876" s="34"/>
      <c r="E876" s="34"/>
      <c r="F876" s="34"/>
      <c r="G876" s="34"/>
      <c r="H876" s="34"/>
      <c r="I876" s="6"/>
      <c r="J876" s="2"/>
      <c r="K876" s="2"/>
      <c r="L876" s="6"/>
      <c r="M876" s="6"/>
      <c r="N876" s="6"/>
      <c r="O876" s="34"/>
      <c r="P876" s="34"/>
      <c r="Q876" s="2"/>
      <c r="R876" s="34"/>
      <c r="S876" s="34"/>
      <c r="T876" s="34"/>
      <c r="U876" s="2"/>
      <c r="V876" s="2"/>
      <c r="W876" s="2"/>
      <c r="X876" s="34"/>
    </row>
    <row x14ac:dyDescent="0.25" r="877" customHeight="1" ht="15.75">
      <c r="A877" s="1"/>
      <c r="B877" s="34"/>
      <c r="C877" s="2"/>
      <c r="D877" s="34"/>
      <c r="E877" s="34"/>
      <c r="F877" s="34"/>
      <c r="G877" s="34"/>
      <c r="H877" s="34"/>
      <c r="I877" s="6"/>
      <c r="J877" s="2"/>
      <c r="K877" s="2"/>
      <c r="L877" s="6"/>
      <c r="M877" s="6"/>
      <c r="N877" s="6"/>
      <c r="O877" s="34"/>
      <c r="P877" s="34"/>
      <c r="Q877" s="2"/>
      <c r="R877" s="34"/>
      <c r="S877" s="34"/>
      <c r="T877" s="34"/>
      <c r="U877" s="2"/>
      <c r="V877" s="2"/>
      <c r="W877" s="2"/>
      <c r="X877" s="34"/>
    </row>
    <row x14ac:dyDescent="0.25" r="878" customHeight="1" ht="15.75">
      <c r="A878" s="1"/>
      <c r="B878" s="34"/>
      <c r="C878" s="2"/>
      <c r="D878" s="34"/>
      <c r="E878" s="34"/>
      <c r="F878" s="34"/>
      <c r="G878" s="34"/>
      <c r="H878" s="34"/>
      <c r="I878" s="6"/>
      <c r="J878" s="2"/>
      <c r="K878" s="2"/>
      <c r="L878" s="6"/>
      <c r="M878" s="6"/>
      <c r="N878" s="6"/>
      <c r="O878" s="34"/>
      <c r="P878" s="34"/>
      <c r="Q878" s="2"/>
      <c r="R878" s="34"/>
      <c r="S878" s="34"/>
      <c r="T878" s="34"/>
      <c r="U878" s="2"/>
      <c r="V878" s="2"/>
      <c r="W878" s="2"/>
      <c r="X878" s="34"/>
    </row>
    <row x14ac:dyDescent="0.25" r="879" customHeight="1" ht="15.75">
      <c r="A879" s="1"/>
      <c r="B879" s="34"/>
      <c r="C879" s="2"/>
      <c r="D879" s="34"/>
      <c r="E879" s="34"/>
      <c r="F879" s="34"/>
      <c r="G879" s="34"/>
      <c r="H879" s="34"/>
      <c r="I879" s="6"/>
      <c r="J879" s="2"/>
      <c r="K879" s="2"/>
      <c r="L879" s="6"/>
      <c r="M879" s="6"/>
      <c r="N879" s="6"/>
      <c r="O879" s="34"/>
      <c r="P879" s="34"/>
      <c r="Q879" s="2"/>
      <c r="R879" s="34"/>
      <c r="S879" s="34"/>
      <c r="T879" s="34"/>
      <c r="U879" s="2"/>
      <c r="V879" s="2"/>
      <c r="W879" s="2"/>
      <c r="X879" s="34"/>
    </row>
    <row x14ac:dyDescent="0.25" r="880" customHeight="1" ht="15.75">
      <c r="A880" s="1"/>
      <c r="B880" s="34"/>
      <c r="C880" s="2"/>
      <c r="D880" s="34"/>
      <c r="E880" s="34"/>
      <c r="F880" s="34"/>
      <c r="G880" s="34"/>
      <c r="H880" s="34"/>
      <c r="I880" s="6"/>
      <c r="J880" s="2"/>
      <c r="K880" s="2"/>
      <c r="L880" s="6"/>
      <c r="M880" s="6"/>
      <c r="N880" s="6"/>
      <c r="O880" s="34"/>
      <c r="P880" s="34"/>
      <c r="Q880" s="2"/>
      <c r="R880" s="34"/>
      <c r="S880" s="34"/>
      <c r="T880" s="34"/>
      <c r="U880" s="2"/>
      <c r="V880" s="2"/>
      <c r="W880" s="2"/>
      <c r="X880" s="34"/>
    </row>
    <row x14ac:dyDescent="0.25" r="881" customHeight="1" ht="15.75">
      <c r="A881" s="1"/>
      <c r="B881" s="34"/>
      <c r="C881" s="2"/>
      <c r="D881" s="34"/>
      <c r="E881" s="34"/>
      <c r="F881" s="34"/>
      <c r="G881" s="34"/>
      <c r="H881" s="34"/>
      <c r="I881" s="6"/>
      <c r="J881" s="2"/>
      <c r="K881" s="2"/>
      <c r="L881" s="6"/>
      <c r="M881" s="6"/>
      <c r="N881" s="6"/>
      <c r="O881" s="34"/>
      <c r="P881" s="34"/>
      <c r="Q881" s="2"/>
      <c r="R881" s="34"/>
      <c r="S881" s="34"/>
      <c r="T881" s="34"/>
      <c r="U881" s="2"/>
      <c r="V881" s="2"/>
      <c r="W881" s="2"/>
      <c r="X881" s="34"/>
    </row>
    <row x14ac:dyDescent="0.25" r="882" customHeight="1" ht="15.75">
      <c r="A882" s="1"/>
      <c r="B882" s="34"/>
      <c r="C882" s="2"/>
      <c r="D882" s="34"/>
      <c r="E882" s="34"/>
      <c r="F882" s="34"/>
      <c r="G882" s="34"/>
      <c r="H882" s="34"/>
      <c r="I882" s="6"/>
      <c r="J882" s="2"/>
      <c r="K882" s="2"/>
      <c r="L882" s="6"/>
      <c r="M882" s="6"/>
      <c r="N882" s="6"/>
      <c r="O882" s="34"/>
      <c r="P882" s="34"/>
      <c r="Q882" s="2"/>
      <c r="R882" s="34"/>
      <c r="S882" s="34"/>
      <c r="T882" s="34"/>
      <c r="U882" s="2"/>
      <c r="V882" s="2"/>
      <c r="W882" s="2"/>
      <c r="X882" s="34"/>
    </row>
    <row x14ac:dyDescent="0.25" r="883" customHeight="1" ht="15.75">
      <c r="A883" s="1"/>
      <c r="B883" s="34"/>
      <c r="C883" s="2"/>
      <c r="D883" s="34"/>
      <c r="E883" s="34"/>
      <c r="F883" s="34"/>
      <c r="G883" s="34"/>
      <c r="H883" s="34"/>
      <c r="I883" s="6"/>
      <c r="J883" s="2"/>
      <c r="K883" s="2"/>
      <c r="L883" s="6"/>
      <c r="M883" s="6"/>
      <c r="N883" s="6"/>
      <c r="O883" s="34"/>
      <c r="P883" s="34"/>
      <c r="Q883" s="2"/>
      <c r="R883" s="34"/>
      <c r="S883" s="34"/>
      <c r="T883" s="34"/>
      <c r="U883" s="2"/>
      <c r="V883" s="2"/>
      <c r="W883" s="2"/>
      <c r="X883" s="34"/>
    </row>
    <row x14ac:dyDescent="0.25" r="884" customHeight="1" ht="15.75">
      <c r="A884" s="1"/>
      <c r="B884" s="34"/>
      <c r="C884" s="2"/>
      <c r="D884" s="34"/>
      <c r="E884" s="34"/>
      <c r="F884" s="34"/>
      <c r="G884" s="34"/>
      <c r="H884" s="34"/>
      <c r="I884" s="6"/>
      <c r="J884" s="2"/>
      <c r="K884" s="2"/>
      <c r="L884" s="6"/>
      <c r="M884" s="6"/>
      <c r="N884" s="6"/>
      <c r="O884" s="34"/>
      <c r="P884" s="34"/>
      <c r="Q884" s="2"/>
      <c r="R884" s="34"/>
      <c r="S884" s="34"/>
      <c r="T884" s="34"/>
      <c r="U884" s="2"/>
      <c r="V884" s="2"/>
      <c r="W884" s="2"/>
      <c r="X884" s="34"/>
    </row>
    <row x14ac:dyDescent="0.25" r="885" customHeight="1" ht="15.75">
      <c r="A885" s="1"/>
      <c r="B885" s="34"/>
      <c r="C885" s="2"/>
      <c r="D885" s="34"/>
      <c r="E885" s="34"/>
      <c r="F885" s="34"/>
      <c r="G885" s="34"/>
      <c r="H885" s="34"/>
      <c r="I885" s="6"/>
      <c r="J885" s="2"/>
      <c r="K885" s="2"/>
      <c r="L885" s="6"/>
      <c r="M885" s="6"/>
      <c r="N885" s="6"/>
      <c r="O885" s="34"/>
      <c r="P885" s="34"/>
      <c r="Q885" s="2"/>
      <c r="R885" s="34"/>
      <c r="S885" s="34"/>
      <c r="T885" s="34"/>
      <c r="U885" s="2"/>
      <c r="V885" s="2"/>
      <c r="W885" s="2"/>
      <c r="X885" s="34"/>
    </row>
    <row x14ac:dyDescent="0.25" r="886" customHeight="1" ht="15.75">
      <c r="A886" s="1"/>
      <c r="B886" s="34"/>
      <c r="C886" s="2"/>
      <c r="D886" s="34"/>
      <c r="E886" s="34"/>
      <c r="F886" s="34"/>
      <c r="G886" s="34"/>
      <c r="H886" s="34"/>
      <c r="I886" s="6"/>
      <c r="J886" s="2"/>
      <c r="K886" s="2"/>
      <c r="L886" s="6"/>
      <c r="M886" s="6"/>
      <c r="N886" s="6"/>
      <c r="O886" s="34"/>
      <c r="P886" s="34"/>
      <c r="Q886" s="2"/>
      <c r="R886" s="34"/>
      <c r="S886" s="34"/>
      <c r="T886" s="34"/>
      <c r="U886" s="2"/>
      <c r="V886" s="2"/>
      <c r="W886" s="2"/>
      <c r="X886" s="34"/>
    </row>
    <row x14ac:dyDescent="0.25" r="887" customHeight="1" ht="15.75">
      <c r="A887" s="1"/>
      <c r="B887" s="34"/>
      <c r="C887" s="2"/>
      <c r="D887" s="34"/>
      <c r="E887" s="34"/>
      <c r="F887" s="34"/>
      <c r="G887" s="34"/>
      <c r="H887" s="34"/>
      <c r="I887" s="6"/>
      <c r="J887" s="2"/>
      <c r="K887" s="2"/>
      <c r="L887" s="6"/>
      <c r="M887" s="6"/>
      <c r="N887" s="6"/>
      <c r="O887" s="34"/>
      <c r="P887" s="34"/>
      <c r="Q887" s="2"/>
      <c r="R887" s="34"/>
      <c r="S887" s="34"/>
      <c r="T887" s="34"/>
      <c r="U887" s="2"/>
      <c r="V887" s="2"/>
      <c r="W887" s="2"/>
      <c r="X887" s="34"/>
    </row>
    <row x14ac:dyDescent="0.25" r="888" customHeight="1" ht="15.75">
      <c r="A888" s="1"/>
      <c r="B888" s="34"/>
      <c r="C888" s="2"/>
      <c r="D888" s="34"/>
      <c r="E888" s="34"/>
      <c r="F888" s="34"/>
      <c r="G888" s="34"/>
      <c r="H888" s="34"/>
      <c r="I888" s="6"/>
      <c r="J888" s="2"/>
      <c r="K888" s="2"/>
      <c r="L888" s="6"/>
      <c r="M888" s="6"/>
      <c r="N888" s="6"/>
      <c r="O888" s="34"/>
      <c r="P888" s="34"/>
      <c r="Q888" s="2"/>
      <c r="R888" s="34"/>
      <c r="S888" s="34"/>
      <c r="T888" s="34"/>
      <c r="U888" s="2"/>
      <c r="V888" s="2"/>
      <c r="W888" s="2"/>
      <c r="X888" s="34"/>
    </row>
    <row x14ac:dyDescent="0.25" r="889" customHeight="1" ht="15.75">
      <c r="A889" s="1"/>
      <c r="B889" s="34"/>
      <c r="C889" s="2"/>
      <c r="D889" s="34"/>
      <c r="E889" s="34"/>
      <c r="F889" s="34"/>
      <c r="G889" s="34"/>
      <c r="H889" s="34"/>
      <c r="I889" s="6"/>
      <c r="J889" s="2"/>
      <c r="K889" s="2"/>
      <c r="L889" s="6"/>
      <c r="M889" s="6"/>
      <c r="N889" s="6"/>
      <c r="O889" s="34"/>
      <c r="P889" s="34"/>
      <c r="Q889" s="2"/>
      <c r="R889" s="34"/>
      <c r="S889" s="34"/>
      <c r="T889" s="34"/>
      <c r="U889" s="2"/>
      <c r="V889" s="2"/>
      <c r="W889" s="2"/>
      <c r="X889" s="34"/>
    </row>
    <row x14ac:dyDescent="0.25" r="890" customHeight="1" ht="15.75">
      <c r="A890" s="1"/>
      <c r="B890" s="34"/>
      <c r="C890" s="2"/>
      <c r="D890" s="34"/>
      <c r="E890" s="34"/>
      <c r="F890" s="34"/>
      <c r="G890" s="34"/>
      <c r="H890" s="34"/>
      <c r="I890" s="6"/>
      <c r="J890" s="2"/>
      <c r="K890" s="2"/>
      <c r="L890" s="6"/>
      <c r="M890" s="6"/>
      <c r="N890" s="6"/>
      <c r="O890" s="34"/>
      <c r="P890" s="34"/>
      <c r="Q890" s="2"/>
      <c r="R890" s="34"/>
      <c r="S890" s="34"/>
      <c r="T890" s="34"/>
      <c r="U890" s="2"/>
      <c r="V890" s="2"/>
      <c r="W890" s="2"/>
      <c r="X890" s="34"/>
    </row>
    <row x14ac:dyDescent="0.25" r="891" customHeight="1" ht="15.75">
      <c r="A891" s="1"/>
      <c r="B891" s="34"/>
      <c r="C891" s="2"/>
      <c r="D891" s="34"/>
      <c r="E891" s="34"/>
      <c r="F891" s="34"/>
      <c r="G891" s="34"/>
      <c r="H891" s="34"/>
      <c r="I891" s="6"/>
      <c r="J891" s="2"/>
      <c r="K891" s="2"/>
      <c r="L891" s="6"/>
      <c r="M891" s="6"/>
      <c r="N891" s="6"/>
      <c r="O891" s="34"/>
      <c r="P891" s="34"/>
      <c r="Q891" s="2"/>
      <c r="R891" s="34"/>
      <c r="S891" s="34"/>
      <c r="T891" s="34"/>
      <c r="U891" s="2"/>
      <c r="V891" s="2"/>
      <c r="W891" s="2"/>
      <c r="X891" s="34"/>
    </row>
    <row x14ac:dyDescent="0.25" r="892" customHeight="1" ht="15.75">
      <c r="A892" s="1"/>
      <c r="B892" s="34"/>
      <c r="C892" s="2"/>
      <c r="D892" s="34"/>
      <c r="E892" s="34"/>
      <c r="F892" s="34"/>
      <c r="G892" s="34"/>
      <c r="H892" s="34"/>
      <c r="I892" s="6"/>
      <c r="J892" s="2"/>
      <c r="K892" s="2"/>
      <c r="L892" s="6"/>
      <c r="M892" s="6"/>
      <c r="N892" s="6"/>
      <c r="O892" s="34"/>
      <c r="P892" s="34"/>
      <c r="Q892" s="2"/>
      <c r="R892" s="34"/>
      <c r="S892" s="34"/>
      <c r="T892" s="34"/>
      <c r="U892" s="2"/>
      <c r="V892" s="2"/>
      <c r="W892" s="2"/>
      <c r="X892" s="34"/>
    </row>
    <row x14ac:dyDescent="0.25" r="893" customHeight="1" ht="15.75">
      <c r="A893" s="1"/>
      <c r="B893" s="34"/>
      <c r="C893" s="2"/>
      <c r="D893" s="34"/>
      <c r="E893" s="34"/>
      <c r="F893" s="34"/>
      <c r="G893" s="34"/>
      <c r="H893" s="34"/>
      <c r="I893" s="6"/>
      <c r="J893" s="2"/>
      <c r="K893" s="2"/>
      <c r="L893" s="6"/>
      <c r="M893" s="6"/>
      <c r="N893" s="6"/>
      <c r="O893" s="34"/>
      <c r="P893" s="34"/>
      <c r="Q893" s="2"/>
      <c r="R893" s="34"/>
      <c r="S893" s="34"/>
      <c r="T893" s="34"/>
      <c r="U893" s="2"/>
      <c r="V893" s="2"/>
      <c r="W893" s="2"/>
      <c r="X893" s="34"/>
    </row>
    <row x14ac:dyDescent="0.25" r="894" customHeight="1" ht="15.75">
      <c r="A894" s="1"/>
      <c r="B894" s="34"/>
      <c r="C894" s="2"/>
      <c r="D894" s="34"/>
      <c r="E894" s="34"/>
      <c r="F894" s="34"/>
      <c r="G894" s="34"/>
      <c r="H894" s="34"/>
      <c r="I894" s="6"/>
      <c r="J894" s="2"/>
      <c r="K894" s="2"/>
      <c r="L894" s="6"/>
      <c r="M894" s="6"/>
      <c r="N894" s="6"/>
      <c r="O894" s="34"/>
      <c r="P894" s="34"/>
      <c r="Q894" s="2"/>
      <c r="R894" s="34"/>
      <c r="S894" s="34"/>
      <c r="T894" s="34"/>
      <c r="U894" s="2"/>
      <c r="V894" s="2"/>
      <c r="W894" s="2"/>
      <c r="X894" s="34"/>
    </row>
    <row x14ac:dyDescent="0.25" r="895" customHeight="1" ht="15.75">
      <c r="A895" s="1"/>
      <c r="B895" s="34"/>
      <c r="C895" s="2"/>
      <c r="D895" s="34"/>
      <c r="E895" s="34"/>
      <c r="F895" s="34"/>
      <c r="G895" s="34"/>
      <c r="H895" s="34"/>
      <c r="I895" s="6"/>
      <c r="J895" s="2"/>
      <c r="K895" s="2"/>
      <c r="L895" s="6"/>
      <c r="M895" s="6"/>
      <c r="N895" s="6"/>
      <c r="O895" s="34"/>
      <c r="P895" s="34"/>
      <c r="Q895" s="2"/>
      <c r="R895" s="34"/>
      <c r="S895" s="34"/>
      <c r="T895" s="34"/>
      <c r="U895" s="2"/>
      <c r="V895" s="2"/>
      <c r="W895" s="2"/>
      <c r="X895" s="34"/>
    </row>
    <row x14ac:dyDescent="0.25" r="896" customHeight="1" ht="15.75">
      <c r="A896" s="1"/>
      <c r="B896" s="34"/>
      <c r="C896" s="2"/>
      <c r="D896" s="34"/>
      <c r="E896" s="34"/>
      <c r="F896" s="34"/>
      <c r="G896" s="34"/>
      <c r="H896" s="34"/>
      <c r="I896" s="6"/>
      <c r="J896" s="2"/>
      <c r="K896" s="2"/>
      <c r="L896" s="6"/>
      <c r="M896" s="6"/>
      <c r="N896" s="6"/>
      <c r="O896" s="34"/>
      <c r="P896" s="34"/>
      <c r="Q896" s="2"/>
      <c r="R896" s="34"/>
      <c r="S896" s="34"/>
      <c r="T896" s="34"/>
      <c r="U896" s="2"/>
      <c r="V896" s="2"/>
      <c r="W896" s="2"/>
      <c r="X896" s="34"/>
    </row>
    <row x14ac:dyDescent="0.25" r="897" customHeight="1" ht="15.75">
      <c r="A897" s="1"/>
      <c r="B897" s="34"/>
      <c r="C897" s="2"/>
      <c r="D897" s="34"/>
      <c r="E897" s="34"/>
      <c r="F897" s="34"/>
      <c r="G897" s="34"/>
      <c r="H897" s="34"/>
      <c r="I897" s="6"/>
      <c r="J897" s="2"/>
      <c r="K897" s="2"/>
      <c r="L897" s="6"/>
      <c r="M897" s="6"/>
      <c r="N897" s="6"/>
      <c r="O897" s="34"/>
      <c r="P897" s="34"/>
      <c r="Q897" s="2"/>
      <c r="R897" s="34"/>
      <c r="S897" s="34"/>
      <c r="T897" s="34"/>
      <c r="U897" s="2"/>
      <c r="V897" s="2"/>
      <c r="W897" s="2"/>
      <c r="X897" s="34"/>
    </row>
    <row x14ac:dyDescent="0.25" r="898" customHeight="1" ht="15.75">
      <c r="A898" s="1"/>
      <c r="B898" s="34"/>
      <c r="C898" s="2"/>
      <c r="D898" s="34"/>
      <c r="E898" s="34"/>
      <c r="F898" s="34"/>
      <c r="G898" s="34"/>
      <c r="H898" s="34"/>
      <c r="I898" s="6"/>
      <c r="J898" s="2"/>
      <c r="K898" s="2"/>
      <c r="L898" s="6"/>
      <c r="M898" s="6"/>
      <c r="N898" s="6"/>
      <c r="O898" s="34"/>
      <c r="P898" s="34"/>
      <c r="Q898" s="2"/>
      <c r="R898" s="34"/>
      <c r="S898" s="34"/>
      <c r="T898" s="34"/>
      <c r="U898" s="2"/>
      <c r="V898" s="2"/>
      <c r="W898" s="2"/>
      <c r="X898" s="34"/>
    </row>
    <row x14ac:dyDescent="0.25" r="899" customHeight="1" ht="15.75">
      <c r="A899" s="1"/>
      <c r="B899" s="34"/>
      <c r="C899" s="2"/>
      <c r="D899" s="34"/>
      <c r="E899" s="34"/>
      <c r="F899" s="34"/>
      <c r="G899" s="34"/>
      <c r="H899" s="34"/>
      <c r="I899" s="6"/>
      <c r="J899" s="2"/>
      <c r="K899" s="2"/>
      <c r="L899" s="6"/>
      <c r="M899" s="6"/>
      <c r="N899" s="6"/>
      <c r="O899" s="34"/>
      <c r="P899" s="34"/>
      <c r="Q899" s="2"/>
      <c r="R899" s="34"/>
      <c r="S899" s="34"/>
      <c r="T899" s="34"/>
      <c r="U899" s="2"/>
      <c r="V899" s="2"/>
      <c r="W899" s="2"/>
      <c r="X899" s="34"/>
    </row>
    <row x14ac:dyDescent="0.25" r="900" customHeight="1" ht="15.75">
      <c r="A900" s="1"/>
      <c r="B900" s="34"/>
      <c r="C900" s="2"/>
      <c r="D900" s="34"/>
      <c r="E900" s="34"/>
      <c r="F900" s="34"/>
      <c r="G900" s="34"/>
      <c r="H900" s="34"/>
      <c r="I900" s="6"/>
      <c r="J900" s="2"/>
      <c r="K900" s="2"/>
      <c r="L900" s="6"/>
      <c r="M900" s="6"/>
      <c r="N900" s="6"/>
      <c r="O900" s="34"/>
      <c r="P900" s="34"/>
      <c r="Q900" s="2"/>
      <c r="R900" s="34"/>
      <c r="S900" s="34"/>
      <c r="T900" s="34"/>
      <c r="U900" s="2"/>
      <c r="V900" s="2"/>
      <c r="W900" s="2"/>
      <c r="X900" s="34"/>
    </row>
    <row x14ac:dyDescent="0.25" r="901" customHeight="1" ht="15.75">
      <c r="A901" s="1"/>
      <c r="B901" s="34"/>
      <c r="C901" s="2"/>
      <c r="D901" s="34"/>
      <c r="E901" s="34"/>
      <c r="F901" s="34"/>
      <c r="G901" s="34"/>
      <c r="H901" s="34"/>
      <c r="I901" s="6"/>
      <c r="J901" s="2"/>
      <c r="K901" s="2"/>
      <c r="L901" s="6"/>
      <c r="M901" s="6"/>
      <c r="N901" s="6"/>
      <c r="O901" s="34"/>
      <c r="P901" s="34"/>
      <c r="Q901" s="2"/>
      <c r="R901" s="34"/>
      <c r="S901" s="34"/>
      <c r="T901" s="34"/>
      <c r="U901" s="2"/>
      <c r="V901" s="2"/>
      <c r="W901" s="2"/>
      <c r="X901" s="34"/>
    </row>
    <row x14ac:dyDescent="0.25" r="902" customHeight="1" ht="15.75">
      <c r="A902" s="1"/>
      <c r="B902" s="34"/>
      <c r="C902" s="2"/>
      <c r="D902" s="34"/>
      <c r="E902" s="34"/>
      <c r="F902" s="34"/>
      <c r="G902" s="34"/>
      <c r="H902" s="34"/>
      <c r="I902" s="6"/>
      <c r="J902" s="2"/>
      <c r="K902" s="2"/>
      <c r="L902" s="6"/>
      <c r="M902" s="6"/>
      <c r="N902" s="6"/>
      <c r="O902" s="34"/>
      <c r="P902" s="34"/>
      <c r="Q902" s="2"/>
      <c r="R902" s="34"/>
      <c r="S902" s="34"/>
      <c r="T902" s="34"/>
      <c r="U902" s="2"/>
      <c r="V902" s="2"/>
      <c r="W902" s="2"/>
      <c r="X902" s="34"/>
    </row>
    <row x14ac:dyDescent="0.25" r="903" customHeight="1" ht="15.75">
      <c r="A903" s="1"/>
      <c r="B903" s="34"/>
      <c r="C903" s="2"/>
      <c r="D903" s="34"/>
      <c r="E903" s="34"/>
      <c r="F903" s="34"/>
      <c r="G903" s="34"/>
      <c r="H903" s="34"/>
      <c r="I903" s="6"/>
      <c r="J903" s="2"/>
      <c r="K903" s="2"/>
      <c r="L903" s="6"/>
      <c r="M903" s="6"/>
      <c r="N903" s="6"/>
      <c r="O903" s="34"/>
      <c r="P903" s="34"/>
      <c r="Q903" s="2"/>
      <c r="R903" s="34"/>
      <c r="S903" s="34"/>
      <c r="T903" s="34"/>
      <c r="U903" s="2"/>
      <c r="V903" s="2"/>
      <c r="W903" s="2"/>
      <c r="X903" s="34"/>
    </row>
    <row x14ac:dyDescent="0.25" r="904" customHeight="1" ht="15.75">
      <c r="A904" s="1"/>
      <c r="B904" s="34"/>
      <c r="C904" s="2"/>
      <c r="D904" s="34"/>
      <c r="E904" s="34"/>
      <c r="F904" s="34"/>
      <c r="G904" s="34"/>
      <c r="H904" s="34"/>
      <c r="I904" s="6"/>
      <c r="J904" s="2"/>
      <c r="K904" s="2"/>
      <c r="L904" s="6"/>
      <c r="M904" s="6"/>
      <c r="N904" s="6"/>
      <c r="O904" s="34"/>
      <c r="P904" s="34"/>
      <c r="Q904" s="2"/>
      <c r="R904" s="34"/>
      <c r="S904" s="34"/>
      <c r="T904" s="34"/>
      <c r="U904" s="2"/>
      <c r="V904" s="2"/>
      <c r="W904" s="2"/>
      <c r="X904" s="34"/>
    </row>
    <row x14ac:dyDescent="0.25" r="905" customHeight="1" ht="15.75">
      <c r="A905" s="1"/>
      <c r="B905" s="34"/>
      <c r="C905" s="2"/>
      <c r="D905" s="34"/>
      <c r="E905" s="34"/>
      <c r="F905" s="34"/>
      <c r="G905" s="34"/>
      <c r="H905" s="34"/>
      <c r="I905" s="6"/>
      <c r="J905" s="2"/>
      <c r="K905" s="2"/>
      <c r="L905" s="6"/>
      <c r="M905" s="6"/>
      <c r="N905" s="6"/>
      <c r="O905" s="34"/>
      <c r="P905" s="34"/>
      <c r="Q905" s="2"/>
      <c r="R905" s="34"/>
      <c r="S905" s="34"/>
      <c r="T905" s="34"/>
      <c r="U905" s="2"/>
      <c r="V905" s="2"/>
      <c r="W905" s="2"/>
      <c r="X905" s="34"/>
    </row>
    <row x14ac:dyDescent="0.25" r="906" customHeight="1" ht="15.75">
      <c r="A906" s="1"/>
      <c r="B906" s="34"/>
      <c r="C906" s="2"/>
      <c r="D906" s="34"/>
      <c r="E906" s="34"/>
      <c r="F906" s="34"/>
      <c r="G906" s="34"/>
      <c r="H906" s="34"/>
      <c r="I906" s="6"/>
      <c r="J906" s="2"/>
      <c r="K906" s="2"/>
      <c r="L906" s="6"/>
      <c r="M906" s="6"/>
      <c r="N906" s="6"/>
      <c r="O906" s="34"/>
      <c r="P906" s="34"/>
      <c r="Q906" s="2"/>
      <c r="R906" s="34"/>
      <c r="S906" s="34"/>
      <c r="T906" s="34"/>
      <c r="U906" s="2"/>
      <c r="V906" s="2"/>
      <c r="W906" s="2"/>
      <c r="X906" s="34"/>
    </row>
    <row x14ac:dyDescent="0.25" r="907" customHeight="1" ht="15.75">
      <c r="A907" s="1"/>
      <c r="B907" s="34"/>
      <c r="C907" s="2"/>
      <c r="D907" s="34"/>
      <c r="E907" s="34"/>
      <c r="F907" s="34"/>
      <c r="G907" s="34"/>
      <c r="H907" s="34"/>
      <c r="I907" s="6"/>
      <c r="J907" s="2"/>
      <c r="K907" s="2"/>
      <c r="L907" s="6"/>
      <c r="M907" s="6"/>
      <c r="N907" s="6"/>
      <c r="O907" s="34"/>
      <c r="P907" s="34"/>
      <c r="Q907" s="2"/>
      <c r="R907" s="34"/>
      <c r="S907" s="34"/>
      <c r="T907" s="34"/>
      <c r="U907" s="2"/>
      <c r="V907" s="2"/>
      <c r="W907" s="2"/>
      <c r="X907" s="34"/>
    </row>
    <row x14ac:dyDescent="0.25" r="908" customHeight="1" ht="15.75">
      <c r="A908" s="1"/>
      <c r="B908" s="34"/>
      <c r="C908" s="2"/>
      <c r="D908" s="34"/>
      <c r="E908" s="34"/>
      <c r="F908" s="34"/>
      <c r="G908" s="34"/>
      <c r="H908" s="34"/>
      <c r="I908" s="6"/>
      <c r="J908" s="2"/>
      <c r="K908" s="2"/>
      <c r="L908" s="6"/>
      <c r="M908" s="6"/>
      <c r="N908" s="6"/>
      <c r="O908" s="34"/>
      <c r="P908" s="34"/>
      <c r="Q908" s="2"/>
      <c r="R908" s="34"/>
      <c r="S908" s="34"/>
      <c r="T908" s="34"/>
      <c r="U908" s="2"/>
      <c r="V908" s="2"/>
      <c r="W908" s="2"/>
      <c r="X908" s="34"/>
    </row>
    <row x14ac:dyDescent="0.25" r="909" customHeight="1" ht="15.75">
      <c r="A909" s="1"/>
      <c r="B909" s="34"/>
      <c r="C909" s="2"/>
      <c r="D909" s="34"/>
      <c r="E909" s="34"/>
      <c r="F909" s="34"/>
      <c r="G909" s="34"/>
      <c r="H909" s="34"/>
      <c r="I909" s="6"/>
      <c r="J909" s="2"/>
      <c r="K909" s="2"/>
      <c r="L909" s="6"/>
      <c r="M909" s="6"/>
      <c r="N909" s="6"/>
      <c r="O909" s="34"/>
      <c r="P909" s="34"/>
      <c r="Q909" s="2"/>
      <c r="R909" s="34"/>
      <c r="S909" s="34"/>
      <c r="T909" s="34"/>
      <c r="U909" s="2"/>
      <c r="V909" s="2"/>
      <c r="W909" s="2"/>
      <c r="X909" s="34"/>
    </row>
    <row x14ac:dyDescent="0.25" r="910" customHeight="1" ht="15.75">
      <c r="A910" s="1"/>
      <c r="B910" s="34"/>
      <c r="C910" s="2"/>
      <c r="D910" s="34"/>
      <c r="E910" s="34"/>
      <c r="F910" s="34"/>
      <c r="G910" s="34"/>
      <c r="H910" s="34"/>
      <c r="I910" s="6"/>
      <c r="J910" s="2"/>
      <c r="K910" s="2"/>
      <c r="L910" s="6"/>
      <c r="M910" s="6"/>
      <c r="N910" s="6"/>
      <c r="O910" s="34"/>
      <c r="P910" s="34"/>
      <c r="Q910" s="2"/>
      <c r="R910" s="34"/>
      <c r="S910" s="34"/>
      <c r="T910" s="34"/>
      <c r="U910" s="2"/>
      <c r="V910" s="2"/>
      <c r="W910" s="2"/>
      <c r="X910" s="34"/>
    </row>
    <row x14ac:dyDescent="0.25" r="911" customHeight="1" ht="15.75">
      <c r="A911" s="1"/>
      <c r="B911" s="34"/>
      <c r="C911" s="2"/>
      <c r="D911" s="34"/>
      <c r="E911" s="34"/>
      <c r="F911" s="34"/>
      <c r="G911" s="34"/>
      <c r="H911" s="34"/>
      <c r="I911" s="6"/>
      <c r="J911" s="2"/>
      <c r="K911" s="2"/>
      <c r="L911" s="6"/>
      <c r="M911" s="6"/>
      <c r="N911" s="6"/>
      <c r="O911" s="34"/>
      <c r="P911" s="34"/>
      <c r="Q911" s="2"/>
      <c r="R911" s="34"/>
      <c r="S911" s="34"/>
      <c r="T911" s="34"/>
      <c r="U911" s="2"/>
      <c r="V911" s="2"/>
      <c r="W911" s="2"/>
      <c r="X911" s="34"/>
    </row>
    <row x14ac:dyDescent="0.25" r="912" customHeight="1" ht="15.75">
      <c r="A912" s="1"/>
      <c r="B912" s="34"/>
      <c r="C912" s="2"/>
      <c r="D912" s="34"/>
      <c r="E912" s="34"/>
      <c r="F912" s="34"/>
      <c r="G912" s="34"/>
      <c r="H912" s="34"/>
      <c r="I912" s="6"/>
      <c r="J912" s="2"/>
      <c r="K912" s="2"/>
      <c r="L912" s="6"/>
      <c r="M912" s="6"/>
      <c r="N912" s="6"/>
      <c r="O912" s="34"/>
      <c r="P912" s="34"/>
      <c r="Q912" s="2"/>
      <c r="R912" s="34"/>
      <c r="S912" s="34"/>
      <c r="T912" s="34"/>
      <c r="U912" s="2"/>
      <c r="V912" s="2"/>
      <c r="W912" s="2"/>
      <c r="X912" s="34"/>
    </row>
    <row x14ac:dyDescent="0.25" r="913" customHeight="1" ht="15.75">
      <c r="A913" s="1"/>
      <c r="B913" s="34"/>
      <c r="C913" s="2"/>
      <c r="D913" s="34"/>
      <c r="E913" s="34"/>
      <c r="F913" s="34"/>
      <c r="G913" s="34"/>
      <c r="H913" s="34"/>
      <c r="I913" s="6"/>
      <c r="J913" s="2"/>
      <c r="K913" s="2"/>
      <c r="L913" s="6"/>
      <c r="M913" s="6"/>
      <c r="N913" s="6"/>
      <c r="O913" s="34"/>
      <c r="P913" s="34"/>
      <c r="Q913" s="2"/>
      <c r="R913" s="34"/>
      <c r="S913" s="34"/>
      <c r="T913" s="34"/>
      <c r="U913" s="2"/>
      <c r="V913" s="2"/>
      <c r="W913" s="2"/>
      <c r="X913" s="34"/>
    </row>
    <row x14ac:dyDescent="0.25" r="914" customHeight="1" ht="15.75">
      <c r="A914" s="1"/>
      <c r="B914" s="34"/>
      <c r="C914" s="2"/>
      <c r="D914" s="34"/>
      <c r="E914" s="34"/>
      <c r="F914" s="34"/>
      <c r="G914" s="34"/>
      <c r="H914" s="34"/>
      <c r="I914" s="6"/>
      <c r="J914" s="2"/>
      <c r="K914" s="2"/>
      <c r="L914" s="6"/>
      <c r="M914" s="6"/>
      <c r="N914" s="6"/>
      <c r="O914" s="34"/>
      <c r="P914" s="34"/>
      <c r="Q914" s="2"/>
      <c r="R914" s="34"/>
      <c r="S914" s="34"/>
      <c r="T914" s="34"/>
      <c r="U914" s="2"/>
      <c r="V914" s="2"/>
      <c r="W914" s="2"/>
      <c r="X914" s="34"/>
    </row>
    <row x14ac:dyDescent="0.25" r="915" customHeight="1" ht="15.75">
      <c r="A915" s="1"/>
      <c r="B915" s="34"/>
      <c r="C915" s="2"/>
      <c r="D915" s="34"/>
      <c r="E915" s="34"/>
      <c r="F915" s="34"/>
      <c r="G915" s="34"/>
      <c r="H915" s="34"/>
      <c r="I915" s="6"/>
      <c r="J915" s="2"/>
      <c r="K915" s="2"/>
      <c r="L915" s="6"/>
      <c r="M915" s="6"/>
      <c r="N915" s="6"/>
      <c r="O915" s="34"/>
      <c r="P915" s="34"/>
      <c r="Q915" s="2"/>
      <c r="R915" s="34"/>
      <c r="S915" s="34"/>
      <c r="T915" s="34"/>
      <c r="U915" s="2"/>
      <c r="V915" s="2"/>
      <c r="W915" s="2"/>
      <c r="X915" s="34"/>
    </row>
    <row x14ac:dyDescent="0.25" r="916" customHeight="1" ht="15.75">
      <c r="A916" s="1"/>
      <c r="B916" s="34"/>
      <c r="C916" s="2"/>
      <c r="D916" s="34"/>
      <c r="E916" s="34"/>
      <c r="F916" s="34"/>
      <c r="G916" s="34"/>
      <c r="H916" s="34"/>
      <c r="I916" s="6"/>
      <c r="J916" s="2"/>
      <c r="K916" s="2"/>
      <c r="L916" s="6"/>
      <c r="M916" s="6"/>
      <c r="N916" s="6"/>
      <c r="O916" s="34"/>
      <c r="P916" s="34"/>
      <c r="Q916" s="2"/>
      <c r="R916" s="34"/>
      <c r="S916" s="34"/>
      <c r="T916" s="34"/>
      <c r="U916" s="2"/>
      <c r="V916" s="2"/>
      <c r="W916" s="2"/>
      <c r="X916" s="34"/>
    </row>
    <row x14ac:dyDescent="0.25" r="917" customHeight="1" ht="15.75">
      <c r="A917" s="1"/>
      <c r="B917" s="34"/>
      <c r="C917" s="2"/>
      <c r="D917" s="34"/>
      <c r="E917" s="34"/>
      <c r="F917" s="34"/>
      <c r="G917" s="34"/>
      <c r="H917" s="34"/>
      <c r="I917" s="6"/>
      <c r="J917" s="2"/>
      <c r="K917" s="2"/>
      <c r="L917" s="6"/>
      <c r="M917" s="6"/>
      <c r="N917" s="6"/>
      <c r="O917" s="34"/>
      <c r="P917" s="34"/>
      <c r="Q917" s="2"/>
      <c r="R917" s="34"/>
      <c r="S917" s="34"/>
      <c r="T917" s="34"/>
      <c r="U917" s="2"/>
      <c r="V917" s="2"/>
      <c r="W917" s="2"/>
      <c r="X917" s="34"/>
    </row>
    <row x14ac:dyDescent="0.25" r="918" customHeight="1" ht="15.75">
      <c r="A918" s="1"/>
      <c r="B918" s="34"/>
      <c r="C918" s="2"/>
      <c r="D918" s="34"/>
      <c r="E918" s="34"/>
      <c r="F918" s="34"/>
      <c r="G918" s="34"/>
      <c r="H918" s="34"/>
      <c r="I918" s="6"/>
      <c r="J918" s="2"/>
      <c r="K918" s="2"/>
      <c r="L918" s="6"/>
      <c r="M918" s="6"/>
      <c r="N918" s="6"/>
      <c r="O918" s="34"/>
      <c r="P918" s="34"/>
      <c r="Q918" s="2"/>
      <c r="R918" s="34"/>
      <c r="S918" s="34"/>
      <c r="T918" s="34"/>
      <c r="U918" s="2"/>
      <c r="V918" s="2"/>
      <c r="W918" s="2"/>
      <c r="X918" s="34"/>
    </row>
    <row x14ac:dyDescent="0.25" r="919" customHeight="1" ht="15.75">
      <c r="A919" s="1"/>
      <c r="B919" s="34"/>
      <c r="C919" s="2"/>
      <c r="D919" s="34"/>
      <c r="E919" s="34"/>
      <c r="F919" s="34"/>
      <c r="G919" s="34"/>
      <c r="H919" s="34"/>
      <c r="I919" s="6"/>
      <c r="J919" s="2"/>
      <c r="K919" s="2"/>
      <c r="L919" s="6"/>
      <c r="M919" s="6"/>
      <c r="N919" s="6"/>
      <c r="O919" s="34"/>
      <c r="P919" s="34"/>
      <c r="Q919" s="2"/>
      <c r="R919" s="34"/>
      <c r="S919" s="34"/>
      <c r="T919" s="34"/>
      <c r="U919" s="2"/>
      <c r="V919" s="2"/>
      <c r="W919" s="2"/>
      <c r="X919" s="34"/>
    </row>
    <row x14ac:dyDescent="0.25" r="920" customHeight="1" ht="15.75">
      <c r="A920" s="1"/>
      <c r="B920" s="34"/>
      <c r="C920" s="2"/>
      <c r="D920" s="34"/>
      <c r="E920" s="34"/>
      <c r="F920" s="34"/>
      <c r="G920" s="34"/>
      <c r="H920" s="34"/>
      <c r="I920" s="6"/>
      <c r="J920" s="2"/>
      <c r="K920" s="2"/>
      <c r="L920" s="6"/>
      <c r="M920" s="6"/>
      <c r="N920" s="6"/>
      <c r="O920" s="34"/>
      <c r="P920" s="34"/>
      <c r="Q920" s="2"/>
      <c r="R920" s="34"/>
      <c r="S920" s="34"/>
      <c r="T920" s="34"/>
      <c r="U920" s="2"/>
      <c r="V920" s="2"/>
      <c r="W920" s="2"/>
      <c r="X920" s="34"/>
    </row>
    <row x14ac:dyDescent="0.25" r="921" customHeight="1" ht="15.75">
      <c r="A921" s="1"/>
      <c r="B921" s="34"/>
      <c r="C921" s="2"/>
      <c r="D921" s="34"/>
      <c r="E921" s="34"/>
      <c r="F921" s="34"/>
      <c r="G921" s="34"/>
      <c r="H921" s="34"/>
      <c r="I921" s="6"/>
      <c r="J921" s="2"/>
      <c r="K921" s="2"/>
      <c r="L921" s="6"/>
      <c r="M921" s="6"/>
      <c r="N921" s="6"/>
      <c r="O921" s="34"/>
      <c r="P921" s="34"/>
      <c r="Q921" s="2"/>
      <c r="R921" s="34"/>
      <c r="S921" s="34"/>
      <c r="T921" s="34"/>
      <c r="U921" s="2"/>
      <c r="V921" s="2"/>
      <c r="W921" s="2"/>
      <c r="X921" s="34"/>
    </row>
    <row x14ac:dyDescent="0.25" r="922" customHeight="1" ht="15.75">
      <c r="A922" s="1"/>
      <c r="B922" s="34"/>
      <c r="C922" s="2"/>
      <c r="D922" s="34"/>
      <c r="E922" s="34"/>
      <c r="F922" s="34"/>
      <c r="G922" s="34"/>
      <c r="H922" s="34"/>
      <c r="I922" s="6"/>
      <c r="J922" s="2"/>
      <c r="K922" s="2"/>
      <c r="L922" s="6"/>
      <c r="M922" s="6"/>
      <c r="N922" s="6"/>
      <c r="O922" s="34"/>
      <c r="P922" s="34"/>
      <c r="Q922" s="2"/>
      <c r="R922" s="34"/>
      <c r="S922" s="34"/>
      <c r="T922" s="34"/>
      <c r="U922" s="2"/>
      <c r="V922" s="2"/>
      <c r="W922" s="2"/>
      <c r="X922" s="34"/>
    </row>
    <row x14ac:dyDescent="0.25" r="923" customHeight="1" ht="15.75">
      <c r="A923" s="1"/>
      <c r="B923" s="34"/>
      <c r="C923" s="2"/>
      <c r="D923" s="34"/>
      <c r="E923" s="34"/>
      <c r="F923" s="34"/>
      <c r="G923" s="34"/>
      <c r="H923" s="34"/>
      <c r="I923" s="6"/>
      <c r="J923" s="2"/>
      <c r="K923" s="2"/>
      <c r="L923" s="6"/>
      <c r="M923" s="6"/>
      <c r="N923" s="6"/>
      <c r="O923" s="34"/>
      <c r="P923" s="34"/>
      <c r="Q923" s="2"/>
      <c r="R923" s="34"/>
      <c r="S923" s="34"/>
      <c r="T923" s="34"/>
      <c r="U923" s="2"/>
      <c r="V923" s="2"/>
      <c r="W923" s="2"/>
      <c r="X923" s="34"/>
    </row>
    <row x14ac:dyDescent="0.25" r="924" customHeight="1" ht="15.75">
      <c r="A924" s="1"/>
      <c r="B924" s="34"/>
      <c r="C924" s="2"/>
      <c r="D924" s="34"/>
      <c r="E924" s="34"/>
      <c r="F924" s="34"/>
      <c r="G924" s="34"/>
      <c r="H924" s="34"/>
      <c r="I924" s="6"/>
      <c r="J924" s="2"/>
      <c r="K924" s="2"/>
      <c r="L924" s="6"/>
      <c r="M924" s="6"/>
      <c r="N924" s="6"/>
      <c r="O924" s="34"/>
      <c r="P924" s="34"/>
      <c r="Q924" s="2"/>
      <c r="R924" s="34"/>
      <c r="S924" s="34"/>
      <c r="T924" s="34"/>
      <c r="U924" s="2"/>
      <c r="V924" s="2"/>
      <c r="W924" s="2"/>
      <c r="X924" s="34"/>
    </row>
    <row x14ac:dyDescent="0.25" r="925" customHeight="1" ht="15.75">
      <c r="A925" s="1"/>
      <c r="B925" s="34"/>
      <c r="C925" s="2"/>
      <c r="D925" s="34"/>
      <c r="E925" s="34"/>
      <c r="F925" s="34"/>
      <c r="G925" s="34"/>
      <c r="H925" s="34"/>
      <c r="I925" s="6"/>
      <c r="J925" s="2"/>
      <c r="K925" s="2"/>
      <c r="L925" s="6"/>
      <c r="M925" s="6"/>
      <c r="N925" s="6"/>
      <c r="O925" s="34"/>
      <c r="P925" s="34"/>
      <c r="Q925" s="2"/>
      <c r="R925" s="34"/>
      <c r="S925" s="34"/>
      <c r="T925" s="34"/>
      <c r="U925" s="2"/>
      <c r="V925" s="2"/>
      <c r="W925" s="2"/>
      <c r="X925" s="34"/>
    </row>
    <row x14ac:dyDescent="0.25" r="926" customHeight="1" ht="15.75">
      <c r="A926" s="1"/>
      <c r="B926" s="34"/>
      <c r="C926" s="2"/>
      <c r="D926" s="34"/>
      <c r="E926" s="34"/>
      <c r="F926" s="34"/>
      <c r="G926" s="34"/>
      <c r="H926" s="34"/>
      <c r="I926" s="6"/>
      <c r="J926" s="2"/>
      <c r="K926" s="2"/>
      <c r="L926" s="6"/>
      <c r="M926" s="6"/>
      <c r="N926" s="6"/>
      <c r="O926" s="34"/>
      <c r="P926" s="34"/>
      <c r="Q926" s="2"/>
      <c r="R926" s="34"/>
      <c r="S926" s="34"/>
      <c r="T926" s="34"/>
      <c r="U926" s="2"/>
      <c r="V926" s="2"/>
      <c r="W926" s="2"/>
      <c r="X926" s="34"/>
    </row>
    <row x14ac:dyDescent="0.25" r="927" customHeight="1" ht="15.75">
      <c r="A927" s="1"/>
      <c r="B927" s="34"/>
      <c r="C927" s="2"/>
      <c r="D927" s="34"/>
      <c r="E927" s="34"/>
      <c r="F927" s="34"/>
      <c r="G927" s="34"/>
      <c r="H927" s="34"/>
      <c r="I927" s="6"/>
      <c r="J927" s="2"/>
      <c r="K927" s="2"/>
      <c r="L927" s="6"/>
      <c r="M927" s="6"/>
      <c r="N927" s="6"/>
      <c r="O927" s="34"/>
      <c r="P927" s="34"/>
      <c r="Q927" s="2"/>
      <c r="R927" s="34"/>
      <c r="S927" s="34"/>
      <c r="T927" s="34"/>
      <c r="U927" s="2"/>
      <c r="V927" s="2"/>
      <c r="W927" s="2"/>
      <c r="X927" s="34"/>
    </row>
    <row x14ac:dyDescent="0.25" r="928" customHeight="1" ht="15.75">
      <c r="A928" s="1"/>
      <c r="B928" s="34"/>
      <c r="C928" s="2"/>
      <c r="D928" s="34"/>
      <c r="E928" s="34"/>
      <c r="F928" s="34"/>
      <c r="G928" s="34"/>
      <c r="H928" s="34"/>
      <c r="I928" s="6"/>
      <c r="J928" s="2"/>
      <c r="K928" s="2"/>
      <c r="L928" s="6"/>
      <c r="M928" s="6"/>
      <c r="N928" s="6"/>
      <c r="O928" s="34"/>
      <c r="P928" s="34"/>
      <c r="Q928" s="2"/>
      <c r="R928" s="34"/>
      <c r="S928" s="34"/>
      <c r="T928" s="34"/>
      <c r="U928" s="2"/>
      <c r="V928" s="2"/>
      <c r="W928" s="2"/>
      <c r="X928" s="34"/>
    </row>
    <row x14ac:dyDescent="0.25" r="929" customHeight="1" ht="15.75">
      <c r="A929" s="1"/>
      <c r="B929" s="34"/>
      <c r="C929" s="2"/>
      <c r="D929" s="34"/>
      <c r="E929" s="34"/>
      <c r="F929" s="34"/>
      <c r="G929" s="34"/>
      <c r="H929" s="34"/>
      <c r="I929" s="6"/>
      <c r="J929" s="2"/>
      <c r="K929" s="2"/>
      <c r="L929" s="6"/>
      <c r="M929" s="6"/>
      <c r="N929" s="6"/>
      <c r="O929" s="34"/>
      <c r="P929" s="34"/>
      <c r="Q929" s="2"/>
      <c r="R929" s="34"/>
      <c r="S929" s="34"/>
      <c r="T929" s="34"/>
      <c r="U929" s="2"/>
      <c r="V929" s="2"/>
      <c r="W929" s="2"/>
      <c r="X929" s="34"/>
    </row>
    <row x14ac:dyDescent="0.25" r="930" customHeight="1" ht="15.75">
      <c r="A930" s="1"/>
      <c r="B930" s="34"/>
      <c r="C930" s="2"/>
      <c r="D930" s="34"/>
      <c r="E930" s="34"/>
      <c r="F930" s="34"/>
      <c r="G930" s="34"/>
      <c r="H930" s="34"/>
      <c r="I930" s="6"/>
      <c r="J930" s="2"/>
      <c r="K930" s="2"/>
      <c r="L930" s="6"/>
      <c r="M930" s="6"/>
      <c r="N930" s="6"/>
      <c r="O930" s="34"/>
      <c r="P930" s="34"/>
      <c r="Q930" s="2"/>
      <c r="R930" s="34"/>
      <c r="S930" s="34"/>
      <c r="T930" s="34"/>
      <c r="U930" s="2"/>
      <c r="V930" s="2"/>
      <c r="W930" s="2"/>
      <c r="X930" s="34"/>
    </row>
    <row x14ac:dyDescent="0.25" r="931" customHeight="1" ht="15.75">
      <c r="A931" s="1"/>
      <c r="B931" s="34"/>
      <c r="C931" s="2"/>
      <c r="D931" s="34"/>
      <c r="E931" s="34"/>
      <c r="F931" s="34"/>
      <c r="G931" s="34"/>
      <c r="H931" s="34"/>
      <c r="I931" s="6"/>
      <c r="J931" s="2"/>
      <c r="K931" s="2"/>
      <c r="L931" s="6"/>
      <c r="M931" s="6"/>
      <c r="N931" s="6"/>
      <c r="O931" s="34"/>
      <c r="P931" s="34"/>
      <c r="Q931" s="2"/>
      <c r="R931" s="34"/>
      <c r="S931" s="34"/>
      <c r="T931" s="34"/>
      <c r="U931" s="2"/>
      <c r="V931" s="2"/>
      <c r="W931" s="2"/>
      <c r="X931" s="34"/>
    </row>
    <row x14ac:dyDescent="0.25" r="932" customHeight="1" ht="15.75">
      <c r="A932" s="1"/>
      <c r="B932" s="34"/>
      <c r="C932" s="2"/>
      <c r="D932" s="34"/>
      <c r="E932" s="34"/>
      <c r="F932" s="34"/>
      <c r="G932" s="34"/>
      <c r="H932" s="34"/>
      <c r="I932" s="6"/>
      <c r="J932" s="2"/>
      <c r="K932" s="2"/>
      <c r="L932" s="6"/>
      <c r="M932" s="6"/>
      <c r="N932" s="6"/>
      <c r="O932" s="34"/>
      <c r="P932" s="34"/>
      <c r="Q932" s="2"/>
      <c r="R932" s="34"/>
      <c r="S932" s="34"/>
      <c r="T932" s="34"/>
      <c r="U932" s="2"/>
      <c r="V932" s="2"/>
      <c r="W932" s="2"/>
      <c r="X932" s="34"/>
    </row>
    <row x14ac:dyDescent="0.25" r="933" customHeight="1" ht="15.75">
      <c r="A933" s="1"/>
      <c r="B933" s="34"/>
      <c r="C933" s="2"/>
      <c r="D933" s="34"/>
      <c r="E933" s="34"/>
      <c r="F933" s="34"/>
      <c r="G933" s="34"/>
      <c r="H933" s="34"/>
      <c r="I933" s="6"/>
      <c r="J933" s="2"/>
      <c r="K933" s="2"/>
      <c r="L933" s="6"/>
      <c r="M933" s="6"/>
      <c r="N933" s="6"/>
      <c r="O933" s="34"/>
      <c r="P933" s="34"/>
      <c r="Q933" s="2"/>
      <c r="R933" s="34"/>
      <c r="S933" s="34"/>
      <c r="T933" s="34"/>
      <c r="U933" s="2"/>
      <c r="V933" s="2"/>
      <c r="W933" s="2"/>
      <c r="X933" s="34"/>
    </row>
    <row x14ac:dyDescent="0.25" r="934" customHeight="1" ht="15.75">
      <c r="A934" s="1"/>
      <c r="B934" s="34"/>
      <c r="C934" s="2"/>
      <c r="D934" s="34"/>
      <c r="E934" s="34"/>
      <c r="F934" s="34"/>
      <c r="G934" s="34"/>
      <c r="H934" s="34"/>
      <c r="I934" s="6"/>
      <c r="J934" s="2"/>
      <c r="K934" s="2"/>
      <c r="L934" s="6"/>
      <c r="M934" s="6"/>
      <c r="N934" s="6"/>
      <c r="O934" s="34"/>
      <c r="P934" s="34"/>
      <c r="Q934" s="2"/>
      <c r="R934" s="34"/>
      <c r="S934" s="34"/>
      <c r="T934" s="34"/>
      <c r="U934" s="2"/>
      <c r="V934" s="2"/>
      <c r="W934" s="2"/>
      <c r="X934" s="34"/>
    </row>
    <row x14ac:dyDescent="0.25" r="935" customHeight="1" ht="15.75">
      <c r="A935" s="1"/>
      <c r="B935" s="34"/>
      <c r="C935" s="2"/>
      <c r="D935" s="34"/>
      <c r="E935" s="34"/>
      <c r="F935" s="34"/>
      <c r="G935" s="34"/>
      <c r="H935" s="34"/>
      <c r="I935" s="6"/>
      <c r="J935" s="2"/>
      <c r="K935" s="2"/>
      <c r="L935" s="6"/>
      <c r="M935" s="6"/>
      <c r="N935" s="6"/>
      <c r="O935" s="34"/>
      <c r="P935" s="34"/>
      <c r="Q935" s="2"/>
      <c r="R935" s="34"/>
      <c r="S935" s="34"/>
      <c r="T935" s="34"/>
      <c r="U935" s="2"/>
      <c r="V935" s="2"/>
      <c r="W935" s="2"/>
      <c r="X935" s="34"/>
    </row>
    <row x14ac:dyDescent="0.25" r="936" customHeight="1" ht="15.75">
      <c r="A936" s="1"/>
      <c r="B936" s="34"/>
      <c r="C936" s="2"/>
      <c r="D936" s="34"/>
      <c r="E936" s="34"/>
      <c r="F936" s="34"/>
      <c r="G936" s="34"/>
      <c r="H936" s="34"/>
      <c r="I936" s="6"/>
      <c r="J936" s="2"/>
      <c r="K936" s="2"/>
      <c r="L936" s="6"/>
      <c r="M936" s="6"/>
      <c r="N936" s="6"/>
      <c r="O936" s="34"/>
      <c r="P936" s="34"/>
      <c r="Q936" s="2"/>
      <c r="R936" s="34"/>
      <c r="S936" s="34"/>
      <c r="T936" s="34"/>
      <c r="U936" s="2"/>
      <c r="V936" s="2"/>
      <c r="W936" s="2"/>
      <c r="X936" s="34"/>
    </row>
    <row x14ac:dyDescent="0.25" r="937" customHeight="1" ht="15.75">
      <c r="A937" s="1"/>
      <c r="B937" s="34"/>
      <c r="C937" s="2"/>
      <c r="D937" s="34"/>
      <c r="E937" s="34"/>
      <c r="F937" s="34"/>
      <c r="G937" s="34"/>
      <c r="H937" s="34"/>
      <c r="I937" s="6"/>
      <c r="J937" s="2"/>
      <c r="K937" s="2"/>
      <c r="L937" s="6"/>
      <c r="M937" s="6"/>
      <c r="N937" s="6"/>
      <c r="O937" s="34"/>
      <c r="P937" s="34"/>
      <c r="Q937" s="2"/>
      <c r="R937" s="34"/>
      <c r="S937" s="34"/>
      <c r="T937" s="34"/>
      <c r="U937" s="2"/>
      <c r="V937" s="2"/>
      <c r="W937" s="2"/>
      <c r="X937" s="34"/>
    </row>
    <row x14ac:dyDescent="0.25" r="938" customHeight="1" ht="15.75">
      <c r="A938" s="1"/>
      <c r="B938" s="34"/>
      <c r="C938" s="2"/>
      <c r="D938" s="34"/>
      <c r="E938" s="34"/>
      <c r="F938" s="34"/>
      <c r="G938" s="34"/>
      <c r="H938" s="34"/>
      <c r="I938" s="6"/>
      <c r="J938" s="2"/>
      <c r="K938" s="2"/>
      <c r="L938" s="6"/>
      <c r="M938" s="6"/>
      <c r="N938" s="6"/>
      <c r="O938" s="34"/>
      <c r="P938" s="34"/>
      <c r="Q938" s="2"/>
      <c r="R938" s="34"/>
      <c r="S938" s="34"/>
      <c r="T938" s="34"/>
      <c r="U938" s="2"/>
      <c r="V938" s="2"/>
      <c r="W938" s="2"/>
      <c r="X938" s="34"/>
    </row>
    <row x14ac:dyDescent="0.25" r="939" customHeight="1" ht="15.75">
      <c r="A939" s="1"/>
      <c r="B939" s="34"/>
      <c r="C939" s="2"/>
      <c r="D939" s="34"/>
      <c r="E939" s="34"/>
      <c r="F939" s="34"/>
      <c r="G939" s="34"/>
      <c r="H939" s="34"/>
      <c r="I939" s="6"/>
      <c r="J939" s="2"/>
      <c r="K939" s="2"/>
      <c r="L939" s="6"/>
      <c r="M939" s="6"/>
      <c r="N939" s="6"/>
      <c r="O939" s="34"/>
      <c r="P939" s="34"/>
      <c r="Q939" s="2"/>
      <c r="R939" s="34"/>
      <c r="S939" s="34"/>
      <c r="T939" s="34"/>
      <c r="U939" s="2"/>
      <c r="V939" s="2"/>
      <c r="W939" s="2"/>
      <c r="X939" s="34"/>
    </row>
    <row x14ac:dyDescent="0.25" r="940" customHeight="1" ht="15.75">
      <c r="A940" s="1"/>
      <c r="B940" s="34"/>
      <c r="C940" s="2"/>
      <c r="D940" s="34"/>
      <c r="E940" s="34"/>
      <c r="F940" s="34"/>
      <c r="G940" s="34"/>
      <c r="H940" s="34"/>
      <c r="I940" s="6"/>
      <c r="J940" s="2"/>
      <c r="K940" s="2"/>
      <c r="L940" s="6"/>
      <c r="M940" s="6"/>
      <c r="N940" s="6"/>
      <c r="O940" s="34"/>
      <c r="P940" s="34"/>
      <c r="Q940" s="2"/>
      <c r="R940" s="34"/>
      <c r="S940" s="34"/>
      <c r="T940" s="34"/>
      <c r="U940" s="2"/>
      <c r="V940" s="2"/>
      <c r="W940" s="2"/>
      <c r="X940" s="34"/>
    </row>
    <row x14ac:dyDescent="0.25" r="941" customHeight="1" ht="15.75">
      <c r="A941" s="1"/>
      <c r="B941" s="34"/>
      <c r="C941" s="2"/>
      <c r="D941" s="34"/>
      <c r="E941" s="34"/>
      <c r="F941" s="34"/>
      <c r="G941" s="34"/>
      <c r="H941" s="34"/>
      <c r="I941" s="6"/>
      <c r="J941" s="2"/>
      <c r="K941" s="2"/>
      <c r="L941" s="6"/>
      <c r="M941" s="6"/>
      <c r="N941" s="6"/>
      <c r="O941" s="34"/>
      <c r="P941" s="34"/>
      <c r="Q941" s="2"/>
      <c r="R941" s="34"/>
      <c r="S941" s="34"/>
      <c r="T941" s="34"/>
      <c r="U941" s="2"/>
      <c r="V941" s="2"/>
      <c r="W941" s="2"/>
      <c r="X941" s="34"/>
    </row>
    <row x14ac:dyDescent="0.25" r="942" customHeight="1" ht="15.75">
      <c r="A942" s="1"/>
      <c r="B942" s="34"/>
      <c r="C942" s="2"/>
      <c r="D942" s="34"/>
      <c r="E942" s="34"/>
      <c r="F942" s="34"/>
      <c r="G942" s="34"/>
      <c r="H942" s="34"/>
      <c r="I942" s="6"/>
      <c r="J942" s="2"/>
      <c r="K942" s="2"/>
      <c r="L942" s="6"/>
      <c r="M942" s="6"/>
      <c r="N942" s="6"/>
      <c r="O942" s="34"/>
      <c r="P942" s="34"/>
      <c r="Q942" s="2"/>
      <c r="R942" s="34"/>
      <c r="S942" s="34"/>
      <c r="T942" s="34"/>
      <c r="U942" s="2"/>
      <c r="V942" s="2"/>
      <c r="W942" s="2"/>
      <c r="X942" s="34"/>
    </row>
    <row x14ac:dyDescent="0.25" r="943" customHeight="1" ht="15.75">
      <c r="A943" s="1"/>
      <c r="B943" s="34"/>
      <c r="C943" s="2"/>
      <c r="D943" s="34"/>
      <c r="E943" s="34"/>
      <c r="F943" s="34"/>
      <c r="G943" s="34"/>
      <c r="H943" s="34"/>
      <c r="I943" s="6"/>
      <c r="J943" s="2"/>
      <c r="K943" s="2"/>
      <c r="L943" s="6"/>
      <c r="M943" s="6"/>
      <c r="N943" s="6"/>
      <c r="O943" s="34"/>
      <c r="P943" s="34"/>
      <c r="Q943" s="2"/>
      <c r="R943" s="34"/>
      <c r="S943" s="34"/>
      <c r="T943" s="34"/>
      <c r="U943" s="2"/>
      <c r="V943" s="2"/>
      <c r="W943" s="2"/>
      <c r="X943" s="34"/>
    </row>
    <row x14ac:dyDescent="0.25" r="944" customHeight="1" ht="15.75">
      <c r="A944" s="1"/>
      <c r="B944" s="34"/>
      <c r="C944" s="2"/>
      <c r="D944" s="34"/>
      <c r="E944" s="34"/>
      <c r="F944" s="34"/>
      <c r="G944" s="34"/>
      <c r="H944" s="34"/>
      <c r="I944" s="6"/>
      <c r="J944" s="2"/>
      <c r="K944" s="2"/>
      <c r="L944" s="6"/>
      <c r="M944" s="6"/>
      <c r="N944" s="6"/>
      <c r="O944" s="34"/>
      <c r="P944" s="34"/>
      <c r="Q944" s="2"/>
      <c r="R944" s="34"/>
      <c r="S944" s="34"/>
      <c r="T944" s="34"/>
      <c r="U944" s="2"/>
      <c r="V944" s="2"/>
      <c r="W944" s="2"/>
      <c r="X944" s="34"/>
    </row>
    <row x14ac:dyDescent="0.25" r="945" customHeight="1" ht="15.75">
      <c r="A945" s="1"/>
      <c r="B945" s="34"/>
      <c r="C945" s="2"/>
      <c r="D945" s="34"/>
      <c r="E945" s="34"/>
      <c r="F945" s="34"/>
      <c r="G945" s="34"/>
      <c r="H945" s="34"/>
      <c r="I945" s="6"/>
      <c r="J945" s="2"/>
      <c r="K945" s="2"/>
      <c r="L945" s="6"/>
      <c r="M945" s="6"/>
      <c r="N945" s="6"/>
      <c r="O945" s="34"/>
      <c r="P945" s="34"/>
      <c r="Q945" s="2"/>
      <c r="R945" s="34"/>
      <c r="S945" s="34"/>
      <c r="T945" s="34"/>
      <c r="U945" s="2"/>
      <c r="V945" s="2"/>
      <c r="W945" s="2"/>
      <c r="X945" s="34"/>
    </row>
    <row x14ac:dyDescent="0.25" r="946" customHeight="1" ht="15.75">
      <c r="A946" s="1"/>
      <c r="B946" s="34"/>
      <c r="C946" s="2"/>
      <c r="D946" s="34"/>
      <c r="E946" s="34"/>
      <c r="F946" s="34"/>
      <c r="G946" s="34"/>
      <c r="H946" s="34"/>
      <c r="I946" s="6"/>
      <c r="J946" s="2"/>
      <c r="K946" s="2"/>
      <c r="L946" s="6"/>
      <c r="M946" s="6"/>
      <c r="N946" s="6"/>
      <c r="O946" s="34"/>
      <c r="P946" s="34"/>
      <c r="Q946" s="2"/>
      <c r="R946" s="34"/>
      <c r="S946" s="34"/>
      <c r="T946" s="34"/>
      <c r="U946" s="2"/>
      <c r="V946" s="2"/>
      <c r="W946" s="2"/>
      <c r="X946" s="34"/>
    </row>
    <row x14ac:dyDescent="0.25" r="947" customHeight="1" ht="15.75">
      <c r="A947" s="1"/>
      <c r="B947" s="34"/>
      <c r="C947" s="2"/>
      <c r="D947" s="34"/>
      <c r="E947" s="34"/>
      <c r="F947" s="34"/>
      <c r="G947" s="34"/>
      <c r="H947" s="34"/>
      <c r="I947" s="6"/>
      <c r="J947" s="2"/>
      <c r="K947" s="2"/>
      <c r="L947" s="6"/>
      <c r="M947" s="6"/>
      <c r="N947" s="6"/>
      <c r="O947" s="34"/>
      <c r="P947" s="34"/>
      <c r="Q947" s="2"/>
      <c r="R947" s="34"/>
      <c r="S947" s="34"/>
      <c r="T947" s="34"/>
      <c r="U947" s="2"/>
      <c r="V947" s="2"/>
      <c r="W947" s="2"/>
      <c r="X947" s="34"/>
    </row>
    <row x14ac:dyDescent="0.25" r="948" customHeight="1" ht="15.75">
      <c r="A948" s="1"/>
      <c r="B948" s="34"/>
      <c r="C948" s="2"/>
      <c r="D948" s="34"/>
      <c r="E948" s="34"/>
      <c r="F948" s="34"/>
      <c r="G948" s="34"/>
      <c r="H948" s="34"/>
      <c r="I948" s="6"/>
      <c r="J948" s="2"/>
      <c r="K948" s="2"/>
      <c r="L948" s="6"/>
      <c r="M948" s="6"/>
      <c r="N948" s="6"/>
      <c r="O948" s="34"/>
      <c r="P948" s="34"/>
      <c r="Q948" s="2"/>
      <c r="R948" s="34"/>
      <c r="S948" s="34"/>
      <c r="T948" s="34"/>
      <c r="U948" s="2"/>
      <c r="V948" s="2"/>
      <c r="W948" s="2"/>
      <c r="X948" s="34"/>
    </row>
    <row x14ac:dyDescent="0.25" r="949" customHeight="1" ht="15.75">
      <c r="A949" s="1"/>
      <c r="B949" s="34"/>
      <c r="C949" s="2"/>
      <c r="D949" s="34"/>
      <c r="E949" s="34"/>
      <c r="F949" s="34"/>
      <c r="G949" s="34"/>
      <c r="H949" s="34"/>
      <c r="I949" s="6"/>
      <c r="J949" s="2"/>
      <c r="K949" s="2"/>
      <c r="L949" s="6"/>
      <c r="M949" s="6"/>
      <c r="N949" s="6"/>
      <c r="O949" s="34"/>
      <c r="P949" s="34"/>
      <c r="Q949" s="2"/>
      <c r="R949" s="34"/>
      <c r="S949" s="34"/>
      <c r="T949" s="34"/>
      <c r="U949" s="2"/>
      <c r="V949" s="2"/>
      <c r="W949" s="2"/>
      <c r="X949" s="34"/>
    </row>
    <row x14ac:dyDescent="0.25" r="950" customHeight="1" ht="15.75">
      <c r="A950" s="1"/>
      <c r="B950" s="34"/>
      <c r="C950" s="2"/>
      <c r="D950" s="34"/>
      <c r="E950" s="34"/>
      <c r="F950" s="34"/>
      <c r="G950" s="34"/>
      <c r="H950" s="34"/>
      <c r="I950" s="6"/>
      <c r="J950" s="2"/>
      <c r="K950" s="2"/>
      <c r="L950" s="6"/>
      <c r="M950" s="6"/>
      <c r="N950" s="6"/>
      <c r="O950" s="34"/>
      <c r="P950" s="34"/>
      <c r="Q950" s="2"/>
      <c r="R950" s="34"/>
      <c r="S950" s="34"/>
      <c r="T950" s="34"/>
      <c r="U950" s="2"/>
      <c r="V950" s="2"/>
      <c r="W950" s="2"/>
      <c r="X950" s="34"/>
    </row>
    <row x14ac:dyDescent="0.25" r="951" customHeight="1" ht="15.75">
      <c r="A951" s="1"/>
      <c r="B951" s="34"/>
      <c r="C951" s="2"/>
      <c r="D951" s="34"/>
      <c r="E951" s="34"/>
      <c r="F951" s="34"/>
      <c r="G951" s="34"/>
      <c r="H951" s="34"/>
      <c r="I951" s="6"/>
      <c r="J951" s="2"/>
      <c r="K951" s="2"/>
      <c r="L951" s="6"/>
      <c r="M951" s="6"/>
      <c r="N951" s="6"/>
      <c r="O951" s="34"/>
      <c r="P951" s="34"/>
      <c r="Q951" s="2"/>
      <c r="R951" s="34"/>
      <c r="S951" s="34"/>
      <c r="T951" s="34"/>
      <c r="U951" s="2"/>
      <c r="V951" s="2"/>
      <c r="W951" s="2"/>
      <c r="X951" s="34"/>
    </row>
    <row x14ac:dyDescent="0.25" r="952" customHeight="1" ht="15.75">
      <c r="A952" s="1"/>
      <c r="B952" s="34"/>
      <c r="C952" s="2"/>
      <c r="D952" s="34"/>
      <c r="E952" s="34"/>
      <c r="F952" s="34"/>
      <c r="G952" s="34"/>
      <c r="H952" s="34"/>
      <c r="I952" s="6"/>
      <c r="J952" s="2"/>
      <c r="K952" s="2"/>
      <c r="L952" s="6"/>
      <c r="M952" s="6"/>
      <c r="N952" s="6"/>
      <c r="O952" s="34"/>
      <c r="P952" s="34"/>
      <c r="Q952" s="2"/>
      <c r="R952" s="34"/>
      <c r="S952" s="34"/>
      <c r="T952" s="34"/>
      <c r="U952" s="2"/>
      <c r="V952" s="2"/>
      <c r="W952" s="2"/>
      <c r="X952" s="34"/>
    </row>
    <row x14ac:dyDescent="0.25" r="953" customHeight="1" ht="15.75">
      <c r="A953" s="1"/>
      <c r="B953" s="34"/>
      <c r="C953" s="2"/>
      <c r="D953" s="34"/>
      <c r="E953" s="34"/>
      <c r="F953" s="34"/>
      <c r="G953" s="34"/>
      <c r="H953" s="34"/>
      <c r="I953" s="6"/>
      <c r="J953" s="2"/>
      <c r="K953" s="2"/>
      <c r="L953" s="6"/>
      <c r="M953" s="6"/>
      <c r="N953" s="6"/>
      <c r="O953" s="34"/>
      <c r="P953" s="34"/>
      <c r="Q953" s="2"/>
      <c r="R953" s="34"/>
      <c r="S953" s="34"/>
      <c r="T953" s="34"/>
      <c r="U953" s="2"/>
      <c r="V953" s="2"/>
      <c r="W953" s="2"/>
      <c r="X953" s="34"/>
    </row>
    <row x14ac:dyDescent="0.25" r="954" customHeight="1" ht="15.75">
      <c r="A954" s="1"/>
      <c r="B954" s="34"/>
      <c r="C954" s="2"/>
      <c r="D954" s="34"/>
      <c r="E954" s="34"/>
      <c r="F954" s="34"/>
      <c r="G954" s="34"/>
      <c r="H954" s="34"/>
      <c r="I954" s="6"/>
      <c r="J954" s="2"/>
      <c r="K954" s="2"/>
      <c r="L954" s="6"/>
      <c r="M954" s="6"/>
      <c r="N954" s="6"/>
      <c r="O954" s="34"/>
      <c r="P954" s="34"/>
      <c r="Q954" s="2"/>
      <c r="R954" s="34"/>
      <c r="S954" s="34"/>
      <c r="T954" s="34"/>
      <c r="U954" s="2"/>
      <c r="V954" s="2"/>
      <c r="W954" s="2"/>
      <c r="X954" s="34"/>
    </row>
    <row x14ac:dyDescent="0.25" r="955" customHeight="1" ht="15.75">
      <c r="A955" s="1"/>
      <c r="B955" s="34"/>
      <c r="C955" s="2"/>
      <c r="D955" s="34"/>
      <c r="E955" s="34"/>
      <c r="F955" s="34"/>
      <c r="G955" s="34"/>
      <c r="H955" s="34"/>
      <c r="I955" s="6"/>
      <c r="J955" s="2"/>
      <c r="K955" s="2"/>
      <c r="L955" s="6"/>
      <c r="M955" s="6"/>
      <c r="N955" s="6"/>
      <c r="O955" s="34"/>
      <c r="P955" s="34"/>
      <c r="Q955" s="2"/>
      <c r="R955" s="34"/>
      <c r="S955" s="34"/>
      <c r="T955" s="34"/>
      <c r="U955" s="2"/>
      <c r="V955" s="2"/>
      <c r="W955" s="2"/>
      <c r="X955" s="34"/>
    </row>
    <row x14ac:dyDescent="0.25" r="956" customHeight="1" ht="15.75">
      <c r="A956" s="1"/>
      <c r="B956" s="34"/>
      <c r="C956" s="2"/>
      <c r="D956" s="34"/>
      <c r="E956" s="34"/>
      <c r="F956" s="34"/>
      <c r="G956" s="34"/>
      <c r="H956" s="34"/>
      <c r="I956" s="6"/>
      <c r="J956" s="2"/>
      <c r="K956" s="2"/>
      <c r="L956" s="6"/>
      <c r="M956" s="6"/>
      <c r="N956" s="6"/>
      <c r="O956" s="34"/>
      <c r="P956" s="34"/>
      <c r="Q956" s="2"/>
      <c r="R956" s="34"/>
      <c r="S956" s="34"/>
      <c r="T956" s="34"/>
      <c r="U956" s="2"/>
      <c r="V956" s="2"/>
      <c r="W956" s="2"/>
      <c r="X956" s="34"/>
    </row>
    <row x14ac:dyDescent="0.25" r="957" customHeight="1" ht="15.75">
      <c r="A957" s="1"/>
      <c r="B957" s="34"/>
      <c r="C957" s="2"/>
      <c r="D957" s="34"/>
      <c r="E957" s="34"/>
      <c r="F957" s="34"/>
      <c r="G957" s="34"/>
      <c r="H957" s="34"/>
      <c r="I957" s="6"/>
      <c r="J957" s="2"/>
      <c r="K957" s="2"/>
      <c r="L957" s="6"/>
      <c r="M957" s="6"/>
      <c r="N957" s="6"/>
      <c r="O957" s="34"/>
      <c r="P957" s="34"/>
      <c r="Q957" s="2"/>
      <c r="R957" s="34"/>
      <c r="S957" s="34"/>
      <c r="T957" s="34"/>
      <c r="U957" s="2"/>
      <c r="V957" s="2"/>
      <c r="W957" s="2"/>
      <c r="X957" s="34"/>
    </row>
    <row x14ac:dyDescent="0.25" r="958" customHeight="1" ht="15.75">
      <c r="A958" s="1"/>
      <c r="B958" s="34"/>
      <c r="C958" s="2"/>
      <c r="D958" s="34"/>
      <c r="E958" s="34"/>
      <c r="F958" s="34"/>
      <c r="G958" s="34"/>
      <c r="H958" s="34"/>
      <c r="I958" s="6"/>
      <c r="J958" s="2"/>
      <c r="K958" s="2"/>
      <c r="L958" s="6"/>
      <c r="M958" s="6"/>
      <c r="N958" s="6"/>
      <c r="O958" s="34"/>
      <c r="P958" s="34"/>
      <c r="Q958" s="2"/>
      <c r="R958" s="34"/>
      <c r="S958" s="34"/>
      <c r="T958" s="34"/>
      <c r="U958" s="2"/>
      <c r="V958" s="2"/>
      <c r="W958" s="2"/>
      <c r="X958" s="34"/>
    </row>
    <row x14ac:dyDescent="0.25" r="959" customHeight="1" ht="15.75">
      <c r="A959" s="1"/>
      <c r="B959" s="34"/>
      <c r="C959" s="2"/>
      <c r="D959" s="34"/>
      <c r="E959" s="34"/>
      <c r="F959" s="34"/>
      <c r="G959" s="34"/>
      <c r="H959" s="34"/>
      <c r="I959" s="6"/>
      <c r="J959" s="2"/>
      <c r="K959" s="2"/>
      <c r="L959" s="6"/>
      <c r="M959" s="6"/>
      <c r="N959" s="6"/>
      <c r="O959" s="34"/>
      <c r="P959" s="34"/>
      <c r="Q959" s="2"/>
      <c r="R959" s="34"/>
      <c r="S959" s="34"/>
      <c r="T959" s="34"/>
      <c r="U959" s="2"/>
      <c r="V959" s="2"/>
      <c r="W959" s="2"/>
      <c r="X959" s="34"/>
    </row>
    <row x14ac:dyDescent="0.25" r="960" customHeight="1" ht="15.75">
      <c r="A960" s="1"/>
      <c r="B960" s="34"/>
      <c r="C960" s="2"/>
      <c r="D960" s="34"/>
      <c r="E960" s="34"/>
      <c r="F960" s="34"/>
      <c r="G960" s="34"/>
      <c r="H960" s="34"/>
      <c r="I960" s="6"/>
      <c r="J960" s="2"/>
      <c r="K960" s="2"/>
      <c r="L960" s="6"/>
      <c r="M960" s="6"/>
      <c r="N960" s="6"/>
      <c r="O960" s="34"/>
      <c r="P960" s="34"/>
      <c r="Q960" s="2"/>
      <c r="R960" s="34"/>
      <c r="S960" s="34"/>
      <c r="T960" s="34"/>
      <c r="U960" s="2"/>
      <c r="V960" s="2"/>
      <c r="W960" s="2"/>
      <c r="X960" s="34"/>
    </row>
    <row x14ac:dyDescent="0.25" r="961" customHeight="1" ht="15.75">
      <c r="A961" s="1"/>
      <c r="B961" s="34"/>
      <c r="C961" s="2"/>
      <c r="D961" s="34"/>
      <c r="E961" s="34"/>
      <c r="F961" s="34"/>
      <c r="G961" s="34"/>
      <c r="H961" s="34"/>
      <c r="I961" s="6"/>
      <c r="J961" s="2"/>
      <c r="K961" s="2"/>
      <c r="L961" s="6"/>
      <c r="M961" s="6"/>
      <c r="N961" s="6"/>
      <c r="O961" s="34"/>
      <c r="P961" s="34"/>
      <c r="Q961" s="2"/>
      <c r="R961" s="34"/>
      <c r="S961" s="34"/>
      <c r="T961" s="34"/>
      <c r="U961" s="2"/>
      <c r="V961" s="2"/>
      <c r="W961" s="2"/>
      <c r="X961" s="34"/>
    </row>
    <row x14ac:dyDescent="0.25" r="962" customHeight="1" ht="15.75">
      <c r="A962" s="1"/>
      <c r="B962" s="34"/>
      <c r="C962" s="2"/>
      <c r="D962" s="34"/>
      <c r="E962" s="34"/>
      <c r="F962" s="34"/>
      <c r="G962" s="34"/>
      <c r="H962" s="34"/>
      <c r="I962" s="6"/>
      <c r="J962" s="2"/>
      <c r="K962" s="2"/>
      <c r="L962" s="6"/>
      <c r="M962" s="6"/>
      <c r="N962" s="6"/>
      <c r="O962" s="34"/>
      <c r="P962" s="34"/>
      <c r="Q962" s="2"/>
      <c r="R962" s="34"/>
      <c r="S962" s="34"/>
      <c r="T962" s="34"/>
      <c r="U962" s="2"/>
      <c r="V962" s="2"/>
      <c r="W962" s="2"/>
      <c r="X962" s="34"/>
    </row>
    <row x14ac:dyDescent="0.25" r="963" customHeight="1" ht="15.75">
      <c r="A963" s="1"/>
      <c r="B963" s="34"/>
      <c r="C963" s="2"/>
      <c r="D963" s="34"/>
      <c r="E963" s="34"/>
      <c r="F963" s="34"/>
      <c r="G963" s="34"/>
      <c r="H963" s="34"/>
      <c r="I963" s="6"/>
      <c r="J963" s="2"/>
      <c r="K963" s="2"/>
      <c r="L963" s="6"/>
      <c r="M963" s="6"/>
      <c r="N963" s="6"/>
      <c r="O963" s="34"/>
      <c r="P963" s="34"/>
      <c r="Q963" s="2"/>
      <c r="R963" s="34"/>
      <c r="S963" s="34"/>
      <c r="T963" s="34"/>
      <c r="U963" s="2"/>
      <c r="V963" s="2"/>
      <c r="W963" s="2"/>
      <c r="X963" s="34"/>
    </row>
    <row x14ac:dyDescent="0.25" r="964" customHeight="1" ht="15.75">
      <c r="A964" s="1"/>
      <c r="B964" s="34"/>
      <c r="C964" s="2"/>
      <c r="D964" s="34"/>
      <c r="E964" s="34"/>
      <c r="F964" s="34"/>
      <c r="G964" s="34"/>
      <c r="H964" s="34"/>
      <c r="I964" s="6"/>
      <c r="J964" s="2"/>
      <c r="K964" s="2"/>
      <c r="L964" s="6"/>
      <c r="M964" s="6"/>
      <c r="N964" s="6"/>
      <c r="O964" s="34"/>
      <c r="P964" s="34"/>
      <c r="Q964" s="2"/>
      <c r="R964" s="34"/>
      <c r="S964" s="34"/>
      <c r="T964" s="34"/>
      <c r="U964" s="2"/>
      <c r="V964" s="2"/>
      <c r="W964" s="2"/>
      <c r="X964" s="34"/>
    </row>
    <row x14ac:dyDescent="0.25" r="965" customHeight="1" ht="15.75">
      <c r="A965" s="1"/>
      <c r="B965" s="34"/>
      <c r="C965" s="2"/>
      <c r="D965" s="34"/>
      <c r="E965" s="34"/>
      <c r="F965" s="34"/>
      <c r="G965" s="34"/>
      <c r="H965" s="34"/>
      <c r="I965" s="6"/>
      <c r="J965" s="2"/>
      <c r="K965" s="2"/>
      <c r="L965" s="6"/>
      <c r="M965" s="6"/>
      <c r="N965" s="6"/>
      <c r="O965" s="34"/>
      <c r="P965" s="34"/>
      <c r="Q965" s="2"/>
      <c r="R965" s="34"/>
      <c r="S965" s="34"/>
      <c r="T965" s="34"/>
      <c r="U965" s="2"/>
      <c r="V965" s="2"/>
      <c r="W965" s="2"/>
      <c r="X965" s="34"/>
    </row>
    <row x14ac:dyDescent="0.25" r="966" customHeight="1" ht="15.75">
      <c r="A966" s="1"/>
      <c r="B966" s="34"/>
      <c r="C966" s="2"/>
      <c r="D966" s="34"/>
      <c r="E966" s="34"/>
      <c r="F966" s="34"/>
      <c r="G966" s="34"/>
      <c r="H966" s="34"/>
      <c r="I966" s="6"/>
      <c r="J966" s="2"/>
      <c r="K966" s="2"/>
      <c r="L966" s="6"/>
      <c r="M966" s="6"/>
      <c r="N966" s="6"/>
      <c r="O966" s="34"/>
      <c r="P966" s="34"/>
      <c r="Q966" s="2"/>
      <c r="R966" s="34"/>
      <c r="S966" s="34"/>
      <c r="T966" s="34"/>
      <c r="U966" s="2"/>
      <c r="V966" s="2"/>
      <c r="W966" s="2"/>
      <c r="X966" s="34"/>
    </row>
    <row x14ac:dyDescent="0.25" r="967" customHeight="1" ht="15.75">
      <c r="A967" s="1"/>
      <c r="B967" s="34"/>
      <c r="C967" s="2"/>
      <c r="D967" s="34"/>
      <c r="E967" s="34"/>
      <c r="F967" s="34"/>
      <c r="G967" s="34"/>
      <c r="H967" s="34"/>
      <c r="I967" s="6"/>
      <c r="J967" s="2"/>
      <c r="K967" s="2"/>
      <c r="L967" s="6"/>
      <c r="M967" s="6"/>
      <c r="N967" s="6"/>
      <c r="O967" s="34"/>
      <c r="P967" s="34"/>
      <c r="Q967" s="2"/>
      <c r="R967" s="34"/>
      <c r="S967" s="34"/>
      <c r="T967" s="34"/>
      <c r="U967" s="2"/>
      <c r="V967" s="2"/>
      <c r="W967" s="2"/>
      <c r="X967" s="34"/>
    </row>
    <row x14ac:dyDescent="0.25" r="968" customHeight="1" ht="15.75">
      <c r="A968" s="1"/>
      <c r="B968" s="34"/>
      <c r="C968" s="2"/>
      <c r="D968" s="34"/>
      <c r="E968" s="34"/>
      <c r="F968" s="34"/>
      <c r="G968" s="34"/>
      <c r="H968" s="34"/>
      <c r="I968" s="6"/>
      <c r="J968" s="2"/>
      <c r="K968" s="2"/>
      <c r="L968" s="6"/>
      <c r="M968" s="6"/>
      <c r="N968" s="6"/>
      <c r="O968" s="34"/>
      <c r="P968" s="34"/>
      <c r="Q968" s="2"/>
      <c r="R968" s="34"/>
      <c r="S968" s="34"/>
      <c r="T968" s="34"/>
      <c r="U968" s="2"/>
      <c r="V968" s="2"/>
      <c r="W968" s="2"/>
      <c r="X968" s="34"/>
    </row>
    <row x14ac:dyDescent="0.25" r="969" customHeight="1" ht="15.75">
      <c r="A969" s="1"/>
      <c r="B969" s="34"/>
      <c r="C969" s="2"/>
      <c r="D969" s="34"/>
      <c r="E969" s="34"/>
      <c r="F969" s="34"/>
      <c r="G969" s="34"/>
      <c r="H969" s="34"/>
      <c r="I969" s="6"/>
      <c r="J969" s="2"/>
      <c r="K969" s="2"/>
      <c r="L969" s="6"/>
      <c r="M969" s="6"/>
      <c r="N969" s="6"/>
      <c r="O969" s="34"/>
      <c r="P969" s="34"/>
      <c r="Q969" s="2"/>
      <c r="R969" s="34"/>
      <c r="S969" s="34"/>
      <c r="T969" s="34"/>
      <c r="U969" s="2"/>
      <c r="V969" s="2"/>
      <c r="W969" s="2"/>
      <c r="X969" s="34"/>
    </row>
    <row x14ac:dyDescent="0.25" r="970" customHeight="1" ht="15.75">
      <c r="A970" s="1"/>
      <c r="B970" s="34"/>
      <c r="C970" s="2"/>
      <c r="D970" s="34"/>
      <c r="E970" s="34"/>
      <c r="F970" s="34"/>
      <c r="G970" s="34"/>
      <c r="H970" s="34"/>
      <c r="I970" s="6"/>
      <c r="J970" s="2"/>
      <c r="K970" s="2"/>
      <c r="L970" s="6"/>
      <c r="M970" s="6"/>
      <c r="N970" s="6"/>
      <c r="O970" s="34"/>
      <c r="P970" s="34"/>
      <c r="Q970" s="2"/>
      <c r="R970" s="34"/>
      <c r="S970" s="34"/>
      <c r="T970" s="34"/>
      <c r="U970" s="2"/>
      <c r="V970" s="2"/>
      <c r="W970" s="2"/>
      <c r="X970" s="34"/>
    </row>
    <row x14ac:dyDescent="0.25" r="971" customHeight="1" ht="15.75">
      <c r="A971" s="1"/>
      <c r="B971" s="34"/>
      <c r="C971" s="2"/>
      <c r="D971" s="34"/>
      <c r="E971" s="34"/>
      <c r="F971" s="34"/>
      <c r="G971" s="34"/>
      <c r="H971" s="34"/>
      <c r="I971" s="6"/>
      <c r="J971" s="2"/>
      <c r="K971" s="2"/>
      <c r="L971" s="6"/>
      <c r="M971" s="6"/>
      <c r="N971" s="6"/>
      <c r="O971" s="34"/>
      <c r="P971" s="34"/>
      <c r="Q971" s="2"/>
      <c r="R971" s="34"/>
      <c r="S971" s="34"/>
      <c r="T971" s="34"/>
      <c r="U971" s="2"/>
      <c r="V971" s="2"/>
      <c r="W971" s="2"/>
      <c r="X971" s="34"/>
    </row>
    <row x14ac:dyDescent="0.25" r="972" customHeight="1" ht="15.75">
      <c r="A972" s="1"/>
      <c r="B972" s="34"/>
      <c r="C972" s="2"/>
      <c r="D972" s="34"/>
      <c r="E972" s="34"/>
      <c r="F972" s="34"/>
      <c r="G972" s="34"/>
      <c r="H972" s="34"/>
      <c r="I972" s="6"/>
      <c r="J972" s="2"/>
      <c r="K972" s="2"/>
      <c r="L972" s="6"/>
      <c r="M972" s="6"/>
      <c r="N972" s="6"/>
      <c r="O972" s="34"/>
      <c r="P972" s="34"/>
      <c r="Q972" s="2"/>
      <c r="R972" s="34"/>
      <c r="S972" s="34"/>
      <c r="T972" s="34"/>
      <c r="U972" s="2"/>
      <c r="V972" s="2"/>
      <c r="W972" s="2"/>
      <c r="X972" s="34"/>
    </row>
    <row x14ac:dyDescent="0.25" r="973" customHeight="1" ht="15.75">
      <c r="A973" s="1"/>
      <c r="B973" s="34"/>
      <c r="C973" s="2"/>
      <c r="D973" s="34"/>
      <c r="E973" s="34"/>
      <c r="F973" s="34"/>
      <c r="G973" s="34"/>
      <c r="H973" s="34"/>
      <c r="I973" s="6"/>
      <c r="J973" s="2"/>
      <c r="K973" s="2"/>
      <c r="L973" s="6"/>
      <c r="M973" s="6"/>
      <c r="N973" s="6"/>
      <c r="O973" s="34"/>
      <c r="P973" s="34"/>
      <c r="Q973" s="2"/>
      <c r="R973" s="34"/>
      <c r="S973" s="34"/>
      <c r="T973" s="34"/>
      <c r="U973" s="2"/>
      <c r="V973" s="2"/>
      <c r="W973" s="2"/>
      <c r="X973" s="34"/>
    </row>
    <row x14ac:dyDescent="0.25" r="974" customHeight="1" ht="15.75">
      <c r="A974" s="1"/>
      <c r="B974" s="34"/>
      <c r="C974" s="2"/>
      <c r="D974" s="34"/>
      <c r="E974" s="34"/>
      <c r="F974" s="34"/>
      <c r="G974" s="34"/>
      <c r="H974" s="34"/>
      <c r="I974" s="6"/>
      <c r="J974" s="2"/>
      <c r="K974" s="2"/>
      <c r="L974" s="6"/>
      <c r="M974" s="6"/>
      <c r="N974" s="6"/>
      <c r="O974" s="34"/>
      <c r="P974" s="34"/>
      <c r="Q974" s="2"/>
      <c r="R974" s="34"/>
      <c r="S974" s="34"/>
      <c r="T974" s="34"/>
      <c r="U974" s="2"/>
      <c r="V974" s="2"/>
      <c r="W974" s="2"/>
      <c r="X974" s="34"/>
    </row>
    <row x14ac:dyDescent="0.25" r="975" customHeight="1" ht="15.75">
      <c r="A975" s="1"/>
      <c r="B975" s="34"/>
      <c r="C975" s="2"/>
      <c r="D975" s="34"/>
      <c r="E975" s="34"/>
      <c r="F975" s="34"/>
      <c r="G975" s="34"/>
      <c r="H975" s="34"/>
      <c r="I975" s="6"/>
      <c r="J975" s="2"/>
      <c r="K975" s="2"/>
      <c r="L975" s="6"/>
      <c r="M975" s="6"/>
      <c r="N975" s="6"/>
      <c r="O975" s="34"/>
      <c r="P975" s="34"/>
      <c r="Q975" s="2"/>
      <c r="R975" s="34"/>
      <c r="S975" s="34"/>
      <c r="T975" s="34"/>
      <c r="U975" s="2"/>
      <c r="V975" s="2"/>
      <c r="W975" s="2"/>
      <c r="X975" s="34"/>
    </row>
    <row x14ac:dyDescent="0.25" r="976" customHeight="1" ht="15.75">
      <c r="A976" s="1"/>
      <c r="B976" s="34"/>
      <c r="C976" s="2"/>
      <c r="D976" s="34"/>
      <c r="E976" s="34"/>
      <c r="F976" s="34"/>
      <c r="G976" s="34"/>
      <c r="H976" s="34"/>
      <c r="I976" s="6"/>
      <c r="J976" s="2"/>
      <c r="K976" s="2"/>
      <c r="L976" s="6"/>
      <c r="M976" s="6"/>
      <c r="N976" s="6"/>
      <c r="O976" s="34"/>
      <c r="P976" s="34"/>
      <c r="Q976" s="2"/>
      <c r="R976" s="34"/>
      <c r="S976" s="34"/>
      <c r="T976" s="34"/>
      <c r="U976" s="2"/>
      <c r="V976" s="2"/>
      <c r="W976" s="2"/>
      <c r="X976" s="34"/>
    </row>
    <row x14ac:dyDescent="0.25" r="977" customHeight="1" ht="15.75">
      <c r="A977" s="1"/>
      <c r="B977" s="34"/>
      <c r="C977" s="2"/>
      <c r="D977" s="34"/>
      <c r="E977" s="34"/>
      <c r="F977" s="34"/>
      <c r="G977" s="34"/>
      <c r="H977" s="34"/>
      <c r="I977" s="6"/>
      <c r="J977" s="2"/>
      <c r="K977" s="2"/>
      <c r="L977" s="6"/>
      <c r="M977" s="6"/>
      <c r="N977" s="6"/>
      <c r="O977" s="34"/>
      <c r="P977" s="34"/>
      <c r="Q977" s="2"/>
      <c r="R977" s="34"/>
      <c r="S977" s="34"/>
      <c r="T977" s="34"/>
      <c r="U977" s="2"/>
      <c r="V977" s="2"/>
      <c r="W977" s="2"/>
      <c r="X977" s="34"/>
    </row>
    <row x14ac:dyDescent="0.25" r="978" customHeight="1" ht="15.75">
      <c r="A978" s="1"/>
      <c r="B978" s="34"/>
      <c r="C978" s="2"/>
      <c r="D978" s="34"/>
      <c r="E978" s="34"/>
      <c r="F978" s="34"/>
      <c r="G978" s="34"/>
      <c r="H978" s="34"/>
      <c r="I978" s="6"/>
      <c r="J978" s="2"/>
      <c r="K978" s="2"/>
      <c r="L978" s="6"/>
      <c r="M978" s="6"/>
      <c r="N978" s="6"/>
      <c r="O978" s="34"/>
      <c r="P978" s="34"/>
      <c r="Q978" s="2"/>
      <c r="R978" s="34"/>
      <c r="S978" s="34"/>
      <c r="T978" s="34"/>
      <c r="U978" s="2"/>
      <c r="V978" s="2"/>
      <c r="W978" s="2"/>
      <c r="X978" s="34"/>
    </row>
    <row x14ac:dyDescent="0.25" r="979" customHeight="1" ht="15.75">
      <c r="A979" s="1"/>
      <c r="B979" s="34"/>
      <c r="C979" s="2"/>
      <c r="D979" s="34"/>
      <c r="E979" s="34"/>
      <c r="F979" s="34"/>
      <c r="G979" s="34"/>
      <c r="H979" s="34"/>
      <c r="I979" s="6"/>
      <c r="J979" s="2"/>
      <c r="K979" s="2"/>
      <c r="L979" s="6"/>
      <c r="M979" s="6"/>
      <c r="N979" s="6"/>
      <c r="O979" s="34"/>
      <c r="P979" s="34"/>
      <c r="Q979" s="2"/>
      <c r="R979" s="34"/>
      <c r="S979" s="34"/>
      <c r="T979" s="34"/>
      <c r="U979" s="2"/>
      <c r="V979" s="2"/>
      <c r="W979" s="2"/>
      <c r="X979" s="34"/>
    </row>
    <row x14ac:dyDescent="0.25" r="980" customHeight="1" ht="15.75">
      <c r="A980" s="1"/>
      <c r="B980" s="34"/>
      <c r="C980" s="2"/>
      <c r="D980" s="34"/>
      <c r="E980" s="34"/>
      <c r="F980" s="34"/>
      <c r="G980" s="34"/>
      <c r="H980" s="34"/>
      <c r="I980" s="6"/>
      <c r="J980" s="2"/>
      <c r="K980" s="2"/>
      <c r="L980" s="6"/>
      <c r="M980" s="6"/>
      <c r="N980" s="6"/>
      <c r="O980" s="34"/>
      <c r="P980" s="34"/>
      <c r="Q980" s="2"/>
      <c r="R980" s="34"/>
      <c r="S980" s="34"/>
      <c r="T980" s="34"/>
      <c r="U980" s="2"/>
      <c r="V980" s="2"/>
      <c r="W980" s="2"/>
      <c r="X980" s="34"/>
    </row>
    <row x14ac:dyDescent="0.25" r="981" customHeight="1" ht="15.75">
      <c r="A981" s="1"/>
      <c r="B981" s="34"/>
      <c r="C981" s="2"/>
      <c r="D981" s="34"/>
      <c r="E981" s="34"/>
      <c r="F981" s="34"/>
      <c r="G981" s="34"/>
      <c r="H981" s="34"/>
      <c r="I981" s="6"/>
      <c r="J981" s="2"/>
      <c r="K981" s="2"/>
      <c r="L981" s="6"/>
      <c r="M981" s="6"/>
      <c r="N981" s="6"/>
      <c r="O981" s="34"/>
      <c r="P981" s="34"/>
      <c r="Q981" s="2"/>
      <c r="R981" s="34"/>
      <c r="S981" s="34"/>
      <c r="T981" s="34"/>
      <c r="U981" s="2"/>
      <c r="V981" s="2"/>
      <c r="W981" s="2"/>
      <c r="X981" s="34"/>
    </row>
    <row x14ac:dyDescent="0.25" r="982" customHeight="1" ht="15.75">
      <c r="A982" s="1"/>
      <c r="B982" s="34"/>
      <c r="C982" s="2"/>
      <c r="D982" s="34"/>
      <c r="E982" s="34"/>
      <c r="F982" s="34"/>
      <c r="G982" s="34"/>
      <c r="H982" s="34"/>
      <c r="I982" s="6"/>
      <c r="J982" s="2"/>
      <c r="K982" s="2"/>
      <c r="L982" s="6"/>
      <c r="M982" s="6"/>
      <c r="N982" s="6"/>
      <c r="O982" s="34"/>
      <c r="P982" s="34"/>
      <c r="Q982" s="2"/>
      <c r="R982" s="34"/>
      <c r="S982" s="34"/>
      <c r="T982" s="34"/>
      <c r="U982" s="2"/>
      <c r="V982" s="2"/>
      <c r="W982" s="2"/>
      <c r="X982" s="34"/>
    </row>
    <row x14ac:dyDescent="0.25" r="983" customHeight="1" ht="15.75">
      <c r="A983" s="1"/>
      <c r="B983" s="34"/>
      <c r="C983" s="2"/>
      <c r="D983" s="34"/>
      <c r="E983" s="34"/>
      <c r="F983" s="34"/>
      <c r="G983" s="34"/>
      <c r="H983" s="34"/>
      <c r="I983" s="6"/>
      <c r="J983" s="2"/>
      <c r="K983" s="2"/>
      <c r="L983" s="6"/>
      <c r="M983" s="6"/>
      <c r="N983" s="6"/>
      <c r="O983" s="34"/>
      <c r="P983" s="34"/>
      <c r="Q983" s="2"/>
      <c r="R983" s="34"/>
      <c r="S983" s="34"/>
      <c r="T983" s="34"/>
      <c r="U983" s="2"/>
      <c r="V983" s="2"/>
      <c r="W983" s="2"/>
      <c r="X983" s="34"/>
    </row>
    <row x14ac:dyDescent="0.25" r="984" customHeight="1" ht="15.75">
      <c r="A984" s="1"/>
      <c r="B984" s="34"/>
      <c r="C984" s="2"/>
      <c r="D984" s="34"/>
      <c r="E984" s="34"/>
      <c r="F984" s="34"/>
      <c r="G984" s="34"/>
      <c r="H984" s="34"/>
      <c r="I984" s="6"/>
      <c r="J984" s="2"/>
      <c r="K984" s="2"/>
      <c r="L984" s="6"/>
      <c r="M984" s="6"/>
      <c r="N984" s="6"/>
      <c r="O984" s="34"/>
      <c r="P984" s="34"/>
      <c r="Q984" s="2"/>
      <c r="R984" s="34"/>
      <c r="S984" s="34"/>
      <c r="T984" s="34"/>
      <c r="U984" s="2"/>
      <c r="V984" s="2"/>
      <c r="W984" s="2"/>
      <c r="X984" s="34"/>
    </row>
    <row x14ac:dyDescent="0.25" r="985" customHeight="1" ht="15.75">
      <c r="A985" s="1"/>
      <c r="B985" s="34"/>
      <c r="C985" s="2"/>
      <c r="D985" s="34"/>
      <c r="E985" s="34"/>
      <c r="F985" s="34"/>
      <c r="G985" s="34"/>
      <c r="H985" s="34"/>
      <c r="I985" s="6"/>
      <c r="J985" s="2"/>
      <c r="K985" s="2"/>
      <c r="L985" s="6"/>
      <c r="M985" s="6"/>
      <c r="N985" s="6"/>
      <c r="O985" s="34"/>
      <c r="P985" s="34"/>
      <c r="Q985" s="2"/>
      <c r="R985" s="34"/>
      <c r="S985" s="34"/>
      <c r="T985" s="34"/>
      <c r="U985" s="2"/>
      <c r="V985" s="2"/>
      <c r="W985" s="2"/>
      <c r="X985" s="34"/>
    </row>
    <row x14ac:dyDescent="0.25" r="986" customHeight="1" ht="15.75">
      <c r="A986" s="1"/>
      <c r="B986" s="34"/>
      <c r="C986" s="2"/>
      <c r="D986" s="34"/>
      <c r="E986" s="34"/>
      <c r="F986" s="34"/>
      <c r="G986" s="34"/>
      <c r="H986" s="34"/>
      <c r="I986" s="6"/>
      <c r="J986" s="2"/>
      <c r="K986" s="2"/>
      <c r="L986" s="6"/>
      <c r="M986" s="6"/>
      <c r="N986" s="6"/>
      <c r="O986" s="34"/>
      <c r="P986" s="34"/>
      <c r="Q986" s="2"/>
      <c r="R986" s="34"/>
      <c r="S986" s="34"/>
      <c r="T986" s="34"/>
      <c r="U986" s="2"/>
      <c r="V986" s="2"/>
      <c r="W986" s="2"/>
      <c r="X986" s="34"/>
    </row>
    <row x14ac:dyDescent="0.25" r="987" customHeight="1" ht="15.75">
      <c r="A987" s="1"/>
      <c r="B987" s="34"/>
      <c r="C987" s="2"/>
      <c r="D987" s="34"/>
      <c r="E987" s="34"/>
      <c r="F987" s="34"/>
      <c r="G987" s="34"/>
      <c r="H987" s="34"/>
      <c r="I987" s="6"/>
      <c r="J987" s="2"/>
      <c r="K987" s="2"/>
      <c r="L987" s="6"/>
      <c r="M987" s="6"/>
      <c r="N987" s="6"/>
      <c r="O987" s="34"/>
      <c r="P987" s="34"/>
      <c r="Q987" s="2"/>
      <c r="R987" s="34"/>
      <c r="S987" s="34"/>
      <c r="T987" s="34"/>
      <c r="U987" s="2"/>
      <c r="V987" s="2"/>
      <c r="W987" s="2"/>
      <c r="X987" s="34"/>
    </row>
    <row x14ac:dyDescent="0.25" r="988" customHeight="1" ht="15.75">
      <c r="A988" s="1"/>
      <c r="B988" s="34"/>
      <c r="C988" s="2"/>
      <c r="D988" s="34"/>
      <c r="E988" s="34"/>
      <c r="F988" s="34"/>
      <c r="G988" s="34"/>
      <c r="H988" s="34"/>
      <c r="I988" s="6"/>
      <c r="J988" s="2"/>
      <c r="K988" s="2"/>
      <c r="L988" s="6"/>
      <c r="M988" s="6"/>
      <c r="N988" s="6"/>
      <c r="O988" s="34"/>
      <c r="P988" s="34"/>
      <c r="Q988" s="2"/>
      <c r="R988" s="34"/>
      <c r="S988" s="34"/>
      <c r="T988" s="34"/>
      <c r="U988" s="2"/>
      <c r="V988" s="2"/>
      <c r="W988" s="2"/>
      <c r="X988" s="34"/>
    </row>
    <row x14ac:dyDescent="0.25" r="989" customHeight="1" ht="15.75">
      <c r="A989" s="1"/>
      <c r="B989" s="34"/>
      <c r="C989" s="2"/>
      <c r="D989" s="34"/>
      <c r="E989" s="34"/>
      <c r="F989" s="34"/>
      <c r="G989" s="34"/>
      <c r="H989" s="34"/>
      <c r="I989" s="6"/>
      <c r="J989" s="2"/>
      <c r="K989" s="2"/>
      <c r="L989" s="6"/>
      <c r="M989" s="6"/>
      <c r="N989" s="6"/>
      <c r="O989" s="34"/>
      <c r="P989" s="34"/>
      <c r="Q989" s="2"/>
      <c r="R989" s="34"/>
      <c r="S989" s="34"/>
      <c r="T989" s="34"/>
      <c r="U989" s="2"/>
      <c r="V989" s="2"/>
      <c r="W989" s="2"/>
      <c r="X989" s="34"/>
    </row>
    <row x14ac:dyDescent="0.25" r="990" customHeight="1" ht="15.75">
      <c r="A990" s="1"/>
      <c r="B990" s="34"/>
      <c r="C990" s="2"/>
      <c r="D990" s="34"/>
      <c r="E990" s="34"/>
      <c r="F990" s="34"/>
      <c r="G990" s="34"/>
      <c r="H990" s="34"/>
      <c r="I990" s="6"/>
      <c r="J990" s="2"/>
      <c r="K990" s="2"/>
      <c r="L990" s="6"/>
      <c r="M990" s="6"/>
      <c r="N990" s="6"/>
      <c r="O990" s="34"/>
      <c r="P990" s="34"/>
      <c r="Q990" s="2"/>
      <c r="R990" s="34"/>
      <c r="S990" s="34"/>
      <c r="T990" s="34"/>
      <c r="U990" s="2"/>
      <c r="V990" s="2"/>
      <c r="W990" s="2"/>
      <c r="X990" s="34"/>
    </row>
    <row x14ac:dyDescent="0.25" r="991" customHeight="1" ht="15.75">
      <c r="A991" s="1"/>
      <c r="B991" s="34"/>
      <c r="C991" s="2"/>
      <c r="D991" s="34"/>
      <c r="E991" s="34"/>
      <c r="F991" s="34"/>
      <c r="G991" s="34"/>
      <c r="H991" s="34"/>
      <c r="I991" s="6"/>
      <c r="J991" s="2"/>
      <c r="K991" s="2"/>
      <c r="L991" s="6"/>
      <c r="M991" s="6"/>
      <c r="N991" s="6"/>
      <c r="O991" s="34"/>
      <c r="P991" s="34"/>
      <c r="Q991" s="2"/>
      <c r="R991" s="34"/>
      <c r="S991" s="34"/>
      <c r="T991" s="34"/>
      <c r="U991" s="2"/>
      <c r="V991" s="2"/>
      <c r="W991" s="2"/>
      <c r="X991" s="3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997"/>
  <sheetViews>
    <sheetView workbookViewId="0"/>
  </sheetViews>
  <sheetFormatPr defaultRowHeight="15" x14ac:dyDescent="0.25"/>
  <cols>
    <col min="1" max="1" style="20" width="11.576428571428572" customWidth="1" bestFit="1"/>
    <col min="2" max="2" style="21" width="12.719285714285713" customWidth="1" bestFit="1"/>
    <col min="3" max="3" style="36" width="4.147857142857143" customWidth="1" bestFit="1"/>
    <col min="4" max="4" style="36" width="14.290714285714287" customWidth="1" bestFit="1"/>
    <col min="5" max="5" style="36" width="11.719285714285713" customWidth="1" bestFit="1"/>
    <col min="6" max="6" style="36" width="18.576428571428572" customWidth="1" bestFit="1"/>
    <col min="7" max="7" style="36" width="47.005" customWidth="1" bestFit="1"/>
    <col min="8" max="8" style="36" width="8.005" customWidth="1" bestFit="1"/>
    <col min="9" max="9" style="37" width="16.290714285714284" customWidth="1" bestFit="1"/>
    <col min="10" max="10" style="37" width="17.005" customWidth="1" bestFit="1"/>
    <col min="11" max="11" style="37" width="16.005" customWidth="1" bestFit="1"/>
    <col min="12" max="12" style="37" width="13.005" customWidth="1" bestFit="1"/>
    <col min="13" max="13" style="36" width="9.576428571428572" customWidth="1" bestFit="1"/>
    <col min="14" max="14" style="36" width="20.719285714285714" customWidth="1" bestFit="1"/>
    <col min="15" max="15" style="37" width="12.290714285714287" customWidth="1" bestFit="1"/>
    <col min="16" max="16" style="36" width="14.147857142857141" customWidth="1" bestFit="1"/>
    <col min="17" max="17" style="36" width="13.576428571428572" customWidth="1" bestFit="1"/>
    <col min="18" max="18" style="36" width="13.576428571428572" customWidth="1" bestFit="1"/>
    <col min="19" max="19" style="36" width="13.576428571428572" customWidth="1" bestFit="1"/>
    <col min="20" max="20" style="36" width="13.576428571428572" customWidth="1" bestFit="1"/>
  </cols>
  <sheetData>
    <row x14ac:dyDescent="0.25" r="1" customHeight="1" ht="18.75">
      <c r="A1" s="7" t="s">
        <v>1</v>
      </c>
      <c r="B1" s="8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10" t="s">
        <v>7</v>
      </c>
      <c r="H1" s="9" t="s">
        <v>8</v>
      </c>
      <c r="I1" s="11" t="s">
        <v>9</v>
      </c>
      <c r="J1" s="11" t="s">
        <v>10</v>
      </c>
      <c r="K1" s="11" t="s">
        <v>11</v>
      </c>
      <c r="L1" s="11" t="s">
        <v>12</v>
      </c>
      <c r="M1" s="9" t="s">
        <v>13</v>
      </c>
      <c r="N1" s="9" t="s">
        <v>14</v>
      </c>
      <c r="O1" s="11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</row>
    <row x14ac:dyDescent="0.25" r="2" customHeight="1" ht="18.75">
      <c r="A2" s="12">
        <v>45992</v>
      </c>
      <c r="B2" s="13" t="s">
        <v>751</v>
      </c>
      <c r="C2" s="14" t="s">
        <v>72</v>
      </c>
      <c r="D2" s="14" t="s">
        <v>752</v>
      </c>
      <c r="E2" s="14" t="s">
        <v>753</v>
      </c>
      <c r="F2" s="14" t="s">
        <v>30</v>
      </c>
      <c r="G2" s="15" t="s">
        <v>754</v>
      </c>
      <c r="H2" s="14" t="s">
        <v>26</v>
      </c>
      <c r="I2" s="16"/>
      <c r="J2" s="16">
        <v>418500</v>
      </c>
      <c r="K2" s="16">
        <v>343500</v>
      </c>
      <c r="L2" s="16">
        <f>J2-K2</f>
      </c>
      <c r="M2" s="14" t="s">
        <v>43</v>
      </c>
      <c r="N2" s="14" t="s">
        <v>755</v>
      </c>
      <c r="O2" s="16" t="s">
        <v>33</v>
      </c>
      <c r="P2" s="14"/>
      <c r="Q2" s="14"/>
      <c r="R2" s="14"/>
      <c r="S2" s="14"/>
      <c r="T2" s="14"/>
    </row>
    <row x14ac:dyDescent="0.25" r="3" customHeight="1" ht="18.75">
      <c r="A3" s="12">
        <v>45992</v>
      </c>
      <c r="B3" s="13" t="s">
        <v>756</v>
      </c>
      <c r="C3" s="14" t="s">
        <v>53</v>
      </c>
      <c r="D3" s="14" t="s">
        <v>757</v>
      </c>
      <c r="E3" s="14" t="s">
        <v>758</v>
      </c>
      <c r="F3" s="14" t="s">
        <v>135</v>
      </c>
      <c r="G3" s="15" t="s">
        <v>136</v>
      </c>
      <c r="H3" s="14" t="s">
        <v>26</v>
      </c>
      <c r="I3" s="16"/>
      <c r="J3" s="16">
        <v>230900</v>
      </c>
      <c r="K3" s="16">
        <v>180900</v>
      </c>
      <c r="L3" s="16">
        <f>J3-K3</f>
      </c>
      <c r="M3" s="14" t="s">
        <v>137</v>
      </c>
      <c r="N3" s="14" t="s">
        <v>759</v>
      </c>
      <c r="O3" s="16"/>
      <c r="P3" s="14"/>
      <c r="Q3" s="14"/>
      <c r="R3" s="14"/>
      <c r="S3" s="14"/>
      <c r="T3" s="14"/>
    </row>
    <row x14ac:dyDescent="0.25" r="4" customHeight="1" ht="18.75">
      <c r="A4" s="12">
        <v>45992</v>
      </c>
      <c r="B4" s="13" t="s">
        <v>760</v>
      </c>
      <c r="C4" s="14" t="s">
        <v>46</v>
      </c>
      <c r="D4" s="14" t="s">
        <v>54</v>
      </c>
      <c r="E4" s="14" t="s">
        <v>761</v>
      </c>
      <c r="F4" s="14" t="s">
        <v>762</v>
      </c>
      <c r="G4" s="15" t="s">
        <v>763</v>
      </c>
      <c r="H4" s="14" t="s">
        <v>26</v>
      </c>
      <c r="I4" s="16">
        <v>1174300</v>
      </c>
      <c r="J4" s="16">
        <v>1815900</v>
      </c>
      <c r="K4" s="16">
        <v>1740020</v>
      </c>
      <c r="L4" s="16">
        <f>J4-K4</f>
      </c>
      <c r="M4" s="14" t="s">
        <v>43</v>
      </c>
      <c r="N4" s="14" t="s">
        <v>764</v>
      </c>
      <c r="O4" s="16"/>
      <c r="P4" s="14"/>
      <c r="Q4" s="14"/>
      <c r="R4" s="14"/>
      <c r="S4" s="18"/>
      <c r="T4" s="14"/>
    </row>
    <row x14ac:dyDescent="0.25" r="5" customHeight="1" ht="18.75">
      <c r="A5" s="55">
        <v>45992</v>
      </c>
      <c r="B5" s="132" t="s">
        <v>765</v>
      </c>
      <c r="C5" s="56" t="s">
        <v>72</v>
      </c>
      <c r="D5" s="56" t="s">
        <v>766</v>
      </c>
      <c r="E5" s="56" t="s">
        <v>767</v>
      </c>
      <c r="F5" s="56" t="s">
        <v>768</v>
      </c>
      <c r="G5" s="133" t="s">
        <v>769</v>
      </c>
      <c r="H5" s="56" t="s">
        <v>26</v>
      </c>
      <c r="I5" s="134" t="s">
        <v>770</v>
      </c>
      <c r="J5" s="134">
        <v>725455</v>
      </c>
      <c r="K5" s="134">
        <v>638455</v>
      </c>
      <c r="L5" s="134">
        <f>J5-K5</f>
      </c>
      <c r="M5" s="56" t="s">
        <v>43</v>
      </c>
      <c r="N5" s="56" t="s">
        <v>771</v>
      </c>
      <c r="O5" s="134" t="s">
        <v>772</v>
      </c>
      <c r="P5" s="56"/>
      <c r="Q5" s="56"/>
      <c r="R5" s="56"/>
      <c r="S5" s="135"/>
      <c r="T5" s="56"/>
    </row>
    <row x14ac:dyDescent="0.25" r="6" customHeight="1" ht="18.75">
      <c r="A6" s="55">
        <v>45992</v>
      </c>
      <c r="B6" s="132" t="s">
        <v>765</v>
      </c>
      <c r="C6" s="56" t="s">
        <v>72</v>
      </c>
      <c r="D6" s="56" t="s">
        <v>766</v>
      </c>
      <c r="E6" s="56" t="s">
        <v>767</v>
      </c>
      <c r="F6" s="56" t="s">
        <v>768</v>
      </c>
      <c r="G6" s="133" t="s">
        <v>773</v>
      </c>
      <c r="H6" s="56" t="s">
        <v>26</v>
      </c>
      <c r="I6" s="134" t="s">
        <v>770</v>
      </c>
      <c r="J6" s="134">
        <v>725455</v>
      </c>
      <c r="K6" s="134">
        <v>638455</v>
      </c>
      <c r="L6" s="134">
        <v>87000</v>
      </c>
      <c r="M6" s="56" t="s">
        <v>43</v>
      </c>
      <c r="N6" s="56" t="s">
        <v>774</v>
      </c>
      <c r="O6" s="134" t="s">
        <v>772</v>
      </c>
      <c r="P6" s="56"/>
      <c r="Q6" s="56"/>
      <c r="R6" s="56"/>
      <c r="S6" s="135"/>
      <c r="T6" s="56"/>
    </row>
    <row x14ac:dyDescent="0.25" r="7" customHeight="1" ht="18.75">
      <c r="A7" s="12">
        <v>45992</v>
      </c>
      <c r="B7" s="13" t="s">
        <v>775</v>
      </c>
      <c r="C7" s="14" t="s">
        <v>66</v>
      </c>
      <c r="D7" s="14" t="s">
        <v>166</v>
      </c>
      <c r="E7" s="14" t="s">
        <v>776</v>
      </c>
      <c r="F7" s="14" t="s">
        <v>68</v>
      </c>
      <c r="G7" s="15" t="s">
        <v>69</v>
      </c>
      <c r="H7" s="14" t="s">
        <v>26</v>
      </c>
      <c r="I7" s="16"/>
      <c r="J7" s="16">
        <v>469620</v>
      </c>
      <c r="K7" s="16">
        <v>442176</v>
      </c>
      <c r="L7" s="16">
        <f>J7-K7</f>
      </c>
      <c r="M7" s="14" t="s">
        <v>43</v>
      </c>
      <c r="N7" s="14" t="s">
        <v>777</v>
      </c>
      <c r="O7" s="16">
        <v>2</v>
      </c>
      <c r="P7" s="14"/>
      <c r="Q7" s="14"/>
      <c r="R7" s="14"/>
      <c r="S7" s="18"/>
      <c r="T7" s="14"/>
    </row>
    <row x14ac:dyDescent="0.25" r="8" customHeight="1" ht="18.75">
      <c r="A8" s="12">
        <v>45993</v>
      </c>
      <c r="B8" s="13" t="s">
        <v>778</v>
      </c>
      <c r="C8" s="14" t="s">
        <v>46</v>
      </c>
      <c r="D8" s="14" t="s">
        <v>779</v>
      </c>
      <c r="E8" s="14" t="s">
        <v>780</v>
      </c>
      <c r="F8" s="14" t="s">
        <v>781</v>
      </c>
      <c r="G8" s="15" t="s">
        <v>782</v>
      </c>
      <c r="H8" s="14" t="s">
        <v>26</v>
      </c>
      <c r="I8" s="16"/>
      <c r="J8" s="16">
        <v>298700</v>
      </c>
      <c r="K8" s="16">
        <v>258400</v>
      </c>
      <c r="L8" s="16">
        <f>J8-K8</f>
      </c>
      <c r="M8" s="14" t="s">
        <v>43</v>
      </c>
      <c r="N8" s="14" t="s">
        <v>783</v>
      </c>
      <c r="O8" s="16" t="s">
        <v>33</v>
      </c>
      <c r="P8" s="14"/>
      <c r="Q8" s="14"/>
      <c r="R8" s="14"/>
      <c r="S8" s="14"/>
      <c r="T8" s="14"/>
    </row>
    <row x14ac:dyDescent="0.25" r="9" customHeight="1" ht="18.75">
      <c r="A9" s="12">
        <v>45993</v>
      </c>
      <c r="B9" s="13" t="s">
        <v>756</v>
      </c>
      <c r="C9" s="14" t="s">
        <v>53</v>
      </c>
      <c r="D9" s="14"/>
      <c r="E9" s="14" t="s">
        <v>784</v>
      </c>
      <c r="F9" s="14" t="s">
        <v>135</v>
      </c>
      <c r="G9" s="15" t="s">
        <v>136</v>
      </c>
      <c r="H9" s="14" t="s">
        <v>26</v>
      </c>
      <c r="I9" s="16"/>
      <c r="J9" s="16">
        <v>60000</v>
      </c>
      <c r="K9" s="16">
        <v>49200</v>
      </c>
      <c r="L9" s="16">
        <f>J9-K9</f>
      </c>
      <c r="M9" s="14" t="s">
        <v>137</v>
      </c>
      <c r="N9" s="14" t="s">
        <v>785</v>
      </c>
      <c r="O9" s="16" t="s">
        <v>60</v>
      </c>
      <c r="P9" s="14"/>
      <c r="Q9" s="14"/>
      <c r="R9" s="14"/>
      <c r="S9" s="14"/>
      <c r="T9" s="14"/>
    </row>
    <row x14ac:dyDescent="0.25" r="10" customHeight="1" ht="18.75">
      <c r="A10" s="12">
        <v>45993</v>
      </c>
      <c r="B10" s="19">
        <v>45681</v>
      </c>
      <c r="C10" s="14" t="s">
        <v>123</v>
      </c>
      <c r="D10" s="14" t="s">
        <v>786</v>
      </c>
      <c r="E10" s="14" t="s">
        <v>787</v>
      </c>
      <c r="F10" s="14" t="s">
        <v>788</v>
      </c>
      <c r="G10" s="15" t="s">
        <v>789</v>
      </c>
      <c r="H10" s="14" t="s">
        <v>26</v>
      </c>
      <c r="I10" s="16"/>
      <c r="J10" s="16">
        <v>509900</v>
      </c>
      <c r="K10" s="16">
        <v>484120</v>
      </c>
      <c r="L10" s="16">
        <f>J10-K10</f>
      </c>
      <c r="M10" s="14" t="s">
        <v>50</v>
      </c>
      <c r="N10" s="14" t="s">
        <v>790</v>
      </c>
      <c r="O10" s="16">
        <v>2</v>
      </c>
      <c r="P10" s="14"/>
      <c r="Q10" s="14"/>
      <c r="R10" s="14"/>
      <c r="S10" s="14"/>
      <c r="T10" s="14"/>
    </row>
    <row x14ac:dyDescent="0.25" r="11" customHeight="1" ht="18.75">
      <c r="A11" s="12">
        <v>45993</v>
      </c>
      <c r="B11" s="13" t="s">
        <v>756</v>
      </c>
      <c r="C11" s="14" t="s">
        <v>82</v>
      </c>
      <c r="D11" s="14" t="s">
        <v>472</v>
      </c>
      <c r="E11" s="14" t="s">
        <v>791</v>
      </c>
      <c r="F11" s="14" t="s">
        <v>84</v>
      </c>
      <c r="G11" s="15" t="s">
        <v>792</v>
      </c>
      <c r="H11" s="14" t="s">
        <v>26</v>
      </c>
      <c r="I11" s="16"/>
      <c r="J11" s="16">
        <v>88700</v>
      </c>
      <c r="K11" s="16">
        <v>78770</v>
      </c>
      <c r="L11" s="16">
        <f>J11-K11</f>
      </c>
      <c r="M11" s="14" t="s">
        <v>43</v>
      </c>
      <c r="N11" s="14" t="s">
        <v>793</v>
      </c>
      <c r="O11" s="16"/>
      <c r="P11" s="14"/>
      <c r="Q11" s="14"/>
      <c r="R11" s="14"/>
      <c r="S11" s="14"/>
      <c r="T11" s="14"/>
    </row>
    <row x14ac:dyDescent="0.25" r="12" customHeight="1" ht="18.75">
      <c r="A12" s="12">
        <v>45994</v>
      </c>
      <c r="B12" s="13" t="s">
        <v>794</v>
      </c>
      <c r="C12" s="14" t="s">
        <v>62</v>
      </c>
      <c r="D12" s="14" t="s">
        <v>795</v>
      </c>
      <c r="E12" s="14" t="s">
        <v>796</v>
      </c>
      <c r="F12" s="14" t="s">
        <v>41</v>
      </c>
      <c r="G12" s="15" t="s">
        <v>131</v>
      </c>
      <c r="H12" s="14" t="s">
        <v>26</v>
      </c>
      <c r="I12" s="16"/>
      <c r="J12" s="16">
        <v>658000</v>
      </c>
      <c r="K12" s="16">
        <v>427000</v>
      </c>
      <c r="L12" s="16">
        <f>J12-K12</f>
      </c>
      <c r="M12" s="14" t="s">
        <v>64</v>
      </c>
      <c r="N12" s="14" t="s">
        <v>797</v>
      </c>
      <c r="O12" s="16"/>
      <c r="P12" s="14"/>
      <c r="Q12" s="14"/>
      <c r="R12" s="14"/>
      <c r="S12" s="14"/>
      <c r="T12" s="14"/>
    </row>
    <row x14ac:dyDescent="0.25" r="13" customHeight="1" ht="18.75">
      <c r="A13" s="12">
        <v>45994</v>
      </c>
      <c r="B13" s="13" t="s">
        <v>798</v>
      </c>
      <c r="C13" s="14" t="s">
        <v>53</v>
      </c>
      <c r="D13" s="14" t="s">
        <v>799</v>
      </c>
      <c r="E13" s="14" t="s">
        <v>800</v>
      </c>
      <c r="F13" s="14" t="s">
        <v>801</v>
      </c>
      <c r="G13" s="15" t="s">
        <v>802</v>
      </c>
      <c r="H13" s="14" t="s">
        <v>26</v>
      </c>
      <c r="I13" s="16"/>
      <c r="J13" s="16">
        <v>539900</v>
      </c>
      <c r="K13" s="16">
        <v>504420</v>
      </c>
      <c r="L13" s="16">
        <f>J13-K13</f>
      </c>
      <c r="M13" s="14" t="s">
        <v>43</v>
      </c>
      <c r="N13" s="14" t="s">
        <v>803</v>
      </c>
      <c r="O13" s="16"/>
      <c r="P13" s="14"/>
      <c r="Q13" s="14"/>
      <c r="R13" s="14"/>
      <c r="S13" s="14"/>
      <c r="T13" s="14"/>
    </row>
    <row x14ac:dyDescent="0.25" r="14" customHeight="1" ht="18.75">
      <c r="A14" s="12">
        <v>45994</v>
      </c>
      <c r="B14" s="13" t="s">
        <v>804</v>
      </c>
      <c r="C14" s="14" t="s">
        <v>82</v>
      </c>
      <c r="D14" s="14" t="s">
        <v>805</v>
      </c>
      <c r="E14" s="14" t="s">
        <v>806</v>
      </c>
      <c r="F14" s="14" t="s">
        <v>807</v>
      </c>
      <c r="G14" s="15" t="s">
        <v>808</v>
      </c>
      <c r="H14" s="14" t="s">
        <v>26</v>
      </c>
      <c r="I14" s="16"/>
      <c r="J14" s="16">
        <v>405000</v>
      </c>
      <c r="K14" s="16">
        <v>395020</v>
      </c>
      <c r="L14" s="16">
        <f>J14-K14</f>
      </c>
      <c r="M14" s="14" t="s">
        <v>43</v>
      </c>
      <c r="N14" s="14" t="s">
        <v>809</v>
      </c>
      <c r="O14" s="16"/>
      <c r="P14" s="14"/>
      <c r="Q14" s="14"/>
      <c r="R14" s="14"/>
      <c r="S14" s="14"/>
      <c r="T14" s="14"/>
    </row>
    <row x14ac:dyDescent="0.25" r="15" customHeight="1" ht="18.75">
      <c r="A15" s="12">
        <v>45994</v>
      </c>
      <c r="B15" s="13" t="s">
        <v>810</v>
      </c>
      <c r="C15" s="14" t="s">
        <v>53</v>
      </c>
      <c r="D15" s="14" t="s">
        <v>282</v>
      </c>
      <c r="E15" s="14" t="s">
        <v>811</v>
      </c>
      <c r="F15" s="14" t="s">
        <v>284</v>
      </c>
      <c r="G15" s="15" t="s">
        <v>812</v>
      </c>
      <c r="H15" s="14" t="s">
        <v>26</v>
      </c>
      <c r="I15" s="16"/>
      <c r="J15" s="16">
        <v>267800</v>
      </c>
      <c r="K15" s="16">
        <v>257200</v>
      </c>
      <c r="L15" s="16">
        <f>J15-K15</f>
      </c>
      <c r="M15" s="14" t="s">
        <v>137</v>
      </c>
      <c r="N15" s="14" t="s">
        <v>813</v>
      </c>
      <c r="O15" s="16"/>
      <c r="P15" s="14"/>
      <c r="Q15" s="14"/>
      <c r="R15" s="14"/>
      <c r="S15" s="14"/>
      <c r="T15" s="14"/>
    </row>
    <row x14ac:dyDescent="0.25" r="16" customHeight="1" ht="18.75">
      <c r="A16" s="12">
        <v>45995</v>
      </c>
      <c r="B16" s="19">
        <v>45658</v>
      </c>
      <c r="C16" s="14" t="s">
        <v>46</v>
      </c>
      <c r="D16" s="14" t="s">
        <v>814</v>
      </c>
      <c r="E16" s="136" t="s">
        <v>815</v>
      </c>
      <c r="F16" s="14" t="s">
        <v>816</v>
      </c>
      <c r="G16" s="15" t="s">
        <v>817</v>
      </c>
      <c r="H16" s="14" t="s">
        <v>26</v>
      </c>
      <c r="I16" s="16"/>
      <c r="J16" s="16">
        <v>229800</v>
      </c>
      <c r="K16" s="16">
        <v>122400</v>
      </c>
      <c r="L16" s="16">
        <f>J16-K16</f>
      </c>
      <c r="M16" s="14" t="s">
        <v>46</v>
      </c>
      <c r="N16" s="14" t="s">
        <v>818</v>
      </c>
      <c r="O16" s="16" t="s">
        <v>33</v>
      </c>
      <c r="P16" s="14"/>
      <c r="Q16" s="14"/>
      <c r="R16" s="14"/>
      <c r="S16" s="18"/>
      <c r="T16" s="14"/>
    </row>
    <row x14ac:dyDescent="0.25" r="17" customHeight="1" ht="18.75">
      <c r="A17" s="12">
        <v>45995</v>
      </c>
      <c r="B17" s="13" t="s">
        <v>819</v>
      </c>
      <c r="C17" s="14" t="s">
        <v>82</v>
      </c>
      <c r="D17" s="14" t="s">
        <v>83</v>
      </c>
      <c r="E17" s="14" t="s">
        <v>820</v>
      </c>
      <c r="F17" s="14" t="s">
        <v>135</v>
      </c>
      <c r="G17" s="15" t="s">
        <v>821</v>
      </c>
      <c r="H17" s="14" t="s">
        <v>26</v>
      </c>
      <c r="I17" s="16"/>
      <c r="J17" s="16">
        <v>108709</v>
      </c>
      <c r="K17" s="16">
        <v>91000</v>
      </c>
      <c r="L17" s="16">
        <f>J17-K17</f>
      </c>
      <c r="M17" s="14" t="s">
        <v>43</v>
      </c>
      <c r="N17" s="14" t="s">
        <v>822</v>
      </c>
      <c r="O17" s="16"/>
      <c r="P17" s="14"/>
      <c r="Q17" s="14"/>
      <c r="R17" s="14"/>
      <c r="S17" s="14"/>
      <c r="T17" s="14"/>
    </row>
    <row x14ac:dyDescent="0.25" r="18" customHeight="1" ht="18.75">
      <c r="A18" s="137">
        <v>45995</v>
      </c>
      <c r="B18" s="138" t="s">
        <v>823</v>
      </c>
      <c r="C18" s="139" t="s">
        <v>53</v>
      </c>
      <c r="D18" s="139" t="s">
        <v>295</v>
      </c>
      <c r="E18" s="139" t="s">
        <v>824</v>
      </c>
      <c r="F18" s="139" t="s">
        <v>825</v>
      </c>
      <c r="G18" s="140" t="s">
        <v>136</v>
      </c>
      <c r="H18" s="139" t="s">
        <v>26</v>
      </c>
      <c r="I18" s="141"/>
      <c r="J18" s="141">
        <v>194100</v>
      </c>
      <c r="K18" s="141">
        <v>174100</v>
      </c>
      <c r="L18" s="141">
        <f>J18-K18</f>
      </c>
      <c r="M18" s="139" t="s">
        <v>137</v>
      </c>
      <c r="N18" s="139" t="s">
        <v>826</v>
      </c>
      <c r="O18" s="141" t="s">
        <v>827</v>
      </c>
      <c r="P18" s="139"/>
      <c r="Q18" s="139"/>
      <c r="R18" s="139"/>
      <c r="S18" s="139"/>
      <c r="T18" s="139"/>
    </row>
    <row x14ac:dyDescent="0.25" r="19" customHeight="1" ht="18.75">
      <c r="A19" s="12">
        <v>45996</v>
      </c>
      <c r="B19" s="13" t="s">
        <v>828</v>
      </c>
      <c r="C19" s="14" t="s">
        <v>72</v>
      </c>
      <c r="D19" s="14" t="s">
        <v>829</v>
      </c>
      <c r="E19" s="14" t="s">
        <v>830</v>
      </c>
      <c r="F19" s="14" t="s">
        <v>141</v>
      </c>
      <c r="G19" s="15" t="s">
        <v>142</v>
      </c>
      <c r="H19" s="14" t="s">
        <v>26</v>
      </c>
      <c r="I19" s="16">
        <v>375400</v>
      </c>
      <c r="J19" s="16">
        <v>830620</v>
      </c>
      <c r="K19" s="16">
        <v>763620</v>
      </c>
      <c r="L19" s="16">
        <f>J19-K19</f>
      </c>
      <c r="M19" s="14" t="s">
        <v>43</v>
      </c>
      <c r="N19" s="14" t="s">
        <v>831</v>
      </c>
      <c r="O19" s="16"/>
      <c r="P19" s="14"/>
      <c r="Q19" s="14"/>
      <c r="R19" s="14"/>
      <c r="S19" s="14"/>
      <c r="T19" s="14"/>
    </row>
    <row x14ac:dyDescent="0.25" r="20" customHeight="1" ht="18.75">
      <c r="A20" s="12">
        <v>45996</v>
      </c>
      <c r="B20" s="13" t="s">
        <v>832</v>
      </c>
      <c r="C20" s="14" t="s">
        <v>123</v>
      </c>
      <c r="D20" s="14" t="s">
        <v>833</v>
      </c>
      <c r="E20" s="14" t="s">
        <v>834</v>
      </c>
      <c r="F20" s="14" t="s">
        <v>835</v>
      </c>
      <c r="G20" s="15" t="s">
        <v>836</v>
      </c>
      <c r="H20" s="14" t="s">
        <v>26</v>
      </c>
      <c r="I20" s="16">
        <v>92800</v>
      </c>
      <c r="J20" s="16">
        <v>314520</v>
      </c>
      <c r="K20" s="16">
        <v>294220</v>
      </c>
      <c r="L20" s="16">
        <f>J20-K20</f>
      </c>
      <c r="M20" s="14" t="s">
        <v>50</v>
      </c>
      <c r="N20" s="14" t="s">
        <v>837</v>
      </c>
      <c r="O20" s="16">
        <v>2</v>
      </c>
      <c r="P20" s="14"/>
      <c r="Q20" s="14"/>
      <c r="R20" s="14"/>
      <c r="S20" s="14"/>
      <c r="T20" s="14"/>
    </row>
    <row x14ac:dyDescent="0.25" r="21" customHeight="1" ht="18.75">
      <c r="A21" s="12">
        <v>45997</v>
      </c>
      <c r="B21" s="13" t="s">
        <v>838</v>
      </c>
      <c r="C21" s="14" t="s">
        <v>82</v>
      </c>
      <c r="D21" s="14" t="s">
        <v>525</v>
      </c>
      <c r="E21" s="14" t="s">
        <v>839</v>
      </c>
      <c r="F21" s="14" t="s">
        <v>711</v>
      </c>
      <c r="G21" s="15" t="s">
        <v>840</v>
      </c>
      <c r="H21" s="14" t="s">
        <v>26</v>
      </c>
      <c r="I21" s="16"/>
      <c r="J21" s="16">
        <v>179900</v>
      </c>
      <c r="K21" s="16">
        <v>163840</v>
      </c>
      <c r="L21" s="16">
        <f>J21-K21</f>
      </c>
      <c r="M21" s="14" t="s">
        <v>43</v>
      </c>
      <c r="N21" s="14" t="s">
        <v>841</v>
      </c>
      <c r="O21" s="16"/>
      <c r="P21" s="14"/>
      <c r="Q21" s="14"/>
      <c r="R21" s="14"/>
      <c r="S21" s="14"/>
      <c r="T21" s="14"/>
    </row>
    <row x14ac:dyDescent="0.25" r="22" customHeight="1" ht="18.75">
      <c r="A22" s="12">
        <v>45997</v>
      </c>
      <c r="B22" s="13" t="s">
        <v>775</v>
      </c>
      <c r="C22" s="14" t="s">
        <v>82</v>
      </c>
      <c r="D22" s="14" t="s">
        <v>525</v>
      </c>
      <c r="E22" s="14" t="s">
        <v>842</v>
      </c>
      <c r="F22" s="14" t="s">
        <v>843</v>
      </c>
      <c r="G22" s="142" t="s">
        <v>844</v>
      </c>
      <c r="H22" s="14" t="s">
        <v>26</v>
      </c>
      <c r="I22" s="16"/>
      <c r="J22" s="16">
        <v>134700</v>
      </c>
      <c r="K22" s="143">
        <v>119640</v>
      </c>
      <c r="L22" s="16">
        <f>J22-K22</f>
      </c>
      <c r="M22" s="14" t="s">
        <v>43</v>
      </c>
      <c r="N22" s="14" t="s">
        <v>845</v>
      </c>
      <c r="O22" s="16"/>
      <c r="P22" s="14"/>
      <c r="Q22" s="14"/>
      <c r="R22" s="14"/>
      <c r="S22" s="14"/>
      <c r="T22" s="14"/>
    </row>
    <row x14ac:dyDescent="0.25" r="23" customHeight="1" ht="18.75">
      <c r="A23" s="12">
        <v>45997</v>
      </c>
      <c r="B23" s="13" t="s">
        <v>846</v>
      </c>
      <c r="C23" s="14" t="s">
        <v>72</v>
      </c>
      <c r="D23" s="14" t="s">
        <v>448</v>
      </c>
      <c r="E23" s="14" t="s">
        <v>847</v>
      </c>
      <c r="F23" s="14" t="s">
        <v>24</v>
      </c>
      <c r="G23" s="142" t="s">
        <v>35</v>
      </c>
      <c r="H23" s="14" t="s">
        <v>26</v>
      </c>
      <c r="I23" s="16"/>
      <c r="J23" s="16">
        <v>1867920</v>
      </c>
      <c r="K23" s="16">
        <v>1792520</v>
      </c>
      <c r="L23" s="16">
        <f>J23-K23</f>
      </c>
      <c r="M23" s="14" t="s">
        <v>43</v>
      </c>
      <c r="N23" s="14" t="s">
        <v>848</v>
      </c>
      <c r="O23" s="16"/>
      <c r="P23" s="14"/>
      <c r="Q23" s="14"/>
      <c r="R23" s="14"/>
      <c r="S23" s="14"/>
      <c r="T23" s="14"/>
    </row>
    <row x14ac:dyDescent="0.25" r="24" customHeight="1" ht="18.75">
      <c r="A24" s="12">
        <v>45997</v>
      </c>
      <c r="B24" s="13" t="s">
        <v>846</v>
      </c>
      <c r="C24" s="14" t="s">
        <v>72</v>
      </c>
      <c r="D24" s="14" t="s">
        <v>448</v>
      </c>
      <c r="E24" s="14" t="s">
        <v>847</v>
      </c>
      <c r="F24" s="14" t="s">
        <v>24</v>
      </c>
      <c r="G24" s="5" t="s">
        <v>849</v>
      </c>
      <c r="H24" s="14" t="s">
        <v>26</v>
      </c>
      <c r="I24" s="16"/>
      <c r="J24" s="16">
        <v>1867920</v>
      </c>
      <c r="K24" s="16">
        <v>1792520</v>
      </c>
      <c r="L24" s="16">
        <f>J24-K24</f>
      </c>
      <c r="M24" s="14" t="s">
        <v>43</v>
      </c>
      <c r="N24" s="14" t="s">
        <v>850</v>
      </c>
      <c r="O24" s="16"/>
      <c r="P24" s="14"/>
      <c r="Q24" s="14"/>
      <c r="R24" s="14"/>
      <c r="S24" s="14"/>
      <c r="T24" s="14"/>
    </row>
    <row x14ac:dyDescent="0.25" r="25" customHeight="1" ht="18.75">
      <c r="A25" s="12">
        <v>45997</v>
      </c>
      <c r="B25" s="13" t="s">
        <v>851</v>
      </c>
      <c r="C25" s="14" t="s">
        <v>111</v>
      </c>
      <c r="D25" s="14" t="s">
        <v>112</v>
      </c>
      <c r="E25" s="14" t="s">
        <v>852</v>
      </c>
      <c r="F25" s="14" t="s">
        <v>84</v>
      </c>
      <c r="G25" s="15" t="s">
        <v>853</v>
      </c>
      <c r="H25" s="14" t="s">
        <v>26</v>
      </c>
      <c r="I25" s="16"/>
      <c r="J25" s="16">
        <v>524500</v>
      </c>
      <c r="K25" s="16">
        <v>454405</v>
      </c>
      <c r="L25" s="16">
        <f>J25-K25</f>
      </c>
      <c r="M25" s="14" t="s">
        <v>77</v>
      </c>
      <c r="N25" s="14" t="s">
        <v>854</v>
      </c>
      <c r="O25" s="16"/>
      <c r="P25" s="14"/>
      <c r="Q25" s="14"/>
      <c r="R25" s="14"/>
      <c r="S25" s="14"/>
      <c r="T25" s="14"/>
    </row>
    <row x14ac:dyDescent="0.25" r="26" customHeight="1" ht="18.75">
      <c r="A26" s="12">
        <v>45997</v>
      </c>
      <c r="B26" s="13" t="s">
        <v>855</v>
      </c>
      <c r="C26" s="14" t="s">
        <v>53</v>
      </c>
      <c r="D26" s="14" t="s">
        <v>54</v>
      </c>
      <c r="E26" s="14" t="s">
        <v>856</v>
      </c>
      <c r="F26" s="14" t="s">
        <v>533</v>
      </c>
      <c r="G26" s="15" t="s">
        <v>857</v>
      </c>
      <c r="H26" s="14" t="s">
        <v>26</v>
      </c>
      <c r="I26" s="16"/>
      <c r="J26" s="16">
        <v>2133820</v>
      </c>
      <c r="K26" s="16">
        <v>1941220</v>
      </c>
      <c r="L26" s="16">
        <f>J26-K26</f>
      </c>
      <c r="M26" s="14" t="s">
        <v>137</v>
      </c>
      <c r="N26" s="14" t="s">
        <v>858</v>
      </c>
      <c r="O26" s="16"/>
      <c r="P26" s="14"/>
      <c r="Q26" s="14"/>
      <c r="R26" s="14"/>
      <c r="S26" s="14"/>
      <c r="T26" s="14"/>
    </row>
    <row x14ac:dyDescent="0.25" r="27" customHeight="1" ht="18.75">
      <c r="A27" s="12">
        <v>45997</v>
      </c>
      <c r="B27" s="13" t="s">
        <v>832</v>
      </c>
      <c r="C27" s="14" t="s">
        <v>39</v>
      </c>
      <c r="D27" s="14" t="s">
        <v>40</v>
      </c>
      <c r="E27" s="14" t="s">
        <v>859</v>
      </c>
      <c r="F27" s="14" t="s">
        <v>41</v>
      </c>
      <c r="G27" s="15" t="s">
        <v>42</v>
      </c>
      <c r="H27" s="14" t="s">
        <v>26</v>
      </c>
      <c r="I27" s="16"/>
      <c r="J27" s="16">
        <v>198800</v>
      </c>
      <c r="K27" s="16">
        <v>45100</v>
      </c>
      <c r="L27" s="16">
        <f>J27-K27</f>
      </c>
      <c r="M27" s="14" t="s">
        <v>43</v>
      </c>
      <c r="N27" s="14" t="s">
        <v>860</v>
      </c>
      <c r="O27" s="16" t="s">
        <v>33</v>
      </c>
      <c r="P27" s="14"/>
      <c r="Q27" s="14"/>
      <c r="R27" s="14"/>
      <c r="S27" s="14"/>
      <c r="T27" s="14"/>
    </row>
    <row x14ac:dyDescent="0.25" r="28" customHeight="1" ht="18.75">
      <c r="A28" s="12">
        <v>45997</v>
      </c>
      <c r="B28" s="13" t="s">
        <v>29</v>
      </c>
      <c r="C28" s="14" t="s">
        <v>22</v>
      </c>
      <c r="D28" s="14" t="s">
        <v>23</v>
      </c>
      <c r="E28" s="14" t="s">
        <v>861</v>
      </c>
      <c r="F28" s="14" t="s">
        <v>30</v>
      </c>
      <c r="G28" s="15" t="s">
        <v>31</v>
      </c>
      <c r="H28" s="14" t="s">
        <v>26</v>
      </c>
      <c r="I28" s="16"/>
      <c r="J28" s="16">
        <v>629000</v>
      </c>
      <c r="K28" s="16">
        <v>599000</v>
      </c>
      <c r="L28" s="16">
        <f>J28-K28</f>
      </c>
      <c r="M28" s="14" t="s">
        <v>27</v>
      </c>
      <c r="N28" s="14" t="s">
        <v>862</v>
      </c>
      <c r="O28" s="16"/>
      <c r="P28" s="14"/>
      <c r="Q28" s="14"/>
      <c r="R28" s="14"/>
      <c r="S28" s="14"/>
      <c r="T28" s="14"/>
    </row>
    <row x14ac:dyDescent="0.25" r="29" customHeight="1" ht="18.75">
      <c r="A29" s="12">
        <v>45997</v>
      </c>
      <c r="B29" s="13" t="s">
        <v>863</v>
      </c>
      <c r="C29" s="14" t="s">
        <v>111</v>
      </c>
      <c r="D29" s="14" t="s">
        <v>166</v>
      </c>
      <c r="E29" s="14" t="s">
        <v>864</v>
      </c>
      <c r="F29" s="14" t="s">
        <v>533</v>
      </c>
      <c r="G29" s="15" t="s">
        <v>865</v>
      </c>
      <c r="H29" s="14" t="s">
        <v>26</v>
      </c>
      <c r="I29" s="16"/>
      <c r="J29" s="16">
        <v>1172800</v>
      </c>
      <c r="K29" s="16">
        <v>1055180</v>
      </c>
      <c r="L29" s="16">
        <f>J29-K29</f>
      </c>
      <c r="M29" s="14" t="s">
        <v>43</v>
      </c>
      <c r="N29" s="14" t="s">
        <v>866</v>
      </c>
      <c r="O29" s="16"/>
      <c r="P29" s="14"/>
      <c r="Q29" s="14"/>
      <c r="R29" s="14"/>
      <c r="S29" s="14"/>
      <c r="T29" s="14"/>
    </row>
    <row x14ac:dyDescent="0.25" r="30" customHeight="1" ht="18.75">
      <c r="A30" s="12">
        <v>45997</v>
      </c>
      <c r="B30" s="13" t="s">
        <v>798</v>
      </c>
      <c r="C30" s="14" t="s">
        <v>72</v>
      </c>
      <c r="D30" s="14" t="s">
        <v>867</v>
      </c>
      <c r="E30" s="14" t="s">
        <v>868</v>
      </c>
      <c r="F30" s="14" t="s">
        <v>41</v>
      </c>
      <c r="G30" s="15" t="s">
        <v>131</v>
      </c>
      <c r="H30" s="14" t="s">
        <v>26</v>
      </c>
      <c r="I30" s="16"/>
      <c r="J30" s="16">
        <v>1138400</v>
      </c>
      <c r="K30" s="16">
        <v>945400</v>
      </c>
      <c r="L30" s="16">
        <f>J30-K30</f>
      </c>
      <c r="M30" s="14" t="s">
        <v>43</v>
      </c>
      <c r="N30" s="14" t="s">
        <v>869</v>
      </c>
      <c r="O30" s="16"/>
      <c r="P30" s="17"/>
      <c r="Q30" s="14"/>
      <c r="R30" s="17"/>
      <c r="S30" s="14"/>
      <c r="T30" s="14"/>
    </row>
    <row x14ac:dyDescent="0.25" r="31" customHeight="1" ht="18.75">
      <c r="A31" s="12">
        <v>45999</v>
      </c>
      <c r="B31" s="13" t="s">
        <v>21</v>
      </c>
      <c r="C31" s="14" t="s">
        <v>22</v>
      </c>
      <c r="D31" s="14" t="s">
        <v>23</v>
      </c>
      <c r="E31" s="14" t="s">
        <v>870</v>
      </c>
      <c r="F31" s="14" t="s">
        <v>24</v>
      </c>
      <c r="G31" s="15" t="s">
        <v>25</v>
      </c>
      <c r="H31" s="14" t="s">
        <v>26</v>
      </c>
      <c r="I31" s="16"/>
      <c r="J31" s="16">
        <v>690500</v>
      </c>
      <c r="K31" s="16">
        <v>599000</v>
      </c>
      <c r="L31" s="16">
        <f>J31-K31</f>
      </c>
      <c r="M31" s="14" t="s">
        <v>27</v>
      </c>
      <c r="N31" s="14" t="s">
        <v>28</v>
      </c>
      <c r="O31" s="16"/>
      <c r="P31" s="17"/>
      <c r="Q31" s="14"/>
      <c r="R31" s="14"/>
      <c r="S31" s="14"/>
      <c r="T31" s="14"/>
    </row>
    <row x14ac:dyDescent="0.25" r="32" customHeight="1" ht="18.75">
      <c r="A32" s="12">
        <v>45999</v>
      </c>
      <c r="B32" s="13" t="s">
        <v>29</v>
      </c>
      <c r="C32" s="14" t="s">
        <v>22</v>
      </c>
      <c r="D32" s="14" t="s">
        <v>23</v>
      </c>
      <c r="E32" s="14" t="s">
        <v>871</v>
      </c>
      <c r="F32" s="14" t="s">
        <v>30</v>
      </c>
      <c r="G32" s="15" t="s">
        <v>31</v>
      </c>
      <c r="H32" s="14" t="s">
        <v>26</v>
      </c>
      <c r="I32" s="16"/>
      <c r="J32" s="16">
        <v>65000</v>
      </c>
      <c r="K32" s="16">
        <v>30000</v>
      </c>
      <c r="L32" s="16">
        <f>J32-K32</f>
      </c>
      <c r="M32" s="14" t="s">
        <v>27</v>
      </c>
      <c r="N32" s="14" t="s">
        <v>32</v>
      </c>
      <c r="O32" s="16" t="s">
        <v>33</v>
      </c>
      <c r="P32" s="14"/>
      <c r="Q32" s="14"/>
      <c r="R32" s="14"/>
      <c r="S32" s="18"/>
      <c r="T32" s="14"/>
    </row>
    <row x14ac:dyDescent="0.25" r="33" customHeight="1" ht="18.75">
      <c r="A33" s="12">
        <v>45999</v>
      </c>
      <c r="B33" s="13" t="s">
        <v>96</v>
      </c>
      <c r="C33" s="14" t="s">
        <v>82</v>
      </c>
      <c r="D33" s="14" t="s">
        <v>872</v>
      </c>
      <c r="E33" s="14"/>
      <c r="F33" s="3" t="s">
        <v>711</v>
      </c>
      <c r="G33" s="15" t="s">
        <v>840</v>
      </c>
      <c r="H33" s="14" t="s">
        <v>26</v>
      </c>
      <c r="I33" s="16"/>
      <c r="J33" s="16">
        <v>60200</v>
      </c>
      <c r="K33" s="16">
        <v>60200</v>
      </c>
      <c r="L33" s="16">
        <f>J33-K33</f>
      </c>
      <c r="M33" s="14" t="s">
        <v>43</v>
      </c>
      <c r="N33" s="14" t="s">
        <v>873</v>
      </c>
      <c r="O33" s="16" t="s">
        <v>33</v>
      </c>
      <c r="P33" s="14"/>
      <c r="Q33" s="14"/>
      <c r="R33" s="14"/>
      <c r="S33" s="18"/>
      <c r="T33" s="14"/>
    </row>
    <row x14ac:dyDescent="0.25" r="34" customHeight="1" ht="18.75">
      <c r="A34" s="12">
        <v>45999</v>
      </c>
      <c r="B34" s="19"/>
      <c r="C34" s="14"/>
      <c r="D34" s="14" t="s">
        <v>34</v>
      </c>
      <c r="E34" s="14" t="s">
        <v>874</v>
      </c>
      <c r="F34" s="3" t="s">
        <v>24</v>
      </c>
      <c r="G34" s="15" t="s">
        <v>35</v>
      </c>
      <c r="H34" s="14" t="s">
        <v>26</v>
      </c>
      <c r="I34" s="16"/>
      <c r="J34" s="16">
        <v>150000</v>
      </c>
      <c r="K34" s="16">
        <v>65000</v>
      </c>
      <c r="L34" s="16">
        <f>J34-K34</f>
      </c>
      <c r="M34" s="14" t="s">
        <v>36</v>
      </c>
      <c r="N34" s="14" t="s">
        <v>37</v>
      </c>
      <c r="O34" s="16"/>
      <c r="P34" s="14"/>
      <c r="Q34" s="14"/>
      <c r="R34" s="14"/>
      <c r="S34" s="14"/>
      <c r="T34" s="14"/>
    </row>
    <row x14ac:dyDescent="0.25" r="35" customHeight="1" ht="18.75">
      <c r="A35" s="12">
        <v>46000</v>
      </c>
      <c r="B35" s="13" t="s">
        <v>38</v>
      </c>
      <c r="C35" s="14" t="s">
        <v>39</v>
      </c>
      <c r="D35" s="14" t="s">
        <v>40</v>
      </c>
      <c r="E35" s="14" t="s">
        <v>875</v>
      </c>
      <c r="F35" s="14" t="s">
        <v>41</v>
      </c>
      <c r="G35" s="15" t="s">
        <v>42</v>
      </c>
      <c r="H35" s="14" t="s">
        <v>26</v>
      </c>
      <c r="I35" s="16"/>
      <c r="J35" s="16">
        <v>245900</v>
      </c>
      <c r="K35" s="16">
        <v>134200</v>
      </c>
      <c r="L35" s="16">
        <f>J35-K35</f>
      </c>
      <c r="M35" s="14" t="s">
        <v>43</v>
      </c>
      <c r="N35" s="14" t="s">
        <v>44</v>
      </c>
      <c r="O35" s="16" t="s">
        <v>33</v>
      </c>
      <c r="P35" s="14"/>
      <c r="Q35" s="14"/>
      <c r="R35" s="14"/>
      <c r="S35" s="18"/>
      <c r="T35" s="14"/>
    </row>
    <row x14ac:dyDescent="0.25" r="36" customHeight="1" ht="18.75">
      <c r="A36" s="12">
        <v>46000</v>
      </c>
      <c r="B36" s="13" t="s">
        <v>45</v>
      </c>
      <c r="C36" s="14" t="s">
        <v>46</v>
      </c>
      <c r="D36" s="14" t="s">
        <v>47</v>
      </c>
      <c r="E36" s="14" t="s">
        <v>876</v>
      </c>
      <c r="F36" s="14" t="s">
        <v>48</v>
      </c>
      <c r="G36" s="15" t="s">
        <v>49</v>
      </c>
      <c r="H36" s="14" t="s">
        <v>26</v>
      </c>
      <c r="I36" s="16"/>
      <c r="J36" s="16">
        <v>852000</v>
      </c>
      <c r="K36" s="16">
        <v>801020</v>
      </c>
      <c r="L36" s="16">
        <f>J36-K36</f>
      </c>
      <c r="M36" s="14" t="s">
        <v>50</v>
      </c>
      <c r="N36" s="14" t="s">
        <v>51</v>
      </c>
      <c r="O36" s="16">
        <v>4</v>
      </c>
      <c r="P36" s="14"/>
      <c r="Q36" s="14"/>
      <c r="R36" s="14"/>
      <c r="S36" s="18"/>
      <c r="T36" s="14"/>
    </row>
    <row x14ac:dyDescent="0.25" r="37" customHeight="1" ht="18.75">
      <c r="A37" s="12">
        <v>46000</v>
      </c>
      <c r="B37" s="13" t="s">
        <v>52</v>
      </c>
      <c r="C37" s="14" t="s">
        <v>53</v>
      </c>
      <c r="D37" s="14" t="s">
        <v>54</v>
      </c>
      <c r="E37" s="14" t="s">
        <v>877</v>
      </c>
      <c r="F37" s="14" t="s">
        <v>55</v>
      </c>
      <c r="G37" s="15" t="s">
        <v>56</v>
      </c>
      <c r="H37" s="14" t="s">
        <v>57</v>
      </c>
      <c r="I37" s="16"/>
      <c r="J37" s="16">
        <v>1060920</v>
      </c>
      <c r="K37" s="16">
        <v>1010320</v>
      </c>
      <c r="L37" s="16">
        <f>J37-K37</f>
      </c>
      <c r="M37" s="14" t="s">
        <v>43</v>
      </c>
      <c r="N37" s="14" t="s">
        <v>58</v>
      </c>
      <c r="O37" s="16"/>
      <c r="P37" s="14"/>
      <c r="Q37" s="14"/>
      <c r="R37" s="14"/>
      <c r="S37" s="14"/>
      <c r="T37" s="14"/>
    </row>
    <row x14ac:dyDescent="0.25" r="38" customHeight="1" ht="18.75">
      <c r="A38" s="12">
        <v>46000</v>
      </c>
      <c r="B38" s="13" t="s">
        <v>52</v>
      </c>
      <c r="C38" s="14" t="s">
        <v>53</v>
      </c>
      <c r="D38" s="14" t="s">
        <v>54</v>
      </c>
      <c r="E38" s="14" t="s">
        <v>877</v>
      </c>
      <c r="F38" s="14" t="s">
        <v>55</v>
      </c>
      <c r="G38" s="15" t="s">
        <v>56</v>
      </c>
      <c r="H38" s="14"/>
      <c r="I38" s="16"/>
      <c r="J38" s="16">
        <v>93600</v>
      </c>
      <c r="K38" s="16">
        <v>88600</v>
      </c>
      <c r="L38" s="16">
        <v>5000</v>
      </c>
      <c r="M38" s="14" t="s">
        <v>50</v>
      </c>
      <c r="N38" s="14" t="s">
        <v>59</v>
      </c>
      <c r="O38" s="16" t="s">
        <v>60</v>
      </c>
      <c r="P38" s="14"/>
      <c r="Q38" s="14"/>
      <c r="R38" s="14"/>
      <c r="S38" s="14"/>
      <c r="T38" s="14"/>
    </row>
    <row x14ac:dyDescent="0.25" r="39" customHeight="1" ht="18.75">
      <c r="A39" s="12">
        <v>46000</v>
      </c>
      <c r="B39" s="13" t="s">
        <v>61</v>
      </c>
      <c r="C39" s="14" t="s">
        <v>62</v>
      </c>
      <c r="D39" s="14" t="s">
        <v>63</v>
      </c>
      <c r="E39" s="14" t="s">
        <v>878</v>
      </c>
      <c r="F39" s="14" t="s">
        <v>24</v>
      </c>
      <c r="G39" s="15" t="s">
        <v>25</v>
      </c>
      <c r="H39" s="14" t="s">
        <v>26</v>
      </c>
      <c r="I39" s="16"/>
      <c r="J39" s="16">
        <v>5768900</v>
      </c>
      <c r="K39" s="16">
        <v>5592000</v>
      </c>
      <c r="L39" s="16">
        <f>J39-K39</f>
      </c>
      <c r="M39" s="14" t="s">
        <v>64</v>
      </c>
      <c r="N39" s="14" t="s">
        <v>65</v>
      </c>
      <c r="O39" s="16"/>
      <c r="P39" s="14"/>
      <c r="Q39" s="14"/>
      <c r="R39" s="14"/>
      <c r="S39" s="14"/>
      <c r="T39" s="14"/>
    </row>
    <row x14ac:dyDescent="0.25" r="40" customHeight="1" ht="18.75">
      <c r="A40" s="12">
        <v>46001</v>
      </c>
      <c r="B40" s="19">
        <v>45727</v>
      </c>
      <c r="C40" s="14" t="s">
        <v>66</v>
      </c>
      <c r="D40" s="14" t="s">
        <v>67</v>
      </c>
      <c r="E40" s="14" t="s">
        <v>879</v>
      </c>
      <c r="F40" s="14" t="s">
        <v>68</v>
      </c>
      <c r="G40" s="15" t="s">
        <v>69</v>
      </c>
      <c r="H40" s="14" t="s">
        <v>26</v>
      </c>
      <c r="I40" s="16"/>
      <c r="J40" s="16">
        <v>30000</v>
      </c>
      <c r="K40" s="16">
        <v>30000</v>
      </c>
      <c r="L40" s="16">
        <f>J40-K40</f>
      </c>
      <c r="M40" s="14" t="s">
        <v>43</v>
      </c>
      <c r="N40" s="14" t="s">
        <v>70</v>
      </c>
      <c r="O40" s="16" t="s">
        <v>33</v>
      </c>
      <c r="P40" s="14"/>
      <c r="Q40" s="14"/>
      <c r="R40" s="14"/>
      <c r="S40" s="14"/>
      <c r="T40" s="14"/>
    </row>
    <row x14ac:dyDescent="0.25" r="41" customHeight="1" ht="18.75">
      <c r="A41" s="12">
        <v>46001</v>
      </c>
      <c r="B41" s="13" t="s">
        <v>71</v>
      </c>
      <c r="C41" s="14" t="s">
        <v>72</v>
      </c>
      <c r="D41" s="14" t="s">
        <v>73</v>
      </c>
      <c r="E41" s="14" t="s">
        <v>880</v>
      </c>
      <c r="F41" s="14" t="s">
        <v>74</v>
      </c>
      <c r="G41" s="15" t="s">
        <v>75</v>
      </c>
      <c r="H41" s="14" t="s">
        <v>76</v>
      </c>
      <c r="I41" s="16"/>
      <c r="J41" s="16">
        <v>896800</v>
      </c>
      <c r="K41" s="16">
        <v>875920</v>
      </c>
      <c r="L41" s="16">
        <f>J41-K41</f>
      </c>
      <c r="M41" s="14" t="s">
        <v>77</v>
      </c>
      <c r="N41" s="14" t="s">
        <v>78</v>
      </c>
      <c r="O41" s="16"/>
      <c r="P41" s="14"/>
      <c r="Q41" s="14"/>
      <c r="R41" s="14"/>
      <c r="S41" s="14"/>
      <c r="T41" s="14"/>
    </row>
    <row x14ac:dyDescent="0.25" r="42" customHeight="1" ht="18.75">
      <c r="A42" s="12">
        <v>46001</v>
      </c>
      <c r="B42" s="13" t="s">
        <v>79</v>
      </c>
      <c r="C42" s="14" t="s">
        <v>22</v>
      </c>
      <c r="D42" s="14" t="s">
        <v>23</v>
      </c>
      <c r="E42" s="14" t="s">
        <v>881</v>
      </c>
      <c r="F42" s="14" t="s">
        <v>30</v>
      </c>
      <c r="G42" s="15" t="s">
        <v>31</v>
      </c>
      <c r="H42" s="14" t="s">
        <v>26</v>
      </c>
      <c r="I42" s="16"/>
      <c r="J42" s="16">
        <v>110800</v>
      </c>
      <c r="K42" s="16">
        <v>85800</v>
      </c>
      <c r="L42" s="16">
        <f>J42-K42</f>
      </c>
      <c r="M42" s="14" t="s">
        <v>27</v>
      </c>
      <c r="N42" s="14" t="s">
        <v>80</v>
      </c>
      <c r="O42" s="16" t="s">
        <v>33</v>
      </c>
      <c r="P42" s="14"/>
      <c r="Q42" s="14"/>
      <c r="R42" s="14"/>
      <c r="S42" s="18"/>
      <c r="T42" s="34"/>
    </row>
    <row x14ac:dyDescent="0.25" r="43" customHeight="1" ht="18.75">
      <c r="A43" s="12">
        <v>46001</v>
      </c>
      <c r="B43" s="13" t="s">
        <v>81</v>
      </c>
      <c r="C43" s="14" t="s">
        <v>82</v>
      </c>
      <c r="D43" s="14" t="s">
        <v>83</v>
      </c>
      <c r="E43" s="14" t="s">
        <v>882</v>
      </c>
      <c r="F43" s="14" t="s">
        <v>84</v>
      </c>
      <c r="G43" s="15" t="s">
        <v>85</v>
      </c>
      <c r="H43" s="14" t="s">
        <v>26</v>
      </c>
      <c r="I43" s="16"/>
      <c r="J43" s="16">
        <v>115500</v>
      </c>
      <c r="K43" s="16">
        <v>89340</v>
      </c>
      <c r="L43" s="16">
        <f>J43-K43</f>
      </c>
      <c r="M43" s="14" t="s">
        <v>86</v>
      </c>
      <c r="N43" s="14" t="s">
        <v>87</v>
      </c>
      <c r="O43" s="16"/>
      <c r="P43" s="14"/>
      <c r="Q43" s="14"/>
      <c r="R43" s="14"/>
      <c r="S43" s="18"/>
      <c r="T43" s="34"/>
    </row>
    <row x14ac:dyDescent="0.25" r="44" customHeight="1" ht="18.75">
      <c r="A44" s="12">
        <v>46001</v>
      </c>
      <c r="B44" s="13" t="s">
        <v>88</v>
      </c>
      <c r="C44" s="14" t="s">
        <v>53</v>
      </c>
      <c r="D44" s="14" t="s">
        <v>89</v>
      </c>
      <c r="E44" s="14" t="s">
        <v>883</v>
      </c>
      <c r="F44" s="14" t="s">
        <v>90</v>
      </c>
      <c r="G44" s="15" t="s">
        <v>91</v>
      </c>
      <c r="H44" s="14" t="s">
        <v>26</v>
      </c>
      <c r="I44" s="16"/>
      <c r="J44" s="16">
        <v>2793700</v>
      </c>
      <c r="K44" s="16">
        <v>2693620</v>
      </c>
      <c r="L44" s="16">
        <f>J44-K44</f>
      </c>
      <c r="M44" s="14" t="s">
        <v>43</v>
      </c>
      <c r="N44" s="14" t="s">
        <v>92</v>
      </c>
      <c r="O44" s="16"/>
      <c r="P44" s="14"/>
      <c r="Q44" s="14"/>
      <c r="R44" s="14"/>
      <c r="S44" s="18"/>
      <c r="T44" s="34"/>
    </row>
    <row x14ac:dyDescent="0.25" r="45" customHeight="1" ht="18.75">
      <c r="A45" s="12">
        <v>46001</v>
      </c>
      <c r="B45" s="13" t="s">
        <v>88</v>
      </c>
      <c r="C45" s="14" t="s">
        <v>53</v>
      </c>
      <c r="D45" s="14" t="s">
        <v>93</v>
      </c>
      <c r="E45" s="14" t="s">
        <v>883</v>
      </c>
      <c r="F45" s="14" t="s">
        <v>90</v>
      </c>
      <c r="G45" s="15" t="s">
        <v>94</v>
      </c>
      <c r="H45" s="14" t="s">
        <v>26</v>
      </c>
      <c r="I45" s="16"/>
      <c r="J45" s="16">
        <v>2793700</v>
      </c>
      <c r="K45" s="16">
        <v>2693620</v>
      </c>
      <c r="L45" s="16">
        <f>J45-K45</f>
      </c>
      <c r="M45" s="14" t="s">
        <v>43</v>
      </c>
      <c r="N45" s="14" t="s">
        <v>95</v>
      </c>
      <c r="O45" s="16"/>
      <c r="P45" s="14"/>
      <c r="Q45" s="14"/>
      <c r="R45" s="14"/>
      <c r="S45" s="18"/>
      <c r="T45" s="34"/>
    </row>
    <row x14ac:dyDescent="0.25" r="46" customHeight="1" ht="18.75">
      <c r="A46" s="12">
        <v>46002</v>
      </c>
      <c r="B46" s="13" t="s">
        <v>96</v>
      </c>
      <c r="C46" s="14" t="s">
        <v>46</v>
      </c>
      <c r="D46" s="14" t="s">
        <v>54</v>
      </c>
      <c r="E46" s="14" t="s">
        <v>884</v>
      </c>
      <c r="F46" s="14" t="s">
        <v>97</v>
      </c>
      <c r="G46" s="15" t="s">
        <v>98</v>
      </c>
      <c r="H46" s="14" t="s">
        <v>26</v>
      </c>
      <c r="I46" s="16"/>
      <c r="J46" s="16">
        <v>886320</v>
      </c>
      <c r="K46" s="16">
        <v>861320</v>
      </c>
      <c r="L46" s="16">
        <f>J46-K46</f>
      </c>
      <c r="M46" s="14" t="s">
        <v>43</v>
      </c>
      <c r="N46" s="14" t="s">
        <v>99</v>
      </c>
      <c r="O46" s="16"/>
      <c r="P46" s="14"/>
      <c r="Q46" s="14"/>
      <c r="R46" s="14"/>
      <c r="S46" s="14"/>
      <c r="T46" s="14"/>
    </row>
    <row x14ac:dyDescent="0.25" r="47" customHeight="1" ht="18.75">
      <c r="A47" s="12">
        <v>46002</v>
      </c>
      <c r="B47" s="13" t="s">
        <v>100</v>
      </c>
      <c r="C47" s="14" t="s">
        <v>53</v>
      </c>
      <c r="D47" s="14" t="s">
        <v>101</v>
      </c>
      <c r="E47" s="14" t="s">
        <v>885</v>
      </c>
      <c r="F47" s="14" t="s">
        <v>102</v>
      </c>
      <c r="G47" s="15" t="s">
        <v>103</v>
      </c>
      <c r="H47" s="14" t="s">
        <v>26</v>
      </c>
      <c r="I47" s="16"/>
      <c r="J47" s="16">
        <v>2275800</v>
      </c>
      <c r="K47" s="16">
        <v>2173420</v>
      </c>
      <c r="L47" s="16">
        <f>J47-K47</f>
      </c>
      <c r="M47" s="14" t="s">
        <v>77</v>
      </c>
      <c r="N47" s="14" t="s">
        <v>104</v>
      </c>
      <c r="O47" s="16"/>
      <c r="P47" s="14"/>
      <c r="Q47" s="14"/>
      <c r="R47" s="14"/>
      <c r="S47" s="14"/>
      <c r="T47" s="18"/>
    </row>
    <row x14ac:dyDescent="0.25" r="48" customHeight="1" ht="18.75">
      <c r="A48" s="12">
        <v>46002</v>
      </c>
      <c r="B48" s="13" t="s">
        <v>105</v>
      </c>
      <c r="C48" s="14" t="s">
        <v>106</v>
      </c>
      <c r="D48" s="14" t="s">
        <v>107</v>
      </c>
      <c r="E48" s="14" t="s">
        <v>886</v>
      </c>
      <c r="F48" s="14" t="s">
        <v>102</v>
      </c>
      <c r="G48" s="15" t="s">
        <v>108</v>
      </c>
      <c r="H48" s="14" t="s">
        <v>26</v>
      </c>
      <c r="I48" s="16"/>
      <c r="J48" s="16">
        <v>1887500</v>
      </c>
      <c r="K48" s="16">
        <v>1787420</v>
      </c>
      <c r="L48" s="16">
        <f>J48-K48</f>
      </c>
      <c r="M48" s="14" t="s">
        <v>43</v>
      </c>
      <c r="N48" s="14" t="s">
        <v>109</v>
      </c>
      <c r="O48" s="16"/>
      <c r="P48" s="14"/>
      <c r="Q48" s="14"/>
      <c r="R48" s="14"/>
      <c r="S48" s="14"/>
      <c r="T48" s="14"/>
    </row>
    <row x14ac:dyDescent="0.25" r="49" customHeight="1" ht="18.75">
      <c r="A49" s="12">
        <v>46002</v>
      </c>
      <c r="B49" s="13" t="s">
        <v>110</v>
      </c>
      <c r="C49" s="14" t="s">
        <v>111</v>
      </c>
      <c r="D49" s="14" t="s">
        <v>112</v>
      </c>
      <c r="E49" s="14" t="s">
        <v>887</v>
      </c>
      <c r="F49" s="14" t="s">
        <v>84</v>
      </c>
      <c r="G49" s="15" t="s">
        <v>113</v>
      </c>
      <c r="H49" s="14" t="s">
        <v>26</v>
      </c>
      <c r="I49" s="16"/>
      <c r="J49" s="16">
        <v>798500</v>
      </c>
      <c r="K49" s="16">
        <v>748655</v>
      </c>
      <c r="L49" s="16">
        <f>J49-K49</f>
      </c>
      <c r="M49" s="14" t="s">
        <v>50</v>
      </c>
      <c r="N49" s="14" t="s">
        <v>114</v>
      </c>
      <c r="O49" s="16">
        <v>3</v>
      </c>
      <c r="P49" s="14"/>
      <c r="Q49" s="14"/>
      <c r="R49" s="14"/>
      <c r="S49" s="14"/>
      <c r="T49" s="14"/>
    </row>
    <row x14ac:dyDescent="0.25" r="50" customHeight="1" ht="18.75">
      <c r="A50" s="12">
        <v>46002</v>
      </c>
      <c r="B50" s="13" t="s">
        <v>110</v>
      </c>
      <c r="C50" s="14" t="s">
        <v>111</v>
      </c>
      <c r="D50" s="14" t="s">
        <v>112</v>
      </c>
      <c r="E50" s="14" t="s">
        <v>887</v>
      </c>
      <c r="F50" s="14" t="s">
        <v>84</v>
      </c>
      <c r="G50" s="15" t="s">
        <v>115</v>
      </c>
      <c r="H50" s="14" t="s">
        <v>26</v>
      </c>
      <c r="I50" s="16"/>
      <c r="J50" s="16">
        <v>798500</v>
      </c>
      <c r="K50" s="16">
        <v>748655</v>
      </c>
      <c r="L50" s="16">
        <f>J50-K50</f>
      </c>
      <c r="M50" s="14" t="s">
        <v>50</v>
      </c>
      <c r="N50" s="14" t="s">
        <v>116</v>
      </c>
      <c r="O50" s="16">
        <v>3</v>
      </c>
      <c r="P50" s="14"/>
      <c r="Q50" s="14"/>
      <c r="R50" s="14"/>
      <c r="S50" s="14"/>
      <c r="T50" s="14"/>
    </row>
    <row x14ac:dyDescent="0.25" r="51" customHeight="1" ht="18.75">
      <c r="A51" s="12">
        <v>46003</v>
      </c>
      <c r="B51" s="13" t="s">
        <v>117</v>
      </c>
      <c r="C51" s="14" t="s">
        <v>46</v>
      </c>
      <c r="D51" s="14" t="s">
        <v>118</v>
      </c>
      <c r="E51" s="14" t="s">
        <v>888</v>
      </c>
      <c r="F51" s="14" t="s">
        <v>119</v>
      </c>
      <c r="G51" s="15" t="s">
        <v>120</v>
      </c>
      <c r="H51" s="14" t="s">
        <v>26</v>
      </c>
      <c r="I51" s="16"/>
      <c r="J51" s="16">
        <v>945800</v>
      </c>
      <c r="K51" s="16">
        <v>849120</v>
      </c>
      <c r="L51" s="16">
        <f>J51-K51</f>
      </c>
      <c r="M51" s="14" t="s">
        <v>77</v>
      </c>
      <c r="N51" s="14" t="s">
        <v>121</v>
      </c>
      <c r="O51" s="16"/>
      <c r="P51" s="14"/>
      <c r="Q51" s="14"/>
      <c r="R51" s="14"/>
      <c r="S51" s="14"/>
      <c r="T51" s="14"/>
    </row>
    <row x14ac:dyDescent="0.25" r="52" customHeight="1" ht="18.75">
      <c r="A52" s="12">
        <v>46003</v>
      </c>
      <c r="B52" s="13" t="s">
        <v>122</v>
      </c>
      <c r="C52" s="14" t="s">
        <v>123</v>
      </c>
      <c r="D52" s="14" t="s">
        <v>124</v>
      </c>
      <c r="E52" s="14" t="s">
        <v>889</v>
      </c>
      <c r="F52" s="14" t="s">
        <v>125</v>
      </c>
      <c r="G52" s="15" t="s">
        <v>126</v>
      </c>
      <c r="H52" s="14" t="s">
        <v>127</v>
      </c>
      <c r="I52" s="16"/>
      <c r="J52" s="16">
        <v>1163220</v>
      </c>
      <c r="K52" s="16">
        <v>1118220</v>
      </c>
      <c r="L52" s="16">
        <f>J52-K52</f>
      </c>
      <c r="M52" s="14" t="s">
        <v>43</v>
      </c>
      <c r="N52" s="14" t="s">
        <v>128</v>
      </c>
      <c r="O52" s="16"/>
      <c r="P52" s="14"/>
      <c r="Q52" s="14"/>
      <c r="R52" s="14"/>
      <c r="S52" s="14"/>
      <c r="T52" s="14"/>
    </row>
    <row x14ac:dyDescent="0.25" r="53" customHeight="1" ht="18.75">
      <c r="A53" s="12">
        <v>46003</v>
      </c>
      <c r="B53" s="13" t="s">
        <v>129</v>
      </c>
      <c r="C53" s="14" t="s">
        <v>46</v>
      </c>
      <c r="D53" s="14" t="s">
        <v>130</v>
      </c>
      <c r="E53" s="14" t="s">
        <v>890</v>
      </c>
      <c r="F53" s="14" t="s">
        <v>41</v>
      </c>
      <c r="G53" s="15" t="s">
        <v>131</v>
      </c>
      <c r="H53" s="14" t="s">
        <v>26</v>
      </c>
      <c r="I53" s="16"/>
      <c r="J53" s="16">
        <v>2763520</v>
      </c>
      <c r="K53" s="16">
        <v>2571020</v>
      </c>
      <c r="L53" s="16">
        <f>J53-K53</f>
      </c>
      <c r="M53" s="14" t="s">
        <v>43</v>
      </c>
      <c r="N53" s="14" t="s">
        <v>132</v>
      </c>
      <c r="O53" s="16"/>
      <c r="P53" s="14"/>
      <c r="Q53" s="14"/>
      <c r="R53" s="14"/>
      <c r="S53" s="14"/>
      <c r="T53" s="14"/>
    </row>
    <row x14ac:dyDescent="0.25" r="54" customHeight="1" ht="18.75">
      <c r="A54" s="12">
        <v>46004</v>
      </c>
      <c r="B54" s="13" t="s">
        <v>133</v>
      </c>
      <c r="C54" s="14" t="s">
        <v>53</v>
      </c>
      <c r="D54" s="14" t="s">
        <v>134</v>
      </c>
      <c r="E54" s="14" t="s">
        <v>891</v>
      </c>
      <c r="F54" s="14" t="s">
        <v>135</v>
      </c>
      <c r="G54" s="15" t="s">
        <v>136</v>
      </c>
      <c r="H54" s="14" t="s">
        <v>26</v>
      </c>
      <c r="I54" s="16"/>
      <c r="J54" s="16">
        <v>360800</v>
      </c>
      <c r="K54" s="16">
        <v>340800</v>
      </c>
      <c r="L54" s="16">
        <f>J54-K54</f>
      </c>
      <c r="M54" s="14" t="s">
        <v>137</v>
      </c>
      <c r="N54" s="14" t="s">
        <v>138</v>
      </c>
      <c r="O54" s="16" t="s">
        <v>33</v>
      </c>
      <c r="P54" s="14"/>
      <c r="Q54" s="14"/>
      <c r="R54" s="14"/>
      <c r="S54" s="14"/>
      <c r="T54" s="14"/>
    </row>
    <row x14ac:dyDescent="0.25" r="55" customHeight="1" ht="18.75">
      <c r="A55" s="12">
        <v>46004</v>
      </c>
      <c r="B55" s="13" t="s">
        <v>139</v>
      </c>
      <c r="C55" s="14" t="s">
        <v>72</v>
      </c>
      <c r="D55" s="14" t="s">
        <v>140</v>
      </c>
      <c r="E55" s="14" t="s">
        <v>892</v>
      </c>
      <c r="F55" s="14" t="s">
        <v>141</v>
      </c>
      <c r="G55" s="15" t="s">
        <v>142</v>
      </c>
      <c r="H55" s="14" t="s">
        <v>26</v>
      </c>
      <c r="I55" s="16"/>
      <c r="J55" s="16">
        <v>303100</v>
      </c>
      <c r="K55" s="16">
        <v>283100</v>
      </c>
      <c r="L55" s="16">
        <f>J55-K55</f>
      </c>
      <c r="M55" s="14" t="s">
        <v>43</v>
      </c>
      <c r="N55" s="14" t="s">
        <v>143</v>
      </c>
      <c r="O55" s="16" t="s">
        <v>33</v>
      </c>
      <c r="P55" s="14"/>
      <c r="Q55" s="14"/>
      <c r="R55" s="14"/>
      <c r="S55" s="14"/>
      <c r="T55" s="14"/>
    </row>
    <row x14ac:dyDescent="0.25" r="56" customHeight="1" ht="18.75">
      <c r="A56" s="137">
        <v>46004</v>
      </c>
      <c r="B56" s="138" t="s">
        <v>139</v>
      </c>
      <c r="C56" s="139" t="s">
        <v>82</v>
      </c>
      <c r="D56" s="139" t="s">
        <v>144</v>
      </c>
      <c r="E56" s="139" t="s">
        <v>893</v>
      </c>
      <c r="F56" s="139" t="s">
        <v>894</v>
      </c>
      <c r="G56" s="140" t="s">
        <v>145</v>
      </c>
      <c r="H56" s="139" t="s">
        <v>26</v>
      </c>
      <c r="I56" s="141"/>
      <c r="J56" s="141">
        <v>273900</v>
      </c>
      <c r="K56" s="141">
        <v>248000</v>
      </c>
      <c r="L56" s="141">
        <f>J56-K56</f>
      </c>
      <c r="M56" s="139" t="s">
        <v>43</v>
      </c>
      <c r="N56" s="139" t="s">
        <v>146</v>
      </c>
      <c r="O56" s="141"/>
      <c r="P56" s="139"/>
      <c r="Q56" s="139"/>
      <c r="R56" s="139"/>
      <c r="S56" s="139"/>
      <c r="T56" s="139"/>
    </row>
    <row x14ac:dyDescent="0.25" r="57" customHeight="1" ht="18.75">
      <c r="A57" s="12">
        <v>46005</v>
      </c>
      <c r="B57" s="13" t="s">
        <v>61</v>
      </c>
      <c r="C57" s="14" t="s">
        <v>46</v>
      </c>
      <c r="D57" s="14" t="s">
        <v>54</v>
      </c>
      <c r="E57" s="14" t="s">
        <v>895</v>
      </c>
      <c r="F57" s="14" t="s">
        <v>147</v>
      </c>
      <c r="G57" s="15" t="s">
        <v>148</v>
      </c>
      <c r="H57" s="14" t="s">
        <v>26</v>
      </c>
      <c r="I57" s="16"/>
      <c r="J57" s="16">
        <v>2679900</v>
      </c>
      <c r="K57" s="16">
        <v>2479020</v>
      </c>
      <c r="L57" s="16">
        <f>J57-K57</f>
      </c>
      <c r="M57" s="14" t="s">
        <v>43</v>
      </c>
      <c r="N57" s="14" t="s">
        <v>149</v>
      </c>
      <c r="O57" s="16"/>
      <c r="P57" s="14"/>
      <c r="Q57" s="14"/>
      <c r="R57" s="14"/>
      <c r="S57" s="14"/>
      <c r="T57" s="14"/>
    </row>
    <row x14ac:dyDescent="0.25" r="58" customHeight="1" ht="18.75">
      <c r="A58" s="12">
        <v>46006</v>
      </c>
      <c r="B58" s="13" t="s">
        <v>896</v>
      </c>
      <c r="C58" s="14" t="s">
        <v>897</v>
      </c>
      <c r="D58" s="14" t="s">
        <v>898</v>
      </c>
      <c r="E58" s="14" t="s">
        <v>899</v>
      </c>
      <c r="F58" s="14"/>
      <c r="G58" s="15" t="s">
        <v>900</v>
      </c>
      <c r="H58" s="14" t="s">
        <v>26</v>
      </c>
      <c r="I58" s="16"/>
      <c r="J58" s="16">
        <v>405000</v>
      </c>
      <c r="K58" s="16">
        <v>396454</v>
      </c>
      <c r="L58" s="16">
        <f>J58-K58</f>
      </c>
      <c r="M58" s="14" t="s">
        <v>897</v>
      </c>
      <c r="N58" s="14" t="s">
        <v>901</v>
      </c>
      <c r="O58" s="16" t="s">
        <v>902</v>
      </c>
      <c r="P58" s="14"/>
      <c r="Q58" s="14"/>
      <c r="R58" s="14"/>
      <c r="S58" s="14"/>
      <c r="T58" s="14"/>
    </row>
    <row x14ac:dyDescent="0.25" r="59" customHeight="1" ht="18.75">
      <c r="A59" s="12">
        <v>46006</v>
      </c>
      <c r="B59" s="13" t="s">
        <v>903</v>
      </c>
      <c r="C59" s="14" t="s">
        <v>82</v>
      </c>
      <c r="D59" s="14" t="s">
        <v>904</v>
      </c>
      <c r="E59" s="14" t="s">
        <v>905</v>
      </c>
      <c r="F59" s="14" t="s">
        <v>906</v>
      </c>
      <c r="G59" s="15" t="s">
        <v>907</v>
      </c>
      <c r="H59" s="14" t="s">
        <v>26</v>
      </c>
      <c r="I59" s="16"/>
      <c r="J59" s="16">
        <v>259540</v>
      </c>
      <c r="K59" s="16">
        <v>231540</v>
      </c>
      <c r="L59" s="16">
        <f>J59-K59</f>
      </c>
      <c r="M59" s="14" t="s">
        <v>86</v>
      </c>
      <c r="N59" s="14" t="s">
        <v>908</v>
      </c>
      <c r="O59" s="16"/>
      <c r="P59" s="14"/>
      <c r="Q59" s="14"/>
      <c r="R59" s="14"/>
      <c r="S59" s="14"/>
      <c r="T59" s="14"/>
    </row>
    <row x14ac:dyDescent="0.25" r="60" customHeight="1" ht="18.75">
      <c r="A60" s="12">
        <v>46006</v>
      </c>
      <c r="B60" s="13" t="s">
        <v>909</v>
      </c>
      <c r="C60" s="14" t="s">
        <v>123</v>
      </c>
      <c r="D60" s="14" t="s">
        <v>910</v>
      </c>
      <c r="E60" s="14" t="s">
        <v>911</v>
      </c>
      <c r="F60" s="14" t="s">
        <v>292</v>
      </c>
      <c r="G60" s="15" t="s">
        <v>912</v>
      </c>
      <c r="H60" s="14" t="s">
        <v>26</v>
      </c>
      <c r="I60" s="16"/>
      <c r="J60" s="16">
        <v>810000</v>
      </c>
      <c r="K60" s="16">
        <v>761420</v>
      </c>
      <c r="L60" s="16">
        <f>J60-K60</f>
      </c>
      <c r="M60" s="14" t="s">
        <v>50</v>
      </c>
      <c r="N60" s="14" t="s">
        <v>913</v>
      </c>
      <c r="O60" s="16">
        <v>4</v>
      </c>
      <c r="P60" s="14"/>
      <c r="Q60" s="14"/>
      <c r="R60" s="14"/>
      <c r="S60" s="14"/>
      <c r="T60" s="14"/>
    </row>
    <row x14ac:dyDescent="0.25" r="61" customHeight="1" ht="18.75">
      <c r="A61" s="12">
        <v>46007</v>
      </c>
      <c r="B61" s="13" t="s">
        <v>914</v>
      </c>
      <c r="C61" s="14" t="s">
        <v>111</v>
      </c>
      <c r="D61" s="14" t="s">
        <v>915</v>
      </c>
      <c r="E61" s="14" t="s">
        <v>916</v>
      </c>
      <c r="F61" s="14" t="s">
        <v>102</v>
      </c>
      <c r="G61" s="15" t="s">
        <v>917</v>
      </c>
      <c r="H61" s="14" t="s">
        <v>26</v>
      </c>
      <c r="I61" s="16">
        <v>248500</v>
      </c>
      <c r="J61" s="16">
        <v>665900</v>
      </c>
      <c r="K61" s="16">
        <v>613920</v>
      </c>
      <c r="L61" s="16">
        <f>J61-K61</f>
      </c>
      <c r="M61" s="14" t="s">
        <v>50</v>
      </c>
      <c r="N61" s="14" t="s">
        <v>918</v>
      </c>
      <c r="O61" s="16">
        <v>4</v>
      </c>
      <c r="P61" s="14"/>
      <c r="Q61" s="14"/>
      <c r="R61" s="14"/>
      <c r="S61" s="14"/>
      <c r="T61" s="14"/>
    </row>
    <row x14ac:dyDescent="0.25" r="62" customHeight="1" ht="18.75">
      <c r="A62" s="12">
        <v>46007</v>
      </c>
      <c r="B62" s="13" t="s">
        <v>919</v>
      </c>
      <c r="C62" s="14" t="s">
        <v>46</v>
      </c>
      <c r="D62" s="14" t="s">
        <v>54</v>
      </c>
      <c r="E62" s="14" t="s">
        <v>920</v>
      </c>
      <c r="F62" s="14" t="s">
        <v>24</v>
      </c>
      <c r="G62" s="15" t="s">
        <v>921</v>
      </c>
      <c r="H62" s="14" t="s">
        <v>26</v>
      </c>
      <c r="I62" s="16">
        <v>2441100</v>
      </c>
      <c r="J62" s="16">
        <v>3340800</v>
      </c>
      <c r="K62" s="16">
        <v>3285620</v>
      </c>
      <c r="L62" s="16">
        <f>J62-K62</f>
      </c>
      <c r="M62" s="14" t="s">
        <v>77</v>
      </c>
      <c r="N62" s="14" t="s">
        <v>922</v>
      </c>
      <c r="O62" s="16"/>
      <c r="P62" s="14"/>
      <c r="Q62" s="14"/>
      <c r="R62" s="14"/>
      <c r="S62" s="14"/>
      <c r="T62" s="14"/>
    </row>
    <row x14ac:dyDescent="0.25" r="63" customHeight="1" ht="18.75">
      <c r="A63" s="12">
        <v>46008</v>
      </c>
      <c r="B63" s="13" t="s">
        <v>914</v>
      </c>
      <c r="C63" s="14" t="s">
        <v>111</v>
      </c>
      <c r="D63" s="14" t="s">
        <v>915</v>
      </c>
      <c r="E63" s="14" t="s">
        <v>923</v>
      </c>
      <c r="F63" s="14" t="s">
        <v>102</v>
      </c>
      <c r="G63" s="15" t="s">
        <v>924</v>
      </c>
      <c r="H63" s="14" t="s">
        <v>26</v>
      </c>
      <c r="I63" s="16">
        <v>248500</v>
      </c>
      <c r="J63" s="16">
        <v>665900</v>
      </c>
      <c r="K63" s="16">
        <v>613920</v>
      </c>
      <c r="L63" s="16">
        <f>J63-K63</f>
      </c>
      <c r="M63" s="14" t="s">
        <v>50</v>
      </c>
      <c r="N63" s="14" t="s">
        <v>925</v>
      </c>
      <c r="O63" s="16">
        <v>4</v>
      </c>
      <c r="P63" s="14"/>
      <c r="Q63" s="14"/>
      <c r="R63" s="14"/>
      <c r="S63" s="14"/>
      <c r="T63" s="14"/>
    </row>
    <row x14ac:dyDescent="0.25" r="64" customHeight="1" ht="18.75">
      <c r="A64" s="12">
        <v>46008</v>
      </c>
      <c r="B64" s="13" t="s">
        <v>926</v>
      </c>
      <c r="C64" s="14" t="s">
        <v>53</v>
      </c>
      <c r="D64" s="14" t="s">
        <v>313</v>
      </c>
      <c r="E64" s="14" t="s">
        <v>927</v>
      </c>
      <c r="F64" s="14" t="s">
        <v>928</v>
      </c>
      <c r="G64" s="15" t="s">
        <v>929</v>
      </c>
      <c r="H64" s="14" t="s">
        <v>26</v>
      </c>
      <c r="I64" s="16"/>
      <c r="J64" s="16">
        <v>54200</v>
      </c>
      <c r="K64" s="16">
        <v>49200</v>
      </c>
      <c r="L64" s="16">
        <f>J64-K64</f>
      </c>
      <c r="M64" s="14" t="s">
        <v>53</v>
      </c>
      <c r="N64" s="14"/>
      <c r="O64" s="16" t="s">
        <v>930</v>
      </c>
      <c r="P64" s="14"/>
      <c r="Q64" s="14"/>
      <c r="R64" s="14"/>
      <c r="S64" s="14"/>
      <c r="T64" s="14"/>
    </row>
    <row x14ac:dyDescent="0.25" r="65" customHeight="1" ht="18.75">
      <c r="A65" s="12">
        <v>46008</v>
      </c>
      <c r="B65" s="13" t="s">
        <v>931</v>
      </c>
      <c r="C65" s="14" t="s">
        <v>106</v>
      </c>
      <c r="D65" s="14" t="s">
        <v>932</v>
      </c>
      <c r="E65" s="14" t="s">
        <v>933</v>
      </c>
      <c r="F65" s="14" t="s">
        <v>934</v>
      </c>
      <c r="G65" s="15" t="s">
        <v>935</v>
      </c>
      <c r="H65" s="14" t="s">
        <v>76</v>
      </c>
      <c r="I65" s="16"/>
      <c r="J65" s="16">
        <v>556900</v>
      </c>
      <c r="K65" s="16">
        <v>506400</v>
      </c>
      <c r="L65" s="16">
        <f>J65-K65</f>
      </c>
      <c r="M65" s="14" t="s">
        <v>77</v>
      </c>
      <c r="N65" s="14" t="s">
        <v>936</v>
      </c>
      <c r="O65" s="16"/>
      <c r="P65" s="14"/>
      <c r="Q65" s="14"/>
      <c r="R65" s="14"/>
      <c r="S65" s="14"/>
      <c r="T65" s="14"/>
    </row>
    <row x14ac:dyDescent="0.25" r="66" customHeight="1" ht="18.75">
      <c r="A66" s="12">
        <v>46008</v>
      </c>
      <c r="B66" s="13" t="s">
        <v>937</v>
      </c>
      <c r="C66" s="14" t="s">
        <v>123</v>
      </c>
      <c r="D66" s="14" t="s">
        <v>232</v>
      </c>
      <c r="E66" s="14" t="s">
        <v>938</v>
      </c>
      <c r="F66" s="14" t="s">
        <v>939</v>
      </c>
      <c r="G66" s="15" t="s">
        <v>940</v>
      </c>
      <c r="H66" s="14" t="s">
        <v>26</v>
      </c>
      <c r="I66" s="16"/>
      <c r="J66" s="16">
        <v>1270800</v>
      </c>
      <c r="K66" s="16">
        <v>1170800</v>
      </c>
      <c r="L66" s="16">
        <f>J66-K66</f>
      </c>
      <c r="M66" s="14" t="s">
        <v>50</v>
      </c>
      <c r="N66" s="14" t="s">
        <v>941</v>
      </c>
      <c r="O66" s="16" t="s">
        <v>942</v>
      </c>
      <c r="P66" s="14"/>
      <c r="Q66" s="14"/>
      <c r="R66" s="14"/>
      <c r="S66" s="14"/>
      <c r="T66" s="14"/>
    </row>
    <row x14ac:dyDescent="0.25" r="67" customHeight="1" ht="18.75">
      <c r="A67" s="12">
        <v>46008</v>
      </c>
      <c r="B67" s="13" t="s">
        <v>937</v>
      </c>
      <c r="C67" s="14" t="s">
        <v>123</v>
      </c>
      <c r="D67" s="14" t="s">
        <v>232</v>
      </c>
      <c r="E67" s="14" t="s">
        <v>938</v>
      </c>
      <c r="F67" s="14" t="s">
        <v>939</v>
      </c>
      <c r="G67" s="15" t="s">
        <v>943</v>
      </c>
      <c r="H67" s="14" t="s">
        <v>26</v>
      </c>
      <c r="I67" s="16"/>
      <c r="J67" s="16">
        <v>989800</v>
      </c>
      <c r="K67" s="16">
        <v>929800</v>
      </c>
      <c r="L67" s="16">
        <f>J67-K67</f>
      </c>
      <c r="M67" s="14" t="s">
        <v>50</v>
      </c>
      <c r="N67" s="14" t="s">
        <v>944</v>
      </c>
      <c r="O67" s="16" t="s">
        <v>942</v>
      </c>
      <c r="P67" s="14"/>
      <c r="Q67" s="14"/>
      <c r="R67" s="14"/>
      <c r="S67" s="14"/>
      <c r="T67" s="14"/>
    </row>
    <row x14ac:dyDescent="0.25" r="68" customHeight="1" ht="18.75">
      <c r="A68" s="12">
        <v>46008</v>
      </c>
      <c r="B68" s="13" t="s">
        <v>937</v>
      </c>
      <c r="C68" s="14" t="s">
        <v>123</v>
      </c>
      <c r="D68" s="14" t="s">
        <v>232</v>
      </c>
      <c r="E68" s="14" t="s">
        <v>938</v>
      </c>
      <c r="F68" s="14" t="s">
        <v>939</v>
      </c>
      <c r="G68" s="15" t="s">
        <v>945</v>
      </c>
      <c r="H68" s="14" t="s">
        <v>26</v>
      </c>
      <c r="I68" s="16"/>
      <c r="J68" s="16">
        <v>269900</v>
      </c>
      <c r="K68" s="16">
        <v>212900</v>
      </c>
      <c r="L68" s="16">
        <f>J68-K68</f>
      </c>
      <c r="M68" s="14" t="s">
        <v>50</v>
      </c>
      <c r="N68" s="14" t="s">
        <v>946</v>
      </c>
      <c r="O68" s="16" t="s">
        <v>942</v>
      </c>
      <c r="P68" s="14"/>
      <c r="Q68" s="14"/>
      <c r="R68" s="14"/>
      <c r="S68" s="14"/>
      <c r="T68" s="14"/>
    </row>
    <row x14ac:dyDescent="0.25" r="69" customHeight="1" ht="18.75">
      <c r="A69" s="12">
        <v>46008</v>
      </c>
      <c r="B69" s="13" t="s">
        <v>947</v>
      </c>
      <c r="C69" s="14" t="s">
        <v>72</v>
      </c>
      <c r="D69" s="14" t="s">
        <v>448</v>
      </c>
      <c r="E69" s="14" t="s">
        <v>948</v>
      </c>
      <c r="F69" s="14" t="s">
        <v>24</v>
      </c>
      <c r="G69" s="15" t="s">
        <v>849</v>
      </c>
      <c r="H69" s="14" t="s">
        <v>26</v>
      </c>
      <c r="I69" s="16"/>
      <c r="J69" s="16">
        <v>835000</v>
      </c>
      <c r="K69" s="16">
        <v>717100</v>
      </c>
      <c r="L69" s="16">
        <f>J69-K69</f>
      </c>
      <c r="M69" s="14" t="s">
        <v>43</v>
      </c>
      <c r="N69" s="14" t="s">
        <v>949</v>
      </c>
      <c r="O69" s="16" t="s">
        <v>33</v>
      </c>
      <c r="P69" s="14"/>
      <c r="Q69" s="14"/>
      <c r="R69" s="14"/>
      <c r="S69" s="14"/>
      <c r="T69" s="14"/>
    </row>
    <row x14ac:dyDescent="0.25" r="70" customHeight="1" ht="18.75">
      <c r="A70" s="12">
        <v>46008</v>
      </c>
      <c r="B70" s="13" t="s">
        <v>950</v>
      </c>
      <c r="C70" s="14" t="s">
        <v>39</v>
      </c>
      <c r="D70" s="14" t="s">
        <v>951</v>
      </c>
      <c r="E70" s="14" t="s">
        <v>952</v>
      </c>
      <c r="F70" s="14" t="s">
        <v>41</v>
      </c>
      <c r="G70" s="15" t="s">
        <v>953</v>
      </c>
      <c r="H70" s="14" t="s">
        <v>26</v>
      </c>
      <c r="I70" s="16"/>
      <c r="J70" s="16">
        <v>1247200</v>
      </c>
      <c r="K70" s="16">
        <v>1052200</v>
      </c>
      <c r="L70" s="16">
        <f>J70-K70</f>
      </c>
      <c r="M70" s="14" t="s">
        <v>43</v>
      </c>
      <c r="N70" s="14" t="s">
        <v>954</v>
      </c>
      <c r="O70" s="16"/>
      <c r="P70" s="14"/>
      <c r="Q70" s="14"/>
      <c r="R70" s="14"/>
      <c r="S70" s="14"/>
      <c r="T70" s="14"/>
    </row>
    <row x14ac:dyDescent="0.25" r="71" customHeight="1" ht="18.75">
      <c r="A71" s="137">
        <v>46009</v>
      </c>
      <c r="B71" s="138" t="s">
        <v>955</v>
      </c>
      <c r="C71" s="139"/>
      <c r="D71" s="139" t="s">
        <v>956</v>
      </c>
      <c r="E71" s="139" t="s">
        <v>957</v>
      </c>
      <c r="F71" s="139" t="s">
        <v>958</v>
      </c>
      <c r="G71" s="140" t="s">
        <v>865</v>
      </c>
      <c r="H71" s="139" t="s">
        <v>26</v>
      </c>
      <c r="I71" s="141"/>
      <c r="J71" s="141">
        <v>39240</v>
      </c>
      <c r="K71" s="141">
        <v>39240</v>
      </c>
      <c r="L71" s="141">
        <f>J71-K71</f>
      </c>
      <c r="M71" s="139"/>
      <c r="N71" s="139"/>
      <c r="O71" s="141" t="s">
        <v>959</v>
      </c>
      <c r="P71" s="139"/>
      <c r="Q71" s="139"/>
      <c r="R71" s="139"/>
      <c r="S71" s="139"/>
      <c r="T71" s="139"/>
    </row>
    <row x14ac:dyDescent="0.25" r="72" customHeight="1" ht="18.75">
      <c r="A72" s="137">
        <v>46009</v>
      </c>
      <c r="B72" s="138" t="s">
        <v>960</v>
      </c>
      <c r="C72" s="139"/>
      <c r="D72" s="139" t="s">
        <v>961</v>
      </c>
      <c r="E72" s="139" t="s">
        <v>962</v>
      </c>
      <c r="F72" s="139" t="s">
        <v>958</v>
      </c>
      <c r="G72" s="140" t="s">
        <v>865</v>
      </c>
      <c r="H72" s="139" t="s">
        <v>26</v>
      </c>
      <c r="I72" s="141"/>
      <c r="J72" s="141">
        <v>1393020</v>
      </c>
      <c r="K72" s="141">
        <v>1325050</v>
      </c>
      <c r="L72" s="141">
        <v>67970</v>
      </c>
      <c r="M72" s="139"/>
      <c r="N72" s="139"/>
      <c r="O72" s="141" t="s">
        <v>963</v>
      </c>
      <c r="P72" s="139"/>
      <c r="Q72" s="139"/>
      <c r="R72" s="139"/>
      <c r="S72" s="139"/>
      <c r="T72" s="139"/>
    </row>
    <row x14ac:dyDescent="0.25" r="73" customHeight="1" ht="18.75">
      <c r="A73" s="137">
        <v>46009</v>
      </c>
      <c r="B73" s="138" t="s">
        <v>964</v>
      </c>
      <c r="C73" s="139" t="s">
        <v>53</v>
      </c>
      <c r="D73" s="139" t="s">
        <v>965</v>
      </c>
      <c r="E73" s="139"/>
      <c r="F73" s="139" t="s">
        <v>966</v>
      </c>
      <c r="G73" s="140" t="s">
        <v>967</v>
      </c>
      <c r="H73" s="139" t="s">
        <v>26</v>
      </c>
      <c r="I73" s="141"/>
      <c r="J73" s="141">
        <v>0</v>
      </c>
      <c r="K73" s="141">
        <v>120170</v>
      </c>
      <c r="L73" s="141"/>
      <c r="M73" s="139" t="s">
        <v>968</v>
      </c>
      <c r="N73" s="139"/>
      <c r="O73" s="141" t="s">
        <v>959</v>
      </c>
      <c r="P73" s="139"/>
      <c r="Q73" s="139"/>
      <c r="R73" s="139"/>
      <c r="S73" s="139"/>
      <c r="T73" s="139"/>
    </row>
    <row x14ac:dyDescent="0.25" r="74" customHeight="1" ht="18.75">
      <c r="A74" s="12">
        <v>46010</v>
      </c>
      <c r="B74" s="13" t="s">
        <v>969</v>
      </c>
      <c r="C74" s="14" t="s">
        <v>111</v>
      </c>
      <c r="D74" s="14" t="s">
        <v>970</v>
      </c>
      <c r="E74" s="14"/>
      <c r="F74" s="14" t="s">
        <v>971</v>
      </c>
      <c r="G74" s="15" t="s">
        <v>853</v>
      </c>
      <c r="H74" s="14" t="s">
        <v>26</v>
      </c>
      <c r="I74" s="16"/>
      <c r="J74" s="16">
        <v>525900</v>
      </c>
      <c r="K74" s="16">
        <v>445420</v>
      </c>
      <c r="L74" s="16">
        <f>J74-K74</f>
      </c>
      <c r="M74" s="14" t="s">
        <v>50</v>
      </c>
      <c r="N74" s="14" t="s">
        <v>972</v>
      </c>
      <c r="O74" s="16">
        <v>2</v>
      </c>
      <c r="P74" s="14"/>
      <c r="Q74" s="14"/>
      <c r="R74" s="14"/>
      <c r="S74" s="14"/>
      <c r="T74" s="18"/>
    </row>
    <row x14ac:dyDescent="0.25" r="75" customHeight="1" ht="18.75">
      <c r="A75" s="12">
        <v>46010</v>
      </c>
      <c r="B75" s="13" t="s">
        <v>973</v>
      </c>
      <c r="C75" s="14" t="s">
        <v>111</v>
      </c>
      <c r="D75" s="14" t="s">
        <v>974</v>
      </c>
      <c r="E75" s="14" t="s">
        <v>975</v>
      </c>
      <c r="F75" s="14" t="s">
        <v>24</v>
      </c>
      <c r="G75" s="15" t="s">
        <v>976</v>
      </c>
      <c r="H75" s="14" t="s">
        <v>26</v>
      </c>
      <c r="I75" s="16"/>
      <c r="J75" s="16">
        <v>1436900</v>
      </c>
      <c r="K75" s="16">
        <v>1376705</v>
      </c>
      <c r="L75" s="16">
        <f>J75-K75</f>
      </c>
      <c r="M75" s="14" t="s">
        <v>50</v>
      </c>
      <c r="N75" s="14" t="s">
        <v>977</v>
      </c>
      <c r="O75" s="16">
        <v>2</v>
      </c>
      <c r="P75" s="14"/>
      <c r="Q75" s="14"/>
      <c r="R75" s="14"/>
      <c r="S75" s="14"/>
      <c r="T75" s="18"/>
    </row>
    <row x14ac:dyDescent="0.25" r="76" customHeight="1" ht="18.75">
      <c r="A76" s="12">
        <v>46010</v>
      </c>
      <c r="B76" s="13" t="s">
        <v>973</v>
      </c>
      <c r="C76" s="14" t="s">
        <v>111</v>
      </c>
      <c r="D76" s="14" t="s">
        <v>974</v>
      </c>
      <c r="E76" s="14" t="s">
        <v>975</v>
      </c>
      <c r="F76" s="14" t="s">
        <v>24</v>
      </c>
      <c r="G76" s="15" t="s">
        <v>978</v>
      </c>
      <c r="H76" s="14" t="s">
        <v>26</v>
      </c>
      <c r="I76" s="16"/>
      <c r="J76" s="16">
        <v>1436900</v>
      </c>
      <c r="K76" s="16">
        <v>1376705</v>
      </c>
      <c r="L76" s="16">
        <f>J76-K76</f>
      </c>
      <c r="M76" s="14" t="s">
        <v>50</v>
      </c>
      <c r="N76" s="14" t="s">
        <v>979</v>
      </c>
      <c r="O76" s="16">
        <v>2</v>
      </c>
      <c r="P76" s="14"/>
      <c r="Q76" s="14"/>
      <c r="R76" s="14"/>
      <c r="S76" s="14"/>
      <c r="T76" s="18"/>
    </row>
    <row x14ac:dyDescent="0.25" r="77" customHeight="1" ht="18.75">
      <c r="A77" s="12">
        <v>46010</v>
      </c>
      <c r="B77" s="13" t="s">
        <v>973</v>
      </c>
      <c r="C77" s="14" t="s">
        <v>111</v>
      </c>
      <c r="D77" s="14" t="s">
        <v>974</v>
      </c>
      <c r="E77" s="14" t="s">
        <v>975</v>
      </c>
      <c r="F77" s="14" t="s">
        <v>24</v>
      </c>
      <c r="G77" s="15" t="s">
        <v>980</v>
      </c>
      <c r="H77" s="14" t="s">
        <v>26</v>
      </c>
      <c r="I77" s="16"/>
      <c r="J77" s="16">
        <v>1436900</v>
      </c>
      <c r="K77" s="16">
        <v>1376705</v>
      </c>
      <c r="L77" s="16">
        <f>J77-K77</f>
      </c>
      <c r="M77" s="14" t="s">
        <v>50</v>
      </c>
      <c r="N77" s="14" t="s">
        <v>981</v>
      </c>
      <c r="O77" s="16">
        <v>2</v>
      </c>
      <c r="P77" s="14"/>
      <c r="Q77" s="14"/>
      <c r="R77" s="14"/>
      <c r="S77" s="14"/>
      <c r="T77" s="14"/>
    </row>
    <row x14ac:dyDescent="0.25" r="78" customHeight="1" ht="18.75">
      <c r="A78" s="12">
        <v>46010</v>
      </c>
      <c r="B78" s="13" t="s">
        <v>982</v>
      </c>
      <c r="C78" s="14" t="s">
        <v>39</v>
      </c>
      <c r="D78" s="14" t="s">
        <v>983</v>
      </c>
      <c r="E78" s="14" t="s">
        <v>984</v>
      </c>
      <c r="F78" s="14" t="s">
        <v>41</v>
      </c>
      <c r="G78" s="15" t="s">
        <v>953</v>
      </c>
      <c r="H78" s="14" t="s">
        <v>26</v>
      </c>
      <c r="I78" s="16"/>
      <c r="J78" s="16">
        <v>259900</v>
      </c>
      <c r="K78" s="16">
        <v>182900</v>
      </c>
      <c r="L78" s="16">
        <f>J78-K78</f>
      </c>
      <c r="M78" s="14" t="s">
        <v>43</v>
      </c>
      <c r="N78" s="14" t="s">
        <v>985</v>
      </c>
      <c r="O78" s="16" t="s">
        <v>33</v>
      </c>
      <c r="P78" s="14"/>
      <c r="Q78" s="14"/>
      <c r="R78" s="14"/>
      <c r="S78" s="14"/>
      <c r="T78" s="14"/>
    </row>
    <row x14ac:dyDescent="0.25" r="79" customHeight="1" ht="18.75">
      <c r="A79" s="12">
        <v>46010</v>
      </c>
      <c r="B79" s="13" t="s">
        <v>986</v>
      </c>
      <c r="C79" s="14" t="s">
        <v>111</v>
      </c>
      <c r="D79" s="14" t="s">
        <v>987</v>
      </c>
      <c r="E79" s="14" t="s">
        <v>988</v>
      </c>
      <c r="F79" s="14" t="s">
        <v>41</v>
      </c>
      <c r="G79" s="15" t="s">
        <v>989</v>
      </c>
      <c r="H79" s="14" t="s">
        <v>26</v>
      </c>
      <c r="I79" s="16"/>
      <c r="J79" s="16">
        <v>842820</v>
      </c>
      <c r="K79" s="16">
        <v>718820</v>
      </c>
      <c r="L79" s="16">
        <f>J79-K79</f>
      </c>
      <c r="M79" s="14" t="s">
        <v>50</v>
      </c>
      <c r="N79" s="14" t="s">
        <v>990</v>
      </c>
      <c r="O79" s="16">
        <v>4</v>
      </c>
      <c r="P79" s="14"/>
      <c r="Q79" s="14"/>
      <c r="R79" s="14"/>
      <c r="S79" s="14"/>
      <c r="T79" s="14"/>
    </row>
    <row x14ac:dyDescent="0.25" r="80" customHeight="1" ht="18.75">
      <c r="A80" s="12">
        <v>46010</v>
      </c>
      <c r="B80" s="13" t="s">
        <v>991</v>
      </c>
      <c r="C80" s="14" t="s">
        <v>106</v>
      </c>
      <c r="D80" s="14" t="s">
        <v>992</v>
      </c>
      <c r="E80" s="14" t="s">
        <v>993</v>
      </c>
      <c r="F80" s="14" t="s">
        <v>994</v>
      </c>
      <c r="G80" s="15" t="s">
        <v>995</v>
      </c>
      <c r="H80" s="14" t="s">
        <v>26</v>
      </c>
      <c r="I80" s="16">
        <v>368600</v>
      </c>
      <c r="J80" s="16">
        <v>677900</v>
      </c>
      <c r="K80" s="16">
        <v>610120</v>
      </c>
      <c r="L80" s="16">
        <f>J80-K80</f>
      </c>
      <c r="M80" s="14" t="s">
        <v>43</v>
      </c>
      <c r="N80" s="14" t="s">
        <v>996</v>
      </c>
      <c r="O80" s="16"/>
      <c r="P80" s="14"/>
      <c r="Q80" s="14"/>
      <c r="R80" s="14"/>
      <c r="S80" s="14"/>
      <c r="T80" s="14"/>
    </row>
    <row x14ac:dyDescent="0.25" r="81" customHeight="1" ht="18.75">
      <c r="A81" s="12">
        <v>46010</v>
      </c>
      <c r="B81" s="13" t="s">
        <v>997</v>
      </c>
      <c r="C81" s="14" t="s">
        <v>106</v>
      </c>
      <c r="D81" s="14" t="s">
        <v>992</v>
      </c>
      <c r="E81" s="3" t="s">
        <v>998</v>
      </c>
      <c r="F81" s="14" t="s">
        <v>994</v>
      </c>
      <c r="G81" s="15" t="s">
        <v>999</v>
      </c>
      <c r="H81" s="14" t="s">
        <v>26</v>
      </c>
      <c r="I81" s="16">
        <v>368600</v>
      </c>
      <c r="J81" s="16">
        <v>696800</v>
      </c>
      <c r="K81" s="16">
        <v>610120</v>
      </c>
      <c r="L81" s="16">
        <f>J81-K81</f>
      </c>
      <c r="M81" s="14" t="s">
        <v>43</v>
      </c>
      <c r="N81" s="14" t="s">
        <v>1000</v>
      </c>
      <c r="O81" s="16"/>
      <c r="P81" s="14"/>
      <c r="Q81" s="14"/>
      <c r="R81" s="14"/>
      <c r="S81" s="14"/>
      <c r="T81" s="14"/>
    </row>
    <row x14ac:dyDescent="0.25" r="82" customHeight="1" ht="18.75">
      <c r="A82" s="12">
        <v>46010</v>
      </c>
      <c r="B82" s="13" t="s">
        <v>1001</v>
      </c>
      <c r="C82" s="14" t="s">
        <v>106</v>
      </c>
      <c r="D82" s="14" t="s">
        <v>992</v>
      </c>
      <c r="E82" s="14" t="s">
        <v>1002</v>
      </c>
      <c r="F82" s="14" t="s">
        <v>994</v>
      </c>
      <c r="G82" s="15" t="s">
        <v>1003</v>
      </c>
      <c r="H82" s="14" t="s">
        <v>26</v>
      </c>
      <c r="I82" s="16">
        <v>368600</v>
      </c>
      <c r="J82" s="16">
        <v>677900</v>
      </c>
      <c r="K82" s="16">
        <v>610120</v>
      </c>
      <c r="L82" s="16">
        <f>J82-K82</f>
      </c>
      <c r="M82" s="14" t="s">
        <v>43</v>
      </c>
      <c r="N82" s="14" t="s">
        <v>1004</v>
      </c>
      <c r="O82" s="16"/>
      <c r="P82" s="14"/>
      <c r="Q82" s="14"/>
      <c r="R82" s="14"/>
      <c r="S82" s="14"/>
      <c r="T82" s="14"/>
    </row>
    <row x14ac:dyDescent="0.25" r="83" customHeight="1" ht="18.75">
      <c r="A83" s="12">
        <v>46010</v>
      </c>
      <c r="B83" s="13" t="s">
        <v>1005</v>
      </c>
      <c r="C83" s="14" t="s">
        <v>106</v>
      </c>
      <c r="D83" s="14" t="s">
        <v>992</v>
      </c>
      <c r="E83" s="14" t="s">
        <v>1006</v>
      </c>
      <c r="F83" s="14" t="s">
        <v>994</v>
      </c>
      <c r="G83" s="15" t="s">
        <v>1007</v>
      </c>
      <c r="H83" s="14" t="s">
        <v>26</v>
      </c>
      <c r="I83" s="16"/>
      <c r="J83" s="16">
        <v>696800</v>
      </c>
      <c r="K83" s="16">
        <v>616550</v>
      </c>
      <c r="L83" s="16">
        <f>J83-K83</f>
      </c>
      <c r="M83" s="14" t="s">
        <v>106</v>
      </c>
      <c r="N83" s="14" t="s">
        <v>1008</v>
      </c>
      <c r="O83" s="16"/>
      <c r="P83" s="14"/>
      <c r="Q83" s="14"/>
      <c r="R83" s="14"/>
      <c r="S83" s="14"/>
      <c r="T83" s="14"/>
    </row>
    <row x14ac:dyDescent="0.25" r="84" customHeight="1" ht="18.75">
      <c r="A84" s="12">
        <v>46010</v>
      </c>
      <c r="B84" s="13" t="s">
        <v>1005</v>
      </c>
      <c r="C84" s="14" t="s">
        <v>106</v>
      </c>
      <c r="D84" s="14" t="s">
        <v>992</v>
      </c>
      <c r="E84" s="14" t="s">
        <v>1006</v>
      </c>
      <c r="F84" s="14" t="s">
        <v>994</v>
      </c>
      <c r="G84" s="15" t="s">
        <v>1009</v>
      </c>
      <c r="H84" s="14" t="s">
        <v>26</v>
      </c>
      <c r="I84" s="16"/>
      <c r="J84" s="16">
        <v>696800</v>
      </c>
      <c r="K84" s="16">
        <v>616550</v>
      </c>
      <c r="L84" s="16">
        <f>J84-K84</f>
      </c>
      <c r="M84" s="14" t="s">
        <v>106</v>
      </c>
      <c r="N84" s="14" t="s">
        <v>1008</v>
      </c>
      <c r="O84" s="16"/>
      <c r="P84" s="14"/>
      <c r="Q84" s="14"/>
      <c r="R84" s="14"/>
      <c r="S84" s="14"/>
      <c r="T84" s="14"/>
    </row>
    <row x14ac:dyDescent="0.25" r="85" customHeight="1" ht="18.75">
      <c r="A85" s="12">
        <v>46010</v>
      </c>
      <c r="B85" s="13" t="s">
        <v>1005</v>
      </c>
      <c r="C85" s="14" t="s">
        <v>106</v>
      </c>
      <c r="D85" s="14" t="s">
        <v>992</v>
      </c>
      <c r="E85" s="14" t="s">
        <v>1006</v>
      </c>
      <c r="F85" s="14" t="s">
        <v>994</v>
      </c>
      <c r="G85" s="15" t="s">
        <v>1010</v>
      </c>
      <c r="H85" s="14" t="s">
        <v>26</v>
      </c>
      <c r="I85" s="16"/>
      <c r="J85" s="16">
        <v>696800</v>
      </c>
      <c r="K85" s="16">
        <v>616550</v>
      </c>
      <c r="L85" s="16">
        <f>J85-K85</f>
      </c>
      <c r="M85" s="14" t="s">
        <v>106</v>
      </c>
      <c r="N85" s="14" t="s">
        <v>1011</v>
      </c>
      <c r="O85" s="16"/>
      <c r="P85" s="14"/>
      <c r="Q85" s="14"/>
      <c r="R85" s="14"/>
      <c r="S85" s="14"/>
      <c r="T85" s="14"/>
    </row>
    <row x14ac:dyDescent="0.25" r="86" customHeight="1" ht="18.75">
      <c r="A86" s="12">
        <v>46010</v>
      </c>
      <c r="B86" s="13" t="s">
        <v>1005</v>
      </c>
      <c r="C86" s="14" t="s">
        <v>106</v>
      </c>
      <c r="D86" s="14" t="s">
        <v>992</v>
      </c>
      <c r="E86" s="14" t="s">
        <v>1006</v>
      </c>
      <c r="F86" s="14" t="s">
        <v>994</v>
      </c>
      <c r="G86" s="15" t="s">
        <v>1012</v>
      </c>
      <c r="H86" s="14" t="s">
        <v>26</v>
      </c>
      <c r="I86" s="16"/>
      <c r="J86" s="16">
        <v>696800</v>
      </c>
      <c r="K86" s="16">
        <v>616550</v>
      </c>
      <c r="L86" s="16">
        <f>J86-K86</f>
      </c>
      <c r="M86" s="14" t="s">
        <v>106</v>
      </c>
      <c r="N86" s="14" t="s">
        <v>1013</v>
      </c>
      <c r="O86" s="16"/>
      <c r="P86" s="14"/>
      <c r="Q86" s="14"/>
      <c r="R86" s="14"/>
      <c r="S86" s="14"/>
      <c r="T86" s="14"/>
    </row>
    <row x14ac:dyDescent="0.25" r="87" customHeight="1" ht="18.75">
      <c r="A87" s="12">
        <v>46010</v>
      </c>
      <c r="B87" s="13" t="s">
        <v>1005</v>
      </c>
      <c r="C87" s="14" t="s">
        <v>106</v>
      </c>
      <c r="D87" s="14" t="s">
        <v>992</v>
      </c>
      <c r="E87" s="14" t="s">
        <v>1006</v>
      </c>
      <c r="F87" s="14" t="s">
        <v>994</v>
      </c>
      <c r="G87" s="15" t="s">
        <v>1014</v>
      </c>
      <c r="H87" s="14" t="s">
        <v>26</v>
      </c>
      <c r="I87" s="16"/>
      <c r="J87" s="16">
        <v>696800</v>
      </c>
      <c r="K87" s="16">
        <v>616550</v>
      </c>
      <c r="L87" s="16">
        <f>J87-K87</f>
      </c>
      <c r="M87" s="14" t="s">
        <v>106</v>
      </c>
      <c r="N87" s="14" t="s">
        <v>1015</v>
      </c>
      <c r="O87" s="16"/>
      <c r="P87" s="14"/>
      <c r="Q87" s="14"/>
      <c r="R87" s="14"/>
      <c r="S87" s="14"/>
      <c r="T87" s="14"/>
    </row>
    <row x14ac:dyDescent="0.25" r="88" customHeight="1" ht="18.75">
      <c r="A88" s="12">
        <v>46010</v>
      </c>
      <c r="B88" s="13" t="s">
        <v>1005</v>
      </c>
      <c r="C88" s="14" t="s">
        <v>106</v>
      </c>
      <c r="D88" s="14" t="s">
        <v>992</v>
      </c>
      <c r="E88" s="14" t="s">
        <v>1006</v>
      </c>
      <c r="F88" s="14" t="s">
        <v>994</v>
      </c>
      <c r="G88" s="15" t="s">
        <v>1016</v>
      </c>
      <c r="H88" s="14" t="s">
        <v>26</v>
      </c>
      <c r="I88" s="16"/>
      <c r="J88" s="16">
        <v>696800</v>
      </c>
      <c r="K88" s="16">
        <v>616550</v>
      </c>
      <c r="L88" s="16">
        <f>J88-K88</f>
      </c>
      <c r="M88" s="14" t="s">
        <v>106</v>
      </c>
      <c r="N88" s="14" t="s">
        <v>1017</v>
      </c>
      <c r="O88" s="16"/>
      <c r="P88" s="14"/>
      <c r="Q88" s="14"/>
      <c r="R88" s="14"/>
      <c r="S88" s="14"/>
      <c r="T88" s="14"/>
    </row>
    <row x14ac:dyDescent="0.25" r="89" customHeight="1" ht="18.75">
      <c r="A89" s="12">
        <v>46010</v>
      </c>
      <c r="B89" s="13" t="s">
        <v>1005</v>
      </c>
      <c r="C89" s="14" t="s">
        <v>106</v>
      </c>
      <c r="D89" s="14" t="s">
        <v>992</v>
      </c>
      <c r="E89" s="14" t="s">
        <v>1006</v>
      </c>
      <c r="F89" s="14" t="s">
        <v>994</v>
      </c>
      <c r="G89" s="15" t="s">
        <v>1018</v>
      </c>
      <c r="H89" s="14" t="s">
        <v>26</v>
      </c>
      <c r="I89" s="16"/>
      <c r="J89" s="16">
        <v>696800</v>
      </c>
      <c r="K89" s="16">
        <v>616550</v>
      </c>
      <c r="L89" s="16">
        <f>J89-K89</f>
      </c>
      <c r="M89" s="14" t="s">
        <v>106</v>
      </c>
      <c r="N89" s="14" t="s">
        <v>1019</v>
      </c>
      <c r="O89" s="16"/>
      <c r="P89" s="14"/>
      <c r="Q89" s="14"/>
      <c r="R89" s="14"/>
      <c r="S89" s="14"/>
      <c r="T89" s="14"/>
    </row>
    <row x14ac:dyDescent="0.25" r="90" customHeight="1" ht="18.75">
      <c r="A90" s="12">
        <v>46010</v>
      </c>
      <c r="B90" s="13" t="s">
        <v>1005</v>
      </c>
      <c r="C90" s="14" t="s">
        <v>106</v>
      </c>
      <c r="D90" s="14" t="s">
        <v>992</v>
      </c>
      <c r="E90" s="14" t="s">
        <v>1006</v>
      </c>
      <c r="F90" s="14" t="s">
        <v>994</v>
      </c>
      <c r="G90" s="15" t="s">
        <v>1020</v>
      </c>
      <c r="H90" s="14" t="s">
        <v>26</v>
      </c>
      <c r="I90" s="16"/>
      <c r="J90" s="16">
        <v>696800</v>
      </c>
      <c r="K90" s="16">
        <v>616550</v>
      </c>
      <c r="L90" s="16">
        <f>J90-K90</f>
      </c>
      <c r="M90" s="14" t="s">
        <v>106</v>
      </c>
      <c r="N90" s="14" t="s">
        <v>1021</v>
      </c>
      <c r="O90" s="16"/>
      <c r="P90" s="14"/>
      <c r="Q90" s="14"/>
      <c r="R90" s="14"/>
      <c r="S90" s="14"/>
      <c r="T90" s="14"/>
    </row>
    <row x14ac:dyDescent="0.25" r="91" customHeight="1" ht="18.75">
      <c r="A91" s="12">
        <v>46010</v>
      </c>
      <c r="B91" s="13" t="s">
        <v>1005</v>
      </c>
      <c r="C91" s="14" t="s">
        <v>106</v>
      </c>
      <c r="D91" s="14" t="s">
        <v>992</v>
      </c>
      <c r="E91" s="14" t="s">
        <v>1006</v>
      </c>
      <c r="F91" s="14" t="s">
        <v>994</v>
      </c>
      <c r="G91" s="15" t="s">
        <v>1022</v>
      </c>
      <c r="H91" s="14" t="s">
        <v>26</v>
      </c>
      <c r="I91" s="16"/>
      <c r="J91" s="16">
        <v>696800</v>
      </c>
      <c r="K91" s="16">
        <v>616550</v>
      </c>
      <c r="L91" s="16">
        <f>J91-K91</f>
      </c>
      <c r="M91" s="14" t="s">
        <v>106</v>
      </c>
      <c r="N91" s="14" t="s">
        <v>1023</v>
      </c>
      <c r="O91" s="16"/>
      <c r="P91" s="14"/>
      <c r="Q91" s="14"/>
      <c r="R91" s="14"/>
      <c r="S91" s="14"/>
      <c r="T91" s="14"/>
    </row>
    <row x14ac:dyDescent="0.25" r="92" customHeight="1" ht="18.75">
      <c r="A92" s="12">
        <v>46010</v>
      </c>
      <c r="B92" s="13" t="s">
        <v>1005</v>
      </c>
      <c r="C92" s="14" t="s">
        <v>106</v>
      </c>
      <c r="D92" s="14" t="s">
        <v>992</v>
      </c>
      <c r="E92" s="14" t="s">
        <v>1006</v>
      </c>
      <c r="F92" s="14" t="s">
        <v>994</v>
      </c>
      <c r="G92" s="15" t="s">
        <v>1024</v>
      </c>
      <c r="H92" s="14" t="s">
        <v>26</v>
      </c>
      <c r="I92" s="16"/>
      <c r="J92" s="16">
        <v>696800</v>
      </c>
      <c r="K92" s="16">
        <v>616550</v>
      </c>
      <c r="L92" s="16">
        <f>J92-K92</f>
      </c>
      <c r="M92" s="14" t="s">
        <v>106</v>
      </c>
      <c r="N92" s="14" t="s">
        <v>1025</v>
      </c>
      <c r="O92" s="16"/>
      <c r="P92" s="14"/>
      <c r="Q92" s="14"/>
      <c r="R92" s="14"/>
      <c r="S92" s="14"/>
      <c r="T92" s="14"/>
    </row>
    <row x14ac:dyDescent="0.25" r="93" customHeight="1" ht="18.75">
      <c r="A93" s="12">
        <v>46011</v>
      </c>
      <c r="B93" s="13" t="s">
        <v>1026</v>
      </c>
      <c r="C93" s="14" t="s">
        <v>72</v>
      </c>
      <c r="D93" s="14" t="s">
        <v>1027</v>
      </c>
      <c r="E93" s="14" t="s">
        <v>1028</v>
      </c>
      <c r="F93" s="14" t="s">
        <v>41</v>
      </c>
      <c r="G93" s="15" t="s">
        <v>1029</v>
      </c>
      <c r="H93" s="14" t="s">
        <v>26</v>
      </c>
      <c r="I93" s="16">
        <v>627500</v>
      </c>
      <c r="J93" s="16">
        <v>1069900</v>
      </c>
      <c r="K93" s="16">
        <v>939220</v>
      </c>
      <c r="L93" s="16">
        <f>J93-K93</f>
      </c>
      <c r="M93" s="14" t="s">
        <v>50</v>
      </c>
      <c r="N93" s="14" t="s">
        <v>1030</v>
      </c>
      <c r="O93" s="16">
        <v>4</v>
      </c>
      <c r="P93" s="14"/>
      <c r="Q93" s="14"/>
      <c r="R93" s="14"/>
      <c r="S93" s="14"/>
      <c r="T93" s="14"/>
    </row>
    <row x14ac:dyDescent="0.25" r="94" customHeight="1" ht="18.75">
      <c r="A94" s="12">
        <v>46013</v>
      </c>
      <c r="B94" s="13" t="s">
        <v>1031</v>
      </c>
      <c r="C94" s="14" t="s">
        <v>111</v>
      </c>
      <c r="D94" s="14" t="s">
        <v>987</v>
      </c>
      <c r="E94" s="14" t="s">
        <v>1032</v>
      </c>
      <c r="F94" s="14" t="s">
        <v>41</v>
      </c>
      <c r="G94" s="15" t="s">
        <v>989</v>
      </c>
      <c r="H94" s="14" t="s">
        <v>26</v>
      </c>
      <c r="I94" s="16"/>
      <c r="J94" s="16">
        <v>125000</v>
      </c>
      <c r="K94" s="16">
        <v>7400</v>
      </c>
      <c r="L94" s="16">
        <f>J94-K94</f>
      </c>
      <c r="M94" s="14" t="s">
        <v>50</v>
      </c>
      <c r="N94" s="14" t="s">
        <v>1033</v>
      </c>
      <c r="O94" s="16" t="s">
        <v>33</v>
      </c>
      <c r="P94" s="14"/>
      <c r="Q94" s="14"/>
      <c r="R94" s="14"/>
      <c r="S94" s="14"/>
      <c r="T94" s="14"/>
    </row>
    <row x14ac:dyDescent="0.25" r="95" customHeight="1" ht="18.75">
      <c r="A95" s="12">
        <v>46013</v>
      </c>
      <c r="B95" s="13" t="s">
        <v>1034</v>
      </c>
      <c r="C95" s="14" t="s">
        <v>46</v>
      </c>
      <c r="D95" s="14" t="s">
        <v>1035</v>
      </c>
      <c r="E95" s="14" t="s">
        <v>1036</v>
      </c>
      <c r="F95" s="14" t="s">
        <v>1037</v>
      </c>
      <c r="G95" s="15" t="s">
        <v>1038</v>
      </c>
      <c r="H95" s="14" t="s">
        <v>26</v>
      </c>
      <c r="I95" s="16">
        <v>386300</v>
      </c>
      <c r="J95" s="16">
        <v>625900</v>
      </c>
      <c r="K95" s="16">
        <v>444000</v>
      </c>
      <c r="L95" s="16">
        <f>J95-K95</f>
      </c>
      <c r="M95" s="14" t="s">
        <v>50</v>
      </c>
      <c r="N95" s="14" t="s">
        <v>1039</v>
      </c>
      <c r="O95" s="16">
        <v>2</v>
      </c>
      <c r="P95" s="14"/>
      <c r="Q95" s="14"/>
      <c r="R95" s="14"/>
      <c r="S95" s="14"/>
      <c r="T95" s="18"/>
    </row>
    <row x14ac:dyDescent="0.25" r="96" customHeight="1" ht="18.75">
      <c r="A96" s="12">
        <v>46013</v>
      </c>
      <c r="B96" s="13" t="s">
        <v>1040</v>
      </c>
      <c r="C96" s="14" t="s">
        <v>53</v>
      </c>
      <c r="D96" s="14" t="s">
        <v>1041</v>
      </c>
      <c r="E96" s="14" t="s">
        <v>1042</v>
      </c>
      <c r="F96" s="14" t="s">
        <v>344</v>
      </c>
      <c r="G96" s="15" t="s">
        <v>1043</v>
      </c>
      <c r="H96" s="14" t="s">
        <v>26</v>
      </c>
      <c r="I96" s="16">
        <v>72200</v>
      </c>
      <c r="J96" s="16">
        <v>420500</v>
      </c>
      <c r="K96" s="16">
        <v>334020</v>
      </c>
      <c r="L96" s="16">
        <f>J96-K96</f>
      </c>
      <c r="M96" s="14" t="s">
        <v>137</v>
      </c>
      <c r="N96" s="14" t="s">
        <v>1044</v>
      </c>
      <c r="O96" s="16"/>
      <c r="P96" s="14"/>
      <c r="Q96" s="14"/>
      <c r="R96" s="14"/>
      <c r="S96" s="14"/>
      <c r="T96" s="14"/>
    </row>
    <row x14ac:dyDescent="0.25" r="97" customHeight="1" ht="18.75">
      <c r="A97" s="12">
        <v>46013</v>
      </c>
      <c r="B97" s="13" t="s">
        <v>1040</v>
      </c>
      <c r="C97" s="14" t="s">
        <v>53</v>
      </c>
      <c r="D97" s="14" t="s">
        <v>1041</v>
      </c>
      <c r="E97" s="14" t="s">
        <v>1042</v>
      </c>
      <c r="F97" s="14" t="s">
        <v>344</v>
      </c>
      <c r="G97" s="15" t="s">
        <v>1045</v>
      </c>
      <c r="H97" s="14" t="s">
        <v>26</v>
      </c>
      <c r="I97" s="16">
        <v>72200</v>
      </c>
      <c r="J97" s="16">
        <v>420500</v>
      </c>
      <c r="K97" s="16">
        <v>334020</v>
      </c>
      <c r="L97" s="16">
        <f>J97-K97</f>
      </c>
      <c r="M97" s="14" t="s">
        <v>137</v>
      </c>
      <c r="N97" s="14" t="s">
        <v>1046</v>
      </c>
      <c r="O97" s="16"/>
      <c r="P97" s="14"/>
      <c r="Q97" s="14"/>
      <c r="R97" s="14"/>
      <c r="S97" s="14"/>
      <c r="T97" s="14"/>
    </row>
    <row x14ac:dyDescent="0.25" r="98" customHeight="1" ht="18.75">
      <c r="A98" s="12">
        <v>46013</v>
      </c>
      <c r="B98" s="19">
        <v>45665</v>
      </c>
      <c r="C98" s="14" t="s">
        <v>53</v>
      </c>
      <c r="D98" s="14" t="s">
        <v>1047</v>
      </c>
      <c r="E98" s="14" t="s">
        <v>1048</v>
      </c>
      <c r="F98" s="14" t="s">
        <v>284</v>
      </c>
      <c r="G98" s="15" t="s">
        <v>1049</v>
      </c>
      <c r="H98" s="14" t="s">
        <v>26</v>
      </c>
      <c r="I98" s="16"/>
      <c r="J98" s="16">
        <v>132400</v>
      </c>
      <c r="K98" s="16">
        <v>112400</v>
      </c>
      <c r="L98" s="16">
        <f>J98-K98</f>
      </c>
      <c r="M98" s="14" t="s">
        <v>137</v>
      </c>
      <c r="N98" s="14" t="s">
        <v>1050</v>
      </c>
      <c r="O98" s="16" t="s">
        <v>33</v>
      </c>
      <c r="P98" s="14"/>
      <c r="Q98" s="14"/>
      <c r="R98" s="16"/>
      <c r="S98" s="14"/>
      <c r="T98" s="14"/>
    </row>
    <row x14ac:dyDescent="0.25" r="99" customHeight="1" ht="18.75">
      <c r="A99" s="12">
        <v>46013</v>
      </c>
      <c r="B99" s="13" t="s">
        <v>1051</v>
      </c>
      <c r="C99" s="14" t="s">
        <v>106</v>
      </c>
      <c r="D99" s="14" t="s">
        <v>992</v>
      </c>
      <c r="E99" s="14" t="s">
        <v>1052</v>
      </c>
      <c r="F99" s="14" t="s">
        <v>1053</v>
      </c>
      <c r="G99" s="15" t="s">
        <v>1054</v>
      </c>
      <c r="H99" s="14" t="s">
        <v>76</v>
      </c>
      <c r="I99" s="16"/>
      <c r="J99" s="16">
        <v>565500</v>
      </c>
      <c r="K99" s="16">
        <v>535420</v>
      </c>
      <c r="L99" s="16">
        <f>J99-K99</f>
      </c>
      <c r="M99" s="14" t="s">
        <v>77</v>
      </c>
      <c r="N99" s="14" t="s">
        <v>1055</v>
      </c>
      <c r="O99" s="16"/>
      <c r="P99" s="14"/>
      <c r="Q99" s="14"/>
      <c r="R99" s="16"/>
      <c r="S99" s="14"/>
      <c r="T99" s="14"/>
    </row>
    <row x14ac:dyDescent="0.25" r="100" customHeight="1" ht="18.75">
      <c r="A100" s="12">
        <v>46013</v>
      </c>
      <c r="B100" s="13" t="s">
        <v>926</v>
      </c>
      <c r="C100" s="14" t="s">
        <v>111</v>
      </c>
      <c r="D100" s="14" t="s">
        <v>1056</v>
      </c>
      <c r="E100" s="14" t="s">
        <v>1057</v>
      </c>
      <c r="F100" s="14" t="s">
        <v>41</v>
      </c>
      <c r="G100" s="15" t="s">
        <v>1058</v>
      </c>
      <c r="H100" s="14" t="s">
        <v>26</v>
      </c>
      <c r="I100" s="16"/>
      <c r="J100" s="16">
        <v>873900</v>
      </c>
      <c r="K100" s="16">
        <v>726520</v>
      </c>
      <c r="L100" s="16">
        <f>J100-K100</f>
      </c>
      <c r="M100" s="14" t="s">
        <v>43</v>
      </c>
      <c r="N100" s="14" t="s">
        <v>1059</v>
      </c>
      <c r="O100" s="16"/>
      <c r="P100" s="14"/>
      <c r="Q100" s="14"/>
      <c r="R100" s="16"/>
      <c r="S100" s="14"/>
      <c r="T100" s="14"/>
    </row>
    <row x14ac:dyDescent="0.25" r="101" customHeight="1" ht="18.75">
      <c r="A101" s="12">
        <v>46014</v>
      </c>
      <c r="B101" s="13" t="s">
        <v>1060</v>
      </c>
      <c r="C101" s="14" t="s">
        <v>111</v>
      </c>
      <c r="D101" s="14" t="s">
        <v>970</v>
      </c>
      <c r="E101" s="14" t="s">
        <v>1061</v>
      </c>
      <c r="F101" s="14" t="s">
        <v>971</v>
      </c>
      <c r="G101" s="15" t="s">
        <v>853</v>
      </c>
      <c r="H101" s="14" t="s">
        <v>26</v>
      </c>
      <c r="I101" s="16"/>
      <c r="J101" s="16">
        <v>86500</v>
      </c>
      <c r="K101" s="16">
        <v>56500</v>
      </c>
      <c r="L101" s="16">
        <f>J101-K101</f>
      </c>
      <c r="M101" s="14" t="s">
        <v>50</v>
      </c>
      <c r="N101" s="14" t="s">
        <v>1062</v>
      </c>
      <c r="O101" s="16" t="s">
        <v>33</v>
      </c>
      <c r="P101" s="14"/>
      <c r="Q101" s="14"/>
      <c r="R101" s="16"/>
      <c r="S101" s="14"/>
      <c r="T101" s="14"/>
    </row>
    <row x14ac:dyDescent="0.25" r="102" customHeight="1" ht="18.75">
      <c r="A102" s="12">
        <v>46014</v>
      </c>
      <c r="B102" s="13" t="s">
        <v>1063</v>
      </c>
      <c r="C102" s="14" t="s">
        <v>82</v>
      </c>
      <c r="D102" s="14" t="s">
        <v>1064</v>
      </c>
      <c r="E102" s="14" t="s">
        <v>1065</v>
      </c>
      <c r="F102" s="14" t="s">
        <v>1066</v>
      </c>
      <c r="G102" s="15" t="s">
        <v>1067</v>
      </c>
      <c r="H102" s="14" t="s">
        <v>26</v>
      </c>
      <c r="I102" s="16"/>
      <c r="J102" s="16">
        <v>174440</v>
      </c>
      <c r="K102" s="16">
        <v>154440</v>
      </c>
      <c r="L102" s="16">
        <f>J102-K102</f>
      </c>
      <c r="M102" s="14" t="s">
        <v>43</v>
      </c>
      <c r="N102" s="14" t="s">
        <v>1068</v>
      </c>
      <c r="O102" s="16"/>
      <c r="P102" s="14"/>
      <c r="Q102" s="14"/>
      <c r="R102" s="16"/>
      <c r="S102" s="14"/>
      <c r="T102" s="14"/>
    </row>
    <row x14ac:dyDescent="0.25" r="103" customHeight="1" ht="18.75">
      <c r="A103" s="137">
        <v>46014</v>
      </c>
      <c r="B103" s="144"/>
      <c r="C103" s="139" t="s">
        <v>123</v>
      </c>
      <c r="D103" s="139" t="s">
        <v>1069</v>
      </c>
      <c r="E103" s="139" t="s">
        <v>1070</v>
      </c>
      <c r="F103" s="139" t="s">
        <v>816</v>
      </c>
      <c r="G103" s="140" t="s">
        <v>1071</v>
      </c>
      <c r="H103" s="139" t="s">
        <v>26</v>
      </c>
      <c r="I103" s="141"/>
      <c r="J103" s="141">
        <v>560000</v>
      </c>
      <c r="K103" s="141">
        <v>470000</v>
      </c>
      <c r="L103" s="141">
        <f>J103-K103</f>
      </c>
      <c r="M103" s="139" t="s">
        <v>36</v>
      </c>
      <c r="N103" s="139"/>
      <c r="O103" s="141" t="s">
        <v>1072</v>
      </c>
      <c r="P103" s="139"/>
      <c r="Q103" s="139"/>
      <c r="R103" s="141"/>
      <c r="S103" s="139"/>
      <c r="T103" s="139"/>
    </row>
    <row x14ac:dyDescent="0.25" r="104" customHeight="1" ht="18.75">
      <c r="A104" s="12">
        <v>46014</v>
      </c>
      <c r="B104" s="13" t="s">
        <v>1073</v>
      </c>
      <c r="C104" s="14" t="s">
        <v>106</v>
      </c>
      <c r="D104" s="14" t="s">
        <v>1074</v>
      </c>
      <c r="E104" s="14" t="s">
        <v>1075</v>
      </c>
      <c r="F104" s="14" t="s">
        <v>934</v>
      </c>
      <c r="G104" s="15" t="s">
        <v>1076</v>
      </c>
      <c r="H104" s="14" t="s">
        <v>76</v>
      </c>
      <c r="I104" s="16"/>
      <c r="J104" s="16">
        <v>351500</v>
      </c>
      <c r="K104" s="16">
        <v>317820</v>
      </c>
      <c r="L104" s="16">
        <f>J104-K104</f>
      </c>
      <c r="M104" s="14" t="s">
        <v>43</v>
      </c>
      <c r="N104" s="14" t="s">
        <v>1077</v>
      </c>
      <c r="O104" s="16"/>
      <c r="P104" s="14"/>
      <c r="Q104" s="14"/>
      <c r="R104" s="16"/>
      <c r="S104" s="14"/>
      <c r="T104" s="14"/>
    </row>
    <row x14ac:dyDescent="0.25" r="105" customHeight="1" ht="18.75">
      <c r="A105" s="12">
        <v>46015</v>
      </c>
      <c r="B105" s="13" t="s">
        <v>1078</v>
      </c>
      <c r="C105" s="14" t="s">
        <v>53</v>
      </c>
      <c r="D105" s="14" t="s">
        <v>1079</v>
      </c>
      <c r="E105" s="14" t="s">
        <v>1080</v>
      </c>
      <c r="F105" s="14" t="s">
        <v>1081</v>
      </c>
      <c r="G105" s="15" t="s">
        <v>1082</v>
      </c>
      <c r="H105" s="14" t="s">
        <v>26</v>
      </c>
      <c r="I105" s="16"/>
      <c r="J105" s="16">
        <v>195100</v>
      </c>
      <c r="K105" s="16">
        <v>170100</v>
      </c>
      <c r="L105" s="16">
        <f>J105-K105</f>
      </c>
      <c r="M105" s="14" t="s">
        <v>53</v>
      </c>
      <c r="N105" s="14" t="s">
        <v>1083</v>
      </c>
      <c r="O105" s="16" t="s">
        <v>33</v>
      </c>
      <c r="P105" s="14"/>
      <c r="Q105" s="14"/>
      <c r="R105" s="16"/>
      <c r="S105" s="14"/>
      <c r="T105" s="14"/>
    </row>
    <row x14ac:dyDescent="0.25" r="106" customHeight="1" ht="18.75">
      <c r="A106" s="12">
        <v>46015</v>
      </c>
      <c r="B106" s="13" t="s">
        <v>1084</v>
      </c>
      <c r="C106" s="14" t="s">
        <v>46</v>
      </c>
      <c r="D106" s="14" t="s">
        <v>1041</v>
      </c>
      <c r="E106" s="14" t="s">
        <v>1085</v>
      </c>
      <c r="F106" s="14" t="s">
        <v>1086</v>
      </c>
      <c r="G106" s="15" t="s">
        <v>1087</v>
      </c>
      <c r="H106" s="14" t="s">
        <v>26</v>
      </c>
      <c r="I106" s="16"/>
      <c r="J106" s="16">
        <v>1218720</v>
      </c>
      <c r="K106" s="16">
        <v>1097820</v>
      </c>
      <c r="L106" s="16">
        <f>J106-K106</f>
      </c>
      <c r="M106" s="14" t="s">
        <v>43</v>
      </c>
      <c r="N106" s="14" t="s">
        <v>1088</v>
      </c>
      <c r="O106" s="16"/>
      <c r="P106" s="14"/>
      <c r="Q106" s="14"/>
      <c r="R106" s="16"/>
      <c r="S106" s="14"/>
      <c r="T106" s="14"/>
    </row>
    <row x14ac:dyDescent="0.25" r="107" customHeight="1" ht="18.75">
      <c r="A107" s="12">
        <v>46017</v>
      </c>
      <c r="B107" s="13" t="s">
        <v>1089</v>
      </c>
      <c r="C107" s="14" t="s">
        <v>106</v>
      </c>
      <c r="D107" s="14" t="s">
        <v>1090</v>
      </c>
      <c r="E107" s="14"/>
      <c r="F107" s="14" t="s">
        <v>1091</v>
      </c>
      <c r="G107" s="15" t="s">
        <v>763</v>
      </c>
      <c r="H107" s="14" t="s">
        <v>26</v>
      </c>
      <c r="I107" s="16"/>
      <c r="J107" s="16"/>
      <c r="K107" s="16">
        <v>172913</v>
      </c>
      <c r="L107" s="16"/>
      <c r="M107" s="14" t="s">
        <v>968</v>
      </c>
      <c r="N107" s="14"/>
      <c r="O107" s="16" t="s">
        <v>959</v>
      </c>
      <c r="P107" s="14"/>
      <c r="Q107" s="14"/>
      <c r="R107" s="16"/>
      <c r="S107" s="14"/>
      <c r="T107" s="14"/>
    </row>
    <row x14ac:dyDescent="0.25" r="108" customHeight="1" ht="18.75">
      <c r="A108" s="12">
        <v>46017</v>
      </c>
      <c r="B108" s="13" t="s">
        <v>1092</v>
      </c>
      <c r="C108" s="14" t="s">
        <v>123</v>
      </c>
      <c r="D108" s="14" t="s">
        <v>1069</v>
      </c>
      <c r="E108" s="14" t="s">
        <v>1093</v>
      </c>
      <c r="F108" s="14" t="s">
        <v>816</v>
      </c>
      <c r="G108" s="15" t="s">
        <v>1094</v>
      </c>
      <c r="H108" s="14" t="s">
        <v>26</v>
      </c>
      <c r="I108" s="16"/>
      <c r="J108" s="16">
        <v>3560900</v>
      </c>
      <c r="K108" s="16">
        <v>3360520</v>
      </c>
      <c r="L108" s="16">
        <f>J108-K108</f>
      </c>
      <c r="M108" s="14" t="s">
        <v>43</v>
      </c>
      <c r="N108" s="14" t="s">
        <v>1095</v>
      </c>
      <c r="O108" s="16"/>
      <c r="P108" s="14"/>
      <c r="Q108" s="14"/>
      <c r="R108" s="14"/>
      <c r="S108" s="14"/>
      <c r="T108" s="14"/>
    </row>
    <row x14ac:dyDescent="0.25" r="109" customHeight="1" ht="18.75">
      <c r="A109" s="12">
        <v>46017</v>
      </c>
      <c r="B109" s="13" t="s">
        <v>1092</v>
      </c>
      <c r="C109" s="14" t="s">
        <v>123</v>
      </c>
      <c r="D109" s="14" t="s">
        <v>1069</v>
      </c>
      <c r="E109" s="14" t="s">
        <v>1096</v>
      </c>
      <c r="F109" s="14" t="s">
        <v>816</v>
      </c>
      <c r="G109" s="5" t="s">
        <v>1097</v>
      </c>
      <c r="H109" s="14" t="s">
        <v>26</v>
      </c>
      <c r="I109" s="16"/>
      <c r="J109" s="6">
        <v>757900</v>
      </c>
      <c r="K109" s="6">
        <v>662120</v>
      </c>
      <c r="L109" s="16">
        <f>J109-K109</f>
      </c>
      <c r="M109" s="14" t="s">
        <v>43</v>
      </c>
      <c r="N109" s="14" t="s">
        <v>1098</v>
      </c>
      <c r="O109" s="16"/>
      <c r="P109" s="14"/>
      <c r="Q109" s="14"/>
      <c r="R109" s="14"/>
      <c r="S109" s="14"/>
      <c r="T109" s="14"/>
    </row>
    <row x14ac:dyDescent="0.25" r="110" customHeight="1" ht="18.75">
      <c r="A110" s="12">
        <v>46017</v>
      </c>
      <c r="B110" s="13" t="s">
        <v>1099</v>
      </c>
      <c r="C110" s="14" t="s">
        <v>123</v>
      </c>
      <c r="D110" s="14" t="s">
        <v>1069</v>
      </c>
      <c r="E110" s="14" t="s">
        <v>1096</v>
      </c>
      <c r="F110" s="14" t="s">
        <v>816</v>
      </c>
      <c r="G110" s="15" t="s">
        <v>1100</v>
      </c>
      <c r="H110" s="14" t="s">
        <v>26</v>
      </c>
      <c r="I110" s="16"/>
      <c r="J110" s="16">
        <v>757900</v>
      </c>
      <c r="K110" s="16">
        <v>662120</v>
      </c>
      <c r="L110" s="16">
        <f>J110-K110</f>
      </c>
      <c r="M110" s="14" t="s">
        <v>43</v>
      </c>
      <c r="N110" s="14" t="s">
        <v>1101</v>
      </c>
      <c r="O110" s="16"/>
      <c r="P110" s="14"/>
      <c r="Q110" s="14"/>
      <c r="R110" s="14"/>
      <c r="S110" s="14"/>
      <c r="T110" s="14"/>
    </row>
    <row x14ac:dyDescent="0.25" r="111" customHeight="1" ht="18.75">
      <c r="A111" s="12">
        <v>46017</v>
      </c>
      <c r="B111" s="13" t="s">
        <v>1102</v>
      </c>
      <c r="C111" s="14" t="s">
        <v>123</v>
      </c>
      <c r="D111" s="14" t="s">
        <v>1069</v>
      </c>
      <c r="E111" s="14" t="s">
        <v>1096</v>
      </c>
      <c r="F111" s="14" t="s">
        <v>816</v>
      </c>
      <c r="G111" s="15" t="s">
        <v>1103</v>
      </c>
      <c r="H111" s="14" t="s">
        <v>26</v>
      </c>
      <c r="I111" s="16"/>
      <c r="J111" s="16">
        <v>757900</v>
      </c>
      <c r="K111" s="16">
        <v>662120</v>
      </c>
      <c r="L111" s="16">
        <f>J111-K111</f>
      </c>
      <c r="M111" s="14" t="s">
        <v>43</v>
      </c>
      <c r="N111" s="14" t="s">
        <v>1104</v>
      </c>
      <c r="O111" s="16"/>
      <c r="P111" s="14"/>
      <c r="Q111" s="14"/>
      <c r="R111" s="14"/>
      <c r="S111" s="14"/>
      <c r="T111" s="14"/>
    </row>
    <row x14ac:dyDescent="0.25" r="112" customHeight="1" ht="18.75">
      <c r="A112" s="12">
        <v>46017</v>
      </c>
      <c r="B112" s="13" t="s">
        <v>1105</v>
      </c>
      <c r="C112" s="14" t="s">
        <v>123</v>
      </c>
      <c r="D112" s="14" t="s">
        <v>1106</v>
      </c>
      <c r="E112" s="14" t="s">
        <v>1107</v>
      </c>
      <c r="F112" s="14" t="s">
        <v>1108</v>
      </c>
      <c r="G112" s="15" t="s">
        <v>1109</v>
      </c>
      <c r="H112" s="14" t="s">
        <v>26</v>
      </c>
      <c r="I112" s="16">
        <v>153800</v>
      </c>
      <c r="J112" s="16">
        <v>549900</v>
      </c>
      <c r="K112" s="16">
        <v>513320</v>
      </c>
      <c r="L112" s="16">
        <f>J112-K112</f>
      </c>
      <c r="M112" s="14" t="s">
        <v>50</v>
      </c>
      <c r="N112" s="14" t="s">
        <v>1110</v>
      </c>
      <c r="O112" s="16"/>
      <c r="P112" s="14"/>
      <c r="Q112" s="14"/>
      <c r="R112" s="14"/>
      <c r="S112" s="14"/>
      <c r="T112" s="14"/>
    </row>
    <row x14ac:dyDescent="0.25" r="113" customHeight="1" ht="18.75">
      <c r="A113" s="12">
        <v>46017</v>
      </c>
      <c r="B113" s="13" t="s">
        <v>1111</v>
      </c>
      <c r="C113" s="14" t="s">
        <v>82</v>
      </c>
      <c r="D113" s="14" t="s">
        <v>1112</v>
      </c>
      <c r="E113" s="14" t="s">
        <v>1113</v>
      </c>
      <c r="F113" s="14" t="s">
        <v>1114</v>
      </c>
      <c r="G113" s="15" t="s">
        <v>91</v>
      </c>
      <c r="H113" s="14" t="s">
        <v>26</v>
      </c>
      <c r="I113" s="16"/>
      <c r="J113" s="16">
        <v>114000</v>
      </c>
      <c r="K113" s="16">
        <v>86540</v>
      </c>
      <c r="L113" s="16">
        <f>J113-K113</f>
      </c>
      <c r="M113" s="14" t="s">
        <v>43</v>
      </c>
      <c r="N113" s="14" t="s">
        <v>1115</v>
      </c>
      <c r="O113" s="16"/>
      <c r="P113" s="14"/>
      <c r="Q113" s="14"/>
      <c r="R113" s="14"/>
      <c r="S113" s="14"/>
      <c r="T113" s="14"/>
    </row>
    <row x14ac:dyDescent="0.25" r="114" customHeight="1" ht="18.75">
      <c r="A114" s="12">
        <v>46017</v>
      </c>
      <c r="B114" s="19">
        <v>45677</v>
      </c>
      <c r="C114" s="14" t="s">
        <v>106</v>
      </c>
      <c r="D114" s="14" t="s">
        <v>1116</v>
      </c>
      <c r="E114" s="14" t="s">
        <v>1117</v>
      </c>
      <c r="F114" s="14" t="s">
        <v>102</v>
      </c>
      <c r="G114" s="15" t="s">
        <v>108</v>
      </c>
      <c r="H114" s="14" t="s">
        <v>26</v>
      </c>
      <c r="I114" s="16"/>
      <c r="J114" s="16">
        <v>378000</v>
      </c>
      <c r="K114" s="16">
        <v>98400</v>
      </c>
      <c r="L114" s="16">
        <f>J114-K114</f>
      </c>
      <c r="M114" s="14" t="s">
        <v>43</v>
      </c>
      <c r="N114" s="14" t="s">
        <v>1118</v>
      </c>
      <c r="O114" s="16"/>
      <c r="P114" s="14"/>
      <c r="Q114" s="14"/>
      <c r="R114" s="14"/>
      <c r="S114" s="14"/>
      <c r="T114" s="14"/>
    </row>
    <row x14ac:dyDescent="0.25" r="115" customHeight="1" ht="18.75">
      <c r="A115" s="12">
        <v>46017</v>
      </c>
      <c r="B115" s="13" t="s">
        <v>1119</v>
      </c>
      <c r="C115" s="14" t="s">
        <v>46</v>
      </c>
      <c r="D115" s="14" t="s">
        <v>1120</v>
      </c>
      <c r="E115" s="14" t="s">
        <v>1121</v>
      </c>
      <c r="F115" s="14" t="s">
        <v>1122</v>
      </c>
      <c r="G115" s="15" t="s">
        <v>1123</v>
      </c>
      <c r="H115" s="14" t="s">
        <v>26</v>
      </c>
      <c r="I115" s="16"/>
      <c r="J115" s="16">
        <v>898900</v>
      </c>
      <c r="K115" s="16">
        <v>843420</v>
      </c>
      <c r="L115" s="16">
        <f>J115-K115</f>
      </c>
      <c r="M115" s="14" t="s">
        <v>50</v>
      </c>
      <c r="N115" s="14" t="s">
        <v>1124</v>
      </c>
      <c r="O115" s="16">
        <v>2</v>
      </c>
      <c r="P115" s="14"/>
      <c r="Q115" s="14"/>
      <c r="R115" s="14"/>
      <c r="S115" s="14"/>
      <c r="T115" s="14"/>
    </row>
    <row x14ac:dyDescent="0.25" r="116" customHeight="1" ht="18.75">
      <c r="A116" s="12">
        <v>46018</v>
      </c>
      <c r="B116" s="13" t="s">
        <v>1125</v>
      </c>
      <c r="C116" s="14" t="s">
        <v>106</v>
      </c>
      <c r="D116" s="14" t="s">
        <v>1126</v>
      </c>
      <c r="E116" s="14" t="s">
        <v>1127</v>
      </c>
      <c r="F116" s="14" t="s">
        <v>768</v>
      </c>
      <c r="G116" s="15" t="s">
        <v>773</v>
      </c>
      <c r="H116" s="14" t="s">
        <v>26</v>
      </c>
      <c r="I116" s="16"/>
      <c r="J116" s="16">
        <v>699500</v>
      </c>
      <c r="K116" s="16">
        <v>639500</v>
      </c>
      <c r="L116" s="16">
        <f>J116-K116</f>
      </c>
      <c r="M116" s="14" t="s">
        <v>50</v>
      </c>
      <c r="N116" s="14" t="s">
        <v>1128</v>
      </c>
      <c r="O116" s="16">
        <v>2</v>
      </c>
      <c r="P116" s="14"/>
      <c r="Q116" s="14"/>
      <c r="R116" s="14"/>
      <c r="S116" s="14"/>
      <c r="T116" s="14"/>
    </row>
    <row x14ac:dyDescent="0.25" r="117" customHeight="1" ht="18.75">
      <c r="A117" s="12">
        <v>46018</v>
      </c>
      <c r="B117" s="13" t="s">
        <v>1129</v>
      </c>
      <c r="C117" s="14" t="s">
        <v>106</v>
      </c>
      <c r="D117" s="14" t="s">
        <v>1126</v>
      </c>
      <c r="E117" s="14" t="s">
        <v>1130</v>
      </c>
      <c r="F117" s="14" t="s">
        <v>768</v>
      </c>
      <c r="G117" s="15" t="s">
        <v>1131</v>
      </c>
      <c r="H117" s="14" t="s">
        <v>26</v>
      </c>
      <c r="I117" s="16"/>
      <c r="J117" s="16">
        <v>498700</v>
      </c>
      <c r="K117" s="16">
        <v>423700</v>
      </c>
      <c r="L117" s="16">
        <f>J117-K117</f>
      </c>
      <c r="M117" s="14" t="s">
        <v>50</v>
      </c>
      <c r="N117" s="14" t="s">
        <v>1132</v>
      </c>
      <c r="O117" s="16">
        <v>2</v>
      </c>
      <c r="P117" s="14"/>
      <c r="Q117" s="14"/>
      <c r="R117" s="14"/>
      <c r="S117" s="14"/>
      <c r="T117" s="14"/>
    </row>
    <row x14ac:dyDescent="0.25" r="118" customHeight="1" ht="18.75">
      <c r="A118" s="12">
        <v>46018</v>
      </c>
      <c r="B118" s="13" t="s">
        <v>1129</v>
      </c>
      <c r="C118" s="14" t="s">
        <v>106</v>
      </c>
      <c r="D118" s="14" t="s">
        <v>1126</v>
      </c>
      <c r="E118" s="14" t="s">
        <v>1133</v>
      </c>
      <c r="F118" s="14" t="s">
        <v>768</v>
      </c>
      <c r="G118" s="15" t="s">
        <v>1134</v>
      </c>
      <c r="H118" s="14" t="s">
        <v>26</v>
      </c>
      <c r="I118" s="16"/>
      <c r="J118" s="16">
        <v>699500</v>
      </c>
      <c r="K118" s="16">
        <v>423700</v>
      </c>
      <c r="L118" s="16">
        <f>J118-K118</f>
      </c>
      <c r="M118" s="14" t="s">
        <v>50</v>
      </c>
      <c r="N118" s="14" t="s">
        <v>1135</v>
      </c>
      <c r="O118" s="16">
        <v>2</v>
      </c>
      <c r="P118" s="14"/>
      <c r="Q118" s="14"/>
      <c r="R118" s="14"/>
      <c r="S118" s="14"/>
      <c r="T118" s="14"/>
    </row>
    <row x14ac:dyDescent="0.25" r="119" customHeight="1" ht="18.75">
      <c r="A119" s="12">
        <v>46018</v>
      </c>
      <c r="B119" s="13" t="s">
        <v>1129</v>
      </c>
      <c r="C119" s="14" t="s">
        <v>106</v>
      </c>
      <c r="D119" s="14" t="s">
        <v>1126</v>
      </c>
      <c r="E119" s="14" t="s">
        <v>1136</v>
      </c>
      <c r="F119" s="14" t="s">
        <v>768</v>
      </c>
      <c r="G119" s="15" t="s">
        <v>1137</v>
      </c>
      <c r="H119" s="14" t="s">
        <v>26</v>
      </c>
      <c r="I119" s="16"/>
      <c r="J119" s="16">
        <v>698500</v>
      </c>
      <c r="K119" s="16">
        <v>621500</v>
      </c>
      <c r="L119" s="16">
        <f>J119-K119</f>
      </c>
      <c r="M119" s="14" t="s">
        <v>43</v>
      </c>
      <c r="N119" s="14" t="s">
        <v>1138</v>
      </c>
      <c r="O119" s="16"/>
      <c r="P119" s="14"/>
      <c r="Q119" s="14"/>
      <c r="R119" s="14"/>
      <c r="S119" s="14"/>
      <c r="T119" s="14"/>
    </row>
    <row x14ac:dyDescent="0.25" r="120" customHeight="1" ht="18.75">
      <c r="A120" s="12">
        <v>46018</v>
      </c>
      <c r="B120" s="13" t="s">
        <v>1139</v>
      </c>
      <c r="C120" s="14" t="s">
        <v>72</v>
      </c>
      <c r="D120" s="14" t="s">
        <v>1120</v>
      </c>
      <c r="E120" s="14" t="s">
        <v>1140</v>
      </c>
      <c r="F120" s="14" t="s">
        <v>1122</v>
      </c>
      <c r="G120" s="15" t="s">
        <v>1123</v>
      </c>
      <c r="H120" s="14" t="s">
        <v>26</v>
      </c>
      <c r="I120" s="16"/>
      <c r="J120" s="16">
        <v>989900</v>
      </c>
      <c r="K120" s="16">
        <v>832020</v>
      </c>
      <c r="L120" s="16">
        <f>J120-K120</f>
      </c>
      <c r="M120" s="14" t="s">
        <v>50</v>
      </c>
      <c r="N120" s="14" t="s">
        <v>1141</v>
      </c>
      <c r="O120" s="16"/>
      <c r="P120" s="14"/>
      <c r="Q120" s="14"/>
      <c r="R120" s="14"/>
      <c r="S120" s="14"/>
      <c r="T120" s="14"/>
    </row>
    <row x14ac:dyDescent="0.25" r="121" customHeight="1" ht="18.75">
      <c r="A121" s="12">
        <v>46018</v>
      </c>
      <c r="B121" s="13" t="s">
        <v>1142</v>
      </c>
      <c r="C121" s="14" t="s">
        <v>82</v>
      </c>
      <c r="D121" s="14" t="s">
        <v>546</v>
      </c>
      <c r="E121" s="14" t="s">
        <v>1143</v>
      </c>
      <c r="F121" s="14" t="s">
        <v>1144</v>
      </c>
      <c r="G121" s="15" t="s">
        <v>1145</v>
      </c>
      <c r="H121" s="14" t="s">
        <v>26</v>
      </c>
      <c r="I121" s="16"/>
      <c r="J121" s="16">
        <v>149900</v>
      </c>
      <c r="K121" s="16">
        <v>128340</v>
      </c>
      <c r="L121" s="16">
        <f>J121-K121</f>
      </c>
      <c r="M121" s="14" t="s">
        <v>43</v>
      </c>
      <c r="N121" s="14" t="s">
        <v>1146</v>
      </c>
      <c r="O121" s="16"/>
      <c r="P121" s="14"/>
      <c r="Q121" s="14"/>
      <c r="R121" s="14"/>
      <c r="S121" s="14"/>
      <c r="T121" s="14"/>
    </row>
    <row x14ac:dyDescent="0.25" r="122" customHeight="1" ht="18.75">
      <c r="A122" s="1">
        <v>46019</v>
      </c>
      <c r="B122" s="13" t="s">
        <v>1147</v>
      </c>
      <c r="C122" s="14" t="s">
        <v>82</v>
      </c>
      <c r="D122" s="14" t="s">
        <v>472</v>
      </c>
      <c r="E122" s="14" t="s">
        <v>1148</v>
      </c>
      <c r="F122" s="14" t="s">
        <v>1144</v>
      </c>
      <c r="G122" s="15" t="s">
        <v>25</v>
      </c>
      <c r="H122" s="14" t="s">
        <v>26</v>
      </c>
      <c r="I122" s="16"/>
      <c r="J122" s="16">
        <v>89900</v>
      </c>
      <c r="K122" s="16">
        <v>76770</v>
      </c>
      <c r="L122" s="16">
        <f>J122-K122</f>
      </c>
      <c r="M122" s="14" t="s">
        <v>43</v>
      </c>
      <c r="N122" s="14" t="s">
        <v>1149</v>
      </c>
      <c r="O122" s="16"/>
      <c r="P122" s="14"/>
      <c r="Q122" s="14"/>
      <c r="R122" s="14"/>
      <c r="S122" s="14"/>
      <c r="T122" s="14"/>
    </row>
    <row x14ac:dyDescent="0.25" r="123" customHeight="1" ht="18.75">
      <c r="A123" s="145">
        <v>46019</v>
      </c>
      <c r="B123" s="146" t="s">
        <v>1142</v>
      </c>
      <c r="C123" s="147" t="s">
        <v>82</v>
      </c>
      <c r="D123" s="147" t="s">
        <v>546</v>
      </c>
      <c r="E123" s="147" t="s">
        <v>1150</v>
      </c>
      <c r="F123" s="147" t="s">
        <v>1144</v>
      </c>
      <c r="G123" s="148" t="s">
        <v>1145</v>
      </c>
      <c r="H123" s="147" t="s">
        <v>26</v>
      </c>
      <c r="I123" s="149"/>
      <c r="J123" s="149">
        <v>23000</v>
      </c>
      <c r="K123" s="149">
        <v>18000</v>
      </c>
      <c r="L123" s="149">
        <f>J123-K123</f>
      </c>
      <c r="M123" s="147" t="s">
        <v>43</v>
      </c>
      <c r="N123" s="147" t="s">
        <v>1151</v>
      </c>
      <c r="O123" s="149" t="s">
        <v>33</v>
      </c>
      <c r="P123" s="147"/>
      <c r="Q123" s="147"/>
      <c r="R123" s="147"/>
      <c r="S123" s="34"/>
      <c r="T123" s="34"/>
    </row>
    <row x14ac:dyDescent="0.25" r="124" customHeight="1" ht="18.75">
      <c r="A124" s="12">
        <v>46020</v>
      </c>
      <c r="B124" s="13" t="s">
        <v>1152</v>
      </c>
      <c r="C124" s="14" t="s">
        <v>106</v>
      </c>
      <c r="D124" s="14" t="s">
        <v>1153</v>
      </c>
      <c r="E124" s="14" t="s">
        <v>1154</v>
      </c>
      <c r="F124" s="14" t="s">
        <v>1155</v>
      </c>
      <c r="G124" s="15" t="s">
        <v>1156</v>
      </c>
      <c r="H124" s="14" t="s">
        <v>26</v>
      </c>
      <c r="I124" s="16"/>
      <c r="J124" s="16">
        <v>840920</v>
      </c>
      <c r="K124" s="16">
        <v>800820</v>
      </c>
      <c r="L124" s="16">
        <f>J124-K124</f>
      </c>
      <c r="M124" s="14" t="s">
        <v>77</v>
      </c>
      <c r="N124" s="14" t="s">
        <v>1157</v>
      </c>
      <c r="O124" s="16"/>
      <c r="P124" s="34"/>
      <c r="Q124" s="34"/>
      <c r="R124" s="34"/>
      <c r="S124" s="34"/>
      <c r="T124" s="34"/>
    </row>
    <row x14ac:dyDescent="0.25" r="125" customHeight="1" ht="18.75">
      <c r="A125" s="12">
        <v>46020</v>
      </c>
      <c r="B125" s="19">
        <v>45659</v>
      </c>
      <c r="C125" s="14" t="s">
        <v>106</v>
      </c>
      <c r="D125" s="14" t="s">
        <v>1158</v>
      </c>
      <c r="E125" s="14" t="s">
        <v>1159</v>
      </c>
      <c r="F125" s="14" t="s">
        <v>1160</v>
      </c>
      <c r="G125" s="15" t="s">
        <v>1161</v>
      </c>
      <c r="H125" s="14" t="s">
        <v>26</v>
      </c>
      <c r="I125" s="16"/>
      <c r="J125" s="16">
        <v>198400</v>
      </c>
      <c r="K125" s="16">
        <v>98400</v>
      </c>
      <c r="L125" s="16">
        <f>J125-K125</f>
      </c>
      <c r="M125" s="14" t="s">
        <v>77</v>
      </c>
      <c r="N125" s="14" t="s">
        <v>1162</v>
      </c>
      <c r="O125" s="16" t="s">
        <v>33</v>
      </c>
      <c r="P125" s="34"/>
      <c r="Q125" s="34"/>
      <c r="R125" s="34"/>
      <c r="S125" s="34"/>
      <c r="T125" s="34"/>
    </row>
    <row x14ac:dyDescent="0.25" r="126" customHeight="1" ht="18.75">
      <c r="A126" s="12">
        <v>46020</v>
      </c>
      <c r="B126" s="13" t="s">
        <v>1163</v>
      </c>
      <c r="C126" s="14" t="s">
        <v>106</v>
      </c>
      <c r="D126" s="14" t="s">
        <v>1120</v>
      </c>
      <c r="E126" s="14" t="s">
        <v>1164</v>
      </c>
      <c r="F126" s="14" t="s">
        <v>1122</v>
      </c>
      <c r="G126" s="15" t="s">
        <v>1123</v>
      </c>
      <c r="H126" s="14" t="s">
        <v>26</v>
      </c>
      <c r="I126" s="16"/>
      <c r="J126" s="16">
        <v>129900</v>
      </c>
      <c r="K126" s="16">
        <v>87900</v>
      </c>
      <c r="L126" s="16">
        <f>J126-K126</f>
      </c>
      <c r="M126" s="14" t="s">
        <v>50</v>
      </c>
      <c r="N126" s="14" t="s">
        <v>1165</v>
      </c>
      <c r="O126" s="16" t="s">
        <v>33</v>
      </c>
      <c r="P126" s="34"/>
      <c r="Q126" s="34"/>
      <c r="R126" s="34"/>
      <c r="S126" s="34"/>
      <c r="T126" s="34"/>
    </row>
    <row x14ac:dyDescent="0.25" r="127" customHeight="1" ht="18.75">
      <c r="A127" s="12">
        <v>46020</v>
      </c>
      <c r="B127" s="13" t="s">
        <v>1166</v>
      </c>
      <c r="C127" s="14" t="s">
        <v>897</v>
      </c>
      <c r="D127" s="14" t="s">
        <v>1167</v>
      </c>
      <c r="E127" s="14" t="s">
        <v>1168</v>
      </c>
      <c r="F127" s="14" t="s">
        <v>1169</v>
      </c>
      <c r="G127" s="15" t="s">
        <v>1170</v>
      </c>
      <c r="H127" s="14" t="s">
        <v>26</v>
      </c>
      <c r="I127" s="16"/>
      <c r="J127" s="16">
        <v>423900</v>
      </c>
      <c r="K127" s="16">
        <v>373355</v>
      </c>
      <c r="L127" s="16">
        <f>J127-K127</f>
      </c>
      <c r="M127" s="14" t="s">
        <v>50</v>
      </c>
      <c r="N127" s="14" t="s">
        <v>1171</v>
      </c>
      <c r="O127" s="16">
        <v>2</v>
      </c>
      <c r="P127" s="34"/>
      <c r="Q127" s="34"/>
      <c r="R127" s="34"/>
      <c r="S127" s="34"/>
      <c r="T127" s="34"/>
    </row>
    <row x14ac:dyDescent="0.25" r="128" customHeight="1" ht="18.75">
      <c r="A128" s="12">
        <v>46020</v>
      </c>
      <c r="B128" s="13" t="s">
        <v>1172</v>
      </c>
      <c r="C128" s="14" t="s">
        <v>82</v>
      </c>
      <c r="D128" s="14" t="s">
        <v>1112</v>
      </c>
      <c r="E128" s="14" t="s">
        <v>1173</v>
      </c>
      <c r="F128" s="14" t="s">
        <v>90</v>
      </c>
      <c r="G128" s="15" t="s">
        <v>91</v>
      </c>
      <c r="H128" s="14" t="s">
        <v>26</v>
      </c>
      <c r="I128" s="16"/>
      <c r="J128" s="16">
        <v>26600</v>
      </c>
      <c r="K128" s="16">
        <v>20800</v>
      </c>
      <c r="L128" s="16">
        <f>J128-K128</f>
      </c>
      <c r="M128" s="14" t="s">
        <v>43</v>
      </c>
      <c r="N128" s="14" t="s">
        <v>1174</v>
      </c>
      <c r="O128" s="16" t="s">
        <v>33</v>
      </c>
      <c r="P128" s="34"/>
      <c r="Q128" s="34"/>
      <c r="R128" s="34"/>
      <c r="S128" s="34"/>
      <c r="T128" s="34"/>
    </row>
    <row x14ac:dyDescent="0.25" r="129" customHeight="1" ht="18.75">
      <c r="A129" s="12">
        <v>46021</v>
      </c>
      <c r="B129" s="13" t="s">
        <v>1175</v>
      </c>
      <c r="C129" s="14" t="s">
        <v>106</v>
      </c>
      <c r="D129" s="14" t="s">
        <v>992</v>
      </c>
      <c r="E129" s="14" t="s">
        <v>1176</v>
      </c>
      <c r="F129" s="14" t="s">
        <v>1177</v>
      </c>
      <c r="G129" s="15" t="s">
        <v>1178</v>
      </c>
      <c r="H129" s="14" t="s">
        <v>76</v>
      </c>
      <c r="I129" s="16"/>
      <c r="J129" s="16">
        <v>620800</v>
      </c>
      <c r="K129" s="16">
        <v>584320</v>
      </c>
      <c r="L129" s="16">
        <f>J129-K129</f>
      </c>
      <c r="M129" s="14" t="s">
        <v>77</v>
      </c>
      <c r="N129" s="14" t="s">
        <v>1179</v>
      </c>
      <c r="O129" s="16"/>
      <c r="P129" s="34"/>
      <c r="Q129" s="34"/>
      <c r="R129" s="34"/>
      <c r="S129" s="34"/>
      <c r="T129" s="34"/>
    </row>
    <row x14ac:dyDescent="0.25" r="130" customHeight="1" ht="18.75">
      <c r="A130" s="12">
        <v>46021</v>
      </c>
      <c r="B130" s="13" t="s">
        <v>1180</v>
      </c>
      <c r="C130" s="14" t="s">
        <v>106</v>
      </c>
      <c r="D130" s="14" t="s">
        <v>992</v>
      </c>
      <c r="E130" s="14" t="s">
        <v>1176</v>
      </c>
      <c r="F130" s="14" t="s">
        <v>1177</v>
      </c>
      <c r="G130" s="15" t="s">
        <v>1181</v>
      </c>
      <c r="H130" s="14" t="s">
        <v>76</v>
      </c>
      <c r="I130" s="16"/>
      <c r="J130" s="16">
        <v>565650</v>
      </c>
      <c r="K130" s="16">
        <v>520520</v>
      </c>
      <c r="L130" s="16">
        <f>J130-K130</f>
      </c>
      <c r="M130" s="14" t="s">
        <v>77</v>
      </c>
      <c r="N130" s="14" t="s">
        <v>1182</v>
      </c>
      <c r="O130" s="16"/>
      <c r="P130" s="34"/>
      <c r="Q130" s="34"/>
      <c r="R130" s="34"/>
      <c r="S130" s="34"/>
      <c r="T130" s="34"/>
    </row>
    <row x14ac:dyDescent="0.25" r="131" customHeight="1" ht="18.75">
      <c r="A131" s="12">
        <v>46021</v>
      </c>
      <c r="B131" s="13" t="s">
        <v>1183</v>
      </c>
      <c r="C131" s="14" t="s">
        <v>82</v>
      </c>
      <c r="D131" s="14" t="s">
        <v>1184</v>
      </c>
      <c r="E131" s="14" t="s">
        <v>1185</v>
      </c>
      <c r="F131" s="14" t="s">
        <v>1144</v>
      </c>
      <c r="G131" s="15" t="s">
        <v>1186</v>
      </c>
      <c r="H131" s="14" t="s">
        <v>26</v>
      </c>
      <c r="I131" s="16"/>
      <c r="J131" s="16">
        <v>93000</v>
      </c>
      <c r="K131" s="16">
        <v>78000</v>
      </c>
      <c r="L131" s="16">
        <f>J131-K131</f>
      </c>
      <c r="M131" s="14" t="s">
        <v>43</v>
      </c>
      <c r="N131" s="14" t="s">
        <v>1187</v>
      </c>
      <c r="O131" s="16"/>
      <c r="P131" s="34"/>
      <c r="Q131" s="34"/>
      <c r="R131" s="34"/>
      <c r="S131" s="34"/>
      <c r="T131" s="34"/>
    </row>
    <row x14ac:dyDescent="0.25" r="132" customHeight="1" ht="18.75">
      <c r="A132" s="12">
        <v>46021</v>
      </c>
      <c r="B132" s="13" t="s">
        <v>1183</v>
      </c>
      <c r="C132" s="14" t="s">
        <v>82</v>
      </c>
      <c r="D132" s="14" t="s">
        <v>1184</v>
      </c>
      <c r="E132" s="14" t="s">
        <v>1188</v>
      </c>
      <c r="F132" s="14" t="s">
        <v>1144</v>
      </c>
      <c r="G132" s="15" t="s">
        <v>1189</v>
      </c>
      <c r="H132" s="14" t="s">
        <v>26</v>
      </c>
      <c r="I132" s="16"/>
      <c r="J132" s="16">
        <v>93000</v>
      </c>
      <c r="K132" s="16">
        <v>85470</v>
      </c>
      <c r="L132" s="16">
        <f>J132-K132</f>
      </c>
      <c r="M132" s="14" t="s">
        <v>1190</v>
      </c>
      <c r="N132" s="14" t="s">
        <v>1191</v>
      </c>
      <c r="O132" s="16"/>
      <c r="P132" s="34"/>
      <c r="Q132" s="34"/>
      <c r="R132" s="34"/>
      <c r="S132" s="34"/>
      <c r="T132" s="34"/>
    </row>
    <row x14ac:dyDescent="0.25" r="133" customHeight="1" ht="18.75">
      <c r="A133" s="12">
        <v>46022</v>
      </c>
      <c r="B133" s="19">
        <v>46033</v>
      </c>
      <c r="C133" s="14" t="s">
        <v>53</v>
      </c>
      <c r="D133" s="14" t="s">
        <v>1192</v>
      </c>
      <c r="E133" s="34"/>
      <c r="F133" s="14" t="s">
        <v>928</v>
      </c>
      <c r="G133" s="15" t="s">
        <v>1193</v>
      </c>
      <c r="H133" s="14" t="s">
        <v>26</v>
      </c>
      <c r="I133" s="16"/>
      <c r="J133" s="16">
        <v>143900</v>
      </c>
      <c r="K133" s="16">
        <v>98400</v>
      </c>
      <c r="L133" s="16">
        <f>J133-K133</f>
      </c>
      <c r="M133" s="14" t="s">
        <v>53</v>
      </c>
      <c r="N133" s="14" t="s">
        <v>1194</v>
      </c>
      <c r="O133" s="16" t="s">
        <v>1195</v>
      </c>
      <c r="P133" s="34"/>
      <c r="Q133" s="34"/>
      <c r="R133" s="34"/>
      <c r="S133" s="34"/>
      <c r="T133" s="34"/>
    </row>
    <row x14ac:dyDescent="0.25" r="134" customHeight="1" ht="18.75">
      <c r="A134" s="12">
        <v>46022</v>
      </c>
      <c r="B134" s="19">
        <v>46024</v>
      </c>
      <c r="C134" s="14" t="s">
        <v>53</v>
      </c>
      <c r="D134" s="14" t="s">
        <v>1192</v>
      </c>
      <c r="E134" s="34"/>
      <c r="F134" s="14" t="s">
        <v>928</v>
      </c>
      <c r="G134" s="15" t="s">
        <v>1196</v>
      </c>
      <c r="H134" s="14" t="s">
        <v>26</v>
      </c>
      <c r="I134" s="16"/>
      <c r="J134" s="16">
        <v>98400</v>
      </c>
      <c r="K134" s="16">
        <v>98400</v>
      </c>
      <c r="L134" s="16">
        <f>J134-K134</f>
      </c>
      <c r="M134" s="14" t="s">
        <v>53</v>
      </c>
      <c r="N134" s="14" t="s">
        <v>1197</v>
      </c>
      <c r="O134" s="65" t="s">
        <v>1198</v>
      </c>
      <c r="P134" s="34"/>
      <c r="Q134" s="34"/>
      <c r="R134" s="34"/>
      <c r="S134" s="34"/>
      <c r="T134" s="34"/>
    </row>
    <row x14ac:dyDescent="0.25" r="135" customHeight="1" ht="18.75">
      <c r="A135" s="12"/>
      <c r="B135" s="19"/>
      <c r="C135" s="34"/>
      <c r="D135" s="34"/>
      <c r="E135" s="34"/>
      <c r="F135" s="34"/>
      <c r="G135" s="15"/>
      <c r="H135" s="34"/>
      <c r="I135" s="16"/>
      <c r="J135" s="16"/>
      <c r="K135" s="16"/>
      <c r="L135" s="16">
        <f>J135-K135</f>
      </c>
      <c r="M135" s="34"/>
      <c r="N135" s="34"/>
      <c r="O135" s="16"/>
      <c r="P135" s="34"/>
      <c r="Q135" s="34"/>
      <c r="R135" s="34"/>
      <c r="S135" s="34"/>
      <c r="T135" s="34"/>
    </row>
    <row x14ac:dyDescent="0.25" r="136" customHeight="1" ht="18.75">
      <c r="A136" s="12"/>
      <c r="B136" s="19"/>
      <c r="C136" s="34"/>
      <c r="D136" s="34"/>
      <c r="E136" s="34"/>
      <c r="F136" s="34"/>
      <c r="G136" s="15"/>
      <c r="H136" s="34"/>
      <c r="I136" s="16"/>
      <c r="J136" s="16"/>
      <c r="K136" s="16"/>
      <c r="L136" s="16">
        <f>J136-K136</f>
      </c>
      <c r="M136" s="34"/>
      <c r="N136" s="34"/>
      <c r="O136" s="16"/>
      <c r="P136" s="34"/>
      <c r="Q136" s="34"/>
      <c r="R136" s="34"/>
      <c r="S136" s="34"/>
      <c r="T136" s="34"/>
    </row>
    <row x14ac:dyDescent="0.25" r="137" customHeight="1" ht="18.75">
      <c r="A137" s="12"/>
      <c r="B137" s="19"/>
      <c r="C137" s="34"/>
      <c r="D137" s="34"/>
      <c r="E137" s="34"/>
      <c r="F137" s="34"/>
      <c r="G137" s="15"/>
      <c r="H137" s="34"/>
      <c r="I137" s="16"/>
      <c r="J137" s="16"/>
      <c r="K137" s="16"/>
      <c r="L137" s="16">
        <f>J137-K137</f>
      </c>
      <c r="M137" s="34"/>
      <c r="N137" s="34"/>
      <c r="O137" s="16"/>
      <c r="P137" s="34"/>
      <c r="Q137" s="34"/>
      <c r="R137" s="34"/>
      <c r="S137" s="34"/>
      <c r="T137" s="34"/>
    </row>
    <row x14ac:dyDescent="0.25" r="138" customHeight="1" ht="18.75">
      <c r="A138" s="12"/>
      <c r="B138" s="19"/>
      <c r="C138" s="34"/>
      <c r="D138" s="34"/>
      <c r="E138" s="34"/>
      <c r="F138" s="34"/>
      <c r="G138" s="15"/>
      <c r="H138" s="34"/>
      <c r="I138" s="16"/>
      <c r="J138" s="16"/>
      <c r="K138" s="16"/>
      <c r="L138" s="16">
        <f>J138-K138</f>
      </c>
      <c r="M138" s="34"/>
      <c r="N138" s="34"/>
      <c r="O138" s="16"/>
      <c r="P138" s="34"/>
      <c r="Q138" s="34"/>
      <c r="R138" s="34"/>
      <c r="S138" s="34"/>
      <c r="T138" s="34"/>
    </row>
    <row x14ac:dyDescent="0.25" r="139" customHeight="1" ht="18.75">
      <c r="A139" s="12"/>
      <c r="B139" s="19"/>
      <c r="C139" s="34"/>
      <c r="D139" s="34"/>
      <c r="E139" s="34"/>
      <c r="F139" s="34"/>
      <c r="G139" s="15"/>
      <c r="H139" s="34"/>
      <c r="I139" s="16"/>
      <c r="J139" s="16"/>
      <c r="K139" s="16"/>
      <c r="L139" s="16">
        <f>J139-K139</f>
      </c>
      <c r="M139" s="34"/>
      <c r="N139" s="34"/>
      <c r="O139" s="16"/>
      <c r="P139" s="34"/>
      <c r="Q139" s="34"/>
      <c r="R139" s="34"/>
      <c r="S139" s="34"/>
      <c r="T139" s="34"/>
    </row>
    <row x14ac:dyDescent="0.25" r="140" customHeight="1" ht="18.75">
      <c r="A140" s="12"/>
      <c r="B140" s="19"/>
      <c r="C140" s="34"/>
      <c r="D140" s="34"/>
      <c r="E140" s="34"/>
      <c r="F140" s="34"/>
      <c r="G140" s="15"/>
      <c r="H140" s="34"/>
      <c r="I140" s="16"/>
      <c r="J140" s="16"/>
      <c r="K140" s="16"/>
      <c r="L140" s="16">
        <f>J140-K140</f>
      </c>
      <c r="M140" s="34"/>
      <c r="N140" s="34"/>
      <c r="O140" s="16"/>
      <c r="P140" s="34"/>
      <c r="Q140" s="34"/>
      <c r="R140" s="34"/>
      <c r="S140" s="34"/>
      <c r="T140" s="34"/>
    </row>
    <row x14ac:dyDescent="0.25" r="141" customHeight="1" ht="18.75">
      <c r="A141" s="12"/>
      <c r="B141" s="19"/>
      <c r="C141" s="34"/>
      <c r="D141" s="34"/>
      <c r="E141" s="34"/>
      <c r="F141" s="34"/>
      <c r="G141" s="15"/>
      <c r="H141" s="34"/>
      <c r="I141" s="16"/>
      <c r="J141" s="16"/>
      <c r="K141" s="16"/>
      <c r="L141" s="16">
        <f>J141-K141</f>
      </c>
      <c r="M141" s="34"/>
      <c r="N141" s="34"/>
      <c r="O141" s="16"/>
      <c r="P141" s="34"/>
      <c r="Q141" s="34"/>
      <c r="R141" s="34"/>
      <c r="S141" s="34"/>
      <c r="T141" s="34"/>
    </row>
    <row x14ac:dyDescent="0.25" r="142" customHeight="1" ht="18.75">
      <c r="A142" s="12" t="s">
        <v>1199</v>
      </c>
      <c r="B142" s="19"/>
      <c r="C142" s="34"/>
      <c r="D142" s="34"/>
      <c r="E142" s="34"/>
      <c r="F142" s="34"/>
      <c r="G142" s="15"/>
      <c r="H142" s="34"/>
      <c r="I142" s="16"/>
      <c r="J142" s="16">
        <f>SUM(J2:J141)</f>
      </c>
      <c r="K142" s="16">
        <f>SUM(K2:K141)</f>
      </c>
      <c r="L142" s="16">
        <f>J142-K142</f>
      </c>
      <c r="M142" s="34"/>
      <c r="N142" s="34"/>
      <c r="O142" s="16"/>
      <c r="P142" s="34"/>
      <c r="Q142" s="34"/>
      <c r="R142" s="34"/>
      <c r="S142" s="34"/>
      <c r="T142" s="34"/>
    </row>
    <row x14ac:dyDescent="0.25" r="143" customHeight="1" ht="18.75">
      <c r="A143" s="1"/>
      <c r="B143" s="150"/>
      <c r="C143" s="34"/>
      <c r="D143" s="34"/>
      <c r="E143" s="34"/>
      <c r="F143" s="34"/>
      <c r="G143" s="5"/>
      <c r="H143" s="34"/>
      <c r="I143" s="6"/>
      <c r="J143" s="6"/>
      <c r="K143" s="6"/>
      <c r="L143" s="151">
        <f>J143-K143</f>
      </c>
      <c r="M143" s="34"/>
      <c r="N143" s="34"/>
      <c r="O143" s="6"/>
      <c r="P143" s="34"/>
      <c r="Q143" s="34"/>
      <c r="R143" s="34"/>
      <c r="S143" s="34"/>
      <c r="T143" s="34"/>
    </row>
    <row x14ac:dyDescent="0.25" r="144" customHeight="1" ht="18.75">
      <c r="A144" s="1"/>
      <c r="B144" s="150"/>
      <c r="C144" s="34"/>
      <c r="D144" s="34"/>
      <c r="E144" s="34"/>
      <c r="F144" s="34"/>
      <c r="G144" s="34"/>
      <c r="H144" s="34"/>
      <c r="I144" s="29"/>
      <c r="J144" s="29"/>
      <c r="K144" s="29"/>
      <c r="L144" s="16">
        <f>J144-K144</f>
      </c>
      <c r="M144" s="34"/>
      <c r="N144" s="34"/>
      <c r="O144" s="29"/>
      <c r="P144" s="34"/>
      <c r="Q144" s="34"/>
      <c r="R144" s="34"/>
      <c r="S144" s="34"/>
      <c r="T144" s="34"/>
    </row>
    <row x14ac:dyDescent="0.25" r="145" customHeight="1" ht="18.75">
      <c r="A145" s="1"/>
      <c r="B145" s="150"/>
      <c r="C145" s="34"/>
      <c r="D145" s="34"/>
      <c r="E145" s="34"/>
      <c r="F145" s="34"/>
      <c r="G145" s="34"/>
      <c r="H145" s="34"/>
      <c r="I145" s="29"/>
      <c r="J145" s="29"/>
      <c r="K145" s="29"/>
      <c r="L145" s="16">
        <f>J145-K145</f>
      </c>
      <c r="M145" s="34"/>
      <c r="N145" s="34"/>
      <c r="O145" s="29"/>
      <c r="P145" s="34"/>
      <c r="Q145" s="34"/>
      <c r="R145" s="34"/>
      <c r="S145" s="34"/>
      <c r="T145" s="34"/>
    </row>
    <row x14ac:dyDescent="0.25" r="146" customHeight="1" ht="18.75">
      <c r="A146" s="1"/>
      <c r="B146" s="150"/>
      <c r="C146" s="34"/>
      <c r="D146" s="34"/>
      <c r="E146" s="34"/>
      <c r="F146" s="34"/>
      <c r="G146" s="34"/>
      <c r="H146" s="34"/>
      <c r="I146" s="29"/>
      <c r="J146" s="29"/>
      <c r="K146" s="29"/>
      <c r="L146" s="16">
        <f>J146-K146</f>
      </c>
      <c r="M146" s="34"/>
      <c r="N146" s="34"/>
      <c r="O146" s="29"/>
      <c r="P146" s="34"/>
      <c r="Q146" s="34"/>
      <c r="R146" s="34"/>
      <c r="S146" s="34"/>
      <c r="T146" s="34"/>
    </row>
    <row x14ac:dyDescent="0.25" r="147" customHeight="1" ht="18.75">
      <c r="A147" s="1"/>
      <c r="B147" s="150"/>
      <c r="C147" s="34"/>
      <c r="D147" s="34"/>
      <c r="E147" s="34"/>
      <c r="F147" s="34"/>
      <c r="G147" s="34"/>
      <c r="H147" s="34"/>
      <c r="I147" s="29"/>
      <c r="J147" s="29"/>
      <c r="K147" s="29"/>
      <c r="L147" s="16">
        <f>J147-K147</f>
      </c>
      <c r="M147" s="34"/>
      <c r="N147" s="34"/>
      <c r="O147" s="29"/>
      <c r="P147" s="34"/>
      <c r="Q147" s="34"/>
      <c r="R147" s="34"/>
      <c r="S147" s="34"/>
      <c r="T147" s="34"/>
    </row>
    <row x14ac:dyDescent="0.25" r="148" customHeight="1" ht="18.75">
      <c r="A148" s="1"/>
      <c r="B148" s="150"/>
      <c r="C148" s="34"/>
      <c r="D148" s="34"/>
      <c r="E148" s="34"/>
      <c r="F148" s="34"/>
      <c r="G148" s="34"/>
      <c r="H148" s="34"/>
      <c r="I148" s="29"/>
      <c r="J148" s="29"/>
      <c r="K148" s="29"/>
      <c r="L148" s="16">
        <f>J148-K148</f>
      </c>
      <c r="M148" s="34"/>
      <c r="N148" s="34"/>
      <c r="O148" s="29"/>
      <c r="P148" s="34"/>
      <c r="Q148" s="34"/>
      <c r="R148" s="34"/>
      <c r="S148" s="34"/>
      <c r="T148" s="34"/>
    </row>
    <row x14ac:dyDescent="0.25" r="149" customHeight="1" ht="18.75">
      <c r="A149" s="1"/>
      <c r="B149" s="150"/>
      <c r="C149" s="34"/>
      <c r="D149" s="34"/>
      <c r="E149" s="34"/>
      <c r="F149" s="34"/>
      <c r="G149" s="34"/>
      <c r="H149" s="34"/>
      <c r="I149" s="29"/>
      <c r="J149" s="29"/>
      <c r="K149" s="29"/>
      <c r="L149" s="16">
        <f>J149-K149</f>
      </c>
      <c r="M149" s="34"/>
      <c r="N149" s="34"/>
      <c r="O149" s="29"/>
      <c r="P149" s="34"/>
      <c r="Q149" s="34"/>
      <c r="R149" s="34"/>
      <c r="S149" s="34"/>
      <c r="T149" s="34"/>
    </row>
    <row x14ac:dyDescent="0.25" r="150" customHeight="1" ht="18.75">
      <c r="A150" s="1"/>
      <c r="B150" s="150"/>
      <c r="C150" s="34"/>
      <c r="D150" s="34"/>
      <c r="E150" s="34"/>
      <c r="F150" s="34"/>
      <c r="G150" s="34"/>
      <c r="H150" s="34"/>
      <c r="I150" s="29"/>
      <c r="J150" s="29"/>
      <c r="K150" s="29"/>
      <c r="L150" s="16">
        <f>J150-K150</f>
      </c>
      <c r="M150" s="34"/>
      <c r="N150" s="34"/>
      <c r="O150" s="29"/>
      <c r="P150" s="34"/>
      <c r="Q150" s="34"/>
      <c r="R150" s="34"/>
      <c r="S150" s="34"/>
      <c r="T150" s="34"/>
    </row>
    <row x14ac:dyDescent="0.25" r="151" customHeight="1" ht="18.75">
      <c r="A151" s="1"/>
      <c r="B151" s="150"/>
      <c r="C151" s="34"/>
      <c r="D151" s="34"/>
      <c r="E151" s="34"/>
      <c r="F151" s="34"/>
      <c r="G151" s="34"/>
      <c r="H151" s="34"/>
      <c r="I151" s="29"/>
      <c r="J151" s="29"/>
      <c r="K151" s="29"/>
      <c r="L151" s="16">
        <f>J151-K151</f>
      </c>
      <c r="M151" s="34"/>
      <c r="N151" s="34"/>
      <c r="O151" s="29"/>
      <c r="P151" s="34"/>
      <c r="Q151" s="34"/>
      <c r="R151" s="34"/>
      <c r="S151" s="34"/>
      <c r="T151" s="34"/>
    </row>
    <row x14ac:dyDescent="0.25" r="152" customHeight="1" ht="18.75">
      <c r="A152" s="1"/>
      <c r="B152" s="150"/>
      <c r="C152" s="34"/>
      <c r="D152" s="34"/>
      <c r="E152" s="34"/>
      <c r="F152" s="34"/>
      <c r="G152" s="34"/>
      <c r="H152" s="34"/>
      <c r="I152" s="29"/>
      <c r="J152" s="29"/>
      <c r="K152" s="29"/>
      <c r="L152" s="16">
        <f>J152-K152</f>
      </c>
      <c r="M152" s="34"/>
      <c r="N152" s="34"/>
      <c r="O152" s="29"/>
      <c r="P152" s="34"/>
      <c r="Q152" s="34"/>
      <c r="R152" s="34"/>
      <c r="S152" s="34"/>
      <c r="T152" s="34"/>
    </row>
    <row x14ac:dyDescent="0.25" r="153" customHeight="1" ht="18.75">
      <c r="A153" s="1"/>
      <c r="B153" s="150"/>
      <c r="C153" s="34"/>
      <c r="D153" s="34"/>
      <c r="E153" s="34"/>
      <c r="F153" s="34"/>
      <c r="G153" s="34"/>
      <c r="H153" s="34"/>
      <c r="I153" s="29"/>
      <c r="J153" s="29"/>
      <c r="K153" s="29"/>
      <c r="L153" s="16">
        <f>J153-K153</f>
      </c>
      <c r="M153" s="34"/>
      <c r="N153" s="34"/>
      <c r="O153" s="29"/>
      <c r="P153" s="34"/>
      <c r="Q153" s="34"/>
      <c r="R153" s="34"/>
      <c r="S153" s="34"/>
      <c r="T153" s="34"/>
    </row>
    <row x14ac:dyDescent="0.25" r="154" customHeight="1" ht="18.75">
      <c r="A154" s="1"/>
      <c r="B154" s="150"/>
      <c r="C154" s="34"/>
      <c r="D154" s="34"/>
      <c r="E154" s="34"/>
      <c r="F154" s="34"/>
      <c r="G154" s="34"/>
      <c r="H154" s="34"/>
      <c r="I154" s="29"/>
      <c r="J154" s="29"/>
      <c r="K154" s="29"/>
      <c r="L154" s="16">
        <f>J154-K154</f>
      </c>
      <c r="M154" s="34"/>
      <c r="N154" s="34"/>
      <c r="O154" s="29"/>
      <c r="P154" s="34"/>
      <c r="Q154" s="34"/>
      <c r="R154" s="34"/>
      <c r="S154" s="34"/>
      <c r="T154" s="34"/>
    </row>
    <row x14ac:dyDescent="0.25" r="155" customHeight="1" ht="18.75">
      <c r="A155" s="1"/>
      <c r="B155" s="150"/>
      <c r="C155" s="34"/>
      <c r="D155" s="34"/>
      <c r="E155" s="34"/>
      <c r="F155" s="34"/>
      <c r="G155" s="34"/>
      <c r="H155" s="34"/>
      <c r="I155" s="29"/>
      <c r="J155" s="29"/>
      <c r="K155" s="29"/>
      <c r="L155" s="16">
        <f>J155-K155</f>
      </c>
      <c r="M155" s="34"/>
      <c r="N155" s="34"/>
      <c r="O155" s="29"/>
      <c r="P155" s="34"/>
      <c r="Q155" s="34"/>
      <c r="R155" s="34"/>
      <c r="S155" s="34"/>
      <c r="T155" s="34"/>
    </row>
    <row x14ac:dyDescent="0.25" r="156" customHeight="1" ht="18.75">
      <c r="A156" s="1"/>
      <c r="B156" s="150"/>
      <c r="C156" s="34"/>
      <c r="D156" s="34"/>
      <c r="E156" s="34"/>
      <c r="F156" s="34"/>
      <c r="G156" s="34"/>
      <c r="H156" s="34"/>
      <c r="I156" s="29"/>
      <c r="J156" s="29"/>
      <c r="K156" s="29"/>
      <c r="L156" s="16">
        <f>J156-K156</f>
      </c>
      <c r="M156" s="34"/>
      <c r="N156" s="34"/>
      <c r="O156" s="29"/>
      <c r="P156" s="34"/>
      <c r="Q156" s="34"/>
      <c r="R156" s="34"/>
      <c r="S156" s="34"/>
      <c r="T156" s="34"/>
    </row>
    <row x14ac:dyDescent="0.25" r="157" customHeight="1" ht="18.75">
      <c r="A157" s="1"/>
      <c r="B157" s="150"/>
      <c r="C157" s="34"/>
      <c r="D157" s="34"/>
      <c r="E157" s="34"/>
      <c r="F157" s="34"/>
      <c r="G157" s="34"/>
      <c r="H157" s="34"/>
      <c r="I157" s="29"/>
      <c r="J157" s="29"/>
      <c r="K157" s="29"/>
      <c r="L157" s="16">
        <f>J157-K157</f>
      </c>
      <c r="M157" s="34"/>
      <c r="N157" s="34"/>
      <c r="O157" s="29"/>
      <c r="P157" s="34"/>
      <c r="Q157" s="34"/>
      <c r="R157" s="34"/>
      <c r="S157" s="34"/>
      <c r="T157" s="34"/>
    </row>
    <row x14ac:dyDescent="0.25" r="158" customHeight="1" ht="18.75">
      <c r="A158" s="1"/>
      <c r="B158" s="150"/>
      <c r="C158" s="34"/>
      <c r="D158" s="34"/>
      <c r="E158" s="34"/>
      <c r="F158" s="34"/>
      <c r="G158" s="34"/>
      <c r="H158" s="34"/>
      <c r="I158" s="29"/>
      <c r="J158" s="29"/>
      <c r="K158" s="29"/>
      <c r="L158" s="16">
        <f>J158-K158</f>
      </c>
      <c r="M158" s="34"/>
      <c r="N158" s="34"/>
      <c r="O158" s="29"/>
      <c r="P158" s="34"/>
      <c r="Q158" s="34"/>
      <c r="R158" s="34"/>
      <c r="S158" s="34"/>
      <c r="T158" s="34"/>
    </row>
    <row x14ac:dyDescent="0.25" r="159" customHeight="1" ht="18.75">
      <c r="A159" s="1"/>
      <c r="B159" s="150"/>
      <c r="C159" s="34"/>
      <c r="D159" s="34"/>
      <c r="E159" s="34"/>
      <c r="F159" s="34"/>
      <c r="G159" s="34"/>
      <c r="H159" s="34"/>
      <c r="I159" s="29"/>
      <c r="J159" s="29"/>
      <c r="K159" s="29"/>
      <c r="L159" s="16">
        <f>J159-K159</f>
      </c>
      <c r="M159" s="34"/>
      <c r="N159" s="34"/>
      <c r="O159" s="29"/>
      <c r="P159" s="34"/>
      <c r="Q159" s="34"/>
      <c r="R159" s="34"/>
      <c r="S159" s="34"/>
      <c r="T159" s="34"/>
    </row>
    <row x14ac:dyDescent="0.25" r="160" customHeight="1" ht="18.75">
      <c r="A160" s="1"/>
      <c r="B160" s="150"/>
      <c r="C160" s="34"/>
      <c r="D160" s="34"/>
      <c r="E160" s="34"/>
      <c r="F160" s="34"/>
      <c r="G160" s="34"/>
      <c r="H160" s="34"/>
      <c r="I160" s="29"/>
      <c r="J160" s="29"/>
      <c r="K160" s="29"/>
      <c r="L160" s="16">
        <f>J160-K160</f>
      </c>
      <c r="M160" s="34"/>
      <c r="N160" s="34"/>
      <c r="O160" s="29"/>
      <c r="P160" s="34"/>
      <c r="Q160" s="34"/>
      <c r="R160" s="34"/>
      <c r="S160" s="34"/>
      <c r="T160" s="34"/>
    </row>
    <row x14ac:dyDescent="0.25" r="161" customHeight="1" ht="18.75">
      <c r="A161" s="1"/>
      <c r="B161" s="150"/>
      <c r="C161" s="34"/>
      <c r="D161" s="34"/>
      <c r="E161" s="34"/>
      <c r="F161" s="34"/>
      <c r="G161" s="34"/>
      <c r="H161" s="34"/>
      <c r="I161" s="29"/>
      <c r="J161" s="29"/>
      <c r="K161" s="29"/>
      <c r="L161" s="16">
        <f>J161-K161</f>
      </c>
      <c r="M161" s="34"/>
      <c r="N161" s="34"/>
      <c r="O161" s="29"/>
      <c r="P161" s="34"/>
      <c r="Q161" s="34"/>
      <c r="R161" s="34"/>
      <c r="S161" s="34"/>
      <c r="T161" s="34"/>
    </row>
    <row x14ac:dyDescent="0.25" r="162" customHeight="1" ht="18.75">
      <c r="A162" s="1"/>
      <c r="B162" s="150"/>
      <c r="C162" s="34"/>
      <c r="D162" s="34"/>
      <c r="E162" s="34"/>
      <c r="F162" s="34"/>
      <c r="G162" s="34"/>
      <c r="H162" s="34"/>
      <c r="I162" s="29"/>
      <c r="J162" s="29"/>
      <c r="K162" s="29"/>
      <c r="L162" s="16">
        <f>J162-K162</f>
      </c>
      <c r="M162" s="34"/>
      <c r="N162" s="34"/>
      <c r="O162" s="29"/>
      <c r="P162" s="34"/>
      <c r="Q162" s="34"/>
      <c r="R162" s="34"/>
      <c r="S162" s="34"/>
      <c r="T162" s="34"/>
    </row>
    <row x14ac:dyDescent="0.25" r="163" customHeight="1" ht="18.75">
      <c r="A163" s="1"/>
      <c r="B163" s="150"/>
      <c r="C163" s="34"/>
      <c r="D163" s="34"/>
      <c r="E163" s="34"/>
      <c r="F163" s="34"/>
      <c r="G163" s="34"/>
      <c r="H163" s="34"/>
      <c r="I163" s="29"/>
      <c r="J163" s="29"/>
      <c r="K163" s="29"/>
      <c r="L163" s="16">
        <f>J163-K163</f>
      </c>
      <c r="M163" s="34"/>
      <c r="N163" s="34"/>
      <c r="O163" s="29"/>
      <c r="P163" s="34"/>
      <c r="Q163" s="34"/>
      <c r="R163" s="34"/>
      <c r="S163" s="34"/>
      <c r="T163" s="34"/>
    </row>
    <row x14ac:dyDescent="0.25" r="164" customHeight="1" ht="18.75">
      <c r="A164" s="1"/>
      <c r="B164" s="150"/>
      <c r="C164" s="34"/>
      <c r="D164" s="34"/>
      <c r="E164" s="34"/>
      <c r="F164" s="34"/>
      <c r="G164" s="34"/>
      <c r="H164" s="34"/>
      <c r="I164" s="29"/>
      <c r="J164" s="29"/>
      <c r="K164" s="29"/>
      <c r="L164" s="16">
        <f>J164-K164</f>
      </c>
      <c r="M164" s="34"/>
      <c r="N164" s="34"/>
      <c r="O164" s="29"/>
      <c r="P164" s="34"/>
      <c r="Q164" s="34"/>
      <c r="R164" s="34"/>
      <c r="S164" s="34"/>
      <c r="T164" s="34"/>
    </row>
    <row x14ac:dyDescent="0.25" r="165" customHeight="1" ht="18.75">
      <c r="A165" s="1"/>
      <c r="B165" s="150"/>
      <c r="C165" s="34"/>
      <c r="D165" s="34"/>
      <c r="E165" s="34"/>
      <c r="F165" s="34"/>
      <c r="G165" s="34"/>
      <c r="H165" s="34"/>
      <c r="I165" s="29"/>
      <c r="J165" s="29"/>
      <c r="K165" s="29"/>
      <c r="L165" s="16">
        <f>J165-K165</f>
      </c>
      <c r="M165" s="34"/>
      <c r="N165" s="34"/>
      <c r="O165" s="29"/>
      <c r="P165" s="34"/>
      <c r="Q165" s="34"/>
      <c r="R165" s="34"/>
      <c r="S165" s="34"/>
      <c r="T165" s="34"/>
    </row>
    <row x14ac:dyDescent="0.25" r="166" customHeight="1" ht="18.75">
      <c r="A166" s="1"/>
      <c r="B166" s="150"/>
      <c r="C166" s="34"/>
      <c r="D166" s="34"/>
      <c r="E166" s="34"/>
      <c r="F166" s="34"/>
      <c r="G166" s="34"/>
      <c r="H166" s="34"/>
      <c r="I166" s="29"/>
      <c r="J166" s="29"/>
      <c r="K166" s="29"/>
      <c r="L166" s="16">
        <f>J166-K166</f>
      </c>
      <c r="M166" s="34"/>
      <c r="N166" s="34"/>
      <c r="O166" s="29"/>
      <c r="P166" s="34"/>
      <c r="Q166" s="34"/>
      <c r="R166" s="34"/>
      <c r="S166" s="34"/>
      <c r="T166" s="34"/>
    </row>
    <row x14ac:dyDescent="0.25" r="167" customHeight="1" ht="18.75">
      <c r="A167" s="1"/>
      <c r="B167" s="150"/>
      <c r="C167" s="34"/>
      <c r="D167" s="34"/>
      <c r="E167" s="34"/>
      <c r="F167" s="34"/>
      <c r="G167" s="34"/>
      <c r="H167" s="34"/>
      <c r="I167" s="29"/>
      <c r="J167" s="29"/>
      <c r="K167" s="29"/>
      <c r="L167" s="16">
        <f>J167-K167</f>
      </c>
      <c r="M167" s="34"/>
      <c r="N167" s="34"/>
      <c r="O167" s="29"/>
      <c r="P167" s="34"/>
      <c r="Q167" s="34"/>
      <c r="R167" s="34"/>
      <c r="S167" s="34"/>
      <c r="T167" s="34"/>
    </row>
    <row x14ac:dyDescent="0.25" r="168" customHeight="1" ht="18.75">
      <c r="A168" s="1"/>
      <c r="B168" s="150"/>
      <c r="C168" s="34"/>
      <c r="D168" s="34"/>
      <c r="E168" s="34"/>
      <c r="F168" s="34"/>
      <c r="G168" s="34"/>
      <c r="H168" s="34"/>
      <c r="I168" s="29"/>
      <c r="J168" s="29"/>
      <c r="K168" s="29"/>
      <c r="L168" s="16">
        <f>J168-K168</f>
      </c>
      <c r="M168" s="34"/>
      <c r="N168" s="34"/>
      <c r="O168" s="29"/>
      <c r="P168" s="34"/>
      <c r="Q168" s="34"/>
      <c r="R168" s="34"/>
      <c r="S168" s="34"/>
      <c r="T168" s="34"/>
    </row>
    <row x14ac:dyDescent="0.25" r="169" customHeight="1" ht="18.75">
      <c r="A169" s="1"/>
      <c r="B169" s="150"/>
      <c r="C169" s="34"/>
      <c r="D169" s="34"/>
      <c r="E169" s="34"/>
      <c r="F169" s="34"/>
      <c r="G169" s="34"/>
      <c r="H169" s="34"/>
      <c r="I169" s="29"/>
      <c r="J169" s="29"/>
      <c r="K169" s="29"/>
      <c r="L169" s="16">
        <f>J169-K169</f>
      </c>
      <c r="M169" s="34"/>
      <c r="N169" s="34"/>
      <c r="O169" s="29"/>
      <c r="P169" s="34"/>
      <c r="Q169" s="34"/>
      <c r="R169" s="34"/>
      <c r="S169" s="34"/>
      <c r="T169" s="34"/>
    </row>
    <row x14ac:dyDescent="0.25" r="170" customHeight="1" ht="18.75">
      <c r="A170" s="1"/>
      <c r="B170" s="150"/>
      <c r="C170" s="34"/>
      <c r="D170" s="34"/>
      <c r="E170" s="34"/>
      <c r="F170" s="34"/>
      <c r="G170" s="34"/>
      <c r="H170" s="34"/>
      <c r="I170" s="29"/>
      <c r="J170" s="29"/>
      <c r="K170" s="29"/>
      <c r="L170" s="16">
        <f>J170-K170</f>
      </c>
      <c r="M170" s="34"/>
      <c r="N170" s="34"/>
      <c r="O170" s="29"/>
      <c r="P170" s="34"/>
      <c r="Q170" s="34"/>
      <c r="R170" s="34"/>
      <c r="S170" s="34"/>
      <c r="T170" s="34"/>
    </row>
    <row x14ac:dyDescent="0.25" r="171" customHeight="1" ht="18.75">
      <c r="A171" s="1"/>
      <c r="B171" s="150"/>
      <c r="C171" s="34"/>
      <c r="D171" s="34"/>
      <c r="E171" s="34"/>
      <c r="F171" s="34"/>
      <c r="G171" s="34"/>
      <c r="H171" s="34"/>
      <c r="I171" s="29"/>
      <c r="J171" s="29"/>
      <c r="K171" s="29"/>
      <c r="L171" s="16">
        <f>J171-K171</f>
      </c>
      <c r="M171" s="34"/>
      <c r="N171" s="34"/>
      <c r="O171" s="29"/>
      <c r="P171" s="34"/>
      <c r="Q171" s="34"/>
      <c r="R171" s="34"/>
      <c r="S171" s="34"/>
      <c r="T171" s="34"/>
    </row>
    <row x14ac:dyDescent="0.25" r="172" customHeight="1" ht="18.75">
      <c r="A172" s="1"/>
      <c r="B172" s="150"/>
      <c r="C172" s="34"/>
      <c r="D172" s="34"/>
      <c r="E172" s="34"/>
      <c r="F172" s="34"/>
      <c r="G172" s="34"/>
      <c r="H172" s="34"/>
      <c r="I172" s="29"/>
      <c r="J172" s="29"/>
      <c r="K172" s="29"/>
      <c r="L172" s="16">
        <f>J172-K172</f>
      </c>
      <c r="M172" s="34"/>
      <c r="N172" s="34"/>
      <c r="O172" s="29"/>
      <c r="P172" s="34"/>
      <c r="Q172" s="34"/>
      <c r="R172" s="34"/>
      <c r="S172" s="34"/>
      <c r="T172" s="34"/>
    </row>
    <row x14ac:dyDescent="0.25" r="173" customHeight="1" ht="18.75">
      <c r="A173" s="1"/>
      <c r="B173" s="150"/>
      <c r="C173" s="34"/>
      <c r="D173" s="34"/>
      <c r="E173" s="34"/>
      <c r="F173" s="34"/>
      <c r="G173" s="34"/>
      <c r="H173" s="34"/>
      <c r="I173" s="29"/>
      <c r="J173" s="29"/>
      <c r="K173" s="29"/>
      <c r="L173" s="16">
        <f>J173-K173</f>
      </c>
      <c r="M173" s="34"/>
      <c r="N173" s="34"/>
      <c r="O173" s="29"/>
      <c r="P173" s="34"/>
      <c r="Q173" s="34"/>
      <c r="R173" s="34"/>
      <c r="S173" s="34"/>
      <c r="T173" s="34"/>
    </row>
    <row x14ac:dyDescent="0.25" r="174" customHeight="1" ht="18.75">
      <c r="A174" s="1"/>
      <c r="B174" s="150"/>
      <c r="C174" s="34"/>
      <c r="D174" s="34"/>
      <c r="E174" s="34"/>
      <c r="F174" s="34"/>
      <c r="G174" s="34"/>
      <c r="H174" s="34"/>
      <c r="I174" s="29"/>
      <c r="J174" s="29"/>
      <c r="K174" s="29"/>
      <c r="L174" s="16">
        <f>J174-K174</f>
      </c>
      <c r="M174" s="34"/>
      <c r="N174" s="34"/>
      <c r="O174" s="29"/>
      <c r="P174" s="34"/>
      <c r="Q174" s="34"/>
      <c r="R174" s="34"/>
      <c r="S174" s="34"/>
      <c r="T174" s="34"/>
    </row>
    <row x14ac:dyDescent="0.25" r="175" customHeight="1" ht="18.75">
      <c r="A175" s="1"/>
      <c r="B175" s="150"/>
      <c r="C175" s="34"/>
      <c r="D175" s="34"/>
      <c r="E175" s="34"/>
      <c r="F175" s="34"/>
      <c r="G175" s="34"/>
      <c r="H175" s="34"/>
      <c r="I175" s="29"/>
      <c r="J175" s="29"/>
      <c r="K175" s="29"/>
      <c r="L175" s="16">
        <f>J175-K175</f>
      </c>
      <c r="M175" s="34"/>
      <c r="N175" s="34"/>
      <c r="O175" s="29"/>
      <c r="P175" s="34"/>
      <c r="Q175" s="34"/>
      <c r="R175" s="34"/>
      <c r="S175" s="34"/>
      <c r="T175" s="34"/>
    </row>
    <row x14ac:dyDescent="0.25" r="176" customHeight="1" ht="18.75">
      <c r="A176" s="1"/>
      <c r="B176" s="150"/>
      <c r="C176" s="34"/>
      <c r="D176" s="34"/>
      <c r="E176" s="34"/>
      <c r="F176" s="34"/>
      <c r="G176" s="34"/>
      <c r="H176" s="34"/>
      <c r="I176" s="29"/>
      <c r="J176" s="29"/>
      <c r="K176" s="29"/>
      <c r="L176" s="16">
        <f>J176-K176</f>
      </c>
      <c r="M176" s="34"/>
      <c r="N176" s="34"/>
      <c r="O176" s="29"/>
      <c r="P176" s="34"/>
      <c r="Q176" s="34"/>
      <c r="R176" s="34"/>
      <c r="S176" s="34"/>
      <c r="T176" s="34"/>
    </row>
    <row x14ac:dyDescent="0.25" r="177" customHeight="1" ht="18.75">
      <c r="A177" s="1"/>
      <c r="B177" s="150"/>
      <c r="C177" s="34"/>
      <c r="D177" s="34"/>
      <c r="E177" s="34"/>
      <c r="F177" s="34"/>
      <c r="G177" s="34"/>
      <c r="H177" s="34"/>
      <c r="I177" s="29"/>
      <c r="J177" s="29"/>
      <c r="K177" s="29"/>
      <c r="L177" s="16">
        <f>J177-K177</f>
      </c>
      <c r="M177" s="34"/>
      <c r="N177" s="34"/>
      <c r="O177" s="29"/>
      <c r="P177" s="34"/>
      <c r="Q177" s="34"/>
      <c r="R177" s="34"/>
      <c r="S177" s="34"/>
      <c r="T177" s="34"/>
    </row>
    <row x14ac:dyDescent="0.25" r="178" customHeight="1" ht="18.75">
      <c r="A178" s="1"/>
      <c r="B178" s="150"/>
      <c r="C178" s="34"/>
      <c r="D178" s="34"/>
      <c r="E178" s="34"/>
      <c r="F178" s="34"/>
      <c r="G178" s="34"/>
      <c r="H178" s="34"/>
      <c r="I178" s="29"/>
      <c r="J178" s="29"/>
      <c r="K178" s="29"/>
      <c r="L178" s="16">
        <f>J178-K178</f>
      </c>
      <c r="M178" s="34"/>
      <c r="N178" s="34"/>
      <c r="O178" s="29"/>
      <c r="P178" s="34"/>
      <c r="Q178" s="34"/>
      <c r="R178" s="34"/>
      <c r="S178" s="34"/>
      <c r="T178" s="34"/>
    </row>
    <row x14ac:dyDescent="0.25" r="179" customHeight="1" ht="18.75">
      <c r="A179" s="1"/>
      <c r="B179" s="150"/>
      <c r="C179" s="34"/>
      <c r="D179" s="34"/>
      <c r="E179" s="34"/>
      <c r="F179" s="34"/>
      <c r="G179" s="34"/>
      <c r="H179" s="34"/>
      <c r="I179" s="29"/>
      <c r="J179" s="29"/>
      <c r="K179" s="29"/>
      <c r="L179" s="16">
        <f>J179-K179</f>
      </c>
      <c r="M179" s="34"/>
      <c r="N179" s="34"/>
      <c r="O179" s="29"/>
      <c r="P179" s="34"/>
      <c r="Q179" s="34"/>
      <c r="R179" s="34"/>
      <c r="S179" s="34"/>
      <c r="T179" s="34"/>
    </row>
    <row x14ac:dyDescent="0.25" r="180" customHeight="1" ht="18.75">
      <c r="A180" s="1"/>
      <c r="B180" s="150"/>
      <c r="C180" s="34"/>
      <c r="D180" s="34"/>
      <c r="E180" s="34"/>
      <c r="F180" s="34"/>
      <c r="G180" s="34"/>
      <c r="H180" s="34"/>
      <c r="I180" s="29"/>
      <c r="J180" s="29"/>
      <c r="K180" s="29"/>
      <c r="L180" s="16">
        <f>J180-K180</f>
      </c>
      <c r="M180" s="34"/>
      <c r="N180" s="34"/>
      <c r="O180" s="29"/>
      <c r="P180" s="34"/>
      <c r="Q180" s="34"/>
      <c r="R180" s="34"/>
      <c r="S180" s="34"/>
      <c r="T180" s="34"/>
    </row>
    <row x14ac:dyDescent="0.25" r="181" customHeight="1" ht="18.75">
      <c r="A181" s="1"/>
      <c r="B181" s="150"/>
      <c r="C181" s="34"/>
      <c r="D181" s="34"/>
      <c r="E181" s="34"/>
      <c r="F181" s="34"/>
      <c r="G181" s="34"/>
      <c r="H181" s="34"/>
      <c r="I181" s="29"/>
      <c r="J181" s="29"/>
      <c r="K181" s="29"/>
      <c r="L181" s="16">
        <f>J181-K181</f>
      </c>
      <c r="M181" s="34"/>
      <c r="N181" s="34"/>
      <c r="O181" s="29"/>
      <c r="P181" s="34"/>
      <c r="Q181" s="34"/>
      <c r="R181" s="34"/>
      <c r="S181" s="34"/>
      <c r="T181" s="34"/>
    </row>
    <row x14ac:dyDescent="0.25" r="182" customHeight="1" ht="18.75">
      <c r="A182" s="1"/>
      <c r="B182" s="150"/>
      <c r="C182" s="34"/>
      <c r="D182" s="34"/>
      <c r="E182" s="34"/>
      <c r="F182" s="34"/>
      <c r="G182" s="34"/>
      <c r="H182" s="34"/>
      <c r="I182" s="29"/>
      <c r="J182" s="29"/>
      <c r="K182" s="29"/>
      <c r="L182" s="29"/>
      <c r="M182" s="34"/>
      <c r="N182" s="34"/>
      <c r="O182" s="29"/>
      <c r="P182" s="34"/>
      <c r="Q182" s="34"/>
      <c r="R182" s="34"/>
      <c r="S182" s="34"/>
      <c r="T182" s="34"/>
    </row>
    <row x14ac:dyDescent="0.25" r="183" customHeight="1" ht="18.75">
      <c r="A183" s="1"/>
      <c r="B183" s="150"/>
      <c r="C183" s="34"/>
      <c r="D183" s="34"/>
      <c r="E183" s="34"/>
      <c r="F183" s="34"/>
      <c r="G183" s="34"/>
      <c r="H183" s="34"/>
      <c r="I183" s="29"/>
      <c r="J183" s="29"/>
      <c r="K183" s="29"/>
      <c r="L183" s="29"/>
      <c r="M183" s="34"/>
      <c r="N183" s="34"/>
      <c r="O183" s="29"/>
      <c r="P183" s="34"/>
      <c r="Q183" s="34"/>
      <c r="R183" s="34"/>
      <c r="S183" s="34"/>
      <c r="T183" s="34"/>
    </row>
    <row x14ac:dyDescent="0.25" r="184" customHeight="1" ht="18.75">
      <c r="A184" s="1"/>
      <c r="B184" s="150"/>
      <c r="C184" s="34"/>
      <c r="D184" s="34"/>
      <c r="E184" s="34"/>
      <c r="F184" s="34"/>
      <c r="G184" s="34"/>
      <c r="H184" s="34"/>
      <c r="I184" s="29"/>
      <c r="J184" s="29"/>
      <c r="K184" s="29"/>
      <c r="L184" s="29"/>
      <c r="M184" s="34"/>
      <c r="N184" s="34"/>
      <c r="O184" s="29"/>
      <c r="P184" s="34"/>
      <c r="Q184" s="34"/>
      <c r="R184" s="34"/>
      <c r="S184" s="34"/>
      <c r="T184" s="34"/>
    </row>
    <row x14ac:dyDescent="0.25" r="185" customHeight="1" ht="18.75">
      <c r="A185" s="1"/>
      <c r="B185" s="150"/>
      <c r="C185" s="34"/>
      <c r="D185" s="34"/>
      <c r="E185" s="34"/>
      <c r="F185" s="34"/>
      <c r="G185" s="34"/>
      <c r="H185" s="34"/>
      <c r="I185" s="29"/>
      <c r="J185" s="29"/>
      <c r="K185" s="29"/>
      <c r="L185" s="29"/>
      <c r="M185" s="34"/>
      <c r="N185" s="34"/>
      <c r="O185" s="29"/>
      <c r="P185" s="34"/>
      <c r="Q185" s="34"/>
      <c r="R185" s="34"/>
      <c r="S185" s="34"/>
      <c r="T185" s="34"/>
    </row>
    <row x14ac:dyDescent="0.25" r="186" customHeight="1" ht="18.75">
      <c r="A186" s="1"/>
      <c r="B186" s="150"/>
      <c r="C186" s="34"/>
      <c r="D186" s="34"/>
      <c r="E186" s="34"/>
      <c r="F186" s="34"/>
      <c r="G186" s="34"/>
      <c r="H186" s="34"/>
      <c r="I186" s="29"/>
      <c r="J186" s="29"/>
      <c r="K186" s="29"/>
      <c r="L186" s="29"/>
      <c r="M186" s="34"/>
      <c r="N186" s="34"/>
      <c r="O186" s="29"/>
      <c r="P186" s="34"/>
      <c r="Q186" s="34"/>
      <c r="R186" s="34"/>
      <c r="S186" s="34"/>
      <c r="T186" s="34"/>
    </row>
    <row x14ac:dyDescent="0.25" r="187" customHeight="1" ht="18.75">
      <c r="A187" s="1"/>
      <c r="B187" s="150"/>
      <c r="C187" s="34"/>
      <c r="D187" s="34"/>
      <c r="E187" s="34"/>
      <c r="F187" s="34"/>
      <c r="G187" s="34"/>
      <c r="H187" s="34"/>
      <c r="I187" s="29"/>
      <c r="J187" s="29"/>
      <c r="K187" s="29"/>
      <c r="L187" s="29"/>
      <c r="M187" s="34"/>
      <c r="N187" s="34"/>
      <c r="O187" s="29"/>
      <c r="P187" s="34"/>
      <c r="Q187" s="34"/>
      <c r="R187" s="34"/>
      <c r="S187" s="34"/>
      <c r="T187" s="34"/>
    </row>
    <row x14ac:dyDescent="0.25" r="188" customHeight="1" ht="18.75">
      <c r="A188" s="1"/>
      <c r="B188" s="150"/>
      <c r="C188" s="34"/>
      <c r="D188" s="34"/>
      <c r="E188" s="34"/>
      <c r="F188" s="34"/>
      <c r="G188" s="34"/>
      <c r="H188" s="34"/>
      <c r="I188" s="29"/>
      <c r="J188" s="29"/>
      <c r="K188" s="29"/>
      <c r="L188" s="29"/>
      <c r="M188" s="34"/>
      <c r="N188" s="34"/>
      <c r="O188" s="29"/>
      <c r="P188" s="34"/>
      <c r="Q188" s="34"/>
      <c r="R188" s="34"/>
      <c r="S188" s="34"/>
      <c r="T188" s="34"/>
    </row>
    <row x14ac:dyDescent="0.25" r="189" customHeight="1" ht="18.75">
      <c r="A189" s="1"/>
      <c r="B189" s="150"/>
      <c r="C189" s="34"/>
      <c r="D189" s="34"/>
      <c r="E189" s="34"/>
      <c r="F189" s="34"/>
      <c r="G189" s="34"/>
      <c r="H189" s="34"/>
      <c r="I189" s="29"/>
      <c r="J189" s="29"/>
      <c r="K189" s="29"/>
      <c r="L189" s="29"/>
      <c r="M189" s="34"/>
      <c r="N189" s="34"/>
      <c r="O189" s="29"/>
      <c r="P189" s="34"/>
      <c r="Q189" s="34"/>
      <c r="R189" s="34"/>
      <c r="S189" s="34"/>
      <c r="T189" s="34"/>
    </row>
    <row x14ac:dyDescent="0.25" r="190" customHeight="1" ht="18.75">
      <c r="A190" s="1"/>
      <c r="B190" s="150"/>
      <c r="C190" s="34"/>
      <c r="D190" s="34"/>
      <c r="E190" s="34"/>
      <c r="F190" s="34"/>
      <c r="G190" s="34"/>
      <c r="H190" s="34"/>
      <c r="I190" s="29"/>
      <c r="J190" s="29"/>
      <c r="K190" s="29"/>
      <c r="L190" s="29"/>
      <c r="M190" s="34"/>
      <c r="N190" s="34"/>
      <c r="O190" s="29"/>
      <c r="P190" s="34"/>
      <c r="Q190" s="34"/>
      <c r="R190" s="34"/>
      <c r="S190" s="34"/>
      <c r="T190" s="34"/>
    </row>
    <row x14ac:dyDescent="0.25" r="191" customHeight="1" ht="18.75">
      <c r="A191" s="1"/>
      <c r="B191" s="150"/>
      <c r="C191" s="34"/>
      <c r="D191" s="34"/>
      <c r="E191" s="34"/>
      <c r="F191" s="34"/>
      <c r="G191" s="34"/>
      <c r="H191" s="34"/>
      <c r="I191" s="29"/>
      <c r="J191" s="29"/>
      <c r="K191" s="29"/>
      <c r="L191" s="29"/>
      <c r="M191" s="34"/>
      <c r="N191" s="34"/>
      <c r="O191" s="29"/>
      <c r="P191" s="34"/>
      <c r="Q191" s="34"/>
      <c r="R191" s="34"/>
      <c r="S191" s="34"/>
      <c r="T191" s="34"/>
    </row>
    <row x14ac:dyDescent="0.25" r="192" customHeight="1" ht="18.75">
      <c r="A192" s="1"/>
      <c r="B192" s="150"/>
      <c r="C192" s="34"/>
      <c r="D192" s="34"/>
      <c r="E192" s="34"/>
      <c r="F192" s="34"/>
      <c r="G192" s="34"/>
      <c r="H192" s="34"/>
      <c r="I192" s="29"/>
      <c r="J192" s="29"/>
      <c r="K192" s="29"/>
      <c r="L192" s="29"/>
      <c r="M192" s="34"/>
      <c r="N192" s="34"/>
      <c r="O192" s="29"/>
      <c r="P192" s="34"/>
      <c r="Q192" s="34"/>
      <c r="R192" s="34"/>
      <c r="S192" s="34"/>
      <c r="T192" s="34"/>
    </row>
    <row x14ac:dyDescent="0.25" r="193" customHeight="1" ht="18.75">
      <c r="A193" s="1"/>
      <c r="B193" s="150"/>
      <c r="C193" s="34"/>
      <c r="D193" s="34"/>
      <c r="E193" s="34"/>
      <c r="F193" s="34"/>
      <c r="G193" s="34"/>
      <c r="H193" s="34"/>
      <c r="I193" s="29"/>
      <c r="J193" s="29"/>
      <c r="K193" s="29"/>
      <c r="L193" s="29"/>
      <c r="M193" s="34"/>
      <c r="N193" s="34"/>
      <c r="O193" s="29"/>
      <c r="P193" s="34"/>
      <c r="Q193" s="34"/>
      <c r="R193" s="34"/>
      <c r="S193" s="34"/>
      <c r="T193" s="34"/>
    </row>
    <row x14ac:dyDescent="0.25" r="194" customHeight="1" ht="18.75">
      <c r="A194" s="1"/>
      <c r="B194" s="150"/>
      <c r="C194" s="34"/>
      <c r="D194" s="34"/>
      <c r="E194" s="34"/>
      <c r="F194" s="34"/>
      <c r="G194" s="34"/>
      <c r="H194" s="34"/>
      <c r="I194" s="29"/>
      <c r="J194" s="29"/>
      <c r="K194" s="29"/>
      <c r="L194" s="29"/>
      <c r="M194" s="34"/>
      <c r="N194" s="34"/>
      <c r="O194" s="29"/>
      <c r="P194" s="34"/>
      <c r="Q194" s="34"/>
      <c r="R194" s="34"/>
      <c r="S194" s="34"/>
      <c r="T194" s="34"/>
    </row>
    <row x14ac:dyDescent="0.25" r="195" customHeight="1" ht="18.75">
      <c r="A195" s="1"/>
      <c r="B195" s="150"/>
      <c r="C195" s="34"/>
      <c r="D195" s="34"/>
      <c r="E195" s="34"/>
      <c r="F195" s="34"/>
      <c r="G195" s="34"/>
      <c r="H195" s="34"/>
      <c r="I195" s="29"/>
      <c r="J195" s="29"/>
      <c r="K195" s="29"/>
      <c r="L195" s="29"/>
      <c r="M195" s="34"/>
      <c r="N195" s="34"/>
      <c r="O195" s="29"/>
      <c r="P195" s="34"/>
      <c r="Q195" s="34"/>
      <c r="R195" s="34"/>
      <c r="S195" s="34"/>
      <c r="T195" s="34"/>
    </row>
    <row x14ac:dyDescent="0.25" r="196" customHeight="1" ht="18.75">
      <c r="A196" s="1"/>
      <c r="B196" s="150"/>
      <c r="C196" s="34"/>
      <c r="D196" s="34"/>
      <c r="E196" s="34"/>
      <c r="F196" s="34"/>
      <c r="G196" s="34"/>
      <c r="H196" s="34"/>
      <c r="I196" s="29"/>
      <c r="J196" s="29"/>
      <c r="K196" s="29"/>
      <c r="L196" s="29"/>
      <c r="M196" s="34"/>
      <c r="N196" s="34"/>
      <c r="O196" s="29"/>
      <c r="P196" s="34"/>
      <c r="Q196" s="34"/>
      <c r="R196" s="34"/>
      <c r="S196" s="34"/>
      <c r="T196" s="34"/>
    </row>
    <row x14ac:dyDescent="0.25" r="197" customHeight="1" ht="18.75">
      <c r="A197" s="1"/>
      <c r="B197" s="150"/>
      <c r="C197" s="34"/>
      <c r="D197" s="34"/>
      <c r="E197" s="34"/>
      <c r="F197" s="34"/>
      <c r="G197" s="34"/>
      <c r="H197" s="34"/>
      <c r="I197" s="29"/>
      <c r="J197" s="29"/>
      <c r="K197" s="29"/>
      <c r="L197" s="29"/>
      <c r="M197" s="34"/>
      <c r="N197" s="34"/>
      <c r="O197" s="29"/>
      <c r="P197" s="34"/>
      <c r="Q197" s="34"/>
      <c r="R197" s="34"/>
      <c r="S197" s="34"/>
      <c r="T197" s="34"/>
    </row>
    <row x14ac:dyDescent="0.25" r="198" customHeight="1" ht="18.75">
      <c r="A198" s="1"/>
      <c r="B198" s="150"/>
      <c r="C198" s="34"/>
      <c r="D198" s="34"/>
      <c r="E198" s="34"/>
      <c r="F198" s="34"/>
      <c r="G198" s="34"/>
      <c r="H198" s="34"/>
      <c r="I198" s="29"/>
      <c r="J198" s="29"/>
      <c r="K198" s="29"/>
      <c r="L198" s="29"/>
      <c r="M198" s="34"/>
      <c r="N198" s="34"/>
      <c r="O198" s="29"/>
      <c r="P198" s="34"/>
      <c r="Q198" s="34"/>
      <c r="R198" s="34"/>
      <c r="S198" s="34"/>
      <c r="T198" s="34"/>
    </row>
    <row x14ac:dyDescent="0.25" r="199" customHeight="1" ht="18.75">
      <c r="A199" s="1"/>
      <c r="B199" s="150"/>
      <c r="C199" s="34"/>
      <c r="D199" s="34"/>
      <c r="E199" s="34"/>
      <c r="F199" s="34"/>
      <c r="G199" s="34"/>
      <c r="H199" s="34"/>
      <c r="I199" s="29"/>
      <c r="J199" s="29"/>
      <c r="K199" s="29"/>
      <c r="L199" s="29"/>
      <c r="M199" s="34"/>
      <c r="N199" s="34"/>
      <c r="O199" s="29"/>
      <c r="P199" s="34"/>
      <c r="Q199" s="34"/>
      <c r="R199" s="34"/>
      <c r="S199" s="34"/>
      <c r="T199" s="34"/>
    </row>
    <row x14ac:dyDescent="0.25" r="200" customHeight="1" ht="18.75">
      <c r="A200" s="1"/>
      <c r="B200" s="150"/>
      <c r="C200" s="34"/>
      <c r="D200" s="34"/>
      <c r="E200" s="34"/>
      <c r="F200" s="34"/>
      <c r="G200" s="34"/>
      <c r="H200" s="34"/>
      <c r="I200" s="29"/>
      <c r="J200" s="29"/>
      <c r="K200" s="29"/>
      <c r="L200" s="29"/>
      <c r="M200" s="34"/>
      <c r="N200" s="34"/>
      <c r="O200" s="29"/>
      <c r="P200" s="34"/>
      <c r="Q200" s="34"/>
      <c r="R200" s="34"/>
      <c r="S200" s="34"/>
      <c r="T200" s="34"/>
    </row>
    <row x14ac:dyDescent="0.25" r="201" customHeight="1" ht="18.75">
      <c r="A201" s="1"/>
      <c r="B201" s="150"/>
      <c r="C201" s="34"/>
      <c r="D201" s="34"/>
      <c r="E201" s="34"/>
      <c r="F201" s="34"/>
      <c r="G201" s="34"/>
      <c r="H201" s="34"/>
      <c r="I201" s="29"/>
      <c r="J201" s="29"/>
      <c r="K201" s="29"/>
      <c r="L201" s="29"/>
      <c r="M201" s="34"/>
      <c r="N201" s="34"/>
      <c r="O201" s="29"/>
      <c r="P201" s="34"/>
      <c r="Q201" s="34"/>
      <c r="R201" s="34"/>
      <c r="S201" s="34"/>
      <c r="T201" s="34"/>
    </row>
    <row x14ac:dyDescent="0.25" r="202" customHeight="1" ht="18.75">
      <c r="A202" s="1"/>
      <c r="B202" s="150"/>
      <c r="C202" s="34"/>
      <c r="D202" s="34"/>
      <c r="E202" s="34"/>
      <c r="F202" s="34"/>
      <c r="G202" s="34"/>
      <c r="H202" s="34"/>
      <c r="I202" s="29"/>
      <c r="J202" s="29"/>
      <c r="K202" s="29"/>
      <c r="L202" s="29"/>
      <c r="M202" s="34"/>
      <c r="N202" s="34"/>
      <c r="O202" s="29"/>
      <c r="P202" s="34"/>
      <c r="Q202" s="34"/>
      <c r="R202" s="34"/>
      <c r="S202" s="34"/>
      <c r="T202" s="34"/>
    </row>
    <row x14ac:dyDescent="0.25" r="203" customHeight="1" ht="18.75">
      <c r="A203" s="1"/>
      <c r="B203" s="150"/>
      <c r="C203" s="34"/>
      <c r="D203" s="34"/>
      <c r="E203" s="34"/>
      <c r="F203" s="34"/>
      <c r="G203" s="34"/>
      <c r="H203" s="34"/>
      <c r="I203" s="29"/>
      <c r="J203" s="29"/>
      <c r="K203" s="29"/>
      <c r="L203" s="29"/>
      <c r="M203" s="34"/>
      <c r="N203" s="34"/>
      <c r="O203" s="29"/>
      <c r="P203" s="34"/>
      <c r="Q203" s="34"/>
      <c r="R203" s="34"/>
      <c r="S203" s="34"/>
      <c r="T203" s="34"/>
    </row>
    <row x14ac:dyDescent="0.25" r="204" customHeight="1" ht="18.75">
      <c r="A204" s="1"/>
      <c r="B204" s="150"/>
      <c r="C204" s="34"/>
      <c r="D204" s="34"/>
      <c r="E204" s="34"/>
      <c r="F204" s="34"/>
      <c r="G204" s="34"/>
      <c r="H204" s="34"/>
      <c r="I204" s="29"/>
      <c r="J204" s="29"/>
      <c r="K204" s="29"/>
      <c r="L204" s="29"/>
      <c r="M204" s="34"/>
      <c r="N204" s="34"/>
      <c r="O204" s="29"/>
      <c r="P204" s="34"/>
      <c r="Q204" s="34"/>
      <c r="R204" s="34"/>
      <c r="S204" s="34"/>
      <c r="T204" s="34"/>
    </row>
    <row x14ac:dyDescent="0.25" r="205" customHeight="1" ht="18.75">
      <c r="A205" s="1"/>
      <c r="B205" s="150"/>
      <c r="C205" s="34"/>
      <c r="D205" s="34"/>
      <c r="E205" s="34"/>
      <c r="F205" s="34"/>
      <c r="G205" s="34"/>
      <c r="H205" s="34"/>
      <c r="I205" s="29"/>
      <c r="J205" s="29"/>
      <c r="K205" s="29"/>
      <c r="L205" s="29"/>
      <c r="M205" s="34"/>
      <c r="N205" s="34"/>
      <c r="O205" s="29"/>
      <c r="P205" s="34"/>
      <c r="Q205" s="34"/>
      <c r="R205" s="34"/>
      <c r="S205" s="34"/>
      <c r="T205" s="34"/>
    </row>
    <row x14ac:dyDescent="0.25" r="206" customHeight="1" ht="18.75">
      <c r="A206" s="1"/>
      <c r="B206" s="150"/>
      <c r="C206" s="34"/>
      <c r="D206" s="34"/>
      <c r="E206" s="34"/>
      <c r="F206" s="34"/>
      <c r="G206" s="34"/>
      <c r="H206" s="34"/>
      <c r="I206" s="29"/>
      <c r="J206" s="29"/>
      <c r="K206" s="29"/>
      <c r="L206" s="29"/>
      <c r="M206" s="34"/>
      <c r="N206" s="34"/>
      <c r="O206" s="29"/>
      <c r="P206" s="34"/>
      <c r="Q206" s="34"/>
      <c r="R206" s="34"/>
      <c r="S206" s="34"/>
      <c r="T206" s="34"/>
    </row>
    <row x14ac:dyDescent="0.25" r="207" customHeight="1" ht="18.75">
      <c r="A207" s="1"/>
      <c r="B207" s="150"/>
      <c r="C207" s="34"/>
      <c r="D207" s="34"/>
      <c r="E207" s="34"/>
      <c r="F207" s="34"/>
      <c r="G207" s="34"/>
      <c r="H207" s="34"/>
      <c r="I207" s="29"/>
      <c r="J207" s="29"/>
      <c r="K207" s="29"/>
      <c r="L207" s="29"/>
      <c r="M207" s="34"/>
      <c r="N207" s="34"/>
      <c r="O207" s="29"/>
      <c r="P207" s="34"/>
      <c r="Q207" s="34"/>
      <c r="R207" s="34"/>
      <c r="S207" s="34"/>
      <c r="T207" s="34"/>
    </row>
    <row x14ac:dyDescent="0.25" r="208" customHeight="1" ht="18.75">
      <c r="A208" s="1"/>
      <c r="B208" s="150"/>
      <c r="C208" s="34"/>
      <c r="D208" s="34"/>
      <c r="E208" s="34"/>
      <c r="F208" s="34"/>
      <c r="G208" s="34"/>
      <c r="H208" s="34"/>
      <c r="I208" s="29"/>
      <c r="J208" s="29"/>
      <c r="K208" s="29"/>
      <c r="L208" s="29"/>
      <c r="M208" s="34"/>
      <c r="N208" s="34"/>
      <c r="O208" s="29"/>
      <c r="P208" s="34"/>
      <c r="Q208" s="34"/>
      <c r="R208" s="34"/>
      <c r="S208" s="34"/>
      <c r="T208" s="34"/>
    </row>
    <row x14ac:dyDescent="0.25" r="209" customHeight="1" ht="18.75">
      <c r="A209" s="1"/>
      <c r="B209" s="150"/>
      <c r="C209" s="34"/>
      <c r="D209" s="34"/>
      <c r="E209" s="34"/>
      <c r="F209" s="34"/>
      <c r="G209" s="34"/>
      <c r="H209" s="34"/>
      <c r="I209" s="29"/>
      <c r="J209" s="29"/>
      <c r="K209" s="29"/>
      <c r="L209" s="29"/>
      <c r="M209" s="34"/>
      <c r="N209" s="34"/>
      <c r="O209" s="29"/>
      <c r="P209" s="34"/>
      <c r="Q209" s="34"/>
      <c r="R209" s="34"/>
      <c r="S209" s="34"/>
      <c r="T209" s="34"/>
    </row>
    <row x14ac:dyDescent="0.25" r="210" customHeight="1" ht="18.75">
      <c r="A210" s="1"/>
      <c r="B210" s="150"/>
      <c r="C210" s="34"/>
      <c r="D210" s="34"/>
      <c r="E210" s="34"/>
      <c r="F210" s="34"/>
      <c r="G210" s="34"/>
      <c r="H210" s="34"/>
      <c r="I210" s="29"/>
      <c r="J210" s="29"/>
      <c r="K210" s="29"/>
      <c r="L210" s="29"/>
      <c r="M210" s="34"/>
      <c r="N210" s="34"/>
      <c r="O210" s="29"/>
      <c r="P210" s="34"/>
      <c r="Q210" s="34"/>
      <c r="R210" s="34"/>
      <c r="S210" s="34"/>
      <c r="T210" s="34"/>
    </row>
    <row x14ac:dyDescent="0.25" r="211" customHeight="1" ht="18.75">
      <c r="A211" s="1"/>
      <c r="B211" s="150"/>
      <c r="C211" s="34"/>
      <c r="D211" s="34"/>
      <c r="E211" s="34"/>
      <c r="F211" s="34"/>
      <c r="G211" s="34"/>
      <c r="H211" s="34"/>
      <c r="I211" s="29"/>
      <c r="J211" s="29"/>
      <c r="K211" s="29"/>
      <c r="L211" s="29"/>
      <c r="M211" s="34"/>
      <c r="N211" s="34"/>
      <c r="O211" s="29"/>
      <c r="P211" s="34"/>
      <c r="Q211" s="34"/>
      <c r="R211" s="34"/>
      <c r="S211" s="34"/>
      <c r="T211" s="34"/>
    </row>
    <row x14ac:dyDescent="0.25" r="212" customHeight="1" ht="18.75">
      <c r="A212" s="1"/>
      <c r="B212" s="150"/>
      <c r="C212" s="34"/>
      <c r="D212" s="34"/>
      <c r="E212" s="34"/>
      <c r="F212" s="34"/>
      <c r="G212" s="34"/>
      <c r="H212" s="34"/>
      <c r="I212" s="29"/>
      <c r="J212" s="29"/>
      <c r="K212" s="29"/>
      <c r="L212" s="29"/>
      <c r="M212" s="34"/>
      <c r="N212" s="34"/>
      <c r="O212" s="29"/>
      <c r="P212" s="34"/>
      <c r="Q212" s="34"/>
      <c r="R212" s="34"/>
      <c r="S212" s="34"/>
      <c r="T212" s="34"/>
    </row>
    <row x14ac:dyDescent="0.25" r="213" customHeight="1" ht="18.75">
      <c r="A213" s="1"/>
      <c r="B213" s="150"/>
      <c r="C213" s="34"/>
      <c r="D213" s="34"/>
      <c r="E213" s="34"/>
      <c r="F213" s="34"/>
      <c r="G213" s="34"/>
      <c r="H213" s="34"/>
      <c r="I213" s="29"/>
      <c r="J213" s="29"/>
      <c r="K213" s="29"/>
      <c r="L213" s="29"/>
      <c r="M213" s="34"/>
      <c r="N213" s="34"/>
      <c r="O213" s="29"/>
      <c r="P213" s="34"/>
      <c r="Q213" s="34"/>
      <c r="R213" s="34"/>
      <c r="S213" s="34"/>
      <c r="T213" s="34"/>
    </row>
    <row x14ac:dyDescent="0.25" r="214" customHeight="1" ht="18.75">
      <c r="A214" s="1"/>
      <c r="B214" s="150"/>
      <c r="C214" s="34"/>
      <c r="D214" s="34"/>
      <c r="E214" s="34"/>
      <c r="F214" s="34"/>
      <c r="G214" s="34"/>
      <c r="H214" s="34"/>
      <c r="I214" s="29"/>
      <c r="J214" s="29"/>
      <c r="K214" s="29"/>
      <c r="L214" s="29"/>
      <c r="M214" s="34"/>
      <c r="N214" s="34"/>
      <c r="O214" s="29"/>
      <c r="P214" s="34"/>
      <c r="Q214" s="34"/>
      <c r="R214" s="34"/>
      <c r="S214" s="34"/>
      <c r="T214" s="34"/>
    </row>
    <row x14ac:dyDescent="0.25" r="215" customHeight="1" ht="18.75">
      <c r="A215" s="1"/>
      <c r="B215" s="150"/>
      <c r="C215" s="34"/>
      <c r="D215" s="34"/>
      <c r="E215" s="34"/>
      <c r="F215" s="34"/>
      <c r="G215" s="34"/>
      <c r="H215" s="34"/>
      <c r="I215" s="29"/>
      <c r="J215" s="29"/>
      <c r="K215" s="29"/>
      <c r="L215" s="29"/>
      <c r="M215" s="34"/>
      <c r="N215" s="34"/>
      <c r="O215" s="29"/>
      <c r="P215" s="34"/>
      <c r="Q215" s="34"/>
      <c r="R215" s="34"/>
      <c r="S215" s="34"/>
      <c r="T215" s="34"/>
    </row>
    <row x14ac:dyDescent="0.25" r="216" customHeight="1" ht="18.75">
      <c r="A216" s="1"/>
      <c r="B216" s="150"/>
      <c r="C216" s="34"/>
      <c r="D216" s="34"/>
      <c r="E216" s="34"/>
      <c r="F216" s="34"/>
      <c r="G216" s="34"/>
      <c r="H216" s="34"/>
      <c r="I216" s="29"/>
      <c r="J216" s="29"/>
      <c r="K216" s="29"/>
      <c r="L216" s="29"/>
      <c r="M216" s="34"/>
      <c r="N216" s="34"/>
      <c r="O216" s="29"/>
      <c r="P216" s="34"/>
      <c r="Q216" s="34"/>
      <c r="R216" s="34"/>
      <c r="S216" s="34"/>
      <c r="T216" s="34"/>
    </row>
    <row x14ac:dyDescent="0.25" r="217" customHeight="1" ht="18.75">
      <c r="A217" s="1"/>
      <c r="B217" s="150"/>
      <c r="C217" s="34"/>
      <c r="D217" s="34"/>
      <c r="E217" s="34"/>
      <c r="F217" s="34"/>
      <c r="G217" s="34"/>
      <c r="H217" s="34"/>
      <c r="I217" s="29"/>
      <c r="J217" s="29"/>
      <c r="K217" s="29"/>
      <c r="L217" s="29"/>
      <c r="M217" s="34"/>
      <c r="N217" s="34"/>
      <c r="O217" s="29"/>
      <c r="P217" s="34"/>
      <c r="Q217" s="34"/>
      <c r="R217" s="34"/>
      <c r="S217" s="34"/>
      <c r="T217" s="34"/>
    </row>
    <row x14ac:dyDescent="0.25" r="218" customHeight="1" ht="18.75">
      <c r="A218" s="1"/>
      <c r="B218" s="150"/>
      <c r="C218" s="34"/>
      <c r="D218" s="34"/>
      <c r="E218" s="34"/>
      <c r="F218" s="34"/>
      <c r="G218" s="34"/>
      <c r="H218" s="34"/>
      <c r="I218" s="29"/>
      <c r="J218" s="29"/>
      <c r="K218" s="29"/>
      <c r="L218" s="29"/>
      <c r="M218" s="34"/>
      <c r="N218" s="34"/>
      <c r="O218" s="29"/>
      <c r="P218" s="34"/>
      <c r="Q218" s="34"/>
      <c r="R218" s="34"/>
      <c r="S218" s="34"/>
      <c r="T218" s="34"/>
    </row>
    <row x14ac:dyDescent="0.25" r="219" customHeight="1" ht="18.75">
      <c r="A219" s="1"/>
      <c r="B219" s="150"/>
      <c r="C219" s="34"/>
      <c r="D219" s="34"/>
      <c r="E219" s="34"/>
      <c r="F219" s="34"/>
      <c r="G219" s="34"/>
      <c r="H219" s="34"/>
      <c r="I219" s="29"/>
      <c r="J219" s="29"/>
      <c r="K219" s="29"/>
      <c r="L219" s="29"/>
      <c r="M219" s="34"/>
      <c r="N219" s="34"/>
      <c r="O219" s="29"/>
      <c r="P219" s="34"/>
      <c r="Q219" s="34"/>
      <c r="R219" s="34"/>
      <c r="S219" s="34"/>
      <c r="T219" s="34"/>
    </row>
    <row x14ac:dyDescent="0.25" r="220" customHeight="1" ht="18.75">
      <c r="A220" s="1"/>
      <c r="B220" s="150"/>
      <c r="C220" s="34"/>
      <c r="D220" s="34"/>
      <c r="E220" s="34"/>
      <c r="F220" s="34"/>
      <c r="G220" s="34"/>
      <c r="H220" s="34"/>
      <c r="I220" s="29"/>
      <c r="J220" s="29"/>
      <c r="K220" s="29"/>
      <c r="L220" s="29"/>
      <c r="M220" s="34"/>
      <c r="N220" s="34"/>
      <c r="O220" s="29"/>
      <c r="P220" s="34"/>
      <c r="Q220" s="34"/>
      <c r="R220" s="34"/>
      <c r="S220" s="34"/>
      <c r="T220" s="34"/>
    </row>
    <row x14ac:dyDescent="0.25" r="221" customHeight="1" ht="18.75">
      <c r="A221" s="1"/>
      <c r="B221" s="150"/>
      <c r="C221" s="34"/>
      <c r="D221" s="34"/>
      <c r="E221" s="34"/>
      <c r="F221" s="34"/>
      <c r="G221" s="34"/>
      <c r="H221" s="34"/>
      <c r="I221" s="29"/>
      <c r="J221" s="29"/>
      <c r="K221" s="29"/>
      <c r="L221" s="29"/>
      <c r="M221" s="34"/>
      <c r="N221" s="34"/>
      <c r="O221" s="29"/>
      <c r="P221" s="34"/>
      <c r="Q221" s="34"/>
      <c r="R221" s="34"/>
      <c r="S221" s="34"/>
      <c r="T221" s="34"/>
    </row>
    <row x14ac:dyDescent="0.25" r="222" customHeight="1" ht="18.75">
      <c r="A222" s="1"/>
      <c r="B222" s="150"/>
      <c r="C222" s="34"/>
      <c r="D222" s="34"/>
      <c r="E222" s="34"/>
      <c r="F222" s="34"/>
      <c r="G222" s="34"/>
      <c r="H222" s="34"/>
      <c r="I222" s="29"/>
      <c r="J222" s="29"/>
      <c r="K222" s="29"/>
      <c r="L222" s="29"/>
      <c r="M222" s="34"/>
      <c r="N222" s="34"/>
      <c r="O222" s="29"/>
      <c r="P222" s="34"/>
      <c r="Q222" s="34"/>
      <c r="R222" s="34"/>
      <c r="S222" s="34"/>
      <c r="T222" s="34"/>
    </row>
    <row x14ac:dyDescent="0.25" r="223" customHeight="1" ht="18.75">
      <c r="A223" s="1"/>
      <c r="B223" s="150"/>
      <c r="C223" s="34"/>
      <c r="D223" s="34"/>
      <c r="E223" s="34"/>
      <c r="F223" s="34"/>
      <c r="G223" s="34"/>
      <c r="H223" s="34"/>
      <c r="I223" s="29"/>
      <c r="J223" s="29"/>
      <c r="K223" s="29"/>
      <c r="L223" s="29"/>
      <c r="M223" s="34"/>
      <c r="N223" s="34"/>
      <c r="O223" s="29"/>
      <c r="P223" s="34"/>
      <c r="Q223" s="34"/>
      <c r="R223" s="34"/>
      <c r="S223" s="34"/>
      <c r="T223" s="34"/>
    </row>
    <row x14ac:dyDescent="0.25" r="224" customHeight="1" ht="18.75">
      <c r="A224" s="1"/>
      <c r="B224" s="150"/>
      <c r="C224" s="34"/>
      <c r="D224" s="34"/>
      <c r="E224" s="34"/>
      <c r="F224" s="34"/>
      <c r="G224" s="34"/>
      <c r="H224" s="34"/>
      <c r="I224" s="29"/>
      <c r="J224" s="29"/>
      <c r="K224" s="29"/>
      <c r="L224" s="29"/>
      <c r="M224" s="34"/>
      <c r="N224" s="34"/>
      <c r="O224" s="29"/>
      <c r="P224" s="34"/>
      <c r="Q224" s="34"/>
      <c r="R224" s="34"/>
      <c r="S224" s="34"/>
      <c r="T224" s="34"/>
    </row>
    <row x14ac:dyDescent="0.25" r="225" customHeight="1" ht="18.75">
      <c r="A225" s="1"/>
      <c r="B225" s="150"/>
      <c r="C225" s="34"/>
      <c r="D225" s="34"/>
      <c r="E225" s="34"/>
      <c r="F225" s="34"/>
      <c r="G225" s="34"/>
      <c r="H225" s="34"/>
      <c r="I225" s="29"/>
      <c r="J225" s="29"/>
      <c r="K225" s="29"/>
      <c r="L225" s="29"/>
      <c r="M225" s="34"/>
      <c r="N225" s="34"/>
      <c r="O225" s="29"/>
      <c r="P225" s="34"/>
      <c r="Q225" s="34"/>
      <c r="R225" s="34"/>
      <c r="S225" s="34"/>
      <c r="T225" s="34"/>
    </row>
    <row x14ac:dyDescent="0.25" r="226" customHeight="1" ht="18.75">
      <c r="A226" s="1"/>
      <c r="B226" s="150"/>
      <c r="C226" s="34"/>
      <c r="D226" s="34"/>
      <c r="E226" s="34"/>
      <c r="F226" s="34"/>
      <c r="G226" s="34"/>
      <c r="H226" s="34"/>
      <c r="I226" s="29"/>
      <c r="J226" s="29"/>
      <c r="K226" s="29"/>
      <c r="L226" s="29"/>
      <c r="M226" s="34"/>
      <c r="N226" s="34"/>
      <c r="O226" s="29"/>
      <c r="P226" s="34"/>
      <c r="Q226" s="34"/>
      <c r="R226" s="34"/>
      <c r="S226" s="34"/>
      <c r="T226" s="34"/>
    </row>
    <row x14ac:dyDescent="0.25" r="227" customHeight="1" ht="18.75">
      <c r="A227" s="1"/>
      <c r="B227" s="150"/>
      <c r="C227" s="34"/>
      <c r="D227" s="34"/>
      <c r="E227" s="34"/>
      <c r="F227" s="34"/>
      <c r="G227" s="34"/>
      <c r="H227" s="34"/>
      <c r="I227" s="29"/>
      <c r="J227" s="29"/>
      <c r="K227" s="29"/>
      <c r="L227" s="29"/>
      <c r="M227" s="34"/>
      <c r="N227" s="34"/>
      <c r="O227" s="29"/>
      <c r="P227" s="34"/>
      <c r="Q227" s="34"/>
      <c r="R227" s="34"/>
      <c r="S227" s="34"/>
      <c r="T227" s="34"/>
    </row>
    <row x14ac:dyDescent="0.25" r="228" customHeight="1" ht="18.75">
      <c r="A228" s="1"/>
      <c r="B228" s="150"/>
      <c r="C228" s="34"/>
      <c r="D228" s="34"/>
      <c r="E228" s="34"/>
      <c r="F228" s="34"/>
      <c r="G228" s="34"/>
      <c r="H228" s="34"/>
      <c r="I228" s="29"/>
      <c r="J228" s="29"/>
      <c r="K228" s="29"/>
      <c r="L228" s="29"/>
      <c r="M228" s="34"/>
      <c r="N228" s="34"/>
      <c r="O228" s="29"/>
      <c r="P228" s="34"/>
      <c r="Q228" s="34"/>
      <c r="R228" s="34"/>
      <c r="S228" s="34"/>
      <c r="T228" s="34"/>
    </row>
    <row x14ac:dyDescent="0.25" r="229" customHeight="1" ht="18.75">
      <c r="A229" s="1"/>
      <c r="B229" s="150"/>
      <c r="C229" s="34"/>
      <c r="D229" s="34"/>
      <c r="E229" s="34"/>
      <c r="F229" s="34"/>
      <c r="G229" s="34"/>
      <c r="H229" s="34"/>
      <c r="I229" s="29"/>
      <c r="J229" s="29"/>
      <c r="K229" s="29"/>
      <c r="L229" s="29"/>
      <c r="M229" s="34"/>
      <c r="N229" s="34"/>
      <c r="O229" s="29"/>
      <c r="P229" s="34"/>
      <c r="Q229" s="34"/>
      <c r="R229" s="34"/>
      <c r="S229" s="34"/>
      <c r="T229" s="34"/>
    </row>
    <row x14ac:dyDescent="0.25" r="230" customHeight="1" ht="18.75">
      <c r="A230" s="1"/>
      <c r="B230" s="150"/>
      <c r="C230" s="34"/>
      <c r="D230" s="34"/>
      <c r="E230" s="34"/>
      <c r="F230" s="34"/>
      <c r="G230" s="34"/>
      <c r="H230" s="34"/>
      <c r="I230" s="29"/>
      <c r="J230" s="29"/>
      <c r="K230" s="29"/>
      <c r="L230" s="29"/>
      <c r="M230" s="34"/>
      <c r="N230" s="34"/>
      <c r="O230" s="29"/>
      <c r="P230" s="34"/>
      <c r="Q230" s="34"/>
      <c r="R230" s="34"/>
      <c r="S230" s="34"/>
      <c r="T230" s="34"/>
    </row>
    <row x14ac:dyDescent="0.25" r="231" customHeight="1" ht="18.75">
      <c r="A231" s="1"/>
      <c r="B231" s="150"/>
      <c r="C231" s="34"/>
      <c r="D231" s="34"/>
      <c r="E231" s="34"/>
      <c r="F231" s="34"/>
      <c r="G231" s="34"/>
      <c r="H231" s="34"/>
      <c r="I231" s="29"/>
      <c r="J231" s="29"/>
      <c r="K231" s="29"/>
      <c r="L231" s="29"/>
      <c r="M231" s="34"/>
      <c r="N231" s="34"/>
      <c r="O231" s="29"/>
      <c r="P231" s="34"/>
      <c r="Q231" s="34"/>
      <c r="R231" s="34"/>
      <c r="S231" s="34"/>
      <c r="T231" s="34"/>
    </row>
    <row x14ac:dyDescent="0.25" r="232" customHeight="1" ht="18.75">
      <c r="A232" s="1"/>
      <c r="B232" s="150"/>
      <c r="C232" s="34"/>
      <c r="D232" s="34"/>
      <c r="E232" s="34"/>
      <c r="F232" s="34"/>
      <c r="G232" s="34"/>
      <c r="H232" s="34"/>
      <c r="I232" s="29"/>
      <c r="J232" s="29"/>
      <c r="K232" s="29"/>
      <c r="L232" s="29"/>
      <c r="M232" s="34"/>
      <c r="N232" s="34"/>
      <c r="O232" s="29"/>
      <c r="P232" s="34"/>
      <c r="Q232" s="34"/>
      <c r="R232" s="34"/>
      <c r="S232" s="34"/>
      <c r="T232" s="34"/>
    </row>
    <row x14ac:dyDescent="0.25" r="233" customHeight="1" ht="18.75">
      <c r="A233" s="1"/>
      <c r="B233" s="150"/>
      <c r="C233" s="34"/>
      <c r="D233" s="34"/>
      <c r="E233" s="34"/>
      <c r="F233" s="34"/>
      <c r="G233" s="34"/>
      <c r="H233" s="34"/>
      <c r="I233" s="29"/>
      <c r="J233" s="29"/>
      <c r="K233" s="29"/>
      <c r="L233" s="29"/>
      <c r="M233" s="34"/>
      <c r="N233" s="34"/>
      <c r="O233" s="29"/>
      <c r="P233" s="34"/>
      <c r="Q233" s="34"/>
      <c r="R233" s="34"/>
      <c r="S233" s="34"/>
      <c r="T233" s="34"/>
    </row>
    <row x14ac:dyDescent="0.25" r="234" customHeight="1" ht="18.75">
      <c r="A234" s="1"/>
      <c r="B234" s="150"/>
      <c r="C234" s="34"/>
      <c r="D234" s="34"/>
      <c r="E234" s="34"/>
      <c r="F234" s="34"/>
      <c r="G234" s="34"/>
      <c r="H234" s="34"/>
      <c r="I234" s="29"/>
      <c r="J234" s="29"/>
      <c r="K234" s="29"/>
      <c r="L234" s="29"/>
      <c r="M234" s="34"/>
      <c r="N234" s="34"/>
      <c r="O234" s="29"/>
      <c r="P234" s="34"/>
      <c r="Q234" s="34"/>
      <c r="R234" s="34"/>
      <c r="S234" s="34"/>
      <c r="T234" s="34"/>
    </row>
    <row x14ac:dyDescent="0.25" r="235" customHeight="1" ht="18.75">
      <c r="A235" s="1"/>
      <c r="B235" s="150"/>
      <c r="C235" s="34"/>
      <c r="D235" s="34"/>
      <c r="E235" s="34"/>
      <c r="F235" s="34"/>
      <c r="G235" s="34"/>
      <c r="H235" s="34"/>
      <c r="I235" s="29"/>
      <c r="J235" s="29"/>
      <c r="K235" s="29"/>
      <c r="L235" s="29"/>
      <c r="M235" s="34"/>
      <c r="N235" s="34"/>
      <c r="O235" s="29"/>
      <c r="P235" s="34"/>
      <c r="Q235" s="34"/>
      <c r="R235" s="34"/>
      <c r="S235" s="34"/>
      <c r="T235" s="34"/>
    </row>
    <row x14ac:dyDescent="0.25" r="236" customHeight="1" ht="18.75">
      <c r="A236" s="1"/>
      <c r="B236" s="150"/>
      <c r="C236" s="34"/>
      <c r="D236" s="34"/>
      <c r="E236" s="34"/>
      <c r="F236" s="34"/>
      <c r="G236" s="34"/>
      <c r="H236" s="34"/>
      <c r="I236" s="29"/>
      <c r="J236" s="29"/>
      <c r="K236" s="29"/>
      <c r="L236" s="29"/>
      <c r="M236" s="34"/>
      <c r="N236" s="34"/>
      <c r="O236" s="29"/>
      <c r="P236" s="34"/>
      <c r="Q236" s="34"/>
      <c r="R236" s="34"/>
      <c r="S236" s="34"/>
      <c r="T236" s="34"/>
    </row>
    <row x14ac:dyDescent="0.25" r="237" customHeight="1" ht="18.75">
      <c r="A237" s="1"/>
      <c r="B237" s="150"/>
      <c r="C237" s="34"/>
      <c r="D237" s="34"/>
      <c r="E237" s="34"/>
      <c r="F237" s="34"/>
      <c r="G237" s="34"/>
      <c r="H237" s="34"/>
      <c r="I237" s="29"/>
      <c r="J237" s="29"/>
      <c r="K237" s="29"/>
      <c r="L237" s="29"/>
      <c r="M237" s="34"/>
      <c r="N237" s="34"/>
      <c r="O237" s="29"/>
      <c r="P237" s="34"/>
      <c r="Q237" s="34"/>
      <c r="R237" s="34"/>
      <c r="S237" s="34"/>
      <c r="T237" s="34"/>
    </row>
    <row x14ac:dyDescent="0.25" r="238" customHeight="1" ht="18.75">
      <c r="A238" s="1"/>
      <c r="B238" s="150"/>
      <c r="C238" s="34"/>
      <c r="D238" s="34"/>
      <c r="E238" s="34"/>
      <c r="F238" s="34"/>
      <c r="G238" s="34"/>
      <c r="H238" s="34"/>
      <c r="I238" s="29"/>
      <c r="J238" s="29"/>
      <c r="K238" s="29"/>
      <c r="L238" s="29"/>
      <c r="M238" s="34"/>
      <c r="N238" s="34"/>
      <c r="O238" s="29"/>
      <c r="P238" s="34"/>
      <c r="Q238" s="34"/>
      <c r="R238" s="34"/>
      <c r="S238" s="34"/>
      <c r="T238" s="34"/>
    </row>
    <row x14ac:dyDescent="0.25" r="239" customHeight="1" ht="18.75">
      <c r="A239" s="1"/>
      <c r="B239" s="150"/>
      <c r="C239" s="34"/>
      <c r="D239" s="34"/>
      <c r="E239" s="34"/>
      <c r="F239" s="34"/>
      <c r="G239" s="34"/>
      <c r="H239" s="34"/>
      <c r="I239" s="29"/>
      <c r="J239" s="29"/>
      <c r="K239" s="29"/>
      <c r="L239" s="29"/>
      <c r="M239" s="34"/>
      <c r="N239" s="34"/>
      <c r="O239" s="29"/>
      <c r="P239" s="34"/>
      <c r="Q239" s="34"/>
      <c r="R239" s="34"/>
      <c r="S239" s="34"/>
      <c r="T239" s="34"/>
    </row>
    <row x14ac:dyDescent="0.25" r="240" customHeight="1" ht="18.75">
      <c r="A240" s="1"/>
      <c r="B240" s="150"/>
      <c r="C240" s="34"/>
      <c r="D240" s="34"/>
      <c r="E240" s="34"/>
      <c r="F240" s="34"/>
      <c r="G240" s="34"/>
      <c r="H240" s="34"/>
      <c r="I240" s="29"/>
      <c r="J240" s="29"/>
      <c r="K240" s="29"/>
      <c r="L240" s="29"/>
      <c r="M240" s="34"/>
      <c r="N240" s="34"/>
      <c r="O240" s="29"/>
      <c r="P240" s="34"/>
      <c r="Q240" s="34"/>
      <c r="R240" s="34"/>
      <c r="S240" s="34"/>
      <c r="T240" s="34"/>
    </row>
    <row x14ac:dyDescent="0.25" r="241" customHeight="1" ht="18.75">
      <c r="A241" s="1"/>
      <c r="B241" s="150"/>
      <c r="C241" s="34"/>
      <c r="D241" s="34"/>
      <c r="E241" s="34"/>
      <c r="F241" s="34"/>
      <c r="G241" s="34"/>
      <c r="H241" s="34"/>
      <c r="I241" s="29"/>
      <c r="J241" s="29"/>
      <c r="K241" s="29"/>
      <c r="L241" s="29"/>
      <c r="M241" s="34"/>
      <c r="N241" s="34"/>
      <c r="O241" s="29"/>
      <c r="P241" s="34"/>
      <c r="Q241" s="34"/>
      <c r="R241" s="34"/>
      <c r="S241" s="34"/>
      <c r="T241" s="34"/>
    </row>
    <row x14ac:dyDescent="0.25" r="242" customHeight="1" ht="18.75">
      <c r="A242" s="1"/>
      <c r="B242" s="150"/>
      <c r="C242" s="34"/>
      <c r="D242" s="34"/>
      <c r="E242" s="34"/>
      <c r="F242" s="34"/>
      <c r="G242" s="34"/>
      <c r="H242" s="34"/>
      <c r="I242" s="29"/>
      <c r="J242" s="29"/>
      <c r="K242" s="29"/>
      <c r="L242" s="29"/>
      <c r="M242" s="34"/>
      <c r="N242" s="34"/>
      <c r="O242" s="29"/>
      <c r="P242" s="34"/>
      <c r="Q242" s="34"/>
      <c r="R242" s="34"/>
      <c r="S242" s="34"/>
      <c r="T242" s="34"/>
    </row>
    <row x14ac:dyDescent="0.25" r="243" customHeight="1" ht="18.75">
      <c r="A243" s="1"/>
      <c r="B243" s="150"/>
      <c r="C243" s="34"/>
      <c r="D243" s="34"/>
      <c r="E243" s="34"/>
      <c r="F243" s="34"/>
      <c r="G243" s="34"/>
      <c r="H243" s="34"/>
      <c r="I243" s="29"/>
      <c r="J243" s="29"/>
      <c r="K243" s="29"/>
      <c r="L243" s="29"/>
      <c r="M243" s="34"/>
      <c r="N243" s="34"/>
      <c r="O243" s="29"/>
      <c r="P243" s="34"/>
      <c r="Q243" s="34"/>
      <c r="R243" s="34"/>
      <c r="S243" s="34"/>
      <c r="T243" s="34"/>
    </row>
    <row x14ac:dyDescent="0.25" r="244" customHeight="1" ht="18.75">
      <c r="A244" s="1"/>
      <c r="B244" s="150"/>
      <c r="C244" s="34"/>
      <c r="D244" s="34"/>
      <c r="E244" s="34"/>
      <c r="F244" s="34"/>
      <c r="G244" s="34"/>
      <c r="H244" s="34"/>
      <c r="I244" s="29"/>
      <c r="J244" s="29"/>
      <c r="K244" s="29"/>
      <c r="L244" s="29"/>
      <c r="M244" s="34"/>
      <c r="N244" s="34"/>
      <c r="O244" s="29"/>
      <c r="P244" s="34"/>
      <c r="Q244" s="34"/>
      <c r="R244" s="34"/>
      <c r="S244" s="34"/>
      <c r="T244" s="34"/>
    </row>
    <row x14ac:dyDescent="0.25" r="245" customHeight="1" ht="18.75">
      <c r="A245" s="1"/>
      <c r="B245" s="150"/>
      <c r="C245" s="34"/>
      <c r="D245" s="34"/>
      <c r="E245" s="34"/>
      <c r="F245" s="34"/>
      <c r="G245" s="34"/>
      <c r="H245" s="34"/>
      <c r="I245" s="29"/>
      <c r="J245" s="29"/>
      <c r="K245" s="29"/>
      <c r="L245" s="29"/>
      <c r="M245" s="34"/>
      <c r="N245" s="34"/>
      <c r="O245" s="29"/>
      <c r="P245" s="34"/>
      <c r="Q245" s="34"/>
      <c r="R245" s="34"/>
      <c r="S245" s="34"/>
      <c r="T245" s="34"/>
    </row>
    <row x14ac:dyDescent="0.25" r="246" customHeight="1" ht="18.75">
      <c r="A246" s="1"/>
      <c r="B246" s="150"/>
      <c r="C246" s="34"/>
      <c r="D246" s="34"/>
      <c r="E246" s="34"/>
      <c r="F246" s="34"/>
      <c r="G246" s="34"/>
      <c r="H246" s="34"/>
      <c r="I246" s="29"/>
      <c r="J246" s="29"/>
      <c r="K246" s="29"/>
      <c r="L246" s="29"/>
      <c r="M246" s="34"/>
      <c r="N246" s="34"/>
      <c r="O246" s="29"/>
      <c r="P246" s="34"/>
      <c r="Q246" s="34"/>
      <c r="R246" s="34"/>
      <c r="S246" s="34"/>
      <c r="T246" s="34"/>
    </row>
    <row x14ac:dyDescent="0.25" r="247" customHeight="1" ht="18.75">
      <c r="A247" s="1"/>
      <c r="B247" s="150"/>
      <c r="C247" s="34"/>
      <c r="D247" s="34"/>
      <c r="E247" s="34"/>
      <c r="F247" s="34"/>
      <c r="G247" s="34"/>
      <c r="H247" s="34"/>
      <c r="I247" s="29"/>
      <c r="J247" s="29"/>
      <c r="K247" s="29"/>
      <c r="L247" s="29"/>
      <c r="M247" s="34"/>
      <c r="N247" s="34"/>
      <c r="O247" s="29"/>
      <c r="P247" s="34"/>
      <c r="Q247" s="34"/>
      <c r="R247" s="34"/>
      <c r="S247" s="34"/>
      <c r="T247" s="34"/>
    </row>
    <row x14ac:dyDescent="0.25" r="248" customHeight="1" ht="18.75">
      <c r="A248" s="1"/>
      <c r="B248" s="150"/>
      <c r="C248" s="34"/>
      <c r="D248" s="34"/>
      <c r="E248" s="34"/>
      <c r="F248" s="34"/>
      <c r="G248" s="34"/>
      <c r="H248" s="34"/>
      <c r="I248" s="29"/>
      <c r="J248" s="29"/>
      <c r="K248" s="29"/>
      <c r="L248" s="29"/>
      <c r="M248" s="34"/>
      <c r="N248" s="34"/>
      <c r="O248" s="29"/>
      <c r="P248" s="34"/>
      <c r="Q248" s="34"/>
      <c r="R248" s="34"/>
      <c r="S248" s="34"/>
      <c r="T248" s="34"/>
    </row>
    <row x14ac:dyDescent="0.25" r="249" customHeight="1" ht="18.75">
      <c r="A249" s="1"/>
      <c r="B249" s="150"/>
      <c r="C249" s="34"/>
      <c r="D249" s="34"/>
      <c r="E249" s="34"/>
      <c r="F249" s="34"/>
      <c r="G249" s="34"/>
      <c r="H249" s="34"/>
      <c r="I249" s="29"/>
      <c r="J249" s="29"/>
      <c r="K249" s="29"/>
      <c r="L249" s="29"/>
      <c r="M249" s="34"/>
      <c r="N249" s="34"/>
      <c r="O249" s="29"/>
      <c r="P249" s="34"/>
      <c r="Q249" s="34"/>
      <c r="R249" s="34"/>
      <c r="S249" s="34"/>
      <c r="T249" s="34"/>
    </row>
    <row x14ac:dyDescent="0.25" r="250" customHeight="1" ht="18.75">
      <c r="A250" s="1"/>
      <c r="B250" s="150"/>
      <c r="C250" s="34"/>
      <c r="D250" s="34"/>
      <c r="E250" s="34"/>
      <c r="F250" s="34"/>
      <c r="G250" s="34"/>
      <c r="H250" s="34"/>
      <c r="I250" s="29"/>
      <c r="J250" s="29"/>
      <c r="K250" s="29"/>
      <c r="L250" s="29"/>
      <c r="M250" s="34"/>
      <c r="N250" s="34"/>
      <c r="O250" s="29"/>
      <c r="P250" s="34"/>
      <c r="Q250" s="34"/>
      <c r="R250" s="34"/>
      <c r="S250" s="34"/>
      <c r="T250" s="34"/>
    </row>
    <row x14ac:dyDescent="0.25" r="251" customHeight="1" ht="18.75">
      <c r="A251" s="1"/>
      <c r="B251" s="150"/>
      <c r="C251" s="34"/>
      <c r="D251" s="34"/>
      <c r="E251" s="34"/>
      <c r="F251" s="34"/>
      <c r="G251" s="34"/>
      <c r="H251" s="34"/>
      <c r="I251" s="29"/>
      <c r="J251" s="29"/>
      <c r="K251" s="29"/>
      <c r="L251" s="29"/>
      <c r="M251" s="34"/>
      <c r="N251" s="34"/>
      <c r="O251" s="29"/>
      <c r="P251" s="34"/>
      <c r="Q251" s="34"/>
      <c r="R251" s="34"/>
      <c r="S251" s="34"/>
      <c r="T251" s="34"/>
    </row>
    <row x14ac:dyDescent="0.25" r="252" customHeight="1" ht="18.75">
      <c r="A252" s="1"/>
      <c r="B252" s="150"/>
      <c r="C252" s="34"/>
      <c r="D252" s="34"/>
      <c r="E252" s="34"/>
      <c r="F252" s="34"/>
      <c r="G252" s="34"/>
      <c r="H252" s="34"/>
      <c r="I252" s="29"/>
      <c r="J252" s="29"/>
      <c r="K252" s="29"/>
      <c r="L252" s="29"/>
      <c r="M252" s="34"/>
      <c r="N252" s="34"/>
      <c r="O252" s="29"/>
      <c r="P252" s="34"/>
      <c r="Q252" s="34"/>
      <c r="R252" s="34"/>
      <c r="S252" s="34"/>
      <c r="T252" s="34"/>
    </row>
    <row x14ac:dyDescent="0.25" r="253" customHeight="1" ht="18.75">
      <c r="A253" s="1"/>
      <c r="B253" s="150"/>
      <c r="C253" s="34"/>
      <c r="D253" s="34"/>
      <c r="E253" s="34"/>
      <c r="F253" s="34"/>
      <c r="G253" s="34"/>
      <c r="H253" s="34"/>
      <c r="I253" s="29"/>
      <c r="J253" s="29"/>
      <c r="K253" s="29"/>
      <c r="L253" s="29"/>
      <c r="M253" s="34"/>
      <c r="N253" s="34"/>
      <c r="O253" s="29"/>
      <c r="P253" s="34"/>
      <c r="Q253" s="34"/>
      <c r="R253" s="34"/>
      <c r="S253" s="34"/>
      <c r="T253" s="34"/>
    </row>
    <row x14ac:dyDescent="0.25" r="254" customHeight="1" ht="18.75">
      <c r="A254" s="1"/>
      <c r="B254" s="150"/>
      <c r="C254" s="34"/>
      <c r="D254" s="34"/>
      <c r="E254" s="34"/>
      <c r="F254" s="34"/>
      <c r="G254" s="34"/>
      <c r="H254" s="34"/>
      <c r="I254" s="29"/>
      <c r="J254" s="29"/>
      <c r="K254" s="29"/>
      <c r="L254" s="29"/>
      <c r="M254" s="34"/>
      <c r="N254" s="34"/>
      <c r="O254" s="29"/>
      <c r="P254" s="34"/>
      <c r="Q254" s="34"/>
      <c r="R254" s="34"/>
      <c r="S254" s="34"/>
      <c r="T254" s="34"/>
    </row>
    <row x14ac:dyDescent="0.25" r="255" customHeight="1" ht="18.75">
      <c r="A255" s="1"/>
      <c r="B255" s="150"/>
      <c r="C255" s="34"/>
      <c r="D255" s="34"/>
      <c r="E255" s="34"/>
      <c r="F255" s="34"/>
      <c r="G255" s="34"/>
      <c r="H255" s="34"/>
      <c r="I255" s="29"/>
      <c r="J255" s="29"/>
      <c r="K255" s="29"/>
      <c r="L255" s="29"/>
      <c r="M255" s="34"/>
      <c r="N255" s="34"/>
      <c r="O255" s="29"/>
      <c r="P255" s="34"/>
      <c r="Q255" s="34"/>
      <c r="R255" s="34"/>
      <c r="S255" s="34"/>
      <c r="T255" s="34"/>
    </row>
    <row x14ac:dyDescent="0.25" r="256" customHeight="1" ht="18.75">
      <c r="A256" s="1"/>
      <c r="B256" s="150"/>
      <c r="C256" s="34"/>
      <c r="D256" s="34"/>
      <c r="E256" s="34"/>
      <c r="F256" s="34"/>
      <c r="G256" s="34"/>
      <c r="H256" s="34"/>
      <c r="I256" s="29"/>
      <c r="J256" s="29"/>
      <c r="K256" s="29"/>
      <c r="L256" s="29"/>
      <c r="M256" s="34"/>
      <c r="N256" s="34"/>
      <c r="O256" s="29"/>
      <c r="P256" s="34"/>
      <c r="Q256" s="34"/>
      <c r="R256" s="34"/>
      <c r="S256" s="34"/>
      <c r="T256" s="34"/>
    </row>
    <row x14ac:dyDescent="0.25" r="257" customHeight="1" ht="18.75">
      <c r="A257" s="1"/>
      <c r="B257" s="150"/>
      <c r="C257" s="34"/>
      <c r="D257" s="34"/>
      <c r="E257" s="34"/>
      <c r="F257" s="34"/>
      <c r="G257" s="34"/>
      <c r="H257" s="34"/>
      <c r="I257" s="29"/>
      <c r="J257" s="29"/>
      <c r="K257" s="29"/>
      <c r="L257" s="29"/>
      <c r="M257" s="34"/>
      <c r="N257" s="34"/>
      <c r="O257" s="29"/>
      <c r="P257" s="34"/>
      <c r="Q257" s="34"/>
      <c r="R257" s="34"/>
      <c r="S257" s="34"/>
      <c r="T257" s="34"/>
    </row>
    <row x14ac:dyDescent="0.25" r="258" customHeight="1" ht="18.75">
      <c r="A258" s="1"/>
      <c r="B258" s="150"/>
      <c r="C258" s="34"/>
      <c r="D258" s="34"/>
      <c r="E258" s="34"/>
      <c r="F258" s="34"/>
      <c r="G258" s="34"/>
      <c r="H258" s="34"/>
      <c r="I258" s="29"/>
      <c r="J258" s="29"/>
      <c r="K258" s="29"/>
      <c r="L258" s="29"/>
      <c r="M258" s="34"/>
      <c r="N258" s="34"/>
      <c r="O258" s="29"/>
      <c r="P258" s="34"/>
      <c r="Q258" s="34"/>
      <c r="R258" s="34"/>
      <c r="S258" s="34"/>
      <c r="T258" s="34"/>
    </row>
    <row x14ac:dyDescent="0.25" r="259" customHeight="1" ht="18.75">
      <c r="A259" s="1"/>
      <c r="B259" s="150"/>
      <c r="C259" s="34"/>
      <c r="D259" s="34"/>
      <c r="E259" s="34"/>
      <c r="F259" s="34"/>
      <c r="G259" s="34"/>
      <c r="H259" s="34"/>
      <c r="I259" s="29"/>
      <c r="J259" s="29"/>
      <c r="K259" s="29"/>
      <c r="L259" s="29"/>
      <c r="M259" s="34"/>
      <c r="N259" s="34"/>
      <c r="O259" s="29"/>
      <c r="P259" s="34"/>
      <c r="Q259" s="34"/>
      <c r="R259" s="34"/>
      <c r="S259" s="34"/>
      <c r="T259" s="34"/>
    </row>
    <row x14ac:dyDescent="0.25" r="260" customHeight="1" ht="18.75">
      <c r="A260" s="1"/>
      <c r="B260" s="150"/>
      <c r="C260" s="34"/>
      <c r="D260" s="34"/>
      <c r="E260" s="34"/>
      <c r="F260" s="34"/>
      <c r="G260" s="34"/>
      <c r="H260" s="34"/>
      <c r="I260" s="29"/>
      <c r="J260" s="29"/>
      <c r="K260" s="29"/>
      <c r="L260" s="29"/>
      <c r="M260" s="34"/>
      <c r="N260" s="34"/>
      <c r="O260" s="29"/>
      <c r="P260" s="34"/>
      <c r="Q260" s="34"/>
      <c r="R260" s="34"/>
      <c r="S260" s="34"/>
      <c r="T260" s="34"/>
    </row>
    <row x14ac:dyDescent="0.25" r="261" customHeight="1" ht="18.75">
      <c r="A261" s="1"/>
      <c r="B261" s="150"/>
      <c r="C261" s="34"/>
      <c r="D261" s="34"/>
      <c r="E261" s="34"/>
      <c r="F261" s="34"/>
      <c r="G261" s="34"/>
      <c r="H261" s="34"/>
      <c r="I261" s="29"/>
      <c r="J261" s="29"/>
      <c r="K261" s="29"/>
      <c r="L261" s="29"/>
      <c r="M261" s="34"/>
      <c r="N261" s="34"/>
      <c r="O261" s="29"/>
      <c r="P261" s="34"/>
      <c r="Q261" s="34"/>
      <c r="R261" s="34"/>
      <c r="S261" s="34"/>
      <c r="T261" s="34"/>
    </row>
    <row x14ac:dyDescent="0.25" r="262" customHeight="1" ht="18.75">
      <c r="A262" s="1"/>
      <c r="B262" s="150"/>
      <c r="C262" s="34"/>
      <c r="D262" s="34"/>
      <c r="E262" s="34"/>
      <c r="F262" s="34"/>
      <c r="G262" s="34"/>
      <c r="H262" s="34"/>
      <c r="I262" s="29"/>
      <c r="J262" s="29"/>
      <c r="K262" s="29"/>
      <c r="L262" s="29"/>
      <c r="M262" s="34"/>
      <c r="N262" s="34"/>
      <c r="O262" s="29"/>
      <c r="P262" s="34"/>
      <c r="Q262" s="34"/>
      <c r="R262" s="34"/>
      <c r="S262" s="34"/>
      <c r="T262" s="34"/>
    </row>
    <row x14ac:dyDescent="0.25" r="263" customHeight="1" ht="18.75">
      <c r="A263" s="1"/>
      <c r="B263" s="150"/>
      <c r="C263" s="34"/>
      <c r="D263" s="34"/>
      <c r="E263" s="34"/>
      <c r="F263" s="34"/>
      <c r="G263" s="34"/>
      <c r="H263" s="34"/>
      <c r="I263" s="29"/>
      <c r="J263" s="29"/>
      <c r="K263" s="29"/>
      <c r="L263" s="29"/>
      <c r="M263" s="34"/>
      <c r="N263" s="34"/>
      <c r="O263" s="29"/>
      <c r="P263" s="34"/>
      <c r="Q263" s="34"/>
      <c r="R263" s="34"/>
      <c r="S263" s="34"/>
      <c r="T263" s="34"/>
    </row>
    <row x14ac:dyDescent="0.25" r="264" customHeight="1" ht="18.75">
      <c r="A264" s="1"/>
      <c r="B264" s="150"/>
      <c r="C264" s="34"/>
      <c r="D264" s="34"/>
      <c r="E264" s="34"/>
      <c r="F264" s="34"/>
      <c r="G264" s="34"/>
      <c r="H264" s="34"/>
      <c r="I264" s="29"/>
      <c r="J264" s="29"/>
      <c r="K264" s="29"/>
      <c r="L264" s="29"/>
      <c r="M264" s="34"/>
      <c r="N264" s="34"/>
      <c r="O264" s="29"/>
      <c r="P264" s="34"/>
      <c r="Q264" s="34"/>
      <c r="R264" s="34"/>
      <c r="S264" s="34"/>
      <c r="T264" s="34"/>
    </row>
    <row x14ac:dyDescent="0.25" r="265" customHeight="1" ht="18.75">
      <c r="A265" s="1"/>
      <c r="B265" s="150"/>
      <c r="C265" s="34"/>
      <c r="D265" s="34"/>
      <c r="E265" s="34"/>
      <c r="F265" s="34"/>
      <c r="G265" s="34"/>
      <c r="H265" s="34"/>
      <c r="I265" s="29"/>
      <c r="J265" s="29"/>
      <c r="K265" s="29"/>
      <c r="L265" s="29"/>
      <c r="M265" s="34"/>
      <c r="N265" s="34"/>
      <c r="O265" s="29"/>
      <c r="P265" s="34"/>
      <c r="Q265" s="34"/>
      <c r="R265" s="34"/>
      <c r="S265" s="34"/>
      <c r="T265" s="34"/>
    </row>
    <row x14ac:dyDescent="0.25" r="266" customHeight="1" ht="18.75">
      <c r="A266" s="1"/>
      <c r="B266" s="150"/>
      <c r="C266" s="34"/>
      <c r="D266" s="34"/>
      <c r="E266" s="34"/>
      <c r="F266" s="34"/>
      <c r="G266" s="34"/>
      <c r="H266" s="34"/>
      <c r="I266" s="29"/>
      <c r="J266" s="29"/>
      <c r="K266" s="29"/>
      <c r="L266" s="29"/>
      <c r="M266" s="34"/>
      <c r="N266" s="34"/>
      <c r="O266" s="29"/>
      <c r="P266" s="34"/>
      <c r="Q266" s="34"/>
      <c r="R266" s="34"/>
      <c r="S266" s="34"/>
      <c r="T266" s="34"/>
    </row>
    <row x14ac:dyDescent="0.25" r="267" customHeight="1" ht="18.75">
      <c r="A267" s="1"/>
      <c r="B267" s="150"/>
      <c r="C267" s="34"/>
      <c r="D267" s="34"/>
      <c r="E267" s="34"/>
      <c r="F267" s="34"/>
      <c r="G267" s="34"/>
      <c r="H267" s="34"/>
      <c r="I267" s="29"/>
      <c r="J267" s="29"/>
      <c r="K267" s="29"/>
      <c r="L267" s="29"/>
      <c r="M267" s="34"/>
      <c r="N267" s="34"/>
      <c r="O267" s="29"/>
      <c r="P267" s="34"/>
      <c r="Q267" s="34"/>
      <c r="R267" s="34"/>
      <c r="S267" s="34"/>
      <c r="T267" s="34"/>
    </row>
    <row x14ac:dyDescent="0.25" r="268" customHeight="1" ht="18.75">
      <c r="A268" s="1"/>
      <c r="B268" s="150"/>
      <c r="C268" s="34"/>
      <c r="D268" s="34"/>
      <c r="E268" s="34"/>
      <c r="F268" s="34"/>
      <c r="G268" s="34"/>
      <c r="H268" s="34"/>
      <c r="I268" s="29"/>
      <c r="J268" s="29"/>
      <c r="K268" s="29"/>
      <c r="L268" s="29"/>
      <c r="M268" s="34"/>
      <c r="N268" s="34"/>
      <c r="O268" s="29"/>
      <c r="P268" s="34"/>
      <c r="Q268" s="34"/>
      <c r="R268" s="34"/>
      <c r="S268" s="34"/>
      <c r="T268" s="34"/>
    </row>
    <row x14ac:dyDescent="0.25" r="269" customHeight="1" ht="18.75">
      <c r="A269" s="1"/>
      <c r="B269" s="150"/>
      <c r="C269" s="34"/>
      <c r="D269" s="34"/>
      <c r="E269" s="34"/>
      <c r="F269" s="34"/>
      <c r="G269" s="34"/>
      <c r="H269" s="34"/>
      <c r="I269" s="29"/>
      <c r="J269" s="29"/>
      <c r="K269" s="29"/>
      <c r="L269" s="29"/>
      <c r="M269" s="34"/>
      <c r="N269" s="34"/>
      <c r="O269" s="29"/>
      <c r="P269" s="34"/>
      <c r="Q269" s="34"/>
      <c r="R269" s="34"/>
      <c r="S269" s="34"/>
      <c r="T269" s="34"/>
    </row>
    <row x14ac:dyDescent="0.25" r="270" customHeight="1" ht="18.75">
      <c r="A270" s="1"/>
      <c r="B270" s="150"/>
      <c r="C270" s="34"/>
      <c r="D270" s="34"/>
      <c r="E270" s="34"/>
      <c r="F270" s="34"/>
      <c r="G270" s="34"/>
      <c r="H270" s="34"/>
      <c r="I270" s="29"/>
      <c r="J270" s="29"/>
      <c r="K270" s="29"/>
      <c r="L270" s="29"/>
      <c r="M270" s="34"/>
      <c r="N270" s="34"/>
      <c r="O270" s="29"/>
      <c r="P270" s="34"/>
      <c r="Q270" s="34"/>
      <c r="R270" s="34"/>
      <c r="S270" s="34"/>
      <c r="T270" s="34"/>
    </row>
    <row x14ac:dyDescent="0.25" r="271" customHeight="1" ht="18.75">
      <c r="A271" s="1"/>
      <c r="B271" s="150"/>
      <c r="C271" s="34"/>
      <c r="D271" s="34"/>
      <c r="E271" s="34"/>
      <c r="F271" s="34"/>
      <c r="G271" s="34"/>
      <c r="H271" s="34"/>
      <c r="I271" s="29"/>
      <c r="J271" s="29"/>
      <c r="K271" s="29"/>
      <c r="L271" s="29"/>
      <c r="M271" s="34"/>
      <c r="N271" s="34"/>
      <c r="O271" s="29"/>
      <c r="P271" s="34"/>
      <c r="Q271" s="34"/>
      <c r="R271" s="34"/>
      <c r="S271" s="34"/>
      <c r="T271" s="34"/>
    </row>
    <row x14ac:dyDescent="0.25" r="272" customHeight="1" ht="18.75">
      <c r="A272" s="1"/>
      <c r="B272" s="150"/>
      <c r="C272" s="34"/>
      <c r="D272" s="34"/>
      <c r="E272" s="34"/>
      <c r="F272" s="34"/>
      <c r="G272" s="34"/>
      <c r="H272" s="34"/>
      <c r="I272" s="29"/>
      <c r="J272" s="29"/>
      <c r="K272" s="29"/>
      <c r="L272" s="29"/>
      <c r="M272" s="34"/>
      <c r="N272" s="34"/>
      <c r="O272" s="29"/>
      <c r="P272" s="34"/>
      <c r="Q272" s="34"/>
      <c r="R272" s="34"/>
      <c r="S272" s="34"/>
      <c r="T272" s="34"/>
    </row>
    <row x14ac:dyDescent="0.25" r="273" customHeight="1" ht="18.75">
      <c r="A273" s="1"/>
      <c r="B273" s="150"/>
      <c r="C273" s="34"/>
      <c r="D273" s="34"/>
      <c r="E273" s="34"/>
      <c r="F273" s="34"/>
      <c r="G273" s="34"/>
      <c r="H273" s="34"/>
      <c r="I273" s="29"/>
      <c r="J273" s="29"/>
      <c r="K273" s="29"/>
      <c r="L273" s="29"/>
      <c r="M273" s="34"/>
      <c r="N273" s="34"/>
      <c r="O273" s="29"/>
      <c r="P273" s="34"/>
      <c r="Q273" s="34"/>
      <c r="R273" s="34"/>
      <c r="S273" s="34"/>
      <c r="T273" s="34"/>
    </row>
    <row x14ac:dyDescent="0.25" r="274" customHeight="1" ht="18.75">
      <c r="A274" s="1"/>
      <c r="B274" s="150"/>
      <c r="C274" s="34"/>
      <c r="D274" s="34"/>
      <c r="E274" s="34"/>
      <c r="F274" s="34"/>
      <c r="G274" s="34"/>
      <c r="H274" s="34"/>
      <c r="I274" s="29"/>
      <c r="J274" s="29"/>
      <c r="K274" s="29"/>
      <c r="L274" s="29"/>
      <c r="M274" s="34"/>
      <c r="N274" s="34"/>
      <c r="O274" s="29"/>
      <c r="P274" s="34"/>
      <c r="Q274" s="34"/>
      <c r="R274" s="34"/>
      <c r="S274" s="34"/>
      <c r="T274" s="34"/>
    </row>
    <row x14ac:dyDescent="0.25" r="275" customHeight="1" ht="18.75">
      <c r="A275" s="1"/>
      <c r="B275" s="150"/>
      <c r="C275" s="34"/>
      <c r="D275" s="34"/>
      <c r="E275" s="34"/>
      <c r="F275" s="34"/>
      <c r="G275" s="34"/>
      <c r="H275" s="34"/>
      <c r="I275" s="29"/>
      <c r="J275" s="29"/>
      <c r="K275" s="29"/>
      <c r="L275" s="29"/>
      <c r="M275" s="34"/>
      <c r="N275" s="34"/>
      <c r="O275" s="29"/>
      <c r="P275" s="34"/>
      <c r="Q275" s="34"/>
      <c r="R275" s="34"/>
      <c r="S275" s="34"/>
      <c r="T275" s="34"/>
    </row>
    <row x14ac:dyDescent="0.25" r="276" customHeight="1" ht="18.75">
      <c r="A276" s="1"/>
      <c r="B276" s="150"/>
      <c r="C276" s="34"/>
      <c r="D276" s="34"/>
      <c r="E276" s="34"/>
      <c r="F276" s="34"/>
      <c r="G276" s="34"/>
      <c r="H276" s="34"/>
      <c r="I276" s="29"/>
      <c r="J276" s="6">
        <f>SUM(J2:J275)</f>
      </c>
      <c r="K276" s="6">
        <f>SUM(K2:K275)</f>
      </c>
      <c r="L276" s="6">
        <f>SUM(L2:L275)</f>
      </c>
      <c r="M276" s="34"/>
      <c r="N276" s="34"/>
      <c r="O276" s="29"/>
      <c r="P276" s="34"/>
      <c r="Q276" s="34"/>
      <c r="R276" s="34"/>
      <c r="S276" s="34"/>
      <c r="T276" s="34"/>
    </row>
    <row x14ac:dyDescent="0.25" r="277" customHeight="1" ht="18.75">
      <c r="A277" s="1"/>
      <c r="B277" s="150"/>
      <c r="C277" s="34"/>
      <c r="D277" s="34"/>
      <c r="E277" s="34"/>
      <c r="F277" s="34"/>
      <c r="G277" s="34"/>
      <c r="H277" s="34"/>
      <c r="I277" s="29"/>
      <c r="J277" s="29"/>
      <c r="K277" s="29"/>
      <c r="L277" s="29"/>
      <c r="M277" s="34"/>
      <c r="N277" s="34"/>
      <c r="O277" s="29"/>
      <c r="P277" s="34"/>
      <c r="Q277" s="34"/>
      <c r="R277" s="34"/>
      <c r="S277" s="34"/>
      <c r="T277" s="34"/>
    </row>
    <row x14ac:dyDescent="0.25" r="278" customHeight="1" ht="18.75">
      <c r="A278" s="1"/>
      <c r="B278" s="150"/>
      <c r="C278" s="34"/>
      <c r="D278" s="34"/>
      <c r="E278" s="34"/>
      <c r="F278" s="34"/>
      <c r="G278" s="34"/>
      <c r="H278" s="34"/>
      <c r="I278" s="29"/>
      <c r="J278" s="29"/>
      <c r="K278" s="29"/>
      <c r="L278" s="29"/>
      <c r="M278" s="34"/>
      <c r="N278" s="34"/>
      <c r="O278" s="29"/>
      <c r="P278" s="34"/>
      <c r="Q278" s="34"/>
      <c r="R278" s="34"/>
      <c r="S278" s="34"/>
      <c r="T278" s="34"/>
    </row>
    <row x14ac:dyDescent="0.25" r="279" customHeight="1" ht="18.75">
      <c r="A279" s="1"/>
      <c r="B279" s="150"/>
      <c r="C279" s="34"/>
      <c r="D279" s="34"/>
      <c r="E279" s="34"/>
      <c r="F279" s="34"/>
      <c r="G279" s="34"/>
      <c r="H279" s="34"/>
      <c r="I279" s="29"/>
      <c r="J279" s="29"/>
      <c r="K279" s="29"/>
      <c r="L279" s="29"/>
      <c r="M279" s="34"/>
      <c r="N279" s="34"/>
      <c r="O279" s="29"/>
      <c r="P279" s="34"/>
      <c r="Q279" s="34"/>
      <c r="R279" s="34"/>
      <c r="S279" s="34"/>
      <c r="T279" s="34"/>
    </row>
    <row x14ac:dyDescent="0.25" r="280" customHeight="1" ht="18.75">
      <c r="A280" s="1"/>
      <c r="B280" s="150"/>
      <c r="C280" s="34"/>
      <c r="D280" s="34"/>
      <c r="E280" s="34"/>
      <c r="F280" s="34"/>
      <c r="G280" s="34"/>
      <c r="H280" s="34"/>
      <c r="I280" s="29"/>
      <c r="J280" s="29"/>
      <c r="K280" s="29"/>
      <c r="L280" s="29"/>
      <c r="M280" s="34"/>
      <c r="N280" s="34"/>
      <c r="O280" s="29"/>
      <c r="P280" s="34"/>
      <c r="Q280" s="34"/>
      <c r="R280" s="34"/>
      <c r="S280" s="34"/>
      <c r="T280" s="34"/>
    </row>
    <row x14ac:dyDescent="0.25" r="281" customHeight="1" ht="18.75">
      <c r="A281" s="1"/>
      <c r="B281" s="150"/>
      <c r="C281" s="34"/>
      <c r="D281" s="34"/>
      <c r="E281" s="34"/>
      <c r="F281" s="34"/>
      <c r="G281" s="34"/>
      <c r="H281" s="34"/>
      <c r="I281" s="29"/>
      <c r="J281" s="29"/>
      <c r="K281" s="29"/>
      <c r="L281" s="29"/>
      <c r="M281" s="34"/>
      <c r="N281" s="34"/>
      <c r="O281" s="29"/>
      <c r="P281" s="34"/>
      <c r="Q281" s="34"/>
      <c r="R281" s="34"/>
      <c r="S281" s="34"/>
      <c r="T281" s="34"/>
    </row>
    <row x14ac:dyDescent="0.25" r="282" customHeight="1" ht="18.75">
      <c r="A282" s="1"/>
      <c r="B282" s="150"/>
      <c r="C282" s="34"/>
      <c r="D282" s="34"/>
      <c r="E282" s="34"/>
      <c r="F282" s="34"/>
      <c r="G282" s="34"/>
      <c r="H282" s="34"/>
      <c r="I282" s="29"/>
      <c r="J282" s="29"/>
      <c r="K282" s="29"/>
      <c r="L282" s="29"/>
      <c r="M282" s="34"/>
      <c r="N282" s="34"/>
      <c r="O282" s="29"/>
      <c r="P282" s="34"/>
      <c r="Q282" s="34"/>
      <c r="R282" s="34"/>
      <c r="S282" s="34"/>
      <c r="T282" s="34"/>
    </row>
    <row x14ac:dyDescent="0.25" r="283" customHeight="1" ht="18.75">
      <c r="A283" s="1"/>
      <c r="B283" s="150"/>
      <c r="C283" s="34"/>
      <c r="D283" s="34"/>
      <c r="E283" s="34"/>
      <c r="F283" s="34"/>
      <c r="G283" s="34"/>
      <c r="H283" s="34"/>
      <c r="I283" s="29"/>
      <c r="J283" s="29"/>
      <c r="K283" s="29"/>
      <c r="L283" s="29"/>
      <c r="M283" s="34"/>
      <c r="N283" s="34"/>
      <c r="O283" s="29"/>
      <c r="P283" s="34"/>
      <c r="Q283" s="34"/>
      <c r="R283" s="34"/>
      <c r="S283" s="34"/>
      <c r="T283" s="34"/>
    </row>
    <row x14ac:dyDescent="0.25" r="284" customHeight="1" ht="18.75">
      <c r="A284" s="1"/>
      <c r="B284" s="150"/>
      <c r="C284" s="34"/>
      <c r="D284" s="34"/>
      <c r="E284" s="34"/>
      <c r="F284" s="34"/>
      <c r="G284" s="34"/>
      <c r="H284" s="34"/>
      <c r="I284" s="29"/>
      <c r="J284" s="29"/>
      <c r="K284" s="29"/>
      <c r="L284" s="29"/>
      <c r="M284" s="34"/>
      <c r="N284" s="34"/>
      <c r="O284" s="29"/>
      <c r="P284" s="34"/>
      <c r="Q284" s="34"/>
      <c r="R284" s="34"/>
      <c r="S284" s="34"/>
      <c r="T284" s="34"/>
    </row>
    <row x14ac:dyDescent="0.25" r="285" customHeight="1" ht="18.75">
      <c r="A285" s="1"/>
      <c r="B285" s="150"/>
      <c r="C285" s="34"/>
      <c r="D285" s="34"/>
      <c r="E285" s="34"/>
      <c r="F285" s="34"/>
      <c r="G285" s="34"/>
      <c r="H285" s="34"/>
      <c r="I285" s="29"/>
      <c r="J285" s="29"/>
      <c r="K285" s="29"/>
      <c r="L285" s="29"/>
      <c r="M285" s="34"/>
      <c r="N285" s="34"/>
      <c r="O285" s="29"/>
      <c r="P285" s="34"/>
      <c r="Q285" s="34"/>
      <c r="R285" s="34"/>
      <c r="S285" s="34"/>
      <c r="T285" s="34"/>
    </row>
    <row x14ac:dyDescent="0.25" r="286" customHeight="1" ht="18.75">
      <c r="A286" s="1"/>
      <c r="B286" s="150"/>
      <c r="C286" s="34"/>
      <c r="D286" s="34"/>
      <c r="E286" s="34"/>
      <c r="F286" s="34"/>
      <c r="G286" s="34"/>
      <c r="H286" s="34"/>
      <c r="I286" s="29"/>
      <c r="J286" s="29"/>
      <c r="K286" s="29"/>
      <c r="L286" s="29"/>
      <c r="M286" s="34"/>
      <c r="N286" s="34"/>
      <c r="O286" s="29"/>
      <c r="P286" s="34"/>
      <c r="Q286" s="34"/>
      <c r="R286" s="34"/>
      <c r="S286" s="34"/>
      <c r="T286" s="34"/>
    </row>
    <row x14ac:dyDescent="0.25" r="287" customHeight="1" ht="18.75">
      <c r="A287" s="1"/>
      <c r="B287" s="150"/>
      <c r="C287" s="34"/>
      <c r="D287" s="34"/>
      <c r="E287" s="34"/>
      <c r="F287" s="34"/>
      <c r="G287" s="34"/>
      <c r="H287" s="34"/>
      <c r="I287" s="29"/>
      <c r="J287" s="29"/>
      <c r="K287" s="29"/>
      <c r="L287" s="29"/>
      <c r="M287" s="34"/>
      <c r="N287" s="34"/>
      <c r="O287" s="29"/>
      <c r="P287" s="34"/>
      <c r="Q287" s="34"/>
      <c r="R287" s="34"/>
      <c r="S287" s="34"/>
      <c r="T287" s="34"/>
    </row>
    <row x14ac:dyDescent="0.25" r="288" customHeight="1" ht="18.75">
      <c r="A288" s="1"/>
      <c r="B288" s="150"/>
      <c r="C288" s="34"/>
      <c r="D288" s="34"/>
      <c r="E288" s="34"/>
      <c r="F288" s="34"/>
      <c r="G288" s="34"/>
      <c r="H288" s="34"/>
      <c r="I288" s="29"/>
      <c r="J288" s="29"/>
      <c r="K288" s="29"/>
      <c r="L288" s="29"/>
      <c r="M288" s="34"/>
      <c r="N288" s="34"/>
      <c r="O288" s="29"/>
      <c r="P288" s="34"/>
      <c r="Q288" s="34"/>
      <c r="R288" s="34"/>
      <c r="S288" s="34"/>
      <c r="T288" s="34"/>
    </row>
    <row x14ac:dyDescent="0.25" r="289" customHeight="1" ht="18.75">
      <c r="A289" s="1"/>
      <c r="B289" s="150"/>
      <c r="C289" s="34"/>
      <c r="D289" s="34"/>
      <c r="E289" s="34"/>
      <c r="F289" s="34"/>
      <c r="G289" s="34"/>
      <c r="H289" s="34"/>
      <c r="I289" s="29"/>
      <c r="J289" s="29"/>
      <c r="K289" s="29"/>
      <c r="L289" s="29"/>
      <c r="M289" s="34"/>
      <c r="N289" s="34"/>
      <c r="O289" s="29"/>
      <c r="P289" s="34"/>
      <c r="Q289" s="34"/>
      <c r="R289" s="34"/>
      <c r="S289" s="34"/>
      <c r="T289" s="34"/>
    </row>
    <row x14ac:dyDescent="0.25" r="290" customHeight="1" ht="18.75">
      <c r="A290" s="1"/>
      <c r="B290" s="150"/>
      <c r="C290" s="34"/>
      <c r="D290" s="34"/>
      <c r="E290" s="34"/>
      <c r="F290" s="34"/>
      <c r="G290" s="34"/>
      <c r="H290" s="34"/>
      <c r="I290" s="29"/>
      <c r="J290" s="29"/>
      <c r="K290" s="29"/>
      <c r="L290" s="29"/>
      <c r="M290" s="34"/>
      <c r="N290" s="34"/>
      <c r="O290" s="29"/>
      <c r="P290" s="34"/>
      <c r="Q290" s="34"/>
      <c r="R290" s="34"/>
      <c r="S290" s="34"/>
      <c r="T290" s="34"/>
    </row>
    <row x14ac:dyDescent="0.25" r="291" customHeight="1" ht="18.75">
      <c r="A291" s="1"/>
      <c r="B291" s="150"/>
      <c r="C291" s="34"/>
      <c r="D291" s="34"/>
      <c r="E291" s="34"/>
      <c r="F291" s="34"/>
      <c r="G291" s="34"/>
      <c r="H291" s="34"/>
      <c r="I291" s="29"/>
      <c r="J291" s="29"/>
      <c r="K291" s="29"/>
      <c r="L291" s="29"/>
      <c r="M291" s="34"/>
      <c r="N291" s="34"/>
      <c r="O291" s="29"/>
      <c r="P291" s="34"/>
      <c r="Q291" s="34"/>
      <c r="R291" s="34"/>
      <c r="S291" s="34"/>
      <c r="T291" s="34"/>
    </row>
    <row x14ac:dyDescent="0.25" r="292" customHeight="1" ht="18.75">
      <c r="A292" s="1"/>
      <c r="B292" s="150"/>
      <c r="C292" s="34"/>
      <c r="D292" s="34"/>
      <c r="E292" s="34"/>
      <c r="F292" s="34"/>
      <c r="G292" s="34"/>
      <c r="H292" s="34"/>
      <c r="I292" s="29"/>
      <c r="J292" s="29"/>
      <c r="K292" s="29"/>
      <c r="L292" s="29"/>
      <c r="M292" s="34"/>
      <c r="N292" s="34"/>
      <c r="O292" s="29"/>
      <c r="P292" s="34"/>
      <c r="Q292" s="34"/>
      <c r="R292" s="34"/>
      <c r="S292" s="34"/>
      <c r="T292" s="34"/>
    </row>
    <row x14ac:dyDescent="0.25" r="293" customHeight="1" ht="18.75">
      <c r="A293" s="1"/>
      <c r="B293" s="150"/>
      <c r="C293" s="34"/>
      <c r="D293" s="34"/>
      <c r="E293" s="34"/>
      <c r="F293" s="34"/>
      <c r="G293" s="34"/>
      <c r="H293" s="34"/>
      <c r="I293" s="29"/>
      <c r="J293" s="29"/>
      <c r="K293" s="29"/>
      <c r="L293" s="29"/>
      <c r="M293" s="34"/>
      <c r="N293" s="34"/>
      <c r="O293" s="29"/>
      <c r="P293" s="34"/>
      <c r="Q293" s="34"/>
      <c r="R293" s="34"/>
      <c r="S293" s="34"/>
      <c r="T293" s="34"/>
    </row>
    <row x14ac:dyDescent="0.25" r="294" customHeight="1" ht="18.75">
      <c r="A294" s="1"/>
      <c r="B294" s="150"/>
      <c r="C294" s="34"/>
      <c r="D294" s="34"/>
      <c r="E294" s="34"/>
      <c r="F294" s="34"/>
      <c r="G294" s="34"/>
      <c r="H294" s="34"/>
      <c r="I294" s="29"/>
      <c r="J294" s="29"/>
      <c r="K294" s="29"/>
      <c r="L294" s="29"/>
      <c r="M294" s="34"/>
      <c r="N294" s="34"/>
      <c r="O294" s="29"/>
      <c r="P294" s="34"/>
      <c r="Q294" s="34"/>
      <c r="R294" s="34"/>
      <c r="S294" s="34"/>
      <c r="T294" s="34"/>
    </row>
    <row x14ac:dyDescent="0.25" r="295" customHeight="1" ht="18.75">
      <c r="A295" s="1"/>
      <c r="B295" s="150"/>
      <c r="C295" s="34"/>
      <c r="D295" s="34"/>
      <c r="E295" s="34"/>
      <c r="F295" s="34"/>
      <c r="G295" s="34"/>
      <c r="H295" s="34"/>
      <c r="I295" s="29"/>
      <c r="J295" s="29"/>
      <c r="K295" s="29"/>
      <c r="L295" s="29"/>
      <c r="M295" s="34"/>
      <c r="N295" s="34"/>
      <c r="O295" s="29"/>
      <c r="P295" s="34"/>
      <c r="Q295" s="34"/>
      <c r="R295" s="34"/>
      <c r="S295" s="34"/>
      <c r="T295" s="34"/>
    </row>
    <row x14ac:dyDescent="0.25" r="296" customHeight="1" ht="18.75">
      <c r="A296" s="1"/>
      <c r="B296" s="150"/>
      <c r="C296" s="34"/>
      <c r="D296" s="34"/>
      <c r="E296" s="34"/>
      <c r="F296" s="34"/>
      <c r="G296" s="34"/>
      <c r="H296" s="34"/>
      <c r="I296" s="29"/>
      <c r="J296" s="29"/>
      <c r="K296" s="29"/>
      <c r="L296" s="29"/>
      <c r="M296" s="34"/>
      <c r="N296" s="34"/>
      <c r="O296" s="29"/>
      <c r="P296" s="34"/>
      <c r="Q296" s="34"/>
      <c r="R296" s="34"/>
      <c r="S296" s="34"/>
      <c r="T296" s="34"/>
    </row>
    <row x14ac:dyDescent="0.25" r="297" customHeight="1" ht="18.75">
      <c r="A297" s="1"/>
      <c r="B297" s="150"/>
      <c r="C297" s="34"/>
      <c r="D297" s="34"/>
      <c r="E297" s="34"/>
      <c r="F297" s="34"/>
      <c r="G297" s="34"/>
      <c r="H297" s="34"/>
      <c r="I297" s="29"/>
      <c r="J297" s="29"/>
      <c r="K297" s="29"/>
      <c r="L297" s="29"/>
      <c r="M297" s="34"/>
      <c r="N297" s="34"/>
      <c r="O297" s="29"/>
      <c r="P297" s="34"/>
      <c r="Q297" s="34"/>
      <c r="R297" s="34"/>
      <c r="S297" s="34"/>
      <c r="T297" s="34"/>
    </row>
    <row x14ac:dyDescent="0.25" r="298" customHeight="1" ht="18.75">
      <c r="A298" s="1"/>
      <c r="B298" s="150"/>
      <c r="C298" s="34"/>
      <c r="D298" s="34"/>
      <c r="E298" s="34"/>
      <c r="F298" s="34"/>
      <c r="G298" s="34"/>
      <c r="H298" s="34"/>
      <c r="I298" s="29"/>
      <c r="J298" s="29"/>
      <c r="K298" s="29"/>
      <c r="L298" s="29"/>
      <c r="M298" s="34"/>
      <c r="N298" s="34"/>
      <c r="O298" s="29"/>
      <c r="P298" s="34"/>
      <c r="Q298" s="34"/>
      <c r="R298" s="34"/>
      <c r="S298" s="34"/>
      <c r="T298" s="34"/>
    </row>
    <row x14ac:dyDescent="0.25" r="299" customHeight="1" ht="18.75">
      <c r="A299" s="1"/>
      <c r="B299" s="150"/>
      <c r="C299" s="34"/>
      <c r="D299" s="34"/>
      <c r="E299" s="34"/>
      <c r="F299" s="34"/>
      <c r="G299" s="34"/>
      <c r="H299" s="34"/>
      <c r="I299" s="29"/>
      <c r="J299" s="29"/>
      <c r="K299" s="29"/>
      <c r="L299" s="29"/>
      <c r="M299" s="34"/>
      <c r="N299" s="34"/>
      <c r="O299" s="29"/>
      <c r="P299" s="34"/>
      <c r="Q299" s="34"/>
      <c r="R299" s="34"/>
      <c r="S299" s="34"/>
      <c r="T299" s="34"/>
    </row>
    <row x14ac:dyDescent="0.25" r="300" customHeight="1" ht="18.75">
      <c r="A300" s="1"/>
      <c r="B300" s="150"/>
      <c r="C300" s="34"/>
      <c r="D300" s="34"/>
      <c r="E300" s="34"/>
      <c r="F300" s="34"/>
      <c r="G300" s="34"/>
      <c r="H300" s="34"/>
      <c r="I300" s="29"/>
      <c r="J300" s="29"/>
      <c r="K300" s="29"/>
      <c r="L300" s="29"/>
      <c r="M300" s="34"/>
      <c r="N300" s="34"/>
      <c r="O300" s="29"/>
      <c r="P300" s="34"/>
      <c r="Q300" s="34"/>
      <c r="R300" s="34"/>
      <c r="S300" s="34"/>
      <c r="T300" s="34"/>
    </row>
    <row x14ac:dyDescent="0.25" r="301" customHeight="1" ht="18.75">
      <c r="A301" s="1"/>
      <c r="B301" s="150"/>
      <c r="C301" s="34"/>
      <c r="D301" s="34"/>
      <c r="E301" s="34"/>
      <c r="F301" s="34"/>
      <c r="G301" s="34"/>
      <c r="H301" s="34"/>
      <c r="I301" s="29"/>
      <c r="J301" s="29"/>
      <c r="K301" s="29"/>
      <c r="L301" s="29"/>
      <c r="M301" s="34"/>
      <c r="N301" s="34"/>
      <c r="O301" s="29"/>
      <c r="P301" s="34"/>
      <c r="Q301" s="34"/>
      <c r="R301" s="34"/>
      <c r="S301" s="34"/>
      <c r="T301" s="34"/>
    </row>
    <row x14ac:dyDescent="0.25" r="302" customHeight="1" ht="18.75">
      <c r="A302" s="1"/>
      <c r="B302" s="150"/>
      <c r="C302" s="34"/>
      <c r="D302" s="34"/>
      <c r="E302" s="34"/>
      <c r="F302" s="34"/>
      <c r="G302" s="34"/>
      <c r="H302" s="34"/>
      <c r="I302" s="29"/>
      <c r="J302" s="29"/>
      <c r="K302" s="29"/>
      <c r="L302" s="29"/>
      <c r="M302" s="34"/>
      <c r="N302" s="34"/>
      <c r="O302" s="29"/>
      <c r="P302" s="34"/>
      <c r="Q302" s="34"/>
      <c r="R302" s="34"/>
      <c r="S302" s="34"/>
      <c r="T302" s="34"/>
    </row>
    <row x14ac:dyDescent="0.25" r="303" customHeight="1" ht="18.75">
      <c r="A303" s="1"/>
      <c r="B303" s="150"/>
      <c r="C303" s="34"/>
      <c r="D303" s="34"/>
      <c r="E303" s="34"/>
      <c r="F303" s="34"/>
      <c r="G303" s="34"/>
      <c r="H303" s="34"/>
      <c r="I303" s="29"/>
      <c r="J303" s="29"/>
      <c r="K303" s="29"/>
      <c r="L303" s="29"/>
      <c r="M303" s="34"/>
      <c r="N303" s="34"/>
      <c r="O303" s="29"/>
      <c r="P303" s="34"/>
      <c r="Q303" s="34"/>
      <c r="R303" s="34"/>
      <c r="S303" s="34"/>
      <c r="T303" s="34"/>
    </row>
    <row x14ac:dyDescent="0.25" r="304" customHeight="1" ht="18.75">
      <c r="A304" s="1"/>
      <c r="B304" s="150"/>
      <c r="C304" s="34"/>
      <c r="D304" s="34"/>
      <c r="E304" s="34"/>
      <c r="F304" s="34"/>
      <c r="G304" s="34"/>
      <c r="H304" s="34"/>
      <c r="I304" s="29"/>
      <c r="J304" s="29"/>
      <c r="K304" s="29"/>
      <c r="L304" s="29"/>
      <c r="M304" s="34"/>
      <c r="N304" s="34"/>
      <c r="O304" s="29"/>
      <c r="P304" s="34"/>
      <c r="Q304" s="34"/>
      <c r="R304" s="34"/>
      <c r="S304" s="34"/>
      <c r="T304" s="34"/>
    </row>
    <row x14ac:dyDescent="0.25" r="305" customHeight="1" ht="18.75">
      <c r="A305" s="1"/>
      <c r="B305" s="150"/>
      <c r="C305" s="34"/>
      <c r="D305" s="34"/>
      <c r="E305" s="34"/>
      <c r="F305" s="34"/>
      <c r="G305" s="34"/>
      <c r="H305" s="34"/>
      <c r="I305" s="29"/>
      <c r="J305" s="29"/>
      <c r="K305" s="29"/>
      <c r="L305" s="29"/>
      <c r="M305" s="34"/>
      <c r="N305" s="34"/>
      <c r="O305" s="29"/>
      <c r="P305" s="34"/>
      <c r="Q305" s="34"/>
      <c r="R305" s="34"/>
      <c r="S305" s="34"/>
      <c r="T305" s="34"/>
    </row>
    <row x14ac:dyDescent="0.25" r="306" customHeight="1" ht="18.75">
      <c r="A306" s="1"/>
      <c r="B306" s="150"/>
      <c r="C306" s="34"/>
      <c r="D306" s="34"/>
      <c r="E306" s="34"/>
      <c r="F306" s="34"/>
      <c r="G306" s="34"/>
      <c r="H306" s="34"/>
      <c r="I306" s="29"/>
      <c r="J306" s="29"/>
      <c r="K306" s="29"/>
      <c r="L306" s="29"/>
      <c r="M306" s="34"/>
      <c r="N306" s="34"/>
      <c r="O306" s="29"/>
      <c r="P306" s="34"/>
      <c r="Q306" s="34"/>
      <c r="R306" s="34"/>
      <c r="S306" s="34"/>
      <c r="T306" s="34"/>
    </row>
    <row x14ac:dyDescent="0.25" r="307" customHeight="1" ht="18.75">
      <c r="A307" s="1"/>
      <c r="B307" s="150"/>
      <c r="C307" s="34"/>
      <c r="D307" s="34"/>
      <c r="E307" s="34"/>
      <c r="F307" s="34"/>
      <c r="G307" s="34"/>
      <c r="H307" s="34"/>
      <c r="I307" s="29"/>
      <c r="J307" s="29"/>
      <c r="K307" s="29"/>
      <c r="L307" s="29"/>
      <c r="M307" s="34"/>
      <c r="N307" s="34"/>
      <c r="O307" s="29"/>
      <c r="P307" s="34"/>
      <c r="Q307" s="34"/>
      <c r="R307" s="34"/>
      <c r="S307" s="34"/>
      <c r="T307" s="34"/>
    </row>
    <row x14ac:dyDescent="0.25" r="308" customHeight="1" ht="18.75">
      <c r="A308" s="1"/>
      <c r="B308" s="150"/>
      <c r="C308" s="34"/>
      <c r="D308" s="34"/>
      <c r="E308" s="34"/>
      <c r="F308" s="34"/>
      <c r="G308" s="34"/>
      <c r="H308" s="34"/>
      <c r="I308" s="29"/>
      <c r="J308" s="29"/>
      <c r="K308" s="29"/>
      <c r="L308" s="29"/>
      <c r="M308" s="34"/>
      <c r="N308" s="34"/>
      <c r="O308" s="29"/>
      <c r="P308" s="34"/>
      <c r="Q308" s="34"/>
      <c r="R308" s="34"/>
      <c r="S308" s="34"/>
      <c r="T308" s="34"/>
    </row>
    <row x14ac:dyDescent="0.25" r="309" customHeight="1" ht="18.75">
      <c r="A309" s="1"/>
      <c r="B309" s="150"/>
      <c r="C309" s="34"/>
      <c r="D309" s="34"/>
      <c r="E309" s="34"/>
      <c r="F309" s="34"/>
      <c r="G309" s="34"/>
      <c r="H309" s="34"/>
      <c r="I309" s="29"/>
      <c r="J309" s="29"/>
      <c r="K309" s="29"/>
      <c r="L309" s="29"/>
      <c r="M309" s="34"/>
      <c r="N309" s="34"/>
      <c r="O309" s="29"/>
      <c r="P309" s="34"/>
      <c r="Q309" s="34"/>
      <c r="R309" s="34"/>
      <c r="S309" s="34"/>
      <c r="T309" s="34"/>
    </row>
    <row x14ac:dyDescent="0.25" r="310" customHeight="1" ht="18.75">
      <c r="A310" s="1"/>
      <c r="B310" s="150"/>
      <c r="C310" s="34"/>
      <c r="D310" s="34"/>
      <c r="E310" s="34"/>
      <c r="F310" s="34"/>
      <c r="G310" s="34"/>
      <c r="H310" s="34"/>
      <c r="I310" s="29"/>
      <c r="J310" s="29"/>
      <c r="K310" s="29"/>
      <c r="L310" s="29"/>
      <c r="M310" s="34"/>
      <c r="N310" s="34"/>
      <c r="O310" s="29"/>
      <c r="P310" s="34"/>
      <c r="Q310" s="34"/>
      <c r="R310" s="34"/>
      <c r="S310" s="34"/>
      <c r="T310" s="34"/>
    </row>
    <row x14ac:dyDescent="0.25" r="311" customHeight="1" ht="18.75">
      <c r="A311" s="1"/>
      <c r="B311" s="150"/>
      <c r="C311" s="34"/>
      <c r="D311" s="34"/>
      <c r="E311" s="34"/>
      <c r="F311" s="34"/>
      <c r="G311" s="34"/>
      <c r="H311" s="34"/>
      <c r="I311" s="29"/>
      <c r="J311" s="29"/>
      <c r="K311" s="29"/>
      <c r="L311" s="29"/>
      <c r="M311" s="34"/>
      <c r="N311" s="34"/>
      <c r="O311" s="29"/>
      <c r="P311" s="34"/>
      <c r="Q311" s="34"/>
      <c r="R311" s="34"/>
      <c r="S311" s="34"/>
      <c r="T311" s="34"/>
    </row>
    <row x14ac:dyDescent="0.25" r="312" customHeight="1" ht="18.75">
      <c r="A312" s="1"/>
      <c r="B312" s="150"/>
      <c r="C312" s="34"/>
      <c r="D312" s="34"/>
      <c r="E312" s="34"/>
      <c r="F312" s="34"/>
      <c r="G312" s="34"/>
      <c r="H312" s="34"/>
      <c r="I312" s="29"/>
      <c r="J312" s="29"/>
      <c r="K312" s="29"/>
      <c r="L312" s="29"/>
      <c r="M312" s="34"/>
      <c r="N312" s="34"/>
      <c r="O312" s="29"/>
      <c r="P312" s="34"/>
      <c r="Q312" s="34"/>
      <c r="R312" s="34"/>
      <c r="S312" s="34"/>
      <c r="T312" s="34"/>
    </row>
    <row x14ac:dyDescent="0.25" r="313" customHeight="1" ht="18.75">
      <c r="A313" s="1"/>
      <c r="B313" s="150"/>
      <c r="C313" s="34"/>
      <c r="D313" s="34"/>
      <c r="E313" s="34"/>
      <c r="F313" s="34"/>
      <c r="G313" s="34"/>
      <c r="H313" s="34"/>
      <c r="I313" s="29"/>
      <c r="J313" s="29"/>
      <c r="K313" s="29"/>
      <c r="L313" s="29"/>
      <c r="M313" s="34"/>
      <c r="N313" s="34"/>
      <c r="O313" s="29"/>
      <c r="P313" s="34"/>
      <c r="Q313" s="34"/>
      <c r="R313" s="34"/>
      <c r="S313" s="34"/>
      <c r="T313" s="34"/>
    </row>
    <row x14ac:dyDescent="0.25" r="314" customHeight="1" ht="18.75">
      <c r="A314" s="1"/>
      <c r="B314" s="150"/>
      <c r="C314" s="34"/>
      <c r="D314" s="34"/>
      <c r="E314" s="34"/>
      <c r="F314" s="34"/>
      <c r="G314" s="34"/>
      <c r="H314" s="34"/>
      <c r="I314" s="29"/>
      <c r="J314" s="29"/>
      <c r="K314" s="29"/>
      <c r="L314" s="29"/>
      <c r="M314" s="34"/>
      <c r="N314" s="34"/>
      <c r="O314" s="29"/>
      <c r="P314" s="34"/>
      <c r="Q314" s="34"/>
      <c r="R314" s="34"/>
      <c r="S314" s="34"/>
      <c r="T314" s="34"/>
    </row>
    <row x14ac:dyDescent="0.25" r="315" customHeight="1" ht="18.75">
      <c r="A315" s="1"/>
      <c r="B315" s="150"/>
      <c r="C315" s="34"/>
      <c r="D315" s="34"/>
      <c r="E315" s="34"/>
      <c r="F315" s="34"/>
      <c r="G315" s="34"/>
      <c r="H315" s="34"/>
      <c r="I315" s="29"/>
      <c r="J315" s="29"/>
      <c r="K315" s="29"/>
      <c r="L315" s="29"/>
      <c r="M315" s="34"/>
      <c r="N315" s="34"/>
      <c r="O315" s="29"/>
      <c r="P315" s="34"/>
      <c r="Q315" s="34"/>
      <c r="R315" s="34"/>
      <c r="S315" s="34"/>
      <c r="T315" s="34"/>
    </row>
    <row x14ac:dyDescent="0.25" r="316" customHeight="1" ht="18.75">
      <c r="A316" s="1"/>
      <c r="B316" s="150"/>
      <c r="C316" s="34"/>
      <c r="D316" s="34"/>
      <c r="E316" s="34"/>
      <c r="F316" s="34"/>
      <c r="G316" s="34"/>
      <c r="H316" s="34"/>
      <c r="I316" s="29"/>
      <c r="J316" s="29"/>
      <c r="K316" s="29"/>
      <c r="L316" s="29"/>
      <c r="M316" s="34"/>
      <c r="N316" s="34"/>
      <c r="O316" s="29"/>
      <c r="P316" s="34"/>
      <c r="Q316" s="34"/>
      <c r="R316" s="34"/>
      <c r="S316" s="34"/>
      <c r="T316" s="34"/>
    </row>
    <row x14ac:dyDescent="0.25" r="317" customHeight="1" ht="18.75">
      <c r="A317" s="1"/>
      <c r="B317" s="150"/>
      <c r="C317" s="34"/>
      <c r="D317" s="34"/>
      <c r="E317" s="34"/>
      <c r="F317" s="34"/>
      <c r="G317" s="34"/>
      <c r="H317" s="34"/>
      <c r="I317" s="29"/>
      <c r="J317" s="29"/>
      <c r="K317" s="29"/>
      <c r="L317" s="29"/>
      <c r="M317" s="34"/>
      <c r="N317" s="34"/>
      <c r="O317" s="29"/>
      <c r="P317" s="34"/>
      <c r="Q317" s="34"/>
      <c r="R317" s="34"/>
      <c r="S317" s="34"/>
      <c r="T317" s="34"/>
    </row>
    <row x14ac:dyDescent="0.25" r="318" customHeight="1" ht="18.75">
      <c r="A318" s="1"/>
      <c r="B318" s="150"/>
      <c r="C318" s="34"/>
      <c r="D318" s="34"/>
      <c r="E318" s="34"/>
      <c r="F318" s="34"/>
      <c r="G318" s="34"/>
      <c r="H318" s="34"/>
      <c r="I318" s="29"/>
      <c r="J318" s="29"/>
      <c r="K318" s="29"/>
      <c r="L318" s="29"/>
      <c r="M318" s="34"/>
      <c r="N318" s="34"/>
      <c r="O318" s="29"/>
      <c r="P318" s="34"/>
      <c r="Q318" s="34"/>
      <c r="R318" s="34"/>
      <c r="S318" s="34"/>
      <c r="T318" s="34"/>
    </row>
    <row x14ac:dyDescent="0.25" r="319" customHeight="1" ht="18.75">
      <c r="A319" s="1"/>
      <c r="B319" s="150"/>
      <c r="C319" s="34"/>
      <c r="D319" s="34"/>
      <c r="E319" s="34"/>
      <c r="F319" s="34"/>
      <c r="G319" s="34"/>
      <c r="H319" s="34"/>
      <c r="I319" s="29"/>
      <c r="J319" s="29"/>
      <c r="K319" s="29"/>
      <c r="L319" s="29"/>
      <c r="M319" s="34"/>
      <c r="N319" s="34"/>
      <c r="O319" s="29"/>
      <c r="P319" s="34"/>
      <c r="Q319" s="34"/>
      <c r="R319" s="34"/>
      <c r="S319" s="34"/>
      <c r="T319" s="34"/>
    </row>
    <row x14ac:dyDescent="0.25" r="320" customHeight="1" ht="18.75">
      <c r="A320" s="1"/>
      <c r="B320" s="150"/>
      <c r="C320" s="34"/>
      <c r="D320" s="34"/>
      <c r="E320" s="34"/>
      <c r="F320" s="34"/>
      <c r="G320" s="34"/>
      <c r="H320" s="34"/>
      <c r="I320" s="29"/>
      <c r="J320" s="29"/>
      <c r="K320" s="29"/>
      <c r="L320" s="29"/>
      <c r="M320" s="34"/>
      <c r="N320" s="34"/>
      <c r="O320" s="29"/>
      <c r="P320" s="34"/>
      <c r="Q320" s="34"/>
      <c r="R320" s="34"/>
      <c r="S320" s="34"/>
      <c r="T320" s="34"/>
    </row>
    <row x14ac:dyDescent="0.25" r="321" customHeight="1" ht="18.75">
      <c r="A321" s="1"/>
      <c r="B321" s="150"/>
      <c r="C321" s="34"/>
      <c r="D321" s="34"/>
      <c r="E321" s="34"/>
      <c r="F321" s="34"/>
      <c r="G321" s="34"/>
      <c r="H321" s="34"/>
      <c r="I321" s="29"/>
      <c r="J321" s="29"/>
      <c r="K321" s="29"/>
      <c r="L321" s="29"/>
      <c r="M321" s="34"/>
      <c r="N321" s="34"/>
      <c r="O321" s="29"/>
      <c r="P321" s="34"/>
      <c r="Q321" s="34"/>
      <c r="R321" s="34"/>
      <c r="S321" s="34"/>
      <c r="T321" s="34"/>
    </row>
    <row x14ac:dyDescent="0.25" r="322" customHeight="1" ht="18.75">
      <c r="A322" s="1"/>
      <c r="B322" s="150"/>
      <c r="C322" s="34"/>
      <c r="D322" s="34"/>
      <c r="E322" s="34"/>
      <c r="F322" s="34"/>
      <c r="G322" s="34"/>
      <c r="H322" s="34"/>
      <c r="I322" s="29"/>
      <c r="J322" s="29"/>
      <c r="K322" s="29"/>
      <c r="L322" s="29"/>
      <c r="M322" s="34"/>
      <c r="N322" s="34"/>
      <c r="O322" s="29"/>
      <c r="P322" s="34"/>
      <c r="Q322" s="34"/>
      <c r="R322" s="34"/>
      <c r="S322" s="34"/>
      <c r="T322" s="34"/>
    </row>
    <row x14ac:dyDescent="0.25" r="323" customHeight="1" ht="18.75">
      <c r="A323" s="1"/>
      <c r="B323" s="150"/>
      <c r="C323" s="34"/>
      <c r="D323" s="34"/>
      <c r="E323" s="34"/>
      <c r="F323" s="34"/>
      <c r="G323" s="34"/>
      <c r="H323" s="34"/>
      <c r="I323" s="29"/>
      <c r="J323" s="29"/>
      <c r="K323" s="29"/>
      <c r="L323" s="29"/>
      <c r="M323" s="34"/>
      <c r="N323" s="34"/>
      <c r="O323" s="29"/>
      <c r="P323" s="34"/>
      <c r="Q323" s="34"/>
      <c r="R323" s="34"/>
      <c r="S323" s="34"/>
      <c r="T323" s="34"/>
    </row>
    <row x14ac:dyDescent="0.25" r="324" customHeight="1" ht="18.75">
      <c r="A324" s="1"/>
      <c r="B324" s="150"/>
      <c r="C324" s="34"/>
      <c r="D324" s="34"/>
      <c r="E324" s="34"/>
      <c r="F324" s="34"/>
      <c r="G324" s="34"/>
      <c r="H324" s="34"/>
      <c r="I324" s="29"/>
      <c r="J324" s="29"/>
      <c r="K324" s="29"/>
      <c r="L324" s="29"/>
      <c r="M324" s="34"/>
      <c r="N324" s="34"/>
      <c r="O324" s="29"/>
      <c r="P324" s="34"/>
      <c r="Q324" s="34"/>
      <c r="R324" s="34"/>
      <c r="S324" s="34"/>
      <c r="T324" s="34"/>
    </row>
    <row x14ac:dyDescent="0.25" r="325" customHeight="1" ht="18.75">
      <c r="A325" s="1"/>
      <c r="B325" s="150"/>
      <c r="C325" s="34"/>
      <c r="D325" s="34"/>
      <c r="E325" s="34"/>
      <c r="F325" s="34"/>
      <c r="G325" s="34"/>
      <c r="H325" s="34"/>
      <c r="I325" s="29"/>
      <c r="J325" s="29"/>
      <c r="K325" s="29"/>
      <c r="L325" s="29"/>
      <c r="M325" s="34"/>
      <c r="N325" s="34"/>
      <c r="O325" s="29"/>
      <c r="P325" s="34"/>
      <c r="Q325" s="34"/>
      <c r="R325" s="34"/>
      <c r="S325" s="34"/>
      <c r="T325" s="34"/>
    </row>
    <row x14ac:dyDescent="0.25" r="326" customHeight="1" ht="18.75">
      <c r="A326" s="1"/>
      <c r="B326" s="150"/>
      <c r="C326" s="34"/>
      <c r="D326" s="34"/>
      <c r="E326" s="34"/>
      <c r="F326" s="34"/>
      <c r="G326" s="34"/>
      <c r="H326" s="34"/>
      <c r="I326" s="29"/>
      <c r="J326" s="29"/>
      <c r="K326" s="29"/>
      <c r="L326" s="29"/>
      <c r="M326" s="34"/>
      <c r="N326" s="34"/>
      <c r="O326" s="29"/>
      <c r="P326" s="34"/>
      <c r="Q326" s="34"/>
      <c r="R326" s="34"/>
      <c r="S326" s="34"/>
      <c r="T326" s="34"/>
    </row>
    <row x14ac:dyDescent="0.25" r="327" customHeight="1" ht="18.75">
      <c r="A327" s="1"/>
      <c r="B327" s="150"/>
      <c r="C327" s="34"/>
      <c r="D327" s="34"/>
      <c r="E327" s="34"/>
      <c r="F327" s="34"/>
      <c r="G327" s="34"/>
      <c r="H327" s="34"/>
      <c r="I327" s="29"/>
      <c r="J327" s="29"/>
      <c r="K327" s="29"/>
      <c r="L327" s="29"/>
      <c r="M327" s="34"/>
      <c r="N327" s="34"/>
      <c r="O327" s="29"/>
      <c r="P327" s="34"/>
      <c r="Q327" s="34"/>
      <c r="R327" s="34"/>
      <c r="S327" s="34"/>
      <c r="T327" s="34"/>
    </row>
    <row x14ac:dyDescent="0.25" r="328" customHeight="1" ht="18.75">
      <c r="A328" s="1"/>
      <c r="B328" s="150"/>
      <c r="C328" s="34"/>
      <c r="D328" s="34"/>
      <c r="E328" s="34"/>
      <c r="F328" s="34"/>
      <c r="G328" s="34"/>
      <c r="H328" s="34"/>
      <c r="I328" s="29"/>
      <c r="J328" s="29"/>
      <c r="K328" s="29"/>
      <c r="L328" s="29"/>
      <c r="M328" s="34"/>
      <c r="N328" s="34"/>
      <c r="O328" s="29"/>
      <c r="P328" s="34"/>
      <c r="Q328" s="34"/>
      <c r="R328" s="34"/>
      <c r="S328" s="34"/>
      <c r="T328" s="34"/>
    </row>
    <row x14ac:dyDescent="0.25" r="329" customHeight="1" ht="18.75">
      <c r="A329" s="1"/>
      <c r="B329" s="150"/>
      <c r="C329" s="34"/>
      <c r="D329" s="34"/>
      <c r="E329" s="34"/>
      <c r="F329" s="34"/>
      <c r="G329" s="34"/>
      <c r="H329" s="34"/>
      <c r="I329" s="29"/>
      <c r="J329" s="29"/>
      <c r="K329" s="29"/>
      <c r="L329" s="29"/>
      <c r="M329" s="34"/>
      <c r="N329" s="34"/>
      <c r="O329" s="29"/>
      <c r="P329" s="34"/>
      <c r="Q329" s="34"/>
      <c r="R329" s="34"/>
      <c r="S329" s="34"/>
      <c r="T329" s="34"/>
    </row>
    <row x14ac:dyDescent="0.25" r="330" customHeight="1" ht="18.75">
      <c r="A330" s="1"/>
      <c r="B330" s="150"/>
      <c r="C330" s="34"/>
      <c r="D330" s="34"/>
      <c r="E330" s="34"/>
      <c r="F330" s="34"/>
      <c r="G330" s="34"/>
      <c r="H330" s="34"/>
      <c r="I330" s="29"/>
      <c r="J330" s="29"/>
      <c r="K330" s="29"/>
      <c r="L330" s="29"/>
      <c r="M330" s="34"/>
      <c r="N330" s="34"/>
      <c r="O330" s="29"/>
      <c r="P330" s="34"/>
      <c r="Q330" s="34"/>
      <c r="R330" s="34"/>
      <c r="S330" s="34"/>
      <c r="T330" s="34"/>
    </row>
    <row x14ac:dyDescent="0.25" r="331" customHeight="1" ht="18.75">
      <c r="A331" s="1"/>
      <c r="B331" s="150"/>
      <c r="C331" s="34"/>
      <c r="D331" s="34"/>
      <c r="E331" s="34"/>
      <c r="F331" s="34"/>
      <c r="G331" s="34"/>
      <c r="H331" s="34"/>
      <c r="I331" s="29"/>
      <c r="J331" s="29"/>
      <c r="K331" s="29"/>
      <c r="L331" s="29"/>
      <c r="M331" s="34"/>
      <c r="N331" s="34"/>
      <c r="O331" s="29"/>
      <c r="P331" s="34"/>
      <c r="Q331" s="34"/>
      <c r="R331" s="34"/>
      <c r="S331" s="34"/>
      <c r="T331" s="34"/>
    </row>
    <row x14ac:dyDescent="0.25" r="332" customHeight="1" ht="18.75">
      <c r="A332" s="1"/>
      <c r="B332" s="150"/>
      <c r="C332" s="34"/>
      <c r="D332" s="34"/>
      <c r="E332" s="34"/>
      <c r="F332" s="34"/>
      <c r="G332" s="34"/>
      <c r="H332" s="34"/>
      <c r="I332" s="29"/>
      <c r="J332" s="29"/>
      <c r="K332" s="29"/>
      <c r="L332" s="29"/>
      <c r="M332" s="34"/>
      <c r="N332" s="34"/>
      <c r="O332" s="29"/>
      <c r="P332" s="34"/>
      <c r="Q332" s="34"/>
      <c r="R332" s="34"/>
      <c r="S332" s="34"/>
      <c r="T332" s="34"/>
    </row>
    <row x14ac:dyDescent="0.25" r="333" customHeight="1" ht="18.75">
      <c r="A333" s="1"/>
      <c r="B333" s="150"/>
      <c r="C333" s="34"/>
      <c r="D333" s="34"/>
      <c r="E333" s="34"/>
      <c r="F333" s="34"/>
      <c r="G333" s="34"/>
      <c r="H333" s="34"/>
      <c r="I333" s="29"/>
      <c r="J333" s="29"/>
      <c r="K333" s="29"/>
      <c r="L333" s="29"/>
      <c r="M333" s="34"/>
      <c r="N333" s="34"/>
      <c r="O333" s="29"/>
      <c r="P333" s="34"/>
      <c r="Q333" s="34"/>
      <c r="R333" s="34"/>
      <c r="S333" s="34"/>
      <c r="T333" s="34"/>
    </row>
    <row x14ac:dyDescent="0.25" r="334" customHeight="1" ht="18.75">
      <c r="A334" s="1"/>
      <c r="B334" s="150"/>
      <c r="C334" s="34"/>
      <c r="D334" s="34"/>
      <c r="E334" s="34"/>
      <c r="F334" s="34"/>
      <c r="G334" s="34"/>
      <c r="H334" s="34"/>
      <c r="I334" s="29"/>
      <c r="J334" s="29"/>
      <c r="K334" s="29"/>
      <c r="L334" s="29"/>
      <c r="M334" s="34"/>
      <c r="N334" s="34"/>
      <c r="O334" s="29"/>
      <c r="P334" s="34"/>
      <c r="Q334" s="34"/>
      <c r="R334" s="34"/>
      <c r="S334" s="34"/>
      <c r="T334" s="34"/>
    </row>
    <row x14ac:dyDescent="0.25" r="335" customHeight="1" ht="18.75">
      <c r="A335" s="1"/>
      <c r="B335" s="150"/>
      <c r="C335" s="34"/>
      <c r="D335" s="34"/>
      <c r="E335" s="34"/>
      <c r="F335" s="34"/>
      <c r="G335" s="34"/>
      <c r="H335" s="34"/>
      <c r="I335" s="29"/>
      <c r="J335" s="29"/>
      <c r="K335" s="29"/>
      <c r="L335" s="29"/>
      <c r="M335" s="34"/>
      <c r="N335" s="34"/>
      <c r="O335" s="29"/>
      <c r="P335" s="34"/>
      <c r="Q335" s="34"/>
      <c r="R335" s="34"/>
      <c r="S335" s="34"/>
      <c r="T335" s="34"/>
    </row>
    <row x14ac:dyDescent="0.25" r="336" customHeight="1" ht="18.75">
      <c r="A336" s="1"/>
      <c r="B336" s="150"/>
      <c r="C336" s="34"/>
      <c r="D336" s="34"/>
      <c r="E336" s="34"/>
      <c r="F336" s="34"/>
      <c r="G336" s="34"/>
      <c r="H336" s="34"/>
      <c r="I336" s="29"/>
      <c r="J336" s="29"/>
      <c r="K336" s="29"/>
      <c r="L336" s="29"/>
      <c r="M336" s="34"/>
      <c r="N336" s="34"/>
      <c r="O336" s="29"/>
      <c r="P336" s="34"/>
      <c r="Q336" s="34"/>
      <c r="R336" s="34"/>
      <c r="S336" s="34"/>
      <c r="T336" s="34"/>
    </row>
    <row x14ac:dyDescent="0.25" r="337" customHeight="1" ht="18.75">
      <c r="A337" s="1"/>
      <c r="B337" s="150"/>
      <c r="C337" s="34"/>
      <c r="D337" s="34"/>
      <c r="E337" s="34"/>
      <c r="F337" s="34"/>
      <c r="G337" s="34"/>
      <c r="H337" s="34"/>
      <c r="I337" s="29"/>
      <c r="J337" s="29"/>
      <c r="K337" s="29"/>
      <c r="L337" s="29"/>
      <c r="M337" s="34"/>
      <c r="N337" s="34"/>
      <c r="O337" s="29"/>
      <c r="P337" s="34"/>
      <c r="Q337" s="34"/>
      <c r="R337" s="34"/>
      <c r="S337" s="34"/>
      <c r="T337" s="34"/>
    </row>
    <row x14ac:dyDescent="0.25" r="338" customHeight="1" ht="18.75">
      <c r="A338" s="1"/>
      <c r="B338" s="150"/>
      <c r="C338" s="34"/>
      <c r="D338" s="34"/>
      <c r="E338" s="34"/>
      <c r="F338" s="34"/>
      <c r="G338" s="34"/>
      <c r="H338" s="34"/>
      <c r="I338" s="29"/>
      <c r="J338" s="29"/>
      <c r="K338" s="29"/>
      <c r="L338" s="29"/>
      <c r="M338" s="34"/>
      <c r="N338" s="34"/>
      <c r="O338" s="29"/>
      <c r="P338" s="34"/>
      <c r="Q338" s="34"/>
      <c r="R338" s="34"/>
      <c r="S338" s="34"/>
      <c r="T338" s="34"/>
    </row>
    <row x14ac:dyDescent="0.25" r="339" customHeight="1" ht="18.75">
      <c r="A339" s="1"/>
      <c r="B339" s="150"/>
      <c r="C339" s="34"/>
      <c r="D339" s="34"/>
      <c r="E339" s="34"/>
      <c r="F339" s="34"/>
      <c r="G339" s="34"/>
      <c r="H339" s="34"/>
      <c r="I339" s="29"/>
      <c r="J339" s="29"/>
      <c r="K339" s="29"/>
      <c r="L339" s="29"/>
      <c r="M339" s="34"/>
      <c r="N339" s="34"/>
      <c r="O339" s="29"/>
      <c r="P339" s="34"/>
      <c r="Q339" s="34"/>
      <c r="R339" s="34"/>
      <c r="S339" s="34"/>
      <c r="T339" s="34"/>
    </row>
    <row x14ac:dyDescent="0.25" r="340" customHeight="1" ht="18.75">
      <c r="A340" s="1"/>
      <c r="B340" s="150"/>
      <c r="C340" s="34"/>
      <c r="D340" s="34"/>
      <c r="E340" s="34"/>
      <c r="F340" s="34"/>
      <c r="G340" s="34"/>
      <c r="H340" s="34"/>
      <c r="I340" s="29"/>
      <c r="J340" s="29"/>
      <c r="K340" s="29"/>
      <c r="L340" s="29"/>
      <c r="M340" s="34"/>
      <c r="N340" s="34"/>
      <c r="O340" s="29"/>
      <c r="P340" s="34"/>
      <c r="Q340" s="34"/>
      <c r="R340" s="34"/>
      <c r="S340" s="34"/>
      <c r="T340" s="34"/>
    </row>
    <row x14ac:dyDescent="0.25" r="341" customHeight="1" ht="18.75">
      <c r="A341" s="1"/>
      <c r="B341" s="150"/>
      <c r="C341" s="34"/>
      <c r="D341" s="34"/>
      <c r="E341" s="34"/>
      <c r="F341" s="34"/>
      <c r="G341" s="34"/>
      <c r="H341" s="34"/>
      <c r="I341" s="29"/>
      <c r="J341" s="29"/>
      <c r="K341" s="29"/>
      <c r="L341" s="29"/>
      <c r="M341" s="34"/>
      <c r="N341" s="34"/>
      <c r="O341" s="29"/>
      <c r="P341" s="34"/>
      <c r="Q341" s="34"/>
      <c r="R341" s="34"/>
      <c r="S341" s="34"/>
      <c r="T341" s="34"/>
    </row>
    <row x14ac:dyDescent="0.25" r="342" customHeight="1" ht="18.75">
      <c r="A342" s="1"/>
      <c r="B342" s="150"/>
      <c r="C342" s="34"/>
      <c r="D342" s="34"/>
      <c r="E342" s="34"/>
      <c r="F342" s="34"/>
      <c r="G342" s="34"/>
      <c r="H342" s="34"/>
      <c r="I342" s="29"/>
      <c r="J342" s="29"/>
      <c r="K342" s="29"/>
      <c r="L342" s="29"/>
      <c r="M342" s="34"/>
      <c r="N342" s="34"/>
      <c r="O342" s="29"/>
      <c r="P342" s="34"/>
      <c r="Q342" s="34"/>
      <c r="R342" s="34"/>
      <c r="S342" s="34"/>
      <c r="T342" s="34"/>
    </row>
    <row x14ac:dyDescent="0.25" r="343" customHeight="1" ht="18.75">
      <c r="A343" s="1"/>
      <c r="B343" s="150"/>
      <c r="C343" s="34"/>
      <c r="D343" s="34"/>
      <c r="E343" s="34"/>
      <c r="F343" s="34"/>
      <c r="G343" s="34"/>
      <c r="H343" s="34"/>
      <c r="I343" s="29"/>
      <c r="J343" s="29"/>
      <c r="K343" s="29"/>
      <c r="L343" s="29"/>
      <c r="M343" s="34"/>
      <c r="N343" s="34"/>
      <c r="O343" s="29"/>
      <c r="P343" s="34"/>
      <c r="Q343" s="34"/>
      <c r="R343" s="34"/>
      <c r="S343" s="34"/>
      <c r="T343" s="34"/>
    </row>
    <row x14ac:dyDescent="0.25" r="344" customHeight="1" ht="18.75">
      <c r="A344" s="1"/>
      <c r="B344" s="150"/>
      <c r="C344" s="34"/>
      <c r="D344" s="34"/>
      <c r="E344" s="34"/>
      <c r="F344" s="34"/>
      <c r="G344" s="34"/>
      <c r="H344" s="34"/>
      <c r="I344" s="29"/>
      <c r="J344" s="29"/>
      <c r="K344" s="29"/>
      <c r="L344" s="29"/>
      <c r="M344" s="34"/>
      <c r="N344" s="34"/>
      <c r="O344" s="29"/>
      <c r="P344" s="34"/>
      <c r="Q344" s="34"/>
      <c r="R344" s="34"/>
      <c r="S344" s="34"/>
      <c r="T344" s="34"/>
    </row>
    <row x14ac:dyDescent="0.25" r="345" customHeight="1" ht="18.75">
      <c r="A345" s="1"/>
      <c r="B345" s="150"/>
      <c r="C345" s="34"/>
      <c r="D345" s="34"/>
      <c r="E345" s="34"/>
      <c r="F345" s="34"/>
      <c r="G345" s="34"/>
      <c r="H345" s="34"/>
      <c r="I345" s="29"/>
      <c r="J345" s="29"/>
      <c r="K345" s="29"/>
      <c r="L345" s="29"/>
      <c r="M345" s="34"/>
      <c r="N345" s="34"/>
      <c r="O345" s="29"/>
      <c r="P345" s="34"/>
      <c r="Q345" s="34"/>
      <c r="R345" s="34"/>
      <c r="S345" s="34"/>
      <c r="T345" s="34"/>
    </row>
    <row x14ac:dyDescent="0.25" r="346" customHeight="1" ht="18.75">
      <c r="A346" s="1"/>
      <c r="B346" s="150"/>
      <c r="C346" s="34"/>
      <c r="D346" s="34"/>
      <c r="E346" s="34"/>
      <c r="F346" s="34"/>
      <c r="G346" s="34"/>
      <c r="H346" s="34"/>
      <c r="I346" s="29"/>
      <c r="J346" s="29"/>
      <c r="K346" s="29"/>
      <c r="L346" s="29"/>
      <c r="M346" s="34"/>
      <c r="N346" s="34"/>
      <c r="O346" s="29"/>
      <c r="P346" s="34"/>
      <c r="Q346" s="34"/>
      <c r="R346" s="34"/>
      <c r="S346" s="34"/>
      <c r="T346" s="34"/>
    </row>
    <row x14ac:dyDescent="0.25" r="347" customHeight="1" ht="18.75">
      <c r="A347" s="1"/>
      <c r="B347" s="150"/>
      <c r="C347" s="34"/>
      <c r="D347" s="34"/>
      <c r="E347" s="34"/>
      <c r="F347" s="34"/>
      <c r="G347" s="34"/>
      <c r="H347" s="34"/>
      <c r="I347" s="29"/>
      <c r="J347" s="29"/>
      <c r="K347" s="29"/>
      <c r="L347" s="29"/>
      <c r="M347" s="34"/>
      <c r="N347" s="34"/>
      <c r="O347" s="29"/>
      <c r="P347" s="34"/>
      <c r="Q347" s="34"/>
      <c r="R347" s="34"/>
      <c r="S347" s="34"/>
      <c r="T347" s="34"/>
    </row>
    <row x14ac:dyDescent="0.25" r="348" customHeight="1" ht="18.75">
      <c r="A348" s="1"/>
      <c r="B348" s="150"/>
      <c r="C348" s="34"/>
      <c r="D348" s="34"/>
      <c r="E348" s="34"/>
      <c r="F348" s="34"/>
      <c r="G348" s="34"/>
      <c r="H348" s="34"/>
      <c r="I348" s="29"/>
      <c r="J348" s="29"/>
      <c r="K348" s="29"/>
      <c r="L348" s="29"/>
      <c r="M348" s="34"/>
      <c r="N348" s="34"/>
      <c r="O348" s="29"/>
      <c r="P348" s="34"/>
      <c r="Q348" s="34"/>
      <c r="R348" s="34"/>
      <c r="S348" s="34"/>
      <c r="T348" s="34"/>
    </row>
    <row x14ac:dyDescent="0.25" r="349" customHeight="1" ht="18.75">
      <c r="A349" s="1"/>
      <c r="B349" s="150"/>
      <c r="C349" s="34"/>
      <c r="D349" s="34"/>
      <c r="E349" s="34"/>
      <c r="F349" s="34"/>
      <c r="G349" s="34"/>
      <c r="H349" s="34"/>
      <c r="I349" s="29"/>
      <c r="J349" s="29"/>
      <c r="K349" s="29"/>
      <c r="L349" s="29"/>
      <c r="M349" s="34"/>
      <c r="N349" s="34"/>
      <c r="O349" s="29"/>
      <c r="P349" s="34"/>
      <c r="Q349" s="34"/>
      <c r="R349" s="34"/>
      <c r="S349" s="34"/>
      <c r="T349" s="34"/>
    </row>
    <row x14ac:dyDescent="0.25" r="350" customHeight="1" ht="18.75">
      <c r="A350" s="1"/>
      <c r="B350" s="150"/>
      <c r="C350" s="34"/>
      <c r="D350" s="34"/>
      <c r="E350" s="34"/>
      <c r="F350" s="34"/>
      <c r="G350" s="34"/>
      <c r="H350" s="34"/>
      <c r="I350" s="29"/>
      <c r="J350" s="29"/>
      <c r="K350" s="29"/>
      <c r="L350" s="29"/>
      <c r="M350" s="34"/>
      <c r="N350" s="34"/>
      <c r="O350" s="29"/>
      <c r="P350" s="34"/>
      <c r="Q350" s="34"/>
      <c r="R350" s="34"/>
      <c r="S350" s="34"/>
      <c r="T350" s="34"/>
    </row>
    <row x14ac:dyDescent="0.25" r="351" customHeight="1" ht="18.75">
      <c r="A351" s="1"/>
      <c r="B351" s="150"/>
      <c r="C351" s="34"/>
      <c r="D351" s="34"/>
      <c r="E351" s="34"/>
      <c r="F351" s="34"/>
      <c r="G351" s="34"/>
      <c r="H351" s="34"/>
      <c r="I351" s="29"/>
      <c r="J351" s="29"/>
      <c r="K351" s="29"/>
      <c r="L351" s="29"/>
      <c r="M351" s="34"/>
      <c r="N351" s="34"/>
      <c r="O351" s="29"/>
      <c r="P351" s="34"/>
      <c r="Q351" s="34"/>
      <c r="R351" s="34"/>
      <c r="S351" s="34"/>
      <c r="T351" s="34"/>
    </row>
    <row x14ac:dyDescent="0.25" r="352" customHeight="1" ht="18.75">
      <c r="A352" s="1"/>
      <c r="B352" s="150"/>
      <c r="C352" s="34"/>
      <c r="D352" s="34"/>
      <c r="E352" s="34"/>
      <c r="F352" s="34"/>
      <c r="G352" s="34"/>
      <c r="H352" s="34"/>
      <c r="I352" s="29"/>
      <c r="J352" s="29"/>
      <c r="K352" s="29"/>
      <c r="L352" s="29"/>
      <c r="M352" s="34"/>
      <c r="N352" s="34"/>
      <c r="O352" s="29"/>
      <c r="P352" s="34"/>
      <c r="Q352" s="34"/>
      <c r="R352" s="34"/>
      <c r="S352" s="34"/>
      <c r="T352" s="34"/>
    </row>
    <row x14ac:dyDescent="0.25" r="353" customHeight="1" ht="18.75">
      <c r="A353" s="1"/>
      <c r="B353" s="150"/>
      <c r="C353" s="34"/>
      <c r="D353" s="34"/>
      <c r="E353" s="34"/>
      <c r="F353" s="34"/>
      <c r="G353" s="34"/>
      <c r="H353" s="34"/>
      <c r="I353" s="29"/>
      <c r="J353" s="29"/>
      <c r="K353" s="29"/>
      <c r="L353" s="29"/>
      <c r="M353" s="34"/>
      <c r="N353" s="34"/>
      <c r="O353" s="29"/>
      <c r="P353" s="34"/>
      <c r="Q353" s="34"/>
      <c r="R353" s="34"/>
      <c r="S353" s="34"/>
      <c r="T353" s="34"/>
    </row>
    <row x14ac:dyDescent="0.25" r="354" customHeight="1" ht="18.75">
      <c r="A354" s="1"/>
      <c r="B354" s="150"/>
      <c r="C354" s="34"/>
      <c r="D354" s="34"/>
      <c r="E354" s="34"/>
      <c r="F354" s="34"/>
      <c r="G354" s="34"/>
      <c r="H354" s="34"/>
      <c r="I354" s="29"/>
      <c r="J354" s="29"/>
      <c r="K354" s="29"/>
      <c r="L354" s="29"/>
      <c r="M354" s="34"/>
      <c r="N354" s="34"/>
      <c r="O354" s="29"/>
      <c r="P354" s="34"/>
      <c r="Q354" s="34"/>
      <c r="R354" s="34"/>
      <c r="S354" s="34"/>
      <c r="T354" s="34"/>
    </row>
    <row x14ac:dyDescent="0.25" r="355" customHeight="1" ht="18.75">
      <c r="A355" s="1"/>
      <c r="B355" s="150"/>
      <c r="C355" s="34"/>
      <c r="D355" s="34"/>
      <c r="E355" s="34"/>
      <c r="F355" s="34"/>
      <c r="G355" s="34"/>
      <c r="H355" s="34"/>
      <c r="I355" s="29"/>
      <c r="J355" s="29"/>
      <c r="K355" s="29"/>
      <c r="L355" s="29"/>
      <c r="M355" s="34"/>
      <c r="N355" s="34"/>
      <c r="O355" s="29"/>
      <c r="P355" s="34"/>
      <c r="Q355" s="34"/>
      <c r="R355" s="34"/>
      <c r="S355" s="34"/>
      <c r="T355" s="34"/>
    </row>
    <row x14ac:dyDescent="0.25" r="356" customHeight="1" ht="18.75">
      <c r="A356" s="1"/>
      <c r="B356" s="150"/>
      <c r="C356" s="34"/>
      <c r="D356" s="34"/>
      <c r="E356" s="34"/>
      <c r="F356" s="34"/>
      <c r="G356" s="34"/>
      <c r="H356" s="34"/>
      <c r="I356" s="29"/>
      <c r="J356" s="29"/>
      <c r="K356" s="29"/>
      <c r="L356" s="29"/>
      <c r="M356" s="34"/>
      <c r="N356" s="34"/>
      <c r="O356" s="29"/>
      <c r="P356" s="34"/>
      <c r="Q356" s="34"/>
      <c r="R356" s="34"/>
      <c r="S356" s="34"/>
      <c r="T356" s="34"/>
    </row>
    <row x14ac:dyDescent="0.25" r="357" customHeight="1" ht="18.75">
      <c r="A357" s="1"/>
      <c r="B357" s="150"/>
      <c r="C357" s="34"/>
      <c r="D357" s="34"/>
      <c r="E357" s="34"/>
      <c r="F357" s="34"/>
      <c r="G357" s="34"/>
      <c r="H357" s="34"/>
      <c r="I357" s="29"/>
      <c r="J357" s="29"/>
      <c r="K357" s="29"/>
      <c r="L357" s="29"/>
      <c r="M357" s="34"/>
      <c r="N357" s="34"/>
      <c r="O357" s="29"/>
      <c r="P357" s="34"/>
      <c r="Q357" s="34"/>
      <c r="R357" s="34"/>
      <c r="S357" s="34"/>
      <c r="T357" s="34"/>
    </row>
    <row x14ac:dyDescent="0.25" r="358" customHeight="1" ht="18.75">
      <c r="A358" s="1"/>
      <c r="B358" s="150"/>
      <c r="C358" s="34"/>
      <c r="D358" s="34"/>
      <c r="E358" s="34"/>
      <c r="F358" s="34"/>
      <c r="G358" s="34"/>
      <c r="H358" s="34"/>
      <c r="I358" s="29"/>
      <c r="J358" s="29"/>
      <c r="K358" s="29"/>
      <c r="L358" s="29"/>
      <c r="M358" s="34"/>
      <c r="N358" s="34"/>
      <c r="O358" s="29"/>
      <c r="P358" s="34"/>
      <c r="Q358" s="34"/>
      <c r="R358" s="34"/>
      <c r="S358" s="34"/>
      <c r="T358" s="34"/>
    </row>
    <row x14ac:dyDescent="0.25" r="359" customHeight="1" ht="18.75">
      <c r="A359" s="1"/>
      <c r="B359" s="150"/>
      <c r="C359" s="34"/>
      <c r="D359" s="34"/>
      <c r="E359" s="34"/>
      <c r="F359" s="34"/>
      <c r="G359" s="34"/>
      <c r="H359" s="34"/>
      <c r="I359" s="29"/>
      <c r="J359" s="29"/>
      <c r="K359" s="29"/>
      <c r="L359" s="29"/>
      <c r="M359" s="34"/>
      <c r="N359" s="34"/>
      <c r="O359" s="29"/>
      <c r="P359" s="34"/>
      <c r="Q359" s="34"/>
      <c r="R359" s="34"/>
      <c r="S359" s="34"/>
      <c r="T359" s="34"/>
    </row>
    <row x14ac:dyDescent="0.25" r="360" customHeight="1" ht="18.75">
      <c r="A360" s="1"/>
      <c r="B360" s="150"/>
      <c r="C360" s="34"/>
      <c r="D360" s="34"/>
      <c r="E360" s="34"/>
      <c r="F360" s="34"/>
      <c r="G360" s="34"/>
      <c r="H360" s="34"/>
      <c r="I360" s="29"/>
      <c r="J360" s="29"/>
      <c r="K360" s="29"/>
      <c r="L360" s="29"/>
      <c r="M360" s="34"/>
      <c r="N360" s="34"/>
      <c r="O360" s="29"/>
      <c r="P360" s="34"/>
      <c r="Q360" s="34"/>
      <c r="R360" s="34"/>
      <c r="S360" s="34"/>
      <c r="T360" s="34"/>
    </row>
    <row x14ac:dyDescent="0.25" r="361" customHeight="1" ht="18.75">
      <c r="A361" s="1"/>
      <c r="B361" s="150"/>
      <c r="C361" s="34"/>
      <c r="D361" s="34"/>
      <c r="E361" s="34"/>
      <c r="F361" s="34"/>
      <c r="G361" s="34"/>
      <c r="H361" s="34"/>
      <c r="I361" s="29"/>
      <c r="J361" s="29"/>
      <c r="K361" s="29"/>
      <c r="L361" s="29"/>
      <c r="M361" s="34"/>
      <c r="N361" s="34"/>
      <c r="O361" s="29"/>
      <c r="P361" s="34"/>
      <c r="Q361" s="34"/>
      <c r="R361" s="34"/>
      <c r="S361" s="34"/>
      <c r="T361" s="34"/>
    </row>
    <row x14ac:dyDescent="0.25" r="362" customHeight="1" ht="18.75">
      <c r="A362" s="1"/>
      <c r="B362" s="150"/>
      <c r="C362" s="34"/>
      <c r="D362" s="34"/>
      <c r="E362" s="34"/>
      <c r="F362" s="34"/>
      <c r="G362" s="34"/>
      <c r="H362" s="34"/>
      <c r="I362" s="29"/>
      <c r="J362" s="29"/>
      <c r="K362" s="29"/>
      <c r="L362" s="29"/>
      <c r="M362" s="34"/>
      <c r="N362" s="34"/>
      <c r="O362" s="29"/>
      <c r="P362" s="34"/>
      <c r="Q362" s="34"/>
      <c r="R362" s="34"/>
      <c r="S362" s="34"/>
      <c r="T362" s="34"/>
    </row>
    <row x14ac:dyDescent="0.25" r="363" customHeight="1" ht="18.75">
      <c r="A363" s="1"/>
      <c r="B363" s="150"/>
      <c r="C363" s="34"/>
      <c r="D363" s="34"/>
      <c r="E363" s="34"/>
      <c r="F363" s="34"/>
      <c r="G363" s="34"/>
      <c r="H363" s="34"/>
      <c r="I363" s="29"/>
      <c r="J363" s="29"/>
      <c r="K363" s="29"/>
      <c r="L363" s="29"/>
      <c r="M363" s="34"/>
      <c r="N363" s="34"/>
      <c r="O363" s="29"/>
      <c r="P363" s="34"/>
      <c r="Q363" s="34"/>
      <c r="R363" s="34"/>
      <c r="S363" s="34"/>
      <c r="T363" s="34"/>
    </row>
    <row x14ac:dyDescent="0.25" r="364" customHeight="1" ht="18.75">
      <c r="A364" s="1"/>
      <c r="B364" s="150"/>
      <c r="C364" s="34"/>
      <c r="D364" s="34"/>
      <c r="E364" s="34"/>
      <c r="F364" s="34"/>
      <c r="G364" s="34"/>
      <c r="H364" s="34"/>
      <c r="I364" s="29"/>
      <c r="J364" s="29"/>
      <c r="K364" s="29"/>
      <c r="L364" s="29"/>
      <c r="M364" s="34"/>
      <c r="N364" s="34"/>
      <c r="O364" s="29"/>
      <c r="P364" s="34"/>
      <c r="Q364" s="34"/>
      <c r="R364" s="34"/>
      <c r="S364" s="34"/>
      <c r="T364" s="34"/>
    </row>
    <row x14ac:dyDescent="0.25" r="365" customHeight="1" ht="18.75">
      <c r="A365" s="1"/>
      <c r="B365" s="150"/>
      <c r="C365" s="34"/>
      <c r="D365" s="34"/>
      <c r="E365" s="34"/>
      <c r="F365" s="34"/>
      <c r="G365" s="34"/>
      <c r="H365" s="34"/>
      <c r="I365" s="29"/>
      <c r="J365" s="29"/>
      <c r="K365" s="29"/>
      <c r="L365" s="29"/>
      <c r="M365" s="34"/>
      <c r="N365" s="34"/>
      <c r="O365" s="29"/>
      <c r="P365" s="34"/>
      <c r="Q365" s="34"/>
      <c r="R365" s="34"/>
      <c r="S365" s="34"/>
      <c r="T365" s="34"/>
    </row>
    <row x14ac:dyDescent="0.25" r="366" customHeight="1" ht="18.75">
      <c r="A366" s="1"/>
      <c r="B366" s="150"/>
      <c r="C366" s="34"/>
      <c r="D366" s="34"/>
      <c r="E366" s="34"/>
      <c r="F366" s="34"/>
      <c r="G366" s="34"/>
      <c r="H366" s="34"/>
      <c r="I366" s="29"/>
      <c r="J366" s="29"/>
      <c r="K366" s="29"/>
      <c r="L366" s="29"/>
      <c r="M366" s="34"/>
      <c r="N366" s="34"/>
      <c r="O366" s="29"/>
      <c r="P366" s="34"/>
      <c r="Q366" s="34"/>
      <c r="R366" s="34"/>
      <c r="S366" s="34"/>
      <c r="T366" s="34"/>
    </row>
    <row x14ac:dyDescent="0.25" r="367" customHeight="1" ht="18.75">
      <c r="A367" s="1"/>
      <c r="B367" s="150"/>
      <c r="C367" s="34"/>
      <c r="D367" s="34"/>
      <c r="E367" s="34"/>
      <c r="F367" s="34"/>
      <c r="G367" s="34"/>
      <c r="H367" s="34"/>
      <c r="I367" s="29"/>
      <c r="J367" s="29"/>
      <c r="K367" s="29"/>
      <c r="L367" s="29"/>
      <c r="M367" s="34"/>
      <c r="N367" s="34"/>
      <c r="O367" s="29"/>
      <c r="P367" s="34"/>
      <c r="Q367" s="34"/>
      <c r="R367" s="34"/>
      <c r="S367" s="34"/>
      <c r="T367" s="34"/>
    </row>
    <row x14ac:dyDescent="0.25" r="368" customHeight="1" ht="18.75">
      <c r="A368" s="1"/>
      <c r="B368" s="150"/>
      <c r="C368" s="34"/>
      <c r="D368" s="34"/>
      <c r="E368" s="34"/>
      <c r="F368" s="34"/>
      <c r="G368" s="34"/>
      <c r="H368" s="34"/>
      <c r="I368" s="29"/>
      <c r="J368" s="29"/>
      <c r="K368" s="29"/>
      <c r="L368" s="29"/>
      <c r="M368" s="34"/>
      <c r="N368" s="34"/>
      <c r="O368" s="29"/>
      <c r="P368" s="34"/>
      <c r="Q368" s="34"/>
      <c r="R368" s="34"/>
      <c r="S368" s="34"/>
      <c r="T368" s="34"/>
    </row>
    <row x14ac:dyDescent="0.25" r="369" customHeight="1" ht="18.75">
      <c r="A369" s="1"/>
      <c r="B369" s="150"/>
      <c r="C369" s="34"/>
      <c r="D369" s="34"/>
      <c r="E369" s="34"/>
      <c r="F369" s="34"/>
      <c r="G369" s="34"/>
      <c r="H369" s="34"/>
      <c r="I369" s="29"/>
      <c r="J369" s="29"/>
      <c r="K369" s="29"/>
      <c r="L369" s="29"/>
      <c r="M369" s="34"/>
      <c r="N369" s="34"/>
      <c r="O369" s="29"/>
      <c r="P369" s="34"/>
      <c r="Q369" s="34"/>
      <c r="R369" s="34"/>
      <c r="S369" s="34"/>
      <c r="T369" s="34"/>
    </row>
    <row x14ac:dyDescent="0.25" r="370" customHeight="1" ht="18.75">
      <c r="A370" s="1"/>
      <c r="B370" s="150"/>
      <c r="C370" s="34"/>
      <c r="D370" s="34"/>
      <c r="E370" s="34"/>
      <c r="F370" s="34"/>
      <c r="G370" s="34"/>
      <c r="H370" s="34"/>
      <c r="I370" s="29"/>
      <c r="J370" s="29"/>
      <c r="K370" s="29"/>
      <c r="L370" s="29"/>
      <c r="M370" s="34"/>
      <c r="N370" s="34"/>
      <c r="O370" s="29"/>
      <c r="P370" s="34"/>
      <c r="Q370" s="34"/>
      <c r="R370" s="34"/>
      <c r="S370" s="34"/>
      <c r="T370" s="34"/>
    </row>
    <row x14ac:dyDescent="0.25" r="371" customHeight="1" ht="18.75">
      <c r="A371" s="1"/>
      <c r="B371" s="150"/>
      <c r="C371" s="34"/>
      <c r="D371" s="34"/>
      <c r="E371" s="34"/>
      <c r="F371" s="34"/>
      <c r="G371" s="34"/>
      <c r="H371" s="34"/>
      <c r="I371" s="29"/>
      <c r="J371" s="29"/>
      <c r="K371" s="29"/>
      <c r="L371" s="29"/>
      <c r="M371" s="34"/>
      <c r="N371" s="34"/>
      <c r="O371" s="29"/>
      <c r="P371" s="34"/>
      <c r="Q371" s="34"/>
      <c r="R371" s="34"/>
      <c r="S371" s="34"/>
      <c r="T371" s="34"/>
    </row>
    <row x14ac:dyDescent="0.25" r="372" customHeight="1" ht="18.75">
      <c r="A372" s="1"/>
      <c r="B372" s="150"/>
      <c r="C372" s="34"/>
      <c r="D372" s="34"/>
      <c r="E372" s="34"/>
      <c r="F372" s="34"/>
      <c r="G372" s="34"/>
      <c r="H372" s="34"/>
      <c r="I372" s="29"/>
      <c r="J372" s="29"/>
      <c r="K372" s="29"/>
      <c r="L372" s="29"/>
      <c r="M372" s="34"/>
      <c r="N372" s="34"/>
      <c r="O372" s="29"/>
      <c r="P372" s="34"/>
      <c r="Q372" s="34"/>
      <c r="R372" s="34"/>
      <c r="S372" s="34"/>
      <c r="T372" s="34"/>
    </row>
    <row x14ac:dyDescent="0.25" r="373" customHeight="1" ht="18.75">
      <c r="A373" s="1"/>
      <c r="B373" s="150"/>
      <c r="C373" s="34"/>
      <c r="D373" s="34"/>
      <c r="E373" s="34"/>
      <c r="F373" s="34"/>
      <c r="G373" s="34"/>
      <c r="H373" s="34"/>
      <c r="I373" s="29"/>
      <c r="J373" s="29"/>
      <c r="K373" s="29"/>
      <c r="L373" s="29"/>
      <c r="M373" s="34"/>
      <c r="N373" s="34"/>
      <c r="O373" s="29"/>
      <c r="P373" s="34"/>
      <c r="Q373" s="34"/>
      <c r="R373" s="34"/>
      <c r="S373" s="34"/>
      <c r="T373" s="34"/>
    </row>
    <row x14ac:dyDescent="0.25" r="374" customHeight="1" ht="18.75">
      <c r="A374" s="1"/>
      <c r="B374" s="150"/>
      <c r="C374" s="34"/>
      <c r="D374" s="34"/>
      <c r="E374" s="34"/>
      <c r="F374" s="34"/>
      <c r="G374" s="34"/>
      <c r="H374" s="34"/>
      <c r="I374" s="29"/>
      <c r="J374" s="29"/>
      <c r="K374" s="29"/>
      <c r="L374" s="29"/>
      <c r="M374" s="34"/>
      <c r="N374" s="34"/>
      <c r="O374" s="29"/>
      <c r="P374" s="34"/>
      <c r="Q374" s="34"/>
      <c r="R374" s="34"/>
      <c r="S374" s="34"/>
      <c r="T374" s="34"/>
    </row>
    <row x14ac:dyDescent="0.25" r="375" customHeight="1" ht="18.75">
      <c r="A375" s="1"/>
      <c r="B375" s="150"/>
      <c r="C375" s="34"/>
      <c r="D375" s="34"/>
      <c r="E375" s="34"/>
      <c r="F375" s="34"/>
      <c r="G375" s="34"/>
      <c r="H375" s="34"/>
      <c r="I375" s="29"/>
      <c r="J375" s="29"/>
      <c r="K375" s="29"/>
      <c r="L375" s="29"/>
      <c r="M375" s="34"/>
      <c r="N375" s="34"/>
      <c r="O375" s="29"/>
      <c r="P375" s="34"/>
      <c r="Q375" s="34"/>
      <c r="R375" s="34"/>
      <c r="S375" s="34"/>
      <c r="T375" s="34"/>
    </row>
    <row x14ac:dyDescent="0.25" r="376" customHeight="1" ht="18.75">
      <c r="A376" s="1"/>
      <c r="B376" s="150"/>
      <c r="C376" s="34"/>
      <c r="D376" s="34"/>
      <c r="E376" s="34"/>
      <c r="F376" s="34"/>
      <c r="G376" s="34"/>
      <c r="H376" s="34"/>
      <c r="I376" s="29"/>
      <c r="J376" s="29"/>
      <c r="K376" s="29"/>
      <c r="L376" s="29"/>
      <c r="M376" s="34"/>
      <c r="N376" s="34"/>
      <c r="O376" s="29"/>
      <c r="P376" s="34"/>
      <c r="Q376" s="34"/>
      <c r="R376" s="34"/>
      <c r="S376" s="34"/>
      <c r="T376" s="34"/>
    </row>
    <row x14ac:dyDescent="0.25" r="377" customHeight="1" ht="18.75">
      <c r="A377" s="1"/>
      <c r="B377" s="150"/>
      <c r="C377" s="34"/>
      <c r="D377" s="34"/>
      <c r="E377" s="34"/>
      <c r="F377" s="34"/>
      <c r="G377" s="34"/>
      <c r="H377" s="34"/>
      <c r="I377" s="29"/>
      <c r="J377" s="29"/>
      <c r="K377" s="29"/>
      <c r="L377" s="29"/>
      <c r="M377" s="34"/>
      <c r="N377" s="34"/>
      <c r="O377" s="29"/>
      <c r="P377" s="34"/>
      <c r="Q377" s="34"/>
      <c r="R377" s="34"/>
      <c r="S377" s="34"/>
      <c r="T377" s="34"/>
    </row>
    <row x14ac:dyDescent="0.25" r="378" customHeight="1" ht="18.75">
      <c r="A378" s="1"/>
      <c r="B378" s="150"/>
      <c r="C378" s="34"/>
      <c r="D378" s="34"/>
      <c r="E378" s="34"/>
      <c r="F378" s="34"/>
      <c r="G378" s="34"/>
      <c r="H378" s="34"/>
      <c r="I378" s="29"/>
      <c r="J378" s="29"/>
      <c r="K378" s="29"/>
      <c r="L378" s="29"/>
      <c r="M378" s="34"/>
      <c r="N378" s="34"/>
      <c r="O378" s="29"/>
      <c r="P378" s="34"/>
      <c r="Q378" s="34"/>
      <c r="R378" s="34"/>
      <c r="S378" s="34"/>
      <c r="T378" s="34"/>
    </row>
    <row x14ac:dyDescent="0.25" r="379" customHeight="1" ht="18.75">
      <c r="A379" s="1"/>
      <c r="B379" s="150"/>
      <c r="C379" s="34"/>
      <c r="D379" s="34"/>
      <c r="E379" s="34"/>
      <c r="F379" s="34"/>
      <c r="G379" s="34"/>
      <c r="H379" s="34"/>
      <c r="I379" s="29"/>
      <c r="J379" s="29"/>
      <c r="K379" s="29"/>
      <c r="L379" s="29"/>
      <c r="M379" s="34"/>
      <c r="N379" s="34"/>
      <c r="O379" s="29"/>
      <c r="P379" s="34"/>
      <c r="Q379" s="34"/>
      <c r="R379" s="34"/>
      <c r="S379" s="34"/>
      <c r="T379" s="34"/>
    </row>
    <row x14ac:dyDescent="0.25" r="380" customHeight="1" ht="18.75">
      <c r="A380" s="1"/>
      <c r="B380" s="150"/>
      <c r="C380" s="34"/>
      <c r="D380" s="34"/>
      <c r="E380" s="34"/>
      <c r="F380" s="34"/>
      <c r="G380" s="34"/>
      <c r="H380" s="34"/>
      <c r="I380" s="29"/>
      <c r="J380" s="29"/>
      <c r="K380" s="29"/>
      <c r="L380" s="29"/>
      <c r="M380" s="34"/>
      <c r="N380" s="34"/>
      <c r="O380" s="29"/>
      <c r="P380" s="34"/>
      <c r="Q380" s="34"/>
      <c r="R380" s="34"/>
      <c r="S380" s="34"/>
      <c r="T380" s="34"/>
    </row>
    <row x14ac:dyDescent="0.25" r="381" customHeight="1" ht="18.75">
      <c r="A381" s="1"/>
      <c r="B381" s="150"/>
      <c r="C381" s="34"/>
      <c r="D381" s="34"/>
      <c r="E381" s="34"/>
      <c r="F381" s="34"/>
      <c r="G381" s="34"/>
      <c r="H381" s="34"/>
      <c r="I381" s="29"/>
      <c r="J381" s="29"/>
      <c r="K381" s="29"/>
      <c r="L381" s="29"/>
      <c r="M381" s="34"/>
      <c r="N381" s="34"/>
      <c r="O381" s="29"/>
      <c r="P381" s="34"/>
      <c r="Q381" s="34"/>
      <c r="R381" s="34"/>
      <c r="S381" s="34"/>
      <c r="T381" s="34"/>
    </row>
    <row x14ac:dyDescent="0.25" r="382" customHeight="1" ht="18.75">
      <c r="A382" s="1"/>
      <c r="B382" s="150"/>
      <c r="C382" s="34"/>
      <c r="D382" s="34"/>
      <c r="E382" s="34"/>
      <c r="F382" s="34"/>
      <c r="G382" s="34"/>
      <c r="H382" s="34"/>
      <c r="I382" s="29"/>
      <c r="J382" s="29"/>
      <c r="K382" s="29"/>
      <c r="L382" s="29"/>
      <c r="M382" s="34"/>
      <c r="N382" s="34"/>
      <c r="O382" s="29"/>
      <c r="P382" s="34"/>
      <c r="Q382" s="34"/>
      <c r="R382" s="34"/>
      <c r="S382" s="34"/>
      <c r="T382" s="34"/>
    </row>
    <row x14ac:dyDescent="0.25" r="383" customHeight="1" ht="18.75">
      <c r="A383" s="1"/>
      <c r="B383" s="150"/>
      <c r="C383" s="34"/>
      <c r="D383" s="34"/>
      <c r="E383" s="34"/>
      <c r="F383" s="34"/>
      <c r="G383" s="34"/>
      <c r="H383" s="34"/>
      <c r="I383" s="29"/>
      <c r="J383" s="29"/>
      <c r="K383" s="29"/>
      <c r="L383" s="29"/>
      <c r="M383" s="34"/>
      <c r="N383" s="34"/>
      <c r="O383" s="29"/>
      <c r="P383" s="34"/>
      <c r="Q383" s="34"/>
      <c r="R383" s="34"/>
      <c r="S383" s="34"/>
      <c r="T383" s="34"/>
    </row>
    <row x14ac:dyDescent="0.25" r="384" customHeight="1" ht="18.75">
      <c r="A384" s="1"/>
      <c r="B384" s="150"/>
      <c r="C384" s="34"/>
      <c r="D384" s="34"/>
      <c r="E384" s="34"/>
      <c r="F384" s="34"/>
      <c r="G384" s="34"/>
      <c r="H384" s="34"/>
      <c r="I384" s="29"/>
      <c r="J384" s="29"/>
      <c r="K384" s="29"/>
      <c r="L384" s="29"/>
      <c r="M384" s="34"/>
      <c r="N384" s="34"/>
      <c r="O384" s="29"/>
      <c r="P384" s="34"/>
      <c r="Q384" s="34"/>
      <c r="R384" s="34"/>
      <c r="S384" s="34"/>
      <c r="T384" s="34"/>
    </row>
    <row x14ac:dyDescent="0.25" r="385" customHeight="1" ht="18.75">
      <c r="A385" s="1"/>
      <c r="B385" s="150"/>
      <c r="C385" s="34"/>
      <c r="D385" s="34"/>
      <c r="E385" s="34"/>
      <c r="F385" s="34"/>
      <c r="G385" s="34"/>
      <c r="H385" s="34"/>
      <c r="I385" s="29"/>
      <c r="J385" s="29"/>
      <c r="K385" s="29"/>
      <c r="L385" s="29"/>
      <c r="M385" s="34"/>
      <c r="N385" s="34"/>
      <c r="O385" s="29"/>
      <c r="P385" s="34"/>
      <c r="Q385" s="34"/>
      <c r="R385" s="34"/>
      <c r="S385" s="34"/>
      <c r="T385" s="34"/>
    </row>
    <row x14ac:dyDescent="0.25" r="386" customHeight="1" ht="18.75">
      <c r="A386" s="1"/>
      <c r="B386" s="150"/>
      <c r="C386" s="34"/>
      <c r="D386" s="34"/>
      <c r="E386" s="34"/>
      <c r="F386" s="34"/>
      <c r="G386" s="34"/>
      <c r="H386" s="34"/>
      <c r="I386" s="29"/>
      <c r="J386" s="29"/>
      <c r="K386" s="29"/>
      <c r="L386" s="29"/>
      <c r="M386" s="34"/>
      <c r="N386" s="34"/>
      <c r="O386" s="29"/>
      <c r="P386" s="34"/>
      <c r="Q386" s="34"/>
      <c r="R386" s="34"/>
      <c r="S386" s="34"/>
      <c r="T386" s="34"/>
    </row>
    <row x14ac:dyDescent="0.25" r="387" customHeight="1" ht="18.75">
      <c r="A387" s="1"/>
      <c r="B387" s="150"/>
      <c r="C387" s="34"/>
      <c r="D387" s="34"/>
      <c r="E387" s="34"/>
      <c r="F387" s="34"/>
      <c r="G387" s="34"/>
      <c r="H387" s="34"/>
      <c r="I387" s="29"/>
      <c r="J387" s="29"/>
      <c r="K387" s="29"/>
      <c r="L387" s="29"/>
      <c r="M387" s="34"/>
      <c r="N387" s="34"/>
      <c r="O387" s="29"/>
      <c r="P387" s="34"/>
      <c r="Q387" s="34"/>
      <c r="R387" s="34"/>
      <c r="S387" s="34"/>
      <c r="T387" s="34"/>
    </row>
    <row x14ac:dyDescent="0.25" r="388" customHeight="1" ht="18.75">
      <c r="A388" s="1"/>
      <c r="B388" s="150"/>
      <c r="C388" s="34"/>
      <c r="D388" s="34"/>
      <c r="E388" s="34"/>
      <c r="F388" s="34"/>
      <c r="G388" s="34"/>
      <c r="H388" s="34"/>
      <c r="I388" s="29"/>
      <c r="J388" s="29"/>
      <c r="K388" s="29"/>
      <c r="L388" s="29"/>
      <c r="M388" s="34"/>
      <c r="N388" s="34"/>
      <c r="O388" s="29"/>
      <c r="P388" s="34"/>
      <c r="Q388" s="34"/>
      <c r="R388" s="34"/>
      <c r="S388" s="34"/>
      <c r="T388" s="34"/>
    </row>
    <row x14ac:dyDescent="0.25" r="389" customHeight="1" ht="18.75">
      <c r="A389" s="1"/>
      <c r="B389" s="150"/>
      <c r="C389" s="34"/>
      <c r="D389" s="34"/>
      <c r="E389" s="34"/>
      <c r="F389" s="34"/>
      <c r="G389" s="34"/>
      <c r="H389" s="34"/>
      <c r="I389" s="29"/>
      <c r="J389" s="29"/>
      <c r="K389" s="29"/>
      <c r="L389" s="29"/>
      <c r="M389" s="34"/>
      <c r="N389" s="34"/>
      <c r="O389" s="29"/>
      <c r="P389" s="34"/>
      <c r="Q389" s="34"/>
      <c r="R389" s="34"/>
      <c r="S389" s="34"/>
      <c r="T389" s="34"/>
    </row>
    <row x14ac:dyDescent="0.25" r="390" customHeight="1" ht="18.75">
      <c r="A390" s="1"/>
      <c r="B390" s="150"/>
      <c r="C390" s="34"/>
      <c r="D390" s="34"/>
      <c r="E390" s="34"/>
      <c r="F390" s="34"/>
      <c r="G390" s="34"/>
      <c r="H390" s="34"/>
      <c r="I390" s="29"/>
      <c r="J390" s="29"/>
      <c r="K390" s="29"/>
      <c r="L390" s="29"/>
      <c r="M390" s="34"/>
      <c r="N390" s="34"/>
      <c r="O390" s="29"/>
      <c r="P390" s="34"/>
      <c r="Q390" s="34"/>
      <c r="R390" s="34"/>
      <c r="S390" s="34"/>
      <c r="T390" s="34"/>
    </row>
    <row x14ac:dyDescent="0.25" r="391" customHeight="1" ht="18.75">
      <c r="A391" s="1"/>
      <c r="B391" s="150"/>
      <c r="C391" s="34"/>
      <c r="D391" s="34"/>
      <c r="E391" s="34"/>
      <c r="F391" s="34"/>
      <c r="G391" s="34"/>
      <c r="H391" s="34"/>
      <c r="I391" s="29"/>
      <c r="J391" s="29"/>
      <c r="K391" s="29"/>
      <c r="L391" s="29"/>
      <c r="M391" s="34"/>
      <c r="N391" s="34"/>
      <c r="O391" s="29"/>
      <c r="P391" s="34"/>
      <c r="Q391" s="34"/>
      <c r="R391" s="34"/>
      <c r="S391" s="34"/>
      <c r="T391" s="34"/>
    </row>
    <row x14ac:dyDescent="0.25" r="392" customHeight="1" ht="18.75">
      <c r="A392" s="1"/>
      <c r="B392" s="150"/>
      <c r="C392" s="34"/>
      <c r="D392" s="34"/>
      <c r="E392" s="34"/>
      <c r="F392" s="34"/>
      <c r="G392" s="34"/>
      <c r="H392" s="34"/>
      <c r="I392" s="29"/>
      <c r="J392" s="29"/>
      <c r="K392" s="29"/>
      <c r="L392" s="29"/>
      <c r="M392" s="34"/>
      <c r="N392" s="34"/>
      <c r="O392" s="29"/>
      <c r="P392" s="34"/>
      <c r="Q392" s="34"/>
      <c r="R392" s="34"/>
      <c r="S392" s="34"/>
      <c r="T392" s="34"/>
    </row>
    <row x14ac:dyDescent="0.25" r="393" customHeight="1" ht="18.75">
      <c r="A393" s="1"/>
      <c r="B393" s="150"/>
      <c r="C393" s="34"/>
      <c r="D393" s="34"/>
      <c r="E393" s="34"/>
      <c r="F393" s="34"/>
      <c r="G393" s="34"/>
      <c r="H393" s="34"/>
      <c r="I393" s="29"/>
      <c r="J393" s="29"/>
      <c r="K393" s="29"/>
      <c r="L393" s="29"/>
      <c r="M393" s="34"/>
      <c r="N393" s="34"/>
      <c r="O393" s="29"/>
      <c r="P393" s="34"/>
      <c r="Q393" s="34"/>
      <c r="R393" s="34"/>
      <c r="S393" s="34"/>
      <c r="T393" s="34"/>
    </row>
    <row x14ac:dyDescent="0.25" r="394" customHeight="1" ht="18.75">
      <c r="A394" s="1"/>
      <c r="B394" s="150"/>
      <c r="C394" s="34"/>
      <c r="D394" s="34"/>
      <c r="E394" s="34"/>
      <c r="F394" s="34"/>
      <c r="G394" s="34"/>
      <c r="H394" s="34"/>
      <c r="I394" s="29"/>
      <c r="J394" s="29"/>
      <c r="K394" s="29"/>
      <c r="L394" s="29"/>
      <c r="M394" s="34"/>
      <c r="N394" s="34"/>
      <c r="O394" s="29"/>
      <c r="P394" s="34"/>
      <c r="Q394" s="34"/>
      <c r="R394" s="34"/>
      <c r="S394" s="34"/>
      <c r="T394" s="34"/>
    </row>
    <row x14ac:dyDescent="0.25" r="395" customHeight="1" ht="18.75">
      <c r="A395" s="1"/>
      <c r="B395" s="150"/>
      <c r="C395" s="34"/>
      <c r="D395" s="34"/>
      <c r="E395" s="34"/>
      <c r="F395" s="34"/>
      <c r="G395" s="34"/>
      <c r="H395" s="34"/>
      <c r="I395" s="29"/>
      <c r="J395" s="29"/>
      <c r="K395" s="29"/>
      <c r="L395" s="29"/>
      <c r="M395" s="34"/>
      <c r="N395" s="34"/>
      <c r="O395" s="29"/>
      <c r="P395" s="34"/>
      <c r="Q395" s="34"/>
      <c r="R395" s="34"/>
      <c r="S395" s="34"/>
      <c r="T395" s="34"/>
    </row>
    <row x14ac:dyDescent="0.25" r="396" customHeight="1" ht="18.75">
      <c r="A396" s="1"/>
      <c r="B396" s="150"/>
      <c r="C396" s="34"/>
      <c r="D396" s="34"/>
      <c r="E396" s="34"/>
      <c r="F396" s="34"/>
      <c r="G396" s="34"/>
      <c r="H396" s="34"/>
      <c r="I396" s="29"/>
      <c r="J396" s="29"/>
      <c r="K396" s="29"/>
      <c r="L396" s="29"/>
      <c r="M396" s="34"/>
      <c r="N396" s="34"/>
      <c r="O396" s="29"/>
      <c r="P396" s="34"/>
      <c r="Q396" s="34"/>
      <c r="R396" s="34"/>
      <c r="S396" s="34"/>
      <c r="T396" s="34"/>
    </row>
    <row x14ac:dyDescent="0.25" r="397" customHeight="1" ht="18.75">
      <c r="A397" s="1"/>
      <c r="B397" s="150"/>
      <c r="C397" s="34"/>
      <c r="D397" s="34"/>
      <c r="E397" s="34"/>
      <c r="F397" s="34"/>
      <c r="G397" s="34"/>
      <c r="H397" s="34"/>
      <c r="I397" s="29"/>
      <c r="J397" s="29"/>
      <c r="K397" s="29"/>
      <c r="L397" s="29"/>
      <c r="M397" s="34"/>
      <c r="N397" s="34"/>
      <c r="O397" s="29"/>
      <c r="P397" s="34"/>
      <c r="Q397" s="34"/>
      <c r="R397" s="34"/>
      <c r="S397" s="34"/>
      <c r="T397" s="34"/>
    </row>
    <row x14ac:dyDescent="0.25" r="398" customHeight="1" ht="18.75">
      <c r="A398" s="1"/>
      <c r="B398" s="150"/>
      <c r="C398" s="34"/>
      <c r="D398" s="34"/>
      <c r="E398" s="34"/>
      <c r="F398" s="34"/>
      <c r="G398" s="34"/>
      <c r="H398" s="34"/>
      <c r="I398" s="29"/>
      <c r="J398" s="29"/>
      <c r="K398" s="29"/>
      <c r="L398" s="29"/>
      <c r="M398" s="34"/>
      <c r="N398" s="34"/>
      <c r="O398" s="29"/>
      <c r="P398" s="34"/>
      <c r="Q398" s="34"/>
      <c r="R398" s="34"/>
      <c r="S398" s="34"/>
      <c r="T398" s="34"/>
    </row>
    <row x14ac:dyDescent="0.25" r="399" customHeight="1" ht="18.75">
      <c r="A399" s="1"/>
      <c r="B399" s="150"/>
      <c r="C399" s="34"/>
      <c r="D399" s="34"/>
      <c r="E399" s="34"/>
      <c r="F399" s="34"/>
      <c r="G399" s="34"/>
      <c r="H399" s="34"/>
      <c r="I399" s="29"/>
      <c r="J399" s="29"/>
      <c r="K399" s="29"/>
      <c r="L399" s="29"/>
      <c r="M399" s="34"/>
      <c r="N399" s="34"/>
      <c r="O399" s="29"/>
      <c r="P399" s="34"/>
      <c r="Q399" s="34"/>
      <c r="R399" s="34"/>
      <c r="S399" s="34"/>
      <c r="T399" s="34"/>
    </row>
    <row x14ac:dyDescent="0.25" r="400" customHeight="1" ht="18.75">
      <c r="A400" s="1"/>
      <c r="B400" s="150"/>
      <c r="C400" s="34"/>
      <c r="D400" s="34"/>
      <c r="E400" s="34"/>
      <c r="F400" s="34"/>
      <c r="G400" s="34"/>
      <c r="H400" s="34"/>
      <c r="I400" s="29"/>
      <c r="J400" s="29"/>
      <c r="K400" s="29"/>
      <c r="L400" s="29"/>
      <c r="M400" s="34"/>
      <c r="N400" s="34"/>
      <c r="O400" s="29"/>
      <c r="P400" s="34"/>
      <c r="Q400" s="34"/>
      <c r="R400" s="34"/>
      <c r="S400" s="34"/>
      <c r="T400" s="34"/>
    </row>
    <row x14ac:dyDescent="0.25" r="401" customHeight="1" ht="18.75">
      <c r="A401" s="1"/>
      <c r="B401" s="150"/>
      <c r="C401" s="34"/>
      <c r="D401" s="34"/>
      <c r="E401" s="34"/>
      <c r="F401" s="34"/>
      <c r="G401" s="34"/>
      <c r="H401" s="34"/>
      <c r="I401" s="29"/>
      <c r="J401" s="29"/>
      <c r="K401" s="29"/>
      <c r="L401" s="29"/>
      <c r="M401" s="34"/>
      <c r="N401" s="34"/>
      <c r="O401" s="29"/>
      <c r="P401" s="34"/>
      <c r="Q401" s="34"/>
      <c r="R401" s="34"/>
      <c r="S401" s="34"/>
      <c r="T401" s="34"/>
    </row>
    <row x14ac:dyDescent="0.25" r="402" customHeight="1" ht="18.75">
      <c r="A402" s="1"/>
      <c r="B402" s="150"/>
      <c r="C402" s="34"/>
      <c r="D402" s="34"/>
      <c r="E402" s="34"/>
      <c r="F402" s="34"/>
      <c r="G402" s="34"/>
      <c r="H402" s="34"/>
      <c r="I402" s="29"/>
      <c r="J402" s="29"/>
      <c r="K402" s="29"/>
      <c r="L402" s="29"/>
      <c r="M402" s="34"/>
      <c r="N402" s="34"/>
      <c r="O402" s="29"/>
      <c r="P402" s="34"/>
      <c r="Q402" s="34"/>
      <c r="R402" s="34"/>
      <c r="S402" s="34"/>
      <c r="T402" s="34"/>
    </row>
    <row x14ac:dyDescent="0.25" r="403" customHeight="1" ht="18.75">
      <c r="A403" s="1"/>
      <c r="B403" s="150"/>
      <c r="C403" s="34"/>
      <c r="D403" s="34"/>
      <c r="E403" s="34"/>
      <c r="F403" s="34"/>
      <c r="G403" s="34"/>
      <c r="H403" s="34"/>
      <c r="I403" s="29"/>
      <c r="J403" s="29"/>
      <c r="K403" s="29"/>
      <c r="L403" s="29"/>
      <c r="M403" s="34"/>
      <c r="N403" s="34"/>
      <c r="O403" s="29"/>
      <c r="P403" s="34"/>
      <c r="Q403" s="34"/>
      <c r="R403" s="34"/>
      <c r="S403" s="34"/>
      <c r="T403" s="34"/>
    </row>
    <row x14ac:dyDescent="0.25" r="404" customHeight="1" ht="18.75">
      <c r="A404" s="1"/>
      <c r="B404" s="150"/>
      <c r="C404" s="34"/>
      <c r="D404" s="34"/>
      <c r="E404" s="34"/>
      <c r="F404" s="34"/>
      <c r="G404" s="34"/>
      <c r="H404" s="34"/>
      <c r="I404" s="29"/>
      <c r="J404" s="29"/>
      <c r="K404" s="29"/>
      <c r="L404" s="29"/>
      <c r="M404" s="34"/>
      <c r="N404" s="34"/>
      <c r="O404" s="29"/>
      <c r="P404" s="34"/>
      <c r="Q404" s="34"/>
      <c r="R404" s="34"/>
      <c r="S404" s="34"/>
      <c r="T404" s="34"/>
    </row>
    <row x14ac:dyDescent="0.25" r="405" customHeight="1" ht="18.75">
      <c r="A405" s="1"/>
      <c r="B405" s="150"/>
      <c r="C405" s="34"/>
      <c r="D405" s="34"/>
      <c r="E405" s="34"/>
      <c r="F405" s="34"/>
      <c r="G405" s="34"/>
      <c r="H405" s="34"/>
      <c r="I405" s="29"/>
      <c r="J405" s="29"/>
      <c r="K405" s="29"/>
      <c r="L405" s="29"/>
      <c r="M405" s="34"/>
      <c r="N405" s="34"/>
      <c r="O405" s="29"/>
      <c r="P405" s="34"/>
      <c r="Q405" s="34"/>
      <c r="R405" s="34"/>
      <c r="S405" s="34"/>
      <c r="T405" s="34"/>
    </row>
    <row x14ac:dyDescent="0.25" r="406" customHeight="1" ht="18.75">
      <c r="A406" s="1"/>
      <c r="B406" s="150"/>
      <c r="C406" s="34"/>
      <c r="D406" s="34"/>
      <c r="E406" s="34"/>
      <c r="F406" s="34"/>
      <c r="G406" s="34"/>
      <c r="H406" s="34"/>
      <c r="I406" s="29"/>
      <c r="J406" s="29"/>
      <c r="K406" s="29"/>
      <c r="L406" s="29"/>
      <c r="M406" s="34"/>
      <c r="N406" s="34"/>
      <c r="O406" s="29"/>
      <c r="P406" s="34"/>
      <c r="Q406" s="34"/>
      <c r="R406" s="34"/>
      <c r="S406" s="34"/>
      <c r="T406" s="34"/>
    </row>
    <row x14ac:dyDescent="0.25" r="407" customHeight="1" ht="18.75">
      <c r="A407" s="1"/>
      <c r="B407" s="150"/>
      <c r="C407" s="34"/>
      <c r="D407" s="34"/>
      <c r="E407" s="34"/>
      <c r="F407" s="34"/>
      <c r="G407" s="34"/>
      <c r="H407" s="34"/>
      <c r="I407" s="29"/>
      <c r="J407" s="29"/>
      <c r="K407" s="29"/>
      <c r="L407" s="29"/>
      <c r="M407" s="34"/>
      <c r="N407" s="34"/>
      <c r="O407" s="29"/>
      <c r="P407" s="34"/>
      <c r="Q407" s="34"/>
      <c r="R407" s="34"/>
      <c r="S407" s="34"/>
      <c r="T407" s="34"/>
    </row>
    <row x14ac:dyDescent="0.25" r="408" customHeight="1" ht="18.75">
      <c r="A408" s="1"/>
      <c r="B408" s="150"/>
      <c r="C408" s="34"/>
      <c r="D408" s="34"/>
      <c r="E408" s="34"/>
      <c r="F408" s="34"/>
      <c r="G408" s="34"/>
      <c r="H408" s="34"/>
      <c r="I408" s="29"/>
      <c r="J408" s="29"/>
      <c r="K408" s="29"/>
      <c r="L408" s="29"/>
      <c r="M408" s="34"/>
      <c r="N408" s="34"/>
      <c r="O408" s="29"/>
      <c r="P408" s="34"/>
      <c r="Q408" s="34"/>
      <c r="R408" s="34"/>
      <c r="S408" s="34"/>
      <c r="T408" s="34"/>
    </row>
    <row x14ac:dyDescent="0.25" r="409" customHeight="1" ht="18.75">
      <c r="A409" s="1"/>
      <c r="B409" s="150"/>
      <c r="C409" s="34"/>
      <c r="D409" s="34"/>
      <c r="E409" s="34"/>
      <c r="F409" s="34"/>
      <c r="G409" s="34"/>
      <c r="H409" s="34"/>
      <c r="I409" s="29"/>
      <c r="J409" s="29"/>
      <c r="K409" s="29"/>
      <c r="L409" s="29"/>
      <c r="M409" s="34"/>
      <c r="N409" s="34"/>
      <c r="O409" s="29"/>
      <c r="P409" s="34"/>
      <c r="Q409" s="34"/>
      <c r="R409" s="34"/>
      <c r="S409" s="34"/>
      <c r="T409" s="34"/>
    </row>
    <row x14ac:dyDescent="0.25" r="410" customHeight="1" ht="18.75">
      <c r="A410" s="1"/>
      <c r="B410" s="150"/>
      <c r="C410" s="34"/>
      <c r="D410" s="34"/>
      <c r="E410" s="34"/>
      <c r="F410" s="34"/>
      <c r="G410" s="34"/>
      <c r="H410" s="34"/>
      <c r="I410" s="29"/>
      <c r="J410" s="29"/>
      <c r="K410" s="29"/>
      <c r="L410" s="29"/>
      <c r="M410" s="34"/>
      <c r="N410" s="34"/>
      <c r="O410" s="29"/>
      <c r="P410" s="34"/>
      <c r="Q410" s="34"/>
      <c r="R410" s="34"/>
      <c r="S410" s="34"/>
      <c r="T410" s="34"/>
    </row>
    <row x14ac:dyDescent="0.25" r="411" customHeight="1" ht="18.75">
      <c r="A411" s="1"/>
      <c r="B411" s="150"/>
      <c r="C411" s="34"/>
      <c r="D411" s="34"/>
      <c r="E411" s="34"/>
      <c r="F411" s="34"/>
      <c r="G411" s="34"/>
      <c r="H411" s="34"/>
      <c r="I411" s="29"/>
      <c r="J411" s="29"/>
      <c r="K411" s="29"/>
      <c r="L411" s="29"/>
      <c r="M411" s="34"/>
      <c r="N411" s="34"/>
      <c r="O411" s="29"/>
      <c r="P411" s="34"/>
      <c r="Q411" s="34"/>
      <c r="R411" s="34"/>
      <c r="S411" s="34"/>
      <c r="T411" s="34"/>
    </row>
    <row x14ac:dyDescent="0.25" r="412" customHeight="1" ht="18.75">
      <c r="A412" s="1"/>
      <c r="B412" s="150"/>
      <c r="C412" s="34"/>
      <c r="D412" s="34"/>
      <c r="E412" s="34"/>
      <c r="F412" s="34"/>
      <c r="G412" s="34"/>
      <c r="H412" s="34"/>
      <c r="I412" s="29"/>
      <c r="J412" s="29"/>
      <c r="K412" s="29"/>
      <c r="L412" s="29"/>
      <c r="M412" s="34"/>
      <c r="N412" s="34"/>
      <c r="O412" s="29"/>
      <c r="P412" s="34"/>
      <c r="Q412" s="34"/>
      <c r="R412" s="34"/>
      <c r="S412" s="34"/>
      <c r="T412" s="34"/>
    </row>
    <row x14ac:dyDescent="0.25" r="413" customHeight="1" ht="18.75">
      <c r="A413" s="1"/>
      <c r="B413" s="150"/>
      <c r="C413" s="34"/>
      <c r="D413" s="34"/>
      <c r="E413" s="34"/>
      <c r="F413" s="34"/>
      <c r="G413" s="34"/>
      <c r="H413" s="34"/>
      <c r="I413" s="29"/>
      <c r="J413" s="29"/>
      <c r="K413" s="29"/>
      <c r="L413" s="29"/>
      <c r="M413" s="34"/>
      <c r="N413" s="34"/>
      <c r="O413" s="29"/>
      <c r="P413" s="34"/>
      <c r="Q413" s="34"/>
      <c r="R413" s="34"/>
      <c r="S413" s="34"/>
      <c r="T413" s="34"/>
    </row>
    <row x14ac:dyDescent="0.25" r="414" customHeight="1" ht="18.75">
      <c r="A414" s="1"/>
      <c r="B414" s="150"/>
      <c r="C414" s="34"/>
      <c r="D414" s="34"/>
      <c r="E414" s="34"/>
      <c r="F414" s="34"/>
      <c r="G414" s="34"/>
      <c r="H414" s="34"/>
      <c r="I414" s="29"/>
      <c r="J414" s="29"/>
      <c r="K414" s="29"/>
      <c r="L414" s="29"/>
      <c r="M414" s="34"/>
      <c r="N414" s="34"/>
      <c r="O414" s="29"/>
      <c r="P414" s="34"/>
      <c r="Q414" s="34"/>
      <c r="R414" s="34"/>
      <c r="S414" s="34"/>
      <c r="T414" s="34"/>
    </row>
    <row x14ac:dyDescent="0.25" r="415" customHeight="1" ht="18.75">
      <c r="A415" s="1"/>
      <c r="B415" s="150"/>
      <c r="C415" s="34"/>
      <c r="D415" s="34"/>
      <c r="E415" s="34"/>
      <c r="F415" s="34"/>
      <c r="G415" s="34"/>
      <c r="H415" s="34"/>
      <c r="I415" s="29"/>
      <c r="J415" s="29"/>
      <c r="K415" s="29"/>
      <c r="L415" s="29"/>
      <c r="M415" s="34"/>
      <c r="N415" s="34"/>
      <c r="O415" s="29"/>
      <c r="P415" s="34"/>
      <c r="Q415" s="34"/>
      <c r="R415" s="34"/>
      <c r="S415" s="34"/>
      <c r="T415" s="34"/>
    </row>
    <row x14ac:dyDescent="0.25" r="416" customHeight="1" ht="18.75">
      <c r="A416" s="1"/>
      <c r="B416" s="150"/>
      <c r="C416" s="34"/>
      <c r="D416" s="34"/>
      <c r="E416" s="34"/>
      <c r="F416" s="34"/>
      <c r="G416" s="34"/>
      <c r="H416" s="34"/>
      <c r="I416" s="29"/>
      <c r="J416" s="29"/>
      <c r="K416" s="29"/>
      <c r="L416" s="29"/>
      <c r="M416" s="34"/>
      <c r="N416" s="34"/>
      <c r="O416" s="29"/>
      <c r="P416" s="34"/>
      <c r="Q416" s="34"/>
      <c r="R416" s="34"/>
      <c r="S416" s="34"/>
      <c r="T416" s="34"/>
    </row>
    <row x14ac:dyDescent="0.25" r="417" customHeight="1" ht="18.75">
      <c r="A417" s="1"/>
      <c r="B417" s="150"/>
      <c r="C417" s="34"/>
      <c r="D417" s="34"/>
      <c r="E417" s="34"/>
      <c r="F417" s="34"/>
      <c r="G417" s="34"/>
      <c r="H417" s="34"/>
      <c r="I417" s="29"/>
      <c r="J417" s="29"/>
      <c r="K417" s="29"/>
      <c r="L417" s="29"/>
      <c r="M417" s="34"/>
      <c r="N417" s="34"/>
      <c r="O417" s="29"/>
      <c r="P417" s="34"/>
      <c r="Q417" s="34"/>
      <c r="R417" s="34"/>
      <c r="S417" s="34"/>
      <c r="T417" s="34"/>
    </row>
    <row x14ac:dyDescent="0.25" r="418" customHeight="1" ht="18.75">
      <c r="A418" s="1"/>
      <c r="B418" s="150"/>
      <c r="C418" s="34"/>
      <c r="D418" s="34"/>
      <c r="E418" s="34"/>
      <c r="F418" s="34"/>
      <c r="G418" s="34"/>
      <c r="H418" s="34"/>
      <c r="I418" s="29"/>
      <c r="J418" s="29"/>
      <c r="K418" s="29"/>
      <c r="L418" s="29"/>
      <c r="M418" s="34"/>
      <c r="N418" s="34"/>
      <c r="O418" s="29"/>
      <c r="P418" s="34"/>
      <c r="Q418" s="34"/>
      <c r="R418" s="34"/>
      <c r="S418" s="34"/>
      <c r="T418" s="34"/>
    </row>
    <row x14ac:dyDescent="0.25" r="419" customHeight="1" ht="18.75">
      <c r="A419" s="1"/>
      <c r="B419" s="150"/>
      <c r="C419" s="34"/>
      <c r="D419" s="34"/>
      <c r="E419" s="34"/>
      <c r="F419" s="34"/>
      <c r="G419" s="34"/>
      <c r="H419" s="34"/>
      <c r="I419" s="29"/>
      <c r="J419" s="29"/>
      <c r="K419" s="29"/>
      <c r="L419" s="29"/>
      <c r="M419" s="34"/>
      <c r="N419" s="34"/>
      <c r="O419" s="29"/>
      <c r="P419" s="34"/>
      <c r="Q419" s="34"/>
      <c r="R419" s="34"/>
      <c r="S419" s="34"/>
      <c r="T419" s="34"/>
    </row>
    <row x14ac:dyDescent="0.25" r="420" customHeight="1" ht="18.75">
      <c r="A420" s="1"/>
      <c r="B420" s="150"/>
      <c r="C420" s="34"/>
      <c r="D420" s="34"/>
      <c r="E420" s="34"/>
      <c r="F420" s="34"/>
      <c r="G420" s="34"/>
      <c r="H420" s="34"/>
      <c r="I420" s="29"/>
      <c r="J420" s="29"/>
      <c r="K420" s="29"/>
      <c r="L420" s="29"/>
      <c r="M420" s="34"/>
      <c r="N420" s="34"/>
      <c r="O420" s="29"/>
      <c r="P420" s="34"/>
      <c r="Q420" s="34"/>
      <c r="R420" s="34"/>
      <c r="S420" s="34"/>
      <c r="T420" s="34"/>
    </row>
    <row x14ac:dyDescent="0.25" r="421" customHeight="1" ht="18.75">
      <c r="A421" s="1"/>
      <c r="B421" s="150"/>
      <c r="C421" s="34"/>
      <c r="D421" s="34"/>
      <c r="E421" s="34"/>
      <c r="F421" s="34"/>
      <c r="G421" s="34"/>
      <c r="H421" s="34"/>
      <c r="I421" s="29"/>
      <c r="J421" s="29"/>
      <c r="K421" s="29"/>
      <c r="L421" s="29"/>
      <c r="M421" s="34"/>
      <c r="N421" s="34"/>
      <c r="O421" s="29"/>
      <c r="P421" s="34"/>
      <c r="Q421" s="34"/>
      <c r="R421" s="34"/>
      <c r="S421" s="34"/>
      <c r="T421" s="34"/>
    </row>
    <row x14ac:dyDescent="0.25" r="422" customHeight="1" ht="18.75">
      <c r="A422" s="1"/>
      <c r="B422" s="150"/>
      <c r="C422" s="34"/>
      <c r="D422" s="34"/>
      <c r="E422" s="34"/>
      <c r="F422" s="34"/>
      <c r="G422" s="34"/>
      <c r="H422" s="34"/>
      <c r="I422" s="29"/>
      <c r="J422" s="29"/>
      <c r="K422" s="29"/>
      <c r="L422" s="29"/>
      <c r="M422" s="34"/>
      <c r="N422" s="34"/>
      <c r="O422" s="29"/>
      <c r="P422" s="34"/>
      <c r="Q422" s="34"/>
      <c r="R422" s="34"/>
      <c r="S422" s="34"/>
      <c r="T422" s="34"/>
    </row>
    <row x14ac:dyDescent="0.25" r="423" customHeight="1" ht="18.75">
      <c r="A423" s="1"/>
      <c r="B423" s="150"/>
      <c r="C423" s="34"/>
      <c r="D423" s="34"/>
      <c r="E423" s="34"/>
      <c r="F423" s="34"/>
      <c r="G423" s="34"/>
      <c r="H423" s="34"/>
      <c r="I423" s="29"/>
      <c r="J423" s="29"/>
      <c r="K423" s="29"/>
      <c r="L423" s="29"/>
      <c r="M423" s="34"/>
      <c r="N423" s="34"/>
      <c r="O423" s="29"/>
      <c r="P423" s="34"/>
      <c r="Q423" s="34"/>
      <c r="R423" s="34"/>
      <c r="S423" s="34"/>
      <c r="T423" s="34"/>
    </row>
    <row x14ac:dyDescent="0.25" r="424" customHeight="1" ht="18.75">
      <c r="A424" s="1"/>
      <c r="B424" s="150"/>
      <c r="C424" s="34"/>
      <c r="D424" s="34"/>
      <c r="E424" s="34"/>
      <c r="F424" s="34"/>
      <c r="G424" s="34"/>
      <c r="H424" s="34"/>
      <c r="I424" s="29"/>
      <c r="J424" s="29"/>
      <c r="K424" s="29"/>
      <c r="L424" s="29"/>
      <c r="M424" s="34"/>
      <c r="N424" s="34"/>
      <c r="O424" s="29"/>
      <c r="P424" s="34"/>
      <c r="Q424" s="34"/>
      <c r="R424" s="34"/>
      <c r="S424" s="34"/>
      <c r="T424" s="34"/>
    </row>
    <row x14ac:dyDescent="0.25" r="425" customHeight="1" ht="18.75">
      <c r="A425" s="1"/>
      <c r="B425" s="150"/>
      <c r="C425" s="34"/>
      <c r="D425" s="34"/>
      <c r="E425" s="34"/>
      <c r="F425" s="34"/>
      <c r="G425" s="34"/>
      <c r="H425" s="34"/>
      <c r="I425" s="29"/>
      <c r="J425" s="29"/>
      <c r="K425" s="29"/>
      <c r="L425" s="29"/>
      <c r="M425" s="34"/>
      <c r="N425" s="34"/>
      <c r="O425" s="29"/>
      <c r="P425" s="34"/>
      <c r="Q425" s="34"/>
      <c r="R425" s="34"/>
      <c r="S425" s="34"/>
      <c r="T425" s="34"/>
    </row>
    <row x14ac:dyDescent="0.25" r="426" customHeight="1" ht="18.75">
      <c r="A426" s="1"/>
      <c r="B426" s="150"/>
      <c r="C426" s="34"/>
      <c r="D426" s="34"/>
      <c r="E426" s="34"/>
      <c r="F426" s="34"/>
      <c r="G426" s="34"/>
      <c r="H426" s="34"/>
      <c r="I426" s="29"/>
      <c r="J426" s="29"/>
      <c r="K426" s="29"/>
      <c r="L426" s="29"/>
      <c r="M426" s="34"/>
      <c r="N426" s="34"/>
      <c r="O426" s="29"/>
      <c r="P426" s="34"/>
      <c r="Q426" s="34"/>
      <c r="R426" s="34"/>
      <c r="S426" s="34"/>
      <c r="T426" s="34"/>
    </row>
    <row x14ac:dyDescent="0.25" r="427" customHeight="1" ht="18.75">
      <c r="A427" s="1"/>
      <c r="B427" s="150"/>
      <c r="C427" s="34"/>
      <c r="D427" s="34"/>
      <c r="E427" s="34"/>
      <c r="F427" s="34"/>
      <c r="G427" s="34"/>
      <c r="H427" s="34"/>
      <c r="I427" s="29"/>
      <c r="J427" s="29"/>
      <c r="K427" s="29"/>
      <c r="L427" s="29"/>
      <c r="M427" s="34"/>
      <c r="N427" s="34"/>
      <c r="O427" s="29"/>
      <c r="P427" s="34"/>
      <c r="Q427" s="34"/>
      <c r="R427" s="34"/>
      <c r="S427" s="34"/>
      <c r="T427" s="34"/>
    </row>
    <row x14ac:dyDescent="0.25" r="428" customHeight="1" ht="18.75">
      <c r="A428" s="1"/>
      <c r="B428" s="150"/>
      <c r="C428" s="34"/>
      <c r="D428" s="34"/>
      <c r="E428" s="34"/>
      <c r="F428" s="34"/>
      <c r="G428" s="34"/>
      <c r="H428" s="34"/>
      <c r="I428" s="29"/>
      <c r="J428" s="29"/>
      <c r="K428" s="29"/>
      <c r="L428" s="29"/>
      <c r="M428" s="34"/>
      <c r="N428" s="34"/>
      <c r="O428" s="29"/>
      <c r="P428" s="34"/>
      <c r="Q428" s="34"/>
      <c r="R428" s="34"/>
      <c r="S428" s="34"/>
      <c r="T428" s="34"/>
    </row>
    <row x14ac:dyDescent="0.25" r="429" customHeight="1" ht="18.75">
      <c r="A429" s="1"/>
      <c r="B429" s="150"/>
      <c r="C429" s="34"/>
      <c r="D429" s="34"/>
      <c r="E429" s="34"/>
      <c r="F429" s="34"/>
      <c r="G429" s="34"/>
      <c r="H429" s="34"/>
      <c r="I429" s="29"/>
      <c r="J429" s="29"/>
      <c r="K429" s="29"/>
      <c r="L429" s="29"/>
      <c r="M429" s="34"/>
      <c r="N429" s="34"/>
      <c r="O429" s="29"/>
      <c r="P429" s="34"/>
      <c r="Q429" s="34"/>
      <c r="R429" s="34"/>
      <c r="S429" s="34"/>
      <c r="T429" s="34"/>
    </row>
    <row x14ac:dyDescent="0.25" r="430" customHeight="1" ht="18.75">
      <c r="A430" s="1"/>
      <c r="B430" s="150"/>
      <c r="C430" s="34"/>
      <c r="D430" s="34"/>
      <c r="E430" s="34"/>
      <c r="F430" s="34"/>
      <c r="G430" s="34"/>
      <c r="H430" s="34"/>
      <c r="I430" s="29"/>
      <c r="J430" s="29"/>
      <c r="K430" s="29"/>
      <c r="L430" s="29"/>
      <c r="M430" s="34"/>
      <c r="N430" s="34"/>
      <c r="O430" s="29"/>
      <c r="P430" s="34"/>
      <c r="Q430" s="34"/>
      <c r="R430" s="34"/>
      <c r="S430" s="34"/>
      <c r="T430" s="34"/>
    </row>
    <row x14ac:dyDescent="0.25" r="431" customHeight="1" ht="18.75">
      <c r="A431" s="1"/>
      <c r="B431" s="150"/>
      <c r="C431" s="34"/>
      <c r="D431" s="34"/>
      <c r="E431" s="34"/>
      <c r="F431" s="34"/>
      <c r="G431" s="34"/>
      <c r="H431" s="34"/>
      <c r="I431" s="29"/>
      <c r="J431" s="29"/>
      <c r="K431" s="29"/>
      <c r="L431" s="29"/>
      <c r="M431" s="34"/>
      <c r="N431" s="34"/>
      <c r="O431" s="29"/>
      <c r="P431" s="34"/>
      <c r="Q431" s="34"/>
      <c r="R431" s="34"/>
      <c r="S431" s="34"/>
      <c r="T431" s="34"/>
    </row>
    <row x14ac:dyDescent="0.25" r="432" customHeight="1" ht="18.75">
      <c r="A432" s="1"/>
      <c r="B432" s="150"/>
      <c r="C432" s="34"/>
      <c r="D432" s="34"/>
      <c r="E432" s="34"/>
      <c r="F432" s="34"/>
      <c r="G432" s="34"/>
      <c r="H432" s="34"/>
      <c r="I432" s="29"/>
      <c r="J432" s="29"/>
      <c r="K432" s="29"/>
      <c r="L432" s="29"/>
      <c r="M432" s="34"/>
      <c r="N432" s="34"/>
      <c r="O432" s="29"/>
      <c r="P432" s="34"/>
      <c r="Q432" s="34"/>
      <c r="R432" s="34"/>
      <c r="S432" s="34"/>
      <c r="T432" s="34"/>
    </row>
    <row x14ac:dyDescent="0.25" r="433" customHeight="1" ht="18.75">
      <c r="A433" s="1"/>
      <c r="B433" s="150"/>
      <c r="C433" s="34"/>
      <c r="D433" s="34"/>
      <c r="E433" s="34"/>
      <c r="F433" s="34"/>
      <c r="G433" s="34"/>
      <c r="H433" s="34"/>
      <c r="I433" s="29"/>
      <c r="J433" s="29"/>
      <c r="K433" s="29"/>
      <c r="L433" s="29"/>
      <c r="M433" s="34"/>
      <c r="N433" s="34"/>
      <c r="O433" s="29"/>
      <c r="P433" s="34"/>
      <c r="Q433" s="34"/>
      <c r="R433" s="34"/>
      <c r="S433" s="34"/>
      <c r="T433" s="34"/>
    </row>
    <row x14ac:dyDescent="0.25" r="434" customHeight="1" ht="18.75">
      <c r="A434" s="1"/>
      <c r="B434" s="150"/>
      <c r="C434" s="34"/>
      <c r="D434" s="34"/>
      <c r="E434" s="34"/>
      <c r="F434" s="34"/>
      <c r="G434" s="34"/>
      <c r="H434" s="34"/>
      <c r="I434" s="29"/>
      <c r="J434" s="29"/>
      <c r="K434" s="29"/>
      <c r="L434" s="29"/>
      <c r="M434" s="34"/>
      <c r="N434" s="34"/>
      <c r="O434" s="29"/>
      <c r="P434" s="34"/>
      <c r="Q434" s="34"/>
      <c r="R434" s="34"/>
      <c r="S434" s="34"/>
      <c r="T434" s="34"/>
    </row>
    <row x14ac:dyDescent="0.25" r="435" customHeight="1" ht="18.75">
      <c r="A435" s="1"/>
      <c r="B435" s="150"/>
      <c r="C435" s="34"/>
      <c r="D435" s="34"/>
      <c r="E435" s="34"/>
      <c r="F435" s="34"/>
      <c r="G435" s="34"/>
      <c r="H435" s="34"/>
      <c r="I435" s="29"/>
      <c r="J435" s="29"/>
      <c r="K435" s="29"/>
      <c r="L435" s="29"/>
      <c r="M435" s="34"/>
      <c r="N435" s="34"/>
      <c r="O435" s="29"/>
      <c r="P435" s="34"/>
      <c r="Q435" s="34"/>
      <c r="R435" s="34"/>
      <c r="S435" s="34"/>
      <c r="T435" s="34"/>
    </row>
    <row x14ac:dyDescent="0.25" r="436" customHeight="1" ht="18.75">
      <c r="A436" s="1"/>
      <c r="B436" s="150"/>
      <c r="C436" s="34"/>
      <c r="D436" s="34"/>
      <c r="E436" s="34"/>
      <c r="F436" s="34"/>
      <c r="G436" s="34"/>
      <c r="H436" s="34"/>
      <c r="I436" s="29"/>
      <c r="J436" s="29"/>
      <c r="K436" s="29"/>
      <c r="L436" s="29"/>
      <c r="M436" s="34"/>
      <c r="N436" s="34"/>
      <c r="O436" s="29"/>
      <c r="P436" s="34"/>
      <c r="Q436" s="34"/>
      <c r="R436" s="34"/>
      <c r="S436" s="34"/>
      <c r="T436" s="34"/>
    </row>
    <row x14ac:dyDescent="0.25" r="437" customHeight="1" ht="18.75">
      <c r="A437" s="1"/>
      <c r="B437" s="150"/>
      <c r="C437" s="34"/>
      <c r="D437" s="34"/>
      <c r="E437" s="34"/>
      <c r="F437" s="34"/>
      <c r="G437" s="34"/>
      <c r="H437" s="34"/>
      <c r="I437" s="29"/>
      <c r="J437" s="29"/>
      <c r="K437" s="29"/>
      <c r="L437" s="29"/>
      <c r="M437" s="34"/>
      <c r="N437" s="34"/>
      <c r="O437" s="29"/>
      <c r="P437" s="34"/>
      <c r="Q437" s="34"/>
      <c r="R437" s="34"/>
      <c r="S437" s="34"/>
      <c r="T437" s="34"/>
    </row>
    <row x14ac:dyDescent="0.25" r="438" customHeight="1" ht="18.75">
      <c r="A438" s="1"/>
      <c r="B438" s="150"/>
      <c r="C438" s="34"/>
      <c r="D438" s="34"/>
      <c r="E438" s="34"/>
      <c r="F438" s="34"/>
      <c r="G438" s="34"/>
      <c r="H438" s="34"/>
      <c r="I438" s="29"/>
      <c r="J438" s="29"/>
      <c r="K438" s="29"/>
      <c r="L438" s="29"/>
      <c r="M438" s="34"/>
      <c r="N438" s="34"/>
      <c r="O438" s="29"/>
      <c r="P438" s="34"/>
      <c r="Q438" s="34"/>
      <c r="R438" s="34"/>
      <c r="S438" s="34"/>
      <c r="T438" s="34"/>
    </row>
    <row x14ac:dyDescent="0.25" r="439" customHeight="1" ht="18.75">
      <c r="A439" s="1"/>
      <c r="B439" s="150"/>
      <c r="C439" s="34"/>
      <c r="D439" s="34"/>
      <c r="E439" s="34"/>
      <c r="F439" s="34"/>
      <c r="G439" s="34"/>
      <c r="H439" s="34"/>
      <c r="I439" s="29"/>
      <c r="J439" s="29"/>
      <c r="K439" s="29"/>
      <c r="L439" s="29"/>
      <c r="M439" s="34"/>
      <c r="N439" s="34"/>
      <c r="O439" s="29"/>
      <c r="P439" s="34"/>
      <c r="Q439" s="34"/>
      <c r="R439" s="34"/>
      <c r="S439" s="34"/>
      <c r="T439" s="34"/>
    </row>
    <row x14ac:dyDescent="0.25" r="440" customHeight="1" ht="18.75">
      <c r="A440" s="1"/>
      <c r="B440" s="150"/>
      <c r="C440" s="34"/>
      <c r="D440" s="34"/>
      <c r="E440" s="34"/>
      <c r="F440" s="34"/>
      <c r="G440" s="34"/>
      <c r="H440" s="34"/>
      <c r="I440" s="29"/>
      <c r="J440" s="29"/>
      <c r="K440" s="29"/>
      <c r="L440" s="29"/>
      <c r="M440" s="34"/>
      <c r="N440" s="34"/>
      <c r="O440" s="29"/>
      <c r="P440" s="34"/>
      <c r="Q440" s="34"/>
      <c r="R440" s="34"/>
      <c r="S440" s="34"/>
      <c r="T440" s="34"/>
    </row>
    <row x14ac:dyDescent="0.25" r="441" customHeight="1" ht="18.75">
      <c r="A441" s="1"/>
      <c r="B441" s="150"/>
      <c r="C441" s="34"/>
      <c r="D441" s="34"/>
      <c r="E441" s="34"/>
      <c r="F441" s="34"/>
      <c r="G441" s="34"/>
      <c r="H441" s="34"/>
      <c r="I441" s="29"/>
      <c r="J441" s="29"/>
      <c r="K441" s="29"/>
      <c r="L441" s="29"/>
      <c r="M441" s="34"/>
      <c r="N441" s="34"/>
      <c r="O441" s="29"/>
      <c r="P441" s="34"/>
      <c r="Q441" s="34"/>
      <c r="R441" s="34"/>
      <c r="S441" s="34"/>
      <c r="T441" s="34"/>
    </row>
    <row x14ac:dyDescent="0.25" r="442" customHeight="1" ht="18.75">
      <c r="A442" s="1"/>
      <c r="B442" s="150"/>
      <c r="C442" s="34"/>
      <c r="D442" s="34"/>
      <c r="E442" s="34"/>
      <c r="F442" s="34"/>
      <c r="G442" s="34"/>
      <c r="H442" s="34"/>
      <c r="I442" s="29"/>
      <c r="J442" s="29"/>
      <c r="K442" s="29"/>
      <c r="L442" s="29"/>
      <c r="M442" s="34"/>
      <c r="N442" s="34"/>
      <c r="O442" s="29"/>
      <c r="P442" s="34"/>
      <c r="Q442" s="34"/>
      <c r="R442" s="34"/>
      <c r="S442" s="34"/>
      <c r="T442" s="34"/>
    </row>
    <row x14ac:dyDescent="0.25" r="443" customHeight="1" ht="18.75">
      <c r="A443" s="1"/>
      <c r="B443" s="150"/>
      <c r="C443" s="34"/>
      <c r="D443" s="34"/>
      <c r="E443" s="34"/>
      <c r="F443" s="34"/>
      <c r="G443" s="34"/>
      <c r="H443" s="34"/>
      <c r="I443" s="29"/>
      <c r="J443" s="29"/>
      <c r="K443" s="29"/>
      <c r="L443" s="29"/>
      <c r="M443" s="34"/>
      <c r="N443" s="34"/>
      <c r="O443" s="29"/>
      <c r="P443" s="34"/>
      <c r="Q443" s="34"/>
      <c r="R443" s="34"/>
      <c r="S443" s="34"/>
      <c r="T443" s="34"/>
    </row>
    <row x14ac:dyDescent="0.25" r="444" customHeight="1" ht="18.75">
      <c r="A444" s="1"/>
      <c r="B444" s="150"/>
      <c r="C444" s="34"/>
      <c r="D444" s="34"/>
      <c r="E444" s="34"/>
      <c r="F444" s="34"/>
      <c r="G444" s="34"/>
      <c r="H444" s="34"/>
      <c r="I444" s="29"/>
      <c r="J444" s="29"/>
      <c r="K444" s="29"/>
      <c r="L444" s="29"/>
      <c r="M444" s="34"/>
      <c r="N444" s="34"/>
      <c r="O444" s="29"/>
      <c r="P444" s="34"/>
      <c r="Q444" s="34"/>
      <c r="R444" s="34"/>
      <c r="S444" s="34"/>
      <c r="T444" s="34"/>
    </row>
    <row x14ac:dyDescent="0.25" r="445" customHeight="1" ht="18.75">
      <c r="A445" s="1"/>
      <c r="B445" s="150"/>
      <c r="C445" s="34"/>
      <c r="D445" s="34"/>
      <c r="E445" s="34"/>
      <c r="F445" s="34"/>
      <c r="G445" s="34"/>
      <c r="H445" s="34"/>
      <c r="I445" s="29"/>
      <c r="J445" s="29"/>
      <c r="K445" s="29"/>
      <c r="L445" s="29"/>
      <c r="M445" s="34"/>
      <c r="N445" s="34"/>
      <c r="O445" s="29"/>
      <c r="P445" s="34"/>
      <c r="Q445" s="34"/>
      <c r="R445" s="34"/>
      <c r="S445" s="34"/>
      <c r="T445" s="34"/>
    </row>
    <row x14ac:dyDescent="0.25" r="446" customHeight="1" ht="18.75">
      <c r="A446" s="1"/>
      <c r="B446" s="150"/>
      <c r="C446" s="34"/>
      <c r="D446" s="34"/>
      <c r="E446" s="34"/>
      <c r="F446" s="34"/>
      <c r="G446" s="34"/>
      <c r="H446" s="34"/>
      <c r="I446" s="29"/>
      <c r="J446" s="29"/>
      <c r="K446" s="29"/>
      <c r="L446" s="29"/>
      <c r="M446" s="34"/>
      <c r="N446" s="34"/>
      <c r="O446" s="29"/>
      <c r="P446" s="34"/>
      <c r="Q446" s="34"/>
      <c r="R446" s="34"/>
      <c r="S446" s="34"/>
      <c r="T446" s="34"/>
    </row>
    <row x14ac:dyDescent="0.25" r="447" customHeight="1" ht="18.75">
      <c r="A447" s="1"/>
      <c r="B447" s="150"/>
      <c r="C447" s="34"/>
      <c r="D447" s="34"/>
      <c r="E447" s="34"/>
      <c r="F447" s="34"/>
      <c r="G447" s="34"/>
      <c r="H447" s="34"/>
      <c r="I447" s="29"/>
      <c r="J447" s="29"/>
      <c r="K447" s="29"/>
      <c r="L447" s="29"/>
      <c r="M447" s="34"/>
      <c r="N447" s="34"/>
      <c r="O447" s="29"/>
      <c r="P447" s="34"/>
      <c r="Q447" s="34"/>
      <c r="R447" s="34"/>
      <c r="S447" s="34"/>
      <c r="T447" s="34"/>
    </row>
    <row x14ac:dyDescent="0.25" r="448" customHeight="1" ht="18.75">
      <c r="A448" s="1"/>
      <c r="B448" s="150"/>
      <c r="C448" s="34"/>
      <c r="D448" s="34"/>
      <c r="E448" s="34"/>
      <c r="F448" s="34"/>
      <c r="G448" s="34"/>
      <c r="H448" s="34"/>
      <c r="I448" s="29"/>
      <c r="J448" s="29"/>
      <c r="K448" s="29"/>
      <c r="L448" s="29"/>
      <c r="M448" s="34"/>
      <c r="N448" s="34"/>
      <c r="O448" s="29"/>
      <c r="P448" s="34"/>
      <c r="Q448" s="34"/>
      <c r="R448" s="34"/>
      <c r="S448" s="34"/>
      <c r="T448" s="34"/>
    </row>
    <row x14ac:dyDescent="0.25" r="449" customHeight="1" ht="18.75">
      <c r="A449" s="1"/>
      <c r="B449" s="150"/>
      <c r="C449" s="34"/>
      <c r="D449" s="34"/>
      <c r="E449" s="34"/>
      <c r="F449" s="34"/>
      <c r="G449" s="34"/>
      <c r="H449" s="34"/>
      <c r="I449" s="29"/>
      <c r="J449" s="29"/>
      <c r="K449" s="29"/>
      <c r="L449" s="29"/>
      <c r="M449" s="34"/>
      <c r="N449" s="34"/>
      <c r="O449" s="29"/>
      <c r="P449" s="34"/>
      <c r="Q449" s="34"/>
      <c r="R449" s="34"/>
      <c r="S449" s="34"/>
      <c r="T449" s="34"/>
    </row>
    <row x14ac:dyDescent="0.25" r="450" customHeight="1" ht="18.75">
      <c r="A450" s="1"/>
      <c r="B450" s="150"/>
      <c r="C450" s="34"/>
      <c r="D450" s="34"/>
      <c r="E450" s="34"/>
      <c r="F450" s="34"/>
      <c r="G450" s="34"/>
      <c r="H450" s="34"/>
      <c r="I450" s="29"/>
      <c r="J450" s="29"/>
      <c r="K450" s="29"/>
      <c r="L450" s="29"/>
      <c r="M450" s="34"/>
      <c r="N450" s="34"/>
      <c r="O450" s="29"/>
      <c r="P450" s="34"/>
      <c r="Q450" s="34"/>
      <c r="R450" s="34"/>
      <c r="S450" s="34"/>
      <c r="T450" s="34"/>
    </row>
    <row x14ac:dyDescent="0.25" r="451" customHeight="1" ht="18.75">
      <c r="A451" s="1"/>
      <c r="B451" s="150"/>
      <c r="C451" s="34"/>
      <c r="D451" s="34"/>
      <c r="E451" s="34"/>
      <c r="F451" s="34"/>
      <c r="G451" s="34"/>
      <c r="H451" s="34"/>
      <c r="I451" s="29"/>
      <c r="J451" s="29"/>
      <c r="K451" s="29"/>
      <c r="L451" s="29"/>
      <c r="M451" s="34"/>
      <c r="N451" s="34"/>
      <c r="O451" s="29"/>
      <c r="P451" s="34"/>
      <c r="Q451" s="34"/>
      <c r="R451" s="34"/>
      <c r="S451" s="34"/>
      <c r="T451" s="34"/>
    </row>
    <row x14ac:dyDescent="0.25" r="452" customHeight="1" ht="18.75">
      <c r="A452" s="1"/>
      <c r="B452" s="150"/>
      <c r="C452" s="34"/>
      <c r="D452" s="34"/>
      <c r="E452" s="34"/>
      <c r="F452" s="34"/>
      <c r="G452" s="34"/>
      <c r="H452" s="34"/>
      <c r="I452" s="29"/>
      <c r="J452" s="29"/>
      <c r="K452" s="29"/>
      <c r="L452" s="29"/>
      <c r="M452" s="34"/>
      <c r="N452" s="34"/>
      <c r="O452" s="29"/>
      <c r="P452" s="34"/>
      <c r="Q452" s="34"/>
      <c r="R452" s="34"/>
      <c r="S452" s="34"/>
      <c r="T452" s="34"/>
    </row>
    <row x14ac:dyDescent="0.25" r="453" customHeight="1" ht="18.75">
      <c r="A453" s="1"/>
      <c r="B453" s="150"/>
      <c r="C453" s="34"/>
      <c r="D453" s="34"/>
      <c r="E453" s="34"/>
      <c r="F453" s="34"/>
      <c r="G453" s="34"/>
      <c r="H453" s="34"/>
      <c r="I453" s="29"/>
      <c r="J453" s="29"/>
      <c r="K453" s="29"/>
      <c r="L453" s="29"/>
      <c r="M453" s="34"/>
      <c r="N453" s="34"/>
      <c r="O453" s="29"/>
      <c r="P453" s="34"/>
      <c r="Q453" s="34"/>
      <c r="R453" s="34"/>
      <c r="S453" s="34"/>
      <c r="T453" s="34"/>
    </row>
    <row x14ac:dyDescent="0.25" r="454" customHeight="1" ht="18.75">
      <c r="A454" s="1"/>
      <c r="B454" s="150"/>
      <c r="C454" s="34"/>
      <c r="D454" s="34"/>
      <c r="E454" s="34"/>
      <c r="F454" s="34"/>
      <c r="G454" s="34"/>
      <c r="H454" s="34"/>
      <c r="I454" s="29"/>
      <c r="J454" s="29"/>
      <c r="K454" s="29"/>
      <c r="L454" s="29"/>
      <c r="M454" s="34"/>
      <c r="N454" s="34"/>
      <c r="O454" s="29"/>
      <c r="P454" s="34"/>
      <c r="Q454" s="34"/>
      <c r="R454" s="34"/>
      <c r="S454" s="34"/>
      <c r="T454" s="34"/>
    </row>
    <row x14ac:dyDescent="0.25" r="455" customHeight="1" ht="18.75">
      <c r="A455" s="1"/>
      <c r="B455" s="150"/>
      <c r="C455" s="34"/>
      <c r="D455" s="34"/>
      <c r="E455" s="34"/>
      <c r="F455" s="34"/>
      <c r="G455" s="34"/>
      <c r="H455" s="34"/>
      <c r="I455" s="29"/>
      <c r="J455" s="29"/>
      <c r="K455" s="29"/>
      <c r="L455" s="29"/>
      <c r="M455" s="34"/>
      <c r="N455" s="34"/>
      <c r="O455" s="29"/>
      <c r="P455" s="34"/>
      <c r="Q455" s="34"/>
      <c r="R455" s="34"/>
      <c r="S455" s="34"/>
      <c r="T455" s="34"/>
    </row>
    <row x14ac:dyDescent="0.25" r="456" customHeight="1" ht="18.75">
      <c r="A456" s="1"/>
      <c r="B456" s="150"/>
      <c r="C456" s="34"/>
      <c r="D456" s="34"/>
      <c r="E456" s="34"/>
      <c r="F456" s="34"/>
      <c r="G456" s="34"/>
      <c r="H456" s="34"/>
      <c r="I456" s="29"/>
      <c r="J456" s="29"/>
      <c r="K456" s="29"/>
      <c r="L456" s="29"/>
      <c r="M456" s="34"/>
      <c r="N456" s="34"/>
      <c r="O456" s="29"/>
      <c r="P456" s="34"/>
      <c r="Q456" s="34"/>
      <c r="R456" s="34"/>
      <c r="S456" s="34"/>
      <c r="T456" s="34"/>
    </row>
    <row x14ac:dyDescent="0.25" r="457" customHeight="1" ht="18.75">
      <c r="A457" s="1"/>
      <c r="B457" s="150"/>
      <c r="C457" s="34"/>
      <c r="D457" s="34"/>
      <c r="E457" s="34"/>
      <c r="F457" s="34"/>
      <c r="G457" s="34"/>
      <c r="H457" s="34"/>
      <c r="I457" s="29"/>
      <c r="J457" s="29"/>
      <c r="K457" s="29"/>
      <c r="L457" s="29"/>
      <c r="M457" s="34"/>
      <c r="N457" s="34"/>
      <c r="O457" s="29"/>
      <c r="P457" s="34"/>
      <c r="Q457" s="34"/>
      <c r="R457" s="34"/>
      <c r="S457" s="34"/>
      <c r="T457" s="34"/>
    </row>
    <row x14ac:dyDescent="0.25" r="458" customHeight="1" ht="18.75">
      <c r="A458" s="1"/>
      <c r="B458" s="150"/>
      <c r="C458" s="34"/>
      <c r="D458" s="34"/>
      <c r="E458" s="34"/>
      <c r="F458" s="34"/>
      <c r="G458" s="34"/>
      <c r="H458" s="34"/>
      <c r="I458" s="29"/>
      <c r="J458" s="29"/>
      <c r="K458" s="29"/>
      <c r="L458" s="29"/>
      <c r="M458" s="34"/>
      <c r="N458" s="34"/>
      <c r="O458" s="29"/>
      <c r="P458" s="34"/>
      <c r="Q458" s="34"/>
      <c r="R458" s="34"/>
      <c r="S458" s="34"/>
      <c r="T458" s="34"/>
    </row>
    <row x14ac:dyDescent="0.25" r="459" customHeight="1" ht="18.75">
      <c r="A459" s="1"/>
      <c r="B459" s="150"/>
      <c r="C459" s="34"/>
      <c r="D459" s="34"/>
      <c r="E459" s="34"/>
      <c r="F459" s="34"/>
      <c r="G459" s="34"/>
      <c r="H459" s="34"/>
      <c r="I459" s="29"/>
      <c r="J459" s="29"/>
      <c r="K459" s="29"/>
      <c r="L459" s="29"/>
      <c r="M459" s="34"/>
      <c r="N459" s="34"/>
      <c r="O459" s="29"/>
      <c r="P459" s="34"/>
      <c r="Q459" s="34"/>
      <c r="R459" s="34"/>
      <c r="S459" s="34"/>
      <c r="T459" s="34"/>
    </row>
    <row x14ac:dyDescent="0.25" r="460" customHeight="1" ht="18.75">
      <c r="A460" s="1"/>
      <c r="B460" s="150"/>
      <c r="C460" s="34"/>
      <c r="D460" s="34"/>
      <c r="E460" s="34"/>
      <c r="F460" s="34"/>
      <c r="G460" s="34"/>
      <c r="H460" s="34"/>
      <c r="I460" s="29"/>
      <c r="J460" s="29"/>
      <c r="K460" s="29"/>
      <c r="L460" s="29"/>
      <c r="M460" s="34"/>
      <c r="N460" s="34"/>
      <c r="O460" s="29"/>
      <c r="P460" s="34"/>
      <c r="Q460" s="34"/>
      <c r="R460" s="34"/>
      <c r="S460" s="34"/>
      <c r="T460" s="34"/>
    </row>
    <row x14ac:dyDescent="0.25" r="461" customHeight="1" ht="18.75">
      <c r="A461" s="1"/>
      <c r="B461" s="150"/>
      <c r="C461" s="34"/>
      <c r="D461" s="34"/>
      <c r="E461" s="34"/>
      <c r="F461" s="34"/>
      <c r="G461" s="34"/>
      <c r="H461" s="34"/>
      <c r="I461" s="29"/>
      <c r="J461" s="29"/>
      <c r="K461" s="29"/>
      <c r="L461" s="29"/>
      <c r="M461" s="34"/>
      <c r="N461" s="34"/>
      <c r="O461" s="29"/>
      <c r="P461" s="34"/>
      <c r="Q461" s="34"/>
      <c r="R461" s="34"/>
      <c r="S461" s="34"/>
      <c r="T461" s="34"/>
    </row>
    <row x14ac:dyDescent="0.25" r="462" customHeight="1" ht="18.75">
      <c r="A462" s="1"/>
      <c r="B462" s="150"/>
      <c r="C462" s="34"/>
      <c r="D462" s="34"/>
      <c r="E462" s="34"/>
      <c r="F462" s="34"/>
      <c r="G462" s="34"/>
      <c r="H462" s="34"/>
      <c r="I462" s="29"/>
      <c r="J462" s="29"/>
      <c r="K462" s="29"/>
      <c r="L462" s="29"/>
      <c r="M462" s="34"/>
      <c r="N462" s="34"/>
      <c r="O462" s="29"/>
      <c r="P462" s="34"/>
      <c r="Q462" s="34"/>
      <c r="R462" s="34"/>
      <c r="S462" s="34"/>
      <c r="T462" s="34"/>
    </row>
    <row x14ac:dyDescent="0.25" r="463" customHeight="1" ht="18.75">
      <c r="A463" s="1"/>
      <c r="B463" s="150"/>
      <c r="C463" s="34"/>
      <c r="D463" s="34"/>
      <c r="E463" s="34"/>
      <c r="F463" s="34"/>
      <c r="G463" s="34"/>
      <c r="H463" s="34"/>
      <c r="I463" s="29"/>
      <c r="J463" s="29"/>
      <c r="K463" s="29"/>
      <c r="L463" s="29"/>
      <c r="M463" s="34"/>
      <c r="N463" s="34"/>
      <c r="O463" s="29"/>
      <c r="P463" s="34"/>
      <c r="Q463" s="34"/>
      <c r="R463" s="34"/>
      <c r="S463" s="34"/>
      <c r="T463" s="34"/>
    </row>
    <row x14ac:dyDescent="0.25" r="464" customHeight="1" ht="18.75">
      <c r="A464" s="1"/>
      <c r="B464" s="150"/>
      <c r="C464" s="34"/>
      <c r="D464" s="34"/>
      <c r="E464" s="34"/>
      <c r="F464" s="34"/>
      <c r="G464" s="34"/>
      <c r="H464" s="34"/>
      <c r="I464" s="29"/>
      <c r="J464" s="29"/>
      <c r="K464" s="29"/>
      <c r="L464" s="29"/>
      <c r="M464" s="34"/>
      <c r="N464" s="34"/>
      <c r="O464" s="29"/>
      <c r="P464" s="34"/>
      <c r="Q464" s="34"/>
      <c r="R464" s="34"/>
      <c r="S464" s="34"/>
      <c r="T464" s="34"/>
    </row>
    <row x14ac:dyDescent="0.25" r="465" customHeight="1" ht="18.75">
      <c r="A465" s="1"/>
      <c r="B465" s="150"/>
      <c r="C465" s="34"/>
      <c r="D465" s="34"/>
      <c r="E465" s="34"/>
      <c r="F465" s="34"/>
      <c r="G465" s="34"/>
      <c r="H465" s="34"/>
      <c r="I465" s="29"/>
      <c r="J465" s="29"/>
      <c r="K465" s="29"/>
      <c r="L465" s="29"/>
      <c r="M465" s="34"/>
      <c r="N465" s="34"/>
      <c r="O465" s="29"/>
      <c r="P465" s="34"/>
      <c r="Q465" s="34"/>
      <c r="R465" s="34"/>
      <c r="S465" s="34"/>
      <c r="T465" s="34"/>
    </row>
    <row x14ac:dyDescent="0.25" r="466" customHeight="1" ht="18.75">
      <c r="A466" s="1"/>
      <c r="B466" s="150"/>
      <c r="C466" s="34"/>
      <c r="D466" s="34"/>
      <c r="E466" s="34"/>
      <c r="F466" s="34"/>
      <c r="G466" s="34"/>
      <c r="H466" s="34"/>
      <c r="I466" s="29"/>
      <c r="J466" s="29"/>
      <c r="K466" s="29"/>
      <c r="L466" s="29"/>
      <c r="M466" s="34"/>
      <c r="N466" s="34"/>
      <c r="O466" s="29"/>
      <c r="P466" s="34"/>
      <c r="Q466" s="34"/>
      <c r="R466" s="34"/>
      <c r="S466" s="34"/>
      <c r="T466" s="34"/>
    </row>
    <row x14ac:dyDescent="0.25" r="467" customHeight="1" ht="18.75">
      <c r="A467" s="1"/>
      <c r="B467" s="150"/>
      <c r="C467" s="34"/>
      <c r="D467" s="34"/>
      <c r="E467" s="34"/>
      <c r="F467" s="34"/>
      <c r="G467" s="34"/>
      <c r="H467" s="34"/>
      <c r="I467" s="29"/>
      <c r="J467" s="29"/>
      <c r="K467" s="29"/>
      <c r="L467" s="29"/>
      <c r="M467" s="34"/>
      <c r="N467" s="34"/>
      <c r="O467" s="29"/>
      <c r="P467" s="34"/>
      <c r="Q467" s="34"/>
      <c r="R467" s="34"/>
      <c r="S467" s="34"/>
      <c r="T467" s="34"/>
    </row>
    <row x14ac:dyDescent="0.25" r="468" customHeight="1" ht="18.75">
      <c r="A468" s="1"/>
      <c r="B468" s="150"/>
      <c r="C468" s="34"/>
      <c r="D468" s="34"/>
      <c r="E468" s="34"/>
      <c r="F468" s="34"/>
      <c r="G468" s="34"/>
      <c r="H468" s="34"/>
      <c r="I468" s="29"/>
      <c r="J468" s="29"/>
      <c r="K468" s="29"/>
      <c r="L468" s="29"/>
      <c r="M468" s="34"/>
      <c r="N468" s="34"/>
      <c r="O468" s="29"/>
      <c r="P468" s="34"/>
      <c r="Q468" s="34"/>
      <c r="R468" s="34"/>
      <c r="S468" s="34"/>
      <c r="T468" s="34"/>
    </row>
    <row x14ac:dyDescent="0.25" r="469" customHeight="1" ht="18.75">
      <c r="A469" s="1"/>
      <c r="B469" s="150"/>
      <c r="C469" s="34"/>
      <c r="D469" s="34"/>
      <c r="E469" s="34"/>
      <c r="F469" s="34"/>
      <c r="G469" s="34"/>
      <c r="H469" s="34"/>
      <c r="I469" s="29"/>
      <c r="J469" s="29"/>
      <c r="K469" s="29"/>
      <c r="L469" s="29"/>
      <c r="M469" s="34"/>
      <c r="N469" s="34"/>
      <c r="O469" s="29"/>
      <c r="P469" s="34"/>
      <c r="Q469" s="34"/>
      <c r="R469" s="34"/>
      <c r="S469" s="34"/>
      <c r="T469" s="34"/>
    </row>
    <row x14ac:dyDescent="0.25" r="470" customHeight="1" ht="18.75">
      <c r="A470" s="1"/>
      <c r="B470" s="150"/>
      <c r="C470" s="34"/>
      <c r="D470" s="34"/>
      <c r="E470" s="34"/>
      <c r="F470" s="34"/>
      <c r="G470" s="34"/>
      <c r="H470" s="34"/>
      <c r="I470" s="29"/>
      <c r="J470" s="29"/>
      <c r="K470" s="29"/>
      <c r="L470" s="29"/>
      <c r="M470" s="34"/>
      <c r="N470" s="34"/>
      <c r="O470" s="29"/>
      <c r="P470" s="34"/>
      <c r="Q470" s="34"/>
      <c r="R470" s="34"/>
      <c r="S470" s="34"/>
      <c r="T470" s="34"/>
    </row>
    <row x14ac:dyDescent="0.25" r="471" customHeight="1" ht="18.75">
      <c r="A471" s="1"/>
      <c r="B471" s="150"/>
      <c r="C471" s="34"/>
      <c r="D471" s="34"/>
      <c r="E471" s="34"/>
      <c r="F471" s="34"/>
      <c r="G471" s="34"/>
      <c r="H471" s="34"/>
      <c r="I471" s="29"/>
      <c r="J471" s="29"/>
      <c r="K471" s="29"/>
      <c r="L471" s="29"/>
      <c r="M471" s="34"/>
      <c r="N471" s="34"/>
      <c r="O471" s="29"/>
      <c r="P471" s="34"/>
      <c r="Q471" s="34"/>
      <c r="R471" s="34"/>
      <c r="S471" s="34"/>
      <c r="T471" s="34"/>
    </row>
    <row x14ac:dyDescent="0.25" r="472" customHeight="1" ht="18.75">
      <c r="A472" s="1"/>
      <c r="B472" s="150"/>
      <c r="C472" s="34"/>
      <c r="D472" s="34"/>
      <c r="E472" s="34"/>
      <c r="F472" s="34"/>
      <c r="G472" s="34"/>
      <c r="H472" s="34"/>
      <c r="I472" s="29"/>
      <c r="J472" s="29"/>
      <c r="K472" s="29"/>
      <c r="L472" s="29"/>
      <c r="M472" s="34"/>
      <c r="N472" s="34"/>
      <c r="O472" s="29"/>
      <c r="P472" s="34"/>
      <c r="Q472" s="34"/>
      <c r="R472" s="34"/>
      <c r="S472" s="34"/>
      <c r="T472" s="34"/>
    </row>
    <row x14ac:dyDescent="0.25" r="473" customHeight="1" ht="18.75">
      <c r="A473" s="1"/>
      <c r="B473" s="150"/>
      <c r="C473" s="34"/>
      <c r="D473" s="34"/>
      <c r="E473" s="34"/>
      <c r="F473" s="34"/>
      <c r="G473" s="34"/>
      <c r="H473" s="34"/>
      <c r="I473" s="29"/>
      <c r="J473" s="29"/>
      <c r="K473" s="29"/>
      <c r="L473" s="29"/>
      <c r="M473" s="34"/>
      <c r="N473" s="34"/>
      <c r="O473" s="29"/>
      <c r="P473" s="34"/>
      <c r="Q473" s="34"/>
      <c r="R473" s="34"/>
      <c r="S473" s="34"/>
      <c r="T473" s="34"/>
    </row>
    <row x14ac:dyDescent="0.25" r="474" customHeight="1" ht="18.75">
      <c r="A474" s="1"/>
      <c r="B474" s="150"/>
      <c r="C474" s="34"/>
      <c r="D474" s="34"/>
      <c r="E474" s="34"/>
      <c r="F474" s="34"/>
      <c r="G474" s="34"/>
      <c r="H474" s="34"/>
      <c r="I474" s="29"/>
      <c r="J474" s="29"/>
      <c r="K474" s="29"/>
      <c r="L474" s="29"/>
      <c r="M474" s="34"/>
      <c r="N474" s="34"/>
      <c r="O474" s="29"/>
      <c r="P474" s="34"/>
      <c r="Q474" s="34"/>
      <c r="R474" s="34"/>
      <c r="S474" s="34"/>
      <c r="T474" s="34"/>
    </row>
    <row x14ac:dyDescent="0.25" r="475" customHeight="1" ht="18.75">
      <c r="A475" s="1"/>
      <c r="B475" s="150"/>
      <c r="C475" s="34"/>
      <c r="D475" s="34"/>
      <c r="E475" s="34"/>
      <c r="F475" s="34"/>
      <c r="G475" s="34"/>
      <c r="H475" s="34"/>
      <c r="I475" s="29"/>
      <c r="J475" s="29"/>
      <c r="K475" s="29"/>
      <c r="L475" s="29"/>
      <c r="M475" s="34"/>
      <c r="N475" s="34"/>
      <c r="O475" s="29"/>
      <c r="P475" s="34"/>
      <c r="Q475" s="34"/>
      <c r="R475" s="34"/>
      <c r="S475" s="34"/>
      <c r="T475" s="34"/>
    </row>
    <row x14ac:dyDescent="0.25" r="476" customHeight="1" ht="18.75">
      <c r="A476" s="1"/>
      <c r="B476" s="150"/>
      <c r="C476" s="34"/>
      <c r="D476" s="34"/>
      <c r="E476" s="34"/>
      <c r="F476" s="34"/>
      <c r="G476" s="34"/>
      <c r="H476" s="34"/>
      <c r="I476" s="29"/>
      <c r="J476" s="29"/>
      <c r="K476" s="29"/>
      <c r="L476" s="29"/>
      <c r="M476" s="34"/>
      <c r="N476" s="34"/>
      <c r="O476" s="29"/>
      <c r="P476" s="34"/>
      <c r="Q476" s="34"/>
      <c r="R476" s="34"/>
      <c r="S476" s="34"/>
      <c r="T476" s="34"/>
    </row>
    <row x14ac:dyDescent="0.25" r="477" customHeight="1" ht="18.75">
      <c r="A477" s="1"/>
      <c r="B477" s="150"/>
      <c r="C477" s="34"/>
      <c r="D477" s="34"/>
      <c r="E477" s="34"/>
      <c r="F477" s="34"/>
      <c r="G477" s="34"/>
      <c r="H477" s="34"/>
      <c r="I477" s="29"/>
      <c r="J477" s="29"/>
      <c r="K477" s="29"/>
      <c r="L477" s="29"/>
      <c r="M477" s="34"/>
      <c r="N477" s="34"/>
      <c r="O477" s="29"/>
      <c r="P477" s="34"/>
      <c r="Q477" s="34"/>
      <c r="R477" s="34"/>
      <c r="S477" s="34"/>
      <c r="T477" s="34"/>
    </row>
    <row x14ac:dyDescent="0.25" r="478" customHeight="1" ht="18.75">
      <c r="A478" s="1"/>
      <c r="B478" s="150"/>
      <c r="C478" s="34"/>
      <c r="D478" s="34"/>
      <c r="E478" s="34"/>
      <c r="F478" s="34"/>
      <c r="G478" s="34"/>
      <c r="H478" s="34"/>
      <c r="I478" s="29"/>
      <c r="J478" s="29"/>
      <c r="K478" s="29"/>
      <c r="L478" s="29"/>
      <c r="M478" s="34"/>
      <c r="N478" s="34"/>
      <c r="O478" s="29"/>
      <c r="P478" s="34"/>
      <c r="Q478" s="34"/>
      <c r="R478" s="34"/>
      <c r="S478" s="34"/>
      <c r="T478" s="34"/>
    </row>
    <row x14ac:dyDescent="0.25" r="479" customHeight="1" ht="18.75">
      <c r="A479" s="1"/>
      <c r="B479" s="150"/>
      <c r="C479" s="34"/>
      <c r="D479" s="34"/>
      <c r="E479" s="34"/>
      <c r="F479" s="34"/>
      <c r="G479" s="34"/>
      <c r="H479" s="34"/>
      <c r="I479" s="29"/>
      <c r="J479" s="29"/>
      <c r="K479" s="29"/>
      <c r="L479" s="29"/>
      <c r="M479" s="34"/>
      <c r="N479" s="34"/>
      <c r="O479" s="29"/>
      <c r="P479" s="34"/>
      <c r="Q479" s="34"/>
      <c r="R479" s="34"/>
      <c r="S479" s="34"/>
      <c r="T479" s="34"/>
    </row>
    <row x14ac:dyDescent="0.25" r="480" customHeight="1" ht="18.75">
      <c r="A480" s="1"/>
      <c r="B480" s="150"/>
      <c r="C480" s="34"/>
      <c r="D480" s="34"/>
      <c r="E480" s="34"/>
      <c r="F480" s="34"/>
      <c r="G480" s="34"/>
      <c r="H480" s="34"/>
      <c r="I480" s="29"/>
      <c r="J480" s="29"/>
      <c r="K480" s="29"/>
      <c r="L480" s="29"/>
      <c r="M480" s="34"/>
      <c r="N480" s="34"/>
      <c r="O480" s="29"/>
      <c r="P480" s="34"/>
      <c r="Q480" s="34"/>
      <c r="R480" s="34"/>
      <c r="S480" s="34"/>
      <c r="T480" s="34"/>
    </row>
    <row x14ac:dyDescent="0.25" r="481" customHeight="1" ht="18.75">
      <c r="A481" s="1"/>
      <c r="B481" s="150"/>
      <c r="C481" s="34"/>
      <c r="D481" s="34"/>
      <c r="E481" s="34"/>
      <c r="F481" s="34"/>
      <c r="G481" s="34"/>
      <c r="H481" s="34"/>
      <c r="I481" s="29"/>
      <c r="J481" s="29"/>
      <c r="K481" s="29"/>
      <c r="L481" s="29"/>
      <c r="M481" s="34"/>
      <c r="N481" s="34"/>
      <c r="O481" s="29"/>
      <c r="P481" s="34"/>
      <c r="Q481" s="34"/>
      <c r="R481" s="34"/>
      <c r="S481" s="34"/>
      <c r="T481" s="34"/>
    </row>
    <row x14ac:dyDescent="0.25" r="482" customHeight="1" ht="18.75">
      <c r="A482" s="1"/>
      <c r="B482" s="150"/>
      <c r="C482" s="34"/>
      <c r="D482" s="34"/>
      <c r="E482" s="34"/>
      <c r="F482" s="34"/>
      <c r="G482" s="34"/>
      <c r="H482" s="34"/>
      <c r="I482" s="29"/>
      <c r="J482" s="29"/>
      <c r="K482" s="29"/>
      <c r="L482" s="29"/>
      <c r="M482" s="34"/>
      <c r="N482" s="34"/>
      <c r="O482" s="29"/>
      <c r="P482" s="34"/>
      <c r="Q482" s="34"/>
      <c r="R482" s="34"/>
      <c r="S482" s="34"/>
      <c r="T482" s="34"/>
    </row>
    <row x14ac:dyDescent="0.25" r="483" customHeight="1" ht="18.75">
      <c r="A483" s="1"/>
      <c r="B483" s="150"/>
      <c r="C483" s="34"/>
      <c r="D483" s="34"/>
      <c r="E483" s="34"/>
      <c r="F483" s="34"/>
      <c r="G483" s="34"/>
      <c r="H483" s="34"/>
      <c r="I483" s="29"/>
      <c r="J483" s="29"/>
      <c r="K483" s="29"/>
      <c r="L483" s="29"/>
      <c r="M483" s="34"/>
      <c r="N483" s="34"/>
      <c r="O483" s="29"/>
      <c r="P483" s="34"/>
      <c r="Q483" s="34"/>
      <c r="R483" s="34"/>
      <c r="S483" s="34"/>
      <c r="T483" s="34"/>
    </row>
    <row x14ac:dyDescent="0.25" r="484" customHeight="1" ht="18.75">
      <c r="A484" s="1"/>
      <c r="B484" s="150"/>
      <c r="C484" s="34"/>
      <c r="D484" s="34"/>
      <c r="E484" s="34"/>
      <c r="F484" s="34"/>
      <c r="G484" s="34"/>
      <c r="H484" s="34"/>
      <c r="I484" s="29"/>
      <c r="J484" s="29"/>
      <c r="K484" s="29"/>
      <c r="L484" s="29"/>
      <c r="M484" s="34"/>
      <c r="N484" s="34"/>
      <c r="O484" s="29"/>
      <c r="P484" s="34"/>
      <c r="Q484" s="34"/>
      <c r="R484" s="34"/>
      <c r="S484" s="34"/>
      <c r="T484" s="34"/>
    </row>
    <row x14ac:dyDescent="0.25" r="485" customHeight="1" ht="18.75">
      <c r="A485" s="1"/>
      <c r="B485" s="150"/>
      <c r="C485" s="34"/>
      <c r="D485" s="34"/>
      <c r="E485" s="34"/>
      <c r="F485" s="34"/>
      <c r="G485" s="34"/>
      <c r="H485" s="34"/>
      <c r="I485" s="29"/>
      <c r="J485" s="29"/>
      <c r="K485" s="29"/>
      <c r="L485" s="29"/>
      <c r="M485" s="34"/>
      <c r="N485" s="34"/>
      <c r="O485" s="29"/>
      <c r="P485" s="34"/>
      <c r="Q485" s="34"/>
      <c r="R485" s="34"/>
      <c r="S485" s="34"/>
      <c r="T485" s="34"/>
    </row>
    <row x14ac:dyDescent="0.25" r="486" customHeight="1" ht="18.75">
      <c r="A486" s="1"/>
      <c r="B486" s="150"/>
      <c r="C486" s="34"/>
      <c r="D486" s="34"/>
      <c r="E486" s="34"/>
      <c r="F486" s="34"/>
      <c r="G486" s="34"/>
      <c r="H486" s="34"/>
      <c r="I486" s="29"/>
      <c r="J486" s="29"/>
      <c r="K486" s="29"/>
      <c r="L486" s="29"/>
      <c r="M486" s="34"/>
      <c r="N486" s="34"/>
      <c r="O486" s="29"/>
      <c r="P486" s="34"/>
      <c r="Q486" s="34"/>
      <c r="R486" s="34"/>
      <c r="S486" s="34"/>
      <c r="T486" s="34"/>
    </row>
    <row x14ac:dyDescent="0.25" r="487" customHeight="1" ht="18.75">
      <c r="A487" s="1"/>
      <c r="B487" s="150"/>
      <c r="C487" s="34"/>
      <c r="D487" s="34"/>
      <c r="E487" s="34"/>
      <c r="F487" s="34"/>
      <c r="G487" s="34"/>
      <c r="H487" s="34"/>
      <c r="I487" s="29"/>
      <c r="J487" s="29"/>
      <c r="K487" s="29"/>
      <c r="L487" s="29"/>
      <c r="M487" s="34"/>
      <c r="N487" s="34"/>
      <c r="O487" s="29"/>
      <c r="P487" s="34"/>
      <c r="Q487" s="34"/>
      <c r="R487" s="34"/>
      <c r="S487" s="34"/>
      <c r="T487" s="34"/>
    </row>
    <row x14ac:dyDescent="0.25" r="488" customHeight="1" ht="18.75">
      <c r="A488" s="1"/>
      <c r="B488" s="150"/>
      <c r="C488" s="34"/>
      <c r="D488" s="34"/>
      <c r="E488" s="34"/>
      <c r="F488" s="34"/>
      <c r="G488" s="34"/>
      <c r="H488" s="34"/>
      <c r="I488" s="29"/>
      <c r="J488" s="29"/>
      <c r="K488" s="29"/>
      <c r="L488" s="29"/>
      <c r="M488" s="34"/>
      <c r="N488" s="34"/>
      <c r="O488" s="29"/>
      <c r="P488" s="34"/>
      <c r="Q488" s="34"/>
      <c r="R488" s="34"/>
      <c r="S488" s="34"/>
      <c r="T488" s="34"/>
    </row>
    <row x14ac:dyDescent="0.25" r="489" customHeight="1" ht="18.75">
      <c r="A489" s="1"/>
      <c r="B489" s="150"/>
      <c r="C489" s="34"/>
      <c r="D489" s="34"/>
      <c r="E489" s="34"/>
      <c r="F489" s="34"/>
      <c r="G489" s="34"/>
      <c r="H489" s="34"/>
      <c r="I489" s="29"/>
      <c r="J489" s="29"/>
      <c r="K489" s="29"/>
      <c r="L489" s="29"/>
      <c r="M489" s="34"/>
      <c r="N489" s="34"/>
      <c r="O489" s="29"/>
      <c r="P489" s="34"/>
      <c r="Q489" s="34"/>
      <c r="R489" s="34"/>
      <c r="S489" s="34"/>
      <c r="T489" s="34"/>
    </row>
    <row x14ac:dyDescent="0.25" r="490" customHeight="1" ht="18.75">
      <c r="A490" s="1"/>
      <c r="B490" s="150"/>
      <c r="C490" s="34"/>
      <c r="D490" s="34"/>
      <c r="E490" s="34"/>
      <c r="F490" s="34"/>
      <c r="G490" s="34"/>
      <c r="H490" s="34"/>
      <c r="I490" s="29"/>
      <c r="J490" s="29"/>
      <c r="K490" s="29"/>
      <c r="L490" s="29"/>
      <c r="M490" s="34"/>
      <c r="N490" s="34"/>
      <c r="O490" s="29"/>
      <c r="P490" s="34"/>
      <c r="Q490" s="34"/>
      <c r="R490" s="34"/>
      <c r="S490" s="34"/>
      <c r="T490" s="34"/>
    </row>
    <row x14ac:dyDescent="0.25" r="491" customHeight="1" ht="18.75">
      <c r="A491" s="1"/>
      <c r="B491" s="150"/>
      <c r="C491" s="34"/>
      <c r="D491" s="34"/>
      <c r="E491" s="34"/>
      <c r="F491" s="34"/>
      <c r="G491" s="34"/>
      <c r="H491" s="34"/>
      <c r="I491" s="29"/>
      <c r="J491" s="29"/>
      <c r="K491" s="29"/>
      <c r="L491" s="29"/>
      <c r="M491" s="34"/>
      <c r="N491" s="34"/>
      <c r="O491" s="29"/>
      <c r="P491" s="34"/>
      <c r="Q491" s="34"/>
      <c r="R491" s="34"/>
      <c r="S491" s="34"/>
      <c r="T491" s="34"/>
    </row>
    <row x14ac:dyDescent="0.25" r="492" customHeight="1" ht="18.75">
      <c r="A492" s="1"/>
      <c r="B492" s="150"/>
      <c r="C492" s="34"/>
      <c r="D492" s="34"/>
      <c r="E492" s="34"/>
      <c r="F492" s="34"/>
      <c r="G492" s="34"/>
      <c r="H492" s="34"/>
      <c r="I492" s="29"/>
      <c r="J492" s="29"/>
      <c r="K492" s="29"/>
      <c r="L492" s="29"/>
      <c r="M492" s="34"/>
      <c r="N492" s="34"/>
      <c r="O492" s="29"/>
      <c r="P492" s="34"/>
      <c r="Q492" s="34"/>
      <c r="R492" s="34"/>
      <c r="S492" s="34"/>
      <c r="T492" s="34"/>
    </row>
    <row x14ac:dyDescent="0.25" r="493" customHeight="1" ht="18.75">
      <c r="A493" s="1"/>
      <c r="B493" s="150"/>
      <c r="C493" s="34"/>
      <c r="D493" s="34"/>
      <c r="E493" s="34"/>
      <c r="F493" s="34"/>
      <c r="G493" s="34"/>
      <c r="H493" s="34"/>
      <c r="I493" s="29"/>
      <c r="J493" s="29"/>
      <c r="K493" s="29"/>
      <c r="L493" s="29"/>
      <c r="M493" s="34"/>
      <c r="N493" s="34"/>
      <c r="O493" s="29"/>
      <c r="P493" s="34"/>
      <c r="Q493" s="34"/>
      <c r="R493" s="34"/>
      <c r="S493" s="34"/>
      <c r="T493" s="34"/>
    </row>
    <row x14ac:dyDescent="0.25" r="494" customHeight="1" ht="18.75">
      <c r="A494" s="1"/>
      <c r="B494" s="150"/>
      <c r="C494" s="34"/>
      <c r="D494" s="34"/>
      <c r="E494" s="34"/>
      <c r="F494" s="34"/>
      <c r="G494" s="34"/>
      <c r="H494" s="34"/>
      <c r="I494" s="29"/>
      <c r="J494" s="29"/>
      <c r="K494" s="29"/>
      <c r="L494" s="29"/>
      <c r="M494" s="34"/>
      <c r="N494" s="34"/>
      <c r="O494" s="29"/>
      <c r="P494" s="34"/>
      <c r="Q494" s="34"/>
      <c r="R494" s="34"/>
      <c r="S494" s="34"/>
      <c r="T494" s="34"/>
    </row>
    <row x14ac:dyDescent="0.25" r="495" customHeight="1" ht="18.75">
      <c r="A495" s="1"/>
      <c r="B495" s="150"/>
      <c r="C495" s="34"/>
      <c r="D495" s="34"/>
      <c r="E495" s="34"/>
      <c r="F495" s="34"/>
      <c r="G495" s="34"/>
      <c r="H495" s="34"/>
      <c r="I495" s="29"/>
      <c r="J495" s="29"/>
      <c r="K495" s="29"/>
      <c r="L495" s="29"/>
      <c r="M495" s="34"/>
      <c r="N495" s="34"/>
      <c r="O495" s="29"/>
      <c r="P495" s="34"/>
      <c r="Q495" s="34"/>
      <c r="R495" s="34"/>
      <c r="S495" s="34"/>
      <c r="T495" s="34"/>
    </row>
    <row x14ac:dyDescent="0.25" r="496" customHeight="1" ht="18.75">
      <c r="A496" s="1"/>
      <c r="B496" s="150"/>
      <c r="C496" s="34"/>
      <c r="D496" s="34"/>
      <c r="E496" s="34"/>
      <c r="F496" s="34"/>
      <c r="G496" s="34"/>
      <c r="H496" s="34"/>
      <c r="I496" s="29"/>
      <c r="J496" s="29"/>
      <c r="K496" s="29"/>
      <c r="L496" s="29"/>
      <c r="M496" s="34"/>
      <c r="N496" s="34"/>
      <c r="O496" s="29"/>
      <c r="P496" s="34"/>
      <c r="Q496" s="34"/>
      <c r="R496" s="34"/>
      <c r="S496" s="34"/>
      <c r="T496" s="34"/>
    </row>
    <row x14ac:dyDescent="0.25" r="497" customHeight="1" ht="18.75">
      <c r="A497" s="1"/>
      <c r="B497" s="150"/>
      <c r="C497" s="34"/>
      <c r="D497" s="34"/>
      <c r="E497" s="34"/>
      <c r="F497" s="34"/>
      <c r="G497" s="34"/>
      <c r="H497" s="34"/>
      <c r="I497" s="29"/>
      <c r="J497" s="29"/>
      <c r="K497" s="29"/>
      <c r="L497" s="29"/>
      <c r="M497" s="34"/>
      <c r="N497" s="34"/>
      <c r="O497" s="29"/>
      <c r="P497" s="34"/>
      <c r="Q497" s="34"/>
      <c r="R497" s="34"/>
      <c r="S497" s="34"/>
      <c r="T497" s="34"/>
    </row>
    <row x14ac:dyDescent="0.25" r="498" customHeight="1" ht="18.75">
      <c r="A498" s="1"/>
      <c r="B498" s="150"/>
      <c r="C498" s="34"/>
      <c r="D498" s="34"/>
      <c r="E498" s="34"/>
      <c r="F498" s="34"/>
      <c r="G498" s="34"/>
      <c r="H498" s="34"/>
      <c r="I498" s="29"/>
      <c r="J498" s="29"/>
      <c r="K498" s="29"/>
      <c r="L498" s="29"/>
      <c r="M498" s="34"/>
      <c r="N498" s="34"/>
      <c r="O498" s="29"/>
      <c r="P498" s="34"/>
      <c r="Q498" s="34"/>
      <c r="R498" s="34"/>
      <c r="S498" s="34"/>
      <c r="T498" s="34"/>
    </row>
    <row x14ac:dyDescent="0.25" r="499" customHeight="1" ht="18.75">
      <c r="A499" s="1"/>
      <c r="B499" s="150"/>
      <c r="C499" s="34"/>
      <c r="D499" s="34"/>
      <c r="E499" s="34"/>
      <c r="F499" s="34"/>
      <c r="G499" s="34"/>
      <c r="H499" s="34"/>
      <c r="I499" s="29"/>
      <c r="J499" s="29"/>
      <c r="K499" s="29"/>
      <c r="L499" s="29"/>
      <c r="M499" s="34"/>
      <c r="N499" s="34"/>
      <c r="O499" s="29"/>
      <c r="P499" s="34"/>
      <c r="Q499" s="34"/>
      <c r="R499" s="34"/>
      <c r="S499" s="34"/>
      <c r="T499" s="34"/>
    </row>
    <row x14ac:dyDescent="0.25" r="500" customHeight="1" ht="18.75">
      <c r="A500" s="1"/>
      <c r="B500" s="150"/>
      <c r="C500" s="34"/>
      <c r="D500" s="34"/>
      <c r="E500" s="34"/>
      <c r="F500" s="34"/>
      <c r="G500" s="34"/>
      <c r="H500" s="34"/>
      <c r="I500" s="29"/>
      <c r="J500" s="29"/>
      <c r="K500" s="29"/>
      <c r="L500" s="29"/>
      <c r="M500" s="34"/>
      <c r="N500" s="34"/>
      <c r="O500" s="29"/>
      <c r="P500" s="34"/>
      <c r="Q500" s="34"/>
      <c r="R500" s="34"/>
      <c r="S500" s="34"/>
      <c r="T500" s="34"/>
    </row>
    <row x14ac:dyDescent="0.25" r="501" customHeight="1" ht="18.75">
      <c r="A501" s="1"/>
      <c r="B501" s="150"/>
      <c r="C501" s="34"/>
      <c r="D501" s="34"/>
      <c r="E501" s="34"/>
      <c r="F501" s="34"/>
      <c r="G501" s="34"/>
      <c r="H501" s="34"/>
      <c r="I501" s="29"/>
      <c r="J501" s="29"/>
      <c r="K501" s="29"/>
      <c r="L501" s="29"/>
      <c r="M501" s="34"/>
      <c r="N501" s="34"/>
      <c r="O501" s="29"/>
      <c r="P501" s="34"/>
      <c r="Q501" s="34"/>
      <c r="R501" s="34"/>
      <c r="S501" s="34"/>
      <c r="T501" s="34"/>
    </row>
    <row x14ac:dyDescent="0.25" r="502" customHeight="1" ht="18.75">
      <c r="A502" s="1"/>
      <c r="B502" s="150"/>
      <c r="C502" s="34"/>
      <c r="D502" s="34"/>
      <c r="E502" s="34"/>
      <c r="F502" s="34"/>
      <c r="G502" s="34"/>
      <c r="H502" s="34"/>
      <c r="I502" s="29"/>
      <c r="J502" s="29"/>
      <c r="K502" s="29"/>
      <c r="L502" s="29"/>
      <c r="M502" s="34"/>
      <c r="N502" s="34"/>
      <c r="O502" s="29"/>
      <c r="P502" s="34"/>
      <c r="Q502" s="34"/>
      <c r="R502" s="34"/>
      <c r="S502" s="34"/>
      <c r="T502" s="34"/>
    </row>
    <row x14ac:dyDescent="0.25" r="503" customHeight="1" ht="18.75">
      <c r="A503" s="1"/>
      <c r="B503" s="150"/>
      <c r="C503" s="34"/>
      <c r="D503" s="34"/>
      <c r="E503" s="34"/>
      <c r="F503" s="34"/>
      <c r="G503" s="34"/>
      <c r="H503" s="34"/>
      <c r="I503" s="29"/>
      <c r="J503" s="29"/>
      <c r="K503" s="29"/>
      <c r="L503" s="29"/>
      <c r="M503" s="34"/>
      <c r="N503" s="34"/>
      <c r="O503" s="29"/>
      <c r="P503" s="34"/>
      <c r="Q503" s="34"/>
      <c r="R503" s="34"/>
      <c r="S503" s="34"/>
      <c r="T503" s="34"/>
    </row>
    <row x14ac:dyDescent="0.25" r="504" customHeight="1" ht="18.75">
      <c r="A504" s="1"/>
      <c r="B504" s="150"/>
      <c r="C504" s="34"/>
      <c r="D504" s="34"/>
      <c r="E504" s="34"/>
      <c r="F504" s="34"/>
      <c r="G504" s="34"/>
      <c r="H504" s="34"/>
      <c r="I504" s="29"/>
      <c r="J504" s="29"/>
      <c r="K504" s="29"/>
      <c r="L504" s="29"/>
      <c r="M504" s="34"/>
      <c r="N504" s="34"/>
      <c r="O504" s="29"/>
      <c r="P504" s="34"/>
      <c r="Q504" s="34"/>
      <c r="R504" s="34"/>
      <c r="S504" s="34"/>
      <c r="T504" s="34"/>
    </row>
    <row x14ac:dyDescent="0.25" r="505" customHeight="1" ht="18.75">
      <c r="A505" s="1"/>
      <c r="B505" s="150"/>
      <c r="C505" s="34"/>
      <c r="D505" s="34"/>
      <c r="E505" s="34"/>
      <c r="F505" s="34"/>
      <c r="G505" s="34"/>
      <c r="H505" s="34"/>
      <c r="I505" s="29"/>
      <c r="J505" s="29"/>
      <c r="K505" s="29"/>
      <c r="L505" s="29"/>
      <c r="M505" s="34"/>
      <c r="N505" s="34"/>
      <c r="O505" s="29"/>
      <c r="P505" s="34"/>
      <c r="Q505" s="34"/>
      <c r="R505" s="34"/>
      <c r="S505" s="34"/>
      <c r="T505" s="34"/>
    </row>
    <row x14ac:dyDescent="0.25" r="506" customHeight="1" ht="18.75">
      <c r="A506" s="1"/>
      <c r="B506" s="150"/>
      <c r="C506" s="34"/>
      <c r="D506" s="34"/>
      <c r="E506" s="34"/>
      <c r="F506" s="34"/>
      <c r="G506" s="34"/>
      <c r="H506" s="34"/>
      <c r="I506" s="29"/>
      <c r="J506" s="29"/>
      <c r="K506" s="29"/>
      <c r="L506" s="29"/>
      <c r="M506" s="34"/>
      <c r="N506" s="34"/>
      <c r="O506" s="29"/>
      <c r="P506" s="34"/>
      <c r="Q506" s="34"/>
      <c r="R506" s="34"/>
      <c r="S506" s="34"/>
      <c r="T506" s="34"/>
    </row>
    <row x14ac:dyDescent="0.25" r="507" customHeight="1" ht="18.75">
      <c r="A507" s="1"/>
      <c r="B507" s="150"/>
      <c r="C507" s="34"/>
      <c r="D507" s="34"/>
      <c r="E507" s="34"/>
      <c r="F507" s="34"/>
      <c r="G507" s="34"/>
      <c r="H507" s="34"/>
      <c r="I507" s="29"/>
      <c r="J507" s="29"/>
      <c r="K507" s="29"/>
      <c r="L507" s="29"/>
      <c r="M507" s="34"/>
      <c r="N507" s="34"/>
      <c r="O507" s="29"/>
      <c r="P507" s="34"/>
      <c r="Q507" s="34"/>
      <c r="R507" s="34"/>
      <c r="S507" s="34"/>
      <c r="T507" s="34"/>
    </row>
    <row x14ac:dyDescent="0.25" r="508" customHeight="1" ht="18.75">
      <c r="A508" s="1"/>
      <c r="B508" s="150"/>
      <c r="C508" s="34"/>
      <c r="D508" s="34"/>
      <c r="E508" s="34"/>
      <c r="F508" s="34"/>
      <c r="G508" s="34"/>
      <c r="H508" s="34"/>
      <c r="I508" s="29"/>
      <c r="J508" s="29"/>
      <c r="K508" s="29"/>
      <c r="L508" s="29"/>
      <c r="M508" s="34"/>
      <c r="N508" s="34"/>
      <c r="O508" s="29"/>
      <c r="P508" s="34"/>
      <c r="Q508" s="34"/>
      <c r="R508" s="34"/>
      <c r="S508" s="34"/>
      <c r="T508" s="34"/>
    </row>
    <row x14ac:dyDescent="0.25" r="509" customHeight="1" ht="18.75">
      <c r="A509" s="1"/>
      <c r="B509" s="150"/>
      <c r="C509" s="34"/>
      <c r="D509" s="34"/>
      <c r="E509" s="34"/>
      <c r="F509" s="34"/>
      <c r="G509" s="34"/>
      <c r="H509" s="34"/>
      <c r="I509" s="29"/>
      <c r="J509" s="29"/>
      <c r="K509" s="29"/>
      <c r="L509" s="29"/>
      <c r="M509" s="34"/>
      <c r="N509" s="34"/>
      <c r="O509" s="29"/>
      <c r="P509" s="34"/>
      <c r="Q509" s="34"/>
      <c r="R509" s="34"/>
      <c r="S509" s="34"/>
      <c r="T509" s="34"/>
    </row>
    <row x14ac:dyDescent="0.25" r="510" customHeight="1" ht="18.75">
      <c r="A510" s="1"/>
      <c r="B510" s="150"/>
      <c r="C510" s="34"/>
      <c r="D510" s="34"/>
      <c r="E510" s="34"/>
      <c r="F510" s="34"/>
      <c r="G510" s="34"/>
      <c r="H510" s="34"/>
      <c r="I510" s="29"/>
      <c r="J510" s="29"/>
      <c r="K510" s="29"/>
      <c r="L510" s="29"/>
      <c r="M510" s="34"/>
      <c r="N510" s="34"/>
      <c r="O510" s="29"/>
      <c r="P510" s="34"/>
      <c r="Q510" s="34"/>
      <c r="R510" s="34"/>
      <c r="S510" s="34"/>
      <c r="T510" s="34"/>
    </row>
    <row x14ac:dyDescent="0.25" r="511" customHeight="1" ht="18.75">
      <c r="A511" s="1"/>
      <c r="B511" s="150"/>
      <c r="C511" s="34"/>
      <c r="D511" s="34"/>
      <c r="E511" s="34"/>
      <c r="F511" s="34"/>
      <c r="G511" s="34"/>
      <c r="H511" s="34"/>
      <c r="I511" s="29"/>
      <c r="J511" s="29"/>
      <c r="K511" s="29"/>
      <c r="L511" s="29"/>
      <c r="M511" s="34"/>
      <c r="N511" s="34"/>
      <c r="O511" s="29"/>
      <c r="P511" s="34"/>
      <c r="Q511" s="34"/>
      <c r="R511" s="34"/>
      <c r="S511" s="34"/>
      <c r="T511" s="34"/>
    </row>
    <row x14ac:dyDescent="0.25" r="512" customHeight="1" ht="18.75">
      <c r="A512" s="1"/>
      <c r="B512" s="150"/>
      <c r="C512" s="34"/>
      <c r="D512" s="34"/>
      <c r="E512" s="34"/>
      <c r="F512" s="34"/>
      <c r="G512" s="34"/>
      <c r="H512" s="34"/>
      <c r="I512" s="29"/>
      <c r="J512" s="29"/>
      <c r="K512" s="29"/>
      <c r="L512" s="29"/>
      <c r="M512" s="34"/>
      <c r="N512" s="34"/>
      <c r="O512" s="29"/>
      <c r="P512" s="34"/>
      <c r="Q512" s="34"/>
      <c r="R512" s="34"/>
      <c r="S512" s="34"/>
      <c r="T512" s="34"/>
    </row>
    <row x14ac:dyDescent="0.25" r="513" customHeight="1" ht="18.75">
      <c r="A513" s="1"/>
      <c r="B513" s="150"/>
      <c r="C513" s="34"/>
      <c r="D513" s="34"/>
      <c r="E513" s="34"/>
      <c r="F513" s="34"/>
      <c r="G513" s="34"/>
      <c r="H513" s="34"/>
      <c r="I513" s="29"/>
      <c r="J513" s="29"/>
      <c r="K513" s="29"/>
      <c r="L513" s="29"/>
      <c r="M513" s="34"/>
      <c r="N513" s="34"/>
      <c r="O513" s="29"/>
      <c r="P513" s="34"/>
      <c r="Q513" s="34"/>
      <c r="R513" s="34"/>
      <c r="S513" s="34"/>
      <c r="T513" s="34"/>
    </row>
    <row x14ac:dyDescent="0.25" r="514" customHeight="1" ht="18.75">
      <c r="A514" s="1"/>
      <c r="B514" s="150"/>
      <c r="C514" s="34"/>
      <c r="D514" s="34"/>
      <c r="E514" s="34"/>
      <c r="F514" s="34"/>
      <c r="G514" s="34"/>
      <c r="H514" s="34"/>
      <c r="I514" s="29"/>
      <c r="J514" s="29"/>
      <c r="K514" s="29"/>
      <c r="L514" s="29"/>
      <c r="M514" s="34"/>
      <c r="N514" s="34"/>
      <c r="O514" s="29"/>
      <c r="P514" s="34"/>
      <c r="Q514" s="34"/>
      <c r="R514" s="34"/>
      <c r="S514" s="34"/>
      <c r="T514" s="34"/>
    </row>
    <row x14ac:dyDescent="0.25" r="515" customHeight="1" ht="18.75">
      <c r="A515" s="1"/>
      <c r="B515" s="150"/>
      <c r="C515" s="34"/>
      <c r="D515" s="34"/>
      <c r="E515" s="34"/>
      <c r="F515" s="34"/>
      <c r="G515" s="34"/>
      <c r="H515" s="34"/>
      <c r="I515" s="29"/>
      <c r="J515" s="29"/>
      <c r="K515" s="29"/>
      <c r="L515" s="29"/>
      <c r="M515" s="34"/>
      <c r="N515" s="34"/>
      <c r="O515" s="29"/>
      <c r="P515" s="34"/>
      <c r="Q515" s="34"/>
      <c r="R515" s="34"/>
      <c r="S515" s="34"/>
      <c r="T515" s="34"/>
    </row>
    <row x14ac:dyDescent="0.25" r="516" customHeight="1" ht="18.75">
      <c r="A516" s="1"/>
      <c r="B516" s="150"/>
      <c r="C516" s="34"/>
      <c r="D516" s="34"/>
      <c r="E516" s="34"/>
      <c r="F516" s="34"/>
      <c r="G516" s="34"/>
      <c r="H516" s="34"/>
      <c r="I516" s="29"/>
      <c r="J516" s="29"/>
      <c r="K516" s="29"/>
      <c r="L516" s="29"/>
      <c r="M516" s="34"/>
      <c r="N516" s="34"/>
      <c r="O516" s="29"/>
      <c r="P516" s="34"/>
      <c r="Q516" s="34"/>
      <c r="R516" s="34"/>
      <c r="S516" s="34"/>
      <c r="T516" s="34"/>
    </row>
    <row x14ac:dyDescent="0.25" r="517" customHeight="1" ht="18.75">
      <c r="A517" s="1"/>
      <c r="B517" s="150"/>
      <c r="C517" s="34"/>
      <c r="D517" s="34"/>
      <c r="E517" s="34"/>
      <c r="F517" s="34"/>
      <c r="G517" s="34"/>
      <c r="H517" s="34"/>
      <c r="I517" s="29"/>
      <c r="J517" s="29"/>
      <c r="K517" s="29"/>
      <c r="L517" s="29"/>
      <c r="M517" s="34"/>
      <c r="N517" s="34"/>
      <c r="O517" s="29"/>
      <c r="P517" s="34"/>
      <c r="Q517" s="34"/>
      <c r="R517" s="34"/>
      <c r="S517" s="34"/>
      <c r="T517" s="34"/>
    </row>
    <row x14ac:dyDescent="0.25" r="518" customHeight="1" ht="18.75">
      <c r="A518" s="1"/>
      <c r="B518" s="150"/>
      <c r="C518" s="34"/>
      <c r="D518" s="34"/>
      <c r="E518" s="34"/>
      <c r="F518" s="34"/>
      <c r="G518" s="34"/>
      <c r="H518" s="34"/>
      <c r="I518" s="29"/>
      <c r="J518" s="29"/>
      <c r="K518" s="29"/>
      <c r="L518" s="29"/>
      <c r="M518" s="34"/>
      <c r="N518" s="34"/>
      <c r="O518" s="29"/>
      <c r="P518" s="34"/>
      <c r="Q518" s="34"/>
      <c r="R518" s="34"/>
      <c r="S518" s="34"/>
      <c r="T518" s="34"/>
    </row>
    <row x14ac:dyDescent="0.25" r="519" customHeight="1" ht="18.75">
      <c r="A519" s="1"/>
      <c r="B519" s="150"/>
      <c r="C519" s="34"/>
      <c r="D519" s="34"/>
      <c r="E519" s="34"/>
      <c r="F519" s="34"/>
      <c r="G519" s="34"/>
      <c r="H519" s="34"/>
      <c r="I519" s="29"/>
      <c r="J519" s="29"/>
      <c r="K519" s="29"/>
      <c r="L519" s="29"/>
      <c r="M519" s="34"/>
      <c r="N519" s="34"/>
      <c r="O519" s="29"/>
      <c r="P519" s="34"/>
      <c r="Q519" s="34"/>
      <c r="R519" s="34"/>
      <c r="S519" s="34"/>
      <c r="T519" s="34"/>
    </row>
    <row x14ac:dyDescent="0.25" r="520" customHeight="1" ht="18.75">
      <c r="A520" s="1"/>
      <c r="B520" s="150"/>
      <c r="C520" s="34"/>
      <c r="D520" s="34"/>
      <c r="E520" s="34"/>
      <c r="F520" s="34"/>
      <c r="G520" s="34"/>
      <c r="H520" s="34"/>
      <c r="I520" s="29"/>
      <c r="J520" s="29"/>
      <c r="K520" s="29"/>
      <c r="L520" s="29"/>
      <c r="M520" s="34"/>
      <c r="N520" s="34"/>
      <c r="O520" s="29"/>
      <c r="P520" s="34"/>
      <c r="Q520" s="34"/>
      <c r="R520" s="34"/>
      <c r="S520" s="34"/>
      <c r="T520" s="34"/>
    </row>
    <row x14ac:dyDescent="0.25" r="521" customHeight="1" ht="18.75">
      <c r="A521" s="1"/>
      <c r="B521" s="150"/>
      <c r="C521" s="34"/>
      <c r="D521" s="34"/>
      <c r="E521" s="34"/>
      <c r="F521" s="34"/>
      <c r="G521" s="34"/>
      <c r="H521" s="34"/>
      <c r="I521" s="29"/>
      <c r="J521" s="29"/>
      <c r="K521" s="29"/>
      <c r="L521" s="29"/>
      <c r="M521" s="34"/>
      <c r="N521" s="34"/>
      <c r="O521" s="29"/>
      <c r="P521" s="34"/>
      <c r="Q521" s="34"/>
      <c r="R521" s="34"/>
      <c r="S521" s="34"/>
      <c r="T521" s="34"/>
    </row>
    <row x14ac:dyDescent="0.25" r="522" customHeight="1" ht="18.75">
      <c r="A522" s="1"/>
      <c r="B522" s="150"/>
      <c r="C522" s="34"/>
      <c r="D522" s="34"/>
      <c r="E522" s="34"/>
      <c r="F522" s="34"/>
      <c r="G522" s="34"/>
      <c r="H522" s="34"/>
      <c r="I522" s="29"/>
      <c r="J522" s="29"/>
      <c r="K522" s="29"/>
      <c r="L522" s="29"/>
      <c r="M522" s="34"/>
      <c r="N522" s="34"/>
      <c r="O522" s="29"/>
      <c r="P522" s="34"/>
      <c r="Q522" s="34"/>
      <c r="R522" s="34"/>
      <c r="S522" s="34"/>
      <c r="T522" s="34"/>
    </row>
    <row x14ac:dyDescent="0.25" r="523" customHeight="1" ht="18.75">
      <c r="A523" s="1"/>
      <c r="B523" s="150"/>
      <c r="C523" s="34"/>
      <c r="D523" s="34"/>
      <c r="E523" s="34"/>
      <c r="F523" s="34"/>
      <c r="G523" s="34"/>
      <c r="H523" s="34"/>
      <c r="I523" s="29"/>
      <c r="J523" s="29"/>
      <c r="K523" s="29"/>
      <c r="L523" s="29"/>
      <c r="M523" s="34"/>
      <c r="N523" s="34"/>
      <c r="O523" s="29"/>
      <c r="P523" s="34"/>
      <c r="Q523" s="34"/>
      <c r="R523" s="34"/>
      <c r="S523" s="34"/>
      <c r="T523" s="34"/>
    </row>
    <row x14ac:dyDescent="0.25" r="524" customHeight="1" ht="18.75">
      <c r="A524" s="1"/>
      <c r="B524" s="150"/>
      <c r="C524" s="34"/>
      <c r="D524" s="34"/>
      <c r="E524" s="34"/>
      <c r="F524" s="34"/>
      <c r="G524" s="34"/>
      <c r="H524" s="34"/>
      <c r="I524" s="29"/>
      <c r="J524" s="29"/>
      <c r="K524" s="29"/>
      <c r="L524" s="29"/>
      <c r="M524" s="34"/>
      <c r="N524" s="34"/>
      <c r="O524" s="29"/>
      <c r="P524" s="34"/>
      <c r="Q524" s="34"/>
      <c r="R524" s="34"/>
      <c r="S524" s="34"/>
      <c r="T524" s="34"/>
    </row>
    <row x14ac:dyDescent="0.25" r="525" customHeight="1" ht="18.75">
      <c r="A525" s="1"/>
      <c r="B525" s="150"/>
      <c r="C525" s="34"/>
      <c r="D525" s="34"/>
      <c r="E525" s="34"/>
      <c r="F525" s="34"/>
      <c r="G525" s="34"/>
      <c r="H525" s="34"/>
      <c r="I525" s="29"/>
      <c r="J525" s="29"/>
      <c r="K525" s="29"/>
      <c r="L525" s="29"/>
      <c r="M525" s="34"/>
      <c r="N525" s="34"/>
      <c r="O525" s="29"/>
      <c r="P525" s="34"/>
      <c r="Q525" s="34"/>
      <c r="R525" s="34"/>
      <c r="S525" s="34"/>
      <c r="T525" s="34"/>
    </row>
    <row x14ac:dyDescent="0.25" r="526" customHeight="1" ht="18.75">
      <c r="A526" s="1"/>
      <c r="B526" s="150"/>
      <c r="C526" s="34"/>
      <c r="D526" s="34"/>
      <c r="E526" s="34"/>
      <c r="F526" s="34"/>
      <c r="G526" s="34"/>
      <c r="H526" s="34"/>
      <c r="I526" s="29"/>
      <c r="J526" s="29"/>
      <c r="K526" s="29"/>
      <c r="L526" s="29"/>
      <c r="M526" s="34"/>
      <c r="N526" s="34"/>
      <c r="O526" s="29"/>
      <c r="P526" s="34"/>
      <c r="Q526" s="34"/>
      <c r="R526" s="34"/>
      <c r="S526" s="34"/>
      <c r="T526" s="34"/>
    </row>
    <row x14ac:dyDescent="0.25" r="527" customHeight="1" ht="18.75">
      <c r="A527" s="1"/>
      <c r="B527" s="150"/>
      <c r="C527" s="34"/>
      <c r="D527" s="34"/>
      <c r="E527" s="34"/>
      <c r="F527" s="34"/>
      <c r="G527" s="34"/>
      <c r="H527" s="34"/>
      <c r="I527" s="29"/>
      <c r="J527" s="29"/>
      <c r="K527" s="29"/>
      <c r="L527" s="29"/>
      <c r="M527" s="34"/>
      <c r="N527" s="34"/>
      <c r="O527" s="29"/>
      <c r="P527" s="34"/>
      <c r="Q527" s="34"/>
      <c r="R527" s="34"/>
      <c r="S527" s="34"/>
      <c r="T527" s="34"/>
    </row>
    <row x14ac:dyDescent="0.25" r="528" customHeight="1" ht="18.75">
      <c r="A528" s="1"/>
      <c r="B528" s="150"/>
      <c r="C528" s="34"/>
      <c r="D528" s="34"/>
      <c r="E528" s="34"/>
      <c r="F528" s="34"/>
      <c r="G528" s="34"/>
      <c r="H528" s="34"/>
      <c r="I528" s="29"/>
      <c r="J528" s="29"/>
      <c r="K528" s="29"/>
      <c r="L528" s="29"/>
      <c r="M528" s="34"/>
      <c r="N528" s="34"/>
      <c r="O528" s="29"/>
      <c r="P528" s="34"/>
      <c r="Q528" s="34"/>
      <c r="R528" s="34"/>
      <c r="S528" s="34"/>
      <c r="T528" s="34"/>
    </row>
    <row x14ac:dyDescent="0.25" r="529" customHeight="1" ht="18.75">
      <c r="A529" s="1"/>
      <c r="B529" s="150"/>
      <c r="C529" s="34"/>
      <c r="D529" s="34"/>
      <c r="E529" s="34"/>
      <c r="F529" s="34"/>
      <c r="G529" s="34"/>
      <c r="H529" s="34"/>
      <c r="I529" s="29"/>
      <c r="J529" s="29"/>
      <c r="K529" s="29"/>
      <c r="L529" s="29"/>
      <c r="M529" s="34"/>
      <c r="N529" s="34"/>
      <c r="O529" s="29"/>
      <c r="P529" s="34"/>
      <c r="Q529" s="34"/>
      <c r="R529" s="34"/>
      <c r="S529" s="34"/>
      <c r="T529" s="34"/>
    </row>
    <row x14ac:dyDescent="0.25" r="530" customHeight="1" ht="18.75">
      <c r="A530" s="1"/>
      <c r="B530" s="150"/>
      <c r="C530" s="34"/>
      <c r="D530" s="34"/>
      <c r="E530" s="34"/>
      <c r="F530" s="34"/>
      <c r="G530" s="34"/>
      <c r="H530" s="34"/>
      <c r="I530" s="29"/>
      <c r="J530" s="29"/>
      <c r="K530" s="29"/>
      <c r="L530" s="29"/>
      <c r="M530" s="34"/>
      <c r="N530" s="34"/>
      <c r="O530" s="29"/>
      <c r="P530" s="34"/>
      <c r="Q530" s="34"/>
      <c r="R530" s="34"/>
      <c r="S530" s="34"/>
      <c r="T530" s="34"/>
    </row>
    <row x14ac:dyDescent="0.25" r="531" customHeight="1" ht="18.75">
      <c r="A531" s="1"/>
      <c r="B531" s="150"/>
      <c r="C531" s="34"/>
      <c r="D531" s="34"/>
      <c r="E531" s="34"/>
      <c r="F531" s="34"/>
      <c r="G531" s="34"/>
      <c r="H531" s="34"/>
      <c r="I531" s="29"/>
      <c r="J531" s="29"/>
      <c r="K531" s="29"/>
      <c r="L531" s="29"/>
      <c r="M531" s="34"/>
      <c r="N531" s="34"/>
      <c r="O531" s="29"/>
      <c r="P531" s="34"/>
      <c r="Q531" s="34"/>
      <c r="R531" s="34"/>
      <c r="S531" s="34"/>
      <c r="T531" s="34"/>
    </row>
    <row x14ac:dyDescent="0.25" r="532" customHeight="1" ht="18.75">
      <c r="A532" s="1"/>
      <c r="B532" s="150"/>
      <c r="C532" s="34"/>
      <c r="D532" s="34"/>
      <c r="E532" s="34"/>
      <c r="F532" s="34"/>
      <c r="G532" s="34"/>
      <c r="H532" s="34"/>
      <c r="I532" s="29"/>
      <c r="J532" s="29"/>
      <c r="K532" s="29"/>
      <c r="L532" s="29"/>
      <c r="M532" s="34"/>
      <c r="N532" s="34"/>
      <c r="O532" s="29"/>
      <c r="P532" s="34"/>
      <c r="Q532" s="34"/>
      <c r="R532" s="34"/>
      <c r="S532" s="34"/>
      <c r="T532" s="34"/>
    </row>
    <row x14ac:dyDescent="0.25" r="533" customHeight="1" ht="18.75">
      <c r="A533" s="1"/>
      <c r="B533" s="150"/>
      <c r="C533" s="34"/>
      <c r="D533" s="34"/>
      <c r="E533" s="34"/>
      <c r="F533" s="34"/>
      <c r="G533" s="34"/>
      <c r="H533" s="34"/>
      <c r="I533" s="29"/>
      <c r="J533" s="29"/>
      <c r="K533" s="29"/>
      <c r="L533" s="29"/>
      <c r="M533" s="34"/>
      <c r="N533" s="34"/>
      <c r="O533" s="29"/>
      <c r="P533" s="34"/>
      <c r="Q533" s="34"/>
      <c r="R533" s="34"/>
      <c r="S533" s="34"/>
      <c r="T533" s="34"/>
    </row>
    <row x14ac:dyDescent="0.25" r="534" customHeight="1" ht="18.75">
      <c r="A534" s="1"/>
      <c r="B534" s="150"/>
      <c r="C534" s="34"/>
      <c r="D534" s="34"/>
      <c r="E534" s="34"/>
      <c r="F534" s="34"/>
      <c r="G534" s="34"/>
      <c r="H534" s="34"/>
      <c r="I534" s="29"/>
      <c r="J534" s="29"/>
      <c r="K534" s="29"/>
      <c r="L534" s="29"/>
      <c r="M534" s="34"/>
      <c r="N534" s="34"/>
      <c r="O534" s="29"/>
      <c r="P534" s="34"/>
      <c r="Q534" s="34"/>
      <c r="R534" s="34"/>
      <c r="S534" s="34"/>
      <c r="T534" s="34"/>
    </row>
    <row x14ac:dyDescent="0.25" r="535" customHeight="1" ht="18.75">
      <c r="A535" s="1"/>
      <c r="B535" s="150"/>
      <c r="C535" s="34"/>
      <c r="D535" s="34"/>
      <c r="E535" s="34"/>
      <c r="F535" s="34"/>
      <c r="G535" s="34"/>
      <c r="H535" s="34"/>
      <c r="I535" s="29"/>
      <c r="J535" s="29"/>
      <c r="K535" s="29"/>
      <c r="L535" s="29"/>
      <c r="M535" s="34"/>
      <c r="N535" s="34"/>
      <c r="O535" s="29"/>
      <c r="P535" s="34"/>
      <c r="Q535" s="34"/>
      <c r="R535" s="34"/>
      <c r="S535" s="34"/>
      <c r="T535" s="34"/>
    </row>
    <row x14ac:dyDescent="0.25" r="536" customHeight="1" ht="18.75">
      <c r="A536" s="1"/>
      <c r="B536" s="150"/>
      <c r="C536" s="34"/>
      <c r="D536" s="34"/>
      <c r="E536" s="34"/>
      <c r="F536" s="34"/>
      <c r="G536" s="34"/>
      <c r="H536" s="34"/>
      <c r="I536" s="29"/>
      <c r="J536" s="29"/>
      <c r="K536" s="29"/>
      <c r="L536" s="29"/>
      <c r="M536" s="34"/>
      <c r="N536" s="34"/>
      <c r="O536" s="29"/>
      <c r="P536" s="34"/>
      <c r="Q536" s="34"/>
      <c r="R536" s="34"/>
      <c r="S536" s="34"/>
      <c r="T536" s="34"/>
    </row>
    <row x14ac:dyDescent="0.25" r="537" customHeight="1" ht="18.75">
      <c r="A537" s="1"/>
      <c r="B537" s="150"/>
      <c r="C537" s="34"/>
      <c r="D537" s="34"/>
      <c r="E537" s="34"/>
      <c r="F537" s="34"/>
      <c r="G537" s="34"/>
      <c r="H537" s="34"/>
      <c r="I537" s="29"/>
      <c r="J537" s="29"/>
      <c r="K537" s="29"/>
      <c r="L537" s="29"/>
      <c r="M537" s="34"/>
      <c r="N537" s="34"/>
      <c r="O537" s="29"/>
      <c r="P537" s="34"/>
      <c r="Q537" s="34"/>
      <c r="R537" s="34"/>
      <c r="S537" s="34"/>
      <c r="T537" s="34"/>
    </row>
    <row x14ac:dyDescent="0.25" r="538" customHeight="1" ht="18.75">
      <c r="A538" s="1"/>
      <c r="B538" s="150"/>
      <c r="C538" s="34"/>
      <c r="D538" s="34"/>
      <c r="E538" s="34"/>
      <c r="F538" s="34"/>
      <c r="G538" s="34"/>
      <c r="H538" s="34"/>
      <c r="I538" s="29"/>
      <c r="J538" s="29"/>
      <c r="K538" s="29"/>
      <c r="L538" s="29"/>
      <c r="M538" s="34"/>
      <c r="N538" s="34"/>
      <c r="O538" s="29"/>
      <c r="P538" s="34"/>
      <c r="Q538" s="34"/>
      <c r="R538" s="34"/>
      <c r="S538" s="34"/>
      <c r="T538" s="34"/>
    </row>
    <row x14ac:dyDescent="0.25" r="539" customHeight="1" ht="18.75">
      <c r="A539" s="1"/>
      <c r="B539" s="150"/>
      <c r="C539" s="34"/>
      <c r="D539" s="34"/>
      <c r="E539" s="34"/>
      <c r="F539" s="34"/>
      <c r="G539" s="34"/>
      <c r="H539" s="34"/>
      <c r="I539" s="29"/>
      <c r="J539" s="29"/>
      <c r="K539" s="29"/>
      <c r="L539" s="29"/>
      <c r="M539" s="34"/>
      <c r="N539" s="34"/>
      <c r="O539" s="29"/>
      <c r="P539" s="34"/>
      <c r="Q539" s="34"/>
      <c r="R539" s="34"/>
      <c r="S539" s="34"/>
      <c r="T539" s="34"/>
    </row>
    <row x14ac:dyDescent="0.25" r="540" customHeight="1" ht="18.75">
      <c r="A540" s="1"/>
      <c r="B540" s="150"/>
      <c r="C540" s="34"/>
      <c r="D540" s="34"/>
      <c r="E540" s="34"/>
      <c r="F540" s="34"/>
      <c r="G540" s="34"/>
      <c r="H540" s="34"/>
      <c r="I540" s="29"/>
      <c r="J540" s="29"/>
      <c r="K540" s="29"/>
      <c r="L540" s="29"/>
      <c r="M540" s="34"/>
      <c r="N540" s="34"/>
      <c r="O540" s="29"/>
      <c r="P540" s="34"/>
      <c r="Q540" s="34"/>
      <c r="R540" s="34"/>
      <c r="S540" s="34"/>
      <c r="T540" s="34"/>
    </row>
    <row x14ac:dyDescent="0.25" r="541" customHeight="1" ht="18.75">
      <c r="A541" s="1"/>
      <c r="B541" s="150"/>
      <c r="C541" s="34"/>
      <c r="D541" s="34"/>
      <c r="E541" s="34"/>
      <c r="F541" s="34"/>
      <c r="G541" s="34"/>
      <c r="H541" s="34"/>
      <c r="I541" s="29"/>
      <c r="J541" s="29"/>
      <c r="K541" s="29"/>
      <c r="L541" s="29"/>
      <c r="M541" s="34"/>
      <c r="N541" s="34"/>
      <c r="O541" s="29"/>
      <c r="P541" s="34"/>
      <c r="Q541" s="34"/>
      <c r="R541" s="34"/>
      <c r="S541" s="34"/>
      <c r="T541" s="34"/>
    </row>
    <row x14ac:dyDescent="0.25" r="542" customHeight="1" ht="18.75">
      <c r="A542" s="1"/>
      <c r="B542" s="150"/>
      <c r="C542" s="34"/>
      <c r="D542" s="34"/>
      <c r="E542" s="34"/>
      <c r="F542" s="34"/>
      <c r="G542" s="34"/>
      <c r="H542" s="34"/>
      <c r="I542" s="29"/>
      <c r="J542" s="29"/>
      <c r="K542" s="29"/>
      <c r="L542" s="29"/>
      <c r="M542" s="34"/>
      <c r="N542" s="34"/>
      <c r="O542" s="29"/>
      <c r="P542" s="34"/>
      <c r="Q542" s="34"/>
      <c r="R542" s="34"/>
      <c r="S542" s="34"/>
      <c r="T542" s="34"/>
    </row>
    <row x14ac:dyDescent="0.25" r="543" customHeight="1" ht="18.75">
      <c r="A543" s="1"/>
      <c r="B543" s="150"/>
      <c r="C543" s="34"/>
      <c r="D543" s="34"/>
      <c r="E543" s="34"/>
      <c r="F543" s="34"/>
      <c r="G543" s="34"/>
      <c r="H543" s="34"/>
      <c r="I543" s="29"/>
      <c r="J543" s="29"/>
      <c r="K543" s="29"/>
      <c r="L543" s="29"/>
      <c r="M543" s="34"/>
      <c r="N543" s="34"/>
      <c r="O543" s="29"/>
      <c r="P543" s="34"/>
      <c r="Q543" s="34"/>
      <c r="R543" s="34"/>
      <c r="S543" s="34"/>
      <c r="T543" s="34"/>
    </row>
    <row x14ac:dyDescent="0.25" r="544" customHeight="1" ht="18.75">
      <c r="A544" s="1"/>
      <c r="B544" s="150"/>
      <c r="C544" s="34"/>
      <c r="D544" s="34"/>
      <c r="E544" s="34"/>
      <c r="F544" s="34"/>
      <c r="G544" s="34"/>
      <c r="H544" s="34"/>
      <c r="I544" s="29"/>
      <c r="J544" s="29"/>
      <c r="K544" s="29"/>
      <c r="L544" s="29"/>
      <c r="M544" s="34"/>
      <c r="N544" s="34"/>
      <c r="O544" s="29"/>
      <c r="P544" s="34"/>
      <c r="Q544" s="34"/>
      <c r="R544" s="34"/>
      <c r="S544" s="34"/>
      <c r="T544" s="34"/>
    </row>
    <row x14ac:dyDescent="0.25" r="545" customHeight="1" ht="18.75">
      <c r="A545" s="1"/>
      <c r="B545" s="150"/>
      <c r="C545" s="34"/>
      <c r="D545" s="34"/>
      <c r="E545" s="34"/>
      <c r="F545" s="34"/>
      <c r="G545" s="34"/>
      <c r="H545" s="34"/>
      <c r="I545" s="29"/>
      <c r="J545" s="29"/>
      <c r="K545" s="29"/>
      <c r="L545" s="29"/>
      <c r="M545" s="34"/>
      <c r="N545" s="34"/>
      <c r="O545" s="29"/>
      <c r="P545" s="34"/>
      <c r="Q545" s="34"/>
      <c r="R545" s="34"/>
      <c r="S545" s="34"/>
      <c r="T545" s="34"/>
    </row>
    <row x14ac:dyDescent="0.25" r="546" customHeight="1" ht="18.75">
      <c r="A546" s="1"/>
      <c r="B546" s="150"/>
      <c r="C546" s="34"/>
      <c r="D546" s="34"/>
      <c r="E546" s="34"/>
      <c r="F546" s="34"/>
      <c r="G546" s="34"/>
      <c r="H546" s="34"/>
      <c r="I546" s="29"/>
      <c r="J546" s="29"/>
      <c r="K546" s="29"/>
      <c r="L546" s="29"/>
      <c r="M546" s="34"/>
      <c r="N546" s="34"/>
      <c r="O546" s="29"/>
      <c r="P546" s="34"/>
      <c r="Q546" s="34"/>
      <c r="R546" s="34"/>
      <c r="S546" s="34"/>
      <c r="T546" s="34"/>
    </row>
    <row x14ac:dyDescent="0.25" r="547" customHeight="1" ht="18.75">
      <c r="A547" s="1"/>
      <c r="B547" s="150"/>
      <c r="C547" s="34"/>
      <c r="D547" s="34"/>
      <c r="E547" s="34"/>
      <c r="F547" s="34"/>
      <c r="G547" s="34"/>
      <c r="H547" s="34"/>
      <c r="I547" s="29"/>
      <c r="J547" s="29"/>
      <c r="K547" s="29"/>
      <c r="L547" s="29"/>
      <c r="M547" s="34"/>
      <c r="N547" s="34"/>
      <c r="O547" s="29"/>
      <c r="P547" s="34"/>
      <c r="Q547" s="34"/>
      <c r="R547" s="34"/>
      <c r="S547" s="34"/>
      <c r="T547" s="34"/>
    </row>
    <row x14ac:dyDescent="0.25" r="548" customHeight="1" ht="18.75">
      <c r="A548" s="1"/>
      <c r="B548" s="150"/>
      <c r="C548" s="34"/>
      <c r="D548" s="34"/>
      <c r="E548" s="34"/>
      <c r="F548" s="34"/>
      <c r="G548" s="34"/>
      <c r="H548" s="34"/>
      <c r="I548" s="29"/>
      <c r="J548" s="29"/>
      <c r="K548" s="29"/>
      <c r="L548" s="29"/>
      <c r="M548" s="34"/>
      <c r="N548" s="34"/>
      <c r="O548" s="29"/>
      <c r="P548" s="34"/>
      <c r="Q548" s="34"/>
      <c r="R548" s="34"/>
      <c r="S548" s="34"/>
      <c r="T548" s="34"/>
    </row>
    <row x14ac:dyDescent="0.25" r="549" customHeight="1" ht="18.75">
      <c r="A549" s="1"/>
      <c r="B549" s="150"/>
      <c r="C549" s="34"/>
      <c r="D549" s="34"/>
      <c r="E549" s="34"/>
      <c r="F549" s="34"/>
      <c r="G549" s="34"/>
      <c r="H549" s="34"/>
      <c r="I549" s="29"/>
      <c r="J549" s="29"/>
      <c r="K549" s="29"/>
      <c r="L549" s="29"/>
      <c r="M549" s="34"/>
      <c r="N549" s="34"/>
      <c r="O549" s="29"/>
      <c r="P549" s="34"/>
      <c r="Q549" s="34"/>
      <c r="R549" s="34"/>
      <c r="S549" s="34"/>
      <c r="T549" s="34"/>
    </row>
    <row x14ac:dyDescent="0.25" r="550" customHeight="1" ht="18.75">
      <c r="A550" s="1"/>
      <c r="B550" s="150"/>
      <c r="C550" s="34"/>
      <c r="D550" s="34"/>
      <c r="E550" s="34"/>
      <c r="F550" s="34"/>
      <c r="G550" s="34"/>
      <c r="H550" s="34"/>
      <c r="I550" s="29"/>
      <c r="J550" s="29"/>
      <c r="K550" s="29"/>
      <c r="L550" s="29"/>
      <c r="M550" s="34"/>
      <c r="N550" s="34"/>
      <c r="O550" s="29"/>
      <c r="P550" s="34"/>
      <c r="Q550" s="34"/>
      <c r="R550" s="34"/>
      <c r="S550" s="34"/>
      <c r="T550" s="34"/>
    </row>
    <row x14ac:dyDescent="0.25" r="551" customHeight="1" ht="18.75">
      <c r="A551" s="1"/>
      <c r="B551" s="150"/>
      <c r="C551" s="34"/>
      <c r="D551" s="34"/>
      <c r="E551" s="34"/>
      <c r="F551" s="34"/>
      <c r="G551" s="34"/>
      <c r="H551" s="34"/>
      <c r="I551" s="29"/>
      <c r="J551" s="29"/>
      <c r="K551" s="29"/>
      <c r="L551" s="29"/>
      <c r="M551" s="34"/>
      <c r="N551" s="34"/>
      <c r="O551" s="29"/>
      <c r="P551" s="34"/>
      <c r="Q551" s="34"/>
      <c r="R551" s="34"/>
      <c r="S551" s="34"/>
      <c r="T551" s="34"/>
    </row>
    <row x14ac:dyDescent="0.25" r="552" customHeight="1" ht="18.75">
      <c r="A552" s="1"/>
      <c r="B552" s="150"/>
      <c r="C552" s="34"/>
      <c r="D552" s="34"/>
      <c r="E552" s="34"/>
      <c r="F552" s="34"/>
      <c r="G552" s="34"/>
      <c r="H552" s="34"/>
      <c r="I552" s="29"/>
      <c r="J552" s="29"/>
      <c r="K552" s="29"/>
      <c r="L552" s="29"/>
      <c r="M552" s="34"/>
      <c r="N552" s="34"/>
      <c r="O552" s="29"/>
      <c r="P552" s="34"/>
      <c r="Q552" s="34"/>
      <c r="R552" s="34"/>
      <c r="S552" s="34"/>
      <c r="T552" s="34"/>
    </row>
    <row x14ac:dyDescent="0.25" r="553" customHeight="1" ht="18.75">
      <c r="A553" s="1"/>
      <c r="B553" s="150"/>
      <c r="C553" s="34"/>
      <c r="D553" s="34"/>
      <c r="E553" s="34"/>
      <c r="F553" s="34"/>
      <c r="G553" s="34"/>
      <c r="H553" s="34"/>
      <c r="I553" s="29"/>
      <c r="J553" s="29"/>
      <c r="K553" s="29"/>
      <c r="L553" s="29"/>
      <c r="M553" s="34"/>
      <c r="N553" s="34"/>
      <c r="O553" s="29"/>
      <c r="P553" s="34"/>
      <c r="Q553" s="34"/>
      <c r="R553" s="34"/>
      <c r="S553" s="34"/>
      <c r="T553" s="34"/>
    </row>
    <row x14ac:dyDescent="0.25" r="554" customHeight="1" ht="18.75">
      <c r="A554" s="1"/>
      <c r="B554" s="150"/>
      <c r="C554" s="34"/>
      <c r="D554" s="34"/>
      <c r="E554" s="34"/>
      <c r="F554" s="34"/>
      <c r="G554" s="34"/>
      <c r="H554" s="34"/>
      <c r="I554" s="29"/>
      <c r="J554" s="29"/>
      <c r="K554" s="29"/>
      <c r="L554" s="29"/>
      <c r="M554" s="34"/>
      <c r="N554" s="34"/>
      <c r="O554" s="29"/>
      <c r="P554" s="34"/>
      <c r="Q554" s="34"/>
      <c r="R554" s="34"/>
      <c r="S554" s="34"/>
      <c r="T554" s="34"/>
    </row>
    <row x14ac:dyDescent="0.25" r="555" customHeight="1" ht="18.75">
      <c r="A555" s="1"/>
      <c r="B555" s="150"/>
      <c r="C555" s="34"/>
      <c r="D555" s="34"/>
      <c r="E555" s="34"/>
      <c r="F555" s="34"/>
      <c r="G555" s="34"/>
      <c r="H555" s="34"/>
      <c r="I555" s="29"/>
      <c r="J555" s="29"/>
      <c r="K555" s="29"/>
      <c r="L555" s="29"/>
      <c r="M555" s="34"/>
      <c r="N555" s="34"/>
      <c r="O555" s="29"/>
      <c r="P555" s="34"/>
      <c r="Q555" s="34"/>
      <c r="R555" s="34"/>
      <c r="S555" s="34"/>
      <c r="T555" s="34"/>
    </row>
    <row x14ac:dyDescent="0.25" r="556" customHeight="1" ht="18.75">
      <c r="A556" s="1"/>
      <c r="B556" s="150"/>
      <c r="C556" s="34"/>
      <c r="D556" s="34"/>
      <c r="E556" s="34"/>
      <c r="F556" s="34"/>
      <c r="G556" s="34"/>
      <c r="H556" s="34"/>
      <c r="I556" s="29"/>
      <c r="J556" s="29"/>
      <c r="K556" s="29"/>
      <c r="L556" s="29"/>
      <c r="M556" s="34"/>
      <c r="N556" s="34"/>
      <c r="O556" s="29"/>
      <c r="P556" s="34"/>
      <c r="Q556" s="34"/>
      <c r="R556" s="34"/>
      <c r="S556" s="34"/>
      <c r="T556" s="34"/>
    </row>
    <row x14ac:dyDescent="0.25" r="557" customHeight="1" ht="18.75">
      <c r="A557" s="1"/>
      <c r="B557" s="150"/>
      <c r="C557" s="34"/>
      <c r="D557" s="34"/>
      <c r="E557" s="34"/>
      <c r="F557" s="34"/>
      <c r="G557" s="34"/>
      <c r="H557" s="34"/>
      <c r="I557" s="29"/>
      <c r="J557" s="29"/>
      <c r="K557" s="29"/>
      <c r="L557" s="29"/>
      <c r="M557" s="34"/>
      <c r="N557" s="34"/>
      <c r="O557" s="29"/>
      <c r="P557" s="34"/>
      <c r="Q557" s="34"/>
      <c r="R557" s="34"/>
      <c r="S557" s="34"/>
      <c r="T557" s="34"/>
    </row>
    <row x14ac:dyDescent="0.25" r="558" customHeight="1" ht="18.75">
      <c r="A558" s="1"/>
      <c r="B558" s="150"/>
      <c r="C558" s="34"/>
      <c r="D558" s="34"/>
      <c r="E558" s="34"/>
      <c r="F558" s="34"/>
      <c r="G558" s="34"/>
      <c r="H558" s="34"/>
      <c r="I558" s="29"/>
      <c r="J558" s="29"/>
      <c r="K558" s="29"/>
      <c r="L558" s="29"/>
      <c r="M558" s="34"/>
      <c r="N558" s="34"/>
      <c r="O558" s="29"/>
      <c r="P558" s="34"/>
      <c r="Q558" s="34"/>
      <c r="R558" s="34"/>
      <c r="S558" s="34"/>
      <c r="T558" s="34"/>
    </row>
    <row x14ac:dyDescent="0.25" r="559" customHeight="1" ht="18.75">
      <c r="A559" s="1"/>
      <c r="B559" s="150"/>
      <c r="C559" s="34"/>
      <c r="D559" s="34"/>
      <c r="E559" s="34"/>
      <c r="F559" s="34"/>
      <c r="G559" s="34"/>
      <c r="H559" s="34"/>
      <c r="I559" s="29"/>
      <c r="J559" s="29"/>
      <c r="K559" s="29"/>
      <c r="L559" s="29"/>
      <c r="M559" s="34"/>
      <c r="N559" s="34"/>
      <c r="O559" s="29"/>
      <c r="P559" s="34"/>
      <c r="Q559" s="34"/>
      <c r="R559" s="34"/>
      <c r="S559" s="34"/>
      <c r="T559" s="34"/>
    </row>
    <row x14ac:dyDescent="0.25" r="560" customHeight="1" ht="18.75">
      <c r="A560" s="1"/>
      <c r="B560" s="150"/>
      <c r="C560" s="34"/>
      <c r="D560" s="34"/>
      <c r="E560" s="34"/>
      <c r="F560" s="34"/>
      <c r="G560" s="34"/>
      <c r="H560" s="34"/>
      <c r="I560" s="29"/>
      <c r="J560" s="29"/>
      <c r="K560" s="29"/>
      <c r="L560" s="29"/>
      <c r="M560" s="34"/>
      <c r="N560" s="34"/>
      <c r="O560" s="29"/>
      <c r="P560" s="34"/>
      <c r="Q560" s="34"/>
      <c r="R560" s="34"/>
      <c r="S560" s="34"/>
      <c r="T560" s="34"/>
    </row>
    <row x14ac:dyDescent="0.25" r="561" customHeight="1" ht="18.75">
      <c r="A561" s="1"/>
      <c r="B561" s="150"/>
      <c r="C561" s="34"/>
      <c r="D561" s="34"/>
      <c r="E561" s="34"/>
      <c r="F561" s="34"/>
      <c r="G561" s="34"/>
      <c r="H561" s="34"/>
      <c r="I561" s="29"/>
      <c r="J561" s="29"/>
      <c r="K561" s="29"/>
      <c r="L561" s="29"/>
      <c r="M561" s="34"/>
      <c r="N561" s="34"/>
      <c r="O561" s="29"/>
      <c r="P561" s="34"/>
      <c r="Q561" s="34"/>
      <c r="R561" s="34"/>
      <c r="S561" s="34"/>
      <c r="T561" s="34"/>
    </row>
    <row x14ac:dyDescent="0.25" r="562" customHeight="1" ht="18.75">
      <c r="A562" s="1"/>
      <c r="B562" s="150"/>
      <c r="C562" s="34"/>
      <c r="D562" s="34"/>
      <c r="E562" s="34"/>
      <c r="F562" s="34"/>
      <c r="G562" s="34"/>
      <c r="H562" s="34"/>
      <c r="I562" s="29"/>
      <c r="J562" s="29"/>
      <c r="K562" s="29"/>
      <c r="L562" s="29"/>
      <c r="M562" s="34"/>
      <c r="N562" s="34"/>
      <c r="O562" s="29"/>
      <c r="P562" s="34"/>
      <c r="Q562" s="34"/>
      <c r="R562" s="34"/>
      <c r="S562" s="34"/>
      <c r="T562" s="34"/>
    </row>
    <row x14ac:dyDescent="0.25" r="563" customHeight="1" ht="18.75">
      <c r="A563" s="1"/>
      <c r="B563" s="150"/>
      <c r="C563" s="34"/>
      <c r="D563" s="34"/>
      <c r="E563" s="34"/>
      <c r="F563" s="34"/>
      <c r="G563" s="34"/>
      <c r="H563" s="34"/>
      <c r="I563" s="29"/>
      <c r="J563" s="29"/>
      <c r="K563" s="29"/>
      <c r="L563" s="29"/>
      <c r="M563" s="34"/>
      <c r="N563" s="34"/>
      <c r="O563" s="29"/>
      <c r="P563" s="34"/>
      <c r="Q563" s="34"/>
      <c r="R563" s="34"/>
      <c r="S563" s="34"/>
      <c r="T563" s="34"/>
    </row>
    <row x14ac:dyDescent="0.25" r="564" customHeight="1" ht="18.75">
      <c r="A564" s="1"/>
      <c r="B564" s="150"/>
      <c r="C564" s="34"/>
      <c r="D564" s="34"/>
      <c r="E564" s="34"/>
      <c r="F564" s="34"/>
      <c r="G564" s="34"/>
      <c r="H564" s="34"/>
      <c r="I564" s="29"/>
      <c r="J564" s="29"/>
      <c r="K564" s="29"/>
      <c r="L564" s="29"/>
      <c r="M564" s="34"/>
      <c r="N564" s="34"/>
      <c r="O564" s="29"/>
      <c r="P564" s="34"/>
      <c r="Q564" s="34"/>
      <c r="R564" s="34"/>
      <c r="S564" s="34"/>
      <c r="T564" s="34"/>
    </row>
    <row x14ac:dyDescent="0.25" r="565" customHeight="1" ht="18.75">
      <c r="A565" s="1"/>
      <c r="B565" s="150"/>
      <c r="C565" s="34"/>
      <c r="D565" s="34"/>
      <c r="E565" s="34"/>
      <c r="F565" s="34"/>
      <c r="G565" s="34"/>
      <c r="H565" s="34"/>
      <c r="I565" s="29"/>
      <c r="J565" s="29"/>
      <c r="K565" s="29"/>
      <c r="L565" s="29"/>
      <c r="M565" s="34"/>
      <c r="N565" s="34"/>
      <c r="O565" s="29"/>
      <c r="P565" s="34"/>
      <c r="Q565" s="34"/>
      <c r="R565" s="34"/>
      <c r="S565" s="34"/>
      <c r="T565" s="34"/>
    </row>
    <row x14ac:dyDescent="0.25" r="566" customHeight="1" ht="18.75">
      <c r="A566" s="1"/>
      <c r="B566" s="150"/>
      <c r="C566" s="34"/>
      <c r="D566" s="34"/>
      <c r="E566" s="34"/>
      <c r="F566" s="34"/>
      <c r="G566" s="34"/>
      <c r="H566" s="34"/>
      <c r="I566" s="29"/>
      <c r="J566" s="29"/>
      <c r="K566" s="29"/>
      <c r="L566" s="29"/>
      <c r="M566" s="34"/>
      <c r="N566" s="34"/>
      <c r="O566" s="29"/>
      <c r="P566" s="34"/>
      <c r="Q566" s="34"/>
      <c r="R566" s="34"/>
      <c r="S566" s="34"/>
      <c r="T566" s="34"/>
    </row>
    <row x14ac:dyDescent="0.25" r="567" customHeight="1" ht="18.75">
      <c r="A567" s="1"/>
      <c r="B567" s="150"/>
      <c r="C567" s="34"/>
      <c r="D567" s="34"/>
      <c r="E567" s="34"/>
      <c r="F567" s="34"/>
      <c r="G567" s="34"/>
      <c r="H567" s="34"/>
      <c r="I567" s="29"/>
      <c r="J567" s="29"/>
      <c r="K567" s="29"/>
      <c r="L567" s="29"/>
      <c r="M567" s="34"/>
      <c r="N567" s="34"/>
      <c r="O567" s="29"/>
      <c r="P567" s="34"/>
      <c r="Q567" s="34"/>
      <c r="R567" s="34"/>
      <c r="S567" s="34"/>
      <c r="T567" s="34"/>
    </row>
    <row x14ac:dyDescent="0.25" r="568" customHeight="1" ht="18.75">
      <c r="A568" s="1"/>
      <c r="B568" s="150"/>
      <c r="C568" s="34"/>
      <c r="D568" s="34"/>
      <c r="E568" s="34"/>
      <c r="F568" s="34"/>
      <c r="G568" s="34"/>
      <c r="H568" s="34"/>
      <c r="I568" s="29"/>
      <c r="J568" s="29"/>
      <c r="K568" s="29"/>
      <c r="L568" s="29"/>
      <c r="M568" s="34"/>
      <c r="N568" s="34"/>
      <c r="O568" s="29"/>
      <c r="P568" s="34"/>
      <c r="Q568" s="34"/>
      <c r="R568" s="34"/>
      <c r="S568" s="34"/>
      <c r="T568" s="34"/>
    </row>
    <row x14ac:dyDescent="0.25" r="569" customHeight="1" ht="18.75">
      <c r="A569" s="1"/>
      <c r="B569" s="150"/>
      <c r="C569" s="34"/>
      <c r="D569" s="34"/>
      <c r="E569" s="34"/>
      <c r="F569" s="34"/>
      <c r="G569" s="34"/>
      <c r="H569" s="34"/>
      <c r="I569" s="29"/>
      <c r="J569" s="29"/>
      <c r="K569" s="29"/>
      <c r="L569" s="29"/>
      <c r="M569" s="34"/>
      <c r="N569" s="34"/>
      <c r="O569" s="29"/>
      <c r="P569" s="34"/>
      <c r="Q569" s="34"/>
      <c r="R569" s="34"/>
      <c r="S569" s="34"/>
      <c r="T569" s="34"/>
    </row>
    <row x14ac:dyDescent="0.25" r="570" customHeight="1" ht="18.75">
      <c r="A570" s="1"/>
      <c r="B570" s="150"/>
      <c r="C570" s="34"/>
      <c r="D570" s="34"/>
      <c r="E570" s="34"/>
      <c r="F570" s="34"/>
      <c r="G570" s="34"/>
      <c r="H570" s="34"/>
      <c r="I570" s="29"/>
      <c r="J570" s="29"/>
      <c r="K570" s="29"/>
      <c r="L570" s="29"/>
      <c r="M570" s="34"/>
      <c r="N570" s="34"/>
      <c r="O570" s="29"/>
      <c r="P570" s="34"/>
      <c r="Q570" s="34"/>
      <c r="R570" s="34"/>
      <c r="S570" s="34"/>
      <c r="T570" s="34"/>
    </row>
    <row x14ac:dyDescent="0.25" r="571" customHeight="1" ht="18.75">
      <c r="A571" s="1"/>
      <c r="B571" s="150"/>
      <c r="C571" s="34"/>
      <c r="D571" s="34"/>
      <c r="E571" s="34"/>
      <c r="F571" s="34"/>
      <c r="G571" s="34"/>
      <c r="H571" s="34"/>
      <c r="I571" s="29"/>
      <c r="J571" s="29"/>
      <c r="K571" s="29"/>
      <c r="L571" s="29"/>
      <c r="M571" s="34"/>
      <c r="N571" s="34"/>
      <c r="O571" s="29"/>
      <c r="P571" s="34"/>
      <c r="Q571" s="34"/>
      <c r="R571" s="34"/>
      <c r="S571" s="34"/>
      <c r="T571" s="34"/>
    </row>
    <row x14ac:dyDescent="0.25" r="572" customHeight="1" ht="18.75">
      <c r="A572" s="1"/>
      <c r="B572" s="150"/>
      <c r="C572" s="34"/>
      <c r="D572" s="34"/>
      <c r="E572" s="34"/>
      <c r="F572" s="34"/>
      <c r="G572" s="34"/>
      <c r="H572" s="34"/>
      <c r="I572" s="29"/>
      <c r="J572" s="29"/>
      <c r="K572" s="29"/>
      <c r="L572" s="29"/>
      <c r="M572" s="34"/>
      <c r="N572" s="34"/>
      <c r="O572" s="29"/>
      <c r="P572" s="34"/>
      <c r="Q572" s="34"/>
      <c r="R572" s="34"/>
      <c r="S572" s="34"/>
      <c r="T572" s="34"/>
    </row>
    <row x14ac:dyDescent="0.25" r="573" customHeight="1" ht="18.75">
      <c r="A573" s="1"/>
      <c r="B573" s="150"/>
      <c r="C573" s="34"/>
      <c r="D573" s="34"/>
      <c r="E573" s="34"/>
      <c r="F573" s="34"/>
      <c r="G573" s="34"/>
      <c r="H573" s="34"/>
      <c r="I573" s="29"/>
      <c r="J573" s="29"/>
      <c r="K573" s="29"/>
      <c r="L573" s="29"/>
      <c r="M573" s="34"/>
      <c r="N573" s="34"/>
      <c r="O573" s="29"/>
      <c r="P573" s="34"/>
      <c r="Q573" s="34"/>
      <c r="R573" s="34"/>
      <c r="S573" s="34"/>
      <c r="T573" s="34"/>
    </row>
    <row x14ac:dyDescent="0.25" r="574" customHeight="1" ht="18.75">
      <c r="A574" s="1"/>
      <c r="B574" s="150"/>
      <c r="C574" s="34"/>
      <c r="D574" s="34"/>
      <c r="E574" s="34"/>
      <c r="F574" s="34"/>
      <c r="G574" s="34"/>
      <c r="H574" s="34"/>
      <c r="I574" s="29"/>
      <c r="J574" s="29"/>
      <c r="K574" s="29"/>
      <c r="L574" s="29"/>
      <c r="M574" s="34"/>
      <c r="N574" s="34"/>
      <c r="O574" s="29"/>
      <c r="P574" s="34"/>
      <c r="Q574" s="34"/>
      <c r="R574" s="34"/>
      <c r="S574" s="34"/>
      <c r="T574" s="34"/>
    </row>
    <row x14ac:dyDescent="0.25" r="575" customHeight="1" ht="18.75">
      <c r="A575" s="1"/>
      <c r="B575" s="150"/>
      <c r="C575" s="34"/>
      <c r="D575" s="34"/>
      <c r="E575" s="34"/>
      <c r="F575" s="34"/>
      <c r="G575" s="34"/>
      <c r="H575" s="34"/>
      <c r="I575" s="29"/>
      <c r="J575" s="29"/>
      <c r="K575" s="29"/>
      <c r="L575" s="29"/>
      <c r="M575" s="34"/>
      <c r="N575" s="34"/>
      <c r="O575" s="29"/>
      <c r="P575" s="34"/>
      <c r="Q575" s="34"/>
      <c r="R575" s="34"/>
      <c r="S575" s="34"/>
      <c r="T575" s="34"/>
    </row>
    <row x14ac:dyDescent="0.25" r="576" customHeight="1" ht="18.75">
      <c r="A576" s="1"/>
      <c r="B576" s="150"/>
      <c r="C576" s="34"/>
      <c r="D576" s="34"/>
      <c r="E576" s="34"/>
      <c r="F576" s="34"/>
      <c r="G576" s="34"/>
      <c r="H576" s="34"/>
      <c r="I576" s="29"/>
      <c r="J576" s="29"/>
      <c r="K576" s="29"/>
      <c r="L576" s="29"/>
      <c r="M576" s="34"/>
      <c r="N576" s="34"/>
      <c r="O576" s="29"/>
      <c r="P576" s="34"/>
      <c r="Q576" s="34"/>
      <c r="R576" s="34"/>
      <c r="S576" s="34"/>
      <c r="T576" s="34"/>
    </row>
    <row x14ac:dyDescent="0.25" r="577" customHeight="1" ht="18.75">
      <c r="A577" s="1"/>
      <c r="B577" s="150"/>
      <c r="C577" s="34"/>
      <c r="D577" s="34"/>
      <c r="E577" s="34"/>
      <c r="F577" s="34"/>
      <c r="G577" s="34"/>
      <c r="H577" s="34"/>
      <c r="I577" s="29"/>
      <c r="J577" s="29"/>
      <c r="K577" s="29"/>
      <c r="L577" s="29"/>
      <c r="M577" s="34"/>
      <c r="N577" s="34"/>
      <c r="O577" s="29"/>
      <c r="P577" s="34"/>
      <c r="Q577" s="34"/>
      <c r="R577" s="34"/>
      <c r="S577" s="34"/>
      <c r="T577" s="34"/>
    </row>
    <row x14ac:dyDescent="0.25" r="578" customHeight="1" ht="18.75">
      <c r="A578" s="1"/>
      <c r="B578" s="150"/>
      <c r="C578" s="34"/>
      <c r="D578" s="34"/>
      <c r="E578" s="34"/>
      <c r="F578" s="34"/>
      <c r="G578" s="34"/>
      <c r="H578" s="34"/>
      <c r="I578" s="29"/>
      <c r="J578" s="29"/>
      <c r="K578" s="29"/>
      <c r="L578" s="29"/>
      <c r="M578" s="34"/>
      <c r="N578" s="34"/>
      <c r="O578" s="29"/>
      <c r="P578" s="34"/>
      <c r="Q578" s="34"/>
      <c r="R578" s="34"/>
      <c r="S578" s="34"/>
      <c r="T578" s="34"/>
    </row>
    <row x14ac:dyDescent="0.25" r="579" customHeight="1" ht="18.75">
      <c r="A579" s="1"/>
      <c r="B579" s="150"/>
      <c r="C579" s="34"/>
      <c r="D579" s="34"/>
      <c r="E579" s="34"/>
      <c r="F579" s="34"/>
      <c r="G579" s="34"/>
      <c r="H579" s="34"/>
      <c r="I579" s="29"/>
      <c r="J579" s="29"/>
      <c r="K579" s="29"/>
      <c r="L579" s="29"/>
      <c r="M579" s="34"/>
      <c r="N579" s="34"/>
      <c r="O579" s="29"/>
      <c r="P579" s="34"/>
      <c r="Q579" s="34"/>
      <c r="R579" s="34"/>
      <c r="S579" s="34"/>
      <c r="T579" s="34"/>
    </row>
    <row x14ac:dyDescent="0.25" r="580" customHeight="1" ht="18.75">
      <c r="A580" s="1"/>
      <c r="B580" s="150"/>
      <c r="C580" s="34"/>
      <c r="D580" s="34"/>
      <c r="E580" s="34"/>
      <c r="F580" s="34"/>
      <c r="G580" s="34"/>
      <c r="H580" s="34"/>
      <c r="I580" s="29"/>
      <c r="J580" s="29"/>
      <c r="K580" s="29"/>
      <c r="L580" s="29"/>
      <c r="M580" s="34"/>
      <c r="N580" s="34"/>
      <c r="O580" s="29"/>
      <c r="P580" s="34"/>
      <c r="Q580" s="34"/>
      <c r="R580" s="34"/>
      <c r="S580" s="34"/>
      <c r="T580" s="34"/>
    </row>
    <row x14ac:dyDescent="0.25" r="581" customHeight="1" ht="18.75">
      <c r="A581" s="1"/>
      <c r="B581" s="150"/>
      <c r="C581" s="34"/>
      <c r="D581" s="34"/>
      <c r="E581" s="34"/>
      <c r="F581" s="34"/>
      <c r="G581" s="34"/>
      <c r="H581" s="34"/>
      <c r="I581" s="29"/>
      <c r="J581" s="29"/>
      <c r="K581" s="29"/>
      <c r="L581" s="29"/>
      <c r="M581" s="34"/>
      <c r="N581" s="34"/>
      <c r="O581" s="29"/>
      <c r="P581" s="34"/>
      <c r="Q581" s="34"/>
      <c r="R581" s="34"/>
      <c r="S581" s="34"/>
      <c r="T581" s="34"/>
    </row>
    <row x14ac:dyDescent="0.25" r="582" customHeight="1" ht="18.75">
      <c r="A582" s="1"/>
      <c r="B582" s="150"/>
      <c r="C582" s="34"/>
      <c r="D582" s="34"/>
      <c r="E582" s="34"/>
      <c r="F582" s="34"/>
      <c r="G582" s="34"/>
      <c r="H582" s="34"/>
      <c r="I582" s="29"/>
      <c r="J582" s="29"/>
      <c r="K582" s="29"/>
      <c r="L582" s="29"/>
      <c r="M582" s="34"/>
      <c r="N582" s="34"/>
      <c r="O582" s="29"/>
      <c r="P582" s="34"/>
      <c r="Q582" s="34"/>
      <c r="R582" s="34"/>
      <c r="S582" s="34"/>
      <c r="T582" s="34"/>
    </row>
    <row x14ac:dyDescent="0.25" r="583" customHeight="1" ht="18.75">
      <c r="A583" s="1"/>
      <c r="B583" s="150"/>
      <c r="C583" s="34"/>
      <c r="D583" s="34"/>
      <c r="E583" s="34"/>
      <c r="F583" s="34"/>
      <c r="G583" s="34"/>
      <c r="H583" s="34"/>
      <c r="I583" s="29"/>
      <c r="J583" s="29"/>
      <c r="K583" s="29"/>
      <c r="L583" s="29"/>
      <c r="M583" s="34"/>
      <c r="N583" s="34"/>
      <c r="O583" s="29"/>
      <c r="P583" s="34"/>
      <c r="Q583" s="34"/>
      <c r="R583" s="34"/>
      <c r="S583" s="34"/>
      <c r="T583" s="34"/>
    </row>
    <row x14ac:dyDescent="0.25" r="584" customHeight="1" ht="18.75">
      <c r="A584" s="1"/>
      <c r="B584" s="150"/>
      <c r="C584" s="34"/>
      <c r="D584" s="34"/>
      <c r="E584" s="34"/>
      <c r="F584" s="34"/>
      <c r="G584" s="34"/>
      <c r="H584" s="34"/>
      <c r="I584" s="29"/>
      <c r="J584" s="29"/>
      <c r="K584" s="29"/>
      <c r="L584" s="29"/>
      <c r="M584" s="34"/>
      <c r="N584" s="34"/>
      <c r="O584" s="29"/>
      <c r="P584" s="34"/>
      <c r="Q584" s="34"/>
      <c r="R584" s="34"/>
      <c r="S584" s="34"/>
      <c r="T584" s="34"/>
    </row>
    <row x14ac:dyDescent="0.25" r="585" customHeight="1" ht="18.75">
      <c r="A585" s="1"/>
      <c r="B585" s="150"/>
      <c r="C585" s="34"/>
      <c r="D585" s="34"/>
      <c r="E585" s="34"/>
      <c r="F585" s="34"/>
      <c r="G585" s="34"/>
      <c r="H585" s="34"/>
      <c r="I585" s="29"/>
      <c r="J585" s="29"/>
      <c r="K585" s="29"/>
      <c r="L585" s="29"/>
      <c r="M585" s="34"/>
      <c r="N585" s="34"/>
      <c r="O585" s="29"/>
      <c r="P585" s="34"/>
      <c r="Q585" s="34"/>
      <c r="R585" s="34"/>
      <c r="S585" s="34"/>
      <c r="T585" s="34"/>
    </row>
    <row x14ac:dyDescent="0.25" r="586" customHeight="1" ht="18.75">
      <c r="A586" s="1"/>
      <c r="B586" s="150"/>
      <c r="C586" s="34"/>
      <c r="D586" s="34"/>
      <c r="E586" s="34"/>
      <c r="F586" s="34"/>
      <c r="G586" s="34"/>
      <c r="H586" s="34"/>
      <c r="I586" s="29"/>
      <c r="J586" s="29"/>
      <c r="K586" s="29"/>
      <c r="L586" s="29"/>
      <c r="M586" s="34"/>
      <c r="N586" s="34"/>
      <c r="O586" s="29"/>
      <c r="P586" s="34"/>
      <c r="Q586" s="34"/>
      <c r="R586" s="34"/>
      <c r="S586" s="34"/>
      <c r="T586" s="34"/>
    </row>
    <row x14ac:dyDescent="0.25" r="587" customHeight="1" ht="18.75">
      <c r="A587" s="1"/>
      <c r="B587" s="150"/>
      <c r="C587" s="34"/>
      <c r="D587" s="34"/>
      <c r="E587" s="34"/>
      <c r="F587" s="34"/>
      <c r="G587" s="34"/>
      <c r="H587" s="34"/>
      <c r="I587" s="29"/>
      <c r="J587" s="29"/>
      <c r="K587" s="29"/>
      <c r="L587" s="29"/>
      <c r="M587" s="34"/>
      <c r="N587" s="34"/>
      <c r="O587" s="29"/>
      <c r="P587" s="34"/>
      <c r="Q587" s="34"/>
      <c r="R587" s="34"/>
      <c r="S587" s="34"/>
      <c r="T587" s="34"/>
    </row>
    <row x14ac:dyDescent="0.25" r="588" customHeight="1" ht="18.75">
      <c r="A588" s="1"/>
      <c r="B588" s="150"/>
      <c r="C588" s="34"/>
      <c r="D588" s="34"/>
      <c r="E588" s="34"/>
      <c r="F588" s="34"/>
      <c r="G588" s="34"/>
      <c r="H588" s="34"/>
      <c r="I588" s="29"/>
      <c r="J588" s="29"/>
      <c r="K588" s="29"/>
      <c r="L588" s="29"/>
      <c r="M588" s="34"/>
      <c r="N588" s="34"/>
      <c r="O588" s="29"/>
      <c r="P588" s="34"/>
      <c r="Q588" s="34"/>
      <c r="R588" s="34"/>
      <c r="S588" s="34"/>
      <c r="T588" s="34"/>
    </row>
    <row x14ac:dyDescent="0.25" r="589" customHeight="1" ht="18.75">
      <c r="A589" s="1"/>
      <c r="B589" s="150"/>
      <c r="C589" s="34"/>
      <c r="D589" s="34"/>
      <c r="E589" s="34"/>
      <c r="F589" s="34"/>
      <c r="G589" s="34"/>
      <c r="H589" s="34"/>
      <c r="I589" s="29"/>
      <c r="J589" s="29"/>
      <c r="K589" s="29"/>
      <c r="L589" s="29"/>
      <c r="M589" s="34"/>
      <c r="N589" s="34"/>
      <c r="O589" s="29"/>
      <c r="P589" s="34"/>
      <c r="Q589" s="34"/>
      <c r="R589" s="34"/>
      <c r="S589" s="34"/>
      <c r="T589" s="34"/>
    </row>
    <row x14ac:dyDescent="0.25" r="590" customHeight="1" ht="18.75">
      <c r="A590" s="1"/>
      <c r="B590" s="150"/>
      <c r="C590" s="34"/>
      <c r="D590" s="34"/>
      <c r="E590" s="34"/>
      <c r="F590" s="34"/>
      <c r="G590" s="34"/>
      <c r="H590" s="34"/>
      <c r="I590" s="29"/>
      <c r="J590" s="29"/>
      <c r="K590" s="29"/>
      <c r="L590" s="29"/>
      <c r="M590" s="34"/>
      <c r="N590" s="34"/>
      <c r="O590" s="29"/>
      <c r="P590" s="34"/>
      <c r="Q590" s="34"/>
      <c r="R590" s="34"/>
      <c r="S590" s="34"/>
      <c r="T590" s="34"/>
    </row>
    <row x14ac:dyDescent="0.25" r="591" customHeight="1" ht="18.75">
      <c r="A591" s="1"/>
      <c r="B591" s="150"/>
      <c r="C591" s="34"/>
      <c r="D591" s="34"/>
      <c r="E591" s="34"/>
      <c r="F591" s="34"/>
      <c r="G591" s="34"/>
      <c r="H591" s="34"/>
      <c r="I591" s="29"/>
      <c r="J591" s="29"/>
      <c r="K591" s="29"/>
      <c r="L591" s="29"/>
      <c r="M591" s="34"/>
      <c r="N591" s="34"/>
      <c r="O591" s="29"/>
      <c r="P591" s="34"/>
      <c r="Q591" s="34"/>
      <c r="R591" s="34"/>
      <c r="S591" s="34"/>
      <c r="T591" s="34"/>
    </row>
    <row x14ac:dyDescent="0.25" r="592" customHeight="1" ht="18.75">
      <c r="A592" s="1"/>
      <c r="B592" s="150"/>
      <c r="C592" s="34"/>
      <c r="D592" s="34"/>
      <c r="E592" s="34"/>
      <c r="F592" s="34"/>
      <c r="G592" s="34"/>
      <c r="H592" s="34"/>
      <c r="I592" s="29"/>
      <c r="J592" s="29"/>
      <c r="K592" s="29"/>
      <c r="L592" s="29"/>
      <c r="M592" s="34"/>
      <c r="N592" s="34"/>
      <c r="O592" s="29"/>
      <c r="P592" s="34"/>
      <c r="Q592" s="34"/>
      <c r="R592" s="34"/>
      <c r="S592" s="34"/>
      <c r="T592" s="34"/>
    </row>
    <row x14ac:dyDescent="0.25" r="593" customHeight="1" ht="18.75">
      <c r="A593" s="1"/>
      <c r="B593" s="150"/>
      <c r="C593" s="34"/>
      <c r="D593" s="34"/>
      <c r="E593" s="34"/>
      <c r="F593" s="34"/>
      <c r="G593" s="34"/>
      <c r="H593" s="34"/>
      <c r="I593" s="29"/>
      <c r="J593" s="29"/>
      <c r="K593" s="29"/>
      <c r="L593" s="29"/>
      <c r="M593" s="34"/>
      <c r="N593" s="34"/>
      <c r="O593" s="29"/>
      <c r="P593" s="34"/>
      <c r="Q593" s="34"/>
      <c r="R593" s="34"/>
      <c r="S593" s="34"/>
      <c r="T593" s="34"/>
    </row>
    <row x14ac:dyDescent="0.25" r="594" customHeight="1" ht="18.75">
      <c r="A594" s="1"/>
      <c r="B594" s="150"/>
      <c r="C594" s="34"/>
      <c r="D594" s="34"/>
      <c r="E594" s="34"/>
      <c r="F594" s="34"/>
      <c r="G594" s="34"/>
      <c r="H594" s="34"/>
      <c r="I594" s="29"/>
      <c r="J594" s="29"/>
      <c r="K594" s="29"/>
      <c r="L594" s="29"/>
      <c r="M594" s="34"/>
      <c r="N594" s="34"/>
      <c r="O594" s="29"/>
      <c r="P594" s="34"/>
      <c r="Q594" s="34"/>
      <c r="R594" s="34"/>
      <c r="S594" s="34"/>
      <c r="T594" s="34"/>
    </row>
    <row x14ac:dyDescent="0.25" r="595" customHeight="1" ht="18.75">
      <c r="A595" s="1"/>
      <c r="B595" s="150"/>
      <c r="C595" s="34"/>
      <c r="D595" s="34"/>
      <c r="E595" s="34"/>
      <c r="F595" s="34"/>
      <c r="G595" s="34"/>
      <c r="H595" s="34"/>
      <c r="I595" s="29"/>
      <c r="J595" s="29"/>
      <c r="K595" s="29"/>
      <c r="L595" s="29"/>
      <c r="M595" s="34"/>
      <c r="N595" s="34"/>
      <c r="O595" s="29"/>
      <c r="P595" s="34"/>
      <c r="Q595" s="34"/>
      <c r="R595" s="34"/>
      <c r="S595" s="34"/>
      <c r="T595" s="34"/>
    </row>
    <row x14ac:dyDescent="0.25" r="596" customHeight="1" ht="18.75">
      <c r="A596" s="1"/>
      <c r="B596" s="150"/>
      <c r="C596" s="34"/>
      <c r="D596" s="34"/>
      <c r="E596" s="34"/>
      <c r="F596" s="34"/>
      <c r="G596" s="34"/>
      <c r="H596" s="34"/>
      <c r="I596" s="29"/>
      <c r="J596" s="29"/>
      <c r="K596" s="29"/>
      <c r="L596" s="29"/>
      <c r="M596" s="34"/>
      <c r="N596" s="34"/>
      <c r="O596" s="29"/>
      <c r="P596" s="34"/>
      <c r="Q596" s="34"/>
      <c r="R596" s="34"/>
      <c r="S596" s="34"/>
      <c r="T596" s="34"/>
    </row>
    <row x14ac:dyDescent="0.25" r="597" customHeight="1" ht="18.75">
      <c r="A597" s="1"/>
      <c r="B597" s="150"/>
      <c r="C597" s="34"/>
      <c r="D597" s="34"/>
      <c r="E597" s="34"/>
      <c r="F597" s="34"/>
      <c r="G597" s="34"/>
      <c r="H597" s="34"/>
      <c r="I597" s="29"/>
      <c r="J597" s="29"/>
      <c r="K597" s="29"/>
      <c r="L597" s="29"/>
      <c r="M597" s="34"/>
      <c r="N597" s="34"/>
      <c r="O597" s="29"/>
      <c r="P597" s="34"/>
      <c r="Q597" s="34"/>
      <c r="R597" s="34"/>
      <c r="S597" s="34"/>
      <c r="T597" s="34"/>
    </row>
    <row x14ac:dyDescent="0.25" r="598" customHeight="1" ht="18.75">
      <c r="A598" s="1"/>
      <c r="B598" s="150"/>
      <c r="C598" s="34"/>
      <c r="D598" s="34"/>
      <c r="E598" s="34"/>
      <c r="F598" s="34"/>
      <c r="G598" s="34"/>
      <c r="H598" s="34"/>
      <c r="I598" s="29"/>
      <c r="J598" s="29"/>
      <c r="K598" s="29"/>
      <c r="L598" s="29"/>
      <c r="M598" s="34"/>
      <c r="N598" s="34"/>
      <c r="O598" s="29"/>
      <c r="P598" s="34"/>
      <c r="Q598" s="34"/>
      <c r="R598" s="34"/>
      <c r="S598" s="34"/>
      <c r="T598" s="34"/>
    </row>
    <row x14ac:dyDescent="0.25" r="599" customHeight="1" ht="18.75">
      <c r="A599" s="1"/>
      <c r="B599" s="150"/>
      <c r="C599" s="34"/>
      <c r="D599" s="34"/>
      <c r="E599" s="34"/>
      <c r="F599" s="34"/>
      <c r="G599" s="34"/>
      <c r="H599" s="34"/>
      <c r="I599" s="29"/>
      <c r="J599" s="29"/>
      <c r="K599" s="29"/>
      <c r="L599" s="29"/>
      <c r="M599" s="34"/>
      <c r="N599" s="34"/>
      <c r="O599" s="29"/>
      <c r="P599" s="34"/>
      <c r="Q599" s="34"/>
      <c r="R599" s="34"/>
      <c r="S599" s="34"/>
      <c r="T599" s="34"/>
    </row>
    <row x14ac:dyDescent="0.25" r="600" customHeight="1" ht="18.75">
      <c r="A600" s="1"/>
      <c r="B600" s="150"/>
      <c r="C600" s="34"/>
      <c r="D600" s="34"/>
      <c r="E600" s="34"/>
      <c r="F600" s="34"/>
      <c r="G600" s="34"/>
      <c r="H600" s="34"/>
      <c r="I600" s="29"/>
      <c r="J600" s="29"/>
      <c r="K600" s="29"/>
      <c r="L600" s="29"/>
      <c r="M600" s="34"/>
      <c r="N600" s="34"/>
      <c r="O600" s="29"/>
      <c r="P600" s="34"/>
      <c r="Q600" s="34"/>
      <c r="R600" s="34"/>
      <c r="S600" s="34"/>
      <c r="T600" s="34"/>
    </row>
    <row x14ac:dyDescent="0.25" r="601" customHeight="1" ht="18.75">
      <c r="A601" s="1"/>
      <c r="B601" s="150"/>
      <c r="C601" s="34"/>
      <c r="D601" s="34"/>
      <c r="E601" s="34"/>
      <c r="F601" s="34"/>
      <c r="G601" s="34"/>
      <c r="H601" s="34"/>
      <c r="I601" s="29"/>
      <c r="J601" s="29"/>
      <c r="K601" s="29"/>
      <c r="L601" s="29"/>
      <c r="M601" s="34"/>
      <c r="N601" s="34"/>
      <c r="O601" s="29"/>
      <c r="P601" s="34"/>
      <c r="Q601" s="34"/>
      <c r="R601" s="34"/>
      <c r="S601" s="34"/>
      <c r="T601" s="34"/>
    </row>
    <row x14ac:dyDescent="0.25" r="602" customHeight="1" ht="18.75">
      <c r="A602" s="1"/>
      <c r="B602" s="150"/>
      <c r="C602" s="34"/>
      <c r="D602" s="34"/>
      <c r="E602" s="34"/>
      <c r="F602" s="34"/>
      <c r="G602" s="34"/>
      <c r="H602" s="34"/>
      <c r="I602" s="29"/>
      <c r="J602" s="29"/>
      <c r="K602" s="29"/>
      <c r="L602" s="29"/>
      <c r="M602" s="34"/>
      <c r="N602" s="34"/>
      <c r="O602" s="29"/>
      <c r="P602" s="34"/>
      <c r="Q602" s="34"/>
      <c r="R602" s="34"/>
      <c r="S602" s="34"/>
      <c r="T602" s="34"/>
    </row>
    <row x14ac:dyDescent="0.25" r="603" customHeight="1" ht="18.75">
      <c r="A603" s="1"/>
      <c r="B603" s="150"/>
      <c r="C603" s="34"/>
      <c r="D603" s="34"/>
      <c r="E603" s="34"/>
      <c r="F603" s="34"/>
      <c r="G603" s="34"/>
      <c r="H603" s="34"/>
      <c r="I603" s="29"/>
      <c r="J603" s="29"/>
      <c r="K603" s="29"/>
      <c r="L603" s="29"/>
      <c r="M603" s="34"/>
      <c r="N603" s="34"/>
      <c r="O603" s="29"/>
      <c r="P603" s="34"/>
      <c r="Q603" s="34"/>
      <c r="R603" s="34"/>
      <c r="S603" s="34"/>
      <c r="T603" s="34"/>
    </row>
    <row x14ac:dyDescent="0.25" r="604" customHeight="1" ht="18.75">
      <c r="A604" s="1"/>
      <c r="B604" s="150"/>
      <c r="C604" s="34"/>
      <c r="D604" s="34"/>
      <c r="E604" s="34"/>
      <c r="F604" s="34"/>
      <c r="G604" s="34"/>
      <c r="H604" s="34"/>
      <c r="I604" s="29"/>
      <c r="J604" s="29"/>
      <c r="K604" s="29"/>
      <c r="L604" s="29"/>
      <c r="M604" s="34"/>
      <c r="N604" s="34"/>
      <c r="O604" s="29"/>
      <c r="P604" s="34"/>
      <c r="Q604" s="34"/>
      <c r="R604" s="34"/>
      <c r="S604" s="34"/>
      <c r="T604" s="34"/>
    </row>
    <row x14ac:dyDescent="0.25" r="605" customHeight="1" ht="18.75">
      <c r="A605" s="1"/>
      <c r="B605" s="150"/>
      <c r="C605" s="34"/>
      <c r="D605" s="34"/>
      <c r="E605" s="34"/>
      <c r="F605" s="34"/>
      <c r="G605" s="34"/>
      <c r="H605" s="34"/>
      <c r="I605" s="29"/>
      <c r="J605" s="29"/>
      <c r="K605" s="29"/>
      <c r="L605" s="29"/>
      <c r="M605" s="34"/>
      <c r="N605" s="34"/>
      <c r="O605" s="29"/>
      <c r="P605" s="34"/>
      <c r="Q605" s="34"/>
      <c r="R605" s="34"/>
      <c r="S605" s="34"/>
      <c r="T605" s="34"/>
    </row>
    <row x14ac:dyDescent="0.25" r="606" customHeight="1" ht="18.75">
      <c r="A606" s="1"/>
      <c r="B606" s="150"/>
      <c r="C606" s="34"/>
      <c r="D606" s="34"/>
      <c r="E606" s="34"/>
      <c r="F606" s="34"/>
      <c r="G606" s="34"/>
      <c r="H606" s="34"/>
      <c r="I606" s="29"/>
      <c r="J606" s="29"/>
      <c r="K606" s="29"/>
      <c r="L606" s="29"/>
      <c r="M606" s="34"/>
      <c r="N606" s="34"/>
      <c r="O606" s="29"/>
      <c r="P606" s="34"/>
      <c r="Q606" s="34"/>
      <c r="R606" s="34"/>
      <c r="S606" s="34"/>
      <c r="T606" s="34"/>
    </row>
    <row x14ac:dyDescent="0.25" r="607" customHeight="1" ht="18.75">
      <c r="A607" s="1"/>
      <c r="B607" s="150"/>
      <c r="C607" s="34"/>
      <c r="D607" s="34"/>
      <c r="E607" s="34"/>
      <c r="F607" s="34"/>
      <c r="G607" s="34"/>
      <c r="H607" s="34"/>
      <c r="I607" s="29"/>
      <c r="J607" s="29"/>
      <c r="K607" s="29"/>
      <c r="L607" s="29"/>
      <c r="M607" s="34"/>
      <c r="N607" s="34"/>
      <c r="O607" s="29"/>
      <c r="P607" s="34"/>
      <c r="Q607" s="34"/>
      <c r="R607" s="34"/>
      <c r="S607" s="34"/>
      <c r="T607" s="34"/>
    </row>
    <row x14ac:dyDescent="0.25" r="608" customHeight="1" ht="18.75">
      <c r="A608" s="1"/>
      <c r="B608" s="150"/>
      <c r="C608" s="34"/>
      <c r="D608" s="34"/>
      <c r="E608" s="34"/>
      <c r="F608" s="34"/>
      <c r="G608" s="34"/>
      <c r="H608" s="34"/>
      <c r="I608" s="29"/>
      <c r="J608" s="29"/>
      <c r="K608" s="29"/>
      <c r="L608" s="29"/>
      <c r="M608" s="34"/>
      <c r="N608" s="34"/>
      <c r="O608" s="29"/>
      <c r="P608" s="34"/>
      <c r="Q608" s="34"/>
      <c r="R608" s="34"/>
      <c r="S608" s="34"/>
      <c r="T608" s="34"/>
    </row>
    <row x14ac:dyDescent="0.25" r="609" customHeight="1" ht="18.75">
      <c r="A609" s="1"/>
      <c r="B609" s="150"/>
      <c r="C609" s="34"/>
      <c r="D609" s="34"/>
      <c r="E609" s="34"/>
      <c r="F609" s="34"/>
      <c r="G609" s="34"/>
      <c r="H609" s="34"/>
      <c r="I609" s="29"/>
      <c r="J609" s="29"/>
      <c r="K609" s="29"/>
      <c r="L609" s="29"/>
      <c r="M609" s="34"/>
      <c r="N609" s="34"/>
      <c r="O609" s="29"/>
      <c r="P609" s="34"/>
      <c r="Q609" s="34"/>
      <c r="R609" s="34"/>
      <c r="S609" s="34"/>
      <c r="T609" s="34"/>
    </row>
    <row x14ac:dyDescent="0.25" r="610" customHeight="1" ht="18.75">
      <c r="A610" s="1"/>
      <c r="B610" s="150"/>
      <c r="C610" s="34"/>
      <c r="D610" s="34"/>
      <c r="E610" s="34"/>
      <c r="F610" s="34"/>
      <c r="G610" s="34"/>
      <c r="H610" s="34"/>
      <c r="I610" s="29"/>
      <c r="J610" s="29"/>
      <c r="K610" s="29"/>
      <c r="L610" s="29"/>
      <c r="M610" s="34"/>
      <c r="N610" s="34"/>
      <c r="O610" s="29"/>
      <c r="P610" s="34"/>
      <c r="Q610" s="34"/>
      <c r="R610" s="34"/>
      <c r="S610" s="34"/>
      <c r="T610" s="34"/>
    </row>
    <row x14ac:dyDescent="0.25" r="611" customHeight="1" ht="18.75">
      <c r="A611" s="1"/>
      <c r="B611" s="150"/>
      <c r="C611" s="34"/>
      <c r="D611" s="34"/>
      <c r="E611" s="34"/>
      <c r="F611" s="34"/>
      <c r="G611" s="34"/>
      <c r="H611" s="34"/>
      <c r="I611" s="29"/>
      <c r="J611" s="29"/>
      <c r="K611" s="29"/>
      <c r="L611" s="29"/>
      <c r="M611" s="34"/>
      <c r="N611" s="34"/>
      <c r="O611" s="29"/>
      <c r="P611" s="34"/>
      <c r="Q611" s="34"/>
      <c r="R611" s="34"/>
      <c r="S611" s="34"/>
      <c r="T611" s="34"/>
    </row>
    <row x14ac:dyDescent="0.25" r="612" customHeight="1" ht="18.75">
      <c r="A612" s="1"/>
      <c r="B612" s="150"/>
      <c r="C612" s="34"/>
      <c r="D612" s="34"/>
      <c r="E612" s="34"/>
      <c r="F612" s="34"/>
      <c r="G612" s="34"/>
      <c r="H612" s="34"/>
      <c r="I612" s="29"/>
      <c r="J612" s="29"/>
      <c r="K612" s="29"/>
      <c r="L612" s="29"/>
      <c r="M612" s="34"/>
      <c r="N612" s="34"/>
      <c r="O612" s="29"/>
      <c r="P612" s="34"/>
      <c r="Q612" s="34"/>
      <c r="R612" s="34"/>
      <c r="S612" s="34"/>
      <c r="T612" s="34"/>
    </row>
    <row x14ac:dyDescent="0.25" r="613" customHeight="1" ht="18.75">
      <c r="A613" s="1"/>
      <c r="B613" s="150"/>
      <c r="C613" s="34"/>
      <c r="D613" s="34"/>
      <c r="E613" s="34"/>
      <c r="F613" s="34"/>
      <c r="G613" s="34"/>
      <c r="H613" s="34"/>
      <c r="I613" s="29"/>
      <c r="J613" s="29"/>
      <c r="K613" s="29"/>
      <c r="L613" s="29"/>
      <c r="M613" s="34"/>
      <c r="N613" s="34"/>
      <c r="O613" s="29"/>
      <c r="P613" s="34"/>
      <c r="Q613" s="34"/>
      <c r="R613" s="34"/>
      <c r="S613" s="34"/>
      <c r="T613" s="34"/>
    </row>
    <row x14ac:dyDescent="0.25" r="614" customHeight="1" ht="18.75">
      <c r="A614" s="1"/>
      <c r="B614" s="150"/>
      <c r="C614" s="34"/>
      <c r="D614" s="34"/>
      <c r="E614" s="34"/>
      <c r="F614" s="34"/>
      <c r="G614" s="34"/>
      <c r="H614" s="34"/>
      <c r="I614" s="29"/>
      <c r="J614" s="29"/>
      <c r="K614" s="29"/>
      <c r="L614" s="29"/>
      <c r="M614" s="34"/>
      <c r="N614" s="34"/>
      <c r="O614" s="29"/>
      <c r="P614" s="34"/>
      <c r="Q614" s="34"/>
      <c r="R614" s="34"/>
      <c r="S614" s="34"/>
      <c r="T614" s="34"/>
    </row>
    <row x14ac:dyDescent="0.25" r="615" customHeight="1" ht="18.75">
      <c r="A615" s="1"/>
      <c r="B615" s="150"/>
      <c r="C615" s="34"/>
      <c r="D615" s="34"/>
      <c r="E615" s="34"/>
      <c r="F615" s="34"/>
      <c r="G615" s="34"/>
      <c r="H615" s="34"/>
      <c r="I615" s="29"/>
      <c r="J615" s="29"/>
      <c r="K615" s="29"/>
      <c r="L615" s="29"/>
      <c r="M615" s="34"/>
      <c r="N615" s="34"/>
      <c r="O615" s="29"/>
      <c r="P615" s="34"/>
      <c r="Q615" s="34"/>
      <c r="R615" s="34"/>
      <c r="S615" s="34"/>
      <c r="T615" s="34"/>
    </row>
    <row x14ac:dyDescent="0.25" r="616" customHeight="1" ht="18.75">
      <c r="A616" s="1"/>
      <c r="B616" s="150"/>
      <c r="C616" s="34"/>
      <c r="D616" s="34"/>
      <c r="E616" s="34"/>
      <c r="F616" s="34"/>
      <c r="G616" s="34"/>
      <c r="H616" s="34"/>
      <c r="I616" s="29"/>
      <c r="J616" s="29"/>
      <c r="K616" s="29"/>
      <c r="L616" s="29"/>
      <c r="M616" s="34"/>
      <c r="N616" s="34"/>
      <c r="O616" s="29"/>
      <c r="P616" s="34"/>
      <c r="Q616" s="34"/>
      <c r="R616" s="34"/>
      <c r="S616" s="34"/>
      <c r="T616" s="34"/>
    </row>
    <row x14ac:dyDescent="0.25" r="617" customHeight="1" ht="18.75">
      <c r="A617" s="1"/>
      <c r="B617" s="150"/>
      <c r="C617" s="34"/>
      <c r="D617" s="34"/>
      <c r="E617" s="34"/>
      <c r="F617" s="34"/>
      <c r="G617" s="34"/>
      <c r="H617" s="34"/>
      <c r="I617" s="29"/>
      <c r="J617" s="29"/>
      <c r="K617" s="29"/>
      <c r="L617" s="29"/>
      <c r="M617" s="34"/>
      <c r="N617" s="34"/>
      <c r="O617" s="29"/>
      <c r="P617" s="34"/>
      <c r="Q617" s="34"/>
      <c r="R617" s="34"/>
      <c r="S617" s="34"/>
      <c r="T617" s="34"/>
    </row>
    <row x14ac:dyDescent="0.25" r="618" customHeight="1" ht="18.75">
      <c r="A618" s="1"/>
      <c r="B618" s="150"/>
      <c r="C618" s="34"/>
      <c r="D618" s="34"/>
      <c r="E618" s="34"/>
      <c r="F618" s="34"/>
      <c r="G618" s="34"/>
      <c r="H618" s="34"/>
      <c r="I618" s="29"/>
      <c r="J618" s="29"/>
      <c r="K618" s="29"/>
      <c r="L618" s="29"/>
      <c r="M618" s="34"/>
      <c r="N618" s="34"/>
      <c r="O618" s="29"/>
      <c r="P618" s="34"/>
      <c r="Q618" s="34"/>
      <c r="R618" s="34"/>
      <c r="S618" s="34"/>
      <c r="T618" s="34"/>
    </row>
    <row x14ac:dyDescent="0.25" r="619" customHeight="1" ht="18.75">
      <c r="A619" s="1"/>
      <c r="B619" s="150"/>
      <c r="C619" s="34"/>
      <c r="D619" s="34"/>
      <c r="E619" s="34"/>
      <c r="F619" s="34"/>
      <c r="G619" s="34"/>
      <c r="H619" s="34"/>
      <c r="I619" s="29"/>
      <c r="J619" s="29"/>
      <c r="K619" s="29"/>
      <c r="L619" s="29"/>
      <c r="M619" s="34"/>
      <c r="N619" s="34"/>
      <c r="O619" s="29"/>
      <c r="P619" s="34"/>
      <c r="Q619" s="34"/>
      <c r="R619" s="34"/>
      <c r="S619" s="34"/>
      <c r="T619" s="34"/>
    </row>
    <row x14ac:dyDescent="0.25" r="620" customHeight="1" ht="18.75">
      <c r="A620" s="1"/>
      <c r="B620" s="150"/>
      <c r="C620" s="34"/>
      <c r="D620" s="34"/>
      <c r="E620" s="34"/>
      <c r="F620" s="34"/>
      <c r="G620" s="34"/>
      <c r="H620" s="34"/>
      <c r="I620" s="29"/>
      <c r="J620" s="29"/>
      <c r="K620" s="29"/>
      <c r="L620" s="29"/>
      <c r="M620" s="34"/>
      <c r="N620" s="34"/>
      <c r="O620" s="29"/>
      <c r="P620" s="34"/>
      <c r="Q620" s="34"/>
      <c r="R620" s="34"/>
      <c r="S620" s="34"/>
      <c r="T620" s="34"/>
    </row>
    <row x14ac:dyDescent="0.25" r="621" customHeight="1" ht="18.75">
      <c r="A621" s="1"/>
      <c r="B621" s="150"/>
      <c r="C621" s="34"/>
      <c r="D621" s="34"/>
      <c r="E621" s="34"/>
      <c r="F621" s="34"/>
      <c r="G621" s="34"/>
      <c r="H621" s="34"/>
      <c r="I621" s="29"/>
      <c r="J621" s="29"/>
      <c r="K621" s="29"/>
      <c r="L621" s="29"/>
      <c r="M621" s="34"/>
      <c r="N621" s="34"/>
      <c r="O621" s="29"/>
      <c r="P621" s="34"/>
      <c r="Q621" s="34"/>
      <c r="R621" s="34"/>
      <c r="S621" s="34"/>
      <c r="T621" s="34"/>
    </row>
    <row x14ac:dyDescent="0.25" r="622" customHeight="1" ht="18.75">
      <c r="A622" s="1"/>
      <c r="B622" s="150"/>
      <c r="C622" s="34"/>
      <c r="D622" s="34"/>
      <c r="E622" s="34"/>
      <c r="F622" s="34"/>
      <c r="G622" s="34"/>
      <c r="H622" s="34"/>
      <c r="I622" s="29"/>
      <c r="J622" s="29"/>
      <c r="K622" s="29"/>
      <c r="L622" s="29"/>
      <c r="M622" s="34"/>
      <c r="N622" s="34"/>
      <c r="O622" s="29"/>
      <c r="P622" s="34"/>
      <c r="Q622" s="34"/>
      <c r="R622" s="34"/>
      <c r="S622" s="34"/>
      <c r="T622" s="34"/>
    </row>
    <row x14ac:dyDescent="0.25" r="623" customHeight="1" ht="18.75">
      <c r="A623" s="1"/>
      <c r="B623" s="150"/>
      <c r="C623" s="34"/>
      <c r="D623" s="34"/>
      <c r="E623" s="34"/>
      <c r="F623" s="34"/>
      <c r="G623" s="34"/>
      <c r="H623" s="34"/>
      <c r="I623" s="29"/>
      <c r="J623" s="29"/>
      <c r="K623" s="29"/>
      <c r="L623" s="29"/>
      <c r="M623" s="34"/>
      <c r="N623" s="34"/>
      <c r="O623" s="29"/>
      <c r="P623" s="34"/>
      <c r="Q623" s="34"/>
      <c r="R623" s="34"/>
      <c r="S623" s="34"/>
      <c r="T623" s="34"/>
    </row>
    <row x14ac:dyDescent="0.25" r="624" customHeight="1" ht="18.75">
      <c r="A624" s="1"/>
      <c r="B624" s="150"/>
      <c r="C624" s="34"/>
      <c r="D624" s="34"/>
      <c r="E624" s="34"/>
      <c r="F624" s="34"/>
      <c r="G624" s="34"/>
      <c r="H624" s="34"/>
      <c r="I624" s="29"/>
      <c r="J624" s="29"/>
      <c r="K624" s="29"/>
      <c r="L624" s="29"/>
      <c r="M624" s="34"/>
      <c r="N624" s="34"/>
      <c r="O624" s="29"/>
      <c r="P624" s="34"/>
      <c r="Q624" s="34"/>
      <c r="R624" s="34"/>
      <c r="S624" s="34"/>
      <c r="T624" s="34"/>
    </row>
    <row x14ac:dyDescent="0.25" r="625" customHeight="1" ht="18.75">
      <c r="A625" s="1"/>
      <c r="B625" s="150"/>
      <c r="C625" s="34"/>
      <c r="D625" s="34"/>
      <c r="E625" s="34"/>
      <c r="F625" s="34"/>
      <c r="G625" s="34"/>
      <c r="H625" s="34"/>
      <c r="I625" s="29"/>
      <c r="J625" s="29"/>
      <c r="K625" s="29"/>
      <c r="L625" s="29"/>
      <c r="M625" s="34"/>
      <c r="N625" s="34"/>
      <c r="O625" s="29"/>
      <c r="P625" s="34"/>
      <c r="Q625" s="34"/>
      <c r="R625" s="34"/>
      <c r="S625" s="34"/>
      <c r="T625" s="34"/>
    </row>
    <row x14ac:dyDescent="0.25" r="626" customHeight="1" ht="18.75">
      <c r="A626" s="1"/>
      <c r="B626" s="150"/>
      <c r="C626" s="34"/>
      <c r="D626" s="34"/>
      <c r="E626" s="34"/>
      <c r="F626" s="34"/>
      <c r="G626" s="34"/>
      <c r="H626" s="34"/>
      <c r="I626" s="29"/>
      <c r="J626" s="29"/>
      <c r="K626" s="29"/>
      <c r="L626" s="29"/>
      <c r="M626" s="34"/>
      <c r="N626" s="34"/>
      <c r="O626" s="29"/>
      <c r="P626" s="34"/>
      <c r="Q626" s="34"/>
      <c r="R626" s="34"/>
      <c r="S626" s="34"/>
      <c r="T626" s="34"/>
    </row>
    <row x14ac:dyDescent="0.25" r="627" customHeight="1" ht="18.75">
      <c r="A627" s="1"/>
      <c r="B627" s="150"/>
      <c r="C627" s="34"/>
      <c r="D627" s="34"/>
      <c r="E627" s="34"/>
      <c r="F627" s="34"/>
      <c r="G627" s="34"/>
      <c r="H627" s="34"/>
      <c r="I627" s="29"/>
      <c r="J627" s="29"/>
      <c r="K627" s="29"/>
      <c r="L627" s="29"/>
      <c r="M627" s="34"/>
      <c r="N627" s="34"/>
      <c r="O627" s="29"/>
      <c r="P627" s="34"/>
      <c r="Q627" s="34"/>
      <c r="R627" s="34"/>
      <c r="S627" s="34"/>
      <c r="T627" s="34"/>
    </row>
    <row x14ac:dyDescent="0.25" r="628" customHeight="1" ht="18.75">
      <c r="A628" s="1"/>
      <c r="B628" s="150"/>
      <c r="C628" s="34"/>
      <c r="D628" s="34"/>
      <c r="E628" s="34"/>
      <c r="F628" s="34"/>
      <c r="G628" s="34"/>
      <c r="H628" s="34"/>
      <c r="I628" s="29"/>
      <c r="J628" s="29"/>
      <c r="K628" s="29"/>
      <c r="L628" s="29"/>
      <c r="M628" s="34"/>
      <c r="N628" s="34"/>
      <c r="O628" s="29"/>
      <c r="P628" s="34"/>
      <c r="Q628" s="34"/>
      <c r="R628" s="34"/>
      <c r="S628" s="34"/>
      <c r="T628" s="34"/>
    </row>
    <row x14ac:dyDescent="0.25" r="629" customHeight="1" ht="18.75">
      <c r="A629" s="1"/>
      <c r="B629" s="150"/>
      <c r="C629" s="34"/>
      <c r="D629" s="34"/>
      <c r="E629" s="34"/>
      <c r="F629" s="34"/>
      <c r="G629" s="34"/>
      <c r="H629" s="34"/>
      <c r="I629" s="29"/>
      <c r="J629" s="29"/>
      <c r="K629" s="29"/>
      <c r="L629" s="29"/>
      <c r="M629" s="34"/>
      <c r="N629" s="34"/>
      <c r="O629" s="29"/>
      <c r="P629" s="34"/>
      <c r="Q629" s="34"/>
      <c r="R629" s="34"/>
      <c r="S629" s="34"/>
      <c r="T629" s="34"/>
    </row>
    <row x14ac:dyDescent="0.25" r="630" customHeight="1" ht="18.75">
      <c r="A630" s="1"/>
      <c r="B630" s="150"/>
      <c r="C630" s="34"/>
      <c r="D630" s="34"/>
      <c r="E630" s="34"/>
      <c r="F630" s="34"/>
      <c r="G630" s="34"/>
      <c r="H630" s="34"/>
      <c r="I630" s="29"/>
      <c r="J630" s="29"/>
      <c r="K630" s="29"/>
      <c r="L630" s="29"/>
      <c r="M630" s="34"/>
      <c r="N630" s="34"/>
      <c r="O630" s="29"/>
      <c r="P630" s="34"/>
      <c r="Q630" s="34"/>
      <c r="R630" s="34"/>
      <c r="S630" s="34"/>
      <c r="T630" s="34"/>
    </row>
    <row x14ac:dyDescent="0.25" r="631" customHeight="1" ht="18.75">
      <c r="A631" s="1"/>
      <c r="B631" s="150"/>
      <c r="C631" s="34"/>
      <c r="D631" s="34"/>
      <c r="E631" s="34"/>
      <c r="F631" s="34"/>
      <c r="G631" s="34"/>
      <c r="H631" s="34"/>
      <c r="I631" s="29"/>
      <c r="J631" s="29"/>
      <c r="K631" s="29"/>
      <c r="L631" s="29"/>
      <c r="M631" s="34"/>
      <c r="N631" s="34"/>
      <c r="O631" s="29"/>
      <c r="P631" s="34"/>
      <c r="Q631" s="34"/>
      <c r="R631" s="34"/>
      <c r="S631" s="34"/>
      <c r="T631" s="34"/>
    </row>
    <row x14ac:dyDescent="0.25" r="632" customHeight="1" ht="18.75">
      <c r="A632" s="1"/>
      <c r="B632" s="150"/>
      <c r="C632" s="34"/>
      <c r="D632" s="34"/>
      <c r="E632" s="34"/>
      <c r="F632" s="34"/>
      <c r="G632" s="34"/>
      <c r="H632" s="34"/>
      <c r="I632" s="29"/>
      <c r="J632" s="29"/>
      <c r="K632" s="29"/>
      <c r="L632" s="29"/>
      <c r="M632" s="34"/>
      <c r="N632" s="34"/>
      <c r="O632" s="29"/>
      <c r="P632" s="34"/>
      <c r="Q632" s="34"/>
      <c r="R632" s="34"/>
      <c r="S632" s="34"/>
      <c r="T632" s="34"/>
    </row>
    <row x14ac:dyDescent="0.25" r="633" customHeight="1" ht="18.75">
      <c r="A633" s="1"/>
      <c r="B633" s="150"/>
      <c r="C633" s="34"/>
      <c r="D633" s="34"/>
      <c r="E633" s="34"/>
      <c r="F633" s="34"/>
      <c r="G633" s="34"/>
      <c r="H633" s="34"/>
      <c r="I633" s="29"/>
      <c r="J633" s="29"/>
      <c r="K633" s="29"/>
      <c r="L633" s="29"/>
      <c r="M633" s="34"/>
      <c r="N633" s="34"/>
      <c r="O633" s="29"/>
      <c r="P633" s="34"/>
      <c r="Q633" s="34"/>
      <c r="R633" s="34"/>
      <c r="S633" s="34"/>
      <c r="T633" s="34"/>
    </row>
    <row x14ac:dyDescent="0.25" r="634" customHeight="1" ht="18.75">
      <c r="A634" s="1"/>
      <c r="B634" s="150"/>
      <c r="C634" s="34"/>
      <c r="D634" s="34"/>
      <c r="E634" s="34"/>
      <c r="F634" s="34"/>
      <c r="G634" s="34"/>
      <c r="H634" s="34"/>
      <c r="I634" s="29"/>
      <c r="J634" s="29"/>
      <c r="K634" s="29"/>
      <c r="L634" s="29"/>
      <c r="M634" s="34"/>
      <c r="N634" s="34"/>
      <c r="O634" s="29"/>
      <c r="P634" s="34"/>
      <c r="Q634" s="34"/>
      <c r="R634" s="34"/>
      <c r="S634" s="34"/>
      <c r="T634" s="34"/>
    </row>
    <row x14ac:dyDescent="0.25" r="635" customHeight="1" ht="18.75">
      <c r="A635" s="1"/>
      <c r="B635" s="150"/>
      <c r="C635" s="34"/>
      <c r="D635" s="34"/>
      <c r="E635" s="34"/>
      <c r="F635" s="34"/>
      <c r="G635" s="34"/>
      <c r="H635" s="34"/>
      <c r="I635" s="29"/>
      <c r="J635" s="29"/>
      <c r="K635" s="29"/>
      <c r="L635" s="29"/>
      <c r="M635" s="34"/>
      <c r="N635" s="34"/>
      <c r="O635" s="29"/>
      <c r="P635" s="34"/>
      <c r="Q635" s="34"/>
      <c r="R635" s="34"/>
      <c r="S635" s="34"/>
      <c r="T635" s="34"/>
    </row>
    <row x14ac:dyDescent="0.25" r="636" customHeight="1" ht="18.75">
      <c r="A636" s="1"/>
      <c r="B636" s="150"/>
      <c r="C636" s="34"/>
      <c r="D636" s="34"/>
      <c r="E636" s="34"/>
      <c r="F636" s="34"/>
      <c r="G636" s="34"/>
      <c r="H636" s="34"/>
      <c r="I636" s="29"/>
      <c r="J636" s="29"/>
      <c r="K636" s="29"/>
      <c r="L636" s="29"/>
      <c r="M636" s="34"/>
      <c r="N636" s="34"/>
      <c r="O636" s="29"/>
      <c r="P636" s="34"/>
      <c r="Q636" s="34"/>
      <c r="R636" s="34"/>
      <c r="S636" s="34"/>
      <c r="T636" s="34"/>
    </row>
    <row x14ac:dyDescent="0.25" r="637" customHeight="1" ht="18.75">
      <c r="A637" s="1"/>
      <c r="B637" s="150"/>
      <c r="C637" s="34"/>
      <c r="D637" s="34"/>
      <c r="E637" s="34"/>
      <c r="F637" s="34"/>
      <c r="G637" s="34"/>
      <c r="H637" s="34"/>
      <c r="I637" s="29"/>
      <c r="J637" s="29"/>
      <c r="K637" s="29"/>
      <c r="L637" s="29"/>
      <c r="M637" s="34"/>
      <c r="N637" s="34"/>
      <c r="O637" s="29"/>
      <c r="P637" s="34"/>
      <c r="Q637" s="34"/>
      <c r="R637" s="34"/>
      <c r="S637" s="34"/>
      <c r="T637" s="34"/>
    </row>
    <row x14ac:dyDescent="0.25" r="638" customHeight="1" ht="18.75">
      <c r="A638" s="1"/>
      <c r="B638" s="150"/>
      <c r="C638" s="34"/>
      <c r="D638" s="34"/>
      <c r="E638" s="34"/>
      <c r="F638" s="34"/>
      <c r="G638" s="34"/>
      <c r="H638" s="34"/>
      <c r="I638" s="29"/>
      <c r="J638" s="29"/>
      <c r="K638" s="29"/>
      <c r="L638" s="29"/>
      <c r="M638" s="34"/>
      <c r="N638" s="34"/>
      <c r="O638" s="29"/>
      <c r="P638" s="34"/>
      <c r="Q638" s="34"/>
      <c r="R638" s="34"/>
      <c r="S638" s="34"/>
      <c r="T638" s="34"/>
    </row>
    <row x14ac:dyDescent="0.25" r="639" customHeight="1" ht="18.75">
      <c r="A639" s="1"/>
      <c r="B639" s="150"/>
      <c r="C639" s="34"/>
      <c r="D639" s="34"/>
      <c r="E639" s="34"/>
      <c r="F639" s="34"/>
      <c r="G639" s="34"/>
      <c r="H639" s="34"/>
      <c r="I639" s="29"/>
      <c r="J639" s="29"/>
      <c r="K639" s="29"/>
      <c r="L639" s="29"/>
      <c r="M639" s="34"/>
      <c r="N639" s="34"/>
      <c r="O639" s="29"/>
      <c r="P639" s="34"/>
      <c r="Q639" s="34"/>
      <c r="R639" s="34"/>
      <c r="S639" s="34"/>
      <c r="T639" s="34"/>
    </row>
    <row x14ac:dyDescent="0.25" r="640" customHeight="1" ht="18.75">
      <c r="A640" s="1"/>
      <c r="B640" s="150"/>
      <c r="C640" s="34"/>
      <c r="D640" s="34"/>
      <c r="E640" s="34"/>
      <c r="F640" s="34"/>
      <c r="G640" s="34"/>
      <c r="H640" s="34"/>
      <c r="I640" s="29"/>
      <c r="J640" s="29"/>
      <c r="K640" s="29"/>
      <c r="L640" s="29"/>
      <c r="M640" s="34"/>
      <c r="N640" s="34"/>
      <c r="O640" s="29"/>
      <c r="P640" s="34"/>
      <c r="Q640" s="34"/>
      <c r="R640" s="34"/>
      <c r="S640" s="34"/>
      <c r="T640" s="34"/>
    </row>
    <row x14ac:dyDescent="0.25" r="641" customHeight="1" ht="18.75">
      <c r="A641" s="1"/>
      <c r="B641" s="150"/>
      <c r="C641" s="34"/>
      <c r="D641" s="34"/>
      <c r="E641" s="34"/>
      <c r="F641" s="34"/>
      <c r="G641" s="34"/>
      <c r="H641" s="34"/>
      <c r="I641" s="29"/>
      <c r="J641" s="29"/>
      <c r="K641" s="29"/>
      <c r="L641" s="29"/>
      <c r="M641" s="34"/>
      <c r="N641" s="34"/>
      <c r="O641" s="29"/>
      <c r="P641" s="34"/>
      <c r="Q641" s="34"/>
      <c r="R641" s="34"/>
      <c r="S641" s="34"/>
      <c r="T641" s="34"/>
    </row>
    <row x14ac:dyDescent="0.25" r="642" customHeight="1" ht="18.75">
      <c r="A642" s="1"/>
      <c r="B642" s="150"/>
      <c r="C642" s="34"/>
      <c r="D642" s="34"/>
      <c r="E642" s="34"/>
      <c r="F642" s="34"/>
      <c r="G642" s="34"/>
      <c r="H642" s="34"/>
      <c r="I642" s="29"/>
      <c r="J642" s="29"/>
      <c r="K642" s="29"/>
      <c r="L642" s="29"/>
      <c r="M642" s="34"/>
      <c r="N642" s="34"/>
      <c r="O642" s="29"/>
      <c r="P642" s="34"/>
      <c r="Q642" s="34"/>
      <c r="R642" s="34"/>
      <c r="S642" s="34"/>
      <c r="T642" s="34"/>
    </row>
    <row x14ac:dyDescent="0.25" r="643" customHeight="1" ht="18.75">
      <c r="A643" s="1"/>
      <c r="B643" s="150"/>
      <c r="C643" s="34"/>
      <c r="D643" s="34"/>
      <c r="E643" s="34"/>
      <c r="F643" s="34"/>
      <c r="G643" s="34"/>
      <c r="H643" s="34"/>
      <c r="I643" s="29"/>
      <c r="J643" s="29"/>
      <c r="K643" s="29"/>
      <c r="L643" s="29"/>
      <c r="M643" s="34"/>
      <c r="N643" s="34"/>
      <c r="O643" s="29"/>
      <c r="P643" s="34"/>
      <c r="Q643" s="34"/>
      <c r="R643" s="34"/>
      <c r="S643" s="34"/>
      <c r="T643" s="34"/>
    </row>
    <row x14ac:dyDescent="0.25" r="644" customHeight="1" ht="18.75">
      <c r="A644" s="1"/>
      <c r="B644" s="150"/>
      <c r="C644" s="34"/>
      <c r="D644" s="34"/>
      <c r="E644" s="34"/>
      <c r="F644" s="34"/>
      <c r="G644" s="34"/>
      <c r="H644" s="34"/>
      <c r="I644" s="29"/>
      <c r="J644" s="29"/>
      <c r="K644" s="29"/>
      <c r="L644" s="29"/>
      <c r="M644" s="34"/>
      <c r="N644" s="34"/>
      <c r="O644" s="29"/>
      <c r="P644" s="34"/>
      <c r="Q644" s="34"/>
      <c r="R644" s="34"/>
      <c r="S644" s="34"/>
      <c r="T644" s="34"/>
    </row>
    <row x14ac:dyDescent="0.25" r="645" customHeight="1" ht="18.75">
      <c r="A645" s="1"/>
      <c r="B645" s="150"/>
      <c r="C645" s="34"/>
      <c r="D645" s="34"/>
      <c r="E645" s="34"/>
      <c r="F645" s="34"/>
      <c r="G645" s="34"/>
      <c r="H645" s="34"/>
      <c r="I645" s="29"/>
      <c r="J645" s="29"/>
      <c r="K645" s="29"/>
      <c r="L645" s="29"/>
      <c r="M645" s="34"/>
      <c r="N645" s="34"/>
      <c r="O645" s="29"/>
      <c r="P645" s="34"/>
      <c r="Q645" s="34"/>
      <c r="R645" s="34"/>
      <c r="S645" s="34"/>
      <c r="T645" s="34"/>
    </row>
    <row x14ac:dyDescent="0.25" r="646" customHeight="1" ht="18.75">
      <c r="A646" s="1"/>
      <c r="B646" s="150"/>
      <c r="C646" s="34"/>
      <c r="D646" s="34"/>
      <c r="E646" s="34"/>
      <c r="F646" s="34"/>
      <c r="G646" s="34"/>
      <c r="H646" s="34"/>
      <c r="I646" s="29"/>
      <c r="J646" s="29"/>
      <c r="K646" s="29"/>
      <c r="L646" s="29"/>
      <c r="M646" s="34"/>
      <c r="N646" s="34"/>
      <c r="O646" s="29"/>
      <c r="P646" s="34"/>
      <c r="Q646" s="34"/>
      <c r="R646" s="34"/>
      <c r="S646" s="34"/>
      <c r="T646" s="34"/>
    </row>
    <row x14ac:dyDescent="0.25" r="647" customHeight="1" ht="18.75">
      <c r="A647" s="1"/>
      <c r="B647" s="150"/>
      <c r="C647" s="34"/>
      <c r="D647" s="34"/>
      <c r="E647" s="34"/>
      <c r="F647" s="34"/>
      <c r="G647" s="34"/>
      <c r="H647" s="34"/>
      <c r="I647" s="29"/>
      <c r="J647" s="29"/>
      <c r="K647" s="29"/>
      <c r="L647" s="29"/>
      <c r="M647" s="34"/>
      <c r="N647" s="34"/>
      <c r="O647" s="29"/>
      <c r="P647" s="34"/>
      <c r="Q647" s="34"/>
      <c r="R647" s="34"/>
      <c r="S647" s="34"/>
      <c r="T647" s="34"/>
    </row>
    <row x14ac:dyDescent="0.25" r="648" customHeight="1" ht="18.75">
      <c r="A648" s="1"/>
      <c r="B648" s="150"/>
      <c r="C648" s="34"/>
      <c r="D648" s="34"/>
      <c r="E648" s="34"/>
      <c r="F648" s="34"/>
      <c r="G648" s="34"/>
      <c r="H648" s="34"/>
      <c r="I648" s="29"/>
      <c r="J648" s="29"/>
      <c r="K648" s="29"/>
      <c r="L648" s="29"/>
      <c r="M648" s="34"/>
      <c r="N648" s="34"/>
      <c r="O648" s="29"/>
      <c r="P648" s="34"/>
      <c r="Q648" s="34"/>
      <c r="R648" s="34"/>
      <c r="S648" s="34"/>
      <c r="T648" s="34"/>
    </row>
    <row x14ac:dyDescent="0.25" r="649" customHeight="1" ht="18.75">
      <c r="A649" s="1"/>
      <c r="B649" s="150"/>
      <c r="C649" s="34"/>
      <c r="D649" s="34"/>
      <c r="E649" s="34"/>
      <c r="F649" s="34"/>
      <c r="G649" s="34"/>
      <c r="H649" s="34"/>
      <c r="I649" s="29"/>
      <c r="J649" s="29"/>
      <c r="K649" s="29"/>
      <c r="L649" s="29"/>
      <c r="M649" s="34"/>
      <c r="N649" s="34"/>
      <c r="O649" s="29"/>
      <c r="P649" s="34"/>
      <c r="Q649" s="34"/>
      <c r="R649" s="34"/>
      <c r="S649" s="34"/>
      <c r="T649" s="34"/>
    </row>
    <row x14ac:dyDescent="0.25" r="650" customHeight="1" ht="18.75">
      <c r="A650" s="1"/>
      <c r="B650" s="150"/>
      <c r="C650" s="34"/>
      <c r="D650" s="34"/>
      <c r="E650" s="34"/>
      <c r="F650" s="34"/>
      <c r="G650" s="34"/>
      <c r="H650" s="34"/>
      <c r="I650" s="29"/>
      <c r="J650" s="29"/>
      <c r="K650" s="29"/>
      <c r="L650" s="29"/>
      <c r="M650" s="34"/>
      <c r="N650" s="34"/>
      <c r="O650" s="29"/>
      <c r="P650" s="34"/>
      <c r="Q650" s="34"/>
      <c r="R650" s="34"/>
      <c r="S650" s="34"/>
      <c r="T650" s="34"/>
    </row>
    <row x14ac:dyDescent="0.25" r="651" customHeight="1" ht="18.75">
      <c r="A651" s="1"/>
      <c r="B651" s="150"/>
      <c r="C651" s="34"/>
      <c r="D651" s="34"/>
      <c r="E651" s="34"/>
      <c r="F651" s="34"/>
      <c r="G651" s="34"/>
      <c r="H651" s="34"/>
      <c r="I651" s="29"/>
      <c r="J651" s="29"/>
      <c r="K651" s="29"/>
      <c r="L651" s="29"/>
      <c r="M651" s="34"/>
      <c r="N651" s="34"/>
      <c r="O651" s="29"/>
      <c r="P651" s="34"/>
      <c r="Q651" s="34"/>
      <c r="R651" s="34"/>
      <c r="S651" s="34"/>
      <c r="T651" s="34"/>
    </row>
    <row x14ac:dyDescent="0.25" r="652" customHeight="1" ht="18.75">
      <c r="A652" s="1"/>
      <c r="B652" s="150"/>
      <c r="C652" s="34"/>
      <c r="D652" s="34"/>
      <c r="E652" s="34"/>
      <c r="F652" s="34"/>
      <c r="G652" s="34"/>
      <c r="H652" s="34"/>
      <c r="I652" s="29"/>
      <c r="J652" s="29"/>
      <c r="K652" s="29"/>
      <c r="L652" s="29"/>
      <c r="M652" s="34"/>
      <c r="N652" s="34"/>
      <c r="O652" s="29"/>
      <c r="P652" s="34"/>
      <c r="Q652" s="34"/>
      <c r="R652" s="34"/>
      <c r="S652" s="34"/>
      <c r="T652" s="34"/>
    </row>
    <row x14ac:dyDescent="0.25" r="653" customHeight="1" ht="18.75">
      <c r="A653" s="1"/>
      <c r="B653" s="150"/>
      <c r="C653" s="34"/>
      <c r="D653" s="34"/>
      <c r="E653" s="34"/>
      <c r="F653" s="34"/>
      <c r="G653" s="34"/>
      <c r="H653" s="34"/>
      <c r="I653" s="29"/>
      <c r="J653" s="29"/>
      <c r="K653" s="29"/>
      <c r="L653" s="29"/>
      <c r="M653" s="34"/>
      <c r="N653" s="34"/>
      <c r="O653" s="29"/>
      <c r="P653" s="34"/>
      <c r="Q653" s="34"/>
      <c r="R653" s="34"/>
      <c r="S653" s="34"/>
      <c r="T653" s="34"/>
    </row>
    <row x14ac:dyDescent="0.25" r="654" customHeight="1" ht="18.75">
      <c r="A654" s="1"/>
      <c r="B654" s="150"/>
      <c r="C654" s="34"/>
      <c r="D654" s="34"/>
      <c r="E654" s="34"/>
      <c r="F654" s="34"/>
      <c r="G654" s="34"/>
      <c r="H654" s="34"/>
      <c r="I654" s="29"/>
      <c r="J654" s="29"/>
      <c r="K654" s="29"/>
      <c r="L654" s="29"/>
      <c r="M654" s="34"/>
      <c r="N654" s="34"/>
      <c r="O654" s="29"/>
      <c r="P654" s="34"/>
      <c r="Q654" s="34"/>
      <c r="R654" s="34"/>
      <c r="S654" s="34"/>
      <c r="T654" s="34"/>
    </row>
    <row x14ac:dyDescent="0.25" r="655" customHeight="1" ht="18.75">
      <c r="A655" s="1"/>
      <c r="B655" s="150"/>
      <c r="C655" s="34"/>
      <c r="D655" s="34"/>
      <c r="E655" s="34"/>
      <c r="F655" s="34"/>
      <c r="G655" s="34"/>
      <c r="H655" s="34"/>
      <c r="I655" s="29"/>
      <c r="J655" s="29"/>
      <c r="K655" s="29"/>
      <c r="L655" s="29"/>
      <c r="M655" s="34"/>
      <c r="N655" s="34"/>
      <c r="O655" s="29"/>
      <c r="P655" s="34"/>
      <c r="Q655" s="34"/>
      <c r="R655" s="34"/>
      <c r="S655" s="34"/>
      <c r="T655" s="34"/>
    </row>
    <row x14ac:dyDescent="0.25" r="656" customHeight="1" ht="18.75">
      <c r="A656" s="1"/>
      <c r="B656" s="150"/>
      <c r="C656" s="34"/>
      <c r="D656" s="34"/>
      <c r="E656" s="34"/>
      <c r="F656" s="34"/>
      <c r="G656" s="34"/>
      <c r="H656" s="34"/>
      <c r="I656" s="29"/>
      <c r="J656" s="29"/>
      <c r="K656" s="29"/>
      <c r="L656" s="29"/>
      <c r="M656" s="34"/>
      <c r="N656" s="34"/>
      <c r="O656" s="29"/>
      <c r="P656" s="34"/>
      <c r="Q656" s="34"/>
      <c r="R656" s="34"/>
      <c r="S656" s="34"/>
      <c r="T656" s="34"/>
    </row>
    <row x14ac:dyDescent="0.25" r="657" customHeight="1" ht="18.75">
      <c r="A657" s="1"/>
      <c r="B657" s="150"/>
      <c r="C657" s="34"/>
      <c r="D657" s="34"/>
      <c r="E657" s="34"/>
      <c r="F657" s="34"/>
      <c r="G657" s="34"/>
      <c r="H657" s="34"/>
      <c r="I657" s="29"/>
      <c r="J657" s="29"/>
      <c r="K657" s="29"/>
      <c r="L657" s="29"/>
      <c r="M657" s="34"/>
      <c r="N657" s="34"/>
      <c r="O657" s="29"/>
      <c r="P657" s="34"/>
      <c r="Q657" s="34"/>
      <c r="R657" s="34"/>
      <c r="S657" s="34"/>
      <c r="T657" s="34"/>
    </row>
    <row x14ac:dyDescent="0.25" r="658" customHeight="1" ht="18.75">
      <c r="A658" s="1"/>
      <c r="B658" s="150"/>
      <c r="C658" s="34"/>
      <c r="D658" s="34"/>
      <c r="E658" s="34"/>
      <c r="F658" s="34"/>
      <c r="G658" s="34"/>
      <c r="H658" s="34"/>
      <c r="I658" s="29"/>
      <c r="J658" s="29"/>
      <c r="K658" s="29"/>
      <c r="L658" s="29"/>
      <c r="M658" s="34"/>
      <c r="N658" s="34"/>
      <c r="O658" s="29"/>
      <c r="P658" s="34"/>
      <c r="Q658" s="34"/>
      <c r="R658" s="34"/>
      <c r="S658" s="34"/>
      <c r="T658" s="34"/>
    </row>
    <row x14ac:dyDescent="0.25" r="659" customHeight="1" ht="18.75">
      <c r="A659" s="1"/>
      <c r="B659" s="150"/>
      <c r="C659" s="34"/>
      <c r="D659" s="34"/>
      <c r="E659" s="34"/>
      <c r="F659" s="34"/>
      <c r="G659" s="34"/>
      <c r="H659" s="34"/>
      <c r="I659" s="29"/>
      <c r="J659" s="29"/>
      <c r="K659" s="29"/>
      <c r="L659" s="29"/>
      <c r="M659" s="34"/>
      <c r="N659" s="34"/>
      <c r="O659" s="29"/>
      <c r="P659" s="34"/>
      <c r="Q659" s="34"/>
      <c r="R659" s="34"/>
      <c r="S659" s="34"/>
      <c r="T659" s="34"/>
    </row>
    <row x14ac:dyDescent="0.25" r="660" customHeight="1" ht="18.75">
      <c r="A660" s="1"/>
      <c r="B660" s="150"/>
      <c r="C660" s="34"/>
      <c r="D660" s="34"/>
      <c r="E660" s="34"/>
      <c r="F660" s="34"/>
      <c r="G660" s="34"/>
      <c r="H660" s="34"/>
      <c r="I660" s="29"/>
      <c r="J660" s="29"/>
      <c r="K660" s="29"/>
      <c r="L660" s="29"/>
      <c r="M660" s="34"/>
      <c r="N660" s="34"/>
      <c r="O660" s="29"/>
      <c r="P660" s="34"/>
      <c r="Q660" s="34"/>
      <c r="R660" s="34"/>
      <c r="S660" s="34"/>
      <c r="T660" s="34"/>
    </row>
    <row x14ac:dyDescent="0.25" r="661" customHeight="1" ht="18.75">
      <c r="A661" s="1"/>
      <c r="B661" s="150"/>
      <c r="C661" s="34"/>
      <c r="D661" s="34"/>
      <c r="E661" s="34"/>
      <c r="F661" s="34"/>
      <c r="G661" s="34"/>
      <c r="H661" s="34"/>
      <c r="I661" s="29"/>
      <c r="J661" s="29"/>
      <c r="K661" s="29"/>
      <c r="L661" s="29"/>
      <c r="M661" s="34"/>
      <c r="N661" s="34"/>
      <c r="O661" s="29"/>
      <c r="P661" s="34"/>
      <c r="Q661" s="34"/>
      <c r="R661" s="34"/>
      <c r="S661" s="34"/>
      <c r="T661" s="34"/>
    </row>
    <row x14ac:dyDescent="0.25" r="662" customHeight="1" ht="18.75">
      <c r="A662" s="1"/>
      <c r="B662" s="150"/>
      <c r="C662" s="34"/>
      <c r="D662" s="34"/>
      <c r="E662" s="34"/>
      <c r="F662" s="34"/>
      <c r="G662" s="34"/>
      <c r="H662" s="34"/>
      <c r="I662" s="29"/>
      <c r="J662" s="29"/>
      <c r="K662" s="29"/>
      <c r="L662" s="29"/>
      <c r="M662" s="34"/>
      <c r="N662" s="34"/>
      <c r="O662" s="29"/>
      <c r="P662" s="34"/>
      <c r="Q662" s="34"/>
      <c r="R662" s="34"/>
      <c r="S662" s="34"/>
      <c r="T662" s="34"/>
    </row>
    <row x14ac:dyDescent="0.25" r="663" customHeight="1" ht="18.75">
      <c r="A663" s="1"/>
      <c r="B663" s="150"/>
      <c r="C663" s="34"/>
      <c r="D663" s="34"/>
      <c r="E663" s="34"/>
      <c r="F663" s="34"/>
      <c r="G663" s="34"/>
      <c r="H663" s="34"/>
      <c r="I663" s="29"/>
      <c r="J663" s="29"/>
      <c r="K663" s="29"/>
      <c r="L663" s="29"/>
      <c r="M663" s="34"/>
      <c r="N663" s="34"/>
      <c r="O663" s="29"/>
      <c r="P663" s="34"/>
      <c r="Q663" s="34"/>
      <c r="R663" s="34"/>
      <c r="S663" s="34"/>
      <c r="T663" s="34"/>
    </row>
    <row x14ac:dyDescent="0.25" r="664" customHeight="1" ht="18.75">
      <c r="A664" s="1"/>
      <c r="B664" s="150"/>
      <c r="C664" s="34"/>
      <c r="D664" s="34"/>
      <c r="E664" s="34"/>
      <c r="F664" s="34"/>
      <c r="G664" s="34"/>
      <c r="H664" s="34"/>
      <c r="I664" s="29"/>
      <c r="J664" s="29"/>
      <c r="K664" s="29"/>
      <c r="L664" s="29"/>
      <c r="M664" s="34"/>
      <c r="N664" s="34"/>
      <c r="O664" s="29"/>
      <c r="P664" s="34"/>
      <c r="Q664" s="34"/>
      <c r="R664" s="34"/>
      <c r="S664" s="34"/>
      <c r="T664" s="34"/>
    </row>
    <row x14ac:dyDescent="0.25" r="665" customHeight="1" ht="18.75">
      <c r="A665" s="1"/>
      <c r="B665" s="150"/>
      <c r="C665" s="34"/>
      <c r="D665" s="34"/>
      <c r="E665" s="34"/>
      <c r="F665" s="34"/>
      <c r="G665" s="34"/>
      <c r="H665" s="34"/>
      <c r="I665" s="29"/>
      <c r="J665" s="29"/>
      <c r="K665" s="29"/>
      <c r="L665" s="29"/>
      <c r="M665" s="34"/>
      <c r="N665" s="34"/>
      <c r="O665" s="29"/>
      <c r="P665" s="34"/>
      <c r="Q665" s="34"/>
      <c r="R665" s="34"/>
      <c r="S665" s="34"/>
      <c r="T665" s="34"/>
    </row>
    <row x14ac:dyDescent="0.25" r="666" customHeight="1" ht="18.75">
      <c r="A666" s="1"/>
      <c r="B666" s="150"/>
      <c r="C666" s="34"/>
      <c r="D666" s="34"/>
      <c r="E666" s="34"/>
      <c r="F666" s="34"/>
      <c r="G666" s="34"/>
      <c r="H666" s="34"/>
      <c r="I666" s="29"/>
      <c r="J666" s="29"/>
      <c r="K666" s="29"/>
      <c r="L666" s="29"/>
      <c r="M666" s="34"/>
      <c r="N666" s="34"/>
      <c r="O666" s="29"/>
      <c r="P666" s="34"/>
      <c r="Q666" s="34"/>
      <c r="R666" s="34"/>
      <c r="S666" s="34"/>
      <c r="T666" s="34"/>
    </row>
    <row x14ac:dyDescent="0.25" r="667" customHeight="1" ht="18.75">
      <c r="A667" s="1"/>
      <c r="B667" s="150"/>
      <c r="C667" s="34"/>
      <c r="D667" s="34"/>
      <c r="E667" s="34"/>
      <c r="F667" s="34"/>
      <c r="G667" s="34"/>
      <c r="H667" s="34"/>
      <c r="I667" s="29"/>
      <c r="J667" s="29"/>
      <c r="K667" s="29"/>
      <c r="L667" s="29"/>
      <c r="M667" s="34"/>
      <c r="N667" s="34"/>
      <c r="O667" s="29"/>
      <c r="P667" s="34"/>
      <c r="Q667" s="34"/>
      <c r="R667" s="34"/>
      <c r="S667" s="34"/>
      <c r="T667" s="34"/>
    </row>
    <row x14ac:dyDescent="0.25" r="668" customHeight="1" ht="18.75">
      <c r="A668" s="1"/>
      <c r="B668" s="150"/>
      <c r="C668" s="34"/>
      <c r="D668" s="34"/>
      <c r="E668" s="34"/>
      <c r="F668" s="34"/>
      <c r="G668" s="34"/>
      <c r="H668" s="34"/>
      <c r="I668" s="29"/>
      <c r="J668" s="29"/>
      <c r="K668" s="29"/>
      <c r="L668" s="29"/>
      <c r="M668" s="34"/>
      <c r="N668" s="34"/>
      <c r="O668" s="29"/>
      <c r="P668" s="34"/>
      <c r="Q668" s="34"/>
      <c r="R668" s="34"/>
      <c r="S668" s="34"/>
      <c r="T668" s="34"/>
    </row>
    <row x14ac:dyDescent="0.25" r="669" customHeight="1" ht="18.75">
      <c r="A669" s="1"/>
      <c r="B669" s="150"/>
      <c r="C669" s="34"/>
      <c r="D669" s="34"/>
      <c r="E669" s="34"/>
      <c r="F669" s="34"/>
      <c r="G669" s="34"/>
      <c r="H669" s="34"/>
      <c r="I669" s="29"/>
      <c r="J669" s="29"/>
      <c r="K669" s="29"/>
      <c r="L669" s="29"/>
      <c r="M669" s="34"/>
      <c r="N669" s="34"/>
      <c r="O669" s="29"/>
      <c r="P669" s="34"/>
      <c r="Q669" s="34"/>
      <c r="R669" s="34"/>
      <c r="S669" s="34"/>
      <c r="T669" s="34"/>
    </row>
    <row x14ac:dyDescent="0.25" r="670" customHeight="1" ht="18.75">
      <c r="A670" s="1"/>
      <c r="B670" s="150"/>
      <c r="C670" s="34"/>
      <c r="D670" s="34"/>
      <c r="E670" s="34"/>
      <c r="F670" s="34"/>
      <c r="G670" s="34"/>
      <c r="H670" s="34"/>
      <c r="I670" s="29"/>
      <c r="J670" s="29"/>
      <c r="K670" s="29"/>
      <c r="L670" s="29"/>
      <c r="M670" s="34"/>
      <c r="N670" s="34"/>
      <c r="O670" s="29"/>
      <c r="P670" s="34"/>
      <c r="Q670" s="34"/>
      <c r="R670" s="34"/>
      <c r="S670" s="34"/>
      <c r="T670" s="34"/>
    </row>
    <row x14ac:dyDescent="0.25" r="671" customHeight="1" ht="18.75">
      <c r="A671" s="1"/>
      <c r="B671" s="150"/>
      <c r="C671" s="34"/>
      <c r="D671" s="34"/>
      <c r="E671" s="34"/>
      <c r="F671" s="34"/>
      <c r="G671" s="34"/>
      <c r="H671" s="34"/>
      <c r="I671" s="29"/>
      <c r="J671" s="29"/>
      <c r="K671" s="29"/>
      <c r="L671" s="29"/>
      <c r="M671" s="34"/>
      <c r="N671" s="34"/>
      <c r="O671" s="29"/>
      <c r="P671" s="34"/>
      <c r="Q671" s="34"/>
      <c r="R671" s="34"/>
      <c r="S671" s="34"/>
      <c r="T671" s="34"/>
    </row>
    <row x14ac:dyDescent="0.25" r="672" customHeight="1" ht="18.75">
      <c r="A672" s="1"/>
      <c r="B672" s="150"/>
      <c r="C672" s="34"/>
      <c r="D672" s="34"/>
      <c r="E672" s="34"/>
      <c r="F672" s="34"/>
      <c r="G672" s="34"/>
      <c r="H672" s="34"/>
      <c r="I672" s="29"/>
      <c r="J672" s="29"/>
      <c r="K672" s="29"/>
      <c r="L672" s="29"/>
      <c r="M672" s="34"/>
      <c r="N672" s="34"/>
      <c r="O672" s="29"/>
      <c r="P672" s="34"/>
      <c r="Q672" s="34"/>
      <c r="R672" s="34"/>
      <c r="S672" s="34"/>
      <c r="T672" s="34"/>
    </row>
    <row x14ac:dyDescent="0.25" r="673" customHeight="1" ht="18.75">
      <c r="A673" s="1"/>
      <c r="B673" s="150"/>
      <c r="C673" s="34"/>
      <c r="D673" s="34"/>
      <c r="E673" s="34"/>
      <c r="F673" s="34"/>
      <c r="G673" s="34"/>
      <c r="H673" s="34"/>
      <c r="I673" s="29"/>
      <c r="J673" s="29"/>
      <c r="K673" s="29"/>
      <c r="L673" s="29"/>
      <c r="M673" s="34"/>
      <c r="N673" s="34"/>
      <c r="O673" s="29"/>
      <c r="P673" s="34"/>
      <c r="Q673" s="34"/>
      <c r="R673" s="34"/>
      <c r="S673" s="34"/>
      <c r="T673" s="34"/>
    </row>
    <row x14ac:dyDescent="0.25" r="674" customHeight="1" ht="18.75">
      <c r="A674" s="1"/>
      <c r="B674" s="150"/>
      <c r="C674" s="34"/>
      <c r="D674" s="34"/>
      <c r="E674" s="34"/>
      <c r="F674" s="34"/>
      <c r="G674" s="34"/>
      <c r="H674" s="34"/>
      <c r="I674" s="29"/>
      <c r="J674" s="29"/>
      <c r="K674" s="29"/>
      <c r="L674" s="29"/>
      <c r="M674" s="34"/>
      <c r="N674" s="34"/>
      <c r="O674" s="29"/>
      <c r="P674" s="34"/>
      <c r="Q674" s="34"/>
      <c r="R674" s="34"/>
      <c r="S674" s="34"/>
      <c r="T674" s="34"/>
    </row>
    <row x14ac:dyDescent="0.25" r="675" customHeight="1" ht="18.75">
      <c r="A675" s="1"/>
      <c r="B675" s="150"/>
      <c r="C675" s="34"/>
      <c r="D675" s="34"/>
      <c r="E675" s="34"/>
      <c r="F675" s="34"/>
      <c r="G675" s="34"/>
      <c r="H675" s="34"/>
      <c r="I675" s="29"/>
      <c r="J675" s="29"/>
      <c r="K675" s="29"/>
      <c r="L675" s="29"/>
      <c r="M675" s="34"/>
      <c r="N675" s="34"/>
      <c r="O675" s="29"/>
      <c r="P675" s="34"/>
      <c r="Q675" s="34"/>
      <c r="R675" s="34"/>
      <c r="S675" s="34"/>
      <c r="T675" s="34"/>
    </row>
    <row x14ac:dyDescent="0.25" r="676" customHeight="1" ht="18.75">
      <c r="A676" s="1"/>
      <c r="B676" s="150"/>
      <c r="C676" s="34"/>
      <c r="D676" s="34"/>
      <c r="E676" s="34"/>
      <c r="F676" s="34"/>
      <c r="G676" s="34"/>
      <c r="H676" s="34"/>
      <c r="I676" s="29"/>
      <c r="J676" s="29"/>
      <c r="K676" s="29"/>
      <c r="L676" s="29"/>
      <c r="M676" s="34"/>
      <c r="N676" s="34"/>
      <c r="O676" s="29"/>
      <c r="P676" s="34"/>
      <c r="Q676" s="34"/>
      <c r="R676" s="34"/>
      <c r="S676" s="34"/>
      <c r="T676" s="34"/>
    </row>
    <row x14ac:dyDescent="0.25" r="677" customHeight="1" ht="18.75">
      <c r="A677" s="1"/>
      <c r="B677" s="150"/>
      <c r="C677" s="34"/>
      <c r="D677" s="34"/>
      <c r="E677" s="34"/>
      <c r="F677" s="34"/>
      <c r="G677" s="34"/>
      <c r="H677" s="34"/>
      <c r="I677" s="29"/>
      <c r="J677" s="29"/>
      <c r="K677" s="29"/>
      <c r="L677" s="29"/>
      <c r="M677" s="34"/>
      <c r="N677" s="34"/>
      <c r="O677" s="29"/>
      <c r="P677" s="34"/>
      <c r="Q677" s="34"/>
      <c r="R677" s="34"/>
      <c r="S677" s="34"/>
      <c r="T677" s="34"/>
    </row>
    <row x14ac:dyDescent="0.25" r="678" customHeight="1" ht="18.75">
      <c r="A678" s="1"/>
      <c r="B678" s="150"/>
      <c r="C678" s="34"/>
      <c r="D678" s="34"/>
      <c r="E678" s="34"/>
      <c r="F678" s="34"/>
      <c r="G678" s="34"/>
      <c r="H678" s="34"/>
      <c r="I678" s="29"/>
      <c r="J678" s="29"/>
      <c r="K678" s="29"/>
      <c r="L678" s="29"/>
      <c r="M678" s="34"/>
      <c r="N678" s="34"/>
      <c r="O678" s="29"/>
      <c r="P678" s="34"/>
      <c r="Q678" s="34"/>
      <c r="R678" s="34"/>
      <c r="S678" s="34"/>
      <c r="T678" s="34"/>
    </row>
    <row x14ac:dyDescent="0.25" r="679" customHeight="1" ht="18.75">
      <c r="A679" s="1"/>
      <c r="B679" s="150"/>
      <c r="C679" s="34"/>
      <c r="D679" s="34"/>
      <c r="E679" s="34"/>
      <c r="F679" s="34"/>
      <c r="G679" s="34"/>
      <c r="H679" s="34"/>
      <c r="I679" s="29"/>
      <c r="J679" s="29"/>
      <c r="K679" s="29"/>
      <c r="L679" s="29"/>
      <c r="M679" s="34"/>
      <c r="N679" s="34"/>
      <c r="O679" s="29"/>
      <c r="P679" s="34"/>
      <c r="Q679" s="34"/>
      <c r="R679" s="34"/>
      <c r="S679" s="34"/>
      <c r="T679" s="34"/>
    </row>
    <row x14ac:dyDescent="0.25" r="680" customHeight="1" ht="18.75">
      <c r="A680" s="1"/>
      <c r="B680" s="150"/>
      <c r="C680" s="34"/>
      <c r="D680" s="34"/>
      <c r="E680" s="34"/>
      <c r="F680" s="34"/>
      <c r="G680" s="34"/>
      <c r="H680" s="34"/>
      <c r="I680" s="29"/>
      <c r="J680" s="29"/>
      <c r="K680" s="29"/>
      <c r="L680" s="29"/>
      <c r="M680" s="34"/>
      <c r="N680" s="34"/>
      <c r="O680" s="29"/>
      <c r="P680" s="34"/>
      <c r="Q680" s="34"/>
      <c r="R680" s="34"/>
      <c r="S680" s="34"/>
      <c r="T680" s="34"/>
    </row>
    <row x14ac:dyDescent="0.25" r="681" customHeight="1" ht="18.75">
      <c r="A681" s="1"/>
      <c r="B681" s="150"/>
      <c r="C681" s="34"/>
      <c r="D681" s="34"/>
      <c r="E681" s="34"/>
      <c r="F681" s="34"/>
      <c r="G681" s="34"/>
      <c r="H681" s="34"/>
      <c r="I681" s="29"/>
      <c r="J681" s="29"/>
      <c r="K681" s="29"/>
      <c r="L681" s="29"/>
      <c r="M681" s="34"/>
      <c r="N681" s="34"/>
      <c r="O681" s="29"/>
      <c r="P681" s="34"/>
      <c r="Q681" s="34"/>
      <c r="R681" s="34"/>
      <c r="S681" s="34"/>
      <c r="T681" s="34"/>
    </row>
    <row x14ac:dyDescent="0.25" r="682" customHeight="1" ht="18.75">
      <c r="A682" s="1"/>
      <c r="B682" s="150"/>
      <c r="C682" s="34"/>
      <c r="D682" s="34"/>
      <c r="E682" s="34"/>
      <c r="F682" s="34"/>
      <c r="G682" s="34"/>
      <c r="H682" s="34"/>
      <c r="I682" s="29"/>
      <c r="J682" s="29"/>
      <c r="K682" s="29"/>
      <c r="L682" s="29"/>
      <c r="M682" s="34"/>
      <c r="N682" s="34"/>
      <c r="O682" s="29"/>
      <c r="P682" s="34"/>
      <c r="Q682" s="34"/>
      <c r="R682" s="34"/>
      <c r="S682" s="34"/>
      <c r="T682" s="34"/>
    </row>
    <row x14ac:dyDescent="0.25" r="683" customHeight="1" ht="18.75">
      <c r="A683" s="1"/>
      <c r="B683" s="150"/>
      <c r="C683" s="34"/>
      <c r="D683" s="34"/>
      <c r="E683" s="34"/>
      <c r="F683" s="34"/>
      <c r="G683" s="34"/>
      <c r="H683" s="34"/>
      <c r="I683" s="29"/>
      <c r="J683" s="29"/>
      <c r="K683" s="29"/>
      <c r="L683" s="29"/>
      <c r="M683" s="34"/>
      <c r="N683" s="34"/>
      <c r="O683" s="29"/>
      <c r="P683" s="34"/>
      <c r="Q683" s="34"/>
      <c r="R683" s="34"/>
      <c r="S683" s="34"/>
      <c r="T683" s="34"/>
    </row>
    <row x14ac:dyDescent="0.25" r="684" customHeight="1" ht="18.75">
      <c r="A684" s="1"/>
      <c r="B684" s="150"/>
      <c r="C684" s="34"/>
      <c r="D684" s="34"/>
      <c r="E684" s="34"/>
      <c r="F684" s="34"/>
      <c r="G684" s="34"/>
      <c r="H684" s="34"/>
      <c r="I684" s="29"/>
      <c r="J684" s="29"/>
      <c r="K684" s="29"/>
      <c r="L684" s="29"/>
      <c r="M684" s="34"/>
      <c r="N684" s="34"/>
      <c r="O684" s="29"/>
      <c r="P684" s="34"/>
      <c r="Q684" s="34"/>
      <c r="R684" s="34"/>
      <c r="S684" s="34"/>
      <c r="T684" s="34"/>
    </row>
    <row x14ac:dyDescent="0.25" r="685" customHeight="1" ht="18.75">
      <c r="A685" s="1"/>
      <c r="B685" s="150"/>
      <c r="C685" s="34"/>
      <c r="D685" s="34"/>
      <c r="E685" s="34"/>
      <c r="F685" s="34"/>
      <c r="G685" s="34"/>
      <c r="H685" s="34"/>
      <c r="I685" s="29"/>
      <c r="J685" s="29"/>
      <c r="K685" s="29"/>
      <c r="L685" s="29"/>
      <c r="M685" s="34"/>
      <c r="N685" s="34"/>
      <c r="O685" s="29"/>
      <c r="P685" s="34"/>
      <c r="Q685" s="34"/>
      <c r="R685" s="34"/>
      <c r="S685" s="34"/>
      <c r="T685" s="34"/>
    </row>
    <row x14ac:dyDescent="0.25" r="686" customHeight="1" ht="18.75">
      <c r="A686" s="1"/>
      <c r="B686" s="150"/>
      <c r="C686" s="34"/>
      <c r="D686" s="34"/>
      <c r="E686" s="34"/>
      <c r="F686" s="34"/>
      <c r="G686" s="34"/>
      <c r="H686" s="34"/>
      <c r="I686" s="29"/>
      <c r="J686" s="29"/>
      <c r="K686" s="29"/>
      <c r="L686" s="29"/>
      <c r="M686" s="34"/>
      <c r="N686" s="34"/>
      <c r="O686" s="29"/>
      <c r="P686" s="34"/>
      <c r="Q686" s="34"/>
      <c r="R686" s="34"/>
      <c r="S686" s="34"/>
      <c r="T686" s="34"/>
    </row>
    <row x14ac:dyDescent="0.25" r="687" customHeight="1" ht="18.75">
      <c r="A687" s="1"/>
      <c r="B687" s="150"/>
      <c r="C687" s="34"/>
      <c r="D687" s="34"/>
      <c r="E687" s="34"/>
      <c r="F687" s="34"/>
      <c r="G687" s="34"/>
      <c r="H687" s="34"/>
      <c r="I687" s="29"/>
      <c r="J687" s="29"/>
      <c r="K687" s="29"/>
      <c r="L687" s="29"/>
      <c r="M687" s="34"/>
      <c r="N687" s="34"/>
      <c r="O687" s="29"/>
      <c r="P687" s="34"/>
      <c r="Q687" s="34"/>
      <c r="R687" s="34"/>
      <c r="S687" s="34"/>
      <c r="T687" s="34"/>
    </row>
    <row x14ac:dyDescent="0.25" r="688" customHeight="1" ht="18.75">
      <c r="A688" s="1"/>
      <c r="B688" s="150"/>
      <c r="C688" s="34"/>
      <c r="D688" s="34"/>
      <c r="E688" s="34"/>
      <c r="F688" s="34"/>
      <c r="G688" s="34"/>
      <c r="H688" s="34"/>
      <c r="I688" s="29"/>
      <c r="J688" s="29"/>
      <c r="K688" s="29"/>
      <c r="L688" s="29"/>
      <c r="M688" s="34"/>
      <c r="N688" s="34"/>
      <c r="O688" s="29"/>
      <c r="P688" s="34"/>
      <c r="Q688" s="34"/>
      <c r="R688" s="34"/>
      <c r="S688" s="34"/>
      <c r="T688" s="34"/>
    </row>
    <row x14ac:dyDescent="0.25" r="689" customHeight="1" ht="18.75">
      <c r="A689" s="1"/>
      <c r="B689" s="150"/>
      <c r="C689" s="34"/>
      <c r="D689" s="34"/>
      <c r="E689" s="34"/>
      <c r="F689" s="34"/>
      <c r="G689" s="34"/>
      <c r="H689" s="34"/>
      <c r="I689" s="29"/>
      <c r="J689" s="29"/>
      <c r="K689" s="29"/>
      <c r="L689" s="29"/>
      <c r="M689" s="34"/>
      <c r="N689" s="34"/>
      <c r="O689" s="29"/>
      <c r="P689" s="34"/>
      <c r="Q689" s="34"/>
      <c r="R689" s="34"/>
      <c r="S689" s="34"/>
      <c r="T689" s="34"/>
    </row>
    <row x14ac:dyDescent="0.25" r="690" customHeight="1" ht="18.75">
      <c r="A690" s="1"/>
      <c r="B690" s="150"/>
      <c r="C690" s="34"/>
      <c r="D690" s="34"/>
      <c r="E690" s="34"/>
      <c r="F690" s="34"/>
      <c r="G690" s="34"/>
      <c r="H690" s="34"/>
      <c r="I690" s="29"/>
      <c r="J690" s="29"/>
      <c r="K690" s="29"/>
      <c r="L690" s="29"/>
      <c r="M690" s="34"/>
      <c r="N690" s="34"/>
      <c r="O690" s="29"/>
      <c r="P690" s="34"/>
      <c r="Q690" s="34"/>
      <c r="R690" s="34"/>
      <c r="S690" s="34"/>
      <c r="T690" s="34"/>
    </row>
    <row x14ac:dyDescent="0.25" r="691" customHeight="1" ht="18.75">
      <c r="A691" s="1"/>
      <c r="B691" s="150"/>
      <c r="C691" s="34"/>
      <c r="D691" s="34"/>
      <c r="E691" s="34"/>
      <c r="F691" s="34"/>
      <c r="G691" s="34"/>
      <c r="H691" s="34"/>
      <c r="I691" s="29"/>
      <c r="J691" s="29"/>
      <c r="K691" s="29"/>
      <c r="L691" s="29"/>
      <c r="M691" s="34"/>
      <c r="N691" s="34"/>
      <c r="O691" s="29"/>
      <c r="P691" s="34"/>
      <c r="Q691" s="34"/>
      <c r="R691" s="34"/>
      <c r="S691" s="34"/>
      <c r="T691" s="34"/>
    </row>
    <row x14ac:dyDescent="0.25" r="692" customHeight="1" ht="18.75">
      <c r="A692" s="1"/>
      <c r="B692" s="150"/>
      <c r="C692" s="34"/>
      <c r="D692" s="34"/>
      <c r="E692" s="34"/>
      <c r="F692" s="34"/>
      <c r="G692" s="34"/>
      <c r="H692" s="34"/>
      <c r="I692" s="29"/>
      <c r="J692" s="29"/>
      <c r="K692" s="29"/>
      <c r="L692" s="29"/>
      <c r="M692" s="34"/>
      <c r="N692" s="34"/>
      <c r="O692" s="29"/>
      <c r="P692" s="34"/>
      <c r="Q692" s="34"/>
      <c r="R692" s="34"/>
      <c r="S692" s="34"/>
      <c r="T692" s="34"/>
    </row>
    <row x14ac:dyDescent="0.25" r="693" customHeight="1" ht="18.75">
      <c r="A693" s="1"/>
      <c r="B693" s="150"/>
      <c r="C693" s="34"/>
      <c r="D693" s="34"/>
      <c r="E693" s="34"/>
      <c r="F693" s="34"/>
      <c r="G693" s="34"/>
      <c r="H693" s="34"/>
      <c r="I693" s="29"/>
      <c r="J693" s="29"/>
      <c r="K693" s="29"/>
      <c r="L693" s="29"/>
      <c r="M693" s="34"/>
      <c r="N693" s="34"/>
      <c r="O693" s="29"/>
      <c r="P693" s="34"/>
      <c r="Q693" s="34"/>
      <c r="R693" s="34"/>
      <c r="S693" s="34"/>
      <c r="T693" s="34"/>
    </row>
    <row x14ac:dyDescent="0.25" r="694" customHeight="1" ht="18.75">
      <c r="A694" s="1"/>
      <c r="B694" s="150"/>
      <c r="C694" s="34"/>
      <c r="D694" s="34"/>
      <c r="E694" s="34"/>
      <c r="F694" s="34"/>
      <c r="G694" s="34"/>
      <c r="H694" s="34"/>
      <c r="I694" s="29"/>
      <c r="J694" s="29"/>
      <c r="K694" s="29"/>
      <c r="L694" s="29"/>
      <c r="M694" s="34"/>
      <c r="N694" s="34"/>
      <c r="O694" s="29"/>
      <c r="P694" s="34"/>
      <c r="Q694" s="34"/>
      <c r="R694" s="34"/>
      <c r="S694" s="34"/>
      <c r="T694" s="34"/>
    </row>
    <row x14ac:dyDescent="0.25" r="695" customHeight="1" ht="18.75">
      <c r="A695" s="1"/>
      <c r="B695" s="150"/>
      <c r="C695" s="34"/>
      <c r="D695" s="34"/>
      <c r="E695" s="34"/>
      <c r="F695" s="34"/>
      <c r="G695" s="34"/>
      <c r="H695" s="34"/>
      <c r="I695" s="29"/>
      <c r="J695" s="29"/>
      <c r="K695" s="29"/>
      <c r="L695" s="29"/>
      <c r="M695" s="34"/>
      <c r="N695" s="34"/>
      <c r="O695" s="29"/>
      <c r="P695" s="34"/>
      <c r="Q695" s="34"/>
      <c r="R695" s="34"/>
      <c r="S695" s="34"/>
      <c r="T695" s="34"/>
    </row>
    <row x14ac:dyDescent="0.25" r="696" customHeight="1" ht="18.75">
      <c r="A696" s="1"/>
      <c r="B696" s="150"/>
      <c r="C696" s="34"/>
      <c r="D696" s="34"/>
      <c r="E696" s="34"/>
      <c r="F696" s="34"/>
      <c r="G696" s="34"/>
      <c r="H696" s="34"/>
      <c r="I696" s="29"/>
      <c r="J696" s="29"/>
      <c r="K696" s="29"/>
      <c r="L696" s="29"/>
      <c r="M696" s="34"/>
      <c r="N696" s="34"/>
      <c r="O696" s="29"/>
      <c r="P696" s="34"/>
      <c r="Q696" s="34"/>
      <c r="R696" s="34"/>
      <c r="S696" s="34"/>
      <c r="T696" s="34"/>
    </row>
    <row x14ac:dyDescent="0.25" r="697" customHeight="1" ht="18.75">
      <c r="A697" s="1"/>
      <c r="B697" s="150"/>
      <c r="C697" s="34"/>
      <c r="D697" s="34"/>
      <c r="E697" s="34"/>
      <c r="F697" s="34"/>
      <c r="G697" s="34"/>
      <c r="H697" s="34"/>
      <c r="I697" s="29"/>
      <c r="J697" s="29"/>
      <c r="K697" s="29"/>
      <c r="L697" s="29"/>
      <c r="M697" s="34"/>
      <c r="N697" s="34"/>
      <c r="O697" s="29"/>
      <c r="P697" s="34"/>
      <c r="Q697" s="34"/>
      <c r="R697" s="34"/>
      <c r="S697" s="34"/>
      <c r="T697" s="34"/>
    </row>
    <row x14ac:dyDescent="0.25" r="698" customHeight="1" ht="18.75">
      <c r="A698" s="1"/>
      <c r="B698" s="150"/>
      <c r="C698" s="34"/>
      <c r="D698" s="34"/>
      <c r="E698" s="34"/>
      <c r="F698" s="34"/>
      <c r="G698" s="34"/>
      <c r="H698" s="34"/>
      <c r="I698" s="29"/>
      <c r="J698" s="29"/>
      <c r="K698" s="29"/>
      <c r="L698" s="29"/>
      <c r="M698" s="34"/>
      <c r="N698" s="34"/>
      <c r="O698" s="29"/>
      <c r="P698" s="34"/>
      <c r="Q698" s="34"/>
      <c r="R698" s="34"/>
      <c r="S698" s="34"/>
      <c r="T698" s="34"/>
    </row>
    <row x14ac:dyDescent="0.25" r="699" customHeight="1" ht="18.75">
      <c r="A699" s="1"/>
      <c r="B699" s="150"/>
      <c r="C699" s="34"/>
      <c r="D699" s="34"/>
      <c r="E699" s="34"/>
      <c r="F699" s="34"/>
      <c r="G699" s="34"/>
      <c r="H699" s="34"/>
      <c r="I699" s="29"/>
      <c r="J699" s="29"/>
      <c r="K699" s="29"/>
      <c r="L699" s="29"/>
      <c r="M699" s="34"/>
      <c r="N699" s="34"/>
      <c r="O699" s="29"/>
      <c r="P699" s="34"/>
      <c r="Q699" s="34"/>
      <c r="R699" s="34"/>
      <c r="S699" s="34"/>
      <c r="T699" s="34"/>
    </row>
    <row x14ac:dyDescent="0.25" r="700" customHeight="1" ht="18.75">
      <c r="A700" s="1"/>
      <c r="B700" s="150"/>
      <c r="C700" s="34"/>
      <c r="D700" s="34"/>
      <c r="E700" s="34"/>
      <c r="F700" s="34"/>
      <c r="G700" s="34"/>
      <c r="H700" s="34"/>
      <c r="I700" s="29"/>
      <c r="J700" s="29"/>
      <c r="K700" s="29"/>
      <c r="L700" s="29"/>
      <c r="M700" s="34"/>
      <c r="N700" s="34"/>
      <c r="O700" s="29"/>
      <c r="P700" s="34"/>
      <c r="Q700" s="34"/>
      <c r="R700" s="34"/>
      <c r="S700" s="34"/>
      <c r="T700" s="34"/>
    </row>
    <row x14ac:dyDescent="0.25" r="701" customHeight="1" ht="18.75">
      <c r="A701" s="1"/>
      <c r="B701" s="150"/>
      <c r="C701" s="34"/>
      <c r="D701" s="34"/>
      <c r="E701" s="34"/>
      <c r="F701" s="34"/>
      <c r="G701" s="34"/>
      <c r="H701" s="34"/>
      <c r="I701" s="29"/>
      <c r="J701" s="29"/>
      <c r="K701" s="29"/>
      <c r="L701" s="29"/>
      <c r="M701" s="34"/>
      <c r="N701" s="34"/>
      <c r="O701" s="29"/>
      <c r="P701" s="34"/>
      <c r="Q701" s="34"/>
      <c r="R701" s="34"/>
      <c r="S701" s="34"/>
      <c r="T701" s="34"/>
    </row>
    <row x14ac:dyDescent="0.25" r="702" customHeight="1" ht="18.75">
      <c r="A702" s="1"/>
      <c r="B702" s="150"/>
      <c r="C702" s="34"/>
      <c r="D702" s="34"/>
      <c r="E702" s="34"/>
      <c r="F702" s="34"/>
      <c r="G702" s="34"/>
      <c r="H702" s="34"/>
      <c r="I702" s="29"/>
      <c r="J702" s="29"/>
      <c r="K702" s="29"/>
      <c r="L702" s="29"/>
      <c r="M702" s="34"/>
      <c r="N702" s="34"/>
      <c r="O702" s="29"/>
      <c r="P702" s="34"/>
      <c r="Q702" s="34"/>
      <c r="R702" s="34"/>
      <c r="S702" s="34"/>
      <c r="T702" s="34"/>
    </row>
    <row x14ac:dyDescent="0.25" r="703" customHeight="1" ht="18.75">
      <c r="A703" s="1"/>
      <c r="B703" s="150"/>
      <c r="C703" s="34"/>
      <c r="D703" s="34"/>
      <c r="E703" s="34"/>
      <c r="F703" s="34"/>
      <c r="G703" s="34"/>
      <c r="H703" s="34"/>
      <c r="I703" s="29"/>
      <c r="J703" s="29"/>
      <c r="K703" s="29"/>
      <c r="L703" s="29"/>
      <c r="M703" s="34"/>
      <c r="N703" s="34"/>
      <c r="O703" s="29"/>
      <c r="P703" s="34"/>
      <c r="Q703" s="34"/>
      <c r="R703" s="34"/>
      <c r="S703" s="34"/>
      <c r="T703" s="34"/>
    </row>
    <row x14ac:dyDescent="0.25" r="704" customHeight="1" ht="18.75">
      <c r="A704" s="1"/>
      <c r="B704" s="150"/>
      <c r="C704" s="34"/>
      <c r="D704" s="34"/>
      <c r="E704" s="34"/>
      <c r="F704" s="34"/>
      <c r="G704" s="34"/>
      <c r="H704" s="34"/>
      <c r="I704" s="29"/>
      <c r="J704" s="29"/>
      <c r="K704" s="29"/>
      <c r="L704" s="29"/>
      <c r="M704" s="34"/>
      <c r="N704" s="34"/>
      <c r="O704" s="29"/>
      <c r="P704" s="34"/>
      <c r="Q704" s="34"/>
      <c r="R704" s="34"/>
      <c r="S704" s="34"/>
      <c r="T704" s="34"/>
    </row>
    <row x14ac:dyDescent="0.25" r="705" customHeight="1" ht="18.75">
      <c r="A705" s="1"/>
      <c r="B705" s="150"/>
      <c r="C705" s="34"/>
      <c r="D705" s="34"/>
      <c r="E705" s="34"/>
      <c r="F705" s="34"/>
      <c r="G705" s="34"/>
      <c r="H705" s="34"/>
      <c r="I705" s="29"/>
      <c r="J705" s="29"/>
      <c r="K705" s="29"/>
      <c r="L705" s="29"/>
      <c r="M705" s="34"/>
      <c r="N705" s="34"/>
      <c r="O705" s="29"/>
      <c r="P705" s="34"/>
      <c r="Q705" s="34"/>
      <c r="R705" s="34"/>
      <c r="S705" s="34"/>
      <c r="T705" s="34"/>
    </row>
    <row x14ac:dyDescent="0.25" r="706" customHeight="1" ht="18.75">
      <c r="A706" s="1"/>
      <c r="B706" s="150"/>
      <c r="C706" s="34"/>
      <c r="D706" s="34"/>
      <c r="E706" s="34"/>
      <c r="F706" s="34"/>
      <c r="G706" s="34"/>
      <c r="H706" s="34"/>
      <c r="I706" s="29"/>
      <c r="J706" s="29"/>
      <c r="K706" s="29"/>
      <c r="L706" s="29"/>
      <c r="M706" s="34"/>
      <c r="N706" s="34"/>
      <c r="O706" s="29"/>
      <c r="P706" s="34"/>
      <c r="Q706" s="34"/>
      <c r="R706" s="34"/>
      <c r="S706" s="34"/>
      <c r="T706" s="34"/>
    </row>
    <row x14ac:dyDescent="0.25" r="707" customHeight="1" ht="18.75">
      <c r="A707" s="1"/>
      <c r="B707" s="150"/>
      <c r="C707" s="34"/>
      <c r="D707" s="34"/>
      <c r="E707" s="34"/>
      <c r="F707" s="34"/>
      <c r="G707" s="34"/>
      <c r="H707" s="34"/>
      <c r="I707" s="29"/>
      <c r="J707" s="29"/>
      <c r="K707" s="29"/>
      <c r="L707" s="29"/>
      <c r="M707" s="34"/>
      <c r="N707" s="34"/>
      <c r="O707" s="29"/>
      <c r="P707" s="34"/>
      <c r="Q707" s="34"/>
      <c r="R707" s="34"/>
      <c r="S707" s="34"/>
      <c r="T707" s="34"/>
    </row>
    <row x14ac:dyDescent="0.25" r="708" customHeight="1" ht="18.75">
      <c r="A708" s="1"/>
      <c r="B708" s="150"/>
      <c r="C708" s="34"/>
      <c r="D708" s="34"/>
      <c r="E708" s="34"/>
      <c r="F708" s="34"/>
      <c r="G708" s="34"/>
      <c r="H708" s="34"/>
      <c r="I708" s="29"/>
      <c r="J708" s="29"/>
      <c r="K708" s="29"/>
      <c r="L708" s="29"/>
      <c r="M708" s="34"/>
      <c r="N708" s="34"/>
      <c r="O708" s="29"/>
      <c r="P708" s="34"/>
      <c r="Q708" s="34"/>
      <c r="R708" s="34"/>
      <c r="S708" s="34"/>
      <c r="T708" s="34"/>
    </row>
    <row x14ac:dyDescent="0.25" r="709" customHeight="1" ht="18.75">
      <c r="A709" s="1"/>
      <c r="B709" s="150"/>
      <c r="C709" s="34"/>
      <c r="D709" s="34"/>
      <c r="E709" s="34"/>
      <c r="F709" s="34"/>
      <c r="G709" s="34"/>
      <c r="H709" s="34"/>
      <c r="I709" s="29"/>
      <c r="J709" s="29"/>
      <c r="K709" s="29"/>
      <c r="L709" s="29"/>
      <c r="M709" s="34"/>
      <c r="N709" s="34"/>
      <c r="O709" s="29"/>
      <c r="P709" s="34"/>
      <c r="Q709" s="34"/>
      <c r="R709" s="34"/>
      <c r="S709" s="34"/>
      <c r="T709" s="34"/>
    </row>
    <row x14ac:dyDescent="0.25" r="710" customHeight="1" ht="18.75">
      <c r="A710" s="1"/>
      <c r="B710" s="150"/>
      <c r="C710" s="34"/>
      <c r="D710" s="34"/>
      <c r="E710" s="34"/>
      <c r="F710" s="34"/>
      <c r="G710" s="34"/>
      <c r="H710" s="34"/>
      <c r="I710" s="29"/>
      <c r="J710" s="29"/>
      <c r="K710" s="29"/>
      <c r="L710" s="29"/>
      <c r="M710" s="34"/>
      <c r="N710" s="34"/>
      <c r="O710" s="29"/>
      <c r="P710" s="34"/>
      <c r="Q710" s="34"/>
      <c r="R710" s="34"/>
      <c r="S710" s="34"/>
      <c r="T710" s="34"/>
    </row>
    <row x14ac:dyDescent="0.25" r="711" customHeight="1" ht="18.75">
      <c r="A711" s="1"/>
      <c r="B711" s="150"/>
      <c r="C711" s="34"/>
      <c r="D711" s="34"/>
      <c r="E711" s="34"/>
      <c r="F711" s="34"/>
      <c r="G711" s="34"/>
      <c r="H711" s="34"/>
      <c r="I711" s="29"/>
      <c r="J711" s="29"/>
      <c r="K711" s="29"/>
      <c r="L711" s="29"/>
      <c r="M711" s="34"/>
      <c r="N711" s="34"/>
      <c r="O711" s="29"/>
      <c r="P711" s="34"/>
      <c r="Q711" s="34"/>
      <c r="R711" s="34"/>
      <c r="S711" s="34"/>
      <c r="T711" s="34"/>
    </row>
    <row x14ac:dyDescent="0.25" r="712" customHeight="1" ht="18.75">
      <c r="A712" s="1"/>
      <c r="B712" s="150"/>
      <c r="C712" s="34"/>
      <c r="D712" s="34"/>
      <c r="E712" s="34"/>
      <c r="F712" s="34"/>
      <c r="G712" s="34"/>
      <c r="H712" s="34"/>
      <c r="I712" s="29"/>
      <c r="J712" s="29"/>
      <c r="K712" s="29"/>
      <c r="L712" s="29"/>
      <c r="M712" s="34"/>
      <c r="N712" s="34"/>
      <c r="O712" s="29"/>
      <c r="P712" s="34"/>
      <c r="Q712" s="34"/>
      <c r="R712" s="34"/>
      <c r="S712" s="34"/>
      <c r="T712" s="34"/>
    </row>
    <row x14ac:dyDescent="0.25" r="713" customHeight="1" ht="18.75">
      <c r="A713" s="1"/>
      <c r="B713" s="150"/>
      <c r="C713" s="34"/>
      <c r="D713" s="34"/>
      <c r="E713" s="34"/>
      <c r="F713" s="34"/>
      <c r="G713" s="34"/>
      <c r="H713" s="34"/>
      <c r="I713" s="29"/>
      <c r="J713" s="29"/>
      <c r="K713" s="29"/>
      <c r="L713" s="29"/>
      <c r="M713" s="34"/>
      <c r="N713" s="34"/>
      <c r="O713" s="29"/>
      <c r="P713" s="34"/>
      <c r="Q713" s="34"/>
      <c r="R713" s="34"/>
      <c r="S713" s="34"/>
      <c r="T713" s="34"/>
    </row>
    <row x14ac:dyDescent="0.25" r="714" customHeight="1" ht="18.75">
      <c r="A714" s="1"/>
      <c r="B714" s="150"/>
      <c r="C714" s="34"/>
      <c r="D714" s="34"/>
      <c r="E714" s="34"/>
      <c r="F714" s="34"/>
      <c r="G714" s="34"/>
      <c r="H714" s="34"/>
      <c r="I714" s="29"/>
      <c r="J714" s="29"/>
      <c r="K714" s="29"/>
      <c r="L714" s="29"/>
      <c r="M714" s="34"/>
      <c r="N714" s="34"/>
      <c r="O714" s="29"/>
      <c r="P714" s="34"/>
      <c r="Q714" s="34"/>
      <c r="R714" s="34"/>
      <c r="S714" s="34"/>
      <c r="T714" s="34"/>
    </row>
    <row x14ac:dyDescent="0.25" r="715" customHeight="1" ht="18.75">
      <c r="A715" s="1"/>
      <c r="B715" s="150"/>
      <c r="C715" s="34"/>
      <c r="D715" s="34"/>
      <c r="E715" s="34"/>
      <c r="F715" s="34"/>
      <c r="G715" s="34"/>
      <c r="H715" s="34"/>
      <c r="I715" s="29"/>
      <c r="J715" s="29"/>
      <c r="K715" s="29"/>
      <c r="L715" s="29"/>
      <c r="M715" s="34"/>
      <c r="N715" s="34"/>
      <c r="O715" s="29"/>
      <c r="P715" s="34"/>
      <c r="Q715" s="34"/>
      <c r="R715" s="34"/>
      <c r="S715" s="34"/>
      <c r="T715" s="34"/>
    </row>
    <row x14ac:dyDescent="0.25" r="716" customHeight="1" ht="18.75">
      <c r="A716" s="1"/>
      <c r="B716" s="150"/>
      <c r="C716" s="34"/>
      <c r="D716" s="34"/>
      <c r="E716" s="34"/>
      <c r="F716" s="34"/>
      <c r="G716" s="34"/>
      <c r="H716" s="34"/>
      <c r="I716" s="29"/>
      <c r="J716" s="29"/>
      <c r="K716" s="29"/>
      <c r="L716" s="29"/>
      <c r="M716" s="34"/>
      <c r="N716" s="34"/>
      <c r="O716" s="29"/>
      <c r="P716" s="34"/>
      <c r="Q716" s="34"/>
      <c r="R716" s="34"/>
      <c r="S716" s="34"/>
      <c r="T716" s="34"/>
    </row>
    <row x14ac:dyDescent="0.25" r="717" customHeight="1" ht="18.75">
      <c r="A717" s="1"/>
      <c r="B717" s="150"/>
      <c r="C717" s="34"/>
      <c r="D717" s="34"/>
      <c r="E717" s="34"/>
      <c r="F717" s="34"/>
      <c r="G717" s="34"/>
      <c r="H717" s="34"/>
      <c r="I717" s="29"/>
      <c r="J717" s="29"/>
      <c r="K717" s="29"/>
      <c r="L717" s="29"/>
      <c r="M717" s="34"/>
      <c r="N717" s="34"/>
      <c r="O717" s="29"/>
      <c r="P717" s="34"/>
      <c r="Q717" s="34"/>
      <c r="R717" s="34"/>
      <c r="S717" s="34"/>
      <c r="T717" s="34"/>
    </row>
    <row x14ac:dyDescent="0.25" r="718" customHeight="1" ht="18.75">
      <c r="A718" s="1"/>
      <c r="B718" s="150"/>
      <c r="C718" s="34"/>
      <c r="D718" s="34"/>
      <c r="E718" s="34"/>
      <c r="F718" s="34"/>
      <c r="G718" s="34"/>
      <c r="H718" s="34"/>
      <c r="I718" s="29"/>
      <c r="J718" s="29"/>
      <c r="K718" s="29"/>
      <c r="L718" s="29"/>
      <c r="M718" s="34"/>
      <c r="N718" s="34"/>
      <c r="O718" s="29"/>
      <c r="P718" s="34"/>
      <c r="Q718" s="34"/>
      <c r="R718" s="34"/>
      <c r="S718" s="34"/>
      <c r="T718" s="34"/>
    </row>
    <row x14ac:dyDescent="0.25" r="719" customHeight="1" ht="18.75">
      <c r="A719" s="1"/>
      <c r="B719" s="150"/>
      <c r="C719" s="34"/>
      <c r="D719" s="34"/>
      <c r="E719" s="34"/>
      <c r="F719" s="34"/>
      <c r="G719" s="34"/>
      <c r="H719" s="34"/>
      <c r="I719" s="29"/>
      <c r="J719" s="29"/>
      <c r="K719" s="29"/>
      <c r="L719" s="29"/>
      <c r="M719" s="34"/>
      <c r="N719" s="34"/>
      <c r="O719" s="29"/>
      <c r="P719" s="34"/>
      <c r="Q719" s="34"/>
      <c r="R719" s="34"/>
      <c r="S719" s="34"/>
      <c r="T719" s="34"/>
    </row>
    <row x14ac:dyDescent="0.25" r="720" customHeight="1" ht="18.75">
      <c r="A720" s="1"/>
      <c r="B720" s="150"/>
      <c r="C720" s="34"/>
      <c r="D720" s="34"/>
      <c r="E720" s="34"/>
      <c r="F720" s="34"/>
      <c r="G720" s="34"/>
      <c r="H720" s="34"/>
      <c r="I720" s="29"/>
      <c r="J720" s="29"/>
      <c r="K720" s="29"/>
      <c r="L720" s="29"/>
      <c r="M720" s="34"/>
      <c r="N720" s="34"/>
      <c r="O720" s="29"/>
      <c r="P720" s="34"/>
      <c r="Q720" s="34"/>
      <c r="R720" s="34"/>
      <c r="S720" s="34"/>
      <c r="T720" s="34"/>
    </row>
    <row x14ac:dyDescent="0.25" r="721" customHeight="1" ht="18.75">
      <c r="A721" s="1"/>
      <c r="B721" s="150"/>
      <c r="C721" s="34"/>
      <c r="D721" s="34"/>
      <c r="E721" s="34"/>
      <c r="F721" s="34"/>
      <c r="G721" s="34"/>
      <c r="H721" s="34"/>
      <c r="I721" s="29"/>
      <c r="J721" s="29"/>
      <c r="K721" s="29"/>
      <c r="L721" s="29"/>
      <c r="M721" s="34"/>
      <c r="N721" s="34"/>
      <c r="O721" s="29"/>
      <c r="P721" s="34"/>
      <c r="Q721" s="34"/>
      <c r="R721" s="34"/>
      <c r="S721" s="34"/>
      <c r="T721" s="34"/>
    </row>
    <row x14ac:dyDescent="0.25" r="722" customHeight="1" ht="18.75">
      <c r="A722" s="1"/>
      <c r="B722" s="150"/>
      <c r="C722" s="34"/>
      <c r="D722" s="34"/>
      <c r="E722" s="34"/>
      <c r="F722" s="34"/>
      <c r="G722" s="34"/>
      <c r="H722" s="34"/>
      <c r="I722" s="29"/>
      <c r="J722" s="29"/>
      <c r="K722" s="29"/>
      <c r="L722" s="29"/>
      <c r="M722" s="34"/>
      <c r="N722" s="34"/>
      <c r="O722" s="29"/>
      <c r="P722" s="34"/>
      <c r="Q722" s="34"/>
      <c r="R722" s="34"/>
      <c r="S722" s="34"/>
      <c r="T722" s="34"/>
    </row>
    <row x14ac:dyDescent="0.25" r="723" customHeight="1" ht="18.75">
      <c r="A723" s="1"/>
      <c r="B723" s="150"/>
      <c r="C723" s="34"/>
      <c r="D723" s="34"/>
      <c r="E723" s="34"/>
      <c r="F723" s="34"/>
      <c r="G723" s="34"/>
      <c r="H723" s="34"/>
      <c r="I723" s="29"/>
      <c r="J723" s="29"/>
      <c r="K723" s="29"/>
      <c r="L723" s="29"/>
      <c r="M723" s="34"/>
      <c r="N723" s="34"/>
      <c r="O723" s="29"/>
      <c r="P723" s="34"/>
      <c r="Q723" s="34"/>
      <c r="R723" s="34"/>
      <c r="S723" s="34"/>
      <c r="T723" s="34"/>
    </row>
    <row x14ac:dyDescent="0.25" r="724" customHeight="1" ht="18.75">
      <c r="A724" s="1"/>
      <c r="B724" s="150"/>
      <c r="C724" s="34"/>
      <c r="D724" s="34"/>
      <c r="E724" s="34"/>
      <c r="F724" s="34"/>
      <c r="G724" s="34"/>
      <c r="H724" s="34"/>
      <c r="I724" s="29"/>
      <c r="J724" s="29"/>
      <c r="K724" s="29"/>
      <c r="L724" s="29"/>
      <c r="M724" s="34"/>
      <c r="N724" s="34"/>
      <c r="O724" s="29"/>
      <c r="P724" s="34"/>
      <c r="Q724" s="34"/>
      <c r="R724" s="34"/>
      <c r="S724" s="34"/>
      <c r="T724" s="34"/>
    </row>
    <row x14ac:dyDescent="0.25" r="725" customHeight="1" ht="18.75">
      <c r="A725" s="1"/>
      <c r="B725" s="150"/>
      <c r="C725" s="34"/>
      <c r="D725" s="34"/>
      <c r="E725" s="34"/>
      <c r="F725" s="34"/>
      <c r="G725" s="34"/>
      <c r="H725" s="34"/>
      <c r="I725" s="29"/>
      <c r="J725" s="29"/>
      <c r="K725" s="29"/>
      <c r="L725" s="29"/>
      <c r="M725" s="34"/>
      <c r="N725" s="34"/>
      <c r="O725" s="29"/>
      <c r="P725" s="34"/>
      <c r="Q725" s="34"/>
      <c r="R725" s="34"/>
      <c r="S725" s="34"/>
      <c r="T725" s="34"/>
    </row>
    <row x14ac:dyDescent="0.25" r="726" customHeight="1" ht="18.75">
      <c r="A726" s="1"/>
      <c r="B726" s="150"/>
      <c r="C726" s="34"/>
      <c r="D726" s="34"/>
      <c r="E726" s="34"/>
      <c r="F726" s="34"/>
      <c r="G726" s="34"/>
      <c r="H726" s="34"/>
      <c r="I726" s="29"/>
      <c r="J726" s="29"/>
      <c r="K726" s="29"/>
      <c r="L726" s="29"/>
      <c r="M726" s="34"/>
      <c r="N726" s="34"/>
      <c r="O726" s="29"/>
      <c r="P726" s="34"/>
      <c r="Q726" s="34"/>
      <c r="R726" s="34"/>
      <c r="S726" s="34"/>
      <c r="T726" s="34"/>
    </row>
    <row x14ac:dyDescent="0.25" r="727" customHeight="1" ht="18.75">
      <c r="A727" s="1"/>
      <c r="B727" s="150"/>
      <c r="C727" s="34"/>
      <c r="D727" s="34"/>
      <c r="E727" s="34"/>
      <c r="F727" s="34"/>
      <c r="G727" s="34"/>
      <c r="H727" s="34"/>
      <c r="I727" s="29"/>
      <c r="J727" s="29"/>
      <c r="K727" s="29"/>
      <c r="L727" s="29"/>
      <c r="M727" s="34"/>
      <c r="N727" s="34"/>
      <c r="O727" s="29"/>
      <c r="P727" s="34"/>
      <c r="Q727" s="34"/>
      <c r="R727" s="34"/>
      <c r="S727" s="34"/>
      <c r="T727" s="34"/>
    </row>
    <row x14ac:dyDescent="0.25" r="728" customHeight="1" ht="18.75">
      <c r="A728" s="1"/>
      <c r="B728" s="150"/>
      <c r="C728" s="34"/>
      <c r="D728" s="34"/>
      <c r="E728" s="34"/>
      <c r="F728" s="34"/>
      <c r="G728" s="34"/>
      <c r="H728" s="34"/>
      <c r="I728" s="29"/>
      <c r="J728" s="29"/>
      <c r="K728" s="29"/>
      <c r="L728" s="29"/>
      <c r="M728" s="34"/>
      <c r="N728" s="34"/>
      <c r="O728" s="29"/>
      <c r="P728" s="34"/>
      <c r="Q728" s="34"/>
      <c r="R728" s="34"/>
      <c r="S728" s="34"/>
      <c r="T728" s="34"/>
    </row>
    <row x14ac:dyDescent="0.25" r="729" customHeight="1" ht="18.75">
      <c r="A729" s="1"/>
      <c r="B729" s="150"/>
      <c r="C729" s="34"/>
      <c r="D729" s="34"/>
      <c r="E729" s="34"/>
      <c r="F729" s="34"/>
      <c r="G729" s="34"/>
      <c r="H729" s="34"/>
      <c r="I729" s="29"/>
      <c r="J729" s="29"/>
      <c r="K729" s="29"/>
      <c r="L729" s="29"/>
      <c r="M729" s="34"/>
      <c r="N729" s="34"/>
      <c r="O729" s="29"/>
      <c r="P729" s="34"/>
      <c r="Q729" s="34"/>
      <c r="R729" s="34"/>
      <c r="S729" s="34"/>
      <c r="T729" s="34"/>
    </row>
    <row x14ac:dyDescent="0.25" r="730" customHeight="1" ht="18.75">
      <c r="A730" s="1"/>
      <c r="B730" s="150"/>
      <c r="C730" s="34"/>
      <c r="D730" s="34"/>
      <c r="E730" s="34"/>
      <c r="F730" s="34"/>
      <c r="G730" s="34"/>
      <c r="H730" s="34"/>
      <c r="I730" s="29"/>
      <c r="J730" s="29"/>
      <c r="K730" s="29"/>
      <c r="L730" s="29"/>
      <c r="M730" s="34"/>
      <c r="N730" s="34"/>
      <c r="O730" s="29"/>
      <c r="P730" s="34"/>
      <c r="Q730" s="34"/>
      <c r="R730" s="34"/>
      <c r="S730" s="34"/>
      <c r="T730" s="34"/>
    </row>
    <row x14ac:dyDescent="0.25" r="731" customHeight="1" ht="18.75">
      <c r="A731" s="1"/>
      <c r="B731" s="150"/>
      <c r="C731" s="34"/>
      <c r="D731" s="34"/>
      <c r="E731" s="34"/>
      <c r="F731" s="34"/>
      <c r="G731" s="34"/>
      <c r="H731" s="34"/>
      <c r="I731" s="29"/>
      <c r="J731" s="29"/>
      <c r="K731" s="29"/>
      <c r="L731" s="29"/>
      <c r="M731" s="34"/>
      <c r="N731" s="34"/>
      <c r="O731" s="29"/>
      <c r="P731" s="34"/>
      <c r="Q731" s="34"/>
      <c r="R731" s="34"/>
      <c r="S731" s="34"/>
      <c r="T731" s="34"/>
    </row>
    <row x14ac:dyDescent="0.25" r="732" customHeight="1" ht="18.75">
      <c r="A732" s="1"/>
      <c r="B732" s="150"/>
      <c r="C732" s="34"/>
      <c r="D732" s="34"/>
      <c r="E732" s="34"/>
      <c r="F732" s="34"/>
      <c r="G732" s="34"/>
      <c r="H732" s="34"/>
      <c r="I732" s="29"/>
      <c r="J732" s="29"/>
      <c r="K732" s="29"/>
      <c r="L732" s="29"/>
      <c r="M732" s="34"/>
      <c r="N732" s="34"/>
      <c r="O732" s="29"/>
      <c r="P732" s="34"/>
      <c r="Q732" s="34"/>
      <c r="R732" s="34"/>
      <c r="S732" s="34"/>
      <c r="T732" s="34"/>
    </row>
    <row x14ac:dyDescent="0.25" r="733" customHeight="1" ht="18.75">
      <c r="A733" s="1"/>
      <c r="B733" s="150"/>
      <c r="C733" s="34"/>
      <c r="D733" s="34"/>
      <c r="E733" s="34"/>
      <c r="F733" s="34"/>
      <c r="G733" s="34"/>
      <c r="H733" s="34"/>
      <c r="I733" s="29"/>
      <c r="J733" s="29"/>
      <c r="K733" s="29"/>
      <c r="L733" s="29"/>
      <c r="M733" s="34"/>
      <c r="N733" s="34"/>
      <c r="O733" s="29"/>
      <c r="P733" s="34"/>
      <c r="Q733" s="34"/>
      <c r="R733" s="34"/>
      <c r="S733" s="34"/>
      <c r="T733" s="34"/>
    </row>
    <row x14ac:dyDescent="0.25" r="734" customHeight="1" ht="18.75">
      <c r="A734" s="1"/>
      <c r="B734" s="150"/>
      <c r="C734" s="34"/>
      <c r="D734" s="34"/>
      <c r="E734" s="34"/>
      <c r="F734" s="34"/>
      <c r="G734" s="34"/>
      <c r="H734" s="34"/>
      <c r="I734" s="29"/>
      <c r="J734" s="29"/>
      <c r="K734" s="29"/>
      <c r="L734" s="29"/>
      <c r="M734" s="34"/>
      <c r="N734" s="34"/>
      <c r="O734" s="29"/>
      <c r="P734" s="34"/>
      <c r="Q734" s="34"/>
      <c r="R734" s="34"/>
      <c r="S734" s="34"/>
      <c r="T734" s="34"/>
    </row>
    <row x14ac:dyDescent="0.25" r="735" customHeight="1" ht="18.75">
      <c r="A735" s="1"/>
      <c r="B735" s="150"/>
      <c r="C735" s="34"/>
      <c r="D735" s="34"/>
      <c r="E735" s="34"/>
      <c r="F735" s="34"/>
      <c r="G735" s="34"/>
      <c r="H735" s="34"/>
      <c r="I735" s="29"/>
      <c r="J735" s="29"/>
      <c r="K735" s="29"/>
      <c r="L735" s="29"/>
      <c r="M735" s="34"/>
      <c r="N735" s="34"/>
      <c r="O735" s="29"/>
      <c r="P735" s="34"/>
      <c r="Q735" s="34"/>
      <c r="R735" s="34"/>
      <c r="S735" s="34"/>
      <c r="T735" s="34"/>
    </row>
    <row x14ac:dyDescent="0.25" r="736" customHeight="1" ht="18.75">
      <c r="A736" s="1"/>
      <c r="B736" s="150"/>
      <c r="C736" s="34"/>
      <c r="D736" s="34"/>
      <c r="E736" s="34"/>
      <c r="F736" s="34"/>
      <c r="G736" s="34"/>
      <c r="H736" s="34"/>
      <c r="I736" s="29"/>
      <c r="J736" s="29"/>
      <c r="K736" s="29"/>
      <c r="L736" s="29"/>
      <c r="M736" s="34"/>
      <c r="N736" s="34"/>
      <c r="O736" s="29"/>
      <c r="P736" s="34"/>
      <c r="Q736" s="34"/>
      <c r="R736" s="34"/>
      <c r="S736" s="34"/>
      <c r="T736" s="34"/>
    </row>
    <row x14ac:dyDescent="0.25" r="737" customHeight="1" ht="18.75">
      <c r="A737" s="1"/>
      <c r="B737" s="150"/>
      <c r="C737" s="34"/>
      <c r="D737" s="34"/>
      <c r="E737" s="34"/>
      <c r="F737" s="34"/>
      <c r="G737" s="34"/>
      <c r="H737" s="34"/>
      <c r="I737" s="29"/>
      <c r="J737" s="29"/>
      <c r="K737" s="29"/>
      <c r="L737" s="29"/>
      <c r="M737" s="34"/>
      <c r="N737" s="34"/>
      <c r="O737" s="29"/>
      <c r="P737" s="34"/>
      <c r="Q737" s="34"/>
      <c r="R737" s="34"/>
      <c r="S737" s="34"/>
      <c r="T737" s="34"/>
    </row>
    <row x14ac:dyDescent="0.25" r="738" customHeight="1" ht="18.75">
      <c r="A738" s="1"/>
      <c r="B738" s="150"/>
      <c r="C738" s="34"/>
      <c r="D738" s="34"/>
      <c r="E738" s="34"/>
      <c r="F738" s="34"/>
      <c r="G738" s="34"/>
      <c r="H738" s="34"/>
      <c r="I738" s="29"/>
      <c r="J738" s="29"/>
      <c r="K738" s="29"/>
      <c r="L738" s="29"/>
      <c r="M738" s="34"/>
      <c r="N738" s="34"/>
      <c r="O738" s="29"/>
      <c r="P738" s="34"/>
      <c r="Q738" s="34"/>
      <c r="R738" s="34"/>
      <c r="S738" s="34"/>
      <c r="T738" s="34"/>
    </row>
    <row x14ac:dyDescent="0.25" r="739" customHeight="1" ht="18.75">
      <c r="A739" s="1"/>
      <c r="B739" s="150"/>
      <c r="C739" s="34"/>
      <c r="D739" s="34"/>
      <c r="E739" s="34"/>
      <c r="F739" s="34"/>
      <c r="G739" s="34"/>
      <c r="H739" s="34"/>
      <c r="I739" s="29"/>
      <c r="J739" s="29"/>
      <c r="K739" s="29"/>
      <c r="L739" s="29"/>
      <c r="M739" s="34"/>
      <c r="N739" s="34"/>
      <c r="O739" s="29"/>
      <c r="P739" s="34"/>
      <c r="Q739" s="34"/>
      <c r="R739" s="34"/>
      <c r="S739" s="34"/>
      <c r="T739" s="34"/>
    </row>
    <row x14ac:dyDescent="0.25" r="740" customHeight="1" ht="18.75">
      <c r="A740" s="1"/>
      <c r="B740" s="150"/>
      <c r="C740" s="34"/>
      <c r="D740" s="34"/>
      <c r="E740" s="34"/>
      <c r="F740" s="34"/>
      <c r="G740" s="34"/>
      <c r="H740" s="34"/>
      <c r="I740" s="29"/>
      <c r="J740" s="29"/>
      <c r="K740" s="29"/>
      <c r="L740" s="29"/>
      <c r="M740" s="34"/>
      <c r="N740" s="34"/>
      <c r="O740" s="29"/>
      <c r="P740" s="34"/>
      <c r="Q740" s="34"/>
      <c r="R740" s="34"/>
      <c r="S740" s="34"/>
      <c r="T740" s="34"/>
    </row>
    <row x14ac:dyDescent="0.25" r="741" customHeight="1" ht="18.75">
      <c r="A741" s="1"/>
      <c r="B741" s="150"/>
      <c r="C741" s="34"/>
      <c r="D741" s="34"/>
      <c r="E741" s="34"/>
      <c r="F741" s="34"/>
      <c r="G741" s="34"/>
      <c r="H741" s="34"/>
      <c r="I741" s="29"/>
      <c r="J741" s="29"/>
      <c r="K741" s="29"/>
      <c r="L741" s="29"/>
      <c r="M741" s="34"/>
      <c r="N741" s="34"/>
      <c r="O741" s="29"/>
      <c r="P741" s="34"/>
      <c r="Q741" s="34"/>
      <c r="R741" s="34"/>
      <c r="S741" s="34"/>
      <c r="T741" s="34"/>
    </row>
    <row x14ac:dyDescent="0.25" r="742" customHeight="1" ht="18.75">
      <c r="A742" s="1"/>
      <c r="B742" s="150"/>
      <c r="C742" s="34"/>
      <c r="D742" s="34"/>
      <c r="E742" s="34"/>
      <c r="F742" s="34"/>
      <c r="G742" s="34"/>
      <c r="H742" s="34"/>
      <c r="I742" s="29"/>
      <c r="J742" s="29"/>
      <c r="K742" s="29"/>
      <c r="L742" s="29"/>
      <c r="M742" s="34"/>
      <c r="N742" s="34"/>
      <c r="O742" s="29"/>
      <c r="P742" s="34"/>
      <c r="Q742" s="34"/>
      <c r="R742" s="34"/>
      <c r="S742" s="34"/>
      <c r="T742" s="34"/>
    </row>
    <row x14ac:dyDescent="0.25" r="743" customHeight="1" ht="18.75">
      <c r="A743" s="1"/>
      <c r="B743" s="150"/>
      <c r="C743" s="34"/>
      <c r="D743" s="34"/>
      <c r="E743" s="34"/>
      <c r="F743" s="34"/>
      <c r="G743" s="34"/>
      <c r="H743" s="34"/>
      <c r="I743" s="29"/>
      <c r="J743" s="29"/>
      <c r="K743" s="29"/>
      <c r="L743" s="29"/>
      <c r="M743" s="34"/>
      <c r="N743" s="34"/>
      <c r="O743" s="29"/>
      <c r="P743" s="34"/>
      <c r="Q743" s="34"/>
      <c r="R743" s="34"/>
      <c r="S743" s="34"/>
      <c r="T743" s="34"/>
    </row>
    <row x14ac:dyDescent="0.25" r="744" customHeight="1" ht="18.75">
      <c r="A744" s="1"/>
      <c r="B744" s="150"/>
      <c r="C744" s="34"/>
      <c r="D744" s="34"/>
      <c r="E744" s="34"/>
      <c r="F744" s="34"/>
      <c r="G744" s="34"/>
      <c r="H744" s="34"/>
      <c r="I744" s="29"/>
      <c r="J744" s="29"/>
      <c r="K744" s="29"/>
      <c r="L744" s="29"/>
      <c r="M744" s="34"/>
      <c r="N744" s="34"/>
      <c r="O744" s="29"/>
      <c r="P744" s="34"/>
      <c r="Q744" s="34"/>
      <c r="R744" s="34"/>
      <c r="S744" s="34"/>
      <c r="T744" s="34"/>
    </row>
    <row x14ac:dyDescent="0.25" r="745" customHeight="1" ht="18.75">
      <c r="A745" s="1"/>
      <c r="B745" s="150"/>
      <c r="C745" s="34"/>
      <c r="D745" s="34"/>
      <c r="E745" s="34"/>
      <c r="F745" s="34"/>
      <c r="G745" s="34"/>
      <c r="H745" s="34"/>
      <c r="I745" s="29"/>
      <c r="J745" s="29"/>
      <c r="K745" s="29"/>
      <c r="L745" s="29"/>
      <c r="M745" s="34"/>
      <c r="N745" s="34"/>
      <c r="O745" s="29"/>
      <c r="P745" s="34"/>
      <c r="Q745" s="34"/>
      <c r="R745" s="34"/>
      <c r="S745" s="34"/>
      <c r="T745" s="34"/>
    </row>
    <row x14ac:dyDescent="0.25" r="746" customHeight="1" ht="18.75">
      <c r="A746" s="1"/>
      <c r="B746" s="150"/>
      <c r="C746" s="34"/>
      <c r="D746" s="34"/>
      <c r="E746" s="34"/>
      <c r="F746" s="34"/>
      <c r="G746" s="34"/>
      <c r="H746" s="34"/>
      <c r="I746" s="29"/>
      <c r="J746" s="29"/>
      <c r="K746" s="29"/>
      <c r="L746" s="29"/>
      <c r="M746" s="34"/>
      <c r="N746" s="34"/>
      <c r="O746" s="29"/>
      <c r="P746" s="34"/>
      <c r="Q746" s="34"/>
      <c r="R746" s="34"/>
      <c r="S746" s="34"/>
      <c r="T746" s="34"/>
    </row>
    <row x14ac:dyDescent="0.25" r="747" customHeight="1" ht="18.75">
      <c r="A747" s="1"/>
      <c r="B747" s="150"/>
      <c r="C747" s="34"/>
      <c r="D747" s="34"/>
      <c r="E747" s="34"/>
      <c r="F747" s="34"/>
      <c r="G747" s="34"/>
      <c r="H747" s="34"/>
      <c r="I747" s="29"/>
      <c r="J747" s="29"/>
      <c r="K747" s="29"/>
      <c r="L747" s="29"/>
      <c r="M747" s="34"/>
      <c r="N747" s="34"/>
      <c r="O747" s="29"/>
      <c r="P747" s="34"/>
      <c r="Q747" s="34"/>
      <c r="R747" s="34"/>
      <c r="S747" s="34"/>
      <c r="T747" s="34"/>
    </row>
    <row x14ac:dyDescent="0.25" r="748" customHeight="1" ht="18.75">
      <c r="A748" s="1"/>
      <c r="B748" s="150"/>
      <c r="C748" s="34"/>
      <c r="D748" s="34"/>
      <c r="E748" s="34"/>
      <c r="F748" s="34"/>
      <c r="G748" s="34"/>
      <c r="H748" s="34"/>
      <c r="I748" s="29"/>
      <c r="J748" s="29"/>
      <c r="K748" s="29"/>
      <c r="L748" s="29"/>
      <c r="M748" s="34"/>
      <c r="N748" s="34"/>
      <c r="O748" s="29"/>
      <c r="P748" s="34"/>
      <c r="Q748" s="34"/>
      <c r="R748" s="34"/>
      <c r="S748" s="34"/>
      <c r="T748" s="34"/>
    </row>
    <row x14ac:dyDescent="0.25" r="749" customHeight="1" ht="18.75">
      <c r="A749" s="1"/>
      <c r="B749" s="150"/>
      <c r="C749" s="34"/>
      <c r="D749" s="34"/>
      <c r="E749" s="34"/>
      <c r="F749" s="34"/>
      <c r="G749" s="34"/>
      <c r="H749" s="34"/>
      <c r="I749" s="29"/>
      <c r="J749" s="29"/>
      <c r="K749" s="29"/>
      <c r="L749" s="29"/>
      <c r="M749" s="34"/>
      <c r="N749" s="34"/>
      <c r="O749" s="29"/>
      <c r="P749" s="34"/>
      <c r="Q749" s="34"/>
      <c r="R749" s="34"/>
      <c r="S749" s="34"/>
      <c r="T749" s="34"/>
    </row>
    <row x14ac:dyDescent="0.25" r="750" customHeight="1" ht="18.75">
      <c r="A750" s="1"/>
      <c r="B750" s="150"/>
      <c r="C750" s="34"/>
      <c r="D750" s="34"/>
      <c r="E750" s="34"/>
      <c r="F750" s="34"/>
      <c r="G750" s="34"/>
      <c r="H750" s="34"/>
      <c r="I750" s="29"/>
      <c r="J750" s="29"/>
      <c r="K750" s="29"/>
      <c r="L750" s="29"/>
      <c r="M750" s="34"/>
      <c r="N750" s="34"/>
      <c r="O750" s="29"/>
      <c r="P750" s="34"/>
      <c r="Q750" s="34"/>
      <c r="R750" s="34"/>
      <c r="S750" s="34"/>
      <c r="T750" s="34"/>
    </row>
    <row x14ac:dyDescent="0.25" r="751" customHeight="1" ht="18.75">
      <c r="A751" s="1"/>
      <c r="B751" s="150"/>
      <c r="C751" s="34"/>
      <c r="D751" s="34"/>
      <c r="E751" s="34"/>
      <c r="F751" s="34"/>
      <c r="G751" s="34"/>
      <c r="H751" s="34"/>
      <c r="I751" s="29"/>
      <c r="J751" s="29"/>
      <c r="K751" s="29"/>
      <c r="L751" s="29"/>
      <c r="M751" s="34"/>
      <c r="N751" s="34"/>
      <c r="O751" s="29"/>
      <c r="P751" s="34"/>
      <c r="Q751" s="34"/>
      <c r="R751" s="34"/>
      <c r="S751" s="34"/>
      <c r="T751" s="34"/>
    </row>
    <row x14ac:dyDescent="0.25" r="752" customHeight="1" ht="18.75">
      <c r="A752" s="1"/>
      <c r="B752" s="150"/>
      <c r="C752" s="34"/>
      <c r="D752" s="34"/>
      <c r="E752" s="34"/>
      <c r="F752" s="34"/>
      <c r="G752" s="34"/>
      <c r="H752" s="34"/>
      <c r="I752" s="29"/>
      <c r="J752" s="29"/>
      <c r="K752" s="29"/>
      <c r="L752" s="29"/>
      <c r="M752" s="34"/>
      <c r="N752" s="34"/>
      <c r="O752" s="29"/>
      <c r="P752" s="34"/>
      <c r="Q752" s="34"/>
      <c r="R752" s="34"/>
      <c r="S752" s="34"/>
      <c r="T752" s="34"/>
    </row>
    <row x14ac:dyDescent="0.25" r="753" customHeight="1" ht="18.75">
      <c r="A753" s="1"/>
      <c r="B753" s="150"/>
      <c r="C753" s="34"/>
      <c r="D753" s="34"/>
      <c r="E753" s="34"/>
      <c r="F753" s="34"/>
      <c r="G753" s="34"/>
      <c r="H753" s="34"/>
      <c r="I753" s="29"/>
      <c r="J753" s="29"/>
      <c r="K753" s="29"/>
      <c r="L753" s="29"/>
      <c r="M753" s="34"/>
      <c r="N753" s="34"/>
      <c r="O753" s="29"/>
      <c r="P753" s="34"/>
      <c r="Q753" s="34"/>
      <c r="R753" s="34"/>
      <c r="S753" s="34"/>
      <c r="T753" s="34"/>
    </row>
    <row x14ac:dyDescent="0.25" r="754" customHeight="1" ht="18.75">
      <c r="A754" s="1"/>
      <c r="B754" s="150"/>
      <c r="C754" s="34"/>
      <c r="D754" s="34"/>
      <c r="E754" s="34"/>
      <c r="F754" s="34"/>
      <c r="G754" s="34"/>
      <c r="H754" s="34"/>
      <c r="I754" s="29"/>
      <c r="J754" s="29"/>
      <c r="K754" s="29"/>
      <c r="L754" s="29"/>
      <c r="M754" s="34"/>
      <c r="N754" s="34"/>
      <c r="O754" s="29"/>
      <c r="P754" s="34"/>
      <c r="Q754" s="34"/>
      <c r="R754" s="34"/>
      <c r="S754" s="34"/>
      <c r="T754" s="34"/>
    </row>
    <row x14ac:dyDescent="0.25" r="755" customHeight="1" ht="18.75">
      <c r="A755" s="1"/>
      <c r="B755" s="150"/>
      <c r="C755" s="34"/>
      <c r="D755" s="34"/>
      <c r="E755" s="34"/>
      <c r="F755" s="34"/>
      <c r="G755" s="34"/>
      <c r="H755" s="34"/>
      <c r="I755" s="29"/>
      <c r="J755" s="29"/>
      <c r="K755" s="29"/>
      <c r="L755" s="29"/>
      <c r="M755" s="34"/>
      <c r="N755" s="34"/>
      <c r="O755" s="29"/>
      <c r="P755" s="34"/>
      <c r="Q755" s="34"/>
      <c r="R755" s="34"/>
      <c r="S755" s="34"/>
      <c r="T755" s="34"/>
    </row>
    <row x14ac:dyDescent="0.25" r="756" customHeight="1" ht="18.75">
      <c r="A756" s="1"/>
      <c r="B756" s="150"/>
      <c r="C756" s="34"/>
      <c r="D756" s="34"/>
      <c r="E756" s="34"/>
      <c r="F756" s="34"/>
      <c r="G756" s="34"/>
      <c r="H756" s="34"/>
      <c r="I756" s="29"/>
      <c r="J756" s="29"/>
      <c r="K756" s="29"/>
      <c r="L756" s="29"/>
      <c r="M756" s="34"/>
      <c r="N756" s="34"/>
      <c r="O756" s="29"/>
      <c r="P756" s="34"/>
      <c r="Q756" s="34"/>
      <c r="R756" s="34"/>
      <c r="S756" s="34"/>
      <c r="T756" s="34"/>
    </row>
    <row x14ac:dyDescent="0.25" r="757" customHeight="1" ht="18.75">
      <c r="A757" s="1"/>
      <c r="B757" s="150"/>
      <c r="C757" s="34"/>
      <c r="D757" s="34"/>
      <c r="E757" s="34"/>
      <c r="F757" s="34"/>
      <c r="G757" s="34"/>
      <c r="H757" s="34"/>
      <c r="I757" s="29"/>
      <c r="J757" s="29"/>
      <c r="K757" s="29"/>
      <c r="L757" s="29"/>
      <c r="M757" s="34"/>
      <c r="N757" s="34"/>
      <c r="O757" s="29"/>
      <c r="P757" s="34"/>
      <c r="Q757" s="34"/>
      <c r="R757" s="34"/>
      <c r="S757" s="34"/>
      <c r="T757" s="34"/>
    </row>
    <row x14ac:dyDescent="0.25" r="758" customHeight="1" ht="18.75">
      <c r="A758" s="1"/>
      <c r="B758" s="150"/>
      <c r="C758" s="34"/>
      <c r="D758" s="34"/>
      <c r="E758" s="34"/>
      <c r="F758" s="34"/>
      <c r="G758" s="34"/>
      <c r="H758" s="34"/>
      <c r="I758" s="29"/>
      <c r="J758" s="29"/>
      <c r="K758" s="29"/>
      <c r="L758" s="29"/>
      <c r="M758" s="34"/>
      <c r="N758" s="34"/>
      <c r="O758" s="29"/>
      <c r="P758" s="34"/>
      <c r="Q758" s="34"/>
      <c r="R758" s="34"/>
      <c r="S758" s="34"/>
      <c r="T758" s="34"/>
    </row>
    <row x14ac:dyDescent="0.25" r="759" customHeight="1" ht="18.75">
      <c r="A759" s="1"/>
      <c r="B759" s="150"/>
      <c r="C759" s="34"/>
      <c r="D759" s="34"/>
      <c r="E759" s="34"/>
      <c r="F759" s="34"/>
      <c r="G759" s="34"/>
      <c r="H759" s="34"/>
      <c r="I759" s="29"/>
      <c r="J759" s="29"/>
      <c r="K759" s="29"/>
      <c r="L759" s="29"/>
      <c r="M759" s="34"/>
      <c r="N759" s="34"/>
      <c r="O759" s="29"/>
      <c r="P759" s="34"/>
      <c r="Q759" s="34"/>
      <c r="R759" s="34"/>
      <c r="S759" s="34"/>
      <c r="T759" s="34"/>
    </row>
    <row x14ac:dyDescent="0.25" r="760" customHeight="1" ht="18.75">
      <c r="A760" s="1"/>
      <c r="B760" s="150"/>
      <c r="C760" s="34"/>
      <c r="D760" s="34"/>
      <c r="E760" s="34"/>
      <c r="F760" s="34"/>
      <c r="G760" s="34"/>
      <c r="H760" s="34"/>
      <c r="I760" s="29"/>
      <c r="J760" s="29"/>
      <c r="K760" s="29"/>
      <c r="L760" s="29"/>
      <c r="M760" s="34"/>
      <c r="N760" s="34"/>
      <c r="O760" s="29"/>
      <c r="P760" s="34"/>
      <c r="Q760" s="34"/>
      <c r="R760" s="34"/>
      <c r="S760" s="34"/>
      <c r="T760" s="34"/>
    </row>
    <row x14ac:dyDescent="0.25" r="761" customHeight="1" ht="18.75">
      <c r="A761" s="1"/>
      <c r="B761" s="150"/>
      <c r="C761" s="34"/>
      <c r="D761" s="34"/>
      <c r="E761" s="34"/>
      <c r="F761" s="34"/>
      <c r="G761" s="34"/>
      <c r="H761" s="34"/>
      <c r="I761" s="29"/>
      <c r="J761" s="29"/>
      <c r="K761" s="29"/>
      <c r="L761" s="29"/>
      <c r="M761" s="34"/>
      <c r="N761" s="34"/>
      <c r="O761" s="29"/>
      <c r="P761" s="34"/>
      <c r="Q761" s="34"/>
      <c r="R761" s="34"/>
      <c r="S761" s="34"/>
      <c r="T761" s="34"/>
    </row>
    <row x14ac:dyDescent="0.25" r="762" customHeight="1" ht="18.75">
      <c r="A762" s="1"/>
      <c r="B762" s="150"/>
      <c r="C762" s="34"/>
      <c r="D762" s="34"/>
      <c r="E762" s="34"/>
      <c r="F762" s="34"/>
      <c r="G762" s="34"/>
      <c r="H762" s="34"/>
      <c r="I762" s="29"/>
      <c r="J762" s="29"/>
      <c r="K762" s="29"/>
      <c r="L762" s="29"/>
      <c r="M762" s="34"/>
      <c r="N762" s="34"/>
      <c r="O762" s="29"/>
      <c r="P762" s="34"/>
      <c r="Q762" s="34"/>
      <c r="R762" s="34"/>
      <c r="S762" s="34"/>
      <c r="T762" s="34"/>
    </row>
    <row x14ac:dyDescent="0.25" r="763" customHeight="1" ht="18.75">
      <c r="A763" s="1"/>
      <c r="B763" s="150"/>
      <c r="C763" s="34"/>
      <c r="D763" s="34"/>
      <c r="E763" s="34"/>
      <c r="F763" s="34"/>
      <c r="G763" s="34"/>
      <c r="H763" s="34"/>
      <c r="I763" s="29"/>
      <c r="J763" s="29"/>
      <c r="K763" s="29"/>
      <c r="L763" s="29"/>
      <c r="M763" s="34"/>
      <c r="N763" s="34"/>
      <c r="O763" s="29"/>
      <c r="P763" s="34"/>
      <c r="Q763" s="34"/>
      <c r="R763" s="34"/>
      <c r="S763" s="34"/>
      <c r="T763" s="34"/>
    </row>
    <row x14ac:dyDescent="0.25" r="764" customHeight="1" ht="18.75">
      <c r="A764" s="1"/>
      <c r="B764" s="150"/>
      <c r="C764" s="34"/>
      <c r="D764" s="34"/>
      <c r="E764" s="34"/>
      <c r="F764" s="34"/>
      <c r="G764" s="34"/>
      <c r="H764" s="34"/>
      <c r="I764" s="29"/>
      <c r="J764" s="29"/>
      <c r="K764" s="29"/>
      <c r="L764" s="29"/>
      <c r="M764" s="34"/>
      <c r="N764" s="34"/>
      <c r="O764" s="29"/>
      <c r="P764" s="34"/>
      <c r="Q764" s="34"/>
      <c r="R764" s="34"/>
      <c r="S764" s="34"/>
      <c r="T764" s="34"/>
    </row>
    <row x14ac:dyDescent="0.25" r="765" customHeight="1" ht="18.75">
      <c r="A765" s="1"/>
      <c r="B765" s="150"/>
      <c r="C765" s="34"/>
      <c r="D765" s="34"/>
      <c r="E765" s="34"/>
      <c r="F765" s="34"/>
      <c r="G765" s="34"/>
      <c r="H765" s="34"/>
      <c r="I765" s="29"/>
      <c r="J765" s="29"/>
      <c r="K765" s="29"/>
      <c r="L765" s="29"/>
      <c r="M765" s="34"/>
      <c r="N765" s="34"/>
      <c r="O765" s="29"/>
      <c r="P765" s="34"/>
      <c r="Q765" s="34"/>
      <c r="R765" s="34"/>
      <c r="S765" s="34"/>
      <c r="T765" s="34"/>
    </row>
    <row x14ac:dyDescent="0.25" r="766" customHeight="1" ht="18.75">
      <c r="A766" s="1"/>
      <c r="B766" s="150"/>
      <c r="C766" s="34"/>
      <c r="D766" s="34"/>
      <c r="E766" s="34"/>
      <c r="F766" s="34"/>
      <c r="G766" s="34"/>
      <c r="H766" s="34"/>
      <c r="I766" s="29"/>
      <c r="J766" s="29"/>
      <c r="K766" s="29"/>
      <c r="L766" s="29"/>
      <c r="M766" s="34"/>
      <c r="N766" s="34"/>
      <c r="O766" s="29"/>
      <c r="P766" s="34"/>
      <c r="Q766" s="34"/>
      <c r="R766" s="34"/>
      <c r="S766" s="34"/>
      <c r="T766" s="34"/>
    </row>
    <row x14ac:dyDescent="0.25" r="767" customHeight="1" ht="18.75">
      <c r="A767" s="1"/>
      <c r="B767" s="150"/>
      <c r="C767" s="34"/>
      <c r="D767" s="34"/>
      <c r="E767" s="34"/>
      <c r="F767" s="34"/>
      <c r="G767" s="34"/>
      <c r="H767" s="34"/>
      <c r="I767" s="29"/>
      <c r="J767" s="29"/>
      <c r="K767" s="29"/>
      <c r="L767" s="29"/>
      <c r="M767" s="34"/>
      <c r="N767" s="34"/>
      <c r="O767" s="29"/>
      <c r="P767" s="34"/>
      <c r="Q767" s="34"/>
      <c r="R767" s="34"/>
      <c r="S767" s="34"/>
      <c r="T767" s="34"/>
    </row>
    <row x14ac:dyDescent="0.25" r="768" customHeight="1" ht="18.75">
      <c r="A768" s="1"/>
      <c r="B768" s="150"/>
      <c r="C768" s="34"/>
      <c r="D768" s="34"/>
      <c r="E768" s="34"/>
      <c r="F768" s="34"/>
      <c r="G768" s="34"/>
      <c r="H768" s="34"/>
      <c r="I768" s="29"/>
      <c r="J768" s="29"/>
      <c r="K768" s="29"/>
      <c r="L768" s="29"/>
      <c r="M768" s="34"/>
      <c r="N768" s="34"/>
      <c r="O768" s="29"/>
      <c r="P768" s="34"/>
      <c r="Q768" s="34"/>
      <c r="R768" s="34"/>
      <c r="S768" s="34"/>
      <c r="T768" s="34"/>
    </row>
    <row x14ac:dyDescent="0.25" r="769" customHeight="1" ht="18.75">
      <c r="A769" s="1"/>
      <c r="B769" s="150"/>
      <c r="C769" s="34"/>
      <c r="D769" s="34"/>
      <c r="E769" s="34"/>
      <c r="F769" s="34"/>
      <c r="G769" s="34"/>
      <c r="H769" s="34"/>
      <c r="I769" s="29"/>
      <c r="J769" s="29"/>
      <c r="K769" s="29"/>
      <c r="L769" s="29"/>
      <c r="M769" s="34"/>
      <c r="N769" s="34"/>
      <c r="O769" s="29"/>
      <c r="P769" s="34"/>
      <c r="Q769" s="34"/>
      <c r="R769" s="34"/>
      <c r="S769" s="34"/>
      <c r="T769" s="34"/>
    </row>
    <row x14ac:dyDescent="0.25" r="770" customHeight="1" ht="18.75">
      <c r="A770" s="1"/>
      <c r="B770" s="150"/>
      <c r="C770" s="34"/>
      <c r="D770" s="34"/>
      <c r="E770" s="34"/>
      <c r="F770" s="34"/>
      <c r="G770" s="34"/>
      <c r="H770" s="34"/>
      <c r="I770" s="29"/>
      <c r="J770" s="29"/>
      <c r="K770" s="29"/>
      <c r="L770" s="29"/>
      <c r="M770" s="34"/>
      <c r="N770" s="34"/>
      <c r="O770" s="29"/>
      <c r="P770" s="34"/>
      <c r="Q770" s="34"/>
      <c r="R770" s="34"/>
      <c r="S770" s="34"/>
      <c r="T770" s="34"/>
    </row>
    <row x14ac:dyDescent="0.25" r="771" customHeight="1" ht="18.75">
      <c r="A771" s="1"/>
      <c r="B771" s="150"/>
      <c r="C771" s="34"/>
      <c r="D771" s="34"/>
      <c r="E771" s="34"/>
      <c r="F771" s="34"/>
      <c r="G771" s="34"/>
      <c r="H771" s="34"/>
      <c r="I771" s="29"/>
      <c r="J771" s="29"/>
      <c r="K771" s="29"/>
      <c r="L771" s="29"/>
      <c r="M771" s="34"/>
      <c r="N771" s="34"/>
      <c r="O771" s="29"/>
      <c r="P771" s="34"/>
      <c r="Q771" s="34"/>
      <c r="R771" s="34"/>
      <c r="S771" s="34"/>
      <c r="T771" s="34"/>
    </row>
    <row x14ac:dyDescent="0.25" r="772" customHeight="1" ht="18.75">
      <c r="A772" s="1"/>
      <c r="B772" s="150"/>
      <c r="C772" s="34"/>
      <c r="D772" s="34"/>
      <c r="E772" s="34"/>
      <c r="F772" s="34"/>
      <c r="G772" s="34"/>
      <c r="H772" s="34"/>
      <c r="I772" s="29"/>
      <c r="J772" s="29"/>
      <c r="K772" s="29"/>
      <c r="L772" s="29"/>
      <c r="M772" s="34"/>
      <c r="N772" s="34"/>
      <c r="O772" s="29"/>
      <c r="P772" s="34"/>
      <c r="Q772" s="34"/>
      <c r="R772" s="34"/>
      <c r="S772" s="34"/>
      <c r="T772" s="34"/>
    </row>
    <row x14ac:dyDescent="0.25" r="773" customHeight="1" ht="18.75">
      <c r="A773" s="1"/>
      <c r="B773" s="150"/>
      <c r="C773" s="34"/>
      <c r="D773" s="34"/>
      <c r="E773" s="34"/>
      <c r="F773" s="34"/>
      <c r="G773" s="34"/>
      <c r="H773" s="34"/>
      <c r="I773" s="29"/>
      <c r="J773" s="29"/>
      <c r="K773" s="29"/>
      <c r="L773" s="29"/>
      <c r="M773" s="34"/>
      <c r="N773" s="34"/>
      <c r="O773" s="29"/>
      <c r="P773" s="34"/>
      <c r="Q773" s="34"/>
      <c r="R773" s="34"/>
      <c r="S773" s="34"/>
      <c r="T773" s="34"/>
    </row>
    <row x14ac:dyDescent="0.25" r="774" customHeight="1" ht="18.75">
      <c r="A774" s="1"/>
      <c r="B774" s="150"/>
      <c r="C774" s="34"/>
      <c r="D774" s="34"/>
      <c r="E774" s="34"/>
      <c r="F774" s="34"/>
      <c r="G774" s="34"/>
      <c r="H774" s="34"/>
      <c r="I774" s="29"/>
      <c r="J774" s="29"/>
      <c r="K774" s="29"/>
      <c r="L774" s="29"/>
      <c r="M774" s="34"/>
      <c r="N774" s="34"/>
      <c r="O774" s="29"/>
      <c r="P774" s="34"/>
      <c r="Q774" s="34"/>
      <c r="R774" s="34"/>
      <c r="S774" s="34"/>
      <c r="T774" s="34"/>
    </row>
    <row x14ac:dyDescent="0.25" r="775" customHeight="1" ht="18.75">
      <c r="A775" s="1"/>
      <c r="B775" s="150"/>
      <c r="C775" s="34"/>
      <c r="D775" s="34"/>
      <c r="E775" s="34"/>
      <c r="F775" s="34"/>
      <c r="G775" s="34"/>
      <c r="H775" s="34"/>
      <c r="I775" s="29"/>
      <c r="J775" s="29"/>
      <c r="K775" s="29"/>
      <c r="L775" s="29"/>
      <c r="M775" s="34"/>
      <c r="N775" s="34"/>
      <c r="O775" s="29"/>
      <c r="P775" s="34"/>
      <c r="Q775" s="34"/>
      <c r="R775" s="34"/>
      <c r="S775" s="34"/>
      <c r="T775" s="34"/>
    </row>
    <row x14ac:dyDescent="0.25" r="776" customHeight="1" ht="18.75">
      <c r="A776" s="1"/>
      <c r="B776" s="150"/>
      <c r="C776" s="34"/>
      <c r="D776" s="34"/>
      <c r="E776" s="34"/>
      <c r="F776" s="34"/>
      <c r="G776" s="34"/>
      <c r="H776" s="34"/>
      <c r="I776" s="29"/>
      <c r="J776" s="29"/>
      <c r="K776" s="29"/>
      <c r="L776" s="29"/>
      <c r="M776" s="34"/>
      <c r="N776" s="34"/>
      <c r="O776" s="29"/>
      <c r="P776" s="34"/>
      <c r="Q776" s="34"/>
      <c r="R776" s="34"/>
      <c r="S776" s="34"/>
      <c r="T776" s="34"/>
    </row>
    <row x14ac:dyDescent="0.25" r="777" customHeight="1" ht="18.75">
      <c r="A777" s="1"/>
      <c r="B777" s="150"/>
      <c r="C777" s="34"/>
      <c r="D777" s="34"/>
      <c r="E777" s="34"/>
      <c r="F777" s="34"/>
      <c r="G777" s="34"/>
      <c r="H777" s="34"/>
      <c r="I777" s="29"/>
      <c r="J777" s="29"/>
      <c r="K777" s="29"/>
      <c r="L777" s="29"/>
      <c r="M777" s="34"/>
      <c r="N777" s="34"/>
      <c r="O777" s="29"/>
      <c r="P777" s="34"/>
      <c r="Q777" s="34"/>
      <c r="R777" s="34"/>
      <c r="S777" s="34"/>
      <c r="T777" s="34"/>
    </row>
    <row x14ac:dyDescent="0.25" r="778" customHeight="1" ht="18.75">
      <c r="A778" s="1"/>
      <c r="B778" s="150"/>
      <c r="C778" s="34"/>
      <c r="D778" s="34"/>
      <c r="E778" s="34"/>
      <c r="F778" s="34"/>
      <c r="G778" s="34"/>
      <c r="H778" s="34"/>
      <c r="I778" s="29"/>
      <c r="J778" s="29"/>
      <c r="K778" s="29"/>
      <c r="L778" s="29"/>
      <c r="M778" s="34"/>
      <c r="N778" s="34"/>
      <c r="O778" s="29"/>
      <c r="P778" s="34"/>
      <c r="Q778" s="34"/>
      <c r="R778" s="34"/>
      <c r="S778" s="34"/>
      <c r="T778" s="34"/>
    </row>
    <row x14ac:dyDescent="0.25" r="779" customHeight="1" ht="18.75">
      <c r="A779" s="1"/>
      <c r="B779" s="150"/>
      <c r="C779" s="34"/>
      <c r="D779" s="34"/>
      <c r="E779" s="34"/>
      <c r="F779" s="34"/>
      <c r="G779" s="34"/>
      <c r="H779" s="34"/>
      <c r="I779" s="29"/>
      <c r="J779" s="29"/>
      <c r="K779" s="29"/>
      <c r="L779" s="29"/>
      <c r="M779" s="34"/>
      <c r="N779" s="34"/>
      <c r="O779" s="29"/>
      <c r="P779" s="34"/>
      <c r="Q779" s="34"/>
      <c r="R779" s="34"/>
      <c r="S779" s="34"/>
      <c r="T779" s="34"/>
    </row>
    <row x14ac:dyDescent="0.25" r="780" customHeight="1" ht="18.75">
      <c r="A780" s="1"/>
      <c r="B780" s="150"/>
      <c r="C780" s="34"/>
      <c r="D780" s="34"/>
      <c r="E780" s="34"/>
      <c r="F780" s="34"/>
      <c r="G780" s="34"/>
      <c r="H780" s="34"/>
      <c r="I780" s="29"/>
      <c r="J780" s="29"/>
      <c r="K780" s="29"/>
      <c r="L780" s="29"/>
      <c r="M780" s="34"/>
      <c r="N780" s="34"/>
      <c r="O780" s="29"/>
      <c r="P780" s="34"/>
      <c r="Q780" s="34"/>
      <c r="R780" s="34"/>
      <c r="S780" s="34"/>
      <c r="T780" s="34"/>
    </row>
    <row x14ac:dyDescent="0.25" r="781" customHeight="1" ht="18.75">
      <c r="A781" s="1"/>
      <c r="B781" s="150"/>
      <c r="C781" s="34"/>
      <c r="D781" s="34"/>
      <c r="E781" s="34"/>
      <c r="F781" s="34"/>
      <c r="G781" s="34"/>
      <c r="H781" s="34"/>
      <c r="I781" s="29"/>
      <c r="J781" s="29"/>
      <c r="K781" s="29"/>
      <c r="L781" s="29"/>
      <c r="M781" s="34"/>
      <c r="N781" s="34"/>
      <c r="O781" s="29"/>
      <c r="P781" s="34"/>
      <c r="Q781" s="34"/>
      <c r="R781" s="34"/>
      <c r="S781" s="34"/>
      <c r="T781" s="34"/>
    </row>
    <row x14ac:dyDescent="0.25" r="782" customHeight="1" ht="18.75">
      <c r="A782" s="1"/>
      <c r="B782" s="150"/>
      <c r="C782" s="34"/>
      <c r="D782" s="34"/>
      <c r="E782" s="34"/>
      <c r="F782" s="34"/>
      <c r="G782" s="34"/>
      <c r="H782" s="34"/>
      <c r="I782" s="29"/>
      <c r="J782" s="29"/>
      <c r="K782" s="29"/>
      <c r="L782" s="29"/>
      <c r="M782" s="34"/>
      <c r="N782" s="34"/>
      <c r="O782" s="29"/>
      <c r="P782" s="34"/>
      <c r="Q782" s="34"/>
      <c r="R782" s="34"/>
      <c r="S782" s="34"/>
      <c r="T782" s="34"/>
    </row>
    <row x14ac:dyDescent="0.25" r="783" customHeight="1" ht="18.75">
      <c r="A783" s="1"/>
      <c r="B783" s="150"/>
      <c r="C783" s="34"/>
      <c r="D783" s="34"/>
      <c r="E783" s="34"/>
      <c r="F783" s="34"/>
      <c r="G783" s="34"/>
      <c r="H783" s="34"/>
      <c r="I783" s="29"/>
      <c r="J783" s="29"/>
      <c r="K783" s="29"/>
      <c r="L783" s="29"/>
      <c r="M783" s="34"/>
      <c r="N783" s="34"/>
      <c r="O783" s="29"/>
      <c r="P783" s="34"/>
      <c r="Q783" s="34"/>
      <c r="R783" s="34"/>
      <c r="S783" s="34"/>
      <c r="T783" s="34"/>
    </row>
    <row x14ac:dyDescent="0.25" r="784" customHeight="1" ht="18.75">
      <c r="A784" s="1"/>
      <c r="B784" s="150"/>
      <c r="C784" s="34"/>
      <c r="D784" s="34"/>
      <c r="E784" s="34"/>
      <c r="F784" s="34"/>
      <c r="G784" s="34"/>
      <c r="H784" s="34"/>
      <c r="I784" s="29"/>
      <c r="J784" s="29"/>
      <c r="K784" s="29"/>
      <c r="L784" s="29"/>
      <c r="M784" s="34"/>
      <c r="N784" s="34"/>
      <c r="O784" s="29"/>
      <c r="P784" s="34"/>
      <c r="Q784" s="34"/>
      <c r="R784" s="34"/>
      <c r="S784" s="34"/>
      <c r="T784" s="34"/>
    </row>
    <row x14ac:dyDescent="0.25" r="785" customHeight="1" ht="18.75">
      <c r="A785" s="1"/>
      <c r="B785" s="150"/>
      <c r="C785" s="34"/>
      <c r="D785" s="34"/>
      <c r="E785" s="34"/>
      <c r="F785" s="34"/>
      <c r="G785" s="34"/>
      <c r="H785" s="34"/>
      <c r="I785" s="29"/>
      <c r="J785" s="29"/>
      <c r="K785" s="29"/>
      <c r="L785" s="29"/>
      <c r="M785" s="34"/>
      <c r="N785" s="34"/>
      <c r="O785" s="29"/>
      <c r="P785" s="34"/>
      <c r="Q785" s="34"/>
      <c r="R785" s="34"/>
      <c r="S785" s="34"/>
      <c r="T785" s="34"/>
    </row>
    <row x14ac:dyDescent="0.25" r="786" customHeight="1" ht="18.75">
      <c r="A786" s="1"/>
      <c r="B786" s="150"/>
      <c r="C786" s="34"/>
      <c r="D786" s="34"/>
      <c r="E786" s="34"/>
      <c r="F786" s="34"/>
      <c r="G786" s="34"/>
      <c r="H786" s="34"/>
      <c r="I786" s="29"/>
      <c r="J786" s="29"/>
      <c r="K786" s="29"/>
      <c r="L786" s="29"/>
      <c r="M786" s="34"/>
      <c r="N786" s="34"/>
      <c r="O786" s="29"/>
      <c r="P786" s="34"/>
      <c r="Q786" s="34"/>
      <c r="R786" s="34"/>
      <c r="S786" s="34"/>
      <c r="T786" s="34"/>
    </row>
    <row x14ac:dyDescent="0.25" r="787" customHeight="1" ht="18.75">
      <c r="A787" s="1"/>
      <c r="B787" s="150"/>
      <c r="C787" s="34"/>
      <c r="D787" s="34"/>
      <c r="E787" s="34"/>
      <c r="F787" s="34"/>
      <c r="G787" s="34"/>
      <c r="H787" s="34"/>
      <c r="I787" s="29"/>
      <c r="J787" s="29"/>
      <c r="K787" s="29"/>
      <c r="L787" s="29"/>
      <c r="M787" s="34"/>
      <c r="N787" s="34"/>
      <c r="O787" s="29"/>
      <c r="P787" s="34"/>
      <c r="Q787" s="34"/>
      <c r="R787" s="34"/>
      <c r="S787" s="34"/>
      <c r="T787" s="34"/>
    </row>
    <row x14ac:dyDescent="0.25" r="788" customHeight="1" ht="18.75">
      <c r="A788" s="1"/>
      <c r="B788" s="150"/>
      <c r="C788" s="34"/>
      <c r="D788" s="34"/>
      <c r="E788" s="34"/>
      <c r="F788" s="34"/>
      <c r="G788" s="34"/>
      <c r="H788" s="34"/>
      <c r="I788" s="29"/>
      <c r="J788" s="29"/>
      <c r="K788" s="29"/>
      <c r="L788" s="29"/>
      <c r="M788" s="34"/>
      <c r="N788" s="34"/>
      <c r="O788" s="29"/>
      <c r="P788" s="34"/>
      <c r="Q788" s="34"/>
      <c r="R788" s="34"/>
      <c r="S788" s="34"/>
      <c r="T788" s="34"/>
    </row>
    <row x14ac:dyDescent="0.25" r="789" customHeight="1" ht="18.75">
      <c r="A789" s="1"/>
      <c r="B789" s="150"/>
      <c r="C789" s="34"/>
      <c r="D789" s="34"/>
      <c r="E789" s="34"/>
      <c r="F789" s="34"/>
      <c r="G789" s="34"/>
      <c r="H789" s="34"/>
      <c r="I789" s="29"/>
      <c r="J789" s="29"/>
      <c r="K789" s="29"/>
      <c r="L789" s="29"/>
      <c r="M789" s="34"/>
      <c r="N789" s="34"/>
      <c r="O789" s="29"/>
      <c r="P789" s="34"/>
      <c r="Q789" s="34"/>
      <c r="R789" s="34"/>
      <c r="S789" s="34"/>
      <c r="T789" s="34"/>
    </row>
    <row x14ac:dyDescent="0.25" r="790" customHeight="1" ht="18.75">
      <c r="A790" s="1"/>
      <c r="B790" s="150"/>
      <c r="C790" s="34"/>
      <c r="D790" s="34"/>
      <c r="E790" s="34"/>
      <c r="F790" s="34"/>
      <c r="G790" s="34"/>
      <c r="H790" s="34"/>
      <c r="I790" s="29"/>
      <c r="J790" s="29"/>
      <c r="K790" s="29"/>
      <c r="L790" s="29"/>
      <c r="M790" s="34"/>
      <c r="N790" s="34"/>
      <c r="O790" s="29"/>
      <c r="P790" s="34"/>
      <c r="Q790" s="34"/>
      <c r="R790" s="34"/>
      <c r="S790" s="34"/>
      <c r="T790" s="34"/>
    </row>
    <row x14ac:dyDescent="0.25" r="791" customHeight="1" ht="18.75">
      <c r="A791" s="1"/>
      <c r="B791" s="150"/>
      <c r="C791" s="34"/>
      <c r="D791" s="34"/>
      <c r="E791" s="34"/>
      <c r="F791" s="34"/>
      <c r="G791" s="34"/>
      <c r="H791" s="34"/>
      <c r="I791" s="29"/>
      <c r="J791" s="29"/>
      <c r="K791" s="29"/>
      <c r="L791" s="29"/>
      <c r="M791" s="34"/>
      <c r="N791" s="34"/>
      <c r="O791" s="29"/>
      <c r="P791" s="34"/>
      <c r="Q791" s="34"/>
      <c r="R791" s="34"/>
      <c r="S791" s="34"/>
      <c r="T791" s="34"/>
    </row>
    <row x14ac:dyDescent="0.25" r="792" customHeight="1" ht="18.75">
      <c r="A792" s="1"/>
      <c r="B792" s="150"/>
      <c r="C792" s="34"/>
      <c r="D792" s="34"/>
      <c r="E792" s="34"/>
      <c r="F792" s="34"/>
      <c r="G792" s="34"/>
      <c r="H792" s="34"/>
      <c r="I792" s="29"/>
      <c r="J792" s="29"/>
      <c r="K792" s="29"/>
      <c r="L792" s="29"/>
      <c r="M792" s="34"/>
      <c r="N792" s="34"/>
      <c r="O792" s="29"/>
      <c r="P792" s="34"/>
      <c r="Q792" s="34"/>
      <c r="R792" s="34"/>
      <c r="S792" s="34"/>
      <c r="T792" s="34"/>
    </row>
    <row x14ac:dyDescent="0.25" r="793" customHeight="1" ht="18.75">
      <c r="A793" s="1"/>
      <c r="B793" s="150"/>
      <c r="C793" s="34"/>
      <c r="D793" s="34"/>
      <c r="E793" s="34"/>
      <c r="F793" s="34"/>
      <c r="G793" s="34"/>
      <c r="H793" s="34"/>
      <c r="I793" s="29"/>
      <c r="J793" s="29"/>
      <c r="K793" s="29"/>
      <c r="L793" s="29"/>
      <c r="M793" s="34"/>
      <c r="N793" s="34"/>
      <c r="O793" s="29"/>
      <c r="P793" s="34"/>
      <c r="Q793" s="34"/>
      <c r="R793" s="34"/>
      <c r="S793" s="34"/>
      <c r="T793" s="34"/>
    </row>
    <row x14ac:dyDescent="0.25" r="794" customHeight="1" ht="18.75">
      <c r="A794" s="1"/>
      <c r="B794" s="150"/>
      <c r="C794" s="34"/>
      <c r="D794" s="34"/>
      <c r="E794" s="34"/>
      <c r="F794" s="34"/>
      <c r="G794" s="34"/>
      <c r="H794" s="34"/>
      <c r="I794" s="29"/>
      <c r="J794" s="29"/>
      <c r="K794" s="29"/>
      <c r="L794" s="29"/>
      <c r="M794" s="34"/>
      <c r="N794" s="34"/>
      <c r="O794" s="29"/>
      <c r="P794" s="34"/>
      <c r="Q794" s="34"/>
      <c r="R794" s="34"/>
      <c r="S794" s="34"/>
      <c r="T794" s="34"/>
    </row>
    <row x14ac:dyDescent="0.25" r="795" customHeight="1" ht="18.75">
      <c r="A795" s="1"/>
      <c r="B795" s="150"/>
      <c r="C795" s="34"/>
      <c r="D795" s="34"/>
      <c r="E795" s="34"/>
      <c r="F795" s="34"/>
      <c r="G795" s="34"/>
      <c r="H795" s="34"/>
      <c r="I795" s="29"/>
      <c r="J795" s="29"/>
      <c r="K795" s="29"/>
      <c r="L795" s="29"/>
      <c r="M795" s="34"/>
      <c r="N795" s="34"/>
      <c r="O795" s="29"/>
      <c r="P795" s="34"/>
      <c r="Q795" s="34"/>
      <c r="R795" s="34"/>
      <c r="S795" s="34"/>
      <c r="T795" s="34"/>
    </row>
    <row x14ac:dyDescent="0.25" r="796" customHeight="1" ht="18.75">
      <c r="A796" s="1"/>
      <c r="B796" s="150"/>
      <c r="C796" s="34"/>
      <c r="D796" s="34"/>
      <c r="E796" s="34"/>
      <c r="F796" s="34"/>
      <c r="G796" s="34"/>
      <c r="H796" s="34"/>
      <c r="I796" s="29"/>
      <c r="J796" s="29"/>
      <c r="K796" s="29"/>
      <c r="L796" s="29"/>
      <c r="M796" s="34"/>
      <c r="N796" s="34"/>
      <c r="O796" s="29"/>
      <c r="P796" s="34"/>
      <c r="Q796" s="34"/>
      <c r="R796" s="34"/>
      <c r="S796" s="34"/>
      <c r="T796" s="34"/>
    </row>
    <row x14ac:dyDescent="0.25" r="797" customHeight="1" ht="18.75">
      <c r="A797" s="1"/>
      <c r="B797" s="150"/>
      <c r="C797" s="34"/>
      <c r="D797" s="34"/>
      <c r="E797" s="34"/>
      <c r="F797" s="34"/>
      <c r="G797" s="34"/>
      <c r="H797" s="34"/>
      <c r="I797" s="29"/>
      <c r="J797" s="29"/>
      <c r="K797" s="29"/>
      <c r="L797" s="29"/>
      <c r="M797" s="34"/>
      <c r="N797" s="34"/>
      <c r="O797" s="29"/>
      <c r="P797" s="34"/>
      <c r="Q797" s="34"/>
      <c r="R797" s="34"/>
      <c r="S797" s="34"/>
      <c r="T797" s="34"/>
    </row>
    <row x14ac:dyDescent="0.25" r="798" customHeight="1" ht="18.75">
      <c r="A798" s="1"/>
      <c r="B798" s="150"/>
      <c r="C798" s="34"/>
      <c r="D798" s="34"/>
      <c r="E798" s="34"/>
      <c r="F798" s="34"/>
      <c r="G798" s="34"/>
      <c r="H798" s="34"/>
      <c r="I798" s="29"/>
      <c r="J798" s="29"/>
      <c r="K798" s="29"/>
      <c r="L798" s="29"/>
      <c r="M798" s="34"/>
      <c r="N798" s="34"/>
      <c r="O798" s="29"/>
      <c r="P798" s="34"/>
      <c r="Q798" s="34"/>
      <c r="R798" s="34"/>
      <c r="S798" s="34"/>
      <c r="T798" s="34"/>
    </row>
    <row x14ac:dyDescent="0.25" r="799" customHeight="1" ht="18.75">
      <c r="A799" s="1"/>
      <c r="B799" s="150"/>
      <c r="C799" s="34"/>
      <c r="D799" s="34"/>
      <c r="E799" s="34"/>
      <c r="F799" s="34"/>
      <c r="G799" s="34"/>
      <c r="H799" s="34"/>
      <c r="I799" s="29"/>
      <c r="J799" s="29"/>
      <c r="K799" s="29"/>
      <c r="L799" s="29"/>
      <c r="M799" s="34"/>
      <c r="N799" s="34"/>
      <c r="O799" s="29"/>
      <c r="P799" s="34"/>
      <c r="Q799" s="34"/>
      <c r="R799" s="34"/>
      <c r="S799" s="34"/>
      <c r="T799" s="34"/>
    </row>
    <row x14ac:dyDescent="0.25" r="800" customHeight="1" ht="18.75">
      <c r="A800" s="1"/>
      <c r="B800" s="150"/>
      <c r="C800" s="34"/>
      <c r="D800" s="34"/>
      <c r="E800" s="34"/>
      <c r="F800" s="34"/>
      <c r="G800" s="34"/>
      <c r="H800" s="34"/>
      <c r="I800" s="29"/>
      <c r="J800" s="29"/>
      <c r="K800" s="29"/>
      <c r="L800" s="29"/>
      <c r="M800" s="34"/>
      <c r="N800" s="34"/>
      <c r="O800" s="29"/>
      <c r="P800" s="34"/>
      <c r="Q800" s="34"/>
      <c r="R800" s="34"/>
      <c r="S800" s="34"/>
      <c r="T800" s="34"/>
    </row>
    <row x14ac:dyDescent="0.25" r="801" customHeight="1" ht="18.75">
      <c r="A801" s="1"/>
      <c r="B801" s="150"/>
      <c r="C801" s="34"/>
      <c r="D801" s="34"/>
      <c r="E801" s="34"/>
      <c r="F801" s="34"/>
      <c r="G801" s="34"/>
      <c r="H801" s="34"/>
      <c r="I801" s="29"/>
      <c r="J801" s="29"/>
      <c r="K801" s="29"/>
      <c r="L801" s="29"/>
      <c r="M801" s="34"/>
      <c r="N801" s="34"/>
      <c r="O801" s="29"/>
      <c r="P801" s="34"/>
      <c r="Q801" s="34"/>
      <c r="R801" s="34"/>
      <c r="S801" s="34"/>
      <c r="T801" s="34"/>
    </row>
    <row x14ac:dyDescent="0.25" r="802" customHeight="1" ht="18.75">
      <c r="A802" s="1"/>
      <c r="B802" s="150"/>
      <c r="C802" s="34"/>
      <c r="D802" s="34"/>
      <c r="E802" s="34"/>
      <c r="F802" s="34"/>
      <c r="G802" s="34"/>
      <c r="H802" s="34"/>
      <c r="I802" s="29"/>
      <c r="J802" s="29"/>
      <c r="K802" s="29"/>
      <c r="L802" s="29"/>
      <c r="M802" s="34"/>
      <c r="N802" s="34"/>
      <c r="O802" s="29"/>
      <c r="P802" s="34"/>
      <c r="Q802" s="34"/>
      <c r="R802" s="34"/>
      <c r="S802" s="34"/>
      <c r="T802" s="34"/>
    </row>
    <row x14ac:dyDescent="0.25" r="803" customHeight="1" ht="18.75">
      <c r="A803" s="1"/>
      <c r="B803" s="150"/>
      <c r="C803" s="34"/>
      <c r="D803" s="34"/>
      <c r="E803" s="34"/>
      <c r="F803" s="34"/>
      <c r="G803" s="34"/>
      <c r="H803" s="34"/>
      <c r="I803" s="29"/>
      <c r="J803" s="29"/>
      <c r="K803" s="29"/>
      <c r="L803" s="29"/>
      <c r="M803" s="34"/>
      <c r="N803" s="34"/>
      <c r="O803" s="29"/>
      <c r="P803" s="34"/>
      <c r="Q803" s="34"/>
      <c r="R803" s="34"/>
      <c r="S803" s="34"/>
      <c r="T803" s="34"/>
    </row>
    <row x14ac:dyDescent="0.25" r="804" customHeight="1" ht="18.75">
      <c r="A804" s="1"/>
      <c r="B804" s="150"/>
      <c r="C804" s="34"/>
      <c r="D804" s="34"/>
      <c r="E804" s="34"/>
      <c r="F804" s="34"/>
      <c r="G804" s="34"/>
      <c r="H804" s="34"/>
      <c r="I804" s="29"/>
      <c r="J804" s="29"/>
      <c r="K804" s="29"/>
      <c r="L804" s="29"/>
      <c r="M804" s="34"/>
      <c r="N804" s="34"/>
      <c r="O804" s="29"/>
      <c r="P804" s="34"/>
      <c r="Q804" s="34"/>
      <c r="R804" s="34"/>
      <c r="S804" s="34"/>
      <c r="T804" s="34"/>
    </row>
    <row x14ac:dyDescent="0.25" r="805" customHeight="1" ht="18.75">
      <c r="A805" s="1"/>
      <c r="B805" s="150"/>
      <c r="C805" s="34"/>
      <c r="D805" s="34"/>
      <c r="E805" s="34"/>
      <c r="F805" s="34"/>
      <c r="G805" s="34"/>
      <c r="H805" s="34"/>
      <c r="I805" s="29"/>
      <c r="J805" s="29"/>
      <c r="K805" s="29"/>
      <c r="L805" s="29"/>
      <c r="M805" s="34"/>
      <c r="N805" s="34"/>
      <c r="O805" s="29"/>
      <c r="P805" s="34"/>
      <c r="Q805" s="34"/>
      <c r="R805" s="34"/>
      <c r="S805" s="34"/>
      <c r="T805" s="34"/>
    </row>
    <row x14ac:dyDescent="0.25" r="806" customHeight="1" ht="18.75">
      <c r="A806" s="1"/>
      <c r="B806" s="150"/>
      <c r="C806" s="34"/>
      <c r="D806" s="34"/>
      <c r="E806" s="34"/>
      <c r="F806" s="34"/>
      <c r="G806" s="34"/>
      <c r="H806" s="34"/>
      <c r="I806" s="29"/>
      <c r="J806" s="29"/>
      <c r="K806" s="29"/>
      <c r="L806" s="29"/>
      <c r="M806" s="34"/>
      <c r="N806" s="34"/>
      <c r="O806" s="29"/>
      <c r="P806" s="34"/>
      <c r="Q806" s="34"/>
      <c r="R806" s="34"/>
      <c r="S806" s="34"/>
      <c r="T806" s="34"/>
    </row>
    <row x14ac:dyDescent="0.25" r="807" customHeight="1" ht="18.75">
      <c r="A807" s="1"/>
      <c r="B807" s="150"/>
      <c r="C807" s="34"/>
      <c r="D807" s="34"/>
      <c r="E807" s="34"/>
      <c r="F807" s="34"/>
      <c r="G807" s="34"/>
      <c r="H807" s="34"/>
      <c r="I807" s="29"/>
      <c r="J807" s="29"/>
      <c r="K807" s="29"/>
      <c r="L807" s="29"/>
      <c r="M807" s="34"/>
      <c r="N807" s="34"/>
      <c r="O807" s="29"/>
      <c r="P807" s="34"/>
      <c r="Q807" s="34"/>
      <c r="R807" s="34"/>
      <c r="S807" s="34"/>
      <c r="T807" s="34"/>
    </row>
    <row x14ac:dyDescent="0.25" r="808" customHeight="1" ht="18.75">
      <c r="A808" s="1"/>
      <c r="B808" s="150"/>
      <c r="C808" s="34"/>
      <c r="D808" s="34"/>
      <c r="E808" s="34"/>
      <c r="F808" s="34"/>
      <c r="G808" s="34"/>
      <c r="H808" s="34"/>
      <c r="I808" s="29"/>
      <c r="J808" s="29"/>
      <c r="K808" s="29"/>
      <c r="L808" s="29"/>
      <c r="M808" s="34"/>
      <c r="N808" s="34"/>
      <c r="O808" s="29"/>
      <c r="P808" s="34"/>
      <c r="Q808" s="34"/>
      <c r="R808" s="34"/>
      <c r="S808" s="34"/>
      <c r="T808" s="34"/>
    </row>
    <row x14ac:dyDescent="0.25" r="809" customHeight="1" ht="18.75">
      <c r="A809" s="1"/>
      <c r="B809" s="150"/>
      <c r="C809" s="34"/>
      <c r="D809" s="34"/>
      <c r="E809" s="34"/>
      <c r="F809" s="34"/>
      <c r="G809" s="34"/>
      <c r="H809" s="34"/>
      <c r="I809" s="29"/>
      <c r="J809" s="29"/>
      <c r="K809" s="29"/>
      <c r="L809" s="29"/>
      <c r="M809" s="34"/>
      <c r="N809" s="34"/>
      <c r="O809" s="29"/>
      <c r="P809" s="34"/>
      <c r="Q809" s="34"/>
      <c r="R809" s="34"/>
      <c r="S809" s="34"/>
      <c r="T809" s="34"/>
    </row>
    <row x14ac:dyDescent="0.25" r="810" customHeight="1" ht="18.75">
      <c r="A810" s="1"/>
      <c r="B810" s="150"/>
      <c r="C810" s="34"/>
      <c r="D810" s="34"/>
      <c r="E810" s="34"/>
      <c r="F810" s="34"/>
      <c r="G810" s="34"/>
      <c r="H810" s="34"/>
      <c r="I810" s="29"/>
      <c r="J810" s="29"/>
      <c r="K810" s="29"/>
      <c r="L810" s="29"/>
      <c r="M810" s="34"/>
      <c r="N810" s="34"/>
      <c r="O810" s="29"/>
      <c r="P810" s="34"/>
      <c r="Q810" s="34"/>
      <c r="R810" s="34"/>
      <c r="S810" s="34"/>
      <c r="T810" s="34"/>
    </row>
    <row x14ac:dyDescent="0.25" r="811" customHeight="1" ht="18.75">
      <c r="A811" s="1"/>
      <c r="B811" s="150"/>
      <c r="C811" s="34"/>
      <c r="D811" s="34"/>
      <c r="E811" s="34"/>
      <c r="F811" s="34"/>
      <c r="G811" s="34"/>
      <c r="H811" s="34"/>
      <c r="I811" s="29"/>
      <c r="J811" s="29"/>
      <c r="K811" s="29"/>
      <c r="L811" s="29"/>
      <c r="M811" s="34"/>
      <c r="N811" s="34"/>
      <c r="O811" s="29"/>
      <c r="P811" s="34"/>
      <c r="Q811" s="34"/>
      <c r="R811" s="34"/>
      <c r="S811" s="34"/>
      <c r="T811" s="34"/>
    </row>
    <row x14ac:dyDescent="0.25" r="812" customHeight="1" ht="18.75">
      <c r="A812" s="1"/>
      <c r="B812" s="150"/>
      <c r="C812" s="34"/>
      <c r="D812" s="34"/>
      <c r="E812" s="34"/>
      <c r="F812" s="34"/>
      <c r="G812" s="34"/>
      <c r="H812" s="34"/>
      <c r="I812" s="29"/>
      <c r="J812" s="29"/>
      <c r="K812" s="29"/>
      <c r="L812" s="29"/>
      <c r="M812" s="34"/>
      <c r="N812" s="34"/>
      <c r="O812" s="29"/>
      <c r="P812" s="34"/>
      <c r="Q812" s="34"/>
      <c r="R812" s="34"/>
      <c r="S812" s="34"/>
      <c r="T812" s="34"/>
    </row>
    <row x14ac:dyDescent="0.25" r="813" customHeight="1" ht="18.75">
      <c r="A813" s="1"/>
      <c r="B813" s="150"/>
      <c r="C813" s="34"/>
      <c r="D813" s="34"/>
      <c r="E813" s="34"/>
      <c r="F813" s="34"/>
      <c r="G813" s="34"/>
      <c r="H813" s="34"/>
      <c r="I813" s="29"/>
      <c r="J813" s="29"/>
      <c r="K813" s="29"/>
      <c r="L813" s="29"/>
      <c r="M813" s="34"/>
      <c r="N813" s="34"/>
      <c r="O813" s="29"/>
      <c r="P813" s="34"/>
      <c r="Q813" s="34"/>
      <c r="R813" s="34"/>
      <c r="S813" s="34"/>
      <c r="T813" s="34"/>
    </row>
    <row x14ac:dyDescent="0.25" r="814" customHeight="1" ht="18.75">
      <c r="A814" s="1"/>
      <c r="B814" s="150"/>
      <c r="C814" s="34"/>
      <c r="D814" s="34"/>
      <c r="E814" s="34"/>
      <c r="F814" s="34"/>
      <c r="G814" s="34"/>
      <c r="H814" s="34"/>
      <c r="I814" s="29"/>
      <c r="J814" s="29"/>
      <c r="K814" s="29"/>
      <c r="L814" s="29"/>
      <c r="M814" s="34"/>
      <c r="N814" s="34"/>
      <c r="O814" s="29"/>
      <c r="P814" s="34"/>
      <c r="Q814" s="34"/>
      <c r="R814" s="34"/>
      <c r="S814" s="34"/>
      <c r="T814" s="34"/>
    </row>
    <row x14ac:dyDescent="0.25" r="815" customHeight="1" ht="18.75">
      <c r="A815" s="1"/>
      <c r="B815" s="150"/>
      <c r="C815" s="34"/>
      <c r="D815" s="34"/>
      <c r="E815" s="34"/>
      <c r="F815" s="34"/>
      <c r="G815" s="34"/>
      <c r="H815" s="34"/>
      <c r="I815" s="29"/>
      <c r="J815" s="29"/>
      <c r="K815" s="29"/>
      <c r="L815" s="29"/>
      <c r="M815" s="34"/>
      <c r="N815" s="34"/>
      <c r="O815" s="29"/>
      <c r="P815" s="34"/>
      <c r="Q815" s="34"/>
      <c r="R815" s="34"/>
      <c r="S815" s="34"/>
      <c r="T815" s="34"/>
    </row>
    <row x14ac:dyDescent="0.25" r="816" customHeight="1" ht="18.75">
      <c r="A816" s="1"/>
      <c r="B816" s="150"/>
      <c r="C816" s="34"/>
      <c r="D816" s="34"/>
      <c r="E816" s="34"/>
      <c r="F816" s="34"/>
      <c r="G816" s="34"/>
      <c r="H816" s="34"/>
      <c r="I816" s="29"/>
      <c r="J816" s="29"/>
      <c r="K816" s="29"/>
      <c r="L816" s="29"/>
      <c r="M816" s="34"/>
      <c r="N816" s="34"/>
      <c r="O816" s="29"/>
      <c r="P816" s="34"/>
      <c r="Q816" s="34"/>
      <c r="R816" s="34"/>
      <c r="S816" s="34"/>
      <c r="T816" s="34"/>
    </row>
    <row x14ac:dyDescent="0.25" r="817" customHeight="1" ht="18.75">
      <c r="A817" s="1"/>
      <c r="B817" s="150"/>
      <c r="C817" s="34"/>
      <c r="D817" s="34"/>
      <c r="E817" s="34"/>
      <c r="F817" s="34"/>
      <c r="G817" s="34"/>
      <c r="H817" s="34"/>
      <c r="I817" s="29"/>
      <c r="J817" s="29"/>
      <c r="K817" s="29"/>
      <c r="L817" s="29"/>
      <c r="M817" s="34"/>
      <c r="N817" s="34"/>
      <c r="O817" s="29"/>
      <c r="P817" s="34"/>
      <c r="Q817" s="34"/>
      <c r="R817" s="34"/>
      <c r="S817" s="34"/>
      <c r="T817" s="34"/>
    </row>
    <row x14ac:dyDescent="0.25" r="818" customHeight="1" ht="18.75">
      <c r="A818" s="1"/>
      <c r="B818" s="150"/>
      <c r="C818" s="34"/>
      <c r="D818" s="34"/>
      <c r="E818" s="34"/>
      <c r="F818" s="34"/>
      <c r="G818" s="34"/>
      <c r="H818" s="34"/>
      <c r="I818" s="29"/>
      <c r="J818" s="29"/>
      <c r="K818" s="29"/>
      <c r="L818" s="29"/>
      <c r="M818" s="34"/>
      <c r="N818" s="34"/>
      <c r="O818" s="29"/>
      <c r="P818" s="34"/>
      <c r="Q818" s="34"/>
      <c r="R818" s="34"/>
      <c r="S818" s="34"/>
      <c r="T818" s="34"/>
    </row>
    <row x14ac:dyDescent="0.25" r="819" customHeight="1" ht="18.75">
      <c r="A819" s="1"/>
      <c r="B819" s="150"/>
      <c r="C819" s="34"/>
      <c r="D819" s="34"/>
      <c r="E819" s="34"/>
      <c r="F819" s="34"/>
      <c r="G819" s="34"/>
      <c r="H819" s="34"/>
      <c r="I819" s="29"/>
      <c r="J819" s="29"/>
      <c r="K819" s="29"/>
      <c r="L819" s="29"/>
      <c r="M819" s="34"/>
      <c r="N819" s="34"/>
      <c r="O819" s="29"/>
      <c r="P819" s="34"/>
      <c r="Q819" s="34"/>
      <c r="R819" s="34"/>
      <c r="S819" s="34"/>
      <c r="T819" s="34"/>
    </row>
    <row x14ac:dyDescent="0.25" r="820" customHeight="1" ht="18.75">
      <c r="A820" s="1"/>
      <c r="B820" s="150"/>
      <c r="C820" s="34"/>
      <c r="D820" s="34"/>
      <c r="E820" s="34"/>
      <c r="F820" s="34"/>
      <c r="G820" s="34"/>
      <c r="H820" s="34"/>
      <c r="I820" s="29"/>
      <c r="J820" s="29"/>
      <c r="K820" s="29"/>
      <c r="L820" s="29"/>
      <c r="M820" s="34"/>
      <c r="N820" s="34"/>
      <c r="O820" s="29"/>
      <c r="P820" s="34"/>
      <c r="Q820" s="34"/>
      <c r="R820" s="34"/>
      <c r="S820" s="34"/>
      <c r="T820" s="34"/>
    </row>
    <row x14ac:dyDescent="0.25" r="821" customHeight="1" ht="18.75">
      <c r="A821" s="1"/>
      <c r="B821" s="150"/>
      <c r="C821" s="34"/>
      <c r="D821" s="34"/>
      <c r="E821" s="34"/>
      <c r="F821" s="34"/>
      <c r="G821" s="34"/>
      <c r="H821" s="34"/>
      <c r="I821" s="29"/>
      <c r="J821" s="29"/>
      <c r="K821" s="29"/>
      <c r="L821" s="29"/>
      <c r="M821" s="34"/>
      <c r="N821" s="34"/>
      <c r="O821" s="29"/>
      <c r="P821" s="34"/>
      <c r="Q821" s="34"/>
      <c r="R821" s="34"/>
      <c r="S821" s="34"/>
      <c r="T821" s="34"/>
    </row>
    <row x14ac:dyDescent="0.25" r="822" customHeight="1" ht="18.75">
      <c r="A822" s="1"/>
      <c r="B822" s="150"/>
      <c r="C822" s="34"/>
      <c r="D822" s="34"/>
      <c r="E822" s="34"/>
      <c r="F822" s="34"/>
      <c r="G822" s="34"/>
      <c r="H822" s="34"/>
      <c r="I822" s="29"/>
      <c r="J822" s="29"/>
      <c r="K822" s="29"/>
      <c r="L822" s="29"/>
      <c r="M822" s="34"/>
      <c r="N822" s="34"/>
      <c r="O822" s="29"/>
      <c r="P822" s="34"/>
      <c r="Q822" s="34"/>
      <c r="R822" s="34"/>
      <c r="S822" s="34"/>
      <c r="T822" s="34"/>
    </row>
    <row x14ac:dyDescent="0.25" r="823" customHeight="1" ht="18.75">
      <c r="A823" s="1"/>
      <c r="B823" s="150"/>
      <c r="C823" s="34"/>
      <c r="D823" s="34"/>
      <c r="E823" s="34"/>
      <c r="F823" s="34"/>
      <c r="G823" s="34"/>
      <c r="H823" s="34"/>
      <c r="I823" s="29"/>
      <c r="J823" s="29"/>
      <c r="K823" s="29"/>
      <c r="L823" s="29"/>
      <c r="M823" s="34"/>
      <c r="N823" s="34"/>
      <c r="O823" s="29"/>
      <c r="P823" s="34"/>
      <c r="Q823" s="34"/>
      <c r="R823" s="34"/>
      <c r="S823" s="34"/>
      <c r="T823" s="34"/>
    </row>
    <row x14ac:dyDescent="0.25" r="824" customHeight="1" ht="18.75">
      <c r="A824" s="1"/>
      <c r="B824" s="150"/>
      <c r="C824" s="34"/>
      <c r="D824" s="34"/>
      <c r="E824" s="34"/>
      <c r="F824" s="34"/>
      <c r="G824" s="34"/>
      <c r="H824" s="34"/>
      <c r="I824" s="29"/>
      <c r="J824" s="29"/>
      <c r="K824" s="29"/>
      <c r="L824" s="29"/>
      <c r="M824" s="34"/>
      <c r="N824" s="34"/>
      <c r="O824" s="29"/>
      <c r="P824" s="34"/>
      <c r="Q824" s="34"/>
      <c r="R824" s="34"/>
      <c r="S824" s="34"/>
      <c r="T824" s="34"/>
    </row>
    <row x14ac:dyDescent="0.25" r="825" customHeight="1" ht="18.75">
      <c r="A825" s="1"/>
      <c r="B825" s="150"/>
      <c r="C825" s="34"/>
      <c r="D825" s="34"/>
      <c r="E825" s="34"/>
      <c r="F825" s="34"/>
      <c r="G825" s="34"/>
      <c r="H825" s="34"/>
      <c r="I825" s="29"/>
      <c r="J825" s="29"/>
      <c r="K825" s="29"/>
      <c r="L825" s="29"/>
      <c r="M825" s="34"/>
      <c r="N825" s="34"/>
      <c r="O825" s="29"/>
      <c r="P825" s="34"/>
      <c r="Q825" s="34"/>
      <c r="R825" s="34"/>
      <c r="S825" s="34"/>
      <c r="T825" s="34"/>
    </row>
    <row x14ac:dyDescent="0.25" r="826" customHeight="1" ht="18.75">
      <c r="A826" s="1"/>
      <c r="B826" s="150"/>
      <c r="C826" s="34"/>
      <c r="D826" s="34"/>
      <c r="E826" s="34"/>
      <c r="F826" s="34"/>
      <c r="G826" s="34"/>
      <c r="H826" s="34"/>
      <c r="I826" s="29"/>
      <c r="J826" s="29"/>
      <c r="K826" s="29"/>
      <c r="L826" s="29"/>
      <c r="M826" s="34"/>
      <c r="N826" s="34"/>
      <c r="O826" s="29"/>
      <c r="P826" s="34"/>
      <c r="Q826" s="34"/>
      <c r="R826" s="34"/>
      <c r="S826" s="34"/>
      <c r="T826" s="34"/>
    </row>
    <row x14ac:dyDescent="0.25" r="827" customHeight="1" ht="18.75">
      <c r="A827" s="1"/>
      <c r="B827" s="150"/>
      <c r="C827" s="34"/>
      <c r="D827" s="34"/>
      <c r="E827" s="34"/>
      <c r="F827" s="34"/>
      <c r="G827" s="34"/>
      <c r="H827" s="34"/>
      <c r="I827" s="29"/>
      <c r="J827" s="29"/>
      <c r="K827" s="29"/>
      <c r="L827" s="29"/>
      <c r="M827" s="34"/>
      <c r="N827" s="34"/>
      <c r="O827" s="29"/>
      <c r="P827" s="34"/>
      <c r="Q827" s="34"/>
      <c r="R827" s="34"/>
      <c r="S827" s="34"/>
      <c r="T827" s="34"/>
    </row>
    <row x14ac:dyDescent="0.25" r="828" customHeight="1" ht="18.75">
      <c r="A828" s="1"/>
      <c r="B828" s="150"/>
      <c r="C828" s="34"/>
      <c r="D828" s="34"/>
      <c r="E828" s="34"/>
      <c r="F828" s="34"/>
      <c r="G828" s="34"/>
      <c r="H828" s="34"/>
      <c r="I828" s="29"/>
      <c r="J828" s="29"/>
      <c r="K828" s="29"/>
      <c r="L828" s="29"/>
      <c r="M828" s="34"/>
      <c r="N828" s="34"/>
      <c r="O828" s="29"/>
      <c r="P828" s="34"/>
      <c r="Q828" s="34"/>
      <c r="R828" s="34"/>
      <c r="S828" s="34"/>
      <c r="T828" s="34"/>
    </row>
    <row x14ac:dyDescent="0.25" r="829" customHeight="1" ht="18.75">
      <c r="A829" s="1"/>
      <c r="B829" s="150"/>
      <c r="C829" s="34"/>
      <c r="D829" s="34"/>
      <c r="E829" s="34"/>
      <c r="F829" s="34"/>
      <c r="G829" s="34"/>
      <c r="H829" s="34"/>
      <c r="I829" s="29"/>
      <c r="J829" s="29"/>
      <c r="K829" s="29"/>
      <c r="L829" s="29"/>
      <c r="M829" s="34"/>
      <c r="N829" s="34"/>
      <c r="O829" s="29"/>
      <c r="P829" s="34"/>
      <c r="Q829" s="34"/>
      <c r="R829" s="34"/>
      <c r="S829" s="34"/>
      <c r="T829" s="34"/>
    </row>
    <row x14ac:dyDescent="0.25" r="830" customHeight="1" ht="18.75">
      <c r="A830" s="1"/>
      <c r="B830" s="150"/>
      <c r="C830" s="34"/>
      <c r="D830" s="34"/>
      <c r="E830" s="34"/>
      <c r="F830" s="34"/>
      <c r="G830" s="34"/>
      <c r="H830" s="34"/>
      <c r="I830" s="29"/>
      <c r="J830" s="29"/>
      <c r="K830" s="29"/>
      <c r="L830" s="29"/>
      <c r="M830" s="34"/>
      <c r="N830" s="34"/>
      <c r="O830" s="29"/>
      <c r="P830" s="34"/>
      <c r="Q830" s="34"/>
      <c r="R830" s="34"/>
      <c r="S830" s="34"/>
      <c r="T830" s="34"/>
    </row>
    <row x14ac:dyDescent="0.25" r="831" customHeight="1" ht="18.75">
      <c r="A831" s="1"/>
      <c r="B831" s="150"/>
      <c r="C831" s="34"/>
      <c r="D831" s="34"/>
      <c r="E831" s="34"/>
      <c r="F831" s="34"/>
      <c r="G831" s="34"/>
      <c r="H831" s="34"/>
      <c r="I831" s="29"/>
      <c r="J831" s="29"/>
      <c r="K831" s="29"/>
      <c r="L831" s="29"/>
      <c r="M831" s="34"/>
      <c r="N831" s="34"/>
      <c r="O831" s="29"/>
      <c r="P831" s="34"/>
      <c r="Q831" s="34"/>
      <c r="R831" s="34"/>
      <c r="S831" s="34"/>
      <c r="T831" s="34"/>
    </row>
    <row x14ac:dyDescent="0.25" r="832" customHeight="1" ht="18.75">
      <c r="A832" s="1"/>
      <c r="B832" s="150"/>
      <c r="C832" s="34"/>
      <c r="D832" s="34"/>
      <c r="E832" s="34"/>
      <c r="F832" s="34"/>
      <c r="G832" s="34"/>
      <c r="H832" s="34"/>
      <c r="I832" s="29"/>
      <c r="J832" s="29"/>
      <c r="K832" s="29"/>
      <c r="L832" s="29"/>
      <c r="M832" s="34"/>
      <c r="N832" s="34"/>
      <c r="O832" s="29"/>
      <c r="P832" s="34"/>
      <c r="Q832" s="34"/>
      <c r="R832" s="34"/>
      <c r="S832" s="34"/>
      <c r="T832" s="34"/>
    </row>
    <row x14ac:dyDescent="0.25" r="833" customHeight="1" ht="18.75">
      <c r="A833" s="1"/>
      <c r="B833" s="150"/>
      <c r="C833" s="34"/>
      <c r="D833" s="34"/>
      <c r="E833" s="34"/>
      <c r="F833" s="34"/>
      <c r="G833" s="34"/>
      <c r="H833" s="34"/>
      <c r="I833" s="29"/>
      <c r="J833" s="29"/>
      <c r="K833" s="29"/>
      <c r="L833" s="29"/>
      <c r="M833" s="34"/>
      <c r="N833" s="34"/>
      <c r="O833" s="29"/>
      <c r="P833" s="34"/>
      <c r="Q833" s="34"/>
      <c r="R833" s="34"/>
      <c r="S833" s="34"/>
      <c r="T833" s="34"/>
    </row>
    <row x14ac:dyDescent="0.25" r="834" customHeight="1" ht="18.75">
      <c r="A834" s="1"/>
      <c r="B834" s="150"/>
      <c r="C834" s="34"/>
      <c r="D834" s="34"/>
      <c r="E834" s="34"/>
      <c r="F834" s="34"/>
      <c r="G834" s="34"/>
      <c r="H834" s="34"/>
      <c r="I834" s="29"/>
      <c r="J834" s="29"/>
      <c r="K834" s="29"/>
      <c r="L834" s="29"/>
      <c r="M834" s="34"/>
      <c r="N834" s="34"/>
      <c r="O834" s="29"/>
      <c r="P834" s="34"/>
      <c r="Q834" s="34"/>
      <c r="R834" s="34"/>
      <c r="S834" s="34"/>
      <c r="T834" s="34"/>
    </row>
    <row x14ac:dyDescent="0.25" r="835" customHeight="1" ht="18.75">
      <c r="A835" s="1"/>
      <c r="B835" s="150"/>
      <c r="C835" s="34"/>
      <c r="D835" s="34"/>
      <c r="E835" s="34"/>
      <c r="F835" s="34"/>
      <c r="G835" s="34"/>
      <c r="H835" s="34"/>
      <c r="I835" s="29"/>
      <c r="J835" s="29"/>
      <c r="K835" s="29"/>
      <c r="L835" s="29"/>
      <c r="M835" s="34"/>
      <c r="N835" s="34"/>
      <c r="O835" s="29"/>
      <c r="P835" s="34"/>
      <c r="Q835" s="34"/>
      <c r="R835" s="34"/>
      <c r="S835" s="34"/>
      <c r="T835" s="34"/>
    </row>
    <row x14ac:dyDescent="0.25" r="836" customHeight="1" ht="18.75">
      <c r="A836" s="1"/>
      <c r="B836" s="150"/>
      <c r="C836" s="34"/>
      <c r="D836" s="34"/>
      <c r="E836" s="34"/>
      <c r="F836" s="34"/>
      <c r="G836" s="34"/>
      <c r="H836" s="34"/>
      <c r="I836" s="29"/>
      <c r="J836" s="29"/>
      <c r="K836" s="29"/>
      <c r="L836" s="29"/>
      <c r="M836" s="34"/>
      <c r="N836" s="34"/>
      <c r="O836" s="29"/>
      <c r="P836" s="34"/>
      <c r="Q836" s="34"/>
      <c r="R836" s="34"/>
      <c r="S836" s="34"/>
      <c r="T836" s="34"/>
    </row>
    <row x14ac:dyDescent="0.25" r="837" customHeight="1" ht="18.75">
      <c r="A837" s="1"/>
      <c r="B837" s="150"/>
      <c r="C837" s="34"/>
      <c r="D837" s="34"/>
      <c r="E837" s="34"/>
      <c r="F837" s="34"/>
      <c r="G837" s="34"/>
      <c r="H837" s="34"/>
      <c r="I837" s="29"/>
      <c r="J837" s="29"/>
      <c r="K837" s="29"/>
      <c r="L837" s="29"/>
      <c r="M837" s="34"/>
      <c r="N837" s="34"/>
      <c r="O837" s="29"/>
      <c r="P837" s="34"/>
      <c r="Q837" s="34"/>
      <c r="R837" s="34"/>
      <c r="S837" s="34"/>
      <c r="T837" s="34"/>
    </row>
    <row x14ac:dyDescent="0.25" r="838" customHeight="1" ht="18.75">
      <c r="A838" s="1"/>
      <c r="B838" s="150"/>
      <c r="C838" s="34"/>
      <c r="D838" s="34"/>
      <c r="E838" s="34"/>
      <c r="F838" s="34"/>
      <c r="G838" s="34"/>
      <c r="H838" s="34"/>
      <c r="I838" s="29"/>
      <c r="J838" s="29"/>
      <c r="K838" s="29"/>
      <c r="L838" s="29"/>
      <c r="M838" s="34"/>
      <c r="N838" s="34"/>
      <c r="O838" s="29"/>
      <c r="P838" s="34"/>
      <c r="Q838" s="34"/>
      <c r="R838" s="34"/>
      <c r="S838" s="34"/>
      <c r="T838" s="34"/>
    </row>
    <row x14ac:dyDescent="0.25" r="839" customHeight="1" ht="18.75">
      <c r="A839" s="1"/>
      <c r="B839" s="150"/>
      <c r="C839" s="34"/>
      <c r="D839" s="34"/>
      <c r="E839" s="34"/>
      <c r="F839" s="34"/>
      <c r="G839" s="34"/>
      <c r="H839" s="34"/>
      <c r="I839" s="29"/>
      <c r="J839" s="29"/>
      <c r="K839" s="29"/>
      <c r="L839" s="29"/>
      <c r="M839" s="34"/>
      <c r="N839" s="34"/>
      <c r="O839" s="29"/>
      <c r="P839" s="34"/>
      <c r="Q839" s="34"/>
      <c r="R839" s="34"/>
      <c r="S839" s="34"/>
      <c r="T839" s="34"/>
    </row>
    <row x14ac:dyDescent="0.25" r="840" customHeight="1" ht="18.75">
      <c r="A840" s="1"/>
      <c r="B840" s="150"/>
      <c r="C840" s="34"/>
      <c r="D840" s="34"/>
      <c r="E840" s="34"/>
      <c r="F840" s="34"/>
      <c r="G840" s="34"/>
      <c r="H840" s="34"/>
      <c r="I840" s="29"/>
      <c r="J840" s="29"/>
      <c r="K840" s="29"/>
      <c r="L840" s="29"/>
      <c r="M840" s="34"/>
      <c r="N840" s="34"/>
      <c r="O840" s="29"/>
      <c r="P840" s="34"/>
      <c r="Q840" s="34"/>
      <c r="R840" s="34"/>
      <c r="S840" s="34"/>
      <c r="T840" s="34"/>
    </row>
    <row x14ac:dyDescent="0.25" r="841" customHeight="1" ht="18.75">
      <c r="A841" s="1"/>
      <c r="B841" s="150"/>
      <c r="C841" s="34"/>
      <c r="D841" s="34"/>
      <c r="E841" s="34"/>
      <c r="F841" s="34"/>
      <c r="G841" s="34"/>
      <c r="H841" s="34"/>
      <c r="I841" s="29"/>
      <c r="J841" s="29"/>
      <c r="K841" s="29"/>
      <c r="L841" s="29"/>
      <c r="M841" s="34"/>
      <c r="N841" s="34"/>
      <c r="O841" s="29"/>
      <c r="P841" s="34"/>
      <c r="Q841" s="34"/>
      <c r="R841" s="34"/>
      <c r="S841" s="34"/>
      <c r="T841" s="34"/>
    </row>
    <row x14ac:dyDescent="0.25" r="842" customHeight="1" ht="18.75">
      <c r="A842" s="1"/>
      <c r="B842" s="150"/>
      <c r="C842" s="34"/>
      <c r="D842" s="34"/>
      <c r="E842" s="34"/>
      <c r="F842" s="34"/>
      <c r="G842" s="34"/>
      <c r="H842" s="34"/>
      <c r="I842" s="29"/>
      <c r="J842" s="29"/>
      <c r="K842" s="29"/>
      <c r="L842" s="29"/>
      <c r="M842" s="34"/>
      <c r="N842" s="34"/>
      <c r="O842" s="29"/>
      <c r="P842" s="34"/>
      <c r="Q842" s="34"/>
      <c r="R842" s="34"/>
      <c r="S842" s="34"/>
      <c r="T842" s="34"/>
    </row>
    <row x14ac:dyDescent="0.25" r="843" customHeight="1" ht="18.75">
      <c r="A843" s="1"/>
      <c r="B843" s="150"/>
      <c r="C843" s="34"/>
      <c r="D843" s="34"/>
      <c r="E843" s="34"/>
      <c r="F843" s="34"/>
      <c r="G843" s="34"/>
      <c r="H843" s="34"/>
      <c r="I843" s="29"/>
      <c r="J843" s="29"/>
      <c r="K843" s="29"/>
      <c r="L843" s="29"/>
      <c r="M843" s="34"/>
      <c r="N843" s="34"/>
      <c r="O843" s="29"/>
      <c r="P843" s="34"/>
      <c r="Q843" s="34"/>
      <c r="R843" s="34"/>
      <c r="S843" s="34"/>
      <c r="T843" s="34"/>
    </row>
    <row x14ac:dyDescent="0.25" r="844" customHeight="1" ht="18.75">
      <c r="A844" s="1"/>
      <c r="B844" s="150"/>
      <c r="C844" s="34"/>
      <c r="D844" s="34"/>
      <c r="E844" s="34"/>
      <c r="F844" s="34"/>
      <c r="G844" s="34"/>
      <c r="H844" s="34"/>
      <c r="I844" s="29"/>
      <c r="J844" s="29"/>
      <c r="K844" s="29"/>
      <c r="L844" s="29"/>
      <c r="M844" s="34"/>
      <c r="N844" s="34"/>
      <c r="O844" s="29"/>
      <c r="P844" s="34"/>
      <c r="Q844" s="34"/>
      <c r="R844" s="34"/>
      <c r="S844" s="34"/>
      <c r="T844" s="34"/>
    </row>
    <row x14ac:dyDescent="0.25" r="845" customHeight="1" ht="18.75">
      <c r="A845" s="1"/>
      <c r="B845" s="150"/>
      <c r="C845" s="34"/>
      <c r="D845" s="34"/>
      <c r="E845" s="34"/>
      <c r="F845" s="34"/>
      <c r="G845" s="34"/>
      <c r="H845" s="34"/>
      <c r="I845" s="29"/>
      <c r="J845" s="29"/>
      <c r="K845" s="29"/>
      <c r="L845" s="29"/>
      <c r="M845" s="34"/>
      <c r="N845" s="34"/>
      <c r="O845" s="29"/>
      <c r="P845" s="34"/>
      <c r="Q845" s="34"/>
      <c r="R845" s="34"/>
      <c r="S845" s="34"/>
      <c r="T845" s="34"/>
    </row>
    <row x14ac:dyDescent="0.25" r="846" customHeight="1" ht="18.75">
      <c r="A846" s="1"/>
      <c r="B846" s="150"/>
      <c r="C846" s="34"/>
      <c r="D846" s="34"/>
      <c r="E846" s="34"/>
      <c r="F846" s="34"/>
      <c r="G846" s="34"/>
      <c r="H846" s="34"/>
      <c r="I846" s="29"/>
      <c r="J846" s="29"/>
      <c r="K846" s="29"/>
      <c r="L846" s="29"/>
      <c r="M846" s="34"/>
      <c r="N846" s="34"/>
      <c r="O846" s="29"/>
      <c r="P846" s="34"/>
      <c r="Q846" s="34"/>
      <c r="R846" s="34"/>
      <c r="S846" s="34"/>
      <c r="T846" s="34"/>
    </row>
    <row x14ac:dyDescent="0.25" r="847" customHeight="1" ht="18.75">
      <c r="A847" s="1"/>
      <c r="B847" s="150"/>
      <c r="C847" s="34"/>
      <c r="D847" s="34"/>
      <c r="E847" s="34"/>
      <c r="F847" s="34"/>
      <c r="G847" s="34"/>
      <c r="H847" s="34"/>
      <c r="I847" s="29"/>
      <c r="J847" s="29"/>
      <c r="K847" s="29"/>
      <c r="L847" s="29"/>
      <c r="M847" s="34"/>
      <c r="N847" s="34"/>
      <c r="O847" s="29"/>
      <c r="P847" s="34"/>
      <c r="Q847" s="34"/>
      <c r="R847" s="34"/>
      <c r="S847" s="34"/>
      <c r="T847" s="34"/>
    </row>
    <row x14ac:dyDescent="0.25" r="848" customHeight="1" ht="18.75">
      <c r="A848" s="1"/>
      <c r="B848" s="150"/>
      <c r="C848" s="34"/>
      <c r="D848" s="34"/>
      <c r="E848" s="34"/>
      <c r="F848" s="34"/>
      <c r="G848" s="34"/>
      <c r="H848" s="34"/>
      <c r="I848" s="29"/>
      <c r="J848" s="29"/>
      <c r="K848" s="29"/>
      <c r="L848" s="29"/>
      <c r="M848" s="34"/>
      <c r="N848" s="34"/>
      <c r="O848" s="29"/>
      <c r="P848" s="34"/>
      <c r="Q848" s="34"/>
      <c r="R848" s="34"/>
      <c r="S848" s="34"/>
      <c r="T848" s="34"/>
    </row>
    <row x14ac:dyDescent="0.25" r="849" customHeight="1" ht="18.75">
      <c r="A849" s="1"/>
      <c r="B849" s="150"/>
      <c r="C849" s="34"/>
      <c r="D849" s="34"/>
      <c r="E849" s="34"/>
      <c r="F849" s="34"/>
      <c r="G849" s="34"/>
      <c r="H849" s="34"/>
      <c r="I849" s="29"/>
      <c r="J849" s="29"/>
      <c r="K849" s="29"/>
      <c r="L849" s="29"/>
      <c r="M849" s="34"/>
      <c r="N849" s="34"/>
      <c r="O849" s="29"/>
      <c r="P849" s="34"/>
      <c r="Q849" s="34"/>
      <c r="R849" s="34"/>
      <c r="S849" s="34"/>
      <c r="T849" s="34"/>
    </row>
    <row x14ac:dyDescent="0.25" r="850" customHeight="1" ht="18.75">
      <c r="A850" s="1"/>
      <c r="B850" s="150"/>
      <c r="C850" s="34"/>
      <c r="D850" s="34"/>
      <c r="E850" s="34"/>
      <c r="F850" s="34"/>
      <c r="G850" s="34"/>
      <c r="H850" s="34"/>
      <c r="I850" s="29"/>
      <c r="J850" s="29"/>
      <c r="K850" s="29"/>
      <c r="L850" s="29"/>
      <c r="M850" s="34"/>
      <c r="N850" s="34"/>
      <c r="O850" s="29"/>
      <c r="P850" s="34"/>
      <c r="Q850" s="34"/>
      <c r="R850" s="34"/>
      <c r="S850" s="34"/>
      <c r="T850" s="34"/>
    </row>
    <row x14ac:dyDescent="0.25" r="851" customHeight="1" ht="18.75">
      <c r="A851" s="1"/>
      <c r="B851" s="150"/>
      <c r="C851" s="34"/>
      <c r="D851" s="34"/>
      <c r="E851" s="34"/>
      <c r="F851" s="34"/>
      <c r="G851" s="34"/>
      <c r="H851" s="34"/>
      <c r="I851" s="29"/>
      <c r="J851" s="29"/>
      <c r="K851" s="29"/>
      <c r="L851" s="29"/>
      <c r="M851" s="34"/>
      <c r="N851" s="34"/>
      <c r="O851" s="29"/>
      <c r="P851" s="34"/>
      <c r="Q851" s="34"/>
      <c r="R851" s="34"/>
      <c r="S851" s="34"/>
      <c r="T851" s="34"/>
    </row>
    <row x14ac:dyDescent="0.25" r="852" customHeight="1" ht="18.75">
      <c r="A852" s="1"/>
      <c r="B852" s="150"/>
      <c r="C852" s="34"/>
      <c r="D852" s="34"/>
      <c r="E852" s="34"/>
      <c r="F852" s="34"/>
      <c r="G852" s="34"/>
      <c r="H852" s="34"/>
      <c r="I852" s="29"/>
      <c r="J852" s="29"/>
      <c r="K852" s="29"/>
      <c r="L852" s="29"/>
      <c r="M852" s="34"/>
      <c r="N852" s="34"/>
      <c r="O852" s="29"/>
      <c r="P852" s="34"/>
      <c r="Q852" s="34"/>
      <c r="R852" s="34"/>
      <c r="S852" s="34"/>
      <c r="T852" s="34"/>
    </row>
    <row x14ac:dyDescent="0.25" r="853" customHeight="1" ht="18.75">
      <c r="A853" s="1"/>
      <c r="B853" s="150"/>
      <c r="C853" s="34"/>
      <c r="D853" s="34"/>
      <c r="E853" s="34"/>
      <c r="F853" s="34"/>
      <c r="G853" s="34"/>
      <c r="H853" s="34"/>
      <c r="I853" s="29"/>
      <c r="J853" s="29"/>
      <c r="K853" s="29"/>
      <c r="L853" s="29"/>
      <c r="M853" s="34"/>
      <c r="N853" s="34"/>
      <c r="O853" s="29"/>
      <c r="P853" s="34"/>
      <c r="Q853" s="34"/>
      <c r="R853" s="34"/>
      <c r="S853" s="34"/>
      <c r="T853" s="34"/>
    </row>
    <row x14ac:dyDescent="0.25" r="854" customHeight="1" ht="18.75">
      <c r="A854" s="1"/>
      <c r="B854" s="150"/>
      <c r="C854" s="34"/>
      <c r="D854" s="34"/>
      <c r="E854" s="34"/>
      <c r="F854" s="34"/>
      <c r="G854" s="34"/>
      <c r="H854" s="34"/>
      <c r="I854" s="29"/>
      <c r="J854" s="29"/>
      <c r="K854" s="29"/>
      <c r="L854" s="29"/>
      <c r="M854" s="34"/>
      <c r="N854" s="34"/>
      <c r="O854" s="29"/>
      <c r="P854" s="34"/>
      <c r="Q854" s="34"/>
      <c r="R854" s="34"/>
      <c r="S854" s="34"/>
      <c r="T854" s="34"/>
    </row>
    <row x14ac:dyDescent="0.25" r="855" customHeight="1" ht="18.75">
      <c r="A855" s="1"/>
      <c r="B855" s="150"/>
      <c r="C855" s="34"/>
      <c r="D855" s="34"/>
      <c r="E855" s="34"/>
      <c r="F855" s="34"/>
      <c r="G855" s="34"/>
      <c r="H855" s="34"/>
      <c r="I855" s="29"/>
      <c r="J855" s="29"/>
      <c r="K855" s="29"/>
      <c r="L855" s="29"/>
      <c r="M855" s="34"/>
      <c r="N855" s="34"/>
      <c r="O855" s="29"/>
      <c r="P855" s="34"/>
      <c r="Q855" s="34"/>
      <c r="R855" s="34"/>
      <c r="S855" s="34"/>
      <c r="T855" s="34"/>
    </row>
    <row x14ac:dyDescent="0.25" r="856" customHeight="1" ht="18.75">
      <c r="A856" s="1"/>
      <c r="B856" s="150"/>
      <c r="C856" s="34"/>
      <c r="D856" s="34"/>
      <c r="E856" s="34"/>
      <c r="F856" s="34"/>
      <c r="G856" s="34"/>
      <c r="H856" s="34"/>
      <c r="I856" s="29"/>
      <c r="J856" s="29"/>
      <c r="K856" s="29"/>
      <c r="L856" s="29"/>
      <c r="M856" s="34"/>
      <c r="N856" s="34"/>
      <c r="O856" s="29"/>
      <c r="P856" s="34"/>
      <c r="Q856" s="34"/>
      <c r="R856" s="34"/>
      <c r="S856" s="34"/>
      <c r="T856" s="34"/>
    </row>
    <row x14ac:dyDescent="0.25" r="857" customHeight="1" ht="18.75">
      <c r="A857" s="1"/>
      <c r="B857" s="150"/>
      <c r="C857" s="34"/>
      <c r="D857" s="34"/>
      <c r="E857" s="34"/>
      <c r="F857" s="34"/>
      <c r="G857" s="34"/>
      <c r="H857" s="34"/>
      <c r="I857" s="29"/>
      <c r="J857" s="29"/>
      <c r="K857" s="29"/>
      <c r="L857" s="29"/>
      <c r="M857" s="34"/>
      <c r="N857" s="34"/>
      <c r="O857" s="29"/>
      <c r="P857" s="34"/>
      <c r="Q857" s="34"/>
      <c r="R857" s="34"/>
      <c r="S857" s="34"/>
      <c r="T857" s="34"/>
    </row>
    <row x14ac:dyDescent="0.25" r="858" customHeight="1" ht="18.75">
      <c r="A858" s="1"/>
      <c r="B858" s="150"/>
      <c r="C858" s="34"/>
      <c r="D858" s="34"/>
      <c r="E858" s="34"/>
      <c r="F858" s="34"/>
      <c r="G858" s="34"/>
      <c r="H858" s="34"/>
      <c r="I858" s="29"/>
      <c r="J858" s="29"/>
      <c r="K858" s="29"/>
      <c r="L858" s="29"/>
      <c r="M858" s="34"/>
      <c r="N858" s="34"/>
      <c r="O858" s="29"/>
      <c r="P858" s="34"/>
      <c r="Q858" s="34"/>
      <c r="R858" s="34"/>
      <c r="S858" s="34"/>
      <c r="T858" s="34"/>
    </row>
    <row x14ac:dyDescent="0.25" r="859" customHeight="1" ht="18.75">
      <c r="A859" s="1"/>
      <c r="B859" s="150"/>
      <c r="C859" s="34"/>
      <c r="D859" s="34"/>
      <c r="E859" s="34"/>
      <c r="F859" s="34"/>
      <c r="G859" s="34"/>
      <c r="H859" s="34"/>
      <c r="I859" s="29"/>
      <c r="J859" s="29"/>
      <c r="K859" s="29"/>
      <c r="L859" s="29"/>
      <c r="M859" s="34"/>
      <c r="N859" s="34"/>
      <c r="O859" s="29"/>
      <c r="P859" s="34"/>
      <c r="Q859" s="34"/>
      <c r="R859" s="34"/>
      <c r="S859" s="34"/>
      <c r="T859" s="34"/>
    </row>
    <row x14ac:dyDescent="0.25" r="860" customHeight="1" ht="18.75">
      <c r="A860" s="1"/>
      <c r="B860" s="150"/>
      <c r="C860" s="34"/>
      <c r="D860" s="34"/>
      <c r="E860" s="34"/>
      <c r="F860" s="34"/>
      <c r="G860" s="34"/>
      <c r="H860" s="34"/>
      <c r="I860" s="29"/>
      <c r="J860" s="29"/>
      <c r="K860" s="29"/>
      <c r="L860" s="29"/>
      <c r="M860" s="34"/>
      <c r="N860" s="34"/>
      <c r="O860" s="29"/>
      <c r="P860" s="34"/>
      <c r="Q860" s="34"/>
      <c r="R860" s="34"/>
      <c r="S860" s="34"/>
      <c r="T860" s="34"/>
    </row>
    <row x14ac:dyDescent="0.25" r="861" customHeight="1" ht="18.75">
      <c r="A861" s="1"/>
      <c r="B861" s="150"/>
      <c r="C861" s="34"/>
      <c r="D861" s="34"/>
      <c r="E861" s="34"/>
      <c r="F861" s="34"/>
      <c r="G861" s="34"/>
      <c r="H861" s="34"/>
      <c r="I861" s="29"/>
      <c r="J861" s="29"/>
      <c r="K861" s="29"/>
      <c r="L861" s="29"/>
      <c r="M861" s="34"/>
      <c r="N861" s="34"/>
      <c r="O861" s="29"/>
      <c r="P861" s="34"/>
      <c r="Q861" s="34"/>
      <c r="R861" s="34"/>
      <c r="S861" s="34"/>
      <c r="T861" s="34"/>
    </row>
    <row x14ac:dyDescent="0.25" r="862" customHeight="1" ht="18.75">
      <c r="A862" s="1"/>
      <c r="B862" s="150"/>
      <c r="C862" s="34"/>
      <c r="D862" s="34"/>
      <c r="E862" s="34"/>
      <c r="F862" s="34"/>
      <c r="G862" s="34"/>
      <c r="H862" s="34"/>
      <c r="I862" s="29"/>
      <c r="J862" s="29"/>
      <c r="K862" s="29"/>
      <c r="L862" s="29"/>
      <c r="M862" s="34"/>
      <c r="N862" s="34"/>
      <c r="O862" s="29"/>
      <c r="P862" s="34"/>
      <c r="Q862" s="34"/>
      <c r="R862" s="34"/>
      <c r="S862" s="34"/>
      <c r="T862" s="34"/>
    </row>
    <row x14ac:dyDescent="0.25" r="863" customHeight="1" ht="18.75">
      <c r="A863" s="1"/>
      <c r="B863" s="150"/>
      <c r="C863" s="34"/>
      <c r="D863" s="34"/>
      <c r="E863" s="34"/>
      <c r="F863" s="34"/>
      <c r="G863" s="34"/>
      <c r="H863" s="34"/>
      <c r="I863" s="29"/>
      <c r="J863" s="29"/>
      <c r="K863" s="29"/>
      <c r="L863" s="29"/>
      <c r="M863" s="34"/>
      <c r="N863" s="34"/>
      <c r="O863" s="29"/>
      <c r="P863" s="34"/>
      <c r="Q863" s="34"/>
      <c r="R863" s="34"/>
      <c r="S863" s="34"/>
      <c r="T863" s="34"/>
    </row>
    <row x14ac:dyDescent="0.25" r="864" customHeight="1" ht="18.75">
      <c r="A864" s="1"/>
      <c r="B864" s="150"/>
      <c r="C864" s="34"/>
      <c r="D864" s="34"/>
      <c r="E864" s="34"/>
      <c r="F864" s="34"/>
      <c r="G864" s="34"/>
      <c r="H864" s="34"/>
      <c r="I864" s="29"/>
      <c r="J864" s="29"/>
      <c r="K864" s="29"/>
      <c r="L864" s="29"/>
      <c r="M864" s="34"/>
      <c r="N864" s="34"/>
      <c r="O864" s="29"/>
      <c r="P864" s="34"/>
      <c r="Q864" s="34"/>
      <c r="R864" s="34"/>
      <c r="S864" s="34"/>
      <c r="T864" s="34"/>
    </row>
    <row x14ac:dyDescent="0.25" r="865" customHeight="1" ht="18.75">
      <c r="A865" s="1"/>
      <c r="B865" s="150"/>
      <c r="C865" s="34"/>
      <c r="D865" s="34"/>
      <c r="E865" s="34"/>
      <c r="F865" s="34"/>
      <c r="G865" s="34"/>
      <c r="H865" s="34"/>
      <c r="I865" s="29"/>
      <c r="J865" s="29"/>
      <c r="K865" s="29"/>
      <c r="L865" s="29"/>
      <c r="M865" s="34"/>
      <c r="N865" s="34"/>
      <c r="O865" s="29"/>
      <c r="P865" s="34"/>
      <c r="Q865" s="34"/>
      <c r="R865" s="34"/>
      <c r="S865" s="34"/>
      <c r="T865" s="34"/>
    </row>
    <row x14ac:dyDescent="0.25" r="866" customHeight="1" ht="18.75">
      <c r="A866" s="1"/>
      <c r="B866" s="150"/>
      <c r="C866" s="34"/>
      <c r="D866" s="34"/>
      <c r="E866" s="34"/>
      <c r="F866" s="34"/>
      <c r="G866" s="34"/>
      <c r="H866" s="34"/>
      <c r="I866" s="29"/>
      <c r="J866" s="29"/>
      <c r="K866" s="29"/>
      <c r="L866" s="29"/>
      <c r="M866" s="34"/>
      <c r="N866" s="34"/>
      <c r="O866" s="29"/>
      <c r="P866" s="34"/>
      <c r="Q866" s="34"/>
      <c r="R866" s="34"/>
      <c r="S866" s="34"/>
      <c r="T866" s="34"/>
    </row>
    <row x14ac:dyDescent="0.25" r="867" customHeight="1" ht="18.75">
      <c r="A867" s="1"/>
      <c r="B867" s="150"/>
      <c r="C867" s="34"/>
      <c r="D867" s="34"/>
      <c r="E867" s="34"/>
      <c r="F867" s="34"/>
      <c r="G867" s="34"/>
      <c r="H867" s="34"/>
      <c r="I867" s="29"/>
      <c r="J867" s="29"/>
      <c r="K867" s="29"/>
      <c r="L867" s="29"/>
      <c r="M867" s="34"/>
      <c r="N867" s="34"/>
      <c r="O867" s="29"/>
      <c r="P867" s="34"/>
      <c r="Q867" s="34"/>
      <c r="R867" s="34"/>
      <c r="S867" s="34"/>
      <c r="T867" s="34"/>
    </row>
    <row x14ac:dyDescent="0.25" r="868" customHeight="1" ht="18.75">
      <c r="A868" s="1"/>
      <c r="B868" s="150"/>
      <c r="C868" s="34"/>
      <c r="D868" s="34"/>
      <c r="E868" s="34"/>
      <c r="F868" s="34"/>
      <c r="G868" s="34"/>
      <c r="H868" s="34"/>
      <c r="I868" s="29"/>
      <c r="J868" s="29"/>
      <c r="K868" s="29"/>
      <c r="L868" s="29"/>
      <c r="M868" s="34"/>
      <c r="N868" s="34"/>
      <c r="O868" s="29"/>
      <c r="P868" s="34"/>
      <c r="Q868" s="34"/>
      <c r="R868" s="34"/>
      <c r="S868" s="34"/>
      <c r="T868" s="34"/>
    </row>
    <row x14ac:dyDescent="0.25" r="869" customHeight="1" ht="18.75">
      <c r="A869" s="1"/>
      <c r="B869" s="150"/>
      <c r="C869" s="34"/>
      <c r="D869" s="34"/>
      <c r="E869" s="34"/>
      <c r="F869" s="34"/>
      <c r="G869" s="34"/>
      <c r="H869" s="34"/>
      <c r="I869" s="29"/>
      <c r="J869" s="29"/>
      <c r="K869" s="29"/>
      <c r="L869" s="29"/>
      <c r="M869" s="34"/>
      <c r="N869" s="34"/>
      <c r="O869" s="29"/>
      <c r="P869" s="34"/>
      <c r="Q869" s="34"/>
      <c r="R869" s="34"/>
      <c r="S869" s="34"/>
      <c r="T869" s="34"/>
    </row>
    <row x14ac:dyDescent="0.25" r="870" customHeight="1" ht="18.75">
      <c r="A870" s="1"/>
      <c r="B870" s="150"/>
      <c r="C870" s="34"/>
      <c r="D870" s="34"/>
      <c r="E870" s="34"/>
      <c r="F870" s="34"/>
      <c r="G870" s="34"/>
      <c r="H870" s="34"/>
      <c r="I870" s="29"/>
      <c r="J870" s="29"/>
      <c r="K870" s="29"/>
      <c r="L870" s="29"/>
      <c r="M870" s="34"/>
      <c r="N870" s="34"/>
      <c r="O870" s="29"/>
      <c r="P870" s="34"/>
      <c r="Q870" s="34"/>
      <c r="R870" s="34"/>
      <c r="S870" s="34"/>
      <c r="T870" s="34"/>
    </row>
    <row x14ac:dyDescent="0.25" r="871" customHeight="1" ht="18.75">
      <c r="A871" s="1"/>
      <c r="B871" s="150"/>
      <c r="C871" s="34"/>
      <c r="D871" s="34"/>
      <c r="E871" s="34"/>
      <c r="F871" s="34"/>
      <c r="G871" s="34"/>
      <c r="H871" s="34"/>
      <c r="I871" s="29"/>
      <c r="J871" s="29"/>
      <c r="K871" s="29"/>
      <c r="L871" s="29"/>
      <c r="M871" s="34"/>
      <c r="N871" s="34"/>
      <c r="O871" s="29"/>
      <c r="P871" s="34"/>
      <c r="Q871" s="34"/>
      <c r="R871" s="34"/>
      <c r="S871" s="34"/>
      <c r="T871" s="34"/>
    </row>
    <row x14ac:dyDescent="0.25" r="872" customHeight="1" ht="18.75">
      <c r="A872" s="1"/>
      <c r="B872" s="150"/>
      <c r="C872" s="34"/>
      <c r="D872" s="34"/>
      <c r="E872" s="34"/>
      <c r="F872" s="34"/>
      <c r="G872" s="34"/>
      <c r="H872" s="34"/>
      <c r="I872" s="29"/>
      <c r="J872" s="29"/>
      <c r="K872" s="29"/>
      <c r="L872" s="29"/>
      <c r="M872" s="34"/>
      <c r="N872" s="34"/>
      <c r="O872" s="29"/>
      <c r="P872" s="34"/>
      <c r="Q872" s="34"/>
      <c r="R872" s="34"/>
      <c r="S872" s="34"/>
      <c r="T872" s="34"/>
    </row>
    <row x14ac:dyDescent="0.25" r="873" customHeight="1" ht="18.75">
      <c r="A873" s="1"/>
      <c r="B873" s="150"/>
      <c r="C873" s="34"/>
      <c r="D873" s="34"/>
      <c r="E873" s="34"/>
      <c r="F873" s="34"/>
      <c r="G873" s="34"/>
      <c r="H873" s="34"/>
      <c r="I873" s="29"/>
      <c r="J873" s="29"/>
      <c r="K873" s="29"/>
      <c r="L873" s="29"/>
      <c r="M873" s="34"/>
      <c r="N873" s="34"/>
      <c r="O873" s="29"/>
      <c r="P873" s="34"/>
      <c r="Q873" s="34"/>
      <c r="R873" s="34"/>
      <c r="S873" s="34"/>
      <c r="T873" s="34"/>
    </row>
    <row x14ac:dyDescent="0.25" r="874" customHeight="1" ht="18.75">
      <c r="A874" s="1"/>
      <c r="B874" s="150"/>
      <c r="C874" s="34"/>
      <c r="D874" s="34"/>
      <c r="E874" s="34"/>
      <c r="F874" s="34"/>
      <c r="G874" s="34"/>
      <c r="H874" s="34"/>
      <c r="I874" s="29"/>
      <c r="J874" s="29"/>
      <c r="K874" s="29"/>
      <c r="L874" s="29"/>
      <c r="M874" s="34"/>
      <c r="N874" s="34"/>
      <c r="O874" s="29"/>
      <c r="P874" s="34"/>
      <c r="Q874" s="34"/>
      <c r="R874" s="34"/>
      <c r="S874" s="34"/>
      <c r="T874" s="34"/>
    </row>
    <row x14ac:dyDescent="0.25" r="875" customHeight="1" ht="18.75">
      <c r="A875" s="1"/>
      <c r="B875" s="150"/>
      <c r="C875" s="34"/>
      <c r="D875" s="34"/>
      <c r="E875" s="34"/>
      <c r="F875" s="34"/>
      <c r="G875" s="34"/>
      <c r="H875" s="34"/>
      <c r="I875" s="29"/>
      <c r="J875" s="29"/>
      <c r="K875" s="29"/>
      <c r="L875" s="29"/>
      <c r="M875" s="34"/>
      <c r="N875" s="34"/>
      <c r="O875" s="29"/>
      <c r="P875" s="34"/>
      <c r="Q875" s="34"/>
      <c r="R875" s="34"/>
      <c r="S875" s="34"/>
      <c r="T875" s="34"/>
    </row>
    <row x14ac:dyDescent="0.25" r="876" customHeight="1" ht="18.75">
      <c r="A876" s="1"/>
      <c r="B876" s="150"/>
      <c r="C876" s="34"/>
      <c r="D876" s="34"/>
      <c r="E876" s="34"/>
      <c r="F876" s="34"/>
      <c r="G876" s="34"/>
      <c r="H876" s="34"/>
      <c r="I876" s="29"/>
      <c r="J876" s="29"/>
      <c r="K876" s="29"/>
      <c r="L876" s="29"/>
      <c r="M876" s="34"/>
      <c r="N876" s="34"/>
      <c r="O876" s="29"/>
      <c r="P876" s="34"/>
      <c r="Q876" s="34"/>
      <c r="R876" s="34"/>
      <c r="S876" s="34"/>
      <c r="T876" s="34"/>
    </row>
    <row x14ac:dyDescent="0.25" r="877" customHeight="1" ht="18.75">
      <c r="A877" s="1"/>
      <c r="B877" s="150"/>
      <c r="C877" s="34"/>
      <c r="D877" s="34"/>
      <c r="E877" s="34"/>
      <c r="F877" s="34"/>
      <c r="G877" s="34"/>
      <c r="H877" s="34"/>
      <c r="I877" s="29"/>
      <c r="J877" s="29"/>
      <c r="K877" s="29"/>
      <c r="L877" s="29"/>
      <c r="M877" s="34"/>
      <c r="N877" s="34"/>
      <c r="O877" s="29"/>
      <c r="P877" s="34"/>
      <c r="Q877" s="34"/>
      <c r="R877" s="34"/>
      <c r="S877" s="34"/>
      <c r="T877" s="34"/>
    </row>
    <row x14ac:dyDescent="0.25" r="878" customHeight="1" ht="18.75">
      <c r="A878" s="1"/>
      <c r="B878" s="150"/>
      <c r="C878" s="34"/>
      <c r="D878" s="34"/>
      <c r="E878" s="34"/>
      <c r="F878" s="34"/>
      <c r="G878" s="34"/>
      <c r="H878" s="34"/>
      <c r="I878" s="29"/>
      <c r="J878" s="29"/>
      <c r="K878" s="29"/>
      <c r="L878" s="29"/>
      <c r="M878" s="34"/>
      <c r="N878" s="34"/>
      <c r="O878" s="29"/>
      <c r="P878" s="34"/>
      <c r="Q878" s="34"/>
      <c r="R878" s="34"/>
      <c r="S878" s="34"/>
      <c r="T878" s="34"/>
    </row>
    <row x14ac:dyDescent="0.25" r="879" customHeight="1" ht="18.75">
      <c r="A879" s="1"/>
      <c r="B879" s="150"/>
      <c r="C879" s="34"/>
      <c r="D879" s="34"/>
      <c r="E879" s="34"/>
      <c r="F879" s="34"/>
      <c r="G879" s="34"/>
      <c r="H879" s="34"/>
      <c r="I879" s="29"/>
      <c r="J879" s="29"/>
      <c r="K879" s="29"/>
      <c r="L879" s="29"/>
      <c r="M879" s="34"/>
      <c r="N879" s="34"/>
      <c r="O879" s="29"/>
      <c r="P879" s="34"/>
      <c r="Q879" s="34"/>
      <c r="R879" s="34"/>
      <c r="S879" s="34"/>
      <c r="T879" s="34"/>
    </row>
    <row x14ac:dyDescent="0.25" r="880" customHeight="1" ht="18.75">
      <c r="A880" s="1"/>
      <c r="B880" s="150"/>
      <c r="C880" s="34"/>
      <c r="D880" s="34"/>
      <c r="E880" s="34"/>
      <c r="F880" s="34"/>
      <c r="G880" s="34"/>
      <c r="H880" s="34"/>
      <c r="I880" s="29"/>
      <c r="J880" s="29"/>
      <c r="K880" s="29"/>
      <c r="L880" s="29"/>
      <c r="M880" s="34"/>
      <c r="N880" s="34"/>
      <c r="O880" s="29"/>
      <c r="P880" s="34"/>
      <c r="Q880" s="34"/>
      <c r="R880" s="34"/>
      <c r="S880" s="34"/>
      <c r="T880" s="34"/>
    </row>
    <row x14ac:dyDescent="0.25" r="881" customHeight="1" ht="18.75">
      <c r="A881" s="1"/>
      <c r="B881" s="150"/>
      <c r="C881" s="34"/>
      <c r="D881" s="34"/>
      <c r="E881" s="34"/>
      <c r="F881" s="34"/>
      <c r="G881" s="34"/>
      <c r="H881" s="34"/>
      <c r="I881" s="29"/>
      <c r="J881" s="29"/>
      <c r="K881" s="29"/>
      <c r="L881" s="29"/>
      <c r="M881" s="34"/>
      <c r="N881" s="34"/>
      <c r="O881" s="29"/>
      <c r="P881" s="34"/>
      <c r="Q881" s="34"/>
      <c r="R881" s="34"/>
      <c r="S881" s="34"/>
      <c r="T881" s="34"/>
    </row>
    <row x14ac:dyDescent="0.25" r="882" customHeight="1" ht="18.75">
      <c r="A882" s="1"/>
      <c r="B882" s="150"/>
      <c r="C882" s="34"/>
      <c r="D882" s="34"/>
      <c r="E882" s="34"/>
      <c r="F882" s="34"/>
      <c r="G882" s="34"/>
      <c r="H882" s="34"/>
      <c r="I882" s="29"/>
      <c r="J882" s="29"/>
      <c r="K882" s="29"/>
      <c r="L882" s="29"/>
      <c r="M882" s="34"/>
      <c r="N882" s="34"/>
      <c r="O882" s="29"/>
      <c r="P882" s="34"/>
      <c r="Q882" s="34"/>
      <c r="R882" s="34"/>
      <c r="S882" s="34"/>
      <c r="T882" s="34"/>
    </row>
    <row x14ac:dyDescent="0.25" r="883" customHeight="1" ht="18.75">
      <c r="A883" s="1"/>
      <c r="B883" s="150"/>
      <c r="C883" s="34"/>
      <c r="D883" s="34"/>
      <c r="E883" s="34"/>
      <c r="F883" s="34"/>
      <c r="G883" s="34"/>
      <c r="H883" s="34"/>
      <c r="I883" s="29"/>
      <c r="J883" s="29"/>
      <c r="K883" s="29"/>
      <c r="L883" s="29"/>
      <c r="M883" s="34"/>
      <c r="N883" s="34"/>
      <c r="O883" s="29"/>
      <c r="P883" s="34"/>
      <c r="Q883" s="34"/>
      <c r="R883" s="34"/>
      <c r="S883" s="34"/>
      <c r="T883" s="34"/>
    </row>
    <row x14ac:dyDescent="0.25" r="884" customHeight="1" ht="18.75">
      <c r="A884" s="1"/>
      <c r="B884" s="150"/>
      <c r="C884" s="34"/>
      <c r="D884" s="34"/>
      <c r="E884" s="34"/>
      <c r="F884" s="34"/>
      <c r="G884" s="34"/>
      <c r="H884" s="34"/>
      <c r="I884" s="29"/>
      <c r="J884" s="29"/>
      <c r="K884" s="29"/>
      <c r="L884" s="29"/>
      <c r="M884" s="34"/>
      <c r="N884" s="34"/>
      <c r="O884" s="29"/>
      <c r="P884" s="34"/>
      <c r="Q884" s="34"/>
      <c r="R884" s="34"/>
      <c r="S884" s="34"/>
      <c r="T884" s="34"/>
    </row>
    <row x14ac:dyDescent="0.25" r="885" customHeight="1" ht="18.75">
      <c r="A885" s="1"/>
      <c r="B885" s="150"/>
      <c r="C885" s="34"/>
      <c r="D885" s="34"/>
      <c r="E885" s="34"/>
      <c r="F885" s="34"/>
      <c r="G885" s="34"/>
      <c r="H885" s="34"/>
      <c r="I885" s="29"/>
      <c r="J885" s="29"/>
      <c r="K885" s="29"/>
      <c r="L885" s="29"/>
      <c r="M885" s="34"/>
      <c r="N885" s="34"/>
      <c r="O885" s="29"/>
      <c r="P885" s="34"/>
      <c r="Q885" s="34"/>
      <c r="R885" s="34"/>
      <c r="S885" s="34"/>
      <c r="T885" s="34"/>
    </row>
    <row x14ac:dyDescent="0.25" r="886" customHeight="1" ht="18.75">
      <c r="A886" s="1"/>
      <c r="B886" s="150"/>
      <c r="C886" s="34"/>
      <c r="D886" s="34"/>
      <c r="E886" s="34"/>
      <c r="F886" s="34"/>
      <c r="G886" s="34"/>
      <c r="H886" s="34"/>
      <c r="I886" s="29"/>
      <c r="J886" s="29"/>
      <c r="K886" s="29"/>
      <c r="L886" s="29"/>
      <c r="M886" s="34"/>
      <c r="N886" s="34"/>
      <c r="O886" s="29"/>
      <c r="P886" s="34"/>
      <c r="Q886" s="34"/>
      <c r="R886" s="34"/>
      <c r="S886" s="34"/>
      <c r="T886" s="34"/>
    </row>
    <row x14ac:dyDescent="0.25" r="887" customHeight="1" ht="18.75">
      <c r="A887" s="1"/>
      <c r="B887" s="150"/>
      <c r="C887" s="34"/>
      <c r="D887" s="34"/>
      <c r="E887" s="34"/>
      <c r="F887" s="34"/>
      <c r="G887" s="34"/>
      <c r="H887" s="34"/>
      <c r="I887" s="29"/>
      <c r="J887" s="29"/>
      <c r="K887" s="29"/>
      <c r="L887" s="29"/>
      <c r="M887" s="34"/>
      <c r="N887" s="34"/>
      <c r="O887" s="29"/>
      <c r="P887" s="34"/>
      <c r="Q887" s="34"/>
      <c r="R887" s="34"/>
      <c r="S887" s="34"/>
      <c r="T887" s="34"/>
    </row>
    <row x14ac:dyDescent="0.25" r="888" customHeight="1" ht="18.75">
      <c r="A888" s="1"/>
      <c r="B888" s="150"/>
      <c r="C888" s="34"/>
      <c r="D888" s="34"/>
      <c r="E888" s="34"/>
      <c r="F888" s="34"/>
      <c r="G888" s="34"/>
      <c r="H888" s="34"/>
      <c r="I888" s="29"/>
      <c r="J888" s="29"/>
      <c r="K888" s="29"/>
      <c r="L888" s="29"/>
      <c r="M888" s="34"/>
      <c r="N888" s="34"/>
      <c r="O888" s="29"/>
      <c r="P888" s="34"/>
      <c r="Q888" s="34"/>
      <c r="R888" s="34"/>
      <c r="S888" s="34"/>
      <c r="T888" s="34"/>
    </row>
    <row x14ac:dyDescent="0.25" r="889" customHeight="1" ht="18.75">
      <c r="A889" s="1"/>
      <c r="B889" s="150"/>
      <c r="C889" s="34"/>
      <c r="D889" s="34"/>
      <c r="E889" s="34"/>
      <c r="F889" s="34"/>
      <c r="G889" s="34"/>
      <c r="H889" s="34"/>
      <c r="I889" s="29"/>
      <c r="J889" s="29"/>
      <c r="K889" s="29"/>
      <c r="L889" s="29"/>
      <c r="M889" s="34"/>
      <c r="N889" s="34"/>
      <c r="O889" s="29"/>
      <c r="P889" s="34"/>
      <c r="Q889" s="34"/>
      <c r="R889" s="34"/>
      <c r="S889" s="34"/>
      <c r="T889" s="34"/>
    </row>
    <row x14ac:dyDescent="0.25" r="890" customHeight="1" ht="18.75">
      <c r="A890" s="1"/>
      <c r="B890" s="150"/>
      <c r="C890" s="34"/>
      <c r="D890" s="34"/>
      <c r="E890" s="34"/>
      <c r="F890" s="34"/>
      <c r="G890" s="34"/>
      <c r="H890" s="34"/>
      <c r="I890" s="29"/>
      <c r="J890" s="29"/>
      <c r="K890" s="29"/>
      <c r="L890" s="29"/>
      <c r="M890" s="34"/>
      <c r="N890" s="34"/>
      <c r="O890" s="29"/>
      <c r="P890" s="34"/>
      <c r="Q890" s="34"/>
      <c r="R890" s="34"/>
      <c r="S890" s="34"/>
      <c r="T890" s="34"/>
    </row>
    <row x14ac:dyDescent="0.25" r="891" customHeight="1" ht="18.75">
      <c r="A891" s="1"/>
      <c r="B891" s="150"/>
      <c r="C891" s="34"/>
      <c r="D891" s="34"/>
      <c r="E891" s="34"/>
      <c r="F891" s="34"/>
      <c r="G891" s="34"/>
      <c r="H891" s="34"/>
      <c r="I891" s="29"/>
      <c r="J891" s="29"/>
      <c r="K891" s="29"/>
      <c r="L891" s="29"/>
      <c r="M891" s="34"/>
      <c r="N891" s="34"/>
      <c r="O891" s="29"/>
      <c r="P891" s="34"/>
      <c r="Q891" s="34"/>
      <c r="R891" s="34"/>
      <c r="S891" s="34"/>
      <c r="T891" s="34"/>
    </row>
    <row x14ac:dyDescent="0.25" r="892" customHeight="1" ht="18.75">
      <c r="A892" s="1"/>
      <c r="B892" s="150"/>
      <c r="C892" s="34"/>
      <c r="D892" s="34"/>
      <c r="E892" s="34"/>
      <c r="F892" s="34"/>
      <c r="G892" s="34"/>
      <c r="H892" s="34"/>
      <c r="I892" s="29"/>
      <c r="J892" s="29"/>
      <c r="K892" s="29"/>
      <c r="L892" s="29"/>
      <c r="M892" s="34"/>
      <c r="N892" s="34"/>
      <c r="O892" s="29"/>
      <c r="P892" s="34"/>
      <c r="Q892" s="34"/>
      <c r="R892" s="34"/>
      <c r="S892" s="34"/>
      <c r="T892" s="34"/>
    </row>
    <row x14ac:dyDescent="0.25" r="893" customHeight="1" ht="18.75">
      <c r="A893" s="1"/>
      <c r="B893" s="150"/>
      <c r="C893" s="34"/>
      <c r="D893" s="34"/>
      <c r="E893" s="34"/>
      <c r="F893" s="34"/>
      <c r="G893" s="34"/>
      <c r="H893" s="34"/>
      <c r="I893" s="29"/>
      <c r="J893" s="29"/>
      <c r="K893" s="29"/>
      <c r="L893" s="29"/>
      <c r="M893" s="34"/>
      <c r="N893" s="34"/>
      <c r="O893" s="29"/>
      <c r="P893" s="34"/>
      <c r="Q893" s="34"/>
      <c r="R893" s="34"/>
      <c r="S893" s="34"/>
      <c r="T893" s="34"/>
    </row>
    <row x14ac:dyDescent="0.25" r="894" customHeight="1" ht="18.75">
      <c r="A894" s="1"/>
      <c r="B894" s="150"/>
      <c r="C894" s="34"/>
      <c r="D894" s="34"/>
      <c r="E894" s="34"/>
      <c r="F894" s="34"/>
      <c r="G894" s="34"/>
      <c r="H894" s="34"/>
      <c r="I894" s="29"/>
      <c r="J894" s="29"/>
      <c r="K894" s="29"/>
      <c r="L894" s="29"/>
      <c r="M894" s="34"/>
      <c r="N894" s="34"/>
      <c r="O894" s="29"/>
      <c r="P894" s="34"/>
      <c r="Q894" s="34"/>
      <c r="R894" s="34"/>
      <c r="S894" s="34"/>
      <c r="T894" s="34"/>
    </row>
    <row x14ac:dyDescent="0.25" r="895" customHeight="1" ht="18.75">
      <c r="A895" s="1"/>
      <c r="B895" s="150"/>
      <c r="C895" s="34"/>
      <c r="D895" s="34"/>
      <c r="E895" s="34"/>
      <c r="F895" s="34"/>
      <c r="G895" s="34"/>
      <c r="H895" s="34"/>
      <c r="I895" s="29"/>
      <c r="J895" s="29"/>
      <c r="K895" s="29"/>
      <c r="L895" s="29"/>
      <c r="M895" s="34"/>
      <c r="N895" s="34"/>
      <c r="O895" s="29"/>
      <c r="P895" s="34"/>
      <c r="Q895" s="34"/>
      <c r="R895" s="34"/>
      <c r="S895" s="34"/>
      <c r="T895" s="34"/>
    </row>
    <row x14ac:dyDescent="0.25" r="896" customHeight="1" ht="18.75">
      <c r="A896" s="1"/>
      <c r="B896" s="150"/>
      <c r="C896" s="34"/>
      <c r="D896" s="34"/>
      <c r="E896" s="34"/>
      <c r="F896" s="34"/>
      <c r="G896" s="34"/>
      <c r="H896" s="34"/>
      <c r="I896" s="29"/>
      <c r="J896" s="29"/>
      <c r="K896" s="29"/>
      <c r="L896" s="29"/>
      <c r="M896" s="34"/>
      <c r="N896" s="34"/>
      <c r="O896" s="29"/>
      <c r="P896" s="34"/>
      <c r="Q896" s="34"/>
      <c r="R896" s="34"/>
      <c r="S896" s="34"/>
      <c r="T896" s="34"/>
    </row>
    <row x14ac:dyDescent="0.25" r="897" customHeight="1" ht="18.75">
      <c r="A897" s="1"/>
      <c r="B897" s="150"/>
      <c r="C897" s="34"/>
      <c r="D897" s="34"/>
      <c r="E897" s="34"/>
      <c r="F897" s="34"/>
      <c r="G897" s="34"/>
      <c r="H897" s="34"/>
      <c r="I897" s="29"/>
      <c r="J897" s="29"/>
      <c r="K897" s="29"/>
      <c r="L897" s="29"/>
      <c r="M897" s="34"/>
      <c r="N897" s="34"/>
      <c r="O897" s="29"/>
      <c r="P897" s="34"/>
      <c r="Q897" s="34"/>
      <c r="R897" s="34"/>
      <c r="S897" s="34"/>
      <c r="T897" s="34"/>
    </row>
    <row x14ac:dyDescent="0.25" r="898" customHeight="1" ht="18.75">
      <c r="A898" s="1"/>
      <c r="B898" s="150"/>
      <c r="C898" s="34"/>
      <c r="D898" s="34"/>
      <c r="E898" s="34"/>
      <c r="F898" s="34"/>
      <c r="G898" s="34"/>
      <c r="H898" s="34"/>
      <c r="I898" s="29"/>
      <c r="J898" s="29"/>
      <c r="K898" s="29"/>
      <c r="L898" s="29"/>
      <c r="M898" s="34"/>
      <c r="N898" s="34"/>
      <c r="O898" s="29"/>
      <c r="P898" s="34"/>
      <c r="Q898" s="34"/>
      <c r="R898" s="34"/>
      <c r="S898" s="34"/>
      <c r="T898" s="34"/>
    </row>
    <row x14ac:dyDescent="0.25" r="899" customHeight="1" ht="18.75">
      <c r="A899" s="1"/>
      <c r="B899" s="150"/>
      <c r="C899" s="34"/>
      <c r="D899" s="34"/>
      <c r="E899" s="34"/>
      <c r="F899" s="34"/>
      <c r="G899" s="34"/>
      <c r="H899" s="34"/>
      <c r="I899" s="29"/>
      <c r="J899" s="29"/>
      <c r="K899" s="29"/>
      <c r="L899" s="29"/>
      <c r="M899" s="34"/>
      <c r="N899" s="34"/>
      <c r="O899" s="29"/>
      <c r="P899" s="34"/>
      <c r="Q899" s="34"/>
      <c r="R899" s="34"/>
      <c r="S899" s="34"/>
      <c r="T899" s="34"/>
    </row>
    <row x14ac:dyDescent="0.25" r="900" customHeight="1" ht="18.75">
      <c r="A900" s="1"/>
      <c r="B900" s="150"/>
      <c r="C900" s="34"/>
      <c r="D900" s="34"/>
      <c r="E900" s="34"/>
      <c r="F900" s="34"/>
      <c r="G900" s="34"/>
      <c r="H900" s="34"/>
      <c r="I900" s="29"/>
      <c r="J900" s="29"/>
      <c r="K900" s="29"/>
      <c r="L900" s="29"/>
      <c r="M900" s="34"/>
      <c r="N900" s="34"/>
      <c r="O900" s="29"/>
      <c r="P900" s="34"/>
      <c r="Q900" s="34"/>
      <c r="R900" s="34"/>
      <c r="S900" s="34"/>
      <c r="T900" s="34"/>
    </row>
    <row x14ac:dyDescent="0.25" r="901" customHeight="1" ht="18.75">
      <c r="A901" s="1"/>
      <c r="B901" s="150"/>
      <c r="C901" s="34"/>
      <c r="D901" s="34"/>
      <c r="E901" s="34"/>
      <c r="F901" s="34"/>
      <c r="G901" s="34"/>
      <c r="H901" s="34"/>
      <c r="I901" s="29"/>
      <c r="J901" s="29"/>
      <c r="K901" s="29"/>
      <c r="L901" s="29"/>
      <c r="M901" s="34"/>
      <c r="N901" s="34"/>
      <c r="O901" s="29"/>
      <c r="P901" s="34"/>
      <c r="Q901" s="34"/>
      <c r="R901" s="34"/>
      <c r="S901" s="34"/>
      <c r="T901" s="34"/>
    </row>
    <row x14ac:dyDescent="0.25" r="902" customHeight="1" ht="18.75">
      <c r="A902" s="1"/>
      <c r="B902" s="150"/>
      <c r="C902" s="34"/>
      <c r="D902" s="34"/>
      <c r="E902" s="34"/>
      <c r="F902" s="34"/>
      <c r="G902" s="34"/>
      <c r="H902" s="34"/>
      <c r="I902" s="29"/>
      <c r="J902" s="29"/>
      <c r="K902" s="29"/>
      <c r="L902" s="29"/>
      <c r="M902" s="34"/>
      <c r="N902" s="34"/>
      <c r="O902" s="29"/>
      <c r="P902" s="34"/>
      <c r="Q902" s="34"/>
      <c r="R902" s="34"/>
      <c r="S902" s="34"/>
      <c r="T902" s="34"/>
    </row>
    <row x14ac:dyDescent="0.25" r="903" customHeight="1" ht="18.75">
      <c r="A903" s="1"/>
      <c r="B903" s="150"/>
      <c r="C903" s="34"/>
      <c r="D903" s="34"/>
      <c r="E903" s="34"/>
      <c r="F903" s="34"/>
      <c r="G903" s="34"/>
      <c r="H903" s="34"/>
      <c r="I903" s="29"/>
      <c r="J903" s="29"/>
      <c r="K903" s="29"/>
      <c r="L903" s="29"/>
      <c r="M903" s="34"/>
      <c r="N903" s="34"/>
      <c r="O903" s="29"/>
      <c r="P903" s="34"/>
      <c r="Q903" s="34"/>
      <c r="R903" s="34"/>
      <c r="S903" s="34"/>
      <c r="T903" s="34"/>
    </row>
    <row x14ac:dyDescent="0.25" r="904" customHeight="1" ht="18.75">
      <c r="A904" s="1"/>
      <c r="B904" s="150"/>
      <c r="C904" s="34"/>
      <c r="D904" s="34"/>
      <c r="E904" s="34"/>
      <c r="F904" s="34"/>
      <c r="G904" s="34"/>
      <c r="H904" s="34"/>
      <c r="I904" s="29"/>
      <c r="J904" s="29"/>
      <c r="K904" s="29"/>
      <c r="L904" s="29"/>
      <c r="M904" s="34"/>
      <c r="N904" s="34"/>
      <c r="O904" s="29"/>
      <c r="P904" s="34"/>
      <c r="Q904" s="34"/>
      <c r="R904" s="34"/>
      <c r="S904" s="34"/>
      <c r="T904" s="34"/>
    </row>
    <row x14ac:dyDescent="0.25" r="905" customHeight="1" ht="18.75">
      <c r="A905" s="1"/>
      <c r="B905" s="150"/>
      <c r="C905" s="34"/>
      <c r="D905" s="34"/>
      <c r="E905" s="34"/>
      <c r="F905" s="34"/>
      <c r="G905" s="34"/>
      <c r="H905" s="34"/>
      <c r="I905" s="29"/>
      <c r="J905" s="29"/>
      <c r="K905" s="29"/>
      <c r="L905" s="29"/>
      <c r="M905" s="34"/>
      <c r="N905" s="34"/>
      <c r="O905" s="29"/>
      <c r="P905" s="34"/>
      <c r="Q905" s="34"/>
      <c r="R905" s="34"/>
      <c r="S905" s="34"/>
      <c r="T905" s="34"/>
    </row>
    <row x14ac:dyDescent="0.25" r="906" customHeight="1" ht="18.75">
      <c r="A906" s="1"/>
      <c r="B906" s="150"/>
      <c r="C906" s="34"/>
      <c r="D906" s="34"/>
      <c r="E906" s="34"/>
      <c r="F906" s="34"/>
      <c r="G906" s="34"/>
      <c r="H906" s="34"/>
      <c r="I906" s="29"/>
      <c r="J906" s="29"/>
      <c r="K906" s="29"/>
      <c r="L906" s="29"/>
      <c r="M906" s="34"/>
      <c r="N906" s="34"/>
      <c r="O906" s="29"/>
      <c r="P906" s="34"/>
      <c r="Q906" s="34"/>
      <c r="R906" s="34"/>
      <c r="S906" s="34"/>
      <c r="T906" s="34"/>
    </row>
    <row x14ac:dyDescent="0.25" r="907" customHeight="1" ht="18.75">
      <c r="A907" s="1"/>
      <c r="B907" s="150"/>
      <c r="C907" s="34"/>
      <c r="D907" s="34"/>
      <c r="E907" s="34"/>
      <c r="F907" s="34"/>
      <c r="G907" s="34"/>
      <c r="H907" s="34"/>
      <c r="I907" s="29"/>
      <c r="J907" s="29"/>
      <c r="K907" s="29"/>
      <c r="L907" s="29"/>
      <c r="M907" s="34"/>
      <c r="N907" s="34"/>
      <c r="O907" s="29"/>
      <c r="P907" s="34"/>
      <c r="Q907" s="34"/>
      <c r="R907" s="34"/>
      <c r="S907" s="34"/>
      <c r="T907" s="34"/>
    </row>
    <row x14ac:dyDescent="0.25" r="908" customHeight="1" ht="18.75">
      <c r="A908" s="1"/>
      <c r="B908" s="150"/>
      <c r="C908" s="34"/>
      <c r="D908" s="34"/>
      <c r="E908" s="34"/>
      <c r="F908" s="34"/>
      <c r="G908" s="34"/>
      <c r="H908" s="34"/>
      <c r="I908" s="29"/>
      <c r="J908" s="29"/>
      <c r="K908" s="29"/>
      <c r="L908" s="29"/>
      <c r="M908" s="34"/>
      <c r="N908" s="34"/>
      <c r="O908" s="29"/>
      <c r="P908" s="34"/>
      <c r="Q908" s="34"/>
      <c r="R908" s="34"/>
      <c r="S908" s="34"/>
      <c r="T908" s="34"/>
    </row>
    <row x14ac:dyDescent="0.25" r="909" customHeight="1" ht="18.75">
      <c r="A909" s="1"/>
      <c r="B909" s="150"/>
      <c r="C909" s="34"/>
      <c r="D909" s="34"/>
      <c r="E909" s="34"/>
      <c r="F909" s="34"/>
      <c r="G909" s="34"/>
      <c r="H909" s="34"/>
      <c r="I909" s="29"/>
      <c r="J909" s="29"/>
      <c r="K909" s="29"/>
      <c r="L909" s="29"/>
      <c r="M909" s="34"/>
      <c r="N909" s="34"/>
      <c r="O909" s="29"/>
      <c r="P909" s="34"/>
      <c r="Q909" s="34"/>
      <c r="R909" s="34"/>
      <c r="S909" s="34"/>
      <c r="T909" s="34"/>
    </row>
    <row x14ac:dyDescent="0.25" r="910" customHeight="1" ht="18.75">
      <c r="A910" s="1"/>
      <c r="B910" s="150"/>
      <c r="C910" s="34"/>
      <c r="D910" s="34"/>
      <c r="E910" s="34"/>
      <c r="F910" s="34"/>
      <c r="G910" s="34"/>
      <c r="H910" s="34"/>
      <c r="I910" s="29"/>
      <c r="J910" s="29"/>
      <c r="K910" s="29"/>
      <c r="L910" s="29"/>
      <c r="M910" s="34"/>
      <c r="N910" s="34"/>
      <c r="O910" s="29"/>
      <c r="P910" s="34"/>
      <c r="Q910" s="34"/>
      <c r="R910" s="34"/>
      <c r="S910" s="34"/>
      <c r="T910" s="34"/>
    </row>
    <row x14ac:dyDescent="0.25" r="911" customHeight="1" ht="18.75">
      <c r="A911" s="1"/>
      <c r="B911" s="150"/>
      <c r="C911" s="34"/>
      <c r="D911" s="34"/>
      <c r="E911" s="34"/>
      <c r="F911" s="34"/>
      <c r="G911" s="34"/>
      <c r="H911" s="34"/>
      <c r="I911" s="29"/>
      <c r="J911" s="29"/>
      <c r="K911" s="29"/>
      <c r="L911" s="29"/>
      <c r="M911" s="34"/>
      <c r="N911" s="34"/>
      <c r="O911" s="29"/>
      <c r="P911" s="34"/>
      <c r="Q911" s="34"/>
      <c r="R911" s="34"/>
      <c r="S911" s="34"/>
      <c r="T911" s="34"/>
    </row>
    <row x14ac:dyDescent="0.25" r="912" customHeight="1" ht="18.75">
      <c r="A912" s="1"/>
      <c r="B912" s="150"/>
      <c r="C912" s="34"/>
      <c r="D912" s="34"/>
      <c r="E912" s="34"/>
      <c r="F912" s="34"/>
      <c r="G912" s="34"/>
      <c r="H912" s="34"/>
      <c r="I912" s="29"/>
      <c r="J912" s="29"/>
      <c r="K912" s="29"/>
      <c r="L912" s="29"/>
      <c r="M912" s="34"/>
      <c r="N912" s="34"/>
      <c r="O912" s="29"/>
      <c r="P912" s="34"/>
      <c r="Q912" s="34"/>
      <c r="R912" s="34"/>
      <c r="S912" s="34"/>
      <c r="T912" s="34"/>
    </row>
    <row x14ac:dyDescent="0.25" r="913" customHeight="1" ht="18.75">
      <c r="A913" s="1"/>
      <c r="B913" s="150"/>
      <c r="C913" s="34"/>
      <c r="D913" s="34"/>
      <c r="E913" s="34"/>
      <c r="F913" s="34"/>
      <c r="G913" s="34"/>
      <c r="H913" s="34"/>
      <c r="I913" s="29"/>
      <c r="J913" s="29"/>
      <c r="K913" s="29"/>
      <c r="L913" s="29"/>
      <c r="M913" s="34"/>
      <c r="N913" s="34"/>
      <c r="O913" s="29"/>
      <c r="P913" s="34"/>
      <c r="Q913" s="34"/>
      <c r="R913" s="34"/>
      <c r="S913" s="34"/>
      <c r="T913" s="34"/>
    </row>
    <row x14ac:dyDescent="0.25" r="914" customHeight="1" ht="18.75">
      <c r="A914" s="1"/>
      <c r="B914" s="150"/>
      <c r="C914" s="34"/>
      <c r="D914" s="34"/>
      <c r="E914" s="34"/>
      <c r="F914" s="34"/>
      <c r="G914" s="34"/>
      <c r="H914" s="34"/>
      <c r="I914" s="29"/>
      <c r="J914" s="29"/>
      <c r="K914" s="29"/>
      <c r="L914" s="29"/>
      <c r="M914" s="34"/>
      <c r="N914" s="34"/>
      <c r="O914" s="29"/>
      <c r="P914" s="34"/>
      <c r="Q914" s="34"/>
      <c r="R914" s="34"/>
      <c r="S914" s="34"/>
      <c r="T914" s="34"/>
    </row>
    <row x14ac:dyDescent="0.25" r="915" customHeight="1" ht="18.75">
      <c r="A915" s="1"/>
      <c r="B915" s="150"/>
      <c r="C915" s="34"/>
      <c r="D915" s="34"/>
      <c r="E915" s="34"/>
      <c r="F915" s="34"/>
      <c r="G915" s="34"/>
      <c r="H915" s="34"/>
      <c r="I915" s="29"/>
      <c r="J915" s="29"/>
      <c r="K915" s="29"/>
      <c r="L915" s="29"/>
      <c r="M915" s="34"/>
      <c r="N915" s="34"/>
      <c r="O915" s="29"/>
      <c r="P915" s="34"/>
      <c r="Q915" s="34"/>
      <c r="R915" s="34"/>
      <c r="S915" s="34"/>
      <c r="T915" s="34"/>
    </row>
    <row x14ac:dyDescent="0.25" r="916" customHeight="1" ht="18.75">
      <c r="A916" s="1"/>
      <c r="B916" s="150"/>
      <c r="C916" s="34"/>
      <c r="D916" s="34"/>
      <c r="E916" s="34"/>
      <c r="F916" s="34"/>
      <c r="G916" s="34"/>
      <c r="H916" s="34"/>
      <c r="I916" s="29"/>
      <c r="J916" s="29"/>
      <c r="K916" s="29"/>
      <c r="L916" s="29"/>
      <c r="M916" s="34"/>
      <c r="N916" s="34"/>
      <c r="O916" s="29"/>
      <c r="P916" s="34"/>
      <c r="Q916" s="34"/>
      <c r="R916" s="34"/>
      <c r="S916" s="34"/>
      <c r="T916" s="34"/>
    </row>
    <row x14ac:dyDescent="0.25" r="917" customHeight="1" ht="18.75">
      <c r="A917" s="1"/>
      <c r="B917" s="150"/>
      <c r="C917" s="34"/>
      <c r="D917" s="34"/>
      <c r="E917" s="34"/>
      <c r="F917" s="34"/>
      <c r="G917" s="34"/>
      <c r="H917" s="34"/>
      <c r="I917" s="29"/>
      <c r="J917" s="29"/>
      <c r="K917" s="29"/>
      <c r="L917" s="29"/>
      <c r="M917" s="34"/>
      <c r="N917" s="34"/>
      <c r="O917" s="29"/>
      <c r="P917" s="34"/>
      <c r="Q917" s="34"/>
      <c r="R917" s="34"/>
      <c r="S917" s="34"/>
      <c r="T917" s="34"/>
    </row>
    <row x14ac:dyDescent="0.25" r="918" customHeight="1" ht="18.75">
      <c r="A918" s="1"/>
      <c r="B918" s="150"/>
      <c r="C918" s="34"/>
      <c r="D918" s="34"/>
      <c r="E918" s="34"/>
      <c r="F918" s="34"/>
      <c r="G918" s="34"/>
      <c r="H918" s="34"/>
      <c r="I918" s="29"/>
      <c r="J918" s="29"/>
      <c r="K918" s="29"/>
      <c r="L918" s="29"/>
      <c r="M918" s="34"/>
      <c r="N918" s="34"/>
      <c r="O918" s="29"/>
      <c r="P918" s="34"/>
      <c r="Q918" s="34"/>
      <c r="R918" s="34"/>
      <c r="S918" s="34"/>
      <c r="T918" s="34"/>
    </row>
    <row x14ac:dyDescent="0.25" r="919" customHeight="1" ht="18.75">
      <c r="A919" s="1"/>
      <c r="B919" s="150"/>
      <c r="C919" s="34"/>
      <c r="D919" s="34"/>
      <c r="E919" s="34"/>
      <c r="F919" s="34"/>
      <c r="G919" s="34"/>
      <c r="H919" s="34"/>
      <c r="I919" s="29"/>
      <c r="J919" s="29"/>
      <c r="K919" s="29"/>
      <c r="L919" s="29"/>
      <c r="M919" s="34"/>
      <c r="N919" s="34"/>
      <c r="O919" s="29"/>
      <c r="P919" s="34"/>
      <c r="Q919" s="34"/>
      <c r="R919" s="34"/>
      <c r="S919" s="34"/>
      <c r="T919" s="34"/>
    </row>
    <row x14ac:dyDescent="0.25" r="920" customHeight="1" ht="18.75">
      <c r="A920" s="1"/>
      <c r="B920" s="150"/>
      <c r="C920" s="34"/>
      <c r="D920" s="34"/>
      <c r="E920" s="34"/>
      <c r="F920" s="34"/>
      <c r="G920" s="34"/>
      <c r="H920" s="34"/>
      <c r="I920" s="29"/>
      <c r="J920" s="29"/>
      <c r="K920" s="29"/>
      <c r="L920" s="29"/>
      <c r="M920" s="34"/>
      <c r="N920" s="34"/>
      <c r="O920" s="29"/>
      <c r="P920" s="34"/>
      <c r="Q920" s="34"/>
      <c r="R920" s="34"/>
      <c r="S920" s="34"/>
      <c r="T920" s="34"/>
    </row>
    <row x14ac:dyDescent="0.25" r="921" customHeight="1" ht="18.75">
      <c r="A921" s="1"/>
      <c r="B921" s="150"/>
      <c r="C921" s="34"/>
      <c r="D921" s="34"/>
      <c r="E921" s="34"/>
      <c r="F921" s="34"/>
      <c r="G921" s="34"/>
      <c r="H921" s="34"/>
      <c r="I921" s="29"/>
      <c r="J921" s="29"/>
      <c r="K921" s="29"/>
      <c r="L921" s="29"/>
      <c r="M921" s="34"/>
      <c r="N921" s="34"/>
      <c r="O921" s="29"/>
      <c r="P921" s="34"/>
      <c r="Q921" s="34"/>
      <c r="R921" s="34"/>
      <c r="S921" s="34"/>
      <c r="T921" s="34"/>
    </row>
    <row x14ac:dyDescent="0.25" r="922" customHeight="1" ht="18.75">
      <c r="A922" s="1"/>
      <c r="B922" s="150"/>
      <c r="C922" s="34"/>
      <c r="D922" s="34"/>
      <c r="E922" s="34"/>
      <c r="F922" s="34"/>
      <c r="G922" s="34"/>
      <c r="H922" s="34"/>
      <c r="I922" s="29"/>
      <c r="J922" s="29"/>
      <c r="K922" s="29"/>
      <c r="L922" s="29"/>
      <c r="M922" s="34"/>
      <c r="N922" s="34"/>
      <c r="O922" s="29"/>
      <c r="P922" s="34"/>
      <c r="Q922" s="34"/>
      <c r="R922" s="34"/>
      <c r="S922" s="34"/>
      <c r="T922" s="34"/>
    </row>
    <row x14ac:dyDescent="0.25" r="923" customHeight="1" ht="18.75">
      <c r="A923" s="1"/>
      <c r="B923" s="150"/>
      <c r="C923" s="34"/>
      <c r="D923" s="34"/>
      <c r="E923" s="34"/>
      <c r="F923" s="34"/>
      <c r="G923" s="34"/>
      <c r="H923" s="34"/>
      <c r="I923" s="29"/>
      <c r="J923" s="29"/>
      <c r="K923" s="29"/>
      <c r="L923" s="29"/>
      <c r="M923" s="34"/>
      <c r="N923" s="34"/>
      <c r="O923" s="29"/>
      <c r="P923" s="34"/>
      <c r="Q923" s="34"/>
      <c r="R923" s="34"/>
      <c r="S923" s="34"/>
      <c r="T923" s="34"/>
    </row>
    <row x14ac:dyDescent="0.25" r="924" customHeight="1" ht="18.75">
      <c r="A924" s="1"/>
      <c r="B924" s="150"/>
      <c r="C924" s="34"/>
      <c r="D924" s="34"/>
      <c r="E924" s="34"/>
      <c r="F924" s="34"/>
      <c r="G924" s="34"/>
      <c r="H924" s="34"/>
      <c r="I924" s="29"/>
      <c r="J924" s="29"/>
      <c r="K924" s="29"/>
      <c r="L924" s="29"/>
      <c r="M924" s="34"/>
      <c r="N924" s="34"/>
      <c r="O924" s="29"/>
      <c r="P924" s="34"/>
      <c r="Q924" s="34"/>
      <c r="R924" s="34"/>
      <c r="S924" s="34"/>
      <c r="T924" s="34"/>
    </row>
    <row x14ac:dyDescent="0.25" r="925" customHeight="1" ht="18.75">
      <c r="A925" s="1"/>
      <c r="B925" s="150"/>
      <c r="C925" s="34"/>
      <c r="D925" s="34"/>
      <c r="E925" s="34"/>
      <c r="F925" s="34"/>
      <c r="G925" s="34"/>
      <c r="H925" s="34"/>
      <c r="I925" s="29"/>
      <c r="J925" s="29"/>
      <c r="K925" s="29"/>
      <c r="L925" s="29"/>
      <c r="M925" s="34"/>
      <c r="N925" s="34"/>
      <c r="O925" s="29"/>
      <c r="P925" s="34"/>
      <c r="Q925" s="34"/>
      <c r="R925" s="34"/>
      <c r="S925" s="34"/>
      <c r="T925" s="34"/>
    </row>
    <row x14ac:dyDescent="0.25" r="926" customHeight="1" ht="18.75">
      <c r="A926" s="1"/>
      <c r="B926" s="150"/>
      <c r="C926" s="34"/>
      <c r="D926" s="34"/>
      <c r="E926" s="34"/>
      <c r="F926" s="34"/>
      <c r="G926" s="34"/>
      <c r="H926" s="34"/>
      <c r="I926" s="29"/>
      <c r="J926" s="29"/>
      <c r="K926" s="29"/>
      <c r="L926" s="29"/>
      <c r="M926" s="34"/>
      <c r="N926" s="34"/>
      <c r="O926" s="29"/>
      <c r="P926" s="34"/>
      <c r="Q926" s="34"/>
      <c r="R926" s="34"/>
      <c r="S926" s="34"/>
      <c r="T926" s="34"/>
    </row>
    <row x14ac:dyDescent="0.25" r="927" customHeight="1" ht="18.75">
      <c r="A927" s="1"/>
      <c r="B927" s="150"/>
      <c r="C927" s="34"/>
      <c r="D927" s="34"/>
      <c r="E927" s="34"/>
      <c r="F927" s="34"/>
      <c r="G927" s="34"/>
      <c r="H927" s="34"/>
      <c r="I927" s="29"/>
      <c r="J927" s="29"/>
      <c r="K927" s="29"/>
      <c r="L927" s="29"/>
      <c r="M927" s="34"/>
      <c r="N927" s="34"/>
      <c r="O927" s="29"/>
      <c r="P927" s="34"/>
      <c r="Q927" s="34"/>
      <c r="R927" s="34"/>
      <c r="S927" s="34"/>
      <c r="T927" s="34"/>
    </row>
    <row x14ac:dyDescent="0.25" r="928" customHeight="1" ht="18.75">
      <c r="A928" s="1"/>
      <c r="B928" s="150"/>
      <c r="C928" s="34"/>
      <c r="D928" s="34"/>
      <c r="E928" s="34"/>
      <c r="F928" s="34"/>
      <c r="G928" s="34"/>
      <c r="H928" s="34"/>
      <c r="I928" s="29"/>
      <c r="J928" s="29"/>
      <c r="K928" s="29"/>
      <c r="L928" s="29"/>
      <c r="M928" s="34"/>
      <c r="N928" s="34"/>
      <c r="O928" s="29"/>
      <c r="P928" s="34"/>
      <c r="Q928" s="34"/>
      <c r="R928" s="34"/>
      <c r="S928" s="34"/>
      <c r="T928" s="34"/>
    </row>
    <row x14ac:dyDescent="0.25" r="929" customHeight="1" ht="18.75">
      <c r="A929" s="1"/>
      <c r="B929" s="150"/>
      <c r="C929" s="34"/>
      <c r="D929" s="34"/>
      <c r="E929" s="34"/>
      <c r="F929" s="34"/>
      <c r="G929" s="34"/>
      <c r="H929" s="34"/>
      <c r="I929" s="29"/>
      <c r="J929" s="29"/>
      <c r="K929" s="29"/>
      <c r="L929" s="29"/>
      <c r="M929" s="34"/>
      <c r="N929" s="34"/>
      <c r="O929" s="29"/>
      <c r="P929" s="34"/>
      <c r="Q929" s="34"/>
      <c r="R929" s="34"/>
      <c r="S929" s="34"/>
      <c r="T929" s="34"/>
    </row>
    <row x14ac:dyDescent="0.25" r="930" customHeight="1" ht="18.75">
      <c r="A930" s="1"/>
      <c r="B930" s="150"/>
      <c r="C930" s="34"/>
      <c r="D930" s="34"/>
      <c r="E930" s="34"/>
      <c r="F930" s="34"/>
      <c r="G930" s="34"/>
      <c r="H930" s="34"/>
      <c r="I930" s="29"/>
      <c r="J930" s="29"/>
      <c r="K930" s="29"/>
      <c r="L930" s="29"/>
      <c r="M930" s="34"/>
      <c r="N930" s="34"/>
      <c r="O930" s="29"/>
      <c r="P930" s="34"/>
      <c r="Q930" s="34"/>
      <c r="R930" s="34"/>
      <c r="S930" s="34"/>
      <c r="T930" s="34"/>
    </row>
    <row x14ac:dyDescent="0.25" r="931" customHeight="1" ht="18.75">
      <c r="A931" s="1"/>
      <c r="B931" s="150"/>
      <c r="C931" s="34"/>
      <c r="D931" s="34"/>
      <c r="E931" s="34"/>
      <c r="F931" s="34"/>
      <c r="G931" s="34"/>
      <c r="H931" s="34"/>
      <c r="I931" s="29"/>
      <c r="J931" s="29"/>
      <c r="K931" s="29"/>
      <c r="L931" s="29"/>
      <c r="M931" s="34"/>
      <c r="N931" s="34"/>
      <c r="O931" s="29"/>
      <c r="P931" s="34"/>
      <c r="Q931" s="34"/>
      <c r="R931" s="34"/>
      <c r="S931" s="34"/>
      <c r="T931" s="34"/>
    </row>
    <row x14ac:dyDescent="0.25" r="932" customHeight="1" ht="18.75">
      <c r="A932" s="1"/>
      <c r="B932" s="150"/>
      <c r="C932" s="34"/>
      <c r="D932" s="34"/>
      <c r="E932" s="34"/>
      <c r="F932" s="34"/>
      <c r="G932" s="34"/>
      <c r="H932" s="34"/>
      <c r="I932" s="29"/>
      <c r="J932" s="29"/>
      <c r="K932" s="29"/>
      <c r="L932" s="29"/>
      <c r="M932" s="34"/>
      <c r="N932" s="34"/>
      <c r="O932" s="29"/>
      <c r="P932" s="34"/>
      <c r="Q932" s="34"/>
      <c r="R932" s="34"/>
      <c r="S932" s="34"/>
      <c r="T932" s="34"/>
    </row>
    <row x14ac:dyDescent="0.25" r="933" customHeight="1" ht="18.75">
      <c r="A933" s="1"/>
      <c r="B933" s="150"/>
      <c r="C933" s="34"/>
      <c r="D933" s="34"/>
      <c r="E933" s="34"/>
      <c r="F933" s="34"/>
      <c r="G933" s="34"/>
      <c r="H933" s="34"/>
      <c r="I933" s="29"/>
      <c r="J933" s="29"/>
      <c r="K933" s="29"/>
      <c r="L933" s="29"/>
      <c r="M933" s="34"/>
      <c r="N933" s="34"/>
      <c r="O933" s="29"/>
      <c r="P933" s="34"/>
      <c r="Q933" s="34"/>
      <c r="R933" s="34"/>
      <c r="S933" s="34"/>
      <c r="T933" s="34"/>
    </row>
    <row x14ac:dyDescent="0.25" r="934" customHeight="1" ht="18.75">
      <c r="A934" s="1"/>
      <c r="B934" s="150"/>
      <c r="C934" s="34"/>
      <c r="D934" s="34"/>
      <c r="E934" s="34"/>
      <c r="F934" s="34"/>
      <c r="G934" s="34"/>
      <c r="H934" s="34"/>
      <c r="I934" s="29"/>
      <c r="J934" s="29"/>
      <c r="K934" s="29"/>
      <c r="L934" s="29"/>
      <c r="M934" s="34"/>
      <c r="N934" s="34"/>
      <c r="O934" s="29"/>
      <c r="P934" s="34"/>
      <c r="Q934" s="34"/>
      <c r="R934" s="34"/>
      <c r="S934" s="34"/>
      <c r="T934" s="34"/>
    </row>
    <row x14ac:dyDescent="0.25" r="935" customHeight="1" ht="18.75">
      <c r="A935" s="1"/>
      <c r="B935" s="150"/>
      <c r="C935" s="34"/>
      <c r="D935" s="34"/>
      <c r="E935" s="34"/>
      <c r="F935" s="34"/>
      <c r="G935" s="34"/>
      <c r="H935" s="34"/>
      <c r="I935" s="29"/>
      <c r="J935" s="29"/>
      <c r="K935" s="29"/>
      <c r="L935" s="29"/>
      <c r="M935" s="34"/>
      <c r="N935" s="34"/>
      <c r="O935" s="29"/>
      <c r="P935" s="34"/>
      <c r="Q935" s="34"/>
      <c r="R935" s="34"/>
      <c r="S935" s="34"/>
      <c r="T935" s="34"/>
    </row>
    <row x14ac:dyDescent="0.25" r="936" customHeight="1" ht="18.75">
      <c r="A936" s="1"/>
      <c r="B936" s="150"/>
      <c r="C936" s="34"/>
      <c r="D936" s="34"/>
      <c r="E936" s="34"/>
      <c r="F936" s="34"/>
      <c r="G936" s="34"/>
      <c r="H936" s="34"/>
      <c r="I936" s="29"/>
      <c r="J936" s="29"/>
      <c r="K936" s="29"/>
      <c r="L936" s="29"/>
      <c r="M936" s="34"/>
      <c r="N936" s="34"/>
      <c r="O936" s="29"/>
      <c r="P936" s="34"/>
      <c r="Q936" s="34"/>
      <c r="R936" s="34"/>
      <c r="S936" s="34"/>
      <c r="T936" s="34"/>
    </row>
    <row x14ac:dyDescent="0.25" r="937" customHeight="1" ht="18.75">
      <c r="A937" s="1"/>
      <c r="B937" s="150"/>
      <c r="C937" s="34"/>
      <c r="D937" s="34"/>
      <c r="E937" s="34"/>
      <c r="F937" s="34"/>
      <c r="G937" s="34"/>
      <c r="H937" s="34"/>
      <c r="I937" s="29"/>
      <c r="J937" s="29"/>
      <c r="K937" s="29"/>
      <c r="L937" s="29"/>
      <c r="M937" s="34"/>
      <c r="N937" s="34"/>
      <c r="O937" s="29"/>
      <c r="P937" s="34"/>
      <c r="Q937" s="34"/>
      <c r="R937" s="34"/>
      <c r="S937" s="34"/>
      <c r="T937" s="34"/>
    </row>
    <row x14ac:dyDescent="0.25" r="938" customHeight="1" ht="18.75">
      <c r="A938" s="1"/>
      <c r="B938" s="150"/>
      <c r="C938" s="34"/>
      <c r="D938" s="34"/>
      <c r="E938" s="34"/>
      <c r="F938" s="34"/>
      <c r="G938" s="34"/>
      <c r="H938" s="34"/>
      <c r="I938" s="29"/>
      <c r="J938" s="29"/>
      <c r="K938" s="29"/>
      <c r="L938" s="29"/>
      <c r="M938" s="34"/>
      <c r="N938" s="34"/>
      <c r="O938" s="29"/>
      <c r="P938" s="34"/>
      <c r="Q938" s="34"/>
      <c r="R938" s="34"/>
      <c r="S938" s="34"/>
      <c r="T938" s="34"/>
    </row>
    <row x14ac:dyDescent="0.25" r="939" customHeight="1" ht="18.75">
      <c r="A939" s="1"/>
      <c r="B939" s="150"/>
      <c r="C939" s="34"/>
      <c r="D939" s="34"/>
      <c r="E939" s="34"/>
      <c r="F939" s="34"/>
      <c r="G939" s="34"/>
      <c r="H939" s="34"/>
      <c r="I939" s="29"/>
      <c r="J939" s="29"/>
      <c r="K939" s="29"/>
      <c r="L939" s="29"/>
      <c r="M939" s="34"/>
      <c r="N939" s="34"/>
      <c r="O939" s="29"/>
      <c r="P939" s="34"/>
      <c r="Q939" s="34"/>
      <c r="R939" s="34"/>
      <c r="S939" s="34"/>
      <c r="T939" s="34"/>
    </row>
    <row x14ac:dyDescent="0.25" r="940" customHeight="1" ht="18.75">
      <c r="A940" s="1"/>
      <c r="B940" s="150"/>
      <c r="C940" s="34"/>
      <c r="D940" s="34"/>
      <c r="E940" s="34"/>
      <c r="F940" s="34"/>
      <c r="G940" s="34"/>
      <c r="H940" s="34"/>
      <c r="I940" s="29"/>
      <c r="J940" s="29"/>
      <c r="K940" s="29"/>
      <c r="L940" s="29"/>
      <c r="M940" s="34"/>
      <c r="N940" s="34"/>
      <c r="O940" s="29"/>
      <c r="P940" s="34"/>
      <c r="Q940" s="34"/>
      <c r="R940" s="34"/>
      <c r="S940" s="34"/>
      <c r="T940" s="34"/>
    </row>
    <row x14ac:dyDescent="0.25" r="941" customHeight="1" ht="18.75">
      <c r="A941" s="1"/>
      <c r="B941" s="150"/>
      <c r="C941" s="34"/>
      <c r="D941" s="34"/>
      <c r="E941" s="34"/>
      <c r="F941" s="34"/>
      <c r="G941" s="34"/>
      <c r="H941" s="34"/>
      <c r="I941" s="29"/>
      <c r="J941" s="29"/>
      <c r="K941" s="29"/>
      <c r="L941" s="29"/>
      <c r="M941" s="34"/>
      <c r="N941" s="34"/>
      <c r="O941" s="29"/>
      <c r="P941" s="34"/>
      <c r="Q941" s="34"/>
      <c r="R941" s="34"/>
      <c r="S941" s="34"/>
      <c r="T941" s="34"/>
    </row>
    <row x14ac:dyDescent="0.25" r="942" customHeight="1" ht="18.75">
      <c r="A942" s="1"/>
      <c r="B942" s="150"/>
      <c r="C942" s="34"/>
      <c r="D942" s="34"/>
      <c r="E942" s="34"/>
      <c r="F942" s="34"/>
      <c r="G942" s="34"/>
      <c r="H942" s="34"/>
      <c r="I942" s="29"/>
      <c r="J942" s="29"/>
      <c r="K942" s="29"/>
      <c r="L942" s="29"/>
      <c r="M942" s="34"/>
      <c r="N942" s="34"/>
      <c r="O942" s="29"/>
      <c r="P942" s="34"/>
      <c r="Q942" s="34"/>
      <c r="R942" s="34"/>
      <c r="S942" s="34"/>
      <c r="T942" s="34"/>
    </row>
    <row x14ac:dyDescent="0.25" r="943" customHeight="1" ht="18.75">
      <c r="A943" s="1"/>
      <c r="B943" s="150"/>
      <c r="C943" s="34"/>
      <c r="D943" s="34"/>
      <c r="E943" s="34"/>
      <c r="F943" s="34"/>
      <c r="G943" s="34"/>
      <c r="H943" s="34"/>
      <c r="I943" s="29"/>
      <c r="J943" s="29"/>
      <c r="K943" s="29"/>
      <c r="L943" s="29"/>
      <c r="M943" s="34"/>
      <c r="N943" s="34"/>
      <c r="O943" s="29"/>
      <c r="P943" s="34"/>
      <c r="Q943" s="34"/>
      <c r="R943" s="34"/>
      <c r="S943" s="34"/>
      <c r="T943" s="34"/>
    </row>
    <row x14ac:dyDescent="0.25" r="944" customHeight="1" ht="18.75">
      <c r="A944" s="1"/>
      <c r="B944" s="150"/>
      <c r="C944" s="34"/>
      <c r="D944" s="34"/>
      <c r="E944" s="34"/>
      <c r="F944" s="34"/>
      <c r="G944" s="34"/>
      <c r="H944" s="34"/>
      <c r="I944" s="29"/>
      <c r="J944" s="29"/>
      <c r="K944" s="29"/>
      <c r="L944" s="29"/>
      <c r="M944" s="34"/>
      <c r="N944" s="34"/>
      <c r="O944" s="29"/>
      <c r="P944" s="34"/>
      <c r="Q944" s="34"/>
      <c r="R944" s="34"/>
      <c r="S944" s="34"/>
      <c r="T944" s="34"/>
    </row>
    <row x14ac:dyDescent="0.25" r="945" customHeight="1" ht="18.75">
      <c r="A945" s="1"/>
      <c r="B945" s="150"/>
      <c r="C945" s="34"/>
      <c r="D945" s="34"/>
      <c r="E945" s="34"/>
      <c r="F945" s="34"/>
      <c r="G945" s="34"/>
      <c r="H945" s="34"/>
      <c r="I945" s="29"/>
      <c r="J945" s="29"/>
      <c r="K945" s="29"/>
      <c r="L945" s="29"/>
      <c r="M945" s="34"/>
      <c r="N945" s="34"/>
      <c r="O945" s="29"/>
      <c r="P945" s="34"/>
      <c r="Q945" s="34"/>
      <c r="R945" s="34"/>
      <c r="S945" s="34"/>
      <c r="T945" s="34"/>
    </row>
    <row x14ac:dyDescent="0.25" r="946" customHeight="1" ht="18.75">
      <c r="A946" s="1"/>
      <c r="B946" s="150"/>
      <c r="C946" s="34"/>
      <c r="D946" s="34"/>
      <c r="E946" s="34"/>
      <c r="F946" s="34"/>
      <c r="G946" s="34"/>
      <c r="H946" s="34"/>
      <c r="I946" s="29"/>
      <c r="J946" s="29"/>
      <c r="K946" s="29"/>
      <c r="L946" s="29"/>
      <c r="M946" s="34"/>
      <c r="N946" s="34"/>
      <c r="O946" s="29"/>
      <c r="P946" s="34"/>
      <c r="Q946" s="34"/>
      <c r="R946" s="34"/>
      <c r="S946" s="34"/>
      <c r="T946" s="34"/>
    </row>
    <row x14ac:dyDescent="0.25" r="947" customHeight="1" ht="18.75">
      <c r="A947" s="1"/>
      <c r="B947" s="150"/>
      <c r="C947" s="34"/>
      <c r="D947" s="34"/>
      <c r="E947" s="34"/>
      <c r="F947" s="34"/>
      <c r="G947" s="34"/>
      <c r="H947" s="34"/>
      <c r="I947" s="29"/>
      <c r="J947" s="29"/>
      <c r="K947" s="29"/>
      <c r="L947" s="29"/>
      <c r="M947" s="34"/>
      <c r="N947" s="34"/>
      <c r="O947" s="29"/>
      <c r="P947" s="34"/>
      <c r="Q947" s="34"/>
      <c r="R947" s="34"/>
      <c r="S947" s="34"/>
      <c r="T947" s="34"/>
    </row>
    <row x14ac:dyDescent="0.25" r="948" customHeight="1" ht="18.75">
      <c r="A948" s="1"/>
      <c r="B948" s="150"/>
      <c r="C948" s="34"/>
      <c r="D948" s="34"/>
      <c r="E948" s="34"/>
      <c r="F948" s="34"/>
      <c r="G948" s="34"/>
      <c r="H948" s="34"/>
      <c r="I948" s="29"/>
      <c r="J948" s="29"/>
      <c r="K948" s="29"/>
      <c r="L948" s="29"/>
      <c r="M948" s="34"/>
      <c r="N948" s="34"/>
      <c r="O948" s="29"/>
      <c r="P948" s="34"/>
      <c r="Q948" s="34"/>
      <c r="R948" s="34"/>
      <c r="S948" s="34"/>
      <c r="T948" s="34"/>
    </row>
    <row x14ac:dyDescent="0.25" r="949" customHeight="1" ht="18.75">
      <c r="A949" s="1"/>
      <c r="B949" s="150"/>
      <c r="C949" s="34"/>
      <c r="D949" s="34"/>
      <c r="E949" s="34"/>
      <c r="F949" s="34"/>
      <c r="G949" s="34"/>
      <c r="H949" s="34"/>
      <c r="I949" s="29"/>
      <c r="J949" s="29"/>
      <c r="K949" s="29"/>
      <c r="L949" s="29"/>
      <c r="M949" s="34"/>
      <c r="N949" s="34"/>
      <c r="O949" s="29"/>
      <c r="P949" s="34"/>
      <c r="Q949" s="34"/>
      <c r="R949" s="34"/>
      <c r="S949" s="34"/>
      <c r="T949" s="34"/>
    </row>
    <row x14ac:dyDescent="0.25" r="950" customHeight="1" ht="18.75">
      <c r="A950" s="1"/>
      <c r="B950" s="150"/>
      <c r="C950" s="34"/>
      <c r="D950" s="34"/>
      <c r="E950" s="34"/>
      <c r="F950" s="34"/>
      <c r="G950" s="34"/>
      <c r="H950" s="34"/>
      <c r="I950" s="29"/>
      <c r="J950" s="29"/>
      <c r="K950" s="29"/>
      <c r="L950" s="29"/>
      <c r="M950" s="34"/>
      <c r="N950" s="34"/>
      <c r="O950" s="29"/>
      <c r="P950" s="34"/>
      <c r="Q950" s="34"/>
      <c r="R950" s="34"/>
      <c r="S950" s="34"/>
      <c r="T950" s="34"/>
    </row>
    <row x14ac:dyDescent="0.25" r="951" customHeight="1" ht="18.75">
      <c r="A951" s="1"/>
      <c r="B951" s="150"/>
      <c r="C951" s="34"/>
      <c r="D951" s="34"/>
      <c r="E951" s="34"/>
      <c r="F951" s="34"/>
      <c r="G951" s="34"/>
      <c r="H951" s="34"/>
      <c r="I951" s="29"/>
      <c r="J951" s="29"/>
      <c r="K951" s="29"/>
      <c r="L951" s="29"/>
      <c r="M951" s="34"/>
      <c r="N951" s="34"/>
      <c r="O951" s="29"/>
      <c r="P951" s="34"/>
      <c r="Q951" s="34"/>
      <c r="R951" s="34"/>
      <c r="S951" s="34"/>
      <c r="T951" s="34"/>
    </row>
    <row x14ac:dyDescent="0.25" r="952" customHeight="1" ht="18.75">
      <c r="A952" s="1"/>
      <c r="B952" s="150"/>
      <c r="C952" s="34"/>
      <c r="D952" s="34"/>
      <c r="E952" s="34"/>
      <c r="F952" s="34"/>
      <c r="G952" s="34"/>
      <c r="H952" s="34"/>
      <c r="I952" s="29"/>
      <c r="J952" s="29"/>
      <c r="K952" s="29"/>
      <c r="L952" s="29"/>
      <c r="M952" s="34"/>
      <c r="N952" s="34"/>
      <c r="O952" s="29"/>
      <c r="P952" s="34"/>
      <c r="Q952" s="34"/>
      <c r="R952" s="34"/>
      <c r="S952" s="34"/>
      <c r="T952" s="34"/>
    </row>
    <row x14ac:dyDescent="0.25" r="953" customHeight="1" ht="18.75">
      <c r="A953" s="1"/>
      <c r="B953" s="150"/>
      <c r="C953" s="34"/>
      <c r="D953" s="34"/>
      <c r="E953" s="34"/>
      <c r="F953" s="34"/>
      <c r="G953" s="34"/>
      <c r="H953" s="34"/>
      <c r="I953" s="29"/>
      <c r="J953" s="29"/>
      <c r="K953" s="29"/>
      <c r="L953" s="29"/>
      <c r="M953" s="34"/>
      <c r="N953" s="34"/>
      <c r="O953" s="29"/>
      <c r="P953" s="34"/>
      <c r="Q953" s="34"/>
      <c r="R953" s="34"/>
      <c r="S953" s="34"/>
      <c r="T953" s="34"/>
    </row>
    <row x14ac:dyDescent="0.25" r="954" customHeight="1" ht="18.75">
      <c r="A954" s="1"/>
      <c r="B954" s="150"/>
      <c r="C954" s="34"/>
      <c r="D954" s="34"/>
      <c r="E954" s="34"/>
      <c r="F954" s="34"/>
      <c r="G954" s="34"/>
      <c r="H954" s="34"/>
      <c r="I954" s="29"/>
      <c r="J954" s="29"/>
      <c r="K954" s="29"/>
      <c r="L954" s="29"/>
      <c r="M954" s="34"/>
      <c r="N954" s="34"/>
      <c r="O954" s="29"/>
      <c r="P954" s="34"/>
      <c r="Q954" s="34"/>
      <c r="R954" s="34"/>
      <c r="S954" s="34"/>
      <c r="T954" s="34"/>
    </row>
    <row x14ac:dyDescent="0.25" r="955" customHeight="1" ht="18.75">
      <c r="A955" s="1"/>
      <c r="B955" s="150"/>
      <c r="C955" s="34"/>
      <c r="D955" s="34"/>
      <c r="E955" s="34"/>
      <c r="F955" s="34"/>
      <c r="G955" s="34"/>
      <c r="H955" s="34"/>
      <c r="I955" s="29"/>
      <c r="J955" s="29"/>
      <c r="K955" s="29"/>
      <c r="L955" s="29"/>
      <c r="M955" s="34"/>
      <c r="N955" s="34"/>
      <c r="O955" s="29"/>
      <c r="P955" s="34"/>
      <c r="Q955" s="34"/>
      <c r="R955" s="34"/>
      <c r="S955" s="34"/>
      <c r="T955" s="34"/>
    </row>
    <row x14ac:dyDescent="0.25" r="956" customHeight="1" ht="18.75">
      <c r="A956" s="1"/>
      <c r="B956" s="150"/>
      <c r="C956" s="34"/>
      <c r="D956" s="34"/>
      <c r="E956" s="34"/>
      <c r="F956" s="34"/>
      <c r="G956" s="34"/>
      <c r="H956" s="34"/>
      <c r="I956" s="29"/>
      <c r="J956" s="29"/>
      <c r="K956" s="29"/>
      <c r="L956" s="29"/>
      <c r="M956" s="34"/>
      <c r="N956" s="34"/>
      <c r="O956" s="29"/>
      <c r="P956" s="34"/>
      <c r="Q956" s="34"/>
      <c r="R956" s="34"/>
      <c r="S956" s="34"/>
      <c r="T956" s="34"/>
    </row>
    <row x14ac:dyDescent="0.25" r="957" customHeight="1" ht="18.75">
      <c r="A957" s="1"/>
      <c r="B957" s="150"/>
      <c r="C957" s="34"/>
      <c r="D957" s="34"/>
      <c r="E957" s="34"/>
      <c r="F957" s="34"/>
      <c r="G957" s="34"/>
      <c r="H957" s="34"/>
      <c r="I957" s="29"/>
      <c r="J957" s="29"/>
      <c r="K957" s="29"/>
      <c r="L957" s="29"/>
      <c r="M957" s="34"/>
      <c r="N957" s="34"/>
      <c r="O957" s="29"/>
      <c r="P957" s="34"/>
      <c r="Q957" s="34"/>
      <c r="R957" s="34"/>
      <c r="S957" s="34"/>
      <c r="T957" s="34"/>
    </row>
    <row x14ac:dyDescent="0.25" r="958" customHeight="1" ht="18.75">
      <c r="A958" s="1"/>
      <c r="B958" s="150"/>
      <c r="C958" s="34"/>
      <c r="D958" s="34"/>
      <c r="E958" s="34"/>
      <c r="F958" s="34"/>
      <c r="G958" s="34"/>
      <c r="H958" s="34"/>
      <c r="I958" s="29"/>
      <c r="J958" s="29"/>
      <c r="K958" s="29"/>
      <c r="L958" s="29"/>
      <c r="M958" s="34"/>
      <c r="N958" s="34"/>
      <c r="O958" s="29"/>
      <c r="P958" s="34"/>
      <c r="Q958" s="34"/>
      <c r="R958" s="34"/>
      <c r="S958" s="34"/>
      <c r="T958" s="34"/>
    </row>
    <row x14ac:dyDescent="0.25" r="959" customHeight="1" ht="18.75">
      <c r="A959" s="1"/>
      <c r="B959" s="150"/>
      <c r="C959" s="34"/>
      <c r="D959" s="34"/>
      <c r="E959" s="34"/>
      <c r="F959" s="34"/>
      <c r="G959" s="34"/>
      <c r="H959" s="34"/>
      <c r="I959" s="29"/>
      <c r="J959" s="29"/>
      <c r="K959" s="29"/>
      <c r="L959" s="29"/>
      <c r="M959" s="34"/>
      <c r="N959" s="34"/>
      <c r="O959" s="29"/>
      <c r="P959" s="34"/>
      <c r="Q959" s="34"/>
      <c r="R959" s="34"/>
      <c r="S959" s="34"/>
      <c r="T959" s="34"/>
    </row>
    <row x14ac:dyDescent="0.25" r="960" customHeight="1" ht="18.75">
      <c r="A960" s="1"/>
      <c r="B960" s="150"/>
      <c r="C960" s="34"/>
      <c r="D960" s="34"/>
      <c r="E960" s="34"/>
      <c r="F960" s="34"/>
      <c r="G960" s="34"/>
      <c r="H960" s="34"/>
      <c r="I960" s="29"/>
      <c r="J960" s="29"/>
      <c r="K960" s="29"/>
      <c r="L960" s="29"/>
      <c r="M960" s="34"/>
      <c r="N960" s="34"/>
      <c r="O960" s="29"/>
      <c r="P960" s="34"/>
      <c r="Q960" s="34"/>
      <c r="R960" s="34"/>
      <c r="S960" s="34"/>
      <c r="T960" s="34"/>
    </row>
    <row x14ac:dyDescent="0.25" r="961" customHeight="1" ht="18.75">
      <c r="A961" s="1"/>
      <c r="B961" s="150"/>
      <c r="C961" s="34"/>
      <c r="D961" s="34"/>
      <c r="E961" s="34"/>
      <c r="F961" s="34"/>
      <c r="G961" s="34"/>
      <c r="H961" s="34"/>
      <c r="I961" s="29"/>
      <c r="J961" s="29"/>
      <c r="K961" s="29"/>
      <c r="L961" s="29"/>
      <c r="M961" s="34"/>
      <c r="N961" s="34"/>
      <c r="O961" s="29"/>
      <c r="P961" s="34"/>
      <c r="Q961" s="34"/>
      <c r="R961" s="34"/>
      <c r="S961" s="34"/>
      <c r="T961" s="34"/>
    </row>
    <row x14ac:dyDescent="0.25" r="962" customHeight="1" ht="18.75">
      <c r="A962" s="1"/>
      <c r="B962" s="150"/>
      <c r="C962" s="34"/>
      <c r="D962" s="34"/>
      <c r="E962" s="34"/>
      <c r="F962" s="34"/>
      <c r="G962" s="34"/>
      <c r="H962" s="34"/>
      <c r="I962" s="29"/>
      <c r="J962" s="29"/>
      <c r="K962" s="29"/>
      <c r="L962" s="29"/>
      <c r="M962" s="34"/>
      <c r="N962" s="34"/>
      <c r="O962" s="29"/>
      <c r="P962" s="34"/>
      <c r="Q962" s="34"/>
      <c r="R962" s="34"/>
      <c r="S962" s="34"/>
      <c r="T962" s="34"/>
    </row>
    <row x14ac:dyDescent="0.25" r="963" customHeight="1" ht="18.75">
      <c r="A963" s="1"/>
      <c r="B963" s="150"/>
      <c r="C963" s="34"/>
      <c r="D963" s="34"/>
      <c r="E963" s="34"/>
      <c r="F963" s="34"/>
      <c r="G963" s="34"/>
      <c r="H963" s="34"/>
      <c r="I963" s="29"/>
      <c r="J963" s="29"/>
      <c r="K963" s="29"/>
      <c r="L963" s="29"/>
      <c r="M963" s="34"/>
      <c r="N963" s="34"/>
      <c r="O963" s="29"/>
      <c r="P963" s="34"/>
      <c r="Q963" s="34"/>
      <c r="R963" s="34"/>
      <c r="S963" s="34"/>
      <c r="T963" s="34"/>
    </row>
    <row x14ac:dyDescent="0.25" r="964" customHeight="1" ht="18.75">
      <c r="A964" s="1"/>
      <c r="B964" s="150"/>
      <c r="C964" s="34"/>
      <c r="D964" s="34"/>
      <c r="E964" s="34"/>
      <c r="F964" s="34"/>
      <c r="G964" s="34"/>
      <c r="H964" s="34"/>
      <c r="I964" s="29"/>
      <c r="J964" s="29"/>
      <c r="K964" s="29"/>
      <c r="L964" s="29"/>
      <c r="M964" s="34"/>
      <c r="N964" s="34"/>
      <c r="O964" s="29"/>
      <c r="P964" s="34"/>
      <c r="Q964" s="34"/>
      <c r="R964" s="34"/>
      <c r="S964" s="34"/>
      <c r="T964" s="34"/>
    </row>
    <row x14ac:dyDescent="0.25" r="965" customHeight="1" ht="18.75">
      <c r="A965" s="1"/>
      <c r="B965" s="150"/>
      <c r="C965" s="34"/>
      <c r="D965" s="34"/>
      <c r="E965" s="34"/>
      <c r="F965" s="34"/>
      <c r="G965" s="34"/>
      <c r="H965" s="34"/>
      <c r="I965" s="29"/>
      <c r="J965" s="29"/>
      <c r="K965" s="29"/>
      <c r="L965" s="29"/>
      <c r="M965" s="34"/>
      <c r="N965" s="34"/>
      <c r="O965" s="29"/>
      <c r="P965" s="34"/>
      <c r="Q965" s="34"/>
      <c r="R965" s="34"/>
      <c r="S965" s="34"/>
      <c r="T965" s="34"/>
    </row>
    <row x14ac:dyDescent="0.25" r="966" customHeight="1" ht="18.75">
      <c r="A966" s="1"/>
      <c r="B966" s="150"/>
      <c r="C966" s="34"/>
      <c r="D966" s="34"/>
      <c r="E966" s="34"/>
      <c r="F966" s="34"/>
      <c r="G966" s="34"/>
      <c r="H966" s="34"/>
      <c r="I966" s="29"/>
      <c r="J966" s="29"/>
      <c r="K966" s="29"/>
      <c r="L966" s="29"/>
      <c r="M966" s="34"/>
      <c r="N966" s="34"/>
      <c r="O966" s="29"/>
      <c r="P966" s="34"/>
      <c r="Q966" s="34"/>
      <c r="R966" s="34"/>
      <c r="S966" s="34"/>
      <c r="T966" s="34"/>
    </row>
    <row x14ac:dyDescent="0.25" r="967" customHeight="1" ht="18.75">
      <c r="A967" s="1"/>
      <c r="B967" s="150"/>
      <c r="C967" s="34"/>
      <c r="D967" s="34"/>
      <c r="E967" s="34"/>
      <c r="F967" s="34"/>
      <c r="G967" s="34"/>
      <c r="H967" s="34"/>
      <c r="I967" s="29"/>
      <c r="J967" s="29"/>
      <c r="K967" s="29"/>
      <c r="L967" s="29"/>
      <c r="M967" s="34"/>
      <c r="N967" s="34"/>
      <c r="O967" s="29"/>
      <c r="P967" s="34"/>
      <c r="Q967" s="34"/>
      <c r="R967" s="34"/>
      <c r="S967" s="34"/>
      <c r="T967" s="34"/>
    </row>
    <row x14ac:dyDescent="0.25" r="968" customHeight="1" ht="18.75">
      <c r="A968" s="1"/>
      <c r="B968" s="150"/>
      <c r="C968" s="34"/>
      <c r="D968" s="34"/>
      <c r="E968" s="34"/>
      <c r="F968" s="34"/>
      <c r="G968" s="34"/>
      <c r="H968" s="34"/>
      <c r="I968" s="29"/>
      <c r="J968" s="29"/>
      <c r="K968" s="29"/>
      <c r="L968" s="29"/>
      <c r="M968" s="34"/>
      <c r="N968" s="34"/>
      <c r="O968" s="29"/>
      <c r="P968" s="34"/>
      <c r="Q968" s="34"/>
      <c r="R968" s="34"/>
      <c r="S968" s="34"/>
      <c r="T968" s="34"/>
    </row>
    <row x14ac:dyDescent="0.25" r="969" customHeight="1" ht="18.75">
      <c r="A969" s="1"/>
      <c r="B969" s="150"/>
      <c r="C969" s="34"/>
      <c r="D969" s="34"/>
      <c r="E969" s="34"/>
      <c r="F969" s="34"/>
      <c r="G969" s="34"/>
      <c r="H969" s="34"/>
      <c r="I969" s="29"/>
      <c r="J969" s="29"/>
      <c r="K969" s="29"/>
      <c r="L969" s="29"/>
      <c r="M969" s="34"/>
      <c r="N969" s="34"/>
      <c r="O969" s="29"/>
      <c r="P969" s="34"/>
      <c r="Q969" s="34"/>
      <c r="R969" s="34"/>
      <c r="S969" s="34"/>
      <c r="T969" s="34"/>
    </row>
    <row x14ac:dyDescent="0.25" r="970" customHeight="1" ht="18.75">
      <c r="A970" s="1"/>
      <c r="B970" s="150"/>
      <c r="C970" s="34"/>
      <c r="D970" s="34"/>
      <c r="E970" s="34"/>
      <c r="F970" s="34"/>
      <c r="G970" s="34"/>
      <c r="H970" s="34"/>
      <c r="I970" s="29"/>
      <c r="J970" s="29"/>
      <c r="K970" s="29"/>
      <c r="L970" s="29"/>
      <c r="M970" s="34"/>
      <c r="N970" s="34"/>
      <c r="O970" s="29"/>
      <c r="P970" s="34"/>
      <c r="Q970" s="34"/>
      <c r="R970" s="34"/>
      <c r="S970" s="34"/>
      <c r="T970" s="34"/>
    </row>
    <row x14ac:dyDescent="0.25" r="971" customHeight="1" ht="18.75">
      <c r="A971" s="1"/>
      <c r="B971" s="150"/>
      <c r="C971" s="34"/>
      <c r="D971" s="34"/>
      <c r="E971" s="34"/>
      <c r="F971" s="34"/>
      <c r="G971" s="34"/>
      <c r="H971" s="34"/>
      <c r="I971" s="29"/>
      <c r="J971" s="29"/>
      <c r="K971" s="29"/>
      <c r="L971" s="29"/>
      <c r="M971" s="34"/>
      <c r="N971" s="34"/>
      <c r="O971" s="29"/>
      <c r="P971" s="34"/>
      <c r="Q971" s="34"/>
      <c r="R971" s="34"/>
      <c r="S971" s="34"/>
      <c r="T971" s="34"/>
    </row>
    <row x14ac:dyDescent="0.25" r="972" customHeight="1" ht="18.75">
      <c r="A972" s="1"/>
      <c r="B972" s="150"/>
      <c r="C972" s="34"/>
      <c r="D972" s="34"/>
      <c r="E972" s="34"/>
      <c r="F972" s="34"/>
      <c r="G972" s="34"/>
      <c r="H972" s="34"/>
      <c r="I972" s="29"/>
      <c r="J972" s="29"/>
      <c r="K972" s="29"/>
      <c r="L972" s="29"/>
      <c r="M972" s="34"/>
      <c r="N972" s="34"/>
      <c r="O972" s="29"/>
      <c r="P972" s="34"/>
      <c r="Q972" s="34"/>
      <c r="R972" s="34"/>
      <c r="S972" s="34"/>
      <c r="T972" s="34"/>
    </row>
    <row x14ac:dyDescent="0.25" r="973" customHeight="1" ht="18.75">
      <c r="A973" s="1"/>
      <c r="B973" s="150"/>
      <c r="C973" s="34"/>
      <c r="D973" s="34"/>
      <c r="E973" s="34"/>
      <c r="F973" s="34"/>
      <c r="G973" s="34"/>
      <c r="H973" s="34"/>
      <c r="I973" s="29"/>
      <c r="J973" s="29"/>
      <c r="K973" s="29"/>
      <c r="L973" s="29"/>
      <c r="M973" s="34"/>
      <c r="N973" s="34"/>
      <c r="O973" s="29"/>
      <c r="P973" s="34"/>
      <c r="Q973" s="34"/>
      <c r="R973" s="34"/>
      <c r="S973" s="34"/>
      <c r="T973" s="34"/>
    </row>
    <row x14ac:dyDescent="0.25" r="974" customHeight="1" ht="18.75">
      <c r="A974" s="1"/>
      <c r="B974" s="150"/>
      <c r="C974" s="34"/>
      <c r="D974" s="34"/>
      <c r="E974" s="34"/>
      <c r="F974" s="34"/>
      <c r="G974" s="34"/>
      <c r="H974" s="34"/>
      <c r="I974" s="29"/>
      <c r="J974" s="29"/>
      <c r="K974" s="29"/>
      <c r="L974" s="29"/>
      <c r="M974" s="34"/>
      <c r="N974" s="34"/>
      <c r="O974" s="29"/>
      <c r="P974" s="34"/>
      <c r="Q974" s="34"/>
      <c r="R974" s="34"/>
      <c r="S974" s="34"/>
      <c r="T974" s="34"/>
    </row>
    <row x14ac:dyDescent="0.25" r="975" customHeight="1" ht="18.75">
      <c r="A975" s="1"/>
      <c r="B975" s="150"/>
      <c r="C975" s="34"/>
      <c r="D975" s="34"/>
      <c r="E975" s="34"/>
      <c r="F975" s="34"/>
      <c r="G975" s="34"/>
      <c r="H975" s="34"/>
      <c r="I975" s="29"/>
      <c r="J975" s="29"/>
      <c r="K975" s="29"/>
      <c r="L975" s="29"/>
      <c r="M975" s="34"/>
      <c r="N975" s="34"/>
      <c r="O975" s="29"/>
      <c r="P975" s="34"/>
      <c r="Q975" s="34"/>
      <c r="R975" s="34"/>
      <c r="S975" s="34"/>
      <c r="T975" s="34"/>
    </row>
    <row x14ac:dyDescent="0.25" r="976" customHeight="1" ht="18.75">
      <c r="A976" s="1"/>
      <c r="B976" s="150"/>
      <c r="C976" s="34"/>
      <c r="D976" s="34"/>
      <c r="E976" s="34"/>
      <c r="F976" s="34"/>
      <c r="G976" s="34"/>
      <c r="H976" s="34"/>
      <c r="I976" s="29"/>
      <c r="J976" s="29"/>
      <c r="K976" s="29"/>
      <c r="L976" s="29"/>
      <c r="M976" s="34"/>
      <c r="N976" s="34"/>
      <c r="O976" s="29"/>
      <c r="P976" s="34"/>
      <c r="Q976" s="34"/>
      <c r="R976" s="34"/>
      <c r="S976" s="34"/>
      <c r="T976" s="34"/>
    </row>
    <row x14ac:dyDescent="0.25" r="977" customHeight="1" ht="18.75">
      <c r="A977" s="1"/>
      <c r="B977" s="150"/>
      <c r="C977" s="34"/>
      <c r="D977" s="34"/>
      <c r="E977" s="34"/>
      <c r="F977" s="34"/>
      <c r="G977" s="34"/>
      <c r="H977" s="34"/>
      <c r="I977" s="29"/>
      <c r="J977" s="29"/>
      <c r="K977" s="29"/>
      <c r="L977" s="29"/>
      <c r="M977" s="34"/>
      <c r="N977" s="34"/>
      <c r="O977" s="29"/>
      <c r="P977" s="34"/>
      <c r="Q977" s="34"/>
      <c r="R977" s="34"/>
      <c r="S977" s="34"/>
      <c r="T977" s="34"/>
    </row>
    <row x14ac:dyDescent="0.25" r="978" customHeight="1" ht="18.75">
      <c r="A978" s="1"/>
      <c r="B978" s="150"/>
      <c r="C978" s="34"/>
      <c r="D978" s="34"/>
      <c r="E978" s="34"/>
      <c r="F978" s="34"/>
      <c r="G978" s="34"/>
      <c r="H978" s="34"/>
      <c r="I978" s="29"/>
      <c r="J978" s="29"/>
      <c r="K978" s="29"/>
      <c r="L978" s="29"/>
      <c r="M978" s="34"/>
      <c r="N978" s="34"/>
      <c r="O978" s="29"/>
      <c r="P978" s="34"/>
      <c r="Q978" s="34"/>
      <c r="R978" s="34"/>
      <c r="S978" s="34"/>
      <c r="T978" s="34"/>
    </row>
    <row x14ac:dyDescent="0.25" r="979" customHeight="1" ht="18.75">
      <c r="A979" s="1"/>
      <c r="B979" s="150"/>
      <c r="C979" s="34"/>
      <c r="D979" s="34"/>
      <c r="E979" s="34"/>
      <c r="F979" s="34"/>
      <c r="G979" s="34"/>
      <c r="H979" s="34"/>
      <c r="I979" s="29"/>
      <c r="J979" s="29"/>
      <c r="K979" s="29"/>
      <c r="L979" s="29"/>
      <c r="M979" s="34"/>
      <c r="N979" s="34"/>
      <c r="O979" s="29"/>
      <c r="P979" s="34"/>
      <c r="Q979" s="34"/>
      <c r="R979" s="34"/>
      <c r="S979" s="34"/>
      <c r="T979" s="34"/>
    </row>
    <row x14ac:dyDescent="0.25" r="980" customHeight="1" ht="18.75">
      <c r="A980" s="1"/>
      <c r="B980" s="150"/>
      <c r="C980" s="34"/>
      <c r="D980" s="34"/>
      <c r="E980" s="34"/>
      <c r="F980" s="34"/>
      <c r="G980" s="34"/>
      <c r="H980" s="34"/>
      <c r="I980" s="29"/>
      <c r="J980" s="29"/>
      <c r="K980" s="29"/>
      <c r="L980" s="29"/>
      <c r="M980" s="34"/>
      <c r="N980" s="34"/>
      <c r="O980" s="29"/>
      <c r="P980" s="34"/>
      <c r="Q980" s="34"/>
      <c r="R980" s="34"/>
      <c r="S980" s="34"/>
      <c r="T980" s="34"/>
    </row>
    <row x14ac:dyDescent="0.25" r="981" customHeight="1" ht="18.75">
      <c r="A981" s="1"/>
      <c r="B981" s="150"/>
      <c r="C981" s="34"/>
      <c r="D981" s="34"/>
      <c r="E981" s="34"/>
      <c r="F981" s="34"/>
      <c r="G981" s="34"/>
      <c r="H981" s="34"/>
      <c r="I981" s="29"/>
      <c r="J981" s="29"/>
      <c r="K981" s="29"/>
      <c r="L981" s="29"/>
      <c r="M981" s="34"/>
      <c r="N981" s="34"/>
      <c r="O981" s="29"/>
      <c r="P981" s="34"/>
      <c r="Q981" s="34"/>
      <c r="R981" s="34"/>
      <c r="S981" s="34"/>
      <c r="T981" s="34"/>
    </row>
    <row x14ac:dyDescent="0.25" r="982" customHeight="1" ht="18.75">
      <c r="A982" s="1"/>
      <c r="B982" s="150"/>
      <c r="C982" s="34"/>
      <c r="D982" s="34"/>
      <c r="E982" s="34"/>
      <c r="F982" s="34"/>
      <c r="G982" s="34"/>
      <c r="H982" s="34"/>
      <c r="I982" s="29"/>
      <c r="J982" s="29"/>
      <c r="K982" s="29"/>
      <c r="L982" s="29"/>
      <c r="M982" s="34"/>
      <c r="N982" s="34"/>
      <c r="O982" s="29"/>
      <c r="P982" s="34"/>
      <c r="Q982" s="34"/>
      <c r="R982" s="34"/>
      <c r="S982" s="34"/>
      <c r="T982" s="34"/>
    </row>
    <row x14ac:dyDescent="0.25" r="983" customHeight="1" ht="18.75">
      <c r="A983" s="1"/>
      <c r="B983" s="150"/>
      <c r="C983" s="34"/>
      <c r="D983" s="34"/>
      <c r="E983" s="34"/>
      <c r="F983" s="34"/>
      <c r="G983" s="34"/>
      <c r="H983" s="34"/>
      <c r="I983" s="29"/>
      <c r="J983" s="29"/>
      <c r="K983" s="29"/>
      <c r="L983" s="29"/>
      <c r="M983" s="34"/>
      <c r="N983" s="34"/>
      <c r="O983" s="29"/>
      <c r="P983" s="34"/>
      <c r="Q983" s="34"/>
      <c r="R983" s="34"/>
      <c r="S983" s="34"/>
      <c r="T983" s="34"/>
    </row>
    <row x14ac:dyDescent="0.25" r="984" customHeight="1" ht="18.75">
      <c r="A984" s="1"/>
      <c r="B984" s="150"/>
      <c r="C984" s="34"/>
      <c r="D984" s="34"/>
      <c r="E984" s="34"/>
      <c r="F984" s="34"/>
      <c r="G984" s="34"/>
      <c r="H984" s="34"/>
      <c r="I984" s="29"/>
      <c r="J984" s="29"/>
      <c r="K984" s="29"/>
      <c r="L984" s="29"/>
      <c r="M984" s="34"/>
      <c r="N984" s="34"/>
      <c r="O984" s="29"/>
      <c r="P984" s="34"/>
      <c r="Q984" s="34"/>
      <c r="R984" s="34"/>
      <c r="S984" s="34"/>
      <c r="T984" s="34"/>
    </row>
    <row x14ac:dyDescent="0.25" r="985" customHeight="1" ht="18.75">
      <c r="A985" s="1"/>
      <c r="B985" s="150"/>
      <c r="C985" s="34"/>
      <c r="D985" s="34"/>
      <c r="E985" s="34"/>
      <c r="F985" s="34"/>
      <c r="G985" s="34"/>
      <c r="H985" s="34"/>
      <c r="I985" s="29"/>
      <c r="J985" s="29"/>
      <c r="K985" s="29"/>
      <c r="L985" s="29"/>
      <c r="M985" s="34"/>
      <c r="N985" s="34"/>
      <c r="O985" s="29"/>
      <c r="P985" s="34"/>
      <c r="Q985" s="34"/>
      <c r="R985" s="34"/>
      <c r="S985" s="34"/>
      <c r="T985" s="34"/>
    </row>
    <row x14ac:dyDescent="0.25" r="986" customHeight="1" ht="18.75">
      <c r="A986" s="1"/>
      <c r="B986" s="150"/>
      <c r="C986" s="34"/>
      <c r="D986" s="34"/>
      <c r="E986" s="34"/>
      <c r="F986" s="34"/>
      <c r="G986" s="34"/>
      <c r="H986" s="34"/>
      <c r="I986" s="29"/>
      <c r="J986" s="29"/>
      <c r="K986" s="29"/>
      <c r="L986" s="29"/>
      <c r="M986" s="34"/>
      <c r="N986" s="34"/>
      <c r="O986" s="29"/>
      <c r="P986" s="34"/>
      <c r="Q986" s="34"/>
      <c r="R986" s="34"/>
      <c r="S986" s="34"/>
      <c r="T986" s="34"/>
    </row>
    <row x14ac:dyDescent="0.25" r="987" customHeight="1" ht="18.75">
      <c r="A987" s="1"/>
      <c r="B987" s="150"/>
      <c r="C987" s="34"/>
      <c r="D987" s="34"/>
      <c r="E987" s="34"/>
      <c r="F987" s="34"/>
      <c r="G987" s="34"/>
      <c r="H987" s="34"/>
      <c r="I987" s="29"/>
      <c r="J987" s="29"/>
      <c r="K987" s="29"/>
      <c r="L987" s="29"/>
      <c r="M987" s="34"/>
      <c r="N987" s="34"/>
      <c r="O987" s="29"/>
      <c r="P987" s="34"/>
      <c r="Q987" s="34"/>
      <c r="R987" s="34"/>
      <c r="S987" s="34"/>
      <c r="T987" s="34"/>
    </row>
    <row x14ac:dyDescent="0.25" r="988" customHeight="1" ht="18.75">
      <c r="A988" s="1"/>
      <c r="B988" s="150"/>
      <c r="C988" s="34"/>
      <c r="D988" s="34"/>
      <c r="E988" s="34"/>
      <c r="F988" s="34"/>
      <c r="G988" s="34"/>
      <c r="H988" s="34"/>
      <c r="I988" s="29"/>
      <c r="J988" s="29"/>
      <c r="K988" s="29"/>
      <c r="L988" s="29"/>
      <c r="M988" s="34"/>
      <c r="N988" s="34"/>
      <c r="O988" s="29"/>
      <c r="P988" s="34"/>
      <c r="Q988" s="34"/>
      <c r="R988" s="34"/>
      <c r="S988" s="34"/>
      <c r="T988" s="34"/>
    </row>
    <row x14ac:dyDescent="0.25" r="989" customHeight="1" ht="18.75">
      <c r="A989" s="1"/>
      <c r="B989" s="150"/>
      <c r="C989" s="34"/>
      <c r="D989" s="34"/>
      <c r="E989" s="34"/>
      <c r="F989" s="34"/>
      <c r="G989" s="34"/>
      <c r="H989" s="34"/>
      <c r="I989" s="29"/>
      <c r="J989" s="29"/>
      <c r="K989" s="29"/>
      <c r="L989" s="29"/>
      <c r="M989" s="34"/>
      <c r="N989" s="34"/>
      <c r="O989" s="29"/>
      <c r="P989" s="34"/>
      <c r="Q989" s="34"/>
      <c r="R989" s="34"/>
      <c r="S989" s="34"/>
      <c r="T989" s="34"/>
    </row>
    <row x14ac:dyDescent="0.25" r="990" customHeight="1" ht="18.75">
      <c r="A990" s="1"/>
      <c r="B990" s="150"/>
      <c r="C990" s="34"/>
      <c r="D990" s="34"/>
      <c r="E990" s="34"/>
      <c r="F990" s="34"/>
      <c r="G990" s="34"/>
      <c r="H990" s="34"/>
      <c r="I990" s="29"/>
      <c r="J990" s="29"/>
      <c r="K990" s="29"/>
      <c r="L990" s="29"/>
      <c r="M990" s="34"/>
      <c r="N990" s="34"/>
      <c r="O990" s="29"/>
      <c r="P990" s="34"/>
      <c r="Q990" s="34"/>
      <c r="R990" s="34"/>
      <c r="S990" s="34"/>
      <c r="T990" s="34"/>
    </row>
    <row x14ac:dyDescent="0.25" r="991" customHeight="1" ht="18.75">
      <c r="A991" s="1"/>
      <c r="B991" s="150"/>
      <c r="C991" s="34"/>
      <c r="D991" s="34"/>
      <c r="E991" s="34"/>
      <c r="F991" s="34"/>
      <c r="G991" s="34"/>
      <c r="H991" s="34"/>
      <c r="I991" s="29"/>
      <c r="J991" s="29"/>
      <c r="K991" s="29"/>
      <c r="L991" s="29"/>
      <c r="M991" s="34"/>
      <c r="N991" s="34"/>
      <c r="O991" s="29"/>
      <c r="P991" s="34"/>
      <c r="Q991" s="34"/>
      <c r="R991" s="34"/>
      <c r="S991" s="34"/>
      <c r="T991" s="34"/>
    </row>
    <row x14ac:dyDescent="0.25" r="992" customHeight="1" ht="18.75">
      <c r="A992" s="1"/>
      <c r="B992" s="150"/>
      <c r="C992" s="34"/>
      <c r="D992" s="34"/>
      <c r="E992" s="34"/>
      <c r="F992" s="34"/>
      <c r="G992" s="34"/>
      <c r="H992" s="34"/>
      <c r="I992" s="29"/>
      <c r="J992" s="29"/>
      <c r="K992" s="29"/>
      <c r="L992" s="29"/>
      <c r="M992" s="34"/>
      <c r="N992" s="34"/>
      <c r="O992" s="29"/>
      <c r="P992" s="34"/>
      <c r="Q992" s="34"/>
      <c r="R992" s="34"/>
      <c r="S992" s="34"/>
      <c r="T992" s="34"/>
    </row>
    <row x14ac:dyDescent="0.25" r="993" customHeight="1" ht="18.75">
      <c r="A993" s="1"/>
      <c r="B993" s="150"/>
      <c r="C993" s="34"/>
      <c r="D993" s="34"/>
      <c r="E993" s="34"/>
      <c r="F993" s="34"/>
      <c r="G993" s="34"/>
      <c r="H993" s="34"/>
      <c r="I993" s="29"/>
      <c r="J993" s="29"/>
      <c r="K993" s="29"/>
      <c r="L993" s="29"/>
      <c r="M993" s="34"/>
      <c r="N993" s="34"/>
      <c r="O993" s="29"/>
      <c r="P993" s="34"/>
      <c r="Q993" s="34"/>
      <c r="R993" s="34"/>
      <c r="S993" s="34"/>
      <c r="T993" s="34"/>
    </row>
    <row x14ac:dyDescent="0.25" r="994" customHeight="1" ht="18.75">
      <c r="A994" s="1"/>
      <c r="B994" s="150"/>
      <c r="C994" s="34"/>
      <c r="D994" s="34"/>
      <c r="E994" s="34"/>
      <c r="F994" s="34"/>
      <c r="G994" s="34"/>
      <c r="H994" s="34"/>
      <c r="I994" s="29"/>
      <c r="J994" s="29"/>
      <c r="K994" s="29"/>
      <c r="L994" s="29"/>
      <c r="M994" s="34"/>
      <c r="N994" s="34"/>
      <c r="O994" s="29"/>
      <c r="P994" s="34"/>
      <c r="Q994" s="34"/>
      <c r="R994" s="34"/>
      <c r="S994" s="34"/>
      <c r="T994" s="34"/>
    </row>
    <row x14ac:dyDescent="0.25" r="995" customHeight="1" ht="18.75">
      <c r="A995" s="1"/>
      <c r="B995" s="150"/>
      <c r="C995" s="34"/>
      <c r="D995" s="34"/>
      <c r="E995" s="34"/>
      <c r="F995" s="34"/>
      <c r="G995" s="34"/>
      <c r="H995" s="34"/>
      <c r="I995" s="29"/>
      <c r="J995" s="29"/>
      <c r="K995" s="29"/>
      <c r="L995" s="29"/>
      <c r="M995" s="34"/>
      <c r="N995" s="34"/>
      <c r="O995" s="29"/>
      <c r="P995" s="34"/>
      <c r="Q995" s="34"/>
      <c r="R995" s="34"/>
      <c r="S995" s="34"/>
      <c r="T995" s="34"/>
    </row>
    <row x14ac:dyDescent="0.25" r="996" customHeight="1" ht="18.75">
      <c r="A996" s="1"/>
      <c r="B996" s="150"/>
      <c r="C996" s="34"/>
      <c r="D996" s="34"/>
      <c r="E996" s="34"/>
      <c r="F996" s="34"/>
      <c r="G996" s="34"/>
      <c r="H996" s="34"/>
      <c r="I996" s="29"/>
      <c r="J996" s="29"/>
      <c r="K996" s="29"/>
      <c r="L996" s="29"/>
      <c r="M996" s="34"/>
      <c r="N996" s="34"/>
      <c r="O996" s="29"/>
      <c r="P996" s="34"/>
      <c r="Q996" s="34"/>
      <c r="R996" s="34"/>
      <c r="S996" s="34"/>
      <c r="T996" s="34"/>
    </row>
    <row x14ac:dyDescent="0.25" r="997" customHeight="1" ht="18.75">
      <c r="A997" s="1"/>
      <c r="B997" s="150"/>
      <c r="C997" s="34"/>
      <c r="D997" s="34"/>
      <c r="E997" s="34"/>
      <c r="F997" s="34"/>
      <c r="G997" s="34"/>
      <c r="H997" s="34"/>
      <c r="I997" s="29"/>
      <c r="J997" s="29"/>
      <c r="K997" s="29"/>
      <c r="L997" s="29"/>
      <c r="M997" s="34"/>
      <c r="N997" s="34"/>
      <c r="O997" s="29"/>
      <c r="P997" s="34"/>
      <c r="Q997" s="34"/>
      <c r="R997" s="34"/>
      <c r="S997" s="34"/>
      <c r="T997" s="3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001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129" width="13.005" customWidth="1" bestFit="1"/>
    <col min="2" max="2" style="36" width="5.433571428571429" customWidth="1" bestFit="1"/>
    <col min="3" max="3" style="36" width="12.005" customWidth="1" bestFit="1"/>
    <col min="4" max="4" style="36" width="11.576428571428572" customWidth="1" bestFit="1"/>
    <col min="5" max="5" style="36" width="15.43357142857143" customWidth="1" bestFit="1"/>
    <col min="6" max="6" style="36" width="16.290714285714284" customWidth="1" bestFit="1"/>
    <col min="7" max="7" style="37" width="24.576428571428572" customWidth="1" bestFit="1"/>
    <col min="8" max="8" style="36" width="8.290714285714287" customWidth="1" bestFit="1"/>
    <col min="9" max="9" style="130" width="14.719285714285713" customWidth="1" bestFit="1"/>
    <col min="10" max="10" style="36" width="5.433571428571429" customWidth="1" bestFit="1"/>
    <col min="11" max="11" style="37" width="21.576428571428572" customWidth="1" bestFit="1"/>
    <col min="12" max="12" style="67" width="11.290714285714287" customWidth="1" bestFit="1"/>
    <col min="13" max="13" style="67" width="14.862142857142858" customWidth="1" bestFit="1"/>
    <col min="14" max="14" style="131" width="19.005" customWidth="1" bestFit="1"/>
    <col min="15" max="15" style="131" width="16.576428571428572" customWidth="1" bestFit="1"/>
    <col min="16" max="16" style="36" width="9.147857142857141" customWidth="1" bestFit="1"/>
  </cols>
  <sheetData>
    <row x14ac:dyDescent="0.25" r="1" customHeight="1" ht="35.25">
      <c r="A1" s="84" t="s">
        <v>515</v>
      </c>
      <c r="B1" s="34"/>
      <c r="C1" s="34"/>
      <c r="D1" s="34"/>
      <c r="E1" s="34"/>
      <c r="F1" s="34"/>
      <c r="G1" s="29"/>
      <c r="H1" s="34"/>
      <c r="I1" s="85"/>
      <c r="J1" s="34"/>
      <c r="K1" s="29"/>
      <c r="L1" s="86"/>
      <c r="M1" s="86"/>
      <c r="N1" s="87"/>
      <c r="O1" s="87"/>
      <c r="P1" s="5"/>
    </row>
    <row x14ac:dyDescent="0.25" r="2" customHeight="1" ht="19.5">
      <c r="A2" s="88" t="s">
        <v>1</v>
      </c>
      <c r="B2" s="89" t="s">
        <v>3</v>
      </c>
      <c r="C2" s="89" t="s">
        <v>4</v>
      </c>
      <c r="D2" s="90" t="s">
        <v>2</v>
      </c>
      <c r="E2" s="90" t="s">
        <v>5</v>
      </c>
      <c r="F2" s="90" t="s">
        <v>516</v>
      </c>
      <c r="G2" s="91" t="s">
        <v>7</v>
      </c>
      <c r="H2" s="89" t="s">
        <v>8</v>
      </c>
      <c r="I2" s="92" t="s">
        <v>11</v>
      </c>
      <c r="J2" s="89" t="s">
        <v>13</v>
      </c>
      <c r="K2" s="91" t="s">
        <v>14</v>
      </c>
      <c r="L2" s="89" t="s">
        <v>517</v>
      </c>
      <c r="M2" s="89" t="s">
        <v>518</v>
      </c>
      <c r="N2" s="93" t="s">
        <v>519</v>
      </c>
      <c r="O2" s="93" t="s">
        <v>520</v>
      </c>
      <c r="P2" s="5"/>
    </row>
    <row x14ac:dyDescent="0.25" r="3" customHeight="1" ht="18.75">
      <c r="A3" s="94">
        <v>45717</v>
      </c>
      <c r="B3" s="80" t="s">
        <v>82</v>
      </c>
      <c r="C3" s="80" t="s">
        <v>471</v>
      </c>
      <c r="D3" s="80" t="s">
        <v>472</v>
      </c>
      <c r="E3" s="80" t="s">
        <v>521</v>
      </c>
      <c r="F3" s="80" t="s">
        <v>141</v>
      </c>
      <c r="G3" s="95" t="s">
        <v>522</v>
      </c>
      <c r="H3" s="80" t="s">
        <v>26</v>
      </c>
      <c r="I3" s="96" t="s">
        <v>523</v>
      </c>
      <c r="J3" s="80" t="s">
        <v>86</v>
      </c>
      <c r="K3" s="95" t="s">
        <v>473</v>
      </c>
      <c r="L3" s="97"/>
      <c r="M3" s="97"/>
      <c r="N3" s="97"/>
      <c r="O3" s="97"/>
      <c r="P3" s="3"/>
    </row>
    <row x14ac:dyDescent="0.25" r="4" customHeight="1" ht="18.75">
      <c r="A4" s="98">
        <v>45870</v>
      </c>
      <c r="B4" s="99" t="s">
        <v>82</v>
      </c>
      <c r="C4" s="99" t="s">
        <v>524</v>
      </c>
      <c r="D4" s="99" t="s">
        <v>525</v>
      </c>
      <c r="E4" s="99" t="s">
        <v>526</v>
      </c>
      <c r="F4" s="99" t="s">
        <v>84</v>
      </c>
      <c r="G4" s="100" t="s">
        <v>527</v>
      </c>
      <c r="H4" s="99" t="s">
        <v>26</v>
      </c>
      <c r="I4" s="101" t="s">
        <v>528</v>
      </c>
      <c r="J4" s="99" t="s">
        <v>86</v>
      </c>
      <c r="K4" s="100" t="s">
        <v>529</v>
      </c>
      <c r="L4" s="97"/>
      <c r="M4" s="97"/>
      <c r="N4" s="97"/>
      <c r="O4" s="97"/>
      <c r="P4" s="3"/>
    </row>
    <row x14ac:dyDescent="0.25" r="5" customHeight="1" ht="18.75">
      <c r="A5" s="98" t="s">
        <v>530</v>
      </c>
      <c r="B5" s="99" t="s">
        <v>82</v>
      </c>
      <c r="C5" s="99" t="s">
        <v>531</v>
      </c>
      <c r="D5" s="99" t="s">
        <v>83</v>
      </c>
      <c r="E5" s="99" t="s">
        <v>532</v>
      </c>
      <c r="F5" s="99" t="s">
        <v>533</v>
      </c>
      <c r="G5" s="100" t="s">
        <v>534</v>
      </c>
      <c r="H5" s="99" t="s">
        <v>26</v>
      </c>
      <c r="I5" s="102" t="s">
        <v>535</v>
      </c>
      <c r="J5" s="99" t="s">
        <v>536</v>
      </c>
      <c r="K5" s="100" t="s">
        <v>537</v>
      </c>
      <c r="L5" s="97"/>
      <c r="M5" s="97"/>
      <c r="N5" s="97"/>
      <c r="O5" s="97"/>
      <c r="P5" s="3"/>
    </row>
    <row x14ac:dyDescent="0.25" r="6" customHeight="1" ht="18.75">
      <c r="A6" s="98" t="s">
        <v>538</v>
      </c>
      <c r="B6" s="99" t="s">
        <v>82</v>
      </c>
      <c r="C6" s="99" t="s">
        <v>539</v>
      </c>
      <c r="D6" s="99" t="s">
        <v>212</v>
      </c>
      <c r="E6" s="99" t="s">
        <v>540</v>
      </c>
      <c r="F6" s="99" t="s">
        <v>102</v>
      </c>
      <c r="G6" s="100" t="s">
        <v>541</v>
      </c>
      <c r="H6" s="99" t="s">
        <v>26</v>
      </c>
      <c r="I6" s="102" t="s">
        <v>542</v>
      </c>
      <c r="J6" s="99" t="s">
        <v>536</v>
      </c>
      <c r="K6" s="100" t="s">
        <v>543</v>
      </c>
      <c r="L6" s="97"/>
      <c r="M6" s="97"/>
      <c r="N6" s="97"/>
      <c r="O6" s="97"/>
      <c r="P6" s="3"/>
    </row>
    <row x14ac:dyDescent="0.25" r="7" customHeight="1" ht="18.75">
      <c r="A7" s="98" t="s">
        <v>544</v>
      </c>
      <c r="B7" s="99" t="s">
        <v>82</v>
      </c>
      <c r="C7" s="99" t="s">
        <v>545</v>
      </c>
      <c r="D7" s="99" t="s">
        <v>546</v>
      </c>
      <c r="E7" s="99" t="s">
        <v>547</v>
      </c>
      <c r="F7" s="99" t="s">
        <v>548</v>
      </c>
      <c r="G7" s="100" t="s">
        <v>494</v>
      </c>
      <c r="H7" s="99" t="s">
        <v>26</v>
      </c>
      <c r="I7" s="103" t="s">
        <v>549</v>
      </c>
      <c r="J7" s="99" t="s">
        <v>86</v>
      </c>
      <c r="K7" s="100" t="s">
        <v>550</v>
      </c>
      <c r="L7" s="97"/>
      <c r="M7" s="97"/>
      <c r="N7" s="97"/>
      <c r="O7" s="97"/>
      <c r="P7" s="3"/>
    </row>
    <row x14ac:dyDescent="0.25" r="8" customHeight="1" ht="18.75">
      <c r="A8" s="98" t="s">
        <v>551</v>
      </c>
      <c r="B8" s="99" t="s">
        <v>82</v>
      </c>
      <c r="C8" s="99" t="s">
        <v>476</v>
      </c>
      <c r="D8" s="99" t="s">
        <v>552</v>
      </c>
      <c r="E8" s="99" t="s">
        <v>553</v>
      </c>
      <c r="F8" s="99" t="s">
        <v>554</v>
      </c>
      <c r="G8" s="100" t="s">
        <v>555</v>
      </c>
      <c r="H8" s="99" t="s">
        <v>26</v>
      </c>
      <c r="I8" s="103" t="s">
        <v>556</v>
      </c>
      <c r="J8" s="99" t="s">
        <v>86</v>
      </c>
      <c r="K8" s="100" t="s">
        <v>557</v>
      </c>
      <c r="L8" s="97"/>
      <c r="M8" s="97"/>
      <c r="N8" s="97"/>
      <c r="O8" s="97"/>
      <c r="P8" s="3"/>
    </row>
    <row x14ac:dyDescent="0.25" r="9" customHeight="1" ht="18.75">
      <c r="A9" s="98" t="s">
        <v>551</v>
      </c>
      <c r="B9" s="99" t="s">
        <v>82</v>
      </c>
      <c r="C9" s="99" t="s">
        <v>558</v>
      </c>
      <c r="D9" s="99" t="s">
        <v>83</v>
      </c>
      <c r="E9" s="99" t="s">
        <v>559</v>
      </c>
      <c r="F9" s="99" t="s">
        <v>242</v>
      </c>
      <c r="G9" s="100" t="s">
        <v>560</v>
      </c>
      <c r="H9" s="99" t="s">
        <v>26</v>
      </c>
      <c r="I9" s="103" t="s">
        <v>561</v>
      </c>
      <c r="J9" s="99" t="s">
        <v>86</v>
      </c>
      <c r="K9" s="100" t="s">
        <v>562</v>
      </c>
      <c r="L9" s="97"/>
      <c r="M9" s="97"/>
      <c r="N9" s="97"/>
      <c r="O9" s="97"/>
      <c r="P9" s="3"/>
    </row>
    <row x14ac:dyDescent="0.25" r="10" customHeight="1" ht="18.75">
      <c r="A10" s="98" t="s">
        <v>563</v>
      </c>
      <c r="B10" s="99" t="s">
        <v>82</v>
      </c>
      <c r="C10" s="99" t="s">
        <v>558</v>
      </c>
      <c r="D10" s="99" t="s">
        <v>83</v>
      </c>
      <c r="E10" s="99" t="s">
        <v>564</v>
      </c>
      <c r="F10" s="99" t="s">
        <v>84</v>
      </c>
      <c r="G10" s="100" t="s">
        <v>565</v>
      </c>
      <c r="H10" s="99" t="s">
        <v>26</v>
      </c>
      <c r="I10" s="101" t="s">
        <v>566</v>
      </c>
      <c r="J10" s="99" t="s">
        <v>86</v>
      </c>
      <c r="K10" s="100" t="s">
        <v>567</v>
      </c>
      <c r="L10" s="97"/>
      <c r="M10" s="97"/>
      <c r="N10" s="97"/>
      <c r="O10" s="97"/>
      <c r="P10" s="3"/>
    </row>
    <row x14ac:dyDescent="0.25" r="11" customHeight="1" ht="18.75">
      <c r="A11" s="98" t="s">
        <v>563</v>
      </c>
      <c r="B11" s="99" t="s">
        <v>82</v>
      </c>
      <c r="C11" s="99" t="s">
        <v>558</v>
      </c>
      <c r="D11" s="99" t="s">
        <v>83</v>
      </c>
      <c r="E11" s="99" t="s">
        <v>564</v>
      </c>
      <c r="F11" s="99" t="s">
        <v>84</v>
      </c>
      <c r="G11" s="100" t="s">
        <v>568</v>
      </c>
      <c r="H11" s="99" t="s">
        <v>26</v>
      </c>
      <c r="I11" s="101" t="s">
        <v>566</v>
      </c>
      <c r="J11" s="99" t="s">
        <v>86</v>
      </c>
      <c r="K11" s="100" t="s">
        <v>569</v>
      </c>
      <c r="L11" s="97"/>
      <c r="M11" s="97"/>
      <c r="N11" s="97"/>
      <c r="O11" s="97"/>
      <c r="P11" s="3"/>
    </row>
    <row x14ac:dyDescent="0.25" r="12" customHeight="1" ht="18.75">
      <c r="A12" s="98" t="s">
        <v>570</v>
      </c>
      <c r="B12" s="99" t="s">
        <v>82</v>
      </c>
      <c r="C12" s="99" t="s">
        <v>571</v>
      </c>
      <c r="D12" s="99" t="s">
        <v>83</v>
      </c>
      <c r="E12" s="99" t="s">
        <v>572</v>
      </c>
      <c r="F12" s="99" t="s">
        <v>84</v>
      </c>
      <c r="G12" s="100" t="s">
        <v>573</v>
      </c>
      <c r="H12" s="99" t="s">
        <v>26</v>
      </c>
      <c r="I12" s="101" t="s">
        <v>561</v>
      </c>
      <c r="J12" s="99" t="s">
        <v>86</v>
      </c>
      <c r="K12" s="100" t="s">
        <v>574</v>
      </c>
      <c r="L12" s="97"/>
      <c r="M12" s="97"/>
      <c r="N12" s="97"/>
      <c r="O12" s="97"/>
      <c r="P12" s="3"/>
    </row>
    <row x14ac:dyDescent="0.25" r="13" customHeight="1" ht="18.75">
      <c r="A13" s="98" t="s">
        <v>570</v>
      </c>
      <c r="B13" s="99" t="s">
        <v>82</v>
      </c>
      <c r="C13" s="99" t="s">
        <v>575</v>
      </c>
      <c r="D13" s="99" t="s">
        <v>576</v>
      </c>
      <c r="E13" s="99" t="s">
        <v>577</v>
      </c>
      <c r="F13" s="99" t="s">
        <v>84</v>
      </c>
      <c r="G13" s="100" t="s">
        <v>578</v>
      </c>
      <c r="H13" s="99" t="s">
        <v>26</v>
      </c>
      <c r="I13" s="101" t="s">
        <v>579</v>
      </c>
      <c r="J13" s="99" t="s">
        <v>86</v>
      </c>
      <c r="K13" s="100" t="s">
        <v>580</v>
      </c>
      <c r="L13" s="97"/>
      <c r="M13" s="97"/>
      <c r="N13" s="97"/>
      <c r="O13" s="97"/>
      <c r="P13" s="3"/>
    </row>
    <row x14ac:dyDescent="0.25" r="14" customHeight="1" ht="18.75">
      <c r="A14" s="98" t="s">
        <v>570</v>
      </c>
      <c r="B14" s="99" t="s">
        <v>82</v>
      </c>
      <c r="C14" s="99" t="s">
        <v>581</v>
      </c>
      <c r="D14" s="99" t="s">
        <v>83</v>
      </c>
      <c r="E14" s="99" t="s">
        <v>577</v>
      </c>
      <c r="F14" s="99" t="s">
        <v>84</v>
      </c>
      <c r="G14" s="100" t="s">
        <v>578</v>
      </c>
      <c r="H14" s="99" t="s">
        <v>26</v>
      </c>
      <c r="I14" s="101" t="s">
        <v>582</v>
      </c>
      <c r="J14" s="99" t="s">
        <v>86</v>
      </c>
      <c r="K14" s="100" t="s">
        <v>583</v>
      </c>
      <c r="L14" s="97"/>
      <c r="M14" s="97"/>
      <c r="N14" s="97"/>
      <c r="O14" s="97"/>
      <c r="P14" s="3"/>
    </row>
    <row x14ac:dyDescent="0.25" r="15" customHeight="1" ht="18.75">
      <c r="A15" s="98">
        <v>45718</v>
      </c>
      <c r="B15" s="99" t="s">
        <v>82</v>
      </c>
      <c r="C15" s="99" t="s">
        <v>584</v>
      </c>
      <c r="D15" s="99" t="s">
        <v>585</v>
      </c>
      <c r="E15" s="99" t="s">
        <v>586</v>
      </c>
      <c r="F15" s="99" t="s">
        <v>587</v>
      </c>
      <c r="G15" s="100" t="s">
        <v>588</v>
      </c>
      <c r="H15" s="99" t="s">
        <v>76</v>
      </c>
      <c r="I15" s="101" t="s">
        <v>589</v>
      </c>
      <c r="J15" s="104"/>
      <c r="K15" s="100" t="s">
        <v>590</v>
      </c>
      <c r="L15" s="97"/>
      <c r="M15" s="97"/>
      <c r="N15" s="97"/>
      <c r="O15" s="97"/>
      <c r="P15" s="34"/>
    </row>
    <row x14ac:dyDescent="0.25" r="16" customHeight="1" ht="18.75">
      <c r="A16" s="98">
        <v>45718</v>
      </c>
      <c r="B16" s="99" t="s">
        <v>82</v>
      </c>
      <c r="C16" s="99" t="s">
        <v>591</v>
      </c>
      <c r="D16" s="99" t="s">
        <v>23</v>
      </c>
      <c r="E16" s="99" t="s">
        <v>592</v>
      </c>
      <c r="F16" s="99" t="s">
        <v>344</v>
      </c>
      <c r="G16" s="100" t="s">
        <v>593</v>
      </c>
      <c r="H16" s="99" t="s">
        <v>26</v>
      </c>
      <c r="I16" s="101" t="s">
        <v>594</v>
      </c>
      <c r="J16" s="105"/>
      <c r="K16" s="100" t="s">
        <v>595</v>
      </c>
      <c r="L16" s="97"/>
      <c r="M16" s="97"/>
      <c r="N16" s="97"/>
      <c r="O16" s="97"/>
      <c r="P16" s="34"/>
    </row>
    <row x14ac:dyDescent="0.25" r="17" customHeight="1" ht="18.75">
      <c r="A17" s="98">
        <v>45718</v>
      </c>
      <c r="B17" s="99" t="s">
        <v>82</v>
      </c>
      <c r="C17" s="99" t="s">
        <v>596</v>
      </c>
      <c r="D17" s="99" t="s">
        <v>23</v>
      </c>
      <c r="E17" s="99" t="s">
        <v>597</v>
      </c>
      <c r="F17" s="99" t="s">
        <v>344</v>
      </c>
      <c r="G17" s="100" t="s">
        <v>598</v>
      </c>
      <c r="H17" s="99" t="s">
        <v>26</v>
      </c>
      <c r="I17" s="101" t="s">
        <v>599</v>
      </c>
      <c r="J17" s="106"/>
      <c r="K17" s="100" t="s">
        <v>600</v>
      </c>
      <c r="L17" s="97"/>
      <c r="M17" s="97"/>
      <c r="N17" s="97"/>
      <c r="O17" s="97"/>
      <c r="P17" s="34"/>
    </row>
    <row x14ac:dyDescent="0.25" r="18" customHeight="1" ht="18.75">
      <c r="A18" s="98">
        <v>45749</v>
      </c>
      <c r="B18" s="99" t="s">
        <v>82</v>
      </c>
      <c r="C18" s="99" t="s">
        <v>591</v>
      </c>
      <c r="D18" s="99" t="s">
        <v>23</v>
      </c>
      <c r="E18" s="99" t="s">
        <v>597</v>
      </c>
      <c r="F18" s="99" t="s">
        <v>344</v>
      </c>
      <c r="G18" s="100" t="s">
        <v>601</v>
      </c>
      <c r="H18" s="99" t="s">
        <v>26</v>
      </c>
      <c r="I18" s="101" t="s">
        <v>602</v>
      </c>
      <c r="J18" s="105"/>
      <c r="K18" s="100" t="s">
        <v>603</v>
      </c>
      <c r="L18" s="97"/>
      <c r="M18" s="97"/>
      <c r="N18" s="97"/>
      <c r="O18" s="97"/>
      <c r="P18" s="34"/>
    </row>
    <row x14ac:dyDescent="0.25" r="19" customHeight="1" ht="18.75">
      <c r="A19" s="98">
        <v>45810</v>
      </c>
      <c r="B19" s="99" t="s">
        <v>82</v>
      </c>
      <c r="C19" s="99" t="s">
        <v>493</v>
      </c>
      <c r="D19" s="99" t="s">
        <v>576</v>
      </c>
      <c r="E19" s="99" t="s">
        <v>604</v>
      </c>
      <c r="F19" s="99" t="s">
        <v>327</v>
      </c>
      <c r="G19" s="100" t="s">
        <v>605</v>
      </c>
      <c r="H19" s="99" t="s">
        <v>26</v>
      </c>
      <c r="I19" s="101" t="s">
        <v>606</v>
      </c>
      <c r="J19" s="104"/>
      <c r="K19" s="100" t="s">
        <v>607</v>
      </c>
      <c r="L19" s="97"/>
      <c r="M19" s="97"/>
      <c r="N19" s="97"/>
      <c r="O19" s="97"/>
      <c r="P19" s="34"/>
    </row>
    <row x14ac:dyDescent="0.25" r="20" customHeight="1" ht="18.75">
      <c r="A20" s="98">
        <v>45810</v>
      </c>
      <c r="B20" s="99" t="s">
        <v>82</v>
      </c>
      <c r="C20" s="99" t="s">
        <v>493</v>
      </c>
      <c r="D20" s="99" t="s">
        <v>472</v>
      </c>
      <c r="E20" s="99" t="s">
        <v>608</v>
      </c>
      <c r="F20" s="99" t="s">
        <v>548</v>
      </c>
      <c r="G20" s="100" t="s">
        <v>494</v>
      </c>
      <c r="H20" s="99" t="s">
        <v>26</v>
      </c>
      <c r="I20" s="101" t="s">
        <v>609</v>
      </c>
      <c r="J20" s="104"/>
      <c r="K20" s="100" t="s">
        <v>610</v>
      </c>
      <c r="L20" s="97"/>
      <c r="M20" s="97"/>
      <c r="N20" s="97"/>
      <c r="O20" s="97"/>
      <c r="P20" s="34"/>
    </row>
    <row x14ac:dyDescent="0.25" r="21" customHeight="1" ht="18.75">
      <c r="A21" s="98">
        <v>45963</v>
      </c>
      <c r="B21" s="99" t="s">
        <v>82</v>
      </c>
      <c r="C21" s="99" t="s">
        <v>496</v>
      </c>
      <c r="D21" s="99" t="s">
        <v>472</v>
      </c>
      <c r="E21" s="99" t="s">
        <v>611</v>
      </c>
      <c r="F21" s="99" t="s">
        <v>141</v>
      </c>
      <c r="G21" s="100" t="s">
        <v>522</v>
      </c>
      <c r="H21" s="99" t="s">
        <v>26</v>
      </c>
      <c r="I21" s="101" t="s">
        <v>612</v>
      </c>
      <c r="J21" s="104"/>
      <c r="K21" s="100" t="s">
        <v>613</v>
      </c>
      <c r="L21" s="97"/>
      <c r="M21" s="97"/>
      <c r="N21" s="97"/>
      <c r="O21" s="97"/>
      <c r="P21" s="34"/>
    </row>
    <row x14ac:dyDescent="0.25" r="22" customHeight="1" ht="18.75">
      <c r="A22" s="98" t="s">
        <v>614</v>
      </c>
      <c r="B22" s="99" t="s">
        <v>82</v>
      </c>
      <c r="C22" s="99" t="s">
        <v>615</v>
      </c>
      <c r="D22" s="99" t="s">
        <v>83</v>
      </c>
      <c r="E22" s="99" t="s">
        <v>616</v>
      </c>
      <c r="F22" s="99" t="s">
        <v>617</v>
      </c>
      <c r="G22" s="100" t="s">
        <v>618</v>
      </c>
      <c r="H22" s="99" t="s">
        <v>26</v>
      </c>
      <c r="I22" s="101" t="s">
        <v>619</v>
      </c>
      <c r="J22" s="104"/>
      <c r="K22" s="100" t="s">
        <v>620</v>
      </c>
      <c r="L22" s="97"/>
      <c r="M22" s="97"/>
      <c r="N22" s="97"/>
      <c r="O22" s="97"/>
      <c r="P22" s="34"/>
    </row>
    <row x14ac:dyDescent="0.25" r="23" customHeight="1" ht="15.75">
      <c r="A23" s="98" t="s">
        <v>614</v>
      </c>
      <c r="B23" s="99" t="s">
        <v>82</v>
      </c>
      <c r="C23" s="99" t="s">
        <v>615</v>
      </c>
      <c r="D23" s="99" t="s">
        <v>83</v>
      </c>
      <c r="E23" s="99" t="s">
        <v>616</v>
      </c>
      <c r="F23" s="99" t="s">
        <v>617</v>
      </c>
      <c r="G23" s="100" t="s">
        <v>621</v>
      </c>
      <c r="H23" s="99" t="s">
        <v>26</v>
      </c>
      <c r="I23" s="101" t="s">
        <v>619</v>
      </c>
      <c r="J23" s="104"/>
      <c r="K23" s="100" t="s">
        <v>622</v>
      </c>
      <c r="L23" s="97"/>
      <c r="M23" s="97"/>
      <c r="N23" s="97"/>
      <c r="O23" s="97"/>
      <c r="P23" s="3"/>
    </row>
    <row x14ac:dyDescent="0.25" r="24" customHeight="1" ht="15.75">
      <c r="A24" s="98" t="s">
        <v>614</v>
      </c>
      <c r="B24" s="99" t="s">
        <v>82</v>
      </c>
      <c r="C24" s="99" t="s">
        <v>623</v>
      </c>
      <c r="D24" s="99" t="s">
        <v>624</v>
      </c>
      <c r="E24" s="99" t="s">
        <v>625</v>
      </c>
      <c r="F24" s="99" t="s">
        <v>84</v>
      </c>
      <c r="G24" s="100" t="s">
        <v>626</v>
      </c>
      <c r="H24" s="99" t="s">
        <v>26</v>
      </c>
      <c r="I24" s="101" t="s">
        <v>627</v>
      </c>
      <c r="J24" s="104"/>
      <c r="K24" s="100" t="s">
        <v>628</v>
      </c>
      <c r="L24" s="97"/>
      <c r="M24" s="97"/>
      <c r="N24" s="97"/>
      <c r="O24" s="97"/>
      <c r="P24" s="3"/>
    </row>
    <row x14ac:dyDescent="0.25" r="25" customHeight="1" ht="15.75">
      <c r="A25" s="98" t="s">
        <v>614</v>
      </c>
      <c r="B25" s="99" t="s">
        <v>82</v>
      </c>
      <c r="C25" s="99" t="s">
        <v>623</v>
      </c>
      <c r="D25" s="99" t="s">
        <v>624</v>
      </c>
      <c r="E25" s="99" t="s">
        <v>625</v>
      </c>
      <c r="F25" s="99" t="s">
        <v>84</v>
      </c>
      <c r="G25" s="100" t="s">
        <v>629</v>
      </c>
      <c r="H25" s="99" t="s">
        <v>26</v>
      </c>
      <c r="I25" s="101" t="s">
        <v>627</v>
      </c>
      <c r="J25" s="104"/>
      <c r="K25" s="100" t="s">
        <v>630</v>
      </c>
      <c r="L25" s="97"/>
      <c r="M25" s="97"/>
      <c r="N25" s="97"/>
      <c r="O25" s="97"/>
      <c r="P25" s="3"/>
    </row>
    <row x14ac:dyDescent="0.25" r="26" customHeight="1" ht="15.75">
      <c r="A26" s="98" t="s">
        <v>631</v>
      </c>
      <c r="B26" s="99" t="s">
        <v>82</v>
      </c>
      <c r="C26" s="99" t="s">
        <v>632</v>
      </c>
      <c r="D26" s="99" t="s">
        <v>472</v>
      </c>
      <c r="E26" s="99" t="s">
        <v>633</v>
      </c>
      <c r="F26" s="99" t="s">
        <v>634</v>
      </c>
      <c r="G26" s="100" t="s">
        <v>635</v>
      </c>
      <c r="H26" s="99" t="s">
        <v>127</v>
      </c>
      <c r="I26" s="101" t="s">
        <v>627</v>
      </c>
      <c r="J26" s="104"/>
      <c r="K26" s="100" t="s">
        <v>636</v>
      </c>
      <c r="L26" s="97"/>
      <c r="M26" s="97"/>
      <c r="N26" s="97"/>
      <c r="O26" s="97"/>
      <c r="P26" s="3"/>
    </row>
    <row x14ac:dyDescent="0.25" r="27" customHeight="1" ht="15.75">
      <c r="A27" s="98" t="s">
        <v>637</v>
      </c>
      <c r="B27" s="99" t="s">
        <v>82</v>
      </c>
      <c r="C27" s="99" t="s">
        <v>638</v>
      </c>
      <c r="D27" s="99" t="s">
        <v>546</v>
      </c>
      <c r="E27" s="99" t="s">
        <v>639</v>
      </c>
      <c r="F27" s="99" t="s">
        <v>640</v>
      </c>
      <c r="G27" s="100" t="s">
        <v>478</v>
      </c>
      <c r="H27" s="99" t="s">
        <v>26</v>
      </c>
      <c r="I27" s="101" t="s">
        <v>641</v>
      </c>
      <c r="J27" s="104"/>
      <c r="K27" s="100" t="s">
        <v>642</v>
      </c>
      <c r="L27" s="97"/>
      <c r="M27" s="97"/>
      <c r="N27" s="97"/>
      <c r="O27" s="97"/>
      <c r="P27" s="34"/>
    </row>
    <row x14ac:dyDescent="0.25" r="28" customHeight="1" ht="15.75">
      <c r="A28" s="98" t="s">
        <v>643</v>
      </c>
      <c r="B28" s="99" t="s">
        <v>82</v>
      </c>
      <c r="C28" s="99" t="s">
        <v>623</v>
      </c>
      <c r="D28" s="99" t="s">
        <v>472</v>
      </c>
      <c r="E28" s="99" t="s">
        <v>644</v>
      </c>
      <c r="F28" s="99" t="s">
        <v>174</v>
      </c>
      <c r="G28" s="100" t="s">
        <v>645</v>
      </c>
      <c r="H28" s="99" t="s">
        <v>26</v>
      </c>
      <c r="I28" s="101" t="s">
        <v>609</v>
      </c>
      <c r="J28" s="104"/>
      <c r="K28" s="100" t="s">
        <v>646</v>
      </c>
      <c r="L28" s="97"/>
      <c r="M28" s="97"/>
      <c r="N28" s="97"/>
      <c r="O28" s="97"/>
      <c r="P28" s="34"/>
    </row>
    <row x14ac:dyDescent="0.25" r="29" customHeight="1" ht="15.75">
      <c r="A29" s="98" t="s">
        <v>643</v>
      </c>
      <c r="B29" s="99" t="s">
        <v>82</v>
      </c>
      <c r="C29" s="99" t="s">
        <v>647</v>
      </c>
      <c r="D29" s="99" t="s">
        <v>576</v>
      </c>
      <c r="E29" s="99" t="s">
        <v>648</v>
      </c>
      <c r="F29" s="99" t="s">
        <v>84</v>
      </c>
      <c r="G29" s="100" t="s">
        <v>649</v>
      </c>
      <c r="H29" s="99" t="s">
        <v>26</v>
      </c>
      <c r="I29" s="101" t="s">
        <v>650</v>
      </c>
      <c r="J29" s="104"/>
      <c r="K29" s="100" t="s">
        <v>651</v>
      </c>
      <c r="L29" s="97"/>
      <c r="M29" s="97"/>
      <c r="N29" s="97"/>
      <c r="O29" s="97"/>
      <c r="P29" s="34"/>
    </row>
    <row x14ac:dyDescent="0.25" r="30" customHeight="1" ht="15.75">
      <c r="A30" s="98" t="s">
        <v>652</v>
      </c>
      <c r="B30" s="99" t="s">
        <v>82</v>
      </c>
      <c r="C30" s="99" t="s">
        <v>653</v>
      </c>
      <c r="D30" s="99" t="s">
        <v>654</v>
      </c>
      <c r="E30" s="99" t="s">
        <v>655</v>
      </c>
      <c r="F30" s="99" t="s">
        <v>48</v>
      </c>
      <c r="G30" s="100" t="s">
        <v>656</v>
      </c>
      <c r="H30" s="99" t="s">
        <v>26</v>
      </c>
      <c r="I30" s="101" t="s">
        <v>657</v>
      </c>
      <c r="J30" s="104"/>
      <c r="K30" s="100" t="s">
        <v>658</v>
      </c>
      <c r="L30" s="97"/>
      <c r="M30" s="97"/>
      <c r="N30" s="97"/>
      <c r="O30" s="97"/>
      <c r="P30" s="34"/>
    </row>
    <row x14ac:dyDescent="0.25" r="31" customHeight="1" ht="15.75">
      <c r="A31" s="98" t="s">
        <v>652</v>
      </c>
      <c r="B31" s="99" t="s">
        <v>82</v>
      </c>
      <c r="C31" s="99" t="s">
        <v>659</v>
      </c>
      <c r="D31" s="99" t="s">
        <v>546</v>
      </c>
      <c r="E31" s="99"/>
      <c r="F31" s="99" t="s">
        <v>548</v>
      </c>
      <c r="G31" s="100" t="s">
        <v>660</v>
      </c>
      <c r="H31" s="99" t="s">
        <v>26</v>
      </c>
      <c r="I31" s="101" t="s">
        <v>661</v>
      </c>
      <c r="J31" s="104"/>
      <c r="K31" s="100" t="s">
        <v>662</v>
      </c>
      <c r="L31" s="97"/>
      <c r="M31" s="97"/>
      <c r="N31" s="97"/>
      <c r="O31" s="97"/>
      <c r="P31" s="34"/>
    </row>
    <row x14ac:dyDescent="0.25" r="32" customHeight="1" ht="15.75">
      <c r="A32" s="98" t="s">
        <v>663</v>
      </c>
      <c r="B32" s="99" t="s">
        <v>82</v>
      </c>
      <c r="C32" s="99" t="s">
        <v>664</v>
      </c>
      <c r="D32" s="99" t="s">
        <v>398</v>
      </c>
      <c r="E32" s="99"/>
      <c r="F32" s="99" t="s">
        <v>665</v>
      </c>
      <c r="G32" s="100" t="s">
        <v>666</v>
      </c>
      <c r="H32" s="99" t="s">
        <v>26</v>
      </c>
      <c r="I32" s="101" t="s">
        <v>667</v>
      </c>
      <c r="J32" s="104"/>
      <c r="K32" s="100" t="s">
        <v>668</v>
      </c>
      <c r="L32" s="97"/>
      <c r="M32" s="97"/>
      <c r="N32" s="97"/>
      <c r="O32" s="97"/>
      <c r="P32" s="34"/>
    </row>
    <row x14ac:dyDescent="0.25" r="33" customHeight="1" ht="15.75">
      <c r="A33" s="98" t="s">
        <v>663</v>
      </c>
      <c r="B33" s="99" t="s">
        <v>82</v>
      </c>
      <c r="C33" s="99" t="s">
        <v>664</v>
      </c>
      <c r="D33" s="99" t="s">
        <v>398</v>
      </c>
      <c r="E33" s="99"/>
      <c r="F33" s="99" t="s">
        <v>665</v>
      </c>
      <c r="G33" s="100" t="s">
        <v>669</v>
      </c>
      <c r="H33" s="99" t="s">
        <v>26</v>
      </c>
      <c r="I33" s="101" t="s">
        <v>667</v>
      </c>
      <c r="J33" s="104"/>
      <c r="K33" s="100" t="s">
        <v>670</v>
      </c>
      <c r="L33" s="97"/>
      <c r="M33" s="97"/>
      <c r="N33" s="97"/>
      <c r="O33" s="97"/>
      <c r="P33" s="34"/>
    </row>
    <row x14ac:dyDescent="0.25" r="34" customHeight="1" ht="15.75">
      <c r="A34" s="98" t="s">
        <v>663</v>
      </c>
      <c r="B34" s="99" t="s">
        <v>82</v>
      </c>
      <c r="C34" s="99" t="s">
        <v>664</v>
      </c>
      <c r="D34" s="99" t="s">
        <v>398</v>
      </c>
      <c r="E34" s="99"/>
      <c r="F34" s="99" t="s">
        <v>665</v>
      </c>
      <c r="G34" s="100" t="s">
        <v>671</v>
      </c>
      <c r="H34" s="99" t="s">
        <v>26</v>
      </c>
      <c r="I34" s="101" t="s">
        <v>667</v>
      </c>
      <c r="J34" s="104"/>
      <c r="K34" s="100" t="s">
        <v>672</v>
      </c>
      <c r="L34" s="97"/>
      <c r="M34" s="97"/>
      <c r="N34" s="97"/>
      <c r="O34" s="97"/>
      <c r="P34" s="34"/>
    </row>
    <row x14ac:dyDescent="0.25" r="35" customHeight="1" ht="15.75">
      <c r="A35" s="98" t="s">
        <v>673</v>
      </c>
      <c r="B35" s="99" t="s">
        <v>82</v>
      </c>
      <c r="C35" s="99" t="s">
        <v>674</v>
      </c>
      <c r="D35" s="99" t="s">
        <v>624</v>
      </c>
      <c r="E35" s="99"/>
      <c r="F35" s="99" t="s">
        <v>548</v>
      </c>
      <c r="G35" s="100" t="s">
        <v>675</v>
      </c>
      <c r="H35" s="99" t="s">
        <v>26</v>
      </c>
      <c r="I35" s="101" t="s">
        <v>676</v>
      </c>
      <c r="J35" s="104"/>
      <c r="K35" s="100" t="s">
        <v>677</v>
      </c>
      <c r="L35" s="97"/>
      <c r="M35" s="97"/>
      <c r="N35" s="97"/>
      <c r="O35" s="97"/>
      <c r="P35" s="34"/>
    </row>
    <row x14ac:dyDescent="0.25" r="36" customHeight="1" ht="15.75">
      <c r="A36" s="98">
        <v>45719</v>
      </c>
      <c r="B36" s="99" t="s">
        <v>82</v>
      </c>
      <c r="C36" s="99" t="s">
        <v>472</v>
      </c>
      <c r="D36" s="99" t="s">
        <v>678</v>
      </c>
      <c r="E36" s="80"/>
      <c r="F36" s="99" t="s">
        <v>141</v>
      </c>
      <c r="G36" s="95" t="s">
        <v>679</v>
      </c>
      <c r="H36" s="99" t="s">
        <v>26</v>
      </c>
      <c r="I36" s="101" t="s">
        <v>627</v>
      </c>
      <c r="J36" s="99"/>
      <c r="K36" s="100" t="s">
        <v>680</v>
      </c>
      <c r="L36" s="97"/>
      <c r="M36" s="97"/>
      <c r="N36" s="97"/>
      <c r="O36" s="97"/>
      <c r="P36" s="34"/>
    </row>
    <row x14ac:dyDescent="0.25" r="37" customHeight="1" ht="15.75">
      <c r="A37" s="98">
        <v>45719</v>
      </c>
      <c r="B37" s="99" t="s">
        <v>82</v>
      </c>
      <c r="C37" s="99" t="s">
        <v>472</v>
      </c>
      <c r="D37" s="99" t="s">
        <v>678</v>
      </c>
      <c r="E37" s="99"/>
      <c r="F37" s="99" t="s">
        <v>141</v>
      </c>
      <c r="G37" s="107" t="s">
        <v>681</v>
      </c>
      <c r="H37" s="108" t="s">
        <v>26</v>
      </c>
      <c r="I37" s="101" t="s">
        <v>627</v>
      </c>
      <c r="J37" s="99"/>
      <c r="K37" s="100" t="s">
        <v>682</v>
      </c>
      <c r="L37" s="97"/>
      <c r="M37" s="97"/>
      <c r="N37" s="97"/>
      <c r="O37" s="97"/>
      <c r="P37" s="34"/>
    </row>
    <row x14ac:dyDescent="0.25" r="38" customHeight="1" ht="15.75">
      <c r="A38" s="98">
        <v>45750</v>
      </c>
      <c r="B38" s="99" t="s">
        <v>683</v>
      </c>
      <c r="C38" s="99" t="s">
        <v>684</v>
      </c>
      <c r="D38" s="99" t="s">
        <v>685</v>
      </c>
      <c r="E38" s="99"/>
      <c r="F38" s="99" t="s">
        <v>686</v>
      </c>
      <c r="G38" s="100" t="s">
        <v>687</v>
      </c>
      <c r="H38" s="99" t="s">
        <v>688</v>
      </c>
      <c r="I38" s="101" t="s">
        <v>689</v>
      </c>
      <c r="J38" s="99"/>
      <c r="K38" s="100" t="s">
        <v>690</v>
      </c>
      <c r="L38" s="97"/>
      <c r="M38" s="97"/>
      <c r="N38" s="97"/>
      <c r="O38" s="97"/>
      <c r="P38" s="34"/>
    </row>
    <row x14ac:dyDescent="0.25" r="39" customHeight="1" ht="15.75">
      <c r="A39" s="98">
        <v>45780</v>
      </c>
      <c r="B39" s="99" t="s">
        <v>82</v>
      </c>
      <c r="C39" s="99" t="s">
        <v>691</v>
      </c>
      <c r="D39" s="99" t="s">
        <v>692</v>
      </c>
      <c r="E39" s="99"/>
      <c r="F39" s="99" t="s">
        <v>693</v>
      </c>
      <c r="G39" s="100" t="s">
        <v>694</v>
      </c>
      <c r="H39" s="99" t="s">
        <v>26</v>
      </c>
      <c r="I39" s="103" t="s">
        <v>695</v>
      </c>
      <c r="J39" s="99"/>
      <c r="K39" s="100" t="s">
        <v>696</v>
      </c>
      <c r="L39" s="97"/>
      <c r="M39" s="97"/>
      <c r="N39" s="97"/>
      <c r="O39" s="97"/>
      <c r="P39" s="34"/>
    </row>
    <row x14ac:dyDescent="0.25" r="40" customHeight="1" ht="15.75">
      <c r="A40" s="98" t="s">
        <v>697</v>
      </c>
      <c r="B40" s="99" t="s">
        <v>82</v>
      </c>
      <c r="C40" s="99" t="s">
        <v>83</v>
      </c>
      <c r="D40" s="99" t="s">
        <v>698</v>
      </c>
      <c r="E40" s="99"/>
      <c r="F40" s="99" t="s">
        <v>84</v>
      </c>
      <c r="G40" s="100" t="s">
        <v>699</v>
      </c>
      <c r="H40" s="99" t="s">
        <v>26</v>
      </c>
      <c r="I40" s="101" t="s">
        <v>700</v>
      </c>
      <c r="J40" s="99"/>
      <c r="K40" s="100" t="s">
        <v>701</v>
      </c>
      <c r="L40" s="97"/>
      <c r="M40" s="97"/>
      <c r="N40" s="97"/>
      <c r="O40" s="97">
        <f>N40-M40-I41</f>
      </c>
      <c r="P40" s="34"/>
    </row>
    <row x14ac:dyDescent="0.25" r="41" customHeight="1" ht="15.75">
      <c r="A41" s="98" t="s">
        <v>702</v>
      </c>
      <c r="B41" s="99" t="s">
        <v>82</v>
      </c>
      <c r="C41" s="99" t="s">
        <v>703</v>
      </c>
      <c r="D41" s="99" t="s">
        <v>704</v>
      </c>
      <c r="E41" s="99"/>
      <c r="F41" s="99" t="s">
        <v>705</v>
      </c>
      <c r="G41" s="100" t="s">
        <v>706</v>
      </c>
      <c r="H41" s="99" t="s">
        <v>26</v>
      </c>
      <c r="I41" s="101" t="s">
        <v>707</v>
      </c>
      <c r="J41" s="99"/>
      <c r="K41" s="100" t="s">
        <v>708</v>
      </c>
      <c r="L41" s="97"/>
      <c r="M41" s="97"/>
      <c r="N41" s="97"/>
      <c r="O41" s="97"/>
      <c r="P41" s="34"/>
    </row>
    <row x14ac:dyDescent="0.25" r="42" customHeight="1" ht="15.75">
      <c r="A42" s="109" t="s">
        <v>709</v>
      </c>
      <c r="B42" s="99" t="s">
        <v>82</v>
      </c>
      <c r="C42" s="99" t="s">
        <v>525</v>
      </c>
      <c r="D42" s="99" t="s">
        <v>710</v>
      </c>
      <c r="E42" s="99"/>
      <c r="F42" s="99" t="s">
        <v>711</v>
      </c>
      <c r="G42" s="100" t="s">
        <v>712</v>
      </c>
      <c r="H42" s="72" t="s">
        <v>713</v>
      </c>
      <c r="I42" s="101" t="s">
        <v>714</v>
      </c>
      <c r="J42" s="99"/>
      <c r="K42" s="100" t="s">
        <v>715</v>
      </c>
      <c r="L42" s="97"/>
      <c r="M42" s="97"/>
      <c r="N42" s="97"/>
      <c r="O42" s="97"/>
      <c r="P42" s="34"/>
    </row>
    <row x14ac:dyDescent="0.25" r="43" customHeight="1" ht="15.75">
      <c r="A43" s="110" t="s">
        <v>716</v>
      </c>
      <c r="B43" s="99" t="s">
        <v>82</v>
      </c>
      <c r="C43" s="99" t="s">
        <v>717</v>
      </c>
      <c r="D43" s="72" t="s">
        <v>718</v>
      </c>
      <c r="E43" s="99"/>
      <c r="F43" s="99" t="s">
        <v>719</v>
      </c>
      <c r="G43" s="100" t="s">
        <v>720</v>
      </c>
      <c r="H43" s="99" t="s">
        <v>26</v>
      </c>
      <c r="I43" s="101">
        <v>66940</v>
      </c>
      <c r="J43" s="99"/>
      <c r="K43" s="100" t="s">
        <v>721</v>
      </c>
      <c r="L43" s="97"/>
      <c r="M43" s="97"/>
      <c r="N43" s="97"/>
      <c r="O43" s="97">
        <v>1576103</v>
      </c>
      <c r="P43" s="34"/>
    </row>
    <row x14ac:dyDescent="0.25" r="44" customHeight="1" ht="15.75">
      <c r="A44" s="109" t="s">
        <v>722</v>
      </c>
      <c r="B44" s="99" t="s">
        <v>82</v>
      </c>
      <c r="C44" s="99" t="s">
        <v>83</v>
      </c>
      <c r="D44" s="72" t="s">
        <v>723</v>
      </c>
      <c r="E44" s="99"/>
      <c r="F44" s="99" t="s">
        <v>617</v>
      </c>
      <c r="G44" s="100" t="s">
        <v>724</v>
      </c>
      <c r="H44" s="99" t="s">
        <v>26</v>
      </c>
      <c r="I44" s="101" t="s">
        <v>725</v>
      </c>
      <c r="J44" s="99"/>
      <c r="K44" s="100" t="s">
        <v>726</v>
      </c>
      <c r="L44" s="97"/>
      <c r="M44" s="97"/>
      <c r="N44" s="97"/>
      <c r="O44" s="111"/>
      <c r="P44" s="34"/>
    </row>
    <row x14ac:dyDescent="0.25" r="45" customHeight="1" ht="15.75">
      <c r="A45" s="109" t="s">
        <v>722</v>
      </c>
      <c r="B45" s="99" t="s">
        <v>82</v>
      </c>
      <c r="C45" s="99" t="s">
        <v>727</v>
      </c>
      <c r="D45" s="99" t="s">
        <v>552</v>
      </c>
      <c r="E45" s="99"/>
      <c r="F45" s="99" t="s">
        <v>728</v>
      </c>
      <c r="G45" s="100" t="s">
        <v>729</v>
      </c>
      <c r="H45" s="99" t="s">
        <v>26</v>
      </c>
      <c r="I45" s="101" t="s">
        <v>730</v>
      </c>
      <c r="J45" s="99"/>
      <c r="K45" s="100" t="s">
        <v>731</v>
      </c>
      <c r="L45" s="97"/>
      <c r="M45" s="97"/>
      <c r="N45" s="97"/>
      <c r="O45" s="97"/>
      <c r="P45" s="34"/>
    </row>
    <row x14ac:dyDescent="0.25" r="46" customHeight="1" ht="15.75">
      <c r="A46" s="109" t="s">
        <v>722</v>
      </c>
      <c r="B46" s="99" t="s">
        <v>82</v>
      </c>
      <c r="C46" s="99" t="s">
        <v>727</v>
      </c>
      <c r="D46" s="99" t="s">
        <v>552</v>
      </c>
      <c r="E46" s="99"/>
      <c r="F46" s="99" t="s">
        <v>728</v>
      </c>
      <c r="G46" s="100" t="s">
        <v>732</v>
      </c>
      <c r="H46" s="99" t="s">
        <v>26</v>
      </c>
      <c r="I46" s="101" t="s">
        <v>730</v>
      </c>
      <c r="J46" s="99"/>
      <c r="K46" s="100" t="s">
        <v>733</v>
      </c>
      <c r="L46" s="97"/>
      <c r="M46" s="97"/>
      <c r="N46" s="97"/>
      <c r="O46" s="97"/>
      <c r="P46" s="34"/>
    </row>
    <row x14ac:dyDescent="0.25" r="47" customHeight="1" ht="15.75">
      <c r="A47" s="109" t="s">
        <v>722</v>
      </c>
      <c r="B47" s="99" t="s">
        <v>82</v>
      </c>
      <c r="C47" s="99" t="s">
        <v>727</v>
      </c>
      <c r="D47" s="99" t="s">
        <v>552</v>
      </c>
      <c r="E47" s="99"/>
      <c r="F47" s="99" t="s">
        <v>728</v>
      </c>
      <c r="G47" s="100" t="s">
        <v>734</v>
      </c>
      <c r="H47" s="99" t="s">
        <v>26</v>
      </c>
      <c r="I47" s="101" t="s">
        <v>730</v>
      </c>
      <c r="J47" s="99"/>
      <c r="K47" s="100" t="s">
        <v>735</v>
      </c>
      <c r="L47" s="97"/>
      <c r="M47" s="97"/>
      <c r="N47" s="97"/>
      <c r="O47" s="97"/>
      <c r="P47" s="34"/>
    </row>
    <row x14ac:dyDescent="0.25" r="48" customHeight="1" ht="15.75">
      <c r="A48" s="109" t="s">
        <v>722</v>
      </c>
      <c r="B48" s="99" t="s">
        <v>82</v>
      </c>
      <c r="C48" s="99" t="s">
        <v>727</v>
      </c>
      <c r="D48" s="99" t="s">
        <v>552</v>
      </c>
      <c r="E48" s="99"/>
      <c r="F48" s="99" t="s">
        <v>728</v>
      </c>
      <c r="G48" s="100" t="s">
        <v>736</v>
      </c>
      <c r="H48" s="99" t="s">
        <v>26</v>
      </c>
      <c r="I48" s="101" t="s">
        <v>737</v>
      </c>
      <c r="J48" s="99"/>
      <c r="K48" s="100" t="s">
        <v>738</v>
      </c>
      <c r="L48" s="97"/>
      <c r="M48" s="97"/>
      <c r="N48" s="97"/>
      <c r="O48" s="97"/>
      <c r="P48" s="34"/>
    </row>
    <row x14ac:dyDescent="0.25" r="49" customHeight="1" ht="15.75">
      <c r="A49" s="109" t="s">
        <v>722</v>
      </c>
      <c r="B49" s="99" t="s">
        <v>82</v>
      </c>
      <c r="C49" s="99" t="s">
        <v>727</v>
      </c>
      <c r="D49" s="99" t="s">
        <v>552</v>
      </c>
      <c r="E49" s="99"/>
      <c r="F49" s="99" t="s">
        <v>728</v>
      </c>
      <c r="G49" s="100" t="s">
        <v>739</v>
      </c>
      <c r="H49" s="99" t="s">
        <v>26</v>
      </c>
      <c r="I49" s="101" t="s">
        <v>737</v>
      </c>
      <c r="J49" s="99"/>
      <c r="K49" s="100" t="s">
        <v>740</v>
      </c>
      <c r="L49" s="97"/>
      <c r="M49" s="97"/>
      <c r="N49" s="97"/>
      <c r="O49" s="97"/>
      <c r="P49" s="34"/>
    </row>
    <row x14ac:dyDescent="0.25" r="50" customHeight="1" ht="15.75">
      <c r="A50" s="109" t="s">
        <v>722</v>
      </c>
      <c r="B50" s="99" t="s">
        <v>82</v>
      </c>
      <c r="C50" s="99" t="s">
        <v>727</v>
      </c>
      <c r="D50" s="99" t="s">
        <v>552</v>
      </c>
      <c r="E50" s="99"/>
      <c r="F50" s="99" t="s">
        <v>728</v>
      </c>
      <c r="G50" s="100" t="s">
        <v>741</v>
      </c>
      <c r="H50" s="99" t="s">
        <v>26</v>
      </c>
      <c r="I50" s="101" t="s">
        <v>737</v>
      </c>
      <c r="J50" s="99"/>
      <c r="K50" s="100" t="s">
        <v>742</v>
      </c>
      <c r="L50" s="97"/>
      <c r="M50" s="97"/>
      <c r="N50" s="97"/>
      <c r="O50" s="97"/>
      <c r="P50" s="34"/>
    </row>
    <row x14ac:dyDescent="0.25" r="51" customHeight="1" ht="15.75">
      <c r="A51" s="94"/>
      <c r="B51" s="80"/>
      <c r="C51" s="80"/>
      <c r="D51" s="80"/>
      <c r="E51" s="80"/>
      <c r="F51" s="80"/>
      <c r="G51" s="95"/>
      <c r="H51" s="80"/>
      <c r="I51" s="112"/>
      <c r="J51" s="80"/>
      <c r="K51" s="95"/>
      <c r="L51" s="97"/>
      <c r="M51" s="97"/>
      <c r="N51" s="97"/>
      <c r="O51" s="97"/>
      <c r="P51" s="34"/>
    </row>
    <row x14ac:dyDescent="0.25" r="52" customHeight="1" ht="15.75">
      <c r="A52" s="98"/>
      <c r="B52" s="99"/>
      <c r="C52" s="99"/>
      <c r="D52" s="99"/>
      <c r="E52" s="99"/>
      <c r="F52" s="99"/>
      <c r="G52" s="100"/>
      <c r="H52" s="99"/>
      <c r="I52" s="101"/>
      <c r="J52" s="99"/>
      <c r="K52" s="100"/>
      <c r="L52" s="97"/>
      <c r="M52" s="97"/>
      <c r="N52" s="97"/>
      <c r="O52" s="97"/>
      <c r="P52" s="34"/>
    </row>
    <row x14ac:dyDescent="0.25" r="53" customHeight="1" ht="15.75">
      <c r="A53" s="98"/>
      <c r="B53" s="99"/>
      <c r="C53" s="99"/>
      <c r="D53" s="99"/>
      <c r="E53" s="99"/>
      <c r="F53" s="99"/>
      <c r="G53" s="100"/>
      <c r="H53" s="99"/>
      <c r="I53" s="101"/>
      <c r="J53" s="99"/>
      <c r="K53" s="100"/>
      <c r="L53" s="97"/>
      <c r="M53" s="97"/>
      <c r="N53" s="97"/>
      <c r="O53" s="97"/>
      <c r="P53" s="34"/>
    </row>
    <row x14ac:dyDescent="0.25" r="54" customHeight="1" ht="15.75">
      <c r="A54" s="98"/>
      <c r="B54" s="99"/>
      <c r="C54" s="99"/>
      <c r="D54" s="99"/>
      <c r="E54" s="99"/>
      <c r="F54" s="99"/>
      <c r="G54" s="100"/>
      <c r="H54" s="99"/>
      <c r="I54" s="101"/>
      <c r="J54" s="99"/>
      <c r="K54" s="100"/>
      <c r="L54" s="97"/>
      <c r="M54" s="97"/>
      <c r="N54" s="97"/>
      <c r="O54" s="97"/>
      <c r="P54" s="34"/>
    </row>
    <row x14ac:dyDescent="0.25" r="55" customHeight="1" ht="15.75">
      <c r="A55" s="98"/>
      <c r="B55" s="99"/>
      <c r="C55" s="99"/>
      <c r="D55" s="99"/>
      <c r="E55" s="99"/>
      <c r="F55" s="99"/>
      <c r="G55" s="100"/>
      <c r="H55" s="99"/>
      <c r="I55" s="101"/>
      <c r="J55" s="99"/>
      <c r="K55" s="100"/>
      <c r="L55" s="97"/>
      <c r="M55" s="97"/>
      <c r="N55" s="97"/>
      <c r="O55" s="97"/>
      <c r="P55" s="34"/>
    </row>
    <row x14ac:dyDescent="0.25" r="56" customHeight="1" ht="15.75">
      <c r="A56" s="98"/>
      <c r="B56" s="99"/>
      <c r="C56" s="99"/>
      <c r="D56" s="99"/>
      <c r="E56" s="99"/>
      <c r="F56" s="99"/>
      <c r="G56" s="100"/>
      <c r="H56" s="99"/>
      <c r="I56" s="101"/>
      <c r="J56" s="99"/>
      <c r="K56" s="100"/>
      <c r="L56" s="97"/>
      <c r="M56" s="97"/>
      <c r="N56" s="97"/>
      <c r="O56" s="97"/>
      <c r="P56" s="34"/>
    </row>
    <row x14ac:dyDescent="0.25" r="57" customHeight="1" ht="15.75">
      <c r="A57" s="98"/>
      <c r="B57" s="99"/>
      <c r="C57" s="99"/>
      <c r="D57" s="99"/>
      <c r="E57" s="99"/>
      <c r="F57" s="99"/>
      <c r="G57" s="100"/>
      <c r="H57" s="99"/>
      <c r="I57" s="101"/>
      <c r="J57" s="99"/>
      <c r="K57" s="100"/>
      <c r="L57" s="113"/>
      <c r="M57" s="113"/>
      <c r="N57" s="113"/>
      <c r="O57" s="113"/>
      <c r="P57" s="34"/>
    </row>
    <row x14ac:dyDescent="0.25" r="58" customHeight="1" ht="15.75">
      <c r="A58" s="98"/>
      <c r="B58" s="99"/>
      <c r="C58" s="99"/>
      <c r="D58" s="99"/>
      <c r="E58" s="99"/>
      <c r="F58" s="99"/>
      <c r="G58" s="100"/>
      <c r="H58" s="99"/>
      <c r="I58" s="101"/>
      <c r="J58" s="99"/>
      <c r="K58" s="100"/>
      <c r="L58" s="113"/>
      <c r="M58" s="113"/>
      <c r="N58" s="113"/>
      <c r="O58" s="113"/>
      <c r="P58" s="34"/>
    </row>
    <row x14ac:dyDescent="0.25" r="59" customHeight="1" ht="15.75">
      <c r="A59" s="98"/>
      <c r="B59" s="99"/>
      <c r="C59" s="99"/>
      <c r="D59" s="99"/>
      <c r="E59" s="99"/>
      <c r="F59" s="99"/>
      <c r="G59" s="100"/>
      <c r="H59" s="99"/>
      <c r="I59" s="101"/>
      <c r="J59" s="99"/>
      <c r="K59" s="100"/>
      <c r="L59" s="113"/>
      <c r="M59" s="113"/>
      <c r="N59" s="113"/>
      <c r="O59" s="113"/>
      <c r="P59" s="34"/>
    </row>
    <row x14ac:dyDescent="0.25" r="60" customHeight="1" ht="15.75">
      <c r="A60" s="98"/>
      <c r="B60" s="99"/>
      <c r="C60" s="99"/>
      <c r="D60" s="99"/>
      <c r="E60" s="99"/>
      <c r="F60" s="99"/>
      <c r="G60" s="100"/>
      <c r="H60" s="99"/>
      <c r="I60" s="101"/>
      <c r="J60" s="99"/>
      <c r="K60" s="100"/>
      <c r="L60" s="113"/>
      <c r="M60" s="113"/>
      <c r="N60" s="113"/>
      <c r="O60" s="113"/>
      <c r="P60" s="34"/>
    </row>
    <row x14ac:dyDescent="0.25" r="61" customHeight="1" ht="15.75">
      <c r="A61" s="98"/>
      <c r="B61" s="99"/>
      <c r="C61" s="99"/>
      <c r="D61" s="99"/>
      <c r="E61" s="99"/>
      <c r="F61" s="99"/>
      <c r="G61" s="100"/>
      <c r="H61" s="99"/>
      <c r="I61" s="101"/>
      <c r="J61" s="99"/>
      <c r="K61" s="100"/>
      <c r="L61" s="113"/>
      <c r="M61" s="113"/>
      <c r="N61" s="113"/>
      <c r="O61" s="113"/>
      <c r="P61" s="34"/>
    </row>
    <row x14ac:dyDescent="0.25" r="62" customHeight="1" ht="15.75">
      <c r="A62" s="98"/>
      <c r="B62" s="99"/>
      <c r="C62" s="99"/>
      <c r="D62" s="99"/>
      <c r="E62" s="99"/>
      <c r="F62" s="99"/>
      <c r="G62" s="100"/>
      <c r="H62" s="99"/>
      <c r="I62" s="101"/>
      <c r="J62" s="99"/>
      <c r="K62" s="100"/>
      <c r="L62" s="113"/>
      <c r="M62" s="113"/>
      <c r="N62" s="113"/>
      <c r="O62" s="113"/>
      <c r="P62" s="34"/>
    </row>
    <row x14ac:dyDescent="0.25" r="63" customHeight="1" ht="15.75">
      <c r="A63" s="98"/>
      <c r="B63" s="99"/>
      <c r="C63" s="99"/>
      <c r="D63" s="99"/>
      <c r="E63" s="99"/>
      <c r="F63" s="99"/>
      <c r="G63" s="100"/>
      <c r="H63" s="99"/>
      <c r="I63" s="101"/>
      <c r="J63" s="99"/>
      <c r="K63" s="100"/>
      <c r="L63" s="113"/>
      <c r="M63" s="113"/>
      <c r="N63" s="113"/>
      <c r="O63" s="113"/>
      <c r="P63" s="34"/>
    </row>
    <row x14ac:dyDescent="0.25" r="64" customHeight="1" ht="15.75">
      <c r="A64" s="98"/>
      <c r="B64" s="99"/>
      <c r="C64" s="99"/>
      <c r="D64" s="99"/>
      <c r="E64" s="99"/>
      <c r="F64" s="99"/>
      <c r="G64" s="100"/>
      <c r="H64" s="99"/>
      <c r="I64" s="101"/>
      <c r="J64" s="99"/>
      <c r="K64" s="100"/>
      <c r="L64" s="113"/>
      <c r="M64" s="113"/>
      <c r="N64" s="113"/>
      <c r="O64" s="113"/>
      <c r="P64" s="34"/>
    </row>
    <row x14ac:dyDescent="0.25" r="65" customHeight="1" ht="15.75">
      <c r="A65" s="98"/>
      <c r="B65" s="99"/>
      <c r="C65" s="99"/>
      <c r="D65" s="99"/>
      <c r="E65" s="99"/>
      <c r="F65" s="99"/>
      <c r="G65" s="100"/>
      <c r="H65" s="99"/>
      <c r="I65" s="101"/>
      <c r="J65" s="99"/>
      <c r="K65" s="100"/>
      <c r="L65" s="113"/>
      <c r="M65" s="113"/>
      <c r="N65" s="113"/>
      <c r="O65" s="113"/>
      <c r="P65" s="34"/>
    </row>
    <row x14ac:dyDescent="0.25" r="66" customHeight="1" ht="15.75">
      <c r="A66" s="98">
        <v>45751</v>
      </c>
      <c r="B66" s="99"/>
      <c r="C66" s="99"/>
      <c r="D66" s="99"/>
      <c r="E66" s="99"/>
      <c r="F66" s="99"/>
      <c r="G66" s="100">
        <v>1228803</v>
      </c>
      <c r="H66" s="99"/>
      <c r="I66" s="101">
        <v>228803</v>
      </c>
      <c r="J66" s="99"/>
      <c r="K66" s="114">
        <v>1000000</v>
      </c>
      <c r="L66" s="113"/>
      <c r="M66" s="113"/>
      <c r="N66" s="113"/>
      <c r="O66" s="113"/>
      <c r="P66" s="34"/>
    </row>
    <row x14ac:dyDescent="0.25" r="67" customHeight="1" ht="15.75">
      <c r="A67" s="98"/>
      <c r="B67" s="99"/>
      <c r="C67" s="99"/>
      <c r="D67" s="99"/>
      <c r="E67" s="99"/>
      <c r="F67" s="99"/>
      <c r="G67" s="100"/>
      <c r="H67" s="99"/>
      <c r="I67" s="101"/>
      <c r="J67" s="99"/>
      <c r="K67" s="100"/>
      <c r="L67" s="113"/>
      <c r="M67" s="113"/>
      <c r="N67" s="113"/>
      <c r="O67" s="113"/>
      <c r="P67" s="34"/>
    </row>
    <row x14ac:dyDescent="0.25" r="68" customHeight="1" ht="15.75">
      <c r="A68" s="98"/>
      <c r="B68" s="99"/>
      <c r="C68" s="99"/>
      <c r="D68" s="99"/>
      <c r="E68" s="99"/>
      <c r="F68" s="99"/>
      <c r="G68" s="100"/>
      <c r="H68" s="99"/>
      <c r="I68" s="101"/>
      <c r="J68" s="99"/>
      <c r="K68" s="100"/>
      <c r="L68" s="113"/>
      <c r="M68" s="113"/>
      <c r="N68" s="113"/>
      <c r="O68" s="113"/>
      <c r="P68" s="34"/>
    </row>
    <row x14ac:dyDescent="0.25" r="69" customHeight="1" ht="15.75">
      <c r="A69" s="98"/>
      <c r="B69" s="99"/>
      <c r="C69" s="99"/>
      <c r="D69" s="99"/>
      <c r="E69" s="99"/>
      <c r="F69" s="99"/>
      <c r="G69" s="100"/>
      <c r="H69" s="99"/>
      <c r="I69" s="101"/>
      <c r="J69" s="99"/>
      <c r="K69" s="100"/>
      <c r="L69" s="113"/>
      <c r="M69" s="113"/>
      <c r="N69" s="113"/>
      <c r="O69" s="113"/>
      <c r="P69" s="34"/>
    </row>
    <row x14ac:dyDescent="0.25" r="70" customHeight="1" ht="15.75">
      <c r="A70" s="98"/>
      <c r="B70" s="99"/>
      <c r="C70" s="99"/>
      <c r="D70" s="99"/>
      <c r="E70" s="99"/>
      <c r="F70" s="99"/>
      <c r="G70" s="100"/>
      <c r="H70" s="99"/>
      <c r="I70" s="101"/>
      <c r="J70" s="99"/>
      <c r="K70" s="100"/>
      <c r="L70" s="113"/>
      <c r="M70" s="113"/>
      <c r="N70" s="113"/>
      <c r="O70" s="113"/>
      <c r="P70" s="34"/>
    </row>
    <row x14ac:dyDescent="0.25" r="71" customHeight="1" ht="15.75">
      <c r="A71" s="98"/>
      <c r="B71" s="99"/>
      <c r="C71" s="99"/>
      <c r="D71" s="99"/>
      <c r="E71" s="99"/>
      <c r="F71" s="99"/>
      <c r="G71" s="100"/>
      <c r="H71" s="99"/>
      <c r="I71" s="101"/>
      <c r="J71" s="99"/>
      <c r="K71" s="100"/>
      <c r="L71" s="113"/>
      <c r="M71" s="113"/>
      <c r="N71" s="113"/>
      <c r="O71" s="113"/>
      <c r="P71" s="34"/>
    </row>
    <row x14ac:dyDescent="0.25" r="72" customHeight="1" ht="15.75">
      <c r="A72" s="98"/>
      <c r="B72" s="99"/>
      <c r="C72" s="99"/>
      <c r="D72" s="99"/>
      <c r="E72" s="99"/>
      <c r="F72" s="99"/>
      <c r="G72" s="100"/>
      <c r="H72" s="99"/>
      <c r="I72" s="101"/>
      <c r="J72" s="99"/>
      <c r="K72" s="100"/>
      <c r="L72" s="113"/>
      <c r="M72" s="113"/>
      <c r="N72" s="113"/>
      <c r="O72" s="113"/>
      <c r="P72" s="34"/>
    </row>
    <row x14ac:dyDescent="0.25" r="73" customHeight="1" ht="15.75">
      <c r="A73" s="98"/>
      <c r="B73" s="99"/>
      <c r="C73" s="99"/>
      <c r="D73" s="99"/>
      <c r="E73" s="99"/>
      <c r="F73" s="99"/>
      <c r="G73" s="100"/>
      <c r="H73" s="99"/>
      <c r="I73" s="101"/>
      <c r="J73" s="99"/>
      <c r="K73" s="100"/>
      <c r="L73" s="113"/>
      <c r="M73" s="113"/>
      <c r="N73" s="113"/>
      <c r="O73" s="113"/>
      <c r="P73" s="34"/>
    </row>
    <row x14ac:dyDescent="0.25" r="74" customHeight="1" ht="15.75">
      <c r="A74" s="98"/>
      <c r="B74" s="99"/>
      <c r="C74" s="99"/>
      <c r="D74" s="99"/>
      <c r="E74" s="99"/>
      <c r="F74" s="99"/>
      <c r="G74" s="100"/>
      <c r="H74" s="99"/>
      <c r="I74" s="101"/>
      <c r="J74" s="99"/>
      <c r="K74" s="100"/>
      <c r="L74" s="113"/>
      <c r="M74" s="113"/>
      <c r="N74" s="113"/>
      <c r="O74" s="113"/>
      <c r="P74" s="34"/>
    </row>
    <row x14ac:dyDescent="0.25" r="75" customHeight="1" ht="15.75">
      <c r="A75" s="98"/>
      <c r="B75" s="99"/>
      <c r="C75" s="99"/>
      <c r="D75" s="99"/>
      <c r="E75" s="99"/>
      <c r="F75" s="99"/>
      <c r="G75" s="100"/>
      <c r="H75" s="99"/>
      <c r="I75" s="101"/>
      <c r="J75" s="99"/>
      <c r="K75" s="100"/>
      <c r="L75" s="113"/>
      <c r="M75" s="113"/>
      <c r="N75" s="113"/>
      <c r="O75" s="113"/>
      <c r="P75" s="34"/>
    </row>
    <row x14ac:dyDescent="0.25" r="76" customHeight="1" ht="15.75">
      <c r="A76" s="98"/>
      <c r="B76" s="99"/>
      <c r="C76" s="99"/>
      <c r="D76" s="99"/>
      <c r="E76" s="99"/>
      <c r="F76" s="99"/>
      <c r="G76" s="100"/>
      <c r="H76" s="99"/>
      <c r="I76" s="101"/>
      <c r="J76" s="99"/>
      <c r="K76" s="100"/>
      <c r="L76" s="113"/>
      <c r="M76" s="113"/>
      <c r="N76" s="113"/>
      <c r="O76" s="113"/>
      <c r="P76" s="34"/>
    </row>
    <row x14ac:dyDescent="0.25" r="77" customHeight="1" ht="15.75">
      <c r="A77" s="98"/>
      <c r="B77" s="99"/>
      <c r="C77" s="99"/>
      <c r="D77" s="99"/>
      <c r="E77" s="99"/>
      <c r="F77" s="99"/>
      <c r="G77" s="100"/>
      <c r="H77" s="99"/>
      <c r="I77" s="101"/>
      <c r="J77" s="99"/>
      <c r="K77" s="100"/>
      <c r="L77" s="113"/>
      <c r="M77" s="113"/>
      <c r="N77" s="113"/>
      <c r="O77" s="113"/>
      <c r="P77" s="34"/>
    </row>
    <row x14ac:dyDescent="0.25" r="78" customHeight="1" ht="15.75">
      <c r="A78" s="98"/>
      <c r="B78" s="99"/>
      <c r="C78" s="99"/>
      <c r="D78" s="99"/>
      <c r="E78" s="99"/>
      <c r="F78" s="99"/>
      <c r="G78" s="100"/>
      <c r="H78" s="99"/>
      <c r="I78" s="101"/>
      <c r="J78" s="99"/>
      <c r="K78" s="100"/>
      <c r="L78" s="113"/>
      <c r="M78" s="113"/>
      <c r="N78" s="113"/>
      <c r="O78" s="113"/>
      <c r="P78" s="34"/>
    </row>
    <row x14ac:dyDescent="0.25" r="79" customHeight="1" ht="15.75">
      <c r="A79" s="98"/>
      <c r="B79" s="99"/>
      <c r="C79" s="99"/>
      <c r="D79" s="99"/>
      <c r="E79" s="99"/>
      <c r="F79" s="99"/>
      <c r="G79" s="100"/>
      <c r="H79" s="99"/>
      <c r="I79" s="101"/>
      <c r="J79" s="99"/>
      <c r="K79" s="100"/>
      <c r="L79" s="113"/>
      <c r="M79" s="113"/>
      <c r="N79" s="113"/>
      <c r="O79" s="113"/>
      <c r="P79" s="34"/>
    </row>
    <row x14ac:dyDescent="0.25" r="80" customHeight="1" ht="15.75">
      <c r="A80" s="98"/>
      <c r="B80" s="99"/>
      <c r="C80" s="99"/>
      <c r="D80" s="99"/>
      <c r="E80" s="99"/>
      <c r="F80" s="99"/>
      <c r="G80" s="100"/>
      <c r="H80" s="99"/>
      <c r="I80" s="101"/>
      <c r="J80" s="99"/>
      <c r="K80" s="100"/>
      <c r="L80" s="113"/>
      <c r="M80" s="113"/>
      <c r="N80" s="113"/>
      <c r="O80" s="113"/>
      <c r="P80" s="34"/>
    </row>
    <row x14ac:dyDescent="0.25" r="81" customHeight="1" ht="15.75">
      <c r="A81" s="98"/>
      <c r="B81" s="99"/>
      <c r="C81" s="99"/>
      <c r="D81" s="99"/>
      <c r="E81" s="99"/>
      <c r="F81" s="99"/>
      <c r="G81" s="100"/>
      <c r="H81" s="99"/>
      <c r="I81" s="101"/>
      <c r="J81" s="99"/>
      <c r="K81" s="100"/>
      <c r="L81" s="113"/>
      <c r="M81" s="113"/>
      <c r="N81" s="113"/>
      <c r="O81" s="113"/>
      <c r="P81" s="34"/>
    </row>
    <row x14ac:dyDescent="0.25" r="82" customHeight="1" ht="15.75">
      <c r="A82" s="98"/>
      <c r="B82" s="99"/>
      <c r="C82" s="99"/>
      <c r="D82" s="99"/>
      <c r="E82" s="99"/>
      <c r="F82" s="99"/>
      <c r="G82" s="100"/>
      <c r="H82" s="99"/>
      <c r="I82" s="101"/>
      <c r="J82" s="99"/>
      <c r="K82" s="100"/>
      <c r="L82" s="113"/>
      <c r="M82" s="113"/>
      <c r="N82" s="113"/>
      <c r="O82" s="113"/>
      <c r="P82" s="34"/>
    </row>
    <row x14ac:dyDescent="0.25" r="83" customHeight="1" ht="15.75">
      <c r="A83" s="98"/>
      <c r="B83" s="99"/>
      <c r="C83" s="99"/>
      <c r="D83" s="99"/>
      <c r="E83" s="99"/>
      <c r="F83" s="99"/>
      <c r="G83" s="100"/>
      <c r="H83" s="99"/>
      <c r="I83" s="101"/>
      <c r="J83" s="99"/>
      <c r="K83" s="100"/>
      <c r="L83" s="113"/>
      <c r="M83" s="113"/>
      <c r="N83" s="113"/>
      <c r="O83" s="113"/>
      <c r="P83" s="34"/>
    </row>
    <row x14ac:dyDescent="0.25" r="84" customHeight="1" ht="15.75">
      <c r="A84" s="98"/>
      <c r="B84" s="99"/>
      <c r="C84" s="99"/>
      <c r="D84" s="99"/>
      <c r="E84" s="99"/>
      <c r="F84" s="99"/>
      <c r="G84" s="100"/>
      <c r="H84" s="99"/>
      <c r="I84" s="101"/>
      <c r="J84" s="99"/>
      <c r="K84" s="100"/>
      <c r="L84" s="113"/>
      <c r="M84" s="113"/>
      <c r="N84" s="113"/>
      <c r="O84" s="113"/>
      <c r="P84" s="34"/>
    </row>
    <row x14ac:dyDescent="0.25" r="85" customHeight="1" ht="15.75">
      <c r="A85" s="98"/>
      <c r="B85" s="99"/>
      <c r="C85" s="99"/>
      <c r="D85" s="99"/>
      <c r="E85" s="99"/>
      <c r="F85" s="99"/>
      <c r="G85" s="100"/>
      <c r="H85" s="99"/>
      <c r="I85" s="101"/>
      <c r="J85" s="99"/>
      <c r="K85" s="100"/>
      <c r="L85" s="113"/>
      <c r="M85" s="113"/>
      <c r="N85" s="113"/>
      <c r="O85" s="113"/>
      <c r="P85" s="34"/>
    </row>
    <row x14ac:dyDescent="0.25" r="86" customHeight="1" ht="15.75">
      <c r="A86" s="98"/>
      <c r="B86" s="99"/>
      <c r="C86" s="99"/>
      <c r="D86" s="99"/>
      <c r="E86" s="99"/>
      <c r="F86" s="99"/>
      <c r="G86" s="100"/>
      <c r="H86" s="99"/>
      <c r="I86" s="101"/>
      <c r="J86" s="99"/>
      <c r="K86" s="100"/>
      <c r="L86" s="113"/>
      <c r="M86" s="113"/>
      <c r="N86" s="113"/>
      <c r="O86" s="113"/>
      <c r="P86" s="34"/>
    </row>
    <row x14ac:dyDescent="0.25" r="87" customHeight="1" ht="15.75">
      <c r="A87" s="98"/>
      <c r="B87" s="99"/>
      <c r="C87" s="99"/>
      <c r="D87" s="99"/>
      <c r="E87" s="99"/>
      <c r="F87" s="99"/>
      <c r="G87" s="100"/>
      <c r="H87" s="99"/>
      <c r="I87" s="101"/>
      <c r="J87" s="99"/>
      <c r="K87" s="100"/>
      <c r="L87" s="113"/>
      <c r="M87" s="113"/>
      <c r="N87" s="113"/>
      <c r="O87" s="113"/>
      <c r="P87" s="34"/>
    </row>
    <row x14ac:dyDescent="0.25" r="88" customHeight="1" ht="15.75">
      <c r="A88" s="98"/>
      <c r="B88" s="99"/>
      <c r="C88" s="99"/>
      <c r="D88" s="99"/>
      <c r="E88" s="99"/>
      <c r="F88" s="99"/>
      <c r="G88" s="100"/>
      <c r="H88" s="99"/>
      <c r="I88" s="101"/>
      <c r="J88" s="99"/>
      <c r="K88" s="100"/>
      <c r="L88" s="113"/>
      <c r="M88" s="113"/>
      <c r="N88" s="113"/>
      <c r="O88" s="113"/>
      <c r="P88" s="34"/>
    </row>
    <row x14ac:dyDescent="0.25" r="89" customHeight="1" ht="15.75">
      <c r="A89" s="98"/>
      <c r="B89" s="99"/>
      <c r="C89" s="99"/>
      <c r="D89" s="99"/>
      <c r="E89" s="99"/>
      <c r="F89" s="99"/>
      <c r="G89" s="100"/>
      <c r="H89" s="99"/>
      <c r="I89" s="101"/>
      <c r="J89" s="99"/>
      <c r="K89" s="100"/>
      <c r="L89" s="113"/>
      <c r="M89" s="113"/>
      <c r="N89" s="113"/>
      <c r="O89" s="113"/>
      <c r="P89" s="34"/>
    </row>
    <row x14ac:dyDescent="0.25" r="90" customHeight="1" ht="15.75">
      <c r="A90" s="98"/>
      <c r="B90" s="99"/>
      <c r="C90" s="99"/>
      <c r="D90" s="99"/>
      <c r="E90" s="99"/>
      <c r="F90" s="99"/>
      <c r="G90" s="100"/>
      <c r="H90" s="99"/>
      <c r="I90" s="101"/>
      <c r="J90" s="99"/>
      <c r="K90" s="100"/>
      <c r="L90" s="113"/>
      <c r="M90" s="113"/>
      <c r="N90" s="113"/>
      <c r="O90" s="113"/>
      <c r="P90" s="34"/>
    </row>
    <row x14ac:dyDescent="0.25" r="91" customHeight="1" ht="15.75">
      <c r="A91" s="98"/>
      <c r="B91" s="99"/>
      <c r="C91" s="99"/>
      <c r="D91" s="99"/>
      <c r="E91" s="99"/>
      <c r="F91" s="99"/>
      <c r="G91" s="100"/>
      <c r="H91" s="99"/>
      <c r="I91" s="101"/>
      <c r="J91" s="99"/>
      <c r="K91" s="100"/>
      <c r="L91" s="113"/>
      <c r="M91" s="113"/>
      <c r="N91" s="113"/>
      <c r="O91" s="113"/>
      <c r="P91" s="34"/>
    </row>
    <row x14ac:dyDescent="0.25" r="92" customHeight="1" ht="15.75">
      <c r="A92" s="98"/>
      <c r="B92" s="99"/>
      <c r="C92" s="99"/>
      <c r="D92" s="99"/>
      <c r="E92" s="99"/>
      <c r="F92" s="99"/>
      <c r="G92" s="100"/>
      <c r="H92" s="99"/>
      <c r="I92" s="101"/>
      <c r="J92" s="99"/>
      <c r="K92" s="100"/>
      <c r="L92" s="113"/>
      <c r="M92" s="113"/>
      <c r="N92" s="113"/>
      <c r="O92" s="113"/>
      <c r="P92" s="34"/>
    </row>
    <row x14ac:dyDescent="0.25" r="93" customHeight="1" ht="15.75">
      <c r="A93" s="98"/>
      <c r="B93" s="99"/>
      <c r="C93" s="99"/>
      <c r="D93" s="99"/>
      <c r="E93" s="99"/>
      <c r="F93" s="99"/>
      <c r="G93" s="100"/>
      <c r="H93" s="99"/>
      <c r="I93" s="101"/>
      <c r="J93" s="99"/>
      <c r="K93" s="100"/>
      <c r="L93" s="113"/>
      <c r="M93" s="113"/>
      <c r="N93" s="113"/>
      <c r="O93" s="113"/>
      <c r="P93" s="34"/>
    </row>
    <row x14ac:dyDescent="0.25" r="94" customHeight="1" ht="15.75">
      <c r="A94" s="98"/>
      <c r="B94" s="99"/>
      <c r="C94" s="99"/>
      <c r="D94" s="99"/>
      <c r="E94" s="99"/>
      <c r="F94" s="99"/>
      <c r="G94" s="100"/>
      <c r="H94" s="99"/>
      <c r="I94" s="101"/>
      <c r="J94" s="99"/>
      <c r="K94" s="100"/>
      <c r="L94" s="113"/>
      <c r="M94" s="113"/>
      <c r="N94" s="113"/>
      <c r="O94" s="113"/>
      <c r="P94" s="34"/>
    </row>
    <row x14ac:dyDescent="0.25" r="95" customHeight="1" ht="15.75">
      <c r="A95" s="98"/>
      <c r="B95" s="99"/>
      <c r="C95" s="99"/>
      <c r="D95" s="99"/>
      <c r="E95" s="99"/>
      <c r="F95" s="99"/>
      <c r="G95" s="100"/>
      <c r="H95" s="99"/>
      <c r="I95" s="101"/>
      <c r="J95" s="99"/>
      <c r="K95" s="100"/>
      <c r="L95" s="113"/>
      <c r="M95" s="113"/>
      <c r="N95" s="113"/>
      <c r="O95" s="113"/>
      <c r="P95" s="34"/>
    </row>
    <row x14ac:dyDescent="0.25" r="96" customHeight="1" ht="15.75">
      <c r="A96" s="98"/>
      <c r="B96" s="99"/>
      <c r="C96" s="99"/>
      <c r="D96" s="99"/>
      <c r="E96" s="99"/>
      <c r="F96" s="99"/>
      <c r="G96" s="100"/>
      <c r="H96" s="99"/>
      <c r="I96" s="101"/>
      <c r="J96" s="99"/>
      <c r="K96" s="100"/>
      <c r="L96" s="113"/>
      <c r="M96" s="113"/>
      <c r="N96" s="113"/>
      <c r="O96" s="113"/>
      <c r="P96" s="34"/>
    </row>
    <row x14ac:dyDescent="0.25" r="97" customHeight="1" ht="15.75">
      <c r="A97" s="98"/>
      <c r="B97" s="99"/>
      <c r="C97" s="99"/>
      <c r="D97" s="99"/>
      <c r="E97" s="99"/>
      <c r="F97" s="99"/>
      <c r="G97" s="100"/>
      <c r="H97" s="99"/>
      <c r="I97" s="101"/>
      <c r="J97" s="99"/>
      <c r="K97" s="100"/>
      <c r="L97" s="113"/>
      <c r="M97" s="113"/>
      <c r="N97" s="113"/>
      <c r="O97" s="113"/>
      <c r="P97" s="34"/>
    </row>
    <row x14ac:dyDescent="0.25" r="98" customHeight="1" ht="15.75">
      <c r="A98" s="98"/>
      <c r="B98" s="99"/>
      <c r="C98" s="99"/>
      <c r="D98" s="99"/>
      <c r="E98" s="99"/>
      <c r="F98" s="99"/>
      <c r="G98" s="100"/>
      <c r="H98" s="99"/>
      <c r="I98" s="101"/>
      <c r="J98" s="99"/>
      <c r="K98" s="100"/>
      <c r="L98" s="113"/>
      <c r="M98" s="113"/>
      <c r="N98" s="113"/>
      <c r="O98" s="113"/>
      <c r="P98" s="34"/>
    </row>
    <row x14ac:dyDescent="0.25" r="99" customHeight="1" ht="15.75">
      <c r="A99" s="98"/>
      <c r="B99" s="99"/>
      <c r="C99" s="99"/>
      <c r="D99" s="99"/>
      <c r="E99" s="99"/>
      <c r="F99" s="99"/>
      <c r="G99" s="100"/>
      <c r="H99" s="99"/>
      <c r="I99" s="101"/>
      <c r="J99" s="99"/>
      <c r="K99" s="100"/>
      <c r="L99" s="113"/>
      <c r="M99" s="113"/>
      <c r="N99" s="113"/>
      <c r="O99" s="113"/>
      <c r="P99" s="34"/>
    </row>
    <row x14ac:dyDescent="0.25" r="100" customHeight="1" ht="15.75">
      <c r="A100" s="98"/>
      <c r="B100" s="99"/>
      <c r="C100" s="99"/>
      <c r="D100" s="99"/>
      <c r="E100" s="99"/>
      <c r="F100" s="99"/>
      <c r="G100" s="100"/>
      <c r="H100" s="99"/>
      <c r="I100" s="101"/>
      <c r="J100" s="99"/>
      <c r="K100" s="100"/>
      <c r="L100" s="113"/>
      <c r="M100" s="113"/>
      <c r="N100" s="113"/>
      <c r="O100" s="113"/>
      <c r="P100" s="34"/>
    </row>
    <row x14ac:dyDescent="0.25" r="101" customHeight="1" ht="15.75">
      <c r="A101" s="98"/>
      <c r="B101" s="99"/>
      <c r="C101" s="99"/>
      <c r="D101" s="99"/>
      <c r="E101" s="99"/>
      <c r="F101" s="99"/>
      <c r="G101" s="100"/>
      <c r="H101" s="99"/>
      <c r="I101" s="101"/>
      <c r="J101" s="99"/>
      <c r="K101" s="100"/>
      <c r="L101" s="113"/>
      <c r="M101" s="113"/>
      <c r="N101" s="113"/>
      <c r="O101" s="113"/>
      <c r="P101" s="34"/>
    </row>
    <row x14ac:dyDescent="0.25" r="102" customHeight="1" ht="15.75">
      <c r="A102" s="98"/>
      <c r="B102" s="99"/>
      <c r="C102" s="99"/>
      <c r="D102" s="99"/>
      <c r="E102" s="99"/>
      <c r="F102" s="99"/>
      <c r="G102" s="100"/>
      <c r="H102" s="99"/>
      <c r="I102" s="101"/>
      <c r="J102" s="99"/>
      <c r="K102" s="100"/>
      <c r="L102" s="113"/>
      <c r="M102" s="113"/>
      <c r="N102" s="113"/>
      <c r="O102" s="113"/>
      <c r="P102" s="34"/>
    </row>
    <row x14ac:dyDescent="0.25" r="103" customHeight="1" ht="15.75">
      <c r="A103" s="98"/>
      <c r="B103" s="99"/>
      <c r="C103" s="99"/>
      <c r="D103" s="99"/>
      <c r="E103" s="99"/>
      <c r="F103" s="99"/>
      <c r="G103" s="100"/>
      <c r="H103" s="99"/>
      <c r="I103" s="101"/>
      <c r="J103" s="99"/>
      <c r="K103" s="100"/>
      <c r="L103" s="113"/>
      <c r="M103" s="113"/>
      <c r="N103" s="113"/>
      <c r="O103" s="113"/>
      <c r="P103" s="34"/>
    </row>
    <row x14ac:dyDescent="0.25" r="104" customHeight="1" ht="15.75">
      <c r="A104" s="98"/>
      <c r="B104" s="99"/>
      <c r="C104" s="99"/>
      <c r="D104" s="99"/>
      <c r="E104" s="99"/>
      <c r="F104" s="99"/>
      <c r="G104" s="100"/>
      <c r="H104" s="99"/>
      <c r="I104" s="101"/>
      <c r="J104" s="99"/>
      <c r="K104" s="100"/>
      <c r="L104" s="113"/>
      <c r="M104" s="113"/>
      <c r="N104" s="113"/>
      <c r="O104" s="113"/>
      <c r="P104" s="34"/>
    </row>
    <row x14ac:dyDescent="0.25" r="105" customHeight="1" ht="15.75">
      <c r="A105" s="98"/>
      <c r="B105" s="99"/>
      <c r="C105" s="99"/>
      <c r="D105" s="99"/>
      <c r="E105" s="99"/>
      <c r="F105" s="99"/>
      <c r="G105" s="100"/>
      <c r="H105" s="99"/>
      <c r="I105" s="101"/>
      <c r="J105" s="99"/>
      <c r="K105" s="100"/>
      <c r="L105" s="113"/>
      <c r="M105" s="113"/>
      <c r="N105" s="113"/>
      <c r="O105" s="113"/>
      <c r="P105" s="34"/>
    </row>
    <row x14ac:dyDescent="0.25" r="106" customHeight="1" ht="15.75">
      <c r="A106" s="115" t="s">
        <v>743</v>
      </c>
      <c r="B106" s="79"/>
      <c r="C106" s="79"/>
      <c r="D106" s="79"/>
      <c r="E106" s="79"/>
      <c r="F106" s="79"/>
      <c r="G106" s="116"/>
      <c r="H106" s="80"/>
      <c r="I106" s="101" t="s">
        <v>744</v>
      </c>
      <c r="J106" s="104" t="s">
        <v>745</v>
      </c>
      <c r="K106" s="114">
        <v>0</v>
      </c>
      <c r="L106" s="104" t="s">
        <v>746</v>
      </c>
      <c r="M106" s="104" t="s">
        <v>747</v>
      </c>
      <c r="N106" s="113" t="s">
        <v>748</v>
      </c>
      <c r="O106" s="113" t="s">
        <v>749</v>
      </c>
      <c r="P106" s="34"/>
    </row>
    <row x14ac:dyDescent="0.25" r="107" customHeight="1" ht="15.75">
      <c r="A107" s="117"/>
      <c r="B107" s="3"/>
      <c r="C107" s="3"/>
      <c r="D107" s="3"/>
      <c r="E107" s="3"/>
      <c r="F107" s="3"/>
      <c r="G107" s="107"/>
      <c r="H107" s="3"/>
      <c r="I107" s="85"/>
      <c r="J107" s="3"/>
      <c r="K107" s="107"/>
      <c r="L107" s="111"/>
      <c r="M107" s="111"/>
      <c r="N107" s="111"/>
      <c r="O107" s="111"/>
      <c r="P107" s="34"/>
    </row>
    <row x14ac:dyDescent="0.25" r="108" customHeight="1" ht="15.75">
      <c r="A108" s="117"/>
      <c r="B108" s="3"/>
      <c r="C108" s="3"/>
      <c r="D108" s="3"/>
      <c r="E108" s="3"/>
      <c r="F108" s="3"/>
      <c r="G108" s="107"/>
      <c r="H108" s="3"/>
      <c r="I108" s="85"/>
      <c r="J108" s="3"/>
      <c r="K108" s="107"/>
      <c r="L108" s="111"/>
      <c r="M108" s="111"/>
      <c r="N108" s="111"/>
      <c r="O108" s="111"/>
      <c r="P108" s="34"/>
    </row>
    <row x14ac:dyDescent="0.25" r="109" customHeight="1" ht="15.75">
      <c r="A109" s="117"/>
      <c r="B109" s="3"/>
      <c r="C109" s="3"/>
      <c r="D109" s="3"/>
      <c r="E109" s="3"/>
      <c r="F109" s="3"/>
      <c r="G109" s="107"/>
      <c r="H109" s="3"/>
      <c r="I109" s="85"/>
      <c r="J109" s="3"/>
      <c r="K109" s="107"/>
      <c r="L109" s="111"/>
      <c r="M109" s="111"/>
      <c r="N109" s="111"/>
      <c r="O109" s="111"/>
      <c r="P109" s="34"/>
    </row>
    <row x14ac:dyDescent="0.25" r="110" customHeight="1" ht="15.75">
      <c r="A110" s="117"/>
      <c r="B110" s="3"/>
      <c r="C110" s="3"/>
      <c r="D110" s="3"/>
      <c r="E110" s="3"/>
      <c r="F110" s="3"/>
      <c r="G110" s="107"/>
      <c r="H110" s="3"/>
      <c r="I110" s="85"/>
      <c r="J110" s="3"/>
      <c r="K110" s="107"/>
      <c r="L110" s="111"/>
      <c r="M110" s="111"/>
      <c r="N110" s="111"/>
      <c r="O110" s="111"/>
      <c r="P110" s="34"/>
    </row>
    <row x14ac:dyDescent="0.25" r="111" customHeight="1" ht="15.75">
      <c r="A111" s="117"/>
      <c r="B111" s="3"/>
      <c r="C111" s="3"/>
      <c r="D111" s="3"/>
      <c r="E111" s="3"/>
      <c r="F111" s="3"/>
      <c r="G111" s="107"/>
      <c r="H111" s="3"/>
      <c r="I111" s="85"/>
      <c r="J111" s="3"/>
      <c r="K111" s="107"/>
      <c r="L111" s="111"/>
      <c r="M111" s="111"/>
      <c r="N111" s="111"/>
      <c r="O111" s="111"/>
      <c r="P111" s="34"/>
    </row>
    <row x14ac:dyDescent="0.25" r="112" customHeight="1" ht="15.75">
      <c r="A112" s="117"/>
      <c r="B112" s="3"/>
      <c r="C112" s="3"/>
      <c r="D112" s="3"/>
      <c r="E112" s="3"/>
      <c r="F112" s="3"/>
      <c r="G112" s="107"/>
      <c r="H112" s="3"/>
      <c r="I112" s="85"/>
      <c r="J112" s="3"/>
      <c r="K112" s="107"/>
      <c r="L112" s="111"/>
      <c r="M112" s="111"/>
      <c r="N112" s="111"/>
      <c r="O112" s="111"/>
      <c r="P112" s="34"/>
    </row>
    <row x14ac:dyDescent="0.25" r="113" customHeight="1" ht="15.75">
      <c r="A113" s="117"/>
      <c r="B113" s="3"/>
      <c r="C113" s="3"/>
      <c r="D113" s="3"/>
      <c r="E113" s="3"/>
      <c r="F113" s="3"/>
      <c r="G113" s="107"/>
      <c r="H113" s="3"/>
      <c r="I113" s="85"/>
      <c r="J113" s="3"/>
      <c r="K113" s="107"/>
      <c r="L113" s="111"/>
      <c r="M113" s="111"/>
      <c r="N113" s="111"/>
      <c r="O113" s="111"/>
      <c r="P113" s="34"/>
    </row>
    <row x14ac:dyDescent="0.25" r="114" customHeight="1" ht="15.75">
      <c r="A114" s="117"/>
      <c r="B114" s="3"/>
      <c r="C114" s="3"/>
      <c r="D114" s="3"/>
      <c r="E114" s="3"/>
      <c r="F114" s="3"/>
      <c r="G114" s="107"/>
      <c r="H114" s="3"/>
      <c r="I114" s="85"/>
      <c r="J114" s="3"/>
      <c r="K114" s="107"/>
      <c r="L114" s="111"/>
      <c r="M114" s="111"/>
      <c r="N114" s="111"/>
      <c r="O114" s="111"/>
      <c r="P114" s="34"/>
    </row>
    <row x14ac:dyDescent="0.25" r="115" customHeight="1" ht="15.75">
      <c r="A115" s="117"/>
      <c r="B115" s="3"/>
      <c r="C115" s="3"/>
      <c r="D115" s="3"/>
      <c r="E115" s="118"/>
      <c r="F115" s="118"/>
      <c r="G115" s="107"/>
      <c r="H115" s="3"/>
      <c r="I115" s="85"/>
      <c r="J115" s="3"/>
      <c r="K115" s="107"/>
      <c r="L115" s="111"/>
      <c r="M115" s="111"/>
      <c r="N115" s="111"/>
      <c r="O115" s="111"/>
      <c r="P115" s="34"/>
    </row>
    <row x14ac:dyDescent="0.25" r="116" customHeight="1" ht="15.75">
      <c r="A116" s="117"/>
      <c r="B116" s="3"/>
      <c r="C116" s="3"/>
      <c r="D116" s="3"/>
      <c r="E116" s="3"/>
      <c r="F116" s="3"/>
      <c r="G116" s="107"/>
      <c r="H116" s="3"/>
      <c r="I116" s="85"/>
      <c r="J116" s="3"/>
      <c r="K116" s="107"/>
      <c r="L116" s="111"/>
      <c r="M116" s="111"/>
      <c r="N116" s="111"/>
      <c r="O116" s="111"/>
      <c r="P116" s="34"/>
    </row>
    <row x14ac:dyDescent="0.25" r="117" customHeight="1" ht="15.75">
      <c r="A117" s="117"/>
      <c r="B117" s="3"/>
      <c r="C117" s="3"/>
      <c r="D117" s="3"/>
      <c r="E117" s="3"/>
      <c r="F117" s="3"/>
      <c r="G117" s="107"/>
      <c r="H117" s="3"/>
      <c r="I117" s="85"/>
      <c r="J117" s="3"/>
      <c r="K117" s="107"/>
      <c r="L117" s="111"/>
      <c r="M117" s="111"/>
      <c r="N117" s="111"/>
      <c r="O117" s="111"/>
      <c r="P117" s="34"/>
    </row>
    <row x14ac:dyDescent="0.25" r="118" customHeight="1" ht="15.75">
      <c r="A118" s="117"/>
      <c r="B118" s="3"/>
      <c r="C118" s="3"/>
      <c r="D118" s="3"/>
      <c r="E118" s="3"/>
      <c r="F118" s="3"/>
      <c r="G118" s="107"/>
      <c r="H118" s="3"/>
      <c r="I118" s="85"/>
      <c r="J118" s="3"/>
      <c r="K118" s="107"/>
      <c r="L118" s="111"/>
      <c r="M118" s="111"/>
      <c r="N118" s="111"/>
      <c r="O118" s="111"/>
      <c r="P118" s="34"/>
    </row>
    <row x14ac:dyDescent="0.25" r="119" customHeight="1" ht="15.75">
      <c r="A119" s="117"/>
      <c r="B119" s="3"/>
      <c r="C119" s="3"/>
      <c r="D119" s="3"/>
      <c r="E119" s="3"/>
      <c r="F119" s="3"/>
      <c r="G119" s="107"/>
      <c r="H119" s="3"/>
      <c r="I119" s="85"/>
      <c r="J119" s="3"/>
      <c r="K119" s="107"/>
      <c r="L119" s="111"/>
      <c r="M119" s="111"/>
      <c r="N119" s="111"/>
      <c r="O119" s="111"/>
      <c r="P119" s="34"/>
    </row>
    <row x14ac:dyDescent="0.25" r="120" customHeight="1" ht="15.75">
      <c r="A120" s="117"/>
      <c r="B120" s="3"/>
      <c r="C120" s="3"/>
      <c r="D120" s="3"/>
      <c r="E120" s="3"/>
      <c r="F120" s="3"/>
      <c r="G120" s="107"/>
      <c r="H120" s="3"/>
      <c r="I120" s="85"/>
      <c r="J120" s="3"/>
      <c r="K120" s="107"/>
      <c r="L120" s="111"/>
      <c r="M120" s="111"/>
      <c r="N120" s="111"/>
      <c r="O120" s="111"/>
      <c r="P120" s="34"/>
    </row>
    <row x14ac:dyDescent="0.25" r="121" customHeight="1" ht="15.75">
      <c r="A121" s="117"/>
      <c r="B121" s="3"/>
      <c r="C121" s="3"/>
      <c r="D121" s="3"/>
      <c r="E121" s="3"/>
      <c r="F121" s="3"/>
      <c r="G121" s="119"/>
      <c r="H121" s="120"/>
      <c r="I121" s="85"/>
      <c r="J121" s="3"/>
      <c r="K121" s="107"/>
      <c r="L121" s="111"/>
      <c r="M121" s="111"/>
      <c r="N121" s="111"/>
      <c r="O121" s="121"/>
      <c r="P121" s="34"/>
    </row>
    <row x14ac:dyDescent="0.25" r="122" customHeight="1" ht="15.75">
      <c r="A122" s="117"/>
      <c r="B122" s="3"/>
      <c r="C122" s="3"/>
      <c r="D122" s="3"/>
      <c r="E122" s="3"/>
      <c r="F122" s="3"/>
      <c r="G122" s="122"/>
      <c r="H122" s="123"/>
      <c r="I122" s="85"/>
      <c r="J122" s="3"/>
      <c r="K122" s="107"/>
      <c r="L122" s="111"/>
      <c r="M122" s="111"/>
      <c r="N122" s="111"/>
      <c r="O122" s="111"/>
      <c r="P122" s="34"/>
    </row>
    <row x14ac:dyDescent="0.25" r="123" customHeight="1" ht="15.75">
      <c r="A123" s="117"/>
      <c r="B123" s="3"/>
      <c r="C123" s="3"/>
      <c r="D123" s="3"/>
      <c r="E123" s="3"/>
      <c r="F123" s="3"/>
      <c r="G123" s="107"/>
      <c r="H123" s="3"/>
      <c r="I123" s="85"/>
      <c r="J123" s="3"/>
      <c r="K123" s="107"/>
      <c r="L123" s="111"/>
      <c r="M123" s="111"/>
      <c r="N123" s="111"/>
      <c r="O123" s="111"/>
      <c r="P123" s="34"/>
    </row>
    <row x14ac:dyDescent="0.25" r="124" customHeight="1" ht="15.75">
      <c r="A124" s="117"/>
      <c r="B124" s="3"/>
      <c r="C124" s="3"/>
      <c r="D124" s="3"/>
      <c r="E124" s="3"/>
      <c r="F124" s="3"/>
      <c r="G124" s="107"/>
      <c r="H124" s="3"/>
      <c r="I124" s="85"/>
      <c r="J124" s="3"/>
      <c r="K124" s="107"/>
      <c r="L124" s="111"/>
      <c r="M124" s="111"/>
      <c r="N124" s="111"/>
      <c r="O124" s="111"/>
      <c r="P124" s="34"/>
    </row>
    <row x14ac:dyDescent="0.25" r="125" customHeight="1" ht="15.75">
      <c r="A125" s="117"/>
      <c r="B125" s="3"/>
      <c r="C125" s="3"/>
      <c r="D125" s="3"/>
      <c r="E125" s="3"/>
      <c r="F125" s="3"/>
      <c r="G125" s="107"/>
      <c r="H125" s="3"/>
      <c r="I125" s="85"/>
      <c r="J125" s="3"/>
      <c r="K125" s="107"/>
      <c r="L125" s="111"/>
      <c r="M125" s="111"/>
      <c r="N125" s="111"/>
      <c r="O125" s="111"/>
      <c r="P125" s="34"/>
    </row>
    <row x14ac:dyDescent="0.25" r="126" customHeight="1" ht="15.75">
      <c r="A126" s="117"/>
      <c r="B126" s="3"/>
      <c r="C126" s="3"/>
      <c r="D126" s="3"/>
      <c r="E126" s="3"/>
      <c r="F126" s="3"/>
      <c r="G126" s="107"/>
      <c r="H126" s="3"/>
      <c r="I126" s="85"/>
      <c r="J126" s="3"/>
      <c r="K126" s="107"/>
      <c r="L126" s="111"/>
      <c r="M126" s="111"/>
      <c r="N126" s="111"/>
      <c r="O126" s="111"/>
      <c r="P126" s="34"/>
    </row>
    <row x14ac:dyDescent="0.25" r="127" customHeight="1" ht="15.75">
      <c r="A127" s="117"/>
      <c r="B127" s="3"/>
      <c r="C127" s="3"/>
      <c r="D127" s="3"/>
      <c r="E127" s="3"/>
      <c r="F127" s="3"/>
      <c r="G127" s="107"/>
      <c r="H127" s="3"/>
      <c r="I127" s="85"/>
      <c r="J127" s="3"/>
      <c r="K127" s="107"/>
      <c r="L127" s="111"/>
      <c r="M127" s="111"/>
      <c r="N127" s="111"/>
      <c r="O127" s="111"/>
      <c r="P127" s="34"/>
    </row>
    <row x14ac:dyDescent="0.25" r="128" customHeight="1" ht="15.75">
      <c r="A128" s="117"/>
      <c r="B128" s="3"/>
      <c r="C128" s="3"/>
      <c r="D128" s="3"/>
      <c r="E128" s="3"/>
      <c r="F128" s="3"/>
      <c r="G128" s="107"/>
      <c r="H128" s="3"/>
      <c r="I128" s="85"/>
      <c r="J128" s="3"/>
      <c r="K128" s="107"/>
      <c r="L128" s="111"/>
      <c r="M128" s="111"/>
      <c r="N128" s="111"/>
      <c r="O128" s="111"/>
      <c r="P128" s="34"/>
    </row>
    <row x14ac:dyDescent="0.25" r="129" customHeight="1" ht="15.75">
      <c r="A129" s="117"/>
      <c r="B129" s="3"/>
      <c r="C129" s="3"/>
      <c r="D129" s="3"/>
      <c r="E129" s="3"/>
      <c r="F129" s="3"/>
      <c r="G129" s="107"/>
      <c r="H129" s="3"/>
      <c r="I129" s="85"/>
      <c r="J129" s="3"/>
      <c r="K129" s="107"/>
      <c r="L129" s="111"/>
      <c r="M129" s="111"/>
      <c r="N129" s="111"/>
      <c r="O129" s="111"/>
      <c r="P129" s="34"/>
    </row>
    <row x14ac:dyDescent="0.25" r="130" customHeight="1" ht="15.75">
      <c r="A130" s="117"/>
      <c r="B130" s="3"/>
      <c r="C130" s="3"/>
      <c r="D130" s="3"/>
      <c r="E130" s="3"/>
      <c r="F130" s="3"/>
      <c r="G130" s="107"/>
      <c r="H130" s="3"/>
      <c r="I130" s="85"/>
      <c r="J130" s="3"/>
      <c r="K130" s="107"/>
      <c r="L130" s="111"/>
      <c r="M130" s="111"/>
      <c r="N130" s="111"/>
      <c r="O130" s="111"/>
      <c r="P130" s="34"/>
    </row>
    <row x14ac:dyDescent="0.25" r="131" customHeight="1" ht="15.75">
      <c r="A131" s="117"/>
      <c r="B131" s="3"/>
      <c r="C131" s="3"/>
      <c r="D131" s="3"/>
      <c r="E131" s="3"/>
      <c r="F131" s="3"/>
      <c r="G131" s="107"/>
      <c r="H131" s="3"/>
      <c r="I131" s="85"/>
      <c r="J131" s="3"/>
      <c r="K131" s="107"/>
      <c r="L131" s="111"/>
      <c r="M131" s="111"/>
      <c r="N131" s="111"/>
      <c r="O131" s="111"/>
      <c r="P131" s="34"/>
    </row>
    <row x14ac:dyDescent="0.25" r="132" customHeight="1" ht="15.75">
      <c r="A132" s="117"/>
      <c r="B132" s="3"/>
      <c r="C132" s="3"/>
      <c r="D132" s="3"/>
      <c r="E132" s="3"/>
      <c r="F132" s="3"/>
      <c r="G132" s="107"/>
      <c r="H132" s="3"/>
      <c r="I132" s="85"/>
      <c r="J132" s="3"/>
      <c r="K132" s="107"/>
      <c r="L132" s="111"/>
      <c r="M132" s="111"/>
      <c r="N132" s="111"/>
      <c r="O132" s="111"/>
      <c r="P132" s="34"/>
    </row>
    <row x14ac:dyDescent="0.25" r="133" customHeight="1" ht="15.75">
      <c r="A133" s="117"/>
      <c r="B133" s="3"/>
      <c r="C133" s="3"/>
      <c r="D133" s="3"/>
      <c r="E133" s="3"/>
      <c r="F133" s="3"/>
      <c r="G133" s="107"/>
      <c r="H133" s="3"/>
      <c r="I133" s="85"/>
      <c r="J133" s="3"/>
      <c r="K133" s="107"/>
      <c r="L133" s="111"/>
      <c r="M133" s="111"/>
      <c r="N133" s="111"/>
      <c r="O133" s="111"/>
      <c r="P133" s="34"/>
    </row>
    <row x14ac:dyDescent="0.25" r="134" customHeight="1" ht="15.75">
      <c r="A134" s="117"/>
      <c r="B134" s="3"/>
      <c r="C134" s="3"/>
      <c r="D134" s="3"/>
      <c r="E134" s="3"/>
      <c r="F134" s="3"/>
      <c r="G134" s="107"/>
      <c r="H134" s="3"/>
      <c r="I134" s="85"/>
      <c r="J134" s="3"/>
      <c r="K134" s="107"/>
      <c r="L134" s="111"/>
      <c r="M134" s="111"/>
      <c r="N134" s="111"/>
      <c r="O134" s="111"/>
      <c r="P134" s="34"/>
    </row>
    <row x14ac:dyDescent="0.25" r="135" customHeight="1" ht="15.75">
      <c r="A135" s="117"/>
      <c r="B135" s="3"/>
      <c r="C135" s="3"/>
      <c r="D135" s="3"/>
      <c r="E135" s="3"/>
      <c r="F135" s="3"/>
      <c r="G135" s="107"/>
      <c r="H135" s="3"/>
      <c r="I135" s="85"/>
      <c r="J135" s="3"/>
      <c r="K135" s="107"/>
      <c r="L135" s="111"/>
      <c r="M135" s="111"/>
      <c r="N135" s="111"/>
      <c r="O135" s="111"/>
      <c r="P135" s="34"/>
    </row>
    <row x14ac:dyDescent="0.25" r="136" customHeight="1" ht="15.75">
      <c r="A136" s="117"/>
      <c r="B136" s="3"/>
      <c r="C136" s="3"/>
      <c r="D136" s="3"/>
      <c r="E136" s="3"/>
      <c r="F136" s="3"/>
      <c r="G136" s="107"/>
      <c r="H136" s="3"/>
      <c r="I136" s="85"/>
      <c r="J136" s="3"/>
      <c r="K136" s="107"/>
      <c r="L136" s="111"/>
      <c r="M136" s="111"/>
      <c r="N136" s="111"/>
      <c r="O136" s="111"/>
      <c r="P136" s="34"/>
    </row>
    <row x14ac:dyDescent="0.25" r="137" customHeight="1" ht="15.75">
      <c r="A137" s="117"/>
      <c r="B137" s="3"/>
      <c r="C137" s="3"/>
      <c r="D137" s="3"/>
      <c r="E137" s="3"/>
      <c r="F137" s="3"/>
      <c r="G137" s="107"/>
      <c r="H137" s="3"/>
      <c r="I137" s="85"/>
      <c r="J137" s="3"/>
      <c r="K137" s="107"/>
      <c r="L137" s="111"/>
      <c r="M137" s="111"/>
      <c r="N137" s="111"/>
      <c r="O137" s="111"/>
      <c r="P137" s="34"/>
    </row>
    <row x14ac:dyDescent="0.25" r="138" customHeight="1" ht="15.75">
      <c r="A138" s="117"/>
      <c r="B138" s="3"/>
      <c r="C138" s="3"/>
      <c r="D138" s="3"/>
      <c r="E138" s="3"/>
      <c r="F138" s="3"/>
      <c r="G138" s="107"/>
      <c r="H138" s="3"/>
      <c r="I138" s="85"/>
      <c r="J138" s="3"/>
      <c r="K138" s="107"/>
      <c r="L138" s="111"/>
      <c r="M138" s="111"/>
      <c r="N138" s="111"/>
      <c r="O138" s="111"/>
      <c r="P138" s="34"/>
    </row>
    <row x14ac:dyDescent="0.25" r="139" customHeight="1" ht="15.75">
      <c r="A139" s="117"/>
      <c r="B139" s="3"/>
      <c r="C139" s="3"/>
      <c r="D139" s="3"/>
      <c r="E139" s="3"/>
      <c r="F139" s="3"/>
      <c r="G139" s="107"/>
      <c r="H139" s="3"/>
      <c r="I139" s="85"/>
      <c r="J139" s="3"/>
      <c r="K139" s="107"/>
      <c r="L139" s="111"/>
      <c r="M139" s="111"/>
      <c r="N139" s="111"/>
      <c r="O139" s="111"/>
      <c r="P139" s="34"/>
    </row>
    <row x14ac:dyDescent="0.25" r="140" customHeight="1" ht="15.75">
      <c r="A140" s="117"/>
      <c r="B140" s="3"/>
      <c r="C140" s="3"/>
      <c r="D140" s="3"/>
      <c r="E140" s="3"/>
      <c r="F140" s="3"/>
      <c r="G140" s="107"/>
      <c r="H140" s="3"/>
      <c r="I140" s="85"/>
      <c r="J140" s="3"/>
      <c r="K140" s="107"/>
      <c r="L140" s="111"/>
      <c r="M140" s="111"/>
      <c r="N140" s="111"/>
      <c r="O140" s="111"/>
      <c r="P140" s="34"/>
    </row>
    <row x14ac:dyDescent="0.25" r="141" customHeight="1" ht="15.75">
      <c r="A141" s="117"/>
      <c r="B141" s="3"/>
      <c r="C141" s="3"/>
      <c r="D141" s="3"/>
      <c r="E141" s="3"/>
      <c r="F141" s="3"/>
      <c r="G141" s="107"/>
      <c r="H141" s="3"/>
      <c r="I141" s="85"/>
      <c r="J141" s="3"/>
      <c r="K141" s="107"/>
      <c r="L141" s="111"/>
      <c r="M141" s="111"/>
      <c r="N141" s="111"/>
      <c r="O141" s="111"/>
      <c r="P141" s="34"/>
    </row>
    <row x14ac:dyDescent="0.25" r="142" customHeight="1" ht="15.75">
      <c r="A142" s="117"/>
      <c r="B142" s="3"/>
      <c r="C142" s="3"/>
      <c r="D142" s="3"/>
      <c r="E142" s="3"/>
      <c r="F142" s="3"/>
      <c r="G142" s="107"/>
      <c r="H142" s="3"/>
      <c r="I142" s="85"/>
      <c r="J142" s="3"/>
      <c r="K142" s="107"/>
      <c r="L142" s="111"/>
      <c r="M142" s="111"/>
      <c r="N142" s="111"/>
      <c r="O142" s="111"/>
      <c r="P142" s="34"/>
    </row>
    <row x14ac:dyDescent="0.25" r="143" customHeight="1" ht="15.75">
      <c r="A143" s="117"/>
      <c r="B143" s="3"/>
      <c r="C143" s="3"/>
      <c r="D143" s="3"/>
      <c r="E143" s="3"/>
      <c r="F143" s="3"/>
      <c r="G143" s="107"/>
      <c r="H143" s="3"/>
      <c r="I143" s="85"/>
      <c r="J143" s="3"/>
      <c r="K143" s="107"/>
      <c r="L143" s="111"/>
      <c r="M143" s="111"/>
      <c r="N143" s="111"/>
      <c r="O143" s="111"/>
      <c r="P143" s="34"/>
    </row>
    <row x14ac:dyDescent="0.25" r="144" customHeight="1" ht="15.75">
      <c r="A144" s="117"/>
      <c r="B144" s="3"/>
      <c r="C144" s="3"/>
      <c r="D144" s="3"/>
      <c r="E144" s="3"/>
      <c r="F144" s="3"/>
      <c r="G144" s="107"/>
      <c r="H144" s="3"/>
      <c r="I144" s="85"/>
      <c r="J144" s="3"/>
      <c r="K144" s="107"/>
      <c r="L144" s="111"/>
      <c r="M144" s="111"/>
      <c r="N144" s="111"/>
      <c r="O144" s="111"/>
      <c r="P144" s="34"/>
    </row>
    <row x14ac:dyDescent="0.25" r="145" customHeight="1" ht="15.75">
      <c r="A145" s="117"/>
      <c r="B145" s="3"/>
      <c r="C145" s="3"/>
      <c r="D145" s="3"/>
      <c r="E145" s="3"/>
      <c r="F145" s="3"/>
      <c r="G145" s="107"/>
      <c r="H145" s="3"/>
      <c r="I145" s="85"/>
      <c r="J145" s="3"/>
      <c r="K145" s="107"/>
      <c r="L145" s="111"/>
      <c r="M145" s="111"/>
      <c r="N145" s="111"/>
      <c r="O145" s="111"/>
      <c r="P145" s="34"/>
    </row>
    <row x14ac:dyDescent="0.25" r="146" customHeight="1" ht="15.75">
      <c r="A146" s="117"/>
      <c r="B146" s="3"/>
      <c r="C146" s="3"/>
      <c r="D146" s="3"/>
      <c r="E146" s="3"/>
      <c r="F146" s="3"/>
      <c r="G146" s="107"/>
      <c r="H146" s="3"/>
      <c r="I146" s="85"/>
      <c r="J146" s="3"/>
      <c r="K146" s="107"/>
      <c r="L146" s="111"/>
      <c r="M146" s="111"/>
      <c r="N146" s="111"/>
      <c r="O146" s="111"/>
      <c r="P146" s="34"/>
    </row>
    <row x14ac:dyDescent="0.25" r="147" customHeight="1" ht="15.75">
      <c r="A147" s="117"/>
      <c r="B147" s="3"/>
      <c r="C147" s="3"/>
      <c r="D147" s="3"/>
      <c r="E147" s="3"/>
      <c r="F147" s="3"/>
      <c r="G147" s="107"/>
      <c r="H147" s="3"/>
      <c r="I147" s="85"/>
      <c r="J147" s="3"/>
      <c r="K147" s="107"/>
      <c r="L147" s="111"/>
      <c r="M147" s="111"/>
      <c r="N147" s="111"/>
      <c r="O147" s="111"/>
      <c r="P147" s="34"/>
    </row>
    <row x14ac:dyDescent="0.25" r="148" customHeight="1" ht="15.75">
      <c r="A148" s="117"/>
      <c r="B148" s="3"/>
      <c r="C148" s="3"/>
      <c r="D148" s="3"/>
      <c r="E148" s="3"/>
      <c r="F148" s="3"/>
      <c r="G148" s="107"/>
      <c r="H148" s="3"/>
      <c r="I148" s="85"/>
      <c r="J148" s="3"/>
      <c r="K148" s="107"/>
      <c r="L148" s="111"/>
      <c r="M148" s="111"/>
      <c r="N148" s="111"/>
      <c r="O148" s="111"/>
      <c r="P148" s="34"/>
    </row>
    <row x14ac:dyDescent="0.25" r="149" customHeight="1" ht="15.75">
      <c r="A149" s="117"/>
      <c r="B149" s="3"/>
      <c r="C149" s="3"/>
      <c r="D149" s="3"/>
      <c r="E149" s="3"/>
      <c r="F149" s="3"/>
      <c r="G149" s="107"/>
      <c r="H149" s="3"/>
      <c r="I149" s="85"/>
      <c r="J149" s="3"/>
      <c r="K149" s="107"/>
      <c r="L149" s="111"/>
      <c r="M149" s="111"/>
      <c r="N149" s="111"/>
      <c r="O149" s="111"/>
      <c r="P149" s="34"/>
    </row>
    <row x14ac:dyDescent="0.25" r="150" customHeight="1" ht="15.75">
      <c r="A150" s="117"/>
      <c r="B150" s="3"/>
      <c r="C150" s="3"/>
      <c r="D150" s="3"/>
      <c r="E150" s="3"/>
      <c r="F150" s="3"/>
      <c r="G150" s="107"/>
      <c r="H150" s="3"/>
      <c r="I150" s="85"/>
      <c r="J150" s="3"/>
      <c r="K150" s="107"/>
      <c r="L150" s="111"/>
      <c r="M150" s="111"/>
      <c r="N150" s="111"/>
      <c r="O150" s="111"/>
      <c r="P150" s="34"/>
    </row>
    <row x14ac:dyDescent="0.25" r="151" customHeight="1" ht="15.75">
      <c r="A151" s="117"/>
      <c r="B151" s="3"/>
      <c r="C151" s="3"/>
      <c r="D151" s="3"/>
      <c r="E151" s="3"/>
      <c r="F151" s="3"/>
      <c r="G151" s="107"/>
      <c r="H151" s="3"/>
      <c r="I151" s="85"/>
      <c r="J151" s="3"/>
      <c r="K151" s="107"/>
      <c r="L151" s="111"/>
      <c r="M151" s="111"/>
      <c r="N151" s="111"/>
      <c r="O151" s="111"/>
      <c r="P151" s="34"/>
    </row>
    <row x14ac:dyDescent="0.25" r="152" customHeight="1" ht="15.75">
      <c r="A152" s="117"/>
      <c r="B152" s="3"/>
      <c r="C152" s="3"/>
      <c r="D152" s="3"/>
      <c r="E152" s="3"/>
      <c r="F152" s="3"/>
      <c r="G152" s="107"/>
      <c r="H152" s="3"/>
      <c r="I152" s="85"/>
      <c r="J152" s="3"/>
      <c r="K152" s="107"/>
      <c r="L152" s="111"/>
      <c r="M152" s="111"/>
      <c r="N152" s="111"/>
      <c r="O152" s="111"/>
      <c r="P152" s="34"/>
    </row>
    <row x14ac:dyDescent="0.25" r="153" customHeight="1" ht="15.75">
      <c r="A153" s="117"/>
      <c r="B153" s="3"/>
      <c r="C153" s="3"/>
      <c r="D153" s="3"/>
      <c r="E153" s="3"/>
      <c r="F153" s="3"/>
      <c r="G153" s="107"/>
      <c r="H153" s="3"/>
      <c r="I153" s="85"/>
      <c r="J153" s="3"/>
      <c r="K153" s="107"/>
      <c r="L153" s="111"/>
      <c r="M153" s="111"/>
      <c r="N153" s="111"/>
      <c r="O153" s="111"/>
      <c r="P153" s="34"/>
    </row>
    <row x14ac:dyDescent="0.25" r="154" customHeight="1" ht="15.75">
      <c r="A154" s="117"/>
      <c r="B154" s="3"/>
      <c r="C154" s="3"/>
      <c r="D154" s="3"/>
      <c r="E154" s="3"/>
      <c r="F154" s="3"/>
      <c r="G154" s="107"/>
      <c r="H154" s="3"/>
      <c r="I154" s="85"/>
      <c r="J154" s="3"/>
      <c r="K154" s="107"/>
      <c r="L154" s="111"/>
      <c r="M154" s="111"/>
      <c r="N154" s="111"/>
      <c r="O154" s="111"/>
      <c r="P154" s="34"/>
    </row>
    <row x14ac:dyDescent="0.25" r="155" customHeight="1" ht="15.75">
      <c r="A155" s="117"/>
      <c r="B155" s="3"/>
      <c r="C155" s="3"/>
      <c r="D155" s="3"/>
      <c r="E155" s="3"/>
      <c r="F155" s="3"/>
      <c r="G155" s="107"/>
      <c r="H155" s="3"/>
      <c r="I155" s="85"/>
      <c r="J155" s="3"/>
      <c r="K155" s="107"/>
      <c r="L155" s="111"/>
      <c r="M155" s="111"/>
      <c r="N155" s="111"/>
      <c r="O155" s="111"/>
      <c r="P155" s="34"/>
    </row>
    <row x14ac:dyDescent="0.25" r="156" customHeight="1" ht="15.75">
      <c r="A156" s="117"/>
      <c r="B156" s="3"/>
      <c r="C156" s="3"/>
      <c r="D156" s="3"/>
      <c r="E156" s="3"/>
      <c r="F156" s="3"/>
      <c r="G156" s="107"/>
      <c r="H156" s="3"/>
      <c r="I156" s="85"/>
      <c r="J156" s="3"/>
      <c r="K156" s="107"/>
      <c r="L156" s="111"/>
      <c r="M156" s="111"/>
      <c r="N156" s="111"/>
      <c r="O156" s="111"/>
      <c r="P156" s="34"/>
    </row>
    <row x14ac:dyDescent="0.25" r="157" customHeight="1" ht="15.75">
      <c r="A157" s="117"/>
      <c r="B157" s="3"/>
      <c r="C157" s="3"/>
      <c r="D157" s="3"/>
      <c r="E157" s="3"/>
      <c r="F157" s="3"/>
      <c r="G157" s="107"/>
      <c r="H157" s="3"/>
      <c r="I157" s="85"/>
      <c r="J157" s="3"/>
      <c r="K157" s="107"/>
      <c r="L157" s="111"/>
      <c r="M157" s="111"/>
      <c r="N157" s="111"/>
      <c r="O157" s="111"/>
      <c r="P157" s="34"/>
    </row>
    <row x14ac:dyDescent="0.25" r="158" customHeight="1" ht="15.75">
      <c r="A158" s="117"/>
      <c r="B158" s="3"/>
      <c r="C158" s="3"/>
      <c r="D158" s="3"/>
      <c r="E158" s="3"/>
      <c r="F158" s="3"/>
      <c r="G158" s="107"/>
      <c r="H158" s="3"/>
      <c r="I158" s="85"/>
      <c r="J158" s="3"/>
      <c r="K158" s="107"/>
      <c r="L158" s="111"/>
      <c r="M158" s="111"/>
      <c r="N158" s="111"/>
      <c r="O158" s="111"/>
      <c r="P158" s="34"/>
    </row>
    <row x14ac:dyDescent="0.25" r="159" customHeight="1" ht="15.75">
      <c r="A159" s="117"/>
      <c r="B159" s="3"/>
      <c r="C159" s="3"/>
      <c r="D159" s="3"/>
      <c r="E159" s="3"/>
      <c r="F159" s="3"/>
      <c r="G159" s="107"/>
      <c r="H159" s="3"/>
      <c r="I159" s="85"/>
      <c r="J159" s="3"/>
      <c r="K159" s="107"/>
      <c r="L159" s="111"/>
      <c r="M159" s="111"/>
      <c r="N159" s="111"/>
      <c r="O159" s="111"/>
      <c r="P159" s="34"/>
    </row>
    <row x14ac:dyDescent="0.25" r="160" customHeight="1" ht="15.75">
      <c r="A160" s="117"/>
      <c r="B160" s="3"/>
      <c r="C160" s="3"/>
      <c r="D160" s="3"/>
      <c r="E160" s="3"/>
      <c r="F160" s="3"/>
      <c r="G160" s="107"/>
      <c r="H160" s="3"/>
      <c r="I160" s="85"/>
      <c r="J160" s="3"/>
      <c r="K160" s="107"/>
      <c r="L160" s="111"/>
      <c r="M160" s="111"/>
      <c r="N160" s="111"/>
      <c r="O160" s="111"/>
      <c r="P160" s="34"/>
    </row>
    <row x14ac:dyDescent="0.25" r="161" customHeight="1" ht="15.75">
      <c r="A161" s="117"/>
      <c r="B161" s="3"/>
      <c r="C161" s="3"/>
      <c r="D161" s="3"/>
      <c r="E161" s="3"/>
      <c r="F161" s="3"/>
      <c r="G161" s="107"/>
      <c r="H161" s="3"/>
      <c r="I161" s="85"/>
      <c r="J161" s="3"/>
      <c r="K161" s="107"/>
      <c r="L161" s="111"/>
      <c r="M161" s="111"/>
      <c r="N161" s="111"/>
      <c r="O161" s="111"/>
      <c r="P161" s="34"/>
    </row>
    <row x14ac:dyDescent="0.25" r="162" customHeight="1" ht="15.75">
      <c r="A162" s="117"/>
      <c r="B162" s="3"/>
      <c r="C162" s="3"/>
      <c r="D162" s="3"/>
      <c r="E162" s="3"/>
      <c r="F162" s="3"/>
      <c r="G162" s="107"/>
      <c r="H162" s="3"/>
      <c r="I162" s="85"/>
      <c r="J162" s="3"/>
      <c r="K162" s="107"/>
      <c r="L162" s="111"/>
      <c r="M162" s="111"/>
      <c r="N162" s="111"/>
      <c r="O162" s="111"/>
      <c r="P162" s="34"/>
    </row>
    <row x14ac:dyDescent="0.25" r="163" customHeight="1" ht="15.75">
      <c r="A163" s="117"/>
      <c r="B163" s="3"/>
      <c r="C163" s="3"/>
      <c r="D163" s="3"/>
      <c r="E163" s="3"/>
      <c r="F163" s="3"/>
      <c r="G163" s="107"/>
      <c r="H163" s="3"/>
      <c r="I163" s="85"/>
      <c r="J163" s="3"/>
      <c r="K163" s="107"/>
      <c r="L163" s="111"/>
      <c r="M163" s="111"/>
      <c r="N163" s="111"/>
      <c r="O163" s="111"/>
      <c r="P163" s="34"/>
    </row>
    <row x14ac:dyDescent="0.25" r="164" customHeight="1" ht="15.75">
      <c r="A164" s="117"/>
      <c r="B164" s="3"/>
      <c r="C164" s="3"/>
      <c r="D164" s="3"/>
      <c r="E164" s="3"/>
      <c r="F164" s="3"/>
      <c r="G164" s="107"/>
      <c r="H164" s="3"/>
      <c r="I164" s="85"/>
      <c r="J164" s="3"/>
      <c r="K164" s="107"/>
      <c r="L164" s="111"/>
      <c r="M164" s="111"/>
      <c r="N164" s="111"/>
      <c r="O164" s="111"/>
      <c r="P164" s="34"/>
    </row>
    <row x14ac:dyDescent="0.25" r="165" customHeight="1" ht="15.75">
      <c r="A165" s="117"/>
      <c r="B165" s="3"/>
      <c r="C165" s="3"/>
      <c r="D165" s="3"/>
      <c r="E165" s="3"/>
      <c r="F165" s="3"/>
      <c r="G165" s="107"/>
      <c r="H165" s="3"/>
      <c r="I165" s="85"/>
      <c r="J165" s="3"/>
      <c r="K165" s="107"/>
      <c r="L165" s="111"/>
      <c r="M165" s="111"/>
      <c r="N165" s="111"/>
      <c r="O165" s="111"/>
      <c r="P165" s="34"/>
    </row>
    <row x14ac:dyDescent="0.25" r="166" customHeight="1" ht="15.75">
      <c r="A166" s="117"/>
      <c r="B166" s="3"/>
      <c r="C166" s="3"/>
      <c r="D166" s="3"/>
      <c r="E166" s="3"/>
      <c r="F166" s="3"/>
      <c r="G166" s="107"/>
      <c r="H166" s="3"/>
      <c r="I166" s="85"/>
      <c r="J166" s="3"/>
      <c r="K166" s="107"/>
      <c r="L166" s="111"/>
      <c r="M166" s="111"/>
      <c r="N166" s="111"/>
      <c r="O166" s="111"/>
      <c r="P166" s="34"/>
    </row>
    <row x14ac:dyDescent="0.25" r="167" customHeight="1" ht="15.75">
      <c r="A167" s="117"/>
      <c r="B167" s="3"/>
      <c r="C167" s="3"/>
      <c r="D167" s="3"/>
      <c r="E167" s="118"/>
      <c r="F167" s="118"/>
      <c r="G167" s="107"/>
      <c r="H167" s="3"/>
      <c r="I167" s="85"/>
      <c r="J167" s="3"/>
      <c r="K167" s="107"/>
      <c r="L167" s="111"/>
      <c r="M167" s="111"/>
      <c r="N167" s="111"/>
      <c r="O167" s="111"/>
      <c r="P167" s="34"/>
    </row>
    <row x14ac:dyDescent="0.25" r="168" customHeight="1" ht="15.75">
      <c r="A168" s="117"/>
      <c r="B168" s="3"/>
      <c r="C168" s="3"/>
      <c r="D168" s="3"/>
      <c r="E168" s="3"/>
      <c r="F168" s="3"/>
      <c r="G168" s="107"/>
      <c r="H168" s="3"/>
      <c r="I168" s="85"/>
      <c r="J168" s="3"/>
      <c r="K168" s="107"/>
      <c r="L168" s="111"/>
      <c r="M168" s="111"/>
      <c r="N168" s="111"/>
      <c r="O168" s="111"/>
      <c r="P168" s="34"/>
    </row>
    <row x14ac:dyDescent="0.25" r="169" customHeight="1" ht="15.75">
      <c r="A169" s="117"/>
      <c r="B169" s="3"/>
      <c r="C169" s="3"/>
      <c r="D169" s="3"/>
      <c r="E169" s="3"/>
      <c r="F169" s="3"/>
      <c r="G169" s="107"/>
      <c r="H169" s="3"/>
      <c r="I169" s="85"/>
      <c r="J169" s="3"/>
      <c r="K169" s="107"/>
      <c r="L169" s="111"/>
      <c r="M169" s="111"/>
      <c r="N169" s="111"/>
      <c r="O169" s="111"/>
      <c r="P169" s="34"/>
    </row>
    <row x14ac:dyDescent="0.25" r="170" customHeight="1" ht="15.75">
      <c r="A170" s="117"/>
      <c r="B170" s="3"/>
      <c r="C170" s="3"/>
      <c r="D170" s="3"/>
      <c r="E170" s="3"/>
      <c r="F170" s="3"/>
      <c r="G170" s="107"/>
      <c r="H170" s="3"/>
      <c r="I170" s="85"/>
      <c r="J170" s="3"/>
      <c r="K170" s="107"/>
      <c r="L170" s="111"/>
      <c r="M170" s="111"/>
      <c r="N170" s="111"/>
      <c r="O170" s="111"/>
      <c r="P170" s="34"/>
    </row>
    <row x14ac:dyDescent="0.25" r="171" customHeight="1" ht="15.75">
      <c r="A171" s="117"/>
      <c r="B171" s="3"/>
      <c r="C171" s="3"/>
      <c r="D171" s="3"/>
      <c r="E171" s="3"/>
      <c r="F171" s="3"/>
      <c r="G171" s="107"/>
      <c r="H171" s="3"/>
      <c r="I171" s="85"/>
      <c r="J171" s="3"/>
      <c r="K171" s="107"/>
      <c r="L171" s="111"/>
      <c r="M171" s="111"/>
      <c r="N171" s="111"/>
      <c r="O171" s="111"/>
      <c r="P171" s="34"/>
    </row>
    <row x14ac:dyDescent="0.25" r="172" customHeight="1" ht="15.75">
      <c r="A172" s="117"/>
      <c r="B172" s="3"/>
      <c r="C172" s="3"/>
      <c r="D172" s="3"/>
      <c r="E172" s="3"/>
      <c r="F172" s="3"/>
      <c r="G172" s="107"/>
      <c r="H172" s="3"/>
      <c r="I172" s="85"/>
      <c r="J172" s="3"/>
      <c r="K172" s="107"/>
      <c r="L172" s="111"/>
      <c r="M172" s="111"/>
      <c r="N172" s="111"/>
      <c r="O172" s="111"/>
      <c r="P172" s="34"/>
    </row>
    <row x14ac:dyDescent="0.25" r="173" customHeight="1" ht="15.75">
      <c r="A173" s="117"/>
      <c r="B173" s="3"/>
      <c r="C173" s="3"/>
      <c r="D173" s="3"/>
      <c r="E173" s="3"/>
      <c r="F173" s="3"/>
      <c r="G173" s="119"/>
      <c r="H173" s="120"/>
      <c r="I173" s="85"/>
      <c r="J173" s="3"/>
      <c r="K173" s="107"/>
      <c r="L173" s="111"/>
      <c r="M173" s="111"/>
      <c r="N173" s="111"/>
      <c r="O173" s="121"/>
      <c r="P173" s="34"/>
    </row>
    <row x14ac:dyDescent="0.25" r="174" customHeight="1" ht="15.75">
      <c r="A174" s="117"/>
      <c r="B174" s="3"/>
      <c r="C174" s="3"/>
      <c r="D174" s="3"/>
      <c r="E174" s="3"/>
      <c r="F174" s="3"/>
      <c r="G174" s="122"/>
      <c r="H174" s="123"/>
      <c r="I174" s="85"/>
      <c r="J174" s="3"/>
      <c r="K174" s="107"/>
      <c r="L174" s="111"/>
      <c r="M174" s="111"/>
      <c r="N174" s="111"/>
      <c r="O174" s="111"/>
      <c r="P174" s="34"/>
    </row>
    <row x14ac:dyDescent="0.25" r="175" customHeight="1" ht="15.75">
      <c r="A175" s="117"/>
      <c r="B175" s="3"/>
      <c r="C175" s="3"/>
      <c r="D175" s="3"/>
      <c r="E175" s="3"/>
      <c r="F175" s="3"/>
      <c r="G175" s="107"/>
      <c r="H175" s="3"/>
      <c r="I175" s="85"/>
      <c r="J175" s="3"/>
      <c r="K175" s="107"/>
      <c r="L175" s="111"/>
      <c r="M175" s="111"/>
      <c r="N175" s="111"/>
      <c r="O175" s="111"/>
      <c r="P175" s="34"/>
    </row>
    <row x14ac:dyDescent="0.25" r="176" customHeight="1" ht="15.75">
      <c r="A176" s="117"/>
      <c r="B176" s="3"/>
      <c r="C176" s="3"/>
      <c r="D176" s="3"/>
      <c r="E176" s="3"/>
      <c r="F176" s="3"/>
      <c r="G176" s="107"/>
      <c r="H176" s="3"/>
      <c r="I176" s="85"/>
      <c r="J176" s="3"/>
      <c r="K176" s="107"/>
      <c r="L176" s="111"/>
      <c r="M176" s="111"/>
      <c r="N176" s="111"/>
      <c r="O176" s="111"/>
      <c r="P176" s="34"/>
    </row>
    <row x14ac:dyDescent="0.25" r="177" customHeight="1" ht="15.75">
      <c r="A177" s="117"/>
      <c r="B177" s="3"/>
      <c r="C177" s="3"/>
      <c r="D177" s="3"/>
      <c r="E177" s="3"/>
      <c r="F177" s="3"/>
      <c r="G177" s="107"/>
      <c r="H177" s="3"/>
      <c r="I177" s="85"/>
      <c r="J177" s="3"/>
      <c r="K177" s="107"/>
      <c r="L177" s="111"/>
      <c r="M177" s="111"/>
      <c r="N177" s="111"/>
      <c r="O177" s="111"/>
      <c r="P177" s="34"/>
    </row>
    <row x14ac:dyDescent="0.25" r="178" customHeight="1" ht="15.75">
      <c r="A178" s="117"/>
      <c r="B178" s="3"/>
      <c r="C178" s="3"/>
      <c r="D178" s="3"/>
      <c r="E178" s="3"/>
      <c r="F178" s="3"/>
      <c r="G178" s="107"/>
      <c r="H178" s="3"/>
      <c r="I178" s="85"/>
      <c r="J178" s="3"/>
      <c r="K178" s="107"/>
      <c r="L178" s="111"/>
      <c r="M178" s="111"/>
      <c r="N178" s="111"/>
      <c r="O178" s="111"/>
      <c r="P178" s="34"/>
    </row>
    <row x14ac:dyDescent="0.25" r="179" customHeight="1" ht="15.75">
      <c r="A179" s="117"/>
      <c r="B179" s="3"/>
      <c r="C179" s="3"/>
      <c r="D179" s="3"/>
      <c r="E179" s="3"/>
      <c r="F179" s="3"/>
      <c r="G179" s="107"/>
      <c r="H179" s="3"/>
      <c r="I179" s="85"/>
      <c r="J179" s="3"/>
      <c r="K179" s="107"/>
      <c r="L179" s="111"/>
      <c r="M179" s="111"/>
      <c r="N179" s="111"/>
      <c r="O179" s="111"/>
      <c r="P179" s="34"/>
    </row>
    <row x14ac:dyDescent="0.25" r="180" customHeight="1" ht="15.75">
      <c r="A180" s="117"/>
      <c r="B180" s="3"/>
      <c r="C180" s="3"/>
      <c r="D180" s="3"/>
      <c r="E180" s="3"/>
      <c r="F180" s="3"/>
      <c r="G180" s="107"/>
      <c r="H180" s="3"/>
      <c r="I180" s="85"/>
      <c r="J180" s="3"/>
      <c r="K180" s="107"/>
      <c r="L180" s="111"/>
      <c r="M180" s="111"/>
      <c r="N180" s="111"/>
      <c r="O180" s="111"/>
      <c r="P180" s="34"/>
    </row>
    <row x14ac:dyDescent="0.25" r="181" customHeight="1" ht="15.75">
      <c r="A181" s="117"/>
      <c r="B181" s="3"/>
      <c r="C181" s="3"/>
      <c r="D181" s="3"/>
      <c r="E181" s="3"/>
      <c r="F181" s="3"/>
      <c r="G181" s="107"/>
      <c r="H181" s="3"/>
      <c r="I181" s="85"/>
      <c r="J181" s="3"/>
      <c r="K181" s="107"/>
      <c r="L181" s="111"/>
      <c r="M181" s="111"/>
      <c r="N181" s="111"/>
      <c r="O181" s="111"/>
      <c r="P181" s="34"/>
    </row>
    <row x14ac:dyDescent="0.25" r="182" customHeight="1" ht="15.75">
      <c r="A182" s="117"/>
      <c r="B182" s="3"/>
      <c r="C182" s="3"/>
      <c r="D182" s="3"/>
      <c r="E182" s="3"/>
      <c r="F182" s="3"/>
      <c r="G182" s="107"/>
      <c r="H182" s="3"/>
      <c r="I182" s="85"/>
      <c r="J182" s="3"/>
      <c r="K182" s="107"/>
      <c r="L182" s="111"/>
      <c r="M182" s="111"/>
      <c r="N182" s="111"/>
      <c r="O182" s="111"/>
      <c r="P182" s="34"/>
    </row>
    <row x14ac:dyDescent="0.25" r="183" customHeight="1" ht="15.75">
      <c r="A183" s="117"/>
      <c r="B183" s="3"/>
      <c r="C183" s="3"/>
      <c r="D183" s="3"/>
      <c r="E183" s="3"/>
      <c r="F183" s="3"/>
      <c r="G183" s="107"/>
      <c r="H183" s="3"/>
      <c r="I183" s="85"/>
      <c r="J183" s="3"/>
      <c r="K183" s="107"/>
      <c r="L183" s="111"/>
      <c r="M183" s="111"/>
      <c r="N183" s="111"/>
      <c r="O183" s="111"/>
      <c r="P183" s="34"/>
    </row>
    <row x14ac:dyDescent="0.25" r="184" customHeight="1" ht="15.75">
      <c r="A184" s="117"/>
      <c r="B184" s="3"/>
      <c r="C184" s="3"/>
      <c r="D184" s="3"/>
      <c r="E184" s="3"/>
      <c r="F184" s="3"/>
      <c r="G184" s="107"/>
      <c r="H184" s="3"/>
      <c r="I184" s="85"/>
      <c r="J184" s="3"/>
      <c r="K184" s="107"/>
      <c r="L184" s="111"/>
      <c r="M184" s="111"/>
      <c r="N184" s="111"/>
      <c r="O184" s="111"/>
      <c r="P184" s="34"/>
    </row>
    <row x14ac:dyDescent="0.25" r="185" customHeight="1" ht="15.75">
      <c r="A185" s="117"/>
      <c r="B185" s="3"/>
      <c r="C185" s="3"/>
      <c r="D185" s="3"/>
      <c r="E185" s="3"/>
      <c r="F185" s="3"/>
      <c r="G185" s="107"/>
      <c r="H185" s="3"/>
      <c r="I185" s="85"/>
      <c r="J185" s="3"/>
      <c r="K185" s="107"/>
      <c r="L185" s="111"/>
      <c r="M185" s="111"/>
      <c r="N185" s="111"/>
      <c r="O185" s="111"/>
      <c r="P185" s="34"/>
    </row>
    <row x14ac:dyDescent="0.25" r="186" customHeight="1" ht="15.75">
      <c r="A186" s="117"/>
      <c r="B186" s="3"/>
      <c r="C186" s="3"/>
      <c r="D186" s="3"/>
      <c r="E186" s="3"/>
      <c r="F186" s="3"/>
      <c r="G186" s="107"/>
      <c r="H186" s="3"/>
      <c r="I186" s="85"/>
      <c r="J186" s="3"/>
      <c r="K186" s="107"/>
      <c r="L186" s="111"/>
      <c r="M186" s="111"/>
      <c r="N186" s="111"/>
      <c r="O186" s="111"/>
      <c r="P186" s="34"/>
    </row>
    <row x14ac:dyDescent="0.25" r="187" customHeight="1" ht="15.75">
      <c r="A187" s="117"/>
      <c r="B187" s="3"/>
      <c r="C187" s="3"/>
      <c r="D187" s="3"/>
      <c r="E187" s="3"/>
      <c r="F187" s="3"/>
      <c r="G187" s="107"/>
      <c r="H187" s="3"/>
      <c r="I187" s="85"/>
      <c r="J187" s="3"/>
      <c r="K187" s="107"/>
      <c r="L187" s="111"/>
      <c r="M187" s="111"/>
      <c r="N187" s="111"/>
      <c r="O187" s="111"/>
      <c r="P187" s="34"/>
    </row>
    <row x14ac:dyDescent="0.25" r="188" customHeight="1" ht="15.75">
      <c r="A188" s="117"/>
      <c r="B188" s="3"/>
      <c r="C188" s="3"/>
      <c r="D188" s="3"/>
      <c r="E188" s="3"/>
      <c r="F188" s="3"/>
      <c r="G188" s="107"/>
      <c r="H188" s="3"/>
      <c r="I188" s="85"/>
      <c r="J188" s="3"/>
      <c r="K188" s="107"/>
      <c r="L188" s="111"/>
      <c r="M188" s="111"/>
      <c r="N188" s="111"/>
      <c r="O188" s="111"/>
      <c r="P188" s="34"/>
    </row>
    <row x14ac:dyDescent="0.25" r="189" customHeight="1" ht="15.75">
      <c r="A189" s="117"/>
      <c r="B189" s="3"/>
      <c r="C189" s="3"/>
      <c r="D189" s="3"/>
      <c r="E189" s="3"/>
      <c r="F189" s="3"/>
      <c r="G189" s="107"/>
      <c r="H189" s="3"/>
      <c r="I189" s="85"/>
      <c r="J189" s="3"/>
      <c r="K189" s="107"/>
      <c r="L189" s="111"/>
      <c r="M189" s="111"/>
      <c r="N189" s="111"/>
      <c r="O189" s="111"/>
      <c r="P189" s="34"/>
    </row>
    <row x14ac:dyDescent="0.25" r="190" customHeight="1" ht="15.75">
      <c r="A190" s="117"/>
      <c r="B190" s="3"/>
      <c r="C190" s="3"/>
      <c r="D190" s="3"/>
      <c r="E190" s="3"/>
      <c r="F190" s="3"/>
      <c r="G190" s="107"/>
      <c r="H190" s="3"/>
      <c r="I190" s="85"/>
      <c r="J190" s="3"/>
      <c r="K190" s="107"/>
      <c r="L190" s="111"/>
      <c r="M190" s="111"/>
      <c r="N190" s="111"/>
      <c r="O190" s="111"/>
      <c r="P190" s="34"/>
    </row>
    <row x14ac:dyDescent="0.25" r="191" customHeight="1" ht="15.75">
      <c r="A191" s="117"/>
      <c r="B191" s="3"/>
      <c r="C191" s="3"/>
      <c r="D191" s="3"/>
      <c r="E191" s="3"/>
      <c r="F191" s="3"/>
      <c r="G191" s="107"/>
      <c r="H191" s="3"/>
      <c r="I191" s="85"/>
      <c r="J191" s="3"/>
      <c r="K191" s="107"/>
      <c r="L191" s="111"/>
      <c r="M191" s="111"/>
      <c r="N191" s="111"/>
      <c r="O191" s="111"/>
      <c r="P191" s="34"/>
    </row>
    <row x14ac:dyDescent="0.25" r="192" customHeight="1" ht="15.75">
      <c r="A192" s="117"/>
      <c r="B192" s="3"/>
      <c r="C192" s="3"/>
      <c r="D192" s="3"/>
      <c r="E192" s="3"/>
      <c r="F192" s="3"/>
      <c r="G192" s="107"/>
      <c r="H192" s="3"/>
      <c r="I192" s="85"/>
      <c r="J192" s="3"/>
      <c r="K192" s="107"/>
      <c r="L192" s="111"/>
      <c r="M192" s="111"/>
      <c r="N192" s="111"/>
      <c r="O192" s="111"/>
      <c r="P192" s="34"/>
    </row>
    <row x14ac:dyDescent="0.25" r="193" customHeight="1" ht="15.75">
      <c r="A193" s="117"/>
      <c r="B193" s="3"/>
      <c r="C193" s="3"/>
      <c r="D193" s="3"/>
      <c r="E193" s="3"/>
      <c r="F193" s="3"/>
      <c r="G193" s="107"/>
      <c r="H193" s="3"/>
      <c r="I193" s="85"/>
      <c r="J193" s="3"/>
      <c r="K193" s="107"/>
      <c r="L193" s="111"/>
      <c r="M193" s="111"/>
      <c r="N193" s="111"/>
      <c r="O193" s="111"/>
      <c r="P193" s="34"/>
    </row>
    <row x14ac:dyDescent="0.25" r="194" customHeight="1" ht="15.75">
      <c r="A194" s="117"/>
      <c r="B194" s="3"/>
      <c r="C194" s="3"/>
      <c r="D194" s="3"/>
      <c r="E194" s="3"/>
      <c r="F194" s="3"/>
      <c r="G194" s="107"/>
      <c r="H194" s="3"/>
      <c r="I194" s="85"/>
      <c r="J194" s="3"/>
      <c r="K194" s="107"/>
      <c r="L194" s="111"/>
      <c r="M194" s="111"/>
      <c r="N194" s="111"/>
      <c r="O194" s="111"/>
      <c r="P194" s="34"/>
    </row>
    <row x14ac:dyDescent="0.25" r="195" customHeight="1" ht="15.75">
      <c r="A195" s="117"/>
      <c r="B195" s="3"/>
      <c r="C195" s="3"/>
      <c r="D195" s="3"/>
      <c r="E195" s="3"/>
      <c r="F195" s="3"/>
      <c r="G195" s="107"/>
      <c r="H195" s="3"/>
      <c r="I195" s="85"/>
      <c r="J195" s="3"/>
      <c r="K195" s="107"/>
      <c r="L195" s="111"/>
      <c r="M195" s="111"/>
      <c r="N195" s="111"/>
      <c r="O195" s="111"/>
      <c r="P195" s="34"/>
    </row>
    <row x14ac:dyDescent="0.25" r="196" customHeight="1" ht="15.75">
      <c r="A196" s="117"/>
      <c r="B196" s="3"/>
      <c r="C196" s="3"/>
      <c r="D196" s="3"/>
      <c r="E196" s="3"/>
      <c r="F196" s="3"/>
      <c r="G196" s="107"/>
      <c r="H196" s="3"/>
      <c r="I196" s="85"/>
      <c r="J196" s="3"/>
      <c r="K196" s="107"/>
      <c r="L196" s="111"/>
      <c r="M196" s="111"/>
      <c r="N196" s="111"/>
      <c r="O196" s="111"/>
      <c r="P196" s="34"/>
    </row>
    <row x14ac:dyDescent="0.25" r="197" customHeight="1" ht="15.75">
      <c r="A197" s="117"/>
      <c r="B197" s="3"/>
      <c r="C197" s="3"/>
      <c r="D197" s="3"/>
      <c r="E197" s="3"/>
      <c r="F197" s="3"/>
      <c r="G197" s="107"/>
      <c r="H197" s="3"/>
      <c r="I197" s="85"/>
      <c r="J197" s="3"/>
      <c r="K197" s="107"/>
      <c r="L197" s="111"/>
      <c r="M197" s="111"/>
      <c r="N197" s="111"/>
      <c r="O197" s="111"/>
      <c r="P197" s="34"/>
    </row>
    <row x14ac:dyDescent="0.25" r="198" customHeight="1" ht="15.75">
      <c r="A198" s="117"/>
      <c r="B198" s="3"/>
      <c r="C198" s="3"/>
      <c r="D198" s="3"/>
      <c r="E198" s="3"/>
      <c r="F198" s="3"/>
      <c r="G198" s="107"/>
      <c r="H198" s="3"/>
      <c r="I198" s="85"/>
      <c r="J198" s="3"/>
      <c r="K198" s="107"/>
      <c r="L198" s="111"/>
      <c r="M198" s="111"/>
      <c r="N198" s="111"/>
      <c r="O198" s="111"/>
      <c r="P198" s="34"/>
    </row>
    <row x14ac:dyDescent="0.25" r="199" customHeight="1" ht="15.75">
      <c r="A199" s="117"/>
      <c r="B199" s="3"/>
      <c r="C199" s="3"/>
      <c r="D199" s="3"/>
      <c r="E199" s="3"/>
      <c r="F199" s="3"/>
      <c r="G199" s="107"/>
      <c r="H199" s="3"/>
      <c r="I199" s="85"/>
      <c r="J199" s="3"/>
      <c r="K199" s="107"/>
      <c r="L199" s="111"/>
      <c r="M199" s="111"/>
      <c r="N199" s="111"/>
      <c r="O199" s="111"/>
      <c r="P199" s="34"/>
    </row>
    <row x14ac:dyDescent="0.25" r="200" customHeight="1" ht="15.75">
      <c r="A200" s="117"/>
      <c r="B200" s="3"/>
      <c r="C200" s="3"/>
      <c r="D200" s="3"/>
      <c r="E200" s="3"/>
      <c r="F200" s="3"/>
      <c r="G200" s="107"/>
      <c r="H200" s="3"/>
      <c r="I200" s="85"/>
      <c r="J200" s="3"/>
      <c r="K200" s="107"/>
      <c r="L200" s="111"/>
      <c r="M200" s="111"/>
      <c r="N200" s="111"/>
      <c r="O200" s="111"/>
      <c r="P200" s="34"/>
    </row>
    <row x14ac:dyDescent="0.25" r="201" customHeight="1" ht="15.75">
      <c r="A201" s="117"/>
      <c r="B201" s="3"/>
      <c r="C201" s="3"/>
      <c r="D201" s="3"/>
      <c r="E201" s="3"/>
      <c r="F201" s="3"/>
      <c r="G201" s="107"/>
      <c r="H201" s="3"/>
      <c r="I201" s="85"/>
      <c r="J201" s="3"/>
      <c r="K201" s="107"/>
      <c r="L201" s="111"/>
      <c r="M201" s="111"/>
      <c r="N201" s="111"/>
      <c r="O201" s="111"/>
      <c r="P201" s="34"/>
    </row>
    <row x14ac:dyDescent="0.25" r="202" customHeight="1" ht="15.75">
      <c r="A202" s="117"/>
      <c r="B202" s="3"/>
      <c r="C202" s="3"/>
      <c r="D202" s="3"/>
      <c r="E202" s="3"/>
      <c r="F202" s="3"/>
      <c r="G202" s="107"/>
      <c r="H202" s="3"/>
      <c r="I202" s="85"/>
      <c r="J202" s="3"/>
      <c r="K202" s="107"/>
      <c r="L202" s="111"/>
      <c r="M202" s="111"/>
      <c r="N202" s="111"/>
      <c r="O202" s="111"/>
      <c r="P202" s="34"/>
    </row>
    <row x14ac:dyDescent="0.25" r="203" customHeight="1" ht="15.75">
      <c r="A203" s="117"/>
      <c r="B203" s="3"/>
      <c r="C203" s="3"/>
      <c r="D203" s="3"/>
      <c r="E203" s="3"/>
      <c r="F203" s="3"/>
      <c r="G203" s="107"/>
      <c r="H203" s="3"/>
      <c r="I203" s="85"/>
      <c r="J203" s="3"/>
      <c r="K203" s="107"/>
      <c r="L203" s="111"/>
      <c r="M203" s="111"/>
      <c r="N203" s="111"/>
      <c r="O203" s="111"/>
      <c r="P203" s="34"/>
    </row>
    <row x14ac:dyDescent="0.25" r="204" customHeight="1" ht="15.75">
      <c r="A204" s="117"/>
      <c r="B204" s="3"/>
      <c r="C204" s="3"/>
      <c r="D204" s="3"/>
      <c r="E204" s="3"/>
      <c r="F204" s="3"/>
      <c r="G204" s="107"/>
      <c r="H204" s="3"/>
      <c r="I204" s="85"/>
      <c r="J204" s="3"/>
      <c r="K204" s="107"/>
      <c r="L204" s="111"/>
      <c r="M204" s="111"/>
      <c r="N204" s="111"/>
      <c r="O204" s="111"/>
      <c r="P204" s="34"/>
    </row>
    <row x14ac:dyDescent="0.25" r="205" customHeight="1" ht="15.75">
      <c r="A205" s="117"/>
      <c r="B205" s="3"/>
      <c r="C205" s="124" t="s">
        <v>743</v>
      </c>
      <c r="D205" s="34"/>
      <c r="E205" s="34"/>
      <c r="F205" s="34"/>
      <c r="G205" s="29"/>
      <c r="H205" s="124"/>
      <c r="I205" s="125"/>
      <c r="J205" s="118"/>
      <c r="K205" s="126"/>
      <c r="L205" s="127"/>
      <c r="M205" s="127"/>
      <c r="N205" s="128" t="s">
        <v>750</v>
      </c>
      <c r="O205" s="128" t="s">
        <v>750</v>
      </c>
      <c r="P205" s="34"/>
    </row>
    <row x14ac:dyDescent="0.25" r="206" customHeight="1" ht="15.75">
      <c r="A206" s="117"/>
      <c r="B206" s="3"/>
      <c r="C206" s="3"/>
      <c r="D206" s="3"/>
      <c r="E206" s="3"/>
      <c r="F206" s="3"/>
      <c r="G206" s="107"/>
      <c r="H206" s="3"/>
      <c r="I206" s="85"/>
      <c r="J206" s="3"/>
      <c r="K206" s="107"/>
      <c r="L206" s="111"/>
      <c r="M206" s="111"/>
      <c r="N206" s="111"/>
      <c r="O206" s="111"/>
      <c r="P206" s="34"/>
    </row>
    <row x14ac:dyDescent="0.25" r="207" customHeight="1" ht="15.75">
      <c r="A207" s="117"/>
      <c r="B207" s="3"/>
      <c r="C207" s="3"/>
      <c r="D207" s="3"/>
      <c r="E207" s="3"/>
      <c r="F207" s="3"/>
      <c r="G207" s="107"/>
      <c r="H207" s="3"/>
      <c r="I207" s="85"/>
      <c r="J207" s="3"/>
      <c r="K207" s="107"/>
      <c r="L207" s="111"/>
      <c r="M207" s="111"/>
      <c r="N207" s="111"/>
      <c r="O207" s="111"/>
      <c r="P207" s="34"/>
    </row>
    <row x14ac:dyDescent="0.25" r="208" customHeight="1" ht="15.75">
      <c r="A208" s="117"/>
      <c r="B208" s="3"/>
      <c r="C208" s="3"/>
      <c r="D208" s="3"/>
      <c r="E208" s="3"/>
      <c r="F208" s="3"/>
      <c r="G208" s="107"/>
      <c r="H208" s="3"/>
      <c r="I208" s="85"/>
      <c r="J208" s="3"/>
      <c r="K208" s="107"/>
      <c r="L208" s="111"/>
      <c r="M208" s="111"/>
      <c r="N208" s="111"/>
      <c r="O208" s="111"/>
      <c r="P208" s="34"/>
    </row>
    <row x14ac:dyDescent="0.25" r="209" customHeight="1" ht="15.75">
      <c r="A209" s="117"/>
      <c r="B209" s="3"/>
      <c r="C209" s="3"/>
      <c r="D209" s="3"/>
      <c r="E209" s="3"/>
      <c r="F209" s="3"/>
      <c r="G209" s="107"/>
      <c r="H209" s="3"/>
      <c r="I209" s="85"/>
      <c r="J209" s="3"/>
      <c r="K209" s="107"/>
      <c r="L209" s="111"/>
      <c r="M209" s="111"/>
      <c r="N209" s="111"/>
      <c r="O209" s="111"/>
      <c r="P209" s="34"/>
    </row>
    <row x14ac:dyDescent="0.25" r="210" customHeight="1" ht="15.75">
      <c r="A210" s="117"/>
      <c r="B210" s="3"/>
      <c r="C210" s="3"/>
      <c r="D210" s="3"/>
      <c r="E210" s="3"/>
      <c r="F210" s="3"/>
      <c r="G210" s="107"/>
      <c r="H210" s="3"/>
      <c r="I210" s="85"/>
      <c r="J210" s="3"/>
      <c r="K210" s="107"/>
      <c r="L210" s="111"/>
      <c r="M210" s="111"/>
      <c r="N210" s="111"/>
      <c r="O210" s="111"/>
      <c r="P210" s="34"/>
    </row>
    <row x14ac:dyDescent="0.25" r="211" customHeight="1" ht="15.75">
      <c r="A211" s="117"/>
      <c r="B211" s="3"/>
      <c r="C211" s="3"/>
      <c r="D211" s="3"/>
      <c r="E211" s="3"/>
      <c r="F211" s="3"/>
      <c r="G211" s="107"/>
      <c r="H211" s="3"/>
      <c r="I211" s="85"/>
      <c r="J211" s="3"/>
      <c r="K211" s="107"/>
      <c r="L211" s="111"/>
      <c r="M211" s="111"/>
      <c r="N211" s="111"/>
      <c r="O211" s="111"/>
      <c r="P211" s="34"/>
    </row>
    <row x14ac:dyDescent="0.25" r="212" customHeight="1" ht="15.75">
      <c r="A212" s="117"/>
      <c r="B212" s="3"/>
      <c r="C212" s="3"/>
      <c r="D212" s="3"/>
      <c r="E212" s="3"/>
      <c r="F212" s="3"/>
      <c r="G212" s="107"/>
      <c r="H212" s="3"/>
      <c r="I212" s="85"/>
      <c r="J212" s="3"/>
      <c r="K212" s="107"/>
      <c r="L212" s="111"/>
      <c r="M212" s="111"/>
      <c r="N212" s="111"/>
      <c r="O212" s="111"/>
      <c r="P212" s="34"/>
    </row>
    <row x14ac:dyDescent="0.25" r="213" customHeight="1" ht="15.75">
      <c r="A213" s="117"/>
      <c r="B213" s="3"/>
      <c r="C213" s="3"/>
      <c r="D213" s="3"/>
      <c r="E213" s="3"/>
      <c r="F213" s="3"/>
      <c r="G213" s="107"/>
      <c r="H213" s="3"/>
      <c r="I213" s="85"/>
      <c r="J213" s="3"/>
      <c r="K213" s="107"/>
      <c r="L213" s="111"/>
      <c r="M213" s="111"/>
      <c r="N213" s="111"/>
      <c r="O213" s="111"/>
      <c r="P213" s="34"/>
    </row>
    <row x14ac:dyDescent="0.25" r="214" customHeight="1" ht="15.75">
      <c r="A214" s="117"/>
      <c r="B214" s="3"/>
      <c r="C214" s="3"/>
      <c r="D214" s="3"/>
      <c r="E214" s="3"/>
      <c r="F214" s="3"/>
      <c r="G214" s="107"/>
      <c r="H214" s="3"/>
      <c r="I214" s="85"/>
      <c r="J214" s="3"/>
      <c r="K214" s="107"/>
      <c r="L214" s="111"/>
      <c r="M214" s="111"/>
      <c r="N214" s="111"/>
      <c r="O214" s="111">
        <v>0</v>
      </c>
      <c r="P214" s="34"/>
    </row>
    <row x14ac:dyDescent="0.25" r="215" customHeight="1" ht="15.75">
      <c r="A215" s="117"/>
      <c r="B215" s="3"/>
      <c r="C215" s="3"/>
      <c r="D215" s="3"/>
      <c r="E215" s="3"/>
      <c r="F215" s="3"/>
      <c r="G215" s="107"/>
      <c r="H215" s="3"/>
      <c r="I215" s="85"/>
      <c r="J215" s="3"/>
      <c r="K215" s="107"/>
      <c r="L215" s="111"/>
      <c r="M215" s="111"/>
      <c r="N215" s="111"/>
      <c r="O215" s="111"/>
      <c r="P215" s="34"/>
    </row>
    <row x14ac:dyDescent="0.25" r="216" customHeight="1" ht="15.75">
      <c r="A216" s="117"/>
      <c r="B216" s="3"/>
      <c r="C216" s="3"/>
      <c r="D216" s="3"/>
      <c r="E216" s="3"/>
      <c r="F216" s="3"/>
      <c r="G216" s="107"/>
      <c r="H216" s="3"/>
      <c r="I216" s="85"/>
      <c r="J216" s="3"/>
      <c r="K216" s="107"/>
      <c r="L216" s="111"/>
      <c r="M216" s="111"/>
      <c r="N216" s="111"/>
      <c r="O216" s="111"/>
      <c r="P216" s="34"/>
    </row>
    <row x14ac:dyDescent="0.25" r="217" customHeight="1" ht="15.75">
      <c r="A217" s="117"/>
      <c r="B217" s="3"/>
      <c r="C217" s="3"/>
      <c r="D217" s="3"/>
      <c r="E217" s="3"/>
      <c r="F217" s="3"/>
      <c r="G217" s="107"/>
      <c r="H217" s="3"/>
      <c r="I217" s="85"/>
      <c r="J217" s="3"/>
      <c r="K217" s="107"/>
      <c r="L217" s="111"/>
      <c r="M217" s="111"/>
      <c r="N217" s="111"/>
      <c r="O217" s="111"/>
      <c r="P217" s="34"/>
    </row>
    <row x14ac:dyDescent="0.25" r="218" customHeight="1" ht="15.75">
      <c r="A218" s="117"/>
      <c r="B218" s="3"/>
      <c r="C218" s="3"/>
      <c r="D218" s="3"/>
      <c r="E218" s="3"/>
      <c r="F218" s="3"/>
      <c r="G218" s="107"/>
      <c r="H218" s="3"/>
      <c r="I218" s="85"/>
      <c r="J218" s="3"/>
      <c r="K218" s="107"/>
      <c r="L218" s="111"/>
      <c r="M218" s="111"/>
      <c r="N218" s="111"/>
      <c r="O218" s="111"/>
      <c r="P218" s="34"/>
    </row>
    <row x14ac:dyDescent="0.25" r="219" customHeight="1" ht="15.75">
      <c r="A219" s="117"/>
      <c r="B219" s="3"/>
      <c r="C219" s="3"/>
      <c r="D219" s="3"/>
      <c r="E219" s="3"/>
      <c r="F219" s="3"/>
      <c r="G219" s="107"/>
      <c r="H219" s="3"/>
      <c r="I219" s="85"/>
      <c r="J219" s="3"/>
      <c r="K219" s="107"/>
      <c r="L219" s="111"/>
      <c r="M219" s="111"/>
      <c r="N219" s="111"/>
      <c r="O219" s="111"/>
      <c r="P219" s="34"/>
    </row>
    <row x14ac:dyDescent="0.25" r="220" customHeight="1" ht="15.75">
      <c r="A220" s="117"/>
      <c r="B220" s="3"/>
      <c r="C220" s="3"/>
      <c r="D220" s="3"/>
      <c r="E220" s="3"/>
      <c r="F220" s="3"/>
      <c r="G220" s="107"/>
      <c r="H220" s="3"/>
      <c r="I220" s="85"/>
      <c r="J220" s="3"/>
      <c r="K220" s="107"/>
      <c r="L220" s="111"/>
      <c r="M220" s="111"/>
      <c r="N220" s="111"/>
      <c r="O220" s="111"/>
      <c r="P220" s="34"/>
    </row>
    <row x14ac:dyDescent="0.25" r="221" customHeight="1" ht="15.75">
      <c r="A221" s="117"/>
      <c r="B221" s="3"/>
      <c r="C221" s="3"/>
      <c r="D221" s="3"/>
      <c r="E221" s="3"/>
      <c r="F221" s="3"/>
      <c r="G221" s="107"/>
      <c r="H221" s="3"/>
      <c r="I221" s="85"/>
      <c r="J221" s="3"/>
      <c r="K221" s="107"/>
      <c r="L221" s="111"/>
      <c r="M221" s="111"/>
      <c r="N221" s="111"/>
      <c r="O221" s="111"/>
      <c r="P221" s="34"/>
    </row>
    <row x14ac:dyDescent="0.25" r="222" customHeight="1" ht="15.75">
      <c r="A222" s="117"/>
      <c r="B222" s="3"/>
      <c r="C222" s="3"/>
      <c r="D222" s="3"/>
      <c r="E222" s="3"/>
      <c r="F222" s="3"/>
      <c r="G222" s="107"/>
      <c r="H222" s="3"/>
      <c r="I222" s="85"/>
      <c r="J222" s="3"/>
      <c r="K222" s="107"/>
      <c r="L222" s="111"/>
      <c r="M222" s="111"/>
      <c r="N222" s="111"/>
      <c r="O222" s="111"/>
      <c r="P222" s="34"/>
    </row>
    <row x14ac:dyDescent="0.25" r="223" customHeight="1" ht="15.75">
      <c r="A223" s="117"/>
      <c r="B223" s="3"/>
      <c r="C223" s="3"/>
      <c r="D223" s="3"/>
      <c r="E223" s="3"/>
      <c r="F223" s="3"/>
      <c r="G223" s="107"/>
      <c r="H223" s="3"/>
      <c r="I223" s="85"/>
      <c r="J223" s="3"/>
      <c r="K223" s="107"/>
      <c r="L223" s="111"/>
      <c r="M223" s="111"/>
      <c r="N223" s="111"/>
      <c r="O223" s="111"/>
      <c r="P223" s="34"/>
    </row>
    <row x14ac:dyDescent="0.25" r="224" customHeight="1" ht="15.75">
      <c r="A224" s="117"/>
      <c r="B224" s="3"/>
      <c r="C224" s="3"/>
      <c r="D224" s="3"/>
      <c r="E224" s="3"/>
      <c r="F224" s="3"/>
      <c r="G224" s="107"/>
      <c r="H224" s="3"/>
      <c r="I224" s="85"/>
      <c r="J224" s="3"/>
      <c r="K224" s="107"/>
      <c r="L224" s="111"/>
      <c r="M224" s="111"/>
      <c r="N224" s="111"/>
      <c r="O224" s="111"/>
      <c r="P224" s="34"/>
    </row>
    <row x14ac:dyDescent="0.25" r="225" customHeight="1" ht="15.75">
      <c r="A225" s="117"/>
      <c r="B225" s="3"/>
      <c r="C225" s="3"/>
      <c r="D225" s="3"/>
      <c r="E225" s="3"/>
      <c r="F225" s="3"/>
      <c r="G225" s="107"/>
      <c r="H225" s="3"/>
      <c r="I225" s="85"/>
      <c r="J225" s="3"/>
      <c r="K225" s="107"/>
      <c r="L225" s="111"/>
      <c r="M225" s="111"/>
      <c r="N225" s="111"/>
      <c r="O225" s="111"/>
      <c r="P225" s="34"/>
    </row>
    <row x14ac:dyDescent="0.25" r="226" customHeight="1" ht="15.75">
      <c r="A226" s="117"/>
      <c r="B226" s="3"/>
      <c r="C226" s="3"/>
      <c r="D226" s="3"/>
      <c r="E226" s="3"/>
      <c r="F226" s="3"/>
      <c r="G226" s="107"/>
      <c r="H226" s="3"/>
      <c r="I226" s="85"/>
      <c r="J226" s="3"/>
      <c r="K226" s="107"/>
      <c r="L226" s="111"/>
      <c r="M226" s="111"/>
      <c r="N226" s="111"/>
      <c r="O226" s="111"/>
      <c r="P226" s="34"/>
    </row>
    <row x14ac:dyDescent="0.25" r="227" customHeight="1" ht="15.75">
      <c r="A227" s="117"/>
      <c r="B227" s="3"/>
      <c r="C227" s="3"/>
      <c r="D227" s="3"/>
      <c r="E227" s="3"/>
      <c r="F227" s="3"/>
      <c r="G227" s="107"/>
      <c r="H227" s="3"/>
      <c r="I227" s="85"/>
      <c r="J227" s="3"/>
      <c r="K227" s="107"/>
      <c r="L227" s="111"/>
      <c r="M227" s="111"/>
      <c r="N227" s="111"/>
      <c r="O227" s="111"/>
      <c r="P227" s="34"/>
    </row>
    <row x14ac:dyDescent="0.25" r="228" customHeight="1" ht="15.75">
      <c r="A228" s="117"/>
      <c r="B228" s="3"/>
      <c r="C228" s="3"/>
      <c r="D228" s="3"/>
      <c r="E228" s="3"/>
      <c r="F228" s="3"/>
      <c r="G228" s="107"/>
      <c r="H228" s="3"/>
      <c r="I228" s="85"/>
      <c r="J228" s="3"/>
      <c r="K228" s="107"/>
      <c r="L228" s="111"/>
      <c r="M228" s="111"/>
      <c r="N228" s="111"/>
      <c r="O228" s="111"/>
      <c r="P228" s="34"/>
    </row>
    <row x14ac:dyDescent="0.25" r="229" customHeight="1" ht="15.75">
      <c r="A229" s="117"/>
      <c r="B229" s="3"/>
      <c r="C229" s="3"/>
      <c r="D229" s="3"/>
      <c r="E229" s="3"/>
      <c r="F229" s="3"/>
      <c r="G229" s="107"/>
      <c r="H229" s="3"/>
      <c r="I229" s="85"/>
      <c r="J229" s="3"/>
      <c r="K229" s="107"/>
      <c r="L229" s="111"/>
      <c r="M229" s="111"/>
      <c r="N229" s="111"/>
      <c r="O229" s="111"/>
      <c r="P229" s="34"/>
    </row>
    <row x14ac:dyDescent="0.25" r="230" customHeight="1" ht="15.75">
      <c r="A230" s="117"/>
      <c r="B230" s="3"/>
      <c r="C230" s="3"/>
      <c r="D230" s="3"/>
      <c r="E230" s="3"/>
      <c r="F230" s="3"/>
      <c r="G230" s="107"/>
      <c r="H230" s="3"/>
      <c r="I230" s="85"/>
      <c r="J230" s="3"/>
      <c r="K230" s="107"/>
      <c r="L230" s="111"/>
      <c r="M230" s="111"/>
      <c r="N230" s="111"/>
      <c r="O230" s="111"/>
      <c r="P230" s="34"/>
    </row>
    <row x14ac:dyDescent="0.25" r="231" customHeight="1" ht="15.75">
      <c r="A231" s="117"/>
      <c r="B231" s="3"/>
      <c r="C231" s="3"/>
      <c r="D231" s="3"/>
      <c r="E231" s="3"/>
      <c r="F231" s="3"/>
      <c r="G231" s="107"/>
      <c r="H231" s="3"/>
      <c r="I231" s="85"/>
      <c r="J231" s="3"/>
      <c r="K231" s="107"/>
      <c r="L231" s="111"/>
      <c r="M231" s="111"/>
      <c r="N231" s="111"/>
      <c r="O231" s="111"/>
      <c r="P231" s="34"/>
    </row>
    <row x14ac:dyDescent="0.25" r="232" customHeight="1" ht="15.75">
      <c r="A232" s="117"/>
      <c r="B232" s="3"/>
      <c r="C232" s="3"/>
      <c r="D232" s="3"/>
      <c r="E232" s="3"/>
      <c r="F232" s="3"/>
      <c r="G232" s="107"/>
      <c r="H232" s="3"/>
      <c r="I232" s="85"/>
      <c r="J232" s="3"/>
      <c r="K232" s="107"/>
      <c r="L232" s="111"/>
      <c r="M232" s="111"/>
      <c r="N232" s="111"/>
      <c r="O232" s="111"/>
      <c r="P232" s="34"/>
    </row>
    <row x14ac:dyDescent="0.25" r="233" customHeight="1" ht="15.75">
      <c r="A233" s="117"/>
      <c r="B233" s="3"/>
      <c r="C233" s="3"/>
      <c r="D233" s="3"/>
      <c r="E233" s="3"/>
      <c r="F233" s="3"/>
      <c r="G233" s="107"/>
      <c r="H233" s="3"/>
      <c r="I233" s="85"/>
      <c r="J233" s="3"/>
      <c r="K233" s="107"/>
      <c r="L233" s="111"/>
      <c r="M233" s="111"/>
      <c r="N233" s="111"/>
      <c r="O233" s="111"/>
      <c r="P233" s="34"/>
    </row>
    <row x14ac:dyDescent="0.25" r="234" customHeight="1" ht="15.75">
      <c r="A234" s="117"/>
      <c r="B234" s="3"/>
      <c r="C234" s="3"/>
      <c r="D234" s="3"/>
      <c r="E234" s="3"/>
      <c r="F234" s="3"/>
      <c r="G234" s="107"/>
      <c r="H234" s="3"/>
      <c r="I234" s="85"/>
      <c r="J234" s="3"/>
      <c r="K234" s="107"/>
      <c r="L234" s="111"/>
      <c r="M234" s="111"/>
      <c r="N234" s="111"/>
      <c r="O234" s="111"/>
      <c r="P234" s="34"/>
    </row>
    <row x14ac:dyDescent="0.25" r="235" customHeight="1" ht="15.75">
      <c r="A235" s="117"/>
      <c r="B235" s="3"/>
      <c r="C235" s="3"/>
      <c r="D235" s="3"/>
      <c r="E235" s="3"/>
      <c r="F235" s="3"/>
      <c r="G235" s="107"/>
      <c r="H235" s="3"/>
      <c r="I235" s="85"/>
      <c r="J235" s="3"/>
      <c r="K235" s="107"/>
      <c r="L235" s="111"/>
      <c r="M235" s="111"/>
      <c r="N235" s="111"/>
      <c r="O235" s="111"/>
      <c r="P235" s="34"/>
    </row>
    <row x14ac:dyDescent="0.25" r="236" customHeight="1" ht="15.75">
      <c r="A236" s="117"/>
      <c r="B236" s="3"/>
      <c r="C236" s="3"/>
      <c r="D236" s="3"/>
      <c r="E236" s="3"/>
      <c r="F236" s="3"/>
      <c r="G236" s="107"/>
      <c r="H236" s="3"/>
      <c r="I236" s="85"/>
      <c r="J236" s="3"/>
      <c r="K236" s="107"/>
      <c r="L236" s="111"/>
      <c r="M236" s="111"/>
      <c r="N236" s="111"/>
      <c r="O236" s="111"/>
      <c r="P236" s="34"/>
    </row>
    <row x14ac:dyDescent="0.25" r="237" customHeight="1" ht="15.75">
      <c r="A237" s="117"/>
      <c r="B237" s="3"/>
      <c r="C237" s="3"/>
      <c r="D237" s="3"/>
      <c r="E237" s="3"/>
      <c r="F237" s="3"/>
      <c r="G237" s="107"/>
      <c r="H237" s="3"/>
      <c r="I237" s="85"/>
      <c r="J237" s="3"/>
      <c r="K237" s="107"/>
      <c r="L237" s="111"/>
      <c r="M237" s="111"/>
      <c r="N237" s="111"/>
      <c r="O237" s="111"/>
      <c r="P237" s="34"/>
    </row>
    <row x14ac:dyDescent="0.25" r="238" customHeight="1" ht="15.75">
      <c r="A238" s="117"/>
      <c r="B238" s="3"/>
      <c r="C238" s="3"/>
      <c r="D238" s="3"/>
      <c r="E238" s="3"/>
      <c r="F238" s="3"/>
      <c r="G238" s="107"/>
      <c r="H238" s="3"/>
      <c r="I238" s="85"/>
      <c r="J238" s="3"/>
      <c r="K238" s="107"/>
      <c r="L238" s="111"/>
      <c r="M238" s="111"/>
      <c r="N238" s="111"/>
      <c r="O238" s="111"/>
      <c r="P238" s="34"/>
    </row>
    <row x14ac:dyDescent="0.25" r="239" customHeight="1" ht="15.75">
      <c r="A239" s="117"/>
      <c r="B239" s="3"/>
      <c r="C239" s="3"/>
      <c r="D239" s="3"/>
      <c r="E239" s="3"/>
      <c r="F239" s="3"/>
      <c r="G239" s="107"/>
      <c r="H239" s="3"/>
      <c r="I239" s="85"/>
      <c r="J239" s="3"/>
      <c r="K239" s="107"/>
      <c r="L239" s="111"/>
      <c r="M239" s="111"/>
      <c r="N239" s="111"/>
      <c r="O239" s="111"/>
      <c r="P239" s="34"/>
    </row>
    <row x14ac:dyDescent="0.25" r="240" customHeight="1" ht="15.75">
      <c r="A240" s="117"/>
      <c r="B240" s="3"/>
      <c r="C240" s="3"/>
      <c r="D240" s="3"/>
      <c r="E240" s="3"/>
      <c r="F240" s="3"/>
      <c r="G240" s="107"/>
      <c r="H240" s="3"/>
      <c r="I240" s="85"/>
      <c r="J240" s="3"/>
      <c r="K240" s="107"/>
      <c r="L240" s="111"/>
      <c r="M240" s="111"/>
      <c r="N240" s="111"/>
      <c r="O240" s="111"/>
      <c r="P240" s="34"/>
    </row>
    <row x14ac:dyDescent="0.25" r="241" customHeight="1" ht="15.75">
      <c r="A241" s="117"/>
      <c r="B241" s="3"/>
      <c r="C241" s="3"/>
      <c r="D241" s="3"/>
      <c r="E241" s="3"/>
      <c r="F241" s="3"/>
      <c r="G241" s="107"/>
      <c r="H241" s="3"/>
      <c r="I241" s="85"/>
      <c r="J241" s="3"/>
      <c r="K241" s="107"/>
      <c r="L241" s="111"/>
      <c r="M241" s="111"/>
      <c r="N241" s="111"/>
      <c r="O241" s="111"/>
      <c r="P241" s="34"/>
    </row>
    <row x14ac:dyDescent="0.25" r="242" customHeight="1" ht="15.75">
      <c r="A242" s="117"/>
      <c r="B242" s="3"/>
      <c r="C242" s="3"/>
      <c r="D242" s="3"/>
      <c r="E242" s="3"/>
      <c r="F242" s="3"/>
      <c r="G242" s="107"/>
      <c r="H242" s="3"/>
      <c r="I242" s="85"/>
      <c r="J242" s="3"/>
      <c r="K242" s="107"/>
      <c r="L242" s="111"/>
      <c r="M242" s="111"/>
      <c r="N242" s="111"/>
      <c r="O242" s="111"/>
      <c r="P242" s="34"/>
    </row>
    <row x14ac:dyDescent="0.25" r="243" customHeight="1" ht="15.75">
      <c r="A243" s="117"/>
      <c r="B243" s="3"/>
      <c r="C243" s="3"/>
      <c r="D243" s="3"/>
      <c r="E243" s="3"/>
      <c r="F243" s="3"/>
      <c r="G243" s="107"/>
      <c r="H243" s="3"/>
      <c r="I243" s="85"/>
      <c r="J243" s="3"/>
      <c r="K243" s="107"/>
      <c r="L243" s="111"/>
      <c r="M243" s="111"/>
      <c r="N243" s="111"/>
      <c r="O243" s="111"/>
      <c r="P243" s="34"/>
    </row>
    <row x14ac:dyDescent="0.25" r="244" customHeight="1" ht="15.75">
      <c r="A244" s="117"/>
      <c r="B244" s="3"/>
      <c r="C244" s="3"/>
      <c r="D244" s="3"/>
      <c r="E244" s="3"/>
      <c r="F244" s="3"/>
      <c r="G244" s="107"/>
      <c r="H244" s="3"/>
      <c r="I244" s="85"/>
      <c r="J244" s="3"/>
      <c r="K244" s="107"/>
      <c r="L244" s="111"/>
      <c r="M244" s="111"/>
      <c r="N244" s="111"/>
      <c r="O244" s="111"/>
      <c r="P244" s="34"/>
    </row>
    <row x14ac:dyDescent="0.25" r="245" customHeight="1" ht="15.75">
      <c r="A245" s="117"/>
      <c r="B245" s="3"/>
      <c r="C245" s="3"/>
      <c r="D245" s="3"/>
      <c r="E245" s="3"/>
      <c r="F245" s="3"/>
      <c r="G245" s="107"/>
      <c r="H245" s="3"/>
      <c r="I245" s="85"/>
      <c r="J245" s="3"/>
      <c r="K245" s="107"/>
      <c r="L245" s="111"/>
      <c r="M245" s="111"/>
      <c r="N245" s="111"/>
      <c r="O245" s="111"/>
      <c r="P245" s="34"/>
    </row>
    <row x14ac:dyDescent="0.25" r="246" customHeight="1" ht="15.75">
      <c r="A246" s="117"/>
      <c r="B246" s="3"/>
      <c r="C246" s="3"/>
      <c r="D246" s="3"/>
      <c r="E246" s="3"/>
      <c r="F246" s="3"/>
      <c r="G246" s="107"/>
      <c r="H246" s="3"/>
      <c r="I246" s="85"/>
      <c r="J246" s="3"/>
      <c r="K246" s="107"/>
      <c r="L246" s="111"/>
      <c r="M246" s="111"/>
      <c r="N246" s="111"/>
      <c r="O246" s="111"/>
      <c r="P246" s="34"/>
    </row>
    <row x14ac:dyDescent="0.25" r="247" customHeight="1" ht="15.75">
      <c r="A247" s="117"/>
      <c r="B247" s="3"/>
      <c r="C247" s="3"/>
      <c r="D247" s="3"/>
      <c r="E247" s="3"/>
      <c r="F247" s="3"/>
      <c r="G247" s="107"/>
      <c r="H247" s="3"/>
      <c r="I247" s="85"/>
      <c r="J247" s="3"/>
      <c r="K247" s="107"/>
      <c r="L247" s="111"/>
      <c r="M247" s="111"/>
      <c r="N247" s="111"/>
      <c r="O247" s="111"/>
      <c r="P247" s="34"/>
    </row>
    <row x14ac:dyDescent="0.25" r="248" customHeight="1" ht="15.75">
      <c r="A248" s="117"/>
      <c r="B248" s="3"/>
      <c r="C248" s="3"/>
      <c r="D248" s="3"/>
      <c r="E248" s="3"/>
      <c r="F248" s="3"/>
      <c r="G248" s="107"/>
      <c r="H248" s="3"/>
      <c r="I248" s="85"/>
      <c r="J248" s="3"/>
      <c r="K248" s="107"/>
      <c r="L248" s="111"/>
      <c r="M248" s="111"/>
      <c r="N248" s="111"/>
      <c r="O248" s="111"/>
      <c r="P248" s="34"/>
    </row>
    <row x14ac:dyDescent="0.25" r="249" customHeight="1" ht="15.75">
      <c r="A249" s="117"/>
      <c r="B249" s="3"/>
      <c r="C249" s="3"/>
      <c r="D249" s="3"/>
      <c r="E249" s="3"/>
      <c r="F249" s="3"/>
      <c r="G249" s="107"/>
      <c r="H249" s="3"/>
      <c r="I249" s="85"/>
      <c r="J249" s="3"/>
      <c r="K249" s="107"/>
      <c r="L249" s="111"/>
      <c r="M249" s="111"/>
      <c r="N249" s="111"/>
      <c r="O249" s="111"/>
      <c r="P249" s="34"/>
    </row>
    <row x14ac:dyDescent="0.25" r="250" customHeight="1" ht="15.75">
      <c r="A250" s="117"/>
      <c r="B250" s="3"/>
      <c r="C250" s="3"/>
      <c r="D250" s="3"/>
      <c r="E250" s="3"/>
      <c r="F250" s="3"/>
      <c r="G250" s="107"/>
      <c r="H250" s="3"/>
      <c r="I250" s="85"/>
      <c r="J250" s="3"/>
      <c r="K250" s="107"/>
      <c r="L250" s="111"/>
      <c r="M250" s="111"/>
      <c r="N250" s="111"/>
      <c r="O250" s="111"/>
      <c r="P250" s="34"/>
    </row>
    <row x14ac:dyDescent="0.25" r="251" customHeight="1" ht="15.75">
      <c r="A251" s="117"/>
      <c r="B251" s="3"/>
      <c r="C251" s="3"/>
      <c r="D251" s="3"/>
      <c r="E251" s="3"/>
      <c r="F251" s="3"/>
      <c r="G251" s="107"/>
      <c r="H251" s="3"/>
      <c r="I251" s="85"/>
      <c r="J251" s="3"/>
      <c r="K251" s="107"/>
      <c r="L251" s="111"/>
      <c r="M251" s="111"/>
      <c r="N251" s="111"/>
      <c r="O251" s="111"/>
      <c r="P251" s="34"/>
    </row>
    <row x14ac:dyDescent="0.25" r="252" customHeight="1" ht="15.75">
      <c r="A252" s="117"/>
      <c r="B252" s="3"/>
      <c r="C252" s="3"/>
      <c r="D252" s="3"/>
      <c r="E252" s="3"/>
      <c r="F252" s="3"/>
      <c r="G252" s="107"/>
      <c r="H252" s="3"/>
      <c r="I252" s="85"/>
      <c r="J252" s="3"/>
      <c r="K252" s="107"/>
      <c r="L252" s="111"/>
      <c r="M252" s="111"/>
      <c r="N252" s="111"/>
      <c r="O252" s="111"/>
      <c r="P252" s="34"/>
    </row>
    <row x14ac:dyDescent="0.25" r="253" customHeight="1" ht="15.75">
      <c r="A253" s="117"/>
      <c r="B253" s="3"/>
      <c r="C253" s="3"/>
      <c r="D253" s="3"/>
      <c r="E253" s="3"/>
      <c r="F253" s="3"/>
      <c r="G253" s="107"/>
      <c r="H253" s="3"/>
      <c r="I253" s="85"/>
      <c r="J253" s="3"/>
      <c r="K253" s="107"/>
      <c r="L253" s="111"/>
      <c r="M253" s="111"/>
      <c r="N253" s="111"/>
      <c r="O253" s="111"/>
      <c r="P253" s="34"/>
    </row>
    <row x14ac:dyDescent="0.25" r="254" customHeight="1" ht="15.75">
      <c r="A254" s="117"/>
      <c r="B254" s="3"/>
      <c r="C254" s="3"/>
      <c r="D254" s="3"/>
      <c r="E254" s="3"/>
      <c r="F254" s="3"/>
      <c r="G254" s="107"/>
      <c r="H254" s="3"/>
      <c r="I254" s="85"/>
      <c r="J254" s="3"/>
      <c r="K254" s="107"/>
      <c r="L254" s="111"/>
      <c r="M254" s="111"/>
      <c r="N254" s="111"/>
      <c r="O254" s="111"/>
      <c r="P254" s="34"/>
    </row>
    <row x14ac:dyDescent="0.25" r="255" customHeight="1" ht="15.75">
      <c r="A255" s="117"/>
      <c r="B255" s="3"/>
      <c r="C255" s="3"/>
      <c r="D255" s="3"/>
      <c r="E255" s="3"/>
      <c r="F255" s="3"/>
      <c r="G255" s="107"/>
      <c r="H255" s="3"/>
      <c r="I255" s="85"/>
      <c r="J255" s="3"/>
      <c r="K255" s="107"/>
      <c r="L255" s="111"/>
      <c r="M255" s="111"/>
      <c r="N255" s="111"/>
      <c r="O255" s="111"/>
      <c r="P255" s="34"/>
    </row>
    <row x14ac:dyDescent="0.25" r="256" customHeight="1" ht="15.75">
      <c r="A256" s="117"/>
      <c r="B256" s="3"/>
      <c r="C256" s="3"/>
      <c r="D256" s="3"/>
      <c r="E256" s="3"/>
      <c r="F256" s="3"/>
      <c r="G256" s="107"/>
      <c r="H256" s="3"/>
      <c r="I256" s="85"/>
      <c r="J256" s="3"/>
      <c r="K256" s="107"/>
      <c r="L256" s="111"/>
      <c r="M256" s="111"/>
      <c r="N256" s="111"/>
      <c r="O256" s="111"/>
      <c r="P256" s="34"/>
    </row>
    <row x14ac:dyDescent="0.25" r="257" customHeight="1" ht="15.75">
      <c r="A257" s="117"/>
      <c r="B257" s="3"/>
      <c r="C257" s="3"/>
      <c r="D257" s="3"/>
      <c r="E257" s="3"/>
      <c r="F257" s="3"/>
      <c r="G257" s="107"/>
      <c r="H257" s="3"/>
      <c r="I257" s="85"/>
      <c r="J257" s="3"/>
      <c r="K257" s="107"/>
      <c r="L257" s="111"/>
      <c r="M257" s="111"/>
      <c r="N257" s="111"/>
      <c r="O257" s="111"/>
      <c r="P257" s="34"/>
    </row>
    <row x14ac:dyDescent="0.25" r="258" customHeight="1" ht="15.75">
      <c r="A258" s="117"/>
      <c r="B258" s="3"/>
      <c r="C258" s="3"/>
      <c r="D258" s="3"/>
      <c r="E258" s="3"/>
      <c r="F258" s="3"/>
      <c r="G258" s="107"/>
      <c r="H258" s="3"/>
      <c r="I258" s="85"/>
      <c r="J258" s="3"/>
      <c r="K258" s="107"/>
      <c r="L258" s="111"/>
      <c r="M258" s="111"/>
      <c r="N258" s="111"/>
      <c r="O258" s="111"/>
      <c r="P258" s="34"/>
    </row>
    <row x14ac:dyDescent="0.25" r="259" customHeight="1" ht="15.75">
      <c r="A259" s="117"/>
      <c r="B259" s="3"/>
      <c r="C259" s="3"/>
      <c r="D259" s="3"/>
      <c r="E259" s="3"/>
      <c r="F259" s="3"/>
      <c r="G259" s="107"/>
      <c r="H259" s="3"/>
      <c r="I259" s="85"/>
      <c r="J259" s="3"/>
      <c r="K259" s="107"/>
      <c r="L259" s="111"/>
      <c r="M259" s="111"/>
      <c r="N259" s="111"/>
      <c r="O259" s="111"/>
      <c r="P259" s="34"/>
    </row>
    <row x14ac:dyDescent="0.25" r="260" customHeight="1" ht="15.75">
      <c r="A260" s="117"/>
      <c r="B260" s="3"/>
      <c r="C260" s="3"/>
      <c r="D260" s="3"/>
      <c r="E260" s="3"/>
      <c r="F260" s="3"/>
      <c r="G260" s="107"/>
      <c r="H260" s="3"/>
      <c r="I260" s="85"/>
      <c r="J260" s="3"/>
      <c r="K260" s="107"/>
      <c r="L260" s="111"/>
      <c r="M260" s="111"/>
      <c r="N260" s="111"/>
      <c r="O260" s="111"/>
      <c r="P260" s="34"/>
    </row>
    <row x14ac:dyDescent="0.25" r="261" customHeight="1" ht="15.75">
      <c r="A261" s="117"/>
      <c r="B261" s="3"/>
      <c r="C261" s="3"/>
      <c r="D261" s="3"/>
      <c r="E261" s="3"/>
      <c r="F261" s="3"/>
      <c r="G261" s="107"/>
      <c r="H261" s="3"/>
      <c r="I261" s="85"/>
      <c r="J261" s="3"/>
      <c r="K261" s="107"/>
      <c r="L261" s="111"/>
      <c r="M261" s="111"/>
      <c r="N261" s="111"/>
      <c r="O261" s="111"/>
      <c r="P261" s="34"/>
    </row>
    <row x14ac:dyDescent="0.25" r="262" customHeight="1" ht="15.75">
      <c r="A262" s="117"/>
      <c r="B262" s="3"/>
      <c r="C262" s="3"/>
      <c r="D262" s="3"/>
      <c r="E262" s="3"/>
      <c r="F262" s="3"/>
      <c r="G262" s="107"/>
      <c r="H262" s="3"/>
      <c r="I262" s="85"/>
      <c r="J262" s="3"/>
      <c r="K262" s="107"/>
      <c r="L262" s="111"/>
      <c r="M262" s="111"/>
      <c r="N262" s="111"/>
      <c r="O262" s="111"/>
      <c r="P262" s="34"/>
    </row>
    <row x14ac:dyDescent="0.25" r="263" customHeight="1" ht="15.75">
      <c r="A263" s="117"/>
      <c r="B263" s="3"/>
      <c r="C263" s="3"/>
      <c r="D263" s="3"/>
      <c r="E263" s="3"/>
      <c r="F263" s="3"/>
      <c r="G263" s="107"/>
      <c r="H263" s="3"/>
      <c r="I263" s="85"/>
      <c r="J263" s="3"/>
      <c r="K263" s="107"/>
      <c r="L263" s="111"/>
      <c r="M263" s="111"/>
      <c r="N263" s="111"/>
      <c r="O263" s="111"/>
      <c r="P263" s="34"/>
    </row>
    <row x14ac:dyDescent="0.25" r="264" customHeight="1" ht="15.75">
      <c r="A264" s="117"/>
      <c r="B264" s="3"/>
      <c r="C264" s="3"/>
      <c r="D264" s="3"/>
      <c r="E264" s="3"/>
      <c r="F264" s="3"/>
      <c r="G264" s="107"/>
      <c r="H264" s="3"/>
      <c r="I264" s="85"/>
      <c r="J264" s="3"/>
      <c r="K264" s="107"/>
      <c r="L264" s="111"/>
      <c r="M264" s="111"/>
      <c r="N264" s="111"/>
      <c r="O264" s="111"/>
      <c r="P264" s="34"/>
    </row>
    <row x14ac:dyDescent="0.25" r="265" customHeight="1" ht="15.75">
      <c r="A265" s="117"/>
      <c r="B265" s="3"/>
      <c r="C265" s="3"/>
      <c r="D265" s="3"/>
      <c r="E265" s="3"/>
      <c r="F265" s="3"/>
      <c r="G265" s="107"/>
      <c r="H265" s="3"/>
      <c r="I265" s="85"/>
      <c r="J265" s="3"/>
      <c r="K265" s="107"/>
      <c r="L265" s="111"/>
      <c r="M265" s="111"/>
      <c r="N265" s="111"/>
      <c r="O265" s="111"/>
      <c r="P265" s="34"/>
    </row>
    <row x14ac:dyDescent="0.25" r="266" customHeight="1" ht="15.75">
      <c r="A266" s="117"/>
      <c r="B266" s="3"/>
      <c r="C266" s="3"/>
      <c r="D266" s="3"/>
      <c r="E266" s="3"/>
      <c r="F266" s="3"/>
      <c r="G266" s="107"/>
      <c r="H266" s="3"/>
      <c r="I266" s="85"/>
      <c r="J266" s="3"/>
      <c r="K266" s="107"/>
      <c r="L266" s="111"/>
      <c r="M266" s="111"/>
      <c r="N266" s="111"/>
      <c r="O266" s="111"/>
      <c r="P266" s="34"/>
    </row>
    <row x14ac:dyDescent="0.25" r="267" customHeight="1" ht="15.75">
      <c r="A267" s="117"/>
      <c r="B267" s="3"/>
      <c r="C267" s="3"/>
      <c r="D267" s="3"/>
      <c r="E267" s="3"/>
      <c r="F267" s="3"/>
      <c r="G267" s="107"/>
      <c r="H267" s="3"/>
      <c r="I267" s="85"/>
      <c r="J267" s="3"/>
      <c r="K267" s="107"/>
      <c r="L267" s="111"/>
      <c r="M267" s="111"/>
      <c r="N267" s="111"/>
      <c r="O267" s="111"/>
      <c r="P267" s="34"/>
    </row>
    <row x14ac:dyDescent="0.25" r="268" customHeight="1" ht="15.75">
      <c r="A268" s="117"/>
      <c r="B268" s="3"/>
      <c r="C268" s="3"/>
      <c r="D268" s="3"/>
      <c r="E268" s="3"/>
      <c r="F268" s="3"/>
      <c r="G268" s="107"/>
      <c r="H268" s="3"/>
      <c r="I268" s="85"/>
      <c r="J268" s="3"/>
      <c r="K268" s="107"/>
      <c r="L268" s="111"/>
      <c r="M268" s="111"/>
      <c r="N268" s="111"/>
      <c r="O268" s="111"/>
      <c r="P268" s="34"/>
    </row>
    <row x14ac:dyDescent="0.25" r="269" customHeight="1" ht="15.75">
      <c r="A269" s="117"/>
      <c r="B269" s="3"/>
      <c r="C269" s="3"/>
      <c r="D269" s="3"/>
      <c r="E269" s="3"/>
      <c r="F269" s="3"/>
      <c r="G269" s="107"/>
      <c r="H269" s="3"/>
      <c r="I269" s="85"/>
      <c r="J269" s="3"/>
      <c r="K269" s="107"/>
      <c r="L269" s="111"/>
      <c r="M269" s="111"/>
      <c r="N269" s="111"/>
      <c r="O269" s="111"/>
      <c r="P269" s="34"/>
    </row>
    <row x14ac:dyDescent="0.25" r="270" customHeight="1" ht="15.75">
      <c r="A270" s="117"/>
      <c r="B270" s="3"/>
      <c r="C270" s="3"/>
      <c r="D270" s="3"/>
      <c r="E270" s="3"/>
      <c r="F270" s="3"/>
      <c r="G270" s="107"/>
      <c r="H270" s="3"/>
      <c r="I270" s="85"/>
      <c r="J270" s="3"/>
      <c r="K270" s="107"/>
      <c r="L270" s="111"/>
      <c r="M270" s="111"/>
      <c r="N270" s="111"/>
      <c r="O270" s="111"/>
      <c r="P270" s="34"/>
    </row>
    <row x14ac:dyDescent="0.25" r="271" customHeight="1" ht="15.75">
      <c r="A271" s="117"/>
      <c r="B271" s="3"/>
      <c r="C271" s="3"/>
      <c r="D271" s="3"/>
      <c r="E271" s="3"/>
      <c r="F271" s="3"/>
      <c r="G271" s="107"/>
      <c r="H271" s="3"/>
      <c r="I271" s="85"/>
      <c r="J271" s="3"/>
      <c r="K271" s="107"/>
      <c r="L271" s="111"/>
      <c r="M271" s="111"/>
      <c r="N271" s="111"/>
      <c r="O271" s="111"/>
      <c r="P271" s="34"/>
    </row>
    <row x14ac:dyDescent="0.25" r="272" customHeight="1" ht="15.75">
      <c r="A272" s="117"/>
      <c r="B272" s="3"/>
      <c r="C272" s="3"/>
      <c r="D272" s="3"/>
      <c r="E272" s="3"/>
      <c r="F272" s="3"/>
      <c r="G272" s="107"/>
      <c r="H272" s="3"/>
      <c r="I272" s="85"/>
      <c r="J272" s="3"/>
      <c r="K272" s="107"/>
      <c r="L272" s="111"/>
      <c r="M272" s="111"/>
      <c r="N272" s="111"/>
      <c r="O272" s="111"/>
      <c r="P272" s="34"/>
    </row>
    <row x14ac:dyDescent="0.25" r="273" customHeight="1" ht="15.75">
      <c r="A273" s="117"/>
      <c r="B273" s="3"/>
      <c r="C273" s="3"/>
      <c r="D273" s="3"/>
      <c r="E273" s="3"/>
      <c r="F273" s="3"/>
      <c r="G273" s="107"/>
      <c r="H273" s="3"/>
      <c r="I273" s="85"/>
      <c r="J273" s="3"/>
      <c r="K273" s="107"/>
      <c r="L273" s="111"/>
      <c r="M273" s="111"/>
      <c r="N273" s="111"/>
      <c r="O273" s="111"/>
      <c r="P273" s="34"/>
    </row>
    <row x14ac:dyDescent="0.25" r="274" customHeight="1" ht="15.75">
      <c r="A274" s="117"/>
      <c r="B274" s="3"/>
      <c r="C274" s="3"/>
      <c r="D274" s="3"/>
      <c r="E274" s="3"/>
      <c r="F274" s="3"/>
      <c r="G274" s="107"/>
      <c r="H274" s="3"/>
      <c r="I274" s="85"/>
      <c r="J274" s="3"/>
      <c r="K274" s="107"/>
      <c r="L274" s="111"/>
      <c r="M274" s="111"/>
      <c r="N274" s="111"/>
      <c r="O274" s="111"/>
      <c r="P274" s="34"/>
    </row>
    <row x14ac:dyDescent="0.25" r="275" customHeight="1" ht="15.75">
      <c r="A275" s="117"/>
      <c r="B275" s="3"/>
      <c r="C275" s="3"/>
      <c r="D275" s="3"/>
      <c r="E275" s="3"/>
      <c r="F275" s="3"/>
      <c r="G275" s="107"/>
      <c r="H275" s="3"/>
      <c r="I275" s="85"/>
      <c r="J275" s="3"/>
      <c r="K275" s="107"/>
      <c r="L275" s="111"/>
      <c r="M275" s="111"/>
      <c r="N275" s="111"/>
      <c r="O275" s="111"/>
      <c r="P275" s="34"/>
    </row>
    <row x14ac:dyDescent="0.25" r="276" customHeight="1" ht="15.75">
      <c r="A276" s="117"/>
      <c r="B276" s="34"/>
      <c r="C276" s="34"/>
      <c r="D276" s="34"/>
      <c r="E276" s="34"/>
      <c r="F276" s="34"/>
      <c r="G276" s="29"/>
      <c r="H276" s="34"/>
      <c r="I276" s="85"/>
      <c r="J276" s="34"/>
      <c r="K276" s="29"/>
      <c r="L276" s="111"/>
      <c r="M276" s="111"/>
      <c r="N276" s="111"/>
      <c r="O276" s="111"/>
      <c r="P276" s="34"/>
    </row>
    <row x14ac:dyDescent="0.25" r="277" customHeight="1" ht="15.75">
      <c r="A277" s="117"/>
      <c r="B277" s="34"/>
      <c r="C277" s="34"/>
      <c r="D277" s="34"/>
      <c r="E277" s="34"/>
      <c r="F277" s="34"/>
      <c r="G277" s="29"/>
      <c r="H277" s="34"/>
      <c r="I277" s="85"/>
      <c r="J277" s="34"/>
      <c r="K277" s="29"/>
      <c r="L277" s="111"/>
      <c r="M277" s="111"/>
      <c r="N277" s="111"/>
      <c r="O277" s="111"/>
      <c r="P277" s="34"/>
    </row>
    <row x14ac:dyDescent="0.25" r="278" customHeight="1" ht="15.75">
      <c r="A278" s="117"/>
      <c r="B278" s="34"/>
      <c r="C278" s="34"/>
      <c r="D278" s="34"/>
      <c r="E278" s="34"/>
      <c r="F278" s="34"/>
      <c r="G278" s="29"/>
      <c r="H278" s="34"/>
      <c r="I278" s="85"/>
      <c r="J278" s="34"/>
      <c r="K278" s="29"/>
      <c r="L278" s="111"/>
      <c r="M278" s="111"/>
      <c r="N278" s="111"/>
      <c r="O278" s="111"/>
      <c r="P278" s="34"/>
    </row>
    <row x14ac:dyDescent="0.25" r="279" customHeight="1" ht="15.75">
      <c r="A279" s="117"/>
      <c r="B279" s="34"/>
      <c r="C279" s="34"/>
      <c r="D279" s="34"/>
      <c r="E279" s="34"/>
      <c r="F279" s="34"/>
      <c r="G279" s="29"/>
      <c r="H279" s="34"/>
      <c r="I279" s="85"/>
      <c r="J279" s="34"/>
      <c r="K279" s="29"/>
      <c r="L279" s="111"/>
      <c r="M279" s="111"/>
      <c r="N279" s="111"/>
      <c r="O279" s="111"/>
      <c r="P279" s="34"/>
    </row>
    <row x14ac:dyDescent="0.25" r="280" customHeight="1" ht="15.75">
      <c r="A280" s="117"/>
      <c r="B280" s="34"/>
      <c r="C280" s="34"/>
      <c r="D280" s="34"/>
      <c r="E280" s="34"/>
      <c r="F280" s="34"/>
      <c r="G280" s="29"/>
      <c r="H280" s="34"/>
      <c r="I280" s="85"/>
      <c r="J280" s="34"/>
      <c r="K280" s="29"/>
      <c r="L280" s="111"/>
      <c r="M280" s="111"/>
      <c r="N280" s="111"/>
      <c r="O280" s="111"/>
      <c r="P280" s="34"/>
    </row>
    <row x14ac:dyDescent="0.25" r="281" customHeight="1" ht="15.75">
      <c r="A281" s="117"/>
      <c r="B281" s="34"/>
      <c r="C281" s="34"/>
      <c r="D281" s="34"/>
      <c r="E281" s="34"/>
      <c r="F281" s="34"/>
      <c r="G281" s="29"/>
      <c r="H281" s="34"/>
      <c r="I281" s="85"/>
      <c r="J281" s="34"/>
      <c r="K281" s="29"/>
      <c r="L281" s="111"/>
      <c r="M281" s="111"/>
      <c r="N281" s="111"/>
      <c r="O281" s="111"/>
      <c r="P281" s="34"/>
    </row>
    <row x14ac:dyDescent="0.25" r="282" customHeight="1" ht="15.75">
      <c r="A282" s="117"/>
      <c r="B282" s="34"/>
      <c r="C282" s="34"/>
      <c r="D282" s="34"/>
      <c r="E282" s="34"/>
      <c r="F282" s="34"/>
      <c r="G282" s="29"/>
      <c r="H282" s="34"/>
      <c r="I282" s="85"/>
      <c r="J282" s="34"/>
      <c r="K282" s="29"/>
      <c r="L282" s="111"/>
      <c r="M282" s="111"/>
      <c r="N282" s="111"/>
      <c r="O282" s="111"/>
      <c r="P282" s="34"/>
    </row>
    <row x14ac:dyDescent="0.25" r="283" customHeight="1" ht="15.75">
      <c r="A283" s="117"/>
      <c r="B283" s="34"/>
      <c r="C283" s="34"/>
      <c r="D283" s="34"/>
      <c r="E283" s="34"/>
      <c r="F283" s="34"/>
      <c r="G283" s="29"/>
      <c r="H283" s="34"/>
      <c r="I283" s="85"/>
      <c r="J283" s="34"/>
      <c r="K283" s="29"/>
      <c r="L283" s="111"/>
      <c r="M283" s="111"/>
      <c r="N283" s="111"/>
      <c r="O283" s="111"/>
      <c r="P283" s="34"/>
    </row>
    <row x14ac:dyDescent="0.25" r="284" customHeight="1" ht="15.75">
      <c r="A284" s="117"/>
      <c r="B284" s="34"/>
      <c r="C284" s="34"/>
      <c r="D284" s="34"/>
      <c r="E284" s="34"/>
      <c r="F284" s="34"/>
      <c r="G284" s="29"/>
      <c r="H284" s="34"/>
      <c r="I284" s="85"/>
      <c r="J284" s="34"/>
      <c r="K284" s="29"/>
      <c r="L284" s="111"/>
      <c r="M284" s="111"/>
      <c r="N284" s="111"/>
      <c r="O284" s="111"/>
      <c r="P284" s="34"/>
    </row>
    <row x14ac:dyDescent="0.25" r="285" customHeight="1" ht="15.75">
      <c r="A285" s="117"/>
      <c r="B285" s="34"/>
      <c r="C285" s="34"/>
      <c r="D285" s="34"/>
      <c r="E285" s="34"/>
      <c r="F285" s="34"/>
      <c r="G285" s="29"/>
      <c r="H285" s="34"/>
      <c r="I285" s="85"/>
      <c r="J285" s="34"/>
      <c r="K285" s="29"/>
      <c r="L285" s="111"/>
      <c r="M285" s="111"/>
      <c r="N285" s="111"/>
      <c r="O285" s="111"/>
      <c r="P285" s="34"/>
    </row>
    <row x14ac:dyDescent="0.25" r="286" customHeight="1" ht="15.75">
      <c r="A286" s="117"/>
      <c r="B286" s="34"/>
      <c r="C286" s="34"/>
      <c r="D286" s="34"/>
      <c r="E286" s="34"/>
      <c r="F286" s="34"/>
      <c r="G286" s="29"/>
      <c r="H286" s="34"/>
      <c r="I286" s="85"/>
      <c r="J286" s="34"/>
      <c r="K286" s="29"/>
      <c r="L286" s="111"/>
      <c r="M286" s="111"/>
      <c r="N286" s="111"/>
      <c r="O286" s="111"/>
      <c r="P286" s="34"/>
    </row>
    <row x14ac:dyDescent="0.25" r="287" customHeight="1" ht="15.75">
      <c r="A287" s="117"/>
      <c r="B287" s="34"/>
      <c r="C287" s="34"/>
      <c r="D287" s="34"/>
      <c r="E287" s="34"/>
      <c r="F287" s="34"/>
      <c r="G287" s="29"/>
      <c r="H287" s="34"/>
      <c r="I287" s="85"/>
      <c r="J287" s="34"/>
      <c r="K287" s="29"/>
      <c r="L287" s="111"/>
      <c r="M287" s="111"/>
      <c r="N287" s="111"/>
      <c r="O287" s="111"/>
      <c r="P287" s="34"/>
    </row>
    <row x14ac:dyDescent="0.25" r="288" customHeight="1" ht="15.75">
      <c r="A288" s="117"/>
      <c r="B288" s="34"/>
      <c r="C288" s="34"/>
      <c r="D288" s="34"/>
      <c r="E288" s="34"/>
      <c r="F288" s="34"/>
      <c r="G288" s="29"/>
      <c r="H288" s="34"/>
      <c r="I288" s="85"/>
      <c r="J288" s="34"/>
      <c r="K288" s="29"/>
      <c r="L288" s="111"/>
      <c r="M288" s="111"/>
      <c r="N288" s="111"/>
      <c r="O288" s="111"/>
      <c r="P288" s="34"/>
    </row>
    <row x14ac:dyDescent="0.25" r="289" customHeight="1" ht="15.75">
      <c r="A289" s="117"/>
      <c r="B289" s="34"/>
      <c r="C289" s="34"/>
      <c r="D289" s="34"/>
      <c r="E289" s="34"/>
      <c r="F289" s="34"/>
      <c r="G289" s="29"/>
      <c r="H289" s="34"/>
      <c r="I289" s="85"/>
      <c r="J289" s="34"/>
      <c r="K289" s="29"/>
      <c r="L289" s="111"/>
      <c r="M289" s="111"/>
      <c r="N289" s="111"/>
      <c r="O289" s="111"/>
      <c r="P289" s="34"/>
    </row>
    <row x14ac:dyDescent="0.25" r="290" customHeight="1" ht="15.75">
      <c r="A290" s="117"/>
      <c r="B290" s="34"/>
      <c r="C290" s="34"/>
      <c r="D290" s="34"/>
      <c r="E290" s="34"/>
      <c r="F290" s="34"/>
      <c r="G290" s="29"/>
      <c r="H290" s="34"/>
      <c r="I290" s="85"/>
      <c r="J290" s="34"/>
      <c r="K290" s="29"/>
      <c r="L290" s="111"/>
      <c r="M290" s="111"/>
      <c r="N290" s="111"/>
      <c r="O290" s="111"/>
      <c r="P290" s="34"/>
    </row>
    <row x14ac:dyDescent="0.25" r="291" customHeight="1" ht="15.75">
      <c r="A291" s="117"/>
      <c r="B291" s="34"/>
      <c r="C291" s="34"/>
      <c r="D291" s="34"/>
      <c r="E291" s="34"/>
      <c r="F291" s="34"/>
      <c r="G291" s="29"/>
      <c r="H291" s="34"/>
      <c r="I291" s="85"/>
      <c r="J291" s="34"/>
      <c r="K291" s="29"/>
      <c r="L291" s="111"/>
      <c r="M291" s="111"/>
      <c r="N291" s="111"/>
      <c r="O291" s="111"/>
      <c r="P291" s="34"/>
    </row>
    <row x14ac:dyDescent="0.25" r="292" customHeight="1" ht="15.75">
      <c r="A292" s="117"/>
      <c r="B292" s="34"/>
      <c r="C292" s="34"/>
      <c r="D292" s="34"/>
      <c r="E292" s="34"/>
      <c r="F292" s="34"/>
      <c r="G292" s="29"/>
      <c r="H292" s="34"/>
      <c r="I292" s="85"/>
      <c r="J292" s="34"/>
      <c r="K292" s="29"/>
      <c r="L292" s="111"/>
      <c r="M292" s="111"/>
      <c r="N292" s="111"/>
      <c r="O292" s="111"/>
      <c r="P292" s="34"/>
    </row>
    <row x14ac:dyDescent="0.25" r="293" customHeight="1" ht="15.75">
      <c r="A293" s="117"/>
      <c r="B293" s="34"/>
      <c r="C293" s="34"/>
      <c r="D293" s="34"/>
      <c r="E293" s="34"/>
      <c r="F293" s="34"/>
      <c r="G293" s="29"/>
      <c r="H293" s="34"/>
      <c r="I293" s="85"/>
      <c r="J293" s="34"/>
      <c r="K293" s="29"/>
      <c r="L293" s="111"/>
      <c r="M293" s="111"/>
      <c r="N293" s="111"/>
      <c r="O293" s="111"/>
      <c r="P293" s="34"/>
    </row>
    <row x14ac:dyDescent="0.25" r="294" customHeight="1" ht="15.75">
      <c r="A294" s="117"/>
      <c r="B294" s="34"/>
      <c r="C294" s="34"/>
      <c r="D294" s="34"/>
      <c r="E294" s="34"/>
      <c r="F294" s="34"/>
      <c r="G294" s="29"/>
      <c r="H294" s="34"/>
      <c r="I294" s="85"/>
      <c r="J294" s="34"/>
      <c r="K294" s="29"/>
      <c r="L294" s="111"/>
      <c r="M294" s="111"/>
      <c r="N294" s="111"/>
      <c r="O294" s="111"/>
      <c r="P294" s="34"/>
    </row>
    <row x14ac:dyDescent="0.25" r="295" customHeight="1" ht="15.75">
      <c r="A295" s="117"/>
      <c r="B295" s="34"/>
      <c r="C295" s="34"/>
      <c r="D295" s="34"/>
      <c r="E295" s="34"/>
      <c r="F295" s="34"/>
      <c r="G295" s="29"/>
      <c r="H295" s="34"/>
      <c r="I295" s="85"/>
      <c r="J295" s="34"/>
      <c r="K295" s="29"/>
      <c r="L295" s="111"/>
      <c r="M295" s="111"/>
      <c r="N295" s="111"/>
      <c r="O295" s="111"/>
      <c r="P295" s="34"/>
    </row>
    <row x14ac:dyDescent="0.25" r="296" customHeight="1" ht="15.75">
      <c r="A296" s="117"/>
      <c r="B296" s="34"/>
      <c r="C296" s="34"/>
      <c r="D296" s="34"/>
      <c r="E296" s="34"/>
      <c r="F296" s="34"/>
      <c r="G296" s="29"/>
      <c r="H296" s="34"/>
      <c r="I296" s="85"/>
      <c r="J296" s="34"/>
      <c r="K296" s="29"/>
      <c r="L296" s="111"/>
      <c r="M296" s="111"/>
      <c r="N296" s="111"/>
      <c r="O296" s="111"/>
      <c r="P296" s="34"/>
    </row>
    <row x14ac:dyDescent="0.25" r="297" customHeight="1" ht="15.75">
      <c r="A297" s="117"/>
      <c r="B297" s="34"/>
      <c r="C297" s="34"/>
      <c r="D297" s="34"/>
      <c r="E297" s="34"/>
      <c r="F297" s="34"/>
      <c r="G297" s="29"/>
      <c r="H297" s="34"/>
      <c r="I297" s="85"/>
      <c r="J297" s="34"/>
      <c r="K297" s="29"/>
      <c r="L297" s="111"/>
      <c r="M297" s="111"/>
      <c r="N297" s="111"/>
      <c r="O297" s="111"/>
      <c r="P297" s="34"/>
    </row>
    <row x14ac:dyDescent="0.25" r="298" customHeight="1" ht="15.75">
      <c r="A298" s="117"/>
      <c r="B298" s="34"/>
      <c r="C298" s="34"/>
      <c r="D298" s="34"/>
      <c r="E298" s="34"/>
      <c r="F298" s="34"/>
      <c r="G298" s="29"/>
      <c r="H298" s="34"/>
      <c r="I298" s="85"/>
      <c r="J298" s="34"/>
      <c r="K298" s="29"/>
      <c r="L298" s="111"/>
      <c r="M298" s="111"/>
      <c r="N298" s="111"/>
      <c r="O298" s="111"/>
      <c r="P298" s="34"/>
    </row>
    <row x14ac:dyDescent="0.25" r="299" customHeight="1" ht="15.75">
      <c r="A299" s="117"/>
      <c r="B299" s="34"/>
      <c r="C299" s="34"/>
      <c r="D299" s="34"/>
      <c r="E299" s="34"/>
      <c r="F299" s="34"/>
      <c r="G299" s="29"/>
      <c r="H299" s="34"/>
      <c r="I299" s="85"/>
      <c r="J299" s="34"/>
      <c r="K299" s="29"/>
      <c r="L299" s="111"/>
      <c r="M299" s="111"/>
      <c r="N299" s="111"/>
      <c r="O299" s="111"/>
      <c r="P299" s="34"/>
    </row>
    <row x14ac:dyDescent="0.25" r="300" customHeight="1" ht="15.75">
      <c r="A300" s="117"/>
      <c r="B300" s="34"/>
      <c r="C300" s="34"/>
      <c r="D300" s="34"/>
      <c r="E300" s="34"/>
      <c r="F300" s="34"/>
      <c r="G300" s="29"/>
      <c r="H300" s="34"/>
      <c r="I300" s="85"/>
      <c r="J300" s="34"/>
      <c r="K300" s="29"/>
      <c r="L300" s="111"/>
      <c r="M300" s="111"/>
      <c r="N300" s="111"/>
      <c r="O300" s="111"/>
      <c r="P300" s="34"/>
    </row>
    <row x14ac:dyDescent="0.25" r="301" customHeight="1" ht="15.75">
      <c r="A301" s="117"/>
      <c r="B301" s="34"/>
      <c r="C301" s="34"/>
      <c r="D301" s="34"/>
      <c r="E301" s="34"/>
      <c r="F301" s="34"/>
      <c r="G301" s="29"/>
      <c r="H301" s="34"/>
      <c r="I301" s="85"/>
      <c r="J301" s="34"/>
      <c r="K301" s="29"/>
      <c r="L301" s="111"/>
      <c r="M301" s="111"/>
      <c r="N301" s="111"/>
      <c r="O301" s="111"/>
      <c r="P301" s="34"/>
    </row>
    <row x14ac:dyDescent="0.25" r="302" customHeight="1" ht="15.75">
      <c r="A302" s="117"/>
      <c r="B302" s="34"/>
      <c r="C302" s="34"/>
      <c r="D302" s="34"/>
      <c r="E302" s="34"/>
      <c r="F302" s="34"/>
      <c r="G302" s="29"/>
      <c r="H302" s="34"/>
      <c r="I302" s="85"/>
      <c r="J302" s="34"/>
      <c r="K302" s="29"/>
      <c r="L302" s="111"/>
      <c r="M302" s="111"/>
      <c r="N302" s="111"/>
      <c r="O302" s="111"/>
      <c r="P302" s="34"/>
    </row>
    <row x14ac:dyDescent="0.25" r="303" customHeight="1" ht="15.75">
      <c r="A303" s="117"/>
      <c r="B303" s="34"/>
      <c r="C303" s="34"/>
      <c r="D303" s="34"/>
      <c r="E303" s="34"/>
      <c r="F303" s="34"/>
      <c r="G303" s="29"/>
      <c r="H303" s="34"/>
      <c r="I303" s="85"/>
      <c r="J303" s="34"/>
      <c r="K303" s="29"/>
      <c r="L303" s="111"/>
      <c r="M303" s="111"/>
      <c r="N303" s="111"/>
      <c r="O303" s="111"/>
      <c r="P303" s="34"/>
    </row>
    <row x14ac:dyDescent="0.25" r="304" customHeight="1" ht="15.75">
      <c r="A304" s="117"/>
      <c r="B304" s="34"/>
      <c r="C304" s="34"/>
      <c r="D304" s="34"/>
      <c r="E304" s="34"/>
      <c r="F304" s="34"/>
      <c r="G304" s="29"/>
      <c r="H304" s="34"/>
      <c r="I304" s="85"/>
      <c r="J304" s="34"/>
      <c r="K304" s="29"/>
      <c r="L304" s="111"/>
      <c r="M304" s="111"/>
      <c r="N304" s="111"/>
      <c r="O304" s="111"/>
      <c r="P304" s="34"/>
    </row>
    <row x14ac:dyDescent="0.25" r="305" customHeight="1" ht="15.75">
      <c r="A305" s="117"/>
      <c r="B305" s="34"/>
      <c r="C305" s="34"/>
      <c r="D305" s="34"/>
      <c r="E305" s="34"/>
      <c r="F305" s="34"/>
      <c r="G305" s="29"/>
      <c r="H305" s="34"/>
      <c r="I305" s="85"/>
      <c r="J305" s="34"/>
      <c r="K305" s="29"/>
      <c r="L305" s="111"/>
      <c r="M305" s="111"/>
      <c r="N305" s="111"/>
      <c r="O305" s="111"/>
      <c r="P305" s="34"/>
    </row>
    <row x14ac:dyDescent="0.25" r="306" customHeight="1" ht="15.75">
      <c r="A306" s="117"/>
      <c r="B306" s="34"/>
      <c r="C306" s="34"/>
      <c r="D306" s="34"/>
      <c r="E306" s="34"/>
      <c r="F306" s="34"/>
      <c r="G306" s="29"/>
      <c r="H306" s="34"/>
      <c r="I306" s="85"/>
      <c r="J306" s="34"/>
      <c r="K306" s="29"/>
      <c r="L306" s="111"/>
      <c r="M306" s="111"/>
      <c r="N306" s="111"/>
      <c r="O306" s="111"/>
      <c r="P306" s="34"/>
    </row>
    <row x14ac:dyDescent="0.25" r="307" customHeight="1" ht="15.75">
      <c r="A307" s="117"/>
      <c r="B307" s="34"/>
      <c r="C307" s="34"/>
      <c r="D307" s="34"/>
      <c r="E307" s="34"/>
      <c r="F307" s="34"/>
      <c r="G307" s="29"/>
      <c r="H307" s="34"/>
      <c r="I307" s="85"/>
      <c r="J307" s="34"/>
      <c r="K307" s="29"/>
      <c r="L307" s="111"/>
      <c r="M307" s="111"/>
      <c r="N307" s="111"/>
      <c r="O307" s="111"/>
      <c r="P307" s="34"/>
    </row>
    <row x14ac:dyDescent="0.25" r="308" customHeight="1" ht="15.75">
      <c r="A308" s="117"/>
      <c r="B308" s="34"/>
      <c r="C308" s="34"/>
      <c r="D308" s="34"/>
      <c r="E308" s="34"/>
      <c r="F308" s="34"/>
      <c r="G308" s="29"/>
      <c r="H308" s="34"/>
      <c r="I308" s="85"/>
      <c r="J308" s="34"/>
      <c r="K308" s="29"/>
      <c r="L308" s="111"/>
      <c r="M308" s="111"/>
      <c r="N308" s="111"/>
      <c r="O308" s="111"/>
      <c r="P308" s="34"/>
    </row>
    <row x14ac:dyDescent="0.25" r="309" customHeight="1" ht="15.75">
      <c r="A309" s="117"/>
      <c r="B309" s="34"/>
      <c r="C309" s="34"/>
      <c r="D309" s="34"/>
      <c r="E309" s="34"/>
      <c r="F309" s="34"/>
      <c r="G309" s="29"/>
      <c r="H309" s="34"/>
      <c r="I309" s="85"/>
      <c r="J309" s="34"/>
      <c r="K309" s="29"/>
      <c r="L309" s="111"/>
      <c r="M309" s="111"/>
      <c r="N309" s="111"/>
      <c r="O309" s="111"/>
      <c r="P309" s="34"/>
    </row>
    <row x14ac:dyDescent="0.25" r="310" customHeight="1" ht="15.75">
      <c r="A310" s="117"/>
      <c r="B310" s="34"/>
      <c r="C310" s="34"/>
      <c r="D310" s="34"/>
      <c r="E310" s="34"/>
      <c r="F310" s="34"/>
      <c r="G310" s="29"/>
      <c r="H310" s="34"/>
      <c r="I310" s="85"/>
      <c r="J310" s="34"/>
      <c r="K310" s="29"/>
      <c r="L310" s="111"/>
      <c r="M310" s="111"/>
      <c r="N310" s="111"/>
      <c r="O310" s="111"/>
      <c r="P310" s="34"/>
    </row>
    <row x14ac:dyDescent="0.25" r="311" customHeight="1" ht="15.75">
      <c r="A311" s="117"/>
      <c r="B311" s="34"/>
      <c r="C311" s="34"/>
      <c r="D311" s="34"/>
      <c r="E311" s="34"/>
      <c r="F311" s="34"/>
      <c r="G311" s="29"/>
      <c r="H311" s="34"/>
      <c r="I311" s="85"/>
      <c r="J311" s="34"/>
      <c r="K311" s="29"/>
      <c r="L311" s="111"/>
      <c r="M311" s="111"/>
      <c r="N311" s="111"/>
      <c r="O311" s="111"/>
      <c r="P311" s="34"/>
    </row>
    <row x14ac:dyDescent="0.25" r="312" customHeight="1" ht="15.75">
      <c r="A312" s="117"/>
      <c r="B312" s="34"/>
      <c r="C312" s="34"/>
      <c r="D312" s="34"/>
      <c r="E312" s="34"/>
      <c r="F312" s="34"/>
      <c r="G312" s="29"/>
      <c r="H312" s="34"/>
      <c r="I312" s="85"/>
      <c r="J312" s="34"/>
      <c r="K312" s="29"/>
      <c r="L312" s="111"/>
      <c r="M312" s="111"/>
      <c r="N312" s="111"/>
      <c r="O312" s="111"/>
      <c r="P312" s="34"/>
    </row>
    <row x14ac:dyDescent="0.25" r="313" customHeight="1" ht="15.75">
      <c r="A313" s="117"/>
      <c r="B313" s="34"/>
      <c r="C313" s="34"/>
      <c r="D313" s="34"/>
      <c r="E313" s="34"/>
      <c r="F313" s="34"/>
      <c r="G313" s="29"/>
      <c r="H313" s="34"/>
      <c r="I313" s="85"/>
      <c r="J313" s="34"/>
      <c r="K313" s="29"/>
      <c r="L313" s="111"/>
      <c r="M313" s="111"/>
      <c r="N313" s="111"/>
      <c r="O313" s="111"/>
      <c r="P313" s="34"/>
    </row>
    <row x14ac:dyDescent="0.25" r="314" customHeight="1" ht="15.75">
      <c r="A314" s="117"/>
      <c r="B314" s="34"/>
      <c r="C314" s="34"/>
      <c r="D314" s="34"/>
      <c r="E314" s="34"/>
      <c r="F314" s="34"/>
      <c r="G314" s="29"/>
      <c r="H314" s="34"/>
      <c r="I314" s="85"/>
      <c r="J314" s="34"/>
      <c r="K314" s="29"/>
      <c r="L314" s="111"/>
      <c r="M314" s="111"/>
      <c r="N314" s="111"/>
      <c r="O314" s="111"/>
      <c r="P314" s="34"/>
    </row>
    <row x14ac:dyDescent="0.25" r="315" customHeight="1" ht="15.75">
      <c r="A315" s="117"/>
      <c r="B315" s="34"/>
      <c r="C315" s="34"/>
      <c r="D315" s="34"/>
      <c r="E315" s="34"/>
      <c r="F315" s="34"/>
      <c r="G315" s="29"/>
      <c r="H315" s="34"/>
      <c r="I315" s="85"/>
      <c r="J315" s="34"/>
      <c r="K315" s="29"/>
      <c r="L315" s="111"/>
      <c r="M315" s="111"/>
      <c r="N315" s="111"/>
      <c r="O315" s="111"/>
      <c r="P315" s="34"/>
    </row>
    <row x14ac:dyDescent="0.25" r="316" customHeight="1" ht="15.75">
      <c r="A316" s="117"/>
      <c r="B316" s="34"/>
      <c r="C316" s="34"/>
      <c r="D316" s="34"/>
      <c r="E316" s="34"/>
      <c r="F316" s="34"/>
      <c r="G316" s="29"/>
      <c r="H316" s="34"/>
      <c r="I316" s="85"/>
      <c r="J316" s="34"/>
      <c r="K316" s="29"/>
      <c r="L316" s="111"/>
      <c r="M316" s="111"/>
      <c r="N316" s="111"/>
      <c r="O316" s="111"/>
      <c r="P316" s="34"/>
    </row>
    <row x14ac:dyDescent="0.25" r="317" customHeight="1" ht="15.75">
      <c r="A317" s="117"/>
      <c r="B317" s="34"/>
      <c r="C317" s="34"/>
      <c r="D317" s="34"/>
      <c r="E317" s="34"/>
      <c r="F317" s="34"/>
      <c r="G317" s="29"/>
      <c r="H317" s="34"/>
      <c r="I317" s="85"/>
      <c r="J317" s="34"/>
      <c r="K317" s="29"/>
      <c r="L317" s="111"/>
      <c r="M317" s="111"/>
      <c r="N317" s="111"/>
      <c r="O317" s="111"/>
      <c r="P317" s="34"/>
    </row>
    <row x14ac:dyDescent="0.25" r="318" customHeight="1" ht="15.75">
      <c r="A318" s="117"/>
      <c r="B318" s="34"/>
      <c r="C318" s="34"/>
      <c r="D318" s="34"/>
      <c r="E318" s="34"/>
      <c r="F318" s="34"/>
      <c r="G318" s="29"/>
      <c r="H318" s="34"/>
      <c r="I318" s="85"/>
      <c r="J318" s="34"/>
      <c r="K318" s="29"/>
      <c r="L318" s="111"/>
      <c r="M318" s="111"/>
      <c r="N318" s="111"/>
      <c r="O318" s="111"/>
      <c r="P318" s="34"/>
    </row>
    <row x14ac:dyDescent="0.25" r="319" customHeight="1" ht="15.75">
      <c r="A319" s="117"/>
      <c r="B319" s="34"/>
      <c r="C319" s="34"/>
      <c r="D319" s="34"/>
      <c r="E319" s="34"/>
      <c r="F319" s="34"/>
      <c r="G319" s="29"/>
      <c r="H319" s="34"/>
      <c r="I319" s="85"/>
      <c r="J319" s="34"/>
      <c r="K319" s="29"/>
      <c r="L319" s="111"/>
      <c r="M319" s="111"/>
      <c r="N319" s="111"/>
      <c r="O319" s="111"/>
      <c r="P319" s="34"/>
    </row>
    <row x14ac:dyDescent="0.25" r="320" customHeight="1" ht="15.75">
      <c r="A320" s="117"/>
      <c r="B320" s="34"/>
      <c r="C320" s="34"/>
      <c r="D320" s="34"/>
      <c r="E320" s="34"/>
      <c r="F320" s="34"/>
      <c r="G320" s="29"/>
      <c r="H320" s="34"/>
      <c r="I320" s="85"/>
      <c r="J320" s="34"/>
      <c r="K320" s="29"/>
      <c r="L320" s="111"/>
      <c r="M320" s="111"/>
      <c r="N320" s="111"/>
      <c r="O320" s="111"/>
      <c r="P320" s="34"/>
    </row>
    <row x14ac:dyDescent="0.25" r="321" customHeight="1" ht="15.75">
      <c r="A321" s="117"/>
      <c r="B321" s="34"/>
      <c r="C321" s="34"/>
      <c r="D321" s="34"/>
      <c r="E321" s="34"/>
      <c r="F321" s="34"/>
      <c r="G321" s="29"/>
      <c r="H321" s="34"/>
      <c r="I321" s="85"/>
      <c r="J321" s="34"/>
      <c r="K321" s="29"/>
      <c r="L321" s="111"/>
      <c r="M321" s="111"/>
      <c r="N321" s="111"/>
      <c r="O321" s="111"/>
      <c r="P321" s="34"/>
    </row>
    <row x14ac:dyDescent="0.25" r="322" customHeight="1" ht="15.75">
      <c r="A322" s="117"/>
      <c r="B322" s="34"/>
      <c r="C322" s="34"/>
      <c r="D322" s="34"/>
      <c r="E322" s="34"/>
      <c r="F322" s="34"/>
      <c r="G322" s="29"/>
      <c r="H322" s="34"/>
      <c r="I322" s="85"/>
      <c r="J322" s="34"/>
      <c r="K322" s="29"/>
      <c r="L322" s="111"/>
      <c r="M322" s="111"/>
      <c r="N322" s="111"/>
      <c r="O322" s="111"/>
      <c r="P322" s="34"/>
    </row>
    <row x14ac:dyDescent="0.25" r="323" customHeight="1" ht="15.75">
      <c r="A323" s="117"/>
      <c r="B323" s="34"/>
      <c r="C323" s="34"/>
      <c r="D323" s="34"/>
      <c r="E323" s="34"/>
      <c r="F323" s="34"/>
      <c r="G323" s="29"/>
      <c r="H323" s="34"/>
      <c r="I323" s="85"/>
      <c r="J323" s="34"/>
      <c r="K323" s="29"/>
      <c r="L323" s="111"/>
      <c r="M323" s="111"/>
      <c r="N323" s="111"/>
      <c r="O323" s="111"/>
      <c r="P323" s="34"/>
    </row>
    <row x14ac:dyDescent="0.25" r="324" customHeight="1" ht="15.75">
      <c r="A324" s="117"/>
      <c r="B324" s="34"/>
      <c r="C324" s="34"/>
      <c r="D324" s="34"/>
      <c r="E324" s="34"/>
      <c r="F324" s="34"/>
      <c r="G324" s="29"/>
      <c r="H324" s="34"/>
      <c r="I324" s="85"/>
      <c r="J324" s="34"/>
      <c r="K324" s="29"/>
      <c r="L324" s="111"/>
      <c r="M324" s="111"/>
      <c r="N324" s="111"/>
      <c r="O324" s="111"/>
      <c r="P324" s="34"/>
    </row>
    <row x14ac:dyDescent="0.25" r="325" customHeight="1" ht="15.75">
      <c r="A325" s="117"/>
      <c r="B325" s="34"/>
      <c r="C325" s="34"/>
      <c r="D325" s="34"/>
      <c r="E325" s="34"/>
      <c r="F325" s="34"/>
      <c r="G325" s="29"/>
      <c r="H325" s="34"/>
      <c r="I325" s="85"/>
      <c r="J325" s="34"/>
      <c r="K325" s="29"/>
      <c r="L325" s="111"/>
      <c r="M325" s="111"/>
      <c r="N325" s="111"/>
      <c r="O325" s="111"/>
      <c r="P325" s="34"/>
    </row>
    <row x14ac:dyDescent="0.25" r="326" customHeight="1" ht="15.75">
      <c r="A326" s="117"/>
      <c r="B326" s="34"/>
      <c r="C326" s="34"/>
      <c r="D326" s="34"/>
      <c r="E326" s="34"/>
      <c r="F326" s="34"/>
      <c r="G326" s="29"/>
      <c r="H326" s="34"/>
      <c r="I326" s="85"/>
      <c r="J326" s="34"/>
      <c r="K326" s="29"/>
      <c r="L326" s="111"/>
      <c r="M326" s="111"/>
      <c r="N326" s="111"/>
      <c r="O326" s="111"/>
      <c r="P326" s="34"/>
    </row>
    <row x14ac:dyDescent="0.25" r="327" customHeight="1" ht="15.75">
      <c r="A327" s="117"/>
      <c r="B327" s="34"/>
      <c r="C327" s="34"/>
      <c r="D327" s="34"/>
      <c r="E327" s="34"/>
      <c r="F327" s="34"/>
      <c r="G327" s="29"/>
      <c r="H327" s="34"/>
      <c r="I327" s="85"/>
      <c r="J327" s="34"/>
      <c r="K327" s="29"/>
      <c r="L327" s="111"/>
      <c r="M327" s="111"/>
      <c r="N327" s="111"/>
      <c r="O327" s="111"/>
      <c r="P327" s="34"/>
    </row>
    <row x14ac:dyDescent="0.25" r="328" customHeight="1" ht="15.75">
      <c r="A328" s="117"/>
      <c r="B328" s="34"/>
      <c r="C328" s="34"/>
      <c r="D328" s="34"/>
      <c r="E328" s="34"/>
      <c r="F328" s="34"/>
      <c r="G328" s="29"/>
      <c r="H328" s="34"/>
      <c r="I328" s="85"/>
      <c r="J328" s="34"/>
      <c r="K328" s="29"/>
      <c r="L328" s="111"/>
      <c r="M328" s="111"/>
      <c r="N328" s="111"/>
      <c r="O328" s="111"/>
      <c r="P328" s="34"/>
    </row>
    <row x14ac:dyDescent="0.25" r="329" customHeight="1" ht="15.75">
      <c r="A329" s="117"/>
      <c r="B329" s="34"/>
      <c r="C329" s="34"/>
      <c r="D329" s="34"/>
      <c r="E329" s="34"/>
      <c r="F329" s="34"/>
      <c r="G329" s="29"/>
      <c r="H329" s="34"/>
      <c r="I329" s="85"/>
      <c r="J329" s="34"/>
      <c r="K329" s="29"/>
      <c r="L329" s="111"/>
      <c r="M329" s="111"/>
      <c r="N329" s="111"/>
      <c r="O329" s="111"/>
      <c r="P329" s="34"/>
    </row>
    <row x14ac:dyDescent="0.25" r="330" customHeight="1" ht="15.75">
      <c r="A330" s="117"/>
      <c r="B330" s="34"/>
      <c r="C330" s="34"/>
      <c r="D330" s="34"/>
      <c r="E330" s="34"/>
      <c r="F330" s="34"/>
      <c r="G330" s="29"/>
      <c r="H330" s="34"/>
      <c r="I330" s="85"/>
      <c r="J330" s="34"/>
      <c r="K330" s="29"/>
      <c r="L330" s="111"/>
      <c r="M330" s="111"/>
      <c r="N330" s="111"/>
      <c r="O330" s="111"/>
      <c r="P330" s="34"/>
    </row>
    <row x14ac:dyDescent="0.25" r="331" customHeight="1" ht="15.75">
      <c r="A331" s="117"/>
      <c r="B331" s="34"/>
      <c r="C331" s="34"/>
      <c r="D331" s="34"/>
      <c r="E331" s="34"/>
      <c r="F331" s="34"/>
      <c r="G331" s="29"/>
      <c r="H331" s="34"/>
      <c r="I331" s="85"/>
      <c r="J331" s="34"/>
      <c r="K331" s="29"/>
      <c r="L331" s="111"/>
      <c r="M331" s="111"/>
      <c r="N331" s="111"/>
      <c r="O331" s="111"/>
      <c r="P331" s="34"/>
    </row>
    <row x14ac:dyDescent="0.25" r="332" customHeight="1" ht="15.75">
      <c r="A332" s="117"/>
      <c r="B332" s="34"/>
      <c r="C332" s="34"/>
      <c r="D332" s="34"/>
      <c r="E332" s="34"/>
      <c r="F332" s="34"/>
      <c r="G332" s="29"/>
      <c r="H332" s="34"/>
      <c r="I332" s="85"/>
      <c r="J332" s="34"/>
      <c r="K332" s="29"/>
      <c r="L332" s="111"/>
      <c r="M332" s="111"/>
      <c r="N332" s="111"/>
      <c r="O332" s="111"/>
      <c r="P332" s="34"/>
    </row>
    <row x14ac:dyDescent="0.25" r="333" customHeight="1" ht="15.75">
      <c r="A333" s="117"/>
      <c r="B333" s="34"/>
      <c r="C333" s="34"/>
      <c r="D333" s="34"/>
      <c r="E333" s="34"/>
      <c r="F333" s="34"/>
      <c r="G333" s="29"/>
      <c r="H333" s="34"/>
      <c r="I333" s="85"/>
      <c r="J333" s="34"/>
      <c r="K333" s="29"/>
      <c r="L333" s="111"/>
      <c r="M333" s="111"/>
      <c r="N333" s="111"/>
      <c r="O333" s="111"/>
      <c r="P333" s="34"/>
    </row>
    <row x14ac:dyDescent="0.25" r="334" customHeight="1" ht="15.75">
      <c r="A334" s="117"/>
      <c r="B334" s="34"/>
      <c r="C334" s="34"/>
      <c r="D334" s="34"/>
      <c r="E334" s="34"/>
      <c r="F334" s="34"/>
      <c r="G334" s="29"/>
      <c r="H334" s="34"/>
      <c r="I334" s="85"/>
      <c r="J334" s="34"/>
      <c r="K334" s="29"/>
      <c r="L334" s="111"/>
      <c r="M334" s="111"/>
      <c r="N334" s="111"/>
      <c r="O334" s="111"/>
      <c r="P334" s="34"/>
    </row>
    <row x14ac:dyDescent="0.25" r="335" customHeight="1" ht="15.75">
      <c r="A335" s="117"/>
      <c r="B335" s="34"/>
      <c r="C335" s="34"/>
      <c r="D335" s="34"/>
      <c r="E335" s="34"/>
      <c r="F335" s="34"/>
      <c r="G335" s="29"/>
      <c r="H335" s="34"/>
      <c r="I335" s="85"/>
      <c r="J335" s="34"/>
      <c r="K335" s="29"/>
      <c r="L335" s="111"/>
      <c r="M335" s="111"/>
      <c r="N335" s="111"/>
      <c r="O335" s="111"/>
      <c r="P335" s="34"/>
    </row>
    <row x14ac:dyDescent="0.25" r="336" customHeight="1" ht="15.75">
      <c r="A336" s="117"/>
      <c r="B336" s="34"/>
      <c r="C336" s="34"/>
      <c r="D336" s="34"/>
      <c r="E336" s="34"/>
      <c r="F336" s="34"/>
      <c r="G336" s="29"/>
      <c r="H336" s="34"/>
      <c r="I336" s="85"/>
      <c r="J336" s="34"/>
      <c r="K336" s="29"/>
      <c r="L336" s="111"/>
      <c r="M336" s="111"/>
      <c r="N336" s="111"/>
      <c r="O336" s="111"/>
      <c r="P336" s="34"/>
    </row>
    <row x14ac:dyDescent="0.25" r="337" customHeight="1" ht="15.75">
      <c r="A337" s="117"/>
      <c r="B337" s="34"/>
      <c r="C337" s="34"/>
      <c r="D337" s="34"/>
      <c r="E337" s="34"/>
      <c r="F337" s="34"/>
      <c r="G337" s="29"/>
      <c r="H337" s="34"/>
      <c r="I337" s="85"/>
      <c r="J337" s="34"/>
      <c r="K337" s="29"/>
      <c r="L337" s="111"/>
      <c r="M337" s="111"/>
      <c r="N337" s="111"/>
      <c r="O337" s="111"/>
      <c r="P337" s="34"/>
    </row>
    <row x14ac:dyDescent="0.25" r="338" customHeight="1" ht="15.75">
      <c r="A338" s="117"/>
      <c r="B338" s="34"/>
      <c r="C338" s="34"/>
      <c r="D338" s="34"/>
      <c r="E338" s="34"/>
      <c r="F338" s="34"/>
      <c r="G338" s="29"/>
      <c r="H338" s="34"/>
      <c r="I338" s="85"/>
      <c r="J338" s="34"/>
      <c r="K338" s="29"/>
      <c r="L338" s="111"/>
      <c r="M338" s="111"/>
      <c r="N338" s="111"/>
      <c r="O338" s="111"/>
      <c r="P338" s="34"/>
    </row>
    <row x14ac:dyDescent="0.25" r="339" customHeight="1" ht="15.75">
      <c r="A339" s="117"/>
      <c r="B339" s="34"/>
      <c r="C339" s="34"/>
      <c r="D339" s="34"/>
      <c r="E339" s="34"/>
      <c r="F339" s="34"/>
      <c r="G339" s="29"/>
      <c r="H339" s="34"/>
      <c r="I339" s="85"/>
      <c r="J339" s="34"/>
      <c r="K339" s="29"/>
      <c r="L339" s="111"/>
      <c r="M339" s="111"/>
      <c r="N339" s="111"/>
      <c r="O339" s="111"/>
      <c r="P339" s="34"/>
    </row>
    <row x14ac:dyDescent="0.25" r="340" customHeight="1" ht="15.75">
      <c r="A340" s="117"/>
      <c r="B340" s="34"/>
      <c r="C340" s="34"/>
      <c r="D340" s="34"/>
      <c r="E340" s="34"/>
      <c r="F340" s="34"/>
      <c r="G340" s="29"/>
      <c r="H340" s="34"/>
      <c r="I340" s="85"/>
      <c r="J340" s="34"/>
      <c r="K340" s="29"/>
      <c r="L340" s="111"/>
      <c r="M340" s="111"/>
      <c r="N340" s="111"/>
      <c r="O340" s="111"/>
      <c r="P340" s="34"/>
    </row>
    <row x14ac:dyDescent="0.25" r="341" customHeight="1" ht="15.75">
      <c r="A341" s="117"/>
      <c r="B341" s="34"/>
      <c r="C341" s="34"/>
      <c r="D341" s="34"/>
      <c r="E341" s="34"/>
      <c r="F341" s="34"/>
      <c r="G341" s="29"/>
      <c r="H341" s="34"/>
      <c r="I341" s="85"/>
      <c r="J341" s="34"/>
      <c r="K341" s="29"/>
      <c r="L341" s="111"/>
      <c r="M341" s="111"/>
      <c r="N341" s="111"/>
      <c r="O341" s="111"/>
      <c r="P341" s="34"/>
    </row>
    <row x14ac:dyDescent="0.25" r="342" customHeight="1" ht="15.75">
      <c r="A342" s="117"/>
      <c r="B342" s="34"/>
      <c r="C342" s="34"/>
      <c r="D342" s="34"/>
      <c r="E342" s="34"/>
      <c r="F342" s="34"/>
      <c r="G342" s="29"/>
      <c r="H342" s="34"/>
      <c r="I342" s="85"/>
      <c r="J342" s="34"/>
      <c r="K342" s="29"/>
      <c r="L342" s="111"/>
      <c r="M342" s="111"/>
      <c r="N342" s="111"/>
      <c r="O342" s="111"/>
      <c r="P342" s="34"/>
    </row>
    <row x14ac:dyDescent="0.25" r="343" customHeight="1" ht="15.75">
      <c r="A343" s="117"/>
      <c r="B343" s="34"/>
      <c r="C343" s="34"/>
      <c r="D343" s="34"/>
      <c r="E343" s="34"/>
      <c r="F343" s="34"/>
      <c r="G343" s="29"/>
      <c r="H343" s="34"/>
      <c r="I343" s="85"/>
      <c r="J343" s="34"/>
      <c r="K343" s="29"/>
      <c r="L343" s="111"/>
      <c r="M343" s="111"/>
      <c r="N343" s="111"/>
      <c r="O343" s="111"/>
      <c r="P343" s="34"/>
    </row>
    <row x14ac:dyDescent="0.25" r="344" customHeight="1" ht="15.75">
      <c r="A344" s="117"/>
      <c r="B344" s="34"/>
      <c r="C344" s="34"/>
      <c r="D344" s="34"/>
      <c r="E344" s="34"/>
      <c r="F344" s="34"/>
      <c r="G344" s="29"/>
      <c r="H344" s="34"/>
      <c r="I344" s="85"/>
      <c r="J344" s="34"/>
      <c r="K344" s="29"/>
      <c r="L344" s="111"/>
      <c r="M344" s="111"/>
      <c r="N344" s="111"/>
      <c r="O344" s="111"/>
      <c r="P344" s="34"/>
    </row>
    <row x14ac:dyDescent="0.25" r="345" customHeight="1" ht="15.75">
      <c r="A345" s="117"/>
      <c r="B345" s="34"/>
      <c r="C345" s="34"/>
      <c r="D345" s="34"/>
      <c r="E345" s="34"/>
      <c r="F345" s="34"/>
      <c r="G345" s="29"/>
      <c r="H345" s="34"/>
      <c r="I345" s="85"/>
      <c r="J345" s="34"/>
      <c r="K345" s="29"/>
      <c r="L345" s="111"/>
      <c r="M345" s="111"/>
      <c r="N345" s="111"/>
      <c r="O345" s="111"/>
      <c r="P345" s="34"/>
    </row>
    <row x14ac:dyDescent="0.25" r="346" customHeight="1" ht="15.75">
      <c r="A346" s="117"/>
      <c r="B346" s="34"/>
      <c r="C346" s="34"/>
      <c r="D346" s="34"/>
      <c r="E346" s="34"/>
      <c r="F346" s="34"/>
      <c r="G346" s="29"/>
      <c r="H346" s="34"/>
      <c r="I346" s="85"/>
      <c r="J346" s="34"/>
      <c r="K346" s="29"/>
      <c r="L346" s="111"/>
      <c r="M346" s="111"/>
      <c r="N346" s="111"/>
      <c r="O346" s="111"/>
      <c r="P346" s="34"/>
    </row>
    <row x14ac:dyDescent="0.25" r="347" customHeight="1" ht="15.75">
      <c r="A347" s="117"/>
      <c r="B347" s="34"/>
      <c r="C347" s="34"/>
      <c r="D347" s="34"/>
      <c r="E347" s="34"/>
      <c r="F347" s="34"/>
      <c r="G347" s="29"/>
      <c r="H347" s="34"/>
      <c r="I347" s="85"/>
      <c r="J347" s="34"/>
      <c r="K347" s="29"/>
      <c r="L347" s="111"/>
      <c r="M347" s="111"/>
      <c r="N347" s="111"/>
      <c r="O347" s="111"/>
      <c r="P347" s="34"/>
    </row>
    <row x14ac:dyDescent="0.25" r="348" customHeight="1" ht="15.75">
      <c r="A348" s="117"/>
      <c r="B348" s="34"/>
      <c r="C348" s="34"/>
      <c r="D348" s="34"/>
      <c r="E348" s="34"/>
      <c r="F348" s="34"/>
      <c r="G348" s="29"/>
      <c r="H348" s="34"/>
      <c r="I348" s="85"/>
      <c r="J348" s="34"/>
      <c r="K348" s="29"/>
      <c r="L348" s="111"/>
      <c r="M348" s="111"/>
      <c r="N348" s="111"/>
      <c r="O348" s="111"/>
      <c r="P348" s="34"/>
    </row>
    <row x14ac:dyDescent="0.25" r="349" customHeight="1" ht="15.75">
      <c r="A349" s="117"/>
      <c r="B349" s="34"/>
      <c r="C349" s="34"/>
      <c r="D349" s="34"/>
      <c r="E349" s="34"/>
      <c r="F349" s="34"/>
      <c r="G349" s="29"/>
      <c r="H349" s="34"/>
      <c r="I349" s="85"/>
      <c r="J349" s="34"/>
      <c r="K349" s="29"/>
      <c r="L349" s="111"/>
      <c r="M349" s="111"/>
      <c r="N349" s="111"/>
      <c r="O349" s="111"/>
      <c r="P349" s="34"/>
    </row>
    <row x14ac:dyDescent="0.25" r="350" customHeight="1" ht="15.75">
      <c r="A350" s="117"/>
      <c r="B350" s="34"/>
      <c r="C350" s="34"/>
      <c r="D350" s="34"/>
      <c r="E350" s="34"/>
      <c r="F350" s="34"/>
      <c r="G350" s="29"/>
      <c r="H350" s="34"/>
      <c r="I350" s="85"/>
      <c r="J350" s="34"/>
      <c r="K350" s="29"/>
      <c r="L350" s="111"/>
      <c r="M350" s="111"/>
      <c r="N350" s="111"/>
      <c r="O350" s="111"/>
      <c r="P350" s="34"/>
    </row>
    <row x14ac:dyDescent="0.25" r="351" customHeight="1" ht="15.75">
      <c r="A351" s="117"/>
      <c r="B351" s="34"/>
      <c r="C351" s="34"/>
      <c r="D351" s="34"/>
      <c r="E351" s="34"/>
      <c r="F351" s="34"/>
      <c r="G351" s="29"/>
      <c r="H351" s="34"/>
      <c r="I351" s="85"/>
      <c r="J351" s="34"/>
      <c r="K351" s="29"/>
      <c r="L351" s="111"/>
      <c r="M351" s="111"/>
      <c r="N351" s="111"/>
      <c r="O351" s="111"/>
      <c r="P351" s="34"/>
    </row>
    <row x14ac:dyDescent="0.25" r="352" customHeight="1" ht="15.75">
      <c r="A352" s="117"/>
      <c r="B352" s="34"/>
      <c r="C352" s="34"/>
      <c r="D352" s="34"/>
      <c r="E352" s="34"/>
      <c r="F352" s="34"/>
      <c r="G352" s="29"/>
      <c r="H352" s="34"/>
      <c r="I352" s="85"/>
      <c r="J352" s="34"/>
      <c r="K352" s="29"/>
      <c r="L352" s="111"/>
      <c r="M352" s="111"/>
      <c r="N352" s="111"/>
      <c r="O352" s="111"/>
      <c r="P352" s="34"/>
    </row>
    <row x14ac:dyDescent="0.25" r="353" customHeight="1" ht="15.75">
      <c r="A353" s="117"/>
      <c r="B353" s="34"/>
      <c r="C353" s="34"/>
      <c r="D353" s="34"/>
      <c r="E353" s="34"/>
      <c r="F353" s="34"/>
      <c r="G353" s="29"/>
      <c r="H353" s="34"/>
      <c r="I353" s="85"/>
      <c r="J353" s="34"/>
      <c r="K353" s="29"/>
      <c r="L353" s="111"/>
      <c r="M353" s="111"/>
      <c r="N353" s="111"/>
      <c r="O353" s="111"/>
      <c r="P353" s="34"/>
    </row>
    <row x14ac:dyDescent="0.25" r="354" customHeight="1" ht="15.75">
      <c r="A354" s="117"/>
      <c r="B354" s="34"/>
      <c r="C354" s="34"/>
      <c r="D354" s="34"/>
      <c r="E354" s="34"/>
      <c r="F354" s="34"/>
      <c r="G354" s="29"/>
      <c r="H354" s="34"/>
      <c r="I354" s="85"/>
      <c r="J354" s="34"/>
      <c r="K354" s="29"/>
      <c r="L354" s="111"/>
      <c r="M354" s="111"/>
      <c r="N354" s="111"/>
      <c r="O354" s="111"/>
      <c r="P354" s="34"/>
    </row>
    <row x14ac:dyDescent="0.25" r="355" customHeight="1" ht="15.75">
      <c r="A355" s="117"/>
      <c r="B355" s="34"/>
      <c r="C355" s="34"/>
      <c r="D355" s="34"/>
      <c r="E355" s="34"/>
      <c r="F355" s="34"/>
      <c r="G355" s="29"/>
      <c r="H355" s="34"/>
      <c r="I355" s="85"/>
      <c r="J355" s="34"/>
      <c r="K355" s="29"/>
      <c r="L355" s="111"/>
      <c r="M355" s="111"/>
      <c r="N355" s="111"/>
      <c r="O355" s="111"/>
      <c r="P355" s="34"/>
    </row>
    <row x14ac:dyDescent="0.25" r="356" customHeight="1" ht="15.75">
      <c r="A356" s="117"/>
      <c r="B356" s="34"/>
      <c r="C356" s="34"/>
      <c r="D356" s="34"/>
      <c r="E356" s="34"/>
      <c r="F356" s="34"/>
      <c r="G356" s="29"/>
      <c r="H356" s="34"/>
      <c r="I356" s="85"/>
      <c r="J356" s="34"/>
      <c r="K356" s="29"/>
      <c r="L356" s="111"/>
      <c r="M356" s="111"/>
      <c r="N356" s="111"/>
      <c r="O356" s="111"/>
      <c r="P356" s="34"/>
    </row>
    <row x14ac:dyDescent="0.25" r="357" customHeight="1" ht="15.75">
      <c r="A357" s="117"/>
      <c r="B357" s="34"/>
      <c r="C357" s="34"/>
      <c r="D357" s="34"/>
      <c r="E357" s="34"/>
      <c r="F357" s="34"/>
      <c r="G357" s="29"/>
      <c r="H357" s="34"/>
      <c r="I357" s="85"/>
      <c r="J357" s="34"/>
      <c r="K357" s="29"/>
      <c r="L357" s="111"/>
      <c r="M357" s="111"/>
      <c r="N357" s="111"/>
      <c r="O357" s="111"/>
      <c r="P357" s="34"/>
    </row>
    <row x14ac:dyDescent="0.25" r="358" customHeight="1" ht="15.75">
      <c r="A358" s="117"/>
      <c r="B358" s="34"/>
      <c r="C358" s="34"/>
      <c r="D358" s="34"/>
      <c r="E358" s="34"/>
      <c r="F358" s="34"/>
      <c r="G358" s="29"/>
      <c r="H358" s="34"/>
      <c r="I358" s="85"/>
      <c r="J358" s="34"/>
      <c r="K358" s="29"/>
      <c r="L358" s="111"/>
      <c r="M358" s="111"/>
      <c r="N358" s="111"/>
      <c r="O358" s="111"/>
      <c r="P358" s="34"/>
    </row>
    <row x14ac:dyDescent="0.25" r="359" customHeight="1" ht="15.75">
      <c r="A359" s="117"/>
      <c r="B359" s="34"/>
      <c r="C359" s="34"/>
      <c r="D359" s="34"/>
      <c r="E359" s="34"/>
      <c r="F359" s="34"/>
      <c r="G359" s="29"/>
      <c r="H359" s="34"/>
      <c r="I359" s="85"/>
      <c r="J359" s="34"/>
      <c r="K359" s="29"/>
      <c r="L359" s="111"/>
      <c r="M359" s="111"/>
      <c r="N359" s="111"/>
      <c r="O359" s="111"/>
      <c r="P359" s="34"/>
    </row>
    <row x14ac:dyDescent="0.25" r="360" customHeight="1" ht="15.75">
      <c r="A360" s="117"/>
      <c r="B360" s="34"/>
      <c r="C360" s="34"/>
      <c r="D360" s="34"/>
      <c r="E360" s="34"/>
      <c r="F360" s="34"/>
      <c r="G360" s="29"/>
      <c r="H360" s="34"/>
      <c r="I360" s="85"/>
      <c r="J360" s="34"/>
      <c r="K360" s="29"/>
      <c r="L360" s="111"/>
      <c r="M360" s="111"/>
      <c r="N360" s="111"/>
      <c r="O360" s="111"/>
      <c r="P360" s="34"/>
    </row>
    <row x14ac:dyDescent="0.25" r="361" customHeight="1" ht="15.75">
      <c r="A361" s="117"/>
      <c r="B361" s="34"/>
      <c r="C361" s="34"/>
      <c r="D361" s="34"/>
      <c r="E361" s="34"/>
      <c r="F361" s="34"/>
      <c r="G361" s="29"/>
      <c r="H361" s="34"/>
      <c r="I361" s="85"/>
      <c r="J361" s="34"/>
      <c r="K361" s="29"/>
      <c r="L361" s="111"/>
      <c r="M361" s="111"/>
      <c r="N361" s="111"/>
      <c r="O361" s="111"/>
      <c r="P361" s="34"/>
    </row>
    <row x14ac:dyDescent="0.25" r="362" customHeight="1" ht="15.75">
      <c r="A362" s="117"/>
      <c r="B362" s="34"/>
      <c r="C362" s="34"/>
      <c r="D362" s="34"/>
      <c r="E362" s="34"/>
      <c r="F362" s="34"/>
      <c r="G362" s="29"/>
      <c r="H362" s="34"/>
      <c r="I362" s="85"/>
      <c r="J362" s="34"/>
      <c r="K362" s="29"/>
      <c r="L362" s="111"/>
      <c r="M362" s="111"/>
      <c r="N362" s="111"/>
      <c r="O362" s="111"/>
      <c r="P362" s="34"/>
    </row>
    <row x14ac:dyDescent="0.25" r="363" customHeight="1" ht="15.75">
      <c r="A363" s="117"/>
      <c r="B363" s="34"/>
      <c r="C363" s="34"/>
      <c r="D363" s="34"/>
      <c r="E363" s="34"/>
      <c r="F363" s="34"/>
      <c r="G363" s="29"/>
      <c r="H363" s="34"/>
      <c r="I363" s="85"/>
      <c r="J363" s="34"/>
      <c r="K363" s="29"/>
      <c r="L363" s="111"/>
      <c r="M363" s="111"/>
      <c r="N363" s="111"/>
      <c r="O363" s="111"/>
      <c r="P363" s="34"/>
    </row>
    <row x14ac:dyDescent="0.25" r="364" customHeight="1" ht="15.75">
      <c r="A364" s="117"/>
      <c r="B364" s="34"/>
      <c r="C364" s="34"/>
      <c r="D364" s="34"/>
      <c r="E364" s="34"/>
      <c r="F364" s="34"/>
      <c r="G364" s="29"/>
      <c r="H364" s="34"/>
      <c r="I364" s="85"/>
      <c r="J364" s="34"/>
      <c r="K364" s="29"/>
      <c r="L364" s="111"/>
      <c r="M364" s="111"/>
      <c r="N364" s="111"/>
      <c r="O364" s="111"/>
      <c r="P364" s="34"/>
    </row>
    <row x14ac:dyDescent="0.25" r="365" customHeight="1" ht="15.75">
      <c r="A365" s="117"/>
      <c r="B365" s="34"/>
      <c r="C365" s="34"/>
      <c r="D365" s="34"/>
      <c r="E365" s="34"/>
      <c r="F365" s="34"/>
      <c r="G365" s="29"/>
      <c r="H365" s="34"/>
      <c r="I365" s="85"/>
      <c r="J365" s="34"/>
      <c r="K365" s="29"/>
      <c r="L365" s="111"/>
      <c r="M365" s="111"/>
      <c r="N365" s="111"/>
      <c r="O365" s="111"/>
      <c r="P365" s="34"/>
    </row>
    <row x14ac:dyDescent="0.25" r="366" customHeight="1" ht="15.75">
      <c r="A366" s="117"/>
      <c r="B366" s="34"/>
      <c r="C366" s="34"/>
      <c r="D366" s="34"/>
      <c r="E366" s="34"/>
      <c r="F366" s="34"/>
      <c r="G366" s="29"/>
      <c r="H366" s="34"/>
      <c r="I366" s="85"/>
      <c r="J366" s="34"/>
      <c r="K366" s="29"/>
      <c r="L366" s="111"/>
      <c r="M366" s="111"/>
      <c r="N366" s="111"/>
      <c r="O366" s="111"/>
      <c r="P366" s="34"/>
    </row>
    <row x14ac:dyDescent="0.25" r="367" customHeight="1" ht="15.75">
      <c r="A367" s="117"/>
      <c r="B367" s="34"/>
      <c r="C367" s="34"/>
      <c r="D367" s="34"/>
      <c r="E367" s="34"/>
      <c r="F367" s="34"/>
      <c r="G367" s="29"/>
      <c r="H367" s="34"/>
      <c r="I367" s="85"/>
      <c r="J367" s="34"/>
      <c r="K367" s="29"/>
      <c r="L367" s="111"/>
      <c r="M367" s="111"/>
      <c r="N367" s="111"/>
      <c r="O367" s="111"/>
      <c r="P367" s="34"/>
    </row>
    <row x14ac:dyDescent="0.25" r="368" customHeight="1" ht="15.75">
      <c r="A368" s="117"/>
      <c r="B368" s="34"/>
      <c r="C368" s="34"/>
      <c r="D368" s="34"/>
      <c r="E368" s="34"/>
      <c r="F368" s="34"/>
      <c r="G368" s="29"/>
      <c r="H368" s="34"/>
      <c r="I368" s="85"/>
      <c r="J368" s="34"/>
      <c r="K368" s="29"/>
      <c r="L368" s="111"/>
      <c r="M368" s="111"/>
      <c r="N368" s="111"/>
      <c r="O368" s="111"/>
      <c r="P368" s="34"/>
    </row>
    <row x14ac:dyDescent="0.25" r="369" customHeight="1" ht="15.75">
      <c r="A369" s="117"/>
      <c r="B369" s="34"/>
      <c r="C369" s="34"/>
      <c r="D369" s="34"/>
      <c r="E369" s="34"/>
      <c r="F369" s="34"/>
      <c r="G369" s="29"/>
      <c r="H369" s="34"/>
      <c r="I369" s="85"/>
      <c r="J369" s="34"/>
      <c r="K369" s="29"/>
      <c r="L369" s="111"/>
      <c r="M369" s="111"/>
      <c r="N369" s="111"/>
      <c r="O369" s="111"/>
      <c r="P369" s="34"/>
    </row>
    <row x14ac:dyDescent="0.25" r="370" customHeight="1" ht="15.75">
      <c r="A370" s="117"/>
      <c r="B370" s="34"/>
      <c r="C370" s="34"/>
      <c r="D370" s="34"/>
      <c r="E370" s="34"/>
      <c r="F370" s="34"/>
      <c r="G370" s="29"/>
      <c r="H370" s="34"/>
      <c r="I370" s="85"/>
      <c r="J370" s="34"/>
      <c r="K370" s="29"/>
      <c r="L370" s="111"/>
      <c r="M370" s="111"/>
      <c r="N370" s="111"/>
      <c r="O370" s="111"/>
      <c r="P370" s="34"/>
    </row>
    <row x14ac:dyDescent="0.25" r="371" customHeight="1" ht="15.75">
      <c r="A371" s="117"/>
      <c r="B371" s="34"/>
      <c r="C371" s="34"/>
      <c r="D371" s="34"/>
      <c r="E371" s="34"/>
      <c r="F371" s="34"/>
      <c r="G371" s="29"/>
      <c r="H371" s="34"/>
      <c r="I371" s="85"/>
      <c r="J371" s="34"/>
      <c r="K371" s="29"/>
      <c r="L371" s="111"/>
      <c r="M371" s="111"/>
      <c r="N371" s="111"/>
      <c r="O371" s="111"/>
      <c r="P371" s="34"/>
    </row>
    <row x14ac:dyDescent="0.25" r="372" customHeight="1" ht="15.75">
      <c r="A372" s="117"/>
      <c r="B372" s="34"/>
      <c r="C372" s="34"/>
      <c r="D372" s="34"/>
      <c r="E372" s="34"/>
      <c r="F372" s="34"/>
      <c r="G372" s="29"/>
      <c r="H372" s="34"/>
      <c r="I372" s="85"/>
      <c r="J372" s="34"/>
      <c r="K372" s="29"/>
      <c r="L372" s="111"/>
      <c r="M372" s="111"/>
      <c r="N372" s="111"/>
      <c r="O372" s="111"/>
      <c r="P372" s="34"/>
    </row>
    <row x14ac:dyDescent="0.25" r="373" customHeight="1" ht="15.75">
      <c r="A373" s="117"/>
      <c r="B373" s="34"/>
      <c r="C373" s="34"/>
      <c r="D373" s="34"/>
      <c r="E373" s="34"/>
      <c r="F373" s="34"/>
      <c r="G373" s="29"/>
      <c r="H373" s="34"/>
      <c r="I373" s="85"/>
      <c r="J373" s="34"/>
      <c r="K373" s="29"/>
      <c r="L373" s="111"/>
      <c r="M373" s="111"/>
      <c r="N373" s="111"/>
      <c r="O373" s="111"/>
      <c r="P373" s="34"/>
    </row>
    <row x14ac:dyDescent="0.25" r="374" customHeight="1" ht="15.75">
      <c r="A374" s="117"/>
      <c r="B374" s="34"/>
      <c r="C374" s="34"/>
      <c r="D374" s="34"/>
      <c r="E374" s="34"/>
      <c r="F374" s="34"/>
      <c r="G374" s="29"/>
      <c r="H374" s="34"/>
      <c r="I374" s="85"/>
      <c r="J374" s="34"/>
      <c r="K374" s="29"/>
      <c r="L374" s="111"/>
      <c r="M374" s="111"/>
      <c r="N374" s="111"/>
      <c r="O374" s="111"/>
      <c r="P374" s="34"/>
    </row>
    <row x14ac:dyDescent="0.25" r="375" customHeight="1" ht="15.75">
      <c r="A375" s="117"/>
      <c r="B375" s="34"/>
      <c r="C375" s="34"/>
      <c r="D375" s="34"/>
      <c r="E375" s="34"/>
      <c r="F375" s="34"/>
      <c r="G375" s="29"/>
      <c r="H375" s="34"/>
      <c r="I375" s="85"/>
      <c r="J375" s="34"/>
      <c r="K375" s="29"/>
      <c r="L375" s="111"/>
      <c r="M375" s="111"/>
      <c r="N375" s="111"/>
      <c r="O375" s="111"/>
      <c r="P375" s="34"/>
    </row>
    <row x14ac:dyDescent="0.25" r="376" customHeight="1" ht="15.75">
      <c r="A376" s="117"/>
      <c r="B376" s="34"/>
      <c r="C376" s="34"/>
      <c r="D376" s="34"/>
      <c r="E376" s="34"/>
      <c r="F376" s="34"/>
      <c r="G376" s="29"/>
      <c r="H376" s="34"/>
      <c r="I376" s="85"/>
      <c r="J376" s="34"/>
      <c r="K376" s="29"/>
      <c r="L376" s="111"/>
      <c r="M376" s="111"/>
      <c r="N376" s="111"/>
      <c r="O376" s="111"/>
      <c r="P376" s="34"/>
    </row>
    <row x14ac:dyDescent="0.25" r="377" customHeight="1" ht="15.75">
      <c r="A377" s="117"/>
      <c r="B377" s="34"/>
      <c r="C377" s="34"/>
      <c r="D377" s="34"/>
      <c r="E377" s="34"/>
      <c r="F377" s="34"/>
      <c r="G377" s="29"/>
      <c r="H377" s="34"/>
      <c r="I377" s="85"/>
      <c r="J377" s="34"/>
      <c r="K377" s="29"/>
      <c r="L377" s="111"/>
      <c r="M377" s="111"/>
      <c r="N377" s="111"/>
      <c r="O377" s="111"/>
      <c r="P377" s="34"/>
    </row>
    <row x14ac:dyDescent="0.25" r="378" customHeight="1" ht="15.75">
      <c r="A378" s="117"/>
      <c r="B378" s="34"/>
      <c r="C378" s="34"/>
      <c r="D378" s="34"/>
      <c r="E378" s="34"/>
      <c r="F378" s="34"/>
      <c r="G378" s="29"/>
      <c r="H378" s="34"/>
      <c r="I378" s="85"/>
      <c r="J378" s="34"/>
      <c r="K378" s="29"/>
      <c r="L378" s="111"/>
      <c r="M378" s="111"/>
      <c r="N378" s="111"/>
      <c r="O378" s="111"/>
      <c r="P378" s="34"/>
    </row>
    <row x14ac:dyDescent="0.25" r="379" customHeight="1" ht="15.75">
      <c r="A379" s="117"/>
      <c r="B379" s="34"/>
      <c r="C379" s="34"/>
      <c r="D379" s="34"/>
      <c r="E379" s="34"/>
      <c r="F379" s="34"/>
      <c r="G379" s="29"/>
      <c r="H379" s="34"/>
      <c r="I379" s="85"/>
      <c r="J379" s="34"/>
      <c r="K379" s="29"/>
      <c r="L379" s="111"/>
      <c r="M379" s="111"/>
      <c r="N379" s="111"/>
      <c r="O379" s="111"/>
      <c r="P379" s="34"/>
    </row>
    <row x14ac:dyDescent="0.25" r="380" customHeight="1" ht="15.75">
      <c r="A380" s="117"/>
      <c r="B380" s="34"/>
      <c r="C380" s="34"/>
      <c r="D380" s="34"/>
      <c r="E380" s="34"/>
      <c r="F380" s="34"/>
      <c r="G380" s="29"/>
      <c r="H380" s="34"/>
      <c r="I380" s="85"/>
      <c r="J380" s="34"/>
      <c r="K380" s="29"/>
      <c r="L380" s="111"/>
      <c r="M380" s="111"/>
      <c r="N380" s="111"/>
      <c r="O380" s="111"/>
      <c r="P380" s="34"/>
    </row>
    <row x14ac:dyDescent="0.25" r="381" customHeight="1" ht="15.75">
      <c r="A381" s="117"/>
      <c r="B381" s="34"/>
      <c r="C381" s="34"/>
      <c r="D381" s="34"/>
      <c r="E381" s="34"/>
      <c r="F381" s="34"/>
      <c r="G381" s="29"/>
      <c r="H381" s="34"/>
      <c r="I381" s="85"/>
      <c r="J381" s="34"/>
      <c r="K381" s="29"/>
      <c r="L381" s="111"/>
      <c r="M381" s="111"/>
      <c r="N381" s="111"/>
      <c r="O381" s="111"/>
      <c r="P381" s="34"/>
    </row>
    <row x14ac:dyDescent="0.25" r="382" customHeight="1" ht="15.75">
      <c r="A382" s="117"/>
      <c r="B382" s="34"/>
      <c r="C382" s="34"/>
      <c r="D382" s="34"/>
      <c r="E382" s="34"/>
      <c r="F382" s="34"/>
      <c r="G382" s="29"/>
      <c r="H382" s="34"/>
      <c r="I382" s="85"/>
      <c r="J382" s="34"/>
      <c r="K382" s="29"/>
      <c r="L382" s="111"/>
      <c r="M382" s="111"/>
      <c r="N382" s="111"/>
      <c r="O382" s="111"/>
      <c r="P382" s="34"/>
    </row>
    <row x14ac:dyDescent="0.25" r="383" customHeight="1" ht="15.75">
      <c r="A383" s="117"/>
      <c r="B383" s="34"/>
      <c r="C383" s="34"/>
      <c r="D383" s="34"/>
      <c r="E383" s="34"/>
      <c r="F383" s="34"/>
      <c r="G383" s="29"/>
      <c r="H383" s="34"/>
      <c r="I383" s="85"/>
      <c r="J383" s="34"/>
      <c r="K383" s="29"/>
      <c r="L383" s="111"/>
      <c r="M383" s="111"/>
      <c r="N383" s="111"/>
      <c r="O383" s="111"/>
      <c r="P383" s="34"/>
    </row>
    <row x14ac:dyDescent="0.25" r="384" customHeight="1" ht="15.75">
      <c r="A384" s="117"/>
      <c r="B384" s="34"/>
      <c r="C384" s="34"/>
      <c r="D384" s="34"/>
      <c r="E384" s="34"/>
      <c r="F384" s="34"/>
      <c r="G384" s="29"/>
      <c r="H384" s="34"/>
      <c r="I384" s="85"/>
      <c r="J384" s="34"/>
      <c r="K384" s="29"/>
      <c r="L384" s="111"/>
      <c r="M384" s="111"/>
      <c r="N384" s="111"/>
      <c r="O384" s="111"/>
      <c r="P384" s="34"/>
    </row>
    <row x14ac:dyDescent="0.25" r="385" customHeight="1" ht="15.75">
      <c r="A385" s="117"/>
      <c r="B385" s="34"/>
      <c r="C385" s="34"/>
      <c r="D385" s="34"/>
      <c r="E385" s="34"/>
      <c r="F385" s="34"/>
      <c r="G385" s="29"/>
      <c r="H385" s="34"/>
      <c r="I385" s="85"/>
      <c r="J385" s="34"/>
      <c r="K385" s="29"/>
      <c r="L385" s="111"/>
      <c r="M385" s="111"/>
      <c r="N385" s="111"/>
      <c r="O385" s="111"/>
      <c r="P385" s="34"/>
    </row>
    <row x14ac:dyDescent="0.25" r="386" customHeight="1" ht="15.75">
      <c r="A386" s="117"/>
      <c r="B386" s="34"/>
      <c r="C386" s="34"/>
      <c r="D386" s="34"/>
      <c r="E386" s="34"/>
      <c r="F386" s="34"/>
      <c r="G386" s="29"/>
      <c r="H386" s="34"/>
      <c r="I386" s="85"/>
      <c r="J386" s="34"/>
      <c r="K386" s="29"/>
      <c r="L386" s="111"/>
      <c r="M386" s="111"/>
      <c r="N386" s="111"/>
      <c r="O386" s="111"/>
      <c r="P386" s="34"/>
    </row>
    <row x14ac:dyDescent="0.25" r="387" customHeight="1" ht="15.75">
      <c r="A387" s="117"/>
      <c r="B387" s="34"/>
      <c r="C387" s="34"/>
      <c r="D387" s="34"/>
      <c r="E387" s="34"/>
      <c r="F387" s="34"/>
      <c r="G387" s="29"/>
      <c r="H387" s="34"/>
      <c r="I387" s="85"/>
      <c r="J387" s="34"/>
      <c r="K387" s="29"/>
      <c r="L387" s="111"/>
      <c r="M387" s="111"/>
      <c r="N387" s="111"/>
      <c r="O387" s="111"/>
      <c r="P387" s="34"/>
    </row>
    <row x14ac:dyDescent="0.25" r="388" customHeight="1" ht="15.75">
      <c r="A388" s="117"/>
      <c r="B388" s="34"/>
      <c r="C388" s="34"/>
      <c r="D388" s="34"/>
      <c r="E388" s="34"/>
      <c r="F388" s="34"/>
      <c r="G388" s="29"/>
      <c r="H388" s="34"/>
      <c r="I388" s="85"/>
      <c r="J388" s="34"/>
      <c r="K388" s="29"/>
      <c r="L388" s="111"/>
      <c r="M388" s="111"/>
      <c r="N388" s="111"/>
      <c r="O388" s="111"/>
      <c r="P388" s="34"/>
    </row>
    <row x14ac:dyDescent="0.25" r="389" customHeight="1" ht="15.75">
      <c r="A389" s="117"/>
      <c r="B389" s="34"/>
      <c r="C389" s="34"/>
      <c r="D389" s="34"/>
      <c r="E389" s="34"/>
      <c r="F389" s="34"/>
      <c r="G389" s="29"/>
      <c r="H389" s="34"/>
      <c r="I389" s="85"/>
      <c r="J389" s="34"/>
      <c r="K389" s="29"/>
      <c r="L389" s="111"/>
      <c r="M389" s="111"/>
      <c r="N389" s="111"/>
      <c r="O389" s="111"/>
      <c r="P389" s="34"/>
    </row>
    <row x14ac:dyDescent="0.25" r="390" customHeight="1" ht="15.75">
      <c r="A390" s="117"/>
      <c r="B390" s="34"/>
      <c r="C390" s="34"/>
      <c r="D390" s="34"/>
      <c r="E390" s="34"/>
      <c r="F390" s="34"/>
      <c r="G390" s="29"/>
      <c r="H390" s="34"/>
      <c r="I390" s="85"/>
      <c r="J390" s="34"/>
      <c r="K390" s="29"/>
      <c r="L390" s="111"/>
      <c r="M390" s="111"/>
      <c r="N390" s="111"/>
      <c r="O390" s="111"/>
      <c r="P390" s="34"/>
    </row>
    <row x14ac:dyDescent="0.25" r="391" customHeight="1" ht="15.75">
      <c r="A391" s="117"/>
      <c r="B391" s="34"/>
      <c r="C391" s="34"/>
      <c r="D391" s="34"/>
      <c r="E391" s="34"/>
      <c r="F391" s="34"/>
      <c r="G391" s="29"/>
      <c r="H391" s="34"/>
      <c r="I391" s="85"/>
      <c r="J391" s="34"/>
      <c r="K391" s="29"/>
      <c r="L391" s="111"/>
      <c r="M391" s="111"/>
      <c r="N391" s="111"/>
      <c r="O391" s="111"/>
      <c r="P391" s="34"/>
    </row>
    <row x14ac:dyDescent="0.25" r="392" customHeight="1" ht="15.75">
      <c r="A392" s="117"/>
      <c r="B392" s="34"/>
      <c r="C392" s="34"/>
      <c r="D392" s="34"/>
      <c r="E392" s="34"/>
      <c r="F392" s="34"/>
      <c r="G392" s="29"/>
      <c r="H392" s="34"/>
      <c r="I392" s="85"/>
      <c r="J392" s="34"/>
      <c r="K392" s="29"/>
      <c r="L392" s="111"/>
      <c r="M392" s="111"/>
      <c r="N392" s="111"/>
      <c r="O392" s="111"/>
      <c r="P392" s="34"/>
    </row>
    <row x14ac:dyDescent="0.25" r="393" customHeight="1" ht="15.75">
      <c r="A393" s="117"/>
      <c r="B393" s="34"/>
      <c r="C393" s="34"/>
      <c r="D393" s="34"/>
      <c r="E393" s="34"/>
      <c r="F393" s="34"/>
      <c r="G393" s="29"/>
      <c r="H393" s="34"/>
      <c r="I393" s="85"/>
      <c r="J393" s="34"/>
      <c r="K393" s="29"/>
      <c r="L393" s="111"/>
      <c r="M393" s="111"/>
      <c r="N393" s="111"/>
      <c r="O393" s="111"/>
      <c r="P393" s="34"/>
    </row>
    <row x14ac:dyDescent="0.25" r="394" customHeight="1" ht="15.75">
      <c r="A394" s="117"/>
      <c r="B394" s="34"/>
      <c r="C394" s="34"/>
      <c r="D394" s="34"/>
      <c r="E394" s="34"/>
      <c r="F394" s="34"/>
      <c r="G394" s="29"/>
      <c r="H394" s="34"/>
      <c r="I394" s="85"/>
      <c r="J394" s="34"/>
      <c r="K394" s="29"/>
      <c r="L394" s="111"/>
      <c r="M394" s="111"/>
      <c r="N394" s="111"/>
      <c r="O394" s="111"/>
      <c r="P394" s="34"/>
    </row>
    <row x14ac:dyDescent="0.25" r="395" customHeight="1" ht="15.75">
      <c r="A395" s="117"/>
      <c r="B395" s="34"/>
      <c r="C395" s="34"/>
      <c r="D395" s="34"/>
      <c r="E395" s="34"/>
      <c r="F395" s="34"/>
      <c r="G395" s="29"/>
      <c r="H395" s="34"/>
      <c r="I395" s="85"/>
      <c r="J395" s="34"/>
      <c r="K395" s="29"/>
      <c r="L395" s="111"/>
      <c r="M395" s="111"/>
      <c r="N395" s="111"/>
      <c r="O395" s="111"/>
      <c r="P395" s="34"/>
    </row>
    <row x14ac:dyDescent="0.25" r="396" customHeight="1" ht="15.75">
      <c r="A396" s="117"/>
      <c r="B396" s="34"/>
      <c r="C396" s="34"/>
      <c r="D396" s="34"/>
      <c r="E396" s="34"/>
      <c r="F396" s="34"/>
      <c r="G396" s="29"/>
      <c r="H396" s="34"/>
      <c r="I396" s="85"/>
      <c r="J396" s="34"/>
      <c r="K396" s="29"/>
      <c r="L396" s="111"/>
      <c r="M396" s="111"/>
      <c r="N396" s="111"/>
      <c r="O396" s="111"/>
      <c r="P396" s="34"/>
    </row>
    <row x14ac:dyDescent="0.25" r="397" customHeight="1" ht="15.75">
      <c r="A397" s="117"/>
      <c r="B397" s="34"/>
      <c r="C397" s="34"/>
      <c r="D397" s="34"/>
      <c r="E397" s="34"/>
      <c r="F397" s="34"/>
      <c r="G397" s="29"/>
      <c r="H397" s="34"/>
      <c r="I397" s="85"/>
      <c r="J397" s="34"/>
      <c r="K397" s="29"/>
      <c r="L397" s="111"/>
      <c r="M397" s="111"/>
      <c r="N397" s="111"/>
      <c r="O397" s="111"/>
      <c r="P397" s="34"/>
    </row>
    <row x14ac:dyDescent="0.25" r="398" customHeight="1" ht="15.75">
      <c r="A398" s="117"/>
      <c r="B398" s="34"/>
      <c r="C398" s="34"/>
      <c r="D398" s="34"/>
      <c r="E398" s="34"/>
      <c r="F398" s="34"/>
      <c r="G398" s="29"/>
      <c r="H398" s="34"/>
      <c r="I398" s="85"/>
      <c r="J398" s="34"/>
      <c r="K398" s="29"/>
      <c r="L398" s="111"/>
      <c r="M398" s="111"/>
      <c r="N398" s="111"/>
      <c r="O398" s="111"/>
      <c r="P398" s="34"/>
    </row>
    <row x14ac:dyDescent="0.25" r="399" customHeight="1" ht="15.75">
      <c r="A399" s="117"/>
      <c r="B399" s="34"/>
      <c r="C399" s="34"/>
      <c r="D399" s="34"/>
      <c r="E399" s="34"/>
      <c r="F399" s="34"/>
      <c r="G399" s="29"/>
      <c r="H399" s="34"/>
      <c r="I399" s="85"/>
      <c r="J399" s="34"/>
      <c r="K399" s="29"/>
      <c r="L399" s="111"/>
      <c r="M399" s="111"/>
      <c r="N399" s="111"/>
      <c r="O399" s="111"/>
      <c r="P399" s="34"/>
    </row>
    <row x14ac:dyDescent="0.25" r="400" customHeight="1" ht="15.75">
      <c r="A400" s="117"/>
      <c r="B400" s="34"/>
      <c r="C400" s="34"/>
      <c r="D400" s="34"/>
      <c r="E400" s="34"/>
      <c r="F400" s="34"/>
      <c r="G400" s="29"/>
      <c r="H400" s="34"/>
      <c r="I400" s="85"/>
      <c r="J400" s="34"/>
      <c r="K400" s="29"/>
      <c r="L400" s="111"/>
      <c r="M400" s="111"/>
      <c r="N400" s="111"/>
      <c r="O400" s="111"/>
      <c r="P400" s="34"/>
    </row>
    <row x14ac:dyDescent="0.25" r="401" customHeight="1" ht="15.75">
      <c r="A401" s="117"/>
      <c r="B401" s="34"/>
      <c r="C401" s="34"/>
      <c r="D401" s="34"/>
      <c r="E401" s="34"/>
      <c r="F401" s="34"/>
      <c r="G401" s="29"/>
      <c r="H401" s="34"/>
      <c r="I401" s="85"/>
      <c r="J401" s="34"/>
      <c r="K401" s="29"/>
      <c r="L401" s="111"/>
      <c r="M401" s="111"/>
      <c r="N401" s="111"/>
      <c r="O401" s="111"/>
      <c r="P401" s="34"/>
    </row>
    <row x14ac:dyDescent="0.25" r="402" customHeight="1" ht="15.75">
      <c r="A402" s="117"/>
      <c r="B402" s="34"/>
      <c r="C402" s="34"/>
      <c r="D402" s="34"/>
      <c r="E402" s="34"/>
      <c r="F402" s="34"/>
      <c r="G402" s="29"/>
      <c r="H402" s="34"/>
      <c r="I402" s="85"/>
      <c r="J402" s="34"/>
      <c r="K402" s="29"/>
      <c r="L402" s="111"/>
      <c r="M402" s="111"/>
      <c r="N402" s="111"/>
      <c r="O402" s="111"/>
      <c r="P402" s="34"/>
    </row>
    <row x14ac:dyDescent="0.25" r="403" customHeight="1" ht="15.75">
      <c r="A403" s="117"/>
      <c r="B403" s="34"/>
      <c r="C403" s="34"/>
      <c r="D403" s="34"/>
      <c r="E403" s="34"/>
      <c r="F403" s="34"/>
      <c r="G403" s="29"/>
      <c r="H403" s="34"/>
      <c r="I403" s="85"/>
      <c r="J403" s="34"/>
      <c r="K403" s="29"/>
      <c r="L403" s="111"/>
      <c r="M403" s="111"/>
      <c r="N403" s="111"/>
      <c r="O403" s="111"/>
      <c r="P403" s="34"/>
    </row>
    <row x14ac:dyDescent="0.25" r="404" customHeight="1" ht="15.75">
      <c r="A404" s="117"/>
      <c r="B404" s="34"/>
      <c r="C404" s="34"/>
      <c r="D404" s="34"/>
      <c r="E404" s="34"/>
      <c r="F404" s="34"/>
      <c r="G404" s="29"/>
      <c r="H404" s="34"/>
      <c r="I404" s="85"/>
      <c r="J404" s="34"/>
      <c r="K404" s="29"/>
      <c r="L404" s="111"/>
      <c r="M404" s="111"/>
      <c r="N404" s="111"/>
      <c r="O404" s="111"/>
      <c r="P404" s="34"/>
    </row>
    <row x14ac:dyDescent="0.25" r="405" customHeight="1" ht="15.75">
      <c r="A405" s="117"/>
      <c r="B405" s="34"/>
      <c r="C405" s="34"/>
      <c r="D405" s="34"/>
      <c r="E405" s="34"/>
      <c r="F405" s="34"/>
      <c r="G405" s="29"/>
      <c r="H405" s="34"/>
      <c r="I405" s="85"/>
      <c r="J405" s="34"/>
      <c r="K405" s="29"/>
      <c r="L405" s="111"/>
      <c r="M405" s="111"/>
      <c r="N405" s="111"/>
      <c r="O405" s="111"/>
      <c r="P405" s="34"/>
    </row>
    <row x14ac:dyDescent="0.25" r="406" customHeight="1" ht="15.75">
      <c r="A406" s="117"/>
      <c r="B406" s="34"/>
      <c r="C406" s="34"/>
      <c r="D406" s="34"/>
      <c r="E406" s="34"/>
      <c r="F406" s="34"/>
      <c r="G406" s="29"/>
      <c r="H406" s="34"/>
      <c r="I406" s="85"/>
      <c r="J406" s="34"/>
      <c r="K406" s="29"/>
      <c r="L406" s="111"/>
      <c r="M406" s="111"/>
      <c r="N406" s="111"/>
      <c r="O406" s="111"/>
      <c r="P406" s="34"/>
    </row>
    <row x14ac:dyDescent="0.25" r="407" customHeight="1" ht="15.75">
      <c r="A407" s="117"/>
      <c r="B407" s="34"/>
      <c r="C407" s="34"/>
      <c r="D407" s="34"/>
      <c r="E407" s="34"/>
      <c r="F407" s="34"/>
      <c r="G407" s="29"/>
      <c r="H407" s="34"/>
      <c r="I407" s="85"/>
      <c r="J407" s="34"/>
      <c r="K407" s="29"/>
      <c r="L407" s="111"/>
      <c r="M407" s="111"/>
      <c r="N407" s="111"/>
      <c r="O407" s="111"/>
      <c r="P407" s="34"/>
    </row>
    <row x14ac:dyDescent="0.25" r="408" customHeight="1" ht="15.75">
      <c r="A408" s="117"/>
      <c r="B408" s="34"/>
      <c r="C408" s="34"/>
      <c r="D408" s="34"/>
      <c r="E408" s="34"/>
      <c r="F408" s="34"/>
      <c r="G408" s="29"/>
      <c r="H408" s="34"/>
      <c r="I408" s="85"/>
      <c r="J408" s="34"/>
      <c r="K408" s="29"/>
      <c r="L408" s="111"/>
      <c r="M408" s="111"/>
      <c r="N408" s="111"/>
      <c r="O408" s="111"/>
      <c r="P408" s="34"/>
    </row>
    <row x14ac:dyDescent="0.25" r="409" customHeight="1" ht="15.75">
      <c r="A409" s="117"/>
      <c r="B409" s="34"/>
      <c r="C409" s="34"/>
      <c r="D409" s="34"/>
      <c r="E409" s="34"/>
      <c r="F409" s="34"/>
      <c r="G409" s="29"/>
      <c r="H409" s="34"/>
      <c r="I409" s="85"/>
      <c r="J409" s="34"/>
      <c r="K409" s="29"/>
      <c r="L409" s="111"/>
      <c r="M409" s="111"/>
      <c r="N409" s="111"/>
      <c r="O409" s="111"/>
      <c r="P409" s="34"/>
    </row>
    <row x14ac:dyDescent="0.25" r="410" customHeight="1" ht="15.75">
      <c r="A410" s="117"/>
      <c r="B410" s="34"/>
      <c r="C410" s="34"/>
      <c r="D410" s="34"/>
      <c r="E410" s="34"/>
      <c r="F410" s="34"/>
      <c r="G410" s="29"/>
      <c r="H410" s="34"/>
      <c r="I410" s="85"/>
      <c r="J410" s="34"/>
      <c r="K410" s="29"/>
      <c r="L410" s="111"/>
      <c r="M410" s="111"/>
      <c r="N410" s="111"/>
      <c r="O410" s="111"/>
      <c r="P410" s="34"/>
    </row>
    <row x14ac:dyDescent="0.25" r="411" customHeight="1" ht="15.75">
      <c r="A411" s="117"/>
      <c r="B411" s="34"/>
      <c r="C411" s="34"/>
      <c r="D411" s="34"/>
      <c r="E411" s="34"/>
      <c r="F411" s="34"/>
      <c r="G411" s="29"/>
      <c r="H411" s="34"/>
      <c r="I411" s="85"/>
      <c r="J411" s="34"/>
      <c r="K411" s="29"/>
      <c r="L411" s="111"/>
      <c r="M411" s="111"/>
      <c r="N411" s="111"/>
      <c r="O411" s="111"/>
      <c r="P411" s="34"/>
    </row>
    <row x14ac:dyDescent="0.25" r="412" customHeight="1" ht="15.75">
      <c r="A412" s="117"/>
      <c r="B412" s="34"/>
      <c r="C412" s="34"/>
      <c r="D412" s="34"/>
      <c r="E412" s="34"/>
      <c r="F412" s="34"/>
      <c r="G412" s="29"/>
      <c r="H412" s="34"/>
      <c r="I412" s="85"/>
      <c r="J412" s="34"/>
      <c r="K412" s="29"/>
      <c r="L412" s="111"/>
      <c r="M412" s="111"/>
      <c r="N412" s="111"/>
      <c r="O412" s="111"/>
      <c r="P412" s="34"/>
    </row>
    <row x14ac:dyDescent="0.25" r="413" customHeight="1" ht="15.75">
      <c r="A413" s="117"/>
      <c r="B413" s="34"/>
      <c r="C413" s="34"/>
      <c r="D413" s="34"/>
      <c r="E413" s="34"/>
      <c r="F413" s="34"/>
      <c r="G413" s="29"/>
      <c r="H413" s="34"/>
      <c r="I413" s="85"/>
      <c r="J413" s="34"/>
      <c r="K413" s="29"/>
      <c r="L413" s="111"/>
      <c r="M413" s="111"/>
      <c r="N413" s="111"/>
      <c r="O413" s="111"/>
      <c r="P413" s="34"/>
    </row>
    <row x14ac:dyDescent="0.25" r="414" customHeight="1" ht="15.75">
      <c r="A414" s="117"/>
      <c r="B414" s="34"/>
      <c r="C414" s="34"/>
      <c r="D414" s="34"/>
      <c r="E414" s="34"/>
      <c r="F414" s="34"/>
      <c r="G414" s="29"/>
      <c r="H414" s="34"/>
      <c r="I414" s="85"/>
      <c r="J414" s="34"/>
      <c r="K414" s="29"/>
      <c r="L414" s="111"/>
      <c r="M414" s="111"/>
      <c r="N414" s="111"/>
      <c r="O414" s="111"/>
      <c r="P414" s="34"/>
    </row>
    <row x14ac:dyDescent="0.25" r="415" customHeight="1" ht="15.75">
      <c r="A415" s="117"/>
      <c r="B415" s="34"/>
      <c r="C415" s="34"/>
      <c r="D415" s="34"/>
      <c r="E415" s="34"/>
      <c r="F415" s="34"/>
      <c r="G415" s="29"/>
      <c r="H415" s="34"/>
      <c r="I415" s="85"/>
      <c r="J415" s="34"/>
      <c r="K415" s="29"/>
      <c r="L415" s="111"/>
      <c r="M415" s="111"/>
      <c r="N415" s="111"/>
      <c r="O415" s="111"/>
      <c r="P415" s="34"/>
    </row>
    <row x14ac:dyDescent="0.25" r="416" customHeight="1" ht="15.75">
      <c r="A416" s="117"/>
      <c r="B416" s="34"/>
      <c r="C416" s="34"/>
      <c r="D416" s="34"/>
      <c r="E416" s="34"/>
      <c r="F416" s="34"/>
      <c r="G416" s="29"/>
      <c r="H416" s="34"/>
      <c r="I416" s="85"/>
      <c r="J416" s="34"/>
      <c r="K416" s="29"/>
      <c r="L416" s="111"/>
      <c r="M416" s="111"/>
      <c r="N416" s="111"/>
      <c r="O416" s="111"/>
      <c r="P416" s="34"/>
    </row>
    <row x14ac:dyDescent="0.25" r="417" customHeight="1" ht="15.75">
      <c r="A417" s="117"/>
      <c r="B417" s="34"/>
      <c r="C417" s="34"/>
      <c r="D417" s="34"/>
      <c r="E417" s="34"/>
      <c r="F417" s="34"/>
      <c r="G417" s="29"/>
      <c r="H417" s="34"/>
      <c r="I417" s="85"/>
      <c r="J417" s="34"/>
      <c r="K417" s="29"/>
      <c r="L417" s="111"/>
      <c r="M417" s="111"/>
      <c r="N417" s="111"/>
      <c r="O417" s="111"/>
      <c r="P417" s="34"/>
    </row>
    <row x14ac:dyDescent="0.25" r="418" customHeight="1" ht="15.75">
      <c r="A418" s="117"/>
      <c r="B418" s="34"/>
      <c r="C418" s="34"/>
      <c r="D418" s="34"/>
      <c r="E418" s="34"/>
      <c r="F418" s="34"/>
      <c r="G418" s="29"/>
      <c r="H418" s="34"/>
      <c r="I418" s="85"/>
      <c r="J418" s="34"/>
      <c r="K418" s="29"/>
      <c r="L418" s="111"/>
      <c r="M418" s="111"/>
      <c r="N418" s="111"/>
      <c r="O418" s="111"/>
      <c r="P418" s="34"/>
    </row>
    <row x14ac:dyDescent="0.25" r="419" customHeight="1" ht="15.75">
      <c r="A419" s="117"/>
      <c r="B419" s="34"/>
      <c r="C419" s="34"/>
      <c r="D419" s="34"/>
      <c r="E419" s="34"/>
      <c r="F419" s="34"/>
      <c r="G419" s="29"/>
      <c r="H419" s="34"/>
      <c r="I419" s="85"/>
      <c r="J419" s="34"/>
      <c r="K419" s="29"/>
      <c r="L419" s="111"/>
      <c r="M419" s="111"/>
      <c r="N419" s="111"/>
      <c r="O419" s="111"/>
      <c r="P419" s="34"/>
    </row>
    <row x14ac:dyDescent="0.25" r="420" customHeight="1" ht="15.75">
      <c r="A420" s="117"/>
      <c r="B420" s="34"/>
      <c r="C420" s="34"/>
      <c r="D420" s="34"/>
      <c r="E420" s="34"/>
      <c r="F420" s="34"/>
      <c r="G420" s="29"/>
      <c r="H420" s="34"/>
      <c r="I420" s="85"/>
      <c r="J420" s="34"/>
      <c r="K420" s="29"/>
      <c r="L420" s="111"/>
      <c r="M420" s="111"/>
      <c r="N420" s="111"/>
      <c r="O420" s="111"/>
      <c r="P420" s="34"/>
    </row>
    <row x14ac:dyDescent="0.25" r="421" customHeight="1" ht="15.75">
      <c r="A421" s="117"/>
      <c r="B421" s="34"/>
      <c r="C421" s="34"/>
      <c r="D421" s="34"/>
      <c r="E421" s="34"/>
      <c r="F421" s="34"/>
      <c r="G421" s="29"/>
      <c r="H421" s="34"/>
      <c r="I421" s="85"/>
      <c r="J421" s="34"/>
      <c r="K421" s="29"/>
      <c r="L421" s="111"/>
      <c r="M421" s="111"/>
      <c r="N421" s="111"/>
      <c r="O421" s="111"/>
      <c r="P421" s="34"/>
    </row>
    <row x14ac:dyDescent="0.25" r="422" customHeight="1" ht="15.75">
      <c r="A422" s="117"/>
      <c r="B422" s="34"/>
      <c r="C422" s="34"/>
      <c r="D422" s="34"/>
      <c r="E422" s="34"/>
      <c r="F422" s="34"/>
      <c r="G422" s="29"/>
      <c r="H422" s="34"/>
      <c r="I422" s="85"/>
      <c r="J422" s="34"/>
      <c r="K422" s="29"/>
      <c r="L422" s="111"/>
      <c r="M422" s="111"/>
      <c r="N422" s="111"/>
      <c r="O422" s="111"/>
      <c r="P422" s="34"/>
    </row>
    <row x14ac:dyDescent="0.25" r="423" customHeight="1" ht="15.75">
      <c r="A423" s="117"/>
      <c r="B423" s="34"/>
      <c r="C423" s="34"/>
      <c r="D423" s="34"/>
      <c r="E423" s="34"/>
      <c r="F423" s="34"/>
      <c r="G423" s="29"/>
      <c r="H423" s="34"/>
      <c r="I423" s="85"/>
      <c r="J423" s="34"/>
      <c r="K423" s="29"/>
      <c r="L423" s="111"/>
      <c r="M423" s="111"/>
      <c r="N423" s="111"/>
      <c r="O423" s="111"/>
      <c r="P423" s="34"/>
    </row>
    <row x14ac:dyDescent="0.25" r="424" customHeight="1" ht="15.75">
      <c r="A424" s="117"/>
      <c r="B424" s="34"/>
      <c r="C424" s="34"/>
      <c r="D424" s="34"/>
      <c r="E424" s="34"/>
      <c r="F424" s="34"/>
      <c r="G424" s="29"/>
      <c r="H424" s="34"/>
      <c r="I424" s="85"/>
      <c r="J424" s="34"/>
      <c r="K424" s="29"/>
      <c r="L424" s="111"/>
      <c r="M424" s="111"/>
      <c r="N424" s="111"/>
      <c r="O424" s="111"/>
      <c r="P424" s="34"/>
    </row>
    <row x14ac:dyDescent="0.25" r="425" customHeight="1" ht="15.75">
      <c r="A425" s="117"/>
      <c r="B425" s="34"/>
      <c r="C425" s="34"/>
      <c r="D425" s="34"/>
      <c r="E425" s="34"/>
      <c r="F425" s="34"/>
      <c r="G425" s="29"/>
      <c r="H425" s="34"/>
      <c r="I425" s="85"/>
      <c r="J425" s="34"/>
      <c r="K425" s="29"/>
      <c r="L425" s="111"/>
      <c r="M425" s="111"/>
      <c r="N425" s="111"/>
      <c r="O425" s="111"/>
      <c r="P425" s="34"/>
    </row>
    <row x14ac:dyDescent="0.25" r="426" customHeight="1" ht="15.75">
      <c r="A426" s="117"/>
      <c r="B426" s="34"/>
      <c r="C426" s="34"/>
      <c r="D426" s="34"/>
      <c r="E426" s="34"/>
      <c r="F426" s="34"/>
      <c r="G426" s="29"/>
      <c r="H426" s="34"/>
      <c r="I426" s="85"/>
      <c r="J426" s="34"/>
      <c r="K426" s="29"/>
      <c r="L426" s="111"/>
      <c r="M426" s="111"/>
      <c r="N426" s="111"/>
      <c r="O426" s="111"/>
      <c r="P426" s="34"/>
    </row>
    <row x14ac:dyDescent="0.25" r="427" customHeight="1" ht="15.75">
      <c r="A427" s="117"/>
      <c r="B427" s="34"/>
      <c r="C427" s="34"/>
      <c r="D427" s="34"/>
      <c r="E427" s="34"/>
      <c r="F427" s="34"/>
      <c r="G427" s="29"/>
      <c r="H427" s="34"/>
      <c r="I427" s="85"/>
      <c r="J427" s="34"/>
      <c r="K427" s="29"/>
      <c r="L427" s="111"/>
      <c r="M427" s="111"/>
      <c r="N427" s="111"/>
      <c r="O427" s="111"/>
      <c r="P427" s="34"/>
    </row>
    <row x14ac:dyDescent="0.25" r="428" customHeight="1" ht="15.75">
      <c r="A428" s="117"/>
      <c r="B428" s="34"/>
      <c r="C428" s="34"/>
      <c r="D428" s="34"/>
      <c r="E428" s="34"/>
      <c r="F428" s="34"/>
      <c r="G428" s="29"/>
      <c r="H428" s="34"/>
      <c r="I428" s="85"/>
      <c r="J428" s="34"/>
      <c r="K428" s="29"/>
      <c r="L428" s="111"/>
      <c r="M428" s="111"/>
      <c r="N428" s="111"/>
      <c r="O428" s="111"/>
      <c r="P428" s="34"/>
    </row>
    <row x14ac:dyDescent="0.25" r="429" customHeight="1" ht="15.75">
      <c r="A429" s="117"/>
      <c r="B429" s="34"/>
      <c r="C429" s="34"/>
      <c r="D429" s="34"/>
      <c r="E429" s="34"/>
      <c r="F429" s="34"/>
      <c r="G429" s="29"/>
      <c r="H429" s="34"/>
      <c r="I429" s="85"/>
      <c r="J429" s="34"/>
      <c r="K429" s="29"/>
      <c r="L429" s="111"/>
      <c r="M429" s="111"/>
      <c r="N429" s="111"/>
      <c r="O429" s="111"/>
      <c r="P429" s="34"/>
    </row>
    <row x14ac:dyDescent="0.25" r="430" customHeight="1" ht="15.75">
      <c r="A430" s="117"/>
      <c r="B430" s="34"/>
      <c r="C430" s="34"/>
      <c r="D430" s="34"/>
      <c r="E430" s="34"/>
      <c r="F430" s="34"/>
      <c r="G430" s="29"/>
      <c r="H430" s="34"/>
      <c r="I430" s="85"/>
      <c r="J430" s="34"/>
      <c r="K430" s="29"/>
      <c r="L430" s="111"/>
      <c r="M430" s="111"/>
      <c r="N430" s="111"/>
      <c r="O430" s="111"/>
      <c r="P430" s="34"/>
    </row>
    <row x14ac:dyDescent="0.25" r="431" customHeight="1" ht="15.75">
      <c r="A431" s="117"/>
      <c r="B431" s="34"/>
      <c r="C431" s="34"/>
      <c r="D431" s="34"/>
      <c r="E431" s="34"/>
      <c r="F431" s="34"/>
      <c r="G431" s="29"/>
      <c r="H431" s="34"/>
      <c r="I431" s="85"/>
      <c r="J431" s="34"/>
      <c r="K431" s="29"/>
      <c r="L431" s="111"/>
      <c r="M431" s="111"/>
      <c r="N431" s="111"/>
      <c r="O431" s="111"/>
      <c r="P431" s="34"/>
    </row>
    <row x14ac:dyDescent="0.25" r="432" customHeight="1" ht="15.75">
      <c r="A432" s="117"/>
      <c r="B432" s="34"/>
      <c r="C432" s="34"/>
      <c r="D432" s="34"/>
      <c r="E432" s="34"/>
      <c r="F432" s="34"/>
      <c r="G432" s="29"/>
      <c r="H432" s="34"/>
      <c r="I432" s="85"/>
      <c r="J432" s="34"/>
      <c r="K432" s="29"/>
      <c r="L432" s="111"/>
      <c r="M432" s="111"/>
      <c r="N432" s="111"/>
      <c r="O432" s="111"/>
      <c r="P432" s="34"/>
    </row>
    <row x14ac:dyDescent="0.25" r="433" customHeight="1" ht="15.75">
      <c r="A433" s="117"/>
      <c r="B433" s="34"/>
      <c r="C433" s="34"/>
      <c r="D433" s="34"/>
      <c r="E433" s="34"/>
      <c r="F433" s="34"/>
      <c r="G433" s="29"/>
      <c r="H433" s="34"/>
      <c r="I433" s="85"/>
      <c r="J433" s="34"/>
      <c r="K433" s="29"/>
      <c r="L433" s="111"/>
      <c r="M433" s="111"/>
      <c r="N433" s="111"/>
      <c r="O433" s="111"/>
      <c r="P433" s="34"/>
    </row>
    <row x14ac:dyDescent="0.25" r="434" customHeight="1" ht="15.75">
      <c r="A434" s="117"/>
      <c r="B434" s="34"/>
      <c r="C434" s="34"/>
      <c r="D434" s="34"/>
      <c r="E434" s="34"/>
      <c r="F434" s="34"/>
      <c r="G434" s="29"/>
      <c r="H434" s="34"/>
      <c r="I434" s="85"/>
      <c r="J434" s="34"/>
      <c r="K434" s="29"/>
      <c r="L434" s="111"/>
      <c r="M434" s="111"/>
      <c r="N434" s="111"/>
      <c r="O434" s="111"/>
      <c r="P434" s="34"/>
    </row>
    <row x14ac:dyDescent="0.25" r="435" customHeight="1" ht="15.75">
      <c r="A435" s="117"/>
      <c r="B435" s="34"/>
      <c r="C435" s="34"/>
      <c r="D435" s="34"/>
      <c r="E435" s="34"/>
      <c r="F435" s="34"/>
      <c r="G435" s="29"/>
      <c r="H435" s="34"/>
      <c r="I435" s="85"/>
      <c r="J435" s="34"/>
      <c r="K435" s="29"/>
      <c r="L435" s="111"/>
      <c r="M435" s="111"/>
      <c r="N435" s="111"/>
      <c r="O435" s="111"/>
      <c r="P435" s="34"/>
    </row>
    <row x14ac:dyDescent="0.25" r="436" customHeight="1" ht="15.75">
      <c r="A436" s="117"/>
      <c r="B436" s="34"/>
      <c r="C436" s="34"/>
      <c r="D436" s="34"/>
      <c r="E436" s="34"/>
      <c r="F436" s="34"/>
      <c r="G436" s="29"/>
      <c r="H436" s="34"/>
      <c r="I436" s="85"/>
      <c r="J436" s="34"/>
      <c r="K436" s="29"/>
      <c r="L436" s="111"/>
      <c r="M436" s="111"/>
      <c r="N436" s="111"/>
      <c r="O436" s="111"/>
      <c r="P436" s="34"/>
    </row>
    <row x14ac:dyDescent="0.25" r="437" customHeight="1" ht="15.75">
      <c r="A437" s="117"/>
      <c r="B437" s="34"/>
      <c r="C437" s="34"/>
      <c r="D437" s="34"/>
      <c r="E437" s="34"/>
      <c r="F437" s="34"/>
      <c r="G437" s="29"/>
      <c r="H437" s="34"/>
      <c r="I437" s="85"/>
      <c r="J437" s="34"/>
      <c r="K437" s="29"/>
      <c r="L437" s="111"/>
      <c r="M437" s="111"/>
      <c r="N437" s="111"/>
      <c r="O437" s="111"/>
      <c r="P437" s="34"/>
    </row>
    <row x14ac:dyDescent="0.25" r="438" customHeight="1" ht="15.75">
      <c r="A438" s="117"/>
      <c r="B438" s="34"/>
      <c r="C438" s="34"/>
      <c r="D438" s="34"/>
      <c r="E438" s="34"/>
      <c r="F438" s="34"/>
      <c r="G438" s="29"/>
      <c r="H438" s="34"/>
      <c r="I438" s="85"/>
      <c r="J438" s="34"/>
      <c r="K438" s="29"/>
      <c r="L438" s="111"/>
      <c r="M438" s="111"/>
      <c r="N438" s="111"/>
      <c r="O438" s="111"/>
      <c r="P438" s="34"/>
    </row>
    <row x14ac:dyDescent="0.25" r="439" customHeight="1" ht="15.75">
      <c r="A439" s="117"/>
      <c r="B439" s="34"/>
      <c r="C439" s="34"/>
      <c r="D439" s="34"/>
      <c r="E439" s="34"/>
      <c r="F439" s="34"/>
      <c r="G439" s="29"/>
      <c r="H439" s="34"/>
      <c r="I439" s="85"/>
      <c r="J439" s="34"/>
      <c r="K439" s="29"/>
      <c r="L439" s="111"/>
      <c r="M439" s="111"/>
      <c r="N439" s="111"/>
      <c r="O439" s="111"/>
      <c r="P439" s="34"/>
    </row>
    <row x14ac:dyDescent="0.25" r="440" customHeight="1" ht="15.75">
      <c r="A440" s="117"/>
      <c r="B440" s="34"/>
      <c r="C440" s="34"/>
      <c r="D440" s="34"/>
      <c r="E440" s="34"/>
      <c r="F440" s="34"/>
      <c r="G440" s="29"/>
      <c r="H440" s="34"/>
      <c r="I440" s="85"/>
      <c r="J440" s="34"/>
      <c r="K440" s="29"/>
      <c r="L440" s="111"/>
      <c r="M440" s="111"/>
      <c r="N440" s="111"/>
      <c r="O440" s="111"/>
      <c r="P440" s="34"/>
    </row>
    <row x14ac:dyDescent="0.25" r="441" customHeight="1" ht="15.75">
      <c r="A441" s="117"/>
      <c r="B441" s="34"/>
      <c r="C441" s="34"/>
      <c r="D441" s="34"/>
      <c r="E441" s="34"/>
      <c r="F441" s="34"/>
      <c r="G441" s="29"/>
      <c r="H441" s="34"/>
      <c r="I441" s="85"/>
      <c r="J441" s="34"/>
      <c r="K441" s="29"/>
      <c r="L441" s="111"/>
      <c r="M441" s="111"/>
      <c r="N441" s="111"/>
      <c r="O441" s="111"/>
      <c r="P441" s="34"/>
    </row>
    <row x14ac:dyDescent="0.25" r="442" customHeight="1" ht="15.75">
      <c r="A442" s="117"/>
      <c r="B442" s="34"/>
      <c r="C442" s="34"/>
      <c r="D442" s="34"/>
      <c r="E442" s="34"/>
      <c r="F442" s="34"/>
      <c r="G442" s="29"/>
      <c r="H442" s="34"/>
      <c r="I442" s="85"/>
      <c r="J442" s="34"/>
      <c r="K442" s="29"/>
      <c r="L442" s="111"/>
      <c r="M442" s="111"/>
      <c r="N442" s="111"/>
      <c r="O442" s="111"/>
      <c r="P442" s="34"/>
    </row>
    <row x14ac:dyDescent="0.25" r="443" customHeight="1" ht="15.75">
      <c r="A443" s="117"/>
      <c r="B443" s="34"/>
      <c r="C443" s="34"/>
      <c r="D443" s="34"/>
      <c r="E443" s="34"/>
      <c r="F443" s="34"/>
      <c r="G443" s="29"/>
      <c r="H443" s="34"/>
      <c r="I443" s="85"/>
      <c r="J443" s="34"/>
      <c r="K443" s="29"/>
      <c r="L443" s="111"/>
      <c r="M443" s="111"/>
      <c r="N443" s="111"/>
      <c r="O443" s="111"/>
      <c r="P443" s="34"/>
    </row>
    <row x14ac:dyDescent="0.25" r="444" customHeight="1" ht="15.75">
      <c r="A444" s="117"/>
      <c r="B444" s="34"/>
      <c r="C444" s="34"/>
      <c r="D444" s="34"/>
      <c r="E444" s="34"/>
      <c r="F444" s="34"/>
      <c r="G444" s="29"/>
      <c r="H444" s="34"/>
      <c r="I444" s="85"/>
      <c r="J444" s="34"/>
      <c r="K444" s="29"/>
      <c r="L444" s="111"/>
      <c r="M444" s="111"/>
      <c r="N444" s="111"/>
      <c r="O444" s="111"/>
      <c r="P444" s="34"/>
    </row>
    <row x14ac:dyDescent="0.25" r="445" customHeight="1" ht="15.75">
      <c r="A445" s="117"/>
      <c r="B445" s="34"/>
      <c r="C445" s="34"/>
      <c r="D445" s="34"/>
      <c r="E445" s="34"/>
      <c r="F445" s="34"/>
      <c r="G445" s="29"/>
      <c r="H445" s="34"/>
      <c r="I445" s="85"/>
      <c r="J445" s="34"/>
      <c r="K445" s="29"/>
      <c r="L445" s="111"/>
      <c r="M445" s="111"/>
      <c r="N445" s="111"/>
      <c r="O445" s="111"/>
      <c r="P445" s="34"/>
    </row>
    <row x14ac:dyDescent="0.25" r="446" customHeight="1" ht="15.75">
      <c r="A446" s="117"/>
      <c r="B446" s="34"/>
      <c r="C446" s="34"/>
      <c r="D446" s="34"/>
      <c r="E446" s="34"/>
      <c r="F446" s="34"/>
      <c r="G446" s="29"/>
      <c r="H446" s="34"/>
      <c r="I446" s="85"/>
      <c r="J446" s="34"/>
      <c r="K446" s="29"/>
      <c r="L446" s="111"/>
      <c r="M446" s="111"/>
      <c r="N446" s="111"/>
      <c r="O446" s="111"/>
      <c r="P446" s="34"/>
    </row>
    <row x14ac:dyDescent="0.25" r="447" customHeight="1" ht="15.75">
      <c r="A447" s="117"/>
      <c r="B447" s="34"/>
      <c r="C447" s="34"/>
      <c r="D447" s="34"/>
      <c r="E447" s="34"/>
      <c r="F447" s="34"/>
      <c r="G447" s="29"/>
      <c r="H447" s="34"/>
      <c r="I447" s="85"/>
      <c r="J447" s="34"/>
      <c r="K447" s="29"/>
      <c r="L447" s="111"/>
      <c r="M447" s="111"/>
      <c r="N447" s="111"/>
      <c r="O447" s="111"/>
      <c r="P447" s="34"/>
    </row>
    <row x14ac:dyDescent="0.25" r="448" customHeight="1" ht="15.75">
      <c r="A448" s="117"/>
      <c r="B448" s="34"/>
      <c r="C448" s="34"/>
      <c r="D448" s="34"/>
      <c r="E448" s="34"/>
      <c r="F448" s="34"/>
      <c r="G448" s="29"/>
      <c r="H448" s="34"/>
      <c r="I448" s="85"/>
      <c r="J448" s="34"/>
      <c r="K448" s="29"/>
      <c r="L448" s="111"/>
      <c r="M448" s="111"/>
      <c r="N448" s="111"/>
      <c r="O448" s="111"/>
      <c r="P448" s="34"/>
    </row>
    <row x14ac:dyDescent="0.25" r="449" customHeight="1" ht="15.75">
      <c r="A449" s="117"/>
      <c r="B449" s="34"/>
      <c r="C449" s="34"/>
      <c r="D449" s="34"/>
      <c r="E449" s="34"/>
      <c r="F449" s="34"/>
      <c r="G449" s="29"/>
      <c r="H449" s="34"/>
      <c r="I449" s="85"/>
      <c r="J449" s="34"/>
      <c r="K449" s="29"/>
      <c r="L449" s="111"/>
      <c r="M449" s="111"/>
      <c r="N449" s="111"/>
      <c r="O449" s="111"/>
      <c r="P449" s="34"/>
    </row>
    <row x14ac:dyDescent="0.25" r="450" customHeight="1" ht="15.75">
      <c r="A450" s="117"/>
      <c r="B450" s="34"/>
      <c r="C450" s="34"/>
      <c r="D450" s="34"/>
      <c r="E450" s="34"/>
      <c r="F450" s="34"/>
      <c r="G450" s="29"/>
      <c r="H450" s="34"/>
      <c r="I450" s="85"/>
      <c r="J450" s="34"/>
      <c r="K450" s="29"/>
      <c r="L450" s="111"/>
      <c r="M450" s="111"/>
      <c r="N450" s="111"/>
      <c r="O450" s="111"/>
      <c r="P450" s="34"/>
    </row>
    <row x14ac:dyDescent="0.25" r="451" customHeight="1" ht="15.75">
      <c r="A451" s="117"/>
      <c r="B451" s="34"/>
      <c r="C451" s="34"/>
      <c r="D451" s="34"/>
      <c r="E451" s="34"/>
      <c r="F451" s="34"/>
      <c r="G451" s="29"/>
      <c r="H451" s="34"/>
      <c r="I451" s="85"/>
      <c r="J451" s="34"/>
      <c r="K451" s="29"/>
      <c r="L451" s="111"/>
      <c r="M451" s="111"/>
      <c r="N451" s="111"/>
      <c r="O451" s="111"/>
      <c r="P451" s="34"/>
    </row>
    <row x14ac:dyDescent="0.25" r="452" customHeight="1" ht="15.75">
      <c r="A452" s="117"/>
      <c r="B452" s="34"/>
      <c r="C452" s="34"/>
      <c r="D452" s="34"/>
      <c r="E452" s="34"/>
      <c r="F452" s="34"/>
      <c r="G452" s="29"/>
      <c r="H452" s="34"/>
      <c r="I452" s="85"/>
      <c r="J452" s="34"/>
      <c r="K452" s="29"/>
      <c r="L452" s="111"/>
      <c r="M452" s="111"/>
      <c r="N452" s="111"/>
      <c r="O452" s="111"/>
      <c r="P452" s="34"/>
    </row>
    <row x14ac:dyDescent="0.25" r="453" customHeight="1" ht="15.75">
      <c r="A453" s="117"/>
      <c r="B453" s="34"/>
      <c r="C453" s="34"/>
      <c r="D453" s="34"/>
      <c r="E453" s="34"/>
      <c r="F453" s="34"/>
      <c r="G453" s="29"/>
      <c r="H453" s="34"/>
      <c r="I453" s="85"/>
      <c r="J453" s="34"/>
      <c r="K453" s="29"/>
      <c r="L453" s="111"/>
      <c r="M453" s="111"/>
      <c r="N453" s="111"/>
      <c r="O453" s="111"/>
      <c r="P453" s="34"/>
    </row>
    <row x14ac:dyDescent="0.25" r="454" customHeight="1" ht="15.75">
      <c r="A454" s="117"/>
      <c r="B454" s="34"/>
      <c r="C454" s="34"/>
      <c r="D454" s="34"/>
      <c r="E454" s="34"/>
      <c r="F454" s="34"/>
      <c r="G454" s="29"/>
      <c r="H454" s="34"/>
      <c r="I454" s="85"/>
      <c r="J454" s="34"/>
      <c r="K454" s="29"/>
      <c r="L454" s="111"/>
      <c r="M454" s="111"/>
      <c r="N454" s="111"/>
      <c r="O454" s="111"/>
      <c r="P454" s="34"/>
    </row>
    <row x14ac:dyDescent="0.25" r="455" customHeight="1" ht="15.75">
      <c r="A455" s="117"/>
      <c r="B455" s="34"/>
      <c r="C455" s="34"/>
      <c r="D455" s="34"/>
      <c r="E455" s="34"/>
      <c r="F455" s="34"/>
      <c r="G455" s="29"/>
      <c r="H455" s="34"/>
      <c r="I455" s="85"/>
      <c r="J455" s="34"/>
      <c r="K455" s="29"/>
      <c r="L455" s="111"/>
      <c r="M455" s="111"/>
      <c r="N455" s="111"/>
      <c r="O455" s="111"/>
      <c r="P455" s="34"/>
    </row>
    <row x14ac:dyDescent="0.25" r="456" customHeight="1" ht="15.75">
      <c r="A456" s="117"/>
      <c r="B456" s="34"/>
      <c r="C456" s="34"/>
      <c r="D456" s="34"/>
      <c r="E456" s="34"/>
      <c r="F456" s="34"/>
      <c r="G456" s="29"/>
      <c r="H456" s="34"/>
      <c r="I456" s="85"/>
      <c r="J456" s="34"/>
      <c r="K456" s="29"/>
      <c r="L456" s="111"/>
      <c r="M456" s="111"/>
      <c r="N456" s="111"/>
      <c r="O456" s="111"/>
      <c r="P456" s="34"/>
    </row>
    <row x14ac:dyDescent="0.25" r="457" customHeight="1" ht="15.75">
      <c r="A457" s="117"/>
      <c r="B457" s="34"/>
      <c r="C457" s="34"/>
      <c r="D457" s="34"/>
      <c r="E457" s="34"/>
      <c r="F457" s="34"/>
      <c r="G457" s="29"/>
      <c r="H457" s="34"/>
      <c r="I457" s="85"/>
      <c r="J457" s="34"/>
      <c r="K457" s="29"/>
      <c r="L457" s="111"/>
      <c r="M457" s="111"/>
      <c r="N457" s="111"/>
      <c r="O457" s="111"/>
      <c r="P457" s="34"/>
    </row>
    <row x14ac:dyDescent="0.25" r="458" customHeight="1" ht="15.75">
      <c r="A458" s="117"/>
      <c r="B458" s="34"/>
      <c r="C458" s="34"/>
      <c r="D458" s="34"/>
      <c r="E458" s="34"/>
      <c r="F458" s="34"/>
      <c r="G458" s="29"/>
      <c r="H458" s="34"/>
      <c r="I458" s="85"/>
      <c r="J458" s="34"/>
      <c r="K458" s="29"/>
      <c r="L458" s="111"/>
      <c r="M458" s="111"/>
      <c r="N458" s="111"/>
      <c r="O458" s="111"/>
      <c r="P458" s="34"/>
    </row>
    <row x14ac:dyDescent="0.25" r="459" customHeight="1" ht="15.75">
      <c r="A459" s="117"/>
      <c r="B459" s="34"/>
      <c r="C459" s="34"/>
      <c r="D459" s="34"/>
      <c r="E459" s="34"/>
      <c r="F459" s="34"/>
      <c r="G459" s="29"/>
      <c r="H459" s="34"/>
      <c r="I459" s="85"/>
      <c r="J459" s="34"/>
      <c r="K459" s="29"/>
      <c r="L459" s="111"/>
      <c r="M459" s="111"/>
      <c r="N459" s="111"/>
      <c r="O459" s="111"/>
      <c r="P459" s="34"/>
    </row>
    <row x14ac:dyDescent="0.25" r="460" customHeight="1" ht="15.75">
      <c r="A460" s="117"/>
      <c r="B460" s="34"/>
      <c r="C460" s="34"/>
      <c r="D460" s="34"/>
      <c r="E460" s="34"/>
      <c r="F460" s="34"/>
      <c r="G460" s="29"/>
      <c r="H460" s="34"/>
      <c r="I460" s="85"/>
      <c r="J460" s="34"/>
      <c r="K460" s="29"/>
      <c r="L460" s="111"/>
      <c r="M460" s="111"/>
      <c r="N460" s="111"/>
      <c r="O460" s="111"/>
      <c r="P460" s="34"/>
    </row>
    <row x14ac:dyDescent="0.25" r="461" customHeight="1" ht="15.75">
      <c r="A461" s="117"/>
      <c r="B461" s="34"/>
      <c r="C461" s="34"/>
      <c r="D461" s="34"/>
      <c r="E461" s="34"/>
      <c r="F461" s="34"/>
      <c r="G461" s="29"/>
      <c r="H461" s="34"/>
      <c r="I461" s="85"/>
      <c r="J461" s="34"/>
      <c r="K461" s="29"/>
      <c r="L461" s="111"/>
      <c r="M461" s="111"/>
      <c r="N461" s="111"/>
      <c r="O461" s="111"/>
      <c r="P461" s="34"/>
    </row>
    <row x14ac:dyDescent="0.25" r="462" customHeight="1" ht="15.75">
      <c r="A462" s="117"/>
      <c r="B462" s="34"/>
      <c r="C462" s="34"/>
      <c r="D462" s="34"/>
      <c r="E462" s="34"/>
      <c r="F462" s="34"/>
      <c r="G462" s="29"/>
      <c r="H462" s="34"/>
      <c r="I462" s="85"/>
      <c r="J462" s="34"/>
      <c r="K462" s="29"/>
      <c r="L462" s="111"/>
      <c r="M462" s="111"/>
      <c r="N462" s="111"/>
      <c r="O462" s="111"/>
      <c r="P462" s="34"/>
    </row>
    <row x14ac:dyDescent="0.25" r="463" customHeight="1" ht="15.75">
      <c r="A463" s="117"/>
      <c r="B463" s="34"/>
      <c r="C463" s="34"/>
      <c r="D463" s="34"/>
      <c r="E463" s="34"/>
      <c r="F463" s="34"/>
      <c r="G463" s="29"/>
      <c r="H463" s="34"/>
      <c r="I463" s="85"/>
      <c r="J463" s="34"/>
      <c r="K463" s="29"/>
      <c r="L463" s="111"/>
      <c r="M463" s="111"/>
      <c r="N463" s="111"/>
      <c r="O463" s="111"/>
      <c r="P463" s="34"/>
    </row>
    <row x14ac:dyDescent="0.25" r="464" customHeight="1" ht="15.75">
      <c r="A464" s="117"/>
      <c r="B464" s="34"/>
      <c r="C464" s="34"/>
      <c r="D464" s="34"/>
      <c r="E464" s="34"/>
      <c r="F464" s="34"/>
      <c r="G464" s="29"/>
      <c r="H464" s="34"/>
      <c r="I464" s="85"/>
      <c r="J464" s="34"/>
      <c r="K464" s="29"/>
      <c r="L464" s="111"/>
      <c r="M464" s="111"/>
      <c r="N464" s="111"/>
      <c r="O464" s="111"/>
      <c r="P464" s="34"/>
    </row>
    <row x14ac:dyDescent="0.25" r="465" customHeight="1" ht="15.75">
      <c r="A465" s="117"/>
      <c r="B465" s="34"/>
      <c r="C465" s="34"/>
      <c r="D465" s="34"/>
      <c r="E465" s="34"/>
      <c r="F465" s="34"/>
      <c r="G465" s="29"/>
      <c r="H465" s="34"/>
      <c r="I465" s="85"/>
      <c r="J465" s="34"/>
      <c r="K465" s="29"/>
      <c r="L465" s="111"/>
      <c r="M465" s="111"/>
      <c r="N465" s="111"/>
      <c r="O465" s="111"/>
      <c r="P465" s="34"/>
    </row>
    <row x14ac:dyDescent="0.25" r="466" customHeight="1" ht="15.75">
      <c r="A466" s="117"/>
      <c r="B466" s="34"/>
      <c r="C466" s="34"/>
      <c r="D466" s="34"/>
      <c r="E466" s="34"/>
      <c r="F466" s="34"/>
      <c r="G466" s="29"/>
      <c r="H466" s="34"/>
      <c r="I466" s="85"/>
      <c r="J466" s="34"/>
      <c r="K466" s="29"/>
      <c r="L466" s="111"/>
      <c r="M466" s="111"/>
      <c r="N466" s="111"/>
      <c r="O466" s="111"/>
      <c r="P466" s="34"/>
    </row>
    <row x14ac:dyDescent="0.25" r="467" customHeight="1" ht="15.75">
      <c r="A467" s="117"/>
      <c r="B467" s="34"/>
      <c r="C467" s="34"/>
      <c r="D467" s="34"/>
      <c r="E467" s="34"/>
      <c r="F467" s="34"/>
      <c r="G467" s="29"/>
      <c r="H467" s="34"/>
      <c r="I467" s="85"/>
      <c r="J467" s="34"/>
      <c r="K467" s="29"/>
      <c r="L467" s="111"/>
      <c r="M467" s="111"/>
      <c r="N467" s="111"/>
      <c r="O467" s="111"/>
      <c r="P467" s="34"/>
    </row>
    <row x14ac:dyDescent="0.25" r="468" customHeight="1" ht="15.75">
      <c r="A468" s="117"/>
      <c r="B468" s="34"/>
      <c r="C468" s="34"/>
      <c r="D468" s="34"/>
      <c r="E468" s="34"/>
      <c r="F468" s="34"/>
      <c r="G468" s="29"/>
      <c r="H468" s="34"/>
      <c r="I468" s="85"/>
      <c r="J468" s="34"/>
      <c r="K468" s="29"/>
      <c r="L468" s="111"/>
      <c r="M468" s="111"/>
      <c r="N468" s="111"/>
      <c r="O468" s="111"/>
      <c r="P468" s="34"/>
    </row>
    <row x14ac:dyDescent="0.25" r="469" customHeight="1" ht="15.75">
      <c r="A469" s="117"/>
      <c r="B469" s="34"/>
      <c r="C469" s="34"/>
      <c r="D469" s="34"/>
      <c r="E469" s="34"/>
      <c r="F469" s="34"/>
      <c r="G469" s="29"/>
      <c r="H469" s="34"/>
      <c r="I469" s="85"/>
      <c r="J469" s="34"/>
      <c r="K469" s="29"/>
      <c r="L469" s="111"/>
      <c r="M469" s="111"/>
      <c r="N469" s="111"/>
      <c r="O469" s="111"/>
      <c r="P469" s="34"/>
    </row>
    <row x14ac:dyDescent="0.25" r="470" customHeight="1" ht="15.75">
      <c r="A470" s="117"/>
      <c r="B470" s="34"/>
      <c r="C470" s="34"/>
      <c r="D470" s="34"/>
      <c r="E470" s="34"/>
      <c r="F470" s="34"/>
      <c r="G470" s="29"/>
      <c r="H470" s="34"/>
      <c r="I470" s="85"/>
      <c r="J470" s="34"/>
      <c r="K470" s="29"/>
      <c r="L470" s="111"/>
      <c r="M470" s="111"/>
      <c r="N470" s="111"/>
      <c r="O470" s="111"/>
      <c r="P470" s="34"/>
    </row>
    <row x14ac:dyDescent="0.25" r="471" customHeight="1" ht="15.75">
      <c r="A471" s="117"/>
      <c r="B471" s="34"/>
      <c r="C471" s="34"/>
      <c r="D471" s="34"/>
      <c r="E471" s="34"/>
      <c r="F471" s="34"/>
      <c r="G471" s="29"/>
      <c r="H471" s="34"/>
      <c r="I471" s="85"/>
      <c r="J471" s="34"/>
      <c r="K471" s="29"/>
      <c r="L471" s="111"/>
      <c r="M471" s="111"/>
      <c r="N471" s="111"/>
      <c r="O471" s="111"/>
      <c r="P471" s="34"/>
    </row>
    <row x14ac:dyDescent="0.25" r="472" customHeight="1" ht="15.75">
      <c r="A472" s="117"/>
      <c r="B472" s="34"/>
      <c r="C472" s="34"/>
      <c r="D472" s="34"/>
      <c r="E472" s="34"/>
      <c r="F472" s="34"/>
      <c r="G472" s="29"/>
      <c r="H472" s="34"/>
      <c r="I472" s="85"/>
      <c r="J472" s="34"/>
      <c r="K472" s="29"/>
      <c r="L472" s="111"/>
      <c r="M472" s="111"/>
      <c r="N472" s="111"/>
      <c r="O472" s="111"/>
      <c r="P472" s="34"/>
    </row>
    <row x14ac:dyDescent="0.25" r="473" customHeight="1" ht="15.75">
      <c r="A473" s="117"/>
      <c r="B473" s="34"/>
      <c r="C473" s="34"/>
      <c r="D473" s="34"/>
      <c r="E473" s="34"/>
      <c r="F473" s="34"/>
      <c r="G473" s="29"/>
      <c r="H473" s="34"/>
      <c r="I473" s="85"/>
      <c r="J473" s="34"/>
      <c r="K473" s="29"/>
      <c r="L473" s="111"/>
      <c r="M473" s="111"/>
      <c r="N473" s="111"/>
      <c r="O473" s="111"/>
      <c r="P473" s="34"/>
    </row>
    <row x14ac:dyDescent="0.25" r="474" customHeight="1" ht="15.75">
      <c r="A474" s="117"/>
      <c r="B474" s="34"/>
      <c r="C474" s="34"/>
      <c r="D474" s="34"/>
      <c r="E474" s="34"/>
      <c r="F474" s="34"/>
      <c r="G474" s="29"/>
      <c r="H474" s="34"/>
      <c r="I474" s="85"/>
      <c r="J474" s="34"/>
      <c r="K474" s="29"/>
      <c r="L474" s="111"/>
      <c r="M474" s="111"/>
      <c r="N474" s="111"/>
      <c r="O474" s="111"/>
      <c r="P474" s="34"/>
    </row>
    <row x14ac:dyDescent="0.25" r="475" customHeight="1" ht="15.75">
      <c r="A475" s="117"/>
      <c r="B475" s="34"/>
      <c r="C475" s="34"/>
      <c r="D475" s="34"/>
      <c r="E475" s="34"/>
      <c r="F475" s="34"/>
      <c r="G475" s="29"/>
      <c r="H475" s="34"/>
      <c r="I475" s="85"/>
      <c r="J475" s="34"/>
      <c r="K475" s="29"/>
      <c r="L475" s="111"/>
      <c r="M475" s="111"/>
      <c r="N475" s="111"/>
      <c r="O475" s="111"/>
      <c r="P475" s="34"/>
    </row>
    <row x14ac:dyDescent="0.25" r="476" customHeight="1" ht="15.75">
      <c r="A476" s="117"/>
      <c r="B476" s="34"/>
      <c r="C476" s="34"/>
      <c r="D476" s="34"/>
      <c r="E476" s="34"/>
      <c r="F476" s="34"/>
      <c r="G476" s="29"/>
      <c r="H476" s="34"/>
      <c r="I476" s="85"/>
      <c r="J476" s="34"/>
      <c r="K476" s="29"/>
      <c r="L476" s="111"/>
      <c r="M476" s="111"/>
      <c r="N476" s="111"/>
      <c r="O476" s="111"/>
      <c r="P476" s="34"/>
    </row>
    <row x14ac:dyDescent="0.25" r="477" customHeight="1" ht="15.75">
      <c r="A477" s="117"/>
      <c r="B477" s="34"/>
      <c r="C477" s="34"/>
      <c r="D477" s="34"/>
      <c r="E477" s="34"/>
      <c r="F477" s="34"/>
      <c r="G477" s="29"/>
      <c r="H477" s="34"/>
      <c r="I477" s="85"/>
      <c r="J477" s="34"/>
      <c r="K477" s="29"/>
      <c r="L477" s="111"/>
      <c r="M477" s="111"/>
      <c r="N477" s="111"/>
      <c r="O477" s="111"/>
      <c r="P477" s="34"/>
    </row>
    <row x14ac:dyDescent="0.25" r="478" customHeight="1" ht="15.75">
      <c r="A478" s="117"/>
      <c r="B478" s="34"/>
      <c r="C478" s="34"/>
      <c r="D478" s="34"/>
      <c r="E478" s="34"/>
      <c r="F478" s="34"/>
      <c r="G478" s="29"/>
      <c r="H478" s="34"/>
      <c r="I478" s="85"/>
      <c r="J478" s="34"/>
      <c r="K478" s="29"/>
      <c r="L478" s="111"/>
      <c r="M478" s="111"/>
      <c r="N478" s="111"/>
      <c r="O478" s="111"/>
      <c r="P478" s="34"/>
    </row>
    <row x14ac:dyDescent="0.25" r="479" customHeight="1" ht="15.75">
      <c r="A479" s="117"/>
      <c r="B479" s="34"/>
      <c r="C479" s="34"/>
      <c r="D479" s="34"/>
      <c r="E479" s="34"/>
      <c r="F479" s="34"/>
      <c r="G479" s="29"/>
      <c r="H479" s="34"/>
      <c r="I479" s="85"/>
      <c r="J479" s="34"/>
      <c r="K479" s="29"/>
      <c r="L479" s="111"/>
      <c r="M479" s="111"/>
      <c r="N479" s="111"/>
      <c r="O479" s="111"/>
      <c r="P479" s="34"/>
    </row>
    <row x14ac:dyDescent="0.25" r="480" customHeight="1" ht="15.75">
      <c r="A480" s="117"/>
      <c r="B480" s="34"/>
      <c r="C480" s="34"/>
      <c r="D480" s="34"/>
      <c r="E480" s="34"/>
      <c r="F480" s="34"/>
      <c r="G480" s="29"/>
      <c r="H480" s="34"/>
      <c r="I480" s="85"/>
      <c r="J480" s="34"/>
      <c r="K480" s="29"/>
      <c r="L480" s="111"/>
      <c r="M480" s="111"/>
      <c r="N480" s="111"/>
      <c r="O480" s="111"/>
      <c r="P480" s="34"/>
    </row>
    <row x14ac:dyDescent="0.25" r="481" customHeight="1" ht="15.75">
      <c r="A481" s="117"/>
      <c r="B481" s="34"/>
      <c r="C481" s="34"/>
      <c r="D481" s="34"/>
      <c r="E481" s="34"/>
      <c r="F481" s="34"/>
      <c r="G481" s="29"/>
      <c r="H481" s="34"/>
      <c r="I481" s="85"/>
      <c r="J481" s="34"/>
      <c r="K481" s="29"/>
      <c r="L481" s="111"/>
      <c r="M481" s="111"/>
      <c r="N481" s="111"/>
      <c r="O481" s="111"/>
      <c r="P481" s="34"/>
    </row>
    <row x14ac:dyDescent="0.25" r="482" customHeight="1" ht="15.75">
      <c r="A482" s="117"/>
      <c r="B482" s="34"/>
      <c r="C482" s="34"/>
      <c r="D482" s="34"/>
      <c r="E482" s="34"/>
      <c r="F482" s="34"/>
      <c r="G482" s="29"/>
      <c r="H482" s="34"/>
      <c r="I482" s="85"/>
      <c r="J482" s="34"/>
      <c r="K482" s="29"/>
      <c r="L482" s="111"/>
      <c r="M482" s="111"/>
      <c r="N482" s="111"/>
      <c r="O482" s="111"/>
      <c r="P482" s="34"/>
    </row>
    <row x14ac:dyDescent="0.25" r="483" customHeight="1" ht="15.75">
      <c r="A483" s="117"/>
      <c r="B483" s="34"/>
      <c r="C483" s="34"/>
      <c r="D483" s="34"/>
      <c r="E483" s="34"/>
      <c r="F483" s="34"/>
      <c r="G483" s="29"/>
      <c r="H483" s="34"/>
      <c r="I483" s="85"/>
      <c r="J483" s="34"/>
      <c r="K483" s="29"/>
      <c r="L483" s="111"/>
      <c r="M483" s="111"/>
      <c r="N483" s="111"/>
      <c r="O483" s="111"/>
      <c r="P483" s="34"/>
    </row>
    <row x14ac:dyDescent="0.25" r="484" customHeight="1" ht="15.75">
      <c r="A484" s="117"/>
      <c r="B484" s="34"/>
      <c r="C484" s="34"/>
      <c r="D484" s="34"/>
      <c r="E484" s="34"/>
      <c r="F484" s="34"/>
      <c r="G484" s="29"/>
      <c r="H484" s="34"/>
      <c r="I484" s="85"/>
      <c r="J484" s="34"/>
      <c r="K484" s="29"/>
      <c r="L484" s="111"/>
      <c r="M484" s="111"/>
      <c r="N484" s="111"/>
      <c r="O484" s="111"/>
      <c r="P484" s="34"/>
    </row>
    <row x14ac:dyDescent="0.25" r="485" customHeight="1" ht="15.75">
      <c r="A485" s="117"/>
      <c r="B485" s="34"/>
      <c r="C485" s="34"/>
      <c r="D485" s="34"/>
      <c r="E485" s="34"/>
      <c r="F485" s="34"/>
      <c r="G485" s="29"/>
      <c r="H485" s="34"/>
      <c r="I485" s="85"/>
      <c r="J485" s="34"/>
      <c r="K485" s="29"/>
      <c r="L485" s="111"/>
      <c r="M485" s="111"/>
      <c r="N485" s="111"/>
      <c r="O485" s="111"/>
      <c r="P485" s="34"/>
    </row>
    <row x14ac:dyDescent="0.25" r="486" customHeight="1" ht="15.75">
      <c r="A486" s="117"/>
      <c r="B486" s="34"/>
      <c r="C486" s="34"/>
      <c r="D486" s="34"/>
      <c r="E486" s="34"/>
      <c r="F486" s="34"/>
      <c r="G486" s="29"/>
      <c r="H486" s="34"/>
      <c r="I486" s="85"/>
      <c r="J486" s="34"/>
      <c r="K486" s="29"/>
      <c r="L486" s="111"/>
      <c r="M486" s="111"/>
      <c r="N486" s="111"/>
      <c r="O486" s="111"/>
      <c r="P486" s="34"/>
    </row>
    <row x14ac:dyDescent="0.25" r="487" customHeight="1" ht="15.75">
      <c r="A487" s="117"/>
      <c r="B487" s="34"/>
      <c r="C487" s="34"/>
      <c r="D487" s="34"/>
      <c r="E487" s="34"/>
      <c r="F487" s="34"/>
      <c r="G487" s="29"/>
      <c r="H487" s="34"/>
      <c r="I487" s="85"/>
      <c r="J487" s="34"/>
      <c r="K487" s="29"/>
      <c r="L487" s="111"/>
      <c r="M487" s="111"/>
      <c r="N487" s="111"/>
      <c r="O487" s="111"/>
      <c r="P487" s="34"/>
    </row>
    <row x14ac:dyDescent="0.25" r="488" customHeight="1" ht="15.75">
      <c r="A488" s="117"/>
      <c r="B488" s="34"/>
      <c r="C488" s="34"/>
      <c r="D488" s="34"/>
      <c r="E488" s="34"/>
      <c r="F488" s="34"/>
      <c r="G488" s="29"/>
      <c r="H488" s="34"/>
      <c r="I488" s="85"/>
      <c r="J488" s="34"/>
      <c r="K488" s="29"/>
      <c r="L488" s="111"/>
      <c r="M488" s="111"/>
      <c r="N488" s="111"/>
      <c r="O488" s="111"/>
      <c r="P488" s="34"/>
    </row>
    <row x14ac:dyDescent="0.25" r="489" customHeight="1" ht="15.75">
      <c r="A489" s="117"/>
      <c r="B489" s="34"/>
      <c r="C489" s="34"/>
      <c r="D489" s="34"/>
      <c r="E489" s="34"/>
      <c r="F489" s="34"/>
      <c r="G489" s="29"/>
      <c r="H489" s="34"/>
      <c r="I489" s="85"/>
      <c r="J489" s="34"/>
      <c r="K489" s="29"/>
      <c r="L489" s="111"/>
      <c r="M489" s="111"/>
      <c r="N489" s="111"/>
      <c r="O489" s="111"/>
      <c r="P489" s="34"/>
    </row>
    <row x14ac:dyDescent="0.25" r="490" customHeight="1" ht="15.75">
      <c r="A490" s="117"/>
      <c r="B490" s="34"/>
      <c r="C490" s="34"/>
      <c r="D490" s="34"/>
      <c r="E490" s="34"/>
      <c r="F490" s="34"/>
      <c r="G490" s="29"/>
      <c r="H490" s="34"/>
      <c r="I490" s="85"/>
      <c r="J490" s="34"/>
      <c r="K490" s="29"/>
      <c r="L490" s="111"/>
      <c r="M490" s="111"/>
      <c r="N490" s="111"/>
      <c r="O490" s="111"/>
      <c r="P490" s="34"/>
    </row>
    <row x14ac:dyDescent="0.25" r="491" customHeight="1" ht="15.75">
      <c r="A491" s="117"/>
      <c r="B491" s="34"/>
      <c r="C491" s="34"/>
      <c r="D491" s="34"/>
      <c r="E491" s="34"/>
      <c r="F491" s="34"/>
      <c r="G491" s="29"/>
      <c r="H491" s="34"/>
      <c r="I491" s="85"/>
      <c r="J491" s="34"/>
      <c r="K491" s="29"/>
      <c r="L491" s="111"/>
      <c r="M491" s="111"/>
      <c r="N491" s="111"/>
      <c r="O491" s="111"/>
      <c r="P491" s="34"/>
    </row>
    <row x14ac:dyDescent="0.25" r="492" customHeight="1" ht="15.75">
      <c r="A492" s="117"/>
      <c r="B492" s="34"/>
      <c r="C492" s="34"/>
      <c r="D492" s="34"/>
      <c r="E492" s="34"/>
      <c r="F492" s="34"/>
      <c r="G492" s="29"/>
      <c r="H492" s="34"/>
      <c r="I492" s="85"/>
      <c r="J492" s="34"/>
      <c r="K492" s="29"/>
      <c r="L492" s="111"/>
      <c r="M492" s="111"/>
      <c r="N492" s="111"/>
      <c r="O492" s="111"/>
      <c r="P492" s="34"/>
    </row>
    <row x14ac:dyDescent="0.25" r="493" customHeight="1" ht="15.75">
      <c r="A493" s="117"/>
      <c r="B493" s="34"/>
      <c r="C493" s="34"/>
      <c r="D493" s="34"/>
      <c r="E493" s="34"/>
      <c r="F493" s="34"/>
      <c r="G493" s="29"/>
      <c r="H493" s="34"/>
      <c r="I493" s="85"/>
      <c r="J493" s="34"/>
      <c r="K493" s="29"/>
      <c r="L493" s="111"/>
      <c r="M493" s="111"/>
      <c r="N493" s="111"/>
      <c r="O493" s="111"/>
      <c r="P493" s="34"/>
    </row>
    <row x14ac:dyDescent="0.25" r="494" customHeight="1" ht="15.75">
      <c r="A494" s="117"/>
      <c r="B494" s="34"/>
      <c r="C494" s="34"/>
      <c r="D494" s="34"/>
      <c r="E494" s="34"/>
      <c r="F494" s="34"/>
      <c r="G494" s="29"/>
      <c r="H494" s="34"/>
      <c r="I494" s="85"/>
      <c r="J494" s="34"/>
      <c r="K494" s="29"/>
      <c r="L494" s="111"/>
      <c r="M494" s="111"/>
      <c r="N494" s="111"/>
      <c r="O494" s="111"/>
      <c r="P494" s="34"/>
    </row>
    <row x14ac:dyDescent="0.25" r="495" customHeight="1" ht="15.75">
      <c r="A495" s="117"/>
      <c r="B495" s="34"/>
      <c r="C495" s="34"/>
      <c r="D495" s="34"/>
      <c r="E495" s="34"/>
      <c r="F495" s="34"/>
      <c r="G495" s="29"/>
      <c r="H495" s="34"/>
      <c r="I495" s="85"/>
      <c r="J495" s="34"/>
      <c r="K495" s="29"/>
      <c r="L495" s="111"/>
      <c r="M495" s="111"/>
      <c r="N495" s="111"/>
      <c r="O495" s="111"/>
      <c r="P495" s="34"/>
    </row>
    <row x14ac:dyDescent="0.25" r="496" customHeight="1" ht="15.75">
      <c r="A496" s="117"/>
      <c r="B496" s="34"/>
      <c r="C496" s="34"/>
      <c r="D496" s="34"/>
      <c r="E496" s="34"/>
      <c r="F496" s="34"/>
      <c r="G496" s="29"/>
      <c r="H496" s="34"/>
      <c r="I496" s="85"/>
      <c r="J496" s="34"/>
      <c r="K496" s="29"/>
      <c r="L496" s="111"/>
      <c r="M496" s="111"/>
      <c r="N496" s="111"/>
      <c r="O496" s="111"/>
      <c r="P496" s="34"/>
    </row>
    <row x14ac:dyDescent="0.25" r="497" customHeight="1" ht="15.75">
      <c r="A497" s="117"/>
      <c r="B497" s="34"/>
      <c r="C497" s="34"/>
      <c r="D497" s="34"/>
      <c r="E497" s="34"/>
      <c r="F497" s="34"/>
      <c r="G497" s="29"/>
      <c r="H497" s="34"/>
      <c r="I497" s="85"/>
      <c r="J497" s="34"/>
      <c r="K497" s="29"/>
      <c r="L497" s="111"/>
      <c r="M497" s="111"/>
      <c r="N497" s="111"/>
      <c r="O497" s="111"/>
      <c r="P497" s="34"/>
    </row>
    <row x14ac:dyDescent="0.25" r="498" customHeight="1" ht="15.75">
      <c r="A498" s="117"/>
      <c r="B498" s="34"/>
      <c r="C498" s="34"/>
      <c r="D498" s="34"/>
      <c r="E498" s="34"/>
      <c r="F498" s="34"/>
      <c r="G498" s="29"/>
      <c r="H498" s="34"/>
      <c r="I498" s="85"/>
      <c r="J498" s="34"/>
      <c r="K498" s="29"/>
      <c r="L498" s="111"/>
      <c r="M498" s="111"/>
      <c r="N498" s="111"/>
      <c r="O498" s="111"/>
      <c r="P498" s="34"/>
    </row>
    <row x14ac:dyDescent="0.25" r="499" customHeight="1" ht="15.75">
      <c r="A499" s="117"/>
      <c r="B499" s="34"/>
      <c r="C499" s="34"/>
      <c r="D499" s="34"/>
      <c r="E499" s="34"/>
      <c r="F499" s="34"/>
      <c r="G499" s="29"/>
      <c r="H499" s="34"/>
      <c r="I499" s="85"/>
      <c r="J499" s="34"/>
      <c r="K499" s="29"/>
      <c r="L499" s="111"/>
      <c r="M499" s="111"/>
      <c r="N499" s="111"/>
      <c r="O499" s="111"/>
      <c r="P499" s="34"/>
    </row>
    <row x14ac:dyDescent="0.25" r="500" customHeight="1" ht="15.75">
      <c r="A500" s="117"/>
      <c r="B500" s="34"/>
      <c r="C500" s="34"/>
      <c r="D500" s="34"/>
      <c r="E500" s="34"/>
      <c r="F500" s="34"/>
      <c r="G500" s="29"/>
      <c r="H500" s="34"/>
      <c r="I500" s="85"/>
      <c r="J500" s="34"/>
      <c r="K500" s="29"/>
      <c r="L500" s="111"/>
      <c r="M500" s="111"/>
      <c r="N500" s="111"/>
      <c r="O500" s="111"/>
      <c r="P500" s="34"/>
    </row>
    <row x14ac:dyDescent="0.25" r="501" customHeight="1" ht="15.75">
      <c r="A501" s="117"/>
      <c r="B501" s="34"/>
      <c r="C501" s="34"/>
      <c r="D501" s="34"/>
      <c r="E501" s="34"/>
      <c r="F501" s="34"/>
      <c r="G501" s="29"/>
      <c r="H501" s="34"/>
      <c r="I501" s="85"/>
      <c r="J501" s="34"/>
      <c r="K501" s="29"/>
      <c r="L501" s="111"/>
      <c r="M501" s="111"/>
      <c r="N501" s="111"/>
      <c r="O501" s="111"/>
      <c r="P501" s="34"/>
    </row>
    <row x14ac:dyDescent="0.25" r="502" customHeight="1" ht="15.75">
      <c r="A502" s="117"/>
      <c r="B502" s="34"/>
      <c r="C502" s="34"/>
      <c r="D502" s="34"/>
      <c r="E502" s="34"/>
      <c r="F502" s="34"/>
      <c r="G502" s="29"/>
      <c r="H502" s="34"/>
      <c r="I502" s="85"/>
      <c r="J502" s="34"/>
      <c r="K502" s="29"/>
      <c r="L502" s="111"/>
      <c r="M502" s="111"/>
      <c r="N502" s="111"/>
      <c r="O502" s="111"/>
      <c r="P502" s="34"/>
    </row>
    <row x14ac:dyDescent="0.25" r="503" customHeight="1" ht="15.75">
      <c r="A503" s="117"/>
      <c r="B503" s="34"/>
      <c r="C503" s="34"/>
      <c r="D503" s="34"/>
      <c r="E503" s="34"/>
      <c r="F503" s="34"/>
      <c r="G503" s="29"/>
      <c r="H503" s="34"/>
      <c r="I503" s="85"/>
      <c r="J503" s="34"/>
      <c r="K503" s="29"/>
      <c r="L503" s="111"/>
      <c r="M503" s="111"/>
      <c r="N503" s="111"/>
      <c r="O503" s="111"/>
      <c r="P503" s="34"/>
    </row>
    <row x14ac:dyDescent="0.25" r="504" customHeight="1" ht="15.75">
      <c r="A504" s="117"/>
      <c r="B504" s="34"/>
      <c r="C504" s="34"/>
      <c r="D504" s="34"/>
      <c r="E504" s="34"/>
      <c r="F504" s="34"/>
      <c r="G504" s="29"/>
      <c r="H504" s="34"/>
      <c r="I504" s="85"/>
      <c r="J504" s="34"/>
      <c r="K504" s="29"/>
      <c r="L504" s="111"/>
      <c r="M504" s="111"/>
      <c r="N504" s="111"/>
      <c r="O504" s="111"/>
      <c r="P504" s="34"/>
    </row>
    <row x14ac:dyDescent="0.25" r="505" customHeight="1" ht="15.75">
      <c r="A505" s="117"/>
      <c r="B505" s="34"/>
      <c r="C505" s="34"/>
      <c r="D505" s="34"/>
      <c r="E505" s="34"/>
      <c r="F505" s="34"/>
      <c r="G505" s="29"/>
      <c r="H505" s="34"/>
      <c r="I505" s="85"/>
      <c r="J505" s="34"/>
      <c r="K505" s="29"/>
      <c r="L505" s="111"/>
      <c r="M505" s="111"/>
      <c r="N505" s="111"/>
      <c r="O505" s="111"/>
      <c r="P505" s="34"/>
    </row>
    <row x14ac:dyDescent="0.25" r="506" customHeight="1" ht="15.75">
      <c r="A506" s="117"/>
      <c r="B506" s="34"/>
      <c r="C506" s="34"/>
      <c r="D506" s="34"/>
      <c r="E506" s="34"/>
      <c r="F506" s="34"/>
      <c r="G506" s="29"/>
      <c r="H506" s="34"/>
      <c r="I506" s="85"/>
      <c r="J506" s="34"/>
      <c r="K506" s="29"/>
      <c r="L506" s="111"/>
      <c r="M506" s="111"/>
      <c r="N506" s="111"/>
      <c r="O506" s="111"/>
      <c r="P506" s="34"/>
    </row>
    <row x14ac:dyDescent="0.25" r="507" customHeight="1" ht="15.75">
      <c r="A507" s="117"/>
      <c r="B507" s="34"/>
      <c r="C507" s="34"/>
      <c r="D507" s="34"/>
      <c r="E507" s="34"/>
      <c r="F507" s="34"/>
      <c r="G507" s="29"/>
      <c r="H507" s="34"/>
      <c r="I507" s="85"/>
      <c r="J507" s="34"/>
      <c r="K507" s="29"/>
      <c r="L507" s="111"/>
      <c r="M507" s="111"/>
      <c r="N507" s="111"/>
      <c r="O507" s="111"/>
      <c r="P507" s="34"/>
    </row>
    <row x14ac:dyDescent="0.25" r="508" customHeight="1" ht="15.75">
      <c r="A508" s="117"/>
      <c r="B508" s="34"/>
      <c r="C508" s="34"/>
      <c r="D508" s="34"/>
      <c r="E508" s="34"/>
      <c r="F508" s="34"/>
      <c r="G508" s="29"/>
      <c r="H508" s="34"/>
      <c r="I508" s="85"/>
      <c r="J508" s="34"/>
      <c r="K508" s="29"/>
      <c r="L508" s="111"/>
      <c r="M508" s="111"/>
      <c r="N508" s="111"/>
      <c r="O508" s="111"/>
      <c r="P508" s="34"/>
    </row>
    <row x14ac:dyDescent="0.25" r="509" customHeight="1" ht="15.75">
      <c r="A509" s="117"/>
      <c r="B509" s="34"/>
      <c r="C509" s="34"/>
      <c r="D509" s="34"/>
      <c r="E509" s="34"/>
      <c r="F509" s="34"/>
      <c r="G509" s="29"/>
      <c r="H509" s="34"/>
      <c r="I509" s="85"/>
      <c r="J509" s="34"/>
      <c r="K509" s="29"/>
      <c r="L509" s="111"/>
      <c r="M509" s="111"/>
      <c r="N509" s="111"/>
      <c r="O509" s="111"/>
      <c r="P509" s="34"/>
    </row>
    <row x14ac:dyDescent="0.25" r="510" customHeight="1" ht="15.75">
      <c r="A510" s="117"/>
      <c r="B510" s="34"/>
      <c r="C510" s="34"/>
      <c r="D510" s="34"/>
      <c r="E510" s="34"/>
      <c r="F510" s="34"/>
      <c r="G510" s="29"/>
      <c r="H510" s="34"/>
      <c r="I510" s="85"/>
      <c r="J510" s="34"/>
      <c r="K510" s="29"/>
      <c r="L510" s="111"/>
      <c r="M510" s="111"/>
      <c r="N510" s="111"/>
      <c r="O510" s="111"/>
      <c r="P510" s="34"/>
    </row>
    <row x14ac:dyDescent="0.25" r="511" customHeight="1" ht="15.75">
      <c r="A511" s="117"/>
      <c r="B511" s="34"/>
      <c r="C511" s="34"/>
      <c r="D511" s="34"/>
      <c r="E511" s="34"/>
      <c r="F511" s="34"/>
      <c r="G511" s="29"/>
      <c r="H511" s="34"/>
      <c r="I511" s="85"/>
      <c r="J511" s="34"/>
      <c r="K511" s="29"/>
      <c r="L511" s="111"/>
      <c r="M511" s="111"/>
      <c r="N511" s="111"/>
      <c r="O511" s="111"/>
      <c r="P511" s="34"/>
    </row>
    <row x14ac:dyDescent="0.25" r="512" customHeight="1" ht="15.75">
      <c r="A512" s="117"/>
      <c r="B512" s="34"/>
      <c r="C512" s="34"/>
      <c r="D512" s="34"/>
      <c r="E512" s="34"/>
      <c r="F512" s="34"/>
      <c r="G512" s="29"/>
      <c r="H512" s="34"/>
      <c r="I512" s="85"/>
      <c r="J512" s="34"/>
      <c r="K512" s="29"/>
      <c r="L512" s="111"/>
      <c r="M512" s="111"/>
      <c r="N512" s="111"/>
      <c r="O512" s="111"/>
      <c r="P512" s="34"/>
    </row>
    <row x14ac:dyDescent="0.25" r="513" customHeight="1" ht="15.75">
      <c r="A513" s="117"/>
      <c r="B513" s="34"/>
      <c r="C513" s="34"/>
      <c r="D513" s="34"/>
      <c r="E513" s="34"/>
      <c r="F513" s="34"/>
      <c r="G513" s="29"/>
      <c r="H513" s="34"/>
      <c r="I513" s="85"/>
      <c r="J513" s="34"/>
      <c r="K513" s="29"/>
      <c r="L513" s="111"/>
      <c r="M513" s="111"/>
      <c r="N513" s="111"/>
      <c r="O513" s="111"/>
      <c r="P513" s="34"/>
    </row>
    <row x14ac:dyDescent="0.25" r="514" customHeight="1" ht="15.75">
      <c r="A514" s="117"/>
      <c r="B514" s="34"/>
      <c r="C514" s="34"/>
      <c r="D514" s="34"/>
      <c r="E514" s="34"/>
      <c r="F514" s="34"/>
      <c r="G514" s="29"/>
      <c r="H514" s="34"/>
      <c r="I514" s="85"/>
      <c r="J514" s="34"/>
      <c r="K514" s="29"/>
      <c r="L514" s="111"/>
      <c r="M514" s="111"/>
      <c r="N514" s="111"/>
      <c r="O514" s="111"/>
      <c r="P514" s="34"/>
    </row>
    <row x14ac:dyDescent="0.25" r="515" customHeight="1" ht="15.75">
      <c r="A515" s="117"/>
      <c r="B515" s="34"/>
      <c r="C515" s="34"/>
      <c r="D515" s="34"/>
      <c r="E515" s="34"/>
      <c r="F515" s="34"/>
      <c r="G515" s="29"/>
      <c r="H515" s="34"/>
      <c r="I515" s="85"/>
      <c r="J515" s="34"/>
      <c r="K515" s="29"/>
      <c r="L515" s="111"/>
      <c r="M515" s="111"/>
      <c r="N515" s="111"/>
      <c r="O515" s="111"/>
      <c r="P515" s="34"/>
    </row>
    <row x14ac:dyDescent="0.25" r="516" customHeight="1" ht="15.75">
      <c r="A516" s="117"/>
      <c r="B516" s="34"/>
      <c r="C516" s="34"/>
      <c r="D516" s="34"/>
      <c r="E516" s="34"/>
      <c r="F516" s="34"/>
      <c r="G516" s="29"/>
      <c r="H516" s="34"/>
      <c r="I516" s="85"/>
      <c r="J516" s="34"/>
      <c r="K516" s="29"/>
      <c r="L516" s="111"/>
      <c r="M516" s="111"/>
      <c r="N516" s="111"/>
      <c r="O516" s="111"/>
      <c r="P516" s="34"/>
    </row>
    <row x14ac:dyDescent="0.25" r="517" customHeight="1" ht="15.75">
      <c r="A517" s="117"/>
      <c r="B517" s="34"/>
      <c r="C517" s="34"/>
      <c r="D517" s="34"/>
      <c r="E517" s="34"/>
      <c r="F517" s="34"/>
      <c r="G517" s="29"/>
      <c r="H517" s="34"/>
      <c r="I517" s="85"/>
      <c r="J517" s="34"/>
      <c r="K517" s="29"/>
      <c r="L517" s="111"/>
      <c r="M517" s="111"/>
      <c r="N517" s="111"/>
      <c r="O517" s="111"/>
      <c r="P517" s="34"/>
    </row>
    <row x14ac:dyDescent="0.25" r="518" customHeight="1" ht="15.75">
      <c r="A518" s="117"/>
      <c r="B518" s="34"/>
      <c r="C518" s="34"/>
      <c r="D518" s="34"/>
      <c r="E518" s="34"/>
      <c r="F518" s="34"/>
      <c r="G518" s="29"/>
      <c r="H518" s="34"/>
      <c r="I518" s="85"/>
      <c r="J518" s="34"/>
      <c r="K518" s="29"/>
      <c r="L518" s="111"/>
      <c r="M518" s="111"/>
      <c r="N518" s="111"/>
      <c r="O518" s="111"/>
      <c r="P518" s="34"/>
    </row>
    <row x14ac:dyDescent="0.25" r="519" customHeight="1" ht="15.75">
      <c r="A519" s="117"/>
      <c r="B519" s="34"/>
      <c r="C519" s="34"/>
      <c r="D519" s="34"/>
      <c r="E519" s="34"/>
      <c r="F519" s="34"/>
      <c r="G519" s="29"/>
      <c r="H519" s="34"/>
      <c r="I519" s="85"/>
      <c r="J519" s="34"/>
      <c r="K519" s="29"/>
      <c r="L519" s="111"/>
      <c r="M519" s="111"/>
      <c r="N519" s="111"/>
      <c r="O519" s="111"/>
      <c r="P519" s="34"/>
    </row>
    <row x14ac:dyDescent="0.25" r="520" customHeight="1" ht="15.75">
      <c r="A520" s="117"/>
      <c r="B520" s="34"/>
      <c r="C520" s="34"/>
      <c r="D520" s="34"/>
      <c r="E520" s="34"/>
      <c r="F520" s="34"/>
      <c r="G520" s="29"/>
      <c r="H520" s="34"/>
      <c r="I520" s="85"/>
      <c r="J520" s="34"/>
      <c r="K520" s="29"/>
      <c r="L520" s="111"/>
      <c r="M520" s="111"/>
      <c r="N520" s="111"/>
      <c r="O520" s="111"/>
      <c r="P520" s="34"/>
    </row>
    <row x14ac:dyDescent="0.25" r="521" customHeight="1" ht="15.75">
      <c r="A521" s="117"/>
      <c r="B521" s="34"/>
      <c r="C521" s="34"/>
      <c r="D521" s="34"/>
      <c r="E521" s="34"/>
      <c r="F521" s="34"/>
      <c r="G521" s="29"/>
      <c r="H521" s="34"/>
      <c r="I521" s="85"/>
      <c r="J521" s="34"/>
      <c r="K521" s="29"/>
      <c r="L521" s="111"/>
      <c r="M521" s="111"/>
      <c r="N521" s="111"/>
      <c r="O521" s="111"/>
      <c r="P521" s="34"/>
    </row>
    <row x14ac:dyDescent="0.25" r="522" customHeight="1" ht="15.75">
      <c r="A522" s="117"/>
      <c r="B522" s="34"/>
      <c r="C522" s="34"/>
      <c r="D522" s="34"/>
      <c r="E522" s="34"/>
      <c r="F522" s="34"/>
      <c r="G522" s="29"/>
      <c r="H522" s="34"/>
      <c r="I522" s="85"/>
      <c r="J522" s="34"/>
      <c r="K522" s="29"/>
      <c r="L522" s="111"/>
      <c r="M522" s="111"/>
      <c r="N522" s="111"/>
      <c r="O522" s="111"/>
      <c r="P522" s="34"/>
    </row>
    <row x14ac:dyDescent="0.25" r="523" customHeight="1" ht="15.75">
      <c r="A523" s="117"/>
      <c r="B523" s="34"/>
      <c r="C523" s="34"/>
      <c r="D523" s="34"/>
      <c r="E523" s="34"/>
      <c r="F523" s="34"/>
      <c r="G523" s="29"/>
      <c r="H523" s="34"/>
      <c r="I523" s="85"/>
      <c r="J523" s="34"/>
      <c r="K523" s="29"/>
      <c r="L523" s="111"/>
      <c r="M523" s="111"/>
      <c r="N523" s="111"/>
      <c r="O523" s="111"/>
      <c r="P523" s="34"/>
    </row>
    <row x14ac:dyDescent="0.25" r="524" customHeight="1" ht="15.75">
      <c r="A524" s="117"/>
      <c r="B524" s="34"/>
      <c r="C524" s="34"/>
      <c r="D524" s="34"/>
      <c r="E524" s="34"/>
      <c r="F524" s="34"/>
      <c r="G524" s="29"/>
      <c r="H524" s="34"/>
      <c r="I524" s="85"/>
      <c r="J524" s="34"/>
      <c r="K524" s="29"/>
      <c r="L524" s="111"/>
      <c r="M524" s="111"/>
      <c r="N524" s="111"/>
      <c r="O524" s="111"/>
      <c r="P524" s="34"/>
    </row>
    <row x14ac:dyDescent="0.25" r="525" customHeight="1" ht="15.75">
      <c r="A525" s="117"/>
      <c r="B525" s="34"/>
      <c r="C525" s="34"/>
      <c r="D525" s="34"/>
      <c r="E525" s="34"/>
      <c r="F525" s="34"/>
      <c r="G525" s="29"/>
      <c r="H525" s="34"/>
      <c r="I525" s="85"/>
      <c r="J525" s="34"/>
      <c r="K525" s="29"/>
      <c r="L525" s="111"/>
      <c r="M525" s="111"/>
      <c r="N525" s="111"/>
      <c r="O525" s="111"/>
      <c r="P525" s="34"/>
    </row>
    <row x14ac:dyDescent="0.25" r="526" customHeight="1" ht="15.75">
      <c r="A526" s="117"/>
      <c r="B526" s="34"/>
      <c r="C526" s="34"/>
      <c r="D526" s="34"/>
      <c r="E526" s="34"/>
      <c r="F526" s="34"/>
      <c r="G526" s="29"/>
      <c r="H526" s="34"/>
      <c r="I526" s="85"/>
      <c r="J526" s="34"/>
      <c r="K526" s="29"/>
      <c r="L526" s="111"/>
      <c r="M526" s="111"/>
      <c r="N526" s="111"/>
      <c r="O526" s="111"/>
      <c r="P526" s="34"/>
    </row>
    <row x14ac:dyDescent="0.25" r="527" customHeight="1" ht="15.75">
      <c r="A527" s="117"/>
      <c r="B527" s="34"/>
      <c r="C527" s="34"/>
      <c r="D527" s="34"/>
      <c r="E527" s="34"/>
      <c r="F527" s="34"/>
      <c r="G527" s="29"/>
      <c r="H527" s="34"/>
      <c r="I527" s="85"/>
      <c r="J527" s="34"/>
      <c r="K527" s="29"/>
      <c r="L527" s="111"/>
      <c r="M527" s="111"/>
      <c r="N527" s="111"/>
      <c r="O527" s="111"/>
      <c r="P527" s="34"/>
    </row>
    <row x14ac:dyDescent="0.25" r="528" customHeight="1" ht="15.75">
      <c r="A528" s="117"/>
      <c r="B528" s="34"/>
      <c r="C528" s="34"/>
      <c r="D528" s="34"/>
      <c r="E528" s="34"/>
      <c r="F528" s="34"/>
      <c r="G528" s="29"/>
      <c r="H528" s="34"/>
      <c r="I528" s="85"/>
      <c r="J528" s="34"/>
      <c r="K528" s="29"/>
      <c r="L528" s="111"/>
      <c r="M528" s="111"/>
      <c r="N528" s="111"/>
      <c r="O528" s="111"/>
      <c r="P528" s="34"/>
    </row>
    <row x14ac:dyDescent="0.25" r="529" customHeight="1" ht="15.75">
      <c r="A529" s="117"/>
      <c r="B529" s="34"/>
      <c r="C529" s="34"/>
      <c r="D529" s="34"/>
      <c r="E529" s="34"/>
      <c r="F529" s="34"/>
      <c r="G529" s="29"/>
      <c r="H529" s="34"/>
      <c r="I529" s="85"/>
      <c r="J529" s="34"/>
      <c r="K529" s="29"/>
      <c r="L529" s="111"/>
      <c r="M529" s="111"/>
      <c r="N529" s="111"/>
      <c r="O529" s="111"/>
      <c r="P529" s="34"/>
    </row>
    <row x14ac:dyDescent="0.25" r="530" customHeight="1" ht="15.75">
      <c r="A530" s="117"/>
      <c r="B530" s="34"/>
      <c r="C530" s="34"/>
      <c r="D530" s="34"/>
      <c r="E530" s="34"/>
      <c r="F530" s="34"/>
      <c r="G530" s="29"/>
      <c r="H530" s="34"/>
      <c r="I530" s="85"/>
      <c r="J530" s="34"/>
      <c r="K530" s="29"/>
      <c r="L530" s="111"/>
      <c r="M530" s="111"/>
      <c r="N530" s="111"/>
      <c r="O530" s="111"/>
      <c r="P530" s="34"/>
    </row>
    <row x14ac:dyDescent="0.25" r="531" customHeight="1" ht="15.75">
      <c r="A531" s="117"/>
      <c r="B531" s="34"/>
      <c r="C531" s="34"/>
      <c r="D531" s="34"/>
      <c r="E531" s="34"/>
      <c r="F531" s="34"/>
      <c r="G531" s="29"/>
      <c r="H531" s="34"/>
      <c r="I531" s="85"/>
      <c r="J531" s="34"/>
      <c r="K531" s="29"/>
      <c r="L531" s="111"/>
      <c r="M531" s="111"/>
      <c r="N531" s="111"/>
      <c r="O531" s="111"/>
      <c r="P531" s="34"/>
    </row>
    <row x14ac:dyDescent="0.25" r="532" customHeight="1" ht="15.75">
      <c r="A532" s="117"/>
      <c r="B532" s="34"/>
      <c r="C532" s="34"/>
      <c r="D532" s="34"/>
      <c r="E532" s="34"/>
      <c r="F532" s="34"/>
      <c r="G532" s="29"/>
      <c r="H532" s="34"/>
      <c r="I532" s="85"/>
      <c r="J532" s="34"/>
      <c r="K532" s="29"/>
      <c r="L532" s="111"/>
      <c r="M532" s="111"/>
      <c r="N532" s="111"/>
      <c r="O532" s="111"/>
      <c r="P532" s="34"/>
    </row>
    <row x14ac:dyDescent="0.25" r="533" customHeight="1" ht="15.75">
      <c r="A533" s="117"/>
      <c r="B533" s="34"/>
      <c r="C533" s="34"/>
      <c r="D533" s="34"/>
      <c r="E533" s="34"/>
      <c r="F533" s="34"/>
      <c r="G533" s="29"/>
      <c r="H533" s="34"/>
      <c r="I533" s="85"/>
      <c r="J533" s="34"/>
      <c r="K533" s="29"/>
      <c r="L533" s="111"/>
      <c r="M533" s="111"/>
      <c r="N533" s="111"/>
      <c r="O533" s="111"/>
      <c r="P533" s="34"/>
    </row>
    <row x14ac:dyDescent="0.25" r="534" customHeight="1" ht="15.75">
      <c r="A534" s="117"/>
      <c r="B534" s="34"/>
      <c r="C534" s="34"/>
      <c r="D534" s="34"/>
      <c r="E534" s="34"/>
      <c r="F534" s="34"/>
      <c r="G534" s="29"/>
      <c r="H534" s="34"/>
      <c r="I534" s="85"/>
      <c r="J534" s="34"/>
      <c r="K534" s="29"/>
      <c r="L534" s="111"/>
      <c r="M534" s="111"/>
      <c r="N534" s="111"/>
      <c r="O534" s="111"/>
      <c r="P534" s="34"/>
    </row>
    <row x14ac:dyDescent="0.25" r="535" customHeight="1" ht="15.75">
      <c r="A535" s="117"/>
      <c r="B535" s="34"/>
      <c r="C535" s="34"/>
      <c r="D535" s="34"/>
      <c r="E535" s="34"/>
      <c r="F535" s="34"/>
      <c r="G535" s="29"/>
      <c r="H535" s="34"/>
      <c r="I535" s="85"/>
      <c r="J535" s="34"/>
      <c r="K535" s="29"/>
      <c r="L535" s="111"/>
      <c r="M535" s="111"/>
      <c r="N535" s="111"/>
      <c r="O535" s="111"/>
      <c r="P535" s="34"/>
    </row>
    <row x14ac:dyDescent="0.25" r="536" customHeight="1" ht="15.75">
      <c r="A536" s="117"/>
      <c r="B536" s="34"/>
      <c r="C536" s="34"/>
      <c r="D536" s="34"/>
      <c r="E536" s="34"/>
      <c r="F536" s="34"/>
      <c r="G536" s="29"/>
      <c r="H536" s="34"/>
      <c r="I536" s="85"/>
      <c r="J536" s="34"/>
      <c r="K536" s="29"/>
      <c r="L536" s="111"/>
      <c r="M536" s="111"/>
      <c r="N536" s="111"/>
      <c r="O536" s="111"/>
      <c r="P536" s="34"/>
    </row>
    <row x14ac:dyDescent="0.25" r="537" customHeight="1" ht="15.75">
      <c r="A537" s="117"/>
      <c r="B537" s="34"/>
      <c r="C537" s="34"/>
      <c r="D537" s="34"/>
      <c r="E537" s="34"/>
      <c r="F537" s="34"/>
      <c r="G537" s="29"/>
      <c r="H537" s="34"/>
      <c r="I537" s="85"/>
      <c r="J537" s="34"/>
      <c r="K537" s="29"/>
      <c r="L537" s="111"/>
      <c r="M537" s="111"/>
      <c r="N537" s="111"/>
      <c r="O537" s="111"/>
      <c r="P537" s="34"/>
    </row>
    <row x14ac:dyDescent="0.25" r="538" customHeight="1" ht="15.75">
      <c r="A538" s="117"/>
      <c r="B538" s="34"/>
      <c r="C538" s="34"/>
      <c r="D538" s="34"/>
      <c r="E538" s="34"/>
      <c r="F538" s="34"/>
      <c r="G538" s="29"/>
      <c r="H538" s="34"/>
      <c r="I538" s="85"/>
      <c r="J538" s="34"/>
      <c r="K538" s="29"/>
      <c r="L538" s="111"/>
      <c r="M538" s="111"/>
      <c r="N538" s="111"/>
      <c r="O538" s="111"/>
      <c r="P538" s="34"/>
    </row>
    <row x14ac:dyDescent="0.25" r="539" customHeight="1" ht="15.75">
      <c r="A539" s="117"/>
      <c r="B539" s="34"/>
      <c r="C539" s="34"/>
      <c r="D539" s="34"/>
      <c r="E539" s="34"/>
      <c r="F539" s="34"/>
      <c r="G539" s="29"/>
      <c r="H539" s="34"/>
      <c r="I539" s="85"/>
      <c r="J539" s="34"/>
      <c r="K539" s="29"/>
      <c r="L539" s="111"/>
      <c r="M539" s="111"/>
      <c r="N539" s="111"/>
      <c r="O539" s="111"/>
      <c r="P539" s="34"/>
    </row>
    <row x14ac:dyDescent="0.25" r="540" customHeight="1" ht="15.75">
      <c r="A540" s="117"/>
      <c r="B540" s="34"/>
      <c r="C540" s="34"/>
      <c r="D540" s="34"/>
      <c r="E540" s="34"/>
      <c r="F540" s="34"/>
      <c r="G540" s="29"/>
      <c r="H540" s="34"/>
      <c r="I540" s="85"/>
      <c r="J540" s="34"/>
      <c r="K540" s="29"/>
      <c r="L540" s="111"/>
      <c r="M540" s="111"/>
      <c r="N540" s="111"/>
      <c r="O540" s="111"/>
      <c r="P540" s="34"/>
    </row>
    <row x14ac:dyDescent="0.25" r="541" customHeight="1" ht="15.75">
      <c r="A541" s="117"/>
      <c r="B541" s="34"/>
      <c r="C541" s="34"/>
      <c r="D541" s="34"/>
      <c r="E541" s="34"/>
      <c r="F541" s="34"/>
      <c r="G541" s="29"/>
      <c r="H541" s="34"/>
      <c r="I541" s="85"/>
      <c r="J541" s="34"/>
      <c r="K541" s="29"/>
      <c r="L541" s="111"/>
      <c r="M541" s="111"/>
      <c r="N541" s="111"/>
      <c r="O541" s="111"/>
      <c r="P541" s="34"/>
    </row>
    <row x14ac:dyDescent="0.25" r="542" customHeight="1" ht="15.75">
      <c r="A542" s="117"/>
      <c r="B542" s="34"/>
      <c r="C542" s="34"/>
      <c r="D542" s="34"/>
      <c r="E542" s="34"/>
      <c r="F542" s="34"/>
      <c r="G542" s="29"/>
      <c r="H542" s="34"/>
      <c r="I542" s="85"/>
      <c r="J542" s="34"/>
      <c r="K542" s="29"/>
      <c r="L542" s="111"/>
      <c r="M542" s="111"/>
      <c r="N542" s="111"/>
      <c r="O542" s="111"/>
      <c r="P542" s="34"/>
    </row>
    <row x14ac:dyDescent="0.25" r="543" customHeight="1" ht="15.75">
      <c r="A543" s="117"/>
      <c r="B543" s="34"/>
      <c r="C543" s="34"/>
      <c r="D543" s="34"/>
      <c r="E543" s="34"/>
      <c r="F543" s="34"/>
      <c r="G543" s="29"/>
      <c r="H543" s="34"/>
      <c r="I543" s="85"/>
      <c r="J543" s="34"/>
      <c r="K543" s="29"/>
      <c r="L543" s="111"/>
      <c r="M543" s="111"/>
      <c r="N543" s="111"/>
      <c r="O543" s="111"/>
      <c r="P543" s="34"/>
    </row>
    <row x14ac:dyDescent="0.25" r="544" customHeight="1" ht="15.75">
      <c r="A544" s="117"/>
      <c r="B544" s="34"/>
      <c r="C544" s="34"/>
      <c r="D544" s="34"/>
      <c r="E544" s="34"/>
      <c r="F544" s="34"/>
      <c r="G544" s="29"/>
      <c r="H544" s="34"/>
      <c r="I544" s="85"/>
      <c r="J544" s="34"/>
      <c r="K544" s="29"/>
      <c r="L544" s="111"/>
      <c r="M544" s="111"/>
      <c r="N544" s="111"/>
      <c r="O544" s="111"/>
      <c r="P544" s="34"/>
    </row>
    <row x14ac:dyDescent="0.25" r="545" customHeight="1" ht="15.75">
      <c r="A545" s="117"/>
      <c r="B545" s="34"/>
      <c r="C545" s="34"/>
      <c r="D545" s="34"/>
      <c r="E545" s="34"/>
      <c r="F545" s="34"/>
      <c r="G545" s="29"/>
      <c r="H545" s="34"/>
      <c r="I545" s="85"/>
      <c r="J545" s="34"/>
      <c r="K545" s="29"/>
      <c r="L545" s="111"/>
      <c r="M545" s="111"/>
      <c r="N545" s="111"/>
      <c r="O545" s="111"/>
      <c r="P545" s="34"/>
    </row>
    <row x14ac:dyDescent="0.25" r="546" customHeight="1" ht="15.75">
      <c r="A546" s="117"/>
      <c r="B546" s="34"/>
      <c r="C546" s="34"/>
      <c r="D546" s="34"/>
      <c r="E546" s="34"/>
      <c r="F546" s="34"/>
      <c r="G546" s="29"/>
      <c r="H546" s="34"/>
      <c r="I546" s="85"/>
      <c r="J546" s="34"/>
      <c r="K546" s="29"/>
      <c r="L546" s="111"/>
      <c r="M546" s="111"/>
      <c r="N546" s="111"/>
      <c r="O546" s="111"/>
      <c r="P546" s="34"/>
    </row>
    <row x14ac:dyDescent="0.25" r="547" customHeight="1" ht="15.75">
      <c r="A547" s="117"/>
      <c r="B547" s="34"/>
      <c r="C547" s="34"/>
      <c r="D547" s="34"/>
      <c r="E547" s="34"/>
      <c r="F547" s="34"/>
      <c r="G547" s="29"/>
      <c r="H547" s="34"/>
      <c r="I547" s="85"/>
      <c r="J547" s="34"/>
      <c r="K547" s="29"/>
      <c r="L547" s="111"/>
      <c r="M547" s="111"/>
      <c r="N547" s="111"/>
      <c r="O547" s="111"/>
      <c r="P547" s="34"/>
    </row>
    <row x14ac:dyDescent="0.25" r="548" customHeight="1" ht="15.75">
      <c r="A548" s="117"/>
      <c r="B548" s="34"/>
      <c r="C548" s="34"/>
      <c r="D548" s="34"/>
      <c r="E548" s="34"/>
      <c r="F548" s="34"/>
      <c r="G548" s="29"/>
      <c r="H548" s="34"/>
      <c r="I548" s="85"/>
      <c r="J548" s="34"/>
      <c r="K548" s="29"/>
      <c r="L548" s="111"/>
      <c r="M548" s="111"/>
      <c r="N548" s="111"/>
      <c r="O548" s="111"/>
      <c r="P548" s="34"/>
    </row>
    <row x14ac:dyDescent="0.25" r="549" customHeight="1" ht="15.75">
      <c r="A549" s="117"/>
      <c r="B549" s="34"/>
      <c r="C549" s="34"/>
      <c r="D549" s="34"/>
      <c r="E549" s="34"/>
      <c r="F549" s="34"/>
      <c r="G549" s="29"/>
      <c r="H549" s="34"/>
      <c r="I549" s="85"/>
      <c r="J549" s="34"/>
      <c r="K549" s="29"/>
      <c r="L549" s="111"/>
      <c r="M549" s="111"/>
      <c r="N549" s="111"/>
      <c r="O549" s="111"/>
      <c r="P549" s="34"/>
    </row>
    <row x14ac:dyDescent="0.25" r="550" customHeight="1" ht="15.75">
      <c r="A550" s="117"/>
      <c r="B550" s="34"/>
      <c r="C550" s="34"/>
      <c r="D550" s="34"/>
      <c r="E550" s="34"/>
      <c r="F550" s="34"/>
      <c r="G550" s="29"/>
      <c r="H550" s="34"/>
      <c r="I550" s="85"/>
      <c r="J550" s="34"/>
      <c r="K550" s="29"/>
      <c r="L550" s="111"/>
      <c r="M550" s="111"/>
      <c r="N550" s="111"/>
      <c r="O550" s="111"/>
      <c r="P550" s="34"/>
    </row>
    <row x14ac:dyDescent="0.25" r="551" customHeight="1" ht="15.75">
      <c r="A551" s="117"/>
      <c r="B551" s="34"/>
      <c r="C551" s="34"/>
      <c r="D551" s="34"/>
      <c r="E551" s="34"/>
      <c r="F551" s="34"/>
      <c r="G551" s="29"/>
      <c r="H551" s="34"/>
      <c r="I551" s="85"/>
      <c r="J551" s="34"/>
      <c r="K551" s="29"/>
      <c r="L551" s="111"/>
      <c r="M551" s="111"/>
      <c r="N551" s="111"/>
      <c r="O551" s="111"/>
      <c r="P551" s="34"/>
    </row>
    <row x14ac:dyDescent="0.25" r="552" customHeight="1" ht="15.75">
      <c r="A552" s="117"/>
      <c r="B552" s="34"/>
      <c r="C552" s="34"/>
      <c r="D552" s="34"/>
      <c r="E552" s="34"/>
      <c r="F552" s="34"/>
      <c r="G552" s="29"/>
      <c r="H552" s="34"/>
      <c r="I552" s="85"/>
      <c r="J552" s="34"/>
      <c r="K552" s="29"/>
      <c r="L552" s="111"/>
      <c r="M552" s="111"/>
      <c r="N552" s="111"/>
      <c r="O552" s="111"/>
      <c r="P552" s="34"/>
    </row>
    <row x14ac:dyDescent="0.25" r="553" customHeight="1" ht="15.75">
      <c r="A553" s="117"/>
      <c r="B553" s="34"/>
      <c r="C553" s="34"/>
      <c r="D553" s="34"/>
      <c r="E553" s="34"/>
      <c r="F553" s="34"/>
      <c r="G553" s="29"/>
      <c r="H553" s="34"/>
      <c r="I553" s="85"/>
      <c r="J553" s="34"/>
      <c r="K553" s="29"/>
      <c r="L553" s="111"/>
      <c r="M553" s="111"/>
      <c r="N553" s="111"/>
      <c r="O553" s="111"/>
      <c r="P553" s="34"/>
    </row>
    <row x14ac:dyDescent="0.25" r="554" customHeight="1" ht="15.75">
      <c r="A554" s="117"/>
      <c r="B554" s="34"/>
      <c r="C554" s="34"/>
      <c r="D554" s="34"/>
      <c r="E554" s="34"/>
      <c r="F554" s="34"/>
      <c r="G554" s="29"/>
      <c r="H554" s="34"/>
      <c r="I554" s="85"/>
      <c r="J554" s="34"/>
      <c r="K554" s="29"/>
      <c r="L554" s="111"/>
      <c r="M554" s="111"/>
      <c r="N554" s="111"/>
      <c r="O554" s="111"/>
      <c r="P554" s="34"/>
    </row>
    <row x14ac:dyDescent="0.25" r="555" customHeight="1" ht="15.75">
      <c r="A555" s="117"/>
      <c r="B555" s="34"/>
      <c r="C555" s="34"/>
      <c r="D555" s="34"/>
      <c r="E555" s="34"/>
      <c r="F555" s="34"/>
      <c r="G555" s="29"/>
      <c r="H555" s="34"/>
      <c r="I555" s="85"/>
      <c r="J555" s="34"/>
      <c r="K555" s="29"/>
      <c r="L555" s="111"/>
      <c r="M555" s="111"/>
      <c r="N555" s="111"/>
      <c r="O555" s="111"/>
      <c r="P555" s="34"/>
    </row>
    <row x14ac:dyDescent="0.25" r="556" customHeight="1" ht="15.75">
      <c r="A556" s="117"/>
      <c r="B556" s="34"/>
      <c r="C556" s="34"/>
      <c r="D556" s="34"/>
      <c r="E556" s="34"/>
      <c r="F556" s="34"/>
      <c r="G556" s="29"/>
      <c r="H556" s="34"/>
      <c r="I556" s="85"/>
      <c r="J556" s="34"/>
      <c r="K556" s="29"/>
      <c r="L556" s="111"/>
      <c r="M556" s="111"/>
      <c r="N556" s="111"/>
      <c r="O556" s="111"/>
      <c r="P556" s="34"/>
    </row>
    <row x14ac:dyDescent="0.25" r="557" customHeight="1" ht="15.75">
      <c r="A557" s="117"/>
      <c r="B557" s="34"/>
      <c r="C557" s="34"/>
      <c r="D557" s="34"/>
      <c r="E557" s="34"/>
      <c r="F557" s="34"/>
      <c r="G557" s="29"/>
      <c r="H557" s="34"/>
      <c r="I557" s="85"/>
      <c r="J557" s="34"/>
      <c r="K557" s="29"/>
      <c r="L557" s="111"/>
      <c r="M557" s="111"/>
      <c r="N557" s="111"/>
      <c r="O557" s="111"/>
      <c r="P557" s="34"/>
    </row>
    <row x14ac:dyDescent="0.25" r="558" customHeight="1" ht="15.75">
      <c r="A558" s="117"/>
      <c r="B558" s="34"/>
      <c r="C558" s="34"/>
      <c r="D558" s="34"/>
      <c r="E558" s="34"/>
      <c r="F558" s="34"/>
      <c r="G558" s="29"/>
      <c r="H558" s="34"/>
      <c r="I558" s="85"/>
      <c r="J558" s="34"/>
      <c r="K558" s="29"/>
      <c r="L558" s="111"/>
      <c r="M558" s="111"/>
      <c r="N558" s="111"/>
      <c r="O558" s="111"/>
      <c r="P558" s="34"/>
    </row>
    <row x14ac:dyDescent="0.25" r="559" customHeight="1" ht="15.75">
      <c r="A559" s="117"/>
      <c r="B559" s="34"/>
      <c r="C559" s="34"/>
      <c r="D559" s="34"/>
      <c r="E559" s="34"/>
      <c r="F559" s="34"/>
      <c r="G559" s="29"/>
      <c r="H559" s="34"/>
      <c r="I559" s="85"/>
      <c r="J559" s="34"/>
      <c r="K559" s="29"/>
      <c r="L559" s="111"/>
      <c r="M559" s="111"/>
      <c r="N559" s="111"/>
      <c r="O559" s="111"/>
      <c r="P559" s="34"/>
    </row>
    <row x14ac:dyDescent="0.25" r="560" customHeight="1" ht="15.75">
      <c r="A560" s="117"/>
      <c r="B560" s="34"/>
      <c r="C560" s="34"/>
      <c r="D560" s="34"/>
      <c r="E560" s="34"/>
      <c r="F560" s="34"/>
      <c r="G560" s="29"/>
      <c r="H560" s="34"/>
      <c r="I560" s="85"/>
      <c r="J560" s="34"/>
      <c r="K560" s="29"/>
      <c r="L560" s="111"/>
      <c r="M560" s="111"/>
      <c r="N560" s="111"/>
      <c r="O560" s="111"/>
      <c r="P560" s="34"/>
    </row>
    <row x14ac:dyDescent="0.25" r="561" customHeight="1" ht="15.75">
      <c r="A561" s="117"/>
      <c r="B561" s="34"/>
      <c r="C561" s="34"/>
      <c r="D561" s="34"/>
      <c r="E561" s="34"/>
      <c r="F561" s="34"/>
      <c r="G561" s="29"/>
      <c r="H561" s="34"/>
      <c r="I561" s="85"/>
      <c r="J561" s="34"/>
      <c r="K561" s="29"/>
      <c r="L561" s="111"/>
      <c r="M561" s="111"/>
      <c r="N561" s="111"/>
      <c r="O561" s="111"/>
      <c r="P561" s="34"/>
    </row>
    <row x14ac:dyDescent="0.25" r="562" customHeight="1" ht="15.75">
      <c r="A562" s="117"/>
      <c r="B562" s="34"/>
      <c r="C562" s="34"/>
      <c r="D562" s="34"/>
      <c r="E562" s="34"/>
      <c r="F562" s="34"/>
      <c r="G562" s="29"/>
      <c r="H562" s="34"/>
      <c r="I562" s="85"/>
      <c r="J562" s="34"/>
      <c r="K562" s="29"/>
      <c r="L562" s="111"/>
      <c r="M562" s="111"/>
      <c r="N562" s="111"/>
      <c r="O562" s="111"/>
      <c r="P562" s="34"/>
    </row>
    <row x14ac:dyDescent="0.25" r="563" customHeight="1" ht="15.75">
      <c r="A563" s="117"/>
      <c r="B563" s="34"/>
      <c r="C563" s="34"/>
      <c r="D563" s="34"/>
      <c r="E563" s="34"/>
      <c r="F563" s="34"/>
      <c r="G563" s="29"/>
      <c r="H563" s="34"/>
      <c r="I563" s="85"/>
      <c r="J563" s="34"/>
      <c r="K563" s="29"/>
      <c r="L563" s="111"/>
      <c r="M563" s="111"/>
      <c r="N563" s="111"/>
      <c r="O563" s="111"/>
      <c r="P563" s="34"/>
    </row>
    <row x14ac:dyDescent="0.25" r="564" customHeight="1" ht="15.75">
      <c r="A564" s="117"/>
      <c r="B564" s="34"/>
      <c r="C564" s="34"/>
      <c r="D564" s="34"/>
      <c r="E564" s="34"/>
      <c r="F564" s="34"/>
      <c r="G564" s="29"/>
      <c r="H564" s="34"/>
      <c r="I564" s="85"/>
      <c r="J564" s="34"/>
      <c r="K564" s="29"/>
      <c r="L564" s="111"/>
      <c r="M564" s="111"/>
      <c r="N564" s="111"/>
      <c r="O564" s="111"/>
      <c r="P564" s="34"/>
    </row>
    <row x14ac:dyDescent="0.25" r="565" customHeight="1" ht="15.75">
      <c r="A565" s="117"/>
      <c r="B565" s="34"/>
      <c r="C565" s="34"/>
      <c r="D565" s="34"/>
      <c r="E565" s="34"/>
      <c r="F565" s="34"/>
      <c r="G565" s="29"/>
      <c r="H565" s="34"/>
      <c r="I565" s="85"/>
      <c r="J565" s="34"/>
      <c r="K565" s="29"/>
      <c r="L565" s="111"/>
      <c r="M565" s="111"/>
      <c r="N565" s="111"/>
      <c r="O565" s="111"/>
      <c r="P565" s="34"/>
    </row>
    <row x14ac:dyDescent="0.25" r="566" customHeight="1" ht="15.75">
      <c r="A566" s="117"/>
      <c r="B566" s="34"/>
      <c r="C566" s="34"/>
      <c r="D566" s="34"/>
      <c r="E566" s="34"/>
      <c r="F566" s="34"/>
      <c r="G566" s="29"/>
      <c r="H566" s="34"/>
      <c r="I566" s="85"/>
      <c r="J566" s="34"/>
      <c r="K566" s="29"/>
      <c r="L566" s="111"/>
      <c r="M566" s="111"/>
      <c r="N566" s="111"/>
      <c r="O566" s="111"/>
      <c r="P566" s="34"/>
    </row>
    <row x14ac:dyDescent="0.25" r="567" customHeight="1" ht="15.75">
      <c r="A567" s="117"/>
      <c r="B567" s="34"/>
      <c r="C567" s="34"/>
      <c r="D567" s="34"/>
      <c r="E567" s="34"/>
      <c r="F567" s="34"/>
      <c r="G567" s="29"/>
      <c r="H567" s="34"/>
      <c r="I567" s="85"/>
      <c r="J567" s="34"/>
      <c r="K567" s="29"/>
      <c r="L567" s="111"/>
      <c r="M567" s="111"/>
      <c r="N567" s="111"/>
      <c r="O567" s="111"/>
      <c r="P567" s="34"/>
    </row>
    <row x14ac:dyDescent="0.25" r="568" customHeight="1" ht="15.75">
      <c r="A568" s="117"/>
      <c r="B568" s="34"/>
      <c r="C568" s="34"/>
      <c r="D568" s="34"/>
      <c r="E568" s="34"/>
      <c r="F568" s="34"/>
      <c r="G568" s="29"/>
      <c r="H568" s="34"/>
      <c r="I568" s="85"/>
      <c r="J568" s="34"/>
      <c r="K568" s="29"/>
      <c r="L568" s="111"/>
      <c r="M568" s="111"/>
      <c r="N568" s="111"/>
      <c r="O568" s="111"/>
      <c r="P568" s="34"/>
    </row>
    <row x14ac:dyDescent="0.25" r="569" customHeight="1" ht="15.75">
      <c r="A569" s="117"/>
      <c r="B569" s="34"/>
      <c r="C569" s="34"/>
      <c r="D569" s="34"/>
      <c r="E569" s="34"/>
      <c r="F569" s="34"/>
      <c r="G569" s="29"/>
      <c r="H569" s="34"/>
      <c r="I569" s="85"/>
      <c r="J569" s="34"/>
      <c r="K569" s="29"/>
      <c r="L569" s="111"/>
      <c r="M569" s="111"/>
      <c r="N569" s="111"/>
      <c r="O569" s="111"/>
      <c r="P569" s="34"/>
    </row>
    <row x14ac:dyDescent="0.25" r="570" customHeight="1" ht="15.75">
      <c r="A570" s="117"/>
      <c r="B570" s="34"/>
      <c r="C570" s="34"/>
      <c r="D570" s="34"/>
      <c r="E570" s="34"/>
      <c r="F570" s="34"/>
      <c r="G570" s="29"/>
      <c r="H570" s="34"/>
      <c r="I570" s="85"/>
      <c r="J570" s="34"/>
      <c r="K570" s="29"/>
      <c r="L570" s="111"/>
      <c r="M570" s="111"/>
      <c r="N570" s="111"/>
      <c r="O570" s="111"/>
      <c r="P570" s="34"/>
    </row>
    <row x14ac:dyDescent="0.25" r="571" customHeight="1" ht="15.75">
      <c r="A571" s="117"/>
      <c r="B571" s="34"/>
      <c r="C571" s="34"/>
      <c r="D571" s="34"/>
      <c r="E571" s="34"/>
      <c r="F571" s="34"/>
      <c r="G571" s="29"/>
      <c r="H571" s="34"/>
      <c r="I571" s="85"/>
      <c r="J571" s="34"/>
      <c r="K571" s="29"/>
      <c r="L571" s="111"/>
      <c r="M571" s="111"/>
      <c r="N571" s="111"/>
      <c r="O571" s="111"/>
      <c r="P571" s="34"/>
    </row>
    <row x14ac:dyDescent="0.25" r="572" customHeight="1" ht="15.75">
      <c r="A572" s="117"/>
      <c r="B572" s="34"/>
      <c r="C572" s="34"/>
      <c r="D572" s="34"/>
      <c r="E572" s="34"/>
      <c r="F572" s="34"/>
      <c r="G572" s="29"/>
      <c r="H572" s="34"/>
      <c r="I572" s="85"/>
      <c r="J572" s="34"/>
      <c r="K572" s="29"/>
      <c r="L572" s="111"/>
      <c r="M572" s="111"/>
      <c r="N572" s="111"/>
      <c r="O572" s="111"/>
      <c r="P572" s="34"/>
    </row>
    <row x14ac:dyDescent="0.25" r="573" customHeight="1" ht="15.75">
      <c r="A573" s="117"/>
      <c r="B573" s="34"/>
      <c r="C573" s="34"/>
      <c r="D573" s="34"/>
      <c r="E573" s="34"/>
      <c r="F573" s="34"/>
      <c r="G573" s="29"/>
      <c r="H573" s="34"/>
      <c r="I573" s="85"/>
      <c r="J573" s="34"/>
      <c r="K573" s="29"/>
      <c r="L573" s="111"/>
      <c r="M573" s="111"/>
      <c r="N573" s="111"/>
      <c r="O573" s="111"/>
      <c r="P573" s="34"/>
    </row>
    <row x14ac:dyDescent="0.25" r="574" customHeight="1" ht="15.75">
      <c r="A574" s="117"/>
      <c r="B574" s="34"/>
      <c r="C574" s="34"/>
      <c r="D574" s="34"/>
      <c r="E574" s="34"/>
      <c r="F574" s="34"/>
      <c r="G574" s="29"/>
      <c r="H574" s="34"/>
      <c r="I574" s="85"/>
      <c r="J574" s="34"/>
      <c r="K574" s="29"/>
      <c r="L574" s="111"/>
      <c r="M574" s="111"/>
      <c r="N574" s="111"/>
      <c r="O574" s="111"/>
      <c r="P574" s="34"/>
    </row>
    <row x14ac:dyDescent="0.25" r="575" customHeight="1" ht="15.75">
      <c r="A575" s="117"/>
      <c r="B575" s="34"/>
      <c r="C575" s="34"/>
      <c r="D575" s="34"/>
      <c r="E575" s="34"/>
      <c r="F575" s="34"/>
      <c r="G575" s="29"/>
      <c r="H575" s="34"/>
      <c r="I575" s="85"/>
      <c r="J575" s="34"/>
      <c r="K575" s="29"/>
      <c r="L575" s="111"/>
      <c r="M575" s="111"/>
      <c r="N575" s="111"/>
      <c r="O575" s="111"/>
      <c r="P575" s="34"/>
    </row>
    <row x14ac:dyDescent="0.25" r="576" customHeight="1" ht="15.75">
      <c r="A576" s="117"/>
      <c r="B576" s="34"/>
      <c r="C576" s="34"/>
      <c r="D576" s="34"/>
      <c r="E576" s="34"/>
      <c r="F576" s="34"/>
      <c r="G576" s="29"/>
      <c r="H576" s="34"/>
      <c r="I576" s="85"/>
      <c r="J576" s="34"/>
      <c r="K576" s="29"/>
      <c r="L576" s="111"/>
      <c r="M576" s="111"/>
      <c r="N576" s="111"/>
      <c r="O576" s="111"/>
      <c r="P576" s="34"/>
    </row>
    <row x14ac:dyDescent="0.25" r="577" customHeight="1" ht="15.75">
      <c r="A577" s="117"/>
      <c r="B577" s="34"/>
      <c r="C577" s="34"/>
      <c r="D577" s="34"/>
      <c r="E577" s="34"/>
      <c r="F577" s="34"/>
      <c r="G577" s="29"/>
      <c r="H577" s="34"/>
      <c r="I577" s="85"/>
      <c r="J577" s="34"/>
      <c r="K577" s="29"/>
      <c r="L577" s="111"/>
      <c r="M577" s="111"/>
      <c r="N577" s="111"/>
      <c r="O577" s="111"/>
      <c r="P577" s="34"/>
    </row>
    <row x14ac:dyDescent="0.25" r="578" customHeight="1" ht="15.75">
      <c r="A578" s="117"/>
      <c r="B578" s="34"/>
      <c r="C578" s="34"/>
      <c r="D578" s="34"/>
      <c r="E578" s="34"/>
      <c r="F578" s="34"/>
      <c r="G578" s="29"/>
      <c r="H578" s="34"/>
      <c r="I578" s="85"/>
      <c r="J578" s="34"/>
      <c r="K578" s="29"/>
      <c r="L578" s="111"/>
      <c r="M578" s="111"/>
      <c r="N578" s="111"/>
      <c r="O578" s="111"/>
      <c r="P578" s="34"/>
    </row>
    <row x14ac:dyDescent="0.25" r="579" customHeight="1" ht="15.75">
      <c r="A579" s="117"/>
      <c r="B579" s="34"/>
      <c r="C579" s="34"/>
      <c r="D579" s="34"/>
      <c r="E579" s="34"/>
      <c r="F579" s="34"/>
      <c r="G579" s="29"/>
      <c r="H579" s="34"/>
      <c r="I579" s="85"/>
      <c r="J579" s="34"/>
      <c r="K579" s="29"/>
      <c r="L579" s="111"/>
      <c r="M579" s="111"/>
      <c r="N579" s="111"/>
      <c r="O579" s="111"/>
      <c r="P579" s="34"/>
    </row>
    <row x14ac:dyDescent="0.25" r="580" customHeight="1" ht="15.75">
      <c r="A580" s="117"/>
      <c r="B580" s="34"/>
      <c r="C580" s="34"/>
      <c r="D580" s="34"/>
      <c r="E580" s="34"/>
      <c r="F580" s="34"/>
      <c r="G580" s="29"/>
      <c r="H580" s="34"/>
      <c r="I580" s="85"/>
      <c r="J580" s="34"/>
      <c r="K580" s="29"/>
      <c r="L580" s="111"/>
      <c r="M580" s="111"/>
      <c r="N580" s="111"/>
      <c r="O580" s="111"/>
      <c r="P580" s="34"/>
    </row>
    <row x14ac:dyDescent="0.25" r="581" customHeight="1" ht="15.75">
      <c r="A581" s="117"/>
      <c r="B581" s="34"/>
      <c r="C581" s="34"/>
      <c r="D581" s="34"/>
      <c r="E581" s="34"/>
      <c r="F581" s="34"/>
      <c r="G581" s="29"/>
      <c r="H581" s="34"/>
      <c r="I581" s="85"/>
      <c r="J581" s="34"/>
      <c r="K581" s="29"/>
      <c r="L581" s="111"/>
      <c r="M581" s="111"/>
      <c r="N581" s="111"/>
      <c r="O581" s="111"/>
      <c r="P581" s="34"/>
    </row>
    <row x14ac:dyDescent="0.25" r="582" customHeight="1" ht="15.75">
      <c r="A582" s="117"/>
      <c r="B582" s="34"/>
      <c r="C582" s="34"/>
      <c r="D582" s="34"/>
      <c r="E582" s="34"/>
      <c r="F582" s="34"/>
      <c r="G582" s="29"/>
      <c r="H582" s="34"/>
      <c r="I582" s="85"/>
      <c r="J582" s="34"/>
      <c r="K582" s="29"/>
      <c r="L582" s="111"/>
      <c r="M582" s="111"/>
      <c r="N582" s="111"/>
      <c r="O582" s="111"/>
      <c r="P582" s="34"/>
    </row>
    <row x14ac:dyDescent="0.25" r="583" customHeight="1" ht="15.75">
      <c r="A583" s="117"/>
      <c r="B583" s="34"/>
      <c r="C583" s="34"/>
      <c r="D583" s="34"/>
      <c r="E583" s="34"/>
      <c r="F583" s="34"/>
      <c r="G583" s="29"/>
      <c r="H583" s="34"/>
      <c r="I583" s="85"/>
      <c r="J583" s="34"/>
      <c r="K583" s="29"/>
      <c r="L583" s="111"/>
      <c r="M583" s="111"/>
      <c r="N583" s="111"/>
      <c r="O583" s="111"/>
      <c r="P583" s="34"/>
    </row>
    <row x14ac:dyDescent="0.25" r="584" customHeight="1" ht="15.75">
      <c r="A584" s="117"/>
      <c r="B584" s="34"/>
      <c r="C584" s="34"/>
      <c r="D584" s="34"/>
      <c r="E584" s="34"/>
      <c r="F584" s="34"/>
      <c r="G584" s="29"/>
      <c r="H584" s="34"/>
      <c r="I584" s="85"/>
      <c r="J584" s="34"/>
      <c r="K584" s="29"/>
      <c r="L584" s="111"/>
      <c r="M584" s="111"/>
      <c r="N584" s="111"/>
      <c r="O584" s="111"/>
      <c r="P584" s="34"/>
    </row>
    <row x14ac:dyDescent="0.25" r="585" customHeight="1" ht="15.75">
      <c r="A585" s="117"/>
      <c r="B585" s="34"/>
      <c r="C585" s="34"/>
      <c r="D585" s="34"/>
      <c r="E585" s="34"/>
      <c r="F585" s="34"/>
      <c r="G585" s="29"/>
      <c r="H585" s="34"/>
      <c r="I585" s="85"/>
      <c r="J585" s="34"/>
      <c r="K585" s="29"/>
      <c r="L585" s="111"/>
      <c r="M585" s="111"/>
      <c r="N585" s="111"/>
      <c r="O585" s="111"/>
      <c r="P585" s="34"/>
    </row>
    <row x14ac:dyDescent="0.25" r="586" customHeight="1" ht="15.75">
      <c r="A586" s="117"/>
      <c r="B586" s="34"/>
      <c r="C586" s="34"/>
      <c r="D586" s="34"/>
      <c r="E586" s="34"/>
      <c r="F586" s="34"/>
      <c r="G586" s="29"/>
      <c r="H586" s="34"/>
      <c r="I586" s="85"/>
      <c r="J586" s="34"/>
      <c r="K586" s="29"/>
      <c r="L586" s="111"/>
      <c r="M586" s="111"/>
      <c r="N586" s="111"/>
      <c r="O586" s="111"/>
      <c r="P586" s="34"/>
    </row>
    <row x14ac:dyDescent="0.25" r="587" customHeight="1" ht="15.75">
      <c r="A587" s="117"/>
      <c r="B587" s="34"/>
      <c r="C587" s="34"/>
      <c r="D587" s="34"/>
      <c r="E587" s="34"/>
      <c r="F587" s="34"/>
      <c r="G587" s="29"/>
      <c r="H587" s="34"/>
      <c r="I587" s="85"/>
      <c r="J587" s="34"/>
      <c r="K587" s="29"/>
      <c r="L587" s="111"/>
      <c r="M587" s="111"/>
      <c r="N587" s="111"/>
      <c r="O587" s="111"/>
      <c r="P587" s="34"/>
    </row>
    <row x14ac:dyDescent="0.25" r="588" customHeight="1" ht="15.75">
      <c r="A588" s="117"/>
      <c r="B588" s="34"/>
      <c r="C588" s="34"/>
      <c r="D588" s="34"/>
      <c r="E588" s="34"/>
      <c r="F588" s="34"/>
      <c r="G588" s="29"/>
      <c r="H588" s="34"/>
      <c r="I588" s="85"/>
      <c r="J588" s="34"/>
      <c r="K588" s="29"/>
      <c r="L588" s="111"/>
      <c r="M588" s="111"/>
      <c r="N588" s="111"/>
      <c r="O588" s="111"/>
      <c r="P588" s="34"/>
    </row>
    <row x14ac:dyDescent="0.25" r="589" customHeight="1" ht="15.75">
      <c r="A589" s="117"/>
      <c r="B589" s="34"/>
      <c r="C589" s="34"/>
      <c r="D589" s="34"/>
      <c r="E589" s="34"/>
      <c r="F589" s="34"/>
      <c r="G589" s="29"/>
      <c r="H589" s="34"/>
      <c r="I589" s="85"/>
      <c r="J589" s="34"/>
      <c r="K589" s="29"/>
      <c r="L589" s="111"/>
      <c r="M589" s="111"/>
      <c r="N589" s="111"/>
      <c r="O589" s="111"/>
      <c r="P589" s="34"/>
    </row>
    <row x14ac:dyDescent="0.25" r="590" customHeight="1" ht="15.75">
      <c r="A590" s="117"/>
      <c r="B590" s="34"/>
      <c r="C590" s="34"/>
      <c r="D590" s="34"/>
      <c r="E590" s="34"/>
      <c r="F590" s="34"/>
      <c r="G590" s="29"/>
      <c r="H590" s="34"/>
      <c r="I590" s="85"/>
      <c r="J590" s="34"/>
      <c r="K590" s="29"/>
      <c r="L590" s="111"/>
      <c r="M590" s="111"/>
      <c r="N590" s="111"/>
      <c r="O590" s="111"/>
      <c r="P590" s="34"/>
    </row>
    <row x14ac:dyDescent="0.25" r="591" customHeight="1" ht="15.75">
      <c r="A591" s="117"/>
      <c r="B591" s="34"/>
      <c r="C591" s="34"/>
      <c r="D591" s="34"/>
      <c r="E591" s="34"/>
      <c r="F591" s="34"/>
      <c r="G591" s="29"/>
      <c r="H591" s="34"/>
      <c r="I591" s="85"/>
      <c r="J591" s="34"/>
      <c r="K591" s="29"/>
      <c r="L591" s="111"/>
      <c r="M591" s="111"/>
      <c r="N591" s="111"/>
      <c r="O591" s="111"/>
      <c r="P591" s="34"/>
    </row>
    <row x14ac:dyDescent="0.25" r="592" customHeight="1" ht="15.75">
      <c r="A592" s="117"/>
      <c r="B592" s="34"/>
      <c r="C592" s="34"/>
      <c r="D592" s="34"/>
      <c r="E592" s="34"/>
      <c r="F592" s="34"/>
      <c r="G592" s="29"/>
      <c r="H592" s="34"/>
      <c r="I592" s="85"/>
      <c r="J592" s="34"/>
      <c r="K592" s="29"/>
      <c r="L592" s="111"/>
      <c r="M592" s="111"/>
      <c r="N592" s="111"/>
      <c r="O592" s="111"/>
      <c r="P592" s="34"/>
    </row>
    <row x14ac:dyDescent="0.25" r="593" customHeight="1" ht="15.75">
      <c r="A593" s="117"/>
      <c r="B593" s="34"/>
      <c r="C593" s="34"/>
      <c r="D593" s="34"/>
      <c r="E593" s="34"/>
      <c r="F593" s="34"/>
      <c r="G593" s="29"/>
      <c r="H593" s="34"/>
      <c r="I593" s="85"/>
      <c r="J593" s="34"/>
      <c r="K593" s="29"/>
      <c r="L593" s="111"/>
      <c r="M593" s="111"/>
      <c r="N593" s="111"/>
      <c r="O593" s="111"/>
      <c r="P593" s="34"/>
    </row>
    <row x14ac:dyDescent="0.25" r="594" customHeight="1" ht="15.75">
      <c r="A594" s="117"/>
      <c r="B594" s="34"/>
      <c r="C594" s="34"/>
      <c r="D594" s="34"/>
      <c r="E594" s="34"/>
      <c r="F594" s="34"/>
      <c r="G594" s="29"/>
      <c r="H594" s="34"/>
      <c r="I594" s="85"/>
      <c r="J594" s="34"/>
      <c r="K594" s="29"/>
      <c r="L594" s="111"/>
      <c r="M594" s="111"/>
      <c r="N594" s="111"/>
      <c r="O594" s="111"/>
      <c r="P594" s="34"/>
    </row>
    <row x14ac:dyDescent="0.25" r="595" customHeight="1" ht="15.75">
      <c r="A595" s="117"/>
      <c r="B595" s="34"/>
      <c r="C595" s="34"/>
      <c r="D595" s="34"/>
      <c r="E595" s="34"/>
      <c r="F595" s="34"/>
      <c r="G595" s="29"/>
      <c r="H595" s="34"/>
      <c r="I595" s="85"/>
      <c r="J595" s="34"/>
      <c r="K595" s="29"/>
      <c r="L595" s="111"/>
      <c r="M595" s="111"/>
      <c r="N595" s="111"/>
      <c r="O595" s="111"/>
      <c r="P595" s="34"/>
    </row>
    <row x14ac:dyDescent="0.25" r="596" customHeight="1" ht="15.75">
      <c r="A596" s="117"/>
      <c r="B596" s="34"/>
      <c r="C596" s="34"/>
      <c r="D596" s="34"/>
      <c r="E596" s="34"/>
      <c r="F596" s="34"/>
      <c r="G596" s="29"/>
      <c r="H596" s="34"/>
      <c r="I596" s="85"/>
      <c r="J596" s="34"/>
      <c r="K596" s="29"/>
      <c r="L596" s="111"/>
      <c r="M596" s="111"/>
      <c r="N596" s="111"/>
      <c r="O596" s="111"/>
      <c r="P596" s="34"/>
    </row>
    <row x14ac:dyDescent="0.25" r="597" customHeight="1" ht="15.75">
      <c r="A597" s="117"/>
      <c r="B597" s="34"/>
      <c r="C597" s="34"/>
      <c r="D597" s="34"/>
      <c r="E597" s="34"/>
      <c r="F597" s="34"/>
      <c r="G597" s="29"/>
      <c r="H597" s="34"/>
      <c r="I597" s="85"/>
      <c r="J597" s="34"/>
      <c r="K597" s="29"/>
      <c r="L597" s="111"/>
      <c r="M597" s="111"/>
      <c r="N597" s="111"/>
      <c r="O597" s="111"/>
      <c r="P597" s="34"/>
    </row>
    <row x14ac:dyDescent="0.25" r="598" customHeight="1" ht="15.75">
      <c r="A598" s="117"/>
      <c r="B598" s="34"/>
      <c r="C598" s="34"/>
      <c r="D598" s="34"/>
      <c r="E598" s="34"/>
      <c r="F598" s="34"/>
      <c r="G598" s="29"/>
      <c r="H598" s="34"/>
      <c r="I598" s="85"/>
      <c r="J598" s="34"/>
      <c r="K598" s="29"/>
      <c r="L598" s="111"/>
      <c r="M598" s="111"/>
      <c r="N598" s="111"/>
      <c r="O598" s="111"/>
      <c r="P598" s="34"/>
    </row>
    <row x14ac:dyDescent="0.25" r="599" customHeight="1" ht="15.75">
      <c r="A599" s="117"/>
      <c r="B599" s="34"/>
      <c r="C599" s="34"/>
      <c r="D599" s="34"/>
      <c r="E599" s="34"/>
      <c r="F599" s="34"/>
      <c r="G599" s="29"/>
      <c r="H599" s="34"/>
      <c r="I599" s="85"/>
      <c r="J599" s="34"/>
      <c r="K599" s="29"/>
      <c r="L599" s="111"/>
      <c r="M599" s="111"/>
      <c r="N599" s="111"/>
      <c r="O599" s="111"/>
      <c r="P599" s="34"/>
    </row>
    <row x14ac:dyDescent="0.25" r="600" customHeight="1" ht="15.75">
      <c r="A600" s="117"/>
      <c r="B600" s="34"/>
      <c r="C600" s="34"/>
      <c r="D600" s="34"/>
      <c r="E600" s="34"/>
      <c r="F600" s="34"/>
      <c r="G600" s="29"/>
      <c r="H600" s="34"/>
      <c r="I600" s="85"/>
      <c r="J600" s="34"/>
      <c r="K600" s="29"/>
      <c r="L600" s="111"/>
      <c r="M600" s="111"/>
      <c r="N600" s="111"/>
      <c r="O600" s="111"/>
      <c r="P600" s="34"/>
    </row>
    <row x14ac:dyDescent="0.25" r="601" customHeight="1" ht="15.75">
      <c r="A601" s="117"/>
      <c r="B601" s="34"/>
      <c r="C601" s="34"/>
      <c r="D601" s="34"/>
      <c r="E601" s="34"/>
      <c r="F601" s="34"/>
      <c r="G601" s="29"/>
      <c r="H601" s="34"/>
      <c r="I601" s="85"/>
      <c r="J601" s="34"/>
      <c r="K601" s="29"/>
      <c r="L601" s="111"/>
      <c r="M601" s="111"/>
      <c r="N601" s="111"/>
      <c r="O601" s="111"/>
      <c r="P601" s="34"/>
    </row>
    <row x14ac:dyDescent="0.25" r="602" customHeight="1" ht="15.75">
      <c r="A602" s="117"/>
      <c r="B602" s="34"/>
      <c r="C602" s="34"/>
      <c r="D602" s="34"/>
      <c r="E602" s="34"/>
      <c r="F602" s="34"/>
      <c r="G602" s="29"/>
      <c r="H602" s="34"/>
      <c r="I602" s="85"/>
      <c r="J602" s="34"/>
      <c r="K602" s="29"/>
      <c r="L602" s="111"/>
      <c r="M602" s="111"/>
      <c r="N602" s="111"/>
      <c r="O602" s="111"/>
      <c r="P602" s="34"/>
    </row>
    <row x14ac:dyDescent="0.25" r="603" customHeight="1" ht="15.75">
      <c r="A603" s="117"/>
      <c r="B603" s="34"/>
      <c r="C603" s="34"/>
      <c r="D603" s="34"/>
      <c r="E603" s="34"/>
      <c r="F603" s="34"/>
      <c r="G603" s="29"/>
      <c r="H603" s="34"/>
      <c r="I603" s="85"/>
      <c r="J603" s="34"/>
      <c r="K603" s="29"/>
      <c r="L603" s="111"/>
      <c r="M603" s="111"/>
      <c r="N603" s="111"/>
      <c r="O603" s="111"/>
      <c r="P603" s="34"/>
    </row>
    <row x14ac:dyDescent="0.25" r="604" customHeight="1" ht="15.75">
      <c r="A604" s="117"/>
      <c r="B604" s="34"/>
      <c r="C604" s="34"/>
      <c r="D604" s="34"/>
      <c r="E604" s="34"/>
      <c r="F604" s="34"/>
      <c r="G604" s="29"/>
      <c r="H604" s="34"/>
      <c r="I604" s="85"/>
      <c r="J604" s="34"/>
      <c r="K604" s="29"/>
      <c r="L604" s="111"/>
      <c r="M604" s="111"/>
      <c r="N604" s="111"/>
      <c r="O604" s="111"/>
      <c r="P604" s="34"/>
    </row>
    <row x14ac:dyDescent="0.25" r="605" customHeight="1" ht="15.75">
      <c r="A605" s="117"/>
      <c r="B605" s="34"/>
      <c r="C605" s="34"/>
      <c r="D605" s="34"/>
      <c r="E605" s="34"/>
      <c r="F605" s="34"/>
      <c r="G605" s="29"/>
      <c r="H605" s="34"/>
      <c r="I605" s="85"/>
      <c r="J605" s="34"/>
      <c r="K605" s="29"/>
      <c r="L605" s="111"/>
      <c r="M605" s="111"/>
      <c r="N605" s="111"/>
      <c r="O605" s="111"/>
      <c r="P605" s="34"/>
    </row>
    <row x14ac:dyDescent="0.25" r="606" customHeight="1" ht="15.75">
      <c r="A606" s="117"/>
      <c r="B606" s="34"/>
      <c r="C606" s="34"/>
      <c r="D606" s="34"/>
      <c r="E606" s="34"/>
      <c r="F606" s="34"/>
      <c r="G606" s="29"/>
      <c r="H606" s="34"/>
      <c r="I606" s="85"/>
      <c r="J606" s="34"/>
      <c r="K606" s="29"/>
      <c r="L606" s="111"/>
      <c r="M606" s="111"/>
      <c r="N606" s="111"/>
      <c r="O606" s="111"/>
      <c r="P606" s="34"/>
    </row>
    <row x14ac:dyDescent="0.25" r="607" customHeight="1" ht="15.75">
      <c r="A607" s="117"/>
      <c r="B607" s="34"/>
      <c r="C607" s="34"/>
      <c r="D607" s="34"/>
      <c r="E607" s="34"/>
      <c r="F607" s="34"/>
      <c r="G607" s="29"/>
      <c r="H607" s="34"/>
      <c r="I607" s="85"/>
      <c r="J607" s="34"/>
      <c r="K607" s="29"/>
      <c r="L607" s="111"/>
      <c r="M607" s="111"/>
      <c r="N607" s="111"/>
      <c r="O607" s="111"/>
      <c r="P607" s="34"/>
    </row>
    <row x14ac:dyDescent="0.25" r="608" customHeight="1" ht="15.75">
      <c r="A608" s="117"/>
      <c r="B608" s="34"/>
      <c r="C608" s="34"/>
      <c r="D608" s="34"/>
      <c r="E608" s="34"/>
      <c r="F608" s="34"/>
      <c r="G608" s="29"/>
      <c r="H608" s="34"/>
      <c r="I608" s="85"/>
      <c r="J608" s="34"/>
      <c r="K608" s="29"/>
      <c r="L608" s="111"/>
      <c r="M608" s="111"/>
      <c r="N608" s="111"/>
      <c r="O608" s="111"/>
      <c r="P608" s="34"/>
    </row>
    <row x14ac:dyDescent="0.25" r="609" customHeight="1" ht="15.75">
      <c r="A609" s="117"/>
      <c r="B609" s="34"/>
      <c r="C609" s="34"/>
      <c r="D609" s="34"/>
      <c r="E609" s="34"/>
      <c r="F609" s="34"/>
      <c r="G609" s="29"/>
      <c r="H609" s="34"/>
      <c r="I609" s="85"/>
      <c r="J609" s="34"/>
      <c r="K609" s="29"/>
      <c r="L609" s="111"/>
      <c r="M609" s="111"/>
      <c r="N609" s="111"/>
      <c r="O609" s="111"/>
      <c r="P609" s="34"/>
    </row>
    <row x14ac:dyDescent="0.25" r="610" customHeight="1" ht="15.75">
      <c r="A610" s="117"/>
      <c r="B610" s="34"/>
      <c r="C610" s="34"/>
      <c r="D610" s="34"/>
      <c r="E610" s="34"/>
      <c r="F610" s="34"/>
      <c r="G610" s="29"/>
      <c r="H610" s="34"/>
      <c r="I610" s="85"/>
      <c r="J610" s="34"/>
      <c r="K610" s="29"/>
      <c r="L610" s="111"/>
      <c r="M610" s="111"/>
      <c r="N610" s="111"/>
      <c r="O610" s="111"/>
      <c r="P610" s="34"/>
    </row>
    <row x14ac:dyDescent="0.25" r="611" customHeight="1" ht="15.75">
      <c r="A611" s="117"/>
      <c r="B611" s="34"/>
      <c r="C611" s="34"/>
      <c r="D611" s="34"/>
      <c r="E611" s="34"/>
      <c r="F611" s="34"/>
      <c r="G611" s="29"/>
      <c r="H611" s="34"/>
      <c r="I611" s="85"/>
      <c r="J611" s="34"/>
      <c r="K611" s="29"/>
      <c r="L611" s="111"/>
      <c r="M611" s="111"/>
      <c r="N611" s="111"/>
      <c r="O611" s="111"/>
      <c r="P611" s="34"/>
    </row>
    <row x14ac:dyDescent="0.25" r="612" customHeight="1" ht="15.75">
      <c r="A612" s="117"/>
      <c r="B612" s="34"/>
      <c r="C612" s="34"/>
      <c r="D612" s="34"/>
      <c r="E612" s="34"/>
      <c r="F612" s="34"/>
      <c r="G612" s="29"/>
      <c r="H612" s="34"/>
      <c r="I612" s="85"/>
      <c r="J612" s="34"/>
      <c r="K612" s="29"/>
      <c r="L612" s="111"/>
      <c r="M612" s="111"/>
      <c r="N612" s="111"/>
      <c r="O612" s="111"/>
      <c r="P612" s="34"/>
    </row>
    <row x14ac:dyDescent="0.25" r="613" customHeight="1" ht="15.75">
      <c r="A613" s="117"/>
      <c r="B613" s="34"/>
      <c r="C613" s="34"/>
      <c r="D613" s="34"/>
      <c r="E613" s="34"/>
      <c r="F613" s="34"/>
      <c r="G613" s="29"/>
      <c r="H613" s="34"/>
      <c r="I613" s="85"/>
      <c r="J613" s="34"/>
      <c r="K613" s="29"/>
      <c r="L613" s="111"/>
      <c r="M613" s="111"/>
      <c r="N613" s="111"/>
      <c r="O613" s="111"/>
      <c r="P613" s="34"/>
    </row>
    <row x14ac:dyDescent="0.25" r="614" customHeight="1" ht="15.75">
      <c r="A614" s="117"/>
      <c r="B614" s="34"/>
      <c r="C614" s="34"/>
      <c r="D614" s="34"/>
      <c r="E614" s="34"/>
      <c r="F614" s="34"/>
      <c r="G614" s="29"/>
      <c r="H614" s="34"/>
      <c r="I614" s="85"/>
      <c r="J614" s="34"/>
      <c r="K614" s="29"/>
      <c r="L614" s="111"/>
      <c r="M614" s="111"/>
      <c r="N614" s="111"/>
      <c r="O614" s="111"/>
      <c r="P614" s="34"/>
    </row>
    <row x14ac:dyDescent="0.25" r="615" customHeight="1" ht="15.75">
      <c r="A615" s="117"/>
      <c r="B615" s="34"/>
      <c r="C615" s="34"/>
      <c r="D615" s="34"/>
      <c r="E615" s="34"/>
      <c r="F615" s="34"/>
      <c r="G615" s="29"/>
      <c r="H615" s="34"/>
      <c r="I615" s="85"/>
      <c r="J615" s="34"/>
      <c r="K615" s="29"/>
      <c r="L615" s="111"/>
      <c r="M615" s="111"/>
      <c r="N615" s="111"/>
      <c r="O615" s="111"/>
      <c r="P615" s="34"/>
    </row>
    <row x14ac:dyDescent="0.25" r="616" customHeight="1" ht="15.75">
      <c r="A616" s="117"/>
      <c r="B616" s="34"/>
      <c r="C616" s="34"/>
      <c r="D616" s="34"/>
      <c r="E616" s="34"/>
      <c r="F616" s="34"/>
      <c r="G616" s="29"/>
      <c r="H616" s="34"/>
      <c r="I616" s="85"/>
      <c r="J616" s="34"/>
      <c r="K616" s="29"/>
      <c r="L616" s="111"/>
      <c r="M616" s="111"/>
      <c r="N616" s="111"/>
      <c r="O616" s="111"/>
      <c r="P616" s="34"/>
    </row>
    <row x14ac:dyDescent="0.25" r="617" customHeight="1" ht="15.75">
      <c r="A617" s="117"/>
      <c r="B617" s="34"/>
      <c r="C617" s="34"/>
      <c r="D617" s="34"/>
      <c r="E617" s="34"/>
      <c r="F617" s="34"/>
      <c r="G617" s="29"/>
      <c r="H617" s="34"/>
      <c r="I617" s="85"/>
      <c r="J617" s="34"/>
      <c r="K617" s="29"/>
      <c r="L617" s="111"/>
      <c r="M617" s="111"/>
      <c r="N617" s="111"/>
      <c r="O617" s="111"/>
      <c r="P617" s="34"/>
    </row>
    <row x14ac:dyDescent="0.25" r="618" customHeight="1" ht="15.75">
      <c r="A618" s="117"/>
      <c r="B618" s="34"/>
      <c r="C618" s="34"/>
      <c r="D618" s="34"/>
      <c r="E618" s="34"/>
      <c r="F618" s="34"/>
      <c r="G618" s="29"/>
      <c r="H618" s="34"/>
      <c r="I618" s="85"/>
      <c r="J618" s="34"/>
      <c r="K618" s="29"/>
      <c r="L618" s="111"/>
      <c r="M618" s="111"/>
      <c r="N618" s="111"/>
      <c r="O618" s="111"/>
      <c r="P618" s="34"/>
    </row>
    <row x14ac:dyDescent="0.25" r="619" customHeight="1" ht="15.75">
      <c r="A619" s="117"/>
      <c r="B619" s="34"/>
      <c r="C619" s="34"/>
      <c r="D619" s="34"/>
      <c r="E619" s="34"/>
      <c r="F619" s="34"/>
      <c r="G619" s="29"/>
      <c r="H619" s="34"/>
      <c r="I619" s="85"/>
      <c r="J619" s="34"/>
      <c r="K619" s="29"/>
      <c r="L619" s="111"/>
      <c r="M619" s="111"/>
      <c r="N619" s="111"/>
      <c r="O619" s="111"/>
      <c r="P619" s="34"/>
    </row>
    <row x14ac:dyDescent="0.25" r="620" customHeight="1" ht="15.75">
      <c r="A620" s="117"/>
      <c r="B620" s="34"/>
      <c r="C620" s="34"/>
      <c r="D620" s="34"/>
      <c r="E620" s="34"/>
      <c r="F620" s="34"/>
      <c r="G620" s="29"/>
      <c r="H620" s="34"/>
      <c r="I620" s="85"/>
      <c r="J620" s="34"/>
      <c r="K620" s="29"/>
      <c r="L620" s="111"/>
      <c r="M620" s="111"/>
      <c r="N620" s="111"/>
      <c r="O620" s="111"/>
      <c r="P620" s="34"/>
    </row>
    <row x14ac:dyDescent="0.25" r="621" customHeight="1" ht="15.75">
      <c r="A621" s="117"/>
      <c r="B621" s="34"/>
      <c r="C621" s="34"/>
      <c r="D621" s="34"/>
      <c r="E621" s="34"/>
      <c r="F621" s="34"/>
      <c r="G621" s="29"/>
      <c r="H621" s="34"/>
      <c r="I621" s="85"/>
      <c r="J621" s="34"/>
      <c r="K621" s="29"/>
      <c r="L621" s="111"/>
      <c r="M621" s="111"/>
      <c r="N621" s="111"/>
      <c r="O621" s="111"/>
      <c r="P621" s="34"/>
    </row>
    <row x14ac:dyDescent="0.25" r="622" customHeight="1" ht="15.75">
      <c r="A622" s="117"/>
      <c r="B622" s="34"/>
      <c r="C622" s="34"/>
      <c r="D622" s="34"/>
      <c r="E622" s="34"/>
      <c r="F622" s="34"/>
      <c r="G622" s="29"/>
      <c r="H622" s="34"/>
      <c r="I622" s="85"/>
      <c r="J622" s="34"/>
      <c r="K622" s="29"/>
      <c r="L622" s="111"/>
      <c r="M622" s="111"/>
      <c r="N622" s="111"/>
      <c r="O622" s="111"/>
      <c r="P622" s="34"/>
    </row>
    <row x14ac:dyDescent="0.25" r="623" customHeight="1" ht="15.75">
      <c r="A623" s="117"/>
      <c r="B623" s="34"/>
      <c r="C623" s="34"/>
      <c r="D623" s="34"/>
      <c r="E623" s="34"/>
      <c r="F623" s="34"/>
      <c r="G623" s="29"/>
      <c r="H623" s="34"/>
      <c r="I623" s="85"/>
      <c r="J623" s="34"/>
      <c r="K623" s="29"/>
      <c r="L623" s="111"/>
      <c r="M623" s="111"/>
      <c r="N623" s="111"/>
      <c r="O623" s="111"/>
      <c r="P623" s="34"/>
    </row>
    <row x14ac:dyDescent="0.25" r="624" customHeight="1" ht="15.75">
      <c r="A624" s="117"/>
      <c r="B624" s="34"/>
      <c r="C624" s="34"/>
      <c r="D624" s="34"/>
      <c r="E624" s="34"/>
      <c r="F624" s="34"/>
      <c r="G624" s="29"/>
      <c r="H624" s="34"/>
      <c r="I624" s="85"/>
      <c r="J624" s="34"/>
      <c r="K624" s="29"/>
      <c r="L624" s="111"/>
      <c r="M624" s="111"/>
      <c r="N624" s="111"/>
      <c r="O624" s="111"/>
      <c r="P624" s="34"/>
    </row>
    <row x14ac:dyDescent="0.25" r="625" customHeight="1" ht="15.75">
      <c r="A625" s="117"/>
      <c r="B625" s="34"/>
      <c r="C625" s="34"/>
      <c r="D625" s="34"/>
      <c r="E625" s="34"/>
      <c r="F625" s="34"/>
      <c r="G625" s="29"/>
      <c r="H625" s="34"/>
      <c r="I625" s="85"/>
      <c r="J625" s="34"/>
      <c r="K625" s="29"/>
      <c r="L625" s="111"/>
      <c r="M625" s="111"/>
      <c r="N625" s="111"/>
      <c r="O625" s="111"/>
      <c r="P625" s="34"/>
    </row>
    <row x14ac:dyDescent="0.25" r="626" customHeight="1" ht="15.75">
      <c r="A626" s="117"/>
      <c r="B626" s="34"/>
      <c r="C626" s="34"/>
      <c r="D626" s="34"/>
      <c r="E626" s="34"/>
      <c r="F626" s="34"/>
      <c r="G626" s="29"/>
      <c r="H626" s="34"/>
      <c r="I626" s="85"/>
      <c r="J626" s="34"/>
      <c r="K626" s="29"/>
      <c r="L626" s="111"/>
      <c r="M626" s="111"/>
      <c r="N626" s="111"/>
      <c r="O626" s="111"/>
      <c r="P626" s="34"/>
    </row>
    <row x14ac:dyDescent="0.25" r="627" customHeight="1" ht="15.75">
      <c r="A627" s="117"/>
      <c r="B627" s="34"/>
      <c r="C627" s="34"/>
      <c r="D627" s="34"/>
      <c r="E627" s="34"/>
      <c r="F627" s="34"/>
      <c r="G627" s="29"/>
      <c r="H627" s="34"/>
      <c r="I627" s="85"/>
      <c r="J627" s="34"/>
      <c r="K627" s="29"/>
      <c r="L627" s="111"/>
      <c r="M627" s="111"/>
      <c r="N627" s="111"/>
      <c r="O627" s="111"/>
      <c r="P627" s="34"/>
    </row>
    <row x14ac:dyDescent="0.25" r="628" customHeight="1" ht="15.75">
      <c r="A628" s="117"/>
      <c r="B628" s="34"/>
      <c r="C628" s="34"/>
      <c r="D628" s="34"/>
      <c r="E628" s="34"/>
      <c r="F628" s="34"/>
      <c r="G628" s="29"/>
      <c r="H628" s="34"/>
      <c r="I628" s="85"/>
      <c r="J628" s="34"/>
      <c r="K628" s="29"/>
      <c r="L628" s="111"/>
      <c r="M628" s="111"/>
      <c r="N628" s="111"/>
      <c r="O628" s="111"/>
      <c r="P628" s="34"/>
    </row>
    <row x14ac:dyDescent="0.25" r="629" customHeight="1" ht="15.75">
      <c r="A629" s="117"/>
      <c r="B629" s="34"/>
      <c r="C629" s="34"/>
      <c r="D629" s="34"/>
      <c r="E629" s="34"/>
      <c r="F629" s="34"/>
      <c r="G629" s="29"/>
      <c r="H629" s="34"/>
      <c r="I629" s="85"/>
      <c r="J629" s="34"/>
      <c r="K629" s="29"/>
      <c r="L629" s="111"/>
      <c r="M629" s="111"/>
      <c r="N629" s="111"/>
      <c r="O629" s="111"/>
      <c r="P629" s="34"/>
    </row>
    <row x14ac:dyDescent="0.25" r="630" customHeight="1" ht="15.75">
      <c r="A630" s="117"/>
      <c r="B630" s="34"/>
      <c r="C630" s="34"/>
      <c r="D630" s="34"/>
      <c r="E630" s="34"/>
      <c r="F630" s="34"/>
      <c r="G630" s="29"/>
      <c r="H630" s="34"/>
      <c r="I630" s="85"/>
      <c r="J630" s="34"/>
      <c r="K630" s="29"/>
      <c r="L630" s="111"/>
      <c r="M630" s="111"/>
      <c r="N630" s="111"/>
      <c r="O630" s="111"/>
      <c r="P630" s="34"/>
    </row>
    <row x14ac:dyDescent="0.25" r="631" customHeight="1" ht="15.75">
      <c r="A631" s="117"/>
      <c r="B631" s="34"/>
      <c r="C631" s="34"/>
      <c r="D631" s="34"/>
      <c r="E631" s="34"/>
      <c r="F631" s="34"/>
      <c r="G631" s="29"/>
      <c r="H631" s="34"/>
      <c r="I631" s="85"/>
      <c r="J631" s="34"/>
      <c r="K631" s="29"/>
      <c r="L631" s="111"/>
      <c r="M631" s="111"/>
      <c r="N631" s="111"/>
      <c r="O631" s="111"/>
      <c r="P631" s="34"/>
    </row>
    <row x14ac:dyDescent="0.25" r="632" customHeight="1" ht="15.75">
      <c r="A632" s="117"/>
      <c r="B632" s="34"/>
      <c r="C632" s="34"/>
      <c r="D632" s="34"/>
      <c r="E632" s="34"/>
      <c r="F632" s="34"/>
      <c r="G632" s="29"/>
      <c r="H632" s="34"/>
      <c r="I632" s="85"/>
      <c r="J632" s="34"/>
      <c r="K632" s="29"/>
      <c r="L632" s="111"/>
      <c r="M632" s="111"/>
      <c r="N632" s="111"/>
      <c r="O632" s="111"/>
      <c r="P632" s="34"/>
    </row>
    <row x14ac:dyDescent="0.25" r="633" customHeight="1" ht="15.75">
      <c r="A633" s="117"/>
      <c r="B633" s="34"/>
      <c r="C633" s="34"/>
      <c r="D633" s="34"/>
      <c r="E633" s="34"/>
      <c r="F633" s="34"/>
      <c r="G633" s="29"/>
      <c r="H633" s="34"/>
      <c r="I633" s="85"/>
      <c r="J633" s="34"/>
      <c r="K633" s="29"/>
      <c r="L633" s="111"/>
      <c r="M633" s="111"/>
      <c r="N633" s="111"/>
      <c r="O633" s="111"/>
      <c r="P633" s="34"/>
    </row>
    <row x14ac:dyDescent="0.25" r="634" customHeight="1" ht="15.75">
      <c r="A634" s="117"/>
      <c r="B634" s="34"/>
      <c r="C634" s="34"/>
      <c r="D634" s="34"/>
      <c r="E634" s="34"/>
      <c r="F634" s="34"/>
      <c r="G634" s="29"/>
      <c r="H634" s="34"/>
      <c r="I634" s="85"/>
      <c r="J634" s="34"/>
      <c r="K634" s="29"/>
      <c r="L634" s="111"/>
      <c r="M634" s="111"/>
      <c r="N634" s="111"/>
      <c r="O634" s="111"/>
      <c r="P634" s="34"/>
    </row>
    <row x14ac:dyDescent="0.25" r="635" customHeight="1" ht="15.75">
      <c r="A635" s="117"/>
      <c r="B635" s="34"/>
      <c r="C635" s="34"/>
      <c r="D635" s="34"/>
      <c r="E635" s="34"/>
      <c r="F635" s="34"/>
      <c r="G635" s="29"/>
      <c r="H635" s="34"/>
      <c r="I635" s="85"/>
      <c r="J635" s="34"/>
      <c r="K635" s="29"/>
      <c r="L635" s="111"/>
      <c r="M635" s="111"/>
      <c r="N635" s="111"/>
      <c r="O635" s="111"/>
      <c r="P635" s="34"/>
    </row>
    <row x14ac:dyDescent="0.25" r="636" customHeight="1" ht="15.75">
      <c r="A636" s="117"/>
      <c r="B636" s="34"/>
      <c r="C636" s="34"/>
      <c r="D636" s="34"/>
      <c r="E636" s="34"/>
      <c r="F636" s="34"/>
      <c r="G636" s="29"/>
      <c r="H636" s="34"/>
      <c r="I636" s="85"/>
      <c r="J636" s="34"/>
      <c r="K636" s="29"/>
      <c r="L636" s="111"/>
      <c r="M636" s="111"/>
      <c r="N636" s="111"/>
      <c r="O636" s="111"/>
      <c r="P636" s="34"/>
    </row>
    <row x14ac:dyDescent="0.25" r="637" customHeight="1" ht="15.75">
      <c r="A637" s="117"/>
      <c r="B637" s="34"/>
      <c r="C637" s="34"/>
      <c r="D637" s="34"/>
      <c r="E637" s="34"/>
      <c r="F637" s="34"/>
      <c r="G637" s="29"/>
      <c r="H637" s="34"/>
      <c r="I637" s="85"/>
      <c r="J637" s="34"/>
      <c r="K637" s="29"/>
      <c r="L637" s="111"/>
      <c r="M637" s="111"/>
      <c r="N637" s="111"/>
      <c r="O637" s="111"/>
      <c r="P637" s="34"/>
    </row>
    <row x14ac:dyDescent="0.25" r="638" customHeight="1" ht="15.75">
      <c r="A638" s="117"/>
      <c r="B638" s="34"/>
      <c r="C638" s="34"/>
      <c r="D638" s="34"/>
      <c r="E638" s="34"/>
      <c r="F638" s="34"/>
      <c r="G638" s="29"/>
      <c r="H638" s="34"/>
      <c r="I638" s="85"/>
      <c r="J638" s="34"/>
      <c r="K638" s="29"/>
      <c r="L638" s="111"/>
      <c r="M638" s="111"/>
      <c r="N638" s="111"/>
      <c r="O638" s="111"/>
      <c r="P638" s="34"/>
    </row>
    <row x14ac:dyDescent="0.25" r="639" customHeight="1" ht="15.75">
      <c r="A639" s="117"/>
      <c r="B639" s="34"/>
      <c r="C639" s="34"/>
      <c r="D639" s="34"/>
      <c r="E639" s="34"/>
      <c r="F639" s="34"/>
      <c r="G639" s="29"/>
      <c r="H639" s="34"/>
      <c r="I639" s="85"/>
      <c r="J639" s="34"/>
      <c r="K639" s="29"/>
      <c r="L639" s="111"/>
      <c r="M639" s="111"/>
      <c r="N639" s="111"/>
      <c r="O639" s="111"/>
      <c r="P639" s="34"/>
    </row>
    <row x14ac:dyDescent="0.25" r="640" customHeight="1" ht="15.75">
      <c r="A640" s="117"/>
      <c r="B640" s="34"/>
      <c r="C640" s="34"/>
      <c r="D640" s="34"/>
      <c r="E640" s="34"/>
      <c r="F640" s="34"/>
      <c r="G640" s="29"/>
      <c r="H640" s="34"/>
      <c r="I640" s="85"/>
      <c r="J640" s="34"/>
      <c r="K640" s="29"/>
      <c r="L640" s="111"/>
      <c r="M640" s="111"/>
      <c r="N640" s="111"/>
      <c r="O640" s="111"/>
      <c r="P640" s="34"/>
    </row>
    <row x14ac:dyDescent="0.25" r="641" customHeight="1" ht="15.75">
      <c r="A641" s="117"/>
      <c r="B641" s="34"/>
      <c r="C641" s="34"/>
      <c r="D641" s="34"/>
      <c r="E641" s="34"/>
      <c r="F641" s="34"/>
      <c r="G641" s="29"/>
      <c r="H641" s="34"/>
      <c r="I641" s="85"/>
      <c r="J641" s="34"/>
      <c r="K641" s="29"/>
      <c r="L641" s="111"/>
      <c r="M641" s="111"/>
      <c r="N641" s="111"/>
      <c r="O641" s="111"/>
      <c r="P641" s="34"/>
    </row>
    <row x14ac:dyDescent="0.25" r="642" customHeight="1" ht="15.75">
      <c r="A642" s="117"/>
      <c r="B642" s="34"/>
      <c r="C642" s="34"/>
      <c r="D642" s="34"/>
      <c r="E642" s="34"/>
      <c r="F642" s="34"/>
      <c r="G642" s="29"/>
      <c r="H642" s="34"/>
      <c r="I642" s="85"/>
      <c r="J642" s="34"/>
      <c r="K642" s="29"/>
      <c r="L642" s="111"/>
      <c r="M642" s="111"/>
      <c r="N642" s="111"/>
      <c r="O642" s="111"/>
      <c r="P642" s="34"/>
    </row>
    <row x14ac:dyDescent="0.25" r="643" customHeight="1" ht="15.75">
      <c r="A643" s="117"/>
      <c r="B643" s="34"/>
      <c r="C643" s="34"/>
      <c r="D643" s="34"/>
      <c r="E643" s="34"/>
      <c r="F643" s="34"/>
      <c r="G643" s="29"/>
      <c r="H643" s="34"/>
      <c r="I643" s="85"/>
      <c r="J643" s="34"/>
      <c r="K643" s="29"/>
      <c r="L643" s="111"/>
      <c r="M643" s="111"/>
      <c r="N643" s="111"/>
      <c r="O643" s="111"/>
      <c r="P643" s="34"/>
    </row>
    <row x14ac:dyDescent="0.25" r="644" customHeight="1" ht="15.75">
      <c r="A644" s="117"/>
      <c r="B644" s="34"/>
      <c r="C644" s="34"/>
      <c r="D644" s="34"/>
      <c r="E644" s="34"/>
      <c r="F644" s="34"/>
      <c r="G644" s="29"/>
      <c r="H644" s="34"/>
      <c r="I644" s="85"/>
      <c r="J644" s="34"/>
      <c r="K644" s="29"/>
      <c r="L644" s="111"/>
      <c r="M644" s="111"/>
      <c r="N644" s="111"/>
      <c r="O644" s="111"/>
      <c r="P644" s="34"/>
    </row>
    <row x14ac:dyDescent="0.25" r="645" customHeight="1" ht="15.75">
      <c r="A645" s="117"/>
      <c r="B645" s="34"/>
      <c r="C645" s="34"/>
      <c r="D645" s="34"/>
      <c r="E645" s="34"/>
      <c r="F645" s="34"/>
      <c r="G645" s="29"/>
      <c r="H645" s="34"/>
      <c r="I645" s="85"/>
      <c r="J645" s="34"/>
      <c r="K645" s="29"/>
      <c r="L645" s="111"/>
      <c r="M645" s="111"/>
      <c r="N645" s="111"/>
      <c r="O645" s="111"/>
      <c r="P645" s="34"/>
    </row>
    <row x14ac:dyDescent="0.25" r="646" customHeight="1" ht="15.75">
      <c r="A646" s="117"/>
      <c r="B646" s="34"/>
      <c r="C646" s="34"/>
      <c r="D646" s="34"/>
      <c r="E646" s="34"/>
      <c r="F646" s="34"/>
      <c r="G646" s="29"/>
      <c r="H646" s="34"/>
      <c r="I646" s="85"/>
      <c r="J646" s="34"/>
      <c r="K646" s="29"/>
      <c r="L646" s="111"/>
      <c r="M646" s="111"/>
      <c r="N646" s="111"/>
      <c r="O646" s="111"/>
      <c r="P646" s="34"/>
    </row>
    <row x14ac:dyDescent="0.25" r="647" customHeight="1" ht="15.75">
      <c r="A647" s="117"/>
      <c r="B647" s="34"/>
      <c r="C647" s="34"/>
      <c r="D647" s="34"/>
      <c r="E647" s="34"/>
      <c r="F647" s="34"/>
      <c r="G647" s="29"/>
      <c r="H647" s="34"/>
      <c r="I647" s="85"/>
      <c r="J647" s="34"/>
      <c r="K647" s="29"/>
      <c r="L647" s="111"/>
      <c r="M647" s="111"/>
      <c r="N647" s="111"/>
      <c r="O647" s="111"/>
      <c r="P647" s="34"/>
    </row>
    <row x14ac:dyDescent="0.25" r="648" customHeight="1" ht="15.75">
      <c r="A648" s="117"/>
      <c r="B648" s="34"/>
      <c r="C648" s="34"/>
      <c r="D648" s="34"/>
      <c r="E648" s="34"/>
      <c r="F648" s="34"/>
      <c r="G648" s="29"/>
      <c r="H648" s="34"/>
      <c r="I648" s="85"/>
      <c r="J648" s="34"/>
      <c r="K648" s="29"/>
      <c r="L648" s="111"/>
      <c r="M648" s="111"/>
      <c r="N648" s="111"/>
      <c r="O648" s="111"/>
      <c r="P648" s="34"/>
    </row>
    <row x14ac:dyDescent="0.25" r="649" customHeight="1" ht="15.75">
      <c r="A649" s="117"/>
      <c r="B649" s="34"/>
      <c r="C649" s="34"/>
      <c r="D649" s="34"/>
      <c r="E649" s="34"/>
      <c r="F649" s="34"/>
      <c r="G649" s="29"/>
      <c r="H649" s="34"/>
      <c r="I649" s="85"/>
      <c r="J649" s="34"/>
      <c r="K649" s="29"/>
      <c r="L649" s="111"/>
      <c r="M649" s="111"/>
      <c r="N649" s="111"/>
      <c r="O649" s="111"/>
      <c r="P649" s="34"/>
    </row>
    <row x14ac:dyDescent="0.25" r="650" customHeight="1" ht="15.75">
      <c r="A650" s="117"/>
      <c r="B650" s="34"/>
      <c r="C650" s="34"/>
      <c r="D650" s="34"/>
      <c r="E650" s="34"/>
      <c r="F650" s="34"/>
      <c r="G650" s="29"/>
      <c r="H650" s="34"/>
      <c r="I650" s="85"/>
      <c r="J650" s="34"/>
      <c r="K650" s="29"/>
      <c r="L650" s="111"/>
      <c r="M650" s="111"/>
      <c r="N650" s="111"/>
      <c r="O650" s="111"/>
      <c r="P650" s="34"/>
    </row>
    <row x14ac:dyDescent="0.25" r="651" customHeight="1" ht="15.75">
      <c r="A651" s="117"/>
      <c r="B651" s="34"/>
      <c r="C651" s="34"/>
      <c r="D651" s="34"/>
      <c r="E651" s="34"/>
      <c r="F651" s="34"/>
      <c r="G651" s="29"/>
      <c r="H651" s="34"/>
      <c r="I651" s="85"/>
      <c r="J651" s="34"/>
      <c r="K651" s="29"/>
      <c r="L651" s="111"/>
      <c r="M651" s="111"/>
      <c r="N651" s="111"/>
      <c r="O651" s="111"/>
      <c r="P651" s="34"/>
    </row>
    <row x14ac:dyDescent="0.25" r="652" customHeight="1" ht="15.75">
      <c r="A652" s="117"/>
      <c r="B652" s="34"/>
      <c r="C652" s="34"/>
      <c r="D652" s="34"/>
      <c r="E652" s="34"/>
      <c r="F652" s="34"/>
      <c r="G652" s="29"/>
      <c r="H652" s="34"/>
      <c r="I652" s="85"/>
      <c r="J652" s="34"/>
      <c r="K652" s="29"/>
      <c r="L652" s="111"/>
      <c r="M652" s="111"/>
      <c r="N652" s="111"/>
      <c r="O652" s="111"/>
      <c r="P652" s="34"/>
    </row>
    <row x14ac:dyDescent="0.25" r="653" customHeight="1" ht="15.75">
      <c r="A653" s="117"/>
      <c r="B653" s="34"/>
      <c r="C653" s="34"/>
      <c r="D653" s="34"/>
      <c r="E653" s="34"/>
      <c r="F653" s="34"/>
      <c r="G653" s="29"/>
      <c r="H653" s="34"/>
      <c r="I653" s="85"/>
      <c r="J653" s="34"/>
      <c r="K653" s="29"/>
      <c r="L653" s="111"/>
      <c r="M653" s="111"/>
      <c r="N653" s="111"/>
      <c r="O653" s="111"/>
      <c r="P653" s="34"/>
    </row>
    <row x14ac:dyDescent="0.25" r="654" customHeight="1" ht="15.75">
      <c r="A654" s="117"/>
      <c r="B654" s="34"/>
      <c r="C654" s="34"/>
      <c r="D654" s="34"/>
      <c r="E654" s="34"/>
      <c r="F654" s="34"/>
      <c r="G654" s="29"/>
      <c r="H654" s="34"/>
      <c r="I654" s="85"/>
      <c r="J654" s="34"/>
      <c r="K654" s="29"/>
      <c r="L654" s="111"/>
      <c r="M654" s="111"/>
      <c r="N654" s="111"/>
      <c r="O654" s="111"/>
      <c r="P654" s="34"/>
    </row>
    <row x14ac:dyDescent="0.25" r="655" customHeight="1" ht="15.75">
      <c r="A655" s="117"/>
      <c r="B655" s="34"/>
      <c r="C655" s="34"/>
      <c r="D655" s="34"/>
      <c r="E655" s="34"/>
      <c r="F655" s="34"/>
      <c r="G655" s="29"/>
      <c r="H655" s="34"/>
      <c r="I655" s="85"/>
      <c r="J655" s="34"/>
      <c r="K655" s="29"/>
      <c r="L655" s="111"/>
      <c r="M655" s="111"/>
      <c r="N655" s="111"/>
      <c r="O655" s="111"/>
      <c r="P655" s="34"/>
    </row>
    <row x14ac:dyDescent="0.25" r="656" customHeight="1" ht="15.75">
      <c r="A656" s="117"/>
      <c r="B656" s="34"/>
      <c r="C656" s="34"/>
      <c r="D656" s="34"/>
      <c r="E656" s="34"/>
      <c r="F656" s="34"/>
      <c r="G656" s="29"/>
      <c r="H656" s="34"/>
      <c r="I656" s="85"/>
      <c r="J656" s="34"/>
      <c r="K656" s="29"/>
      <c r="L656" s="111"/>
      <c r="M656" s="111"/>
      <c r="N656" s="111"/>
      <c r="O656" s="111"/>
      <c r="P656" s="34"/>
    </row>
    <row x14ac:dyDescent="0.25" r="657" customHeight="1" ht="15.75">
      <c r="A657" s="117"/>
      <c r="B657" s="34"/>
      <c r="C657" s="34"/>
      <c r="D657" s="34"/>
      <c r="E657" s="34"/>
      <c r="F657" s="34"/>
      <c r="G657" s="29"/>
      <c r="H657" s="34"/>
      <c r="I657" s="85"/>
      <c r="J657" s="34"/>
      <c r="K657" s="29"/>
      <c r="L657" s="111"/>
      <c r="M657" s="111"/>
      <c r="N657" s="111"/>
      <c r="O657" s="111"/>
      <c r="P657" s="34"/>
    </row>
    <row x14ac:dyDescent="0.25" r="658" customHeight="1" ht="15.75">
      <c r="A658" s="117"/>
      <c r="B658" s="34"/>
      <c r="C658" s="34"/>
      <c r="D658" s="34"/>
      <c r="E658" s="34"/>
      <c r="F658" s="34"/>
      <c r="G658" s="29"/>
      <c r="H658" s="34"/>
      <c r="I658" s="85"/>
      <c r="J658" s="34"/>
      <c r="K658" s="29"/>
      <c r="L658" s="111"/>
      <c r="M658" s="111"/>
      <c r="N658" s="111"/>
      <c r="O658" s="111"/>
      <c r="P658" s="34"/>
    </row>
    <row x14ac:dyDescent="0.25" r="659" customHeight="1" ht="15.75">
      <c r="A659" s="117"/>
      <c r="B659" s="34"/>
      <c r="C659" s="34"/>
      <c r="D659" s="34"/>
      <c r="E659" s="34"/>
      <c r="F659" s="34"/>
      <c r="G659" s="29"/>
      <c r="H659" s="34"/>
      <c r="I659" s="85"/>
      <c r="J659" s="34"/>
      <c r="K659" s="29"/>
      <c r="L659" s="111"/>
      <c r="M659" s="111"/>
      <c r="N659" s="111"/>
      <c r="O659" s="111"/>
      <c r="P659" s="34"/>
    </row>
    <row x14ac:dyDescent="0.25" r="660" customHeight="1" ht="15.75">
      <c r="A660" s="117"/>
      <c r="B660" s="34"/>
      <c r="C660" s="34"/>
      <c r="D660" s="34"/>
      <c r="E660" s="34"/>
      <c r="F660" s="34"/>
      <c r="G660" s="29"/>
      <c r="H660" s="34"/>
      <c r="I660" s="85"/>
      <c r="J660" s="34"/>
      <c r="K660" s="29"/>
      <c r="L660" s="111"/>
      <c r="M660" s="111"/>
      <c r="N660" s="111"/>
      <c r="O660" s="111"/>
      <c r="P660" s="34"/>
    </row>
    <row x14ac:dyDescent="0.25" r="661" customHeight="1" ht="15.75">
      <c r="A661" s="117"/>
      <c r="B661" s="34"/>
      <c r="C661" s="34"/>
      <c r="D661" s="34"/>
      <c r="E661" s="34"/>
      <c r="F661" s="34"/>
      <c r="G661" s="29"/>
      <c r="H661" s="34"/>
      <c r="I661" s="85"/>
      <c r="J661" s="34"/>
      <c r="K661" s="29"/>
      <c r="L661" s="111"/>
      <c r="M661" s="111"/>
      <c r="N661" s="111"/>
      <c r="O661" s="111"/>
      <c r="P661" s="34"/>
    </row>
    <row x14ac:dyDescent="0.25" r="662" customHeight="1" ht="15.75">
      <c r="A662" s="117"/>
      <c r="B662" s="34"/>
      <c r="C662" s="34"/>
      <c r="D662" s="34"/>
      <c r="E662" s="34"/>
      <c r="F662" s="34"/>
      <c r="G662" s="29"/>
      <c r="H662" s="34"/>
      <c r="I662" s="85"/>
      <c r="J662" s="34"/>
      <c r="K662" s="29"/>
      <c r="L662" s="111"/>
      <c r="M662" s="111"/>
      <c r="N662" s="111"/>
      <c r="O662" s="111"/>
      <c r="P662" s="34"/>
    </row>
    <row x14ac:dyDescent="0.25" r="663" customHeight="1" ht="15.75">
      <c r="A663" s="117"/>
      <c r="B663" s="34"/>
      <c r="C663" s="34"/>
      <c r="D663" s="34"/>
      <c r="E663" s="34"/>
      <c r="F663" s="34"/>
      <c r="G663" s="29"/>
      <c r="H663" s="34"/>
      <c r="I663" s="85"/>
      <c r="J663" s="34"/>
      <c r="K663" s="29"/>
      <c r="L663" s="111"/>
      <c r="M663" s="111"/>
      <c r="N663" s="111"/>
      <c r="O663" s="111"/>
      <c r="P663" s="34"/>
    </row>
    <row x14ac:dyDescent="0.25" r="664" customHeight="1" ht="15.75">
      <c r="A664" s="117"/>
      <c r="B664" s="34"/>
      <c r="C664" s="34"/>
      <c r="D664" s="34"/>
      <c r="E664" s="34"/>
      <c r="F664" s="34"/>
      <c r="G664" s="29"/>
      <c r="H664" s="34"/>
      <c r="I664" s="85"/>
      <c r="J664" s="34"/>
      <c r="K664" s="29"/>
      <c r="L664" s="111"/>
      <c r="M664" s="111"/>
      <c r="N664" s="111"/>
      <c r="O664" s="111"/>
      <c r="P664" s="34"/>
    </row>
    <row x14ac:dyDescent="0.25" r="665" customHeight="1" ht="15.75">
      <c r="A665" s="117"/>
      <c r="B665" s="34"/>
      <c r="C665" s="34"/>
      <c r="D665" s="34"/>
      <c r="E665" s="34"/>
      <c r="F665" s="34"/>
      <c r="G665" s="29"/>
      <c r="H665" s="34"/>
      <c r="I665" s="85"/>
      <c r="J665" s="34"/>
      <c r="K665" s="29"/>
      <c r="L665" s="111"/>
      <c r="M665" s="111"/>
      <c r="N665" s="111"/>
      <c r="O665" s="111"/>
      <c r="P665" s="34"/>
    </row>
    <row x14ac:dyDescent="0.25" r="666" customHeight="1" ht="15.75">
      <c r="A666" s="117"/>
      <c r="B666" s="34"/>
      <c r="C666" s="34"/>
      <c r="D666" s="34"/>
      <c r="E666" s="34"/>
      <c r="F666" s="34"/>
      <c r="G666" s="29"/>
      <c r="H666" s="34"/>
      <c r="I666" s="85"/>
      <c r="J666" s="34"/>
      <c r="K666" s="29"/>
      <c r="L666" s="111"/>
      <c r="M666" s="111"/>
      <c r="N666" s="111"/>
      <c r="O666" s="111"/>
      <c r="P666" s="34"/>
    </row>
    <row x14ac:dyDescent="0.25" r="667" customHeight="1" ht="15.75">
      <c r="A667" s="117"/>
      <c r="B667" s="34"/>
      <c r="C667" s="34"/>
      <c r="D667" s="34"/>
      <c r="E667" s="34"/>
      <c r="F667" s="34"/>
      <c r="G667" s="29"/>
      <c r="H667" s="34"/>
      <c r="I667" s="85"/>
      <c r="J667" s="34"/>
      <c r="K667" s="29"/>
      <c r="L667" s="111"/>
      <c r="M667" s="111"/>
      <c r="N667" s="111"/>
      <c r="O667" s="111"/>
      <c r="P667" s="34"/>
    </row>
    <row x14ac:dyDescent="0.25" r="668" customHeight="1" ht="15.75">
      <c r="A668" s="117"/>
      <c r="B668" s="34"/>
      <c r="C668" s="34"/>
      <c r="D668" s="34"/>
      <c r="E668" s="34"/>
      <c r="F668" s="34"/>
      <c r="G668" s="29"/>
      <c r="H668" s="34"/>
      <c r="I668" s="85"/>
      <c r="J668" s="34"/>
      <c r="K668" s="29"/>
      <c r="L668" s="111"/>
      <c r="M668" s="111"/>
      <c r="N668" s="111"/>
      <c r="O668" s="111"/>
      <c r="P668" s="34"/>
    </row>
    <row x14ac:dyDescent="0.25" r="669" customHeight="1" ht="15.75">
      <c r="A669" s="117"/>
      <c r="B669" s="34"/>
      <c r="C669" s="34"/>
      <c r="D669" s="34"/>
      <c r="E669" s="34"/>
      <c r="F669" s="34"/>
      <c r="G669" s="29"/>
      <c r="H669" s="34"/>
      <c r="I669" s="85"/>
      <c r="J669" s="34"/>
      <c r="K669" s="29"/>
      <c r="L669" s="111"/>
      <c r="M669" s="111"/>
      <c r="N669" s="111"/>
      <c r="O669" s="111"/>
      <c r="P669" s="34"/>
    </row>
    <row x14ac:dyDescent="0.25" r="670" customHeight="1" ht="15.75">
      <c r="A670" s="117"/>
      <c r="B670" s="34"/>
      <c r="C670" s="34"/>
      <c r="D670" s="34"/>
      <c r="E670" s="34"/>
      <c r="F670" s="34"/>
      <c r="G670" s="29"/>
      <c r="H670" s="34"/>
      <c r="I670" s="85"/>
      <c r="J670" s="34"/>
      <c r="K670" s="29"/>
      <c r="L670" s="111"/>
      <c r="M670" s="111"/>
      <c r="N670" s="111"/>
      <c r="O670" s="111"/>
      <c r="P670" s="34"/>
    </row>
    <row x14ac:dyDescent="0.25" r="671" customHeight="1" ht="15.75">
      <c r="A671" s="117"/>
      <c r="B671" s="34"/>
      <c r="C671" s="34"/>
      <c r="D671" s="34"/>
      <c r="E671" s="34"/>
      <c r="F671" s="34"/>
      <c r="G671" s="29"/>
      <c r="H671" s="34"/>
      <c r="I671" s="85"/>
      <c r="J671" s="34"/>
      <c r="K671" s="29"/>
      <c r="L671" s="111"/>
      <c r="M671" s="111"/>
      <c r="N671" s="111"/>
      <c r="O671" s="111"/>
      <c r="P671" s="34"/>
    </row>
    <row x14ac:dyDescent="0.25" r="672" customHeight="1" ht="15.75">
      <c r="A672" s="117"/>
      <c r="B672" s="34"/>
      <c r="C672" s="34"/>
      <c r="D672" s="34"/>
      <c r="E672" s="34"/>
      <c r="F672" s="34"/>
      <c r="G672" s="29"/>
      <c r="H672" s="34"/>
      <c r="I672" s="85"/>
      <c r="J672" s="34"/>
      <c r="K672" s="29"/>
      <c r="L672" s="111"/>
      <c r="M672" s="111"/>
      <c r="N672" s="111"/>
      <c r="O672" s="111"/>
      <c r="P672" s="34"/>
    </row>
    <row x14ac:dyDescent="0.25" r="673" customHeight="1" ht="15.75">
      <c r="A673" s="117"/>
      <c r="B673" s="34"/>
      <c r="C673" s="34"/>
      <c r="D673" s="34"/>
      <c r="E673" s="34"/>
      <c r="F673" s="34"/>
      <c r="G673" s="29"/>
      <c r="H673" s="34"/>
      <c r="I673" s="85"/>
      <c r="J673" s="34"/>
      <c r="K673" s="29"/>
      <c r="L673" s="111"/>
      <c r="M673" s="111"/>
      <c r="N673" s="111"/>
      <c r="O673" s="111"/>
      <c r="P673" s="34"/>
    </row>
    <row x14ac:dyDescent="0.25" r="674" customHeight="1" ht="15.75">
      <c r="A674" s="117"/>
      <c r="B674" s="34"/>
      <c r="C674" s="34"/>
      <c r="D674" s="34"/>
      <c r="E674" s="34"/>
      <c r="F674" s="34"/>
      <c r="G674" s="29"/>
      <c r="H674" s="34"/>
      <c r="I674" s="85"/>
      <c r="J674" s="34"/>
      <c r="K674" s="29"/>
      <c r="L674" s="111"/>
      <c r="M674" s="111"/>
      <c r="N674" s="111"/>
      <c r="O674" s="111"/>
      <c r="P674" s="34"/>
    </row>
    <row x14ac:dyDescent="0.25" r="675" customHeight="1" ht="15.75">
      <c r="A675" s="117"/>
      <c r="B675" s="34"/>
      <c r="C675" s="34"/>
      <c r="D675" s="34"/>
      <c r="E675" s="34"/>
      <c r="F675" s="34"/>
      <c r="G675" s="29"/>
      <c r="H675" s="34"/>
      <c r="I675" s="85"/>
      <c r="J675" s="34"/>
      <c r="K675" s="29"/>
      <c r="L675" s="111"/>
      <c r="M675" s="111"/>
      <c r="N675" s="111"/>
      <c r="O675" s="111"/>
      <c r="P675" s="34"/>
    </row>
    <row x14ac:dyDescent="0.25" r="676" customHeight="1" ht="15.75">
      <c r="A676" s="117"/>
      <c r="B676" s="34"/>
      <c r="C676" s="34"/>
      <c r="D676" s="34"/>
      <c r="E676" s="34"/>
      <c r="F676" s="34"/>
      <c r="G676" s="29"/>
      <c r="H676" s="34"/>
      <c r="I676" s="85"/>
      <c r="J676" s="34"/>
      <c r="K676" s="29"/>
      <c r="L676" s="111"/>
      <c r="M676" s="111"/>
      <c r="N676" s="111"/>
      <c r="O676" s="111"/>
      <c r="P676" s="34"/>
    </row>
    <row x14ac:dyDescent="0.25" r="677" customHeight="1" ht="15.75">
      <c r="A677" s="117"/>
      <c r="B677" s="34"/>
      <c r="C677" s="34"/>
      <c r="D677" s="34"/>
      <c r="E677" s="34"/>
      <c r="F677" s="34"/>
      <c r="G677" s="29"/>
      <c r="H677" s="34"/>
      <c r="I677" s="85"/>
      <c r="J677" s="34"/>
      <c r="K677" s="29"/>
      <c r="L677" s="111"/>
      <c r="M677" s="111"/>
      <c r="N677" s="111"/>
      <c r="O677" s="111"/>
      <c r="P677" s="34"/>
    </row>
    <row x14ac:dyDescent="0.25" r="678" customHeight="1" ht="15.75">
      <c r="A678" s="117"/>
      <c r="B678" s="34"/>
      <c r="C678" s="34"/>
      <c r="D678" s="34"/>
      <c r="E678" s="34"/>
      <c r="F678" s="34"/>
      <c r="G678" s="29"/>
      <c r="H678" s="34"/>
      <c r="I678" s="85"/>
      <c r="J678" s="34"/>
      <c r="K678" s="29"/>
      <c r="L678" s="111"/>
      <c r="M678" s="111"/>
      <c r="N678" s="111"/>
      <c r="O678" s="111"/>
      <c r="P678" s="34"/>
    </row>
    <row x14ac:dyDescent="0.25" r="679" customHeight="1" ht="15.75">
      <c r="A679" s="117"/>
      <c r="B679" s="34"/>
      <c r="C679" s="34"/>
      <c r="D679" s="34"/>
      <c r="E679" s="34"/>
      <c r="F679" s="34"/>
      <c r="G679" s="29"/>
      <c r="H679" s="34"/>
      <c r="I679" s="85"/>
      <c r="J679" s="34"/>
      <c r="K679" s="29"/>
      <c r="L679" s="111"/>
      <c r="M679" s="111"/>
      <c r="N679" s="111"/>
      <c r="O679" s="111"/>
      <c r="P679" s="34"/>
    </row>
    <row x14ac:dyDescent="0.25" r="680" customHeight="1" ht="15.75">
      <c r="A680" s="117"/>
      <c r="B680" s="34"/>
      <c r="C680" s="34"/>
      <c r="D680" s="34"/>
      <c r="E680" s="34"/>
      <c r="F680" s="34"/>
      <c r="G680" s="29"/>
      <c r="H680" s="34"/>
      <c r="I680" s="85"/>
      <c r="J680" s="34"/>
      <c r="K680" s="29"/>
      <c r="L680" s="111"/>
      <c r="M680" s="111"/>
      <c r="N680" s="111"/>
      <c r="O680" s="111"/>
      <c r="P680" s="34"/>
    </row>
    <row x14ac:dyDescent="0.25" r="681" customHeight="1" ht="15.75">
      <c r="A681" s="117"/>
      <c r="B681" s="34"/>
      <c r="C681" s="34"/>
      <c r="D681" s="34"/>
      <c r="E681" s="34"/>
      <c r="F681" s="34"/>
      <c r="G681" s="29"/>
      <c r="H681" s="34"/>
      <c r="I681" s="85"/>
      <c r="J681" s="34"/>
      <c r="K681" s="29"/>
      <c r="L681" s="111"/>
      <c r="M681" s="111"/>
      <c r="N681" s="111"/>
      <c r="O681" s="111"/>
      <c r="P681" s="34"/>
    </row>
    <row x14ac:dyDescent="0.25" r="682" customHeight="1" ht="15.75">
      <c r="A682" s="117"/>
      <c r="B682" s="34"/>
      <c r="C682" s="34"/>
      <c r="D682" s="34"/>
      <c r="E682" s="34"/>
      <c r="F682" s="34"/>
      <c r="G682" s="29"/>
      <c r="H682" s="34"/>
      <c r="I682" s="85"/>
      <c r="J682" s="34"/>
      <c r="K682" s="29"/>
      <c r="L682" s="111"/>
      <c r="M682" s="111"/>
      <c r="N682" s="111"/>
      <c r="O682" s="111"/>
      <c r="P682" s="34"/>
    </row>
    <row x14ac:dyDescent="0.25" r="683" customHeight="1" ht="15.75">
      <c r="A683" s="117"/>
      <c r="B683" s="34"/>
      <c r="C683" s="34"/>
      <c r="D683" s="34"/>
      <c r="E683" s="34"/>
      <c r="F683" s="34"/>
      <c r="G683" s="29"/>
      <c r="H683" s="34"/>
      <c r="I683" s="85"/>
      <c r="J683" s="34"/>
      <c r="K683" s="29"/>
      <c r="L683" s="111"/>
      <c r="M683" s="111"/>
      <c r="N683" s="111"/>
      <c r="O683" s="111"/>
      <c r="P683" s="34"/>
    </row>
    <row x14ac:dyDescent="0.25" r="684" customHeight="1" ht="15.75">
      <c r="A684" s="117"/>
      <c r="B684" s="34"/>
      <c r="C684" s="34"/>
      <c r="D684" s="34"/>
      <c r="E684" s="34"/>
      <c r="F684" s="34"/>
      <c r="G684" s="29"/>
      <c r="H684" s="34"/>
      <c r="I684" s="85"/>
      <c r="J684" s="34"/>
      <c r="K684" s="29"/>
      <c r="L684" s="111"/>
      <c r="M684" s="111"/>
      <c r="N684" s="111"/>
      <c r="O684" s="111"/>
      <c r="P684" s="34"/>
    </row>
    <row x14ac:dyDescent="0.25" r="685" customHeight="1" ht="15.75">
      <c r="A685" s="117"/>
      <c r="B685" s="34"/>
      <c r="C685" s="34"/>
      <c r="D685" s="34"/>
      <c r="E685" s="34"/>
      <c r="F685" s="34"/>
      <c r="G685" s="29"/>
      <c r="H685" s="34"/>
      <c r="I685" s="85"/>
      <c r="J685" s="34"/>
      <c r="K685" s="29"/>
      <c r="L685" s="111"/>
      <c r="M685" s="111"/>
      <c r="N685" s="111"/>
      <c r="O685" s="111"/>
      <c r="P685" s="34"/>
    </row>
    <row x14ac:dyDescent="0.25" r="686" customHeight="1" ht="15.75">
      <c r="A686" s="117"/>
      <c r="B686" s="34"/>
      <c r="C686" s="34"/>
      <c r="D686" s="34"/>
      <c r="E686" s="34"/>
      <c r="F686" s="34"/>
      <c r="G686" s="29"/>
      <c r="H686" s="34"/>
      <c r="I686" s="85"/>
      <c r="J686" s="34"/>
      <c r="K686" s="29"/>
      <c r="L686" s="111"/>
      <c r="M686" s="111"/>
      <c r="N686" s="111"/>
      <c r="O686" s="111"/>
      <c r="P686" s="34"/>
    </row>
    <row x14ac:dyDescent="0.25" r="687" customHeight="1" ht="15.75">
      <c r="A687" s="117"/>
      <c r="B687" s="34"/>
      <c r="C687" s="34"/>
      <c r="D687" s="34"/>
      <c r="E687" s="34"/>
      <c r="F687" s="34"/>
      <c r="G687" s="29"/>
      <c r="H687" s="34"/>
      <c r="I687" s="85"/>
      <c r="J687" s="34"/>
      <c r="K687" s="29"/>
      <c r="L687" s="111"/>
      <c r="M687" s="111"/>
      <c r="N687" s="111"/>
      <c r="O687" s="111"/>
      <c r="P687" s="34"/>
    </row>
    <row x14ac:dyDescent="0.25" r="688" customHeight="1" ht="15.75">
      <c r="A688" s="117"/>
      <c r="B688" s="34"/>
      <c r="C688" s="34"/>
      <c r="D688" s="34"/>
      <c r="E688" s="34"/>
      <c r="F688" s="34"/>
      <c r="G688" s="29"/>
      <c r="H688" s="34"/>
      <c r="I688" s="85"/>
      <c r="J688" s="34"/>
      <c r="K688" s="29"/>
      <c r="L688" s="111"/>
      <c r="M688" s="111"/>
      <c r="N688" s="111"/>
      <c r="O688" s="111"/>
      <c r="P688" s="34"/>
    </row>
    <row x14ac:dyDescent="0.25" r="689" customHeight="1" ht="15.75">
      <c r="A689" s="117"/>
      <c r="B689" s="34"/>
      <c r="C689" s="34"/>
      <c r="D689" s="34"/>
      <c r="E689" s="34"/>
      <c r="F689" s="34"/>
      <c r="G689" s="29"/>
      <c r="H689" s="34"/>
      <c r="I689" s="85"/>
      <c r="J689" s="34"/>
      <c r="K689" s="29"/>
      <c r="L689" s="111"/>
      <c r="M689" s="111"/>
      <c r="N689" s="111"/>
      <c r="O689" s="111"/>
      <c r="P689" s="34"/>
    </row>
    <row x14ac:dyDescent="0.25" r="690" customHeight="1" ht="15.75">
      <c r="A690" s="117"/>
      <c r="B690" s="34"/>
      <c r="C690" s="34"/>
      <c r="D690" s="34"/>
      <c r="E690" s="34"/>
      <c r="F690" s="34"/>
      <c r="G690" s="29"/>
      <c r="H690" s="34"/>
      <c r="I690" s="85"/>
      <c r="J690" s="34"/>
      <c r="K690" s="29"/>
      <c r="L690" s="111"/>
      <c r="M690" s="111"/>
      <c r="N690" s="111"/>
      <c r="O690" s="111"/>
      <c r="P690" s="34"/>
    </row>
    <row x14ac:dyDescent="0.25" r="691" customHeight="1" ht="15.75">
      <c r="A691" s="117"/>
      <c r="B691" s="34"/>
      <c r="C691" s="34"/>
      <c r="D691" s="34"/>
      <c r="E691" s="34"/>
      <c r="F691" s="34"/>
      <c r="G691" s="29"/>
      <c r="H691" s="34"/>
      <c r="I691" s="85"/>
      <c r="J691" s="34"/>
      <c r="K691" s="29"/>
      <c r="L691" s="111"/>
      <c r="M691" s="111"/>
      <c r="N691" s="111"/>
      <c r="O691" s="111"/>
      <c r="P691" s="34"/>
    </row>
    <row x14ac:dyDescent="0.25" r="692" customHeight="1" ht="15.75">
      <c r="A692" s="117"/>
      <c r="B692" s="34"/>
      <c r="C692" s="34"/>
      <c r="D692" s="34"/>
      <c r="E692" s="34"/>
      <c r="F692" s="34"/>
      <c r="G692" s="29"/>
      <c r="H692" s="34"/>
      <c r="I692" s="85"/>
      <c r="J692" s="34"/>
      <c r="K692" s="29"/>
      <c r="L692" s="111"/>
      <c r="M692" s="111"/>
      <c r="N692" s="111"/>
      <c r="O692" s="111"/>
      <c r="P692" s="34"/>
    </row>
    <row x14ac:dyDescent="0.25" r="693" customHeight="1" ht="15.75">
      <c r="A693" s="117"/>
      <c r="B693" s="34"/>
      <c r="C693" s="34"/>
      <c r="D693" s="34"/>
      <c r="E693" s="34"/>
      <c r="F693" s="34"/>
      <c r="G693" s="29"/>
      <c r="H693" s="34"/>
      <c r="I693" s="85"/>
      <c r="J693" s="34"/>
      <c r="K693" s="29"/>
      <c r="L693" s="111"/>
      <c r="M693" s="111"/>
      <c r="N693" s="111"/>
      <c r="O693" s="111"/>
      <c r="P693" s="34"/>
    </row>
    <row x14ac:dyDescent="0.25" r="694" customHeight="1" ht="15.75">
      <c r="A694" s="117"/>
      <c r="B694" s="34"/>
      <c r="C694" s="34"/>
      <c r="D694" s="34"/>
      <c r="E694" s="34"/>
      <c r="F694" s="34"/>
      <c r="G694" s="29"/>
      <c r="H694" s="34"/>
      <c r="I694" s="85"/>
      <c r="J694" s="34"/>
      <c r="K694" s="29"/>
      <c r="L694" s="111"/>
      <c r="M694" s="111"/>
      <c r="N694" s="111"/>
      <c r="O694" s="111"/>
      <c r="P694" s="34"/>
    </row>
    <row x14ac:dyDescent="0.25" r="695" customHeight="1" ht="15.75">
      <c r="A695" s="117"/>
      <c r="B695" s="34"/>
      <c r="C695" s="34"/>
      <c r="D695" s="34"/>
      <c r="E695" s="34"/>
      <c r="F695" s="34"/>
      <c r="G695" s="29"/>
      <c r="H695" s="34"/>
      <c r="I695" s="85"/>
      <c r="J695" s="34"/>
      <c r="K695" s="29"/>
      <c r="L695" s="111"/>
      <c r="M695" s="111"/>
      <c r="N695" s="111"/>
      <c r="O695" s="111"/>
      <c r="P695" s="34"/>
    </row>
    <row x14ac:dyDescent="0.25" r="696" customHeight="1" ht="15.75">
      <c r="A696" s="117"/>
      <c r="B696" s="34"/>
      <c r="C696" s="34"/>
      <c r="D696" s="34"/>
      <c r="E696" s="34"/>
      <c r="F696" s="34"/>
      <c r="G696" s="29"/>
      <c r="H696" s="34"/>
      <c r="I696" s="85"/>
      <c r="J696" s="34"/>
      <c r="K696" s="29"/>
      <c r="L696" s="111"/>
      <c r="M696" s="111"/>
      <c r="N696" s="111"/>
      <c r="O696" s="111"/>
      <c r="P696" s="34"/>
    </row>
    <row x14ac:dyDescent="0.25" r="697" customHeight="1" ht="15.75">
      <c r="A697" s="117"/>
      <c r="B697" s="34"/>
      <c r="C697" s="34"/>
      <c r="D697" s="34"/>
      <c r="E697" s="34"/>
      <c r="F697" s="34"/>
      <c r="G697" s="29"/>
      <c r="H697" s="34"/>
      <c r="I697" s="85"/>
      <c r="J697" s="34"/>
      <c r="K697" s="29"/>
      <c r="L697" s="111"/>
      <c r="M697" s="111"/>
      <c r="N697" s="111"/>
      <c r="O697" s="111"/>
      <c r="P697" s="34"/>
    </row>
    <row x14ac:dyDescent="0.25" r="698" customHeight="1" ht="15.75">
      <c r="A698" s="117"/>
      <c r="B698" s="34"/>
      <c r="C698" s="34"/>
      <c r="D698" s="34"/>
      <c r="E698" s="34"/>
      <c r="F698" s="34"/>
      <c r="G698" s="29"/>
      <c r="H698" s="34"/>
      <c r="I698" s="85"/>
      <c r="J698" s="34"/>
      <c r="K698" s="29"/>
      <c r="L698" s="111"/>
      <c r="M698" s="111"/>
      <c r="N698" s="111"/>
      <c r="O698" s="111"/>
      <c r="P698" s="34"/>
    </row>
    <row x14ac:dyDescent="0.25" r="699" customHeight="1" ht="15.75">
      <c r="A699" s="117"/>
      <c r="B699" s="34"/>
      <c r="C699" s="34"/>
      <c r="D699" s="34"/>
      <c r="E699" s="34"/>
      <c r="F699" s="34"/>
      <c r="G699" s="29"/>
      <c r="H699" s="34"/>
      <c r="I699" s="85"/>
      <c r="J699" s="34"/>
      <c r="K699" s="29"/>
      <c r="L699" s="111"/>
      <c r="M699" s="111"/>
      <c r="N699" s="111"/>
      <c r="O699" s="111"/>
      <c r="P699" s="34"/>
    </row>
    <row x14ac:dyDescent="0.25" r="700" customHeight="1" ht="15.75">
      <c r="A700" s="117"/>
      <c r="B700" s="34"/>
      <c r="C700" s="34"/>
      <c r="D700" s="34"/>
      <c r="E700" s="34"/>
      <c r="F700" s="34"/>
      <c r="G700" s="29"/>
      <c r="H700" s="34"/>
      <c r="I700" s="85"/>
      <c r="J700" s="34"/>
      <c r="K700" s="29"/>
      <c r="L700" s="111"/>
      <c r="M700" s="111"/>
      <c r="N700" s="111"/>
      <c r="O700" s="111"/>
      <c r="P700" s="34"/>
    </row>
    <row x14ac:dyDescent="0.25" r="701" customHeight="1" ht="15.75">
      <c r="A701" s="117"/>
      <c r="B701" s="34"/>
      <c r="C701" s="34"/>
      <c r="D701" s="34"/>
      <c r="E701" s="34"/>
      <c r="F701" s="34"/>
      <c r="G701" s="29"/>
      <c r="H701" s="34"/>
      <c r="I701" s="85"/>
      <c r="J701" s="34"/>
      <c r="K701" s="29"/>
      <c r="L701" s="111"/>
      <c r="M701" s="111"/>
      <c r="N701" s="111"/>
      <c r="O701" s="111"/>
      <c r="P701" s="34"/>
    </row>
    <row x14ac:dyDescent="0.25" r="702" customHeight="1" ht="15.75">
      <c r="A702" s="117"/>
      <c r="B702" s="34"/>
      <c r="C702" s="34"/>
      <c r="D702" s="34"/>
      <c r="E702" s="34"/>
      <c r="F702" s="34"/>
      <c r="G702" s="29"/>
      <c r="H702" s="34"/>
      <c r="I702" s="85"/>
      <c r="J702" s="34"/>
      <c r="K702" s="29"/>
      <c r="L702" s="111"/>
      <c r="M702" s="111"/>
      <c r="N702" s="111"/>
      <c r="O702" s="111"/>
      <c r="P702" s="34"/>
    </row>
    <row x14ac:dyDescent="0.25" r="703" customHeight="1" ht="15.75">
      <c r="A703" s="117"/>
      <c r="B703" s="34"/>
      <c r="C703" s="34"/>
      <c r="D703" s="34"/>
      <c r="E703" s="34"/>
      <c r="F703" s="34"/>
      <c r="G703" s="29"/>
      <c r="H703" s="34"/>
      <c r="I703" s="85"/>
      <c r="J703" s="34"/>
      <c r="K703" s="29"/>
      <c r="L703" s="111"/>
      <c r="M703" s="111"/>
      <c r="N703" s="111"/>
      <c r="O703" s="111"/>
      <c r="P703" s="34"/>
    </row>
    <row x14ac:dyDescent="0.25" r="704" customHeight="1" ht="15.75">
      <c r="A704" s="117"/>
      <c r="B704" s="34"/>
      <c r="C704" s="34"/>
      <c r="D704" s="34"/>
      <c r="E704" s="34"/>
      <c r="F704" s="34"/>
      <c r="G704" s="29"/>
      <c r="H704" s="34"/>
      <c r="I704" s="85"/>
      <c r="J704" s="34"/>
      <c r="K704" s="29"/>
      <c r="L704" s="111"/>
      <c r="M704" s="111"/>
      <c r="N704" s="111"/>
      <c r="O704" s="111"/>
      <c r="P704" s="34"/>
    </row>
    <row x14ac:dyDescent="0.25" r="705" customHeight="1" ht="15.75">
      <c r="A705" s="117"/>
      <c r="B705" s="34"/>
      <c r="C705" s="34"/>
      <c r="D705" s="34"/>
      <c r="E705" s="34"/>
      <c r="F705" s="34"/>
      <c r="G705" s="29"/>
      <c r="H705" s="34"/>
      <c r="I705" s="85"/>
      <c r="J705" s="34"/>
      <c r="K705" s="29"/>
      <c r="L705" s="111"/>
      <c r="M705" s="111"/>
      <c r="N705" s="111"/>
      <c r="O705" s="111"/>
      <c r="P705" s="34"/>
    </row>
    <row x14ac:dyDescent="0.25" r="706" customHeight="1" ht="15.75">
      <c r="A706" s="117"/>
      <c r="B706" s="34"/>
      <c r="C706" s="34"/>
      <c r="D706" s="34"/>
      <c r="E706" s="34"/>
      <c r="F706" s="34"/>
      <c r="G706" s="29"/>
      <c r="H706" s="34"/>
      <c r="I706" s="85"/>
      <c r="J706" s="34"/>
      <c r="K706" s="29"/>
      <c r="L706" s="111"/>
      <c r="M706" s="111"/>
      <c r="N706" s="111"/>
      <c r="O706" s="111"/>
      <c r="P706" s="34"/>
    </row>
    <row x14ac:dyDescent="0.25" r="707" customHeight="1" ht="15.75">
      <c r="A707" s="117"/>
      <c r="B707" s="34"/>
      <c r="C707" s="34"/>
      <c r="D707" s="34"/>
      <c r="E707" s="34"/>
      <c r="F707" s="34"/>
      <c r="G707" s="29"/>
      <c r="H707" s="34"/>
      <c r="I707" s="85"/>
      <c r="J707" s="34"/>
      <c r="K707" s="29"/>
      <c r="L707" s="111"/>
      <c r="M707" s="111"/>
      <c r="N707" s="111"/>
      <c r="O707" s="111"/>
      <c r="P707" s="34"/>
    </row>
    <row x14ac:dyDescent="0.25" r="708" customHeight="1" ht="15.75">
      <c r="A708" s="117"/>
      <c r="B708" s="34"/>
      <c r="C708" s="34"/>
      <c r="D708" s="34"/>
      <c r="E708" s="34"/>
      <c r="F708" s="34"/>
      <c r="G708" s="29"/>
      <c r="H708" s="34"/>
      <c r="I708" s="85"/>
      <c r="J708" s="34"/>
      <c r="K708" s="29"/>
      <c r="L708" s="111"/>
      <c r="M708" s="111"/>
      <c r="N708" s="111"/>
      <c r="O708" s="111"/>
      <c r="P708" s="34"/>
    </row>
    <row x14ac:dyDescent="0.25" r="709" customHeight="1" ht="15.75">
      <c r="A709" s="117"/>
      <c r="B709" s="34"/>
      <c r="C709" s="34"/>
      <c r="D709" s="34"/>
      <c r="E709" s="34"/>
      <c r="F709" s="34"/>
      <c r="G709" s="29"/>
      <c r="H709" s="34"/>
      <c r="I709" s="85"/>
      <c r="J709" s="34"/>
      <c r="K709" s="29"/>
      <c r="L709" s="111"/>
      <c r="M709" s="111"/>
      <c r="N709" s="111"/>
      <c r="O709" s="111"/>
      <c r="P709" s="34"/>
    </row>
    <row x14ac:dyDescent="0.25" r="710" customHeight="1" ht="15.75">
      <c r="A710" s="117"/>
      <c r="B710" s="34"/>
      <c r="C710" s="34"/>
      <c r="D710" s="34"/>
      <c r="E710" s="34"/>
      <c r="F710" s="34"/>
      <c r="G710" s="29"/>
      <c r="H710" s="34"/>
      <c r="I710" s="85"/>
      <c r="J710" s="34"/>
      <c r="K710" s="29"/>
      <c r="L710" s="111"/>
      <c r="M710" s="111"/>
      <c r="N710" s="111"/>
      <c r="O710" s="111"/>
      <c r="P710" s="34"/>
    </row>
    <row x14ac:dyDescent="0.25" r="711" customHeight="1" ht="15.75">
      <c r="A711" s="117"/>
      <c r="B711" s="34"/>
      <c r="C711" s="34"/>
      <c r="D711" s="34"/>
      <c r="E711" s="34"/>
      <c r="F711" s="34"/>
      <c r="G711" s="29"/>
      <c r="H711" s="34"/>
      <c r="I711" s="85"/>
      <c r="J711" s="34"/>
      <c r="K711" s="29"/>
      <c r="L711" s="111"/>
      <c r="M711" s="111"/>
      <c r="N711" s="111"/>
      <c r="O711" s="111"/>
      <c r="P711" s="34"/>
    </row>
    <row x14ac:dyDescent="0.25" r="712" customHeight="1" ht="15.75">
      <c r="A712" s="117"/>
      <c r="B712" s="34"/>
      <c r="C712" s="34"/>
      <c r="D712" s="34"/>
      <c r="E712" s="34"/>
      <c r="F712" s="34"/>
      <c r="G712" s="29"/>
      <c r="H712" s="34"/>
      <c r="I712" s="85"/>
      <c r="J712" s="34"/>
      <c r="K712" s="29"/>
      <c r="L712" s="111"/>
      <c r="M712" s="111"/>
      <c r="N712" s="111"/>
      <c r="O712" s="111"/>
      <c r="P712" s="34"/>
    </row>
    <row x14ac:dyDescent="0.25" r="713" customHeight="1" ht="15.75">
      <c r="A713" s="117"/>
      <c r="B713" s="34"/>
      <c r="C713" s="34"/>
      <c r="D713" s="34"/>
      <c r="E713" s="34"/>
      <c r="F713" s="34"/>
      <c r="G713" s="29"/>
      <c r="H713" s="34"/>
      <c r="I713" s="85"/>
      <c r="J713" s="34"/>
      <c r="K713" s="29"/>
      <c r="L713" s="111"/>
      <c r="M713" s="111"/>
      <c r="N713" s="111"/>
      <c r="O713" s="111"/>
      <c r="P713" s="34"/>
    </row>
    <row x14ac:dyDescent="0.25" r="714" customHeight="1" ht="15.75">
      <c r="A714" s="117"/>
      <c r="B714" s="34"/>
      <c r="C714" s="34"/>
      <c r="D714" s="34"/>
      <c r="E714" s="34"/>
      <c r="F714" s="34"/>
      <c r="G714" s="29"/>
      <c r="H714" s="34"/>
      <c r="I714" s="85"/>
      <c r="J714" s="34"/>
      <c r="K714" s="29"/>
      <c r="L714" s="111"/>
      <c r="M714" s="111"/>
      <c r="N714" s="111"/>
      <c r="O714" s="111"/>
      <c r="P714" s="34"/>
    </row>
    <row x14ac:dyDescent="0.25" r="715" customHeight="1" ht="15.75">
      <c r="A715" s="117"/>
      <c r="B715" s="34"/>
      <c r="C715" s="34"/>
      <c r="D715" s="34"/>
      <c r="E715" s="34"/>
      <c r="F715" s="34"/>
      <c r="G715" s="29"/>
      <c r="H715" s="34"/>
      <c r="I715" s="85"/>
      <c r="J715" s="34"/>
      <c r="K715" s="29"/>
      <c r="L715" s="111"/>
      <c r="M715" s="111"/>
      <c r="N715" s="111"/>
      <c r="O715" s="111"/>
      <c r="P715" s="34"/>
    </row>
    <row x14ac:dyDescent="0.25" r="716" customHeight="1" ht="15.75">
      <c r="A716" s="117"/>
      <c r="B716" s="34"/>
      <c r="C716" s="34"/>
      <c r="D716" s="34"/>
      <c r="E716" s="34"/>
      <c r="F716" s="34"/>
      <c r="G716" s="29"/>
      <c r="H716" s="34"/>
      <c r="I716" s="85"/>
      <c r="J716" s="34"/>
      <c r="K716" s="29"/>
      <c r="L716" s="111"/>
      <c r="M716" s="111"/>
      <c r="N716" s="111"/>
      <c r="O716" s="111"/>
      <c r="P716" s="34"/>
    </row>
    <row x14ac:dyDescent="0.25" r="717" customHeight="1" ht="15.75">
      <c r="A717" s="117"/>
      <c r="B717" s="34"/>
      <c r="C717" s="34"/>
      <c r="D717" s="34"/>
      <c r="E717" s="34"/>
      <c r="F717" s="34"/>
      <c r="G717" s="29"/>
      <c r="H717" s="34"/>
      <c r="I717" s="85"/>
      <c r="J717" s="34"/>
      <c r="K717" s="29"/>
      <c r="L717" s="111"/>
      <c r="M717" s="111"/>
      <c r="N717" s="111"/>
      <c r="O717" s="111"/>
      <c r="P717" s="34"/>
    </row>
    <row x14ac:dyDescent="0.25" r="718" customHeight="1" ht="15.75">
      <c r="A718" s="117"/>
      <c r="B718" s="34"/>
      <c r="C718" s="34"/>
      <c r="D718" s="34"/>
      <c r="E718" s="34"/>
      <c r="F718" s="34"/>
      <c r="G718" s="29"/>
      <c r="H718" s="34"/>
      <c r="I718" s="85"/>
      <c r="J718" s="34"/>
      <c r="K718" s="29"/>
      <c r="L718" s="111"/>
      <c r="M718" s="111"/>
      <c r="N718" s="111"/>
      <c r="O718" s="111"/>
      <c r="P718" s="34"/>
    </row>
    <row x14ac:dyDescent="0.25" r="719" customHeight="1" ht="15.75">
      <c r="A719" s="117"/>
      <c r="B719" s="34"/>
      <c r="C719" s="34"/>
      <c r="D719" s="34"/>
      <c r="E719" s="34"/>
      <c r="F719" s="34"/>
      <c r="G719" s="29"/>
      <c r="H719" s="34"/>
      <c r="I719" s="85"/>
      <c r="J719" s="34"/>
      <c r="K719" s="29"/>
      <c r="L719" s="111"/>
      <c r="M719" s="111"/>
      <c r="N719" s="111"/>
      <c r="O719" s="111"/>
      <c r="P719" s="34"/>
    </row>
    <row x14ac:dyDescent="0.25" r="720" customHeight="1" ht="15.75">
      <c r="A720" s="117"/>
      <c r="B720" s="34"/>
      <c r="C720" s="34"/>
      <c r="D720" s="34"/>
      <c r="E720" s="34"/>
      <c r="F720" s="34"/>
      <c r="G720" s="29"/>
      <c r="H720" s="34"/>
      <c r="I720" s="85"/>
      <c r="J720" s="34"/>
      <c r="K720" s="29"/>
      <c r="L720" s="111"/>
      <c r="M720" s="111"/>
      <c r="N720" s="111"/>
      <c r="O720" s="111"/>
      <c r="P720" s="34"/>
    </row>
    <row x14ac:dyDescent="0.25" r="721" customHeight="1" ht="15.75">
      <c r="A721" s="117"/>
      <c r="B721" s="34"/>
      <c r="C721" s="34"/>
      <c r="D721" s="34"/>
      <c r="E721" s="34"/>
      <c r="F721" s="34"/>
      <c r="G721" s="29"/>
      <c r="H721" s="34"/>
      <c r="I721" s="85"/>
      <c r="J721" s="34"/>
      <c r="K721" s="29"/>
      <c r="L721" s="111"/>
      <c r="M721" s="111"/>
      <c r="N721" s="111"/>
      <c r="O721" s="111"/>
      <c r="P721" s="34"/>
    </row>
    <row x14ac:dyDescent="0.25" r="722" customHeight="1" ht="15.75">
      <c r="A722" s="117"/>
      <c r="B722" s="34"/>
      <c r="C722" s="34"/>
      <c r="D722" s="34"/>
      <c r="E722" s="34"/>
      <c r="F722" s="34"/>
      <c r="G722" s="29"/>
      <c r="H722" s="34"/>
      <c r="I722" s="85"/>
      <c r="J722" s="34"/>
      <c r="K722" s="29"/>
      <c r="L722" s="111"/>
      <c r="M722" s="111"/>
      <c r="N722" s="111"/>
      <c r="O722" s="111"/>
      <c r="P722" s="34"/>
    </row>
    <row x14ac:dyDescent="0.25" r="723" customHeight="1" ht="15.75">
      <c r="A723" s="117"/>
      <c r="B723" s="34"/>
      <c r="C723" s="34"/>
      <c r="D723" s="34"/>
      <c r="E723" s="34"/>
      <c r="F723" s="34"/>
      <c r="G723" s="29"/>
      <c r="H723" s="34"/>
      <c r="I723" s="85"/>
      <c r="J723" s="34"/>
      <c r="K723" s="29"/>
      <c r="L723" s="111"/>
      <c r="M723" s="111"/>
      <c r="N723" s="111"/>
      <c r="O723" s="111"/>
      <c r="P723" s="34"/>
    </row>
    <row x14ac:dyDescent="0.25" r="724" customHeight="1" ht="15.75">
      <c r="A724" s="117"/>
      <c r="B724" s="34"/>
      <c r="C724" s="34"/>
      <c r="D724" s="34"/>
      <c r="E724" s="34"/>
      <c r="F724" s="34"/>
      <c r="G724" s="29"/>
      <c r="H724" s="34"/>
      <c r="I724" s="85"/>
      <c r="J724" s="34"/>
      <c r="K724" s="29"/>
      <c r="L724" s="111"/>
      <c r="M724" s="111"/>
      <c r="N724" s="111"/>
      <c r="O724" s="111"/>
      <c r="P724" s="34"/>
    </row>
    <row x14ac:dyDescent="0.25" r="725" customHeight="1" ht="15.75">
      <c r="A725" s="117"/>
      <c r="B725" s="34"/>
      <c r="C725" s="34"/>
      <c r="D725" s="34"/>
      <c r="E725" s="34"/>
      <c r="F725" s="34"/>
      <c r="G725" s="29"/>
      <c r="H725" s="34"/>
      <c r="I725" s="85"/>
      <c r="J725" s="34"/>
      <c r="K725" s="29"/>
      <c r="L725" s="111"/>
      <c r="M725" s="111"/>
      <c r="N725" s="111"/>
      <c r="O725" s="111"/>
      <c r="P725" s="34"/>
    </row>
    <row x14ac:dyDescent="0.25" r="726" customHeight="1" ht="15.75">
      <c r="A726" s="117"/>
      <c r="B726" s="34"/>
      <c r="C726" s="34"/>
      <c r="D726" s="34"/>
      <c r="E726" s="34"/>
      <c r="F726" s="34"/>
      <c r="G726" s="29"/>
      <c r="H726" s="34"/>
      <c r="I726" s="85"/>
      <c r="J726" s="34"/>
      <c r="K726" s="29"/>
      <c r="L726" s="111"/>
      <c r="M726" s="111"/>
      <c r="N726" s="111"/>
      <c r="O726" s="111"/>
      <c r="P726" s="34"/>
    </row>
    <row x14ac:dyDescent="0.25" r="727" customHeight="1" ht="15.75">
      <c r="A727" s="117"/>
      <c r="B727" s="34"/>
      <c r="C727" s="34"/>
      <c r="D727" s="34"/>
      <c r="E727" s="34"/>
      <c r="F727" s="34"/>
      <c r="G727" s="29"/>
      <c r="H727" s="34"/>
      <c r="I727" s="85"/>
      <c r="J727" s="34"/>
      <c r="K727" s="29"/>
      <c r="L727" s="111"/>
      <c r="M727" s="111"/>
      <c r="N727" s="111"/>
      <c r="O727" s="111"/>
      <c r="P727" s="34"/>
    </row>
    <row x14ac:dyDescent="0.25" r="728" customHeight="1" ht="15.75">
      <c r="A728" s="117"/>
      <c r="B728" s="34"/>
      <c r="C728" s="34"/>
      <c r="D728" s="34"/>
      <c r="E728" s="34"/>
      <c r="F728" s="34"/>
      <c r="G728" s="29"/>
      <c r="H728" s="34"/>
      <c r="I728" s="85"/>
      <c r="J728" s="34"/>
      <c r="K728" s="29"/>
      <c r="L728" s="111"/>
      <c r="M728" s="111"/>
      <c r="N728" s="111"/>
      <c r="O728" s="111"/>
      <c r="P728" s="34"/>
    </row>
    <row x14ac:dyDescent="0.25" r="729" customHeight="1" ht="15.75">
      <c r="A729" s="117"/>
      <c r="B729" s="34"/>
      <c r="C729" s="34"/>
      <c r="D729" s="34"/>
      <c r="E729" s="34"/>
      <c r="F729" s="34"/>
      <c r="G729" s="29"/>
      <c r="H729" s="34"/>
      <c r="I729" s="85"/>
      <c r="J729" s="34"/>
      <c r="K729" s="29"/>
      <c r="L729" s="111"/>
      <c r="M729" s="111"/>
      <c r="N729" s="111"/>
      <c r="O729" s="111"/>
      <c r="P729" s="34"/>
    </row>
    <row x14ac:dyDescent="0.25" r="730" customHeight="1" ht="15.75">
      <c r="A730" s="117"/>
      <c r="B730" s="34"/>
      <c r="C730" s="34"/>
      <c r="D730" s="34"/>
      <c r="E730" s="34"/>
      <c r="F730" s="34"/>
      <c r="G730" s="29"/>
      <c r="H730" s="34"/>
      <c r="I730" s="85"/>
      <c r="J730" s="34"/>
      <c r="K730" s="29"/>
      <c r="L730" s="111"/>
      <c r="M730" s="111"/>
      <c r="N730" s="111"/>
      <c r="O730" s="111"/>
      <c r="P730" s="34"/>
    </row>
    <row x14ac:dyDescent="0.25" r="731" customHeight="1" ht="15.75">
      <c r="A731" s="117"/>
      <c r="B731" s="34"/>
      <c r="C731" s="34"/>
      <c r="D731" s="34"/>
      <c r="E731" s="34"/>
      <c r="F731" s="34"/>
      <c r="G731" s="29"/>
      <c r="H731" s="34"/>
      <c r="I731" s="85"/>
      <c r="J731" s="34"/>
      <c r="K731" s="29"/>
      <c r="L731" s="111"/>
      <c r="M731" s="111"/>
      <c r="N731" s="111"/>
      <c r="O731" s="111"/>
      <c r="P731" s="34"/>
    </row>
    <row x14ac:dyDescent="0.25" r="732" customHeight="1" ht="15.75">
      <c r="A732" s="117"/>
      <c r="B732" s="34"/>
      <c r="C732" s="34"/>
      <c r="D732" s="34"/>
      <c r="E732" s="34"/>
      <c r="F732" s="34"/>
      <c r="G732" s="29"/>
      <c r="H732" s="34"/>
      <c r="I732" s="85"/>
      <c r="J732" s="34"/>
      <c r="K732" s="29"/>
      <c r="L732" s="111"/>
      <c r="M732" s="111"/>
      <c r="N732" s="111"/>
      <c r="O732" s="111"/>
      <c r="P732" s="34"/>
    </row>
    <row x14ac:dyDescent="0.25" r="733" customHeight="1" ht="15.75">
      <c r="A733" s="117"/>
      <c r="B733" s="34"/>
      <c r="C733" s="34"/>
      <c r="D733" s="34"/>
      <c r="E733" s="34"/>
      <c r="F733" s="34"/>
      <c r="G733" s="29"/>
      <c r="H733" s="34"/>
      <c r="I733" s="85"/>
      <c r="J733" s="34"/>
      <c r="K733" s="29"/>
      <c r="L733" s="111"/>
      <c r="M733" s="111"/>
      <c r="N733" s="111"/>
      <c r="O733" s="111"/>
      <c r="P733" s="34"/>
    </row>
    <row x14ac:dyDescent="0.25" r="734" customHeight="1" ht="15.75">
      <c r="A734" s="117"/>
      <c r="B734" s="34"/>
      <c r="C734" s="34"/>
      <c r="D734" s="34"/>
      <c r="E734" s="34"/>
      <c r="F734" s="34"/>
      <c r="G734" s="29"/>
      <c r="H734" s="34"/>
      <c r="I734" s="85"/>
      <c r="J734" s="34"/>
      <c r="K734" s="29"/>
      <c r="L734" s="111"/>
      <c r="M734" s="111"/>
      <c r="N734" s="111"/>
      <c r="O734" s="111"/>
      <c r="P734" s="34"/>
    </row>
    <row x14ac:dyDescent="0.25" r="735" customHeight="1" ht="15.75">
      <c r="A735" s="117"/>
      <c r="B735" s="34"/>
      <c r="C735" s="34"/>
      <c r="D735" s="34"/>
      <c r="E735" s="34"/>
      <c r="F735" s="34"/>
      <c r="G735" s="29"/>
      <c r="H735" s="34"/>
      <c r="I735" s="85"/>
      <c r="J735" s="34"/>
      <c r="K735" s="29"/>
      <c r="L735" s="111"/>
      <c r="M735" s="111"/>
      <c r="N735" s="111"/>
      <c r="O735" s="111"/>
      <c r="P735" s="34"/>
    </row>
    <row x14ac:dyDescent="0.25" r="736" customHeight="1" ht="15.75">
      <c r="A736" s="117"/>
      <c r="B736" s="34"/>
      <c r="C736" s="34"/>
      <c r="D736" s="34"/>
      <c r="E736" s="34"/>
      <c r="F736" s="34"/>
      <c r="G736" s="29"/>
      <c r="H736" s="34"/>
      <c r="I736" s="85"/>
      <c r="J736" s="34"/>
      <c r="K736" s="29"/>
      <c r="L736" s="111"/>
      <c r="M736" s="111"/>
      <c r="N736" s="111"/>
      <c r="O736" s="111"/>
      <c r="P736" s="34"/>
    </row>
    <row x14ac:dyDescent="0.25" r="737" customHeight="1" ht="15.75">
      <c r="A737" s="117"/>
      <c r="B737" s="34"/>
      <c r="C737" s="34"/>
      <c r="D737" s="34"/>
      <c r="E737" s="34"/>
      <c r="F737" s="34"/>
      <c r="G737" s="29"/>
      <c r="H737" s="34"/>
      <c r="I737" s="85"/>
      <c r="J737" s="34"/>
      <c r="K737" s="29"/>
      <c r="L737" s="111"/>
      <c r="M737" s="111"/>
      <c r="N737" s="111"/>
      <c r="O737" s="111"/>
      <c r="P737" s="34"/>
    </row>
    <row x14ac:dyDescent="0.25" r="738" customHeight="1" ht="15.75">
      <c r="A738" s="117"/>
      <c r="B738" s="34"/>
      <c r="C738" s="34"/>
      <c r="D738" s="34"/>
      <c r="E738" s="34"/>
      <c r="F738" s="34"/>
      <c r="G738" s="29"/>
      <c r="H738" s="34"/>
      <c r="I738" s="85"/>
      <c r="J738" s="34"/>
      <c r="K738" s="29"/>
      <c r="L738" s="111"/>
      <c r="M738" s="111"/>
      <c r="N738" s="111"/>
      <c r="O738" s="111"/>
      <c r="P738" s="34"/>
    </row>
    <row x14ac:dyDescent="0.25" r="739" customHeight="1" ht="15.75">
      <c r="A739" s="117"/>
      <c r="B739" s="34"/>
      <c r="C739" s="34"/>
      <c r="D739" s="34"/>
      <c r="E739" s="34"/>
      <c r="F739" s="34"/>
      <c r="G739" s="29"/>
      <c r="H739" s="34"/>
      <c r="I739" s="85"/>
      <c r="J739" s="34"/>
      <c r="K739" s="29"/>
      <c r="L739" s="111"/>
      <c r="M739" s="111"/>
      <c r="N739" s="111"/>
      <c r="O739" s="111"/>
      <c r="P739" s="34"/>
    </row>
    <row x14ac:dyDescent="0.25" r="740" customHeight="1" ht="15.75">
      <c r="A740" s="117"/>
      <c r="B740" s="34"/>
      <c r="C740" s="34"/>
      <c r="D740" s="34"/>
      <c r="E740" s="34"/>
      <c r="F740" s="34"/>
      <c r="G740" s="29"/>
      <c r="H740" s="34"/>
      <c r="I740" s="85"/>
      <c r="J740" s="34"/>
      <c r="K740" s="29"/>
      <c r="L740" s="111"/>
      <c r="M740" s="111"/>
      <c r="N740" s="111"/>
      <c r="O740" s="111"/>
      <c r="P740" s="34"/>
    </row>
    <row x14ac:dyDescent="0.25" r="741" customHeight="1" ht="15.75">
      <c r="A741" s="117"/>
      <c r="B741" s="34"/>
      <c r="C741" s="34"/>
      <c r="D741" s="34"/>
      <c r="E741" s="34"/>
      <c r="F741" s="34"/>
      <c r="G741" s="29"/>
      <c r="H741" s="34"/>
      <c r="I741" s="85"/>
      <c r="J741" s="34"/>
      <c r="K741" s="29"/>
      <c r="L741" s="111"/>
      <c r="M741" s="111"/>
      <c r="N741" s="111"/>
      <c r="O741" s="111"/>
      <c r="P741" s="34"/>
    </row>
    <row x14ac:dyDescent="0.25" r="742" customHeight="1" ht="15.75">
      <c r="A742" s="117"/>
      <c r="B742" s="34"/>
      <c r="C742" s="34"/>
      <c r="D742" s="34"/>
      <c r="E742" s="34"/>
      <c r="F742" s="34"/>
      <c r="G742" s="29"/>
      <c r="H742" s="34"/>
      <c r="I742" s="85"/>
      <c r="J742" s="34"/>
      <c r="K742" s="29"/>
      <c r="L742" s="111"/>
      <c r="M742" s="111"/>
      <c r="N742" s="111"/>
      <c r="O742" s="111"/>
      <c r="P742" s="34"/>
    </row>
    <row x14ac:dyDescent="0.25" r="743" customHeight="1" ht="15.75">
      <c r="A743" s="117"/>
      <c r="B743" s="34"/>
      <c r="C743" s="34"/>
      <c r="D743" s="34"/>
      <c r="E743" s="34"/>
      <c r="F743" s="34"/>
      <c r="G743" s="29"/>
      <c r="H743" s="34"/>
      <c r="I743" s="85"/>
      <c r="J743" s="34"/>
      <c r="K743" s="29"/>
      <c r="L743" s="111"/>
      <c r="M743" s="111"/>
      <c r="N743" s="111"/>
      <c r="O743" s="111"/>
      <c r="P743" s="34"/>
    </row>
    <row x14ac:dyDescent="0.25" r="744" customHeight="1" ht="15.75">
      <c r="A744" s="117"/>
      <c r="B744" s="34"/>
      <c r="C744" s="34"/>
      <c r="D744" s="34"/>
      <c r="E744" s="34"/>
      <c r="F744" s="34"/>
      <c r="G744" s="29"/>
      <c r="H744" s="34"/>
      <c r="I744" s="85"/>
      <c r="J744" s="34"/>
      <c r="K744" s="29"/>
      <c r="L744" s="111"/>
      <c r="M744" s="111"/>
      <c r="N744" s="111"/>
      <c r="O744" s="111"/>
      <c r="P744" s="34"/>
    </row>
    <row x14ac:dyDescent="0.25" r="745" customHeight="1" ht="15.75">
      <c r="A745" s="117"/>
      <c r="B745" s="34"/>
      <c r="C745" s="34"/>
      <c r="D745" s="34"/>
      <c r="E745" s="34"/>
      <c r="F745" s="34"/>
      <c r="G745" s="29"/>
      <c r="H745" s="34"/>
      <c r="I745" s="85"/>
      <c r="J745" s="34"/>
      <c r="K745" s="29"/>
      <c r="L745" s="111"/>
      <c r="M745" s="111"/>
      <c r="N745" s="111"/>
      <c r="O745" s="111"/>
      <c r="P745" s="34"/>
    </row>
    <row x14ac:dyDescent="0.25" r="746" customHeight="1" ht="15.75">
      <c r="A746" s="117"/>
      <c r="B746" s="34"/>
      <c r="C746" s="34"/>
      <c r="D746" s="34"/>
      <c r="E746" s="34"/>
      <c r="F746" s="34"/>
      <c r="G746" s="29"/>
      <c r="H746" s="34"/>
      <c r="I746" s="85"/>
      <c r="J746" s="34"/>
      <c r="K746" s="29"/>
      <c r="L746" s="111"/>
      <c r="M746" s="111"/>
      <c r="N746" s="111"/>
      <c r="O746" s="111"/>
      <c r="P746" s="34"/>
    </row>
    <row x14ac:dyDescent="0.25" r="747" customHeight="1" ht="15.75">
      <c r="A747" s="117"/>
      <c r="B747" s="34"/>
      <c r="C747" s="34"/>
      <c r="D747" s="34"/>
      <c r="E747" s="34"/>
      <c r="F747" s="34"/>
      <c r="G747" s="29"/>
      <c r="H747" s="34"/>
      <c r="I747" s="85"/>
      <c r="J747" s="34"/>
      <c r="K747" s="29"/>
      <c r="L747" s="111"/>
      <c r="M747" s="111"/>
      <c r="N747" s="111"/>
      <c r="O747" s="111"/>
      <c r="P747" s="34"/>
    </row>
    <row x14ac:dyDescent="0.25" r="748" customHeight="1" ht="15.75">
      <c r="A748" s="117"/>
      <c r="B748" s="34"/>
      <c r="C748" s="34"/>
      <c r="D748" s="34"/>
      <c r="E748" s="34"/>
      <c r="F748" s="34"/>
      <c r="G748" s="29"/>
      <c r="H748" s="34"/>
      <c r="I748" s="85"/>
      <c r="J748" s="34"/>
      <c r="K748" s="29"/>
      <c r="L748" s="111"/>
      <c r="M748" s="111"/>
      <c r="N748" s="111"/>
      <c r="O748" s="111"/>
      <c r="P748" s="34"/>
    </row>
    <row x14ac:dyDescent="0.25" r="749" customHeight="1" ht="15.75">
      <c r="A749" s="117"/>
      <c r="B749" s="34"/>
      <c r="C749" s="34"/>
      <c r="D749" s="34"/>
      <c r="E749" s="34"/>
      <c r="F749" s="34"/>
      <c r="G749" s="29"/>
      <c r="H749" s="34"/>
      <c r="I749" s="85"/>
      <c r="J749" s="34"/>
      <c r="K749" s="29"/>
      <c r="L749" s="111"/>
      <c r="M749" s="111"/>
      <c r="N749" s="111"/>
      <c r="O749" s="111"/>
      <c r="P749" s="34"/>
    </row>
    <row x14ac:dyDescent="0.25" r="750" customHeight="1" ht="15.75">
      <c r="A750" s="117"/>
      <c r="B750" s="34"/>
      <c r="C750" s="34"/>
      <c r="D750" s="34"/>
      <c r="E750" s="34"/>
      <c r="F750" s="34"/>
      <c r="G750" s="29"/>
      <c r="H750" s="34"/>
      <c r="I750" s="85"/>
      <c r="J750" s="34"/>
      <c r="K750" s="29"/>
      <c r="L750" s="111"/>
      <c r="M750" s="111"/>
      <c r="N750" s="111"/>
      <c r="O750" s="111"/>
      <c r="P750" s="34"/>
    </row>
    <row x14ac:dyDescent="0.25" r="751" customHeight="1" ht="15.75">
      <c r="A751" s="117"/>
      <c r="B751" s="34"/>
      <c r="C751" s="34"/>
      <c r="D751" s="34"/>
      <c r="E751" s="34"/>
      <c r="F751" s="34"/>
      <c r="G751" s="29"/>
      <c r="H751" s="34"/>
      <c r="I751" s="85"/>
      <c r="J751" s="34"/>
      <c r="K751" s="29"/>
      <c r="L751" s="111"/>
      <c r="M751" s="111"/>
      <c r="N751" s="111"/>
      <c r="O751" s="111"/>
      <c r="P751" s="34"/>
    </row>
    <row x14ac:dyDescent="0.25" r="752" customHeight="1" ht="15.75">
      <c r="A752" s="117"/>
      <c r="B752" s="34"/>
      <c r="C752" s="34"/>
      <c r="D752" s="34"/>
      <c r="E752" s="34"/>
      <c r="F752" s="34"/>
      <c r="G752" s="29"/>
      <c r="H752" s="34"/>
      <c r="I752" s="85"/>
      <c r="J752" s="34"/>
      <c r="K752" s="29"/>
      <c r="L752" s="111"/>
      <c r="M752" s="111"/>
      <c r="N752" s="111"/>
      <c r="O752" s="111"/>
      <c r="P752" s="34"/>
    </row>
    <row x14ac:dyDescent="0.25" r="753" customHeight="1" ht="15.75">
      <c r="A753" s="117"/>
      <c r="B753" s="34"/>
      <c r="C753" s="34"/>
      <c r="D753" s="34"/>
      <c r="E753" s="34"/>
      <c r="F753" s="34"/>
      <c r="G753" s="29"/>
      <c r="H753" s="34"/>
      <c r="I753" s="85"/>
      <c r="J753" s="34"/>
      <c r="K753" s="29"/>
      <c r="L753" s="111"/>
      <c r="M753" s="111"/>
      <c r="N753" s="111"/>
      <c r="O753" s="111"/>
      <c r="P753" s="34"/>
    </row>
    <row x14ac:dyDescent="0.25" r="754" customHeight="1" ht="15.75">
      <c r="A754" s="117"/>
      <c r="B754" s="34"/>
      <c r="C754" s="34"/>
      <c r="D754" s="34"/>
      <c r="E754" s="34"/>
      <c r="F754" s="34"/>
      <c r="G754" s="29"/>
      <c r="H754" s="34"/>
      <c r="I754" s="85"/>
      <c r="J754" s="34"/>
      <c r="K754" s="29"/>
      <c r="L754" s="111"/>
      <c r="M754" s="111"/>
      <c r="N754" s="111"/>
      <c r="O754" s="111"/>
      <c r="P754" s="34"/>
    </row>
    <row x14ac:dyDescent="0.25" r="755" customHeight="1" ht="15.75">
      <c r="A755" s="117"/>
      <c r="B755" s="34"/>
      <c r="C755" s="34"/>
      <c r="D755" s="34"/>
      <c r="E755" s="34"/>
      <c r="F755" s="34"/>
      <c r="G755" s="29"/>
      <c r="H755" s="34"/>
      <c r="I755" s="85"/>
      <c r="J755" s="34"/>
      <c r="K755" s="29"/>
      <c r="L755" s="111"/>
      <c r="M755" s="111"/>
      <c r="N755" s="111"/>
      <c r="O755" s="111"/>
      <c r="P755" s="34"/>
    </row>
    <row x14ac:dyDescent="0.25" r="756" customHeight="1" ht="15.75">
      <c r="A756" s="117"/>
      <c r="B756" s="34"/>
      <c r="C756" s="34"/>
      <c r="D756" s="34"/>
      <c r="E756" s="34"/>
      <c r="F756" s="34"/>
      <c r="G756" s="29"/>
      <c r="H756" s="34"/>
      <c r="I756" s="85"/>
      <c r="J756" s="34"/>
      <c r="K756" s="29"/>
      <c r="L756" s="111"/>
      <c r="M756" s="111"/>
      <c r="N756" s="111"/>
      <c r="O756" s="111"/>
      <c r="P756" s="34"/>
    </row>
    <row x14ac:dyDescent="0.25" r="757" customHeight="1" ht="15.75">
      <c r="A757" s="117"/>
      <c r="B757" s="34"/>
      <c r="C757" s="34"/>
      <c r="D757" s="34"/>
      <c r="E757" s="34"/>
      <c r="F757" s="34"/>
      <c r="G757" s="29"/>
      <c r="H757" s="34"/>
      <c r="I757" s="85"/>
      <c r="J757" s="34"/>
      <c r="K757" s="29"/>
      <c r="L757" s="111"/>
      <c r="M757" s="111"/>
      <c r="N757" s="111"/>
      <c r="O757" s="111"/>
      <c r="P757" s="34"/>
    </row>
    <row x14ac:dyDescent="0.25" r="758" customHeight="1" ht="15.75">
      <c r="A758" s="117"/>
      <c r="B758" s="34"/>
      <c r="C758" s="34"/>
      <c r="D758" s="34"/>
      <c r="E758" s="34"/>
      <c r="F758" s="34"/>
      <c r="G758" s="29"/>
      <c r="H758" s="34"/>
      <c r="I758" s="85"/>
      <c r="J758" s="34"/>
      <c r="K758" s="29"/>
      <c r="L758" s="111"/>
      <c r="M758" s="111"/>
      <c r="N758" s="111"/>
      <c r="O758" s="111"/>
      <c r="P758" s="34"/>
    </row>
    <row x14ac:dyDescent="0.25" r="759" customHeight="1" ht="15.75">
      <c r="A759" s="117"/>
      <c r="B759" s="34"/>
      <c r="C759" s="34"/>
      <c r="D759" s="34"/>
      <c r="E759" s="34"/>
      <c r="F759" s="34"/>
      <c r="G759" s="29"/>
      <c r="H759" s="34"/>
      <c r="I759" s="85"/>
      <c r="J759" s="34"/>
      <c r="K759" s="29"/>
      <c r="L759" s="111"/>
      <c r="M759" s="111"/>
      <c r="N759" s="111"/>
      <c r="O759" s="111"/>
      <c r="P759" s="34"/>
    </row>
    <row x14ac:dyDescent="0.25" r="760" customHeight="1" ht="15.75">
      <c r="A760" s="117"/>
      <c r="B760" s="34"/>
      <c r="C760" s="34"/>
      <c r="D760" s="34"/>
      <c r="E760" s="34"/>
      <c r="F760" s="34"/>
      <c r="G760" s="29"/>
      <c r="H760" s="34"/>
      <c r="I760" s="85"/>
      <c r="J760" s="34"/>
      <c r="K760" s="29"/>
      <c r="L760" s="111"/>
      <c r="M760" s="111"/>
      <c r="N760" s="111"/>
      <c r="O760" s="111"/>
      <c r="P760" s="34"/>
    </row>
    <row x14ac:dyDescent="0.25" r="761" customHeight="1" ht="15.75">
      <c r="A761" s="117"/>
      <c r="B761" s="34"/>
      <c r="C761" s="34"/>
      <c r="D761" s="34"/>
      <c r="E761" s="34"/>
      <c r="F761" s="34"/>
      <c r="G761" s="29"/>
      <c r="H761" s="34"/>
      <c r="I761" s="85"/>
      <c r="J761" s="34"/>
      <c r="K761" s="29"/>
      <c r="L761" s="111"/>
      <c r="M761" s="111"/>
      <c r="N761" s="111"/>
      <c r="O761" s="111"/>
      <c r="P761" s="34"/>
    </row>
    <row x14ac:dyDescent="0.25" r="762" customHeight="1" ht="15.75">
      <c r="A762" s="117"/>
      <c r="B762" s="34"/>
      <c r="C762" s="34"/>
      <c r="D762" s="34"/>
      <c r="E762" s="34"/>
      <c r="F762" s="34"/>
      <c r="G762" s="29"/>
      <c r="H762" s="34"/>
      <c r="I762" s="85"/>
      <c r="J762" s="34"/>
      <c r="K762" s="29"/>
      <c r="L762" s="111"/>
      <c r="M762" s="111"/>
      <c r="N762" s="111"/>
      <c r="O762" s="111"/>
      <c r="P762" s="34"/>
    </row>
    <row x14ac:dyDescent="0.25" r="763" customHeight="1" ht="15.75">
      <c r="A763" s="117"/>
      <c r="B763" s="34"/>
      <c r="C763" s="34"/>
      <c r="D763" s="34"/>
      <c r="E763" s="34"/>
      <c r="F763" s="34"/>
      <c r="G763" s="29"/>
      <c r="H763" s="34"/>
      <c r="I763" s="85"/>
      <c r="J763" s="34"/>
      <c r="K763" s="29"/>
      <c r="L763" s="111"/>
      <c r="M763" s="111"/>
      <c r="N763" s="111"/>
      <c r="O763" s="111"/>
      <c r="P763" s="34"/>
    </row>
    <row x14ac:dyDescent="0.25" r="764" customHeight="1" ht="15.75">
      <c r="A764" s="117"/>
      <c r="B764" s="34"/>
      <c r="C764" s="34"/>
      <c r="D764" s="34"/>
      <c r="E764" s="34"/>
      <c r="F764" s="34"/>
      <c r="G764" s="29"/>
      <c r="H764" s="34"/>
      <c r="I764" s="85"/>
      <c r="J764" s="34"/>
      <c r="K764" s="29"/>
      <c r="L764" s="111"/>
      <c r="M764" s="111"/>
      <c r="N764" s="111"/>
      <c r="O764" s="111"/>
      <c r="P764" s="34"/>
    </row>
    <row x14ac:dyDescent="0.25" r="765" customHeight="1" ht="15.75">
      <c r="A765" s="117"/>
      <c r="B765" s="34"/>
      <c r="C765" s="34"/>
      <c r="D765" s="34"/>
      <c r="E765" s="34"/>
      <c r="F765" s="34"/>
      <c r="G765" s="29"/>
      <c r="H765" s="34"/>
      <c r="I765" s="85"/>
      <c r="J765" s="34"/>
      <c r="K765" s="29"/>
      <c r="L765" s="111"/>
      <c r="M765" s="111"/>
      <c r="N765" s="111"/>
      <c r="O765" s="111"/>
      <c r="P765" s="34"/>
    </row>
    <row x14ac:dyDescent="0.25" r="766" customHeight="1" ht="15.75">
      <c r="A766" s="117"/>
      <c r="B766" s="34"/>
      <c r="C766" s="34"/>
      <c r="D766" s="34"/>
      <c r="E766" s="34"/>
      <c r="F766" s="34"/>
      <c r="G766" s="29"/>
      <c r="H766" s="34"/>
      <c r="I766" s="85"/>
      <c r="J766" s="34"/>
      <c r="K766" s="29"/>
      <c r="L766" s="111"/>
      <c r="M766" s="111"/>
      <c r="N766" s="111"/>
      <c r="O766" s="111"/>
      <c r="P766" s="34"/>
    </row>
    <row x14ac:dyDescent="0.25" r="767" customHeight="1" ht="15.75">
      <c r="A767" s="117"/>
      <c r="B767" s="34"/>
      <c r="C767" s="34"/>
      <c r="D767" s="34"/>
      <c r="E767" s="34"/>
      <c r="F767" s="34"/>
      <c r="G767" s="29"/>
      <c r="H767" s="34"/>
      <c r="I767" s="85"/>
      <c r="J767" s="34"/>
      <c r="K767" s="29"/>
      <c r="L767" s="111"/>
      <c r="M767" s="111"/>
      <c r="N767" s="111"/>
      <c r="O767" s="111"/>
      <c r="P767" s="34"/>
    </row>
    <row x14ac:dyDescent="0.25" r="768" customHeight="1" ht="15.75">
      <c r="A768" s="117"/>
      <c r="B768" s="34"/>
      <c r="C768" s="34"/>
      <c r="D768" s="34"/>
      <c r="E768" s="34"/>
      <c r="F768" s="34"/>
      <c r="G768" s="29"/>
      <c r="H768" s="34"/>
      <c r="I768" s="85"/>
      <c r="J768" s="34"/>
      <c r="K768" s="29"/>
      <c r="L768" s="111"/>
      <c r="M768" s="111"/>
      <c r="N768" s="111"/>
      <c r="O768" s="111"/>
      <c r="P768" s="34"/>
    </row>
    <row x14ac:dyDescent="0.25" r="769" customHeight="1" ht="15.75">
      <c r="A769" s="117"/>
      <c r="B769" s="34"/>
      <c r="C769" s="34"/>
      <c r="D769" s="34"/>
      <c r="E769" s="34"/>
      <c r="F769" s="34"/>
      <c r="G769" s="29"/>
      <c r="H769" s="34"/>
      <c r="I769" s="85"/>
      <c r="J769" s="34"/>
      <c r="K769" s="29"/>
      <c r="L769" s="111"/>
      <c r="M769" s="111"/>
      <c r="N769" s="111"/>
      <c r="O769" s="111"/>
      <c r="P769" s="34"/>
    </row>
    <row x14ac:dyDescent="0.25" r="770" customHeight="1" ht="15.75">
      <c r="A770" s="117"/>
      <c r="B770" s="34"/>
      <c r="C770" s="34"/>
      <c r="D770" s="34"/>
      <c r="E770" s="34"/>
      <c r="F770" s="34"/>
      <c r="G770" s="29"/>
      <c r="H770" s="34"/>
      <c r="I770" s="85"/>
      <c r="J770" s="34"/>
      <c r="K770" s="29"/>
      <c r="L770" s="111"/>
      <c r="M770" s="111"/>
      <c r="N770" s="111"/>
      <c r="O770" s="111"/>
      <c r="P770" s="34"/>
    </row>
    <row x14ac:dyDescent="0.25" r="771" customHeight="1" ht="15.75">
      <c r="A771" s="117"/>
      <c r="B771" s="34"/>
      <c r="C771" s="34"/>
      <c r="D771" s="34"/>
      <c r="E771" s="34"/>
      <c r="F771" s="34"/>
      <c r="G771" s="29"/>
      <c r="H771" s="34"/>
      <c r="I771" s="85"/>
      <c r="J771" s="34"/>
      <c r="K771" s="29"/>
      <c r="L771" s="111"/>
      <c r="M771" s="111"/>
      <c r="N771" s="111"/>
      <c r="O771" s="111"/>
      <c r="P771" s="34"/>
    </row>
    <row x14ac:dyDescent="0.25" r="772" customHeight="1" ht="15.75">
      <c r="A772" s="117"/>
      <c r="B772" s="34"/>
      <c r="C772" s="34"/>
      <c r="D772" s="34"/>
      <c r="E772" s="34"/>
      <c r="F772" s="34"/>
      <c r="G772" s="29"/>
      <c r="H772" s="34"/>
      <c r="I772" s="85"/>
      <c r="J772" s="34"/>
      <c r="K772" s="29"/>
      <c r="L772" s="111"/>
      <c r="M772" s="111"/>
      <c r="N772" s="111"/>
      <c r="O772" s="111"/>
      <c r="P772" s="34"/>
    </row>
    <row x14ac:dyDescent="0.25" r="773" customHeight="1" ht="15.75">
      <c r="A773" s="117"/>
      <c r="B773" s="34"/>
      <c r="C773" s="34"/>
      <c r="D773" s="34"/>
      <c r="E773" s="34"/>
      <c r="F773" s="34"/>
      <c r="G773" s="29"/>
      <c r="H773" s="34"/>
      <c r="I773" s="85"/>
      <c r="J773" s="34"/>
      <c r="K773" s="29"/>
      <c r="L773" s="111"/>
      <c r="M773" s="111"/>
      <c r="N773" s="111"/>
      <c r="O773" s="111"/>
      <c r="P773" s="34"/>
    </row>
    <row x14ac:dyDescent="0.25" r="774" customHeight="1" ht="15.75">
      <c r="A774" s="117"/>
      <c r="B774" s="34"/>
      <c r="C774" s="34"/>
      <c r="D774" s="34"/>
      <c r="E774" s="34"/>
      <c r="F774" s="34"/>
      <c r="G774" s="29"/>
      <c r="H774" s="34"/>
      <c r="I774" s="85"/>
      <c r="J774" s="34"/>
      <c r="K774" s="29"/>
      <c r="L774" s="111"/>
      <c r="M774" s="111"/>
      <c r="N774" s="111"/>
      <c r="O774" s="111"/>
      <c r="P774" s="34"/>
    </row>
    <row x14ac:dyDescent="0.25" r="775" customHeight="1" ht="15.75">
      <c r="A775" s="117"/>
      <c r="B775" s="34"/>
      <c r="C775" s="34"/>
      <c r="D775" s="34"/>
      <c r="E775" s="34"/>
      <c r="F775" s="34"/>
      <c r="G775" s="29"/>
      <c r="H775" s="34"/>
      <c r="I775" s="85"/>
      <c r="J775" s="34"/>
      <c r="K775" s="29"/>
      <c r="L775" s="111"/>
      <c r="M775" s="111"/>
      <c r="N775" s="111"/>
      <c r="O775" s="111"/>
      <c r="P775" s="34"/>
    </row>
    <row x14ac:dyDescent="0.25" r="776" customHeight="1" ht="15.75">
      <c r="A776" s="117"/>
      <c r="B776" s="34"/>
      <c r="C776" s="34"/>
      <c r="D776" s="34"/>
      <c r="E776" s="34"/>
      <c r="F776" s="34"/>
      <c r="G776" s="29"/>
      <c r="H776" s="34"/>
      <c r="I776" s="85"/>
      <c r="J776" s="34"/>
      <c r="K776" s="29"/>
      <c r="L776" s="111"/>
      <c r="M776" s="111"/>
      <c r="N776" s="111"/>
      <c r="O776" s="111"/>
      <c r="P776" s="34"/>
    </row>
    <row x14ac:dyDescent="0.25" r="777" customHeight="1" ht="15.75">
      <c r="A777" s="117"/>
      <c r="B777" s="34"/>
      <c r="C777" s="34"/>
      <c r="D777" s="34"/>
      <c r="E777" s="34"/>
      <c r="F777" s="34"/>
      <c r="G777" s="29"/>
      <c r="H777" s="34"/>
      <c r="I777" s="85"/>
      <c r="J777" s="34"/>
      <c r="K777" s="29"/>
      <c r="L777" s="111"/>
      <c r="M777" s="111"/>
      <c r="N777" s="111"/>
      <c r="O777" s="111"/>
      <c r="P777" s="34"/>
    </row>
    <row x14ac:dyDescent="0.25" r="778" customHeight="1" ht="15.75">
      <c r="A778" s="117"/>
      <c r="B778" s="34"/>
      <c r="C778" s="34"/>
      <c r="D778" s="34"/>
      <c r="E778" s="34"/>
      <c r="F778" s="34"/>
      <c r="G778" s="29"/>
      <c r="H778" s="34"/>
      <c r="I778" s="85"/>
      <c r="J778" s="34"/>
      <c r="K778" s="29"/>
      <c r="L778" s="111"/>
      <c r="M778" s="111"/>
      <c r="N778" s="111"/>
      <c r="O778" s="111"/>
      <c r="P778" s="34"/>
    </row>
    <row x14ac:dyDescent="0.25" r="779" customHeight="1" ht="15.75">
      <c r="A779" s="117"/>
      <c r="B779" s="34"/>
      <c r="C779" s="34"/>
      <c r="D779" s="34"/>
      <c r="E779" s="34"/>
      <c r="F779" s="34"/>
      <c r="G779" s="29"/>
      <c r="H779" s="34"/>
      <c r="I779" s="85"/>
      <c r="J779" s="34"/>
      <c r="K779" s="29"/>
      <c r="L779" s="111"/>
      <c r="M779" s="111"/>
      <c r="N779" s="111"/>
      <c r="O779" s="111"/>
      <c r="P779" s="34"/>
    </row>
    <row x14ac:dyDescent="0.25" r="780" customHeight="1" ht="15.75">
      <c r="A780" s="117"/>
      <c r="B780" s="34"/>
      <c r="C780" s="34"/>
      <c r="D780" s="34"/>
      <c r="E780" s="34"/>
      <c r="F780" s="34"/>
      <c r="G780" s="29"/>
      <c r="H780" s="34"/>
      <c r="I780" s="85"/>
      <c r="J780" s="34"/>
      <c r="K780" s="29"/>
      <c r="L780" s="111"/>
      <c r="M780" s="111"/>
      <c r="N780" s="111"/>
      <c r="O780" s="111"/>
      <c r="P780" s="34"/>
    </row>
    <row x14ac:dyDescent="0.25" r="781" customHeight="1" ht="15.75">
      <c r="A781" s="117"/>
      <c r="B781" s="34"/>
      <c r="C781" s="34"/>
      <c r="D781" s="34"/>
      <c r="E781" s="34"/>
      <c r="F781" s="34"/>
      <c r="G781" s="29"/>
      <c r="H781" s="34"/>
      <c r="I781" s="85"/>
      <c r="J781" s="34"/>
      <c r="K781" s="29"/>
      <c r="L781" s="111"/>
      <c r="M781" s="111"/>
      <c r="N781" s="111"/>
      <c r="O781" s="111"/>
      <c r="P781" s="34"/>
    </row>
    <row x14ac:dyDescent="0.25" r="782" customHeight="1" ht="15.75">
      <c r="A782" s="117"/>
      <c r="B782" s="34"/>
      <c r="C782" s="34"/>
      <c r="D782" s="34"/>
      <c r="E782" s="34"/>
      <c r="F782" s="34"/>
      <c r="G782" s="29"/>
      <c r="H782" s="34"/>
      <c r="I782" s="85"/>
      <c r="J782" s="34"/>
      <c r="K782" s="29"/>
      <c r="L782" s="111"/>
      <c r="M782" s="111"/>
      <c r="N782" s="111"/>
      <c r="O782" s="111"/>
      <c r="P782" s="34"/>
    </row>
    <row x14ac:dyDescent="0.25" r="783" customHeight="1" ht="15.75">
      <c r="A783" s="117"/>
      <c r="B783" s="34"/>
      <c r="C783" s="34"/>
      <c r="D783" s="34"/>
      <c r="E783" s="34"/>
      <c r="F783" s="34"/>
      <c r="G783" s="29"/>
      <c r="H783" s="34"/>
      <c r="I783" s="85"/>
      <c r="J783" s="34"/>
      <c r="K783" s="29"/>
      <c r="L783" s="111"/>
      <c r="M783" s="111"/>
      <c r="N783" s="111"/>
      <c r="O783" s="111"/>
      <c r="P783" s="34"/>
    </row>
    <row x14ac:dyDescent="0.25" r="784" customHeight="1" ht="15.75">
      <c r="A784" s="117"/>
      <c r="B784" s="34"/>
      <c r="C784" s="34"/>
      <c r="D784" s="34"/>
      <c r="E784" s="34"/>
      <c r="F784" s="34"/>
      <c r="G784" s="29"/>
      <c r="H784" s="34"/>
      <c r="I784" s="85"/>
      <c r="J784" s="34"/>
      <c r="K784" s="29"/>
      <c r="L784" s="111"/>
      <c r="M784" s="111"/>
      <c r="N784" s="111"/>
      <c r="O784" s="111"/>
      <c r="P784" s="34"/>
    </row>
    <row x14ac:dyDescent="0.25" r="785" customHeight="1" ht="15.75">
      <c r="A785" s="117"/>
      <c r="B785" s="34"/>
      <c r="C785" s="34"/>
      <c r="D785" s="34"/>
      <c r="E785" s="34"/>
      <c r="F785" s="34"/>
      <c r="G785" s="29"/>
      <c r="H785" s="34"/>
      <c r="I785" s="85"/>
      <c r="J785" s="34"/>
      <c r="K785" s="29"/>
      <c r="L785" s="111"/>
      <c r="M785" s="111"/>
      <c r="N785" s="111"/>
      <c r="O785" s="111"/>
      <c r="P785" s="34"/>
    </row>
    <row x14ac:dyDescent="0.25" r="786" customHeight="1" ht="15.75">
      <c r="A786" s="117"/>
      <c r="B786" s="34"/>
      <c r="C786" s="34"/>
      <c r="D786" s="34"/>
      <c r="E786" s="34"/>
      <c r="F786" s="34"/>
      <c r="G786" s="29"/>
      <c r="H786" s="34"/>
      <c r="I786" s="85"/>
      <c r="J786" s="34"/>
      <c r="K786" s="29"/>
      <c r="L786" s="111"/>
      <c r="M786" s="111"/>
      <c r="N786" s="111"/>
      <c r="O786" s="111"/>
      <c r="P786" s="34"/>
    </row>
    <row x14ac:dyDescent="0.25" r="787" customHeight="1" ht="15.75">
      <c r="A787" s="117"/>
      <c r="B787" s="34"/>
      <c r="C787" s="34"/>
      <c r="D787" s="34"/>
      <c r="E787" s="34"/>
      <c r="F787" s="34"/>
      <c r="G787" s="29"/>
      <c r="H787" s="34"/>
      <c r="I787" s="85"/>
      <c r="J787" s="34"/>
      <c r="K787" s="29"/>
      <c r="L787" s="111"/>
      <c r="M787" s="111"/>
      <c r="N787" s="111"/>
      <c r="O787" s="111"/>
      <c r="P787" s="34"/>
    </row>
    <row x14ac:dyDescent="0.25" r="788" customHeight="1" ht="15.75">
      <c r="A788" s="117"/>
      <c r="B788" s="34"/>
      <c r="C788" s="34"/>
      <c r="D788" s="34"/>
      <c r="E788" s="34"/>
      <c r="F788" s="34"/>
      <c r="G788" s="29"/>
      <c r="H788" s="34"/>
      <c r="I788" s="85"/>
      <c r="J788" s="34"/>
      <c r="K788" s="29"/>
      <c r="L788" s="111"/>
      <c r="M788" s="111"/>
      <c r="N788" s="111"/>
      <c r="O788" s="111"/>
      <c r="P788" s="34"/>
    </row>
    <row x14ac:dyDescent="0.25" r="789" customHeight="1" ht="15.75">
      <c r="A789" s="117"/>
      <c r="B789" s="34"/>
      <c r="C789" s="34"/>
      <c r="D789" s="34"/>
      <c r="E789" s="34"/>
      <c r="F789" s="34"/>
      <c r="G789" s="29"/>
      <c r="H789" s="34"/>
      <c r="I789" s="85"/>
      <c r="J789" s="34"/>
      <c r="K789" s="29"/>
      <c r="L789" s="111"/>
      <c r="M789" s="111"/>
      <c r="N789" s="111"/>
      <c r="O789" s="111"/>
      <c r="P789" s="34"/>
    </row>
    <row x14ac:dyDescent="0.25" r="790" customHeight="1" ht="15.75">
      <c r="A790" s="117"/>
      <c r="B790" s="34"/>
      <c r="C790" s="34"/>
      <c r="D790" s="34"/>
      <c r="E790" s="34"/>
      <c r="F790" s="34"/>
      <c r="G790" s="29"/>
      <c r="H790" s="34"/>
      <c r="I790" s="85"/>
      <c r="J790" s="34"/>
      <c r="K790" s="29"/>
      <c r="L790" s="111"/>
      <c r="M790" s="111"/>
      <c r="N790" s="111"/>
      <c r="O790" s="111"/>
      <c r="P790" s="34"/>
    </row>
    <row x14ac:dyDescent="0.25" r="791" customHeight="1" ht="15.75">
      <c r="A791" s="117"/>
      <c r="B791" s="34"/>
      <c r="C791" s="34"/>
      <c r="D791" s="34"/>
      <c r="E791" s="34"/>
      <c r="F791" s="34"/>
      <c r="G791" s="29"/>
      <c r="H791" s="34"/>
      <c r="I791" s="85"/>
      <c r="J791" s="34"/>
      <c r="K791" s="29"/>
      <c r="L791" s="111"/>
      <c r="M791" s="111"/>
      <c r="N791" s="111"/>
      <c r="O791" s="111"/>
      <c r="P791" s="34"/>
    </row>
    <row x14ac:dyDescent="0.25" r="792" customHeight="1" ht="15.75">
      <c r="A792" s="117"/>
      <c r="B792" s="34"/>
      <c r="C792" s="34"/>
      <c r="D792" s="34"/>
      <c r="E792" s="34"/>
      <c r="F792" s="34"/>
      <c r="G792" s="29"/>
      <c r="H792" s="34"/>
      <c r="I792" s="85"/>
      <c r="J792" s="34"/>
      <c r="K792" s="29"/>
      <c r="L792" s="111"/>
      <c r="M792" s="111"/>
      <c r="N792" s="111"/>
      <c r="O792" s="111"/>
      <c r="P792" s="34"/>
    </row>
    <row x14ac:dyDescent="0.25" r="793" customHeight="1" ht="15.75">
      <c r="A793" s="117"/>
      <c r="B793" s="34"/>
      <c r="C793" s="34"/>
      <c r="D793" s="34"/>
      <c r="E793" s="34"/>
      <c r="F793" s="34"/>
      <c r="G793" s="29"/>
      <c r="H793" s="34"/>
      <c r="I793" s="85"/>
      <c r="J793" s="34"/>
      <c r="K793" s="29"/>
      <c r="L793" s="111"/>
      <c r="M793" s="111"/>
      <c r="N793" s="111"/>
      <c r="O793" s="111"/>
      <c r="P793" s="34"/>
    </row>
    <row x14ac:dyDescent="0.25" r="794" customHeight="1" ht="15.75">
      <c r="A794" s="117"/>
      <c r="B794" s="34"/>
      <c r="C794" s="34"/>
      <c r="D794" s="34"/>
      <c r="E794" s="34"/>
      <c r="F794" s="34"/>
      <c r="G794" s="29"/>
      <c r="H794" s="34"/>
      <c r="I794" s="85"/>
      <c r="J794" s="34"/>
      <c r="K794" s="29"/>
      <c r="L794" s="111"/>
      <c r="M794" s="111"/>
      <c r="N794" s="111"/>
      <c r="O794" s="111"/>
      <c r="P794" s="34"/>
    </row>
    <row x14ac:dyDescent="0.25" r="795" customHeight="1" ht="15.75">
      <c r="A795" s="117"/>
      <c r="B795" s="34"/>
      <c r="C795" s="34"/>
      <c r="D795" s="34"/>
      <c r="E795" s="34"/>
      <c r="F795" s="34"/>
      <c r="G795" s="29"/>
      <c r="H795" s="34"/>
      <c r="I795" s="85"/>
      <c r="J795" s="34"/>
      <c r="K795" s="29"/>
      <c r="L795" s="111"/>
      <c r="M795" s="111"/>
      <c r="N795" s="111"/>
      <c r="O795" s="111"/>
      <c r="P795" s="34"/>
    </row>
    <row x14ac:dyDescent="0.25" r="796" customHeight="1" ht="15.75">
      <c r="A796" s="117"/>
      <c r="B796" s="34"/>
      <c r="C796" s="34"/>
      <c r="D796" s="34"/>
      <c r="E796" s="34"/>
      <c r="F796" s="34"/>
      <c r="G796" s="29"/>
      <c r="H796" s="34"/>
      <c r="I796" s="85"/>
      <c r="J796" s="34"/>
      <c r="K796" s="29"/>
      <c r="L796" s="111"/>
      <c r="M796" s="111"/>
      <c r="N796" s="111"/>
      <c r="O796" s="111"/>
      <c r="P796" s="34"/>
    </row>
    <row x14ac:dyDescent="0.25" r="797" customHeight="1" ht="15.75">
      <c r="A797" s="117"/>
      <c r="B797" s="34"/>
      <c r="C797" s="34"/>
      <c r="D797" s="34"/>
      <c r="E797" s="34"/>
      <c r="F797" s="34"/>
      <c r="G797" s="29"/>
      <c r="H797" s="34"/>
      <c r="I797" s="85"/>
      <c r="J797" s="34"/>
      <c r="K797" s="29"/>
      <c r="L797" s="111"/>
      <c r="M797" s="111"/>
      <c r="N797" s="111"/>
      <c r="O797" s="111"/>
      <c r="P797" s="34"/>
    </row>
    <row x14ac:dyDescent="0.25" r="798" customHeight="1" ht="15.75">
      <c r="A798" s="117"/>
      <c r="B798" s="34"/>
      <c r="C798" s="34"/>
      <c r="D798" s="34"/>
      <c r="E798" s="34"/>
      <c r="F798" s="34"/>
      <c r="G798" s="29"/>
      <c r="H798" s="34"/>
      <c r="I798" s="85"/>
      <c r="J798" s="34"/>
      <c r="K798" s="29"/>
      <c r="L798" s="111"/>
      <c r="M798" s="111"/>
      <c r="N798" s="111"/>
      <c r="O798" s="111"/>
      <c r="P798" s="34"/>
    </row>
    <row x14ac:dyDescent="0.25" r="799" customHeight="1" ht="15.75">
      <c r="A799" s="117"/>
      <c r="B799" s="34"/>
      <c r="C799" s="34"/>
      <c r="D799" s="34"/>
      <c r="E799" s="34"/>
      <c r="F799" s="34"/>
      <c r="G799" s="29"/>
      <c r="H799" s="34"/>
      <c r="I799" s="85"/>
      <c r="J799" s="34"/>
      <c r="K799" s="29"/>
      <c r="L799" s="111"/>
      <c r="M799" s="111"/>
      <c r="N799" s="111"/>
      <c r="O799" s="111"/>
      <c r="P799" s="34"/>
    </row>
    <row x14ac:dyDescent="0.25" r="800" customHeight="1" ht="15.75">
      <c r="A800" s="117"/>
      <c r="B800" s="34"/>
      <c r="C800" s="34"/>
      <c r="D800" s="34"/>
      <c r="E800" s="34"/>
      <c r="F800" s="34"/>
      <c r="G800" s="29"/>
      <c r="H800" s="34"/>
      <c r="I800" s="85"/>
      <c r="J800" s="34"/>
      <c r="K800" s="29"/>
      <c r="L800" s="111"/>
      <c r="M800" s="111"/>
      <c r="N800" s="111"/>
      <c r="O800" s="111"/>
      <c r="P800" s="34"/>
    </row>
    <row x14ac:dyDescent="0.25" r="801" customHeight="1" ht="15.75">
      <c r="A801" s="117"/>
      <c r="B801" s="34"/>
      <c r="C801" s="34"/>
      <c r="D801" s="34"/>
      <c r="E801" s="34"/>
      <c r="F801" s="34"/>
      <c r="G801" s="29"/>
      <c r="H801" s="34"/>
      <c r="I801" s="85"/>
      <c r="J801" s="34"/>
      <c r="K801" s="29"/>
      <c r="L801" s="111"/>
      <c r="M801" s="111"/>
      <c r="N801" s="111"/>
      <c r="O801" s="111"/>
      <c r="P801" s="34"/>
    </row>
    <row x14ac:dyDescent="0.25" r="802" customHeight="1" ht="15.75">
      <c r="A802" s="117"/>
      <c r="B802" s="34"/>
      <c r="C802" s="34"/>
      <c r="D802" s="34"/>
      <c r="E802" s="34"/>
      <c r="F802" s="34"/>
      <c r="G802" s="29"/>
      <c r="H802" s="34"/>
      <c r="I802" s="85"/>
      <c r="J802" s="34"/>
      <c r="K802" s="29"/>
      <c r="L802" s="111"/>
      <c r="M802" s="111"/>
      <c r="N802" s="111"/>
      <c r="O802" s="111"/>
      <c r="P802" s="34"/>
    </row>
    <row x14ac:dyDescent="0.25" r="803" customHeight="1" ht="15.75">
      <c r="A803" s="117"/>
      <c r="B803" s="34"/>
      <c r="C803" s="34"/>
      <c r="D803" s="34"/>
      <c r="E803" s="34"/>
      <c r="F803" s="34"/>
      <c r="G803" s="29"/>
      <c r="H803" s="34"/>
      <c r="I803" s="85"/>
      <c r="J803" s="34"/>
      <c r="K803" s="29"/>
      <c r="L803" s="111"/>
      <c r="M803" s="111"/>
      <c r="N803" s="111"/>
      <c r="O803" s="111"/>
      <c r="P803" s="34"/>
    </row>
    <row x14ac:dyDescent="0.25" r="804" customHeight="1" ht="15.75">
      <c r="A804" s="117"/>
      <c r="B804" s="34"/>
      <c r="C804" s="34"/>
      <c r="D804" s="34"/>
      <c r="E804" s="34"/>
      <c r="F804" s="34"/>
      <c r="G804" s="29"/>
      <c r="H804" s="34"/>
      <c r="I804" s="85"/>
      <c r="J804" s="34"/>
      <c r="K804" s="29"/>
      <c r="L804" s="111"/>
      <c r="M804" s="111"/>
      <c r="N804" s="111"/>
      <c r="O804" s="111"/>
      <c r="P804" s="34"/>
    </row>
    <row x14ac:dyDescent="0.25" r="805" customHeight="1" ht="15.75">
      <c r="A805" s="117"/>
      <c r="B805" s="34"/>
      <c r="C805" s="34"/>
      <c r="D805" s="34"/>
      <c r="E805" s="34"/>
      <c r="F805" s="34"/>
      <c r="G805" s="29"/>
      <c r="H805" s="34"/>
      <c r="I805" s="85"/>
      <c r="J805" s="34"/>
      <c r="K805" s="29"/>
      <c r="L805" s="111"/>
      <c r="M805" s="111"/>
      <c r="N805" s="111"/>
      <c r="O805" s="111"/>
      <c r="P805" s="34"/>
    </row>
    <row x14ac:dyDescent="0.25" r="806" customHeight="1" ht="15.75">
      <c r="A806" s="117"/>
      <c r="B806" s="34"/>
      <c r="C806" s="34"/>
      <c r="D806" s="34"/>
      <c r="E806" s="34"/>
      <c r="F806" s="34"/>
      <c r="G806" s="29"/>
      <c r="H806" s="34"/>
      <c r="I806" s="85"/>
      <c r="J806" s="34"/>
      <c r="K806" s="29"/>
      <c r="L806" s="111"/>
      <c r="M806" s="111"/>
      <c r="N806" s="111"/>
      <c r="O806" s="111"/>
      <c r="P806" s="34"/>
    </row>
    <row x14ac:dyDescent="0.25" r="807" customHeight="1" ht="15.75">
      <c r="A807" s="117"/>
      <c r="B807" s="34"/>
      <c r="C807" s="34"/>
      <c r="D807" s="34"/>
      <c r="E807" s="34"/>
      <c r="F807" s="34"/>
      <c r="G807" s="29"/>
      <c r="H807" s="34"/>
      <c r="I807" s="85"/>
      <c r="J807" s="34"/>
      <c r="K807" s="29"/>
      <c r="L807" s="111"/>
      <c r="M807" s="111"/>
      <c r="N807" s="111"/>
      <c r="O807" s="111"/>
      <c r="P807" s="34"/>
    </row>
    <row x14ac:dyDescent="0.25" r="808" customHeight="1" ht="15.75">
      <c r="A808" s="117"/>
      <c r="B808" s="34"/>
      <c r="C808" s="34"/>
      <c r="D808" s="34"/>
      <c r="E808" s="34"/>
      <c r="F808" s="34"/>
      <c r="G808" s="29"/>
      <c r="H808" s="34"/>
      <c r="I808" s="85"/>
      <c r="J808" s="34"/>
      <c r="K808" s="29"/>
      <c r="L808" s="111"/>
      <c r="M808" s="111"/>
      <c r="N808" s="111"/>
      <c r="O808" s="111"/>
      <c r="P808" s="34"/>
    </row>
    <row x14ac:dyDescent="0.25" r="809" customHeight="1" ht="15.75">
      <c r="A809" s="117"/>
      <c r="B809" s="34"/>
      <c r="C809" s="34"/>
      <c r="D809" s="34"/>
      <c r="E809" s="34"/>
      <c r="F809" s="34"/>
      <c r="G809" s="29"/>
      <c r="H809" s="34"/>
      <c r="I809" s="85"/>
      <c r="J809" s="34"/>
      <c r="K809" s="29"/>
      <c r="L809" s="111"/>
      <c r="M809" s="111"/>
      <c r="N809" s="111"/>
      <c r="O809" s="111"/>
      <c r="P809" s="34"/>
    </row>
    <row x14ac:dyDescent="0.25" r="810" customHeight="1" ht="15.75">
      <c r="A810" s="117"/>
      <c r="B810" s="34"/>
      <c r="C810" s="34"/>
      <c r="D810" s="34"/>
      <c r="E810" s="34"/>
      <c r="F810" s="34"/>
      <c r="G810" s="29"/>
      <c r="H810" s="34"/>
      <c r="I810" s="85"/>
      <c r="J810" s="34"/>
      <c r="K810" s="29"/>
      <c r="L810" s="111"/>
      <c r="M810" s="111"/>
      <c r="N810" s="111"/>
      <c r="O810" s="111"/>
      <c r="P810" s="34"/>
    </row>
    <row x14ac:dyDescent="0.25" r="811" customHeight="1" ht="15.75">
      <c r="A811" s="117"/>
      <c r="B811" s="34"/>
      <c r="C811" s="34"/>
      <c r="D811" s="34"/>
      <c r="E811" s="34"/>
      <c r="F811" s="34"/>
      <c r="G811" s="29"/>
      <c r="H811" s="34"/>
      <c r="I811" s="85"/>
      <c r="J811" s="34"/>
      <c r="K811" s="29"/>
      <c r="L811" s="111"/>
      <c r="M811" s="111"/>
      <c r="N811" s="111"/>
      <c r="O811" s="111"/>
      <c r="P811" s="34"/>
    </row>
    <row x14ac:dyDescent="0.25" r="812" customHeight="1" ht="15.75">
      <c r="A812" s="117"/>
      <c r="B812" s="34"/>
      <c r="C812" s="34"/>
      <c r="D812" s="34"/>
      <c r="E812" s="34"/>
      <c r="F812" s="34"/>
      <c r="G812" s="29"/>
      <c r="H812" s="34"/>
      <c r="I812" s="85"/>
      <c r="J812" s="34"/>
      <c r="K812" s="29"/>
      <c r="L812" s="111"/>
      <c r="M812" s="111"/>
      <c r="N812" s="111"/>
      <c r="O812" s="111"/>
      <c r="P812" s="34"/>
    </row>
    <row x14ac:dyDescent="0.25" r="813" customHeight="1" ht="15.75">
      <c r="A813" s="117"/>
      <c r="B813" s="34"/>
      <c r="C813" s="34"/>
      <c r="D813" s="34"/>
      <c r="E813" s="34"/>
      <c r="F813" s="34"/>
      <c r="G813" s="29"/>
      <c r="H813" s="34"/>
      <c r="I813" s="85"/>
      <c r="J813" s="34"/>
      <c r="K813" s="29"/>
      <c r="L813" s="111"/>
      <c r="M813" s="111"/>
      <c r="N813" s="111"/>
      <c r="O813" s="111"/>
      <c r="P813" s="34"/>
    </row>
    <row x14ac:dyDescent="0.25" r="814" customHeight="1" ht="15.75">
      <c r="A814" s="117"/>
      <c r="B814" s="34"/>
      <c r="C814" s="34"/>
      <c r="D814" s="34"/>
      <c r="E814" s="34"/>
      <c r="F814" s="34"/>
      <c r="G814" s="29"/>
      <c r="H814" s="34"/>
      <c r="I814" s="85"/>
      <c r="J814" s="34"/>
      <c r="K814" s="29"/>
      <c r="L814" s="111"/>
      <c r="M814" s="111"/>
      <c r="N814" s="111"/>
      <c r="O814" s="111"/>
      <c r="P814" s="34"/>
    </row>
    <row x14ac:dyDescent="0.25" r="815" customHeight="1" ht="15.75">
      <c r="A815" s="117"/>
      <c r="B815" s="34"/>
      <c r="C815" s="34"/>
      <c r="D815" s="34"/>
      <c r="E815" s="34"/>
      <c r="F815" s="34"/>
      <c r="G815" s="29"/>
      <c r="H815" s="34"/>
      <c r="I815" s="85"/>
      <c r="J815" s="34"/>
      <c r="K815" s="29"/>
      <c r="L815" s="111"/>
      <c r="M815" s="111"/>
      <c r="N815" s="111"/>
      <c r="O815" s="111"/>
      <c r="P815" s="34"/>
    </row>
    <row x14ac:dyDescent="0.25" r="816" customHeight="1" ht="15.75">
      <c r="A816" s="117"/>
      <c r="B816" s="34"/>
      <c r="C816" s="34"/>
      <c r="D816" s="34"/>
      <c r="E816" s="34"/>
      <c r="F816" s="34"/>
      <c r="G816" s="29"/>
      <c r="H816" s="34"/>
      <c r="I816" s="85"/>
      <c r="J816" s="34"/>
      <c r="K816" s="29"/>
      <c r="L816" s="111"/>
      <c r="M816" s="111"/>
      <c r="N816" s="111"/>
      <c r="O816" s="111"/>
      <c r="P816" s="34"/>
    </row>
    <row x14ac:dyDescent="0.25" r="817" customHeight="1" ht="15.75">
      <c r="A817" s="117"/>
      <c r="B817" s="34"/>
      <c r="C817" s="34"/>
      <c r="D817" s="34"/>
      <c r="E817" s="34"/>
      <c r="F817" s="34"/>
      <c r="G817" s="29"/>
      <c r="H817" s="34"/>
      <c r="I817" s="85"/>
      <c r="J817" s="34"/>
      <c r="K817" s="29"/>
      <c r="L817" s="111"/>
      <c r="M817" s="111"/>
      <c r="N817" s="111"/>
      <c r="O817" s="111"/>
      <c r="P817" s="34"/>
    </row>
    <row x14ac:dyDescent="0.25" r="818" customHeight="1" ht="15.75">
      <c r="A818" s="117"/>
      <c r="B818" s="34"/>
      <c r="C818" s="34"/>
      <c r="D818" s="34"/>
      <c r="E818" s="34"/>
      <c r="F818" s="34"/>
      <c r="G818" s="29"/>
      <c r="H818" s="34"/>
      <c r="I818" s="85"/>
      <c r="J818" s="34"/>
      <c r="K818" s="29"/>
      <c r="L818" s="111"/>
      <c r="M818" s="111"/>
      <c r="N818" s="111"/>
      <c r="O818" s="111"/>
      <c r="P818" s="34"/>
    </row>
    <row x14ac:dyDescent="0.25" r="819" customHeight="1" ht="15.75">
      <c r="A819" s="117"/>
      <c r="B819" s="34"/>
      <c r="C819" s="34"/>
      <c r="D819" s="34"/>
      <c r="E819" s="34"/>
      <c r="F819" s="34"/>
      <c r="G819" s="29"/>
      <c r="H819" s="34"/>
      <c r="I819" s="85"/>
      <c r="J819" s="34"/>
      <c r="K819" s="29"/>
      <c r="L819" s="111"/>
      <c r="M819" s="111"/>
      <c r="N819" s="111"/>
      <c r="O819" s="111"/>
      <c r="P819" s="34"/>
    </row>
    <row x14ac:dyDescent="0.25" r="820" customHeight="1" ht="15.75">
      <c r="A820" s="117"/>
      <c r="B820" s="34"/>
      <c r="C820" s="34"/>
      <c r="D820" s="34"/>
      <c r="E820" s="34"/>
      <c r="F820" s="34"/>
      <c r="G820" s="29"/>
      <c r="H820" s="34"/>
      <c r="I820" s="85"/>
      <c r="J820" s="34"/>
      <c r="K820" s="29"/>
      <c r="L820" s="111"/>
      <c r="M820" s="111"/>
      <c r="N820" s="111"/>
      <c r="O820" s="111"/>
      <c r="P820" s="34"/>
    </row>
    <row x14ac:dyDescent="0.25" r="821" customHeight="1" ht="15.75">
      <c r="A821" s="117"/>
      <c r="B821" s="34"/>
      <c r="C821" s="34"/>
      <c r="D821" s="34"/>
      <c r="E821" s="34"/>
      <c r="F821" s="34"/>
      <c r="G821" s="29"/>
      <c r="H821" s="34"/>
      <c r="I821" s="85"/>
      <c r="J821" s="34"/>
      <c r="K821" s="29"/>
      <c r="L821" s="111"/>
      <c r="M821" s="111"/>
      <c r="N821" s="111"/>
      <c r="O821" s="111"/>
      <c r="P821" s="34"/>
    </row>
    <row x14ac:dyDescent="0.25" r="822" customHeight="1" ht="15.75">
      <c r="A822" s="117"/>
      <c r="B822" s="34"/>
      <c r="C822" s="34"/>
      <c r="D822" s="34"/>
      <c r="E822" s="34"/>
      <c r="F822" s="34"/>
      <c r="G822" s="29"/>
      <c r="H822" s="34"/>
      <c r="I822" s="85"/>
      <c r="J822" s="34"/>
      <c r="K822" s="29"/>
      <c r="L822" s="111"/>
      <c r="M822" s="111"/>
      <c r="N822" s="111"/>
      <c r="O822" s="111"/>
      <c r="P822" s="34"/>
    </row>
    <row x14ac:dyDescent="0.25" r="823" customHeight="1" ht="15.75">
      <c r="A823" s="117"/>
      <c r="B823" s="34"/>
      <c r="C823" s="34"/>
      <c r="D823" s="34"/>
      <c r="E823" s="34"/>
      <c r="F823" s="34"/>
      <c r="G823" s="29"/>
      <c r="H823" s="34"/>
      <c r="I823" s="85"/>
      <c r="J823" s="34"/>
      <c r="K823" s="29"/>
      <c r="L823" s="111"/>
      <c r="M823" s="111"/>
      <c r="N823" s="111"/>
      <c r="O823" s="111"/>
      <c r="P823" s="34"/>
    </row>
    <row x14ac:dyDescent="0.25" r="824" customHeight="1" ht="15.75">
      <c r="A824" s="117"/>
      <c r="B824" s="34"/>
      <c r="C824" s="34"/>
      <c r="D824" s="34"/>
      <c r="E824" s="34"/>
      <c r="F824" s="34"/>
      <c r="G824" s="29"/>
      <c r="H824" s="34"/>
      <c r="I824" s="85"/>
      <c r="J824" s="34"/>
      <c r="K824" s="29"/>
      <c r="L824" s="111"/>
      <c r="M824" s="111"/>
      <c r="N824" s="111"/>
      <c r="O824" s="111"/>
      <c r="P824" s="34"/>
    </row>
    <row x14ac:dyDescent="0.25" r="825" customHeight="1" ht="15.75">
      <c r="A825" s="117"/>
      <c r="B825" s="34"/>
      <c r="C825" s="34"/>
      <c r="D825" s="34"/>
      <c r="E825" s="34"/>
      <c r="F825" s="34"/>
      <c r="G825" s="29"/>
      <c r="H825" s="34"/>
      <c r="I825" s="85"/>
      <c r="J825" s="34"/>
      <c r="K825" s="29"/>
      <c r="L825" s="111"/>
      <c r="M825" s="111"/>
      <c r="N825" s="111"/>
      <c r="O825" s="111"/>
      <c r="P825" s="34"/>
    </row>
    <row x14ac:dyDescent="0.25" r="826" customHeight="1" ht="15.75">
      <c r="A826" s="117"/>
      <c r="B826" s="34"/>
      <c r="C826" s="34"/>
      <c r="D826" s="34"/>
      <c r="E826" s="34"/>
      <c r="F826" s="34"/>
      <c r="G826" s="29"/>
      <c r="H826" s="34"/>
      <c r="I826" s="85"/>
      <c r="J826" s="34"/>
      <c r="K826" s="29"/>
      <c r="L826" s="111"/>
      <c r="M826" s="111"/>
      <c r="N826" s="111"/>
      <c r="O826" s="111"/>
      <c r="P826" s="34"/>
    </row>
    <row x14ac:dyDescent="0.25" r="827" customHeight="1" ht="15.75">
      <c r="A827" s="117"/>
      <c r="B827" s="34"/>
      <c r="C827" s="34"/>
      <c r="D827" s="34"/>
      <c r="E827" s="34"/>
      <c r="F827" s="34"/>
      <c r="G827" s="29"/>
      <c r="H827" s="34"/>
      <c r="I827" s="85"/>
      <c r="J827" s="34"/>
      <c r="K827" s="29"/>
      <c r="L827" s="111"/>
      <c r="M827" s="111"/>
      <c r="N827" s="111"/>
      <c r="O827" s="111"/>
      <c r="P827" s="34"/>
    </row>
    <row x14ac:dyDescent="0.25" r="828" customHeight="1" ht="15.75">
      <c r="A828" s="117"/>
      <c r="B828" s="34"/>
      <c r="C828" s="34"/>
      <c r="D828" s="34"/>
      <c r="E828" s="34"/>
      <c r="F828" s="34"/>
      <c r="G828" s="29"/>
      <c r="H828" s="34"/>
      <c r="I828" s="85"/>
      <c r="J828" s="34"/>
      <c r="K828" s="29"/>
      <c r="L828" s="111"/>
      <c r="M828" s="111"/>
      <c r="N828" s="111"/>
      <c r="O828" s="111"/>
      <c r="P828" s="34"/>
    </row>
    <row x14ac:dyDescent="0.25" r="829" customHeight="1" ht="15.75">
      <c r="A829" s="117"/>
      <c r="B829" s="34"/>
      <c r="C829" s="34"/>
      <c r="D829" s="34"/>
      <c r="E829" s="34"/>
      <c r="F829" s="34"/>
      <c r="G829" s="29"/>
      <c r="H829" s="34"/>
      <c r="I829" s="85"/>
      <c r="J829" s="34"/>
      <c r="K829" s="29"/>
      <c r="L829" s="111"/>
      <c r="M829" s="111"/>
      <c r="N829" s="111"/>
      <c r="O829" s="111"/>
      <c r="P829" s="34"/>
    </row>
    <row x14ac:dyDescent="0.25" r="830" customHeight="1" ht="15.75">
      <c r="A830" s="117"/>
      <c r="B830" s="34"/>
      <c r="C830" s="34"/>
      <c r="D830" s="34"/>
      <c r="E830" s="34"/>
      <c r="F830" s="34"/>
      <c r="G830" s="29"/>
      <c r="H830" s="34"/>
      <c r="I830" s="85"/>
      <c r="J830" s="34"/>
      <c r="K830" s="29"/>
      <c r="L830" s="111"/>
      <c r="M830" s="111"/>
      <c r="N830" s="111"/>
      <c r="O830" s="111"/>
      <c r="P830" s="34"/>
    </row>
    <row x14ac:dyDescent="0.25" r="831" customHeight="1" ht="15.75">
      <c r="A831" s="117"/>
      <c r="B831" s="34"/>
      <c r="C831" s="34"/>
      <c r="D831" s="34"/>
      <c r="E831" s="34"/>
      <c r="F831" s="34"/>
      <c r="G831" s="29"/>
      <c r="H831" s="34"/>
      <c r="I831" s="85"/>
      <c r="J831" s="34"/>
      <c r="K831" s="29"/>
      <c r="L831" s="111"/>
      <c r="M831" s="111"/>
      <c r="N831" s="111"/>
      <c r="O831" s="111"/>
      <c r="P831" s="34"/>
    </row>
    <row x14ac:dyDescent="0.25" r="832" customHeight="1" ht="15.75">
      <c r="A832" s="117"/>
      <c r="B832" s="34"/>
      <c r="C832" s="34"/>
      <c r="D832" s="34"/>
      <c r="E832" s="34"/>
      <c r="F832" s="34"/>
      <c r="G832" s="29"/>
      <c r="H832" s="34"/>
      <c r="I832" s="85"/>
      <c r="J832" s="34"/>
      <c r="K832" s="29"/>
      <c r="L832" s="111"/>
      <c r="M832" s="111"/>
      <c r="N832" s="111"/>
      <c r="O832" s="111"/>
      <c r="P832" s="34"/>
    </row>
    <row x14ac:dyDescent="0.25" r="833" customHeight="1" ht="15.75">
      <c r="A833" s="117"/>
      <c r="B833" s="34"/>
      <c r="C833" s="34"/>
      <c r="D833" s="34"/>
      <c r="E833" s="34"/>
      <c r="F833" s="34"/>
      <c r="G833" s="29"/>
      <c r="H833" s="34"/>
      <c r="I833" s="85"/>
      <c r="J833" s="34"/>
      <c r="K833" s="29"/>
      <c r="L833" s="111"/>
      <c r="M833" s="111"/>
      <c r="N833" s="111"/>
      <c r="O833" s="111"/>
      <c r="P833" s="34"/>
    </row>
    <row x14ac:dyDescent="0.25" r="834" customHeight="1" ht="15.75">
      <c r="A834" s="117"/>
      <c r="B834" s="34"/>
      <c r="C834" s="34"/>
      <c r="D834" s="34"/>
      <c r="E834" s="34"/>
      <c r="F834" s="34"/>
      <c r="G834" s="29"/>
      <c r="H834" s="34"/>
      <c r="I834" s="85"/>
      <c r="J834" s="34"/>
      <c r="K834" s="29"/>
      <c r="L834" s="111"/>
      <c r="M834" s="111"/>
      <c r="N834" s="111"/>
      <c r="O834" s="111"/>
      <c r="P834" s="34"/>
    </row>
    <row x14ac:dyDescent="0.25" r="835" customHeight="1" ht="15.75">
      <c r="A835" s="117"/>
      <c r="B835" s="34"/>
      <c r="C835" s="34"/>
      <c r="D835" s="34"/>
      <c r="E835" s="34"/>
      <c r="F835" s="34"/>
      <c r="G835" s="29"/>
      <c r="H835" s="34"/>
      <c r="I835" s="85"/>
      <c r="J835" s="34"/>
      <c r="K835" s="29"/>
      <c r="L835" s="111"/>
      <c r="M835" s="111"/>
      <c r="N835" s="111"/>
      <c r="O835" s="111"/>
      <c r="P835" s="34"/>
    </row>
    <row x14ac:dyDescent="0.25" r="836" customHeight="1" ht="15.75">
      <c r="A836" s="117"/>
      <c r="B836" s="34"/>
      <c r="C836" s="34"/>
      <c r="D836" s="34"/>
      <c r="E836" s="34"/>
      <c r="F836" s="34"/>
      <c r="G836" s="29"/>
      <c r="H836" s="34"/>
      <c r="I836" s="85"/>
      <c r="J836" s="34"/>
      <c r="K836" s="29"/>
      <c r="L836" s="111"/>
      <c r="M836" s="111"/>
      <c r="N836" s="111"/>
      <c r="O836" s="111"/>
      <c r="P836" s="34"/>
    </row>
    <row x14ac:dyDescent="0.25" r="837" customHeight="1" ht="15.75">
      <c r="A837" s="117"/>
      <c r="B837" s="34"/>
      <c r="C837" s="34"/>
      <c r="D837" s="34"/>
      <c r="E837" s="34"/>
      <c r="F837" s="34"/>
      <c r="G837" s="29"/>
      <c r="H837" s="34"/>
      <c r="I837" s="85"/>
      <c r="J837" s="34"/>
      <c r="K837" s="29"/>
      <c r="L837" s="111"/>
      <c r="M837" s="111"/>
      <c r="N837" s="111"/>
      <c r="O837" s="111"/>
      <c r="P837" s="34"/>
    </row>
    <row x14ac:dyDescent="0.25" r="838" customHeight="1" ht="15.75">
      <c r="A838" s="117"/>
      <c r="B838" s="34"/>
      <c r="C838" s="34"/>
      <c r="D838" s="34"/>
      <c r="E838" s="34"/>
      <c r="F838" s="34"/>
      <c r="G838" s="29"/>
      <c r="H838" s="34"/>
      <c r="I838" s="85"/>
      <c r="J838" s="34"/>
      <c r="K838" s="29"/>
      <c r="L838" s="111"/>
      <c r="M838" s="111"/>
      <c r="N838" s="111"/>
      <c r="O838" s="111"/>
      <c r="P838" s="34"/>
    </row>
    <row x14ac:dyDescent="0.25" r="839" customHeight="1" ht="15.75">
      <c r="A839" s="117"/>
      <c r="B839" s="34"/>
      <c r="C839" s="34"/>
      <c r="D839" s="34"/>
      <c r="E839" s="34"/>
      <c r="F839" s="34"/>
      <c r="G839" s="29"/>
      <c r="H839" s="34"/>
      <c r="I839" s="85"/>
      <c r="J839" s="34"/>
      <c r="K839" s="29"/>
      <c r="L839" s="111"/>
      <c r="M839" s="111"/>
      <c r="N839" s="111"/>
      <c r="O839" s="111"/>
      <c r="P839" s="34"/>
    </row>
    <row x14ac:dyDescent="0.25" r="840" customHeight="1" ht="15.75">
      <c r="A840" s="117"/>
      <c r="B840" s="34"/>
      <c r="C840" s="34"/>
      <c r="D840" s="34"/>
      <c r="E840" s="34"/>
      <c r="F840" s="34"/>
      <c r="G840" s="29"/>
      <c r="H840" s="34"/>
      <c r="I840" s="85"/>
      <c r="J840" s="34"/>
      <c r="K840" s="29"/>
      <c r="L840" s="111"/>
      <c r="M840" s="111"/>
      <c r="N840" s="111"/>
      <c r="O840" s="111"/>
      <c r="P840" s="34"/>
    </row>
    <row x14ac:dyDescent="0.25" r="841" customHeight="1" ht="15.75">
      <c r="A841" s="117"/>
      <c r="B841" s="34"/>
      <c r="C841" s="34"/>
      <c r="D841" s="34"/>
      <c r="E841" s="34"/>
      <c r="F841" s="34"/>
      <c r="G841" s="29"/>
      <c r="H841" s="34"/>
      <c r="I841" s="85"/>
      <c r="J841" s="34"/>
      <c r="K841" s="29"/>
      <c r="L841" s="111"/>
      <c r="M841" s="111"/>
      <c r="N841" s="111"/>
      <c r="O841" s="111"/>
      <c r="P841" s="34"/>
    </row>
    <row x14ac:dyDescent="0.25" r="842" customHeight="1" ht="15.75">
      <c r="A842" s="117"/>
      <c r="B842" s="34"/>
      <c r="C842" s="34"/>
      <c r="D842" s="34"/>
      <c r="E842" s="34"/>
      <c r="F842" s="34"/>
      <c r="G842" s="29"/>
      <c r="H842" s="34"/>
      <c r="I842" s="85"/>
      <c r="J842" s="34"/>
      <c r="K842" s="29"/>
      <c r="L842" s="111"/>
      <c r="M842" s="111"/>
      <c r="N842" s="111"/>
      <c r="O842" s="111"/>
      <c r="P842" s="34"/>
    </row>
    <row x14ac:dyDescent="0.25" r="843" customHeight="1" ht="15.75">
      <c r="A843" s="117"/>
      <c r="B843" s="34"/>
      <c r="C843" s="34"/>
      <c r="D843" s="34"/>
      <c r="E843" s="34"/>
      <c r="F843" s="34"/>
      <c r="G843" s="29"/>
      <c r="H843" s="34"/>
      <c r="I843" s="85"/>
      <c r="J843" s="34"/>
      <c r="K843" s="29"/>
      <c r="L843" s="111"/>
      <c r="M843" s="111"/>
      <c r="N843" s="111"/>
      <c r="O843" s="111"/>
      <c r="P843" s="34"/>
    </row>
    <row x14ac:dyDescent="0.25" r="844" customHeight="1" ht="15.75">
      <c r="A844" s="117"/>
      <c r="B844" s="34"/>
      <c r="C844" s="34"/>
      <c r="D844" s="34"/>
      <c r="E844" s="34"/>
      <c r="F844" s="34"/>
      <c r="G844" s="29"/>
      <c r="H844" s="34"/>
      <c r="I844" s="85"/>
      <c r="J844" s="34"/>
      <c r="K844" s="29"/>
      <c r="L844" s="111"/>
      <c r="M844" s="111"/>
      <c r="N844" s="111"/>
      <c r="O844" s="111"/>
      <c r="P844" s="34"/>
    </row>
    <row x14ac:dyDescent="0.25" r="845" customHeight="1" ht="15.75">
      <c r="A845" s="117"/>
      <c r="B845" s="34"/>
      <c r="C845" s="34"/>
      <c r="D845" s="34"/>
      <c r="E845" s="34"/>
      <c r="F845" s="34"/>
      <c r="G845" s="29"/>
      <c r="H845" s="34"/>
      <c r="I845" s="85"/>
      <c r="J845" s="34"/>
      <c r="K845" s="29"/>
      <c r="L845" s="111"/>
      <c r="M845" s="111"/>
      <c r="N845" s="111"/>
      <c r="O845" s="111"/>
      <c r="P845" s="34"/>
    </row>
    <row x14ac:dyDescent="0.25" r="846" customHeight="1" ht="15.75">
      <c r="A846" s="117"/>
      <c r="B846" s="34"/>
      <c r="C846" s="34"/>
      <c r="D846" s="34"/>
      <c r="E846" s="34"/>
      <c r="F846" s="34"/>
      <c r="G846" s="29"/>
      <c r="H846" s="34"/>
      <c r="I846" s="85"/>
      <c r="J846" s="34"/>
      <c r="K846" s="29"/>
      <c r="L846" s="111"/>
      <c r="M846" s="111"/>
      <c r="N846" s="111"/>
      <c r="O846" s="111"/>
      <c r="P846" s="34"/>
    </row>
    <row x14ac:dyDescent="0.25" r="847" customHeight="1" ht="15.75">
      <c r="A847" s="117"/>
      <c r="B847" s="34"/>
      <c r="C847" s="34"/>
      <c r="D847" s="34"/>
      <c r="E847" s="34"/>
      <c r="F847" s="34"/>
      <c r="G847" s="29"/>
      <c r="H847" s="34"/>
      <c r="I847" s="85"/>
      <c r="J847" s="34"/>
      <c r="K847" s="29"/>
      <c r="L847" s="111"/>
      <c r="M847" s="111"/>
      <c r="N847" s="111"/>
      <c r="O847" s="111"/>
      <c r="P847" s="34"/>
    </row>
    <row x14ac:dyDescent="0.25" r="848" customHeight="1" ht="15.75">
      <c r="A848" s="117"/>
      <c r="B848" s="34"/>
      <c r="C848" s="34"/>
      <c r="D848" s="34"/>
      <c r="E848" s="34"/>
      <c r="F848" s="34"/>
      <c r="G848" s="29"/>
      <c r="H848" s="34"/>
      <c r="I848" s="85"/>
      <c r="J848" s="34"/>
      <c r="K848" s="29"/>
      <c r="L848" s="111"/>
      <c r="M848" s="111"/>
      <c r="N848" s="111"/>
      <c r="O848" s="111"/>
      <c r="P848" s="34"/>
    </row>
    <row x14ac:dyDescent="0.25" r="849" customHeight="1" ht="15.75">
      <c r="A849" s="117"/>
      <c r="B849" s="34"/>
      <c r="C849" s="34"/>
      <c r="D849" s="34"/>
      <c r="E849" s="34"/>
      <c r="F849" s="34"/>
      <c r="G849" s="29"/>
      <c r="H849" s="34"/>
      <c r="I849" s="85"/>
      <c r="J849" s="34"/>
      <c r="K849" s="29"/>
      <c r="L849" s="111"/>
      <c r="M849" s="111"/>
      <c r="N849" s="111"/>
      <c r="O849" s="111"/>
      <c r="P849" s="34"/>
    </row>
    <row x14ac:dyDescent="0.25" r="850" customHeight="1" ht="15.75">
      <c r="A850" s="117"/>
      <c r="B850" s="34"/>
      <c r="C850" s="34"/>
      <c r="D850" s="34"/>
      <c r="E850" s="34"/>
      <c r="F850" s="34"/>
      <c r="G850" s="29"/>
      <c r="H850" s="34"/>
      <c r="I850" s="85"/>
      <c r="J850" s="34"/>
      <c r="K850" s="29"/>
      <c r="L850" s="111"/>
      <c r="M850" s="111"/>
      <c r="N850" s="111"/>
      <c r="O850" s="111"/>
      <c r="P850" s="34"/>
    </row>
    <row x14ac:dyDescent="0.25" r="851" customHeight="1" ht="15.75">
      <c r="A851" s="117"/>
      <c r="B851" s="34"/>
      <c r="C851" s="34"/>
      <c r="D851" s="34"/>
      <c r="E851" s="34"/>
      <c r="F851" s="34"/>
      <c r="G851" s="29"/>
      <c r="H851" s="34"/>
      <c r="I851" s="85"/>
      <c r="J851" s="34"/>
      <c r="K851" s="29"/>
      <c r="L851" s="111"/>
      <c r="M851" s="111"/>
      <c r="N851" s="111"/>
      <c r="O851" s="111"/>
      <c r="P851" s="34"/>
    </row>
    <row x14ac:dyDescent="0.25" r="852" customHeight="1" ht="15.75">
      <c r="A852" s="117"/>
      <c r="B852" s="34"/>
      <c r="C852" s="34"/>
      <c r="D852" s="34"/>
      <c r="E852" s="34"/>
      <c r="F852" s="34"/>
      <c r="G852" s="29"/>
      <c r="H852" s="34"/>
      <c r="I852" s="85"/>
      <c r="J852" s="34"/>
      <c r="K852" s="29"/>
      <c r="L852" s="111"/>
      <c r="M852" s="111"/>
      <c r="N852" s="111"/>
      <c r="O852" s="111"/>
      <c r="P852" s="34"/>
    </row>
    <row x14ac:dyDescent="0.25" r="853" customHeight="1" ht="15.75">
      <c r="A853" s="117"/>
      <c r="B853" s="34"/>
      <c r="C853" s="34"/>
      <c r="D853" s="34"/>
      <c r="E853" s="34"/>
      <c r="F853" s="34"/>
      <c r="G853" s="29"/>
      <c r="H853" s="34"/>
      <c r="I853" s="85"/>
      <c r="J853" s="34"/>
      <c r="K853" s="29"/>
      <c r="L853" s="111"/>
      <c r="M853" s="111"/>
      <c r="N853" s="111"/>
      <c r="O853" s="111"/>
      <c r="P853" s="34"/>
    </row>
    <row x14ac:dyDescent="0.25" r="854" customHeight="1" ht="15.75">
      <c r="A854" s="117"/>
      <c r="B854" s="34"/>
      <c r="C854" s="34"/>
      <c r="D854" s="34"/>
      <c r="E854" s="34"/>
      <c r="F854" s="34"/>
      <c r="G854" s="29"/>
      <c r="H854" s="34"/>
      <c r="I854" s="85"/>
      <c r="J854" s="34"/>
      <c r="K854" s="29"/>
      <c r="L854" s="111"/>
      <c r="M854" s="111"/>
      <c r="N854" s="111"/>
      <c r="O854" s="111"/>
      <c r="P854" s="34"/>
    </row>
    <row x14ac:dyDescent="0.25" r="855" customHeight="1" ht="15.75">
      <c r="A855" s="117"/>
      <c r="B855" s="34"/>
      <c r="C855" s="34"/>
      <c r="D855" s="34"/>
      <c r="E855" s="34"/>
      <c r="F855" s="34"/>
      <c r="G855" s="29"/>
      <c r="H855" s="34"/>
      <c r="I855" s="85"/>
      <c r="J855" s="34"/>
      <c r="K855" s="29"/>
      <c r="L855" s="111"/>
      <c r="M855" s="111"/>
      <c r="N855" s="111"/>
      <c r="O855" s="111"/>
      <c r="P855" s="34"/>
    </row>
    <row x14ac:dyDescent="0.25" r="856" customHeight="1" ht="15.75">
      <c r="A856" s="117"/>
      <c r="B856" s="34"/>
      <c r="C856" s="34"/>
      <c r="D856" s="34"/>
      <c r="E856" s="34"/>
      <c r="F856" s="34"/>
      <c r="G856" s="29"/>
      <c r="H856" s="34"/>
      <c r="I856" s="85"/>
      <c r="J856" s="34"/>
      <c r="K856" s="29"/>
      <c r="L856" s="111"/>
      <c r="M856" s="111"/>
      <c r="N856" s="111"/>
      <c r="O856" s="111"/>
      <c r="P856" s="34"/>
    </row>
    <row x14ac:dyDescent="0.25" r="857" customHeight="1" ht="15.75">
      <c r="A857" s="117"/>
      <c r="B857" s="34"/>
      <c r="C857" s="34"/>
      <c r="D857" s="34"/>
      <c r="E857" s="34"/>
      <c r="F857" s="34"/>
      <c r="G857" s="29"/>
      <c r="H857" s="34"/>
      <c r="I857" s="85"/>
      <c r="J857" s="34"/>
      <c r="K857" s="29"/>
      <c r="L857" s="111"/>
      <c r="M857" s="111"/>
      <c r="N857" s="111"/>
      <c r="O857" s="111"/>
      <c r="P857" s="34"/>
    </row>
    <row x14ac:dyDescent="0.25" r="858" customHeight="1" ht="15.75">
      <c r="A858" s="117"/>
      <c r="B858" s="34"/>
      <c r="C858" s="34"/>
      <c r="D858" s="34"/>
      <c r="E858" s="34"/>
      <c r="F858" s="34"/>
      <c r="G858" s="29"/>
      <c r="H858" s="34"/>
      <c r="I858" s="85"/>
      <c r="J858" s="34"/>
      <c r="K858" s="29"/>
      <c r="L858" s="111"/>
      <c r="M858" s="111"/>
      <c r="N858" s="111"/>
      <c r="O858" s="111"/>
      <c r="P858" s="34"/>
    </row>
    <row x14ac:dyDescent="0.25" r="859" customHeight="1" ht="15.75">
      <c r="A859" s="117"/>
      <c r="B859" s="34"/>
      <c r="C859" s="34"/>
      <c r="D859" s="34"/>
      <c r="E859" s="34"/>
      <c r="F859" s="34"/>
      <c r="G859" s="29"/>
      <c r="H859" s="34"/>
      <c r="I859" s="85"/>
      <c r="J859" s="34"/>
      <c r="K859" s="29"/>
      <c r="L859" s="111"/>
      <c r="M859" s="111"/>
      <c r="N859" s="111"/>
      <c r="O859" s="111"/>
      <c r="P859" s="34"/>
    </row>
    <row x14ac:dyDescent="0.25" r="860" customHeight="1" ht="15.75">
      <c r="A860" s="117"/>
      <c r="B860" s="34"/>
      <c r="C860" s="34"/>
      <c r="D860" s="34"/>
      <c r="E860" s="34"/>
      <c r="F860" s="34"/>
      <c r="G860" s="29"/>
      <c r="H860" s="34"/>
      <c r="I860" s="85"/>
      <c r="J860" s="34"/>
      <c r="K860" s="29"/>
      <c r="L860" s="111"/>
      <c r="M860" s="111"/>
      <c r="N860" s="111"/>
      <c r="O860" s="111"/>
      <c r="P860" s="34"/>
    </row>
    <row x14ac:dyDescent="0.25" r="861" customHeight="1" ht="15.75">
      <c r="A861" s="117"/>
      <c r="B861" s="34"/>
      <c r="C861" s="34"/>
      <c r="D861" s="34"/>
      <c r="E861" s="34"/>
      <c r="F861" s="34"/>
      <c r="G861" s="29"/>
      <c r="H861" s="34"/>
      <c r="I861" s="85"/>
      <c r="J861" s="34"/>
      <c r="K861" s="29"/>
      <c r="L861" s="111"/>
      <c r="M861" s="111"/>
      <c r="N861" s="111"/>
      <c r="O861" s="111"/>
      <c r="P861" s="34"/>
    </row>
    <row x14ac:dyDescent="0.25" r="862" customHeight="1" ht="15.75">
      <c r="A862" s="117"/>
      <c r="B862" s="34"/>
      <c r="C862" s="34"/>
      <c r="D862" s="34"/>
      <c r="E862" s="34"/>
      <c r="F862" s="34"/>
      <c r="G862" s="29"/>
      <c r="H862" s="34"/>
      <c r="I862" s="85"/>
      <c r="J862" s="34"/>
      <c r="K862" s="29"/>
      <c r="L862" s="111"/>
      <c r="M862" s="111"/>
      <c r="N862" s="111"/>
      <c r="O862" s="111"/>
      <c r="P862" s="34"/>
    </row>
    <row x14ac:dyDescent="0.25" r="863" customHeight="1" ht="15.75">
      <c r="A863" s="117"/>
      <c r="B863" s="34"/>
      <c r="C863" s="34"/>
      <c r="D863" s="34"/>
      <c r="E863" s="34"/>
      <c r="F863" s="34"/>
      <c r="G863" s="29"/>
      <c r="H863" s="34"/>
      <c r="I863" s="85"/>
      <c r="J863" s="34"/>
      <c r="K863" s="29"/>
      <c r="L863" s="111"/>
      <c r="M863" s="111"/>
      <c r="N863" s="111"/>
      <c r="O863" s="111"/>
      <c r="P863" s="34"/>
    </row>
    <row x14ac:dyDescent="0.25" r="864" customHeight="1" ht="15.75">
      <c r="A864" s="117"/>
      <c r="B864" s="34"/>
      <c r="C864" s="34"/>
      <c r="D864" s="34"/>
      <c r="E864" s="34"/>
      <c r="F864" s="34"/>
      <c r="G864" s="29"/>
      <c r="H864" s="34"/>
      <c r="I864" s="85"/>
      <c r="J864" s="34"/>
      <c r="K864" s="29"/>
      <c r="L864" s="111"/>
      <c r="M864" s="111"/>
      <c r="N864" s="111"/>
      <c r="O864" s="111"/>
      <c r="P864" s="34"/>
    </row>
    <row x14ac:dyDescent="0.25" r="865" customHeight="1" ht="15.75">
      <c r="A865" s="117"/>
      <c r="B865" s="34"/>
      <c r="C865" s="34"/>
      <c r="D865" s="34"/>
      <c r="E865" s="34"/>
      <c r="F865" s="34"/>
      <c r="G865" s="29"/>
      <c r="H865" s="34"/>
      <c r="I865" s="85"/>
      <c r="J865" s="34"/>
      <c r="K865" s="29"/>
      <c r="L865" s="111"/>
      <c r="M865" s="111"/>
      <c r="N865" s="111"/>
      <c r="O865" s="111"/>
      <c r="P865" s="34"/>
    </row>
    <row x14ac:dyDescent="0.25" r="866" customHeight="1" ht="15.75">
      <c r="A866" s="117"/>
      <c r="B866" s="34"/>
      <c r="C866" s="34"/>
      <c r="D866" s="34"/>
      <c r="E866" s="34"/>
      <c r="F866" s="34"/>
      <c r="G866" s="29"/>
      <c r="H866" s="34"/>
      <c r="I866" s="85"/>
      <c r="J866" s="34"/>
      <c r="K866" s="29"/>
      <c r="L866" s="111"/>
      <c r="M866" s="111"/>
      <c r="N866" s="111"/>
      <c r="O866" s="111"/>
      <c r="P866" s="34"/>
    </row>
    <row x14ac:dyDescent="0.25" r="867" customHeight="1" ht="15.75">
      <c r="A867" s="117"/>
      <c r="B867" s="34"/>
      <c r="C867" s="34"/>
      <c r="D867" s="34"/>
      <c r="E867" s="34"/>
      <c r="F867" s="34"/>
      <c r="G867" s="29"/>
      <c r="H867" s="34"/>
      <c r="I867" s="85"/>
      <c r="J867" s="34"/>
      <c r="K867" s="29"/>
      <c r="L867" s="111"/>
      <c r="M867" s="111"/>
      <c r="N867" s="111"/>
      <c r="O867" s="111"/>
      <c r="P867" s="34"/>
    </row>
    <row x14ac:dyDescent="0.25" r="868" customHeight="1" ht="15.75">
      <c r="A868" s="117"/>
      <c r="B868" s="34"/>
      <c r="C868" s="34"/>
      <c r="D868" s="34"/>
      <c r="E868" s="34"/>
      <c r="F868" s="34"/>
      <c r="G868" s="29"/>
      <c r="H868" s="34"/>
      <c r="I868" s="85"/>
      <c r="J868" s="34"/>
      <c r="K868" s="29"/>
      <c r="L868" s="111"/>
      <c r="M868" s="111"/>
      <c r="N868" s="111"/>
      <c r="O868" s="111"/>
      <c r="P868" s="34"/>
    </row>
    <row x14ac:dyDescent="0.25" r="869" customHeight="1" ht="15.75">
      <c r="A869" s="117"/>
      <c r="B869" s="34"/>
      <c r="C869" s="34"/>
      <c r="D869" s="34"/>
      <c r="E869" s="34"/>
      <c r="F869" s="34"/>
      <c r="G869" s="29"/>
      <c r="H869" s="34"/>
      <c r="I869" s="85"/>
      <c r="J869" s="34"/>
      <c r="K869" s="29"/>
      <c r="L869" s="111"/>
      <c r="M869" s="111"/>
      <c r="N869" s="111"/>
      <c r="O869" s="111"/>
      <c r="P869" s="34"/>
    </row>
    <row x14ac:dyDescent="0.25" r="870" customHeight="1" ht="15.75">
      <c r="A870" s="117"/>
      <c r="B870" s="34"/>
      <c r="C870" s="34"/>
      <c r="D870" s="34"/>
      <c r="E870" s="34"/>
      <c r="F870" s="34"/>
      <c r="G870" s="29"/>
      <c r="H870" s="34"/>
      <c r="I870" s="85"/>
      <c r="J870" s="34"/>
      <c r="K870" s="29"/>
      <c r="L870" s="111"/>
      <c r="M870" s="111"/>
      <c r="N870" s="111"/>
      <c r="O870" s="111"/>
      <c r="P870" s="34"/>
    </row>
    <row x14ac:dyDescent="0.25" r="871" customHeight="1" ht="15.75">
      <c r="A871" s="117"/>
      <c r="B871" s="34"/>
      <c r="C871" s="34"/>
      <c r="D871" s="34"/>
      <c r="E871" s="34"/>
      <c r="F871" s="34"/>
      <c r="G871" s="29"/>
      <c r="H871" s="34"/>
      <c r="I871" s="85"/>
      <c r="J871" s="34"/>
      <c r="K871" s="29"/>
      <c r="L871" s="111"/>
      <c r="M871" s="111"/>
      <c r="N871" s="111"/>
      <c r="O871" s="111"/>
      <c r="P871" s="34"/>
    </row>
    <row x14ac:dyDescent="0.25" r="872" customHeight="1" ht="15.75">
      <c r="A872" s="117"/>
      <c r="B872" s="34"/>
      <c r="C872" s="34"/>
      <c r="D872" s="34"/>
      <c r="E872" s="34"/>
      <c r="F872" s="34"/>
      <c r="G872" s="29"/>
      <c r="H872" s="34"/>
      <c r="I872" s="85"/>
      <c r="J872" s="34"/>
      <c r="K872" s="29"/>
      <c r="L872" s="111"/>
      <c r="M872" s="111"/>
      <c r="N872" s="111"/>
      <c r="O872" s="111"/>
      <c r="P872" s="34"/>
    </row>
    <row x14ac:dyDescent="0.25" r="873" customHeight="1" ht="15.75">
      <c r="A873" s="117"/>
      <c r="B873" s="34"/>
      <c r="C873" s="34"/>
      <c r="D873" s="34"/>
      <c r="E873" s="34"/>
      <c r="F873" s="34"/>
      <c r="G873" s="29"/>
      <c r="H873" s="34"/>
      <c r="I873" s="85"/>
      <c r="J873" s="34"/>
      <c r="K873" s="29"/>
      <c r="L873" s="111"/>
      <c r="M873" s="111"/>
      <c r="N873" s="111"/>
      <c r="O873" s="111"/>
      <c r="P873" s="34"/>
    </row>
    <row x14ac:dyDescent="0.25" r="874" customHeight="1" ht="15.75">
      <c r="A874" s="117"/>
      <c r="B874" s="34"/>
      <c r="C874" s="34"/>
      <c r="D874" s="34"/>
      <c r="E874" s="34"/>
      <c r="F874" s="34"/>
      <c r="G874" s="29"/>
      <c r="H874" s="34"/>
      <c r="I874" s="85"/>
      <c r="J874" s="34"/>
      <c r="K874" s="29"/>
      <c r="L874" s="111"/>
      <c r="M874" s="111"/>
      <c r="N874" s="111"/>
      <c r="O874" s="111"/>
      <c r="P874" s="34"/>
    </row>
    <row x14ac:dyDescent="0.25" r="875" customHeight="1" ht="15.75">
      <c r="A875" s="117"/>
      <c r="B875" s="34"/>
      <c r="C875" s="34"/>
      <c r="D875" s="34"/>
      <c r="E875" s="34"/>
      <c r="F875" s="34"/>
      <c r="G875" s="29"/>
      <c r="H875" s="34"/>
      <c r="I875" s="85"/>
      <c r="J875" s="34"/>
      <c r="K875" s="29"/>
      <c r="L875" s="111"/>
      <c r="M875" s="111"/>
      <c r="N875" s="111"/>
      <c r="O875" s="111"/>
      <c r="P875" s="34"/>
    </row>
    <row x14ac:dyDescent="0.25" r="876" customHeight="1" ht="15.75">
      <c r="A876" s="117"/>
      <c r="B876" s="34"/>
      <c r="C876" s="34"/>
      <c r="D876" s="34"/>
      <c r="E876" s="34"/>
      <c r="F876" s="34"/>
      <c r="G876" s="29"/>
      <c r="H876" s="34"/>
      <c r="I876" s="85"/>
      <c r="J876" s="34"/>
      <c r="K876" s="29"/>
      <c r="L876" s="111"/>
      <c r="M876" s="111"/>
      <c r="N876" s="111"/>
      <c r="O876" s="111"/>
      <c r="P876" s="34"/>
    </row>
    <row x14ac:dyDescent="0.25" r="877" customHeight="1" ht="15.75">
      <c r="A877" s="117"/>
      <c r="B877" s="34"/>
      <c r="C877" s="34"/>
      <c r="D877" s="34"/>
      <c r="E877" s="34"/>
      <c r="F877" s="34"/>
      <c r="G877" s="29"/>
      <c r="H877" s="34"/>
      <c r="I877" s="85"/>
      <c r="J877" s="34"/>
      <c r="K877" s="29"/>
      <c r="L877" s="111"/>
      <c r="M877" s="111"/>
      <c r="N877" s="111"/>
      <c r="O877" s="111"/>
      <c r="P877" s="34"/>
    </row>
    <row x14ac:dyDescent="0.25" r="878" customHeight="1" ht="15.75">
      <c r="A878" s="117"/>
      <c r="B878" s="34"/>
      <c r="C878" s="34"/>
      <c r="D878" s="34"/>
      <c r="E878" s="34"/>
      <c r="F878" s="34"/>
      <c r="G878" s="29"/>
      <c r="H878" s="34"/>
      <c r="I878" s="85"/>
      <c r="J878" s="34"/>
      <c r="K878" s="29"/>
      <c r="L878" s="111"/>
      <c r="M878" s="111"/>
      <c r="N878" s="111"/>
      <c r="O878" s="111"/>
      <c r="P878" s="34"/>
    </row>
    <row x14ac:dyDescent="0.25" r="879" customHeight="1" ht="15.75">
      <c r="A879" s="117"/>
      <c r="B879" s="34"/>
      <c r="C879" s="34"/>
      <c r="D879" s="34"/>
      <c r="E879" s="34"/>
      <c r="F879" s="34"/>
      <c r="G879" s="29"/>
      <c r="H879" s="34"/>
      <c r="I879" s="85"/>
      <c r="J879" s="34"/>
      <c r="K879" s="29"/>
      <c r="L879" s="111"/>
      <c r="M879" s="111"/>
      <c r="N879" s="111"/>
      <c r="O879" s="111"/>
      <c r="P879" s="34"/>
    </row>
    <row x14ac:dyDescent="0.25" r="880" customHeight="1" ht="15.75">
      <c r="A880" s="117"/>
      <c r="B880" s="34"/>
      <c r="C880" s="34"/>
      <c r="D880" s="34"/>
      <c r="E880" s="34"/>
      <c r="F880" s="34"/>
      <c r="G880" s="29"/>
      <c r="H880" s="34"/>
      <c r="I880" s="85"/>
      <c r="J880" s="34"/>
      <c r="K880" s="29"/>
      <c r="L880" s="111"/>
      <c r="M880" s="111"/>
      <c r="N880" s="111"/>
      <c r="O880" s="111"/>
      <c r="P880" s="34"/>
    </row>
    <row x14ac:dyDescent="0.25" r="881" customHeight="1" ht="15.75">
      <c r="A881" s="117"/>
      <c r="B881" s="34"/>
      <c r="C881" s="34"/>
      <c r="D881" s="34"/>
      <c r="E881" s="34"/>
      <c r="F881" s="34"/>
      <c r="G881" s="29"/>
      <c r="H881" s="34"/>
      <c r="I881" s="85"/>
      <c r="J881" s="34"/>
      <c r="K881" s="29"/>
      <c r="L881" s="111"/>
      <c r="M881" s="111"/>
      <c r="N881" s="111"/>
      <c r="O881" s="111"/>
      <c r="P881" s="34"/>
    </row>
    <row x14ac:dyDescent="0.25" r="882" customHeight="1" ht="15.75">
      <c r="A882" s="117"/>
      <c r="B882" s="34"/>
      <c r="C882" s="34"/>
      <c r="D882" s="34"/>
      <c r="E882" s="34"/>
      <c r="F882" s="34"/>
      <c r="G882" s="29"/>
      <c r="H882" s="34"/>
      <c r="I882" s="85"/>
      <c r="J882" s="34"/>
      <c r="K882" s="29"/>
      <c r="L882" s="111"/>
      <c r="M882" s="111"/>
      <c r="N882" s="111"/>
      <c r="O882" s="111"/>
      <c r="P882" s="34"/>
    </row>
    <row x14ac:dyDescent="0.25" r="883" customHeight="1" ht="15.75">
      <c r="A883" s="117"/>
      <c r="B883" s="34"/>
      <c r="C883" s="34"/>
      <c r="D883" s="34"/>
      <c r="E883" s="34"/>
      <c r="F883" s="34"/>
      <c r="G883" s="29"/>
      <c r="H883" s="34"/>
      <c r="I883" s="85"/>
      <c r="J883" s="34"/>
      <c r="K883" s="29"/>
      <c r="L883" s="111"/>
      <c r="M883" s="111"/>
      <c r="N883" s="111"/>
      <c r="O883" s="111"/>
      <c r="P883" s="34"/>
    </row>
    <row x14ac:dyDescent="0.25" r="884" customHeight="1" ht="15.75">
      <c r="A884" s="117"/>
      <c r="B884" s="34"/>
      <c r="C884" s="34"/>
      <c r="D884" s="34"/>
      <c r="E884" s="34"/>
      <c r="F884" s="34"/>
      <c r="G884" s="29"/>
      <c r="H884" s="34"/>
      <c r="I884" s="85"/>
      <c r="J884" s="34"/>
      <c r="K884" s="29"/>
      <c r="L884" s="111"/>
      <c r="M884" s="111"/>
      <c r="N884" s="111"/>
      <c r="O884" s="111"/>
      <c r="P884" s="34"/>
    </row>
    <row x14ac:dyDescent="0.25" r="885" customHeight="1" ht="15.75">
      <c r="A885" s="117"/>
      <c r="B885" s="34"/>
      <c r="C885" s="34"/>
      <c r="D885" s="34"/>
      <c r="E885" s="34"/>
      <c r="F885" s="34"/>
      <c r="G885" s="29"/>
      <c r="H885" s="34"/>
      <c r="I885" s="85"/>
      <c r="J885" s="34"/>
      <c r="K885" s="29"/>
      <c r="L885" s="111"/>
      <c r="M885" s="111"/>
      <c r="N885" s="111"/>
      <c r="O885" s="111"/>
      <c r="P885" s="34"/>
    </row>
    <row x14ac:dyDescent="0.25" r="886" customHeight="1" ht="15.75">
      <c r="A886" s="117"/>
      <c r="B886" s="34"/>
      <c r="C886" s="34"/>
      <c r="D886" s="34"/>
      <c r="E886" s="34"/>
      <c r="F886" s="34"/>
      <c r="G886" s="29"/>
      <c r="H886" s="34"/>
      <c r="I886" s="85"/>
      <c r="J886" s="34"/>
      <c r="K886" s="29"/>
      <c r="L886" s="111"/>
      <c r="M886" s="111"/>
      <c r="N886" s="111"/>
      <c r="O886" s="111"/>
      <c r="P886" s="34"/>
    </row>
    <row x14ac:dyDescent="0.25" r="887" customHeight="1" ht="15.75">
      <c r="A887" s="117"/>
      <c r="B887" s="34"/>
      <c r="C887" s="34"/>
      <c r="D887" s="34"/>
      <c r="E887" s="34"/>
      <c r="F887" s="34"/>
      <c r="G887" s="29"/>
      <c r="H887" s="34"/>
      <c r="I887" s="85"/>
      <c r="J887" s="34"/>
      <c r="K887" s="29"/>
      <c r="L887" s="111"/>
      <c r="M887" s="111"/>
      <c r="N887" s="111"/>
      <c r="O887" s="111"/>
      <c r="P887" s="34"/>
    </row>
    <row x14ac:dyDescent="0.25" r="888" customHeight="1" ht="15.75">
      <c r="A888" s="117"/>
      <c r="B888" s="34"/>
      <c r="C888" s="34"/>
      <c r="D888" s="34"/>
      <c r="E888" s="34"/>
      <c r="F888" s="34"/>
      <c r="G888" s="29"/>
      <c r="H888" s="34"/>
      <c r="I888" s="85"/>
      <c r="J888" s="34"/>
      <c r="K888" s="29"/>
      <c r="L888" s="111"/>
      <c r="M888" s="111"/>
      <c r="N888" s="111"/>
      <c r="O888" s="111"/>
      <c r="P888" s="34"/>
    </row>
    <row x14ac:dyDescent="0.25" r="889" customHeight="1" ht="15.75">
      <c r="A889" s="117"/>
      <c r="B889" s="34"/>
      <c r="C889" s="34"/>
      <c r="D889" s="34"/>
      <c r="E889" s="34"/>
      <c r="F889" s="34"/>
      <c r="G889" s="29"/>
      <c r="H889" s="34"/>
      <c r="I889" s="85"/>
      <c r="J889" s="34"/>
      <c r="K889" s="29"/>
      <c r="L889" s="111"/>
      <c r="M889" s="111"/>
      <c r="N889" s="111"/>
      <c r="O889" s="111"/>
      <c r="P889" s="34"/>
    </row>
    <row x14ac:dyDescent="0.25" r="890" customHeight="1" ht="15.75">
      <c r="A890" s="117"/>
      <c r="B890" s="34"/>
      <c r="C890" s="34"/>
      <c r="D890" s="34"/>
      <c r="E890" s="34"/>
      <c r="F890" s="34"/>
      <c r="G890" s="29"/>
      <c r="H890" s="34"/>
      <c r="I890" s="85"/>
      <c r="J890" s="34"/>
      <c r="K890" s="29"/>
      <c r="L890" s="111"/>
      <c r="M890" s="111"/>
      <c r="N890" s="111"/>
      <c r="O890" s="111"/>
      <c r="P890" s="34"/>
    </row>
    <row x14ac:dyDescent="0.25" r="891" customHeight="1" ht="15.75">
      <c r="A891" s="117"/>
      <c r="B891" s="34"/>
      <c r="C891" s="34"/>
      <c r="D891" s="34"/>
      <c r="E891" s="34"/>
      <c r="F891" s="34"/>
      <c r="G891" s="29"/>
      <c r="H891" s="34"/>
      <c r="I891" s="85"/>
      <c r="J891" s="34"/>
      <c r="K891" s="29"/>
      <c r="L891" s="111"/>
      <c r="M891" s="111"/>
      <c r="N891" s="111"/>
      <c r="O891" s="111"/>
      <c r="P891" s="34"/>
    </row>
    <row x14ac:dyDescent="0.25" r="892" customHeight="1" ht="15.75">
      <c r="A892" s="117"/>
      <c r="B892" s="34"/>
      <c r="C892" s="34"/>
      <c r="D892" s="34"/>
      <c r="E892" s="34"/>
      <c r="F892" s="34"/>
      <c r="G892" s="29"/>
      <c r="H892" s="34"/>
      <c r="I892" s="85"/>
      <c r="J892" s="34"/>
      <c r="K892" s="29"/>
      <c r="L892" s="111"/>
      <c r="M892" s="111"/>
      <c r="N892" s="111"/>
      <c r="O892" s="111"/>
      <c r="P892" s="34"/>
    </row>
    <row x14ac:dyDescent="0.25" r="893" customHeight="1" ht="15.75">
      <c r="A893" s="117"/>
      <c r="B893" s="34"/>
      <c r="C893" s="34"/>
      <c r="D893" s="34"/>
      <c r="E893" s="34"/>
      <c r="F893" s="34"/>
      <c r="G893" s="29"/>
      <c r="H893" s="34"/>
      <c r="I893" s="85"/>
      <c r="J893" s="34"/>
      <c r="K893" s="29"/>
      <c r="L893" s="111"/>
      <c r="M893" s="111"/>
      <c r="N893" s="111"/>
      <c r="O893" s="111"/>
      <c r="P893" s="34"/>
    </row>
    <row x14ac:dyDescent="0.25" r="894" customHeight="1" ht="15.75">
      <c r="A894" s="117"/>
      <c r="B894" s="34"/>
      <c r="C894" s="34"/>
      <c r="D894" s="34"/>
      <c r="E894" s="34"/>
      <c r="F894" s="34"/>
      <c r="G894" s="29"/>
      <c r="H894" s="34"/>
      <c r="I894" s="85"/>
      <c r="J894" s="34"/>
      <c r="K894" s="29"/>
      <c r="L894" s="111"/>
      <c r="M894" s="111"/>
      <c r="N894" s="111"/>
      <c r="O894" s="111"/>
      <c r="P894" s="34"/>
    </row>
    <row x14ac:dyDescent="0.25" r="895" customHeight="1" ht="15.75">
      <c r="A895" s="117"/>
      <c r="B895" s="34"/>
      <c r="C895" s="34"/>
      <c r="D895" s="34"/>
      <c r="E895" s="34"/>
      <c r="F895" s="34"/>
      <c r="G895" s="29"/>
      <c r="H895" s="34"/>
      <c r="I895" s="85"/>
      <c r="J895" s="34"/>
      <c r="K895" s="29"/>
      <c r="L895" s="111"/>
      <c r="M895" s="111"/>
      <c r="N895" s="111"/>
      <c r="O895" s="111"/>
      <c r="P895" s="34"/>
    </row>
    <row x14ac:dyDescent="0.25" r="896" customHeight="1" ht="15.75">
      <c r="A896" s="117"/>
      <c r="B896" s="34"/>
      <c r="C896" s="34"/>
      <c r="D896" s="34"/>
      <c r="E896" s="34"/>
      <c r="F896" s="34"/>
      <c r="G896" s="29"/>
      <c r="H896" s="34"/>
      <c r="I896" s="85"/>
      <c r="J896" s="34"/>
      <c r="K896" s="29"/>
      <c r="L896" s="111"/>
      <c r="M896" s="111"/>
      <c r="N896" s="111"/>
      <c r="O896" s="111"/>
      <c r="P896" s="34"/>
    </row>
    <row x14ac:dyDescent="0.25" r="897" customHeight="1" ht="15.75">
      <c r="A897" s="117"/>
      <c r="B897" s="34"/>
      <c r="C897" s="34"/>
      <c r="D897" s="34"/>
      <c r="E897" s="34"/>
      <c r="F897" s="34"/>
      <c r="G897" s="29"/>
      <c r="H897" s="34"/>
      <c r="I897" s="85"/>
      <c r="J897" s="34"/>
      <c r="K897" s="29"/>
      <c r="L897" s="111"/>
      <c r="M897" s="111"/>
      <c r="N897" s="111"/>
      <c r="O897" s="111"/>
      <c r="P897" s="34"/>
    </row>
    <row x14ac:dyDescent="0.25" r="898" customHeight="1" ht="15.75">
      <c r="A898" s="117"/>
      <c r="B898" s="34"/>
      <c r="C898" s="34"/>
      <c r="D898" s="34"/>
      <c r="E898" s="34"/>
      <c r="F898" s="34"/>
      <c r="G898" s="29"/>
      <c r="H898" s="34"/>
      <c r="I898" s="85"/>
      <c r="J898" s="34"/>
      <c r="K898" s="29"/>
      <c r="L898" s="111"/>
      <c r="M898" s="111"/>
      <c r="N898" s="111"/>
      <c r="O898" s="111"/>
      <c r="P898" s="34"/>
    </row>
    <row x14ac:dyDescent="0.25" r="899" customHeight="1" ht="15.75">
      <c r="A899" s="117"/>
      <c r="B899" s="34"/>
      <c r="C899" s="34"/>
      <c r="D899" s="34"/>
      <c r="E899" s="34"/>
      <c r="F899" s="34"/>
      <c r="G899" s="29"/>
      <c r="H899" s="34"/>
      <c r="I899" s="85"/>
      <c r="J899" s="34"/>
      <c r="K899" s="29"/>
      <c r="L899" s="111"/>
      <c r="M899" s="111"/>
      <c r="N899" s="111"/>
      <c r="O899" s="111"/>
      <c r="P899" s="34"/>
    </row>
    <row x14ac:dyDescent="0.25" r="900" customHeight="1" ht="15.75">
      <c r="A900" s="117"/>
      <c r="B900" s="34"/>
      <c r="C900" s="34"/>
      <c r="D900" s="34"/>
      <c r="E900" s="34"/>
      <c r="F900" s="34"/>
      <c r="G900" s="29"/>
      <c r="H900" s="34"/>
      <c r="I900" s="85"/>
      <c r="J900" s="34"/>
      <c r="K900" s="29"/>
      <c r="L900" s="111"/>
      <c r="M900" s="111"/>
      <c r="N900" s="111"/>
      <c r="O900" s="111"/>
      <c r="P900" s="34"/>
    </row>
    <row x14ac:dyDescent="0.25" r="901" customHeight="1" ht="15.75">
      <c r="A901" s="117"/>
      <c r="B901" s="34"/>
      <c r="C901" s="34"/>
      <c r="D901" s="34"/>
      <c r="E901" s="34"/>
      <c r="F901" s="34"/>
      <c r="G901" s="29"/>
      <c r="H901" s="34"/>
      <c r="I901" s="85"/>
      <c r="J901" s="34"/>
      <c r="K901" s="29"/>
      <c r="L901" s="111"/>
      <c r="M901" s="111"/>
      <c r="N901" s="111"/>
      <c r="O901" s="111"/>
      <c r="P901" s="34"/>
    </row>
    <row x14ac:dyDescent="0.25" r="902" customHeight="1" ht="15.75">
      <c r="A902" s="117"/>
      <c r="B902" s="34"/>
      <c r="C902" s="34"/>
      <c r="D902" s="34"/>
      <c r="E902" s="34"/>
      <c r="F902" s="34"/>
      <c r="G902" s="29"/>
      <c r="H902" s="34"/>
      <c r="I902" s="85"/>
      <c r="J902" s="34"/>
      <c r="K902" s="29"/>
      <c r="L902" s="111"/>
      <c r="M902" s="111"/>
      <c r="N902" s="111"/>
      <c r="O902" s="111"/>
      <c r="P902" s="34"/>
    </row>
    <row x14ac:dyDescent="0.25" r="903" customHeight="1" ht="15.75">
      <c r="A903" s="117"/>
      <c r="B903" s="34"/>
      <c r="C903" s="34"/>
      <c r="D903" s="34"/>
      <c r="E903" s="34"/>
      <c r="F903" s="34"/>
      <c r="G903" s="29"/>
      <c r="H903" s="34"/>
      <c r="I903" s="85"/>
      <c r="J903" s="34"/>
      <c r="K903" s="29"/>
      <c r="L903" s="111"/>
      <c r="M903" s="111"/>
      <c r="N903" s="111"/>
      <c r="O903" s="111"/>
      <c r="P903" s="34"/>
    </row>
    <row x14ac:dyDescent="0.25" r="904" customHeight="1" ht="15.75">
      <c r="A904" s="117"/>
      <c r="B904" s="34"/>
      <c r="C904" s="34"/>
      <c r="D904" s="34"/>
      <c r="E904" s="34"/>
      <c r="F904" s="34"/>
      <c r="G904" s="29"/>
      <c r="H904" s="34"/>
      <c r="I904" s="85"/>
      <c r="J904" s="34"/>
      <c r="K904" s="29"/>
      <c r="L904" s="111"/>
      <c r="M904" s="111"/>
      <c r="N904" s="111"/>
      <c r="O904" s="111"/>
      <c r="P904" s="34"/>
    </row>
    <row x14ac:dyDescent="0.25" r="905" customHeight="1" ht="15.75">
      <c r="A905" s="117"/>
      <c r="B905" s="34"/>
      <c r="C905" s="34"/>
      <c r="D905" s="34"/>
      <c r="E905" s="34"/>
      <c r="F905" s="34"/>
      <c r="G905" s="29"/>
      <c r="H905" s="34"/>
      <c r="I905" s="85"/>
      <c r="J905" s="34"/>
      <c r="K905" s="29"/>
      <c r="L905" s="111"/>
      <c r="M905" s="111"/>
      <c r="N905" s="111"/>
      <c r="O905" s="111"/>
      <c r="P905" s="34"/>
    </row>
    <row x14ac:dyDescent="0.25" r="906" customHeight="1" ht="15.75">
      <c r="A906" s="117"/>
      <c r="B906" s="34"/>
      <c r="C906" s="34"/>
      <c r="D906" s="34"/>
      <c r="E906" s="34"/>
      <c r="F906" s="34"/>
      <c r="G906" s="29"/>
      <c r="H906" s="34"/>
      <c r="I906" s="85"/>
      <c r="J906" s="34"/>
      <c r="K906" s="29"/>
      <c r="L906" s="111"/>
      <c r="M906" s="111"/>
      <c r="N906" s="111"/>
      <c r="O906" s="111"/>
      <c r="P906" s="34"/>
    </row>
    <row x14ac:dyDescent="0.25" r="907" customHeight="1" ht="15.75">
      <c r="A907" s="117"/>
      <c r="B907" s="34"/>
      <c r="C907" s="34"/>
      <c r="D907" s="34"/>
      <c r="E907" s="34"/>
      <c r="F907" s="34"/>
      <c r="G907" s="29"/>
      <c r="H907" s="34"/>
      <c r="I907" s="85"/>
      <c r="J907" s="34"/>
      <c r="K907" s="29"/>
      <c r="L907" s="111"/>
      <c r="M907" s="111"/>
      <c r="N907" s="111"/>
      <c r="O907" s="111"/>
      <c r="P907" s="34"/>
    </row>
    <row x14ac:dyDescent="0.25" r="908" customHeight="1" ht="15.75">
      <c r="A908" s="117"/>
      <c r="B908" s="34"/>
      <c r="C908" s="34"/>
      <c r="D908" s="34"/>
      <c r="E908" s="34"/>
      <c r="F908" s="34"/>
      <c r="G908" s="29"/>
      <c r="H908" s="34"/>
      <c r="I908" s="85"/>
      <c r="J908" s="34"/>
      <c r="K908" s="29"/>
      <c r="L908" s="111"/>
      <c r="M908" s="111"/>
      <c r="N908" s="111"/>
      <c r="O908" s="111"/>
      <c r="P908" s="34"/>
    </row>
    <row x14ac:dyDescent="0.25" r="909" customHeight="1" ht="15.75">
      <c r="A909" s="117"/>
      <c r="B909" s="34"/>
      <c r="C909" s="34"/>
      <c r="D909" s="34"/>
      <c r="E909" s="34"/>
      <c r="F909" s="34"/>
      <c r="G909" s="29"/>
      <c r="H909" s="34"/>
      <c r="I909" s="85"/>
      <c r="J909" s="34"/>
      <c r="K909" s="29"/>
      <c r="L909" s="111"/>
      <c r="M909" s="111"/>
      <c r="N909" s="111"/>
      <c r="O909" s="111"/>
      <c r="P909" s="34"/>
    </row>
    <row x14ac:dyDescent="0.25" r="910" customHeight="1" ht="15.75">
      <c r="A910" s="117"/>
      <c r="B910" s="34"/>
      <c r="C910" s="34"/>
      <c r="D910" s="34"/>
      <c r="E910" s="34"/>
      <c r="F910" s="34"/>
      <c r="G910" s="29"/>
      <c r="H910" s="34"/>
      <c r="I910" s="85"/>
      <c r="J910" s="34"/>
      <c r="K910" s="29"/>
      <c r="L910" s="111"/>
      <c r="M910" s="111"/>
      <c r="N910" s="111"/>
      <c r="O910" s="111"/>
      <c r="P910" s="34"/>
    </row>
    <row x14ac:dyDescent="0.25" r="911" customHeight="1" ht="15.75">
      <c r="A911" s="117"/>
      <c r="B911" s="34"/>
      <c r="C911" s="34"/>
      <c r="D911" s="34"/>
      <c r="E911" s="34"/>
      <c r="F911" s="34"/>
      <c r="G911" s="29"/>
      <c r="H911" s="34"/>
      <c r="I911" s="85"/>
      <c r="J911" s="34"/>
      <c r="K911" s="29"/>
      <c r="L911" s="111"/>
      <c r="M911" s="111"/>
      <c r="N911" s="111"/>
      <c r="O911" s="111"/>
      <c r="P911" s="34"/>
    </row>
    <row x14ac:dyDescent="0.25" r="912" customHeight="1" ht="15.75">
      <c r="A912" s="117"/>
      <c r="B912" s="34"/>
      <c r="C912" s="34"/>
      <c r="D912" s="34"/>
      <c r="E912" s="34"/>
      <c r="F912" s="34"/>
      <c r="G912" s="29"/>
      <c r="H912" s="34"/>
      <c r="I912" s="85"/>
      <c r="J912" s="34"/>
      <c r="K912" s="29"/>
      <c r="L912" s="111"/>
      <c r="M912" s="111"/>
      <c r="N912" s="111"/>
      <c r="O912" s="111"/>
      <c r="P912" s="34"/>
    </row>
    <row x14ac:dyDescent="0.25" r="913" customHeight="1" ht="15.75">
      <c r="A913" s="117"/>
      <c r="B913" s="34"/>
      <c r="C913" s="34"/>
      <c r="D913" s="34"/>
      <c r="E913" s="34"/>
      <c r="F913" s="34"/>
      <c r="G913" s="29"/>
      <c r="H913" s="34"/>
      <c r="I913" s="85"/>
      <c r="J913" s="34"/>
      <c r="K913" s="29"/>
      <c r="L913" s="111"/>
      <c r="M913" s="111"/>
      <c r="N913" s="111"/>
      <c r="O913" s="111"/>
      <c r="P913" s="34"/>
    </row>
    <row x14ac:dyDescent="0.25" r="914" customHeight="1" ht="15.75">
      <c r="A914" s="117"/>
      <c r="B914" s="34"/>
      <c r="C914" s="34"/>
      <c r="D914" s="34"/>
      <c r="E914" s="34"/>
      <c r="F914" s="34"/>
      <c r="G914" s="29"/>
      <c r="H914" s="34"/>
      <c r="I914" s="85"/>
      <c r="J914" s="34"/>
      <c r="K914" s="29"/>
      <c r="L914" s="111"/>
      <c r="M914" s="111"/>
      <c r="N914" s="111"/>
      <c r="O914" s="111"/>
      <c r="P914" s="34"/>
    </row>
    <row x14ac:dyDescent="0.25" r="915" customHeight="1" ht="15.75">
      <c r="A915" s="117"/>
      <c r="B915" s="34"/>
      <c r="C915" s="34"/>
      <c r="D915" s="34"/>
      <c r="E915" s="34"/>
      <c r="F915" s="34"/>
      <c r="G915" s="29"/>
      <c r="H915" s="34"/>
      <c r="I915" s="85"/>
      <c r="J915" s="34"/>
      <c r="K915" s="29"/>
      <c r="L915" s="111"/>
      <c r="M915" s="111"/>
      <c r="N915" s="111"/>
      <c r="O915" s="111"/>
      <c r="P915" s="34"/>
    </row>
    <row x14ac:dyDescent="0.25" r="916" customHeight="1" ht="15.75">
      <c r="A916" s="117"/>
      <c r="B916" s="34"/>
      <c r="C916" s="34"/>
      <c r="D916" s="34"/>
      <c r="E916" s="34"/>
      <c r="F916" s="34"/>
      <c r="G916" s="29"/>
      <c r="H916" s="34"/>
      <c r="I916" s="85"/>
      <c r="J916" s="34"/>
      <c r="K916" s="29"/>
      <c r="L916" s="111"/>
      <c r="M916" s="111"/>
      <c r="N916" s="111"/>
      <c r="O916" s="111"/>
      <c r="P916" s="34"/>
    </row>
    <row x14ac:dyDescent="0.25" r="917" customHeight="1" ht="15.75">
      <c r="A917" s="117"/>
      <c r="B917" s="34"/>
      <c r="C917" s="34"/>
      <c r="D917" s="34"/>
      <c r="E917" s="34"/>
      <c r="F917" s="34"/>
      <c r="G917" s="29"/>
      <c r="H917" s="34"/>
      <c r="I917" s="85"/>
      <c r="J917" s="34"/>
      <c r="K917" s="29"/>
      <c r="L917" s="111"/>
      <c r="M917" s="111"/>
      <c r="N917" s="111"/>
      <c r="O917" s="111"/>
      <c r="P917" s="34"/>
    </row>
    <row x14ac:dyDescent="0.25" r="918" customHeight="1" ht="15.75">
      <c r="A918" s="117"/>
      <c r="B918" s="34"/>
      <c r="C918" s="34"/>
      <c r="D918" s="34"/>
      <c r="E918" s="34"/>
      <c r="F918" s="34"/>
      <c r="G918" s="29"/>
      <c r="H918" s="34"/>
      <c r="I918" s="85"/>
      <c r="J918" s="34"/>
      <c r="K918" s="29"/>
      <c r="L918" s="111"/>
      <c r="M918" s="111"/>
      <c r="N918" s="111"/>
      <c r="O918" s="111"/>
      <c r="P918" s="34"/>
    </row>
    <row x14ac:dyDescent="0.25" r="919" customHeight="1" ht="15.75">
      <c r="A919" s="117"/>
      <c r="B919" s="34"/>
      <c r="C919" s="34"/>
      <c r="D919" s="34"/>
      <c r="E919" s="34"/>
      <c r="F919" s="34"/>
      <c r="G919" s="29"/>
      <c r="H919" s="34"/>
      <c r="I919" s="85"/>
      <c r="J919" s="34"/>
      <c r="K919" s="29"/>
      <c r="L919" s="111"/>
      <c r="M919" s="111"/>
      <c r="N919" s="111"/>
      <c r="O919" s="111"/>
      <c r="P919" s="34"/>
    </row>
    <row x14ac:dyDescent="0.25" r="920" customHeight="1" ht="15.75">
      <c r="A920" s="117"/>
      <c r="B920" s="34"/>
      <c r="C920" s="34"/>
      <c r="D920" s="34"/>
      <c r="E920" s="34"/>
      <c r="F920" s="34"/>
      <c r="G920" s="29"/>
      <c r="H920" s="34"/>
      <c r="I920" s="85"/>
      <c r="J920" s="34"/>
      <c r="K920" s="29"/>
      <c r="L920" s="111"/>
      <c r="M920" s="111"/>
      <c r="N920" s="111"/>
      <c r="O920" s="111"/>
      <c r="P920" s="34"/>
    </row>
    <row x14ac:dyDescent="0.25" r="921" customHeight="1" ht="15.75">
      <c r="A921" s="117"/>
      <c r="B921" s="34"/>
      <c r="C921" s="34"/>
      <c r="D921" s="34"/>
      <c r="E921" s="34"/>
      <c r="F921" s="34"/>
      <c r="G921" s="29"/>
      <c r="H921" s="34"/>
      <c r="I921" s="85"/>
      <c r="J921" s="34"/>
      <c r="K921" s="29"/>
      <c r="L921" s="111"/>
      <c r="M921" s="111"/>
      <c r="N921" s="111"/>
      <c r="O921" s="111"/>
      <c r="P921" s="34"/>
    </row>
    <row x14ac:dyDescent="0.25" r="922" customHeight="1" ht="15.75">
      <c r="A922" s="117"/>
      <c r="B922" s="34"/>
      <c r="C922" s="34"/>
      <c r="D922" s="34"/>
      <c r="E922" s="34"/>
      <c r="F922" s="34"/>
      <c r="G922" s="29"/>
      <c r="H922" s="34"/>
      <c r="I922" s="85"/>
      <c r="J922" s="34"/>
      <c r="K922" s="29"/>
      <c r="L922" s="111"/>
      <c r="M922" s="111"/>
      <c r="N922" s="111"/>
      <c r="O922" s="111"/>
      <c r="P922" s="34"/>
    </row>
    <row x14ac:dyDescent="0.25" r="923" customHeight="1" ht="15.75">
      <c r="A923" s="117"/>
      <c r="B923" s="34"/>
      <c r="C923" s="34"/>
      <c r="D923" s="34"/>
      <c r="E923" s="34"/>
      <c r="F923" s="34"/>
      <c r="G923" s="29"/>
      <c r="H923" s="34"/>
      <c r="I923" s="85"/>
      <c r="J923" s="34"/>
      <c r="K923" s="29"/>
      <c r="L923" s="111"/>
      <c r="M923" s="111"/>
      <c r="N923" s="111"/>
      <c r="O923" s="111"/>
      <c r="P923" s="34"/>
    </row>
    <row x14ac:dyDescent="0.25" r="924" customHeight="1" ht="15.75">
      <c r="A924" s="117"/>
      <c r="B924" s="34"/>
      <c r="C924" s="34"/>
      <c r="D924" s="34"/>
      <c r="E924" s="34"/>
      <c r="F924" s="34"/>
      <c r="G924" s="29"/>
      <c r="H924" s="34"/>
      <c r="I924" s="85"/>
      <c r="J924" s="34"/>
      <c r="K924" s="29"/>
      <c r="L924" s="111"/>
      <c r="M924" s="111"/>
      <c r="N924" s="111"/>
      <c r="O924" s="111"/>
      <c r="P924" s="34"/>
    </row>
    <row x14ac:dyDescent="0.25" r="925" customHeight="1" ht="15.75">
      <c r="A925" s="117"/>
      <c r="B925" s="34"/>
      <c r="C925" s="34"/>
      <c r="D925" s="34"/>
      <c r="E925" s="34"/>
      <c r="F925" s="34"/>
      <c r="G925" s="29"/>
      <c r="H925" s="34"/>
      <c r="I925" s="85"/>
      <c r="J925" s="34"/>
      <c r="K925" s="29"/>
      <c r="L925" s="111"/>
      <c r="M925" s="111"/>
      <c r="N925" s="111"/>
      <c r="O925" s="111"/>
      <c r="P925" s="34"/>
    </row>
    <row x14ac:dyDescent="0.25" r="926" customHeight="1" ht="15.75">
      <c r="A926" s="117"/>
      <c r="B926" s="34"/>
      <c r="C926" s="34"/>
      <c r="D926" s="34"/>
      <c r="E926" s="34"/>
      <c r="F926" s="34"/>
      <c r="G926" s="29"/>
      <c r="H926" s="34"/>
      <c r="I926" s="85"/>
      <c r="J926" s="34"/>
      <c r="K926" s="29"/>
      <c r="L926" s="111"/>
      <c r="M926" s="111"/>
      <c r="N926" s="111"/>
      <c r="O926" s="111"/>
      <c r="P926" s="34"/>
    </row>
    <row x14ac:dyDescent="0.25" r="927" customHeight="1" ht="15.75">
      <c r="A927" s="117"/>
      <c r="B927" s="34"/>
      <c r="C927" s="34"/>
      <c r="D927" s="34"/>
      <c r="E927" s="34"/>
      <c r="F927" s="34"/>
      <c r="G927" s="29"/>
      <c r="H927" s="34"/>
      <c r="I927" s="85"/>
      <c r="J927" s="34"/>
      <c r="K927" s="29"/>
      <c r="L927" s="111"/>
      <c r="M927" s="111"/>
      <c r="N927" s="111"/>
      <c r="O927" s="111"/>
      <c r="P927" s="34"/>
    </row>
    <row x14ac:dyDescent="0.25" r="928" customHeight="1" ht="15.75">
      <c r="A928" s="117"/>
      <c r="B928" s="34"/>
      <c r="C928" s="34"/>
      <c r="D928" s="34"/>
      <c r="E928" s="34"/>
      <c r="F928" s="34"/>
      <c r="G928" s="29"/>
      <c r="H928" s="34"/>
      <c r="I928" s="85"/>
      <c r="J928" s="34"/>
      <c r="K928" s="29"/>
      <c r="L928" s="111"/>
      <c r="M928" s="111"/>
      <c r="N928" s="111"/>
      <c r="O928" s="111"/>
      <c r="P928" s="34"/>
    </row>
    <row x14ac:dyDescent="0.25" r="929" customHeight="1" ht="15.75">
      <c r="A929" s="117"/>
      <c r="B929" s="34"/>
      <c r="C929" s="34"/>
      <c r="D929" s="34"/>
      <c r="E929" s="34"/>
      <c r="F929" s="34"/>
      <c r="G929" s="29"/>
      <c r="H929" s="34"/>
      <c r="I929" s="85"/>
      <c r="J929" s="34"/>
      <c r="K929" s="29"/>
      <c r="L929" s="111"/>
      <c r="M929" s="111"/>
      <c r="N929" s="111"/>
      <c r="O929" s="111"/>
      <c r="P929" s="34"/>
    </row>
    <row x14ac:dyDescent="0.25" r="930" customHeight="1" ht="15.75">
      <c r="A930" s="117"/>
      <c r="B930" s="34"/>
      <c r="C930" s="34"/>
      <c r="D930" s="34"/>
      <c r="E930" s="34"/>
      <c r="F930" s="34"/>
      <c r="G930" s="29"/>
      <c r="H930" s="34"/>
      <c r="I930" s="85"/>
      <c r="J930" s="34"/>
      <c r="K930" s="29"/>
      <c r="L930" s="111"/>
      <c r="M930" s="111"/>
      <c r="N930" s="111"/>
      <c r="O930" s="111"/>
      <c r="P930" s="34"/>
    </row>
    <row x14ac:dyDescent="0.25" r="931" customHeight="1" ht="15.75">
      <c r="A931" s="117"/>
      <c r="B931" s="34"/>
      <c r="C931" s="34"/>
      <c r="D931" s="34"/>
      <c r="E931" s="34"/>
      <c r="F931" s="34"/>
      <c r="G931" s="29"/>
      <c r="H931" s="34"/>
      <c r="I931" s="85"/>
      <c r="J931" s="34"/>
      <c r="K931" s="29"/>
      <c r="L931" s="111"/>
      <c r="M931" s="111"/>
      <c r="N931" s="111"/>
      <c r="O931" s="111"/>
      <c r="P931" s="34"/>
    </row>
    <row x14ac:dyDescent="0.25" r="932" customHeight="1" ht="15.75">
      <c r="A932" s="117"/>
      <c r="B932" s="34"/>
      <c r="C932" s="34"/>
      <c r="D932" s="34"/>
      <c r="E932" s="34"/>
      <c r="F932" s="34"/>
      <c r="G932" s="29"/>
      <c r="H932" s="34"/>
      <c r="I932" s="85"/>
      <c r="J932" s="34"/>
      <c r="K932" s="29"/>
      <c r="L932" s="111"/>
      <c r="M932" s="111"/>
      <c r="N932" s="111"/>
      <c r="O932" s="111"/>
      <c r="P932" s="34"/>
    </row>
    <row x14ac:dyDescent="0.25" r="933" customHeight="1" ht="15.75">
      <c r="A933" s="117"/>
      <c r="B933" s="34"/>
      <c r="C933" s="34"/>
      <c r="D933" s="34"/>
      <c r="E933" s="34"/>
      <c r="F933" s="34"/>
      <c r="G933" s="29"/>
      <c r="H933" s="34"/>
      <c r="I933" s="85"/>
      <c r="J933" s="34"/>
      <c r="K933" s="29"/>
      <c r="L933" s="111"/>
      <c r="M933" s="111"/>
      <c r="N933" s="111"/>
      <c r="O933" s="111"/>
      <c r="P933" s="34"/>
    </row>
    <row x14ac:dyDescent="0.25" r="934" customHeight="1" ht="15.75">
      <c r="A934" s="117"/>
      <c r="B934" s="34"/>
      <c r="C934" s="34"/>
      <c r="D934" s="34"/>
      <c r="E934" s="34"/>
      <c r="F934" s="34"/>
      <c r="G934" s="29"/>
      <c r="H934" s="34"/>
      <c r="I934" s="85"/>
      <c r="J934" s="34"/>
      <c r="K934" s="29"/>
      <c r="L934" s="111"/>
      <c r="M934" s="111"/>
      <c r="N934" s="111"/>
      <c r="O934" s="111"/>
      <c r="P934" s="34"/>
    </row>
    <row x14ac:dyDescent="0.25" r="935" customHeight="1" ht="15.75">
      <c r="A935" s="117"/>
      <c r="B935" s="34"/>
      <c r="C935" s="34"/>
      <c r="D935" s="34"/>
      <c r="E935" s="34"/>
      <c r="F935" s="34"/>
      <c r="G935" s="29"/>
      <c r="H935" s="34"/>
      <c r="I935" s="85"/>
      <c r="J935" s="34"/>
      <c r="K935" s="29"/>
      <c r="L935" s="111"/>
      <c r="M935" s="111"/>
      <c r="N935" s="111"/>
      <c r="O935" s="111"/>
      <c r="P935" s="34"/>
    </row>
    <row x14ac:dyDescent="0.25" r="936" customHeight="1" ht="15.75">
      <c r="A936" s="117"/>
      <c r="B936" s="34"/>
      <c r="C936" s="34"/>
      <c r="D936" s="34"/>
      <c r="E936" s="34"/>
      <c r="F936" s="34"/>
      <c r="G936" s="29"/>
      <c r="H936" s="34"/>
      <c r="I936" s="85"/>
      <c r="J936" s="34"/>
      <c r="K936" s="29"/>
      <c r="L936" s="111"/>
      <c r="M936" s="111"/>
      <c r="N936" s="111"/>
      <c r="O936" s="111"/>
      <c r="P936" s="34"/>
    </row>
    <row x14ac:dyDescent="0.25" r="937" customHeight="1" ht="15.75">
      <c r="A937" s="117"/>
      <c r="B937" s="34"/>
      <c r="C937" s="34"/>
      <c r="D937" s="34"/>
      <c r="E937" s="34"/>
      <c r="F937" s="34"/>
      <c r="G937" s="29"/>
      <c r="H937" s="34"/>
      <c r="I937" s="85"/>
      <c r="J937" s="34"/>
      <c r="K937" s="29"/>
      <c r="L937" s="111"/>
      <c r="M937" s="111"/>
      <c r="N937" s="111"/>
      <c r="O937" s="111"/>
      <c r="P937" s="34"/>
    </row>
    <row x14ac:dyDescent="0.25" r="938" customHeight="1" ht="15.75">
      <c r="A938" s="117"/>
      <c r="B938" s="34"/>
      <c r="C938" s="34"/>
      <c r="D938" s="34"/>
      <c r="E938" s="34"/>
      <c r="F938" s="34"/>
      <c r="G938" s="29"/>
      <c r="H938" s="34"/>
      <c r="I938" s="85"/>
      <c r="J938" s="34"/>
      <c r="K938" s="29"/>
      <c r="L938" s="111"/>
      <c r="M938" s="111"/>
      <c r="N938" s="111"/>
      <c r="O938" s="111"/>
      <c r="P938" s="34"/>
    </row>
    <row x14ac:dyDescent="0.25" r="939" customHeight="1" ht="15.75">
      <c r="A939" s="117"/>
      <c r="B939" s="34"/>
      <c r="C939" s="34"/>
      <c r="D939" s="34"/>
      <c r="E939" s="34"/>
      <c r="F939" s="34"/>
      <c r="G939" s="29"/>
      <c r="H939" s="34"/>
      <c r="I939" s="85"/>
      <c r="J939" s="34"/>
      <c r="K939" s="29"/>
      <c r="L939" s="111"/>
      <c r="M939" s="111"/>
      <c r="N939" s="111"/>
      <c r="O939" s="111"/>
      <c r="P939" s="34"/>
    </row>
    <row x14ac:dyDescent="0.25" r="940" customHeight="1" ht="15.75">
      <c r="A940" s="117"/>
      <c r="B940" s="34"/>
      <c r="C940" s="34"/>
      <c r="D940" s="34"/>
      <c r="E940" s="34"/>
      <c r="F940" s="34"/>
      <c r="G940" s="29"/>
      <c r="H940" s="34"/>
      <c r="I940" s="85"/>
      <c r="J940" s="34"/>
      <c r="K940" s="29"/>
      <c r="L940" s="111"/>
      <c r="M940" s="111"/>
      <c r="N940" s="111"/>
      <c r="O940" s="111"/>
      <c r="P940" s="34"/>
    </row>
    <row x14ac:dyDescent="0.25" r="941" customHeight="1" ht="15.75">
      <c r="A941" s="117"/>
      <c r="B941" s="34"/>
      <c r="C941" s="34"/>
      <c r="D941" s="34"/>
      <c r="E941" s="34"/>
      <c r="F941" s="34"/>
      <c r="G941" s="29"/>
      <c r="H941" s="34"/>
      <c r="I941" s="85"/>
      <c r="J941" s="34"/>
      <c r="K941" s="29"/>
      <c r="L941" s="111"/>
      <c r="M941" s="111"/>
      <c r="N941" s="111"/>
      <c r="O941" s="111"/>
      <c r="P941" s="34"/>
    </row>
    <row x14ac:dyDescent="0.25" r="942" customHeight="1" ht="15.75">
      <c r="A942" s="117"/>
      <c r="B942" s="34"/>
      <c r="C942" s="34"/>
      <c r="D942" s="34"/>
      <c r="E942" s="34"/>
      <c r="F942" s="34"/>
      <c r="G942" s="29"/>
      <c r="H942" s="34"/>
      <c r="I942" s="85"/>
      <c r="J942" s="34"/>
      <c r="K942" s="29"/>
      <c r="L942" s="111"/>
      <c r="M942" s="111"/>
      <c r="N942" s="111"/>
      <c r="O942" s="111"/>
      <c r="P942" s="34"/>
    </row>
    <row x14ac:dyDescent="0.25" r="943" customHeight="1" ht="15.75">
      <c r="A943" s="117"/>
      <c r="B943" s="34"/>
      <c r="C943" s="34"/>
      <c r="D943" s="34"/>
      <c r="E943" s="34"/>
      <c r="F943" s="34"/>
      <c r="G943" s="29"/>
      <c r="H943" s="34"/>
      <c r="I943" s="85"/>
      <c r="J943" s="34"/>
      <c r="K943" s="29"/>
      <c r="L943" s="111"/>
      <c r="M943" s="111"/>
      <c r="N943" s="111"/>
      <c r="O943" s="111"/>
      <c r="P943" s="34"/>
    </row>
    <row x14ac:dyDescent="0.25" r="944" customHeight="1" ht="15.75">
      <c r="A944" s="117"/>
      <c r="B944" s="34"/>
      <c r="C944" s="34"/>
      <c r="D944" s="34"/>
      <c r="E944" s="34"/>
      <c r="F944" s="34"/>
      <c r="G944" s="29"/>
      <c r="H944" s="34"/>
      <c r="I944" s="85"/>
      <c r="J944" s="34"/>
      <c r="K944" s="29"/>
      <c r="L944" s="111"/>
      <c r="M944" s="111"/>
      <c r="N944" s="111"/>
      <c r="O944" s="111"/>
      <c r="P944" s="34"/>
    </row>
    <row x14ac:dyDescent="0.25" r="945" customHeight="1" ht="15.75">
      <c r="A945" s="117"/>
      <c r="B945" s="34"/>
      <c r="C945" s="34"/>
      <c r="D945" s="34"/>
      <c r="E945" s="34"/>
      <c r="F945" s="34"/>
      <c r="G945" s="29"/>
      <c r="H945" s="34"/>
      <c r="I945" s="85"/>
      <c r="J945" s="34"/>
      <c r="K945" s="29"/>
      <c r="L945" s="111"/>
      <c r="M945" s="111"/>
      <c r="N945" s="111"/>
      <c r="O945" s="111"/>
      <c r="P945" s="34"/>
    </row>
    <row x14ac:dyDescent="0.25" r="946" customHeight="1" ht="15.75">
      <c r="A946" s="117"/>
      <c r="B946" s="34"/>
      <c r="C946" s="34"/>
      <c r="D946" s="34"/>
      <c r="E946" s="34"/>
      <c r="F946" s="34"/>
      <c r="G946" s="29"/>
      <c r="H946" s="34"/>
      <c r="I946" s="85"/>
      <c r="J946" s="34"/>
      <c r="K946" s="29"/>
      <c r="L946" s="111"/>
      <c r="M946" s="111"/>
      <c r="N946" s="111"/>
      <c r="O946" s="111"/>
      <c r="P946" s="34"/>
    </row>
    <row x14ac:dyDescent="0.25" r="947" customHeight="1" ht="15.75">
      <c r="A947" s="117"/>
      <c r="B947" s="34"/>
      <c r="C947" s="34"/>
      <c r="D947" s="34"/>
      <c r="E947" s="34"/>
      <c r="F947" s="34"/>
      <c r="G947" s="29"/>
      <c r="H947" s="34"/>
      <c r="I947" s="85"/>
      <c r="J947" s="34"/>
      <c r="K947" s="29"/>
      <c r="L947" s="111"/>
      <c r="M947" s="111"/>
      <c r="N947" s="111"/>
      <c r="O947" s="111"/>
      <c r="P947" s="34"/>
    </row>
    <row x14ac:dyDescent="0.25" r="948" customHeight="1" ht="15.75">
      <c r="A948" s="117"/>
      <c r="B948" s="34"/>
      <c r="C948" s="34"/>
      <c r="D948" s="34"/>
      <c r="E948" s="34"/>
      <c r="F948" s="34"/>
      <c r="G948" s="29"/>
      <c r="H948" s="34"/>
      <c r="I948" s="85"/>
      <c r="J948" s="34"/>
      <c r="K948" s="29"/>
      <c r="L948" s="111"/>
      <c r="M948" s="111"/>
      <c r="N948" s="111"/>
      <c r="O948" s="111"/>
      <c r="P948" s="34"/>
    </row>
    <row x14ac:dyDescent="0.25" r="949" customHeight="1" ht="15.75">
      <c r="A949" s="117"/>
      <c r="B949" s="34"/>
      <c r="C949" s="34"/>
      <c r="D949" s="34"/>
      <c r="E949" s="34"/>
      <c r="F949" s="34"/>
      <c r="G949" s="29"/>
      <c r="H949" s="34"/>
      <c r="I949" s="85"/>
      <c r="J949" s="34"/>
      <c r="K949" s="29"/>
      <c r="L949" s="111"/>
      <c r="M949" s="111"/>
      <c r="N949" s="111"/>
      <c r="O949" s="111"/>
      <c r="P949" s="34"/>
    </row>
    <row x14ac:dyDescent="0.25" r="950" customHeight="1" ht="15.75">
      <c r="A950" s="117"/>
      <c r="B950" s="34"/>
      <c r="C950" s="34"/>
      <c r="D950" s="34"/>
      <c r="E950" s="34"/>
      <c r="F950" s="34"/>
      <c r="G950" s="29"/>
      <c r="H950" s="34"/>
      <c r="I950" s="85"/>
      <c r="J950" s="34"/>
      <c r="K950" s="29"/>
      <c r="L950" s="111"/>
      <c r="M950" s="111"/>
      <c r="N950" s="111"/>
      <c r="O950" s="111"/>
      <c r="P950" s="34"/>
    </row>
    <row x14ac:dyDescent="0.25" r="951" customHeight="1" ht="15.75">
      <c r="A951" s="117"/>
      <c r="B951" s="34"/>
      <c r="C951" s="34"/>
      <c r="D951" s="34"/>
      <c r="E951" s="34"/>
      <c r="F951" s="34"/>
      <c r="G951" s="29"/>
      <c r="H951" s="34"/>
      <c r="I951" s="85"/>
      <c r="J951" s="34"/>
      <c r="K951" s="29"/>
      <c r="L951" s="111"/>
      <c r="M951" s="111"/>
      <c r="N951" s="111"/>
      <c r="O951" s="111"/>
      <c r="P951" s="34"/>
    </row>
    <row x14ac:dyDescent="0.25" r="952" customHeight="1" ht="15.75">
      <c r="A952" s="117"/>
      <c r="B952" s="34"/>
      <c r="C952" s="34"/>
      <c r="D952" s="34"/>
      <c r="E952" s="34"/>
      <c r="F952" s="34"/>
      <c r="G952" s="29"/>
      <c r="H952" s="34"/>
      <c r="I952" s="85"/>
      <c r="J952" s="34"/>
      <c r="K952" s="29"/>
      <c r="L952" s="111"/>
      <c r="M952" s="111"/>
      <c r="N952" s="111"/>
      <c r="O952" s="111"/>
      <c r="P952" s="34"/>
    </row>
    <row x14ac:dyDescent="0.25" r="953" customHeight="1" ht="15.75">
      <c r="A953" s="117"/>
      <c r="B953" s="34"/>
      <c r="C953" s="34"/>
      <c r="D953" s="34"/>
      <c r="E953" s="34"/>
      <c r="F953" s="34"/>
      <c r="G953" s="29"/>
      <c r="H953" s="34"/>
      <c r="I953" s="85"/>
      <c r="J953" s="34"/>
      <c r="K953" s="29"/>
      <c r="L953" s="111"/>
      <c r="M953" s="111"/>
      <c r="N953" s="111"/>
      <c r="O953" s="111"/>
      <c r="P953" s="34"/>
    </row>
    <row x14ac:dyDescent="0.25" r="954" customHeight="1" ht="15.75">
      <c r="A954" s="117"/>
      <c r="B954" s="34"/>
      <c r="C954" s="34"/>
      <c r="D954" s="34"/>
      <c r="E954" s="34"/>
      <c r="F954" s="34"/>
      <c r="G954" s="29"/>
      <c r="H954" s="34"/>
      <c r="I954" s="85"/>
      <c r="J954" s="34"/>
      <c r="K954" s="29"/>
      <c r="L954" s="111"/>
      <c r="M954" s="111"/>
      <c r="N954" s="111"/>
      <c r="O954" s="111"/>
      <c r="P954" s="34"/>
    </row>
    <row x14ac:dyDescent="0.25" r="955" customHeight="1" ht="15.75">
      <c r="A955" s="117"/>
      <c r="B955" s="34"/>
      <c r="C955" s="34"/>
      <c r="D955" s="34"/>
      <c r="E955" s="34"/>
      <c r="F955" s="34"/>
      <c r="G955" s="29"/>
      <c r="H955" s="34"/>
      <c r="I955" s="85"/>
      <c r="J955" s="34"/>
      <c r="K955" s="29"/>
      <c r="L955" s="111"/>
      <c r="M955" s="111"/>
      <c r="N955" s="111"/>
      <c r="O955" s="111"/>
      <c r="P955" s="34"/>
    </row>
    <row x14ac:dyDescent="0.25" r="956" customHeight="1" ht="15.75">
      <c r="A956" s="117"/>
      <c r="B956" s="34"/>
      <c r="C956" s="34"/>
      <c r="D956" s="34"/>
      <c r="E956" s="34"/>
      <c r="F956" s="34"/>
      <c r="G956" s="29"/>
      <c r="H956" s="34"/>
      <c r="I956" s="85"/>
      <c r="J956" s="34"/>
      <c r="K956" s="29"/>
      <c r="L956" s="111"/>
      <c r="M956" s="111"/>
      <c r="N956" s="111"/>
      <c r="O956" s="111"/>
      <c r="P956" s="34"/>
    </row>
    <row x14ac:dyDescent="0.25" r="957" customHeight="1" ht="15.75">
      <c r="A957" s="117"/>
      <c r="B957" s="34"/>
      <c r="C957" s="34"/>
      <c r="D957" s="34"/>
      <c r="E957" s="34"/>
      <c r="F957" s="34"/>
      <c r="G957" s="29"/>
      <c r="H957" s="34"/>
      <c r="I957" s="85"/>
      <c r="J957" s="34"/>
      <c r="K957" s="29"/>
      <c r="L957" s="111"/>
      <c r="M957" s="111"/>
      <c r="N957" s="111"/>
      <c r="O957" s="111"/>
      <c r="P957" s="34"/>
    </row>
    <row x14ac:dyDescent="0.25" r="958" customHeight="1" ht="15.75">
      <c r="A958" s="117"/>
      <c r="B958" s="34"/>
      <c r="C958" s="34"/>
      <c r="D958" s="34"/>
      <c r="E958" s="34"/>
      <c r="F958" s="34"/>
      <c r="G958" s="29"/>
      <c r="H958" s="34"/>
      <c r="I958" s="85"/>
      <c r="J958" s="34"/>
      <c r="K958" s="29"/>
      <c r="L958" s="111"/>
      <c r="M958" s="111"/>
      <c r="N958" s="111"/>
      <c r="O958" s="111"/>
      <c r="P958" s="34"/>
    </row>
    <row x14ac:dyDescent="0.25" r="959" customHeight="1" ht="15.75">
      <c r="A959" s="117"/>
      <c r="B959" s="34"/>
      <c r="C959" s="34"/>
      <c r="D959" s="34"/>
      <c r="E959" s="34"/>
      <c r="F959" s="34"/>
      <c r="G959" s="29"/>
      <c r="H959" s="34"/>
      <c r="I959" s="85"/>
      <c r="J959" s="34"/>
      <c r="K959" s="29"/>
      <c r="L959" s="111"/>
      <c r="M959" s="111"/>
      <c r="N959" s="111"/>
      <c r="O959" s="111"/>
      <c r="P959" s="34"/>
    </row>
    <row x14ac:dyDescent="0.25" r="960" customHeight="1" ht="15.75">
      <c r="A960" s="117"/>
      <c r="B960" s="34"/>
      <c r="C960" s="34"/>
      <c r="D960" s="34"/>
      <c r="E960" s="34"/>
      <c r="F960" s="34"/>
      <c r="G960" s="29"/>
      <c r="H960" s="34"/>
      <c r="I960" s="85"/>
      <c r="J960" s="34"/>
      <c r="K960" s="29"/>
      <c r="L960" s="111"/>
      <c r="M960" s="111"/>
      <c r="N960" s="111"/>
      <c r="O960" s="111"/>
      <c r="P960" s="34"/>
    </row>
    <row x14ac:dyDescent="0.25" r="961" customHeight="1" ht="15.75">
      <c r="A961" s="117"/>
      <c r="B961" s="34"/>
      <c r="C961" s="34"/>
      <c r="D961" s="34"/>
      <c r="E961" s="34"/>
      <c r="F961" s="34"/>
      <c r="G961" s="29"/>
      <c r="H961" s="34"/>
      <c r="I961" s="85"/>
      <c r="J961" s="34"/>
      <c r="K961" s="29"/>
      <c r="L961" s="111"/>
      <c r="M961" s="111"/>
      <c r="N961" s="111"/>
      <c r="O961" s="111"/>
      <c r="P961" s="34"/>
    </row>
    <row x14ac:dyDescent="0.25" r="962" customHeight="1" ht="15.75">
      <c r="A962" s="117"/>
      <c r="B962" s="34"/>
      <c r="C962" s="34"/>
      <c r="D962" s="34"/>
      <c r="E962" s="34"/>
      <c r="F962" s="34"/>
      <c r="G962" s="29"/>
      <c r="H962" s="34"/>
      <c r="I962" s="85"/>
      <c r="J962" s="34"/>
      <c r="K962" s="29"/>
      <c r="L962" s="111"/>
      <c r="M962" s="111"/>
      <c r="N962" s="111"/>
      <c r="O962" s="111"/>
      <c r="P962" s="34"/>
    </row>
    <row x14ac:dyDescent="0.25" r="963" customHeight="1" ht="15.75">
      <c r="A963" s="117"/>
      <c r="B963" s="34"/>
      <c r="C963" s="34"/>
      <c r="D963" s="34"/>
      <c r="E963" s="34"/>
      <c r="F963" s="34"/>
      <c r="G963" s="29"/>
      <c r="H963" s="34"/>
      <c r="I963" s="85"/>
      <c r="J963" s="34"/>
      <c r="K963" s="29"/>
      <c r="L963" s="111"/>
      <c r="M963" s="111"/>
      <c r="N963" s="111"/>
      <c r="O963" s="111"/>
      <c r="P963" s="34"/>
    </row>
    <row x14ac:dyDescent="0.25" r="964" customHeight="1" ht="15.75">
      <c r="A964" s="117"/>
      <c r="B964" s="34"/>
      <c r="C964" s="34"/>
      <c r="D964" s="34"/>
      <c r="E964" s="34"/>
      <c r="F964" s="34"/>
      <c r="G964" s="29"/>
      <c r="H964" s="34"/>
      <c r="I964" s="85"/>
      <c r="J964" s="34"/>
      <c r="K964" s="29"/>
      <c r="L964" s="111"/>
      <c r="M964" s="111"/>
      <c r="N964" s="111"/>
      <c r="O964" s="111"/>
      <c r="P964" s="34"/>
    </row>
    <row x14ac:dyDescent="0.25" r="965" customHeight="1" ht="15.75">
      <c r="A965" s="117"/>
      <c r="B965" s="34"/>
      <c r="C965" s="34"/>
      <c r="D965" s="34"/>
      <c r="E965" s="34"/>
      <c r="F965" s="34"/>
      <c r="G965" s="29"/>
      <c r="H965" s="34"/>
      <c r="I965" s="85"/>
      <c r="J965" s="34"/>
      <c r="K965" s="29"/>
      <c r="L965" s="111"/>
      <c r="M965" s="111"/>
      <c r="N965" s="111"/>
      <c r="O965" s="111"/>
      <c r="P965" s="34"/>
    </row>
    <row x14ac:dyDescent="0.25" r="966" customHeight="1" ht="15.75">
      <c r="A966" s="117"/>
      <c r="B966" s="34"/>
      <c r="C966" s="34"/>
      <c r="D966" s="34"/>
      <c r="E966" s="34"/>
      <c r="F966" s="34"/>
      <c r="G966" s="29"/>
      <c r="H966" s="34"/>
      <c r="I966" s="85"/>
      <c r="J966" s="34"/>
      <c r="K966" s="29"/>
      <c r="L966" s="111"/>
      <c r="M966" s="111"/>
      <c r="N966" s="111"/>
      <c r="O966" s="111"/>
      <c r="P966" s="34"/>
    </row>
    <row x14ac:dyDescent="0.25" r="967" customHeight="1" ht="15.75">
      <c r="A967" s="117"/>
      <c r="B967" s="34"/>
      <c r="C967" s="34"/>
      <c r="D967" s="34"/>
      <c r="E967" s="34"/>
      <c r="F967" s="34"/>
      <c r="G967" s="29"/>
      <c r="H967" s="34"/>
      <c r="I967" s="85"/>
      <c r="J967" s="34"/>
      <c r="K967" s="29"/>
      <c r="L967" s="111"/>
      <c r="M967" s="111"/>
      <c r="N967" s="111"/>
      <c r="O967" s="111"/>
      <c r="P967" s="34"/>
    </row>
    <row x14ac:dyDescent="0.25" r="968" customHeight="1" ht="15.75">
      <c r="A968" s="117"/>
      <c r="B968" s="34"/>
      <c r="C968" s="34"/>
      <c r="D968" s="34"/>
      <c r="E968" s="34"/>
      <c r="F968" s="34"/>
      <c r="G968" s="29"/>
      <c r="H968" s="34"/>
      <c r="I968" s="85"/>
      <c r="J968" s="34"/>
      <c r="K968" s="29"/>
      <c r="L968" s="111"/>
      <c r="M968" s="111"/>
      <c r="N968" s="111"/>
      <c r="O968" s="111"/>
      <c r="P968" s="34"/>
    </row>
    <row x14ac:dyDescent="0.25" r="969" customHeight="1" ht="15.75">
      <c r="A969" s="117"/>
      <c r="B969" s="34"/>
      <c r="C969" s="34"/>
      <c r="D969" s="34"/>
      <c r="E969" s="34"/>
      <c r="F969" s="34"/>
      <c r="G969" s="29"/>
      <c r="H969" s="34"/>
      <c r="I969" s="85"/>
      <c r="J969" s="34"/>
      <c r="K969" s="29"/>
      <c r="L969" s="111"/>
      <c r="M969" s="111"/>
      <c r="N969" s="111"/>
      <c r="O969" s="111"/>
      <c r="P969" s="34"/>
    </row>
    <row x14ac:dyDescent="0.25" r="970" customHeight="1" ht="15.75">
      <c r="A970" s="117"/>
      <c r="B970" s="34"/>
      <c r="C970" s="34"/>
      <c r="D970" s="34"/>
      <c r="E970" s="34"/>
      <c r="F970" s="34"/>
      <c r="G970" s="29"/>
      <c r="H970" s="34"/>
      <c r="I970" s="85"/>
      <c r="J970" s="34"/>
      <c r="K970" s="29"/>
      <c r="L970" s="111"/>
      <c r="M970" s="111"/>
      <c r="N970" s="111"/>
      <c r="O970" s="111"/>
      <c r="P970" s="34"/>
    </row>
    <row x14ac:dyDescent="0.25" r="971" customHeight="1" ht="15.75">
      <c r="A971" s="117"/>
      <c r="B971" s="34"/>
      <c r="C971" s="34"/>
      <c r="D971" s="34"/>
      <c r="E971" s="34"/>
      <c r="F971" s="34"/>
      <c r="G971" s="29"/>
      <c r="H971" s="34"/>
      <c r="I971" s="85"/>
      <c r="J971" s="34"/>
      <c r="K971" s="29"/>
      <c r="L971" s="111"/>
      <c r="M971" s="111"/>
      <c r="N971" s="111"/>
      <c r="O971" s="111"/>
      <c r="P971" s="34"/>
    </row>
    <row x14ac:dyDescent="0.25" r="972" customHeight="1" ht="15.75">
      <c r="A972" s="117"/>
      <c r="B972" s="34"/>
      <c r="C972" s="34"/>
      <c r="D972" s="34"/>
      <c r="E972" s="34"/>
      <c r="F972" s="34"/>
      <c r="G972" s="29"/>
      <c r="H972" s="34"/>
      <c r="I972" s="85"/>
      <c r="J972" s="34"/>
      <c r="K972" s="29"/>
      <c r="L972" s="111"/>
      <c r="M972" s="111"/>
      <c r="N972" s="111"/>
      <c r="O972" s="111"/>
      <c r="P972" s="34"/>
    </row>
    <row x14ac:dyDescent="0.25" r="973" customHeight="1" ht="15.75">
      <c r="A973" s="117"/>
      <c r="B973" s="34"/>
      <c r="C973" s="34"/>
      <c r="D973" s="34"/>
      <c r="E973" s="34"/>
      <c r="F973" s="34"/>
      <c r="G973" s="29"/>
      <c r="H973" s="34"/>
      <c r="I973" s="85"/>
      <c r="J973" s="34"/>
      <c r="K973" s="29"/>
      <c r="L973" s="111"/>
      <c r="M973" s="111"/>
      <c r="N973" s="111"/>
      <c r="O973" s="111"/>
      <c r="P973" s="34"/>
    </row>
    <row x14ac:dyDescent="0.25" r="974" customHeight="1" ht="15.75">
      <c r="A974" s="117"/>
      <c r="B974" s="34"/>
      <c r="C974" s="34"/>
      <c r="D974" s="34"/>
      <c r="E974" s="34"/>
      <c r="F974" s="34"/>
      <c r="G974" s="29"/>
      <c r="H974" s="34"/>
      <c r="I974" s="85"/>
      <c r="J974" s="34"/>
      <c r="K974" s="29"/>
      <c r="L974" s="111"/>
      <c r="M974" s="111"/>
      <c r="N974" s="111"/>
      <c r="O974" s="111"/>
      <c r="P974" s="34"/>
    </row>
    <row x14ac:dyDescent="0.25" r="975" customHeight="1" ht="15.75">
      <c r="A975" s="117"/>
      <c r="B975" s="34"/>
      <c r="C975" s="34"/>
      <c r="D975" s="34"/>
      <c r="E975" s="34"/>
      <c r="F975" s="34"/>
      <c r="G975" s="29"/>
      <c r="H975" s="34"/>
      <c r="I975" s="85"/>
      <c r="J975" s="34"/>
      <c r="K975" s="29"/>
      <c r="L975" s="111"/>
      <c r="M975" s="111"/>
      <c r="N975" s="111"/>
      <c r="O975" s="111"/>
      <c r="P975" s="34"/>
    </row>
    <row x14ac:dyDescent="0.25" r="976" customHeight="1" ht="15.75">
      <c r="A976" s="117"/>
      <c r="B976" s="34"/>
      <c r="C976" s="34"/>
      <c r="D976" s="34"/>
      <c r="E976" s="34"/>
      <c r="F976" s="34"/>
      <c r="G976" s="29"/>
      <c r="H976" s="34"/>
      <c r="I976" s="85"/>
      <c r="J976" s="34"/>
      <c r="K976" s="29"/>
      <c r="L976" s="111"/>
      <c r="M976" s="111"/>
      <c r="N976" s="111"/>
      <c r="O976" s="111"/>
      <c r="P976" s="34"/>
    </row>
    <row x14ac:dyDescent="0.25" r="977" customHeight="1" ht="15.75">
      <c r="A977" s="117"/>
      <c r="B977" s="34"/>
      <c r="C977" s="34"/>
      <c r="D977" s="34"/>
      <c r="E977" s="34"/>
      <c r="F977" s="34"/>
      <c r="G977" s="29"/>
      <c r="H977" s="34"/>
      <c r="I977" s="85"/>
      <c r="J977" s="34"/>
      <c r="K977" s="29"/>
      <c r="L977" s="111"/>
      <c r="M977" s="111"/>
      <c r="N977" s="111"/>
      <c r="O977" s="111"/>
      <c r="P977" s="34"/>
    </row>
    <row x14ac:dyDescent="0.25" r="978" customHeight="1" ht="15.75">
      <c r="A978" s="117"/>
      <c r="B978" s="34"/>
      <c r="C978" s="34"/>
      <c r="D978" s="34"/>
      <c r="E978" s="34"/>
      <c r="F978" s="34"/>
      <c r="G978" s="29"/>
      <c r="H978" s="34"/>
      <c r="I978" s="85"/>
      <c r="J978" s="34"/>
      <c r="K978" s="29"/>
      <c r="L978" s="111"/>
      <c r="M978" s="111"/>
      <c r="N978" s="111"/>
      <c r="O978" s="111"/>
      <c r="P978" s="34"/>
    </row>
    <row x14ac:dyDescent="0.25" r="979" customHeight="1" ht="15.75">
      <c r="A979" s="117"/>
      <c r="B979" s="34"/>
      <c r="C979" s="34"/>
      <c r="D979" s="34"/>
      <c r="E979" s="34"/>
      <c r="F979" s="34"/>
      <c r="G979" s="29"/>
      <c r="H979" s="34"/>
      <c r="I979" s="85"/>
      <c r="J979" s="34"/>
      <c r="K979" s="29"/>
      <c r="L979" s="111"/>
      <c r="M979" s="111"/>
      <c r="N979" s="111"/>
      <c r="O979" s="111"/>
      <c r="P979" s="34"/>
    </row>
    <row x14ac:dyDescent="0.25" r="980" customHeight="1" ht="15.75">
      <c r="A980" s="117"/>
      <c r="B980" s="34"/>
      <c r="C980" s="34"/>
      <c r="D980" s="34"/>
      <c r="E980" s="34"/>
      <c r="F980" s="34"/>
      <c r="G980" s="29"/>
      <c r="H980" s="34"/>
      <c r="I980" s="85"/>
      <c r="J980" s="34"/>
      <c r="K980" s="29"/>
      <c r="L980" s="111"/>
      <c r="M980" s="111"/>
      <c r="N980" s="111"/>
      <c r="O980" s="111"/>
      <c r="P980" s="34"/>
    </row>
    <row x14ac:dyDescent="0.25" r="981" customHeight="1" ht="15.75">
      <c r="A981" s="117"/>
      <c r="B981" s="34"/>
      <c r="C981" s="34"/>
      <c r="D981" s="34"/>
      <c r="E981" s="34"/>
      <c r="F981" s="34"/>
      <c r="G981" s="29"/>
      <c r="H981" s="34"/>
      <c r="I981" s="85"/>
      <c r="J981" s="34"/>
      <c r="K981" s="29"/>
      <c r="L981" s="111"/>
      <c r="M981" s="111"/>
      <c r="N981" s="111"/>
      <c r="O981" s="111"/>
      <c r="P981" s="34"/>
    </row>
    <row x14ac:dyDescent="0.25" r="982" customHeight="1" ht="15.75">
      <c r="A982" s="117"/>
      <c r="B982" s="34"/>
      <c r="C982" s="34"/>
      <c r="D982" s="34"/>
      <c r="E982" s="34"/>
      <c r="F982" s="34"/>
      <c r="G982" s="29"/>
      <c r="H982" s="34"/>
      <c r="I982" s="85"/>
      <c r="J982" s="34"/>
      <c r="K982" s="29"/>
      <c r="L982" s="111"/>
      <c r="M982" s="111"/>
      <c r="N982" s="111"/>
      <c r="O982" s="111"/>
      <c r="P982" s="34"/>
    </row>
    <row x14ac:dyDescent="0.25" r="983" customHeight="1" ht="15.75">
      <c r="A983" s="117"/>
      <c r="B983" s="34"/>
      <c r="C983" s="34"/>
      <c r="D983" s="34"/>
      <c r="E983" s="34"/>
      <c r="F983" s="34"/>
      <c r="G983" s="29"/>
      <c r="H983" s="34"/>
      <c r="I983" s="85"/>
      <c r="J983" s="34"/>
      <c r="K983" s="29"/>
      <c r="L983" s="111"/>
      <c r="M983" s="111"/>
      <c r="N983" s="111"/>
      <c r="O983" s="111"/>
      <c r="P983" s="34"/>
    </row>
    <row x14ac:dyDescent="0.25" r="984" customHeight="1" ht="15.75">
      <c r="A984" s="117"/>
      <c r="B984" s="34"/>
      <c r="C984" s="34"/>
      <c r="D984" s="34"/>
      <c r="E984" s="34"/>
      <c r="F984" s="34"/>
      <c r="G984" s="29"/>
      <c r="H984" s="34"/>
      <c r="I984" s="85"/>
      <c r="J984" s="34"/>
      <c r="K984" s="29"/>
      <c r="L984" s="111"/>
      <c r="M984" s="111"/>
      <c r="N984" s="111"/>
      <c r="O984" s="111"/>
      <c r="P984" s="34"/>
    </row>
    <row x14ac:dyDescent="0.25" r="985" customHeight="1" ht="15.75">
      <c r="A985" s="117"/>
      <c r="B985" s="34"/>
      <c r="C985" s="34"/>
      <c r="D985" s="34"/>
      <c r="E985" s="34"/>
      <c r="F985" s="34"/>
      <c r="G985" s="29"/>
      <c r="H985" s="34"/>
      <c r="I985" s="85"/>
      <c r="J985" s="34"/>
      <c r="K985" s="29"/>
      <c r="L985" s="111"/>
      <c r="M985" s="111"/>
      <c r="N985" s="111"/>
      <c r="O985" s="111"/>
      <c r="P985" s="34"/>
    </row>
    <row x14ac:dyDescent="0.25" r="986" customHeight="1" ht="15.75">
      <c r="A986" s="117"/>
      <c r="B986" s="34"/>
      <c r="C986" s="34"/>
      <c r="D986" s="34"/>
      <c r="E986" s="34"/>
      <c r="F986" s="34"/>
      <c r="G986" s="29"/>
      <c r="H986" s="34"/>
      <c r="I986" s="85"/>
      <c r="J986" s="34"/>
      <c r="K986" s="29"/>
      <c r="L986" s="111"/>
      <c r="M986" s="111"/>
      <c r="N986" s="111"/>
      <c r="O986" s="111"/>
      <c r="P986" s="34"/>
    </row>
    <row x14ac:dyDescent="0.25" r="987" customHeight="1" ht="15.75">
      <c r="A987" s="117"/>
      <c r="B987" s="34"/>
      <c r="C987" s="34"/>
      <c r="D987" s="34"/>
      <c r="E987" s="34"/>
      <c r="F987" s="34"/>
      <c r="G987" s="29"/>
      <c r="H987" s="34"/>
      <c r="I987" s="85"/>
      <c r="J987" s="34"/>
      <c r="K987" s="29"/>
      <c r="L987" s="111"/>
      <c r="M987" s="111"/>
      <c r="N987" s="111"/>
      <c r="O987" s="111"/>
      <c r="P987" s="34"/>
    </row>
    <row x14ac:dyDescent="0.25" r="988" customHeight="1" ht="15.75">
      <c r="A988" s="117"/>
      <c r="B988" s="34"/>
      <c r="C988" s="34"/>
      <c r="D988" s="34"/>
      <c r="E988" s="34"/>
      <c r="F988" s="34"/>
      <c r="G988" s="29"/>
      <c r="H988" s="34"/>
      <c r="I988" s="85"/>
      <c r="J988" s="34"/>
      <c r="K988" s="29"/>
      <c r="L988" s="111"/>
      <c r="M988" s="111"/>
      <c r="N988" s="111"/>
      <c r="O988" s="111"/>
      <c r="P988" s="34"/>
    </row>
    <row x14ac:dyDescent="0.25" r="989" customHeight="1" ht="15.75">
      <c r="A989" s="117"/>
      <c r="B989" s="34"/>
      <c r="C989" s="34"/>
      <c r="D989" s="34"/>
      <c r="E989" s="34"/>
      <c r="F989" s="34"/>
      <c r="G989" s="29"/>
      <c r="H989" s="34"/>
      <c r="I989" s="85"/>
      <c r="J989" s="34"/>
      <c r="K989" s="29"/>
      <c r="L989" s="111"/>
      <c r="M989" s="111"/>
      <c r="N989" s="111"/>
      <c r="O989" s="111"/>
      <c r="P989" s="34"/>
    </row>
    <row x14ac:dyDescent="0.25" r="990" customHeight="1" ht="15.75">
      <c r="A990" s="117"/>
      <c r="B990" s="34"/>
      <c r="C990" s="34"/>
      <c r="D990" s="34"/>
      <c r="E990" s="34"/>
      <c r="F990" s="34"/>
      <c r="G990" s="29"/>
      <c r="H990" s="34"/>
      <c r="I990" s="85"/>
      <c r="J990" s="34"/>
      <c r="K990" s="29"/>
      <c r="L990" s="111"/>
      <c r="M990" s="111"/>
      <c r="N990" s="111"/>
      <c r="O990" s="111"/>
      <c r="P990" s="34"/>
    </row>
    <row x14ac:dyDescent="0.25" r="991" customHeight="1" ht="15.75">
      <c r="A991" s="117"/>
      <c r="B991" s="34"/>
      <c r="C991" s="34"/>
      <c r="D991" s="34"/>
      <c r="E991" s="34"/>
      <c r="F991" s="34"/>
      <c r="G991" s="29"/>
      <c r="H991" s="34"/>
      <c r="I991" s="85"/>
      <c r="J991" s="34"/>
      <c r="K991" s="29"/>
      <c r="L991" s="111"/>
      <c r="M991" s="111"/>
      <c r="N991" s="111"/>
      <c r="O991" s="111"/>
      <c r="P991" s="34"/>
    </row>
    <row x14ac:dyDescent="0.25" r="992" customHeight="1" ht="15.75">
      <c r="A992" s="117"/>
      <c r="B992" s="34"/>
      <c r="C992" s="34"/>
      <c r="D992" s="34"/>
      <c r="E992" s="34"/>
      <c r="F992" s="34"/>
      <c r="G992" s="29"/>
      <c r="H992" s="34"/>
      <c r="I992" s="85"/>
      <c r="J992" s="34"/>
      <c r="K992" s="29"/>
      <c r="L992" s="111"/>
      <c r="M992" s="111"/>
      <c r="N992" s="111"/>
      <c r="O992" s="111"/>
      <c r="P992" s="34"/>
    </row>
    <row x14ac:dyDescent="0.25" r="993" customHeight="1" ht="15.75">
      <c r="A993" s="117"/>
      <c r="B993" s="34"/>
      <c r="C993" s="34"/>
      <c r="D993" s="34"/>
      <c r="E993" s="34"/>
      <c r="F993" s="34"/>
      <c r="G993" s="29"/>
      <c r="H993" s="34"/>
      <c r="I993" s="85"/>
      <c r="J993" s="34"/>
      <c r="K993" s="29"/>
      <c r="L993" s="111"/>
      <c r="M993" s="111"/>
      <c r="N993" s="111"/>
      <c r="O993" s="111"/>
      <c r="P993" s="34"/>
    </row>
    <row x14ac:dyDescent="0.25" r="994" customHeight="1" ht="15.75">
      <c r="A994" s="117"/>
      <c r="B994" s="34"/>
      <c r="C994" s="34"/>
      <c r="D994" s="34"/>
      <c r="E994" s="34"/>
      <c r="F994" s="34"/>
      <c r="G994" s="29"/>
      <c r="H994" s="34"/>
      <c r="I994" s="85"/>
      <c r="J994" s="34"/>
      <c r="K994" s="29"/>
      <c r="L994" s="111"/>
      <c r="M994" s="111"/>
      <c r="N994" s="111"/>
      <c r="O994" s="111"/>
      <c r="P994" s="34"/>
    </row>
    <row x14ac:dyDescent="0.25" r="995" customHeight="1" ht="15.75">
      <c r="A995" s="117"/>
      <c r="B995" s="34"/>
      <c r="C995" s="34"/>
      <c r="D995" s="34"/>
      <c r="E995" s="34"/>
      <c r="F995" s="34"/>
      <c r="G995" s="29"/>
      <c r="H995" s="34"/>
      <c r="I995" s="85"/>
      <c r="J995" s="34"/>
      <c r="K995" s="29"/>
      <c r="L995" s="111"/>
      <c r="M995" s="111"/>
      <c r="N995" s="111"/>
      <c r="O995" s="111"/>
      <c r="P995" s="34"/>
    </row>
    <row x14ac:dyDescent="0.25" r="996" customHeight="1" ht="15.75">
      <c r="A996" s="117"/>
      <c r="B996" s="34"/>
      <c r="C996" s="34"/>
      <c r="D996" s="34"/>
      <c r="E996" s="34"/>
      <c r="F996" s="34"/>
      <c r="G996" s="29"/>
      <c r="H996" s="34"/>
      <c r="I996" s="85"/>
      <c r="J996" s="34"/>
      <c r="K996" s="29"/>
      <c r="L996" s="111"/>
      <c r="M996" s="111"/>
      <c r="N996" s="111"/>
      <c r="O996" s="111"/>
      <c r="P996" s="34"/>
    </row>
    <row x14ac:dyDescent="0.25" r="997" customHeight="1" ht="15.75">
      <c r="A997" s="117"/>
      <c r="B997" s="34"/>
      <c r="C997" s="34"/>
      <c r="D997" s="34"/>
      <c r="E997" s="34"/>
      <c r="F997" s="34"/>
      <c r="G997" s="29"/>
      <c r="H997" s="34"/>
      <c r="I997" s="85"/>
      <c r="J997" s="34"/>
      <c r="K997" s="29"/>
      <c r="L997" s="111"/>
      <c r="M997" s="111"/>
      <c r="N997" s="111"/>
      <c r="O997" s="111"/>
      <c r="P997" s="34"/>
    </row>
    <row x14ac:dyDescent="0.25" r="998" customHeight="1" ht="15.75">
      <c r="A998" s="117"/>
      <c r="B998" s="34"/>
      <c r="C998" s="34"/>
      <c r="D998" s="34"/>
      <c r="E998" s="34"/>
      <c r="F998" s="34"/>
      <c r="G998" s="29"/>
      <c r="H998" s="34"/>
      <c r="I998" s="85"/>
      <c r="J998" s="34"/>
      <c r="K998" s="29"/>
      <c r="L998" s="111"/>
      <c r="M998" s="111"/>
      <c r="N998" s="111"/>
      <c r="O998" s="111"/>
      <c r="P998" s="34"/>
    </row>
    <row x14ac:dyDescent="0.25" r="999" customHeight="1" ht="15.75">
      <c r="A999" s="117"/>
      <c r="B999" s="34"/>
      <c r="C999" s="34"/>
      <c r="D999" s="34"/>
      <c r="E999" s="34"/>
      <c r="F999" s="34"/>
      <c r="G999" s="29"/>
      <c r="H999" s="34"/>
      <c r="I999" s="85"/>
      <c r="J999" s="34"/>
      <c r="K999" s="29"/>
      <c r="L999" s="111"/>
      <c r="M999" s="111"/>
      <c r="N999" s="111"/>
      <c r="O999" s="111"/>
      <c r="P999" s="34"/>
    </row>
    <row x14ac:dyDescent="0.25" r="1000" customHeight="1" ht="15.75">
      <c r="A1000" s="117"/>
      <c r="B1000" s="34"/>
      <c r="C1000" s="34"/>
      <c r="D1000" s="34"/>
      <c r="E1000" s="34"/>
      <c r="F1000" s="34"/>
      <c r="G1000" s="29"/>
      <c r="H1000" s="34"/>
      <c r="I1000" s="85"/>
      <c r="J1000" s="34"/>
      <c r="K1000" s="29"/>
      <c r="L1000" s="111"/>
      <c r="M1000" s="111"/>
      <c r="N1000" s="111"/>
      <c r="O1000" s="111"/>
      <c r="P1000" s="34"/>
    </row>
    <row x14ac:dyDescent="0.25" r="1001" customHeight="1" ht="15.75">
      <c r="A1001" s="117"/>
      <c r="B1001" s="34"/>
      <c r="C1001" s="34"/>
      <c r="D1001" s="34"/>
      <c r="E1001" s="34"/>
      <c r="F1001" s="34"/>
      <c r="G1001" s="29"/>
      <c r="H1001" s="34"/>
      <c r="I1001" s="85"/>
      <c r="J1001" s="34"/>
      <c r="K1001" s="29"/>
      <c r="L1001" s="111"/>
      <c r="M1001" s="111"/>
      <c r="N1001" s="111"/>
      <c r="O1001" s="111"/>
      <c r="P1001" s="34"/>
    </row>
  </sheetData>
  <mergeCells count="3">
    <mergeCell ref="A1:M1"/>
    <mergeCell ref="A106:H106"/>
    <mergeCell ref="C205:G20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1003"/>
  <sheetViews>
    <sheetView workbookViewId="0"/>
  </sheetViews>
  <sheetFormatPr defaultRowHeight="15" x14ac:dyDescent="0.25"/>
  <cols>
    <col min="1" max="1" style="20" width="11.43357142857143" customWidth="1" bestFit="1"/>
    <col min="2" max="2" style="36" width="6.147857142857143" customWidth="1" bestFit="1"/>
    <col min="3" max="3" style="20" width="14.862142857142858" customWidth="1" bestFit="1"/>
    <col min="4" max="4" style="36" width="6.576428571428571" customWidth="1" bestFit="1"/>
    <col min="5" max="5" style="36" width="17.862142857142857" customWidth="1" bestFit="1"/>
    <col min="6" max="6" style="36" width="35.86214285714286" customWidth="1" bestFit="1"/>
    <col min="7" max="7" style="37" width="15.290714285714287" customWidth="1" bestFit="1"/>
    <col min="8" max="8" style="37" width="11.43357142857143" customWidth="1" bestFit="1"/>
    <col min="9" max="9" style="37" width="11.43357142857143" customWidth="1" bestFit="1"/>
    <col min="10" max="10" style="36" width="11.43357142857143" customWidth="1" bestFit="1"/>
    <col min="11" max="11" style="36" width="20.290714285714284" customWidth="1" bestFit="1"/>
    <col min="12" max="12" style="36" width="13.576428571428572" customWidth="1" bestFit="1"/>
    <col min="13" max="13" style="37" width="13.576428571428572" customWidth="1" bestFit="1"/>
    <col min="14" max="14" style="37" width="13.576428571428572" customWidth="1" bestFit="1"/>
    <col min="15" max="15" style="37" width="13.576428571428572" customWidth="1" bestFit="1"/>
    <col min="16" max="16" style="37" width="13.576428571428572" customWidth="1" bestFit="1"/>
    <col min="17" max="17" style="36" width="13.576428571428572" customWidth="1" bestFit="1"/>
    <col min="18" max="18" style="36" width="13.576428571428572" customWidth="1" bestFit="1"/>
  </cols>
  <sheetData>
    <row x14ac:dyDescent="0.25" r="1" customHeight="1" ht="18.75">
      <c r="A1" s="1"/>
      <c r="B1" s="34"/>
      <c r="C1" s="1"/>
      <c r="D1" s="34"/>
      <c r="E1" s="34"/>
      <c r="F1" s="34"/>
      <c r="G1" s="29"/>
      <c r="H1" s="29"/>
      <c r="I1" s="29"/>
      <c r="J1" s="34"/>
      <c r="K1" s="34"/>
      <c r="L1" s="34"/>
      <c r="M1" s="29"/>
      <c r="N1" s="29"/>
      <c r="O1" s="29"/>
      <c r="P1" s="29"/>
      <c r="Q1" s="34"/>
      <c r="R1" s="34"/>
    </row>
    <row x14ac:dyDescent="0.25" r="2" customHeight="1" ht="18.75">
      <c r="A2" s="12">
        <v>45660</v>
      </c>
      <c r="B2" s="14" t="s">
        <v>22</v>
      </c>
      <c r="C2" s="12" t="s">
        <v>461</v>
      </c>
      <c r="D2" s="14" t="s">
        <v>462</v>
      </c>
      <c r="E2" s="14" t="s">
        <v>463</v>
      </c>
      <c r="F2" s="14" t="s">
        <v>464</v>
      </c>
      <c r="G2" s="68"/>
      <c r="H2" s="17">
        <v>173900</v>
      </c>
      <c r="I2" s="17">
        <v>50000</v>
      </c>
      <c r="J2" s="14" t="s">
        <v>22</v>
      </c>
      <c r="K2" s="14" t="s">
        <v>465</v>
      </c>
      <c r="L2" s="14"/>
      <c r="M2" s="17">
        <v>0</v>
      </c>
      <c r="N2" s="17">
        <v>0</v>
      </c>
      <c r="O2" s="17"/>
      <c r="P2" s="69">
        <v>223900</v>
      </c>
      <c r="Q2" s="14" t="s">
        <v>466</v>
      </c>
      <c r="R2" s="3" t="s">
        <v>467</v>
      </c>
    </row>
    <row x14ac:dyDescent="0.25" r="3" customHeight="1" ht="18.75">
      <c r="A3" s="12">
        <v>45660</v>
      </c>
      <c r="B3" s="14" t="s">
        <v>22</v>
      </c>
      <c r="C3" s="12" t="s">
        <v>461</v>
      </c>
      <c r="D3" s="14" t="s">
        <v>462</v>
      </c>
      <c r="E3" s="14" t="s">
        <v>463</v>
      </c>
      <c r="F3" s="14" t="s">
        <v>468</v>
      </c>
      <c r="G3" s="68"/>
      <c r="H3" s="17">
        <v>231200</v>
      </c>
      <c r="I3" s="17">
        <v>40600</v>
      </c>
      <c r="J3" s="14" t="s">
        <v>22</v>
      </c>
      <c r="K3" s="14" t="s">
        <v>469</v>
      </c>
      <c r="L3" s="14"/>
      <c r="M3" s="17"/>
      <c r="N3" s="17"/>
      <c r="O3" s="17"/>
      <c r="P3" s="69">
        <v>271800</v>
      </c>
      <c r="Q3" s="14" t="s">
        <v>466</v>
      </c>
      <c r="R3" s="3" t="s">
        <v>470</v>
      </c>
    </row>
    <row x14ac:dyDescent="0.25" r="4" customHeight="1" ht="18.75">
      <c r="A4" s="12">
        <v>45660</v>
      </c>
      <c r="B4" s="14" t="s">
        <v>82</v>
      </c>
      <c r="C4" s="12" t="s">
        <v>471</v>
      </c>
      <c r="D4" s="14" t="s">
        <v>472</v>
      </c>
      <c r="E4" s="14" t="s">
        <v>463</v>
      </c>
      <c r="F4" s="14" t="s">
        <v>464</v>
      </c>
      <c r="G4" s="68"/>
      <c r="H4" s="17">
        <v>60170</v>
      </c>
      <c r="I4" s="17">
        <v>15000</v>
      </c>
      <c r="J4" s="14" t="s">
        <v>86</v>
      </c>
      <c r="K4" s="14" t="s">
        <v>473</v>
      </c>
      <c r="L4" s="14"/>
      <c r="M4" s="17"/>
      <c r="N4" s="17"/>
      <c r="O4" s="17"/>
      <c r="P4" s="69">
        <v>75170</v>
      </c>
      <c r="Q4" s="14" t="s">
        <v>466</v>
      </c>
      <c r="R4" s="3" t="s">
        <v>474</v>
      </c>
    </row>
    <row x14ac:dyDescent="0.25" r="5" customHeight="1" ht="16.5">
      <c r="A5" s="12">
        <v>45680</v>
      </c>
      <c r="B5" s="14" t="s">
        <v>475</v>
      </c>
      <c r="C5" s="12" t="s">
        <v>476</v>
      </c>
      <c r="D5" s="14" t="s">
        <v>477</v>
      </c>
      <c r="E5" s="14" t="s">
        <v>463</v>
      </c>
      <c r="F5" s="14" t="s">
        <v>478</v>
      </c>
      <c r="G5" s="69">
        <v>306093</v>
      </c>
      <c r="H5" s="17">
        <v>256093</v>
      </c>
      <c r="I5" s="17">
        <v>50000</v>
      </c>
      <c r="J5" s="14" t="s">
        <v>475</v>
      </c>
      <c r="K5" s="70" t="s">
        <v>479</v>
      </c>
      <c r="L5" s="14"/>
      <c r="M5" s="17"/>
      <c r="N5" s="17"/>
      <c r="O5" s="17"/>
      <c r="P5" s="17"/>
      <c r="Q5" s="14"/>
      <c r="R5" s="34"/>
    </row>
    <row x14ac:dyDescent="0.25" r="6" customHeight="1" ht="15.75">
      <c r="A6" s="12">
        <v>45680</v>
      </c>
      <c r="B6" s="14" t="s">
        <v>475</v>
      </c>
      <c r="C6" s="12" t="s">
        <v>476</v>
      </c>
      <c r="D6" s="14" t="s">
        <v>477</v>
      </c>
      <c r="E6" s="14" t="s">
        <v>463</v>
      </c>
      <c r="F6" s="14" t="s">
        <v>480</v>
      </c>
      <c r="G6" s="69">
        <v>26857</v>
      </c>
      <c r="H6" s="17">
        <v>16857</v>
      </c>
      <c r="I6" s="17">
        <v>10000</v>
      </c>
      <c r="J6" s="14" t="s">
        <v>475</v>
      </c>
      <c r="K6" s="70" t="s">
        <v>481</v>
      </c>
      <c r="L6" s="14"/>
      <c r="M6" s="17"/>
      <c r="N6" s="17"/>
      <c r="O6" s="17"/>
      <c r="P6" s="17"/>
      <c r="Q6" s="14"/>
      <c r="R6" s="34"/>
    </row>
    <row x14ac:dyDescent="0.25" r="7" customHeight="1" ht="18.75">
      <c r="A7" s="12">
        <v>45681</v>
      </c>
      <c r="B7" s="14" t="s">
        <v>475</v>
      </c>
      <c r="C7" s="12" t="s">
        <v>476</v>
      </c>
      <c r="D7" s="14" t="s">
        <v>477</v>
      </c>
      <c r="E7" s="14" t="s">
        <v>463</v>
      </c>
      <c r="F7" s="14" t="s">
        <v>482</v>
      </c>
      <c r="G7" s="68"/>
      <c r="H7" s="17">
        <v>256000</v>
      </c>
      <c r="I7" s="17">
        <v>0</v>
      </c>
      <c r="J7" s="14" t="s">
        <v>475</v>
      </c>
      <c r="K7" s="14" t="s">
        <v>483</v>
      </c>
      <c r="L7" s="14"/>
      <c r="M7" s="17"/>
      <c r="N7" s="17"/>
      <c r="O7" s="17"/>
      <c r="P7" s="17"/>
      <c r="Q7" s="14"/>
      <c r="R7" s="34"/>
    </row>
    <row x14ac:dyDescent="0.25" r="8" customHeight="1" ht="18.75">
      <c r="A8" s="12">
        <v>45686</v>
      </c>
      <c r="B8" s="14" t="s">
        <v>475</v>
      </c>
      <c r="C8" s="12" t="s">
        <v>484</v>
      </c>
      <c r="D8" s="14" t="s">
        <v>485</v>
      </c>
      <c r="E8" s="14" t="s">
        <v>463</v>
      </c>
      <c r="F8" s="14" t="s">
        <v>478</v>
      </c>
      <c r="G8" s="69">
        <v>73900</v>
      </c>
      <c r="H8" s="17">
        <v>58000</v>
      </c>
      <c r="I8" s="17">
        <v>15900</v>
      </c>
      <c r="J8" s="14" t="s">
        <v>475</v>
      </c>
      <c r="K8" s="14" t="s">
        <v>486</v>
      </c>
      <c r="L8" s="14" t="s">
        <v>251</v>
      </c>
      <c r="M8" s="17"/>
      <c r="N8" s="17"/>
      <c r="O8" s="17"/>
      <c r="P8" s="69">
        <v>73900</v>
      </c>
      <c r="Q8" s="14"/>
      <c r="R8" s="34"/>
    </row>
    <row x14ac:dyDescent="0.25" r="9" customHeight="1" ht="18.75">
      <c r="A9" s="12">
        <v>45686</v>
      </c>
      <c r="B9" s="14" t="s">
        <v>475</v>
      </c>
      <c r="C9" s="12" t="s">
        <v>484</v>
      </c>
      <c r="D9" s="14" t="s">
        <v>485</v>
      </c>
      <c r="E9" s="14" t="s">
        <v>463</v>
      </c>
      <c r="F9" s="14" t="s">
        <v>480</v>
      </c>
      <c r="G9" s="69">
        <v>0</v>
      </c>
      <c r="H9" s="17">
        <v>0</v>
      </c>
      <c r="I9" s="17">
        <v>0</v>
      </c>
      <c r="J9" s="14" t="s">
        <v>475</v>
      </c>
      <c r="K9" s="14" t="s">
        <v>486</v>
      </c>
      <c r="L9" s="14" t="s">
        <v>251</v>
      </c>
      <c r="M9" s="17"/>
      <c r="N9" s="17"/>
      <c r="O9" s="17"/>
      <c r="P9" s="69">
        <v>0</v>
      </c>
      <c r="Q9" s="14"/>
      <c r="R9" s="34"/>
    </row>
    <row x14ac:dyDescent="0.25" r="10" customHeight="1" ht="18.75">
      <c r="A10" s="12">
        <v>45686</v>
      </c>
      <c r="B10" s="14" t="s">
        <v>475</v>
      </c>
      <c r="C10" s="12" t="s">
        <v>484</v>
      </c>
      <c r="D10" s="14" t="s">
        <v>485</v>
      </c>
      <c r="E10" s="14" t="s">
        <v>463</v>
      </c>
      <c r="F10" s="14" t="s">
        <v>482</v>
      </c>
      <c r="G10" s="68"/>
      <c r="H10" s="17">
        <v>53000</v>
      </c>
      <c r="I10" s="17">
        <v>15000</v>
      </c>
      <c r="J10" s="14" t="s">
        <v>475</v>
      </c>
      <c r="K10" s="14" t="s">
        <v>487</v>
      </c>
      <c r="L10" s="14" t="s">
        <v>251</v>
      </c>
      <c r="M10" s="17"/>
      <c r="N10" s="17"/>
      <c r="O10" s="17"/>
      <c r="P10" s="69">
        <v>68000</v>
      </c>
      <c r="Q10" s="14"/>
      <c r="R10" s="34"/>
    </row>
    <row x14ac:dyDescent="0.25" r="11" customHeight="1" ht="18.75">
      <c r="A11" s="12">
        <v>45693</v>
      </c>
      <c r="B11" s="14" t="s">
        <v>475</v>
      </c>
      <c r="C11" s="12" t="s">
        <v>488</v>
      </c>
      <c r="D11" s="14" t="s">
        <v>489</v>
      </c>
      <c r="E11" s="14" t="s">
        <v>141</v>
      </c>
      <c r="F11" s="14" t="s">
        <v>464</v>
      </c>
      <c r="G11" s="17">
        <v>298800</v>
      </c>
      <c r="H11" s="17">
        <v>238000</v>
      </c>
      <c r="I11" s="17">
        <v>60800</v>
      </c>
      <c r="J11" s="14" t="s">
        <v>475</v>
      </c>
      <c r="K11" s="14" t="s">
        <v>490</v>
      </c>
      <c r="L11" s="14"/>
      <c r="M11" s="17"/>
      <c r="N11" s="17"/>
      <c r="O11" s="65"/>
      <c r="P11" s="29"/>
      <c r="Q11" s="34"/>
      <c r="R11" s="34"/>
    </row>
    <row x14ac:dyDescent="0.25" r="12" customHeight="1" ht="18.75">
      <c r="A12" s="12">
        <v>45693</v>
      </c>
      <c r="B12" s="14" t="s">
        <v>475</v>
      </c>
      <c r="C12" s="12" t="s">
        <v>488</v>
      </c>
      <c r="D12" s="14" t="s">
        <v>477</v>
      </c>
      <c r="E12" s="14" t="s">
        <v>141</v>
      </c>
      <c r="F12" s="14" t="s">
        <v>491</v>
      </c>
      <c r="G12" s="17">
        <v>298800</v>
      </c>
      <c r="H12" s="17">
        <v>238000</v>
      </c>
      <c r="I12" s="17">
        <v>60800</v>
      </c>
      <c r="J12" s="14" t="s">
        <v>475</v>
      </c>
      <c r="K12" s="14" t="s">
        <v>492</v>
      </c>
      <c r="L12" s="14"/>
      <c r="M12" s="17"/>
      <c r="N12" s="17"/>
      <c r="O12" s="65"/>
      <c r="P12" s="29"/>
      <c r="Q12" s="34"/>
      <c r="R12" s="34"/>
    </row>
    <row x14ac:dyDescent="0.25" r="13" customHeight="1" ht="18.75">
      <c r="A13" s="12">
        <v>45694</v>
      </c>
      <c r="B13" s="14" t="s">
        <v>22</v>
      </c>
      <c r="C13" s="12" t="s">
        <v>493</v>
      </c>
      <c r="D13" s="14" t="s">
        <v>485</v>
      </c>
      <c r="E13" s="14" t="s">
        <v>141</v>
      </c>
      <c r="F13" s="14" t="s">
        <v>494</v>
      </c>
      <c r="G13" s="17">
        <v>295900</v>
      </c>
      <c r="H13" s="17">
        <v>199600</v>
      </c>
      <c r="I13" s="17">
        <v>96300</v>
      </c>
      <c r="J13" s="14" t="s">
        <v>22</v>
      </c>
      <c r="K13" s="14" t="s">
        <v>495</v>
      </c>
      <c r="L13" s="14"/>
      <c r="M13" s="17"/>
      <c r="N13" s="17"/>
      <c r="O13" s="65"/>
      <c r="P13" s="29"/>
      <c r="Q13" s="34"/>
      <c r="R13" s="34"/>
    </row>
    <row x14ac:dyDescent="0.25" r="14" customHeight="1" ht="18.75">
      <c r="A14" s="12">
        <v>45699</v>
      </c>
      <c r="B14" s="14" t="s">
        <v>82</v>
      </c>
      <c r="C14" s="12" t="s">
        <v>496</v>
      </c>
      <c r="D14" s="14" t="s">
        <v>472</v>
      </c>
      <c r="E14" s="14" t="s">
        <v>141</v>
      </c>
      <c r="F14" s="14" t="s">
        <v>464</v>
      </c>
      <c r="G14" s="17">
        <v>89900</v>
      </c>
      <c r="H14" s="17">
        <v>41870</v>
      </c>
      <c r="I14" s="17">
        <v>48030</v>
      </c>
      <c r="J14" s="14" t="s">
        <v>86</v>
      </c>
      <c r="K14" s="14" t="s">
        <v>497</v>
      </c>
      <c r="L14" s="14"/>
      <c r="M14" s="17"/>
      <c r="N14" s="17"/>
      <c r="O14" s="65"/>
      <c r="P14" s="29"/>
      <c r="Q14" s="34"/>
      <c r="R14" s="34"/>
    </row>
    <row x14ac:dyDescent="0.25" r="15" customHeight="1" ht="18.75">
      <c r="A15" s="12">
        <v>45701</v>
      </c>
      <c r="B15" s="14" t="s">
        <v>475</v>
      </c>
      <c r="C15" s="12" t="s">
        <v>498</v>
      </c>
      <c r="D15" s="14" t="s">
        <v>477</v>
      </c>
      <c r="E15" s="14" t="s">
        <v>141</v>
      </c>
      <c r="F15" s="14" t="s">
        <v>464</v>
      </c>
      <c r="G15" s="17">
        <v>232950</v>
      </c>
      <c r="H15" s="17">
        <v>151000</v>
      </c>
      <c r="I15" s="17">
        <v>81950</v>
      </c>
      <c r="J15" s="14" t="s">
        <v>475</v>
      </c>
      <c r="K15" s="14" t="s">
        <v>499</v>
      </c>
      <c r="L15" s="14"/>
      <c r="M15" s="17"/>
      <c r="N15" s="17"/>
      <c r="O15" s="65"/>
      <c r="P15" s="29"/>
      <c r="Q15" s="34"/>
      <c r="R15" s="34"/>
    </row>
    <row x14ac:dyDescent="0.25" r="16" customHeight="1" ht="18.75">
      <c r="A16" s="12">
        <v>45701</v>
      </c>
      <c r="B16" s="14" t="s">
        <v>475</v>
      </c>
      <c r="C16" s="12" t="s">
        <v>500</v>
      </c>
      <c r="D16" s="14" t="s">
        <v>477</v>
      </c>
      <c r="E16" s="14" t="s">
        <v>141</v>
      </c>
      <c r="F16" s="14" t="s">
        <v>491</v>
      </c>
      <c r="G16" s="17">
        <v>378950</v>
      </c>
      <c r="H16" s="17">
        <v>288000</v>
      </c>
      <c r="I16" s="17">
        <v>90950</v>
      </c>
      <c r="J16" s="14" t="s">
        <v>475</v>
      </c>
      <c r="K16" s="14" t="s">
        <v>501</v>
      </c>
      <c r="L16" s="14"/>
      <c r="M16" s="17"/>
      <c r="N16" s="17"/>
      <c r="O16" s="65"/>
      <c r="P16" s="29"/>
      <c r="Q16" s="34"/>
      <c r="R16" s="34"/>
    </row>
    <row x14ac:dyDescent="0.25" r="17" customHeight="1" ht="18.75">
      <c r="A17" s="12"/>
      <c r="B17" s="14"/>
      <c r="C17" s="12"/>
      <c r="D17" s="14"/>
      <c r="E17" s="14"/>
      <c r="F17" s="14"/>
      <c r="G17" s="17">
        <f>SUM(G2:G16)</f>
      </c>
      <c r="H17" s="17"/>
      <c r="I17" s="17"/>
      <c r="J17" s="14"/>
      <c r="K17" s="14"/>
      <c r="L17" s="17"/>
      <c r="M17" s="17"/>
      <c r="N17" s="17"/>
      <c r="O17" s="65"/>
      <c r="P17" s="29"/>
      <c r="Q17" s="34"/>
      <c r="R17" s="34"/>
    </row>
    <row x14ac:dyDescent="0.25" r="18" customHeight="1" ht="18.75">
      <c r="A18" s="1"/>
      <c r="B18" s="34"/>
      <c r="C18" s="1"/>
      <c r="D18" s="34"/>
      <c r="E18" s="34"/>
      <c r="F18" s="34"/>
      <c r="G18" s="29"/>
      <c r="H18" s="29"/>
      <c r="I18" s="29"/>
      <c r="J18" s="34"/>
      <c r="K18" s="34"/>
      <c r="L18" s="34"/>
      <c r="M18" s="29"/>
      <c r="N18" s="29"/>
      <c r="O18" s="29"/>
      <c r="P18" s="29"/>
      <c r="Q18" s="34"/>
      <c r="R18" s="34"/>
    </row>
    <row x14ac:dyDescent="0.25" r="19" customHeight="1" ht="18.75">
      <c r="A19" s="1"/>
      <c r="B19" s="34"/>
      <c r="C19" s="1"/>
      <c r="D19" s="34"/>
      <c r="E19" s="34"/>
      <c r="F19" s="34"/>
      <c r="G19" s="29"/>
      <c r="H19" s="29"/>
      <c r="I19" s="29"/>
      <c r="J19" s="34"/>
      <c r="K19" s="34"/>
      <c r="L19" s="34"/>
      <c r="M19" s="29"/>
      <c r="N19" s="29"/>
      <c r="O19" s="29"/>
      <c r="P19" s="29"/>
      <c r="Q19" s="34"/>
      <c r="R19" s="34"/>
    </row>
    <row x14ac:dyDescent="0.25" r="20" customHeight="1" ht="18.75">
      <c r="A20" s="1"/>
      <c r="B20" s="34"/>
      <c r="C20" s="1"/>
      <c r="D20" s="34"/>
      <c r="E20" s="34"/>
      <c r="F20" s="34"/>
      <c r="G20" s="29"/>
      <c r="H20" s="29"/>
      <c r="I20" s="29"/>
      <c r="J20" s="34"/>
      <c r="K20" s="34"/>
      <c r="L20" s="34"/>
      <c r="M20" s="29"/>
      <c r="N20" s="29"/>
      <c r="O20" s="29"/>
      <c r="P20" s="29"/>
      <c r="Q20" s="34"/>
      <c r="R20" s="34"/>
    </row>
    <row x14ac:dyDescent="0.25" r="21" customHeight="1" ht="88.5">
      <c r="A21" s="1"/>
      <c r="B21" s="34"/>
      <c r="C21" s="71" t="s">
        <v>502</v>
      </c>
      <c r="D21" s="72"/>
      <c r="E21" s="72"/>
      <c r="F21" s="72"/>
      <c r="G21" s="73"/>
      <c r="H21" s="29"/>
      <c r="I21" s="29"/>
      <c r="J21" s="34"/>
      <c r="K21" s="34"/>
      <c r="L21" s="34"/>
      <c r="M21" s="29"/>
      <c r="N21" s="29"/>
      <c r="O21" s="29"/>
      <c r="P21" s="29"/>
      <c r="Q21" s="34"/>
      <c r="R21" s="34"/>
    </row>
    <row x14ac:dyDescent="0.25" r="22" customHeight="1" ht="30">
      <c r="A22" s="1"/>
      <c r="B22" s="34"/>
      <c r="C22" s="74" t="s">
        <v>503</v>
      </c>
      <c r="D22" s="75" t="s">
        <v>504</v>
      </c>
      <c r="E22" s="75" t="s">
        <v>505</v>
      </c>
      <c r="F22" s="75" t="s">
        <v>506</v>
      </c>
      <c r="G22" s="76" t="s">
        <v>507</v>
      </c>
      <c r="H22" s="29"/>
      <c r="I22" s="29"/>
      <c r="J22" s="34"/>
      <c r="K22" s="34"/>
      <c r="L22" s="34"/>
      <c r="M22" s="29"/>
      <c r="N22" s="29"/>
      <c r="O22" s="29"/>
      <c r="P22" s="29"/>
      <c r="Q22" s="34"/>
      <c r="R22" s="34"/>
    </row>
    <row x14ac:dyDescent="0.25" r="23" customHeight="1" ht="15.75">
      <c r="A23" s="1"/>
      <c r="B23" s="34"/>
      <c r="C23" s="12">
        <v>45693</v>
      </c>
      <c r="D23" s="14" t="s">
        <v>475</v>
      </c>
      <c r="E23" s="14" t="s">
        <v>489</v>
      </c>
      <c r="F23" s="14" t="s">
        <v>464</v>
      </c>
      <c r="G23" s="17">
        <v>298800</v>
      </c>
      <c r="H23" s="29"/>
      <c r="I23" s="29"/>
      <c r="J23" s="34"/>
      <c r="K23" s="34"/>
      <c r="L23" s="34"/>
      <c r="M23" s="29"/>
      <c r="N23" s="29"/>
      <c r="O23" s="29"/>
      <c r="P23" s="29"/>
      <c r="Q23" s="34"/>
      <c r="R23" s="34"/>
    </row>
    <row x14ac:dyDescent="0.25" r="24" customHeight="1" ht="15.75">
      <c r="A24" s="1"/>
      <c r="B24" s="34"/>
      <c r="C24" s="12">
        <v>45693</v>
      </c>
      <c r="D24" s="14" t="s">
        <v>475</v>
      </c>
      <c r="E24" s="14" t="s">
        <v>477</v>
      </c>
      <c r="F24" s="14" t="s">
        <v>491</v>
      </c>
      <c r="G24" s="17">
        <v>298800</v>
      </c>
      <c r="H24" s="29"/>
      <c r="I24" s="29"/>
      <c r="J24" s="34"/>
      <c r="K24" s="34"/>
      <c r="L24" s="34"/>
      <c r="M24" s="29"/>
      <c r="N24" s="29"/>
      <c r="O24" s="29"/>
      <c r="P24" s="29"/>
      <c r="Q24" s="34"/>
      <c r="R24" s="34"/>
    </row>
    <row x14ac:dyDescent="0.25" r="25" customHeight="1" ht="15.75">
      <c r="A25" s="1"/>
      <c r="B25" s="34"/>
      <c r="C25" s="12">
        <v>45699</v>
      </c>
      <c r="D25" s="14" t="s">
        <v>82</v>
      </c>
      <c r="E25" s="14" t="s">
        <v>472</v>
      </c>
      <c r="F25" s="14" t="s">
        <v>464</v>
      </c>
      <c r="G25" s="17">
        <v>89900</v>
      </c>
      <c r="H25" s="29"/>
      <c r="I25" s="29"/>
      <c r="J25" s="34"/>
      <c r="K25" s="34"/>
      <c r="L25" s="34"/>
      <c r="M25" s="29"/>
      <c r="N25" s="29"/>
      <c r="O25" s="29"/>
      <c r="P25" s="29"/>
      <c r="Q25" s="34"/>
      <c r="R25" s="34"/>
    </row>
    <row x14ac:dyDescent="0.25" r="26" customHeight="1" ht="15.75">
      <c r="A26" s="1"/>
      <c r="B26" s="34"/>
      <c r="C26" s="12">
        <v>45701</v>
      </c>
      <c r="D26" s="14" t="s">
        <v>475</v>
      </c>
      <c r="E26" s="14" t="s">
        <v>508</v>
      </c>
      <c r="F26" s="14" t="s">
        <v>464</v>
      </c>
      <c r="G26" s="17">
        <v>232950</v>
      </c>
      <c r="H26" s="29"/>
      <c r="I26" s="29"/>
      <c r="J26" s="34"/>
      <c r="K26" s="34"/>
      <c r="L26" s="34"/>
      <c r="M26" s="29"/>
      <c r="N26" s="29"/>
      <c r="O26" s="29"/>
      <c r="P26" s="29"/>
      <c r="Q26" s="34"/>
      <c r="R26" s="34"/>
    </row>
    <row x14ac:dyDescent="0.25" r="27" customHeight="1" ht="15.75">
      <c r="A27" s="1"/>
      <c r="B27" s="34"/>
      <c r="C27" s="12">
        <v>45701</v>
      </c>
      <c r="D27" s="14" t="s">
        <v>475</v>
      </c>
      <c r="E27" s="14" t="s">
        <v>477</v>
      </c>
      <c r="F27" s="14" t="s">
        <v>491</v>
      </c>
      <c r="G27" s="17">
        <v>378950</v>
      </c>
      <c r="H27" s="29"/>
      <c r="I27" s="29"/>
      <c r="J27" s="34"/>
      <c r="K27" s="34"/>
      <c r="L27" s="34"/>
      <c r="M27" s="29"/>
      <c r="N27" s="29"/>
      <c r="O27" s="29"/>
      <c r="P27" s="29"/>
      <c r="Q27" s="34"/>
      <c r="R27" s="34"/>
    </row>
    <row x14ac:dyDescent="0.25" r="28" customHeight="1" ht="15.75">
      <c r="A28" s="1"/>
      <c r="B28" s="34"/>
      <c r="C28" s="12">
        <v>45705</v>
      </c>
      <c r="D28" s="14" t="s">
        <v>475</v>
      </c>
      <c r="E28" s="14" t="s">
        <v>485</v>
      </c>
      <c r="F28" s="14" t="s">
        <v>464</v>
      </c>
      <c r="G28" s="17">
        <v>232950</v>
      </c>
      <c r="H28" s="29"/>
      <c r="I28" s="29"/>
      <c r="J28" s="34"/>
      <c r="K28" s="34"/>
      <c r="L28" s="34"/>
      <c r="M28" s="29"/>
      <c r="N28" s="29"/>
      <c r="O28" s="29"/>
      <c r="P28" s="29"/>
      <c r="Q28" s="34"/>
      <c r="R28" s="34"/>
    </row>
    <row x14ac:dyDescent="0.25" r="29" customHeight="1" ht="15.75">
      <c r="A29" s="1"/>
      <c r="B29" s="34"/>
      <c r="C29" s="12">
        <v>45705</v>
      </c>
      <c r="D29" s="14" t="s">
        <v>475</v>
      </c>
      <c r="E29" s="14" t="s">
        <v>477</v>
      </c>
      <c r="F29" s="14" t="s">
        <v>491</v>
      </c>
      <c r="G29" s="17">
        <v>89950</v>
      </c>
      <c r="H29" s="29"/>
      <c r="I29" s="29"/>
      <c r="J29" s="34"/>
      <c r="K29" s="34"/>
      <c r="L29" s="34"/>
      <c r="M29" s="29"/>
      <c r="N29" s="29"/>
      <c r="O29" s="29"/>
      <c r="P29" s="29"/>
      <c r="Q29" s="34"/>
      <c r="R29" s="34"/>
    </row>
    <row x14ac:dyDescent="0.25" r="30" customHeight="1" ht="15.75">
      <c r="A30" s="1"/>
      <c r="B30" s="34"/>
      <c r="C30" s="12">
        <v>45706</v>
      </c>
      <c r="D30" s="14" t="s">
        <v>475</v>
      </c>
      <c r="E30" s="14" t="s">
        <v>485</v>
      </c>
      <c r="F30" s="14" t="s">
        <v>464</v>
      </c>
      <c r="G30" s="17">
        <v>60000</v>
      </c>
      <c r="H30" s="29"/>
      <c r="I30" s="29"/>
      <c r="J30" s="34"/>
      <c r="K30" s="34"/>
      <c r="L30" s="34"/>
      <c r="M30" s="29"/>
      <c r="N30" s="29"/>
      <c r="O30" s="29"/>
      <c r="P30" s="29"/>
      <c r="Q30" s="34"/>
      <c r="R30" s="34"/>
    </row>
    <row x14ac:dyDescent="0.25" r="31" customHeight="1" ht="15.75">
      <c r="A31" s="1"/>
      <c r="B31" s="34"/>
      <c r="C31" s="12">
        <v>45719</v>
      </c>
      <c r="D31" s="14" t="s">
        <v>82</v>
      </c>
      <c r="E31" s="14" t="s">
        <v>472</v>
      </c>
      <c r="F31" s="14" t="s">
        <v>464</v>
      </c>
      <c r="G31" s="17">
        <v>85970</v>
      </c>
      <c r="H31" s="29"/>
      <c r="I31" s="29"/>
      <c r="J31" s="34"/>
      <c r="K31" s="34"/>
      <c r="L31" s="34"/>
      <c r="M31" s="29"/>
      <c r="N31" s="29"/>
      <c r="O31" s="29"/>
      <c r="P31" s="29"/>
      <c r="Q31" s="34"/>
      <c r="R31" s="34"/>
    </row>
    <row x14ac:dyDescent="0.25" r="32" customHeight="1" ht="15.75">
      <c r="A32" s="1"/>
      <c r="B32" s="34"/>
      <c r="C32" s="12">
        <v>45719</v>
      </c>
      <c r="D32" s="14" t="s">
        <v>82</v>
      </c>
      <c r="E32" s="14" t="s">
        <v>472</v>
      </c>
      <c r="F32" s="33" t="s">
        <v>509</v>
      </c>
      <c r="G32" s="17">
        <v>85970</v>
      </c>
      <c r="H32" s="29"/>
      <c r="I32" s="29"/>
      <c r="J32" s="34"/>
      <c r="K32" s="34"/>
      <c r="L32" s="34"/>
      <c r="M32" s="29"/>
      <c r="N32" s="29"/>
      <c r="O32" s="29"/>
      <c r="P32" s="29"/>
      <c r="Q32" s="34"/>
      <c r="R32" s="34"/>
    </row>
    <row x14ac:dyDescent="0.25" r="33" customHeight="1" ht="36.75">
      <c r="A33" s="1"/>
      <c r="B33" s="34"/>
      <c r="C33" s="77"/>
      <c r="D33" s="78"/>
      <c r="E33" s="79"/>
      <c r="F33" s="80"/>
      <c r="G33" s="81"/>
      <c r="H33" s="29"/>
      <c r="I33" s="29"/>
      <c r="J33" s="34"/>
      <c r="K33" s="34"/>
      <c r="L33" s="34"/>
      <c r="M33" s="29"/>
      <c r="N33" s="29"/>
      <c r="O33" s="29"/>
      <c r="P33" s="29"/>
      <c r="Q33" s="34"/>
      <c r="R33" s="34"/>
    </row>
    <row x14ac:dyDescent="0.25" r="34" customHeight="1" ht="36.75">
      <c r="A34" s="1"/>
      <c r="B34" s="34"/>
      <c r="C34" s="77" t="s">
        <v>510</v>
      </c>
      <c r="D34" s="78" t="s">
        <v>511</v>
      </c>
      <c r="E34" s="79"/>
      <c r="F34" s="80"/>
      <c r="G34" s="81">
        <v>1000000</v>
      </c>
      <c r="H34" s="29"/>
      <c r="I34" s="29"/>
      <c r="J34" s="34"/>
      <c r="K34" s="34"/>
      <c r="L34" s="34"/>
      <c r="M34" s="29"/>
      <c r="N34" s="29"/>
      <c r="O34" s="29"/>
      <c r="P34" s="29"/>
      <c r="Q34" s="34"/>
      <c r="R34" s="34"/>
    </row>
    <row x14ac:dyDescent="0.25" r="35" customHeight="1" ht="36.75">
      <c r="A35" s="1"/>
      <c r="B35" s="34"/>
      <c r="C35" s="77" t="s">
        <v>512</v>
      </c>
      <c r="D35" s="78"/>
      <c r="E35" s="79"/>
      <c r="F35" s="80"/>
      <c r="G35" s="81">
        <v>268000</v>
      </c>
      <c r="H35" s="29"/>
      <c r="I35" s="29"/>
      <c r="J35" s="34"/>
      <c r="K35" s="34"/>
      <c r="L35" s="34"/>
      <c r="M35" s="29"/>
      <c r="N35" s="29"/>
      <c r="O35" s="29"/>
      <c r="P35" s="29"/>
      <c r="Q35" s="34"/>
      <c r="R35" s="34"/>
    </row>
    <row x14ac:dyDescent="0.25" r="36" customHeight="1" ht="36.75">
      <c r="A36" s="1"/>
      <c r="B36" s="34"/>
      <c r="C36" s="82" t="s">
        <v>513</v>
      </c>
      <c r="D36" s="79"/>
      <c r="E36" s="79"/>
      <c r="F36" s="80"/>
      <c r="G36" s="81">
        <f>SUM(G23:G31)</f>
      </c>
      <c r="H36" s="29"/>
      <c r="I36" s="29"/>
      <c r="J36" s="34"/>
      <c r="K36" s="34"/>
      <c r="L36" s="34"/>
      <c r="M36" s="29"/>
      <c r="N36" s="29"/>
      <c r="O36" s="29"/>
      <c r="P36" s="29"/>
      <c r="Q36" s="34"/>
      <c r="R36" s="34"/>
    </row>
    <row x14ac:dyDescent="0.25" r="37" customHeight="1" ht="25.5">
      <c r="A37" s="1"/>
      <c r="B37" s="34"/>
      <c r="C37" s="83" t="s">
        <v>514</v>
      </c>
      <c r="D37" s="79"/>
      <c r="E37" s="79"/>
      <c r="F37" s="80"/>
      <c r="G37" s="17">
        <v>500270</v>
      </c>
      <c r="H37" s="29"/>
      <c r="I37" s="29"/>
      <c r="J37" s="34"/>
      <c r="K37" s="34"/>
      <c r="L37" s="34"/>
      <c r="M37" s="29"/>
      <c r="N37" s="29"/>
      <c r="O37" s="29"/>
      <c r="P37" s="29"/>
      <c r="Q37" s="34"/>
      <c r="R37" s="34"/>
    </row>
    <row x14ac:dyDescent="0.25" r="38" customHeight="1" ht="15.75">
      <c r="A38" s="1"/>
      <c r="B38" s="34"/>
      <c r="C38" s="1"/>
      <c r="D38" s="34"/>
      <c r="E38" s="34"/>
      <c r="F38" s="34"/>
      <c r="G38" s="29"/>
      <c r="H38" s="29"/>
      <c r="I38" s="29"/>
      <c r="J38" s="34"/>
      <c r="K38" s="34"/>
      <c r="L38" s="34"/>
      <c r="M38" s="29"/>
      <c r="N38" s="29"/>
      <c r="O38" s="29"/>
      <c r="P38" s="29"/>
      <c r="Q38" s="34"/>
      <c r="R38" s="34"/>
    </row>
    <row x14ac:dyDescent="0.25" r="39" customHeight="1" ht="15.75">
      <c r="A39" s="1"/>
      <c r="B39" s="34"/>
      <c r="C39" s="1"/>
      <c r="D39" s="34"/>
      <c r="E39" s="34"/>
      <c r="F39" s="34"/>
      <c r="G39" s="29"/>
      <c r="H39" s="29"/>
      <c r="I39" s="29"/>
      <c r="J39" s="34"/>
      <c r="K39" s="34"/>
      <c r="L39" s="34"/>
      <c r="M39" s="29"/>
      <c r="N39" s="29"/>
      <c r="O39" s="29"/>
      <c r="P39" s="29"/>
      <c r="Q39" s="34"/>
      <c r="R39" s="34"/>
    </row>
    <row x14ac:dyDescent="0.25" r="40" customHeight="1" ht="15.75">
      <c r="A40" s="1"/>
      <c r="B40" s="34"/>
      <c r="C40" s="1"/>
      <c r="D40" s="34"/>
      <c r="E40" s="34"/>
      <c r="F40" s="34"/>
      <c r="G40" s="29"/>
      <c r="H40" s="29"/>
      <c r="I40" s="29"/>
      <c r="J40" s="34"/>
      <c r="K40" s="34"/>
      <c r="L40" s="34"/>
      <c r="M40" s="29"/>
      <c r="N40" s="29"/>
      <c r="O40" s="29"/>
      <c r="P40" s="29"/>
      <c r="Q40" s="34"/>
      <c r="R40" s="34"/>
    </row>
    <row x14ac:dyDescent="0.25" r="41" customHeight="1" ht="15.75">
      <c r="A41" s="1"/>
      <c r="B41" s="34"/>
      <c r="C41" s="1"/>
      <c r="D41" s="34"/>
      <c r="E41" s="34"/>
      <c r="F41" s="34"/>
      <c r="G41" s="29"/>
      <c r="H41" s="29"/>
      <c r="I41" s="29"/>
      <c r="J41" s="34"/>
      <c r="K41" s="34"/>
      <c r="L41" s="34"/>
      <c r="M41" s="29"/>
      <c r="N41" s="29"/>
      <c r="O41" s="29"/>
      <c r="P41" s="29"/>
      <c r="Q41" s="34"/>
      <c r="R41" s="34"/>
    </row>
    <row x14ac:dyDescent="0.25" r="42" customHeight="1" ht="15.75">
      <c r="A42" s="1"/>
      <c r="B42" s="34"/>
      <c r="C42" s="1"/>
      <c r="D42" s="34"/>
      <c r="E42" s="34"/>
      <c r="F42" s="34"/>
      <c r="G42" s="29"/>
      <c r="H42" s="29"/>
      <c r="I42" s="29"/>
      <c r="J42" s="34"/>
      <c r="K42" s="34"/>
      <c r="L42" s="34"/>
      <c r="M42" s="29"/>
      <c r="N42" s="29"/>
      <c r="O42" s="29"/>
      <c r="P42" s="29"/>
      <c r="Q42" s="34"/>
      <c r="R42" s="34"/>
    </row>
    <row x14ac:dyDescent="0.25" r="43" customHeight="1" ht="15.75">
      <c r="A43" s="1"/>
      <c r="B43" s="34"/>
      <c r="C43" s="1"/>
      <c r="D43" s="34"/>
      <c r="E43" s="34"/>
      <c r="F43" s="34"/>
      <c r="G43" s="29"/>
      <c r="H43" s="29"/>
      <c r="I43" s="29"/>
      <c r="J43" s="34"/>
      <c r="K43" s="34"/>
      <c r="L43" s="34"/>
      <c r="M43" s="29"/>
      <c r="N43" s="29"/>
      <c r="O43" s="29"/>
      <c r="P43" s="29"/>
      <c r="Q43" s="34"/>
      <c r="R43" s="34"/>
    </row>
    <row x14ac:dyDescent="0.25" r="44" customHeight="1" ht="15.75">
      <c r="A44" s="1"/>
      <c r="B44" s="34"/>
      <c r="C44" s="1"/>
      <c r="D44" s="34"/>
      <c r="E44" s="34"/>
      <c r="F44" s="34"/>
      <c r="G44" s="29"/>
      <c r="H44" s="29"/>
      <c r="I44" s="29"/>
      <c r="J44" s="34"/>
      <c r="K44" s="34"/>
      <c r="L44" s="34"/>
      <c r="M44" s="29"/>
      <c r="N44" s="29"/>
      <c r="O44" s="29"/>
      <c r="P44" s="29"/>
      <c r="Q44" s="34"/>
      <c r="R44" s="34"/>
    </row>
    <row x14ac:dyDescent="0.25" r="45" customHeight="1" ht="15.75">
      <c r="A45" s="1"/>
      <c r="B45" s="34"/>
      <c r="C45" s="1"/>
      <c r="D45" s="34"/>
      <c r="E45" s="34"/>
      <c r="F45" s="34"/>
      <c r="G45" s="29"/>
      <c r="H45" s="29"/>
      <c r="I45" s="29"/>
      <c r="J45" s="34"/>
      <c r="K45" s="34"/>
      <c r="L45" s="34"/>
      <c r="M45" s="29"/>
      <c r="N45" s="29"/>
      <c r="O45" s="29"/>
      <c r="P45" s="29"/>
      <c r="Q45" s="34"/>
      <c r="R45" s="34"/>
    </row>
    <row x14ac:dyDescent="0.25" r="46" customHeight="1" ht="15.75">
      <c r="A46" s="1"/>
      <c r="B46" s="34"/>
      <c r="C46" s="1"/>
      <c r="D46" s="34"/>
      <c r="E46" s="34"/>
      <c r="F46" s="34"/>
      <c r="G46" s="29"/>
      <c r="H46" s="29"/>
      <c r="I46" s="29"/>
      <c r="J46" s="34"/>
      <c r="K46" s="34"/>
      <c r="L46" s="34"/>
      <c r="M46" s="29"/>
      <c r="N46" s="29"/>
      <c r="O46" s="29"/>
      <c r="P46" s="29"/>
      <c r="Q46" s="34"/>
      <c r="R46" s="34"/>
    </row>
    <row x14ac:dyDescent="0.25" r="47" customHeight="1" ht="15.75">
      <c r="A47" s="1"/>
      <c r="B47" s="34"/>
      <c r="C47" s="1"/>
      <c r="D47" s="34"/>
      <c r="E47" s="34"/>
      <c r="F47" s="34"/>
      <c r="G47" s="29"/>
      <c r="H47" s="29"/>
      <c r="I47" s="29"/>
      <c r="J47" s="34"/>
      <c r="K47" s="34"/>
      <c r="L47" s="34"/>
      <c r="M47" s="29"/>
      <c r="N47" s="29"/>
      <c r="O47" s="29"/>
      <c r="P47" s="29"/>
      <c r="Q47" s="34"/>
      <c r="R47" s="34"/>
    </row>
    <row x14ac:dyDescent="0.25" r="48" customHeight="1" ht="15.75">
      <c r="A48" s="1"/>
      <c r="B48" s="34"/>
      <c r="C48" s="1"/>
      <c r="D48" s="34"/>
      <c r="E48" s="34"/>
      <c r="F48" s="34"/>
      <c r="G48" s="29"/>
      <c r="H48" s="29"/>
      <c r="I48" s="29"/>
      <c r="J48" s="34"/>
      <c r="K48" s="34"/>
      <c r="L48" s="34"/>
      <c r="M48" s="29"/>
      <c r="N48" s="29"/>
      <c r="O48" s="29"/>
      <c r="P48" s="29"/>
      <c r="Q48" s="34"/>
      <c r="R48" s="34"/>
    </row>
    <row x14ac:dyDescent="0.25" r="49" customHeight="1" ht="15.75">
      <c r="A49" s="1"/>
      <c r="B49" s="34"/>
      <c r="C49" s="1"/>
      <c r="D49" s="34"/>
      <c r="E49" s="34"/>
      <c r="F49" s="34"/>
      <c r="G49" s="29"/>
      <c r="H49" s="29"/>
      <c r="I49" s="29"/>
      <c r="J49" s="34"/>
      <c r="K49" s="34"/>
      <c r="L49" s="34"/>
      <c r="M49" s="29"/>
      <c r="N49" s="29"/>
      <c r="O49" s="29"/>
      <c r="P49" s="29"/>
      <c r="Q49" s="34"/>
      <c r="R49" s="34"/>
    </row>
    <row x14ac:dyDescent="0.25" r="50" customHeight="1" ht="15.75">
      <c r="A50" s="1"/>
      <c r="B50" s="34"/>
      <c r="C50" s="1"/>
      <c r="D50" s="34"/>
      <c r="E50" s="34"/>
      <c r="F50" s="34"/>
      <c r="G50" s="29"/>
      <c r="H50" s="29"/>
      <c r="I50" s="29"/>
      <c r="J50" s="34"/>
      <c r="K50" s="34"/>
      <c r="L50" s="34"/>
      <c r="M50" s="29"/>
      <c r="N50" s="29"/>
      <c r="O50" s="29"/>
      <c r="P50" s="29"/>
      <c r="Q50" s="34"/>
      <c r="R50" s="34"/>
    </row>
    <row x14ac:dyDescent="0.25" r="51" customHeight="1" ht="15.75">
      <c r="A51" s="1"/>
      <c r="B51" s="34"/>
      <c r="C51" s="1"/>
      <c r="D51" s="34"/>
      <c r="E51" s="34"/>
      <c r="F51" s="34"/>
      <c r="G51" s="29"/>
      <c r="H51" s="29"/>
      <c r="I51" s="29"/>
      <c r="J51" s="34"/>
      <c r="K51" s="34"/>
      <c r="L51" s="34"/>
      <c r="M51" s="29"/>
      <c r="N51" s="29"/>
      <c r="O51" s="29"/>
      <c r="P51" s="29"/>
      <c r="Q51" s="34"/>
      <c r="R51" s="34"/>
    </row>
    <row x14ac:dyDescent="0.25" r="52" customHeight="1" ht="15.75">
      <c r="A52" s="1"/>
      <c r="B52" s="34"/>
      <c r="C52" s="1"/>
      <c r="D52" s="34"/>
      <c r="E52" s="34"/>
      <c r="F52" s="34"/>
      <c r="G52" s="29"/>
      <c r="H52" s="29"/>
      <c r="I52" s="29"/>
      <c r="J52" s="34"/>
      <c r="K52" s="34"/>
      <c r="L52" s="34"/>
      <c r="M52" s="29"/>
      <c r="N52" s="29"/>
      <c r="O52" s="29"/>
      <c r="P52" s="29"/>
      <c r="Q52" s="34"/>
      <c r="R52" s="34"/>
    </row>
    <row x14ac:dyDescent="0.25" r="53" customHeight="1" ht="15.75">
      <c r="A53" s="1"/>
      <c r="B53" s="34"/>
      <c r="C53" s="1"/>
      <c r="D53" s="34"/>
      <c r="E53" s="34"/>
      <c r="F53" s="34"/>
      <c r="G53" s="29"/>
      <c r="H53" s="29"/>
      <c r="I53" s="29"/>
      <c r="J53" s="34"/>
      <c r="K53" s="34"/>
      <c r="L53" s="34"/>
      <c r="M53" s="29"/>
      <c r="N53" s="29"/>
      <c r="O53" s="29"/>
      <c r="P53" s="29"/>
      <c r="Q53" s="34"/>
      <c r="R53" s="34"/>
    </row>
    <row x14ac:dyDescent="0.25" r="54" customHeight="1" ht="15.75">
      <c r="A54" s="1"/>
      <c r="B54" s="34"/>
      <c r="C54" s="1"/>
      <c r="D54" s="34"/>
      <c r="E54" s="34"/>
      <c r="F54" s="34"/>
      <c r="G54" s="29"/>
      <c r="H54" s="29"/>
      <c r="I54" s="29"/>
      <c r="J54" s="34"/>
      <c r="K54" s="34"/>
      <c r="L54" s="34"/>
      <c r="M54" s="29"/>
      <c r="N54" s="29"/>
      <c r="O54" s="29"/>
      <c r="P54" s="29"/>
      <c r="Q54" s="34"/>
      <c r="R54" s="34"/>
    </row>
    <row x14ac:dyDescent="0.25" r="55" customHeight="1" ht="15.75">
      <c r="A55" s="1"/>
      <c r="B55" s="34"/>
      <c r="C55" s="1"/>
      <c r="D55" s="34"/>
      <c r="E55" s="34"/>
      <c r="F55" s="34"/>
      <c r="G55" s="29"/>
      <c r="H55" s="29"/>
      <c r="I55" s="29"/>
      <c r="J55" s="34"/>
      <c r="K55" s="34"/>
      <c r="L55" s="34"/>
      <c r="M55" s="29"/>
      <c r="N55" s="29"/>
      <c r="O55" s="29"/>
      <c r="P55" s="29"/>
      <c r="Q55" s="34"/>
      <c r="R55" s="34"/>
    </row>
    <row x14ac:dyDescent="0.25" r="56" customHeight="1" ht="15.75">
      <c r="A56" s="1"/>
      <c r="B56" s="34"/>
      <c r="C56" s="1"/>
      <c r="D56" s="34"/>
      <c r="E56" s="34"/>
      <c r="F56" s="34"/>
      <c r="G56" s="29"/>
      <c r="H56" s="29"/>
      <c r="I56" s="29"/>
      <c r="J56" s="34"/>
      <c r="K56" s="34"/>
      <c r="L56" s="34"/>
      <c r="M56" s="29"/>
      <c r="N56" s="29"/>
      <c r="O56" s="29"/>
      <c r="P56" s="29"/>
      <c r="Q56" s="34"/>
      <c r="R56" s="34"/>
    </row>
    <row x14ac:dyDescent="0.25" r="57" customHeight="1" ht="15.75">
      <c r="A57" s="1"/>
      <c r="B57" s="34"/>
      <c r="C57" s="1"/>
      <c r="D57" s="34"/>
      <c r="E57" s="34"/>
      <c r="F57" s="34"/>
      <c r="G57" s="29"/>
      <c r="H57" s="29"/>
      <c r="I57" s="29"/>
      <c r="J57" s="34"/>
      <c r="K57" s="34"/>
      <c r="L57" s="34"/>
      <c r="M57" s="29"/>
      <c r="N57" s="29"/>
      <c r="O57" s="29"/>
      <c r="P57" s="29"/>
      <c r="Q57" s="34"/>
      <c r="R57" s="34"/>
    </row>
    <row x14ac:dyDescent="0.25" r="58" customHeight="1" ht="15.75">
      <c r="A58" s="1"/>
      <c r="B58" s="34"/>
      <c r="C58" s="1"/>
      <c r="D58" s="34"/>
      <c r="E58" s="34"/>
      <c r="F58" s="34"/>
      <c r="G58" s="29"/>
      <c r="H58" s="29"/>
      <c r="I58" s="29"/>
      <c r="J58" s="34"/>
      <c r="K58" s="34"/>
      <c r="L58" s="34"/>
      <c r="M58" s="29"/>
      <c r="N58" s="29"/>
      <c r="O58" s="29"/>
      <c r="P58" s="29"/>
      <c r="Q58" s="34"/>
      <c r="R58" s="34"/>
    </row>
    <row x14ac:dyDescent="0.25" r="59" customHeight="1" ht="15.75">
      <c r="A59" s="1"/>
      <c r="B59" s="34"/>
      <c r="C59" s="1"/>
      <c r="D59" s="34"/>
      <c r="E59" s="34"/>
      <c r="F59" s="34"/>
      <c r="G59" s="29"/>
      <c r="H59" s="29"/>
      <c r="I59" s="29"/>
      <c r="J59" s="34"/>
      <c r="K59" s="34"/>
      <c r="L59" s="34"/>
      <c r="M59" s="29"/>
      <c r="N59" s="29"/>
      <c r="O59" s="29"/>
      <c r="P59" s="29"/>
      <c r="Q59" s="34"/>
      <c r="R59" s="34"/>
    </row>
    <row x14ac:dyDescent="0.25" r="60" customHeight="1" ht="15.75">
      <c r="A60" s="1"/>
      <c r="B60" s="34"/>
      <c r="C60" s="1"/>
      <c r="D60" s="34"/>
      <c r="E60" s="34"/>
      <c r="F60" s="34"/>
      <c r="G60" s="29"/>
      <c r="H60" s="29"/>
      <c r="I60" s="29"/>
      <c r="J60" s="34"/>
      <c r="K60" s="34"/>
      <c r="L60" s="34"/>
      <c r="M60" s="29"/>
      <c r="N60" s="29"/>
      <c r="O60" s="29"/>
      <c r="P60" s="29"/>
      <c r="Q60" s="34"/>
      <c r="R60" s="34"/>
    </row>
    <row x14ac:dyDescent="0.25" r="61" customHeight="1" ht="15.75">
      <c r="A61" s="1"/>
      <c r="B61" s="34"/>
      <c r="C61" s="1"/>
      <c r="D61" s="34"/>
      <c r="E61" s="34"/>
      <c r="F61" s="34"/>
      <c r="G61" s="29"/>
      <c r="H61" s="29"/>
      <c r="I61" s="29"/>
      <c r="J61" s="34"/>
      <c r="K61" s="34"/>
      <c r="L61" s="34"/>
      <c r="M61" s="29"/>
      <c r="N61" s="29"/>
      <c r="O61" s="29"/>
      <c r="P61" s="29"/>
      <c r="Q61" s="34"/>
      <c r="R61" s="34"/>
    </row>
    <row x14ac:dyDescent="0.25" r="62" customHeight="1" ht="15.75">
      <c r="A62" s="1"/>
      <c r="B62" s="34"/>
      <c r="C62" s="1"/>
      <c r="D62" s="34"/>
      <c r="E62" s="34"/>
      <c r="F62" s="34"/>
      <c r="G62" s="29"/>
      <c r="H62" s="29"/>
      <c r="I62" s="29"/>
      <c r="J62" s="34"/>
      <c r="K62" s="34"/>
      <c r="L62" s="34"/>
      <c r="M62" s="29"/>
      <c r="N62" s="29"/>
      <c r="O62" s="29"/>
      <c r="P62" s="29"/>
      <c r="Q62" s="34"/>
      <c r="R62" s="34"/>
    </row>
    <row x14ac:dyDescent="0.25" r="63" customHeight="1" ht="15.75">
      <c r="A63" s="1"/>
      <c r="B63" s="34"/>
      <c r="C63" s="1"/>
      <c r="D63" s="34"/>
      <c r="E63" s="34"/>
      <c r="F63" s="34"/>
      <c r="G63" s="29"/>
      <c r="H63" s="29"/>
      <c r="I63" s="29"/>
      <c r="J63" s="34"/>
      <c r="K63" s="34"/>
      <c r="L63" s="34"/>
      <c r="M63" s="29"/>
      <c r="N63" s="29"/>
      <c r="O63" s="29"/>
      <c r="P63" s="29"/>
      <c r="Q63" s="34"/>
      <c r="R63" s="34"/>
    </row>
    <row x14ac:dyDescent="0.25" r="64" customHeight="1" ht="15.75">
      <c r="A64" s="1"/>
      <c r="B64" s="34"/>
      <c r="C64" s="1"/>
      <c r="D64" s="34"/>
      <c r="E64" s="34"/>
      <c r="F64" s="34"/>
      <c r="G64" s="29"/>
      <c r="H64" s="29"/>
      <c r="I64" s="29"/>
      <c r="J64" s="34"/>
      <c r="K64" s="34"/>
      <c r="L64" s="34"/>
      <c r="M64" s="29"/>
      <c r="N64" s="29"/>
      <c r="O64" s="29"/>
      <c r="P64" s="29"/>
      <c r="Q64" s="34"/>
      <c r="R64" s="34"/>
    </row>
    <row x14ac:dyDescent="0.25" r="65" customHeight="1" ht="15.75">
      <c r="A65" s="1"/>
      <c r="B65" s="34"/>
      <c r="C65" s="1"/>
      <c r="D65" s="34"/>
      <c r="E65" s="34"/>
      <c r="F65" s="34"/>
      <c r="G65" s="29"/>
      <c r="H65" s="29"/>
      <c r="I65" s="29"/>
      <c r="J65" s="34"/>
      <c r="K65" s="34"/>
      <c r="L65" s="34"/>
      <c r="M65" s="29"/>
      <c r="N65" s="29"/>
      <c r="O65" s="29"/>
      <c r="P65" s="29"/>
      <c r="Q65" s="34"/>
      <c r="R65" s="34"/>
    </row>
    <row x14ac:dyDescent="0.25" r="66" customHeight="1" ht="15.75">
      <c r="A66" s="1"/>
      <c r="B66" s="34"/>
      <c r="C66" s="1"/>
      <c r="D66" s="34"/>
      <c r="E66" s="34"/>
      <c r="F66" s="34"/>
      <c r="G66" s="29"/>
      <c r="H66" s="29"/>
      <c r="I66" s="29"/>
      <c r="J66" s="34"/>
      <c r="K66" s="34"/>
      <c r="L66" s="34"/>
      <c r="M66" s="29"/>
      <c r="N66" s="29"/>
      <c r="O66" s="29"/>
      <c r="P66" s="29"/>
      <c r="Q66" s="34"/>
      <c r="R66" s="34"/>
    </row>
    <row x14ac:dyDescent="0.25" r="67" customHeight="1" ht="15.75">
      <c r="A67" s="1"/>
      <c r="B67" s="34"/>
      <c r="C67" s="1"/>
      <c r="D67" s="34"/>
      <c r="E67" s="34"/>
      <c r="F67" s="34"/>
      <c r="G67" s="29"/>
      <c r="H67" s="29"/>
      <c r="I67" s="29"/>
      <c r="J67" s="34"/>
      <c r="K67" s="34"/>
      <c r="L67" s="34"/>
      <c r="M67" s="29"/>
      <c r="N67" s="29"/>
      <c r="O67" s="29"/>
      <c r="P67" s="29"/>
      <c r="Q67" s="34"/>
      <c r="R67" s="34"/>
    </row>
    <row x14ac:dyDescent="0.25" r="68" customHeight="1" ht="15.75">
      <c r="A68" s="1"/>
      <c r="B68" s="34"/>
      <c r="C68" s="1"/>
      <c r="D68" s="34"/>
      <c r="E68" s="34"/>
      <c r="F68" s="34"/>
      <c r="G68" s="29"/>
      <c r="H68" s="29"/>
      <c r="I68" s="29"/>
      <c r="J68" s="34"/>
      <c r="K68" s="34"/>
      <c r="L68" s="34"/>
      <c r="M68" s="29"/>
      <c r="N68" s="29"/>
      <c r="O68" s="29"/>
      <c r="P68" s="29"/>
      <c r="Q68" s="34"/>
      <c r="R68" s="34"/>
    </row>
    <row x14ac:dyDescent="0.25" r="69" customHeight="1" ht="15.75">
      <c r="A69" s="1"/>
      <c r="B69" s="34"/>
      <c r="C69" s="1"/>
      <c r="D69" s="34"/>
      <c r="E69" s="34"/>
      <c r="F69" s="34"/>
      <c r="G69" s="29"/>
      <c r="H69" s="29"/>
      <c r="I69" s="29"/>
      <c r="J69" s="34"/>
      <c r="K69" s="34"/>
      <c r="L69" s="34"/>
      <c r="M69" s="29"/>
      <c r="N69" s="29"/>
      <c r="O69" s="29"/>
      <c r="P69" s="29"/>
      <c r="Q69" s="34"/>
      <c r="R69" s="34"/>
    </row>
    <row x14ac:dyDescent="0.25" r="70" customHeight="1" ht="15.75">
      <c r="A70" s="1"/>
      <c r="B70" s="34"/>
      <c r="C70" s="1"/>
      <c r="D70" s="34"/>
      <c r="E70" s="34"/>
      <c r="F70" s="34"/>
      <c r="G70" s="29"/>
      <c r="H70" s="29"/>
      <c r="I70" s="29"/>
      <c r="J70" s="34"/>
      <c r="K70" s="34"/>
      <c r="L70" s="34"/>
      <c r="M70" s="29"/>
      <c r="N70" s="29"/>
      <c r="O70" s="29"/>
      <c r="P70" s="29"/>
      <c r="Q70" s="34"/>
      <c r="R70" s="34"/>
    </row>
    <row x14ac:dyDescent="0.25" r="71" customHeight="1" ht="15.75">
      <c r="A71" s="1"/>
      <c r="B71" s="34"/>
      <c r="C71" s="1"/>
      <c r="D71" s="34"/>
      <c r="E71" s="34"/>
      <c r="F71" s="34"/>
      <c r="G71" s="29"/>
      <c r="H71" s="29"/>
      <c r="I71" s="29"/>
      <c r="J71" s="34"/>
      <c r="K71" s="34"/>
      <c r="L71" s="34"/>
      <c r="M71" s="29"/>
      <c r="N71" s="29"/>
      <c r="O71" s="29"/>
      <c r="P71" s="29"/>
      <c r="Q71" s="34"/>
      <c r="R71" s="34"/>
    </row>
    <row x14ac:dyDescent="0.25" r="72" customHeight="1" ht="15.75">
      <c r="A72" s="1"/>
      <c r="B72" s="34"/>
      <c r="C72" s="1"/>
      <c r="D72" s="34"/>
      <c r="E72" s="34"/>
      <c r="F72" s="34"/>
      <c r="G72" s="29"/>
      <c r="H72" s="29"/>
      <c r="I72" s="29"/>
      <c r="J72" s="34"/>
      <c r="K72" s="34"/>
      <c r="L72" s="34"/>
      <c r="M72" s="29"/>
      <c r="N72" s="29"/>
      <c r="O72" s="29"/>
      <c r="P72" s="29"/>
      <c r="Q72" s="34"/>
      <c r="R72" s="34"/>
    </row>
    <row x14ac:dyDescent="0.25" r="73" customHeight="1" ht="15.75">
      <c r="A73" s="1"/>
      <c r="B73" s="34"/>
      <c r="C73" s="1"/>
      <c r="D73" s="34"/>
      <c r="E73" s="34"/>
      <c r="F73" s="34"/>
      <c r="G73" s="29"/>
      <c r="H73" s="29"/>
      <c r="I73" s="29"/>
      <c r="J73" s="34"/>
      <c r="K73" s="34"/>
      <c r="L73" s="34"/>
      <c r="M73" s="29"/>
      <c r="N73" s="29"/>
      <c r="O73" s="29"/>
      <c r="P73" s="29"/>
      <c r="Q73" s="34"/>
      <c r="R73" s="34"/>
    </row>
    <row x14ac:dyDescent="0.25" r="74" customHeight="1" ht="15.75">
      <c r="A74" s="1"/>
      <c r="B74" s="34"/>
      <c r="C74" s="1"/>
      <c r="D74" s="34"/>
      <c r="E74" s="34"/>
      <c r="F74" s="34"/>
      <c r="G74" s="29"/>
      <c r="H74" s="29"/>
      <c r="I74" s="29"/>
      <c r="J74" s="34"/>
      <c r="K74" s="34"/>
      <c r="L74" s="34"/>
      <c r="M74" s="29"/>
      <c r="N74" s="29"/>
      <c r="O74" s="29"/>
      <c r="P74" s="29"/>
      <c r="Q74" s="34"/>
      <c r="R74" s="34"/>
    </row>
    <row x14ac:dyDescent="0.25" r="75" customHeight="1" ht="15.75">
      <c r="A75" s="1"/>
      <c r="B75" s="34"/>
      <c r="C75" s="1"/>
      <c r="D75" s="34"/>
      <c r="E75" s="34"/>
      <c r="F75" s="34"/>
      <c r="G75" s="29"/>
      <c r="H75" s="29"/>
      <c r="I75" s="29"/>
      <c r="J75" s="34"/>
      <c r="K75" s="34"/>
      <c r="L75" s="34"/>
      <c r="M75" s="29"/>
      <c r="N75" s="29"/>
      <c r="O75" s="29"/>
      <c r="P75" s="29"/>
      <c r="Q75" s="34"/>
      <c r="R75" s="34"/>
    </row>
    <row x14ac:dyDescent="0.25" r="76" customHeight="1" ht="15.75">
      <c r="A76" s="1"/>
      <c r="B76" s="34"/>
      <c r="C76" s="1"/>
      <c r="D76" s="34"/>
      <c r="E76" s="34"/>
      <c r="F76" s="34"/>
      <c r="G76" s="29"/>
      <c r="H76" s="29"/>
      <c r="I76" s="29"/>
      <c r="J76" s="34"/>
      <c r="K76" s="34"/>
      <c r="L76" s="34"/>
      <c r="M76" s="29"/>
      <c r="N76" s="29"/>
      <c r="O76" s="29"/>
      <c r="P76" s="29"/>
      <c r="Q76" s="34"/>
      <c r="R76" s="34"/>
    </row>
    <row x14ac:dyDescent="0.25" r="77" customHeight="1" ht="15.75">
      <c r="A77" s="1"/>
      <c r="B77" s="34"/>
      <c r="C77" s="1"/>
      <c r="D77" s="34"/>
      <c r="E77" s="34"/>
      <c r="F77" s="34"/>
      <c r="G77" s="29"/>
      <c r="H77" s="29"/>
      <c r="I77" s="29"/>
      <c r="J77" s="34"/>
      <c r="K77" s="34"/>
      <c r="L77" s="34"/>
      <c r="M77" s="29"/>
      <c r="N77" s="29"/>
      <c r="O77" s="29"/>
      <c r="P77" s="29"/>
      <c r="Q77" s="34"/>
      <c r="R77" s="34"/>
    </row>
    <row x14ac:dyDescent="0.25" r="78" customHeight="1" ht="15.75">
      <c r="A78" s="1"/>
      <c r="B78" s="34"/>
      <c r="C78" s="1"/>
      <c r="D78" s="34"/>
      <c r="E78" s="34"/>
      <c r="F78" s="34"/>
      <c r="G78" s="29"/>
      <c r="H78" s="29"/>
      <c r="I78" s="29"/>
      <c r="J78" s="34"/>
      <c r="K78" s="34"/>
      <c r="L78" s="34"/>
      <c r="M78" s="29"/>
      <c r="N78" s="29"/>
      <c r="O78" s="29"/>
      <c r="P78" s="29"/>
      <c r="Q78" s="34"/>
      <c r="R78" s="34"/>
    </row>
    <row x14ac:dyDescent="0.25" r="79" customHeight="1" ht="15.75">
      <c r="A79" s="1"/>
      <c r="B79" s="34"/>
      <c r="C79" s="1"/>
      <c r="D79" s="34"/>
      <c r="E79" s="34"/>
      <c r="F79" s="34"/>
      <c r="G79" s="29"/>
      <c r="H79" s="29"/>
      <c r="I79" s="29"/>
      <c r="J79" s="34"/>
      <c r="K79" s="34"/>
      <c r="L79" s="34"/>
      <c r="M79" s="29"/>
      <c r="N79" s="29"/>
      <c r="O79" s="29"/>
      <c r="P79" s="29"/>
      <c r="Q79" s="34"/>
      <c r="R79" s="34"/>
    </row>
    <row x14ac:dyDescent="0.25" r="80" customHeight="1" ht="15.75">
      <c r="A80" s="1"/>
      <c r="B80" s="34"/>
      <c r="C80" s="1"/>
      <c r="D80" s="34"/>
      <c r="E80" s="34"/>
      <c r="F80" s="34"/>
      <c r="G80" s="29"/>
      <c r="H80" s="29"/>
      <c r="I80" s="29"/>
      <c r="J80" s="34"/>
      <c r="K80" s="34"/>
      <c r="L80" s="34"/>
      <c r="M80" s="29"/>
      <c r="N80" s="29"/>
      <c r="O80" s="29"/>
      <c r="P80" s="29"/>
      <c r="Q80" s="34"/>
      <c r="R80" s="34"/>
    </row>
    <row x14ac:dyDescent="0.25" r="81" customHeight="1" ht="15.75">
      <c r="A81" s="1"/>
      <c r="B81" s="34"/>
      <c r="C81" s="1"/>
      <c r="D81" s="34"/>
      <c r="E81" s="34"/>
      <c r="F81" s="34"/>
      <c r="G81" s="29"/>
      <c r="H81" s="29"/>
      <c r="I81" s="29"/>
      <c r="J81" s="34"/>
      <c r="K81" s="34"/>
      <c r="L81" s="34"/>
      <c r="M81" s="29"/>
      <c r="N81" s="29"/>
      <c r="O81" s="29"/>
      <c r="P81" s="29"/>
      <c r="Q81" s="34"/>
      <c r="R81" s="34"/>
    </row>
    <row x14ac:dyDescent="0.25" r="82" customHeight="1" ht="15.75">
      <c r="A82" s="1"/>
      <c r="B82" s="34"/>
      <c r="C82" s="1"/>
      <c r="D82" s="34"/>
      <c r="E82" s="34"/>
      <c r="F82" s="34"/>
      <c r="G82" s="29"/>
      <c r="H82" s="29"/>
      <c r="I82" s="29"/>
      <c r="J82" s="34"/>
      <c r="K82" s="34"/>
      <c r="L82" s="34"/>
      <c r="M82" s="29"/>
      <c r="N82" s="29"/>
      <c r="O82" s="29"/>
      <c r="P82" s="29"/>
      <c r="Q82" s="34"/>
      <c r="R82" s="34"/>
    </row>
    <row x14ac:dyDescent="0.25" r="83" customHeight="1" ht="15.75">
      <c r="A83" s="1"/>
      <c r="B83" s="34"/>
      <c r="C83" s="1"/>
      <c r="D83" s="34"/>
      <c r="E83" s="34"/>
      <c r="F83" s="34"/>
      <c r="G83" s="29"/>
      <c r="H83" s="29"/>
      <c r="I83" s="29"/>
      <c r="J83" s="34"/>
      <c r="K83" s="34"/>
      <c r="L83" s="34"/>
      <c r="M83" s="29"/>
      <c r="N83" s="29"/>
      <c r="O83" s="29"/>
      <c r="P83" s="29"/>
      <c r="Q83" s="34"/>
      <c r="R83" s="34"/>
    </row>
    <row x14ac:dyDescent="0.25" r="84" customHeight="1" ht="15.75">
      <c r="A84" s="1"/>
      <c r="B84" s="34"/>
      <c r="C84" s="1"/>
      <c r="D84" s="34"/>
      <c r="E84" s="34"/>
      <c r="F84" s="34"/>
      <c r="G84" s="29"/>
      <c r="H84" s="29"/>
      <c r="I84" s="29"/>
      <c r="J84" s="34"/>
      <c r="K84" s="34"/>
      <c r="L84" s="34"/>
      <c r="M84" s="29"/>
      <c r="N84" s="29"/>
      <c r="O84" s="29"/>
      <c r="P84" s="29"/>
      <c r="Q84" s="34"/>
      <c r="R84" s="34"/>
    </row>
    <row x14ac:dyDescent="0.25" r="85" customHeight="1" ht="15.75">
      <c r="A85" s="1"/>
      <c r="B85" s="34"/>
      <c r="C85" s="1"/>
      <c r="D85" s="34"/>
      <c r="E85" s="34"/>
      <c r="F85" s="34"/>
      <c r="G85" s="29"/>
      <c r="H85" s="29"/>
      <c r="I85" s="29"/>
      <c r="J85" s="34"/>
      <c r="K85" s="34"/>
      <c r="L85" s="34"/>
      <c r="M85" s="29"/>
      <c r="N85" s="29"/>
      <c r="O85" s="29"/>
      <c r="P85" s="29"/>
      <c r="Q85" s="34"/>
      <c r="R85" s="34"/>
    </row>
    <row x14ac:dyDescent="0.25" r="86" customHeight="1" ht="15.75">
      <c r="A86" s="1"/>
      <c r="B86" s="34"/>
      <c r="C86" s="1"/>
      <c r="D86" s="34"/>
      <c r="E86" s="34"/>
      <c r="F86" s="34"/>
      <c r="G86" s="29"/>
      <c r="H86" s="29"/>
      <c r="I86" s="29"/>
      <c r="J86" s="34"/>
      <c r="K86" s="34"/>
      <c r="L86" s="34"/>
      <c r="M86" s="29"/>
      <c r="N86" s="29"/>
      <c r="O86" s="29"/>
      <c r="P86" s="29"/>
      <c r="Q86" s="34"/>
      <c r="R86" s="34"/>
    </row>
    <row x14ac:dyDescent="0.25" r="87" customHeight="1" ht="15.75">
      <c r="A87" s="1"/>
      <c r="B87" s="34"/>
      <c r="C87" s="1"/>
      <c r="D87" s="34"/>
      <c r="E87" s="34"/>
      <c r="F87" s="34"/>
      <c r="G87" s="29"/>
      <c r="H87" s="29"/>
      <c r="I87" s="29"/>
      <c r="J87" s="34"/>
      <c r="K87" s="34"/>
      <c r="L87" s="34"/>
      <c r="M87" s="29"/>
      <c r="N87" s="29"/>
      <c r="O87" s="29"/>
      <c r="P87" s="29"/>
      <c r="Q87" s="34"/>
      <c r="R87" s="34"/>
    </row>
    <row x14ac:dyDescent="0.25" r="88" customHeight="1" ht="15.75">
      <c r="A88" s="1"/>
      <c r="B88" s="34"/>
      <c r="C88" s="1"/>
      <c r="D88" s="34"/>
      <c r="E88" s="34"/>
      <c r="F88" s="34"/>
      <c r="G88" s="29"/>
      <c r="H88" s="29"/>
      <c r="I88" s="29"/>
      <c r="J88" s="34"/>
      <c r="K88" s="34"/>
      <c r="L88" s="34"/>
      <c r="M88" s="29"/>
      <c r="N88" s="29"/>
      <c r="O88" s="29"/>
      <c r="P88" s="29"/>
      <c r="Q88" s="34"/>
      <c r="R88" s="34"/>
    </row>
    <row x14ac:dyDescent="0.25" r="89" customHeight="1" ht="15.75">
      <c r="A89" s="1"/>
      <c r="B89" s="34"/>
      <c r="C89" s="1"/>
      <c r="D89" s="34"/>
      <c r="E89" s="34"/>
      <c r="F89" s="34"/>
      <c r="G89" s="29"/>
      <c r="H89" s="29"/>
      <c r="I89" s="29"/>
      <c r="J89" s="34"/>
      <c r="K89" s="34"/>
      <c r="L89" s="34"/>
      <c r="M89" s="29"/>
      <c r="N89" s="29"/>
      <c r="O89" s="29"/>
      <c r="P89" s="29"/>
      <c r="Q89" s="34"/>
      <c r="R89" s="34"/>
    </row>
    <row x14ac:dyDescent="0.25" r="90" customHeight="1" ht="15.75">
      <c r="A90" s="1"/>
      <c r="B90" s="34"/>
      <c r="C90" s="1"/>
      <c r="D90" s="34"/>
      <c r="E90" s="34"/>
      <c r="F90" s="34"/>
      <c r="G90" s="29"/>
      <c r="H90" s="29"/>
      <c r="I90" s="29"/>
      <c r="J90" s="34"/>
      <c r="K90" s="34"/>
      <c r="L90" s="34"/>
      <c r="M90" s="29"/>
      <c r="N90" s="29"/>
      <c r="O90" s="29"/>
      <c r="P90" s="29"/>
      <c r="Q90" s="34"/>
      <c r="R90" s="34"/>
    </row>
    <row x14ac:dyDescent="0.25" r="91" customHeight="1" ht="15.75">
      <c r="A91" s="1"/>
      <c r="B91" s="34"/>
      <c r="C91" s="1"/>
      <c r="D91" s="34"/>
      <c r="E91" s="34"/>
      <c r="F91" s="34"/>
      <c r="G91" s="29"/>
      <c r="H91" s="29"/>
      <c r="I91" s="29"/>
      <c r="J91" s="34"/>
      <c r="K91" s="34"/>
      <c r="L91" s="34"/>
      <c r="M91" s="29"/>
      <c r="N91" s="29"/>
      <c r="O91" s="29"/>
      <c r="P91" s="29"/>
      <c r="Q91" s="34"/>
      <c r="R91" s="34"/>
    </row>
    <row x14ac:dyDescent="0.25" r="92" customHeight="1" ht="15.75">
      <c r="A92" s="1"/>
      <c r="B92" s="34"/>
      <c r="C92" s="1"/>
      <c r="D92" s="34"/>
      <c r="E92" s="34"/>
      <c r="F92" s="34"/>
      <c r="G92" s="29"/>
      <c r="H92" s="29"/>
      <c r="I92" s="29"/>
      <c r="J92" s="34"/>
      <c r="K92" s="34"/>
      <c r="L92" s="34"/>
      <c r="M92" s="29"/>
      <c r="N92" s="29"/>
      <c r="O92" s="29"/>
      <c r="P92" s="29"/>
      <c r="Q92" s="34"/>
      <c r="R92" s="34"/>
    </row>
    <row x14ac:dyDescent="0.25" r="93" customHeight="1" ht="15.75">
      <c r="A93" s="1"/>
      <c r="B93" s="34"/>
      <c r="C93" s="1"/>
      <c r="D93" s="34"/>
      <c r="E93" s="34"/>
      <c r="F93" s="34"/>
      <c r="G93" s="29"/>
      <c r="H93" s="29"/>
      <c r="I93" s="29"/>
      <c r="J93" s="34"/>
      <c r="K93" s="34"/>
      <c r="L93" s="34"/>
      <c r="M93" s="29"/>
      <c r="N93" s="29"/>
      <c r="O93" s="29"/>
      <c r="P93" s="29"/>
      <c r="Q93" s="34"/>
      <c r="R93" s="34"/>
    </row>
    <row x14ac:dyDescent="0.25" r="94" customHeight="1" ht="15.75">
      <c r="A94" s="1"/>
      <c r="B94" s="34"/>
      <c r="C94" s="1"/>
      <c r="D94" s="34"/>
      <c r="E94" s="34"/>
      <c r="F94" s="34"/>
      <c r="G94" s="29"/>
      <c r="H94" s="29"/>
      <c r="I94" s="29"/>
      <c r="J94" s="34"/>
      <c r="K94" s="34"/>
      <c r="L94" s="34"/>
      <c r="M94" s="29"/>
      <c r="N94" s="29"/>
      <c r="O94" s="29"/>
      <c r="P94" s="29"/>
      <c r="Q94" s="34"/>
      <c r="R94" s="34"/>
    </row>
    <row x14ac:dyDescent="0.25" r="95" customHeight="1" ht="15.75">
      <c r="A95" s="1"/>
      <c r="B95" s="34"/>
      <c r="C95" s="1"/>
      <c r="D95" s="34"/>
      <c r="E95" s="34"/>
      <c r="F95" s="34"/>
      <c r="G95" s="29"/>
      <c r="H95" s="29"/>
      <c r="I95" s="29"/>
      <c r="J95" s="34"/>
      <c r="K95" s="34"/>
      <c r="L95" s="34"/>
      <c r="M95" s="29"/>
      <c r="N95" s="29"/>
      <c r="O95" s="29"/>
      <c r="P95" s="29"/>
      <c r="Q95" s="34"/>
      <c r="R95" s="34"/>
    </row>
    <row x14ac:dyDescent="0.25" r="96" customHeight="1" ht="15.75">
      <c r="A96" s="1"/>
      <c r="B96" s="34"/>
      <c r="C96" s="1"/>
      <c r="D96" s="34"/>
      <c r="E96" s="34"/>
      <c r="F96" s="34"/>
      <c r="G96" s="29"/>
      <c r="H96" s="29"/>
      <c r="I96" s="29"/>
      <c r="J96" s="34"/>
      <c r="K96" s="34"/>
      <c r="L96" s="34"/>
      <c r="M96" s="29"/>
      <c r="N96" s="29"/>
      <c r="O96" s="29"/>
      <c r="P96" s="29"/>
      <c r="Q96" s="34"/>
      <c r="R96" s="34"/>
    </row>
    <row x14ac:dyDescent="0.25" r="97" customHeight="1" ht="15.75">
      <c r="A97" s="1"/>
      <c r="B97" s="34"/>
      <c r="C97" s="1"/>
      <c r="D97" s="34"/>
      <c r="E97" s="34"/>
      <c r="F97" s="34"/>
      <c r="G97" s="29"/>
      <c r="H97" s="29"/>
      <c r="I97" s="29"/>
      <c r="J97" s="34"/>
      <c r="K97" s="34"/>
      <c r="L97" s="34"/>
      <c r="M97" s="29"/>
      <c r="N97" s="29"/>
      <c r="O97" s="29"/>
      <c r="P97" s="29"/>
      <c r="Q97" s="34"/>
      <c r="R97" s="34"/>
    </row>
    <row x14ac:dyDescent="0.25" r="98" customHeight="1" ht="15.75">
      <c r="A98" s="1"/>
      <c r="B98" s="34"/>
      <c r="C98" s="1"/>
      <c r="D98" s="34"/>
      <c r="E98" s="34"/>
      <c r="F98" s="34"/>
      <c r="G98" s="29"/>
      <c r="H98" s="29"/>
      <c r="I98" s="29"/>
      <c r="J98" s="34"/>
      <c r="K98" s="34"/>
      <c r="L98" s="34"/>
      <c r="M98" s="29"/>
      <c r="N98" s="29"/>
      <c r="O98" s="29"/>
      <c r="P98" s="29"/>
      <c r="Q98" s="34"/>
      <c r="R98" s="34"/>
    </row>
    <row x14ac:dyDescent="0.25" r="99" customHeight="1" ht="15.75">
      <c r="A99" s="1"/>
      <c r="B99" s="34"/>
      <c r="C99" s="1"/>
      <c r="D99" s="34"/>
      <c r="E99" s="34"/>
      <c r="F99" s="34"/>
      <c r="G99" s="29"/>
      <c r="H99" s="29"/>
      <c r="I99" s="29"/>
      <c r="J99" s="34"/>
      <c r="K99" s="34"/>
      <c r="L99" s="34"/>
      <c r="M99" s="29"/>
      <c r="N99" s="29"/>
      <c r="O99" s="29"/>
      <c r="P99" s="29"/>
      <c r="Q99" s="34"/>
      <c r="R99" s="34"/>
    </row>
    <row x14ac:dyDescent="0.25" r="100" customHeight="1" ht="15.75">
      <c r="A100" s="1"/>
      <c r="B100" s="34"/>
      <c r="C100" s="1"/>
      <c r="D100" s="34"/>
      <c r="E100" s="34"/>
      <c r="F100" s="34"/>
      <c r="G100" s="29"/>
      <c r="H100" s="29"/>
      <c r="I100" s="29"/>
      <c r="J100" s="34"/>
      <c r="K100" s="34"/>
      <c r="L100" s="34"/>
      <c r="M100" s="29"/>
      <c r="N100" s="29"/>
      <c r="O100" s="29"/>
      <c r="P100" s="29"/>
      <c r="Q100" s="34"/>
      <c r="R100" s="34"/>
    </row>
    <row x14ac:dyDescent="0.25" r="101" customHeight="1" ht="15.75">
      <c r="A101" s="1"/>
      <c r="B101" s="34"/>
      <c r="C101" s="1"/>
      <c r="D101" s="34"/>
      <c r="E101" s="34"/>
      <c r="F101" s="34"/>
      <c r="G101" s="29"/>
      <c r="H101" s="29"/>
      <c r="I101" s="29"/>
      <c r="J101" s="34"/>
      <c r="K101" s="34"/>
      <c r="L101" s="34"/>
      <c r="M101" s="29"/>
      <c r="N101" s="29"/>
      <c r="O101" s="29"/>
      <c r="P101" s="29"/>
      <c r="Q101" s="34"/>
      <c r="R101" s="34"/>
    </row>
    <row x14ac:dyDescent="0.25" r="102" customHeight="1" ht="15.75">
      <c r="A102" s="1"/>
      <c r="B102" s="34"/>
      <c r="C102" s="1"/>
      <c r="D102" s="34"/>
      <c r="E102" s="34"/>
      <c r="F102" s="34"/>
      <c r="G102" s="29"/>
      <c r="H102" s="29"/>
      <c r="I102" s="29"/>
      <c r="J102" s="34"/>
      <c r="K102" s="34"/>
      <c r="L102" s="34"/>
      <c r="M102" s="29"/>
      <c r="N102" s="29"/>
      <c r="O102" s="29"/>
      <c r="P102" s="29"/>
      <c r="Q102" s="34"/>
      <c r="R102" s="34"/>
    </row>
    <row x14ac:dyDescent="0.25" r="103" customHeight="1" ht="15.75">
      <c r="A103" s="1"/>
      <c r="B103" s="34"/>
      <c r="C103" s="1"/>
      <c r="D103" s="34"/>
      <c r="E103" s="34"/>
      <c r="F103" s="34"/>
      <c r="G103" s="29"/>
      <c r="H103" s="29"/>
      <c r="I103" s="29"/>
      <c r="J103" s="34"/>
      <c r="K103" s="34"/>
      <c r="L103" s="34"/>
      <c r="M103" s="29"/>
      <c r="N103" s="29"/>
      <c r="O103" s="29"/>
      <c r="P103" s="29"/>
      <c r="Q103" s="34"/>
      <c r="R103" s="34"/>
    </row>
    <row x14ac:dyDescent="0.25" r="104" customHeight="1" ht="15.75">
      <c r="A104" s="1"/>
      <c r="B104" s="34"/>
      <c r="C104" s="1"/>
      <c r="D104" s="34"/>
      <c r="E104" s="34"/>
      <c r="F104" s="34"/>
      <c r="G104" s="29"/>
      <c r="H104" s="29"/>
      <c r="I104" s="29"/>
      <c r="J104" s="34"/>
      <c r="K104" s="34"/>
      <c r="L104" s="34"/>
      <c r="M104" s="29"/>
      <c r="N104" s="29"/>
      <c r="O104" s="29"/>
      <c r="P104" s="29"/>
      <c r="Q104" s="34"/>
      <c r="R104" s="34"/>
    </row>
    <row x14ac:dyDescent="0.25" r="105" customHeight="1" ht="15.75">
      <c r="A105" s="1"/>
      <c r="B105" s="34"/>
      <c r="C105" s="1"/>
      <c r="D105" s="34"/>
      <c r="E105" s="34"/>
      <c r="F105" s="34"/>
      <c r="G105" s="29"/>
      <c r="H105" s="29"/>
      <c r="I105" s="29"/>
      <c r="J105" s="34"/>
      <c r="K105" s="34"/>
      <c r="L105" s="34"/>
      <c r="M105" s="29"/>
      <c r="N105" s="29"/>
      <c r="O105" s="29"/>
      <c r="P105" s="29"/>
      <c r="Q105" s="34"/>
      <c r="R105" s="34"/>
    </row>
    <row x14ac:dyDescent="0.25" r="106" customHeight="1" ht="15.75">
      <c r="A106" s="1"/>
      <c r="B106" s="34"/>
      <c r="C106" s="1"/>
      <c r="D106" s="34"/>
      <c r="E106" s="34"/>
      <c r="F106" s="34"/>
      <c r="G106" s="29"/>
      <c r="H106" s="29"/>
      <c r="I106" s="29"/>
      <c r="J106" s="34"/>
      <c r="K106" s="34"/>
      <c r="L106" s="34"/>
      <c r="M106" s="29"/>
      <c r="N106" s="29"/>
      <c r="O106" s="29"/>
      <c r="P106" s="29"/>
      <c r="Q106" s="34"/>
      <c r="R106" s="34"/>
    </row>
    <row x14ac:dyDescent="0.25" r="107" customHeight="1" ht="15.75">
      <c r="A107" s="1"/>
      <c r="B107" s="34"/>
      <c r="C107" s="1"/>
      <c r="D107" s="34"/>
      <c r="E107" s="34"/>
      <c r="F107" s="34"/>
      <c r="G107" s="29"/>
      <c r="H107" s="29"/>
      <c r="I107" s="29"/>
      <c r="J107" s="34"/>
      <c r="K107" s="34"/>
      <c r="L107" s="34"/>
      <c r="M107" s="29"/>
      <c r="N107" s="29"/>
      <c r="O107" s="29"/>
      <c r="P107" s="29"/>
      <c r="Q107" s="34"/>
      <c r="R107" s="34"/>
    </row>
    <row x14ac:dyDescent="0.25" r="108" customHeight="1" ht="15.75">
      <c r="A108" s="1"/>
      <c r="B108" s="34"/>
      <c r="C108" s="1"/>
      <c r="D108" s="34"/>
      <c r="E108" s="34"/>
      <c r="F108" s="34"/>
      <c r="G108" s="29"/>
      <c r="H108" s="29"/>
      <c r="I108" s="29"/>
      <c r="J108" s="34"/>
      <c r="K108" s="34"/>
      <c r="L108" s="34"/>
      <c r="M108" s="29"/>
      <c r="N108" s="29"/>
      <c r="O108" s="29"/>
      <c r="P108" s="29"/>
      <c r="Q108" s="34"/>
      <c r="R108" s="34"/>
    </row>
    <row x14ac:dyDescent="0.25" r="109" customHeight="1" ht="15.75">
      <c r="A109" s="1"/>
      <c r="B109" s="34"/>
      <c r="C109" s="1"/>
      <c r="D109" s="34"/>
      <c r="E109" s="34"/>
      <c r="F109" s="34"/>
      <c r="G109" s="29"/>
      <c r="H109" s="29"/>
      <c r="I109" s="29"/>
      <c r="J109" s="34"/>
      <c r="K109" s="34"/>
      <c r="L109" s="34"/>
      <c r="M109" s="29"/>
      <c r="N109" s="29"/>
      <c r="O109" s="29"/>
      <c r="P109" s="29"/>
      <c r="Q109" s="34"/>
      <c r="R109" s="34"/>
    </row>
    <row x14ac:dyDescent="0.25" r="110" customHeight="1" ht="15.75">
      <c r="A110" s="1"/>
      <c r="B110" s="34"/>
      <c r="C110" s="1"/>
      <c r="D110" s="34"/>
      <c r="E110" s="34"/>
      <c r="F110" s="34"/>
      <c r="G110" s="29"/>
      <c r="H110" s="29"/>
      <c r="I110" s="29"/>
      <c r="J110" s="34"/>
      <c r="K110" s="34"/>
      <c r="L110" s="34"/>
      <c r="M110" s="29"/>
      <c r="N110" s="29"/>
      <c r="O110" s="29"/>
      <c r="P110" s="29"/>
      <c r="Q110" s="34"/>
      <c r="R110" s="34"/>
    </row>
    <row x14ac:dyDescent="0.25" r="111" customHeight="1" ht="15.75">
      <c r="A111" s="1"/>
      <c r="B111" s="34"/>
      <c r="C111" s="1"/>
      <c r="D111" s="34"/>
      <c r="E111" s="34"/>
      <c r="F111" s="34"/>
      <c r="G111" s="29"/>
      <c r="H111" s="29"/>
      <c r="I111" s="29"/>
      <c r="J111" s="34"/>
      <c r="K111" s="34"/>
      <c r="L111" s="34"/>
      <c r="M111" s="29"/>
      <c r="N111" s="29"/>
      <c r="O111" s="29"/>
      <c r="P111" s="29"/>
      <c r="Q111" s="34"/>
      <c r="R111" s="34"/>
    </row>
    <row x14ac:dyDescent="0.25" r="112" customHeight="1" ht="15.75">
      <c r="A112" s="1"/>
      <c r="B112" s="34"/>
      <c r="C112" s="1"/>
      <c r="D112" s="34"/>
      <c r="E112" s="34"/>
      <c r="F112" s="34"/>
      <c r="G112" s="29"/>
      <c r="H112" s="29"/>
      <c r="I112" s="29"/>
      <c r="J112" s="34"/>
      <c r="K112" s="34"/>
      <c r="L112" s="34"/>
      <c r="M112" s="29"/>
      <c r="N112" s="29"/>
      <c r="O112" s="29"/>
      <c r="P112" s="29"/>
      <c r="Q112" s="34"/>
      <c r="R112" s="34"/>
    </row>
    <row x14ac:dyDescent="0.25" r="113" customHeight="1" ht="15.75">
      <c r="A113" s="1"/>
      <c r="B113" s="34"/>
      <c r="C113" s="1"/>
      <c r="D113" s="34"/>
      <c r="E113" s="34"/>
      <c r="F113" s="34"/>
      <c r="G113" s="29"/>
      <c r="H113" s="29"/>
      <c r="I113" s="29"/>
      <c r="J113" s="34"/>
      <c r="K113" s="34"/>
      <c r="L113" s="34"/>
      <c r="M113" s="29"/>
      <c r="N113" s="29"/>
      <c r="O113" s="29"/>
      <c r="P113" s="29"/>
      <c r="Q113" s="34"/>
      <c r="R113" s="34"/>
    </row>
    <row x14ac:dyDescent="0.25" r="114" customHeight="1" ht="15.75">
      <c r="A114" s="1"/>
      <c r="B114" s="34"/>
      <c r="C114" s="1"/>
      <c r="D114" s="34"/>
      <c r="E114" s="34"/>
      <c r="F114" s="34"/>
      <c r="G114" s="29"/>
      <c r="H114" s="29"/>
      <c r="I114" s="29"/>
      <c r="J114" s="34"/>
      <c r="K114" s="34"/>
      <c r="L114" s="34"/>
      <c r="M114" s="29"/>
      <c r="N114" s="29"/>
      <c r="O114" s="29"/>
      <c r="P114" s="29"/>
      <c r="Q114" s="34"/>
      <c r="R114" s="34"/>
    </row>
    <row x14ac:dyDescent="0.25" r="115" customHeight="1" ht="15.75">
      <c r="A115" s="1"/>
      <c r="B115" s="34"/>
      <c r="C115" s="1"/>
      <c r="D115" s="34"/>
      <c r="E115" s="34"/>
      <c r="F115" s="34"/>
      <c r="G115" s="29"/>
      <c r="H115" s="29"/>
      <c r="I115" s="29"/>
      <c r="J115" s="34"/>
      <c r="K115" s="34"/>
      <c r="L115" s="34"/>
      <c r="M115" s="29"/>
      <c r="N115" s="29"/>
      <c r="O115" s="29"/>
      <c r="P115" s="29"/>
      <c r="Q115" s="34"/>
      <c r="R115" s="34"/>
    </row>
    <row x14ac:dyDescent="0.25" r="116" customHeight="1" ht="15.75">
      <c r="A116" s="1"/>
      <c r="B116" s="34"/>
      <c r="C116" s="1"/>
      <c r="D116" s="34"/>
      <c r="E116" s="34"/>
      <c r="F116" s="34"/>
      <c r="G116" s="29"/>
      <c r="H116" s="29"/>
      <c r="I116" s="29"/>
      <c r="J116" s="34"/>
      <c r="K116" s="34"/>
      <c r="L116" s="34"/>
      <c r="M116" s="29"/>
      <c r="N116" s="29"/>
      <c r="O116" s="29"/>
      <c r="P116" s="29"/>
      <c r="Q116" s="34"/>
      <c r="R116" s="34"/>
    </row>
    <row x14ac:dyDescent="0.25" r="117" customHeight="1" ht="15.75">
      <c r="A117" s="1"/>
      <c r="B117" s="34"/>
      <c r="C117" s="1"/>
      <c r="D117" s="34"/>
      <c r="E117" s="34"/>
      <c r="F117" s="34"/>
      <c r="G117" s="29"/>
      <c r="H117" s="29"/>
      <c r="I117" s="29"/>
      <c r="J117" s="34"/>
      <c r="K117" s="34"/>
      <c r="L117" s="34"/>
      <c r="M117" s="29"/>
      <c r="N117" s="29"/>
      <c r="O117" s="29"/>
      <c r="P117" s="29"/>
      <c r="Q117" s="34"/>
      <c r="R117" s="34"/>
    </row>
    <row x14ac:dyDescent="0.25" r="118" customHeight="1" ht="15.75">
      <c r="A118" s="1"/>
      <c r="B118" s="34"/>
      <c r="C118" s="1"/>
      <c r="D118" s="34"/>
      <c r="E118" s="34"/>
      <c r="F118" s="34"/>
      <c r="G118" s="29"/>
      <c r="H118" s="29"/>
      <c r="I118" s="29"/>
      <c r="J118" s="34"/>
      <c r="K118" s="34"/>
      <c r="L118" s="34"/>
      <c r="M118" s="29"/>
      <c r="N118" s="29"/>
      <c r="O118" s="29"/>
      <c r="P118" s="29"/>
      <c r="Q118" s="34"/>
      <c r="R118" s="34"/>
    </row>
    <row x14ac:dyDescent="0.25" r="119" customHeight="1" ht="15.75">
      <c r="A119" s="1"/>
      <c r="B119" s="34"/>
      <c r="C119" s="1"/>
      <c r="D119" s="34"/>
      <c r="E119" s="34"/>
      <c r="F119" s="34"/>
      <c r="G119" s="29"/>
      <c r="H119" s="29"/>
      <c r="I119" s="29"/>
      <c r="J119" s="34"/>
      <c r="K119" s="34"/>
      <c r="L119" s="34"/>
      <c r="M119" s="29"/>
      <c r="N119" s="29"/>
      <c r="O119" s="29"/>
      <c r="P119" s="29"/>
      <c r="Q119" s="34"/>
      <c r="R119" s="34"/>
    </row>
    <row x14ac:dyDescent="0.25" r="120" customHeight="1" ht="15.75">
      <c r="A120" s="1"/>
      <c r="B120" s="34"/>
      <c r="C120" s="1"/>
      <c r="D120" s="34"/>
      <c r="E120" s="34"/>
      <c r="F120" s="34"/>
      <c r="G120" s="29"/>
      <c r="H120" s="29"/>
      <c r="I120" s="29"/>
      <c r="J120" s="34"/>
      <c r="K120" s="34"/>
      <c r="L120" s="34"/>
      <c r="M120" s="29"/>
      <c r="N120" s="29"/>
      <c r="O120" s="29"/>
      <c r="P120" s="29"/>
      <c r="Q120" s="34"/>
      <c r="R120" s="34"/>
    </row>
    <row x14ac:dyDescent="0.25" r="121" customHeight="1" ht="15.75">
      <c r="A121" s="1"/>
      <c r="B121" s="34"/>
      <c r="C121" s="1"/>
      <c r="D121" s="34"/>
      <c r="E121" s="34"/>
      <c r="F121" s="34"/>
      <c r="G121" s="29"/>
      <c r="H121" s="29"/>
      <c r="I121" s="29"/>
      <c r="J121" s="34"/>
      <c r="K121" s="34"/>
      <c r="L121" s="34"/>
      <c r="M121" s="29"/>
      <c r="N121" s="29"/>
      <c r="O121" s="29"/>
      <c r="P121" s="29"/>
      <c r="Q121" s="34"/>
      <c r="R121" s="34"/>
    </row>
    <row x14ac:dyDescent="0.25" r="122" customHeight="1" ht="15.75">
      <c r="A122" s="1"/>
      <c r="B122" s="34"/>
      <c r="C122" s="1"/>
      <c r="D122" s="34"/>
      <c r="E122" s="34"/>
      <c r="F122" s="34"/>
      <c r="G122" s="29"/>
      <c r="H122" s="29"/>
      <c r="I122" s="29"/>
      <c r="J122" s="34"/>
      <c r="K122" s="34"/>
      <c r="L122" s="34"/>
      <c r="M122" s="29"/>
      <c r="N122" s="29"/>
      <c r="O122" s="29"/>
      <c r="P122" s="29"/>
      <c r="Q122" s="34"/>
      <c r="R122" s="34"/>
    </row>
    <row x14ac:dyDescent="0.25" r="123" customHeight="1" ht="15.75">
      <c r="A123" s="1"/>
      <c r="B123" s="34"/>
      <c r="C123" s="1"/>
      <c r="D123" s="34"/>
      <c r="E123" s="34"/>
      <c r="F123" s="34"/>
      <c r="G123" s="29"/>
      <c r="H123" s="29"/>
      <c r="I123" s="29"/>
      <c r="J123" s="34"/>
      <c r="K123" s="34"/>
      <c r="L123" s="34"/>
      <c r="M123" s="29"/>
      <c r="N123" s="29"/>
      <c r="O123" s="29"/>
      <c r="P123" s="29"/>
      <c r="Q123" s="34"/>
      <c r="R123" s="34"/>
    </row>
    <row x14ac:dyDescent="0.25" r="124" customHeight="1" ht="15.75">
      <c r="A124" s="1"/>
      <c r="B124" s="34"/>
      <c r="C124" s="1"/>
      <c r="D124" s="34"/>
      <c r="E124" s="34"/>
      <c r="F124" s="34"/>
      <c r="G124" s="29"/>
      <c r="H124" s="29"/>
      <c r="I124" s="29"/>
      <c r="J124" s="34"/>
      <c r="K124" s="34"/>
      <c r="L124" s="34"/>
      <c r="M124" s="29"/>
      <c r="N124" s="29"/>
      <c r="O124" s="29"/>
      <c r="P124" s="29"/>
      <c r="Q124" s="34"/>
      <c r="R124" s="34"/>
    </row>
    <row x14ac:dyDescent="0.25" r="125" customHeight="1" ht="15.75">
      <c r="A125" s="1"/>
      <c r="B125" s="34"/>
      <c r="C125" s="1"/>
      <c r="D125" s="34"/>
      <c r="E125" s="34"/>
      <c r="F125" s="34"/>
      <c r="G125" s="29"/>
      <c r="H125" s="29"/>
      <c r="I125" s="29"/>
      <c r="J125" s="34"/>
      <c r="K125" s="34"/>
      <c r="L125" s="34"/>
      <c r="M125" s="29"/>
      <c r="N125" s="29"/>
      <c r="O125" s="29"/>
      <c r="P125" s="29"/>
      <c r="Q125" s="34"/>
      <c r="R125" s="34"/>
    </row>
    <row x14ac:dyDescent="0.25" r="126" customHeight="1" ht="15.75">
      <c r="A126" s="1"/>
      <c r="B126" s="34"/>
      <c r="C126" s="1"/>
      <c r="D126" s="34"/>
      <c r="E126" s="34"/>
      <c r="F126" s="34"/>
      <c r="G126" s="29"/>
      <c r="H126" s="29"/>
      <c r="I126" s="29"/>
      <c r="J126" s="34"/>
      <c r="K126" s="34"/>
      <c r="L126" s="34"/>
      <c r="M126" s="29"/>
      <c r="N126" s="29"/>
      <c r="O126" s="29"/>
      <c r="P126" s="29"/>
      <c r="Q126" s="34"/>
      <c r="R126" s="34"/>
    </row>
    <row x14ac:dyDescent="0.25" r="127" customHeight="1" ht="15.75">
      <c r="A127" s="1"/>
      <c r="B127" s="34"/>
      <c r="C127" s="1"/>
      <c r="D127" s="34"/>
      <c r="E127" s="34"/>
      <c r="F127" s="34"/>
      <c r="G127" s="29"/>
      <c r="H127" s="29"/>
      <c r="I127" s="29"/>
      <c r="J127" s="34"/>
      <c r="K127" s="34"/>
      <c r="L127" s="34"/>
      <c r="M127" s="29"/>
      <c r="N127" s="29"/>
      <c r="O127" s="29"/>
      <c r="P127" s="29"/>
      <c r="Q127" s="34"/>
      <c r="R127" s="34"/>
    </row>
    <row x14ac:dyDescent="0.25" r="128" customHeight="1" ht="15.75">
      <c r="A128" s="1"/>
      <c r="B128" s="34"/>
      <c r="C128" s="1"/>
      <c r="D128" s="34"/>
      <c r="E128" s="34"/>
      <c r="F128" s="34"/>
      <c r="G128" s="29"/>
      <c r="H128" s="29"/>
      <c r="I128" s="29"/>
      <c r="J128" s="34"/>
      <c r="K128" s="34"/>
      <c r="L128" s="34"/>
      <c r="M128" s="29"/>
      <c r="N128" s="29"/>
      <c r="O128" s="29"/>
      <c r="P128" s="29"/>
      <c r="Q128" s="34"/>
      <c r="R128" s="34"/>
    </row>
    <row x14ac:dyDescent="0.25" r="129" customHeight="1" ht="15.75">
      <c r="A129" s="1"/>
      <c r="B129" s="34"/>
      <c r="C129" s="1"/>
      <c r="D129" s="34"/>
      <c r="E129" s="34"/>
      <c r="F129" s="34"/>
      <c r="G129" s="29"/>
      <c r="H129" s="29"/>
      <c r="I129" s="29"/>
      <c r="J129" s="34"/>
      <c r="K129" s="34"/>
      <c r="L129" s="34"/>
      <c r="M129" s="29"/>
      <c r="N129" s="29"/>
      <c r="O129" s="29"/>
      <c r="P129" s="29"/>
      <c r="Q129" s="34"/>
      <c r="R129" s="34"/>
    </row>
    <row x14ac:dyDescent="0.25" r="130" customHeight="1" ht="15.75">
      <c r="A130" s="1"/>
      <c r="B130" s="34"/>
      <c r="C130" s="1"/>
      <c r="D130" s="34"/>
      <c r="E130" s="34"/>
      <c r="F130" s="34"/>
      <c r="G130" s="29"/>
      <c r="H130" s="29"/>
      <c r="I130" s="29"/>
      <c r="J130" s="34"/>
      <c r="K130" s="34"/>
      <c r="L130" s="34"/>
      <c r="M130" s="29"/>
      <c r="N130" s="29"/>
      <c r="O130" s="29"/>
      <c r="P130" s="29"/>
      <c r="Q130" s="34"/>
      <c r="R130" s="34"/>
    </row>
    <row x14ac:dyDescent="0.25" r="131" customHeight="1" ht="15.75">
      <c r="A131" s="1"/>
      <c r="B131" s="34"/>
      <c r="C131" s="1"/>
      <c r="D131" s="34"/>
      <c r="E131" s="34"/>
      <c r="F131" s="34"/>
      <c r="G131" s="29"/>
      <c r="H131" s="29"/>
      <c r="I131" s="29"/>
      <c r="J131" s="34"/>
      <c r="K131" s="34"/>
      <c r="L131" s="34"/>
      <c r="M131" s="29"/>
      <c r="N131" s="29"/>
      <c r="O131" s="29"/>
      <c r="P131" s="29"/>
      <c r="Q131" s="34"/>
      <c r="R131" s="34"/>
    </row>
    <row x14ac:dyDescent="0.25" r="132" customHeight="1" ht="15.75">
      <c r="A132" s="1"/>
      <c r="B132" s="34"/>
      <c r="C132" s="1"/>
      <c r="D132" s="34"/>
      <c r="E132" s="34"/>
      <c r="F132" s="34"/>
      <c r="G132" s="29"/>
      <c r="H132" s="29"/>
      <c r="I132" s="29"/>
      <c r="J132" s="34"/>
      <c r="K132" s="34"/>
      <c r="L132" s="34"/>
      <c r="M132" s="29"/>
      <c r="N132" s="29"/>
      <c r="O132" s="29"/>
      <c r="P132" s="29"/>
      <c r="Q132" s="34"/>
      <c r="R132" s="34"/>
    </row>
    <row x14ac:dyDescent="0.25" r="133" customHeight="1" ht="15.75">
      <c r="A133" s="1"/>
      <c r="B133" s="34"/>
      <c r="C133" s="1"/>
      <c r="D133" s="34"/>
      <c r="E133" s="34"/>
      <c r="F133" s="34"/>
      <c r="G133" s="29"/>
      <c r="H133" s="29"/>
      <c r="I133" s="29"/>
      <c r="J133" s="34"/>
      <c r="K133" s="34"/>
      <c r="L133" s="34"/>
      <c r="M133" s="29"/>
      <c r="N133" s="29"/>
      <c r="O133" s="29"/>
      <c r="P133" s="29"/>
      <c r="Q133" s="34"/>
      <c r="R133" s="34"/>
    </row>
    <row x14ac:dyDescent="0.25" r="134" customHeight="1" ht="15.75">
      <c r="A134" s="1"/>
      <c r="B134" s="34"/>
      <c r="C134" s="1"/>
      <c r="D134" s="34"/>
      <c r="E134" s="34"/>
      <c r="F134" s="34"/>
      <c r="G134" s="29"/>
      <c r="H134" s="29"/>
      <c r="I134" s="29"/>
      <c r="J134" s="34"/>
      <c r="K134" s="34"/>
      <c r="L134" s="34"/>
      <c r="M134" s="29"/>
      <c r="N134" s="29"/>
      <c r="O134" s="29"/>
      <c r="P134" s="29"/>
      <c r="Q134" s="34"/>
      <c r="R134" s="34"/>
    </row>
    <row x14ac:dyDescent="0.25" r="135" customHeight="1" ht="15.75">
      <c r="A135" s="1"/>
      <c r="B135" s="34"/>
      <c r="C135" s="1"/>
      <c r="D135" s="34"/>
      <c r="E135" s="34"/>
      <c r="F135" s="34"/>
      <c r="G135" s="29"/>
      <c r="H135" s="29"/>
      <c r="I135" s="29"/>
      <c r="J135" s="34"/>
      <c r="K135" s="34"/>
      <c r="L135" s="34"/>
      <c r="M135" s="29"/>
      <c r="N135" s="29"/>
      <c r="O135" s="29"/>
      <c r="P135" s="29"/>
      <c r="Q135" s="34"/>
      <c r="R135" s="34"/>
    </row>
    <row x14ac:dyDescent="0.25" r="136" customHeight="1" ht="15.75">
      <c r="A136" s="1"/>
      <c r="B136" s="34"/>
      <c r="C136" s="1"/>
      <c r="D136" s="34"/>
      <c r="E136" s="34"/>
      <c r="F136" s="34"/>
      <c r="G136" s="29"/>
      <c r="H136" s="29"/>
      <c r="I136" s="29"/>
      <c r="J136" s="34"/>
      <c r="K136" s="34"/>
      <c r="L136" s="34"/>
      <c r="M136" s="29"/>
      <c r="N136" s="29"/>
      <c r="O136" s="29"/>
      <c r="P136" s="29"/>
      <c r="Q136" s="34"/>
      <c r="R136" s="34"/>
    </row>
    <row x14ac:dyDescent="0.25" r="137" customHeight="1" ht="15.75">
      <c r="A137" s="1"/>
      <c r="B137" s="34"/>
      <c r="C137" s="1"/>
      <c r="D137" s="34"/>
      <c r="E137" s="34"/>
      <c r="F137" s="34"/>
      <c r="G137" s="29"/>
      <c r="H137" s="29"/>
      <c r="I137" s="29"/>
      <c r="J137" s="34"/>
      <c r="K137" s="34"/>
      <c r="L137" s="34"/>
      <c r="M137" s="29"/>
      <c r="N137" s="29"/>
      <c r="O137" s="29"/>
      <c r="P137" s="29"/>
      <c r="Q137" s="34"/>
      <c r="R137" s="34"/>
    </row>
    <row x14ac:dyDescent="0.25" r="138" customHeight="1" ht="15.75">
      <c r="A138" s="1"/>
      <c r="B138" s="34"/>
      <c r="C138" s="1"/>
      <c r="D138" s="34"/>
      <c r="E138" s="34"/>
      <c r="F138" s="34"/>
      <c r="G138" s="29"/>
      <c r="H138" s="29"/>
      <c r="I138" s="29"/>
      <c r="J138" s="34"/>
      <c r="K138" s="34"/>
      <c r="L138" s="34"/>
      <c r="M138" s="29"/>
      <c r="N138" s="29"/>
      <c r="O138" s="29"/>
      <c r="P138" s="29"/>
      <c r="Q138" s="34"/>
      <c r="R138" s="34"/>
    </row>
    <row x14ac:dyDescent="0.25" r="139" customHeight="1" ht="15.75">
      <c r="A139" s="1"/>
      <c r="B139" s="34"/>
      <c r="C139" s="1"/>
      <c r="D139" s="34"/>
      <c r="E139" s="34"/>
      <c r="F139" s="34"/>
      <c r="G139" s="29"/>
      <c r="H139" s="29"/>
      <c r="I139" s="29"/>
      <c r="J139" s="34"/>
      <c r="K139" s="34"/>
      <c r="L139" s="34"/>
      <c r="M139" s="29"/>
      <c r="N139" s="29"/>
      <c r="O139" s="29"/>
      <c r="P139" s="29"/>
      <c r="Q139" s="34"/>
      <c r="R139" s="34"/>
    </row>
    <row x14ac:dyDescent="0.25" r="140" customHeight="1" ht="15.75">
      <c r="A140" s="1"/>
      <c r="B140" s="34"/>
      <c r="C140" s="1"/>
      <c r="D140" s="34"/>
      <c r="E140" s="34"/>
      <c r="F140" s="34"/>
      <c r="G140" s="29"/>
      <c r="H140" s="29"/>
      <c r="I140" s="29"/>
      <c r="J140" s="34"/>
      <c r="K140" s="34"/>
      <c r="L140" s="34"/>
      <c r="M140" s="29"/>
      <c r="N140" s="29"/>
      <c r="O140" s="29"/>
      <c r="P140" s="29"/>
      <c r="Q140" s="34"/>
      <c r="R140" s="34"/>
    </row>
    <row x14ac:dyDescent="0.25" r="141" customHeight="1" ht="15.75">
      <c r="A141" s="1"/>
      <c r="B141" s="34"/>
      <c r="C141" s="1"/>
      <c r="D141" s="34"/>
      <c r="E141" s="34"/>
      <c r="F141" s="34"/>
      <c r="G141" s="29"/>
      <c r="H141" s="29"/>
      <c r="I141" s="29"/>
      <c r="J141" s="34"/>
      <c r="K141" s="34"/>
      <c r="L141" s="34"/>
      <c r="M141" s="29"/>
      <c r="N141" s="29"/>
      <c r="O141" s="29"/>
      <c r="P141" s="29"/>
      <c r="Q141" s="34"/>
      <c r="R141" s="34"/>
    </row>
    <row x14ac:dyDescent="0.25" r="142" customHeight="1" ht="15.75">
      <c r="A142" s="1"/>
      <c r="B142" s="34"/>
      <c r="C142" s="1"/>
      <c r="D142" s="34"/>
      <c r="E142" s="34"/>
      <c r="F142" s="34"/>
      <c r="G142" s="29"/>
      <c r="H142" s="29"/>
      <c r="I142" s="29"/>
      <c r="J142" s="34"/>
      <c r="K142" s="34"/>
      <c r="L142" s="34"/>
      <c r="M142" s="29"/>
      <c r="N142" s="29"/>
      <c r="O142" s="29"/>
      <c r="P142" s="29"/>
      <c r="Q142" s="34"/>
      <c r="R142" s="34"/>
    </row>
    <row x14ac:dyDescent="0.25" r="143" customHeight="1" ht="15.75">
      <c r="A143" s="1"/>
      <c r="B143" s="34"/>
      <c r="C143" s="1"/>
      <c r="D143" s="34"/>
      <c r="E143" s="34"/>
      <c r="F143" s="34"/>
      <c r="G143" s="29"/>
      <c r="H143" s="29"/>
      <c r="I143" s="29"/>
      <c r="J143" s="34"/>
      <c r="K143" s="34"/>
      <c r="L143" s="34"/>
      <c r="M143" s="29"/>
      <c r="N143" s="29"/>
      <c r="O143" s="29"/>
      <c r="P143" s="29"/>
      <c r="Q143" s="34"/>
      <c r="R143" s="34"/>
    </row>
    <row x14ac:dyDescent="0.25" r="144" customHeight="1" ht="15.75">
      <c r="A144" s="1"/>
      <c r="B144" s="34"/>
      <c r="C144" s="1"/>
      <c r="D144" s="34"/>
      <c r="E144" s="34"/>
      <c r="F144" s="34"/>
      <c r="G144" s="29"/>
      <c r="H144" s="29"/>
      <c r="I144" s="29"/>
      <c r="J144" s="34"/>
      <c r="K144" s="34"/>
      <c r="L144" s="34"/>
      <c r="M144" s="29"/>
      <c r="N144" s="29"/>
      <c r="O144" s="29"/>
      <c r="P144" s="29"/>
      <c r="Q144" s="34"/>
      <c r="R144" s="34"/>
    </row>
    <row x14ac:dyDescent="0.25" r="145" customHeight="1" ht="15.75">
      <c r="A145" s="1"/>
      <c r="B145" s="34"/>
      <c r="C145" s="1"/>
      <c r="D145" s="34"/>
      <c r="E145" s="34"/>
      <c r="F145" s="34"/>
      <c r="G145" s="29"/>
      <c r="H145" s="29"/>
      <c r="I145" s="29"/>
      <c r="J145" s="34"/>
      <c r="K145" s="34"/>
      <c r="L145" s="34"/>
      <c r="M145" s="29"/>
      <c r="N145" s="29"/>
      <c r="O145" s="29"/>
      <c r="P145" s="29"/>
      <c r="Q145" s="34"/>
      <c r="R145" s="34"/>
    </row>
    <row x14ac:dyDescent="0.25" r="146" customHeight="1" ht="15.75">
      <c r="A146" s="1"/>
      <c r="B146" s="34"/>
      <c r="C146" s="1"/>
      <c r="D146" s="34"/>
      <c r="E146" s="34"/>
      <c r="F146" s="34"/>
      <c r="G146" s="29"/>
      <c r="H146" s="29"/>
      <c r="I146" s="29"/>
      <c r="J146" s="34"/>
      <c r="K146" s="34"/>
      <c r="L146" s="34"/>
      <c r="M146" s="29"/>
      <c r="N146" s="29"/>
      <c r="O146" s="29"/>
      <c r="P146" s="29"/>
      <c r="Q146" s="34"/>
      <c r="R146" s="34"/>
    </row>
    <row x14ac:dyDescent="0.25" r="147" customHeight="1" ht="15.75">
      <c r="A147" s="1"/>
      <c r="B147" s="34"/>
      <c r="C147" s="1"/>
      <c r="D147" s="34"/>
      <c r="E147" s="34"/>
      <c r="F147" s="34"/>
      <c r="G147" s="29"/>
      <c r="H147" s="29"/>
      <c r="I147" s="29"/>
      <c r="J147" s="34"/>
      <c r="K147" s="34"/>
      <c r="L147" s="34"/>
      <c r="M147" s="29"/>
      <c r="N147" s="29"/>
      <c r="O147" s="29"/>
      <c r="P147" s="29"/>
      <c r="Q147" s="34"/>
      <c r="R147" s="34"/>
    </row>
    <row x14ac:dyDescent="0.25" r="148" customHeight="1" ht="15.75">
      <c r="A148" s="1"/>
      <c r="B148" s="34"/>
      <c r="C148" s="1"/>
      <c r="D148" s="34"/>
      <c r="E148" s="34"/>
      <c r="F148" s="34"/>
      <c r="G148" s="29"/>
      <c r="H148" s="29"/>
      <c r="I148" s="29"/>
      <c r="J148" s="34"/>
      <c r="K148" s="34"/>
      <c r="L148" s="34"/>
      <c r="M148" s="29"/>
      <c r="N148" s="29"/>
      <c r="O148" s="29"/>
      <c r="P148" s="29"/>
      <c r="Q148" s="34"/>
      <c r="R148" s="34"/>
    </row>
    <row x14ac:dyDescent="0.25" r="149" customHeight="1" ht="15.75">
      <c r="A149" s="1"/>
      <c r="B149" s="34"/>
      <c r="C149" s="1"/>
      <c r="D149" s="34"/>
      <c r="E149" s="34"/>
      <c r="F149" s="34"/>
      <c r="G149" s="29"/>
      <c r="H149" s="29"/>
      <c r="I149" s="29"/>
      <c r="J149" s="34"/>
      <c r="K149" s="34"/>
      <c r="L149" s="34"/>
      <c r="M149" s="29"/>
      <c r="N149" s="29"/>
      <c r="O149" s="29"/>
      <c r="P149" s="29"/>
      <c r="Q149" s="34"/>
      <c r="R149" s="34"/>
    </row>
    <row x14ac:dyDescent="0.25" r="150" customHeight="1" ht="15.75">
      <c r="A150" s="1"/>
      <c r="B150" s="34"/>
      <c r="C150" s="1"/>
      <c r="D150" s="34"/>
      <c r="E150" s="34"/>
      <c r="F150" s="34"/>
      <c r="G150" s="29"/>
      <c r="H150" s="29"/>
      <c r="I150" s="29"/>
      <c r="J150" s="34"/>
      <c r="K150" s="34"/>
      <c r="L150" s="34"/>
      <c r="M150" s="29"/>
      <c r="N150" s="29"/>
      <c r="O150" s="29"/>
      <c r="P150" s="29"/>
      <c r="Q150" s="34"/>
      <c r="R150" s="34"/>
    </row>
    <row x14ac:dyDescent="0.25" r="151" customHeight="1" ht="15.75">
      <c r="A151" s="1"/>
      <c r="B151" s="34"/>
      <c r="C151" s="1"/>
      <c r="D151" s="34"/>
      <c r="E151" s="34"/>
      <c r="F151" s="34"/>
      <c r="G151" s="29"/>
      <c r="H151" s="29"/>
      <c r="I151" s="29"/>
      <c r="J151" s="34"/>
      <c r="K151" s="34"/>
      <c r="L151" s="34"/>
      <c r="M151" s="29"/>
      <c r="N151" s="29"/>
      <c r="O151" s="29"/>
      <c r="P151" s="29"/>
      <c r="Q151" s="34"/>
      <c r="R151" s="34"/>
    </row>
    <row x14ac:dyDescent="0.25" r="152" customHeight="1" ht="15.75">
      <c r="A152" s="1"/>
      <c r="B152" s="34"/>
      <c r="C152" s="1"/>
      <c r="D152" s="34"/>
      <c r="E152" s="34"/>
      <c r="F152" s="34"/>
      <c r="G152" s="29"/>
      <c r="H152" s="29"/>
      <c r="I152" s="29"/>
      <c r="J152" s="34"/>
      <c r="K152" s="34"/>
      <c r="L152" s="34"/>
      <c r="M152" s="29"/>
      <c r="N152" s="29"/>
      <c r="O152" s="29"/>
      <c r="P152" s="29"/>
      <c r="Q152" s="34"/>
      <c r="R152" s="34"/>
    </row>
    <row x14ac:dyDescent="0.25" r="153" customHeight="1" ht="15.75">
      <c r="A153" s="1"/>
      <c r="B153" s="34"/>
      <c r="C153" s="1"/>
      <c r="D153" s="34"/>
      <c r="E153" s="34"/>
      <c r="F153" s="34"/>
      <c r="G153" s="29"/>
      <c r="H153" s="29"/>
      <c r="I153" s="29"/>
      <c r="J153" s="34"/>
      <c r="K153" s="34"/>
      <c r="L153" s="34"/>
      <c r="M153" s="29"/>
      <c r="N153" s="29"/>
      <c r="O153" s="29"/>
      <c r="P153" s="29"/>
      <c r="Q153" s="34"/>
      <c r="R153" s="34"/>
    </row>
    <row x14ac:dyDescent="0.25" r="154" customHeight="1" ht="15.75">
      <c r="A154" s="1"/>
      <c r="B154" s="34"/>
      <c r="C154" s="1"/>
      <c r="D154" s="34"/>
      <c r="E154" s="34"/>
      <c r="F154" s="34"/>
      <c r="G154" s="29"/>
      <c r="H154" s="29"/>
      <c r="I154" s="29"/>
      <c r="J154" s="34"/>
      <c r="K154" s="34"/>
      <c r="L154" s="34"/>
      <c r="M154" s="29"/>
      <c r="N154" s="29"/>
      <c r="O154" s="29"/>
      <c r="P154" s="29"/>
      <c r="Q154" s="34"/>
      <c r="R154" s="34"/>
    </row>
    <row x14ac:dyDescent="0.25" r="155" customHeight="1" ht="15.75">
      <c r="A155" s="1"/>
      <c r="B155" s="34"/>
      <c r="C155" s="1"/>
      <c r="D155" s="34"/>
      <c r="E155" s="34"/>
      <c r="F155" s="34"/>
      <c r="G155" s="29"/>
      <c r="H155" s="29"/>
      <c r="I155" s="29"/>
      <c r="J155" s="34"/>
      <c r="K155" s="34"/>
      <c r="L155" s="34"/>
      <c r="M155" s="29"/>
      <c r="N155" s="29"/>
      <c r="O155" s="29"/>
      <c r="P155" s="29"/>
      <c r="Q155" s="34"/>
      <c r="R155" s="34"/>
    </row>
    <row x14ac:dyDescent="0.25" r="156" customHeight="1" ht="15.75">
      <c r="A156" s="1"/>
      <c r="B156" s="34"/>
      <c r="C156" s="1"/>
      <c r="D156" s="34"/>
      <c r="E156" s="34"/>
      <c r="F156" s="34"/>
      <c r="G156" s="29"/>
      <c r="H156" s="29"/>
      <c r="I156" s="29"/>
      <c r="J156" s="34"/>
      <c r="K156" s="34"/>
      <c r="L156" s="34"/>
      <c r="M156" s="29"/>
      <c r="N156" s="29"/>
      <c r="O156" s="29"/>
      <c r="P156" s="29"/>
      <c r="Q156" s="34"/>
      <c r="R156" s="34"/>
    </row>
    <row x14ac:dyDescent="0.25" r="157" customHeight="1" ht="15.75">
      <c r="A157" s="1"/>
      <c r="B157" s="34"/>
      <c r="C157" s="1"/>
      <c r="D157" s="34"/>
      <c r="E157" s="34"/>
      <c r="F157" s="34"/>
      <c r="G157" s="29"/>
      <c r="H157" s="29"/>
      <c r="I157" s="29"/>
      <c r="J157" s="34"/>
      <c r="K157" s="34"/>
      <c r="L157" s="34"/>
      <c r="M157" s="29"/>
      <c r="N157" s="29"/>
      <c r="O157" s="29"/>
      <c r="P157" s="29"/>
      <c r="Q157" s="34"/>
      <c r="R157" s="34"/>
    </row>
    <row x14ac:dyDescent="0.25" r="158" customHeight="1" ht="15.75">
      <c r="A158" s="1"/>
      <c r="B158" s="34"/>
      <c r="C158" s="1"/>
      <c r="D158" s="34"/>
      <c r="E158" s="34"/>
      <c r="F158" s="34"/>
      <c r="G158" s="29"/>
      <c r="H158" s="29"/>
      <c r="I158" s="29"/>
      <c r="J158" s="34"/>
      <c r="K158" s="34"/>
      <c r="L158" s="34"/>
      <c r="M158" s="29"/>
      <c r="N158" s="29"/>
      <c r="O158" s="29"/>
      <c r="P158" s="29"/>
      <c r="Q158" s="34"/>
      <c r="R158" s="34"/>
    </row>
    <row x14ac:dyDescent="0.25" r="159" customHeight="1" ht="15.75">
      <c r="A159" s="1"/>
      <c r="B159" s="34"/>
      <c r="C159" s="1"/>
      <c r="D159" s="34"/>
      <c r="E159" s="34"/>
      <c r="F159" s="34"/>
      <c r="G159" s="29"/>
      <c r="H159" s="29"/>
      <c r="I159" s="29"/>
      <c r="J159" s="34"/>
      <c r="K159" s="34"/>
      <c r="L159" s="34"/>
      <c r="M159" s="29"/>
      <c r="N159" s="29"/>
      <c r="O159" s="29"/>
      <c r="P159" s="29"/>
      <c r="Q159" s="34"/>
      <c r="R159" s="34"/>
    </row>
    <row x14ac:dyDescent="0.25" r="160" customHeight="1" ht="15.75">
      <c r="A160" s="1"/>
      <c r="B160" s="34"/>
      <c r="C160" s="1"/>
      <c r="D160" s="34"/>
      <c r="E160" s="34"/>
      <c r="F160" s="34"/>
      <c r="G160" s="29"/>
      <c r="H160" s="29"/>
      <c r="I160" s="29"/>
      <c r="J160" s="34"/>
      <c r="K160" s="34"/>
      <c r="L160" s="34"/>
      <c r="M160" s="29"/>
      <c r="N160" s="29"/>
      <c r="O160" s="29"/>
      <c r="P160" s="29"/>
      <c r="Q160" s="34"/>
      <c r="R160" s="34"/>
    </row>
    <row x14ac:dyDescent="0.25" r="161" customHeight="1" ht="15.75">
      <c r="A161" s="1"/>
      <c r="B161" s="34"/>
      <c r="C161" s="1"/>
      <c r="D161" s="34"/>
      <c r="E161" s="34"/>
      <c r="F161" s="34"/>
      <c r="G161" s="29"/>
      <c r="H161" s="29"/>
      <c r="I161" s="29"/>
      <c r="J161" s="34"/>
      <c r="K161" s="34"/>
      <c r="L161" s="34"/>
      <c r="M161" s="29"/>
      <c r="N161" s="29"/>
      <c r="O161" s="29"/>
      <c r="P161" s="29"/>
      <c r="Q161" s="34"/>
      <c r="R161" s="34"/>
    </row>
    <row x14ac:dyDescent="0.25" r="162" customHeight="1" ht="15.75">
      <c r="A162" s="1"/>
      <c r="B162" s="34"/>
      <c r="C162" s="1"/>
      <c r="D162" s="34"/>
      <c r="E162" s="34"/>
      <c r="F162" s="34"/>
      <c r="G162" s="29"/>
      <c r="H162" s="29"/>
      <c r="I162" s="29"/>
      <c r="J162" s="34"/>
      <c r="K162" s="34"/>
      <c r="L162" s="34"/>
      <c r="M162" s="29"/>
      <c r="N162" s="29"/>
      <c r="O162" s="29"/>
      <c r="P162" s="29"/>
      <c r="Q162" s="34"/>
      <c r="R162" s="34"/>
    </row>
    <row x14ac:dyDescent="0.25" r="163" customHeight="1" ht="15.75">
      <c r="A163" s="1"/>
      <c r="B163" s="34"/>
      <c r="C163" s="1"/>
      <c r="D163" s="34"/>
      <c r="E163" s="34"/>
      <c r="F163" s="34"/>
      <c r="G163" s="29"/>
      <c r="H163" s="29"/>
      <c r="I163" s="29"/>
      <c r="J163" s="34"/>
      <c r="K163" s="34"/>
      <c r="L163" s="34"/>
      <c r="M163" s="29"/>
      <c r="N163" s="29"/>
      <c r="O163" s="29"/>
      <c r="P163" s="29"/>
      <c r="Q163" s="34"/>
      <c r="R163" s="34"/>
    </row>
    <row x14ac:dyDescent="0.25" r="164" customHeight="1" ht="15.75">
      <c r="A164" s="1"/>
      <c r="B164" s="34"/>
      <c r="C164" s="1"/>
      <c r="D164" s="34"/>
      <c r="E164" s="34"/>
      <c r="F164" s="34"/>
      <c r="G164" s="29"/>
      <c r="H164" s="29"/>
      <c r="I164" s="29"/>
      <c r="J164" s="34"/>
      <c r="K164" s="34"/>
      <c r="L164" s="34"/>
      <c r="M164" s="29"/>
      <c r="N164" s="29"/>
      <c r="O164" s="29"/>
      <c r="P164" s="29"/>
      <c r="Q164" s="34"/>
      <c r="R164" s="34"/>
    </row>
    <row x14ac:dyDescent="0.25" r="165" customHeight="1" ht="15.75">
      <c r="A165" s="1"/>
      <c r="B165" s="34"/>
      <c r="C165" s="1"/>
      <c r="D165" s="34"/>
      <c r="E165" s="34"/>
      <c r="F165" s="34"/>
      <c r="G165" s="29"/>
      <c r="H165" s="29"/>
      <c r="I165" s="29"/>
      <c r="J165" s="34"/>
      <c r="K165" s="34"/>
      <c r="L165" s="34"/>
      <c r="M165" s="29"/>
      <c r="N165" s="29"/>
      <c r="O165" s="29"/>
      <c r="P165" s="29"/>
      <c r="Q165" s="34"/>
      <c r="R165" s="34"/>
    </row>
    <row x14ac:dyDescent="0.25" r="166" customHeight="1" ht="15.75">
      <c r="A166" s="1"/>
      <c r="B166" s="34"/>
      <c r="C166" s="1"/>
      <c r="D166" s="34"/>
      <c r="E166" s="34"/>
      <c r="F166" s="34"/>
      <c r="G166" s="29"/>
      <c r="H166" s="29"/>
      <c r="I166" s="29"/>
      <c r="J166" s="34"/>
      <c r="K166" s="34"/>
      <c r="L166" s="34"/>
      <c r="M166" s="29"/>
      <c r="N166" s="29"/>
      <c r="O166" s="29"/>
      <c r="P166" s="29"/>
      <c r="Q166" s="34"/>
      <c r="R166" s="34"/>
    </row>
    <row x14ac:dyDescent="0.25" r="167" customHeight="1" ht="15.75">
      <c r="A167" s="1"/>
      <c r="B167" s="34"/>
      <c r="C167" s="1"/>
      <c r="D167" s="34"/>
      <c r="E167" s="34"/>
      <c r="F167" s="34"/>
      <c r="G167" s="29"/>
      <c r="H167" s="29"/>
      <c r="I167" s="29"/>
      <c r="J167" s="34"/>
      <c r="K167" s="34"/>
      <c r="L167" s="34"/>
      <c r="M167" s="29"/>
      <c r="N167" s="29"/>
      <c r="O167" s="29"/>
      <c r="P167" s="29"/>
      <c r="Q167" s="34"/>
      <c r="R167" s="34"/>
    </row>
    <row x14ac:dyDescent="0.25" r="168" customHeight="1" ht="15.75">
      <c r="A168" s="1"/>
      <c r="B168" s="34"/>
      <c r="C168" s="1"/>
      <c r="D168" s="34"/>
      <c r="E168" s="34"/>
      <c r="F168" s="34"/>
      <c r="G168" s="29"/>
      <c r="H168" s="29"/>
      <c r="I168" s="29"/>
      <c r="J168" s="34"/>
      <c r="K168" s="34"/>
      <c r="L168" s="34"/>
      <c r="M168" s="29"/>
      <c r="N168" s="29"/>
      <c r="O168" s="29"/>
      <c r="P168" s="29"/>
      <c r="Q168" s="34"/>
      <c r="R168" s="34"/>
    </row>
    <row x14ac:dyDescent="0.25" r="169" customHeight="1" ht="15.75">
      <c r="A169" s="1"/>
      <c r="B169" s="34"/>
      <c r="C169" s="1"/>
      <c r="D169" s="34"/>
      <c r="E169" s="34"/>
      <c r="F169" s="34"/>
      <c r="G169" s="29"/>
      <c r="H169" s="29"/>
      <c r="I169" s="29"/>
      <c r="J169" s="34"/>
      <c r="K169" s="34"/>
      <c r="L169" s="34"/>
      <c r="M169" s="29"/>
      <c r="N169" s="29"/>
      <c r="O169" s="29"/>
      <c r="P169" s="29"/>
      <c r="Q169" s="34"/>
      <c r="R169" s="34"/>
    </row>
    <row x14ac:dyDescent="0.25" r="170" customHeight="1" ht="15.75">
      <c r="A170" s="1"/>
      <c r="B170" s="34"/>
      <c r="C170" s="1"/>
      <c r="D170" s="34"/>
      <c r="E170" s="34"/>
      <c r="F170" s="34"/>
      <c r="G170" s="29"/>
      <c r="H170" s="29"/>
      <c r="I170" s="29"/>
      <c r="J170" s="34"/>
      <c r="K170" s="34"/>
      <c r="L170" s="34"/>
      <c r="M170" s="29"/>
      <c r="N170" s="29"/>
      <c r="O170" s="29"/>
      <c r="P170" s="29"/>
      <c r="Q170" s="34"/>
      <c r="R170" s="34"/>
    </row>
    <row x14ac:dyDescent="0.25" r="171" customHeight="1" ht="15.75">
      <c r="A171" s="1"/>
      <c r="B171" s="34"/>
      <c r="C171" s="1"/>
      <c r="D171" s="34"/>
      <c r="E171" s="34"/>
      <c r="F171" s="34"/>
      <c r="G171" s="29"/>
      <c r="H171" s="29"/>
      <c r="I171" s="29"/>
      <c r="J171" s="34"/>
      <c r="K171" s="34"/>
      <c r="L171" s="34"/>
      <c r="M171" s="29"/>
      <c r="N171" s="29"/>
      <c r="O171" s="29"/>
      <c r="P171" s="29"/>
      <c r="Q171" s="34"/>
      <c r="R171" s="34"/>
    </row>
    <row x14ac:dyDescent="0.25" r="172" customHeight="1" ht="15.75">
      <c r="A172" s="1"/>
      <c r="B172" s="34"/>
      <c r="C172" s="1"/>
      <c r="D172" s="34"/>
      <c r="E172" s="34"/>
      <c r="F172" s="34"/>
      <c r="G172" s="29"/>
      <c r="H172" s="29"/>
      <c r="I172" s="29"/>
      <c r="J172" s="34"/>
      <c r="K172" s="34"/>
      <c r="L172" s="34"/>
      <c r="M172" s="29"/>
      <c r="N172" s="29"/>
      <c r="O172" s="29"/>
      <c r="P172" s="29"/>
      <c r="Q172" s="34"/>
      <c r="R172" s="34"/>
    </row>
    <row x14ac:dyDescent="0.25" r="173" customHeight="1" ht="15.75">
      <c r="A173" s="1"/>
      <c r="B173" s="34"/>
      <c r="C173" s="1"/>
      <c r="D173" s="34"/>
      <c r="E173" s="34"/>
      <c r="F173" s="34"/>
      <c r="G173" s="29"/>
      <c r="H173" s="29"/>
      <c r="I173" s="29"/>
      <c r="J173" s="34"/>
      <c r="K173" s="34"/>
      <c r="L173" s="34"/>
      <c r="M173" s="29"/>
      <c r="N173" s="29"/>
      <c r="O173" s="29"/>
      <c r="P173" s="29"/>
      <c r="Q173" s="34"/>
      <c r="R173" s="34"/>
    </row>
    <row x14ac:dyDescent="0.25" r="174" customHeight="1" ht="15.75">
      <c r="A174" s="1"/>
      <c r="B174" s="34"/>
      <c r="C174" s="1"/>
      <c r="D174" s="34"/>
      <c r="E174" s="34"/>
      <c r="F174" s="34"/>
      <c r="G174" s="29"/>
      <c r="H174" s="29"/>
      <c r="I174" s="29"/>
      <c r="J174" s="34"/>
      <c r="K174" s="34"/>
      <c r="L174" s="34"/>
      <c r="M174" s="29"/>
      <c r="N174" s="29"/>
      <c r="O174" s="29"/>
      <c r="P174" s="29"/>
      <c r="Q174" s="34"/>
      <c r="R174" s="34"/>
    </row>
    <row x14ac:dyDescent="0.25" r="175" customHeight="1" ht="15.75">
      <c r="A175" s="1"/>
      <c r="B175" s="34"/>
      <c r="C175" s="1"/>
      <c r="D175" s="34"/>
      <c r="E175" s="34"/>
      <c r="F175" s="34"/>
      <c r="G175" s="29"/>
      <c r="H175" s="29"/>
      <c r="I175" s="29"/>
      <c r="J175" s="34"/>
      <c r="K175" s="34"/>
      <c r="L175" s="34"/>
      <c r="M175" s="29"/>
      <c r="N175" s="29"/>
      <c r="O175" s="29"/>
      <c r="P175" s="29"/>
      <c r="Q175" s="34"/>
      <c r="R175" s="34"/>
    </row>
    <row x14ac:dyDescent="0.25" r="176" customHeight="1" ht="15.75">
      <c r="A176" s="1"/>
      <c r="B176" s="34"/>
      <c r="C176" s="1"/>
      <c r="D176" s="34"/>
      <c r="E176" s="34"/>
      <c r="F176" s="34"/>
      <c r="G176" s="29"/>
      <c r="H176" s="29"/>
      <c r="I176" s="29"/>
      <c r="J176" s="34"/>
      <c r="K176" s="34"/>
      <c r="L176" s="34"/>
      <c r="M176" s="29"/>
      <c r="N176" s="29"/>
      <c r="O176" s="29"/>
      <c r="P176" s="29"/>
      <c r="Q176" s="34"/>
      <c r="R176" s="34"/>
    </row>
    <row x14ac:dyDescent="0.25" r="177" customHeight="1" ht="15.75">
      <c r="A177" s="1"/>
      <c r="B177" s="34"/>
      <c r="C177" s="1"/>
      <c r="D177" s="34"/>
      <c r="E177" s="34"/>
      <c r="F177" s="34"/>
      <c r="G177" s="29"/>
      <c r="H177" s="29"/>
      <c r="I177" s="29"/>
      <c r="J177" s="34"/>
      <c r="K177" s="34"/>
      <c r="L177" s="34"/>
      <c r="M177" s="29"/>
      <c r="N177" s="29"/>
      <c r="O177" s="29"/>
      <c r="P177" s="29"/>
      <c r="Q177" s="34"/>
      <c r="R177" s="34"/>
    </row>
    <row x14ac:dyDescent="0.25" r="178" customHeight="1" ht="15.75">
      <c r="A178" s="1"/>
      <c r="B178" s="34"/>
      <c r="C178" s="1"/>
      <c r="D178" s="34"/>
      <c r="E178" s="34"/>
      <c r="F178" s="34"/>
      <c r="G178" s="29"/>
      <c r="H178" s="29"/>
      <c r="I178" s="29"/>
      <c r="J178" s="34"/>
      <c r="K178" s="34"/>
      <c r="L178" s="34"/>
      <c r="M178" s="29"/>
      <c r="N178" s="29"/>
      <c r="O178" s="29"/>
      <c r="P178" s="29"/>
      <c r="Q178" s="34"/>
      <c r="R178" s="34"/>
    </row>
    <row x14ac:dyDescent="0.25" r="179" customHeight="1" ht="15.75">
      <c r="A179" s="1"/>
      <c r="B179" s="34"/>
      <c r="C179" s="1"/>
      <c r="D179" s="34"/>
      <c r="E179" s="34"/>
      <c r="F179" s="34"/>
      <c r="G179" s="29"/>
      <c r="H179" s="29"/>
      <c r="I179" s="29"/>
      <c r="J179" s="34"/>
      <c r="K179" s="34"/>
      <c r="L179" s="34"/>
      <c r="M179" s="29"/>
      <c r="N179" s="29"/>
      <c r="O179" s="29"/>
      <c r="P179" s="29"/>
      <c r="Q179" s="34"/>
      <c r="R179" s="34"/>
    </row>
    <row x14ac:dyDescent="0.25" r="180" customHeight="1" ht="15.75">
      <c r="A180" s="1"/>
      <c r="B180" s="34"/>
      <c r="C180" s="1"/>
      <c r="D180" s="34"/>
      <c r="E180" s="34"/>
      <c r="F180" s="34"/>
      <c r="G180" s="29"/>
      <c r="H180" s="29"/>
      <c r="I180" s="29"/>
      <c r="J180" s="34"/>
      <c r="K180" s="34"/>
      <c r="L180" s="34"/>
      <c r="M180" s="29"/>
      <c r="N180" s="29"/>
      <c r="O180" s="29"/>
      <c r="P180" s="29"/>
      <c r="Q180" s="34"/>
      <c r="R180" s="34"/>
    </row>
    <row x14ac:dyDescent="0.25" r="181" customHeight="1" ht="15.75">
      <c r="A181" s="1"/>
      <c r="B181" s="34"/>
      <c r="C181" s="1"/>
      <c r="D181" s="34"/>
      <c r="E181" s="34"/>
      <c r="F181" s="34"/>
      <c r="G181" s="29"/>
      <c r="H181" s="29"/>
      <c r="I181" s="29"/>
      <c r="J181" s="34"/>
      <c r="K181" s="34"/>
      <c r="L181" s="34"/>
      <c r="M181" s="29"/>
      <c r="N181" s="29"/>
      <c r="O181" s="29"/>
      <c r="P181" s="29"/>
      <c r="Q181" s="34"/>
      <c r="R181" s="34"/>
    </row>
    <row x14ac:dyDescent="0.25" r="182" customHeight="1" ht="15.75">
      <c r="A182" s="1"/>
      <c r="B182" s="34"/>
      <c r="C182" s="1"/>
      <c r="D182" s="34"/>
      <c r="E182" s="34"/>
      <c r="F182" s="34"/>
      <c r="G182" s="29"/>
      <c r="H182" s="29"/>
      <c r="I182" s="29"/>
      <c r="J182" s="34"/>
      <c r="K182" s="34"/>
      <c r="L182" s="34"/>
      <c r="M182" s="29"/>
      <c r="N182" s="29"/>
      <c r="O182" s="29"/>
      <c r="P182" s="29"/>
      <c r="Q182" s="34"/>
      <c r="R182" s="34"/>
    </row>
    <row x14ac:dyDescent="0.25" r="183" customHeight="1" ht="15.75">
      <c r="A183" s="1"/>
      <c r="B183" s="34"/>
      <c r="C183" s="1"/>
      <c r="D183" s="34"/>
      <c r="E183" s="34"/>
      <c r="F183" s="34"/>
      <c r="G183" s="29"/>
      <c r="H183" s="29"/>
      <c r="I183" s="29"/>
      <c r="J183" s="34"/>
      <c r="K183" s="34"/>
      <c r="L183" s="34"/>
      <c r="M183" s="29"/>
      <c r="N183" s="29"/>
      <c r="O183" s="29"/>
      <c r="P183" s="29"/>
      <c r="Q183" s="34"/>
      <c r="R183" s="34"/>
    </row>
    <row x14ac:dyDescent="0.25" r="184" customHeight="1" ht="15.75">
      <c r="A184" s="1"/>
      <c r="B184" s="34"/>
      <c r="C184" s="1"/>
      <c r="D184" s="34"/>
      <c r="E184" s="34"/>
      <c r="F184" s="34"/>
      <c r="G184" s="29"/>
      <c r="H184" s="29"/>
      <c r="I184" s="29"/>
      <c r="J184" s="34"/>
      <c r="K184" s="34"/>
      <c r="L184" s="34"/>
      <c r="M184" s="29"/>
      <c r="N184" s="29"/>
      <c r="O184" s="29"/>
      <c r="P184" s="29"/>
      <c r="Q184" s="34"/>
      <c r="R184" s="34"/>
    </row>
    <row x14ac:dyDescent="0.25" r="185" customHeight="1" ht="15.75">
      <c r="A185" s="1"/>
      <c r="B185" s="34"/>
      <c r="C185" s="1"/>
      <c r="D185" s="34"/>
      <c r="E185" s="34"/>
      <c r="F185" s="34"/>
      <c r="G185" s="29"/>
      <c r="H185" s="29"/>
      <c r="I185" s="29"/>
      <c r="J185" s="34"/>
      <c r="K185" s="34"/>
      <c r="L185" s="34"/>
      <c r="M185" s="29"/>
      <c r="N185" s="29"/>
      <c r="O185" s="29"/>
      <c r="P185" s="29"/>
      <c r="Q185" s="34"/>
      <c r="R185" s="34"/>
    </row>
    <row x14ac:dyDescent="0.25" r="186" customHeight="1" ht="15.75">
      <c r="A186" s="1"/>
      <c r="B186" s="34"/>
      <c r="C186" s="1"/>
      <c r="D186" s="34"/>
      <c r="E186" s="34"/>
      <c r="F186" s="34"/>
      <c r="G186" s="29"/>
      <c r="H186" s="29"/>
      <c r="I186" s="29"/>
      <c r="J186" s="34"/>
      <c r="K186" s="34"/>
      <c r="L186" s="34"/>
      <c r="M186" s="29"/>
      <c r="N186" s="29"/>
      <c r="O186" s="29"/>
      <c r="P186" s="29"/>
      <c r="Q186" s="34"/>
      <c r="R186" s="34"/>
    </row>
    <row x14ac:dyDescent="0.25" r="187" customHeight="1" ht="15.75">
      <c r="A187" s="1"/>
      <c r="B187" s="34"/>
      <c r="C187" s="1"/>
      <c r="D187" s="34"/>
      <c r="E187" s="34"/>
      <c r="F187" s="34"/>
      <c r="G187" s="29"/>
      <c r="H187" s="29"/>
      <c r="I187" s="29"/>
      <c r="J187" s="34"/>
      <c r="K187" s="34"/>
      <c r="L187" s="34"/>
      <c r="M187" s="29"/>
      <c r="N187" s="29"/>
      <c r="O187" s="29"/>
      <c r="P187" s="29"/>
      <c r="Q187" s="34"/>
      <c r="R187" s="34"/>
    </row>
    <row x14ac:dyDescent="0.25" r="188" customHeight="1" ht="15.75">
      <c r="A188" s="1"/>
      <c r="B188" s="34"/>
      <c r="C188" s="1"/>
      <c r="D188" s="34"/>
      <c r="E188" s="34"/>
      <c r="F188" s="34"/>
      <c r="G188" s="29"/>
      <c r="H188" s="29"/>
      <c r="I188" s="29"/>
      <c r="J188" s="34"/>
      <c r="K188" s="34"/>
      <c r="L188" s="34"/>
      <c r="M188" s="29"/>
      <c r="N188" s="29"/>
      <c r="O188" s="29"/>
      <c r="P188" s="29"/>
      <c r="Q188" s="34"/>
      <c r="R188" s="34"/>
    </row>
    <row x14ac:dyDescent="0.25" r="189" customHeight="1" ht="15.75">
      <c r="A189" s="1"/>
      <c r="B189" s="34"/>
      <c r="C189" s="1"/>
      <c r="D189" s="34"/>
      <c r="E189" s="34"/>
      <c r="F189" s="34"/>
      <c r="G189" s="29"/>
      <c r="H189" s="29"/>
      <c r="I189" s="29"/>
      <c r="J189" s="34"/>
      <c r="K189" s="34"/>
      <c r="L189" s="34"/>
      <c r="M189" s="29"/>
      <c r="N189" s="29"/>
      <c r="O189" s="29"/>
      <c r="P189" s="29"/>
      <c r="Q189" s="34"/>
      <c r="R189" s="34"/>
    </row>
    <row x14ac:dyDescent="0.25" r="190" customHeight="1" ht="15.75">
      <c r="A190" s="1"/>
      <c r="B190" s="34"/>
      <c r="C190" s="1"/>
      <c r="D190" s="34"/>
      <c r="E190" s="34"/>
      <c r="F190" s="34"/>
      <c r="G190" s="29"/>
      <c r="H190" s="29"/>
      <c r="I190" s="29"/>
      <c r="J190" s="34"/>
      <c r="K190" s="34"/>
      <c r="L190" s="34"/>
      <c r="M190" s="29"/>
      <c r="N190" s="29"/>
      <c r="O190" s="29"/>
      <c r="P190" s="29"/>
      <c r="Q190" s="34"/>
      <c r="R190" s="34"/>
    </row>
    <row x14ac:dyDescent="0.25" r="191" customHeight="1" ht="15.75">
      <c r="A191" s="1"/>
      <c r="B191" s="34"/>
      <c r="C191" s="1"/>
      <c r="D191" s="34"/>
      <c r="E191" s="34"/>
      <c r="F191" s="34"/>
      <c r="G191" s="29"/>
      <c r="H191" s="29"/>
      <c r="I191" s="29"/>
      <c r="J191" s="34"/>
      <c r="K191" s="34"/>
      <c r="L191" s="34"/>
      <c r="M191" s="29"/>
      <c r="N191" s="29"/>
      <c r="O191" s="29"/>
      <c r="P191" s="29"/>
      <c r="Q191" s="34"/>
      <c r="R191" s="34"/>
    </row>
    <row x14ac:dyDescent="0.25" r="192" customHeight="1" ht="15.75">
      <c r="A192" s="1"/>
      <c r="B192" s="34"/>
      <c r="C192" s="1"/>
      <c r="D192" s="34"/>
      <c r="E192" s="34"/>
      <c r="F192" s="34"/>
      <c r="G192" s="29"/>
      <c r="H192" s="29"/>
      <c r="I192" s="29"/>
      <c r="J192" s="34"/>
      <c r="K192" s="34"/>
      <c r="L192" s="34"/>
      <c r="M192" s="29"/>
      <c r="N192" s="29"/>
      <c r="O192" s="29"/>
      <c r="P192" s="29"/>
      <c r="Q192" s="34"/>
      <c r="R192" s="34"/>
    </row>
    <row x14ac:dyDescent="0.25" r="193" customHeight="1" ht="15.75">
      <c r="A193" s="1"/>
      <c r="B193" s="34"/>
      <c r="C193" s="1"/>
      <c r="D193" s="34"/>
      <c r="E193" s="34"/>
      <c r="F193" s="34"/>
      <c r="G193" s="29"/>
      <c r="H193" s="29"/>
      <c r="I193" s="29"/>
      <c r="J193" s="34"/>
      <c r="K193" s="34"/>
      <c r="L193" s="34"/>
      <c r="M193" s="29"/>
      <c r="N193" s="29"/>
      <c r="O193" s="29"/>
      <c r="P193" s="29"/>
      <c r="Q193" s="34"/>
      <c r="R193" s="34"/>
    </row>
    <row x14ac:dyDescent="0.25" r="194" customHeight="1" ht="15.75">
      <c r="A194" s="1"/>
      <c r="B194" s="34"/>
      <c r="C194" s="1"/>
      <c r="D194" s="34"/>
      <c r="E194" s="34"/>
      <c r="F194" s="34"/>
      <c r="G194" s="29"/>
      <c r="H194" s="29"/>
      <c r="I194" s="29"/>
      <c r="J194" s="34"/>
      <c r="K194" s="34"/>
      <c r="L194" s="34"/>
      <c r="M194" s="29"/>
      <c r="N194" s="29"/>
      <c r="O194" s="29"/>
      <c r="P194" s="29"/>
      <c r="Q194" s="34"/>
      <c r="R194" s="34"/>
    </row>
    <row x14ac:dyDescent="0.25" r="195" customHeight="1" ht="15.75">
      <c r="A195" s="1"/>
      <c r="B195" s="34"/>
      <c r="C195" s="1"/>
      <c r="D195" s="34"/>
      <c r="E195" s="34"/>
      <c r="F195" s="34"/>
      <c r="G195" s="29"/>
      <c r="H195" s="29"/>
      <c r="I195" s="29"/>
      <c r="J195" s="34"/>
      <c r="K195" s="34"/>
      <c r="L195" s="34"/>
      <c r="M195" s="29"/>
      <c r="N195" s="29"/>
      <c r="O195" s="29"/>
      <c r="P195" s="29"/>
      <c r="Q195" s="34"/>
      <c r="R195" s="34"/>
    </row>
    <row x14ac:dyDescent="0.25" r="196" customHeight="1" ht="15.75">
      <c r="A196" s="1"/>
      <c r="B196" s="34"/>
      <c r="C196" s="1"/>
      <c r="D196" s="34"/>
      <c r="E196" s="34"/>
      <c r="F196" s="34"/>
      <c r="G196" s="29"/>
      <c r="H196" s="29"/>
      <c r="I196" s="29"/>
      <c r="J196" s="34"/>
      <c r="K196" s="34"/>
      <c r="L196" s="34"/>
      <c r="M196" s="29"/>
      <c r="N196" s="29"/>
      <c r="O196" s="29"/>
      <c r="P196" s="29"/>
      <c r="Q196" s="34"/>
      <c r="R196" s="34"/>
    </row>
    <row x14ac:dyDescent="0.25" r="197" customHeight="1" ht="15.75">
      <c r="A197" s="1"/>
      <c r="B197" s="34"/>
      <c r="C197" s="1"/>
      <c r="D197" s="34"/>
      <c r="E197" s="34"/>
      <c r="F197" s="34"/>
      <c r="G197" s="29"/>
      <c r="H197" s="29"/>
      <c r="I197" s="29"/>
      <c r="J197" s="34"/>
      <c r="K197" s="34"/>
      <c r="L197" s="34"/>
      <c r="M197" s="29"/>
      <c r="N197" s="29"/>
      <c r="O197" s="29"/>
      <c r="P197" s="29"/>
      <c r="Q197" s="34"/>
      <c r="R197" s="34"/>
    </row>
    <row x14ac:dyDescent="0.25" r="198" customHeight="1" ht="15.75">
      <c r="A198" s="1"/>
      <c r="B198" s="34"/>
      <c r="C198" s="1"/>
      <c r="D198" s="34"/>
      <c r="E198" s="34"/>
      <c r="F198" s="34"/>
      <c r="G198" s="29"/>
      <c r="H198" s="29"/>
      <c r="I198" s="29"/>
      <c r="J198" s="34"/>
      <c r="K198" s="34"/>
      <c r="L198" s="34"/>
      <c r="M198" s="29"/>
      <c r="N198" s="29"/>
      <c r="O198" s="29"/>
      <c r="P198" s="29"/>
      <c r="Q198" s="34"/>
      <c r="R198" s="34"/>
    </row>
    <row x14ac:dyDescent="0.25" r="199" customHeight="1" ht="15.75">
      <c r="A199" s="1"/>
      <c r="B199" s="34"/>
      <c r="C199" s="1"/>
      <c r="D199" s="34"/>
      <c r="E199" s="34"/>
      <c r="F199" s="34"/>
      <c r="G199" s="29"/>
      <c r="H199" s="29"/>
      <c r="I199" s="29"/>
      <c r="J199" s="34"/>
      <c r="K199" s="34"/>
      <c r="L199" s="34"/>
      <c r="M199" s="29"/>
      <c r="N199" s="29"/>
      <c r="O199" s="29"/>
      <c r="P199" s="29"/>
      <c r="Q199" s="34"/>
      <c r="R199" s="34"/>
    </row>
    <row x14ac:dyDescent="0.25" r="200" customHeight="1" ht="15.75">
      <c r="A200" s="1"/>
      <c r="B200" s="34"/>
      <c r="C200" s="1"/>
      <c r="D200" s="34"/>
      <c r="E200" s="34"/>
      <c r="F200" s="34"/>
      <c r="G200" s="29"/>
      <c r="H200" s="29"/>
      <c r="I200" s="29"/>
      <c r="J200" s="34"/>
      <c r="K200" s="34"/>
      <c r="L200" s="34"/>
      <c r="M200" s="29"/>
      <c r="N200" s="29"/>
      <c r="O200" s="29"/>
      <c r="P200" s="29"/>
      <c r="Q200" s="34"/>
      <c r="R200" s="34"/>
    </row>
    <row x14ac:dyDescent="0.25" r="201" customHeight="1" ht="15.75">
      <c r="A201" s="1"/>
      <c r="B201" s="34"/>
      <c r="C201" s="1"/>
      <c r="D201" s="34"/>
      <c r="E201" s="34"/>
      <c r="F201" s="34"/>
      <c r="G201" s="29"/>
      <c r="H201" s="29"/>
      <c r="I201" s="29"/>
      <c r="J201" s="34"/>
      <c r="K201" s="34"/>
      <c r="L201" s="34"/>
      <c r="M201" s="29"/>
      <c r="N201" s="29"/>
      <c r="O201" s="29"/>
      <c r="P201" s="29"/>
      <c r="Q201" s="34"/>
      <c r="R201" s="34"/>
    </row>
    <row x14ac:dyDescent="0.25" r="202" customHeight="1" ht="15.75">
      <c r="A202" s="1"/>
      <c r="B202" s="34"/>
      <c r="C202" s="1"/>
      <c r="D202" s="34"/>
      <c r="E202" s="34"/>
      <c r="F202" s="34"/>
      <c r="G202" s="29"/>
      <c r="H202" s="29"/>
      <c r="I202" s="29"/>
      <c r="J202" s="34"/>
      <c r="K202" s="34"/>
      <c r="L202" s="34"/>
      <c r="M202" s="29"/>
      <c r="N202" s="29"/>
      <c r="O202" s="29"/>
      <c r="P202" s="29"/>
      <c r="Q202" s="34"/>
      <c r="R202" s="34"/>
    </row>
    <row x14ac:dyDescent="0.25" r="203" customHeight="1" ht="15.75">
      <c r="A203" s="1"/>
      <c r="B203" s="34"/>
      <c r="C203" s="1"/>
      <c r="D203" s="34"/>
      <c r="E203" s="34"/>
      <c r="F203" s="34"/>
      <c r="G203" s="29"/>
      <c r="H203" s="29"/>
      <c r="I203" s="29"/>
      <c r="J203" s="34"/>
      <c r="K203" s="34"/>
      <c r="L203" s="34"/>
      <c r="M203" s="29"/>
      <c r="N203" s="29"/>
      <c r="O203" s="29"/>
      <c r="P203" s="29"/>
      <c r="Q203" s="34"/>
      <c r="R203" s="34"/>
    </row>
    <row x14ac:dyDescent="0.25" r="204" customHeight="1" ht="15.75">
      <c r="A204" s="1"/>
      <c r="B204" s="34"/>
      <c r="C204" s="1"/>
      <c r="D204" s="34"/>
      <c r="E204" s="34"/>
      <c r="F204" s="34"/>
      <c r="G204" s="29"/>
      <c r="H204" s="29"/>
      <c r="I204" s="29"/>
      <c r="J204" s="34"/>
      <c r="K204" s="34"/>
      <c r="L204" s="34"/>
      <c r="M204" s="29"/>
      <c r="N204" s="29"/>
      <c r="O204" s="29"/>
      <c r="P204" s="29"/>
      <c r="Q204" s="34"/>
      <c r="R204" s="34"/>
    </row>
    <row x14ac:dyDescent="0.25" r="205" customHeight="1" ht="15.75">
      <c r="A205" s="1"/>
      <c r="B205" s="34"/>
      <c r="C205" s="1"/>
      <c r="D205" s="34"/>
      <c r="E205" s="34"/>
      <c r="F205" s="34"/>
      <c r="G205" s="29"/>
      <c r="H205" s="29"/>
      <c r="I205" s="29"/>
      <c r="J205" s="34"/>
      <c r="K205" s="34"/>
      <c r="L205" s="34"/>
      <c r="M205" s="29"/>
      <c r="N205" s="29"/>
      <c r="O205" s="29"/>
      <c r="P205" s="29"/>
      <c r="Q205" s="34"/>
      <c r="R205" s="34"/>
    </row>
    <row x14ac:dyDescent="0.25" r="206" customHeight="1" ht="15.75">
      <c r="A206" s="1"/>
      <c r="B206" s="34"/>
      <c r="C206" s="1"/>
      <c r="D206" s="34"/>
      <c r="E206" s="34"/>
      <c r="F206" s="34"/>
      <c r="G206" s="29"/>
      <c r="H206" s="29"/>
      <c r="I206" s="29"/>
      <c r="J206" s="34"/>
      <c r="K206" s="34"/>
      <c r="L206" s="34"/>
      <c r="M206" s="29"/>
      <c r="N206" s="29"/>
      <c r="O206" s="29"/>
      <c r="P206" s="29"/>
      <c r="Q206" s="34"/>
      <c r="R206" s="34"/>
    </row>
    <row x14ac:dyDescent="0.25" r="207" customHeight="1" ht="15.75">
      <c r="A207" s="1"/>
      <c r="B207" s="34"/>
      <c r="C207" s="1"/>
      <c r="D207" s="34"/>
      <c r="E207" s="34"/>
      <c r="F207" s="34"/>
      <c r="G207" s="29"/>
      <c r="H207" s="29"/>
      <c r="I207" s="29"/>
      <c r="J207" s="34"/>
      <c r="K207" s="34"/>
      <c r="L207" s="34"/>
      <c r="M207" s="29"/>
      <c r="N207" s="29"/>
      <c r="O207" s="29"/>
      <c r="P207" s="29"/>
      <c r="Q207" s="34"/>
      <c r="R207" s="34"/>
    </row>
    <row x14ac:dyDescent="0.25" r="208" customHeight="1" ht="15.75">
      <c r="A208" s="1"/>
      <c r="B208" s="34"/>
      <c r="C208" s="1"/>
      <c r="D208" s="34"/>
      <c r="E208" s="34"/>
      <c r="F208" s="34"/>
      <c r="G208" s="29"/>
      <c r="H208" s="29"/>
      <c r="I208" s="29"/>
      <c r="J208" s="34"/>
      <c r="K208" s="34"/>
      <c r="L208" s="34"/>
      <c r="M208" s="29"/>
      <c r="N208" s="29"/>
      <c r="O208" s="29"/>
      <c r="P208" s="29"/>
      <c r="Q208" s="34"/>
      <c r="R208" s="34"/>
    </row>
    <row x14ac:dyDescent="0.25" r="209" customHeight="1" ht="15.75">
      <c r="A209" s="1"/>
      <c r="B209" s="34"/>
      <c r="C209" s="1"/>
      <c r="D209" s="34"/>
      <c r="E209" s="34"/>
      <c r="F209" s="34"/>
      <c r="G209" s="29"/>
      <c r="H209" s="29"/>
      <c r="I209" s="29"/>
      <c r="J209" s="34"/>
      <c r="K209" s="34"/>
      <c r="L209" s="34"/>
      <c r="M209" s="29"/>
      <c r="N209" s="29"/>
      <c r="O209" s="29"/>
      <c r="P209" s="29"/>
      <c r="Q209" s="34"/>
      <c r="R209" s="34"/>
    </row>
    <row x14ac:dyDescent="0.25" r="210" customHeight="1" ht="15.75">
      <c r="A210" s="1"/>
      <c r="B210" s="34"/>
      <c r="C210" s="1"/>
      <c r="D210" s="34"/>
      <c r="E210" s="34"/>
      <c r="F210" s="34"/>
      <c r="G210" s="29"/>
      <c r="H210" s="29"/>
      <c r="I210" s="29"/>
      <c r="J210" s="34"/>
      <c r="K210" s="34"/>
      <c r="L210" s="34"/>
      <c r="M210" s="29"/>
      <c r="N210" s="29"/>
      <c r="O210" s="29"/>
      <c r="P210" s="29"/>
      <c r="Q210" s="34"/>
      <c r="R210" s="34"/>
    </row>
    <row x14ac:dyDescent="0.25" r="211" customHeight="1" ht="15.75">
      <c r="A211" s="1"/>
      <c r="B211" s="34"/>
      <c r="C211" s="1"/>
      <c r="D211" s="34"/>
      <c r="E211" s="34"/>
      <c r="F211" s="34"/>
      <c r="G211" s="29"/>
      <c r="H211" s="29"/>
      <c r="I211" s="29"/>
      <c r="J211" s="34"/>
      <c r="K211" s="34"/>
      <c r="L211" s="34"/>
      <c r="M211" s="29"/>
      <c r="N211" s="29"/>
      <c r="O211" s="29"/>
      <c r="P211" s="29"/>
      <c r="Q211" s="34"/>
      <c r="R211" s="34"/>
    </row>
    <row x14ac:dyDescent="0.25" r="212" customHeight="1" ht="15.75">
      <c r="A212" s="1"/>
      <c r="B212" s="34"/>
      <c r="C212" s="1"/>
      <c r="D212" s="34"/>
      <c r="E212" s="34"/>
      <c r="F212" s="34"/>
      <c r="G212" s="29"/>
      <c r="H212" s="29"/>
      <c r="I212" s="29"/>
      <c r="J212" s="34"/>
      <c r="K212" s="34"/>
      <c r="L212" s="34"/>
      <c r="M212" s="29"/>
      <c r="N212" s="29"/>
      <c r="O212" s="29"/>
      <c r="P212" s="29"/>
      <c r="Q212" s="34"/>
      <c r="R212" s="34"/>
    </row>
    <row x14ac:dyDescent="0.25" r="213" customHeight="1" ht="15.75">
      <c r="A213" s="1"/>
      <c r="B213" s="34"/>
      <c r="C213" s="1"/>
      <c r="D213" s="34"/>
      <c r="E213" s="34"/>
      <c r="F213" s="34"/>
      <c r="G213" s="29"/>
      <c r="H213" s="29"/>
      <c r="I213" s="29"/>
      <c r="J213" s="34"/>
      <c r="K213" s="34"/>
      <c r="L213" s="34"/>
      <c r="M213" s="29"/>
      <c r="N213" s="29"/>
      <c r="O213" s="29"/>
      <c r="P213" s="29"/>
      <c r="Q213" s="34"/>
      <c r="R213" s="34"/>
    </row>
    <row x14ac:dyDescent="0.25" r="214" customHeight="1" ht="15.75">
      <c r="A214" s="1"/>
      <c r="B214" s="34"/>
      <c r="C214" s="1"/>
      <c r="D214" s="34"/>
      <c r="E214" s="34"/>
      <c r="F214" s="34"/>
      <c r="G214" s="29"/>
      <c r="H214" s="29"/>
      <c r="I214" s="29"/>
      <c r="J214" s="34"/>
      <c r="K214" s="34"/>
      <c r="L214" s="34"/>
      <c r="M214" s="29"/>
      <c r="N214" s="29"/>
      <c r="O214" s="29"/>
      <c r="P214" s="29"/>
      <c r="Q214" s="34"/>
      <c r="R214" s="34"/>
    </row>
    <row x14ac:dyDescent="0.25" r="215" customHeight="1" ht="15.75">
      <c r="A215" s="1"/>
      <c r="B215" s="34"/>
      <c r="C215" s="1"/>
      <c r="D215" s="34"/>
      <c r="E215" s="34"/>
      <c r="F215" s="34"/>
      <c r="G215" s="29"/>
      <c r="H215" s="29"/>
      <c r="I215" s="29"/>
      <c r="J215" s="34"/>
      <c r="K215" s="34"/>
      <c r="L215" s="34"/>
      <c r="M215" s="29"/>
      <c r="N215" s="29"/>
      <c r="O215" s="29"/>
      <c r="P215" s="29"/>
      <c r="Q215" s="34"/>
      <c r="R215" s="34"/>
    </row>
    <row x14ac:dyDescent="0.25" r="216" customHeight="1" ht="15.75">
      <c r="A216" s="1"/>
      <c r="B216" s="34"/>
      <c r="C216" s="1"/>
      <c r="D216" s="34"/>
      <c r="E216" s="34"/>
      <c r="F216" s="34"/>
      <c r="G216" s="29"/>
      <c r="H216" s="29"/>
      <c r="I216" s="29"/>
      <c r="J216" s="34"/>
      <c r="K216" s="34"/>
      <c r="L216" s="34"/>
      <c r="M216" s="29"/>
      <c r="N216" s="29"/>
      <c r="O216" s="29"/>
      <c r="P216" s="29"/>
      <c r="Q216" s="34"/>
      <c r="R216" s="34"/>
    </row>
    <row x14ac:dyDescent="0.25" r="217" customHeight="1" ht="15.75">
      <c r="A217" s="1"/>
      <c r="B217" s="34"/>
      <c r="C217" s="1"/>
      <c r="D217" s="34"/>
      <c r="E217" s="34"/>
      <c r="F217" s="34"/>
      <c r="G217" s="29"/>
      <c r="H217" s="29"/>
      <c r="I217" s="29"/>
      <c r="J217" s="34"/>
      <c r="K217" s="34"/>
      <c r="L217" s="34"/>
      <c r="M217" s="29"/>
      <c r="N217" s="29"/>
      <c r="O217" s="29"/>
      <c r="P217" s="29"/>
      <c r="Q217" s="34"/>
      <c r="R217" s="34"/>
    </row>
    <row x14ac:dyDescent="0.25" r="218" customHeight="1" ht="15.75">
      <c r="A218" s="1"/>
      <c r="B218" s="34"/>
      <c r="C218" s="1"/>
      <c r="D218" s="34"/>
      <c r="E218" s="34"/>
      <c r="F218" s="34"/>
      <c r="G218" s="29"/>
      <c r="H218" s="29"/>
      <c r="I218" s="29"/>
      <c r="J218" s="34"/>
      <c r="K218" s="34"/>
      <c r="L218" s="34"/>
      <c r="M218" s="29"/>
      <c r="N218" s="29"/>
      <c r="O218" s="29"/>
      <c r="P218" s="29"/>
      <c r="Q218" s="34"/>
      <c r="R218" s="34"/>
    </row>
    <row x14ac:dyDescent="0.25" r="219" customHeight="1" ht="15.75">
      <c r="A219" s="1"/>
      <c r="B219" s="34"/>
      <c r="C219" s="1"/>
      <c r="D219" s="34"/>
      <c r="E219" s="34"/>
      <c r="F219" s="34"/>
      <c r="G219" s="29"/>
      <c r="H219" s="29"/>
      <c r="I219" s="29"/>
      <c r="J219" s="34"/>
      <c r="K219" s="34"/>
      <c r="L219" s="34"/>
      <c r="M219" s="29"/>
      <c r="N219" s="29"/>
      <c r="O219" s="29"/>
      <c r="P219" s="29"/>
      <c r="Q219" s="34"/>
      <c r="R219" s="34"/>
    </row>
    <row x14ac:dyDescent="0.25" r="220" customHeight="1" ht="15.75">
      <c r="A220" s="1"/>
      <c r="B220" s="34"/>
      <c r="C220" s="1"/>
      <c r="D220" s="34"/>
      <c r="E220" s="34"/>
      <c r="F220" s="34"/>
      <c r="G220" s="29"/>
      <c r="H220" s="29"/>
      <c r="I220" s="29"/>
      <c r="J220" s="34"/>
      <c r="K220" s="34"/>
      <c r="L220" s="34"/>
      <c r="M220" s="29"/>
      <c r="N220" s="29"/>
      <c r="O220" s="29"/>
      <c r="P220" s="29"/>
      <c r="Q220" s="34"/>
      <c r="R220" s="34"/>
    </row>
    <row x14ac:dyDescent="0.25" r="221" customHeight="1" ht="15.75">
      <c r="A221" s="1"/>
      <c r="B221" s="34"/>
      <c r="C221" s="1"/>
      <c r="D221" s="34"/>
      <c r="E221" s="34"/>
      <c r="F221" s="34"/>
      <c r="G221" s="29"/>
      <c r="H221" s="29"/>
      <c r="I221" s="29"/>
      <c r="J221" s="34"/>
      <c r="K221" s="34"/>
      <c r="L221" s="34"/>
      <c r="M221" s="29"/>
      <c r="N221" s="29"/>
      <c r="O221" s="29"/>
      <c r="P221" s="29"/>
      <c r="Q221" s="34"/>
      <c r="R221" s="34"/>
    </row>
    <row x14ac:dyDescent="0.25" r="222" customHeight="1" ht="15.75">
      <c r="A222" s="1"/>
      <c r="B222" s="34"/>
      <c r="C222" s="1"/>
      <c r="D222" s="34"/>
      <c r="E222" s="34"/>
      <c r="F222" s="34"/>
      <c r="G222" s="29"/>
      <c r="H222" s="29"/>
      <c r="I222" s="29"/>
      <c r="J222" s="34"/>
      <c r="K222" s="34"/>
      <c r="L222" s="34"/>
      <c r="M222" s="29"/>
      <c r="N222" s="29"/>
      <c r="O222" s="29"/>
      <c r="P222" s="29"/>
      <c r="Q222" s="34"/>
      <c r="R222" s="34"/>
    </row>
    <row x14ac:dyDescent="0.25" r="223" customHeight="1" ht="15.75">
      <c r="A223" s="1"/>
      <c r="B223" s="34"/>
      <c r="C223" s="1"/>
      <c r="D223" s="34"/>
      <c r="E223" s="34"/>
      <c r="F223" s="34"/>
      <c r="G223" s="29"/>
      <c r="H223" s="29"/>
      <c r="I223" s="29"/>
      <c r="J223" s="34"/>
      <c r="K223" s="34"/>
      <c r="L223" s="34"/>
      <c r="M223" s="29"/>
      <c r="N223" s="29"/>
      <c r="O223" s="29"/>
      <c r="P223" s="29"/>
      <c r="Q223" s="34"/>
      <c r="R223" s="34"/>
    </row>
    <row x14ac:dyDescent="0.25" r="224" customHeight="1" ht="15.75">
      <c r="A224" s="1"/>
      <c r="B224" s="34"/>
      <c r="C224" s="1"/>
      <c r="D224" s="34"/>
      <c r="E224" s="34"/>
      <c r="F224" s="34"/>
      <c r="G224" s="29"/>
      <c r="H224" s="29"/>
      <c r="I224" s="29"/>
      <c r="J224" s="34"/>
      <c r="K224" s="34"/>
      <c r="L224" s="34"/>
      <c r="M224" s="29"/>
      <c r="N224" s="29"/>
      <c r="O224" s="29"/>
      <c r="P224" s="29"/>
      <c r="Q224" s="34"/>
      <c r="R224" s="34"/>
    </row>
    <row x14ac:dyDescent="0.25" r="225" customHeight="1" ht="15.75">
      <c r="A225" s="1"/>
      <c r="B225" s="34"/>
      <c r="C225" s="1"/>
      <c r="D225" s="34"/>
      <c r="E225" s="34"/>
      <c r="F225" s="34"/>
      <c r="G225" s="29"/>
      <c r="H225" s="29"/>
      <c r="I225" s="29"/>
      <c r="J225" s="34"/>
      <c r="K225" s="34"/>
      <c r="L225" s="34"/>
      <c r="M225" s="29"/>
      <c r="N225" s="29"/>
      <c r="O225" s="29"/>
      <c r="P225" s="29"/>
      <c r="Q225" s="34"/>
      <c r="R225" s="34"/>
    </row>
    <row x14ac:dyDescent="0.25" r="226" customHeight="1" ht="15.75">
      <c r="A226" s="1"/>
      <c r="B226" s="34"/>
      <c r="C226" s="1"/>
      <c r="D226" s="34"/>
      <c r="E226" s="34"/>
      <c r="F226" s="34"/>
      <c r="G226" s="29"/>
      <c r="H226" s="29"/>
      <c r="I226" s="29"/>
      <c r="J226" s="34"/>
      <c r="K226" s="34"/>
      <c r="L226" s="34"/>
      <c r="M226" s="29"/>
      <c r="N226" s="29"/>
      <c r="O226" s="29"/>
      <c r="P226" s="29"/>
      <c r="Q226" s="34"/>
      <c r="R226" s="34"/>
    </row>
    <row x14ac:dyDescent="0.25" r="227" customHeight="1" ht="15.75">
      <c r="A227" s="1"/>
      <c r="B227" s="34"/>
      <c r="C227" s="1"/>
      <c r="D227" s="34"/>
      <c r="E227" s="34"/>
      <c r="F227" s="34"/>
      <c r="G227" s="29"/>
      <c r="H227" s="29"/>
      <c r="I227" s="29"/>
      <c r="J227" s="34"/>
      <c r="K227" s="34"/>
      <c r="L227" s="34"/>
      <c r="M227" s="29"/>
      <c r="N227" s="29"/>
      <c r="O227" s="29"/>
      <c r="P227" s="29"/>
      <c r="Q227" s="34"/>
      <c r="R227" s="34"/>
    </row>
    <row x14ac:dyDescent="0.25" r="228" customHeight="1" ht="15.75">
      <c r="A228" s="1"/>
      <c r="B228" s="34"/>
      <c r="C228" s="1"/>
      <c r="D228" s="34"/>
      <c r="E228" s="34"/>
      <c r="F228" s="34"/>
      <c r="G228" s="29"/>
      <c r="H228" s="29"/>
      <c r="I228" s="29"/>
      <c r="J228" s="34"/>
      <c r="K228" s="34"/>
      <c r="L228" s="34"/>
      <c r="M228" s="29"/>
      <c r="N228" s="29"/>
      <c r="O228" s="29"/>
      <c r="P228" s="29"/>
      <c r="Q228" s="34"/>
      <c r="R228" s="34"/>
    </row>
    <row x14ac:dyDescent="0.25" r="229" customHeight="1" ht="15.75">
      <c r="A229" s="1"/>
      <c r="B229" s="34"/>
      <c r="C229" s="1"/>
      <c r="D229" s="34"/>
      <c r="E229" s="34"/>
      <c r="F229" s="34"/>
      <c r="G229" s="29"/>
      <c r="H229" s="29"/>
      <c r="I229" s="29"/>
      <c r="J229" s="34"/>
      <c r="K229" s="34"/>
      <c r="L229" s="34"/>
      <c r="M229" s="29"/>
      <c r="N229" s="29"/>
      <c r="O229" s="29"/>
      <c r="P229" s="29"/>
      <c r="Q229" s="34"/>
      <c r="R229" s="34"/>
    </row>
    <row x14ac:dyDescent="0.25" r="230" customHeight="1" ht="15.75">
      <c r="A230" s="1"/>
      <c r="B230" s="34"/>
      <c r="C230" s="1"/>
      <c r="D230" s="34"/>
      <c r="E230" s="34"/>
      <c r="F230" s="34"/>
      <c r="G230" s="29"/>
      <c r="H230" s="29"/>
      <c r="I230" s="29"/>
      <c r="J230" s="34"/>
      <c r="K230" s="34"/>
      <c r="L230" s="34"/>
      <c r="M230" s="29"/>
      <c r="N230" s="29"/>
      <c r="O230" s="29"/>
      <c r="P230" s="29"/>
      <c r="Q230" s="34"/>
      <c r="R230" s="34"/>
    </row>
    <row x14ac:dyDescent="0.25" r="231" customHeight="1" ht="15.75">
      <c r="A231" s="1"/>
      <c r="B231" s="34"/>
      <c r="C231" s="1"/>
      <c r="D231" s="34"/>
      <c r="E231" s="34"/>
      <c r="F231" s="34"/>
      <c r="G231" s="29"/>
      <c r="H231" s="29"/>
      <c r="I231" s="29"/>
      <c r="J231" s="34"/>
      <c r="K231" s="34"/>
      <c r="L231" s="34"/>
      <c r="M231" s="29"/>
      <c r="N231" s="29"/>
      <c r="O231" s="29"/>
      <c r="P231" s="29"/>
      <c r="Q231" s="34"/>
      <c r="R231" s="34"/>
    </row>
    <row x14ac:dyDescent="0.25" r="232" customHeight="1" ht="15.75">
      <c r="A232" s="1"/>
      <c r="B232" s="34"/>
      <c r="C232" s="1"/>
      <c r="D232" s="34"/>
      <c r="E232" s="34"/>
      <c r="F232" s="34"/>
      <c r="G232" s="29"/>
      <c r="H232" s="29"/>
      <c r="I232" s="29"/>
      <c r="J232" s="34"/>
      <c r="K232" s="34"/>
      <c r="L232" s="34"/>
      <c r="M232" s="29"/>
      <c r="N232" s="29"/>
      <c r="O232" s="29"/>
      <c r="P232" s="29"/>
      <c r="Q232" s="34"/>
      <c r="R232" s="34"/>
    </row>
    <row x14ac:dyDescent="0.25" r="233" customHeight="1" ht="15.75">
      <c r="A233" s="1"/>
      <c r="B233" s="34"/>
      <c r="C233" s="1"/>
      <c r="D233" s="34"/>
      <c r="E233" s="34"/>
      <c r="F233" s="34"/>
      <c r="G233" s="29"/>
      <c r="H233" s="29"/>
      <c r="I233" s="29"/>
      <c r="J233" s="34"/>
      <c r="K233" s="34"/>
      <c r="L233" s="34"/>
      <c r="M233" s="29"/>
      <c r="N233" s="29"/>
      <c r="O233" s="29"/>
      <c r="P233" s="29"/>
      <c r="Q233" s="34"/>
      <c r="R233" s="34"/>
    </row>
    <row x14ac:dyDescent="0.25" r="234" customHeight="1" ht="15.75">
      <c r="A234" s="1"/>
      <c r="B234" s="34"/>
      <c r="C234" s="1"/>
      <c r="D234" s="34"/>
      <c r="E234" s="34"/>
      <c r="F234" s="34"/>
      <c r="G234" s="29"/>
      <c r="H234" s="29"/>
      <c r="I234" s="29"/>
      <c r="J234" s="34"/>
      <c r="K234" s="34"/>
      <c r="L234" s="34"/>
      <c r="M234" s="29"/>
      <c r="N234" s="29"/>
      <c r="O234" s="29"/>
      <c r="P234" s="29"/>
      <c r="Q234" s="34"/>
      <c r="R234" s="34"/>
    </row>
    <row x14ac:dyDescent="0.25" r="235" customHeight="1" ht="15.75">
      <c r="A235" s="1"/>
      <c r="B235" s="34"/>
      <c r="C235" s="1"/>
      <c r="D235" s="34"/>
      <c r="E235" s="34"/>
      <c r="F235" s="34"/>
      <c r="G235" s="29"/>
      <c r="H235" s="29"/>
      <c r="I235" s="29"/>
      <c r="J235" s="34"/>
      <c r="K235" s="34"/>
      <c r="L235" s="34"/>
      <c r="M235" s="29"/>
      <c r="N235" s="29"/>
      <c r="O235" s="29"/>
      <c r="P235" s="29"/>
      <c r="Q235" s="34"/>
      <c r="R235" s="34"/>
    </row>
    <row x14ac:dyDescent="0.25" r="236" customHeight="1" ht="15.75">
      <c r="A236" s="1"/>
      <c r="B236" s="34"/>
      <c r="C236" s="1"/>
      <c r="D236" s="34"/>
      <c r="E236" s="34"/>
      <c r="F236" s="34"/>
      <c r="G236" s="29"/>
      <c r="H236" s="29"/>
      <c r="I236" s="29"/>
      <c r="J236" s="34"/>
      <c r="K236" s="34"/>
      <c r="L236" s="34"/>
      <c r="M236" s="29"/>
      <c r="N236" s="29"/>
      <c r="O236" s="29"/>
      <c r="P236" s="29"/>
      <c r="Q236" s="34"/>
      <c r="R236" s="34"/>
    </row>
    <row x14ac:dyDescent="0.25" r="237" customHeight="1" ht="15.75">
      <c r="A237" s="1"/>
      <c r="B237" s="34"/>
      <c r="C237" s="1"/>
      <c r="D237" s="34"/>
      <c r="E237" s="34"/>
      <c r="F237" s="34"/>
      <c r="G237" s="29"/>
      <c r="H237" s="29"/>
      <c r="I237" s="29"/>
      <c r="J237" s="34"/>
      <c r="K237" s="34"/>
      <c r="L237" s="34"/>
      <c r="M237" s="29"/>
      <c r="N237" s="29"/>
      <c r="O237" s="29"/>
      <c r="P237" s="29"/>
      <c r="Q237" s="34"/>
      <c r="R237" s="34"/>
    </row>
    <row x14ac:dyDescent="0.25" r="238" customHeight="1" ht="15.75">
      <c r="A238" s="1"/>
      <c r="B238" s="34"/>
      <c r="C238" s="1"/>
      <c r="D238" s="34"/>
      <c r="E238" s="34"/>
      <c r="F238" s="34"/>
      <c r="G238" s="29"/>
      <c r="H238" s="29"/>
      <c r="I238" s="29"/>
      <c r="J238" s="34"/>
      <c r="K238" s="34"/>
      <c r="L238" s="34"/>
      <c r="M238" s="29"/>
      <c r="N238" s="29"/>
      <c r="O238" s="29"/>
      <c r="P238" s="29"/>
      <c r="Q238" s="34"/>
      <c r="R238" s="34"/>
    </row>
    <row x14ac:dyDescent="0.25" r="239" customHeight="1" ht="15.75">
      <c r="A239" s="1"/>
      <c r="B239" s="34"/>
      <c r="C239" s="1"/>
      <c r="D239" s="34"/>
      <c r="E239" s="34"/>
      <c r="F239" s="34"/>
      <c r="G239" s="29"/>
      <c r="H239" s="29"/>
      <c r="I239" s="29"/>
      <c r="J239" s="34"/>
      <c r="K239" s="34"/>
      <c r="L239" s="34"/>
      <c r="M239" s="29"/>
      <c r="N239" s="29"/>
      <c r="O239" s="29"/>
      <c r="P239" s="29"/>
      <c r="Q239" s="34"/>
      <c r="R239" s="34"/>
    </row>
    <row x14ac:dyDescent="0.25" r="240" customHeight="1" ht="15.75">
      <c r="A240" s="1"/>
      <c r="B240" s="34"/>
      <c r="C240" s="1"/>
      <c r="D240" s="34"/>
      <c r="E240" s="34"/>
      <c r="F240" s="34"/>
      <c r="G240" s="29"/>
      <c r="H240" s="29"/>
      <c r="I240" s="29"/>
      <c r="J240" s="34"/>
      <c r="K240" s="34"/>
      <c r="L240" s="34"/>
      <c r="M240" s="29"/>
      <c r="N240" s="29"/>
      <c r="O240" s="29"/>
      <c r="P240" s="29"/>
      <c r="Q240" s="34"/>
      <c r="R240" s="34"/>
    </row>
    <row x14ac:dyDescent="0.25" r="241" customHeight="1" ht="15.75">
      <c r="A241" s="1"/>
      <c r="B241" s="34"/>
      <c r="C241" s="1"/>
      <c r="D241" s="34"/>
      <c r="E241" s="34"/>
      <c r="F241" s="34"/>
      <c r="G241" s="29"/>
      <c r="H241" s="29"/>
      <c r="I241" s="29"/>
      <c r="J241" s="34"/>
      <c r="K241" s="34"/>
      <c r="L241" s="34"/>
      <c r="M241" s="29"/>
      <c r="N241" s="29"/>
      <c r="O241" s="29"/>
      <c r="P241" s="29"/>
      <c r="Q241" s="34"/>
      <c r="R241" s="34"/>
    </row>
    <row x14ac:dyDescent="0.25" r="242" customHeight="1" ht="15.75">
      <c r="A242" s="1"/>
      <c r="B242" s="34"/>
      <c r="C242" s="1"/>
      <c r="D242" s="34"/>
      <c r="E242" s="34"/>
      <c r="F242" s="34"/>
      <c r="G242" s="29"/>
      <c r="H242" s="29"/>
      <c r="I242" s="29"/>
      <c r="J242" s="34"/>
      <c r="K242" s="34"/>
      <c r="L242" s="34"/>
      <c r="M242" s="29"/>
      <c r="N242" s="29"/>
      <c r="O242" s="29"/>
      <c r="P242" s="29"/>
      <c r="Q242" s="34"/>
      <c r="R242" s="34"/>
    </row>
    <row x14ac:dyDescent="0.25" r="243" customHeight="1" ht="15.75">
      <c r="A243" s="1"/>
      <c r="B243" s="34"/>
      <c r="C243" s="1"/>
      <c r="D243" s="34"/>
      <c r="E243" s="34"/>
      <c r="F243" s="34"/>
      <c r="G243" s="29"/>
      <c r="H243" s="29"/>
      <c r="I243" s="29"/>
      <c r="J243" s="34"/>
      <c r="K243" s="34"/>
      <c r="L243" s="34"/>
      <c r="M243" s="29"/>
      <c r="N243" s="29"/>
      <c r="O243" s="29"/>
      <c r="P243" s="29"/>
      <c r="Q243" s="34"/>
      <c r="R243" s="34"/>
    </row>
    <row x14ac:dyDescent="0.25" r="244" customHeight="1" ht="15.75">
      <c r="A244" s="1"/>
      <c r="B244" s="34"/>
      <c r="C244" s="1"/>
      <c r="D244" s="34"/>
      <c r="E244" s="34"/>
      <c r="F244" s="34"/>
      <c r="G244" s="29"/>
      <c r="H244" s="29"/>
      <c r="I244" s="29"/>
      <c r="J244" s="34"/>
      <c r="K244" s="34"/>
      <c r="L244" s="34"/>
      <c r="M244" s="29"/>
      <c r="N244" s="29"/>
      <c r="O244" s="29"/>
      <c r="P244" s="29"/>
      <c r="Q244" s="34"/>
      <c r="R244" s="34"/>
    </row>
    <row x14ac:dyDescent="0.25" r="245" customHeight="1" ht="15.75">
      <c r="A245" s="1"/>
      <c r="B245" s="34"/>
      <c r="C245" s="1"/>
      <c r="D245" s="34"/>
      <c r="E245" s="34"/>
      <c r="F245" s="34"/>
      <c r="G245" s="29"/>
      <c r="H245" s="29"/>
      <c r="I245" s="29"/>
      <c r="J245" s="34"/>
      <c r="K245" s="34"/>
      <c r="L245" s="34"/>
      <c r="M245" s="29"/>
      <c r="N245" s="29"/>
      <c r="O245" s="29"/>
      <c r="P245" s="29"/>
      <c r="Q245" s="34"/>
      <c r="R245" s="34"/>
    </row>
    <row x14ac:dyDescent="0.25" r="246" customHeight="1" ht="15.75">
      <c r="A246" s="1"/>
      <c r="B246" s="34"/>
      <c r="C246" s="1"/>
      <c r="D246" s="34"/>
      <c r="E246" s="34"/>
      <c r="F246" s="34"/>
      <c r="G246" s="29"/>
      <c r="H246" s="29"/>
      <c r="I246" s="29"/>
      <c r="J246" s="34"/>
      <c r="K246" s="34"/>
      <c r="L246" s="34"/>
      <c r="M246" s="29"/>
      <c r="N246" s="29"/>
      <c r="O246" s="29"/>
      <c r="P246" s="29"/>
      <c r="Q246" s="34"/>
      <c r="R246" s="34"/>
    </row>
    <row x14ac:dyDescent="0.25" r="247" customHeight="1" ht="15.75">
      <c r="A247" s="1"/>
      <c r="B247" s="34"/>
      <c r="C247" s="1"/>
      <c r="D247" s="34"/>
      <c r="E247" s="34"/>
      <c r="F247" s="34"/>
      <c r="G247" s="29"/>
      <c r="H247" s="29"/>
      <c r="I247" s="29"/>
      <c r="J247" s="34"/>
      <c r="K247" s="34"/>
      <c r="L247" s="34"/>
      <c r="M247" s="29"/>
      <c r="N247" s="29"/>
      <c r="O247" s="29"/>
      <c r="P247" s="29"/>
      <c r="Q247" s="34"/>
      <c r="R247" s="34"/>
    </row>
    <row x14ac:dyDescent="0.25" r="248" customHeight="1" ht="15.75">
      <c r="A248" s="1"/>
      <c r="B248" s="34"/>
      <c r="C248" s="1"/>
      <c r="D248" s="34"/>
      <c r="E248" s="34"/>
      <c r="F248" s="34"/>
      <c r="G248" s="29"/>
      <c r="H248" s="29"/>
      <c r="I248" s="29"/>
      <c r="J248" s="34"/>
      <c r="K248" s="34"/>
      <c r="L248" s="34"/>
      <c r="M248" s="29"/>
      <c r="N248" s="29"/>
      <c r="O248" s="29"/>
      <c r="P248" s="29"/>
      <c r="Q248" s="34"/>
      <c r="R248" s="34"/>
    </row>
    <row x14ac:dyDescent="0.25" r="249" customHeight="1" ht="15.75">
      <c r="A249" s="1"/>
      <c r="B249" s="34"/>
      <c r="C249" s="1"/>
      <c r="D249" s="34"/>
      <c r="E249" s="34"/>
      <c r="F249" s="34"/>
      <c r="G249" s="29"/>
      <c r="H249" s="29"/>
      <c r="I249" s="29"/>
      <c r="J249" s="34"/>
      <c r="K249" s="34"/>
      <c r="L249" s="34"/>
      <c r="M249" s="29"/>
      <c r="N249" s="29"/>
      <c r="O249" s="29"/>
      <c r="P249" s="29"/>
      <c r="Q249" s="34"/>
      <c r="R249" s="34"/>
    </row>
    <row x14ac:dyDescent="0.25" r="250" customHeight="1" ht="15.75">
      <c r="A250" s="1"/>
      <c r="B250" s="34"/>
      <c r="C250" s="1"/>
      <c r="D250" s="34"/>
      <c r="E250" s="34"/>
      <c r="F250" s="34"/>
      <c r="G250" s="29"/>
      <c r="H250" s="29"/>
      <c r="I250" s="29"/>
      <c r="J250" s="34"/>
      <c r="K250" s="34"/>
      <c r="L250" s="34"/>
      <c r="M250" s="29"/>
      <c r="N250" s="29"/>
      <c r="O250" s="29"/>
      <c r="P250" s="29"/>
      <c r="Q250" s="34"/>
      <c r="R250" s="34"/>
    </row>
    <row x14ac:dyDescent="0.25" r="251" customHeight="1" ht="15.75">
      <c r="A251" s="1"/>
      <c r="B251" s="34"/>
      <c r="C251" s="1"/>
      <c r="D251" s="34"/>
      <c r="E251" s="34"/>
      <c r="F251" s="34"/>
      <c r="G251" s="29"/>
      <c r="H251" s="29"/>
      <c r="I251" s="29"/>
      <c r="J251" s="34"/>
      <c r="K251" s="34"/>
      <c r="L251" s="34"/>
      <c r="M251" s="29"/>
      <c r="N251" s="29"/>
      <c r="O251" s="29"/>
      <c r="P251" s="29"/>
      <c r="Q251" s="34"/>
      <c r="R251" s="34"/>
    </row>
    <row x14ac:dyDescent="0.25" r="252" customHeight="1" ht="15.75">
      <c r="A252" s="1"/>
      <c r="B252" s="34"/>
      <c r="C252" s="1"/>
      <c r="D252" s="34"/>
      <c r="E252" s="34"/>
      <c r="F252" s="34"/>
      <c r="G252" s="29"/>
      <c r="H252" s="29"/>
      <c r="I252" s="29"/>
      <c r="J252" s="34"/>
      <c r="K252" s="34"/>
      <c r="L252" s="34"/>
      <c r="M252" s="29"/>
      <c r="N252" s="29"/>
      <c r="O252" s="29"/>
      <c r="P252" s="29"/>
      <c r="Q252" s="34"/>
      <c r="R252" s="34"/>
    </row>
    <row x14ac:dyDescent="0.25" r="253" customHeight="1" ht="15.75">
      <c r="A253" s="1"/>
      <c r="B253" s="34"/>
      <c r="C253" s="1"/>
      <c r="D253" s="34"/>
      <c r="E253" s="34"/>
      <c r="F253" s="34"/>
      <c r="G253" s="29"/>
      <c r="H253" s="29"/>
      <c r="I253" s="29"/>
      <c r="J253" s="34"/>
      <c r="K253" s="34"/>
      <c r="L253" s="34"/>
      <c r="M253" s="29"/>
      <c r="N253" s="29"/>
      <c r="O253" s="29"/>
      <c r="P253" s="29"/>
      <c r="Q253" s="34"/>
      <c r="R253" s="34"/>
    </row>
    <row x14ac:dyDescent="0.25" r="254" customHeight="1" ht="15.75">
      <c r="A254" s="1"/>
      <c r="B254" s="34"/>
      <c r="C254" s="1"/>
      <c r="D254" s="34"/>
      <c r="E254" s="34"/>
      <c r="F254" s="34"/>
      <c r="G254" s="29"/>
      <c r="H254" s="29"/>
      <c r="I254" s="29"/>
      <c r="J254" s="34"/>
      <c r="K254" s="34"/>
      <c r="L254" s="34"/>
      <c r="M254" s="29"/>
      <c r="N254" s="29"/>
      <c r="O254" s="29"/>
      <c r="P254" s="29"/>
      <c r="Q254" s="34"/>
      <c r="R254" s="34"/>
    </row>
    <row x14ac:dyDescent="0.25" r="255" customHeight="1" ht="15.75">
      <c r="A255" s="1"/>
      <c r="B255" s="34"/>
      <c r="C255" s="1"/>
      <c r="D255" s="34"/>
      <c r="E255" s="34"/>
      <c r="F255" s="34"/>
      <c r="G255" s="29"/>
      <c r="H255" s="29"/>
      <c r="I255" s="29"/>
      <c r="J255" s="34"/>
      <c r="K255" s="34"/>
      <c r="L255" s="34"/>
      <c r="M255" s="29"/>
      <c r="N255" s="29"/>
      <c r="O255" s="29"/>
      <c r="P255" s="29"/>
      <c r="Q255" s="34"/>
      <c r="R255" s="34"/>
    </row>
    <row x14ac:dyDescent="0.25" r="256" customHeight="1" ht="15.75">
      <c r="A256" s="1"/>
      <c r="B256" s="34"/>
      <c r="C256" s="1"/>
      <c r="D256" s="34"/>
      <c r="E256" s="34"/>
      <c r="F256" s="34"/>
      <c r="G256" s="29"/>
      <c r="H256" s="29"/>
      <c r="I256" s="29"/>
      <c r="J256" s="34"/>
      <c r="K256" s="34"/>
      <c r="L256" s="34"/>
      <c r="M256" s="29"/>
      <c r="N256" s="29"/>
      <c r="O256" s="29"/>
      <c r="P256" s="29"/>
      <c r="Q256" s="34"/>
      <c r="R256" s="34"/>
    </row>
    <row x14ac:dyDescent="0.25" r="257" customHeight="1" ht="15.75">
      <c r="A257" s="1"/>
      <c r="B257" s="34"/>
      <c r="C257" s="1"/>
      <c r="D257" s="34"/>
      <c r="E257" s="34"/>
      <c r="F257" s="34"/>
      <c r="G257" s="29"/>
      <c r="H257" s="29"/>
      <c r="I257" s="29"/>
      <c r="J257" s="34"/>
      <c r="K257" s="34"/>
      <c r="L257" s="34"/>
      <c r="M257" s="29"/>
      <c r="N257" s="29"/>
      <c r="O257" s="29"/>
      <c r="P257" s="29"/>
      <c r="Q257" s="34"/>
      <c r="R257" s="34"/>
    </row>
    <row x14ac:dyDescent="0.25" r="258" customHeight="1" ht="15.75">
      <c r="A258" s="1"/>
      <c r="B258" s="34"/>
      <c r="C258" s="1"/>
      <c r="D258" s="34"/>
      <c r="E258" s="34"/>
      <c r="F258" s="34"/>
      <c r="G258" s="29"/>
      <c r="H258" s="29"/>
      <c r="I258" s="29"/>
      <c r="J258" s="34"/>
      <c r="K258" s="34"/>
      <c r="L258" s="34"/>
      <c r="M258" s="29"/>
      <c r="N258" s="29"/>
      <c r="O258" s="29"/>
      <c r="P258" s="29"/>
      <c r="Q258" s="34"/>
      <c r="R258" s="34"/>
    </row>
    <row x14ac:dyDescent="0.25" r="259" customHeight="1" ht="15.75">
      <c r="A259" s="1"/>
      <c r="B259" s="34"/>
      <c r="C259" s="1"/>
      <c r="D259" s="34"/>
      <c r="E259" s="34"/>
      <c r="F259" s="34"/>
      <c r="G259" s="29"/>
      <c r="H259" s="29"/>
      <c r="I259" s="29"/>
      <c r="J259" s="34"/>
      <c r="K259" s="34"/>
      <c r="L259" s="34"/>
      <c r="M259" s="29"/>
      <c r="N259" s="29"/>
      <c r="O259" s="29"/>
      <c r="P259" s="29"/>
      <c r="Q259" s="34"/>
      <c r="R259" s="34"/>
    </row>
    <row x14ac:dyDescent="0.25" r="260" customHeight="1" ht="15.75">
      <c r="A260" s="1"/>
      <c r="B260" s="34"/>
      <c r="C260" s="1"/>
      <c r="D260" s="34"/>
      <c r="E260" s="34"/>
      <c r="F260" s="34"/>
      <c r="G260" s="29"/>
      <c r="H260" s="29"/>
      <c r="I260" s="29"/>
      <c r="J260" s="34"/>
      <c r="K260" s="34"/>
      <c r="L260" s="34"/>
      <c r="M260" s="29"/>
      <c r="N260" s="29"/>
      <c r="O260" s="29"/>
      <c r="P260" s="29"/>
      <c r="Q260" s="34"/>
      <c r="R260" s="34"/>
    </row>
    <row x14ac:dyDescent="0.25" r="261" customHeight="1" ht="15.75">
      <c r="A261" s="1"/>
      <c r="B261" s="34"/>
      <c r="C261" s="1"/>
      <c r="D261" s="34"/>
      <c r="E261" s="34"/>
      <c r="F261" s="34"/>
      <c r="G261" s="29"/>
      <c r="H261" s="29"/>
      <c r="I261" s="29"/>
      <c r="J261" s="34"/>
      <c r="K261" s="34"/>
      <c r="L261" s="34"/>
      <c r="M261" s="29"/>
      <c r="N261" s="29"/>
      <c r="O261" s="29"/>
      <c r="P261" s="29"/>
      <c r="Q261" s="34"/>
      <c r="R261" s="34"/>
    </row>
    <row x14ac:dyDescent="0.25" r="262" customHeight="1" ht="15.75">
      <c r="A262" s="1"/>
      <c r="B262" s="34"/>
      <c r="C262" s="1"/>
      <c r="D262" s="34"/>
      <c r="E262" s="34"/>
      <c r="F262" s="34"/>
      <c r="G262" s="29"/>
      <c r="H262" s="29"/>
      <c r="I262" s="29"/>
      <c r="J262" s="34"/>
      <c r="K262" s="34"/>
      <c r="L262" s="34"/>
      <c r="M262" s="29"/>
      <c r="N262" s="29"/>
      <c r="O262" s="29"/>
      <c r="P262" s="29"/>
      <c r="Q262" s="34"/>
      <c r="R262" s="34"/>
    </row>
    <row x14ac:dyDescent="0.25" r="263" customHeight="1" ht="15.75">
      <c r="A263" s="1"/>
      <c r="B263" s="34"/>
      <c r="C263" s="1"/>
      <c r="D263" s="34"/>
      <c r="E263" s="34"/>
      <c r="F263" s="34"/>
      <c r="G263" s="29"/>
      <c r="H263" s="29"/>
      <c r="I263" s="29"/>
      <c r="J263" s="34"/>
      <c r="K263" s="34"/>
      <c r="L263" s="34"/>
      <c r="M263" s="29"/>
      <c r="N263" s="29"/>
      <c r="O263" s="29"/>
      <c r="P263" s="29"/>
      <c r="Q263" s="34"/>
      <c r="R263" s="34"/>
    </row>
    <row x14ac:dyDescent="0.25" r="264" customHeight="1" ht="15.75">
      <c r="A264" s="1"/>
      <c r="B264" s="34"/>
      <c r="C264" s="1"/>
      <c r="D264" s="34"/>
      <c r="E264" s="34"/>
      <c r="F264" s="34"/>
      <c r="G264" s="29"/>
      <c r="H264" s="29"/>
      <c r="I264" s="29"/>
      <c r="J264" s="34"/>
      <c r="K264" s="34"/>
      <c r="L264" s="34"/>
      <c r="M264" s="29"/>
      <c r="N264" s="29"/>
      <c r="O264" s="29"/>
      <c r="P264" s="29"/>
      <c r="Q264" s="34"/>
      <c r="R264" s="34"/>
    </row>
    <row x14ac:dyDescent="0.25" r="265" customHeight="1" ht="15.75">
      <c r="A265" s="1"/>
      <c r="B265" s="34"/>
      <c r="C265" s="1"/>
      <c r="D265" s="34"/>
      <c r="E265" s="34"/>
      <c r="F265" s="34"/>
      <c r="G265" s="29"/>
      <c r="H265" s="29"/>
      <c r="I265" s="29"/>
      <c r="J265" s="34"/>
      <c r="K265" s="34"/>
      <c r="L265" s="34"/>
      <c r="M265" s="29"/>
      <c r="N265" s="29"/>
      <c r="O265" s="29"/>
      <c r="P265" s="29"/>
      <c r="Q265" s="34"/>
      <c r="R265" s="34"/>
    </row>
    <row x14ac:dyDescent="0.25" r="266" customHeight="1" ht="15.75">
      <c r="A266" s="1"/>
      <c r="B266" s="34"/>
      <c r="C266" s="1"/>
      <c r="D266" s="34"/>
      <c r="E266" s="34"/>
      <c r="F266" s="34"/>
      <c r="G266" s="29"/>
      <c r="H266" s="29"/>
      <c r="I266" s="29"/>
      <c r="J266" s="34"/>
      <c r="K266" s="34"/>
      <c r="L266" s="34"/>
      <c r="M266" s="29"/>
      <c r="N266" s="29"/>
      <c r="O266" s="29"/>
      <c r="P266" s="29"/>
      <c r="Q266" s="34"/>
      <c r="R266" s="34"/>
    </row>
    <row x14ac:dyDescent="0.25" r="267" customHeight="1" ht="15.75">
      <c r="A267" s="1"/>
      <c r="B267" s="34"/>
      <c r="C267" s="1"/>
      <c r="D267" s="34"/>
      <c r="E267" s="34"/>
      <c r="F267" s="34"/>
      <c r="G267" s="29"/>
      <c r="H267" s="29"/>
      <c r="I267" s="29"/>
      <c r="J267" s="34"/>
      <c r="K267" s="34"/>
      <c r="L267" s="34"/>
      <c r="M267" s="29"/>
      <c r="N267" s="29"/>
      <c r="O267" s="29"/>
      <c r="P267" s="29"/>
      <c r="Q267" s="34"/>
      <c r="R267" s="34"/>
    </row>
    <row x14ac:dyDescent="0.25" r="268" customHeight="1" ht="15.75">
      <c r="A268" s="1"/>
      <c r="B268" s="34"/>
      <c r="C268" s="1"/>
      <c r="D268" s="34"/>
      <c r="E268" s="34"/>
      <c r="F268" s="34"/>
      <c r="G268" s="29"/>
      <c r="H268" s="29"/>
      <c r="I268" s="29"/>
      <c r="J268" s="34"/>
      <c r="K268" s="34"/>
      <c r="L268" s="34"/>
      <c r="M268" s="29"/>
      <c r="N268" s="29"/>
      <c r="O268" s="29"/>
      <c r="P268" s="29"/>
      <c r="Q268" s="34"/>
      <c r="R268" s="34"/>
    </row>
    <row x14ac:dyDescent="0.25" r="269" customHeight="1" ht="15.75">
      <c r="A269" s="1"/>
      <c r="B269" s="34"/>
      <c r="C269" s="1"/>
      <c r="D269" s="34"/>
      <c r="E269" s="34"/>
      <c r="F269" s="34"/>
      <c r="G269" s="29"/>
      <c r="H269" s="29"/>
      <c r="I269" s="29"/>
      <c r="J269" s="34"/>
      <c r="K269" s="34"/>
      <c r="L269" s="34"/>
      <c r="M269" s="29"/>
      <c r="N269" s="29"/>
      <c r="O269" s="29"/>
      <c r="P269" s="29"/>
      <c r="Q269" s="34"/>
      <c r="R269" s="34"/>
    </row>
    <row x14ac:dyDescent="0.25" r="270" customHeight="1" ht="15.75">
      <c r="A270" s="1"/>
      <c r="B270" s="34"/>
      <c r="C270" s="1"/>
      <c r="D270" s="34"/>
      <c r="E270" s="34"/>
      <c r="F270" s="34"/>
      <c r="G270" s="29"/>
      <c r="H270" s="29"/>
      <c r="I270" s="29"/>
      <c r="J270" s="34"/>
      <c r="K270" s="34"/>
      <c r="L270" s="34"/>
      <c r="M270" s="29"/>
      <c r="N270" s="29"/>
      <c r="O270" s="29"/>
      <c r="P270" s="29"/>
      <c r="Q270" s="34"/>
      <c r="R270" s="34"/>
    </row>
    <row x14ac:dyDescent="0.25" r="271" customHeight="1" ht="15.75">
      <c r="A271" s="1"/>
      <c r="B271" s="34"/>
      <c r="C271" s="1"/>
      <c r="D271" s="34"/>
      <c r="E271" s="34"/>
      <c r="F271" s="34"/>
      <c r="G271" s="29"/>
      <c r="H271" s="29"/>
      <c r="I271" s="29"/>
      <c r="J271" s="34"/>
      <c r="K271" s="34"/>
      <c r="L271" s="34"/>
      <c r="M271" s="29"/>
      <c r="N271" s="29"/>
      <c r="O271" s="29"/>
      <c r="P271" s="29"/>
      <c r="Q271" s="34"/>
      <c r="R271" s="34"/>
    </row>
    <row x14ac:dyDescent="0.25" r="272" customHeight="1" ht="15.75">
      <c r="A272" s="1"/>
      <c r="B272" s="34"/>
      <c r="C272" s="1"/>
      <c r="D272" s="34"/>
      <c r="E272" s="34"/>
      <c r="F272" s="34"/>
      <c r="G272" s="29"/>
      <c r="H272" s="29"/>
      <c r="I272" s="29"/>
      <c r="J272" s="34"/>
      <c r="K272" s="34"/>
      <c r="L272" s="34"/>
      <c r="M272" s="29"/>
      <c r="N272" s="29"/>
      <c r="O272" s="29"/>
      <c r="P272" s="29"/>
      <c r="Q272" s="34"/>
      <c r="R272" s="34"/>
    </row>
    <row x14ac:dyDescent="0.25" r="273" customHeight="1" ht="15.75">
      <c r="A273" s="1"/>
      <c r="B273" s="34"/>
      <c r="C273" s="1"/>
      <c r="D273" s="34"/>
      <c r="E273" s="34"/>
      <c r="F273" s="34"/>
      <c r="G273" s="29"/>
      <c r="H273" s="29"/>
      <c r="I273" s="29"/>
      <c r="J273" s="34"/>
      <c r="K273" s="34"/>
      <c r="L273" s="34"/>
      <c r="M273" s="29"/>
      <c r="N273" s="29"/>
      <c r="O273" s="29"/>
      <c r="P273" s="29"/>
      <c r="Q273" s="34"/>
      <c r="R273" s="34"/>
    </row>
    <row x14ac:dyDescent="0.25" r="274" customHeight="1" ht="15.75">
      <c r="A274" s="1"/>
      <c r="B274" s="34"/>
      <c r="C274" s="1"/>
      <c r="D274" s="34"/>
      <c r="E274" s="34"/>
      <c r="F274" s="34"/>
      <c r="G274" s="29"/>
      <c r="H274" s="29"/>
      <c r="I274" s="29"/>
      <c r="J274" s="34"/>
      <c r="K274" s="34"/>
      <c r="L274" s="34"/>
      <c r="M274" s="29"/>
      <c r="N274" s="29"/>
      <c r="O274" s="29"/>
      <c r="P274" s="29"/>
      <c r="Q274" s="34"/>
      <c r="R274" s="34"/>
    </row>
    <row x14ac:dyDescent="0.25" r="275" customHeight="1" ht="15.75">
      <c r="A275" s="1"/>
      <c r="B275" s="34"/>
      <c r="C275" s="1"/>
      <c r="D275" s="34"/>
      <c r="E275" s="34"/>
      <c r="F275" s="34"/>
      <c r="G275" s="29"/>
      <c r="H275" s="29"/>
      <c r="I275" s="29"/>
      <c r="J275" s="34"/>
      <c r="K275" s="34"/>
      <c r="L275" s="34"/>
      <c r="M275" s="29"/>
      <c r="N275" s="29"/>
      <c r="O275" s="29"/>
      <c r="P275" s="29"/>
      <c r="Q275" s="34"/>
      <c r="R275" s="34"/>
    </row>
    <row x14ac:dyDescent="0.25" r="276" customHeight="1" ht="15.75">
      <c r="A276" s="1"/>
      <c r="B276" s="34"/>
      <c r="C276" s="1"/>
      <c r="D276" s="34"/>
      <c r="E276" s="34"/>
      <c r="F276" s="34"/>
      <c r="G276" s="29"/>
      <c r="H276" s="29"/>
      <c r="I276" s="29"/>
      <c r="J276" s="34"/>
      <c r="K276" s="34"/>
      <c r="L276" s="34"/>
      <c r="M276" s="29"/>
      <c r="N276" s="29"/>
      <c r="O276" s="29"/>
      <c r="P276" s="29"/>
      <c r="Q276" s="34"/>
      <c r="R276" s="34"/>
    </row>
    <row x14ac:dyDescent="0.25" r="277" customHeight="1" ht="15.75">
      <c r="A277" s="1"/>
      <c r="B277" s="34"/>
      <c r="C277" s="1"/>
      <c r="D277" s="34"/>
      <c r="E277" s="34"/>
      <c r="F277" s="34"/>
      <c r="G277" s="29"/>
      <c r="H277" s="29"/>
      <c r="I277" s="29"/>
      <c r="J277" s="34"/>
      <c r="K277" s="34"/>
      <c r="L277" s="34"/>
      <c r="M277" s="29"/>
      <c r="N277" s="29"/>
      <c r="O277" s="29"/>
      <c r="P277" s="29"/>
      <c r="Q277" s="34"/>
      <c r="R277" s="34"/>
    </row>
    <row x14ac:dyDescent="0.25" r="278" customHeight="1" ht="15.75">
      <c r="A278" s="1"/>
      <c r="B278" s="34"/>
      <c r="C278" s="1"/>
      <c r="D278" s="34"/>
      <c r="E278" s="34"/>
      <c r="F278" s="34"/>
      <c r="G278" s="29"/>
      <c r="H278" s="29"/>
      <c r="I278" s="29"/>
      <c r="J278" s="34"/>
      <c r="K278" s="34"/>
      <c r="L278" s="34"/>
      <c r="M278" s="29"/>
      <c r="N278" s="29"/>
      <c r="O278" s="29"/>
      <c r="P278" s="29"/>
      <c r="Q278" s="34"/>
      <c r="R278" s="34"/>
    </row>
    <row x14ac:dyDescent="0.25" r="279" customHeight="1" ht="15.75">
      <c r="A279" s="1"/>
      <c r="B279" s="34"/>
      <c r="C279" s="1"/>
      <c r="D279" s="34"/>
      <c r="E279" s="34"/>
      <c r="F279" s="34"/>
      <c r="G279" s="29"/>
      <c r="H279" s="29"/>
      <c r="I279" s="29"/>
      <c r="J279" s="34"/>
      <c r="K279" s="34"/>
      <c r="L279" s="34"/>
      <c r="M279" s="29"/>
      <c r="N279" s="29"/>
      <c r="O279" s="29"/>
      <c r="P279" s="29"/>
      <c r="Q279" s="34"/>
      <c r="R279" s="34"/>
    </row>
    <row x14ac:dyDescent="0.25" r="280" customHeight="1" ht="15.75">
      <c r="A280" s="1"/>
      <c r="B280" s="34"/>
      <c r="C280" s="1"/>
      <c r="D280" s="34"/>
      <c r="E280" s="34"/>
      <c r="F280" s="34"/>
      <c r="G280" s="29"/>
      <c r="H280" s="29"/>
      <c r="I280" s="29"/>
      <c r="J280" s="34"/>
      <c r="K280" s="34"/>
      <c r="L280" s="34"/>
      <c r="M280" s="29"/>
      <c r="N280" s="29"/>
      <c r="O280" s="29"/>
      <c r="P280" s="29"/>
      <c r="Q280" s="34"/>
      <c r="R280" s="34"/>
    </row>
    <row x14ac:dyDescent="0.25" r="281" customHeight="1" ht="15.75">
      <c r="A281" s="1"/>
      <c r="B281" s="34"/>
      <c r="C281" s="1"/>
      <c r="D281" s="34"/>
      <c r="E281" s="34"/>
      <c r="F281" s="34"/>
      <c r="G281" s="29"/>
      <c r="H281" s="29"/>
      <c r="I281" s="29"/>
      <c r="J281" s="34"/>
      <c r="K281" s="34"/>
      <c r="L281" s="34"/>
      <c r="M281" s="29"/>
      <c r="N281" s="29"/>
      <c r="O281" s="29"/>
      <c r="P281" s="29"/>
      <c r="Q281" s="34"/>
      <c r="R281" s="34"/>
    </row>
    <row x14ac:dyDescent="0.25" r="282" customHeight="1" ht="15.75">
      <c r="A282" s="1"/>
      <c r="B282" s="34"/>
      <c r="C282" s="1"/>
      <c r="D282" s="34"/>
      <c r="E282" s="34"/>
      <c r="F282" s="34"/>
      <c r="G282" s="29"/>
      <c r="H282" s="29"/>
      <c r="I282" s="29"/>
      <c r="J282" s="34"/>
      <c r="K282" s="34"/>
      <c r="L282" s="34"/>
      <c r="M282" s="29"/>
      <c r="N282" s="29"/>
      <c r="O282" s="29"/>
      <c r="P282" s="29"/>
      <c r="Q282" s="34"/>
      <c r="R282" s="34"/>
    </row>
    <row x14ac:dyDescent="0.25" r="283" customHeight="1" ht="15.75">
      <c r="A283" s="1"/>
      <c r="B283" s="34"/>
      <c r="C283" s="1"/>
      <c r="D283" s="34"/>
      <c r="E283" s="34"/>
      <c r="F283" s="34"/>
      <c r="G283" s="29"/>
      <c r="H283" s="29"/>
      <c r="I283" s="29"/>
      <c r="J283" s="34"/>
      <c r="K283" s="34"/>
      <c r="L283" s="34"/>
      <c r="M283" s="29"/>
      <c r="N283" s="29"/>
      <c r="O283" s="29"/>
      <c r="P283" s="29"/>
      <c r="Q283" s="34"/>
      <c r="R283" s="34"/>
    </row>
    <row x14ac:dyDescent="0.25" r="284" customHeight="1" ht="15.75">
      <c r="A284" s="1"/>
      <c r="B284" s="34"/>
      <c r="C284" s="1"/>
      <c r="D284" s="34"/>
      <c r="E284" s="34"/>
      <c r="F284" s="34"/>
      <c r="G284" s="29"/>
      <c r="H284" s="29"/>
      <c r="I284" s="29"/>
      <c r="J284" s="34"/>
      <c r="K284" s="34"/>
      <c r="L284" s="34"/>
      <c r="M284" s="29"/>
      <c r="N284" s="29"/>
      <c r="O284" s="29"/>
      <c r="P284" s="29"/>
      <c r="Q284" s="34"/>
      <c r="R284" s="34"/>
    </row>
    <row x14ac:dyDescent="0.25" r="285" customHeight="1" ht="15.75">
      <c r="A285" s="1"/>
      <c r="B285" s="34"/>
      <c r="C285" s="1"/>
      <c r="D285" s="34"/>
      <c r="E285" s="34"/>
      <c r="F285" s="34"/>
      <c r="G285" s="29"/>
      <c r="H285" s="29"/>
      <c r="I285" s="29"/>
      <c r="J285" s="34"/>
      <c r="K285" s="34"/>
      <c r="L285" s="34"/>
      <c r="M285" s="29"/>
      <c r="N285" s="29"/>
      <c r="O285" s="29"/>
      <c r="P285" s="29"/>
      <c r="Q285" s="34"/>
      <c r="R285" s="34"/>
    </row>
    <row x14ac:dyDescent="0.25" r="286" customHeight="1" ht="15.75">
      <c r="A286" s="1"/>
      <c r="B286" s="34"/>
      <c r="C286" s="1"/>
      <c r="D286" s="34"/>
      <c r="E286" s="34"/>
      <c r="F286" s="34"/>
      <c r="G286" s="29"/>
      <c r="H286" s="29"/>
      <c r="I286" s="29"/>
      <c r="J286" s="34"/>
      <c r="K286" s="34"/>
      <c r="L286" s="34"/>
      <c r="M286" s="29"/>
      <c r="N286" s="29"/>
      <c r="O286" s="29"/>
      <c r="P286" s="29"/>
      <c r="Q286" s="34"/>
      <c r="R286" s="34"/>
    </row>
    <row x14ac:dyDescent="0.25" r="287" customHeight="1" ht="15.75">
      <c r="A287" s="1"/>
      <c r="B287" s="34"/>
      <c r="C287" s="1"/>
      <c r="D287" s="34"/>
      <c r="E287" s="34"/>
      <c r="F287" s="34"/>
      <c r="G287" s="29"/>
      <c r="H287" s="29"/>
      <c r="I287" s="29"/>
      <c r="J287" s="34"/>
      <c r="K287" s="34"/>
      <c r="L287" s="34"/>
      <c r="M287" s="29"/>
      <c r="N287" s="29"/>
      <c r="O287" s="29"/>
      <c r="P287" s="29"/>
      <c r="Q287" s="34"/>
      <c r="R287" s="34"/>
    </row>
    <row x14ac:dyDescent="0.25" r="288" customHeight="1" ht="15.75">
      <c r="A288" s="1"/>
      <c r="B288" s="34"/>
      <c r="C288" s="1"/>
      <c r="D288" s="34"/>
      <c r="E288" s="34"/>
      <c r="F288" s="34"/>
      <c r="G288" s="29"/>
      <c r="H288" s="29"/>
      <c r="I288" s="29"/>
      <c r="J288" s="34"/>
      <c r="K288" s="34"/>
      <c r="L288" s="34"/>
      <c r="M288" s="29"/>
      <c r="N288" s="29"/>
      <c r="O288" s="29"/>
      <c r="P288" s="29"/>
      <c r="Q288" s="34"/>
      <c r="R288" s="34"/>
    </row>
    <row x14ac:dyDescent="0.25" r="289" customHeight="1" ht="15.75">
      <c r="A289" s="1"/>
      <c r="B289" s="34"/>
      <c r="C289" s="1"/>
      <c r="D289" s="34"/>
      <c r="E289" s="34"/>
      <c r="F289" s="34"/>
      <c r="G289" s="29"/>
      <c r="H289" s="29"/>
      <c r="I289" s="29"/>
      <c r="J289" s="34"/>
      <c r="K289" s="34"/>
      <c r="L289" s="34"/>
      <c r="M289" s="29"/>
      <c r="N289" s="29"/>
      <c r="O289" s="29"/>
      <c r="P289" s="29"/>
      <c r="Q289" s="34"/>
      <c r="R289" s="34"/>
    </row>
    <row x14ac:dyDescent="0.25" r="290" customHeight="1" ht="15.75">
      <c r="A290" s="1"/>
      <c r="B290" s="34"/>
      <c r="C290" s="1"/>
      <c r="D290" s="34"/>
      <c r="E290" s="34"/>
      <c r="F290" s="34"/>
      <c r="G290" s="29"/>
      <c r="H290" s="29"/>
      <c r="I290" s="29"/>
      <c r="J290" s="34"/>
      <c r="K290" s="34"/>
      <c r="L290" s="34"/>
      <c r="M290" s="29"/>
      <c r="N290" s="29"/>
      <c r="O290" s="29"/>
      <c r="P290" s="29"/>
      <c r="Q290" s="34"/>
      <c r="R290" s="34"/>
    </row>
    <row x14ac:dyDescent="0.25" r="291" customHeight="1" ht="15.75">
      <c r="A291" s="1"/>
      <c r="B291" s="34"/>
      <c r="C291" s="1"/>
      <c r="D291" s="34"/>
      <c r="E291" s="34"/>
      <c r="F291" s="34"/>
      <c r="G291" s="29"/>
      <c r="H291" s="29"/>
      <c r="I291" s="29"/>
      <c r="J291" s="34"/>
      <c r="K291" s="34"/>
      <c r="L291" s="34"/>
      <c r="M291" s="29"/>
      <c r="N291" s="29"/>
      <c r="O291" s="29"/>
      <c r="P291" s="29"/>
      <c r="Q291" s="34"/>
      <c r="R291" s="34"/>
    </row>
    <row x14ac:dyDescent="0.25" r="292" customHeight="1" ht="15.75">
      <c r="A292" s="1"/>
      <c r="B292" s="34"/>
      <c r="C292" s="1"/>
      <c r="D292" s="34"/>
      <c r="E292" s="34"/>
      <c r="F292" s="34"/>
      <c r="G292" s="29"/>
      <c r="H292" s="29"/>
      <c r="I292" s="29"/>
      <c r="J292" s="34"/>
      <c r="K292" s="34"/>
      <c r="L292" s="34"/>
      <c r="M292" s="29"/>
      <c r="N292" s="29"/>
      <c r="O292" s="29"/>
      <c r="P292" s="29"/>
      <c r="Q292" s="34"/>
      <c r="R292" s="34"/>
    </row>
    <row x14ac:dyDescent="0.25" r="293" customHeight="1" ht="15.75">
      <c r="A293" s="1"/>
      <c r="B293" s="34"/>
      <c r="C293" s="1"/>
      <c r="D293" s="34"/>
      <c r="E293" s="34"/>
      <c r="F293" s="34"/>
      <c r="G293" s="29"/>
      <c r="H293" s="29"/>
      <c r="I293" s="29"/>
      <c r="J293" s="34"/>
      <c r="K293" s="34"/>
      <c r="L293" s="34"/>
      <c r="M293" s="29"/>
      <c r="N293" s="29"/>
      <c r="O293" s="29"/>
      <c r="P293" s="29"/>
      <c r="Q293" s="34"/>
      <c r="R293" s="34"/>
    </row>
    <row x14ac:dyDescent="0.25" r="294" customHeight="1" ht="15.75">
      <c r="A294" s="1"/>
      <c r="B294" s="34"/>
      <c r="C294" s="1"/>
      <c r="D294" s="34"/>
      <c r="E294" s="34"/>
      <c r="F294" s="34"/>
      <c r="G294" s="29"/>
      <c r="H294" s="29"/>
      <c r="I294" s="29"/>
      <c r="J294" s="34"/>
      <c r="K294" s="34"/>
      <c r="L294" s="34"/>
      <c r="M294" s="29"/>
      <c r="N294" s="29"/>
      <c r="O294" s="29"/>
      <c r="P294" s="29"/>
      <c r="Q294" s="34"/>
      <c r="R294" s="34"/>
    </row>
    <row x14ac:dyDescent="0.25" r="295" customHeight="1" ht="15.75">
      <c r="A295" s="1"/>
      <c r="B295" s="34"/>
      <c r="C295" s="1"/>
      <c r="D295" s="34"/>
      <c r="E295" s="34"/>
      <c r="F295" s="34"/>
      <c r="G295" s="29"/>
      <c r="H295" s="29"/>
      <c r="I295" s="29"/>
      <c r="J295" s="34"/>
      <c r="K295" s="34"/>
      <c r="L295" s="34"/>
      <c r="M295" s="29"/>
      <c r="N295" s="29"/>
      <c r="O295" s="29"/>
      <c r="P295" s="29"/>
      <c r="Q295" s="34"/>
      <c r="R295" s="34"/>
    </row>
    <row x14ac:dyDescent="0.25" r="296" customHeight="1" ht="15.75">
      <c r="A296" s="1"/>
      <c r="B296" s="34"/>
      <c r="C296" s="1"/>
      <c r="D296" s="34"/>
      <c r="E296" s="34"/>
      <c r="F296" s="34"/>
      <c r="G296" s="29"/>
      <c r="H296" s="29"/>
      <c r="I296" s="29"/>
      <c r="J296" s="34"/>
      <c r="K296" s="34"/>
      <c r="L296" s="34"/>
      <c r="M296" s="29"/>
      <c r="N296" s="29"/>
      <c r="O296" s="29"/>
      <c r="P296" s="29"/>
      <c r="Q296" s="34"/>
      <c r="R296" s="34"/>
    </row>
    <row x14ac:dyDescent="0.25" r="297" customHeight="1" ht="15.75">
      <c r="A297" s="1"/>
      <c r="B297" s="34"/>
      <c r="C297" s="1"/>
      <c r="D297" s="34"/>
      <c r="E297" s="34"/>
      <c r="F297" s="34"/>
      <c r="G297" s="29"/>
      <c r="H297" s="29"/>
      <c r="I297" s="29"/>
      <c r="J297" s="34"/>
      <c r="K297" s="34"/>
      <c r="L297" s="34"/>
      <c r="M297" s="29"/>
      <c r="N297" s="29"/>
      <c r="O297" s="29"/>
      <c r="P297" s="29"/>
      <c r="Q297" s="34"/>
      <c r="R297" s="34"/>
    </row>
    <row x14ac:dyDescent="0.25" r="298" customHeight="1" ht="15.75">
      <c r="A298" s="1"/>
      <c r="B298" s="34"/>
      <c r="C298" s="1"/>
      <c r="D298" s="34"/>
      <c r="E298" s="34"/>
      <c r="F298" s="34"/>
      <c r="G298" s="29"/>
      <c r="H298" s="29"/>
      <c r="I298" s="29"/>
      <c r="J298" s="34"/>
      <c r="K298" s="34"/>
      <c r="L298" s="34"/>
      <c r="M298" s="29"/>
      <c r="N298" s="29"/>
      <c r="O298" s="29"/>
      <c r="P298" s="29"/>
      <c r="Q298" s="34"/>
      <c r="R298" s="34"/>
    </row>
    <row x14ac:dyDescent="0.25" r="299" customHeight="1" ht="15.75">
      <c r="A299" s="1"/>
      <c r="B299" s="34"/>
      <c r="C299" s="1"/>
      <c r="D299" s="34"/>
      <c r="E299" s="34"/>
      <c r="F299" s="34"/>
      <c r="G299" s="29"/>
      <c r="H299" s="29"/>
      <c r="I299" s="29"/>
      <c r="J299" s="34"/>
      <c r="K299" s="34"/>
      <c r="L299" s="34"/>
      <c r="M299" s="29"/>
      <c r="N299" s="29"/>
      <c r="O299" s="29"/>
      <c r="P299" s="29"/>
      <c r="Q299" s="34"/>
      <c r="R299" s="34"/>
    </row>
    <row x14ac:dyDescent="0.25" r="300" customHeight="1" ht="15.75">
      <c r="A300" s="1"/>
      <c r="B300" s="34"/>
      <c r="C300" s="1"/>
      <c r="D300" s="34"/>
      <c r="E300" s="34"/>
      <c r="F300" s="34"/>
      <c r="G300" s="29"/>
      <c r="H300" s="29"/>
      <c r="I300" s="29"/>
      <c r="J300" s="34"/>
      <c r="K300" s="34"/>
      <c r="L300" s="34"/>
      <c r="M300" s="29"/>
      <c r="N300" s="29"/>
      <c r="O300" s="29"/>
      <c r="P300" s="29"/>
      <c r="Q300" s="34"/>
      <c r="R300" s="34"/>
    </row>
    <row x14ac:dyDescent="0.25" r="301" customHeight="1" ht="15.75">
      <c r="A301" s="1"/>
      <c r="B301" s="34"/>
      <c r="C301" s="1"/>
      <c r="D301" s="34"/>
      <c r="E301" s="34"/>
      <c r="F301" s="34"/>
      <c r="G301" s="29"/>
      <c r="H301" s="29"/>
      <c r="I301" s="29"/>
      <c r="J301" s="34"/>
      <c r="K301" s="34"/>
      <c r="L301" s="34"/>
      <c r="M301" s="29"/>
      <c r="N301" s="29"/>
      <c r="O301" s="29"/>
      <c r="P301" s="29"/>
      <c r="Q301" s="34"/>
      <c r="R301" s="34"/>
    </row>
    <row x14ac:dyDescent="0.25" r="302" customHeight="1" ht="15.75">
      <c r="A302" s="1"/>
      <c r="B302" s="34"/>
      <c r="C302" s="1"/>
      <c r="D302" s="34"/>
      <c r="E302" s="34"/>
      <c r="F302" s="34"/>
      <c r="G302" s="29"/>
      <c r="H302" s="29"/>
      <c r="I302" s="29"/>
      <c r="J302" s="34"/>
      <c r="K302" s="34"/>
      <c r="L302" s="34"/>
      <c r="M302" s="29"/>
      <c r="N302" s="29"/>
      <c r="O302" s="29"/>
      <c r="P302" s="29"/>
      <c r="Q302" s="34"/>
      <c r="R302" s="34"/>
    </row>
    <row x14ac:dyDescent="0.25" r="303" customHeight="1" ht="15.75">
      <c r="A303" s="1"/>
      <c r="B303" s="34"/>
      <c r="C303" s="1"/>
      <c r="D303" s="34"/>
      <c r="E303" s="34"/>
      <c r="F303" s="34"/>
      <c r="G303" s="29"/>
      <c r="H303" s="29"/>
      <c r="I303" s="29"/>
      <c r="J303" s="34"/>
      <c r="K303" s="34"/>
      <c r="L303" s="34"/>
      <c r="M303" s="29"/>
      <c r="N303" s="29"/>
      <c r="O303" s="29"/>
      <c r="P303" s="29"/>
      <c r="Q303" s="34"/>
      <c r="R303" s="34"/>
    </row>
    <row x14ac:dyDescent="0.25" r="304" customHeight="1" ht="15.75">
      <c r="A304" s="1"/>
      <c r="B304" s="34"/>
      <c r="C304" s="1"/>
      <c r="D304" s="34"/>
      <c r="E304" s="34"/>
      <c r="F304" s="34"/>
      <c r="G304" s="29"/>
      <c r="H304" s="29"/>
      <c r="I304" s="29"/>
      <c r="J304" s="34"/>
      <c r="K304" s="34"/>
      <c r="L304" s="34"/>
      <c r="M304" s="29"/>
      <c r="N304" s="29"/>
      <c r="O304" s="29"/>
      <c r="P304" s="29"/>
      <c r="Q304" s="34"/>
      <c r="R304" s="34"/>
    </row>
    <row x14ac:dyDescent="0.25" r="305" customHeight="1" ht="15.75">
      <c r="A305" s="1"/>
      <c r="B305" s="34"/>
      <c r="C305" s="1"/>
      <c r="D305" s="34"/>
      <c r="E305" s="34"/>
      <c r="F305" s="34"/>
      <c r="G305" s="29"/>
      <c r="H305" s="29"/>
      <c r="I305" s="29"/>
      <c r="J305" s="34"/>
      <c r="K305" s="34"/>
      <c r="L305" s="34"/>
      <c r="M305" s="29"/>
      <c r="N305" s="29"/>
      <c r="O305" s="29"/>
      <c r="P305" s="29"/>
      <c r="Q305" s="34"/>
      <c r="R305" s="34"/>
    </row>
    <row x14ac:dyDescent="0.25" r="306" customHeight="1" ht="15.75">
      <c r="A306" s="1"/>
      <c r="B306" s="34"/>
      <c r="C306" s="1"/>
      <c r="D306" s="34"/>
      <c r="E306" s="34"/>
      <c r="F306" s="34"/>
      <c r="G306" s="29"/>
      <c r="H306" s="29"/>
      <c r="I306" s="29"/>
      <c r="J306" s="34"/>
      <c r="K306" s="34"/>
      <c r="L306" s="34"/>
      <c r="M306" s="29"/>
      <c r="N306" s="29"/>
      <c r="O306" s="29"/>
      <c r="P306" s="29"/>
      <c r="Q306" s="34"/>
      <c r="R306" s="34"/>
    </row>
    <row x14ac:dyDescent="0.25" r="307" customHeight="1" ht="15.75">
      <c r="A307" s="1"/>
      <c r="B307" s="34"/>
      <c r="C307" s="1"/>
      <c r="D307" s="34"/>
      <c r="E307" s="34"/>
      <c r="F307" s="34"/>
      <c r="G307" s="29"/>
      <c r="H307" s="29"/>
      <c r="I307" s="29"/>
      <c r="J307" s="34"/>
      <c r="K307" s="34"/>
      <c r="L307" s="34"/>
      <c r="M307" s="29"/>
      <c r="N307" s="29"/>
      <c r="O307" s="29"/>
      <c r="P307" s="29"/>
      <c r="Q307" s="34"/>
      <c r="R307" s="34"/>
    </row>
    <row x14ac:dyDescent="0.25" r="308" customHeight="1" ht="15.75">
      <c r="A308" s="1"/>
      <c r="B308" s="34"/>
      <c r="C308" s="1"/>
      <c r="D308" s="34"/>
      <c r="E308" s="34"/>
      <c r="F308" s="34"/>
      <c r="G308" s="29"/>
      <c r="H308" s="29"/>
      <c r="I308" s="29"/>
      <c r="J308" s="34"/>
      <c r="K308" s="34"/>
      <c r="L308" s="34"/>
      <c r="M308" s="29"/>
      <c r="N308" s="29"/>
      <c r="O308" s="29"/>
      <c r="P308" s="29"/>
      <c r="Q308" s="34"/>
      <c r="R308" s="34"/>
    </row>
    <row x14ac:dyDescent="0.25" r="309" customHeight="1" ht="15.75">
      <c r="A309" s="1"/>
      <c r="B309" s="34"/>
      <c r="C309" s="1"/>
      <c r="D309" s="34"/>
      <c r="E309" s="34"/>
      <c r="F309" s="34"/>
      <c r="G309" s="29"/>
      <c r="H309" s="29"/>
      <c r="I309" s="29"/>
      <c r="J309" s="34"/>
      <c r="K309" s="34"/>
      <c r="L309" s="34"/>
      <c r="M309" s="29"/>
      <c r="N309" s="29"/>
      <c r="O309" s="29"/>
      <c r="P309" s="29"/>
      <c r="Q309" s="34"/>
      <c r="R309" s="34"/>
    </row>
    <row x14ac:dyDescent="0.25" r="310" customHeight="1" ht="15.75">
      <c r="A310" s="1"/>
      <c r="B310" s="34"/>
      <c r="C310" s="1"/>
      <c r="D310" s="34"/>
      <c r="E310" s="34"/>
      <c r="F310" s="34"/>
      <c r="G310" s="29"/>
      <c r="H310" s="29"/>
      <c r="I310" s="29"/>
      <c r="J310" s="34"/>
      <c r="K310" s="34"/>
      <c r="L310" s="34"/>
      <c r="M310" s="29"/>
      <c r="N310" s="29"/>
      <c r="O310" s="29"/>
      <c r="P310" s="29"/>
      <c r="Q310" s="34"/>
      <c r="R310" s="34"/>
    </row>
    <row x14ac:dyDescent="0.25" r="311" customHeight="1" ht="15.75">
      <c r="A311" s="1"/>
      <c r="B311" s="34"/>
      <c r="C311" s="1"/>
      <c r="D311" s="34"/>
      <c r="E311" s="34"/>
      <c r="F311" s="34"/>
      <c r="G311" s="29"/>
      <c r="H311" s="29"/>
      <c r="I311" s="29"/>
      <c r="J311" s="34"/>
      <c r="K311" s="34"/>
      <c r="L311" s="34"/>
      <c r="M311" s="29"/>
      <c r="N311" s="29"/>
      <c r="O311" s="29"/>
      <c r="P311" s="29"/>
      <c r="Q311" s="34"/>
      <c r="R311" s="34"/>
    </row>
    <row x14ac:dyDescent="0.25" r="312" customHeight="1" ht="15.75">
      <c r="A312" s="1"/>
      <c r="B312" s="34"/>
      <c r="C312" s="1"/>
      <c r="D312" s="34"/>
      <c r="E312" s="34"/>
      <c r="F312" s="34"/>
      <c r="G312" s="29"/>
      <c r="H312" s="29"/>
      <c r="I312" s="29"/>
      <c r="J312" s="34"/>
      <c r="K312" s="34"/>
      <c r="L312" s="34"/>
      <c r="M312" s="29"/>
      <c r="N312" s="29"/>
      <c r="O312" s="29"/>
      <c r="P312" s="29"/>
      <c r="Q312" s="34"/>
      <c r="R312" s="34"/>
    </row>
    <row x14ac:dyDescent="0.25" r="313" customHeight="1" ht="15.75">
      <c r="A313" s="1"/>
      <c r="B313" s="34"/>
      <c r="C313" s="1"/>
      <c r="D313" s="34"/>
      <c r="E313" s="34"/>
      <c r="F313" s="34"/>
      <c r="G313" s="29"/>
      <c r="H313" s="29"/>
      <c r="I313" s="29"/>
      <c r="J313" s="34"/>
      <c r="K313" s="34"/>
      <c r="L313" s="34"/>
      <c r="M313" s="29"/>
      <c r="N313" s="29"/>
      <c r="O313" s="29"/>
      <c r="P313" s="29"/>
      <c r="Q313" s="34"/>
      <c r="R313" s="34"/>
    </row>
    <row x14ac:dyDescent="0.25" r="314" customHeight="1" ht="15.75">
      <c r="A314" s="1"/>
      <c r="B314" s="34"/>
      <c r="C314" s="1"/>
      <c r="D314" s="34"/>
      <c r="E314" s="34"/>
      <c r="F314" s="34"/>
      <c r="G314" s="29"/>
      <c r="H314" s="29"/>
      <c r="I314" s="29"/>
      <c r="J314" s="34"/>
      <c r="K314" s="34"/>
      <c r="L314" s="34"/>
      <c r="M314" s="29"/>
      <c r="N314" s="29"/>
      <c r="O314" s="29"/>
      <c r="P314" s="29"/>
      <c r="Q314" s="34"/>
      <c r="R314" s="34"/>
    </row>
    <row x14ac:dyDescent="0.25" r="315" customHeight="1" ht="15.75">
      <c r="A315" s="1"/>
      <c r="B315" s="34"/>
      <c r="C315" s="1"/>
      <c r="D315" s="34"/>
      <c r="E315" s="34"/>
      <c r="F315" s="34"/>
      <c r="G315" s="29"/>
      <c r="H315" s="29"/>
      <c r="I315" s="29"/>
      <c r="J315" s="34"/>
      <c r="K315" s="34"/>
      <c r="L315" s="34"/>
      <c r="M315" s="29"/>
      <c r="N315" s="29"/>
      <c r="O315" s="29"/>
      <c r="P315" s="29"/>
      <c r="Q315" s="34"/>
      <c r="R315" s="34"/>
    </row>
    <row x14ac:dyDescent="0.25" r="316" customHeight="1" ht="15.75">
      <c r="A316" s="1"/>
      <c r="B316" s="34"/>
      <c r="C316" s="1"/>
      <c r="D316" s="34"/>
      <c r="E316" s="34"/>
      <c r="F316" s="34"/>
      <c r="G316" s="29"/>
      <c r="H316" s="29"/>
      <c r="I316" s="29"/>
      <c r="J316" s="34"/>
      <c r="K316" s="34"/>
      <c r="L316" s="34"/>
      <c r="M316" s="29"/>
      <c r="N316" s="29"/>
      <c r="O316" s="29"/>
      <c r="P316" s="29"/>
      <c r="Q316" s="34"/>
      <c r="R316" s="34"/>
    </row>
    <row x14ac:dyDescent="0.25" r="317" customHeight="1" ht="15.75">
      <c r="A317" s="1"/>
      <c r="B317" s="34"/>
      <c r="C317" s="1"/>
      <c r="D317" s="34"/>
      <c r="E317" s="34"/>
      <c r="F317" s="34"/>
      <c r="G317" s="29"/>
      <c r="H317" s="29"/>
      <c r="I317" s="29"/>
      <c r="J317" s="34"/>
      <c r="K317" s="34"/>
      <c r="L317" s="34"/>
      <c r="M317" s="29"/>
      <c r="N317" s="29"/>
      <c r="O317" s="29"/>
      <c r="P317" s="29"/>
      <c r="Q317" s="34"/>
      <c r="R317" s="34"/>
    </row>
    <row x14ac:dyDescent="0.25" r="318" customHeight="1" ht="15.75">
      <c r="A318" s="1"/>
      <c r="B318" s="34"/>
      <c r="C318" s="1"/>
      <c r="D318" s="34"/>
      <c r="E318" s="34"/>
      <c r="F318" s="34"/>
      <c r="G318" s="29"/>
      <c r="H318" s="29"/>
      <c r="I318" s="29"/>
      <c r="J318" s="34"/>
      <c r="K318" s="34"/>
      <c r="L318" s="34"/>
      <c r="M318" s="29"/>
      <c r="N318" s="29"/>
      <c r="O318" s="29"/>
      <c r="P318" s="29"/>
      <c r="Q318" s="34"/>
      <c r="R318" s="34"/>
    </row>
    <row x14ac:dyDescent="0.25" r="319" customHeight="1" ht="15.75">
      <c r="A319" s="1"/>
      <c r="B319" s="34"/>
      <c r="C319" s="1"/>
      <c r="D319" s="34"/>
      <c r="E319" s="34"/>
      <c r="F319" s="34"/>
      <c r="G319" s="29"/>
      <c r="H319" s="29"/>
      <c r="I319" s="29"/>
      <c r="J319" s="34"/>
      <c r="K319" s="34"/>
      <c r="L319" s="34"/>
      <c r="M319" s="29"/>
      <c r="N319" s="29"/>
      <c r="O319" s="29"/>
      <c r="P319" s="29"/>
      <c r="Q319" s="34"/>
      <c r="R319" s="34"/>
    </row>
    <row x14ac:dyDescent="0.25" r="320" customHeight="1" ht="15.75">
      <c r="A320" s="1"/>
      <c r="B320" s="34"/>
      <c r="C320" s="1"/>
      <c r="D320" s="34"/>
      <c r="E320" s="34"/>
      <c r="F320" s="34"/>
      <c r="G320" s="29"/>
      <c r="H320" s="29"/>
      <c r="I320" s="29"/>
      <c r="J320" s="34"/>
      <c r="K320" s="34"/>
      <c r="L320" s="34"/>
      <c r="M320" s="29"/>
      <c r="N320" s="29"/>
      <c r="O320" s="29"/>
      <c r="P320" s="29"/>
      <c r="Q320" s="34"/>
      <c r="R320" s="34"/>
    </row>
    <row x14ac:dyDescent="0.25" r="321" customHeight="1" ht="15.75">
      <c r="A321" s="1"/>
      <c r="B321" s="34"/>
      <c r="C321" s="1"/>
      <c r="D321" s="34"/>
      <c r="E321" s="34"/>
      <c r="F321" s="34"/>
      <c r="G321" s="29"/>
      <c r="H321" s="29"/>
      <c r="I321" s="29"/>
      <c r="J321" s="34"/>
      <c r="K321" s="34"/>
      <c r="L321" s="34"/>
      <c r="M321" s="29"/>
      <c r="N321" s="29"/>
      <c r="O321" s="29"/>
      <c r="P321" s="29"/>
      <c r="Q321" s="34"/>
      <c r="R321" s="34"/>
    </row>
    <row x14ac:dyDescent="0.25" r="322" customHeight="1" ht="15.75">
      <c r="A322" s="1"/>
      <c r="B322" s="34"/>
      <c r="C322" s="1"/>
      <c r="D322" s="34"/>
      <c r="E322" s="34"/>
      <c r="F322" s="34"/>
      <c r="G322" s="29"/>
      <c r="H322" s="29"/>
      <c r="I322" s="29"/>
      <c r="J322" s="34"/>
      <c r="K322" s="34"/>
      <c r="L322" s="34"/>
      <c r="M322" s="29"/>
      <c r="N322" s="29"/>
      <c r="O322" s="29"/>
      <c r="P322" s="29"/>
      <c r="Q322" s="34"/>
      <c r="R322" s="34"/>
    </row>
    <row x14ac:dyDescent="0.25" r="323" customHeight="1" ht="15.75">
      <c r="A323" s="1"/>
      <c r="B323" s="34"/>
      <c r="C323" s="1"/>
      <c r="D323" s="34"/>
      <c r="E323" s="34"/>
      <c r="F323" s="34"/>
      <c r="G323" s="29"/>
      <c r="H323" s="29"/>
      <c r="I323" s="29"/>
      <c r="J323" s="34"/>
      <c r="K323" s="34"/>
      <c r="L323" s="34"/>
      <c r="M323" s="29"/>
      <c r="N323" s="29"/>
      <c r="O323" s="29"/>
      <c r="P323" s="29"/>
      <c r="Q323" s="34"/>
      <c r="R323" s="34"/>
    </row>
    <row x14ac:dyDescent="0.25" r="324" customHeight="1" ht="15.75">
      <c r="A324" s="1"/>
      <c r="B324" s="34"/>
      <c r="C324" s="1"/>
      <c r="D324" s="34"/>
      <c r="E324" s="34"/>
      <c r="F324" s="34"/>
      <c r="G324" s="29"/>
      <c r="H324" s="29"/>
      <c r="I324" s="29"/>
      <c r="J324" s="34"/>
      <c r="K324" s="34"/>
      <c r="L324" s="34"/>
      <c r="M324" s="29"/>
      <c r="N324" s="29"/>
      <c r="O324" s="29"/>
      <c r="P324" s="29"/>
      <c r="Q324" s="34"/>
      <c r="R324" s="34"/>
    </row>
    <row x14ac:dyDescent="0.25" r="325" customHeight="1" ht="15.75">
      <c r="A325" s="1"/>
      <c r="B325" s="34"/>
      <c r="C325" s="1"/>
      <c r="D325" s="34"/>
      <c r="E325" s="34"/>
      <c r="F325" s="34"/>
      <c r="G325" s="29"/>
      <c r="H325" s="29"/>
      <c r="I325" s="29"/>
      <c r="J325" s="34"/>
      <c r="K325" s="34"/>
      <c r="L325" s="34"/>
      <c r="M325" s="29"/>
      <c r="N325" s="29"/>
      <c r="O325" s="29"/>
      <c r="P325" s="29"/>
      <c r="Q325" s="34"/>
      <c r="R325" s="34"/>
    </row>
    <row x14ac:dyDescent="0.25" r="326" customHeight="1" ht="15.75">
      <c r="A326" s="1"/>
      <c r="B326" s="34"/>
      <c r="C326" s="1"/>
      <c r="D326" s="34"/>
      <c r="E326" s="34"/>
      <c r="F326" s="34"/>
      <c r="G326" s="29"/>
      <c r="H326" s="29"/>
      <c r="I326" s="29"/>
      <c r="J326" s="34"/>
      <c r="K326" s="34"/>
      <c r="L326" s="34"/>
      <c r="M326" s="29"/>
      <c r="N326" s="29"/>
      <c r="O326" s="29"/>
      <c r="P326" s="29"/>
      <c r="Q326" s="34"/>
      <c r="R326" s="34"/>
    </row>
    <row x14ac:dyDescent="0.25" r="327" customHeight="1" ht="15.75">
      <c r="A327" s="1"/>
      <c r="B327" s="34"/>
      <c r="C327" s="1"/>
      <c r="D327" s="34"/>
      <c r="E327" s="34"/>
      <c r="F327" s="34"/>
      <c r="G327" s="29"/>
      <c r="H327" s="29"/>
      <c r="I327" s="29"/>
      <c r="J327" s="34"/>
      <c r="K327" s="34"/>
      <c r="L327" s="34"/>
      <c r="M327" s="29"/>
      <c r="N327" s="29"/>
      <c r="O327" s="29"/>
      <c r="P327" s="29"/>
      <c r="Q327" s="34"/>
      <c r="R327" s="34"/>
    </row>
    <row x14ac:dyDescent="0.25" r="328" customHeight="1" ht="15.75">
      <c r="A328" s="1"/>
      <c r="B328" s="34"/>
      <c r="C328" s="1"/>
      <c r="D328" s="34"/>
      <c r="E328" s="34"/>
      <c r="F328" s="34"/>
      <c r="G328" s="29"/>
      <c r="H328" s="29"/>
      <c r="I328" s="29"/>
      <c r="J328" s="34"/>
      <c r="K328" s="34"/>
      <c r="L328" s="34"/>
      <c r="M328" s="29"/>
      <c r="N328" s="29"/>
      <c r="O328" s="29"/>
      <c r="P328" s="29"/>
      <c r="Q328" s="34"/>
      <c r="R328" s="34"/>
    </row>
    <row x14ac:dyDescent="0.25" r="329" customHeight="1" ht="15.75">
      <c r="A329" s="1"/>
      <c r="B329" s="34"/>
      <c r="C329" s="1"/>
      <c r="D329" s="34"/>
      <c r="E329" s="34"/>
      <c r="F329" s="34"/>
      <c r="G329" s="29"/>
      <c r="H329" s="29"/>
      <c r="I329" s="29"/>
      <c r="J329" s="34"/>
      <c r="K329" s="34"/>
      <c r="L329" s="34"/>
      <c r="M329" s="29"/>
      <c r="N329" s="29"/>
      <c r="O329" s="29"/>
      <c r="P329" s="29"/>
      <c r="Q329" s="34"/>
      <c r="R329" s="34"/>
    </row>
    <row x14ac:dyDescent="0.25" r="330" customHeight="1" ht="15.75">
      <c r="A330" s="1"/>
      <c r="B330" s="34"/>
      <c r="C330" s="1"/>
      <c r="D330" s="34"/>
      <c r="E330" s="34"/>
      <c r="F330" s="34"/>
      <c r="G330" s="29"/>
      <c r="H330" s="29"/>
      <c r="I330" s="29"/>
      <c r="J330" s="34"/>
      <c r="K330" s="34"/>
      <c r="L330" s="34"/>
      <c r="M330" s="29"/>
      <c r="N330" s="29"/>
      <c r="O330" s="29"/>
      <c r="P330" s="29"/>
      <c r="Q330" s="34"/>
      <c r="R330" s="34"/>
    </row>
    <row x14ac:dyDescent="0.25" r="331" customHeight="1" ht="15.75">
      <c r="A331" s="1"/>
      <c r="B331" s="34"/>
      <c r="C331" s="1"/>
      <c r="D331" s="34"/>
      <c r="E331" s="34"/>
      <c r="F331" s="34"/>
      <c r="G331" s="29"/>
      <c r="H331" s="29"/>
      <c r="I331" s="29"/>
      <c r="J331" s="34"/>
      <c r="K331" s="34"/>
      <c r="L331" s="34"/>
      <c r="M331" s="29"/>
      <c r="N331" s="29"/>
      <c r="O331" s="29"/>
      <c r="P331" s="29"/>
      <c r="Q331" s="34"/>
      <c r="R331" s="34"/>
    </row>
    <row x14ac:dyDescent="0.25" r="332" customHeight="1" ht="15.75">
      <c r="A332" s="1"/>
      <c r="B332" s="34"/>
      <c r="C332" s="1"/>
      <c r="D332" s="34"/>
      <c r="E332" s="34"/>
      <c r="F332" s="34"/>
      <c r="G332" s="29"/>
      <c r="H332" s="29"/>
      <c r="I332" s="29"/>
      <c r="J332" s="34"/>
      <c r="K332" s="34"/>
      <c r="L332" s="34"/>
      <c r="M332" s="29"/>
      <c r="N332" s="29"/>
      <c r="O332" s="29"/>
      <c r="P332" s="29"/>
      <c r="Q332" s="34"/>
      <c r="R332" s="34"/>
    </row>
    <row x14ac:dyDescent="0.25" r="333" customHeight="1" ht="15.75">
      <c r="A333" s="1"/>
      <c r="B333" s="34"/>
      <c r="C333" s="1"/>
      <c r="D333" s="34"/>
      <c r="E333" s="34"/>
      <c r="F333" s="34"/>
      <c r="G333" s="29"/>
      <c r="H333" s="29"/>
      <c r="I333" s="29"/>
      <c r="J333" s="34"/>
      <c r="K333" s="34"/>
      <c r="L333" s="34"/>
      <c r="M333" s="29"/>
      <c r="N333" s="29"/>
      <c r="O333" s="29"/>
      <c r="P333" s="29"/>
      <c r="Q333" s="34"/>
      <c r="R333" s="34"/>
    </row>
    <row x14ac:dyDescent="0.25" r="334" customHeight="1" ht="15.75">
      <c r="A334" s="1"/>
      <c r="B334" s="34"/>
      <c r="C334" s="1"/>
      <c r="D334" s="34"/>
      <c r="E334" s="34"/>
      <c r="F334" s="34"/>
      <c r="G334" s="29"/>
      <c r="H334" s="29"/>
      <c r="I334" s="29"/>
      <c r="J334" s="34"/>
      <c r="K334" s="34"/>
      <c r="L334" s="34"/>
      <c r="M334" s="29"/>
      <c r="N334" s="29"/>
      <c r="O334" s="29"/>
      <c r="P334" s="29"/>
      <c r="Q334" s="34"/>
      <c r="R334" s="34"/>
    </row>
    <row x14ac:dyDescent="0.25" r="335" customHeight="1" ht="15.75">
      <c r="A335" s="1"/>
      <c r="B335" s="34"/>
      <c r="C335" s="1"/>
      <c r="D335" s="34"/>
      <c r="E335" s="34"/>
      <c r="F335" s="34"/>
      <c r="G335" s="29"/>
      <c r="H335" s="29"/>
      <c r="I335" s="29"/>
      <c r="J335" s="34"/>
      <c r="K335" s="34"/>
      <c r="L335" s="34"/>
      <c r="M335" s="29"/>
      <c r="N335" s="29"/>
      <c r="O335" s="29"/>
      <c r="P335" s="29"/>
      <c r="Q335" s="34"/>
      <c r="R335" s="34"/>
    </row>
    <row x14ac:dyDescent="0.25" r="336" customHeight="1" ht="15.75">
      <c r="A336" s="1"/>
      <c r="B336" s="34"/>
      <c r="C336" s="1"/>
      <c r="D336" s="34"/>
      <c r="E336" s="34"/>
      <c r="F336" s="34"/>
      <c r="G336" s="29"/>
      <c r="H336" s="29"/>
      <c r="I336" s="29"/>
      <c r="J336" s="34"/>
      <c r="K336" s="34"/>
      <c r="L336" s="34"/>
      <c r="M336" s="29"/>
      <c r="N336" s="29"/>
      <c r="O336" s="29"/>
      <c r="P336" s="29"/>
      <c r="Q336" s="34"/>
      <c r="R336" s="34"/>
    </row>
    <row x14ac:dyDescent="0.25" r="337" customHeight="1" ht="15.75">
      <c r="A337" s="1"/>
      <c r="B337" s="34"/>
      <c r="C337" s="1"/>
      <c r="D337" s="34"/>
      <c r="E337" s="34"/>
      <c r="F337" s="34"/>
      <c r="G337" s="29"/>
      <c r="H337" s="29"/>
      <c r="I337" s="29"/>
      <c r="J337" s="34"/>
      <c r="K337" s="34"/>
      <c r="L337" s="34"/>
      <c r="M337" s="29"/>
      <c r="N337" s="29"/>
      <c r="O337" s="29"/>
      <c r="P337" s="29"/>
      <c r="Q337" s="34"/>
      <c r="R337" s="34"/>
    </row>
    <row x14ac:dyDescent="0.25" r="338" customHeight="1" ht="15.75">
      <c r="A338" s="1"/>
      <c r="B338" s="34"/>
      <c r="C338" s="1"/>
      <c r="D338" s="34"/>
      <c r="E338" s="34"/>
      <c r="F338" s="34"/>
      <c r="G338" s="29"/>
      <c r="H338" s="29"/>
      <c r="I338" s="29"/>
      <c r="J338" s="34"/>
      <c r="K338" s="34"/>
      <c r="L338" s="34"/>
      <c r="M338" s="29"/>
      <c r="N338" s="29"/>
      <c r="O338" s="29"/>
      <c r="P338" s="29"/>
      <c r="Q338" s="34"/>
      <c r="R338" s="34"/>
    </row>
    <row x14ac:dyDescent="0.25" r="339" customHeight="1" ht="15.75">
      <c r="A339" s="1"/>
      <c r="B339" s="34"/>
      <c r="C339" s="1"/>
      <c r="D339" s="34"/>
      <c r="E339" s="34"/>
      <c r="F339" s="34"/>
      <c r="G339" s="29"/>
      <c r="H339" s="29"/>
      <c r="I339" s="29"/>
      <c r="J339" s="34"/>
      <c r="K339" s="34"/>
      <c r="L339" s="34"/>
      <c r="M339" s="29"/>
      <c r="N339" s="29"/>
      <c r="O339" s="29"/>
      <c r="P339" s="29"/>
      <c r="Q339" s="34"/>
      <c r="R339" s="34"/>
    </row>
    <row x14ac:dyDescent="0.25" r="340" customHeight="1" ht="15.75">
      <c r="A340" s="1"/>
      <c r="B340" s="34"/>
      <c r="C340" s="1"/>
      <c r="D340" s="34"/>
      <c r="E340" s="34"/>
      <c r="F340" s="34"/>
      <c r="G340" s="29"/>
      <c r="H340" s="29"/>
      <c r="I340" s="29"/>
      <c r="J340" s="34"/>
      <c r="K340" s="34"/>
      <c r="L340" s="34"/>
      <c r="M340" s="29"/>
      <c r="N340" s="29"/>
      <c r="O340" s="29"/>
      <c r="P340" s="29"/>
      <c r="Q340" s="34"/>
      <c r="R340" s="34"/>
    </row>
    <row x14ac:dyDescent="0.25" r="341" customHeight="1" ht="15.75">
      <c r="A341" s="1"/>
      <c r="B341" s="34"/>
      <c r="C341" s="1"/>
      <c r="D341" s="34"/>
      <c r="E341" s="34"/>
      <c r="F341" s="34"/>
      <c r="G341" s="29"/>
      <c r="H341" s="29"/>
      <c r="I341" s="29"/>
      <c r="J341" s="34"/>
      <c r="K341" s="34"/>
      <c r="L341" s="34"/>
      <c r="M341" s="29"/>
      <c r="N341" s="29"/>
      <c r="O341" s="29"/>
      <c r="P341" s="29"/>
      <c r="Q341" s="34"/>
      <c r="R341" s="34"/>
    </row>
    <row x14ac:dyDescent="0.25" r="342" customHeight="1" ht="15.75">
      <c r="A342" s="1"/>
      <c r="B342" s="34"/>
      <c r="C342" s="1"/>
      <c r="D342" s="34"/>
      <c r="E342" s="34"/>
      <c r="F342" s="34"/>
      <c r="G342" s="29"/>
      <c r="H342" s="29"/>
      <c r="I342" s="29"/>
      <c r="J342" s="34"/>
      <c r="K342" s="34"/>
      <c r="L342" s="34"/>
      <c r="M342" s="29"/>
      <c r="N342" s="29"/>
      <c r="O342" s="29"/>
      <c r="P342" s="29"/>
      <c r="Q342" s="34"/>
      <c r="R342" s="34"/>
    </row>
    <row x14ac:dyDescent="0.25" r="343" customHeight="1" ht="15.75">
      <c r="A343" s="1"/>
      <c r="B343" s="34"/>
      <c r="C343" s="1"/>
      <c r="D343" s="34"/>
      <c r="E343" s="34"/>
      <c r="F343" s="34"/>
      <c r="G343" s="29"/>
      <c r="H343" s="29"/>
      <c r="I343" s="29"/>
      <c r="J343" s="34"/>
      <c r="K343" s="34"/>
      <c r="L343" s="34"/>
      <c r="M343" s="29"/>
      <c r="N343" s="29"/>
      <c r="O343" s="29"/>
      <c r="P343" s="29"/>
      <c r="Q343" s="34"/>
      <c r="R343" s="34"/>
    </row>
    <row x14ac:dyDescent="0.25" r="344" customHeight="1" ht="15.75">
      <c r="A344" s="1"/>
      <c r="B344" s="34"/>
      <c r="C344" s="1"/>
      <c r="D344" s="34"/>
      <c r="E344" s="34"/>
      <c r="F344" s="34"/>
      <c r="G344" s="29"/>
      <c r="H344" s="29"/>
      <c r="I344" s="29"/>
      <c r="J344" s="34"/>
      <c r="K344" s="34"/>
      <c r="L344" s="34"/>
      <c r="M344" s="29"/>
      <c r="N344" s="29"/>
      <c r="O344" s="29"/>
      <c r="P344" s="29"/>
      <c r="Q344" s="34"/>
      <c r="R344" s="34"/>
    </row>
    <row x14ac:dyDescent="0.25" r="345" customHeight="1" ht="15.75">
      <c r="A345" s="1"/>
      <c r="B345" s="34"/>
      <c r="C345" s="1"/>
      <c r="D345" s="34"/>
      <c r="E345" s="34"/>
      <c r="F345" s="34"/>
      <c r="G345" s="29"/>
      <c r="H345" s="29"/>
      <c r="I345" s="29"/>
      <c r="J345" s="34"/>
      <c r="K345" s="34"/>
      <c r="L345" s="34"/>
      <c r="M345" s="29"/>
      <c r="N345" s="29"/>
      <c r="O345" s="29"/>
      <c r="P345" s="29"/>
      <c r="Q345" s="34"/>
      <c r="R345" s="34"/>
    </row>
    <row x14ac:dyDescent="0.25" r="346" customHeight="1" ht="15.75">
      <c r="A346" s="1"/>
      <c r="B346" s="34"/>
      <c r="C346" s="1"/>
      <c r="D346" s="34"/>
      <c r="E346" s="34"/>
      <c r="F346" s="34"/>
      <c r="G346" s="29"/>
      <c r="H346" s="29"/>
      <c r="I346" s="29"/>
      <c r="J346" s="34"/>
      <c r="K346" s="34"/>
      <c r="L346" s="34"/>
      <c r="M346" s="29"/>
      <c r="N346" s="29"/>
      <c r="O346" s="29"/>
      <c r="P346" s="29"/>
      <c r="Q346" s="34"/>
      <c r="R346" s="34"/>
    </row>
    <row x14ac:dyDescent="0.25" r="347" customHeight="1" ht="15.75">
      <c r="A347" s="1"/>
      <c r="B347" s="34"/>
      <c r="C347" s="1"/>
      <c r="D347" s="34"/>
      <c r="E347" s="34"/>
      <c r="F347" s="34"/>
      <c r="G347" s="29"/>
      <c r="H347" s="29"/>
      <c r="I347" s="29"/>
      <c r="J347" s="34"/>
      <c r="K347" s="34"/>
      <c r="L347" s="34"/>
      <c r="M347" s="29"/>
      <c r="N347" s="29"/>
      <c r="O347" s="29"/>
      <c r="P347" s="29"/>
      <c r="Q347" s="34"/>
      <c r="R347" s="34"/>
    </row>
    <row x14ac:dyDescent="0.25" r="348" customHeight="1" ht="15.75">
      <c r="A348" s="1"/>
      <c r="B348" s="34"/>
      <c r="C348" s="1"/>
      <c r="D348" s="34"/>
      <c r="E348" s="34"/>
      <c r="F348" s="34"/>
      <c r="G348" s="29"/>
      <c r="H348" s="29"/>
      <c r="I348" s="29"/>
      <c r="J348" s="34"/>
      <c r="K348" s="34"/>
      <c r="L348" s="34"/>
      <c r="M348" s="29"/>
      <c r="N348" s="29"/>
      <c r="O348" s="29"/>
      <c r="P348" s="29"/>
      <c r="Q348" s="34"/>
      <c r="R348" s="34"/>
    </row>
    <row x14ac:dyDescent="0.25" r="349" customHeight="1" ht="15.75">
      <c r="A349" s="1"/>
      <c r="B349" s="34"/>
      <c r="C349" s="1"/>
      <c r="D349" s="34"/>
      <c r="E349" s="34"/>
      <c r="F349" s="34"/>
      <c r="G349" s="29"/>
      <c r="H349" s="29"/>
      <c r="I349" s="29"/>
      <c r="J349" s="34"/>
      <c r="K349" s="34"/>
      <c r="L349" s="34"/>
      <c r="M349" s="29"/>
      <c r="N349" s="29"/>
      <c r="O349" s="29"/>
      <c r="P349" s="29"/>
      <c r="Q349" s="34"/>
      <c r="R349" s="34"/>
    </row>
    <row x14ac:dyDescent="0.25" r="350" customHeight="1" ht="15.75">
      <c r="A350" s="1"/>
      <c r="B350" s="34"/>
      <c r="C350" s="1"/>
      <c r="D350" s="34"/>
      <c r="E350" s="34"/>
      <c r="F350" s="34"/>
      <c r="G350" s="29"/>
      <c r="H350" s="29"/>
      <c r="I350" s="29"/>
      <c r="J350" s="34"/>
      <c r="K350" s="34"/>
      <c r="L350" s="34"/>
      <c r="M350" s="29"/>
      <c r="N350" s="29"/>
      <c r="O350" s="29"/>
      <c r="P350" s="29"/>
      <c r="Q350" s="34"/>
      <c r="R350" s="34"/>
    </row>
    <row x14ac:dyDescent="0.25" r="351" customHeight="1" ht="15.75">
      <c r="A351" s="1"/>
      <c r="B351" s="34"/>
      <c r="C351" s="1"/>
      <c r="D351" s="34"/>
      <c r="E351" s="34"/>
      <c r="F351" s="34"/>
      <c r="G351" s="29"/>
      <c r="H351" s="29"/>
      <c r="I351" s="29"/>
      <c r="J351" s="34"/>
      <c r="K351" s="34"/>
      <c r="L351" s="34"/>
      <c r="M351" s="29"/>
      <c r="N351" s="29"/>
      <c r="O351" s="29"/>
      <c r="P351" s="29"/>
      <c r="Q351" s="34"/>
      <c r="R351" s="34"/>
    </row>
    <row x14ac:dyDescent="0.25" r="352" customHeight="1" ht="15.75">
      <c r="A352" s="1"/>
      <c r="B352" s="34"/>
      <c r="C352" s="1"/>
      <c r="D352" s="34"/>
      <c r="E352" s="34"/>
      <c r="F352" s="34"/>
      <c r="G352" s="29"/>
      <c r="H352" s="29"/>
      <c r="I352" s="29"/>
      <c r="J352" s="34"/>
      <c r="K352" s="34"/>
      <c r="L352" s="34"/>
      <c r="M352" s="29"/>
      <c r="N352" s="29"/>
      <c r="O352" s="29"/>
      <c r="P352" s="29"/>
      <c r="Q352" s="34"/>
      <c r="R352" s="34"/>
    </row>
    <row x14ac:dyDescent="0.25" r="353" customHeight="1" ht="15.75">
      <c r="A353" s="1"/>
      <c r="B353" s="34"/>
      <c r="C353" s="1"/>
      <c r="D353" s="34"/>
      <c r="E353" s="34"/>
      <c r="F353" s="34"/>
      <c r="G353" s="29"/>
      <c r="H353" s="29"/>
      <c r="I353" s="29"/>
      <c r="J353" s="34"/>
      <c r="K353" s="34"/>
      <c r="L353" s="34"/>
      <c r="M353" s="29"/>
      <c r="N353" s="29"/>
      <c r="O353" s="29"/>
      <c r="P353" s="29"/>
      <c r="Q353" s="34"/>
      <c r="R353" s="34"/>
    </row>
    <row x14ac:dyDescent="0.25" r="354" customHeight="1" ht="15.75">
      <c r="A354" s="1"/>
      <c r="B354" s="34"/>
      <c r="C354" s="1"/>
      <c r="D354" s="34"/>
      <c r="E354" s="34"/>
      <c r="F354" s="34"/>
      <c r="G354" s="29"/>
      <c r="H354" s="29"/>
      <c r="I354" s="29"/>
      <c r="J354" s="34"/>
      <c r="K354" s="34"/>
      <c r="L354" s="34"/>
      <c r="M354" s="29"/>
      <c r="N354" s="29"/>
      <c r="O354" s="29"/>
      <c r="P354" s="29"/>
      <c r="Q354" s="34"/>
      <c r="R354" s="34"/>
    </row>
    <row x14ac:dyDescent="0.25" r="355" customHeight="1" ht="15.75">
      <c r="A355" s="1"/>
      <c r="B355" s="34"/>
      <c r="C355" s="1"/>
      <c r="D355" s="34"/>
      <c r="E355" s="34"/>
      <c r="F355" s="34"/>
      <c r="G355" s="29"/>
      <c r="H355" s="29"/>
      <c r="I355" s="29"/>
      <c r="J355" s="34"/>
      <c r="K355" s="34"/>
      <c r="L355" s="34"/>
      <c r="M355" s="29"/>
      <c r="N355" s="29"/>
      <c r="O355" s="29"/>
      <c r="P355" s="29"/>
      <c r="Q355" s="34"/>
      <c r="R355" s="34"/>
    </row>
    <row x14ac:dyDescent="0.25" r="356" customHeight="1" ht="15.75">
      <c r="A356" s="1"/>
      <c r="B356" s="34"/>
      <c r="C356" s="1"/>
      <c r="D356" s="34"/>
      <c r="E356" s="34"/>
      <c r="F356" s="34"/>
      <c r="G356" s="29"/>
      <c r="H356" s="29"/>
      <c r="I356" s="29"/>
      <c r="J356" s="34"/>
      <c r="K356" s="34"/>
      <c r="L356" s="34"/>
      <c r="M356" s="29"/>
      <c r="N356" s="29"/>
      <c r="O356" s="29"/>
      <c r="P356" s="29"/>
      <c r="Q356" s="34"/>
      <c r="R356" s="34"/>
    </row>
    <row x14ac:dyDescent="0.25" r="357" customHeight="1" ht="15.75">
      <c r="A357" s="1"/>
      <c r="B357" s="34"/>
      <c r="C357" s="1"/>
      <c r="D357" s="34"/>
      <c r="E357" s="34"/>
      <c r="F357" s="34"/>
      <c r="G357" s="29"/>
      <c r="H357" s="29"/>
      <c r="I357" s="29"/>
      <c r="J357" s="34"/>
      <c r="K357" s="34"/>
      <c r="L357" s="34"/>
      <c r="M357" s="29"/>
      <c r="N357" s="29"/>
      <c r="O357" s="29"/>
      <c r="P357" s="29"/>
      <c r="Q357" s="34"/>
      <c r="R357" s="34"/>
    </row>
    <row x14ac:dyDescent="0.25" r="358" customHeight="1" ht="15.75">
      <c r="A358" s="1"/>
      <c r="B358" s="34"/>
      <c r="C358" s="1"/>
      <c r="D358" s="34"/>
      <c r="E358" s="34"/>
      <c r="F358" s="34"/>
      <c r="G358" s="29"/>
      <c r="H358" s="29"/>
      <c r="I358" s="29"/>
      <c r="J358" s="34"/>
      <c r="K358" s="34"/>
      <c r="L358" s="34"/>
      <c r="M358" s="29"/>
      <c r="N358" s="29"/>
      <c r="O358" s="29"/>
      <c r="P358" s="29"/>
      <c r="Q358" s="34"/>
      <c r="R358" s="34"/>
    </row>
    <row x14ac:dyDescent="0.25" r="359" customHeight="1" ht="15.75">
      <c r="A359" s="1"/>
      <c r="B359" s="34"/>
      <c r="C359" s="1"/>
      <c r="D359" s="34"/>
      <c r="E359" s="34"/>
      <c r="F359" s="34"/>
      <c r="G359" s="29"/>
      <c r="H359" s="29"/>
      <c r="I359" s="29"/>
      <c r="J359" s="34"/>
      <c r="K359" s="34"/>
      <c r="L359" s="34"/>
      <c r="M359" s="29"/>
      <c r="N359" s="29"/>
      <c r="O359" s="29"/>
      <c r="P359" s="29"/>
      <c r="Q359" s="34"/>
      <c r="R359" s="34"/>
    </row>
    <row x14ac:dyDescent="0.25" r="360" customHeight="1" ht="15.75">
      <c r="A360" s="1"/>
      <c r="B360" s="34"/>
      <c r="C360" s="1"/>
      <c r="D360" s="34"/>
      <c r="E360" s="34"/>
      <c r="F360" s="34"/>
      <c r="G360" s="29"/>
      <c r="H360" s="29"/>
      <c r="I360" s="29"/>
      <c r="J360" s="34"/>
      <c r="K360" s="34"/>
      <c r="L360" s="34"/>
      <c r="M360" s="29"/>
      <c r="N360" s="29"/>
      <c r="O360" s="29"/>
      <c r="P360" s="29"/>
      <c r="Q360" s="34"/>
      <c r="R360" s="34"/>
    </row>
    <row x14ac:dyDescent="0.25" r="361" customHeight="1" ht="15.75">
      <c r="A361" s="1"/>
      <c r="B361" s="34"/>
      <c r="C361" s="1"/>
      <c r="D361" s="34"/>
      <c r="E361" s="34"/>
      <c r="F361" s="34"/>
      <c r="G361" s="29"/>
      <c r="H361" s="29"/>
      <c r="I361" s="29"/>
      <c r="J361" s="34"/>
      <c r="K361" s="34"/>
      <c r="L361" s="34"/>
      <c r="M361" s="29"/>
      <c r="N361" s="29"/>
      <c r="O361" s="29"/>
      <c r="P361" s="29"/>
      <c r="Q361" s="34"/>
      <c r="R361" s="34"/>
    </row>
    <row x14ac:dyDescent="0.25" r="362" customHeight="1" ht="15.75">
      <c r="A362" s="1"/>
      <c r="B362" s="34"/>
      <c r="C362" s="1"/>
      <c r="D362" s="34"/>
      <c r="E362" s="34"/>
      <c r="F362" s="34"/>
      <c r="G362" s="29"/>
      <c r="H362" s="29"/>
      <c r="I362" s="29"/>
      <c r="J362" s="34"/>
      <c r="K362" s="34"/>
      <c r="L362" s="34"/>
      <c r="M362" s="29"/>
      <c r="N362" s="29"/>
      <c r="O362" s="29"/>
      <c r="P362" s="29"/>
      <c r="Q362" s="34"/>
      <c r="R362" s="34"/>
    </row>
    <row x14ac:dyDescent="0.25" r="363" customHeight="1" ht="15.75">
      <c r="A363" s="1"/>
      <c r="B363" s="34"/>
      <c r="C363" s="1"/>
      <c r="D363" s="34"/>
      <c r="E363" s="34"/>
      <c r="F363" s="34"/>
      <c r="G363" s="29"/>
      <c r="H363" s="29"/>
      <c r="I363" s="29"/>
      <c r="J363" s="34"/>
      <c r="K363" s="34"/>
      <c r="L363" s="34"/>
      <c r="M363" s="29"/>
      <c r="N363" s="29"/>
      <c r="O363" s="29"/>
      <c r="P363" s="29"/>
      <c r="Q363" s="34"/>
      <c r="R363" s="34"/>
    </row>
    <row x14ac:dyDescent="0.25" r="364" customHeight="1" ht="15.75">
      <c r="A364" s="1"/>
      <c r="B364" s="34"/>
      <c r="C364" s="1"/>
      <c r="D364" s="34"/>
      <c r="E364" s="34"/>
      <c r="F364" s="34"/>
      <c r="G364" s="29"/>
      <c r="H364" s="29"/>
      <c r="I364" s="29"/>
      <c r="J364" s="34"/>
      <c r="K364" s="34"/>
      <c r="L364" s="34"/>
      <c r="M364" s="29"/>
      <c r="N364" s="29"/>
      <c r="O364" s="29"/>
      <c r="P364" s="29"/>
      <c r="Q364" s="34"/>
      <c r="R364" s="34"/>
    </row>
    <row x14ac:dyDescent="0.25" r="365" customHeight="1" ht="15.75">
      <c r="A365" s="1"/>
      <c r="B365" s="34"/>
      <c r="C365" s="1"/>
      <c r="D365" s="34"/>
      <c r="E365" s="34"/>
      <c r="F365" s="34"/>
      <c r="G365" s="29"/>
      <c r="H365" s="29"/>
      <c r="I365" s="29"/>
      <c r="J365" s="34"/>
      <c r="K365" s="34"/>
      <c r="L365" s="34"/>
      <c r="M365" s="29"/>
      <c r="N365" s="29"/>
      <c r="O365" s="29"/>
      <c r="P365" s="29"/>
      <c r="Q365" s="34"/>
      <c r="R365" s="34"/>
    </row>
    <row x14ac:dyDescent="0.25" r="366" customHeight="1" ht="15.75">
      <c r="A366" s="1"/>
      <c r="B366" s="34"/>
      <c r="C366" s="1"/>
      <c r="D366" s="34"/>
      <c r="E366" s="34"/>
      <c r="F366" s="34"/>
      <c r="G366" s="29"/>
      <c r="H366" s="29"/>
      <c r="I366" s="29"/>
      <c r="J366" s="34"/>
      <c r="K366" s="34"/>
      <c r="L366" s="34"/>
      <c r="M366" s="29"/>
      <c r="N366" s="29"/>
      <c r="O366" s="29"/>
      <c r="P366" s="29"/>
      <c r="Q366" s="34"/>
      <c r="R366" s="34"/>
    </row>
    <row x14ac:dyDescent="0.25" r="367" customHeight="1" ht="15.75">
      <c r="A367" s="1"/>
      <c r="B367" s="34"/>
      <c r="C367" s="1"/>
      <c r="D367" s="34"/>
      <c r="E367" s="34"/>
      <c r="F367" s="34"/>
      <c r="G367" s="29"/>
      <c r="H367" s="29"/>
      <c r="I367" s="29"/>
      <c r="J367" s="34"/>
      <c r="K367" s="34"/>
      <c r="L367" s="34"/>
      <c r="M367" s="29"/>
      <c r="N367" s="29"/>
      <c r="O367" s="29"/>
      <c r="P367" s="29"/>
      <c r="Q367" s="34"/>
      <c r="R367" s="34"/>
    </row>
    <row x14ac:dyDescent="0.25" r="368" customHeight="1" ht="15.75">
      <c r="A368" s="1"/>
      <c r="B368" s="34"/>
      <c r="C368" s="1"/>
      <c r="D368" s="34"/>
      <c r="E368" s="34"/>
      <c r="F368" s="34"/>
      <c r="G368" s="29"/>
      <c r="H368" s="29"/>
      <c r="I368" s="29"/>
      <c r="J368" s="34"/>
      <c r="K368" s="34"/>
      <c r="L368" s="34"/>
      <c r="M368" s="29"/>
      <c r="N368" s="29"/>
      <c r="O368" s="29"/>
      <c r="P368" s="29"/>
      <c r="Q368" s="34"/>
      <c r="R368" s="34"/>
    </row>
    <row x14ac:dyDescent="0.25" r="369" customHeight="1" ht="15.75">
      <c r="A369" s="1"/>
      <c r="B369" s="34"/>
      <c r="C369" s="1"/>
      <c r="D369" s="34"/>
      <c r="E369" s="34"/>
      <c r="F369" s="34"/>
      <c r="G369" s="29"/>
      <c r="H369" s="29"/>
      <c r="I369" s="29"/>
      <c r="J369" s="34"/>
      <c r="K369" s="34"/>
      <c r="L369" s="34"/>
      <c r="M369" s="29"/>
      <c r="N369" s="29"/>
      <c r="O369" s="29"/>
      <c r="P369" s="29"/>
      <c r="Q369" s="34"/>
      <c r="R369" s="34"/>
    </row>
    <row x14ac:dyDescent="0.25" r="370" customHeight="1" ht="15.75">
      <c r="A370" s="1"/>
      <c r="B370" s="34"/>
      <c r="C370" s="1"/>
      <c r="D370" s="34"/>
      <c r="E370" s="34"/>
      <c r="F370" s="34"/>
      <c r="G370" s="29"/>
      <c r="H370" s="29"/>
      <c r="I370" s="29"/>
      <c r="J370" s="34"/>
      <c r="K370" s="34"/>
      <c r="L370" s="34"/>
      <c r="M370" s="29"/>
      <c r="N370" s="29"/>
      <c r="O370" s="29"/>
      <c r="P370" s="29"/>
      <c r="Q370" s="34"/>
      <c r="R370" s="34"/>
    </row>
    <row x14ac:dyDescent="0.25" r="371" customHeight="1" ht="15.75">
      <c r="A371" s="1"/>
      <c r="B371" s="34"/>
      <c r="C371" s="1"/>
      <c r="D371" s="34"/>
      <c r="E371" s="34"/>
      <c r="F371" s="34"/>
      <c r="G371" s="29"/>
      <c r="H371" s="29"/>
      <c r="I371" s="29"/>
      <c r="J371" s="34"/>
      <c r="K371" s="34"/>
      <c r="L371" s="34"/>
      <c r="M371" s="29"/>
      <c r="N371" s="29"/>
      <c r="O371" s="29"/>
      <c r="P371" s="29"/>
      <c r="Q371" s="34"/>
      <c r="R371" s="34"/>
    </row>
    <row x14ac:dyDescent="0.25" r="372" customHeight="1" ht="15.75">
      <c r="A372" s="1"/>
      <c r="B372" s="34"/>
      <c r="C372" s="1"/>
      <c r="D372" s="34"/>
      <c r="E372" s="34"/>
      <c r="F372" s="34"/>
      <c r="G372" s="29"/>
      <c r="H372" s="29"/>
      <c r="I372" s="29"/>
      <c r="J372" s="34"/>
      <c r="K372" s="34"/>
      <c r="L372" s="34"/>
      <c r="M372" s="29"/>
      <c r="N372" s="29"/>
      <c r="O372" s="29"/>
      <c r="P372" s="29"/>
      <c r="Q372" s="34"/>
      <c r="R372" s="34"/>
    </row>
    <row x14ac:dyDescent="0.25" r="373" customHeight="1" ht="15.75">
      <c r="A373" s="1"/>
      <c r="B373" s="34"/>
      <c r="C373" s="1"/>
      <c r="D373" s="34"/>
      <c r="E373" s="34"/>
      <c r="F373" s="34"/>
      <c r="G373" s="29"/>
      <c r="H373" s="29"/>
      <c r="I373" s="29"/>
      <c r="J373" s="34"/>
      <c r="K373" s="34"/>
      <c r="L373" s="34"/>
      <c r="M373" s="29"/>
      <c r="N373" s="29"/>
      <c r="O373" s="29"/>
      <c r="P373" s="29"/>
      <c r="Q373" s="34"/>
      <c r="R373" s="34"/>
    </row>
    <row x14ac:dyDescent="0.25" r="374" customHeight="1" ht="15.75">
      <c r="A374" s="1"/>
      <c r="B374" s="34"/>
      <c r="C374" s="1"/>
      <c r="D374" s="34"/>
      <c r="E374" s="34"/>
      <c r="F374" s="34"/>
      <c r="G374" s="29"/>
      <c r="H374" s="29"/>
      <c r="I374" s="29"/>
      <c r="J374" s="34"/>
      <c r="K374" s="34"/>
      <c r="L374" s="34"/>
      <c r="M374" s="29"/>
      <c r="N374" s="29"/>
      <c r="O374" s="29"/>
      <c r="P374" s="29"/>
      <c r="Q374" s="34"/>
      <c r="R374" s="34"/>
    </row>
    <row x14ac:dyDescent="0.25" r="375" customHeight="1" ht="15.75">
      <c r="A375" s="1"/>
      <c r="B375" s="34"/>
      <c r="C375" s="1"/>
      <c r="D375" s="34"/>
      <c r="E375" s="34"/>
      <c r="F375" s="34"/>
      <c r="G375" s="29"/>
      <c r="H375" s="29"/>
      <c r="I375" s="29"/>
      <c r="J375" s="34"/>
      <c r="K375" s="34"/>
      <c r="L375" s="34"/>
      <c r="M375" s="29"/>
      <c r="N375" s="29"/>
      <c r="O375" s="29"/>
      <c r="P375" s="29"/>
      <c r="Q375" s="34"/>
      <c r="R375" s="34"/>
    </row>
    <row x14ac:dyDescent="0.25" r="376" customHeight="1" ht="15.75">
      <c r="A376" s="1"/>
      <c r="B376" s="34"/>
      <c r="C376" s="1"/>
      <c r="D376" s="34"/>
      <c r="E376" s="34"/>
      <c r="F376" s="34"/>
      <c r="G376" s="29"/>
      <c r="H376" s="29"/>
      <c r="I376" s="29"/>
      <c r="J376" s="34"/>
      <c r="K376" s="34"/>
      <c r="L376" s="34"/>
      <c r="M376" s="29"/>
      <c r="N376" s="29"/>
      <c r="O376" s="29"/>
      <c r="P376" s="29"/>
      <c r="Q376" s="34"/>
      <c r="R376" s="34"/>
    </row>
    <row x14ac:dyDescent="0.25" r="377" customHeight="1" ht="15.75">
      <c r="A377" s="1"/>
      <c r="B377" s="34"/>
      <c r="C377" s="1"/>
      <c r="D377" s="34"/>
      <c r="E377" s="34"/>
      <c r="F377" s="34"/>
      <c r="G377" s="29"/>
      <c r="H377" s="29"/>
      <c r="I377" s="29"/>
      <c r="J377" s="34"/>
      <c r="K377" s="34"/>
      <c r="L377" s="34"/>
      <c r="M377" s="29"/>
      <c r="N377" s="29"/>
      <c r="O377" s="29"/>
      <c r="P377" s="29"/>
      <c r="Q377" s="34"/>
      <c r="R377" s="34"/>
    </row>
    <row x14ac:dyDescent="0.25" r="378" customHeight="1" ht="15.75">
      <c r="A378" s="1"/>
      <c r="B378" s="34"/>
      <c r="C378" s="1"/>
      <c r="D378" s="34"/>
      <c r="E378" s="34"/>
      <c r="F378" s="34"/>
      <c r="G378" s="29"/>
      <c r="H378" s="29"/>
      <c r="I378" s="29"/>
      <c r="J378" s="34"/>
      <c r="K378" s="34"/>
      <c r="L378" s="34"/>
      <c r="M378" s="29"/>
      <c r="N378" s="29"/>
      <c r="O378" s="29"/>
      <c r="P378" s="29"/>
      <c r="Q378" s="34"/>
      <c r="R378" s="34"/>
    </row>
    <row x14ac:dyDescent="0.25" r="379" customHeight="1" ht="15.75">
      <c r="A379" s="1"/>
      <c r="B379" s="34"/>
      <c r="C379" s="1"/>
      <c r="D379" s="34"/>
      <c r="E379" s="34"/>
      <c r="F379" s="34"/>
      <c r="G379" s="29"/>
      <c r="H379" s="29"/>
      <c r="I379" s="29"/>
      <c r="J379" s="34"/>
      <c r="K379" s="34"/>
      <c r="L379" s="34"/>
      <c r="M379" s="29"/>
      <c r="N379" s="29"/>
      <c r="O379" s="29"/>
      <c r="P379" s="29"/>
      <c r="Q379" s="34"/>
      <c r="R379" s="34"/>
    </row>
    <row x14ac:dyDescent="0.25" r="380" customHeight="1" ht="15.75">
      <c r="A380" s="1"/>
      <c r="B380" s="34"/>
      <c r="C380" s="1"/>
      <c r="D380" s="34"/>
      <c r="E380" s="34"/>
      <c r="F380" s="34"/>
      <c r="G380" s="29"/>
      <c r="H380" s="29"/>
      <c r="I380" s="29"/>
      <c r="J380" s="34"/>
      <c r="K380" s="34"/>
      <c r="L380" s="34"/>
      <c r="M380" s="29"/>
      <c r="N380" s="29"/>
      <c r="O380" s="29"/>
      <c r="P380" s="29"/>
      <c r="Q380" s="34"/>
      <c r="R380" s="34"/>
    </row>
    <row x14ac:dyDescent="0.25" r="381" customHeight="1" ht="15.75">
      <c r="A381" s="1"/>
      <c r="B381" s="34"/>
      <c r="C381" s="1"/>
      <c r="D381" s="34"/>
      <c r="E381" s="34"/>
      <c r="F381" s="34"/>
      <c r="G381" s="29"/>
      <c r="H381" s="29"/>
      <c r="I381" s="29"/>
      <c r="J381" s="34"/>
      <c r="K381" s="34"/>
      <c r="L381" s="34"/>
      <c r="M381" s="29"/>
      <c r="N381" s="29"/>
      <c r="O381" s="29"/>
      <c r="P381" s="29"/>
      <c r="Q381" s="34"/>
      <c r="R381" s="34"/>
    </row>
    <row x14ac:dyDescent="0.25" r="382" customHeight="1" ht="15.75">
      <c r="A382" s="1"/>
      <c r="B382" s="34"/>
      <c r="C382" s="1"/>
      <c r="D382" s="34"/>
      <c r="E382" s="34"/>
      <c r="F382" s="34"/>
      <c r="G382" s="29"/>
      <c r="H382" s="29"/>
      <c r="I382" s="29"/>
      <c r="J382" s="34"/>
      <c r="K382" s="34"/>
      <c r="L382" s="34"/>
      <c r="M382" s="29"/>
      <c r="N382" s="29"/>
      <c r="O382" s="29"/>
      <c r="P382" s="29"/>
      <c r="Q382" s="34"/>
      <c r="R382" s="34"/>
    </row>
    <row x14ac:dyDescent="0.25" r="383" customHeight="1" ht="15.75">
      <c r="A383" s="1"/>
      <c r="B383" s="34"/>
      <c r="C383" s="1"/>
      <c r="D383" s="34"/>
      <c r="E383" s="34"/>
      <c r="F383" s="34"/>
      <c r="G383" s="29"/>
      <c r="H383" s="29"/>
      <c r="I383" s="29"/>
      <c r="J383" s="34"/>
      <c r="K383" s="34"/>
      <c r="L383" s="34"/>
      <c r="M383" s="29"/>
      <c r="N383" s="29"/>
      <c r="O383" s="29"/>
      <c r="P383" s="29"/>
      <c r="Q383" s="34"/>
      <c r="R383" s="34"/>
    </row>
    <row x14ac:dyDescent="0.25" r="384" customHeight="1" ht="15.75">
      <c r="A384" s="1"/>
      <c r="B384" s="34"/>
      <c r="C384" s="1"/>
      <c r="D384" s="34"/>
      <c r="E384" s="34"/>
      <c r="F384" s="34"/>
      <c r="G384" s="29"/>
      <c r="H384" s="29"/>
      <c r="I384" s="29"/>
      <c r="J384" s="34"/>
      <c r="K384" s="34"/>
      <c r="L384" s="34"/>
      <c r="M384" s="29"/>
      <c r="N384" s="29"/>
      <c r="O384" s="29"/>
      <c r="P384" s="29"/>
      <c r="Q384" s="34"/>
      <c r="R384" s="34"/>
    </row>
    <row x14ac:dyDescent="0.25" r="385" customHeight="1" ht="15.75">
      <c r="A385" s="1"/>
      <c r="B385" s="34"/>
      <c r="C385" s="1"/>
      <c r="D385" s="34"/>
      <c r="E385" s="34"/>
      <c r="F385" s="34"/>
      <c r="G385" s="29"/>
      <c r="H385" s="29"/>
      <c r="I385" s="29"/>
      <c r="J385" s="34"/>
      <c r="K385" s="34"/>
      <c r="L385" s="34"/>
      <c r="M385" s="29"/>
      <c r="N385" s="29"/>
      <c r="O385" s="29"/>
      <c r="P385" s="29"/>
      <c r="Q385" s="34"/>
      <c r="R385" s="34"/>
    </row>
    <row x14ac:dyDescent="0.25" r="386" customHeight="1" ht="15.75">
      <c r="A386" s="1"/>
      <c r="B386" s="34"/>
      <c r="C386" s="1"/>
      <c r="D386" s="34"/>
      <c r="E386" s="34"/>
      <c r="F386" s="34"/>
      <c r="G386" s="29"/>
      <c r="H386" s="29"/>
      <c r="I386" s="29"/>
      <c r="J386" s="34"/>
      <c r="K386" s="34"/>
      <c r="L386" s="34"/>
      <c r="M386" s="29"/>
      <c r="N386" s="29"/>
      <c r="O386" s="29"/>
      <c r="P386" s="29"/>
      <c r="Q386" s="34"/>
      <c r="R386" s="34"/>
    </row>
    <row x14ac:dyDescent="0.25" r="387" customHeight="1" ht="15.75">
      <c r="A387" s="1"/>
      <c r="B387" s="34"/>
      <c r="C387" s="1"/>
      <c r="D387" s="34"/>
      <c r="E387" s="34"/>
      <c r="F387" s="34"/>
      <c r="G387" s="29"/>
      <c r="H387" s="29"/>
      <c r="I387" s="29"/>
      <c r="J387" s="34"/>
      <c r="K387" s="34"/>
      <c r="L387" s="34"/>
      <c r="M387" s="29"/>
      <c r="N387" s="29"/>
      <c r="O387" s="29"/>
      <c r="P387" s="29"/>
      <c r="Q387" s="34"/>
      <c r="R387" s="34"/>
    </row>
    <row x14ac:dyDescent="0.25" r="388" customHeight="1" ht="15.75">
      <c r="A388" s="1"/>
      <c r="B388" s="34"/>
      <c r="C388" s="1"/>
      <c r="D388" s="34"/>
      <c r="E388" s="34"/>
      <c r="F388" s="34"/>
      <c r="G388" s="29"/>
      <c r="H388" s="29"/>
      <c r="I388" s="29"/>
      <c r="J388" s="34"/>
      <c r="K388" s="34"/>
      <c r="L388" s="34"/>
      <c r="M388" s="29"/>
      <c r="N388" s="29"/>
      <c r="O388" s="29"/>
      <c r="P388" s="29"/>
      <c r="Q388" s="34"/>
      <c r="R388" s="34"/>
    </row>
    <row x14ac:dyDescent="0.25" r="389" customHeight="1" ht="15.75">
      <c r="A389" s="1"/>
      <c r="B389" s="34"/>
      <c r="C389" s="1"/>
      <c r="D389" s="34"/>
      <c r="E389" s="34"/>
      <c r="F389" s="34"/>
      <c r="G389" s="29"/>
      <c r="H389" s="29"/>
      <c r="I389" s="29"/>
      <c r="J389" s="34"/>
      <c r="K389" s="34"/>
      <c r="L389" s="34"/>
      <c r="M389" s="29"/>
      <c r="N389" s="29"/>
      <c r="O389" s="29"/>
      <c r="P389" s="29"/>
      <c r="Q389" s="34"/>
      <c r="R389" s="34"/>
    </row>
    <row x14ac:dyDescent="0.25" r="390" customHeight="1" ht="15.75">
      <c r="A390" s="1"/>
      <c r="B390" s="34"/>
      <c r="C390" s="1"/>
      <c r="D390" s="34"/>
      <c r="E390" s="34"/>
      <c r="F390" s="34"/>
      <c r="G390" s="29"/>
      <c r="H390" s="29"/>
      <c r="I390" s="29"/>
      <c r="J390" s="34"/>
      <c r="K390" s="34"/>
      <c r="L390" s="34"/>
      <c r="M390" s="29"/>
      <c r="N390" s="29"/>
      <c r="O390" s="29"/>
      <c r="P390" s="29"/>
      <c r="Q390" s="34"/>
      <c r="R390" s="34"/>
    </row>
    <row x14ac:dyDescent="0.25" r="391" customHeight="1" ht="15.75">
      <c r="A391" s="1"/>
      <c r="B391" s="34"/>
      <c r="C391" s="1"/>
      <c r="D391" s="34"/>
      <c r="E391" s="34"/>
      <c r="F391" s="34"/>
      <c r="G391" s="29"/>
      <c r="H391" s="29"/>
      <c r="I391" s="29"/>
      <c r="J391" s="34"/>
      <c r="K391" s="34"/>
      <c r="L391" s="34"/>
      <c r="M391" s="29"/>
      <c r="N391" s="29"/>
      <c r="O391" s="29"/>
      <c r="P391" s="29"/>
      <c r="Q391" s="34"/>
      <c r="R391" s="34"/>
    </row>
    <row x14ac:dyDescent="0.25" r="392" customHeight="1" ht="15.75">
      <c r="A392" s="1"/>
      <c r="B392" s="34"/>
      <c r="C392" s="1"/>
      <c r="D392" s="34"/>
      <c r="E392" s="34"/>
      <c r="F392" s="34"/>
      <c r="G392" s="29"/>
      <c r="H392" s="29"/>
      <c r="I392" s="29"/>
      <c r="J392" s="34"/>
      <c r="K392" s="34"/>
      <c r="L392" s="34"/>
      <c r="M392" s="29"/>
      <c r="N392" s="29"/>
      <c r="O392" s="29"/>
      <c r="P392" s="29"/>
      <c r="Q392" s="34"/>
      <c r="R392" s="34"/>
    </row>
    <row x14ac:dyDescent="0.25" r="393" customHeight="1" ht="15.75">
      <c r="A393" s="1"/>
      <c r="B393" s="34"/>
      <c r="C393" s="1"/>
      <c r="D393" s="34"/>
      <c r="E393" s="34"/>
      <c r="F393" s="34"/>
      <c r="G393" s="29"/>
      <c r="H393" s="29"/>
      <c r="I393" s="29"/>
      <c r="J393" s="34"/>
      <c r="K393" s="34"/>
      <c r="L393" s="34"/>
      <c r="M393" s="29"/>
      <c r="N393" s="29"/>
      <c r="O393" s="29"/>
      <c r="P393" s="29"/>
      <c r="Q393" s="34"/>
      <c r="R393" s="34"/>
    </row>
    <row x14ac:dyDescent="0.25" r="394" customHeight="1" ht="15.75">
      <c r="A394" s="1"/>
      <c r="B394" s="34"/>
      <c r="C394" s="1"/>
      <c r="D394" s="34"/>
      <c r="E394" s="34"/>
      <c r="F394" s="34"/>
      <c r="G394" s="29"/>
      <c r="H394" s="29"/>
      <c r="I394" s="29"/>
      <c r="J394" s="34"/>
      <c r="K394" s="34"/>
      <c r="L394" s="34"/>
      <c r="M394" s="29"/>
      <c r="N394" s="29"/>
      <c r="O394" s="29"/>
      <c r="P394" s="29"/>
      <c r="Q394" s="34"/>
      <c r="R394" s="34"/>
    </row>
    <row x14ac:dyDescent="0.25" r="395" customHeight="1" ht="15.75">
      <c r="A395" s="1"/>
      <c r="B395" s="34"/>
      <c r="C395" s="1"/>
      <c r="D395" s="34"/>
      <c r="E395" s="34"/>
      <c r="F395" s="34"/>
      <c r="G395" s="29"/>
      <c r="H395" s="29"/>
      <c r="I395" s="29"/>
      <c r="J395" s="34"/>
      <c r="K395" s="34"/>
      <c r="L395" s="34"/>
      <c r="M395" s="29"/>
      <c r="N395" s="29"/>
      <c r="O395" s="29"/>
      <c r="P395" s="29"/>
      <c r="Q395" s="34"/>
      <c r="R395" s="34"/>
    </row>
    <row x14ac:dyDescent="0.25" r="396" customHeight="1" ht="15.75">
      <c r="A396" s="1"/>
      <c r="B396" s="34"/>
      <c r="C396" s="1"/>
      <c r="D396" s="34"/>
      <c r="E396" s="34"/>
      <c r="F396" s="34"/>
      <c r="G396" s="29"/>
      <c r="H396" s="29"/>
      <c r="I396" s="29"/>
      <c r="J396" s="34"/>
      <c r="K396" s="34"/>
      <c r="L396" s="34"/>
      <c r="M396" s="29"/>
      <c r="N396" s="29"/>
      <c r="O396" s="29"/>
      <c r="P396" s="29"/>
      <c r="Q396" s="34"/>
      <c r="R396" s="34"/>
    </row>
    <row x14ac:dyDescent="0.25" r="397" customHeight="1" ht="15.75">
      <c r="A397" s="1"/>
      <c r="B397" s="34"/>
      <c r="C397" s="1"/>
      <c r="D397" s="34"/>
      <c r="E397" s="34"/>
      <c r="F397" s="34"/>
      <c r="G397" s="29"/>
      <c r="H397" s="29"/>
      <c r="I397" s="29"/>
      <c r="J397" s="34"/>
      <c r="K397" s="34"/>
      <c r="L397" s="34"/>
      <c r="M397" s="29"/>
      <c r="N397" s="29"/>
      <c r="O397" s="29"/>
      <c r="P397" s="29"/>
      <c r="Q397" s="34"/>
      <c r="R397" s="34"/>
    </row>
    <row x14ac:dyDescent="0.25" r="398" customHeight="1" ht="15.75">
      <c r="A398" s="1"/>
      <c r="B398" s="34"/>
      <c r="C398" s="1"/>
      <c r="D398" s="34"/>
      <c r="E398" s="34"/>
      <c r="F398" s="34"/>
      <c r="G398" s="29"/>
      <c r="H398" s="29"/>
      <c r="I398" s="29"/>
      <c r="J398" s="34"/>
      <c r="K398" s="34"/>
      <c r="L398" s="34"/>
      <c r="M398" s="29"/>
      <c r="N398" s="29"/>
      <c r="O398" s="29"/>
      <c r="P398" s="29"/>
      <c r="Q398" s="34"/>
      <c r="R398" s="34"/>
    </row>
    <row x14ac:dyDescent="0.25" r="399" customHeight="1" ht="15.75">
      <c r="A399" s="1"/>
      <c r="B399" s="34"/>
      <c r="C399" s="1"/>
      <c r="D399" s="34"/>
      <c r="E399" s="34"/>
      <c r="F399" s="34"/>
      <c r="G399" s="29"/>
      <c r="H399" s="29"/>
      <c r="I399" s="29"/>
      <c r="J399" s="34"/>
      <c r="K399" s="34"/>
      <c r="L399" s="34"/>
      <c r="M399" s="29"/>
      <c r="N399" s="29"/>
      <c r="O399" s="29"/>
      <c r="P399" s="29"/>
      <c r="Q399" s="34"/>
      <c r="R399" s="34"/>
    </row>
    <row x14ac:dyDescent="0.25" r="400" customHeight="1" ht="15.75">
      <c r="A400" s="1"/>
      <c r="B400" s="34"/>
      <c r="C400" s="1"/>
      <c r="D400" s="34"/>
      <c r="E400" s="34"/>
      <c r="F400" s="34"/>
      <c r="G400" s="29"/>
      <c r="H400" s="29"/>
      <c r="I400" s="29"/>
      <c r="J400" s="34"/>
      <c r="K400" s="34"/>
      <c r="L400" s="34"/>
      <c r="M400" s="29"/>
      <c r="N400" s="29"/>
      <c r="O400" s="29"/>
      <c r="P400" s="29"/>
      <c r="Q400" s="34"/>
      <c r="R400" s="34"/>
    </row>
    <row x14ac:dyDescent="0.25" r="401" customHeight="1" ht="15.75">
      <c r="A401" s="1"/>
      <c r="B401" s="34"/>
      <c r="C401" s="1"/>
      <c r="D401" s="34"/>
      <c r="E401" s="34"/>
      <c r="F401" s="34"/>
      <c r="G401" s="29"/>
      <c r="H401" s="29"/>
      <c r="I401" s="29"/>
      <c r="J401" s="34"/>
      <c r="K401" s="34"/>
      <c r="L401" s="34"/>
      <c r="M401" s="29"/>
      <c r="N401" s="29"/>
      <c r="O401" s="29"/>
      <c r="P401" s="29"/>
      <c r="Q401" s="34"/>
      <c r="R401" s="34"/>
    </row>
    <row x14ac:dyDescent="0.25" r="402" customHeight="1" ht="15.75">
      <c r="A402" s="1"/>
      <c r="B402" s="34"/>
      <c r="C402" s="1"/>
      <c r="D402" s="34"/>
      <c r="E402" s="34"/>
      <c r="F402" s="34"/>
      <c r="G402" s="29"/>
      <c r="H402" s="29"/>
      <c r="I402" s="29"/>
      <c r="J402" s="34"/>
      <c r="K402" s="34"/>
      <c r="L402" s="34"/>
      <c r="M402" s="29"/>
      <c r="N402" s="29"/>
      <c r="O402" s="29"/>
      <c r="P402" s="29"/>
      <c r="Q402" s="34"/>
      <c r="R402" s="34"/>
    </row>
    <row x14ac:dyDescent="0.25" r="403" customHeight="1" ht="15.75">
      <c r="A403" s="1"/>
      <c r="B403" s="34"/>
      <c r="C403" s="1"/>
      <c r="D403" s="34"/>
      <c r="E403" s="34"/>
      <c r="F403" s="34"/>
      <c r="G403" s="29"/>
      <c r="H403" s="29"/>
      <c r="I403" s="29"/>
      <c r="J403" s="34"/>
      <c r="K403" s="34"/>
      <c r="L403" s="34"/>
      <c r="M403" s="29"/>
      <c r="N403" s="29"/>
      <c r="O403" s="29"/>
      <c r="P403" s="29"/>
      <c r="Q403" s="34"/>
      <c r="R403" s="34"/>
    </row>
    <row x14ac:dyDescent="0.25" r="404" customHeight="1" ht="15.75">
      <c r="A404" s="1"/>
      <c r="B404" s="34"/>
      <c r="C404" s="1"/>
      <c r="D404" s="34"/>
      <c r="E404" s="34"/>
      <c r="F404" s="34"/>
      <c r="G404" s="29"/>
      <c r="H404" s="29"/>
      <c r="I404" s="29"/>
      <c r="J404" s="34"/>
      <c r="K404" s="34"/>
      <c r="L404" s="34"/>
      <c r="M404" s="29"/>
      <c r="N404" s="29"/>
      <c r="O404" s="29"/>
      <c r="P404" s="29"/>
      <c r="Q404" s="34"/>
      <c r="R404" s="34"/>
    </row>
    <row x14ac:dyDescent="0.25" r="405" customHeight="1" ht="15.75">
      <c r="A405" s="1"/>
      <c r="B405" s="34"/>
      <c r="C405" s="1"/>
      <c r="D405" s="34"/>
      <c r="E405" s="34"/>
      <c r="F405" s="34"/>
      <c r="G405" s="29"/>
      <c r="H405" s="29"/>
      <c r="I405" s="29"/>
      <c r="J405" s="34"/>
      <c r="K405" s="34"/>
      <c r="L405" s="34"/>
      <c r="M405" s="29"/>
      <c r="N405" s="29"/>
      <c r="O405" s="29"/>
      <c r="P405" s="29"/>
      <c r="Q405" s="34"/>
      <c r="R405" s="34"/>
    </row>
    <row x14ac:dyDescent="0.25" r="406" customHeight="1" ht="15.75">
      <c r="A406" s="1"/>
      <c r="B406" s="34"/>
      <c r="C406" s="1"/>
      <c r="D406" s="34"/>
      <c r="E406" s="34"/>
      <c r="F406" s="34"/>
      <c r="G406" s="29"/>
      <c r="H406" s="29"/>
      <c r="I406" s="29"/>
      <c r="J406" s="34"/>
      <c r="K406" s="34"/>
      <c r="L406" s="34"/>
      <c r="M406" s="29"/>
      <c r="N406" s="29"/>
      <c r="O406" s="29"/>
      <c r="P406" s="29"/>
      <c r="Q406" s="34"/>
      <c r="R406" s="34"/>
    </row>
    <row x14ac:dyDescent="0.25" r="407" customHeight="1" ht="15.75">
      <c r="A407" s="1"/>
      <c r="B407" s="34"/>
      <c r="C407" s="1"/>
      <c r="D407" s="34"/>
      <c r="E407" s="34"/>
      <c r="F407" s="34"/>
      <c r="G407" s="29"/>
      <c r="H407" s="29"/>
      <c r="I407" s="29"/>
      <c r="J407" s="34"/>
      <c r="K407" s="34"/>
      <c r="L407" s="34"/>
      <c r="M407" s="29"/>
      <c r="N407" s="29"/>
      <c r="O407" s="29"/>
      <c r="P407" s="29"/>
      <c r="Q407" s="34"/>
      <c r="R407" s="34"/>
    </row>
    <row x14ac:dyDescent="0.25" r="408" customHeight="1" ht="15.75">
      <c r="A408" s="1"/>
      <c r="B408" s="34"/>
      <c r="C408" s="1"/>
      <c r="D408" s="34"/>
      <c r="E408" s="34"/>
      <c r="F408" s="34"/>
      <c r="G408" s="29"/>
      <c r="H408" s="29"/>
      <c r="I408" s="29"/>
      <c r="J408" s="34"/>
      <c r="K408" s="34"/>
      <c r="L408" s="34"/>
      <c r="M408" s="29"/>
      <c r="N408" s="29"/>
      <c r="O408" s="29"/>
      <c r="P408" s="29"/>
      <c r="Q408" s="34"/>
      <c r="R408" s="34"/>
    </row>
    <row x14ac:dyDescent="0.25" r="409" customHeight="1" ht="15.75">
      <c r="A409" s="1"/>
      <c r="B409" s="34"/>
      <c r="C409" s="1"/>
      <c r="D409" s="34"/>
      <c r="E409" s="34"/>
      <c r="F409" s="34"/>
      <c r="G409" s="29"/>
      <c r="H409" s="29"/>
      <c r="I409" s="29"/>
      <c r="J409" s="34"/>
      <c r="K409" s="34"/>
      <c r="L409" s="34"/>
      <c r="M409" s="29"/>
      <c r="N409" s="29"/>
      <c r="O409" s="29"/>
      <c r="P409" s="29"/>
      <c r="Q409" s="34"/>
      <c r="R409" s="34"/>
    </row>
    <row x14ac:dyDescent="0.25" r="410" customHeight="1" ht="15.75">
      <c r="A410" s="1"/>
      <c r="B410" s="34"/>
      <c r="C410" s="1"/>
      <c r="D410" s="34"/>
      <c r="E410" s="34"/>
      <c r="F410" s="34"/>
      <c r="G410" s="29"/>
      <c r="H410" s="29"/>
      <c r="I410" s="29"/>
      <c r="J410" s="34"/>
      <c r="K410" s="34"/>
      <c r="L410" s="34"/>
      <c r="M410" s="29"/>
      <c r="N410" s="29"/>
      <c r="O410" s="29"/>
      <c r="P410" s="29"/>
      <c r="Q410" s="34"/>
      <c r="R410" s="34"/>
    </row>
    <row x14ac:dyDescent="0.25" r="411" customHeight="1" ht="15.75">
      <c r="A411" s="1"/>
      <c r="B411" s="34"/>
      <c r="C411" s="1"/>
      <c r="D411" s="34"/>
      <c r="E411" s="34"/>
      <c r="F411" s="34"/>
      <c r="G411" s="29"/>
      <c r="H411" s="29"/>
      <c r="I411" s="29"/>
      <c r="J411" s="34"/>
      <c r="K411" s="34"/>
      <c r="L411" s="34"/>
      <c r="M411" s="29"/>
      <c r="N411" s="29"/>
      <c r="O411" s="29"/>
      <c r="P411" s="29"/>
      <c r="Q411" s="34"/>
      <c r="R411" s="34"/>
    </row>
    <row x14ac:dyDescent="0.25" r="412" customHeight="1" ht="15.75">
      <c r="A412" s="1"/>
      <c r="B412" s="34"/>
      <c r="C412" s="1"/>
      <c r="D412" s="34"/>
      <c r="E412" s="34"/>
      <c r="F412" s="34"/>
      <c r="G412" s="29"/>
      <c r="H412" s="29"/>
      <c r="I412" s="29"/>
      <c r="J412" s="34"/>
      <c r="K412" s="34"/>
      <c r="L412" s="34"/>
      <c r="M412" s="29"/>
      <c r="N412" s="29"/>
      <c r="O412" s="29"/>
      <c r="P412" s="29"/>
      <c r="Q412" s="34"/>
      <c r="R412" s="34"/>
    </row>
    <row x14ac:dyDescent="0.25" r="413" customHeight="1" ht="15.75">
      <c r="A413" s="1"/>
      <c r="B413" s="34"/>
      <c r="C413" s="1"/>
      <c r="D413" s="34"/>
      <c r="E413" s="34"/>
      <c r="F413" s="34"/>
      <c r="G413" s="29"/>
      <c r="H413" s="29"/>
      <c r="I413" s="29"/>
      <c r="J413" s="34"/>
      <c r="K413" s="34"/>
      <c r="L413" s="34"/>
      <c r="M413" s="29"/>
      <c r="N413" s="29"/>
      <c r="O413" s="29"/>
      <c r="P413" s="29"/>
      <c r="Q413" s="34"/>
      <c r="R413" s="34"/>
    </row>
    <row x14ac:dyDescent="0.25" r="414" customHeight="1" ht="15.75">
      <c r="A414" s="1"/>
      <c r="B414" s="34"/>
      <c r="C414" s="1"/>
      <c r="D414" s="34"/>
      <c r="E414" s="34"/>
      <c r="F414" s="34"/>
      <c r="G414" s="29"/>
      <c r="H414" s="29"/>
      <c r="I414" s="29"/>
      <c r="J414" s="34"/>
      <c r="K414" s="34"/>
      <c r="L414" s="34"/>
      <c r="M414" s="29"/>
      <c r="N414" s="29"/>
      <c r="O414" s="29"/>
      <c r="P414" s="29"/>
      <c r="Q414" s="34"/>
      <c r="R414" s="34"/>
    </row>
    <row x14ac:dyDescent="0.25" r="415" customHeight="1" ht="15.75">
      <c r="A415" s="1"/>
      <c r="B415" s="34"/>
      <c r="C415" s="1"/>
      <c r="D415" s="34"/>
      <c r="E415" s="34"/>
      <c r="F415" s="34"/>
      <c r="G415" s="29"/>
      <c r="H415" s="29"/>
      <c r="I415" s="29"/>
      <c r="J415" s="34"/>
      <c r="K415" s="34"/>
      <c r="L415" s="34"/>
      <c r="M415" s="29"/>
      <c r="N415" s="29"/>
      <c r="O415" s="29"/>
      <c r="P415" s="29"/>
      <c r="Q415" s="34"/>
      <c r="R415" s="34"/>
    </row>
    <row x14ac:dyDescent="0.25" r="416" customHeight="1" ht="15.75">
      <c r="A416" s="1"/>
      <c r="B416" s="34"/>
      <c r="C416" s="1"/>
      <c r="D416" s="34"/>
      <c r="E416" s="34"/>
      <c r="F416" s="34"/>
      <c r="G416" s="29"/>
      <c r="H416" s="29"/>
      <c r="I416" s="29"/>
      <c r="J416" s="34"/>
      <c r="K416" s="34"/>
      <c r="L416" s="34"/>
      <c r="M416" s="29"/>
      <c r="N416" s="29"/>
      <c r="O416" s="29"/>
      <c r="P416" s="29"/>
      <c r="Q416" s="34"/>
      <c r="R416" s="34"/>
    </row>
    <row x14ac:dyDescent="0.25" r="417" customHeight="1" ht="15.75">
      <c r="A417" s="1"/>
      <c r="B417" s="34"/>
      <c r="C417" s="1"/>
      <c r="D417" s="34"/>
      <c r="E417" s="34"/>
      <c r="F417" s="34"/>
      <c r="G417" s="29"/>
      <c r="H417" s="29"/>
      <c r="I417" s="29"/>
      <c r="J417" s="34"/>
      <c r="K417" s="34"/>
      <c r="L417" s="34"/>
      <c r="M417" s="29"/>
      <c r="N417" s="29"/>
      <c r="O417" s="29"/>
      <c r="P417" s="29"/>
      <c r="Q417" s="34"/>
      <c r="R417" s="34"/>
    </row>
    <row x14ac:dyDescent="0.25" r="418" customHeight="1" ht="15.75">
      <c r="A418" s="1"/>
      <c r="B418" s="34"/>
      <c r="C418" s="1"/>
      <c r="D418" s="34"/>
      <c r="E418" s="34"/>
      <c r="F418" s="34"/>
      <c r="G418" s="29"/>
      <c r="H418" s="29"/>
      <c r="I418" s="29"/>
      <c r="J418" s="34"/>
      <c r="K418" s="34"/>
      <c r="L418" s="34"/>
      <c r="M418" s="29"/>
      <c r="N418" s="29"/>
      <c r="O418" s="29"/>
      <c r="P418" s="29"/>
      <c r="Q418" s="34"/>
      <c r="R418" s="34"/>
    </row>
    <row x14ac:dyDescent="0.25" r="419" customHeight="1" ht="15.75">
      <c r="A419" s="1"/>
      <c r="B419" s="34"/>
      <c r="C419" s="1"/>
      <c r="D419" s="34"/>
      <c r="E419" s="34"/>
      <c r="F419" s="34"/>
      <c r="G419" s="29"/>
      <c r="H419" s="29"/>
      <c r="I419" s="29"/>
      <c r="J419" s="34"/>
      <c r="K419" s="34"/>
      <c r="L419" s="34"/>
      <c r="M419" s="29"/>
      <c r="N419" s="29"/>
      <c r="O419" s="29"/>
      <c r="P419" s="29"/>
      <c r="Q419" s="34"/>
      <c r="R419" s="34"/>
    </row>
    <row x14ac:dyDescent="0.25" r="420" customHeight="1" ht="15.75">
      <c r="A420" s="1"/>
      <c r="B420" s="34"/>
      <c r="C420" s="1"/>
      <c r="D420" s="34"/>
      <c r="E420" s="34"/>
      <c r="F420" s="34"/>
      <c r="G420" s="29"/>
      <c r="H420" s="29"/>
      <c r="I420" s="29"/>
      <c r="J420" s="34"/>
      <c r="K420" s="34"/>
      <c r="L420" s="34"/>
      <c r="M420" s="29"/>
      <c r="N420" s="29"/>
      <c r="O420" s="29"/>
      <c r="P420" s="29"/>
      <c r="Q420" s="34"/>
      <c r="R420" s="34"/>
    </row>
    <row x14ac:dyDescent="0.25" r="421" customHeight="1" ht="15.75">
      <c r="A421" s="1"/>
      <c r="B421" s="34"/>
      <c r="C421" s="1"/>
      <c r="D421" s="34"/>
      <c r="E421" s="34"/>
      <c r="F421" s="34"/>
      <c r="G421" s="29"/>
      <c r="H421" s="29"/>
      <c r="I421" s="29"/>
      <c r="J421" s="34"/>
      <c r="K421" s="34"/>
      <c r="L421" s="34"/>
      <c r="M421" s="29"/>
      <c r="N421" s="29"/>
      <c r="O421" s="29"/>
      <c r="P421" s="29"/>
      <c r="Q421" s="34"/>
      <c r="R421" s="34"/>
    </row>
    <row x14ac:dyDescent="0.25" r="422" customHeight="1" ht="15.75">
      <c r="A422" s="1"/>
      <c r="B422" s="34"/>
      <c r="C422" s="1"/>
      <c r="D422" s="34"/>
      <c r="E422" s="34"/>
      <c r="F422" s="34"/>
      <c r="G422" s="29"/>
      <c r="H422" s="29"/>
      <c r="I422" s="29"/>
      <c r="J422" s="34"/>
      <c r="K422" s="34"/>
      <c r="L422" s="34"/>
      <c r="M422" s="29"/>
      <c r="N422" s="29"/>
      <c r="O422" s="29"/>
      <c r="P422" s="29"/>
      <c r="Q422" s="34"/>
      <c r="R422" s="34"/>
    </row>
    <row x14ac:dyDescent="0.25" r="423" customHeight="1" ht="15.75">
      <c r="A423" s="1"/>
      <c r="B423" s="34"/>
      <c r="C423" s="1"/>
      <c r="D423" s="34"/>
      <c r="E423" s="34"/>
      <c r="F423" s="34"/>
      <c r="G423" s="29"/>
      <c r="H423" s="29"/>
      <c r="I423" s="29"/>
      <c r="J423" s="34"/>
      <c r="K423" s="34"/>
      <c r="L423" s="34"/>
      <c r="M423" s="29"/>
      <c r="N423" s="29"/>
      <c r="O423" s="29"/>
      <c r="P423" s="29"/>
      <c r="Q423" s="34"/>
      <c r="R423" s="34"/>
    </row>
    <row x14ac:dyDescent="0.25" r="424" customHeight="1" ht="15.75">
      <c r="A424" s="1"/>
      <c r="B424" s="34"/>
      <c r="C424" s="1"/>
      <c r="D424" s="34"/>
      <c r="E424" s="34"/>
      <c r="F424" s="34"/>
      <c r="G424" s="29"/>
      <c r="H424" s="29"/>
      <c r="I424" s="29"/>
      <c r="J424" s="34"/>
      <c r="K424" s="34"/>
      <c r="L424" s="34"/>
      <c r="M424" s="29"/>
      <c r="N424" s="29"/>
      <c r="O424" s="29"/>
      <c r="P424" s="29"/>
      <c r="Q424" s="34"/>
      <c r="R424" s="34"/>
    </row>
    <row x14ac:dyDescent="0.25" r="425" customHeight="1" ht="15.75">
      <c r="A425" s="1"/>
      <c r="B425" s="34"/>
      <c r="C425" s="1"/>
      <c r="D425" s="34"/>
      <c r="E425" s="34"/>
      <c r="F425" s="34"/>
      <c r="G425" s="29"/>
      <c r="H425" s="29"/>
      <c r="I425" s="29"/>
      <c r="J425" s="34"/>
      <c r="K425" s="34"/>
      <c r="L425" s="34"/>
      <c r="M425" s="29"/>
      <c r="N425" s="29"/>
      <c r="O425" s="29"/>
      <c r="P425" s="29"/>
      <c r="Q425" s="34"/>
      <c r="R425" s="34"/>
    </row>
    <row x14ac:dyDescent="0.25" r="426" customHeight="1" ht="15.75">
      <c r="A426" s="1"/>
      <c r="B426" s="34"/>
      <c r="C426" s="1"/>
      <c r="D426" s="34"/>
      <c r="E426" s="34"/>
      <c r="F426" s="34"/>
      <c r="G426" s="29"/>
      <c r="H426" s="29"/>
      <c r="I426" s="29"/>
      <c r="J426" s="34"/>
      <c r="K426" s="34"/>
      <c r="L426" s="34"/>
      <c r="M426" s="29"/>
      <c r="N426" s="29"/>
      <c r="O426" s="29"/>
      <c r="P426" s="29"/>
      <c r="Q426" s="34"/>
      <c r="R426" s="34"/>
    </row>
    <row x14ac:dyDescent="0.25" r="427" customHeight="1" ht="15.75">
      <c r="A427" s="1"/>
      <c r="B427" s="34"/>
      <c r="C427" s="1"/>
      <c r="D427" s="34"/>
      <c r="E427" s="34"/>
      <c r="F427" s="34"/>
      <c r="G427" s="29"/>
      <c r="H427" s="29"/>
      <c r="I427" s="29"/>
      <c r="J427" s="34"/>
      <c r="K427" s="34"/>
      <c r="L427" s="34"/>
      <c r="M427" s="29"/>
      <c r="N427" s="29"/>
      <c r="O427" s="29"/>
      <c r="P427" s="29"/>
      <c r="Q427" s="34"/>
      <c r="R427" s="34"/>
    </row>
    <row x14ac:dyDescent="0.25" r="428" customHeight="1" ht="15.75">
      <c r="A428" s="1"/>
      <c r="B428" s="34"/>
      <c r="C428" s="1"/>
      <c r="D428" s="34"/>
      <c r="E428" s="34"/>
      <c r="F428" s="34"/>
      <c r="G428" s="29"/>
      <c r="H428" s="29"/>
      <c r="I428" s="29"/>
      <c r="J428" s="34"/>
      <c r="K428" s="34"/>
      <c r="L428" s="34"/>
      <c r="M428" s="29"/>
      <c r="N428" s="29"/>
      <c r="O428" s="29"/>
      <c r="P428" s="29"/>
      <c r="Q428" s="34"/>
      <c r="R428" s="34"/>
    </row>
    <row x14ac:dyDescent="0.25" r="429" customHeight="1" ht="15.75">
      <c r="A429" s="1"/>
      <c r="B429" s="34"/>
      <c r="C429" s="1"/>
      <c r="D429" s="34"/>
      <c r="E429" s="34"/>
      <c r="F429" s="34"/>
      <c r="G429" s="29"/>
      <c r="H429" s="29"/>
      <c r="I429" s="29"/>
      <c r="J429" s="34"/>
      <c r="K429" s="34"/>
      <c r="L429" s="34"/>
      <c r="M429" s="29"/>
      <c r="N429" s="29"/>
      <c r="O429" s="29"/>
      <c r="P429" s="29"/>
      <c r="Q429" s="34"/>
      <c r="R429" s="34"/>
    </row>
    <row x14ac:dyDescent="0.25" r="430" customHeight="1" ht="15.75">
      <c r="A430" s="1"/>
      <c r="B430" s="34"/>
      <c r="C430" s="1"/>
      <c r="D430" s="34"/>
      <c r="E430" s="34"/>
      <c r="F430" s="34"/>
      <c r="G430" s="29"/>
      <c r="H430" s="29"/>
      <c r="I430" s="29"/>
      <c r="J430" s="34"/>
      <c r="K430" s="34"/>
      <c r="L430" s="34"/>
      <c r="M430" s="29"/>
      <c r="N430" s="29"/>
      <c r="O430" s="29"/>
      <c r="P430" s="29"/>
      <c r="Q430" s="34"/>
      <c r="R430" s="34"/>
    </row>
    <row x14ac:dyDescent="0.25" r="431" customHeight="1" ht="15.75">
      <c r="A431" s="1"/>
      <c r="B431" s="34"/>
      <c r="C431" s="1"/>
      <c r="D431" s="34"/>
      <c r="E431" s="34"/>
      <c r="F431" s="34"/>
      <c r="G431" s="29"/>
      <c r="H431" s="29"/>
      <c r="I431" s="29"/>
      <c r="J431" s="34"/>
      <c r="K431" s="34"/>
      <c r="L431" s="34"/>
      <c r="M431" s="29"/>
      <c r="N431" s="29"/>
      <c r="O431" s="29"/>
      <c r="P431" s="29"/>
      <c r="Q431" s="34"/>
      <c r="R431" s="34"/>
    </row>
    <row x14ac:dyDescent="0.25" r="432" customHeight="1" ht="15.75">
      <c r="A432" s="1"/>
      <c r="B432" s="34"/>
      <c r="C432" s="1"/>
      <c r="D432" s="34"/>
      <c r="E432" s="34"/>
      <c r="F432" s="34"/>
      <c r="G432" s="29"/>
      <c r="H432" s="29"/>
      <c r="I432" s="29"/>
      <c r="J432" s="34"/>
      <c r="K432" s="34"/>
      <c r="L432" s="34"/>
      <c r="M432" s="29"/>
      <c r="N432" s="29"/>
      <c r="O432" s="29"/>
      <c r="P432" s="29"/>
      <c r="Q432" s="34"/>
      <c r="R432" s="34"/>
    </row>
    <row x14ac:dyDescent="0.25" r="433" customHeight="1" ht="15.75">
      <c r="A433" s="1"/>
      <c r="B433" s="34"/>
      <c r="C433" s="1"/>
      <c r="D433" s="34"/>
      <c r="E433" s="34"/>
      <c r="F433" s="34"/>
      <c r="G433" s="29"/>
      <c r="H433" s="29"/>
      <c r="I433" s="29"/>
      <c r="J433" s="34"/>
      <c r="K433" s="34"/>
      <c r="L433" s="34"/>
      <c r="M433" s="29"/>
      <c r="N433" s="29"/>
      <c r="O433" s="29"/>
      <c r="P433" s="29"/>
      <c r="Q433" s="34"/>
      <c r="R433" s="34"/>
    </row>
    <row x14ac:dyDescent="0.25" r="434" customHeight="1" ht="15.75">
      <c r="A434" s="1"/>
      <c r="B434" s="34"/>
      <c r="C434" s="1"/>
      <c r="D434" s="34"/>
      <c r="E434" s="34"/>
      <c r="F434" s="34"/>
      <c r="G434" s="29"/>
      <c r="H434" s="29"/>
      <c r="I434" s="29"/>
      <c r="J434" s="34"/>
      <c r="K434" s="34"/>
      <c r="L434" s="34"/>
      <c r="M434" s="29"/>
      <c r="N434" s="29"/>
      <c r="O434" s="29"/>
      <c r="P434" s="29"/>
      <c r="Q434" s="34"/>
      <c r="R434" s="34"/>
    </row>
    <row x14ac:dyDescent="0.25" r="435" customHeight="1" ht="15.75">
      <c r="A435" s="1"/>
      <c r="B435" s="34"/>
      <c r="C435" s="1"/>
      <c r="D435" s="34"/>
      <c r="E435" s="34"/>
      <c r="F435" s="34"/>
      <c r="G435" s="29"/>
      <c r="H435" s="29"/>
      <c r="I435" s="29"/>
      <c r="J435" s="34"/>
      <c r="K435" s="34"/>
      <c r="L435" s="34"/>
      <c r="M435" s="29"/>
      <c r="N435" s="29"/>
      <c r="O435" s="29"/>
      <c r="P435" s="29"/>
      <c r="Q435" s="34"/>
      <c r="R435" s="34"/>
    </row>
    <row x14ac:dyDescent="0.25" r="436" customHeight="1" ht="15.75">
      <c r="A436" s="1"/>
      <c r="B436" s="34"/>
      <c r="C436" s="1"/>
      <c r="D436" s="34"/>
      <c r="E436" s="34"/>
      <c r="F436" s="34"/>
      <c r="G436" s="29"/>
      <c r="H436" s="29"/>
      <c r="I436" s="29"/>
      <c r="J436" s="34"/>
      <c r="K436" s="34"/>
      <c r="L436" s="34"/>
      <c r="M436" s="29"/>
      <c r="N436" s="29"/>
      <c r="O436" s="29"/>
      <c r="P436" s="29"/>
      <c r="Q436" s="34"/>
      <c r="R436" s="34"/>
    </row>
    <row x14ac:dyDescent="0.25" r="437" customHeight="1" ht="15.75">
      <c r="A437" s="1"/>
      <c r="B437" s="34"/>
      <c r="C437" s="1"/>
      <c r="D437" s="34"/>
      <c r="E437" s="34"/>
      <c r="F437" s="34"/>
      <c r="G437" s="29"/>
      <c r="H437" s="29"/>
      <c r="I437" s="29"/>
      <c r="J437" s="34"/>
      <c r="K437" s="34"/>
      <c r="L437" s="34"/>
      <c r="M437" s="29"/>
      <c r="N437" s="29"/>
      <c r="O437" s="29"/>
      <c r="P437" s="29"/>
      <c r="Q437" s="34"/>
      <c r="R437" s="34"/>
    </row>
    <row x14ac:dyDescent="0.25" r="438" customHeight="1" ht="15.75">
      <c r="A438" s="1"/>
      <c r="B438" s="34"/>
      <c r="C438" s="1"/>
      <c r="D438" s="34"/>
      <c r="E438" s="34"/>
      <c r="F438" s="34"/>
      <c r="G438" s="29"/>
      <c r="H438" s="29"/>
      <c r="I438" s="29"/>
      <c r="J438" s="34"/>
      <c r="K438" s="34"/>
      <c r="L438" s="34"/>
      <c r="M438" s="29"/>
      <c r="N438" s="29"/>
      <c r="O438" s="29"/>
      <c r="P438" s="29"/>
      <c r="Q438" s="34"/>
      <c r="R438" s="34"/>
    </row>
    <row x14ac:dyDescent="0.25" r="439" customHeight="1" ht="15.75">
      <c r="A439" s="1"/>
      <c r="B439" s="34"/>
      <c r="C439" s="1"/>
      <c r="D439" s="34"/>
      <c r="E439" s="34"/>
      <c r="F439" s="34"/>
      <c r="G439" s="29"/>
      <c r="H439" s="29"/>
      <c r="I439" s="29"/>
      <c r="J439" s="34"/>
      <c r="K439" s="34"/>
      <c r="L439" s="34"/>
      <c r="M439" s="29"/>
      <c r="N439" s="29"/>
      <c r="O439" s="29"/>
      <c r="P439" s="29"/>
      <c r="Q439" s="34"/>
      <c r="R439" s="34"/>
    </row>
    <row x14ac:dyDescent="0.25" r="440" customHeight="1" ht="15.75">
      <c r="A440" s="1"/>
      <c r="B440" s="34"/>
      <c r="C440" s="1"/>
      <c r="D440" s="34"/>
      <c r="E440" s="34"/>
      <c r="F440" s="34"/>
      <c r="G440" s="29"/>
      <c r="H440" s="29"/>
      <c r="I440" s="29"/>
      <c r="J440" s="34"/>
      <c r="K440" s="34"/>
      <c r="L440" s="34"/>
      <c r="M440" s="29"/>
      <c r="N440" s="29"/>
      <c r="O440" s="29"/>
      <c r="P440" s="29"/>
      <c r="Q440" s="34"/>
      <c r="R440" s="34"/>
    </row>
    <row x14ac:dyDescent="0.25" r="441" customHeight="1" ht="15.75">
      <c r="A441" s="1"/>
      <c r="B441" s="34"/>
      <c r="C441" s="1"/>
      <c r="D441" s="34"/>
      <c r="E441" s="34"/>
      <c r="F441" s="34"/>
      <c r="G441" s="29"/>
      <c r="H441" s="29"/>
      <c r="I441" s="29"/>
      <c r="J441" s="34"/>
      <c r="K441" s="34"/>
      <c r="L441" s="34"/>
      <c r="M441" s="29"/>
      <c r="N441" s="29"/>
      <c r="O441" s="29"/>
      <c r="P441" s="29"/>
      <c r="Q441" s="34"/>
      <c r="R441" s="34"/>
    </row>
    <row x14ac:dyDescent="0.25" r="442" customHeight="1" ht="15.75">
      <c r="A442" s="1"/>
      <c r="B442" s="34"/>
      <c r="C442" s="1"/>
      <c r="D442" s="34"/>
      <c r="E442" s="34"/>
      <c r="F442" s="34"/>
      <c r="G442" s="29"/>
      <c r="H442" s="29"/>
      <c r="I442" s="29"/>
      <c r="J442" s="34"/>
      <c r="K442" s="34"/>
      <c r="L442" s="34"/>
      <c r="M442" s="29"/>
      <c r="N442" s="29"/>
      <c r="O442" s="29"/>
      <c r="P442" s="29"/>
      <c r="Q442" s="34"/>
      <c r="R442" s="34"/>
    </row>
    <row x14ac:dyDescent="0.25" r="443" customHeight="1" ht="15.75">
      <c r="A443" s="1"/>
      <c r="B443" s="34"/>
      <c r="C443" s="1"/>
      <c r="D443" s="34"/>
      <c r="E443" s="34"/>
      <c r="F443" s="34"/>
      <c r="G443" s="29"/>
      <c r="H443" s="29"/>
      <c r="I443" s="29"/>
      <c r="J443" s="34"/>
      <c r="K443" s="34"/>
      <c r="L443" s="34"/>
      <c r="M443" s="29"/>
      <c r="N443" s="29"/>
      <c r="O443" s="29"/>
      <c r="P443" s="29"/>
      <c r="Q443" s="34"/>
      <c r="R443" s="34"/>
    </row>
    <row x14ac:dyDescent="0.25" r="444" customHeight="1" ht="15.75">
      <c r="A444" s="1"/>
      <c r="B444" s="34"/>
      <c r="C444" s="1"/>
      <c r="D444" s="34"/>
      <c r="E444" s="34"/>
      <c r="F444" s="34"/>
      <c r="G444" s="29"/>
      <c r="H444" s="29"/>
      <c r="I444" s="29"/>
      <c r="J444" s="34"/>
      <c r="K444" s="34"/>
      <c r="L444" s="34"/>
      <c r="M444" s="29"/>
      <c r="N444" s="29"/>
      <c r="O444" s="29"/>
      <c r="P444" s="29"/>
      <c r="Q444" s="34"/>
      <c r="R444" s="34"/>
    </row>
    <row x14ac:dyDescent="0.25" r="445" customHeight="1" ht="15.75">
      <c r="A445" s="1"/>
      <c r="B445" s="34"/>
      <c r="C445" s="1"/>
      <c r="D445" s="34"/>
      <c r="E445" s="34"/>
      <c r="F445" s="34"/>
      <c r="G445" s="29"/>
      <c r="H445" s="29"/>
      <c r="I445" s="29"/>
      <c r="J445" s="34"/>
      <c r="K445" s="34"/>
      <c r="L445" s="34"/>
      <c r="M445" s="29"/>
      <c r="N445" s="29"/>
      <c r="O445" s="29"/>
      <c r="P445" s="29"/>
      <c r="Q445" s="34"/>
      <c r="R445" s="34"/>
    </row>
    <row x14ac:dyDescent="0.25" r="446" customHeight="1" ht="15.75">
      <c r="A446" s="1"/>
      <c r="B446" s="34"/>
      <c r="C446" s="1"/>
      <c r="D446" s="34"/>
      <c r="E446" s="34"/>
      <c r="F446" s="34"/>
      <c r="G446" s="29"/>
      <c r="H446" s="29"/>
      <c r="I446" s="29"/>
      <c r="J446" s="34"/>
      <c r="K446" s="34"/>
      <c r="L446" s="34"/>
      <c r="M446" s="29"/>
      <c r="N446" s="29"/>
      <c r="O446" s="29"/>
      <c r="P446" s="29"/>
      <c r="Q446" s="34"/>
      <c r="R446" s="34"/>
    </row>
    <row x14ac:dyDescent="0.25" r="447" customHeight="1" ht="15.75">
      <c r="A447" s="1"/>
      <c r="B447" s="34"/>
      <c r="C447" s="1"/>
      <c r="D447" s="34"/>
      <c r="E447" s="34"/>
      <c r="F447" s="34"/>
      <c r="G447" s="29"/>
      <c r="H447" s="29"/>
      <c r="I447" s="29"/>
      <c r="J447" s="34"/>
      <c r="K447" s="34"/>
      <c r="L447" s="34"/>
      <c r="M447" s="29"/>
      <c r="N447" s="29"/>
      <c r="O447" s="29"/>
      <c r="P447" s="29"/>
      <c r="Q447" s="34"/>
      <c r="R447" s="34"/>
    </row>
    <row x14ac:dyDescent="0.25" r="448" customHeight="1" ht="15.75">
      <c r="A448" s="1"/>
      <c r="B448" s="34"/>
      <c r="C448" s="1"/>
      <c r="D448" s="34"/>
      <c r="E448" s="34"/>
      <c r="F448" s="34"/>
      <c r="G448" s="29"/>
      <c r="H448" s="29"/>
      <c r="I448" s="29"/>
      <c r="J448" s="34"/>
      <c r="K448" s="34"/>
      <c r="L448" s="34"/>
      <c r="M448" s="29"/>
      <c r="N448" s="29"/>
      <c r="O448" s="29"/>
      <c r="P448" s="29"/>
      <c r="Q448" s="34"/>
      <c r="R448" s="34"/>
    </row>
    <row x14ac:dyDescent="0.25" r="449" customHeight="1" ht="15.75">
      <c r="A449" s="1"/>
      <c r="B449" s="34"/>
      <c r="C449" s="1"/>
      <c r="D449" s="34"/>
      <c r="E449" s="34"/>
      <c r="F449" s="34"/>
      <c r="G449" s="29"/>
      <c r="H449" s="29"/>
      <c r="I449" s="29"/>
      <c r="J449" s="34"/>
      <c r="K449" s="34"/>
      <c r="L449" s="34"/>
      <c r="M449" s="29"/>
      <c r="N449" s="29"/>
      <c r="O449" s="29"/>
      <c r="P449" s="29"/>
      <c r="Q449" s="34"/>
      <c r="R449" s="34"/>
    </row>
    <row x14ac:dyDescent="0.25" r="450" customHeight="1" ht="15.75">
      <c r="A450" s="1"/>
      <c r="B450" s="34"/>
      <c r="C450" s="1"/>
      <c r="D450" s="34"/>
      <c r="E450" s="34"/>
      <c r="F450" s="34"/>
      <c r="G450" s="29"/>
      <c r="H450" s="29"/>
      <c r="I450" s="29"/>
      <c r="J450" s="34"/>
      <c r="K450" s="34"/>
      <c r="L450" s="34"/>
      <c r="M450" s="29"/>
      <c r="N450" s="29"/>
      <c r="O450" s="29"/>
      <c r="P450" s="29"/>
      <c r="Q450" s="34"/>
      <c r="R450" s="34"/>
    </row>
    <row x14ac:dyDescent="0.25" r="451" customHeight="1" ht="15.75">
      <c r="A451" s="1"/>
      <c r="B451" s="34"/>
      <c r="C451" s="1"/>
      <c r="D451" s="34"/>
      <c r="E451" s="34"/>
      <c r="F451" s="34"/>
      <c r="G451" s="29"/>
      <c r="H451" s="29"/>
      <c r="I451" s="29"/>
      <c r="J451" s="34"/>
      <c r="K451" s="34"/>
      <c r="L451" s="34"/>
      <c r="M451" s="29"/>
      <c r="N451" s="29"/>
      <c r="O451" s="29"/>
      <c r="P451" s="29"/>
      <c r="Q451" s="34"/>
      <c r="R451" s="34"/>
    </row>
    <row x14ac:dyDescent="0.25" r="452" customHeight="1" ht="15.75">
      <c r="A452" s="1"/>
      <c r="B452" s="34"/>
      <c r="C452" s="1"/>
      <c r="D452" s="34"/>
      <c r="E452" s="34"/>
      <c r="F452" s="34"/>
      <c r="G452" s="29"/>
      <c r="H452" s="29"/>
      <c r="I452" s="29"/>
      <c r="J452" s="34"/>
      <c r="K452" s="34"/>
      <c r="L452" s="34"/>
      <c r="M452" s="29"/>
      <c r="N452" s="29"/>
      <c r="O452" s="29"/>
      <c r="P452" s="29"/>
      <c r="Q452" s="34"/>
      <c r="R452" s="34"/>
    </row>
    <row x14ac:dyDescent="0.25" r="453" customHeight="1" ht="15.75">
      <c r="A453" s="1"/>
      <c r="B453" s="34"/>
      <c r="C453" s="1"/>
      <c r="D453" s="34"/>
      <c r="E453" s="34"/>
      <c r="F453" s="34"/>
      <c r="G453" s="29"/>
      <c r="H453" s="29"/>
      <c r="I453" s="29"/>
      <c r="J453" s="34"/>
      <c r="K453" s="34"/>
      <c r="L453" s="34"/>
      <c r="M453" s="29"/>
      <c r="N453" s="29"/>
      <c r="O453" s="29"/>
      <c r="P453" s="29"/>
      <c r="Q453" s="34"/>
      <c r="R453" s="34"/>
    </row>
    <row x14ac:dyDescent="0.25" r="454" customHeight="1" ht="15.75">
      <c r="A454" s="1"/>
      <c r="B454" s="34"/>
      <c r="C454" s="1"/>
      <c r="D454" s="34"/>
      <c r="E454" s="34"/>
      <c r="F454" s="34"/>
      <c r="G454" s="29"/>
      <c r="H454" s="29"/>
      <c r="I454" s="29"/>
      <c r="J454" s="34"/>
      <c r="K454" s="34"/>
      <c r="L454" s="34"/>
      <c r="M454" s="29"/>
      <c r="N454" s="29"/>
      <c r="O454" s="29"/>
      <c r="P454" s="29"/>
      <c r="Q454" s="34"/>
      <c r="R454" s="34"/>
    </row>
    <row x14ac:dyDescent="0.25" r="455" customHeight="1" ht="15.75">
      <c r="A455" s="1"/>
      <c r="B455" s="34"/>
      <c r="C455" s="1"/>
      <c r="D455" s="34"/>
      <c r="E455" s="34"/>
      <c r="F455" s="34"/>
      <c r="G455" s="29"/>
      <c r="H455" s="29"/>
      <c r="I455" s="29"/>
      <c r="J455" s="34"/>
      <c r="K455" s="34"/>
      <c r="L455" s="34"/>
      <c r="M455" s="29"/>
      <c r="N455" s="29"/>
      <c r="O455" s="29"/>
      <c r="P455" s="29"/>
      <c r="Q455" s="34"/>
      <c r="R455" s="34"/>
    </row>
    <row x14ac:dyDescent="0.25" r="456" customHeight="1" ht="15.75">
      <c r="A456" s="1"/>
      <c r="B456" s="34"/>
      <c r="C456" s="1"/>
      <c r="D456" s="34"/>
      <c r="E456" s="34"/>
      <c r="F456" s="34"/>
      <c r="G456" s="29"/>
      <c r="H456" s="29"/>
      <c r="I456" s="29"/>
      <c r="J456" s="34"/>
      <c r="K456" s="34"/>
      <c r="L456" s="34"/>
      <c r="M456" s="29"/>
      <c r="N456" s="29"/>
      <c r="O456" s="29"/>
      <c r="P456" s="29"/>
      <c r="Q456" s="34"/>
      <c r="R456" s="34"/>
    </row>
    <row x14ac:dyDescent="0.25" r="457" customHeight="1" ht="15.75">
      <c r="A457" s="1"/>
      <c r="B457" s="34"/>
      <c r="C457" s="1"/>
      <c r="D457" s="34"/>
      <c r="E457" s="34"/>
      <c r="F457" s="34"/>
      <c r="G457" s="29"/>
      <c r="H457" s="29"/>
      <c r="I457" s="29"/>
      <c r="J457" s="34"/>
      <c r="K457" s="34"/>
      <c r="L457" s="34"/>
      <c r="M457" s="29"/>
      <c r="N457" s="29"/>
      <c r="O457" s="29"/>
      <c r="P457" s="29"/>
      <c r="Q457" s="34"/>
      <c r="R457" s="34"/>
    </row>
    <row x14ac:dyDescent="0.25" r="458" customHeight="1" ht="15.75">
      <c r="A458" s="1"/>
      <c r="B458" s="34"/>
      <c r="C458" s="1"/>
      <c r="D458" s="34"/>
      <c r="E458" s="34"/>
      <c r="F458" s="34"/>
      <c r="G458" s="29"/>
      <c r="H458" s="29"/>
      <c r="I458" s="29"/>
      <c r="J458" s="34"/>
      <c r="K458" s="34"/>
      <c r="L458" s="34"/>
      <c r="M458" s="29"/>
      <c r="N458" s="29"/>
      <c r="O458" s="29"/>
      <c r="P458" s="29"/>
      <c r="Q458" s="34"/>
      <c r="R458" s="34"/>
    </row>
    <row x14ac:dyDescent="0.25" r="459" customHeight="1" ht="15.75">
      <c r="A459" s="1"/>
      <c r="B459" s="34"/>
      <c r="C459" s="1"/>
      <c r="D459" s="34"/>
      <c r="E459" s="34"/>
      <c r="F459" s="34"/>
      <c r="G459" s="29"/>
      <c r="H459" s="29"/>
      <c r="I459" s="29"/>
      <c r="J459" s="34"/>
      <c r="K459" s="34"/>
      <c r="L459" s="34"/>
      <c r="M459" s="29"/>
      <c r="N459" s="29"/>
      <c r="O459" s="29"/>
      <c r="P459" s="29"/>
      <c r="Q459" s="34"/>
      <c r="R459" s="34"/>
    </row>
    <row x14ac:dyDescent="0.25" r="460" customHeight="1" ht="15.75">
      <c r="A460" s="1"/>
      <c r="B460" s="34"/>
      <c r="C460" s="1"/>
      <c r="D460" s="34"/>
      <c r="E460" s="34"/>
      <c r="F460" s="34"/>
      <c r="G460" s="29"/>
      <c r="H460" s="29"/>
      <c r="I460" s="29"/>
      <c r="J460" s="34"/>
      <c r="K460" s="34"/>
      <c r="L460" s="34"/>
      <c r="M460" s="29"/>
      <c r="N460" s="29"/>
      <c r="O460" s="29"/>
      <c r="P460" s="29"/>
      <c r="Q460" s="34"/>
      <c r="R460" s="34"/>
    </row>
    <row x14ac:dyDescent="0.25" r="461" customHeight="1" ht="15.75">
      <c r="A461" s="1"/>
      <c r="B461" s="34"/>
      <c r="C461" s="1"/>
      <c r="D461" s="34"/>
      <c r="E461" s="34"/>
      <c r="F461" s="34"/>
      <c r="G461" s="29"/>
      <c r="H461" s="29"/>
      <c r="I461" s="29"/>
      <c r="J461" s="34"/>
      <c r="K461" s="34"/>
      <c r="L461" s="34"/>
      <c r="M461" s="29"/>
      <c r="N461" s="29"/>
      <c r="O461" s="29"/>
      <c r="P461" s="29"/>
      <c r="Q461" s="34"/>
      <c r="R461" s="34"/>
    </row>
    <row x14ac:dyDescent="0.25" r="462" customHeight="1" ht="15.75">
      <c r="A462" s="1"/>
      <c r="B462" s="34"/>
      <c r="C462" s="1"/>
      <c r="D462" s="34"/>
      <c r="E462" s="34"/>
      <c r="F462" s="34"/>
      <c r="G462" s="29"/>
      <c r="H462" s="29"/>
      <c r="I462" s="29"/>
      <c r="J462" s="34"/>
      <c r="K462" s="34"/>
      <c r="L462" s="34"/>
      <c r="M462" s="29"/>
      <c r="N462" s="29"/>
      <c r="O462" s="29"/>
      <c r="P462" s="29"/>
      <c r="Q462" s="34"/>
      <c r="R462" s="34"/>
    </row>
    <row x14ac:dyDescent="0.25" r="463" customHeight="1" ht="15.75">
      <c r="A463" s="1"/>
      <c r="B463" s="34"/>
      <c r="C463" s="1"/>
      <c r="D463" s="34"/>
      <c r="E463" s="34"/>
      <c r="F463" s="34"/>
      <c r="G463" s="29"/>
      <c r="H463" s="29"/>
      <c r="I463" s="29"/>
      <c r="J463" s="34"/>
      <c r="K463" s="34"/>
      <c r="L463" s="34"/>
      <c r="M463" s="29"/>
      <c r="N463" s="29"/>
      <c r="O463" s="29"/>
      <c r="P463" s="29"/>
      <c r="Q463" s="34"/>
      <c r="R463" s="34"/>
    </row>
    <row x14ac:dyDescent="0.25" r="464" customHeight="1" ht="15.75">
      <c r="A464" s="1"/>
      <c r="B464" s="34"/>
      <c r="C464" s="1"/>
      <c r="D464" s="34"/>
      <c r="E464" s="34"/>
      <c r="F464" s="34"/>
      <c r="G464" s="29"/>
      <c r="H464" s="29"/>
      <c r="I464" s="29"/>
      <c r="J464" s="34"/>
      <c r="K464" s="34"/>
      <c r="L464" s="34"/>
      <c r="M464" s="29"/>
      <c r="N464" s="29"/>
      <c r="O464" s="29"/>
      <c r="P464" s="29"/>
      <c r="Q464" s="34"/>
      <c r="R464" s="34"/>
    </row>
    <row x14ac:dyDescent="0.25" r="465" customHeight="1" ht="15.75">
      <c r="A465" s="1"/>
      <c r="B465" s="34"/>
      <c r="C465" s="1"/>
      <c r="D465" s="34"/>
      <c r="E465" s="34"/>
      <c r="F465" s="34"/>
      <c r="G465" s="29"/>
      <c r="H465" s="29"/>
      <c r="I465" s="29"/>
      <c r="J465" s="34"/>
      <c r="K465" s="34"/>
      <c r="L465" s="34"/>
      <c r="M465" s="29"/>
      <c r="N465" s="29"/>
      <c r="O465" s="29"/>
      <c r="P465" s="29"/>
      <c r="Q465" s="34"/>
      <c r="R465" s="34"/>
    </row>
    <row x14ac:dyDescent="0.25" r="466" customHeight="1" ht="15.75">
      <c r="A466" s="1"/>
      <c r="B466" s="34"/>
      <c r="C466" s="1"/>
      <c r="D466" s="34"/>
      <c r="E466" s="34"/>
      <c r="F466" s="34"/>
      <c r="G466" s="29"/>
      <c r="H466" s="29"/>
      <c r="I466" s="29"/>
      <c r="J466" s="34"/>
      <c r="K466" s="34"/>
      <c r="L466" s="34"/>
      <c r="M466" s="29"/>
      <c r="N466" s="29"/>
      <c r="O466" s="29"/>
      <c r="P466" s="29"/>
      <c r="Q466" s="34"/>
      <c r="R466" s="34"/>
    </row>
    <row x14ac:dyDescent="0.25" r="467" customHeight="1" ht="15.75">
      <c r="A467" s="1"/>
      <c r="B467" s="34"/>
      <c r="C467" s="1"/>
      <c r="D467" s="34"/>
      <c r="E467" s="34"/>
      <c r="F467" s="34"/>
      <c r="G467" s="29"/>
      <c r="H467" s="29"/>
      <c r="I467" s="29"/>
      <c r="J467" s="34"/>
      <c r="K467" s="34"/>
      <c r="L467" s="34"/>
      <c r="M467" s="29"/>
      <c r="N467" s="29"/>
      <c r="O467" s="29"/>
      <c r="P467" s="29"/>
      <c r="Q467" s="34"/>
      <c r="R467" s="34"/>
    </row>
    <row x14ac:dyDescent="0.25" r="468" customHeight="1" ht="15.75">
      <c r="A468" s="1"/>
      <c r="B468" s="34"/>
      <c r="C468" s="1"/>
      <c r="D468" s="34"/>
      <c r="E468" s="34"/>
      <c r="F468" s="34"/>
      <c r="G468" s="29"/>
      <c r="H468" s="29"/>
      <c r="I468" s="29"/>
      <c r="J468" s="34"/>
      <c r="K468" s="34"/>
      <c r="L468" s="34"/>
      <c r="M468" s="29"/>
      <c r="N468" s="29"/>
      <c r="O468" s="29"/>
      <c r="P468" s="29"/>
      <c r="Q468" s="34"/>
      <c r="R468" s="34"/>
    </row>
    <row x14ac:dyDescent="0.25" r="469" customHeight="1" ht="15.75">
      <c r="A469" s="1"/>
      <c r="B469" s="34"/>
      <c r="C469" s="1"/>
      <c r="D469" s="34"/>
      <c r="E469" s="34"/>
      <c r="F469" s="34"/>
      <c r="G469" s="29"/>
      <c r="H469" s="29"/>
      <c r="I469" s="29"/>
      <c r="J469" s="34"/>
      <c r="K469" s="34"/>
      <c r="L469" s="34"/>
      <c r="M469" s="29"/>
      <c r="N469" s="29"/>
      <c r="O469" s="29"/>
      <c r="P469" s="29"/>
      <c r="Q469" s="34"/>
      <c r="R469" s="34"/>
    </row>
    <row x14ac:dyDescent="0.25" r="470" customHeight="1" ht="15.75">
      <c r="A470" s="1"/>
      <c r="B470" s="34"/>
      <c r="C470" s="1"/>
      <c r="D470" s="34"/>
      <c r="E470" s="34"/>
      <c r="F470" s="34"/>
      <c r="G470" s="29"/>
      <c r="H470" s="29"/>
      <c r="I470" s="29"/>
      <c r="J470" s="34"/>
      <c r="K470" s="34"/>
      <c r="L470" s="34"/>
      <c r="M470" s="29"/>
      <c r="N470" s="29"/>
      <c r="O470" s="29"/>
      <c r="P470" s="29"/>
      <c r="Q470" s="34"/>
      <c r="R470" s="34"/>
    </row>
    <row x14ac:dyDescent="0.25" r="471" customHeight="1" ht="15.75">
      <c r="A471" s="1"/>
      <c r="B471" s="34"/>
      <c r="C471" s="1"/>
      <c r="D471" s="34"/>
      <c r="E471" s="34"/>
      <c r="F471" s="34"/>
      <c r="G471" s="29"/>
      <c r="H471" s="29"/>
      <c r="I471" s="29"/>
      <c r="J471" s="34"/>
      <c r="K471" s="34"/>
      <c r="L471" s="34"/>
      <c r="M471" s="29"/>
      <c r="N471" s="29"/>
      <c r="O471" s="29"/>
      <c r="P471" s="29"/>
      <c r="Q471" s="34"/>
      <c r="R471" s="34"/>
    </row>
    <row x14ac:dyDescent="0.25" r="472" customHeight="1" ht="15.75">
      <c r="A472" s="1"/>
      <c r="B472" s="34"/>
      <c r="C472" s="1"/>
      <c r="D472" s="34"/>
      <c r="E472" s="34"/>
      <c r="F472" s="34"/>
      <c r="G472" s="29"/>
      <c r="H472" s="29"/>
      <c r="I472" s="29"/>
      <c r="J472" s="34"/>
      <c r="K472" s="34"/>
      <c r="L472" s="34"/>
      <c r="M472" s="29"/>
      <c r="N472" s="29"/>
      <c r="O472" s="29"/>
      <c r="P472" s="29"/>
      <c r="Q472" s="34"/>
      <c r="R472" s="34"/>
    </row>
    <row x14ac:dyDescent="0.25" r="473" customHeight="1" ht="15.75">
      <c r="A473" s="1"/>
      <c r="B473" s="34"/>
      <c r="C473" s="1"/>
      <c r="D473" s="34"/>
      <c r="E473" s="34"/>
      <c r="F473" s="34"/>
      <c r="G473" s="29"/>
      <c r="H473" s="29"/>
      <c r="I473" s="29"/>
      <c r="J473" s="34"/>
      <c r="K473" s="34"/>
      <c r="L473" s="34"/>
      <c r="M473" s="29"/>
      <c r="N473" s="29"/>
      <c r="O473" s="29"/>
      <c r="P473" s="29"/>
      <c r="Q473" s="34"/>
      <c r="R473" s="34"/>
    </row>
    <row x14ac:dyDescent="0.25" r="474" customHeight="1" ht="15.75">
      <c r="A474" s="1"/>
      <c r="B474" s="34"/>
      <c r="C474" s="1"/>
      <c r="D474" s="34"/>
      <c r="E474" s="34"/>
      <c r="F474" s="34"/>
      <c r="G474" s="29"/>
      <c r="H474" s="29"/>
      <c r="I474" s="29"/>
      <c r="J474" s="34"/>
      <c r="K474" s="34"/>
      <c r="L474" s="34"/>
      <c r="M474" s="29"/>
      <c r="N474" s="29"/>
      <c r="O474" s="29"/>
      <c r="P474" s="29"/>
      <c r="Q474" s="34"/>
      <c r="R474" s="34"/>
    </row>
    <row x14ac:dyDescent="0.25" r="475" customHeight="1" ht="15.75">
      <c r="A475" s="1"/>
      <c r="B475" s="34"/>
      <c r="C475" s="1"/>
      <c r="D475" s="34"/>
      <c r="E475" s="34"/>
      <c r="F475" s="34"/>
      <c r="G475" s="29"/>
      <c r="H475" s="29"/>
      <c r="I475" s="29"/>
      <c r="J475" s="34"/>
      <c r="K475" s="34"/>
      <c r="L475" s="34"/>
      <c r="M475" s="29"/>
      <c r="N475" s="29"/>
      <c r="O475" s="29"/>
      <c r="P475" s="29"/>
      <c r="Q475" s="34"/>
      <c r="R475" s="34"/>
    </row>
    <row x14ac:dyDescent="0.25" r="476" customHeight="1" ht="15.75">
      <c r="A476" s="1"/>
      <c r="B476" s="34"/>
      <c r="C476" s="1"/>
      <c r="D476" s="34"/>
      <c r="E476" s="34"/>
      <c r="F476" s="34"/>
      <c r="G476" s="29"/>
      <c r="H476" s="29"/>
      <c r="I476" s="29"/>
      <c r="J476" s="34"/>
      <c r="K476" s="34"/>
      <c r="L476" s="34"/>
      <c r="M476" s="29"/>
      <c r="N476" s="29"/>
      <c r="O476" s="29"/>
      <c r="P476" s="29"/>
      <c r="Q476" s="34"/>
      <c r="R476" s="34"/>
    </row>
    <row x14ac:dyDescent="0.25" r="477" customHeight="1" ht="15.75">
      <c r="A477" s="1"/>
      <c r="B477" s="34"/>
      <c r="C477" s="1"/>
      <c r="D477" s="34"/>
      <c r="E477" s="34"/>
      <c r="F477" s="34"/>
      <c r="G477" s="29"/>
      <c r="H477" s="29"/>
      <c r="I477" s="29"/>
      <c r="J477" s="34"/>
      <c r="K477" s="34"/>
      <c r="L477" s="34"/>
      <c r="M477" s="29"/>
      <c r="N477" s="29"/>
      <c r="O477" s="29"/>
      <c r="P477" s="29"/>
      <c r="Q477" s="34"/>
      <c r="R477" s="34"/>
    </row>
    <row x14ac:dyDescent="0.25" r="478" customHeight="1" ht="15.75">
      <c r="A478" s="1"/>
      <c r="B478" s="34"/>
      <c r="C478" s="1"/>
      <c r="D478" s="34"/>
      <c r="E478" s="34"/>
      <c r="F478" s="34"/>
      <c r="G478" s="29"/>
      <c r="H478" s="29"/>
      <c r="I478" s="29"/>
      <c r="J478" s="34"/>
      <c r="K478" s="34"/>
      <c r="L478" s="34"/>
      <c r="M478" s="29"/>
      <c r="N478" s="29"/>
      <c r="O478" s="29"/>
      <c r="P478" s="29"/>
      <c r="Q478" s="34"/>
      <c r="R478" s="34"/>
    </row>
    <row x14ac:dyDescent="0.25" r="479" customHeight="1" ht="15.75">
      <c r="A479" s="1"/>
      <c r="B479" s="34"/>
      <c r="C479" s="1"/>
      <c r="D479" s="34"/>
      <c r="E479" s="34"/>
      <c r="F479" s="34"/>
      <c r="G479" s="29"/>
      <c r="H479" s="29"/>
      <c r="I479" s="29"/>
      <c r="J479" s="34"/>
      <c r="K479" s="34"/>
      <c r="L479" s="34"/>
      <c r="M479" s="29"/>
      <c r="N479" s="29"/>
      <c r="O479" s="29"/>
      <c r="P479" s="29"/>
      <c r="Q479" s="34"/>
      <c r="R479" s="34"/>
    </row>
    <row x14ac:dyDescent="0.25" r="480" customHeight="1" ht="15.75">
      <c r="A480" s="1"/>
      <c r="B480" s="34"/>
      <c r="C480" s="1"/>
      <c r="D480" s="34"/>
      <c r="E480" s="34"/>
      <c r="F480" s="34"/>
      <c r="G480" s="29"/>
      <c r="H480" s="29"/>
      <c r="I480" s="29"/>
      <c r="J480" s="34"/>
      <c r="K480" s="34"/>
      <c r="L480" s="34"/>
      <c r="M480" s="29"/>
      <c r="N480" s="29"/>
      <c r="O480" s="29"/>
      <c r="P480" s="29"/>
      <c r="Q480" s="34"/>
      <c r="R480" s="34"/>
    </row>
    <row x14ac:dyDescent="0.25" r="481" customHeight="1" ht="15.75">
      <c r="A481" s="1"/>
      <c r="B481" s="34"/>
      <c r="C481" s="1"/>
      <c r="D481" s="34"/>
      <c r="E481" s="34"/>
      <c r="F481" s="34"/>
      <c r="G481" s="29"/>
      <c r="H481" s="29"/>
      <c r="I481" s="29"/>
      <c r="J481" s="34"/>
      <c r="K481" s="34"/>
      <c r="L481" s="34"/>
      <c r="M481" s="29"/>
      <c r="N481" s="29"/>
      <c r="O481" s="29"/>
      <c r="P481" s="29"/>
      <c r="Q481" s="34"/>
      <c r="R481" s="34"/>
    </row>
    <row x14ac:dyDescent="0.25" r="482" customHeight="1" ht="15.75">
      <c r="A482" s="1"/>
      <c r="B482" s="34"/>
      <c r="C482" s="1"/>
      <c r="D482" s="34"/>
      <c r="E482" s="34"/>
      <c r="F482" s="34"/>
      <c r="G482" s="29"/>
      <c r="H482" s="29"/>
      <c r="I482" s="29"/>
      <c r="J482" s="34"/>
      <c r="K482" s="34"/>
      <c r="L482" s="34"/>
      <c r="M482" s="29"/>
      <c r="N482" s="29"/>
      <c r="O482" s="29"/>
      <c r="P482" s="29"/>
      <c r="Q482" s="34"/>
      <c r="R482" s="34"/>
    </row>
    <row x14ac:dyDescent="0.25" r="483" customHeight="1" ht="15.75">
      <c r="A483" s="1"/>
      <c r="B483" s="34"/>
      <c r="C483" s="1"/>
      <c r="D483" s="34"/>
      <c r="E483" s="34"/>
      <c r="F483" s="34"/>
      <c r="G483" s="29"/>
      <c r="H483" s="29"/>
      <c r="I483" s="29"/>
      <c r="J483" s="34"/>
      <c r="K483" s="34"/>
      <c r="L483" s="34"/>
      <c r="M483" s="29"/>
      <c r="N483" s="29"/>
      <c r="O483" s="29"/>
      <c r="P483" s="29"/>
      <c r="Q483" s="34"/>
      <c r="R483" s="34"/>
    </row>
    <row x14ac:dyDescent="0.25" r="484" customHeight="1" ht="15.75">
      <c r="A484" s="1"/>
      <c r="B484" s="34"/>
      <c r="C484" s="1"/>
      <c r="D484" s="34"/>
      <c r="E484" s="34"/>
      <c r="F484" s="34"/>
      <c r="G484" s="29"/>
      <c r="H484" s="29"/>
      <c r="I484" s="29"/>
      <c r="J484" s="34"/>
      <c r="K484" s="34"/>
      <c r="L484" s="34"/>
      <c r="M484" s="29"/>
      <c r="N484" s="29"/>
      <c r="O484" s="29"/>
      <c r="P484" s="29"/>
      <c r="Q484" s="34"/>
      <c r="R484" s="34"/>
    </row>
    <row x14ac:dyDescent="0.25" r="485" customHeight="1" ht="15.75">
      <c r="A485" s="1"/>
      <c r="B485" s="34"/>
      <c r="C485" s="1"/>
      <c r="D485" s="34"/>
      <c r="E485" s="34"/>
      <c r="F485" s="34"/>
      <c r="G485" s="29"/>
      <c r="H485" s="29"/>
      <c r="I485" s="29"/>
      <c r="J485" s="34"/>
      <c r="K485" s="34"/>
      <c r="L485" s="34"/>
      <c r="M485" s="29"/>
      <c r="N485" s="29"/>
      <c r="O485" s="29"/>
      <c r="P485" s="29"/>
      <c r="Q485" s="34"/>
      <c r="R485" s="34"/>
    </row>
    <row x14ac:dyDescent="0.25" r="486" customHeight="1" ht="15.75">
      <c r="A486" s="1"/>
      <c r="B486" s="34"/>
      <c r="C486" s="1"/>
      <c r="D486" s="34"/>
      <c r="E486" s="34"/>
      <c r="F486" s="34"/>
      <c r="G486" s="29"/>
      <c r="H486" s="29"/>
      <c r="I486" s="29"/>
      <c r="J486" s="34"/>
      <c r="K486" s="34"/>
      <c r="L486" s="34"/>
      <c r="M486" s="29"/>
      <c r="N486" s="29"/>
      <c r="O486" s="29"/>
      <c r="P486" s="29"/>
      <c r="Q486" s="34"/>
      <c r="R486" s="34"/>
    </row>
    <row x14ac:dyDescent="0.25" r="487" customHeight="1" ht="15.75">
      <c r="A487" s="1"/>
      <c r="B487" s="34"/>
      <c r="C487" s="1"/>
      <c r="D487" s="34"/>
      <c r="E487" s="34"/>
      <c r="F487" s="34"/>
      <c r="G487" s="29"/>
      <c r="H487" s="29"/>
      <c r="I487" s="29"/>
      <c r="J487" s="34"/>
      <c r="K487" s="34"/>
      <c r="L487" s="34"/>
      <c r="M487" s="29"/>
      <c r="N487" s="29"/>
      <c r="O487" s="29"/>
      <c r="P487" s="29"/>
      <c r="Q487" s="34"/>
      <c r="R487" s="34"/>
    </row>
    <row x14ac:dyDescent="0.25" r="488" customHeight="1" ht="15.75">
      <c r="A488" s="1"/>
      <c r="B488" s="34"/>
      <c r="C488" s="1"/>
      <c r="D488" s="34"/>
      <c r="E488" s="34"/>
      <c r="F488" s="34"/>
      <c r="G488" s="29"/>
      <c r="H488" s="29"/>
      <c r="I488" s="29"/>
      <c r="J488" s="34"/>
      <c r="K488" s="34"/>
      <c r="L488" s="34"/>
      <c r="M488" s="29"/>
      <c r="N488" s="29"/>
      <c r="O488" s="29"/>
      <c r="P488" s="29"/>
      <c r="Q488" s="34"/>
      <c r="R488" s="34"/>
    </row>
    <row x14ac:dyDescent="0.25" r="489" customHeight="1" ht="15.75">
      <c r="A489" s="1"/>
      <c r="B489" s="34"/>
      <c r="C489" s="1"/>
      <c r="D489" s="34"/>
      <c r="E489" s="34"/>
      <c r="F489" s="34"/>
      <c r="G489" s="29"/>
      <c r="H489" s="29"/>
      <c r="I489" s="29"/>
      <c r="J489" s="34"/>
      <c r="K489" s="34"/>
      <c r="L489" s="34"/>
      <c r="M489" s="29"/>
      <c r="N489" s="29"/>
      <c r="O489" s="29"/>
      <c r="P489" s="29"/>
      <c r="Q489" s="34"/>
      <c r="R489" s="34"/>
    </row>
    <row x14ac:dyDescent="0.25" r="490" customHeight="1" ht="15.75">
      <c r="A490" s="1"/>
      <c r="B490" s="34"/>
      <c r="C490" s="1"/>
      <c r="D490" s="34"/>
      <c r="E490" s="34"/>
      <c r="F490" s="34"/>
      <c r="G490" s="29"/>
      <c r="H490" s="29"/>
      <c r="I490" s="29"/>
      <c r="J490" s="34"/>
      <c r="K490" s="34"/>
      <c r="L490" s="34"/>
      <c r="M490" s="29"/>
      <c r="N490" s="29"/>
      <c r="O490" s="29"/>
      <c r="P490" s="29"/>
      <c r="Q490" s="34"/>
      <c r="R490" s="34"/>
    </row>
    <row x14ac:dyDescent="0.25" r="491" customHeight="1" ht="15.75">
      <c r="A491" s="1"/>
      <c r="B491" s="34"/>
      <c r="C491" s="1"/>
      <c r="D491" s="34"/>
      <c r="E491" s="34"/>
      <c r="F491" s="34"/>
      <c r="G491" s="29"/>
      <c r="H491" s="29"/>
      <c r="I491" s="29"/>
      <c r="J491" s="34"/>
      <c r="K491" s="34"/>
      <c r="L491" s="34"/>
      <c r="M491" s="29"/>
      <c r="N491" s="29"/>
      <c r="O491" s="29"/>
      <c r="P491" s="29"/>
      <c r="Q491" s="34"/>
      <c r="R491" s="34"/>
    </row>
    <row x14ac:dyDescent="0.25" r="492" customHeight="1" ht="15.75">
      <c r="A492" s="1"/>
      <c r="B492" s="34"/>
      <c r="C492" s="1"/>
      <c r="D492" s="34"/>
      <c r="E492" s="34"/>
      <c r="F492" s="34"/>
      <c r="G492" s="29"/>
      <c r="H492" s="29"/>
      <c r="I492" s="29"/>
      <c r="J492" s="34"/>
      <c r="K492" s="34"/>
      <c r="L492" s="34"/>
      <c r="M492" s="29"/>
      <c r="N492" s="29"/>
      <c r="O492" s="29"/>
      <c r="P492" s="29"/>
      <c r="Q492" s="34"/>
      <c r="R492" s="34"/>
    </row>
    <row x14ac:dyDescent="0.25" r="493" customHeight="1" ht="15.75">
      <c r="A493" s="1"/>
      <c r="B493" s="34"/>
      <c r="C493" s="1"/>
      <c r="D493" s="34"/>
      <c r="E493" s="34"/>
      <c r="F493" s="34"/>
      <c r="G493" s="29"/>
      <c r="H493" s="29"/>
      <c r="I493" s="29"/>
      <c r="J493" s="34"/>
      <c r="K493" s="34"/>
      <c r="L493" s="34"/>
      <c r="M493" s="29"/>
      <c r="N493" s="29"/>
      <c r="O493" s="29"/>
      <c r="P493" s="29"/>
      <c r="Q493" s="34"/>
      <c r="R493" s="34"/>
    </row>
    <row x14ac:dyDescent="0.25" r="494" customHeight="1" ht="15.75">
      <c r="A494" s="1"/>
      <c r="B494" s="34"/>
      <c r="C494" s="1"/>
      <c r="D494" s="34"/>
      <c r="E494" s="34"/>
      <c r="F494" s="34"/>
      <c r="G494" s="29"/>
      <c r="H494" s="29"/>
      <c r="I494" s="29"/>
      <c r="J494" s="34"/>
      <c r="K494" s="34"/>
      <c r="L494" s="34"/>
      <c r="M494" s="29"/>
      <c r="N494" s="29"/>
      <c r="O494" s="29"/>
      <c r="P494" s="29"/>
      <c r="Q494" s="34"/>
      <c r="R494" s="34"/>
    </row>
    <row x14ac:dyDescent="0.25" r="495" customHeight="1" ht="15.75">
      <c r="A495" s="1"/>
      <c r="B495" s="34"/>
      <c r="C495" s="1"/>
      <c r="D495" s="34"/>
      <c r="E495" s="34"/>
      <c r="F495" s="34"/>
      <c r="G495" s="29"/>
      <c r="H495" s="29"/>
      <c r="I495" s="29"/>
      <c r="J495" s="34"/>
      <c r="K495" s="34"/>
      <c r="L495" s="34"/>
      <c r="M495" s="29"/>
      <c r="N495" s="29"/>
      <c r="O495" s="29"/>
      <c r="P495" s="29"/>
      <c r="Q495" s="34"/>
      <c r="R495" s="34"/>
    </row>
    <row x14ac:dyDescent="0.25" r="496" customHeight="1" ht="15.75">
      <c r="A496" s="1"/>
      <c r="B496" s="34"/>
      <c r="C496" s="1"/>
      <c r="D496" s="34"/>
      <c r="E496" s="34"/>
      <c r="F496" s="34"/>
      <c r="G496" s="29"/>
      <c r="H496" s="29"/>
      <c r="I496" s="29"/>
      <c r="J496" s="34"/>
      <c r="K496" s="34"/>
      <c r="L496" s="34"/>
      <c r="M496" s="29"/>
      <c r="N496" s="29"/>
      <c r="O496" s="29"/>
      <c r="P496" s="29"/>
      <c r="Q496" s="34"/>
      <c r="R496" s="34"/>
    </row>
    <row x14ac:dyDescent="0.25" r="497" customHeight="1" ht="15.75">
      <c r="A497" s="1"/>
      <c r="B497" s="34"/>
      <c r="C497" s="1"/>
      <c r="D497" s="34"/>
      <c r="E497" s="34"/>
      <c r="F497" s="34"/>
      <c r="G497" s="29"/>
      <c r="H497" s="29"/>
      <c r="I497" s="29"/>
      <c r="J497" s="34"/>
      <c r="K497" s="34"/>
      <c r="L497" s="34"/>
      <c r="M497" s="29"/>
      <c r="N497" s="29"/>
      <c r="O497" s="29"/>
      <c r="P497" s="29"/>
      <c r="Q497" s="34"/>
      <c r="R497" s="34"/>
    </row>
    <row x14ac:dyDescent="0.25" r="498" customHeight="1" ht="15.75">
      <c r="A498" s="1"/>
      <c r="B498" s="34"/>
      <c r="C498" s="1"/>
      <c r="D498" s="34"/>
      <c r="E498" s="34"/>
      <c r="F498" s="34"/>
      <c r="G498" s="29"/>
      <c r="H498" s="29"/>
      <c r="I498" s="29"/>
      <c r="J498" s="34"/>
      <c r="K498" s="34"/>
      <c r="L498" s="34"/>
      <c r="M498" s="29"/>
      <c r="N498" s="29"/>
      <c r="O498" s="29"/>
      <c r="P498" s="29"/>
      <c r="Q498" s="34"/>
      <c r="R498" s="34"/>
    </row>
    <row x14ac:dyDescent="0.25" r="499" customHeight="1" ht="15.75">
      <c r="A499" s="1"/>
      <c r="B499" s="34"/>
      <c r="C499" s="1"/>
      <c r="D499" s="34"/>
      <c r="E499" s="34"/>
      <c r="F499" s="34"/>
      <c r="G499" s="29"/>
      <c r="H499" s="29"/>
      <c r="I499" s="29"/>
      <c r="J499" s="34"/>
      <c r="K499" s="34"/>
      <c r="L499" s="34"/>
      <c r="M499" s="29"/>
      <c r="N499" s="29"/>
      <c r="O499" s="29"/>
      <c r="P499" s="29"/>
      <c r="Q499" s="34"/>
      <c r="R499" s="34"/>
    </row>
    <row x14ac:dyDescent="0.25" r="500" customHeight="1" ht="15.75">
      <c r="A500" s="1"/>
      <c r="B500" s="34"/>
      <c r="C500" s="1"/>
      <c r="D500" s="34"/>
      <c r="E500" s="34"/>
      <c r="F500" s="34"/>
      <c r="G500" s="29"/>
      <c r="H500" s="29"/>
      <c r="I500" s="29"/>
      <c r="J500" s="34"/>
      <c r="K500" s="34"/>
      <c r="L500" s="34"/>
      <c r="M500" s="29"/>
      <c r="N500" s="29"/>
      <c r="O500" s="29"/>
      <c r="P500" s="29"/>
      <c r="Q500" s="34"/>
      <c r="R500" s="34"/>
    </row>
    <row x14ac:dyDescent="0.25" r="501" customHeight="1" ht="15.75">
      <c r="A501" s="1"/>
      <c r="B501" s="34"/>
      <c r="C501" s="1"/>
      <c r="D501" s="34"/>
      <c r="E501" s="34"/>
      <c r="F501" s="34"/>
      <c r="G501" s="29"/>
      <c r="H501" s="29"/>
      <c r="I501" s="29"/>
      <c r="J501" s="34"/>
      <c r="K501" s="34"/>
      <c r="L501" s="34"/>
      <c r="M501" s="29"/>
      <c r="N501" s="29"/>
      <c r="O501" s="29"/>
      <c r="P501" s="29"/>
      <c r="Q501" s="34"/>
      <c r="R501" s="34"/>
    </row>
    <row x14ac:dyDescent="0.25" r="502" customHeight="1" ht="15.75">
      <c r="A502" s="1"/>
      <c r="B502" s="34"/>
      <c r="C502" s="1"/>
      <c r="D502" s="34"/>
      <c r="E502" s="34"/>
      <c r="F502" s="34"/>
      <c r="G502" s="29"/>
      <c r="H502" s="29"/>
      <c r="I502" s="29"/>
      <c r="J502" s="34"/>
      <c r="K502" s="34"/>
      <c r="L502" s="34"/>
      <c r="M502" s="29"/>
      <c r="N502" s="29"/>
      <c r="O502" s="29"/>
      <c r="P502" s="29"/>
      <c r="Q502" s="34"/>
      <c r="R502" s="34"/>
    </row>
    <row x14ac:dyDescent="0.25" r="503" customHeight="1" ht="15.75">
      <c r="A503" s="1"/>
      <c r="B503" s="34"/>
      <c r="C503" s="1"/>
      <c r="D503" s="34"/>
      <c r="E503" s="34"/>
      <c r="F503" s="34"/>
      <c r="G503" s="29"/>
      <c r="H503" s="29"/>
      <c r="I503" s="29"/>
      <c r="J503" s="34"/>
      <c r="K503" s="34"/>
      <c r="L503" s="34"/>
      <c r="M503" s="29"/>
      <c r="N503" s="29"/>
      <c r="O503" s="29"/>
      <c r="P503" s="29"/>
      <c r="Q503" s="34"/>
      <c r="R503" s="34"/>
    </row>
    <row x14ac:dyDescent="0.25" r="504" customHeight="1" ht="15.75">
      <c r="A504" s="1"/>
      <c r="B504" s="34"/>
      <c r="C504" s="1"/>
      <c r="D504" s="34"/>
      <c r="E504" s="34"/>
      <c r="F504" s="34"/>
      <c r="G504" s="29"/>
      <c r="H504" s="29"/>
      <c r="I504" s="29"/>
      <c r="J504" s="34"/>
      <c r="K504" s="34"/>
      <c r="L504" s="34"/>
      <c r="M504" s="29"/>
      <c r="N504" s="29"/>
      <c r="O504" s="29"/>
      <c r="P504" s="29"/>
      <c r="Q504" s="34"/>
      <c r="R504" s="34"/>
    </row>
    <row x14ac:dyDescent="0.25" r="505" customHeight="1" ht="15.75">
      <c r="A505" s="1"/>
      <c r="B505" s="34"/>
      <c r="C505" s="1"/>
      <c r="D505" s="34"/>
      <c r="E505" s="34"/>
      <c r="F505" s="34"/>
      <c r="G505" s="29"/>
      <c r="H505" s="29"/>
      <c r="I505" s="29"/>
      <c r="J505" s="34"/>
      <c r="K505" s="34"/>
      <c r="L505" s="34"/>
      <c r="M505" s="29"/>
      <c r="N505" s="29"/>
      <c r="O505" s="29"/>
      <c r="P505" s="29"/>
      <c r="Q505" s="34"/>
      <c r="R505" s="34"/>
    </row>
    <row x14ac:dyDescent="0.25" r="506" customHeight="1" ht="15.75">
      <c r="A506" s="1"/>
      <c r="B506" s="34"/>
      <c r="C506" s="1"/>
      <c r="D506" s="34"/>
      <c r="E506" s="34"/>
      <c r="F506" s="34"/>
      <c r="G506" s="29"/>
      <c r="H506" s="29"/>
      <c r="I506" s="29"/>
      <c r="J506" s="34"/>
      <c r="K506" s="34"/>
      <c r="L506" s="34"/>
      <c r="M506" s="29"/>
      <c r="N506" s="29"/>
      <c r="O506" s="29"/>
      <c r="P506" s="29"/>
      <c r="Q506" s="34"/>
      <c r="R506" s="34"/>
    </row>
    <row x14ac:dyDescent="0.25" r="507" customHeight="1" ht="15.75">
      <c r="A507" s="1"/>
      <c r="B507" s="34"/>
      <c r="C507" s="1"/>
      <c r="D507" s="34"/>
      <c r="E507" s="34"/>
      <c r="F507" s="34"/>
      <c r="G507" s="29"/>
      <c r="H507" s="29"/>
      <c r="I507" s="29"/>
      <c r="J507" s="34"/>
      <c r="K507" s="34"/>
      <c r="L507" s="34"/>
      <c r="M507" s="29"/>
      <c r="N507" s="29"/>
      <c r="O507" s="29"/>
      <c r="P507" s="29"/>
      <c r="Q507" s="34"/>
      <c r="R507" s="34"/>
    </row>
    <row x14ac:dyDescent="0.25" r="508" customHeight="1" ht="15.75">
      <c r="A508" s="1"/>
      <c r="B508" s="34"/>
      <c r="C508" s="1"/>
      <c r="D508" s="34"/>
      <c r="E508" s="34"/>
      <c r="F508" s="34"/>
      <c r="G508" s="29"/>
      <c r="H508" s="29"/>
      <c r="I508" s="29"/>
      <c r="J508" s="34"/>
      <c r="K508" s="34"/>
      <c r="L508" s="34"/>
      <c r="M508" s="29"/>
      <c r="N508" s="29"/>
      <c r="O508" s="29"/>
      <c r="P508" s="29"/>
      <c r="Q508" s="34"/>
      <c r="R508" s="34"/>
    </row>
    <row x14ac:dyDescent="0.25" r="509" customHeight="1" ht="15.75">
      <c r="A509" s="1"/>
      <c r="B509" s="34"/>
      <c r="C509" s="1"/>
      <c r="D509" s="34"/>
      <c r="E509" s="34"/>
      <c r="F509" s="34"/>
      <c r="G509" s="29"/>
      <c r="H509" s="29"/>
      <c r="I509" s="29"/>
      <c r="J509" s="34"/>
      <c r="K509" s="34"/>
      <c r="L509" s="34"/>
      <c r="M509" s="29"/>
      <c r="N509" s="29"/>
      <c r="O509" s="29"/>
      <c r="P509" s="29"/>
      <c r="Q509" s="34"/>
      <c r="R509" s="34"/>
    </row>
    <row x14ac:dyDescent="0.25" r="510" customHeight="1" ht="15.75">
      <c r="A510" s="1"/>
      <c r="B510" s="34"/>
      <c r="C510" s="1"/>
      <c r="D510" s="34"/>
      <c r="E510" s="34"/>
      <c r="F510" s="34"/>
      <c r="G510" s="29"/>
      <c r="H510" s="29"/>
      <c r="I510" s="29"/>
      <c r="J510" s="34"/>
      <c r="K510" s="34"/>
      <c r="L510" s="34"/>
      <c r="M510" s="29"/>
      <c r="N510" s="29"/>
      <c r="O510" s="29"/>
      <c r="P510" s="29"/>
      <c r="Q510" s="34"/>
      <c r="R510" s="34"/>
    </row>
    <row x14ac:dyDescent="0.25" r="511" customHeight="1" ht="15.75">
      <c r="A511" s="1"/>
      <c r="B511" s="34"/>
      <c r="C511" s="1"/>
      <c r="D511" s="34"/>
      <c r="E511" s="34"/>
      <c r="F511" s="34"/>
      <c r="G511" s="29"/>
      <c r="H511" s="29"/>
      <c r="I511" s="29"/>
      <c r="J511" s="34"/>
      <c r="K511" s="34"/>
      <c r="L511" s="34"/>
      <c r="M511" s="29"/>
      <c r="N511" s="29"/>
      <c r="O511" s="29"/>
      <c r="P511" s="29"/>
      <c r="Q511" s="34"/>
      <c r="R511" s="34"/>
    </row>
    <row x14ac:dyDescent="0.25" r="512" customHeight="1" ht="15.75">
      <c r="A512" s="1"/>
      <c r="B512" s="34"/>
      <c r="C512" s="1"/>
      <c r="D512" s="34"/>
      <c r="E512" s="34"/>
      <c r="F512" s="34"/>
      <c r="G512" s="29"/>
      <c r="H512" s="29"/>
      <c r="I512" s="29"/>
      <c r="J512" s="34"/>
      <c r="K512" s="34"/>
      <c r="L512" s="34"/>
      <c r="M512" s="29"/>
      <c r="N512" s="29"/>
      <c r="O512" s="29"/>
      <c r="P512" s="29"/>
      <c r="Q512" s="34"/>
      <c r="R512" s="34"/>
    </row>
    <row x14ac:dyDescent="0.25" r="513" customHeight="1" ht="15.75">
      <c r="A513" s="1"/>
      <c r="B513" s="34"/>
      <c r="C513" s="1"/>
      <c r="D513" s="34"/>
      <c r="E513" s="34"/>
      <c r="F513" s="34"/>
      <c r="G513" s="29"/>
      <c r="H513" s="29"/>
      <c r="I513" s="29"/>
      <c r="J513" s="34"/>
      <c r="K513" s="34"/>
      <c r="L513" s="34"/>
      <c r="M513" s="29"/>
      <c r="N513" s="29"/>
      <c r="O513" s="29"/>
      <c r="P513" s="29"/>
      <c r="Q513" s="34"/>
      <c r="R513" s="34"/>
    </row>
    <row x14ac:dyDescent="0.25" r="514" customHeight="1" ht="15.75">
      <c r="A514" s="1"/>
      <c r="B514" s="34"/>
      <c r="C514" s="1"/>
      <c r="D514" s="34"/>
      <c r="E514" s="34"/>
      <c r="F514" s="34"/>
      <c r="G514" s="29"/>
      <c r="H514" s="29"/>
      <c r="I514" s="29"/>
      <c r="J514" s="34"/>
      <c r="K514" s="34"/>
      <c r="L514" s="34"/>
      <c r="M514" s="29"/>
      <c r="N514" s="29"/>
      <c r="O514" s="29"/>
      <c r="P514" s="29"/>
      <c r="Q514" s="34"/>
      <c r="R514" s="34"/>
    </row>
    <row x14ac:dyDescent="0.25" r="515" customHeight="1" ht="15.75">
      <c r="A515" s="1"/>
      <c r="B515" s="34"/>
      <c r="C515" s="1"/>
      <c r="D515" s="34"/>
      <c r="E515" s="34"/>
      <c r="F515" s="34"/>
      <c r="G515" s="29"/>
      <c r="H515" s="29"/>
      <c r="I515" s="29"/>
      <c r="J515" s="34"/>
      <c r="K515" s="34"/>
      <c r="L515" s="34"/>
      <c r="M515" s="29"/>
      <c r="N515" s="29"/>
      <c r="O515" s="29"/>
      <c r="P515" s="29"/>
      <c r="Q515" s="34"/>
      <c r="R515" s="34"/>
    </row>
    <row x14ac:dyDescent="0.25" r="516" customHeight="1" ht="15.75">
      <c r="A516" s="1"/>
      <c r="B516" s="34"/>
      <c r="C516" s="1"/>
      <c r="D516" s="34"/>
      <c r="E516" s="34"/>
      <c r="F516" s="34"/>
      <c r="G516" s="29"/>
      <c r="H516" s="29"/>
      <c r="I516" s="29"/>
      <c r="J516" s="34"/>
      <c r="K516" s="34"/>
      <c r="L516" s="34"/>
      <c r="M516" s="29"/>
      <c r="N516" s="29"/>
      <c r="O516" s="29"/>
      <c r="P516" s="29"/>
      <c r="Q516" s="34"/>
      <c r="R516" s="34"/>
    </row>
    <row x14ac:dyDescent="0.25" r="517" customHeight="1" ht="15.75">
      <c r="A517" s="1"/>
      <c r="B517" s="34"/>
      <c r="C517" s="1"/>
      <c r="D517" s="34"/>
      <c r="E517" s="34"/>
      <c r="F517" s="34"/>
      <c r="G517" s="29"/>
      <c r="H517" s="29"/>
      <c r="I517" s="29"/>
      <c r="J517" s="34"/>
      <c r="K517" s="34"/>
      <c r="L517" s="34"/>
      <c r="M517" s="29"/>
      <c r="N517" s="29"/>
      <c r="O517" s="29"/>
      <c r="P517" s="29"/>
      <c r="Q517" s="34"/>
      <c r="R517" s="34"/>
    </row>
    <row x14ac:dyDescent="0.25" r="518" customHeight="1" ht="15.75">
      <c r="A518" s="1"/>
      <c r="B518" s="34"/>
      <c r="C518" s="1"/>
      <c r="D518" s="34"/>
      <c r="E518" s="34"/>
      <c r="F518" s="34"/>
      <c r="G518" s="29"/>
      <c r="H518" s="29"/>
      <c r="I518" s="29"/>
      <c r="J518" s="34"/>
      <c r="K518" s="34"/>
      <c r="L518" s="34"/>
      <c r="M518" s="29"/>
      <c r="N518" s="29"/>
      <c r="O518" s="29"/>
      <c r="P518" s="29"/>
      <c r="Q518" s="34"/>
      <c r="R518" s="34"/>
    </row>
    <row x14ac:dyDescent="0.25" r="519" customHeight="1" ht="15.75">
      <c r="A519" s="1"/>
      <c r="B519" s="34"/>
      <c r="C519" s="1"/>
      <c r="D519" s="34"/>
      <c r="E519" s="34"/>
      <c r="F519" s="34"/>
      <c r="G519" s="29"/>
      <c r="H519" s="29"/>
      <c r="I519" s="29"/>
      <c r="J519" s="34"/>
      <c r="K519" s="34"/>
      <c r="L519" s="34"/>
      <c r="M519" s="29"/>
      <c r="N519" s="29"/>
      <c r="O519" s="29"/>
      <c r="P519" s="29"/>
      <c r="Q519" s="34"/>
      <c r="R519" s="34"/>
    </row>
    <row x14ac:dyDescent="0.25" r="520" customHeight="1" ht="15.75">
      <c r="A520" s="1"/>
      <c r="B520" s="34"/>
      <c r="C520" s="1"/>
      <c r="D520" s="34"/>
      <c r="E520" s="34"/>
      <c r="F520" s="34"/>
      <c r="G520" s="29"/>
      <c r="H520" s="29"/>
      <c r="I520" s="29"/>
      <c r="J520" s="34"/>
      <c r="K520" s="34"/>
      <c r="L520" s="34"/>
      <c r="M520" s="29"/>
      <c r="N520" s="29"/>
      <c r="O520" s="29"/>
      <c r="P520" s="29"/>
      <c r="Q520" s="34"/>
      <c r="R520" s="34"/>
    </row>
    <row x14ac:dyDescent="0.25" r="521" customHeight="1" ht="15.75">
      <c r="A521" s="1"/>
      <c r="B521" s="34"/>
      <c r="C521" s="1"/>
      <c r="D521" s="34"/>
      <c r="E521" s="34"/>
      <c r="F521" s="34"/>
      <c r="G521" s="29"/>
      <c r="H521" s="29"/>
      <c r="I521" s="29"/>
      <c r="J521" s="34"/>
      <c r="K521" s="34"/>
      <c r="L521" s="34"/>
      <c r="M521" s="29"/>
      <c r="N521" s="29"/>
      <c r="O521" s="29"/>
      <c r="P521" s="29"/>
      <c r="Q521" s="34"/>
      <c r="R521" s="34"/>
    </row>
    <row x14ac:dyDescent="0.25" r="522" customHeight="1" ht="15.75">
      <c r="A522" s="1"/>
      <c r="B522" s="34"/>
      <c r="C522" s="1"/>
      <c r="D522" s="34"/>
      <c r="E522" s="34"/>
      <c r="F522" s="34"/>
      <c r="G522" s="29"/>
      <c r="H522" s="29"/>
      <c r="I522" s="29"/>
      <c r="J522" s="34"/>
      <c r="K522" s="34"/>
      <c r="L522" s="34"/>
      <c r="M522" s="29"/>
      <c r="N522" s="29"/>
      <c r="O522" s="29"/>
      <c r="P522" s="29"/>
      <c r="Q522" s="34"/>
      <c r="R522" s="34"/>
    </row>
    <row x14ac:dyDescent="0.25" r="523" customHeight="1" ht="15.75">
      <c r="A523" s="1"/>
      <c r="B523" s="34"/>
      <c r="C523" s="1"/>
      <c r="D523" s="34"/>
      <c r="E523" s="34"/>
      <c r="F523" s="34"/>
      <c r="G523" s="29"/>
      <c r="H523" s="29"/>
      <c r="I523" s="29"/>
      <c r="J523" s="34"/>
      <c r="K523" s="34"/>
      <c r="L523" s="34"/>
      <c r="M523" s="29"/>
      <c r="N523" s="29"/>
      <c r="O523" s="29"/>
      <c r="P523" s="29"/>
      <c r="Q523" s="34"/>
      <c r="R523" s="34"/>
    </row>
    <row x14ac:dyDescent="0.25" r="524" customHeight="1" ht="15.75">
      <c r="A524" s="1"/>
      <c r="B524" s="34"/>
      <c r="C524" s="1"/>
      <c r="D524" s="34"/>
      <c r="E524" s="34"/>
      <c r="F524" s="34"/>
      <c r="G524" s="29"/>
      <c r="H524" s="29"/>
      <c r="I524" s="29"/>
      <c r="J524" s="34"/>
      <c r="K524" s="34"/>
      <c r="L524" s="34"/>
      <c r="M524" s="29"/>
      <c r="N524" s="29"/>
      <c r="O524" s="29"/>
      <c r="P524" s="29"/>
      <c r="Q524" s="34"/>
      <c r="R524" s="34"/>
    </row>
    <row x14ac:dyDescent="0.25" r="525" customHeight="1" ht="15.75">
      <c r="A525" s="1"/>
      <c r="B525" s="34"/>
      <c r="C525" s="1"/>
      <c r="D525" s="34"/>
      <c r="E525" s="34"/>
      <c r="F525" s="34"/>
      <c r="G525" s="29"/>
      <c r="H525" s="29"/>
      <c r="I525" s="29"/>
      <c r="J525" s="34"/>
      <c r="K525" s="34"/>
      <c r="L525" s="34"/>
      <c r="M525" s="29"/>
      <c r="N525" s="29"/>
      <c r="O525" s="29"/>
      <c r="P525" s="29"/>
      <c r="Q525" s="34"/>
      <c r="R525" s="34"/>
    </row>
    <row x14ac:dyDescent="0.25" r="526" customHeight="1" ht="15.75">
      <c r="A526" s="1"/>
      <c r="B526" s="34"/>
      <c r="C526" s="1"/>
      <c r="D526" s="34"/>
      <c r="E526" s="34"/>
      <c r="F526" s="34"/>
      <c r="G526" s="29"/>
      <c r="H526" s="29"/>
      <c r="I526" s="29"/>
      <c r="J526" s="34"/>
      <c r="K526" s="34"/>
      <c r="L526" s="34"/>
      <c r="M526" s="29"/>
      <c r="N526" s="29"/>
      <c r="O526" s="29"/>
      <c r="P526" s="29"/>
      <c r="Q526" s="34"/>
      <c r="R526" s="34"/>
    </row>
    <row x14ac:dyDescent="0.25" r="527" customHeight="1" ht="15.75">
      <c r="A527" s="1"/>
      <c r="B527" s="34"/>
      <c r="C527" s="1"/>
      <c r="D527" s="34"/>
      <c r="E527" s="34"/>
      <c r="F527" s="34"/>
      <c r="G527" s="29"/>
      <c r="H527" s="29"/>
      <c r="I527" s="29"/>
      <c r="J527" s="34"/>
      <c r="K527" s="34"/>
      <c r="L527" s="34"/>
      <c r="M527" s="29"/>
      <c r="N527" s="29"/>
      <c r="O527" s="29"/>
      <c r="P527" s="29"/>
      <c r="Q527" s="34"/>
      <c r="R527" s="34"/>
    </row>
    <row x14ac:dyDescent="0.25" r="528" customHeight="1" ht="15.75">
      <c r="A528" s="1"/>
      <c r="B528" s="34"/>
      <c r="C528" s="1"/>
      <c r="D528" s="34"/>
      <c r="E528" s="34"/>
      <c r="F528" s="34"/>
      <c r="G528" s="29"/>
      <c r="H528" s="29"/>
      <c r="I528" s="29"/>
      <c r="J528" s="34"/>
      <c r="K528" s="34"/>
      <c r="L528" s="34"/>
      <c r="M528" s="29"/>
      <c r="N528" s="29"/>
      <c r="O528" s="29"/>
      <c r="P528" s="29"/>
      <c r="Q528" s="34"/>
      <c r="R528" s="34"/>
    </row>
    <row x14ac:dyDescent="0.25" r="529" customHeight="1" ht="15.75">
      <c r="A529" s="1"/>
      <c r="B529" s="34"/>
      <c r="C529" s="1"/>
      <c r="D529" s="34"/>
      <c r="E529" s="34"/>
      <c r="F529" s="34"/>
      <c r="G529" s="29"/>
      <c r="H529" s="29"/>
      <c r="I529" s="29"/>
      <c r="J529" s="34"/>
      <c r="K529" s="34"/>
      <c r="L529" s="34"/>
      <c r="M529" s="29"/>
      <c r="N529" s="29"/>
      <c r="O529" s="29"/>
      <c r="P529" s="29"/>
      <c r="Q529" s="34"/>
      <c r="R529" s="34"/>
    </row>
    <row x14ac:dyDescent="0.25" r="530" customHeight="1" ht="15.75">
      <c r="A530" s="1"/>
      <c r="B530" s="34"/>
      <c r="C530" s="1"/>
      <c r="D530" s="34"/>
      <c r="E530" s="34"/>
      <c r="F530" s="34"/>
      <c r="G530" s="29"/>
      <c r="H530" s="29"/>
      <c r="I530" s="29"/>
      <c r="J530" s="34"/>
      <c r="K530" s="34"/>
      <c r="L530" s="34"/>
      <c r="M530" s="29"/>
      <c r="N530" s="29"/>
      <c r="O530" s="29"/>
      <c r="P530" s="29"/>
      <c r="Q530" s="34"/>
      <c r="R530" s="34"/>
    </row>
    <row x14ac:dyDescent="0.25" r="531" customHeight="1" ht="15.75">
      <c r="A531" s="1"/>
      <c r="B531" s="34"/>
      <c r="C531" s="1"/>
      <c r="D531" s="34"/>
      <c r="E531" s="34"/>
      <c r="F531" s="34"/>
      <c r="G531" s="29"/>
      <c r="H531" s="29"/>
      <c r="I531" s="29"/>
      <c r="J531" s="34"/>
      <c r="K531" s="34"/>
      <c r="L531" s="34"/>
      <c r="M531" s="29"/>
      <c r="N531" s="29"/>
      <c r="O531" s="29"/>
      <c r="P531" s="29"/>
      <c r="Q531" s="34"/>
      <c r="R531" s="34"/>
    </row>
    <row x14ac:dyDescent="0.25" r="532" customHeight="1" ht="15.75">
      <c r="A532" s="1"/>
      <c r="B532" s="34"/>
      <c r="C532" s="1"/>
      <c r="D532" s="34"/>
      <c r="E532" s="34"/>
      <c r="F532" s="34"/>
      <c r="G532" s="29"/>
      <c r="H532" s="29"/>
      <c r="I532" s="29"/>
      <c r="J532" s="34"/>
      <c r="K532" s="34"/>
      <c r="L532" s="34"/>
      <c r="M532" s="29"/>
      <c r="N532" s="29"/>
      <c r="O532" s="29"/>
      <c r="P532" s="29"/>
      <c r="Q532" s="34"/>
      <c r="R532" s="34"/>
    </row>
    <row x14ac:dyDescent="0.25" r="533" customHeight="1" ht="15.75">
      <c r="A533" s="1"/>
      <c r="B533" s="34"/>
      <c r="C533" s="1"/>
      <c r="D533" s="34"/>
      <c r="E533" s="34"/>
      <c r="F533" s="34"/>
      <c r="G533" s="29"/>
      <c r="H533" s="29"/>
      <c r="I533" s="29"/>
      <c r="J533" s="34"/>
      <c r="K533" s="34"/>
      <c r="L533" s="34"/>
      <c r="M533" s="29"/>
      <c r="N533" s="29"/>
      <c r="O533" s="29"/>
      <c r="P533" s="29"/>
      <c r="Q533" s="34"/>
      <c r="R533" s="34"/>
    </row>
    <row x14ac:dyDescent="0.25" r="534" customHeight="1" ht="15.75">
      <c r="A534" s="1"/>
      <c r="B534" s="34"/>
      <c r="C534" s="1"/>
      <c r="D534" s="34"/>
      <c r="E534" s="34"/>
      <c r="F534" s="34"/>
      <c r="G534" s="29"/>
      <c r="H534" s="29"/>
      <c r="I534" s="29"/>
      <c r="J534" s="34"/>
      <c r="K534" s="34"/>
      <c r="L534" s="34"/>
      <c r="M534" s="29"/>
      <c r="N534" s="29"/>
      <c r="O534" s="29"/>
      <c r="P534" s="29"/>
      <c r="Q534" s="34"/>
      <c r="R534" s="34"/>
    </row>
    <row x14ac:dyDescent="0.25" r="535" customHeight="1" ht="15.75">
      <c r="A535" s="1"/>
      <c r="B535" s="34"/>
      <c r="C535" s="1"/>
      <c r="D535" s="34"/>
      <c r="E535" s="34"/>
      <c r="F535" s="34"/>
      <c r="G535" s="29"/>
      <c r="H535" s="29"/>
      <c r="I535" s="29"/>
      <c r="J535" s="34"/>
      <c r="K535" s="34"/>
      <c r="L535" s="34"/>
      <c r="M535" s="29"/>
      <c r="N535" s="29"/>
      <c r="O535" s="29"/>
      <c r="P535" s="29"/>
      <c r="Q535" s="34"/>
      <c r="R535" s="34"/>
    </row>
    <row x14ac:dyDescent="0.25" r="536" customHeight="1" ht="15.75">
      <c r="A536" s="1"/>
      <c r="B536" s="34"/>
      <c r="C536" s="1"/>
      <c r="D536" s="34"/>
      <c r="E536" s="34"/>
      <c r="F536" s="34"/>
      <c r="G536" s="29"/>
      <c r="H536" s="29"/>
      <c r="I536" s="29"/>
      <c r="J536" s="34"/>
      <c r="K536" s="34"/>
      <c r="L536" s="34"/>
      <c r="M536" s="29"/>
      <c r="N536" s="29"/>
      <c r="O536" s="29"/>
      <c r="P536" s="29"/>
      <c r="Q536" s="34"/>
      <c r="R536" s="34"/>
    </row>
    <row x14ac:dyDescent="0.25" r="537" customHeight="1" ht="15.75">
      <c r="A537" s="1"/>
      <c r="B537" s="34"/>
      <c r="C537" s="1"/>
      <c r="D537" s="34"/>
      <c r="E537" s="34"/>
      <c r="F537" s="34"/>
      <c r="G537" s="29"/>
      <c r="H537" s="29"/>
      <c r="I537" s="29"/>
      <c r="J537" s="34"/>
      <c r="K537" s="34"/>
      <c r="L537" s="34"/>
      <c r="M537" s="29"/>
      <c r="N537" s="29"/>
      <c r="O537" s="29"/>
      <c r="P537" s="29"/>
      <c r="Q537" s="34"/>
      <c r="R537" s="34"/>
    </row>
    <row x14ac:dyDescent="0.25" r="538" customHeight="1" ht="15.75">
      <c r="A538" s="1"/>
      <c r="B538" s="34"/>
      <c r="C538" s="1"/>
      <c r="D538" s="34"/>
      <c r="E538" s="34"/>
      <c r="F538" s="34"/>
      <c r="G538" s="29"/>
      <c r="H538" s="29"/>
      <c r="I538" s="29"/>
      <c r="J538" s="34"/>
      <c r="K538" s="34"/>
      <c r="L538" s="34"/>
      <c r="M538" s="29"/>
      <c r="N538" s="29"/>
      <c r="O538" s="29"/>
      <c r="P538" s="29"/>
      <c r="Q538" s="34"/>
      <c r="R538" s="34"/>
    </row>
    <row x14ac:dyDescent="0.25" r="539" customHeight="1" ht="15.75">
      <c r="A539" s="1"/>
      <c r="B539" s="34"/>
      <c r="C539" s="1"/>
      <c r="D539" s="34"/>
      <c r="E539" s="34"/>
      <c r="F539" s="34"/>
      <c r="G539" s="29"/>
      <c r="H539" s="29"/>
      <c r="I539" s="29"/>
      <c r="J539" s="34"/>
      <c r="K539" s="34"/>
      <c r="L539" s="34"/>
      <c r="M539" s="29"/>
      <c r="N539" s="29"/>
      <c r="O539" s="29"/>
      <c r="P539" s="29"/>
      <c r="Q539" s="34"/>
      <c r="R539" s="34"/>
    </row>
    <row x14ac:dyDescent="0.25" r="540" customHeight="1" ht="15.75">
      <c r="A540" s="1"/>
      <c r="B540" s="34"/>
      <c r="C540" s="1"/>
      <c r="D540" s="34"/>
      <c r="E540" s="34"/>
      <c r="F540" s="34"/>
      <c r="G540" s="29"/>
      <c r="H540" s="29"/>
      <c r="I540" s="29"/>
      <c r="J540" s="34"/>
      <c r="K540" s="34"/>
      <c r="L540" s="34"/>
      <c r="M540" s="29"/>
      <c r="N540" s="29"/>
      <c r="O540" s="29"/>
      <c r="P540" s="29"/>
      <c r="Q540" s="34"/>
      <c r="R540" s="34"/>
    </row>
    <row x14ac:dyDescent="0.25" r="541" customHeight="1" ht="15.75">
      <c r="A541" s="1"/>
      <c r="B541" s="34"/>
      <c r="C541" s="1"/>
      <c r="D541" s="34"/>
      <c r="E541" s="34"/>
      <c r="F541" s="34"/>
      <c r="G541" s="29"/>
      <c r="H541" s="29"/>
      <c r="I541" s="29"/>
      <c r="J541" s="34"/>
      <c r="K541" s="34"/>
      <c r="L541" s="34"/>
      <c r="M541" s="29"/>
      <c r="N541" s="29"/>
      <c r="O541" s="29"/>
      <c r="P541" s="29"/>
      <c r="Q541" s="34"/>
      <c r="R541" s="34"/>
    </row>
    <row x14ac:dyDescent="0.25" r="542" customHeight="1" ht="15.75">
      <c r="A542" s="1"/>
      <c r="B542" s="34"/>
      <c r="C542" s="1"/>
      <c r="D542" s="34"/>
      <c r="E542" s="34"/>
      <c r="F542" s="34"/>
      <c r="G542" s="29"/>
      <c r="H542" s="29"/>
      <c r="I542" s="29"/>
      <c r="J542" s="34"/>
      <c r="K542" s="34"/>
      <c r="L542" s="34"/>
      <c r="M542" s="29"/>
      <c r="N542" s="29"/>
      <c r="O542" s="29"/>
      <c r="P542" s="29"/>
      <c r="Q542" s="34"/>
      <c r="R542" s="34"/>
    </row>
    <row x14ac:dyDescent="0.25" r="543" customHeight="1" ht="15.75">
      <c r="A543" s="1"/>
      <c r="B543" s="34"/>
      <c r="C543" s="1"/>
      <c r="D543" s="34"/>
      <c r="E543" s="34"/>
      <c r="F543" s="34"/>
      <c r="G543" s="29"/>
      <c r="H543" s="29"/>
      <c r="I543" s="29"/>
      <c r="J543" s="34"/>
      <c r="K543" s="34"/>
      <c r="L543" s="34"/>
      <c r="M543" s="29"/>
      <c r="N543" s="29"/>
      <c r="O543" s="29"/>
      <c r="P543" s="29"/>
      <c r="Q543" s="34"/>
      <c r="R543" s="34"/>
    </row>
    <row x14ac:dyDescent="0.25" r="544" customHeight="1" ht="15.75">
      <c r="A544" s="1"/>
      <c r="B544" s="34"/>
      <c r="C544" s="1"/>
      <c r="D544" s="34"/>
      <c r="E544" s="34"/>
      <c r="F544" s="34"/>
      <c r="G544" s="29"/>
      <c r="H544" s="29"/>
      <c r="I544" s="29"/>
      <c r="J544" s="34"/>
      <c r="K544" s="34"/>
      <c r="L544" s="34"/>
      <c r="M544" s="29"/>
      <c r="N544" s="29"/>
      <c r="O544" s="29"/>
      <c r="P544" s="29"/>
      <c r="Q544" s="34"/>
      <c r="R544" s="34"/>
    </row>
    <row x14ac:dyDescent="0.25" r="545" customHeight="1" ht="15.75">
      <c r="A545" s="1"/>
      <c r="B545" s="34"/>
      <c r="C545" s="1"/>
      <c r="D545" s="34"/>
      <c r="E545" s="34"/>
      <c r="F545" s="34"/>
      <c r="G545" s="29"/>
      <c r="H545" s="29"/>
      <c r="I545" s="29"/>
      <c r="J545" s="34"/>
      <c r="K545" s="34"/>
      <c r="L545" s="34"/>
      <c r="M545" s="29"/>
      <c r="N545" s="29"/>
      <c r="O545" s="29"/>
      <c r="P545" s="29"/>
      <c r="Q545" s="34"/>
      <c r="R545" s="34"/>
    </row>
    <row x14ac:dyDescent="0.25" r="546" customHeight="1" ht="15.75">
      <c r="A546" s="1"/>
      <c r="B546" s="34"/>
      <c r="C546" s="1"/>
      <c r="D546" s="34"/>
      <c r="E546" s="34"/>
      <c r="F546" s="34"/>
      <c r="G546" s="29"/>
      <c r="H546" s="29"/>
      <c r="I546" s="29"/>
      <c r="J546" s="34"/>
      <c r="K546" s="34"/>
      <c r="L546" s="34"/>
      <c r="M546" s="29"/>
      <c r="N546" s="29"/>
      <c r="O546" s="29"/>
      <c r="P546" s="29"/>
      <c r="Q546" s="34"/>
      <c r="R546" s="34"/>
    </row>
    <row x14ac:dyDescent="0.25" r="547" customHeight="1" ht="15.75">
      <c r="A547" s="1"/>
      <c r="B547" s="34"/>
      <c r="C547" s="1"/>
      <c r="D547" s="34"/>
      <c r="E547" s="34"/>
      <c r="F547" s="34"/>
      <c r="G547" s="29"/>
      <c r="H547" s="29"/>
      <c r="I547" s="29"/>
      <c r="J547" s="34"/>
      <c r="K547" s="34"/>
      <c r="L547" s="34"/>
      <c r="M547" s="29"/>
      <c r="N547" s="29"/>
      <c r="O547" s="29"/>
      <c r="P547" s="29"/>
      <c r="Q547" s="34"/>
      <c r="R547" s="34"/>
    </row>
    <row x14ac:dyDescent="0.25" r="548" customHeight="1" ht="15.75">
      <c r="A548" s="1"/>
      <c r="B548" s="34"/>
      <c r="C548" s="1"/>
      <c r="D548" s="34"/>
      <c r="E548" s="34"/>
      <c r="F548" s="34"/>
      <c r="G548" s="29"/>
      <c r="H548" s="29"/>
      <c r="I548" s="29"/>
      <c r="J548" s="34"/>
      <c r="K548" s="34"/>
      <c r="L548" s="34"/>
      <c r="M548" s="29"/>
      <c r="N548" s="29"/>
      <c r="O548" s="29"/>
      <c r="P548" s="29"/>
      <c r="Q548" s="34"/>
      <c r="R548" s="34"/>
    </row>
    <row x14ac:dyDescent="0.25" r="549" customHeight="1" ht="15.75">
      <c r="A549" s="1"/>
      <c r="B549" s="34"/>
      <c r="C549" s="1"/>
      <c r="D549" s="34"/>
      <c r="E549" s="34"/>
      <c r="F549" s="34"/>
      <c r="G549" s="29"/>
      <c r="H549" s="29"/>
      <c r="I549" s="29"/>
      <c r="J549" s="34"/>
      <c r="K549" s="34"/>
      <c r="L549" s="34"/>
      <c r="M549" s="29"/>
      <c r="N549" s="29"/>
      <c r="O549" s="29"/>
      <c r="P549" s="29"/>
      <c r="Q549" s="34"/>
      <c r="R549" s="34"/>
    </row>
    <row x14ac:dyDescent="0.25" r="550" customHeight="1" ht="15.75">
      <c r="A550" s="1"/>
      <c r="B550" s="34"/>
      <c r="C550" s="1"/>
      <c r="D550" s="34"/>
      <c r="E550" s="34"/>
      <c r="F550" s="34"/>
      <c r="G550" s="29"/>
      <c r="H550" s="29"/>
      <c r="I550" s="29"/>
      <c r="J550" s="34"/>
      <c r="K550" s="34"/>
      <c r="L550" s="34"/>
      <c r="M550" s="29"/>
      <c r="N550" s="29"/>
      <c r="O550" s="29"/>
      <c r="P550" s="29"/>
      <c r="Q550" s="34"/>
      <c r="R550" s="34"/>
    </row>
    <row x14ac:dyDescent="0.25" r="551" customHeight="1" ht="15.75">
      <c r="A551" s="1"/>
      <c r="B551" s="34"/>
      <c r="C551" s="1"/>
      <c r="D551" s="34"/>
      <c r="E551" s="34"/>
      <c r="F551" s="34"/>
      <c r="G551" s="29"/>
      <c r="H551" s="29"/>
      <c r="I551" s="29"/>
      <c r="J551" s="34"/>
      <c r="K551" s="34"/>
      <c r="L551" s="34"/>
      <c r="M551" s="29"/>
      <c r="N551" s="29"/>
      <c r="O551" s="29"/>
      <c r="P551" s="29"/>
      <c r="Q551" s="34"/>
      <c r="R551" s="34"/>
    </row>
    <row x14ac:dyDescent="0.25" r="552" customHeight="1" ht="15.75">
      <c r="A552" s="1"/>
      <c r="B552" s="34"/>
      <c r="C552" s="1"/>
      <c r="D552" s="34"/>
      <c r="E552" s="34"/>
      <c r="F552" s="34"/>
      <c r="G552" s="29"/>
      <c r="H552" s="29"/>
      <c r="I552" s="29"/>
      <c r="J552" s="34"/>
      <c r="K552" s="34"/>
      <c r="L552" s="34"/>
      <c r="M552" s="29"/>
      <c r="N552" s="29"/>
      <c r="O552" s="29"/>
      <c r="P552" s="29"/>
      <c r="Q552" s="34"/>
      <c r="R552" s="34"/>
    </row>
    <row x14ac:dyDescent="0.25" r="553" customHeight="1" ht="15.75">
      <c r="A553" s="1"/>
      <c r="B553" s="34"/>
      <c r="C553" s="1"/>
      <c r="D553" s="34"/>
      <c r="E553" s="34"/>
      <c r="F553" s="34"/>
      <c r="G553" s="29"/>
      <c r="H553" s="29"/>
      <c r="I553" s="29"/>
      <c r="J553" s="34"/>
      <c r="K553" s="34"/>
      <c r="L553" s="34"/>
      <c r="M553" s="29"/>
      <c r="N553" s="29"/>
      <c r="O553" s="29"/>
      <c r="P553" s="29"/>
      <c r="Q553" s="34"/>
      <c r="R553" s="34"/>
    </row>
    <row x14ac:dyDescent="0.25" r="554" customHeight="1" ht="15.75">
      <c r="A554" s="1"/>
      <c r="B554" s="34"/>
      <c r="C554" s="1"/>
      <c r="D554" s="34"/>
      <c r="E554" s="34"/>
      <c r="F554" s="34"/>
      <c r="G554" s="29"/>
      <c r="H554" s="29"/>
      <c r="I554" s="29"/>
      <c r="J554" s="34"/>
      <c r="K554" s="34"/>
      <c r="L554" s="34"/>
      <c r="M554" s="29"/>
      <c r="N554" s="29"/>
      <c r="O554" s="29"/>
      <c r="P554" s="29"/>
      <c r="Q554" s="34"/>
      <c r="R554" s="34"/>
    </row>
    <row x14ac:dyDescent="0.25" r="555" customHeight="1" ht="15.75">
      <c r="A555" s="1"/>
      <c r="B555" s="34"/>
      <c r="C555" s="1"/>
      <c r="D555" s="34"/>
      <c r="E555" s="34"/>
      <c r="F555" s="34"/>
      <c r="G555" s="29"/>
      <c r="H555" s="29"/>
      <c r="I555" s="29"/>
      <c r="J555" s="34"/>
      <c r="K555" s="34"/>
      <c r="L555" s="34"/>
      <c r="M555" s="29"/>
      <c r="N555" s="29"/>
      <c r="O555" s="29"/>
      <c r="P555" s="29"/>
      <c r="Q555" s="34"/>
      <c r="R555" s="34"/>
    </row>
    <row x14ac:dyDescent="0.25" r="556" customHeight="1" ht="15.75">
      <c r="A556" s="1"/>
      <c r="B556" s="34"/>
      <c r="C556" s="1"/>
      <c r="D556" s="34"/>
      <c r="E556" s="34"/>
      <c r="F556" s="34"/>
      <c r="G556" s="29"/>
      <c r="H556" s="29"/>
      <c r="I556" s="29"/>
      <c r="J556" s="34"/>
      <c r="K556" s="34"/>
      <c r="L556" s="34"/>
      <c r="M556" s="29"/>
      <c r="N556" s="29"/>
      <c r="O556" s="29"/>
      <c r="P556" s="29"/>
      <c r="Q556" s="34"/>
      <c r="R556" s="34"/>
    </row>
    <row x14ac:dyDescent="0.25" r="557" customHeight="1" ht="15.75">
      <c r="A557" s="1"/>
      <c r="B557" s="34"/>
      <c r="C557" s="1"/>
      <c r="D557" s="34"/>
      <c r="E557" s="34"/>
      <c r="F557" s="34"/>
      <c r="G557" s="29"/>
      <c r="H557" s="29"/>
      <c r="I557" s="29"/>
      <c r="J557" s="34"/>
      <c r="K557" s="34"/>
      <c r="L557" s="34"/>
      <c r="M557" s="29"/>
      <c r="N557" s="29"/>
      <c r="O557" s="29"/>
      <c r="P557" s="29"/>
      <c r="Q557" s="34"/>
      <c r="R557" s="34"/>
    </row>
    <row x14ac:dyDescent="0.25" r="558" customHeight="1" ht="15.75">
      <c r="A558" s="1"/>
      <c r="B558" s="34"/>
      <c r="C558" s="1"/>
      <c r="D558" s="34"/>
      <c r="E558" s="34"/>
      <c r="F558" s="34"/>
      <c r="G558" s="29"/>
      <c r="H558" s="29"/>
      <c r="I558" s="29"/>
      <c r="J558" s="34"/>
      <c r="K558" s="34"/>
      <c r="L558" s="34"/>
      <c r="M558" s="29"/>
      <c r="N558" s="29"/>
      <c r="O558" s="29"/>
      <c r="P558" s="29"/>
      <c r="Q558" s="34"/>
      <c r="R558" s="34"/>
    </row>
    <row x14ac:dyDescent="0.25" r="559" customHeight="1" ht="15.75">
      <c r="A559" s="1"/>
      <c r="B559" s="34"/>
      <c r="C559" s="1"/>
      <c r="D559" s="34"/>
      <c r="E559" s="34"/>
      <c r="F559" s="34"/>
      <c r="G559" s="29"/>
      <c r="H559" s="29"/>
      <c r="I559" s="29"/>
      <c r="J559" s="34"/>
      <c r="K559" s="34"/>
      <c r="L559" s="34"/>
      <c r="M559" s="29"/>
      <c r="N559" s="29"/>
      <c r="O559" s="29"/>
      <c r="P559" s="29"/>
      <c r="Q559" s="34"/>
      <c r="R559" s="34"/>
    </row>
    <row x14ac:dyDescent="0.25" r="560" customHeight="1" ht="15.75">
      <c r="A560" s="1"/>
      <c r="B560" s="34"/>
      <c r="C560" s="1"/>
      <c r="D560" s="34"/>
      <c r="E560" s="34"/>
      <c r="F560" s="34"/>
      <c r="G560" s="29"/>
      <c r="H560" s="29"/>
      <c r="I560" s="29"/>
      <c r="J560" s="34"/>
      <c r="K560" s="34"/>
      <c r="L560" s="34"/>
      <c r="M560" s="29"/>
      <c r="N560" s="29"/>
      <c r="O560" s="29"/>
      <c r="P560" s="29"/>
      <c r="Q560" s="34"/>
      <c r="R560" s="34"/>
    </row>
    <row x14ac:dyDescent="0.25" r="561" customHeight="1" ht="15.75">
      <c r="A561" s="1"/>
      <c r="B561" s="34"/>
      <c r="C561" s="1"/>
      <c r="D561" s="34"/>
      <c r="E561" s="34"/>
      <c r="F561" s="34"/>
      <c r="G561" s="29"/>
      <c r="H561" s="29"/>
      <c r="I561" s="29"/>
      <c r="J561" s="34"/>
      <c r="K561" s="34"/>
      <c r="L561" s="34"/>
      <c r="M561" s="29"/>
      <c r="N561" s="29"/>
      <c r="O561" s="29"/>
      <c r="P561" s="29"/>
      <c r="Q561" s="34"/>
      <c r="R561" s="34"/>
    </row>
    <row x14ac:dyDescent="0.25" r="562" customHeight="1" ht="15.75">
      <c r="A562" s="1"/>
      <c r="B562" s="34"/>
      <c r="C562" s="1"/>
      <c r="D562" s="34"/>
      <c r="E562" s="34"/>
      <c r="F562" s="34"/>
      <c r="G562" s="29"/>
      <c r="H562" s="29"/>
      <c r="I562" s="29"/>
      <c r="J562" s="34"/>
      <c r="K562" s="34"/>
      <c r="L562" s="34"/>
      <c r="M562" s="29"/>
      <c r="N562" s="29"/>
      <c r="O562" s="29"/>
      <c r="P562" s="29"/>
      <c r="Q562" s="34"/>
      <c r="R562" s="34"/>
    </row>
    <row x14ac:dyDescent="0.25" r="563" customHeight="1" ht="15.75">
      <c r="A563" s="1"/>
      <c r="B563" s="34"/>
      <c r="C563" s="1"/>
      <c r="D563" s="34"/>
      <c r="E563" s="34"/>
      <c r="F563" s="34"/>
      <c r="G563" s="29"/>
      <c r="H563" s="29"/>
      <c r="I563" s="29"/>
      <c r="J563" s="34"/>
      <c r="K563" s="34"/>
      <c r="L563" s="34"/>
      <c r="M563" s="29"/>
      <c r="N563" s="29"/>
      <c r="O563" s="29"/>
      <c r="P563" s="29"/>
      <c r="Q563" s="34"/>
      <c r="R563" s="34"/>
    </row>
    <row x14ac:dyDescent="0.25" r="564" customHeight="1" ht="15.75">
      <c r="A564" s="1"/>
      <c r="B564" s="34"/>
      <c r="C564" s="1"/>
      <c r="D564" s="34"/>
      <c r="E564" s="34"/>
      <c r="F564" s="34"/>
      <c r="G564" s="29"/>
      <c r="H564" s="29"/>
      <c r="I564" s="29"/>
      <c r="J564" s="34"/>
      <c r="K564" s="34"/>
      <c r="L564" s="34"/>
      <c r="M564" s="29"/>
      <c r="N564" s="29"/>
      <c r="O564" s="29"/>
      <c r="P564" s="29"/>
      <c r="Q564" s="34"/>
      <c r="R564" s="34"/>
    </row>
    <row x14ac:dyDescent="0.25" r="565" customHeight="1" ht="15.75">
      <c r="A565" s="1"/>
      <c r="B565" s="34"/>
      <c r="C565" s="1"/>
      <c r="D565" s="34"/>
      <c r="E565" s="34"/>
      <c r="F565" s="34"/>
      <c r="G565" s="29"/>
      <c r="H565" s="29"/>
      <c r="I565" s="29"/>
      <c r="J565" s="34"/>
      <c r="K565" s="34"/>
      <c r="L565" s="34"/>
      <c r="M565" s="29"/>
      <c r="N565" s="29"/>
      <c r="O565" s="29"/>
      <c r="P565" s="29"/>
      <c r="Q565" s="34"/>
      <c r="R565" s="34"/>
    </row>
    <row x14ac:dyDescent="0.25" r="566" customHeight="1" ht="15.75">
      <c r="A566" s="1"/>
      <c r="B566" s="34"/>
      <c r="C566" s="1"/>
      <c r="D566" s="34"/>
      <c r="E566" s="34"/>
      <c r="F566" s="34"/>
      <c r="G566" s="29"/>
      <c r="H566" s="29"/>
      <c r="I566" s="29"/>
      <c r="J566" s="34"/>
      <c r="K566" s="34"/>
      <c r="L566" s="34"/>
      <c r="M566" s="29"/>
      <c r="N566" s="29"/>
      <c r="O566" s="29"/>
      <c r="P566" s="29"/>
      <c r="Q566" s="34"/>
      <c r="R566" s="34"/>
    </row>
    <row x14ac:dyDescent="0.25" r="567" customHeight="1" ht="15.75">
      <c r="A567" s="1"/>
      <c r="B567" s="34"/>
      <c r="C567" s="1"/>
      <c r="D567" s="34"/>
      <c r="E567" s="34"/>
      <c r="F567" s="34"/>
      <c r="G567" s="29"/>
      <c r="H567" s="29"/>
      <c r="I567" s="29"/>
      <c r="J567" s="34"/>
      <c r="K567" s="34"/>
      <c r="L567" s="34"/>
      <c r="M567" s="29"/>
      <c r="N567" s="29"/>
      <c r="O567" s="29"/>
      <c r="P567" s="29"/>
      <c r="Q567" s="34"/>
      <c r="R567" s="34"/>
    </row>
    <row x14ac:dyDescent="0.25" r="568" customHeight="1" ht="15.75">
      <c r="A568" s="1"/>
      <c r="B568" s="34"/>
      <c r="C568" s="1"/>
      <c r="D568" s="34"/>
      <c r="E568" s="34"/>
      <c r="F568" s="34"/>
      <c r="G568" s="29"/>
      <c r="H568" s="29"/>
      <c r="I568" s="29"/>
      <c r="J568" s="34"/>
      <c r="K568" s="34"/>
      <c r="L568" s="34"/>
      <c r="M568" s="29"/>
      <c r="N568" s="29"/>
      <c r="O568" s="29"/>
      <c r="P568" s="29"/>
      <c r="Q568" s="34"/>
      <c r="R568" s="34"/>
    </row>
    <row x14ac:dyDescent="0.25" r="569" customHeight="1" ht="15.75">
      <c r="A569" s="1"/>
      <c r="B569" s="34"/>
      <c r="C569" s="1"/>
      <c r="D569" s="34"/>
      <c r="E569" s="34"/>
      <c r="F569" s="34"/>
      <c r="G569" s="29"/>
      <c r="H569" s="29"/>
      <c r="I569" s="29"/>
      <c r="J569" s="34"/>
      <c r="K569" s="34"/>
      <c r="L569" s="34"/>
      <c r="M569" s="29"/>
      <c r="N569" s="29"/>
      <c r="O569" s="29"/>
      <c r="P569" s="29"/>
      <c r="Q569" s="34"/>
      <c r="R569" s="34"/>
    </row>
    <row x14ac:dyDescent="0.25" r="570" customHeight="1" ht="15.75">
      <c r="A570" s="1"/>
      <c r="B570" s="34"/>
      <c r="C570" s="1"/>
      <c r="D570" s="34"/>
      <c r="E570" s="34"/>
      <c r="F570" s="34"/>
      <c r="G570" s="29"/>
      <c r="H570" s="29"/>
      <c r="I570" s="29"/>
      <c r="J570" s="34"/>
      <c r="K570" s="34"/>
      <c r="L570" s="34"/>
      <c r="M570" s="29"/>
      <c r="N570" s="29"/>
      <c r="O570" s="29"/>
      <c r="P570" s="29"/>
      <c r="Q570" s="34"/>
      <c r="R570" s="34"/>
    </row>
    <row x14ac:dyDescent="0.25" r="571" customHeight="1" ht="15.75">
      <c r="A571" s="1"/>
      <c r="B571" s="34"/>
      <c r="C571" s="1"/>
      <c r="D571" s="34"/>
      <c r="E571" s="34"/>
      <c r="F571" s="34"/>
      <c r="G571" s="29"/>
      <c r="H571" s="29"/>
      <c r="I571" s="29"/>
      <c r="J571" s="34"/>
      <c r="K571" s="34"/>
      <c r="L571" s="34"/>
      <c r="M571" s="29"/>
      <c r="N571" s="29"/>
      <c r="O571" s="29"/>
      <c r="P571" s="29"/>
      <c r="Q571" s="34"/>
      <c r="R571" s="34"/>
    </row>
    <row x14ac:dyDescent="0.25" r="572" customHeight="1" ht="15.75">
      <c r="A572" s="1"/>
      <c r="B572" s="34"/>
      <c r="C572" s="1"/>
      <c r="D572" s="34"/>
      <c r="E572" s="34"/>
      <c r="F572" s="34"/>
      <c r="G572" s="29"/>
      <c r="H572" s="29"/>
      <c r="I572" s="29"/>
      <c r="J572" s="34"/>
      <c r="K572" s="34"/>
      <c r="L572" s="34"/>
      <c r="M572" s="29"/>
      <c r="N572" s="29"/>
      <c r="O572" s="29"/>
      <c r="P572" s="29"/>
      <c r="Q572" s="34"/>
      <c r="R572" s="34"/>
    </row>
    <row x14ac:dyDescent="0.25" r="573" customHeight="1" ht="15.75">
      <c r="A573" s="1"/>
      <c r="B573" s="34"/>
      <c r="C573" s="1"/>
      <c r="D573" s="34"/>
      <c r="E573" s="34"/>
      <c r="F573" s="34"/>
      <c r="G573" s="29"/>
      <c r="H573" s="29"/>
      <c r="I573" s="29"/>
      <c r="J573" s="34"/>
      <c r="K573" s="34"/>
      <c r="L573" s="34"/>
      <c r="M573" s="29"/>
      <c r="N573" s="29"/>
      <c r="O573" s="29"/>
      <c r="P573" s="29"/>
      <c r="Q573" s="34"/>
      <c r="R573" s="34"/>
    </row>
    <row x14ac:dyDescent="0.25" r="574" customHeight="1" ht="15.75">
      <c r="A574" s="1"/>
      <c r="B574" s="34"/>
      <c r="C574" s="1"/>
      <c r="D574" s="34"/>
      <c r="E574" s="34"/>
      <c r="F574" s="34"/>
      <c r="G574" s="29"/>
      <c r="H574" s="29"/>
      <c r="I574" s="29"/>
      <c r="J574" s="34"/>
      <c r="K574" s="34"/>
      <c r="L574" s="34"/>
      <c r="M574" s="29"/>
      <c r="N574" s="29"/>
      <c r="O574" s="29"/>
      <c r="P574" s="29"/>
      <c r="Q574" s="34"/>
      <c r="R574" s="34"/>
    </row>
    <row x14ac:dyDescent="0.25" r="575" customHeight="1" ht="15.75">
      <c r="A575" s="1"/>
      <c r="B575" s="34"/>
      <c r="C575" s="1"/>
      <c r="D575" s="34"/>
      <c r="E575" s="34"/>
      <c r="F575" s="34"/>
      <c r="G575" s="29"/>
      <c r="H575" s="29"/>
      <c r="I575" s="29"/>
      <c r="J575" s="34"/>
      <c r="K575" s="34"/>
      <c r="L575" s="34"/>
      <c r="M575" s="29"/>
      <c r="N575" s="29"/>
      <c r="O575" s="29"/>
      <c r="P575" s="29"/>
      <c r="Q575" s="34"/>
      <c r="R575" s="34"/>
    </row>
    <row x14ac:dyDescent="0.25" r="576" customHeight="1" ht="15.75">
      <c r="A576" s="1"/>
      <c r="B576" s="34"/>
      <c r="C576" s="1"/>
      <c r="D576" s="34"/>
      <c r="E576" s="34"/>
      <c r="F576" s="34"/>
      <c r="G576" s="29"/>
      <c r="H576" s="29"/>
      <c r="I576" s="29"/>
      <c r="J576" s="34"/>
      <c r="K576" s="34"/>
      <c r="L576" s="34"/>
      <c r="M576" s="29"/>
      <c r="N576" s="29"/>
      <c r="O576" s="29"/>
      <c r="P576" s="29"/>
      <c r="Q576" s="34"/>
      <c r="R576" s="34"/>
    </row>
    <row x14ac:dyDescent="0.25" r="577" customHeight="1" ht="15.75">
      <c r="A577" s="1"/>
      <c r="B577" s="34"/>
      <c r="C577" s="1"/>
      <c r="D577" s="34"/>
      <c r="E577" s="34"/>
      <c r="F577" s="34"/>
      <c r="G577" s="29"/>
      <c r="H577" s="29"/>
      <c r="I577" s="29"/>
      <c r="J577" s="34"/>
      <c r="K577" s="34"/>
      <c r="L577" s="34"/>
      <c r="M577" s="29"/>
      <c r="N577" s="29"/>
      <c r="O577" s="29"/>
      <c r="P577" s="29"/>
      <c r="Q577" s="34"/>
      <c r="R577" s="34"/>
    </row>
    <row x14ac:dyDescent="0.25" r="578" customHeight="1" ht="15.75">
      <c r="A578" s="1"/>
      <c r="B578" s="34"/>
      <c r="C578" s="1"/>
      <c r="D578" s="34"/>
      <c r="E578" s="34"/>
      <c r="F578" s="34"/>
      <c r="G578" s="29"/>
      <c r="H578" s="29"/>
      <c r="I578" s="29"/>
      <c r="J578" s="34"/>
      <c r="K578" s="34"/>
      <c r="L578" s="34"/>
      <c r="M578" s="29"/>
      <c r="N578" s="29"/>
      <c r="O578" s="29"/>
      <c r="P578" s="29"/>
      <c r="Q578" s="34"/>
      <c r="R578" s="34"/>
    </row>
    <row x14ac:dyDescent="0.25" r="579" customHeight="1" ht="15.75">
      <c r="A579" s="1"/>
      <c r="B579" s="34"/>
      <c r="C579" s="1"/>
      <c r="D579" s="34"/>
      <c r="E579" s="34"/>
      <c r="F579" s="34"/>
      <c r="G579" s="29"/>
      <c r="H579" s="29"/>
      <c r="I579" s="29"/>
      <c r="J579" s="34"/>
      <c r="K579" s="34"/>
      <c r="L579" s="34"/>
      <c r="M579" s="29"/>
      <c r="N579" s="29"/>
      <c r="O579" s="29"/>
      <c r="P579" s="29"/>
      <c r="Q579" s="34"/>
      <c r="R579" s="34"/>
    </row>
    <row x14ac:dyDescent="0.25" r="580" customHeight="1" ht="15.75">
      <c r="A580" s="1"/>
      <c r="B580" s="34"/>
      <c r="C580" s="1"/>
      <c r="D580" s="34"/>
      <c r="E580" s="34"/>
      <c r="F580" s="34"/>
      <c r="G580" s="29"/>
      <c r="H580" s="29"/>
      <c r="I580" s="29"/>
      <c r="J580" s="34"/>
      <c r="K580" s="34"/>
      <c r="L580" s="34"/>
      <c r="M580" s="29"/>
      <c r="N580" s="29"/>
      <c r="O580" s="29"/>
      <c r="P580" s="29"/>
      <c r="Q580" s="34"/>
      <c r="R580" s="34"/>
    </row>
    <row x14ac:dyDescent="0.25" r="581" customHeight="1" ht="15.75">
      <c r="A581" s="1"/>
      <c r="B581" s="34"/>
      <c r="C581" s="1"/>
      <c r="D581" s="34"/>
      <c r="E581" s="34"/>
      <c r="F581" s="34"/>
      <c r="G581" s="29"/>
      <c r="H581" s="29"/>
      <c r="I581" s="29"/>
      <c r="J581" s="34"/>
      <c r="K581" s="34"/>
      <c r="L581" s="34"/>
      <c r="M581" s="29"/>
      <c r="N581" s="29"/>
      <c r="O581" s="29"/>
      <c r="P581" s="29"/>
      <c r="Q581" s="34"/>
      <c r="R581" s="34"/>
    </row>
    <row x14ac:dyDescent="0.25" r="582" customHeight="1" ht="15.75">
      <c r="A582" s="1"/>
      <c r="B582" s="34"/>
      <c r="C582" s="1"/>
      <c r="D582" s="34"/>
      <c r="E582" s="34"/>
      <c r="F582" s="34"/>
      <c r="G582" s="29"/>
      <c r="H582" s="29"/>
      <c r="I582" s="29"/>
      <c r="J582" s="34"/>
      <c r="K582" s="34"/>
      <c r="L582" s="34"/>
      <c r="M582" s="29"/>
      <c r="N582" s="29"/>
      <c r="O582" s="29"/>
      <c r="P582" s="29"/>
      <c r="Q582" s="34"/>
      <c r="R582" s="34"/>
    </row>
    <row x14ac:dyDescent="0.25" r="583" customHeight="1" ht="15.75">
      <c r="A583" s="1"/>
      <c r="B583" s="34"/>
      <c r="C583" s="1"/>
      <c r="D583" s="34"/>
      <c r="E583" s="34"/>
      <c r="F583" s="34"/>
      <c r="G583" s="29"/>
      <c r="H583" s="29"/>
      <c r="I583" s="29"/>
      <c r="J583" s="34"/>
      <c r="K583" s="34"/>
      <c r="L583" s="34"/>
      <c r="M583" s="29"/>
      <c r="N583" s="29"/>
      <c r="O583" s="29"/>
      <c r="P583" s="29"/>
      <c r="Q583" s="34"/>
      <c r="R583" s="34"/>
    </row>
    <row x14ac:dyDescent="0.25" r="584" customHeight="1" ht="15.75">
      <c r="A584" s="1"/>
      <c r="B584" s="34"/>
      <c r="C584" s="1"/>
      <c r="D584" s="34"/>
      <c r="E584" s="34"/>
      <c r="F584" s="34"/>
      <c r="G584" s="29"/>
      <c r="H584" s="29"/>
      <c r="I584" s="29"/>
      <c r="J584" s="34"/>
      <c r="K584" s="34"/>
      <c r="L584" s="34"/>
      <c r="M584" s="29"/>
      <c r="N584" s="29"/>
      <c r="O584" s="29"/>
      <c r="P584" s="29"/>
      <c r="Q584" s="34"/>
      <c r="R584" s="34"/>
    </row>
    <row x14ac:dyDescent="0.25" r="585" customHeight="1" ht="15.75">
      <c r="A585" s="1"/>
      <c r="B585" s="34"/>
      <c r="C585" s="1"/>
      <c r="D585" s="34"/>
      <c r="E585" s="34"/>
      <c r="F585" s="34"/>
      <c r="G585" s="29"/>
      <c r="H585" s="29"/>
      <c r="I585" s="29"/>
      <c r="J585" s="34"/>
      <c r="K585" s="34"/>
      <c r="L585" s="34"/>
      <c r="M585" s="29"/>
      <c r="N585" s="29"/>
      <c r="O585" s="29"/>
      <c r="P585" s="29"/>
      <c r="Q585" s="34"/>
      <c r="R585" s="34"/>
    </row>
    <row x14ac:dyDescent="0.25" r="586" customHeight="1" ht="15.75">
      <c r="A586" s="1"/>
      <c r="B586" s="34"/>
      <c r="C586" s="1"/>
      <c r="D586" s="34"/>
      <c r="E586" s="34"/>
      <c r="F586" s="34"/>
      <c r="G586" s="29"/>
      <c r="H586" s="29"/>
      <c r="I586" s="29"/>
      <c r="J586" s="34"/>
      <c r="K586" s="34"/>
      <c r="L586" s="34"/>
      <c r="M586" s="29"/>
      <c r="N586" s="29"/>
      <c r="O586" s="29"/>
      <c r="P586" s="29"/>
      <c r="Q586" s="34"/>
      <c r="R586" s="34"/>
    </row>
    <row x14ac:dyDescent="0.25" r="587" customHeight="1" ht="15.75">
      <c r="A587" s="1"/>
      <c r="B587" s="34"/>
      <c r="C587" s="1"/>
      <c r="D587" s="34"/>
      <c r="E587" s="34"/>
      <c r="F587" s="34"/>
      <c r="G587" s="29"/>
      <c r="H587" s="29"/>
      <c r="I587" s="29"/>
      <c r="J587" s="34"/>
      <c r="K587" s="34"/>
      <c r="L587" s="34"/>
      <c r="M587" s="29"/>
      <c r="N587" s="29"/>
      <c r="O587" s="29"/>
      <c r="P587" s="29"/>
      <c r="Q587" s="34"/>
      <c r="R587" s="34"/>
    </row>
    <row x14ac:dyDescent="0.25" r="588" customHeight="1" ht="15.75">
      <c r="A588" s="1"/>
      <c r="B588" s="34"/>
      <c r="C588" s="1"/>
      <c r="D588" s="34"/>
      <c r="E588" s="34"/>
      <c r="F588" s="34"/>
      <c r="G588" s="29"/>
      <c r="H588" s="29"/>
      <c r="I588" s="29"/>
      <c r="J588" s="34"/>
      <c r="K588" s="34"/>
      <c r="L588" s="34"/>
      <c r="M588" s="29"/>
      <c r="N588" s="29"/>
      <c r="O588" s="29"/>
      <c r="P588" s="29"/>
      <c r="Q588" s="34"/>
      <c r="R588" s="34"/>
    </row>
    <row x14ac:dyDescent="0.25" r="589" customHeight="1" ht="15.75">
      <c r="A589" s="1"/>
      <c r="B589" s="34"/>
      <c r="C589" s="1"/>
      <c r="D589" s="34"/>
      <c r="E589" s="34"/>
      <c r="F589" s="34"/>
      <c r="G589" s="29"/>
      <c r="H589" s="29"/>
      <c r="I589" s="29"/>
      <c r="J589" s="34"/>
      <c r="K589" s="34"/>
      <c r="L589" s="34"/>
      <c r="M589" s="29"/>
      <c r="N589" s="29"/>
      <c r="O589" s="29"/>
      <c r="P589" s="29"/>
      <c r="Q589" s="34"/>
      <c r="R589" s="34"/>
    </row>
    <row x14ac:dyDescent="0.25" r="590" customHeight="1" ht="15.75">
      <c r="A590" s="1"/>
      <c r="B590" s="34"/>
      <c r="C590" s="1"/>
      <c r="D590" s="34"/>
      <c r="E590" s="34"/>
      <c r="F590" s="34"/>
      <c r="G590" s="29"/>
      <c r="H590" s="29"/>
      <c r="I590" s="29"/>
      <c r="J590" s="34"/>
      <c r="K590" s="34"/>
      <c r="L590" s="34"/>
      <c r="M590" s="29"/>
      <c r="N590" s="29"/>
      <c r="O590" s="29"/>
      <c r="P590" s="29"/>
      <c r="Q590" s="34"/>
      <c r="R590" s="34"/>
    </row>
    <row x14ac:dyDescent="0.25" r="591" customHeight="1" ht="15.75">
      <c r="A591" s="1"/>
      <c r="B591" s="34"/>
      <c r="C591" s="1"/>
      <c r="D591" s="34"/>
      <c r="E591" s="34"/>
      <c r="F591" s="34"/>
      <c r="G591" s="29"/>
      <c r="H591" s="29"/>
      <c r="I591" s="29"/>
      <c r="J591" s="34"/>
      <c r="K591" s="34"/>
      <c r="L591" s="34"/>
      <c r="M591" s="29"/>
      <c r="N591" s="29"/>
      <c r="O591" s="29"/>
      <c r="P591" s="29"/>
      <c r="Q591" s="34"/>
      <c r="R591" s="34"/>
    </row>
    <row x14ac:dyDescent="0.25" r="592" customHeight="1" ht="15.75">
      <c r="A592" s="1"/>
      <c r="B592" s="34"/>
      <c r="C592" s="1"/>
      <c r="D592" s="34"/>
      <c r="E592" s="34"/>
      <c r="F592" s="34"/>
      <c r="G592" s="29"/>
      <c r="H592" s="29"/>
      <c r="I592" s="29"/>
      <c r="J592" s="34"/>
      <c r="K592" s="34"/>
      <c r="L592" s="34"/>
      <c r="M592" s="29"/>
      <c r="N592" s="29"/>
      <c r="O592" s="29"/>
      <c r="P592" s="29"/>
      <c r="Q592" s="34"/>
      <c r="R592" s="34"/>
    </row>
    <row x14ac:dyDescent="0.25" r="593" customHeight="1" ht="15.75">
      <c r="A593" s="1"/>
      <c r="B593" s="34"/>
      <c r="C593" s="1"/>
      <c r="D593" s="34"/>
      <c r="E593" s="34"/>
      <c r="F593" s="34"/>
      <c r="G593" s="29"/>
      <c r="H593" s="29"/>
      <c r="I593" s="29"/>
      <c r="J593" s="34"/>
      <c r="K593" s="34"/>
      <c r="L593" s="34"/>
      <c r="M593" s="29"/>
      <c r="N593" s="29"/>
      <c r="O593" s="29"/>
      <c r="P593" s="29"/>
      <c r="Q593" s="34"/>
      <c r="R593" s="34"/>
    </row>
    <row x14ac:dyDescent="0.25" r="594" customHeight="1" ht="15.75">
      <c r="A594" s="1"/>
      <c r="B594" s="34"/>
      <c r="C594" s="1"/>
      <c r="D594" s="34"/>
      <c r="E594" s="34"/>
      <c r="F594" s="34"/>
      <c r="G594" s="29"/>
      <c r="H594" s="29"/>
      <c r="I594" s="29"/>
      <c r="J594" s="34"/>
      <c r="K594" s="34"/>
      <c r="L594" s="34"/>
      <c r="M594" s="29"/>
      <c r="N594" s="29"/>
      <c r="O594" s="29"/>
      <c r="P594" s="29"/>
      <c r="Q594" s="34"/>
      <c r="R594" s="34"/>
    </row>
    <row x14ac:dyDescent="0.25" r="595" customHeight="1" ht="15.75">
      <c r="A595" s="1"/>
      <c r="B595" s="34"/>
      <c r="C595" s="1"/>
      <c r="D595" s="34"/>
      <c r="E595" s="34"/>
      <c r="F595" s="34"/>
      <c r="G595" s="29"/>
      <c r="H595" s="29"/>
      <c r="I595" s="29"/>
      <c r="J595" s="34"/>
      <c r="K595" s="34"/>
      <c r="L595" s="34"/>
      <c r="M595" s="29"/>
      <c r="N595" s="29"/>
      <c r="O595" s="29"/>
      <c r="P595" s="29"/>
      <c r="Q595" s="34"/>
      <c r="R595" s="34"/>
    </row>
    <row x14ac:dyDescent="0.25" r="596" customHeight="1" ht="15.75">
      <c r="A596" s="1"/>
      <c r="B596" s="34"/>
      <c r="C596" s="1"/>
      <c r="D596" s="34"/>
      <c r="E596" s="34"/>
      <c r="F596" s="34"/>
      <c r="G596" s="29"/>
      <c r="H596" s="29"/>
      <c r="I596" s="29"/>
      <c r="J596" s="34"/>
      <c r="K596" s="34"/>
      <c r="L596" s="34"/>
      <c r="M596" s="29"/>
      <c r="N596" s="29"/>
      <c r="O596" s="29"/>
      <c r="P596" s="29"/>
      <c r="Q596" s="34"/>
      <c r="R596" s="34"/>
    </row>
    <row x14ac:dyDescent="0.25" r="597" customHeight="1" ht="15.75">
      <c r="A597" s="1"/>
      <c r="B597" s="34"/>
      <c r="C597" s="1"/>
      <c r="D597" s="34"/>
      <c r="E597" s="34"/>
      <c r="F597" s="34"/>
      <c r="G597" s="29"/>
      <c r="H597" s="29"/>
      <c r="I597" s="29"/>
      <c r="J597" s="34"/>
      <c r="K597" s="34"/>
      <c r="L597" s="34"/>
      <c r="M597" s="29"/>
      <c r="N597" s="29"/>
      <c r="O597" s="29"/>
      <c r="P597" s="29"/>
      <c r="Q597" s="34"/>
      <c r="R597" s="34"/>
    </row>
    <row x14ac:dyDescent="0.25" r="598" customHeight="1" ht="15.75">
      <c r="A598" s="1"/>
      <c r="B598" s="34"/>
      <c r="C598" s="1"/>
      <c r="D598" s="34"/>
      <c r="E598" s="34"/>
      <c r="F598" s="34"/>
      <c r="G598" s="29"/>
      <c r="H598" s="29"/>
      <c r="I598" s="29"/>
      <c r="J598" s="34"/>
      <c r="K598" s="34"/>
      <c r="L598" s="34"/>
      <c r="M598" s="29"/>
      <c r="N598" s="29"/>
      <c r="O598" s="29"/>
      <c r="P598" s="29"/>
      <c r="Q598" s="34"/>
      <c r="R598" s="34"/>
    </row>
    <row x14ac:dyDescent="0.25" r="599" customHeight="1" ht="15.75">
      <c r="A599" s="1"/>
      <c r="B599" s="34"/>
      <c r="C599" s="1"/>
      <c r="D599" s="34"/>
      <c r="E599" s="34"/>
      <c r="F599" s="34"/>
      <c r="G599" s="29"/>
      <c r="H599" s="29"/>
      <c r="I599" s="29"/>
      <c r="J599" s="34"/>
      <c r="K599" s="34"/>
      <c r="L599" s="34"/>
      <c r="M599" s="29"/>
      <c r="N599" s="29"/>
      <c r="O599" s="29"/>
      <c r="P599" s="29"/>
      <c r="Q599" s="34"/>
      <c r="R599" s="34"/>
    </row>
    <row x14ac:dyDescent="0.25" r="600" customHeight="1" ht="15.75">
      <c r="A600" s="1"/>
      <c r="B600" s="34"/>
      <c r="C600" s="1"/>
      <c r="D600" s="34"/>
      <c r="E600" s="34"/>
      <c r="F600" s="34"/>
      <c r="G600" s="29"/>
      <c r="H600" s="29"/>
      <c r="I600" s="29"/>
      <c r="J600" s="34"/>
      <c r="K600" s="34"/>
      <c r="L600" s="34"/>
      <c r="M600" s="29"/>
      <c r="N600" s="29"/>
      <c r="O600" s="29"/>
      <c r="P600" s="29"/>
      <c r="Q600" s="34"/>
      <c r="R600" s="34"/>
    </row>
    <row x14ac:dyDescent="0.25" r="601" customHeight="1" ht="15.75">
      <c r="A601" s="1"/>
      <c r="B601" s="34"/>
      <c r="C601" s="1"/>
      <c r="D601" s="34"/>
      <c r="E601" s="34"/>
      <c r="F601" s="34"/>
      <c r="G601" s="29"/>
      <c r="H601" s="29"/>
      <c r="I601" s="29"/>
      <c r="J601" s="34"/>
      <c r="K601" s="34"/>
      <c r="L601" s="34"/>
      <c r="M601" s="29"/>
      <c r="N601" s="29"/>
      <c r="O601" s="29"/>
      <c r="P601" s="29"/>
      <c r="Q601" s="34"/>
      <c r="R601" s="34"/>
    </row>
    <row x14ac:dyDescent="0.25" r="602" customHeight="1" ht="15.75">
      <c r="A602" s="1"/>
      <c r="B602" s="34"/>
      <c r="C602" s="1"/>
      <c r="D602" s="34"/>
      <c r="E602" s="34"/>
      <c r="F602" s="34"/>
      <c r="G602" s="29"/>
      <c r="H602" s="29"/>
      <c r="I602" s="29"/>
      <c r="J602" s="34"/>
      <c r="K602" s="34"/>
      <c r="L602" s="34"/>
      <c r="M602" s="29"/>
      <c r="N602" s="29"/>
      <c r="O602" s="29"/>
      <c r="P602" s="29"/>
      <c r="Q602" s="34"/>
      <c r="R602" s="34"/>
    </row>
    <row x14ac:dyDescent="0.25" r="603" customHeight="1" ht="15.75">
      <c r="A603" s="1"/>
      <c r="B603" s="34"/>
      <c r="C603" s="1"/>
      <c r="D603" s="34"/>
      <c r="E603" s="34"/>
      <c r="F603" s="34"/>
      <c r="G603" s="29"/>
      <c r="H603" s="29"/>
      <c r="I603" s="29"/>
      <c r="J603" s="34"/>
      <c r="K603" s="34"/>
      <c r="L603" s="34"/>
      <c r="M603" s="29"/>
      <c r="N603" s="29"/>
      <c r="O603" s="29"/>
      <c r="P603" s="29"/>
      <c r="Q603" s="34"/>
      <c r="R603" s="34"/>
    </row>
    <row x14ac:dyDescent="0.25" r="604" customHeight="1" ht="15.75">
      <c r="A604" s="1"/>
      <c r="B604" s="34"/>
      <c r="C604" s="1"/>
      <c r="D604" s="34"/>
      <c r="E604" s="34"/>
      <c r="F604" s="34"/>
      <c r="G604" s="29"/>
      <c r="H604" s="29"/>
      <c r="I604" s="29"/>
      <c r="J604" s="34"/>
      <c r="K604" s="34"/>
      <c r="L604" s="34"/>
      <c r="M604" s="29"/>
      <c r="N604" s="29"/>
      <c r="O604" s="29"/>
      <c r="P604" s="29"/>
      <c r="Q604" s="34"/>
      <c r="R604" s="34"/>
    </row>
    <row x14ac:dyDescent="0.25" r="605" customHeight="1" ht="15.75">
      <c r="A605" s="1"/>
      <c r="B605" s="34"/>
      <c r="C605" s="1"/>
      <c r="D605" s="34"/>
      <c r="E605" s="34"/>
      <c r="F605" s="34"/>
      <c r="G605" s="29"/>
      <c r="H605" s="29"/>
      <c r="I605" s="29"/>
      <c r="J605" s="34"/>
      <c r="K605" s="34"/>
      <c r="L605" s="34"/>
      <c r="M605" s="29"/>
      <c r="N605" s="29"/>
      <c r="O605" s="29"/>
      <c r="P605" s="29"/>
      <c r="Q605" s="34"/>
      <c r="R605" s="34"/>
    </row>
    <row x14ac:dyDescent="0.25" r="606" customHeight="1" ht="15.75">
      <c r="A606" s="1"/>
      <c r="B606" s="34"/>
      <c r="C606" s="1"/>
      <c r="D606" s="34"/>
      <c r="E606" s="34"/>
      <c r="F606" s="34"/>
      <c r="G606" s="29"/>
      <c r="H606" s="29"/>
      <c r="I606" s="29"/>
      <c r="J606" s="34"/>
      <c r="K606" s="34"/>
      <c r="L606" s="34"/>
      <c r="M606" s="29"/>
      <c r="N606" s="29"/>
      <c r="O606" s="29"/>
      <c r="P606" s="29"/>
      <c r="Q606" s="34"/>
      <c r="R606" s="34"/>
    </row>
    <row x14ac:dyDescent="0.25" r="607" customHeight="1" ht="15.75">
      <c r="A607" s="1"/>
      <c r="B607" s="34"/>
      <c r="C607" s="1"/>
      <c r="D607" s="34"/>
      <c r="E607" s="34"/>
      <c r="F607" s="34"/>
      <c r="G607" s="29"/>
      <c r="H607" s="29"/>
      <c r="I607" s="29"/>
      <c r="J607" s="34"/>
      <c r="K607" s="34"/>
      <c r="L607" s="34"/>
      <c r="M607" s="29"/>
      <c r="N607" s="29"/>
      <c r="O607" s="29"/>
      <c r="P607" s="29"/>
      <c r="Q607" s="34"/>
      <c r="R607" s="34"/>
    </row>
    <row x14ac:dyDescent="0.25" r="608" customHeight="1" ht="15.75">
      <c r="A608" s="1"/>
      <c r="B608" s="34"/>
      <c r="C608" s="1"/>
      <c r="D608" s="34"/>
      <c r="E608" s="34"/>
      <c r="F608" s="34"/>
      <c r="G608" s="29"/>
      <c r="H608" s="29"/>
      <c r="I608" s="29"/>
      <c r="J608" s="34"/>
      <c r="K608" s="34"/>
      <c r="L608" s="34"/>
      <c r="M608" s="29"/>
      <c r="N608" s="29"/>
      <c r="O608" s="29"/>
      <c r="P608" s="29"/>
      <c r="Q608" s="34"/>
      <c r="R608" s="34"/>
    </row>
    <row x14ac:dyDescent="0.25" r="609" customHeight="1" ht="15.75">
      <c r="A609" s="1"/>
      <c r="B609" s="34"/>
      <c r="C609" s="1"/>
      <c r="D609" s="34"/>
      <c r="E609" s="34"/>
      <c r="F609" s="34"/>
      <c r="G609" s="29"/>
      <c r="H609" s="29"/>
      <c r="I609" s="29"/>
      <c r="J609" s="34"/>
      <c r="K609" s="34"/>
      <c r="L609" s="34"/>
      <c r="M609" s="29"/>
      <c r="N609" s="29"/>
      <c r="O609" s="29"/>
      <c r="P609" s="29"/>
      <c r="Q609" s="34"/>
      <c r="R609" s="34"/>
    </row>
    <row x14ac:dyDescent="0.25" r="610" customHeight="1" ht="15.75">
      <c r="A610" s="1"/>
      <c r="B610" s="34"/>
      <c r="C610" s="1"/>
      <c r="D610" s="34"/>
      <c r="E610" s="34"/>
      <c r="F610" s="34"/>
      <c r="G610" s="29"/>
      <c r="H610" s="29"/>
      <c r="I610" s="29"/>
      <c r="J610" s="34"/>
      <c r="K610" s="34"/>
      <c r="L610" s="34"/>
      <c r="M610" s="29"/>
      <c r="N610" s="29"/>
      <c r="O610" s="29"/>
      <c r="P610" s="29"/>
      <c r="Q610" s="34"/>
      <c r="R610" s="34"/>
    </row>
    <row x14ac:dyDescent="0.25" r="611" customHeight="1" ht="15.75">
      <c r="A611" s="1"/>
      <c r="B611" s="34"/>
      <c r="C611" s="1"/>
      <c r="D611" s="34"/>
      <c r="E611" s="34"/>
      <c r="F611" s="34"/>
      <c r="G611" s="29"/>
      <c r="H611" s="29"/>
      <c r="I611" s="29"/>
      <c r="J611" s="34"/>
      <c r="K611" s="34"/>
      <c r="L611" s="34"/>
      <c r="M611" s="29"/>
      <c r="N611" s="29"/>
      <c r="O611" s="29"/>
      <c r="P611" s="29"/>
      <c r="Q611" s="34"/>
      <c r="R611" s="34"/>
    </row>
    <row x14ac:dyDescent="0.25" r="612" customHeight="1" ht="15.75">
      <c r="A612" s="1"/>
      <c r="B612" s="34"/>
      <c r="C612" s="1"/>
      <c r="D612" s="34"/>
      <c r="E612" s="34"/>
      <c r="F612" s="34"/>
      <c r="G612" s="29"/>
      <c r="H612" s="29"/>
      <c r="I612" s="29"/>
      <c r="J612" s="34"/>
      <c r="K612" s="34"/>
      <c r="L612" s="34"/>
      <c r="M612" s="29"/>
      <c r="N612" s="29"/>
      <c r="O612" s="29"/>
      <c r="P612" s="29"/>
      <c r="Q612" s="34"/>
      <c r="R612" s="34"/>
    </row>
    <row x14ac:dyDescent="0.25" r="613" customHeight="1" ht="15.75">
      <c r="A613" s="1"/>
      <c r="B613" s="34"/>
      <c r="C613" s="1"/>
      <c r="D613" s="34"/>
      <c r="E613" s="34"/>
      <c r="F613" s="34"/>
      <c r="G613" s="29"/>
      <c r="H613" s="29"/>
      <c r="I613" s="29"/>
      <c r="J613" s="34"/>
      <c r="K613" s="34"/>
      <c r="L613" s="34"/>
      <c r="M613" s="29"/>
      <c r="N613" s="29"/>
      <c r="O613" s="29"/>
      <c r="P613" s="29"/>
      <c r="Q613" s="34"/>
      <c r="R613" s="34"/>
    </row>
    <row x14ac:dyDescent="0.25" r="614" customHeight="1" ht="15.75">
      <c r="A614" s="1"/>
      <c r="B614" s="34"/>
      <c r="C614" s="1"/>
      <c r="D614" s="34"/>
      <c r="E614" s="34"/>
      <c r="F614" s="34"/>
      <c r="G614" s="29"/>
      <c r="H614" s="29"/>
      <c r="I614" s="29"/>
      <c r="J614" s="34"/>
      <c r="K614" s="34"/>
      <c r="L614" s="34"/>
      <c r="M614" s="29"/>
      <c r="N614" s="29"/>
      <c r="O614" s="29"/>
      <c r="P614" s="29"/>
      <c r="Q614" s="34"/>
      <c r="R614" s="34"/>
    </row>
    <row x14ac:dyDescent="0.25" r="615" customHeight="1" ht="15.75">
      <c r="A615" s="1"/>
      <c r="B615" s="34"/>
      <c r="C615" s="1"/>
      <c r="D615" s="34"/>
      <c r="E615" s="34"/>
      <c r="F615" s="34"/>
      <c r="G615" s="29"/>
      <c r="H615" s="29"/>
      <c r="I615" s="29"/>
      <c r="J615" s="34"/>
      <c r="K615" s="34"/>
      <c r="L615" s="34"/>
      <c r="M615" s="29"/>
      <c r="N615" s="29"/>
      <c r="O615" s="29"/>
      <c r="P615" s="29"/>
      <c r="Q615" s="34"/>
      <c r="R615" s="34"/>
    </row>
    <row x14ac:dyDescent="0.25" r="616" customHeight="1" ht="15.75">
      <c r="A616" s="1"/>
      <c r="B616" s="34"/>
      <c r="C616" s="1"/>
      <c r="D616" s="34"/>
      <c r="E616" s="34"/>
      <c r="F616" s="34"/>
      <c r="G616" s="29"/>
      <c r="H616" s="29"/>
      <c r="I616" s="29"/>
      <c r="J616" s="34"/>
      <c r="K616" s="34"/>
      <c r="L616" s="34"/>
      <c r="M616" s="29"/>
      <c r="N616" s="29"/>
      <c r="O616" s="29"/>
      <c r="P616" s="29"/>
      <c r="Q616" s="34"/>
      <c r="R616" s="34"/>
    </row>
    <row x14ac:dyDescent="0.25" r="617" customHeight="1" ht="15.75">
      <c r="A617" s="1"/>
      <c r="B617" s="34"/>
      <c r="C617" s="1"/>
      <c r="D617" s="34"/>
      <c r="E617" s="34"/>
      <c r="F617" s="34"/>
      <c r="G617" s="29"/>
      <c r="H617" s="29"/>
      <c r="I617" s="29"/>
      <c r="J617" s="34"/>
      <c r="K617" s="34"/>
      <c r="L617" s="34"/>
      <c r="M617" s="29"/>
      <c r="N617" s="29"/>
      <c r="O617" s="29"/>
      <c r="P617" s="29"/>
      <c r="Q617" s="34"/>
      <c r="R617" s="34"/>
    </row>
    <row x14ac:dyDescent="0.25" r="618" customHeight="1" ht="15.75">
      <c r="A618" s="1"/>
      <c r="B618" s="34"/>
      <c r="C618" s="1"/>
      <c r="D618" s="34"/>
      <c r="E618" s="34"/>
      <c r="F618" s="34"/>
      <c r="G618" s="29"/>
      <c r="H618" s="29"/>
      <c r="I618" s="29"/>
      <c r="J618" s="34"/>
      <c r="K618" s="34"/>
      <c r="L618" s="34"/>
      <c r="M618" s="29"/>
      <c r="N618" s="29"/>
      <c r="O618" s="29"/>
      <c r="P618" s="29"/>
      <c r="Q618" s="34"/>
      <c r="R618" s="34"/>
    </row>
    <row x14ac:dyDescent="0.25" r="619" customHeight="1" ht="15.75">
      <c r="A619" s="1"/>
      <c r="B619" s="34"/>
      <c r="C619" s="1"/>
      <c r="D619" s="34"/>
      <c r="E619" s="34"/>
      <c r="F619" s="34"/>
      <c r="G619" s="29"/>
      <c r="H619" s="29"/>
      <c r="I619" s="29"/>
      <c r="J619" s="34"/>
      <c r="K619" s="34"/>
      <c r="L619" s="34"/>
      <c r="M619" s="29"/>
      <c r="N619" s="29"/>
      <c r="O619" s="29"/>
      <c r="P619" s="29"/>
      <c r="Q619" s="34"/>
      <c r="R619" s="34"/>
    </row>
    <row x14ac:dyDescent="0.25" r="620" customHeight="1" ht="15.75">
      <c r="A620" s="1"/>
      <c r="B620" s="34"/>
      <c r="C620" s="1"/>
      <c r="D620" s="34"/>
      <c r="E620" s="34"/>
      <c r="F620" s="34"/>
      <c r="G620" s="29"/>
      <c r="H620" s="29"/>
      <c r="I620" s="29"/>
      <c r="J620" s="34"/>
      <c r="K620" s="34"/>
      <c r="L620" s="34"/>
      <c r="M620" s="29"/>
      <c r="N620" s="29"/>
      <c r="O620" s="29"/>
      <c r="P620" s="29"/>
      <c r="Q620" s="34"/>
      <c r="R620" s="34"/>
    </row>
    <row x14ac:dyDescent="0.25" r="621" customHeight="1" ht="15.75">
      <c r="A621" s="1"/>
      <c r="B621" s="34"/>
      <c r="C621" s="1"/>
      <c r="D621" s="34"/>
      <c r="E621" s="34"/>
      <c r="F621" s="34"/>
      <c r="G621" s="29"/>
      <c r="H621" s="29"/>
      <c r="I621" s="29"/>
      <c r="J621" s="34"/>
      <c r="K621" s="34"/>
      <c r="L621" s="34"/>
      <c r="M621" s="29"/>
      <c r="N621" s="29"/>
      <c r="O621" s="29"/>
      <c r="P621" s="29"/>
      <c r="Q621" s="34"/>
      <c r="R621" s="34"/>
    </row>
    <row x14ac:dyDescent="0.25" r="622" customHeight="1" ht="15.75">
      <c r="A622" s="1"/>
      <c r="B622" s="34"/>
      <c r="C622" s="1"/>
      <c r="D622" s="34"/>
      <c r="E622" s="34"/>
      <c r="F622" s="34"/>
      <c r="G622" s="29"/>
      <c r="H622" s="29"/>
      <c r="I622" s="29"/>
      <c r="J622" s="34"/>
      <c r="K622" s="34"/>
      <c r="L622" s="34"/>
      <c r="M622" s="29"/>
      <c r="N622" s="29"/>
      <c r="O622" s="29"/>
      <c r="P622" s="29"/>
      <c r="Q622" s="34"/>
      <c r="R622" s="34"/>
    </row>
    <row x14ac:dyDescent="0.25" r="623" customHeight="1" ht="15.75">
      <c r="A623" s="1"/>
      <c r="B623" s="34"/>
      <c r="C623" s="1"/>
      <c r="D623" s="34"/>
      <c r="E623" s="34"/>
      <c r="F623" s="34"/>
      <c r="G623" s="29"/>
      <c r="H623" s="29"/>
      <c r="I623" s="29"/>
      <c r="J623" s="34"/>
      <c r="K623" s="34"/>
      <c r="L623" s="34"/>
      <c r="M623" s="29"/>
      <c r="N623" s="29"/>
      <c r="O623" s="29"/>
      <c r="P623" s="29"/>
      <c r="Q623" s="34"/>
      <c r="R623" s="34"/>
    </row>
    <row x14ac:dyDescent="0.25" r="624" customHeight="1" ht="15.75">
      <c r="A624" s="1"/>
      <c r="B624" s="34"/>
      <c r="C624" s="1"/>
      <c r="D624" s="34"/>
      <c r="E624" s="34"/>
      <c r="F624" s="34"/>
      <c r="G624" s="29"/>
      <c r="H624" s="29"/>
      <c r="I624" s="29"/>
      <c r="J624" s="34"/>
      <c r="K624" s="34"/>
      <c r="L624" s="34"/>
      <c r="M624" s="29"/>
      <c r="N624" s="29"/>
      <c r="O624" s="29"/>
      <c r="P624" s="29"/>
      <c r="Q624" s="34"/>
      <c r="R624" s="34"/>
    </row>
    <row x14ac:dyDescent="0.25" r="625" customHeight="1" ht="15.75">
      <c r="A625" s="1"/>
      <c r="B625" s="34"/>
      <c r="C625" s="1"/>
      <c r="D625" s="34"/>
      <c r="E625" s="34"/>
      <c r="F625" s="34"/>
      <c r="G625" s="29"/>
      <c r="H625" s="29"/>
      <c r="I625" s="29"/>
      <c r="J625" s="34"/>
      <c r="K625" s="34"/>
      <c r="L625" s="34"/>
      <c r="M625" s="29"/>
      <c r="N625" s="29"/>
      <c r="O625" s="29"/>
      <c r="P625" s="29"/>
      <c r="Q625" s="34"/>
      <c r="R625" s="34"/>
    </row>
    <row x14ac:dyDescent="0.25" r="626" customHeight="1" ht="15.75">
      <c r="A626" s="1"/>
      <c r="B626" s="34"/>
      <c r="C626" s="1"/>
      <c r="D626" s="34"/>
      <c r="E626" s="34"/>
      <c r="F626" s="34"/>
      <c r="G626" s="29"/>
      <c r="H626" s="29"/>
      <c r="I626" s="29"/>
      <c r="J626" s="34"/>
      <c r="K626" s="34"/>
      <c r="L626" s="34"/>
      <c r="M626" s="29"/>
      <c r="N626" s="29"/>
      <c r="O626" s="29"/>
      <c r="P626" s="29"/>
      <c r="Q626" s="34"/>
      <c r="R626" s="34"/>
    </row>
    <row x14ac:dyDescent="0.25" r="627" customHeight="1" ht="15.75">
      <c r="A627" s="1"/>
      <c r="B627" s="34"/>
      <c r="C627" s="1"/>
      <c r="D627" s="34"/>
      <c r="E627" s="34"/>
      <c r="F627" s="34"/>
      <c r="G627" s="29"/>
      <c r="H627" s="29"/>
      <c r="I627" s="29"/>
      <c r="J627" s="34"/>
      <c r="K627" s="34"/>
      <c r="L627" s="34"/>
      <c r="M627" s="29"/>
      <c r="N627" s="29"/>
      <c r="O627" s="29"/>
      <c r="P627" s="29"/>
      <c r="Q627" s="34"/>
      <c r="R627" s="34"/>
    </row>
    <row x14ac:dyDescent="0.25" r="628" customHeight="1" ht="15.75">
      <c r="A628" s="1"/>
      <c r="B628" s="34"/>
      <c r="C628" s="1"/>
      <c r="D628" s="34"/>
      <c r="E628" s="34"/>
      <c r="F628" s="34"/>
      <c r="G628" s="29"/>
      <c r="H628" s="29"/>
      <c r="I628" s="29"/>
      <c r="J628" s="34"/>
      <c r="K628" s="34"/>
      <c r="L628" s="34"/>
      <c r="M628" s="29"/>
      <c r="N628" s="29"/>
      <c r="O628" s="29"/>
      <c r="P628" s="29"/>
      <c r="Q628" s="34"/>
      <c r="R628" s="34"/>
    </row>
    <row x14ac:dyDescent="0.25" r="629" customHeight="1" ht="15.75">
      <c r="A629" s="1"/>
      <c r="B629" s="34"/>
      <c r="C629" s="1"/>
      <c r="D629" s="34"/>
      <c r="E629" s="34"/>
      <c r="F629" s="34"/>
      <c r="G629" s="29"/>
      <c r="H629" s="29"/>
      <c r="I629" s="29"/>
      <c r="J629" s="34"/>
      <c r="K629" s="34"/>
      <c r="L629" s="34"/>
      <c r="M629" s="29"/>
      <c r="N629" s="29"/>
      <c r="O629" s="29"/>
      <c r="P629" s="29"/>
      <c r="Q629" s="34"/>
      <c r="R629" s="34"/>
    </row>
    <row x14ac:dyDescent="0.25" r="630" customHeight="1" ht="15.75">
      <c r="A630" s="1"/>
      <c r="B630" s="34"/>
      <c r="C630" s="1"/>
      <c r="D630" s="34"/>
      <c r="E630" s="34"/>
      <c r="F630" s="34"/>
      <c r="G630" s="29"/>
      <c r="H630" s="29"/>
      <c r="I630" s="29"/>
      <c r="J630" s="34"/>
      <c r="K630" s="34"/>
      <c r="L630" s="34"/>
      <c r="M630" s="29"/>
      <c r="N630" s="29"/>
      <c r="O630" s="29"/>
      <c r="P630" s="29"/>
      <c r="Q630" s="34"/>
      <c r="R630" s="34"/>
    </row>
    <row x14ac:dyDescent="0.25" r="631" customHeight="1" ht="15.75">
      <c r="A631" s="1"/>
      <c r="B631" s="34"/>
      <c r="C631" s="1"/>
      <c r="D631" s="34"/>
      <c r="E631" s="34"/>
      <c r="F631" s="34"/>
      <c r="G631" s="29"/>
      <c r="H631" s="29"/>
      <c r="I631" s="29"/>
      <c r="J631" s="34"/>
      <c r="K631" s="34"/>
      <c r="L631" s="34"/>
      <c r="M631" s="29"/>
      <c r="N631" s="29"/>
      <c r="O631" s="29"/>
      <c r="P631" s="29"/>
      <c r="Q631" s="34"/>
      <c r="R631" s="34"/>
    </row>
    <row x14ac:dyDescent="0.25" r="632" customHeight="1" ht="15.75">
      <c r="A632" s="1"/>
      <c r="B632" s="34"/>
      <c r="C632" s="1"/>
      <c r="D632" s="34"/>
      <c r="E632" s="34"/>
      <c r="F632" s="34"/>
      <c r="G632" s="29"/>
      <c r="H632" s="29"/>
      <c r="I632" s="29"/>
      <c r="J632" s="34"/>
      <c r="K632" s="34"/>
      <c r="L632" s="34"/>
      <c r="M632" s="29"/>
      <c r="N632" s="29"/>
      <c r="O632" s="29"/>
      <c r="P632" s="29"/>
      <c r="Q632" s="34"/>
      <c r="R632" s="34"/>
    </row>
    <row x14ac:dyDescent="0.25" r="633" customHeight="1" ht="15.75">
      <c r="A633" s="1"/>
      <c r="B633" s="34"/>
      <c r="C633" s="1"/>
      <c r="D633" s="34"/>
      <c r="E633" s="34"/>
      <c r="F633" s="34"/>
      <c r="G633" s="29"/>
      <c r="H633" s="29"/>
      <c r="I633" s="29"/>
      <c r="J633" s="34"/>
      <c r="K633" s="34"/>
      <c r="L633" s="34"/>
      <c r="M633" s="29"/>
      <c r="N633" s="29"/>
      <c r="O633" s="29"/>
      <c r="P633" s="29"/>
      <c r="Q633" s="34"/>
      <c r="R633" s="34"/>
    </row>
    <row x14ac:dyDescent="0.25" r="634" customHeight="1" ht="15.75">
      <c r="A634" s="1"/>
      <c r="B634" s="34"/>
      <c r="C634" s="1"/>
      <c r="D634" s="34"/>
      <c r="E634" s="34"/>
      <c r="F634" s="34"/>
      <c r="G634" s="29"/>
      <c r="H634" s="29"/>
      <c r="I634" s="29"/>
      <c r="J634" s="34"/>
      <c r="K634" s="34"/>
      <c r="L634" s="34"/>
      <c r="M634" s="29"/>
      <c r="N634" s="29"/>
      <c r="O634" s="29"/>
      <c r="P634" s="29"/>
      <c r="Q634" s="34"/>
      <c r="R634" s="34"/>
    </row>
    <row x14ac:dyDescent="0.25" r="635" customHeight="1" ht="15.75">
      <c r="A635" s="1"/>
      <c r="B635" s="34"/>
      <c r="C635" s="1"/>
      <c r="D635" s="34"/>
      <c r="E635" s="34"/>
      <c r="F635" s="34"/>
      <c r="G635" s="29"/>
      <c r="H635" s="29"/>
      <c r="I635" s="29"/>
      <c r="J635" s="34"/>
      <c r="K635" s="34"/>
      <c r="L635" s="34"/>
      <c r="M635" s="29"/>
      <c r="N635" s="29"/>
      <c r="O635" s="29"/>
      <c r="P635" s="29"/>
      <c r="Q635" s="34"/>
      <c r="R635" s="34"/>
    </row>
    <row x14ac:dyDescent="0.25" r="636" customHeight="1" ht="15.75">
      <c r="A636" s="1"/>
      <c r="B636" s="34"/>
      <c r="C636" s="1"/>
      <c r="D636" s="34"/>
      <c r="E636" s="34"/>
      <c r="F636" s="34"/>
      <c r="G636" s="29"/>
      <c r="H636" s="29"/>
      <c r="I636" s="29"/>
      <c r="J636" s="34"/>
      <c r="K636" s="34"/>
      <c r="L636" s="34"/>
      <c r="M636" s="29"/>
      <c r="N636" s="29"/>
      <c r="O636" s="29"/>
      <c r="P636" s="29"/>
      <c r="Q636" s="34"/>
      <c r="R636" s="34"/>
    </row>
    <row x14ac:dyDescent="0.25" r="637" customHeight="1" ht="15.75">
      <c r="A637" s="1"/>
      <c r="B637" s="34"/>
      <c r="C637" s="1"/>
      <c r="D637" s="34"/>
      <c r="E637" s="34"/>
      <c r="F637" s="34"/>
      <c r="G637" s="29"/>
      <c r="H637" s="29"/>
      <c r="I637" s="29"/>
      <c r="J637" s="34"/>
      <c r="K637" s="34"/>
      <c r="L637" s="34"/>
      <c r="M637" s="29"/>
      <c r="N637" s="29"/>
      <c r="O637" s="29"/>
      <c r="P637" s="29"/>
      <c r="Q637" s="34"/>
      <c r="R637" s="34"/>
    </row>
    <row x14ac:dyDescent="0.25" r="638" customHeight="1" ht="15.75">
      <c r="A638" s="1"/>
      <c r="B638" s="34"/>
      <c r="C638" s="1"/>
      <c r="D638" s="34"/>
      <c r="E638" s="34"/>
      <c r="F638" s="34"/>
      <c r="G638" s="29"/>
      <c r="H638" s="29"/>
      <c r="I638" s="29"/>
      <c r="J638" s="34"/>
      <c r="K638" s="34"/>
      <c r="L638" s="34"/>
      <c r="M638" s="29"/>
      <c r="N638" s="29"/>
      <c r="O638" s="29"/>
      <c r="P638" s="29"/>
      <c r="Q638" s="34"/>
      <c r="R638" s="34"/>
    </row>
    <row x14ac:dyDescent="0.25" r="639" customHeight="1" ht="15.75">
      <c r="A639" s="1"/>
      <c r="B639" s="34"/>
      <c r="C639" s="1"/>
      <c r="D639" s="34"/>
      <c r="E639" s="34"/>
      <c r="F639" s="34"/>
      <c r="G639" s="29"/>
      <c r="H639" s="29"/>
      <c r="I639" s="29"/>
      <c r="J639" s="34"/>
      <c r="K639" s="34"/>
      <c r="L639" s="34"/>
      <c r="M639" s="29"/>
      <c r="N639" s="29"/>
      <c r="O639" s="29"/>
      <c r="P639" s="29"/>
      <c r="Q639" s="34"/>
      <c r="R639" s="34"/>
    </row>
    <row x14ac:dyDescent="0.25" r="640" customHeight="1" ht="15.75">
      <c r="A640" s="1"/>
      <c r="B640" s="34"/>
      <c r="C640" s="1"/>
      <c r="D640" s="34"/>
      <c r="E640" s="34"/>
      <c r="F640" s="34"/>
      <c r="G640" s="29"/>
      <c r="H640" s="29"/>
      <c r="I640" s="29"/>
      <c r="J640" s="34"/>
      <c r="K640" s="34"/>
      <c r="L640" s="34"/>
      <c r="M640" s="29"/>
      <c r="N640" s="29"/>
      <c r="O640" s="29"/>
      <c r="P640" s="29"/>
      <c r="Q640" s="34"/>
      <c r="R640" s="34"/>
    </row>
    <row x14ac:dyDescent="0.25" r="641" customHeight="1" ht="15.75">
      <c r="A641" s="1"/>
      <c r="B641" s="34"/>
      <c r="C641" s="1"/>
      <c r="D641" s="34"/>
      <c r="E641" s="34"/>
      <c r="F641" s="34"/>
      <c r="G641" s="29"/>
      <c r="H641" s="29"/>
      <c r="I641" s="29"/>
      <c r="J641" s="34"/>
      <c r="K641" s="34"/>
      <c r="L641" s="34"/>
      <c r="M641" s="29"/>
      <c r="N641" s="29"/>
      <c r="O641" s="29"/>
      <c r="P641" s="29"/>
      <c r="Q641" s="34"/>
      <c r="R641" s="34"/>
    </row>
    <row x14ac:dyDescent="0.25" r="642" customHeight="1" ht="15.75">
      <c r="A642" s="1"/>
      <c r="B642" s="34"/>
      <c r="C642" s="1"/>
      <c r="D642" s="34"/>
      <c r="E642" s="34"/>
      <c r="F642" s="34"/>
      <c r="G642" s="29"/>
      <c r="H642" s="29"/>
      <c r="I642" s="29"/>
      <c r="J642" s="34"/>
      <c r="K642" s="34"/>
      <c r="L642" s="34"/>
      <c r="M642" s="29"/>
      <c r="N642" s="29"/>
      <c r="O642" s="29"/>
      <c r="P642" s="29"/>
      <c r="Q642" s="34"/>
      <c r="R642" s="34"/>
    </row>
    <row x14ac:dyDescent="0.25" r="643" customHeight="1" ht="15.75">
      <c r="A643" s="1"/>
      <c r="B643" s="34"/>
      <c r="C643" s="1"/>
      <c r="D643" s="34"/>
      <c r="E643" s="34"/>
      <c r="F643" s="34"/>
      <c r="G643" s="29"/>
      <c r="H643" s="29"/>
      <c r="I643" s="29"/>
      <c r="J643" s="34"/>
      <c r="K643" s="34"/>
      <c r="L643" s="34"/>
      <c r="M643" s="29"/>
      <c r="N643" s="29"/>
      <c r="O643" s="29"/>
      <c r="P643" s="29"/>
      <c r="Q643" s="34"/>
      <c r="R643" s="34"/>
    </row>
    <row x14ac:dyDescent="0.25" r="644" customHeight="1" ht="15.75">
      <c r="A644" s="1"/>
      <c r="B644" s="34"/>
      <c r="C644" s="1"/>
      <c r="D644" s="34"/>
      <c r="E644" s="34"/>
      <c r="F644" s="34"/>
      <c r="G644" s="29"/>
      <c r="H644" s="29"/>
      <c r="I644" s="29"/>
      <c r="J644" s="34"/>
      <c r="K644" s="34"/>
      <c r="L644" s="34"/>
      <c r="M644" s="29"/>
      <c r="N644" s="29"/>
      <c r="O644" s="29"/>
      <c r="P644" s="29"/>
      <c r="Q644" s="34"/>
      <c r="R644" s="34"/>
    </row>
    <row x14ac:dyDescent="0.25" r="645" customHeight="1" ht="15.75">
      <c r="A645" s="1"/>
      <c r="B645" s="34"/>
      <c r="C645" s="1"/>
      <c r="D645" s="34"/>
      <c r="E645" s="34"/>
      <c r="F645" s="34"/>
      <c r="G645" s="29"/>
      <c r="H645" s="29"/>
      <c r="I645" s="29"/>
      <c r="J645" s="34"/>
      <c r="K645" s="34"/>
      <c r="L645" s="34"/>
      <c r="M645" s="29"/>
      <c r="N645" s="29"/>
      <c r="O645" s="29"/>
      <c r="P645" s="29"/>
      <c r="Q645" s="34"/>
      <c r="R645" s="34"/>
    </row>
    <row x14ac:dyDescent="0.25" r="646" customHeight="1" ht="15.75">
      <c r="A646" s="1"/>
      <c r="B646" s="34"/>
      <c r="C646" s="1"/>
      <c r="D646" s="34"/>
      <c r="E646" s="34"/>
      <c r="F646" s="34"/>
      <c r="G646" s="29"/>
      <c r="H646" s="29"/>
      <c r="I646" s="29"/>
      <c r="J646" s="34"/>
      <c r="K646" s="34"/>
      <c r="L646" s="34"/>
      <c r="M646" s="29"/>
      <c r="N646" s="29"/>
      <c r="O646" s="29"/>
      <c r="P646" s="29"/>
      <c r="Q646" s="34"/>
      <c r="R646" s="34"/>
    </row>
    <row x14ac:dyDescent="0.25" r="647" customHeight="1" ht="15.75">
      <c r="A647" s="1"/>
      <c r="B647" s="34"/>
      <c r="C647" s="1"/>
      <c r="D647" s="34"/>
      <c r="E647" s="34"/>
      <c r="F647" s="34"/>
      <c r="G647" s="29"/>
      <c r="H647" s="29"/>
      <c r="I647" s="29"/>
      <c r="J647" s="34"/>
      <c r="K647" s="34"/>
      <c r="L647" s="34"/>
      <c r="M647" s="29"/>
      <c r="N647" s="29"/>
      <c r="O647" s="29"/>
      <c r="P647" s="29"/>
      <c r="Q647" s="34"/>
      <c r="R647" s="34"/>
    </row>
    <row x14ac:dyDescent="0.25" r="648" customHeight="1" ht="15.75">
      <c r="A648" s="1"/>
      <c r="B648" s="34"/>
      <c r="C648" s="1"/>
      <c r="D648" s="34"/>
      <c r="E648" s="34"/>
      <c r="F648" s="34"/>
      <c r="G648" s="29"/>
      <c r="H648" s="29"/>
      <c r="I648" s="29"/>
      <c r="J648" s="34"/>
      <c r="K648" s="34"/>
      <c r="L648" s="34"/>
      <c r="M648" s="29"/>
      <c r="N648" s="29"/>
      <c r="O648" s="29"/>
      <c r="P648" s="29"/>
      <c r="Q648" s="34"/>
      <c r="R648" s="34"/>
    </row>
    <row x14ac:dyDescent="0.25" r="649" customHeight="1" ht="15.75">
      <c r="A649" s="1"/>
      <c r="B649" s="34"/>
      <c r="C649" s="1"/>
      <c r="D649" s="34"/>
      <c r="E649" s="34"/>
      <c r="F649" s="34"/>
      <c r="G649" s="29"/>
      <c r="H649" s="29"/>
      <c r="I649" s="29"/>
      <c r="J649" s="34"/>
      <c r="K649" s="34"/>
      <c r="L649" s="34"/>
      <c r="M649" s="29"/>
      <c r="N649" s="29"/>
      <c r="O649" s="29"/>
      <c r="P649" s="29"/>
      <c r="Q649" s="34"/>
      <c r="R649" s="34"/>
    </row>
    <row x14ac:dyDescent="0.25" r="650" customHeight="1" ht="15.75">
      <c r="A650" s="1"/>
      <c r="B650" s="34"/>
      <c r="C650" s="1"/>
      <c r="D650" s="34"/>
      <c r="E650" s="34"/>
      <c r="F650" s="34"/>
      <c r="G650" s="29"/>
      <c r="H650" s="29"/>
      <c r="I650" s="29"/>
      <c r="J650" s="34"/>
      <c r="K650" s="34"/>
      <c r="L650" s="34"/>
      <c r="M650" s="29"/>
      <c r="N650" s="29"/>
      <c r="O650" s="29"/>
      <c r="P650" s="29"/>
      <c r="Q650" s="34"/>
      <c r="R650" s="34"/>
    </row>
    <row x14ac:dyDescent="0.25" r="651" customHeight="1" ht="15.75">
      <c r="A651" s="1"/>
      <c r="B651" s="34"/>
      <c r="C651" s="1"/>
      <c r="D651" s="34"/>
      <c r="E651" s="34"/>
      <c r="F651" s="34"/>
      <c r="G651" s="29"/>
      <c r="H651" s="29"/>
      <c r="I651" s="29"/>
      <c r="J651" s="34"/>
      <c r="K651" s="34"/>
      <c r="L651" s="34"/>
      <c r="M651" s="29"/>
      <c r="N651" s="29"/>
      <c r="O651" s="29"/>
      <c r="P651" s="29"/>
      <c r="Q651" s="34"/>
      <c r="R651" s="34"/>
    </row>
    <row x14ac:dyDescent="0.25" r="652" customHeight="1" ht="15.75">
      <c r="A652" s="1"/>
      <c r="B652" s="34"/>
      <c r="C652" s="1"/>
      <c r="D652" s="34"/>
      <c r="E652" s="34"/>
      <c r="F652" s="34"/>
      <c r="G652" s="29"/>
      <c r="H652" s="29"/>
      <c r="I652" s="29"/>
      <c r="J652" s="34"/>
      <c r="K652" s="34"/>
      <c r="L652" s="34"/>
      <c r="M652" s="29"/>
      <c r="N652" s="29"/>
      <c r="O652" s="29"/>
      <c r="P652" s="29"/>
      <c r="Q652" s="34"/>
      <c r="R652" s="34"/>
    </row>
    <row x14ac:dyDescent="0.25" r="653" customHeight="1" ht="15.75">
      <c r="A653" s="1"/>
      <c r="B653" s="34"/>
      <c r="C653" s="1"/>
      <c r="D653" s="34"/>
      <c r="E653" s="34"/>
      <c r="F653" s="34"/>
      <c r="G653" s="29"/>
      <c r="H653" s="29"/>
      <c r="I653" s="29"/>
      <c r="J653" s="34"/>
      <c r="K653" s="34"/>
      <c r="L653" s="34"/>
      <c r="M653" s="29"/>
      <c r="N653" s="29"/>
      <c r="O653" s="29"/>
      <c r="P653" s="29"/>
      <c r="Q653" s="34"/>
      <c r="R653" s="34"/>
    </row>
    <row x14ac:dyDescent="0.25" r="654" customHeight="1" ht="15.75">
      <c r="A654" s="1"/>
      <c r="B654" s="34"/>
      <c r="C654" s="1"/>
      <c r="D654" s="34"/>
      <c r="E654" s="34"/>
      <c r="F654" s="34"/>
      <c r="G654" s="29"/>
      <c r="H654" s="29"/>
      <c r="I654" s="29"/>
      <c r="J654" s="34"/>
      <c r="K654" s="34"/>
      <c r="L654" s="34"/>
      <c r="M654" s="29"/>
      <c r="N654" s="29"/>
      <c r="O654" s="29"/>
      <c r="P654" s="29"/>
      <c r="Q654" s="34"/>
      <c r="R654" s="34"/>
    </row>
    <row x14ac:dyDescent="0.25" r="655" customHeight="1" ht="15.75">
      <c r="A655" s="1"/>
      <c r="B655" s="34"/>
      <c r="C655" s="1"/>
      <c r="D655" s="34"/>
      <c r="E655" s="34"/>
      <c r="F655" s="34"/>
      <c r="G655" s="29"/>
      <c r="H655" s="29"/>
      <c r="I655" s="29"/>
      <c r="J655" s="34"/>
      <c r="K655" s="34"/>
      <c r="L655" s="34"/>
      <c r="M655" s="29"/>
      <c r="N655" s="29"/>
      <c r="O655" s="29"/>
      <c r="P655" s="29"/>
      <c r="Q655" s="34"/>
      <c r="R655" s="34"/>
    </row>
    <row x14ac:dyDescent="0.25" r="656" customHeight="1" ht="15.75">
      <c r="A656" s="1"/>
      <c r="B656" s="34"/>
      <c r="C656" s="1"/>
      <c r="D656" s="34"/>
      <c r="E656" s="34"/>
      <c r="F656" s="34"/>
      <c r="G656" s="29"/>
      <c r="H656" s="29"/>
      <c r="I656" s="29"/>
      <c r="J656" s="34"/>
      <c r="K656" s="34"/>
      <c r="L656" s="34"/>
      <c r="M656" s="29"/>
      <c r="N656" s="29"/>
      <c r="O656" s="29"/>
      <c r="P656" s="29"/>
      <c r="Q656" s="34"/>
      <c r="R656" s="34"/>
    </row>
    <row x14ac:dyDescent="0.25" r="657" customHeight="1" ht="15.75">
      <c r="A657" s="1"/>
      <c r="B657" s="34"/>
      <c r="C657" s="1"/>
      <c r="D657" s="34"/>
      <c r="E657" s="34"/>
      <c r="F657" s="34"/>
      <c r="G657" s="29"/>
      <c r="H657" s="29"/>
      <c r="I657" s="29"/>
      <c r="J657" s="34"/>
      <c r="K657" s="34"/>
      <c r="L657" s="34"/>
      <c r="M657" s="29"/>
      <c r="N657" s="29"/>
      <c r="O657" s="29"/>
      <c r="P657" s="29"/>
      <c r="Q657" s="34"/>
      <c r="R657" s="34"/>
    </row>
    <row x14ac:dyDescent="0.25" r="658" customHeight="1" ht="15.75">
      <c r="A658" s="1"/>
      <c r="B658" s="34"/>
      <c r="C658" s="1"/>
      <c r="D658" s="34"/>
      <c r="E658" s="34"/>
      <c r="F658" s="34"/>
      <c r="G658" s="29"/>
      <c r="H658" s="29"/>
      <c r="I658" s="29"/>
      <c r="J658" s="34"/>
      <c r="K658" s="34"/>
      <c r="L658" s="34"/>
      <c r="M658" s="29"/>
      <c r="N658" s="29"/>
      <c r="O658" s="29"/>
      <c r="P658" s="29"/>
      <c r="Q658" s="34"/>
      <c r="R658" s="34"/>
    </row>
    <row x14ac:dyDescent="0.25" r="659" customHeight="1" ht="15.75">
      <c r="A659" s="1"/>
      <c r="B659" s="34"/>
      <c r="C659" s="1"/>
      <c r="D659" s="34"/>
      <c r="E659" s="34"/>
      <c r="F659" s="34"/>
      <c r="G659" s="29"/>
      <c r="H659" s="29"/>
      <c r="I659" s="29"/>
      <c r="J659" s="34"/>
      <c r="K659" s="34"/>
      <c r="L659" s="34"/>
      <c r="M659" s="29"/>
      <c r="N659" s="29"/>
      <c r="O659" s="29"/>
      <c r="P659" s="29"/>
      <c r="Q659" s="34"/>
      <c r="R659" s="34"/>
    </row>
    <row x14ac:dyDescent="0.25" r="660" customHeight="1" ht="15.75">
      <c r="A660" s="1"/>
      <c r="B660" s="34"/>
      <c r="C660" s="1"/>
      <c r="D660" s="34"/>
      <c r="E660" s="34"/>
      <c r="F660" s="34"/>
      <c r="G660" s="29"/>
      <c r="H660" s="29"/>
      <c r="I660" s="29"/>
      <c r="J660" s="34"/>
      <c r="K660" s="34"/>
      <c r="L660" s="34"/>
      <c r="M660" s="29"/>
      <c r="N660" s="29"/>
      <c r="O660" s="29"/>
      <c r="P660" s="29"/>
      <c r="Q660" s="34"/>
      <c r="R660" s="34"/>
    </row>
    <row x14ac:dyDescent="0.25" r="661" customHeight="1" ht="15.75">
      <c r="A661" s="1"/>
      <c r="B661" s="34"/>
      <c r="C661" s="1"/>
      <c r="D661" s="34"/>
      <c r="E661" s="34"/>
      <c r="F661" s="34"/>
      <c r="G661" s="29"/>
      <c r="H661" s="29"/>
      <c r="I661" s="29"/>
      <c r="J661" s="34"/>
      <c r="K661" s="34"/>
      <c r="L661" s="34"/>
      <c r="M661" s="29"/>
      <c r="N661" s="29"/>
      <c r="O661" s="29"/>
      <c r="P661" s="29"/>
      <c r="Q661" s="34"/>
      <c r="R661" s="34"/>
    </row>
    <row x14ac:dyDescent="0.25" r="662" customHeight="1" ht="15.75">
      <c r="A662" s="1"/>
      <c r="B662" s="34"/>
      <c r="C662" s="1"/>
      <c r="D662" s="34"/>
      <c r="E662" s="34"/>
      <c r="F662" s="34"/>
      <c r="G662" s="29"/>
      <c r="H662" s="29"/>
      <c r="I662" s="29"/>
      <c r="J662" s="34"/>
      <c r="K662" s="34"/>
      <c r="L662" s="34"/>
      <c r="M662" s="29"/>
      <c r="N662" s="29"/>
      <c r="O662" s="29"/>
      <c r="P662" s="29"/>
      <c r="Q662" s="34"/>
      <c r="R662" s="34"/>
    </row>
    <row x14ac:dyDescent="0.25" r="663" customHeight="1" ht="15.75">
      <c r="A663" s="1"/>
      <c r="B663" s="34"/>
      <c r="C663" s="1"/>
      <c r="D663" s="34"/>
      <c r="E663" s="34"/>
      <c r="F663" s="34"/>
      <c r="G663" s="29"/>
      <c r="H663" s="29"/>
      <c r="I663" s="29"/>
      <c r="J663" s="34"/>
      <c r="K663" s="34"/>
      <c r="L663" s="34"/>
      <c r="M663" s="29"/>
      <c r="N663" s="29"/>
      <c r="O663" s="29"/>
      <c r="P663" s="29"/>
      <c r="Q663" s="34"/>
      <c r="R663" s="34"/>
    </row>
    <row x14ac:dyDescent="0.25" r="664" customHeight="1" ht="15.75">
      <c r="A664" s="1"/>
      <c r="B664" s="34"/>
      <c r="C664" s="1"/>
      <c r="D664" s="34"/>
      <c r="E664" s="34"/>
      <c r="F664" s="34"/>
      <c r="G664" s="29"/>
      <c r="H664" s="29"/>
      <c r="I664" s="29"/>
      <c r="J664" s="34"/>
      <c r="K664" s="34"/>
      <c r="L664" s="34"/>
      <c r="M664" s="29"/>
      <c r="N664" s="29"/>
      <c r="O664" s="29"/>
      <c r="P664" s="29"/>
      <c r="Q664" s="34"/>
      <c r="R664" s="34"/>
    </row>
    <row x14ac:dyDescent="0.25" r="665" customHeight="1" ht="15.75">
      <c r="A665" s="1"/>
      <c r="B665" s="34"/>
      <c r="C665" s="1"/>
      <c r="D665" s="34"/>
      <c r="E665" s="34"/>
      <c r="F665" s="34"/>
      <c r="G665" s="29"/>
      <c r="H665" s="29"/>
      <c r="I665" s="29"/>
      <c r="J665" s="34"/>
      <c r="K665" s="34"/>
      <c r="L665" s="34"/>
      <c r="M665" s="29"/>
      <c r="N665" s="29"/>
      <c r="O665" s="29"/>
      <c r="P665" s="29"/>
      <c r="Q665" s="34"/>
      <c r="R665" s="34"/>
    </row>
    <row x14ac:dyDescent="0.25" r="666" customHeight="1" ht="15.75">
      <c r="A666" s="1"/>
      <c r="B666" s="34"/>
      <c r="C666" s="1"/>
      <c r="D666" s="34"/>
      <c r="E666" s="34"/>
      <c r="F666" s="34"/>
      <c r="G666" s="29"/>
      <c r="H666" s="29"/>
      <c r="I666" s="29"/>
      <c r="J666" s="34"/>
      <c r="K666" s="34"/>
      <c r="L666" s="34"/>
      <c r="M666" s="29"/>
      <c r="N666" s="29"/>
      <c r="O666" s="29"/>
      <c r="P666" s="29"/>
      <c r="Q666" s="34"/>
      <c r="R666" s="34"/>
    </row>
    <row x14ac:dyDescent="0.25" r="667" customHeight="1" ht="15.75">
      <c r="A667" s="1"/>
      <c r="B667" s="34"/>
      <c r="C667" s="1"/>
      <c r="D667" s="34"/>
      <c r="E667" s="34"/>
      <c r="F667" s="34"/>
      <c r="G667" s="29"/>
      <c r="H667" s="29"/>
      <c r="I667" s="29"/>
      <c r="J667" s="34"/>
      <c r="K667" s="34"/>
      <c r="L667" s="34"/>
      <c r="M667" s="29"/>
      <c r="N667" s="29"/>
      <c r="O667" s="29"/>
      <c r="P667" s="29"/>
      <c r="Q667" s="34"/>
      <c r="R667" s="34"/>
    </row>
    <row x14ac:dyDescent="0.25" r="668" customHeight="1" ht="15.75">
      <c r="A668" s="1"/>
      <c r="B668" s="34"/>
      <c r="C668" s="1"/>
      <c r="D668" s="34"/>
      <c r="E668" s="34"/>
      <c r="F668" s="34"/>
      <c r="G668" s="29"/>
      <c r="H668" s="29"/>
      <c r="I668" s="29"/>
      <c r="J668" s="34"/>
      <c r="K668" s="34"/>
      <c r="L668" s="34"/>
      <c r="M668" s="29"/>
      <c r="N668" s="29"/>
      <c r="O668" s="29"/>
      <c r="P668" s="29"/>
      <c r="Q668" s="34"/>
      <c r="R668" s="34"/>
    </row>
    <row x14ac:dyDescent="0.25" r="669" customHeight="1" ht="15.75">
      <c r="A669" s="1"/>
      <c r="B669" s="34"/>
      <c r="C669" s="1"/>
      <c r="D669" s="34"/>
      <c r="E669" s="34"/>
      <c r="F669" s="34"/>
      <c r="G669" s="29"/>
      <c r="H669" s="29"/>
      <c r="I669" s="29"/>
      <c r="J669" s="34"/>
      <c r="K669" s="34"/>
      <c r="L669" s="34"/>
      <c r="M669" s="29"/>
      <c r="N669" s="29"/>
      <c r="O669" s="29"/>
      <c r="P669" s="29"/>
      <c r="Q669" s="34"/>
      <c r="R669" s="34"/>
    </row>
    <row x14ac:dyDescent="0.25" r="670" customHeight="1" ht="15.75">
      <c r="A670" s="1"/>
      <c r="B670" s="34"/>
      <c r="C670" s="1"/>
      <c r="D670" s="34"/>
      <c r="E670" s="34"/>
      <c r="F670" s="34"/>
      <c r="G670" s="29"/>
      <c r="H670" s="29"/>
      <c r="I670" s="29"/>
      <c r="J670" s="34"/>
      <c r="K670" s="34"/>
      <c r="L670" s="34"/>
      <c r="M670" s="29"/>
      <c r="N670" s="29"/>
      <c r="O670" s="29"/>
      <c r="P670" s="29"/>
      <c r="Q670" s="34"/>
      <c r="R670" s="34"/>
    </row>
    <row x14ac:dyDescent="0.25" r="671" customHeight="1" ht="15.75">
      <c r="A671" s="1"/>
      <c r="B671" s="34"/>
      <c r="C671" s="1"/>
      <c r="D671" s="34"/>
      <c r="E671" s="34"/>
      <c r="F671" s="34"/>
      <c r="G671" s="29"/>
      <c r="H671" s="29"/>
      <c r="I671" s="29"/>
      <c r="J671" s="34"/>
      <c r="K671" s="34"/>
      <c r="L671" s="34"/>
      <c r="M671" s="29"/>
      <c r="N671" s="29"/>
      <c r="O671" s="29"/>
      <c r="P671" s="29"/>
      <c r="Q671" s="34"/>
      <c r="R671" s="34"/>
    </row>
    <row x14ac:dyDescent="0.25" r="672" customHeight="1" ht="15.75">
      <c r="A672" s="1"/>
      <c r="B672" s="34"/>
      <c r="C672" s="1"/>
      <c r="D672" s="34"/>
      <c r="E672" s="34"/>
      <c r="F672" s="34"/>
      <c r="G672" s="29"/>
      <c r="H672" s="29"/>
      <c r="I672" s="29"/>
      <c r="J672" s="34"/>
      <c r="K672" s="34"/>
      <c r="L672" s="34"/>
      <c r="M672" s="29"/>
      <c r="N672" s="29"/>
      <c r="O672" s="29"/>
      <c r="P672" s="29"/>
      <c r="Q672" s="34"/>
      <c r="R672" s="34"/>
    </row>
    <row x14ac:dyDescent="0.25" r="673" customHeight="1" ht="15.75">
      <c r="A673" s="1"/>
      <c r="B673" s="34"/>
      <c r="C673" s="1"/>
      <c r="D673" s="34"/>
      <c r="E673" s="34"/>
      <c r="F673" s="34"/>
      <c r="G673" s="29"/>
      <c r="H673" s="29"/>
      <c r="I673" s="29"/>
      <c r="J673" s="34"/>
      <c r="K673" s="34"/>
      <c r="L673" s="34"/>
      <c r="M673" s="29"/>
      <c r="N673" s="29"/>
      <c r="O673" s="29"/>
      <c r="P673" s="29"/>
      <c r="Q673" s="34"/>
      <c r="R673" s="34"/>
    </row>
    <row x14ac:dyDescent="0.25" r="674" customHeight="1" ht="15.75">
      <c r="A674" s="1"/>
      <c r="B674" s="34"/>
      <c r="C674" s="1"/>
      <c r="D674" s="34"/>
      <c r="E674" s="34"/>
      <c r="F674" s="34"/>
      <c r="G674" s="29"/>
      <c r="H674" s="29"/>
      <c r="I674" s="29"/>
      <c r="J674" s="34"/>
      <c r="K674" s="34"/>
      <c r="L674" s="34"/>
      <c r="M674" s="29"/>
      <c r="N674" s="29"/>
      <c r="O674" s="29"/>
      <c r="P674" s="29"/>
      <c r="Q674" s="34"/>
      <c r="R674" s="34"/>
    </row>
    <row x14ac:dyDescent="0.25" r="675" customHeight="1" ht="15.75">
      <c r="A675" s="1"/>
      <c r="B675" s="34"/>
      <c r="C675" s="1"/>
      <c r="D675" s="34"/>
      <c r="E675" s="34"/>
      <c r="F675" s="34"/>
      <c r="G675" s="29"/>
      <c r="H675" s="29"/>
      <c r="I675" s="29"/>
      <c r="J675" s="34"/>
      <c r="K675" s="34"/>
      <c r="L675" s="34"/>
      <c r="M675" s="29"/>
      <c r="N675" s="29"/>
      <c r="O675" s="29"/>
      <c r="P675" s="29"/>
      <c r="Q675" s="34"/>
      <c r="R675" s="34"/>
    </row>
    <row x14ac:dyDescent="0.25" r="676" customHeight="1" ht="15.75">
      <c r="A676" s="1"/>
      <c r="B676" s="34"/>
      <c r="C676" s="1"/>
      <c r="D676" s="34"/>
      <c r="E676" s="34"/>
      <c r="F676" s="34"/>
      <c r="G676" s="29"/>
      <c r="H676" s="29"/>
      <c r="I676" s="29"/>
      <c r="J676" s="34"/>
      <c r="K676" s="34"/>
      <c r="L676" s="34"/>
      <c r="M676" s="29"/>
      <c r="N676" s="29"/>
      <c r="O676" s="29"/>
      <c r="P676" s="29"/>
      <c r="Q676" s="34"/>
      <c r="R676" s="34"/>
    </row>
    <row x14ac:dyDescent="0.25" r="677" customHeight="1" ht="15.75">
      <c r="A677" s="1"/>
      <c r="B677" s="34"/>
      <c r="C677" s="1"/>
      <c r="D677" s="34"/>
      <c r="E677" s="34"/>
      <c r="F677" s="34"/>
      <c r="G677" s="29"/>
      <c r="H677" s="29"/>
      <c r="I677" s="29"/>
      <c r="J677" s="34"/>
      <c r="K677" s="34"/>
      <c r="L677" s="34"/>
      <c r="M677" s="29"/>
      <c r="N677" s="29"/>
      <c r="O677" s="29"/>
      <c r="P677" s="29"/>
      <c r="Q677" s="34"/>
      <c r="R677" s="34"/>
    </row>
    <row x14ac:dyDescent="0.25" r="678" customHeight="1" ht="15.75">
      <c r="A678" s="1"/>
      <c r="B678" s="34"/>
      <c r="C678" s="1"/>
      <c r="D678" s="34"/>
      <c r="E678" s="34"/>
      <c r="F678" s="34"/>
      <c r="G678" s="29"/>
      <c r="H678" s="29"/>
      <c r="I678" s="29"/>
      <c r="J678" s="34"/>
      <c r="K678" s="34"/>
      <c r="L678" s="34"/>
      <c r="M678" s="29"/>
      <c r="N678" s="29"/>
      <c r="O678" s="29"/>
      <c r="P678" s="29"/>
      <c r="Q678" s="34"/>
      <c r="R678" s="34"/>
    </row>
    <row x14ac:dyDescent="0.25" r="679" customHeight="1" ht="15.75">
      <c r="A679" s="1"/>
      <c r="B679" s="34"/>
      <c r="C679" s="1"/>
      <c r="D679" s="34"/>
      <c r="E679" s="34"/>
      <c r="F679" s="34"/>
      <c r="G679" s="29"/>
      <c r="H679" s="29"/>
      <c r="I679" s="29"/>
      <c r="J679" s="34"/>
      <c r="K679" s="34"/>
      <c r="L679" s="34"/>
      <c r="M679" s="29"/>
      <c r="N679" s="29"/>
      <c r="O679" s="29"/>
      <c r="P679" s="29"/>
      <c r="Q679" s="34"/>
      <c r="R679" s="34"/>
    </row>
    <row x14ac:dyDescent="0.25" r="680" customHeight="1" ht="15.75">
      <c r="A680" s="1"/>
      <c r="B680" s="34"/>
      <c r="C680" s="1"/>
      <c r="D680" s="34"/>
      <c r="E680" s="34"/>
      <c r="F680" s="34"/>
      <c r="G680" s="29"/>
      <c r="H680" s="29"/>
      <c r="I680" s="29"/>
      <c r="J680" s="34"/>
      <c r="K680" s="34"/>
      <c r="L680" s="34"/>
      <c r="M680" s="29"/>
      <c r="N680" s="29"/>
      <c r="O680" s="29"/>
      <c r="P680" s="29"/>
      <c r="Q680" s="34"/>
      <c r="R680" s="34"/>
    </row>
    <row x14ac:dyDescent="0.25" r="681" customHeight="1" ht="15.75">
      <c r="A681" s="1"/>
      <c r="B681" s="34"/>
      <c r="C681" s="1"/>
      <c r="D681" s="34"/>
      <c r="E681" s="34"/>
      <c r="F681" s="34"/>
      <c r="G681" s="29"/>
      <c r="H681" s="29"/>
      <c r="I681" s="29"/>
      <c r="J681" s="34"/>
      <c r="K681" s="34"/>
      <c r="L681" s="34"/>
      <c r="M681" s="29"/>
      <c r="N681" s="29"/>
      <c r="O681" s="29"/>
      <c r="P681" s="29"/>
      <c r="Q681" s="34"/>
      <c r="R681" s="34"/>
    </row>
    <row x14ac:dyDescent="0.25" r="682" customHeight="1" ht="15.75">
      <c r="A682" s="1"/>
      <c r="B682" s="34"/>
      <c r="C682" s="1"/>
      <c r="D682" s="34"/>
      <c r="E682" s="34"/>
      <c r="F682" s="34"/>
      <c r="G682" s="29"/>
      <c r="H682" s="29"/>
      <c r="I682" s="29"/>
      <c r="J682" s="34"/>
      <c r="K682" s="34"/>
      <c r="L682" s="34"/>
      <c r="M682" s="29"/>
      <c r="N682" s="29"/>
      <c r="O682" s="29"/>
      <c r="P682" s="29"/>
      <c r="Q682" s="34"/>
      <c r="R682" s="34"/>
    </row>
    <row x14ac:dyDescent="0.25" r="683" customHeight="1" ht="15.75">
      <c r="A683" s="1"/>
      <c r="B683" s="34"/>
      <c r="C683" s="1"/>
      <c r="D683" s="34"/>
      <c r="E683" s="34"/>
      <c r="F683" s="34"/>
      <c r="G683" s="29"/>
      <c r="H683" s="29"/>
      <c r="I683" s="29"/>
      <c r="J683" s="34"/>
      <c r="K683" s="34"/>
      <c r="L683" s="34"/>
      <c r="M683" s="29"/>
      <c r="N683" s="29"/>
      <c r="O683" s="29"/>
      <c r="P683" s="29"/>
      <c r="Q683" s="34"/>
      <c r="R683" s="34"/>
    </row>
    <row x14ac:dyDescent="0.25" r="684" customHeight="1" ht="15.75">
      <c r="A684" s="1"/>
      <c r="B684" s="34"/>
      <c r="C684" s="1"/>
      <c r="D684" s="34"/>
      <c r="E684" s="34"/>
      <c r="F684" s="34"/>
      <c r="G684" s="29"/>
      <c r="H684" s="29"/>
      <c r="I684" s="29"/>
      <c r="J684" s="34"/>
      <c r="K684" s="34"/>
      <c r="L684" s="34"/>
      <c r="M684" s="29"/>
      <c r="N684" s="29"/>
      <c r="O684" s="29"/>
      <c r="P684" s="29"/>
      <c r="Q684" s="34"/>
      <c r="R684" s="34"/>
    </row>
    <row x14ac:dyDescent="0.25" r="685" customHeight="1" ht="15.75">
      <c r="A685" s="1"/>
      <c r="B685" s="34"/>
      <c r="C685" s="1"/>
      <c r="D685" s="34"/>
      <c r="E685" s="34"/>
      <c r="F685" s="34"/>
      <c r="G685" s="29"/>
      <c r="H685" s="29"/>
      <c r="I685" s="29"/>
      <c r="J685" s="34"/>
      <c r="K685" s="34"/>
      <c r="L685" s="34"/>
      <c r="M685" s="29"/>
      <c r="N685" s="29"/>
      <c r="O685" s="29"/>
      <c r="P685" s="29"/>
      <c r="Q685" s="34"/>
      <c r="R685" s="34"/>
    </row>
    <row x14ac:dyDescent="0.25" r="686" customHeight="1" ht="15.75">
      <c r="A686" s="1"/>
      <c r="B686" s="34"/>
      <c r="C686" s="1"/>
      <c r="D686" s="34"/>
      <c r="E686" s="34"/>
      <c r="F686" s="34"/>
      <c r="G686" s="29"/>
      <c r="H686" s="29"/>
      <c r="I686" s="29"/>
      <c r="J686" s="34"/>
      <c r="K686" s="34"/>
      <c r="L686" s="34"/>
      <c r="M686" s="29"/>
      <c r="N686" s="29"/>
      <c r="O686" s="29"/>
      <c r="P686" s="29"/>
      <c r="Q686" s="34"/>
      <c r="R686" s="34"/>
    </row>
    <row x14ac:dyDescent="0.25" r="687" customHeight="1" ht="15.75">
      <c r="A687" s="1"/>
      <c r="B687" s="34"/>
      <c r="C687" s="1"/>
      <c r="D687" s="34"/>
      <c r="E687" s="34"/>
      <c r="F687" s="34"/>
      <c r="G687" s="29"/>
      <c r="H687" s="29"/>
      <c r="I687" s="29"/>
      <c r="J687" s="34"/>
      <c r="K687" s="34"/>
      <c r="L687" s="34"/>
      <c r="M687" s="29"/>
      <c r="N687" s="29"/>
      <c r="O687" s="29"/>
      <c r="P687" s="29"/>
      <c r="Q687" s="34"/>
      <c r="R687" s="34"/>
    </row>
    <row x14ac:dyDescent="0.25" r="688" customHeight="1" ht="15.75">
      <c r="A688" s="1"/>
      <c r="B688" s="34"/>
      <c r="C688" s="1"/>
      <c r="D688" s="34"/>
      <c r="E688" s="34"/>
      <c r="F688" s="34"/>
      <c r="G688" s="29"/>
      <c r="H688" s="29"/>
      <c r="I688" s="29"/>
      <c r="J688" s="34"/>
      <c r="K688" s="34"/>
      <c r="L688" s="34"/>
      <c r="M688" s="29"/>
      <c r="N688" s="29"/>
      <c r="O688" s="29"/>
      <c r="P688" s="29"/>
      <c r="Q688" s="34"/>
      <c r="R688" s="34"/>
    </row>
    <row x14ac:dyDescent="0.25" r="689" customHeight="1" ht="15.75">
      <c r="A689" s="1"/>
      <c r="B689" s="34"/>
      <c r="C689" s="1"/>
      <c r="D689" s="34"/>
      <c r="E689" s="34"/>
      <c r="F689" s="34"/>
      <c r="G689" s="29"/>
      <c r="H689" s="29"/>
      <c r="I689" s="29"/>
      <c r="J689" s="34"/>
      <c r="K689" s="34"/>
      <c r="L689" s="34"/>
      <c r="M689" s="29"/>
      <c r="N689" s="29"/>
      <c r="O689" s="29"/>
      <c r="P689" s="29"/>
      <c r="Q689" s="34"/>
      <c r="R689" s="34"/>
    </row>
    <row x14ac:dyDescent="0.25" r="690" customHeight="1" ht="15.75">
      <c r="A690" s="1"/>
      <c r="B690" s="34"/>
      <c r="C690" s="1"/>
      <c r="D690" s="34"/>
      <c r="E690" s="34"/>
      <c r="F690" s="34"/>
      <c r="G690" s="29"/>
      <c r="H690" s="29"/>
      <c r="I690" s="29"/>
      <c r="J690" s="34"/>
      <c r="K690" s="34"/>
      <c r="L690" s="34"/>
      <c r="M690" s="29"/>
      <c r="N690" s="29"/>
      <c r="O690" s="29"/>
      <c r="P690" s="29"/>
      <c r="Q690" s="34"/>
      <c r="R690" s="34"/>
    </row>
    <row x14ac:dyDescent="0.25" r="691" customHeight="1" ht="15.75">
      <c r="A691" s="1"/>
      <c r="B691" s="34"/>
      <c r="C691" s="1"/>
      <c r="D691" s="34"/>
      <c r="E691" s="34"/>
      <c r="F691" s="34"/>
      <c r="G691" s="29"/>
      <c r="H691" s="29"/>
      <c r="I691" s="29"/>
      <c r="J691" s="34"/>
      <c r="K691" s="34"/>
      <c r="L691" s="34"/>
      <c r="M691" s="29"/>
      <c r="N691" s="29"/>
      <c r="O691" s="29"/>
      <c r="P691" s="29"/>
      <c r="Q691" s="34"/>
      <c r="R691" s="34"/>
    </row>
    <row x14ac:dyDescent="0.25" r="692" customHeight="1" ht="15.75">
      <c r="A692" s="1"/>
      <c r="B692" s="34"/>
      <c r="C692" s="1"/>
      <c r="D692" s="34"/>
      <c r="E692" s="34"/>
      <c r="F692" s="34"/>
      <c r="G692" s="29"/>
      <c r="H692" s="29"/>
      <c r="I692" s="29"/>
      <c r="J692" s="34"/>
      <c r="K692" s="34"/>
      <c r="L692" s="34"/>
      <c r="M692" s="29"/>
      <c r="N692" s="29"/>
      <c r="O692" s="29"/>
      <c r="P692" s="29"/>
      <c r="Q692" s="34"/>
      <c r="R692" s="34"/>
    </row>
    <row x14ac:dyDescent="0.25" r="693" customHeight="1" ht="15.75">
      <c r="A693" s="1"/>
      <c r="B693" s="34"/>
      <c r="C693" s="1"/>
      <c r="D693" s="34"/>
      <c r="E693" s="34"/>
      <c r="F693" s="34"/>
      <c r="G693" s="29"/>
      <c r="H693" s="29"/>
      <c r="I693" s="29"/>
      <c r="J693" s="34"/>
      <c r="K693" s="34"/>
      <c r="L693" s="34"/>
      <c r="M693" s="29"/>
      <c r="N693" s="29"/>
      <c r="O693" s="29"/>
      <c r="P693" s="29"/>
      <c r="Q693" s="34"/>
      <c r="R693" s="34"/>
    </row>
    <row x14ac:dyDescent="0.25" r="694" customHeight="1" ht="15.75">
      <c r="A694" s="1"/>
      <c r="B694" s="34"/>
      <c r="C694" s="1"/>
      <c r="D694" s="34"/>
      <c r="E694" s="34"/>
      <c r="F694" s="34"/>
      <c r="G694" s="29"/>
      <c r="H694" s="29"/>
      <c r="I694" s="29"/>
      <c r="J694" s="34"/>
      <c r="K694" s="34"/>
      <c r="L694" s="34"/>
      <c r="M694" s="29"/>
      <c r="N694" s="29"/>
      <c r="O694" s="29"/>
      <c r="P694" s="29"/>
      <c r="Q694" s="34"/>
      <c r="R694" s="34"/>
    </row>
    <row x14ac:dyDescent="0.25" r="695" customHeight="1" ht="15.75">
      <c r="A695" s="1"/>
      <c r="B695" s="34"/>
      <c r="C695" s="1"/>
      <c r="D695" s="34"/>
      <c r="E695" s="34"/>
      <c r="F695" s="34"/>
      <c r="G695" s="29"/>
      <c r="H695" s="29"/>
      <c r="I695" s="29"/>
      <c r="J695" s="34"/>
      <c r="K695" s="34"/>
      <c r="L695" s="34"/>
      <c r="M695" s="29"/>
      <c r="N695" s="29"/>
      <c r="O695" s="29"/>
      <c r="P695" s="29"/>
      <c r="Q695" s="34"/>
      <c r="R695" s="34"/>
    </row>
    <row x14ac:dyDescent="0.25" r="696" customHeight="1" ht="15.75">
      <c r="A696" s="1"/>
      <c r="B696" s="34"/>
      <c r="C696" s="1"/>
      <c r="D696" s="34"/>
      <c r="E696" s="34"/>
      <c r="F696" s="34"/>
      <c r="G696" s="29"/>
      <c r="H696" s="29"/>
      <c r="I696" s="29"/>
      <c r="J696" s="34"/>
      <c r="K696" s="34"/>
      <c r="L696" s="34"/>
      <c r="M696" s="29"/>
      <c r="N696" s="29"/>
      <c r="O696" s="29"/>
      <c r="P696" s="29"/>
      <c r="Q696" s="34"/>
      <c r="R696" s="34"/>
    </row>
    <row x14ac:dyDescent="0.25" r="697" customHeight="1" ht="15.75">
      <c r="A697" s="1"/>
      <c r="B697" s="34"/>
      <c r="C697" s="1"/>
      <c r="D697" s="34"/>
      <c r="E697" s="34"/>
      <c r="F697" s="34"/>
      <c r="G697" s="29"/>
      <c r="H697" s="29"/>
      <c r="I697" s="29"/>
      <c r="J697" s="34"/>
      <c r="K697" s="34"/>
      <c r="L697" s="34"/>
      <c r="M697" s="29"/>
      <c r="N697" s="29"/>
      <c r="O697" s="29"/>
      <c r="P697" s="29"/>
      <c r="Q697" s="34"/>
      <c r="R697" s="34"/>
    </row>
    <row x14ac:dyDescent="0.25" r="698" customHeight="1" ht="15.75">
      <c r="A698" s="1"/>
      <c r="B698" s="34"/>
      <c r="C698" s="1"/>
      <c r="D698" s="34"/>
      <c r="E698" s="34"/>
      <c r="F698" s="34"/>
      <c r="G698" s="29"/>
      <c r="H698" s="29"/>
      <c r="I698" s="29"/>
      <c r="J698" s="34"/>
      <c r="K698" s="34"/>
      <c r="L698" s="34"/>
      <c r="M698" s="29"/>
      <c r="N698" s="29"/>
      <c r="O698" s="29"/>
      <c r="P698" s="29"/>
      <c r="Q698" s="34"/>
      <c r="R698" s="34"/>
    </row>
    <row x14ac:dyDescent="0.25" r="699" customHeight="1" ht="15.75">
      <c r="A699" s="1"/>
      <c r="B699" s="34"/>
      <c r="C699" s="1"/>
      <c r="D699" s="34"/>
      <c r="E699" s="34"/>
      <c r="F699" s="34"/>
      <c r="G699" s="29"/>
      <c r="H699" s="29"/>
      <c r="I699" s="29"/>
      <c r="J699" s="34"/>
      <c r="K699" s="34"/>
      <c r="L699" s="34"/>
      <c r="M699" s="29"/>
      <c r="N699" s="29"/>
      <c r="O699" s="29"/>
      <c r="P699" s="29"/>
      <c r="Q699" s="34"/>
      <c r="R699" s="34"/>
    </row>
    <row x14ac:dyDescent="0.25" r="700" customHeight="1" ht="15.75">
      <c r="A700" s="1"/>
      <c r="B700" s="34"/>
      <c r="C700" s="1"/>
      <c r="D700" s="34"/>
      <c r="E700" s="34"/>
      <c r="F700" s="34"/>
      <c r="G700" s="29"/>
      <c r="H700" s="29"/>
      <c r="I700" s="29"/>
      <c r="J700" s="34"/>
      <c r="K700" s="34"/>
      <c r="L700" s="34"/>
      <c r="M700" s="29"/>
      <c r="N700" s="29"/>
      <c r="O700" s="29"/>
      <c r="P700" s="29"/>
      <c r="Q700" s="34"/>
      <c r="R700" s="34"/>
    </row>
    <row x14ac:dyDescent="0.25" r="701" customHeight="1" ht="15.75">
      <c r="A701" s="1"/>
      <c r="B701" s="34"/>
      <c r="C701" s="1"/>
      <c r="D701" s="34"/>
      <c r="E701" s="34"/>
      <c r="F701" s="34"/>
      <c r="G701" s="29"/>
      <c r="H701" s="29"/>
      <c r="I701" s="29"/>
      <c r="J701" s="34"/>
      <c r="K701" s="34"/>
      <c r="L701" s="34"/>
      <c r="M701" s="29"/>
      <c r="N701" s="29"/>
      <c r="O701" s="29"/>
      <c r="P701" s="29"/>
      <c r="Q701" s="34"/>
      <c r="R701" s="34"/>
    </row>
    <row x14ac:dyDescent="0.25" r="702" customHeight="1" ht="15.75">
      <c r="A702" s="1"/>
      <c r="B702" s="34"/>
      <c r="C702" s="1"/>
      <c r="D702" s="34"/>
      <c r="E702" s="34"/>
      <c r="F702" s="34"/>
      <c r="G702" s="29"/>
      <c r="H702" s="29"/>
      <c r="I702" s="29"/>
      <c r="J702" s="34"/>
      <c r="K702" s="34"/>
      <c r="L702" s="34"/>
      <c r="M702" s="29"/>
      <c r="N702" s="29"/>
      <c r="O702" s="29"/>
      <c r="P702" s="29"/>
      <c r="Q702" s="34"/>
      <c r="R702" s="34"/>
    </row>
    <row x14ac:dyDescent="0.25" r="703" customHeight="1" ht="15.75">
      <c r="A703" s="1"/>
      <c r="B703" s="34"/>
      <c r="C703" s="1"/>
      <c r="D703" s="34"/>
      <c r="E703" s="34"/>
      <c r="F703" s="34"/>
      <c r="G703" s="29"/>
      <c r="H703" s="29"/>
      <c r="I703" s="29"/>
      <c r="J703" s="34"/>
      <c r="K703" s="34"/>
      <c r="L703" s="34"/>
      <c r="M703" s="29"/>
      <c r="N703" s="29"/>
      <c r="O703" s="29"/>
      <c r="P703" s="29"/>
      <c r="Q703" s="34"/>
      <c r="R703" s="34"/>
    </row>
    <row x14ac:dyDescent="0.25" r="704" customHeight="1" ht="15.75">
      <c r="A704" s="1"/>
      <c r="B704" s="34"/>
      <c r="C704" s="1"/>
      <c r="D704" s="34"/>
      <c r="E704" s="34"/>
      <c r="F704" s="34"/>
      <c r="G704" s="29"/>
      <c r="H704" s="29"/>
      <c r="I704" s="29"/>
      <c r="J704" s="34"/>
      <c r="K704" s="34"/>
      <c r="L704" s="34"/>
      <c r="M704" s="29"/>
      <c r="N704" s="29"/>
      <c r="O704" s="29"/>
      <c r="P704" s="29"/>
      <c r="Q704" s="34"/>
      <c r="R704" s="34"/>
    </row>
    <row x14ac:dyDescent="0.25" r="705" customHeight="1" ht="15.75">
      <c r="A705" s="1"/>
      <c r="B705" s="34"/>
      <c r="C705" s="1"/>
      <c r="D705" s="34"/>
      <c r="E705" s="34"/>
      <c r="F705" s="34"/>
      <c r="G705" s="29"/>
      <c r="H705" s="29"/>
      <c r="I705" s="29"/>
      <c r="J705" s="34"/>
      <c r="K705" s="34"/>
      <c r="L705" s="34"/>
      <c r="M705" s="29"/>
      <c r="N705" s="29"/>
      <c r="O705" s="29"/>
      <c r="P705" s="29"/>
      <c r="Q705" s="34"/>
      <c r="R705" s="34"/>
    </row>
    <row x14ac:dyDescent="0.25" r="706" customHeight="1" ht="15.75">
      <c r="A706" s="1"/>
      <c r="B706" s="34"/>
      <c r="C706" s="1"/>
      <c r="D706" s="34"/>
      <c r="E706" s="34"/>
      <c r="F706" s="34"/>
      <c r="G706" s="29"/>
      <c r="H706" s="29"/>
      <c r="I706" s="29"/>
      <c r="J706" s="34"/>
      <c r="K706" s="34"/>
      <c r="L706" s="34"/>
      <c r="M706" s="29"/>
      <c r="N706" s="29"/>
      <c r="O706" s="29"/>
      <c r="P706" s="29"/>
      <c r="Q706" s="34"/>
      <c r="R706" s="34"/>
    </row>
    <row x14ac:dyDescent="0.25" r="707" customHeight="1" ht="15.75">
      <c r="A707" s="1"/>
      <c r="B707" s="34"/>
      <c r="C707" s="1"/>
      <c r="D707" s="34"/>
      <c r="E707" s="34"/>
      <c r="F707" s="34"/>
      <c r="G707" s="29"/>
      <c r="H707" s="29"/>
      <c r="I707" s="29"/>
      <c r="J707" s="34"/>
      <c r="K707" s="34"/>
      <c r="L707" s="34"/>
      <c r="M707" s="29"/>
      <c r="N707" s="29"/>
      <c r="O707" s="29"/>
      <c r="P707" s="29"/>
      <c r="Q707" s="34"/>
      <c r="R707" s="34"/>
    </row>
    <row x14ac:dyDescent="0.25" r="708" customHeight="1" ht="15.75">
      <c r="A708" s="1"/>
      <c r="B708" s="34"/>
      <c r="C708" s="1"/>
      <c r="D708" s="34"/>
      <c r="E708" s="34"/>
      <c r="F708" s="34"/>
      <c r="G708" s="29"/>
      <c r="H708" s="29"/>
      <c r="I708" s="29"/>
      <c r="J708" s="34"/>
      <c r="K708" s="34"/>
      <c r="L708" s="34"/>
      <c r="M708" s="29"/>
      <c r="N708" s="29"/>
      <c r="O708" s="29"/>
      <c r="P708" s="29"/>
      <c r="Q708" s="34"/>
      <c r="R708" s="34"/>
    </row>
    <row x14ac:dyDescent="0.25" r="709" customHeight="1" ht="15.75">
      <c r="A709" s="1"/>
      <c r="B709" s="34"/>
      <c r="C709" s="1"/>
      <c r="D709" s="34"/>
      <c r="E709" s="34"/>
      <c r="F709" s="34"/>
      <c r="G709" s="29"/>
      <c r="H709" s="29"/>
      <c r="I709" s="29"/>
      <c r="J709" s="34"/>
      <c r="K709" s="34"/>
      <c r="L709" s="34"/>
      <c r="M709" s="29"/>
      <c r="N709" s="29"/>
      <c r="O709" s="29"/>
      <c r="P709" s="29"/>
      <c r="Q709" s="34"/>
      <c r="R709" s="34"/>
    </row>
    <row x14ac:dyDescent="0.25" r="710" customHeight="1" ht="15.75">
      <c r="A710" s="1"/>
      <c r="B710" s="34"/>
      <c r="C710" s="1"/>
      <c r="D710" s="34"/>
      <c r="E710" s="34"/>
      <c r="F710" s="34"/>
      <c r="G710" s="29"/>
      <c r="H710" s="29"/>
      <c r="I710" s="29"/>
      <c r="J710" s="34"/>
      <c r="K710" s="34"/>
      <c r="L710" s="34"/>
      <c r="M710" s="29"/>
      <c r="N710" s="29"/>
      <c r="O710" s="29"/>
      <c r="P710" s="29"/>
      <c r="Q710" s="34"/>
      <c r="R710" s="34"/>
    </row>
    <row x14ac:dyDescent="0.25" r="711" customHeight="1" ht="15.75">
      <c r="A711" s="1"/>
      <c r="B711" s="34"/>
      <c r="C711" s="1"/>
      <c r="D711" s="34"/>
      <c r="E711" s="34"/>
      <c r="F711" s="34"/>
      <c r="G711" s="29"/>
      <c r="H711" s="29"/>
      <c r="I711" s="29"/>
      <c r="J711" s="34"/>
      <c r="K711" s="34"/>
      <c r="L711" s="34"/>
      <c r="M711" s="29"/>
      <c r="N711" s="29"/>
      <c r="O711" s="29"/>
      <c r="P711" s="29"/>
      <c r="Q711" s="34"/>
      <c r="R711" s="34"/>
    </row>
    <row x14ac:dyDescent="0.25" r="712" customHeight="1" ht="15.75">
      <c r="A712" s="1"/>
      <c r="B712" s="34"/>
      <c r="C712" s="1"/>
      <c r="D712" s="34"/>
      <c r="E712" s="34"/>
      <c r="F712" s="34"/>
      <c r="G712" s="29"/>
      <c r="H712" s="29"/>
      <c r="I712" s="29"/>
      <c r="J712" s="34"/>
      <c r="K712" s="34"/>
      <c r="L712" s="34"/>
      <c r="M712" s="29"/>
      <c r="N712" s="29"/>
      <c r="O712" s="29"/>
      <c r="P712" s="29"/>
      <c r="Q712" s="34"/>
      <c r="R712" s="34"/>
    </row>
    <row x14ac:dyDescent="0.25" r="713" customHeight="1" ht="15.75">
      <c r="A713" s="1"/>
      <c r="B713" s="34"/>
      <c r="C713" s="1"/>
      <c r="D713" s="34"/>
      <c r="E713" s="34"/>
      <c r="F713" s="34"/>
      <c r="G713" s="29"/>
      <c r="H713" s="29"/>
      <c r="I713" s="29"/>
      <c r="J713" s="34"/>
      <c r="K713" s="34"/>
      <c r="L713" s="34"/>
      <c r="M713" s="29"/>
      <c r="N713" s="29"/>
      <c r="O713" s="29"/>
      <c r="P713" s="29"/>
      <c r="Q713" s="34"/>
      <c r="R713" s="34"/>
    </row>
    <row x14ac:dyDescent="0.25" r="714" customHeight="1" ht="15.75">
      <c r="A714" s="1"/>
      <c r="B714" s="34"/>
      <c r="C714" s="1"/>
      <c r="D714" s="34"/>
      <c r="E714" s="34"/>
      <c r="F714" s="34"/>
      <c r="G714" s="29"/>
      <c r="H714" s="29"/>
      <c r="I714" s="29"/>
      <c r="J714" s="34"/>
      <c r="K714" s="34"/>
      <c r="L714" s="34"/>
      <c r="M714" s="29"/>
      <c r="N714" s="29"/>
      <c r="O714" s="29"/>
      <c r="P714" s="29"/>
      <c r="Q714" s="34"/>
      <c r="R714" s="34"/>
    </row>
    <row x14ac:dyDescent="0.25" r="715" customHeight="1" ht="15.75">
      <c r="A715" s="1"/>
      <c r="B715" s="34"/>
      <c r="C715" s="1"/>
      <c r="D715" s="34"/>
      <c r="E715" s="34"/>
      <c r="F715" s="34"/>
      <c r="G715" s="29"/>
      <c r="H715" s="29"/>
      <c r="I715" s="29"/>
      <c r="J715" s="34"/>
      <c r="K715" s="34"/>
      <c r="L715" s="34"/>
      <c r="M715" s="29"/>
      <c r="N715" s="29"/>
      <c r="O715" s="29"/>
      <c r="P715" s="29"/>
      <c r="Q715" s="34"/>
      <c r="R715" s="34"/>
    </row>
    <row x14ac:dyDescent="0.25" r="716" customHeight="1" ht="15.75">
      <c r="A716" s="1"/>
      <c r="B716" s="34"/>
      <c r="C716" s="1"/>
      <c r="D716" s="34"/>
      <c r="E716" s="34"/>
      <c r="F716" s="34"/>
      <c r="G716" s="29"/>
      <c r="H716" s="29"/>
      <c r="I716" s="29"/>
      <c r="J716" s="34"/>
      <c r="K716" s="34"/>
      <c r="L716" s="34"/>
      <c r="M716" s="29"/>
      <c r="N716" s="29"/>
      <c r="O716" s="29"/>
      <c r="P716" s="29"/>
      <c r="Q716" s="34"/>
      <c r="R716" s="34"/>
    </row>
    <row x14ac:dyDescent="0.25" r="717" customHeight="1" ht="15.75">
      <c r="A717" s="1"/>
      <c r="B717" s="34"/>
      <c r="C717" s="1"/>
      <c r="D717" s="34"/>
      <c r="E717" s="34"/>
      <c r="F717" s="34"/>
      <c r="G717" s="29"/>
      <c r="H717" s="29"/>
      <c r="I717" s="29"/>
      <c r="J717" s="34"/>
      <c r="K717" s="34"/>
      <c r="L717" s="34"/>
      <c r="M717" s="29"/>
      <c r="N717" s="29"/>
      <c r="O717" s="29"/>
      <c r="P717" s="29"/>
      <c r="Q717" s="34"/>
      <c r="R717" s="34"/>
    </row>
    <row x14ac:dyDescent="0.25" r="718" customHeight="1" ht="15.75">
      <c r="A718" s="1"/>
      <c r="B718" s="34"/>
      <c r="C718" s="1"/>
      <c r="D718" s="34"/>
      <c r="E718" s="34"/>
      <c r="F718" s="34"/>
      <c r="G718" s="29"/>
      <c r="H718" s="29"/>
      <c r="I718" s="29"/>
      <c r="J718" s="34"/>
      <c r="K718" s="34"/>
      <c r="L718" s="34"/>
      <c r="M718" s="29"/>
      <c r="N718" s="29"/>
      <c r="O718" s="29"/>
      <c r="P718" s="29"/>
      <c r="Q718" s="34"/>
      <c r="R718" s="34"/>
    </row>
    <row x14ac:dyDescent="0.25" r="719" customHeight="1" ht="15.75">
      <c r="A719" s="1"/>
      <c r="B719" s="34"/>
      <c r="C719" s="1"/>
      <c r="D719" s="34"/>
      <c r="E719" s="34"/>
      <c r="F719" s="34"/>
      <c r="G719" s="29"/>
      <c r="H719" s="29"/>
      <c r="I719" s="29"/>
      <c r="J719" s="34"/>
      <c r="K719" s="34"/>
      <c r="L719" s="34"/>
      <c r="M719" s="29"/>
      <c r="N719" s="29"/>
      <c r="O719" s="29"/>
      <c r="P719" s="29"/>
      <c r="Q719" s="34"/>
      <c r="R719" s="34"/>
    </row>
    <row x14ac:dyDescent="0.25" r="720" customHeight="1" ht="15.75">
      <c r="A720" s="1"/>
      <c r="B720" s="34"/>
      <c r="C720" s="1"/>
      <c r="D720" s="34"/>
      <c r="E720" s="34"/>
      <c r="F720" s="34"/>
      <c r="G720" s="29"/>
      <c r="H720" s="29"/>
      <c r="I720" s="29"/>
      <c r="J720" s="34"/>
      <c r="K720" s="34"/>
      <c r="L720" s="34"/>
      <c r="M720" s="29"/>
      <c r="N720" s="29"/>
      <c r="O720" s="29"/>
      <c r="P720" s="29"/>
      <c r="Q720" s="34"/>
      <c r="R720" s="34"/>
    </row>
    <row x14ac:dyDescent="0.25" r="721" customHeight="1" ht="15.75">
      <c r="A721" s="1"/>
      <c r="B721" s="34"/>
      <c r="C721" s="1"/>
      <c r="D721" s="34"/>
      <c r="E721" s="34"/>
      <c r="F721" s="34"/>
      <c r="G721" s="29"/>
      <c r="H721" s="29"/>
      <c r="I721" s="29"/>
      <c r="J721" s="34"/>
      <c r="K721" s="34"/>
      <c r="L721" s="34"/>
      <c r="M721" s="29"/>
      <c r="N721" s="29"/>
      <c r="O721" s="29"/>
      <c r="P721" s="29"/>
      <c r="Q721" s="34"/>
      <c r="R721" s="34"/>
    </row>
    <row x14ac:dyDescent="0.25" r="722" customHeight="1" ht="15.75">
      <c r="A722" s="1"/>
      <c r="B722" s="34"/>
      <c r="C722" s="1"/>
      <c r="D722" s="34"/>
      <c r="E722" s="34"/>
      <c r="F722" s="34"/>
      <c r="G722" s="29"/>
      <c r="H722" s="29"/>
      <c r="I722" s="29"/>
      <c r="J722" s="34"/>
      <c r="K722" s="34"/>
      <c r="L722" s="34"/>
      <c r="M722" s="29"/>
      <c r="N722" s="29"/>
      <c r="O722" s="29"/>
      <c r="P722" s="29"/>
      <c r="Q722" s="34"/>
      <c r="R722" s="34"/>
    </row>
    <row x14ac:dyDescent="0.25" r="723" customHeight="1" ht="15.75">
      <c r="A723" s="1"/>
      <c r="B723" s="34"/>
      <c r="C723" s="1"/>
      <c r="D723" s="34"/>
      <c r="E723" s="34"/>
      <c r="F723" s="34"/>
      <c r="G723" s="29"/>
      <c r="H723" s="29"/>
      <c r="I723" s="29"/>
      <c r="J723" s="34"/>
      <c r="K723" s="34"/>
      <c r="L723" s="34"/>
      <c r="M723" s="29"/>
      <c r="N723" s="29"/>
      <c r="O723" s="29"/>
      <c r="P723" s="29"/>
      <c r="Q723" s="34"/>
      <c r="R723" s="34"/>
    </row>
    <row x14ac:dyDescent="0.25" r="724" customHeight="1" ht="15.75">
      <c r="A724" s="1"/>
      <c r="B724" s="34"/>
      <c r="C724" s="1"/>
      <c r="D724" s="34"/>
      <c r="E724" s="34"/>
      <c r="F724" s="34"/>
      <c r="G724" s="29"/>
      <c r="H724" s="29"/>
      <c r="I724" s="29"/>
      <c r="J724" s="34"/>
      <c r="K724" s="34"/>
      <c r="L724" s="34"/>
      <c r="M724" s="29"/>
      <c r="N724" s="29"/>
      <c r="O724" s="29"/>
      <c r="P724" s="29"/>
      <c r="Q724" s="34"/>
      <c r="R724" s="34"/>
    </row>
    <row x14ac:dyDescent="0.25" r="725" customHeight="1" ht="15.75">
      <c r="A725" s="1"/>
      <c r="B725" s="34"/>
      <c r="C725" s="1"/>
      <c r="D725" s="34"/>
      <c r="E725" s="34"/>
      <c r="F725" s="34"/>
      <c r="G725" s="29"/>
      <c r="H725" s="29"/>
      <c r="I725" s="29"/>
      <c r="J725" s="34"/>
      <c r="K725" s="34"/>
      <c r="L725" s="34"/>
      <c r="M725" s="29"/>
      <c r="N725" s="29"/>
      <c r="O725" s="29"/>
      <c r="P725" s="29"/>
      <c r="Q725" s="34"/>
      <c r="R725" s="34"/>
    </row>
    <row x14ac:dyDescent="0.25" r="726" customHeight="1" ht="15.75">
      <c r="A726" s="1"/>
      <c r="B726" s="34"/>
      <c r="C726" s="1"/>
      <c r="D726" s="34"/>
      <c r="E726" s="34"/>
      <c r="F726" s="34"/>
      <c r="G726" s="29"/>
      <c r="H726" s="29"/>
      <c r="I726" s="29"/>
      <c r="J726" s="34"/>
      <c r="K726" s="34"/>
      <c r="L726" s="34"/>
      <c r="M726" s="29"/>
      <c r="N726" s="29"/>
      <c r="O726" s="29"/>
      <c r="P726" s="29"/>
      <c r="Q726" s="34"/>
      <c r="R726" s="34"/>
    </row>
    <row x14ac:dyDescent="0.25" r="727" customHeight="1" ht="15.75">
      <c r="A727" s="1"/>
      <c r="B727" s="34"/>
      <c r="C727" s="1"/>
      <c r="D727" s="34"/>
      <c r="E727" s="34"/>
      <c r="F727" s="34"/>
      <c r="G727" s="29"/>
      <c r="H727" s="29"/>
      <c r="I727" s="29"/>
      <c r="J727" s="34"/>
      <c r="K727" s="34"/>
      <c r="L727" s="34"/>
      <c r="M727" s="29"/>
      <c r="N727" s="29"/>
      <c r="O727" s="29"/>
      <c r="P727" s="29"/>
      <c r="Q727" s="34"/>
      <c r="R727" s="34"/>
    </row>
    <row x14ac:dyDescent="0.25" r="728" customHeight="1" ht="15.75">
      <c r="A728" s="1"/>
      <c r="B728" s="34"/>
      <c r="C728" s="1"/>
      <c r="D728" s="34"/>
      <c r="E728" s="34"/>
      <c r="F728" s="34"/>
      <c r="G728" s="29"/>
      <c r="H728" s="29"/>
      <c r="I728" s="29"/>
      <c r="J728" s="34"/>
      <c r="K728" s="34"/>
      <c r="L728" s="34"/>
      <c r="M728" s="29"/>
      <c r="N728" s="29"/>
      <c r="O728" s="29"/>
      <c r="P728" s="29"/>
      <c r="Q728" s="34"/>
      <c r="R728" s="34"/>
    </row>
    <row x14ac:dyDescent="0.25" r="729" customHeight="1" ht="15.75">
      <c r="A729" s="1"/>
      <c r="B729" s="34"/>
      <c r="C729" s="1"/>
      <c r="D729" s="34"/>
      <c r="E729" s="34"/>
      <c r="F729" s="34"/>
      <c r="G729" s="29"/>
      <c r="H729" s="29"/>
      <c r="I729" s="29"/>
      <c r="J729" s="34"/>
      <c r="K729" s="34"/>
      <c r="L729" s="34"/>
      <c r="M729" s="29"/>
      <c r="N729" s="29"/>
      <c r="O729" s="29"/>
      <c r="P729" s="29"/>
      <c r="Q729" s="34"/>
      <c r="R729" s="34"/>
    </row>
    <row x14ac:dyDescent="0.25" r="730" customHeight="1" ht="15.75">
      <c r="A730" s="1"/>
      <c r="B730" s="34"/>
      <c r="C730" s="1"/>
      <c r="D730" s="34"/>
      <c r="E730" s="34"/>
      <c r="F730" s="34"/>
      <c r="G730" s="29"/>
      <c r="H730" s="29"/>
      <c r="I730" s="29"/>
      <c r="J730" s="34"/>
      <c r="K730" s="34"/>
      <c r="L730" s="34"/>
      <c r="M730" s="29"/>
      <c r="N730" s="29"/>
      <c r="O730" s="29"/>
      <c r="P730" s="29"/>
      <c r="Q730" s="34"/>
      <c r="R730" s="34"/>
    </row>
    <row x14ac:dyDescent="0.25" r="731" customHeight="1" ht="15.75">
      <c r="A731" s="1"/>
      <c r="B731" s="34"/>
      <c r="C731" s="1"/>
      <c r="D731" s="34"/>
      <c r="E731" s="34"/>
      <c r="F731" s="34"/>
      <c r="G731" s="29"/>
      <c r="H731" s="29"/>
      <c r="I731" s="29"/>
      <c r="J731" s="34"/>
      <c r="K731" s="34"/>
      <c r="L731" s="34"/>
      <c r="M731" s="29"/>
      <c r="N731" s="29"/>
      <c r="O731" s="29"/>
      <c r="P731" s="29"/>
      <c r="Q731" s="34"/>
      <c r="R731" s="34"/>
    </row>
    <row x14ac:dyDescent="0.25" r="732" customHeight="1" ht="15.75">
      <c r="A732" s="1"/>
      <c r="B732" s="34"/>
      <c r="C732" s="1"/>
      <c r="D732" s="34"/>
      <c r="E732" s="34"/>
      <c r="F732" s="34"/>
      <c r="G732" s="29"/>
      <c r="H732" s="29"/>
      <c r="I732" s="29"/>
      <c r="J732" s="34"/>
      <c r="K732" s="34"/>
      <c r="L732" s="34"/>
      <c r="M732" s="29"/>
      <c r="N732" s="29"/>
      <c r="O732" s="29"/>
      <c r="P732" s="29"/>
      <c r="Q732" s="34"/>
      <c r="R732" s="34"/>
    </row>
    <row x14ac:dyDescent="0.25" r="733" customHeight="1" ht="15.75">
      <c r="A733" s="1"/>
      <c r="B733" s="34"/>
      <c r="C733" s="1"/>
      <c r="D733" s="34"/>
      <c r="E733" s="34"/>
      <c r="F733" s="34"/>
      <c r="G733" s="29"/>
      <c r="H733" s="29"/>
      <c r="I733" s="29"/>
      <c r="J733" s="34"/>
      <c r="K733" s="34"/>
      <c r="L733" s="34"/>
      <c r="M733" s="29"/>
      <c r="N733" s="29"/>
      <c r="O733" s="29"/>
      <c r="P733" s="29"/>
      <c r="Q733" s="34"/>
      <c r="R733" s="34"/>
    </row>
    <row x14ac:dyDescent="0.25" r="734" customHeight="1" ht="15.75">
      <c r="A734" s="1"/>
      <c r="B734" s="34"/>
      <c r="C734" s="1"/>
      <c r="D734" s="34"/>
      <c r="E734" s="34"/>
      <c r="F734" s="34"/>
      <c r="G734" s="29"/>
      <c r="H734" s="29"/>
      <c r="I734" s="29"/>
      <c r="J734" s="34"/>
      <c r="K734" s="34"/>
      <c r="L734" s="34"/>
      <c r="M734" s="29"/>
      <c r="N734" s="29"/>
      <c r="O734" s="29"/>
      <c r="P734" s="29"/>
      <c r="Q734" s="34"/>
      <c r="R734" s="34"/>
    </row>
    <row x14ac:dyDescent="0.25" r="735" customHeight="1" ht="15.75">
      <c r="A735" s="1"/>
      <c r="B735" s="34"/>
      <c r="C735" s="1"/>
      <c r="D735" s="34"/>
      <c r="E735" s="34"/>
      <c r="F735" s="34"/>
      <c r="G735" s="29"/>
      <c r="H735" s="29"/>
      <c r="I735" s="29"/>
      <c r="J735" s="34"/>
      <c r="K735" s="34"/>
      <c r="L735" s="34"/>
      <c r="M735" s="29"/>
      <c r="N735" s="29"/>
      <c r="O735" s="29"/>
      <c r="P735" s="29"/>
      <c r="Q735" s="34"/>
      <c r="R735" s="34"/>
    </row>
    <row x14ac:dyDescent="0.25" r="736" customHeight="1" ht="15.75">
      <c r="A736" s="1"/>
      <c r="B736" s="34"/>
      <c r="C736" s="1"/>
      <c r="D736" s="34"/>
      <c r="E736" s="34"/>
      <c r="F736" s="34"/>
      <c r="G736" s="29"/>
      <c r="H736" s="29"/>
      <c r="I736" s="29"/>
      <c r="J736" s="34"/>
      <c r="K736" s="34"/>
      <c r="L736" s="34"/>
      <c r="M736" s="29"/>
      <c r="N736" s="29"/>
      <c r="O736" s="29"/>
      <c r="P736" s="29"/>
      <c r="Q736" s="34"/>
      <c r="R736" s="34"/>
    </row>
    <row x14ac:dyDescent="0.25" r="737" customHeight="1" ht="15.75">
      <c r="A737" s="1"/>
      <c r="B737" s="34"/>
      <c r="C737" s="1"/>
      <c r="D737" s="34"/>
      <c r="E737" s="34"/>
      <c r="F737" s="34"/>
      <c r="G737" s="29"/>
      <c r="H737" s="29"/>
      <c r="I737" s="29"/>
      <c r="J737" s="34"/>
      <c r="K737" s="34"/>
      <c r="L737" s="34"/>
      <c r="M737" s="29"/>
      <c r="N737" s="29"/>
      <c r="O737" s="29"/>
      <c r="P737" s="29"/>
      <c r="Q737" s="34"/>
      <c r="R737" s="34"/>
    </row>
    <row x14ac:dyDescent="0.25" r="738" customHeight="1" ht="15.75">
      <c r="A738" s="1"/>
      <c r="B738" s="34"/>
      <c r="C738" s="1"/>
      <c r="D738" s="34"/>
      <c r="E738" s="34"/>
      <c r="F738" s="34"/>
      <c r="G738" s="29"/>
      <c r="H738" s="29"/>
      <c r="I738" s="29"/>
      <c r="J738" s="34"/>
      <c r="K738" s="34"/>
      <c r="L738" s="34"/>
      <c r="M738" s="29"/>
      <c r="N738" s="29"/>
      <c r="O738" s="29"/>
      <c r="P738" s="29"/>
      <c r="Q738" s="34"/>
      <c r="R738" s="34"/>
    </row>
    <row x14ac:dyDescent="0.25" r="739" customHeight="1" ht="15.75">
      <c r="A739" s="1"/>
      <c r="B739" s="34"/>
      <c r="C739" s="1"/>
      <c r="D739" s="34"/>
      <c r="E739" s="34"/>
      <c r="F739" s="34"/>
      <c r="G739" s="29"/>
      <c r="H739" s="29"/>
      <c r="I739" s="29"/>
      <c r="J739" s="34"/>
      <c r="K739" s="34"/>
      <c r="L739" s="34"/>
      <c r="M739" s="29"/>
      <c r="N739" s="29"/>
      <c r="O739" s="29"/>
      <c r="P739" s="29"/>
      <c r="Q739" s="34"/>
      <c r="R739" s="34"/>
    </row>
    <row x14ac:dyDescent="0.25" r="740" customHeight="1" ht="15.75">
      <c r="A740" s="1"/>
      <c r="B740" s="34"/>
      <c r="C740" s="1"/>
      <c r="D740" s="34"/>
      <c r="E740" s="34"/>
      <c r="F740" s="34"/>
      <c r="G740" s="29"/>
      <c r="H740" s="29"/>
      <c r="I740" s="29"/>
      <c r="J740" s="34"/>
      <c r="K740" s="34"/>
      <c r="L740" s="34"/>
      <c r="M740" s="29"/>
      <c r="N740" s="29"/>
      <c r="O740" s="29"/>
      <c r="P740" s="29"/>
      <c r="Q740" s="34"/>
      <c r="R740" s="34"/>
    </row>
    <row x14ac:dyDescent="0.25" r="741" customHeight="1" ht="15.75">
      <c r="A741" s="1"/>
      <c r="B741" s="34"/>
      <c r="C741" s="1"/>
      <c r="D741" s="34"/>
      <c r="E741" s="34"/>
      <c r="F741" s="34"/>
      <c r="G741" s="29"/>
      <c r="H741" s="29"/>
      <c r="I741" s="29"/>
      <c r="J741" s="34"/>
      <c r="K741" s="34"/>
      <c r="L741" s="34"/>
      <c r="M741" s="29"/>
      <c r="N741" s="29"/>
      <c r="O741" s="29"/>
      <c r="P741" s="29"/>
      <c r="Q741" s="34"/>
      <c r="R741" s="34"/>
    </row>
    <row x14ac:dyDescent="0.25" r="742" customHeight="1" ht="15.75">
      <c r="A742" s="1"/>
      <c r="B742" s="34"/>
      <c r="C742" s="1"/>
      <c r="D742" s="34"/>
      <c r="E742" s="34"/>
      <c r="F742" s="34"/>
      <c r="G742" s="29"/>
      <c r="H742" s="29"/>
      <c r="I742" s="29"/>
      <c r="J742" s="34"/>
      <c r="K742" s="34"/>
      <c r="L742" s="34"/>
      <c r="M742" s="29"/>
      <c r="N742" s="29"/>
      <c r="O742" s="29"/>
      <c r="P742" s="29"/>
      <c r="Q742" s="34"/>
      <c r="R742" s="34"/>
    </row>
    <row x14ac:dyDescent="0.25" r="743" customHeight="1" ht="15.75">
      <c r="A743" s="1"/>
      <c r="B743" s="34"/>
      <c r="C743" s="1"/>
      <c r="D743" s="34"/>
      <c r="E743" s="34"/>
      <c r="F743" s="34"/>
      <c r="G743" s="29"/>
      <c r="H743" s="29"/>
      <c r="I743" s="29"/>
      <c r="J743" s="34"/>
      <c r="K743" s="34"/>
      <c r="L743" s="34"/>
      <c r="M743" s="29"/>
      <c r="N743" s="29"/>
      <c r="O743" s="29"/>
      <c r="P743" s="29"/>
      <c r="Q743" s="34"/>
      <c r="R743" s="34"/>
    </row>
    <row x14ac:dyDescent="0.25" r="744" customHeight="1" ht="15.75">
      <c r="A744" s="1"/>
      <c r="B744" s="34"/>
      <c r="C744" s="1"/>
      <c r="D744" s="34"/>
      <c r="E744" s="34"/>
      <c r="F744" s="34"/>
      <c r="G744" s="29"/>
      <c r="H744" s="29"/>
      <c r="I744" s="29"/>
      <c r="J744" s="34"/>
      <c r="K744" s="34"/>
      <c r="L744" s="34"/>
      <c r="M744" s="29"/>
      <c r="N744" s="29"/>
      <c r="O744" s="29"/>
      <c r="P744" s="29"/>
      <c r="Q744" s="34"/>
      <c r="R744" s="34"/>
    </row>
    <row x14ac:dyDescent="0.25" r="745" customHeight="1" ht="15.75">
      <c r="A745" s="1"/>
      <c r="B745" s="34"/>
      <c r="C745" s="1"/>
      <c r="D745" s="34"/>
      <c r="E745" s="34"/>
      <c r="F745" s="34"/>
      <c r="G745" s="29"/>
      <c r="H745" s="29"/>
      <c r="I745" s="29"/>
      <c r="J745" s="34"/>
      <c r="K745" s="34"/>
      <c r="L745" s="34"/>
      <c r="M745" s="29"/>
      <c r="N745" s="29"/>
      <c r="O745" s="29"/>
      <c r="P745" s="29"/>
      <c r="Q745" s="34"/>
      <c r="R745" s="34"/>
    </row>
    <row x14ac:dyDescent="0.25" r="746" customHeight="1" ht="15.75">
      <c r="A746" s="1"/>
      <c r="B746" s="34"/>
      <c r="C746" s="1"/>
      <c r="D746" s="34"/>
      <c r="E746" s="34"/>
      <c r="F746" s="34"/>
      <c r="G746" s="29"/>
      <c r="H746" s="29"/>
      <c r="I746" s="29"/>
      <c r="J746" s="34"/>
      <c r="K746" s="34"/>
      <c r="L746" s="34"/>
      <c r="M746" s="29"/>
      <c r="N746" s="29"/>
      <c r="O746" s="29"/>
      <c r="P746" s="29"/>
      <c r="Q746" s="34"/>
      <c r="R746" s="34"/>
    </row>
    <row x14ac:dyDescent="0.25" r="747" customHeight="1" ht="15.75">
      <c r="A747" s="1"/>
      <c r="B747" s="34"/>
      <c r="C747" s="1"/>
      <c r="D747" s="34"/>
      <c r="E747" s="34"/>
      <c r="F747" s="34"/>
      <c r="G747" s="29"/>
      <c r="H747" s="29"/>
      <c r="I747" s="29"/>
      <c r="J747" s="34"/>
      <c r="K747" s="34"/>
      <c r="L747" s="34"/>
      <c r="M747" s="29"/>
      <c r="N747" s="29"/>
      <c r="O747" s="29"/>
      <c r="P747" s="29"/>
      <c r="Q747" s="34"/>
      <c r="R747" s="34"/>
    </row>
    <row x14ac:dyDescent="0.25" r="748" customHeight="1" ht="15.75">
      <c r="A748" s="1"/>
      <c r="B748" s="34"/>
      <c r="C748" s="1"/>
      <c r="D748" s="34"/>
      <c r="E748" s="34"/>
      <c r="F748" s="34"/>
      <c r="G748" s="29"/>
      <c r="H748" s="29"/>
      <c r="I748" s="29"/>
      <c r="J748" s="34"/>
      <c r="K748" s="34"/>
      <c r="L748" s="34"/>
      <c r="M748" s="29"/>
      <c r="N748" s="29"/>
      <c r="O748" s="29"/>
      <c r="P748" s="29"/>
      <c r="Q748" s="34"/>
      <c r="R748" s="34"/>
    </row>
    <row x14ac:dyDescent="0.25" r="749" customHeight="1" ht="15.75">
      <c r="A749" s="1"/>
      <c r="B749" s="34"/>
      <c r="C749" s="1"/>
      <c r="D749" s="34"/>
      <c r="E749" s="34"/>
      <c r="F749" s="34"/>
      <c r="G749" s="29"/>
      <c r="H749" s="29"/>
      <c r="I749" s="29"/>
      <c r="J749" s="34"/>
      <c r="K749" s="34"/>
      <c r="L749" s="34"/>
      <c r="M749" s="29"/>
      <c r="N749" s="29"/>
      <c r="O749" s="29"/>
      <c r="P749" s="29"/>
      <c r="Q749" s="34"/>
      <c r="R749" s="34"/>
    </row>
    <row x14ac:dyDescent="0.25" r="750" customHeight="1" ht="15.75">
      <c r="A750" s="1"/>
      <c r="B750" s="34"/>
      <c r="C750" s="1"/>
      <c r="D750" s="34"/>
      <c r="E750" s="34"/>
      <c r="F750" s="34"/>
      <c r="G750" s="29"/>
      <c r="H750" s="29"/>
      <c r="I750" s="29"/>
      <c r="J750" s="34"/>
      <c r="K750" s="34"/>
      <c r="L750" s="34"/>
      <c r="M750" s="29"/>
      <c r="N750" s="29"/>
      <c r="O750" s="29"/>
      <c r="P750" s="29"/>
      <c r="Q750" s="34"/>
      <c r="R750" s="34"/>
    </row>
    <row x14ac:dyDescent="0.25" r="751" customHeight="1" ht="15.75">
      <c r="A751" s="1"/>
      <c r="B751" s="34"/>
      <c r="C751" s="1"/>
      <c r="D751" s="34"/>
      <c r="E751" s="34"/>
      <c r="F751" s="34"/>
      <c r="G751" s="29"/>
      <c r="H751" s="29"/>
      <c r="I751" s="29"/>
      <c r="J751" s="34"/>
      <c r="K751" s="34"/>
      <c r="L751" s="34"/>
      <c r="M751" s="29"/>
      <c r="N751" s="29"/>
      <c r="O751" s="29"/>
      <c r="P751" s="29"/>
      <c r="Q751" s="34"/>
      <c r="R751" s="34"/>
    </row>
    <row x14ac:dyDescent="0.25" r="752" customHeight="1" ht="15.75">
      <c r="A752" s="1"/>
      <c r="B752" s="34"/>
      <c r="C752" s="1"/>
      <c r="D752" s="34"/>
      <c r="E752" s="34"/>
      <c r="F752" s="34"/>
      <c r="G752" s="29"/>
      <c r="H752" s="29"/>
      <c r="I752" s="29"/>
      <c r="J752" s="34"/>
      <c r="K752" s="34"/>
      <c r="L752" s="34"/>
      <c r="M752" s="29"/>
      <c r="N752" s="29"/>
      <c r="O752" s="29"/>
      <c r="P752" s="29"/>
      <c r="Q752" s="34"/>
      <c r="R752" s="34"/>
    </row>
    <row x14ac:dyDescent="0.25" r="753" customHeight="1" ht="15.75">
      <c r="A753" s="1"/>
      <c r="B753" s="34"/>
      <c r="C753" s="1"/>
      <c r="D753" s="34"/>
      <c r="E753" s="34"/>
      <c r="F753" s="34"/>
      <c r="G753" s="29"/>
      <c r="H753" s="29"/>
      <c r="I753" s="29"/>
      <c r="J753" s="34"/>
      <c r="K753" s="34"/>
      <c r="L753" s="34"/>
      <c r="M753" s="29"/>
      <c r="N753" s="29"/>
      <c r="O753" s="29"/>
      <c r="P753" s="29"/>
      <c r="Q753" s="34"/>
      <c r="R753" s="34"/>
    </row>
    <row x14ac:dyDescent="0.25" r="754" customHeight="1" ht="15.75">
      <c r="A754" s="1"/>
      <c r="B754" s="34"/>
      <c r="C754" s="1"/>
      <c r="D754" s="34"/>
      <c r="E754" s="34"/>
      <c r="F754" s="34"/>
      <c r="G754" s="29"/>
      <c r="H754" s="29"/>
      <c r="I754" s="29"/>
      <c r="J754" s="34"/>
      <c r="K754" s="34"/>
      <c r="L754" s="34"/>
      <c r="M754" s="29"/>
      <c r="N754" s="29"/>
      <c r="O754" s="29"/>
      <c r="P754" s="29"/>
      <c r="Q754" s="34"/>
      <c r="R754" s="34"/>
    </row>
    <row x14ac:dyDescent="0.25" r="755" customHeight="1" ht="15.75">
      <c r="A755" s="1"/>
      <c r="B755" s="34"/>
      <c r="C755" s="1"/>
      <c r="D755" s="34"/>
      <c r="E755" s="34"/>
      <c r="F755" s="34"/>
      <c r="G755" s="29"/>
      <c r="H755" s="29"/>
      <c r="I755" s="29"/>
      <c r="J755" s="34"/>
      <c r="K755" s="34"/>
      <c r="L755" s="34"/>
      <c r="M755" s="29"/>
      <c r="N755" s="29"/>
      <c r="O755" s="29"/>
      <c r="P755" s="29"/>
      <c r="Q755" s="34"/>
      <c r="R755" s="34"/>
    </row>
    <row x14ac:dyDescent="0.25" r="756" customHeight="1" ht="15.75">
      <c r="A756" s="1"/>
      <c r="B756" s="34"/>
      <c r="C756" s="1"/>
      <c r="D756" s="34"/>
      <c r="E756" s="34"/>
      <c r="F756" s="34"/>
      <c r="G756" s="29"/>
      <c r="H756" s="29"/>
      <c r="I756" s="29"/>
      <c r="J756" s="34"/>
      <c r="K756" s="34"/>
      <c r="L756" s="34"/>
      <c r="M756" s="29"/>
      <c r="N756" s="29"/>
      <c r="O756" s="29"/>
      <c r="P756" s="29"/>
      <c r="Q756" s="34"/>
      <c r="R756" s="34"/>
    </row>
    <row x14ac:dyDescent="0.25" r="757" customHeight="1" ht="15.75">
      <c r="A757" s="1"/>
      <c r="B757" s="34"/>
      <c r="C757" s="1"/>
      <c r="D757" s="34"/>
      <c r="E757" s="34"/>
      <c r="F757" s="34"/>
      <c r="G757" s="29"/>
      <c r="H757" s="29"/>
      <c r="I757" s="29"/>
      <c r="J757" s="34"/>
      <c r="K757" s="34"/>
      <c r="L757" s="34"/>
      <c r="M757" s="29"/>
      <c r="N757" s="29"/>
      <c r="O757" s="29"/>
      <c r="P757" s="29"/>
      <c r="Q757" s="34"/>
      <c r="R757" s="34"/>
    </row>
    <row x14ac:dyDescent="0.25" r="758" customHeight="1" ht="15.75">
      <c r="A758" s="1"/>
      <c r="B758" s="34"/>
      <c r="C758" s="1"/>
      <c r="D758" s="34"/>
      <c r="E758" s="34"/>
      <c r="F758" s="34"/>
      <c r="G758" s="29"/>
      <c r="H758" s="29"/>
      <c r="I758" s="29"/>
      <c r="J758" s="34"/>
      <c r="K758" s="34"/>
      <c r="L758" s="34"/>
      <c r="M758" s="29"/>
      <c r="N758" s="29"/>
      <c r="O758" s="29"/>
      <c r="P758" s="29"/>
      <c r="Q758" s="34"/>
      <c r="R758" s="34"/>
    </row>
    <row x14ac:dyDescent="0.25" r="759" customHeight="1" ht="15.75">
      <c r="A759" s="1"/>
      <c r="B759" s="34"/>
      <c r="C759" s="1"/>
      <c r="D759" s="34"/>
      <c r="E759" s="34"/>
      <c r="F759" s="34"/>
      <c r="G759" s="29"/>
      <c r="H759" s="29"/>
      <c r="I759" s="29"/>
      <c r="J759" s="34"/>
      <c r="K759" s="34"/>
      <c r="L759" s="34"/>
      <c r="M759" s="29"/>
      <c r="N759" s="29"/>
      <c r="O759" s="29"/>
      <c r="P759" s="29"/>
      <c r="Q759" s="34"/>
      <c r="R759" s="34"/>
    </row>
    <row x14ac:dyDescent="0.25" r="760" customHeight="1" ht="15.75">
      <c r="A760" s="1"/>
      <c r="B760" s="34"/>
      <c r="C760" s="1"/>
      <c r="D760" s="34"/>
      <c r="E760" s="34"/>
      <c r="F760" s="34"/>
      <c r="G760" s="29"/>
      <c r="H760" s="29"/>
      <c r="I760" s="29"/>
      <c r="J760" s="34"/>
      <c r="K760" s="34"/>
      <c r="L760" s="34"/>
      <c r="M760" s="29"/>
      <c r="N760" s="29"/>
      <c r="O760" s="29"/>
      <c r="P760" s="29"/>
      <c r="Q760" s="34"/>
      <c r="R760" s="34"/>
    </row>
    <row x14ac:dyDescent="0.25" r="761" customHeight="1" ht="15.75">
      <c r="A761" s="1"/>
      <c r="B761" s="34"/>
      <c r="C761" s="1"/>
      <c r="D761" s="34"/>
      <c r="E761" s="34"/>
      <c r="F761" s="34"/>
      <c r="G761" s="29"/>
      <c r="H761" s="29"/>
      <c r="I761" s="29"/>
      <c r="J761" s="34"/>
      <c r="K761" s="34"/>
      <c r="L761" s="34"/>
      <c r="M761" s="29"/>
      <c r="N761" s="29"/>
      <c r="O761" s="29"/>
      <c r="P761" s="29"/>
      <c r="Q761" s="34"/>
      <c r="R761" s="34"/>
    </row>
    <row x14ac:dyDescent="0.25" r="762" customHeight="1" ht="15.75">
      <c r="A762" s="1"/>
      <c r="B762" s="34"/>
      <c r="C762" s="1"/>
      <c r="D762" s="34"/>
      <c r="E762" s="34"/>
      <c r="F762" s="34"/>
      <c r="G762" s="29"/>
      <c r="H762" s="29"/>
      <c r="I762" s="29"/>
      <c r="J762" s="34"/>
      <c r="K762" s="34"/>
      <c r="L762" s="34"/>
      <c r="M762" s="29"/>
      <c r="N762" s="29"/>
      <c r="O762" s="29"/>
      <c r="P762" s="29"/>
      <c r="Q762" s="34"/>
      <c r="R762" s="34"/>
    </row>
    <row x14ac:dyDescent="0.25" r="763" customHeight="1" ht="15.75">
      <c r="A763" s="1"/>
      <c r="B763" s="34"/>
      <c r="C763" s="1"/>
      <c r="D763" s="34"/>
      <c r="E763" s="34"/>
      <c r="F763" s="34"/>
      <c r="G763" s="29"/>
      <c r="H763" s="29"/>
      <c r="I763" s="29"/>
      <c r="J763" s="34"/>
      <c r="K763" s="34"/>
      <c r="L763" s="34"/>
      <c r="M763" s="29"/>
      <c r="N763" s="29"/>
      <c r="O763" s="29"/>
      <c r="P763" s="29"/>
      <c r="Q763" s="34"/>
      <c r="R763" s="34"/>
    </row>
    <row x14ac:dyDescent="0.25" r="764" customHeight="1" ht="15.75">
      <c r="A764" s="1"/>
      <c r="B764" s="34"/>
      <c r="C764" s="1"/>
      <c r="D764" s="34"/>
      <c r="E764" s="34"/>
      <c r="F764" s="34"/>
      <c r="G764" s="29"/>
      <c r="H764" s="29"/>
      <c r="I764" s="29"/>
      <c r="J764" s="34"/>
      <c r="K764" s="34"/>
      <c r="L764" s="34"/>
      <c r="M764" s="29"/>
      <c r="N764" s="29"/>
      <c r="O764" s="29"/>
      <c r="P764" s="29"/>
      <c r="Q764" s="34"/>
      <c r="R764" s="34"/>
    </row>
    <row x14ac:dyDescent="0.25" r="765" customHeight="1" ht="15.75">
      <c r="A765" s="1"/>
      <c r="B765" s="34"/>
      <c r="C765" s="1"/>
      <c r="D765" s="34"/>
      <c r="E765" s="34"/>
      <c r="F765" s="34"/>
      <c r="G765" s="29"/>
      <c r="H765" s="29"/>
      <c r="I765" s="29"/>
      <c r="J765" s="34"/>
      <c r="K765" s="34"/>
      <c r="L765" s="34"/>
      <c r="M765" s="29"/>
      <c r="N765" s="29"/>
      <c r="O765" s="29"/>
      <c r="P765" s="29"/>
      <c r="Q765" s="34"/>
      <c r="R765" s="34"/>
    </row>
    <row x14ac:dyDescent="0.25" r="766" customHeight="1" ht="15.75">
      <c r="A766" s="1"/>
      <c r="B766" s="34"/>
      <c r="C766" s="1"/>
      <c r="D766" s="34"/>
      <c r="E766" s="34"/>
      <c r="F766" s="34"/>
      <c r="G766" s="29"/>
      <c r="H766" s="29"/>
      <c r="I766" s="29"/>
      <c r="J766" s="34"/>
      <c r="K766" s="34"/>
      <c r="L766" s="34"/>
      <c r="M766" s="29"/>
      <c r="N766" s="29"/>
      <c r="O766" s="29"/>
      <c r="P766" s="29"/>
      <c r="Q766" s="34"/>
      <c r="R766" s="34"/>
    </row>
    <row x14ac:dyDescent="0.25" r="767" customHeight="1" ht="15.75">
      <c r="A767" s="1"/>
      <c r="B767" s="34"/>
      <c r="C767" s="1"/>
      <c r="D767" s="34"/>
      <c r="E767" s="34"/>
      <c r="F767" s="34"/>
      <c r="G767" s="29"/>
      <c r="H767" s="29"/>
      <c r="I767" s="29"/>
      <c r="J767" s="34"/>
      <c r="K767" s="34"/>
      <c r="L767" s="34"/>
      <c r="M767" s="29"/>
      <c r="N767" s="29"/>
      <c r="O767" s="29"/>
      <c r="P767" s="29"/>
      <c r="Q767" s="34"/>
      <c r="R767" s="34"/>
    </row>
    <row x14ac:dyDescent="0.25" r="768" customHeight="1" ht="15.75">
      <c r="A768" s="1"/>
      <c r="B768" s="34"/>
      <c r="C768" s="1"/>
      <c r="D768" s="34"/>
      <c r="E768" s="34"/>
      <c r="F768" s="34"/>
      <c r="G768" s="29"/>
      <c r="H768" s="29"/>
      <c r="I768" s="29"/>
      <c r="J768" s="34"/>
      <c r="K768" s="34"/>
      <c r="L768" s="34"/>
      <c r="M768" s="29"/>
      <c r="N768" s="29"/>
      <c r="O768" s="29"/>
      <c r="P768" s="29"/>
      <c r="Q768" s="34"/>
      <c r="R768" s="34"/>
    </row>
    <row x14ac:dyDescent="0.25" r="769" customHeight="1" ht="15.75">
      <c r="A769" s="1"/>
      <c r="B769" s="34"/>
      <c r="C769" s="1"/>
      <c r="D769" s="34"/>
      <c r="E769" s="34"/>
      <c r="F769" s="34"/>
      <c r="G769" s="29"/>
      <c r="H769" s="29"/>
      <c r="I769" s="29"/>
      <c r="J769" s="34"/>
      <c r="K769" s="34"/>
      <c r="L769" s="34"/>
      <c r="M769" s="29"/>
      <c r="N769" s="29"/>
      <c r="O769" s="29"/>
      <c r="P769" s="29"/>
      <c r="Q769" s="34"/>
      <c r="R769" s="34"/>
    </row>
    <row x14ac:dyDescent="0.25" r="770" customHeight="1" ht="15.75">
      <c r="A770" s="1"/>
      <c r="B770" s="34"/>
      <c r="C770" s="1"/>
      <c r="D770" s="34"/>
      <c r="E770" s="34"/>
      <c r="F770" s="34"/>
      <c r="G770" s="29"/>
      <c r="H770" s="29"/>
      <c r="I770" s="29"/>
      <c r="J770" s="34"/>
      <c r="K770" s="34"/>
      <c r="L770" s="34"/>
      <c r="M770" s="29"/>
      <c r="N770" s="29"/>
      <c r="O770" s="29"/>
      <c r="P770" s="29"/>
      <c r="Q770" s="34"/>
      <c r="R770" s="34"/>
    </row>
    <row x14ac:dyDescent="0.25" r="771" customHeight="1" ht="15.75">
      <c r="A771" s="1"/>
      <c r="B771" s="34"/>
      <c r="C771" s="1"/>
      <c r="D771" s="34"/>
      <c r="E771" s="34"/>
      <c r="F771" s="34"/>
      <c r="G771" s="29"/>
      <c r="H771" s="29"/>
      <c r="I771" s="29"/>
      <c r="J771" s="34"/>
      <c r="K771" s="34"/>
      <c r="L771" s="34"/>
      <c r="M771" s="29"/>
      <c r="N771" s="29"/>
      <c r="O771" s="29"/>
      <c r="P771" s="29"/>
      <c r="Q771" s="34"/>
      <c r="R771" s="34"/>
    </row>
    <row x14ac:dyDescent="0.25" r="772" customHeight="1" ht="15.75">
      <c r="A772" s="1"/>
      <c r="B772" s="34"/>
      <c r="C772" s="1"/>
      <c r="D772" s="34"/>
      <c r="E772" s="34"/>
      <c r="F772" s="34"/>
      <c r="G772" s="29"/>
      <c r="H772" s="29"/>
      <c r="I772" s="29"/>
      <c r="J772" s="34"/>
      <c r="K772" s="34"/>
      <c r="L772" s="34"/>
      <c r="M772" s="29"/>
      <c r="N772" s="29"/>
      <c r="O772" s="29"/>
      <c r="P772" s="29"/>
      <c r="Q772" s="34"/>
      <c r="R772" s="34"/>
    </row>
    <row x14ac:dyDescent="0.25" r="773" customHeight="1" ht="15.75">
      <c r="A773" s="1"/>
      <c r="B773" s="34"/>
      <c r="C773" s="1"/>
      <c r="D773" s="34"/>
      <c r="E773" s="34"/>
      <c r="F773" s="34"/>
      <c r="G773" s="29"/>
      <c r="H773" s="29"/>
      <c r="I773" s="29"/>
      <c r="J773" s="34"/>
      <c r="K773" s="34"/>
      <c r="L773" s="34"/>
      <c r="M773" s="29"/>
      <c r="N773" s="29"/>
      <c r="O773" s="29"/>
      <c r="P773" s="29"/>
      <c r="Q773" s="34"/>
      <c r="R773" s="34"/>
    </row>
    <row x14ac:dyDescent="0.25" r="774" customHeight="1" ht="15.75">
      <c r="A774" s="1"/>
      <c r="B774" s="34"/>
      <c r="C774" s="1"/>
      <c r="D774" s="34"/>
      <c r="E774" s="34"/>
      <c r="F774" s="34"/>
      <c r="G774" s="29"/>
      <c r="H774" s="29"/>
      <c r="I774" s="29"/>
      <c r="J774" s="34"/>
      <c r="K774" s="34"/>
      <c r="L774" s="34"/>
      <c r="M774" s="29"/>
      <c r="N774" s="29"/>
      <c r="O774" s="29"/>
      <c r="P774" s="29"/>
      <c r="Q774" s="34"/>
      <c r="R774" s="34"/>
    </row>
    <row x14ac:dyDescent="0.25" r="775" customHeight="1" ht="15.75">
      <c r="A775" s="1"/>
      <c r="B775" s="34"/>
      <c r="C775" s="1"/>
      <c r="D775" s="34"/>
      <c r="E775" s="34"/>
      <c r="F775" s="34"/>
      <c r="G775" s="29"/>
      <c r="H775" s="29"/>
      <c r="I775" s="29"/>
      <c r="J775" s="34"/>
      <c r="K775" s="34"/>
      <c r="L775" s="34"/>
      <c r="M775" s="29"/>
      <c r="N775" s="29"/>
      <c r="O775" s="29"/>
      <c r="P775" s="29"/>
      <c r="Q775" s="34"/>
      <c r="R775" s="34"/>
    </row>
    <row x14ac:dyDescent="0.25" r="776" customHeight="1" ht="15.75">
      <c r="A776" s="1"/>
      <c r="B776" s="34"/>
      <c r="C776" s="1"/>
      <c r="D776" s="34"/>
      <c r="E776" s="34"/>
      <c r="F776" s="34"/>
      <c r="G776" s="29"/>
      <c r="H776" s="29"/>
      <c r="I776" s="29"/>
      <c r="J776" s="34"/>
      <c r="K776" s="34"/>
      <c r="L776" s="34"/>
      <c r="M776" s="29"/>
      <c r="N776" s="29"/>
      <c r="O776" s="29"/>
      <c r="P776" s="29"/>
      <c r="Q776" s="34"/>
      <c r="R776" s="34"/>
    </row>
    <row x14ac:dyDescent="0.25" r="777" customHeight="1" ht="15.75">
      <c r="A777" s="1"/>
      <c r="B777" s="34"/>
      <c r="C777" s="1"/>
      <c r="D777" s="34"/>
      <c r="E777" s="34"/>
      <c r="F777" s="34"/>
      <c r="G777" s="29"/>
      <c r="H777" s="29"/>
      <c r="I777" s="29"/>
      <c r="J777" s="34"/>
      <c r="K777" s="34"/>
      <c r="L777" s="34"/>
      <c r="M777" s="29"/>
      <c r="N777" s="29"/>
      <c r="O777" s="29"/>
      <c r="P777" s="29"/>
      <c r="Q777" s="34"/>
      <c r="R777" s="34"/>
    </row>
    <row x14ac:dyDescent="0.25" r="778" customHeight="1" ht="15.75">
      <c r="A778" s="1"/>
      <c r="B778" s="34"/>
      <c r="C778" s="1"/>
      <c r="D778" s="34"/>
      <c r="E778" s="34"/>
      <c r="F778" s="34"/>
      <c r="G778" s="29"/>
      <c r="H778" s="29"/>
      <c r="I778" s="29"/>
      <c r="J778" s="34"/>
      <c r="K778" s="34"/>
      <c r="L778" s="34"/>
      <c r="M778" s="29"/>
      <c r="N778" s="29"/>
      <c r="O778" s="29"/>
      <c r="P778" s="29"/>
      <c r="Q778" s="34"/>
      <c r="R778" s="34"/>
    </row>
    <row x14ac:dyDescent="0.25" r="779" customHeight="1" ht="15.75">
      <c r="A779" s="1"/>
      <c r="B779" s="34"/>
      <c r="C779" s="1"/>
      <c r="D779" s="34"/>
      <c r="E779" s="34"/>
      <c r="F779" s="34"/>
      <c r="G779" s="29"/>
      <c r="H779" s="29"/>
      <c r="I779" s="29"/>
      <c r="J779" s="34"/>
      <c r="K779" s="34"/>
      <c r="L779" s="34"/>
      <c r="M779" s="29"/>
      <c r="N779" s="29"/>
      <c r="O779" s="29"/>
      <c r="P779" s="29"/>
      <c r="Q779" s="34"/>
      <c r="R779" s="34"/>
    </row>
    <row x14ac:dyDescent="0.25" r="780" customHeight="1" ht="15.75">
      <c r="A780" s="1"/>
      <c r="B780" s="34"/>
      <c r="C780" s="1"/>
      <c r="D780" s="34"/>
      <c r="E780" s="34"/>
      <c r="F780" s="34"/>
      <c r="G780" s="29"/>
      <c r="H780" s="29"/>
      <c r="I780" s="29"/>
      <c r="J780" s="34"/>
      <c r="K780" s="34"/>
      <c r="L780" s="34"/>
      <c r="M780" s="29"/>
      <c r="N780" s="29"/>
      <c r="O780" s="29"/>
      <c r="P780" s="29"/>
      <c r="Q780" s="34"/>
      <c r="R780" s="34"/>
    </row>
    <row x14ac:dyDescent="0.25" r="781" customHeight="1" ht="15.75">
      <c r="A781" s="1"/>
      <c r="B781" s="34"/>
      <c r="C781" s="1"/>
      <c r="D781" s="34"/>
      <c r="E781" s="34"/>
      <c r="F781" s="34"/>
      <c r="G781" s="29"/>
      <c r="H781" s="29"/>
      <c r="I781" s="29"/>
      <c r="J781" s="34"/>
      <c r="K781" s="34"/>
      <c r="L781" s="34"/>
      <c r="M781" s="29"/>
      <c r="N781" s="29"/>
      <c r="O781" s="29"/>
      <c r="P781" s="29"/>
      <c r="Q781" s="34"/>
      <c r="R781" s="34"/>
    </row>
    <row x14ac:dyDescent="0.25" r="782" customHeight="1" ht="15.75">
      <c r="A782" s="1"/>
      <c r="B782" s="34"/>
      <c r="C782" s="1"/>
      <c r="D782" s="34"/>
      <c r="E782" s="34"/>
      <c r="F782" s="34"/>
      <c r="G782" s="29"/>
      <c r="H782" s="29"/>
      <c r="I782" s="29"/>
      <c r="J782" s="34"/>
      <c r="K782" s="34"/>
      <c r="L782" s="34"/>
      <c r="M782" s="29"/>
      <c r="N782" s="29"/>
      <c r="O782" s="29"/>
      <c r="P782" s="29"/>
      <c r="Q782" s="34"/>
      <c r="R782" s="34"/>
    </row>
    <row x14ac:dyDescent="0.25" r="783" customHeight="1" ht="15.75">
      <c r="A783" s="1"/>
      <c r="B783" s="34"/>
      <c r="C783" s="1"/>
      <c r="D783" s="34"/>
      <c r="E783" s="34"/>
      <c r="F783" s="34"/>
      <c r="G783" s="29"/>
      <c r="H783" s="29"/>
      <c r="I783" s="29"/>
      <c r="J783" s="34"/>
      <c r="K783" s="34"/>
      <c r="L783" s="34"/>
      <c r="M783" s="29"/>
      <c r="N783" s="29"/>
      <c r="O783" s="29"/>
      <c r="P783" s="29"/>
      <c r="Q783" s="34"/>
      <c r="R783" s="34"/>
    </row>
    <row x14ac:dyDescent="0.25" r="784" customHeight="1" ht="15.75">
      <c r="A784" s="1"/>
      <c r="B784" s="34"/>
      <c r="C784" s="1"/>
      <c r="D784" s="34"/>
      <c r="E784" s="34"/>
      <c r="F784" s="34"/>
      <c r="G784" s="29"/>
      <c r="H784" s="29"/>
      <c r="I784" s="29"/>
      <c r="J784" s="34"/>
      <c r="K784" s="34"/>
      <c r="L784" s="34"/>
      <c r="M784" s="29"/>
      <c r="N784" s="29"/>
      <c r="O784" s="29"/>
      <c r="P784" s="29"/>
      <c r="Q784" s="34"/>
      <c r="R784" s="34"/>
    </row>
    <row x14ac:dyDescent="0.25" r="785" customHeight="1" ht="15.75">
      <c r="A785" s="1"/>
      <c r="B785" s="34"/>
      <c r="C785" s="1"/>
      <c r="D785" s="34"/>
      <c r="E785" s="34"/>
      <c r="F785" s="34"/>
      <c r="G785" s="29"/>
      <c r="H785" s="29"/>
      <c r="I785" s="29"/>
      <c r="J785" s="34"/>
      <c r="K785" s="34"/>
      <c r="L785" s="34"/>
      <c r="M785" s="29"/>
      <c r="N785" s="29"/>
      <c r="O785" s="29"/>
      <c r="P785" s="29"/>
      <c r="Q785" s="34"/>
      <c r="R785" s="34"/>
    </row>
    <row x14ac:dyDescent="0.25" r="786" customHeight="1" ht="15.75">
      <c r="A786" s="1"/>
      <c r="B786" s="34"/>
      <c r="C786" s="1"/>
      <c r="D786" s="34"/>
      <c r="E786" s="34"/>
      <c r="F786" s="34"/>
      <c r="G786" s="29"/>
      <c r="H786" s="29"/>
      <c r="I786" s="29"/>
      <c r="J786" s="34"/>
      <c r="K786" s="34"/>
      <c r="L786" s="34"/>
      <c r="M786" s="29"/>
      <c r="N786" s="29"/>
      <c r="O786" s="29"/>
      <c r="P786" s="29"/>
      <c r="Q786" s="34"/>
      <c r="R786" s="34"/>
    </row>
    <row x14ac:dyDescent="0.25" r="787" customHeight="1" ht="15.75">
      <c r="A787" s="1"/>
      <c r="B787" s="34"/>
      <c r="C787" s="1"/>
      <c r="D787" s="34"/>
      <c r="E787" s="34"/>
      <c r="F787" s="34"/>
      <c r="G787" s="29"/>
      <c r="H787" s="29"/>
      <c r="I787" s="29"/>
      <c r="J787" s="34"/>
      <c r="K787" s="34"/>
      <c r="L787" s="34"/>
      <c r="M787" s="29"/>
      <c r="N787" s="29"/>
      <c r="O787" s="29"/>
      <c r="P787" s="29"/>
      <c r="Q787" s="34"/>
      <c r="R787" s="34"/>
    </row>
    <row x14ac:dyDescent="0.25" r="788" customHeight="1" ht="15.75">
      <c r="A788" s="1"/>
      <c r="B788" s="34"/>
      <c r="C788" s="1"/>
      <c r="D788" s="34"/>
      <c r="E788" s="34"/>
      <c r="F788" s="34"/>
      <c r="G788" s="29"/>
      <c r="H788" s="29"/>
      <c r="I788" s="29"/>
      <c r="J788" s="34"/>
      <c r="K788" s="34"/>
      <c r="L788" s="34"/>
      <c r="M788" s="29"/>
      <c r="N788" s="29"/>
      <c r="O788" s="29"/>
      <c r="P788" s="29"/>
      <c r="Q788" s="34"/>
      <c r="R788" s="34"/>
    </row>
    <row x14ac:dyDescent="0.25" r="789" customHeight="1" ht="15.75">
      <c r="A789" s="1"/>
      <c r="B789" s="34"/>
      <c r="C789" s="1"/>
      <c r="D789" s="34"/>
      <c r="E789" s="34"/>
      <c r="F789" s="34"/>
      <c r="G789" s="29"/>
      <c r="H789" s="29"/>
      <c r="I789" s="29"/>
      <c r="J789" s="34"/>
      <c r="K789" s="34"/>
      <c r="L789" s="34"/>
      <c r="M789" s="29"/>
      <c r="N789" s="29"/>
      <c r="O789" s="29"/>
      <c r="P789" s="29"/>
      <c r="Q789" s="34"/>
      <c r="R789" s="34"/>
    </row>
    <row x14ac:dyDescent="0.25" r="790" customHeight="1" ht="15.75">
      <c r="A790" s="1"/>
      <c r="B790" s="34"/>
      <c r="C790" s="1"/>
      <c r="D790" s="34"/>
      <c r="E790" s="34"/>
      <c r="F790" s="34"/>
      <c r="G790" s="29"/>
      <c r="H790" s="29"/>
      <c r="I790" s="29"/>
      <c r="J790" s="34"/>
      <c r="K790" s="34"/>
      <c r="L790" s="34"/>
      <c r="M790" s="29"/>
      <c r="N790" s="29"/>
      <c r="O790" s="29"/>
      <c r="P790" s="29"/>
      <c r="Q790" s="34"/>
      <c r="R790" s="34"/>
    </row>
    <row x14ac:dyDescent="0.25" r="791" customHeight="1" ht="15.75">
      <c r="A791" s="1"/>
      <c r="B791" s="34"/>
      <c r="C791" s="1"/>
      <c r="D791" s="34"/>
      <c r="E791" s="34"/>
      <c r="F791" s="34"/>
      <c r="G791" s="29"/>
      <c r="H791" s="29"/>
      <c r="I791" s="29"/>
      <c r="J791" s="34"/>
      <c r="K791" s="34"/>
      <c r="L791" s="34"/>
      <c r="M791" s="29"/>
      <c r="N791" s="29"/>
      <c r="O791" s="29"/>
      <c r="P791" s="29"/>
      <c r="Q791" s="34"/>
      <c r="R791" s="34"/>
    </row>
    <row x14ac:dyDescent="0.25" r="792" customHeight="1" ht="15.75">
      <c r="A792" s="1"/>
      <c r="B792" s="34"/>
      <c r="C792" s="1"/>
      <c r="D792" s="34"/>
      <c r="E792" s="34"/>
      <c r="F792" s="34"/>
      <c r="G792" s="29"/>
      <c r="H792" s="29"/>
      <c r="I792" s="29"/>
      <c r="J792" s="34"/>
      <c r="K792" s="34"/>
      <c r="L792" s="34"/>
      <c r="M792" s="29"/>
      <c r="N792" s="29"/>
      <c r="O792" s="29"/>
      <c r="P792" s="29"/>
      <c r="Q792" s="34"/>
      <c r="R792" s="34"/>
    </row>
    <row x14ac:dyDescent="0.25" r="793" customHeight="1" ht="15.75">
      <c r="A793" s="1"/>
      <c r="B793" s="34"/>
      <c r="C793" s="1"/>
      <c r="D793" s="34"/>
      <c r="E793" s="34"/>
      <c r="F793" s="34"/>
      <c r="G793" s="29"/>
      <c r="H793" s="29"/>
      <c r="I793" s="29"/>
      <c r="J793" s="34"/>
      <c r="K793" s="34"/>
      <c r="L793" s="34"/>
      <c r="M793" s="29"/>
      <c r="N793" s="29"/>
      <c r="O793" s="29"/>
      <c r="P793" s="29"/>
      <c r="Q793" s="34"/>
      <c r="R793" s="34"/>
    </row>
    <row x14ac:dyDescent="0.25" r="794" customHeight="1" ht="15.75">
      <c r="A794" s="1"/>
      <c r="B794" s="34"/>
      <c r="C794" s="1"/>
      <c r="D794" s="34"/>
      <c r="E794" s="34"/>
      <c r="F794" s="34"/>
      <c r="G794" s="29"/>
      <c r="H794" s="29"/>
      <c r="I794" s="29"/>
      <c r="J794" s="34"/>
      <c r="K794" s="34"/>
      <c r="L794" s="34"/>
      <c r="M794" s="29"/>
      <c r="N794" s="29"/>
      <c r="O794" s="29"/>
      <c r="P794" s="29"/>
      <c r="Q794" s="34"/>
      <c r="R794" s="34"/>
    </row>
    <row x14ac:dyDescent="0.25" r="795" customHeight="1" ht="15.75">
      <c r="A795" s="1"/>
      <c r="B795" s="34"/>
      <c r="C795" s="1"/>
      <c r="D795" s="34"/>
      <c r="E795" s="34"/>
      <c r="F795" s="34"/>
      <c r="G795" s="29"/>
      <c r="H795" s="29"/>
      <c r="I795" s="29"/>
      <c r="J795" s="34"/>
      <c r="K795" s="34"/>
      <c r="L795" s="34"/>
      <c r="M795" s="29"/>
      <c r="N795" s="29"/>
      <c r="O795" s="29"/>
      <c r="P795" s="29"/>
      <c r="Q795" s="34"/>
      <c r="R795" s="34"/>
    </row>
    <row x14ac:dyDescent="0.25" r="796" customHeight="1" ht="15.75">
      <c r="A796" s="1"/>
      <c r="B796" s="34"/>
      <c r="C796" s="1"/>
      <c r="D796" s="34"/>
      <c r="E796" s="34"/>
      <c r="F796" s="34"/>
      <c r="G796" s="29"/>
      <c r="H796" s="29"/>
      <c r="I796" s="29"/>
      <c r="J796" s="34"/>
      <c r="K796" s="34"/>
      <c r="L796" s="34"/>
      <c r="M796" s="29"/>
      <c r="N796" s="29"/>
      <c r="O796" s="29"/>
      <c r="P796" s="29"/>
      <c r="Q796" s="34"/>
      <c r="R796" s="34"/>
    </row>
    <row x14ac:dyDescent="0.25" r="797" customHeight="1" ht="15.75">
      <c r="A797" s="1"/>
      <c r="B797" s="34"/>
      <c r="C797" s="1"/>
      <c r="D797" s="34"/>
      <c r="E797" s="34"/>
      <c r="F797" s="34"/>
      <c r="G797" s="29"/>
      <c r="H797" s="29"/>
      <c r="I797" s="29"/>
      <c r="J797" s="34"/>
      <c r="K797" s="34"/>
      <c r="L797" s="34"/>
      <c r="M797" s="29"/>
      <c r="N797" s="29"/>
      <c r="O797" s="29"/>
      <c r="P797" s="29"/>
      <c r="Q797" s="34"/>
      <c r="R797" s="34"/>
    </row>
    <row x14ac:dyDescent="0.25" r="798" customHeight="1" ht="15.75">
      <c r="A798" s="1"/>
      <c r="B798" s="34"/>
      <c r="C798" s="1"/>
      <c r="D798" s="34"/>
      <c r="E798" s="34"/>
      <c r="F798" s="34"/>
      <c r="G798" s="29"/>
      <c r="H798" s="29"/>
      <c r="I798" s="29"/>
      <c r="J798" s="34"/>
      <c r="K798" s="34"/>
      <c r="L798" s="34"/>
      <c r="M798" s="29"/>
      <c r="N798" s="29"/>
      <c r="O798" s="29"/>
      <c r="P798" s="29"/>
      <c r="Q798" s="34"/>
      <c r="R798" s="34"/>
    </row>
    <row x14ac:dyDescent="0.25" r="799" customHeight="1" ht="15.75">
      <c r="A799" s="1"/>
      <c r="B799" s="34"/>
      <c r="C799" s="1"/>
      <c r="D799" s="34"/>
      <c r="E799" s="34"/>
      <c r="F799" s="34"/>
      <c r="G799" s="29"/>
      <c r="H799" s="29"/>
      <c r="I799" s="29"/>
      <c r="J799" s="34"/>
      <c r="K799" s="34"/>
      <c r="L799" s="34"/>
      <c r="M799" s="29"/>
      <c r="N799" s="29"/>
      <c r="O799" s="29"/>
      <c r="P799" s="29"/>
      <c r="Q799" s="34"/>
      <c r="R799" s="34"/>
    </row>
    <row x14ac:dyDescent="0.25" r="800" customHeight="1" ht="15.75">
      <c r="A800" s="1"/>
      <c r="B800" s="34"/>
      <c r="C800" s="1"/>
      <c r="D800" s="34"/>
      <c r="E800" s="34"/>
      <c r="F800" s="34"/>
      <c r="G800" s="29"/>
      <c r="H800" s="29"/>
      <c r="I800" s="29"/>
      <c r="J800" s="34"/>
      <c r="K800" s="34"/>
      <c r="L800" s="34"/>
      <c r="M800" s="29"/>
      <c r="N800" s="29"/>
      <c r="O800" s="29"/>
      <c r="P800" s="29"/>
      <c r="Q800" s="34"/>
      <c r="R800" s="34"/>
    </row>
    <row x14ac:dyDescent="0.25" r="801" customHeight="1" ht="15.75">
      <c r="A801" s="1"/>
      <c r="B801" s="34"/>
      <c r="C801" s="1"/>
      <c r="D801" s="34"/>
      <c r="E801" s="34"/>
      <c r="F801" s="34"/>
      <c r="G801" s="29"/>
      <c r="H801" s="29"/>
      <c r="I801" s="29"/>
      <c r="J801" s="34"/>
      <c r="K801" s="34"/>
      <c r="L801" s="34"/>
      <c r="M801" s="29"/>
      <c r="N801" s="29"/>
      <c r="O801" s="29"/>
      <c r="P801" s="29"/>
      <c r="Q801" s="34"/>
      <c r="R801" s="34"/>
    </row>
    <row x14ac:dyDescent="0.25" r="802" customHeight="1" ht="15.75">
      <c r="A802" s="1"/>
      <c r="B802" s="34"/>
      <c r="C802" s="1"/>
      <c r="D802" s="34"/>
      <c r="E802" s="34"/>
      <c r="F802" s="34"/>
      <c r="G802" s="29"/>
      <c r="H802" s="29"/>
      <c r="I802" s="29"/>
      <c r="J802" s="34"/>
      <c r="K802" s="34"/>
      <c r="L802" s="34"/>
      <c r="M802" s="29"/>
      <c r="N802" s="29"/>
      <c r="O802" s="29"/>
      <c r="P802" s="29"/>
      <c r="Q802" s="34"/>
      <c r="R802" s="34"/>
    </row>
    <row x14ac:dyDescent="0.25" r="803" customHeight="1" ht="15.75">
      <c r="A803" s="1"/>
      <c r="B803" s="34"/>
      <c r="C803" s="1"/>
      <c r="D803" s="34"/>
      <c r="E803" s="34"/>
      <c r="F803" s="34"/>
      <c r="G803" s="29"/>
      <c r="H803" s="29"/>
      <c r="I803" s="29"/>
      <c r="J803" s="34"/>
      <c r="K803" s="34"/>
      <c r="L803" s="34"/>
      <c r="M803" s="29"/>
      <c r="N803" s="29"/>
      <c r="O803" s="29"/>
      <c r="P803" s="29"/>
      <c r="Q803" s="34"/>
      <c r="R803" s="34"/>
    </row>
    <row x14ac:dyDescent="0.25" r="804" customHeight="1" ht="15.75">
      <c r="A804" s="1"/>
      <c r="B804" s="34"/>
      <c r="C804" s="1"/>
      <c r="D804" s="34"/>
      <c r="E804" s="34"/>
      <c r="F804" s="34"/>
      <c r="G804" s="29"/>
      <c r="H804" s="29"/>
      <c r="I804" s="29"/>
      <c r="J804" s="34"/>
      <c r="K804" s="34"/>
      <c r="L804" s="34"/>
      <c r="M804" s="29"/>
      <c r="N804" s="29"/>
      <c r="O804" s="29"/>
      <c r="P804" s="29"/>
      <c r="Q804" s="34"/>
      <c r="R804" s="34"/>
    </row>
    <row x14ac:dyDescent="0.25" r="805" customHeight="1" ht="15.75">
      <c r="A805" s="1"/>
      <c r="B805" s="34"/>
      <c r="C805" s="1"/>
      <c r="D805" s="34"/>
      <c r="E805" s="34"/>
      <c r="F805" s="34"/>
      <c r="G805" s="29"/>
      <c r="H805" s="29"/>
      <c r="I805" s="29"/>
      <c r="J805" s="34"/>
      <c r="K805" s="34"/>
      <c r="L805" s="34"/>
      <c r="M805" s="29"/>
      <c r="N805" s="29"/>
      <c r="O805" s="29"/>
      <c r="P805" s="29"/>
      <c r="Q805" s="34"/>
      <c r="R805" s="34"/>
    </row>
    <row x14ac:dyDescent="0.25" r="806" customHeight="1" ht="15.75">
      <c r="A806" s="1"/>
      <c r="B806" s="34"/>
      <c r="C806" s="1"/>
      <c r="D806" s="34"/>
      <c r="E806" s="34"/>
      <c r="F806" s="34"/>
      <c r="G806" s="29"/>
      <c r="H806" s="29"/>
      <c r="I806" s="29"/>
      <c r="J806" s="34"/>
      <c r="K806" s="34"/>
      <c r="L806" s="34"/>
      <c r="M806" s="29"/>
      <c r="N806" s="29"/>
      <c r="O806" s="29"/>
      <c r="P806" s="29"/>
      <c r="Q806" s="34"/>
      <c r="R806" s="34"/>
    </row>
    <row x14ac:dyDescent="0.25" r="807" customHeight="1" ht="15.75">
      <c r="A807" s="1"/>
      <c r="B807" s="34"/>
      <c r="C807" s="1"/>
      <c r="D807" s="34"/>
      <c r="E807" s="34"/>
      <c r="F807" s="34"/>
      <c r="G807" s="29"/>
      <c r="H807" s="29"/>
      <c r="I807" s="29"/>
      <c r="J807" s="34"/>
      <c r="K807" s="34"/>
      <c r="L807" s="34"/>
      <c r="M807" s="29"/>
      <c r="N807" s="29"/>
      <c r="O807" s="29"/>
      <c r="P807" s="29"/>
      <c r="Q807" s="34"/>
      <c r="R807" s="34"/>
    </row>
    <row x14ac:dyDescent="0.25" r="808" customHeight="1" ht="15.75">
      <c r="A808" s="1"/>
      <c r="B808" s="34"/>
      <c r="C808" s="1"/>
      <c r="D808" s="34"/>
      <c r="E808" s="34"/>
      <c r="F808" s="34"/>
      <c r="G808" s="29"/>
      <c r="H808" s="29"/>
      <c r="I808" s="29"/>
      <c r="J808" s="34"/>
      <c r="K808" s="34"/>
      <c r="L808" s="34"/>
      <c r="M808" s="29"/>
      <c r="N808" s="29"/>
      <c r="O808" s="29"/>
      <c r="P808" s="29"/>
      <c r="Q808" s="34"/>
      <c r="R808" s="34"/>
    </row>
    <row x14ac:dyDescent="0.25" r="809" customHeight="1" ht="15.75">
      <c r="A809" s="1"/>
      <c r="B809" s="34"/>
      <c r="C809" s="1"/>
      <c r="D809" s="34"/>
      <c r="E809" s="34"/>
      <c r="F809" s="34"/>
      <c r="G809" s="29"/>
      <c r="H809" s="29"/>
      <c r="I809" s="29"/>
      <c r="J809" s="34"/>
      <c r="K809" s="34"/>
      <c r="L809" s="34"/>
      <c r="M809" s="29"/>
      <c r="N809" s="29"/>
      <c r="O809" s="29"/>
      <c r="P809" s="29"/>
      <c r="Q809" s="34"/>
      <c r="R809" s="34"/>
    </row>
    <row x14ac:dyDescent="0.25" r="810" customHeight="1" ht="15.75">
      <c r="A810" s="1"/>
      <c r="B810" s="34"/>
      <c r="C810" s="1"/>
      <c r="D810" s="34"/>
      <c r="E810" s="34"/>
      <c r="F810" s="34"/>
      <c r="G810" s="29"/>
      <c r="H810" s="29"/>
      <c r="I810" s="29"/>
      <c r="J810" s="34"/>
      <c r="K810" s="34"/>
      <c r="L810" s="34"/>
      <c r="M810" s="29"/>
      <c r="N810" s="29"/>
      <c r="O810" s="29"/>
      <c r="P810" s="29"/>
      <c r="Q810" s="34"/>
      <c r="R810" s="34"/>
    </row>
    <row x14ac:dyDescent="0.25" r="811" customHeight="1" ht="15.75">
      <c r="A811" s="1"/>
      <c r="B811" s="34"/>
      <c r="C811" s="1"/>
      <c r="D811" s="34"/>
      <c r="E811" s="34"/>
      <c r="F811" s="34"/>
      <c r="G811" s="29"/>
      <c r="H811" s="29"/>
      <c r="I811" s="29"/>
      <c r="J811" s="34"/>
      <c r="K811" s="34"/>
      <c r="L811" s="34"/>
      <c r="M811" s="29"/>
      <c r="N811" s="29"/>
      <c r="O811" s="29"/>
      <c r="P811" s="29"/>
      <c r="Q811" s="34"/>
      <c r="R811" s="34"/>
    </row>
    <row x14ac:dyDescent="0.25" r="812" customHeight="1" ht="15.75">
      <c r="A812" s="1"/>
      <c r="B812" s="34"/>
      <c r="C812" s="1"/>
      <c r="D812" s="34"/>
      <c r="E812" s="34"/>
      <c r="F812" s="34"/>
      <c r="G812" s="29"/>
      <c r="H812" s="29"/>
      <c r="I812" s="29"/>
      <c r="J812" s="34"/>
      <c r="K812" s="34"/>
      <c r="L812" s="34"/>
      <c r="M812" s="29"/>
      <c r="N812" s="29"/>
      <c r="O812" s="29"/>
      <c r="P812" s="29"/>
      <c r="Q812" s="34"/>
      <c r="R812" s="34"/>
    </row>
    <row x14ac:dyDescent="0.25" r="813" customHeight="1" ht="15.75">
      <c r="A813" s="1"/>
      <c r="B813" s="34"/>
      <c r="C813" s="1"/>
      <c r="D813" s="34"/>
      <c r="E813" s="34"/>
      <c r="F813" s="34"/>
      <c r="G813" s="29"/>
      <c r="H813" s="29"/>
      <c r="I813" s="29"/>
      <c r="J813" s="34"/>
      <c r="K813" s="34"/>
      <c r="L813" s="34"/>
      <c r="M813" s="29"/>
      <c r="N813" s="29"/>
      <c r="O813" s="29"/>
      <c r="P813" s="29"/>
      <c r="Q813" s="34"/>
      <c r="R813" s="34"/>
    </row>
    <row x14ac:dyDescent="0.25" r="814" customHeight="1" ht="15.75">
      <c r="A814" s="1"/>
      <c r="B814" s="34"/>
      <c r="C814" s="1"/>
      <c r="D814" s="34"/>
      <c r="E814" s="34"/>
      <c r="F814" s="34"/>
      <c r="G814" s="29"/>
      <c r="H814" s="29"/>
      <c r="I814" s="29"/>
      <c r="J814" s="34"/>
      <c r="K814" s="34"/>
      <c r="L814" s="34"/>
      <c r="M814" s="29"/>
      <c r="N814" s="29"/>
      <c r="O814" s="29"/>
      <c r="P814" s="29"/>
      <c r="Q814" s="34"/>
      <c r="R814" s="34"/>
    </row>
    <row x14ac:dyDescent="0.25" r="815" customHeight="1" ht="15.75">
      <c r="A815" s="1"/>
      <c r="B815" s="34"/>
      <c r="C815" s="1"/>
      <c r="D815" s="34"/>
      <c r="E815" s="34"/>
      <c r="F815" s="34"/>
      <c r="G815" s="29"/>
      <c r="H815" s="29"/>
      <c r="I815" s="29"/>
      <c r="J815" s="34"/>
      <c r="K815" s="34"/>
      <c r="L815" s="34"/>
      <c r="M815" s="29"/>
      <c r="N815" s="29"/>
      <c r="O815" s="29"/>
      <c r="P815" s="29"/>
      <c r="Q815" s="34"/>
      <c r="R815" s="34"/>
    </row>
    <row x14ac:dyDescent="0.25" r="816" customHeight="1" ht="15.75">
      <c r="A816" s="1"/>
      <c r="B816" s="34"/>
      <c r="C816" s="1"/>
      <c r="D816" s="34"/>
      <c r="E816" s="34"/>
      <c r="F816" s="34"/>
      <c r="G816" s="29"/>
      <c r="H816" s="29"/>
      <c r="I816" s="29"/>
      <c r="J816" s="34"/>
      <c r="K816" s="34"/>
      <c r="L816" s="34"/>
      <c r="M816" s="29"/>
      <c r="N816" s="29"/>
      <c r="O816" s="29"/>
      <c r="P816" s="29"/>
      <c r="Q816" s="34"/>
      <c r="R816" s="34"/>
    </row>
    <row x14ac:dyDescent="0.25" r="817" customHeight="1" ht="15.75">
      <c r="A817" s="1"/>
      <c r="B817" s="34"/>
      <c r="C817" s="1"/>
      <c r="D817" s="34"/>
      <c r="E817" s="34"/>
      <c r="F817" s="34"/>
      <c r="G817" s="29"/>
      <c r="H817" s="29"/>
      <c r="I817" s="29"/>
      <c r="J817" s="34"/>
      <c r="K817" s="34"/>
      <c r="L817" s="34"/>
      <c r="M817" s="29"/>
      <c r="N817" s="29"/>
      <c r="O817" s="29"/>
      <c r="P817" s="29"/>
      <c r="Q817" s="34"/>
      <c r="R817" s="34"/>
    </row>
    <row x14ac:dyDescent="0.25" r="818" customHeight="1" ht="15.75">
      <c r="A818" s="1"/>
      <c r="B818" s="34"/>
      <c r="C818" s="1"/>
      <c r="D818" s="34"/>
      <c r="E818" s="34"/>
      <c r="F818" s="34"/>
      <c r="G818" s="29"/>
      <c r="H818" s="29"/>
      <c r="I818" s="29"/>
      <c r="J818" s="34"/>
      <c r="K818" s="34"/>
      <c r="L818" s="34"/>
      <c r="M818" s="29"/>
      <c r="N818" s="29"/>
      <c r="O818" s="29"/>
      <c r="P818" s="29"/>
      <c r="Q818" s="34"/>
      <c r="R818" s="34"/>
    </row>
    <row x14ac:dyDescent="0.25" r="819" customHeight="1" ht="15.75">
      <c r="A819" s="1"/>
      <c r="B819" s="34"/>
      <c r="C819" s="1"/>
      <c r="D819" s="34"/>
      <c r="E819" s="34"/>
      <c r="F819" s="34"/>
      <c r="G819" s="29"/>
      <c r="H819" s="29"/>
      <c r="I819" s="29"/>
      <c r="J819" s="34"/>
      <c r="K819" s="34"/>
      <c r="L819" s="34"/>
      <c r="M819" s="29"/>
      <c r="N819" s="29"/>
      <c r="O819" s="29"/>
      <c r="P819" s="29"/>
      <c r="Q819" s="34"/>
      <c r="R819" s="34"/>
    </row>
    <row x14ac:dyDescent="0.25" r="820" customHeight="1" ht="15.75">
      <c r="A820" s="1"/>
      <c r="B820" s="34"/>
      <c r="C820" s="1"/>
      <c r="D820" s="34"/>
      <c r="E820" s="34"/>
      <c r="F820" s="34"/>
      <c r="G820" s="29"/>
      <c r="H820" s="29"/>
      <c r="I820" s="29"/>
      <c r="J820" s="34"/>
      <c r="K820" s="34"/>
      <c r="L820" s="34"/>
      <c r="M820" s="29"/>
      <c r="N820" s="29"/>
      <c r="O820" s="29"/>
      <c r="P820" s="29"/>
      <c r="Q820" s="34"/>
      <c r="R820" s="34"/>
    </row>
    <row x14ac:dyDescent="0.25" r="821" customHeight="1" ht="15.75">
      <c r="A821" s="1"/>
      <c r="B821" s="34"/>
      <c r="C821" s="1"/>
      <c r="D821" s="34"/>
      <c r="E821" s="34"/>
      <c r="F821" s="34"/>
      <c r="G821" s="29"/>
      <c r="H821" s="29"/>
      <c r="I821" s="29"/>
      <c r="J821" s="34"/>
      <c r="K821" s="34"/>
      <c r="L821" s="34"/>
      <c r="M821" s="29"/>
      <c r="N821" s="29"/>
      <c r="O821" s="29"/>
      <c r="P821" s="29"/>
      <c r="Q821" s="34"/>
      <c r="R821" s="34"/>
    </row>
    <row x14ac:dyDescent="0.25" r="822" customHeight="1" ht="15.75">
      <c r="A822" s="1"/>
      <c r="B822" s="34"/>
      <c r="C822" s="1"/>
      <c r="D822" s="34"/>
      <c r="E822" s="34"/>
      <c r="F822" s="34"/>
      <c r="G822" s="29"/>
      <c r="H822" s="29"/>
      <c r="I822" s="29"/>
      <c r="J822" s="34"/>
      <c r="K822" s="34"/>
      <c r="L822" s="34"/>
      <c r="M822" s="29"/>
      <c r="N822" s="29"/>
      <c r="O822" s="29"/>
      <c r="P822" s="29"/>
      <c r="Q822" s="34"/>
      <c r="R822" s="34"/>
    </row>
    <row x14ac:dyDescent="0.25" r="823" customHeight="1" ht="15.75">
      <c r="A823" s="1"/>
      <c r="B823" s="34"/>
      <c r="C823" s="1"/>
      <c r="D823" s="34"/>
      <c r="E823" s="34"/>
      <c r="F823" s="34"/>
      <c r="G823" s="29"/>
      <c r="H823" s="29"/>
      <c r="I823" s="29"/>
      <c r="J823" s="34"/>
      <c r="K823" s="34"/>
      <c r="L823" s="34"/>
      <c r="M823" s="29"/>
      <c r="N823" s="29"/>
      <c r="O823" s="29"/>
      <c r="P823" s="29"/>
      <c r="Q823" s="34"/>
      <c r="R823" s="34"/>
    </row>
    <row x14ac:dyDescent="0.25" r="824" customHeight="1" ht="15.75">
      <c r="A824" s="1"/>
      <c r="B824" s="34"/>
      <c r="C824" s="1"/>
      <c r="D824" s="34"/>
      <c r="E824" s="34"/>
      <c r="F824" s="34"/>
      <c r="G824" s="29"/>
      <c r="H824" s="29"/>
      <c r="I824" s="29"/>
      <c r="J824" s="34"/>
      <c r="K824" s="34"/>
      <c r="L824" s="34"/>
      <c r="M824" s="29"/>
      <c r="N824" s="29"/>
      <c r="O824" s="29"/>
      <c r="P824" s="29"/>
      <c r="Q824" s="34"/>
      <c r="R824" s="34"/>
    </row>
    <row x14ac:dyDescent="0.25" r="825" customHeight="1" ht="15.75">
      <c r="A825" s="1"/>
      <c r="B825" s="34"/>
      <c r="C825" s="1"/>
      <c r="D825" s="34"/>
      <c r="E825" s="34"/>
      <c r="F825" s="34"/>
      <c r="G825" s="29"/>
      <c r="H825" s="29"/>
      <c r="I825" s="29"/>
      <c r="J825" s="34"/>
      <c r="K825" s="34"/>
      <c r="L825" s="34"/>
      <c r="M825" s="29"/>
      <c r="N825" s="29"/>
      <c r="O825" s="29"/>
      <c r="P825" s="29"/>
      <c r="Q825" s="34"/>
      <c r="R825" s="34"/>
    </row>
    <row x14ac:dyDescent="0.25" r="826" customHeight="1" ht="15.75">
      <c r="A826" s="1"/>
      <c r="B826" s="34"/>
      <c r="C826" s="1"/>
      <c r="D826" s="34"/>
      <c r="E826" s="34"/>
      <c r="F826" s="34"/>
      <c r="G826" s="29"/>
      <c r="H826" s="29"/>
      <c r="I826" s="29"/>
      <c r="J826" s="34"/>
      <c r="K826" s="34"/>
      <c r="L826" s="34"/>
      <c r="M826" s="29"/>
      <c r="N826" s="29"/>
      <c r="O826" s="29"/>
      <c r="P826" s="29"/>
      <c r="Q826" s="34"/>
      <c r="R826" s="34"/>
    </row>
    <row x14ac:dyDescent="0.25" r="827" customHeight="1" ht="15.75">
      <c r="A827" s="1"/>
      <c r="B827" s="34"/>
      <c r="C827" s="1"/>
      <c r="D827" s="34"/>
      <c r="E827" s="34"/>
      <c r="F827" s="34"/>
      <c r="G827" s="29"/>
      <c r="H827" s="29"/>
      <c r="I827" s="29"/>
      <c r="J827" s="34"/>
      <c r="K827" s="34"/>
      <c r="L827" s="34"/>
      <c r="M827" s="29"/>
      <c r="N827" s="29"/>
      <c r="O827" s="29"/>
      <c r="P827" s="29"/>
      <c r="Q827" s="34"/>
      <c r="R827" s="34"/>
    </row>
    <row x14ac:dyDescent="0.25" r="828" customHeight="1" ht="15.75">
      <c r="A828" s="1"/>
      <c r="B828" s="34"/>
      <c r="C828" s="1"/>
      <c r="D828" s="34"/>
      <c r="E828" s="34"/>
      <c r="F828" s="34"/>
      <c r="G828" s="29"/>
      <c r="H828" s="29"/>
      <c r="I828" s="29"/>
      <c r="J828" s="34"/>
      <c r="K828" s="34"/>
      <c r="L828" s="34"/>
      <c r="M828" s="29"/>
      <c r="N828" s="29"/>
      <c r="O828" s="29"/>
      <c r="P828" s="29"/>
      <c r="Q828" s="34"/>
      <c r="R828" s="34"/>
    </row>
    <row x14ac:dyDescent="0.25" r="829" customHeight="1" ht="15.75">
      <c r="A829" s="1"/>
      <c r="B829" s="34"/>
      <c r="C829" s="1"/>
      <c r="D829" s="34"/>
      <c r="E829" s="34"/>
      <c r="F829" s="34"/>
      <c r="G829" s="29"/>
      <c r="H829" s="29"/>
      <c r="I829" s="29"/>
      <c r="J829" s="34"/>
      <c r="K829" s="34"/>
      <c r="L829" s="34"/>
      <c r="M829" s="29"/>
      <c r="N829" s="29"/>
      <c r="O829" s="29"/>
      <c r="P829" s="29"/>
      <c r="Q829" s="34"/>
      <c r="R829" s="34"/>
    </row>
    <row x14ac:dyDescent="0.25" r="830" customHeight="1" ht="15.75">
      <c r="A830" s="1"/>
      <c r="B830" s="34"/>
      <c r="C830" s="1"/>
      <c r="D830" s="34"/>
      <c r="E830" s="34"/>
      <c r="F830" s="34"/>
      <c r="G830" s="29"/>
      <c r="H830" s="29"/>
      <c r="I830" s="29"/>
      <c r="J830" s="34"/>
      <c r="K830" s="34"/>
      <c r="L830" s="34"/>
      <c r="M830" s="29"/>
      <c r="N830" s="29"/>
      <c r="O830" s="29"/>
      <c r="P830" s="29"/>
      <c r="Q830" s="34"/>
      <c r="R830" s="34"/>
    </row>
    <row x14ac:dyDescent="0.25" r="831" customHeight="1" ht="15.75">
      <c r="A831" s="1"/>
      <c r="B831" s="34"/>
      <c r="C831" s="1"/>
      <c r="D831" s="34"/>
      <c r="E831" s="34"/>
      <c r="F831" s="34"/>
      <c r="G831" s="29"/>
      <c r="H831" s="29"/>
      <c r="I831" s="29"/>
      <c r="J831" s="34"/>
      <c r="K831" s="34"/>
      <c r="L831" s="34"/>
      <c r="M831" s="29"/>
      <c r="N831" s="29"/>
      <c r="O831" s="29"/>
      <c r="P831" s="29"/>
      <c r="Q831" s="34"/>
      <c r="R831" s="34"/>
    </row>
    <row x14ac:dyDescent="0.25" r="832" customHeight="1" ht="15.75">
      <c r="A832" s="1"/>
      <c r="B832" s="34"/>
      <c r="C832" s="1"/>
      <c r="D832" s="34"/>
      <c r="E832" s="34"/>
      <c r="F832" s="34"/>
      <c r="G832" s="29"/>
      <c r="H832" s="29"/>
      <c r="I832" s="29"/>
      <c r="J832" s="34"/>
      <c r="K832" s="34"/>
      <c r="L832" s="34"/>
      <c r="M832" s="29"/>
      <c r="N832" s="29"/>
      <c r="O832" s="29"/>
      <c r="P832" s="29"/>
      <c r="Q832" s="34"/>
      <c r="R832" s="34"/>
    </row>
    <row x14ac:dyDescent="0.25" r="833" customHeight="1" ht="15.75">
      <c r="A833" s="1"/>
      <c r="B833" s="34"/>
      <c r="C833" s="1"/>
      <c r="D833" s="34"/>
      <c r="E833" s="34"/>
      <c r="F833" s="34"/>
      <c r="G833" s="29"/>
      <c r="H833" s="29"/>
      <c r="I833" s="29"/>
      <c r="J833" s="34"/>
      <c r="K833" s="34"/>
      <c r="L833" s="34"/>
      <c r="M833" s="29"/>
      <c r="N833" s="29"/>
      <c r="O833" s="29"/>
      <c r="P833" s="29"/>
      <c r="Q833" s="34"/>
      <c r="R833" s="34"/>
    </row>
    <row x14ac:dyDescent="0.25" r="834" customHeight="1" ht="15.75">
      <c r="A834" s="1"/>
      <c r="B834" s="34"/>
      <c r="C834" s="1"/>
      <c r="D834" s="34"/>
      <c r="E834" s="34"/>
      <c r="F834" s="34"/>
      <c r="G834" s="29"/>
      <c r="H834" s="29"/>
      <c r="I834" s="29"/>
      <c r="J834" s="34"/>
      <c r="K834" s="34"/>
      <c r="L834" s="34"/>
      <c r="M834" s="29"/>
      <c r="N834" s="29"/>
      <c r="O834" s="29"/>
      <c r="P834" s="29"/>
      <c r="Q834" s="34"/>
      <c r="R834" s="34"/>
    </row>
    <row x14ac:dyDescent="0.25" r="835" customHeight="1" ht="15.75">
      <c r="A835" s="1"/>
      <c r="B835" s="34"/>
      <c r="C835" s="1"/>
      <c r="D835" s="34"/>
      <c r="E835" s="34"/>
      <c r="F835" s="34"/>
      <c r="G835" s="29"/>
      <c r="H835" s="29"/>
      <c r="I835" s="29"/>
      <c r="J835" s="34"/>
      <c r="K835" s="34"/>
      <c r="L835" s="34"/>
      <c r="M835" s="29"/>
      <c r="N835" s="29"/>
      <c r="O835" s="29"/>
      <c r="P835" s="29"/>
      <c r="Q835" s="34"/>
      <c r="R835" s="34"/>
    </row>
    <row x14ac:dyDescent="0.25" r="836" customHeight="1" ht="15.75">
      <c r="A836" s="1"/>
      <c r="B836" s="34"/>
      <c r="C836" s="1"/>
      <c r="D836" s="34"/>
      <c r="E836" s="34"/>
      <c r="F836" s="34"/>
      <c r="G836" s="29"/>
      <c r="H836" s="29"/>
      <c r="I836" s="29"/>
      <c r="J836" s="34"/>
      <c r="K836" s="34"/>
      <c r="L836" s="34"/>
      <c r="M836" s="29"/>
      <c r="N836" s="29"/>
      <c r="O836" s="29"/>
      <c r="P836" s="29"/>
      <c r="Q836" s="34"/>
      <c r="R836" s="34"/>
    </row>
    <row x14ac:dyDescent="0.25" r="837" customHeight="1" ht="15.75">
      <c r="A837" s="1"/>
      <c r="B837" s="34"/>
      <c r="C837" s="1"/>
      <c r="D837" s="34"/>
      <c r="E837" s="34"/>
      <c r="F837" s="34"/>
      <c r="G837" s="29"/>
      <c r="H837" s="29"/>
      <c r="I837" s="29"/>
      <c r="J837" s="34"/>
      <c r="K837" s="34"/>
      <c r="L837" s="34"/>
      <c r="M837" s="29"/>
      <c r="N837" s="29"/>
      <c r="O837" s="29"/>
      <c r="P837" s="29"/>
      <c r="Q837" s="34"/>
      <c r="R837" s="34"/>
    </row>
    <row x14ac:dyDescent="0.25" r="838" customHeight="1" ht="15.75">
      <c r="A838" s="1"/>
      <c r="B838" s="34"/>
      <c r="C838" s="1"/>
      <c r="D838" s="34"/>
      <c r="E838" s="34"/>
      <c r="F838" s="34"/>
      <c r="G838" s="29"/>
      <c r="H838" s="29"/>
      <c r="I838" s="29"/>
      <c r="J838" s="34"/>
      <c r="K838" s="34"/>
      <c r="L838" s="34"/>
      <c r="M838" s="29"/>
      <c r="N838" s="29"/>
      <c r="O838" s="29"/>
      <c r="P838" s="29"/>
      <c r="Q838" s="34"/>
      <c r="R838" s="34"/>
    </row>
    <row x14ac:dyDescent="0.25" r="839" customHeight="1" ht="15.75">
      <c r="A839" s="1"/>
      <c r="B839" s="34"/>
      <c r="C839" s="1"/>
      <c r="D839" s="34"/>
      <c r="E839" s="34"/>
      <c r="F839" s="34"/>
      <c r="G839" s="29"/>
      <c r="H839" s="29"/>
      <c r="I839" s="29"/>
      <c r="J839" s="34"/>
      <c r="K839" s="34"/>
      <c r="L839" s="34"/>
      <c r="M839" s="29"/>
      <c r="N839" s="29"/>
      <c r="O839" s="29"/>
      <c r="P839" s="29"/>
      <c r="Q839" s="34"/>
      <c r="R839" s="34"/>
    </row>
    <row x14ac:dyDescent="0.25" r="840" customHeight="1" ht="15.75">
      <c r="A840" s="1"/>
      <c r="B840" s="34"/>
      <c r="C840" s="1"/>
      <c r="D840" s="34"/>
      <c r="E840" s="34"/>
      <c r="F840" s="34"/>
      <c r="G840" s="29"/>
      <c r="H840" s="29"/>
      <c r="I840" s="29"/>
      <c r="J840" s="34"/>
      <c r="K840" s="34"/>
      <c r="L840" s="34"/>
      <c r="M840" s="29"/>
      <c r="N840" s="29"/>
      <c r="O840" s="29"/>
      <c r="P840" s="29"/>
      <c r="Q840" s="34"/>
      <c r="R840" s="34"/>
    </row>
    <row x14ac:dyDescent="0.25" r="841" customHeight="1" ht="15.75">
      <c r="A841" s="1"/>
      <c r="B841" s="34"/>
      <c r="C841" s="1"/>
      <c r="D841" s="34"/>
      <c r="E841" s="34"/>
      <c r="F841" s="34"/>
      <c r="G841" s="29"/>
      <c r="H841" s="29"/>
      <c r="I841" s="29"/>
      <c r="J841" s="34"/>
      <c r="K841" s="34"/>
      <c r="L841" s="34"/>
      <c r="M841" s="29"/>
      <c r="N841" s="29"/>
      <c r="O841" s="29"/>
      <c r="P841" s="29"/>
      <c r="Q841" s="34"/>
      <c r="R841" s="34"/>
    </row>
    <row x14ac:dyDescent="0.25" r="842" customHeight="1" ht="15.75">
      <c r="A842" s="1"/>
      <c r="B842" s="34"/>
      <c r="C842" s="1"/>
      <c r="D842" s="34"/>
      <c r="E842" s="34"/>
      <c r="F842" s="34"/>
      <c r="G842" s="29"/>
      <c r="H842" s="29"/>
      <c r="I842" s="29"/>
      <c r="J842" s="34"/>
      <c r="K842" s="34"/>
      <c r="L842" s="34"/>
      <c r="M842" s="29"/>
      <c r="N842" s="29"/>
      <c r="O842" s="29"/>
      <c r="P842" s="29"/>
      <c r="Q842" s="34"/>
      <c r="R842" s="34"/>
    </row>
    <row x14ac:dyDescent="0.25" r="843" customHeight="1" ht="15.75">
      <c r="A843" s="1"/>
      <c r="B843" s="34"/>
      <c r="C843" s="1"/>
      <c r="D843" s="34"/>
      <c r="E843" s="34"/>
      <c r="F843" s="34"/>
      <c r="G843" s="29"/>
      <c r="H843" s="29"/>
      <c r="I843" s="29"/>
      <c r="J843" s="34"/>
      <c r="K843" s="34"/>
      <c r="L843" s="34"/>
      <c r="M843" s="29"/>
      <c r="N843" s="29"/>
      <c r="O843" s="29"/>
      <c r="P843" s="29"/>
      <c r="Q843" s="34"/>
      <c r="R843" s="34"/>
    </row>
    <row x14ac:dyDescent="0.25" r="844" customHeight="1" ht="15.75">
      <c r="A844" s="1"/>
      <c r="B844" s="34"/>
      <c r="C844" s="1"/>
      <c r="D844" s="34"/>
      <c r="E844" s="34"/>
      <c r="F844" s="34"/>
      <c r="G844" s="29"/>
      <c r="H844" s="29"/>
      <c r="I844" s="29"/>
      <c r="J844" s="34"/>
      <c r="K844" s="34"/>
      <c r="L844" s="34"/>
      <c r="M844" s="29"/>
      <c r="N844" s="29"/>
      <c r="O844" s="29"/>
      <c r="P844" s="29"/>
      <c r="Q844" s="34"/>
      <c r="R844" s="34"/>
    </row>
    <row x14ac:dyDescent="0.25" r="845" customHeight="1" ht="15.75">
      <c r="A845" s="1"/>
      <c r="B845" s="34"/>
      <c r="C845" s="1"/>
      <c r="D845" s="34"/>
      <c r="E845" s="34"/>
      <c r="F845" s="34"/>
      <c r="G845" s="29"/>
      <c r="H845" s="29"/>
      <c r="I845" s="29"/>
      <c r="J845" s="34"/>
      <c r="K845" s="34"/>
      <c r="L845" s="34"/>
      <c r="M845" s="29"/>
      <c r="N845" s="29"/>
      <c r="O845" s="29"/>
      <c r="P845" s="29"/>
      <c r="Q845" s="34"/>
      <c r="R845" s="34"/>
    </row>
    <row x14ac:dyDescent="0.25" r="846" customHeight="1" ht="15.75">
      <c r="A846" s="1"/>
      <c r="B846" s="34"/>
      <c r="C846" s="1"/>
      <c r="D846" s="34"/>
      <c r="E846" s="34"/>
      <c r="F846" s="34"/>
      <c r="G846" s="29"/>
      <c r="H846" s="29"/>
      <c r="I846" s="29"/>
      <c r="J846" s="34"/>
      <c r="K846" s="34"/>
      <c r="L846" s="34"/>
      <c r="M846" s="29"/>
      <c r="N846" s="29"/>
      <c r="O846" s="29"/>
      <c r="P846" s="29"/>
      <c r="Q846" s="34"/>
      <c r="R846" s="34"/>
    </row>
    <row x14ac:dyDescent="0.25" r="847" customHeight="1" ht="15.75">
      <c r="A847" s="1"/>
      <c r="B847" s="34"/>
      <c r="C847" s="1"/>
      <c r="D847" s="34"/>
      <c r="E847" s="34"/>
      <c r="F847" s="34"/>
      <c r="G847" s="29"/>
      <c r="H847" s="29"/>
      <c r="I847" s="29"/>
      <c r="J847" s="34"/>
      <c r="K847" s="34"/>
      <c r="L847" s="34"/>
      <c r="M847" s="29"/>
      <c r="N847" s="29"/>
      <c r="O847" s="29"/>
      <c r="P847" s="29"/>
      <c r="Q847" s="34"/>
      <c r="R847" s="34"/>
    </row>
    <row x14ac:dyDescent="0.25" r="848" customHeight="1" ht="15.75">
      <c r="A848" s="1"/>
      <c r="B848" s="34"/>
      <c r="C848" s="1"/>
      <c r="D848" s="34"/>
      <c r="E848" s="34"/>
      <c r="F848" s="34"/>
      <c r="G848" s="29"/>
      <c r="H848" s="29"/>
      <c r="I848" s="29"/>
      <c r="J848" s="34"/>
      <c r="K848" s="34"/>
      <c r="L848" s="34"/>
      <c r="M848" s="29"/>
      <c r="N848" s="29"/>
      <c r="O848" s="29"/>
      <c r="P848" s="29"/>
      <c r="Q848" s="34"/>
      <c r="R848" s="34"/>
    </row>
    <row x14ac:dyDescent="0.25" r="849" customHeight="1" ht="15.75">
      <c r="A849" s="1"/>
      <c r="B849" s="34"/>
      <c r="C849" s="1"/>
      <c r="D849" s="34"/>
      <c r="E849" s="34"/>
      <c r="F849" s="34"/>
      <c r="G849" s="29"/>
      <c r="H849" s="29"/>
      <c r="I849" s="29"/>
      <c r="J849" s="34"/>
      <c r="K849" s="34"/>
      <c r="L849" s="34"/>
      <c r="M849" s="29"/>
      <c r="N849" s="29"/>
      <c r="O849" s="29"/>
      <c r="P849" s="29"/>
      <c r="Q849" s="34"/>
      <c r="R849" s="34"/>
    </row>
    <row x14ac:dyDescent="0.25" r="850" customHeight="1" ht="15.75">
      <c r="A850" s="1"/>
      <c r="B850" s="34"/>
      <c r="C850" s="1"/>
      <c r="D850" s="34"/>
      <c r="E850" s="34"/>
      <c r="F850" s="34"/>
      <c r="G850" s="29"/>
      <c r="H850" s="29"/>
      <c r="I850" s="29"/>
      <c r="J850" s="34"/>
      <c r="K850" s="34"/>
      <c r="L850" s="34"/>
      <c r="M850" s="29"/>
      <c r="N850" s="29"/>
      <c r="O850" s="29"/>
      <c r="P850" s="29"/>
      <c r="Q850" s="34"/>
      <c r="R850" s="34"/>
    </row>
    <row x14ac:dyDescent="0.25" r="851" customHeight="1" ht="15.75">
      <c r="A851" s="1"/>
      <c r="B851" s="34"/>
      <c r="C851" s="1"/>
      <c r="D851" s="34"/>
      <c r="E851" s="34"/>
      <c r="F851" s="34"/>
      <c r="G851" s="29"/>
      <c r="H851" s="29"/>
      <c r="I851" s="29"/>
      <c r="J851" s="34"/>
      <c r="K851" s="34"/>
      <c r="L851" s="34"/>
      <c r="M851" s="29"/>
      <c r="N851" s="29"/>
      <c r="O851" s="29"/>
      <c r="P851" s="29"/>
      <c r="Q851" s="34"/>
      <c r="R851" s="34"/>
    </row>
    <row x14ac:dyDescent="0.25" r="852" customHeight="1" ht="15.75">
      <c r="A852" s="1"/>
      <c r="B852" s="34"/>
      <c r="C852" s="1"/>
      <c r="D852" s="34"/>
      <c r="E852" s="34"/>
      <c r="F852" s="34"/>
      <c r="G852" s="29"/>
      <c r="H852" s="29"/>
      <c r="I852" s="29"/>
      <c r="J852" s="34"/>
      <c r="K852" s="34"/>
      <c r="L852" s="34"/>
      <c r="M852" s="29"/>
      <c r="N852" s="29"/>
      <c r="O852" s="29"/>
      <c r="P852" s="29"/>
      <c r="Q852" s="34"/>
      <c r="R852" s="34"/>
    </row>
    <row x14ac:dyDescent="0.25" r="853" customHeight="1" ht="15.75">
      <c r="A853" s="1"/>
      <c r="B853" s="34"/>
      <c r="C853" s="1"/>
      <c r="D853" s="34"/>
      <c r="E853" s="34"/>
      <c r="F853" s="34"/>
      <c r="G853" s="29"/>
      <c r="H853" s="29"/>
      <c r="I853" s="29"/>
      <c r="J853" s="34"/>
      <c r="K853" s="34"/>
      <c r="L853" s="34"/>
      <c r="M853" s="29"/>
      <c r="N853" s="29"/>
      <c r="O853" s="29"/>
      <c r="P853" s="29"/>
      <c r="Q853" s="34"/>
      <c r="R853" s="34"/>
    </row>
    <row x14ac:dyDescent="0.25" r="854" customHeight="1" ht="15.75">
      <c r="A854" s="1"/>
      <c r="B854" s="34"/>
      <c r="C854" s="1"/>
      <c r="D854" s="34"/>
      <c r="E854" s="34"/>
      <c r="F854" s="34"/>
      <c r="G854" s="29"/>
      <c r="H854" s="29"/>
      <c r="I854" s="29"/>
      <c r="J854" s="34"/>
      <c r="K854" s="34"/>
      <c r="L854" s="34"/>
      <c r="M854" s="29"/>
      <c r="N854" s="29"/>
      <c r="O854" s="29"/>
      <c r="P854" s="29"/>
      <c r="Q854" s="34"/>
      <c r="R854" s="34"/>
    </row>
    <row x14ac:dyDescent="0.25" r="855" customHeight="1" ht="15.75">
      <c r="A855" s="1"/>
      <c r="B855" s="34"/>
      <c r="C855" s="1"/>
      <c r="D855" s="34"/>
      <c r="E855" s="34"/>
      <c r="F855" s="34"/>
      <c r="G855" s="29"/>
      <c r="H855" s="29"/>
      <c r="I855" s="29"/>
      <c r="J855" s="34"/>
      <c r="K855" s="34"/>
      <c r="L855" s="34"/>
      <c r="M855" s="29"/>
      <c r="N855" s="29"/>
      <c r="O855" s="29"/>
      <c r="P855" s="29"/>
      <c r="Q855" s="34"/>
      <c r="R855" s="34"/>
    </row>
    <row x14ac:dyDescent="0.25" r="856" customHeight="1" ht="15.75">
      <c r="A856" s="1"/>
      <c r="B856" s="34"/>
      <c r="C856" s="1"/>
      <c r="D856" s="34"/>
      <c r="E856" s="34"/>
      <c r="F856" s="34"/>
      <c r="G856" s="29"/>
      <c r="H856" s="29"/>
      <c r="I856" s="29"/>
      <c r="J856" s="34"/>
      <c r="K856" s="34"/>
      <c r="L856" s="34"/>
      <c r="M856" s="29"/>
      <c r="N856" s="29"/>
      <c r="O856" s="29"/>
      <c r="P856" s="29"/>
      <c r="Q856" s="34"/>
      <c r="R856" s="34"/>
    </row>
    <row x14ac:dyDescent="0.25" r="857" customHeight="1" ht="15.75">
      <c r="A857" s="1"/>
      <c r="B857" s="34"/>
      <c r="C857" s="1"/>
      <c r="D857" s="34"/>
      <c r="E857" s="34"/>
      <c r="F857" s="34"/>
      <c r="G857" s="29"/>
      <c r="H857" s="29"/>
      <c r="I857" s="29"/>
      <c r="J857" s="34"/>
      <c r="K857" s="34"/>
      <c r="L857" s="34"/>
      <c r="M857" s="29"/>
      <c r="N857" s="29"/>
      <c r="O857" s="29"/>
      <c r="P857" s="29"/>
      <c r="Q857" s="34"/>
      <c r="R857" s="34"/>
    </row>
    <row x14ac:dyDescent="0.25" r="858" customHeight="1" ht="15.75">
      <c r="A858" s="1"/>
      <c r="B858" s="34"/>
      <c r="C858" s="1"/>
      <c r="D858" s="34"/>
      <c r="E858" s="34"/>
      <c r="F858" s="34"/>
      <c r="G858" s="29"/>
      <c r="H858" s="29"/>
      <c r="I858" s="29"/>
      <c r="J858" s="34"/>
      <c r="K858" s="34"/>
      <c r="L858" s="34"/>
      <c r="M858" s="29"/>
      <c r="N858" s="29"/>
      <c r="O858" s="29"/>
      <c r="P858" s="29"/>
      <c r="Q858" s="34"/>
      <c r="R858" s="34"/>
    </row>
    <row x14ac:dyDescent="0.25" r="859" customHeight="1" ht="15.75">
      <c r="A859" s="1"/>
      <c r="B859" s="34"/>
      <c r="C859" s="1"/>
      <c r="D859" s="34"/>
      <c r="E859" s="34"/>
      <c r="F859" s="34"/>
      <c r="G859" s="29"/>
      <c r="H859" s="29"/>
      <c r="I859" s="29"/>
      <c r="J859" s="34"/>
      <c r="K859" s="34"/>
      <c r="L859" s="34"/>
      <c r="M859" s="29"/>
      <c r="N859" s="29"/>
      <c r="O859" s="29"/>
      <c r="P859" s="29"/>
      <c r="Q859" s="34"/>
      <c r="R859" s="34"/>
    </row>
    <row x14ac:dyDescent="0.25" r="860" customHeight="1" ht="15.75">
      <c r="A860" s="1"/>
      <c r="B860" s="34"/>
      <c r="C860" s="1"/>
      <c r="D860" s="34"/>
      <c r="E860" s="34"/>
      <c r="F860" s="34"/>
      <c r="G860" s="29"/>
      <c r="H860" s="29"/>
      <c r="I860" s="29"/>
      <c r="J860" s="34"/>
      <c r="K860" s="34"/>
      <c r="L860" s="34"/>
      <c r="M860" s="29"/>
      <c r="N860" s="29"/>
      <c r="O860" s="29"/>
      <c r="P860" s="29"/>
      <c r="Q860" s="34"/>
      <c r="R860" s="34"/>
    </row>
    <row x14ac:dyDescent="0.25" r="861" customHeight="1" ht="15.75">
      <c r="A861" s="1"/>
      <c r="B861" s="34"/>
      <c r="C861" s="1"/>
      <c r="D861" s="34"/>
      <c r="E861" s="34"/>
      <c r="F861" s="34"/>
      <c r="G861" s="29"/>
      <c r="H861" s="29"/>
      <c r="I861" s="29"/>
      <c r="J861" s="34"/>
      <c r="K861" s="34"/>
      <c r="L861" s="34"/>
      <c r="M861" s="29"/>
      <c r="N861" s="29"/>
      <c r="O861" s="29"/>
      <c r="P861" s="29"/>
      <c r="Q861" s="34"/>
      <c r="R861" s="34"/>
    </row>
    <row x14ac:dyDescent="0.25" r="862" customHeight="1" ht="15.75">
      <c r="A862" s="1"/>
      <c r="B862" s="34"/>
      <c r="C862" s="1"/>
      <c r="D862" s="34"/>
      <c r="E862" s="34"/>
      <c r="F862" s="34"/>
      <c r="G862" s="29"/>
      <c r="H862" s="29"/>
      <c r="I862" s="29"/>
      <c r="J862" s="34"/>
      <c r="K862" s="34"/>
      <c r="L862" s="34"/>
      <c r="M862" s="29"/>
      <c r="N862" s="29"/>
      <c r="O862" s="29"/>
      <c r="P862" s="29"/>
      <c r="Q862" s="34"/>
      <c r="R862" s="34"/>
    </row>
    <row x14ac:dyDescent="0.25" r="863" customHeight="1" ht="15.75">
      <c r="A863" s="1"/>
      <c r="B863" s="34"/>
      <c r="C863" s="1"/>
      <c r="D863" s="34"/>
      <c r="E863" s="34"/>
      <c r="F863" s="34"/>
      <c r="G863" s="29"/>
      <c r="H863" s="29"/>
      <c r="I863" s="29"/>
      <c r="J863" s="34"/>
      <c r="K863" s="34"/>
      <c r="L863" s="34"/>
      <c r="M863" s="29"/>
      <c r="N863" s="29"/>
      <c r="O863" s="29"/>
      <c r="P863" s="29"/>
      <c r="Q863" s="34"/>
      <c r="R863" s="34"/>
    </row>
    <row x14ac:dyDescent="0.25" r="864" customHeight="1" ht="15.75">
      <c r="A864" s="1"/>
      <c r="B864" s="34"/>
      <c r="C864" s="1"/>
      <c r="D864" s="34"/>
      <c r="E864" s="34"/>
      <c r="F864" s="34"/>
      <c r="G864" s="29"/>
      <c r="H864" s="29"/>
      <c r="I864" s="29"/>
      <c r="J864" s="34"/>
      <c r="K864" s="34"/>
      <c r="L864" s="34"/>
      <c r="M864" s="29"/>
      <c r="N864" s="29"/>
      <c r="O864" s="29"/>
      <c r="P864" s="29"/>
      <c r="Q864" s="34"/>
      <c r="R864" s="34"/>
    </row>
    <row x14ac:dyDescent="0.25" r="865" customHeight="1" ht="15.75">
      <c r="A865" s="1"/>
      <c r="B865" s="34"/>
      <c r="C865" s="1"/>
      <c r="D865" s="34"/>
      <c r="E865" s="34"/>
      <c r="F865" s="34"/>
      <c r="G865" s="29"/>
      <c r="H865" s="29"/>
      <c r="I865" s="29"/>
      <c r="J865" s="34"/>
      <c r="K865" s="34"/>
      <c r="L865" s="34"/>
      <c r="M865" s="29"/>
      <c r="N865" s="29"/>
      <c r="O865" s="29"/>
      <c r="P865" s="29"/>
      <c r="Q865" s="34"/>
      <c r="R865" s="34"/>
    </row>
    <row x14ac:dyDescent="0.25" r="866" customHeight="1" ht="15.75">
      <c r="A866" s="1"/>
      <c r="B866" s="34"/>
      <c r="C866" s="1"/>
      <c r="D866" s="34"/>
      <c r="E866" s="34"/>
      <c r="F866" s="34"/>
      <c r="G866" s="29"/>
      <c r="H866" s="29"/>
      <c r="I866" s="29"/>
      <c r="J866" s="34"/>
      <c r="K866" s="34"/>
      <c r="L866" s="34"/>
      <c r="M866" s="29"/>
      <c r="N866" s="29"/>
      <c r="O866" s="29"/>
      <c r="P866" s="29"/>
      <c r="Q866" s="34"/>
      <c r="R866" s="34"/>
    </row>
    <row x14ac:dyDescent="0.25" r="867" customHeight="1" ht="15.75">
      <c r="A867" s="1"/>
      <c r="B867" s="34"/>
      <c r="C867" s="1"/>
      <c r="D867" s="34"/>
      <c r="E867" s="34"/>
      <c r="F867" s="34"/>
      <c r="G867" s="29"/>
      <c r="H867" s="29"/>
      <c r="I867" s="29"/>
      <c r="J867" s="34"/>
      <c r="K867" s="34"/>
      <c r="L867" s="34"/>
      <c r="M867" s="29"/>
      <c r="N867" s="29"/>
      <c r="O867" s="29"/>
      <c r="P867" s="29"/>
      <c r="Q867" s="34"/>
      <c r="R867" s="34"/>
    </row>
    <row x14ac:dyDescent="0.25" r="868" customHeight="1" ht="15.75">
      <c r="A868" s="1"/>
      <c r="B868" s="34"/>
      <c r="C868" s="1"/>
      <c r="D868" s="34"/>
      <c r="E868" s="34"/>
      <c r="F868" s="34"/>
      <c r="G868" s="29"/>
      <c r="H868" s="29"/>
      <c r="I868" s="29"/>
      <c r="J868" s="34"/>
      <c r="K868" s="34"/>
      <c r="L868" s="34"/>
      <c r="M868" s="29"/>
      <c r="N868" s="29"/>
      <c r="O868" s="29"/>
      <c r="P868" s="29"/>
      <c r="Q868" s="34"/>
      <c r="R868" s="34"/>
    </row>
    <row x14ac:dyDescent="0.25" r="869" customHeight="1" ht="15.75">
      <c r="A869" s="1"/>
      <c r="B869" s="34"/>
      <c r="C869" s="1"/>
      <c r="D869" s="34"/>
      <c r="E869" s="34"/>
      <c r="F869" s="34"/>
      <c r="G869" s="29"/>
      <c r="H869" s="29"/>
      <c r="I869" s="29"/>
      <c r="J869" s="34"/>
      <c r="K869" s="34"/>
      <c r="L869" s="34"/>
      <c r="M869" s="29"/>
      <c r="N869" s="29"/>
      <c r="O869" s="29"/>
      <c r="P869" s="29"/>
      <c r="Q869" s="34"/>
      <c r="R869" s="34"/>
    </row>
    <row x14ac:dyDescent="0.25" r="870" customHeight="1" ht="15.75">
      <c r="A870" s="1"/>
      <c r="B870" s="34"/>
      <c r="C870" s="1"/>
      <c r="D870" s="34"/>
      <c r="E870" s="34"/>
      <c r="F870" s="34"/>
      <c r="G870" s="29"/>
      <c r="H870" s="29"/>
      <c r="I870" s="29"/>
      <c r="J870" s="34"/>
      <c r="K870" s="34"/>
      <c r="L870" s="34"/>
      <c r="M870" s="29"/>
      <c r="N870" s="29"/>
      <c r="O870" s="29"/>
      <c r="P870" s="29"/>
      <c r="Q870" s="34"/>
      <c r="R870" s="34"/>
    </row>
    <row x14ac:dyDescent="0.25" r="871" customHeight="1" ht="15.75">
      <c r="A871" s="1"/>
      <c r="B871" s="34"/>
      <c r="C871" s="1"/>
      <c r="D871" s="34"/>
      <c r="E871" s="34"/>
      <c r="F871" s="34"/>
      <c r="G871" s="29"/>
      <c r="H871" s="29"/>
      <c r="I871" s="29"/>
      <c r="J871" s="34"/>
      <c r="K871" s="34"/>
      <c r="L871" s="34"/>
      <c r="M871" s="29"/>
      <c r="N871" s="29"/>
      <c r="O871" s="29"/>
      <c r="P871" s="29"/>
      <c r="Q871" s="34"/>
      <c r="R871" s="34"/>
    </row>
    <row x14ac:dyDescent="0.25" r="872" customHeight="1" ht="15.75">
      <c r="A872" s="1"/>
      <c r="B872" s="34"/>
      <c r="C872" s="1"/>
      <c r="D872" s="34"/>
      <c r="E872" s="34"/>
      <c r="F872" s="34"/>
      <c r="G872" s="29"/>
      <c r="H872" s="29"/>
      <c r="I872" s="29"/>
      <c r="J872" s="34"/>
      <c r="K872" s="34"/>
      <c r="L872" s="34"/>
      <c r="M872" s="29"/>
      <c r="N872" s="29"/>
      <c r="O872" s="29"/>
      <c r="P872" s="29"/>
      <c r="Q872" s="34"/>
      <c r="R872" s="34"/>
    </row>
    <row x14ac:dyDescent="0.25" r="873" customHeight="1" ht="15.75">
      <c r="A873" s="1"/>
      <c r="B873" s="34"/>
      <c r="C873" s="1"/>
      <c r="D873" s="34"/>
      <c r="E873" s="34"/>
      <c r="F873" s="34"/>
      <c r="G873" s="29"/>
      <c r="H873" s="29"/>
      <c r="I873" s="29"/>
      <c r="J873" s="34"/>
      <c r="K873" s="34"/>
      <c r="L873" s="34"/>
      <c r="M873" s="29"/>
      <c r="N873" s="29"/>
      <c r="O873" s="29"/>
      <c r="P873" s="29"/>
      <c r="Q873" s="34"/>
      <c r="R873" s="34"/>
    </row>
    <row x14ac:dyDescent="0.25" r="874" customHeight="1" ht="15.75">
      <c r="A874" s="1"/>
      <c r="B874" s="34"/>
      <c r="C874" s="1"/>
      <c r="D874" s="34"/>
      <c r="E874" s="34"/>
      <c r="F874" s="34"/>
      <c r="G874" s="29"/>
      <c r="H874" s="29"/>
      <c r="I874" s="29"/>
      <c r="J874" s="34"/>
      <c r="K874" s="34"/>
      <c r="L874" s="34"/>
      <c r="M874" s="29"/>
      <c r="N874" s="29"/>
      <c r="O874" s="29"/>
      <c r="P874" s="29"/>
      <c r="Q874" s="34"/>
      <c r="R874" s="34"/>
    </row>
    <row x14ac:dyDescent="0.25" r="875" customHeight="1" ht="15.75">
      <c r="A875" s="1"/>
      <c r="B875" s="34"/>
      <c r="C875" s="1"/>
      <c r="D875" s="34"/>
      <c r="E875" s="34"/>
      <c r="F875" s="34"/>
      <c r="G875" s="29"/>
      <c r="H875" s="29"/>
      <c r="I875" s="29"/>
      <c r="J875" s="34"/>
      <c r="K875" s="34"/>
      <c r="L875" s="34"/>
      <c r="M875" s="29"/>
      <c r="N875" s="29"/>
      <c r="O875" s="29"/>
      <c r="P875" s="29"/>
      <c r="Q875" s="34"/>
      <c r="R875" s="34"/>
    </row>
    <row x14ac:dyDescent="0.25" r="876" customHeight="1" ht="15.75">
      <c r="A876" s="1"/>
      <c r="B876" s="34"/>
      <c r="C876" s="1"/>
      <c r="D876" s="34"/>
      <c r="E876" s="34"/>
      <c r="F876" s="34"/>
      <c r="G876" s="29"/>
      <c r="H876" s="29"/>
      <c r="I876" s="29"/>
      <c r="J876" s="34"/>
      <c r="K876" s="34"/>
      <c r="L876" s="34"/>
      <c r="M876" s="29"/>
      <c r="N876" s="29"/>
      <c r="O876" s="29"/>
      <c r="P876" s="29"/>
      <c r="Q876" s="34"/>
      <c r="R876" s="34"/>
    </row>
    <row x14ac:dyDescent="0.25" r="877" customHeight="1" ht="15.75">
      <c r="A877" s="1"/>
      <c r="B877" s="34"/>
      <c r="C877" s="1"/>
      <c r="D877" s="34"/>
      <c r="E877" s="34"/>
      <c r="F877" s="34"/>
      <c r="G877" s="29"/>
      <c r="H877" s="29"/>
      <c r="I877" s="29"/>
      <c r="J877" s="34"/>
      <c r="K877" s="34"/>
      <c r="L877" s="34"/>
      <c r="M877" s="29"/>
      <c r="N877" s="29"/>
      <c r="O877" s="29"/>
      <c r="P877" s="29"/>
      <c r="Q877" s="34"/>
      <c r="R877" s="34"/>
    </row>
    <row x14ac:dyDescent="0.25" r="878" customHeight="1" ht="15.75">
      <c r="A878" s="1"/>
      <c r="B878" s="34"/>
      <c r="C878" s="1"/>
      <c r="D878" s="34"/>
      <c r="E878" s="34"/>
      <c r="F878" s="34"/>
      <c r="G878" s="29"/>
      <c r="H878" s="29"/>
      <c r="I878" s="29"/>
      <c r="J878" s="34"/>
      <c r="K878" s="34"/>
      <c r="L878" s="34"/>
      <c r="M878" s="29"/>
      <c r="N878" s="29"/>
      <c r="O878" s="29"/>
      <c r="P878" s="29"/>
      <c r="Q878" s="34"/>
      <c r="R878" s="34"/>
    </row>
    <row x14ac:dyDescent="0.25" r="879" customHeight="1" ht="15.75">
      <c r="A879" s="1"/>
      <c r="B879" s="34"/>
      <c r="C879" s="1"/>
      <c r="D879" s="34"/>
      <c r="E879" s="34"/>
      <c r="F879" s="34"/>
      <c r="G879" s="29"/>
      <c r="H879" s="29"/>
      <c r="I879" s="29"/>
      <c r="J879" s="34"/>
      <c r="K879" s="34"/>
      <c r="L879" s="34"/>
      <c r="M879" s="29"/>
      <c r="N879" s="29"/>
      <c r="O879" s="29"/>
      <c r="P879" s="29"/>
      <c r="Q879" s="34"/>
      <c r="R879" s="34"/>
    </row>
    <row x14ac:dyDescent="0.25" r="880" customHeight="1" ht="15.75">
      <c r="A880" s="1"/>
      <c r="B880" s="34"/>
      <c r="C880" s="1"/>
      <c r="D880" s="34"/>
      <c r="E880" s="34"/>
      <c r="F880" s="34"/>
      <c r="G880" s="29"/>
      <c r="H880" s="29"/>
      <c r="I880" s="29"/>
      <c r="J880" s="34"/>
      <c r="K880" s="34"/>
      <c r="L880" s="34"/>
      <c r="M880" s="29"/>
      <c r="N880" s="29"/>
      <c r="O880" s="29"/>
      <c r="P880" s="29"/>
      <c r="Q880" s="34"/>
      <c r="R880" s="34"/>
    </row>
    <row x14ac:dyDescent="0.25" r="881" customHeight="1" ht="15.75">
      <c r="A881" s="1"/>
      <c r="B881" s="34"/>
      <c r="C881" s="1"/>
      <c r="D881" s="34"/>
      <c r="E881" s="34"/>
      <c r="F881" s="34"/>
      <c r="G881" s="29"/>
      <c r="H881" s="29"/>
      <c r="I881" s="29"/>
      <c r="J881" s="34"/>
      <c r="K881" s="34"/>
      <c r="L881" s="34"/>
      <c r="M881" s="29"/>
      <c r="N881" s="29"/>
      <c r="O881" s="29"/>
      <c r="P881" s="29"/>
      <c r="Q881" s="34"/>
      <c r="R881" s="34"/>
    </row>
    <row x14ac:dyDescent="0.25" r="882" customHeight="1" ht="15.75">
      <c r="A882" s="1"/>
      <c r="B882" s="34"/>
      <c r="C882" s="1"/>
      <c r="D882" s="34"/>
      <c r="E882" s="34"/>
      <c r="F882" s="34"/>
      <c r="G882" s="29"/>
      <c r="H882" s="29"/>
      <c r="I882" s="29"/>
      <c r="J882" s="34"/>
      <c r="K882" s="34"/>
      <c r="L882" s="34"/>
      <c r="M882" s="29"/>
      <c r="N882" s="29"/>
      <c r="O882" s="29"/>
      <c r="P882" s="29"/>
      <c r="Q882" s="34"/>
      <c r="R882" s="34"/>
    </row>
    <row x14ac:dyDescent="0.25" r="883" customHeight="1" ht="15.75">
      <c r="A883" s="1"/>
      <c r="B883" s="34"/>
      <c r="C883" s="1"/>
      <c r="D883" s="34"/>
      <c r="E883" s="34"/>
      <c r="F883" s="34"/>
      <c r="G883" s="29"/>
      <c r="H883" s="29"/>
      <c r="I883" s="29"/>
      <c r="J883" s="34"/>
      <c r="K883" s="34"/>
      <c r="L883" s="34"/>
      <c r="M883" s="29"/>
      <c r="N883" s="29"/>
      <c r="O883" s="29"/>
      <c r="P883" s="29"/>
      <c r="Q883" s="34"/>
      <c r="R883" s="34"/>
    </row>
    <row x14ac:dyDescent="0.25" r="884" customHeight="1" ht="15.75">
      <c r="A884" s="1"/>
      <c r="B884" s="34"/>
      <c r="C884" s="1"/>
      <c r="D884" s="34"/>
      <c r="E884" s="34"/>
      <c r="F884" s="34"/>
      <c r="G884" s="29"/>
      <c r="H884" s="29"/>
      <c r="I884" s="29"/>
      <c r="J884" s="34"/>
      <c r="K884" s="34"/>
      <c r="L884" s="34"/>
      <c r="M884" s="29"/>
      <c r="N884" s="29"/>
      <c r="O884" s="29"/>
      <c r="P884" s="29"/>
      <c r="Q884" s="34"/>
      <c r="R884" s="34"/>
    </row>
    <row x14ac:dyDescent="0.25" r="885" customHeight="1" ht="15.75">
      <c r="A885" s="1"/>
      <c r="B885" s="34"/>
      <c r="C885" s="1"/>
      <c r="D885" s="34"/>
      <c r="E885" s="34"/>
      <c r="F885" s="34"/>
      <c r="G885" s="29"/>
      <c r="H885" s="29"/>
      <c r="I885" s="29"/>
      <c r="J885" s="34"/>
      <c r="K885" s="34"/>
      <c r="L885" s="34"/>
      <c r="M885" s="29"/>
      <c r="N885" s="29"/>
      <c r="O885" s="29"/>
      <c r="P885" s="29"/>
      <c r="Q885" s="34"/>
      <c r="R885" s="34"/>
    </row>
    <row x14ac:dyDescent="0.25" r="886" customHeight="1" ht="15.75">
      <c r="A886" s="1"/>
      <c r="B886" s="34"/>
      <c r="C886" s="1"/>
      <c r="D886" s="34"/>
      <c r="E886" s="34"/>
      <c r="F886" s="34"/>
      <c r="G886" s="29"/>
      <c r="H886" s="29"/>
      <c r="I886" s="29"/>
      <c r="J886" s="34"/>
      <c r="K886" s="34"/>
      <c r="L886" s="34"/>
      <c r="M886" s="29"/>
      <c r="N886" s="29"/>
      <c r="O886" s="29"/>
      <c r="P886" s="29"/>
      <c r="Q886" s="34"/>
      <c r="R886" s="34"/>
    </row>
    <row x14ac:dyDescent="0.25" r="887" customHeight="1" ht="15.75">
      <c r="A887" s="1"/>
      <c r="B887" s="34"/>
      <c r="C887" s="1"/>
      <c r="D887" s="34"/>
      <c r="E887" s="34"/>
      <c r="F887" s="34"/>
      <c r="G887" s="29"/>
      <c r="H887" s="29"/>
      <c r="I887" s="29"/>
      <c r="J887" s="34"/>
      <c r="K887" s="34"/>
      <c r="L887" s="34"/>
      <c r="M887" s="29"/>
      <c r="N887" s="29"/>
      <c r="O887" s="29"/>
      <c r="P887" s="29"/>
      <c r="Q887" s="34"/>
      <c r="R887" s="34"/>
    </row>
    <row x14ac:dyDescent="0.25" r="888" customHeight="1" ht="15.75">
      <c r="A888" s="1"/>
      <c r="B888" s="34"/>
      <c r="C888" s="1"/>
      <c r="D888" s="34"/>
      <c r="E888" s="34"/>
      <c r="F888" s="34"/>
      <c r="G888" s="29"/>
      <c r="H888" s="29"/>
      <c r="I888" s="29"/>
      <c r="J888" s="34"/>
      <c r="K888" s="34"/>
      <c r="L888" s="34"/>
      <c r="M888" s="29"/>
      <c r="N888" s="29"/>
      <c r="O888" s="29"/>
      <c r="P888" s="29"/>
      <c r="Q888" s="34"/>
      <c r="R888" s="34"/>
    </row>
    <row x14ac:dyDescent="0.25" r="889" customHeight="1" ht="15.75">
      <c r="A889" s="1"/>
      <c r="B889" s="34"/>
      <c r="C889" s="1"/>
      <c r="D889" s="34"/>
      <c r="E889" s="34"/>
      <c r="F889" s="34"/>
      <c r="G889" s="29"/>
      <c r="H889" s="29"/>
      <c r="I889" s="29"/>
      <c r="J889" s="34"/>
      <c r="K889" s="34"/>
      <c r="L889" s="34"/>
      <c r="M889" s="29"/>
      <c r="N889" s="29"/>
      <c r="O889" s="29"/>
      <c r="P889" s="29"/>
      <c r="Q889" s="34"/>
      <c r="R889" s="34"/>
    </row>
    <row x14ac:dyDescent="0.25" r="890" customHeight="1" ht="15.75">
      <c r="A890" s="1"/>
      <c r="B890" s="34"/>
      <c r="C890" s="1"/>
      <c r="D890" s="34"/>
      <c r="E890" s="34"/>
      <c r="F890" s="34"/>
      <c r="G890" s="29"/>
      <c r="H890" s="29"/>
      <c r="I890" s="29"/>
      <c r="J890" s="34"/>
      <c r="K890" s="34"/>
      <c r="L890" s="34"/>
      <c r="M890" s="29"/>
      <c r="N890" s="29"/>
      <c r="O890" s="29"/>
      <c r="P890" s="29"/>
      <c r="Q890" s="34"/>
      <c r="R890" s="34"/>
    </row>
    <row x14ac:dyDescent="0.25" r="891" customHeight="1" ht="15.75">
      <c r="A891" s="1"/>
      <c r="B891" s="34"/>
      <c r="C891" s="1"/>
      <c r="D891" s="34"/>
      <c r="E891" s="34"/>
      <c r="F891" s="34"/>
      <c r="G891" s="29"/>
      <c r="H891" s="29"/>
      <c r="I891" s="29"/>
      <c r="J891" s="34"/>
      <c r="K891" s="34"/>
      <c r="L891" s="34"/>
      <c r="M891" s="29"/>
      <c r="N891" s="29"/>
      <c r="O891" s="29"/>
      <c r="P891" s="29"/>
      <c r="Q891" s="34"/>
      <c r="R891" s="34"/>
    </row>
    <row x14ac:dyDescent="0.25" r="892" customHeight="1" ht="15.75">
      <c r="A892" s="1"/>
      <c r="B892" s="34"/>
      <c r="C892" s="1"/>
      <c r="D892" s="34"/>
      <c r="E892" s="34"/>
      <c r="F892" s="34"/>
      <c r="G892" s="29"/>
      <c r="H892" s="29"/>
      <c r="I892" s="29"/>
      <c r="J892" s="34"/>
      <c r="K892" s="34"/>
      <c r="L892" s="34"/>
      <c r="M892" s="29"/>
      <c r="N892" s="29"/>
      <c r="O892" s="29"/>
      <c r="P892" s="29"/>
      <c r="Q892" s="34"/>
      <c r="R892" s="34"/>
    </row>
    <row x14ac:dyDescent="0.25" r="893" customHeight="1" ht="15.75">
      <c r="A893" s="1"/>
      <c r="B893" s="34"/>
      <c r="C893" s="1"/>
      <c r="D893" s="34"/>
      <c r="E893" s="34"/>
      <c r="F893" s="34"/>
      <c r="G893" s="29"/>
      <c r="H893" s="29"/>
      <c r="I893" s="29"/>
      <c r="J893" s="34"/>
      <c r="K893" s="34"/>
      <c r="L893" s="34"/>
      <c r="M893" s="29"/>
      <c r="N893" s="29"/>
      <c r="O893" s="29"/>
      <c r="P893" s="29"/>
      <c r="Q893" s="34"/>
      <c r="R893" s="34"/>
    </row>
    <row x14ac:dyDescent="0.25" r="894" customHeight="1" ht="15.75">
      <c r="A894" s="1"/>
      <c r="B894" s="34"/>
      <c r="C894" s="1"/>
      <c r="D894" s="34"/>
      <c r="E894" s="34"/>
      <c r="F894" s="34"/>
      <c r="G894" s="29"/>
      <c r="H894" s="29"/>
      <c r="I894" s="29"/>
      <c r="J894" s="34"/>
      <c r="K894" s="34"/>
      <c r="L894" s="34"/>
      <c r="M894" s="29"/>
      <c r="N894" s="29"/>
      <c r="O894" s="29"/>
      <c r="P894" s="29"/>
      <c r="Q894" s="34"/>
      <c r="R894" s="34"/>
    </row>
    <row x14ac:dyDescent="0.25" r="895" customHeight="1" ht="15.75">
      <c r="A895" s="1"/>
      <c r="B895" s="34"/>
      <c r="C895" s="1"/>
      <c r="D895" s="34"/>
      <c r="E895" s="34"/>
      <c r="F895" s="34"/>
      <c r="G895" s="29"/>
      <c r="H895" s="29"/>
      <c r="I895" s="29"/>
      <c r="J895" s="34"/>
      <c r="K895" s="34"/>
      <c r="L895" s="34"/>
      <c r="M895" s="29"/>
      <c r="N895" s="29"/>
      <c r="O895" s="29"/>
      <c r="P895" s="29"/>
      <c r="Q895" s="34"/>
      <c r="R895" s="34"/>
    </row>
    <row x14ac:dyDescent="0.25" r="896" customHeight="1" ht="15.75">
      <c r="A896" s="1"/>
      <c r="B896" s="34"/>
      <c r="C896" s="1"/>
      <c r="D896" s="34"/>
      <c r="E896" s="34"/>
      <c r="F896" s="34"/>
      <c r="G896" s="29"/>
      <c r="H896" s="29"/>
      <c r="I896" s="29"/>
      <c r="J896" s="34"/>
      <c r="K896" s="34"/>
      <c r="L896" s="34"/>
      <c r="M896" s="29"/>
      <c r="N896" s="29"/>
      <c r="O896" s="29"/>
      <c r="P896" s="29"/>
      <c r="Q896" s="34"/>
      <c r="R896" s="34"/>
    </row>
    <row x14ac:dyDescent="0.25" r="897" customHeight="1" ht="15.75">
      <c r="A897" s="1"/>
      <c r="B897" s="34"/>
      <c r="C897" s="1"/>
      <c r="D897" s="34"/>
      <c r="E897" s="34"/>
      <c r="F897" s="34"/>
      <c r="G897" s="29"/>
      <c r="H897" s="29"/>
      <c r="I897" s="29"/>
      <c r="J897" s="34"/>
      <c r="K897" s="34"/>
      <c r="L897" s="34"/>
      <c r="M897" s="29"/>
      <c r="N897" s="29"/>
      <c r="O897" s="29"/>
      <c r="P897" s="29"/>
      <c r="Q897" s="34"/>
      <c r="R897" s="34"/>
    </row>
    <row x14ac:dyDescent="0.25" r="898" customHeight="1" ht="15.75">
      <c r="A898" s="1"/>
      <c r="B898" s="34"/>
      <c r="C898" s="1"/>
      <c r="D898" s="34"/>
      <c r="E898" s="34"/>
      <c r="F898" s="34"/>
      <c r="G898" s="29"/>
      <c r="H898" s="29"/>
      <c r="I898" s="29"/>
      <c r="J898" s="34"/>
      <c r="K898" s="34"/>
      <c r="L898" s="34"/>
      <c r="M898" s="29"/>
      <c r="N898" s="29"/>
      <c r="O898" s="29"/>
      <c r="P898" s="29"/>
      <c r="Q898" s="34"/>
      <c r="R898" s="34"/>
    </row>
    <row x14ac:dyDescent="0.25" r="899" customHeight="1" ht="15.75">
      <c r="A899" s="1"/>
      <c r="B899" s="34"/>
      <c r="C899" s="1"/>
      <c r="D899" s="34"/>
      <c r="E899" s="34"/>
      <c r="F899" s="34"/>
      <c r="G899" s="29"/>
      <c r="H899" s="29"/>
      <c r="I899" s="29"/>
      <c r="J899" s="34"/>
      <c r="K899" s="34"/>
      <c r="L899" s="34"/>
      <c r="M899" s="29"/>
      <c r="N899" s="29"/>
      <c r="O899" s="29"/>
      <c r="P899" s="29"/>
      <c r="Q899" s="34"/>
      <c r="R899" s="34"/>
    </row>
    <row x14ac:dyDescent="0.25" r="900" customHeight="1" ht="15.75">
      <c r="A900" s="1"/>
      <c r="B900" s="34"/>
      <c r="C900" s="1"/>
      <c r="D900" s="34"/>
      <c r="E900" s="34"/>
      <c r="F900" s="34"/>
      <c r="G900" s="29"/>
      <c r="H900" s="29"/>
      <c r="I900" s="29"/>
      <c r="J900" s="34"/>
      <c r="K900" s="34"/>
      <c r="L900" s="34"/>
      <c r="M900" s="29"/>
      <c r="N900" s="29"/>
      <c r="O900" s="29"/>
      <c r="P900" s="29"/>
      <c r="Q900" s="34"/>
      <c r="R900" s="34"/>
    </row>
    <row x14ac:dyDescent="0.25" r="901" customHeight="1" ht="15.75">
      <c r="A901" s="1"/>
      <c r="B901" s="34"/>
      <c r="C901" s="1"/>
      <c r="D901" s="34"/>
      <c r="E901" s="34"/>
      <c r="F901" s="34"/>
      <c r="G901" s="29"/>
      <c r="H901" s="29"/>
      <c r="I901" s="29"/>
      <c r="J901" s="34"/>
      <c r="K901" s="34"/>
      <c r="L901" s="34"/>
      <c r="M901" s="29"/>
      <c r="N901" s="29"/>
      <c r="O901" s="29"/>
      <c r="P901" s="29"/>
      <c r="Q901" s="34"/>
      <c r="R901" s="34"/>
    </row>
    <row x14ac:dyDescent="0.25" r="902" customHeight="1" ht="15.75">
      <c r="A902" s="1"/>
      <c r="B902" s="34"/>
      <c r="C902" s="1"/>
      <c r="D902" s="34"/>
      <c r="E902" s="34"/>
      <c r="F902" s="34"/>
      <c r="G902" s="29"/>
      <c r="H902" s="29"/>
      <c r="I902" s="29"/>
      <c r="J902" s="34"/>
      <c r="K902" s="34"/>
      <c r="L902" s="34"/>
      <c r="M902" s="29"/>
      <c r="N902" s="29"/>
      <c r="O902" s="29"/>
      <c r="P902" s="29"/>
      <c r="Q902" s="34"/>
      <c r="R902" s="34"/>
    </row>
    <row x14ac:dyDescent="0.25" r="903" customHeight="1" ht="15.75">
      <c r="A903" s="1"/>
      <c r="B903" s="34"/>
      <c r="C903" s="1"/>
      <c r="D903" s="34"/>
      <c r="E903" s="34"/>
      <c r="F903" s="34"/>
      <c r="G903" s="29"/>
      <c r="H903" s="29"/>
      <c r="I903" s="29"/>
      <c r="J903" s="34"/>
      <c r="K903" s="34"/>
      <c r="L903" s="34"/>
      <c r="M903" s="29"/>
      <c r="N903" s="29"/>
      <c r="O903" s="29"/>
      <c r="P903" s="29"/>
      <c r="Q903" s="34"/>
      <c r="R903" s="34"/>
    </row>
    <row x14ac:dyDescent="0.25" r="904" customHeight="1" ht="15.75">
      <c r="A904" s="1"/>
      <c r="B904" s="34"/>
      <c r="C904" s="1"/>
      <c r="D904" s="34"/>
      <c r="E904" s="34"/>
      <c r="F904" s="34"/>
      <c r="G904" s="29"/>
      <c r="H904" s="29"/>
      <c r="I904" s="29"/>
      <c r="J904" s="34"/>
      <c r="K904" s="34"/>
      <c r="L904" s="34"/>
      <c r="M904" s="29"/>
      <c r="N904" s="29"/>
      <c r="O904" s="29"/>
      <c r="P904" s="29"/>
      <c r="Q904" s="34"/>
      <c r="R904" s="34"/>
    </row>
    <row x14ac:dyDescent="0.25" r="905" customHeight="1" ht="15.75">
      <c r="A905" s="1"/>
      <c r="B905" s="34"/>
      <c r="C905" s="1"/>
      <c r="D905" s="34"/>
      <c r="E905" s="34"/>
      <c r="F905" s="34"/>
      <c r="G905" s="29"/>
      <c r="H905" s="29"/>
      <c r="I905" s="29"/>
      <c r="J905" s="34"/>
      <c r="K905" s="34"/>
      <c r="L905" s="34"/>
      <c r="M905" s="29"/>
      <c r="N905" s="29"/>
      <c r="O905" s="29"/>
      <c r="P905" s="29"/>
      <c r="Q905" s="34"/>
      <c r="R905" s="34"/>
    </row>
    <row x14ac:dyDescent="0.25" r="906" customHeight="1" ht="15.75">
      <c r="A906" s="1"/>
      <c r="B906" s="34"/>
      <c r="C906" s="1"/>
      <c r="D906" s="34"/>
      <c r="E906" s="34"/>
      <c r="F906" s="34"/>
      <c r="G906" s="29"/>
      <c r="H906" s="29"/>
      <c r="I906" s="29"/>
      <c r="J906" s="34"/>
      <c r="K906" s="34"/>
      <c r="L906" s="34"/>
      <c r="M906" s="29"/>
      <c r="N906" s="29"/>
      <c r="O906" s="29"/>
      <c r="P906" s="29"/>
      <c r="Q906" s="34"/>
      <c r="R906" s="34"/>
    </row>
    <row x14ac:dyDescent="0.25" r="907" customHeight="1" ht="15.75">
      <c r="A907" s="1"/>
      <c r="B907" s="34"/>
      <c r="C907" s="1"/>
      <c r="D907" s="34"/>
      <c r="E907" s="34"/>
      <c r="F907" s="34"/>
      <c r="G907" s="29"/>
      <c r="H907" s="29"/>
      <c r="I907" s="29"/>
      <c r="J907" s="34"/>
      <c r="K907" s="34"/>
      <c r="L907" s="34"/>
      <c r="M907" s="29"/>
      <c r="N907" s="29"/>
      <c r="O907" s="29"/>
      <c r="P907" s="29"/>
      <c r="Q907" s="34"/>
      <c r="R907" s="34"/>
    </row>
    <row x14ac:dyDescent="0.25" r="908" customHeight="1" ht="15.75">
      <c r="A908" s="1"/>
      <c r="B908" s="34"/>
      <c r="C908" s="1"/>
      <c r="D908" s="34"/>
      <c r="E908" s="34"/>
      <c r="F908" s="34"/>
      <c r="G908" s="29"/>
      <c r="H908" s="29"/>
      <c r="I908" s="29"/>
      <c r="J908" s="34"/>
      <c r="K908" s="34"/>
      <c r="L908" s="34"/>
      <c r="M908" s="29"/>
      <c r="N908" s="29"/>
      <c r="O908" s="29"/>
      <c r="P908" s="29"/>
      <c r="Q908" s="34"/>
      <c r="R908" s="34"/>
    </row>
    <row x14ac:dyDescent="0.25" r="909" customHeight="1" ht="15.75">
      <c r="A909" s="1"/>
      <c r="B909" s="34"/>
      <c r="C909" s="1"/>
      <c r="D909" s="34"/>
      <c r="E909" s="34"/>
      <c r="F909" s="34"/>
      <c r="G909" s="29"/>
      <c r="H909" s="29"/>
      <c r="I909" s="29"/>
      <c r="J909" s="34"/>
      <c r="K909" s="34"/>
      <c r="L909" s="34"/>
      <c r="M909" s="29"/>
      <c r="N909" s="29"/>
      <c r="O909" s="29"/>
      <c r="P909" s="29"/>
      <c r="Q909" s="34"/>
      <c r="R909" s="34"/>
    </row>
    <row x14ac:dyDescent="0.25" r="910" customHeight="1" ht="15.75">
      <c r="A910" s="1"/>
      <c r="B910" s="34"/>
      <c r="C910" s="1"/>
      <c r="D910" s="34"/>
      <c r="E910" s="34"/>
      <c r="F910" s="34"/>
      <c r="G910" s="29"/>
      <c r="H910" s="29"/>
      <c r="I910" s="29"/>
      <c r="J910" s="34"/>
      <c r="K910" s="34"/>
      <c r="L910" s="34"/>
      <c r="M910" s="29"/>
      <c r="N910" s="29"/>
      <c r="O910" s="29"/>
      <c r="P910" s="29"/>
      <c r="Q910" s="34"/>
      <c r="R910" s="34"/>
    </row>
    <row x14ac:dyDescent="0.25" r="911" customHeight="1" ht="15.75">
      <c r="A911" s="1"/>
      <c r="B911" s="34"/>
      <c r="C911" s="1"/>
      <c r="D911" s="34"/>
      <c r="E911" s="34"/>
      <c r="F911" s="34"/>
      <c r="G911" s="29"/>
      <c r="H911" s="29"/>
      <c r="I911" s="29"/>
      <c r="J911" s="34"/>
      <c r="K911" s="34"/>
      <c r="L911" s="34"/>
      <c r="M911" s="29"/>
      <c r="N911" s="29"/>
      <c r="O911" s="29"/>
      <c r="P911" s="29"/>
      <c r="Q911" s="34"/>
      <c r="R911" s="34"/>
    </row>
    <row x14ac:dyDescent="0.25" r="912" customHeight="1" ht="15.75">
      <c r="A912" s="1"/>
      <c r="B912" s="34"/>
      <c r="C912" s="1"/>
      <c r="D912" s="34"/>
      <c r="E912" s="34"/>
      <c r="F912" s="34"/>
      <c r="G912" s="29"/>
      <c r="H912" s="29"/>
      <c r="I912" s="29"/>
      <c r="J912" s="34"/>
      <c r="K912" s="34"/>
      <c r="L912" s="34"/>
      <c r="M912" s="29"/>
      <c r="N912" s="29"/>
      <c r="O912" s="29"/>
      <c r="P912" s="29"/>
      <c r="Q912" s="34"/>
      <c r="R912" s="34"/>
    </row>
    <row x14ac:dyDescent="0.25" r="913" customHeight="1" ht="15.75">
      <c r="A913" s="1"/>
      <c r="B913" s="34"/>
      <c r="C913" s="1"/>
      <c r="D913" s="34"/>
      <c r="E913" s="34"/>
      <c r="F913" s="34"/>
      <c r="G913" s="29"/>
      <c r="H913" s="29"/>
      <c r="I913" s="29"/>
      <c r="J913" s="34"/>
      <c r="K913" s="34"/>
      <c r="L913" s="34"/>
      <c r="M913" s="29"/>
      <c r="N913" s="29"/>
      <c r="O913" s="29"/>
      <c r="P913" s="29"/>
      <c r="Q913" s="34"/>
      <c r="R913" s="34"/>
    </row>
    <row x14ac:dyDescent="0.25" r="914" customHeight="1" ht="15.75">
      <c r="A914" s="1"/>
      <c r="B914" s="34"/>
      <c r="C914" s="1"/>
      <c r="D914" s="34"/>
      <c r="E914" s="34"/>
      <c r="F914" s="34"/>
      <c r="G914" s="29"/>
      <c r="H914" s="29"/>
      <c r="I914" s="29"/>
      <c r="J914" s="34"/>
      <c r="K914" s="34"/>
      <c r="L914" s="34"/>
      <c r="M914" s="29"/>
      <c r="N914" s="29"/>
      <c r="O914" s="29"/>
      <c r="P914" s="29"/>
      <c r="Q914" s="34"/>
      <c r="R914" s="34"/>
    </row>
    <row x14ac:dyDescent="0.25" r="915" customHeight="1" ht="15.75">
      <c r="A915" s="1"/>
      <c r="B915" s="34"/>
      <c r="C915" s="1"/>
      <c r="D915" s="34"/>
      <c r="E915" s="34"/>
      <c r="F915" s="34"/>
      <c r="G915" s="29"/>
      <c r="H915" s="29"/>
      <c r="I915" s="29"/>
      <c r="J915" s="34"/>
      <c r="K915" s="34"/>
      <c r="L915" s="34"/>
      <c r="M915" s="29"/>
      <c r="N915" s="29"/>
      <c r="O915" s="29"/>
      <c r="P915" s="29"/>
      <c r="Q915" s="34"/>
      <c r="R915" s="34"/>
    </row>
    <row x14ac:dyDescent="0.25" r="916" customHeight="1" ht="15.75">
      <c r="A916" s="1"/>
      <c r="B916" s="34"/>
      <c r="C916" s="1"/>
      <c r="D916" s="34"/>
      <c r="E916" s="34"/>
      <c r="F916" s="34"/>
      <c r="G916" s="29"/>
      <c r="H916" s="29"/>
      <c r="I916" s="29"/>
      <c r="J916" s="34"/>
      <c r="K916" s="34"/>
      <c r="L916" s="34"/>
      <c r="M916" s="29"/>
      <c r="N916" s="29"/>
      <c r="O916" s="29"/>
      <c r="P916" s="29"/>
      <c r="Q916" s="34"/>
      <c r="R916" s="34"/>
    </row>
    <row x14ac:dyDescent="0.25" r="917" customHeight="1" ht="15.75">
      <c r="A917" s="1"/>
      <c r="B917" s="34"/>
      <c r="C917" s="1"/>
      <c r="D917" s="34"/>
      <c r="E917" s="34"/>
      <c r="F917" s="34"/>
      <c r="G917" s="29"/>
      <c r="H917" s="29"/>
      <c r="I917" s="29"/>
      <c r="J917" s="34"/>
      <c r="K917" s="34"/>
      <c r="L917" s="34"/>
      <c r="M917" s="29"/>
      <c r="N917" s="29"/>
      <c r="O917" s="29"/>
      <c r="P917" s="29"/>
      <c r="Q917" s="34"/>
      <c r="R917" s="34"/>
    </row>
    <row x14ac:dyDescent="0.25" r="918" customHeight="1" ht="15.75">
      <c r="A918" s="1"/>
      <c r="B918" s="34"/>
      <c r="C918" s="1"/>
      <c r="D918" s="34"/>
      <c r="E918" s="34"/>
      <c r="F918" s="34"/>
      <c r="G918" s="29"/>
      <c r="H918" s="29"/>
      <c r="I918" s="29"/>
      <c r="J918" s="34"/>
      <c r="K918" s="34"/>
      <c r="L918" s="34"/>
      <c r="M918" s="29"/>
      <c r="N918" s="29"/>
      <c r="O918" s="29"/>
      <c r="P918" s="29"/>
      <c r="Q918" s="34"/>
      <c r="R918" s="34"/>
    </row>
    <row x14ac:dyDescent="0.25" r="919" customHeight="1" ht="15.75">
      <c r="A919" s="1"/>
      <c r="B919" s="34"/>
      <c r="C919" s="1"/>
      <c r="D919" s="34"/>
      <c r="E919" s="34"/>
      <c r="F919" s="34"/>
      <c r="G919" s="29"/>
      <c r="H919" s="29"/>
      <c r="I919" s="29"/>
      <c r="J919" s="34"/>
      <c r="K919" s="34"/>
      <c r="L919" s="34"/>
      <c r="M919" s="29"/>
      <c r="N919" s="29"/>
      <c r="O919" s="29"/>
      <c r="P919" s="29"/>
      <c r="Q919" s="34"/>
      <c r="R919" s="34"/>
    </row>
    <row x14ac:dyDescent="0.25" r="920" customHeight="1" ht="15.75">
      <c r="A920" s="1"/>
      <c r="B920" s="34"/>
      <c r="C920" s="1"/>
      <c r="D920" s="34"/>
      <c r="E920" s="34"/>
      <c r="F920" s="34"/>
      <c r="G920" s="29"/>
      <c r="H920" s="29"/>
      <c r="I920" s="29"/>
      <c r="J920" s="34"/>
      <c r="K920" s="34"/>
      <c r="L920" s="34"/>
      <c r="M920" s="29"/>
      <c r="N920" s="29"/>
      <c r="O920" s="29"/>
      <c r="P920" s="29"/>
      <c r="Q920" s="34"/>
      <c r="R920" s="34"/>
    </row>
    <row x14ac:dyDescent="0.25" r="921" customHeight="1" ht="15.75">
      <c r="A921" s="1"/>
      <c r="B921" s="34"/>
      <c r="C921" s="1"/>
      <c r="D921" s="34"/>
      <c r="E921" s="34"/>
      <c r="F921" s="34"/>
      <c r="G921" s="29"/>
      <c r="H921" s="29"/>
      <c r="I921" s="29"/>
      <c r="J921" s="34"/>
      <c r="K921" s="34"/>
      <c r="L921" s="34"/>
      <c r="M921" s="29"/>
      <c r="N921" s="29"/>
      <c r="O921" s="29"/>
      <c r="P921" s="29"/>
      <c r="Q921" s="34"/>
      <c r="R921" s="34"/>
    </row>
    <row x14ac:dyDescent="0.25" r="922" customHeight="1" ht="15.75">
      <c r="A922" s="1"/>
      <c r="B922" s="34"/>
      <c r="C922" s="1"/>
      <c r="D922" s="34"/>
      <c r="E922" s="34"/>
      <c r="F922" s="34"/>
      <c r="G922" s="29"/>
      <c r="H922" s="29"/>
      <c r="I922" s="29"/>
      <c r="J922" s="34"/>
      <c r="K922" s="34"/>
      <c r="L922" s="34"/>
      <c r="M922" s="29"/>
      <c r="N922" s="29"/>
      <c r="O922" s="29"/>
      <c r="P922" s="29"/>
      <c r="Q922" s="34"/>
      <c r="R922" s="34"/>
    </row>
    <row x14ac:dyDescent="0.25" r="923" customHeight="1" ht="15.75">
      <c r="A923" s="1"/>
      <c r="B923" s="34"/>
      <c r="C923" s="1"/>
      <c r="D923" s="34"/>
      <c r="E923" s="34"/>
      <c r="F923" s="34"/>
      <c r="G923" s="29"/>
      <c r="H923" s="29"/>
      <c r="I923" s="29"/>
      <c r="J923" s="34"/>
      <c r="K923" s="34"/>
      <c r="L923" s="34"/>
      <c r="M923" s="29"/>
      <c r="N923" s="29"/>
      <c r="O923" s="29"/>
      <c r="P923" s="29"/>
      <c r="Q923" s="34"/>
      <c r="R923" s="34"/>
    </row>
    <row x14ac:dyDescent="0.25" r="924" customHeight="1" ht="15.75">
      <c r="A924" s="1"/>
      <c r="B924" s="34"/>
      <c r="C924" s="1"/>
      <c r="D924" s="34"/>
      <c r="E924" s="34"/>
      <c r="F924" s="34"/>
      <c r="G924" s="29"/>
      <c r="H924" s="29"/>
      <c r="I924" s="29"/>
      <c r="J924" s="34"/>
      <c r="K924" s="34"/>
      <c r="L924" s="34"/>
      <c r="M924" s="29"/>
      <c r="N924" s="29"/>
      <c r="O924" s="29"/>
      <c r="P924" s="29"/>
      <c r="Q924" s="34"/>
      <c r="R924" s="34"/>
    </row>
    <row x14ac:dyDescent="0.25" r="925" customHeight="1" ht="15.75">
      <c r="A925" s="1"/>
      <c r="B925" s="34"/>
      <c r="C925" s="1"/>
      <c r="D925" s="34"/>
      <c r="E925" s="34"/>
      <c r="F925" s="34"/>
      <c r="G925" s="29"/>
      <c r="H925" s="29"/>
      <c r="I925" s="29"/>
      <c r="J925" s="34"/>
      <c r="K925" s="34"/>
      <c r="L925" s="34"/>
      <c r="M925" s="29"/>
      <c r="N925" s="29"/>
      <c r="O925" s="29"/>
      <c r="P925" s="29"/>
      <c r="Q925" s="34"/>
      <c r="R925" s="34"/>
    </row>
    <row x14ac:dyDescent="0.25" r="926" customHeight="1" ht="15.75">
      <c r="A926" s="1"/>
      <c r="B926" s="34"/>
      <c r="C926" s="1"/>
      <c r="D926" s="34"/>
      <c r="E926" s="34"/>
      <c r="F926" s="34"/>
      <c r="G926" s="29"/>
      <c r="H926" s="29"/>
      <c r="I926" s="29"/>
      <c r="J926" s="34"/>
      <c r="K926" s="34"/>
      <c r="L926" s="34"/>
      <c r="M926" s="29"/>
      <c r="N926" s="29"/>
      <c r="O926" s="29"/>
      <c r="P926" s="29"/>
      <c r="Q926" s="34"/>
      <c r="R926" s="34"/>
    </row>
    <row x14ac:dyDescent="0.25" r="927" customHeight="1" ht="15.75">
      <c r="A927" s="1"/>
      <c r="B927" s="34"/>
      <c r="C927" s="1"/>
      <c r="D927" s="34"/>
      <c r="E927" s="34"/>
      <c r="F927" s="34"/>
      <c r="G927" s="29"/>
      <c r="H927" s="29"/>
      <c r="I927" s="29"/>
      <c r="J927" s="34"/>
      <c r="K927" s="34"/>
      <c r="L927" s="34"/>
      <c r="M927" s="29"/>
      <c r="N927" s="29"/>
      <c r="O927" s="29"/>
      <c r="P927" s="29"/>
      <c r="Q927" s="34"/>
      <c r="R927" s="34"/>
    </row>
    <row x14ac:dyDescent="0.25" r="928" customHeight="1" ht="15.75">
      <c r="A928" s="1"/>
      <c r="B928" s="34"/>
      <c r="C928" s="1"/>
      <c r="D928" s="34"/>
      <c r="E928" s="34"/>
      <c r="F928" s="34"/>
      <c r="G928" s="29"/>
      <c r="H928" s="29"/>
      <c r="I928" s="29"/>
      <c r="J928" s="34"/>
      <c r="K928" s="34"/>
      <c r="L928" s="34"/>
      <c r="M928" s="29"/>
      <c r="N928" s="29"/>
      <c r="O928" s="29"/>
      <c r="P928" s="29"/>
      <c r="Q928" s="34"/>
      <c r="R928" s="34"/>
    </row>
    <row x14ac:dyDescent="0.25" r="929" customHeight="1" ht="15.75">
      <c r="A929" s="1"/>
      <c r="B929" s="34"/>
      <c r="C929" s="1"/>
      <c r="D929" s="34"/>
      <c r="E929" s="34"/>
      <c r="F929" s="34"/>
      <c r="G929" s="29"/>
      <c r="H929" s="29"/>
      <c r="I929" s="29"/>
      <c r="J929" s="34"/>
      <c r="K929" s="34"/>
      <c r="L929" s="34"/>
      <c r="M929" s="29"/>
      <c r="N929" s="29"/>
      <c r="O929" s="29"/>
      <c r="P929" s="29"/>
      <c r="Q929" s="34"/>
      <c r="R929" s="34"/>
    </row>
    <row x14ac:dyDescent="0.25" r="930" customHeight="1" ht="15.75">
      <c r="A930" s="1"/>
      <c r="B930" s="34"/>
      <c r="C930" s="1"/>
      <c r="D930" s="34"/>
      <c r="E930" s="34"/>
      <c r="F930" s="34"/>
      <c r="G930" s="29"/>
      <c r="H930" s="29"/>
      <c r="I930" s="29"/>
      <c r="J930" s="34"/>
      <c r="K930" s="34"/>
      <c r="L930" s="34"/>
      <c r="M930" s="29"/>
      <c r="N930" s="29"/>
      <c r="O930" s="29"/>
      <c r="P930" s="29"/>
      <c r="Q930" s="34"/>
      <c r="R930" s="34"/>
    </row>
    <row x14ac:dyDescent="0.25" r="931" customHeight="1" ht="15.75">
      <c r="A931" s="1"/>
      <c r="B931" s="34"/>
      <c r="C931" s="1"/>
      <c r="D931" s="34"/>
      <c r="E931" s="34"/>
      <c r="F931" s="34"/>
      <c r="G931" s="29"/>
      <c r="H931" s="29"/>
      <c r="I931" s="29"/>
      <c r="J931" s="34"/>
      <c r="K931" s="34"/>
      <c r="L931" s="34"/>
      <c r="M931" s="29"/>
      <c r="N931" s="29"/>
      <c r="O931" s="29"/>
      <c r="P931" s="29"/>
      <c r="Q931" s="34"/>
      <c r="R931" s="34"/>
    </row>
    <row x14ac:dyDescent="0.25" r="932" customHeight="1" ht="15.75">
      <c r="A932" s="1"/>
      <c r="B932" s="34"/>
      <c r="C932" s="1"/>
      <c r="D932" s="34"/>
      <c r="E932" s="34"/>
      <c r="F932" s="34"/>
      <c r="G932" s="29"/>
      <c r="H932" s="29"/>
      <c r="I932" s="29"/>
      <c r="J932" s="34"/>
      <c r="K932" s="34"/>
      <c r="L932" s="34"/>
      <c r="M932" s="29"/>
      <c r="N932" s="29"/>
      <c r="O932" s="29"/>
      <c r="P932" s="29"/>
      <c r="Q932" s="34"/>
      <c r="R932" s="34"/>
    </row>
    <row x14ac:dyDescent="0.25" r="933" customHeight="1" ht="15.75">
      <c r="A933" s="1"/>
      <c r="B933" s="34"/>
      <c r="C933" s="1"/>
      <c r="D933" s="34"/>
      <c r="E933" s="34"/>
      <c r="F933" s="34"/>
      <c r="G933" s="29"/>
      <c r="H933" s="29"/>
      <c r="I933" s="29"/>
      <c r="J933" s="34"/>
      <c r="K933" s="34"/>
      <c r="L933" s="34"/>
      <c r="M933" s="29"/>
      <c r="N933" s="29"/>
      <c r="O933" s="29"/>
      <c r="P933" s="29"/>
      <c r="Q933" s="34"/>
      <c r="R933" s="34"/>
    </row>
    <row x14ac:dyDescent="0.25" r="934" customHeight="1" ht="15.75">
      <c r="A934" s="1"/>
      <c r="B934" s="34"/>
      <c r="C934" s="1"/>
      <c r="D934" s="34"/>
      <c r="E934" s="34"/>
      <c r="F934" s="34"/>
      <c r="G934" s="29"/>
      <c r="H934" s="29"/>
      <c r="I934" s="29"/>
      <c r="J934" s="34"/>
      <c r="K934" s="34"/>
      <c r="L934" s="34"/>
      <c r="M934" s="29"/>
      <c r="N934" s="29"/>
      <c r="O934" s="29"/>
      <c r="P934" s="29"/>
      <c r="Q934" s="34"/>
      <c r="R934" s="34"/>
    </row>
    <row x14ac:dyDescent="0.25" r="935" customHeight="1" ht="15.75">
      <c r="A935" s="1"/>
      <c r="B935" s="34"/>
      <c r="C935" s="1"/>
      <c r="D935" s="34"/>
      <c r="E935" s="34"/>
      <c r="F935" s="34"/>
      <c r="G935" s="29"/>
      <c r="H935" s="29"/>
      <c r="I935" s="29"/>
      <c r="J935" s="34"/>
      <c r="K935" s="34"/>
      <c r="L935" s="34"/>
      <c r="M935" s="29"/>
      <c r="N935" s="29"/>
      <c r="O935" s="29"/>
      <c r="P935" s="29"/>
      <c r="Q935" s="34"/>
      <c r="R935" s="34"/>
    </row>
    <row x14ac:dyDescent="0.25" r="936" customHeight="1" ht="15.75">
      <c r="A936" s="1"/>
      <c r="B936" s="34"/>
      <c r="C936" s="1"/>
      <c r="D936" s="34"/>
      <c r="E936" s="34"/>
      <c r="F936" s="34"/>
      <c r="G936" s="29"/>
      <c r="H936" s="29"/>
      <c r="I936" s="29"/>
      <c r="J936" s="34"/>
      <c r="K936" s="34"/>
      <c r="L936" s="34"/>
      <c r="M936" s="29"/>
      <c r="N936" s="29"/>
      <c r="O936" s="29"/>
      <c r="P936" s="29"/>
      <c r="Q936" s="34"/>
      <c r="R936" s="34"/>
    </row>
    <row x14ac:dyDescent="0.25" r="937" customHeight="1" ht="15.75">
      <c r="A937" s="1"/>
      <c r="B937" s="34"/>
      <c r="C937" s="1"/>
      <c r="D937" s="34"/>
      <c r="E937" s="34"/>
      <c r="F937" s="34"/>
      <c r="G937" s="29"/>
      <c r="H937" s="29"/>
      <c r="I937" s="29"/>
      <c r="J937" s="34"/>
      <c r="K937" s="34"/>
      <c r="L937" s="34"/>
      <c r="M937" s="29"/>
      <c r="N937" s="29"/>
      <c r="O937" s="29"/>
      <c r="P937" s="29"/>
      <c r="Q937" s="34"/>
      <c r="R937" s="34"/>
    </row>
    <row x14ac:dyDescent="0.25" r="938" customHeight="1" ht="15.75">
      <c r="A938" s="1"/>
      <c r="B938" s="34"/>
      <c r="C938" s="1"/>
      <c r="D938" s="34"/>
      <c r="E938" s="34"/>
      <c r="F938" s="34"/>
      <c r="G938" s="29"/>
      <c r="H938" s="29"/>
      <c r="I938" s="29"/>
      <c r="J938" s="34"/>
      <c r="K938" s="34"/>
      <c r="L938" s="34"/>
      <c r="M938" s="29"/>
      <c r="N938" s="29"/>
      <c r="O938" s="29"/>
      <c r="P938" s="29"/>
      <c r="Q938" s="34"/>
      <c r="R938" s="34"/>
    </row>
    <row x14ac:dyDescent="0.25" r="939" customHeight="1" ht="15.75">
      <c r="A939" s="1"/>
      <c r="B939" s="34"/>
      <c r="C939" s="1"/>
      <c r="D939" s="34"/>
      <c r="E939" s="34"/>
      <c r="F939" s="34"/>
      <c r="G939" s="29"/>
      <c r="H939" s="29"/>
      <c r="I939" s="29"/>
      <c r="J939" s="34"/>
      <c r="K939" s="34"/>
      <c r="L939" s="34"/>
      <c r="M939" s="29"/>
      <c r="N939" s="29"/>
      <c r="O939" s="29"/>
      <c r="P939" s="29"/>
      <c r="Q939" s="34"/>
      <c r="R939" s="34"/>
    </row>
    <row x14ac:dyDescent="0.25" r="940" customHeight="1" ht="15.75">
      <c r="A940" s="1"/>
      <c r="B940" s="34"/>
      <c r="C940" s="1"/>
      <c r="D940" s="34"/>
      <c r="E940" s="34"/>
      <c r="F940" s="34"/>
      <c r="G940" s="29"/>
      <c r="H940" s="29"/>
      <c r="I940" s="29"/>
      <c r="J940" s="34"/>
      <c r="K940" s="34"/>
      <c r="L940" s="34"/>
      <c r="M940" s="29"/>
      <c r="N940" s="29"/>
      <c r="O940" s="29"/>
      <c r="P940" s="29"/>
      <c r="Q940" s="34"/>
      <c r="R940" s="34"/>
    </row>
    <row x14ac:dyDescent="0.25" r="941" customHeight="1" ht="15.75">
      <c r="A941" s="1"/>
      <c r="B941" s="34"/>
      <c r="C941" s="1"/>
      <c r="D941" s="34"/>
      <c r="E941" s="34"/>
      <c r="F941" s="34"/>
      <c r="G941" s="29"/>
      <c r="H941" s="29"/>
      <c r="I941" s="29"/>
      <c r="J941" s="34"/>
      <c r="K941" s="34"/>
      <c r="L941" s="34"/>
      <c r="M941" s="29"/>
      <c r="N941" s="29"/>
      <c r="O941" s="29"/>
      <c r="P941" s="29"/>
      <c r="Q941" s="34"/>
      <c r="R941" s="34"/>
    </row>
    <row x14ac:dyDescent="0.25" r="942" customHeight="1" ht="15.75">
      <c r="A942" s="1"/>
      <c r="B942" s="34"/>
      <c r="C942" s="1"/>
      <c r="D942" s="34"/>
      <c r="E942" s="34"/>
      <c r="F942" s="34"/>
      <c r="G942" s="29"/>
      <c r="H942" s="29"/>
      <c r="I942" s="29"/>
      <c r="J942" s="34"/>
      <c r="K942" s="34"/>
      <c r="L942" s="34"/>
      <c r="M942" s="29"/>
      <c r="N942" s="29"/>
      <c r="O942" s="29"/>
      <c r="P942" s="29"/>
      <c r="Q942" s="34"/>
      <c r="R942" s="34"/>
    </row>
    <row x14ac:dyDescent="0.25" r="943" customHeight="1" ht="15.75">
      <c r="A943" s="1"/>
      <c r="B943" s="34"/>
      <c r="C943" s="1"/>
      <c r="D943" s="34"/>
      <c r="E943" s="34"/>
      <c r="F943" s="34"/>
      <c r="G943" s="29"/>
      <c r="H943" s="29"/>
      <c r="I943" s="29"/>
      <c r="J943" s="34"/>
      <c r="K943" s="34"/>
      <c r="L943" s="34"/>
      <c r="M943" s="29"/>
      <c r="N943" s="29"/>
      <c r="O943" s="29"/>
      <c r="P943" s="29"/>
      <c r="Q943" s="34"/>
      <c r="R943" s="34"/>
    </row>
    <row x14ac:dyDescent="0.25" r="944" customHeight="1" ht="15.75">
      <c r="A944" s="1"/>
      <c r="B944" s="34"/>
      <c r="C944" s="1"/>
      <c r="D944" s="34"/>
      <c r="E944" s="34"/>
      <c r="F944" s="34"/>
      <c r="G944" s="29"/>
      <c r="H944" s="29"/>
      <c r="I944" s="29"/>
      <c r="J944" s="34"/>
      <c r="K944" s="34"/>
      <c r="L944" s="34"/>
      <c r="M944" s="29"/>
      <c r="N944" s="29"/>
      <c r="O944" s="29"/>
      <c r="P944" s="29"/>
      <c r="Q944" s="34"/>
      <c r="R944" s="34"/>
    </row>
    <row x14ac:dyDescent="0.25" r="945" customHeight="1" ht="15.75">
      <c r="A945" s="1"/>
      <c r="B945" s="34"/>
      <c r="C945" s="1"/>
      <c r="D945" s="34"/>
      <c r="E945" s="34"/>
      <c r="F945" s="34"/>
      <c r="G945" s="29"/>
      <c r="H945" s="29"/>
      <c r="I945" s="29"/>
      <c r="J945" s="34"/>
      <c r="K945" s="34"/>
      <c r="L945" s="34"/>
      <c r="M945" s="29"/>
      <c r="N945" s="29"/>
      <c r="O945" s="29"/>
      <c r="P945" s="29"/>
      <c r="Q945" s="34"/>
      <c r="R945" s="34"/>
    </row>
    <row x14ac:dyDescent="0.25" r="946" customHeight="1" ht="15.75">
      <c r="A946" s="1"/>
      <c r="B946" s="34"/>
      <c r="C946" s="1"/>
      <c r="D946" s="34"/>
      <c r="E946" s="34"/>
      <c r="F946" s="34"/>
      <c r="G946" s="29"/>
      <c r="H946" s="29"/>
      <c r="I946" s="29"/>
      <c r="J946" s="34"/>
      <c r="K946" s="34"/>
      <c r="L946" s="34"/>
      <c r="M946" s="29"/>
      <c r="N946" s="29"/>
      <c r="O946" s="29"/>
      <c r="P946" s="29"/>
      <c r="Q946" s="34"/>
      <c r="R946" s="34"/>
    </row>
    <row x14ac:dyDescent="0.25" r="947" customHeight="1" ht="15.75">
      <c r="A947" s="1"/>
      <c r="B947" s="34"/>
      <c r="C947" s="1"/>
      <c r="D947" s="34"/>
      <c r="E947" s="34"/>
      <c r="F947" s="34"/>
      <c r="G947" s="29"/>
      <c r="H947" s="29"/>
      <c r="I947" s="29"/>
      <c r="J947" s="34"/>
      <c r="K947" s="34"/>
      <c r="L947" s="34"/>
      <c r="M947" s="29"/>
      <c r="N947" s="29"/>
      <c r="O947" s="29"/>
      <c r="P947" s="29"/>
      <c r="Q947" s="34"/>
      <c r="R947" s="34"/>
    </row>
    <row x14ac:dyDescent="0.25" r="948" customHeight="1" ht="15.75">
      <c r="A948" s="1"/>
      <c r="B948" s="34"/>
      <c r="C948" s="1"/>
      <c r="D948" s="34"/>
      <c r="E948" s="34"/>
      <c r="F948" s="34"/>
      <c r="G948" s="29"/>
      <c r="H948" s="29"/>
      <c r="I948" s="29"/>
      <c r="J948" s="34"/>
      <c r="K948" s="34"/>
      <c r="L948" s="34"/>
      <c r="M948" s="29"/>
      <c r="N948" s="29"/>
      <c r="O948" s="29"/>
      <c r="P948" s="29"/>
      <c r="Q948" s="34"/>
      <c r="R948" s="34"/>
    </row>
    <row x14ac:dyDescent="0.25" r="949" customHeight="1" ht="15.75">
      <c r="A949" s="1"/>
      <c r="B949" s="34"/>
      <c r="C949" s="1"/>
      <c r="D949" s="34"/>
      <c r="E949" s="34"/>
      <c r="F949" s="34"/>
      <c r="G949" s="29"/>
      <c r="H949" s="29"/>
      <c r="I949" s="29"/>
      <c r="J949" s="34"/>
      <c r="K949" s="34"/>
      <c r="L949" s="34"/>
      <c r="M949" s="29"/>
      <c r="N949" s="29"/>
      <c r="O949" s="29"/>
      <c r="P949" s="29"/>
      <c r="Q949" s="34"/>
      <c r="R949" s="34"/>
    </row>
    <row x14ac:dyDescent="0.25" r="950" customHeight="1" ht="15.75">
      <c r="A950" s="1"/>
      <c r="B950" s="34"/>
      <c r="C950" s="1"/>
      <c r="D950" s="34"/>
      <c r="E950" s="34"/>
      <c r="F950" s="34"/>
      <c r="G950" s="29"/>
      <c r="H950" s="29"/>
      <c r="I950" s="29"/>
      <c r="J950" s="34"/>
      <c r="K950" s="34"/>
      <c r="L950" s="34"/>
      <c r="M950" s="29"/>
      <c r="N950" s="29"/>
      <c r="O950" s="29"/>
      <c r="P950" s="29"/>
      <c r="Q950" s="34"/>
      <c r="R950" s="34"/>
    </row>
    <row x14ac:dyDescent="0.25" r="951" customHeight="1" ht="15.75">
      <c r="A951" s="1"/>
      <c r="B951" s="34"/>
      <c r="C951" s="1"/>
      <c r="D951" s="34"/>
      <c r="E951" s="34"/>
      <c r="F951" s="34"/>
      <c r="G951" s="29"/>
      <c r="H951" s="29"/>
      <c r="I951" s="29"/>
      <c r="J951" s="34"/>
      <c r="K951" s="34"/>
      <c r="L951" s="34"/>
      <c r="M951" s="29"/>
      <c r="N951" s="29"/>
      <c r="O951" s="29"/>
      <c r="P951" s="29"/>
      <c r="Q951" s="34"/>
      <c r="R951" s="34"/>
    </row>
    <row x14ac:dyDescent="0.25" r="952" customHeight="1" ht="15.75">
      <c r="A952" s="1"/>
      <c r="B952" s="34"/>
      <c r="C952" s="1"/>
      <c r="D952" s="34"/>
      <c r="E952" s="34"/>
      <c r="F952" s="34"/>
      <c r="G952" s="29"/>
      <c r="H952" s="29"/>
      <c r="I952" s="29"/>
      <c r="J952" s="34"/>
      <c r="K952" s="34"/>
      <c r="L952" s="34"/>
      <c r="M952" s="29"/>
      <c r="N952" s="29"/>
      <c r="O952" s="29"/>
      <c r="P952" s="29"/>
      <c r="Q952" s="34"/>
      <c r="R952" s="34"/>
    </row>
    <row x14ac:dyDescent="0.25" r="953" customHeight="1" ht="15.75">
      <c r="A953" s="1"/>
      <c r="B953" s="34"/>
      <c r="C953" s="1"/>
      <c r="D953" s="34"/>
      <c r="E953" s="34"/>
      <c r="F953" s="34"/>
      <c r="G953" s="29"/>
      <c r="H953" s="29"/>
      <c r="I953" s="29"/>
      <c r="J953" s="34"/>
      <c r="K953" s="34"/>
      <c r="L953" s="34"/>
      <c r="M953" s="29"/>
      <c r="N953" s="29"/>
      <c r="O953" s="29"/>
      <c r="P953" s="29"/>
      <c r="Q953" s="34"/>
      <c r="R953" s="34"/>
    </row>
    <row x14ac:dyDescent="0.25" r="954" customHeight="1" ht="15.75">
      <c r="A954" s="1"/>
      <c r="B954" s="34"/>
      <c r="C954" s="1"/>
      <c r="D954" s="34"/>
      <c r="E954" s="34"/>
      <c r="F954" s="34"/>
      <c r="G954" s="29"/>
      <c r="H954" s="29"/>
      <c r="I954" s="29"/>
      <c r="J954" s="34"/>
      <c r="K954" s="34"/>
      <c r="L954" s="34"/>
      <c r="M954" s="29"/>
      <c r="N954" s="29"/>
      <c r="O954" s="29"/>
      <c r="P954" s="29"/>
      <c r="Q954" s="34"/>
      <c r="R954" s="34"/>
    </row>
    <row x14ac:dyDescent="0.25" r="955" customHeight="1" ht="15.75">
      <c r="A955" s="1"/>
      <c r="B955" s="34"/>
      <c r="C955" s="1"/>
      <c r="D955" s="34"/>
      <c r="E955" s="34"/>
      <c r="F955" s="34"/>
      <c r="G955" s="29"/>
      <c r="H955" s="29"/>
      <c r="I955" s="29"/>
      <c r="J955" s="34"/>
      <c r="K955" s="34"/>
      <c r="L955" s="34"/>
      <c r="M955" s="29"/>
      <c r="N955" s="29"/>
      <c r="O955" s="29"/>
      <c r="P955" s="29"/>
      <c r="Q955" s="34"/>
      <c r="R955" s="34"/>
    </row>
    <row x14ac:dyDescent="0.25" r="956" customHeight="1" ht="15.75">
      <c r="A956" s="1"/>
      <c r="B956" s="34"/>
      <c r="C956" s="1"/>
      <c r="D956" s="34"/>
      <c r="E956" s="34"/>
      <c r="F956" s="34"/>
      <c r="G956" s="29"/>
      <c r="H956" s="29"/>
      <c r="I956" s="29"/>
      <c r="J956" s="34"/>
      <c r="K956" s="34"/>
      <c r="L956" s="34"/>
      <c r="M956" s="29"/>
      <c r="N956" s="29"/>
      <c r="O956" s="29"/>
      <c r="P956" s="29"/>
      <c r="Q956" s="34"/>
      <c r="R956" s="34"/>
    </row>
    <row x14ac:dyDescent="0.25" r="957" customHeight="1" ht="15.75">
      <c r="A957" s="1"/>
      <c r="B957" s="34"/>
      <c r="C957" s="1"/>
      <c r="D957" s="34"/>
      <c r="E957" s="34"/>
      <c r="F957" s="34"/>
      <c r="G957" s="29"/>
      <c r="H957" s="29"/>
      <c r="I957" s="29"/>
      <c r="J957" s="34"/>
      <c r="K957" s="34"/>
      <c r="L957" s="34"/>
      <c r="M957" s="29"/>
      <c r="N957" s="29"/>
      <c r="O957" s="29"/>
      <c r="P957" s="29"/>
      <c r="Q957" s="34"/>
      <c r="R957" s="34"/>
    </row>
    <row x14ac:dyDescent="0.25" r="958" customHeight="1" ht="15.75">
      <c r="A958" s="1"/>
      <c r="B958" s="34"/>
      <c r="C958" s="1"/>
      <c r="D958" s="34"/>
      <c r="E958" s="34"/>
      <c r="F958" s="34"/>
      <c r="G958" s="29"/>
      <c r="H958" s="29"/>
      <c r="I958" s="29"/>
      <c r="J958" s="34"/>
      <c r="K958" s="34"/>
      <c r="L958" s="34"/>
      <c r="M958" s="29"/>
      <c r="N958" s="29"/>
      <c r="O958" s="29"/>
      <c r="P958" s="29"/>
      <c r="Q958" s="34"/>
      <c r="R958" s="34"/>
    </row>
    <row x14ac:dyDescent="0.25" r="959" customHeight="1" ht="15.75">
      <c r="A959" s="1"/>
      <c r="B959" s="34"/>
      <c r="C959" s="1"/>
      <c r="D959" s="34"/>
      <c r="E959" s="34"/>
      <c r="F959" s="34"/>
      <c r="G959" s="29"/>
      <c r="H959" s="29"/>
      <c r="I959" s="29"/>
      <c r="J959" s="34"/>
      <c r="K959" s="34"/>
      <c r="L959" s="34"/>
      <c r="M959" s="29"/>
      <c r="N959" s="29"/>
      <c r="O959" s="29"/>
      <c r="P959" s="29"/>
      <c r="Q959" s="34"/>
      <c r="R959" s="34"/>
    </row>
    <row x14ac:dyDescent="0.25" r="960" customHeight="1" ht="15.75">
      <c r="A960" s="1"/>
      <c r="B960" s="34"/>
      <c r="C960" s="1"/>
      <c r="D960" s="34"/>
      <c r="E960" s="34"/>
      <c r="F960" s="34"/>
      <c r="G960" s="29"/>
      <c r="H960" s="29"/>
      <c r="I960" s="29"/>
      <c r="J960" s="34"/>
      <c r="K960" s="34"/>
      <c r="L960" s="34"/>
      <c r="M960" s="29"/>
      <c r="N960" s="29"/>
      <c r="O960" s="29"/>
      <c r="P960" s="29"/>
      <c r="Q960" s="34"/>
      <c r="R960" s="34"/>
    </row>
    <row x14ac:dyDescent="0.25" r="961" customHeight="1" ht="15.75">
      <c r="A961" s="1"/>
      <c r="B961" s="34"/>
      <c r="C961" s="1"/>
      <c r="D961" s="34"/>
      <c r="E961" s="34"/>
      <c r="F961" s="34"/>
      <c r="G961" s="29"/>
      <c r="H961" s="29"/>
      <c r="I961" s="29"/>
      <c r="J961" s="34"/>
      <c r="K961" s="34"/>
      <c r="L961" s="34"/>
      <c r="M961" s="29"/>
      <c r="N961" s="29"/>
      <c r="O961" s="29"/>
      <c r="P961" s="29"/>
      <c r="Q961" s="34"/>
      <c r="R961" s="34"/>
    </row>
    <row x14ac:dyDescent="0.25" r="962" customHeight="1" ht="15.75">
      <c r="A962" s="1"/>
      <c r="B962" s="34"/>
      <c r="C962" s="1"/>
      <c r="D962" s="34"/>
      <c r="E962" s="34"/>
      <c r="F962" s="34"/>
      <c r="G962" s="29"/>
      <c r="H962" s="29"/>
      <c r="I962" s="29"/>
      <c r="J962" s="34"/>
      <c r="K962" s="34"/>
      <c r="L962" s="34"/>
      <c r="M962" s="29"/>
      <c r="N962" s="29"/>
      <c r="O962" s="29"/>
      <c r="P962" s="29"/>
      <c r="Q962" s="34"/>
      <c r="R962" s="34"/>
    </row>
    <row x14ac:dyDescent="0.25" r="963" customHeight="1" ht="15.75">
      <c r="A963" s="1"/>
      <c r="B963" s="34"/>
      <c r="C963" s="1"/>
      <c r="D963" s="34"/>
      <c r="E963" s="34"/>
      <c r="F963" s="34"/>
      <c r="G963" s="29"/>
      <c r="H963" s="29"/>
      <c r="I963" s="29"/>
      <c r="J963" s="34"/>
      <c r="K963" s="34"/>
      <c r="L963" s="34"/>
      <c r="M963" s="29"/>
      <c r="N963" s="29"/>
      <c r="O963" s="29"/>
      <c r="P963" s="29"/>
      <c r="Q963" s="34"/>
      <c r="R963" s="34"/>
    </row>
    <row x14ac:dyDescent="0.25" r="964" customHeight="1" ht="15.75">
      <c r="A964" s="1"/>
      <c r="B964" s="34"/>
      <c r="C964" s="1"/>
      <c r="D964" s="34"/>
      <c r="E964" s="34"/>
      <c r="F964" s="34"/>
      <c r="G964" s="29"/>
      <c r="H964" s="29"/>
      <c r="I964" s="29"/>
      <c r="J964" s="34"/>
      <c r="K964" s="34"/>
      <c r="L964" s="34"/>
      <c r="M964" s="29"/>
      <c r="N964" s="29"/>
      <c r="O964" s="29"/>
      <c r="P964" s="29"/>
      <c r="Q964" s="34"/>
      <c r="R964" s="34"/>
    </row>
    <row x14ac:dyDescent="0.25" r="965" customHeight="1" ht="15.75">
      <c r="A965" s="1"/>
      <c r="B965" s="34"/>
      <c r="C965" s="1"/>
      <c r="D965" s="34"/>
      <c r="E965" s="34"/>
      <c r="F965" s="34"/>
      <c r="G965" s="29"/>
      <c r="H965" s="29"/>
      <c r="I965" s="29"/>
      <c r="J965" s="34"/>
      <c r="K965" s="34"/>
      <c r="L965" s="34"/>
      <c r="M965" s="29"/>
      <c r="N965" s="29"/>
      <c r="O965" s="29"/>
      <c r="P965" s="29"/>
      <c r="Q965" s="34"/>
      <c r="R965" s="34"/>
    </row>
    <row x14ac:dyDescent="0.25" r="966" customHeight="1" ht="15.75">
      <c r="A966" s="1"/>
      <c r="B966" s="34"/>
      <c r="C966" s="1"/>
      <c r="D966" s="34"/>
      <c r="E966" s="34"/>
      <c r="F966" s="34"/>
      <c r="G966" s="29"/>
      <c r="H966" s="29"/>
      <c r="I966" s="29"/>
      <c r="J966" s="34"/>
      <c r="K966" s="34"/>
      <c r="L966" s="34"/>
      <c r="M966" s="29"/>
      <c r="N966" s="29"/>
      <c r="O966" s="29"/>
      <c r="P966" s="29"/>
      <c r="Q966" s="34"/>
      <c r="R966" s="34"/>
    </row>
    <row x14ac:dyDescent="0.25" r="967" customHeight="1" ht="15.75">
      <c r="A967" s="1"/>
      <c r="B967" s="34"/>
      <c r="C967" s="1"/>
      <c r="D967" s="34"/>
      <c r="E967" s="34"/>
      <c r="F967" s="34"/>
      <c r="G967" s="29"/>
      <c r="H967" s="29"/>
      <c r="I967" s="29"/>
      <c r="J967" s="34"/>
      <c r="K967" s="34"/>
      <c r="L967" s="34"/>
      <c r="M967" s="29"/>
      <c r="N967" s="29"/>
      <c r="O967" s="29"/>
      <c r="P967" s="29"/>
      <c r="Q967" s="34"/>
      <c r="R967" s="34"/>
    </row>
    <row x14ac:dyDescent="0.25" r="968" customHeight="1" ht="15.75">
      <c r="A968" s="1"/>
      <c r="B968" s="34"/>
      <c r="C968" s="1"/>
      <c r="D968" s="34"/>
      <c r="E968" s="34"/>
      <c r="F968" s="34"/>
      <c r="G968" s="29"/>
      <c r="H968" s="29"/>
      <c r="I968" s="29"/>
      <c r="J968" s="34"/>
      <c r="K968" s="34"/>
      <c r="L968" s="34"/>
      <c r="M968" s="29"/>
      <c r="N968" s="29"/>
      <c r="O968" s="29"/>
      <c r="P968" s="29"/>
      <c r="Q968" s="34"/>
      <c r="R968" s="34"/>
    </row>
    <row x14ac:dyDescent="0.25" r="969" customHeight="1" ht="15.75">
      <c r="A969" s="1"/>
      <c r="B969" s="34"/>
      <c r="C969" s="1"/>
      <c r="D969" s="34"/>
      <c r="E969" s="34"/>
      <c r="F969" s="34"/>
      <c r="G969" s="29"/>
      <c r="H969" s="29"/>
      <c r="I969" s="29"/>
      <c r="J969" s="34"/>
      <c r="K969" s="34"/>
      <c r="L969" s="34"/>
      <c r="M969" s="29"/>
      <c r="N969" s="29"/>
      <c r="O969" s="29"/>
      <c r="P969" s="29"/>
      <c r="Q969" s="34"/>
      <c r="R969" s="34"/>
    </row>
    <row x14ac:dyDescent="0.25" r="970" customHeight="1" ht="15.75">
      <c r="A970" s="1"/>
      <c r="B970" s="34"/>
      <c r="C970" s="1"/>
      <c r="D970" s="34"/>
      <c r="E970" s="34"/>
      <c r="F970" s="34"/>
      <c r="G970" s="29"/>
      <c r="H970" s="29"/>
      <c r="I970" s="29"/>
      <c r="J970" s="34"/>
      <c r="K970" s="34"/>
      <c r="L970" s="34"/>
      <c r="M970" s="29"/>
      <c r="N970" s="29"/>
      <c r="O970" s="29"/>
      <c r="P970" s="29"/>
      <c r="Q970" s="34"/>
      <c r="R970" s="34"/>
    </row>
    <row x14ac:dyDescent="0.25" r="971" customHeight="1" ht="15.75">
      <c r="A971" s="1"/>
      <c r="B971" s="34"/>
      <c r="C971" s="1"/>
      <c r="D971" s="34"/>
      <c r="E971" s="34"/>
      <c r="F971" s="34"/>
      <c r="G971" s="29"/>
      <c r="H971" s="29"/>
      <c r="I971" s="29"/>
      <c r="J971" s="34"/>
      <c r="K971" s="34"/>
      <c r="L971" s="34"/>
      <c r="M971" s="29"/>
      <c r="N971" s="29"/>
      <c r="O971" s="29"/>
      <c r="P971" s="29"/>
      <c r="Q971" s="34"/>
      <c r="R971" s="34"/>
    </row>
    <row x14ac:dyDescent="0.25" r="972" customHeight="1" ht="15.75">
      <c r="A972" s="1"/>
      <c r="B972" s="34"/>
      <c r="C972" s="1"/>
      <c r="D972" s="34"/>
      <c r="E972" s="34"/>
      <c r="F972" s="34"/>
      <c r="G972" s="29"/>
      <c r="H972" s="29"/>
      <c r="I972" s="29"/>
      <c r="J972" s="34"/>
      <c r="K972" s="34"/>
      <c r="L972" s="34"/>
      <c r="M972" s="29"/>
      <c r="N972" s="29"/>
      <c r="O972" s="29"/>
      <c r="P972" s="29"/>
      <c r="Q972" s="34"/>
      <c r="R972" s="34"/>
    </row>
    <row x14ac:dyDescent="0.25" r="973" customHeight="1" ht="15.75">
      <c r="A973" s="1"/>
      <c r="B973" s="34"/>
      <c r="C973" s="1"/>
      <c r="D973" s="34"/>
      <c r="E973" s="34"/>
      <c r="F973" s="34"/>
      <c r="G973" s="29"/>
      <c r="H973" s="29"/>
      <c r="I973" s="29"/>
      <c r="J973" s="34"/>
      <c r="K973" s="34"/>
      <c r="L973" s="34"/>
      <c r="M973" s="29"/>
      <c r="N973" s="29"/>
      <c r="O973" s="29"/>
      <c r="P973" s="29"/>
      <c r="Q973" s="34"/>
      <c r="R973" s="34"/>
    </row>
    <row x14ac:dyDescent="0.25" r="974" customHeight="1" ht="15.75">
      <c r="A974" s="1"/>
      <c r="B974" s="34"/>
      <c r="C974" s="1"/>
      <c r="D974" s="34"/>
      <c r="E974" s="34"/>
      <c r="F974" s="34"/>
      <c r="G974" s="29"/>
      <c r="H974" s="29"/>
      <c r="I974" s="29"/>
      <c r="J974" s="34"/>
      <c r="K974" s="34"/>
      <c r="L974" s="34"/>
      <c r="M974" s="29"/>
      <c r="N974" s="29"/>
      <c r="O974" s="29"/>
      <c r="P974" s="29"/>
      <c r="Q974" s="34"/>
      <c r="R974" s="34"/>
    </row>
    <row x14ac:dyDescent="0.25" r="975" customHeight="1" ht="15.75">
      <c r="A975" s="1"/>
      <c r="B975" s="34"/>
      <c r="C975" s="1"/>
      <c r="D975" s="34"/>
      <c r="E975" s="34"/>
      <c r="F975" s="34"/>
      <c r="G975" s="29"/>
      <c r="H975" s="29"/>
      <c r="I975" s="29"/>
      <c r="J975" s="34"/>
      <c r="K975" s="34"/>
      <c r="L975" s="34"/>
      <c r="M975" s="29"/>
      <c r="N975" s="29"/>
      <c r="O975" s="29"/>
      <c r="P975" s="29"/>
      <c r="Q975" s="34"/>
      <c r="R975" s="34"/>
    </row>
    <row x14ac:dyDescent="0.25" r="976" customHeight="1" ht="15.75">
      <c r="A976" s="1"/>
      <c r="B976" s="34"/>
      <c r="C976" s="1"/>
      <c r="D976" s="34"/>
      <c r="E976" s="34"/>
      <c r="F976" s="34"/>
      <c r="G976" s="29"/>
      <c r="H976" s="29"/>
      <c r="I976" s="29"/>
      <c r="J976" s="34"/>
      <c r="K976" s="34"/>
      <c r="L976" s="34"/>
      <c r="M976" s="29"/>
      <c r="N976" s="29"/>
      <c r="O976" s="29"/>
      <c r="P976" s="29"/>
      <c r="Q976" s="34"/>
      <c r="R976" s="34"/>
    </row>
    <row x14ac:dyDescent="0.25" r="977" customHeight="1" ht="15.75">
      <c r="A977" s="1"/>
      <c r="B977" s="34"/>
      <c r="C977" s="1"/>
      <c r="D977" s="34"/>
      <c r="E977" s="34"/>
      <c r="F977" s="34"/>
      <c r="G977" s="29"/>
      <c r="H977" s="29"/>
      <c r="I977" s="29"/>
      <c r="J977" s="34"/>
      <c r="K977" s="34"/>
      <c r="L977" s="34"/>
      <c r="M977" s="29"/>
      <c r="N977" s="29"/>
      <c r="O977" s="29"/>
      <c r="P977" s="29"/>
      <c r="Q977" s="34"/>
      <c r="R977" s="34"/>
    </row>
    <row x14ac:dyDescent="0.25" r="978" customHeight="1" ht="15.75">
      <c r="A978" s="1"/>
      <c r="B978" s="34"/>
      <c r="C978" s="1"/>
      <c r="D978" s="34"/>
      <c r="E978" s="34"/>
      <c r="F978" s="34"/>
      <c r="G978" s="29"/>
      <c r="H978" s="29"/>
      <c r="I978" s="29"/>
      <c r="J978" s="34"/>
      <c r="K978" s="34"/>
      <c r="L978" s="34"/>
      <c r="M978" s="29"/>
      <c r="N978" s="29"/>
      <c r="O978" s="29"/>
      <c r="P978" s="29"/>
      <c r="Q978" s="34"/>
      <c r="R978" s="34"/>
    </row>
    <row x14ac:dyDescent="0.25" r="979" customHeight="1" ht="15.75">
      <c r="A979" s="1"/>
      <c r="B979" s="34"/>
      <c r="C979" s="1"/>
      <c r="D979" s="34"/>
      <c r="E979" s="34"/>
      <c r="F979" s="34"/>
      <c r="G979" s="29"/>
      <c r="H979" s="29"/>
      <c r="I979" s="29"/>
      <c r="J979" s="34"/>
      <c r="K979" s="34"/>
      <c r="L979" s="34"/>
      <c r="M979" s="29"/>
      <c r="N979" s="29"/>
      <c r="O979" s="29"/>
      <c r="P979" s="29"/>
      <c r="Q979" s="34"/>
      <c r="R979" s="34"/>
    </row>
    <row x14ac:dyDescent="0.25" r="980" customHeight="1" ht="15.75">
      <c r="A980" s="1"/>
      <c r="B980" s="34"/>
      <c r="C980" s="1"/>
      <c r="D980" s="34"/>
      <c r="E980" s="34"/>
      <c r="F980" s="34"/>
      <c r="G980" s="29"/>
      <c r="H980" s="29"/>
      <c r="I980" s="29"/>
      <c r="J980" s="34"/>
      <c r="K980" s="34"/>
      <c r="L980" s="34"/>
      <c r="M980" s="29"/>
      <c r="N980" s="29"/>
      <c r="O980" s="29"/>
      <c r="P980" s="29"/>
      <c r="Q980" s="34"/>
      <c r="R980" s="34"/>
    </row>
    <row x14ac:dyDescent="0.25" r="981" customHeight="1" ht="15.75">
      <c r="A981" s="1"/>
      <c r="B981" s="34"/>
      <c r="C981" s="1"/>
      <c r="D981" s="34"/>
      <c r="E981" s="34"/>
      <c r="F981" s="34"/>
      <c r="G981" s="29"/>
      <c r="H981" s="29"/>
      <c r="I981" s="29"/>
      <c r="J981" s="34"/>
      <c r="K981" s="34"/>
      <c r="L981" s="34"/>
      <c r="M981" s="29"/>
      <c r="N981" s="29"/>
      <c r="O981" s="29"/>
      <c r="P981" s="29"/>
      <c r="Q981" s="34"/>
      <c r="R981" s="34"/>
    </row>
    <row x14ac:dyDescent="0.25" r="982" customHeight="1" ht="15.75">
      <c r="A982" s="1"/>
      <c r="B982" s="34"/>
      <c r="C982" s="1"/>
      <c r="D982" s="34"/>
      <c r="E982" s="34"/>
      <c r="F982" s="34"/>
      <c r="G982" s="29"/>
      <c r="H982" s="29"/>
      <c r="I982" s="29"/>
      <c r="J982" s="34"/>
      <c r="K982" s="34"/>
      <c r="L982" s="34"/>
      <c r="M982" s="29"/>
      <c r="N982" s="29"/>
      <c r="O982" s="29"/>
      <c r="P982" s="29"/>
      <c r="Q982" s="34"/>
      <c r="R982" s="34"/>
    </row>
    <row x14ac:dyDescent="0.25" r="983" customHeight="1" ht="15.75">
      <c r="A983" s="1"/>
      <c r="B983" s="34"/>
      <c r="C983" s="1"/>
      <c r="D983" s="34"/>
      <c r="E983" s="34"/>
      <c r="F983" s="34"/>
      <c r="G983" s="29"/>
      <c r="H983" s="29"/>
      <c r="I983" s="29"/>
      <c r="J983" s="34"/>
      <c r="K983" s="34"/>
      <c r="L983" s="34"/>
      <c r="M983" s="29"/>
      <c r="N983" s="29"/>
      <c r="O983" s="29"/>
      <c r="P983" s="29"/>
      <c r="Q983" s="34"/>
      <c r="R983" s="34"/>
    </row>
    <row x14ac:dyDescent="0.25" r="984" customHeight="1" ht="15.75">
      <c r="A984" s="1"/>
      <c r="B984" s="34"/>
      <c r="C984" s="1"/>
      <c r="D984" s="34"/>
      <c r="E984" s="34"/>
      <c r="F984" s="34"/>
      <c r="G984" s="29"/>
      <c r="H984" s="29"/>
      <c r="I984" s="29"/>
      <c r="J984" s="34"/>
      <c r="K984" s="34"/>
      <c r="L984" s="34"/>
      <c r="M984" s="29"/>
      <c r="N984" s="29"/>
      <c r="O984" s="29"/>
      <c r="P984" s="29"/>
      <c r="Q984" s="34"/>
      <c r="R984" s="34"/>
    </row>
    <row x14ac:dyDescent="0.25" r="985" customHeight="1" ht="15.75">
      <c r="A985" s="1"/>
      <c r="B985" s="34"/>
      <c r="C985" s="1"/>
      <c r="D985" s="34"/>
      <c r="E985" s="34"/>
      <c r="F985" s="34"/>
      <c r="G985" s="29"/>
      <c r="H985" s="29"/>
      <c r="I985" s="29"/>
      <c r="J985" s="34"/>
      <c r="K985" s="34"/>
      <c r="L985" s="34"/>
      <c r="M985" s="29"/>
      <c r="N985" s="29"/>
      <c r="O985" s="29"/>
      <c r="P985" s="29"/>
      <c r="Q985" s="34"/>
      <c r="R985" s="34"/>
    </row>
    <row x14ac:dyDescent="0.25" r="986" customHeight="1" ht="15.75">
      <c r="A986" s="1"/>
      <c r="B986" s="34"/>
      <c r="C986" s="1"/>
      <c r="D986" s="34"/>
      <c r="E986" s="34"/>
      <c r="F986" s="34"/>
      <c r="G986" s="29"/>
      <c r="H986" s="29"/>
      <c r="I986" s="29"/>
      <c r="J986" s="34"/>
      <c r="K986" s="34"/>
      <c r="L986" s="34"/>
      <c r="M986" s="29"/>
      <c r="N986" s="29"/>
      <c r="O986" s="29"/>
      <c r="P986" s="29"/>
      <c r="Q986" s="34"/>
      <c r="R986" s="34"/>
    </row>
    <row x14ac:dyDescent="0.25" r="987" customHeight="1" ht="15.75">
      <c r="A987" s="1"/>
      <c r="B987" s="34"/>
      <c r="C987" s="1"/>
      <c r="D987" s="34"/>
      <c r="E987" s="34"/>
      <c r="F987" s="34"/>
      <c r="G987" s="29"/>
      <c r="H987" s="29"/>
      <c r="I987" s="29"/>
      <c r="J987" s="34"/>
      <c r="K987" s="34"/>
      <c r="L987" s="34"/>
      <c r="M987" s="29"/>
      <c r="N987" s="29"/>
      <c r="O987" s="29"/>
      <c r="P987" s="29"/>
      <c r="Q987" s="34"/>
      <c r="R987" s="34"/>
    </row>
    <row x14ac:dyDescent="0.25" r="988" customHeight="1" ht="15.75">
      <c r="A988" s="1"/>
      <c r="B988" s="34"/>
      <c r="C988" s="1"/>
      <c r="D988" s="34"/>
      <c r="E988" s="34"/>
      <c r="F988" s="34"/>
      <c r="G988" s="29"/>
      <c r="H988" s="29"/>
      <c r="I988" s="29"/>
      <c r="J988" s="34"/>
      <c r="K988" s="34"/>
      <c r="L988" s="34"/>
      <c r="M988" s="29"/>
      <c r="N988" s="29"/>
      <c r="O988" s="29"/>
      <c r="P988" s="29"/>
      <c r="Q988" s="34"/>
      <c r="R988" s="34"/>
    </row>
    <row x14ac:dyDescent="0.25" r="989" customHeight="1" ht="15.75">
      <c r="A989" s="1"/>
      <c r="B989" s="34"/>
      <c r="C989" s="1"/>
      <c r="D989" s="34"/>
      <c r="E989" s="34"/>
      <c r="F989" s="34"/>
      <c r="G989" s="29"/>
      <c r="H989" s="29"/>
      <c r="I989" s="29"/>
      <c r="J989" s="34"/>
      <c r="K989" s="34"/>
      <c r="L989" s="34"/>
      <c r="M989" s="29"/>
      <c r="N989" s="29"/>
      <c r="O989" s="29"/>
      <c r="P989" s="29"/>
      <c r="Q989" s="34"/>
      <c r="R989" s="34"/>
    </row>
    <row x14ac:dyDescent="0.25" r="990" customHeight="1" ht="15.75">
      <c r="A990" s="1"/>
      <c r="B990" s="34"/>
      <c r="C990" s="1"/>
      <c r="D990" s="34"/>
      <c r="E990" s="34"/>
      <c r="F990" s="34"/>
      <c r="G990" s="29"/>
      <c r="H990" s="29"/>
      <c r="I990" s="29"/>
      <c r="J990" s="34"/>
      <c r="K990" s="34"/>
      <c r="L990" s="34"/>
      <c r="M990" s="29"/>
      <c r="N990" s="29"/>
      <c r="O990" s="29"/>
      <c r="P990" s="29"/>
      <c r="Q990" s="34"/>
      <c r="R990" s="34"/>
    </row>
    <row x14ac:dyDescent="0.25" r="991" customHeight="1" ht="15.75">
      <c r="A991" s="1"/>
      <c r="B991" s="34"/>
      <c r="C991" s="1"/>
      <c r="D991" s="34"/>
      <c r="E991" s="34"/>
      <c r="F991" s="34"/>
      <c r="G991" s="29"/>
      <c r="H991" s="29"/>
      <c r="I991" s="29"/>
      <c r="J991" s="34"/>
      <c r="K991" s="34"/>
      <c r="L991" s="34"/>
      <c r="M991" s="29"/>
      <c r="N991" s="29"/>
      <c r="O991" s="29"/>
      <c r="P991" s="29"/>
      <c r="Q991" s="34"/>
      <c r="R991" s="34"/>
    </row>
    <row x14ac:dyDescent="0.25" r="992" customHeight="1" ht="15.75">
      <c r="A992" s="1"/>
      <c r="B992" s="34"/>
      <c r="C992" s="1"/>
      <c r="D992" s="34"/>
      <c r="E992" s="34"/>
      <c r="F992" s="34"/>
      <c r="G992" s="29"/>
      <c r="H992" s="29"/>
      <c r="I992" s="29"/>
      <c r="J992" s="34"/>
      <c r="K992" s="34"/>
      <c r="L992" s="34"/>
      <c r="M992" s="29"/>
      <c r="N992" s="29"/>
      <c r="O992" s="29"/>
      <c r="P992" s="29"/>
      <c r="Q992" s="34"/>
      <c r="R992" s="34"/>
    </row>
    <row x14ac:dyDescent="0.25" r="993" customHeight="1" ht="15.75">
      <c r="A993" s="1"/>
      <c r="B993" s="34"/>
      <c r="C993" s="1"/>
      <c r="D993" s="34"/>
      <c r="E993" s="34"/>
      <c r="F993" s="34"/>
      <c r="G993" s="29"/>
      <c r="H993" s="29"/>
      <c r="I993" s="29"/>
      <c r="J993" s="34"/>
      <c r="K993" s="34"/>
      <c r="L993" s="34"/>
      <c r="M993" s="29"/>
      <c r="N993" s="29"/>
      <c r="O993" s="29"/>
      <c r="P993" s="29"/>
      <c r="Q993" s="34"/>
      <c r="R993" s="34"/>
    </row>
    <row x14ac:dyDescent="0.25" r="994" customHeight="1" ht="15.75">
      <c r="A994" s="1"/>
      <c r="B994" s="34"/>
      <c r="C994" s="1"/>
      <c r="D994" s="34"/>
      <c r="E994" s="34"/>
      <c r="F994" s="34"/>
      <c r="G994" s="29"/>
      <c r="H994" s="29"/>
      <c r="I994" s="29"/>
      <c r="J994" s="34"/>
      <c r="K994" s="34"/>
      <c r="L994" s="34"/>
      <c r="M994" s="29"/>
      <c r="N994" s="29"/>
      <c r="O994" s="29"/>
      <c r="P994" s="29"/>
      <c r="Q994" s="34"/>
      <c r="R994" s="34"/>
    </row>
    <row x14ac:dyDescent="0.25" r="995" customHeight="1" ht="15.75">
      <c r="A995" s="1"/>
      <c r="B995" s="34"/>
      <c r="C995" s="1"/>
      <c r="D995" s="34"/>
      <c r="E995" s="34"/>
      <c r="F995" s="34"/>
      <c r="G995" s="29"/>
      <c r="H995" s="29"/>
      <c r="I995" s="29"/>
      <c r="J995" s="34"/>
      <c r="K995" s="34"/>
      <c r="L995" s="34"/>
      <c r="M995" s="29"/>
      <c r="N995" s="29"/>
      <c r="O995" s="29"/>
      <c r="P995" s="29"/>
      <c r="Q995" s="34"/>
      <c r="R995" s="34"/>
    </row>
    <row x14ac:dyDescent="0.25" r="996" customHeight="1" ht="15.75">
      <c r="A996" s="1"/>
      <c r="B996" s="34"/>
      <c r="C996" s="1"/>
      <c r="D996" s="34"/>
      <c r="E996" s="34"/>
      <c r="F996" s="34"/>
      <c r="G996" s="29"/>
      <c r="H996" s="29"/>
      <c r="I996" s="29"/>
      <c r="J996" s="34"/>
      <c r="K996" s="34"/>
      <c r="L996" s="34"/>
      <c r="M996" s="29"/>
      <c r="N996" s="29"/>
      <c r="O996" s="29"/>
      <c r="P996" s="29"/>
      <c r="Q996" s="34"/>
      <c r="R996" s="34"/>
    </row>
    <row x14ac:dyDescent="0.25" r="997" customHeight="1" ht="15.75">
      <c r="A997" s="1"/>
      <c r="B997" s="34"/>
      <c r="C997" s="1"/>
      <c r="D997" s="34"/>
      <c r="E997" s="34"/>
      <c r="F997" s="34"/>
      <c r="G997" s="29"/>
      <c r="H997" s="29"/>
      <c r="I997" s="29"/>
      <c r="J997" s="34"/>
      <c r="K997" s="34"/>
      <c r="L997" s="34"/>
      <c r="M997" s="29"/>
      <c r="N997" s="29"/>
      <c r="O997" s="29"/>
      <c r="P997" s="29"/>
      <c r="Q997" s="34"/>
      <c r="R997" s="34"/>
    </row>
    <row x14ac:dyDescent="0.25" r="998" customHeight="1" ht="15.75">
      <c r="A998" s="1"/>
      <c r="B998" s="34"/>
      <c r="C998" s="1"/>
      <c r="D998" s="34"/>
      <c r="E998" s="34"/>
      <c r="F998" s="34"/>
      <c r="G998" s="29"/>
      <c r="H998" s="29"/>
      <c r="I998" s="29"/>
      <c r="J998" s="34"/>
      <c r="K998" s="34"/>
      <c r="L998" s="34"/>
      <c r="M998" s="29"/>
      <c r="N998" s="29"/>
      <c r="O998" s="29"/>
      <c r="P998" s="29"/>
      <c r="Q998" s="34"/>
      <c r="R998" s="34"/>
    </row>
    <row x14ac:dyDescent="0.25" r="999" customHeight="1" ht="15.75">
      <c r="A999" s="1"/>
      <c r="B999" s="34"/>
      <c r="C999" s="1"/>
      <c r="D999" s="34"/>
      <c r="E999" s="34"/>
      <c r="F999" s="34"/>
      <c r="G999" s="29"/>
      <c r="H999" s="29"/>
      <c r="I999" s="29"/>
      <c r="J999" s="34"/>
      <c r="K999" s="34"/>
      <c r="L999" s="34"/>
      <c r="M999" s="29"/>
      <c r="N999" s="29"/>
      <c r="O999" s="29"/>
      <c r="P999" s="29"/>
      <c r="Q999" s="34"/>
      <c r="R999" s="34"/>
    </row>
    <row x14ac:dyDescent="0.25" r="1000" customHeight="1" ht="15.75">
      <c r="A1000" s="1"/>
      <c r="B1000" s="34"/>
      <c r="C1000" s="1"/>
      <c r="D1000" s="34"/>
      <c r="E1000" s="34"/>
      <c r="F1000" s="34"/>
      <c r="G1000" s="29"/>
      <c r="H1000" s="29"/>
      <c r="I1000" s="29"/>
      <c r="J1000" s="34"/>
      <c r="K1000" s="34"/>
      <c r="L1000" s="34"/>
      <c r="M1000" s="29"/>
      <c r="N1000" s="29"/>
      <c r="O1000" s="29"/>
      <c r="P1000" s="29"/>
      <c r="Q1000" s="34"/>
      <c r="R1000" s="34"/>
    </row>
    <row x14ac:dyDescent="0.25" r="1001" customHeight="1" ht="15.75">
      <c r="A1001" s="1"/>
      <c r="B1001" s="34"/>
      <c r="C1001" s="1"/>
      <c r="D1001" s="34"/>
      <c r="E1001" s="34"/>
      <c r="F1001" s="34"/>
      <c r="G1001" s="29"/>
      <c r="H1001" s="29"/>
      <c r="I1001" s="29"/>
      <c r="J1001" s="34"/>
      <c r="K1001" s="34"/>
      <c r="L1001" s="34"/>
      <c r="M1001" s="29"/>
      <c r="N1001" s="29"/>
      <c r="O1001" s="29"/>
      <c r="P1001" s="29"/>
      <c r="Q1001" s="34"/>
      <c r="R1001" s="34"/>
    </row>
    <row x14ac:dyDescent="0.25" r="1002" customHeight="1" ht="15.75">
      <c r="A1002" s="1"/>
      <c r="B1002" s="34"/>
      <c r="C1002" s="1"/>
      <c r="D1002" s="34"/>
      <c r="E1002" s="34"/>
      <c r="F1002" s="34"/>
      <c r="G1002" s="29"/>
      <c r="H1002" s="29"/>
      <c r="I1002" s="29"/>
      <c r="J1002" s="34"/>
      <c r="K1002" s="34"/>
      <c r="L1002" s="34"/>
      <c r="M1002" s="29"/>
      <c r="N1002" s="29"/>
      <c r="O1002" s="29"/>
      <c r="P1002" s="29"/>
      <c r="Q1002" s="34"/>
      <c r="R1002" s="34"/>
    </row>
    <row x14ac:dyDescent="0.25" r="1003" customHeight="1" ht="15.75">
      <c r="A1003" s="1"/>
      <c r="B1003" s="34"/>
      <c r="C1003" s="1"/>
      <c r="D1003" s="34"/>
      <c r="E1003" s="34"/>
      <c r="F1003" s="34"/>
      <c r="G1003" s="29"/>
      <c r="H1003" s="29"/>
      <c r="I1003" s="29"/>
      <c r="J1003" s="34"/>
      <c r="K1003" s="34"/>
      <c r="L1003" s="34"/>
      <c r="M1003" s="29"/>
      <c r="N1003" s="29"/>
      <c r="O1003" s="29"/>
      <c r="P1003" s="29"/>
      <c r="Q1003" s="34"/>
      <c r="R1003" s="34"/>
    </row>
  </sheetData>
  <mergeCells count="6">
    <mergeCell ref="C21:G21"/>
    <mergeCell ref="D33:F33"/>
    <mergeCell ref="D34:F34"/>
    <mergeCell ref="D35:F35"/>
    <mergeCell ref="C36:F36"/>
    <mergeCell ref="C37:F3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4"/>
  <sheetViews>
    <sheetView workbookViewId="0"/>
  </sheetViews>
  <sheetFormatPr defaultRowHeight="15" x14ac:dyDescent="0.25"/>
  <cols>
    <col min="1" max="1" style="66" width="13.576428571428572" customWidth="1" bestFit="1"/>
    <col min="2" max="2" style="37" width="5.433571428571429" customWidth="1" bestFit="1"/>
    <col min="3" max="3" style="37" width="14.576428571428572" customWidth="1" bestFit="1"/>
    <col min="4" max="4" style="66" width="9.290714285714287" customWidth="1" bestFit="1"/>
    <col min="5" max="5" style="37" width="15.43357142857143" customWidth="1" bestFit="1"/>
    <col min="6" max="6" style="37" width="23.576428571428572" customWidth="1" bestFit="1"/>
    <col min="7" max="7" style="37" width="5.147857142857143" customWidth="1" bestFit="1"/>
    <col min="8" max="8" style="37" width="13.576428571428572" customWidth="1" bestFit="1"/>
    <col min="9" max="9" style="37" width="19.290714285714284" customWidth="1" bestFit="1"/>
    <col min="10" max="10" style="67" width="13.576428571428572" customWidth="1" bestFit="1"/>
    <col min="11" max="11" style="67" width="13.576428571428572" customWidth="1" bestFit="1"/>
    <col min="12" max="12" style="37" width="13.576428571428572" customWidth="1" bestFit="1"/>
    <col min="13" max="13" style="37" width="13.576428571428572" customWidth="1" bestFit="1"/>
    <col min="14" max="14" style="37" width="13.576428571428572" customWidth="1" bestFit="1"/>
  </cols>
  <sheetData>
    <row x14ac:dyDescent="0.25" r="1" customHeight="1" ht="18.75">
      <c r="A1" s="27">
        <f>MAY!A1</f>
      </c>
      <c r="B1" s="27">
        <f>MAY!B1</f>
      </c>
      <c r="C1" s="27">
        <f>MAY!D1</f>
      </c>
      <c r="D1" s="27">
        <f>MAY!E1</f>
      </c>
      <c r="E1" s="27">
        <f>MAY!F1</f>
      </c>
      <c r="F1" s="27">
        <f>MAY!G1</f>
      </c>
      <c r="G1" s="27">
        <f>MAY!H1</f>
      </c>
      <c r="H1" s="27">
        <f>MAY!O1</f>
      </c>
      <c r="I1" s="27">
        <f>MAY!R1</f>
      </c>
      <c r="J1" s="26" t="s">
        <v>459</v>
      </c>
      <c r="K1" s="26" t="s">
        <v>460</v>
      </c>
      <c r="L1" s="64">
        <f>MAY!AG1</f>
      </c>
      <c r="M1" s="64">
        <f>MAY!AH1</f>
      </c>
      <c r="N1" s="64">
        <f>MAY!AI1</f>
      </c>
    </row>
    <row x14ac:dyDescent="0.25" r="2" customHeight="1" ht="18.75">
      <c r="A2" s="12">
        <f>MAY!A6</f>
        <v>25569.041666666668</v>
      </c>
      <c r="B2" s="65">
        <f>MAY!B6</f>
      </c>
      <c r="C2" s="65">
        <f>MAY!D6</f>
      </c>
      <c r="D2" s="65">
        <f>MAY!E6</f>
      </c>
      <c r="E2" s="65">
        <f>MAY!F6</f>
      </c>
      <c r="F2" s="65">
        <f>MAY!G6</f>
      </c>
      <c r="G2" s="65">
        <f>MAY!H6</f>
      </c>
      <c r="H2" s="17">
        <f>MAY!O6</f>
      </c>
      <c r="I2" s="65">
        <f>MAY!R6</f>
      </c>
      <c r="J2" s="17">
        <f>MAY!AC6</f>
      </c>
      <c r="K2" s="17">
        <f>MAY!AE6</f>
      </c>
      <c r="L2" s="17">
        <f>MAY!AG6</f>
      </c>
      <c r="M2" s="17">
        <f>MAY!AH6</f>
      </c>
      <c r="N2" s="17">
        <f>MAY!AI6</f>
      </c>
    </row>
    <row x14ac:dyDescent="0.25" r="3" customHeight="1" ht="18.75">
      <c r="A3" s="12">
        <f>MAY!A22</f>
        <v>25569.041666666668</v>
      </c>
      <c r="B3" s="65">
        <f>MAY!B22</f>
      </c>
      <c r="C3" s="65">
        <f>MAY!D22</f>
      </c>
      <c r="D3" s="65">
        <f>MAY!E22</f>
      </c>
      <c r="E3" s="65">
        <f>MAY!F22</f>
      </c>
      <c r="F3" s="65">
        <f>MAY!G22</f>
      </c>
      <c r="G3" s="65">
        <f>MAY!H22</f>
      </c>
      <c r="H3" s="17">
        <f>MAY!O22</f>
      </c>
      <c r="I3" s="65">
        <f>MAY!R22</f>
      </c>
      <c r="J3" s="17">
        <f>MAY!AC22</f>
      </c>
      <c r="K3" s="17">
        <f>MAY!AE22</f>
      </c>
      <c r="L3" s="17">
        <f>MAY!AG22</f>
      </c>
      <c r="M3" s="17">
        <f>MAY!AH22</f>
      </c>
      <c r="N3" s="17">
        <f>MAY!AI22</f>
      </c>
    </row>
    <row x14ac:dyDescent="0.25" r="4" customHeight="1" ht="18.75">
      <c r="A4" s="12">
        <f>MAY!A23</f>
        <v>25569.041666666668</v>
      </c>
      <c r="B4" s="65">
        <f>MAY!B23</f>
      </c>
      <c r="C4" s="65">
        <f>MAY!D23</f>
      </c>
      <c r="D4" s="65">
        <f>MAY!E23</f>
      </c>
      <c r="E4" s="65">
        <f>MAY!F23</f>
      </c>
      <c r="F4" s="65">
        <f>MAY!G23</f>
      </c>
      <c r="G4" s="65">
        <f>MAY!H23</f>
      </c>
      <c r="H4" s="17">
        <f>MAY!O23</f>
      </c>
      <c r="I4" s="65">
        <f>MAY!R23</f>
      </c>
      <c r="J4" s="17">
        <f>MAY!AC23</f>
      </c>
      <c r="K4" s="17">
        <f>MAY!AE23</f>
      </c>
      <c r="L4" s="17">
        <f>MAY!AG23</f>
      </c>
      <c r="M4" s="17">
        <f>MAY!AH23</f>
      </c>
      <c r="N4" s="17">
        <f>MAY!AI23</f>
      </c>
    </row>
    <row x14ac:dyDescent="0.25" r="5" customHeight="1" ht="18.75">
      <c r="A5" s="12">
        <f>MAY!A58</f>
        <v>25569.041666666668</v>
      </c>
      <c r="B5" s="65">
        <f>MAY!B58</f>
      </c>
      <c r="C5" s="65">
        <f>MAY!D58</f>
      </c>
      <c r="D5" s="12"/>
      <c r="E5" s="65">
        <f>MAY!F58</f>
      </c>
      <c r="F5" s="65">
        <f>MAY!G58</f>
      </c>
      <c r="G5" s="65">
        <f>MAY!H58</f>
      </c>
      <c r="H5" s="17">
        <f>MAY!O58</f>
      </c>
      <c r="I5" s="65">
        <f>MAY!R58</f>
      </c>
      <c r="J5" s="17">
        <f>MAY!AC58</f>
      </c>
      <c r="K5" s="17">
        <f>MAY!AE58</f>
      </c>
      <c r="L5" s="17">
        <f>MAY!AG58</f>
      </c>
      <c r="M5" s="17">
        <f>MAY!AH58</f>
      </c>
      <c r="N5" s="17">
        <f>MAY!AI58</f>
      </c>
    </row>
    <row x14ac:dyDescent="0.25" r="6" customHeight="1" ht="18.75">
      <c r="A6" s="12">
        <f>MAY!A65</f>
        <v>25569.041666666668</v>
      </c>
      <c r="B6" s="65">
        <f>MAY!B65</f>
      </c>
      <c r="C6" s="65">
        <f>MAY!D65</f>
      </c>
      <c r="D6" s="65">
        <f>MAY!E65</f>
      </c>
      <c r="E6" s="65">
        <f>MAY!F65</f>
      </c>
      <c r="F6" s="65">
        <f>MAY!G65</f>
      </c>
      <c r="G6" s="65">
        <f>MAY!H65</f>
      </c>
      <c r="H6" s="17">
        <f>MAY!O65</f>
      </c>
      <c r="I6" s="65">
        <f>MAY!R65</f>
      </c>
      <c r="J6" s="17">
        <f>MAY!AC65</f>
      </c>
      <c r="K6" s="17">
        <f>MAY!AE65</f>
      </c>
      <c r="L6" s="17">
        <f>MAY!AG65</f>
      </c>
      <c r="M6" s="17">
        <f>MAY!AH65</f>
      </c>
      <c r="N6" s="17">
        <f>MAY!AI65</f>
      </c>
    </row>
    <row x14ac:dyDescent="0.25" r="7" customHeight="1" ht="18.75">
      <c r="A7" s="12">
        <f>MAY!A68</f>
        <v>25569.041666666668</v>
      </c>
      <c r="B7" s="65">
        <f>MAY!B68</f>
      </c>
      <c r="C7" s="65">
        <f>MAY!D68</f>
      </c>
      <c r="D7" s="65">
        <f>MAY!E68</f>
      </c>
      <c r="E7" s="65">
        <f>MAY!F68</f>
      </c>
      <c r="F7" s="65">
        <f>MAY!G68</f>
      </c>
      <c r="G7" s="65">
        <f>MAY!H68</f>
      </c>
      <c r="H7" s="17">
        <f>MAY!O68</f>
      </c>
      <c r="I7" s="65">
        <f>MAY!R68</f>
      </c>
      <c r="J7" s="17">
        <f>MAY!AC68</f>
      </c>
      <c r="K7" s="17">
        <f>MAY!AE68</f>
      </c>
      <c r="L7" s="17">
        <f>MAY!AG68</f>
      </c>
      <c r="M7" s="17">
        <f>MAY!AH68</f>
      </c>
      <c r="N7" s="17">
        <f>MAY!AI68</f>
      </c>
    </row>
    <row x14ac:dyDescent="0.25" r="8" customHeight="1" ht="18.75">
      <c r="A8" s="12">
        <f>MAY!A93</f>
        <v>25569.041666666668</v>
      </c>
      <c r="B8" s="65">
        <f>MAY!B93</f>
      </c>
      <c r="C8" s="65">
        <f>MAY!D93</f>
      </c>
      <c r="D8" s="65">
        <f>MAY!E93</f>
      </c>
      <c r="E8" s="65">
        <f>MAY!F93</f>
      </c>
      <c r="F8" s="65">
        <f>MAY!G93</f>
      </c>
      <c r="G8" s="65">
        <f>MAY!H93</f>
      </c>
      <c r="H8" s="17">
        <f>MAY!O93</f>
      </c>
      <c r="I8" s="65">
        <f>MAY!R93</f>
      </c>
      <c r="J8" s="17">
        <f>MAY!AC93</f>
      </c>
      <c r="K8" s="17">
        <f>MAY!AE93</f>
      </c>
      <c r="L8" s="17">
        <v>97140</v>
      </c>
      <c r="M8" s="17">
        <f>MAY!AH93</f>
      </c>
      <c r="N8" s="17">
        <f>MAY!AI93</f>
      </c>
    </row>
    <row x14ac:dyDescent="0.25" r="9" customHeight="1" ht="18.75">
      <c r="A9" s="12">
        <f>MAY!A117</f>
        <v>25569.041666666668</v>
      </c>
      <c r="B9" s="65">
        <f>MAY!B117</f>
      </c>
      <c r="C9" s="65">
        <f>MAY!D117</f>
      </c>
      <c r="D9" s="65">
        <f>MAY!E117</f>
      </c>
      <c r="E9" s="65">
        <f>MAY!F117</f>
      </c>
      <c r="F9" s="65">
        <f>MAY!G117</f>
      </c>
      <c r="G9" s="65">
        <f>MAY!H117</f>
      </c>
      <c r="H9" s="17">
        <f>MAY!O117</f>
      </c>
      <c r="I9" s="65">
        <f>MAY!R117</f>
      </c>
      <c r="J9" s="17">
        <f>MAY!AC117</f>
      </c>
      <c r="K9" s="17">
        <f>MAY!AE117</f>
      </c>
      <c r="L9" s="17">
        <v>109540</v>
      </c>
      <c r="M9" s="17">
        <f>MAY!AH117</f>
      </c>
      <c r="N9" s="17">
        <f>MAY!AI117</f>
      </c>
    </row>
    <row x14ac:dyDescent="0.25" r="10" customHeight="1" ht="18.75">
      <c r="A10" s="12">
        <f>MAY!A120</f>
        <v>25569.041666666668</v>
      </c>
      <c r="B10" s="65">
        <f>MAY!B120</f>
      </c>
      <c r="C10" s="65">
        <f>MAY!D120</f>
      </c>
      <c r="D10" s="65">
        <f>MAY!E120</f>
      </c>
      <c r="E10" s="65">
        <f>MAY!F120</f>
      </c>
      <c r="F10" s="65">
        <f>MAY!G120</f>
      </c>
      <c r="G10" s="65">
        <f>MAY!H120</f>
      </c>
      <c r="H10" s="17">
        <f>MAY!O120</f>
      </c>
      <c r="I10" s="65">
        <f>MAY!R120</f>
      </c>
      <c r="J10" s="17">
        <f>MAY!AC120</f>
      </c>
      <c r="K10" s="17">
        <f>MAY!AE120</f>
      </c>
      <c r="L10" s="17">
        <f>MAY!AG120</f>
      </c>
      <c r="M10" s="17">
        <f>MAY!AH120</f>
      </c>
      <c r="N10" s="17">
        <f>MAY!AI120</f>
      </c>
    </row>
    <row x14ac:dyDescent="0.25" r="11" customHeight="1" ht="18.75">
      <c r="A11" s="12">
        <f>MAY!A129</f>
        <v>25569.041666666668</v>
      </c>
      <c r="B11" s="65">
        <f>MAY!B129</f>
      </c>
      <c r="C11" s="65">
        <f>MAY!D129</f>
      </c>
      <c r="D11" s="65">
        <f>MAY!E129</f>
      </c>
      <c r="E11" s="65">
        <f>MAY!F129</f>
      </c>
      <c r="F11" s="65">
        <f>MAY!G129</f>
      </c>
      <c r="G11" s="65">
        <f>MAY!H129</f>
      </c>
      <c r="H11" s="17">
        <f>MAY!O129</f>
      </c>
      <c r="I11" s="65">
        <f>MAY!R129</f>
      </c>
      <c r="J11" s="17">
        <f>MAY!AC129</f>
      </c>
      <c r="K11" s="17">
        <f>MAY!AE129</f>
      </c>
      <c r="L11" s="17">
        <f>MAY!AG129</f>
      </c>
      <c r="M11" s="17">
        <f>MAY!AH129</f>
      </c>
      <c r="N11" s="17">
        <f>MAY!AI129</f>
      </c>
    </row>
    <row x14ac:dyDescent="0.25" r="12" customHeight="1" ht="18.75">
      <c r="A12" s="12">
        <f>MAY!A130</f>
        <v>25569.041666666668</v>
      </c>
      <c r="B12" s="65">
        <f>MAY!B130</f>
      </c>
      <c r="C12" s="65">
        <f>MAY!D130</f>
      </c>
      <c r="D12" s="65">
        <f>MAY!E130</f>
      </c>
      <c r="E12" s="65">
        <f>MAY!F130</f>
      </c>
      <c r="F12" s="65">
        <f>MAY!G130</f>
      </c>
      <c r="G12" s="65">
        <f>MAY!H130</f>
      </c>
      <c r="H12" s="17">
        <f>MAY!O130</f>
      </c>
      <c r="I12" s="65">
        <f>MAY!R130</f>
      </c>
      <c r="J12" s="17">
        <f>MAY!AC130</f>
      </c>
      <c r="K12" s="17">
        <f>MAY!AE130</f>
      </c>
      <c r="L12" s="17">
        <f>MAY!AG130</f>
      </c>
      <c r="M12" s="17">
        <f>MAY!AH130</f>
      </c>
      <c r="N12" s="17">
        <f>MAY!AI130</f>
      </c>
    </row>
    <row x14ac:dyDescent="0.25" r="13" customHeight="1" ht="18.75">
      <c r="A13" s="12">
        <f>MAY!A131</f>
        <v>25569.041666666668</v>
      </c>
      <c r="B13" s="65">
        <f>MAY!B131</f>
      </c>
      <c r="C13" s="65">
        <f>MAY!D131</f>
      </c>
      <c r="D13" s="12">
        <f>MAY!E131</f>
        <v>25569.041666666668</v>
      </c>
      <c r="E13" s="65">
        <f>MAY!F131</f>
      </c>
      <c r="F13" s="65">
        <f>MAY!G131</f>
      </c>
      <c r="G13" s="65">
        <f>MAY!H131</f>
      </c>
      <c r="H13" s="17">
        <f>MAY!O131</f>
      </c>
      <c r="I13" s="65">
        <f>MAY!R131</f>
      </c>
      <c r="J13" s="17">
        <f>MAY!AC131</f>
      </c>
      <c r="K13" s="17">
        <f>MAY!AE131</f>
      </c>
      <c r="L13" s="17">
        <f>MAY!AG131</f>
      </c>
      <c r="M13" s="17">
        <f>MAY!AH131</f>
      </c>
      <c r="N13" s="17">
        <f>MAY!AI131</f>
      </c>
    </row>
    <row x14ac:dyDescent="0.25" r="14" customHeight="1" ht="18.75">
      <c r="A14" s="17">
        <f>MAY!A150</f>
      </c>
      <c r="B14" s="17">
        <f>MAY!B150</f>
      </c>
      <c r="C14" s="17">
        <f>MAY!D150</f>
      </c>
      <c r="D14" s="17">
        <f>MAY!E150</f>
      </c>
      <c r="E14" s="17">
        <f>MAY!F150</f>
      </c>
      <c r="F14" s="17">
        <f>MAY!G150</f>
      </c>
      <c r="G14" s="17">
        <f>MAY!H150</f>
      </c>
      <c r="H14" s="17">
        <f>MAY!O150</f>
      </c>
      <c r="I14" s="17">
        <f>MAY!R150</f>
      </c>
      <c r="J14" s="17">
        <f>MAY!AC150</f>
      </c>
      <c r="K14" s="17">
        <f>MAY!AE150</f>
      </c>
      <c r="L14" s="17">
        <f>SUM(L1:L13)</f>
      </c>
      <c r="M14" s="17">
        <f>MAY!AH150</f>
      </c>
      <c r="N14" s="17">
        <f>MAY!AI150</f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95"/>
  <sheetViews>
    <sheetView workbookViewId="0"/>
  </sheetViews>
  <sheetFormatPr defaultRowHeight="15" x14ac:dyDescent="0.25"/>
  <cols>
    <col min="1" max="1" style="20" width="13.576428571428572" customWidth="1" bestFit="1"/>
    <col min="2" max="2" style="36" width="5.576428571428571" customWidth="1" bestFit="1"/>
    <col min="3" max="3" style="36" width="13.576428571428572" customWidth="1" bestFit="1"/>
    <col min="4" max="4" style="36" width="13.576428571428572" customWidth="1" bestFit="1"/>
    <col min="5" max="5" style="36" width="13.576428571428572" customWidth="1" bestFit="1"/>
    <col min="6" max="6" style="36" width="22.433571428571426" customWidth="1" bestFit="1"/>
    <col min="7" max="7" style="36" width="6.147857142857143" customWidth="1" bestFit="1"/>
    <col min="8" max="8" style="37" width="13.576428571428572" customWidth="1" bestFit="1"/>
    <col min="9" max="9" style="36" width="13.576428571428572" customWidth="1" bestFit="1"/>
    <col min="10" max="10" style="36" width="18.433571428571426" customWidth="1" bestFit="1"/>
    <col min="11" max="11" style="37" width="7.2907142857142855" customWidth="1" bestFit="1"/>
    <col min="12" max="12" style="37" width="13.576428571428572" customWidth="1" bestFit="1"/>
    <col min="13" max="13" style="37" width="13.576428571428572" customWidth="1" bestFit="1"/>
    <col min="14" max="14" style="37" width="13.576428571428572" customWidth="1" bestFit="1"/>
    <col min="15" max="15" style="37" width="13.576428571428572" customWidth="1" bestFit="1"/>
    <col min="16" max="16" style="37" width="13.576428571428572" customWidth="1" bestFit="1"/>
  </cols>
  <sheetData>
    <row x14ac:dyDescent="0.25" r="1" customHeight="1" ht="20.1">
      <c r="A1" s="25" t="s">
        <v>1</v>
      </c>
      <c r="B1" s="26" t="s">
        <v>3</v>
      </c>
      <c r="C1" s="26" t="s">
        <v>4</v>
      </c>
      <c r="D1" s="26" t="s">
        <v>5</v>
      </c>
      <c r="E1" s="26" t="s">
        <v>6</v>
      </c>
      <c r="F1" s="26" t="s">
        <v>7</v>
      </c>
      <c r="G1" s="26" t="s">
        <v>8</v>
      </c>
      <c r="H1" s="27" t="s">
        <v>11</v>
      </c>
      <c r="I1" s="26" t="s">
        <v>13</v>
      </c>
      <c r="J1" s="26" t="s">
        <v>14</v>
      </c>
      <c r="K1" s="27" t="s">
        <v>15</v>
      </c>
      <c r="L1" s="38" t="s">
        <v>11</v>
      </c>
      <c r="M1" s="39" t="s">
        <v>165</v>
      </c>
      <c r="N1" s="29">
        <v>17905765</v>
      </c>
      <c r="O1" s="29"/>
      <c r="P1" s="29">
        <v>17905765</v>
      </c>
    </row>
    <row x14ac:dyDescent="0.25" r="2" customHeight="1" ht="20.1">
      <c r="A2" s="12">
        <v>45778</v>
      </c>
      <c r="B2" s="14" t="s">
        <v>111</v>
      </c>
      <c r="C2" s="14" t="s">
        <v>166</v>
      </c>
      <c r="D2" s="14" t="s">
        <v>167</v>
      </c>
      <c r="E2" s="14" t="s">
        <v>168</v>
      </c>
      <c r="F2" s="30" t="s">
        <v>169</v>
      </c>
      <c r="G2" s="30" t="s">
        <v>170</v>
      </c>
      <c r="H2" s="17">
        <v>394420</v>
      </c>
      <c r="I2" s="14" t="s">
        <v>50</v>
      </c>
      <c r="J2" s="31" t="s">
        <v>171</v>
      </c>
      <c r="K2" s="40">
        <v>4</v>
      </c>
      <c r="L2" s="32">
        <v>394420</v>
      </c>
      <c r="M2" s="29"/>
      <c r="N2" s="29">
        <v>18725205</v>
      </c>
      <c r="O2" s="29">
        <v>1213860</v>
      </c>
      <c r="P2" s="29">
        <v>18725205</v>
      </c>
    </row>
    <row x14ac:dyDescent="0.25" r="3" customHeight="1" ht="20.1">
      <c r="A3" s="12">
        <v>45779</v>
      </c>
      <c r="B3" s="14" t="s">
        <v>66</v>
      </c>
      <c r="C3" s="14" t="s">
        <v>172</v>
      </c>
      <c r="D3" s="14" t="s">
        <v>173</v>
      </c>
      <c r="E3" s="14" t="s">
        <v>174</v>
      </c>
      <c r="F3" s="30" t="s">
        <v>175</v>
      </c>
      <c r="G3" s="30" t="s">
        <v>26</v>
      </c>
      <c r="H3" s="17">
        <v>1135420</v>
      </c>
      <c r="I3" s="14" t="s">
        <v>50</v>
      </c>
      <c r="J3" s="31" t="s">
        <v>176</v>
      </c>
      <c r="K3" s="40">
        <v>2</v>
      </c>
      <c r="L3" s="32">
        <v>1135420</v>
      </c>
      <c r="M3" s="29"/>
      <c r="N3" s="29">
        <v>17589785</v>
      </c>
      <c r="O3" s="29"/>
      <c r="P3" s="29">
        <v>17589785</v>
      </c>
    </row>
    <row x14ac:dyDescent="0.25" r="4" customHeight="1" ht="20.1">
      <c r="A4" s="12" t="s">
        <v>177</v>
      </c>
      <c r="B4" s="14" t="s">
        <v>46</v>
      </c>
      <c r="C4" s="14" t="s">
        <v>178</v>
      </c>
      <c r="D4" s="14" t="s">
        <v>179</v>
      </c>
      <c r="E4" s="14" t="s">
        <v>180</v>
      </c>
      <c r="F4" s="30" t="s">
        <v>181</v>
      </c>
      <c r="G4" s="30" t="s">
        <v>26</v>
      </c>
      <c r="H4" s="17">
        <v>1160120</v>
      </c>
      <c r="I4" s="14" t="s">
        <v>50</v>
      </c>
      <c r="J4" s="31" t="s">
        <v>182</v>
      </c>
      <c r="K4" s="40">
        <v>4</v>
      </c>
      <c r="L4" s="32">
        <v>1160120</v>
      </c>
      <c r="M4" s="29"/>
      <c r="N4" s="29"/>
      <c r="O4" s="29"/>
      <c r="P4" s="29">
        <v>16429665</v>
      </c>
    </row>
    <row x14ac:dyDescent="0.25" r="5" customHeight="1" ht="20.1">
      <c r="A5" s="12">
        <v>45779</v>
      </c>
      <c r="B5" s="14" t="s">
        <v>46</v>
      </c>
      <c r="C5" s="14" t="s">
        <v>183</v>
      </c>
      <c r="D5" s="14" t="s">
        <v>184</v>
      </c>
      <c r="E5" s="14" t="s">
        <v>185</v>
      </c>
      <c r="F5" s="30" t="s">
        <v>186</v>
      </c>
      <c r="G5" s="30" t="s">
        <v>26</v>
      </c>
      <c r="H5" s="17">
        <v>5248600</v>
      </c>
      <c r="I5" s="14" t="s">
        <v>187</v>
      </c>
      <c r="J5" s="3" t="s">
        <v>188</v>
      </c>
      <c r="K5" s="41"/>
      <c r="L5" s="32">
        <v>5248600</v>
      </c>
      <c r="M5" s="29"/>
      <c r="N5" s="29"/>
      <c r="O5" s="29"/>
      <c r="P5" s="29">
        <v>11181065</v>
      </c>
    </row>
    <row x14ac:dyDescent="0.25" r="6" customHeight="1" ht="20.1">
      <c r="A6" s="12">
        <v>45751</v>
      </c>
      <c r="B6" s="14" t="s">
        <v>111</v>
      </c>
      <c r="C6" s="14" t="s">
        <v>189</v>
      </c>
      <c r="D6" s="14" t="s">
        <v>190</v>
      </c>
      <c r="E6" s="14" t="s">
        <v>84</v>
      </c>
      <c r="F6" s="30" t="s">
        <v>191</v>
      </c>
      <c r="G6" s="30" t="s">
        <v>26</v>
      </c>
      <c r="H6" s="17">
        <v>343655</v>
      </c>
      <c r="I6" s="14" t="s">
        <v>50</v>
      </c>
      <c r="J6" s="31" t="s">
        <v>192</v>
      </c>
      <c r="K6" s="40">
        <v>2</v>
      </c>
      <c r="L6" s="32">
        <v>343655</v>
      </c>
      <c r="M6" s="29"/>
      <c r="N6" s="29">
        <v>10986710</v>
      </c>
      <c r="O6" s="29">
        <v>149300</v>
      </c>
      <c r="P6" s="29">
        <v>10986710</v>
      </c>
    </row>
    <row x14ac:dyDescent="0.25" r="7" customHeight="1" ht="20.1">
      <c r="A7" s="12">
        <v>45782</v>
      </c>
      <c r="B7" s="14" t="s">
        <v>46</v>
      </c>
      <c r="C7" s="14" t="s">
        <v>63</v>
      </c>
      <c r="D7" s="14" t="s">
        <v>193</v>
      </c>
      <c r="E7" s="14" t="s">
        <v>194</v>
      </c>
      <c r="F7" s="30" t="s">
        <v>195</v>
      </c>
      <c r="G7" s="30" t="s">
        <v>26</v>
      </c>
      <c r="H7" s="17">
        <v>1223800</v>
      </c>
      <c r="I7" s="14" t="s">
        <v>50</v>
      </c>
      <c r="J7" s="31" t="s">
        <v>196</v>
      </c>
      <c r="K7" s="40">
        <v>2</v>
      </c>
      <c r="L7" s="32">
        <v>1223800</v>
      </c>
      <c r="M7" s="29"/>
      <c r="N7" s="29"/>
      <c r="O7" s="29"/>
      <c r="P7" s="29">
        <v>9762910</v>
      </c>
    </row>
    <row x14ac:dyDescent="0.25" r="8" customHeight="1" ht="20.1">
      <c r="A8" s="12">
        <v>45782</v>
      </c>
      <c r="B8" s="14" t="s">
        <v>46</v>
      </c>
      <c r="C8" s="14" t="s">
        <v>197</v>
      </c>
      <c r="D8" s="14" t="s">
        <v>198</v>
      </c>
      <c r="E8" s="14" t="s">
        <v>194</v>
      </c>
      <c r="F8" s="30" t="s">
        <v>199</v>
      </c>
      <c r="G8" s="30" t="s">
        <v>26</v>
      </c>
      <c r="H8" s="17">
        <v>2326200</v>
      </c>
      <c r="I8" s="14" t="s">
        <v>50</v>
      </c>
      <c r="J8" s="31" t="s">
        <v>200</v>
      </c>
      <c r="K8" s="40">
        <v>4</v>
      </c>
      <c r="L8" s="32">
        <v>2326200</v>
      </c>
      <c r="M8" s="29"/>
      <c r="N8" s="29"/>
      <c r="O8" s="29"/>
      <c r="P8" s="29">
        <v>7436710</v>
      </c>
    </row>
    <row x14ac:dyDescent="0.25" r="9" customHeight="1" ht="20.1">
      <c r="A9" s="12">
        <v>45782</v>
      </c>
      <c r="B9" s="14" t="s">
        <v>66</v>
      </c>
      <c r="C9" s="14" t="s">
        <v>166</v>
      </c>
      <c r="D9" s="14" t="s">
        <v>201</v>
      </c>
      <c r="E9" s="14" t="s">
        <v>84</v>
      </c>
      <c r="F9" s="30" t="s">
        <v>202</v>
      </c>
      <c r="G9" s="30" t="s">
        <v>26</v>
      </c>
      <c r="H9" s="17">
        <v>490120</v>
      </c>
      <c r="I9" s="14" t="s">
        <v>50</v>
      </c>
      <c r="J9" s="31" t="s">
        <v>203</v>
      </c>
      <c r="K9" s="40">
        <v>2</v>
      </c>
      <c r="L9" s="32">
        <v>490120</v>
      </c>
      <c r="M9" s="29"/>
      <c r="N9" s="29">
        <v>6946590</v>
      </c>
      <c r="O9" s="29"/>
      <c r="P9" s="29">
        <v>6946590</v>
      </c>
    </row>
    <row x14ac:dyDescent="0.25" r="10" customHeight="1" ht="20.1">
      <c r="A10" s="12">
        <v>45783</v>
      </c>
      <c r="B10" s="14" t="s">
        <v>46</v>
      </c>
      <c r="C10" s="14" t="s">
        <v>204</v>
      </c>
      <c r="D10" s="14" t="s">
        <v>205</v>
      </c>
      <c r="E10" s="14" t="s">
        <v>84</v>
      </c>
      <c r="F10" s="30" t="s">
        <v>206</v>
      </c>
      <c r="G10" s="30" t="s">
        <v>26</v>
      </c>
      <c r="H10" s="17">
        <v>949620</v>
      </c>
      <c r="I10" s="14" t="s">
        <v>50</v>
      </c>
      <c r="J10" s="31" t="s">
        <v>207</v>
      </c>
      <c r="K10" s="40">
        <v>4</v>
      </c>
      <c r="L10" s="32">
        <v>949620</v>
      </c>
      <c r="M10" s="29"/>
      <c r="N10" s="29"/>
      <c r="O10" s="29"/>
      <c r="P10" s="29">
        <v>5996970</v>
      </c>
    </row>
    <row x14ac:dyDescent="0.25" r="11" customHeight="1" ht="20.1">
      <c r="A11" s="12">
        <v>45783</v>
      </c>
      <c r="B11" s="14" t="s">
        <v>46</v>
      </c>
      <c r="C11" s="14" t="s">
        <v>118</v>
      </c>
      <c r="D11" s="14" t="s">
        <v>208</v>
      </c>
      <c r="E11" s="14" t="s">
        <v>209</v>
      </c>
      <c r="F11" s="30" t="s">
        <v>210</v>
      </c>
      <c r="G11" s="30" t="s">
        <v>26</v>
      </c>
      <c r="H11" s="17">
        <v>941620</v>
      </c>
      <c r="I11" s="14" t="s">
        <v>50</v>
      </c>
      <c r="J11" s="14" t="s">
        <v>211</v>
      </c>
      <c r="K11" s="40">
        <v>4</v>
      </c>
      <c r="L11" s="32">
        <v>941620</v>
      </c>
      <c r="M11" s="29"/>
      <c r="N11" s="29">
        <v>5055350</v>
      </c>
      <c r="O11" s="29"/>
      <c r="P11" s="29">
        <v>5055350</v>
      </c>
    </row>
    <row x14ac:dyDescent="0.25" r="12" customHeight="1" ht="20.1">
      <c r="A12" s="12">
        <v>45784</v>
      </c>
      <c r="B12" s="14" t="s">
        <v>111</v>
      </c>
      <c r="C12" s="14" t="s">
        <v>212</v>
      </c>
      <c r="D12" s="14" t="s">
        <v>213</v>
      </c>
      <c r="E12" s="14" t="s">
        <v>84</v>
      </c>
      <c r="F12" s="30" t="s">
        <v>214</v>
      </c>
      <c r="G12" s="30" t="s">
        <v>26</v>
      </c>
      <c r="H12" s="17">
        <v>348005</v>
      </c>
      <c r="I12" s="14" t="s">
        <v>50</v>
      </c>
      <c r="J12" s="31" t="s">
        <v>215</v>
      </c>
      <c r="K12" s="40">
        <v>2</v>
      </c>
      <c r="L12" s="32">
        <v>348005</v>
      </c>
      <c r="M12" s="29"/>
      <c r="N12" s="29"/>
      <c r="O12" s="29"/>
      <c r="P12" s="29">
        <v>4707345</v>
      </c>
    </row>
    <row x14ac:dyDescent="0.25" r="13" customHeight="1" ht="20.1">
      <c r="A13" s="12">
        <v>45784</v>
      </c>
      <c r="B13" s="14" t="s">
        <v>111</v>
      </c>
      <c r="C13" s="14" t="s">
        <v>216</v>
      </c>
      <c r="D13" s="14" t="s">
        <v>217</v>
      </c>
      <c r="E13" s="14" t="s">
        <v>84</v>
      </c>
      <c r="F13" s="30" t="s">
        <v>218</v>
      </c>
      <c r="G13" s="30" t="s">
        <v>26</v>
      </c>
      <c r="H13" s="17">
        <v>341305</v>
      </c>
      <c r="I13" s="14" t="s">
        <v>50</v>
      </c>
      <c r="J13" s="31" t="s">
        <v>219</v>
      </c>
      <c r="K13" s="40">
        <v>2</v>
      </c>
      <c r="L13" s="32">
        <v>341305</v>
      </c>
      <c r="M13" s="29"/>
      <c r="N13" s="29"/>
      <c r="O13" s="29"/>
      <c r="P13" s="29">
        <v>4366040</v>
      </c>
    </row>
    <row x14ac:dyDescent="0.25" r="14" customHeight="1" ht="20.1">
      <c r="A14" s="12">
        <v>45784</v>
      </c>
      <c r="B14" s="14" t="s">
        <v>111</v>
      </c>
      <c r="C14" s="14" t="s">
        <v>112</v>
      </c>
      <c r="D14" s="14" t="s">
        <v>220</v>
      </c>
      <c r="E14" s="14" t="s">
        <v>84</v>
      </c>
      <c r="F14" s="30" t="s">
        <v>221</v>
      </c>
      <c r="G14" s="30" t="s">
        <v>26</v>
      </c>
      <c r="H14" s="17">
        <v>428805</v>
      </c>
      <c r="I14" s="14" t="s">
        <v>50</v>
      </c>
      <c r="J14" s="31" t="s">
        <v>222</v>
      </c>
      <c r="K14" s="40">
        <v>2</v>
      </c>
      <c r="L14" s="32">
        <v>428805</v>
      </c>
      <c r="M14" s="29"/>
      <c r="N14" s="29"/>
      <c r="O14" s="29"/>
      <c r="P14" s="29">
        <v>3937235</v>
      </c>
    </row>
    <row x14ac:dyDescent="0.25" r="15" customHeight="1" ht="20.1">
      <c r="A15" s="12">
        <v>45784</v>
      </c>
      <c r="B15" s="14" t="s">
        <v>46</v>
      </c>
      <c r="C15" s="14" t="s">
        <v>54</v>
      </c>
      <c r="D15" s="14" t="s">
        <v>223</v>
      </c>
      <c r="E15" s="14" t="s">
        <v>84</v>
      </c>
      <c r="F15" s="30" t="s">
        <v>224</v>
      </c>
      <c r="G15" s="30" t="s">
        <v>26</v>
      </c>
      <c r="H15" s="17">
        <v>702420</v>
      </c>
      <c r="I15" s="14" t="s">
        <v>50</v>
      </c>
      <c r="J15" s="31" t="s">
        <v>225</v>
      </c>
      <c r="K15" s="40">
        <v>2</v>
      </c>
      <c r="L15" s="32">
        <v>702420</v>
      </c>
      <c r="M15" s="29"/>
      <c r="N15" s="29"/>
      <c r="O15" s="29"/>
      <c r="P15" s="29">
        <v>3234815</v>
      </c>
    </row>
    <row x14ac:dyDescent="0.25" r="16" customHeight="1" ht="20.1">
      <c r="A16" s="12">
        <v>45784</v>
      </c>
      <c r="B16" s="14" t="s">
        <v>46</v>
      </c>
      <c r="C16" s="14" t="s">
        <v>226</v>
      </c>
      <c r="D16" s="14" t="s">
        <v>227</v>
      </c>
      <c r="E16" s="14" t="s">
        <v>174</v>
      </c>
      <c r="F16" s="30" t="s">
        <v>228</v>
      </c>
      <c r="G16" s="30" t="s">
        <v>26</v>
      </c>
      <c r="H16" s="17">
        <v>8566200</v>
      </c>
      <c r="I16" s="14" t="s">
        <v>187</v>
      </c>
      <c r="J16" s="31" t="s">
        <v>229</v>
      </c>
      <c r="K16" s="41"/>
      <c r="L16" s="32">
        <v>8566200</v>
      </c>
      <c r="M16" s="29">
        <v>15000000</v>
      </c>
      <c r="N16" s="29"/>
      <c r="O16" s="29"/>
      <c r="P16" s="29">
        <v>9668615</v>
      </c>
    </row>
    <row x14ac:dyDescent="0.25" r="17" customHeight="1" ht="20.1">
      <c r="A17" s="42">
        <v>45784</v>
      </c>
      <c r="B17" s="43" t="s">
        <v>46</v>
      </c>
      <c r="C17" s="43" t="s">
        <v>54</v>
      </c>
      <c r="D17" s="43"/>
      <c r="E17" s="43" t="s">
        <v>84</v>
      </c>
      <c r="F17" s="43" t="s">
        <v>202</v>
      </c>
      <c r="G17" s="43" t="s">
        <v>26</v>
      </c>
      <c r="H17" s="44">
        <v>1012900</v>
      </c>
      <c r="I17" s="43" t="s">
        <v>230</v>
      </c>
      <c r="J17" s="45" t="s">
        <v>225</v>
      </c>
      <c r="K17" s="46" t="s">
        <v>231</v>
      </c>
      <c r="L17" s="32">
        <v>0</v>
      </c>
      <c r="M17" s="29"/>
      <c r="N17" s="29"/>
      <c r="O17" s="29"/>
      <c r="P17" s="29">
        <v>8655715</v>
      </c>
    </row>
    <row x14ac:dyDescent="0.25" r="18" customHeight="1" ht="20.1">
      <c r="A18" s="12">
        <v>45785</v>
      </c>
      <c r="B18" s="14" t="s">
        <v>53</v>
      </c>
      <c r="C18" s="14" t="s">
        <v>232</v>
      </c>
      <c r="D18" s="14"/>
      <c r="E18" s="14" t="s">
        <v>90</v>
      </c>
      <c r="F18" s="30" t="s">
        <v>233</v>
      </c>
      <c r="G18" s="30" t="s">
        <v>26</v>
      </c>
      <c r="H18" s="17">
        <v>1517820</v>
      </c>
      <c r="I18" s="14" t="s">
        <v>137</v>
      </c>
      <c r="J18" s="47" t="s">
        <v>234</v>
      </c>
      <c r="K18" s="41"/>
      <c r="L18" s="32">
        <v>1517820</v>
      </c>
      <c r="M18" s="29"/>
      <c r="N18" s="29"/>
      <c r="O18" s="29"/>
      <c r="P18" s="29">
        <v>7137895</v>
      </c>
    </row>
    <row x14ac:dyDescent="0.25" r="19" customHeight="1" ht="20.1">
      <c r="A19" s="12">
        <v>45785</v>
      </c>
      <c r="B19" s="14" t="s">
        <v>53</v>
      </c>
      <c r="C19" s="14" t="s">
        <v>232</v>
      </c>
      <c r="D19" s="14"/>
      <c r="E19" s="14" t="s">
        <v>90</v>
      </c>
      <c r="F19" s="30" t="s">
        <v>235</v>
      </c>
      <c r="G19" s="30" t="s">
        <v>26</v>
      </c>
      <c r="H19" s="17">
        <v>1517820</v>
      </c>
      <c r="I19" s="14" t="s">
        <v>137</v>
      </c>
      <c r="J19" s="47" t="s">
        <v>236</v>
      </c>
      <c r="K19" s="41"/>
      <c r="L19" s="32">
        <v>1517820</v>
      </c>
      <c r="M19" s="29"/>
      <c r="N19" s="29"/>
      <c r="O19" s="29"/>
      <c r="P19" s="29">
        <v>5620075</v>
      </c>
    </row>
    <row x14ac:dyDescent="0.25" r="20" customHeight="1" ht="20.1">
      <c r="A20" s="12">
        <v>45785</v>
      </c>
      <c r="B20" s="14" t="s">
        <v>53</v>
      </c>
      <c r="C20" s="14" t="s">
        <v>237</v>
      </c>
      <c r="D20" s="14"/>
      <c r="E20" s="14" t="s">
        <v>185</v>
      </c>
      <c r="F20" s="48" t="s">
        <v>238</v>
      </c>
      <c r="G20" s="30" t="s">
        <v>26</v>
      </c>
      <c r="H20" s="17">
        <v>1449600</v>
      </c>
      <c r="I20" s="14" t="s">
        <v>137</v>
      </c>
      <c r="J20" s="47" t="s">
        <v>239</v>
      </c>
      <c r="K20" s="41"/>
      <c r="L20" s="32">
        <v>1449600</v>
      </c>
      <c r="M20" s="29"/>
      <c r="N20" s="29"/>
      <c r="O20" s="29"/>
      <c r="P20" s="29">
        <v>4170475</v>
      </c>
    </row>
    <row x14ac:dyDescent="0.25" r="21" customHeight="1" ht="20.1">
      <c r="A21" s="12">
        <v>45785</v>
      </c>
      <c r="B21" s="14" t="s">
        <v>240</v>
      </c>
      <c r="C21" s="14" t="s">
        <v>241</v>
      </c>
      <c r="D21" s="14"/>
      <c r="E21" s="14" t="s">
        <v>242</v>
      </c>
      <c r="F21" s="30" t="s">
        <v>243</v>
      </c>
      <c r="G21" s="30" t="s">
        <v>26</v>
      </c>
      <c r="H21" s="17">
        <v>2940300</v>
      </c>
      <c r="I21" s="14" t="s">
        <v>137</v>
      </c>
      <c r="J21" s="31" t="s">
        <v>244</v>
      </c>
      <c r="K21" s="41"/>
      <c r="L21" s="32">
        <v>2940300</v>
      </c>
      <c r="M21" s="29"/>
      <c r="N21" s="29"/>
      <c r="O21" s="29"/>
      <c r="P21" s="29">
        <v>1230175</v>
      </c>
    </row>
    <row x14ac:dyDescent="0.25" r="22" customHeight="1" ht="20.1">
      <c r="A22" s="12">
        <v>45785</v>
      </c>
      <c r="B22" s="14" t="s">
        <v>66</v>
      </c>
      <c r="C22" s="14" t="s">
        <v>166</v>
      </c>
      <c r="D22" s="14"/>
      <c r="E22" s="14" t="s">
        <v>185</v>
      </c>
      <c r="F22" s="30" t="s">
        <v>245</v>
      </c>
      <c r="G22" s="30" t="s">
        <v>26</v>
      </c>
      <c r="H22" s="17">
        <v>504800</v>
      </c>
      <c r="I22" s="14" t="s">
        <v>246</v>
      </c>
      <c r="J22" s="31" t="s">
        <v>247</v>
      </c>
      <c r="K22" s="41"/>
      <c r="L22" s="32">
        <v>504800</v>
      </c>
      <c r="M22" s="29"/>
      <c r="N22" s="29">
        <v>1738255</v>
      </c>
      <c r="O22" s="29"/>
      <c r="P22" s="29">
        <v>725375</v>
      </c>
    </row>
    <row x14ac:dyDescent="0.25" r="23" customHeight="1" ht="20.1">
      <c r="A23" s="12">
        <v>45786</v>
      </c>
      <c r="B23" s="14" t="s">
        <v>46</v>
      </c>
      <c r="C23" s="14" t="s">
        <v>248</v>
      </c>
      <c r="D23" s="14" t="s">
        <v>249</v>
      </c>
      <c r="E23" s="14" t="s">
        <v>185</v>
      </c>
      <c r="F23" s="30" t="s">
        <v>186</v>
      </c>
      <c r="G23" s="30" t="s">
        <v>26</v>
      </c>
      <c r="H23" s="17">
        <v>0</v>
      </c>
      <c r="I23" s="14" t="s">
        <v>246</v>
      </c>
      <c r="J23" s="31" t="s">
        <v>250</v>
      </c>
      <c r="K23" s="41" t="s">
        <v>251</v>
      </c>
      <c r="L23" s="32">
        <v>0</v>
      </c>
      <c r="M23" s="29"/>
      <c r="N23" s="29"/>
      <c r="O23" s="29"/>
      <c r="P23" s="29">
        <v>725375</v>
      </c>
    </row>
    <row x14ac:dyDescent="0.25" r="24" customHeight="1" ht="20.1">
      <c r="A24" s="12">
        <v>45786</v>
      </c>
      <c r="B24" s="14" t="s">
        <v>252</v>
      </c>
      <c r="C24" s="14" t="s">
        <v>253</v>
      </c>
      <c r="D24" s="14" t="s">
        <v>254</v>
      </c>
      <c r="E24" s="14" t="s">
        <v>255</v>
      </c>
      <c r="F24" s="30" t="s">
        <v>256</v>
      </c>
      <c r="G24" s="30" t="s">
        <v>76</v>
      </c>
      <c r="H24" s="17">
        <v>350420</v>
      </c>
      <c r="I24" s="14" t="s">
        <v>246</v>
      </c>
      <c r="J24" s="31" t="s">
        <v>257</v>
      </c>
      <c r="K24" s="41"/>
      <c r="L24" s="32">
        <v>350420</v>
      </c>
      <c r="M24" s="29"/>
      <c r="N24" s="29"/>
      <c r="O24" s="29"/>
      <c r="P24" s="29">
        <v>374955</v>
      </c>
    </row>
    <row x14ac:dyDescent="0.25" r="25" customHeight="1" ht="20.1">
      <c r="A25" s="12">
        <v>45786</v>
      </c>
      <c r="B25" s="14" t="s">
        <v>111</v>
      </c>
      <c r="C25" s="14" t="s">
        <v>258</v>
      </c>
      <c r="D25" s="14" t="s">
        <v>259</v>
      </c>
      <c r="E25" s="14" t="s">
        <v>260</v>
      </c>
      <c r="F25" s="34" t="s">
        <v>261</v>
      </c>
      <c r="G25" s="30" t="s">
        <v>262</v>
      </c>
      <c r="H25" s="17">
        <v>465620</v>
      </c>
      <c r="I25" s="14" t="s">
        <v>50</v>
      </c>
      <c r="J25" s="31" t="s">
        <v>263</v>
      </c>
      <c r="K25" s="40">
        <v>1</v>
      </c>
      <c r="L25" s="32">
        <v>465620</v>
      </c>
      <c r="M25" s="29"/>
      <c r="N25" s="29"/>
      <c r="O25" s="29"/>
      <c r="P25" s="29">
        <v>-90665</v>
      </c>
    </row>
    <row x14ac:dyDescent="0.25" r="26" customHeight="1" ht="20.1">
      <c r="A26" s="12">
        <v>45786</v>
      </c>
      <c r="B26" s="14" t="s">
        <v>46</v>
      </c>
      <c r="C26" s="14" t="s">
        <v>264</v>
      </c>
      <c r="D26" s="14" t="s">
        <v>265</v>
      </c>
      <c r="E26" s="14" t="s">
        <v>266</v>
      </c>
      <c r="F26" s="30" t="s">
        <v>267</v>
      </c>
      <c r="G26" s="30" t="s">
        <v>26</v>
      </c>
      <c r="H26" s="17">
        <v>23200</v>
      </c>
      <c r="I26" s="14" t="s">
        <v>50</v>
      </c>
      <c r="J26" s="31" t="s">
        <v>268</v>
      </c>
      <c r="K26" s="41" t="s">
        <v>251</v>
      </c>
      <c r="L26" s="32">
        <v>23200</v>
      </c>
      <c r="M26" s="29"/>
      <c r="N26" s="29"/>
      <c r="O26" s="29"/>
      <c r="P26" s="29">
        <v>-113865</v>
      </c>
    </row>
    <row x14ac:dyDescent="0.25" r="27" customHeight="1" ht="20.1">
      <c r="A27" s="12">
        <v>45787</v>
      </c>
      <c r="B27" s="14" t="s">
        <v>111</v>
      </c>
      <c r="C27" s="14" t="s">
        <v>269</v>
      </c>
      <c r="D27" s="14" t="s">
        <v>270</v>
      </c>
      <c r="E27" s="14" t="s">
        <v>271</v>
      </c>
      <c r="F27" s="30" t="s">
        <v>272</v>
      </c>
      <c r="G27" s="30" t="s">
        <v>26</v>
      </c>
      <c r="H27" s="17">
        <v>416320</v>
      </c>
      <c r="I27" s="14" t="s">
        <v>50</v>
      </c>
      <c r="J27" s="31" t="s">
        <v>273</v>
      </c>
      <c r="K27" s="40">
        <v>2</v>
      </c>
      <c r="L27" s="32">
        <v>416320</v>
      </c>
      <c r="M27" s="29"/>
      <c r="N27" s="29"/>
      <c r="O27" s="29"/>
      <c r="P27" s="29">
        <v>-530185</v>
      </c>
    </row>
    <row x14ac:dyDescent="0.25" r="28" customHeight="1" ht="20.1">
      <c r="A28" s="12">
        <v>45787</v>
      </c>
      <c r="B28" s="14" t="s">
        <v>46</v>
      </c>
      <c r="C28" s="14" t="s">
        <v>54</v>
      </c>
      <c r="D28" s="14" t="s">
        <v>274</v>
      </c>
      <c r="E28" s="14" t="s">
        <v>41</v>
      </c>
      <c r="F28" s="30" t="s">
        <v>275</v>
      </c>
      <c r="G28" s="30" t="s">
        <v>26</v>
      </c>
      <c r="H28" s="17">
        <v>2737620</v>
      </c>
      <c r="I28" s="14" t="s">
        <v>50</v>
      </c>
      <c r="J28" s="31" t="s">
        <v>276</v>
      </c>
      <c r="K28" s="40">
        <v>2</v>
      </c>
      <c r="L28" s="32">
        <v>2737620</v>
      </c>
      <c r="M28" s="29"/>
      <c r="N28" s="29"/>
      <c r="O28" s="29"/>
      <c r="P28" s="29">
        <v>-3267805</v>
      </c>
    </row>
    <row x14ac:dyDescent="0.25" r="29" customHeight="1" ht="20.1">
      <c r="A29" s="12">
        <v>45787</v>
      </c>
      <c r="B29" s="14" t="s">
        <v>46</v>
      </c>
      <c r="C29" s="14" t="s">
        <v>47</v>
      </c>
      <c r="D29" s="14" t="s">
        <v>277</v>
      </c>
      <c r="E29" s="14" t="s">
        <v>278</v>
      </c>
      <c r="F29" s="30" t="s">
        <v>279</v>
      </c>
      <c r="G29" s="30" t="s">
        <v>26</v>
      </c>
      <c r="H29" s="17">
        <v>717920</v>
      </c>
      <c r="I29" s="14" t="s">
        <v>280</v>
      </c>
      <c r="J29" s="31" t="s">
        <v>281</v>
      </c>
      <c r="K29" s="40">
        <v>5</v>
      </c>
      <c r="L29" s="32">
        <v>717920</v>
      </c>
      <c r="M29" s="29"/>
      <c r="N29" s="29"/>
      <c r="O29" s="29"/>
      <c r="P29" s="29">
        <v>-3985725</v>
      </c>
    </row>
    <row x14ac:dyDescent="0.25" r="30" customHeight="1" ht="20.1">
      <c r="A30" s="12">
        <v>45787</v>
      </c>
      <c r="B30" s="14" t="s">
        <v>53</v>
      </c>
      <c r="C30" s="14" t="s">
        <v>282</v>
      </c>
      <c r="D30" s="14" t="s">
        <v>283</v>
      </c>
      <c r="E30" s="14" t="s">
        <v>284</v>
      </c>
      <c r="F30" s="30" t="s">
        <v>285</v>
      </c>
      <c r="G30" s="30" t="s">
        <v>26</v>
      </c>
      <c r="H30" s="49">
        <v>1055820</v>
      </c>
      <c r="I30" s="14" t="s">
        <v>137</v>
      </c>
      <c r="J30" s="31" t="s">
        <v>286</v>
      </c>
      <c r="K30" s="41"/>
      <c r="L30" s="32">
        <v>1055820</v>
      </c>
      <c r="M30" s="29"/>
      <c r="N30" s="29"/>
      <c r="O30" s="29"/>
      <c r="P30" s="29">
        <v>-5041545</v>
      </c>
    </row>
    <row x14ac:dyDescent="0.25" r="31" customHeight="1" ht="20.1">
      <c r="A31" s="12">
        <v>45788</v>
      </c>
      <c r="B31" s="14" t="s">
        <v>66</v>
      </c>
      <c r="C31" s="14" t="s">
        <v>166</v>
      </c>
      <c r="D31" s="14" t="s">
        <v>287</v>
      </c>
      <c r="E31" s="14" t="s">
        <v>284</v>
      </c>
      <c r="F31" s="30" t="s">
        <v>288</v>
      </c>
      <c r="G31" s="30" t="s">
        <v>26</v>
      </c>
      <c r="H31" s="17">
        <v>435620</v>
      </c>
      <c r="I31" s="14" t="s">
        <v>50</v>
      </c>
      <c r="J31" s="31" t="s">
        <v>289</v>
      </c>
      <c r="K31" s="40">
        <v>2</v>
      </c>
      <c r="L31" s="32">
        <v>435620</v>
      </c>
      <c r="M31" s="29"/>
      <c r="N31" s="29"/>
      <c r="O31" s="29"/>
      <c r="P31" s="29">
        <v>-5477165</v>
      </c>
    </row>
    <row x14ac:dyDescent="0.25" r="32" customHeight="1" ht="20.1">
      <c r="A32" s="12">
        <v>45789</v>
      </c>
      <c r="B32" s="14" t="s">
        <v>290</v>
      </c>
      <c r="C32" s="14" t="s">
        <v>291</v>
      </c>
      <c r="D32" s="14"/>
      <c r="E32" s="14" t="s">
        <v>292</v>
      </c>
      <c r="F32" s="14" t="s">
        <v>293</v>
      </c>
      <c r="G32" s="14" t="s">
        <v>26</v>
      </c>
      <c r="H32" s="17">
        <v>327520</v>
      </c>
      <c r="I32" s="14" t="s">
        <v>50</v>
      </c>
      <c r="J32" s="14" t="s">
        <v>294</v>
      </c>
      <c r="K32" s="40">
        <v>2</v>
      </c>
      <c r="L32" s="32">
        <v>327520</v>
      </c>
      <c r="M32" s="29"/>
      <c r="N32" s="29"/>
      <c r="O32" s="29"/>
      <c r="P32" s="29">
        <v>-5804685</v>
      </c>
    </row>
    <row x14ac:dyDescent="0.25" r="33" customHeight="1" ht="20.1">
      <c r="A33" s="12">
        <v>45790</v>
      </c>
      <c r="B33" s="14" t="s">
        <v>53</v>
      </c>
      <c r="C33" s="14" t="s">
        <v>295</v>
      </c>
      <c r="D33" s="14"/>
      <c r="E33" s="14" t="s">
        <v>84</v>
      </c>
      <c r="F33" s="14" t="s">
        <v>296</v>
      </c>
      <c r="G33" s="14" t="s">
        <v>26</v>
      </c>
      <c r="H33" s="17">
        <v>833620</v>
      </c>
      <c r="I33" s="14" t="s">
        <v>137</v>
      </c>
      <c r="J33" s="14" t="s">
        <v>297</v>
      </c>
      <c r="K33" s="41"/>
      <c r="L33" s="32">
        <v>833620</v>
      </c>
      <c r="M33" s="29"/>
      <c r="N33" s="29"/>
      <c r="O33" s="29"/>
      <c r="P33" s="29">
        <v>-6638305</v>
      </c>
    </row>
    <row x14ac:dyDescent="0.25" r="34" customHeight="1" ht="20.1">
      <c r="A34" s="12">
        <v>45790</v>
      </c>
      <c r="B34" s="14" t="s">
        <v>46</v>
      </c>
      <c r="C34" s="14" t="s">
        <v>298</v>
      </c>
      <c r="D34" s="14"/>
      <c r="E34" s="14" t="s">
        <v>266</v>
      </c>
      <c r="F34" s="14" t="s">
        <v>299</v>
      </c>
      <c r="G34" s="14" t="s">
        <v>26</v>
      </c>
      <c r="H34" s="17">
        <v>30400</v>
      </c>
      <c r="I34" s="14" t="s">
        <v>50</v>
      </c>
      <c r="J34" s="14" t="s">
        <v>300</v>
      </c>
      <c r="K34" s="41" t="s">
        <v>251</v>
      </c>
      <c r="L34" s="32">
        <v>30400</v>
      </c>
      <c r="M34" s="29"/>
      <c r="N34" s="29"/>
      <c r="O34" s="29"/>
      <c r="P34" s="29">
        <v>-6668705</v>
      </c>
    </row>
    <row x14ac:dyDescent="0.25" r="35" customHeight="1" ht="20.1">
      <c r="A35" s="12">
        <v>45791</v>
      </c>
      <c r="B35" s="14" t="s">
        <v>72</v>
      </c>
      <c r="C35" s="14" t="s">
        <v>295</v>
      </c>
      <c r="D35" s="14"/>
      <c r="E35" s="14" t="s">
        <v>301</v>
      </c>
      <c r="F35" s="14" t="s">
        <v>302</v>
      </c>
      <c r="G35" s="14" t="s">
        <v>26</v>
      </c>
      <c r="H35" s="17">
        <v>516820</v>
      </c>
      <c r="I35" s="14" t="s">
        <v>50</v>
      </c>
      <c r="J35" s="14" t="s">
        <v>303</v>
      </c>
      <c r="K35" s="40">
        <v>4</v>
      </c>
      <c r="L35" s="32">
        <v>516820</v>
      </c>
      <c r="M35" s="29"/>
      <c r="N35" s="29"/>
      <c r="O35" s="29"/>
      <c r="P35" s="29">
        <v>-7185525</v>
      </c>
    </row>
    <row x14ac:dyDescent="0.25" r="36" customHeight="1" ht="20.1">
      <c r="A36" s="12">
        <v>45791</v>
      </c>
      <c r="B36" s="14" t="s">
        <v>111</v>
      </c>
      <c r="C36" s="14" t="s">
        <v>112</v>
      </c>
      <c r="D36" s="34"/>
      <c r="E36" s="14" t="s">
        <v>84</v>
      </c>
      <c r="F36" s="30" t="s">
        <v>304</v>
      </c>
      <c r="G36" s="14" t="s">
        <v>26</v>
      </c>
      <c r="H36" s="17">
        <v>619005</v>
      </c>
      <c r="I36" s="14" t="s">
        <v>50</v>
      </c>
      <c r="J36" s="31" t="s">
        <v>305</v>
      </c>
      <c r="K36" s="40">
        <v>2</v>
      </c>
      <c r="L36" s="32">
        <v>619005</v>
      </c>
      <c r="M36" s="29"/>
      <c r="N36" s="29"/>
      <c r="O36" s="29"/>
      <c r="P36" s="29">
        <v>-7804530</v>
      </c>
    </row>
    <row x14ac:dyDescent="0.25" r="37" customHeight="1" ht="20.1">
      <c r="A37" s="12">
        <v>45791</v>
      </c>
      <c r="B37" s="14" t="s">
        <v>66</v>
      </c>
      <c r="C37" s="14" t="s">
        <v>306</v>
      </c>
      <c r="D37" s="34"/>
      <c r="E37" s="14" t="s">
        <v>84</v>
      </c>
      <c r="F37" s="30" t="s">
        <v>307</v>
      </c>
      <c r="G37" s="14" t="s">
        <v>26</v>
      </c>
      <c r="H37" s="17">
        <v>504820</v>
      </c>
      <c r="I37" s="14" t="s">
        <v>50</v>
      </c>
      <c r="J37" s="31" t="s">
        <v>308</v>
      </c>
      <c r="K37" s="40">
        <v>2</v>
      </c>
      <c r="L37" s="32">
        <v>504820</v>
      </c>
      <c r="M37" s="29"/>
      <c r="N37" s="29"/>
      <c r="O37" s="29"/>
      <c r="P37" s="29">
        <v>-8309350</v>
      </c>
    </row>
    <row x14ac:dyDescent="0.25" r="38" customHeight="1" ht="20.1">
      <c r="A38" s="12">
        <v>45791</v>
      </c>
      <c r="B38" s="14" t="s">
        <v>46</v>
      </c>
      <c r="C38" s="14" t="s">
        <v>309</v>
      </c>
      <c r="D38" s="14"/>
      <c r="E38" s="14" t="s">
        <v>310</v>
      </c>
      <c r="F38" s="30" t="s">
        <v>311</v>
      </c>
      <c r="G38" s="14" t="s">
        <v>26</v>
      </c>
      <c r="H38" s="17">
        <v>906720</v>
      </c>
      <c r="I38" s="14" t="s">
        <v>50</v>
      </c>
      <c r="J38" s="31" t="s">
        <v>312</v>
      </c>
      <c r="K38" s="40">
        <v>4</v>
      </c>
      <c r="L38" s="32">
        <v>906720</v>
      </c>
      <c r="M38" s="29"/>
      <c r="N38" s="29"/>
      <c r="O38" s="29"/>
      <c r="P38" s="29">
        <v>-9216070</v>
      </c>
    </row>
    <row x14ac:dyDescent="0.25" r="39" customHeight="1" ht="20.1">
      <c r="A39" s="12">
        <v>45791</v>
      </c>
      <c r="B39" s="14" t="s">
        <v>106</v>
      </c>
      <c r="C39" s="14" t="s">
        <v>313</v>
      </c>
      <c r="D39" s="14"/>
      <c r="E39" s="14" t="s">
        <v>314</v>
      </c>
      <c r="F39" s="30" t="s">
        <v>315</v>
      </c>
      <c r="G39" s="14" t="s">
        <v>76</v>
      </c>
      <c r="H39" s="17">
        <v>278520</v>
      </c>
      <c r="I39" s="14" t="s">
        <v>50</v>
      </c>
      <c r="J39" s="31" t="s">
        <v>316</v>
      </c>
      <c r="K39" s="40">
        <v>2</v>
      </c>
      <c r="L39" s="32">
        <v>278520</v>
      </c>
      <c r="M39" s="29"/>
      <c r="N39" s="29"/>
      <c r="O39" s="29"/>
      <c r="P39" s="29">
        <v>-9494590</v>
      </c>
    </row>
    <row x14ac:dyDescent="0.25" r="40" customHeight="1" ht="20.1">
      <c r="A40" s="12">
        <v>45791</v>
      </c>
      <c r="B40" s="14" t="s">
        <v>106</v>
      </c>
      <c r="C40" s="14" t="s">
        <v>313</v>
      </c>
      <c r="D40" s="14"/>
      <c r="E40" s="14" t="s">
        <v>314</v>
      </c>
      <c r="F40" s="30" t="s">
        <v>317</v>
      </c>
      <c r="G40" s="14" t="s">
        <v>76</v>
      </c>
      <c r="H40" s="17">
        <v>259820</v>
      </c>
      <c r="I40" s="14" t="s">
        <v>50</v>
      </c>
      <c r="J40" s="31" t="s">
        <v>318</v>
      </c>
      <c r="K40" s="40">
        <v>2</v>
      </c>
      <c r="L40" s="32">
        <v>259820</v>
      </c>
      <c r="M40" s="29"/>
      <c r="N40" s="29"/>
      <c r="O40" s="29"/>
      <c r="P40" s="29">
        <v>-9754410</v>
      </c>
    </row>
    <row x14ac:dyDescent="0.25" r="41" customHeight="1" ht="20.1">
      <c r="A41" s="12">
        <v>45791</v>
      </c>
      <c r="B41" s="14" t="s">
        <v>46</v>
      </c>
      <c r="C41" s="14" t="s">
        <v>319</v>
      </c>
      <c r="D41" s="14"/>
      <c r="E41" s="14" t="s">
        <v>320</v>
      </c>
      <c r="F41" s="30" t="s">
        <v>321</v>
      </c>
      <c r="G41" s="30" t="s">
        <v>26</v>
      </c>
      <c r="H41" s="17">
        <v>559600</v>
      </c>
      <c r="I41" s="14" t="s">
        <v>50</v>
      </c>
      <c r="J41" s="31" t="s">
        <v>322</v>
      </c>
      <c r="K41" s="40">
        <v>1</v>
      </c>
      <c r="L41" s="32">
        <v>559600</v>
      </c>
      <c r="M41" s="29"/>
      <c r="N41" s="29"/>
      <c r="O41" s="29"/>
      <c r="P41" s="29">
        <v>-10314010</v>
      </c>
    </row>
    <row x14ac:dyDescent="0.25" r="42" customHeight="1" ht="20.1">
      <c r="A42" s="12">
        <v>45792</v>
      </c>
      <c r="B42" s="14" t="s">
        <v>72</v>
      </c>
      <c r="C42" s="14" t="s">
        <v>54</v>
      </c>
      <c r="D42" s="14"/>
      <c r="E42" s="14" t="s">
        <v>323</v>
      </c>
      <c r="F42" s="30" t="s">
        <v>324</v>
      </c>
      <c r="G42" s="30" t="s">
        <v>26</v>
      </c>
      <c r="H42" s="17">
        <v>585920</v>
      </c>
      <c r="I42" s="14" t="s">
        <v>50</v>
      </c>
      <c r="J42" s="33" t="s">
        <v>325</v>
      </c>
      <c r="K42" s="40">
        <v>4</v>
      </c>
      <c r="L42" s="32">
        <v>585920</v>
      </c>
      <c r="M42" s="29"/>
      <c r="N42" s="29"/>
      <c r="O42" s="29"/>
      <c r="P42" s="29">
        <v>-10899930</v>
      </c>
    </row>
    <row x14ac:dyDescent="0.25" r="43" customHeight="1" ht="20.1">
      <c r="A43" s="12">
        <v>45793</v>
      </c>
      <c r="B43" s="14" t="s">
        <v>72</v>
      </c>
      <c r="C43" s="14" t="s">
        <v>326</v>
      </c>
      <c r="D43" s="14"/>
      <c r="E43" s="14" t="s">
        <v>327</v>
      </c>
      <c r="F43" s="30" t="s">
        <v>328</v>
      </c>
      <c r="G43" s="30" t="s">
        <v>26</v>
      </c>
      <c r="H43" s="17">
        <v>1667620</v>
      </c>
      <c r="I43" s="14" t="s">
        <v>50</v>
      </c>
      <c r="J43" s="33" t="s">
        <v>329</v>
      </c>
      <c r="K43" s="40">
        <v>2</v>
      </c>
      <c r="L43" s="32">
        <v>1667620</v>
      </c>
      <c r="M43" s="29"/>
      <c r="N43" s="29"/>
      <c r="O43" s="29"/>
      <c r="P43" s="29">
        <v>-12567550</v>
      </c>
    </row>
    <row x14ac:dyDescent="0.25" r="44" customHeight="1" ht="20.1">
      <c r="A44" s="50">
        <v>45793</v>
      </c>
      <c r="B44" s="51" t="s">
        <v>46</v>
      </c>
      <c r="C44" s="51" t="s">
        <v>118</v>
      </c>
      <c r="D44" s="51"/>
      <c r="E44" s="51" t="s">
        <v>209</v>
      </c>
      <c r="F44" s="51" t="s">
        <v>330</v>
      </c>
      <c r="G44" s="51" t="s">
        <v>26</v>
      </c>
      <c r="H44" s="52">
        <v>306400</v>
      </c>
      <c r="I44" s="51" t="s">
        <v>50</v>
      </c>
      <c r="J44" s="53" t="s">
        <v>331</v>
      </c>
      <c r="K44" s="54" t="s">
        <v>251</v>
      </c>
      <c r="L44" s="32">
        <v>306400</v>
      </c>
      <c r="M44" s="29"/>
      <c r="N44" s="29"/>
      <c r="O44" s="29"/>
      <c r="P44" s="29">
        <v>-12873950</v>
      </c>
    </row>
    <row x14ac:dyDescent="0.25" r="45" customHeight="1" ht="20.1">
      <c r="A45" s="12">
        <v>45794</v>
      </c>
      <c r="B45" s="14" t="s">
        <v>66</v>
      </c>
      <c r="C45" s="14" t="s">
        <v>166</v>
      </c>
      <c r="D45" s="14"/>
      <c r="E45" s="14" t="s">
        <v>332</v>
      </c>
      <c r="F45" s="14" t="s">
        <v>333</v>
      </c>
      <c r="G45" s="30" t="s">
        <v>26</v>
      </c>
      <c r="H45" s="17">
        <v>435620</v>
      </c>
      <c r="I45" s="14" t="s">
        <v>50</v>
      </c>
      <c r="J45" s="33" t="s">
        <v>334</v>
      </c>
      <c r="K45" s="41"/>
      <c r="L45" s="32">
        <v>435620</v>
      </c>
      <c r="M45" s="29"/>
      <c r="N45" s="29"/>
      <c r="O45" s="29"/>
      <c r="P45" s="29">
        <v>-13309570</v>
      </c>
    </row>
    <row x14ac:dyDescent="0.25" r="46" customHeight="1" ht="20.1">
      <c r="A46" s="12">
        <v>45794</v>
      </c>
      <c r="B46" s="14" t="s">
        <v>66</v>
      </c>
      <c r="C46" s="14" t="s">
        <v>166</v>
      </c>
      <c r="D46" s="14"/>
      <c r="E46" s="14" t="s">
        <v>332</v>
      </c>
      <c r="F46" s="14" t="s">
        <v>332</v>
      </c>
      <c r="G46" s="30" t="s">
        <v>26</v>
      </c>
      <c r="H46" s="17">
        <v>435620</v>
      </c>
      <c r="I46" s="14" t="s">
        <v>50</v>
      </c>
      <c r="J46" s="33" t="s">
        <v>335</v>
      </c>
      <c r="K46" s="41"/>
      <c r="L46" s="32">
        <v>435620</v>
      </c>
      <c r="M46" s="29"/>
      <c r="N46" s="29"/>
      <c r="O46" s="29"/>
      <c r="P46" s="29">
        <v>-13745190</v>
      </c>
    </row>
    <row x14ac:dyDescent="0.25" r="47" customHeight="1" ht="20.1">
      <c r="A47" s="12">
        <v>45794</v>
      </c>
      <c r="B47" s="14" t="s">
        <v>66</v>
      </c>
      <c r="C47" s="14" t="s">
        <v>166</v>
      </c>
      <c r="D47" s="14"/>
      <c r="E47" s="14" t="s">
        <v>332</v>
      </c>
      <c r="F47" s="14" t="s">
        <v>333</v>
      </c>
      <c r="G47" s="30" t="s">
        <v>26</v>
      </c>
      <c r="H47" s="17">
        <v>60000</v>
      </c>
      <c r="I47" s="14" t="s">
        <v>50</v>
      </c>
      <c r="J47" s="33" t="s">
        <v>336</v>
      </c>
      <c r="K47" s="41" t="s">
        <v>337</v>
      </c>
      <c r="L47" s="32">
        <v>0</v>
      </c>
      <c r="M47" s="29"/>
      <c r="N47" s="29"/>
      <c r="O47" s="29"/>
      <c r="P47" s="29">
        <v>-13745190</v>
      </c>
    </row>
    <row x14ac:dyDescent="0.25" r="48" customHeight="1" ht="20.1">
      <c r="A48" s="12">
        <v>45794</v>
      </c>
      <c r="B48" s="14" t="s">
        <v>66</v>
      </c>
      <c r="C48" s="14" t="s">
        <v>166</v>
      </c>
      <c r="D48" s="14"/>
      <c r="E48" s="14" t="s">
        <v>332</v>
      </c>
      <c r="F48" s="14" t="s">
        <v>332</v>
      </c>
      <c r="G48" s="30" t="s">
        <v>26</v>
      </c>
      <c r="H48" s="17">
        <v>60000</v>
      </c>
      <c r="I48" s="14" t="s">
        <v>50</v>
      </c>
      <c r="J48" s="33" t="s">
        <v>336</v>
      </c>
      <c r="K48" s="41" t="s">
        <v>337</v>
      </c>
      <c r="L48" s="32">
        <v>0</v>
      </c>
      <c r="M48" s="29"/>
      <c r="N48" s="29"/>
      <c r="O48" s="29"/>
      <c r="P48" s="29">
        <v>-13745190</v>
      </c>
    </row>
    <row x14ac:dyDescent="0.25" r="49" customHeight="1" ht="20.1">
      <c r="A49" s="12">
        <v>45795</v>
      </c>
      <c r="B49" s="14" t="s">
        <v>46</v>
      </c>
      <c r="C49" s="14" t="s">
        <v>338</v>
      </c>
      <c r="D49" s="14"/>
      <c r="E49" s="14" t="s">
        <v>162</v>
      </c>
      <c r="F49" s="30" t="s">
        <v>163</v>
      </c>
      <c r="G49" s="30" t="s">
        <v>26</v>
      </c>
      <c r="H49" s="17">
        <v>6583000</v>
      </c>
      <c r="I49" s="14" t="s">
        <v>50</v>
      </c>
      <c r="J49" s="33" t="s">
        <v>339</v>
      </c>
      <c r="K49" s="40">
        <v>4</v>
      </c>
      <c r="L49" s="32">
        <v>6583000</v>
      </c>
      <c r="M49" s="29"/>
      <c r="N49" s="29"/>
      <c r="O49" s="29"/>
      <c r="P49" s="29">
        <v>-20328190</v>
      </c>
    </row>
    <row x14ac:dyDescent="0.25" r="50" customHeight="1" ht="20.1">
      <c r="A50" s="55">
        <v>45796</v>
      </c>
      <c r="B50" s="56" t="s">
        <v>46</v>
      </c>
      <c r="C50" s="56" t="s">
        <v>340</v>
      </c>
      <c r="D50" s="56"/>
      <c r="E50" s="56" t="s">
        <v>162</v>
      </c>
      <c r="F50" s="56" t="s">
        <v>341</v>
      </c>
      <c r="G50" s="56" t="s">
        <v>26</v>
      </c>
      <c r="H50" s="57">
        <v>0</v>
      </c>
      <c r="I50" s="56" t="s">
        <v>187</v>
      </c>
      <c r="J50" s="58" t="s">
        <v>342</v>
      </c>
      <c r="K50" s="59" t="s">
        <v>343</v>
      </c>
      <c r="L50" s="32">
        <v>0</v>
      </c>
      <c r="M50" s="29"/>
      <c r="N50" s="29"/>
      <c r="O50" s="29"/>
      <c r="P50" s="29">
        <v>-20328190</v>
      </c>
    </row>
    <row x14ac:dyDescent="0.25" r="51" customHeight="1" ht="20.1">
      <c r="A51" s="12">
        <v>45796</v>
      </c>
      <c r="B51" s="14" t="s">
        <v>106</v>
      </c>
      <c r="C51" s="14" t="s">
        <v>313</v>
      </c>
      <c r="D51" s="14"/>
      <c r="E51" s="14" t="s">
        <v>344</v>
      </c>
      <c r="F51" s="30" t="s">
        <v>345</v>
      </c>
      <c r="G51" s="30" t="s">
        <v>26</v>
      </c>
      <c r="H51" s="17">
        <v>443620</v>
      </c>
      <c r="I51" s="14" t="s">
        <v>50</v>
      </c>
      <c r="J51" s="33" t="s">
        <v>346</v>
      </c>
      <c r="K51" s="40">
        <v>2</v>
      </c>
      <c r="L51" s="32">
        <v>443620</v>
      </c>
      <c r="M51" s="29"/>
      <c r="N51" s="29"/>
      <c r="O51" s="29"/>
      <c r="P51" s="29">
        <v>-20771810</v>
      </c>
    </row>
    <row x14ac:dyDescent="0.25" r="52" customHeight="1" ht="20.1">
      <c r="A52" s="55">
        <v>45796</v>
      </c>
      <c r="B52" s="56" t="s">
        <v>347</v>
      </c>
      <c r="C52" s="56" t="s">
        <v>348</v>
      </c>
      <c r="D52" s="56"/>
      <c r="E52" s="56" t="s">
        <v>162</v>
      </c>
      <c r="F52" s="56" t="s">
        <v>341</v>
      </c>
      <c r="G52" s="56" t="s">
        <v>26</v>
      </c>
      <c r="H52" s="57"/>
      <c r="I52" s="56" t="s">
        <v>187</v>
      </c>
      <c r="J52" s="58" t="s">
        <v>349</v>
      </c>
      <c r="K52" s="59" t="s">
        <v>343</v>
      </c>
      <c r="L52" s="32">
        <v>0</v>
      </c>
      <c r="M52" s="29"/>
      <c r="N52" s="29"/>
      <c r="O52" s="29"/>
      <c r="P52" s="29">
        <v>-20771810</v>
      </c>
    </row>
    <row x14ac:dyDescent="0.25" r="53" customHeight="1" ht="20.1">
      <c r="A53" s="12">
        <v>45796</v>
      </c>
      <c r="B53" s="14" t="s">
        <v>46</v>
      </c>
      <c r="C53" s="14" t="s">
        <v>350</v>
      </c>
      <c r="D53" s="14"/>
      <c r="E53" s="14" t="s">
        <v>162</v>
      </c>
      <c r="F53" s="30" t="s">
        <v>351</v>
      </c>
      <c r="G53" s="30" t="s">
        <v>26</v>
      </c>
      <c r="H53" s="17">
        <v>2200000</v>
      </c>
      <c r="I53" s="14" t="s">
        <v>50</v>
      </c>
      <c r="J53" s="33" t="s">
        <v>352</v>
      </c>
      <c r="K53" s="40">
        <v>2</v>
      </c>
      <c r="L53" s="32">
        <v>2200000</v>
      </c>
      <c r="M53" s="29"/>
      <c r="N53" s="29"/>
      <c r="O53" s="29"/>
      <c r="P53" s="29">
        <v>-22971810</v>
      </c>
    </row>
    <row x14ac:dyDescent="0.25" r="54" customHeight="1" ht="20.1">
      <c r="A54" s="12">
        <v>45796</v>
      </c>
      <c r="B54" s="14" t="s">
        <v>72</v>
      </c>
      <c r="C54" s="14" t="s">
        <v>326</v>
      </c>
      <c r="D54" s="14"/>
      <c r="E54" s="14" t="s">
        <v>327</v>
      </c>
      <c r="F54" s="30" t="s">
        <v>328</v>
      </c>
      <c r="G54" s="30" t="s">
        <v>26</v>
      </c>
      <c r="H54" s="17">
        <v>65900</v>
      </c>
      <c r="I54" s="14" t="s">
        <v>50</v>
      </c>
      <c r="J54" s="33" t="s">
        <v>353</v>
      </c>
      <c r="K54" s="41" t="s">
        <v>251</v>
      </c>
      <c r="L54" s="32">
        <v>65900</v>
      </c>
      <c r="M54" s="29"/>
      <c r="N54" s="29"/>
      <c r="O54" s="29"/>
      <c r="P54" s="29">
        <v>-23037710</v>
      </c>
    </row>
    <row x14ac:dyDescent="0.25" r="55" customHeight="1" ht="20.1">
      <c r="A55" s="12">
        <v>45797</v>
      </c>
      <c r="B55" s="14" t="s">
        <v>53</v>
      </c>
      <c r="C55" s="14" t="s">
        <v>354</v>
      </c>
      <c r="D55" s="14"/>
      <c r="E55" s="14" t="s">
        <v>162</v>
      </c>
      <c r="F55" s="30" t="s">
        <v>355</v>
      </c>
      <c r="G55" s="30" t="s">
        <v>26</v>
      </c>
      <c r="H55" s="17">
        <v>3633800</v>
      </c>
      <c r="I55" s="14" t="s">
        <v>187</v>
      </c>
      <c r="J55" s="33" t="s">
        <v>356</v>
      </c>
      <c r="K55" s="41"/>
      <c r="L55" s="32">
        <v>3633800</v>
      </c>
      <c r="M55" s="29"/>
      <c r="N55" s="29"/>
      <c r="O55" s="29"/>
      <c r="P55" s="29">
        <v>-26671510</v>
      </c>
    </row>
    <row x14ac:dyDescent="0.25" r="56" customHeight="1" ht="20.1">
      <c r="A56" s="12">
        <v>45797</v>
      </c>
      <c r="B56" s="14" t="s">
        <v>53</v>
      </c>
      <c r="C56" s="14" t="s">
        <v>282</v>
      </c>
      <c r="D56" s="14"/>
      <c r="E56" s="14" t="s">
        <v>357</v>
      </c>
      <c r="F56" s="30" t="s">
        <v>358</v>
      </c>
      <c r="G56" s="30" t="s">
        <v>26</v>
      </c>
      <c r="H56" s="17">
        <v>897720</v>
      </c>
      <c r="I56" s="14" t="s">
        <v>137</v>
      </c>
      <c r="J56" s="33" t="s">
        <v>359</v>
      </c>
      <c r="K56" s="41"/>
      <c r="L56" s="32">
        <v>897720</v>
      </c>
      <c r="M56" s="29"/>
      <c r="N56" s="29"/>
      <c r="O56" s="29"/>
      <c r="P56" s="29">
        <v>-27569230</v>
      </c>
    </row>
    <row x14ac:dyDescent="0.25" r="57" customHeight="1" ht="20.1">
      <c r="A57" s="12">
        <v>45797</v>
      </c>
      <c r="B57" s="14" t="s">
        <v>53</v>
      </c>
      <c r="C57" s="14" t="s">
        <v>282</v>
      </c>
      <c r="D57" s="14"/>
      <c r="E57" s="14" t="s">
        <v>357</v>
      </c>
      <c r="F57" s="30" t="s">
        <v>360</v>
      </c>
      <c r="G57" s="30" t="s">
        <v>26</v>
      </c>
      <c r="H57" s="17">
        <v>897720</v>
      </c>
      <c r="I57" s="14" t="s">
        <v>137</v>
      </c>
      <c r="J57" s="33" t="s">
        <v>361</v>
      </c>
      <c r="K57" s="41"/>
      <c r="L57" s="32">
        <v>897720</v>
      </c>
      <c r="M57" s="29"/>
      <c r="N57" s="29"/>
      <c r="O57" s="29"/>
      <c r="P57" s="29">
        <v>-28466950</v>
      </c>
    </row>
    <row x14ac:dyDescent="0.25" r="58" customHeight="1" ht="20.1">
      <c r="A58" s="12">
        <v>45797</v>
      </c>
      <c r="B58" s="14" t="s">
        <v>106</v>
      </c>
      <c r="C58" s="14" t="s">
        <v>118</v>
      </c>
      <c r="D58" s="14"/>
      <c r="E58" s="14" t="s">
        <v>362</v>
      </c>
      <c r="F58" s="30" t="s">
        <v>363</v>
      </c>
      <c r="G58" s="30" t="s">
        <v>26</v>
      </c>
      <c r="H58" s="17">
        <v>735720</v>
      </c>
      <c r="I58" s="14" t="s">
        <v>50</v>
      </c>
      <c r="J58" s="33" t="s">
        <v>364</v>
      </c>
      <c r="K58" s="41"/>
      <c r="L58" s="32">
        <v>735720</v>
      </c>
      <c r="M58" s="29"/>
      <c r="N58" s="29"/>
      <c r="O58" s="29"/>
      <c r="P58" s="29">
        <v>-29202670</v>
      </c>
    </row>
    <row x14ac:dyDescent="0.25" r="59" customHeight="1" ht="20.1">
      <c r="A59" s="12">
        <v>45797</v>
      </c>
      <c r="B59" s="14" t="s">
        <v>106</v>
      </c>
      <c r="C59" s="14" t="s">
        <v>365</v>
      </c>
      <c r="D59" s="14"/>
      <c r="E59" s="14" t="s">
        <v>362</v>
      </c>
      <c r="F59" s="30" t="s">
        <v>366</v>
      </c>
      <c r="G59" s="30" t="s">
        <v>26</v>
      </c>
      <c r="H59" s="17">
        <v>484220</v>
      </c>
      <c r="I59" s="14" t="s">
        <v>50</v>
      </c>
      <c r="J59" s="33" t="s">
        <v>367</v>
      </c>
      <c r="K59" s="40">
        <v>2</v>
      </c>
      <c r="L59" s="32">
        <v>484220</v>
      </c>
      <c r="M59" s="29"/>
      <c r="N59" s="29"/>
      <c r="O59" s="29"/>
      <c r="P59" s="29">
        <v>-29686890</v>
      </c>
    </row>
    <row x14ac:dyDescent="0.25" r="60" customHeight="1" ht="20.1">
      <c r="A60" s="12">
        <v>45797</v>
      </c>
      <c r="B60" s="14" t="s">
        <v>46</v>
      </c>
      <c r="C60" s="14" t="s">
        <v>368</v>
      </c>
      <c r="D60" s="14"/>
      <c r="E60" s="14" t="s">
        <v>162</v>
      </c>
      <c r="F60" s="30" t="s">
        <v>369</v>
      </c>
      <c r="G60" s="30" t="s">
        <v>26</v>
      </c>
      <c r="H60" s="17">
        <v>590600</v>
      </c>
      <c r="I60" s="14" t="s">
        <v>50</v>
      </c>
      <c r="J60" s="33" t="s">
        <v>370</v>
      </c>
      <c r="K60" s="41" t="s">
        <v>251</v>
      </c>
      <c r="L60" s="32">
        <v>590600</v>
      </c>
      <c r="M60" s="29"/>
      <c r="N60" s="29"/>
      <c r="O60" s="29"/>
      <c r="P60" s="29">
        <v>-30277490</v>
      </c>
    </row>
    <row x14ac:dyDescent="0.25" r="61" customHeight="1" ht="20.1">
      <c r="A61" s="12">
        <v>45798</v>
      </c>
      <c r="B61" s="14" t="s">
        <v>53</v>
      </c>
      <c r="C61" s="14" t="s">
        <v>371</v>
      </c>
      <c r="D61" s="14"/>
      <c r="E61" s="14" t="s">
        <v>162</v>
      </c>
      <c r="F61" s="30" t="s">
        <v>351</v>
      </c>
      <c r="G61" s="30" t="s">
        <v>26</v>
      </c>
      <c r="H61" s="17">
        <v>2072600</v>
      </c>
      <c r="I61" s="14" t="s">
        <v>137</v>
      </c>
      <c r="J61" s="33" t="s">
        <v>372</v>
      </c>
      <c r="K61" s="41"/>
      <c r="L61" s="32">
        <v>2072600</v>
      </c>
      <c r="M61" s="29"/>
      <c r="N61" s="29"/>
      <c r="O61" s="29"/>
      <c r="P61" s="29">
        <v>-32350090</v>
      </c>
    </row>
    <row x14ac:dyDescent="0.25" r="62" customHeight="1" ht="20.1">
      <c r="A62" s="12">
        <v>45798</v>
      </c>
      <c r="B62" s="14" t="s">
        <v>66</v>
      </c>
      <c r="C62" s="14" t="s">
        <v>373</v>
      </c>
      <c r="D62" s="14"/>
      <c r="E62" s="14" t="s">
        <v>162</v>
      </c>
      <c r="F62" s="30" t="s">
        <v>351</v>
      </c>
      <c r="G62" s="30" t="s">
        <v>26</v>
      </c>
      <c r="H62" s="17">
        <v>861720</v>
      </c>
      <c r="I62" s="14" t="s">
        <v>50</v>
      </c>
      <c r="J62" s="33" t="s">
        <v>374</v>
      </c>
      <c r="K62" s="40">
        <v>2</v>
      </c>
      <c r="L62" s="32">
        <v>861720</v>
      </c>
      <c r="M62" s="29"/>
      <c r="N62" s="29"/>
      <c r="O62" s="29"/>
      <c r="P62" s="29">
        <v>-33211810</v>
      </c>
    </row>
    <row x14ac:dyDescent="0.25" r="63" customHeight="1" ht="20.1">
      <c r="A63" s="12">
        <v>45798</v>
      </c>
      <c r="B63" s="14" t="s">
        <v>46</v>
      </c>
      <c r="C63" s="14" t="s">
        <v>375</v>
      </c>
      <c r="D63" s="14"/>
      <c r="E63" s="14" t="s">
        <v>320</v>
      </c>
      <c r="F63" s="30" t="s">
        <v>376</v>
      </c>
      <c r="G63" s="30" t="s">
        <v>26</v>
      </c>
      <c r="H63" s="17">
        <v>661420</v>
      </c>
      <c r="I63" s="14" t="s">
        <v>50</v>
      </c>
      <c r="J63" s="33" t="s">
        <v>377</v>
      </c>
      <c r="K63" s="40">
        <v>2</v>
      </c>
      <c r="L63" s="32">
        <v>661420</v>
      </c>
      <c r="M63" s="29"/>
      <c r="N63" s="29"/>
      <c r="O63" s="29"/>
      <c r="P63" s="29">
        <v>-33873230</v>
      </c>
    </row>
    <row x14ac:dyDescent="0.25" r="64" customHeight="1" ht="20.1">
      <c r="A64" s="12">
        <v>45798</v>
      </c>
      <c r="B64" s="14" t="s">
        <v>66</v>
      </c>
      <c r="C64" s="14" t="s">
        <v>166</v>
      </c>
      <c r="D64" s="14"/>
      <c r="E64" s="14" t="s">
        <v>378</v>
      </c>
      <c r="F64" s="30" t="s">
        <v>379</v>
      </c>
      <c r="G64" s="30" t="s">
        <v>26</v>
      </c>
      <c r="H64" s="17">
        <v>30000</v>
      </c>
      <c r="I64" s="14" t="s">
        <v>50</v>
      </c>
      <c r="J64" s="33" t="s">
        <v>380</v>
      </c>
      <c r="K64" s="41" t="s">
        <v>251</v>
      </c>
      <c r="L64" s="32">
        <v>30000</v>
      </c>
      <c r="M64" s="29"/>
      <c r="N64" s="29"/>
      <c r="O64" s="29"/>
      <c r="P64" s="29">
        <v>-33903230</v>
      </c>
    </row>
    <row x14ac:dyDescent="0.25" r="65" customHeight="1" ht="20.1">
      <c r="A65" s="12">
        <v>45799</v>
      </c>
      <c r="B65" s="14" t="s">
        <v>66</v>
      </c>
      <c r="C65" s="14" t="s">
        <v>306</v>
      </c>
      <c r="D65" s="14"/>
      <c r="E65" s="14" t="s">
        <v>84</v>
      </c>
      <c r="F65" s="30" t="s">
        <v>381</v>
      </c>
      <c r="G65" s="30" t="s">
        <v>26</v>
      </c>
      <c r="H65" s="17">
        <v>604420</v>
      </c>
      <c r="I65" s="14" t="s">
        <v>50</v>
      </c>
      <c r="J65" s="33" t="s">
        <v>382</v>
      </c>
      <c r="K65" s="40">
        <v>2</v>
      </c>
      <c r="L65" s="32">
        <v>604420</v>
      </c>
      <c r="M65" s="29"/>
      <c r="N65" s="29"/>
      <c r="O65" s="29"/>
      <c r="P65" s="29">
        <v>-34507650</v>
      </c>
    </row>
    <row x14ac:dyDescent="0.25" r="66" customHeight="1" ht="20.1">
      <c r="A66" s="12">
        <v>45799</v>
      </c>
      <c r="B66" s="14" t="s">
        <v>66</v>
      </c>
      <c r="C66" s="14" t="s">
        <v>166</v>
      </c>
      <c r="D66" s="14"/>
      <c r="E66" s="14" t="s">
        <v>84</v>
      </c>
      <c r="F66" s="30" t="s">
        <v>383</v>
      </c>
      <c r="G66" s="30" t="s">
        <v>26</v>
      </c>
      <c r="H66" s="17">
        <v>554320</v>
      </c>
      <c r="I66" s="14" t="s">
        <v>50</v>
      </c>
      <c r="J66" s="33" t="s">
        <v>384</v>
      </c>
      <c r="K66" s="40">
        <v>2</v>
      </c>
      <c r="L66" s="32">
        <v>554320</v>
      </c>
      <c r="M66" s="29"/>
      <c r="N66" s="29"/>
      <c r="O66" s="29"/>
      <c r="P66" s="29">
        <v>-35061970</v>
      </c>
    </row>
    <row x14ac:dyDescent="0.25" r="67" customHeight="1" ht="20.1">
      <c r="A67" s="12">
        <v>45799</v>
      </c>
      <c r="B67" s="14" t="s">
        <v>111</v>
      </c>
      <c r="C67" s="14" t="s">
        <v>306</v>
      </c>
      <c r="D67" s="14"/>
      <c r="E67" s="14" t="s">
        <v>162</v>
      </c>
      <c r="F67" s="30" t="s">
        <v>385</v>
      </c>
      <c r="G67" s="30" t="s">
        <v>26</v>
      </c>
      <c r="H67" s="17">
        <v>496820</v>
      </c>
      <c r="I67" s="14" t="s">
        <v>50</v>
      </c>
      <c r="J67" s="31" t="s">
        <v>386</v>
      </c>
      <c r="K67" s="40">
        <v>4</v>
      </c>
      <c r="L67" s="32">
        <v>496820</v>
      </c>
      <c r="M67" s="29"/>
      <c r="N67" s="29"/>
      <c r="O67" s="29"/>
      <c r="P67" s="29">
        <v>-35558790</v>
      </c>
    </row>
    <row x14ac:dyDescent="0.25" r="68" customHeight="1" ht="20.1">
      <c r="A68" s="12">
        <v>45799</v>
      </c>
      <c r="B68" s="14" t="s">
        <v>111</v>
      </c>
      <c r="C68" s="14" t="s">
        <v>112</v>
      </c>
      <c r="D68" s="14"/>
      <c r="E68" s="14" t="s">
        <v>84</v>
      </c>
      <c r="F68" s="30" t="s">
        <v>387</v>
      </c>
      <c r="G68" s="30" t="s">
        <v>26</v>
      </c>
      <c r="H68" s="17">
        <v>413405</v>
      </c>
      <c r="I68" s="14" t="s">
        <v>50</v>
      </c>
      <c r="J68" s="31" t="s">
        <v>388</v>
      </c>
      <c r="K68" s="40">
        <v>2</v>
      </c>
      <c r="L68" s="32">
        <v>413405</v>
      </c>
      <c r="M68" s="29"/>
      <c r="N68" s="29"/>
      <c r="O68" s="29"/>
      <c r="P68" s="29">
        <v>-35972195</v>
      </c>
    </row>
    <row x14ac:dyDescent="0.25" r="69" customHeight="1" ht="20.1">
      <c r="A69" s="12">
        <v>45799</v>
      </c>
      <c r="B69" s="14" t="s">
        <v>111</v>
      </c>
      <c r="C69" s="14" t="s">
        <v>112</v>
      </c>
      <c r="D69" s="14"/>
      <c r="E69" s="14" t="s">
        <v>84</v>
      </c>
      <c r="F69" s="30" t="s">
        <v>389</v>
      </c>
      <c r="G69" s="30" t="s">
        <v>26</v>
      </c>
      <c r="H69" s="17">
        <v>413405</v>
      </c>
      <c r="I69" s="14" t="s">
        <v>50</v>
      </c>
      <c r="J69" s="31" t="s">
        <v>390</v>
      </c>
      <c r="K69" s="40">
        <v>2</v>
      </c>
      <c r="L69" s="32">
        <v>413405</v>
      </c>
      <c r="M69" s="29"/>
      <c r="N69" s="29"/>
      <c r="O69" s="29"/>
      <c r="P69" s="29">
        <v>-36385600</v>
      </c>
    </row>
    <row x14ac:dyDescent="0.25" r="70" customHeight="1" ht="20.1">
      <c r="A70" s="12">
        <v>45799</v>
      </c>
      <c r="B70" s="14" t="s">
        <v>72</v>
      </c>
      <c r="C70" s="14" t="s">
        <v>156</v>
      </c>
      <c r="D70" s="14"/>
      <c r="E70" s="14" t="s">
        <v>391</v>
      </c>
      <c r="F70" s="34" t="s">
        <v>392</v>
      </c>
      <c r="G70" s="30" t="s">
        <v>26</v>
      </c>
      <c r="H70" s="17">
        <v>512020</v>
      </c>
      <c r="I70" s="14" t="s">
        <v>50</v>
      </c>
      <c r="J70" s="31" t="s">
        <v>393</v>
      </c>
      <c r="K70" s="40">
        <v>4</v>
      </c>
      <c r="L70" s="32">
        <v>512020</v>
      </c>
      <c r="M70" s="29"/>
      <c r="N70" s="29"/>
      <c r="O70" s="29"/>
      <c r="P70" s="29">
        <v>-36897620</v>
      </c>
    </row>
    <row x14ac:dyDescent="0.25" r="71" customHeight="1" ht="20.1">
      <c r="A71" s="12">
        <v>45800</v>
      </c>
      <c r="B71" s="14" t="s">
        <v>66</v>
      </c>
      <c r="C71" s="14" t="s">
        <v>166</v>
      </c>
      <c r="D71" s="14"/>
      <c r="E71" s="14" t="s">
        <v>194</v>
      </c>
      <c r="F71" s="30" t="s">
        <v>394</v>
      </c>
      <c r="G71" s="30" t="s">
        <v>26</v>
      </c>
      <c r="H71" s="17">
        <v>490120</v>
      </c>
      <c r="I71" s="14" t="s">
        <v>50</v>
      </c>
      <c r="J71" s="31" t="s">
        <v>395</v>
      </c>
      <c r="K71" s="40">
        <v>2</v>
      </c>
      <c r="L71" s="32">
        <v>490120</v>
      </c>
      <c r="M71" s="29"/>
      <c r="N71" s="29"/>
      <c r="O71" s="29"/>
      <c r="P71" s="29">
        <v>-37387740</v>
      </c>
    </row>
    <row x14ac:dyDescent="0.25" r="72" customHeight="1" ht="20.1">
      <c r="A72" s="12">
        <v>45800</v>
      </c>
      <c r="B72" s="14" t="s">
        <v>72</v>
      </c>
      <c r="C72" s="14" t="s">
        <v>156</v>
      </c>
      <c r="D72" s="14"/>
      <c r="E72" s="14" t="s">
        <v>391</v>
      </c>
      <c r="F72" s="30" t="s">
        <v>392</v>
      </c>
      <c r="G72" s="30" t="s">
        <v>26</v>
      </c>
      <c r="H72" s="17">
        <v>73100</v>
      </c>
      <c r="I72" s="14" t="s">
        <v>50</v>
      </c>
      <c r="J72" s="31" t="s">
        <v>396</v>
      </c>
      <c r="K72" s="41" t="s">
        <v>251</v>
      </c>
      <c r="L72" s="32">
        <v>73100</v>
      </c>
      <c r="M72" s="29"/>
      <c r="N72" s="29"/>
      <c r="O72" s="29"/>
      <c r="P72" s="29">
        <v>-37460840</v>
      </c>
    </row>
    <row x14ac:dyDescent="0.25" r="73" customHeight="1" ht="20.1">
      <c r="A73" s="12">
        <v>45800</v>
      </c>
      <c r="B73" s="14" t="s">
        <v>66</v>
      </c>
      <c r="C73" s="14" t="s">
        <v>166</v>
      </c>
      <c r="D73" s="14"/>
      <c r="E73" s="14" t="s">
        <v>378</v>
      </c>
      <c r="F73" s="30" t="s">
        <v>379</v>
      </c>
      <c r="G73" s="30" t="s">
        <v>26</v>
      </c>
      <c r="H73" s="17">
        <v>30000</v>
      </c>
      <c r="I73" s="14" t="s">
        <v>50</v>
      </c>
      <c r="J73" s="33" t="s">
        <v>397</v>
      </c>
      <c r="K73" s="41" t="s">
        <v>251</v>
      </c>
      <c r="L73" s="32">
        <v>30000</v>
      </c>
      <c r="M73" s="29"/>
      <c r="N73" s="29"/>
      <c r="O73" s="29"/>
      <c r="P73" s="29">
        <v>-37490840</v>
      </c>
    </row>
    <row x14ac:dyDescent="0.25" r="74" customHeight="1" ht="20.1">
      <c r="A74" s="12">
        <v>45800</v>
      </c>
      <c r="B74" s="14" t="s">
        <v>111</v>
      </c>
      <c r="C74" s="14" t="s">
        <v>398</v>
      </c>
      <c r="D74" s="14"/>
      <c r="E74" s="14" t="s">
        <v>84</v>
      </c>
      <c r="F74" s="60" t="s">
        <v>399</v>
      </c>
      <c r="G74" s="60" t="s">
        <v>26</v>
      </c>
      <c r="H74" s="17">
        <v>0</v>
      </c>
      <c r="I74" s="14" t="s">
        <v>50</v>
      </c>
      <c r="J74" s="31" t="s">
        <v>400</v>
      </c>
      <c r="K74" s="41" t="s">
        <v>401</v>
      </c>
      <c r="L74" s="32">
        <v>0</v>
      </c>
      <c r="M74" s="29"/>
      <c r="N74" s="29"/>
      <c r="O74" s="29"/>
      <c r="P74" s="29">
        <v>-37490840</v>
      </c>
    </row>
    <row x14ac:dyDescent="0.25" r="75" customHeight="1" ht="20.1">
      <c r="A75" s="12">
        <v>45800</v>
      </c>
      <c r="B75" s="14" t="s">
        <v>111</v>
      </c>
      <c r="C75" s="14" t="s">
        <v>402</v>
      </c>
      <c r="D75" s="14"/>
      <c r="E75" s="14" t="s">
        <v>403</v>
      </c>
      <c r="F75" s="30" t="s">
        <v>404</v>
      </c>
      <c r="G75" s="30" t="s">
        <v>26</v>
      </c>
      <c r="H75" s="17">
        <v>314800</v>
      </c>
      <c r="I75" s="14" t="s">
        <v>50</v>
      </c>
      <c r="J75" s="31" t="s">
        <v>405</v>
      </c>
      <c r="K75" s="40">
        <v>2</v>
      </c>
      <c r="L75" s="32">
        <v>314800</v>
      </c>
      <c r="M75" s="29"/>
      <c r="N75" s="29"/>
      <c r="O75" s="29"/>
      <c r="P75" s="29">
        <v>-37805640</v>
      </c>
    </row>
    <row x14ac:dyDescent="0.25" r="76" customHeight="1" ht="20.1">
      <c r="A76" s="12">
        <v>45803</v>
      </c>
      <c r="B76" s="14" t="s">
        <v>72</v>
      </c>
      <c r="C76" s="14" t="s">
        <v>406</v>
      </c>
      <c r="D76" s="14"/>
      <c r="E76" s="14" t="s">
        <v>327</v>
      </c>
      <c r="F76" s="30" t="s">
        <v>407</v>
      </c>
      <c r="G76" s="30" t="s">
        <v>26</v>
      </c>
      <c r="H76" s="17">
        <v>136500</v>
      </c>
      <c r="I76" s="14" t="s">
        <v>50</v>
      </c>
      <c r="J76" s="31" t="s">
        <v>408</v>
      </c>
      <c r="K76" s="41" t="s">
        <v>251</v>
      </c>
      <c r="L76" s="32">
        <v>136500</v>
      </c>
      <c r="M76" s="29"/>
      <c r="N76" s="29"/>
      <c r="O76" s="29"/>
      <c r="P76" s="29">
        <v>-41080140</v>
      </c>
    </row>
    <row x14ac:dyDescent="0.25" r="77" customHeight="1" ht="20.1">
      <c r="A77" s="12">
        <v>45803</v>
      </c>
      <c r="B77" s="14" t="s">
        <v>46</v>
      </c>
      <c r="C77" s="14" t="s">
        <v>375</v>
      </c>
      <c r="D77" s="14"/>
      <c r="E77" s="14" t="s">
        <v>320</v>
      </c>
      <c r="F77" s="60" t="s">
        <v>409</v>
      </c>
      <c r="G77" s="30" t="s">
        <v>26</v>
      </c>
      <c r="H77" s="17">
        <v>362300</v>
      </c>
      <c r="I77" s="14" t="s">
        <v>50</v>
      </c>
      <c r="J77" s="31" t="s">
        <v>410</v>
      </c>
      <c r="K77" s="41" t="s">
        <v>251</v>
      </c>
      <c r="L77" s="32">
        <v>362300</v>
      </c>
      <c r="M77" s="29"/>
      <c r="N77" s="29"/>
      <c r="O77" s="29"/>
      <c r="P77" s="29">
        <v>-41442440</v>
      </c>
    </row>
    <row x14ac:dyDescent="0.25" r="78" customHeight="1" ht="20.1">
      <c r="A78" s="12">
        <v>45804</v>
      </c>
      <c r="B78" s="14" t="s">
        <v>111</v>
      </c>
      <c r="C78" s="14" t="s">
        <v>112</v>
      </c>
      <c r="D78" s="14"/>
      <c r="E78" s="14" t="s">
        <v>84</v>
      </c>
      <c r="F78" s="30" t="s">
        <v>411</v>
      </c>
      <c r="G78" s="30" t="s">
        <v>26</v>
      </c>
      <c r="H78" s="17">
        <v>412405</v>
      </c>
      <c r="I78" s="14" t="s">
        <v>50</v>
      </c>
      <c r="J78" s="31" t="s">
        <v>412</v>
      </c>
      <c r="K78" s="40">
        <v>2</v>
      </c>
      <c r="L78" s="32">
        <v>412405</v>
      </c>
      <c r="M78" s="29"/>
      <c r="N78" s="29"/>
      <c r="O78" s="29"/>
      <c r="P78" s="29">
        <v>-41854845</v>
      </c>
    </row>
    <row x14ac:dyDescent="0.25" r="79" customHeight="1" ht="20.1">
      <c r="A79" s="12">
        <v>45804</v>
      </c>
      <c r="B79" s="14" t="s">
        <v>111</v>
      </c>
      <c r="C79" s="14" t="s">
        <v>112</v>
      </c>
      <c r="D79" s="14"/>
      <c r="E79" s="14" t="s">
        <v>84</v>
      </c>
      <c r="F79" s="30" t="s">
        <v>413</v>
      </c>
      <c r="G79" s="30" t="s">
        <v>26</v>
      </c>
      <c r="H79" s="17">
        <v>412405</v>
      </c>
      <c r="I79" s="14" t="s">
        <v>50</v>
      </c>
      <c r="J79" s="31" t="s">
        <v>414</v>
      </c>
      <c r="K79" s="40">
        <v>2</v>
      </c>
      <c r="L79" s="32">
        <v>412405</v>
      </c>
      <c r="M79" s="29"/>
      <c r="N79" s="29"/>
      <c r="O79" s="29"/>
      <c r="P79" s="29">
        <v>-42267250</v>
      </c>
    </row>
    <row x14ac:dyDescent="0.25" r="80" customHeight="1" ht="20.1">
      <c r="A80" s="12">
        <v>45804</v>
      </c>
      <c r="B80" s="14" t="s">
        <v>66</v>
      </c>
      <c r="C80" s="14" t="s">
        <v>415</v>
      </c>
      <c r="D80" s="14"/>
      <c r="E80" s="14" t="s">
        <v>84</v>
      </c>
      <c r="F80" s="30" t="s">
        <v>383</v>
      </c>
      <c r="G80" s="30" t="s">
        <v>26</v>
      </c>
      <c r="H80" s="17">
        <v>30000</v>
      </c>
      <c r="I80" s="14" t="s">
        <v>50</v>
      </c>
      <c r="J80" s="31" t="s">
        <v>416</v>
      </c>
      <c r="K80" s="41" t="s">
        <v>251</v>
      </c>
      <c r="L80" s="32">
        <v>30000</v>
      </c>
      <c r="M80" s="29"/>
      <c r="N80" s="29"/>
      <c r="O80" s="29"/>
      <c r="P80" s="29">
        <v>-42297250</v>
      </c>
    </row>
    <row x14ac:dyDescent="0.25" r="81" customHeight="1" ht="20.1">
      <c r="A81" s="12">
        <v>45804</v>
      </c>
      <c r="B81" s="14" t="s">
        <v>46</v>
      </c>
      <c r="C81" s="14" t="s">
        <v>417</v>
      </c>
      <c r="D81" s="14"/>
      <c r="E81" s="14" t="s">
        <v>418</v>
      </c>
      <c r="F81" s="30" t="s">
        <v>419</v>
      </c>
      <c r="G81" s="30" t="s">
        <v>26</v>
      </c>
      <c r="H81" s="17">
        <v>2391020</v>
      </c>
      <c r="I81" s="14" t="s">
        <v>50</v>
      </c>
      <c r="J81" s="31" t="s">
        <v>420</v>
      </c>
      <c r="K81" s="40">
        <v>4</v>
      </c>
      <c r="L81" s="32">
        <v>2391020</v>
      </c>
      <c r="M81" s="29"/>
      <c r="N81" s="29"/>
      <c r="O81" s="29"/>
      <c r="P81" s="29">
        <v>-44688270</v>
      </c>
    </row>
    <row x14ac:dyDescent="0.25" r="82" customHeight="1" ht="20.1">
      <c r="A82" s="12">
        <v>45804</v>
      </c>
      <c r="B82" s="14" t="s">
        <v>46</v>
      </c>
      <c r="C82" s="14" t="s">
        <v>417</v>
      </c>
      <c r="D82" s="14"/>
      <c r="E82" s="14" t="s">
        <v>418</v>
      </c>
      <c r="F82" s="30" t="s">
        <v>421</v>
      </c>
      <c r="G82" s="30" t="s">
        <v>26</v>
      </c>
      <c r="H82" s="17">
        <v>1922520</v>
      </c>
      <c r="I82" s="14" t="s">
        <v>50</v>
      </c>
      <c r="J82" s="31" t="s">
        <v>422</v>
      </c>
      <c r="K82" s="40">
        <v>4</v>
      </c>
      <c r="L82" s="32">
        <v>1922520</v>
      </c>
      <c r="M82" s="29"/>
      <c r="N82" s="29"/>
      <c r="O82" s="29"/>
      <c r="P82" s="29">
        <v>-46610790</v>
      </c>
    </row>
    <row x14ac:dyDescent="0.25" r="83" customHeight="1" ht="20.1">
      <c r="A83" s="12">
        <v>45804</v>
      </c>
      <c r="B83" s="14" t="s">
        <v>111</v>
      </c>
      <c r="C83" s="14" t="s">
        <v>112</v>
      </c>
      <c r="D83" s="14"/>
      <c r="E83" s="14" t="s">
        <v>84</v>
      </c>
      <c r="F83" s="30" t="s">
        <v>423</v>
      </c>
      <c r="G83" s="30" t="s">
        <v>26</v>
      </c>
      <c r="H83" s="17">
        <v>617005</v>
      </c>
      <c r="I83" s="14" t="s">
        <v>50</v>
      </c>
      <c r="J83" s="31" t="s">
        <v>424</v>
      </c>
      <c r="K83" s="40">
        <v>2</v>
      </c>
      <c r="L83" s="32">
        <v>617005</v>
      </c>
      <c r="M83" s="29"/>
      <c r="N83" s="29"/>
      <c r="O83" s="29"/>
      <c r="P83" s="29">
        <v>-47227795</v>
      </c>
    </row>
    <row x14ac:dyDescent="0.25" r="84" customHeight="1" ht="20.1">
      <c r="A84" s="12">
        <v>45804</v>
      </c>
      <c r="B84" s="14" t="s">
        <v>111</v>
      </c>
      <c r="C84" s="14" t="s">
        <v>112</v>
      </c>
      <c r="D84" s="14"/>
      <c r="E84" s="14" t="s">
        <v>84</v>
      </c>
      <c r="F84" s="30" t="s">
        <v>425</v>
      </c>
      <c r="G84" s="30" t="s">
        <v>26</v>
      </c>
      <c r="H84" s="17">
        <v>661805</v>
      </c>
      <c r="I84" s="14" t="s">
        <v>50</v>
      </c>
      <c r="J84" s="31" t="s">
        <v>426</v>
      </c>
      <c r="K84" s="40">
        <v>2</v>
      </c>
      <c r="L84" s="32">
        <v>661805</v>
      </c>
      <c r="M84" s="29"/>
      <c r="N84" s="29"/>
      <c r="O84" s="29"/>
      <c r="P84" s="29">
        <v>-47889600</v>
      </c>
    </row>
    <row x14ac:dyDescent="0.25" r="85" customHeight="1" ht="20.1">
      <c r="A85" s="12">
        <v>45804</v>
      </c>
      <c r="B85" s="14" t="s">
        <v>111</v>
      </c>
      <c r="C85" s="14" t="s">
        <v>112</v>
      </c>
      <c r="D85" s="14"/>
      <c r="E85" s="14" t="s">
        <v>84</v>
      </c>
      <c r="F85" s="30" t="s">
        <v>427</v>
      </c>
      <c r="G85" s="30" t="s">
        <v>26</v>
      </c>
      <c r="H85" s="17">
        <v>633105</v>
      </c>
      <c r="I85" s="14" t="s">
        <v>50</v>
      </c>
      <c r="J85" s="31" t="s">
        <v>428</v>
      </c>
      <c r="K85" s="40">
        <v>2</v>
      </c>
      <c r="L85" s="32">
        <v>633105</v>
      </c>
      <c r="M85" s="29"/>
      <c r="N85" s="29"/>
      <c r="O85" s="29"/>
      <c r="P85" s="29">
        <v>-48522705</v>
      </c>
    </row>
    <row x14ac:dyDescent="0.25" r="86" customHeight="1" ht="20.1">
      <c r="A86" s="12">
        <v>45805</v>
      </c>
      <c r="B86" s="14" t="s">
        <v>111</v>
      </c>
      <c r="C86" s="14" t="s">
        <v>429</v>
      </c>
      <c r="D86" s="12"/>
      <c r="E86" s="14" t="s">
        <v>430</v>
      </c>
      <c r="F86" s="30" t="s">
        <v>431</v>
      </c>
      <c r="G86" s="30" t="s">
        <v>26</v>
      </c>
      <c r="H86" s="17">
        <v>705920</v>
      </c>
      <c r="I86" s="14" t="s">
        <v>187</v>
      </c>
      <c r="J86" s="61" t="s">
        <v>432</v>
      </c>
      <c r="K86" s="41"/>
      <c r="L86" s="32">
        <v>705920</v>
      </c>
      <c r="M86" s="29"/>
      <c r="N86" s="29"/>
      <c r="O86" s="29"/>
      <c r="P86" s="29">
        <v>-49228625</v>
      </c>
    </row>
    <row x14ac:dyDescent="0.25" r="87" customHeight="1" ht="20.1">
      <c r="A87" s="12">
        <v>45805</v>
      </c>
      <c r="B87" s="14" t="s">
        <v>46</v>
      </c>
      <c r="C87" s="14" t="s">
        <v>54</v>
      </c>
      <c r="D87" s="14"/>
      <c r="E87" s="14" t="s">
        <v>433</v>
      </c>
      <c r="F87" s="30" t="s">
        <v>434</v>
      </c>
      <c r="G87" s="30" t="s">
        <v>26</v>
      </c>
      <c r="H87" s="17">
        <v>2354020</v>
      </c>
      <c r="I87" s="14" t="s">
        <v>50</v>
      </c>
      <c r="J87" s="31" t="s">
        <v>435</v>
      </c>
      <c r="K87" s="40">
        <v>2</v>
      </c>
      <c r="L87" s="32">
        <v>2354020</v>
      </c>
      <c r="M87" s="29"/>
      <c r="N87" s="29"/>
      <c r="O87" s="29"/>
      <c r="P87" s="29">
        <v>-51582645</v>
      </c>
    </row>
    <row x14ac:dyDescent="0.25" r="88" customHeight="1" ht="20.1">
      <c r="A88" s="12">
        <v>45806</v>
      </c>
      <c r="B88" s="14" t="s">
        <v>53</v>
      </c>
      <c r="C88" s="14" t="s">
        <v>54</v>
      </c>
      <c r="D88" s="14"/>
      <c r="E88" s="14" t="s">
        <v>418</v>
      </c>
      <c r="F88" s="62" t="s">
        <v>436</v>
      </c>
      <c r="G88" s="30" t="s">
        <v>26</v>
      </c>
      <c r="H88" s="17">
        <v>1520920</v>
      </c>
      <c r="I88" s="14" t="s">
        <v>137</v>
      </c>
      <c r="J88" s="31" t="s">
        <v>437</v>
      </c>
      <c r="K88" s="41"/>
      <c r="L88" s="32">
        <v>1520920</v>
      </c>
      <c r="M88" s="29"/>
      <c r="N88" s="29"/>
      <c r="O88" s="29"/>
      <c r="P88" s="29">
        <v>-53103565</v>
      </c>
    </row>
    <row x14ac:dyDescent="0.25" r="89" customHeight="1" ht="20.1">
      <c r="A89" s="12">
        <v>45806</v>
      </c>
      <c r="B89" s="14" t="s">
        <v>46</v>
      </c>
      <c r="C89" s="14" t="s">
        <v>438</v>
      </c>
      <c r="D89" s="14"/>
      <c r="E89" s="14" t="s">
        <v>162</v>
      </c>
      <c r="F89" s="30" t="s">
        <v>439</v>
      </c>
      <c r="G89" s="30" t="s">
        <v>26</v>
      </c>
      <c r="H89" s="17">
        <v>3356500</v>
      </c>
      <c r="I89" s="14" t="s">
        <v>137</v>
      </c>
      <c r="J89" s="31" t="s">
        <v>440</v>
      </c>
      <c r="K89" s="41"/>
      <c r="L89" s="32">
        <v>3356500</v>
      </c>
      <c r="M89" s="29"/>
      <c r="N89" s="29"/>
      <c r="O89" s="29"/>
      <c r="P89" s="29">
        <v>-56460065</v>
      </c>
    </row>
    <row x14ac:dyDescent="0.25" r="90" customHeight="1" ht="20.1">
      <c r="A90" s="12">
        <v>45806</v>
      </c>
      <c r="B90" s="14" t="s">
        <v>53</v>
      </c>
      <c r="C90" s="14" t="s">
        <v>441</v>
      </c>
      <c r="D90" s="14"/>
      <c r="E90" s="14" t="s">
        <v>442</v>
      </c>
      <c r="F90" s="30" t="s">
        <v>443</v>
      </c>
      <c r="G90" s="30" t="s">
        <v>76</v>
      </c>
      <c r="H90" s="17">
        <v>535020</v>
      </c>
      <c r="I90" s="14" t="s">
        <v>187</v>
      </c>
      <c r="J90" s="61" t="s">
        <v>444</v>
      </c>
      <c r="K90" s="41"/>
      <c r="L90" s="32">
        <v>535020</v>
      </c>
      <c r="M90" s="29"/>
      <c r="N90" s="29"/>
      <c r="O90" s="29"/>
      <c r="P90" s="29">
        <v>-56995085</v>
      </c>
    </row>
    <row x14ac:dyDescent="0.25" r="91" customHeight="1" ht="20.1">
      <c r="A91" s="12">
        <v>45807</v>
      </c>
      <c r="B91" s="14" t="s">
        <v>123</v>
      </c>
      <c r="C91" s="14" t="s">
        <v>445</v>
      </c>
      <c r="D91" s="14"/>
      <c r="E91" s="14" t="s">
        <v>174</v>
      </c>
      <c r="F91" s="30" t="s">
        <v>446</v>
      </c>
      <c r="G91" s="30" t="s">
        <v>26</v>
      </c>
      <c r="H91" s="17">
        <v>2258720</v>
      </c>
      <c r="I91" s="14" t="s">
        <v>50</v>
      </c>
      <c r="J91" s="31" t="s">
        <v>447</v>
      </c>
      <c r="K91" s="40">
        <v>2</v>
      </c>
      <c r="L91" s="32">
        <v>2258720</v>
      </c>
      <c r="M91" s="29"/>
      <c r="N91" s="29"/>
      <c r="O91" s="29"/>
      <c r="P91" s="29">
        <v>-59253805</v>
      </c>
    </row>
    <row x14ac:dyDescent="0.25" r="92" customHeight="1" ht="20.1">
      <c r="A92" s="12">
        <v>45807</v>
      </c>
      <c r="B92" s="14" t="s">
        <v>252</v>
      </c>
      <c r="C92" s="14" t="s">
        <v>448</v>
      </c>
      <c r="D92" s="14"/>
      <c r="E92" s="14" t="s">
        <v>449</v>
      </c>
      <c r="F92" s="30" t="s">
        <v>450</v>
      </c>
      <c r="G92" s="30" t="s">
        <v>26</v>
      </c>
      <c r="H92" s="17">
        <v>1312820</v>
      </c>
      <c r="I92" s="14" t="s">
        <v>50</v>
      </c>
      <c r="J92" s="31" t="s">
        <v>451</v>
      </c>
      <c r="K92" s="40">
        <v>4</v>
      </c>
      <c r="L92" s="32">
        <v>1312820</v>
      </c>
      <c r="M92" s="29"/>
      <c r="N92" s="29"/>
      <c r="O92" s="29"/>
      <c r="P92" s="29">
        <v>-60566625</v>
      </c>
    </row>
    <row x14ac:dyDescent="0.25" r="93" customHeight="1" ht="20.1">
      <c r="A93" s="12">
        <v>45807</v>
      </c>
      <c r="B93" s="14" t="s">
        <v>66</v>
      </c>
      <c r="C93" s="14" t="s">
        <v>166</v>
      </c>
      <c r="D93" s="14"/>
      <c r="E93" s="14" t="s">
        <v>452</v>
      </c>
      <c r="F93" s="30" t="s">
        <v>453</v>
      </c>
      <c r="G93" s="30" t="s">
        <v>127</v>
      </c>
      <c r="H93" s="17">
        <v>1258020</v>
      </c>
      <c r="I93" s="14" t="s">
        <v>50</v>
      </c>
      <c r="J93" s="31" t="s">
        <v>454</v>
      </c>
      <c r="K93" s="40">
        <v>2</v>
      </c>
      <c r="L93" s="32">
        <v>1258020</v>
      </c>
      <c r="M93" s="29"/>
      <c r="N93" s="29"/>
      <c r="O93" s="29"/>
      <c r="P93" s="29">
        <v>-61824645</v>
      </c>
    </row>
    <row x14ac:dyDescent="0.25" r="94" customHeight="1" ht="20.1">
      <c r="A94" s="12">
        <v>45807</v>
      </c>
      <c r="B94" s="14" t="s">
        <v>72</v>
      </c>
      <c r="C94" s="14" t="s">
        <v>455</v>
      </c>
      <c r="D94" s="14"/>
      <c r="E94" s="14" t="s">
        <v>456</v>
      </c>
      <c r="F94" s="30" t="s">
        <v>457</v>
      </c>
      <c r="G94" s="30" t="s">
        <v>127</v>
      </c>
      <c r="H94" s="17">
        <v>840020</v>
      </c>
      <c r="I94" s="14" t="s">
        <v>50</v>
      </c>
      <c r="J94" s="31" t="s">
        <v>458</v>
      </c>
      <c r="K94" s="40">
        <v>4</v>
      </c>
      <c r="L94" s="32">
        <v>840020</v>
      </c>
      <c r="M94" s="29"/>
      <c r="N94" s="29"/>
      <c r="O94" s="29"/>
      <c r="P94" s="29">
        <v>-62664665</v>
      </c>
    </row>
    <row x14ac:dyDescent="0.25" r="95" customHeight="1" ht="18.75">
      <c r="A95" s="1"/>
      <c r="B95" s="34"/>
      <c r="C95" s="34"/>
      <c r="D95" s="34"/>
      <c r="E95" s="34"/>
      <c r="F95" s="34"/>
      <c r="G95" s="34"/>
      <c r="H95" s="29"/>
      <c r="I95" s="34"/>
      <c r="J95" s="34"/>
      <c r="K95" s="29"/>
      <c r="L95" s="63">
        <f>SUM(L2:L94)</f>
      </c>
      <c r="M95" s="29"/>
      <c r="N95" s="29"/>
      <c r="O95" s="29"/>
      <c r="P95" s="29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"/>
  <sheetViews>
    <sheetView workbookViewId="0"/>
  </sheetViews>
  <sheetFormatPr defaultRowHeight="15" x14ac:dyDescent="0.25"/>
  <cols>
    <col min="1" max="1" style="20" width="13.576428571428572" customWidth="1" bestFit="1"/>
    <col min="2" max="2" style="36" width="8.576428571428572" customWidth="1" bestFit="1"/>
    <col min="3" max="3" style="36" width="13.576428571428572" customWidth="1" bestFit="1"/>
    <col min="4" max="4" style="36" width="13.576428571428572" customWidth="1" bestFit="1"/>
    <col min="5" max="5" style="36" width="14.862142857142858" customWidth="1" bestFit="1"/>
    <col min="6" max="6" style="36" width="20.290714285714284" customWidth="1" bestFit="1"/>
    <col min="7" max="7" style="36" width="4.719285714285714" customWidth="1" bestFit="1"/>
    <col min="8" max="8" style="37" width="13.576428571428572" customWidth="1" bestFit="1"/>
    <col min="9" max="9" style="36" width="7.2907142857142855" customWidth="1" bestFit="1"/>
    <col min="10" max="10" style="36" width="13.576428571428572" customWidth="1" bestFit="1"/>
    <col min="11" max="11" style="37" width="13.576428571428572" customWidth="1" bestFit="1"/>
    <col min="12" max="12" style="37" width="13.576428571428572" customWidth="1" bestFit="1"/>
  </cols>
  <sheetData>
    <row x14ac:dyDescent="0.25" r="1" customHeight="1" ht="18.75">
      <c r="A1" s="25" t="s">
        <v>1</v>
      </c>
      <c r="B1" s="26" t="s">
        <v>3</v>
      </c>
      <c r="C1" s="26" t="s">
        <v>4</v>
      </c>
      <c r="D1" s="26" t="s">
        <v>5</v>
      </c>
      <c r="E1" s="26" t="s">
        <v>6</v>
      </c>
      <c r="F1" s="26" t="s">
        <v>7</v>
      </c>
      <c r="G1" s="26" t="s">
        <v>8</v>
      </c>
      <c r="H1" s="27" t="s">
        <v>11</v>
      </c>
      <c r="I1" s="26" t="s">
        <v>13</v>
      </c>
      <c r="J1" s="26" t="s">
        <v>14</v>
      </c>
      <c r="K1" s="28"/>
      <c r="L1" s="29">
        <v>4143919</v>
      </c>
    </row>
    <row x14ac:dyDescent="0.25" r="2" customHeight="1" ht="18.75">
      <c r="A2" s="12">
        <v>45786</v>
      </c>
      <c r="B2" s="14" t="s">
        <v>72</v>
      </c>
      <c r="C2" s="14" t="s">
        <v>150</v>
      </c>
      <c r="D2" s="14" t="s">
        <v>151</v>
      </c>
      <c r="E2" s="14" t="s">
        <v>152</v>
      </c>
      <c r="F2" s="30" t="s">
        <v>153</v>
      </c>
      <c r="G2" s="30" t="s">
        <v>26</v>
      </c>
      <c r="H2" s="17">
        <v>668220</v>
      </c>
      <c r="I2" s="14" t="s">
        <v>154</v>
      </c>
      <c r="J2" s="31" t="s">
        <v>155</v>
      </c>
      <c r="K2" s="32">
        <v>668220</v>
      </c>
      <c r="L2" s="29">
        <v>3475699</v>
      </c>
    </row>
    <row x14ac:dyDescent="0.25" r="3" customHeight="1" ht="18.75">
      <c r="A3" s="12">
        <v>45786</v>
      </c>
      <c r="B3" s="14" t="s">
        <v>72</v>
      </c>
      <c r="C3" s="14" t="s">
        <v>156</v>
      </c>
      <c r="D3" s="14" t="s">
        <v>157</v>
      </c>
      <c r="E3" s="14" t="s">
        <v>158</v>
      </c>
      <c r="F3" s="30" t="s">
        <v>159</v>
      </c>
      <c r="G3" s="30" t="s">
        <v>26</v>
      </c>
      <c r="H3" s="17">
        <v>471920</v>
      </c>
      <c r="I3" s="14" t="s">
        <v>154</v>
      </c>
      <c r="J3" s="31" t="s">
        <v>160</v>
      </c>
      <c r="K3" s="32">
        <v>471920</v>
      </c>
      <c r="L3" s="29">
        <v>3003779</v>
      </c>
    </row>
    <row x14ac:dyDescent="0.25" r="4" customHeight="1" ht="18.75">
      <c r="A4" s="12">
        <v>45795</v>
      </c>
      <c r="B4" s="14" t="s">
        <v>72</v>
      </c>
      <c r="C4" s="14" t="s">
        <v>161</v>
      </c>
      <c r="D4" s="14"/>
      <c r="E4" s="14" t="s">
        <v>162</v>
      </c>
      <c r="F4" s="30" t="s">
        <v>163</v>
      </c>
      <c r="G4" s="30" t="s">
        <v>26</v>
      </c>
      <c r="H4" s="17">
        <v>2799600</v>
      </c>
      <c r="I4" s="14" t="s">
        <v>154</v>
      </c>
      <c r="J4" s="33" t="s">
        <v>164</v>
      </c>
      <c r="K4" s="32">
        <v>2799600</v>
      </c>
      <c r="L4" s="29">
        <v>204179</v>
      </c>
    </row>
    <row x14ac:dyDescent="0.25" r="5" customHeight="1" ht="18.75">
      <c r="A5" s="1"/>
      <c r="B5" s="34"/>
      <c r="C5" s="34"/>
      <c r="D5" s="34"/>
      <c r="E5" s="34"/>
      <c r="F5" s="34"/>
      <c r="G5" s="34"/>
      <c r="H5" s="29"/>
      <c r="I5" s="34"/>
      <c r="J5" s="34"/>
      <c r="K5" s="35">
        <f>SUM(K2:K4)</f>
      </c>
      <c r="L5" s="2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8"/>
  <sheetViews>
    <sheetView workbookViewId="0"/>
  </sheetViews>
  <sheetFormatPr defaultRowHeight="15" x14ac:dyDescent="0.25"/>
  <cols>
    <col min="1" max="1" style="20" width="13.576428571428572" customWidth="1" bestFit="1"/>
    <col min="2" max="2" style="21" width="14.005" customWidth="1" bestFit="1"/>
    <col min="3" max="3" style="22" width="5.719285714285714" customWidth="1" bestFit="1"/>
    <col min="4" max="4" style="22" width="15.719285714285713" customWidth="1" bestFit="1"/>
    <col min="5" max="5" style="22" width="13.576428571428572" customWidth="1" bestFit="1"/>
    <col min="6" max="6" style="22" width="16.862142857142857" customWidth="1" bestFit="1"/>
    <col min="7" max="7" style="23" width="39.86214285714286" customWidth="1" bestFit="1"/>
    <col min="8" max="8" style="22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4" width="13.576428571428572" customWidth="1" bestFit="1"/>
    <col min="12" max="12" style="24" width="13.576428571428572" customWidth="1" bestFit="1"/>
    <col min="13" max="13" style="22" width="13.576428571428572" customWidth="1" bestFit="1"/>
    <col min="14" max="14" style="22" width="21.862142857142857" customWidth="1" bestFit="1"/>
    <col min="15" max="15" style="24" width="13.576428571428572" customWidth="1" bestFit="1"/>
    <col min="16" max="16" style="22" width="13.576428571428572" customWidth="1" bestFit="1"/>
    <col min="17" max="17" style="22" width="13.576428571428572" customWidth="1" bestFit="1"/>
    <col min="18" max="18" style="22" width="13.576428571428572" customWidth="1" bestFit="1"/>
    <col min="19" max="19" style="22" width="13.576428571428572" customWidth="1" bestFit="1"/>
    <col min="20" max="20" style="22" width="13.576428571428572" customWidth="1" bestFit="1"/>
  </cols>
  <sheetData>
    <row x14ac:dyDescent="0.25" r="1" customHeight="1" ht="18.75">
      <c r="A1" s="1"/>
      <c r="B1" s="2"/>
      <c r="C1" s="3"/>
      <c r="D1" s="3"/>
      <c r="E1" s="3"/>
      <c r="F1" s="3"/>
      <c r="G1" s="4" t="s">
        <v>0</v>
      </c>
      <c r="H1" s="3"/>
      <c r="I1" s="5"/>
      <c r="J1" s="6"/>
      <c r="K1" s="6"/>
      <c r="L1" s="6"/>
      <c r="M1" s="3"/>
      <c r="N1" s="3"/>
      <c r="O1" s="6"/>
      <c r="P1" s="3"/>
      <c r="Q1" s="3"/>
      <c r="R1" s="3"/>
      <c r="S1" s="3"/>
      <c r="T1" s="3"/>
    </row>
    <row x14ac:dyDescent="0.25" r="2" customHeight="1" ht="21.75">
      <c r="A2" s="7" t="s">
        <v>1</v>
      </c>
      <c r="B2" s="8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10" t="s">
        <v>7</v>
      </c>
      <c r="H2" s="9" t="s">
        <v>8</v>
      </c>
      <c r="I2" s="10" t="s">
        <v>9</v>
      </c>
      <c r="J2" s="11" t="s">
        <v>10</v>
      </c>
      <c r="K2" s="11" t="s">
        <v>11</v>
      </c>
      <c r="L2" s="11" t="s">
        <v>12</v>
      </c>
      <c r="M2" s="9" t="s">
        <v>13</v>
      </c>
      <c r="N2" s="9" t="s">
        <v>14</v>
      </c>
      <c r="O2" s="11" t="s">
        <v>15</v>
      </c>
      <c r="P2" s="9" t="s">
        <v>16</v>
      </c>
      <c r="Q2" s="9" t="s">
        <v>17</v>
      </c>
      <c r="R2" s="9" t="s">
        <v>18</v>
      </c>
      <c r="S2" s="9" t="s">
        <v>19</v>
      </c>
      <c r="T2" s="9" t="s">
        <v>20</v>
      </c>
    </row>
    <row x14ac:dyDescent="0.25" r="3" customHeight="1" ht="18.75" hidden="1">
      <c r="A3" s="12">
        <v>45999</v>
      </c>
      <c r="B3" s="13" t="s">
        <v>21</v>
      </c>
      <c r="C3" s="14" t="s">
        <v>22</v>
      </c>
      <c r="D3" s="14" t="s">
        <v>23</v>
      </c>
      <c r="E3" s="14"/>
      <c r="F3" s="14" t="s">
        <v>24</v>
      </c>
      <c r="G3" s="15" t="s">
        <v>25</v>
      </c>
      <c r="H3" s="14" t="s">
        <v>26</v>
      </c>
      <c r="I3" s="15"/>
      <c r="J3" s="16">
        <v>690500</v>
      </c>
      <c r="K3" s="16">
        <v>599000</v>
      </c>
      <c r="L3" s="16">
        <v>91500</v>
      </c>
      <c r="M3" s="14" t="s">
        <v>27</v>
      </c>
      <c r="N3" s="14" t="s">
        <v>28</v>
      </c>
      <c r="O3" s="16"/>
      <c r="P3" s="17"/>
      <c r="Q3" s="14"/>
      <c r="R3" s="14"/>
      <c r="S3" s="14"/>
      <c r="T3" s="14"/>
    </row>
    <row x14ac:dyDescent="0.25" r="4" customHeight="1" ht="18.75" hidden="1">
      <c r="A4" s="12">
        <v>45999</v>
      </c>
      <c r="B4" s="13" t="s">
        <v>29</v>
      </c>
      <c r="C4" s="14" t="s">
        <v>22</v>
      </c>
      <c r="D4" s="14" t="s">
        <v>23</v>
      </c>
      <c r="E4" s="14"/>
      <c r="F4" s="14" t="s">
        <v>30</v>
      </c>
      <c r="G4" s="15" t="s">
        <v>31</v>
      </c>
      <c r="H4" s="14" t="s">
        <v>26</v>
      </c>
      <c r="I4" s="15"/>
      <c r="J4" s="16">
        <v>65000</v>
      </c>
      <c r="K4" s="16">
        <v>30000</v>
      </c>
      <c r="L4" s="16">
        <v>35000</v>
      </c>
      <c r="M4" s="14" t="s">
        <v>27</v>
      </c>
      <c r="N4" s="14" t="s">
        <v>32</v>
      </c>
      <c r="O4" s="16" t="s">
        <v>33</v>
      </c>
      <c r="P4" s="14"/>
      <c r="Q4" s="14"/>
      <c r="R4" s="14"/>
      <c r="S4" s="18"/>
      <c r="T4" s="14"/>
    </row>
    <row x14ac:dyDescent="0.25" r="5" customHeight="1" ht="18.75" hidden="1">
      <c r="A5" s="12">
        <v>45999</v>
      </c>
      <c r="B5" s="19"/>
      <c r="C5" s="14"/>
      <c r="D5" s="14" t="s">
        <v>34</v>
      </c>
      <c r="E5" s="14"/>
      <c r="F5" s="3" t="s">
        <v>24</v>
      </c>
      <c r="G5" s="15" t="s">
        <v>35</v>
      </c>
      <c r="H5" s="14" t="s">
        <v>26</v>
      </c>
      <c r="I5" s="15"/>
      <c r="J5" s="16">
        <v>150000</v>
      </c>
      <c r="K5" s="16">
        <v>65000</v>
      </c>
      <c r="L5" s="16">
        <v>85000</v>
      </c>
      <c r="M5" s="14" t="s">
        <v>36</v>
      </c>
      <c r="N5" s="14" t="s">
        <v>37</v>
      </c>
      <c r="O5" s="16"/>
      <c r="P5" s="14"/>
      <c r="Q5" s="14"/>
      <c r="R5" s="14"/>
      <c r="S5" s="14"/>
      <c r="T5" s="14"/>
    </row>
    <row x14ac:dyDescent="0.25" r="6" customHeight="1" ht="15.75">
      <c r="A6" s="12">
        <v>46000</v>
      </c>
      <c r="B6" s="13" t="s">
        <v>38</v>
      </c>
      <c r="C6" s="14" t="s">
        <v>39</v>
      </c>
      <c r="D6" s="14" t="s">
        <v>40</v>
      </c>
      <c r="E6" s="14"/>
      <c r="F6" s="14" t="s">
        <v>41</v>
      </c>
      <c r="G6" s="15" t="s">
        <v>42</v>
      </c>
      <c r="H6" s="14" t="s">
        <v>26</v>
      </c>
      <c r="I6" s="15"/>
      <c r="J6" s="16">
        <v>245900</v>
      </c>
      <c r="K6" s="16">
        <v>134200</v>
      </c>
      <c r="L6" s="16">
        <v>111700</v>
      </c>
      <c r="M6" s="14" t="s">
        <v>43</v>
      </c>
      <c r="N6" s="14" t="s">
        <v>44</v>
      </c>
      <c r="O6" s="16" t="s">
        <v>33</v>
      </c>
      <c r="P6" s="14"/>
      <c r="Q6" s="14"/>
      <c r="R6" s="14"/>
      <c r="S6" s="18"/>
      <c r="T6" s="14"/>
    </row>
    <row x14ac:dyDescent="0.25" r="7" customHeight="1" ht="18.75" hidden="1">
      <c r="A7" s="12">
        <v>46000</v>
      </c>
      <c r="B7" s="13" t="s">
        <v>45</v>
      </c>
      <c r="C7" s="14" t="s">
        <v>46</v>
      </c>
      <c r="D7" s="14" t="s">
        <v>47</v>
      </c>
      <c r="E7" s="14"/>
      <c r="F7" s="14" t="s">
        <v>48</v>
      </c>
      <c r="G7" s="15" t="s">
        <v>49</v>
      </c>
      <c r="H7" s="14" t="s">
        <v>26</v>
      </c>
      <c r="I7" s="15"/>
      <c r="J7" s="16">
        <v>852000</v>
      </c>
      <c r="K7" s="16">
        <v>801020</v>
      </c>
      <c r="L7" s="16">
        <v>50980</v>
      </c>
      <c r="M7" s="14" t="s">
        <v>50</v>
      </c>
      <c r="N7" s="14" t="s">
        <v>51</v>
      </c>
      <c r="O7" s="16">
        <v>4</v>
      </c>
      <c r="P7" s="14"/>
      <c r="Q7" s="14"/>
      <c r="R7" s="14"/>
      <c r="S7" s="18"/>
      <c r="T7" s="14"/>
    </row>
    <row x14ac:dyDescent="0.25" r="8" customHeight="1" ht="15.75">
      <c r="A8" s="12">
        <v>46000</v>
      </c>
      <c r="B8" s="13" t="s">
        <v>52</v>
      </c>
      <c r="C8" s="14" t="s">
        <v>53</v>
      </c>
      <c r="D8" s="14" t="s">
        <v>54</v>
      </c>
      <c r="E8" s="14"/>
      <c r="F8" s="14" t="s">
        <v>55</v>
      </c>
      <c r="G8" s="15" t="s">
        <v>56</v>
      </c>
      <c r="H8" s="14" t="s">
        <v>57</v>
      </c>
      <c r="I8" s="15"/>
      <c r="J8" s="16">
        <v>1060920</v>
      </c>
      <c r="K8" s="16">
        <v>1010320</v>
      </c>
      <c r="L8" s="16">
        <v>50600</v>
      </c>
      <c r="M8" s="14" t="s">
        <v>43</v>
      </c>
      <c r="N8" s="14" t="s">
        <v>58</v>
      </c>
      <c r="O8" s="16"/>
      <c r="P8" s="14"/>
      <c r="Q8" s="14"/>
      <c r="R8" s="14"/>
      <c r="S8" s="14"/>
      <c r="T8" s="14"/>
    </row>
    <row x14ac:dyDescent="0.25" r="9" customHeight="1" ht="15.75">
      <c r="A9" s="12">
        <v>46000</v>
      </c>
      <c r="B9" s="13" t="s">
        <v>52</v>
      </c>
      <c r="C9" s="14" t="s">
        <v>53</v>
      </c>
      <c r="D9" s="14" t="s">
        <v>54</v>
      </c>
      <c r="E9" s="14"/>
      <c r="F9" s="14" t="s">
        <v>55</v>
      </c>
      <c r="G9" s="15" t="s">
        <v>56</v>
      </c>
      <c r="H9" s="14"/>
      <c r="I9" s="15"/>
      <c r="J9" s="16">
        <v>93600</v>
      </c>
      <c r="K9" s="16">
        <v>88600</v>
      </c>
      <c r="L9" s="16">
        <v>5000</v>
      </c>
      <c r="M9" s="14" t="s">
        <v>50</v>
      </c>
      <c r="N9" s="14" t="s">
        <v>59</v>
      </c>
      <c r="O9" s="16" t="s">
        <v>60</v>
      </c>
      <c r="P9" s="14"/>
      <c r="Q9" s="14"/>
      <c r="R9" s="14"/>
      <c r="S9" s="14"/>
      <c r="T9" s="14"/>
    </row>
    <row x14ac:dyDescent="0.25" r="10" customHeight="1" ht="18.75" hidden="1">
      <c r="A10" s="12">
        <v>46000</v>
      </c>
      <c r="B10" s="13" t="s">
        <v>61</v>
      </c>
      <c r="C10" s="14" t="s">
        <v>62</v>
      </c>
      <c r="D10" s="14" t="s">
        <v>63</v>
      </c>
      <c r="E10" s="14"/>
      <c r="F10" s="14" t="s">
        <v>24</v>
      </c>
      <c r="G10" s="15" t="s">
        <v>25</v>
      </c>
      <c r="H10" s="14" t="s">
        <v>26</v>
      </c>
      <c r="I10" s="15"/>
      <c r="J10" s="16">
        <v>5768900</v>
      </c>
      <c r="K10" s="16">
        <v>5592000</v>
      </c>
      <c r="L10" s="16">
        <v>176900</v>
      </c>
      <c r="M10" s="14" t="s">
        <v>64</v>
      </c>
      <c r="N10" s="14" t="s">
        <v>65</v>
      </c>
      <c r="O10" s="16"/>
      <c r="P10" s="14"/>
      <c r="Q10" s="14"/>
      <c r="R10" s="14"/>
      <c r="S10" s="14"/>
      <c r="T10" s="14"/>
    </row>
    <row x14ac:dyDescent="0.25" r="11" customHeight="1" ht="15.75">
      <c r="A11" s="12">
        <v>46001</v>
      </c>
      <c r="B11" s="19">
        <v>45727</v>
      </c>
      <c r="C11" s="14" t="s">
        <v>66</v>
      </c>
      <c r="D11" s="14" t="s">
        <v>67</v>
      </c>
      <c r="E11" s="14"/>
      <c r="F11" s="14" t="s">
        <v>68</v>
      </c>
      <c r="G11" s="15" t="s">
        <v>69</v>
      </c>
      <c r="H11" s="14" t="s">
        <v>26</v>
      </c>
      <c r="I11" s="15"/>
      <c r="J11" s="16">
        <v>30000</v>
      </c>
      <c r="K11" s="16">
        <v>30000</v>
      </c>
      <c r="L11" s="16">
        <v>0</v>
      </c>
      <c r="M11" s="14" t="s">
        <v>43</v>
      </c>
      <c r="N11" s="14" t="s">
        <v>70</v>
      </c>
      <c r="O11" s="16" t="s">
        <v>33</v>
      </c>
      <c r="P11" s="14"/>
      <c r="Q11" s="14"/>
      <c r="R11" s="14"/>
      <c r="S11" s="14"/>
      <c r="T11" s="14"/>
    </row>
    <row x14ac:dyDescent="0.25" r="12" customHeight="1" ht="15.75">
      <c r="A12" s="12">
        <v>46001</v>
      </c>
      <c r="B12" s="13" t="s">
        <v>71</v>
      </c>
      <c r="C12" s="14" t="s">
        <v>72</v>
      </c>
      <c r="D12" s="14" t="s">
        <v>73</v>
      </c>
      <c r="E12" s="14"/>
      <c r="F12" s="14" t="s">
        <v>74</v>
      </c>
      <c r="G12" s="15" t="s">
        <v>75</v>
      </c>
      <c r="H12" s="14" t="s">
        <v>76</v>
      </c>
      <c r="I12" s="15"/>
      <c r="J12" s="16">
        <v>896800</v>
      </c>
      <c r="K12" s="16">
        <v>875920</v>
      </c>
      <c r="L12" s="16">
        <v>20880</v>
      </c>
      <c r="M12" s="14" t="s">
        <v>77</v>
      </c>
      <c r="N12" s="14" t="s">
        <v>78</v>
      </c>
      <c r="O12" s="16"/>
      <c r="P12" s="14"/>
      <c r="Q12" s="14"/>
      <c r="R12" s="14"/>
      <c r="S12" s="14"/>
      <c r="T12" s="14"/>
    </row>
    <row x14ac:dyDescent="0.25" r="13" customHeight="1" ht="18.75" hidden="1">
      <c r="A13" s="12">
        <v>46001</v>
      </c>
      <c r="B13" s="13" t="s">
        <v>79</v>
      </c>
      <c r="C13" s="14" t="s">
        <v>22</v>
      </c>
      <c r="D13" s="14" t="s">
        <v>23</v>
      </c>
      <c r="E13" s="14"/>
      <c r="F13" s="14" t="s">
        <v>30</v>
      </c>
      <c r="G13" s="15" t="s">
        <v>31</v>
      </c>
      <c r="H13" s="14" t="s">
        <v>26</v>
      </c>
      <c r="I13" s="15"/>
      <c r="J13" s="16">
        <v>110800</v>
      </c>
      <c r="K13" s="16">
        <v>85800</v>
      </c>
      <c r="L13" s="16">
        <v>25000</v>
      </c>
      <c r="M13" s="14" t="s">
        <v>27</v>
      </c>
      <c r="N13" s="14" t="s">
        <v>80</v>
      </c>
      <c r="O13" s="16" t="s">
        <v>33</v>
      </c>
      <c r="P13" s="14"/>
      <c r="Q13" s="14"/>
      <c r="R13" s="14"/>
      <c r="S13" s="18"/>
      <c r="T13" s="3"/>
    </row>
    <row x14ac:dyDescent="0.25" r="14" customHeight="1" ht="18.75" hidden="1">
      <c r="A14" s="12">
        <v>46001</v>
      </c>
      <c r="B14" s="13" t="s">
        <v>81</v>
      </c>
      <c r="C14" s="14" t="s">
        <v>82</v>
      </c>
      <c r="D14" s="14" t="s">
        <v>83</v>
      </c>
      <c r="E14" s="14"/>
      <c r="F14" s="14" t="s">
        <v>84</v>
      </c>
      <c r="G14" s="15" t="s">
        <v>85</v>
      </c>
      <c r="H14" s="14" t="s">
        <v>26</v>
      </c>
      <c r="I14" s="15"/>
      <c r="J14" s="16">
        <v>115500</v>
      </c>
      <c r="K14" s="16">
        <v>89340</v>
      </c>
      <c r="L14" s="16">
        <v>26160</v>
      </c>
      <c r="M14" s="14" t="s">
        <v>86</v>
      </c>
      <c r="N14" s="14" t="s">
        <v>87</v>
      </c>
      <c r="O14" s="16"/>
      <c r="P14" s="14"/>
      <c r="Q14" s="14"/>
      <c r="R14" s="14"/>
      <c r="S14" s="18"/>
      <c r="T14" s="3"/>
    </row>
    <row x14ac:dyDescent="0.25" r="15" customHeight="1" ht="15.75">
      <c r="A15" s="12">
        <v>46001</v>
      </c>
      <c r="B15" s="13" t="s">
        <v>88</v>
      </c>
      <c r="C15" s="14" t="s">
        <v>53</v>
      </c>
      <c r="D15" s="14" t="s">
        <v>89</v>
      </c>
      <c r="E15" s="14"/>
      <c r="F15" s="14" t="s">
        <v>90</v>
      </c>
      <c r="G15" s="15" t="s">
        <v>91</v>
      </c>
      <c r="H15" s="14" t="s">
        <v>26</v>
      </c>
      <c r="I15" s="15"/>
      <c r="J15" s="16">
        <v>2793700</v>
      </c>
      <c r="K15" s="16">
        <v>2693620</v>
      </c>
      <c r="L15" s="16">
        <v>100080</v>
      </c>
      <c r="M15" s="14" t="s">
        <v>43</v>
      </c>
      <c r="N15" s="14" t="s">
        <v>92</v>
      </c>
      <c r="O15" s="16"/>
      <c r="P15" s="14"/>
      <c r="Q15" s="14"/>
      <c r="R15" s="14"/>
      <c r="S15" s="18"/>
      <c r="T15" s="3"/>
    </row>
    <row x14ac:dyDescent="0.25" r="16" customHeight="1" ht="15.75">
      <c r="A16" s="12">
        <v>46001</v>
      </c>
      <c r="B16" s="13" t="s">
        <v>88</v>
      </c>
      <c r="C16" s="14" t="s">
        <v>53</v>
      </c>
      <c r="D16" s="14" t="s">
        <v>93</v>
      </c>
      <c r="E16" s="14"/>
      <c r="F16" s="14" t="s">
        <v>90</v>
      </c>
      <c r="G16" s="15" t="s">
        <v>94</v>
      </c>
      <c r="H16" s="14" t="s">
        <v>26</v>
      </c>
      <c r="I16" s="15"/>
      <c r="J16" s="16">
        <v>2793700</v>
      </c>
      <c r="K16" s="16">
        <v>2693620</v>
      </c>
      <c r="L16" s="16">
        <v>100080</v>
      </c>
      <c r="M16" s="14" t="s">
        <v>43</v>
      </c>
      <c r="N16" s="14" t="s">
        <v>95</v>
      </c>
      <c r="O16" s="16"/>
      <c r="P16" s="14"/>
      <c r="Q16" s="14"/>
      <c r="R16" s="14"/>
      <c r="S16" s="18"/>
      <c r="T16" s="3"/>
    </row>
    <row x14ac:dyDescent="0.25" r="17" customHeight="1" ht="15.75">
      <c r="A17" s="12">
        <v>46002</v>
      </c>
      <c r="B17" s="13" t="s">
        <v>96</v>
      </c>
      <c r="C17" s="14" t="s">
        <v>46</v>
      </c>
      <c r="D17" s="14" t="s">
        <v>54</v>
      </c>
      <c r="E17" s="14"/>
      <c r="F17" s="14" t="s">
        <v>97</v>
      </c>
      <c r="G17" s="15" t="s">
        <v>98</v>
      </c>
      <c r="H17" s="14" t="s">
        <v>26</v>
      </c>
      <c r="I17" s="15"/>
      <c r="J17" s="16">
        <v>886320</v>
      </c>
      <c r="K17" s="16">
        <v>861320</v>
      </c>
      <c r="L17" s="16">
        <v>25000</v>
      </c>
      <c r="M17" s="14" t="s">
        <v>43</v>
      </c>
      <c r="N17" s="14" t="s">
        <v>99</v>
      </c>
      <c r="O17" s="16"/>
      <c r="P17" s="14"/>
      <c r="Q17" s="14"/>
      <c r="R17" s="14"/>
      <c r="S17" s="14"/>
      <c r="T17" s="14"/>
    </row>
    <row x14ac:dyDescent="0.25" r="18" customHeight="1" ht="18.75" hidden="1">
      <c r="A18" s="12">
        <v>46002</v>
      </c>
      <c r="B18" s="13" t="s">
        <v>100</v>
      </c>
      <c r="C18" s="14" t="s">
        <v>53</v>
      </c>
      <c r="D18" s="14" t="s">
        <v>101</v>
      </c>
      <c r="E18" s="14"/>
      <c r="F18" s="14" t="s">
        <v>102</v>
      </c>
      <c r="G18" s="15" t="s">
        <v>103</v>
      </c>
      <c r="H18" s="14" t="s">
        <v>26</v>
      </c>
      <c r="I18" s="15"/>
      <c r="J18" s="16">
        <v>2275800</v>
      </c>
      <c r="K18" s="16">
        <v>2173420</v>
      </c>
      <c r="L18" s="16">
        <v>102380</v>
      </c>
      <c r="M18" s="14" t="s">
        <v>77</v>
      </c>
      <c r="N18" s="14" t="s">
        <v>104</v>
      </c>
      <c r="O18" s="16"/>
      <c r="P18" s="14"/>
      <c r="Q18" s="14"/>
      <c r="R18" s="14"/>
      <c r="S18" s="14"/>
      <c r="T18" s="18"/>
    </row>
    <row x14ac:dyDescent="0.25" r="19" customHeight="1" ht="18.75" hidden="1">
      <c r="A19" s="12">
        <v>46002</v>
      </c>
      <c r="B19" s="13" t="s">
        <v>105</v>
      </c>
      <c r="C19" s="14" t="s">
        <v>106</v>
      </c>
      <c r="D19" s="14" t="s">
        <v>107</v>
      </c>
      <c r="E19" s="14"/>
      <c r="F19" s="14" t="s">
        <v>102</v>
      </c>
      <c r="G19" s="15" t="s">
        <v>108</v>
      </c>
      <c r="H19" s="14" t="s">
        <v>26</v>
      </c>
      <c r="I19" s="15"/>
      <c r="J19" s="16">
        <v>1887500</v>
      </c>
      <c r="K19" s="16">
        <v>1787420</v>
      </c>
      <c r="L19" s="16">
        <v>100080</v>
      </c>
      <c r="M19" s="14" t="s">
        <v>43</v>
      </c>
      <c r="N19" s="14" t="s">
        <v>109</v>
      </c>
      <c r="O19" s="16"/>
      <c r="P19" s="14"/>
      <c r="Q19" s="14"/>
      <c r="R19" s="14"/>
      <c r="S19" s="14"/>
      <c r="T19" s="14"/>
    </row>
    <row x14ac:dyDescent="0.25" r="20" customHeight="1" ht="18.75" hidden="1">
      <c r="A20" s="12">
        <v>46002</v>
      </c>
      <c r="B20" s="13" t="s">
        <v>110</v>
      </c>
      <c r="C20" s="14" t="s">
        <v>111</v>
      </c>
      <c r="D20" s="14" t="s">
        <v>112</v>
      </c>
      <c r="E20" s="14"/>
      <c r="F20" s="14" t="s">
        <v>84</v>
      </c>
      <c r="G20" s="15" t="s">
        <v>113</v>
      </c>
      <c r="H20" s="14" t="s">
        <v>26</v>
      </c>
      <c r="I20" s="15"/>
      <c r="J20" s="16">
        <v>798500</v>
      </c>
      <c r="K20" s="16">
        <v>748655</v>
      </c>
      <c r="L20" s="16">
        <v>49845</v>
      </c>
      <c r="M20" s="14" t="s">
        <v>50</v>
      </c>
      <c r="N20" s="14" t="s">
        <v>114</v>
      </c>
      <c r="O20" s="16">
        <v>3</v>
      </c>
      <c r="P20" s="14"/>
      <c r="Q20" s="14"/>
      <c r="R20" s="14"/>
      <c r="S20" s="14"/>
      <c r="T20" s="14"/>
    </row>
    <row x14ac:dyDescent="0.25" r="21" customHeight="1" ht="18.75" hidden="1">
      <c r="A21" s="12">
        <v>46002</v>
      </c>
      <c r="B21" s="13" t="s">
        <v>110</v>
      </c>
      <c r="C21" s="14" t="s">
        <v>111</v>
      </c>
      <c r="D21" s="14" t="s">
        <v>112</v>
      </c>
      <c r="E21" s="14"/>
      <c r="F21" s="14" t="s">
        <v>84</v>
      </c>
      <c r="G21" s="15" t="s">
        <v>115</v>
      </c>
      <c r="H21" s="14" t="s">
        <v>26</v>
      </c>
      <c r="I21" s="15"/>
      <c r="J21" s="16">
        <v>798500</v>
      </c>
      <c r="K21" s="16">
        <v>748655</v>
      </c>
      <c r="L21" s="16">
        <v>49845</v>
      </c>
      <c r="M21" s="14" t="s">
        <v>50</v>
      </c>
      <c r="N21" s="14" t="s">
        <v>116</v>
      </c>
      <c r="O21" s="16">
        <v>3</v>
      </c>
      <c r="P21" s="14"/>
      <c r="Q21" s="14"/>
      <c r="R21" s="14"/>
      <c r="S21" s="14"/>
      <c r="T21" s="14"/>
    </row>
    <row x14ac:dyDescent="0.25" r="22" customHeight="1" ht="15.75">
      <c r="A22" s="12">
        <v>46003</v>
      </c>
      <c r="B22" s="13" t="s">
        <v>117</v>
      </c>
      <c r="C22" s="14" t="s">
        <v>46</v>
      </c>
      <c r="D22" s="14" t="s">
        <v>118</v>
      </c>
      <c r="E22" s="14"/>
      <c r="F22" s="14" t="s">
        <v>119</v>
      </c>
      <c r="G22" s="15" t="s">
        <v>120</v>
      </c>
      <c r="H22" s="14" t="s">
        <v>26</v>
      </c>
      <c r="I22" s="15"/>
      <c r="J22" s="16">
        <v>945800</v>
      </c>
      <c r="K22" s="16">
        <v>849120</v>
      </c>
      <c r="L22" s="16">
        <v>96680</v>
      </c>
      <c r="M22" s="14" t="s">
        <v>77</v>
      </c>
      <c r="N22" s="14" t="s">
        <v>121</v>
      </c>
      <c r="O22" s="16"/>
      <c r="P22" s="14"/>
      <c r="Q22" s="14"/>
      <c r="R22" s="14"/>
      <c r="S22" s="14"/>
      <c r="T22" s="14"/>
    </row>
    <row x14ac:dyDescent="0.25" r="23" customHeight="1" ht="15.75">
      <c r="A23" s="12">
        <v>46003</v>
      </c>
      <c r="B23" s="13" t="s">
        <v>122</v>
      </c>
      <c r="C23" s="14" t="s">
        <v>123</v>
      </c>
      <c r="D23" s="14" t="s">
        <v>124</v>
      </c>
      <c r="E23" s="14"/>
      <c r="F23" s="14" t="s">
        <v>125</v>
      </c>
      <c r="G23" s="15" t="s">
        <v>126</v>
      </c>
      <c r="H23" s="14" t="s">
        <v>127</v>
      </c>
      <c r="I23" s="15"/>
      <c r="J23" s="16">
        <v>1163220</v>
      </c>
      <c r="K23" s="16">
        <v>1118220</v>
      </c>
      <c r="L23" s="16">
        <v>45000</v>
      </c>
      <c r="M23" s="14" t="s">
        <v>43</v>
      </c>
      <c r="N23" s="14" t="s">
        <v>128</v>
      </c>
      <c r="O23" s="16"/>
      <c r="P23" s="14"/>
      <c r="Q23" s="14"/>
      <c r="R23" s="14"/>
      <c r="S23" s="14"/>
      <c r="T23" s="14"/>
    </row>
    <row x14ac:dyDescent="0.25" r="24" customHeight="1" ht="15.75">
      <c r="A24" s="12">
        <v>46003</v>
      </c>
      <c r="B24" s="13" t="s">
        <v>129</v>
      </c>
      <c r="C24" s="14" t="s">
        <v>46</v>
      </c>
      <c r="D24" s="14" t="s">
        <v>130</v>
      </c>
      <c r="E24" s="14"/>
      <c r="F24" s="14" t="s">
        <v>41</v>
      </c>
      <c r="G24" s="15" t="s">
        <v>131</v>
      </c>
      <c r="H24" s="14" t="s">
        <v>26</v>
      </c>
      <c r="I24" s="15"/>
      <c r="J24" s="16">
        <v>2763520</v>
      </c>
      <c r="K24" s="16">
        <v>2571020</v>
      </c>
      <c r="L24" s="16">
        <v>192500</v>
      </c>
      <c r="M24" s="14" t="s">
        <v>43</v>
      </c>
      <c r="N24" s="14" t="s">
        <v>132</v>
      </c>
      <c r="O24" s="16"/>
      <c r="P24" s="14"/>
      <c r="Q24" s="14"/>
      <c r="R24" s="14"/>
      <c r="S24" s="14"/>
      <c r="T24" s="14"/>
    </row>
    <row x14ac:dyDescent="0.25" r="25" customHeight="1" ht="18.75" hidden="1">
      <c r="A25" s="12">
        <v>46004</v>
      </c>
      <c r="B25" s="13" t="s">
        <v>133</v>
      </c>
      <c r="C25" s="14" t="s">
        <v>53</v>
      </c>
      <c r="D25" s="14" t="s">
        <v>134</v>
      </c>
      <c r="E25" s="14"/>
      <c r="F25" s="14" t="s">
        <v>135</v>
      </c>
      <c r="G25" s="15" t="s">
        <v>136</v>
      </c>
      <c r="H25" s="14" t="s">
        <v>26</v>
      </c>
      <c r="I25" s="15"/>
      <c r="J25" s="16">
        <v>360800</v>
      </c>
      <c r="K25" s="16">
        <v>340800</v>
      </c>
      <c r="L25" s="16">
        <v>20000</v>
      </c>
      <c r="M25" s="14" t="s">
        <v>137</v>
      </c>
      <c r="N25" s="14" t="s">
        <v>138</v>
      </c>
      <c r="O25" s="16" t="s">
        <v>33</v>
      </c>
      <c r="P25" s="14"/>
      <c r="Q25" s="14"/>
      <c r="R25" s="14"/>
      <c r="S25" s="14"/>
      <c r="T25" s="14"/>
    </row>
    <row x14ac:dyDescent="0.25" r="26" customHeight="1" ht="18.75" hidden="1">
      <c r="A26" s="12">
        <v>46004</v>
      </c>
      <c r="B26" s="13" t="s">
        <v>139</v>
      </c>
      <c r="C26" s="14" t="s">
        <v>72</v>
      </c>
      <c r="D26" s="14" t="s">
        <v>140</v>
      </c>
      <c r="E26" s="14"/>
      <c r="F26" s="14" t="s">
        <v>141</v>
      </c>
      <c r="G26" s="15" t="s">
        <v>142</v>
      </c>
      <c r="H26" s="14" t="s">
        <v>26</v>
      </c>
      <c r="I26" s="15"/>
      <c r="J26" s="16">
        <v>303100</v>
      </c>
      <c r="K26" s="16">
        <v>283100</v>
      </c>
      <c r="L26" s="16">
        <v>20000</v>
      </c>
      <c r="M26" s="14" t="s">
        <v>43</v>
      </c>
      <c r="N26" s="14" t="s">
        <v>143</v>
      </c>
      <c r="O26" s="16" t="s">
        <v>33</v>
      </c>
      <c r="P26" s="14"/>
      <c r="Q26" s="14"/>
      <c r="R26" s="14"/>
      <c r="S26" s="14"/>
      <c r="T26" s="14"/>
    </row>
    <row x14ac:dyDescent="0.25" r="27" customHeight="1" ht="18.75" hidden="1">
      <c r="A27" s="12">
        <v>46004</v>
      </c>
      <c r="B27" s="13" t="s">
        <v>139</v>
      </c>
      <c r="C27" s="14" t="s">
        <v>82</v>
      </c>
      <c r="D27" s="14" t="s">
        <v>144</v>
      </c>
      <c r="E27" s="14"/>
      <c r="F27" s="14" t="s">
        <v>84</v>
      </c>
      <c r="G27" s="15" t="s">
        <v>145</v>
      </c>
      <c r="H27" s="14" t="s">
        <v>26</v>
      </c>
      <c r="I27" s="15"/>
      <c r="J27" s="16">
        <v>273900</v>
      </c>
      <c r="K27" s="16">
        <v>248000</v>
      </c>
      <c r="L27" s="16">
        <v>25900</v>
      </c>
      <c r="M27" s="14" t="s">
        <v>43</v>
      </c>
      <c r="N27" s="14" t="s">
        <v>146</v>
      </c>
      <c r="O27" s="16"/>
      <c r="P27" s="14"/>
      <c r="Q27" s="14"/>
      <c r="R27" s="14"/>
      <c r="S27" s="14"/>
      <c r="T27" s="14"/>
    </row>
    <row x14ac:dyDescent="0.25" r="28" customHeight="1" ht="15.75">
      <c r="A28" s="12">
        <v>46005</v>
      </c>
      <c r="B28" s="13" t="s">
        <v>61</v>
      </c>
      <c r="C28" s="14" t="s">
        <v>46</v>
      </c>
      <c r="D28" s="14" t="s">
        <v>54</v>
      </c>
      <c r="E28" s="14"/>
      <c r="F28" s="14" t="s">
        <v>147</v>
      </c>
      <c r="G28" s="15" t="s">
        <v>148</v>
      </c>
      <c r="H28" s="14" t="s">
        <v>26</v>
      </c>
      <c r="I28" s="15"/>
      <c r="J28" s="16">
        <v>2679900</v>
      </c>
      <c r="K28" s="16">
        <v>2479020</v>
      </c>
      <c r="L28" s="16">
        <v>200880</v>
      </c>
      <c r="M28" s="14" t="s">
        <v>43</v>
      </c>
      <c r="N28" s="14" t="s">
        <v>149</v>
      </c>
      <c r="O28" s="16"/>
      <c r="P28" s="14"/>
      <c r="Q28" s="14"/>
      <c r="R28" s="14"/>
      <c r="S28" s="14"/>
      <c r="T28" s="1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19</vt:i4>
      </vt:variant>
    </vt:vector>
  </HeadingPairs>
  <TitlesOfParts>
    <vt:vector baseType="lpstr" size="19">
      <vt:lpstr>BILAN GENERAL</vt:lpstr>
      <vt:lpstr>JANVIER</vt:lpstr>
      <vt:lpstr>FEVRIER</vt:lpstr>
      <vt:lpstr>MAR</vt:lpstr>
      <vt:lpstr>APRIL</vt:lpstr>
      <vt:lpstr>MAY</vt:lpstr>
      <vt:lpstr>JUIN</vt:lpstr>
      <vt:lpstr>JUILLET</vt:lpstr>
      <vt:lpstr>AOUT</vt:lpstr>
      <vt:lpstr>SEPTEMBRE</vt:lpstr>
      <vt:lpstr>October</vt:lpstr>
      <vt:lpstr>Novembre</vt:lpstr>
      <vt:lpstr>Decembre</vt:lpstr>
      <vt:lpstr>ETAT CAMAIR CO</vt:lpstr>
      <vt:lpstr>DAF BANGE BANK</vt:lpstr>
      <vt:lpstr>Feuil1</vt:lpstr>
      <vt:lpstr>Feuil2</vt:lpstr>
      <vt:lpstr>Feuil3</vt:lpstr>
      <vt:lpstr>Feuil4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2026-01-18T20:42:30.700Z</dcterms:created>
  <dcterms:modified xsi:type="dcterms:W3CDTF">2026-01-18T20:42:30.700Z</dcterms:modified>
</cp:coreProperties>
</file>